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23c0e1f20e4f11" /></Relationships>
</file>

<file path=xl/workbook.xml><?xml version="1.0" encoding="utf-8"?>
<x:workbook xmlns:x="http://schemas.openxmlformats.org/spreadsheetml/2006/main">
  <x:sheets>
    <x:sheet xmlns:r="http://schemas.openxmlformats.org/officeDocument/2006/relationships" name="Dashboard" sheetId="1" r:id="Rcec811b3e894404d"/>
    <x:sheet xmlns:r="http://schemas.openxmlformats.org/officeDocument/2006/relationships" name="Inputs" sheetId="2" r:id="R5410537ae7344225"/>
    <x:sheet xmlns:r="http://schemas.openxmlformats.org/officeDocument/2006/relationships" name="Model_Data" sheetId="3" r:id="R700c5a48427347ff"/>
    <x:sheet xmlns:r="http://schemas.openxmlformats.org/officeDocument/2006/relationships" name="Chart_Data" sheetId="4" r:id="R323aa7d894214958"/>
    <x:sheet xmlns:r="http://schemas.openxmlformats.org/officeDocument/2006/relationships" name="Scenario_Data" sheetId="5" r:id="R92ed8bcdf1d6456d"/>
    <x:sheet xmlns:r="http://schemas.openxmlformats.org/officeDocument/2006/relationships" name="PRF_Results" sheetId="6" r:id="R8001224ebfe843e7"/>
    <x:sheet xmlns:r="http://schemas.openxmlformats.org/officeDocument/2006/relationships" name="Formula_Guide" sheetId="7" r:id="R95e6b0ebecb64b25"/>
    <x:sheet xmlns:r="http://schemas.openxmlformats.org/officeDocument/2006/relationships" name="Topography_Formulas" sheetId="8" r:id="R6073e75f9f2b42e8"/>
    <x:sheet xmlns:r="http://schemas.openxmlformats.org/officeDocument/2006/relationships" name="Checks" sheetId="9" r:id="R3f163a55d4144b2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General"/>
    <x:numFmt numFmtId="203" formatCode="0.000"/>
  </x:numFmts>
  <x:fonts count="8">
    <x:font>
      <x:sz val="11"/>
      <x:name val="Carlito"/>
    </x:font>
    <x:font>
      <x:b/>
      <x:sz val="16"/>
      <x:color rgb="FFFFFFFF"/>
      <x:name val="Calibri"/>
    </x:font>
    <x:font>
      <x:i/>
      <x:sz val="10"/>
      <x:color rgb="FF344054"/>
      <x:name val="Calibri"/>
    </x:font>
    <x:font>
      <x:sz val="10"/>
      <x:color rgb="FF344054"/>
      <x:name val="Calibri"/>
    </x:font>
    <x:font>
      <x:b/>
      <x:sz val="10"/>
      <x:color rgb="FF0B2545"/>
      <x:name val="Calibri"/>
    </x:font>
    <x:font>
      <x:b/>
      <x:sz val="12"/>
      <x:color rgb="FF0B2545"/>
      <x:name val="Calibri"/>
    </x:font>
    <x:font>
      <x:sz val="10"/>
      <x:color rgb="FF0B2545"/>
      <x:name val="Calibri"/>
    </x:font>
    <x:font>
      <x:sz val="9"/>
      <x:color rgb="FF0B2545"/>
      <x:name val="Consolas"/>
    </x:font>
  </x:fonts>
  <x:fills count="7">
    <x:fill>
      <x:patternFill patternType="none"/>
    </x:fill>
    <x:fill>
      <x:patternFill patternType="gray125"/>
    </x:fill>
    <x:fill>
      <x:patternFill patternType="solid">
        <x:fgColor rgb="FF0B2545"/>
      </x:patternFill>
    </x:fill>
    <x:fill>
      <x:patternFill patternType="solid">
        <x:fgColor rgb="FFF2F4F7"/>
      </x:patternFill>
    </x:fill>
    <x:fill>
      <x:patternFill patternType="solid">
        <x:fgColor rgb="FFFFF2CC"/>
      </x:patternFill>
    </x:fill>
    <x:fill>
      <x:patternFill patternType="solid">
        <x:fgColor rgb="FFFCEFD9"/>
      </x:patternFill>
    </x:fill>
    <x:fill>
      <x:patternFill patternType="solid">
        <x:fgColor rgb="FFEAF2FB"/>
      </x:patternFill>
    </x:fill>
  </x:fills>
  <x:borders count="5">
    <x:border/>
    <x:border>
      <x:left style="thin">
        <x:color rgb="FFD0D5DD"/>
      </x:left>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top style="thin">
        <x:color rgb="FFD0D5DD"/>
      </x:top>
      <x:bottom style="thin">
        <x:color rgb="FFD0D5DD"/>
      </x:bottom>
    </x:border>
    <x:border>
      <x:right style="thin">
        <x:color rgb="FFD0D5DD"/>
      </x:right>
      <x:top style="thin">
        <x:color rgb="FFD0D5DD"/>
      </x:top>
      <x:bottom style="thin">
        <x:color rgb="FFD0D5DD"/>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3" borderId="1" xfId="0" applyNumberFormat="1" applyFont="1" applyFill="1" applyBorder="1" applyAlignment="1">
      <x:alignment horizontal="center" vertical="center" wrapText="1"/>
    </x:xf>
    <x:xf numFmtId="0" fontId="3" fillId="4"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200" fontId="4" fillId="4" borderId="1" xfId="0" applyNumberFormat="1" applyFont="1" applyFill="1" applyBorder="1" applyAlignment="1">
      <x:alignment vertical="center" wrapText="1"/>
    </x:xf>
    <x:xf numFmtId="200" fontId="4" fillId="4" borderId="1" xfId="0" applyNumberFormat="1" applyFont="1" applyFill="1" applyBorder="1" applyAlignment="1">
      <x:alignment horizontal="right" vertical="center" wrapText="1"/>
    </x:xf>
    <x:xf numFmtId="201" fontId="4" fillId="4" borderId="1" xfId="0" applyNumberFormat="1" applyFont="1" applyFill="1" applyBorder="1" applyAlignment="1">
      <x:alignment horizontal="right"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4"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2" xfId="0" applyNumberFormat="1" applyFont="1" applyFill="1" applyBorder="1" applyAlignment="1">
      <x:alignment horizontal="left"/>
    </x:xf>
    <x:xf numFmtId="0" fontId="5" fillId="6" borderId="3" xfId="0" applyNumberFormat="1" applyFont="1" applyFill="1" applyBorder="1" applyAlignment="1">
      <x:alignment horizontal="left"/>
    </x:xf>
    <x:xf numFmtId="0" fontId="5" fillId="6" borderId="4" xfId="0" applyNumberFormat="1" applyFont="1" applyFill="1" applyBorder="1" applyAlignment="1">
      <x:alignment horizontal="left"/>
    </x:xf>
    <x:xf numFmtId="0" fontId="5" fillId="6" borderId="2" xfId="0" applyNumberFormat="1" applyFont="1" applyFill="1" applyBorder="1" applyAlignment="1">
      <x:alignment horizontal="left" vertical="center"/>
    </x:xf>
    <x:xf numFmtId="0" fontId="5" fillId="6" borderId="3" xfId="0" applyNumberFormat="1" applyFont="1" applyFill="1" applyBorder="1" applyAlignment="1">
      <x:alignment horizontal="left" vertical="center"/>
    </x:xf>
    <x:xf numFmtId="0" fontId="5" fillId="6" borderId="4" xfId="0" applyNumberFormat="1" applyFont="1" applyFill="1" applyBorder="1" applyAlignment="1">
      <x:alignment horizontal="left" vertical="center"/>
    </x:xf>
    <x:xf numFmtId="0" fontId="3" fillId="6" borderId="1" xfId="0" applyNumberFormat="1" applyFont="1" applyFill="1" applyBorder="1" applyAlignment="1">
      <x:alignment vertical="center" wrapText="1"/>
    </x:xf>
    <x:xf numFmtId="0" fontId="4" fillId="6" borderId="1" xfId="0" applyNumberFormat="1" applyFont="1" applyFill="1" applyBorder="1" applyAlignment="1">
      <x:alignment vertical="center" wrapText="1"/>
    </x:xf>
    <x:xf numFmtId="202" fontId="4" fillId="6" borderId="1" xfId="0" applyNumberFormat="1" applyFont="1" applyFill="1" applyBorder="1" applyAlignment="1">
      <x:alignment vertical="center" wrapText="1"/>
    </x:xf>
    <x:xf numFmtId="202" fontId="4" fillId="6" borderId="1" xfId="0" applyNumberFormat="1" applyFont="1" applyFill="1" applyBorder="1" applyAlignment="1">
      <x:alignment horizontal="center" vertical="center" wrapText="1"/>
    </x:xf>
    <x:xf numFmtId="0" fontId="6" fillId="6" borderId="1" xfId="0" applyNumberFormat="1" applyFont="1" applyFill="1" applyBorder="1" applyAlignment="1">
      <x:alignment vertical="center" wrapText="1"/>
    </x:xf>
    <x:xf numFmtId="200" fontId="6" fillId="6" borderId="1" xfId="0" applyNumberFormat="1" applyFont="1" applyFill="1" applyBorder="1" applyAlignment="1">
      <x:alignment vertical="center" wrapText="1"/>
    </x:xf>
    <x:xf numFmtId="200" fontId="6" fillId="6"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right" vertical="center" wrapText="1"/>
    </x:xf>
    <x:xf numFmtId="202" fontId="4" fillId="4" borderId="1" xfId="0" applyNumberFormat="1" applyFont="1" applyFill="1" applyBorder="1" applyAlignment="1">
      <x:alignment horizontal="center" vertical="center" wrapText="1"/>
    </x:xf>
    <x:xf numFmtId="203" fontId="3" fillId="0" borderId="1" xfId="0" applyNumberFormat="1" applyFont="1" applyFill="1" applyBorder="1" applyAlignment="1">
      <x:alignment vertical="center" wrapText="1"/>
    </x:xf>
    <x:xf numFmtId="203" fontId="0" fillId="0"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6" borderId="1" xfId="0" applyNumberFormat="1" applyFont="1" applyFill="1" applyBorder="1" applyAlignment="1">
      <x:alignment horizontal="right" vertical="center" wrapText="1"/>
    </x:xf>
    <x:xf numFmtId="0" fontId="4" fillId="6" borderId="1" xfId="0" applyNumberFormat="1" applyFont="1" applyFill="1" applyBorder="1" applyAlignment="1">
      <x:alignment horizontal="center" vertical="center" wrapText="1"/>
    </x:xf>
    <x:xf numFmtId="203" fontId="4" fillId="6"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7" fillId="0" borderId="1" xfId="0" applyNumberFormat="1" applyFont="1" applyFill="1" applyBorder="1" applyAlignment="1">
      <x:alignment vertical="center" wrapText="1"/>
    </x:xf>
  </x:cellXfs>
  <x:cellStyles count="1">
    <x:cellStyle name="Normal" xfId="0"/>
  </x:cellStyles>
  <x:dxfs count="2">
    <x:dxf>
      <x:font>
        <x:b/>
        <x:color rgb="FF0B2545"/>
      </x:font>
      <x:fill>
        <x:patternFill patternType="solid">
          <x:bgColor rgb="FFDFF4E6"/>
        </x:patternFill>
      </x:fill>
    </x:dxf>
    <x:dxf>
      <x:font>
        <x:b/>
        <x:color rgb="FF0B2545"/>
      </x:font>
      <x:fill>
        <x:patternFill patternType="solid">
          <x:bgColor rgb="FFFCEF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15d8341c364ce5" /><Relationship Type="http://schemas.openxmlformats.org/officeDocument/2006/relationships/theme" Target="/xl/theme/theme1.xml" Id="Rc3b219b005764992" /><Relationship Type="http://schemas.openxmlformats.org/officeDocument/2006/relationships/sharedStrings" Target="/xl/sharedStrings.xml" Id="Rbf4bab94a4e5483c" /><Relationship Type="http://schemas.openxmlformats.org/officeDocument/2006/relationships/worksheet" Target="/xl/worksheets/sheet1.xml" Id="Rcec811b3e894404d" /><Relationship Type="http://schemas.openxmlformats.org/officeDocument/2006/relationships/worksheet" Target="/xl/worksheets/sheet2.xml" Id="R5410537ae7344225" /><Relationship Type="http://schemas.openxmlformats.org/officeDocument/2006/relationships/worksheet" Target="/xl/worksheets/sheet3.xml" Id="R700c5a48427347ff" /><Relationship Type="http://schemas.openxmlformats.org/officeDocument/2006/relationships/worksheet" Target="/xl/worksheets/sheet4.xml" Id="R323aa7d894214958" /><Relationship Type="http://schemas.openxmlformats.org/officeDocument/2006/relationships/worksheet" Target="/xl/worksheets/sheet5.xml" Id="R92ed8bcdf1d6456d" /><Relationship Type="http://schemas.openxmlformats.org/officeDocument/2006/relationships/worksheet" Target="/xl/worksheets/sheet6.xml" Id="R8001224ebfe843e7" /><Relationship Type="http://schemas.openxmlformats.org/officeDocument/2006/relationships/worksheet" Target="/xl/worksheets/sheet7.xml" Id="R95e6b0ebecb64b25" /><Relationship Type="http://schemas.openxmlformats.org/officeDocument/2006/relationships/worksheet" Target="/xl/worksheets/sheet8.xml" Id="R6073e75f9f2b42e8" /><Relationship Type="http://schemas.openxmlformats.org/officeDocument/2006/relationships/worksheet" Target="/xl/worksheets/sheet9.xml" Id="R3f163a55d4144b20" /></Relationships>
</file>

<file path=xl/drawings/_rels/drawing1.xml.rels>&#65279;<?xml version="1.0" encoding="utf-8"?><Relationships xmlns="http://schemas.openxmlformats.org/package/2006/relationships"><Relationship Type="http://schemas.openxmlformats.org/officeDocument/2006/relationships/chart" Target="/xl/drawings/charts/chart1.xml" Id="R8bd0cd2e25404944" /><Relationship Type="http://schemas.openxmlformats.org/officeDocument/2006/relationships/chart" Target="/xl/drawings/charts/chart2.xml" Id="R4c5a5ab8e5ca4ce7" /><Relationship Type="http://schemas.openxmlformats.org/officeDocument/2006/relationships/chart" Target="/xl/drawings/charts/chart3.xml" Id="R912f96daad4e4fce" /><Relationship Type="http://schemas.openxmlformats.org/officeDocument/2006/relationships/chart" Target="/xl/drawings/charts/chart4.xml" Id="Rd8af092004cc4bb8" /><Relationship Type="http://schemas.openxmlformats.org/officeDocument/2006/relationships/chart" Target="/xl/drawings/charts/chart5.xml" Id="Rfe68edcde0104243" /><Relationship Type="http://schemas.openxmlformats.org/officeDocument/2006/relationships/chart" Target="/xl/drawings/charts/chart6.xml" Id="Rdf8b23761e404ac1" /><Relationship Type="http://schemas.openxmlformats.org/officeDocument/2006/relationships/chart" Target="/xl/drawings/charts/chart7.xml" Id="R68dbeecd94324da0" /></Relationships>
</file>

<file path=xl/drawings/charts/chart1.xml><?xml version="1.0" encoding="utf-8"?>
<c:chartSpace xmlns:a="http://schemas.openxmlformats.org/drawingml/2006/main" xmlns:c="http://schemas.openxmlformats.org/drawingml/2006/chart">
  <c:lang val="en-US"/>
  <c:roundedCorners val="0"/>
  <c:chart>
    <c:title>
      <c:tx>
        <c:rich>
          <a:bodyPr/>
          <a:lstStyle/>
          <a:p>
            <a:r>
              <a:rPr/>
              <a:t>Flat vs Topography-Preview Apparent Depth</a:t>
            </a:r>
          </a:p>
        </c:rich>
      </c:tx>
      <c:overlay val="0"/>
    </c:title>
    <c:autoTitleDeleted val="0"/>
    <c:plotArea>
      <c:layout/>
      <c:lineChart>
        <c:grouping val="standard"/>
        <c:ser>
          <c:idx val="0"/>
          <c:order val="0"/>
          <c:tx>
            <c:v>Flat apparent depth (m)</c:v>
          </c:tx>
          <c:cat>
            <c:strRef>
              <c:f>'Chart_Data'!$A$2:$A$242</c:f>
              <c:strCache>
                <c:ptCount val="0"/>
              </c:strCache>
            </c:strRef>
          </c:cat>
          <c:val>
            <c:numRef>
              <c:f>'Chart_Data'!$B$2:$B$242</c:f>
              <c:numCache>
                <c:formatCode>0.000</c:formatCode>
                <c:ptCount val="0"/>
              </c:numCache>
            </c:numRef>
          </c:val>
          <c:smooth val="0"/>
          <c:spPr>
            <a:ln w="9000"/>
          </c:spPr>
        </c:ser>
        <c:ser>
          <c:idx val="1"/>
          <c:order val="1"/>
          <c:tx>
            <c:v>Topography-preview apparent depth (m)</c:v>
          </c:tx>
          <c:cat>
            <c:strRef>
              <c:f>'Chart_Data'!$A$2:$A$242</c:f>
              <c:strCache>
                <c:ptCount val="0"/>
              </c:strCache>
            </c:strRef>
          </c:cat>
          <c:val>
            <c:numRef>
              <c:f>'Chart_Data'!$C$2:$C$242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2.xml><?xml version="1.0" encoding="utf-8"?>
<c:chartSpace xmlns:a="http://schemas.openxmlformats.org/drawingml/2006/main" xmlns:c="http://schemas.openxmlformats.org/drawingml/2006/chart">
  <c:lang val="en-US"/>
  <c:roundedCorners val="0"/>
  <c:chart>
    <c:title>
      <c:tx>
        <c:rich>
          <a:bodyPr/>
          <a:lstStyle/>
          <a:p>
            <a:r>
              <a:rPr/>
              <a:t>Seeded Europa Topography Along the Pass</a:t>
            </a:r>
          </a:p>
        </c:rich>
      </c:tx>
      <c:overlay val="0"/>
    </c:title>
    <c:autoTitleDeleted val="0"/>
    <c:plotArea>
      <c:layout/>
      <c:lineChart>
        <c:grouping val="standard"/>
        <c:ser>
          <c:idx val="0"/>
          <c:order val="0"/>
          <c:tx>
            <c:v>Target topography preview height (m)</c:v>
          </c:tx>
          <c:cat>
            <c:strRef>
              <c:f>'Chart_Data'!$E$2:$E$242</c:f>
              <c:strCache>
                <c:ptCount val="0"/>
              </c:strCache>
            </c:strRef>
          </c:cat>
          <c:val>
            <c:numRef>
              <c:f>'Chart_Data'!$F$2:$F$242</c:f>
              <c:numCache>
                <c:formatCode>0.000</c:formatCode>
                <c:ptCount val="0"/>
              </c:numCache>
            </c:numRef>
          </c:val>
          <c:smooth val="0"/>
          <c:spPr>
            <a:ln w="9000"/>
          </c:spPr>
        </c:ser>
        <c:ser>
          <c:idx val="1"/>
          <c:order val="1"/>
          <c:tx>
            <c:v>Nadir topography preview height (m)</c:v>
          </c:tx>
          <c:cat>
            <c:strRef>
              <c:f>'Chart_Data'!$E$2:$E$242</c:f>
              <c:strCache>
                <c:ptCount val="0"/>
              </c:strCache>
            </c:strRef>
          </c:cat>
          <c:val>
            <c:numRef>
              <c:f>'Chart_Data'!$G$2:$G$242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Surface height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3.xml><?xml version="1.0" encoding="utf-8"?>
<c:chartSpace xmlns:a="http://schemas.openxmlformats.org/drawingml/2006/main" xmlns:c="http://schemas.openxmlformats.org/drawingml/2006/chart">
  <c:lang val="en-US"/>
  <c:roundedCorners val="0"/>
  <c:chart>
    <c:title>
      <c:tx>
        <c:rich>
          <a:bodyPr/>
          <a:lstStyle/>
          <a:p>
            <a:r>
              <a:rPr/>
              <a:t>Original Surface Signal vs Radar-Apparent Shift</a:t>
            </a:r>
          </a:p>
        </c:rich>
      </c:tx>
      <c:overlay val="0"/>
    </c:title>
    <c:autoTitleDeleted val="0"/>
    <c:plotArea>
      <c:layout/>
      <c:lineChart>
        <c:grouping val="standard"/>
        <c:ser>
          <c:idx val="0"/>
          <c:order val="0"/>
          <c:tx>
            <c:v>Original target-minus-nadir surface height (m)</c:v>
          </c:tx>
          <c:cat>
            <c:strRef>
              <c:f>'Chart_Data'!$I$2:$I$242</c:f>
              <c:strCache>
                <c:ptCount val="0"/>
              </c:strCache>
            </c:strRef>
          </c:cat>
          <c:val>
            <c:numRef>
              <c:f>'Chart_Data'!$J$2:$J$242</c:f>
              <c:numCache>
                <c:formatCode>0.000</c:formatCode>
                <c:ptCount val="0"/>
              </c:numCache>
            </c:numRef>
          </c:val>
          <c:smooth val="0"/>
          <c:spPr>
            <a:ln w="9000"/>
          </c:spPr>
        </c:ser>
        <c:ser>
          <c:idx val="1"/>
          <c:order val="1"/>
          <c:tx>
            <c:v>Radar apparent surface shift from topography (m; positive = shallower)</c:v>
          </c:tx>
          <c:cat>
            <c:strRef>
              <c:f>'Chart_Data'!$I$2:$I$242</c:f>
              <c:strCache>
                <c:ptCount val="0"/>
              </c:strCache>
            </c:strRef>
          </c:cat>
          <c:val>
            <c:numRef>
              <c:f>'Chart_Data'!$K$2:$K$242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Original surface height / apparent shift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4.xml><?xml version="1.0" encoding="utf-8"?>
<c:chartSpace xmlns:a="http://schemas.openxmlformats.org/drawingml/2006/main" xmlns:c="http://schemas.openxmlformats.org/drawingml/2006/chart">
  <c:lang val="en-US"/>
  <c:roundedCorners val="0"/>
  <c:chart>
    <c:title>
      <c:tx>
        <c:rich>
          <a:bodyPr/>
          <a:lstStyle/>
          <a:p>
            <a:r>
              <a:rPr/>
              <a:t>Flat vs Topography-Preview Doppler</a:t>
            </a:r>
          </a:p>
        </c:rich>
      </c:tx>
      <c:overlay val="0"/>
    </c:title>
    <c:autoTitleDeleted val="0"/>
    <c:plotArea>
      <c:layout/>
      <c:lineChart>
        <c:grouping val="standard"/>
        <c:ser>
          <c:idx val="0"/>
          <c:order val="0"/>
          <c:tx>
            <c:v>Flat VHF Doppler (Hz)</c:v>
          </c:tx>
          <c:cat>
            <c:strRef>
              <c:f>'Chart_Data'!$M$2:$M$242</c:f>
              <c:strCache>
                <c:ptCount val="0"/>
              </c:strCache>
            </c:strRef>
          </c:cat>
          <c:val>
            <c:numRef>
              <c:f>'Chart_Data'!$N$2:$N$242</c:f>
              <c:numCache>
                <c:formatCode>0.000</c:formatCode>
                <c:ptCount val="0"/>
              </c:numCache>
            </c:numRef>
          </c:val>
          <c:smooth val="0"/>
          <c:spPr>
            <a:ln w="9000"/>
          </c:spPr>
        </c:ser>
        <c:ser>
          <c:idx val="1"/>
          <c:order val="1"/>
          <c:tx>
            <c:v>Topography-preview VHF Doppler (Hz)</c:v>
          </c:tx>
          <c:cat>
            <c:strRef>
              <c:f>'Chart_Data'!$M$2:$M$242</c:f>
              <c:strCache>
                <c:ptCount val="0"/>
              </c:strCache>
            </c:strRef>
          </c:cat>
          <c:val>
            <c:numRef>
              <c:f>'Chart_Data'!$O$2:$O$242</c:f>
              <c:numCache>
                <c:formatCode>0.000</c:formatCode>
                <c:ptCount val="0"/>
              </c:numCache>
            </c:numRef>
          </c:val>
          <c:smooth val="0"/>
          <c:spPr>
            <a:ln w="9000"/>
          </c:spPr>
        </c:ser>
        <c:ser>
          <c:idx val="2"/>
          <c:order val="2"/>
          <c:tx>
            <c:v>Flat HF Doppler (Hz)</c:v>
          </c:tx>
          <c:cat>
            <c:strRef>
              <c:f>'Chart_Data'!$M$2:$M$242</c:f>
              <c:strCache>
                <c:ptCount val="0"/>
              </c:strCache>
            </c:strRef>
          </c:cat>
          <c:val>
            <c:numRef>
              <c:f>'Chart_Data'!$P$2:$P$242</c:f>
              <c:numCache>
                <c:formatCode>0.000</c:formatCode>
                <c:ptCount val="0"/>
              </c:numCache>
            </c:numRef>
          </c:val>
          <c:smooth val="0"/>
          <c:spPr>
            <a:ln w="9000"/>
          </c:spPr>
        </c:ser>
        <c:ser>
          <c:idx val="3"/>
          <c:order val="3"/>
          <c:tx>
            <c:v>Topography-preview HF Doppler (Hz)</c:v>
          </c:tx>
          <c:cat>
            <c:strRef>
              <c:f>'Chart_Data'!$M$2:$M$242</c:f>
              <c:strCache>
                <c:ptCount val="0"/>
              </c:strCache>
            </c:strRef>
          </c:cat>
          <c:val>
            <c:numRef>
              <c:f>'Chart_Data'!$Q$2:$Q$242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Doppler shift (Hz)</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5.xml><?xml version="1.0" encoding="utf-8"?>
<c:chartSpace xmlns:a="http://schemas.openxmlformats.org/drawingml/2006/main" xmlns:c="http://schemas.openxmlformats.org/drawingml/2006/chart">
  <c:lang val="en-US"/>
  <c:roundedCorners val="0"/>
  <c:chart>
    <c:title>
      <c:tx>
        <c:rich>
          <a:bodyPr/>
          <a:lstStyle/>
          <a:p>
            <a:r>
              <a:rPr/>
              <a:t>Checked Paper Pass Altitude Profiles</a:t>
            </a:r>
          </a:p>
        </c:rich>
      </c:tx>
      <c:overlay val="0"/>
    </c:title>
    <c:autoTitleDeleted val="0"/>
    <c:plotArea>
      <c:layout/>
      <c:lineChart>
        <c:grouping val="standard"/>
        <c:ser>
          <c:idx val="0"/>
          <c:order val="0"/>
          <c:tx>
            <c:v>Current custom inputs altitude (km)</c:v>
          </c:tx>
          <c:cat>
            <c:strRef>
              <c:f>'Scenario_Data'!$A$2:$A$242</c:f>
              <c:strCache>
                <c:ptCount val="0"/>
              </c:strCache>
            </c:strRef>
          </c:cat>
          <c:val>
            <c:numRef>
              <c:f>'Scenario_Data'!$B$2:$B$242</c:f>
              <c:numCache>
                <c:formatCode>0.000</c:formatCode>
                <c:ptCount val="0"/>
              </c:numCache>
            </c:numRef>
          </c:val>
          <c:smooth val="0"/>
          <c:spPr>
            <a:ln w="9000"/>
          </c:spPr>
        </c:ser>
        <c:ser>
          <c:idx val="1"/>
          <c:order val="1"/>
          <c:tx>
            <c:v>Paper low-altitude 800-km pass altitude (km)</c:v>
          </c:tx>
          <c:cat>
            <c:strRef>
              <c:f>'Scenario_Data'!$A$2:$A$242</c:f>
              <c:strCache>
                <c:ptCount val="0"/>
              </c:strCache>
            </c:strRef>
          </c:cat>
          <c:val>
            <c:numRef>
              <c:f>'Scenario_Data'!$C$2:$C$242</c:f>
              <c:numCache>
                <c:formatCode>0.000</c:formatCode>
                <c:ptCount val="0"/>
              </c:numCache>
            </c:numRef>
          </c:val>
          <c:smooth val="0"/>
          <c:spPr>
            <a:ln w="9000"/>
          </c:spPr>
        </c:ser>
        <c:ser>
          <c:idx val="2"/>
          <c:order val="2"/>
          <c:tx>
            <c:v>Paper ice-ocean 1600-km pass altitude (km)</c:v>
          </c:tx>
          <c:cat>
            <c:strRef>
              <c:f>'Scenario_Data'!$A$2:$A$242</c:f>
              <c:strCache>
                <c:ptCount val="0"/>
              </c:strCache>
            </c:strRef>
          </c:cat>
          <c:val>
            <c:numRef>
              <c:f>'Scenario_Data'!$D$2:$D$242</c:f>
              <c:numCache>
                <c:formatCode>0.000</c:formatCode>
                <c:ptCount val="0"/>
              </c:numCache>
            </c:numRef>
          </c:val>
          <c:smooth val="0"/>
          <c:spPr>
            <a:ln w="9000"/>
          </c:spPr>
        </c:ser>
        <c:ser>
          <c:idx val="3"/>
          <c:order val="3"/>
          <c:tx>
            <c:v>Paper operating 25-to-1000-km pass altitude (km)</c:v>
          </c:tx>
          <c:cat>
            <c:strRef>
              <c:f>'Scenario_Data'!$A$2:$A$242</c:f>
              <c:strCache>
                <c:ptCount val="0"/>
              </c:strCache>
            </c:strRef>
          </c:cat>
          <c:val>
            <c:numRef>
              <c:f>'Scenario_Data'!$E$2:$E$242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Altitude (km)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6.xml><?xml version="1.0" encoding="utf-8"?>
<c:chartSpace xmlns:a="http://schemas.openxmlformats.org/drawingml/2006/main" xmlns:c="http://schemas.openxmlformats.org/drawingml/2006/chart">
  <c:lang val="en-US"/>
  <c:roundedCorners val="0"/>
  <c:chart>
    <c:title>
      <c:tx>
        <c:rich>
          <a:bodyPr/>
          <a:lstStyle/>
          <a:p>
            <a:r>
              <a:rPr/>
              <a:t>Path-Motion Effect on Topography Shift</a:t>
            </a:r>
          </a:p>
        </c:rich>
      </c:tx>
      <c:overlay val="0"/>
    </c:title>
    <c:autoTitleDeleted val="0"/>
    <c:plotArea>
      <c:layout/>
      <c:lineChart>
        <c:grouping val="standard"/>
        <c:ser>
          <c:idx val="0"/>
          <c:order val="0"/>
          <c:tx>
            <c:v>Extra apparent shift caused by parabolic path (m)</c:v>
          </c:tx>
          <c:cat>
            <c:strRef>
              <c:f>'Chart_Data'!$V$2:$V$242</c:f>
              <c:strCache>
                <c:ptCount val="0"/>
              </c:strCache>
            </c:strRef>
          </c:cat>
          <c:val>
            <c:numRef>
              <c:f>'Chart_Data'!$W$2:$W$242</c:f>
              <c:numCache>
                <c:formatCode>0.000</c:formatCode>
                <c:ptCount val="0"/>
              </c:numCache>
            </c:numRef>
          </c:val>
          <c:smooth val="0"/>
          <c:spPr>
            <a:ln w="9000"/>
          </c:spPr>
        </c:ser>
        <c:ser>
          <c:idx val="1"/>
          <c:order val="1"/>
          <c:tx>
            <c:v>Zero reference (no path-motion effect)</c:v>
          </c:tx>
          <c:cat>
            <c:strRef>
              <c:f>'Chart_Data'!$V$2:$V$242</c:f>
              <c:strCache>
                <c:ptCount val="0"/>
              </c:strCache>
            </c:strRef>
          </c:cat>
          <c:val>
            <c:numRef>
              <c:f>'Chart_Data'!$X$2:$X$242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Along-track position x (km)</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Extra apparent shift from path motion (m)</a:t>
                </a:r>
              </a:p>
            </c:rich>
          </c:tx>
          <c:layout/>
          <c:overlay val="0"/>
        </c:title>
        <c:numFmt formatCode="0.00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charts/chart7.xml><?xml version="1.0" encoding="utf-8"?>
<c:chartSpace xmlns:a="http://schemas.openxmlformats.org/drawingml/2006/main" xmlns:c="http://schemas.openxmlformats.org/drawingml/2006/chart">
  <c:lang val="en-US"/>
  <c:roundedCorners val="0"/>
  <c:chart>
    <c:title>
      <c:tx>
        <c:rich>
          <a:bodyPr/>
          <a:lstStyle/>
          <a:p>
            <a:r>
              <a:rPr/>
              <a:t>Checked Paper Pass Apparent-Depth Outcomes</a:t>
            </a:r>
          </a:p>
        </c:rich>
      </c:tx>
      <c:overlay val="0"/>
    </c:title>
    <c:autoTitleDeleted val="0"/>
    <c:plotArea>
      <c:layout/>
      <c:lineChart>
        <c:grouping val="standard"/>
        <c:ser>
          <c:idx val="0"/>
          <c:order val="0"/>
          <c:tx>
            <c:v>Current custom inputs apparent depth (m)</c:v>
          </c:tx>
          <c:cat>
            <c:strRef>
              <c:f>'Scenario_Data'!$G$2:$G$242</c:f>
              <c:strCache>
                <c:ptCount val="0"/>
              </c:strCache>
            </c:strRef>
          </c:cat>
          <c:val>
            <c:numRef>
              <c:f>'Scenario_Data'!$H$2:$H$242</c:f>
              <c:numCache>
                <c:formatCode>0.000</c:formatCode>
                <c:ptCount val="0"/>
              </c:numCache>
            </c:numRef>
          </c:val>
          <c:smooth val="0"/>
          <c:spPr>
            <a:ln w="9000"/>
          </c:spPr>
        </c:ser>
        <c:ser>
          <c:idx val="1"/>
          <c:order val="1"/>
          <c:tx>
            <c:v>Paper low-altitude 800-km pass apparent depth (m)</c:v>
          </c:tx>
          <c:cat>
            <c:strRef>
              <c:f>'Scenario_Data'!$G$2:$G$242</c:f>
              <c:strCache>
                <c:ptCount val="0"/>
              </c:strCache>
            </c:strRef>
          </c:cat>
          <c:val>
            <c:numRef>
              <c:f>'Scenario_Data'!$I$2:$I$242</c:f>
              <c:numCache>
                <c:formatCode>0.000</c:formatCode>
                <c:ptCount val="0"/>
              </c:numCache>
            </c:numRef>
          </c:val>
          <c:smooth val="0"/>
          <c:spPr>
            <a:ln w="9000"/>
          </c:spPr>
        </c:ser>
        <c:ser>
          <c:idx val="2"/>
          <c:order val="2"/>
          <c:tx>
            <c:v>Paper ice-ocean 1600-km pass apparent depth (m)</c:v>
          </c:tx>
          <c:cat>
            <c:strRef>
              <c:f>'Scenario_Data'!$G$2:$G$242</c:f>
              <c:strCache>
                <c:ptCount val="0"/>
              </c:strCache>
            </c:strRef>
          </c:cat>
          <c:val>
            <c:numRef>
              <c:f>'Scenario_Data'!$J$2:$J$242</c:f>
              <c:numCache>
                <c:formatCode>0.000</c:formatCode>
                <c:ptCount val="0"/>
              </c:numCache>
            </c:numRef>
          </c:val>
          <c:smooth val="0"/>
          <c:spPr>
            <a:ln w="9000"/>
          </c:spPr>
        </c:ser>
        <c:ser>
          <c:idx val="3"/>
          <c:order val="3"/>
          <c:tx>
            <c:v>Paper operating 25-to-1000-km pass apparent depth (m)</c:v>
          </c:tx>
          <c:cat>
            <c:strRef>
              <c:f>'Scenario_Data'!$G$2:$G$242</c:f>
              <c:strCache>
                <c:ptCount val="0"/>
              </c:strCache>
            </c:strRef>
          </c:cat>
          <c:val>
            <c:numRef>
              <c:f>'Scenario_Data'!$K$2:$K$242</c:f>
              <c:numCache>
                <c:formatCode>0.000</c:formatCode>
                <c:ptCount val="0"/>
              </c:numCache>
            </c:numRef>
          </c:val>
          <c:smooth val="0"/>
          <c:spPr>
            <a:ln w="9000"/>
          </c:spPr>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sz="900"/>
                  <a:t>Normalized pass position (-1 to +1)</a:t>
                </a:r>
              </a:p>
            </c:rich>
          </c:tx>
          <c:layout/>
          <c:overlay val="0"/>
        </c:title>
        <c:numFmt formatCode="General"/>
        <c:majorTickMark val="none"/>
        <c:minorTickMark val="none"/>
        <c:tickLblPos val="nextTo"/>
        <c:tickLblSkip val="24"/>
        <c:crossAx val="48672768"/>
        <c:crosses val="autoZero"/>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rot="-5400000"/>
              <a:lstStyle/>
              <a:p>
                <a:r>
                  <a:rPr lang="en-US" sz="900"/>
                  <a:t>Apparent depth (m)</a:t>
                </a:r>
              </a:p>
            </c:rich>
          </c:tx>
          <c:layout/>
          <c:overlay val="0"/>
        </c:title>
        <c:numFmt formatCode="0"/>
        <c:majorTickMark val="none"/>
        <c:minorTickMark val="none"/>
        <c:crossAx val="48650112"/>
        <c:crosses val="autoZero"/>
        <c:crossBetween val="between"/>
      </c:valAx>
    </c:plotArea>
    <c:legend>
      <c:legendPos val="b"/>
      <c:overlay val="0"/>
    </c:legend>
    <c:plotVisOnly val="1"/>
  </c:chart>
  <c:spPr>
    <a:l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bd0cd2e25404944"/>
        </a:graphicData>
      </a:graphic>
    </xdr:graphicFrame>
    <xdr:clientData/>
  </xdr:twoCellAnchor>
  <xdr:twoCellAnchor>
    <xdr:from>
      <xdr:col>9</xdr:col>
      <xdr:colOff>0</xdr:colOff>
      <xdr:row>19</xdr:row>
      <xdr:rowOff>0</xdr:rowOff>
    </xdr:from>
    <xdr:to>
      <xdr:col>18</xdr:col>
      <xdr:colOff>0</xdr:colOff>
      <xdr:row>36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c5a5ab8e5ca4ce7"/>
        </a:graphicData>
      </a:graphic>
    </xdr:graphicFrame>
    <xdr:clientData/>
  </xdr:twoCellAnchor>
  <xdr:twoCellAnchor>
    <xdr:from>
      <xdr:col>0</xdr:col>
      <xdr:colOff>0</xdr:colOff>
      <xdr:row>27</xdr:row>
      <xdr:rowOff>0</xdr:rowOff>
    </xdr:from>
    <xdr:to>
      <xdr:col>8</xdr:col>
      <xdr:colOff>0</xdr:colOff>
      <xdr:row>45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12f96daad4e4fce"/>
        </a:graphicData>
      </a:graphic>
    </xdr:graphicFrame>
    <xdr:clientData/>
  </xdr:twoCellAnchor>
  <xdr:twoCellAnchor>
    <xdr:from>
      <xdr:col>9</xdr:col>
      <xdr:colOff>0</xdr:colOff>
      <xdr:row>37</xdr:row>
      <xdr:rowOff>0</xdr:rowOff>
    </xdr:from>
    <xdr:to>
      <xdr:col>18</xdr:col>
      <xdr:colOff>0</xdr:colOff>
      <xdr:row>55</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8af092004cc4bb8"/>
        </a:graphicData>
      </a:graphic>
    </xdr:graphicFrame>
    <xdr:clientData/>
  </xdr:twoCellAnchor>
  <xdr:twoCellAnchor>
    <xdr:from>
      <xdr:col>0</xdr:col>
      <xdr:colOff>0</xdr:colOff>
      <xdr:row>72</xdr:row>
      <xdr:rowOff>0</xdr:rowOff>
    </xdr:from>
    <xdr:to>
      <xdr:col>9</xdr:col>
      <xdr:colOff>0</xdr:colOff>
      <xdr:row>91</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e68edcde0104243"/>
        </a:graphicData>
      </a:graphic>
    </xdr:graphicFrame>
    <xdr:clientData/>
  </xdr:twoCellAnchor>
  <xdr:twoCellAnchor>
    <xdr:from>
      <xdr:col>9</xdr:col>
      <xdr:colOff>0</xdr:colOff>
      <xdr:row>56</xdr:row>
      <xdr:rowOff>0</xdr:rowOff>
    </xdr:from>
    <xdr:to>
      <xdr:col>18</xdr:col>
      <xdr:colOff>0</xdr:colOff>
      <xdr:row>72</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f8b23761e404ac1"/>
        </a:graphicData>
      </a:graphic>
    </xdr:graphicFrame>
    <xdr:clientData/>
  </xdr:twoCellAnchor>
  <xdr:twoCellAnchor>
    <xdr:from>
      <xdr:col>9</xdr:col>
      <xdr:colOff>0</xdr:colOff>
      <xdr:row>73</xdr:row>
      <xdr:rowOff>0</xdr:rowOff>
    </xdr:from>
    <xdr:to>
      <xdr:col>18</xdr:col>
      <xdr:colOff>0</xdr:colOff>
      <xdr:row>92</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dbeecd94324da0"/>
        </a:graphicData>
      </a:graphic>
    </xdr:graphicFrame>
    <xdr:clientData/>
  </xdr:twoCellAnchor>
</xdr:wsDr>
</file>

<file path=xl/tables/table1.xml><?xml version="1.0" encoding="utf-8"?>
<x:table xmlns:x="http://schemas.openxmlformats.org/spreadsheetml/2006/main" id="1" name="ModelDataTable" displayName="ModelDataTable" ref="A1:AS242" headerRowCount="1">
  <x:tableColumns count="45">
    <x:tableColumn id="1" name="x_km"/>
    <x:tableColumn id="2" name="z_km"/>
    <x:tableColumn id="3" name="R_nadir_km"/>
    <x:tableColumn id="4" name="R_off_km"/>
    <x:tableColumn id="5" name="Delta_R_m"/>
    <x:tableColumn id="6" name="apparent_depth_m"/>
    <x:tableColumn id="7" name="extra_delay_us"/>
    <x:tableColumn id="8" name="horizontal_offset_km"/>
    <x:tableColumn id="9" name="look_angle_deg"/>
    <x:tableColumn id="10" name="vhf_phase_deg"/>
    <x:tableColumn id="11" name="relative_power"/>
    <x:tableColumn id="12" name="power_dB"/>
    <x:tableColumn id="13" name="dz_dx"/>
    <x:tableColumn id="14" name="dz_dt_km_s"/>
    <x:tableColumn id="15" name="range_rate_m_s"/>
    <x:tableColumn id="16" name="vhf_doppler_hz"/>
    <x:tableColumn id="17" name="hf_doppler_hz"/>
    <x:tableColumn id="18" name="vhf_band_low_m"/>
    <x:tableColumn id="19" name="vhf_band_high_m"/>
    <x:tableColumn id="20" name="hf_band_low_m"/>
    <x:tableColumn id="21" name="hf_band_high_m"/>
    <x:tableColumn id="22" name="abs_vhf_doppler_hz"/>
    <x:tableColumn id="23" name="abs_hf_doppler_hz"/>
    <x:tableColumn id="24" name="h_nadir_m"/>
    <x:tableColumn id="25" name="h_target_m"/>
    <x:tableColumn id="26" name="R_nadir_topo_km"/>
    <x:tableColumn id="27" name="R_off_topo_km"/>
    <x:tableColumn id="28" name="Delta_R_topo_m"/>
    <x:tableColumn id="29" name="apparent_depth_topo_m"/>
    <x:tableColumn id="30" name="extra_delay_topo_us"/>
    <x:tableColumn id="31" name="look_angle_topo_deg"/>
    <x:tableColumn id="32" name="vhf_phase_topo_deg"/>
    <x:tableColumn id="33" name="relative_power_topo"/>
    <x:tableColumn id="34" name="power_dB_topo"/>
    <x:tableColumn id="35" name="depth_change_topo_minus_flat_m"/>
    <x:tableColumn id="36" name="delay_change_topo_minus_flat_us"/>
    <x:tableColumn id="37" name="target_minus_nadir_height_m"/>
    <x:tableColumn id="38" name="range_rate_topo_m_s"/>
    <x:tableColumn id="39" name="vhf_doppler_topo_hz"/>
    <x:tableColumn id="40" name="hf_doppler_topo_hz"/>
    <x:tableColumn id="41" name="abs_vhf_doppler_topo_hz"/>
    <x:tableColumn id="42" name="abs_hf_doppler_topo_hz"/>
    <x:tableColumn id="43" name="topo_depth_uncertainty_m"/>
    <x:tableColumn id="44" name="topo_depth_low_m"/>
    <x:tableColumn id="45" name="topo_depth_high_m"/>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42ee3aa3e0245ea" /></Relationships>
</file>

<file path=xl/worksheets/_rels/sheet3.xml.rels>&#65279;<?xml version="1.0" encoding="utf-8"?><Relationships xmlns="http://schemas.openxmlformats.org/package/2006/relationships"><Relationship Type="http://schemas.openxmlformats.org/officeDocument/2006/relationships/table" Target="/xl/tables/table1.xml" Id="Rfa18c71d87974a16"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3" hidden="0" customWidth="1"/>
    <x:col min="3" max="3" width="9" hidden="0" customWidth="1"/>
    <x:col min="4" max="4" width="34" hidden="0" customWidth="1"/>
    <x:col min="5" max="5" width="14" hidden="0" customWidth="1"/>
    <x:col min="6" max="6" width="18" hidden="0" customWidth="1"/>
    <x:col min="7" max="7" width="14" hidden="0" customWidth="1"/>
    <x:col min="8" max="8" width="14" hidden="0" customWidth="1"/>
    <x:col min="9" max="9" width="2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s>
  <x:sheetData>
    <x:row r="1">
      <x:c r="A1" s="4" t="str">
        <x:v>Parabolic Motion Radar + Topography Parameter Model</x:v>
      </x:c>
      <x:c r="B1" s="4"/>
      <x:c r="C1" s="4"/>
      <x:c r="D1" s="4"/>
      <x:c r="E1" s="4"/>
      <x:c r="F1" s="4"/>
      <x:c r="G1" s="4"/>
      <x:c r="H1" s="4"/>
    </x:row>
    <x:row r="2">
      <x:c r="A2" s="51" t="str">
        <x:v>Use Inputs!C27 to apply/remove topography from the main outputs. The chart previews keep the same modeled surface visible so turning topography off does not erase the comparison. Inputs!C47 changes the terrain seed.</x:v>
      </x:c>
      <x:c r="B2" s="51"/>
      <x:c r="C2" s="51"/>
      <x:c r="D2" s="51"/>
      <x:c r="E2" s="51"/>
      <x:c r="F2" s="51"/>
      <x:c r="G2" s="51"/>
      <x:c r="H2" s="51"/>
    </x:row>
    <x:row r="4">
      <x:c r="A4" s="36" t="str">
        <x:v>Key Output Results</x:v>
      </x:c>
      <x:c r="B4" s="37"/>
      <x:c r="C4" s="37"/>
      <x:c r="D4" s="38"/>
    </x:row>
    <x:row r="5">
      <x:c r="A5" s="14" t="str">
        <x:v>Output</x:v>
      </x:c>
      <x:c r="B5" s="14" t="str">
        <x:v>Value</x:v>
      </x:c>
      <x:c r="C5" s="14" t="str">
        <x:v>Unit</x:v>
      </x:c>
      <x:c r="D5" s="14" t="str">
        <x:v>What it means</x:v>
      </x:c>
    </x:row>
    <x:row r="6">
      <x:c r="A6" s="11" t="str">
        <x:v>Topography toggle</x:v>
      </x:c>
      <x:c r="B6" s="53" t="str">
        <x:f>IF(OR(Inputs!$C$27=TRUE,Inputs!$C$27="TRUE",Inputs!$C$27=1),"Topography ON","Topography OFF")</x:f>
        <x:v>Topography ON</x:v>
      </x:c>
      <x:c r="C6" s="11" t="str"/>
      <x:c r="D6" s="11" t="str">
        <x:v>Set Inputs!C27 to TRUE to include terrain, or FALSE to return to a flat surface. Change Inputs!C47 to test a new terrain case.</x:v>
      </x:c>
    </x:row>
    <x:row r="7">
      <x:c r="A7" s="11" t="str">
        <x:v>Flat apparent depth at mid-pass</x:v>
      </x:c>
      <x:c r="B7" s="54" t="n">
        <x:f>Model_Data!F122</x:f>
        <x:v>438.4767118173631</x:v>
      </x:c>
      <x:c r="C7" s="11" t="str">
        <x:v>m</x:v>
      </x:c>
      <x:c r="D7" s="11" t="str">
        <x:v>Original flat-surface result.</x:v>
      </x:c>
    </x:row>
    <x:row r="8">
      <x:c r="A8" s="11" t="str">
        <x:v>Topo apparent depth at mid-pass</x:v>
      </x:c>
      <x:c r="B8" s="54" t="n">
        <x:f>Model_Data!AC122</x:f>
        <x:v>166.3085099767989</x:v>
      </x:c>
      <x:c r="C8" s="11" t="str">
        <x:v>m</x:v>
      </x:c>
      <x:c r="D8" s="11" t="str">
        <x:v>Apparent depth after terrain height changes the range geometry.</x:v>
      </x:c>
    </x:row>
    <x:row r="9">
      <x:c r="A9" s="11" t="str">
        <x:v>Depth change from topography</x:v>
      </x:c>
      <x:c r="B9" s="54" t="n">
        <x:f>Model_Data!AI122</x:f>
        <x:v>-272.16820184056417</x:v>
      </x:c>
      <x:c r="C9" s="11" t="str">
        <x:v>m</x:v>
      </x:c>
      <x:c r="D9" s="11" t="str">
        <x:v>Topo apparent depth minus flat apparent depth.</x:v>
      </x:c>
    </x:row>
    <x:row r="10">
      <x:c r="A10" s="11" t="str">
        <x:v>Topo extra two-way delay</x:v>
      </x:c>
      <x:c r="B10" s="54" t="n">
        <x:f>Model_Data!AD122</x:f>
        <x:v>1.97489389648823</x:v>
      </x:c>
      <x:c r="C10" s="11" t="str">
        <x:v>us</x:v>
      </x:c>
      <x:c r="D10" s="11" t="str">
        <x:v>Two-way delay after topography is included.</x:v>
      </x:c>
    </x:row>
    <x:row r="11">
      <x:c r="A11" s="11" t="str">
        <x:v>Topo VHF interferometric phase</x:v>
      </x:c>
      <x:c r="B11" s="54" t="n">
        <x:f>Model_Data!AF122</x:f>
        <x:v>22.4830827575369</x:v>
      </x:c>
      <x:c r="C11" s="11" t="str">
        <x:v>deg</x:v>
      </x:c>
      <x:c r="D11" s="11" t="str">
        <x:v>VHF phase after topography changes the look geometry.</x:v>
      </x:c>
    </x:row>
    <x:row r="12">
      <x:c r="A12" s="11" t="str">
        <x:v>Max target terrain height</x:v>
      </x:c>
      <x:c r="B12" s="54" t="n">
        <x:f>MAX(Model_Data!Y2:Y242)</x:f>
        <x:v>568.6436382247327</x:v>
      </x:c>
      <x:c r="C12" s="11" t="str">
        <x:v>m</x:v>
      </x:c>
      <x:c r="D12" s="11" t="str">
        <x:v>Highest modeled terrain at the side-offset target path.</x:v>
      </x:c>
    </x:row>
    <x:row r="13">
      <x:c r="A13" s="11" t="str">
        <x:v>Min target terrain height</x:v>
      </x:c>
      <x:c r="B13" s="54" t="n">
        <x:f>MIN(Model_Data!Y2:Y242)</x:f>
        <x:v>107.75271022723112</x:v>
      </x:c>
      <x:c r="C13" s="11" t="str">
        <x:v>m</x:v>
      </x:c>
      <x:c r="D13" s="11" t="str">
        <x:v>Lowest modeled terrain at the side-offset target path.</x:v>
      </x:c>
    </x:row>
    <x:row r="14">
      <x:c r="A14" s="11" t="str">
        <x:v>Max absolute topo depth change</x:v>
      </x:c>
      <x:c r="B14" s="54" t="n">
        <x:f>MAX(MAX(Model_Data!AI2:AI242),-MIN(Model_Data!AI2:AI242))</x:f>
        <x:v>303.3641307832552</x:v>
      </x:c>
      <x:c r="C14" s="11" t="str">
        <x:v>m</x:v>
      </x:c>
      <x:c r="D14" s="11" t="str">
        <x:v>Largest magnitude of topography-driven apparent-depth change.</x:v>
      </x:c>
    </x:row>
    <x:row r="15">
      <x:c r="A15" s="11" t="str">
        <x:v>Max topo VHF Doppler magnitude</x:v>
      </x:c>
      <x:c r="B15" s="54" t="n">
        <x:f>MAX(Model_Data!AO2:AO242)</x:f>
        <x:v>475.5398752355177</x:v>
      </x:c>
      <x:c r="C15" s="11" t="str">
        <x:v>Hz</x:v>
      </x:c>
      <x:c r="D15" s="11" t="str">
        <x:v>Largest VHF Doppler after topography is included.</x:v>
      </x:c>
    </x:row>
    <x:row r="16">
      <x:c r="A16" s="11" t="str">
        <x:v>Simple minimum PRF with topo</x:v>
      </x:c>
      <x:c r="B16" s="54" t="n">
        <x:f>2*B15</x:f>
        <x:v>951.0797504710354</x:v>
      </x:c>
      <x:c r="C16" s="11" t="str">
        <x:v>Hz</x:v>
      </x:c>
      <x:c r="D16" s="11" t="str">
        <x:v>Twice max topo VHF Doppler, a simple no-alias floor.</x:v>
      </x:c>
    </x:row>
    <x:row r="17">
      <x:c r="A17" s="11" t="str">
        <x:v>Topo depth uncertainty band</x:v>
      </x:c>
      <x:c r="B17" s="54" t="n">
        <x:f>Model_Data!AQ122</x:f>
        <x:v>42.13483146067416</x:v>
      </x:c>
      <x:c r="C17" s="11" t="str">
        <x:v>m</x:v>
      </x:c>
      <x:c r="D17" s="11" t="str">
        <x:v>Representative vertical uncertainty converted to apparent-depth uncertainty.</x:v>
      </x:c>
    </x:row>
    <x:row r="19">
      <x:c r="A19" s="36" t="str">
        <x:v>PRF Choices</x:v>
      </x:c>
      <x:c r="B19" s="37"/>
      <x:c r="C19" s="37"/>
      <x:c r="D19" s="37"/>
      <x:c r="E19" s="37"/>
      <x:c r="F19" s="38"/>
    </x:row>
    <x:row r="20">
      <x:c r="A20" s="14" t="str">
        <x:v>PRF (Hz)</x:v>
      </x:c>
      <x:c r="B20" s="14" t="str">
        <x:v>Pulse interval (ms)</x:v>
      </x:c>
      <x:c r="C20" s="14" t="str">
        <x:v>Along-track spacing (m)</x:v>
      </x:c>
      <x:c r="D20" s="14" t="str">
        <x:v>Unambiguous range (km)</x:v>
      </x:c>
      <x:c r="E20" s="14" t="str">
        <x:v>Pulses in air at z0</x:v>
      </x:c>
      <x:c r="F20" s="14" t="str">
        <x:v>Status</x:v>
      </x:c>
    </x:row>
    <x:row r="21">
      <x:c r="A21" s="48" t="n">
        <x:f>PRF_Results!A4</x:f>
        <x:v>50</x:v>
      </x:c>
      <x:c r="B21" s="48" t="n">
        <x:f>PRF_Results!B4</x:f>
        <x:v>20</x:v>
      </x:c>
      <x:c r="C21" s="48" t="n">
        <x:f>PRF_Results!C4</x:f>
        <x:v>80</x:v>
      </x:c>
      <x:c r="D21" s="48" t="n">
        <x:f>PRF_Results!D4</x:f>
        <x:v>2997.92458</x:v>
      </x:c>
      <x:c r="E21" s="48" t="n">
        <x:f>PRF_Results!E4</x:f>
        <x:v>0.13342563807926083</x:v>
      </x:c>
      <x:c r="F21" s="11" t="str">
        <x:f>PRF_Results!F4</x:f>
        <x:v>Below simple Doppler floor</x:v>
      </x:c>
    </x:row>
    <x:row r="22">
      <x:c r="A22" s="48" t="n">
        <x:f>PRF_Results!A5</x:f>
        <x:v>500</x:v>
      </x:c>
      <x:c r="B22" s="48" t="n">
        <x:f>PRF_Results!B5</x:f>
        <x:v>2</x:v>
      </x:c>
      <x:c r="C22" s="48" t="n">
        <x:f>PRF_Results!C5</x:f>
        <x:v>8</x:v>
      </x:c>
      <x:c r="D22" s="48" t="n">
        <x:f>PRF_Results!D5</x:f>
        <x:v>299.792458</x:v>
      </x:c>
      <x:c r="E22" s="48" t="n">
        <x:f>PRF_Results!E5</x:f>
        <x:v>1.3342563807926082</x:v>
      </x:c>
      <x:c r="F22" s="11" t="str">
        <x:f>PRF_Results!F5</x:f>
        <x:v>Below simple Doppler floor</x:v>
      </x:c>
    </x:row>
    <x:row r="23">
      <x:c r="A23" s="48" t="n">
        <x:f>PRF_Results!A6</x:f>
        <x:v>3000</x:v>
      </x:c>
      <x:c r="B23" s="48" t="n">
        <x:f>PRF_Results!B6</x:f>
        <x:v>0.3333333333333333</x:v>
      </x:c>
      <x:c r="C23" s="48" t="n">
        <x:f>PRF_Results!C6</x:f>
        <x:v>1.3333333333333333</x:v>
      </x:c>
      <x:c r="D23" s="48" t="n">
        <x:f>PRF_Results!D6</x:f>
        <x:v>49.965409666666666</x:v>
      </x:c>
      <x:c r="E23" s="48" t="n">
        <x:f>PRF_Results!E6</x:f>
        <x:v>8.00553828475565</x:v>
      </x:c>
      <x:c r="F23" s="11" t="str">
        <x:f>PRF_Results!F6</x:f>
        <x:v>OK for modeled topo VHF Doppler</x:v>
      </x:c>
    </x:row>
    <x:row r="25">
      <x:c r="A25" s="36" t="str">
        <x:v>How to read this model</x:v>
      </x:c>
      <x:c r="B25" s="37"/>
      <x:c r="C25" s="37"/>
      <x:c r="D25" s="37"/>
      <x:c r="E25" s="37"/>
      <x:c r="F25" s="37"/>
      <x:c r="G25" s="37"/>
      <x:c r="H25" s="38"/>
    </x:row>
    <x:row r="26">
      <x:c r="A26" s="25" t="str">
        <x:v>The chain is: parabolic motion changes z(x); topography adds h(x,y); the radar then turns that real surface pattern into an apparent range/depth shift. Flat means flat surface, not straight spacecraft motion.</x:v>
      </x:c>
      <x:c r="B26" s="26"/>
      <x:c r="C26" s="26"/>
      <x:c r="D26" s="26"/>
      <x:c r="E26" s="26"/>
      <x:c r="F26" s="26"/>
      <x:c r="G26" s="26"/>
      <x:c r="H26" s="27"/>
    </x:row>
    <x:row r="57">
      <x:c r="A57" s="36" t="str">
        <x:v>Paper Pass Scenario Comparison</x:v>
      </x:c>
      <x:c r="B57" s="37"/>
      <x:c r="C57" s="37"/>
      <x:c r="D57" s="37"/>
      <x:c r="E57" s="37"/>
      <x:c r="F57" s="37"/>
      <x:c r="G57" s="37"/>
      <x:c r="H57" s="37"/>
      <x:c r="I57" s="38"/>
    </x:row>
    <x:row r="58">
      <x:c r="A58" s="14" t="str">
        <x:v>Scenario</x:v>
      </x:c>
      <x:c r="B58" s="14" t="str">
        <x:v>Show</x:v>
      </x:c>
      <x:c r="C58" s="14" t="str">
        <x:v>z0 (km)</x:v>
      </x:c>
      <x:c r="D58" s="14" t="str">
        <x:v>Length (km)</x:v>
      </x:c>
      <x:c r="E58" s="14" t="str">
        <x:v>Edge alt (km)</x:v>
      </x:c>
      <x:c r="F58" s="14" t="str">
        <x:v>Mid depth (m)</x:v>
      </x:c>
      <x:c r="G58" s="14" t="str">
        <x:v>Max VHF (Hz)</x:v>
      </x:c>
      <x:c r="H58" s="14" t="str">
        <x:v>PRF floor (Hz)</x:v>
      </x:c>
      <x:c r="I58" s="14" t="str">
        <x:v>Basis</x:v>
      </x:c>
    </x:row>
    <x:row r="59">
      <x:c r="A59" s="11" t="str">
        <x:f>Inputs!G6</x:f>
        <x:v>Current custom inputs</x:v>
      </x:c>
      <x:c r="B59" s="55" t="str">
        <x:v>TRUE</x:v>
      </x:c>
      <x:c r="C59" s="48" t="n">
        <x:f>Inputs!H6</x:f>
        <x:v>400</x:v>
      </x:c>
      <x:c r="D59" s="48" t="n">
        <x:f>Inputs!J6-Inputs!I6</x:f>
        <x:v>120</x:v>
      </x:c>
      <x:c r="E59" s="48" t="n">
        <x:f>Inputs!M6</x:f>
        <x:v>404</x:v>
      </x:c>
      <x:c r="F59" s="48" t="n">
        <x:f>Scenario_Data!AF122</x:f>
        <x:v>438.4767118173631</x:v>
      </x:c>
      <x:c r="G59" s="48" t="n">
        <x:f>MAX(MAX(Scenario_Data!AL2:AL242),-MIN(Scenario_Data!AL2:AL242))</x:f>
        <x:v>445.23129749250427</x:v>
      </x:c>
      <x:c r="H59" s="48" t="n">
        <x:f>2*G59</x:f>
        <x:v>890.4625949850085</x:v>
      </x:c>
      <x:c r="I59" s="11" t="str">
        <x:v>Current editable</x:v>
      </x:c>
    </x:row>
    <x:row r="60">
      <x:c r="A60" s="11" t="str">
        <x:f>Inputs!G7</x:f>
        <x:v>Paper low-altitude 800-km pass</x:v>
      </x:c>
      <x:c r="B60" s="55" t="str">
        <x:v>TRUE</x:v>
      </x:c>
      <x:c r="C60" s="48" t="n">
        <x:f>Inputs!H7</x:f>
        <x:v>35</x:v>
      </x:c>
      <x:c r="D60" s="48" t="n">
        <x:f>Inputs!J7-Inputs!I7</x:f>
        <x:v>800</x:v>
      </x:c>
      <x:c r="E60" s="48" t="n">
        <x:f>Inputs!M7</x:f>
        <x:v>400</x:v>
      </x:c>
      <x:c r="F60" s="48" t="n">
        <x:f>Scenario_Data!AG122</x:f>
        <x:v>4500.913671468054</x:v>
      </x:c>
      <x:c r="G60" s="48" t="n">
        <x:f>MAX(MAX(Scenario_Data!AM2:AM242),-MIN(Scenario_Data!AM2:AM242))</x:f>
        <x:v>3193.0060020981323</x:v>
      </x:c>
      <x:c r="H60" s="48" t="n">
        <x:f>2*G60</x:f>
        <x:v>6386.012004196265</x:v>
      </x:c>
      <x:c r="I60" s="11" t="str">
        <x:v>800 km below 400</x:v>
      </x:c>
    </x:row>
    <x:row r="61">
      <x:c r="A61" s="11" t="str">
        <x:f>Inputs!G8</x:f>
        <x:v>Paper ice-ocean 1600-km pass</x:v>
      </x:c>
      <x:c r="B61" s="55" t="str">
        <x:v>TRUE</x:v>
      </x:c>
      <x:c r="C61" s="48" t="n">
        <x:f>Inputs!H8</x:f>
        <x:v>35</x:v>
      </x:c>
      <x:c r="D61" s="48" t="n">
        <x:f>Inputs!J8-Inputs!I8</x:f>
        <x:v>1600</x:v>
      </x:c>
      <x:c r="E61" s="48" t="n">
        <x:f>Inputs!M8</x:f>
        <x:v>1000</x:v>
      </x:c>
      <x:c r="F61" s="48" t="n">
        <x:f>Scenario_Data!AH122</x:f>
        <x:v>4500.913671468054</x:v>
      </x:c>
      <x:c r="G61" s="48" t="n">
        <x:f>MAX(MAX(Scenario_Data!AN2:AN242),-MIN(Scenario_Data!AN2:AN242))</x:f>
        <x:v>4012.901099964368</x:v>
      </x:c>
      <x:c r="H61" s="48" t="n">
        <x:f>2*G61</x:f>
        <x:v>8025.802199928736</x:v>
      </x:c>
      <x:c r="I61" s="11" t="str">
        <x:v>1600 km below 1000</x:v>
      </x:c>
    </x:row>
    <x:row r="62">
      <x:c r="A62" s="11" t="str">
        <x:f>Inputs!G9</x:f>
        <x:v>Paper operating 25-to-1000-km pass</x:v>
      </x:c>
      <x:c r="B62" s="55" t="str">
        <x:v>TRUE</x:v>
      </x:c>
      <x:c r="C62" s="48" t="n">
        <x:f>Inputs!H9</x:f>
        <x:v>25</x:v>
      </x:c>
      <x:c r="D62" s="48" t="n">
        <x:f>Inputs!J9-Inputs!I9</x:f>
        <x:v>1600</x:v>
      </x:c>
      <x:c r="E62" s="48" t="n">
        <x:f>Inputs!M9</x:f>
        <x:v>1000</x:v>
      </x:c>
      <x:c r="F62" s="48" t="n">
        <x:f>Scenario_Data!AI122</x:f>
        <x:v>5817.606213105269</x:v>
      </x:c>
      <x:c r="G62" s="48" t="n">
        <x:f>MAX(MAX(Scenario_Data!AO2:AO242),-MIN(Scenario_Data!AO2:AO242))</x:f>
        <x:v>4044.1299022987214</x:v>
      </x:c>
      <x:c r="H62" s="48" t="n">
        <x:f>2*G62</x:f>
        <x:v>8088.259804597443</x:v>
      </x:c>
      <x:c r="I62" s="11" t="str">
        <x:v>25-1000 km range</x:v>
      </x:c>
    </x:row>
    <x:row r="63">
      <x:c r="A63" s="25" t="str">
        <x:v>Scenario note</x:v>
      </x:c>
      <x:c r="B63" s="26" t="str">
        <x:v>Paper numbers are converted into this workbook's simplified parabola so the outcomes can be compared. The paper states altitude ranges and groundtrack requirements, not an exact parabolic spacecraft trajectory.</x:v>
      </x:c>
      <x:c r="C63" s="26" t="str"/>
      <x:c r="D63" s="26" t="str"/>
      <x:c r="E63" s="26" t="str"/>
      <x:c r="F63" s="26" t="str"/>
      <x:c r="G63" s="26" t="str"/>
      <x:c r="H63" s="26" t="str"/>
      <x:c r="I63" s="27" t="str"/>
    </x:row>
  </x:sheetData>
  <x:mergeCells>
    <x:mergeCell ref="A1:H1"/>
    <x:mergeCell ref="A2:H2"/>
    <x:mergeCell ref="A4:D4"/>
    <x:mergeCell ref="A19:F19"/>
    <x:mergeCell ref="A25:H25"/>
    <x:mergeCell ref="A26:H26"/>
    <x:mergeCell ref="A57:I57"/>
    <x:mergeCell ref="B63:I63"/>
  </x:mergeCells>
  <x:dataValidations count="1">
    <x:dataValidation type="list" sqref="B59:B62">
      <x:formula1>"TRUE,FALSE"</x:formula1>
    </x:dataValidation>
  </x:dataValidations>
  <x:pageMargins left="0.7" right="0.7" top="0.75" bottom="0.75" header="0.3" footer="0.3"/>
  <x:drawing xmlns:r="http://schemas.openxmlformats.org/officeDocument/2006/relationships" r:id="Rc42ee3aa3e0245ea"/>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2" hidden="0" customWidth="1"/>
    <x:col min="4" max="4" width="10" hidden="0" customWidth="1"/>
    <x:col min="5" max="5" width="58" hidden="0" customWidth="1"/>
    <x:col min="6" max="6" width="12" hidden="0" customWidth="1"/>
    <x:col min="7" max="7" width="30" hidden="0" customWidth="1"/>
    <x:col min="8" max="8" width="10" hidden="0" customWidth="1"/>
    <x:col min="9" max="9" width="10" hidden="0" customWidth="1"/>
    <x:col min="10" max="10" width="10" hidden="0" customWidth="1"/>
    <x:col min="11" max="11" width="11" hidden="0" customWidth="1"/>
    <x:col min="12" max="12" width="15" hidden="0" customWidth="1"/>
    <x:col min="13" max="13" width="14" hidden="0" customWidth="1"/>
    <x:col min="14" max="14" width="72" hidden="0" customWidth="1"/>
  </x:cols>
  <x:sheetData>
    <x:row r="1">
      <x:c r="A1" s="4" t="str">
        <x:v>Parabolic Motion Radar Model - Editable Inputs</x:v>
      </x:c>
      <x:c r="B1" s="4"/>
      <x:c r="C1" s="4"/>
      <x:c r="D1" s="4"/>
      <x:c r="E1" s="4"/>
      <x:c r="F1" s="4"/>
      <x:c r="G1" s="4"/>
      <x:c r="H1" s="4"/>
      <x:c r="I1" s="4"/>
      <x:c r="J1" s="4"/>
      <x:c r="K1" s="4"/>
      <x:c r="L1" s="4"/>
      <x:c r="M1" s="4"/>
      <x:c r="N1" s="4"/>
    </x:row>
    <x:row r="2">
      <x:c r="A2" s="7" t="str">
        <x:v>Change the yellow cells in column C for the custom model. Use the TRUE/FALSE scenario toggles at the right to overlay paper-derived pass cases on the Dashboard charts.</x:v>
      </x:c>
      <x:c r="B2" s="7"/>
      <x:c r="C2" s="7"/>
      <x:c r="D2" s="7"/>
      <x:c r="E2" s="7"/>
      <x:c r="F2" s="7"/>
      <x:c r="G2" s="7"/>
      <x:c r="H2" s="7"/>
      <x:c r="I2" s="7"/>
      <x:c r="J2" s="7"/>
      <x:c r="K2" s="7"/>
      <x:c r="L2" s="7"/>
      <x:c r="M2" s="7"/>
      <x:c r="N2" s="7"/>
    </x:row>
    <x:row r="4">
      <x:c r="A4" s="14" t="str">
        <x:v>Parameter</x:v>
      </x:c>
      <x:c r="B4" s="14" t="str">
        <x:v>Symbol</x:v>
      </x:c>
      <x:c r="C4" s="14" t="str">
        <x:v>Value</x:v>
      </x:c>
      <x:c r="D4" s="14" t="str">
        <x:v>Unit</x:v>
      </x:c>
      <x:c r="E4" s="14" t="str">
        <x:v>Notes</x:v>
      </x:c>
      <x:c r="F4" s="36" t="str">
        <x:v>Paper-Derived Pass Scenario Overlays</x:v>
      </x:c>
      <x:c r="G4" s="37"/>
      <x:c r="H4" s="37"/>
      <x:c r="I4" s="37"/>
      <x:c r="J4" s="37"/>
      <x:c r="K4" s="37"/>
      <x:c r="L4" s="37"/>
      <x:c r="M4" s="37"/>
      <x:c r="N4" s="38"/>
    </x:row>
    <x:row r="5">
      <x:c r="A5" s="11" t="str">
        <x:v>Closest altitude</x:v>
      </x:c>
      <x:c r="B5" s="11" t="str">
        <x:v>z0</x:v>
      </x:c>
      <x:c r="C5" s="18" t="n">
        <x:v>400</x:v>
      </x:c>
      <x:c r="D5" s="11" t="str">
        <x:v>km</x:v>
      </x:c>
      <x:c r="E5" s="11" t="str">
        <x:v>Altitude at closest approach. Change this to test other flyby heights.</x:v>
      </x:c>
      <x:c r="F5" s="14" t="str">
        <x:v>Show</x:v>
      </x:c>
      <x:c r="G5" s="14" t="str">
        <x:v>Scenario</x:v>
      </x:c>
      <x:c r="H5" s="14" t="str">
        <x:v>z0</x:v>
      </x:c>
      <x:c r="I5" s="14" t="str">
        <x:v>x_min</x:v>
      </x:c>
      <x:c r="J5" s="14" t="str">
        <x:v>x_max</x:v>
      </x:c>
      <x:c r="K5" s="14" t="str">
        <x:v>x_edge</x:v>
      </x:c>
      <x:c r="L5" s="14" t="str">
        <x:v>Delta_z_edge</x:v>
      </x:c>
      <x:c r="M5" s="14" t="str">
        <x:v>Edge altitude</x:v>
      </x:c>
      <x:c r="N5" s="14" t="str">
        <x:v>Paper basis / meaning</x:v>
      </x:c>
    </x:row>
    <x:row r="6">
      <x:c r="A6" s="11" t="str">
        <x:v>Side/cross-track offset</x:v>
      </x:c>
      <x:c r="B6" s="11" t="str">
        <x:v>y</x:v>
      </x:c>
      <x:c r="C6" s="18" t="n">
        <x:v>25</x:v>
      </x:c>
      <x:c r="D6" s="11" t="str">
        <x:v>km</x:v>
      </x:c>
      <x:c r="E6" s="11" t="str">
        <x:v>Horizontal offset of the modeled target from nadir.</x:v>
      </x:c>
      <x:c r="F6" s="42" t="str">
        <x:f>Dashboard!B59</x:f>
        <x:v>TRUE</x:v>
      </x:c>
      <x:c r="G6" s="11" t="str">
        <x:v>Current custom inputs</x:v>
      </x:c>
      <x:c r="H6" s="45" t="n">
        <x:f>C5</x:f>
        <x:v>400</x:v>
      </x:c>
      <x:c r="I6" s="45" t="n">
        <x:f>C7</x:f>
        <x:v>-60</x:v>
      </x:c>
      <x:c r="J6" s="45" t="n">
        <x:f>C8</x:f>
        <x:v>60</x:v>
      </x:c>
      <x:c r="K6" s="45" t="n">
        <x:f>C10</x:f>
        <x:v>60</x:v>
      </x:c>
      <x:c r="L6" s="45" t="n">
        <x:f>C9</x:f>
        <x:v>4</x:v>
      </x:c>
      <x:c r="M6" s="45" t="n">
        <x:f>C5+C9</x:f>
        <x:v>404</x:v>
      </x:c>
      <x:c r="N6" s="11" t="str">
        <x:v>Your editable custom case from the left table. It remains the main model used by the topography dashboard.</x:v>
      </x:c>
    </x:row>
    <x:row r="7">
      <x:c r="A7" s="11" t="str">
        <x:v>Along-track minimum</x:v>
      </x:c>
      <x:c r="B7" s="11" t="str">
        <x:v>x_min</x:v>
      </x:c>
      <x:c r="C7" s="18" t="n">
        <x:v>-60</x:v>
      </x:c>
      <x:c r="D7" s="11" t="str">
        <x:v>km</x:v>
      </x:c>
      <x:c r="E7" s="11" t="str">
        <x:v>Left/start side of the modeled pass.</x:v>
      </x:c>
      <x:c r="F7" s="42" t="str">
        <x:f>Dashboard!B60</x:f>
        <x:v>TRUE</x:v>
      </x:c>
      <x:c r="G7" s="11" t="str">
        <x:v>Paper low-altitude 800-km pass</x:v>
      </x:c>
      <x:c r="H7" s="45" t="n">
        <x:v>35</x:v>
      </x:c>
      <x:c r="I7" s="45" t="n">
        <x:v>-400</x:v>
      </x:c>
      <x:c r="J7" s="45" t="n">
        <x:v>400</x:v>
      </x:c>
      <x:c r="K7" s="45" t="n">
        <x:v>400</x:v>
      </x:c>
      <x:c r="L7" s="45" t="n">
        <x:v>365</x:v>
      </x:c>
      <x:c r="M7" s="45" t="n">
        <x:v>400</x:v>
      </x:c>
      <x:c r="N7" s="11" t="str">
        <x:v>Paper coverage requirement: groundtrack segments at least 800 km long below 400 km for most REASON datasets. This model makes that a parabola.</x:v>
      </x:c>
    </x:row>
    <x:row r="8">
      <x:c r="A8" s="11" t="str">
        <x:v>Along-track maximum</x:v>
      </x:c>
      <x:c r="B8" s="11" t="str">
        <x:v>x_max</x:v>
      </x:c>
      <x:c r="C8" s="18" t="n">
        <x:v>60</x:v>
      </x:c>
      <x:c r="D8" s="11" t="str">
        <x:v>km</x:v>
      </x:c>
      <x:c r="E8" s="11" t="str">
        <x:v>Right/end side of the modeled pass.</x:v>
      </x:c>
      <x:c r="F8" s="42" t="str">
        <x:f>Dashboard!B61</x:f>
        <x:v>TRUE</x:v>
      </x:c>
      <x:c r="G8" s="11" t="str">
        <x:v>Paper ice-ocean 1600-km pass</x:v>
      </x:c>
      <x:c r="H8" s="45" t="n">
        <x:v>35</x:v>
      </x:c>
      <x:c r="I8" s="45" t="n">
        <x:v>-800</x:v>
      </x:c>
      <x:c r="J8" s="45" t="n">
        <x:v>800</x:v>
      </x:c>
      <x:c r="K8" s="45" t="n">
        <x:v>800</x:v>
      </x:c>
      <x:c r="L8" s="45" t="n">
        <x:v>965</x:v>
      </x:c>
      <x:c r="M8" s="45" t="n">
        <x:v>1000</x:v>
      </x:c>
      <x:c r="N8" s="11" t="str">
        <x:v>Paper ice-ocean interface requirement: at least 1600 km below 1000 km. This model makes that a parabola.</x:v>
      </x:c>
    </x:row>
    <x:row r="9">
      <x:c r="A9" s="11" t="str">
        <x:v>Altitude rise at edge</x:v>
      </x:c>
      <x:c r="B9" s="11" t="str">
        <x:v>Delta_z_edge</x:v>
      </x:c>
      <x:c r="C9" s="18" t="n">
        <x:v>4</x:v>
      </x:c>
      <x:c r="D9" s="11" t="str">
        <x:v>km</x:v>
      </x:c>
      <x:c r="E9" s="11" t="str">
        <x:v>How much altitude rises at +/- x_edge.</x:v>
      </x:c>
      <x:c r="F9" s="42" t="str">
        <x:f>Dashboard!B62</x:f>
        <x:v>TRUE</x:v>
      </x:c>
      <x:c r="G9" s="11" t="str">
        <x:v>Paper operating 25-to-1000-km pass</x:v>
      </x:c>
      <x:c r="H9" s="45" t="n">
        <x:v>25</x:v>
      </x:c>
      <x:c r="I9" s="45" t="n">
        <x:v>-800</x:v>
      </x:c>
      <x:c r="J9" s="45" t="n">
        <x:v>800</x:v>
      </x:c>
      <x:c r="K9" s="45" t="n">
        <x:v>800</x:v>
      </x:c>
      <x:c r="L9" s="45" t="n">
        <x:v>975</x:v>
      </x:c>
      <x:c r="M9" s="45" t="n">
        <x:v>1000</x:v>
      </x:c>
      <x:c r="N9" s="11" t="str">
        <x:v>Paper instrument table lists operational altitudes of 25 km to 1000 km. This shows the lower-bound closest-approach case.</x:v>
      </x:c>
    </x:row>
    <x:row r="10">
      <x:c r="A10" s="11" t="str">
        <x:v>Parabola edge location</x:v>
      </x:c>
      <x:c r="B10" s="11" t="str">
        <x:v>x_edge</x:v>
      </x:c>
      <x:c r="C10" s="18" t="n">
        <x:v>60</x:v>
      </x:c>
      <x:c r="D10" s="11" t="str">
        <x:v>km</x:v>
      </x:c>
      <x:c r="E10" s="11" t="str">
        <x:v>Controls curvature together with Delta_z_edge.</x:v>
      </x:c>
    </x:row>
    <x:row r="11">
      <x:c r="A11" s="11" t="str">
        <x:v>Along-track speed</x:v>
      </x:c>
      <x:c r="B11" s="11" t="str">
        <x:v>v</x:v>
      </x:c>
      <x:c r="C11" s="18" t="n">
        <x:v>4</x:v>
      </x:c>
      <x:c r="D11" s="11" t="str">
        <x:v>km/s</x:v>
      </x:c>
      <x:c r="E11" s="11" t="str">
        <x:v>Used for range rate, Doppler, and pulse spacing.</x:v>
      </x:c>
      <x:c r="F11" s="25" t="str">
        <x:v>Scenario note</x:v>
      </x:c>
      <x:c r="G11" s="26" t="str">
        <x:v>The paper gives altitude ranges and required groundtrack lengths, not exact parabolic equations. These rows convert those paper values into the same simplified parabola equation so outcomes can be compared on one dashboard.</x:v>
      </x:c>
      <x:c r="H11" s="26" t="str"/>
      <x:c r="I11" s="26" t="str"/>
      <x:c r="J11" s="26" t="str"/>
      <x:c r="K11" s="26" t="str"/>
      <x:c r="L11" s="26" t="str"/>
      <x:c r="M11" s="26" t="str"/>
      <x:c r="N11" s="27" t="str"/>
    </x:row>
    <x:row r="12">
      <x:c r="A12" s="11" t="str">
        <x:v>Ice refractive index</x:v>
      </x:c>
      <x:c r="B12" s="11" t="str">
        <x:v>n</x:v>
      </x:c>
      <x:c r="C12" s="18" t="n">
        <x:v>1.78</x:v>
      </x:c>
      <x:c r="D12" s="11" t="str"/>
      <x:c r="E12" s="11" t="str">
        <x:v>Used to convert extra slant path into apparent depth.</x:v>
      </x:c>
    </x:row>
    <x:row r="13">
      <x:c r="A13" s="11" t="str">
        <x:v>VHF wavelength</x:v>
      </x:c>
      <x:c r="B13" s="11" t="str">
        <x:v>lambda_vhf</x:v>
      </x:c>
      <x:c r="C13" s="18" t="n">
        <x:v>5</x:v>
      </x:c>
      <x:c r="D13" s="11" t="str">
        <x:v>m</x:v>
      </x:c>
      <x:c r="E13" s="11" t="str">
        <x:v>REASON-like VHF wavelength.</x:v>
      </x:c>
    </x:row>
    <x:row r="14">
      <x:c r="A14" s="11" t="str">
        <x:v>HF wavelength</x:v>
      </x:c>
      <x:c r="B14" s="11" t="str">
        <x:v>lambda_hf</x:v>
      </x:c>
      <x:c r="C14" s="18" t="n">
        <x:v>33.3</x:v>
      </x:c>
      <x:c r="D14" s="11" t="str">
        <x:v>m</x:v>
      </x:c>
      <x:c r="E14" s="11" t="str">
        <x:v>REASON-like HF wavelength.</x:v>
      </x:c>
    </x:row>
    <x:row r="15">
      <x:c r="A15" s="11" t="str">
        <x:v>Interferometer baseline</x:v>
      </x:c>
      <x:c r="B15" s="11" t="str">
        <x:v>b</x:v>
      </x:c>
      <x:c r="C15" s="18" t="n">
        <x:v>5</x:v>
      </x:c>
      <x:c r="D15" s="11" t="str">
        <x:v>m</x:v>
      </x:c>
      <x:c r="E15" s="11" t="str">
        <x:v>Used for VHF phase estimate.</x:v>
      </x:c>
    </x:row>
    <x:row r="16">
      <x:c r="A16" s="11" t="str">
        <x:v>VHF range resolution</x:v>
      </x:c>
      <x:c r="B16" s="11" t="str">
        <x:v>res_vhf</x:v>
      </x:c>
      <x:c r="C16" s="18" t="n">
        <x:v>30</x:v>
      </x:c>
      <x:c r="D16" s="11" t="str">
        <x:v>m</x:v>
      </x:c>
      <x:c r="E16" s="11" t="str">
        <x:v>Used for VHF apparent-depth uncertainty band.</x:v>
      </x:c>
    </x:row>
    <x:row r="17">
      <x:c r="A17" s="11" t="str">
        <x:v>HF range resolution</x:v>
      </x:c>
      <x:c r="B17" s="11" t="str">
        <x:v>res_hf</x:v>
      </x:c>
      <x:c r="C17" s="18" t="n">
        <x:v>300</x:v>
      </x:c>
      <x:c r="D17" s="11" t="str">
        <x:v>m</x:v>
      </x:c>
      <x:c r="E17" s="11" t="str">
        <x:v>Used for HF apparent-depth uncertainty band.</x:v>
      </x:c>
    </x:row>
    <x:row r="18">
      <x:c r="A18" s="11" t="str">
        <x:v>PRF choice 1</x:v>
      </x:c>
      <x:c r="B18" s="11" t="str">
        <x:v>PRF_1</x:v>
      </x:c>
      <x:c r="C18" s="18" t="n">
        <x:v>50</x:v>
      </x:c>
      <x:c r="D18" s="11" t="str">
        <x:v>Hz</x:v>
      </x:c>
      <x:c r="E18" s="11" t="str">
        <x:v>Example low PRF.</x:v>
      </x:c>
    </x:row>
    <x:row r="19">
      <x:c r="A19" s="11" t="str">
        <x:v>PRF choice 2</x:v>
      </x:c>
      <x:c r="B19" s="11" t="str">
        <x:v>PRF_2</x:v>
      </x:c>
      <x:c r="C19" s="18" t="n">
        <x:v>500</x:v>
      </x:c>
      <x:c r="D19" s="11" t="str">
        <x:v>Hz</x:v>
      </x:c>
      <x:c r="E19" s="11" t="str">
        <x:v>Example medium PRF.</x:v>
      </x:c>
    </x:row>
    <x:row r="20">
      <x:c r="A20" s="11" t="str">
        <x:v>PRF choice 3</x:v>
      </x:c>
      <x:c r="B20" s="11" t="str">
        <x:v>PRF_3</x:v>
      </x:c>
      <x:c r="C20" s="18" t="n">
        <x:v>3000</x:v>
      </x:c>
      <x:c r="D20" s="11" t="str">
        <x:v>Hz</x:v>
      </x:c>
      <x:c r="E20" s="11" t="str">
        <x:v>Example high PRF.</x:v>
      </x:c>
    </x:row>
    <x:row r="21">
      <x:c r="A21" s="11" t="str">
        <x:v>Speed of light</x:v>
      </x:c>
      <x:c r="B21" s="11" t="str">
        <x:v>c</x:v>
      </x:c>
      <x:c r="C21" s="19" t="n">
        <x:v>299792458</x:v>
      </x:c>
      <x:c r="D21" s="11" t="str">
        <x:v>m/s</x:v>
      </x:c>
      <x:c r="E21" s="11" t="str">
        <x:v>Physical constant used for delay and timing.</x:v>
      </x:c>
    </x:row>
    <x:row r="23">
      <x:c r="A23" s="25" t="str">
        <x:v>Model note</x:v>
      </x:c>
      <x:c r="B23" s="26" t="str">
        <x:v>The parabola is a simplified local path, not a real mission trajectory. Use it to see how geometry changes radar outputs.</x:v>
      </x:c>
      <x:c r="C23" s="26" t="str"/>
      <x:c r="D23" s="26" t="str"/>
      <x:c r="E23" s="27" t="str"/>
    </x:row>
    <x:row r="25">
      <x:c r="A25" s="36" t="str">
        <x:v>Representative Europa Topography Controls</x:v>
      </x:c>
      <x:c r="B25" s="37"/>
      <x:c r="C25" s="37"/>
      <x:c r="D25" s="37"/>
      <x:c r="E25" s="38"/>
    </x:row>
    <x:row r="26">
      <x:c r="A26" s="14" t="str">
        <x:v>Parameter</x:v>
      </x:c>
      <x:c r="B26" s="14" t="str">
        <x:v>Symbol</x:v>
      </x:c>
      <x:c r="C26" s="14" t="str">
        <x:v>Value</x:v>
      </x:c>
      <x:c r="D26" s="14" t="str">
        <x:v>Unit</x:v>
      </x:c>
      <x:c r="E26" s="14" t="str">
        <x:v>Notes</x:v>
      </x:c>
    </x:row>
    <x:row r="27">
      <x:c r="A27" s="11" t="str">
        <x:v>Topography enabled</x:v>
      </x:c>
      <x:c r="B27" s="11" t="str">
        <x:v>topography_on</x:v>
      </x:c>
      <x:c r="C27" s="47" t="str">
        <x:v>TRUE</x:v>
      </x:c>
      <x:c r="D27" s="11" t="str"/>
      <x:c r="E27" s="11" t="str">
        <x:v>Dropdown-style toggle. TRUE adds terrain height to the radar geometry; FALSE returns to flat surface.</x:v>
      </x:c>
    </x:row>
    <x:row r="28">
      <x:c r="A28" s="11" t="str">
        <x:v>Ridge height</x:v>
      </x:c>
      <x:c r="B28" s="11" t="str">
        <x:v>A_ridge</x:v>
      </x:c>
      <x:c r="C28" s="18" t="n">
        <x:v>350</x:v>
      </x:c>
      <x:c r="D28" s="11" t="str">
        <x:v>m</x:v>
      </x:c>
      <x:c r="E28" s="11" t="str">
        <x:v>Positive height for a representative double-ridge / raised band.</x:v>
      </x:c>
    </x:row>
    <x:row r="29">
      <x:c r="A29" s="11" t="str">
        <x:v>Ridge center x</x:v>
      </x:c>
      <x:c r="B29" s="11" t="str">
        <x:v>ridge_x0</x:v>
      </x:c>
      <x:c r="C29" s="18" t="n">
        <x:v>0</x:v>
      </x:c>
      <x:c r="D29" s="11" t="str">
        <x:v>km</x:v>
      </x:c>
      <x:c r="E29" s="11" t="str">
        <x:v>Along-track center of the ridge.</x:v>
      </x:c>
    </x:row>
    <x:row r="30">
      <x:c r="A30" s="11" t="str">
        <x:v>Ridge center y</x:v>
      </x:c>
      <x:c r="B30" s="11" t="str">
        <x:v>ridge_y0</x:v>
      </x:c>
      <x:c r="C30" s="18" t="n">
        <x:v>25</x:v>
      </x:c>
      <x:c r="D30" s="11" t="str">
        <x:v>km</x:v>
      </x:c>
      <x:c r="E30" s="11" t="str">
        <x:v>Cross-track center of the ridge.</x:v>
      </x:c>
    </x:row>
    <x:row r="31">
      <x:c r="A31" s="11" t="str">
        <x:v>Ridge length sigma</x:v>
      </x:c>
      <x:c r="B31" s="11" t="str">
        <x:v>ridge_sigma_x</x:v>
      </x:c>
      <x:c r="C31" s="18" t="n">
        <x:v>24</x:v>
      </x:c>
      <x:c r="D31" s="11" t="str">
        <x:v>km</x:v>
      </x:c>
      <x:c r="E31" s="11" t="str">
        <x:v>Long direction of the ridge feature.</x:v>
      </x:c>
    </x:row>
    <x:row r="32">
      <x:c r="A32" s="11" t="str">
        <x:v>Ridge width sigma</x:v>
      </x:c>
      <x:c r="B32" s="11" t="str">
        <x:v>ridge_sigma_y</x:v>
      </x:c>
      <x:c r="C32" s="18" t="n">
        <x:v>3.5</x:v>
      </x:c>
      <x:c r="D32" s="11" t="str">
        <x:v>km</x:v>
      </x:c>
      <x:c r="E32" s="11" t="str">
        <x:v>Narrow cross-track width of the ridge.</x:v>
      </x:c>
    </x:row>
    <x:row r="33">
      <x:c r="A33" s="11" t="str">
        <x:v>Crater/depression depth</x:v>
      </x:c>
      <x:c r="B33" s="11" t="str">
        <x:v>D_crater</x:v>
      </x:c>
      <x:c r="C33" s="18" t="n">
        <x:v>180</x:v>
      </x:c>
      <x:c r="D33" s="11" t="str">
        <x:v>m</x:v>
      </x:c>
      <x:c r="E33" s="11" t="str">
        <x:v>Positive number becomes a negative depression in the surface model.</x:v>
      </x:c>
    </x:row>
    <x:row r="34">
      <x:c r="A34" s="11" t="str">
        <x:v>Crater center x</x:v>
      </x:c>
      <x:c r="B34" s="11" t="str">
        <x:v>crater_x0</x:v>
      </x:c>
      <x:c r="C34" s="18" t="n">
        <x:v>-18</x:v>
      </x:c>
      <x:c r="D34" s="11" t="str">
        <x:v>km</x:v>
      </x:c>
      <x:c r="E34" s="11" t="str">
        <x:v>Along-track center of depression.</x:v>
      </x:c>
    </x:row>
    <x:row r="35">
      <x:c r="A35" s="11" t="str">
        <x:v>Crater center y</x:v>
      </x:c>
      <x:c r="B35" s="11" t="str">
        <x:v>crater_y0</x:v>
      </x:c>
      <x:c r="C35" s="18" t="n">
        <x:v>8</x:v>
      </x:c>
      <x:c r="D35" s="11" t="str">
        <x:v>km</x:v>
      </x:c>
      <x:c r="E35" s="11" t="str">
        <x:v>Cross-track center of depression.</x:v>
      </x:c>
    </x:row>
    <x:row r="36">
      <x:c r="A36" s="11" t="str">
        <x:v>Crater width sigma</x:v>
      </x:c>
      <x:c r="B36" s="11" t="str">
        <x:v>crater_sigma</x:v>
      </x:c>
      <x:c r="C36" s="18" t="n">
        <x:v>8</x:v>
      </x:c>
      <x:c r="D36" s="11" t="str">
        <x:v>km</x:v>
      </x:c>
      <x:c r="E36" s="11" t="str">
        <x:v>Controls how broad the depression is.</x:v>
      </x:c>
    </x:row>
    <x:row r="37">
      <x:c r="A37" s="11" t="str">
        <x:v>Chaos amplitude</x:v>
      </x:c>
      <x:c r="B37" s="11" t="str">
        <x:v>A_chaos</x:v>
      </x:c>
      <x:c r="C37" s="18" t="n">
        <x:v>65</x:v>
      </x:c>
      <x:c r="D37" s="11" t="str">
        <x:v>m</x:v>
      </x:c>
      <x:c r="E37" s="11" t="str">
        <x:v>Mixed sinusoidal terrain term for irregular chaos-like height variation.</x:v>
      </x:c>
    </x:row>
    <x:row r="38">
      <x:c r="A38" s="11" t="str">
        <x:v>Fine roughness amplitude</x:v>
      </x:c>
      <x:c r="B38" s="11" t="str">
        <x:v>A_rough</x:v>
      </x:c>
      <x:c r="C38" s="18" t="n">
        <x:v>35</x:v>
      </x:c>
      <x:c r="D38" s="11" t="str">
        <x:v>m</x:v>
      </x:c>
      <x:c r="E38" s="11" t="str">
        <x:v>Smaller surface roughness term.</x:v>
      </x:c>
    </x:row>
    <x:row r="39">
      <x:c r="A39" s="11" t="str">
        <x:v>Roughness wavelength x</x:v>
      </x:c>
      <x:c r="B39" s="11" t="str">
        <x:v>Lx</x:v>
      </x:c>
      <x:c r="C39" s="18" t="n">
        <x:v>18</x:v>
      </x:c>
      <x:c r="D39" s="11" t="str">
        <x:v>km</x:v>
      </x:c>
      <x:c r="E39" s="11" t="str">
        <x:v>Along-track roughness wavelength.</x:v>
      </x:c>
    </x:row>
    <x:row r="40">
      <x:c r="A40" s="11" t="str">
        <x:v>Roughness wavelength y</x:v>
      </x:c>
      <x:c r="B40" s="11" t="str">
        <x:v>Ly</x:v>
      </x:c>
      <x:c r="C40" s="18" t="n">
        <x:v>12</x:v>
      </x:c>
      <x:c r="D40" s="11" t="str">
        <x:v>km</x:v>
      </x:c>
      <x:c r="E40" s="11" t="str">
        <x:v>Cross-track roughness wavelength.</x:v>
      </x:c>
    </x:row>
    <x:row r="41">
      <x:c r="A41" s="11" t="str">
        <x:v>Trough depth</x:v>
      </x:c>
      <x:c r="B41" s="11" t="str">
        <x:v>D_trough</x:v>
      </x:c>
      <x:c r="C41" s="18" t="n">
        <x:v>120</x:v>
      </x:c>
      <x:c r="D41" s="11" t="str">
        <x:v>m</x:v>
      </x:c>
      <x:c r="E41" s="11" t="str">
        <x:v>Negative linear feature, like a fracture/trough.</x:v>
      </x:c>
    </x:row>
    <x:row r="42">
      <x:c r="A42" s="11" t="str">
        <x:v>Trough center x</x:v>
      </x:c>
      <x:c r="B42" s="11" t="str">
        <x:v>trough_x0</x:v>
      </x:c>
      <x:c r="C42" s="18" t="n">
        <x:v>12</x:v>
      </x:c>
      <x:c r="D42" s="11" t="str">
        <x:v>km</x:v>
      </x:c>
      <x:c r="E42" s="11" t="str">
        <x:v>Along-track center of trough.</x:v>
      </x:c>
    </x:row>
    <x:row r="43">
      <x:c r="A43" s="11" t="str">
        <x:v>Trough center y</x:v>
      </x:c>
      <x:c r="B43" s="11" t="str">
        <x:v>trough_y0</x:v>
      </x:c>
      <x:c r="C43" s="18" t="n">
        <x:v>-6</x:v>
      </x:c>
      <x:c r="D43" s="11" t="str">
        <x:v>km</x:v>
      </x:c>
      <x:c r="E43" s="11" t="str">
        <x:v>Cross-track center of trough.</x:v>
      </x:c>
    </x:row>
    <x:row r="44">
      <x:c r="A44" s="11" t="str">
        <x:v>Trough width sigma</x:v>
      </x:c>
      <x:c r="B44" s="11" t="str">
        <x:v>trough_sigma_y</x:v>
      </x:c>
      <x:c r="C44" s="18" t="n">
        <x:v>2.5</x:v>
      </x:c>
      <x:c r="D44" s="11" t="str">
        <x:v>km</x:v>
      </x:c>
      <x:c r="E44" s="11" t="str">
        <x:v>Narrow width of trough.</x:v>
      </x:c>
    </x:row>
    <x:row r="45">
      <x:c r="A45" s="11" t="str">
        <x:v>Trough length sigma</x:v>
      </x:c>
      <x:c r="B45" s="11" t="str">
        <x:v>trough_sigma_x</x:v>
      </x:c>
      <x:c r="C45" s="18" t="n">
        <x:v>38</x:v>
      </x:c>
      <x:c r="D45" s="11" t="str">
        <x:v>km</x:v>
      </x:c>
      <x:c r="E45" s="11" t="str">
        <x:v>Long direction of trough.</x:v>
      </x:c>
    </x:row>
    <x:row r="46">
      <x:c r="A46" s="11" t="str">
        <x:v>Terrain vertical uncertainty</x:v>
      </x:c>
      <x:c r="B46" s="11" t="str">
        <x:v>sigma_h</x:v>
      </x:c>
      <x:c r="C46" s="18" t="n">
        <x:v>75</x:v>
      </x:c>
      <x:c r="D46" s="11" t="str">
        <x:v>m</x:v>
      </x:c>
      <x:c r="E46" s="11" t="str">
        <x:v>Representative uncertainty band for the topographic height model.</x:v>
      </x:c>
    </x:row>
    <x:row r="47">
      <x:c r="A47" s="11" t="str">
        <x:v>Terrain seed</x:v>
      </x:c>
      <x:c r="B47" s="11" t="str">
        <x:v>terrain_seed</x:v>
      </x:c>
      <x:c r="C47" s="19" t="n">
        <x:v>7</x:v>
      </x:c>
      <x:c r="D47" s="11" t="str"/>
      <x:c r="E47" s="11" t="str">
        <x:v>Change this number to generate a different repeatable random-looking surface. Same seed gives the same graphs.</x:v>
      </x:c>
    </x:row>
    <x:row r="48">
      <x:c r="A48" s="11" t="str">
        <x:v>Seeded random amplitude</x:v>
      </x:c>
      <x:c r="B48" s="11" t="str">
        <x:v>A_seeded</x:v>
      </x:c>
      <x:c r="C48" s="18" t="n">
        <x:v>45</x:v>
      </x:c>
      <x:c r="D48" s="11" t="str">
        <x:v>m</x:v>
      </x:c>
      <x:c r="E48" s="11" t="str">
        <x:v>Strength of the generated terrain added on top of the DEM-style surface.</x:v>
      </x:c>
    </x:row>
    <x:row r="49">
      <x:c r="A49" s="11" t="str">
        <x:v>Seeded random scale x</x:v>
      </x:c>
      <x:c r="B49" s="11" t="str">
        <x:v>L_seed_x</x:v>
      </x:c>
      <x:c r="C49" s="18" t="n">
        <x:v>12</x:v>
      </x:c>
      <x:c r="D49" s="11" t="str">
        <x:v>km</x:v>
      </x:c>
      <x:c r="E49" s="11" t="str">
        <x:v>Along-track scale for seeded terrain waves.</x:v>
      </x:c>
    </x:row>
    <x:row r="50">
      <x:c r="A50" s="11" t="str">
        <x:v>Seeded random scale y</x:v>
      </x:c>
      <x:c r="B50" s="11" t="str">
        <x:v>L_seed_y</x:v>
      </x:c>
      <x:c r="C50" s="18" t="n">
        <x:v>9</x:v>
      </x:c>
      <x:c r="D50" s="11" t="str">
        <x:v>km</x:v>
      </x:c>
      <x:c r="E50" s="11" t="str">
        <x:v>Cross-track scale for seeded terrain waves.</x:v>
      </x:c>
    </x:row>
    <x:row r="51">
      <x:c r="A51" s="11" t="str">
        <x:v>Existing DEM-style scale</x:v>
      </x:c>
      <x:c r="B51" s="11" t="str">
        <x:v>S_dem</x:v>
      </x:c>
      <x:c r="C51" s="18" t="n">
        <x:v>1</x:v>
      </x:c>
      <x:c r="D51" s="11" t="str"/>
      <x:c r="E51" s="11" t="str">
        <x:v>Multiplier for the project synthetic DEM pattern from reason_common.py.</x:v>
      </x:c>
    </x:row>
    <x:row r="53">
      <x:c r="A53" s="25" t="str">
        <x:v>Topography note</x:v>
      </x:c>
      <x:c r="B53" s="26" t="str">
        <x:v>This is a detailed representative terrain model, not a real imported Europa DEM. It now combines the local project synthetic DEM shape with a seed-controlled random terrain term so you can test multiple possible surfaces.</x:v>
      </x:c>
      <x:c r="C53" s="26" t="str"/>
      <x:c r="D53" s="26" t="str"/>
      <x:c r="E53" s="27" t="str"/>
    </x:row>
  </x:sheetData>
  <x:mergeCells>
    <x:mergeCell ref="A1:N1"/>
    <x:mergeCell ref="A2:N2"/>
    <x:mergeCell ref="B23:E23"/>
    <x:mergeCell ref="F4:N4"/>
    <x:mergeCell ref="G11:N11"/>
    <x:mergeCell ref="A25:E25"/>
    <x:mergeCell ref="B53:E53"/>
  </x:mergeCells>
  <x:dataValidations count="1">
    <x:dataValidation type="list" sqref="C27">
      <x:formula1>"TRUE,FALSE"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6" hidden="0" customWidth="1"/>
    <x:col min="7" max="7" width="14" hidden="0" customWidth="1"/>
    <x:col min="8" max="8" width="16" hidden="0" customWidth="1"/>
    <x:col min="9" max="9" width="14" hidden="0" customWidth="1"/>
    <x:col min="10" max="10" width="14" hidden="0" customWidth="1"/>
    <x:col min="11" max="11" width="14" hidden="0" customWidth="1"/>
    <x:col min="12" max="12" width="11" hidden="0" customWidth="1"/>
    <x:col min="13" max="13" width="10" hidden="0" customWidth="1"/>
    <x:col min="14" max="14" width="12" hidden="0" customWidth="1"/>
    <x:col min="15" max="15" width="14" hidden="0" customWidth="1"/>
    <x:col min="16" max="16" width="14" hidden="0" customWidth="1"/>
    <x:col min="17" max="17" width="14" hidden="0" customWidth="1"/>
    <x:col min="18" max="18" width="13" hidden="0" customWidth="1"/>
    <x:col min="19" max="19" width="13" hidden="0" customWidth="1"/>
    <x:col min="20" max="20" width="13" hidden="0" customWidth="1"/>
    <x:col min="21" max="21" width="13" hidden="0" customWidth="1"/>
    <x:col min="22" max="22" width="16" hidden="0" customWidth="1"/>
    <x:col min="23" max="23" width="16" hidden="0" customWidth="1"/>
    <x:col min="24" max="24" width="13" hidden="0" customWidth="1"/>
    <x:col min="25" max="25" width="13" hidden="0" customWidth="1"/>
    <x:col min="26" max="26" width="15" hidden="0" customWidth="1"/>
    <x:col min="27" max="27" width="15" hidden="0" customWidth="1"/>
    <x:col min="28" max="28" width="15" hidden="0" customWidth="1"/>
    <x:col min="29" max="29" width="18" hidden="0" customWidth="1"/>
    <x:col min="30" max="30" width="18" hidden="0" customWidth="1"/>
    <x:col min="31" max="31" width="16" hidden="0" customWidth="1"/>
    <x:col min="32" max="32" width="16" hidden="0" customWidth="1"/>
    <x:col min="33" max="33" width="16" hidden="0" customWidth="1"/>
    <x:col min="34" max="34" width="14" hidden="0" customWidth="1"/>
    <x:col min="35" max="35" width="20" hidden="0" customWidth="1"/>
    <x:col min="36" max="36" width="20"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6" hidden="0" customWidth="1"/>
    <x:col min="45" max="45" width="16" hidden="0" customWidth="1"/>
  </x:cols>
  <x:sheetData>
    <x:row r="1">
      <x:c r="A1" s="14" t="str">
        <x:v>x_km</x:v>
      </x:c>
      <x:c r="B1" s="14" t="str">
        <x:v>z_km</x:v>
      </x:c>
      <x:c r="C1" s="14" t="str">
        <x:v>R_nadir_km</x:v>
      </x:c>
      <x:c r="D1" s="14" t="str">
        <x:v>R_off_km</x:v>
      </x:c>
      <x:c r="E1" s="14" t="str">
        <x:v>Delta_R_m</x:v>
      </x:c>
      <x:c r="F1" s="14" t="str">
        <x:v>apparent_depth_m</x:v>
      </x:c>
      <x:c r="G1" s="14" t="str">
        <x:v>extra_delay_us</x:v>
      </x:c>
      <x:c r="H1" s="14" t="str">
        <x:v>horizontal_offset_km</x:v>
      </x:c>
      <x:c r="I1" s="14" t="str">
        <x:v>look_angle_deg</x:v>
      </x:c>
      <x:c r="J1" s="14" t="str">
        <x:v>vhf_phase_deg</x:v>
      </x:c>
      <x:c r="K1" s="14" t="str">
        <x:v>relative_power</x:v>
      </x:c>
      <x:c r="L1" s="14" t="str">
        <x:v>power_dB</x:v>
      </x:c>
      <x:c r="M1" s="14" t="str">
        <x:v>dz_dx</x:v>
      </x:c>
      <x:c r="N1" s="14" t="str">
        <x:v>dz_dt_km_s</x:v>
      </x:c>
      <x:c r="O1" s="14" t="str">
        <x:v>range_rate_m_s</x:v>
      </x:c>
      <x:c r="P1" s="14" t="str">
        <x:v>vhf_doppler_hz</x:v>
      </x:c>
      <x:c r="Q1" s="14" t="str">
        <x:v>hf_doppler_hz</x:v>
      </x:c>
      <x:c r="R1" s="14" t="str">
        <x:v>vhf_band_low_m</x:v>
      </x:c>
      <x:c r="S1" s="14" t="str">
        <x:v>vhf_band_high_m</x:v>
      </x:c>
      <x:c r="T1" s="14" t="str">
        <x:v>hf_band_low_m</x:v>
      </x:c>
      <x:c r="U1" s="14" t="str">
        <x:v>hf_band_high_m</x:v>
      </x:c>
      <x:c r="V1" s="14" t="str">
        <x:v>abs_vhf_doppler_hz</x:v>
      </x:c>
      <x:c r="W1" s="14" t="str">
        <x:v>abs_hf_doppler_hz</x:v>
      </x:c>
      <x:c r="X1" s="14" t="str">
        <x:v>h_nadir_m</x:v>
      </x:c>
      <x:c r="Y1" s="14" t="str">
        <x:v>h_target_m</x:v>
      </x:c>
      <x:c r="Z1" s="14" t="str">
        <x:v>R_nadir_topo_km</x:v>
      </x:c>
      <x:c r="AA1" s="14" t="str">
        <x:v>R_off_topo_km</x:v>
      </x:c>
      <x:c r="AB1" s="14" t="str">
        <x:v>Delta_R_topo_m</x:v>
      </x:c>
      <x:c r="AC1" s="14" t="str">
        <x:v>apparent_depth_topo_m</x:v>
      </x:c>
      <x:c r="AD1" s="14" t="str">
        <x:v>extra_delay_topo_us</x:v>
      </x:c>
      <x:c r="AE1" s="14" t="str">
        <x:v>look_angle_topo_deg</x:v>
      </x:c>
      <x:c r="AF1" s="14" t="str">
        <x:v>vhf_phase_topo_deg</x:v>
      </x:c>
      <x:c r="AG1" s="14" t="str">
        <x:v>relative_power_topo</x:v>
      </x:c>
      <x:c r="AH1" s="14" t="str">
        <x:v>power_dB_topo</x:v>
      </x:c>
      <x:c r="AI1" s="14" t="str">
        <x:v>depth_change_topo_minus_flat_m</x:v>
      </x:c>
      <x:c r="AJ1" s="14" t="str">
        <x:v>delay_change_topo_minus_flat_us</x:v>
      </x:c>
      <x:c r="AK1" s="14" t="str">
        <x:v>target_minus_nadir_height_m</x:v>
      </x:c>
      <x:c r="AL1" s="14" t="str">
        <x:v>range_rate_topo_m_s</x:v>
      </x:c>
      <x:c r="AM1" s="14" t="str">
        <x:v>vhf_doppler_topo_hz</x:v>
      </x:c>
      <x:c r="AN1" s="14" t="str">
        <x:v>hf_doppler_topo_hz</x:v>
      </x:c>
      <x:c r="AO1" s="14" t="str">
        <x:v>abs_vhf_doppler_topo_hz</x:v>
      </x:c>
      <x:c r="AP1" s="14" t="str">
        <x:v>abs_hf_doppler_topo_hz</x:v>
      </x:c>
      <x:c r="AQ1" s="14" t="str">
        <x:v>topo_depth_uncertainty_m</x:v>
      </x:c>
      <x:c r="AR1" s="14" t="str">
        <x:v>topo_depth_low_m</x:v>
      </x:c>
      <x:c r="AS1" s="14" t="str">
        <x:v>topo_depth_high_m</x:v>
      </x:c>
    </x:row>
    <x:row r="2">
      <x:c r="A2" s="48" t="n">
        <x:f>Inputs!$C$7+0*(Inputs!$C$8-Inputs!$C$7)/240</x:f>
        <x:v>-60</x:v>
      </x:c>
      <x:c r="B2" s="48" t="n">
        <x:f>Inputs!$C$5+Inputs!$C$9*(A2/Inputs!$C$10)^2</x:f>
        <x:v>404</x:v>
      </x:c>
      <x:c r="C2" s="48" t="n">
        <x:f>B2</x:f>
        <x:v>404</x:v>
      </x:c>
      <x:c r="D2" s="48" t="n">
        <x:f>SQRT(A2^2+Inputs!$C$6^2+B2^2)</x:f>
        <x:v>409.1955522729933</x:v>
      </x:c>
      <x:c r="E2" s="48" t="n">
        <x:f>(D2-C2)*1000</x:f>
        <x:v>5195.5522729933255</x:v>
      </x:c>
      <x:c r="F2" s="48" t="n">
        <x:f>E2/Inputs!$C$12</x:f>
        <x:v>2918.849591569284</x:v>
      </x:c>
      <x:c r="G2" s="48" t="n">
        <x:f>2*E2/Inputs!$C$21*1000000</x:f>
        <x:v>34.66099385991442</x:v>
      </x:c>
      <x:c r="H2" s="48" t="n">
        <x:f>SQRT(A2^2+Inputs!$C$6^2)</x:f>
        <x:v>65</x:v>
      </x:c>
      <x:c r="I2" s="48" t="n">
        <x:f>DEGREES(ATAN(H2/B2))</x:f>
        <x:v>9.14005123413285</x:v>
      </x:c>
      <x:c r="J2" s="48" t="n">
        <x:f>DEGREES((2*PI()/Inputs!$C$13)*Inputs!$C$15*SIN(RADIANS(I2)))</x:f>
        <x:v>57.185372299425126</x:v>
      </x:c>
      <x:c r="K2" s="48" t="n">
        <x:f>(C2/D2)^4</x:f>
        <x:v>0.9501711554944995</x:v>
      </x:c>
      <x:c r="L2" s="48" t="n">
        <x:f>10*LOG10(K2)</x:f>
        <x:v>-0.221981576673</x:v>
      </x:c>
      <x:c r="M2" s="48" t="n">
        <x:f>2*(Inputs!$C$9/(Inputs!$C$10^2))*A2</x:f>
        <x:v>-0.13333333333333333</x:v>
      </x:c>
      <x:c r="N2" s="48" t="n">
        <x:f>M2*Inputs!$C$11</x:f>
        <x:v>-0.5333333333333333</x:v>
      </x:c>
      <x:c r="O2" s="48" t="n">
        <x:f>1000*((A2*Inputs!$C$11)+(B2*N2))/D2</x:f>
        <x:v>-1113.0782437312607</x:v>
      </x:c>
      <x:c r="P2" s="48" t="n">
        <x:f>-2*O2/Inputs!$C$13</x:f>
        <x:v>445.23129749250427</x:v>
      </x:c>
      <x:c r="Q2" s="48" t="n">
        <x:f>-2*O2/Inputs!$C$14</x:f>
        <x:v>66.8515461700457</x:v>
      </x:c>
      <x:c r="R2" s="48" t="n">
        <x:f>F2-Inputs!$C$16/2</x:f>
        <x:v>2903.849591569284</x:v>
      </x:c>
      <x:c r="S2" s="48" t="n">
        <x:f>F2+Inputs!$C$16/2</x:f>
        <x:v>2933.849591569284</x:v>
      </x:c>
      <x:c r="T2" s="48" t="n">
        <x:f>F2-Inputs!$C$17/2</x:f>
        <x:v>2768.849591569284</x:v>
      </x:c>
      <x:c r="U2" s="48" t="n">
        <x:f>F2+Inputs!$C$17/2</x:f>
        <x:v>3068.849591569284</x:v>
      </x:c>
      <x:c r="V2" s="48" t="n">
        <x:f>ABS(P2)</x:f>
        <x:v>445.23129749250427</x:v>
      </x:c>
      <x:c r="W2" s="48" t="n">
        <x:f>ABS(Q2)</x:f>
        <x:v>66.8515461700457</x:v>
      </x:c>
      <x:c r="X2" s="48" t="n">
        <x: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(0.45*SIN(2*PI()*(((A2)/Inputs!$C$49)+Inputs!$C$47*0.137))+0.35*COS(2*PI()*(((0)/Inputs!$C$50)+Inputs!$C$47*0.173))+0.20*SIN(2*PI()*(((A2)+(0))/(0.5*(Inputs!$C$49+Inputs!$C$50))+Inputs!$C$47*0.097)))+0.30*(2*((SIN(((A2)*12.9898+(0)*78.233+Inputs!$C$47*37.719))*43758.5453)-INT((SIN(((A2)*12.9898+(0)*78.233+Inputs!$C$47*37.719))*43758.5453)))-1)))</x:f>
        <x:v>2.7642790376402013</x:v>
      </x:c>
      <x:c r="Y2" s="48" t="n">
        <x: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(0.45*SIN(2*PI()*(((A2)/Inputs!$C$49)+Inputs!$C$47*0.137))+0.35*COS(2*PI()*(((Inputs!$C$6)/Inputs!$C$50)+Inputs!$C$47*0.173))+0.20*SIN(2*PI()*(((A2)+(Inputs!$C$6))/(0.5*(Inputs!$C$49+Inputs!$C$50))+Inputs!$C$47*0.097)))+0.30*(2*((SIN(((A2)*12.9898+(Inputs!$C$6)*78.233+Inputs!$C$47*37.719))*43758.5453)-INT((SIN(((A2)*12.9898+(Inputs!$C$6)*78.233+Inputs!$C$47*37.719))*43758.5453)))-1)))</x:f>
        <x:v>119.42638570504096</x:v>
      </x:c>
      <x:c r="Z2" s="48" t="n">
        <x:f>B2-X2/1000</x:f>
        <x:v>403.99723572096235</x:v>
      </x:c>
      <x:c r="AA2" s="48" t="n">
        <x:f>SQRT(A2^2+Inputs!$C$6^2+(B2-Y2/1000)^2)</x:f>
        <x:v>409.0776426829165</x:v>
      </x:c>
      <x:c r="AB2" s="48" t="n">
        <x:f>(AA2-Z2)*1000</x:f>
        <x:v>5080.406961954168</x:v>
      </x:c>
      <x:c r="AC2" s="48" t="n">
        <x:f>AB2/Inputs!$C$12</x:f>
        <x:v>2854.161214580993</x:v>
      </x:c>
      <x:c r="AD2" s="48" t="n">
        <x:f>2*AB2/Inputs!$C$21*1000000</x:f>
        <x:v>33.89282703005269</x:v>
      </x:c>
      <x:c r="AE2" s="48" t="n">
        <x:f>DEGREES(ATAN(H2/(B2-Y2/1000)))</x:f>
        <x:v>9.142708283534203</x:v>
      </x:c>
      <x:c r="AF2" s="48" t="n">
        <x:f>DEGREES((2*PI()/Inputs!$C$13)*Inputs!$C$15*SIN(RADIANS(AE2)))</x:f>
        <x:v>57.201854998802176</x:v>
      </x:c>
      <x:c r="AG2" s="48" t="n">
        <x:f>(Z2/AA2)^4</x:f>
        <x:v>0.9512410760899833</x:v>
      </x:c>
      <x:c r="AH2" s="48" t="n">
        <x:f>10*LOG10(AG2)</x:f>
        <x:v>-0.21709404463742799</x:v>
      </x:c>
      <x:c r="AI2" s="48" t="n">
        <x:f>AC2-F2</x:f>
        <x:v>-64.68837698829066</x:v>
      </x:c>
      <x:c r="AJ2" s="48" t="n">
        <x:f>AD2-G2</x:f>
        <x:v>-0.7681668298617268</x:v>
      </x:c>
      <x:c r="AK2" s="48" t="n">
        <x:f>Y2-X2</x:f>
        <x:v>116.66210666740075</x:v>
      </x:c>
      <x:c r="AL2" s="48" t="n">
        <x:f>1000*(AA3-AA2)/(A3-A2)*Inputs!$C$11</x:f>
        <x:v>-1039.7822657773759</x:v>
      </x:c>
      <x:c r="AM2" s="48" t="n">
        <x:f>-2*AL2/Inputs!$C$13</x:f>
        <x:v>415.91290631095035</x:v>
      </x:c>
      <x:c r="AN2" s="48" t="n">
        <x:f>-2*AL2/Inputs!$C$14</x:f>
        <x:v>62.44938533197453</x:v>
      </x:c>
      <x:c r="AO2" s="48" t="n">
        <x:f>ABS(AM2)</x:f>
        <x:v>415.91290631095035</x:v>
      </x:c>
      <x:c r="AP2" s="48" t="n">
        <x:f>ABS(AN2)</x:f>
        <x:v>62.44938533197453</x:v>
      </x:c>
      <x:c r="AQ2" s="48" t="n">
        <x:f>IF(OR(Inputs!$C$27=TRUE,Inputs!$C$27="TRUE",Inputs!$C$27=1),Inputs!$C$46/Inputs!$C$12,0)</x:f>
        <x:v>42.13483146067416</x:v>
      </x:c>
      <x:c r="AR2" s="48" t="n">
        <x:f>AC2-AQ2</x:f>
        <x:v>2812.0263831203188</x:v>
      </x:c>
      <x:c r="AS2" s="48" t="n">
        <x:f>AC2+AQ2</x:f>
        <x:v>2896.2960460416675</x:v>
      </x:c>
    </x:row>
    <x:row r="3">
      <x:c r="A3" s="48" t="n">
        <x:f>Inputs!$C$7+1*(Inputs!$C$8-Inputs!$C$7)/240</x:f>
        <x:v>-59.5</x:v>
      </x:c>
      <x:c r="B3" s="48" t="n">
        <x:f>Inputs!$C$5+Inputs!$C$9*(A3/Inputs!$C$10)^2</x:f>
        <x:v>403.93361111111113</x:v>
      </x:c>
      <x:c r="C3" s="48" t="n">
        <x:f>B3</x:f>
        <x:v>403.93361111111113</x:v>
      </x:c>
      <x:c r="D3" s="48" t="n">
        <x:f>SQRT(A3^2+Inputs!$C$6^2+B3^2)</x:f>
        <x:v>409.05697914259133</x:v>
      </x:c>
      <x:c r="E3" s="48" t="n">
        <x:f>(D3-C3)*1000</x:f>
        <x:v>5123.368031480197</x:v>
      </x:c>
      <x:c r="F3" s="48" t="n">
        <x:f>E3/Inputs!$C$12</x:f>
        <x:v>2878.296646898987</x:v>
      </x:c>
      <x:c r="G3" s="48" t="n">
        <x:f>2*E3/Inputs!$C$21*1000000</x:f>
        <x:v>34.17943243575658</x:v>
      </x:c>
      <x:c r="H3" s="48" t="n">
        <x:f>SQRT(A3^2+Inputs!$C$6^2)</x:f>
        <x:v>64.53874805107394</x:v>
      </x:c>
      <x:c r="I3" s="48" t="n">
        <x:f>DEGREES(ATAN(H3/B3))</x:f>
        <x:v>9.07774203179775</x:v>
      </x:c>
      <x:c r="J3" s="48" t="n">
        <x:f>DEGREES((2*PI()/Inputs!$C$13)*Inputs!$C$15*SIN(RADIANS(I3)))</x:f>
        <x:v>56.79880917100207</x:v>
      </x:c>
      <x:c r="K3" s="48" t="n">
        <x:f>(C3/D3)^4</x:f>
        <x:v>0.950834083946599</x:v>
      </x:c>
      <x:c r="L3" s="48" t="n">
        <x:f>10*LOG10(K3)</x:f>
        <x:v>-0.218952587858653</x:v>
      </x:c>
      <x:c r="M3" s="48" t="n">
        <x:f>2*(Inputs!$C$9/(Inputs!$C$10^2))*A3</x:f>
        <x:v>-0.1322222222222222</x:v>
      </x:c>
      <x:c r="N3" s="48" t="n">
        <x:f>M3*Inputs!$C$11</x:f>
        <x:v>-0.5288888888888889</x:v>
      </x:c>
      <x:c r="O3" s="48" t="n">
        <x:f>1000*((A3*Inputs!$C$11)+(B3*N3))/D3</x:f>
        <x:v>-1104.0906812348956</x:v>
      </x:c>
      <x:c r="P3" s="48" t="n">
        <x:f>-2*O3/Inputs!$C$13</x:f>
        <x:v>441.63627249395824</x:v>
      </x:c>
      <x:c r="Q3" s="48" t="n">
        <x:f>-2*O3/Inputs!$C$14</x:f>
        <x:v>66.31175262672046</x:v>
      </x:c>
      <x:c r="R3" s="48" t="n">
        <x:f>F3-Inputs!$C$16/2</x:f>
        <x:v>2863.296646898987</x:v>
      </x:c>
      <x:c r="S3" s="48" t="n">
        <x:f>F3+Inputs!$C$16/2</x:f>
        <x:v>2893.296646898987</x:v>
      </x:c>
      <x:c r="T3" s="48" t="n">
        <x:f>F3-Inputs!$C$17/2</x:f>
        <x:v>2728.296646898987</x:v>
      </x:c>
      <x:c r="U3" s="48" t="n">
        <x:f>F3+Inputs!$C$17/2</x:f>
        <x:v>3028.296646898987</x:v>
      </x:c>
      <x:c r="V3" s="48" t="n">
        <x:f>ABS(P3)</x:f>
        <x:v>441.63627249395824</x:v>
      </x:c>
      <x:c r="W3" s="48" t="n">
        <x:f>ABS(Q3)</x:f>
        <x:v>66.31175262672046</x:v>
      </x:c>
      <x:c r="X3" s="48" t="n">
        <x: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(0.45*SIN(2*PI()*(((A3)/Inputs!$C$49)+Inputs!$C$47*0.137))+0.35*COS(2*PI()*(((0)/Inputs!$C$50)+Inputs!$C$47*0.173))+0.20*SIN(2*PI()*(((A3)+(0))/(0.5*(Inputs!$C$49+Inputs!$C$50))+Inputs!$C$47*0.097)))+0.30*(2*((SIN(((A3)*12.9898+(0)*78.233+Inputs!$C$47*37.719))*43758.5453)-INT((SIN(((A3)*12.9898+(0)*78.233+Inputs!$C$47*37.719))*43758.5453)))-1)))</x:f>
        <x:v>19.645117006397193</x:v>
      </x:c>
      <x:c r="Y3" s="48" t="n">
        <x: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(0.45*SIN(2*PI()*(((A3)/Inputs!$C$49)+Inputs!$C$47*0.137))+0.35*COS(2*PI()*(((Inputs!$C$6)/Inputs!$C$50)+Inputs!$C$47*0.173))+0.20*SIN(2*PI()*(((A3)+(Inputs!$C$6))/(0.5*(Inputs!$C$49+Inputs!$C$50))+Inputs!$C$47*0.097)))+0.30*(2*((SIN(((A3)*12.9898+(Inputs!$C$6)*78.233+Inputs!$C$47*37.719))*43758.5453)-INT((SIN(((A3)*12.9898+(Inputs!$C$6)*78.233+Inputs!$C$47*37.719))*43758.5453)))-1)))</x:f>
        <x:v>110.69606493723512</x:v>
      </x:c>
      <x:c r="Z3" s="48" t="n">
        <x:f>B3-X3/1000</x:f>
        <x:v>403.91396599410473</x:v>
      </x:c>
      <x:c r="AA3" s="48" t="n">
        <x:f>SQRT(A3^2+Inputs!$C$6^2+(B3-Y3/1000)^2)</x:f>
        <x:v>408.94766989969435</x:v>
      </x:c>
      <x:c r="AB3" s="48" t="n">
        <x:f>(AA3-Z3)*1000</x:f>
        <x:v>5033.703905589618</x:v>
      </x:c>
      <x:c r="AC3" s="48" t="n">
        <x:f>AB3/Inputs!$C$12</x:f>
        <x:v>2827.923542466078</x:v>
      </x:c>
      <x:c r="AD3" s="48" t="n">
        <x:f>2*AB3/Inputs!$C$21*1000000</x:f>
        <x:v>33.58125777526811</x:v>
      </x:c>
      <x:c r="AE3" s="48" t="n">
        <x:f>DEGREES(ATAN(H3/(B3-Y3/1000)))</x:f>
        <x:v>9.080188974539194</x:v>
      </x:c>
      <x:c r="AF3" s="48" t="n">
        <x:f>DEGREES((2*PI()/Inputs!$C$13)*Inputs!$C$15*SIN(RADIANS(AE3)))</x:f>
        <x:v>56.81399114973656</x:v>
      </x:c>
      <x:c r="AG3" s="48" t="n">
        <x:f>(Z3/AA3)^4</x:f>
        <x:v>0.9516659426822349</x:v>
      </x:c>
      <x:c r="AH3" s="48" t="n">
        <x:f>10*LOG10(AG3)</x:f>
        <x:v>-0.215154725292806</x:v>
      </x:c>
      <x:c r="AI3" s="48" t="n">
        <x:f>AC3-F3</x:f>
        <x:v>-50.37310443290926</x:v>
      </x:c>
      <x:c r="AJ3" s="48" t="n">
        <x:f>AD3-G3</x:f>
        <x:v>-0.5981746604884748</x:v>
      </x:c>
      <x:c r="AK3" s="48" t="n">
        <x:f>Y3-X3</x:f>
        <x:v>91.05094793083794</x:v>
      </x:c>
      <x:c r="AL3" s="48" t="n">
        <x:f>1000*(AA4-AA2)/(A4-A2)*Inputs!$C$11</x:f>
        <x:v>-1078.8348282719653</x:v>
      </x:c>
      <x:c r="AM3" s="48" t="n">
        <x:f>-2*AL3/Inputs!$C$13</x:f>
        <x:v>431.5339313087861</x:v>
      </x:c>
      <x:c r="AN3" s="48" t="n">
        <x:f>-2*AL3/Inputs!$C$14</x:f>
        <x:v>64.79488458089882</x:v>
      </x:c>
      <x:c r="AO3" s="48" t="n">
        <x:f>ABS(AM3)</x:f>
        <x:v>431.5339313087861</x:v>
      </x:c>
      <x:c r="AP3" s="48" t="n">
        <x:f>ABS(AN3)</x:f>
        <x:v>64.79488458089882</x:v>
      </x:c>
      <x:c r="AQ3" s="48" t="n">
        <x:f>IF(OR(Inputs!$C$27=TRUE,Inputs!$C$27="TRUE",Inputs!$C$27=1),Inputs!$C$46/Inputs!$C$12,0)</x:f>
        <x:v>42.13483146067416</x:v>
      </x:c>
      <x:c r="AR3" s="48" t="n">
        <x:f>AC3-AQ3</x:f>
        <x:v>2785.7887110054035</x:v>
      </x:c>
      <x:c r="AS3" s="48" t="n">
        <x:f>AC3+AQ3</x:f>
        <x:v>2870.058373926752</x:v>
      </x:c>
    </x:row>
    <x:row r="4">
      <x:c r="A4" s="48" t="n">
        <x:f>Inputs!$C$7+2*(Inputs!$C$8-Inputs!$C$7)/240</x:f>
        <x:v>-59</x:v>
      </x:c>
      <x:c r="B4" s="48" t="n">
        <x:f>Inputs!$C$5+Inputs!$C$9*(A4/Inputs!$C$10)^2</x:f>
        <x:v>403.8677777777778</x:v>
      </x:c>
      <x:c r="C4" s="48" t="n">
        <x:f>B4</x:f>
        <x:v>403.8677777777778</x:v>
      </x:c>
      <x:c r="D4" s="48" t="n">
        <x:f>SQRT(A4^2+Inputs!$C$6^2+B4^2)</x:f>
        <x:v>408.91952989208096</x:v>
      </x:c>
      <x:c r="E4" s="48" t="n">
        <x:f>(D4-C4)*1000</x:f>
        <x:v>5051.752114303155</x:v>
      </x:c>
      <x:c r="F4" s="48" t="n">
        <x:f>E4/Inputs!$C$12</x:f>
        <x:v>2838.0629855635702</x:v>
      </x:c>
      <x:c r="G4" s="48" t="n">
        <x:f>2*E4/Inputs!$C$21*1000000</x:f>
        <x:v>33.70166246345767</x:v>
      </x:c>
      <x:c r="H4" s="48" t="n">
        <x:f>SQRT(A4^2+Inputs!$C$6^2)</x:f>
        <x:v>64.07807737440318</x:v>
      </x:c>
      <x:c r="I4" s="48" t="n">
        <x:f>DEGREES(ATAN(H4/B4))</x:f>
        <x:v>9.015458913989574</x:v>
      </x:c>
      <x:c r="J4" s="48" t="n">
        <x:f>DEGREES((2*PI()/Inputs!$C$13)*Inputs!$C$15*SIN(RADIANS(I4)))</x:f>
        <x:v>56.41234073822082</x:v>
      </x:c>
      <x:c r="K4" s="48" t="n">
        <x:f>(C4/D4)^4</x:f>
        <x:v>0.9514925839256605</x:v>
      </x:c>
      <x:c r="L4" s="48" t="n">
        <x:f>10*LOG10(K4)</x:f>
        <x:v>-0.215945923193827</x:v>
      </x:c>
      <x:c r="M4" s="48" t="n">
        <x:f>2*(Inputs!$C$9/(Inputs!$C$10^2))*A4</x:f>
        <x:v>-0.13111111111111112</x:v>
      </x:c>
      <x:c r="N4" s="48" t="n">
        <x:f>M4*Inputs!$C$11</x:f>
        <x:v>-0.5244444444444445</x:v>
      </x:c>
      <x:c r="O4" s="48" t="n">
        <x:f>1000*((A4*Inputs!$C$11)+(B4*N4))/D4</x:f>
        <x:v>-1095.0961732345256</x:v>
      </x:c>
      <x:c r="P4" s="48" t="n">
        <x:f>-2*O4/Inputs!$C$13</x:f>
        <x:v>438.03846929381024</x:v>
      </x:c>
      <x:c r="Q4" s="48" t="n">
        <x:f>-2*O4/Inputs!$C$14</x:f>
        <x:v>65.77154193600755</x:v>
      </x:c>
      <x:c r="R4" s="48" t="n">
        <x:f>F4-Inputs!$C$16/2</x:f>
        <x:v>2823.0629855635702</x:v>
      </x:c>
      <x:c r="S4" s="48" t="n">
        <x:f>F4+Inputs!$C$16/2</x:f>
        <x:v>2853.0629855635702</x:v>
      </x:c>
      <x:c r="T4" s="48" t="n">
        <x:f>F4-Inputs!$C$17/2</x:f>
        <x:v>2688.0629855635702</x:v>
      </x:c>
      <x:c r="U4" s="48" t="n">
        <x:f>F4+Inputs!$C$17/2</x:f>
        <x:v>2988.0629855635702</x:v>
      </x:c>
      <x:c r="V4" s="48" t="n">
        <x:f>ABS(P4)</x:f>
        <x:v>438.03846929381024</x:v>
      </x:c>
      <x:c r="W4" s="48" t="n">
        <x:f>ABS(Q4)</x:f>
        <x:v>65.77154193600755</x:v>
      </x:c>
      <x:c r="X4" s="48" t="n">
        <x: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(0.45*SIN(2*PI()*(((A4)/Inputs!$C$49)+Inputs!$C$47*0.137))+0.35*COS(2*PI()*(((0)/Inputs!$C$50)+Inputs!$C$47*0.173))+0.20*SIN(2*PI()*(((A4)+(0))/(0.5*(Inputs!$C$49+Inputs!$C$50))+Inputs!$C$47*0.097)))+0.30*(2*((SIN(((A4)*12.9898+(0)*78.233+Inputs!$C$47*37.719))*43758.5453)-INT((SIN(((A4)*12.9898+(0)*78.233+Inputs!$C$47*37.719))*43758.5453)))-1)))</x:f>
        <x:v>7.970448353767724</x:v>
      </x:c>
      <x:c r="Y4" s="48" t="n">
        <x: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(0.45*SIN(2*PI()*(((A4)/Inputs!$C$49)+Inputs!$C$47*0.137))+0.35*COS(2*PI()*(((Inputs!$C$6)/Inputs!$C$50)+Inputs!$C$47*0.173))+0.20*SIN(2*PI()*(((A4)+(Inputs!$C$6))/(0.5*(Inputs!$C$49+Inputs!$C$50))+Inputs!$C$47*0.097)))+0.30*(2*((SIN(((A4)*12.9898+(Inputs!$C$6)*78.233+Inputs!$C$47*37.719))*43758.5453)-INT((SIN(((A4)*12.9898+(Inputs!$C$6)*78.233+Inputs!$C$47*37.719))*43758.5453)))-1)))</x:f>
        <x:v>112.99219424849355</x:v>
      </x:c>
      <x:c r="Z4" s="48" t="n">
        <x:f>B4-X4/1000</x:f>
        <x:v>403.85980732942403</x:v>
      </x:c>
      <x:c r="AA4" s="48" t="n">
        <x:f>SQRT(A4^2+Inputs!$C$6^2+(B4-Y4/1000)^2)</x:f>
        <x:v>408.8079339758485</x:v>
      </x:c>
      <x:c r="AB4" s="48" t="n">
        <x:f>(AA4-Z4)*1000</x:f>
        <x:v>4948.126646424498</x:v>
      </x:c>
      <x:c r="AC4" s="48" t="n">
        <x:f>AB4/Inputs!$C$12</x:f>
        <x:v>2779.8464305755606</x:v>
      </x:c>
      <x:c r="AD4" s="48" t="n">
        <x:f>2*AB4/Inputs!$C$21*1000000</x:f>
        <x:v>33.01034775480908</x:v>
      </x:c>
      <x:c r="AE4" s="48" t="n">
        <x:f>DEGREES(ATAN(H4/(B4-Y4/1000)))</x:f>
        <x:v>9.017940465982647</x:v>
      </x:c>
      <x:c r="AF4" s="48" t="n">
        <x:f>DEGREES((2*PI()/Inputs!$C$13)*Inputs!$C$15*SIN(RADIANS(AE4)))</x:f>
        <x:v>56.42774011364456</x:v>
      </x:c>
      <x:c r="AG4" s="48" t="n">
        <x:f>(Z4/AA4)^4</x:f>
        <x:v>0.9524567670352405</x:v>
      </x:c>
      <x:c r="AH4" s="48" t="n">
        <x:f>10*LOG10(AG4)</x:f>
        <x:v>-0.21154728265626002</x:v>
      </x:c>
      <x:c r="AI4" s="48" t="n">
        <x:f>AC4-F4</x:f>
        <x:v>-58.21655498800965</x:v>
      </x:c>
      <x:c r="AJ4" s="48" t="n">
        <x:f>AD4-G4</x:f>
        <x:v>-0.6913147086485907</x:v>
      </x:c>
      <x:c r="AK4" s="48" t="n">
        <x:f>Y4-X4</x:f>
        <x:v>105.02174589472583</x:v>
      </x:c>
      <x:c r="AL4" s="48" t="n">
        <x:f>1000*(AA5-AA3)/(A5-A3)*Inputs!$C$11</x:f>
        <x:v>-1188.8496880887942</x:v>
      </x:c>
      <x:c r="AM4" s="48" t="n">
        <x:f>-2*AL4/Inputs!$C$13</x:f>
        <x:v>475.5398752355177</x:v>
      </x:c>
      <x:c r="AN4" s="48" t="n">
        <x:f>-2*AL4/Inputs!$C$14</x:f>
        <x:v>71.40238366899665</x:v>
      </x:c>
      <x:c r="AO4" s="48" t="n">
        <x:f>ABS(AM4)</x:f>
        <x:v>475.5398752355177</x:v>
      </x:c>
      <x:c r="AP4" s="48" t="n">
        <x:f>ABS(AN4)</x:f>
        <x:v>71.40238366899665</x:v>
      </x:c>
      <x:c r="AQ4" s="48" t="n">
        <x:f>IF(OR(Inputs!$C$27=TRUE,Inputs!$C$27="TRUE",Inputs!$C$27=1),Inputs!$C$46/Inputs!$C$12,0)</x:f>
        <x:v>42.13483146067416</x:v>
      </x:c>
      <x:c r="AR4" s="48" t="n">
        <x:f>AC4-AQ4</x:f>
        <x:v>2737.711599114886</x:v>
      </x:c>
      <x:c r="AS4" s="48" t="n">
        <x:f>AC4+AQ4</x:f>
        <x:v>2821.981262036235</x:v>
      </x:c>
    </x:row>
    <x:row r="5">
      <x:c r="A5" s="48" t="n">
        <x:f>Inputs!$C$7+3*(Inputs!$C$8-Inputs!$C$7)/240</x:f>
        <x:v>-58.5</x:v>
      </x:c>
      <x:c r="B5" s="48" t="n">
        <x:f>Inputs!$C$5+Inputs!$C$9*(A5/Inputs!$C$10)^2</x:f>
        <x:v>403.8025</x:v>
      </x:c>
      <x:c r="C5" s="48" t="n">
        <x:f>B5</x:f>
        <x:v>403.8025</x:v>
      </x:c>
      <x:c r="D5" s="48" t="n">
        <x:f>SQRT(A5^2+Inputs!$C$6^2+B5^2)</x:f>
        <x:v>408.7832053867307</x:v>
      </x:c>
      <x:c r="E5" s="48" t="n">
        <x:f>(D5-C5)*1000</x:f>
        <x:v>4980.705386730677</x:v>
      </x:c>
      <x:c r="F5" s="48" t="n">
        <x:f>E5/Inputs!$C$12</x:f>
        <x:v>2798.1490936689197</x:v>
      </x:c>
      <x:c r="G5" s="48" t="n">
        <x:f>2*E5/Inputs!$C$21*1000000</x:f>
        <x:v>33.227689715467605</x:v>
      </x:c>
      <x:c r="H5" s="48" t="n">
        <x:f>SQRT(A5^2+Inputs!$C$6^2)</x:f>
        <x:v>63.61800059731522</x:v>
      </x:c>
      <x:c r="I5" s="48" t="n">
        <x:f>DEGREES(ATAN(H5/B5))</x:f>
        <x:v>8.953204095149154</x:v>
      </x:c>
      <x:c r="J5" s="48" t="n">
        <x:f>DEGREES((2*PI()/Inputs!$C$13)*Inputs!$C$15*SIN(RADIANS(I5)))</x:f>
        <x:v>56.02598128601325</x:v>
      </x:c>
      <x:c r="K5" s="48" t="n">
        <x:f>(C5/D5)^4</x:f>
        <x:v>0.9521466297969774</x:v>
      </x:c>
      <x:c r="L5" s="48" t="n">
        <x:f>10*LOG10(K5)</x:f>
        <x:v>-0.212961654725793</x:v>
      </x:c>
      <x:c r="M5" s="48" t="n">
        <x:f>2*(Inputs!$C$9/(Inputs!$C$10^2))*A5</x:f>
        <x:v>-0.13</x:v>
      </x:c>
      <x:c r="N5" s="48" t="n">
        <x:f>M5*Inputs!$C$11</x:f>
        <x:v>-0.52</x:v>
      </x:c>
      <x:c r="O5" s="48" t="n">
        <x:f>1000*((A5*Inputs!$C$11)+(B5*N5))/D5</x:f>
        <x:v>-1086.0947664911375</x:v>
      </x:c>
      <x:c r="P5" s="48" t="n">
        <x:f>-2*O5/Inputs!$C$13</x:f>
        <x:v>434.43790659645504</x:v>
      </x:c>
      <x:c r="Q5" s="48" t="n">
        <x:f>-2*O5/Inputs!$C$14</x:f>
        <x:v>65.23091690637463</x:v>
      </x:c>
      <x:c r="R5" s="48" t="n">
        <x:f>F5-Inputs!$C$16/2</x:f>
        <x:v>2783.1490936689197</x:v>
      </x:c>
      <x:c r="S5" s="48" t="n">
        <x:f>F5+Inputs!$C$16/2</x:f>
        <x:v>2813.1490936689197</x:v>
      </x:c>
      <x:c r="T5" s="48" t="n">
        <x:f>F5-Inputs!$C$17/2</x:f>
        <x:v>2648.1490936689197</x:v>
      </x:c>
      <x:c r="U5" s="48" t="n">
        <x:f>F5+Inputs!$C$17/2</x:f>
        <x:v>2948.1490936689197</x:v>
      </x:c>
      <x:c r="V5" s="48" t="n">
        <x:f>ABS(P5)</x:f>
        <x:v>434.43790659645504</x:v>
      </x:c>
      <x:c r="W5" s="48" t="n">
        <x:f>ABS(Q5)</x:f>
        <x:v>65.23091690637463</x:v>
      </x:c>
      <x:c r="X5" s="48" t="n">
        <x: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(0.45*SIN(2*PI()*(((A5)/Inputs!$C$49)+Inputs!$C$47*0.137))+0.35*COS(2*PI()*(((0)/Inputs!$C$50)+Inputs!$C$47*0.173))+0.20*SIN(2*PI()*(((A5)+(0))/(0.5*(Inputs!$C$49+Inputs!$C$50))+Inputs!$C$47*0.097)))+0.30*(2*((SIN(((A5)*12.9898+(0)*78.233+Inputs!$C$47*37.719))*43758.5453)-INT((SIN(((A5)*12.9898+(0)*78.233+Inputs!$C$47*37.719))*43758.5453)))-1)))</x:f>
        <x:v>21.747313566550197</x:v>
      </x:c>
      <x:c r="Y5" s="48" t="n">
        <x: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(0.45*SIN(2*PI()*(((A5)/Inputs!$C$49)+Inputs!$C$47*0.137))+0.35*COS(2*PI()*(((Inputs!$C$6)/Inputs!$C$50)+Inputs!$C$47*0.173))+0.20*SIN(2*PI()*(((A5)+(Inputs!$C$6))/(0.5*(Inputs!$C$49+Inputs!$C$50))+Inputs!$C$47*0.097)))+0.30*(2*((SIN(((A5)*12.9898+(Inputs!$C$6)*78.233+Inputs!$C$47*37.719))*43758.5453)-INT((SIN(((A5)*12.9898+(Inputs!$C$6)*78.233+Inputs!$C$47*37.719))*43758.5453)))-1)))</x:f>
        <x:v>134.3858310571132</x:v>
      </x:c>
      <x:c r="Z5" s="48" t="n">
        <x:f>B5-X5/1000</x:f>
        <x:v>403.78075268643346</x:v>
      </x:c>
      <x:c r="AA5" s="48" t="n">
        <x:f>SQRT(A5^2+Inputs!$C$6^2+(B5-Y5/1000)^2)</x:f>
        <x:v>408.65045747767215</x:v>
      </x:c>
      <x:c r="AB5" s="48" t="n">
        <x:f>(AA5-Z5)*1000</x:f>
        <x:v>4869.70479123869</x:v>
      </x:c>
      <x:c r="AC5" s="48" t="n">
        <x:f>AB5/Inputs!$C$12</x:f>
        <x:v>2735.7892085610615</x:v>
      </x:c>
      <x:c r="AD5" s="48" t="n">
        <x:f>2*AB5/Inputs!$C$21*1000000</x:f>
        <x:v>32.48717345143279</x:v>
      </x:c>
      <x:c r="AE5" s="48" t="n">
        <x:f>DEGREES(ATAN(H5/(B5-Y5/1000)))</x:f>
        <x:v>8.956136413347307</x:v>
      </x:c>
      <x:c r="AF5" s="48" t="n">
        <x:f>DEGREES((2*PI()/Inputs!$C$13)*Inputs!$C$15*SIN(RADIANS(AE5)))</x:f>
        <x:v>56.044181025503505</x:v>
      </x:c>
      <x:c r="AG5" s="48" t="n">
        <x:f>(Z5/AA5)^4</x:f>
        <x:v>0.9531790651869078</x:v>
      </x:c>
      <x:c r="AH5" s="48" t="n">
        <x:f>10*LOG10(AG5)</x:f>
        <x:v>-0.208255046949143</x:v>
      </x:c>
      <x:c r="AI5" s="48" t="n">
        <x:f>AC5-F5</x:f>
        <x:v>-62.35988510785819</x:v>
      </x:c>
      <x:c r="AJ5" s="48" t="n">
        <x:f>AD5-G5</x:f>
        <x:v>-0.7405162640348166</x:v>
      </x:c>
      <x:c r="AK5" s="48" t="n">
        <x:f>Y5-X5</x:f>
        <x:v>112.638517490563</x:v>
      </x:c>
      <x:c r="AL5" s="48" t="n">
        <x:f>1000*(AA6-AA4)/(A6-A4)*Inputs!$C$11</x:f>
        <x:v>-1114.2154688777737</x:v>
      </x:c>
      <x:c r="AM5" s="48" t="n">
        <x:f>-2*AL5/Inputs!$C$13</x:f>
        <x:v>445.68618755110947</x:v>
      </x:c>
      <x:c r="AN5" s="48" t="n">
        <x:f>-2*AL5/Inputs!$C$14</x:f>
        <x:v>66.91984798064708</x:v>
      </x:c>
      <x:c r="AO5" s="48" t="n">
        <x:f>ABS(AM5)</x:f>
        <x:v>445.68618755110947</x:v>
      </x:c>
      <x:c r="AP5" s="48" t="n">
        <x:f>ABS(AN5)</x:f>
        <x:v>66.91984798064708</x:v>
      </x:c>
      <x:c r="AQ5" s="48" t="n">
        <x:f>IF(OR(Inputs!$C$27=TRUE,Inputs!$C$27="TRUE",Inputs!$C$27=1),Inputs!$C$46/Inputs!$C$12,0)</x:f>
        <x:v>42.13483146067416</x:v>
      </x:c>
      <x:c r="AR5" s="48" t="n">
        <x:f>AC5-AQ5</x:f>
        <x:v>2693.654377100387</x:v>
      </x:c>
      <x:c r="AS5" s="48" t="n">
        <x:f>AC5+AQ5</x:f>
        <x:v>2777.924040021736</x:v>
      </x:c>
    </x:row>
    <x:row r="6">
      <x:c r="A6" s="48" t="n">
        <x:f>Inputs!$C$7+4*(Inputs!$C$8-Inputs!$C$7)/240</x:f>
        <x:v>-58</x:v>
      </x:c>
      <x:c r="B6" s="48" t="n">
        <x:f>Inputs!$C$5+Inputs!$C$9*(A6/Inputs!$C$10)^2</x:f>
        <x:v>403.73777777777775</x:v>
      </x:c>
      <x:c r="C6" s="48" t="n">
        <x:f>B6</x:f>
        <x:v>403.73777777777775</x:v>
      </x:c>
      <x:c r="D6" s="48" t="n">
        <x:f>SQRT(A6^2+Inputs!$C$6^2+B6^2)</x:f>
        <x:v>408.6480064859466</x:v>
      </x:c>
      <x:c r="E6" s="48" t="n">
        <x:f>(D6-C6)*1000</x:f>
        <x:v>4910.228708168859</x:v>
      </x:c>
      <x:c r="F6" s="48" t="n">
        <x:f>E6/Inputs!$C$12</x:f>
        <x:v>2758.555454027449</x:v>
      </x:c>
      <x:c r="G6" s="48" t="n">
        <x:f>2*E6/Inputs!$C$21*1000000</x:f>
        <x:v>32.75751992512673</x:v>
      </x:c>
      <x:c r="H6" s="48" t="n">
        <x:f>SQRT(A6^2+Inputs!$C$6^2)</x:f>
        <x:v>63.15853069855251</x:v>
      </x:c>
      <x:c r="I6" s="48" t="n">
        <x:f>DEGREES(ATAN(H6/B6))</x:f>
        <x:v>8.890979841704603</x:v>
      </x:c>
      <x:c r="J6" s="48" t="n">
        <x:f>DEGREES((2*PI()/Inputs!$C$13)*Inputs!$C$15*SIN(RADIANS(I6)))</x:f>
        <x:v>55.639745430303066</x:v>
      </x:c>
      <x:c r="K6" s="48" t="n">
        <x:f>(C6/D6)^4</x:f>
        <x:v>0.9527961960409873</x:v>
      </x:c>
      <x:c r="L6" s="48" t="n">
        <x:f>10*LOG10(K6)</x:f>
        <x:v>-0.20999985406163002</x:v>
      </x:c>
      <x:c r="M6" s="48" t="n">
        <x:f>2*(Inputs!$C$9/(Inputs!$C$10^2))*A6</x:f>
        <x:v>-0.1288888888888889</x:v>
      </x:c>
      <x:c r="N6" s="48" t="n">
        <x:f>M6*Inputs!$C$11</x:f>
        <x:v>-0.5155555555555555</x:v>
      </x:c>
      <x:c r="O6" s="48" t="n">
        <x:f>1000*((A6*Inputs!$C$11)+(B6*N6))/D6</x:f>
        <x:v>-1077.086508033961</x:v>
      </x:c>
      <x:c r="P6" s="48" t="n">
        <x:f>-2*O6/Inputs!$C$13</x:f>
        <x:v>430.83460321358444</x:v>
      </x:c>
      <x:c r="Q6" s="48" t="n">
        <x:f>-2*O6/Inputs!$C$14</x:f>
        <x:v>64.68988036240007</x:v>
      </x:c>
      <x:c r="R6" s="48" t="n">
        <x:f>F6-Inputs!$C$16/2</x:f>
        <x:v>2743.555454027449</x:v>
      </x:c>
      <x:c r="S6" s="48" t="n">
        <x:f>F6+Inputs!$C$16/2</x:f>
        <x:v>2773.555454027449</x:v>
      </x:c>
      <x:c r="T6" s="48" t="n">
        <x:f>F6-Inputs!$C$17/2</x:f>
        <x:v>2608.555454027449</x:v>
      </x:c>
      <x:c r="U6" s="48" t="n">
        <x:f>F6+Inputs!$C$17/2</x:f>
        <x:v>2908.555454027449</x:v>
      </x:c>
      <x:c r="V6" s="48" t="n">
        <x:f>ABS(P6)</x:f>
        <x:v>430.83460321358444</x:v>
      </x:c>
      <x:c r="W6" s="48" t="n">
        <x:f>ABS(Q6)</x:f>
        <x:v>64.68988036240007</x:v>
      </x:c>
      <x:c r="X6" s="48" t="n">
        <x: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(0.45*SIN(2*PI()*(((A6)/Inputs!$C$49)+Inputs!$C$47*0.137))+0.35*COS(2*PI()*(((0)/Inputs!$C$50)+Inputs!$C$47*0.173))+0.20*SIN(2*PI()*(((A6)+(0))/(0.5*(Inputs!$C$49+Inputs!$C$50))+Inputs!$C$47*0.097)))+0.30*(2*((SIN(((A6)*12.9898+(0)*78.233+Inputs!$C$47*37.719))*43758.5453)-INT((SIN(((A6)*12.9898+(0)*78.233+Inputs!$C$47*37.719))*43758.5453)))-1)))</x:f>
        <x:v>31.86691354901535</x:v>
      </x:c>
      <x:c r="Y6" s="48" t="n">
        <x: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(0.45*SIN(2*PI()*(((A6)/Inputs!$C$49)+Inputs!$C$47*0.137))+0.35*COS(2*PI()*(((Inputs!$C$6)/Inputs!$C$50)+Inputs!$C$47*0.173))+0.20*SIN(2*PI()*(((A6)+(Inputs!$C$6))/(0.5*(Inputs!$C$49+Inputs!$C$50))+Inputs!$C$47*0.097)))+0.30*(2*((SIN(((A6)*12.9898+(Inputs!$C$6)*78.233+Inputs!$C$47*37.719))*43758.5453)-INT((SIN(((A6)*12.9898+(Inputs!$C$6)*78.233+Inputs!$C$47*37.719))*43758.5453)))-1)))</x:f>
        <x:v>120.06952906780961</x:v>
      </x:c>
      <x:c r="Z6" s="48" t="n">
        <x:f>B6-X6/1000</x:f>
        <x:v>403.7059108642287</x:v>
      </x:c>
      <x:c r="AA6" s="48" t="n">
        <x:f>SQRT(A6^2+Inputs!$C$6^2+(B6-Y6/1000)^2)</x:f>
        <x:v>408.5293801086291</x:v>
      </x:c>
      <x:c r="AB6" s="48" t="n">
        <x:f>(AA6-Z6)*1000</x:f>
        <x:v>4823.469244400371</x:v>
      </x:c>
      <x:c r="AC6" s="48" t="n">
        <x:f>AB6/Inputs!$C$12</x:f>
        <x:v>2709.8141822473995</x:v>
      </x:c>
      <x:c r="AD6" s="48" t="n">
        <x:f>2*AB6/Inputs!$C$21*1000000</x:f>
        <x:v>32.17872308449048</x:v>
      </x:c>
      <x:c r="AE6" s="48" t="n">
        <x:f>DEGREES(ATAN(H6/(B6-Y6/1000)))</x:f>
        <x:v>8.893582485768457</x:v>
      </x:c>
      <x:c r="AF6" s="48" t="n">
        <x:f>DEGREES((2*PI()/Inputs!$C$13)*Inputs!$C$15*SIN(RADIANS(AE6)))</x:f>
        <x:v>55.65590177488105</x:v>
      </x:c>
      <x:c r="AG6" s="48" t="n">
        <x:f>(Z6/AA6)^4</x:f>
        <x:v>0.9536022180751881</x:v>
      </x:c>
      <x:c r="AH6" s="48" t="n">
        <x:f>10*LOG10(AG6)</x:f>
        <x:v>-0.20632747435325502</x:v>
      </x:c>
      <x:c r="AI6" s="48" t="n">
        <x:f>AC6-F6</x:f>
        <x:v>-48.741271780049374</x:v>
      </x:c>
      <x:c r="AJ6" s="48" t="n">
        <x:f>AD6-G6</x:f>
        <x:v>-0.5787968406362509</x:v>
      </x:c>
      <x:c r="AK6" s="48" t="n">
        <x:f>Y6-X6</x:f>
        <x:v>88.20261551879426</x:v>
      </x:c>
      <x:c r="AL6" s="48" t="n">
        <x:f>1000*(AA7-AA5)/(A7-A5)*Inputs!$C$11</x:f>
        <x:v>-1095.114408511563</x:v>
      </x:c>
      <x:c r="AM6" s="48" t="n">
        <x:f>-2*AL6/Inputs!$C$13</x:f>
        <x:v>438.0457634046252</x:v>
      </x:c>
      <x:c r="AN6" s="48" t="n">
        <x:f>-2*AL6/Inputs!$C$14</x:f>
        <x:v>65.77263714784162</x:v>
      </x:c>
      <x:c r="AO6" s="48" t="n">
        <x:f>ABS(AM6)</x:f>
        <x:v>438.0457634046252</x:v>
      </x:c>
      <x:c r="AP6" s="48" t="n">
        <x:f>ABS(AN6)</x:f>
        <x:v>65.77263714784162</x:v>
      </x:c>
      <x:c r="AQ6" s="48" t="n">
        <x:f>IF(OR(Inputs!$C$27=TRUE,Inputs!$C$27="TRUE",Inputs!$C$27=1),Inputs!$C$46/Inputs!$C$12,0)</x:f>
        <x:v>42.13483146067416</x:v>
      </x:c>
      <x:c r="AR6" s="48" t="n">
        <x:f>AC6-AQ6</x:f>
        <x:v>2667.679350786725</x:v>
      </x:c>
      <x:c r="AS6" s="48" t="n">
        <x:f>AC6+AQ6</x:f>
        <x:v>2751.949013708074</x:v>
      </x:c>
    </x:row>
    <x:row r="7">
      <x:c r="A7" s="48" t="n">
        <x:f>Inputs!$C$7+5*(Inputs!$C$8-Inputs!$C$7)/240</x:f>
        <x:v>-57.5</x:v>
      </x:c>
      <x:c r="B7" s="48" t="n">
        <x:f>Inputs!$C$5+Inputs!$C$9*(A7/Inputs!$C$10)^2</x:f>
        <x:v>403.6736111111111</x:v>
      </x:c>
      <x:c r="C7" s="48" t="n">
        <x:f>B7</x:f>
        <x:v>403.6736111111111</x:v>
      </x:c>
      <x:c r="D7" s="48" t="n">
        <x:f>SQRT(A7^2+Inputs!$C$6^2+B7^2)</x:f>
        <x:v>408.5139340432399</x:v>
      </x:c>
      <x:c r="E7" s="48" t="n">
        <x:f>(D7-C7)*1000</x:f>
        <x:v>4840.3229321288</x:v>
      </x:c>
      <x:c r="F7" s="48" t="n">
        <x:f>E7/Inputs!$C$12</x:f>
        <x:v>2719.282546139775</x:v>
      </x:c>
      <x:c r="G7" s="48" t="n">
        <x:f>2*E7/Inputs!$C$21*1000000</x:f>
        <x:v>32.291158786448186</x:v>
      </x:c>
      <x:c r="H7" s="48" t="n">
        <x:f>SQRT(A7^2+Inputs!$C$6^2)</x:f>
        <x:v>62.69968101992226</x:v>
      </x:c>
      <x:c r="I7" s="48" t="n">
        <x:f>DEGREES(ATAN(H7/B7))</x:f>
        <x:v>8.828788473728661</x:v>
      </x:c>
      <x:c r="J7" s="48" t="n">
        <x:f>DEGREES((2*PI()/Inputs!$C$13)*Inputs!$C$15*SIN(RADIANS(I7)))</x:f>
        <x:v>55.25364812839616</x:v>
      </x:c>
      <x:c r="K7" s="48" t="n">
        <x:f>(C7/D7)^4</x:f>
        <x:v>0.9534412572554191</x:v>
      </x:c>
      <x:c r="L7" s="48" t="n">
        <x:f>10*LOG10(K7)</x:f>
        <x:v>-0.20706059236444402</x:v>
      </x:c>
      <x:c r="M7" s="48" t="n">
        <x:f>2*(Inputs!$C$9/(Inputs!$C$10^2))*A7</x:f>
        <x:v>-0.12777777777777777</x:v>
      </x:c>
      <x:c r="N7" s="48" t="n">
        <x:f>M7*Inputs!$C$11</x:f>
        <x:v>-0.5111111111111111</x:v>
      </x:c>
      <x:c r="O7" s="48" t="n">
        <x:f>1000*((A7*Inputs!$C$11)+(B7*N7))/D7</x:f>
        <x:v>-1068.0714451592028</x:v>
      </x:c>
      <x:c r="P7" s="48" t="n">
        <x:f>-2*O7/Inputs!$C$13</x:f>
        <x:v>427.2285780636811</x:v>
      </x:c>
      <x:c r="Q7" s="48" t="n">
        <x:f>-2*O7/Inputs!$C$14</x:f>
        <x:v>64.14843514469686</x:v>
      </x:c>
      <x:c r="R7" s="48" t="n">
        <x:f>F7-Inputs!$C$16/2</x:f>
        <x:v>2704.282546139775</x:v>
      </x:c>
      <x:c r="S7" s="48" t="n">
        <x:f>F7+Inputs!$C$16/2</x:f>
        <x:v>2734.282546139775</x:v>
      </x:c>
      <x:c r="T7" s="48" t="n">
        <x:f>F7-Inputs!$C$17/2</x:f>
        <x:v>2569.282546139775</x:v>
      </x:c>
      <x:c r="U7" s="48" t="n">
        <x:f>F7+Inputs!$C$17/2</x:f>
        <x:v>2869.282546139775</x:v>
      </x:c>
      <x:c r="V7" s="48" t="n">
        <x:f>ABS(P7)</x:f>
        <x:v>427.2285780636811</x:v>
      </x:c>
      <x:c r="W7" s="48" t="n">
        <x:f>ABS(Q7)</x:f>
        <x:v>64.14843514469686</x:v>
      </x:c>
      <x:c r="X7" s="48" t="n">
        <x: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(0.45*SIN(2*PI()*(((A7)/Inputs!$C$49)+Inputs!$C$47*0.137))+0.35*COS(2*PI()*(((0)/Inputs!$C$50)+Inputs!$C$47*0.173))+0.20*SIN(2*PI()*(((A7)+(0))/(0.5*(Inputs!$C$49+Inputs!$C$50))+Inputs!$C$47*0.097)))+0.30*(2*((SIN(((A7)*12.9898+(0)*78.233+Inputs!$C$47*37.719))*43758.5453)-INT((SIN(((A7)*12.9898+(0)*78.233+Inputs!$C$47*37.719))*43758.5453)))-1)))</x:f>
        <x:v>34.58634748797326</x:v>
      </x:c>
      <x:c r="Y7" s="48" t="n">
        <x: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(0.45*SIN(2*PI()*(((A7)/Inputs!$C$49)+Inputs!$C$47*0.137))+0.35*COS(2*PI()*(((Inputs!$C$6)/Inputs!$C$50)+Inputs!$C$47*0.173))+0.20*SIN(2*PI()*(((A7)+(Inputs!$C$6))/(0.5*(Inputs!$C$49+Inputs!$C$50))+Inputs!$C$47*0.097)))+0.30*(2*((SIN(((A7)*12.9898+(Inputs!$C$6)*78.233+Inputs!$C$47*37.719))*43758.5453)-INT((SIN(((A7)*12.9898+(Inputs!$C$6)*78.233+Inputs!$C$47*37.719))*43758.5453)))-1)))</x:f>
        <x:v>138.90151425445745</x:v>
      </x:c>
      <x:c r="Z7" s="48" t="n">
        <x:f>B7-X7/1000</x:f>
        <x:v>403.6390247636231</x:v>
      </x:c>
      <x:c r="AA7" s="48" t="n">
        <x:f>SQRT(A7^2+Inputs!$C$6^2+(B7-Y7/1000)^2)</x:f>
        <x:v>408.37667887554426</x:v>
      </x:c>
      <x:c r="AB7" s="48" t="n">
        <x:f>(AA7-Z7)*1000</x:f>
        <x:v>4737.654111921131</x:v>
      </x:c>
      <x:c r="AC7" s="48" t="n">
        <x:f>AB7/Inputs!$C$12</x:f>
        <x:v>2661.6034336635566</x:v>
      </x:c>
      <x:c r="AD7" s="48" t="n">
        <x:f>2*AB7/Inputs!$C$21*1000000</x:f>
        <x:v>31.60622614409553</x:v>
      </x:c>
      <x:c r="AE7" s="48" t="n">
        <x:f>DEGREES(ATAN(H7/(B7-Y7/1000)))</x:f>
        <x:v>8.831779547584913</x:v>
      </x:c>
      <x:c r="AF7" s="48" t="n">
        <x:f>DEGREES((2*PI()/Inputs!$C$13)*Inputs!$C$15*SIN(RADIANS(AE7)))</x:f>
        <x:v>55.27221884786168</x:v>
      </x:c>
      <x:c r="AG7" s="48" t="n">
        <x:f>(Z7/AA7)^4</x:f>
        <x:v>0.9543965508557777</x:v>
      </x:c>
      <x:c r="AH7" s="48" t="n">
        <x:f>10*LOG10(AG7)</x:f>
        <x:v>-0.202711388546988</x:v>
      </x:c>
      <x:c r="AI7" s="48" t="n">
        <x:f>AC7-F7</x:f>
        <x:v>-57.679112476218506</x:v>
      </x:c>
      <x:c r="AJ7" s="48" t="n">
        <x:f>AD7-G7</x:f>
        <x:v>-0.6849326423526563</x:v>
      </x:c>
      <x:c r="AK7" s="48" t="n">
        <x:f>Y7-X7</x:f>
        <x:v>104.3151667664842</x:v>
      </x:c>
      <x:c r="AL7" s="48" t="n">
        <x:f>1000*(AA8-AA6)/(A8-A6)*Inputs!$C$11</x:f>
        <x:v>-1137.0029549029823</x:v>
      </x:c>
      <x:c r="AM7" s="48" t="n">
        <x:f>-2*AL7/Inputs!$C$13</x:f>
        <x:v>454.8011819611929</x:v>
      </x:c>
      <x:c r="AN7" s="48" t="n">
        <x:f>-2*AL7/Inputs!$C$14</x:f>
        <x:v>68.28846575993889</x:v>
      </x:c>
      <x:c r="AO7" s="48" t="n">
        <x:f>ABS(AM7)</x:f>
        <x:v>454.8011819611929</x:v>
      </x:c>
      <x:c r="AP7" s="48" t="n">
        <x:f>ABS(AN7)</x:f>
        <x:v>68.28846575993889</x:v>
      </x:c>
      <x:c r="AQ7" s="48" t="n">
        <x:f>IF(OR(Inputs!$C$27=TRUE,Inputs!$C$27="TRUE",Inputs!$C$27=1),Inputs!$C$46/Inputs!$C$12,0)</x:f>
        <x:v>42.13483146067416</x:v>
      </x:c>
      <x:c r="AR7" s="48" t="n">
        <x:f>AC7-AQ7</x:f>
        <x:v>2619.4686022028823</x:v>
      </x:c>
      <x:c r="AS7" s="48" t="n">
        <x:f>AC7+AQ7</x:f>
        <x:v>2703.738265124231</x:v>
      </x:c>
    </x:row>
    <x:row r="8">
      <x:c r="A8" s="48" t="n">
        <x:f>Inputs!$C$7+6*(Inputs!$C$8-Inputs!$C$7)/240</x:f>
        <x:v>-57</x:v>
      </x:c>
      <x:c r="B8" s="48" t="n">
        <x:f>Inputs!$C$5+Inputs!$C$9*(A8/Inputs!$C$10)^2</x:f>
        <x:v>403.61</x:v>
      </x:c>
      <x:c r="C8" s="48" t="n">
        <x:f>B8</x:f>
        <x:v>403.61</x:v>
      </x:c>
      <x:c r="D8" s="48" t="n">
        <x:f>SQRT(A8^2+Inputs!$C$6^2+B8^2)</x:f>
        <x:v>408.38098890619284</x:v>
      </x:c>
      <x:c r="E8" s="48" t="n">
        <x:f>(D8-C8)*1000</x:f>
        <x:v>4770.988906192826</x:v>
      </x:c>
      <x:c r="F8" s="48" t="n">
        <x:f>E8/Inputs!$C$12</x:f>
        <x:v>2680.330846175745</x:v>
      </x:c>
      <x:c r="G8" s="48" t="n">
        <x:f>2*E8/Inputs!$C$21*1000000</x:f>
        <x:v>31.828611953892622</x:v>
      </x:c>
      <x:c r="H8" s="48" t="n">
        <x:f>SQRT(A8^2+Inputs!$C$6^2)</x:f>
        <x:v>62.24146527838174</x:v>
      </x:c>
      <x:c r="I8" s="48" t="n">
        <x:f>DEGREES(ATAN(H8/B8))</x:f>
        <x:v>8.766632366658216</x:v>
      </x:c>
      <x:c r="J8" s="48" t="n">
        <x:f>DEGREES((2*PI()/Inputs!$C$13)*Inputs!$C$15*SIN(RADIANS(I8)))</x:f>
        <x:v>54.86770468976069</x:v>
      </x:c>
      <x:c r="K8" s="48" t="n">
        <x:f>(C8/D8)^4</x:f>
        <x:v>0.9540817881574452</x:v>
      </x:c>
      <x:c r="L8" s="48" t="n">
        <x:f>10*LOG10(K8)</x:f>
        <x:v>-0.20414394034954</x:v>
      </x:c>
      <x:c r="M8" s="48" t="n">
        <x:f>2*(Inputs!$C$9/(Inputs!$C$10^2))*A8</x:f>
        <x:v>-0.12666666666666668</x:v>
      </x:c>
      <x:c r="N8" s="48" t="n">
        <x:f>M8*Inputs!$C$11</x:f>
        <x:v>-0.5066666666666667</x:v>
      </x:c>
      <x:c r="O8" s="48" t="n">
        <x:f>1000*((A8*Inputs!$C$11)+(B8*N8))/D8</x:f>
        <x:v>-1059.049625428768</x:v>
      </x:c>
      <x:c r="P8" s="48" t="n">
        <x:f>-2*O8/Inputs!$C$13</x:f>
        <x:v>423.6198501715072</x:v>
      </x:c>
      <x:c r="Q8" s="48" t="n">
        <x:f>-2*O8/Inputs!$C$14</x:f>
        <x:v>63.60658410983592</x:v>
      </x:c>
      <x:c r="R8" s="48" t="n">
        <x:f>F8-Inputs!$C$16/2</x:f>
        <x:v>2665.330846175745</x:v>
      </x:c>
      <x:c r="S8" s="48" t="n">
        <x:f>F8+Inputs!$C$16/2</x:f>
        <x:v>2695.330846175745</x:v>
      </x:c>
      <x:c r="T8" s="48" t="n">
        <x:f>F8-Inputs!$C$17/2</x:f>
        <x:v>2530.330846175745</x:v>
      </x:c>
      <x:c r="U8" s="48" t="n">
        <x:f>F8+Inputs!$C$17/2</x:f>
        <x:v>2830.330846175745</x:v>
      </x:c>
      <x:c r="V8" s="48" t="n">
        <x:f>ABS(P8)</x:f>
        <x:v>423.6198501715072</x:v>
      </x:c>
      <x:c r="W8" s="48" t="n">
        <x:f>ABS(Q8)</x:f>
        <x:v>63.60658410983592</x:v>
      </x:c>
      <x:c r="X8" s="48" t="n">
        <x: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(0.45*SIN(2*PI()*(((A8)/Inputs!$C$49)+Inputs!$C$47*0.137))+0.35*COS(2*PI()*(((0)/Inputs!$C$50)+Inputs!$C$47*0.173))+0.20*SIN(2*PI()*(((A8)+(0))/(0.5*(Inputs!$C$49+Inputs!$C$50))+Inputs!$C$47*0.097)))+0.30*(2*((SIN(((A8)*12.9898+(0)*78.233+Inputs!$C$47*37.719))*43758.5453)-INT((SIN(((A8)*12.9898+(0)*78.233+Inputs!$C$47*37.719))*43758.5453)))-1)))</x:f>
        <x:v>55.44088303799376</x:v>
      </x:c>
      <x:c r="Y8" s="48" t="n">
        <x: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(0.45*SIN(2*PI()*(((A8)/Inputs!$C$49)+Inputs!$C$47*0.137))+0.35*COS(2*PI()*(((Inputs!$C$6)/Inputs!$C$50)+Inputs!$C$47*0.173))+0.20*SIN(2*PI()*(((A8)+(Inputs!$C$6))/(0.5*(Inputs!$C$49+Inputs!$C$50))+Inputs!$C$47*0.097)))+0.30*(2*((SIN(((A8)*12.9898+(Inputs!$C$6)*78.233+Inputs!$C$47*37.719))*43758.5453)-INT((SIN(((A8)*12.9898+(Inputs!$C$6)*78.233+Inputs!$C$47*37.719))*43758.5453)))-1)))</x:f>
        <x:v>137.46604725484156</x:v>
      </x:c>
      <x:c r="Z8" s="48" t="n">
        <x:f>B8-X8/1000</x:f>
        <x:v>403.554559116962</x:v>
      </x:c>
      <x:c r="AA8" s="48" t="n">
        <x:f>SQRT(A8^2+Inputs!$C$6^2+(B8-Y8/1000)^2)</x:f>
        <x:v>408.24512936990334</x:v>
      </x:c>
      <x:c r="AB8" s="48" t="n">
        <x:f>(AA8-Z8)*1000</x:f>
        <x:v>4690.570252941314</x:v>
      </x:c>
      <x:c r="AC8" s="48" t="n">
        <x:f>AB8/Inputs!$C$12</x:f>
        <x:v>2635.15182749512</x:v>
      </x:c>
      <x:c r="AD8" s="48" t="n">
        <x:f>2*AB8/Inputs!$C$21*1000000</x:f>
        <x:v>31.29211644771473</x:v>
      </x:c>
      <x:c r="AE8" s="48" t="n">
        <x:f>DEGREES(ATAN(H8/(B8-Y8/1000)))</x:f>
        <x:v>8.769572800126648</x:v>
      </x:c>
      <x:c r="AF8" s="48" t="n">
        <x:f>DEGREES((2*PI()/Inputs!$C$13)*Inputs!$C$15*SIN(RADIANS(AE8)))</x:f>
        <x:v>54.885964064778655</x:v>
      </x:c>
      <x:c r="AG8" s="48" t="n">
        <x:f>(Z8/AA8)^4</x:f>
        <x:v>0.9548276441206984</x:v>
      </x:c>
      <x:c r="AH8" s="48" t="n">
        <x:f>10*LOG10(AG8)</x:f>
        <x:v>-0.20075015811826102</x:v>
      </x:c>
      <x:c r="AI8" s="48" t="n">
        <x:f>AC8-F8</x:f>
        <x:v>-45.17901868062518</x:v>
      </x:c>
      <x:c r="AJ8" s="48" t="n">
        <x:f>AD8-G8</x:f>
        <x:v>-0.5364955061778929</x:v>
      </x:c>
      <x:c r="AK8" s="48" t="n">
        <x:f>Y8-X8</x:f>
        <x:v>82.0251642168478</x:v>
      </x:c>
      <x:c r="AL8" s="48" t="n">
        <x:f>1000*(AA9-AA7)/(A9-A7)*Inputs!$C$11</x:f>
        <x:v>-1069.3317170548653</x:v>
      </x:c>
      <x:c r="AM8" s="48" t="n">
        <x:f>-2*AL8/Inputs!$C$13</x:f>
        <x:v>427.7326868219461</x:v>
      </x:c>
      <x:c r="AN8" s="48" t="n">
        <x:f>-2*AL8/Inputs!$C$14</x:f>
        <x:v>64.22412715044237</x:v>
      </x:c>
      <x:c r="AO8" s="48" t="n">
        <x:f>ABS(AM8)</x:f>
        <x:v>427.7326868219461</x:v>
      </x:c>
      <x:c r="AP8" s="48" t="n">
        <x:f>ABS(AN8)</x:f>
        <x:v>64.22412715044237</x:v>
      </x:c>
      <x:c r="AQ8" s="48" t="n">
        <x:f>IF(OR(Inputs!$C$27=TRUE,Inputs!$C$27="TRUE",Inputs!$C$27=1),Inputs!$C$46/Inputs!$C$12,0)</x:f>
        <x:v>42.13483146067416</x:v>
      </x:c>
      <x:c r="AR8" s="48" t="n">
        <x:f>AC8-AQ8</x:f>
        <x:v>2593.0169960344456</x:v>
      </x:c>
      <x:c r="AS8" s="48" t="n">
        <x:f>AC8+AQ8</x:f>
        <x:v>2677.2866589557943</x:v>
      </x:c>
    </x:row>
    <x:row r="9">
      <x:c r="A9" s="48" t="n">
        <x:f>Inputs!$C$7+7*(Inputs!$C$8-Inputs!$C$7)/240</x:f>
        <x:v>-56.5</x:v>
      </x:c>
      <x:c r="B9" s="48" t="n">
        <x:f>Inputs!$C$5+Inputs!$C$9*(A9/Inputs!$C$10)^2</x:f>
        <x:v>403.5469444444444</x:v>
      </x:c>
      <x:c r="C9" s="48" t="n">
        <x:f>B9</x:f>
        <x:v>403.5469444444444</x:v>
      </x:c>
      <x:c r="D9" s="48" t="n">
        <x:f>SQRT(A9^2+Inputs!$C$6^2+B9^2)</x:f>
        <x:v>408.24917191642595</x:v>
      </x:c>
      <x:c r="E9" s="48" t="n">
        <x:f>(D9-C9)*1000</x:f>
        <x:v>4702.2274719815305</x:v>
      </x:c>
      <x:c r="F9" s="48" t="n">
        <x:f>E9/Inputs!$C$12</x:f>
        <x:v>2641.700826955916</x:v>
      </x:c>
      <x:c r="G9" s="48" t="n">
        <x:f>2*E9/Inputs!$C$21*1000000</x:f>
        <x:v>31.369885042148262</x:v>
      </x:c>
      <x:c r="H9" s="48" t="n">
        <x:f>SQRT(A9^2+Inputs!$C$6^2)</x:f>
        <x:v>61.78389757857625</x:v>
      </x:c>
      <x:c r="I9" s="48" t="n">
        <x:f>DEGREES(ATAN(H9/B9))</x:f>
        <x:v>8.704513953078392</x:v>
      </x:c>
      <x:c r="J9" s="48" t="n">
        <x:f>DEGREES((2*PI()/Inputs!$C$13)*Inputs!$C$15*SIN(RADIANS(I9)))</x:f>
        <x:v>54.48193078721229</x:v>
      </x:c>
      <x:c r="K9" s="48" t="n">
        <x:f>(C9/D9)^4</x:f>
        <x:v>0.9547177635858287</x:v>
      </x:c>
      <x:c r="L9" s="48" t="n">
        <x:f>10*LOG10(K9)</x:f>
        <x:v>-0.201249968280644</x:v>
      </x:c>
      <x:c r="M9" s="48" t="n">
        <x:f>2*(Inputs!$C$9/(Inputs!$C$10^2))*A9</x:f>
        <x:v>-0.12555555555555556</x:v>
      </x:c>
      <x:c r="N9" s="48" t="n">
        <x:f>M9*Inputs!$C$11</x:f>
        <x:v>-0.5022222222222222</x:v>
      </x:c>
      <x:c r="O9" s="48" t="n">
        <x:f>1000*((A9*Inputs!$C$11)+(B9*N9))/D9</x:f>
        <x:v>-1050.0210966689506</x:v>
      </x:c>
      <x:c r="P9" s="48" t="n">
        <x:f>-2*O9/Inputs!$C$13</x:f>
        <x:v>420.0084386675802</x:v>
      </x:c>
      <x:c r="Q9" s="48" t="n">
        <x:f>-2*O9/Inputs!$C$14</x:f>
        <x:v>63.06433013026731</x:v>
      </x:c>
      <x:c r="R9" s="48" t="n">
        <x:f>F9-Inputs!$C$16/2</x:f>
        <x:v>2626.700826955916</x:v>
      </x:c>
      <x:c r="S9" s="48" t="n">
        <x:f>F9+Inputs!$C$16/2</x:f>
        <x:v>2656.700826955916</x:v>
      </x:c>
      <x:c r="T9" s="48" t="n">
        <x:f>F9-Inputs!$C$17/2</x:f>
        <x:v>2491.700826955916</x:v>
      </x:c>
      <x:c r="U9" s="48" t="n">
        <x:f>F9+Inputs!$C$17/2</x:f>
        <x:v>2791.700826955916</x:v>
      </x:c>
      <x:c r="V9" s="48" t="n">
        <x:f>ABS(P9)</x:f>
        <x:v>420.0084386675802</x:v>
      </x:c>
      <x:c r="W9" s="48" t="n">
        <x:f>ABS(Q9)</x:f>
        <x:v>63.06433013026731</x:v>
      </x:c>
      <x:c r="X9" s="48" t="n">
        <x: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(0.45*SIN(2*PI()*(((A9)/Inputs!$C$49)+Inputs!$C$47*0.137))+0.35*COS(2*PI()*(((0)/Inputs!$C$50)+Inputs!$C$47*0.173))+0.20*SIN(2*PI()*(((A9)+(0))/(0.5*(Inputs!$C$49+Inputs!$C$50))+Inputs!$C$47*0.097)))+0.30*(2*((SIN(((A9)*12.9898+(0)*78.233+Inputs!$C$47*37.719))*43758.5453)-INT((SIN(((A9)*12.9898+(0)*78.233+Inputs!$C$47*37.719))*43758.5453)))-1)))</x:f>
        <x:v>57.32564727891993</x:v>
      </x:c>
      <x:c r="Y9" s="48" t="n">
        <x: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(0.45*SIN(2*PI()*(((A9)/Inputs!$C$49)+Inputs!$C$47*0.137))+0.35*COS(2*PI()*(((Inputs!$C$6)/Inputs!$C$50)+Inputs!$C$47*0.173))+0.20*SIN(2*PI()*(((A9)+(Inputs!$C$6))/(0.5*(Inputs!$C$49+Inputs!$C$50))+Inputs!$C$47*0.097)))+0.30*(2*((SIN(((A9)*12.9898+(Inputs!$C$6)*78.233+Inputs!$C$47*37.719))*43758.5453)-INT((SIN(((A9)*12.9898+(Inputs!$C$6)*78.233+Inputs!$C$47*37.719))*43758.5453)))-1)))</x:f>
        <x:v>141.4558244940569</x:v>
      </x:c>
      <x:c r="Z9" s="48" t="n">
        <x:f>B9-X9/1000</x:f>
        <x:v>403.4896187971655</x:v>
      </x:c>
      <x:c r="AA9" s="48" t="n">
        <x:f>SQRT(A9^2+Inputs!$C$6^2+(B9-Y9/1000)^2)</x:f>
        <x:v>408.10934594628054</x:v>
      </x:c>
      <x:c r="AB9" s="48" t="n">
        <x:f>(AA9-Z9)*1000</x:f>
        <x:v>4619.727149115022</x:v>
      </x:c>
      <x:c r="AC9" s="48" t="n">
        <x:f>AB9/Inputs!$C$12</x:f>
        <x:v>2595.3523309634957</x:v>
      </x:c>
      <x:c r="AD9" s="48" t="n">
        <x:f>2*AB9/Inputs!$C$21*1000000</x:f>
        <x:v>30.819502131137813</x:v>
      </x:c>
      <x:c r="AE9" s="48" t="n">
        <x:f>DEGREES(ATAN(H9/(B9-Y9/1000)))</x:f>
        <x:v>8.70751945434895</x:v>
      </x:c>
      <x:c r="AF9" s="48" t="n">
        <x:f>DEGREES((2*PI()/Inputs!$C$13)*Inputs!$C$15*SIN(RADIANS(AE9)))</x:f>
        <x:v>54.50059732573532</x:v>
      </x:c>
      <x:c r="AG9" s="48" t="n">
        <x:f>(Z9/AA9)^4</x:f>
        <x:v>0.955483737715013</x:v>
      </x:c>
      <x:c r="AH9" s="48" t="n">
        <x:f>10*LOG10(AG9)</x:f>
        <x:v>-0.197767002162267</x:v>
      </x:c>
      <x:c r="AI9" s="48" t="n">
        <x:f>AC9-F9</x:f>
        <x:v>-46.34849599242034</x:v>
      </x:c>
      <x:c r="AJ9" s="48" t="n">
        <x:f>AD9-G9</x:f>
        <x:v>-0.5503829110104483</x:v>
      </x:c>
      <x:c r="AK9" s="48" t="n">
        <x:f>Y9-X9</x:f>
        <x:v>84.13017721513698</x:v>
      </x:c>
      <x:c r="AL9" s="48" t="n">
        <x:f>1000*(AA10-AA8)/(A10-A8)*Inputs!$C$11</x:f>
        <x:v>-1167.4495703484808</x:v>
      </x:c>
      <x:c r="AM9" s="48" t="n">
        <x:f>-2*AL9/Inputs!$C$13</x:f>
        <x:v>466.97982813939234</x:v>
      </x:c>
      <x:c r="AN9" s="48" t="n">
        <x:f>-2*AL9/Inputs!$C$14</x:f>
        <x:v>70.11709131222108</x:v>
      </x:c>
      <x:c r="AO9" s="48" t="n">
        <x:f>ABS(AM9)</x:f>
        <x:v>466.97982813939234</x:v>
      </x:c>
      <x:c r="AP9" s="48" t="n">
        <x:f>ABS(AN9)</x:f>
        <x:v>70.11709131222108</x:v>
      </x:c>
      <x:c r="AQ9" s="48" t="n">
        <x:f>IF(OR(Inputs!$C$27=TRUE,Inputs!$C$27="TRUE",Inputs!$C$27=1),Inputs!$C$46/Inputs!$C$12,0)</x:f>
        <x:v>42.13483146067416</x:v>
      </x:c>
      <x:c r="AR9" s="48" t="n">
        <x:f>AC9-AQ9</x:f>
        <x:v>2553.2174995028213</x:v>
      </x:c>
      <x:c r="AS9" s="48" t="n">
        <x:f>AC9+AQ9</x:f>
        <x:v>2637.48716242417</x:v>
      </x:c>
    </x:row>
    <x:row r="10">
      <x:c r="A10" s="48" t="n">
        <x:f>Inputs!$C$7+8*(Inputs!$C$8-Inputs!$C$7)/240</x:f>
        <x:v>-56</x:v>
      </x:c>
      <x:c r="B10" s="48" t="n">
        <x:f>Inputs!$C$5+Inputs!$C$9*(A10/Inputs!$C$10)^2</x:f>
        <x:v>403.4844444444444</x:v>
      </x:c>
      <x:c r="C10" s="48" t="n">
        <x:f>B10</x:f>
        <x:v>403.4844444444444</x:v>
      </x:c>
      <x:c r="D10" s="48" t="n">
        <x:f>SQRT(A10^2+Inputs!$C$6^2+B10^2)</x:f>
        <x:v>408.1184839095651</x:v>
      </x:c>
      <x:c r="E10" s="48" t="n">
        <x:f>(D10-C10)*1000</x:f>
        <x:v>4634.039465120679</x:v>
      </x:c>
      <x:c r="F10" s="48" t="n">
        <x:f>E10/Inputs!$C$12</x:f>
        <x:v>2603.3929579329656</x:v>
      </x:c>
      <x:c r="G10" s="48" t="n">
        <x:f>2*E10/Inputs!$C$21*1000000</x:f>
        <x:v>30.914983625910157</x:v>
      </x:c>
      <x:c r="H10" s="48" t="n">
        <x:f>SQRT(A10^2+Inputs!$C$6^2)</x:f>
        <x:v>61.326992425847855</x:v>
      </x:c>
      <x:c r="I10" s="48" t="n">
        <x:f>DEGREES(ATAN(H10/B10))</x:f>
        <x:v>8.642435724573849</x:v>
      </x:c>
      <x:c r="J10" s="48" t="n">
        <x:f>DEGREES((2*PI()/Inputs!$C$13)*Inputs!$C$15*SIN(RADIANS(I10)))</x:f>
        <x:v>54.09634246852054</x:v>
      </x:c>
      <x:c r="K10" s="48" t="n">
        <x:f>(C10/D10)^4</x:f>
        <x:v>0.9553491585030692</x:v>
      </x:c>
      <x:c r="L10" s="48" t="n">
        <x:f>10*LOG10(K10)</x:f>
        <x:v>-0.198378745966117</x:v>
      </x:c>
      <x:c r="M10" s="48" t="n">
        <x:f>2*(Inputs!$C$9/(Inputs!$C$10^2))*A10</x:f>
        <x:v>-0.12444444444444444</x:v>
      </x:c>
      <x:c r="N10" s="48" t="n">
        <x:f>M10*Inputs!$C$11</x:f>
        <x:v>-0.49777777777777776</x:v>
      </x:c>
      <x:c r="O10" s="48" t="n">
        <x:f>1000*((A10*Inputs!$C$11)+(B10*N10))/D10</x:f>
        <x:v>-1040.9859069691101</x:v>
      </x:c>
      <x:c r="P10" s="48" t="n">
        <x:f>-2*O10/Inputs!$C$13</x:f>
        <x:v>416.39436278764407</x:v>
      </x:c>
      <x:c r="Q10" s="48" t="n">
        <x:f>-2*O10/Inputs!$C$14</x:f>
        <x:v>62.52167609424085</x:v>
      </x:c>
      <x:c r="R10" s="48" t="n">
        <x:f>F10-Inputs!$C$16/2</x:f>
        <x:v>2588.3929579329656</x:v>
      </x:c>
      <x:c r="S10" s="48" t="n">
        <x:f>F10+Inputs!$C$16/2</x:f>
        <x:v>2618.3929579329656</x:v>
      </x:c>
      <x:c r="T10" s="48" t="n">
        <x:f>F10-Inputs!$C$17/2</x:f>
        <x:v>2453.3929579329656</x:v>
      </x:c>
      <x:c r="U10" s="48" t="n">
        <x:f>F10+Inputs!$C$17/2</x:f>
        <x:v>2753.3929579329656</x:v>
      </x:c>
      <x:c r="V10" s="48" t="n">
        <x:f>ABS(P10)</x:f>
        <x:v>416.39436278764407</x:v>
      </x:c>
      <x:c r="W10" s="48" t="n">
        <x:f>ABS(Q10)</x:f>
        <x:v>62.52167609424085</x:v>
      </x:c>
      <x:c r="X10" s="48" t="n">
        <x: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(0.45*SIN(2*PI()*(((A10)/Inputs!$C$49)+Inputs!$C$47*0.137))+0.35*COS(2*PI()*(((0)/Inputs!$C$50)+Inputs!$C$47*0.173))+0.20*SIN(2*PI()*(((A10)+(0))/(0.5*(Inputs!$C$49+Inputs!$C$50))+Inputs!$C$47*0.097)))+0.30*(2*((SIN(((A10)*12.9898+(0)*78.233+Inputs!$C$47*37.719))*43758.5453)-INT((SIN(((A10)*12.9898+(0)*78.233+Inputs!$C$47*37.719))*43758.5453)))-1)))</x:f>
        <x:v>61.55956835196879</x:v>
      </x:c>
      <x:c r="Y10" s="48" t="n">
        <x: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(0.45*SIN(2*PI()*(((A10)/Inputs!$C$49)+Inputs!$C$47*0.137))+0.35*COS(2*PI()*(((Inputs!$C$6)/Inputs!$C$50)+Inputs!$C$47*0.173))+0.20*SIN(2*PI()*(((A10)+(Inputs!$C$6))/(0.5*(Inputs!$C$49+Inputs!$C$50))+Inputs!$C$47*0.097)))+0.30*(2*((SIN(((A10)*12.9898+(Inputs!$C$6)*78.233+Inputs!$C$47*37.719))*43758.5453)-INT((SIN(((A10)*12.9898+(Inputs!$C$6)*78.233+Inputs!$C$47*37.719))*43758.5453)))-1)))</x:f>
        <x:v>167.1152389347629</x:v>
      </x:c>
      <x:c r="Z10" s="48" t="n">
        <x:f>B10-X10/1000</x:f>
        <x:v>403.42288487609244</x:v>
      </x:c>
      <x:c r="AA10" s="48" t="n">
        <x:f>SQRT(A10^2+Inputs!$C$6^2+(B10-Y10/1000)^2)</x:f>
        <x:v>407.9532669773162</x:v>
      </x:c>
      <x:c r="AB10" s="48" t="n">
        <x:f>(AA10-Z10)*1000</x:f>
        <x:v>4530.382101223779</x:v>
      </x:c>
      <x:c r="AC10" s="48" t="n">
        <x:f>AB10/Inputs!$C$12</x:f>
        <x:v>2545.1584838335834</x:v>
      </x:c>
      <x:c r="AD10" s="48" t="n">
        <x:f>2*AB10/Inputs!$C$21*1000000</x:f>
        <x:v>30.223456129932252</x:v>
      </x:c>
      <x:c r="AE10" s="48" t="n">
        <x:f>DEGREES(ATAN(H10/(B10-Y10/1000)))</x:f>
        <x:v>8.645962628857616</x:v>
      </x:c>
      <x:c r="AF10" s="48" t="n">
        <x:f>DEGREES((2*PI()/Inputs!$C$13)*Inputs!$C$15*SIN(RADIANS(AE10)))</x:f>
        <x:v>54.118250938122365</x:v>
      </x:c>
      <x:c r="AG10" s="48" t="n">
        <x:f>(Z10/AA10)^4</x:f>
        <x:v>0.9563138843586515</x:v>
      </x:c>
      <x:c r="AH10" s="48" t="n">
        <x:f>10*LOG10(AG10)</x:f>
        <x:v>-0.19399538821109097</x:v>
      </x:c>
      <x:c r="AI10" s="48" t="n">
        <x:f>AC10-F10</x:f>
        <x:v>-58.23447409938217</x:v>
      </x:c>
      <x:c r="AJ10" s="48" t="n">
        <x:f>AD10-G10</x:f>
        <x:v>-0.6915274959779047</x:v>
      </x:c>
      <x:c r="AK10" s="48" t="n">
        <x:f>Y10-X10</x:f>
        <x:v>105.55567058279412</x:v>
      </x:c>
      <x:c r="AL10" s="48" t="n">
        <x:f>1000*(AA11-AA9)/(A11-A9)*Inputs!$C$11</x:f>
        <x:v>-1116.8066772593193</x:v>
      </x:c>
      <x:c r="AM10" s="48" t="n">
        <x:f>-2*AL10/Inputs!$C$13</x:f>
        <x:v>446.7226709037277</x:v>
      </x:c>
      <x:c r="AN10" s="48" t="n">
        <x:f>-2*AL10/Inputs!$C$14</x:f>
        <x:v>67.07547611167084</x:v>
      </x:c>
      <x:c r="AO10" s="48" t="n">
        <x:f>ABS(AM10)</x:f>
        <x:v>446.7226709037277</x:v>
      </x:c>
      <x:c r="AP10" s="48" t="n">
        <x:f>ABS(AN10)</x:f>
        <x:v>67.07547611167084</x:v>
      </x:c>
      <x:c r="AQ10" s="48" t="n">
        <x:f>IF(OR(Inputs!$C$27=TRUE,Inputs!$C$27="TRUE",Inputs!$C$27=1),Inputs!$C$46/Inputs!$C$12,0)</x:f>
        <x:v>42.13483146067416</x:v>
      </x:c>
      <x:c r="AR10" s="48" t="n">
        <x:f>AC10-AQ10</x:f>
        <x:v>2503.023652372909</x:v>
      </x:c>
      <x:c r="AS10" s="48" t="n">
        <x:f>AC10+AQ10</x:f>
        <x:v>2587.293315294258</x:v>
      </x:c>
    </x:row>
    <x:row r="11">
      <x:c r="A11" s="48" t="n">
        <x:f>Inputs!$C$7+9*(Inputs!$C$8-Inputs!$C$7)/240</x:f>
        <x:v>-55.5</x:v>
      </x:c>
      <x:c r="B11" s="48" t="n">
        <x:f>Inputs!$C$5+Inputs!$C$9*(A11/Inputs!$C$10)^2</x:f>
        <x:v>403.4225</x:v>
      </x:c>
      <x:c r="C11" s="48" t="n">
        <x:f>B11</x:f>
        <x:v>403.4225</x:v>
      </x:c>
      <x:c r="D11" s="48" t="n">
        <x:f>SQRT(A11^2+Inputs!$C$6^2+B11^2)</x:f>
        <x:v>407.9889257152086</x:v>
      </x:c>
      <x:c r="E11" s="48" t="n">
        <x:f>(D11-C11)*1000</x:f>
        <x:v>4566.425715208596</x:v>
      </x:c>
      <x:c r="F11" s="48" t="n">
        <x:f>E11/Inputs!$C$12</x:f>
        <x:v>2565.4077051733684</x:v>
      </x:c>
      <x:c r="G11" s="48" t="n">
        <x:f>2*E11/Inputs!$C$21*1000000</x:f>
        <x:v>30.463913239662592</x:v>
      </x:c>
      <x:c r="H11" s="48" t="n">
        <x:f>SQRT(A11^2+Inputs!$C$6^2)</x:f>
        <x:v>60.87076473973364</x:v>
      </x:c>
      <x:c r="I11" s="48" t="n">
        <x:f>DEGREES(ATAN(H11/B11))</x:f>
        <x:v>8.580400233649934</x:v>
      </x:c>
      <x:c r="J11" s="48" t="n">
        <x:f>DEGREES((2*PI()/Inputs!$C$13)*Inputs!$C$15*SIN(RADIANS(I11)))</x:f>
        <x:v>53.71095616845376</x:v>
      </x:c>
      <x:c r="K11" s="48" t="n">
        <x:f>(C11/D11)^4</x:f>
        <x:v>0.9559759479975408</x:v>
      </x:c>
      <x:c r="L11" s="48" t="n">
        <x:f>10*LOG10(K11)</x:f>
        <x:v>-0.195530342755213</x:v>
      </x:c>
      <x:c r="M11" s="48" t="n">
        <x:f>2*(Inputs!$C$9/(Inputs!$C$10^2))*A11</x:f>
        <x:v>-0.12333333333333334</x:v>
      </x:c>
      <x:c r="N11" s="48" t="n">
        <x:f>M11*Inputs!$C$11</x:f>
        <x:v>-0.49333333333333335</x:v>
      </x:c>
      <x:c r="O11" s="48" t="n">
        <x:f>1000*((A11*Inputs!$C$11)+(B11*N11))/D11</x:f>
        <x:v>-1031.9441046803204</x:v>
      </x:c>
      <x:c r="P11" s="48" t="n">
        <x:f>-2*O11/Inputs!$C$13</x:f>
        <x:v>412.77764187212813</x:v>
      </x:c>
      <x:c r="Q11" s="48" t="n">
        <x:f>-2*O11/Inputs!$C$14</x:f>
        <x:v>61.978624905724956</x:v>
      </x:c>
      <x:c r="R11" s="48" t="n">
        <x:f>F11-Inputs!$C$16/2</x:f>
        <x:v>2550.4077051733684</x:v>
      </x:c>
      <x:c r="S11" s="48" t="n">
        <x:f>F11+Inputs!$C$16/2</x:f>
        <x:v>2580.4077051733684</x:v>
      </x:c>
      <x:c r="T11" s="48" t="n">
        <x:f>F11-Inputs!$C$17/2</x:f>
        <x:v>2415.4077051733684</x:v>
      </x:c>
      <x:c r="U11" s="48" t="n">
        <x:f>F11+Inputs!$C$17/2</x:f>
        <x:v>2715.4077051733684</x:v>
      </x:c>
      <x:c r="V11" s="48" t="n">
        <x:f>ABS(P11)</x:f>
        <x:v>412.77764187212813</x:v>
      </x:c>
      <x:c r="W11" s="48" t="n">
        <x:f>ABS(Q11)</x:f>
        <x:v>61.978624905724956</x:v>
      </x:c>
      <x:c r="X11" s="48" t="n">
        <x: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(0.45*SIN(2*PI()*(((A11)/Inputs!$C$49)+Inputs!$C$47*0.137))+0.35*COS(2*PI()*(((0)/Inputs!$C$50)+Inputs!$C$47*0.173))+0.20*SIN(2*PI()*(((A11)+(0))/(0.5*(Inputs!$C$49+Inputs!$C$50))+Inputs!$C$47*0.097)))+0.30*(2*((SIN(((A11)*12.9898+(0)*78.233+Inputs!$C$47*37.719))*43758.5453)-INT((SIN(((A11)*12.9898+(0)*78.233+Inputs!$C$47*37.719))*43758.5453)))-1)))</x:f>
        <x:v>38.49658216595124</x:v>
      </x:c>
      <x:c r="Y11" s="48" t="n">
        <x: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(0.45*SIN(2*PI()*(((A11)/Inputs!$C$49)+Inputs!$C$47*0.137))+0.35*COS(2*PI()*(((Inputs!$C$6)/Inputs!$C$50)+Inputs!$C$47*0.173))+0.20*SIN(2*PI()*(((A11)+(Inputs!$C$6))/(0.5*(Inputs!$C$49+Inputs!$C$50))+Inputs!$C$47*0.097)))+0.30*(2*((SIN(((A11)*12.9898+(Inputs!$C$6)*78.233+Inputs!$C$47*37.719))*43758.5453)-INT((SIN(((A11)*12.9898+(Inputs!$C$6)*78.233+Inputs!$C$47*37.719))*43758.5453)))-1)))</x:f>
        <x:v>160.57943103446084</x:v>
      </x:c>
      <x:c r="Z11" s="48" t="n">
        <x:f>B11-X11/1000</x:f>
        <x:v>403.38400341783404</x:v>
      </x:c>
      <x:c r="AA11" s="48" t="n">
        <x:f>SQRT(A11^2+Inputs!$C$6^2+(B11-Y11/1000)^2)</x:f>
        <x:v>407.8301442769657</x:v>
      </x:c>
      <x:c r="AB11" s="48" t="n">
        <x:f>(AA11-Z11)*1000</x:f>
        <x:v>4446.140859131674</x:v>
      </x:c>
      <x:c r="AC11" s="48" t="n">
        <x:f>AB11/Inputs!$C$12</x:f>
        <x:v>2497.831943332401</x:v>
      </x:c>
      <x:c r="AD11" s="48" t="n">
        <x:f>2*AB11/Inputs!$C$21*1000000</x:f>
        <x:v>29.661459055995824</x:v>
      </x:c>
      <x:c r="AE11" s="48" t="n">
        <x:f>DEGREES(ATAN(H11/(B11-Y11/1000)))</x:f>
        <x:v>8.583766074736308</x:v>
      </x:c>
      <x:c r="AF11" s="48" t="n">
        <x:f>DEGREES((2*PI()/Inputs!$C$13)*Inputs!$C$15*SIN(RADIANS(AE11)))</x:f>
        <x:v>53.731867577258406</x:v>
      </x:c>
      <x:c r="AG11" s="48" t="n">
        <x:f>(Z11/AA11)^4</x:f>
        <x:v>0.9571001746159302</x:v>
      </x:c>
      <x:c r="AH11" s="48" t="n">
        <x:f>10*LOG10(AG11)</x:f>
        <x:v>-0.19042604536519198</x:v>
      </x:c>
      <x:c r="AI11" s="48" t="n">
        <x:f>AC11-F11</x:f>
        <x:v>-67.57576184096752</x:v>
      </x:c>
      <x:c r="AJ11" s="48" t="n">
        <x:f>AD11-G11</x:f>
        <x:v>-0.802454183666768</x:v>
      </x:c>
      <x:c r="AK11" s="48" t="n">
        <x:f>Y11-X11</x:f>
        <x:v>122.0828488685096</x:v>
      </x:c>
      <x:c r="AL11" s="48" t="n">
        <x:f>1000*(AA12-AA10)/(A12-A10)*Inputs!$C$11</x:f>
        <x:v>-1067.7398504801658</x:v>
      </x:c>
      <x:c r="AM11" s="48" t="n">
        <x:f>-2*AL11/Inputs!$C$13</x:f>
        <x:v>427.09594019206634</x:v>
      </x:c>
      <x:c r="AN11" s="48" t="n">
        <x:f>-2*AL11/Inputs!$C$14</x:f>
        <x:v>64.12851954835831</x:v>
      </x:c>
      <x:c r="AO11" s="48" t="n">
        <x:f>ABS(AM11)</x:f>
        <x:v>427.09594019206634</x:v>
      </x:c>
      <x:c r="AP11" s="48" t="n">
        <x:f>ABS(AN11)</x:f>
        <x:v>64.12851954835831</x:v>
      </x:c>
      <x:c r="AQ11" s="48" t="n">
        <x:f>IF(OR(Inputs!$C$27=TRUE,Inputs!$C$27="TRUE",Inputs!$C$27=1),Inputs!$C$46/Inputs!$C$12,0)</x:f>
        <x:v>42.13483146067416</x:v>
      </x:c>
      <x:c r="AR11" s="48" t="n">
        <x:f>AC11-AQ11</x:f>
        <x:v>2455.6971118717265</x:v>
      </x:c>
      <x:c r="AS11" s="48" t="n">
        <x:f>AC11+AQ11</x:f>
        <x:v>2539.9667747930753</x:v>
      </x:c>
    </x:row>
    <x:row r="12">
      <x:c r="A12" s="48" t="n">
        <x:f>Inputs!$C$7+10*(Inputs!$C$8-Inputs!$C$7)/240</x:f>
        <x:v>-55</x:v>
      </x:c>
      <x:c r="B12" s="48" t="n">
        <x:f>Inputs!$C$5+Inputs!$C$9*(A12/Inputs!$C$10)^2</x:f>
        <x:v>403.3611111111111</x:v>
      </x:c>
      <x:c r="C12" s="48" t="n">
        <x:f>B12</x:f>
        <x:v>403.3611111111111</x:v>
      </x:c>
      <x:c r="D12" s="48" t="n">
        <x:f>SQRT(A12^2+Inputs!$C$6^2+B12^2)</x:f>
        <x:v>407.86049815689444</x:v>
      </x:c>
      <x:c r="E12" s="48" t="n">
        <x:f>(D12-C12)*1000</x:f>
        <x:v>4499.387045783351</x:v>
      </x:c>
      <x:c r="F12" s="48" t="n">
        <x:f>E12/Inputs!$C$12</x:f>
        <x:v>2527.745531338961</x:v>
      </x:c>
      <x:c r="G12" s="48" t="n">
        <x:f>2*E12/Inputs!$C$21*1000000</x:f>
        <x:v>30.016679377460196</x:v>
      </x:c>
      <x:c r="H12" s="48" t="n">
        <x:f>SQRT(A12^2+Inputs!$C$6^2)</x:f>
        <x:v>60.41522986797286</x:v>
      </x:c>
      <x:c r="I12" s="48" t="n">
        <x:f>DEGREES(ATAN(H12/B12))</x:f>
        <x:v>8.518410095726479</x:v>
      </x:c>
      <x:c r="J12" s="48" t="n">
        <x:f>DEGREES((2*PI()/Inputs!$C$13)*Inputs!$C$15*SIN(RADIANS(I12)))</x:f>
        <x:v>53.32578872127919</x:v>
      </x:c>
      <x:c r="K12" s="48" t="n">
        <x:f>(C12/D12)^4</x:f>
        <x:v>0.9565981072856315</x:v>
      </x:c>
      <x:c r="L12" s="48" t="n">
        <x:f>10*LOG10(K12)</x:f>
        <x:v>-0.19270482753432902</x:v>
      </x:c>
      <x:c r="M12" s="48" t="n">
        <x:f>2*(Inputs!$C$9/(Inputs!$C$10^2))*A12</x:f>
        <x:v>-0.12222222222222222</x:v>
      </x:c>
      <x:c r="N12" s="48" t="n">
        <x:f>M12*Inputs!$C$11</x:f>
        <x:v>-0.4888888888888889</x:v>
      </x:c>
      <x:c r="O12" s="48" t="n">
        <x:f>1000*((A12*Inputs!$C$11)+(B12*N12))/D12</x:f>
        <x:v>-1022.8957384140008</x:v>
      </x:c>
      <x:c r="P12" s="48" t="n">
        <x:f>-2*O12/Inputs!$C$13</x:f>
        <x:v>409.15829536560034</x:v>
      </x:c>
      <x:c r="Q12" s="48" t="n">
        <x:f>-2*O12/Inputs!$C$14</x:f>
        <x:v>61.43517948432438</x:v>
      </x:c>
      <x:c r="R12" s="48" t="n">
        <x:f>F12-Inputs!$C$16/2</x:f>
        <x:v>2512.745531338961</x:v>
      </x:c>
      <x:c r="S12" s="48" t="n">
        <x:f>F12+Inputs!$C$16/2</x:f>
        <x:v>2542.745531338961</x:v>
      </x:c>
      <x:c r="T12" s="48" t="n">
        <x:f>F12-Inputs!$C$17/2</x:f>
        <x:v>2377.745531338961</x:v>
      </x:c>
      <x:c r="U12" s="48" t="n">
        <x:f>F12+Inputs!$C$17/2</x:f>
        <x:v>2677.745531338961</x:v>
      </x:c>
      <x:c r="V12" s="48" t="n">
        <x:f>ABS(P12)</x:f>
        <x:v>409.15829536560034</x:v>
      </x:c>
      <x:c r="W12" s="48" t="n">
        <x:f>ABS(Q12)</x:f>
        <x:v>61.43517948432438</x:v>
      </x:c>
      <x:c r="X12" s="48" t="n">
        <x: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(0.45*SIN(2*PI()*(((A12)/Inputs!$C$49)+Inputs!$C$47*0.137))+0.35*COS(2*PI()*(((0)/Inputs!$C$50)+Inputs!$C$47*0.173))+0.20*SIN(2*PI()*(((A12)+(0))/(0.5*(Inputs!$C$49+Inputs!$C$50))+Inputs!$C$47*0.097)))+0.30*(2*((SIN(((A12)*12.9898+(0)*78.233+Inputs!$C$47*37.719))*43758.5453)-INT((SIN(((A12)*12.9898+(0)*78.233+Inputs!$C$47*37.719))*43758.5453)))-1)))</x:f>
        <x:v>46.51195593176057</x:v>
      </x:c>
      <x:c r="Y12" s="48" t="n">
        <x: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(0.45*SIN(2*PI()*(((A12)/Inputs!$C$49)+Inputs!$C$47*0.137))+0.35*COS(2*PI()*(((Inputs!$C$6)/Inputs!$C$50)+Inputs!$C$47*0.173))+0.20*SIN(2*PI()*(((A12)+(Inputs!$C$6))/(0.5*(Inputs!$C$49+Inputs!$C$50))+Inputs!$C$47*0.097)))+0.30*(2*((SIN(((A12)*12.9898+(Inputs!$C$6)*78.233+Inputs!$C$47*37.719))*43758.5453)-INT((SIN(((A12)*12.9898+(Inputs!$C$6)*78.233+Inputs!$C$47*37.719))*43758.5453)))-1)))</x:f>
        <x:v>176.10976359434375</x:v>
      </x:c>
      <x:c r="Z12" s="48" t="n">
        <x:f>B12-X12/1000</x:f>
        <x:v>403.31459915517934</x:v>
      </x:c>
      <x:c r="AA12" s="48" t="n">
        <x:f>SQRT(A12^2+Inputs!$C$6^2+(B12-Y12/1000)^2)</x:f>
        <x:v>407.6863320146962</x:v>
      </x:c>
      <x:c r="AB12" s="48" t="n">
        <x:f>(AA12-Z12)*1000</x:f>
        <x:v>4371.73285951684</x:v>
      </x:c>
      <x:c r="AC12" s="48" t="n">
        <x:f>AB12/Inputs!$C$12</x:f>
        <x:v>2456.0296963577753</x:v>
      </x:c>
      <x:c r="AD12" s="48" t="n">
        <x:f>2*AB12/Inputs!$C$21*1000000</x:f>
        <x:v>29.165062314655295</x:v>
      </x:c>
      <x:c r="AE12" s="48" t="n">
        <x:f>DEGREES(ATAN(H12/(B12-Y12/1000)))</x:f>
        <x:v>8.522076283477121</x:v>
      </x:c>
      <x:c r="AF12" s="48" t="n">
        <x:f>DEGREES((2*PI()/Inputs!$C$13)*Inputs!$C$15*SIN(RADIANS(AE12)))</x:f>
        <x:v>53.34856983060745</x:v>
      </x:c>
      <x:c r="AG12" s="48" t="n">
        <x:f>(Z12/AA12)^4</x:f>
        <x:v>0.9577919107922097</x:v>
      </x:c>
      <x:c r="AH12" s="48" t="n">
        <x:f>10*LOG10(AG12)</x:f>
        <x:v>-0.187288351918675</x:v>
      </x:c>
      <x:c r="AI12" s="48" t="n">
        <x:f>AC12-F12</x:f>
        <x:v>-71.71583498118571</x:v>
      </x:c>
      <x:c r="AJ12" s="48" t="n">
        <x:f>AD12-G12</x:f>
        <x:v>-0.8516170628049018</x:v>
      </x:c>
      <x:c r="AK12" s="48" t="n">
        <x:f>Y12-X12</x:f>
        <x:v>129.5978076625832</x:v>
      </x:c>
      <x:c r="AL12" s="48" t="n">
        <x:f>1000*(AA13-AA11)/(A13-A11)*Inputs!$C$11</x:f>
        <x:v>-1156.9484564950017</x:v>
      </x:c>
      <x:c r="AM12" s="48" t="n">
        <x:f>-2*AL12/Inputs!$C$13</x:f>
        <x:v>462.77938259800067</x:v>
      </x:c>
      <x:c r="AN12" s="48" t="n">
        <x:f>-2*AL12/Inputs!$C$14</x:f>
        <x:v>69.48639378348359</x:v>
      </x:c>
      <x:c r="AO12" s="48" t="n">
        <x:f>ABS(AM12)</x:f>
        <x:v>462.77938259800067</x:v>
      </x:c>
      <x:c r="AP12" s="48" t="n">
        <x:f>ABS(AN12)</x:f>
        <x:v>69.48639378348359</x:v>
      </x:c>
      <x:c r="AQ12" s="48" t="n">
        <x:f>IF(OR(Inputs!$C$27=TRUE,Inputs!$C$27="TRUE",Inputs!$C$27=1),Inputs!$C$46/Inputs!$C$12,0)</x:f>
        <x:v>42.13483146067416</x:v>
      </x:c>
      <x:c r="AR12" s="48" t="n">
        <x:f>AC12-AQ12</x:f>
        <x:v>2413.894864897101</x:v>
      </x:c>
      <x:c r="AS12" s="48" t="n">
        <x:f>AC12+AQ12</x:f>
        <x:v>2498.1645278184496</x:v>
      </x:c>
    </x:row>
    <x:row r="13">
      <x:c r="A13" s="48" t="n">
        <x:f>Inputs!$C$7+11*(Inputs!$C$8-Inputs!$C$7)/240</x:f>
        <x:v>-54.5</x:v>
      </x:c>
      <x:c r="B13" s="48" t="n">
        <x:f>Inputs!$C$5+Inputs!$C$9*(A13/Inputs!$C$10)^2</x:f>
        <x:v>403.30027777777775</x:v>
      </x:c>
      <x:c r="C13" s="48" t="n">
        <x:f>B13</x:f>
        <x:v>403.30027777777775</x:v>
      </x:c>
      <x:c r="D13" s="48" t="n">
        <x:f>SQRT(A13^2+Inputs!$C$6^2+B13^2)</x:f>
        <x:v>407.73320205206824</x:v>
      </x:c>
      <x:c r="E13" s="48" t="n">
        <x:f>(D13-C13)*1000</x:f>
        <x:v>4432.924274290485</x:v>
      </x:c>
      <x:c r="F13" s="48" t="n">
        <x:f>E13/Inputs!$C$12</x:f>
        <x:v>2490.406895668812</x:v>
      </x:c>
      <x:c r="G13" s="48" t="n">
        <x:f>2*E13/Inputs!$C$21*1000000</x:f>
        <x:v>29.57328749271261</x:v>
      </x:c>
      <x:c r="H13" s="48" t="n">
        <x:f>SQRT(A13^2+Inputs!$C$6^2)</x:f>
        <x:v>59.96040360104325</x:v>
      </x:c>
      <x:c r="I13" s="48" t="n">
        <x:f>DEGREES(ATAN(H13/B13))</x:f>
        <x:v>8.45646799120709</x:v>
      </x:c>
      <x:c r="J13" s="48" t="n">
        <x:f>DEGREES((2*PI()/Inputs!$C$13)*Inputs!$C$15*SIN(RADIANS(I13)))</x:f>
        <x:v>52.94085737373685</x:v>
      </x:c>
      <x:c r="K13" s="48" t="n">
        <x:f>(C13/D13)^4</x:f>
        <x:v>0.9572156117138775</x:v>
      </x:c>
      <x:c r="L13" s="48" t="n">
        <x:f>10*LOG10(K13)</x:f>
        <x:v>-0.189902268723279</x:v>
      </x:c>
      <x:c r="M13" s="48" t="n">
        <x:f>2*(Inputs!$C$9/(Inputs!$C$10^2))*A13</x:f>
        <x:v>-0.12111111111111111</x:v>
      </x:c>
      <x:c r="N13" s="48" t="n">
        <x:f>M13*Inputs!$C$11</x:f>
        <x:v>-0.48444444444444446</x:v>
      </x:c>
      <x:c r="O13" s="48" t="n">
        <x:f>1000*((A13*Inputs!$C$11)+(B13*N13))/D13</x:f>
        <x:v>-1013.8408570405232</x:v>
      </x:c>
      <x:c r="P13" s="48" t="n">
        <x:f>-2*O13/Inputs!$C$13</x:f>
        <x:v>405.5363428162093</x:v>
      </x:c>
      <x:c r="Q13" s="48" t="n">
        <x:f>-2*O13/Inputs!$C$14</x:f>
        <x:v>60.8913427651966</x:v>
      </x:c>
      <x:c r="R13" s="48" t="n">
        <x:f>F13-Inputs!$C$16/2</x:f>
        <x:v>2475.406895668812</x:v>
      </x:c>
      <x:c r="S13" s="48" t="n">
        <x:f>F13+Inputs!$C$16/2</x:f>
        <x:v>2505.406895668812</x:v>
      </x:c>
      <x:c r="T13" s="48" t="n">
        <x:f>F13-Inputs!$C$17/2</x:f>
        <x:v>2340.406895668812</x:v>
      </x:c>
      <x:c r="U13" s="48" t="n">
        <x:f>F13+Inputs!$C$17/2</x:f>
        <x:v>2640.406895668812</x:v>
      </x:c>
      <x:c r="V13" s="48" t="n">
        <x:f>ABS(P13)</x:f>
        <x:v>405.5363428162093</x:v>
      </x:c>
      <x:c r="W13" s="48" t="n">
        <x:f>ABS(Q13)</x:f>
        <x:v>60.8913427651966</x:v>
      </x:c>
      <x:c r="X13" s="48" t="n">
        <x: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(0.45*SIN(2*PI()*(((A13)/Inputs!$C$49)+Inputs!$C$47*0.137))+0.35*COS(2*PI()*(((0)/Inputs!$C$50)+Inputs!$C$47*0.173))+0.20*SIN(2*PI()*(((A13)+(0))/(0.5*(Inputs!$C$49+Inputs!$C$50))+Inputs!$C$47*0.097)))+0.30*(2*((SIN(((A13)*12.9898+(0)*78.233+Inputs!$C$47*37.719))*43758.5453)-INT((SIN(((A13)*12.9898+(0)*78.233+Inputs!$C$47*37.719))*43758.5453)))-1)))</x:f>
        <x:v>49.77469341509185</x:v>
      </x:c>
      <x:c r="Y13" s="48" t="n">
        <x: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(0.45*SIN(2*PI()*(((A13)/Inputs!$C$49)+Inputs!$C$47*0.137))+0.35*COS(2*PI()*(((Inputs!$C$6)/Inputs!$C$50)+Inputs!$C$47*0.173))+0.20*SIN(2*PI()*(((A13)+(Inputs!$C$6))/(0.5*(Inputs!$C$49+Inputs!$C$50))+Inputs!$C$47*0.097)))+0.30*(2*((SIN(((A13)*12.9898+(Inputs!$C$6)*78.233+Inputs!$C$47*37.719))*43758.5453)-INT((SIN(((A13)*12.9898+(Inputs!$C$6)*78.233+Inputs!$C$47*37.719))*43758.5453)))-1)))</x:f>
        <x:v>194.40953580817023</x:v>
      </x:c>
      <x:c r="Z13" s="48" t="n">
        <x:f>B13-X13/1000</x:f>
        <x:v>403.25050308436266</x:v>
      </x:c>
      <x:c r="AA13" s="48" t="n">
        <x:f>SQRT(A13^2+Inputs!$C$6^2+(B13-Y13/1000)^2)</x:f>
        <x:v>407.54090716284196</x:v>
      </x:c>
      <x:c r="AB13" s="48" t="n">
        <x:f>(AA13-Z13)*1000</x:f>
        <x:v>4290.404078479298</x:v>
      </x:c>
      <x:c r="AC13" s="48" t="n">
        <x:f>AB13/Inputs!$C$12</x:f>
        <x:v>2410.3393699321896</x:v>
      </x:c>
      <x:c r="AD13" s="48" t="n">
        <x:f>2*AB13/Inputs!$C$21*1000000</x:f>
        <x:v>28.622495089448165</x:v>
      </x:c>
      <x:c r="AE13" s="48" t="n">
        <x:f>DEGREES(ATAN(H13/(B13-Y13/1000)))</x:f>
        <x:v>8.460487356312948</x:v>
      </x:c>
      <x:c r="AF13" s="48" t="n">
        <x:f>DEGREES((2*PI()/Inputs!$C$13)*Inputs!$C$15*SIN(RADIANS(AE13)))</x:f>
        <x:v>52.965837090190576</x:v>
      </x:c>
      <x:c r="AG13" s="48" t="n">
        <x:f>(Z13/AA13)^4</x:f>
        <x:v>0.9585501515069915</x:v>
      </x:c>
      <x:c r="AH13" s="48" t="n">
        <x:f>10*LOG10(AG13)</x:f>
        <x:v>-0.18385159830305398</x:v>
      </x:c>
      <x:c r="AI13" s="48" t="n">
        <x:f>AC13-F13</x:f>
        <x:v>-80.06752573662243</x:v>
      </x:c>
      <x:c r="AJ13" s="48" t="n">
        <x:f>AD13-G13</x:f>
        <x:v>-0.9507924032644439</x:v>
      </x:c>
      <x:c r="AK13" s="48" t="n">
        <x:f>Y13-X13</x:f>
        <x:v>144.63484239307837</x:v>
      </x:c>
      <x:c r="AL13" s="48" t="n">
        <x:f>1000*(AA14-AA12)/(A14-A12)*Inputs!$C$11</x:f>
        <x:v>-1094.3397276823816</x:v>
      </x:c>
      <x:c r="AM13" s="48" t="n">
        <x:f>-2*AL13/Inputs!$C$13</x:f>
        <x:v>437.73589107295265</x:v>
      </x:c>
      <x:c r="AN13" s="48" t="n">
        <x:f>-2*AL13/Inputs!$C$14</x:f>
        <x:v>65.72610977071362</x:v>
      </x:c>
      <x:c r="AO13" s="48" t="n">
        <x:f>ABS(AM13)</x:f>
        <x:v>437.73589107295265</x:v>
      </x:c>
      <x:c r="AP13" s="48" t="n">
        <x:f>ABS(AN13)</x:f>
        <x:v>65.72610977071362</x:v>
      </x:c>
      <x:c r="AQ13" s="48" t="n">
        <x:f>IF(OR(Inputs!$C$27=TRUE,Inputs!$C$27="TRUE",Inputs!$C$27=1),Inputs!$C$46/Inputs!$C$12,0)</x:f>
        <x:v>42.13483146067416</x:v>
      </x:c>
      <x:c r="AR13" s="48" t="n">
        <x:f>AC13-AQ13</x:f>
        <x:v>2368.204538471515</x:v>
      </x:c>
      <x:c r="AS13" s="48" t="n">
        <x:f>AC13+AQ13</x:f>
        <x:v>2452.474201392864</x:v>
      </x:c>
    </x:row>
    <x:row r="14">
      <x:c r="A14" s="48" t="n">
        <x:f>Inputs!$C$7+12*(Inputs!$C$8-Inputs!$C$7)/240</x:f>
        <x:v>-54</x:v>
      </x:c>
      <x:c r="B14" s="48" t="n">
        <x:f>Inputs!$C$5+Inputs!$C$9*(A14/Inputs!$C$10)^2</x:f>
        <x:v>403.24</x:v>
      </x:c>
      <x:c r="C14" s="48" t="n">
        <x:f>B14</x:f>
        <x:v>403.24</x:v>
      </x:c>
      <x:c r="D14" s="48" t="n">
        <x:f>SQRT(A14^2+Inputs!$C$6^2+B14^2)</x:f>
        <x:v>407.6070382120505</x:v>
      </x:c>
      <x:c r="E14" s="48" t="n">
        <x:f>(D14-C14)*1000</x:f>
        <x:v>4367.038212050488</x:v>
      </x:c>
      <x:c r="F14" s="48" t="n">
        <x:f>E14/Inputs!$C$12</x:f>
        <x:v>2453.3922539609484</x:v>
      </x:c>
      <x:c r="G14" s="48" t="n">
        <x:f>2*E14/Inputs!$C$21*1000000</x:f>
        <x:v>29.133742997967538</x:v>
      </x:c>
      <x:c r="H14" s="48" t="n">
        <x:f>SQRT(A14^2+Inputs!$C$6^2)</x:f>
        <x:v>59.50630218724736</x:v>
      </x:c>
      <x:c r="I14" s="48" t="n">
        <x:f>DEGREES(ATAN(H14/B14))</x:f>
        <x:v>8.394576667627003</x:v>
      </x:c>
      <x:c r="J14" s="48" t="n">
        <x:f>DEGREES((2*PI()/Inputs!$C$13)*Inputs!$C$15*SIN(RADIANS(I14)))</x:f>
        <x:v>52.55617979850606</x:v>
      </x:c>
      <x:c r="K14" s="48" t="n">
        <x:f>(C14/D14)^4</x:f>
        <x:v>0.9578284367610922</x:v>
      </x:c>
      <x:c r="L14" s="48" t="n">
        <x:f>10*LOG10(K14)</x:f>
        <x:v>-0.187122734271587</x:v>
      </x:c>
      <x:c r="M14" s="48" t="n">
        <x:f>2*(Inputs!$C$9/(Inputs!$C$10^2))*A14</x:f>
        <x:v>-0.12</x:v>
      </x:c>
      <x:c r="N14" s="48" t="n">
        <x:f>M14*Inputs!$C$11</x:f>
        <x:v>-0.48</x:v>
      </x:c>
      <x:c r="O14" s="48" t="n">
        <x:f>1000*((A14*Inputs!$C$11)+(B14*N14))/D14</x:f>
        <x:v>-1004.7795096877988</x:v>
      </x:c>
      <x:c r="P14" s="48" t="n">
        <x:f>-2*O14/Inputs!$C$13</x:f>
        <x:v>401.9118038751195</x:v>
      </x:c>
      <x:c r="Q14" s="48" t="n">
        <x:f>-2*O14/Inputs!$C$14</x:f>
        <x:v>60.347117698966905</x:v>
      </x:c>
      <x:c r="R14" s="48" t="n">
        <x:f>F14-Inputs!$C$16/2</x:f>
        <x:v>2438.3922539609484</x:v>
      </x:c>
      <x:c r="S14" s="48" t="n">
        <x:f>F14+Inputs!$C$16/2</x:f>
        <x:v>2468.3922539609484</x:v>
      </x:c>
      <x:c r="T14" s="48" t="n">
        <x:f>F14-Inputs!$C$17/2</x:f>
        <x:v>2303.3922539609484</x:v>
      </x:c>
      <x:c r="U14" s="48" t="n">
        <x:f>F14+Inputs!$C$17/2</x:f>
        <x:v>2603.3922539609484</x:v>
      </x:c>
      <x:c r="V14" s="48" t="n">
        <x:f>ABS(P14)</x:f>
        <x:v>401.9118038751195</x:v>
      </x:c>
      <x:c r="W14" s="48" t="n">
        <x:f>ABS(Q14)</x:f>
        <x:v>60.347117698966905</x:v>
      </x:c>
      <x:c r="X14" s="48" t="n">
        <x: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(0.45*SIN(2*PI()*(((A14)/Inputs!$C$49)+Inputs!$C$47*0.137))+0.35*COS(2*PI()*(((0)/Inputs!$C$50)+Inputs!$C$47*0.173))+0.20*SIN(2*PI()*(((A14)+(0))/(0.5*(Inputs!$C$49+Inputs!$C$50))+Inputs!$C$47*0.097)))+0.30*(2*((SIN(((A14)*12.9898+(0)*78.233+Inputs!$C$47*37.719))*43758.5453)-INT((SIN(((A14)*12.9898+(0)*78.233+Inputs!$C$47*37.719))*43758.5453)))-1)))</x:f>
        <x:v>37.91568406723211</x:v>
      </x:c>
      <x:c r="Y14" s="48" t="n">
        <x: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(0.45*SIN(2*PI()*(((A14)/Inputs!$C$49)+Inputs!$C$47*0.137))+0.35*COS(2*PI()*(((Inputs!$C$6)/Inputs!$C$50)+Inputs!$C$47*0.173))+0.20*SIN(2*PI()*(((A14)+(Inputs!$C$6))/(0.5*(Inputs!$C$49+Inputs!$C$50))+Inputs!$C$47*0.097)))+0.30*(2*((SIN(((A14)*12.9898+(Inputs!$C$6)*78.233+Inputs!$C$47*37.719))*43758.5453)-INT((SIN(((A14)*12.9898+(Inputs!$C$6)*78.233+Inputs!$C$47*37.719))*43758.5453)))-1)))</x:f>
        <x:v>196.39629745562698</x:v>
      </x:c>
      <x:c r="Z14" s="48" t="n">
        <x:f>B14-X14/1000</x:f>
        <x:v>403.2020843159328</x:v>
      </x:c>
      <x:c r="AA14" s="48" t="n">
        <x:f>SQRT(A14^2+Inputs!$C$6^2+(B14-Y14/1000)^2)</x:f>
        <x:v>407.4127470827756</x:v>
      </x:c>
      <x:c r="AB14" s="48" t="n">
        <x:f>(AA14-Z14)*1000</x:f>
        <x:v>4210.662766842802</x:v>
      </x:c>
      <x:c r="AC14" s="48" t="n">
        <x:f>AB14/Inputs!$C$12</x:f>
        <x:v>2365.540880248765</x:v>
      </x:c>
      <x:c r="AD14" s="48" t="n">
        <x:f>2*AB14/Inputs!$C$21*1000000</x:f>
        <x:v>28.090518320129334</x:v>
      </x:c>
      <x:c r="AE14" s="48" t="n">
        <x:f>DEGREES(ATAN(H14/(B14-Y14/1000)))</x:f>
        <x:v>8.398608872635315</x:v>
      </x:c>
      <x:c r="AF14" s="48" t="n">
        <x:f>DEGREES((2*PI()/Inputs!$C$13)*Inputs!$C$15*SIN(RADIANS(AE14)))</x:f>
        <x:v>52.581243323387255</x:v>
      </x:c>
      <x:c r="AG14" s="48" t="n">
        <x:f>(Z14/AA14)^4</x:f>
        <x:v>0.959295974024041</x:v>
      </x:c>
      <x:c r="AH14" s="48" t="n">
        <x:f>10*LOG10(AG14)</x:f>
        <x:v>-0.18047378174467402</x:v>
      </x:c>
      <x:c r="AI14" s="48" t="n">
        <x:f>AC14-F14</x:f>
        <x:v>-87.85137371218343</x:v>
      </x:c>
      <x:c r="AJ14" s="48" t="n">
        <x:f>AD14-G14</x:f>
        <x:v>-1.0432246778382037</x:v>
      </x:c>
      <x:c r="AK14" s="48" t="n">
        <x:f>Y14-X14</x:f>
        <x:v>158.4806133883949</x:v>
      </x:c>
      <x:c r="AL14" s="48" t="n">
        <x:f>1000*(AA15-AA13)/(A15-A13)*Inputs!$C$11</x:f>
        <x:v>-1086.6934937823771</x:v>
      </x:c>
      <x:c r="AM14" s="48" t="n">
        <x:f>-2*AL14/Inputs!$C$13</x:f>
        <x:v>434.67739751295085</x:v>
      </x:c>
      <x:c r="AN14" s="48" t="n">
        <x:f>-2*AL14/Inputs!$C$14</x:f>
        <x:v>65.26687650344608</x:v>
      </x:c>
      <x:c r="AO14" s="48" t="n">
        <x:f>ABS(AM14)</x:f>
        <x:v>434.67739751295085</x:v>
      </x:c>
      <x:c r="AP14" s="48" t="n">
        <x:f>ABS(AN14)</x:f>
        <x:v>65.26687650344608</x:v>
      </x:c>
      <x:c r="AQ14" s="48" t="n">
        <x:f>IF(OR(Inputs!$C$27=TRUE,Inputs!$C$27="TRUE",Inputs!$C$27=1),Inputs!$C$46/Inputs!$C$12,0)</x:f>
        <x:v>42.13483146067416</x:v>
      </x:c>
      <x:c r="AR14" s="48" t="n">
        <x:f>AC14-AQ14</x:f>
        <x:v>2323.4060487880906</x:v>
      </x:c>
      <x:c r="AS14" s="48" t="n">
        <x:f>AC14+AQ14</x:f>
        <x:v>2407.6757117094394</x:v>
      </x:c>
    </x:row>
    <x:row r="15">
      <x:c r="A15" s="48" t="n">
        <x:f>Inputs!$C$7+13*(Inputs!$C$8-Inputs!$C$7)/240</x:f>
        <x:v>-53.5</x:v>
      </x:c>
      <x:c r="B15" s="48" t="n">
        <x:f>Inputs!$C$5+Inputs!$C$9*(A15/Inputs!$C$10)^2</x:f>
        <x:v>403.1802777777778</x:v>
      </x:c>
      <x:c r="C15" s="48" t="n">
        <x:f>B15</x:f>
        <x:v>403.1802777777778</x:v>
      </x:c>
      <x:c r="D15" s="48" t="n">
        <x:f>SQRT(A15^2+Inputs!$C$6^2+B15^2)</x:f>
        <x:v>407.48200744200483</x:v>
      </x:c>
      <x:c r="E15" s="48" t="n">
        <x:f>(D15-C15)*1000</x:f>
        <x:v>4301.729664227025</x:v>
      </x:c>
      <x:c r="F15" s="48" t="n">
        <x:f>E15/Inputs!$C$12</x:f>
        <x:v>2416.7020585545083</x:v>
      </x:c>
      <x:c r="G15" s="48" t="n">
        <x:f>2*E15/Inputs!$C$21*1000000</x:f>
        <x:v>28.69805126469876</x:v>
      </x:c>
      <x:c r="H15" s="48" t="n">
        <x:f>SQRT(A15^2+Inputs!$C$6^2)</x:f>
        <x:v>59.052942348370756</x:v>
      </x:c>
      <x:c r="I15" s="48" t="n">
        <x:f>DEGREES(ATAN(H15/B15))</x:f>
        <x:v>8.33273894188251</x:v>
      </x:c>
      <x:c r="J15" s="48" t="n">
        <x:f>DEGREES((2*PI()/Inputs!$C$13)*Inputs!$C$15*SIN(RADIANS(I15)))</x:f>
        <x:v>52.17177410818362</x:v>
      </x:c>
      <x:c r="K15" s="48" t="n">
        <x:f>(C15/D15)^4</x:f>
        <x:v>0.9584365580404887</x:v>
      </x:c>
      <x:c r="L15" s="48" t="n">
        <x:f>10*LOG10(K15)</x:f>
        <x:v>-0.184366291654807</x:v>
      </x:c>
      <x:c r="M15" s="48" t="n">
        <x:f>2*(Inputs!$C$9/(Inputs!$C$10^2))*A15</x:f>
        <x:v>-0.11888888888888889</x:v>
      </x:c>
      <x:c r="N15" s="48" t="n">
        <x:f>M15*Inputs!$C$11</x:f>
        <x:v>-0.47555555555555556</x:v>
      </x:c>
      <x:c r="O15" s="48" t="n">
        <x:f>1000*((A15*Inputs!$C$11)+(B15*N15))/D15</x:f>
        <x:v>-995.7117457398431</x:v>
      </x:c>
      <x:c r="P15" s="48" t="n">
        <x:f>-2*O15/Inputs!$C$13</x:f>
        <x:v>398.28469829593723</x:v>
      </x:c>
      <x:c r="Q15" s="48" t="n">
        <x:f>-2*O15/Inputs!$C$14</x:f>
        <x:v>59.80250725164223</x:v>
      </x:c>
      <x:c r="R15" s="48" t="n">
        <x:f>F15-Inputs!$C$16/2</x:f>
        <x:v>2401.7020585545083</x:v>
      </x:c>
      <x:c r="S15" s="48" t="n">
        <x:f>F15+Inputs!$C$16/2</x:f>
        <x:v>2431.7020585545083</x:v>
      </x:c>
      <x:c r="T15" s="48" t="n">
        <x:f>F15-Inputs!$C$17/2</x:f>
        <x:v>2266.7020585545083</x:v>
      </x:c>
      <x:c r="U15" s="48" t="n">
        <x:f>F15+Inputs!$C$17/2</x:f>
        <x:v>2566.7020585545083</x:v>
      </x:c>
      <x:c r="V15" s="48" t="n">
        <x:f>ABS(P15)</x:f>
        <x:v>398.28469829593723</x:v>
      </x:c>
      <x:c r="W15" s="48" t="n">
        <x:f>ABS(Q15)</x:f>
        <x:v>59.80250725164223</x:v>
      </x:c>
      <x:c r="X15" s="48" t="n">
        <x: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(0.45*SIN(2*PI()*(((A15)/Inputs!$C$49)+Inputs!$C$47*0.137))+0.35*COS(2*PI()*(((0)/Inputs!$C$50)+Inputs!$C$47*0.173))+0.20*SIN(2*PI()*(((A15)+(0))/(0.5*(Inputs!$C$49+Inputs!$C$50))+Inputs!$C$47*0.097)))+0.30*(2*((SIN(((A15)*12.9898+(0)*78.233+Inputs!$C$47*37.719))*43758.5453)-INT((SIN(((A15)*12.9898+(0)*78.233+Inputs!$C$47*37.719))*43758.5453)))-1)))</x:f>
        <x:v>49.305692333608725</x:v>
      </x:c>
      <x:c r="Y15" s="48" t="n">
        <x: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(0.45*SIN(2*PI()*(((A15)/Inputs!$C$49)+Inputs!$C$47*0.137))+0.35*COS(2*PI()*(((Inputs!$C$6)/Inputs!$C$50)+Inputs!$C$47*0.173))+0.20*SIN(2*PI()*(((A15)+(Inputs!$C$6))/(0.5*(Inputs!$C$49+Inputs!$C$50))+Inputs!$C$47*0.097)))+0.30*(2*((SIN(((A15)*12.9898+(Inputs!$C$6)*78.233+Inputs!$C$47*37.719))*43758.5453)-INT((SIN(((A15)*12.9898+(Inputs!$C$6)*78.233+Inputs!$C$47*37.719))*43758.5453)))-1)))</x:f>
        <x:v>215.04504497494062</x:v>
      </x:c>
      <x:c r="Z15" s="48" t="n">
        <x:f>B15-X15/1000</x:f>
        <x:v>403.13097208544417</x:v>
      </x:c>
      <x:c r="AA15" s="48" t="n">
        <x:f>SQRT(A15^2+Inputs!$C$6^2+(B15-Y15/1000)^2)</x:f>
        <x:v>407.26923378939637</x:v>
      </x:c>
      <x:c r="AB15" s="48" t="n">
        <x:f>(AA15-Z15)*1000</x:f>
        <x:v>4138.261703952196</x:v>
      </x:c>
      <x:c r="AC15" s="48" t="n">
        <x:f>AB15/Inputs!$C$12</x:f>
        <x:v>2324.8661258158404</x:v>
      </x:c>
      <x:c r="AD15" s="48" t="n">
        <x:f>2*AB15/Inputs!$C$21*1000000</x:f>
        <x:v>27.607510419439542</x:v>
      </x:c>
      <x:c r="AE15" s="48" t="n">
        <x:f>DEGREES(ATAN(H15/(B15-Y15/1000)))</x:f>
        <x:v>8.337123275300746</x:v>
      </x:c>
      <x:c r="AF15" s="48" t="n">
        <x:f>DEGREES((2*PI()/Inputs!$C$13)*Inputs!$C$15*SIN(RADIANS(AE15)))</x:f>
        <x:v>52.19903071884576</x:v>
      </x:c>
      <x:c r="AG15" s="48" t="n">
        <x:f>(Z15/AA15)^4</x:f>
        <x:v>0.9599712991987016</x:v>
      </x:c>
      <x:c r="AH15" s="48" t="n">
        <x:f>10*LOG10(AG15)</x:f>
        <x:v>-0.17741751112472</x:v>
      </x:c>
      <x:c r="AI15" s="48" t="n">
        <x:f>AC15-F15</x:f>
        <x:v>-91.8359327386679</x:v>
      </x:c>
      <x:c r="AJ15" s="48" t="n">
        <x:f>AD15-G15</x:f>
        <x:v>-1.0905408452592162</x:v>
      </x:c>
      <x:c r="AK15" s="48" t="n">
        <x:f>Y15-X15</x:f>
        <x:v>165.7393526413319</x:v>
      </x:c>
      <x:c r="AL15" s="48" t="n">
        <x:f>1000*(AA16-AA14)/(A16-A14)*Inputs!$C$11</x:f>
        <x:v>-1090.4911626814737</x:v>
      </x:c>
      <x:c r="AM15" s="48" t="n">
        <x:f>-2*AL15/Inputs!$C$13</x:f>
        <x:v>436.1964650725895</x:v>
      </x:c>
      <x:c r="AN15" s="48" t="n">
        <x:f>-2*AL15/Inputs!$C$14</x:f>
        <x:v>65.49496472561404</x:v>
      </x:c>
      <x:c r="AO15" s="48" t="n">
        <x:f>ABS(AM15)</x:f>
        <x:v>436.1964650725895</x:v>
      </x:c>
      <x:c r="AP15" s="48" t="n">
        <x:f>ABS(AN15)</x:f>
        <x:v>65.49496472561404</x:v>
      </x:c>
      <x:c r="AQ15" s="48" t="n">
        <x:f>IF(OR(Inputs!$C$27=TRUE,Inputs!$C$27="TRUE",Inputs!$C$27=1),Inputs!$C$46/Inputs!$C$12,0)</x:f>
        <x:v>42.13483146067416</x:v>
      </x:c>
      <x:c r="AR15" s="48" t="n">
        <x:f>AC15-AQ15</x:f>
        <x:v>2282.731294355166</x:v>
      </x:c>
      <x:c r="AS15" s="48" t="n">
        <x:f>AC15+AQ15</x:f>
        <x:v>2367.000957276515</x:v>
      </x:c>
    </x:row>
    <x:row r="16">
      <x:c r="A16" s="48" t="n">
        <x:f>Inputs!$C$7+14*(Inputs!$C$8-Inputs!$C$7)/240</x:f>
        <x:v>-53</x:v>
      </x:c>
      <x:c r="B16" s="48" t="n">
        <x:f>Inputs!$C$5+Inputs!$C$9*(A16/Inputs!$C$10)^2</x:f>
        <x:v>403.12111111111113</x:v>
      </x:c>
      <x:c r="C16" s="48" t="n">
        <x:f>B16</x:f>
        <x:v>403.12111111111113</x:v>
      </x:c>
      <x:c r="D16" s="48" t="n">
        <x:f>SQRT(A16^2+Inputs!$C$6^2+B16^2)</x:f>
        <x:v>407.3581105409058</x:v>
      </x:c>
      <x:c r="E16" s="48" t="n">
        <x:f>(D16-C16)*1000</x:f>
        <x:v>4236.9994297946505</x:v>
      </x:c>
      <x:c r="F16" s="48" t="n">
        <x:f>E16/Inputs!$C$12</x:f>
        <x:v>2380.3367583116014</x:v>
      </x:c>
      <x:c r="G16" s="48" t="n">
        <x:f>2*E16/Inputs!$C$21*1000000</x:f>
        <x:v>28.266217623090775</x:v>
      </x:c>
      <x:c r="H16" s="48" t="n">
        <x:f>SQRT(A16^2+Inputs!$C$6^2)</x:f>
        <x:v>58.60034129593445</x:v>
      </x:c>
      <x:c r="I16" s="48" t="n">
        <x:f>DEGREES(ATAN(H16/B16))</x:f>
        <x:v>8.27095770254524</x:v>
      </x:c>
      <x:c r="J16" s="48" t="n">
        <x:f>DEGREES((2*PI()/Inputs!$C$13)*Inputs!$C$15*SIN(RADIANS(I16)))</x:f>
        <x:v>51.78765886979433</x:v>
      </x:c>
      <x:c r="K16" s="48" t="n">
        <x:f>(C16/D16)^4</x:f>
        <x:v>0.9590399513018042</x:v>
      </x:c>
      <x:c r="L16" s="48" t="n">
        <x:f>10*LOG10(K16)</x:f>
        <x:v>-0.18163300787083397</x:v>
      </x:c>
      <x:c r="M16" s="48" t="n">
        <x:f>2*(Inputs!$C$9/(Inputs!$C$10^2))*A16</x:f>
        <x:v>-0.11777777777777777</x:v>
      </x:c>
      <x:c r="N16" s="48" t="n">
        <x:f>M16*Inputs!$C$11</x:f>
        <x:v>-0.4711111111111111</x:v>
      </x:c>
      <x:c r="O16" s="48" t="n">
        <x:f>1000*((A16*Inputs!$C$11)+(B16*N16))/D16</x:f>
        <x:v>-986.6376148353185</x:v>
      </x:c>
      <x:c r="P16" s="48" t="n">
        <x:f>-2*O16/Inputs!$C$13</x:f>
        <x:v>394.6550459341274</x:v>
      </x:c>
      <x:c r="Q16" s="48" t="n">
        <x:f>-2*O16/Inputs!$C$14</x:f>
        <x:v>59.25751440452363</x:v>
      </x:c>
      <x:c r="R16" s="48" t="n">
        <x:f>F16-Inputs!$C$16/2</x:f>
        <x:v>2365.3367583116014</x:v>
      </x:c>
      <x:c r="S16" s="48" t="n">
        <x:f>F16+Inputs!$C$16/2</x:f>
        <x:v>2395.3367583116014</x:v>
      </x:c>
      <x:c r="T16" s="48" t="n">
        <x:f>F16-Inputs!$C$17/2</x:f>
        <x:v>2230.3367583116014</x:v>
      </x:c>
      <x:c r="U16" s="48" t="n">
        <x:f>F16+Inputs!$C$17/2</x:f>
        <x:v>2530.3367583116014</x:v>
      </x:c>
      <x:c r="V16" s="48" t="n">
        <x:f>ABS(P16)</x:f>
        <x:v>394.6550459341274</x:v>
      </x:c>
      <x:c r="W16" s="48" t="n">
        <x:f>ABS(Q16)</x:f>
        <x:v>59.25751440452363</x:v>
      </x:c>
      <x:c r="X16" s="48" t="n">
        <x: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(0.45*SIN(2*PI()*(((A16)/Inputs!$C$49)+Inputs!$C$47*0.137))+0.35*COS(2*PI()*(((0)/Inputs!$C$50)+Inputs!$C$47*0.173))+0.20*SIN(2*PI()*(((A16)+(0))/(0.5*(Inputs!$C$49+Inputs!$C$50))+Inputs!$C$47*0.097)))+0.30*(2*((SIN(((A16)*12.9898+(0)*78.233+Inputs!$C$47*37.719))*43758.5453)-INT((SIN(((A16)*12.9898+(0)*78.233+Inputs!$C$47*37.719))*43758.5453)))-1)))</x:f>
        <x:v>54.9618266833629</x:v>
      </x:c>
      <x:c r="Y16" s="48" t="n">
        <x: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(0.45*SIN(2*PI()*(((A16)/Inputs!$C$49)+Inputs!$C$47*0.137))+0.35*COS(2*PI()*(((Inputs!$C$6)/Inputs!$C$50)+Inputs!$C$47*0.173))+0.20*SIN(2*PI()*(((A16)+(Inputs!$C$6))/(0.5*(Inputs!$C$49+Inputs!$C$50))+Inputs!$C$47*0.097)))+0.30*(2*((SIN(((A16)*12.9898+(Inputs!$C$6)*78.233+Inputs!$C$47*37.719))*43758.5453)-INT((SIN(((A16)*12.9898+(Inputs!$C$6)*78.233+Inputs!$C$47*37.719))*43758.5453)))-1)))</x:f>
        <x:v>220.27863667842527</x:v>
      </x:c>
      <x:c r="Z16" s="48" t="n">
        <x:f>B16-X16/1000</x:f>
        <x:v>403.06614928442775</x:v>
      </x:c>
      <x:c r="AA16" s="48" t="n">
        <x:f>SQRT(A16^2+Inputs!$C$6^2+(B16-Y16/1000)^2)</x:f>
        <x:v>407.1401242921052</x:v>
      </x:c>
      <x:c r="AB16" s="48" t="n">
        <x:f>(AA16-Z16)*1000</x:f>
        <x:v>4073.9750076774612</x:v>
      </x:c>
      <x:c r="AC16" s="48" t="n">
        <x:f>AB16/Inputs!$C$12</x:f>
        <x:v>2288.7500043131804</x:v>
      </x:c>
      <x:c r="AD16" s="48" t="n">
        <x:f>2*AB16/Inputs!$C$21*1000000</x:f>
        <x:v>27.17863574591634</x:v>
      </x:c>
      <x:c r="AE16" s="48" t="n">
        <x:f>DEGREES(ATAN(H16/(B16-Y16/1000)))</x:f>
        <x:v>8.275417086693468</x:v>
      </x:c>
      <x:c r="AF16" s="48" t="n">
        <x:f>DEGREES((2*PI()/Inputs!$C$13)*Inputs!$C$15*SIN(RADIANS(AE16)))</x:f>
        <x:v>51.81538641816805</x:v>
      </x:c>
      <x:c r="AG16" s="48" t="n">
        <x:f>(Z16/AA16)^4</x:f>
        <x:v>0.9605714749831763</x:v>
      </x:c>
      <x:c r="AH16" s="48" t="n">
        <x:f>10*LOG10(AG16)</x:f>
        <x:v>-0.174703142630998</x:v>
      </x:c>
      <x:c r="AI16" s="48" t="n">
        <x:f>AC16-F16</x:f>
        <x:v>-91.58675399842105</x:v>
      </x:c>
      <x:c r="AJ16" s="48" t="n">
        <x:f>AD16-G16</x:f>
        <x:v>-1.0875818771744363</x:v>
      </x:c>
      <x:c r="AK16" s="48" t="n">
        <x:f>Y16-X16</x:f>
        <x:v>165.31680999506239</x:v>
      </x:c>
      <x:c r="AL16" s="48" t="n">
        <x:f>1000*(AA17-AA15)/(A17-A15)*Inputs!$C$11</x:f>
        <x:v>-1040.1146034969315</x:v>
      </x:c>
      <x:c r="AM16" s="48" t="n">
        <x:f>-2*AL16/Inputs!$C$13</x:f>
        <x:v>416.0458413987726</x:v>
      </x:c>
      <x:c r="AN16" s="48" t="n">
        <x:f>-2*AL16/Inputs!$C$14</x:f>
        <x:v>62.46934555537127</x:v>
      </x:c>
      <x:c r="AO16" s="48" t="n">
        <x:f>ABS(AM16)</x:f>
        <x:v>416.0458413987726</x:v>
      </x:c>
      <x:c r="AP16" s="48" t="n">
        <x:f>ABS(AN16)</x:f>
        <x:v>62.46934555537127</x:v>
      </x:c>
      <x:c r="AQ16" s="48" t="n">
        <x:f>IF(OR(Inputs!$C$27=TRUE,Inputs!$C$27="TRUE",Inputs!$C$27=1),Inputs!$C$46/Inputs!$C$12,0)</x:f>
        <x:v>42.13483146067416</x:v>
      </x:c>
      <x:c r="AR16" s="48" t="n">
        <x:f>AC16-AQ16</x:f>
        <x:v>2246.615172852506</x:v>
      </x:c>
      <x:c r="AS16" s="48" t="n">
        <x:f>AC16+AQ16</x:f>
        <x:v>2330.884835773855</x:v>
      </x:c>
    </x:row>
    <x:row r="17">
      <x:c r="A17" s="48" t="n">
        <x:f>Inputs!$C$7+15*(Inputs!$C$8-Inputs!$C$7)/240</x:f>
        <x:v>-52.5</x:v>
      </x:c>
      <x:c r="B17" s="48" t="n">
        <x:f>Inputs!$C$5+Inputs!$C$9*(A17/Inputs!$C$10)^2</x:f>
        <x:v>403.0625</x:v>
      </x:c>
      <x:c r="C17" s="48" t="n">
        <x:f>B17</x:f>
        <x:v>403.0625</x:v>
      </x:c>
      <x:c r="D17" s="48" t="n">
        <x:f>SQRT(A17^2+Inputs!$C$6^2+B17^2)</x:f>
        <x:v>407.2353483015073</x:v>
      </x:c>
      <x:c r="E17" s="48" t="n">
        <x:f>(D17-C17)*1000</x:f>
        <x:v>4172.848301507315</x:v>
      </x:c>
      <x:c r="F17" s="48" t="n">
        <x:f>E17/Inputs!$C$12</x:f>
        <x:v>2344.296798599615</x:v>
      </x:c>
      <x:c r="G17" s="48" t="n">
        <x:f>2*E17/Inputs!$C$21*1000000</x:f>
        <x:v>27.838247361828664</x:v>
      </x:c>
      <x:c r="H17" s="48" t="n">
        <x:f>SQRT(A17^2+Inputs!$C$6^2)</x:f>
        <x:v>58.148516748065035</x:v>
      </x:c>
      <x:c r="I17" s="48" t="n">
        <x:f>DEGREES(ATAN(H17/B17))</x:f>
        <x:v>8.2092359122646</x:v>
      </x:c>
      <x:c r="J17" s="48" t="n">
        <x:f>DEGREES((2*PI()/Inputs!$C$13)*Inputs!$C$15*SIN(RADIANS(I17)))</x:f>
        <x:v>51.403853119854354</x:v>
      </x:c>
      <x:c r="K17" s="48" t="n">
        <x:f>(C17/D17)^4</x:f>
        <x:v>0.9596385924334114</x:v>
      </x:c>
      <x:c r="L17" s="48" t="n">
        <x:f>10*LOG10(K17)</x:f>
        <x:v>-0.178922949436266</x:v>
      </x:c>
      <x:c r="M17" s="48" t="n">
        <x:f>2*(Inputs!$C$9/(Inputs!$C$10^2))*A17</x:f>
        <x:v>-0.11666666666666667</x:v>
      </x:c>
      <x:c r="N17" s="48" t="n">
        <x:f>M17*Inputs!$C$11</x:f>
        <x:v>-0.4666666666666667</x:v>
      </x:c>
      <x:c r="O17" s="48" t="n">
        <x:f>1000*((A17*Inputs!$C$11)+(B17*N17))/D17</x:f>
        <x:v>-977.5571668660567</x:v>
      </x:c>
      <x:c r="P17" s="48" t="n">
        <x:f>-2*O17/Inputs!$C$13</x:f>
        <x:v>391.02286674642266</x:v>
      </x:c>
      <x:c r="Q17" s="48" t="n">
        <x:f>-2*O17/Inputs!$C$14</x:f>
        <x:v>58.71214215411752</x:v>
      </x:c>
      <x:c r="R17" s="48" t="n">
        <x:f>F17-Inputs!$C$16/2</x:f>
        <x:v>2329.296798599615</x:v>
      </x:c>
      <x:c r="S17" s="48" t="n">
        <x:f>F17+Inputs!$C$16/2</x:f>
        <x:v>2359.296798599615</x:v>
      </x:c>
      <x:c r="T17" s="48" t="n">
        <x:f>F17-Inputs!$C$17/2</x:f>
        <x:v>2194.296798599615</x:v>
      </x:c>
      <x:c r="U17" s="48" t="n">
        <x:f>F17+Inputs!$C$17/2</x:f>
        <x:v>2494.296798599615</x:v>
      </x:c>
      <x:c r="V17" s="48" t="n">
        <x:f>ABS(P17)</x:f>
        <x:v>391.02286674642266</x:v>
      </x:c>
      <x:c r="W17" s="48" t="n">
        <x:f>ABS(Q17)</x:f>
        <x:v>58.71214215411752</x:v>
      </x:c>
      <x:c r="X17" s="48" t="n">
        <x: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(0.45*SIN(2*PI()*(((A17)/Inputs!$C$49)+Inputs!$C$47*0.137))+0.35*COS(2*PI()*(((0)/Inputs!$C$50)+Inputs!$C$47*0.173))+0.20*SIN(2*PI()*(((A17)+(0))/(0.5*(Inputs!$C$49+Inputs!$C$50))+Inputs!$C$47*0.097)))+0.30*(2*((SIN(((A17)*12.9898+(0)*78.233+Inputs!$C$47*37.719))*43758.5453)-INT((SIN(((A17)*12.9898+(0)*78.233+Inputs!$C$47*37.719))*43758.5453)))-1)))</x:f>
        <x:v>41.913539426844665</x:v>
      </x:c>
      <x:c r="Y17" s="48" t="n">
        <x: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(0.45*SIN(2*PI()*(((A17)/Inputs!$C$49)+Inputs!$C$47*0.137))+0.35*COS(2*PI()*(((Inputs!$C$6)/Inputs!$C$50)+Inputs!$C$47*0.173))+0.20*SIN(2*PI()*(((A17)+(Inputs!$C$6))/(0.5*(Inputs!$C$49+Inputs!$C$50))+Inputs!$C$47*0.097)))+0.30*(2*((SIN(((A17)*12.9898+(Inputs!$C$6)*78.233+Inputs!$C$47*37.719))*43758.5453)-INT((SIN(((A17)*12.9898+(Inputs!$C$6)*78.233+Inputs!$C$47*37.719))*43758.5453)))-1)))</x:f>
        <x:v>228.48571186718385</x:v>
      </x:c>
      <x:c r="Z17" s="48" t="n">
        <x:f>B17-X17/1000</x:f>
        <x:v>403.02058646057316</x:v>
      </x:c>
      <x:c r="AA17" s="48" t="n">
        <x:f>SQRT(A17^2+Inputs!$C$6^2+(B17-Y17/1000)^2)</x:f>
        <x:v>407.00920513852213</x:v>
      </x:c>
      <x:c r="AB17" s="48" t="n">
        <x:f>(AA17-Z17)*1000</x:f>
        <x:v>3988.6186779489776</x:v>
      </x:c>
      <x:c r="AC17" s="48" t="n">
        <x:f>AB17/Inputs!$C$12</x:f>
        <x:v>2240.797010083695</x:v>
      </x:c>
      <x:c r="AD17" s="48" t="n">
        <x:f>2*AB17/Inputs!$C$21*1000000</x:f>
        <x:v>26.609199608010005</x:v>
      </x:c>
      <x:c r="AE17" s="48" t="n">
        <x:f>DEGREES(ATAN(H17/(B17-Y17/1000)))</x:f>
        <x:v>8.213828639165651</x:v>
      </x:c>
      <x:c r="AF17" s="48" t="n">
        <x:f>DEGREES((2*PI()/Inputs!$C$13)*Inputs!$C$15*SIN(RADIANS(AE17)))</x:f>
        <x:v>51.43241421819657</x:v>
      </x:c>
      <x:c r="AG17" s="48" t="n">
        <x:f>(Z17/AA17)^4</x:f>
        <x:v>0.9613731669947095</x:v>
      </x:c>
      <x:c r="AH17" s="48" t="n">
        <x:f>10*LOG10(AG17)</x:f>
        <x:v>-0.171080036851742</x:v>
      </x:c>
      <x:c r="AI17" s="48" t="n">
        <x:f>AC17-F17</x:f>
        <x:v>-103.49978851592005</x:v>
      </x:c>
      <x:c r="AJ17" s="48" t="n">
        <x:f>AD17-G17</x:f>
        <x:v>-1.2290477538186586</x:v>
      </x:c>
      <x:c r="AK17" s="48" t="n">
        <x:f>Y17-X17</x:f>
        <x:v>186.5721724403392</x:v>
      </x:c>
      <x:c r="AL17" s="48" t="n">
        <x:f>1000*(AA18-AA16)/(A18-A16)*Inputs!$C$11</x:f>
        <x:v>-1060.8409150515854</x:v>
      </x:c>
      <x:c r="AM17" s="48" t="n">
        <x:f>-2*AL17/Inputs!$C$13</x:f>
        <x:v>424.33636602063416</x:v>
      </x:c>
      <x:c r="AN17" s="48" t="n">
        <x:f>-2*AL17/Inputs!$C$14</x:f>
        <x:v>63.714169072167294</x:v>
      </x:c>
      <x:c r="AO17" s="48" t="n">
        <x:f>ABS(AM17)</x:f>
        <x:v>424.33636602063416</x:v>
      </x:c>
      <x:c r="AP17" s="48" t="n">
        <x:f>ABS(AN17)</x:f>
        <x:v>63.714169072167294</x:v>
      </x:c>
      <x:c r="AQ17" s="48" t="n">
        <x:f>IF(OR(Inputs!$C$27=TRUE,Inputs!$C$27="TRUE",Inputs!$C$27=1),Inputs!$C$46/Inputs!$C$12,0)</x:f>
        <x:v>42.13483146067416</x:v>
      </x:c>
      <x:c r="AR17" s="48" t="n">
        <x:f>AC17-AQ17</x:f>
        <x:v>2198.6621786230207</x:v>
      </x:c>
      <x:c r="AS17" s="48" t="n">
        <x:f>AC17+AQ17</x:f>
        <x:v>2282.9318415443695</x:v>
      </x:c>
    </x:row>
    <x:row r="18">
      <x:c r="A18" s="48" t="n">
        <x:f>Inputs!$C$7+16*(Inputs!$C$8-Inputs!$C$7)/240</x:f>
        <x:v>-52</x:v>
      </x:c>
      <x:c r="B18" s="48" t="n">
        <x:f>Inputs!$C$5+Inputs!$C$9*(A18/Inputs!$C$10)^2</x:f>
        <x:v>403.00444444444446</x:v>
      </x:c>
      <x:c r="C18" s="48" t="n">
        <x:f>B18</x:f>
        <x:v>403.00444444444446</x:v>
      </x:c>
      <x:c r="D18" s="48" t="n">
        <x:f>SQRT(A18^2+Inputs!$C$6^2+B18^2)</x:f>
        <x:v>407.11372151031134</x:v>
      </x:c>
      <x:c r="E18" s="48" t="n">
        <x:f>(D18-C18)*1000</x:f>
        <x:v>4109.277065866877</x:v>
      </x:c>
      <x:c r="F18" s="48" t="n">
        <x:f>E18/Inputs!$C$12</x:f>
        <x:v>2308.5826212735265</x:v>
      </x:c>
      <x:c r="G18" s="48" t="n">
        <x:f>2*E18/Inputs!$C$21*1000000</x:f>
        <x:v>27.414145727888037</x:v>
      </x:c>
      <x:c r="H18" s="48" t="n">
        <x:f>SQRT(A18^2+Inputs!$C$6^2)</x:f>
        <x:v>57.697486947006624</x:v>
      </x:c>
      <x:c r="I18" s="48" t="n">
        <x:f>DEGREES(ATAN(H18/B18))</x:f>
        <x:v>8.147576610261819</x:v>
      </x:c>
      <x:c r="J18" s="48" t="n">
        <x:f>DEGREES((2*PI()/Inputs!$C$13)*Inputs!$C$15*SIN(RADIANS(I18)))</x:f>
        <x:v>51.02037638000933</x:v>
      </x:c>
      <x:c r="K18" s="48" t="n">
        <x:f>(C18/D18)^4</x:f>
        <x:v>0.96023245746443</x:v>
      </x:c>
      <x:c r="L18" s="48" t="n">
        <x:f>10*LOG10(K18)</x:f>
        <x:v>-0.17623618238275698</x:v>
      </x:c>
      <x:c r="M18" s="48" t="n">
        <x:f>2*(Inputs!$C$9/(Inputs!$C$10^2))*A18</x:f>
        <x:v>-0.11555555555555555</x:v>
      </x:c>
      <x:c r="N18" s="48" t="n">
        <x:f>M18*Inputs!$C$11</x:f>
        <x:v>-0.4622222222222222</x:v>
      </x:c>
      <x:c r="O18" s="48" t="n">
        <x:f>1000*((A18*Inputs!$C$11)+(B18*N18))/D18</x:f>
        <x:v>-968.4704519755594</x:v>
      </x:c>
      <x:c r="P18" s="48" t="n">
        <x:f>-2*O18/Inputs!$C$13</x:f>
        <x:v>387.38818079022377</x:v>
      </x:c>
      <x:c r="Q18" s="48" t="n">
        <x:f>-2*O18/Inputs!$C$14</x:f>
        <x:v>58.166393512045616</x:v>
      </x:c>
      <x:c r="R18" s="48" t="n">
        <x:f>F18-Inputs!$C$16/2</x:f>
        <x:v>2293.5826212735265</x:v>
      </x:c>
      <x:c r="S18" s="48" t="n">
        <x:f>F18+Inputs!$C$16/2</x:f>
        <x:v>2323.5826212735265</x:v>
      </x:c>
      <x:c r="T18" s="48" t="n">
        <x:f>F18-Inputs!$C$17/2</x:f>
        <x:v>2158.5826212735265</x:v>
      </x:c>
      <x:c r="U18" s="48" t="n">
        <x:f>F18+Inputs!$C$17/2</x:f>
        <x:v>2458.5826212735265</x:v>
      </x:c>
      <x:c r="V18" s="48" t="n">
        <x:f>ABS(P18)</x:f>
        <x:v>387.38818079022377</x:v>
      </x:c>
      <x:c r="W18" s="48" t="n">
        <x:f>ABS(Q18)</x:f>
        <x:v>58.166393512045616</x:v>
      </x:c>
      <x:c r="X18" s="48" t="n">
        <x: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(0.45*SIN(2*PI()*(((A18)/Inputs!$C$49)+Inputs!$C$47*0.137))+0.35*COS(2*PI()*(((0)/Inputs!$C$50)+Inputs!$C$47*0.173))+0.20*SIN(2*PI()*(((A18)+(0))/(0.5*(Inputs!$C$49+Inputs!$C$50))+Inputs!$C$47*0.097)))+0.30*(2*((SIN(((A18)*12.9898+(0)*78.233+Inputs!$C$47*37.719))*43758.5453)-INT((SIN(((A18)*12.9898+(0)*78.233+Inputs!$C$47*37.719))*43758.5453)))-1)))</x:f>
        <x:v>44.0092440465048</x:v>
      </x:c>
      <x:c r="Y18" s="48" t="n">
        <x: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(0.45*SIN(2*PI()*(((A18)/Inputs!$C$49)+Inputs!$C$47*0.137))+0.35*COS(2*PI()*(((Inputs!$C$6)/Inputs!$C$50)+Inputs!$C$47*0.173))+0.20*SIN(2*PI()*(((A18)+(Inputs!$C$6))/(0.5*(Inputs!$C$49+Inputs!$C$50))+Inputs!$C$47*0.097)))+0.30*(2*((SIN(((A18)*12.9898+(Inputs!$C$6)*78.233+Inputs!$C$47*37.719))*43758.5453)-INT((SIN(((A18)*12.9898+(Inputs!$C$6)*78.233+Inputs!$C$47*37.719))*43758.5453)))-1)))</x:f>
        <x:v>241.24392327938918</x:v>
      </x:c>
      <x:c r="Z18" s="48" t="n">
        <x:f>B18-X18/1000</x:f>
        <x:v>402.96043520039797</x:v>
      </x:c>
      <x:c r="AA18" s="48" t="n">
        <x:f>SQRT(A18^2+Inputs!$C$6^2+(B18-Y18/1000)^2)</x:f>
        <x:v>406.8749140633423</x:v>
      </x:c>
      <x:c r="AB18" s="48" t="n">
        <x:f>(AA18-Z18)*1000</x:f>
        <x:v>3914.4788629443497</x:v>
      </x:c>
      <x:c r="AC18" s="48" t="n">
        <x:f>AB18/Inputs!$C$12</x:f>
        <x:v>2199.145428620421</x:v>
      </x:c>
      <x:c r="AD18" s="48" t="n">
        <x:f>2*AB18/Inputs!$C$21*1000000</x:f>
        <x:v>26.11459200180646</x:v>
      </x:c>
      <x:c r="AE18" s="48" t="n">
        <x:f>DEGREES(ATAN(H18/(B18-Y18/1000)))</x:f>
        <x:v>8.152391199699375</x:v>
      </x:c>
      <x:c r="AF18" s="48" t="n">
        <x:f>DEGREES((2*PI()/Inputs!$C$13)*Inputs!$C$15*SIN(RADIANS(AE18)))</x:f>
        <x:v>51.05032181386523</x:v>
      </x:c>
      <x:c r="AG18" s="48" t="n">
        <x:f>(Z18/AA18)^4</x:f>
        <x:v>0.9620684459392042</x:v>
      </x:c>
      <x:c r="AH18" s="48" t="n">
        <x:f>10*LOG10(AG18)</x:f>
        <x:v>-0.167940291718864</x:v>
      </x:c>
      <x:c r="AI18" s="48" t="n">
        <x:f>AC18-F18</x:f>
        <x:v>-109.43719265310528</x:v>
      </x:c>
      <x:c r="AJ18" s="48" t="n">
        <x:f>AD18-G18</x:f>
        <x:v>-1.2995537260815766</x:v>
      </x:c>
      <x:c r="AK18" s="48" t="n">
        <x:f>Y18-X18</x:f>
        <x:v>197.2346792328844</x:v>
      </x:c>
      <x:c r="AL18" s="48" t="n">
        <x:f>1000*(AA19-AA17)/(A19-A17)*Inputs!$C$11</x:f>
        <x:v>-1099.0796071673685</x:v>
      </x:c>
      <x:c r="AM18" s="48" t="n">
        <x:f>-2*AL18/Inputs!$C$13</x:f>
        <x:v>439.6318428669474</x:v>
      </x:c>
      <x:c r="AN18" s="48" t="n">
        <x:f>-2*AL18/Inputs!$C$14</x:f>
        <x:v>66.01078721725938</x:v>
      </x:c>
      <x:c r="AO18" s="48" t="n">
        <x:f>ABS(AM18)</x:f>
        <x:v>439.6318428669474</x:v>
      </x:c>
      <x:c r="AP18" s="48" t="n">
        <x:f>ABS(AN18)</x:f>
        <x:v>66.01078721725938</x:v>
      </x:c>
      <x:c r="AQ18" s="48" t="n">
        <x:f>IF(OR(Inputs!$C$27=TRUE,Inputs!$C$27="TRUE",Inputs!$C$27=1),Inputs!$C$46/Inputs!$C$12,0)</x:f>
        <x:v>42.13483146067416</x:v>
      </x:c>
      <x:c r="AR18" s="48" t="n">
        <x:f>AC18-AQ18</x:f>
        <x:v>2157.010597159747</x:v>
      </x:c>
      <x:c r="AS18" s="48" t="n">
        <x:f>AC18+AQ18</x:f>
        <x:v>2241.2802600810955</x:v>
      </x:c>
    </x:row>
    <x:row r="19">
      <x:c r="A19" s="48" t="n">
        <x:f>Inputs!$C$7+17*(Inputs!$C$8-Inputs!$C$7)/240</x:f>
        <x:v>-51.5</x:v>
      </x:c>
      <x:c r="B19" s="48" t="n">
        <x:f>Inputs!$C$5+Inputs!$C$9*(A19/Inputs!$C$10)^2</x:f>
        <x:v>402.94694444444445</x:v>
      </x:c>
      <x:c r="C19" s="48" t="n">
        <x:f>B19</x:f>
        <x:v>402.94694444444445</x:v>
      </x:c>
      <x:c r="D19" s="48" t="n">
        <x:f>SQRT(A19^2+Inputs!$C$6^2+B19^2)</x:f>
        <x:v>406.9932309475358</x:v>
      </x:c>
      <x:c r="E19" s="48" t="n">
        <x:f>(D19-C19)*1000</x:f>
        <x:v>4046.2865030913235</x:v>
      </x:c>
      <x:c r="F19" s="48" t="n">
        <x:f>E19/Inputs!$C$12</x:f>
        <x:v>2273.194664658047</x:v>
      </x:c>
      <x:c r="G19" s="48" t="n">
        <x:f>2*E19/Inputs!$C$21*1000000</x:f>
        <x:v>26.99391792632304</x:v>
      </x:c>
      <x:c r="H19" s="48" t="n">
        <x:f>SQRT(A19^2+Inputs!$C$6^2)</x:f>
        <x:v>57.24727067729954</x:v>
      </x:c>
      <x:c r="I19" s="48" t="n">
        <x:f>DEGREES(ATAN(H19/B19))</x:f>
        <x:v>8.085982914919201</x:v>
      </x:c>
      <x:c r="J19" s="48" t="n">
        <x:f>DEGREES((2*PI()/Inputs!$C$13)*Inputs!$C$15*SIN(RADIANS(I19)))</x:f>
        <x:v>50.63724867326966</x:v>
      </x:c>
      <x:c r="K19" s="48" t="n">
        <x:f>(C19/D19)^4</x:f>
        <x:v>0.9608215225668301</x:v>
      </x:c>
      <x:c r="L19" s="48" t="n">
        <x:f>10*LOG10(K19)</x:f>
        <x:v>-0.173572772253406</x:v>
      </x:c>
      <x:c r="M19" s="48" t="n">
        <x:f>2*(Inputs!$C$9/(Inputs!$C$10^2))*A19</x:f>
        <x:v>-0.11444444444444445</x:v>
      </x:c>
      <x:c r="N19" s="48" t="n">
        <x:f>M19*Inputs!$C$11</x:f>
        <x:v>-0.4577777777777778</x:v>
      </x:c>
      <x:c r="O19" s="48" t="n">
        <x:f>1000*((A19*Inputs!$C$11)+(B19*N19))/D19</x:f>
        <x:v>-959.377520557477</x:v>
      </x:c>
      <x:c r="P19" s="48" t="n">
        <x:f>-2*O19/Inputs!$C$13</x:f>
        <x:v>383.75100822299083</x:v>
      </x:c>
      <x:c r="Q19" s="48" t="n">
        <x:f>-2*O19/Inputs!$C$14</x:f>
        <x:v>57.62027150495358</x:v>
      </x:c>
      <x:c r="R19" s="48" t="n">
        <x:f>F19-Inputs!$C$16/2</x:f>
        <x:v>2258.194664658047</x:v>
      </x:c>
      <x:c r="S19" s="48" t="n">
        <x:f>F19+Inputs!$C$16/2</x:f>
        <x:v>2288.194664658047</x:v>
      </x:c>
      <x:c r="T19" s="48" t="n">
        <x:f>F19-Inputs!$C$17/2</x:f>
        <x:v>2123.194664658047</x:v>
      </x:c>
      <x:c r="U19" s="48" t="n">
        <x:f>F19+Inputs!$C$17/2</x:f>
        <x:v>2423.194664658047</x:v>
      </x:c>
      <x:c r="V19" s="48" t="n">
        <x:f>ABS(P19)</x:f>
        <x:v>383.75100822299083</x:v>
      </x:c>
      <x:c r="W19" s="48" t="n">
        <x:f>ABS(Q19)</x:f>
        <x:v>57.62027150495358</x:v>
      </x:c>
      <x:c r="X19" s="48" t="n">
        <x: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(0.45*SIN(2*PI()*(((A19)/Inputs!$C$49)+Inputs!$C$47*0.137))+0.35*COS(2*PI()*(((0)/Inputs!$C$50)+Inputs!$C$47*0.173))+0.20*SIN(2*PI()*(((A19)+(0))/(0.5*(Inputs!$C$49+Inputs!$C$50))+Inputs!$C$47*0.097)))+0.30*(2*((SIN(((A19)*12.9898+(0)*78.233+Inputs!$C$47*37.719))*43758.5453)-INT((SIN(((A19)*12.9898+(0)*78.233+Inputs!$C$47*37.719))*43758.5453)))-1)))</x:f>
        <x:v>32.491619283106324</x:v>
      </x:c>
      <x:c r="Y19" s="48" t="n">
        <x: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(0.45*SIN(2*PI()*(((A19)/Inputs!$C$49)+Inputs!$C$47*0.137))+0.35*COS(2*PI()*(((Inputs!$C$6)/Inputs!$C$50)+Inputs!$C$47*0.173))+0.20*SIN(2*PI()*(((A19)+(Inputs!$C$6))/(0.5*(Inputs!$C$49+Inputs!$C$50))+Inputs!$C$47*0.097)))+0.30*(2*((SIN(((A19)*12.9898+(Inputs!$C$6)*78.233+Inputs!$C$47*37.719))*43758.5453)-INT((SIN(((A19)*12.9898+(Inputs!$C$6)*78.233+Inputs!$C$47*37.719))*43758.5453)))-1)))</x:f>
        <x:v>261.3961473371179</x:v>
      </x:c>
      <x:c r="Z19" s="48" t="n">
        <x:f>B19-X19/1000</x:f>
        <x:v>402.91445282516133</x:v>
      </x:c>
      <x:c r="AA19" s="48" t="n">
        <x:f>SQRT(A19^2+Inputs!$C$6^2+(B19-Y19/1000)^2)</x:f>
        <x:v>406.7344352367303</x:v>
      </x:c>
      <x:c r="AB19" s="48" t="n">
        <x:f>(AA19-Z19)*1000</x:f>
        <x:v>3819.982411568958</x:v>
      </x:c>
      <x:c r="AC19" s="48" t="n">
        <x:f>AB19/Inputs!$C$12</x:f>
        <x:v>2146.057534589302</x:v>
      </x:c>
      <x:c r="AD19" s="48" t="n">
        <x:f>2*AB19/Inputs!$C$21*1000000</x:f>
        <x:v>25.484179535757086</x:v>
      </x:c>
      <x:c r="AE19" s="48" t="n">
        <x:f>DEGREES(ATAN(H19/(B19-Y19/1000)))</x:f>
        <x:v>8.09116230323489</x:v>
      </x:c>
      <x:c r="AF19" s="48" t="n">
        <x:f>DEGREES((2*PI()/Inputs!$C$13)*Inputs!$C$15*SIN(RADIANS(AE19)))</x:f>
        <x:v>50.66946798304117</x:v>
      </x:c>
      <x:c r="AG19" s="48" t="n">
        <x:f>(Z19/AA19)^4</x:f>
        <x:v>0.9629585962833855</x:v>
      </x:c>
      <x:c r="AH19" s="48" t="n">
        <x:f>10*LOG10(AG19)</x:f>
        <x:v>-0.163923855568963</x:v>
      </x:c>
      <x:c r="AI19" s="48" t="n">
        <x:f>AC19-F19</x:f>
        <x:v>-127.13713006874468</x:v>
      </x:c>
      <x:c r="AJ19" s="48" t="n">
        <x:f>AD19-G19</x:f>
        <x:v>-1.5097383905659534</x:v>
      </x:c>
      <x:c r="AK19" s="48" t="n">
        <x:f>Y19-X19</x:f>
        <x:v>228.90452805401156</x:v>
      </x:c>
      <x:c r="AL19" s="48" t="n">
        <x:f>1000*(AA20-AA18)/(A20-A18)*Inputs!$C$11</x:f>
        <x:v>-1002.1414504381028</x:v>
      </x:c>
      <x:c r="AM19" s="48" t="n">
        <x:f>-2*AL19/Inputs!$C$13</x:f>
        <x:v>400.8565801752411</x:v>
      </x:c>
      <x:c r="AN19" s="48" t="n">
        <x:f>-2*AL19/Inputs!$C$14</x:f>
        <x:v>60.18867570198816</x:v>
      </x:c>
      <x:c r="AO19" s="48" t="n">
        <x:f>ABS(AM19)</x:f>
        <x:v>400.8565801752411</x:v>
      </x:c>
      <x:c r="AP19" s="48" t="n">
        <x:f>ABS(AN19)</x:f>
        <x:v>60.18867570198816</x:v>
      </x:c>
      <x:c r="AQ19" s="48" t="n">
        <x:f>IF(OR(Inputs!$C$27=TRUE,Inputs!$C$27="TRUE",Inputs!$C$27=1),Inputs!$C$46/Inputs!$C$12,0)</x:f>
        <x:v>42.13483146067416</x:v>
      </x:c>
      <x:c r="AR19" s="48" t="n">
        <x:f>AC19-AQ19</x:f>
        <x:v>2103.9227031286277</x:v>
      </x:c>
      <x:c r="AS19" s="48" t="n">
        <x:f>AC19+AQ19</x:f>
        <x:v>2188.1923660499765</x:v>
      </x:c>
    </x:row>
    <x:row r="20">
      <x:c r="A20" s="48" t="n">
        <x:f>Inputs!$C$7+18*(Inputs!$C$8-Inputs!$C$7)/240</x:f>
        <x:v>-51</x:v>
      </x:c>
      <x:c r="B20" s="48" t="n">
        <x:f>Inputs!$C$5+Inputs!$C$9*(A20/Inputs!$C$10)^2</x:f>
        <x:v>402.89</x:v>
      </x:c>
      <x:c r="C20" s="48" t="n">
        <x:f>B20</x:f>
        <x:v>402.89</x:v>
      </x:c>
      <x:c r="D20" s="48" t="n">
        <x:f>SQRT(A20^2+Inputs!$C$6^2+B20^2)</x:f>
        <x:v>406.8738773870842</x:v>
      </x:c>
      <x:c r="E20" s="48" t="n">
        <x:f>(D20-C20)*1000</x:f>
        <x:v>3983.877387084192</x:v>
      </x:c>
      <x:c r="F20" s="48" t="n">
        <x:f>E20/Inputs!$C$12</x:f>
        <x:v>2238.133363530445</x:v>
      </x:c>
      <x:c r="G20" s="48" t="n">
        <x:f>2*E20/Inputs!$C$21*1000000</x:f>
        <x:v>26.577569120062332</x:v>
      </x:c>
      <x:c r="H20" s="48" t="n">
        <x:f>SQRT(A20^2+Inputs!$C$6^2)</x:f>
        <x:v>56.79788728465171</x:v>
      </x:c>
      <x:c r="I20" s="48" t="n">
        <x:f>DEGREES(ATAN(H20/B20))</x:f>
        <x:v>8.024458026468219</x:v>
      </x:c>
      <x:c r="J20" s="48" t="n">
        <x:f>DEGREES((2*PI()/Inputs!$C$13)*Inputs!$C$15*SIN(RADIANS(I20)))</x:f>
        <x:v>50.25449054086581</x:v>
      </x:c>
      <x:c r="K20" s="48" t="n">
        <x:f>(C20/D20)^4</x:f>
        <x:v>0.9614057640575286</x:v>
      </x:c>
      <x:c r="L20" s="48" t="n">
        <x:f>10*LOG10(K20)</x:f>
        <x:v>-0.170932784099163</x:v>
      </x:c>
      <x:c r="M20" s="48" t="n">
        <x:f>2*(Inputs!$C$9/(Inputs!$C$10^2))*A20</x:f>
        <x:v>-0.11333333333333333</x:v>
      </x:c>
      <x:c r="N20" s="48" t="n">
        <x:f>M20*Inputs!$C$11</x:f>
        <x:v>-0.4533333333333333</x:v>
      </x:c>
      <x:c r="O20" s="48" t="n">
        <x:f>1000*((A20*Inputs!$C$11)+(B20*N20))/D20</x:f>
        <x:v>-950.2784232540663</x:v>
      </x:c>
      <x:c r="P20" s="48" t="n">
        <x:f>-2*O20/Inputs!$C$13</x:f>
        <x:v>380.1113693016265</x:v>
      </x:c>
      <x:c r="Q20" s="48" t="n">
        <x:f>-2*O20/Inputs!$C$14</x:f>
        <x:v>57.0737791744184</x:v>
      </x:c>
      <x:c r="R20" s="48" t="n">
        <x:f>F20-Inputs!$C$16/2</x:f>
        <x:v>2223.133363530445</x:v>
      </x:c>
      <x:c r="S20" s="48" t="n">
        <x:f>F20+Inputs!$C$16/2</x:f>
        <x:v>2253.133363530445</x:v>
      </x:c>
      <x:c r="T20" s="48" t="n">
        <x:f>F20-Inputs!$C$17/2</x:f>
        <x:v>2088.133363530445</x:v>
      </x:c>
      <x:c r="U20" s="48" t="n">
        <x:f>F20+Inputs!$C$17/2</x:f>
        <x:v>2388.133363530445</x:v>
      </x:c>
      <x:c r="V20" s="48" t="n">
        <x:f>ABS(P20)</x:f>
        <x:v>380.1113693016265</x:v>
      </x:c>
      <x:c r="W20" s="48" t="n">
        <x:f>ABS(Q20)</x:f>
        <x:v>57.0737791744184</x:v>
      </x:c>
      <x:c r="X20" s="48" t="n">
        <x: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(0.45*SIN(2*PI()*(((A20)/Inputs!$C$49)+Inputs!$C$47*0.137))+0.35*COS(2*PI()*(((0)/Inputs!$C$50)+Inputs!$C$47*0.173))+0.20*SIN(2*PI()*(((A20)+(0))/(0.5*(Inputs!$C$49+Inputs!$C$50))+Inputs!$C$47*0.097)))+0.30*(2*((SIN(((A20)*12.9898+(0)*78.233+Inputs!$C$47*37.719))*43758.5453)-INT((SIN(((A20)*12.9898+(0)*78.233+Inputs!$C$47*37.719))*43758.5453)))-1)))</x:f>
        <x:v>39.10881658677256</x:v>
      </x:c>
      <x:c r="Y20" s="48" t="n">
        <x: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(0.45*SIN(2*PI()*(((A20)/Inputs!$C$49)+Inputs!$C$47*0.137))+0.35*COS(2*PI()*(((Inputs!$C$6)/Inputs!$C$50)+Inputs!$C$47*0.173))+0.20*SIN(2*PI()*(((A20)+(Inputs!$C$6))/(0.5*(Inputs!$C$49+Inputs!$C$50))+Inputs!$C$47*0.097)))+0.30*(2*((SIN(((A20)*12.9898+(Inputs!$C$6)*78.233+Inputs!$C$47*37.719))*43758.5453)-INT((SIN(((A20)*12.9898+(Inputs!$C$6)*78.233+Inputs!$C$47*37.719))*43758.5453)))-1)))</x:f>
        <x:v>251.96732827517536</x:v>
      </x:c>
      <x:c r="Z20" s="48" t="n">
        <x:f>B20-X20/1000</x:f>
        <x:v>402.85089118341324</x:v>
      </x:c>
      <x:c r="AA20" s="48" t="n">
        <x:f>SQRT(A20^2+Inputs!$C$6^2+(B20-Y20/1000)^2)</x:f>
        <x:v>406.6243787007328</x:v>
      </x:c>
      <x:c r="AB20" s="48" t="n">
        <x:f>(AA20-Z20)*1000</x:f>
        <x:v>3773.487517319552</x:v>
      </x:c>
      <x:c r="AC20" s="48" t="n">
        <x:f>AB20/Inputs!$C$12</x:f>
        <x:v>2119.9368074828944</x:v>
      </x:c>
      <x:c r="AD20" s="48" t="n">
        <x:f>2*AB20/Inputs!$C$21*1000000</x:f>
        <x:v>25.17399898912435</x:v>
      </x:c>
      <x:c r="AE20" s="48" t="n">
        <x:f>DEGREES(ATAN(H20/(B20-Y20/1000)))</x:f>
        <x:v>8.029414192252009</x:v>
      </x:c>
      <x:c r="AF20" s="48" t="n">
        <x:f>DEGREES((2*PI()/Inputs!$C$13)*Inputs!$C$15*SIN(RADIANS(AE20)))</x:f>
        <x:v>50.285325950718175</x:v>
      </x:c>
      <x:c r="AG20" s="48" t="n">
        <x:f>(Z20/AA20)^4</x:f>
        <x:v>0.9633933940396417</x:v>
      </x:c>
      <x:c r="AH20" s="48" t="n">
        <x:f>10*LOG10(AG20)</x:f>
        <x:v>-0.16196335955949898</x:v>
      </x:c>
      <x:c r="AI20" s="48" t="n">
        <x:f>AC20-F20</x:f>
        <x:v>-118.19655604755053</x:v>
      </x:c>
      <x:c r="AJ20" s="48" t="n">
        <x:f>AD20-G20</x:f>
        <x:v>-1.4035701309379824</x:v>
      </x:c>
      <x:c r="AK20" s="48" t="n">
        <x:f>Y20-X20</x:f>
        <x:v>212.8585116884028</x:v>
      </x:c>
      <x:c r="AL20" s="48" t="n">
        <x:f>1000*(AA21-AA19)/(A21-A19)*Inputs!$C$11</x:f>
        <x:v>-904.368364424954</x:v>
      </x:c>
      <x:c r="AM20" s="48" t="n">
        <x:f>-2*AL20/Inputs!$C$13</x:f>
        <x:v>361.7473457699816</x:v>
      </x:c>
      <x:c r="AN20" s="48" t="n">
        <x:f>-2*AL20/Inputs!$C$14</x:f>
        <x:v>54.316418283781026</x:v>
      </x:c>
      <x:c r="AO20" s="48" t="n">
        <x:f>ABS(AM20)</x:f>
        <x:v>361.7473457699816</x:v>
      </x:c>
      <x:c r="AP20" s="48" t="n">
        <x:f>ABS(AN20)</x:f>
        <x:v>54.316418283781026</x:v>
      </x:c>
      <x:c r="AQ20" s="48" t="n">
        <x:f>IF(OR(Inputs!$C$27=TRUE,Inputs!$C$27="TRUE",Inputs!$C$27=1),Inputs!$C$46/Inputs!$C$12,0)</x:f>
        <x:v>42.13483146067416</x:v>
      </x:c>
      <x:c r="AR20" s="48" t="n">
        <x:f>AC20-AQ20</x:f>
        <x:v>2077.80197602222</x:v>
      </x:c>
      <x:c r="AS20" s="48" t="n">
        <x:f>AC20+AQ20</x:f>
        <x:v>2162.071638943569</x:v>
      </x:c>
    </x:row>
    <x:row r="21">
      <x:c r="A21" s="48" t="n">
        <x:f>Inputs!$C$7+19*(Inputs!$C$8-Inputs!$C$7)/240</x:f>
        <x:v>-50.5</x:v>
      </x:c>
      <x:c r="B21" s="48" t="n">
        <x:f>Inputs!$C$5+Inputs!$C$9*(A21/Inputs!$C$10)^2</x:f>
        <x:v>402.8336111111111</x:v>
      </x:c>
      <x:c r="C21" s="48" t="n">
        <x:f>B21</x:f>
        <x:v>402.8336111111111</x:v>
      </x:c>
      <x:c r="D21" s="48" t="n">
        <x:f>SQRT(A21^2+Inputs!$C$6^2+B21^2)</x:f>
        <x:v>406.75566159651413</x:v>
      </x:c>
      <x:c r="E21" s="48" t="n">
        <x:f>(D21-C21)*1000</x:f>
        <x:v>3922.0504854030196</x:v>
      </x:c>
      <x:c r="F21" s="48" t="n">
        <x:f>E21/Inputs!$C$12</x:f>
        <x:v>2203.39914910282</x:v>
      </x:c>
      <x:c r="G21" s="48" t="n">
        <x:f>2*E21/Inputs!$C$21*1000000</x:f>
        <x:v>26.165104429698626</x:v>
      </x:c>
      <x:c r="H21" s="48" t="n">
        <x:f>SQRT(A21^2+Inputs!$C$6^2)</x:f>
        <x:v>56.349356695529366</x:v>
      </x:c>
      <x:c r="I21" s="48" t="n">
        <x:f>DEGREES(ATAN(H21/B21))</x:f>
        <x:v>7.9630052297803156</x:v>
      </x:c>
      <x:c r="J21" s="48" t="n">
        <x:f>DEGREES((2*PI()/Inputs!$C$13)*Inputs!$C$15*SIN(RADIANS(I21)))</x:f>
        <x:v>49.87212305974802</x:v>
      </x:c>
      <x:c r="K21" s="48" t="n">
        <x:f>(C21/D21)^4</x:f>
        <x:v>0.961985158400483</x:v>
      </x:c>
      <x:c r="L21" s="48" t="n">
        <x:f>10*LOG10(K21)</x:f>
        <x:v>-0.168316282475243</x:v>
      </x:c>
      <x:c r="M21" s="48" t="n">
        <x:f>2*(Inputs!$C$9/(Inputs!$C$10^2))*A21</x:f>
        <x:v>-0.11222222222222222</x:v>
      </x:c>
      <x:c r="N21" s="48" t="n">
        <x:f>M21*Inputs!$C$11</x:f>
        <x:v>-0.4488888888888889</x:v>
      </x:c>
      <x:c r="O21" s="48" t="n">
        <x:f>1000*((A21*Inputs!$C$11)+(B21*N21))/D21</x:f>
        <x:v>-941.1732109546285</x:v>
      </x:c>
      <x:c r="P21" s="48" t="n">
        <x:f>-2*O21/Inputs!$C$13</x:f>
        <x:v>376.4692843818514</x:v>
      </x:c>
      <x:c r="Q21" s="48" t="n">
        <x:f>-2*O21/Inputs!$C$14</x:f>
        <x:v>56.526919576854574</x:v>
      </x:c>
      <x:c r="R21" s="48" t="n">
        <x:f>F21-Inputs!$C$16/2</x:f>
        <x:v>2188.39914910282</x:v>
      </x:c>
      <x:c r="S21" s="48" t="n">
        <x:f>F21+Inputs!$C$16/2</x:f>
        <x:v>2218.39914910282</x:v>
      </x:c>
      <x:c r="T21" s="48" t="n">
        <x:f>F21-Inputs!$C$17/2</x:f>
        <x:v>2053.39914910282</x:v>
      </x:c>
      <x:c r="U21" s="48" t="n">
        <x:f>F21+Inputs!$C$17/2</x:f>
        <x:v>2353.39914910282</x:v>
      </x:c>
      <x:c r="V21" s="48" t="n">
        <x:f>ABS(P21)</x:f>
        <x:v>376.4692843818514</x:v>
      </x:c>
      <x:c r="W21" s="48" t="n">
        <x:f>ABS(Q21)</x:f>
        <x:v>56.526919576854574</x:v>
      </x:c>
      <x:c r="X21" s="48" t="n">
        <x: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(0.45*SIN(2*PI()*(((A21)/Inputs!$C$49)+Inputs!$C$47*0.137))+0.35*COS(2*PI()*(((0)/Inputs!$C$50)+Inputs!$C$47*0.173))+0.20*SIN(2*PI()*(((A21)+(0))/(0.5*(Inputs!$C$49+Inputs!$C$50))+Inputs!$C$47*0.097)))+0.30*(2*((SIN(((A21)*12.9898+(0)*78.233+Inputs!$C$47*37.719))*43758.5453)-INT((SIN(((A21)*12.9898+(0)*78.233+Inputs!$C$47*37.719))*43758.5453)))-1)))</x:f>
        <x:v>47.99583170220943</x:v>
      </x:c>
      <x:c r="Y21" s="48" t="n">
        <x: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(0.45*SIN(2*PI()*(((A21)/Inputs!$C$49)+Inputs!$C$47*0.137))+0.35*COS(2*PI()*(((Inputs!$C$6)/Inputs!$C$50)+Inputs!$C$47*0.173))+0.20*SIN(2*PI()*(((A21)+(Inputs!$C$6))/(0.5*(Inputs!$C$49+Inputs!$C$50))+Inputs!$C$47*0.097)))+0.30*(2*((SIN(((A21)*12.9898+(Inputs!$C$6)*78.233+Inputs!$C$47*37.719))*43758.5453)-INT((SIN(((A21)*12.9898+(Inputs!$C$6)*78.233+Inputs!$C$47*37.719))*43758.5453)))-1)))</x:f>
        <x:v>249.7278681272967</x:v>
      </x:c>
      <x:c r="Z21" s="48" t="n">
        <x:f>B21-X21/1000</x:f>
        <x:v>402.7856152794089</x:v>
      </x:c>
      <x:c r="AA21" s="48" t="n">
        <x:f>SQRT(A21^2+Inputs!$C$6^2+(B21-Y21/1000)^2)</x:f>
        <x:v>406.50834314562405</x:v>
      </x:c>
      <x:c r="AB21" s="48" t="n">
        <x:f>(AA21-Z21)*1000</x:f>
        <x:v>3722.727866215166</x:v>
      </x:c>
      <x:c r="AC21" s="48" t="n">
        <x:f>AB21/Inputs!$C$12</x:f>
        <x:v>2091.420149559082</x:v>
      </x:c>
      <x:c r="AD21" s="48" t="n">
        <x:f>2*AB21/Inputs!$C$21*1000000</x:f>
        <x:v>24.83536704726018</x:v>
      </x:c>
      <x:c r="AE21" s="48" t="n">
        <x:f>DEGREES(ATAN(H21/(B21-Y21/1000)))</x:f>
        <x:v>7.967881362692557</x:v>
      </x:c>
      <x:c r="AF21" s="48" t="n">
        <x:f>DEGREES((2*PI()/Inputs!$C$13)*Inputs!$C$15*SIN(RADIANS(AE21)))</x:f>
        <x:v>49.902465109119724</x:v>
      </x:c>
      <x:c r="AG21" s="48" t="n">
        <x:f>(Z21/AA21)^4</x:f>
        <x:v>0.9638688716039524</x:v>
      </x:c>
      <x:c r="AH21" s="48" t="n">
        <x:f>10*LOG10(AG21)</x:f>
        <x:v>-0.15982045155658</x:v>
      </x:c>
      <x:c r="AI21" s="48" t="n">
        <x:f>AC21-F21</x:f>
        <x:v>-111.97899954373815</x:v>
      </x:c>
      <x:c r="AJ21" s="48" t="n">
        <x:f>AD21-G21</x:f>
        <x:v>-1.329737382438445</x:v>
      </x:c>
      <x:c r="AK21" s="48" t="n">
        <x:f>Y21-X21</x:f>
        <x:v>201.73203642508724</x:v>
      </x:c>
      <x:c r="AL21" s="48" t="n">
        <x:f>1000*(AA22-AA20)/(A22-A20)*Inputs!$C$11</x:f>
        <x:v>-1027.6355637270171</x:v>
      </x:c>
      <x:c r="AM21" s="48" t="n">
        <x:f>-2*AL21/Inputs!$C$13</x:f>
        <x:v>411.05422549080686</x:v>
      </x:c>
      <x:c r="AN21" s="48" t="n">
        <x:f>-2*AL21/Inputs!$C$14</x:f>
        <x:v>61.71985367729833</x:v>
      </x:c>
      <x:c r="AO21" s="48" t="n">
        <x:f>ABS(AM21)</x:f>
        <x:v>411.05422549080686</x:v>
      </x:c>
      <x:c r="AP21" s="48" t="n">
        <x:f>ABS(AN21)</x:f>
        <x:v>61.71985367729833</x:v>
      </x:c>
      <x:c r="AQ21" s="48" t="n">
        <x:f>IF(OR(Inputs!$C$27=TRUE,Inputs!$C$27="TRUE",Inputs!$C$27=1),Inputs!$C$46/Inputs!$C$12,0)</x:f>
        <x:v>42.13483146067416</x:v>
      </x:c>
      <x:c r="AR21" s="48" t="n">
        <x:f>AC21-AQ21</x:f>
        <x:v>2049.2853180984075</x:v>
      </x:c>
      <x:c r="AS21" s="48" t="n">
        <x:f>AC21+AQ21</x:f>
        <x:v>2133.5549810197563</x:v>
      </x:c>
    </x:row>
    <x:row r="22">
      <x:c r="A22" s="48" t="n">
        <x:f>Inputs!$C$7+20*(Inputs!$C$8-Inputs!$C$7)/240</x:f>
        <x:v>-50</x:v>
      </x:c>
      <x:c r="B22" s="48" t="n">
        <x:f>Inputs!$C$5+Inputs!$C$9*(A22/Inputs!$C$10)^2</x:f>
        <x:v>402.77777777777777</x:v>
      </x:c>
      <x:c r="C22" s="48" t="n">
        <x:f>B22</x:f>
        <x:v>402.77777777777777</x:v>
      </x:c>
      <x:c r="D22" s="48" t="n">
        <x:f>SQRT(A22^2+Inputs!$C$6^2+B22^2)</x:f>
        <x:v>406.63858433700676</x:v>
      </x:c>
      <x:c r="E22" s="48" t="n">
        <x:f>(D22-C22)*1000</x:f>
        <x:v>3860.8065592289904</x:v>
      </x:c>
      <x:c r="F22" s="48" t="n">
        <x:f>E22/Inputs!$C$12</x:f>
        <x:v>2168.9924490050507</x:v>
      </x:c>
      <x:c r="G22" s="48" t="n">
        <x:f>2*E22/Inputs!$C$21*1000000</x:f>
        <x:v>25.756528933286177</x:v>
      </x:c>
      <x:c r="H22" s="48" t="n">
        <x:f>SQRT(A22^2+Inputs!$C$6^2)</x:f>
        <x:v>55.90169943749474</x:v>
      </x:c>
      <x:c r="I22" s="48" t="n">
        <x:f>DEGREES(ATAN(H22/B22))</x:f>
        <x:v>7.901627897264307</x:v>
      </x:c>
      <x:c r="J22" s="48" t="n">
        <x:f>DEGREES((2*PI()/Inputs!$C$13)*Inputs!$C$15*SIN(RADIANS(I22)))</x:f>
        <x:v>49.490167860754674</x:v>
      </x:c>
      <x:c r="K22" s="48" t="n">
        <x:f>(C22/D22)^4</x:f>
        <x:v>0.9625596822087733</x:v>
      </x:c>
      <x:c r="L22" s="48" t="n">
        <x:f>10*LOG10(K22)</x:f>
        <x:v>-0.165723331437579</x:v>
      </x:c>
      <x:c r="M22" s="48" t="n">
        <x:f>2*(Inputs!$C$9/(Inputs!$C$10^2))*A22</x:f>
        <x:v>-0.1111111111111111</x:v>
      </x:c>
      <x:c r="N22" s="48" t="n">
        <x:f>M22*Inputs!$C$11</x:f>
        <x:v>-0.4444444444444444</x:v>
      </x:c>
      <x:c r="O22" s="48" t="n">
        <x:f>1000*((A22*Inputs!$C$11)+(B22*N22))/D22</x:f>
        <x:v>-932.061934793923</x:v>
      </x:c>
      <x:c r="P22" s="48" t="n">
        <x:f>-2*O22/Inputs!$C$13</x:f>
        <x:v>372.8247739175692</x:v>
      </x:c>
      <x:c r="Q22" s="48" t="n">
        <x:f>-2*O22/Inputs!$C$14</x:f>
        <x:v>55.979695783418805</x:v>
      </x:c>
      <x:c r="R22" s="48" t="n">
        <x:f>F22-Inputs!$C$16/2</x:f>
        <x:v>2153.9924490050507</x:v>
      </x:c>
      <x:c r="S22" s="48" t="n">
        <x:f>F22+Inputs!$C$16/2</x:f>
        <x:v>2183.9924490050507</x:v>
      </x:c>
      <x:c r="T22" s="48" t="n">
        <x:f>F22-Inputs!$C$17/2</x:f>
        <x:v>2018.9924490050507</x:v>
      </x:c>
      <x:c r="U22" s="48" t="n">
        <x:f>F22+Inputs!$C$17/2</x:f>
        <x:v>2318.9924490050507</x:v>
      </x:c>
      <x:c r="V22" s="48" t="n">
        <x:f>ABS(P22)</x:f>
        <x:v>372.8247739175692</x:v>
      </x:c>
      <x:c r="W22" s="48" t="n">
        <x:f>ABS(Q22)</x:f>
        <x:v>55.979695783418805</x:v>
      </x:c>
      <x:c r="X22" s="48" t="n">
        <x: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(0.45*SIN(2*PI()*(((A22)/Inputs!$C$49)+Inputs!$C$47*0.137))+0.35*COS(2*PI()*(((0)/Inputs!$C$50)+Inputs!$C$47*0.173))+0.20*SIN(2*PI()*(((A22)+(0))/(0.5*(Inputs!$C$49+Inputs!$C$50))+Inputs!$C$47*0.097)))+0.30*(2*((SIN(((A22)*12.9898+(0)*78.233+Inputs!$C$47*37.719))*43758.5453)-INT((SIN(((A22)*12.9898+(0)*78.233+Inputs!$C$47*37.719))*43758.5453)))-1)))</x:f>
        <x:v>29.034419664389077</x:v>
      </x:c>
      <x:c r="Y22" s="48" t="n">
        <x: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(0.45*SIN(2*PI()*(((A22)/Inputs!$C$49)+Inputs!$C$47*0.137))+0.35*COS(2*PI()*(((Inputs!$C$6)/Inputs!$C$50)+Inputs!$C$47*0.173))+0.20*SIN(2*PI()*(((A22)+(Inputs!$C$6))/(0.5*(Inputs!$C$49+Inputs!$C$50))+Inputs!$C$47*0.097)))+0.30*(2*((SIN(((A22)*12.9898+(Inputs!$C$6)*78.233+Inputs!$C$47*37.719))*43758.5453)-INT((SIN(((A22)*12.9898+(Inputs!$C$6)*78.233+Inputs!$C$47*37.719))*43758.5453)))-1)))</x:f>
        <x:v>273.71504099052385</x:v>
      </x:c>
      <x:c r="Z22" s="48" t="n">
        <x:f>B22-X22/1000</x:f>
        <x:v>402.74874335811336</x:v>
      </x:c>
      <x:c r="AA22" s="48" t="n">
        <x:f>SQRT(A22^2+Inputs!$C$6^2+(B22-Y22/1000)^2)</x:f>
        <x:v>406.36746980980104</x:v>
      </x:c>
      <x:c r="AB22" s="48" t="n">
        <x:f>(AA22-Z22)*1000</x:f>
        <x:v>3618.726451687678</x:v>
      </x:c>
      <x:c r="AC22" s="48" t="n">
        <x:f>AB22/Inputs!$C$12</x:f>
        <x:v>2032.992388588583</x:v>
      </x:c>
      <x:c r="AD22" s="48" t="n">
        <x:f>2*AB22/Inputs!$C$21*1000000</x:f>
        <x:v>24.14154429253639</x:v>
      </x:c>
      <x:c r="AE22" s="48" t="n">
        <x:f>DEGREES(ATAN(H22/(B22-Y22/1000)))</x:f>
        <x:v>7.906933305257061</x:v>
      </x:c>
      <x:c r="AF22" s="48" t="n">
        <x:f>DEGREES((2*PI()/Inputs!$C$13)*Inputs!$C$15*SIN(RADIANS(AE22)))</x:f>
        <x:v>49.523186014169305</x:v>
      </x:c>
      <x:c r="AG22" s="48" t="n">
        <x:f>(Z22/AA22)^4</x:f>
        <x:v>0.9648527445480077</x:v>
      </x:c>
      <x:c r="AH22" s="48" t="n">
        <x:f>10*LOG10(AG22)</x:f>
        <x:v>-0.155389634543053</x:v>
      </x:c>
      <x:c r="AI22" s="48" t="n">
        <x:f>AC22-F22</x:f>
        <x:v>-136.0000604164677</x:v>
      </x:c>
      <x:c r="AJ22" s="48" t="n">
        <x:f>AD22-G22</x:f>
        <x:v>-1.6149846407497854</x:v>
      </x:c>
      <x:c r="AK22" s="48" t="n">
        <x:f>Y22-X22</x:f>
        <x:v>244.68062132613477</x:v>
      </x:c>
      <x:c r="AL22" s="48" t="n">
        <x:f>1000*(AA23-AA21)/(A23-A21)*Inputs!$C$11</x:f>
        <x:v>-968.769552048343</x:v>
      </x:c>
      <x:c r="AM22" s="48" t="n">
        <x:f>-2*AL22/Inputs!$C$13</x:f>
        <x:v>387.5078208193372</x:v>
      </x:c>
      <x:c r="AN22" s="48" t="n">
        <x:f>-2*AL22/Inputs!$C$14</x:f>
        <x:v>58.18435748038097</x:v>
      </x:c>
      <x:c r="AO22" s="48" t="n">
        <x:f>ABS(AM22)</x:f>
        <x:v>387.5078208193372</x:v>
      </x:c>
      <x:c r="AP22" s="48" t="n">
        <x:f>ABS(AN22)</x:f>
        <x:v>58.18435748038097</x:v>
      </x:c>
      <x:c r="AQ22" s="48" t="n">
        <x:f>IF(OR(Inputs!$C$27=TRUE,Inputs!$C$27="TRUE",Inputs!$C$27=1),Inputs!$C$46/Inputs!$C$12,0)</x:f>
        <x:v>42.13483146067416</x:v>
      </x:c>
      <x:c r="AR22" s="48" t="n">
        <x:f>AC22-AQ22</x:f>
        <x:v>1990.8575571279089</x:v>
      </x:c>
      <x:c r="AS22" s="48" t="n">
        <x:f>AC22+AQ22</x:f>
        <x:v>2075.127220049257</x:v>
      </x:c>
    </x:row>
    <x:row r="23">
      <x:c r="A23" s="48" t="n">
        <x:f>Inputs!$C$7+21*(Inputs!$C$8-Inputs!$C$7)/240</x:f>
        <x:v>-49.5</x:v>
      </x:c>
      <x:c r="B23" s="48" t="n">
        <x:f>Inputs!$C$5+Inputs!$C$9*(A23/Inputs!$C$10)^2</x:f>
        <x:v>402.7225</x:v>
      </x:c>
      <x:c r="C23" s="48" t="n">
        <x:f>B23</x:f>
        <x:v>402.7225</x:v>
      </x:c>
      <x:c r="D23" s="48" t="n">
        <x:f>SQRT(A23^2+Inputs!$C$6^2+B23^2)</x:f>
        <x:v>406.5226463633361</x:v>
      </x:c>
      <x:c r="E23" s="48" t="n">
        <x:f>(D23-C23)*1000</x:f>
        <x:v>3800.1463633360686</x:v>
      </x:c>
      <x:c r="F23" s="48" t="n">
        <x:f>E23/Inputs!$C$12</x:f>
        <x:v>2134.9136872674544</x:v>
      </x:c>
      <x:c r="G23" s="48" t="n">
        <x:f>2*E23/Inputs!$C$21*1000000</x:f>
        <x:v>25.351847666134873</x:v>
      </x:c>
      <x:c r="H23" s="48" t="n">
        <x:f>SQRT(A23^2+Inputs!$C$6^2)</x:f>
        <x:v>55.45493666031907</x:v>
      </x:c>
      <x:c r="I23" s="48" t="n">
        <x:f>DEGREES(ATAN(H23/B23))</x:f>
        <x:v>7.84032949187448</x:v>
      </x:c>
      <x:c r="J23" s="48" t="n">
        <x:f>DEGREES((2*PI()/Inputs!$C$13)*Inputs!$C$15*SIN(RADIANS(I23)))</x:f>
        <x:v>49.108647147475075</x:v>
      </x:c>
      <x:c r="K23" s="48" t="n">
        <x:f>(C23/D23)^4</x:f>
        <x:v>0.9631293122466821</x:v>
      </x:c>
      <x:c r="L23" s="48" t="n">
        <x:f>10*LOG10(K23)</x:f>
        <x:v>-0.163153994539274</x:v>
      </x:c>
      <x:c r="M23" s="48" t="n">
        <x:f>2*(Inputs!$C$9/(Inputs!$C$10^2))*A23</x:f>
        <x:v>-0.11</x:v>
      </x:c>
      <x:c r="N23" s="48" t="n">
        <x:f>M23*Inputs!$C$11</x:f>
        <x:v>-0.44</x:v>
      </x:c>
      <x:c r="O23" s="48" t="n">
        <x:f>1000*((A23*Inputs!$C$11)+(B23*N23))/D23</x:f>
        <x:v>-922.9446461505638</x:v>
      </x:c>
      <x:c r="P23" s="48" t="n">
        <x:f>-2*O23/Inputs!$C$13</x:f>
        <x:v>369.17785846022554</x:v>
      </x:c>
      <x:c r="Q23" s="48" t="n">
        <x:f>-2*O23/Inputs!$C$14</x:f>
        <x:v>55.43211087991375</x:v>
      </x:c>
      <x:c r="R23" s="48" t="n">
        <x:f>F23-Inputs!$C$16/2</x:f>
        <x:v>2119.9136872674544</x:v>
      </x:c>
      <x:c r="S23" s="48" t="n">
        <x:f>F23+Inputs!$C$16/2</x:f>
        <x:v>2149.9136872674544</x:v>
      </x:c>
      <x:c r="T23" s="48" t="n">
        <x:f>F23-Inputs!$C$17/2</x:f>
        <x:v>1984.9136872674544</x:v>
      </x:c>
      <x:c r="U23" s="48" t="n">
        <x:f>F23+Inputs!$C$17/2</x:f>
        <x:v>2284.9136872674544</x:v>
      </x:c>
      <x:c r="V23" s="48" t="n">
        <x:f>ABS(P23)</x:f>
        <x:v>369.17785846022554</x:v>
      </x:c>
      <x:c r="W23" s="48" t="n">
        <x:f>ABS(Q23)</x:f>
        <x:v>55.43211087991375</x:v>
      </x:c>
      <x:c r="X23" s="48" t="n">
        <x: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(0.45*SIN(2*PI()*(((A23)/Inputs!$C$49)+Inputs!$C$47*0.137))+0.35*COS(2*PI()*(((0)/Inputs!$C$50)+Inputs!$C$47*0.173))+0.20*SIN(2*PI()*(((A23)+(0))/(0.5*(Inputs!$C$49+Inputs!$C$50))+Inputs!$C$47*0.097)))+0.30*(2*((SIN(((A23)*12.9898+(0)*78.233+Inputs!$C$47*37.719))*43758.5453)-INT((SIN(((A23)*12.9898+(0)*78.233+Inputs!$C$47*37.719))*43758.5453)))-1)))</x:f>
        <x:v>51.90461728837901</x:v>
      </x:c>
      <x:c r="Y23" s="48" t="n">
        <x: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(0.45*SIN(2*PI()*(((A23)/Inputs!$C$49)+Inputs!$C$47*0.137))+0.35*COS(2*PI()*(((Inputs!$C$6)/Inputs!$C$50)+Inputs!$C$47*0.173))+0.20*SIN(2*PI()*(((A23)+(Inputs!$C$6))/(0.5*(Inputs!$C$49+Inputs!$C$50))+Inputs!$C$47*0.097)))+0.30*(2*((SIN(((A23)*12.9898+(Inputs!$C$6)*78.233+Inputs!$C$47*37.719))*43758.5453)-INT((SIN(((A23)*12.9898+(Inputs!$C$6)*78.233+Inputs!$C$47*37.719))*43758.5453)))-1)))</x:f>
        <x:v>258.91748425644914</x:v>
      </x:c>
      <x:c r="Z23" s="48" t="n">
        <x:f>B23-X23/1000</x:f>
        <x:v>402.67059538271167</x:v>
      </x:c>
      <x:c r="AA23" s="48" t="n">
        <x:f>SQRT(A23^2+Inputs!$C$6^2+(B23-Y23/1000)^2)</x:f>
        <x:v>406.26615075761197</x:v>
      </x:c>
      <x:c r="AB23" s="48" t="n">
        <x:f>(AA23-Z23)*1000</x:f>
        <x:v>3595.5553749003</x:v>
      </x:c>
      <x:c r="AC23" s="48" t="n">
        <x:f>AB23/Inputs!$C$12</x:f>
        <x:v>2019.9749297192698</x:v>
      </x:c>
      <x:c r="AD23" s="48" t="n">
        <x:f>2*AB23/Inputs!$C$21*1000000</x:f>
        <x:v>23.98696350726942</x:v>
      </x:c>
      <x:c r="AE23" s="48" t="n">
        <x:f>DEGREES(ATAN(H23/(B23-Y23/1000)))</x:f>
        <x:v>7.845310632947393</x:v>
      </x:c>
      <x:c r="AF23" s="48" t="n">
        <x:f>DEGREES((2*PI()/Inputs!$C$13)*Inputs!$C$15*SIN(RADIANS(AE23)))</x:f>
        <x:v>49.139651827960755</x:v>
      </x:c>
      <x:c r="AG23" s="48" t="n">
        <x:f>(Z23/AA23)^4</x:f>
        <x:v>0.9650662104204</x:v>
      </x:c>
      <x:c r="AH23" s="48" t="n">
        <x:f>10*LOG10(AG23)</x:f>
        <x:v>-0.154428899372345</x:v>
      </x:c>
      <x:c r="AI23" s="48" t="n">
        <x:f>AC23-F23</x:f>
        <x:v>-114.93875754818464</x:v>
      </x:c>
      <x:c r="AJ23" s="48" t="n">
        <x:f>AD23-G23</x:f>
        <x:v>-1.3648841588654541</x:v>
      </x:c>
      <x:c r="AK23" s="48" t="n">
        <x:f>Y23-X23</x:f>
        <x:v>207.01286696807014</x:v>
      </x:c>
      <x:c r="AL23" s="48" t="n">
        <x:f>1000*(AA24-AA22)/(A24-A22)*Inputs!$C$11</x:f>
        <x:v>-903.7556782566298</x:v>
      </x:c>
      <x:c r="AM23" s="48" t="n">
        <x:f>-2*AL23/Inputs!$C$13</x:f>
        <x:v>361.50227130265193</x:v>
      </x:c>
      <x:c r="AN23" s="48" t="n">
        <x:f>-2*AL23/Inputs!$C$14</x:f>
        <x:v>54.27962031571351</x:v>
      </x:c>
      <x:c r="AO23" s="48" t="n">
        <x:f>ABS(AM23)</x:f>
        <x:v>361.50227130265193</x:v>
      </x:c>
      <x:c r="AP23" s="48" t="n">
        <x:f>ABS(AN23)</x:f>
        <x:v>54.27962031571351</x:v>
      </x:c>
      <x:c r="AQ23" s="48" t="n">
        <x:f>IF(OR(Inputs!$C$27=TRUE,Inputs!$C$27="TRUE",Inputs!$C$27=1),Inputs!$C$46/Inputs!$C$12,0)</x:f>
        <x:v>42.13483146067416</x:v>
      </x:c>
      <x:c r="AR23" s="48" t="n">
        <x:f>AC23-AQ23</x:f>
        <x:v>1977.8400982585956</x:v>
      </x:c>
      <x:c r="AS23" s="48" t="n">
        <x:f>AC23+AQ23</x:f>
        <x:v>2062.109761179944</x:v>
      </x:c>
    </x:row>
    <x:row r="24">
      <x:c r="A24" s="48" t="n">
        <x:f>Inputs!$C$7+22*(Inputs!$C$8-Inputs!$C$7)/240</x:f>
        <x:v>-49</x:v>
      </x:c>
      <x:c r="B24" s="48" t="n">
        <x:f>Inputs!$C$5+Inputs!$C$9*(A24/Inputs!$C$10)^2</x:f>
        <x:v>402.66777777777776</x:v>
      </x:c>
      <x:c r="C24" s="48" t="n">
        <x:f>B24</x:f>
        <x:v>402.66777777777776</x:v>
      </x:c>
      <x:c r="D24" s="48" t="n">
        <x:f>SQRT(A24^2+Inputs!$C$6^2+B24^2)</x:f>
        <x:v>406.40784842383863</x:v>
      </x:c>
      <x:c r="E24" s="48" t="n">
        <x:f>(D24-C24)*1000</x:f>
        <x:v>3740.0706460608717</x:v>
      </x:c>
      <x:c r="F24" s="48" t="n">
        <x:f>E24/Inputs!$C$12</x:f>
        <x:v>2101.1632843038606</x:v>
      </x:c>
      <x:c r="G24" s="48" t="n">
        <x:f>2*E24/Inputs!$C$21*1000000</x:f>
        <x:v>24.951065620609253</x:v>
      </x:c>
      <x:c r="H24" s="48" t="n">
        <x:f>SQRT(A24^2+Inputs!$C$6^2)</x:f>
        <x:v>55.00909015790027</x:v>
      </x:c>
      <x:c r="I24" s="48" t="n">
        <x:f>DEGREES(ATAN(H24/B24))</x:f>
        <x:v>7.779113570233542</x:v>
      </x:c>
      <x:c r="J24" s="48" t="n">
        <x:f>DEGREES((2*PI()/Inputs!$C$13)*Inputs!$C$15*SIN(RADIANS(I24)))</x:f>
        <x:v>48.727583715832836</x:v>
      </x:c>
      <x:c r="K24" s="48" t="n">
        <x:f>(C24/D24)^4</x:f>
        <x:v>0.9636940254317625</x:v>
      </x:c>
      <x:c r="L24" s="48" t="n">
        <x:f>10*LOG10(K24)</x:f>
        <x:v>-0.160608334827098</x:v>
      </x:c>
      <x:c r="M24" s="48" t="n">
        <x:f>2*(Inputs!$C$9/(Inputs!$C$10^2))*A24</x:f>
        <x:v>-0.10888888888888888</x:v>
      </x:c>
      <x:c r="N24" s="48" t="n">
        <x:f>M24*Inputs!$C$11</x:f>
        <x:v>-0.43555555555555553</x:v>
      </x:c>
      <x:c r="O24" s="48" t="n">
        <x:f>1000*((A24*Inputs!$C$11)+(B24*N24))/D24</x:f>
        <x:v>-913.8213966453919</x:v>
      </x:c>
      <x:c r="P24" s="48" t="n">
        <x:f>-2*O24/Inputs!$C$13</x:f>
        <x:v>365.5285586581568</x:v>
      </x:c>
      <x:c r="Q24" s="48" t="n">
        <x:f>-2*O24/Inputs!$C$14</x:f>
        <x:v>54.884167966690214</x:v>
      </x:c>
      <x:c r="R24" s="48" t="n">
        <x:f>F24-Inputs!$C$16/2</x:f>
        <x:v>2086.1632843038606</x:v>
      </x:c>
      <x:c r="S24" s="48" t="n">
        <x:f>F24+Inputs!$C$16/2</x:f>
        <x:v>2116.1632843038606</x:v>
      </x:c>
      <x:c r="T24" s="48" t="n">
        <x:f>F24-Inputs!$C$17/2</x:f>
        <x:v>1951.1632843038606</x:v>
      </x:c>
      <x:c r="U24" s="48" t="n">
        <x:f>F24+Inputs!$C$17/2</x:f>
        <x:v>2251.1632843038606</x:v>
      </x:c>
      <x:c r="V24" s="48" t="n">
        <x:f>ABS(P24)</x:f>
        <x:v>365.5285586581568</x:v>
      </x:c>
      <x:c r="W24" s="48" t="n">
        <x:f>ABS(Q24)</x:f>
        <x:v>54.884167966690214</x:v>
      </x:c>
      <x:c r="X24" s="48" t="n">
        <x: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(0.45*SIN(2*PI()*(((A24)/Inputs!$C$49)+Inputs!$C$47*0.137))+0.35*COS(2*PI()*(((0)/Inputs!$C$50)+Inputs!$C$47*0.173))+0.20*SIN(2*PI()*(((A24)+(0))/(0.5*(Inputs!$C$49+Inputs!$C$50))+Inputs!$C$47*0.097)))+0.30*(2*((SIN(((A24)*12.9898+(0)*78.233+Inputs!$C$47*37.719))*43758.5453)-INT((SIN(((A24)*12.9898+(0)*78.233+Inputs!$C$47*37.719))*43758.5453)))-1)))</x:f>
        <x:v>39.64300304421553</x:v>
      </x:c>
      <x:c r="Y24" s="48" t="n">
        <x: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(0.45*SIN(2*PI()*(((A24)/Inputs!$C$49)+Inputs!$C$47*0.137))+0.35*COS(2*PI()*(((Inputs!$C$6)/Inputs!$C$50)+Inputs!$C$47*0.173))+0.20*SIN(2*PI()*(((A24)+(Inputs!$C$6))/(0.5*(Inputs!$C$49+Inputs!$C$50))+Inputs!$C$47*0.097)))+0.30*(2*((SIN(((A24)*12.9898+(Inputs!$C$6)*78.233+Inputs!$C$47*37.719))*43758.5453)-INT((SIN(((A24)*12.9898+(Inputs!$C$6)*78.233+Inputs!$C$47*37.719))*43758.5453)))-1)))</x:f>
        <x:v>268.7927966209557</x:v>
      </x:c>
      <x:c r="Z24" s="48" t="n">
        <x:f>B24-X24/1000</x:f>
        <x:v>402.62813477473355</x:v>
      </x:c>
      <x:c r="AA24" s="48" t="n">
        <x:f>SQRT(A24^2+Inputs!$C$6^2+(B24-Y24/1000)^2)</x:f>
        <x:v>406.1415308902369</x:v>
      </x:c>
      <x:c r="AB24" s="48" t="n">
        <x:f>(AA24-Z24)*1000</x:f>
        <x:v>3513.396115503326</x:v>
      </x:c>
      <x:c r="AC24" s="48" t="n">
        <x:f>AB24/Inputs!$C$12</x:f>
        <x:v>1973.818042417599</x:v>
      </x:c>
      <x:c r="AD24" s="48" t="n">
        <x:f>2*AB24/Inputs!$C$21*1000000</x:f>
        <x:v>23.43885592681138</x:v>
      </x:c>
      <x:c r="AE24" s="48" t="n">
        <x:f>DEGREES(ATAN(H24/(B24-Y24/1000)))</x:f>
        <x:v>7.784246144390463</x:v>
      </x:c>
      <x:c r="AF24" s="48" t="n">
        <x:f>DEGREES((2*PI()/Inputs!$C$13)*Inputs!$C$15*SIN(RADIANS(AE24)))</x:f>
        <x:v>48.75953565604719</x:v>
      </x:c>
      <x:c r="AG24" s="48" t="n">
        <x:f>(Z24/AA24)^4</x:f>
        <x:v>0.9658437430062226</x:v>
      </x:c>
      <x:c r="AH24" s="48" t="n">
        <x:f>10*LOG10(AG24)</x:f>
        <x:v>-0.150931293187502</x:v>
      </x:c>
      <x:c r="AI24" s="48" t="n">
        <x:f>AC24-F24</x:f>
        <x:v>-127.34524188626165</x:v>
      </x:c>
      <x:c r="AJ24" s="48" t="n">
        <x:f>AD24-G24</x:f>
        <x:v>-1.512209693797871</x:v>
      </x:c>
      <x:c r="AK24" s="48" t="n">
        <x:f>Y24-X24</x:f>
        <x:v>229.14979357674017</x:v>
      </x:c>
      <x:c r="AL24" s="48" t="n">
        <x:f>1000*(AA25-AA23)/(A25-A23)*Inputs!$C$11</x:f>
        <x:v>-940.1416495350077</x:v>
      </x:c>
      <x:c r="AM24" s="48" t="n">
        <x:f>-2*AL24/Inputs!$C$13</x:f>
        <x:v>376.05665981400307</x:v>
      </x:c>
      <x:c r="AN24" s="48" t="n">
        <x:f>-2*AL24/Inputs!$C$14</x:f>
        <x:v>56.464963936036504</x:v>
      </x:c>
      <x:c r="AO24" s="48" t="n">
        <x:f>ABS(AM24)</x:f>
        <x:v>376.05665981400307</x:v>
      </x:c>
      <x:c r="AP24" s="48" t="n">
        <x:f>ABS(AN24)</x:f>
        <x:v>56.464963936036504</x:v>
      </x:c>
      <x:c r="AQ24" s="48" t="n">
        <x:f>IF(OR(Inputs!$C$27=TRUE,Inputs!$C$27="TRUE",Inputs!$C$27=1),Inputs!$C$46/Inputs!$C$12,0)</x:f>
        <x:v>42.13483146067416</x:v>
      </x:c>
      <x:c r="AR24" s="48" t="n">
        <x:f>AC24-AQ24</x:f>
        <x:v>1931.6832109569248</x:v>
      </x:c>
      <x:c r="AS24" s="48" t="n">
        <x:f>AC24+AQ24</x:f>
        <x:v>2015.952873878273</x:v>
      </x:c>
    </x:row>
    <x:row r="25">
      <x:c r="A25" s="48" t="n">
        <x:f>Inputs!$C$7+23*(Inputs!$C$8-Inputs!$C$7)/240</x:f>
        <x:v>-48.5</x:v>
      </x:c>
      <x:c r="B25" s="48" t="n">
        <x:f>Inputs!$C$5+Inputs!$C$9*(A25/Inputs!$C$10)^2</x:f>
        <x:v>402.6136111111111</x:v>
      </x:c>
      <x:c r="C25" s="48" t="n">
        <x:f>B25</x:f>
        <x:v>402.6136111111111</x:v>
      </x:c>
      <x:c r="D25" s="48" t="n">
        <x:f>SQRT(A25^2+Inputs!$C$6^2+B25^2)</x:f>
        <x:v>406.2941912603834</x:v>
      </x:c>
      <x:c r="E25" s="48" t="n">
        <x:f>(D25-C25)*1000</x:f>
        <x:v>3680.5801492723162</x:v>
      </x:c>
      <x:c r="F25" s="48" t="n">
        <x:f>E25/Inputs!$C$12</x:f>
        <x:v>2067.7416568945596</x:v>
      </x:c>
      <x:c r="G25" s="48" t="n">
        <x:f>2*E25/Inputs!$C$21*1000000</x:f>
        <x:v>24.554187745925994</x:v>
      </x:c>
      <x:c r="H25" s="48" t="n">
        <x:f>SQRT(A25^2+Inputs!$C$6^2)</x:f>
        <x:v>54.56418239101544</x:v>
      </x:c>
      <x:c r="I25" s="48" t="n">
        <x:f>DEGREES(ATAN(H25/B25))</x:f>
        <x:v>7.717983785874701</x:v>
      </x:c>
      <x:c r="J25" s="48" t="n">
        <x:f>DEGREES((2*PI()/Inputs!$C$13)*Inputs!$C$15*SIN(RADIANS(I25)))</x:f>
        <x:v>48.347000974416595</x:v>
      </x:c>
      <x:c r="K25" s="48" t="n">
        <x:f>(C25/D25)^4</x:f>
        <x:v>0.964253798836902</x:v>
      </x:c>
      <x:c r="L25" s="48" t="n">
        <x:f>10*LOG10(K25)</x:f>
        <x:v>-0.15808641483798297</x:v>
      </x:c>
      <x:c r="M25" s="48" t="n">
        <x:f>2*(Inputs!$C$9/(Inputs!$C$10^2))*A25</x:f>
        <x:v>-0.10777777777777778</x:v>
      </x:c>
      <x:c r="N25" s="48" t="n">
        <x:f>M25*Inputs!$C$11</x:f>
        <x:v>-0.4311111111111111</x:v>
      </x:c>
      <x:c r="O25" s="48" t="n">
        <x:f>1000*((A25*Inputs!$C$11)+(B25*N25))/D25</x:f>
        <x:v>-904.6922381398286</x:v>
      </x:c>
      <x:c r="P25" s="48" t="n">
        <x:f>-2*O25/Inputs!$C$13</x:f>
        <x:v>361.87689525593146</x:v>
      </x:c>
      <x:c r="Q25" s="48" t="n">
        <x:f>-2*O25/Inputs!$C$14</x:f>
        <x:v>54.335870158548275</x:v>
      </x:c>
      <x:c r="R25" s="48" t="n">
        <x:f>F25-Inputs!$C$16/2</x:f>
        <x:v>2052.7416568945596</x:v>
      </x:c>
      <x:c r="S25" s="48" t="n">
        <x:f>F25+Inputs!$C$16/2</x:f>
        <x:v>2082.7416568945596</x:v>
      </x:c>
      <x:c r="T25" s="48" t="n">
        <x:f>F25-Inputs!$C$17/2</x:f>
        <x:v>1917.7416568945596</x:v>
      </x:c>
      <x:c r="U25" s="48" t="n">
        <x:f>F25+Inputs!$C$17/2</x:f>
        <x:v>2217.7416568945596</x:v>
      </x:c>
      <x:c r="V25" s="48" t="n">
        <x:f>ABS(P25)</x:f>
        <x:v>361.87689525593146</x:v>
      </x:c>
      <x:c r="W25" s="48" t="n">
        <x:f>ABS(Q25)</x:f>
        <x:v>54.335870158548275</x:v>
      </x:c>
      <x:c r="X25" s="48" t="n">
        <x: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(0.45*SIN(2*PI()*(((A25)/Inputs!$C$49)+Inputs!$C$47*0.137))+0.35*COS(2*PI()*(((0)/Inputs!$C$50)+Inputs!$C$47*0.173))+0.20*SIN(2*PI()*(((A25)+(0))/(0.5*(Inputs!$C$49+Inputs!$C$50))+Inputs!$C$47*0.097)))+0.30*(2*((SIN(((A25)*12.9898+(0)*78.233+Inputs!$C$47*37.719))*43758.5453)-INT((SIN(((A25)*12.9898+(0)*78.233+Inputs!$C$47*37.719))*43758.5453)))-1)))</x:f>
        <x:v>40.329360187280464</x:v>
      </x:c>
      <x:c r="Y25" s="48" t="n">
        <x: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(0.45*SIN(2*PI()*(((A25)/Inputs!$C$49)+Inputs!$C$47*0.137))+0.35*COS(2*PI()*(((Inputs!$C$6)/Inputs!$C$50)+Inputs!$C$47*0.173))+0.20*SIN(2*PI()*(((A25)+(Inputs!$C$6))/(0.5*(Inputs!$C$49+Inputs!$C$50))+Inputs!$C$47*0.097)))+0.30*(2*((SIN(((A25)*12.9898+(Inputs!$C$6)*78.233+Inputs!$C$47*37.719))*43758.5453)-INT((SIN(((A25)*12.9898+(Inputs!$C$6)*78.233+Inputs!$C$47*37.719))*43758.5453)))-1)))</x:f>
        <x:v>265.4824606971943</x:v>
      </x:c>
      <x:c r="Z25" s="48" t="n">
        <x:f>B25-X25/1000</x:f>
        <x:v>402.5732817509238</x:v>
      </x:c>
      <x:c r="AA25" s="48" t="n">
        <x:f>SQRT(A25^2+Inputs!$C$6^2+(B25-Y25/1000)^2)</x:f>
        <x:v>406.0311153452282</x:v>
      </x:c>
      <x:c r="AB25" s="48" t="n">
        <x:f>(AA25-Z25)*1000</x:f>
        <x:v>3457.833594304418</x:v>
      </x:c>
      <x:c r="AC25" s="48" t="n">
        <x:f>AB25/Inputs!$C$12</x:f>
        <x:v>1942.6031428676506</x:v>
      </x:c>
      <x:c r="AD25" s="48" t="n">
        <x:f>2*AB25/Inputs!$C$21*1000000</x:f>
        <x:v>23.068182684598543</x:v>
      </x:c>
      <x:c r="AE25" s="48" t="n">
        <x:f>DEGREES(ATAN(H25/(B25-Y25/1000)))</x:f>
        <x:v>7.72301492341192</x:v>
      </x:c>
      <x:c r="AF25" s="48" t="n">
        <x:f>DEGREES((2*PI()/Inputs!$C$13)*Inputs!$C$15*SIN(RADIANS(AE25)))</x:f>
        <x:v>48.37832599125807</x:v>
      </x:c>
      <x:c r="AG25" s="48" t="n">
        <x:f>(Z25/AA25)^4</x:f>
        <x:v>0.9663679711447257</x:v>
      </x:c>
      <x:c r="AH25" s="48" t="n">
        <x:f>10*LOG10(AG25)</x:f>
        <x:v>-0.148574725408421</x:v>
      </x:c>
      <x:c r="AI25" s="48" t="n">
        <x:f>AC25-F25</x:f>
        <x:v>-125.13851402690898</x:v>
      </x:c>
      <x:c r="AJ25" s="48" t="n">
        <x:f>AD25-G25</x:f>
        <x:v>-1.4860050613274502</x:v>
      </x:c>
      <x:c r="AK25" s="48" t="n">
        <x:f>Y25-X25</x:f>
        <x:v>225.15310050991386</x:v>
      </x:c>
      <x:c r="AL25" s="48" t="n">
        <x:f>1000*(AA26-AA24)/(A26-A24)*Inputs!$C$11</x:f>
        <x:v>-844.9174816248615</x:v>
      </x:c>
      <x:c r="AM25" s="48" t="n">
        <x:f>-2*AL25/Inputs!$C$13</x:f>
        <x:v>337.9669926499446</x:v>
      </x:c>
      <x:c r="AN25" s="48" t="n">
        <x:f>-2*AL25/Inputs!$C$14</x:f>
        <x:v>50.74579469218388</x:v>
      </x:c>
      <x:c r="AO25" s="48" t="n">
        <x:f>ABS(AM25)</x:f>
        <x:v>337.9669926499446</x:v>
      </x:c>
      <x:c r="AP25" s="48" t="n">
        <x:f>ABS(AN25)</x:f>
        <x:v>50.74579469218388</x:v>
      </x:c>
      <x:c r="AQ25" s="48" t="n">
        <x:f>IF(OR(Inputs!$C$27=TRUE,Inputs!$C$27="TRUE",Inputs!$C$27=1),Inputs!$C$46/Inputs!$C$12,0)</x:f>
        <x:v>42.13483146067416</x:v>
      </x:c>
      <x:c r="AR25" s="48" t="n">
        <x:f>AC25-AQ25</x:f>
        <x:v>1900.4683114069765</x:v>
      </x:c>
      <x:c r="AS25" s="48" t="n">
        <x:f>AC25+AQ25</x:f>
        <x:v>1984.7379743283248</x:v>
      </x:c>
    </x:row>
    <x:row r="26">
      <x:c r="A26" s="48" t="n">
        <x:f>Inputs!$C$7+24*(Inputs!$C$8-Inputs!$C$7)/240</x:f>
        <x:v>-48</x:v>
      </x:c>
      <x:c r="B26" s="48" t="n">
        <x:f>Inputs!$C$5+Inputs!$C$9*(A26/Inputs!$C$10)^2</x:f>
        <x:v>402.56</x:v>
      </x:c>
      <x:c r="C26" s="48" t="n">
        <x:f>B26</x:f>
        <x:v>402.56</x:v>
      </x:c>
      <x:c r="D26" s="48" t="n">
        <x:f>SQRT(A26^2+Inputs!$C$6^2+B26^2)</x:f>
        <x:v>406.18167560834155</x:v>
      </x:c>
      <x:c r="E26" s="48" t="n">
        <x:f>(D26-C26)*1000</x:f>
        <x:v>3621.6756083415476</x:v>
      </x:c>
      <x:c r="F26" s="48" t="n">
        <x:f>E26/Inputs!$C$12</x:f>
        <x:v>2034.6492181694086</x:v>
      </x:c>
      <x:c r="G26" s="48" t="n">
        <x:f>2*E26/Inputs!$C$21*1000000</x:f>
        <x:v>24.161218947953305</x:v>
      </x:c>
      <x:c r="H26" s="48" t="n">
        <x:f>SQRT(A26^2+Inputs!$C$6^2)</x:f>
        <x:v>54.120236510939236</x:v>
      </x:c>
      <x:c r="I26" s="48" t="n">
        <x:f>DEGREES(ATAN(H26/B26))</x:f>
        <x:v>7.656943892607386</x:v>
      </x:c>
      <x:c r="J26" s="48" t="n">
        <x:f>DEGREES((2*PI()/Inputs!$C$13)*Inputs!$C$15*SIN(RADIANS(I26)))</x:f>
        <x:v>47.96692296558639</x:v>
      </x:c>
      <x:c r="K26" s="48" t="n">
        <x:f>(C26/D26)^4</x:f>
        <x:v>0.964808609692378</x:v>
      </x:c>
      <x:c r="L26" s="48" t="n">
        <x:f>10*LOG10(K26)</x:f>
        <x:v>-0.15558829659555098</x:v>
      </x:c>
      <x:c r="M26" s="48" t="n">
        <x:f>2*(Inputs!$C$9/(Inputs!$C$10^2))*A26</x:f>
        <x:v>-0.10666666666666666</x:v>
      </x:c>
      <x:c r="N26" s="48" t="n">
        <x:f>M26*Inputs!$C$11</x:f>
        <x:v>-0.42666666666666664</x:v>
      </x:c>
      <x:c r="O26" s="48" t="n">
        <x:f>1000*((A26*Inputs!$C$11)+(B26*N26))/D26</x:f>
        <x:v>-895.5572227342078</x:v>
      </x:c>
      <x:c r="P26" s="48" t="n">
        <x:f>-2*O26/Inputs!$C$13</x:f>
        <x:v>358.22288909368314</x:v>
      </x:c>
      <x:c r="Q26" s="48" t="n">
        <x:f>-2*O26/Inputs!$C$14</x:f>
        <x:v>53.78722058463711</x:v>
      </x:c>
      <x:c r="R26" s="48" t="n">
        <x:f>F26-Inputs!$C$16/2</x:f>
        <x:v>2019.6492181694086</x:v>
      </x:c>
      <x:c r="S26" s="48" t="n">
        <x:f>F26+Inputs!$C$16/2</x:f>
        <x:v>2049.6492181694084</x:v>
      </x:c>
      <x:c r="T26" s="48" t="n">
        <x:f>F26-Inputs!$C$17/2</x:f>
        <x:v>1884.6492181694086</x:v>
      </x:c>
      <x:c r="U26" s="48" t="n">
        <x:f>F26+Inputs!$C$17/2</x:f>
        <x:v>2184.6492181694084</x:v>
      </x:c>
      <x:c r="V26" s="48" t="n">
        <x:f>ABS(P26)</x:f>
        <x:v>358.22288909368314</x:v>
      </x:c>
      <x:c r="W26" s="48" t="n">
        <x:f>ABS(Q26)</x:f>
        <x:v>53.78722058463711</x:v>
      </x:c>
      <x:c r="X26" s="48" t="n">
        <x: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(0.45*SIN(2*PI()*(((A26)/Inputs!$C$49)+Inputs!$C$47*0.137))+0.35*COS(2*PI()*(((0)/Inputs!$C$50)+Inputs!$C$47*0.173))+0.20*SIN(2*PI()*(((A26)+(0))/(0.5*(Inputs!$C$49+Inputs!$C$50))+Inputs!$C$47*0.097)))+0.30*(2*((SIN(((A26)*12.9898+(0)*78.233+Inputs!$C$47*37.719))*43758.5453)-INT((SIN(((A26)*12.9898+(0)*78.233+Inputs!$C$47*37.719))*43758.5453)))-1)))</x:f>
        <x:v>55.67705400563339</x:v>
      </x:c>
      <x:c r="Y26" s="48" t="n">
        <x: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(0.45*SIN(2*PI()*(((A26)/Inputs!$C$49)+Inputs!$C$47*0.137))+0.35*COS(2*PI()*(((Inputs!$C$6)/Inputs!$C$50)+Inputs!$C$47*0.173))+0.20*SIN(2*PI()*(((A26)+(Inputs!$C$6))/(0.5*(Inputs!$C$49+Inputs!$C$50))+Inputs!$C$47*0.097)))+0.30*(2*((SIN(((A26)*12.9898+(Inputs!$C$6)*78.233+Inputs!$C$47*37.719))*43758.5453)-INT((SIN(((A26)*12.9898+(Inputs!$C$6)*78.233+Inputs!$C$47*37.719))*43758.5453)))-1)))</x:f>
        <x:v>253.6370227527636</x:v>
      </x:c>
      <x:c r="Z26" s="48" t="n">
        <x:f>B26-X26/1000</x:f>
        <x:v>402.5043229459944</x:v>
      </x:c>
      <x:c r="AA26" s="48" t="n">
        <x:f>SQRT(A26^2+Inputs!$C$6^2+(B26-Y26/1000)^2)</x:f>
        <x:v>405.93030151983066</x:v>
      </x:c>
      <x:c r="AB26" s="48" t="n">
        <x:f>(AA26-Z26)*1000</x:f>
        <x:v>3425.9785738362893</x:v>
      </x:c>
      <x:c r="AC26" s="48" t="n">
        <x:f>AB26/Inputs!$C$12</x:f>
        <x:v>1924.7070639529716</x:v>
      </x:c>
      <x:c r="AD26" s="48" t="n">
        <x:f>2*AB26/Inputs!$C$21*1000000</x:f>
        <x:v>22.855668862999142</x:v>
      </x:c>
      <x:c r="AE26" s="48" t="n">
        <x:f>DEGREES(ATAN(H26/(B26-Y26/1000)))</x:f>
        <x:v>7.661713945198251</x:v>
      </x:c>
      <x:c r="AF26" s="48" t="n">
        <x:f>DEGREES((2*PI()/Inputs!$C$13)*Inputs!$C$15*SIN(RADIANS(AE26)))</x:f>
        <x:v>47.996626689338996</x:v>
      </x:c>
      <x:c r="AG26" s="48" t="n">
        <x:f>(Z26/AA26)^4</x:f>
        <x:v>0.9666657047457402</x:v>
      </x:c>
      <x:c r="AH26" s="48" t="n">
        <x:f>10*LOG10(AG26)</x:f>
        <x:v>-0.147236889832838</x:v>
      </x:c>
      <x:c r="AI26" s="48" t="n">
        <x:f>AC26-F26</x:f>
        <x:v>-109.94215421643707</x:v>
      </x:c>
      <x:c r="AJ26" s="48" t="n">
        <x:f>AD26-G26</x:f>
        <x:v>-1.305550084954163</x:v>
      </x:c>
      <x:c r="AK26" s="48" t="n">
        <x:f>Y26-X26</x:f>
        <x:v>197.95996874713023</x:v>
      </x:c>
      <x:c r="AL26" s="48" t="n">
        <x:f>1000*(AA27-AA25)/(A27-A25)*Inputs!$C$11</x:f>
        <x:v>-885.0430929890081</x:v>
      </x:c>
      <x:c r="AM26" s="48" t="n">
        <x:f>-2*AL26/Inputs!$C$13</x:f>
        <x:v>354.01723719560323</x:v>
      </x:c>
      <x:c r="AN26" s="48" t="n">
        <x:f>-2*AL26/Inputs!$C$14</x:f>
        <x:v>53.15574132066115</x:v>
      </x:c>
      <x:c r="AO26" s="48" t="n">
        <x:f>ABS(AM26)</x:f>
        <x:v>354.01723719560323</x:v>
      </x:c>
      <x:c r="AP26" s="48" t="n">
        <x:f>ABS(AN26)</x:f>
        <x:v>53.15574132066115</x:v>
      </x:c>
      <x:c r="AQ26" s="48" t="n">
        <x:f>IF(OR(Inputs!$C$27=TRUE,Inputs!$C$27="TRUE",Inputs!$C$27=1),Inputs!$C$46/Inputs!$C$12,0)</x:f>
        <x:v>42.13483146067416</x:v>
      </x:c>
      <x:c r="AR26" s="48" t="n">
        <x:f>AC26-AQ26</x:f>
        <x:v>1882.5722324922974</x:v>
      </x:c>
      <x:c r="AS26" s="48" t="n">
        <x:f>AC26+AQ26</x:f>
        <x:v>1966.8418954136457</x:v>
      </x:c>
    </x:row>
    <x:row r="27">
      <x:c r="A27" s="48" t="n">
        <x:f>Inputs!$C$7+25*(Inputs!$C$8-Inputs!$C$7)/240</x:f>
        <x:v>-47.5</x:v>
      </x:c>
      <x:c r="B27" s="48" t="n">
        <x:f>Inputs!$C$5+Inputs!$C$9*(A27/Inputs!$C$10)^2</x:f>
        <x:v>402.50694444444446</x:v>
      </x:c>
      <x:c r="C27" s="48" t="n">
        <x:f>B27</x:f>
        <x:v>402.50694444444446</x:v>
      </x:c>
      <x:c r="D27" s="48" t="n">
        <x:f>SQRT(A27^2+Inputs!$C$6^2+B27^2)</x:f>
        <x:v>406.07030219655695</x:v>
      </x:c>
      <x:c r="E27" s="48" t="n">
        <x:f>(D27-C27)*1000</x:f>
        <x:v>3563.357752112495</x:v>
      </x:c>
      <x:c r="F27" s="48" t="n">
        <x:f>E27/Inputs!$C$12</x:f>
        <x:v>2001.8863775912891</x:v>
      </x:c>
      <x:c r="G27" s="48" t="n">
        <x:f>2*E27/Inputs!$C$21*1000000</x:f>
        <x:v>23.772164089014506</x:v>
      </x:c>
      <x:c r="H27" s="48" t="n">
        <x:f>SQRT(A27^2+Inputs!$C$6^2)</x:f>
        <x:v>53.67727638395972</x:v>
      </x:c>
      <x:c r="I27" s="48" t="n">
        <x:f>DEGREES(ATAN(H27/B27))</x:f>
        <x:v>7.595997748011028</x:v>
      </x:c>
      <x:c r="J27" s="48" t="n">
        <x:f>DEGREES((2*PI()/Inputs!$C$13)*Inputs!$C$15*SIN(RADIANS(I27)))</x:f>
        <x:v>47.58737438738348</x:v>
      </x:c>
      <x:c r="K27" s="48" t="n">
        <x:f>(C27/D27)^4</x:f>
        <x:v>0.9653584353879024</x:v>
      </x:c>
      <x:c r="L27" s="48" t="n">
        <x:f>10*LOG10(K27)</x:f>
        <x:v>-0.153114041606665</x:v>
      </x:c>
      <x:c r="M27" s="48" t="n">
        <x:f>2*(Inputs!$C$9/(Inputs!$C$10^2))*A27</x:f>
        <x:v>-0.10555555555555556</x:v>
      </x:c>
      <x:c r="N27" s="48" t="n">
        <x:f>M27*Inputs!$C$11</x:f>
        <x:v>-0.4222222222222222</x:v>
      </x:c>
      <x:c r="O27" s="48" t="n">
        <x:f>1000*((A27*Inputs!$C$11)+(B27*N27))/D27</x:f>
        <x:v>-886.416402766087</x:v>
      </x:c>
      <x:c r="P27" s="48" t="n">
        <x:f>-2*O27/Inputs!$C$13</x:f>
        <x:v>354.5665611064348</x:v>
      </x:c>
      <x:c r="Q27" s="48" t="n">
        <x:f>-2*O27/Inputs!$C$14</x:f>
        <x:v>53.23822238835358</x:v>
      </x:c>
      <x:c r="R27" s="48" t="n">
        <x:f>F27-Inputs!$C$16/2</x:f>
        <x:v>1986.8863775912891</x:v>
      </x:c>
      <x:c r="S27" s="48" t="n">
        <x:f>F27+Inputs!$C$16/2</x:f>
        <x:v>2016.8863775912891</x:v>
      </x:c>
      <x:c r="T27" s="48" t="n">
        <x:f>F27-Inputs!$C$17/2</x:f>
        <x:v>1851.8863775912891</x:v>
      </x:c>
      <x:c r="U27" s="48" t="n">
        <x:f>F27+Inputs!$C$17/2</x:f>
        <x:v>2151.886377591289</x:v>
      </x:c>
      <x:c r="V27" s="48" t="n">
        <x:f>ABS(P27)</x:f>
        <x:v>354.5665611064348</x:v>
      </x:c>
      <x:c r="W27" s="48" t="n">
        <x:f>ABS(Q27)</x:f>
        <x:v>53.23822238835358</x:v>
      </x:c>
      <x:c r="X27" s="48" t="n">
        <x: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(0.45*SIN(2*PI()*(((A27)/Inputs!$C$49)+Inputs!$C$47*0.137))+0.35*COS(2*PI()*(((0)/Inputs!$C$50)+Inputs!$C$47*0.173))+0.20*SIN(2*PI()*(((A27)+(0))/(0.5*(Inputs!$C$49+Inputs!$C$50))+Inputs!$C$47*0.097)))+0.30*(2*((SIN(((A27)*12.9898+(0)*78.233+Inputs!$C$47*37.719))*43758.5453)-INT((SIN(((A27)*12.9898+(0)*78.233+Inputs!$C$47*37.719))*43758.5453)))-1)))</x:f>
        <x:v>53.974959185609514</x:v>
      </x:c>
      <x:c r="Y27" s="48" t="n">
        <x: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(0.45*SIN(2*PI()*(((A27)/Inputs!$C$49)+Inputs!$C$47*0.137))+0.35*COS(2*PI()*(((Inputs!$C$6)/Inputs!$C$50)+Inputs!$C$47*0.173))+0.20*SIN(2*PI()*(((A27)+(Inputs!$C$6))/(0.5*(Inputs!$C$49+Inputs!$C$50))+Inputs!$C$47*0.097)))+0.30*(2*((SIN(((A27)*12.9898+(Inputs!$C$6)*78.233+Inputs!$C$47*37.719))*43758.5453)-INT((SIN(((A27)*12.9898+(Inputs!$C$6)*78.233+Inputs!$C$47*37.719))*43758.5453)))-1)))</x:f>
        <x:v>262.7548434853875</x:v>
      </x:c>
      <x:c r="Z27" s="48" t="n">
        <x:f>B27-X27/1000</x:f>
        <x:v>402.45296948525885</x:v>
      </x:c>
      <x:c r="AA27" s="48" t="n">
        <x:f>SQRT(A27^2+Inputs!$C$6^2+(B27-Y27/1000)^2)</x:f>
        <x:v>405.80985457198096</x:v>
      </x:c>
      <x:c r="AB27" s="48" t="n">
        <x:f>(AA27-Z27)*1000</x:f>
        <x:v>3356.885086722116</x:v>
      </x:c>
      <x:c r="AC27" s="48" t="n">
        <x:f>AB27/Inputs!$C$12</x:f>
        <x:v>1885.890498158492</x:v>
      </x:c>
      <x:c r="AD27" s="48" t="n">
        <x:f>2*AB27/Inputs!$C$21*1000000</x:f>
        <x:v>22.394726732732657</x:v>
      </x:c>
      <x:c r="AE27" s="48" t="n">
        <x:f>DEGREES(ATAN(H27/(B27-Y27/1000)))</x:f>
        <x:v>7.600901630072561</x:v>
      </x:c>
      <x:c r="AF27" s="48" t="n">
        <x:f>DEGREES((2*PI()/Inputs!$C$13)*Inputs!$C$15*SIN(RADIANS(AE27)))</x:f>
        <x:v>47.617915830572606</x:v>
      </x:c>
      <x:c r="AG27" s="48" t="n">
        <x:f>(Z27/AA27)^4</x:f>
        <x:v>0.96732004682813</x:v>
      </x:c>
      <x:c r="AH27" s="48" t="n">
        <x:f>10*LOG10(AG27)</x:f>
        <x:v>-0.144298117752731</x:v>
      </x:c>
      <x:c r="AI27" s="48" t="n">
        <x:f>AC27-F27</x:f>
        <x:v>-115.99587943279721</x:v>
      </x:c>
      <x:c r="AJ27" s="48" t="n">
        <x:f>AD27-G27</x:f>
        <x:v>-1.377437356281849</x:v>
      </x:c>
      <x:c r="AK27" s="48" t="n">
        <x:f>Y27-X27</x:f>
        <x:v>208.77988429977796</x:v>
      </x:c>
      <x:c r="AL27" s="48" t="n">
        <x:f>1000*(AA28-AA26)/(A28-A26)*Inputs!$C$11</x:f>
        <x:v>-887.8022423493803</x:v>
      </x:c>
      <x:c r="AM27" s="48" t="n">
        <x:f>-2*AL27/Inputs!$C$13</x:f>
        <x:v>355.12089693975213</x:v>
      </x:c>
      <x:c r="AN27" s="48" t="n">
        <x:f>-2*AL27/Inputs!$C$14</x:f>
        <x:v>53.321455996959784</x:v>
      </x:c>
      <x:c r="AO27" s="48" t="n">
        <x:f>ABS(AM27)</x:f>
        <x:v>355.12089693975213</x:v>
      </x:c>
      <x:c r="AP27" s="48" t="n">
        <x:f>ABS(AN27)</x:f>
        <x:v>53.321455996959784</x:v>
      </x:c>
      <x:c r="AQ27" s="48" t="n">
        <x:f>IF(OR(Inputs!$C$27=TRUE,Inputs!$C$27="TRUE",Inputs!$C$27=1),Inputs!$C$46/Inputs!$C$12,0)</x:f>
        <x:v>42.13483146067416</x:v>
      </x:c>
      <x:c r="AR27" s="48" t="n">
        <x:f>AC27-AQ27</x:f>
        <x:v>1843.7556666978178</x:v>
      </x:c>
      <x:c r="AS27" s="48" t="n">
        <x:f>AC27+AQ27</x:f>
        <x:v>1928.025329619166</x:v>
      </x:c>
    </x:row>
    <x:row r="28">
      <x:c r="A28" s="48" t="n">
        <x:f>Inputs!$C$7+26*(Inputs!$C$8-Inputs!$C$7)/240</x:f>
        <x:v>-47</x:v>
      </x:c>
      <x:c r="B28" s="48" t="n">
        <x:f>Inputs!$C$5+Inputs!$C$9*(A28/Inputs!$C$10)^2</x:f>
        <x:v>402.45444444444445</x:v>
      </x:c>
      <x:c r="C28" s="48" t="n">
        <x:f>B28</x:f>
        <x:v>402.45444444444445</x:v>
      </x:c>
      <x:c r="D28" s="48" t="n">
        <x:f>SQRT(A28^2+Inputs!$C$6^2+B28^2)</x:f>
        <x:v>405.9600717473166</x:v>
      </x:c>
      <x:c r="E28" s="48" t="n">
        <x:f>(D28-C28)*1000</x:f>
        <x:v>3505.627302872142</x:v>
      </x:c>
      <x:c r="F28" s="48" t="n">
        <x:f>E28/Inputs!$C$12</x:f>
        <x:v>1969.4535409394057</x:v>
      </x:c>
      <x:c r="G28" s="48" t="n">
        <x:f>2*E28/Inputs!$C$21*1000000</x:f>
        <x:v>23.387027987689684</x:v>
      </x:c>
      <x:c r="H28" s="48" t="n">
        <x:f>SQRT(A28^2+Inputs!$C$6^2)</x:f>
        <x:v>53.23532661682466</x:v>
      </x:c>
      <x:c r="I28" s="48" t="n">
        <x:f>DEGREES(ATAN(H28/B28))</x:f>
        <x:v>7.535149317061624</x:v>
      </x:c>
      <x:c r="J28" s="48" t="n">
        <x:f>DEGREES((2*PI()/Inputs!$C$13)*Inputs!$C$15*SIN(RADIANS(I28)))</x:f>
        <x:v>47.20838061627316</x:v>
      </x:c>
      <x:c r="K28" s="48" t="n">
        <x:f>(C28/D28)^4</x:f>
        <x:v>0.9659032534746591</x:v>
      </x:c>
      <x:c r="L28" s="48" t="n">
        <x:f>10*LOG10(K28)</x:f>
        <x:v>-0.150663710858007</x:v>
      </x:c>
      <x:c r="M28" s="48" t="n">
        <x:f>2*(Inputs!$C$9/(Inputs!$C$10^2))*A28</x:f>
        <x:v>-0.10444444444444445</x:v>
      </x:c>
      <x:c r="N28" s="48" t="n">
        <x:f>M28*Inputs!$C$11</x:f>
        <x:v>-0.4177777777777778</x:v>
      </x:c>
      <x:c r="O28" s="48" t="n">
        <x:f>1000*((A28*Inputs!$C$11)+(B28*N28))/D28</x:f>
        <x:v>-877.2698308085374</x:v>
      </x:c>
      <x:c r="P28" s="48" t="n">
        <x:f>-2*O28/Inputs!$C$13</x:f>
        <x:v>350.90793232341497</x:v>
      </x:c>
      <x:c r="Q28" s="48" t="n">
        <x:f>-2*O28/Inputs!$C$14</x:f>
        <x:v>52.68887872723949</x:v>
      </x:c>
      <x:c r="R28" s="48" t="n">
        <x:f>F28-Inputs!$C$16/2</x:f>
        <x:v>1954.4535409394057</x:v>
      </x:c>
      <x:c r="S28" s="48" t="n">
        <x:f>F28+Inputs!$C$16/2</x:f>
        <x:v>1984.4535409394057</x:v>
      </x:c>
      <x:c r="T28" s="48" t="n">
        <x:f>F28-Inputs!$C$17/2</x:f>
        <x:v>1819.4535409394057</x:v>
      </x:c>
      <x:c r="U28" s="48" t="n">
        <x:f>F28+Inputs!$C$17/2</x:f>
        <x:v>2119.4535409394057</x:v>
      </x:c>
      <x:c r="V28" s="48" t="n">
        <x:f>ABS(P28)</x:f>
        <x:v>350.90793232341497</x:v>
      </x:c>
      <x:c r="W28" s="48" t="n">
        <x:f>ABS(Q28)</x:f>
        <x:v>52.68887872723949</x:v>
      </x:c>
      <x:c r="X28" s="48" t="n">
        <x: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(0.45*SIN(2*PI()*(((A28)/Inputs!$C$49)+Inputs!$C$47*0.137))+0.35*COS(2*PI()*(((0)/Inputs!$C$50)+Inputs!$C$47*0.173))+0.20*SIN(2*PI()*(((A28)+(0))/(0.5*(Inputs!$C$49+Inputs!$C$50))+Inputs!$C$47*0.097)))+0.30*(2*((SIN(((A28)*12.9898+(0)*78.233+Inputs!$C$47*37.719))*43758.5453)-INT((SIN(((A28)*12.9898+(0)*78.233+Inputs!$C$47*37.719))*43758.5453)))-1)))</x:f>
        <x:v>61.213442747759345</x:v>
      </x:c>
      <x:c r="Y28" s="48" t="n">
        <x: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(0.45*SIN(2*PI()*(((A28)/Inputs!$C$49)+Inputs!$C$47*0.137))+0.35*COS(2*PI()*(((Inputs!$C$6)/Inputs!$C$50)+Inputs!$C$47*0.173))+0.20*SIN(2*PI()*(((A28)+(Inputs!$C$6))/(0.5*(Inputs!$C$49+Inputs!$C$50))+Inputs!$C$47*0.097)))+0.30*(2*((SIN(((A28)*12.9898+(Inputs!$C$6)*78.233+Inputs!$C$47*37.719))*43758.5453)-INT((SIN(((A28)*12.9898+(Inputs!$C$6)*78.233+Inputs!$C$47*37.719))*43758.5453)))-1)))</x:f>
        <x:v>253.91481019774176</x:v>
      </x:c>
      <x:c r="Z28" s="48" t="n">
        <x:f>B28-X28/1000</x:f>
        <x:v>402.3932310016967</x:v>
      </x:c>
      <x:c r="AA28" s="48" t="n">
        <x:f>SQRT(A28^2+Inputs!$C$6^2+(B28-Y28/1000)^2)</x:f>
        <x:v>405.7083509592433</x:v>
      </x:c>
      <x:c r="AB28" s="48" t="n">
        <x:f>(AA28-Z28)*1000</x:f>
        <x:v>3315.119957546642</x:v>
      </x:c>
      <x:c r="AC28" s="48" t="n">
        <x:f>AB28/Inputs!$C$12</x:f>
        <x:v>1862.4269424419338</x:v>
      </x:c>
      <x:c r="AD28" s="48" t="n">
        <x:f>2*AB28/Inputs!$C$21*1000000</x:f>
        <x:v>22.11609978224764</x:v>
      </x:c>
      <x:c r="AE28" s="48" t="n">
        <x:f>DEGREES(ATAN(H28/(B28-Y28/1000)))</x:f>
        <x:v>7.539851649413639</x:v>
      </x:c>
      <x:c r="AF28" s="48" t="n">
        <x:f>DEGREES((2*PI()/Inputs!$C$13)*Inputs!$C$15*SIN(RADIANS(AE28)))</x:f>
        <x:v>47.237670944520744</x:v>
      </x:c>
      <x:c r="AG28" s="48" t="n">
        <x:f>(Z28/AA28)^4</x:f>
        <x:v>0.9677136728301607</x:v>
      </x:c>
      <x:c r="AH28" s="48" t="n">
        <x:f>10*LOG10(AG28)</x:f>
        <x:v>-0.14253122758191</x:v>
      </x:c>
      <x:c r="AI28" s="48" t="n">
        <x:f>AC28-F28</x:f>
        <x:v>-107.02659849747192</x:v>
      </x:c>
      <x:c r="AJ28" s="48" t="n">
        <x:f>AD28-G28</x:f>
        <x:v>-1.2709282054420434</x:v>
      </x:c>
      <x:c r="AK28" s="48" t="n">
        <x:f>Y28-X28</x:f>
        <x:v>192.7013674499824</x:v>
      </x:c>
      <x:c r="AL28" s="48" t="n">
        <x:f>1000*(AA29-AA27)/(A29-A27)*Inputs!$C$11</x:f>
        <x:v>-841.8416453696409</x:v>
      </x:c>
      <x:c r="AM28" s="48" t="n">
        <x:f>-2*AL28/Inputs!$C$13</x:f>
        <x:v>336.73665814785636</x:v>
      </x:c>
      <x:c r="AN28" s="48" t="n">
        <x:f>-2*AL28/Inputs!$C$14</x:f>
        <x:v>50.56105978196042</x:v>
      </x:c>
      <x:c r="AO28" s="48" t="n">
        <x:f>ABS(AM28)</x:f>
        <x:v>336.73665814785636</x:v>
      </x:c>
      <x:c r="AP28" s="48" t="n">
        <x:f>ABS(AN28)</x:f>
        <x:v>50.56105978196042</x:v>
      </x:c>
      <x:c r="AQ28" s="48" t="n">
        <x:f>IF(OR(Inputs!$C$27=TRUE,Inputs!$C$27="TRUE",Inputs!$C$27=1),Inputs!$C$46/Inputs!$C$12,0)</x:f>
        <x:v>42.13483146067416</x:v>
      </x:c>
      <x:c r="AR28" s="48" t="n">
        <x:f>AC28-AQ28</x:f>
        <x:v>1820.2921109812596</x:v>
      </x:c>
      <x:c r="AS28" s="48" t="n">
        <x:f>AC28+AQ28</x:f>
        <x:v>1904.561773902608</x:v>
      </x:c>
    </x:row>
    <x:row r="29">
      <x:c r="A29" s="48" t="n">
        <x:f>Inputs!$C$7+27*(Inputs!$C$8-Inputs!$C$7)/240</x:f>
        <x:v>-46.5</x:v>
      </x:c>
      <x:c r="B29" s="48" t="n">
        <x:f>Inputs!$C$5+Inputs!$C$9*(A29/Inputs!$C$10)^2</x:f>
        <x:v>402.4025</x:v>
      </x:c>
      <x:c r="C29" s="48" t="n">
        <x:f>B29</x:f>
        <x:v>402.4025</x:v>
      </x:c>
      <x:c r="D29" s="48" t="n">
        <x:f>SQRT(A29^2+Inputs!$C$6^2+B29^2)</x:f>
        <x:v>405.85098497632106</x:v>
      </x:c>
      <x:c r="E29" s="48" t="n">
        <x:f>(D29-C29)*1000</x:f>
        <x:v>3448.484976321083</x:v>
      </x:c>
      <x:c r="F29" s="48" t="n">
        <x:f>E29/Inputs!$C$12</x:f>
        <x:v>1937.3511102927434</x:v>
      </x:c>
      <x:c r="G29" s="48" t="n">
        <x:f>2*E29/Inputs!$C$21*1000000</x:f>
        <x:v>23.005815418619257</x:v>
      </x:c>
      <x:c r="H29" s="48" t="n">
        <x:f>SQRT(A29^2+Inputs!$C$6^2)</x:f>
        <x:v>52.79441258315126</x:v>
      </x:c>
      <x:c r="I29" s="48" t="n">
        <x:f>DEGREES(ATAN(H29/B29))</x:f>
        <x:v>7.4744026758958535</x:v>
      </x:c>
      <x:c r="J29" s="48" t="n">
        <x:f>DEGREES((2*PI()/Inputs!$C$13)*Inputs!$C$15*SIN(RADIANS(I29)))</x:f>
        <x:v>46.82996773075058</x:v>
      </x:c>
      <x:c r="K29" s="48" t="n">
        <x:f>(C29/D29)^4</x:f>
        <x:v>0.9664430416673366</x:v>
      </x:c>
      <x:c r="L29" s="48" t="n">
        <x:f>10*LOG10(K29)</x:f>
        <x:v>-0.148237364812649</x:v>
      </x:c>
      <x:c r="M29" s="48" t="n">
        <x:f>2*(Inputs!$C$9/(Inputs!$C$10^2))*A29</x:f>
        <x:v>-0.10333333333333333</x:v>
      </x:c>
      <x:c r="N29" s="48" t="n">
        <x:f>M29*Inputs!$C$11</x:f>
        <x:v>-0.41333333333333333</x:v>
      </x:c>
      <x:c r="O29" s="48" t="n">
        <x:f>1000*((A29*Inputs!$C$11)+(B29*N29))/D29</x:f>
        <x:v>-868.1175596684158</x:v>
      </x:c>
      <x:c r="P29" s="48" t="n">
        <x:f>-2*O29/Inputs!$C$13</x:f>
        <x:v>347.2470238673663</x:v>
      </x:c>
      <x:c r="Q29" s="48" t="n">
        <x:f>-2*O29/Inputs!$C$14</x:f>
        <x:v>52.13919277287783</x:v>
      </x:c>
      <x:c r="R29" s="48" t="n">
        <x:f>F29-Inputs!$C$16/2</x:f>
        <x:v>1922.3511102927434</x:v>
      </x:c>
      <x:c r="S29" s="48" t="n">
        <x:f>F29+Inputs!$C$16/2</x:f>
        <x:v>1952.3511102927434</x:v>
      </x:c>
      <x:c r="T29" s="48" t="n">
        <x:f>F29-Inputs!$C$17/2</x:f>
        <x:v>1787.3511102927434</x:v>
      </x:c>
      <x:c r="U29" s="48" t="n">
        <x:f>F29+Inputs!$C$17/2</x:f>
        <x:v>2087.351110292743</x:v>
      </x:c>
      <x:c r="V29" s="48" t="n">
        <x:f>ABS(P29)</x:f>
        <x:v>347.2470238673663</x:v>
      </x:c>
      <x:c r="W29" s="48" t="n">
        <x:f>ABS(Q29)</x:f>
        <x:v>52.13919277287783</x:v>
      </x:c>
      <x:c r="X29" s="48" t="n">
        <x: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(0.45*SIN(2*PI()*(((A29)/Inputs!$C$49)+Inputs!$C$47*0.137))+0.35*COS(2*PI()*(((0)/Inputs!$C$50)+Inputs!$C$47*0.173))+0.20*SIN(2*PI()*(((A29)+(0))/(0.5*(Inputs!$C$49+Inputs!$C$50))+Inputs!$C$47*0.097)))+0.30*(2*((SIN(((A29)*12.9898+(0)*78.233+Inputs!$C$47*37.719))*43758.5453)-INT((SIN(((A29)*12.9898+(0)*78.233+Inputs!$C$47*37.719))*43758.5453)))-1)))</x:f>
        <x:v>57.529820703344</x:v>
      </x:c>
      <x:c r="Y29" s="48" t="n">
        <x: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(0.45*SIN(2*PI()*(((A29)/Inputs!$C$49)+Inputs!$C$47*0.137))+0.35*COS(2*PI()*(((Inputs!$C$6)/Inputs!$C$50)+Inputs!$C$47*0.173))+0.20*SIN(2*PI()*(((A29)+(Inputs!$C$6))/(0.5*(Inputs!$C$49+Inputs!$C$50))+Inputs!$C$47*0.097)))+0.30*(2*((SIN(((A29)*12.9898+(Inputs!$C$6)*78.233+Inputs!$C$47*37.719))*43758.5453)-INT((SIN(((A29)*12.9898+(Inputs!$C$6)*78.233+Inputs!$C$47*37.719))*43758.5453)))-1)))</x:f>
        <x:v>253.748238320312</x:v>
      </x:c>
      <x:c r="Z29" s="48" t="n">
        <x:f>B29-X29/1000</x:f>
        <x:v>402.34497017929664</x:v>
      </x:c>
      <x:c r="AA29" s="48" t="n">
        <x:f>SQRT(A29^2+Inputs!$C$6^2+(B29-Y29/1000)^2)</x:f>
        <x:v>405.59939416063855</x:v>
      </x:c>
      <x:c r="AB29" s="48" t="n">
        <x:f>(AA29-Z29)*1000</x:f>
        <x:v>3254.4239813419154</x:v>
      </x:c>
      <x:c r="AC29" s="48" t="n">
        <x:f>AB29/Inputs!$C$12</x:f>
        <x:v>1828.3280794055704</x:v>
      </x:c>
      <x:c r="AD29" s="48" t="n">
        <x:f>2*AB29/Inputs!$C$21*1000000</x:f>
        <x:v>21.711179814549673</x:v>
      </x:c>
      <x:c r="AE29" s="48" t="n">
        <x:f>DEGREES(ATAN(H29/(B29-Y29/1000)))</x:f>
        <x:v>7.479065507472053</x:v>
      </x:c>
      <x:c r="AF29" s="48" t="n">
        <x:f>DEGREES((2*PI()/Inputs!$C$13)*Inputs!$C$15*SIN(RADIANS(AE29)))</x:f>
        <x:v>46.859016072413276</x:v>
      </x:c>
      <x:c r="AG29" s="48" t="n">
        <x:f>(Z29/AA29)^4</x:f>
        <x:v>0.9682892612575524</x:v>
      </x:c>
      <x:c r="AH29" s="48" t="n">
        <x:f>10*LOG10(AG29)</x:f>
        <x:v>-0.139948846317632</x:v>
      </x:c>
      <x:c r="AI29" s="48" t="n">
        <x:f>AC29-F29</x:f>
        <x:v>-109.02303088717304</x:v>
      </x:c>
      <x:c r="AJ29" s="48" t="n">
        <x:f>AD29-G29</x:f>
        <x:v>-1.2946356040695832</x:v>
      </x:c>
      <x:c r="AK29" s="48" t="n">
        <x:f>Y29-X29</x:f>
        <x:v>196.218417616968</x:v>
      </x:c>
      <x:c r="AL29" s="48" t="n">
        <x:f>1000*(AA30-AA28)/(A30-A28)*Inputs!$C$11</x:f>
        <x:v>-802.9089936053424</x:v>
      </x:c>
      <x:c r="AM29" s="48" t="n">
        <x:f>-2*AL29/Inputs!$C$13</x:f>
        <x:v>321.16359744213696</x:v>
      </x:c>
      <x:c r="AN29" s="48" t="n">
        <x:f>-2*AL29/Inputs!$C$14</x:f>
        <x:v>48.22276237869925</x:v>
      </x:c>
      <x:c r="AO29" s="48" t="n">
        <x:f>ABS(AM29)</x:f>
        <x:v>321.16359744213696</x:v>
      </x:c>
      <x:c r="AP29" s="48" t="n">
        <x:f>ABS(AN29)</x:f>
        <x:v>48.22276237869925</x:v>
      </x:c>
      <x:c r="AQ29" s="48" t="n">
        <x:f>IF(OR(Inputs!$C$27=TRUE,Inputs!$C$27="TRUE",Inputs!$C$27=1),Inputs!$C$46/Inputs!$C$12,0)</x:f>
        <x:v>42.13483146067416</x:v>
      </x:c>
      <x:c r="AR29" s="48" t="n">
        <x:f>AC29-AQ29</x:f>
        <x:v>1786.1932479448963</x:v>
      </x:c>
      <x:c r="AS29" s="48" t="n">
        <x:f>AC29+AQ29</x:f>
        <x:v>1870.4629108662446</x:v>
      </x:c>
    </x:row>
    <x:row r="30">
      <x:c r="A30" s="48" t="n">
        <x:f>Inputs!$C$7+28*(Inputs!$C$8-Inputs!$C$7)/240</x:f>
        <x:v>-46</x:v>
      </x:c>
      <x:c r="B30" s="48" t="n">
        <x:f>Inputs!$C$5+Inputs!$C$9*(A30/Inputs!$C$10)^2</x:f>
        <x:v>402.3511111111111</x:v>
      </x:c>
      <x:c r="C30" s="48" t="n">
        <x:f>B30</x:f>
        <x:v>402.3511111111111</x:v>
      </x:c>
      <x:c r="D30" s="48" t="n">
        <x:f>SQRT(A30^2+Inputs!$C$6^2+B30^2)</x:f>
        <x:v>405.74304259265574</x:v>
      </x:c>
      <x:c r="E30" s="48" t="n">
        <x:f>(D30-C30)*1000</x:f>
        <x:v>3391.9314815446455</x:v>
      </x:c>
      <x:c r="F30" s="48" t="n">
        <x:f>E30/Inputs!$C$12</x:f>
        <x:v>1905.5794840138458</x:v>
      </x:c>
      <x:c r="G30" s="48" t="n">
        <x:f>2*E30/Inputs!$C$21*1000000</x:f>
        <x:v>22.62853111231134</x:v>
      </x:c>
      <x:c r="H30" s="48" t="n">
        <x:f>SQRT(A30^2+Inputs!$C$6^2)</x:f>
        <x:v>52.354560450833695</x:v>
      </x:c>
      <x:c r="I30" s="48" t="n">
        <x:f>DEGREES(ATAN(H30/B30))</x:f>
        <x:v>7.413762015717533</x:v>
      </x:c>
      <x:c r="J30" s="48" t="n">
        <x:f>DEGREES((2*PI()/Inputs!$C$13)*Inputs!$C$15*SIN(RADIANS(I30)))</x:f>
        <x:v>46.45216253583958</x:v>
      </x:c>
      <x:c r="K30" s="48" t="n">
        <x:f>(C30/D30)^4</x:f>
        <x:v>0.9669777778461417</x:v>
      </x:c>
      <x:c r="L30" s="48" t="n">
        <x:f>10*LOG10(K30)</x:f>
        <x:v>-0.145835063406698</x:v>
      </x:c>
      <x:c r="M30" s="48" t="n">
        <x:f>2*(Inputs!$C$9/(Inputs!$C$10^2))*A30</x:f>
        <x:v>-0.10222222222222223</x:v>
      </x:c>
      <x:c r="N30" s="48" t="n">
        <x:f>M30*Inputs!$C$11</x:f>
        <x:v>-0.4088888888888889</x:v>
      </x:c>
      <x:c r="O30" s="48" t="n">
        <x:f>1000*((A30*Inputs!$C$11)+(B30*N30))/D30</x:f>
        <x:v>-858.9596423846123</x:v>
      </x:c>
      <x:c r="P30" s="48" t="n">
        <x:f>-2*O30/Inputs!$C$13</x:f>
        <x:v>343.58385695384493</x:v>
      </x:c>
      <x:c r="Q30" s="48" t="n">
        <x:f>-2*O30/Inputs!$C$14</x:f>
        <x:v>51.58916771078753</x:v>
      </x:c>
      <x:c r="R30" s="48" t="n">
        <x:f>F30-Inputs!$C$16/2</x:f>
        <x:v>1890.5794840138458</x:v>
      </x:c>
      <x:c r="S30" s="48" t="n">
        <x:f>F30+Inputs!$C$16/2</x:f>
        <x:v>1920.5794840138458</x:v>
      </x:c>
      <x:c r="T30" s="48" t="n">
        <x:f>F30-Inputs!$C$17/2</x:f>
        <x:v>1755.5794840138458</x:v>
      </x:c>
      <x:c r="U30" s="48" t="n">
        <x:f>F30+Inputs!$C$17/2</x:f>
        <x:v>2055.579484013846</x:v>
      </x:c>
      <x:c r="V30" s="48" t="n">
        <x:f>ABS(P30)</x:f>
        <x:v>343.58385695384493</x:v>
      </x:c>
      <x:c r="W30" s="48" t="n">
        <x:f>ABS(Q30)</x:f>
        <x:v>51.58916771078753</x:v>
      </x:c>
      <x:c r="X30" s="48" t="n">
        <x: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(0.45*SIN(2*PI()*(((A30)/Inputs!$C$49)+Inputs!$C$47*0.137))+0.35*COS(2*PI()*(((0)/Inputs!$C$50)+Inputs!$C$47*0.173))+0.20*SIN(2*PI()*(((A30)+(0))/(0.5*(Inputs!$C$49+Inputs!$C$50))+Inputs!$C$47*0.097)))+0.30*(2*((SIN(((A30)*12.9898+(0)*78.233+Inputs!$C$47*37.719))*43758.5453)-INT((SIN(((A30)*12.9898+(0)*78.233+Inputs!$C$47*37.719))*43758.5453)))-1)))</x:f>
        <x:v>49.53962065283257</x:v>
      </x:c>
      <x:c r="Y30" s="48" t="n">
        <x: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(0.45*SIN(2*PI()*(((A30)/Inputs!$C$49)+Inputs!$C$47*0.137))+0.35*COS(2*PI()*(((Inputs!$C$6)/Inputs!$C$50)+Inputs!$C$47*0.173))+0.20*SIN(2*PI()*(((A30)+(Inputs!$C$6))/(0.5*(Inputs!$C$49+Inputs!$C$50))+Inputs!$C$47*0.097)))+0.30*(2*((SIN(((A30)*12.9898+(Inputs!$C$6)*78.233+Inputs!$C$47*37.719))*43758.5453)-INT((SIN(((A30)*12.9898+(Inputs!$C$6)*78.233+Inputs!$C$47*37.719))*43758.5453)))-1)))</x:f>
        <x:v>237.40469511010875</x:v>
      </x:c>
      <x:c r="Z30" s="48" t="n">
        <x:f>B30-X30/1000</x:f>
        <x:v>402.3015714904583</x:v>
      </x:c>
      <x:c r="AA30" s="48" t="n">
        <x:f>SQRT(A30^2+Inputs!$C$6^2+(B30-Y30/1000)^2)</x:f>
        <x:v>405.507623710842</x:v>
      </x:c>
      <x:c r="AB30" s="48" t="n">
        <x:f>(AA30-Z30)*1000</x:f>
        <x:v>3206.0522203836967</x:v>
      </x:c>
      <x:c r="AC30" s="48" t="n">
        <x:f>AB30/Inputs!$C$12</x:f>
        <x:v>1801.1529327998296</x:v>
      </x:c>
      <x:c r="AD30" s="48" t="n">
        <x:f>2*AB30/Inputs!$C$21*1000000</x:f>
        <x:v>21.388478161006283</x:v>
      </x:c>
      <x:c r="AE30" s="48" t="n">
        <x:f>DEGREES(ATAN(H30/(B30-Y30/1000)))</x:f>
        <x:v>7.418090305696445</x:v>
      </x:c>
      <x:c r="AF30" s="48" t="n">
        <x:f>DEGREES((2*PI()/Inputs!$C$13)*Inputs!$C$15*SIN(RADIANS(AE30)))</x:f>
        <x:v>46.47913050271021</x:v>
      </x:c>
      <x:c r="AG30" s="48" t="n">
        <x:f>(Z30/AA30)^4</x:f>
        <x:v>0.9687480068825453</x:v>
      </x:c>
      <x:c r="AH30" s="48" t="n">
        <x:f>10*LOG10(AG30)</x:f>
        <x:v>-0.137891780090427</x:v>
      </x:c>
      <x:c r="AI30" s="48" t="n">
        <x:f>AC30-F30</x:f>
        <x:v>-104.42655121401617</x:v>
      </x:c>
      <x:c r="AJ30" s="48" t="n">
        <x:f>AD30-G30</x:f>
        <x:v>-1.2400529513050564</x:v>
      </x:c>
      <x:c r="AK30" s="48" t="n">
        <x:f>Y30-X30</x:f>
        <x:v>187.8650744572762</x:v>
      </x:c>
      <x:c r="AL30" s="48" t="n">
        <x:f>1000*(AA31-AA29)/(A31-A29)*Inputs!$C$11</x:f>
        <x:v>-765.1652626680061</x:v>
      </x:c>
      <x:c r="AM30" s="48" t="n">
        <x:f>-2*AL30/Inputs!$C$13</x:f>
        <x:v>306.06610506720244</x:v>
      </x:c>
      <x:c r="AN30" s="48" t="n">
        <x:f>-2*AL30/Inputs!$C$14</x:f>
        <x:v>45.955871631712085</x:v>
      </x:c>
      <x:c r="AO30" s="48" t="n">
        <x:f>ABS(AM30)</x:f>
        <x:v>306.06610506720244</x:v>
      </x:c>
      <x:c r="AP30" s="48" t="n">
        <x:f>ABS(AN30)</x:f>
        <x:v>45.955871631712085</x:v>
      </x:c>
      <x:c r="AQ30" s="48" t="n">
        <x:f>IF(OR(Inputs!$C$27=TRUE,Inputs!$C$27="TRUE",Inputs!$C$27=1),Inputs!$C$46/Inputs!$C$12,0)</x:f>
        <x:v>42.13483146067416</x:v>
      </x:c>
      <x:c r="AR30" s="48" t="n">
        <x:f>AC30-AQ30</x:f>
        <x:v>1759.0181013391555</x:v>
      </x:c>
      <x:c r="AS30" s="48" t="n">
        <x:f>AC30+AQ30</x:f>
        <x:v>1843.2877642605038</x:v>
      </x:c>
    </x:row>
    <x:row r="31">
      <x:c r="A31" s="48" t="n">
        <x:f>Inputs!$C$7+29*(Inputs!$C$8-Inputs!$C$7)/240</x:f>
        <x:v>-45.5</x:v>
      </x:c>
      <x:c r="B31" s="48" t="n">
        <x:f>Inputs!$C$5+Inputs!$C$9*(A31/Inputs!$C$10)^2</x:f>
        <x:v>402.30027777777775</x:v>
      </x:c>
      <x:c r="C31" s="48" t="n">
        <x:f>B31</x:f>
        <x:v>402.30027777777775</x:v>
      </x:c>
      <x:c r="D31" s="48" t="n">
        <x:f>SQRT(A31^2+Inputs!$C$6^2+B31^2)</x:f>
        <x:v>405.63624529876165</x:v>
      </x:c>
      <x:c r="E31" s="48" t="n">
        <x:f>(D31-C31)*1000</x:f>
        <x:v>3335.9675209838997</x:v>
      </x:c>
      <x:c r="F31" s="48" t="n">
        <x:f>E31/Inputs!$C$12</x:f>
        <x:v>1874.139056732528</x:v>
      </x:c>
      <x:c r="G31" s="48" t="n">
        <x:f>2*E31/Inputs!$C$21*1000000</x:f>
        <x:v>22.255179754948337</x:v>
      </x:c>
      <x:c r="H31" s="48" t="n">
        <x:f>SQRT(A31^2+Inputs!$C$6^2)</x:f>
        <x:v>51.915797210483056</x:v>
      </x:c>
      <x:c r="I31" s="48" t="n">
        <x:f>DEGREES(ATAN(H31/B31))</x:f>
        <x:v>7.353231646851434</x:v>
      </x:c>
      <x:c r="J31" s="48" t="n">
        <x:f>DEGREES((2*PI()/Inputs!$C$13)*Inputs!$C$15*SIN(RADIANS(I31)))</x:f>
        <x:v>46.07499258851599</x:v>
      </x:c>
      <x:c r="K31" s="48" t="n">
        <x:f>(C31/D31)^4</x:f>
        <x:v>0.9675074400588148</x:v>
      </x:c>
      <x:c r="L31" s="48" t="n">
        <x:f>10*LOG10(K31)</x:f>
        <x:v>-0.143456866045915</x:v>
      </x:c>
      <x:c r="M31" s="48" t="n">
        <x:f>2*(Inputs!$C$9/(Inputs!$C$10^2))*A31</x:f>
        <x:v>-0.10111111111111111</x:v>
      </x:c>
      <x:c r="N31" s="48" t="n">
        <x:f>M31*Inputs!$C$11</x:f>
        <x:v>-0.40444444444444444</x:v>
      </x:c>
      <x:c r="O31" s="48" t="n">
        <x:f>1000*((A31*Inputs!$C$11)+(B31*N31))/D31</x:f>
        <x:v>-849.796132226282</x:v>
      </x:c>
      <x:c r="P31" s="48" t="n">
        <x:f>-2*O31/Inputs!$C$13</x:f>
        <x:v>339.9184528905128</x:v>
      </x:c>
      <x:c r="Q31" s="48" t="n">
        <x:f>-2*O31/Inputs!$C$14</x:f>
        <x:v>51.03880674031724</x:v>
      </x:c>
      <x:c r="R31" s="48" t="n">
        <x:f>F31-Inputs!$C$16/2</x:f>
        <x:v>1859.139056732528</x:v>
      </x:c>
      <x:c r="S31" s="48" t="n">
        <x:f>F31+Inputs!$C$16/2</x:f>
        <x:v>1889.139056732528</x:v>
      </x:c>
      <x:c r="T31" s="48" t="n">
        <x:f>F31-Inputs!$C$17/2</x:f>
        <x:v>1724.139056732528</x:v>
      </x:c>
      <x:c r="U31" s="48" t="n">
        <x:f>F31+Inputs!$C$17/2</x:f>
        <x:v>2024.139056732528</x:v>
      </x:c>
      <x:c r="V31" s="48" t="n">
        <x:f>ABS(P31)</x:f>
        <x:v>339.9184528905128</x:v>
      </x:c>
      <x:c r="W31" s="48" t="n">
        <x:f>ABS(Q31)</x:f>
        <x:v>51.03880674031724</x:v>
      </x:c>
      <x:c r="X31" s="48" t="n">
        <x: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(0.45*SIN(2*PI()*(((A31)/Inputs!$C$49)+Inputs!$C$47*0.137))+0.35*COS(2*PI()*(((0)/Inputs!$C$50)+Inputs!$C$47*0.173))+0.20*SIN(2*PI()*(((A31)+(0))/(0.5*(Inputs!$C$49+Inputs!$C$50))+Inputs!$C$47*0.097)))+0.30*(2*((SIN(((A31)*12.9898+(0)*78.233+Inputs!$C$47*37.719))*43758.5453)-INT((SIN(((A31)*12.9898+(0)*78.233+Inputs!$C$47*37.719))*43758.5453)))-1)))</x:f>
        <x:v>36.8829185081177</x:v>
      </x:c>
      <x:c r="Y31" s="48" t="n">
        <x: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(0.45*SIN(2*PI()*(((A31)/Inputs!$C$49)+Inputs!$C$47*0.137))+0.35*COS(2*PI()*(((Inputs!$C$6)/Inputs!$C$50)+Inputs!$C$47*0.173))+0.20*SIN(2*PI()*(((A31)+(Inputs!$C$6))/(0.5*(Inputs!$C$49+Inputs!$C$50))+Inputs!$C$47*0.097)))+0.30*(2*((SIN(((A31)*12.9898+(Inputs!$C$6)*78.233+Inputs!$C$47*37.719))*43758.5453)-INT((SIN(((A31)*12.9898+(Inputs!$C$6)*78.233+Inputs!$C$47*37.719))*43758.5453)))-1)))</x:f>
        <x:v>230.03534200748854</x:v>
      </x:c>
      <x:c r="Z31" s="48" t="n">
        <x:f>B31-X31/1000</x:f>
        <x:v>402.2633948592696</x:v>
      </x:c>
      <x:c r="AA31" s="48" t="n">
        <x:f>SQRT(A31^2+Inputs!$C$6^2+(B31-Y31/1000)^2)</x:f>
        <x:v>405.40810284497155</x:v>
      </x:c>
      <x:c r="AB31" s="48" t="n">
        <x:f>(AA31-Z31)*1000</x:f>
        <x:v>3144.7079857019276</x:v>
      </x:c>
      <x:c r="AC31" s="48" t="n">
        <x:f>AB31/Inputs!$C$12</x:f>
        <x:v>1766.6898796078244</x:v>
      </x:c>
      <x:c r="AD31" s="48" t="n">
        <x:f>2*AB31/Inputs!$C$21*1000000</x:f>
        <x:v>20.979233478261335</x:v>
      </x:c>
      <x:c r="AE31" s="48" t="n">
        <x:f>DEGREES(ATAN(H31/(B31-Y31/1000)))</x:f>
        <x:v>7.357392549418959</x:v>
      </x:c>
      <x:c r="AF31" s="48" t="n">
        <x:f>DEGREES((2*PI()/Inputs!$C$13)*Inputs!$C$15*SIN(RADIANS(AE31)))</x:f>
        <x:v>46.10092118193517</x:v>
      </x:c>
      <x:c r="AG31" s="48" t="n">
        <x:f>(Z31/AA31)^4</x:f>
        <x:v>0.9693315741950683</x:v>
      </x:c>
      <x:c r="AH31" s="48" t="n">
        <x:f>10*LOG10(AG31)</x:f>
        <x:v>-0.135276406874779</x:v>
      </x:c>
      <x:c r="AI31" s="48" t="n">
        <x:f>AC31-F31</x:f>
        <x:v>-107.44917712470351</x:v>
      </x:c>
      <x:c r="AJ31" s="48" t="n">
        <x:f>AD31-G31</x:f>
        <x:v>-1.2759462766870016</x:v>
      </x:c>
      <x:c r="AK31" s="48" t="n">
        <x:f>Y31-X31</x:f>
        <x:v>193.15242349937085</x:v>
      </x:c>
      <x:c r="AL31" s="48" t="n">
        <x:f>1000*(AA32-AA30)/(A32-A30)*Inputs!$C$11</x:f>
        <x:v>-736.6471490590811</x:v>
      </x:c>
      <x:c r="AM31" s="48" t="n">
        <x:f>-2*AL31/Inputs!$C$13</x:f>
        <x:v>294.65885962363245</x:v>
      </x:c>
      <x:c r="AN31" s="48" t="n">
        <x:f>-2*AL31/Inputs!$C$14</x:f>
        <x:v>44.24307201556043</x:v>
      </x:c>
      <x:c r="AO31" s="48" t="n">
        <x:f>ABS(AM31)</x:f>
        <x:v>294.65885962363245</x:v>
      </x:c>
      <x:c r="AP31" s="48" t="n">
        <x:f>ABS(AN31)</x:f>
        <x:v>44.24307201556043</x:v>
      </x:c>
      <x:c r="AQ31" s="48" t="n">
        <x:f>IF(OR(Inputs!$C$27=TRUE,Inputs!$C$27="TRUE",Inputs!$C$27=1),Inputs!$C$46/Inputs!$C$12,0)</x:f>
        <x:v>42.13483146067416</x:v>
      </x:c>
      <x:c r="AR31" s="48" t="n">
        <x:f>AC31-AQ31</x:f>
        <x:v>1724.5550481471503</x:v>
      </x:c>
      <x:c r="AS31" s="48" t="n">
        <x:f>AC31+AQ31</x:f>
        <x:v>1808.8247110684986</x:v>
      </x:c>
    </x:row>
    <x:row r="32">
      <x:c r="A32" s="48" t="n">
        <x:f>Inputs!$C$7+30*(Inputs!$C$8-Inputs!$C$7)/240</x:f>
        <x:v>-45</x:v>
      </x:c>
      <x:c r="B32" s="48" t="n">
        <x:f>Inputs!$C$5+Inputs!$C$9*(A32/Inputs!$C$10)^2</x:f>
        <x:v>402.25</x:v>
      </x:c>
      <x:c r="C32" s="48" t="n">
        <x:f>B32</x:f>
        <x:v>402.25</x:v>
      </x:c>
      <x:c r="D32" s="48" t="n">
        <x:f>SQRT(A32^2+Inputs!$C$6^2+B32^2)</x:f>
        <x:v>405.5305937904069</x:v>
      </x:c>
      <x:c r="E32" s="48" t="n">
        <x:f>(D32-C32)*1000</x:f>
        <x:v>3280.593790406897</x:v>
      </x:c>
      <x:c r="F32" s="48" t="n">
        <x:f>E32/Inputs!$C$12</x:f>
        <x:v>1843.0302193297173</x:v>
      </x:c>
      <x:c r="G32" s="48" t="n">
        <x:f>2*E32/Inputs!$C$21*1000000</x:f>
        <x:v>21.885765988195054</x:v>
      </x:c>
      <x:c r="H32" s="48" t="n">
        <x:f>SQRT(A32^2+Inputs!$C$6^2)</x:f>
        <x:v>51.478150704935004</x:v>
      </x:c>
      <x:c r="I32" s="48" t="n">
        <x:f>DEGREES(ATAN(H32/B32))</x:f>
        <x:v>7.292816002949435</x:v>
      </x:c>
      <x:c r="J32" s="48" t="n">
        <x:f>DEGREES((2*PI()/Inputs!$C$13)*Inputs!$C$15*SIN(RADIANS(I32)))</x:f>
        <x:v>45.69848622408668</x:v>
      </x:c>
      <x:c r="K32" s="48" t="n">
        <x:f>(C32/D32)^4</x:f>
        <x:v>0.9680320065226272</x:v>
      </x:c>
      <x:c r="L32" s="48" t="n">
        <x:f>10*LOG10(K32)</x:f>
        <x:v>-0.141102831602387</x:v>
      </x:c>
      <x:c r="M32" s="48" t="n">
        <x:f>2*(Inputs!$C$9/(Inputs!$C$10^2))*A32</x:f>
        <x:v>-0.1</x:v>
      </x:c>
      <x:c r="N32" s="48" t="n">
        <x:f>M32*Inputs!$C$11</x:f>
        <x:v>-0.4</x:v>
      </x:c>
      <x:c r="O32" s="48" t="n">
        <x:f>1000*((A32*Inputs!$C$11)+(B32*N32))/D32</x:f>
        <x:v>-840.6270826910525</x:v>
      </x:c>
      <x:c r="P32" s="48" t="n">
        <x:f>-2*O32/Inputs!$C$13</x:f>
        <x:v>336.250833076421</x:v>
      </x:c>
      <x:c r="Q32" s="48" t="n">
        <x:f>-2*O32/Inputs!$C$14</x:f>
        <x:v>50.48811307453769</x:v>
      </x:c>
      <x:c r="R32" s="48" t="n">
        <x:f>F32-Inputs!$C$16/2</x:f>
        <x:v>1828.0302193297173</x:v>
      </x:c>
      <x:c r="S32" s="48" t="n">
        <x:f>F32+Inputs!$C$16/2</x:f>
        <x:v>1858.0302193297173</x:v>
      </x:c>
      <x:c r="T32" s="48" t="n">
        <x:f>F32-Inputs!$C$17/2</x:f>
        <x:v>1693.0302193297173</x:v>
      </x:c>
      <x:c r="U32" s="48" t="n">
        <x:f>F32+Inputs!$C$17/2</x:f>
        <x:v>1993.0302193297173</x:v>
      </x:c>
      <x:c r="V32" s="48" t="n">
        <x:f>ABS(P32)</x:f>
        <x:v>336.250833076421</x:v>
      </x:c>
      <x:c r="W32" s="48" t="n">
        <x:f>ABS(Q32)</x:f>
        <x:v>50.48811307453769</x:v>
      </x:c>
      <x:c r="X32" s="48" t="n">
        <x: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(0.45*SIN(2*PI()*(((A32)/Inputs!$C$49)+Inputs!$C$47*0.137))+0.35*COS(2*PI()*(((0)/Inputs!$C$50)+Inputs!$C$47*0.173))+0.20*SIN(2*PI()*(((A32)+(0))/(0.5*(Inputs!$C$49+Inputs!$C$50))+Inputs!$C$47*0.097)))+0.30*(2*((SIN(((A32)*12.9898+(0)*78.233+Inputs!$C$47*37.719))*43758.5453)-INT((SIN(((A32)*12.9898+(0)*78.233+Inputs!$C$47*37.719))*43758.5453)))-1)))</x:f>
        <x:v>46.59917835352822</x:v>
      </x:c>
      <x:c r="Y32" s="48" t="n">
        <x: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(0.45*SIN(2*PI()*(((A32)/Inputs!$C$49)+Inputs!$C$47*0.137))+0.35*COS(2*PI()*(((Inputs!$C$6)/Inputs!$C$50)+Inputs!$C$47*0.173))+0.20*SIN(2*PI()*(((A32)+(Inputs!$C$6))/(0.5*(Inputs!$C$49+Inputs!$C$50))+Inputs!$C$47*0.097)))+0.30*(2*((SIN(((A32)*12.9898+(Inputs!$C$6)*78.233+Inputs!$C$47*37.719))*43758.5453)-INT((SIN(((A32)*12.9898+(Inputs!$C$6)*78.233+Inputs!$C$47*37.719))*43758.5453)))-1)))</x:f>
        <x:v>208.8220272535724</x:v>
      </x:c>
      <x:c r="Z32" s="48" t="n">
        <x:f>B32-X32/1000</x:f>
        <x:v>402.2034008216465</x:v>
      </x:c>
      <x:c r="AA32" s="48" t="n">
        <x:f>SQRT(A32^2+Inputs!$C$6^2+(B32-Y32/1000)^2)</x:f>
        <x:v>405.3234619235772</x:v>
      </x:c>
      <x:c r="AB32" s="48" t="n">
        <x:f>(AA32-Z32)*1000</x:f>
        <x:v>3120.0611019307303</x:v>
      </x:c>
      <x:c r="AC32" s="48" t="n">
        <x:f>AB32/Inputs!$C$12</x:f>
        <x:v>1752.8433156914214</x:v>
      </x:c>
      <x:c r="AD32" s="48" t="n">
        <x:f>2*AB32/Inputs!$C$21*1000000</x:f>
        <x:v>20.814807168569466</x:v>
      </x:c>
      <x:c r="AE32" s="48" t="n">
        <x:f>DEGREES(ATAN(H32/(B32-Y32/1000)))</x:f>
        <x:v>7.296563113535691</x:v>
      </x:c>
      <x:c r="AF32" s="48" t="n">
        <x:f>DEGREES((2*PI()/Inputs!$C$13)*Inputs!$C$15*SIN(RADIANS(AE32)))</x:f>
        <x:v>45.72183945589311</x:v>
      </x:c>
      <x:c r="AG32" s="48" t="n">
        <x:f>(Z32/AA32)^4</x:f>
        <x:v>0.9695628805972566</x:v>
      </x:c>
      <x:c r="AH32" s="48" t="n">
        <x:f>10*LOG10(AG32)</x:f>
        <x:v>-0.134240196839441</x:v>
      </x:c>
      <x:c r="AI32" s="48" t="n">
        <x:f>AC32-F32</x:f>
        <x:v>-90.18690363829592</x:v>
      </x:c>
      <x:c r="AJ32" s="48" t="n">
        <x:f>AD32-G32</x:f>
        <x:v>-1.070958819625588</x:v>
      </x:c>
      <x:c r="AK32" s="48" t="n">
        <x:f>Y32-X32</x:f>
        <x:v>162.2228489000442</x:v>
      </x:c>
      <x:c r="AL32" s="48" t="n">
        <x:f>1000*(AA33-AA31)/(A33-A31)*Inputs!$C$11</x:f>
        <x:v>-728.2918482912919</x:v>
      </x:c>
      <x:c r="AM32" s="48" t="n">
        <x:f>-2*AL32/Inputs!$C$13</x:f>
        <x:v>291.31673931651676</x:v>
      </x:c>
      <x:c r="AN32" s="48" t="n">
        <x:f>-2*AL32/Inputs!$C$14</x:f>
        <x:v>43.741252149627144</x:v>
      </x:c>
      <x:c r="AO32" s="48" t="n">
        <x:f>ABS(AM32)</x:f>
        <x:v>291.31673931651676</x:v>
      </x:c>
      <x:c r="AP32" s="48" t="n">
        <x:f>ABS(AN32)</x:f>
        <x:v>43.741252149627144</x:v>
      </x:c>
      <x:c r="AQ32" s="48" t="n">
        <x:f>IF(OR(Inputs!$C$27=TRUE,Inputs!$C$27="TRUE",Inputs!$C$27=1),Inputs!$C$46/Inputs!$C$12,0)</x:f>
        <x:v>42.13483146067416</x:v>
      </x:c>
      <x:c r="AR32" s="48" t="n">
        <x:f>AC32-AQ32</x:f>
        <x:v>1710.7084842307472</x:v>
      </x:c>
      <x:c r="AS32" s="48" t="n">
        <x:f>AC32+AQ32</x:f>
        <x:v>1794.9781471520955</x:v>
      </x:c>
    </x:row>
    <x:row r="33">
      <x:c r="A33" s="48" t="n">
        <x:f>Inputs!$C$7+31*(Inputs!$C$8-Inputs!$C$7)/240</x:f>
        <x:v>-44.5</x:v>
      </x:c>
      <x:c r="B33" s="48" t="n">
        <x:f>Inputs!$C$5+Inputs!$C$9*(A33/Inputs!$C$10)^2</x:f>
        <x:v>402.2002777777778</x:v>
      </x:c>
      <x:c r="C33" s="48" t="n">
        <x:f>B33</x:f>
        <x:v>402.2002777777778</x:v>
      </x:c>
      <x:c r="D33" s="48" t="n">
        <x:f>SQRT(A33^2+Inputs!$C$6^2+B33^2)</x:f>
        <x:v>405.4260887566581</x:v>
      </x:c>
      <x:c r="E33" s="48" t="n">
        <x:f>(D33-C33)*1000</x:f>
        <x:v>3225.810978880304</x:v>
      </x:c>
      <x:c r="F33" s="48" t="n">
        <x:f>E33/Inputs!$C$12</x:f>
        <x:v>1812.253358921519</x:v>
      </x:c>
      <x:c r="G33" s="48" t="n">
        <x:f>2*E33/Inputs!$C$21*1000000</x:f>
        <x:v>21.520294409009473</x:v>
      </x:c>
      <x:c r="H33" s="48" t="n">
        <x:f>SQRT(A33^2+Inputs!$C$6^2)</x:f>
        <x:v>51.041649659861115</x:v>
      </x:c>
      <x:c r="I33" s="48" t="n">
        <x:f>DEGREES(ATAN(H33/B33))</x:f>
        <x:v>7.232519645354166</x:v>
      </x:c>
      <x:c r="J33" s="48" t="n">
        <x:f>DEGREES((2*PI()/Inputs!$C$13)*Inputs!$C$15*SIN(RADIANS(I33)))</x:f>
        <x:v>45.32267258355667</x:v>
      </x:c>
      <x:c r="K33" s="48" t="n">
        <x:f>(C33/D33)^4</x:f>
        <x:v>0.9685514556263732</x:v>
      </x:c>
      <x:c r="L33" s="48" t="n">
        <x:f>10*LOG10(K33)</x:f>
        <x:v>-0.138773018411207</x:v>
      </x:c>
      <x:c r="M33" s="48" t="n">
        <x:f>2*(Inputs!$C$9/(Inputs!$C$10^2))*A33</x:f>
        <x:v>-0.09888888888888889</x:v>
      </x:c>
      <x:c r="N33" s="48" t="n">
        <x:f>M33*Inputs!$C$11</x:f>
        <x:v>-0.39555555555555555</x:v>
      </x:c>
      <x:c r="O33" s="48" t="n">
        <x:f>1000*((A33*Inputs!$C$11)+(B33*N33))/D33</x:f>
        <x:v>-831.4525475032144</x:v>
      </x:c>
      <x:c r="P33" s="48" t="n">
        <x:f>-2*O33/Inputs!$C$13</x:f>
        <x:v>332.58101900128577</x:v>
      </x:c>
      <x:c r="Q33" s="48" t="n">
        <x:f>-2*O33/Inputs!$C$14</x:f>
        <x:v>49.937089940133</x:v>
      </x:c>
      <x:c r="R33" s="48" t="n">
        <x:f>F33-Inputs!$C$16/2</x:f>
        <x:v>1797.253358921519</x:v>
      </x:c>
      <x:c r="S33" s="48" t="n">
        <x:f>F33+Inputs!$C$16/2</x:f>
        <x:v>1827.253358921519</x:v>
      </x:c>
      <x:c r="T33" s="48" t="n">
        <x:f>F33-Inputs!$C$17/2</x:f>
        <x:v>1662.253358921519</x:v>
      </x:c>
      <x:c r="U33" s="48" t="n">
        <x:f>F33+Inputs!$C$17/2</x:f>
        <x:v>1962.253358921519</x:v>
      </x:c>
      <x:c r="V33" s="48" t="n">
        <x:f>ABS(P33)</x:f>
        <x:v>332.58101900128577</x:v>
      </x:c>
      <x:c r="W33" s="48" t="n">
        <x:f>ABS(Q33)</x:f>
        <x:v>49.937089940133</x:v>
      </x:c>
      <x:c r="X33" s="48" t="n">
        <x: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(0.45*SIN(2*PI()*(((A33)/Inputs!$C$49)+Inputs!$C$47*0.137))+0.35*COS(2*PI()*(((0)/Inputs!$C$50)+Inputs!$C$47*0.173))+0.20*SIN(2*PI()*(((A33)+(0))/(0.5*(Inputs!$C$49+Inputs!$C$50))+Inputs!$C$47*0.097)))+0.30*(2*((SIN(((A33)*12.9898+(0)*78.233+Inputs!$C$47*37.719))*43758.5453)-INT((SIN(((A33)*12.9898+(0)*78.233+Inputs!$C$47*37.719))*43758.5453)))-1)))</x:f>
        <x:v>27.91531821493412</x:v>
      </x:c>
      <x:c r="Y33" s="48" t="n">
        <x: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(0.45*SIN(2*PI()*(((A33)/Inputs!$C$49)+Inputs!$C$47*0.137))+0.35*COS(2*PI()*(((Inputs!$C$6)/Inputs!$C$50)+Inputs!$C$47*0.173))+0.20*SIN(2*PI()*(((A33)+(Inputs!$C$6))/(0.5*(Inputs!$C$49+Inputs!$C$50))+Inputs!$C$47*0.097)))+0.30*(2*((SIN(((A33)*12.9898+(Inputs!$C$6)*78.233+Inputs!$C$47*37.719))*43758.5453)-INT((SIN(((A33)*12.9898+(Inputs!$C$6)*78.233+Inputs!$C$47*37.719))*43758.5453)))-1)))</x:f>
        <x:v>201.66422960156285</x:v>
      </x:c>
      <x:c r="Z33" s="48" t="n">
        <x:f>B33-X33/1000</x:f>
        <x:v>402.17236245956286</x:v>
      </x:c>
      <x:c r="AA33" s="48" t="n">
        <x:f>SQRT(A33^2+Inputs!$C$6^2+(B33-Y33/1000)^2)</x:f>
        <x:v>405.22602988289873</x:v>
      </x:c>
      <x:c r="AB33" s="48" t="n">
        <x:f>(AA33-Z33)*1000</x:f>
        <x:v>3053.6674233358667</x:v>
      </x:c>
      <x:c r="AC33" s="48" t="n">
        <x:f>AB33/Inputs!$C$12</x:f>
        <x:v>1715.5434962561048</x:v>
      </x:c>
      <x:c r="AD33" s="48" t="n">
        <x:f>2*AB33/Inputs!$C$21*1000000</x:f>
        <x:v>20.371876222022014</x:v>
      </x:c>
      <x:c r="AE33" s="48" t="n">
        <x:f>DEGREES(ATAN(H33/(B33-Y33/1000)))</x:f>
        <x:v>7.23610941995349</x:v>
      </x:c>
      <x:c r="AF33" s="48" t="n">
        <x:f>DEGREES((2*PI()/Inputs!$C$13)*Inputs!$C$15*SIN(RADIANS(AE33)))</x:f>
        <x:v>45.34504825087364</x:v>
      </x:c>
      <x:c r="AG33" s="48" t="n">
        <x:f>(Z33/AA33)^4</x:f>
        <x:v>0.9701961578328001</x:v>
      </x:c>
      <x:c r="AH33" s="48" t="n">
        <x:f>10*LOG10(AG33)</x:f>
        <x:v>-0.131404495979345</x:v>
      </x:c>
      <x:c r="AI33" s="48" t="n">
        <x:f>AC33-F33</x:f>
        <x:v>-96.70986266541422</x:v>
      </x:c>
      <x:c r="AJ33" s="48" t="n">
        <x:f>AD33-G33</x:f>
        <x:v>-1.1484181869874597</x:v>
      </x:c>
      <x:c r="AK33" s="48" t="n">
        <x:f>Y33-X33</x:f>
        <x:v>173.74891138662872</x:v>
      </x:c>
      <x:c r="AL33" s="48" t="n">
        <x:f>1000*(AA34-AA32)/(A34-A32)*Inputs!$C$11</x:f>
        <x:v>-797.1243903605227</x:v>
      </x:c>
      <x:c r="AM33" s="48" t="n">
        <x:f>-2*AL33/Inputs!$C$13</x:f>
        <x:v>318.8497561442091</x:v>
      </x:c>
      <x:c r="AN33" s="48" t="n">
        <x:f>-2*AL33/Inputs!$C$14</x:f>
        <x:v>47.87533876039176</x:v>
      </x:c>
      <x:c r="AO33" s="48" t="n">
        <x:f>ABS(AM33)</x:f>
        <x:v>318.8497561442091</x:v>
      </x:c>
      <x:c r="AP33" s="48" t="n">
        <x:f>ABS(AN33)</x:f>
        <x:v>47.87533876039176</x:v>
      </x:c>
      <x:c r="AQ33" s="48" t="n">
        <x:f>IF(OR(Inputs!$C$27=TRUE,Inputs!$C$27="TRUE",Inputs!$C$27=1),Inputs!$C$46/Inputs!$C$12,0)</x:f>
        <x:v>42.13483146067416</x:v>
      </x:c>
      <x:c r="AR33" s="48" t="n">
        <x:f>AC33-AQ33</x:f>
        <x:v>1673.4086647954307</x:v>
      </x:c>
      <x:c r="AS33" s="48" t="n">
        <x:f>AC33+AQ33</x:f>
        <x:v>1757.678327716779</x:v>
      </x:c>
    </x:row>
    <x:row r="34">
      <x:c r="A34" s="48" t="n">
        <x:f>Inputs!$C$7+32*(Inputs!$C$8-Inputs!$C$7)/240</x:f>
        <x:v>-44</x:v>
      </x:c>
      <x:c r="B34" s="48" t="n">
        <x:f>Inputs!$C$5+Inputs!$C$9*(A34/Inputs!$C$10)^2</x:f>
        <x:v>402.1511111111111</x:v>
      </x:c>
      <x:c r="C34" s="48" t="n">
        <x:f>B34</x:f>
        <x:v>402.1511111111111</x:v>
      </x:c>
      <x:c r="D34" s="48" t="n">
        <x:f>SQRT(A34^2+Inputs!$C$6^2+B34^2)</x:f>
        <x:v>405.3227308798524</x:v>
      </x:c>
      <x:c r="E34" s="48" t="n">
        <x:f>(D34-C34)*1000</x:f>
        <x:v>3171.619768741266</x:v>
      </x:c>
      <x:c r="F34" s="48" t="n">
        <x:f>E34/Inputs!$C$12</x:f>
        <x:v>1781.8088588434077</x:v>
      </x:c>
      <x:c r="G34" s="48" t="n">
        <x:f>2*E34/Inputs!$C$21*1000000</x:f>
        <x:v>21.158769569455053</x:v>
      </x:c>
      <x:c r="H34" s="48" t="n">
        <x:f>SQRT(A34^2+Inputs!$C$6^2)</x:f>
        <x:v>50.60632371551998</x:v>
      </x:c>
      <x:c r="I34" s="48" t="n">
        <x:f>DEGREES(ATAN(H34/B34))</x:f>
        <x:v>7.172347267625263</x:v>
      </x:c>
      <x:c r="J34" s="48" t="n">
        <x:f>DEGREES((2*PI()/Inputs!$C$13)*Inputs!$C$15*SIN(RADIANS(I34)))</x:f>
        <x:v>44.94758164201636</x:v>
      </x:c>
      <x:c r="K34" s="48" t="n">
        <x:f>(C34/D34)^4</x:f>
        <x:v>0.9690657659323467</x:v>
      </x:c>
      <x:c r="L34" s="48" t="n">
        <x:f>10*LOG10(K34)</x:f>
        <x:v>-0.136467484267201</x:v>
      </x:c>
      <x:c r="M34" s="48" t="n">
        <x:f>2*(Inputs!$C$9/(Inputs!$C$10^2))*A34</x:f>
        <x:v>-0.09777777777777778</x:v>
      </x:c>
      <x:c r="N34" s="48" t="n">
        <x:f>M34*Inputs!$C$11</x:f>
        <x:v>-0.39111111111111113</x:v>
      </x:c>
      <x:c r="O34" s="48" t="n">
        <x:f>1000*((A34*Inputs!$C$11)+(B34*N34))/D34</x:f>
        <x:v>-822.2725806118895</x:v>
      </x:c>
      <x:c r="P34" s="48" t="n">
        <x:f>-2*O34/Inputs!$C$13</x:f>
        <x:v>328.9090322447558</x:v>
      </x:c>
      <x:c r="Q34" s="48" t="n">
        <x:f>-2*O34/Inputs!$C$14</x:f>
        <x:v>49.38574057729066</x:v>
      </x:c>
      <x:c r="R34" s="48" t="n">
        <x:f>F34-Inputs!$C$16/2</x:f>
        <x:v>1766.8088588434077</x:v>
      </x:c>
      <x:c r="S34" s="48" t="n">
        <x:f>F34+Inputs!$C$16/2</x:f>
        <x:v>1796.8088588434077</x:v>
      </x:c>
      <x:c r="T34" s="48" t="n">
        <x:f>F34-Inputs!$C$17/2</x:f>
        <x:v>1631.8088588434077</x:v>
      </x:c>
      <x:c r="U34" s="48" t="n">
        <x:f>F34+Inputs!$C$17/2</x:f>
        <x:v>1931.8088588434077</x:v>
      </x:c>
      <x:c r="V34" s="48" t="n">
        <x:f>ABS(P34)</x:f>
        <x:v>328.9090322447558</x:v>
      </x:c>
      <x:c r="W34" s="48" t="n">
        <x:f>ABS(Q34)</x:f>
        <x:v>49.38574057729066</x:v>
      </x:c>
      <x:c r="X34" s="48" t="n">
        <x: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(0.45*SIN(2*PI()*(((A34)/Inputs!$C$49)+Inputs!$C$47*0.137))+0.35*COS(2*PI()*(((0)/Inputs!$C$50)+Inputs!$C$47*0.173))+0.20*SIN(2*PI()*(((A34)+(0))/(0.5*(Inputs!$C$49+Inputs!$C$50))+Inputs!$C$47*0.097)))+0.30*(2*((SIN(((A34)*12.9898+(0)*78.233+Inputs!$C$47*37.719))*43758.5453)-INT((SIN(((A34)*12.9898+(0)*78.233+Inputs!$C$47*37.719))*43758.5453)))-1)))</x:f>
        <x:v>18.82539201019003</x:v>
      </x:c>
      <x:c r="Y34" s="48" t="n">
        <x: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(0.45*SIN(2*PI()*(((A34)/Inputs!$C$49)+Inputs!$C$47*0.137))+0.35*COS(2*PI()*(((Inputs!$C$6)/Inputs!$C$50)+Inputs!$C$47*0.173))+0.20*SIN(2*PI()*(((A34)+(Inputs!$C$6))/(0.5*(Inputs!$C$49+Inputs!$C$50))+Inputs!$C$47*0.097)))+0.30*(2*((SIN(((A34)*12.9898+(Inputs!$C$6)*78.233+Inputs!$C$47*37.719))*43758.5453)-INT((SIN(((A34)*12.9898+(Inputs!$C$6)*78.233+Inputs!$C$47*37.719))*43758.5453)))-1)))</x:f>
        <x:v>200.11672258234324</x:v>
      </x:c>
      <x:c r="Z34" s="48" t="n">
        <x:f>B34-X34/1000</x:f>
        <x:v>402.13228571910093</x:v>
      </x:c>
      <x:c r="AA34" s="48" t="n">
        <x:f>SQRT(A34^2+Inputs!$C$6^2+(B34-Y34/1000)^2)</x:f>
        <x:v>405.1241808259871</x:v>
      </x:c>
      <x:c r="AB34" s="48" t="n">
        <x:f>(AA34-Z34)*1000</x:f>
        <x:v>2991.8951068861475</x:v>
      </x:c>
      <x:c r="AC34" s="48" t="n">
        <x:f>AB34/Inputs!$C$12</x:f>
        <x:v>1680.839947688847</x:v>
      </x:c>
      <x:c r="AD34" s="48" t="n">
        <x:f>2*AB34/Inputs!$C$21*1000000</x:f>
        <x:v>19.959775685125123</x:v>
      </x:c>
      <x:c r="AE34" s="48" t="n">
        <x:f>DEGREES(ATAN(H34/(B34-Y34/1000)))</x:f>
        <x:v>7.175880902541359</x:v>
      </x:c>
      <x:c r="AF34" s="48" t="n">
        <x:f>DEGREES((2*PI()/Inputs!$C$13)*Inputs!$C$15*SIN(RADIANS(AE34)))</x:f>
        <x:v>44.96961030675303</x:v>
      </x:c>
      <x:c r="AG34" s="48" t="n">
        <x:f>(Z34/AA34)^4</x:f>
        <x:v>0.9707851091731947</x:v>
      </x:c>
      <x:c r="AH34" s="48" t="n">
        <x:f>10*LOG10(AG34)</x:f>
        <x:v>-0.128768939114984</x:v>
      </x:c>
      <x:c r="AI34" s="48" t="n">
        <x:f>AC34-F34</x:f>
        <x:v>-100.96891115456083</x:v>
      </x:c>
      <x:c r="AJ34" s="48" t="n">
        <x:f>AD34-G34</x:f>
        <x:v>-1.19899388432993</x:v>
      </x:c>
      <x:c r="AK34" s="48" t="n">
        <x:f>Y34-X34</x:f>
        <x:v>181.2913305721532</x:v>
      </x:c>
      <x:c r="AL34" s="48" t="n">
        <x:f>1000*(AA35-AA33)/(A35-A33)*Inputs!$C$11</x:f>
        <x:v>-858.9368060258948</x:v>
      </x:c>
      <x:c r="AM34" s="48" t="n">
        <x:f>-2*AL34/Inputs!$C$13</x:f>
        <x:v>343.57472241035794</x:v>
      </x:c>
      <x:c r="AN34" s="48" t="n">
        <x:f>-2*AL34/Inputs!$C$14</x:f>
        <x:v>51.58779615771141</x:v>
      </x:c>
      <x:c r="AO34" s="48" t="n">
        <x:f>ABS(AM34)</x:f>
        <x:v>343.57472241035794</x:v>
      </x:c>
      <x:c r="AP34" s="48" t="n">
        <x:f>ABS(AN34)</x:f>
        <x:v>51.58779615771141</x:v>
      </x:c>
      <x:c r="AQ34" s="48" t="n">
        <x:f>IF(OR(Inputs!$C$27=TRUE,Inputs!$C$27="TRUE",Inputs!$C$27=1),Inputs!$C$46/Inputs!$C$12,0)</x:f>
        <x:v>42.13483146067416</x:v>
      </x:c>
      <x:c r="AR34" s="48" t="n">
        <x:f>AC34-AQ34</x:f>
        <x:v>1638.7051162281728</x:v>
      </x:c>
      <x:c r="AS34" s="48" t="n">
        <x:f>AC34+AQ34</x:f>
        <x:v>1722.974779149521</x:v>
      </x:c>
    </x:row>
    <x:row r="35">
      <x:c r="A35" s="48" t="n">
        <x:f>Inputs!$C$7+33*(Inputs!$C$8-Inputs!$C$7)/240</x:f>
        <x:v>-43.5</x:v>
      </x:c>
      <x:c r="B35" s="48" t="n">
        <x:f>Inputs!$C$5+Inputs!$C$9*(A35/Inputs!$C$10)^2</x:f>
        <x:v>402.1025</x:v>
      </x:c>
      <x:c r="C35" s="48" t="n">
        <x:f>B35</x:f>
        <x:v>402.1025</x:v>
      </x:c>
      <x:c r="D35" s="48" t="n">
        <x:f>SQRT(A35^2+Inputs!$C$6^2+B35^2)</x:f>
        <x:v>405.2205208355693</x:v>
      </x:c>
      <x:c r="E35" s="48" t="n">
        <x:f>(D35-C35)*1000</x:f>
        <x:v>3118.0208355692685</x:v>
      </x:c>
      <x:c r="F35" s="48" t="n">
        <x:f>E35/Inputs!$C$12</x:f>
        <x:v>1751.6970986344204</x:v>
      </x:c>
      <x:c r="G35" s="48" t="n">
        <x:f>2*E35/Inputs!$C$21*1000000</x:f>
        <x:v>20.801195976512982</x:v>
      </x:c>
      <x:c r="H35" s="48" t="n">
        <x:f>SQRT(A35^2+Inputs!$C$6^2)</x:f>
        <x:v>50.172203459684724</x:v>
      </x:c>
      <x:c r="I35" s="48" t="n">
        <x:f>DEGREES(ATAN(H35/B35))</x:f>
        <x:v>7.1123037002334435</x:v>
      </x:c>
      <x:c r="J35" s="48" t="n">
        <x:f>DEGREES((2*PI()/Inputs!$C$13)*Inputs!$C$15*SIN(RADIANS(I35)))</x:f>
        <x:v>44.57324423808168</x:v>
      </x:c>
      <x:c r="K35" s="48" t="n">
        <x:f>(C35/D35)^4</x:f>
        <x:v>0.969574916178313</x:v>
      </x:c>
      <x:c r="L35" s="48" t="n">
        <x:f>10*LOG10(K35)</x:f>
        <x:v>-0.134186286421645</x:v>
      </x:c>
      <x:c r="M35" s="48" t="n">
        <x:f>2*(Inputs!$C$9/(Inputs!$C$10^2))*A35</x:f>
        <x:v>-0.09666666666666666</x:v>
      </x:c>
      <x:c r="N35" s="48" t="n">
        <x:f>M35*Inputs!$C$11</x:f>
        <x:v>-0.38666666666666666</x:v>
      </x:c>
      <x:c r="O35" s="48" t="n">
        <x:f>1000*((A35*Inputs!$C$11)+(B35*N35))/D35</x:f>
        <x:v>-813.0872361891808</x:v>
      </x:c>
      <x:c r="P35" s="48" t="n">
        <x:f>-2*O35/Inputs!$C$13</x:f>
        <x:v>325.2348944756723</x:v>
      </x:c>
      <x:c r="Q35" s="48" t="n">
        <x:f>-2*O35/Inputs!$C$14</x:f>
        <x:v>48.834068239590444</x:v>
      </x:c>
      <x:c r="R35" s="48" t="n">
        <x:f>F35-Inputs!$C$16/2</x:f>
        <x:v>1736.6970986344204</x:v>
      </x:c>
      <x:c r="S35" s="48" t="n">
        <x:f>F35+Inputs!$C$16/2</x:f>
        <x:v>1766.6970986344204</x:v>
      </x:c>
      <x:c r="T35" s="48" t="n">
        <x:f>F35-Inputs!$C$17/2</x:f>
        <x:v>1601.6970986344204</x:v>
      </x:c>
      <x:c r="U35" s="48" t="n">
        <x:f>F35+Inputs!$C$17/2</x:f>
        <x:v>1901.6970986344204</x:v>
      </x:c>
      <x:c r="V35" s="48" t="n">
        <x:f>ABS(P35)</x:f>
        <x:v>325.2348944756723</x:v>
      </x:c>
      <x:c r="W35" s="48" t="n">
        <x:f>ABS(Q35)</x:f>
        <x:v>48.834068239590444</x:v>
      </x:c>
      <x:c r="X35" s="48" t="n">
        <x: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(0.45*SIN(2*PI()*(((A35)/Inputs!$C$49)+Inputs!$C$47*0.137))+0.35*COS(2*PI()*(((0)/Inputs!$C$50)+Inputs!$C$47*0.173))+0.20*SIN(2*PI()*(((A35)+(0))/(0.5*(Inputs!$C$49+Inputs!$C$50))+Inputs!$C$47*0.097)))+0.30*(2*((SIN(((A35)*12.9898+(0)*78.233+Inputs!$C$47*37.719))*43758.5453)-INT((SIN(((A35)*12.9898+(0)*78.233+Inputs!$C$47*37.719))*43758.5453)))-1)))</x:f>
        <x:v>22.55480739682735</x:v>
      </x:c>
      <x:c r="Y35" s="48" t="n">
        <x: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(0.45*SIN(2*PI()*(((A35)/Inputs!$C$49)+Inputs!$C$47*0.137))+0.35*COS(2*PI()*(((Inputs!$C$6)/Inputs!$C$50)+Inputs!$C$47*0.173))+0.20*SIN(2*PI()*(((A35)+(Inputs!$C$6))/(0.5*(Inputs!$C$49+Inputs!$C$50))+Inputs!$C$47*0.097)))+0.30*(2*((SIN(((A35)*12.9898+(Inputs!$C$6)*78.233+Inputs!$C$47*37.719))*43758.5453)-INT((SIN(((A35)*12.9898+(Inputs!$C$6)*78.233+Inputs!$C$47*37.719))*43758.5453)))-1)))</x:f>
        <x:v>210.8483953416035</x:v>
      </x:c>
      <x:c r="Z35" s="48" t="n">
        <x:f>B35-X35/1000</x:f>
        <x:v>402.0799451926032</x:v>
      </x:c>
      <x:c r="AA35" s="48" t="n">
        <x:f>SQRT(A35^2+Inputs!$C$6^2+(B35-Y35/1000)^2)</x:f>
        <x:v>405.01129568139226</x:v>
      </x:c>
      <x:c r="AB35" s="48" t="n">
        <x:f>(AA35-Z35)*1000</x:f>
        <x:v>2931.3504887890645</x:v>
      </x:c>
      <x:c r="AC35" s="48" t="n">
        <x:f>AB35/Inputs!$C$12</x:f>
        <x:v>1646.8261172972273</x:v>
      </x:c>
      <x:c r="AD35" s="48" t="n">
        <x:f>2*AB35/Inputs!$C$21*1000000</x:f>
        <x:v>19.5558654700317</x:v>
      </x:c>
      <x:c r="AE35" s="48" t="n">
        <x:f>DEGREES(ATAN(H35/(B35-Y35/1000)))</x:f>
        <x:v>7.115996855286921</x:v>
      </x:c>
      <x:c r="AF35" s="48" t="n">
        <x:f>DEGREES((2*PI()/Inputs!$C$13)*Inputs!$C$15*SIN(RADIANS(AE35)))</x:f>
        <x:v>44.5962703709262</x:v>
      </x:c>
      <x:c r="AG35" s="48" t="n">
        <x:f>(Z35/AA35)^4</x:f>
        <x:v>0.9713619897228496</x:v>
      </x:c>
      <x:c r="AH35" s="48" t="n">
        <x:f>10*LOG10(AG35)</x:f>
        <x:v>-0.126188948681273</x:v>
      </x:c>
      <x:c r="AI35" s="48" t="n">
        <x:f>AC35-F35</x:f>
        <x:v>-104.87098133719314</x:v>
      </x:c>
      <x:c r="AJ35" s="48" t="n">
        <x:f>AD35-G35</x:f>
        <x:v>-1.245330506481281</x:v>
      </x:c>
      <x:c r="AK35" s="48" t="n">
        <x:f>Y35-X35</x:f>
        <x:v>188.29358794477614</x:v>
      </x:c>
      <x:c r="AL35" s="48" t="n">
        <x:f>1000*(AA36-AA34)/(A36-A34)*Inputs!$C$11</x:f>
        <x:v>-735.6522423312981</x:v>
      </x:c>
      <x:c r="AM35" s="48" t="n">
        <x:f>-2*AL35/Inputs!$C$13</x:f>
        <x:v>294.26089693251924</x:v>
      </x:c>
      <x:c r="AN35" s="48" t="n">
        <x:f>-2*AL35/Inputs!$C$14</x:f>
        <x:v>44.183317857735624</x:v>
      </x:c>
      <x:c r="AO35" s="48" t="n">
        <x:f>ABS(AM35)</x:f>
        <x:v>294.26089693251924</x:v>
      </x:c>
      <x:c r="AP35" s="48" t="n">
        <x:f>ABS(AN35)</x:f>
        <x:v>44.183317857735624</x:v>
      </x:c>
      <x:c r="AQ35" s="48" t="n">
        <x:f>IF(OR(Inputs!$C$27=TRUE,Inputs!$C$27="TRUE",Inputs!$C$27=1),Inputs!$C$46/Inputs!$C$12,0)</x:f>
        <x:v>42.13483146067416</x:v>
      </x:c>
      <x:c r="AR35" s="48" t="n">
        <x:f>AC35-AQ35</x:f>
        <x:v>1604.691285836553</x:v>
      </x:c>
      <x:c r="AS35" s="48" t="n">
        <x:f>AC35+AQ35</x:f>
        <x:v>1688.9609487579014</x:v>
      </x:c>
    </x:row>
    <x:row r="36">
      <x:c r="A36" s="48" t="n">
        <x:f>Inputs!$C$7+34*(Inputs!$C$8-Inputs!$C$7)/240</x:f>
        <x:v>-43</x:v>
      </x:c>
      <x:c r="B36" s="48" t="n">
        <x:f>Inputs!$C$5+Inputs!$C$9*(A36/Inputs!$C$10)^2</x:f>
        <x:v>402.05444444444447</x:v>
      </x:c>
      <x:c r="C36" s="48" t="n">
        <x:f>B36</x:f>
        <x:v>402.05444444444447</x:v>
      </x:c>
      <x:c r="D36" s="48" t="n">
        <x:f>SQRT(A36^2+Inputs!$C$6^2+B36^2)</x:f>
        <x:v>405.1194592926028</x:v>
      </x:c>
      <x:c r="E36" s="48" t="n">
        <x:f>(D36-C36)*1000</x:f>
        <x:v>3065.0148481583415</x:v>
      </x:c>
      <x:c r="F36" s="48" t="n">
        <x:f>E36/Inputs!$C$12</x:f>
        <x:v>1721.9184540215401</x:v>
      </x:c>
      <x:c r="G36" s="48" t="n">
        <x:f>2*E36/Inputs!$C$21*1000000</x:f>
        <x:v>20.44757809189677</x:v>
      </x:c>
      <x:c r="H36" s="48" t="n">
        <x:f>SQRT(A36^2+Inputs!$C$6^2)</x:f>
        <x:v>49.73932046178355</x:v>
      </x:c>
      <x:c r="I36" s="48" t="n">
        <x:f>DEGREES(ATAN(H36/B36))</x:f>
        <x:v>7.05239391542762</x:v>
      </x:c>
      <x:c r="J36" s="48" t="n">
        <x:f>DEGREES((2*PI()/Inputs!$C$13)*Inputs!$C$15*SIN(RADIANS(I36)))</x:f>
        <x:v>44.1996921044198</x:v>
      </x:c>
      <x:c r="K36" s="48" t="n">
        <x:f>(C36/D36)^4</x:f>
        <x:v>0.9700788852794662</x:v>
      </x:c>
      <x:c r="L36" s="48" t="n">
        <x:f>10*LOG10(K36)</x:f>
        <x:v>-0.131929481579036</x:v>
      </x:c>
      <x:c r="M36" s="48" t="n">
        <x:f>2*(Inputs!$C$9/(Inputs!$C$10^2))*A36</x:f>
        <x:v>-0.09555555555555556</x:v>
      </x:c>
      <x:c r="N36" s="48" t="n">
        <x:f>M36*Inputs!$C$11</x:f>
        <x:v>-0.38222222222222224</x:v>
      </x:c>
      <x:c r="O36" s="48" t="n">
        <x:f>1000*((A36*Inputs!$C$11)+(B36*N36))/D36</x:f>
        <x:v>-803.8965686283021</x:v>
      </x:c>
      <x:c r="P36" s="48" t="n">
        <x:f>-2*O36/Inputs!$C$13</x:f>
        <x:v>321.55862745132083</x:v>
      </x:c>
      <x:c r="Q36" s="48" t="n">
        <x:f>-2*O36/Inputs!$C$14</x:f>
        <x:v>48.282076193892024</x:v>
      </x:c>
      <x:c r="R36" s="48" t="n">
        <x:f>F36-Inputs!$C$16/2</x:f>
        <x:v>1706.9184540215401</x:v>
      </x:c>
      <x:c r="S36" s="48" t="n">
        <x:f>F36+Inputs!$C$16/2</x:f>
        <x:v>1736.9184540215401</x:v>
      </x:c>
      <x:c r="T36" s="48" t="n">
        <x:f>F36-Inputs!$C$17/2</x:f>
        <x:v>1571.9184540215401</x:v>
      </x:c>
      <x:c r="U36" s="48" t="n">
        <x:f>F36+Inputs!$C$17/2</x:f>
        <x:v>1871.9184540215401</x:v>
      </x:c>
      <x:c r="V36" s="48" t="n">
        <x:f>ABS(P36)</x:f>
        <x:v>321.55862745132083</x:v>
      </x:c>
      <x:c r="W36" s="48" t="n">
        <x:f>ABS(Q36)</x:f>
        <x:v>48.282076193892024</x:v>
      </x:c>
      <x:c r="X36" s="48" t="n">
        <x: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(0.45*SIN(2*PI()*(((A36)/Inputs!$C$49)+Inputs!$C$47*0.137))+0.35*COS(2*PI()*(((0)/Inputs!$C$50)+Inputs!$C$47*0.173))+0.20*SIN(2*PI()*(((A36)+(0))/(0.5*(Inputs!$C$49+Inputs!$C$50))+Inputs!$C$47*0.097)))+0.30*(2*((SIN(((A36)*12.9898+(0)*78.233+Inputs!$C$47*37.719))*43758.5453)-INT((SIN(((A36)*12.9898+(0)*78.233+Inputs!$C$47*37.719))*43758.5453)))-1)))</x:f>
        <x:v>3.69479063881065</x:v>
      </x:c>
      <x:c r="Y36" s="48" t="n">
        <x: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(0.45*SIN(2*PI()*(((A36)/Inputs!$C$49)+Inputs!$C$47*0.137))+0.35*COS(2*PI()*(((Inputs!$C$6)/Inputs!$C$50)+Inputs!$C$47*0.173))+0.20*SIN(2*PI()*(((A36)+(Inputs!$C$6))/(0.5*(Inputs!$C$49+Inputs!$C$50))+Inputs!$C$47*0.097)))+0.30*(2*((SIN(((A36)*12.9898+(Inputs!$C$6)*78.233+Inputs!$C$47*37.719))*43758.5453)-INT((SIN(((A36)*12.9898+(Inputs!$C$6)*78.233+Inputs!$C$47*37.719))*43758.5453)))-1)))</x:f>
        <x:v>180.5581841932563</x:v>
      </x:c>
      <x:c r="Z36" s="48" t="n">
        <x:f>B36-X36/1000</x:f>
        <x:v>402.05074965380567</x:v>
      </x:c>
      <x:c r="AA36" s="48" t="n">
        <x:f>SQRT(A36^2+Inputs!$C$6^2+(B36-Y36/1000)^2)</x:f>
        <x:v>404.94026776540426</x:v>
      </x:c>
      <x:c r="AB36" s="48" t="n">
        <x:f>(AA36-Z36)*1000</x:f>
        <x:v>2889.5181115985906</x:v>
      </x:c>
      <x:c r="AC36" s="48" t="n">
        <x:f>AB36/Inputs!$C$12</x:f>
        <x:v>1623.324781796961</x:v>
      </x:c>
      <x:c r="AD36" s="48" t="n">
        <x:f>2*AB36/Inputs!$C$21*1000000</x:f>
        <x:v>19.276789889081137</x:v>
      </x:c>
      <x:c r="AE36" s="48" t="n">
        <x:f>DEGREES(ATAN(H36/(B36-Y36/1000)))</x:f>
        <x:v>7.055530562016414</x:v>
      </x:c>
      <x:c r="AF36" s="48" t="n">
        <x:f>DEGREES((2*PI()/Inputs!$C$13)*Inputs!$C$15*SIN(RADIANS(AE36)))</x:f>
        <x:v>44.219251064000694</x:v>
      </x:c>
      <x:c r="AG36" s="48" t="n">
        <x:f>(Z36/AA36)^4</x:f>
        <x:v>0.9717613954026459</x:v>
      </x:c>
      <x:c r="AH36" s="48" t="n">
        <x:f>10*LOG10(AG36)</x:f>
        <x:v>-0.124403578935357</x:v>
      </x:c>
      <x:c r="AI36" s="48" t="n">
        <x:f>AC36-F36</x:f>
        <x:v>-98.59367222457922</x:v>
      </x:c>
      <x:c r="AJ36" s="48" t="n">
        <x:f>AD36-G36</x:f>
        <x:v>-1.1707882028156327</x:v>
      </x:c>
      <x:c r="AK36" s="48" t="n">
        <x:f>Y36-X36</x:f>
        <x:v>176.86339355444565</x:v>
      </x:c>
      <x:c r="AL36" s="48" t="n">
        <x:f>1000*(AA37-AA35)/(A37-A35)*Inputs!$C$11</x:f>
        <x:v>-688.5024309808614</x:v>
      </x:c>
      <x:c r="AM36" s="48" t="n">
        <x:f>-2*AL36/Inputs!$C$13</x:f>
        <x:v>275.40097239234456</x:v>
      </x:c>
      <x:c r="AN36" s="48" t="n">
        <x:f>-2*AL36/Inputs!$C$14</x:f>
        <x:v>41.351497356207894</x:v>
      </x:c>
      <x:c r="AO36" s="48" t="n">
        <x:f>ABS(AM36)</x:f>
        <x:v>275.40097239234456</x:v>
      </x:c>
      <x:c r="AP36" s="48" t="n">
        <x:f>ABS(AN36)</x:f>
        <x:v>41.351497356207894</x:v>
      </x:c>
      <x:c r="AQ36" s="48" t="n">
        <x:f>IF(OR(Inputs!$C$27=TRUE,Inputs!$C$27="TRUE",Inputs!$C$27=1),Inputs!$C$46/Inputs!$C$12,0)</x:f>
        <x:v>42.13483146067416</x:v>
      </x:c>
      <x:c r="AR36" s="48" t="n">
        <x:f>AC36-AQ36</x:f>
        <x:v>1581.1899503362868</x:v>
      </x:c>
      <x:c r="AS36" s="48" t="n">
        <x:f>AC36+AQ36</x:f>
        <x:v>1665.459613257635</x:v>
      </x:c>
    </x:row>
    <x:row r="37">
      <x:c r="A37" s="48" t="n">
        <x:f>Inputs!$C$7+35*(Inputs!$C$8-Inputs!$C$7)/240</x:f>
        <x:v>-42.5</x:v>
      </x:c>
      <x:c r="B37" s="48" t="n">
        <x:f>Inputs!$C$5+Inputs!$C$9*(A37/Inputs!$C$10)^2</x:f>
        <x:v>402.00694444444446</x:v>
      </x:c>
      <x:c r="C37" s="48" t="n">
        <x:f>B37</x:f>
        <x:v>402.00694444444446</x:v>
      </x:c>
      <x:c r="D37" s="48" t="n">
        <x:f>SQRT(A37^2+Inputs!$C$6^2+B37^2)</x:f>
        <x:v>405.0195469129344</x:v>
      </x:c>
      <x:c r="E37" s="48" t="n">
        <x:f>(D37-C37)*1000</x:f>
        <x:v>3012.602468489945</x:v>
      </x:c>
      <x:c r="F37" s="48" t="n">
        <x:f>E37/Inputs!$C$12</x:f>
        <x:v>1692.4732969044633</x:v>
      </x:c>
      <x:c r="G37" s="48" t="n">
        <x:f>2*E37/Inputs!$C$21*1000000</x:f>
        <x:v>20.097920331871354</x:v>
      </x:c>
      <x:c r="H37" s="48" t="n">
        <x:f>SQRT(A37^2+Inputs!$C$6^2)</x:f>
        <x:v>49.30770730829005</x:v>
      </x:c>
      <x:c r="I37" s="48" t="n">
        <x:f>DEGREES(ATAN(H37/B37))</x:f>
        <x:v>6.992623032280269</x:v>
      </x:c>
      <x:c r="J37" s="48" t="n">
        <x:f>DEGREES((2*PI()/Inputs!$C$13)*Inputs!$C$15*SIN(RADIANS(I37)))</x:f>
        <x:v>43.82695789939304</x:v>
      </x:c>
      <x:c r="K37" s="48" t="n">
        <x:f>(C37/D37)^4</x:f>
        <x:v>0.9705776523303707</x:v>
      </x:c>
      <x:c r="L37" s="48" t="n">
        <x:f>10*LOG10(K37)</x:f>
        <x:v>-0.12969712589389099</x:v>
      </x:c>
      <x:c r="M37" s="48" t="n">
        <x:f>2*(Inputs!$C$9/(Inputs!$C$10^2))*A37</x:f>
        <x:v>-0.09444444444444444</x:v>
      </x:c>
      <x:c r="N37" s="48" t="n">
        <x:f>M37*Inputs!$C$11</x:f>
        <x:v>-0.37777777777777777</x:v>
      </x:c>
      <x:c r="O37" s="48" t="n">
        <x:f>1000*((A37*Inputs!$C$11)+(B37*N37))/D37</x:f>
        <x:v>-794.7006325416879</x:v>
      </x:c>
      <x:c r="P37" s="48" t="n">
        <x:f>-2*O37/Inputs!$C$13</x:f>
        <x:v>317.88025301667517</x:v>
      </x:c>
      <x:c r="Q37" s="48" t="n">
        <x:f>-2*O37/Inputs!$C$14</x:f>
        <x:v>47.7297677202215</x:v>
      </x:c>
      <x:c r="R37" s="48" t="n">
        <x:f>F37-Inputs!$C$16/2</x:f>
        <x:v>1677.4732969044633</x:v>
      </x:c>
      <x:c r="S37" s="48" t="n">
        <x:f>F37+Inputs!$C$16/2</x:f>
        <x:v>1707.4732969044633</x:v>
      </x:c>
      <x:c r="T37" s="48" t="n">
        <x:f>F37-Inputs!$C$17/2</x:f>
        <x:v>1542.4732969044633</x:v>
      </x:c>
      <x:c r="U37" s="48" t="n">
        <x:f>F37+Inputs!$C$17/2</x:f>
        <x:v>1842.4732969044633</x:v>
      </x:c>
      <x:c r="V37" s="48" t="n">
        <x:f>ABS(P37)</x:f>
        <x:v>317.88025301667517</x:v>
      </x:c>
      <x:c r="W37" s="48" t="n">
        <x:f>ABS(Q37)</x:f>
        <x:v>47.7297677202215</x:v>
      </x:c>
      <x:c r="X37" s="48" t="n">
        <x: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(0.45*SIN(2*PI()*(((A37)/Inputs!$C$49)+Inputs!$C$47*0.137))+0.35*COS(2*PI()*(((0)/Inputs!$C$50)+Inputs!$C$47*0.173))+0.20*SIN(2*PI()*(((A37)+(0))/(0.5*(Inputs!$C$49+Inputs!$C$50))+Inputs!$C$47*0.097)))+0.30*(2*((SIN(((A37)*12.9898+(0)*78.233+Inputs!$C$47*37.719))*43758.5453)-INT((SIN(((A37)*12.9898+(0)*78.233+Inputs!$C$47*37.719))*43758.5453)))-1)))</x:f>
        <x:v>9.477549494288523</x:v>
      </x:c>
      <x:c r="Y37" s="48" t="n">
        <x: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(0.45*SIN(2*PI()*(((A37)/Inputs!$C$49)+Inputs!$C$47*0.137))+0.35*COS(2*PI()*(((Inputs!$C$6)/Inputs!$C$50)+Inputs!$C$47*0.173))+0.20*SIN(2*PI()*(((A37)+(Inputs!$C$6))/(0.5*(Inputs!$C$49+Inputs!$C$50))+Inputs!$C$47*0.097)))+0.30*(2*((SIN(((A37)*12.9898+(Inputs!$C$6)*78.233+Inputs!$C$47*37.719))*43758.5453)-INT((SIN(((A37)*12.9898+(Inputs!$C$6)*78.233+Inputs!$C$47*37.719))*43758.5453)))-1)))</x:f>
        <x:v>181.7291755177202</x:v>
      </x:c>
      <x:c r="Z37" s="48" t="n">
        <x:f>B37-X37/1000</x:f>
        <x:v>401.99746689495015</x:v>
      </x:c>
      <x:c r="AA37" s="48" t="n">
        <x:f>SQRT(A37^2+Inputs!$C$6^2+(B37-Y37/1000)^2)</x:f>
        <x:v>404.83917007364704</x:v>
      </x:c>
      <x:c r="AB37" s="48" t="n">
        <x:f>(AA37-Z37)*1000</x:f>
        <x:v>2841.703178696889</x:v>
      </x:c>
      <x:c r="AC37" s="48" t="n">
        <x:f>AB37/Inputs!$C$12</x:f>
        <x:v>1596.4624599420724</x:v>
      </x:c>
      <x:c r="AD37" s="48" t="n">
        <x:f>2*AB37/Inputs!$C$21*1000000</x:f>
        <x:v>18.957802992474807</x:v>
      </x:c>
      <x:c r="AE37" s="48" t="n">
        <x:f>DEGREES(ATAN(H37/(B37-Y37/1000)))</x:f>
        <x:v>6.995754180229385</x:v>
      </x:c>
      <x:c r="AF37" s="48" t="n">
        <x:f>DEGREES((2*PI()/Inputs!$C$13)*Inputs!$C$15*SIN(RADIANS(AE37)))</x:f>
        <x:v>43.84648508136021</x:v>
      </x:c>
      <x:c r="AG37" s="48" t="n">
        <x:f>(Z37/AA37)^4</x:f>
        <x:v>0.9722168916460394</x:v>
      </x:c>
      <x:c r="AH37" s="48" t="n">
        <x:f>10*LOG10(AG37)</x:f>
        <x:v>-0.12236837607355999</x:v>
      </x:c>
      <x:c r="AI37" s="48" t="n">
        <x:f>AC37-F37</x:f>
        <x:v>-96.01083696239084</x:v>
      </x:c>
      <x:c r="AJ37" s="48" t="n">
        <x:f>AD37-G37</x:f>
        <x:v>-1.1401173393965465</x:v>
      </x:c>
      <x:c r="AK37" s="48" t="n">
        <x:f>Y37-X37</x:f>
        <x:v>172.25162602343167</x:v>
      </x:c>
      <x:c r="AL37" s="48" t="n">
        <x:f>1000*(AA38-AA36)/(A38-A36)*Inputs!$C$11</x:f>
        <x:v>-755.4537118185181</x:v>
      </x:c>
      <x:c r="AM37" s="48" t="n">
        <x:f>-2*AL37/Inputs!$C$13</x:f>
        <x:v>302.1814847274072</x:v>
      </x:c>
      <x:c r="AN37" s="48" t="n">
        <x:f>-2*AL37/Inputs!$C$14</x:f>
        <x:v>45.372595304415505</x:v>
      </x:c>
      <x:c r="AO37" s="48" t="n">
        <x:f>ABS(AM37)</x:f>
        <x:v>302.1814847274072</x:v>
      </x:c>
      <x:c r="AP37" s="48" t="n">
        <x:f>ABS(AN37)</x:f>
        <x:v>45.372595304415505</x:v>
      </x:c>
      <x:c r="AQ37" s="48" t="n">
        <x:f>IF(OR(Inputs!$C$27=TRUE,Inputs!$C$27="TRUE",Inputs!$C$27=1),Inputs!$C$46/Inputs!$C$12,0)</x:f>
        <x:v>42.13483146067416</x:v>
      </x:c>
      <x:c r="AR37" s="48" t="n">
        <x:f>AC37-AQ37</x:f>
        <x:v>1554.3276284813983</x:v>
      </x:c>
      <x:c r="AS37" s="48" t="n">
        <x:f>AC37+AQ37</x:f>
        <x:v>1638.5972914027466</x:v>
      </x:c>
    </x:row>
    <x:row r="38">
      <x:c r="A38" s="48" t="n">
        <x:f>Inputs!$C$7+36*(Inputs!$C$8-Inputs!$C$7)/240</x:f>
        <x:v>-42</x:v>
      </x:c>
      <x:c r="B38" s="48" t="n">
        <x:f>Inputs!$C$5+Inputs!$C$9*(A38/Inputs!$C$10)^2</x:f>
        <x:v>401.96</x:v>
      </x:c>
      <x:c r="C38" s="48" t="n">
        <x:f>B38</x:f>
        <x:v>401.96</x:v>
      </x:c>
      <x:c r="D38" s="48" t="n">
        <x:f>SQRT(A38^2+Inputs!$C$6^2+B38^2)</x:f>
        <x:v>404.920784351705</x:v>
      </x:c>
      <x:c r="E38" s="48" t="n">
        <x:f>(D38-C38)*1000</x:f>
        <x:v>2960.7843517050014</x:v>
      </x:c>
      <x:c r="F38" s="48" t="n">
        <x:f>E38/Inputs!$C$12</x:f>
        <x:v>1663.3619953398884</x:v>
      </x:c>
      <x:c r="G38" s="48" t="n">
        <x:f>2*E38/Inputs!$C$21*1000000</x:f>
        <x:v>19.75222706706652</x:v>
      </x:c>
      <x:c r="H38" s="48" t="n">
        <x:f>SQRT(A38^2+Inputs!$C$6^2)</x:f>
        <x:v>48.877397639399746</x:v>
      </x:c>
      <x:c r="I38" s="48" t="n">
        <x:f>DEGREES(ATAN(H38/B38))</x:f>
        <x:v>6.932996321916247</x:v>
      </x:c>
      <x:c r="J38" s="48" t="n">
        <x:f>DEGREES((2*PI()/Inputs!$C$13)*Inputs!$C$15*SIN(RADIANS(I38)))</x:f>
        <x:v>43.45507523985368</x:v>
      </x:c>
      <x:c r="K38" s="48" t="n">
        <x:f>(C38/D38)^4</x:f>
        <x:v>0.971071196606904</x:v>
      </x:c>
      <x:c r="L38" s="48" t="n">
        <x:f>10*LOG10(K38)</x:f>
        <x:v>-0.12748927496753</x:v>
      </x:c>
      <x:c r="M38" s="48" t="n">
        <x:f>2*(Inputs!$C$9/(Inputs!$C$10^2))*A38</x:f>
        <x:v>-0.09333333333333334</x:v>
      </x:c>
      <x:c r="N38" s="48" t="n">
        <x:f>M38*Inputs!$C$11</x:f>
        <x:v>-0.37333333333333335</x:v>
      </x:c>
      <x:c r="O38" s="48" t="n">
        <x:f>1000*((A38*Inputs!$C$11)+(B38*N38))/D38</x:f>
        <x:v>-785.4994827590834</x:v>
      </x:c>
      <x:c r="P38" s="48" t="n">
        <x:f>-2*O38/Inputs!$C$13</x:f>
        <x:v>314.1997931036334</x:v>
      </x:c>
      <x:c r="Q38" s="48" t="n">
        <x:f>-2*O38/Inputs!$C$14</x:f>
        <x:v>47.17714611165667</x:v>
      </x:c>
      <x:c r="R38" s="48" t="n">
        <x:f>F38-Inputs!$C$16/2</x:f>
        <x:v>1648.3619953398884</x:v>
      </x:c>
      <x:c r="S38" s="48" t="n">
        <x:f>F38+Inputs!$C$16/2</x:f>
        <x:v>1678.3619953398884</x:v>
      </x:c>
      <x:c r="T38" s="48" t="n">
        <x:f>F38-Inputs!$C$17/2</x:f>
        <x:v>1513.3619953398884</x:v>
      </x:c>
      <x:c r="U38" s="48" t="n">
        <x:f>F38+Inputs!$C$17/2</x:f>
        <x:v>1813.3619953398884</x:v>
      </x:c>
      <x:c r="V38" s="48" t="n">
        <x:f>ABS(P38)</x:f>
        <x:v>314.1997931036334</x:v>
      </x:c>
      <x:c r="W38" s="48" t="n">
        <x:f>ABS(Q38)</x:f>
        <x:v>47.17714611165667</x:v>
      </x:c>
      <x:c r="X38" s="48" t="n">
        <x: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(0.45*SIN(2*PI()*(((A38)/Inputs!$C$49)+Inputs!$C$47*0.137))+0.35*COS(2*PI()*(((0)/Inputs!$C$50)+Inputs!$C$47*0.173))+0.20*SIN(2*PI()*(((A38)+(0))/(0.5*(Inputs!$C$49+Inputs!$C$50))+Inputs!$C$47*0.097)))+0.30*(2*((SIN(((A38)*12.9898+(0)*78.233+Inputs!$C$47*37.719))*43758.5453)-INT((SIN(((A38)*12.9898+(0)*78.233+Inputs!$C$47*37.719))*43758.5453)))-1)))</x:f>
        <x:v>-8.691303525994272</x:v>
      </x:c>
      <x:c r="Y38" s="48" t="n">
        <x: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(0.45*SIN(2*PI()*(((A38)/Inputs!$C$49)+Inputs!$C$47*0.137))+0.35*COS(2*PI()*(((Inputs!$C$6)/Inputs!$C$50)+Inputs!$C$47*0.173))+0.20*SIN(2*PI()*(((A38)+(Inputs!$C$6))/(0.5*(Inputs!$C$49+Inputs!$C$50))+Inputs!$C$47*0.097)))+0.30*(2*((SIN(((A38)*12.9898+(Inputs!$C$6)*78.233+Inputs!$C$47*37.719))*43758.5453)-INT((SIN(((A38)*12.9898+(Inputs!$C$6)*78.233+Inputs!$C$47*37.719))*43758.5453)))-1)))</x:f>
        <x:v>170.62817299697477</x:v>
      </x:c>
      <x:c r="Z38" s="48" t="n">
        <x:f>B38-X38/1000</x:f>
        <x:v>401.968691303526</x:v>
      </x:c>
      <x:c r="AA38" s="48" t="n">
        <x:f>SQRT(A38^2+Inputs!$C$6^2+(B38-Y38/1000)^2)</x:f>
        <x:v>404.7514043374496</x:v>
      </x:c>
      <x:c r="AB38" s="48" t="n">
        <x:f>(AA38-Z38)*1000</x:f>
        <x:v>2782.713033923642</x:v>
      </x:c>
      <x:c r="AC38" s="48" t="n">
        <x:f>AB38/Inputs!$C$12</x:f>
        <x:v>1563.3219291705852</x:v>
      </x:c>
      <x:c r="AD38" s="48" t="n">
        <x:f>2*AB38/Inputs!$C$21*1000000</x:f>
        <x:v>18.564263107136885</x:v>
      </x:c>
      <x:c r="AE38" s="48" t="n">
        <x:f>DEGREES(ATAN(H38/(B38-Y38/1000)))</x:f>
        <x:v>6.935911888838135</x:v>
      </x:c>
      <x:c r="AF38" s="48" t="n">
        <x:f>DEGREES((2*PI()/Inputs!$C$13)*Inputs!$C$15*SIN(RADIANS(AE38)))</x:f>
        <x:v>43.47326028179477</x:v>
      </x:c>
      <x:c r="AG38" s="48" t="n">
        <x:f>(Z38/AA38)^4</x:f>
        <x:v>0.9727818399612905</x:v>
      </x:c>
      <x:c r="AH38" s="48" t="n">
        <x:f>10*LOG10(AG38)</x:f>
        <x:v>-0.11984545470824501</x:v>
      </x:c>
      <x:c r="AI38" s="48" t="n">
        <x:f>AC38-F38</x:f>
        <x:v>-100.04006616930315</x:v>
      </x:c>
      <x:c r="AJ38" s="48" t="n">
        <x:f>AD38-G38</x:f>
        <x:v>-1.187963959929636</x:v>
      </x:c>
      <x:c r="AK38" s="48" t="n">
        <x:f>Y38-X38</x:f>
        <x:v>179.31947652296904</x:v>
      </x:c>
      <x:c r="AL38" s="48" t="n">
        <x:f>1000*(AA39-AA37)/(A39-A37)*Inputs!$C$11</x:f>
        <x:v>-744.6043461438876</x:v>
      </x:c>
      <x:c r="AM38" s="48" t="n">
        <x:f>-2*AL38/Inputs!$C$13</x:f>
        <x:v>297.84173845755504</x:v>
      </x:c>
      <x:c r="AN38" s="48" t="n">
        <x:f>-2*AL38/Inputs!$C$14</x:f>
        <x:v>44.72098175038364</x:v>
      </x:c>
      <x:c r="AO38" s="48" t="n">
        <x:f>ABS(AM38)</x:f>
        <x:v>297.84173845755504</x:v>
      </x:c>
      <x:c r="AP38" s="48" t="n">
        <x:f>ABS(AN38)</x:f>
        <x:v>44.72098175038364</x:v>
      </x:c>
      <x:c r="AQ38" s="48" t="n">
        <x:f>IF(OR(Inputs!$C$27=TRUE,Inputs!$C$27="TRUE",Inputs!$C$27=1),Inputs!$C$46/Inputs!$C$12,0)</x:f>
        <x:v>42.13483146067416</x:v>
      </x:c>
      <x:c r="AR38" s="48" t="n">
        <x:f>AC38-AQ38</x:f>
        <x:v>1521.187097709911</x:v>
      </x:c>
      <x:c r="AS38" s="48" t="n">
        <x:f>AC38+AQ38</x:f>
        <x:v>1605.4567606312594</x:v>
      </x:c>
    </x:row>
    <x:row r="39">
      <x:c r="A39" s="48" t="n">
        <x:f>Inputs!$C$7+37*(Inputs!$C$8-Inputs!$C$7)/240</x:f>
        <x:v>-41.5</x:v>
      </x:c>
      <x:c r="B39" s="48" t="n">
        <x:f>Inputs!$C$5+Inputs!$C$9*(A39/Inputs!$C$10)^2</x:f>
        <x:v>401.9136111111111</x:v>
      </x:c>
      <x:c r="C39" s="48" t="n">
        <x:f>B39</x:f>
        <x:v>401.9136111111111</x:v>
      </x:c>
      <x:c r="D39" s="48" t="n">
        <x:f>SQRT(A39^2+Inputs!$C$6^2+B39^2)</x:f>
        <x:v>404.8231722571887</x:v>
      </x:c>
      <x:c r="E39" s="48" t="n">
        <x:f>(D39-C39)*1000</x:f>
        <x:v>2909.5611460775785</x:v>
      </x:c>
      <x:c r="F39" s="48" t="n">
        <x:f>E39/Inputs!$C$12</x:f>
        <x:v>1634.5849135267295</x:v>
      </x:c>
      <x:c r="G39" s="48" t="n">
        <x:f>2*E39/Inputs!$C$21*1000000</x:f>
        <x:v>19.410502622301316</x:v>
      </x:c>
      <x:c r="H39" s="48" t="n">
        <x:f>SQRT(A39^2+Inputs!$C$6^2)</x:f>
        <x:v>48.44842618702903</x:v>
      </x:c>
      <x:c r="I39" s="48" t="n">
        <x:f>DEGREES(ATAN(H39/B39))</x:f>
        <x:v>6.873519212930159</x:v>
      </x:c>
      <x:c r="J39" s="48" t="n">
        <x:f>DEGREES((2*PI()/Inputs!$C$13)*Inputs!$C$15*SIN(RADIANS(I39)))</x:f>
        <x:v>43.0840787351217</x:v>
      </x:c>
      <x:c r="K39" s="48" t="n">
        <x:f>(C39/D39)^4</x:f>
        <x:v>0.9715594975681711</x:v>
      </x:c>
      <x:c r="L39" s="48" t="n">
        <x:f>10*LOG10(K39)</x:f>
        <x:v>-0.125305983844946</x:v>
      </x:c>
      <x:c r="M39" s="48" t="n">
        <x:f>2*(Inputs!$C$9/(Inputs!$C$10^2))*A39</x:f>
        <x:v>-0.09222222222222222</x:v>
      </x:c>
      <x:c r="N39" s="48" t="n">
        <x:f>M39*Inputs!$C$11</x:f>
        <x:v>-0.3688888888888889</x:v>
      </x:c>
      <x:c r="O39" s="48" t="n">
        <x:f>1000*((A39*Inputs!$C$11)+(B39*N39))/D39</x:f>
        <x:v>-776.2931743256163</x:v>
      </x:c>
      <x:c r="P39" s="48" t="n">
        <x:f>-2*O39/Inputs!$C$13</x:f>
        <x:v>310.51726973024654</x:v>
      </x:c>
      <x:c r="Q39" s="48" t="n">
        <x:f>-2*O39/Inputs!$C$14</x:f>
        <x:v>46.624214674211196</x:v>
      </x:c>
      <x:c r="R39" s="48" t="n">
        <x:f>F39-Inputs!$C$16/2</x:f>
        <x:v>1619.5849135267295</x:v>
      </x:c>
      <x:c r="S39" s="48" t="n">
        <x:f>F39+Inputs!$C$16/2</x:f>
        <x:v>1649.5849135267295</x:v>
      </x:c>
      <x:c r="T39" s="48" t="n">
        <x:f>F39-Inputs!$C$17/2</x:f>
        <x:v>1484.5849135267295</x:v>
      </x:c>
      <x:c r="U39" s="48" t="n">
        <x:f>F39+Inputs!$C$17/2</x:f>
        <x:v>1784.5849135267295</x:v>
      </x:c>
      <x:c r="V39" s="48" t="n">
        <x:f>ABS(P39)</x:f>
        <x:v>310.51726973024654</x:v>
      </x:c>
      <x:c r="W39" s="48" t="n">
        <x:f>ABS(Q39)</x:f>
        <x:v>46.624214674211196</x:v>
      </x:c>
      <x:c r="X39" s="48" t="n">
        <x: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(0.45*SIN(2*PI()*(((A39)/Inputs!$C$49)+Inputs!$C$47*0.137))+0.35*COS(2*PI()*(((0)/Inputs!$C$50)+Inputs!$C$47*0.173))+0.20*SIN(2*PI()*(((A39)+(0))/(0.5*(Inputs!$C$49+Inputs!$C$50))+Inputs!$C$47*0.097)))+0.30*(2*((SIN(((A39)*12.9898+(0)*78.233+Inputs!$C$47*37.719))*43758.5453)-INT((SIN(((A39)*12.9898+(0)*78.233+Inputs!$C$47*37.719))*43758.5453)))-1)))</x:f>
        <x:v>-15.792555414769886</x:v>
      </x:c>
      <x:c r="Y39" s="48" t="n">
        <x: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(0.45*SIN(2*PI()*(((A39)/Inputs!$C$49)+Inputs!$C$47*0.137))+0.35*COS(2*PI()*(((Inputs!$C$6)/Inputs!$C$50)+Inputs!$C$47*0.173))+0.20*SIN(2*PI()*(((A39)+(Inputs!$C$6))/(0.5*(Inputs!$C$49+Inputs!$C$50))+Inputs!$C$47*0.097)))+0.30*(2*((SIN(((A39)*12.9898+(Inputs!$C$6)*78.233+Inputs!$C$47*37.719))*43758.5453)-INT((SIN(((A39)*12.9898+(Inputs!$C$6)*78.233+Inputs!$C$47*37.719))*43758.5453)))-1)))</x:f>
        <x:v>171.38557913735212</x:v>
      </x:c>
      <x:c r="Z39" s="48" t="n">
        <x:f>B39-X39/1000</x:f>
        <x:v>401.92940366652584</x:v>
      </x:c>
      <x:c r="AA39" s="48" t="n">
        <x:f>SQRT(A39^2+Inputs!$C$6^2+(B39-Y39/1000)^2)</x:f>
        <x:v>404.65301898711107</x:v>
      </x:c>
      <x:c r="AB39" s="48" t="n">
        <x:f>(AA39-Z39)*1000</x:f>
        <x:v>2723.6153205852247</x:v>
      </x:c>
      <x:c r="AC39" s="48" t="n">
        <x:f>AB39/Inputs!$C$12</x:f>
        <x:v>1530.1209666209127</x:v>
      </x:c>
      <x:c r="AD39" s="48" t="n">
        <x:f>2*AB39/Inputs!$C$21*1000000</x:f>
        <x:v>18.170005601576705</x:v>
      </x:c>
      <x:c r="AE39" s="48" t="n">
        <x:f>DEGREES(ATAN(H39/(B39-Y39/1000)))</x:f>
        <x:v>6.876423425723544</x:v>
      </x:c>
      <x:c r="AF39" s="48" t="n">
        <x:f>DEGREES((2*PI()/Inputs!$C$13)*Inputs!$C$15*SIN(RADIANS(AE39)))</x:f>
        <x:v>43.10219523627474</x:v>
      </x:c>
      <x:c r="AG39" s="48" t="n">
        <x:f>(Z39/AA39)^4</x:f>
        <x:v>0.9733476292671499</x:v>
      </x:c>
      <x:c r="AH39" s="48" t="n">
        <x:f>10*LOG10(AG39)</x:f>
        <x:v>-0.117320245730501</x:v>
      </x:c>
      <x:c r="AI39" s="48" t="n">
        <x:f>AC39-F39</x:f>
        <x:v>-104.46394690581678</x:v>
      </x:c>
      <x:c r="AJ39" s="48" t="n">
        <x:f>AD39-G39</x:f>
        <x:v>-1.2404970207246109</x:v>
      </x:c>
      <x:c r="AK39" s="48" t="n">
        <x:f>Y39-X39</x:f>
        <x:v>187.178134552122</x:v>
      </x:c>
      <x:c r="AL39" s="48" t="n">
        <x:f>1000*(AA40-AA38)/(A40-A38)*Inputs!$C$11</x:f>
        <x:v>-800.4432786897269</x:v>
      </x:c>
      <x:c r="AM39" s="48" t="n">
        <x:f>-2*AL39/Inputs!$C$13</x:f>
        <x:v>320.17731147589075</x:v>
      </x:c>
      <x:c r="AN39" s="48" t="n">
        <x:f>-2*AL39/Inputs!$C$14</x:f>
        <x:v>48.074671392776395</x:v>
      </x:c>
      <x:c r="AO39" s="48" t="n">
        <x:f>ABS(AM39)</x:f>
        <x:v>320.17731147589075</x:v>
      </x:c>
      <x:c r="AP39" s="48" t="n">
        <x:f>ABS(AN39)</x:f>
        <x:v>48.074671392776395</x:v>
      </x:c>
      <x:c r="AQ39" s="48" t="n">
        <x:f>IF(OR(Inputs!$C$27=TRUE,Inputs!$C$27="TRUE",Inputs!$C$27=1),Inputs!$C$46/Inputs!$C$12,0)</x:f>
        <x:v>42.13483146067416</x:v>
      </x:c>
      <x:c r="AR39" s="48" t="n">
        <x:f>AC39-AQ39</x:f>
        <x:v>1487.9861351602385</x:v>
      </x:c>
      <x:c r="AS39" s="48" t="n">
        <x:f>AC39+AQ39</x:f>
        <x:v>1572.2557980815868</x:v>
      </x:c>
    </x:row>
    <x:row r="40">
      <x:c r="A40" s="48" t="n">
        <x:f>Inputs!$C$7+38*(Inputs!$C$8-Inputs!$C$7)/240</x:f>
        <x:v>-41</x:v>
      </x:c>
      <x:c r="B40" s="48" t="n">
        <x:f>Inputs!$C$5+Inputs!$C$9*(A40/Inputs!$C$10)^2</x:f>
        <x:v>401.8677777777778</x:v>
      </x:c>
      <x:c r="C40" s="48" t="n">
        <x:f>B40</x:f>
        <x:v>401.8677777777778</x:v>
      </x:c>
      <x:c r="D40" s="48" t="n">
        <x:f>SQRT(A40^2+Inputs!$C$6^2+B40^2)</x:f>
        <x:v>404.7267112707653</x:v>
      </x:c>
      <x:c r="E40" s="48" t="n">
        <x:f>(D40-C40)*1000</x:f>
        <x:v>2858.9334929874894</x:v>
      </x:c>
      <x:c r="F40" s="48" t="n">
        <x:f>E40/Inputs!$C$12</x:f>
        <x:v>1606.1424117907243</x:v>
      </x:c>
      <x:c r="G40" s="48" t="n">
        <x:f>2*E40/Inputs!$C$21*1000000</x:f>
        <x:v>19.072751276401284</x:v>
      </x:c>
      <x:c r="H40" s="48" t="n">
        <x:f>SQRT(A40^2+Inputs!$C$6^2)</x:f>
        <x:v>48.02082881417188</x:v>
      </x:c>
      <x:c r="I40" s="48" t="n">
        <x:f>DEGREES(ATAN(H40/B40))</x:f>
        <x:v>6.814197296997338</x:v>
      </x:c>
      <x:c r="J40" s="48" t="n">
        <x:f>DEGREES((2*PI()/Inputs!$C$13)*Inputs!$C$15*SIN(RADIANS(I40)))</x:f>
        <x:v>42.71400402217685</x:v>
      </x:c>
      <x:c r="K40" s="48" t="n">
        <x:f>(C40/D40)^4</x:f>
        <x:v>0.9720425348584198</x:v>
      </x:c>
      <x:c r="L40" s="48" t="n">
        <x:f>10*LOG10(K40)</x:f>
        <x:v>-0.123147307011646</x:v>
      </x:c>
      <x:c r="M40" s="48" t="n">
        <x:f>2*(Inputs!$C$9/(Inputs!$C$10^2))*A40</x:f>
        <x:v>-0.09111111111111111</x:v>
      </x:c>
      <x:c r="N40" s="48" t="n">
        <x:f>M40*Inputs!$C$11</x:f>
        <x:v>-0.36444444444444446</x:v>
      </x:c>
      <x:c r="O40" s="48" t="n">
        <x:f>1000*((A40*Inputs!$C$11)+(B40*N40))/D40</x:f>
        <x:v>-767.081762499848</x:v>
      </x:c>
      <x:c r="P40" s="48" t="n">
        <x:f>-2*O40/Inputs!$C$13</x:f>
        <x:v>306.8327049999392</x:v>
      </x:c>
      <x:c r="Q40" s="48" t="n">
        <x:f>-2*O40/Inputs!$C$14</x:f>
        <x:v>46.070976726717596</x:v>
      </x:c>
      <x:c r="R40" s="48" t="n">
        <x:f>F40-Inputs!$C$16/2</x:f>
        <x:v>1591.1424117907243</x:v>
      </x:c>
      <x:c r="S40" s="48" t="n">
        <x:f>F40+Inputs!$C$16/2</x:f>
        <x:v>1621.1424117907243</x:v>
      </x:c>
      <x:c r="T40" s="48" t="n">
        <x:f>F40-Inputs!$C$17/2</x:f>
        <x:v>1456.1424117907243</x:v>
      </x:c>
      <x:c r="U40" s="48" t="n">
        <x:f>F40+Inputs!$C$17/2</x:f>
        <x:v>1756.1424117907243</x:v>
      </x:c>
      <x:c r="V40" s="48" t="n">
        <x:f>ABS(P40)</x:f>
        <x:v>306.8327049999392</x:v>
      </x:c>
      <x:c r="W40" s="48" t="n">
        <x:f>ABS(Q40)</x:f>
        <x:v>46.070976726717596</x:v>
      </x:c>
      <x:c r="X40" s="48" t="n">
        <x: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(0.45*SIN(2*PI()*(((A40)/Inputs!$C$49)+Inputs!$C$47*0.137))+0.35*COS(2*PI()*(((0)/Inputs!$C$50)+Inputs!$C$47*0.173))+0.20*SIN(2*PI()*(((A40)+(0))/(0.5*(Inputs!$C$49+Inputs!$C$50))+Inputs!$C$47*0.097)))+0.30*(2*((SIN(((A40)*12.9898+(0)*78.233+Inputs!$C$47*37.719))*43758.5453)-INT((SIN(((A40)*12.9898+(0)*78.233+Inputs!$C$47*37.719))*43758.5453)))-1)))</x:f>
        <x:v>-17.886266996681616</x:v>
      </x:c>
      <x:c r="Y40" s="48" t="n">
        <x: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(0.45*SIN(2*PI()*(((A40)/Inputs!$C$49)+Inputs!$C$47*0.137))+0.35*COS(2*PI()*(((Inputs!$C$6)/Inputs!$C$50)+Inputs!$C$47*0.173))+0.20*SIN(2*PI()*(((A40)+(Inputs!$C$6))/(0.5*(Inputs!$C$49+Inputs!$C$50))+Inputs!$C$47*0.097)))+0.30*(2*((SIN(((A40)*12.9898+(Inputs!$C$6)*78.233+Inputs!$C$47*37.719))*43758.5453)-INT((SIN(((A40)*12.9898+(Inputs!$C$6)*78.233+Inputs!$C$47*37.719))*43758.5453)))-1)))</x:f>
        <x:v>176.66624192778235</x:v>
      </x:c>
      <x:c r="Z40" s="48" t="n">
        <x:f>B40-X40/1000</x:f>
        <x:v>401.8856640447745</x:v>
      </x:c>
      <x:c r="AA40" s="48" t="n">
        <x:f>SQRT(A40^2+Inputs!$C$6^2+(B40-Y40/1000)^2)</x:f>
        <x:v>404.5512935177772</x:v>
      </x:c>
      <x:c r="AB40" s="48" t="n">
        <x:f>(AA40-Z40)*1000</x:f>
        <x:v>2665.6294730026957</x:v>
      </x:c>
      <x:c r="AC40" s="48" t="n">
        <x:f>AB40/Inputs!$C$12</x:f>
        <x:v>1497.5446477543235</x:v>
      </x:c>
      <x:c r="AD40" s="48" t="n">
        <x:f>2*AB40/Inputs!$C$21*1000000</x:f>
        <x:v>17.78316566591342</x:v>
      </x:c>
      <x:c r="AE40" s="48" t="n">
        <x:f>DEGREES(ATAN(H40/(B40-Y40/1000)))</x:f>
        <x:v>6.817166024888464</x:v>
      </x:c>
      <x:c r="AF40" s="48" t="n">
        <x:f>DEGREES((2*PI()/Inputs!$C$13)*Inputs!$C$15*SIN(RADIANS(AE40)))</x:f>
        <x:v>42.732525269610115</x:v>
      </x:c>
      <x:c r="AG40" s="48" t="n">
        <x:f>(Z40/AA40)^4</x:f>
        <x:v>0.9739029497403239</x:v>
      </x:c>
      <x:c r="AH40" s="48" t="n">
        <x:f>10*LOG10(AG40)</x:f>
        <x:v>-0.114843187807648</x:v>
      </x:c>
      <x:c r="AI40" s="48" t="n">
        <x:f>AC40-F40</x:f>
        <x:v>-108.5977640364008</x:v>
      </x:c>
      <x:c r="AJ40" s="48" t="n">
        <x:f>AD40-G40</x:f>
        <x:v>-1.2895856104878654</x:v>
      </x:c>
      <x:c r="AK40" s="48" t="n">
        <x:f>Y40-X40</x:f>
        <x:v>194.55250892446398</x:v>
      </x:c>
      <x:c r="AL40" s="48" t="n">
        <x:f>1000*(AA41-AA39)/(A41-A39)*Inputs!$C$11</x:f>
        <x:v>-846.14096965106</x:v>
      </x:c>
      <x:c r="AM40" s="48" t="n">
        <x:f>-2*AL40/Inputs!$C$13</x:f>
        <x:v>338.456387860424</x:v>
      </x:c>
      <x:c r="AN40" s="48" t="n">
        <x:f>-2*AL40/Inputs!$C$14</x:f>
        <x:v>50.819277456520126</x:v>
      </x:c>
      <x:c r="AO40" s="48" t="n">
        <x:f>ABS(AM40)</x:f>
        <x:v>338.456387860424</x:v>
      </x:c>
      <x:c r="AP40" s="48" t="n">
        <x:f>ABS(AN40)</x:f>
        <x:v>50.819277456520126</x:v>
      </x:c>
      <x:c r="AQ40" s="48" t="n">
        <x:f>IF(OR(Inputs!$C$27=TRUE,Inputs!$C$27="TRUE",Inputs!$C$27=1),Inputs!$C$46/Inputs!$C$12,0)</x:f>
        <x:v>42.13483146067416</x:v>
      </x:c>
      <x:c r="AR40" s="48" t="n">
        <x:f>AC40-AQ40</x:f>
        <x:v>1455.4098162936493</x:v>
      </x:c>
      <x:c r="AS40" s="48" t="n">
        <x:f>AC40+AQ40</x:f>
        <x:v>1539.6794792149976</x:v>
      </x:c>
    </x:row>
    <x:row r="41">
      <x:c r="A41" s="48" t="n">
        <x:f>Inputs!$C$7+39*(Inputs!$C$8-Inputs!$C$7)/240</x:f>
        <x:v>-40.5</x:v>
      </x:c>
      <x:c r="B41" s="48" t="n">
        <x:f>Inputs!$C$5+Inputs!$C$9*(A41/Inputs!$C$10)^2</x:f>
        <x:v>401.8225</x:v>
      </x:c>
      <x:c r="C41" s="48" t="n">
        <x:f>B41</x:f>
        <x:v>401.8225</x:v>
      </x:c>
      <x:c r="D41" s="48" t="n">
        <x:f>SQRT(A41^2+Inputs!$C$6^2+B41^2)</x:f>
        <x:v>404.6314020268941</x:v>
      </x:c>
      <x:c r="E41" s="48" t="n">
        <x:f>(D41-C41)*1000</x:f>
        <x:v>2808.9020268940885</x:v>
      </x:c>
      <x:c r="F41" s="48" t="n">
        <x:f>E41/Inputs!$C$12</x:f>
        <x:v>1578.0348465697127</x:v>
      </x:c>
      <x:c r="G41" s="48" t="n">
        <x:f>2*E41/Inputs!$C$21*1000000</x:f>
        <x:v>18.73897726202364</x:v>
      </x:c>
      <x:c r="H41" s="48" t="n">
        <x:f>SQRT(A41^2+Inputs!$C$6^2)</x:f>
        <x:v>47.59464255564905</x:v>
      </x:c>
      <x:c r="I41" s="48" t="n">
        <x:f>DEGREES(ATAN(H41/B41))</x:f>
        <x:v>6.755036334683316</x:v>
      </x:c>
      <x:c r="J41" s="48" t="n">
        <x:f>DEGREES((2*PI()/Inputs!$C$13)*Inputs!$C$15*SIN(RADIANS(I41)))</x:f>
        <x:v>42.34488780209607</x:v>
      </x:c>
      <x:c r="K41" s="48" t="n">
        <x:f>(C41/D41)^4</x:f>
        <x:v>0.9725202883089363</x:v>
      </x:c>
      <x:c r="L41" s="48" t="n">
        <x:f>10*LOG10(K41)</x:f>
        <x:v>-0.12101329839055901</x:v>
      </x:c>
      <x:c r="M41" s="48" t="n">
        <x:f>2*(Inputs!$C$9/(Inputs!$C$10^2))*A41</x:f>
        <x:v>-0.09</x:v>
      </x:c>
      <x:c r="N41" s="48" t="n">
        <x:f>M41*Inputs!$C$11</x:f>
        <x:v>-0.36</x:v>
      </x:c>
      <x:c r="O41" s="48" t="n">
        <x:f>1000*((A41*Inputs!$C$11)+(B41*N41))/D41</x:f>
        <x:v>-757.8653027518064</x:v>
      </x:c>
      <x:c r="P41" s="48" t="n">
        <x:f>-2*O41/Inputs!$C$13</x:f>
        <x:v>303.14612110072255</x:v>
      </x:c>
      <x:c r="Q41" s="48" t="n">
        <x:f>-2*O41/Inputs!$C$14</x:f>
        <x:v>45.5174356007091</x:v>
      </x:c>
      <x:c r="R41" s="48" t="n">
        <x:f>F41-Inputs!$C$16/2</x:f>
        <x:v>1563.0348465697127</x:v>
      </x:c>
      <x:c r="S41" s="48" t="n">
        <x:f>F41+Inputs!$C$16/2</x:f>
        <x:v>1593.0348465697127</x:v>
      </x:c>
      <x:c r="T41" s="48" t="n">
        <x:f>F41-Inputs!$C$17/2</x:f>
        <x:v>1428.0348465697127</x:v>
      </x:c>
      <x:c r="U41" s="48" t="n">
        <x:f>F41+Inputs!$C$17/2</x:f>
        <x:v>1728.0348465697127</x:v>
      </x:c>
      <x:c r="V41" s="48" t="n">
        <x:f>ABS(P41)</x:f>
        <x:v>303.14612110072255</x:v>
      </x:c>
      <x:c r="W41" s="48" t="n">
        <x:f>ABS(Q41)</x:f>
        <x:v>45.5174356007091</x:v>
      </x:c>
      <x:c r="X41" s="48" t="n">
        <x: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(0.45*SIN(2*PI()*(((A41)/Inputs!$C$49)+Inputs!$C$47*0.137))+0.35*COS(2*PI()*(((0)/Inputs!$C$50)+Inputs!$C$47*0.173))+0.20*SIN(2*PI()*(((A41)+(0))/(0.5*(Inputs!$C$49+Inputs!$C$50))+Inputs!$C$47*0.097)))+0.30*(2*((SIN(((A41)*12.9898+(0)*78.233+Inputs!$C$47*37.719))*43758.5453)-INT((SIN(((A41)*12.9898+(0)*78.233+Inputs!$C$47*37.719))*43758.5453)))-1)))</x:f>
        <x:v>-15.042977474303433</x:v>
      </x:c>
      <x:c r="Y41" s="48" t="n">
        <x: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(0.45*SIN(2*PI()*(((A41)/Inputs!$C$49)+Inputs!$C$47*0.137))+0.35*COS(2*PI()*(((Inputs!$C$6)/Inputs!$C$50)+Inputs!$C$47*0.173))+0.20*SIN(2*PI()*(((A41)+(Inputs!$C$6))/(0.5*(Inputs!$C$49+Inputs!$C$50))+Inputs!$C$47*0.097)))+0.30*(2*((SIN(((A41)*12.9898+(Inputs!$C$6)*78.233+Inputs!$C$47*37.719))*43758.5453)-INT((SIN(((A41)*12.9898+(Inputs!$C$6)*78.233+Inputs!$C$47*37.719))*43758.5453)))-1)))</x:f>
        <x:v>191.24651788731785</x:v>
      </x:c>
      <x:c r="Z41" s="48" t="n">
        <x:f>B41-X41/1000</x:f>
        <x:v>401.8375429774743</x:v>
      </x:c>
      <x:c r="AA41" s="48" t="n">
        <x:f>SQRT(A41^2+Inputs!$C$6^2+(B41-Y41/1000)^2)</x:f>
        <x:v>404.4414837446983</x:v>
      </x:c>
      <x:c r="AB41" s="48" t="n">
        <x:f>(AA41-Z41)*1000</x:f>
        <x:v>2603.940767224003</x:v>
      </x:c>
      <x:c r="AC41" s="48" t="n">
        <x:f>AB41/Inputs!$C$12</x:f>
        <x:v>1462.888071474159</x:v>
      </x:c>
      <x:c r="AD41" s="48" t="n">
        <x:f>2*AB41/Inputs!$C$21*1000000</x:f>
        <x:v>17.37162291937313</x:v>
      </x:c>
      <x:c r="AE41" s="48" t="n">
        <x:f>DEGREES(ATAN(H41/(B41-Y41/1000)))</x:f>
        <x:v>6.758223165145757</x:v>
      </x:c>
      <x:c r="AF41" s="48" t="n">
        <x:f>DEGREES((2*PI()/Inputs!$C$13)*Inputs!$C$15*SIN(RADIANS(AE41)))</x:f>
        <x:v>42.36477218259207</x:v>
      </x:c>
      <x:c r="AG41" s="48" t="n">
        <x:f>(Z41/AA41)^4</x:f>
        <x:v>0.9744942003603294</x:v>
      </x:c>
      <x:c r="AH41" s="48" t="n">
        <x:f>10*LOG10(AG41)</x:f>
        <x:v>-0.112207412143957</x:v>
      </x:c>
      <x:c r="AI41" s="48" t="n">
        <x:f>AC41-F41</x:f>
        <x:v>-115.14677509555372</x:v>
      </x:c>
      <x:c r="AJ41" s="48" t="n">
        <x:f>AD41-G41</x:f>
        <x:v>-1.3673543426505077</x:v>
      </x:c>
      <x:c r="AK41" s="48" t="n">
        <x:f>Y41-X41</x:f>
        <x:v>206.28949536162128</x:v>
      </x:c>
      <x:c r="AL41" s="48" t="n">
        <x:f>1000*(AA42-AA40)/(A42-A40)*Inputs!$C$11</x:f>
        <x:v>-841.4597833323114</x:v>
      </x:c>
      <x:c r="AM41" s="48" t="n">
        <x:f>-2*AL41/Inputs!$C$13</x:f>
        <x:v>336.58391333292457</x:v>
      </x:c>
      <x:c r="AN41" s="48" t="n">
        <x:f>-2*AL41/Inputs!$C$14</x:f>
        <x:v>50.53812512506375</x:v>
      </x:c>
      <x:c r="AO41" s="48" t="n">
        <x:f>ABS(AM41)</x:f>
        <x:v>336.58391333292457</x:v>
      </x:c>
      <x:c r="AP41" s="48" t="n">
        <x:f>ABS(AN41)</x:f>
        <x:v>50.53812512506375</x:v>
      </x:c>
      <x:c r="AQ41" s="48" t="n">
        <x:f>IF(OR(Inputs!$C$27=TRUE,Inputs!$C$27="TRUE",Inputs!$C$27=1),Inputs!$C$46/Inputs!$C$12,0)</x:f>
        <x:v>42.13483146067416</x:v>
      </x:c>
      <x:c r="AR41" s="48" t="n">
        <x:f>AC41-AQ41</x:f>
        <x:v>1420.7532400134849</x:v>
      </x:c>
      <x:c r="AS41" s="48" t="n">
        <x:f>AC41+AQ41</x:f>
        <x:v>1505.0229029348332</x:v>
      </x:c>
    </x:row>
    <x:row r="42">
      <x:c r="A42" s="48" t="n">
        <x:f>Inputs!$C$7+40*(Inputs!$C$8-Inputs!$C$7)/240</x:f>
        <x:v>-40</x:v>
      </x:c>
      <x:c r="B42" s="48" t="n">
        <x:f>Inputs!$C$5+Inputs!$C$9*(A42/Inputs!$C$10)^2</x:f>
        <x:v>401.77777777777777</x:v>
      </x:c>
      <x:c r="C42" s="48" t="n">
        <x:f>B42</x:f>
        <x:v>401.77777777777777</x:v>
      </x:c>
      <x:c r="D42" s="48" t="n">
        <x:f>SQRT(A42^2+Inputs!$C$6^2+B42^2)</x:f>
        <x:v>404.5372451530877</x:v>
      </x:c>
      <x:c r="E42" s="48" t="n">
        <x:f>(D42-C42)*1000</x:f>
        <x:v>2759.467375309953</x:v>
      </x:c>
      <x:c r="F42" s="48" t="n">
        <x:f>E42/Inputs!$C$12</x:f>
        <x:v>1550.26257039885</x:v>
      </x:c>
      <x:c r="G42" s="48" t="n">
        <x:f>2*E42/Inputs!$C$21*1000000</x:f>
        <x:v>18.40918476548168</x:v>
      </x:c>
      <x:c r="H42" s="48" t="n">
        <x:f>SQRT(A42^2+Inputs!$C$6^2)</x:f>
        <x:v>47.16990566028302</x:v>
      </x:c>
      <x:c r="I42" s="48" t="n">
        <x:f>DEGREES(ATAN(H42/B42))</x:f>
        <x:v>6.696042261456512</x:v>
      </x:c>
      <x:c r="J42" s="48" t="n">
        <x:f>DEGREES((2*PI()/Inputs!$C$13)*Inputs!$C$15*SIN(RADIANS(I42)))</x:f>
        <x:v>41.976767877765525</x:v>
      </x:c>
      <x:c r="K42" s="48" t="n">
        <x:f>(C42/D42)^4</x:f>
        <x:v>0.9729927379399279</x:v>
      </x:c>
      <x:c r="L42" s="48" t="n">
        <x:f>10*LOG10(K42)</x:f>
        <x:v>-0.11890401133895</x:v>
      </x:c>
      <x:c r="M42" s="48" t="n">
        <x:f>2*(Inputs!$C$9/(Inputs!$C$10^2))*A42</x:f>
        <x:v>-0.08888888888888889</x:v>
      </x:c>
      <x:c r="N42" s="48" t="n">
        <x:f>M42*Inputs!$C$11</x:f>
        <x:v>-0.35555555555555557</x:v>
      </x:c>
      <x:c r="O42" s="48" t="n">
        <x:f>1000*((A42*Inputs!$C$11)+(B42*N42))/D42</x:f>
        <x:v>-748.6438507610001</x:v>
      </x:c>
      <x:c r="P42" s="48" t="n">
        <x:f>-2*O42/Inputs!$C$13</x:f>
        <x:v>299.4575403044</x:v>
      </x:c>
      <x:c r="Q42" s="48" t="n">
        <x:f>-2*O42/Inputs!$C$14</x:f>
        <x:v>44.96359464030031</x:v>
      </x:c>
      <x:c r="R42" s="48" t="n">
        <x:f>F42-Inputs!$C$16/2</x:f>
        <x:v>1535.26257039885</x:v>
      </x:c>
      <x:c r="S42" s="48" t="n">
        <x:f>F42+Inputs!$C$16/2</x:f>
        <x:v>1565.26257039885</x:v>
      </x:c>
      <x:c r="T42" s="48" t="n">
        <x:f>F42-Inputs!$C$17/2</x:f>
        <x:v>1400.26257039885</x:v>
      </x:c>
      <x:c r="U42" s="48" t="n">
        <x:f>F42+Inputs!$C$17/2</x:f>
        <x:v>1700.26257039885</x:v>
      </x:c>
      <x:c r="V42" s="48" t="n">
        <x:f>ABS(P42)</x:f>
        <x:v>299.4575403044</x:v>
      </x:c>
      <x:c r="W42" s="48" t="n">
        <x:f>ABS(Q42)</x:f>
        <x:v>44.96359464030031</x:v>
      </x:c>
      <x:c r="X42" s="48" t="n">
        <x: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(0.45*SIN(2*PI()*(((A42)/Inputs!$C$49)+Inputs!$C$47*0.137))+0.35*COS(2*PI()*(((0)/Inputs!$C$50)+Inputs!$C$47*0.173))+0.20*SIN(2*PI()*(((A42)+(0))/(0.5*(Inputs!$C$49+Inputs!$C$50))+Inputs!$C$47*0.097)))+0.30*(2*((SIN(((A42)*12.9898+(0)*78.233+Inputs!$C$47*37.719))*43758.5453)-INT((SIN(((A42)*12.9898+(0)*78.233+Inputs!$C$47*37.719))*43758.5453)))-1)))</x:f>
        <x:v>-31.231711064274894</x:v>
      </x:c>
      <x:c r="Y42" s="48" t="n">
        <x: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(0.45*SIN(2*PI()*(((A42)/Inputs!$C$49)+Inputs!$C$47*0.137))+0.35*COS(2*PI()*(((Inputs!$C$6)/Inputs!$C$50)+Inputs!$C$47*0.173))+0.20*SIN(2*PI()*(((A42)+(Inputs!$C$6))/(0.5*(Inputs!$C$49+Inputs!$C$50))+Inputs!$C$47*0.097)))+0.30*(2*((SIN(((A42)*12.9898+(Inputs!$C$6)*78.233+Inputs!$C$47*37.719))*43758.5453)-INT((SIN(((A42)*12.9898+(Inputs!$C$6)*78.233+Inputs!$C$47*37.719))*43758.5453)))-1)))</x:f>
        <x:v>197.66557297497732</x:v>
      </x:c>
      <x:c r="Z42" s="48" t="n">
        <x:f>B42-X42/1000</x:f>
        <x:v>401.80900948884204</x:v>
      </x:c>
      <x:c r="AA42" s="48" t="n">
        <x:f>SQRT(A42^2+Inputs!$C$6^2+(B42-Y42/1000)^2)</x:f>
        <x:v>404.3409285719441</x:v>
      </x:c>
      <x:c r="AB42" s="48" t="n">
        <x:f>(AA42-Z42)*1000</x:f>
        <x:v>2531.919083102082</x:v>
      </x:c>
      <x:c r="AC42" s="48" t="n">
        <x:f>AB42/Inputs!$C$12</x:f>
        <x:v>1422.426451180945</x:v>
      </x:c>
      <x:c r="AD42" s="48" t="n">
        <x:f>2*AB42/Inputs!$C$21*1000000</x:f>
        <x:v>16.891145961397612</x:v>
      </x:c>
      <x:c r="AE42" s="48" t="n">
        <x:f>DEGREES(ATAN(H42/(B42-Y42/1000)))</x:f>
        <x:v>6.699308233472451</x:v>
      </x:c>
      <x:c r="AF42" s="48" t="n">
        <x:f>DEGREES((2*PI()/Inputs!$C$13)*Inputs!$C$15*SIN(RADIANS(AE42)))</x:f>
        <x:v>41.997148539170055</x:v>
      </x:c>
      <x:c r="AG42" s="48" t="n">
        <x:f>(Z42/AA42)^4</x:f>
        <x:v>0.9751869146840836</x:v>
      </x:c>
      <x:c r="AH42" s="48" t="n">
        <x:f>10*LOG10(AG42)</x:f>
        <x:v>-0.10912134828788</x:v>
      </x:c>
      <x:c r="AI42" s="48" t="n">
        <x:f>AC42-F42</x:f>
        <x:v>-127.83611921790498</x:v>
      </x:c>
      <x:c r="AJ42" s="48" t="n">
        <x:f>AD42-G42</x:f>
        <x:v>-1.5180388040840676</x:v>
      </x:c>
      <x:c r="AK42" s="48" t="n">
        <x:f>Y42-X42</x:f>
        <x:v>228.8972840392522</x:v>
      </x:c>
      <x:c r="AL42" s="48" t="n">
        <x:f>1000*(AA43-AA41)/(A43-A41)*Inputs!$C$11</x:f>
        <x:v>-787.5063699250404</x:v>
      </x:c>
      <x:c r="AM42" s="48" t="n">
        <x:f>-2*AL42/Inputs!$C$13</x:f>
        <x:v>315.00254797001617</x:v>
      </x:c>
      <x:c r="AN42" s="48" t="n">
        <x:f>-2*AL42/Inputs!$C$14</x:f>
        <x:v>47.29767987537781</x:v>
      </x:c>
      <x:c r="AO42" s="48" t="n">
        <x:f>ABS(AM42)</x:f>
        <x:v>315.00254797001617</x:v>
      </x:c>
      <x:c r="AP42" s="48" t="n">
        <x:f>ABS(AN42)</x:f>
        <x:v>47.29767987537781</x:v>
      </x:c>
      <x:c r="AQ42" s="48" t="n">
        <x:f>IF(OR(Inputs!$C$27=TRUE,Inputs!$C$27="TRUE",Inputs!$C$27=1),Inputs!$C$46/Inputs!$C$12,0)</x:f>
        <x:v>42.13483146067416</x:v>
      </x:c>
      <x:c r="AR42" s="48" t="n">
        <x:f>AC42-AQ42</x:f>
        <x:v>1380.2916197202708</x:v>
      </x:c>
      <x:c r="AS42" s="48" t="n">
        <x:f>AC42+AQ42</x:f>
        <x:v>1464.561282641619</x:v>
      </x:c>
    </x:row>
    <x:row r="43">
      <x:c r="A43" s="48" t="n">
        <x:f>Inputs!$C$7+41*(Inputs!$C$8-Inputs!$C$7)/240</x:f>
        <x:v>-39.5</x:v>
      </x:c>
      <x:c r="B43" s="48" t="n">
        <x:f>Inputs!$C$5+Inputs!$C$9*(A43/Inputs!$C$10)^2</x:f>
        <x:v>401.7336111111111</x:v>
      </x:c>
      <x:c r="C43" s="48" t="n">
        <x:f>B43</x:f>
        <x:v>401.7336111111111</x:v>
      </x:c>
      <x:c r="D43" s="48" t="n">
        <x:f>SQRT(A43^2+Inputs!$C$6^2+B43^2)</x:f>
        <x:v>404.4442412698856</x:v>
      </x:c>
      <x:c r="E43" s="48" t="n">
        <x:f>(D43-C43)*1000</x:f>
        <x:v>2710.6301587745065</x:v>
      </x:c>
      <x:c r="F43" s="48" t="n">
        <x:f>E43/Inputs!$C$12</x:f>
        <x:v>1522.82593189579</x:v>
      </x:c>
      <x:c r="G43" s="48" t="n">
        <x:f>2*E43/Inputs!$C$21*1000000</x:f>
        <x:v>18.08337792656883</x:v>
      </x:c>
      <x:c r="H43" s="48" t="n">
        <x:f>SQRT(A43^2+Inputs!$C$6^2)</x:f>
        <x:v>46.74665763453041</x:v>
      </x:c>
      <x:c r="I43" s="48" t="n">
        <x:f>DEGREES(ATAN(H43/B43))</x:f>
        <x:v>6.637221193908625</x:v>
      </x:c>
      <x:c r="J43" s="48" t="n">
        <x:f>DEGREES((2*PI()/Inputs!$C$13)*Inputs!$C$15*SIN(RADIANS(I43)))</x:f>
        <x:v>41.609683192895545</x:v>
      </x:c>
      <x:c r="K43" s="48" t="n">
        <x:f>(C43/D43)^4</x:f>
        <x:v>0.9734598639623986</x:v>
      </x:c>
      <x:c r="L43" s="48" t="n">
        <x:f>10*LOG10(K43)</x:f>
        <x:v>-0.116819498645356</x:v>
      </x:c>
      <x:c r="M43" s="48" t="n">
        <x:f>2*(Inputs!$C$9/(Inputs!$C$10^2))*A43</x:f>
        <x:v>-0.08777777777777777</x:v>
      </x:c>
      <x:c r="N43" s="48" t="n">
        <x:f>M43*Inputs!$C$11</x:f>
        <x:v>-0.3511111111111111</x:v>
      </x:c>
      <x:c r="O43" s="48" t="n">
        <x:f>1000*((A43*Inputs!$C$11)+(B43*N43))/D43</x:f>
        <x:v>-739.4174624144125</x:v>
      </x:c>
      <x:c r="P43" s="48" t="n">
        <x:f>-2*O43/Inputs!$C$13</x:f>
        <x:v>295.766984965765</x:v>
      </x:c>
      <x:c r="Q43" s="48" t="n">
        <x:f>-2*O43/Inputs!$C$14</x:f>
        <x:v>44.40945720206682</x:v>
      </x:c>
      <x:c r="R43" s="48" t="n">
        <x:f>F43-Inputs!$C$16/2</x:f>
        <x:v>1507.82593189579</x:v>
      </x:c>
      <x:c r="S43" s="48" t="n">
        <x:f>F43+Inputs!$C$16/2</x:f>
        <x:v>1537.82593189579</x:v>
      </x:c>
      <x:c r="T43" s="48" t="n">
        <x:f>F43-Inputs!$C$17/2</x:f>
        <x:v>1372.82593189579</x:v>
      </x:c>
      <x:c r="U43" s="48" t="n">
        <x:f>F43+Inputs!$C$17/2</x:f>
        <x:v>1672.82593189579</x:v>
      </x:c>
      <x:c r="V43" s="48" t="n">
        <x:f>ABS(P43)</x:f>
        <x:v>295.766984965765</x:v>
      </x:c>
      <x:c r="W43" s="48" t="n">
        <x:f>ABS(Q43)</x:f>
        <x:v>44.40945720206682</x:v>
      </x:c>
      <x:c r="X43" s="48" t="n">
        <x: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(0.45*SIN(2*PI()*(((A43)/Inputs!$C$49)+Inputs!$C$47*0.137))+0.35*COS(2*PI()*(((0)/Inputs!$C$50)+Inputs!$C$47*0.173))+0.20*SIN(2*PI()*(((A43)+(0))/(0.5*(Inputs!$C$49+Inputs!$C$50))+Inputs!$C$47*0.097)))+0.30*(2*((SIN(((A43)*12.9898+(0)*78.233+Inputs!$C$47*37.719))*43758.5453)-INT((SIN(((A43)*12.9898+(0)*78.233+Inputs!$C$47*37.719))*43758.5453)))-1)))</x:f>
        <x:v>-33.241151326098546</x:v>
      </x:c>
      <x:c r="Y43" s="48" t="n">
        <x: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(0.45*SIN(2*PI()*(((A43)/Inputs!$C$49)+Inputs!$C$47*0.137))+0.35*COS(2*PI()*(((Inputs!$C$6)/Inputs!$C$50)+Inputs!$C$47*0.173))+0.20*SIN(2*PI()*(((A43)+(Inputs!$C$6))/(0.5*(Inputs!$C$49+Inputs!$C$50))+Inputs!$C$47*0.097)))+0.30*(2*((SIN(((A43)*12.9898+(Inputs!$C$6)*78.233+Inputs!$C$47*37.719))*43758.5453)-INT((SIN(((A43)*12.9898+(Inputs!$C$6)*78.233+Inputs!$C$47*37.719))*43758.5453)))-1)))</x:f>
        <x:v>200.98178735327417</x:v>
      </x:c>
      <x:c r="Z43" s="48" t="n">
        <x:f>B43-X43/1000</x:f>
        <x:v>401.76685226243717</x:v>
      </x:c>
      <x:c r="AA43" s="48" t="n">
        <x:f>SQRT(A43^2+Inputs!$C$6^2+(B43-Y43/1000)^2)</x:f>
        <x:v>404.24460715221704</x:v>
      </x:c>
      <x:c r="AB43" s="48" t="n">
        <x:f>(AA43-Z43)*1000</x:f>
        <x:v>2477.754889779874</x:v>
      </x:c>
      <x:c r="AC43" s="48" t="n">
        <x:f>AB43/Inputs!$C$12</x:f>
        <x:v>1391.9971290898168</x:v>
      </x:c>
      <x:c r="AD43" s="48" t="n">
        <x:f>2*AB43/Inputs!$C$21*1000000</x:f>
        <x:v>16.52980135864441</x:v>
      </x:c>
      <x:c r="AE43" s="48" t="n">
        <x:f>DEGREES(ATAN(H43/(B43-Y43/1000)))</x:f>
        <x:v>6.640513703208394</x:v>
      </x:c>
      <x:c r="AF43" s="48" t="n">
        <x:f>DEGREES((2*PI()/Inputs!$C$13)*Inputs!$C$15*SIN(RADIANS(AE43)))</x:f>
        <x:v>41.63023192067994</x:v>
      </x:c>
      <x:c r="AG43" s="48" t="n">
        <x:f>(Z43/AA43)^4</x:f>
        <x:v>0.9757071113255996</x:v>
      </x:c>
      <x:c r="AH43" s="48" t="n">
        <x:f>10*LOG10(AG43)</x:f>
        <x:v>-0.106805296946728</x:v>
      </x:c>
      <x:c r="AI43" s="48" t="n">
        <x:f>AC43-F43</x:f>
        <x:v>-130.82880280597328</x:v>
      </x:c>
      <x:c r="AJ43" s="48" t="n">
        <x:f>AD43-G43</x:f>
        <x:v>-1.55357656792442</x:v>
      </x:c>
      <x:c r="AK43" s="48" t="n">
        <x:f>Y43-X43</x:f>
        <x:v>234.2229386793727</x:v>
      </x:c>
      <x:c r="AL43" s="48" t="n">
        <x:f>1000*(AA44-AA42)/(A44-A42)*Inputs!$C$11</x:f>
        <x:v>-687.4645469949883</x:v>
      </x:c>
      <x:c r="AM43" s="48" t="n">
        <x:f>-2*AL43/Inputs!$C$13</x:f>
        <x:v>274.9858187979953</x:v>
      </x:c>
      <x:c r="AN43" s="48" t="n">
        <x:f>-2*AL43/Inputs!$C$14</x:f>
        <x:v>41.289161981680984</x:v>
      </x:c>
      <x:c r="AO43" s="48" t="n">
        <x:f>ABS(AM43)</x:f>
        <x:v>274.9858187979953</x:v>
      </x:c>
      <x:c r="AP43" s="48" t="n">
        <x:f>ABS(AN43)</x:f>
        <x:v>41.289161981680984</x:v>
      </x:c>
      <x:c r="AQ43" s="48" t="n">
        <x:f>IF(OR(Inputs!$C$27=TRUE,Inputs!$C$27="TRUE",Inputs!$C$27=1),Inputs!$C$46/Inputs!$C$12,0)</x:f>
        <x:v>42.13483146067416</x:v>
      </x:c>
      <x:c r="AR43" s="48" t="n">
        <x:f>AC43-AQ43</x:f>
        <x:v>1349.8622976291426</x:v>
      </x:c>
      <x:c r="AS43" s="48" t="n">
        <x:f>AC43+AQ43</x:f>
        <x:v>1434.131960550491</x:v>
      </x:c>
    </x:row>
    <x:row r="44">
      <x:c r="A44" s="48" t="n">
        <x:f>Inputs!$C$7+42*(Inputs!$C$8-Inputs!$C$7)/240</x:f>
        <x:v>-39</x:v>
      </x:c>
      <x:c r="B44" s="48" t="n">
        <x:f>Inputs!$C$5+Inputs!$C$9*(A44/Inputs!$C$10)^2</x:f>
        <x:v>401.69</x:v>
      </x:c>
      <x:c r="C44" s="48" t="n">
        <x:f>B44</x:f>
        <x:v>401.69</x:v>
      </x:c>
      <x:c r="D44" s="48" t="n">
        <x:f>SQRT(A44^2+Inputs!$C$6^2+B44^2)</x:f>
        <x:v>404.3523909908287</x:v>
      </x:c>
      <x:c r="E44" s="48" t="n">
        <x:f>(D44-C44)*1000</x:f>
        <x:v>2662.390990828726</x:v>
      </x:c>
      <x:c r="F44" s="48" t="n">
        <x:f>E44/Inputs!$C$12</x:f>
        <x:v>1495.7252757464753</x:v>
      </x:c>
      <x:c r="G44" s="48" t="n">
        <x:f>2*E44/Inputs!$C$21*1000000</x:f>
        <x:v>17.76156083838991</x:v>
      </x:c>
      <x:c r="H44" s="48" t="n">
        <x:f>SQRT(A44^2+Inputs!$C$6^2)</x:f>
        <x:v>46.32493928760188</x:v>
      </x:c>
      <x:c r="I44" s="48" t="n">
        <x:f>DEGREES(ATAN(H44/B44))</x:f>
        <x:v>6.57857943618696</x:v>
      </x:c>
      <x:c r="J44" s="48" t="n">
        <x:f>DEGREES((2*PI()/Inputs!$C$13)*Inputs!$C$15*SIN(RADIANS(I44)))</x:f>
        <x:v>41.2436738723648</x:v>
      </x:c>
      <x:c r="K44" s="48" t="n">
        <x:f>(C44/D44)^4</x:f>
        <x:v>0.9739216467800008</x:v>
      </x:c>
      <x:c r="L44" s="48" t="n">
        <x:f>10*LOG10(K44)</x:f>
        <x:v>-0.114759812526585</x:v>
      </x:c>
      <x:c r="M44" s="48" t="n">
        <x:f>2*(Inputs!$C$9/(Inputs!$C$10^2))*A44</x:f>
        <x:v>-0.08666666666666667</x:v>
      </x:c>
      <x:c r="N44" s="48" t="n">
        <x:f>M44*Inputs!$C$11</x:f>
        <x:v>-0.3466666666666667</x:v>
      </x:c>
      <x:c r="O44" s="48" t="n">
        <x:f>1000*((A44*Inputs!$C$11)+(B44*N44))/D44</x:f>
        <x:v>-730.186193804478</x:v>
      </x:c>
      <x:c r="P44" s="48" t="n">
        <x:f>-2*O44/Inputs!$C$13</x:f>
        <x:v>292.0744775217912</x:v>
      </x:c>
      <x:c r="Q44" s="48" t="n">
        <x:f>-2*O44/Inputs!$C$14</x:f>
        <x:v>43.855026654923606</x:v>
      </x:c>
      <x:c r="R44" s="48" t="n">
        <x:f>F44-Inputs!$C$16/2</x:f>
        <x:v>1480.7252757464753</x:v>
      </x:c>
      <x:c r="S44" s="48" t="n">
        <x:f>F44+Inputs!$C$16/2</x:f>
        <x:v>1510.7252757464753</x:v>
      </x:c>
      <x:c r="T44" s="48" t="n">
        <x:f>F44-Inputs!$C$17/2</x:f>
        <x:v>1345.7252757464753</x:v>
      </x:c>
      <x:c r="U44" s="48" t="n">
        <x:f>F44+Inputs!$C$17/2</x:f>
        <x:v>1645.7252757464753</x:v>
      </x:c>
      <x:c r="V44" s="48" t="n">
        <x:f>ABS(P44)</x:f>
        <x:v>292.0744775217912</x:v>
      </x:c>
      <x:c r="W44" s="48" t="n">
        <x:f>ABS(Q44)</x:f>
        <x:v>43.855026654923606</x:v>
      </x:c>
      <x:c r="X44" s="48" t="n">
        <x: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(0.45*SIN(2*PI()*(((A44)/Inputs!$C$49)+Inputs!$C$47*0.137))+0.35*COS(2*PI()*(((0)/Inputs!$C$50)+Inputs!$C$47*0.173))+0.20*SIN(2*PI()*(((A44)+(0))/(0.5*(Inputs!$C$49+Inputs!$C$50))+Inputs!$C$47*0.097)))+0.30*(2*((SIN(((A44)*12.9898+(0)*78.233+Inputs!$C$47*37.719))*43758.5453)-INT((SIN(((A44)*12.9898+(0)*78.233+Inputs!$C$47*37.719))*43758.5453)))-1)))</x:f>
        <x:v>-32.02020136507765</x:v>
      </x:c>
      <x:c r="Y44" s="48" t="n">
        <x: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(0.45*SIN(2*PI()*(((A44)/Inputs!$C$49)+Inputs!$C$47*0.137))+0.35*COS(2*PI()*(((Inputs!$C$6)/Inputs!$C$50)+Inputs!$C$47*0.173))+0.20*SIN(2*PI()*(((A44)+(Inputs!$C$6))/(0.5*(Inputs!$C$49+Inputs!$C$50))+Inputs!$C$47*0.097)))+0.30*(2*((SIN(((A44)*12.9898+(Inputs!$C$6)*78.233+Inputs!$C$47*37.719))*43758.5453)-INT((SIN(((A44)*12.9898+(Inputs!$C$6)*78.233+Inputs!$C$47*37.719))*43758.5453)))-1)))</x:f>
        <x:v>184.54420924136062</x:v>
      </x:c>
      <x:c r="Z44" s="48" t="n">
        <x:f>B44-X44/1000</x:f>
        <x:v>401.72202020136507</x:v>
      </x:c>
      <x:c r="AA44" s="48" t="n">
        <x:f>SQRT(A44^2+Inputs!$C$6^2+(B44-Y44/1000)^2)</x:f>
        <x:v>404.16906243519537</x:v>
      </x:c>
      <x:c r="AB44" s="48" t="n">
        <x:f>(AA44-Z44)*1000</x:f>
        <x:v>2447.0422338303024</x:v>
      </x:c>
      <x:c r="AC44" s="48" t="n">
        <x:f>AB44/Inputs!$C$12</x:f>
        <x:v>1374.7428279945518</x:v>
      </x:c>
      <x:c r="AD44" s="48" t="n">
        <x:f>2*AB44/Inputs!$C$21*1000000</x:f>
        <x:v>16.324908572785393</x:v>
      </x:c>
      <x:c r="AE44" s="48" t="n">
        <x:f>DEGREES(ATAN(H44/(B44-Y44/1000)))</x:f>
        <x:v>6.58157663002577</x:v>
      </x:c>
      <x:c r="AF44" s="48" t="n">
        <x:f>DEGREES((2*PI()/Inputs!$C$13)*Inputs!$C$15*SIN(RADIANS(AE44)))</x:f>
        <x:v>41.26238174454699</x:v>
      </x:c>
      <x:c r="AG44" s="48" t="n">
        <x:f>(Z44/AA44)^4</x:f>
        <x:v>0.9760010491354314</x:v>
      </x:c>
      <x:c r="AH44" s="48" t="n">
        <x:f>10*LOG10(AG44)</x:f>
        <x:v>-0.105497154957224</x:v>
      </x:c>
      <x:c r="AI44" s="48" t="n">
        <x:f>AC44-F44</x:f>
        <x:v>-120.98244775192347</x:v>
      </x:c>
      <x:c r="AJ44" s="48" t="n">
        <x:f>AD44-G44</x:f>
        <x:v>-1.4366522656045184</x:v>
      </x:c>
      <x:c r="AK44" s="48" t="n">
        <x:f>Y44-X44</x:f>
        <x:v>216.56441060643826</x:v>
      </x:c>
      <x:c r="AL44" s="48" t="n">
        <x:f>1000*(AA45-AA43)/(A45-A43)*Inputs!$C$11</x:f>
        <x:v>-772.7079270143804</x:v>
      </x:c>
      <x:c r="AM44" s="48" t="n">
        <x:f>-2*AL44/Inputs!$C$13</x:f>
        <x:v>309.08317080575216</x:v>
      </x:c>
      <x:c r="AN44" s="48" t="n">
        <x:f>-2*AL44/Inputs!$C$14</x:f>
        <x:v>46.4088845053682</x:v>
      </x:c>
      <x:c r="AO44" s="48" t="n">
        <x:f>ABS(AM44)</x:f>
        <x:v>309.08317080575216</x:v>
      </x:c>
      <x:c r="AP44" s="48" t="n">
        <x:f>ABS(AN44)</x:f>
        <x:v>46.4088845053682</x:v>
      </x:c>
      <x:c r="AQ44" s="48" t="n">
        <x:f>IF(OR(Inputs!$C$27=TRUE,Inputs!$C$27="TRUE",Inputs!$C$27=1),Inputs!$C$46/Inputs!$C$12,0)</x:f>
        <x:v>42.13483146067416</x:v>
      </x:c>
      <x:c r="AR44" s="48" t="n">
        <x:f>AC44-AQ44</x:f>
        <x:v>1332.6079965338777</x:v>
      </x:c>
      <x:c r="AS44" s="48" t="n">
        <x:f>AC44+AQ44</x:f>
        <x:v>1416.877659455226</x:v>
      </x:c>
    </x:row>
    <x:row r="45">
      <x:c r="A45" s="48" t="n">
        <x:f>Inputs!$C$7+43*(Inputs!$C$8-Inputs!$C$7)/240</x:f>
        <x:v>-38.5</x:v>
      </x:c>
      <x:c r="B45" s="48" t="n">
        <x:f>Inputs!$C$5+Inputs!$C$9*(A45/Inputs!$C$10)^2</x:f>
        <x:v>401.64694444444444</x:v>
      </x:c>
      <x:c r="C45" s="48" t="n">
        <x:f>B45</x:f>
        <x:v>401.64694444444444</x:v>
      </x:c>
      <x:c r="D45" s="48" t="n">
        <x:f>SQRT(A45^2+Inputs!$C$6^2+B45^2)</x:f>
        <x:v>404.26169492243343</x:v>
      </x:c>
      <x:c r="E45" s="48" t="n">
        <x:f>(D45-C45)*1000</x:f>
        <x:v>2614.7504779889914</x:v>
      </x:c>
      <x:c r="F45" s="48" t="n">
        <x:f>E45/Inputs!$C$12</x:f>
        <x:v>1468.9609426904447</x:v>
      </x:c>
      <x:c r="G45" s="48" t="n">
        <x:f>2*E45/Inputs!$C$21*1000000</x:f>
        <x:v>17.44373754718667</x:v>
      </x:c>
      <x:c r="H45" s="48" t="n">
        <x:f>SQRT(A45^2+Inputs!$C$6^2)</x:f>
        <x:v>45.90479277809671</x:v>
      </x:c>
      <x:c r="I45" s="48" t="n">
        <x:f>DEGREES(ATAN(H45/B45))</x:f>
        <x:v>6.520123486642501</x:v>
      </x:c>
      <x:c r="J45" s="48" t="n">
        <x:f>DEGREES((2*PI()/Inputs!$C$13)*Inputs!$C$15*SIN(RADIANS(I45)))</x:f>
        <x:v>40.87878126391779</x:v>
      </x:c>
      <x:c r="K45" s="48" t="n">
        <x:f>(C45/D45)^4</x:f>
        <x:v>0.9743780669908849</x:v>
      </x:c>
      <x:c r="L45" s="48" t="n">
        <x:f>10*LOG10(K45)</x:f>
        <x:v>-0.11272500462468801</x:v>
      </x:c>
      <x:c r="M45" s="48" t="n">
        <x:f>2*(Inputs!$C$9/(Inputs!$C$10^2))*A45</x:f>
        <x:v>-0.08555555555555555</x:v>
      </x:c>
      <x:c r="N45" s="48" t="n">
        <x:f>M45*Inputs!$C$11</x:f>
        <x:v>-0.3422222222222222</x:v>
      </x:c>
      <x:c r="O45" s="48" t="n">
        <x:f>1000*((A45*Inputs!$C$11)+(B45*N45))/D45</x:f>
        <x:v>-720.9501012270401</x:v>
      </x:c>
      <x:c r="P45" s="48" t="n">
        <x:f>-2*O45/Inputs!$C$13</x:f>
        <x:v>288.38004049081604</x:v>
      </x:c>
      <x:c r="Q45" s="48" t="n">
        <x:f>-2*O45/Inputs!$C$14</x:f>
        <x:v>43.30030638000241</x:v>
      </x:c>
      <x:c r="R45" s="48" t="n">
        <x:f>F45-Inputs!$C$16/2</x:f>
        <x:v>1453.9609426904447</x:v>
      </x:c>
      <x:c r="S45" s="48" t="n">
        <x:f>F45+Inputs!$C$16/2</x:f>
        <x:v>1483.9609426904447</x:v>
      </x:c>
      <x:c r="T45" s="48" t="n">
        <x:f>F45-Inputs!$C$17/2</x:f>
        <x:v>1318.9609426904447</x:v>
      </x:c>
      <x:c r="U45" s="48" t="n">
        <x:f>F45+Inputs!$C$17/2</x:f>
        <x:v>1618.9609426904447</x:v>
      </x:c>
      <x:c r="V45" s="48" t="n">
        <x:f>ABS(P45)</x:f>
        <x:v>288.38004049081604</x:v>
      </x:c>
      <x:c r="W45" s="48" t="n">
        <x:f>ABS(Q45)</x:f>
        <x:v>43.30030638000241</x:v>
      </x:c>
      <x:c r="X45" s="48" t="n">
        <x: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(0.45*SIN(2*PI()*(((A45)/Inputs!$C$49)+Inputs!$C$47*0.137))+0.35*COS(2*PI()*(((0)/Inputs!$C$50)+Inputs!$C$47*0.173))+0.20*SIN(2*PI()*(((A45)+(0))/(0.5*(Inputs!$C$49+Inputs!$C$50))+Inputs!$C$47*0.097)))+0.30*(2*((SIN(((A45)*12.9898+(0)*78.233+Inputs!$C$47*37.719))*43758.5453)-INT((SIN(((A45)*12.9898+(0)*78.233+Inputs!$C$47*37.719))*43758.5453)))-1)))</x:f>
        <x:v>-34.295384147954024</x:v>
      </x:c>
      <x:c r="Y45" s="48" t="n">
        <x: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(0.45*SIN(2*PI()*(((A45)/Inputs!$C$49)+Inputs!$C$47*0.137))+0.35*COS(2*PI()*(((Inputs!$C$6)/Inputs!$C$50)+Inputs!$C$47*0.173))+0.20*SIN(2*PI()*(((A45)+(Inputs!$C$6))/(0.5*(Inputs!$C$49+Inputs!$C$50))+Inputs!$C$47*0.097)))+0.30*(2*((SIN(((A45)*12.9898+(Inputs!$C$6)*78.233+Inputs!$C$47*37.719))*43758.5453)-INT((SIN(((A45)*12.9898+(Inputs!$C$6)*78.233+Inputs!$C$47*37.719))*43758.5453)))-1)))</x:f>
        <x:v>211.63430992610967</x:v>
      </x:c>
      <x:c r="Z45" s="48" t="n">
        <x:f>B45-X45/1000</x:f>
        <x:v>401.6812398285924</x:v>
      </x:c>
      <x:c r="AA45" s="48" t="n">
        <x:f>SQRT(A45^2+Inputs!$C$6^2+(B45-Y45/1000)^2)</x:f>
        <x:v>404.05143017046345</x:v>
      </x:c>
      <x:c r="AB45" s="48" t="n">
        <x:f>(AA45-Z45)*1000</x:f>
        <x:v>2370.190341871023</x:v>
      </x:c>
      <x:c r="AC45" s="48" t="n">
        <x:f>AB45/Inputs!$C$12</x:f>
        <x:v>1331.5676077927096</x:v>
      </x:c>
      <x:c r="AD45" s="48" t="n">
        <x:f>2*AB45/Inputs!$C$21*1000000</x:f>
        <x:v>15.812207936672129</x:v>
      </x:c>
      <x:c r="AE45" s="48" t="n">
        <x:f>DEGREES(ATAN(H45/(B45-Y45/1000)))</x:f>
        <x:v>6.52353123486169</x:v>
      </x:c>
      <x:c r="AF45" s="48" t="n">
        <x:f>DEGREES((2*PI()/Inputs!$C$13)*Inputs!$C$15*SIN(RADIANS(AE45)))</x:f>
        <x:v>40.90005421622404</x:v>
      </x:c>
      <x:c r="AG45" s="48" t="n">
        <x:f>(Z45/AA45)^4</x:f>
        <x:v>0.9767414137415584</x:v>
      </x:c>
      <x:c r="AH45" s="48" t="n">
        <x:f>10*LOG10(AG45)</x:f>
        <x:v>-0.102203978467679</x:v>
      </x:c>
      <x:c r="AI45" s="48" t="n">
        <x:f>AC45-F45</x:f>
        <x:v>-137.39333489773503</x:v>
      </x:c>
      <x:c r="AJ45" s="48" t="n">
        <x:f>AD45-G45</x:f>
        <x:v>-1.6315296105145425</x:v>
      </x:c>
      <x:c r="AK45" s="48" t="n">
        <x:f>Y45-X45</x:f>
        <x:v>245.9296940740637</x:v>
      </x:c>
      <x:c r="AL45" s="48" t="n">
        <x:f>1000*(AA46-AA44)/(A46-A44)*Inputs!$C$11</x:f>
        <x:v>-794.2217908180282</x:v>
      </x:c>
      <x:c r="AM45" s="48" t="n">
        <x:f>-2*AL45/Inputs!$C$13</x:f>
        <x:v>317.6887163272113</x:v>
      </x:c>
      <x:c r="AN45" s="48" t="n">
        <x:f>-2*AL45/Inputs!$C$14</x:f>
        <x:v>47.70100845753924</x:v>
      </x:c>
      <x:c r="AO45" s="48" t="n">
        <x:f>ABS(AM45)</x:f>
        <x:v>317.6887163272113</x:v>
      </x:c>
      <x:c r="AP45" s="48" t="n">
        <x:f>ABS(AN45)</x:f>
        <x:v>47.70100845753924</x:v>
      </x:c>
      <x:c r="AQ45" s="48" t="n">
        <x:f>IF(OR(Inputs!$C$27=TRUE,Inputs!$C$27="TRUE",Inputs!$C$27=1),Inputs!$C$46/Inputs!$C$12,0)</x:f>
        <x:v>42.13483146067416</x:v>
      </x:c>
      <x:c r="AR45" s="48" t="n">
        <x:f>AC45-AQ45</x:f>
        <x:v>1289.4327763320355</x:v>
      </x:c>
      <x:c r="AS45" s="48" t="n">
        <x:f>AC45+AQ45</x:f>
        <x:v>1373.7024392533838</x:v>
      </x:c>
    </x:row>
    <x:row r="46">
      <x:c r="A46" s="48" t="n">
        <x:f>Inputs!$C$7+44*(Inputs!$C$8-Inputs!$C$7)/240</x:f>
        <x:v>-38</x:v>
      </x:c>
      <x:c r="B46" s="48" t="n">
        <x:f>Inputs!$C$5+Inputs!$C$9*(A46/Inputs!$C$10)^2</x:f>
        <x:v>401.6044444444444</x:v>
      </x:c>
      <x:c r="C46" s="48" t="n">
        <x:f>B46</x:f>
        <x:v>401.6044444444444</x:v>
      </x:c>
      <x:c r="D46" s="48" t="n">
        <x:f>SQRT(A46^2+Inputs!$C$6^2+B46^2)</x:f>
        <x:v>404.1721536641668</x:v>
      </x:c>
      <x:c r="E46" s="48" t="n">
        <x:f>(D46-C46)*1000</x:f>
        <x:v>2567.70921972236</x:v>
      </x:c>
      <x:c r="F46" s="48" t="n">
        <x:f>E46/Inputs!$C$12</x:f>
        <x:v>1442.533269506944</x:v>
      </x:c>
      <x:c r="G46" s="48" t="n">
        <x:f>2*E46/Inputs!$C$21*1000000</x:f>
        <x:v>17.12991205217284</x:v>
      </x:c>
      <x:c r="H46" s="48" t="n">
        <x:f>SQRT(A46^2+Inputs!$C$6^2)</x:f>
        <x:v>45.48626166217664</x:v>
      </x:c>
      <x:c r="I46" s="48" t="n">
        <x:f>DEGREES(ATAN(H46/B46))</x:f>
        <x:v>6.4618600446971834</x:v>
      </x:c>
      <x:c r="J46" s="48" t="n">
        <x:f>DEGREES((2*PI()/Inputs!$C$13)*Inputs!$C$15*SIN(RADIANS(I46)))</x:f>
        <x:v>40.51504798123695</x:v>
      </x:c>
      <x:c r="K46" s="48" t="n">
        <x:f>(C46/D46)^4</x:f>
        <x:v>0.9748291053895243</x:v>
      </x:c>
      <x:c r="L46" s="48" t="n">
        <x:f>10*LOG10(K46)</x:f>
        <x:v>-0.11071512600401301</x:v>
      </x:c>
      <x:c r="M46" s="48" t="n">
        <x:f>2*(Inputs!$C$9/(Inputs!$C$10^2))*A46</x:f>
        <x:v>-0.08444444444444445</x:v>
      </x:c>
      <x:c r="N46" s="48" t="n">
        <x:f>M46*Inputs!$C$11</x:f>
        <x:v>-0.3377777777777778</x:v>
      </x:c>
      <x:c r="O46" s="48" t="n">
        <x:f>1000*((A46*Inputs!$C$11)+(B46*N46))/D46</x:f>
        <x:v>-711.7092411792898</x:v>
      </x:c>
      <x:c r="P46" s="48" t="n">
        <x:f>-2*O46/Inputs!$C$13</x:f>
        <x:v>284.68369647171596</x:v>
      </x:c>
      <x:c r="Q46" s="48" t="n">
        <x:f>-2*O46/Inputs!$C$14</x:f>
        <x:v>42.74529977052792</x:v>
      </x:c>
      <x:c r="R46" s="48" t="n">
        <x:f>F46-Inputs!$C$16/2</x:f>
        <x:v>1427.533269506944</x:v>
      </x:c>
      <x:c r="S46" s="48" t="n">
        <x:f>F46+Inputs!$C$16/2</x:f>
        <x:v>1457.533269506944</x:v>
      </x:c>
      <x:c r="T46" s="48" t="n">
        <x:f>F46-Inputs!$C$17/2</x:f>
        <x:v>1292.533269506944</x:v>
      </x:c>
      <x:c r="U46" s="48" t="n">
        <x:f>F46+Inputs!$C$17/2</x:f>
        <x:v>1592.533269506944</x:v>
      </x:c>
      <x:c r="V46" s="48" t="n">
        <x:f>ABS(P46)</x:f>
        <x:v>284.68369647171596</x:v>
      </x:c>
      <x:c r="W46" s="48" t="n">
        <x:f>ABS(Q46)</x:f>
        <x:v>42.74529977052792</x:v>
      </x:c>
      <x:c r="X46" s="48" t="n">
        <x: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(0.45*SIN(2*PI()*(((A46)/Inputs!$C$49)+Inputs!$C$47*0.137))+0.35*COS(2*PI()*(((0)/Inputs!$C$50)+Inputs!$C$47*0.173))+0.20*SIN(2*PI()*(((A46)+(0))/(0.5*(Inputs!$C$49+Inputs!$C$50))+Inputs!$C$47*0.097)))+0.30*(2*((SIN(((A46)*12.9898+(0)*78.233+Inputs!$C$47*37.719))*43758.5453)-INT((SIN(((A46)*12.9898+(0)*78.233+Inputs!$C$47*37.719))*43758.5453)))-1)))</x:f>
        <x:v>-21.15737906152213</x:v>
      </x:c>
      <x:c r="Y46" s="48" t="n">
        <x: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(0.45*SIN(2*PI()*(((A46)/Inputs!$C$49)+Inputs!$C$47*0.137))+0.35*COS(2*PI()*(((Inputs!$C$6)/Inputs!$C$50)+Inputs!$C$47*0.173))+0.20*SIN(2*PI()*(((A46)+(Inputs!$C$6))/(0.5*(Inputs!$C$49+Inputs!$C$50))+Inputs!$C$47*0.097)))+0.30*(2*((SIN(((A46)*12.9898+(Inputs!$C$6)*78.233+Inputs!$C$47*37.719))*43758.5453)-INT((SIN(((A46)*12.9898+(Inputs!$C$6)*78.233+Inputs!$C$47*37.719))*43758.5453)))-1)))</x:f>
        <x:v>202.93658014849487</x:v>
      </x:c>
      <x:c r="Z46" s="48" t="n">
        <x:f>B46-X46/1000</x:f>
        <x:v>401.625601823506</x:v>
      </x:c>
      <x:c r="AA46" s="48" t="n">
        <x:f>SQRT(A46^2+Inputs!$C$6^2+(B46-Y46/1000)^2)</x:f>
        <x:v>403.97050698749086</x:v>
      </x:c>
      <x:c r="AB46" s="48" t="n">
        <x:f>(AA46-Z46)*1000</x:f>
        <x:v>2344.9051639848904</x:v>
      </x:c>
      <x:c r="AC46" s="48" t="n">
        <x:f>AB46/Inputs!$C$12</x:f>
        <x:v>1317.3624516769046</x:v>
      </x:c>
      <x:c r="AD46" s="48" t="n">
        <x:f>2*AB46/Inputs!$C$21*1000000</x:f>
        <x:v>15.643523387001887</x:v>
      </x:c>
      <x:c r="AE46" s="48" t="n">
        <x:f>DEGREES(ATAN(H46/(B46-Y46/1000)))</x:f>
        <x:v>6.465099314836217</x:v>
      </x:c>
      <x:c r="AF46" s="48" t="n">
        <x:f>DEGREES((2*PI()/Inputs!$C$13)*Inputs!$C$15*SIN(RADIANS(AE46)))</x:f>
        <x:v>40.53527154864959</x:v>
      </x:c>
      <x:c r="AG46" s="48" t="n">
        <x:f>(Z46/AA46)^4</x:f>
        <x:v>0.9769828043683995</x:v>
      </x:c>
      <x:c r="AH46" s="48" t="n">
        <x:f>10*LOG10(AG46)</x:f>
        <x:v>-0.101130801232305</x:v>
      </x:c>
      <x:c r="AI46" s="48" t="n">
        <x:f>AC46-F46</x:f>
        <x:v>-125.17081783003937</x:v>
      </x:c>
      <x:c r="AJ46" s="48" t="n">
        <x:f>AD46-G46</x:f>
        <x:v>-1.4863886651709546</x:v>
      </x:c>
      <x:c r="AK46" s="48" t="n">
        <x:f>Y46-X46</x:f>
        <x:v>224.093959210017</x:v>
      </x:c>
      <x:c r="AL46" s="48" t="n">
        <x:f>1000*(AA47-AA45)/(A47-A45)*Inputs!$C$11</x:f>
        <x:v>-821.4249152777029</x:v>
      </x:c>
      <x:c r="AM46" s="48" t="n">
        <x:f>-2*AL46/Inputs!$C$13</x:f>
        <x:v>328.56996611108116</x:v>
      </x:c>
      <x:c r="AN46" s="48" t="n">
        <x:f>-2*AL46/Inputs!$C$14</x:f>
        <x:v>49.33482974640859</x:v>
      </x:c>
      <x:c r="AO46" s="48" t="n">
        <x:f>ABS(AM46)</x:f>
        <x:v>328.56996611108116</x:v>
      </x:c>
      <x:c r="AP46" s="48" t="n">
        <x:f>ABS(AN46)</x:f>
        <x:v>49.33482974640859</x:v>
      </x:c>
      <x:c r="AQ46" s="48" t="n">
        <x:f>IF(OR(Inputs!$C$27=TRUE,Inputs!$C$27="TRUE",Inputs!$C$27=1),Inputs!$C$46/Inputs!$C$12,0)</x:f>
        <x:v>42.13483146067416</x:v>
      </x:c>
      <x:c r="AR46" s="48" t="n">
        <x:f>AC46-AQ46</x:f>
        <x:v>1275.2276202162304</x:v>
      </x:c>
      <x:c r="AS46" s="48" t="n">
        <x:f>AC46+AQ46</x:f>
        <x:v>1359.4972831375787</x:v>
      </x:c>
    </x:row>
    <x:row r="47">
      <x:c r="A47" s="48" t="n">
        <x:f>Inputs!$C$7+45*(Inputs!$C$8-Inputs!$C$7)/240</x:f>
        <x:v>-37.5</x:v>
      </x:c>
      <x:c r="B47" s="48" t="n">
        <x:f>Inputs!$C$5+Inputs!$C$9*(A47/Inputs!$C$10)^2</x:f>
        <x:v>401.5625</x:v>
      </x:c>
      <x:c r="C47" s="48" t="n">
        <x:f>B47</x:f>
        <x:v>401.5625</x:v>
      </x:c>
      <x:c r="D47" s="48" t="n">
        <x:f>SQRT(A47^2+Inputs!$C$6^2+B47^2)</x:f>
        <x:v>404.08376780842116</x:v>
      </x:c>
      <x:c r="E47" s="48" t="n">
        <x:f>(D47-C47)*1000</x:f>
        <x:v>2521.2678084211575</x:v>
      </x:c>
      <x:c r="F47" s="48" t="n">
        <x:f>E47/Inputs!$C$12</x:f>
        <x:v>1416.4425890006503</x:v>
      </x:c>
      <x:c r="G47" s="48" t="n">
        <x:f>2*E47/Inputs!$C$21*1000000</x:f>
        <x:v>16.820088305364624</x:v>
      </x:c>
      <x:c r="H47" s="48" t="n">
        <x:f>SQRT(A47^2+Inputs!$C$6^2)</x:f>
        <x:v>45.069390943299865</x:v>
      </x:c>
      <x:c r="I47" s="48" t="n">
        <x:f>DEGREES(ATAN(H47/B47))</x:f>
        <x:v>6.403796017933305</x:v>
      </x:c>
      <x:c r="J47" s="48" t="n">
        <x:f>DEGREES((2*PI()/Inputs!$C$13)*Inputs!$C$15*SIN(RADIANS(I47)))</x:f>
        <x:v>40.15251794840797</x:v>
      </x:c>
      <x:c r="K47" s="48" t="n">
        <x:f>(C47/D47)^4</x:f>
        <x:v>0.9752747429685318</x:v>
      </x:c>
      <x:c r="L47" s="48" t="n">
        <x:f>10*LOG10(K47)</x:f>
        <x:v>-0.10873022714825599</x:v>
      </x:c>
      <x:c r="M47" s="48" t="n">
        <x:f>2*(Inputs!$C$9/(Inputs!$C$10^2))*A47</x:f>
        <x:v>-0.08333333333333333</x:v>
      </x:c>
      <x:c r="N47" s="48" t="n">
        <x:f>M47*Inputs!$C$11</x:f>
        <x:v>-0.3333333333333333</x:v>
      </x:c>
      <x:c r="O47" s="48" t="n">
        <x:f>1000*((A47*Inputs!$C$11)+(B47*N47))/D47</x:f>
        <x:v>-702.4636703576864</x:v>
      </x:c>
      <x:c r="P47" s="48" t="n">
        <x:f>-2*O47/Inputs!$C$13</x:f>
        <x:v>280.98546814307457</x:v>
      </x:c>
      <x:c r="Q47" s="48" t="n">
        <x:f>-2*O47/Inputs!$C$14</x:f>
        <x:v>42.19001023169288</x:v>
      </x:c>
      <x:c r="R47" s="48" t="n">
        <x:f>F47-Inputs!$C$16/2</x:f>
        <x:v>1401.4425890006503</x:v>
      </x:c>
      <x:c r="S47" s="48" t="n">
        <x:f>F47+Inputs!$C$16/2</x:f>
        <x:v>1431.4425890006503</x:v>
      </x:c>
      <x:c r="T47" s="48" t="n">
        <x:f>F47-Inputs!$C$17/2</x:f>
        <x:v>1266.4425890006503</x:v>
      </x:c>
      <x:c r="U47" s="48" t="n">
        <x:f>F47+Inputs!$C$17/2</x:f>
        <x:v>1566.4425890006503</x:v>
      </x:c>
      <x:c r="V47" s="48" t="n">
        <x:f>ABS(P47)</x:f>
        <x:v>280.98546814307457</x:v>
      </x:c>
      <x:c r="W47" s="48" t="n">
        <x:f>ABS(Q47)</x:f>
        <x:v>42.19001023169288</x:v>
      </x:c>
      <x:c r="X47" s="48" t="n">
        <x: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(0.45*SIN(2*PI()*(((A47)/Inputs!$C$49)+Inputs!$C$47*0.137))+0.35*COS(2*PI()*(((0)/Inputs!$C$50)+Inputs!$C$47*0.173))+0.20*SIN(2*PI()*(((A47)+(0))/(0.5*(Inputs!$C$49+Inputs!$C$50))+Inputs!$C$47*0.097)))+0.30*(2*((SIN(((A47)*12.9898+(0)*78.233+Inputs!$C$47*37.719))*43758.5453)-INT((SIN(((A47)*12.9898+(0)*78.233+Inputs!$C$47*37.719))*43758.5453)))-1)))</x:f>
        <x:v>-18.69341167436205</x:v>
      </x:c>
      <x:c r="Y47" s="48" t="n">
        <x: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(0.45*SIN(2*PI()*(((A47)/Inputs!$C$49)+Inputs!$C$47*0.137))+0.35*COS(2*PI()*(((Inputs!$C$6)/Inputs!$C$50)+Inputs!$C$47*0.173))+0.20*SIN(2*PI()*(((A47)+(Inputs!$C$6))/(0.5*(Inputs!$C$49+Inputs!$C$50))+Inputs!$C$47*0.097)))+0.30*(2*((SIN(((A47)*12.9898+(Inputs!$C$6)*78.233+Inputs!$C$47*37.719))*43758.5453)-INT((SIN(((A47)*12.9898+(Inputs!$C$6)*78.233+Inputs!$C$47*37.719))*43758.5453)))-1)))</x:f>
        <x:v>239.1871485288169</x:v>
      </x:c>
      <x:c r="Z47" s="48" t="n">
        <x:f>B47-X47/1000</x:f>
        <x:v>401.58119341167435</x:v>
      </x:c>
      <x:c r="AA47" s="48" t="n">
        <x:f>SQRT(A47^2+Inputs!$C$6^2+(B47-Y47/1000)^2)</x:f>
        <x:v>403.846073941644</x:v>
      </x:c>
      <x:c r="AB47" s="48" t="n">
        <x:f>(AA47-Z47)*1000</x:f>
        <x:v>2264.8805299696733</x:v>
      </x:c>
      <x:c r="AC47" s="48" t="n">
        <x:f>AB47/Inputs!$C$12</x:f>
        <x:v>1272.404792117794</x:v>
      </x:c>
      <x:c r="AD47" s="48" t="n">
        <x:f>2*AB47/Inputs!$C$21*1000000</x:f>
        <x:v>15.109656494224904</x:v>
      </x:c>
      <x:c r="AE47" s="48" t="n">
        <x:f>DEGREES(ATAN(H47/(B47-Y47/1000)))</x:f>
        <x:v>6.4075809221470355</x:v>
      </x:c>
      <x:c r="AF47" s="48" t="n">
        <x:f>DEGREES((2*PI()/Inputs!$C$13)*Inputs!$C$15*SIN(RADIANS(AE47)))</x:f>
        <x:v>40.17615073294601</x:v>
      </x:c>
      <x:c r="AG47" s="48" t="n">
        <x:f>(Z47/AA47)^4</x:f>
        <x:v>0.977754905181091</x:v>
      </x:c>
      <x:c r="AH47" s="48" t="n">
        <x:f>10*LOG10(AG47)</x:f>
        <x:v>-0.0976999661056763</x:v>
      </x:c>
      <x:c r="AI47" s="48" t="n">
        <x:f>AC47-F47</x:f>
        <x:v>-144.03779688285636</x:v>
      </x:c>
      <x:c r="AJ47" s="48" t="n">
        <x:f>AD47-G47</x:f>
        <x:v>-1.7104318111397205</x:v>
      </x:c>
      <x:c r="AK47" s="48" t="n">
        <x:f>Y47-X47</x:f>
        <x:v>257.88056020317896</x:v>
      </x:c>
      <x:c r="AL47" s="48" t="n">
        <x:f>1000*(AA48-AA46)/(A48-A46)*Inputs!$C$11</x:f>
        <x:v>-834.8388528531814</x:v>
      </x:c>
      <x:c r="AM47" s="48" t="n">
        <x:f>-2*AL47/Inputs!$C$13</x:f>
        <x:v>333.93554114127255</x:v>
      </x:c>
      <x:c r="AN47" s="48" t="n">
        <x:f>-2*AL47/Inputs!$C$14</x:f>
        <x:v>50.140471642833724</x:v>
      </x:c>
      <x:c r="AO47" s="48" t="n">
        <x:f>ABS(AM47)</x:f>
        <x:v>333.93554114127255</x:v>
      </x:c>
      <x:c r="AP47" s="48" t="n">
        <x:f>ABS(AN47)</x:f>
        <x:v>50.140471642833724</x:v>
      </x:c>
      <x:c r="AQ47" s="48" t="n">
        <x:f>IF(OR(Inputs!$C$27=TRUE,Inputs!$C$27="TRUE",Inputs!$C$27=1),Inputs!$C$46/Inputs!$C$12,0)</x:f>
        <x:v>42.13483146067416</x:v>
      </x:c>
      <x:c r="AR47" s="48" t="n">
        <x:f>AC47-AQ47</x:f>
        <x:v>1230.2699606571198</x:v>
      </x:c>
      <x:c r="AS47" s="48" t="n">
        <x:f>AC47+AQ47</x:f>
        <x:v>1314.539623578468</x:v>
      </x:c>
    </x:row>
    <x:row r="48">
      <x:c r="A48" s="48" t="n">
        <x:f>Inputs!$C$7+46*(Inputs!$C$8-Inputs!$C$7)/240</x:f>
        <x:v>-37</x:v>
      </x:c>
      <x:c r="B48" s="48" t="n">
        <x:f>Inputs!$C$5+Inputs!$C$9*(A48/Inputs!$C$10)^2</x:f>
        <x:v>401.5211111111111</x:v>
      </x:c>
      <x:c r="C48" s="48" t="n">
        <x:f>B48</x:f>
        <x:v>401.5211111111111</x:v>
      </x:c>
      <x:c r="D48" s="48" t="n">
        <x:f>SQRT(A48^2+Inputs!$C$6^2+B48^2)</x:f>
        <x:v>403.9965379404893</x:v>
      </x:c>
      <x:c r="E48" s="48" t="n">
        <x:f>(D48-C48)*1000</x:f>
        <x:v>2475.4268293781934</x:v>
      </x:c>
      <x:c r="F48" s="48" t="n">
        <x:f>E48/Inputs!$C$12</x:f>
        <x:v>1390.689229987749</x:v>
      </x:c>
      <x:c r="G48" s="48" t="n">
        <x:f>2*E48/Inputs!$C$21*1000000</x:f>
        <x:v>16.514270211415347</x:v>
      </x:c>
      <x:c r="H48" s="48" t="n">
        <x:f>SQRT(A48^2+Inputs!$C$6^2)</x:f>
        <x:v>44.654227123532216</x:v>
      </x:c>
      <x:c r="I48" s="48" t="n">
        <x:f>DEGREES(ATAN(H48/B48))</x:f>
        <x:v>6.345938529407371</x:v>
      </x:c>
      <x:c r="J48" s="48" t="n">
        <x:f>DEGREES((2*PI()/Inputs!$C$13)*Inputs!$C$15*SIN(RADIANS(I48)))</x:f>
        <x:v>39.791236445792514</x:v>
      </x:c>
      <x:c r="K48" s="48" t="n">
        <x:f>(C48/D48)^4</x:f>
        <x:v>0.9757149609204623</x:v>
      </x:c>
      <x:c r="L48" s="48" t="n">
        <x:f>10*LOG10(K48)</x:f>
        <x:v>-0.106770357957541</x:v>
      </x:c>
      <x:c r="M48" s="48" t="n">
        <x:f>2*(Inputs!$C$9/(Inputs!$C$10^2))*A48</x:f>
        <x:v>-0.08222222222222222</x:v>
      </x:c>
      <x:c r="N48" s="48" t="n">
        <x:f>M48*Inputs!$C$11</x:f>
        <x:v>-0.3288888888888889</x:v>
      </x:c>
      <x:c r="O48" s="48" t="n">
        <x:f>1000*((A48*Inputs!$C$11)+(B48*N48))/D48</x:f>
        <x:v>-693.2134456558613</x:v>
      </x:c>
      <x:c r="P48" s="48" t="n">
        <x:f>-2*O48/Inputs!$C$13</x:f>
        <x:v>277.2853782623445</x:v>
      </x:c>
      <x:c r="Q48" s="48" t="n">
        <x:f>-2*O48/Inputs!$C$14</x:f>
        <x:v>41.634441180532214</x:v>
      </x:c>
      <x:c r="R48" s="48" t="n">
        <x:f>F48-Inputs!$C$16/2</x:f>
        <x:v>1375.689229987749</x:v>
      </x:c>
      <x:c r="S48" s="48" t="n">
        <x:f>F48+Inputs!$C$16/2</x:f>
        <x:v>1405.689229987749</x:v>
      </x:c>
      <x:c r="T48" s="48" t="n">
        <x:f>F48-Inputs!$C$17/2</x:f>
        <x:v>1240.689229987749</x:v>
      </x:c>
      <x:c r="U48" s="48" t="n">
        <x:f>F48+Inputs!$C$17/2</x:f>
        <x:v>1540.689229987749</x:v>
      </x:c>
      <x:c r="V48" s="48" t="n">
        <x:f>ABS(P48)</x:f>
        <x:v>277.2853782623445</x:v>
      </x:c>
      <x:c r="W48" s="48" t="n">
        <x:f>ABS(Q48)</x:f>
        <x:v>41.634441180532214</x:v>
      </x:c>
      <x:c r="X48" s="48" t="n">
        <x: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(0.45*SIN(2*PI()*(((A48)/Inputs!$C$49)+Inputs!$C$47*0.137))+0.35*COS(2*PI()*(((0)/Inputs!$C$50)+Inputs!$C$47*0.173))+0.20*SIN(2*PI()*(((A48)+(0))/(0.5*(Inputs!$C$49+Inputs!$C$50))+Inputs!$C$47*0.097)))+0.30*(2*((SIN(((A48)*12.9898+(0)*78.233+Inputs!$C$47*37.719))*43758.5453)-INT((SIN(((A48)*12.9898+(0)*78.233+Inputs!$C$47*37.719))*43758.5453)))-1)))</x:f>
        <x:v>-25.83766278531854</x:v>
      </x:c>
      <x:c r="Y48" s="48" t="n">
        <x: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(0.45*SIN(2*PI()*(((A48)/Inputs!$C$49)+Inputs!$C$47*0.137))+0.35*COS(2*PI()*(((Inputs!$C$6)/Inputs!$C$50)+Inputs!$C$47*0.173))+0.20*SIN(2*PI()*(((A48)+(Inputs!$C$6))/(0.5*(Inputs!$C$49+Inputs!$C$50))+Inputs!$C$47*0.097)))+0.30*(2*((SIN(((A48)*12.9898+(Inputs!$C$6)*78.233+Inputs!$C$47*37.719))*43758.5453)-INT((SIN(((A48)*12.9898+(Inputs!$C$6)*78.233+Inputs!$C$47*37.719))*43758.5453)))-1)))</x:f>
        <x:v>236.18872035541293</x:v>
      </x:c>
      <x:c r="Z48" s="48" t="n">
        <x:f>B48-X48/1000</x:f>
        <x:v>401.5469487738964</x:v>
      </x:c>
      <x:c r="AA48" s="48" t="n">
        <x:f>SQRT(A48^2+Inputs!$C$6^2+(B48-Y48/1000)^2)</x:f>
        <x:v>403.76179727427757</x:v>
      </x:c>
      <x:c r="AB48" s="48" t="n">
        <x:f>(AA48-Z48)*1000</x:f>
        <x:v>2214.8485003811516</x:v>
      </x:c>
      <x:c r="AC48" s="48" t="n">
        <x:f>AB48/Inputs!$C$12</x:f>
        <x:v>1244.2969103264895</x:v>
      </x:c>
      <x:c r="AD48" s="48" t="n">
        <x:f>2*AB48/Inputs!$C$21*1000000</x:f>
        <x:v>14.775878720612456</x:v>
      </x:c>
      <x:c r="AE48" s="48" t="n">
        <x:f>DEGREES(ATAN(H48/(B48-Y48/1000)))</x:f>
        <x:v>6.349643130876043</x:v>
      </x:c>
      <x:c r="AF48" s="48" t="n">
        <x:f>DEGREES((2*PI()/Inputs!$C$13)*Inputs!$C$15*SIN(RADIANS(AE48)))</x:f>
        <x:v>39.81437043572354</x:v>
      </x:c>
      <x:c r="AG48" s="48" t="n">
        <x:f>(Z48/AA48)^4</x:f>
        <x:v>0.9782377566624788</x:v>
      </x:c>
      <x:c r="AH48" s="48" t="n">
        <x:f>10*LOG10(AG48)</x:f>
        <x:v>-0.09555578895924981</x:v>
      </x:c>
      <x:c r="AI48" s="48" t="n">
        <x:f>AC48-F48</x:f>
        <x:v>-146.39231966125953</x:v>
      </x:c>
      <x:c r="AJ48" s="48" t="n">
        <x:f>AD48-G48</x:f>
        <x:v>-1.7383914908028917</x:v>
      </x:c>
      <x:c r="AK48" s="48" t="n">
        <x:f>Y48-X48</x:f>
        <x:v>262.02638314073147</x:v>
      </x:c>
      <x:c r="AL48" s="48" t="n">
        <x:f>1000*(AA49-AA47)/(A49-A47)*Inputs!$C$11</x:f>
        <x:v>-795.4731642087154</x:v>
      </x:c>
      <x:c r="AM48" s="48" t="n">
        <x:f>-2*AL48/Inputs!$C$13</x:f>
        <x:v>318.18926568348616</x:v>
      </x:c>
      <x:c r="AN48" s="48" t="n">
        <x:f>-2*AL48/Inputs!$C$14</x:f>
        <x:v>47.77616601854147</x:v>
      </x:c>
      <x:c r="AO48" s="48" t="n">
        <x:f>ABS(AM48)</x:f>
        <x:v>318.18926568348616</x:v>
      </x:c>
      <x:c r="AP48" s="48" t="n">
        <x:f>ABS(AN48)</x:f>
        <x:v>47.77616601854147</x:v>
      </x:c>
      <x:c r="AQ48" s="48" t="n">
        <x:f>IF(OR(Inputs!$C$27=TRUE,Inputs!$C$27="TRUE",Inputs!$C$27=1),Inputs!$C$46/Inputs!$C$12,0)</x:f>
        <x:v>42.13483146067416</x:v>
      </x:c>
      <x:c r="AR48" s="48" t="n">
        <x:f>AC48-AQ48</x:f>
        <x:v>1202.1620788658154</x:v>
      </x:c>
      <x:c r="AS48" s="48" t="n">
        <x:f>AC48+AQ48</x:f>
        <x:v>1286.4317417871637</x:v>
      </x:c>
    </x:row>
    <x:row r="49">
      <x:c r="A49" s="48" t="n">
        <x:f>Inputs!$C$7+47*(Inputs!$C$8-Inputs!$C$7)/240</x:f>
        <x:v>-36.5</x:v>
      </x:c>
      <x:c r="B49" s="48" t="n">
        <x:f>Inputs!$C$5+Inputs!$C$9*(A49/Inputs!$C$10)^2</x:f>
        <x:v>401.48027777777776</x:v>
      </x:c>
      <x:c r="C49" s="48" t="n">
        <x:f>B49</x:f>
        <x:v>401.48027777777776</x:v>
      </x:c>
      <x:c r="D49" s="48" t="n">
        <x:f>SQRT(A49^2+Inputs!$C$6^2+B49^2)</x:f>
        <x:v>403.91046463854036</x:v>
      </x:c>
      <x:c r="E49" s="48" t="n">
        <x:f>(D49-C49)*1000</x:f>
        <x:v>2430.1868607626034</x:v>
      </x:c>
      <x:c r="F49" s="48" t="n">
        <x:f>E49/Inputs!$C$12</x:f>
        <x:v>1365.2735172823614</x:v>
      </x:c>
      <x:c r="G49" s="48" t="n">
        <x:f>2*E49/Inputs!$C$21*1000000</x:f>
        <x:v>16.212461627454307</x:v>
      </x:c>
      <x:c r="H49" s="48" t="n">
        <x:f>SQRT(A49^2+Inputs!$C$6^2)</x:f>
        <x:v>44.24081825644729</x:v>
      </x:c>
      <x:c r="I49" s="48" t="n">
        <x:f>DEGREES(ATAN(H49/B49))</x:f>
        <x:v>6.288294925190011</x:v>
      </x:c>
      <x:c r="J49" s="48" t="n">
        <x:f>DEGREES((2*PI()/Inputs!$C$13)*Inputs!$C$15*SIN(RADIANS(I49)))</x:f>
        <x:v>39.43125015731848</x:v>
      </x:c>
      <x:c r="K49" s="48" t="n">
        <x:f>(C49/D49)^4</x:f>
        <x:v>0.9761497406395917</x:v>
      </x:c>
      <x:c r="L49" s="48" t="n">
        <x:f>10*LOG10(K49)</x:f>
        <x:v>-0.10483556774556099</x:v>
      </x:c>
      <x:c r="M49" s="48" t="n">
        <x:f>2*(Inputs!$C$9/(Inputs!$C$10^2))*A49</x:f>
        <x:v>-0.0811111111111111</x:v>
      </x:c>
      <x:c r="N49" s="48" t="n">
        <x:f>M49*Inputs!$C$11</x:f>
        <x:v>-0.3244444444444444</x:v>
      </x:c>
      <x:c r="O49" s="48" t="n">
        <x:f>1000*((A49*Inputs!$C$11)+(B49*N49))/D49</x:f>
        <x:v>-683.9586241625003</x:v>
      </x:c>
      <x:c r="P49" s="48" t="n">
        <x:f>-2*O49/Inputs!$C$13</x:f>
        <x:v>273.5834496650001</x:v>
      </x:c>
      <x:c r="Q49" s="48" t="n">
        <x:f>-2*O49/Inputs!$C$14</x:f>
        <x:v>41.07859604579582</x:v>
      </x:c>
      <x:c r="R49" s="48" t="n">
        <x:f>F49-Inputs!$C$16/2</x:f>
        <x:v>1350.2735172823614</x:v>
      </x:c>
      <x:c r="S49" s="48" t="n">
        <x:f>F49+Inputs!$C$16/2</x:f>
        <x:v>1380.2735172823614</x:v>
      </x:c>
      <x:c r="T49" s="48" t="n">
        <x:f>F49-Inputs!$C$17/2</x:f>
        <x:v>1215.2735172823614</x:v>
      </x:c>
      <x:c r="U49" s="48" t="n">
        <x:f>F49+Inputs!$C$17/2</x:f>
        <x:v>1515.2735172823614</x:v>
      </x:c>
      <x:c r="V49" s="48" t="n">
        <x:f>ABS(P49)</x:f>
        <x:v>273.5834496650001</x:v>
      </x:c>
      <x:c r="W49" s="48" t="n">
        <x:f>ABS(Q49)</x:f>
        <x:v>41.07859604579582</x:v>
      </x:c>
      <x:c r="X49" s="48" t="n">
        <x: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(0.45*SIN(2*PI()*(((A49)/Inputs!$C$49)+Inputs!$C$47*0.137))+0.35*COS(2*PI()*(((0)/Inputs!$C$50)+Inputs!$C$47*0.173))+0.20*SIN(2*PI()*(((A49)+(0))/(0.5*(Inputs!$C$49+Inputs!$C$50))+Inputs!$C$47*0.097)))+0.30*(2*((SIN(((A49)*12.9898+(0)*78.233+Inputs!$C$47*37.719))*43758.5453)-INT((SIN(((A49)*12.9898+(0)*78.233+Inputs!$C$47*37.719))*43758.5453)))-1)))</x:f>
        <x:v>-21.548035323184823</x:v>
      </x:c>
      <x:c r="Y49" s="48" t="n">
        <x: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(0.45*SIN(2*PI()*(((A49)/Inputs!$C$49)+Inputs!$C$47*0.137))+0.35*COS(2*PI()*(((Inputs!$C$6)/Inputs!$C$50)+Inputs!$C$47*0.173))+0.20*SIN(2*PI()*(((A49)+(Inputs!$C$6))/(0.5*(Inputs!$C$49+Inputs!$C$50))+Inputs!$C$47*0.097)))+0.30*(2*((SIN(((A49)*12.9898+(Inputs!$C$6)*78.233+Inputs!$C$47*37.719))*43758.5453)-INT((SIN(((A49)*12.9898+(Inputs!$C$6)*78.233+Inputs!$C$47*37.719))*43758.5453)))-1)))</x:f>
        <x:v>264.8535608975177</x:v>
      </x:c>
      <x:c r="Z49" s="48" t="n">
        <x:f>B49-X49/1000</x:f>
        <x:v>401.50182581310094</x:v>
      </x:c>
      <x:c r="AA49" s="48" t="n">
        <x:f>SQRT(A49^2+Inputs!$C$6^2+(B49-Y49/1000)^2)</x:f>
        <x:v>403.64720565059184</x:v>
      </x:c>
      <x:c r="AB49" s="48" t="n">
        <x:f>(AA49-Z49)*1000</x:f>
        <x:v>2145.379837490907</x:v>
      </x:c>
      <x:c r="AC49" s="48" t="n">
        <x:f>AB49/Inputs!$C$12</x:f>
        <x:v>1205.269571624105</x:v>
      </x:c>
      <x:c r="AD49" s="48" t="n">
        <x:f>2*AB49/Inputs!$C$21*1000000</x:f>
        <x:v>14.312433686980256</x:v>
      </x:c>
      <x:c r="AE49" s="48" t="n">
        <x:f>DEGREES(ATAN(H49/(B49-Y49/1000)))</x:f>
        <x:v>6.292412718507503</x:v>
      </x:c>
      <x:c r="AF49" s="48" t="n">
        <x:f>DEGREES((2*PI()/Inputs!$C$13)*Inputs!$C$15*SIN(RADIANS(AE49)))</x:f>
        <x:v>39.4569672460649</x:v>
      </x:c>
      <x:c r="AG49" s="48" t="n">
        <x:f>(Z49/AA49)^4</x:f>
        <x:v>0.9789089449222941</x:v>
      </x:c>
      <x:c r="AH49" s="48" t="n">
        <x:f>10*LOG10(AG49)</x:f>
        <x:v>-0.0925770304558894</x:v>
      </x:c>
      <x:c r="AI49" s="48" t="n">
        <x:f>AC49-F49</x:f>
        <x:v>-160.00394565825627</x:v>
      </x:c>
      <x:c r="AJ49" s="48" t="n">
        <x:f>AD49-G49</x:f>
        <x:v>-1.9000279404740503</x:v>
      </x:c>
      <x:c r="AK49" s="48" t="n">
        <x:f>Y49-X49</x:f>
        <x:v>286.4015962207025</x:v>
      </x:c>
      <x:c r="AL49" s="48" t="n">
        <x:f>1000*(AA50-AA48)/(A50-A48)*Inputs!$C$11</x:f>
        <x:v>-831.5185940284664</x:v>
      </x:c>
      <x:c r="AM49" s="48" t="n">
        <x:f>-2*AL49/Inputs!$C$13</x:f>
        <x:v>332.60743761138656</x:v>
      </x:c>
      <x:c r="AN49" s="48" t="n">
        <x:f>-2*AL49/Inputs!$C$14</x:f>
        <x:v>49.94105669840639</x:v>
      </x:c>
      <x:c r="AO49" s="48" t="n">
        <x:f>ABS(AM49)</x:f>
        <x:v>332.60743761138656</x:v>
      </x:c>
      <x:c r="AP49" s="48" t="n">
        <x:f>ABS(AN49)</x:f>
        <x:v>49.94105669840639</x:v>
      </x:c>
      <x:c r="AQ49" s="48" t="n">
        <x:f>IF(OR(Inputs!$C$27=TRUE,Inputs!$C$27="TRUE",Inputs!$C$27=1),Inputs!$C$46/Inputs!$C$12,0)</x:f>
        <x:v>42.13483146067416</x:v>
      </x:c>
      <x:c r="AR49" s="48" t="n">
        <x:f>AC49-AQ49</x:f>
        <x:v>1163.134740163431</x:v>
      </x:c>
      <x:c r="AS49" s="48" t="n">
        <x:f>AC49+AQ49</x:f>
        <x:v>1247.4044030847792</x:v>
      </x:c>
    </x:row>
    <x:row r="50">
      <x:c r="A50" s="48" t="n">
        <x:f>Inputs!$C$7+48*(Inputs!$C$8-Inputs!$C$7)/240</x:f>
        <x:v>-36</x:v>
      </x:c>
      <x:c r="B50" s="48" t="n">
        <x:f>Inputs!$C$5+Inputs!$C$9*(A50/Inputs!$C$10)^2</x:f>
        <x:v>401.44</x:v>
      </x:c>
      <x:c r="C50" s="48" t="n">
        <x:f>B50</x:f>
        <x:v>401.44</x:v>
      </x:c>
      <x:c r="D50" s="48" t="n">
        <x:f>SQRT(A50^2+Inputs!$C$6^2+B50^2)</x:f>
        <x:v>403.82554847359523</x:v>
      </x:c>
      <x:c r="E50" s="48" t="n">
        <x:f>(D50-C50)*1000</x:f>
        <x:v>2385.548473595236</x:v>
      </x:c>
      <x:c r="F50" s="48" t="n">
        <x:f>E50/Inputs!$C$12</x:f>
        <x:v>1340.195771682717</x:v>
      </x:c>
      <x:c r="G50" s="48" t="n">
        <x:f>2*E50/Inputs!$C$21*1000000</x:f>
        <x:v>15.914666362922551</x:v>
      </x:c>
      <x:c r="H50" s="48" t="n">
        <x:f>SQRT(A50^2+Inputs!$C$6^2)</x:f>
        <x:v>43.829214001622255</x:v>
      </x:c>
      <x:c r="I50" s="48" t="n">
        <x:f>DEGREES(ATAN(H50/B50))</x:f>
        <x:v>6.23087278213282</x:v>
      </x:c>
      <x:c r="J50" s="48" t="n">
        <x:f>DEGREES((2*PI()/Inputs!$C$13)*Inputs!$C$15*SIN(RADIANS(I50)))</x:f>
        <x:v>39.0726072191931</x:v>
      </x:c>
      <x:c r="K50" s="48" t="n">
        <x:f>(C50/D50)^4</x:f>
        <x:v>0.9765790637236926</x:v>
      </x:c>
      <x:c r="L50" s="48" t="n">
        <x:f>10*LOG10(K50)</x:f>
        <x:v>-0.102925905236704</x:v>
      </x:c>
      <x:c r="M50" s="48" t="n">
        <x:f>2*(Inputs!$C$9/(Inputs!$C$10^2))*A50</x:f>
        <x:v>-0.08</x:v>
      </x:c>
      <x:c r="N50" s="48" t="n">
        <x:f>M50*Inputs!$C$11</x:f>
        <x:v>-0.32</x:v>
      </x:c>
      <x:c r="O50" s="48" t="n">
        <x:f>1000*((A50*Inputs!$C$11)+(B50*N50))/D50</x:f>
        <x:v>-674.6992631592136</x:v>
      </x:c>
      <x:c r="P50" s="48" t="n">
        <x:f>-2*O50/Inputs!$C$13</x:f>
        <x:v>269.8797052636854</x:v>
      </x:c>
      <x:c r="Q50" s="48" t="n">
        <x:f>-2*O50/Inputs!$C$14</x:f>
        <x:v>40.52247826782064</x:v>
      </x:c>
      <x:c r="R50" s="48" t="n">
        <x:f>F50-Inputs!$C$16/2</x:f>
        <x:v>1325.195771682717</x:v>
      </x:c>
      <x:c r="S50" s="48" t="n">
        <x:f>F50+Inputs!$C$16/2</x:f>
        <x:v>1355.195771682717</x:v>
      </x:c>
      <x:c r="T50" s="48" t="n">
        <x:f>F50-Inputs!$C$17/2</x:f>
        <x:v>1190.195771682717</x:v>
      </x:c>
      <x:c r="U50" s="48" t="n">
        <x:f>F50+Inputs!$C$17/2</x:f>
        <x:v>1490.195771682717</x:v>
      </x:c>
      <x:c r="V50" s="48" t="n">
        <x:f>ABS(P50)</x:f>
        <x:v>269.8797052636854</x:v>
      </x:c>
      <x:c r="W50" s="48" t="n">
        <x:f>ABS(Q50)</x:f>
        <x:v>40.52247826782064</x:v>
      </x:c>
      <x:c r="X50" s="48" t="n">
        <x: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(0.45*SIN(2*PI()*(((A50)/Inputs!$C$49)+Inputs!$C$47*0.137))+0.35*COS(2*PI()*(((0)/Inputs!$C$50)+Inputs!$C$47*0.173))+0.20*SIN(2*PI()*(((A50)+(0))/(0.5*(Inputs!$C$49+Inputs!$C$50))+Inputs!$C$47*0.097)))+0.30*(2*((SIN(((A50)*12.9898+(0)*78.233+Inputs!$C$47*37.719))*43758.5453)-INT((SIN(((A50)*12.9898+(0)*78.233+Inputs!$C$47*37.719))*43758.5453)))-1)))</x:f>
        <x:v>-2.286662206392558</x:v>
      </x:c>
      <x:c r="Y50" s="48" t="n">
        <x: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(0.45*SIN(2*PI()*(((A50)/Inputs!$C$49)+Inputs!$C$47*0.137))+0.35*COS(2*PI()*(((Inputs!$C$6)/Inputs!$C$50)+Inputs!$C$47*0.173))+0.20*SIN(2*PI()*(((A50)+(Inputs!$C$6))/(0.5*(Inputs!$C$49+Inputs!$C$50))+Inputs!$C$47*0.097)))+0.30*(2*((SIN(((A50)*12.9898+(Inputs!$C$6)*78.233+Inputs!$C$47*37.719))*43758.5453)-INT((SIN(((A50)*12.9898+(Inputs!$C$6)*78.233+Inputs!$C$47*37.719))*43758.5453)))-1)))</x:f>
        <x:v>273.24610443212225</x:v>
      </x:c>
      <x:c r="Z50" s="48" t="n">
        <x:f>B50-X50/1000</x:f>
        <x:v>401.4422866622064</x:v>
      </x:c>
      <x:c r="AA50" s="48" t="n">
        <x:f>SQRT(A50^2+Inputs!$C$6^2+(B50-Y50/1000)^2)</x:f>
        <x:v>403.55391762577045</x:v>
      </x:c>
      <x:c r="AB50" s="48" t="n">
        <x:f>(AA50-Z50)*1000</x:f>
        <x:v>2111.630963564039</x:v>
      </x:c>
      <x:c r="AC50" s="48" t="n">
        <x:f>AB50/Inputs!$C$12</x:f>
        <x:v>1186.3095300921568</x:v>
      </x:c>
      <x:c r="AD50" s="48" t="n">
        <x:f>2*AB50/Inputs!$C$21*1000000</x:f>
        <x:v>14.087285435072815</x:v>
      </x:c>
      <x:c r="AE50" s="48" t="n">
        <x:f>DEGREES(ATAN(H50/(B50-Y50/1000)))</x:f>
        <x:v>6.235083391332473</x:v>
      </x:c>
      <x:c r="AF50" s="48" t="n">
        <x:f>DEGREES((2*PI()/Inputs!$C$13)*Inputs!$C$15*SIN(RADIANS(AE50)))</x:f>
        <x:v>39.098906865813106</x:v>
      </x:c>
      <x:c r="AG50" s="48" t="n">
        <x:f>(Z50/AA50)^4</x:f>
        <x:v>0.9792333596689823</x:v>
      </x:c>
      <x:c r="AH50" s="48" t="n">
        <x:f>10*LOG10(AG50)</x:f>
        <x:v>-0.09113799780444781</x:v>
      </x:c>
      <x:c r="AI50" s="48" t="n">
        <x:f>AC50-F50</x:f>
        <x:v>-153.88624159056008</x:v>
      </x:c>
      <x:c r="AJ50" s="48" t="n">
        <x:f>AD50-G50</x:f>
        <x:v>-1.8273809278497364</x:v>
      </x:c>
      <x:c r="AK50" s="48" t="n">
        <x:f>Y50-X50</x:f>
        <x:v>275.53276663851483</x:v>
      </x:c>
      <x:c r="AL50" s="48" t="n">
        <x:f>1000*(AA51-AA49)/(A51-A49)*Inputs!$C$11</x:f>
        <x:v>-754.8575658249774</x:v>
      </x:c>
      <x:c r="AM50" s="48" t="n">
        <x:f>-2*AL50/Inputs!$C$13</x:f>
        <x:v>301.94302632999097</x:v>
      </x:c>
      <x:c r="AN50" s="48" t="n">
        <x:f>-2*AL50/Inputs!$C$14</x:f>
        <x:v>45.33679074023889</x:v>
      </x:c>
      <x:c r="AO50" s="48" t="n">
        <x:f>ABS(AM50)</x:f>
        <x:v>301.94302632999097</x:v>
      </x:c>
      <x:c r="AP50" s="48" t="n">
        <x:f>ABS(AN50)</x:f>
        <x:v>45.33679074023889</x:v>
      </x:c>
      <x:c r="AQ50" s="48" t="n">
        <x:f>IF(OR(Inputs!$C$27=TRUE,Inputs!$C$27="TRUE",Inputs!$C$27=1),Inputs!$C$46/Inputs!$C$12,0)</x:f>
        <x:v>42.13483146067416</x:v>
      </x:c>
      <x:c r="AR50" s="48" t="n">
        <x:f>AC50-AQ50</x:f>
        <x:v>1144.1746986314827</x:v>
      </x:c>
      <x:c r="AS50" s="48" t="n">
        <x:f>AC50+AQ50</x:f>
        <x:v>1228.444361552831</x:v>
      </x:c>
    </x:row>
    <x:row r="51">
      <x:c r="A51" s="48" t="n">
        <x:f>Inputs!$C$7+49*(Inputs!$C$8-Inputs!$C$7)/240</x:f>
        <x:v>-35.5</x:v>
      </x:c>
      <x:c r="B51" s="48" t="n">
        <x:f>Inputs!$C$5+Inputs!$C$9*(A51/Inputs!$C$10)^2</x:f>
        <x:v>401.4002777777778</x:v>
      </x:c>
      <x:c r="C51" s="48" t="n">
        <x:f>B51</x:f>
        <x:v>401.4002777777778</x:v>
      </x:c>
      <x:c r="D51" s="48" t="n">
        <x:f>SQRT(A51^2+Inputs!$C$6^2+B51^2)</x:f>
        <x:v>403.74179000950244</x:v>
      </x:c>
      <x:c r="E51" s="48" t="n">
        <x:f>(D51-C51)*1000</x:f>
        <x:v>2341.512231724664</x:v>
      </x:c>
      <x:c r="F51" s="48" t="n">
        <x:f>E51/Inputs!$C$12</x:f>
        <x:v>1315.4563099576765</x:v>
      </x:c>
      <x:c r="G51" s="48" t="n">
        <x:f>2*E51/Inputs!$C$21*1000000</x:f>
        <x:v>15.620888179412866</x:v>
      </x:c>
      <x:c r="H51" s="48" t="n">
        <x:f>SQRT(A51^2+Inputs!$C$6^2)</x:f>
        <x:v>43.41946568072896</x:v>
      </x:c>
      <x:c r="I51" s="48" t="n">
        <x:f>DEGREES(ATAN(H51/B51))</x:f>
        <x:v>6.173679915861962</x:v>
      </x:c>
      <x:c r="J51" s="48" t="n">
        <x:f>DEGREES((2*PI()/Inputs!$C$13)*Inputs!$C$15*SIN(RADIANS(I51)))</x:f>
        <x:v>38.71535727003771</x:v>
      </x:c>
      <x:c r="K51" s="48" t="n">
        <x:f>(C51/D51)^4</x:f>
        <x:v>0.977002911975787</x:v>
      </x:c>
      <x:c r="L51" s="48" t="n">
        <x:f>10*LOG10(K51)</x:f>
        <x:v>-0.101041418563231</x:v>
      </x:c>
      <x:c r="M51" s="48" t="n">
        <x:f>2*(Inputs!$C$9/(Inputs!$C$10^2))*A51</x:f>
        <x:v>-0.07888888888888888</x:v>
      </x:c>
      <x:c r="N51" s="48" t="n">
        <x:f>M51*Inputs!$C$11</x:f>
        <x:v>-0.31555555555555553</x:v>
      </x:c>
      <x:c r="O51" s="48" t="n">
        <x:f>1000*((A51*Inputs!$C$11)+(B51*N51))/D51</x:f>
        <x:v>-665.4354201183822</x:v>
      </x:c>
      <x:c r="P51" s="48" t="n">
        <x:f>-2*O51/Inputs!$C$13</x:f>
        <x:v>266.1741680473529</x:v>
      </x:c>
      <x:c r="Q51" s="48" t="n">
        <x:f>-2*O51/Inputs!$C$14</x:f>
        <x:v>39.96609129840134</x:v>
      </x:c>
      <x:c r="R51" s="48" t="n">
        <x:f>F51-Inputs!$C$16/2</x:f>
        <x:v>1300.4563099576765</x:v>
      </x:c>
      <x:c r="S51" s="48" t="n">
        <x:f>F51+Inputs!$C$16/2</x:f>
        <x:v>1330.4563099576765</x:v>
      </x:c>
      <x:c r="T51" s="48" t="n">
        <x:f>F51-Inputs!$C$17/2</x:f>
        <x:v>1165.4563099576765</x:v>
      </x:c>
      <x:c r="U51" s="48" t="n">
        <x:f>F51+Inputs!$C$17/2</x:f>
        <x:v>1465.4563099576765</x:v>
      </x:c>
      <x:c r="V51" s="48" t="n">
        <x:f>ABS(P51)</x:f>
        <x:v>266.1741680473529</x:v>
      </x:c>
      <x:c r="W51" s="48" t="n">
        <x:f>ABS(Q51)</x:f>
        <x:v>39.96609129840134</x:v>
      </x:c>
      <x:c r="X51" s="48" t="n">
        <x: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(0.45*SIN(2*PI()*(((A51)/Inputs!$C$49)+Inputs!$C$47*0.137))+0.35*COS(2*PI()*(((0)/Inputs!$C$50)+Inputs!$C$47*0.173))+0.20*SIN(2*PI()*(((A51)+(0))/(0.5*(Inputs!$C$49+Inputs!$C$50))+Inputs!$C$47*0.097)))+0.30*(2*((SIN(((A51)*12.9898+(0)*78.233+Inputs!$C$47*37.719))*43758.5453)-INT((SIN(((A51)*12.9898+(0)*78.233+Inputs!$C$47*37.719))*43758.5453)))-1)))</x:f>
        <x:v>-0.6339718611461809</x:v>
      </x:c>
      <x:c r="Y51" s="48" t="n">
        <x: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(0.45*SIN(2*PI()*(((A51)/Inputs!$C$49)+Inputs!$C$47*0.137))+0.35*COS(2*PI()*(((Inputs!$C$6)/Inputs!$C$50)+Inputs!$C$47*0.173))+0.20*SIN(2*PI()*(((A51)+(Inputs!$C$6))/(0.5*(Inputs!$C$49+Inputs!$C$50))+Inputs!$C$47*0.097)))+0.30*(2*((SIN(((A51)*12.9898+(Inputs!$C$6)*78.233+Inputs!$C$47*37.719))*43758.5453)-INT((SIN(((A51)*12.9898+(Inputs!$C$6)*78.233+Inputs!$C$47*37.719))*43758.5453)))-1)))</x:f>
        <x:v>284.9525044867838</x:v>
      </x:c>
      <x:c r="Z51" s="48" t="n">
        <x:f>B51-X51/1000</x:f>
        <x:v>401.4009117496389</x:v>
      </x:c>
      <x:c r="AA51" s="48" t="n">
        <x:f>SQRT(A51^2+Inputs!$C$6^2+(B51-Y51/1000)^2)</x:f>
        <x:v>403.4584912591356</x:v>
      </x:c>
      <x:c r="AB51" s="48" t="n">
        <x:f>(AA51-Z51)*1000</x:f>
        <x:v>2057.5795094966907</x:v>
      </x:c>
      <x:c r="AC51" s="48" t="n">
        <x:f>AB51/Inputs!$C$12</x:f>
        <x:v>1155.943544661062</x:v>
      </x:c>
      <x:c r="AD51" s="48" t="n">
        <x:f>2*AB51/Inputs!$C$21*1000000</x:f>
        <x:v>13.726692947670422</x:v>
      </x:c>
      <x:c r="AE51" s="48" t="n">
        <x:f>DEGREES(ATAN(H51/(B51-Y51/1000)))</x:f>
        <x:v>6.178031796965923</x:v>
      </x:c>
      <x:c r="AF51" s="48" t="n">
        <x:f>DEGREES((2*PI()/Inputs!$C$13)*Inputs!$C$15*SIN(RADIANS(AE51)))</x:f>
        <x:v>38.74254225330668</x:v>
      </x:c>
      <x:c r="AG51" s="48" t="n">
        <x:f>(Z51/AA51)^4</x:f>
        <x:v>0.9797561041185868</x:v>
      </x:c>
      <x:c r="AH51" s="48" t="n">
        <x:f>10*LOG10(AG51)</x:f>
        <x:v>-0.08882022081285179</x:v>
      </x:c>
      <x:c r="AI51" s="48" t="n">
        <x:f>AC51-F51</x:f>
        <x:v>-159.51276529661436</x:v>
      </x:c>
      <x:c r="AJ51" s="48" t="n">
        <x:f>AD51-G51</x:f>
        <x:v>-1.8941952317424438</x:v>
      </x:c>
      <x:c r="AK51" s="48" t="n">
        <x:f>Y51-X51</x:f>
        <x:v>285.58647634793</x:v>
      </x:c>
      <x:c r="AL51" s="48" t="n">
        <x:f>1000*(AA52-AA50)/(A52-A50)*Inputs!$C$11</x:f>
        <x:v>-695.3680786718905</x:v>
      </x:c>
      <x:c r="AM51" s="48" t="n">
        <x:f>-2*AL51/Inputs!$C$13</x:f>
        <x:v>278.1472314687562</x:v>
      </x:c>
      <x:c r="AN51" s="48" t="n">
        <x:f>-2*AL51/Inputs!$C$14</x:f>
        <x:v>41.76384856888232</x:v>
      </x:c>
      <x:c r="AO51" s="48" t="n">
        <x:f>ABS(AM51)</x:f>
        <x:v>278.1472314687562</x:v>
      </x:c>
      <x:c r="AP51" s="48" t="n">
        <x:f>ABS(AN51)</x:f>
        <x:v>41.76384856888232</x:v>
      </x:c>
      <x:c r="AQ51" s="48" t="n">
        <x:f>IF(OR(Inputs!$C$27=TRUE,Inputs!$C$27="TRUE",Inputs!$C$27=1),Inputs!$C$46/Inputs!$C$12,0)</x:f>
        <x:v>42.13483146067416</x:v>
      </x:c>
      <x:c r="AR51" s="48" t="n">
        <x:f>AC51-AQ51</x:f>
        <x:v>1113.808713200388</x:v>
      </x:c>
      <x:c r="AS51" s="48" t="n">
        <x:f>AC51+AQ51</x:f>
        <x:v>1198.0783761217363</x:v>
      </x:c>
    </x:row>
    <x:row r="52">
      <x:c r="A52" s="48" t="n">
        <x:f>Inputs!$C$7+50*(Inputs!$C$8-Inputs!$C$7)/240</x:f>
        <x:v>-35</x:v>
      </x:c>
      <x:c r="B52" s="48" t="n">
        <x:f>Inputs!$C$5+Inputs!$C$9*(A52/Inputs!$C$10)^2</x:f>
        <x:v>401.3611111111111</x:v>
      </x:c>
      <x:c r="C52" s="48" t="n">
        <x:f>B52</x:f>
        <x:v>401.3611111111111</x:v>
      </x:c>
      <x:c r="D52" s="48" t="n">
        <x:f>SQRT(A52^2+Inputs!$C$6^2+B52^2)</x:f>
        <x:v>403.65918980291485</x:v>
      </x:c>
      <x:c r="E52" s="48" t="n">
        <x:f>(D52-C52)*1000</x:f>
        <x:v>2298.0786918037666</x:v>
      </x:c>
      <x:c r="F52" s="48" t="n">
        <x:f>E52/Inputs!$C$12</x:f>
        <x:v>1291.0554448335768</x:v>
      </x:c>
      <x:c r="G52" s="48" t="n">
        <x:f>2*E52/Inputs!$C$21*1000000</x:f>
        <x:v>15.331130790513527</x:v>
      </x:c>
      <x:c r="H52" s="48" t="n">
        <x:f>SQRT(A52^2+Inputs!$C$6^2)</x:f>
        <x:v>43.01162633521314</x:v>
      </x:c>
      <x:c r="I52" s="48" t="n">
        <x:f>DEGREES(ATAN(H52/B52))</x:f>
        <x:v>6.116724388997361</x:v>
      </x:c>
      <x:c r="J52" s="48" t="n">
        <x:f>DEGREES((2*PI()/Inputs!$C$13)*Inputs!$C$15*SIN(RADIANS(I52)))</x:f>
        <x:v>38.35955150243656</x:v>
      </x:c>
      <x:c r="K52" s="48" t="n">
        <x:f>(C52/D52)^4</x:f>
        <x:v>0.9774212674058816</x:v>
      </x:c>
      <x:c r="L52" s="48" t="n">
        <x:f>10*LOG10(K52)</x:f>
        <x:v>-0.099182155262499</x:v>
      </x:c>
      <x:c r="M52" s="48" t="n">
        <x:f>2*(Inputs!$C$9/(Inputs!$C$10^2))*A52</x:f>
        <x:v>-0.07777777777777778</x:v>
      </x:c>
      <x:c r="N52" s="48" t="n">
        <x:f>M52*Inputs!$C$11</x:f>
        <x:v>-0.3111111111111111</x:v>
      </x:c>
      <x:c r="O52" s="48" t="n">
        <x:f>1000*((A52*Inputs!$C$11)+(B52*N52))/D52</x:f>
        <x:v>-656.167152700992</x:v>
      </x:c>
      <x:c r="P52" s="48" t="n">
        <x:f>-2*O52/Inputs!$C$13</x:f>
        <x:v>262.4668610803968</x:v>
      </x:c>
      <x:c r="Q52" s="48" t="n">
        <x:f>-2*O52/Inputs!$C$14</x:f>
        <x:v>39.40943860066018</x:v>
      </x:c>
      <x:c r="R52" s="48" t="n">
        <x:f>F52-Inputs!$C$16/2</x:f>
        <x:v>1276.0554448335768</x:v>
      </x:c>
      <x:c r="S52" s="48" t="n">
        <x:f>F52+Inputs!$C$16/2</x:f>
        <x:v>1306.0554448335768</x:v>
      </x:c>
      <x:c r="T52" s="48" t="n">
        <x:f>F52-Inputs!$C$17/2</x:f>
        <x:v>1141.0554448335768</x:v>
      </x:c>
      <x:c r="U52" s="48" t="n">
        <x:f>F52+Inputs!$C$17/2</x:f>
        <x:v>1441.0554448335768</x:v>
      </x:c>
      <x:c r="V52" s="48" t="n">
        <x:f>ABS(P52)</x:f>
        <x:v>262.4668610803968</x:v>
      </x:c>
      <x:c r="W52" s="48" t="n">
        <x:f>ABS(Q52)</x:f>
        <x:v>39.40943860066018</x:v>
      </x:c>
      <x:c r="X52" s="48" t="n">
        <x: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(0.45*SIN(2*PI()*(((A52)/Inputs!$C$49)+Inputs!$C$47*0.137))+0.35*COS(2*PI()*(((0)/Inputs!$C$50)+Inputs!$C$47*0.173))+0.20*SIN(2*PI()*(((A52)+(0))/(0.5*(Inputs!$C$49+Inputs!$C$50))+Inputs!$C$47*0.097)))+0.30*(2*((SIN(((A52)*12.9898+(0)*78.233+Inputs!$C$47*37.719))*43758.5453)-INT((SIN(((A52)*12.9898+(0)*78.233+Inputs!$C$47*37.719))*43758.5453)))-1)))</x:f>
        <x:v>-9.708529731781153</x:v>
      </x:c>
      <x:c r="Y52" s="48" t="n">
        <x: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(0.45*SIN(2*PI()*(((A52)/Inputs!$C$49)+Inputs!$C$47*0.137))+0.35*COS(2*PI()*(((Inputs!$C$6)/Inputs!$C$50)+Inputs!$C$47*0.173))+0.20*SIN(2*PI()*(((A52)+(Inputs!$C$6))/(0.5*(Inputs!$C$49+Inputs!$C$50))+Inputs!$C$47*0.097)))+0.30*(2*((SIN(((A52)*12.9898+(Inputs!$C$6)*78.233+Inputs!$C$47*37.719))*43758.5453)-INT((SIN(((A52)*12.9898+(Inputs!$C$6)*78.233+Inputs!$C$47*37.719))*43758.5453)))-1)))</x:f>
        <x:v>280.71344003946786</x:v>
      </x:c>
      <x:c r="Z52" s="48" t="n">
        <x:f>B52-X52/1000</x:f>
        <x:v>401.37081964084285</x:v>
      </x:c>
      <x:c r="AA52" s="48" t="n">
        <x:f>SQRT(A52^2+Inputs!$C$6^2+(B52-Y52/1000)^2)</x:f>
        <x:v>403.3800756061025</x:v>
      </x:c>
      <x:c r="AB52" s="48" t="n">
        <x:f>(AA52-Z52)*1000</x:f>
        <x:v>2009.2559652596265</x:v>
      </x:c>
      <x:c r="AC52" s="48" t="n">
        <x:f>AB52/Inputs!$C$12</x:f>
        <x:v>1128.7954861009136</x:v>
      </x:c>
      <x:c r="AD52" s="48" t="n">
        <x:f>2*AB52/Inputs!$C$21*1000000</x:f>
        <x:v>13.404312961466339</x:v>
      </x:c>
      <x:c r="AE52" s="48" t="n">
        <x:f>DEGREES(ATAN(H52/(B52-Y52/1000)))</x:f>
        <x:v>6.120972955455935</x:v>
      </x:c>
      <x:c r="AF52" s="48" t="n">
        <x:f>DEGREES((2*PI()/Inputs!$C$13)*Inputs!$C$15*SIN(RADIANS(AE52)))</x:f>
        <x:v>38.38609395223803</x:v>
      </x:c>
      <x:c r="AG52" s="48" t="n">
        <x:f>(Z52/AA52)^4</x:f>
        <x:v>0.980224174953733</x:v>
      </x:c>
      <x:c r="AH52" s="48" t="n">
        <x:f>10*LOG10(AG52)</x:f>
        <x:v>-0.0867459082610482</x:v>
      </x:c>
      <x:c r="AI52" s="48" t="n">
        <x:f>AC52-F52</x:f>
        <x:v>-162.2599587326631</x:v>
      </x:c>
      <x:c r="AJ52" s="48" t="n">
        <x:f>AD52-G52</x:f>
        <x:v>-1.926817829047188</x:v>
      </x:c>
      <x:c r="AK52" s="48" t="n">
        <x:f>Y52-X52</x:f>
        <x:v>290.421969771249</x:v>
      </x:c>
      <x:c r="AL52" s="48" t="n">
        <x:f>1000*(AA53-AA51)/(A53-A51)*Inputs!$C$11</x:f>
        <x:v>-781.1549596497116</x:v>
      </x:c>
      <x:c r="AM52" s="48" t="n">
        <x:f>-2*AL52/Inputs!$C$13</x:f>
        <x:v>312.46198385988464</x:v>
      </x:c>
      <x:c r="AN52" s="48" t="n">
        <x:f>-2*AL52/Inputs!$C$14</x:f>
        <x:v>46.91621379277547</x:v>
      </x:c>
      <x:c r="AO52" s="48" t="n">
        <x:f>ABS(AM52)</x:f>
        <x:v>312.46198385988464</x:v>
      </x:c>
      <x:c r="AP52" s="48" t="n">
        <x:f>ABS(AN52)</x:f>
        <x:v>46.91621379277547</x:v>
      </x:c>
      <x:c r="AQ52" s="48" t="n">
        <x:f>IF(OR(Inputs!$C$27=TRUE,Inputs!$C$27="TRUE",Inputs!$C$27=1),Inputs!$C$46/Inputs!$C$12,0)</x:f>
        <x:v>42.13483146067416</x:v>
      </x:c>
      <x:c r="AR52" s="48" t="n">
        <x:f>AC52-AQ52</x:f>
        <x:v>1086.6606546402395</x:v>
      </x:c>
      <x:c r="AS52" s="48" t="n">
        <x:f>AC52+AQ52</x:f>
        <x:v>1170.9303175615878</x:v>
      </x:c>
    </x:row>
    <x:row r="53">
      <x:c r="A53" s="48" t="n">
        <x:f>Inputs!$C$7+51*(Inputs!$C$8-Inputs!$C$7)/240</x:f>
        <x:v>-34.5</x:v>
      </x:c>
      <x:c r="B53" s="48" t="n">
        <x:f>Inputs!$C$5+Inputs!$C$9*(A53/Inputs!$C$10)^2</x:f>
        <x:v>401.3225</x:v>
      </x:c>
      <x:c r="C53" s="48" t="n">
        <x:f>B53</x:f>
        <x:v>401.3225</x:v>
      </x:c>
      <x:c r="D53" s="48" t="n">
        <x:f>SQRT(A53^2+Inputs!$C$6^2+B53^2)</x:f>
        <x:v>403.5777484032662</x:v>
      </x:c>
      <x:c r="E53" s="48" t="n">
        <x:f>(D53-C53)*1000</x:f>
        <x:v>2255.2484032661937</x:v>
      </x:c>
      <x:c r="F53" s="48" t="n">
        <x:f>E53/Inputs!$C$12</x:f>
        <x:v>1266.9934849810077</x:v>
      </x:c>
      <x:c r="G53" s="48" t="n">
        <x:f>2*E53/Inputs!$C$21*1000000</x:f>
        <x:v>15.0453978616513</x:v>
      </x:c>
      <x:c r="H53" s="48" t="n">
        <x:f>SQRT(A53^2+Inputs!$C$6^2)</x:f>
        <x:v>42.60575078554537</x:v>
      </x:c>
      <x:c r="I53" s="48" t="n">
        <x:f>DEGREES(ATAN(H53/B53))</x:f>
        <x:v>6.060014519595078</x:v>
      </x:c>
      <x:c r="J53" s="48" t="n">
        <x:f>DEGREES((2*PI()/Inputs!$C$13)*Inputs!$C$15*SIN(RADIANS(I53)))</x:f>
        <x:v>38.005242715884584</x:v>
      </x:c>
      <x:c r="K53" s="48" t="n">
        <x:f>(C53/D53)^4</x:f>
        <x:v>0.9778341122326911</x:v>
      </x:c>
      <x:c r="L53" s="48" t="n">
        <x:f>10*LOG10(K53)</x:f>
        <x:v>-0.0973481622741937</x:v>
      </x:c>
      <x:c r="M53" s="48" t="n">
        <x:f>2*(Inputs!$C$9/(Inputs!$C$10^2))*A53</x:f>
        <x:v>-0.07666666666666666</x:v>
      </x:c>
      <x:c r="N53" s="48" t="n">
        <x:f>M53*Inputs!$C$11</x:f>
        <x:v>-0.30666666666666664</x:v>
      </x:c>
      <x:c r="O53" s="48" t="n">
        <x:f>1000*((A53*Inputs!$C$11)+(B53*N53))/D53</x:f>
        <x:v>-646.8945187544449</x:v>
      </x:c>
      <x:c r="P53" s="48" t="n">
        <x:f>-2*O53/Inputs!$C$13</x:f>
        <x:v>258.75780750177796</x:v>
      </x:c>
      <x:c r="Q53" s="48" t="n">
        <x:f>-2*O53/Inputs!$C$14</x:f>
        <x:v>38.852523648915614</x:v>
      </x:c>
      <x:c r="R53" s="48" t="n">
        <x:f>F53-Inputs!$C$16/2</x:f>
        <x:v>1251.9934849810077</x:v>
      </x:c>
      <x:c r="S53" s="48" t="n">
        <x:f>F53+Inputs!$C$16/2</x:f>
        <x:v>1281.9934849810077</x:v>
      </x:c>
      <x:c r="T53" s="48" t="n">
        <x:f>F53-Inputs!$C$17/2</x:f>
        <x:v>1116.9934849810077</x:v>
      </x:c>
      <x:c r="U53" s="48" t="n">
        <x:f>F53+Inputs!$C$17/2</x:f>
        <x:v>1416.9934849810077</x:v>
      </x:c>
      <x:c r="V53" s="48" t="n">
        <x:f>ABS(P53)</x:f>
        <x:v>258.75780750177796</x:v>
      </x:c>
      <x:c r="W53" s="48" t="n">
        <x:f>ABS(Q53)</x:f>
        <x:v>38.852523648915614</x:v>
      </x:c>
      <x:c r="X53" s="48" t="n">
        <x: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(0.45*SIN(2*PI()*(((A53)/Inputs!$C$49)+Inputs!$C$47*0.137))+0.35*COS(2*PI()*(((0)/Inputs!$C$50)+Inputs!$C$47*0.173))+0.20*SIN(2*PI()*(((A53)+(0))/(0.5*(Inputs!$C$49+Inputs!$C$50))+Inputs!$C$47*0.097)))+0.30*(2*((SIN(((A53)*12.9898+(0)*78.233+Inputs!$C$47*37.719))*43758.5453)-INT((SIN(((A53)*12.9898+(0)*78.233+Inputs!$C$47*37.719))*43758.5453)))-1)))</x:f>
        <x:v>-9.85965082687293</x:v>
      </x:c>
      <x:c r="Y53" s="48" t="n">
        <x: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(0.45*SIN(2*PI()*(((A53)/Inputs!$C$49)+Inputs!$C$47*0.137))+0.35*COS(2*PI()*(((Inputs!$C$6)/Inputs!$C$50)+Inputs!$C$47*0.173))+0.20*SIN(2*PI()*(((A53)+(Inputs!$C$6))/(0.5*(Inputs!$C$49+Inputs!$C$50))+Inputs!$C$47*0.097)))+0.30*(2*((SIN(((A53)*12.9898+(Inputs!$C$6)*78.233+Inputs!$C$47*37.719))*43758.5453)-INT((SIN(((A53)*12.9898+(Inputs!$C$6)*78.233+Inputs!$C$47*37.719))*43758.5453)))-1)))</x:f>
        <x:v>316.314878049505</x:v>
      </x:c>
      <x:c r="Z53" s="48" t="n">
        <x:f>B53-X53/1000</x:f>
        <x:v>401.33235965082685</x:v>
      </x:c>
      <x:c r="AA53" s="48" t="n">
        <x:f>SQRT(A53^2+Inputs!$C$6^2+(B53-Y53/1000)^2)</x:f>
        <x:v>403.26320251922317</x:v>
      </x:c>
      <x:c r="AB53" s="48" t="n">
        <x:f>(AA53-Z53)*1000</x:f>
        <x:v>1930.8428683963257</x:v>
      </x:c>
      <x:c r="AC53" s="48" t="n">
        <x:f>AB53/Inputs!$C$12</x:f>
        <x:v>1084.7431844923178</x:v>
      </x:c>
      <x:c r="AD53" s="48" t="n">
        <x:f>2*AB53/Inputs!$C$21*1000000</x:f>
        <x:v>12.881197087328498</x:v>
      </x:c>
      <x:c r="AE53" s="48" t="n">
        <x:f>DEGREES(ATAN(H53/(B53-Y53/1000)))</x:f>
        <x:v>6.064759065659421</x:v>
      </x:c>
      <x:c r="AF53" s="48" t="n">
        <x:f>DEGREES((2*PI()/Inputs!$C$13)*Inputs!$C$15*SIN(RADIANS(AE53)))</x:f>
        <x:v>38.03488686043747</x:v>
      </x:c>
      <x:c r="AG53" s="48" t="n">
        <x:f>(Z53/AA53)^4</x:f>
        <x:v>0.9809849287384123</x:v>
      </x:c>
      <x:c r="AH53" s="48" t="n">
        <x:f>10*LOG10(AG53)</x:f>
        <x:v>-0.08337664807637779</x:v>
      </x:c>
      <x:c r="AI53" s="48" t="n">
        <x:f>AC53-F53</x:f>
        <x:v>-182.25030048868985</x:v>
      </x:c>
      <x:c r="AJ53" s="48" t="n">
        <x:f>AD53-G53</x:f>
        <x:v>-2.1642007743228024</x:v>
      </x:c>
      <x:c r="AK53" s="48" t="n">
        <x:f>Y53-X53</x:f>
        <x:v>326.17452887637796</x:v>
      </x:c>
      <x:c r="AL53" s="48" t="n">
        <x:f>1000*(AA54-AA52)/(A54-A52)*Inputs!$C$11</x:f>
        <x:v>-801.0850380687771</x:v>
      </x:c>
      <x:c r="AM53" s="48" t="n">
        <x:f>-2*AL53/Inputs!$C$13</x:f>
        <x:v>320.4340152275108</x:v>
      </x:c>
      <x:c r="AN53" s="48" t="n">
        <x:f>-2*AL53/Inputs!$C$14</x:f>
        <x:v>48.11321549962626</x:v>
      </x:c>
      <x:c r="AO53" s="48" t="n">
        <x:f>ABS(AM53)</x:f>
        <x:v>320.4340152275108</x:v>
      </x:c>
      <x:c r="AP53" s="48" t="n">
        <x:f>ABS(AN53)</x:f>
        <x:v>48.11321549962626</x:v>
      </x:c>
      <x:c r="AQ53" s="48" t="n">
        <x:f>IF(OR(Inputs!$C$27=TRUE,Inputs!$C$27="TRUE",Inputs!$C$27=1),Inputs!$C$46/Inputs!$C$12,0)</x:f>
        <x:v>42.13483146067416</x:v>
      </x:c>
      <x:c r="AR53" s="48" t="n">
        <x:f>AC53-AQ53</x:f>
        <x:v>1042.6083530316437</x:v>
      </x:c>
      <x:c r="AS53" s="48" t="n">
        <x:f>AC53+AQ53</x:f>
        <x:v>1126.878015952992</x:v>
      </x:c>
    </x:row>
    <x:row r="54">
      <x:c r="A54" s="48" t="n">
        <x:f>Inputs!$C$7+52*(Inputs!$C$8-Inputs!$C$7)/240</x:f>
        <x:v>-34</x:v>
      </x:c>
      <x:c r="B54" s="48" t="n">
        <x:f>Inputs!$C$5+Inputs!$C$9*(A54/Inputs!$C$10)^2</x:f>
        <x:v>401.28444444444443</x:v>
      </x:c>
      <x:c r="C54" s="48" t="n">
        <x:f>B54</x:f>
        <x:v>401.28444444444443</x:v>
      </x:c>
      <x:c r="D54" s="48" t="n">
        <x:f>SQRT(A54^2+Inputs!$C$6^2+B54^2)</x:f>
        <x:v>403.49746635274727</x:v>
      </x:c>
      <x:c r="E54" s="48" t="n">
        <x:f>(D54-C54)*1000</x:f>
        <x:v>2213.021908302835</x:v>
      </x:c>
      <x:c r="F54" s="48" t="n">
        <x:f>E54/Inputs!$C$12</x:f>
        <x:v>1243.2707350015928</x:v>
      </x:c>
      <x:c r="G54" s="48" t="n">
        <x:f>2*E54/Inputs!$C$21*1000000</x:f>
        <x:v>14.76369300993446</x:v>
      </x:c>
      <x:c r="H54" s="48" t="n">
        <x:f>SQRT(A54^2+Inputs!$C$6^2)</x:f>
        <x:v>42.20189569201838</x:v>
      </x:c>
      <x:c r="I54" s="48" t="n">
        <x:f>DEGREES(ATAN(H54/B54))</x:f>
        <x:v>6.003558889809033</x:v>
      </x:c>
      <x:c r="J54" s="48" t="n">
        <x:f>DEGREES((2*PI()/Inputs!$C$13)*Inputs!$C$15*SIN(RADIANS(I54)))</x:f>
        <x:v>37.65248537110963</x:v>
      </x:c>
      <x:c r="K54" s="48" t="n">
        <x:f>(C54/D54)^4</x:f>
        <x:v>0.9782414288853452</x:v>
      </x:c>
      <x:c r="L54" s="48" t="n">
        <x:f>10*LOG10(K54)</x:f>
        <x:v>-0.0955394859375877</x:v>
      </x:c>
      <x:c r="M54" s="48" t="n">
        <x:f>2*(Inputs!$C$9/(Inputs!$C$10^2))*A54</x:f>
        <x:v>-0.07555555555555556</x:v>
      </x:c>
      <x:c r="N54" s="48" t="n">
        <x:f>M54*Inputs!$C$11</x:f>
        <x:v>-0.3022222222222222</x:v>
      </x:c>
      <x:c r="O54" s="48" t="n">
        <x:f>1000*((A54*Inputs!$C$11)+(B54*N54))/D54</x:f>
        <x:v>-637.6175763103604</x:v>
      </x:c>
      <x:c r="P54" s="48" t="n">
        <x:f>-2*O54/Inputs!$C$13</x:f>
        <x:v>255.04703052414416</x:v>
      </x:c>
      <x:c r="Q54" s="48" t="n">
        <x:f>-2*O54/Inputs!$C$14</x:f>
        <x:v>38.29534992855017</x:v>
      </x:c>
      <x:c r="R54" s="48" t="n">
        <x:f>F54-Inputs!$C$16/2</x:f>
        <x:v>1228.2707350015928</x:v>
      </x:c>
      <x:c r="S54" s="48" t="n">
        <x:f>F54+Inputs!$C$16/2</x:f>
        <x:v>1258.2707350015928</x:v>
      </x:c>
      <x:c r="T54" s="48" t="n">
        <x:f>F54-Inputs!$C$17/2</x:f>
        <x:v>1093.2707350015928</x:v>
      </x:c>
      <x:c r="U54" s="48" t="n">
        <x:f>F54+Inputs!$C$17/2</x:f>
        <x:v>1393.2707350015928</x:v>
      </x:c>
      <x:c r="V54" s="48" t="n">
        <x:f>ABS(P54)</x:f>
        <x:v>255.04703052414416</x:v>
      </x:c>
      <x:c r="W54" s="48" t="n">
        <x:f>ABS(Q54)</x:f>
        <x:v>38.29534992855017</x:v>
      </x:c>
      <x:c r="X54" s="48" t="n">
        <x: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(0.45*SIN(2*PI()*(((A54)/Inputs!$C$49)+Inputs!$C$47*0.137))+0.35*COS(2*PI()*(((0)/Inputs!$C$50)+Inputs!$C$47*0.173))+0.20*SIN(2*PI()*(((A54)+(0))/(0.5*(Inputs!$C$49+Inputs!$C$50))+Inputs!$C$47*0.097)))+0.30*(2*((SIN(((A54)*12.9898+(0)*78.233+Inputs!$C$47*37.719))*43758.5453)-INT((SIN(((A54)*12.9898+(0)*78.233+Inputs!$C$47*37.719))*43758.5453)))-1)))</x:f>
        <x:v>0.233219012771956</x:v>
      </x:c>
      <x:c r="Y54" s="48" t="n">
        <x: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(0.45*SIN(2*PI()*(((A54)/Inputs!$C$49)+Inputs!$C$47*0.137))+0.35*COS(2*PI()*(((Inputs!$C$6)/Inputs!$C$50)+Inputs!$C$47*0.173))+0.20*SIN(2*PI()*(((A54)+(Inputs!$C$6))/(0.5*(Inputs!$C$49+Inputs!$C$50))+Inputs!$C$47*0.097)))+0.30*(2*((SIN(((A54)*12.9898+(Inputs!$C$6)*78.233+Inputs!$C$47*37.719))*43758.5453)-INT((SIN(((A54)*12.9898+(Inputs!$C$6)*78.233+Inputs!$C$47*37.719))*43758.5453)))-1)))</x:f>
        <x:v>319.4152549266823</x:v>
      </x:c>
      <x:c r="Z54" s="48" t="n">
        <x:f>B54-X54/1000</x:f>
        <x:v>401.28421122543165</x:v>
      </x:c>
      <x:c r="AA54" s="48" t="n">
        <x:f>SQRT(A54^2+Inputs!$C$6^2+(B54-Y54/1000)^2)</x:f>
        <x:v>403.1798043465853</x:v>
      </x:c>
      <x:c r="AB54" s="48" t="n">
        <x:f>(AA54-Z54)*1000</x:f>
        <x:v>1895.593121153638</x:v>
      </x:c>
      <x:c r="AC54" s="48" t="n">
        <x:f>AB54/Inputs!$C$12</x:f>
        <x:v>1064.9399557042912</x:v>
      </x:c>
      <x:c r="AD54" s="48" t="n">
        <x:f>2*AB54/Inputs!$C$21*1000000</x:f>
        <x:v>12.646036086429087</x:v>
      </x:c>
      <x:c r="AE54" s="48" t="n">
        <x:f>DEGREES(ATAN(H54/(B54-Y54/1000)))</x:f>
        <x:v>6.008306452022451</x:v>
      </x:c>
      <x:c r="AF54" s="48" t="n">
        <x:f>DEGREES((2*PI()/Inputs!$C$13)*Inputs!$C$15*SIN(RADIANS(AE54)))</x:f>
        <x:v>37.682151450389966</x:v>
      </x:c>
      <x:c r="AG54" s="48" t="n">
        <x:f>(Z54/AA54)^4</x:f>
        <x:v>0.9813257861415393</x:v>
      </x:c>
      <x:c r="AH54" s="48" t="n">
        <x:f>10*LOG10(AG54)</x:f>
        <x:v>-0.08186789118420701</x:v>
      </x:c>
      <x:c r="AI54" s="48" t="n">
        <x:f>AC54-F54</x:f>
        <x:v>-178.33077929730166</x:v>
      </x:c>
      <x:c r="AJ54" s="48" t="n">
        <x:f>AD54-G54</x:f>
        <x:v>-2.1176569235053737</x:v>
      </x:c>
      <x:c r="AK54" s="48" t="n">
        <x:f>Y54-X54</x:f>
        <x:v>319.18203591391034</x:v>
      </x:c>
      <x:c r="AL54" s="48" t="n">
        <x:f>1000*(AA55-AA53)/(A55-A53)*Inputs!$C$11</x:f>
        <x:v>-686.1353900651466</x:v>
      </x:c>
      <x:c r="AM54" s="48" t="n">
        <x:f>-2*AL54/Inputs!$C$13</x:f>
        <x:v>274.4541560260586</x:v>
      </x:c>
      <x:c r="AN54" s="48" t="n">
        <x:f>-2*AL54/Inputs!$C$14</x:f>
        <x:v>41.20933273664544</x:v>
      </x:c>
      <x:c r="AO54" s="48" t="n">
        <x:f>ABS(AM54)</x:f>
        <x:v>274.4541560260586</x:v>
      </x:c>
      <x:c r="AP54" s="48" t="n">
        <x:f>ABS(AN54)</x:f>
        <x:v>41.20933273664544</x:v>
      </x:c>
      <x:c r="AQ54" s="48" t="n">
        <x:f>IF(OR(Inputs!$C$27=TRUE,Inputs!$C$27="TRUE",Inputs!$C$27=1),Inputs!$C$46/Inputs!$C$12,0)</x:f>
        <x:v>42.13483146067416</x:v>
      </x:c>
      <x:c r="AR54" s="48" t="n">
        <x:f>AC54-AQ54</x:f>
        <x:v>1022.805124243617</x:v>
      </x:c>
      <x:c r="AS54" s="48" t="n">
        <x:f>AC54+AQ54</x:f>
        <x:v>1107.0747871649653</x:v>
      </x:c>
    </x:row>
    <x:row r="55">
      <x:c r="A55" s="48" t="n">
        <x:f>Inputs!$C$7+53*(Inputs!$C$8-Inputs!$C$7)/240</x:f>
        <x:v>-33.5</x:v>
      </x:c>
      <x:c r="B55" s="48" t="n">
        <x:f>Inputs!$C$5+Inputs!$C$9*(A55/Inputs!$C$10)^2</x:f>
        <x:v>401.24694444444447</x:v>
      </x:c>
      <x:c r="C55" s="48" t="n">
        <x:f>B55</x:f>
        <x:v>401.24694444444447</x:v>
      </x:c>
      <x:c r="D55" s="48" t="n">
        <x:f>SQRT(A55^2+Inputs!$C$6^2+B55^2)</x:f>
        <x:v>403.418344186284</x:v>
      </x:c>
      <x:c r="E55" s="48" t="n">
        <x:f>(D55-C55)*1000</x:f>
        <x:v>2171.3997418395365</x:v>
      </x:c>
      <x:c r="F55" s="48" t="n">
        <x:f>E55/Inputs!$C$12</x:f>
        <x:v>1219.8874954154699</x:v>
      </x:c>
      <x:c r="G55" s="48" t="n">
        <x:f>2*E55/Inputs!$C$21*1000000</x:f>
        <x:v>14.486019804004119</x:v>
      </x:c>
      <x:c r="H55" s="48" t="n">
        <x:f>SQRT(A55^2+Inputs!$C$6^2)</x:f>
        <x:v>41.80011961705373</x:v>
      </x:c>
      <x:c r="I55" s="48" t="n">
        <x:f>DEGREES(ATAN(H55/B55))</x:f>
        <x:v>5.947366354766674</x:v>
      </x:c>
      <x:c r="J55" s="48" t="n">
        <x:f>DEGREES((2*PI()/Inputs!$C$13)*Inputs!$C$15*SIN(RADIANS(I55)))</x:f>
        <x:v>37.30133564573529</x:v>
      </x:c>
      <x:c r="K55" s="48" t="n">
        <x:f>(C55/D55)^4</x:f>
        <x:v>0.9786432000050733</x:v>
      </x:c>
      <x:c r="L55" s="48" t="n">
        <x:f>10*LOG10(K55)</x:f>
        <x:v>-0.0937561719888581</x:v>
      </x:c>
      <x:c r="M55" s="48" t="n">
        <x:f>2*(Inputs!$C$9/(Inputs!$C$10^2))*A55</x:f>
        <x:v>-0.07444444444444444</x:v>
      </x:c>
      <x:c r="N55" s="48" t="n">
        <x:f>M55*Inputs!$C$11</x:f>
        <x:v>-0.29777777777777775</x:v>
      </x:c>
      <x:c r="O55" s="48" t="n">
        <x:f>1000*((A55*Inputs!$C$11)+(B55*N55))/D55</x:f>
        <x:v>-628.3363835823517</x:v>
      </x:c>
      <x:c r="P55" s="48" t="n">
        <x:f>-2*O55/Inputs!$C$13</x:f>
        <x:v>251.33455343294068</x:v>
      </x:c>
      <x:c r="Q55" s="48" t="n">
        <x:f>-2*O55/Inputs!$C$14</x:f>
        <x:v>37.73792093587698</x:v>
      </x:c>
      <x:c r="R55" s="48" t="n">
        <x:f>F55-Inputs!$C$16/2</x:f>
        <x:v>1204.8874954154699</x:v>
      </x:c>
      <x:c r="S55" s="48" t="n">
        <x:f>F55+Inputs!$C$16/2</x:f>
        <x:v>1234.8874954154699</x:v>
      </x:c>
      <x:c r="T55" s="48" t="n">
        <x:f>F55-Inputs!$C$17/2</x:f>
        <x:v>1069.8874954154699</x:v>
      </x:c>
      <x:c r="U55" s="48" t="n">
        <x:f>F55+Inputs!$C$17/2</x:f>
        <x:v>1369.8874954154699</x:v>
      </x:c>
      <x:c r="V55" s="48" t="n">
        <x:f>ABS(P55)</x:f>
        <x:v>251.33455343294068</x:v>
      </x:c>
      <x:c r="W55" s="48" t="n">
        <x:f>ABS(Q55)</x:f>
        <x:v>37.73792093587698</x:v>
      </x:c>
      <x:c r="X55" s="48" t="n">
        <x: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(0.45*SIN(2*PI()*(((A55)/Inputs!$C$49)+Inputs!$C$47*0.137))+0.35*COS(2*PI()*(((0)/Inputs!$C$50)+Inputs!$C$47*0.173))+0.20*SIN(2*PI()*(((A55)+(0))/(0.5*(Inputs!$C$49+Inputs!$C$50))+Inputs!$C$47*0.097)))+0.30*(2*((SIN(((A55)*12.9898+(0)*78.233+Inputs!$C$47*37.719))*43758.5453)-INT((SIN(((A55)*12.9898+(0)*78.233+Inputs!$C$47*37.719))*43758.5453)))-1)))</x:f>
        <x:v>8.500195567439437</x:v>
      </x:c>
      <x:c r="Y55" s="48" t="n">
        <x: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(0.45*SIN(2*PI()*(((A55)/Inputs!$C$49)+Inputs!$C$47*0.137))+0.35*COS(2*PI()*(((Inputs!$C$6)/Inputs!$C$50)+Inputs!$C$47*0.173))+0.20*SIN(2*PI()*(((A55)+(Inputs!$C$6))/(0.5*(Inputs!$C$49+Inputs!$C$50))+Inputs!$C$47*0.097)))+0.30*(2*((SIN(((A55)*12.9898+(Inputs!$C$6)*78.233+Inputs!$C$47*37.719))*43758.5453)-INT((SIN(((A55)*12.9898+(Inputs!$C$6)*78.233+Inputs!$C$47*37.719))*43758.5453)))-1)))</x:f>
        <x:v>328.4448057508986</x:v>
      </x:c>
      <x:c r="Z55" s="48" t="n">
        <x:f>B55-X55/1000</x:f>
        <x:v>401.23844424887704</x:v>
      </x:c>
      <x:c r="AA55" s="48" t="n">
        <x:f>SQRT(A55^2+Inputs!$C$6^2+(B55-Y55/1000)^2)</x:f>
        <x:v>403.0916686717069</x:v>
      </x:c>
      <x:c r="AB55" s="48" t="n">
        <x:f>(AA55-Z55)*1000</x:f>
        <x:v>1853.2244228298396</x:v>
      </x:c>
      <x:c r="AC55" s="48" t="n">
        <x:f>AB55/Inputs!$C$12</x:f>
        <x:v>1041.1373161965391</x:v>
      </x:c>
      <x:c r="AD55" s="48" t="n">
        <x:f>2*AB55/Inputs!$C$21*1000000</x:f>
        <x:v>12.36338255600706</x:v>
      </x:c>
      <x:c r="AE55" s="48" t="n">
        <x:f>DEGREES(ATAN(H55/(B55-Y55/1000)))</x:f>
        <x:v>5.952203655531789</x:v>
      </x:c>
      <x:c r="AF55" s="48" t="n">
        <x:f>DEGREES((2*PI()/Inputs!$C$13)*Inputs!$C$15*SIN(RADIANS(AE55)))</x:f>
        <x:v>37.33156557595596</x:v>
      </x:c>
      <x:c r="AG55" s="48" t="n">
        <x:f>(Z55/AA55)^4</x:f>
        <x:v>0.9817363312443749</x:v>
      </x:c>
      <x:c r="AH55" s="48" t="n">
        <x:f>10*LOG10(AG55)</x:f>
        <x:v>-0.0800513671551993</x:v>
      </x:c>
      <x:c r="AI55" s="48" t="n">
        <x:f>AC55-F55</x:f>
        <x:v>-178.75017921893073</x:v>
      </x:c>
      <x:c r="AJ55" s="48" t="n">
        <x:f>AD55-G55</x:f>
        <x:v>-2.1226372479970586</x:v>
      </x:c>
      <x:c r="AK55" s="48" t="n">
        <x:f>Y55-X55</x:f>
        <x:v>319.94461018345913</x:v>
      </x:c>
      <x:c r="AL55" s="48" t="n">
        <x:f>1000*(AA56-AA54)/(A56-A54)*Inputs!$C$11</x:f>
        <x:v>-718.6832501154186</x:v>
      </x:c>
      <x:c r="AM55" s="48" t="n">
        <x:f>-2*AL55/Inputs!$C$13</x:f>
        <x:v>287.4733000461674</x:v>
      </x:c>
      <x:c r="AN55" s="48" t="n">
        <x:f>-2*AL55/Inputs!$C$14</x:f>
        <x:v>43.16415916609121</x:v>
      </x:c>
      <x:c r="AO55" s="48" t="n">
        <x:f>ABS(AM55)</x:f>
        <x:v>287.4733000461674</x:v>
      </x:c>
      <x:c r="AP55" s="48" t="n">
        <x:f>ABS(AN55)</x:f>
        <x:v>43.16415916609121</x:v>
      </x:c>
      <x:c r="AQ55" s="48" t="n">
        <x:f>IF(OR(Inputs!$C$27=TRUE,Inputs!$C$27="TRUE",Inputs!$C$27=1),Inputs!$C$46/Inputs!$C$12,0)</x:f>
        <x:v>42.13483146067416</x:v>
      </x:c>
      <x:c r="AR55" s="48" t="n">
        <x:f>AC55-AQ55</x:f>
        <x:v>999.002484735865</x:v>
      </x:c>
      <x:c r="AS55" s="48" t="n">
        <x:f>AC55+AQ55</x:f>
        <x:v>1083.2721476572133</x:v>
      </x:c>
    </x:row>
    <x:row r="56">
      <x:c r="A56" s="48" t="n">
        <x:f>Inputs!$C$7+54*(Inputs!$C$8-Inputs!$C$7)/240</x:f>
        <x:v>-33</x:v>
      </x:c>
      <x:c r="B56" s="48" t="n">
        <x:f>Inputs!$C$5+Inputs!$C$9*(A56/Inputs!$C$10)^2</x:f>
        <x:v>401.21</x:v>
      </x:c>
      <x:c r="C56" s="48" t="n">
        <x:f>B56</x:f>
        <x:v>401.21</x:v>
      </x:c>
      <x:c r="D56" s="48" t="n">
        <x:f>SQRT(A56^2+Inputs!$C$6^2+B56^2)</x:f>
        <x:v>403.340382431514</x:v>
      </x:c>
      <x:c r="E56" s="48" t="n">
        <x:f>(D56-C56)*1000</x:f>
        <x:v>2130.382431514022</x:v>
      </x:c>
      <x:c r="F56" s="48" t="n">
        <x:f>E56/Inputs!$C$12</x:f>
        <x:v>1196.8440626483268</x:v>
      </x:c>
      <x:c r="G56" s="48" t="n">
        <x:f>2*E56/Inputs!$C$21*1000000</x:f>
        <x:v>14.212381763880277</x:v>
      </x:c>
      <x:c r="H56" s="48" t="n">
        <x:f>SQRT(A56^2+Inputs!$C$6^2)</x:f>
        <x:v>41.400483088968905</x:v>
      </x:c>
      <x:c r="I56" s="48" t="n">
        <x:f>DEGREES(ATAN(H56/B56))</x:f>
        <x:v>5.891446051651431</x:v>
      </x:c>
      <x:c r="J56" s="48" t="n">
        <x:f>DEGREES((2*PI()/Inputs!$C$13)*Inputs!$C$15*SIN(RADIANS(I56)))</x:f>
        <x:v>36.95185149123889</x:v>
      </x:c>
      <x:c r="K56" s="48" t="n">
        <x:f>(C56/D56)^4</x:f>
        <x:v>0.9790394084468791</x:v>
      </x:c>
      <x:c r="L56" s="48" t="n">
        <x:f>10*LOG10(K56)</x:f>
        <x:v>-0.09199826555840601</x:v>
      </x:c>
      <x:c r="M56" s="48" t="n">
        <x:f>2*(Inputs!$C$9/(Inputs!$C$10^2))*A56</x:f>
        <x:v>-0.07333333333333333</x:v>
      </x:c>
      <x:c r="N56" s="48" t="n">
        <x:f>M56*Inputs!$C$11</x:f>
        <x:v>-0.29333333333333333</x:v>
      </x:c>
      <x:c r="O56" s="48" t="n">
        <x:f>1000*((A56*Inputs!$C$11)+(B56*N56))/D56</x:f>
        <x:v>-619.050998963792</x:v>
      </x:c>
      <x:c r="P56" s="48" t="n">
        <x:f>-2*O56/Inputs!$C$13</x:f>
        <x:v>247.62039958551682</x:v>
      </x:c>
      <x:c r="Q56" s="48" t="n">
        <x:f>-2*O56/Inputs!$C$14</x:f>
        <x:v>37.18024017800553</x:v>
      </x:c>
      <x:c r="R56" s="48" t="n">
        <x:f>F56-Inputs!$C$16/2</x:f>
        <x:v>1181.8440626483268</x:v>
      </x:c>
      <x:c r="S56" s="48" t="n">
        <x:f>F56+Inputs!$C$16/2</x:f>
        <x:v>1211.8440626483268</x:v>
      </x:c>
      <x:c r="T56" s="48" t="n">
        <x:f>F56-Inputs!$C$17/2</x:f>
        <x:v>1046.8440626483268</x:v>
      </x:c>
      <x:c r="U56" s="48" t="n">
        <x:f>F56+Inputs!$C$17/2</x:f>
        <x:v>1346.8440626483268</x:v>
      </x:c>
      <x:c r="V56" s="48" t="n">
        <x:f>ABS(P56)</x:f>
        <x:v>247.62039958551682</x:v>
      </x:c>
      <x:c r="W56" s="48" t="n">
        <x:f>ABS(Q56)</x:f>
        <x:v>37.18024017800553</x:v>
      </x:c>
      <x:c r="X56" s="48" t="n">
        <x: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(0.45*SIN(2*PI()*(((A56)/Inputs!$C$49)+Inputs!$C$47*0.137))+0.35*COS(2*PI()*(((0)/Inputs!$C$50)+Inputs!$C$47*0.173))+0.20*SIN(2*PI()*(((A56)+(0))/(0.5*(Inputs!$C$49+Inputs!$C$50))+Inputs!$C$47*0.097)))+0.30*(2*((SIN(((A56)*12.9898+(0)*78.233+Inputs!$C$47*37.719))*43758.5453)-INT((SIN(((A56)*12.9898+(0)*78.233+Inputs!$C$47*37.719))*43758.5453)))-1)))</x:f>
        <x:v>12.884972617306985</x:v>
      </x:c>
      <x:c r="Y56" s="48" t="n">
        <x: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(0.45*SIN(2*PI()*(((A56)/Inputs!$C$49)+Inputs!$C$47*0.137))+0.35*COS(2*PI()*(((Inputs!$C$6)/Inputs!$C$50)+Inputs!$C$47*0.173))+0.20*SIN(2*PI()*(((A56)+(Inputs!$C$6))/(0.5*(Inputs!$C$49+Inputs!$C$50))+Inputs!$C$47*0.097)))+0.30*(2*((SIN(((A56)*12.9898+(Inputs!$C$6)*78.233+Inputs!$C$47*37.719))*43758.5453)-INT((SIN(((A56)*12.9898+(Inputs!$C$6)*78.233+Inputs!$C$47*37.719))*43758.5453)))-1)))</x:f>
        <x:v>342.0571204684842</x:v>
      </x:c>
      <x:c r="Z56" s="48" t="n">
        <x:f>B56-X56/1000</x:f>
        <x:v>401.19711502738267</x:v>
      </x:c>
      <x:c r="AA56" s="48" t="n">
        <x:f>SQRT(A56^2+Inputs!$C$6^2+(B56-Y56/1000)^2)</x:f>
        <x:v>403.00013353405643</x:v>
      </x:c>
      <x:c r="AB56" s="48" t="n">
        <x:f>(AA56-Z56)*1000</x:f>
        <x:v>1803.0185066737658</x:v>
      </x:c>
      <x:c r="AC56" s="48" t="n">
        <x:f>AB56/Inputs!$C$12</x:f>
        <x:v>1012.9317453223404</x:v>
      </x:c>
      <x:c r="AD56" s="48" t="n">
        <x:f>2*AB56/Inputs!$C$21*1000000</x:f>
        <x:v>12.02844473608316</x:v>
      </x:c>
      <x:c r="AE56" s="48" t="n">
        <x:f>DEGREES(ATAN(H56/(B56-Y56/1000)))</x:f>
        <x:v>5.896437766649704</x:v>
      </x:c>
      <x:c r="AF56" s="48" t="n">
        <x:f>DEGREES((2*PI()/Inputs!$C$13)*Inputs!$C$15*SIN(RADIANS(AE56)))</x:f>
        <x:v>36.983049562114594</x:v>
      </x:c>
      <x:c r="AG56" s="48" t="n">
        <x:f>(Z56/AA56)^4</x:f>
        <x:v>0.9822237822987345</x:v>
      </x:c>
      <x:c r="AH56" s="48" t="n">
        <x:f>10*LOG10(AG56)</x:f>
        <x:v>-0.0778955463114509</x:v>
      </x:c>
      <x:c r="AI56" s="48" t="n">
        <x:f>AC56-F56</x:f>
        <x:v>-183.91231732598646</x:v>
      </x:c>
      <x:c r="AJ56" s="48" t="n">
        <x:f>AD56-G56</x:f>
        <x:v>-2.1839370277971177</x:v>
      </x:c>
      <x:c r="AK56" s="48" t="n">
        <x:f>Y56-X56</x:f>
        <x:v>329.1721478511772</x:v>
      </x:c>
      <x:c r="AL56" s="48" t="n">
        <x:f>1000*(AA57-AA55)/(A57-A55)*Inputs!$C$11</x:f>
        <x:v>-708.7405615852731</x:v>
      </x:c>
      <x:c r="AM56" s="48" t="n">
        <x:f>-2*AL56/Inputs!$C$13</x:f>
        <x:v>283.49622463410924</x:v>
      </x:c>
      <x:c r="AN56" s="48" t="n">
        <x:f>-2*AL56/Inputs!$C$14</x:f>
        <x:v>42.567000695812204</x:v>
      </x:c>
      <x:c r="AO56" s="48" t="n">
        <x:f>ABS(AM56)</x:f>
        <x:v>283.49622463410924</x:v>
      </x:c>
      <x:c r="AP56" s="48" t="n">
        <x:f>ABS(AN56)</x:f>
        <x:v>42.567000695812204</x:v>
      </x:c>
      <x:c r="AQ56" s="48" t="n">
        <x:f>IF(OR(Inputs!$C$27=TRUE,Inputs!$C$27="TRUE",Inputs!$C$27=1),Inputs!$C$46/Inputs!$C$12,0)</x:f>
        <x:v>42.13483146067416</x:v>
      </x:c>
      <x:c r="AR56" s="48" t="n">
        <x:f>AC56-AQ56</x:f>
        <x:v>970.7969138616662</x:v>
      </x:c>
      <x:c r="AS56" s="48" t="n">
        <x:f>AC56+AQ56</x:f>
        <x:v>1055.0665767830146</x:v>
      </x:c>
    </x:row>
    <x:row r="57">
      <x:c r="A57" s="48" t="n">
        <x:f>Inputs!$C$7+55*(Inputs!$C$8-Inputs!$C$7)/240</x:f>
        <x:v>-32.5</x:v>
      </x:c>
      <x:c r="B57" s="48" t="n">
        <x:f>Inputs!$C$5+Inputs!$C$9*(A57/Inputs!$C$10)^2</x:f>
        <x:v>401.1736111111111</x:v>
      </x:c>
      <x:c r="C57" s="48" t="n">
        <x:f>B57</x:f>
        <x:v>401.1736111111111</x:v>
      </x:c>
      <x:c r="D57" s="48" t="n">
        <x:f>SQRT(A57^2+Inputs!$C$6^2+B57^2)</x:f>
        <x:v>403.2635816087649</x:v>
      </x:c>
      <x:c r="E57" s="48" t="n">
        <x:f>(D57-C57)*1000</x:f>
        <x:v>2089.9704976538374</x:v>
      </x:c>
      <x:c r="F57" s="48" t="n">
        <x:f>E57/Inputs!$C$12</x:f>
        <x:v>1174.1407290190098</x:v>
      </x:c>
      <x:c r="G57" s="48" t="n">
        <x:f>2*E57/Inputs!$C$21*1000000</x:f>
        <x:v>13.942782360814675</x:v>
      </x:c>
      <x:c r="H57" s="48" t="n">
        <x:f>SQRT(A57^2+Inputs!$C$6^2)</x:f>
        <x:v>41.00304866714181</x:v>
      </x:c>
      <x:c r="I57" s="48" t="n">
        <x:f>DEGREES(ATAN(H57/B57))</x:f>
        <x:v>5.835807408982732</x:v>
      </x:c>
      <x:c r="J57" s="48" t="n">
        <x:f>DEGREES((2*PI()/Inputs!$C$13)*Inputs!$C$15*SIN(RADIANS(I57)))</x:f>
        <x:v>36.60409269114675</x:v>
      </x:c>
      <x:c r="K57" s="48" t="n">
        <x:f>(C57/D57)^4</x:f>
        <x:v>0.9794300372811903</x:v>
      </x:c>
      <x:c r="L57" s="48" t="n">
        <x:f>10*LOG10(K57)</x:f>
        <x:v>-0.0902658111682354</x:v>
      </x:c>
      <x:c r="M57" s="48" t="n">
        <x:f>2*(Inputs!$C$9/(Inputs!$C$10^2))*A57</x:f>
        <x:v>-0.07222222222222222</x:v>
      </x:c>
      <x:c r="N57" s="48" t="n">
        <x:f>M57*Inputs!$C$11</x:f>
        <x:v>-0.28888888888888886</x:v>
      </x:c>
      <x:c r="O57" s="48" t="n">
        <x:f>1000*((A57*Inputs!$C$11)+(B57*N57))/D57</x:f>
        <x:v>-609.7614810255595</x:v>
      </x:c>
      <x:c r="P57" s="48" t="n">
        <x:f>-2*O57/Inputs!$C$13</x:f>
        <x:v>243.9045924102238</x:v>
      </x:c>
      <x:c r="Q57" s="48" t="n">
        <x:f>-2*O57/Inputs!$C$14</x:f>
        <x:v>36.62231117270628</x:v>
      </x:c>
      <x:c r="R57" s="48" t="n">
        <x:f>F57-Inputs!$C$16/2</x:f>
        <x:v>1159.1407290190098</x:v>
      </x:c>
      <x:c r="S57" s="48" t="n">
        <x:f>F57+Inputs!$C$16/2</x:f>
        <x:v>1189.1407290190098</x:v>
      </x:c>
      <x:c r="T57" s="48" t="n">
        <x:f>F57-Inputs!$C$17/2</x:f>
        <x:v>1024.1407290190098</x:v>
      </x:c>
      <x:c r="U57" s="48" t="n">
        <x:f>F57+Inputs!$C$17/2</x:f>
        <x:v>1324.1407290190098</x:v>
      </x:c>
      <x:c r="V57" s="48" t="n">
        <x:f>ABS(P57)</x:f>
        <x:v>243.9045924102238</x:v>
      </x:c>
      <x:c r="W57" s="48" t="n">
        <x:f>ABS(Q57)</x:f>
        <x:v>36.62231117270628</x:v>
      </x:c>
      <x:c r="X57" s="48" t="n">
        <x: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(0.45*SIN(2*PI()*(((A57)/Inputs!$C$49)+Inputs!$C$47*0.137))+0.35*COS(2*PI()*(((0)/Inputs!$C$50)+Inputs!$C$47*0.173))+0.20*SIN(2*PI()*(((A57)+(0))/(0.5*(Inputs!$C$49+Inputs!$C$50))+Inputs!$C$47*0.097)))+0.30*(2*((SIN(((A57)*12.9898+(0)*78.233+Inputs!$C$47*37.719))*43758.5453)-INT((SIN(((A57)*12.9898+(0)*78.233+Inputs!$C$47*37.719))*43758.5453)))-1)))</x:f>
        <x:v>14.196906765365963</x:v>
      </x:c>
      <x:c r="Y57" s="48" t="n">
        <x: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(0.45*SIN(2*PI()*(((A57)/Inputs!$C$49)+Inputs!$C$47*0.137))+0.35*COS(2*PI()*(((Inputs!$C$6)/Inputs!$C$50)+Inputs!$C$47*0.173))+0.20*SIN(2*PI()*(((A57)+(Inputs!$C$6))/(0.5*(Inputs!$C$49+Inputs!$C$50))+Inputs!$C$47*0.097)))+0.30*(2*((SIN(((A57)*12.9898+(Inputs!$C$6)*78.233+Inputs!$C$47*37.719))*43758.5453)-INT((SIN(((A57)*12.9898+(Inputs!$C$6)*78.233+Inputs!$C$47*37.719))*43758.5453)))-1)))</x:f>
        <x:v>350.9183412247295</x:v>
      </x:c>
      <x:c r="Z57" s="48" t="n">
        <x:f>B57-X57/1000</x:f>
        <x:v>401.1594142043457</x:v>
      </x:c>
      <x:c r="AA57" s="48" t="n">
        <x:f>SQRT(A57^2+Inputs!$C$6^2+(B57-Y57/1000)^2)</x:f>
        <x:v>402.91448353131057</x:v>
      </x:c>
      <x:c r="AB57" s="48" t="n">
        <x:f>(AA57-Z57)*1000</x:f>
        <x:v>1755.0693269648718</x:v>
      </x:c>
      <x:c r="AC57" s="48" t="n">
        <x:f>AB57/Inputs!$C$12</x:f>
        <x:v>985.9940039128493</x:v>
      </x:c>
      <x:c r="AD57" s="48" t="n">
        <x:f>2*AB57/Inputs!$C$21*1000000</x:f>
        <x:v>11.708562241181344</x:v>
      </x:c>
      <x:c r="AE57" s="48" t="n">
        <x:f>DEGREES(ATAN(H57/(B57-Y57/1000)))</x:f>
        <x:v>5.8408813214092925</x:v>
      </x:c>
      <x:c r="AF57" s="48" t="n">
        <x:f>DEGREES((2*PI()/Inputs!$C$13)*Inputs!$C$15*SIN(RADIANS(AE57)))</x:f>
        <x:v>36.635807655258844</x:v>
      </x:c>
      <x:c r="AG57" s="48" t="n">
        <x:f>(Z57/AA57)^4</x:f>
        <x:v>0.9826897745211935</x:v>
      </x:c>
      <x:c r="AH57" s="48" t="n">
        <x:f>10*LOG10(AG57)</x:f>
        <x:v>-0.07583563020048009</x:v>
      </x:c>
      <x:c r="AI57" s="48" t="n">
        <x:f>AC57-F57</x:f>
        <x:v>-188.1467251061605</x:v>
      </x:c>
      <x:c r="AJ57" s="48" t="n">
        <x:f>AD57-G57</x:f>
        <x:v>-2.2342201196333313</x:v>
      </x:c>
      <x:c r="AK57" s="48" t="n">
        <x:f>Y57-X57</x:f>
        <x:v>336.72143445936354</x:v>
      </x:c>
      <x:c r="AL57" s="48" t="n">
        <x:f>1000*(AA58-AA56)/(A58-A56)*Inputs!$C$11</x:f>
        <x:v>-605.4925235723658</x:v>
      </x:c>
      <x:c r="AM57" s="48" t="n">
        <x:f>-2*AL57/Inputs!$C$13</x:f>
        <x:v>242.19700942894633</x:v>
      </x:c>
      <x:c r="AN57" s="48" t="n">
        <x:f>-2*AL57/Inputs!$C$14</x:f>
        <x:v>36.36591733167363</x:v>
      </x:c>
      <x:c r="AO57" s="48" t="n">
        <x:f>ABS(AM57)</x:f>
        <x:v>242.19700942894633</x:v>
      </x:c>
      <x:c r="AP57" s="48" t="n">
        <x:f>ABS(AN57)</x:f>
        <x:v>36.36591733167363</x:v>
      </x:c>
      <x:c r="AQ57" s="48" t="n">
        <x:f>IF(OR(Inputs!$C$27=TRUE,Inputs!$C$27="TRUE",Inputs!$C$27=1),Inputs!$C$46/Inputs!$C$12,0)</x:f>
        <x:v>42.13483146067416</x:v>
      </x:c>
      <x:c r="AR57" s="48" t="n">
        <x:f>AC57-AQ57</x:f>
        <x:v>943.8591724521751</x:v>
      </x:c>
      <x:c r="AS57" s="48" t="n">
        <x:f>AC57+AQ57</x:f>
        <x:v>1028.1288353735235</x:v>
      </x:c>
    </x:row>
    <x:row r="58">
      <x:c r="A58" s="48" t="n">
        <x:f>Inputs!$C$7+56*(Inputs!$C$8-Inputs!$C$7)/240</x:f>
        <x:v>-32</x:v>
      </x:c>
      <x:c r="B58" s="48" t="n">
        <x:f>Inputs!$C$5+Inputs!$C$9*(A58/Inputs!$C$10)^2</x:f>
        <x:v>401.1377777777778</x:v>
      </x:c>
      <x:c r="C58" s="48" t="n">
        <x:f>B58</x:f>
        <x:v>401.1377777777778</x:v>
      </x:c>
      <x:c r="D58" s="48" t="n">
        <x:f>SQRT(A58^2+Inputs!$C$6^2+B58^2)</x:f>
        <x:v>403.1879422310318</x:v>
      </x:c>
      <x:c r="E58" s="48" t="n">
        <x:f>(D58-C58)*1000</x:f>
        <x:v>2050.1644532540126</x:v>
      </x:c>
      <x:c r="F58" s="48" t="n">
        <x:f>E58/Inputs!$C$12</x:f>
        <x:v>1151.7777827269733</x:v>
      </x:c>
      <x:c r="G58" s="48" t="n">
        <x:f>2*E58/Inputs!$C$21*1000000</x:f>
        <x:v>13.677225017141778</x:v>
      </x:c>
      <x:c r="H58" s="48" t="n">
        <x:f>SQRT(A58^2+Inputs!$C$6^2)</x:f>
        <x:v>40.607881008493905</x:v>
      </x:c>
      <x:c r="I58" s="48" t="n">
        <x:f>DEGREES(ATAN(H58/B58))</x:f>
        <x:v>5.780460156082169</x:v>
      </x:c>
      <x:c r="J58" s="48" t="n">
        <x:f>DEGREES((2*PI()/Inputs!$C$13)*Inputs!$C$15*SIN(RADIANS(I58)))</x:f>
        <x:v>36.25812092039455</x:v>
      </x:c>
      <x:c r="K58" s="48" t="n">
        <x:f>(C58/D58)^4</x:f>
        <x:v>0.9798150697955003</x:v>
      </x:c>
      <x:c r="L58" s="48" t="n">
        <x:f>10*LOG10(K58)</x:f>
        <x:v>-0.0885588527293259</x:v>
      </x:c>
      <x:c r="M58" s="48" t="n">
        <x:f>2*(Inputs!$C$9/(Inputs!$C$10^2))*A58</x:f>
        <x:v>-0.07111111111111111</x:v>
      </x:c>
      <x:c r="N58" s="48" t="n">
        <x:f>M58*Inputs!$C$11</x:f>
        <x:v>-0.28444444444444444</x:v>
      </x:c>
      <x:c r="O58" s="48" t="n">
        <x:f>1000*((A58*Inputs!$C$11)+(B58*N58))/D58</x:f>
        <x:v>-600.4678885137687</x:v>
      </x:c>
      <x:c r="P58" s="48" t="n">
        <x:f>-2*O58/Inputs!$C$13</x:f>
        <x:v>240.18715540550747</x:v>
      </x:c>
      <x:c r="Q58" s="48" t="n">
        <x:f>-2*O58/Inputs!$C$14</x:f>
        <x:v>36.0641374482744</x:v>
      </x:c>
      <x:c r="R58" s="48" t="n">
        <x:f>F58-Inputs!$C$16/2</x:f>
        <x:v>1136.7777827269733</x:v>
      </x:c>
      <x:c r="S58" s="48" t="n">
        <x:f>F58+Inputs!$C$16/2</x:f>
        <x:v>1166.7777827269733</x:v>
      </x:c>
      <x:c r="T58" s="48" t="n">
        <x:f>F58-Inputs!$C$17/2</x:f>
        <x:v>1001.7777827269733</x:v>
      </x:c>
      <x:c r="U58" s="48" t="n">
        <x:f>F58+Inputs!$C$17/2</x:f>
        <x:v>1301.7777827269733</x:v>
      </x:c>
      <x:c r="V58" s="48" t="n">
        <x:f>ABS(P58)</x:f>
        <x:v>240.18715540550747</x:v>
      </x:c>
      <x:c r="W58" s="48" t="n">
        <x:f>ABS(Q58)</x:f>
        <x:v>36.0641374482744</x:v>
      </x:c>
      <x:c r="X58" s="48" t="n">
        <x: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(0.45*SIN(2*PI()*(((A58)/Inputs!$C$49)+Inputs!$C$47*0.137))+0.35*COS(2*PI()*(((0)/Inputs!$C$50)+Inputs!$C$47*0.173))+0.20*SIN(2*PI()*(((A58)+(0))/(0.5*(Inputs!$C$49+Inputs!$C$50))+Inputs!$C$47*0.097)))+0.30*(2*((SIN(((A58)*12.9898+(0)*78.233+Inputs!$C$47*37.719))*43758.5453)-INT((SIN(((A58)*12.9898+(0)*78.233+Inputs!$C$47*37.719))*43758.5453)))-1)))</x:f>
        <x:v>5.730826646134426</x:v>
      </x:c>
      <x:c r="Y58" s="48" t="n">
        <x: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(0.45*SIN(2*PI()*(((A58)/Inputs!$C$49)+Inputs!$C$47*0.137))+0.35*COS(2*PI()*(((Inputs!$C$6)/Inputs!$C$50)+Inputs!$C$47*0.173))+0.20*SIN(2*PI()*(((A58)+(Inputs!$C$6))/(0.5*(Inputs!$C$49+Inputs!$C$50))+Inputs!$C$47*0.097)))+0.30*(2*((SIN(((A58)*12.9898+(Inputs!$C$6)*78.233+Inputs!$C$47*37.719))*43758.5453)-INT((SIN(((A58)*12.9898+(Inputs!$C$6)*78.233+Inputs!$C$47*37.719))*43758.5453)))-1)))</x:f>
        <x:v>340.91681406553505</x:v>
      </x:c>
      <x:c r="Z58" s="48" t="n">
        <x:f>B58-X58/1000</x:f>
        <x:v>401.13204695113166</x:v>
      </x:c>
      <x:c r="AA58" s="48" t="n">
        <x:f>SQRT(A58^2+Inputs!$C$6^2+(B58-Y58/1000)^2)</x:f>
        <x:v>402.84876040316334</x:v>
      </x:c>
      <x:c r="AB58" s="48" t="n">
        <x:f>(AA58-Z58)*1000</x:f>
        <x:v>1716.7134520316836</x:v>
      </x:c>
      <x:c r="AC58" s="48" t="n">
        <x:f>AB58/Inputs!$C$12</x:f>
        <x:v>964.4457595683615</x:v>
      </x:c>
      <x:c r="AD58" s="48" t="n">
        <x:f>2*AB58/Inputs!$C$21*1000000</x:f>
        <x:v>11.452679386828896</x:v>
      </x:c>
      <x:c r="AE58" s="48" t="n">
        <x:f>DEGREES(ATAN(H58/(B58-Y58/1000)))</x:f>
        <x:v>5.7853436630843715</x:v>
      </x:c>
      <x:c r="AF58" s="48" t="n">
        <x:f>DEGREES((2*PI()/Inputs!$C$13)*Inputs!$C$15*SIN(RADIANS(AE58)))</x:f>
        <x:v>36.28864874358197</x:v>
      </x:c>
      <x:c r="AG58" s="48" t="n">
        <x:f>(Z58/AA58)^4</x:f>
        <x:v>0.9830629132341674</x:v>
      </x:c>
      <x:c r="AH58" s="48" t="n">
        <x:f>10*LOG10(AG58)</x:f>
        <x:v>-0.0741868766519308</x:v>
      </x:c>
      <x:c r="AI58" s="48" t="n">
        <x:f>AC58-F58</x:f>
        <x:v>-187.33202315861183</x:v>
      </x:c>
      <x:c r="AJ58" s="48" t="n">
        <x:f>AD58-G58</x:f>
        <x:v>-2.224545630312882</x:v>
      </x:c>
      <x:c r="AK58" s="48" t="n">
        <x:f>Y58-X58</x:f>
        <x:v>335.18598741940065</x:v>
      </x:c>
      <x:c r="AL58" s="48" t="n">
        <x:f>1000*(AA59-AA57)/(A59-A57)*Inputs!$C$11</x:f>
        <x:v>-617.590651059345</x:v>
      </x:c>
      <x:c r="AM58" s="48" t="n">
        <x:f>-2*AL58/Inputs!$C$13</x:f>
        <x:v>247.03626042373799</x:v>
      </x:c>
      <x:c r="AN58" s="48" t="n">
        <x:f>-2*AL58/Inputs!$C$14</x:f>
        <x:v>37.092531595155855</x:v>
      </x:c>
      <x:c r="AO58" s="48" t="n">
        <x:f>ABS(AM58)</x:f>
        <x:v>247.03626042373799</x:v>
      </x:c>
      <x:c r="AP58" s="48" t="n">
        <x:f>ABS(AN58)</x:f>
        <x:v>37.092531595155855</x:v>
      </x:c>
      <x:c r="AQ58" s="48" t="n">
        <x:f>IF(OR(Inputs!$C$27=TRUE,Inputs!$C$27="TRUE",Inputs!$C$27=1),Inputs!$C$46/Inputs!$C$12,0)</x:f>
        <x:v>42.13483146067416</x:v>
      </x:c>
      <x:c r="AR58" s="48" t="n">
        <x:f>AC58-AQ58</x:f>
        <x:v>922.3109281076873</x:v>
      </x:c>
      <x:c r="AS58" s="48" t="n">
        <x:f>AC58+AQ58</x:f>
        <x:v>1006.5805910290356</x:v>
      </x:c>
    </x:row>
    <x:row r="59">
      <x:c r="A59" s="48" t="n">
        <x:f>Inputs!$C$7+57*(Inputs!$C$8-Inputs!$C$7)/240</x:f>
        <x:v>-31.5</x:v>
      </x:c>
      <x:c r="B59" s="48" t="n">
        <x:f>Inputs!$C$5+Inputs!$C$9*(A59/Inputs!$C$10)^2</x:f>
        <x:v>401.1025</x:v>
      </x:c>
      <x:c r="C59" s="48" t="n">
        <x:f>B59</x:f>
        <x:v>401.1025</x:v>
      </x:c>
      <x:c r="D59" s="48" t="n">
        <x:f>SQRT(A59^2+Inputs!$C$6^2+B59^2)</x:f>
        <x:v>403.11346480395565</x:v>
      </x:c>
      <x:c r="E59" s="48" t="n">
        <x:f>(D59-C59)*1000</x:f>
        <x:v>2010.9648039556305</x:v>
      </x:c>
      <x:c r="F59" s="48" t="n">
        <x:f>E59/Inputs!$C$12</x:f>
        <x:v>1129.7555078402418</x:v>
      </x:c>
      <x:c r="G59" s="48" t="n">
        <x:f>2*E59/Inputs!$C$21*1000000</x:f>
        <x:v>13.415713106135783</x:v>
      </x:c>
      <x:c r="H59" s="48" t="n">
        <x:f>SQRT(A59^2+Inputs!$C$6^2)</x:f>
        <x:v>40.21504693519579</x:v>
      </x:c>
      <x:c r="I59" s="48" t="n">
        <x:f>DEGREES(ATAN(H59/B59))</x:f>
        <x:v>5.725414332711808</x:v>
      </x:c>
      <x:c r="J59" s="48" t="n">
        <x:f>DEGREES((2*PI()/Inputs!$C$13)*Inputs!$C$15*SIN(RADIANS(I59)))</x:f>
        <x:v>35.91399980576492</x:v>
      </x:c>
      <x:c r="K59" s="48" t="n">
        <x:f>(C59/D59)^4</x:f>
        <x:v>0.9801944894959806</x:v>
      </x:c>
      <x:c r="L59" s="48" t="n">
        <x:f>10*LOG10(K59)</x:f>
        <x:v>-0.0868774335390861</x:v>
      </x:c>
      <x:c r="M59" s="48" t="n">
        <x:f>2*(Inputs!$C$9/(Inputs!$C$10^2))*A59</x:f>
        <x:v>-0.07</x:v>
      </x:c>
      <x:c r="N59" s="48" t="n">
        <x:f>M59*Inputs!$C$11</x:f>
        <x:v>-0.28</x:v>
      </x:c>
      <x:c r="O59" s="48" t="n">
        <x:f>1000*((A59*Inputs!$C$11)+(B59*N59))/D59</x:f>
        <x:v>-591.1702803474839</x:v>
      </x:c>
      <x:c r="P59" s="48" t="n">
        <x:f>-2*O59/Inputs!$C$13</x:f>
        <x:v>236.46811213899355</x:v>
      </x:c>
      <x:c r="Q59" s="48" t="n">
        <x:f>-2*O59/Inputs!$C$14</x:f>
        <x:v>35.50572254339243</x:v>
      </x:c>
      <x:c r="R59" s="48" t="n">
        <x:f>F59-Inputs!$C$16/2</x:f>
        <x:v>1114.7555078402418</x:v>
      </x:c>
      <x:c r="S59" s="48" t="n">
        <x:f>F59+Inputs!$C$16/2</x:f>
        <x:v>1144.7555078402418</x:v>
      </x:c>
      <x:c r="T59" s="48" t="n">
        <x:f>F59-Inputs!$C$17/2</x:f>
        <x:v>979.7555078402418</x:v>
      </x:c>
      <x:c r="U59" s="48" t="n">
        <x:f>F59+Inputs!$C$17/2</x:f>
        <x:v>1279.7555078402418</x:v>
      </x:c>
      <x:c r="V59" s="48" t="n">
        <x:f>ABS(P59)</x:f>
        <x:v>236.46811213899355</x:v>
      </x:c>
      <x:c r="W59" s="48" t="n">
        <x:f>ABS(Q59)</x:f>
        <x:v>35.50572254339243</x:v>
      </x:c>
      <x:c r="X59" s="48" t="n">
        <x: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(0.45*SIN(2*PI()*(((A59)/Inputs!$C$49)+Inputs!$C$47*0.137))+0.35*COS(2*PI()*(((0)/Inputs!$C$50)+Inputs!$C$47*0.173))+0.20*SIN(2*PI()*(((A59)+(0))/(0.5*(Inputs!$C$49+Inputs!$C$50))+Inputs!$C$47*0.097)))+0.30*(2*((SIN(((A59)*12.9898+(0)*78.233+Inputs!$C$47*37.719))*43758.5453)-INT((SIN(((A59)*12.9898+(0)*78.233+Inputs!$C$47*37.719))*43758.5453)))-1)))</x:f>
        <x:v>9.295817115602365</x:v>
      </x:c>
      <x:c r="Y59" s="48" t="n">
        <x: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(0.45*SIN(2*PI()*(((A59)/Inputs!$C$49)+Inputs!$C$47*0.137))+0.35*COS(2*PI()*(((Inputs!$C$6)/Inputs!$C$50)+Inputs!$C$47*0.173))+0.20*SIN(2*PI()*(((A59)+(Inputs!$C$6))/(0.5*(Inputs!$C$49+Inputs!$C$50))+Inputs!$C$47*0.097)))+0.30*(2*((SIN(((A59)*12.9898+(Inputs!$C$6)*78.233+Inputs!$C$47*37.719))*43758.5453)-INT((SIN(((A59)*12.9898+(Inputs!$C$6)*78.233+Inputs!$C$47*37.719))*43758.5453)))-1)))</x:f>
        <x:v>355.15219987006986</x:v>
      </x:c>
      <x:c r="Z59" s="48" t="n">
        <x:f>B59-X59/1000</x:f>
        <x:v>401.0932041828844</x:v>
      </x:c>
      <x:c r="AA59" s="48" t="n">
        <x:f>SQRT(A59^2+Inputs!$C$6^2+(B59-Y59/1000)^2)</x:f>
        <x:v>402.76008586854573</x:v>
      </x:c>
      <x:c r="AB59" s="48" t="n">
        <x:f>(AA59-Z59)*1000</x:f>
        <x:v>1666.8816856613375</x:v>
      </x:c>
      <x:c r="AC59" s="48" t="n">
        <x:f>AB59/Inputs!$C$12</x:f>
        <x:v>936.4503852029986</x:v>
      </x:c>
      <x:c r="AD59" s="48" t="n">
        <x:f>2*AB59/Inputs!$C$21*1000000</x:f>
        <x:v>11.120237625599891</x:v>
      </x:c>
      <x:c r="AE59" s="48" t="n">
        <x:f>DEGREES(ATAN(H59/(B59-Y59/1000)))</x:f>
        <x:v>5.73045458171606</x:v>
      </x:c>
      <x:c r="AF59" s="48" t="n">
        <x:f>DEGREES((2*PI()/Inputs!$C$13)*Inputs!$C$15*SIN(RADIANS(AE59)))</x:f>
        <x:v>35.94551050273555</x:v>
      </x:c>
      <x:c r="AG59" s="48" t="n">
        <x:f>(Z59/AA59)^4</x:f>
        <x:v>0.9835479004622066</x:v>
      </x:c>
      <x:c r="AH59" s="48" t="n">
        <x:f>10*LOG10(AG59)</x:f>
        <x:v>-0.0720448434673883</x:v>
      </x:c>
      <x:c r="AI59" s="48" t="n">
        <x:f>AC59-F59</x:f>
        <x:v>-193.30512263724313</x:v>
      </x:c>
      <x:c r="AJ59" s="48" t="n">
        <x:f>AD59-G59</x:f>
        <x:v>-2.2954754805358917</x:v>
      </x:c>
      <x:c r="AK59" s="48" t="n">
        <x:f>Y59-X59</x:f>
        <x:v>345.8563827544675</x:v>
      </x:c>
      <x:c r="AL59" s="48" t="n">
        <x:f>1000*(AA60-AA58)/(A60-A58)*Inputs!$C$11</x:f>
        <x:v>-640.5652309802008</x:v>
      </x:c>
      <x:c r="AM59" s="48" t="n">
        <x:f>-2*AL59/Inputs!$C$13</x:f>
        <x:v>256.2260923920803</x:v>
      </x:c>
      <x:c r="AN59" s="48" t="n">
        <x:f>-2*AL59/Inputs!$C$14</x:f>
        <x:v>38.47238624505711</x:v>
      </x:c>
      <x:c r="AO59" s="48" t="n">
        <x:f>ABS(AM59)</x:f>
        <x:v>256.2260923920803</x:v>
      </x:c>
      <x:c r="AP59" s="48" t="n">
        <x:f>ABS(AN59)</x:f>
        <x:v>38.47238624505711</x:v>
      </x:c>
      <x:c r="AQ59" s="48" t="n">
        <x:f>IF(OR(Inputs!$C$27=TRUE,Inputs!$C$27="TRUE",Inputs!$C$27=1),Inputs!$C$46/Inputs!$C$12,0)</x:f>
        <x:v>42.13483146067416</x:v>
      </x:c>
      <x:c r="AR59" s="48" t="n">
        <x:f>AC59-AQ59</x:f>
        <x:v>894.3155537423245</x:v>
      </x:c>
      <x:c r="AS59" s="48" t="n">
        <x:f>AC59+AQ59</x:f>
        <x:v>978.5852166636728</x:v>
      </x:c>
    </x:row>
    <x:row r="60">
      <x:c r="A60" s="48" t="n">
        <x:f>Inputs!$C$7+58*(Inputs!$C$8-Inputs!$C$7)/240</x:f>
        <x:v>-31</x:v>
      </x:c>
      <x:c r="B60" s="48" t="n">
        <x:f>Inputs!$C$5+Inputs!$C$9*(A60/Inputs!$C$10)^2</x:f>
        <x:v>401.0677777777778</x:v>
      </x:c>
      <x:c r="C60" s="48" t="n">
        <x:f>B60</x:f>
        <x:v>401.0677777777778</x:v>
      </x:c>
      <x:c r="D60" s="48" t="n">
        <x:f>SQRT(A60^2+Inputs!$C$6^2+B60^2)</x:f>
        <x:v>403.040149825802</x:v>
      </x:c>
      <x:c r="E60" s="48" t="n">
        <x:f>(D60-C60)*1000</x:f>
        <x:v>1972.3720480242264</x:v>
      </x:c>
      <x:c r="F60" s="48" t="n">
        <x:f>E60/Inputs!$C$12</x:f>
        <x:v>1108.0741842832733</x:v>
      </x:c>
      <x:c r="G60" s="48" t="n">
        <x:f>2*E60/Inputs!$C$21*1000000</x:f>
        <x:v>13.158249951866544</x:v>
      </x:c>
      <x:c r="H60" s="48" t="n">
        <x:f>SQRT(A60^2+Inputs!$C$6^2)</x:f>
        <x:v>39.824615503479755</x:v>
      </x:c>
      <x:c r="I60" s="48" t="n">
        <x:f>DEGREES(ATAN(H60/B60))</x:f>
        <x:v>5.670680298867937</x:v>
      </x:c>
      <x:c r="J60" s="48" t="n">
        <x:f>DEGREES((2*PI()/Inputs!$C$13)*Inputs!$C$15*SIN(RADIANS(I60)))</x:f>
        <x:v>35.57179498729654</x:v>
      </x:c>
      <x:c r="K60" s="48" t="n">
        <x:f>(C60/D60)^4</x:f>
        <x:v>0.9805682801090831</x:v>
      </x:c>
      <x:c r="L60" s="48" t="n">
        <x:f>10*LOG10(K60)</x:f>
        <x:v>-0.0852215962788054</x:v>
      </x:c>
      <x:c r="M60" s="48" t="n">
        <x:f>2*(Inputs!$C$9/(Inputs!$C$10^2))*A60</x:f>
        <x:v>-0.06888888888888889</x:v>
      </x:c>
      <x:c r="N60" s="48" t="n">
        <x:f>M60*Inputs!$C$11</x:f>
        <x:v>-0.27555555555555555</x:v>
      </x:c>
      <x:c r="O60" s="48" t="n">
        <x:f>1000*((A60*Inputs!$C$11)+(B60*N60))/D60</x:f>
        <x:v>-581.8687156164169</x:v>
      </x:c>
      <x:c r="P60" s="48" t="n">
        <x:f>-2*O60/Inputs!$C$13</x:f>
        <x:v>232.74748624656678</x:v>
      </x:c>
      <x:c r="Q60" s="48" t="n">
        <x:f>-2*O60/Inputs!$C$14</x:f>
        <x:v>34.94707000699201</x:v>
      </x:c>
      <x:c r="R60" s="48" t="n">
        <x:f>F60-Inputs!$C$16/2</x:f>
        <x:v>1093.0741842832733</x:v>
      </x:c>
      <x:c r="S60" s="48" t="n">
        <x:f>F60+Inputs!$C$16/2</x:f>
        <x:v>1123.0741842832733</x:v>
      </x:c>
      <x:c r="T60" s="48" t="n">
        <x:f>F60-Inputs!$C$17/2</x:f>
        <x:v>958.0741842832733</x:v>
      </x:c>
      <x:c r="U60" s="48" t="n">
        <x:f>F60+Inputs!$C$17/2</x:f>
        <x:v>1258.0741842832733</x:v>
      </x:c>
      <x:c r="V60" s="48" t="n">
        <x:f>ABS(P60)</x:f>
        <x:v>232.74748624656678</x:v>
      </x:c>
      <x:c r="W60" s="48" t="n">
        <x:f>ABS(Q60)</x:f>
        <x:v>34.94707000699201</x:v>
      </x:c>
      <x:c r="X60" s="48" t="n">
        <x: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(0.45*SIN(2*PI()*(((A60)/Inputs!$C$49)+Inputs!$C$47*0.137))+0.35*COS(2*PI()*(((0)/Inputs!$C$50)+Inputs!$C$47*0.173))+0.20*SIN(2*PI()*(((A60)+(0))/(0.5*(Inputs!$C$49+Inputs!$C$50))+Inputs!$C$47*0.097)))+0.30*(2*((SIN(((A60)*12.9898+(0)*78.233+Inputs!$C$47*37.719))*43758.5453)-INT((SIN(((A60)*12.9898+(0)*78.233+Inputs!$C$47*37.719))*43758.5453)))-1)))</x:f>
        <x:v>-13.189582675327635</x:v>
      </x:c>
      <x:c r="Y60" s="48" t="n">
        <x: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(0.45*SIN(2*PI()*(((A60)/Inputs!$C$49)+Inputs!$C$47*0.137))+0.35*COS(2*PI()*(((Inputs!$C$6)/Inputs!$C$50)+Inputs!$C$47*0.173))+0.20*SIN(2*PI()*(((A60)+(Inputs!$C$6))/(0.5*(Inputs!$C$49+Inputs!$C$50))+Inputs!$C$47*0.097)))+0.30*(2*((SIN(((A60)*12.9898+(Inputs!$C$6)*78.233+Inputs!$C$47*37.719))*43758.5453)-INT((SIN(((A60)*12.9898+(Inputs!$C$6)*78.233+Inputs!$C$47*37.719))*43758.5453)))-1)))</x:f>
        <x:v>353.2610093246909</x:v>
      </x:c>
      <x:c r="Z60" s="48" t="n">
        <x:f>B60-X60/1000</x:f>
        <x:v>401.08096736045314</x:v>
      </x:c>
      <x:c r="AA60" s="48" t="n">
        <x:f>SQRT(A60^2+Inputs!$C$6^2+(B60-Y60/1000)^2)</x:f>
        <x:v>402.6886190954183</x:v>
      </x:c>
      <x:c r="AB60" s="48" t="n">
        <x:f>(AA60-Z60)*1000</x:f>
        <x:v>1607.6517349651454</x:v>
      </x:c>
      <x:c r="AC60" s="48" t="n">
        <x:f>AB60/Inputs!$C$12</x:f>
        <x:v>903.1751320028907</x:v>
      </x:c>
      <x:c r="AD60" s="48" t="n">
        <x:f>2*AB60/Inputs!$C$21*1000000</x:f>
        <x:v>10.725097927347761</x:v>
      </x:c>
      <x:c r="AE60" s="48" t="n">
        <x:f>DEGREES(ATAN(H60/(B60-Y60/1000)))</x:f>
        <x:v>5.675646819713908</x:v>
      </x:c>
      <x:c r="AF60" s="48" t="n">
        <x:f>DEGREES((2*PI()/Inputs!$C$13)*Inputs!$C$15*SIN(RADIANS(AE60)))</x:f>
        <x:v>35.60284771260334</x:v>
      </x:c>
      <x:c r="AG60" s="48" t="n">
        <x:f>(Z60/AA60)^4</x:f>
        <x:v>0.9841261964980678</x:v>
      </x:c>
      <x:c r="AH60" s="48" t="n">
        <x:f>10*LOG10(AG60)</x:f>
        <x:v>-0.0694920753550251</x:v>
      </x:c>
      <x:c r="AI60" s="48" t="n">
        <x:f>AC60-F60</x:f>
        <x:v>-204.89905228038265</x:v>
      </x:c>
      <x:c r="AJ60" s="48" t="n">
        <x:f>AD60-G60</x:f>
        <x:v>-2.433152024518783</x:v>
      </x:c>
      <x:c r="AK60" s="48" t="n">
        <x:f>Y60-X60</x:f>
        <x:v>366.45059200001856</x:v>
      </x:c>
      <x:c r="AL60" s="48" t="n">
        <x:f>1000*(AA61-AA59)/(A61-A59)*Inputs!$C$11</x:f>
        <x:v>-516.4727967519411</x:v>
      </x:c>
      <x:c r="AM60" s="48" t="n">
        <x:f>-2*AL60/Inputs!$C$13</x:f>
        <x:v>206.58911870077645</x:v>
      </x:c>
      <x:c r="AN60" s="48" t="n">
        <x:f>-2*AL60/Inputs!$C$14</x:f>
        <x:v>31.01938719230878</x:v>
      </x:c>
      <x:c r="AO60" s="48" t="n">
        <x:f>ABS(AM60)</x:f>
        <x:v>206.58911870077645</x:v>
      </x:c>
      <x:c r="AP60" s="48" t="n">
        <x:f>ABS(AN60)</x:f>
        <x:v>31.01938719230878</x:v>
      </x:c>
      <x:c r="AQ60" s="48" t="n">
        <x:f>IF(OR(Inputs!$C$27=TRUE,Inputs!$C$27="TRUE",Inputs!$C$27=1),Inputs!$C$46/Inputs!$C$12,0)</x:f>
        <x:v>42.13483146067416</x:v>
      </x:c>
      <x:c r="AR60" s="48" t="n">
        <x:f>AC60-AQ60</x:f>
        <x:v>861.0403005422165</x:v>
      </x:c>
      <x:c r="AS60" s="48" t="n">
        <x:f>AC60+AQ60</x:f>
        <x:v>945.3099634635648</x:v>
      </x:c>
    </x:row>
    <x:row r="61">
      <x:c r="A61" s="48" t="n">
        <x:f>Inputs!$C$7+59*(Inputs!$C$8-Inputs!$C$7)/240</x:f>
        <x:v>-30.5</x:v>
      </x:c>
      <x:c r="B61" s="48" t="n">
        <x:f>Inputs!$C$5+Inputs!$C$9*(A61/Inputs!$C$10)^2</x:f>
        <x:v>401.0336111111111</x:v>
      </x:c>
      <x:c r="C61" s="48" t="n">
        <x:f>B61</x:f>
        <x:v>401.0336111111111</x:v>
      </x:c>
      <x:c r="D61" s="48" t="n">
        <x:f>SQRT(A61^2+Inputs!$C$6^2+B61^2)</x:f>
        <x:v>402.9679977874396</x:v>
      </x:c>
      <x:c r="E61" s="48" t="n">
        <x:f>(D61-C61)*1000</x:f>
        <x:v>1934.3866763284723</x:v>
      </x:c>
      <x:c r="F61" s="48" t="n">
        <x:f>E61/Inputs!$C$12</x:f>
        <x:v>1086.7340878249845</x:v>
      </x:c>
      <x:c r="G61" s="48" t="n">
        <x:f>2*E61/Inputs!$C$21*1000000</x:f>
        <x:v>12.904838829057349</x:v>
      </x:c>
      <x:c r="H61" s="48" t="n">
        <x:f>SQRT(A61^2+Inputs!$C$6^2)</x:f>
        <x:v>39.436658073421995</x:v>
      </x:c>
      <x:c r="I61" s="48" t="n">
        <x:f>DEGREES(ATAN(H61/B61))</x:f>
        <x:v>5.616268744710343</x:v>
      </x:c>
      <x:c r="J61" s="48" t="n">
        <x:f>DEGREES((2*PI()/Inputs!$C$13)*Inputs!$C$15*SIN(RADIANS(I61)))</x:f>
        <x:v>35.23157418054016</x:v>
      </x:c>
      <x:c r="K61" s="48" t="n">
        <x:f>(C61/D61)^4</x:f>
        <x:v>0.9809364255831229</x:v>
      </x:c>
      <x:c r="L61" s="48" t="n">
        <x:f>10*LOG10(K61)</x:f>
        <x:v>-0.0835913830111392</x:v>
      </x:c>
      <x:c r="M61" s="48" t="n">
        <x:f>2*(Inputs!$C$9/(Inputs!$C$10^2))*A61</x:f>
        <x:v>-0.06777777777777778</x:v>
      </x:c>
      <x:c r="N61" s="48" t="n">
        <x:f>M61*Inputs!$C$11</x:f>
        <x:v>-0.27111111111111114</x:v>
      </x:c>
      <x:c r="O61" s="48" t="n">
        <x:f>1000*((A61*Inputs!$C$11)+(B61*N61))/D61</x:f>
        <x:v>-572.5632535786101</x:v>
      </x:c>
      <x:c r="P61" s="48" t="n">
        <x:f>-2*O61/Inputs!$C$13</x:f>
        <x:v>229.02530143144403</x:v>
      </x:c>
      <x:c r="Q61" s="48" t="n">
        <x:f>-2*O61/Inputs!$C$14</x:f>
        <x:v>34.38818339811473</x:v>
      </x:c>
      <x:c r="R61" s="48" t="n">
        <x:f>F61-Inputs!$C$16/2</x:f>
        <x:v>1071.7340878249845</x:v>
      </x:c>
      <x:c r="S61" s="48" t="n">
        <x:f>F61+Inputs!$C$16/2</x:f>
        <x:v>1101.7340878249845</x:v>
      </x:c>
      <x:c r="T61" s="48" t="n">
        <x:f>F61-Inputs!$C$17/2</x:f>
        <x:v>936.7340878249845</x:v>
      </x:c>
      <x:c r="U61" s="48" t="n">
        <x:f>F61+Inputs!$C$17/2</x:f>
        <x:v>1236.7340878249845</x:v>
      </x:c>
      <x:c r="V61" s="48" t="n">
        <x:f>ABS(P61)</x:f>
        <x:v>229.02530143144403</x:v>
      </x:c>
      <x:c r="W61" s="48" t="n">
        <x:f>ABS(Q61)</x:f>
        <x:v>34.38818339811473</x:v>
      </x:c>
      <x:c r="X61" s="48" t="n">
        <x: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(0.45*SIN(2*PI()*(((A61)/Inputs!$C$49)+Inputs!$C$47*0.137))+0.35*COS(2*PI()*(((0)/Inputs!$C$50)+Inputs!$C$47*0.173))+0.20*SIN(2*PI()*(((A61)+(0))/(0.5*(Inputs!$C$49+Inputs!$C$50))+Inputs!$C$47*0.097)))+0.30*(2*((SIN(((A61)*12.9898+(0)*78.233+Inputs!$C$47*37.719))*43758.5453)-INT((SIN(((A61)*12.9898+(0)*78.233+Inputs!$C$47*37.719))*43758.5453)))-1)))</x:f>
        <x:v>-7.467318037700602</x:v>
      </x:c>
      <x:c r="Y61" s="48" t="n">
        <x: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(0.45*SIN(2*PI()*(((A61)/Inputs!$C$49)+Inputs!$C$47*0.137))+0.35*COS(2*PI()*(((Inputs!$C$6)/Inputs!$C$50)+Inputs!$C$47*0.173))+0.20*SIN(2*PI()*(((A61)+(Inputs!$C$6))/(0.5*(Inputs!$C$49+Inputs!$C$50))+Inputs!$C$47*0.097)))+0.30*(2*((SIN(((A61)*12.9898+(Inputs!$C$6)*78.233+Inputs!$C$47*37.719))*43758.5453)-INT((SIN(((A61)*12.9898+(Inputs!$C$6)*78.233+Inputs!$C$47*37.719))*43758.5453)))-1)))</x:f>
        <x:v>338.6571544092517</x:v>
      </x:c>
      <x:c r="Z61" s="48" t="n">
        <x:f>B61-X61/1000</x:f>
        <x:v>401.0410784291488</x:v>
      </x:c>
      <x:c r="AA61" s="48" t="n">
        <x:f>SQRT(A61^2+Inputs!$C$6^2+(B61-Y61/1000)^2)</x:f>
        <x:v>402.63096766935774</x:v>
      </x:c>
      <x:c r="AB61" s="48" t="n">
        <x:f>(AA61-Z61)*1000</x:f>
        <x:v>1589.8892402089473</x:v>
      </x:c>
      <x:c r="AC61" s="48" t="n">
        <x:f>AB61/Inputs!$C$12</x:f>
        <x:v>893.1962023645771</x:v>
      </x:c>
      <x:c r="AD61" s="48" t="n">
        <x:f>2*AB61/Inputs!$C$21*1000000</x:f>
        <x:v>10.606599317511497</x:v>
      </x:c>
      <x:c r="AE61" s="48" t="n">
        <x:f>DEGREES(ATAN(H61/(B61-Y61/1000)))</x:f>
        <x:v>5.6209850863903705</x:v>
      </x:c>
      <x:c r="AF61" s="48" t="n">
        <x:f>DEGREES((2*PI()/Inputs!$C$13)*Inputs!$C$15*SIN(RADIANS(AE61)))</x:f>
        <x:v>35.26106545806163</x:v>
      </x:c>
      <x:c r="AG61" s="48" t="n">
        <x:f>(Z61/AA61)^4</x:f>
        <x:v>0.9842983076884458</x:v>
      </x:c>
      <x:c r="AH61" s="48" t="n">
        <x:f>10*LOG10(AG61)</x:f>
        <x:v>-0.0687326157944831</x:v>
      </x:c>
      <x:c r="AI61" s="48" t="n">
        <x:f>AC61-F61</x:f>
        <x:v>-193.53788546040744</x:v>
      </x:c>
      <x:c r="AJ61" s="48" t="n">
        <x:f>AD61-G61</x:f>
        <x:v>-2.2982395115458516</x:v>
      </x:c>
      <x:c r="AK61" s="48" t="n">
        <x:f>Y61-X61</x:f>
        <x:v>346.12447244695227</x:v>
      </x:c>
      <x:c r="AL61" s="48" t="n">
        <x:f>1000*(AA62-AA60)/(A62-A60)*Inputs!$C$11</x:f>
        <x:v>-507.9936764927879</x:v>
      </x:c>
      <x:c r="AM61" s="48" t="n">
        <x:f>-2*AL61/Inputs!$C$13</x:f>
        <x:v>203.19747059711517</x:v>
      </x:c>
      <x:c r="AN61" s="48" t="n">
        <x:f>-2*AL61/Inputs!$C$14</x:f>
        <x:v>30.510130720287567</x:v>
      </x:c>
      <x:c r="AO61" s="48" t="n">
        <x:f>ABS(AM61)</x:f>
        <x:v>203.19747059711517</x:v>
      </x:c>
      <x:c r="AP61" s="48" t="n">
        <x:f>ABS(AN61)</x:f>
        <x:v>30.510130720287567</x:v>
      </x:c>
      <x:c r="AQ61" s="48" t="n">
        <x:f>IF(OR(Inputs!$C$27=TRUE,Inputs!$C$27="TRUE",Inputs!$C$27=1),Inputs!$C$46/Inputs!$C$12,0)</x:f>
        <x:v>42.13483146067416</x:v>
      </x:c>
      <x:c r="AR61" s="48" t="n">
        <x:f>AC61-AQ61</x:f>
        <x:v>851.0613709039029</x:v>
      </x:c>
      <x:c r="AS61" s="48" t="n">
        <x:f>AC61+AQ61</x:f>
        <x:v>935.3310338252512</x:v>
      </x:c>
    </x:row>
    <x:row r="62">
      <x:c r="A62" s="48" t="n">
        <x:f>Inputs!$C$7+60*(Inputs!$C$8-Inputs!$C$7)/240</x:f>
        <x:v>-30</x:v>
      </x:c>
      <x:c r="B62" s="48" t="n">
        <x:f>Inputs!$C$5+Inputs!$C$9*(A62/Inputs!$C$10)^2</x:f>
        <x:v>401</x:v>
      </x:c>
      <x:c r="C62" s="48" t="n">
        <x:f>B62</x:f>
        <x:v>401</x:v>
      </x:c>
      <x:c r="D62" s="48" t="n">
        <x:f>SQRT(A62^2+Inputs!$C$6^2+B62^2)</x:f>
        <x:v>402.8970091723194</x:v>
      </x:c>
      <x:c r="E62" s="48" t="n">
        <x:f>(D62-C62)*1000</x:f>
        <x:v>1897.0091723193718</x:v>
      </x:c>
      <x:c r="F62" s="48" t="n">
        <x:f>E62/Inputs!$C$12</x:f>
        <x:v>1065.7354900670628</x:v>
      </x:c>
      <x:c r="G62" s="48" t="n">
        <x:f>2*E62/Inputs!$C$21*1000000</x:f>
        <x:v>12.655482962946131</x:v>
      </x:c>
      <x:c r="H62" s="48" t="n">
        <x:f>SQRT(A62^2+Inputs!$C$6^2)</x:f>
        <x:v>39.05124837953327</x:v>
      </x:c>
      <x:c r="I62" s="48" t="n">
        <x:f>DEGREES(ATAN(H62/B62))</x:f>
        <x:v>5.562190700603825</x:v>
      </x:c>
      <x:c r="J62" s="48" t="n">
        <x:f>DEGREES((2*PI()/Inputs!$C$13)*Inputs!$C$15*SIN(RADIANS(I62)))</x:f>
        <x:v>34.893407239514076</x:v>
      </x:c>
      <x:c r="K62" s="48" t="n">
        <x:f>(C62/D62)^4</x:f>
        <x:v>0.9812989100898379</x:v>
      </x:c>
      <x:c r="L62" s="48" t="n">
        <x:f>10*LOG10(K62)</x:f>
        <x:v>-0.08198683517764999</x:v>
      </x:c>
      <x:c r="M62" s="48" t="n">
        <x:f>2*(Inputs!$C$9/(Inputs!$C$10^2))*A62</x:f>
        <x:v>-0.06666666666666667</x:v>
      </x:c>
      <x:c r="N62" s="48" t="n">
        <x:f>M62*Inputs!$C$11</x:f>
        <x:v>-0.26666666666666666</x:v>
      </x:c>
      <x:c r="O62" s="48" t="n">
        <x:f>1000*((A62*Inputs!$C$11)+(B62*N62))/D62</x:f>
        <x:v>-563.2539536581016</x:v>
      </x:c>
      <x:c r="P62" s="48" t="n">
        <x:f>-2*O62/Inputs!$C$13</x:f>
        <x:v>225.30158146324067</x:v>
      </x:c>
      <x:c r="Q62" s="48" t="n">
        <x:f>-2*O62/Inputs!$C$14</x:f>
        <x:v>33.82906628577187</x:v>
      </x:c>
      <x:c r="R62" s="48" t="n">
        <x:f>F62-Inputs!$C$16/2</x:f>
        <x:v>1050.7354900670628</x:v>
      </x:c>
      <x:c r="S62" s="48" t="n">
        <x:f>F62+Inputs!$C$16/2</x:f>
        <x:v>1080.7354900670628</x:v>
      </x:c>
      <x:c r="T62" s="48" t="n">
        <x:f>F62-Inputs!$C$17/2</x:f>
        <x:v>915.7354900670628</x:v>
      </x:c>
      <x:c r="U62" s="48" t="n">
        <x:f>F62+Inputs!$C$17/2</x:f>
        <x:v>1215.7354900670628</x:v>
      </x:c>
      <x:c r="V62" s="48" t="n">
        <x:f>ABS(P62)</x:f>
        <x:v>225.30158146324067</x:v>
      </x:c>
      <x:c r="W62" s="48" t="n">
        <x:f>ABS(Q62)</x:f>
        <x:v>33.82906628577187</x:v>
      </x:c>
      <x:c r="X62" s="48" t="n">
        <x: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(0.45*SIN(2*PI()*(((A62)/Inputs!$C$49)+Inputs!$C$47*0.137))+0.35*COS(2*PI()*(((0)/Inputs!$C$50)+Inputs!$C$47*0.173))+0.20*SIN(2*PI()*(((A62)+(0))/(0.5*(Inputs!$C$49+Inputs!$C$50))+Inputs!$C$47*0.097)))+0.30*(2*((SIN(((A62)*12.9898+(0)*78.233+Inputs!$C$47*37.719))*43758.5453)-INT((SIN(((A62)*12.9898+(0)*78.233+Inputs!$C$47*37.719))*43758.5453)))-1)))</x:f>
        <x:v>-17.51801383367469</x:v>
      </x:c>
      <x:c r="Y62" s="48" t="n">
        <x: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(0.45*SIN(2*PI()*(((A62)/Inputs!$C$49)+Inputs!$C$47*0.137))+0.35*COS(2*PI()*(((Inputs!$C$6)/Inputs!$C$50)+Inputs!$C$47*0.173))+0.20*SIN(2*PI()*(((A62)+(Inputs!$C$6))/(0.5*(Inputs!$C$49+Inputs!$C$50))+Inputs!$C$47*0.097)))+0.30*(2*((SIN(((A62)*12.9898+(Inputs!$C$6)*78.233+Inputs!$C$47*37.719))*43758.5453)-INT((SIN(((A62)*12.9898+(Inputs!$C$6)*78.233+Inputs!$C$47*37.719))*43758.5453)))-1)))</x:f>
        <x:v>336.97644838088075</x:v>
      </x:c>
      <x:c r="Z62" s="48" t="n">
        <x:f>B62-X62/1000</x:f>
        <x:v>401.0175180138337</x:v>
      </x:c>
      <x:c r="AA62" s="48" t="n">
        <x:f>SQRT(A62^2+Inputs!$C$6^2+(B62-Y62/1000)^2)</x:f>
        <x:v>402.5616206762951</x:v>
      </x:c>
      <x:c r="AB62" s="48" t="n">
        <x:f>(AA62-Z62)*1000</x:f>
        <x:v>1544.1026624613983</x:v>
      </x:c>
      <x:c r="AC62" s="48" t="n">
        <x:f>AB62/Inputs!$C$12</x:f>
        <x:v>867.47340587719</x:v>
      </x:c>
      <x:c r="AD62" s="48" t="n">
        <x:f>2*AB62/Inputs!$C$21*1000000</x:f>
        <x:v>10.301144149939878</x:v>
      </x:c>
      <x:c r="AE62" s="48" t="n">
        <x:f>DEGREES(ATAN(H62/(B62-Y62/1000)))</x:f>
        <x:v>5.5668393917384416</x:v>
      </x:c>
      <x:c r="AF62" s="48" t="n">
        <x:f>DEGREES((2*PI()/Inputs!$C$13)*Inputs!$C$15*SIN(RADIANS(AE62)))</x:f>
        <x:v>34.92247818610745</x:v>
      </x:c>
      <x:c r="AG62" s="48" t="n">
        <x:f>(Z62/AA62)^4</x:f>
        <x:v>0.9847452789876642</x:v>
      </x:c>
      <x:c r="AH62" s="48" t="n">
        <x:f>10*LOG10(AG62)</x:f>
        <x:v>-0.0667609258484872</x:v>
      </x:c>
      <x:c r="AI62" s="48" t="n">
        <x:f>AC62-F62</x:f>
        <x:v>-198.26208418987278</x:v>
      </x:c>
      <x:c r="AJ62" s="48" t="n">
        <x:f>AD62-G62</x:f>
        <x:v>-2.354338813006253</x:v>
      </x:c>
      <x:c r="AK62" s="48" t="n">
        <x:f>Y62-X62</x:f>
        <x:v>354.4944622145554</x:v>
      </x:c>
      <x:c r="AL62" s="48" t="n">
        <x:f>1000*(AA63-AA61)/(A63-A61)*Inputs!$C$11</x:f>
        <x:v>-514.0908893545202</x:v>
      </x:c>
      <x:c r="AM62" s="48" t="n">
        <x:f>-2*AL62/Inputs!$C$13</x:f>
        <x:v>205.63635574180807</x:v>
      </x:c>
      <x:c r="AN62" s="48" t="n">
        <x:f>-2*AL62/Inputs!$C$14</x:f>
        <x:v>30.876329690962176</x:v>
      </x:c>
      <x:c r="AO62" s="48" t="n">
        <x:f>ABS(AM62)</x:f>
        <x:v>205.63635574180807</x:v>
      </x:c>
      <x:c r="AP62" s="48" t="n">
        <x:f>ABS(AN62)</x:f>
        <x:v>30.876329690962176</x:v>
      </x:c>
      <x:c r="AQ62" s="48" t="n">
        <x:f>IF(OR(Inputs!$C$27=TRUE,Inputs!$C$27="TRUE",Inputs!$C$27=1),Inputs!$C$46/Inputs!$C$12,0)</x:f>
        <x:v>42.13483146067416</x:v>
      </x:c>
      <x:c r="AR62" s="48" t="n">
        <x:f>AC62-AQ62</x:f>
        <x:v>825.3385744165158</x:v>
      </x:c>
      <x:c r="AS62" s="48" t="n">
        <x:f>AC62+AQ62</x:f>
        <x:v>909.6082373378641</x:v>
      </x:c>
    </x:row>
    <x:row r="63">
      <x:c r="A63" s="48" t="n">
        <x:f>Inputs!$C$7+61*(Inputs!$C$8-Inputs!$C$7)/240</x:f>
        <x:v>-29.5</x:v>
      </x:c>
      <x:c r="B63" s="48" t="n">
        <x:f>Inputs!$C$5+Inputs!$C$9*(A63/Inputs!$C$10)^2</x:f>
        <x:v>400.96694444444444</x:v>
      </x:c>
      <x:c r="C63" s="48" t="n">
        <x:f>B63</x:f>
        <x:v>400.96694444444444</x:v>
      </x:c>
      <x:c r="D63" s="48" t="n">
        <x:f>SQRT(A63^2+Inputs!$C$6^2+B63^2)</x:f>
        <x:v>402.8271844564542</x:v>
      </x:c>
      <x:c r="E63" s="48" t="n">
        <x:f>(D63-C63)*1000</x:f>
        <x:v>1860.24001200974</x:v>
      </x:c>
      <x:c r="F63" s="48" t="n">
        <x:f>E63/Inputs!$C$12</x:f>
        <x:v>1045.0786584324383</x:v>
      </x:c>
      <x:c r="G63" s="48" t="n">
        <x:f>2*E63/Inputs!$C$21*1000000</x:f>
        <x:v>12.410185529148567</x:v>
      </x:c>
      <x:c r="H63" s="48" t="n">
        <x:f>SQRT(A63^2+Inputs!$C$6^2)</x:f>
        <x:v>38.66846260197062</x:v>
      </x:c>
      <x:c r="I63" s="48" t="n">
        <x:f>DEGREES(ATAN(H63/B63))</x:f>
        <x:v>5.508457547244826</x:v>
      </x:c>
      <x:c r="J63" s="48" t="n">
        <x:f>DEGREES((2*PI()/Inputs!$C$13)*Inputs!$C$15*SIN(RADIANS(I63)))</x:f>
        <x:v>34.55736622018927</x:v>
      </x:c>
      <x:c r="K63" s="48" t="n">
        <x:f>(C63/D63)^4</x:f>
        <x:v>0.9816557180259332</x:v>
      </x:c>
      <x:c r="L63" s="48" t="n">
        <x:f>10*LOG10(K63)</x:f>
        <x:v>-0.0804079935963663</x:v>
      </x:c>
      <x:c r="M63" s="48" t="n">
        <x:f>2*(Inputs!$C$9/(Inputs!$C$10^2))*A63</x:f>
        <x:v>-0.06555555555555556</x:v>
      </x:c>
      <x:c r="N63" s="48" t="n">
        <x:f>M63*Inputs!$C$11</x:f>
        <x:v>-0.26222222222222225</x:v>
      </x:c>
      <x:c r="O63" s="48" t="n">
        <x:f>1000*((A63*Inputs!$C$11)+(B63*N63))/D63</x:f>
        <x:v>-553.9408754425766</x:v>
      </x:c>
      <x:c r="P63" s="48" t="n">
        <x:f>-2*O63/Inputs!$C$13</x:f>
        <x:v>221.57635017703063</x:v>
      </x:c>
      <x:c r="Q63" s="48" t="n">
        <x:f>-2*O63/Inputs!$C$14</x:f>
        <x:v>33.269722248803404</x:v>
      </x:c>
      <x:c r="R63" s="48" t="n">
        <x:f>F63-Inputs!$C$16/2</x:f>
        <x:v>1030.0786584324383</x:v>
      </x:c>
      <x:c r="S63" s="48" t="n">
        <x:f>F63+Inputs!$C$16/2</x:f>
        <x:v>1060.0786584324383</x:v>
      </x:c>
      <x:c r="T63" s="48" t="n">
        <x:f>F63-Inputs!$C$17/2</x:f>
        <x:v>895.0786584324383</x:v>
      </x:c>
      <x:c r="U63" s="48" t="n">
        <x:f>F63+Inputs!$C$17/2</x:f>
        <x:v>1195.0786584324383</x:v>
      </x:c>
      <x:c r="V63" s="48" t="n">
        <x:f>ABS(P63)</x:f>
        <x:v>221.57635017703063</x:v>
      </x:c>
      <x:c r="W63" s="48" t="n">
        <x:f>ABS(Q63)</x:f>
        <x:v>33.269722248803404</x:v>
      </x:c>
      <x:c r="X63" s="48" t="n">
        <x: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(0.45*SIN(2*PI()*(((A63)/Inputs!$C$49)+Inputs!$C$47*0.137))+0.35*COS(2*PI()*(((0)/Inputs!$C$50)+Inputs!$C$47*0.173))+0.20*SIN(2*PI()*(((A63)+(0))/(0.5*(Inputs!$C$49+Inputs!$C$50))+Inputs!$C$47*0.097)))+0.30*(2*((SIN(((A63)*12.9898+(0)*78.233+Inputs!$C$47*37.719))*43758.5453)-INT((SIN(((A63)*12.9898+(0)*78.233+Inputs!$C$47*37.719))*43758.5453)))-1)))</x:f>
        <x:v>-36.167878297776255</x:v>
      </x:c>
      <x:c r="Y63" s="48" t="n">
        <x: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(0.45*SIN(2*PI()*(((A63)/Inputs!$C$49)+Inputs!$C$47*0.137))+0.35*COS(2*PI()*(((Inputs!$C$6)/Inputs!$C$50)+Inputs!$C$47*0.173))+0.20*SIN(2*PI()*(((A63)+(Inputs!$C$6))/(0.5*(Inputs!$C$49+Inputs!$C$50))+Inputs!$C$47*0.097)))+0.30*(2*((SIN(((A63)*12.9898+(Inputs!$C$6)*78.233+Inputs!$C$47*37.719))*43758.5453)-INT((SIN(((A63)*12.9898+(Inputs!$C$6)*78.233+Inputs!$C$47*37.719))*43758.5453)))-1)))</x:f>
        <x:v>326.24732503276135</x:v>
      </x:c>
      <x:c r="Z63" s="48" t="n">
        <x:f>B63-X63/1000</x:f>
        <x:v>401.0031123227422</x:v>
      </x:c>
      <x:c r="AA63" s="48" t="n">
        <x:f>SQRT(A63^2+Inputs!$C$6^2+(B63-Y63/1000)^2)</x:f>
        <x:v>402.5024449470191</x:v>
      </x:c>
      <x:c r="AB63" s="48" t="n">
        <x:f>(AA63-Z63)*1000</x:f>
        <x:v>1499.3326242769172</x:v>
      </x:c>
      <x:c r="AC63" s="48" t="n">
        <x:f>AB63/Inputs!$C$12</x:f>
        <x:v>842.3216990319759</x:v>
      </x:c>
      <x:c r="AD63" s="48" t="n">
        <x:f>2*AB63/Inputs!$C$21*1000000</x:f>
        <x:v>10.002470604360015</x:v>
      </x:c>
      <x:c r="AE63" s="48" t="n">
        <x:f>DEGREES(ATAN(H63/(B63-Y63/1000)))</x:f>
        <x:v>5.512915538417944</x:v>
      </x:c>
      <x:c r="AF63" s="48" t="n">
        <x:f>DEGREES((2*PI()/Inputs!$C$13)*Inputs!$C$15*SIN(RADIANS(AE63)))</x:f>
        <x:v>34.58524714934782</x:v>
      </x:c>
      <x:c r="AG63" s="48" t="n">
        <x:f>(Z63/AA63)^4</x:f>
        <x:v>0.9851829389311003</x:v>
      </x:c>
      <x:c r="AH63" s="48" t="n">
        <x:f>10*LOG10(AG63)</x:f>
        <x:v>-0.0648311773451377</x:v>
      </x:c>
      <x:c r="AI63" s="48" t="n">
        <x:f>AC63-F63</x:f>
        <x:v>-202.7569594004624</x:v>
      </x:c>
      <x:c r="AJ63" s="48" t="n">
        <x:f>AD63-G63</x:f>
        <x:v>-2.407714924788552</x:v>
      </x:c>
      <x:c r="AK63" s="48" t="n">
        <x:f>Y63-X63</x:f>
        <x:v>362.4152033305376</x:v>
      </x:c>
      <x:c r="AL63" s="48" t="n">
        <x:f>1000*(AA64-AA62)/(A64-A62)*Inputs!$C$11</x:f>
        <x:v>-533.8785199585345</x:v>
      </x:c>
      <x:c r="AM63" s="48" t="n">
        <x:f>-2*AL63/Inputs!$C$13</x:f>
        <x:v>213.5514079834138</x:v>
      </x:c>
      <x:c r="AN63" s="48" t="n">
        <x:f>-2*AL63/Inputs!$C$14</x:f>
        <x:v>32.06477597348556</x:v>
      </x:c>
      <x:c r="AO63" s="48" t="n">
        <x:f>ABS(AM63)</x:f>
        <x:v>213.5514079834138</x:v>
      </x:c>
      <x:c r="AP63" s="48" t="n">
        <x:f>ABS(AN63)</x:f>
        <x:v>32.06477597348556</x:v>
      </x:c>
      <x:c r="AQ63" s="48" t="n">
        <x:f>IF(OR(Inputs!$C$27=TRUE,Inputs!$C$27="TRUE",Inputs!$C$27=1),Inputs!$C$46/Inputs!$C$12,0)</x:f>
        <x:v>42.13483146067416</x:v>
      </x:c>
      <x:c r="AR63" s="48" t="n">
        <x:f>AC63-AQ63</x:f>
        <x:v>800.1868675713017</x:v>
      </x:c>
      <x:c r="AS63" s="48" t="n">
        <x:f>AC63+AQ63</x:f>
        <x:v>884.45653049265</x:v>
      </x:c>
    </x:row>
    <x:row r="64">
      <x:c r="A64" s="48" t="n">
        <x:f>Inputs!$C$7+62*(Inputs!$C$8-Inputs!$C$7)/240</x:f>
        <x:v>-29</x:v>
      </x:c>
      <x:c r="B64" s="48" t="n">
        <x:f>Inputs!$C$5+Inputs!$C$9*(A64/Inputs!$C$10)^2</x:f>
        <x:v>400.93444444444447</x:v>
      </x:c>
      <x:c r="C64" s="48" t="n">
        <x:f>B64</x:f>
        <x:v>400.93444444444447</x:v>
      </x:c>
      <x:c r="D64" s="48" t="n">
        <x:f>SQRT(A64^2+Inputs!$C$6^2+B64^2)</x:f>
        <x:v>402.7585241083984</x:v>
      </x:c>
      <x:c r="E64" s="48" t="n">
        <x:f>(D64-C64)*1000</x:f>
        <x:v>1824.0796639539099</x:v>
      </x:c>
      <x:c r="F64" s="48" t="n">
        <x:f>E64/Inputs!$C$12</x:f>
        <x:v>1024.763856153882</x:v>
      </x:c>
      <x:c r="G64" s="48" t="n">
        <x:f>2*E64/Inputs!$C$21*1000000</x:f>
        <x:v>12.168949653522704</x:v>
      </x:c>
      <x:c r="H64" s="48" t="n">
        <x:f>SQRT(A64^2+Inputs!$C$6^2)</x:f>
        <x:v>38.28837943815329</x:v>
      </x:c>
      <x:c r="I64" s="48" t="n">
        <x:f>DEGREES(ATAN(H64/B64))</x:f>
        <x:v>5.455081025841907</x:v>
      </x:c>
      <x:c r="J64" s="48" t="n">
        <x:f>DEGREES((2*PI()/Inputs!$C$13)*Inputs!$C$15*SIN(RADIANS(I64)))</x:f>
        <x:v>34.2235254443067</x:v>
      </x:c>
      <x:c r="K64" s="48" t="n">
        <x:f>(C64/D64)^4</x:f>
        <x:v>0.9820068340146043</x:v>
      </x:c>
      <x:c r="L64" s="48" t="n">
        <x:f>10*LOG10(K64)</x:f>
        <x:v>-0.0788548984593785</x:v>
      </x:c>
      <x:c r="M64" s="48" t="n">
        <x:f>2*(Inputs!$C$9/(Inputs!$C$10^2))*A64</x:f>
        <x:v>-0.06444444444444444</x:v>
      </x:c>
      <x:c r="N64" s="48" t="n">
        <x:f>M64*Inputs!$C$11</x:f>
        <x:v>-0.2577777777777778</x:v>
      </x:c>
      <x:c r="O64" s="48" t="n">
        <x:f>1000*((A64*Inputs!$C$11)+(B64*N64))/D64</x:f>
        <x:v>-544.6240786810025</x:v>
      </x:c>
      <x:c r="P64" s="48" t="n">
        <x:f>-2*O64/Inputs!$C$13</x:f>
        <x:v>217.849631472401</x:v>
      </x:c>
      <x:c r="Q64" s="48" t="n">
        <x:f>-2*O64/Inputs!$C$14</x:f>
        <x:v>32.71015487573589</x:v>
      </x:c>
      <x:c r="R64" s="48" t="n">
        <x:f>F64-Inputs!$C$16/2</x:f>
        <x:v>1009.763856153882</x:v>
      </x:c>
      <x:c r="S64" s="48" t="n">
        <x:f>F64+Inputs!$C$16/2</x:f>
        <x:v>1039.763856153882</x:v>
      </x:c>
      <x:c r="T64" s="48" t="n">
        <x:f>F64-Inputs!$C$17/2</x:f>
        <x:v>874.763856153882</x:v>
      </x:c>
      <x:c r="U64" s="48" t="n">
        <x:f>F64+Inputs!$C$17/2</x:f>
        <x:v>1174.763856153882</x:v>
      </x:c>
      <x:c r="V64" s="48" t="n">
        <x:f>ABS(P64)</x:f>
        <x:v>217.849631472401</x:v>
      </x:c>
      <x:c r="W64" s="48" t="n">
        <x:f>ABS(Q64)</x:f>
        <x:v>32.71015487573589</x:v>
      </x:c>
      <x:c r="X64" s="48" t="n">
        <x: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(0.45*SIN(2*PI()*(((A64)/Inputs!$C$49)+Inputs!$C$47*0.137))+0.35*COS(2*PI()*(((0)/Inputs!$C$50)+Inputs!$C$47*0.173))+0.20*SIN(2*PI()*(((A64)+(0))/(0.5*(Inputs!$C$49+Inputs!$C$50))+Inputs!$C$47*0.097)))+0.30*(2*((SIN(((A64)*12.9898+(0)*78.233+Inputs!$C$47*37.719))*43758.5453)-INT((SIN(((A64)*12.9898+(0)*78.233+Inputs!$C$47*37.719))*43758.5453)))-1)))</x:f>
        <x:v>-22.86382175599607</x:v>
      </x:c>
      <x:c r="Y64" s="48" t="n">
        <x: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(0.45*SIN(2*PI()*(((A64)/Inputs!$C$49)+Inputs!$C$47*0.137))+0.35*COS(2*PI()*(((Inputs!$C$6)/Inputs!$C$50)+Inputs!$C$47*0.173))+0.20*SIN(2*PI()*(((A64)+(Inputs!$C$6))/(0.5*(Inputs!$C$49+Inputs!$C$50))+Inputs!$C$47*0.097)))+0.30*(2*((SIN(((A64)*12.9898+(Inputs!$C$6)*78.233+Inputs!$C$47*37.719))*43758.5453)-INT((SIN(((A64)*12.9898+(Inputs!$C$6)*78.233+Inputs!$C$47*37.719))*43758.5453)))-1)))</x:f>
        <x:v>331.8773601232655</x:v>
      </x:c>
      <x:c r="Z64" s="48" t="n">
        <x:f>B64-X64/1000</x:f>
        <x:v>400.95730826620047</x:v>
      </x:c>
      <x:c r="AA64" s="48" t="n">
        <x:f>SQRT(A64^2+Inputs!$C$6^2+(B64-Y64/1000)^2)</x:f>
        <x:v>402.42815104630546</x:v>
      </x:c>
      <x:c r="AB64" s="48" t="n">
        <x:f>(AA64-Z64)*1000</x:f>
        <x:v>1470.842780104988</x:v>
      </x:c>
      <x:c r="AC64" s="48" t="n">
        <x:f>AB64/Inputs!$C$12</x:f>
        <x:v>826.3161685983079</x:v>
      </x:c>
      <x:c r="AD64" s="48" t="n">
        <x:f>2*AB64/Inputs!$C$21*1000000</x:f>
        <x:v>9.812406822489097</x:v>
      </x:c>
      <x:c r="AE64" s="48" t="n">
        <x:f>DEGREES(ATAN(H64/(B64-Y64/1000)))</x:f>
        <x:v>5.459572967954155</x:v>
      </x:c>
      <x:c r="AF64" s="48" t="n">
        <x:f>DEGREES((2*PI()/Inputs!$C$13)*Inputs!$C$15*SIN(RADIANS(AE64)))</x:f>
        <x:v>34.25162121958299</x:v>
      </x:c>
      <x:c r="AG64" s="48" t="n">
        <x:f>(Z64/AA64)^4</x:f>
        <x:v>0.9854602747146366</x:v>
      </x:c>
      <x:c r="AH64" s="48" t="n">
        <x:f>10*LOG10(AG64)</x:f>
        <x:v>-0.0636087805116036</x:v>
      </x:c>
      <x:c r="AI64" s="48" t="n">
        <x:f>AC64-F64</x:f>
        <x:v>-198.44768755557413</x:v>
      </x:c>
      <x:c r="AJ64" s="48" t="n">
        <x:f>AD64-G64</x:f>
        <x:v>-2.3565428310336074</x:v>
      </x:c>
      <x:c r="AK64" s="48" t="n">
        <x:f>Y64-X64</x:f>
        <x:v>354.74118187926155</x:v>
      </x:c>
      <x:c r="AL64" s="48" t="n">
        <x:f>1000*(AA65-AA63)/(A65-A63)*Inputs!$C$11</x:f>
        <x:v>-481.119386497312</x:v>
      </x:c>
      <x:c r="AM64" s="48" t="n">
        <x:f>-2*AL64/Inputs!$C$13</x:f>
        <x:v>192.4477545989248</x:v>
      </x:c>
      <x:c r="AN64" s="48" t="n">
        <x:f>-2*AL64/Inputs!$C$14</x:f>
        <x:v>28.89605924908781</x:v>
      </x:c>
      <x:c r="AO64" s="48" t="n">
        <x:f>ABS(AM64)</x:f>
        <x:v>192.4477545989248</x:v>
      </x:c>
      <x:c r="AP64" s="48" t="n">
        <x:f>ABS(AN64)</x:f>
        <x:v>28.89605924908781</x:v>
      </x:c>
      <x:c r="AQ64" s="48" t="n">
        <x:f>IF(OR(Inputs!$C$27=TRUE,Inputs!$C$27="TRUE",Inputs!$C$27=1),Inputs!$C$46/Inputs!$C$12,0)</x:f>
        <x:v>42.13483146067416</x:v>
      </x:c>
      <x:c r="AR64" s="48" t="n">
        <x:f>AC64-AQ64</x:f>
        <x:v>784.1813371376337</x:v>
      </x:c>
      <x:c r="AS64" s="48" t="n">
        <x:f>AC64+AQ64</x:f>
        <x:v>868.451000058982</x:v>
      </x:c>
    </x:row>
    <x:row r="65">
      <x:c r="A65" s="48" t="n">
        <x:f>Inputs!$C$7+63*(Inputs!$C$8-Inputs!$C$7)/240</x:f>
        <x:v>-28.5</x:v>
      </x:c>
      <x:c r="B65" s="48" t="n">
        <x:f>Inputs!$C$5+Inputs!$C$9*(A65/Inputs!$C$10)^2</x:f>
        <x:v>400.9025</x:v>
      </x:c>
      <x:c r="C65" s="48" t="n">
        <x:f>B65</x:f>
        <x:v>400.9025</x:v>
      </x:c>
      <x:c r="D65" s="48" t="n">
        <x:f>SQRT(A65^2+Inputs!$C$6^2+B65^2)</x:f>
        <x:v>402.6910285892274</x:v>
      </x:c>
      <x:c r="E65" s="48" t="n">
        <x:f>(D65-C65)*1000</x:f>
        <x:v>1788.5285892274396</x:v>
      </x:c>
      <x:c r="F65" s="48" t="n">
        <x:f>E65/Inputs!$C$12</x:f>
        <x:v>1004.7913422626065</x:v>
      </x:c>
      <x:c r="G65" s="48" t="n">
        <x:f>2*E65/Inputs!$C$21*1000000</x:f>
        <x:v>11.931778412033564</x:v>
      </x:c>
      <x:c r="H65" s="48" t="n">
        <x:f>SQRT(A65^2+Inputs!$C$6^2)</x:f>
        <x:v>37.911080174534725</x:v>
      </x:c>
      <x:c r="I65" s="48" t="n">
        <x:f>DEGREES(ATAN(H65/B65))</x:f>
        <x:v>5.402073248314196</x:v>
      </x:c>
      <x:c r="J65" s="48" t="n">
        <x:f>DEGREES((2*PI()/Inputs!$C$13)*Inputs!$C$15*SIN(RADIANS(I65)))</x:f>
        <x:v>33.891961563301656</x:v>
      </x:c>
      <x:c r="K65" s="48" t="n">
        <x:f>(C65/D65)^4</x:f>
        <x:v>0.9823522429070451</x:v>
      </x:c>
      <x:c r="L65" s="48" t="n">
        <x:f>10*LOG10(K65)</x:f>
        <x:v>-0.0773275893304539</x:v>
      </x:c>
      <x:c r="M65" s="48" t="n">
        <x:f>2*(Inputs!$C$9/(Inputs!$C$10^2))*A65</x:f>
        <x:v>-0.06333333333333334</x:v>
      </x:c>
      <x:c r="N65" s="48" t="n">
        <x:f>M65*Inputs!$C$11</x:f>
        <x:v>-0.25333333333333335</x:v>
      </x:c>
      <x:c r="O65" s="48" t="n">
        <x:f>1000*((A65*Inputs!$C$11)+(B65*N65))/D65</x:f>
        <x:v>-535.3036232812494</x:v>
      </x:c>
      <x:c r="P65" s="48" t="n">
        <x:f>-2*O65/Inputs!$C$13</x:f>
        <x:v>214.12144931249978</x:v>
      </x:c>
      <x:c r="Q65" s="48" t="n">
        <x:f>-2*O65/Inputs!$C$14</x:f>
        <x:v>32.15036776463961</x:v>
      </x:c>
      <x:c r="R65" s="48" t="n">
        <x:f>F65-Inputs!$C$16/2</x:f>
        <x:v>989.7913422626065</x:v>
      </x:c>
      <x:c r="S65" s="48" t="n">
        <x:f>F65+Inputs!$C$16/2</x:f>
        <x:v>1019.7913422626065</x:v>
      </x:c>
      <x:c r="T65" s="48" t="n">
        <x:f>F65-Inputs!$C$17/2</x:f>
        <x:v>854.7913422626065</x:v>
      </x:c>
      <x:c r="U65" s="48" t="n">
        <x:f>F65+Inputs!$C$17/2</x:f>
        <x:v>1154.7913422626066</x:v>
      </x:c>
      <x:c r="V65" s="48" t="n">
        <x:f>ABS(P65)</x:f>
        <x:v>214.12144931249978</x:v>
      </x:c>
      <x:c r="W65" s="48" t="n">
        <x:f>ABS(Q65)</x:f>
        <x:v>32.15036776463961</x:v>
      </x:c>
      <x:c r="X65" s="48" t="n">
        <x: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(0.45*SIN(2*PI()*(((A65)/Inputs!$C$49)+Inputs!$C$47*0.137))+0.35*COS(2*PI()*(((0)/Inputs!$C$50)+Inputs!$C$47*0.173))+0.20*SIN(2*PI()*(((A65)+(0))/(0.5*(Inputs!$C$49+Inputs!$C$50))+Inputs!$C$47*0.097)))+0.30*(2*((SIN(((A65)*12.9898+(0)*78.233+Inputs!$C$47*37.719))*43758.5453)-INT((SIN(((A65)*12.9898+(0)*78.233+Inputs!$C$47*37.719))*43758.5453)))-1)))</x:f>
        <x:v>-29.731374520275047</x:v>
      </x:c>
      <x:c r="Y65" s="48" t="n">
        <x: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(0.45*SIN(2*PI()*(((A65)/Inputs!$C$49)+Inputs!$C$47*0.137))+0.35*COS(2*PI()*(((Inputs!$C$6)/Inputs!$C$50)+Inputs!$C$47*0.173))+0.20*SIN(2*PI()*(((A65)+(Inputs!$C$6))/(0.5*(Inputs!$C$49+Inputs!$C$50))+Inputs!$C$47*0.097)))+0.30*(2*((SIN(((A65)*12.9898+(Inputs!$C$6)*78.233+Inputs!$C$47*37.719))*43758.5453)-INT((SIN(((A65)*12.9898+(Inputs!$C$6)*78.233+Inputs!$C$47*37.719))*43758.5453)))-1)))</x:f>
        <x:v>310.24247262167495</x:v>
      </x:c>
      <x:c r="Z65" s="48" t="n">
        <x:f>B65-X65/1000</x:f>
        <x:v>400.93223137452026</x:v>
      </x:c>
      <x:c r="AA65" s="48" t="n">
        <x:f>SQRT(A65^2+Inputs!$C$6^2+(B65-Y65/1000)^2)</x:f>
        <x:v>402.3821651003948</x:v>
      </x:c>
      <x:c r="AB65" s="48" t="n">
        <x:f>(AA65-Z65)*1000</x:f>
        <x:v>1449.93372587453</x:v>
      </x:c>
      <x:c r="AC65" s="48" t="n">
        <x:f>AB65/Inputs!$C$12</x:f>
        <x:v>814.5695089182752</x:v>
      </x:c>
      <x:c r="AD65" s="48" t="n">
        <x:f>2*AB65/Inputs!$C$21*1000000</x:f>
        <x:v>9.672916627372459</x:v>
      </x:c>
      <x:c r="AE65" s="48" t="n">
        <x:f>DEGREES(ATAN(H65/(B65-Y65/1000)))</x:f>
        <x:v>5.406232156829509</x:v>
      </x:c>
      <x:c r="AF65" s="48" t="n">
        <x:f>DEGREES((2*PI()/Inputs!$C$13)*Inputs!$C$15*SIN(RADIANS(AE65)))</x:f>
        <x:v>33.91797660670998</x:v>
      </x:c>
      <x:c r="AG65" s="48" t="n">
        <x:f>(Z65/AA65)^4</x:f>
        <x:v>0.985664219952498</x:v>
      </x:c>
      <x:c r="AH65" s="48" t="n">
        <x:f>10*LOG10(AG65)</x:f>
        <x:v>-0.0627100824134435</x:v>
      </x:c>
      <x:c r="AI65" s="48" t="n">
        <x:f>AC65-F65</x:f>
        <x:v>-190.22183334433123</x:v>
      </x:c>
      <x:c r="AJ65" s="48" t="n">
        <x:f>AD65-G65</x:f>
        <x:v>-2.2588617846611054</x:v>
      </x:c>
      <x:c r="AK65" s="48" t="n">
        <x:f>Y65-X65</x:f>
        <x:v>339.97384714195</x:v>
      </x:c>
      <x:c r="AL65" s="48" t="n">
        <x:f>1000*(AA66-AA64)/(A66-A64)*Inputs!$C$11</x:f>
        <x:v>-461.4813674056677</x:v>
      </x:c>
      <x:c r="AM65" s="48" t="n">
        <x:f>-2*AL65/Inputs!$C$13</x:f>
        <x:v>184.59254696226708</x:v>
      </x:c>
      <x:c r="AN65" s="48" t="n">
        <x:f>-2*AL65/Inputs!$C$14</x:f>
        <x:v>27.716598642983048</x:v>
      </x:c>
      <x:c r="AO65" s="48" t="n">
        <x:f>ABS(AM65)</x:f>
        <x:v>184.59254696226708</x:v>
      </x:c>
      <x:c r="AP65" s="48" t="n">
        <x:f>ABS(AN65)</x:f>
        <x:v>27.716598642983048</x:v>
      </x:c>
      <x:c r="AQ65" s="48" t="n">
        <x:f>IF(OR(Inputs!$C$27=TRUE,Inputs!$C$27="TRUE",Inputs!$C$27=1),Inputs!$C$46/Inputs!$C$12,0)</x:f>
        <x:v>42.13483146067416</x:v>
      </x:c>
      <x:c r="AR65" s="48" t="n">
        <x:f>AC65-AQ65</x:f>
        <x:v>772.4346774576011</x:v>
      </x:c>
      <x:c r="AS65" s="48" t="n">
        <x:f>AC65+AQ65</x:f>
        <x:v>856.7043403789494</x:v>
      </x:c>
    </x:row>
    <x:row r="66">
      <x:c r="A66" s="48" t="n">
        <x:f>Inputs!$C$7+64*(Inputs!$C$8-Inputs!$C$7)/240</x:f>
        <x:v>-28</x:v>
      </x:c>
      <x:c r="B66" s="48" t="n">
        <x:f>Inputs!$C$5+Inputs!$C$9*(A66/Inputs!$C$10)^2</x:f>
        <x:v>400.87111111111113</x:v>
      </x:c>
      <x:c r="C66" s="48" t="n">
        <x:f>B66</x:f>
        <x:v>400.87111111111113</x:v>
      </x:c>
      <x:c r="D66" s="48" t="n">
        <x:f>SQRT(A66^2+Inputs!$C$6^2+B66^2)</x:f>
        <x:v>402.62469835251886</x:v>
      </x:c>
      <x:c r="E66" s="48" t="n">
        <x:f>(D66-C66)*1000</x:f>
        <x:v>1753.587241407729</x:v>
      </x:c>
      <x:c r="F66" s="48" t="n">
        <x:f>E66/Inputs!$C$12</x:f>
        <x:v>985.1613715773758</x:v>
      </x:c>
      <x:c r="G66" s="48" t="n">
        <x:f>2*E66/Inputs!$C$21*1000000</x:f>
        <x:v>11.69867483062385</x:v>
      </x:c>
      <x:c r="H66" s="48" t="n">
        <x:f>SQRT(A66^2+Inputs!$C$6^2)</x:f>
        <x:v>37.53664875824692</x:v>
      </x:c>
      <x:c r="I66" s="48" t="n">
        <x:f>DEGREES(ATAN(H66/B66))</x:f>
        <x:v>5.349446707466922</x:v>
      </x:c>
      <x:c r="J66" s="48" t="n">
        <x:f>DEGREES((2*PI()/Inputs!$C$13)*Inputs!$C$15*SIN(RADIANS(I66)))</x:f>
        <x:v>33.56275362207757</x:v>
      </x:c>
      <x:c r="K66" s="48" t="n">
        <x:f>(C66/D66)^4</x:f>
        <x:v>0.9826919297839273</x:v>
      </x:c>
      <x:c r="L66" s="48" t="n">
        <x:f>10*LOG10(K66)</x:f>
        <x:v>-0.0758261051427241</x:v>
      </x:c>
      <x:c r="M66" s="48" t="n">
        <x:f>2*(Inputs!$C$9/(Inputs!$C$10^2))*A66</x:f>
        <x:v>-0.06222222222222222</x:v>
      </x:c>
      <x:c r="N66" s="48" t="n">
        <x:f>M66*Inputs!$C$11</x:f>
        <x:v>-0.24888888888888888</x:v>
      </x:c>
      <x:c r="O66" s="48" t="n">
        <x:f>1000*((A66*Inputs!$C$11)+(B66*N66))/D66</x:f>
        <x:v>-525.9795693076957</x:v>
      </x:c>
      <x:c r="P66" s="48" t="n">
        <x:f>-2*O66/Inputs!$C$13</x:f>
        <x:v>210.39182772307828</x:v>
      </x:c>
      <x:c r="Q66" s="48" t="n">
        <x:f>-2*O66/Inputs!$C$14</x:f>
        <x:v>31.59036452298473</x:v>
      </x:c>
      <x:c r="R66" s="48" t="n">
        <x:f>F66-Inputs!$C$16/2</x:f>
        <x:v>970.1613715773758</x:v>
      </x:c>
      <x:c r="S66" s="48" t="n">
        <x:f>F66+Inputs!$C$16/2</x:f>
        <x:v>1000.1613715773758</x:v>
      </x:c>
      <x:c r="T66" s="48" t="n">
        <x:f>F66-Inputs!$C$17/2</x:f>
        <x:v>835.1613715773758</x:v>
      </x:c>
      <x:c r="U66" s="48" t="n">
        <x:f>F66+Inputs!$C$17/2</x:f>
        <x:v>1135.1613715773758</x:v>
      </x:c>
      <x:c r="V66" s="48" t="n">
        <x:f>ABS(P66)</x:f>
        <x:v>210.39182772307828</x:v>
      </x:c>
      <x:c r="W66" s="48" t="n">
        <x:f>ABS(Q66)</x:f>
        <x:v>31.59036452298473</x:v>
      </x:c>
      <x:c r="X66" s="48" t="n">
        <x: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(0.45*SIN(2*PI()*(((A66)/Inputs!$C$49)+Inputs!$C$47*0.137))+0.35*COS(2*PI()*(((0)/Inputs!$C$50)+Inputs!$C$47*0.173))+0.20*SIN(2*PI()*(((A66)+(0))/(0.5*(Inputs!$C$49+Inputs!$C$50))+Inputs!$C$47*0.097)))+0.30*(2*((SIN(((A66)*12.9898+(0)*78.233+Inputs!$C$47*37.719))*43758.5453)-INT((SIN(((A66)*12.9898+(0)*78.233+Inputs!$C$47*37.719))*43758.5453)))-1)))</x:f>
        <x:v>-53.01751827704016</x:v>
      </x:c>
      <x:c r="Y66" s="48" t="n">
        <x: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(0.45*SIN(2*PI()*(((A66)/Inputs!$C$49)+Inputs!$C$47*0.137))+0.35*COS(2*PI()*(((Inputs!$C$6)/Inputs!$C$50)+Inputs!$C$47*0.173))+0.20*SIN(2*PI()*(((A66)+(Inputs!$C$6))/(0.5*(Inputs!$C$49+Inputs!$C$50))+Inputs!$C$47*0.097)))+0.30*(2*((SIN(((A66)*12.9898+(Inputs!$C$6)*78.233+Inputs!$C$47*37.719))*43758.5453)-INT((SIN(((A66)*12.9898+(Inputs!$C$6)*78.233+Inputs!$C$47*37.719))*43758.5453)))-1)))</x:f>
        <x:v>313.2831784265769</x:v>
      </x:c>
      <x:c r="Z66" s="48" t="n">
        <x:f>B66-X66/1000</x:f>
        <x:v>400.9241286293882</x:v>
      </x:c>
      <x:c r="AA66" s="48" t="n">
        <x:f>SQRT(A66^2+Inputs!$C$6^2+(B66-Y66/1000)^2)</x:f>
        <x:v>402.31278070445404</x:v>
      </x:c>
      <x:c r="AB66" s="48" t="n">
        <x:f>(AA66-Z66)*1000</x:f>
        <x:v>1388.6520750658633</x:v>
      </x:c>
      <x:c r="AC66" s="48" t="n">
        <x:f>AB66/Inputs!$C$12</x:f>
        <x:v>780.1416152055411</x:v>
      </x:c>
      <x:c r="AD66" s="48" t="n">
        <x:f>2*AB66/Inputs!$C$21*1000000</x:f>
        <x:v>9.26408945928762</x:v>
      </x:c>
      <x:c r="AE66" s="48" t="n">
        <x:f>DEGREES(ATAN(H66/(B66-Y66/1000)))</x:f>
        <x:v>5.353606301664317</x:v>
      </x:c>
      <x:c r="AF66" s="48" t="n">
        <x:f>DEGREES((2*PI()/Inputs!$C$13)*Inputs!$C$15*SIN(RADIANS(AE66)))</x:f>
        <x:v>33.588775204474345</x:v>
      </x:c>
      <x:c r="AG66" s="48" t="n">
        <x:f>(Z66/AA66)^4</x:f>
        <x:v>0.9862646287898027</x:v>
      </x:c>
      <x:c r="AH66" s="48" t="n">
        <x:f>10*LOG10(AG66)</x:f>
        <x:v>-0.0600654205317372</x:v>
      </x:c>
      <x:c r="AI66" s="48" t="n">
        <x:f>AC66-F66</x:f>
        <x:v>-205.01975637183466</x:v>
      </x:c>
      <x:c r="AJ66" s="48" t="n">
        <x:f>AD66-G66</x:f>
        <x:v>-2.4345853713362295</x:v>
      </x:c>
      <x:c r="AK66" s="48" t="n">
        <x:f>Y66-X66</x:f>
        <x:v>366.30069670361706</x:v>
      </x:c>
      <x:c r="AL66" s="48" t="n">
        <x:f>1000*(AA67-AA65)/(A67-A65)*Inputs!$C$11</x:f>
        <x:v>-472.825279651488</x:v>
      </x:c>
      <x:c r="AM66" s="48" t="n">
        <x:f>-2*AL66/Inputs!$C$13</x:f>
        <x:v>189.1301118605952</x:v>
      </x:c>
      <x:c r="AN66" s="48" t="n">
        <x:f>-2*AL66/Inputs!$C$14</x:f>
        <x:v>28.397914693783065</x:v>
      </x:c>
      <x:c r="AO66" s="48" t="n">
        <x:f>ABS(AM66)</x:f>
        <x:v>189.1301118605952</x:v>
      </x:c>
      <x:c r="AP66" s="48" t="n">
        <x:f>ABS(AN66)</x:f>
        <x:v>28.397914693783065</x:v>
      </x:c>
      <x:c r="AQ66" s="48" t="n">
        <x:f>IF(OR(Inputs!$C$27=TRUE,Inputs!$C$27="TRUE",Inputs!$C$27=1),Inputs!$C$46/Inputs!$C$12,0)</x:f>
        <x:v>42.13483146067416</x:v>
      </x:c>
      <x:c r="AR66" s="48" t="n">
        <x:f>AC66-AQ66</x:f>
        <x:v>738.006783744867</x:v>
      </x:c>
      <x:c r="AS66" s="48" t="n">
        <x:f>AC66+AQ66</x:f>
        <x:v>822.2764466662153</x:v>
      </x:c>
    </x:row>
    <x:row r="67">
      <x:c r="A67" s="48" t="n">
        <x:f>Inputs!$C$7+65*(Inputs!$C$8-Inputs!$C$7)/240</x:f>
        <x:v>-27.5</x:v>
      </x:c>
      <x:c r="B67" s="48" t="n">
        <x:f>Inputs!$C$5+Inputs!$C$9*(A67/Inputs!$C$10)^2</x:f>
        <x:v>400.84027777777777</x:v>
      </x:c>
      <x:c r="C67" s="48" t="n">
        <x:f>B67</x:f>
        <x:v>400.84027777777777</x:v>
      </x:c>
      <x:c r="D67" s="48" t="n">
        <x:f>SQRT(A67^2+Inputs!$C$6^2+B67^2)</x:f>
        <x:v>402.5595338443322</x:v>
      </x:c>
      <x:c r="E67" s="48" t="n">
        <x:f>(D67-C67)*1000</x:f>
        <x:v>1719.2560665544079</x:v>
      </x:c>
      <x:c r="F67" s="48" t="n">
        <x:f>E67/Inputs!$C$12</x:f>
        <x:v>965.8741946934875</x:v>
      </x:c>
      <x:c r="G67" s="48" t="n">
        <x:f>2*E67/Inputs!$C$21*1000000</x:f>
        <x:v>11.4696418850831</x:v>
      </x:c>
      <x:c r="H67" s="48" t="n">
        <x:f>SQRT(A67^2+Inputs!$C$6^2)</x:f>
        <x:v>37.16517186829626</x:v>
      </x:c>
      <x:c r="I67" s="48" t="n">
        <x:f>DEGREES(ATAN(H67/B67))</x:f>
        <x:v>5.297214287097746</x:v>
      </x:c>
      <x:c r="J67" s="48" t="n">
        <x:f>DEGREES((2*PI()/Inputs!$C$13)*Inputs!$C$15*SIN(RADIANS(I67)))</x:f>
        <x:v>33.23598312233844</x:v>
      </x:c>
      <x:c r="K67" s="48" t="n">
        <x:f>(C67/D67)^4</x:f>
        <x:v>0.9830258799568693</x:v>
      </x:c>
      <x:c r="L67" s="48" t="n">
        <x:f>10*LOG10(K67)</x:f>
        <x:v>-0.0743504841963607</x:v>
      </x:c>
      <x:c r="M67" s="48" t="n">
        <x:f>2*(Inputs!$C$9/(Inputs!$C$10^2))*A67</x:f>
        <x:v>-0.06111111111111111</x:v>
      </x:c>
      <x:c r="N67" s="48" t="n">
        <x:f>M67*Inputs!$C$11</x:f>
        <x:v>-0.24444444444444444</x:v>
      </x:c>
      <x:c r="O67" s="48" t="n">
        <x:f>1000*((A67*Inputs!$C$11)+(B67*N67))/D67</x:f>
        <x:v>-516.6519769788181</x:v>
      </x:c>
      <x:c r="P67" s="48" t="n">
        <x:f>-2*O67/Inputs!$C$13</x:f>
        <x:v>206.66079079152723</x:v>
      </x:c>
      <x:c r="Q67" s="48" t="n">
        <x:f>-2*O67/Inputs!$C$14</x:f>
        <x:v>31.030148767496584</x:v>
      </x:c>
      <x:c r="R67" s="48" t="n">
        <x:f>F67-Inputs!$C$16/2</x:f>
        <x:v>950.8741946934875</x:v>
      </x:c>
      <x:c r="S67" s="48" t="n">
        <x:f>F67+Inputs!$C$16/2</x:f>
        <x:v>980.8741946934875</x:v>
      </x:c>
      <x:c r="T67" s="48" t="n">
        <x:f>F67-Inputs!$C$17/2</x:f>
        <x:v>815.8741946934875</x:v>
      </x:c>
      <x:c r="U67" s="48" t="n">
        <x:f>F67+Inputs!$C$17/2</x:f>
        <x:v>1115.8741946934874</x:v>
      </x:c>
      <x:c r="V67" s="48" t="n">
        <x:f>ABS(P67)</x:f>
        <x:v>206.66079079152723</x:v>
      </x:c>
      <x:c r="W67" s="48" t="n">
        <x:f>ABS(Q67)</x:f>
        <x:v>31.030148767496584</x:v>
      </x:c>
      <x:c r="X67" s="48" t="n">
        <x: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(0.45*SIN(2*PI()*(((A67)/Inputs!$C$49)+Inputs!$C$47*0.137))+0.35*COS(2*PI()*(((0)/Inputs!$C$50)+Inputs!$C$47*0.173))+0.20*SIN(2*PI()*(((A67)+(0))/(0.5*(Inputs!$C$49+Inputs!$C$50))+Inputs!$C$47*0.097)))+0.30*(2*((SIN(((A67)*12.9898+(0)*78.233+Inputs!$C$47*37.719))*43758.5453)-INT((SIN(((A67)*12.9898+(0)*78.233+Inputs!$C$47*37.719))*43758.5453)))-1)))</x:f>
        <x:v>-63.02108594889231</x:v>
      </x:c>
      <x:c r="Y67" s="48" t="n">
        <x: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(0.45*SIN(2*PI()*(((A67)/Inputs!$C$49)+Inputs!$C$47*0.137))+0.35*COS(2*PI()*(((Inputs!$C$6)/Inputs!$C$50)+Inputs!$C$47*0.173))+0.20*SIN(2*PI()*(((A67)+(Inputs!$C$6))/(0.5*(Inputs!$C$49+Inputs!$C$50))+Inputs!$C$47*0.097)))+0.30*(2*((SIN(((A67)*12.9898+(Inputs!$C$6)*78.233+Inputs!$C$47*37.719))*43758.5453)-INT((SIN(((A67)*12.9898+(Inputs!$C$6)*78.233+Inputs!$C$47*37.719))*43758.5453)))-1)))</x:f>
        <x:v>296.8437612590685</x:v>
      </x:c>
      <x:c r="Z67" s="48" t="n">
        <x:f>B67-X67/1000</x:f>
        <x:v>400.90329886372666</x:v>
      </x:c>
      <x:c r="AA67" s="48" t="n">
        <x:f>SQRT(A67^2+Inputs!$C$6^2+(B67-Y67/1000)^2)</x:f>
        <x:v>402.2639587804819</x:v>
      </x:c>
      <x:c r="AB67" s="48" t="n">
        <x:f>(AA67-Z67)*1000</x:f>
        <x:v>1360.659916755253</x:v>
      </x:c>
      <x:c r="AC67" s="48" t="n">
        <x:f>AB67/Inputs!$C$12</x:f>
        <x:v>764.4156835703669</x:v>
      </x:c>
      <x:c r="AD67" s="48" t="n">
        <x:f>2*AB67/Inputs!$C$21*1000000</x:f>
        <x:v>9.077345880097178</x:v>
      </x:c>
      <x:c r="AE67" s="48" t="n">
        <x:f>DEGREES(ATAN(H67/(B67-Y67/1000)))</x:f>
        <x:v>5.301117708727071</x:v>
      </x:c>
      <x:c r="AF67" s="48" t="n">
        <x:f>DEGREES((2*PI()/Inputs!$C$13)*Inputs!$C$15*SIN(RADIANS(AE67)))</x:f>
        <x:v>33.260404221020245</x:v>
      </x:c>
      <x:c r="AG67" s="48" t="n">
        <x:f>(Z67/AA67)^4</x:f>
        <x:v>0.9865384727313625</x:v>
      </x:c>
      <x:c r="AH67" s="48" t="n">
        <x:f>10*LOG10(AG67)</x:f>
        <x:v>-0.058859735956381394</x:v>
      </x:c>
      <x:c r="AI67" s="48" t="n">
        <x:f>AC67-F67</x:f>
        <x:v>-201.45851112312062</x:v>
      </x:c>
      <x:c r="AJ67" s="48" t="n">
        <x:f>AD67-G67</x:f>
        <x:v>-2.392296004985921</x:v>
      </x:c>
      <x:c r="AK67" s="48" t="n">
        <x:f>Y67-X67</x:f>
        <x:v>359.86484720796085</x:v>
      </x:c>
      <x:c r="AL67" s="48" t="n">
        <x:f>1000*(AA68-AA66)/(A68-A66)*Inputs!$C$11</x:f>
        <x:v>-421.4996711484673</x:v>
      </x:c>
      <x:c r="AM67" s="48" t="n">
        <x:f>-2*AL67/Inputs!$C$13</x:f>
        <x:v>168.59986845938693</x:v>
      </x:c>
      <x:c r="AN67" s="48" t="n">
        <x:f>-2*AL67/Inputs!$C$14</x:f>
        <x:v>25.315295564472514</x:v>
      </x:c>
      <x:c r="AO67" s="48" t="n">
        <x:f>ABS(AM67)</x:f>
        <x:v>168.59986845938693</x:v>
      </x:c>
      <x:c r="AP67" s="48" t="n">
        <x:f>ABS(AN67)</x:f>
        <x:v>25.315295564472514</x:v>
      </x:c>
      <x:c r="AQ67" s="48" t="n">
        <x:f>IF(OR(Inputs!$C$27=TRUE,Inputs!$C$27="TRUE",Inputs!$C$27=1),Inputs!$C$46/Inputs!$C$12,0)</x:f>
        <x:v>42.13483146067416</x:v>
      </x:c>
      <x:c r="AR67" s="48" t="n">
        <x:f>AC67-AQ67</x:f>
        <x:v>722.2808521096928</x:v>
      </x:c>
      <x:c r="AS67" s="48" t="n">
        <x:f>AC67+AQ67</x:f>
        <x:v>806.5505150310411</x:v>
      </x:c>
    </x:row>
    <x:row r="68">
      <x:c r="A68" s="48" t="n">
        <x:f>Inputs!$C$7+66*(Inputs!$C$8-Inputs!$C$7)/240</x:f>
        <x:v>-27</x:v>
      </x:c>
      <x:c r="B68" s="48" t="n">
        <x:f>Inputs!$C$5+Inputs!$C$9*(A68/Inputs!$C$10)^2</x:f>
        <x:v>400.81</x:v>
      </x:c>
      <x:c r="C68" s="48" t="n">
        <x:f>B68</x:f>
        <x:v>400.81</x:v>
      </x:c>
      <x:c r="D68" s="48" t="n">
        <x:f>SQRT(A68^2+Inputs!$C$6^2+B68^2)</x:f>
        <x:v>402.4955355031904</x:v>
      </x:c>
      <x:c r="E68" s="48" t="n">
        <x:f>(D68-C68)*1000</x:f>
        <x:v>1685.5355031904082</x:v>
      </x:c>
      <x:c r="F68" s="48" t="n">
        <x:f>E68/Inputs!$C$12</x:f>
        <x:v>946.9300579721395</x:v>
      </x:c>
      <x:c r="G68" s="48" t="n">
        <x:f>2*E68/Inputs!$C$21*1000000</x:f>
        <x:v>11.244682500921408</x:v>
      </x:c>
      <x:c r="H68" s="48" t="n">
        <x:f>SQRT(A68^2+Inputs!$C$6^2)</x:f>
        <x:v>36.796738985948195</x:v>
      </x:c>
      <x:c r="I68" s="48" t="n">
        <x:f>DEGREES(ATAN(H68/B68))</x:f>
        <x:v>5.2453892719816</x:v>
      </x:c>
      <x:c r="J68" s="48" t="n">
        <x:f>DEGREES((2*PI()/Inputs!$C$13)*Inputs!$C$15*SIN(RADIANS(I68)))</x:f>
        <x:v>32.911734085150734</x:v>
      </x:c>
      <x:c r="K68" s="48" t="n">
        <x:f>(C68/D68)^4</x:f>
        <x:v>0.9833540789698759</x:v>
      </x:c>
      <x:c r="L68" s="48" t="n">
        <x:f>10*LOG10(K68)</x:f>
        <x:v>-0.0729007641563313</x:v>
      </x:c>
      <x:c r="M68" s="48" t="n">
        <x:f>2*(Inputs!$C$9/(Inputs!$C$10^2))*A68</x:f>
        <x:v>-0.06</x:v>
      </x:c>
      <x:c r="N68" s="48" t="n">
        <x:f>M68*Inputs!$C$11</x:f>
        <x:v>-0.24</x:v>
      </x:c>
      <x:c r="O68" s="48" t="n">
        <x:f>1000*((A68*Inputs!$C$11)+(B68*N68))/D68</x:f>
        <x:v>-507.3209066647683</x:v>
      </x:c>
      <x:c r="P68" s="48" t="n">
        <x:f>-2*O68/Inputs!$C$13</x:f>
        <x:v>202.92836266590731</x:v>
      </x:c>
      <x:c r="Q68" s="48" t="n">
        <x:f>-2*O68/Inputs!$C$14</x:f>
        <x:v>30.46972412401011</x:v>
      </x:c>
      <x:c r="R68" s="48" t="n">
        <x:f>F68-Inputs!$C$16/2</x:f>
        <x:v>931.9300579721395</x:v>
      </x:c>
      <x:c r="S68" s="48" t="n">
        <x:f>F68+Inputs!$C$16/2</x:f>
        <x:v>961.9300579721395</x:v>
      </x:c>
      <x:c r="T68" s="48" t="n">
        <x:f>F68-Inputs!$C$17/2</x:f>
        <x:v>796.9300579721395</x:v>
      </x:c>
      <x:c r="U68" s="48" t="n">
        <x:f>F68+Inputs!$C$17/2</x:f>
        <x:v>1096.9300579721394</x:v>
      </x:c>
      <x:c r="V68" s="48" t="n">
        <x:f>ABS(P68)</x:f>
        <x:v>202.92836266590731</x:v>
      </x:c>
      <x:c r="W68" s="48" t="n">
        <x:f>ABS(Q68)</x:f>
        <x:v>30.46972412401011</x:v>
      </x:c>
      <x:c r="X68" s="48" t="n">
        <x: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(0.45*SIN(2*PI()*(((A68)/Inputs!$C$49)+Inputs!$C$47*0.137))+0.35*COS(2*PI()*(((0)/Inputs!$C$50)+Inputs!$C$47*0.173))+0.20*SIN(2*PI()*(((A68)+(0))/(0.5*(Inputs!$C$49+Inputs!$C$50))+Inputs!$C$47*0.097)))+0.30*(2*((SIN(((A68)*12.9898+(0)*78.233+Inputs!$C$47*37.719))*43758.5453)-INT((SIN(((A68)*12.9898+(0)*78.233+Inputs!$C$47*37.719))*43758.5453)))-1)))</x:f>
        <x:v>-69.67153928411518</x:v>
      </x:c>
      <x:c r="Y68" s="48" t="n">
        <x: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(0.45*SIN(2*PI()*(((A68)/Inputs!$C$49)+Inputs!$C$47*0.137))+0.35*COS(2*PI()*(((Inputs!$C$6)/Inputs!$C$50)+Inputs!$C$47*0.173))+0.20*SIN(2*PI()*(((A68)+(Inputs!$C$6))/(0.5*(Inputs!$C$49+Inputs!$C$50))+Inputs!$C$47*0.097)))+0.30*(2*((SIN(((A68)*12.9898+(Inputs!$C$6)*78.233+Inputs!$C$47*37.719))*43758.5453)-INT((SIN(((A68)*12.9898+(Inputs!$C$6)*78.233+Inputs!$C$47*37.719))*43758.5453)))-1)))</x:f>
        <x:v>289.34226854097847</x:v>
      </x:c>
      <x:c r="Z68" s="48" t="n">
        <x:f>B68-X68/1000</x:f>
        <x:v>400.8796715392841</x:v>
      </x:c>
      <x:c r="AA68" s="48" t="n">
        <x:f>SQRT(A68^2+Inputs!$C$6^2+(B68-Y68/1000)^2)</x:f>
        <x:v>402.2074057866669</x:v>
      </x:c>
      <x:c r="AB68" s="48" t="n">
        <x:f>(AA68-Z68)*1000</x:f>
        <x:v>1327.734247382807</x:v>
      </x:c>
      <x:c r="AC68" s="48" t="n">
        <x:f>AB68/Inputs!$C$12</x:f>
        <x:v>745.918116507195</x:v>
      </x:c>
      <x:c r="AD68" s="48" t="n">
        <x:f>2*AB68/Inputs!$C$21*1000000</x:f>
        <x:v>8.857689457836909</x:v>
      </x:c>
      <x:c r="AE68" s="48" t="n">
        <x:f>DEGREES(ATAN(H68/(B68-Y68/1000)))</x:f>
        <x:v>5.2491574613212375</x:v>
      </x:c>
      <x:c r="AF68" s="48" t="n">
        <x:f>DEGREES((2*PI()/Inputs!$C$13)*Inputs!$C$15*SIN(RADIANS(AE68)))</x:f>
        <x:v>32.93531109660259</x:v>
      </x:c>
      <x:c r="AG68" s="48" t="n">
        <x:f>(Z68/AA68)^4</x:f>
        <x:v>0.9868607671223202</x:v>
      </x:c>
      <x:c r="AH68" s="48" t="n">
        <x:f>10*LOG10(AG68)</x:f>
        <x:v>-0.0574411616105623</x:v>
      </x:c>
      <x:c r="AI68" s="48" t="n">
        <x:f>AC68-F68</x:f>
        <x:v>-201.01194146494447</x:v>
      </x:c>
      <x:c r="AJ68" s="48" t="n">
        <x:f>AD68-G68</x:f>
        <x:v>-2.3869930430845</x:v>
      </x:c>
      <x:c r="AK68" s="48" t="n">
        <x:f>Y68-X68</x:f>
        <x:v>359.01380782509364</x:v>
      </x:c>
      <x:c r="AL68" s="48" t="n">
        <x:f>1000*(AA69-AA67)/(A69-A67)*Inputs!$C$11</x:f>
        <x:v>-482.48349304549265</x:v>
      </x:c>
      <x:c r="AM68" s="48" t="n">
        <x:f>-2*AL68/Inputs!$C$13</x:f>
        <x:v>192.99339721819706</x:v>
      </x:c>
      <x:c r="AN68" s="48" t="n">
        <x:f>-2*AL68/Inputs!$C$14</x:f>
        <x:v>28.977987570299863</x:v>
      </x:c>
      <x:c r="AO68" s="48" t="n">
        <x:f>ABS(AM68)</x:f>
        <x:v>192.99339721819706</x:v>
      </x:c>
      <x:c r="AP68" s="48" t="n">
        <x:f>ABS(AN68)</x:f>
        <x:v>28.977987570299863</x:v>
      </x:c>
      <x:c r="AQ68" s="48" t="n">
        <x:f>IF(OR(Inputs!$C$27=TRUE,Inputs!$C$27="TRUE",Inputs!$C$27=1),Inputs!$C$46/Inputs!$C$12,0)</x:f>
        <x:v>42.13483146067416</x:v>
      </x:c>
      <x:c r="AR68" s="48" t="n">
        <x:f>AC68-AQ68</x:f>
        <x:v>703.7832850465209</x:v>
      </x:c>
      <x:c r="AS68" s="48" t="n">
        <x:f>AC68+AQ68</x:f>
        <x:v>788.0529479678692</x:v>
      </x:c>
    </x:row>
    <x:row r="69">
      <x:c r="A69" s="48" t="n">
        <x:f>Inputs!$C$7+67*(Inputs!$C$8-Inputs!$C$7)/240</x:f>
        <x:v>-26.5</x:v>
      </x:c>
      <x:c r="B69" s="48" t="n">
        <x:f>Inputs!$C$5+Inputs!$C$9*(A69/Inputs!$C$10)^2</x:f>
        <x:v>400.78027777777777</x:v>
      </x:c>
      <x:c r="C69" s="48" t="n">
        <x:f>B69</x:f>
        <x:v>400.78027777777777</x:v>
      </x:c>
      <x:c r="D69" s="48" t="n">
        <x:f>SQRT(A69^2+Inputs!$C$6^2+B69^2)</x:f>
        <x:v>402.43270376006063</x:v>
      </x:c>
      <x:c r="E69" s="48" t="n">
        <x:f>(D69-C69)*1000</x:f>
        <x:v>1652.425982282864</x:v>
      </x:c>
      <x:c r="F69" s="48" t="n">
        <x:f>E69/Inputs!$C$12</x:f>
        <x:v>928.3292035296988</x:v>
      </x:c>
      <x:c r="G69" s="48" t="n">
        <x:f>2*E69/Inputs!$C$21*1000000</x:f>
        <x:v>11.023799553242023</x:v>
      </x:c>
      <x:c r="H69" s="48" t="n">
        <x:f>SQRT(A69^2+Inputs!$C$6^2)</x:f>
        <x:v>36.43144246389374</x:v>
      </x:c>
      <x:c r="I69" s="48" t="n">
        <x:f>DEGREES(ATAN(H69/B69))</x:f>
        <x:v>5.1939853576754125</x:v>
      </x:c>
      <x:c r="J69" s="48" t="n">
        <x:f>DEGREES((2*PI()/Inputs!$C$13)*Inputs!$C$15*SIN(RADIANS(I69)))</x:f>
        <x:v>32.59009311236641</x:v>
      </x:c>
      <x:c r="K69" s="48" t="n">
        <x:f>(C69/D69)^4</x:f>
        <x:v>0.9836765126007667</x:v>
      </x:c>
      <x:c r="L69" s="48" t="n">
        <x:f>10*LOG10(K69)</x:f>
        <x:v>-0.0714769820501437</x:v>
      </x:c>
      <x:c r="M69" s="48" t="n">
        <x:f>2*(Inputs!$C$9/(Inputs!$C$10^2))*A69</x:f>
        <x:v>-0.058888888888888886</x:v>
      </x:c>
      <x:c r="N69" s="48" t="n">
        <x:f>M69*Inputs!$C$11</x:f>
        <x:v>-0.23555555555555555</x:v>
      </x:c>
      <x:c r="O69" s="48" t="n">
        <x:f>1000*((A69*Inputs!$C$11)+(B69*N69))/D69</x:f>
        <x:v>-497.9864188849345</x:v>
      </x:c>
      <x:c r="P69" s="48" t="n">
        <x:f>-2*O69/Inputs!$C$13</x:f>
        <x:v>199.1945675539738</x:v>
      </x:c>
      <x:c r="Q69" s="48" t="n">
        <x:f>-2*O69/Inputs!$C$14</x:f>
        <x:v>29.909094227323397</x:v>
      </x:c>
      <x:c r="R69" s="48" t="n">
        <x:f>F69-Inputs!$C$16/2</x:f>
        <x:v>913.3292035296988</x:v>
      </x:c>
      <x:c r="S69" s="48" t="n">
        <x:f>F69+Inputs!$C$16/2</x:f>
        <x:v>943.3292035296988</x:v>
      </x:c>
      <x:c r="T69" s="48" t="n">
        <x:f>F69-Inputs!$C$17/2</x:f>
        <x:v>778.3292035296988</x:v>
      </x:c>
      <x:c r="U69" s="48" t="n">
        <x:f>F69+Inputs!$C$17/2</x:f>
        <x:v>1078.3292035296988</x:v>
      </x:c>
      <x:c r="V69" s="48" t="n">
        <x:f>ABS(P69)</x:f>
        <x:v>199.1945675539738</x:v>
      </x:c>
      <x:c r="W69" s="48" t="n">
        <x:f>ABS(Q69)</x:f>
        <x:v>29.909094227323397</x:v>
      </x:c>
      <x:c r="X69" s="48" t="n">
        <x: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(0.45*SIN(2*PI()*(((A69)/Inputs!$C$49)+Inputs!$C$47*0.137))+0.35*COS(2*PI()*(((0)/Inputs!$C$50)+Inputs!$C$47*0.173))+0.20*SIN(2*PI()*(((A69)+(0))/(0.5*(Inputs!$C$49+Inputs!$C$50))+Inputs!$C$47*0.097)))+0.30*(2*((SIN(((A69)*12.9898+(0)*78.233+Inputs!$C$47*37.719))*43758.5453)-INT((SIN(((A69)*12.9898+(0)*78.233+Inputs!$C$47*37.719))*43758.5453)))-1)))</x:f>
        <x:v>-78.11942002863731</x:v>
      </x:c>
      <x:c r="Y69" s="48" t="n">
        <x: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(0.45*SIN(2*PI()*(((A69)/Inputs!$C$49)+Inputs!$C$47*0.137))+0.35*COS(2*PI()*(((Inputs!$C$6)/Inputs!$C$50)+Inputs!$C$47*0.173))+0.20*SIN(2*PI()*(((A69)+(Inputs!$C$6))/(0.5*(Inputs!$C$49+Inputs!$C$50))+Inputs!$C$47*0.097)))+0.30*(2*((SIN(((A69)*12.9898+(Inputs!$C$6)*78.233+Inputs!$C$47*37.719))*43758.5453)-INT((SIN(((A69)*12.9898+(Inputs!$C$6)*78.233+Inputs!$C$47*37.719))*43758.5453)))-1)))</x:f>
        <x:v>290.55977847508683</x:v>
      </x:c>
      <x:c r="Z69" s="48" t="n">
        <x:f>B69-X69/1000</x:f>
        <x:v>400.8583971978064</x:v>
      </x:c>
      <x:c r="AA69" s="48" t="n">
        <x:f>SQRT(A69^2+Inputs!$C$6^2+(B69-Y69/1000)^2)</x:f>
        <x:v>402.14333790722054</x:v>
      </x:c>
      <x:c r="AB69" s="48" t="n">
        <x:f>(AA69-Z69)*1000</x:f>
        <x:v>1284.9407094141156</x:v>
      </x:c>
      <x:c r="AC69" s="48" t="n">
        <x:f>AB69/Inputs!$C$12</x:f>
        <x:v>721.876803041638</x:v>
      </x:c>
      <x:c r="AD69" s="48" t="n">
        <x:f>2*AB69/Inputs!$C$21*1000000</x:f>
        <x:v>8.572201702379822</x:v>
      </x:c>
      <x:c r="AE69" s="48" t="n">
        <x:f>DEGREES(ATAN(H69/(B69-Y69/1000)))</x:f>
        <x:v>5.197733019118267</x:v>
      </x:c>
      <x:c r="AF69" s="48" t="n">
        <x:f>DEGREES((2*PI()/Inputs!$C$13)*Inputs!$C$15*SIN(RADIANS(AE69)))</x:f>
        <x:v>32.613543606751506</x:v>
      </x:c>
      <x:c r="AG69" s="48" t="n">
        <x:f>(Z69/AA69)^4</x:f>
        <x:v>0.9872802041050441</x:v>
      </x:c>
      <x:c r="AH69" s="48" t="n">
        <x:f>10*LOG10(AG69)</x:f>
        <x:v>-0.0555957091074323</x:v>
      </x:c>
      <x:c r="AI69" s="48" t="n">
        <x:f>AC69-F69</x:f>
        <x:v>-206.4524004880608</x:v>
      </x:c>
      <x:c r="AJ69" s="48" t="n">
        <x:f>AD69-G69</x:f>
        <x:v>-2.4515978508622016</x:v>
      </x:c>
      <x:c r="AK69" s="48" t="n">
        <x:f>Y69-X69</x:f>
        <x:v>368.67919850372414</x:v>
      </x:c>
      <x:c r="AL69" s="48" t="n">
        <x:f>1000*(AA70-AA68)/(A70-A68)*Inputs!$C$11</x:f>
        <x:v>-428.06205168039924</x:v>
      </x:c>
      <x:c r="AM69" s="48" t="n">
        <x:f>-2*AL69/Inputs!$C$13</x:f>
        <x:v>171.2248206721597</x:v>
      </x:c>
      <x:c r="AN69" s="48" t="n">
        <x:f>-2*AL69/Inputs!$C$14</x:f>
        <x:v>25.709432533357315</x:v>
      </x:c>
      <x:c r="AO69" s="48" t="n">
        <x:f>ABS(AM69)</x:f>
        <x:v>171.2248206721597</x:v>
      </x:c>
      <x:c r="AP69" s="48" t="n">
        <x:f>ABS(AN69)</x:f>
        <x:v>25.709432533357315</x:v>
      </x:c>
      <x:c r="AQ69" s="48" t="n">
        <x:f>IF(OR(Inputs!$C$27=TRUE,Inputs!$C$27="TRUE",Inputs!$C$27=1),Inputs!$C$46/Inputs!$C$12,0)</x:f>
        <x:v>42.13483146067416</x:v>
      </x:c>
      <x:c r="AR69" s="48" t="n">
        <x:f>AC69-AQ69</x:f>
        <x:v>679.7419715809639</x:v>
      </x:c>
      <x:c r="AS69" s="48" t="n">
        <x:f>AC69+AQ69</x:f>
        <x:v>764.0116345023122</x:v>
      </x:c>
    </x:row>
    <x:row r="70">
      <x:c r="A70" s="48" t="n">
        <x:f>Inputs!$C$7+68*(Inputs!$C$8-Inputs!$C$7)/240</x:f>
        <x:v>-26</x:v>
      </x:c>
      <x:c r="B70" s="48" t="n">
        <x:f>Inputs!$C$5+Inputs!$C$9*(A70/Inputs!$C$10)^2</x:f>
        <x:v>400.75111111111113</x:v>
      </x:c>
      <x:c r="C70" s="48" t="n">
        <x:f>B70</x:f>
        <x:v>400.75111111111113</x:v>
      </x:c>
      <x:c r="D70" s="48" t="n">
        <x:f>SQRT(A70^2+Inputs!$C$6^2+B70^2)</x:f>
        <x:v>402.37103903833605</x:v>
      </x:c>
      <x:c r="E70" s="48" t="n">
        <x:f>(D70-C70)*1000</x:f>
        <x:v>1619.9279272249214</x:v>
      </x:c>
      <x:c r="F70" s="48" t="n">
        <x:f>E70/Inputs!$C$12</x:f>
        <x:v>910.071869227484</x:v>
      </x:c>
      <x:c r="G70" s="48" t="n">
        <x:f>2*E70/Inputs!$C$21*1000000</x:f>
        <x:v>10.806995866619976</x:v>
      </x:c>
      <x:c r="H70" s="48" t="n">
        <x:f>SQRT(A70^2+Inputs!$C$6^2)</x:f>
        <x:v>36.069377593742864</x:v>
      </x:c>
      <x:c r="I70" s="48" t="n">
        <x:f>DEGREES(ATAN(H70/B70))</x:f>
        <x:v>5.143016660077165</x:v>
      </x:c>
      <x:c r="J70" s="48" t="n">
        <x:f>DEGREES((2*PI()/Inputs!$C$13)*Inputs!$C$15*SIN(RADIANS(I70)))</x:f>
        <x:v>32.27114944649454</x:v>
      </x:c>
      <x:c r="K70" s="48" t="n">
        <x:f>(C70/D70)^4</x:f>
        <x:v>0.9839931668625745</x:v>
      </x:c>
      <x:c r="L70" s="48" t="n">
        <x:f>10*LOG10(K70)</x:f>
        <x:v>-0.0700791742656688</x:v>
      </x:c>
      <x:c r="M70" s="48" t="n">
        <x:f>2*(Inputs!$C$9/(Inputs!$C$10^2))*A70</x:f>
        <x:v>-0.057777777777777775</x:v>
      </x:c>
      <x:c r="N70" s="48" t="n">
        <x:f>M70*Inputs!$C$11</x:f>
        <x:v>-0.2311111111111111</x:v>
      </x:c>
      <x:c r="O70" s="48" t="n">
        <x:f>1000*((A70*Inputs!$C$11)+(B70*N70))/D70</x:f>
        <x:v>-488.6485743054892</x:v>
      </x:c>
      <x:c r="P70" s="48" t="n">
        <x:f>-2*O70/Inputs!$C$13</x:f>
        <x:v>195.4594297221957</x:v>
      </x:c>
      <x:c r="Q70" s="48" t="n">
        <x:f>-2*O70/Inputs!$C$14</x:f>
        <x:v>29.348262721050407</x:v>
      </x:c>
      <x:c r="R70" s="48" t="n">
        <x:f>F70-Inputs!$C$16/2</x:f>
        <x:v>895.071869227484</x:v>
      </x:c>
      <x:c r="S70" s="48" t="n">
        <x:f>F70+Inputs!$C$16/2</x:f>
        <x:v>925.071869227484</x:v>
      </x:c>
      <x:c r="T70" s="48" t="n">
        <x:f>F70-Inputs!$C$17/2</x:f>
        <x:v>760.071869227484</x:v>
      </x:c>
      <x:c r="U70" s="48" t="n">
        <x:f>F70+Inputs!$C$17/2</x:f>
        <x:v>1060.071869227484</x:v>
      </x:c>
      <x:c r="V70" s="48" t="n">
        <x:f>ABS(P70)</x:f>
        <x:v>195.4594297221957</x:v>
      </x:c>
      <x:c r="W70" s="48" t="n">
        <x:f>ABS(Q70)</x:f>
        <x:v>29.348262721050407</x:v>
      </x:c>
      <x:c r="X70" s="48" t="n">
        <x: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(0.45*SIN(2*PI()*(((A70)/Inputs!$C$49)+Inputs!$C$47*0.137))+0.35*COS(2*PI()*(((0)/Inputs!$C$50)+Inputs!$C$47*0.173))+0.20*SIN(2*PI()*(((A70)+(0))/(0.5*(Inputs!$C$49+Inputs!$C$50))+Inputs!$C$47*0.097)))+0.30*(2*((SIN(((A70)*12.9898+(0)*78.233+Inputs!$C$47*37.719))*43758.5453)-INT((SIN(((A70)*12.9898+(0)*78.233+Inputs!$C$47*37.719))*43758.5453)))-1)))</x:f>
        <x:v>-82.17349441978894</x:v>
      </x:c>
      <x:c r="Y70" s="48" t="n">
        <x: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(0.45*SIN(2*PI()*(((A70)/Inputs!$C$49)+Inputs!$C$47*0.137))+0.35*COS(2*PI()*(((Inputs!$C$6)/Inputs!$C$50)+Inputs!$C$47*0.173))+0.20*SIN(2*PI()*(((A70)+(Inputs!$C$6))/(0.5*(Inputs!$C$49+Inputs!$C$50))+Inputs!$C$47*0.097)))+0.30*(2*((SIN(((A70)*12.9898+(Inputs!$C$6)*78.233+Inputs!$C$47*37.719))*43758.5453)-INT((SIN(((A70)*12.9898+(Inputs!$C$6)*78.233+Inputs!$C$47*37.719))*43758.5453)))-1)))</x:f>
        <x:v>271.74352983421755</x:v>
      </x:c>
      <x:c r="Z70" s="48" t="n">
        <x:f>B70-X70/1000</x:f>
        <x:v>400.83328460553093</x:v>
      </x:c>
      <x:c r="AA70" s="48" t="n">
        <x:f>SQRT(A70^2+Inputs!$C$6^2+(B70-Y70/1000)^2)</x:f>
        <x:v>402.1003902737468</x:v>
      </x:c>
      <x:c r="AB70" s="48" t="n">
        <x:f>(AA70-Z70)*1000</x:f>
        <x:v>1267.1056682158905</x:v>
      </x:c>
      <x:c r="AC70" s="48" t="n">
        <x:f>AB70/Inputs!$C$12</x:f>
        <x:v>711.8571169752194</x:v>
      </x:c>
      <x:c r="AD70" s="48" t="n">
        <x:f>2*AB70/Inputs!$C$21*1000000</x:f>
        <x:v>8.453219114777667</x:v>
      </x:c>
      <x:c r="AE70" s="48" t="n">
        <x:f>DEGREES(ATAN(H70/(B70-Y70/1000)))</x:f>
        <x:v>5.146487697405828</x:v>
      </x:c>
      <x:c r="AF70" s="48" t="n">
        <x:f>DEGREES((2*PI()/Inputs!$C$13)*Inputs!$C$15*SIN(RADIANS(AE70)))</x:f>
        <x:v>32.29287075525432</x:v>
      </x:c>
      <x:c r="AG70" s="48" t="n">
        <x:f>(Z70/AA70)^4</x:f>
        <x:v>0.987454587126914</x:v>
      </x:c>
      <x:c r="AH70" s="48" t="n">
        <x:f>10*LOG10(AG70)</x:f>
        <x:v>-0.0548286837360372</x:v>
      </x:c>
      <x:c r="AI70" s="48" t="n">
        <x:f>AC70-F70</x:f>
        <x:v>-198.2147522522646</x:v>
      </x:c>
      <x:c r="AJ70" s="48" t="n">
        <x:f>AD70-G70</x:f>
        <x:v>-2.353776751842309</x:v>
      </x:c>
      <x:c r="AK70" s="48" t="n">
        <x:f>Y70-X70</x:f>
        <x:v>353.9170242540065</x:v>
      </x:c>
      <x:c r="AL70" s="48" t="n">
        <x:f>1000*(AA71-AA69)/(A71-A69)*Inputs!$C$11</x:f>
        <x:v>-413.78251428932344</x:v>
      </x:c>
      <x:c r="AM70" s="48" t="n">
        <x:f>-2*AL70/Inputs!$C$13</x:f>
        <x:v>165.51300571572938</x:v>
      </x:c>
      <x:c r="AN70" s="48" t="n">
        <x:f>-2*AL70/Inputs!$C$14</x:f>
        <x:v>24.851802660019427</x:v>
      </x:c>
      <x:c r="AO70" s="48" t="n">
        <x:f>ABS(AM70)</x:f>
        <x:v>165.51300571572938</x:v>
      </x:c>
      <x:c r="AP70" s="48" t="n">
        <x:f>ABS(AN70)</x:f>
        <x:v>24.851802660019427</x:v>
      </x:c>
      <x:c r="AQ70" s="48" t="n">
        <x:f>IF(OR(Inputs!$C$27=TRUE,Inputs!$C$27="TRUE",Inputs!$C$27=1),Inputs!$C$46/Inputs!$C$12,0)</x:f>
        <x:v>42.13483146067416</x:v>
      </x:c>
      <x:c r="AR70" s="48" t="n">
        <x:f>AC70-AQ70</x:f>
        <x:v>669.7222855145452</x:v>
      </x:c>
      <x:c r="AS70" s="48" t="n">
        <x:f>AC70+AQ70</x:f>
        <x:v>753.9919484358935</x:v>
      </x:c>
    </x:row>
    <x:row r="71">
      <x:c r="A71" s="48" t="n">
        <x:f>Inputs!$C$7+69*(Inputs!$C$8-Inputs!$C$7)/240</x:f>
        <x:v>-25.5</x:v>
      </x:c>
      <x:c r="B71" s="48" t="n">
        <x:f>Inputs!$C$5+Inputs!$C$9*(A71/Inputs!$C$10)^2</x:f>
        <x:v>400.7225</x:v>
      </x:c>
      <x:c r="C71" s="48" t="n">
        <x:f>B71</x:f>
        <x:v>400.7225</x:v>
      </x:c>
      <x:c r="D71" s="48" t="n">
        <x:f>SQRT(A71^2+Inputs!$C$6^2+B71^2)</x:f>
        <x:v>402.31054175381735</x:v>
      </x:c>
      <x:c r="E71" s="48" t="n">
        <x:f>(D71-C71)*1000</x:f>
        <x:v>1588.041753817322</x:v>
      </x:c>
      <x:c r="F71" s="48" t="n">
        <x:f>E71/Inputs!$C$12</x:f>
        <x:v>892.1582886614168</x:v>
      </x:c>
      <x:c r="G71" s="48" t="n">
        <x:f>2*E71/Inputs!$C$21*1000000</x:f>
        <x:v>10.594274214979231</x:v>
      </x:c>
      <x:c r="H71" s="48" t="n">
        <x:f>SQRT(A71^2+Inputs!$C$6^2)</x:f>
        <x:v>35.71064267133819</x:v>
      </x:c>
      <x:c r="I71" s="48" t="n">
        <x:f>DEGREES(ATAN(H71/B71))</x:f>
        <x:v>5.092497724666333</x:v>
      </x:c>
      <x:c r="J71" s="48" t="n">
        <x:f>DEGREES((2*PI()/Inputs!$C$13)*Inputs!$C$15*SIN(RADIANS(I71)))</x:f>
        <x:v>31.95499502856307</x:v>
      </x:c>
      <x:c r="K71" s="48" t="n">
        <x:f>(C71/D71)^4</x:f>
        <x:v>0.9843040280049287</x:v>
      </x:c>
      <x:c r="L71" s="48" t="n">
        <x:f>10*LOG10(K71)</x:f>
        <x:v>-0.0687073765489717</x:v>
      </x:c>
      <x:c r="M71" s="48" t="n">
        <x:f>2*(Inputs!$C$9/(Inputs!$C$10^2))*A71</x:f>
        <x:v>-0.056666666666666664</x:v>
      </x:c>
      <x:c r="N71" s="48" t="n">
        <x:f>M71*Inputs!$C$11</x:f>
        <x:v>-0.22666666666666666</x:v>
      </x:c>
      <x:c r="O71" s="48" t="n">
        <x:f>1000*((A71*Inputs!$C$11)+(B71*N71))/D71</x:f>
        <x:v>-479.3074337369228</x:v>
      </x:c>
      <x:c r="P71" s="48" t="n">
        <x:f>-2*O71/Inputs!$C$13</x:f>
        <x:v>191.72297349476912</x:v>
      </x:c>
      <x:c r="Q71" s="48" t="n">
        <x:f>-2*O71/Inputs!$C$14</x:f>
        <x:v>28.787233257472842</x:v>
      </x:c>
      <x:c r="R71" s="48" t="n">
        <x:f>F71-Inputs!$C$16/2</x:f>
        <x:v>877.1582886614168</x:v>
      </x:c>
      <x:c r="S71" s="48" t="n">
        <x:f>F71+Inputs!$C$16/2</x:f>
        <x:v>907.1582886614168</x:v>
      </x:c>
      <x:c r="T71" s="48" t="n">
        <x:f>F71-Inputs!$C$17/2</x:f>
        <x:v>742.1582886614168</x:v>
      </x:c>
      <x:c r="U71" s="48" t="n">
        <x:f>F71+Inputs!$C$17/2</x:f>
        <x:v>1042.158288661417</x:v>
      </x:c>
      <x:c r="V71" s="48" t="n">
        <x:f>ABS(P71)</x:f>
        <x:v>191.72297349476912</x:v>
      </x:c>
      <x:c r="W71" s="48" t="n">
        <x:f>ABS(Q71)</x:f>
        <x:v>28.787233257472842</x:v>
      </x:c>
      <x:c r="X71" s="48" t="n">
        <x: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(0.45*SIN(2*PI()*(((A71)/Inputs!$C$49)+Inputs!$C$47*0.137))+0.35*COS(2*PI()*(((0)/Inputs!$C$50)+Inputs!$C$47*0.173))+0.20*SIN(2*PI()*(((A71)+(0))/(0.5*(Inputs!$C$49+Inputs!$C$50))+Inputs!$C$47*0.097)))+0.30*(2*((SIN(((A71)*12.9898+(0)*78.233+Inputs!$C$47*37.719))*43758.5453)-INT((SIN(((A71)*12.9898+(0)*78.233+Inputs!$C$47*37.719))*43758.5453)))-1)))</x:f>
        <x:v>-104.31813701930129</x:v>
      </x:c>
      <x:c r="Y71" s="48" t="n">
        <x: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(0.45*SIN(2*PI()*(((A71)/Inputs!$C$49)+Inputs!$C$47*0.137))+0.35*COS(2*PI()*(((Inputs!$C$6)/Inputs!$C$50)+Inputs!$C$47*0.173))+0.20*SIN(2*PI()*(((A71)+(Inputs!$C$6))/(0.5*(Inputs!$C$49+Inputs!$C$50))+Inputs!$C$47*0.097)))+0.30*(2*((SIN(((A71)*12.9898+(Inputs!$C$6)*78.233+Inputs!$C$47*37.719))*43758.5453)-INT((SIN(((A71)*12.9898+(Inputs!$C$6)*78.233+Inputs!$C$47*37.719))*43758.5453)))-1)))</x:f>
        <x:v>271.72277085410076</x:v>
      </x:c>
      <x:c r="Z71" s="48" t="n">
        <x:f>B71-X71/1000</x:f>
        <x:v>400.8268181370193</x:v>
      </x:c>
      <x:c r="AA71" s="48" t="n">
        <x:f>SQRT(A71^2+Inputs!$C$6^2+(B71-Y71/1000)^2)</x:f>
        <x:v>402.0398922786482</x:v>
      </x:c>
      <x:c r="AB71" s="48" t="n">
        <x:f>(AA71-Z71)*1000</x:f>
        <x:v>1213.0741416289084</x:v>
      </x:c>
      <x:c r="AC71" s="48" t="n">
        <x:f>AB71/Inputs!$C$12</x:f>
        <x:v>681.5023267578136</x:v>
      </x:c>
      <x:c r="AD71" s="48" t="n">
        <x:f>2*AB71/Inputs!$C$21*1000000</x:f>
        <x:v>8.092759569214437</x:v>
      </x:c>
      <x:c r="AE71" s="48" t="n">
        <x:f>DEGREES(ATAN(H71/(B71-Y71/1000)))</x:f>
        <x:v>5.095935011486882</x:v>
      </x:c>
      <x:c r="AF71" s="48" t="n">
        <x:f>DEGREES((2*PI()/Inputs!$C$13)*Inputs!$C$15*SIN(RADIANS(AE71)))</x:f>
        <x:v>31.97650683074892</x:v>
      </x:c>
      <x:c r="AG71" s="48" t="n">
        <x:f>(Z71/AA71)^4</x:f>
        <x:v>0.987985322936881</x:v>
      </x:c>
      <x:c r="AH71" s="48" t="n">
        <x:f>10*LOG10(AG71)</x:f>
        <x:v>-0.0524950704685443</x:v>
      </x:c>
      <x:c r="AI71" s="48" t="n">
        <x:f>AC71-F71</x:f>
        <x:v>-210.65596190360316</x:v>
      </x:c>
      <x:c r="AJ71" s="48" t="n">
        <x:f>AD71-G71</x:f>
        <x:v>-2.5015146457647948</x:v>
      </x:c>
      <x:c r="AK71" s="48" t="n">
        <x:f>Y71-X71</x:f>
        <x:v>376.04090787340203</x:v>
      </x:c>
      <x:c r="AL71" s="48" t="n">
        <x:f>1000*(AA72-AA70)/(A72-A70)*Inputs!$C$11</x:f>
        <x:v>-433.7656239642911</x:v>
      </x:c>
      <x:c r="AM71" s="48" t="n">
        <x:f>-2*AL71/Inputs!$C$13</x:f>
        <x:v>173.50624958571643</x:v>
      </x:c>
      <x:c r="AN71" s="48" t="n">
        <x:f>-2*AL71/Inputs!$C$14</x:f>
        <x:v>26.051989427284752</x:v>
      </x:c>
      <x:c r="AO71" s="48" t="n">
        <x:f>ABS(AM71)</x:f>
        <x:v>173.50624958571643</x:v>
      </x:c>
      <x:c r="AP71" s="48" t="n">
        <x:f>ABS(AN71)</x:f>
        <x:v>26.051989427284752</x:v>
      </x:c>
      <x:c r="AQ71" s="48" t="n">
        <x:f>IF(OR(Inputs!$C$27=TRUE,Inputs!$C$27="TRUE",Inputs!$C$27=1),Inputs!$C$46/Inputs!$C$12,0)</x:f>
        <x:v>42.13483146067416</x:v>
      </x:c>
      <x:c r="AR71" s="48" t="n">
        <x:f>AC71-AQ71</x:f>
        <x:v>639.3674952971395</x:v>
      </x:c>
      <x:c r="AS71" s="48" t="n">
        <x:f>AC71+AQ71</x:f>
        <x:v>723.6371582184878</x:v>
      </x:c>
    </x:row>
    <x:row r="72">
      <x:c r="A72" s="48" t="n">
        <x:f>Inputs!$C$7+70*(Inputs!$C$8-Inputs!$C$7)/240</x:f>
        <x:v>-25</x:v>
      </x:c>
      <x:c r="B72" s="48" t="n">
        <x:f>Inputs!$C$5+Inputs!$C$9*(A72/Inputs!$C$10)^2</x:f>
        <x:v>400.69444444444446</x:v>
      </x:c>
      <x:c r="C72" s="48" t="n">
        <x:f>B72</x:f>
        <x:v>400.69444444444446</x:v>
      </x:c>
      <x:c r="D72" s="48" t="n">
        <x:f>SQRT(A72^2+Inputs!$C$6^2+B72^2)</x:f>
        <x:v>402.2512123146952</x:v>
      </x:c>
      <x:c r="E72" s="48" t="n">
        <x:f>(D72-C72)*1000</x:f>
        <x:v>1556.7678702507237</x:v>
      </x:c>
      <x:c r="F72" s="48" t="n">
        <x:f>E72/Inputs!$C$12</x:f>
        <x:v>874.588691152092</x:v>
      </x:c>
      <x:c r="G72" s="48" t="n">
        <x:f>2*E72/Inputs!$C$21*1000000</x:f>
        <x:v>10.385637321474738</x:v>
      </x:c>
      <x:c r="H72" s="48" t="n">
        <x:f>SQRT(A72^2+Inputs!$C$6^2)</x:f>
        <x:v>35.35533905932738</x:v>
      </x:c>
      <x:c r="I72" s="48" t="n">
        <x:f>DEGREES(ATAN(H72/B72))</x:f>
        <x:v>5.042443535344872</x:v>
      </x:c>
      <x:c r="J72" s="48" t="n">
        <x:f>DEGREES((2*PI()/Inputs!$C$13)*Inputs!$C$15*SIN(RADIANS(I72)))</x:f>
        <x:v>31.64172455346228</x:v>
      </x:c>
      <x:c r="K72" s="48" t="n">
        <x:f>(C72/D72)^4</x:f>
        <x:v>0.9846090825154142</x:v>
      </x:c>
      <x:c r="L72" s="48" t="n">
        <x:f>10*LOG10(K72)</x:f>
        <x:v>-0.06736162400219059</x:v>
      </x:c>
      <x:c r="M72" s="48" t="n">
        <x:f>2*(Inputs!$C$9/(Inputs!$C$10^2))*A72</x:f>
        <x:v>-0.05555555555555555</x:v>
      </x:c>
      <x:c r="N72" s="48" t="n">
        <x:f>M72*Inputs!$C$11</x:f>
        <x:v>-0.2222222222222222</x:v>
      </x:c>
      <x:c r="O72" s="48" t="n">
        <x:f>1000*((A72*Inputs!$C$11)+(B72*N72))/D72</x:f>
        <x:v>-469.963058131564</x:v>
      </x:c>
      <x:c r="P72" s="48" t="n">
        <x:f>-2*O72/Inputs!$C$13</x:f>
        <x:v>187.98522325262562</x:v>
      </x:c>
      <x:c r="Q72" s="48" t="n">
        <x:f>-2*O72/Inputs!$C$14</x:f>
        <x:v>28.226009497391235</x:v>
      </x:c>
      <x:c r="R72" s="48" t="n">
        <x:f>F72-Inputs!$C$16/2</x:f>
        <x:v>859.588691152092</x:v>
      </x:c>
      <x:c r="S72" s="48" t="n">
        <x:f>F72+Inputs!$C$16/2</x:f>
        <x:v>889.588691152092</x:v>
      </x:c>
      <x:c r="T72" s="48" t="n">
        <x:f>F72-Inputs!$C$17/2</x:f>
        <x:v>724.588691152092</x:v>
      </x:c>
      <x:c r="U72" s="48" t="n">
        <x:f>F72+Inputs!$C$17/2</x:f>
        <x:v>1024.588691152092</x:v>
      </x:c>
      <x:c r="V72" s="48" t="n">
        <x:f>ABS(P72)</x:f>
        <x:v>187.98522325262562</x:v>
      </x:c>
      <x:c r="W72" s="48" t="n">
        <x:f>ABS(Q72)</x:f>
        <x:v>28.226009497391235</x:v>
      </x:c>
      <x:c r="X72" s="48" t="n">
        <x: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(0.45*SIN(2*PI()*(((A72)/Inputs!$C$49)+Inputs!$C$47*0.137))+0.35*COS(2*PI()*(((0)/Inputs!$C$50)+Inputs!$C$47*0.173))+0.20*SIN(2*PI()*(((A72)+(0))/(0.5*(Inputs!$C$49+Inputs!$C$50))+Inputs!$C$47*0.097)))+0.30*(2*((SIN(((A72)*12.9898+(0)*78.233+Inputs!$C$47*37.719))*43758.5453)-INT((SIN(((A72)*12.9898+(0)*78.233+Inputs!$C$47*37.719))*43758.5453)))-1)))</x:f>
        <x:v>-97.55297588358108</x:v>
      </x:c>
      <x:c r="Y72" s="48" t="n">
        <x: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(0.45*SIN(2*PI()*(((A72)/Inputs!$C$49)+Inputs!$C$47*0.137))+0.35*COS(2*PI()*(((Inputs!$C$6)/Inputs!$C$50)+Inputs!$C$47*0.173))+0.20*SIN(2*PI()*(((A72)+(Inputs!$C$6))/(0.5*(Inputs!$C$49+Inputs!$C$50))+Inputs!$C$47*0.097)))+0.30*(2*((SIN(((A72)*12.9898+(Inputs!$C$6)*78.233+Inputs!$C$47*37.719))*43758.5453)-INT((SIN(((A72)*12.9898+(Inputs!$C$6)*78.233+Inputs!$C$47*37.719))*43758.5453)))-1)))</x:f>
        <x:v>260.2713841318971</x:v>
      </x:c>
      <x:c r="Z72" s="48" t="n">
        <x:f>B72-X72/1000</x:f>
        <x:v>400.791997420328</x:v>
      </x:c>
      <x:c r="AA72" s="48" t="n">
        <x:f>SQRT(A72^2+Inputs!$C$6^2+(B72-Y72/1000)^2)</x:f>
        <x:v>401.99194886775575</x:v>
      </x:c>
      <x:c r="AB72" s="48" t="n">
        <x:f>(AA72-Z72)*1000</x:f>
        <x:v>1199.9514474277362</x:v>
      </x:c>
      <x:c r="AC72" s="48" t="n">
        <x:f>AB72/Inputs!$C$12</x:f>
        <x:v>674.1300266447956</x:v>
      </x:c>
      <x:c r="AD72" s="48" t="n">
        <x:f>2*AB72/Inputs!$C$21*1000000</x:f>
        <x:v>8.005214376858914</x:v>
      </x:c>
      <x:c r="AE72" s="48" t="n">
        <x:f>DEGREES(ATAN(H72/(B72-Y72/1000)))</x:f>
        <x:v>5.045704073930583</x:v>
      </x:c>
      <x:c r="AF72" s="48" t="n">
        <x:f>DEGREES((2*PI()/Inputs!$C$13)*Inputs!$C$15*SIN(RADIANS(AE72)))</x:f>
        <x:v>31.662131784497483</x:v>
      </x:c>
      <x:c r="AG72" s="48" t="n">
        <x:f>(Z72/AA72)^4</x:f>
        <x:v>0.9881133009991309</x:v>
      </x:c>
      <x:c r="AH72" s="48" t="n">
        <x:f>10*LOG10(AG72)</x:f>
        <x:v>-0.051932546253970605</x:v>
      </x:c>
      <x:c r="AI72" s="48" t="n">
        <x:f>AC72-F72</x:f>
        <x:v>-200.45866450729636</x:v>
      </x:c>
      <x:c r="AJ72" s="48" t="n">
        <x:f>AD72-G72</x:f>
        <x:v>-2.380422944615823</x:v>
      </x:c>
      <x:c r="AK72" s="48" t="n">
        <x:f>Y72-X72</x:f>
        <x:v>357.8243600154782</x:v>
      </x:c>
      <x:c r="AL72" s="48" t="n">
        <x:f>1000*(AA73-AA71)/(A73-A71)*Inputs!$C$11</x:f>
        <x:v>-489.13970857415734</x:v>
      </x:c>
      <x:c r="AM72" s="48" t="n">
        <x:f>-2*AL72/Inputs!$C$13</x:f>
        <x:v>195.65588342966294</x:v>
      </x:c>
      <x:c r="AN72" s="48" t="n">
        <x:f>-2*AL72/Inputs!$C$14</x:f>
        <x:v>29.377760274724167</x:v>
      </x:c>
      <x:c r="AO72" s="48" t="n">
        <x:f>ABS(AM72)</x:f>
        <x:v>195.65588342966294</x:v>
      </x:c>
      <x:c r="AP72" s="48" t="n">
        <x:f>ABS(AN72)</x:f>
        <x:v>29.377760274724167</x:v>
      </x:c>
      <x:c r="AQ72" s="48" t="n">
        <x:f>IF(OR(Inputs!$C$27=TRUE,Inputs!$C$27="TRUE",Inputs!$C$27=1),Inputs!$C$46/Inputs!$C$12,0)</x:f>
        <x:v>42.13483146067416</x:v>
      </x:c>
      <x:c r="AR72" s="48" t="n">
        <x:f>AC72-AQ72</x:f>
        <x:v>631.9951951841215</x:v>
      </x:c>
      <x:c r="AS72" s="48" t="n">
        <x:f>AC72+AQ72</x:f>
        <x:v>716.2648581054698</x:v>
      </x:c>
    </x:row>
    <x:row r="73">
      <x:c r="A73" s="48" t="n">
        <x:f>Inputs!$C$7+71*(Inputs!$C$8-Inputs!$C$7)/240</x:f>
        <x:v>-24.5</x:v>
      </x:c>
      <x:c r="B73" s="48" t="n">
        <x:f>Inputs!$C$5+Inputs!$C$9*(A73/Inputs!$C$10)^2</x:f>
        <x:v>400.6669444444444</x:v>
      </x:c>
      <x:c r="C73" s="48" t="n">
        <x:f>B73</x:f>
        <x:v>400.6669444444444</x:v>
      </x:c>
      <x:c r="D73" s="48" t="n">
        <x:f>SQRT(A73^2+Inputs!$C$6^2+B73^2)</x:f>
        <x:v>402.19305112153233</x:v>
      </x:c>
      <x:c r="E73" s="48" t="n">
        <x:f>(D73-C73)*1000</x:f>
        <x:v>1526.1066770879097</x:v>
      </x:c>
      <x:c r="F73" s="48" t="n">
        <x:f>E73/Inputs!$C$12</x:f>
        <x:v>857.3633017347807</x:v>
      </x:c>
      <x:c r="G73" s="48" t="n">
        <x:f>2*E73/Inputs!$C$21*1000000</x:f>
        <x:v>10.18108785837374</x:v>
      </x:c>
      <x:c r="H73" s="48" t="n">
        <x:f>SQRT(A73^2+Inputs!$C$6^2)</x:f>
        <x:v>35.00357124637428</x:v>
      </x:c>
      <x:c r="I73" s="48" t="n">
        <x:f>DEGREES(ATAN(H73/B73))</x:f>
        <x:v>4.99286952278949</x:v>
      </x:c>
      <x:c r="J73" s="48" t="n">
        <x:f>DEGREES((2*PI()/Inputs!$C$13)*Inputs!$C$15*SIN(RADIANS(I73)))</x:f>
        <x:v>31.331435522208846</x:v>
      </x:c>
      <x:c r="K73" s="48" t="n">
        <x:f>(C73/D73)^4</x:f>
        <x:v>0.9849083171209121</x:v>
      </x:c>
      <x:c r="L73" s="48" t="n">
        <x:f>10*LOG10(K73)</x:f>
        <x:v>-0.06604195108144201</x:v>
      </x:c>
      <x:c r="M73" s="48" t="n">
        <x:f>2*(Inputs!$C$9/(Inputs!$C$10^2))*A73</x:f>
        <x:v>-0.05444444444444444</x:v>
      </x:c>
      <x:c r="N73" s="48" t="n">
        <x:f>M73*Inputs!$C$11</x:f>
        <x:v>-0.21777777777777776</x:v>
      </x:c>
      <x:c r="O73" s="48" t="n">
        <x:f>1000*((A73*Inputs!$C$11)+(B73*N73))/D73</x:f>
        <x:v>-460.61550858108626</x:v>
      </x:c>
      <x:c r="P73" s="48" t="n">
        <x:f>-2*O73/Inputs!$C$13</x:f>
        <x:v>184.2462034324345</x:v>
      </x:c>
      <x:c r="Q73" s="48" t="n">
        <x:f>-2*O73/Inputs!$C$14</x:f>
        <x:v>27.664595109975153</x:v>
      </x:c>
      <x:c r="R73" s="48" t="n">
        <x:f>F73-Inputs!$C$16/2</x:f>
        <x:v>842.3633017347807</x:v>
      </x:c>
      <x:c r="S73" s="48" t="n">
        <x:f>F73+Inputs!$C$16/2</x:f>
        <x:v>872.3633017347807</x:v>
      </x:c>
      <x:c r="T73" s="48" t="n">
        <x:f>F73-Inputs!$C$17/2</x:f>
        <x:v>707.3633017347807</x:v>
      </x:c>
      <x:c r="U73" s="48" t="n">
        <x:f>F73+Inputs!$C$17/2</x:f>
        <x:v>1007.3633017347807</x:v>
      </x:c>
      <x:c r="V73" s="48" t="n">
        <x:f>ABS(P73)</x:f>
        <x:v>184.2462034324345</x:v>
      </x:c>
      <x:c r="W73" s="48" t="n">
        <x:f>ABS(Q73)</x:f>
        <x:v>27.664595109975153</x:v>
      </x:c>
      <x:c r="X73" s="48" t="n">
        <x: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(0.45*SIN(2*PI()*(((A73)/Inputs!$C$49)+Inputs!$C$47*0.137))+0.35*COS(2*PI()*(((0)/Inputs!$C$50)+Inputs!$C$47*0.173))+0.20*SIN(2*PI()*(((A73)+(0))/(0.5*(Inputs!$C$49+Inputs!$C$50))+Inputs!$C$47*0.097)))+0.30*(2*((SIN(((A73)*12.9898+(0)*78.233+Inputs!$C$47*37.719))*43758.5453)-INT((SIN(((A73)*12.9898+(0)*78.233+Inputs!$C$47*37.719))*43758.5453)))-1)))</x:f>
        <x:v>-113.61582851930044</x:v>
      </x:c>
      <x:c r="Y73" s="48" t="n">
        <x: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(0.45*SIN(2*PI()*(((A73)/Inputs!$C$49)+Inputs!$C$47*0.137))+0.35*COS(2*PI()*(((Inputs!$C$6)/Inputs!$C$50)+Inputs!$C$47*0.173))+0.20*SIN(2*PI()*(((A73)+(Inputs!$C$6))/(0.5*(Inputs!$C$49+Inputs!$C$50))+Inputs!$C$47*0.097)))+0.30*(2*((SIN(((A73)*12.9898+(Inputs!$C$6)*78.233+Inputs!$C$47*37.719))*43758.5453)-INT((SIN(((A73)*12.9898+(Inputs!$C$6)*78.233+Inputs!$C$47*37.719))*43758.5453)))-1)))</x:f>
        <x:v>276.49363528949897</x:v>
      </x:c>
      <x:c r="Z73" s="48" t="n">
        <x:f>B73-X73/1000</x:f>
        <x:v>400.7805602729637</x:v>
      </x:c>
      <x:c r="AA73" s="48" t="n">
        <x:f>SQRT(A73^2+Inputs!$C$6^2+(B73-Y73/1000)^2)</x:f>
        <x:v>401.91760735150467</x:v>
      </x:c>
      <x:c r="AB73" s="48" t="n">
        <x:f>(AA73-Z73)*1000</x:f>
        <x:v>1137.0470785409452</x:v>
      </x:c>
      <x:c r="AC73" s="48" t="n">
        <x:f>AB73/Inputs!$C$12</x:f>
        <x:v>638.7904935623287</x:v>
      </x:c>
      <x:c r="AD73" s="48" t="n">
        <x:f>2*AB73/Inputs!$C$21*1000000</x:f>
        <x:v>7.585561599024251</x:v>
      </x:c>
      <x:c r="AE73" s="48" t="n">
        <x:f>DEGREES(ATAN(H73/(B73-Y73/1000)))</x:f>
        <x:v>4.996299952552246</x:v>
      </x:c>
      <x:c r="AF73" s="48" t="n">
        <x:f>DEGREES((2*PI()/Inputs!$C$13)*Inputs!$C$15*SIN(RADIANS(AE73)))</x:f>
        <x:v>31.35290770596682</x:v>
      </x:c>
      <x:c r="AG73" s="48" t="n">
        <x:f>(Z73/AA73)^4</x:f>
        <x:v>0.9887317101966699</x:v>
      </x:c>
      <x:c r="AH73" s="48" t="n">
        <x:f>10*LOG10(AG73)</x:f>
        <x:v>-0.0492153710653319</x:v>
      </x:c>
      <x:c r="AI73" s="48" t="n">
        <x:f>AC73-F73</x:f>
        <x:v>-218.57280817245203</x:v>
      </x:c>
      <x:c r="AJ73" s="48" t="n">
        <x:f>AD73-G73</x:f>
        <x:v>-2.595526259349489</x:v>
      </x:c>
      <x:c r="AK73" s="48" t="n">
        <x:f>Y73-X73</x:f>
        <x:v>390.10946380879943</x:v>
      </x:c>
      <x:c r="AL73" s="48" t="n">
        <x:f>1000*(AA74-AA72)/(A74-A72)*Inputs!$C$11</x:f>
        <x:v>-493.8784812973154</x:v>
      </x:c>
      <x:c r="AM73" s="48" t="n">
        <x:f>-2*AL73/Inputs!$C$13</x:f>
        <x:v>197.55139251892615</x:v>
      </x:c>
      <x:c r="AN73" s="48" t="n">
        <x:f>-2*AL73/Inputs!$C$14</x:f>
        <x:v>29.662371249088014</x:v>
      </x:c>
      <x:c r="AO73" s="48" t="n">
        <x:f>ABS(AM73)</x:f>
        <x:v>197.55139251892615</x:v>
      </x:c>
      <x:c r="AP73" s="48" t="n">
        <x:f>ABS(AN73)</x:f>
        <x:v>29.662371249088014</x:v>
      </x:c>
      <x:c r="AQ73" s="48" t="n">
        <x:f>IF(OR(Inputs!$C$27=TRUE,Inputs!$C$27="TRUE",Inputs!$C$27=1),Inputs!$C$46/Inputs!$C$12,0)</x:f>
        <x:v>42.13483146067416</x:v>
      </x:c>
      <x:c r="AR73" s="48" t="n">
        <x:f>AC73-AQ73</x:f>
        <x:v>596.6556621016546</x:v>
      </x:c>
      <x:c r="AS73" s="48" t="n">
        <x:f>AC73+AQ73</x:f>
        <x:v>680.9253250230029</x:v>
      </x:c>
    </x:row>
    <x:row r="74">
      <x:c r="A74" s="48" t="n">
        <x:f>Inputs!$C$7+72*(Inputs!$C$8-Inputs!$C$7)/240</x:f>
        <x:v>-24</x:v>
      </x:c>
      <x:c r="B74" s="48" t="n">
        <x:f>Inputs!$C$5+Inputs!$C$9*(A74/Inputs!$C$10)^2</x:f>
        <x:v>400.64</x:v>
      </x:c>
      <x:c r="C74" s="48" t="n">
        <x:f>B74</x:f>
        <x:v>400.64</x:v>
      </x:c>
      <x:c r="D74" s="48" t="n">
        <x:f>SQRT(A74^2+Inputs!$C$6^2+B74^2)</x:f>
        <x:v>402.1360585672466</x:v>
      </x:c>
      <x:c r="E74" s="48" t="n">
        <x:f>(D74-C74)*1000</x:f>
        <x:v>1496.058567246621</x:v>
      </x:c>
      <x:c r="F74" s="48" t="n">
        <x:f>E74/Inputs!$C$12</x:f>
        <x:v>840.482341149787</x:v>
      </x:c>
      <x:c r="G74" s="48" t="n">
        <x:f>2*E74/Inputs!$C$21*1000000</x:f>
        <x:v>9.980628446941257</x:v>
      </x:c>
      <x:c r="H74" s="48" t="n">
        <x:f>SQRT(A74^2+Inputs!$C$6^2)</x:f>
        <x:v>34.655446902326915</x:v>
      </x:c>
      <x:c r="I74" s="48" t="n">
        <x:f>DEGREES(ATAN(H74/B74))</x:f>
        <x:v>4.943791572217107</x:v>
      </x:c>
      <x:c r="J74" s="48" t="n">
        <x:f>DEGREES((2*PI()/Inputs!$C$13)*Inputs!$C$15*SIN(RADIANS(I74)))</x:f>
        <x:v>31.024228290513804</x:v>
      </x:c>
      <x:c r="K74" s="48" t="n">
        <x:f>(C74/D74)^4</x:f>
        <x:v>0.9852017187889134</x:v>
      </x:c>
      <x:c r="L74" s="48" t="n">
        <x:f>10*LOG10(K74)</x:f>
        <x:v>-0.0647483915947774</x:v>
      </x:c>
      <x:c r="M74" s="48" t="n">
        <x:f>2*(Inputs!$C$9/(Inputs!$C$10^2))*A74</x:f>
        <x:v>-0.05333333333333333</x:v>
      </x:c>
      <x:c r="N74" s="48" t="n">
        <x:f>M74*Inputs!$C$11</x:f>
        <x:v>-0.21333333333333332</x:v>
      </x:c>
      <x:c r="O74" s="48" t="n">
        <x:f>1000*((A74*Inputs!$C$11)+(B74*N74))/D74</x:f>
        <x:v>-451.26484631400103</x:v>
      </x:c>
      <x:c r="P74" s="48" t="n">
        <x:f>-2*O74/Inputs!$C$13</x:f>
        <x:v>180.5059385256004</x:v>
      </x:c>
      <x:c r="Q74" s="48" t="n">
        <x:f>-2*O74/Inputs!$C$14</x:f>
        <x:v>27.102993772612678</x:v>
      </x:c>
      <x:c r="R74" s="48" t="n">
        <x:f>F74-Inputs!$C$16/2</x:f>
        <x:v>825.482341149787</x:v>
      </x:c>
      <x:c r="S74" s="48" t="n">
        <x:f>F74+Inputs!$C$16/2</x:f>
        <x:v>855.482341149787</x:v>
      </x:c>
      <x:c r="T74" s="48" t="n">
        <x:f>F74-Inputs!$C$17/2</x:f>
        <x:v>690.482341149787</x:v>
      </x:c>
      <x:c r="U74" s="48" t="n">
        <x:f>F74+Inputs!$C$17/2</x:f>
        <x:v>990.482341149787</x:v>
      </x:c>
      <x:c r="V74" s="48" t="n">
        <x:f>ABS(P74)</x:f>
        <x:v>180.5059385256004</x:v>
      </x:c>
      <x:c r="W74" s="48" t="n">
        <x:f>ABS(Q74)</x:f>
        <x:v>27.102993772612678</x:v>
      </x:c>
      <x:c r="X74" s="48" t="n">
        <x: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(0.45*SIN(2*PI()*(((A74)/Inputs!$C$49)+Inputs!$C$47*0.137))+0.35*COS(2*PI()*(((0)/Inputs!$C$50)+Inputs!$C$47*0.173))+0.20*SIN(2*PI()*(((A74)+(0))/(0.5*(Inputs!$C$49+Inputs!$C$50))+Inputs!$C$47*0.097)))+0.30*(2*((SIN(((A74)*12.9898+(0)*78.233+Inputs!$C$47*37.719))*43758.5453)-INT((SIN(((A74)*12.9898+(0)*78.233+Inputs!$C$47*37.719))*43758.5453)))-1)))</x:f>
        <x:v>-111.48853690711687</x:v>
      </x:c>
      <x:c r="Y74" s="48" t="n">
        <x: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(0.45*SIN(2*PI()*(((A74)/Inputs!$C$49)+Inputs!$C$47*0.137))+0.35*COS(2*PI()*(((Inputs!$C$6)/Inputs!$C$50)+Inputs!$C$47*0.173))+0.20*SIN(2*PI()*(((A74)+(Inputs!$C$6))/(0.5*(Inputs!$C$49+Inputs!$C$50))+Inputs!$C$47*0.097)))+0.30*(2*((SIN(((A74)*12.9898+(Inputs!$C$6)*78.233+Inputs!$C$47*37.719))*43758.5453)-INT((SIN(((A74)*12.9898+(Inputs!$C$6)*78.233+Inputs!$C$47*37.719))*43758.5453)))-1)))</x:f>
        <x:v>268.5791759815676</x:v>
      </x:c>
      <x:c r="Z74" s="48" t="n">
        <x:f>B74-X74/1000</x:f>
        <x:v>400.7514885369071</x:v>
      </x:c>
      <x:c r="AA74" s="48" t="n">
        <x:f>SQRT(A74^2+Inputs!$C$6^2+(B74-Y74/1000)^2)</x:f>
        <x:v>401.8684792474314</x:v>
      </x:c>
      <x:c r="AB74" s="48" t="n">
        <x:f>(AA74-Z74)*1000</x:f>
        <x:v>1116.9907105243055</x:v>
      </x:c>
      <x:c r="AC74" s="48" t="n">
        <x:f>AB74/Inputs!$C$12</x:f>
        <x:v>627.5228710810705</x:v>
      </x:c>
      <x:c r="AD74" s="48" t="n">
        <x:f>2*AB74/Inputs!$C$21*1000000</x:f>
        <x:v>7.451759914015619</x:v>
      </x:c>
      <x:c r="AE74" s="48" t="n">
        <x:f>DEGREES(ATAN(H74/(B74-Y74/1000)))</x:f>
        <x:v>4.94709153857943</x:v>
      </x:c>
      <x:c r="AF74" s="48" t="n">
        <x:f>DEGREES((2*PI()/Inputs!$C$13)*Inputs!$C$15*SIN(RADIANS(AE74)))</x:f>
        <x:v>31.04488540181378</x:v>
      </x:c>
      <x:c r="AG74" s="48" t="n">
        <x:f>(Z74/AA74)^4</x:f>
        <x:v>0.9889282948106121</x:v>
      </x:c>
      <x:c r="AH74" s="48" t="n">
        <x:f>10*LOG10(AG74)</x:f>
        <x:v>-0.0483519707525665</x:v>
      </x:c>
      <x:c r="AI74" s="48" t="n">
        <x:f>AC74-F74</x:f>
        <x:v>-212.95947006871643</x:v>
      </x:c>
      <x:c r="AJ74" s="48" t="n">
        <x:f>AD74-G74</x:f>
        <x:v>-2.528868532925638</x:v>
      </x:c>
      <x:c r="AK74" s="48" t="n">
        <x:f>Y74-X74</x:f>
        <x:v>380.06771288868447</x:v>
      </x:c>
      <x:c r="AL74" s="48" t="n">
        <x:f>1000*(AA75-AA73)/(A75-A73)*Inputs!$C$11</x:f>
        <x:v>-441.2281285199242</x:v>
      </x:c>
      <x:c r="AM74" s="48" t="n">
        <x:f>-2*AL74/Inputs!$C$13</x:f>
        <x:v>176.49125140796968</x:v>
      </x:c>
      <x:c r="AN74" s="48" t="n">
        <x:f>-2*AL74/Inputs!$C$14</x:f>
        <x:v>26.50018789909455</x:v>
      </x:c>
      <x:c r="AO74" s="48" t="n">
        <x:f>ABS(AM74)</x:f>
        <x:v>176.49125140796968</x:v>
      </x:c>
      <x:c r="AP74" s="48" t="n">
        <x:f>ABS(AN74)</x:f>
        <x:v>26.50018789909455</x:v>
      </x:c>
      <x:c r="AQ74" s="48" t="n">
        <x:f>IF(OR(Inputs!$C$27=TRUE,Inputs!$C$27="TRUE",Inputs!$C$27=1),Inputs!$C$46/Inputs!$C$12,0)</x:f>
        <x:v>42.13483146067416</x:v>
      </x:c>
      <x:c r="AR74" s="48" t="n">
        <x:f>AC74-AQ74</x:f>
        <x:v>585.3880396203964</x:v>
      </x:c>
      <x:c r="AS74" s="48" t="n">
        <x:f>AC74+AQ74</x:f>
        <x:v>669.6577025417447</x:v>
      </x:c>
    </x:row>
    <x:row r="75">
      <x:c r="A75" s="48" t="n">
        <x:f>Inputs!$C$7+73*(Inputs!$C$8-Inputs!$C$7)/240</x:f>
        <x:v>-23.5</x:v>
      </x:c>
      <x:c r="B75" s="48" t="n">
        <x:f>Inputs!$C$5+Inputs!$C$9*(A75/Inputs!$C$10)^2</x:f>
        <x:v>400.6136111111111</x:v>
      </x:c>
      <x:c r="C75" s="48" t="n">
        <x:f>B75</x:f>
        <x:v>400.6136111111111</x:v>
      </x:c>
      <x:c r="D75" s="48" t="n">
        <x:f>SQRT(A75^2+Inputs!$C$6^2+B75^2)</x:f>
        <x:v>402.08023503709376</x:v>
      </x:c>
      <x:c r="E75" s="48" t="n">
        <x:f>(D75-C75)*1000</x:f>
        <x:v>1466.6239259826739</x:v>
      </x:c>
      <x:c r="F75" s="48" t="n">
        <x:f>E75/Inputs!$C$12</x:f>
        <x:v>823.9460258329628</x:v>
      </x:c>
      <x:c r="G75" s="48" t="n">
        <x:f>2*E75/Inputs!$C$21*1000000</x:f>
        <x:v>9.784261657327443</x:v>
      </x:c>
      <x:c r="H75" s="48" t="n">
        <x:f>SQRT(A75^2+Inputs!$C$6^2)</x:f>
        <x:v>34.311076928595526</x:v>
      </x:c>
      <x:c r="I75" s="48" t="n">
        <x:f>DEGREES(ATAN(H75/B75))</x:f>
        <x:v>4.8952260304560395</x:v>
      </x:c>
      <x:c r="J75" s="48" t="n">
        <x:f>DEGREES((2*PI()/Inputs!$C$13)*Inputs!$C$15*SIN(RADIANS(I75)))</x:f>
        <x:v>30.72020611297858</x:v>
      </x:c>
      <x:c r="K75" s="48" t="n">
        <x:f>(C75/D75)^4</x:f>
        <x:v>0.9854892747288151</x:v>
      </x:c>
      <x:c r="L75" s="48" t="n">
        <x:f>10*LOG10(K75)</x:f>
        <x:v>-0.0634809787001641</x:v>
      </x:c>
      <x:c r="M75" s="48" t="n">
        <x:f>2*(Inputs!$C$9/(Inputs!$C$10^2))*A75</x:f>
        <x:v>-0.052222222222222225</x:v>
      </x:c>
      <x:c r="N75" s="48" t="n">
        <x:f>M75*Inputs!$C$11</x:f>
        <x:v>-0.2088888888888889</x:v>
      </x:c>
      <x:c r="O75" s="48" t="n">
        <x:f>1000*((A75*Inputs!$C$11)+(B75*N75))/D75</x:f>
        <x:v>-441.9111326931385</x:v>
      </x:c>
      <x:c r="P75" s="48" t="n">
        <x:f>-2*O75/Inputs!$C$13</x:f>
        <x:v>176.76445307725538</x:v>
      </x:c>
      <x:c r="Q75" s="48" t="n">
        <x:f>-2*O75/Inputs!$C$14</x:f>
        <x:v>26.54120917075907</x:v>
      </x:c>
      <x:c r="R75" s="48" t="n">
        <x:f>F75-Inputs!$C$16/2</x:f>
        <x:v>808.9460258329628</x:v>
      </x:c>
      <x:c r="S75" s="48" t="n">
        <x:f>F75+Inputs!$C$16/2</x:f>
        <x:v>838.9460258329628</x:v>
      </x:c>
      <x:c r="T75" s="48" t="n">
        <x:f>F75-Inputs!$C$17/2</x:f>
        <x:v>673.9460258329628</x:v>
      </x:c>
      <x:c r="U75" s="48" t="n">
        <x:f>F75+Inputs!$C$17/2</x:f>
        <x:v>973.9460258329628</x:v>
      </x:c>
      <x:c r="V75" s="48" t="n">
        <x:f>ABS(P75)</x:f>
        <x:v>176.76445307725538</x:v>
      </x:c>
      <x:c r="W75" s="48" t="n">
        <x:f>ABS(Q75)</x:f>
        <x:v>26.54120917075907</x:v>
      </x:c>
      <x:c r="X75" s="48" t="n">
        <x: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(0.45*SIN(2*PI()*(((A75)/Inputs!$C$49)+Inputs!$C$47*0.137))+0.35*COS(2*PI()*(((0)/Inputs!$C$50)+Inputs!$C$47*0.173))+0.20*SIN(2*PI()*(((A75)+(0))/(0.5*(Inputs!$C$49+Inputs!$C$50))+Inputs!$C$47*0.097)))+0.30*(2*((SIN(((A75)*12.9898+(0)*78.233+Inputs!$C$47*37.719))*43758.5453)-INT((SIN(((A75)*12.9898+(0)*78.233+Inputs!$C$47*37.719))*43758.5453)))-1)))</x:f>
        <x:v>-125.65162794647964</x:v>
      </x:c>
      <x:c r="Y75" s="48" t="n">
        <x: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(0.45*SIN(2*PI()*(((A75)/Inputs!$C$49)+Inputs!$C$47*0.137))+0.35*COS(2*PI()*(((Inputs!$C$6)/Inputs!$C$50)+Inputs!$C$47*0.173))+0.20*SIN(2*PI()*(((A75)+(Inputs!$C$6))/(0.5*(Inputs!$C$49+Inputs!$C$50))+Inputs!$C$47*0.097)))+0.30*(2*((SIN(((A75)*12.9898+(Inputs!$C$6)*78.233+Inputs!$C$47*37.719))*43758.5453)-INT((SIN(((A75)*12.9898+(Inputs!$C$6)*78.233+Inputs!$C$47*37.719))*43758.5453)))-1)))</x:f>
        <x:v>273.93459884711217</x:v>
      </x:c>
      <x:c r="Z75" s="48" t="n">
        <x:f>B75-X75/1000</x:f>
        <x:v>400.73926273905755</x:v>
      </x:c>
      <x:c r="AA75" s="48" t="n">
        <x:f>SQRT(A75^2+Inputs!$C$6^2+(B75-Y75/1000)^2)</x:f>
        <x:v>401.8073003193747</x:v>
      </x:c>
      <x:c r="AB75" s="48" t="n">
        <x:f>(AA75-Z75)*1000</x:f>
        <x:v>1068.0375803171387</x:v>
      </x:c>
      <x:c r="AC75" s="48" t="n">
        <x:f>AB75/Inputs!$C$12</x:f>
        <x:v>600.0211125377184</x:v>
      </x:c>
      <x:c r="AD75" s="48" t="n">
        <x:f>2*AB75/Inputs!$C$21*1000000</x:f>
        <x:v>7.1251797823222</x:v>
      </x:c>
      <x:c r="AE75" s="48" t="n">
        <x:f>DEGREES(ATAN(H75/(B75-Y75/1000)))</x:f>
        <x:v>4.898559322168956</x:v>
      </x:c>
      <x:c r="AF75" s="48" t="n">
        <x:f>DEGREES((2*PI()/Inputs!$C$13)*Inputs!$C$15*SIN(RADIANS(AE75)))</x:f>
        <x:v>30.741073356498177</x:v>
      </x:c>
      <x:c r="AG75" s="48" t="n">
        <x:f>(Z75/AA75)^4</x:f>
        <x:v>0.9894099811518684</x:v>
      </x:c>
      <x:c r="AH75" s="48" t="n">
        <x:f>10*LOG10(AG75)</x:f>
        <x:v>-0.0462371279403799</x:v>
      </x:c>
      <x:c r="AI75" s="48" t="n">
        <x:f>AC75-F75</x:f>
        <x:v>-223.92491329524444</x:v>
      </x:c>
      <x:c r="AJ75" s="48" t="n">
        <x:f>AD75-G75</x:f>
        <x:v>-2.659081875005243</x:v>
      </x:c>
      <x:c r="AK75" s="48" t="n">
        <x:f>Y75-X75</x:f>
        <x:v>399.5862267935918</x:v>
      </x:c>
      <x:c r="AL75" s="48" t="n">
        <x:f>1000*(AA76-AA74)/(A76-A74)*Inputs!$C$11</x:f>
        <x:v>-485.81491937557075</x:v>
      </x:c>
      <x:c r="AM75" s="48" t="n">
        <x:f>-2*AL75/Inputs!$C$13</x:f>
        <x:v>194.3259677502283</x:v>
      </x:c>
      <x:c r="AN75" s="48" t="n">
        <x:f>-2*AL75/Inputs!$C$14</x:f>
        <x:v>29.178073235770018</x:v>
      </x:c>
      <x:c r="AO75" s="48" t="n">
        <x:f>ABS(AM75)</x:f>
        <x:v>194.3259677502283</x:v>
      </x:c>
      <x:c r="AP75" s="48" t="n">
        <x:f>ABS(AN75)</x:f>
        <x:v>29.178073235770018</x:v>
      </x:c>
      <x:c r="AQ75" s="48" t="n">
        <x:f>IF(OR(Inputs!$C$27=TRUE,Inputs!$C$27="TRUE",Inputs!$C$27=1),Inputs!$C$46/Inputs!$C$12,0)</x:f>
        <x:v>42.13483146067416</x:v>
      </x:c>
      <x:c r="AR75" s="48" t="n">
        <x:f>AC75-AQ75</x:f>
        <x:v>557.8862810770443</x:v>
      </x:c>
      <x:c r="AS75" s="48" t="n">
        <x:f>AC75+AQ75</x:f>
        <x:v>642.1559439983926</x:v>
      </x:c>
    </x:row>
    <x:row r="76">
      <x:c r="A76" s="48" t="n">
        <x:f>Inputs!$C$7+74*(Inputs!$C$8-Inputs!$C$7)/240</x:f>
        <x:v>-23</x:v>
      </x:c>
      <x:c r="B76" s="48" t="n">
        <x:f>Inputs!$C$5+Inputs!$C$9*(A76/Inputs!$C$10)^2</x:f>
        <x:v>400.5877777777778</x:v>
      </x:c>
      <x:c r="C76" s="48" t="n">
        <x:f>B76</x:f>
        <x:v>400.5877777777778</x:v>
      </x:c>
      <x:c r="D76" s="48" t="n">
        <x:f>SQRT(A76^2+Inputs!$C$6^2+B76^2)</x:f>
        <x:v>402.02558090865097</x:v>
      </x:c>
      <x:c r="E76" s="48" t="n">
        <x:f>(D76-C76)*1000</x:f>
        <x:v>1437.803130873192</x:v>
      </x:c>
      <x:c r="F76" s="48" t="n">
        <x:f>E76/Inputs!$C$12</x:f>
        <x:v>807.7545679062877</x:v>
      </x:c>
      <x:c r="G76" s="48" t="n">
        <x:f>2*E76/Inputs!$C$21*1000000</x:f>
        <x:v>9.59199000845573</x:v>
      </x:c>
      <x:c r="H76" s="48" t="n">
        <x:f>SQRT(A76^2+Inputs!$C$6^2)</x:f>
        <x:v>33.97057550292606</x:v>
      </x:c>
      <x:c r="I76" s="48" t="n">
        <x:f>DEGREES(ATAN(H76/B76))</x:f>
        <x:v>4.847189712205752</x:v>
      </x:c>
      <x:c r="J76" s="48" t="n">
        <x:f>DEGREES((2*PI()/Inputs!$C$13)*Inputs!$C$15*SIN(RADIANS(I76)))</x:f>
        <x:v>30.419475182182925</x:v>
      </x:c>
      <x:c r="K76" s="48" t="n">
        <x:f>(C76/D76)^4</x:f>
        <x:v>0.9857709723931932</x:v>
      </x:c>
      <x:c r="L76" s="48" t="n">
        <x:f>10*LOG10(K76)</x:f>
        <x:v>-0.062239744903501905</x:v>
      </x:c>
      <x:c r="M76" s="48" t="n">
        <x:f>2*(Inputs!$C$9/(Inputs!$C$10^2))*A76</x:f>
        <x:v>-0.051111111111111114</x:v>
      </x:c>
      <x:c r="N76" s="48" t="n">
        <x:f>M76*Inputs!$C$11</x:f>
        <x:v>-0.20444444444444446</x:v>
      </x:c>
      <x:c r="O76" s="48" t="n">
        <x:f>1000*((A76*Inputs!$C$11)+(B76*N76))/D76</x:f>
        <x:v>-432.55442921311464</x:v>
      </x:c>
      <x:c r="P76" s="48" t="n">
        <x:f>-2*O76/Inputs!$C$13</x:f>
        <x:v>173.02177168524585</x:v>
      </x:c>
      <x:c r="Q76" s="48" t="n">
        <x:f>-2*O76/Inputs!$C$14</x:f>
        <x:v>25.979244997784665</x:v>
      </x:c>
      <x:c r="R76" s="48" t="n">
        <x:f>F76-Inputs!$C$16/2</x:f>
        <x:v>792.7545679062877</x:v>
      </x:c>
      <x:c r="S76" s="48" t="n">
        <x:f>F76+Inputs!$C$16/2</x:f>
        <x:v>822.7545679062877</x:v>
      </x:c>
      <x:c r="T76" s="48" t="n">
        <x:f>F76-Inputs!$C$17/2</x:f>
        <x:v>657.7545679062877</x:v>
      </x:c>
      <x:c r="U76" s="48" t="n">
        <x:f>F76+Inputs!$C$17/2</x:f>
        <x:v>957.7545679062877</x:v>
      </x:c>
      <x:c r="V76" s="48" t="n">
        <x:f>ABS(P76)</x:f>
        <x:v>173.02177168524585</x:v>
      </x:c>
      <x:c r="W76" s="48" t="n">
        <x:f>ABS(Q76)</x:f>
        <x:v>25.979244997784665</x:v>
      </x:c>
      <x:c r="X76" s="48" t="n">
        <x: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(0.45*SIN(2*PI()*(((A76)/Inputs!$C$49)+Inputs!$C$47*0.137))+0.35*COS(2*PI()*(((0)/Inputs!$C$50)+Inputs!$C$47*0.173))+0.20*SIN(2*PI()*(((A76)+(0))/(0.5*(Inputs!$C$49+Inputs!$C$50))+Inputs!$C$47*0.097)))+0.30*(2*((SIN(((A76)*12.9898+(0)*78.233+Inputs!$C$47*37.719))*43758.5453)-INT((SIN(((A76)*12.9898+(0)*78.233+Inputs!$C$47*37.719))*43758.5453)))-1)))</x:f>
        <x:v>-132.5457898426781</x:v>
      </x:c>
      <x:c r="Y76" s="48" t="n">
        <x: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(0.45*SIN(2*PI()*(((A76)/Inputs!$C$49)+Inputs!$C$47*0.137))+0.35*COS(2*PI()*(((Inputs!$C$6)/Inputs!$C$50)+Inputs!$C$47*0.173))+0.20*SIN(2*PI()*(((A76)+(Inputs!$C$6))/(0.5*(Inputs!$C$49+Inputs!$C$50))+Inputs!$C$47*0.097)))+0.30*(2*((SIN(((A76)*12.9898+(Inputs!$C$6)*78.233+Inputs!$C$47*37.719))*43758.5453)-INT((SIN(((A76)*12.9898+(Inputs!$C$6)*78.233+Inputs!$C$47*37.719))*43758.5453)))-1)))</x:f>
        <x:v>279.55588840773</x:v>
      </x:c>
      <x:c r="Z76" s="48" t="n">
        <x:f>B76-X76/1000</x:f>
        <x:v>400.7203235676204</x:v>
      </x:c>
      <x:c r="AA76" s="48" t="n">
        <x:f>SQRT(A76^2+Inputs!$C$6^2+(B76-Y76/1000)^2)</x:f>
        <x:v>401.74702551758753</x:v>
      </x:c>
      <x:c r="AB76" s="48" t="n">
        <x:f>(AA76-Z76)*1000</x:f>
        <x:v>1026.701949967105</x:v>
      </x:c>
      <x:c r="AC76" s="48" t="n">
        <x:f>AB76/Inputs!$C$12</x:f>
        <x:v>576.7988482961264</x:v>
      </x:c>
      <x:c r="AD76" s="48" t="n">
        <x:f>2*AB76/Inputs!$C$21*1000000</x:f>
        <x:v>6.849418139579115</x:v>
      </x:c>
      <x:c r="AE76" s="48" t="n">
        <x:f>DEGREES(ATAN(H76/(B76-Y76/1000)))</x:f>
        <x:v>4.850558609905554</x:v>
      </x:c>
      <x:c r="AF76" s="48" t="n">
        <x:f>DEGREES((2*PI()/Inputs!$C$13)*Inputs!$C$15*SIN(RADIANS(AE76)))</x:f>
        <x:v>30.440566835056774</x:v>
      </x:c>
      <x:c r="AG76" s="48" t="n">
        <x:f>(Z76/AA76)^4</x:f>
        <x:v>0.9898167469830597</x:v>
      </x:c>
      <x:c r="AH76" s="48" t="n">
        <x:f>10*LOG10(AG76)</x:f>
        <x:v>-0.0444520251435236</x:v>
      </x:c>
      <x:c r="AI76" s="48" t="n">
        <x:f>AC76-F76</x:f>
        <x:v>-230.95571961016128</x:v>
      </x:c>
      <x:c r="AJ76" s="48" t="n">
        <x:f>AD76-G76</x:f>
        <x:v>-2.742571868876614</x:v>
      </x:c>
      <x:c r="AK76" s="48" t="n">
        <x:f>Y76-X76</x:f>
        <x:v>412.1016782504081</x:v>
      </x:c>
      <x:c r="AL76" s="48" t="n">
        <x:f>1000*(AA77-AA75)/(A77-A75)*Inputs!$C$11</x:f>
        <x:v>-483.5881838669138</x:v>
      </x:c>
      <x:c r="AM76" s="48" t="n">
        <x:f>-2*AL76/Inputs!$C$13</x:f>
        <x:v>193.43527354676553</x:v>
      </x:c>
      <x:c r="AN76" s="48" t="n">
        <x:f>-2*AL76/Inputs!$C$14</x:f>
        <x:v>29.044335367382214</x:v>
      </x:c>
      <x:c r="AO76" s="48" t="n">
        <x:f>ABS(AM76)</x:f>
        <x:v>193.43527354676553</x:v>
      </x:c>
      <x:c r="AP76" s="48" t="n">
        <x:f>ABS(AN76)</x:f>
        <x:v>29.044335367382214</x:v>
      </x:c>
      <x:c r="AQ76" s="48" t="n">
        <x:f>IF(OR(Inputs!$C$27=TRUE,Inputs!$C$27="TRUE",Inputs!$C$27=1),Inputs!$C$46/Inputs!$C$12,0)</x:f>
        <x:v>42.13483146067416</x:v>
      </x:c>
      <x:c r="AR76" s="48" t="n">
        <x:f>AC76-AQ76</x:f>
        <x:v>534.6640168354522</x:v>
      </x:c>
      <x:c r="AS76" s="48" t="n">
        <x:f>AC76+AQ76</x:f>
        <x:v>618.9336797568005</x:v>
      </x:c>
    </x:row>
    <x:row r="77">
      <x:c r="A77" s="48" t="n">
        <x:f>Inputs!$C$7+75*(Inputs!$C$8-Inputs!$C$7)/240</x:f>
        <x:v>-22.5</x:v>
      </x:c>
      <x:c r="B77" s="48" t="n">
        <x:f>Inputs!$C$5+Inputs!$C$9*(A77/Inputs!$C$10)^2</x:f>
        <x:v>400.5625</x:v>
      </x:c>
      <x:c r="C77" s="48" t="n">
        <x:f>B77</x:f>
        <x:v>400.5625</x:v>
      </x:c>
      <x:c r="D77" s="48" t="n">
        <x:f>SQRT(A77^2+Inputs!$C$6^2+B77^2)</x:f>
        <x:v>401.97209655180046</x:v>
      </x:c>
      <x:c r="E77" s="48" t="n">
        <x:f>(D77-C77)*1000</x:f>
        <x:v>1409.5965518004618</x:v>
      </x:c>
      <x:c r="F77" s="48" t="n">
        <x:f>E77/Inputs!$C$12</x:f>
        <x:v>791.9081751687987</x:v>
      </x:c>
      <x:c r="G77" s="48" t="n">
        <x:f>2*E77/Inputs!$C$21*1000000</x:f>
        <x:v>9.403815967915122</x:v>
      </x:c>
      <x:c r="H77" s="48" t="n">
        <x:f>SQRT(A77^2+Inputs!$C$6^2)</x:f>
        <x:v>33.63406011768428</x:v>
      </x:c>
      <x:c r="I77" s="48" t="n">
        <x:f>DEGREES(ATAN(H77/B77))</x:f>
        <x:v>4.799699905357918</x:v>
      </x:c>
      <x:c r="J77" s="48" t="n">
        <x:f>DEGREES((2*PI()/Inputs!$C$13)*Inputs!$C$15*SIN(RADIANS(I77)))</x:f>
        <x:v>30.122144661864603</x:v>
      </x:c>
      <x:c r="K77" s="48" t="n">
        <x:f>(C77/D77)^4</x:f>
        <x:v>0.9860467994790504</x:v>
      </x:c>
      <x:c r="L77" s="48" t="n">
        <x:f>10*LOG10(K77)</x:f>
        <x:v>-0.0610247220566916</x:v>
      </x:c>
      <x:c r="M77" s="48" t="n">
        <x:f>2*(Inputs!$C$9/(Inputs!$C$10^2))*A77</x:f>
        <x:v>-0.05</x:v>
      </x:c>
      <x:c r="N77" s="48" t="n">
        <x:f>M77*Inputs!$C$11</x:f>
        <x:v>-0.2</x:v>
      </x:c>
      <x:c r="O77" s="48" t="n">
        <x:f>1000*((A77*Inputs!$C$11)+(B77*N77))/D77</x:f>
        <x:v>-423.1947974977868</x:v>
      </x:c>
      <x:c r="P77" s="48" t="n">
        <x:f>-2*O77/Inputs!$C$13</x:f>
        <x:v>169.27791899911472</x:v>
      </x:c>
      <x:c r="Q77" s="48" t="n">
        <x:f>-2*O77/Inputs!$C$14</x:f>
        <x:v>25.417104954822033</x:v>
      </x:c>
      <x:c r="R77" s="48" t="n">
        <x:f>F77-Inputs!$C$16/2</x:f>
        <x:v>776.9081751687987</x:v>
      </x:c>
      <x:c r="S77" s="48" t="n">
        <x:f>F77+Inputs!$C$16/2</x:f>
        <x:v>806.9081751687987</x:v>
      </x:c>
      <x:c r="T77" s="48" t="n">
        <x:f>F77-Inputs!$C$17/2</x:f>
        <x:v>641.9081751687987</x:v>
      </x:c>
      <x:c r="U77" s="48" t="n">
        <x:f>F77+Inputs!$C$17/2</x:f>
        <x:v>941.9081751687987</x:v>
      </x:c>
      <x:c r="V77" s="48" t="n">
        <x:f>ABS(P77)</x:f>
        <x:v>169.27791899911472</x:v>
      </x:c>
      <x:c r="W77" s="48" t="n">
        <x:f>ABS(Q77)</x:f>
        <x:v>25.417104954822033</x:v>
      </x:c>
      <x:c r="X77" s="48" t="n">
        <x: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(0.45*SIN(2*PI()*(((A77)/Inputs!$C$49)+Inputs!$C$47*0.137))+0.35*COS(2*PI()*(((0)/Inputs!$C$50)+Inputs!$C$47*0.173))+0.20*SIN(2*PI()*(((A77)+(0))/(0.5*(Inputs!$C$49+Inputs!$C$50))+Inputs!$C$47*0.097)))+0.30*(2*((SIN(((A77)*12.9898+(0)*78.233+Inputs!$C$47*37.719))*43758.5453)-INT((SIN(((A77)*12.9898+(0)*78.233+Inputs!$C$47*37.719))*43758.5453)))-1)))</x:f>
        <x:v>-138.29494668428998</x:v>
      </x:c>
      <x:c r="Y77" s="48" t="n">
        <x: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(0.45*SIN(2*PI()*(((A77)/Inputs!$C$49)+Inputs!$C$47*0.137))+0.35*COS(2*PI()*(((Inputs!$C$6)/Inputs!$C$50)+Inputs!$C$47*0.173))+0.20*SIN(2*PI()*(((A77)+(Inputs!$C$6))/(0.5*(Inputs!$C$49+Inputs!$C$50))+Inputs!$C$47*0.097)))+0.30*(2*((SIN(((A77)*12.9898+(Inputs!$C$6)*78.233+Inputs!$C$47*37.719))*43758.5453)-INT((SIN(((A77)*12.9898+(Inputs!$C$6)*78.233+Inputs!$C$47*37.719))*43758.5453)))-1)))</x:f>
        <x:v>286.69936407981004</x:v>
      </x:c>
      <x:c r="Z77" s="48" t="n">
        <x:f>B77-X77/1000</x:f>
        <x:v>400.7007949466843</x:v>
      </x:c>
      <x:c r="AA77" s="48" t="n">
        <x:f>SQRT(A77^2+Inputs!$C$6^2+(B77-Y77/1000)^2)</x:f>
        <x:v>401.68640327340796</x:v>
      </x:c>
      <x:c r="AB77" s="48" t="n">
        <x:f>(AA77-Z77)*1000</x:f>
        <x:v>985.60832672365</x:v>
      </x:c>
      <x:c r="AC77" s="48" t="n">
        <x:f>AB77/Inputs!$C$12</x:f>
        <x:v>553.7125431031741</x:v>
      </x:c>
      <x:c r="AD77" s="48" t="n">
        <x:f>2*AB77/Inputs!$C$21*1000000</x:f>
        <x:v>6.575270994466779</x:v>
      </x:c>
      <x:c r="AE77" s="48" t="n">
        <x:f>DEGREES(ATAN(H77/(B77-Y77/1000)))</x:f>
        <x:v>4.803121634431841</x:v>
      </x:c>
      <x:c r="AF77" s="48" t="n">
        <x:f>DEGREES((2*PI()/Inputs!$C$13)*Inputs!$C$15*SIN(RADIANS(AE77)))</x:f>
        <x:v>30.143568574126842</x:v>
      </x:c>
      <x:c r="AG77" s="48" t="n">
        <x:f>(Z77/AA77)^4</x:f>
        <x:v>0.9902213597117363</x:v>
      </x:c>
      <x:c r="AH77" s="48" t="n">
        <x:f>10*LOG10(AG77)</x:f>
        <x:v>-0.042677098921408696</x:v>
      </x:c>
      <x:c r="AI77" s="48" t="n">
        <x:f>AC77-F77</x:f>
        <x:v>-238.19563206562464</x:v>
      </x:c>
      <x:c r="AJ77" s="48" t="n">
        <x:f>AD77-G77</x:f>
        <x:v>-2.828544973448343</x:v>
      </x:c>
      <x:c r="AK77" s="48" t="n">
        <x:f>Y77-X77</x:f>
        <x:v>424.9943107641</x:v>
      </x:c>
      <x:c r="AL77" s="48" t="n">
        <x:f>1000*(AA78-AA76)/(A78-A76)*Inputs!$C$11</x:f>
        <x:v>-571.047521147193</x:v>
      </x:c>
      <x:c r="AM77" s="48" t="n">
        <x:f>-2*AL77/Inputs!$C$13</x:f>
        <x:v>228.41900845887722</x:v>
      </x:c>
      <x:c r="AN77" s="48" t="n">
        <x:f>-2*AL77/Inputs!$C$14</x:f>
        <x:v>34.297148417248835</x:v>
      </x:c>
      <x:c r="AO77" s="48" t="n">
        <x:f>ABS(AM77)</x:f>
        <x:v>228.41900845887722</x:v>
      </x:c>
      <x:c r="AP77" s="48" t="n">
        <x:f>ABS(AN77)</x:f>
        <x:v>34.297148417248835</x:v>
      </x:c>
      <x:c r="AQ77" s="48" t="n">
        <x:f>IF(OR(Inputs!$C$27=TRUE,Inputs!$C$27="TRUE",Inputs!$C$27=1),Inputs!$C$46/Inputs!$C$12,0)</x:f>
        <x:v>42.13483146067416</x:v>
      </x:c>
      <x:c r="AR77" s="48" t="n">
        <x:f>AC77-AQ77</x:f>
        <x:v>511.57771164249993</x:v>
      </x:c>
      <x:c r="AS77" s="48" t="n">
        <x:f>AC77+AQ77</x:f>
        <x:v>595.8473745638482</x:v>
      </x:c>
    </x:row>
    <x:row r="78">
      <x:c r="A78" s="48" t="n">
        <x:f>Inputs!$C$7+76*(Inputs!$C$8-Inputs!$C$7)/240</x:f>
        <x:v>-22</x:v>
      </x:c>
      <x:c r="B78" s="48" t="n">
        <x:f>Inputs!$C$5+Inputs!$C$9*(A78/Inputs!$C$10)^2</x:f>
        <x:v>400.53777777777776</x:v>
      </x:c>
      <x:c r="C78" s="48" t="n">
        <x:f>B78</x:f>
        <x:v>400.53777777777776</x:v>
      </x:c>
      <x:c r="D78" s="48" t="n">
        <x:f>SQRT(A78^2+Inputs!$C$6^2+B78^2)</x:f>
        <x:v>401.91978232871355</x:v>
      </x:c>
      <x:c r="E78" s="48" t="n">
        <x:f>(D78-C78)*1000</x:f>
        <x:v>1382.0045509357897</x:v>
      </x:c>
      <x:c r="F78" s="48" t="n">
        <x:f>E78/Inputs!$C$12</x:f>
        <x:v>776.4070510875223</x:v>
      </x:c>
      <x:c r="G78" s="48" t="n">
        <x:f>2*E78/Inputs!$C$21*1000000</x:f>
        <x:v>9.219741951852502</x:v>
      </x:c>
      <x:c r="H78" s="48" t="n">
        <x:f>SQRT(A78^2+Inputs!$C$6^2)</x:f>
        <x:v>33.301651610693426</x:v>
      </x:c>
      <x:c r="I78" s="48" t="n">
        <x:f>DEGREES(ATAN(H78/B78))</x:f>
        <x:v>4.752774375241167</x:v>
      </x:c>
      <x:c r="J78" s="48" t="n">
        <x:f>DEGREES((2*PI()/Inputs!$C$13)*Inputs!$C$15*SIN(RADIANS(I78)))</x:f>
        <x:v>29.828326713325737</x:v>
      </x:c>
      <x:c r="K78" s="48" t="n">
        <x:f>(C78/D78)^4</x:f>
        <x:v>0.9863167439290446</x:v>
      </x:c>
      <x:c r="L78" s="48" t="n">
        <x:f>10*LOG10(K78)</x:f>
        <x:v>-0.059835941355722996</x:v>
      </x:c>
      <x:c r="M78" s="48" t="n">
        <x:f>2*(Inputs!$C$9/(Inputs!$C$10^2))*A78</x:f>
        <x:v>-0.04888888888888889</x:v>
      </x:c>
      <x:c r="N78" s="48" t="n">
        <x:f>M78*Inputs!$C$11</x:f>
        <x:v>-0.19555555555555557</x:v>
      </x:c>
      <x:c r="O78" s="48" t="n">
        <x:f>1000*((A78*Inputs!$C$11)+(B78*N78))/D78</x:f>
        <x:v>-413.83229929769595</x:v>
      </x:c>
      <x:c r="P78" s="48" t="n">
        <x:f>-2*O78/Inputs!$C$13</x:f>
        <x:v>165.5329197190784</x:v>
      </x:c>
      <x:c r="Q78" s="48" t="n">
        <x:f>-2*O78/Inputs!$C$14</x:f>
        <x:v>24.854792750612372</x:v>
      </x:c>
      <x:c r="R78" s="48" t="n">
        <x:f>F78-Inputs!$C$16/2</x:f>
        <x:v>761.4070510875223</x:v>
      </x:c>
      <x:c r="S78" s="48" t="n">
        <x:f>F78+Inputs!$C$16/2</x:f>
        <x:v>791.4070510875223</x:v>
      </x:c>
      <x:c r="T78" s="48" t="n">
        <x:f>F78-Inputs!$C$17/2</x:f>
        <x:v>626.4070510875223</x:v>
      </x:c>
      <x:c r="U78" s="48" t="n">
        <x:f>F78+Inputs!$C$17/2</x:f>
        <x:v>926.4070510875223</x:v>
      </x:c>
      <x:c r="V78" s="48" t="n">
        <x:f>ABS(P78)</x:f>
        <x:v>165.5329197190784</x:v>
      </x:c>
      <x:c r="W78" s="48" t="n">
        <x:f>ABS(Q78)</x:f>
        <x:v>24.854792750612372</x:v>
      </x:c>
      <x:c r="X78" s="48" t="n">
        <x: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(0.45*SIN(2*PI()*(((A78)/Inputs!$C$49)+Inputs!$C$47*0.137))+0.35*COS(2*PI()*(((0)/Inputs!$C$50)+Inputs!$C$47*0.173))+0.20*SIN(2*PI()*(((A78)+(0))/(0.5*(Inputs!$C$49+Inputs!$C$50))+Inputs!$C$47*0.097)))+0.30*(2*((SIN(((A78)*12.9898+(0)*78.233+Inputs!$C$47*37.719))*43758.5453)-INT((SIN(((A78)*12.9898+(0)*78.233+Inputs!$C$47*37.719))*43758.5453)))-1)))</x:f>
        <x:v>-144.0992283446906</x:v>
      </x:c>
      <x:c r="Y78" s="48" t="n">
        <x: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(0.45*SIN(2*PI()*(((A78)/Inputs!$C$49)+Inputs!$C$47*0.137))+0.35*COS(2*PI()*(((Inputs!$C$6)/Inputs!$C$50)+Inputs!$C$47*0.173))+0.20*SIN(2*PI()*(((A78)+(Inputs!$C$6))/(0.5*(Inputs!$C$49+Inputs!$C$50))+Inputs!$C$47*0.097)))+0.30*(2*((SIN(((A78)*12.9898+(Inputs!$C$6)*78.233+Inputs!$C$47*37.719))*43758.5453)-INT((SIN(((A78)*12.9898+(Inputs!$C$6)*78.233+Inputs!$C$47*37.719))*43758.5453)))-1)))</x:f>
        <x:v>316.60820817766927</x:v>
      </x:c>
      <x:c r="Z78" s="48" t="n">
        <x:f>B78-X78/1000</x:f>
        <x:v>400.6818770061225</x:v>
      </x:c>
      <x:c r="AA78" s="48" t="n">
        <x:f>SQRT(A78^2+Inputs!$C$6^2+(B78-Y78/1000)^2)</x:f>
        <x:v>401.60426363730073</x:v>
      </x:c>
      <x:c r="AB78" s="48" t="n">
        <x:f>(AA78-Z78)*1000</x:f>
        <x:v>922.3866311782558</x:v>
      </x:c>
      <x:c r="AC78" s="48" t="n">
        <x:f>AB78/Inputs!$C$12</x:f>
        <x:v>518.1947366169976</x:v>
      </x:c>
      <x:c r="AD78" s="48" t="n">
        <x:f>2*AB78/Inputs!$C$21*1000000</x:f>
        <x:v>6.15350124103693</x:v>
      </x:c>
      <x:c r="AE78" s="48" t="n">
        <x:f>DEGREES(ATAN(H78/(B78-Y78/1000)))</x:f>
        <x:v>4.756516970631361</x:v>
      </x:c>
      <x:c r="AF78" s="48" t="n">
        <x:f>DEGREES((2*PI()/Inputs!$C$13)*Inputs!$C$15*SIN(RADIANS(AE78)))</x:f>
        <x:v>29.851761212069313</x:v>
      </x:c>
      <x:c r="AG78" s="48" t="n">
        <x:f>(Z78/AA78)^4</x:f>
        <x:v>0.9908445817635517</x:v>
      </x:c>
      <x:c r="AH78" s="48" t="n">
        <x:f>10*LOG10(AG78)</x:f>
        <x:v>-0.03994461131091449</x:v>
      </x:c>
      <x:c r="AI78" s="48" t="n">
        <x:f>AC78-F78</x:f>
        <x:v>-258.2123144705247</x:v>
      </x:c>
      <x:c r="AJ78" s="48" t="n">
        <x:f>AD78-G78</x:f>
        <x:v>-3.0662407108155714</x:v>
      </x:c>
      <x:c r="AK78" s="48" t="n">
        <x:f>Y78-X78</x:f>
        <x:v>460.7074365223599</x:v>
      </x:c>
      <x:c r="AL78" s="48" t="n">
        <x:f>1000*(AA79-AA77)/(A79-A77)*Inputs!$C$11</x:f>
        <x:v>-596.369087468247</x:v>
      </x:c>
      <x:c r="AM78" s="48" t="n">
        <x:f>-2*AL78/Inputs!$C$13</x:f>
        <x:v>238.5476349872988</x:v>
      </x:c>
      <x:c r="AN78" s="48" t="n">
        <x:f>-2*AL78/Inputs!$C$14</x:f>
        <x:v>35.81796321130613</x:v>
      </x:c>
      <x:c r="AO78" s="48" t="n">
        <x:f>ABS(AM78)</x:f>
        <x:v>238.5476349872988</x:v>
      </x:c>
      <x:c r="AP78" s="48" t="n">
        <x:f>ABS(AN78)</x:f>
        <x:v>35.81796321130613</x:v>
      </x:c>
      <x:c r="AQ78" s="48" t="n">
        <x:f>IF(OR(Inputs!$C$27=TRUE,Inputs!$C$27="TRUE",Inputs!$C$27=1),Inputs!$C$46/Inputs!$C$12,0)</x:f>
        <x:v>42.13483146067416</x:v>
      </x:c>
      <x:c r="AR78" s="48" t="n">
        <x:f>AC78-AQ78</x:f>
        <x:v>476.05990515632345</x:v>
      </x:c>
      <x:c r="AS78" s="48" t="n">
        <x:f>AC78+AQ78</x:f>
        <x:v>560.3295680776718</x:v>
      </x:c>
    </x:row>
    <x:row r="79">
      <x:c r="A79" s="48" t="n">
        <x:f>Inputs!$C$7+77*(Inputs!$C$8-Inputs!$C$7)/240</x:f>
        <x:v>-21.5</x:v>
      </x:c>
      <x:c r="B79" s="48" t="n">
        <x:f>Inputs!$C$5+Inputs!$C$9*(A79/Inputs!$C$10)^2</x:f>
        <x:v>400.5136111111111</x:v>
      </x:c>
      <x:c r="C79" s="48" t="n">
        <x:f>B79</x:f>
        <x:v>400.5136111111111</x:v>
      </x:c>
      <x:c r="D79" s="48" t="n">
        <x:f>SQRT(A79^2+Inputs!$C$6^2+B79^2)</x:f>
        <x:v>401.868638593835</x:v>
      </x:c>
      <x:c r="E79" s="48" t="n">
        <x:f>(D79-C79)*1000</x:f>
        <x:v>1355.0274827238695</x:v>
      </x:c>
      <x:c r="F79" s="48" t="n">
        <x:f>E79/Inputs!$C$12</x:f>
        <x:v>761.2513947886907</x:v>
      </x:c>
      <x:c r="G79" s="48" t="n">
        <x:f>2*E79/Inputs!$C$21*1000000</x:f>
        <x:v>9.039770324868343</x:v>
      </x:c>
      <x:c r="H79" s="48" t="n">
        <x:f>SQRT(A79^2+Inputs!$C$6^2)</x:f>
        <x:v>32.973474187595095</x:v>
      </x:c>
      <x:c r="I79" s="48" t="n">
        <x:f>DEGREES(ATAN(H79/B79))</x:f>
        <x:v>4.7064313676414065</x:v>
      </x:c>
      <x:c r="J79" s="48" t="n">
        <x:f>DEGREES((2*PI()/Inputs!$C$13)*Inputs!$C$15*SIN(RADIANS(I79)))</x:f>
        <x:v>29.538136514134884</x:v>
      </x:c>
      <x:c r="K79" s="48" t="n">
        <x:f>(C79/D79)^4</x:f>
        <x:v>0.9865807939326916</x:v>
      </x:c>
      <x:c r="L79" s="48" t="n">
        <x:f>10*LOG10(K79)</x:f>
        <x:v>-0.0586734333388145</x:v>
      </x:c>
      <x:c r="M79" s="48" t="n">
        <x:f>2*(Inputs!$C$9/(Inputs!$C$10^2))*A79</x:f>
        <x:v>-0.04777777777777778</x:v>
      </x:c>
      <x:c r="N79" s="48" t="n">
        <x:f>M79*Inputs!$C$11</x:f>
        <x:v>-0.19111111111111112</x:v>
      </x:c>
      <x:c r="O79" s="48" t="n">
        <x:f>1000*((A79*Inputs!$C$11)+(B79*N79))/D79</x:f>
        <x:v>-404.4669964874971</x:v>
      </x:c>
      <x:c r="P79" s="48" t="n">
        <x:f>-2*O79/Inputs!$C$13</x:f>
        <x:v>161.78679859499886</x:v>
      </x:c>
      <x:c r="Q79" s="48" t="n">
        <x:f>-2*O79/Inputs!$C$14</x:f>
        <x:v>24.29231210135118</x:v>
      </x:c>
      <x:c r="R79" s="48" t="n">
        <x:f>F79-Inputs!$C$16/2</x:f>
        <x:v>746.2513947886907</x:v>
      </x:c>
      <x:c r="S79" s="48" t="n">
        <x:f>F79+Inputs!$C$16/2</x:f>
        <x:v>776.2513947886907</x:v>
      </x:c>
      <x:c r="T79" s="48" t="n">
        <x:f>F79-Inputs!$C$17/2</x:f>
        <x:v>611.2513947886907</x:v>
      </x:c>
      <x:c r="U79" s="48" t="n">
        <x:f>F79+Inputs!$C$17/2</x:f>
        <x:v>911.2513947886907</x:v>
      </x:c>
      <x:c r="V79" s="48" t="n">
        <x:f>ABS(P79)</x:f>
        <x:v>161.78679859499886</x:v>
      </x:c>
      <x:c r="W79" s="48" t="n">
        <x:f>ABS(Q79)</x:f>
        <x:v>24.29231210135118</x:v>
      </x:c>
      <x:c r="X79" s="48" t="n">
        <x: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(0.45*SIN(2*PI()*(((A79)/Inputs!$C$49)+Inputs!$C$47*0.137))+0.35*COS(2*PI()*(((0)/Inputs!$C$50)+Inputs!$C$47*0.173))+0.20*SIN(2*PI()*(((A79)+(0))/(0.5*(Inputs!$C$49+Inputs!$C$50))+Inputs!$C$47*0.097)))+0.30*(2*((SIN(((A79)*12.9898+(0)*78.233+Inputs!$C$47*37.719))*43758.5453)-INT((SIN(((A79)*12.9898+(0)*78.233+Inputs!$C$47*37.719))*43758.5453)))-1)))</x:f>
        <x:v>-156.9345481530768</x:v>
      </x:c>
      <x:c r="Y79" s="48" t="n">
        <x: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(0.45*SIN(2*PI()*(((A79)/Inputs!$C$49)+Inputs!$C$47*0.137))+0.35*COS(2*PI()*(((Inputs!$C$6)/Inputs!$C$50)+Inputs!$C$47*0.173))+0.20*SIN(2*PI()*(((A79)+(Inputs!$C$6))/(0.5*(Inputs!$C$49+Inputs!$C$50))+Inputs!$C$47*0.097)))+0.30*(2*((SIN(((A79)*12.9898+(Inputs!$C$6)*78.233+Inputs!$C$47*37.719))*43758.5453)-INT((SIN(((A79)*12.9898+(Inputs!$C$6)*78.233+Inputs!$C$47*37.719))*43758.5453)))-1)))</x:f>
        <x:v>332.44947759769417</x:v>
      </x:c>
      <x:c r="Z79" s="48" t="n">
        <x:f>B79-X79/1000</x:f>
        <x:v>400.6705456592642</x:v>
      </x:c>
      <x:c r="AA79" s="48" t="n">
        <x:f>SQRT(A79^2+Inputs!$C$6^2+(B79-Y79/1000)^2)</x:f>
        <x:v>401.5373110015409</x:v>
      </x:c>
      <x:c r="AB79" s="48" t="n">
        <x:f>(AA79-Z79)*1000</x:f>
        <x:v>866.7653422767216</x:v>
      </x:c>
      <x:c r="AC79" s="48" t="n">
        <x:f>AB79/Inputs!$C$12</x:f>
        <x:v>486.9468215037762</x:v>
      </x:c>
      <x:c r="AD79" s="48" t="n">
        <x:f>2*AB79/Inputs!$C$21*1000000</x:f>
        <x:v>5.7824359429130245</x:v>
      </x:c>
      <x:c r="AE79" s="48" t="n">
        <x:f>DEGREES(ATAN(H79/(B79-Y79/1000)))</x:f>
        <x:v>4.710323637775279</x:v>
      </x:c>
      <x:c r="AF79" s="48" t="n">
        <x:f>DEGREES((2*PI()/Inputs!$C$13)*Inputs!$C$15*SIN(RADIANS(AE79)))</x:f>
        <x:v>29.562509839810836</x:v>
      </x:c>
      <x:c r="AG79" s="48" t="n">
        <x:f>(Z79/AA79)^4</x:f>
        <x:v>0.9913934487941447</x:v>
      </x:c>
      <x:c r="AH79" s="48" t="n">
        <x:f>10*LOG10(AG79)</x:f>
        <x:v>-0.0375395527346748</x:v>
      </x:c>
      <x:c r="AI79" s="48" t="n">
        <x:f>AC79-F79</x:f>
        <x:v>-274.3045732849145</x:v>
      </x:c>
      <x:c r="AJ79" s="48" t="n">
        <x:f>AD79-G79</x:f>
        <x:v>-3.257334381955318</x:v>
      </x:c>
      <x:c r="AK79" s="48" t="n">
        <x:f>Y79-X79</x:f>
        <x:v>489.384025750771</x:v>
      </x:c>
      <x:c r="AL79" s="48" t="n">
        <x:f>1000*(AA80-AA78)/(A80-A78)*Inputs!$C$11</x:f>
        <x:v>-409.8560142572296</x:v>
      </x:c>
      <x:c r="AM79" s="48" t="n">
        <x:f>-2*AL79/Inputs!$C$13</x:f>
        <x:v>163.94240570289185</x:v>
      </x:c>
      <x:c r="AN79" s="48" t="n">
        <x:f>-2*AL79/Inputs!$C$14</x:f>
        <x:v>24.615976832266046</x:v>
      </x:c>
      <x:c r="AO79" s="48" t="n">
        <x:f>ABS(AM79)</x:f>
        <x:v>163.94240570289185</x:v>
      </x:c>
      <x:c r="AP79" s="48" t="n">
        <x:f>ABS(AN79)</x:f>
        <x:v>24.615976832266046</x:v>
      </x:c>
      <x:c r="AQ79" s="48" t="n">
        <x:f>IF(OR(Inputs!$C$27=TRUE,Inputs!$C$27="TRUE",Inputs!$C$27=1),Inputs!$C$46/Inputs!$C$12,0)</x:f>
        <x:v>42.13483146067416</x:v>
      </x:c>
      <x:c r="AR79" s="48" t="n">
        <x:f>AC79-AQ79</x:f>
        <x:v>444.81199004310207</x:v>
      </x:c>
      <x:c r="AS79" s="48" t="n">
        <x:f>AC79+AQ79</x:f>
        <x:v>529.0816529644504</x:v>
      </x:c>
    </x:row>
    <x:row r="80">
      <x:c r="A80" s="48" t="n">
        <x:f>Inputs!$C$7+78*(Inputs!$C$8-Inputs!$C$7)/240</x:f>
        <x:v>-21</x:v>
      </x:c>
      <x:c r="B80" s="48" t="n">
        <x:f>Inputs!$C$5+Inputs!$C$9*(A80/Inputs!$C$10)^2</x:f>
        <x:v>400.49</x:v>
      </x:c>
      <x:c r="C80" s="48" t="n">
        <x:f>B80</x:f>
        <x:v>400.49</x:v>
      </x:c>
      <x:c r="D80" s="48" t="n">
        <x:f>SQRT(A80^2+Inputs!$C$6^2+B80^2)</x:f>
        <x:v>401.81866569386744</x:v>
      </x:c>
      <x:c r="E80" s="48" t="n">
        <x:f>(D80-C80)*1000</x:f>
        <x:v>1328.6656938674355</x:v>
      </x:c>
      <x:c r="F80" s="48" t="n">
        <x:f>E80/Inputs!$C$12</x:f>
        <x:v>746.441401049121</x:v>
      </x:c>
      <x:c r="G80" s="48" t="n">
        <x:f>2*E80/Inputs!$C$21*1000000</x:f>
        <x:v>8.86390339991432</x:v>
      </x:c>
      <x:c r="H80" s="48" t="n">
        <x:f>SQRT(A80^2+Inputs!$C$6^2)</x:f>
        <x:v>32.64965543462902</x:v>
      </x:c>
      <x:c r="I80" s="48" t="n">
        <x:f>DEGREES(ATAN(H80/B80))</x:f>
        <x:v>4.660689610438978</x:v>
      </x:c>
      <x:c r="J80" s="48" t="n">
        <x:f>DEGREES((2*PI()/Inputs!$C$13)*Inputs!$C$15*SIN(RADIANS(I80)))</x:f>
        <x:v>29.251692268127087</x:v>
      </x:c>
      <x:c r="K80" s="48" t="n">
        <x:f>(C80/D80)^4</x:f>
        <x:v>0.9868389379275482</x:v>
      </x:c>
      <x:c r="L80" s="48" t="n">
        <x:f>10*LOG10(K80)</x:f>
        <x:v>-0.057537227884575506</x:v>
      </x:c>
      <x:c r="M80" s="48" t="n">
        <x:f>2*(Inputs!$C$9/(Inputs!$C$10^2))*A80</x:f>
        <x:v>-0.04666666666666667</x:v>
      </x:c>
      <x:c r="N80" s="48" t="n">
        <x:f>M80*Inputs!$C$11</x:f>
        <x:v>-0.18666666666666668</x:v>
      </x:c>
      <x:c r="O80" s="48" t="n">
        <x:f>1000*((A80*Inputs!$C$11)+(B80*N80))/D80</x:f>
        <x:v>-395.09895106337837</x:v>
      </x:c>
      <x:c r="P80" s="48" t="n">
        <x:f>-2*O80/Inputs!$C$13</x:f>
        <x:v>158.03958042535135</x:v>
      </x:c>
      <x:c r="Q80" s="48" t="n">
        <x:f>-2*O80/Inputs!$C$14</x:f>
        <x:v>23.729666730533236</x:v>
      </x:c>
      <x:c r="R80" s="48" t="n">
        <x:f>F80-Inputs!$C$16/2</x:f>
        <x:v>731.441401049121</x:v>
      </x:c>
      <x:c r="S80" s="48" t="n">
        <x:f>F80+Inputs!$C$16/2</x:f>
        <x:v>761.441401049121</x:v>
      </x:c>
      <x:c r="T80" s="48" t="n">
        <x:f>F80-Inputs!$C$17/2</x:f>
        <x:v>596.441401049121</x:v>
      </x:c>
      <x:c r="U80" s="48" t="n">
        <x:f>F80+Inputs!$C$17/2</x:f>
        <x:v>896.441401049121</x:v>
      </x:c>
      <x:c r="V80" s="48" t="n">
        <x:f>ABS(P80)</x:f>
        <x:v>158.03958042535135</x:v>
      </x:c>
      <x:c r="W80" s="48" t="n">
        <x:f>ABS(Q80)</x:f>
        <x:v>23.729666730533236</x:v>
      </x:c>
      <x:c r="X80" s="48" t="n">
        <x: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(0.45*SIN(2*PI()*(((A80)/Inputs!$C$49)+Inputs!$C$47*0.137))+0.35*COS(2*PI()*(((0)/Inputs!$C$50)+Inputs!$C$47*0.173))+0.20*SIN(2*PI()*(((A80)+(0))/(0.5*(Inputs!$C$49+Inputs!$C$50))+Inputs!$C$47*0.097)))+0.30*(2*((SIN(((A80)*12.9898+(0)*78.233+Inputs!$C$47*37.719))*43758.5453)-INT((SIN(((A80)*12.9898+(0)*78.233+Inputs!$C$47*37.719))*43758.5453)))-1)))</x:f>
        <x:v>-142.37794992196604</x:v>
      </x:c>
      <x:c r="Y80" s="48" t="n">
        <x: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(0.45*SIN(2*PI()*(((A80)/Inputs!$C$49)+Inputs!$C$47*0.137))+0.35*COS(2*PI()*(((Inputs!$C$6)/Inputs!$C$50)+Inputs!$C$47*0.173))+0.20*SIN(2*PI()*(((A80)+(Inputs!$C$6))/(0.5*(Inputs!$C$49+Inputs!$C$50))+Inputs!$C$47*0.097)))+0.30*(2*((SIN(((A80)*12.9898+(Inputs!$C$6)*78.233+Inputs!$C$47*37.719))*43758.5453)-INT((SIN(((A80)*12.9898+(Inputs!$C$6)*78.233+Inputs!$C$47*37.719))*43758.5453)))-1)))</x:f>
        <x:v>317.91812880175183</x:v>
      </x:c>
      <x:c r="Z80" s="48" t="n">
        <x:f>B80-X80/1000</x:f>
        <x:v>400.632377949922</x:v>
      </x:c>
      <x:c r="AA80" s="48" t="n">
        <x:f>SQRT(A80^2+Inputs!$C$6^2+(B80-Y80/1000)^2)</x:f>
        <x:v>401.5017996337364</x:v>
      </x:c>
      <x:c r="AB80" s="48" t="n">
        <x:f>(AA80-Z80)*1000</x:f>
        <x:v>869.4216838144371</x:v>
      </x:c>
      <x:c r="AC80" s="48" t="n">
        <x:f>AB80/Inputs!$C$12</x:f>
        <x:v>488.4391482103579</x:v>
      </x:c>
      <x:c r="AD80" s="48" t="n">
        <x:f>2*AB80/Inputs!$C$21*1000000</x:f>
        <x:v>5.800157146144331</x:v>
      </x:c>
      <x:c r="AE80" s="48" t="n">
        <x:f>DEGREES(ATAN(H80/(B80-Y80/1000)))</x:f>
        <x:v>4.664375980457269</x:v>
      </x:c>
      <x:c r="AF80" s="48" t="n">
        <x:f>DEGREES((2*PI()/Inputs!$C$13)*Inputs!$C$15*SIN(RADIANS(AE80)))</x:f>
        <x:v>29.274777764853685</x:v>
      </x:c>
      <x:c r="AG80" s="48" t="n">
        <x:f>(Z80/AA80)^4</x:f>
        <x:v>0.9913663972701059</x:v>
      </x:c>
      <x:c r="AH80" s="48" t="n">
        <x:f>10*LOG10(AG80)</x:f>
        <x:v>-0.0376580575313216</x:v>
      </x:c>
      <x:c r="AI80" s="48" t="n">
        <x:f>AC80-F80</x:f>
        <x:v>-258.0022528387631</x:v>
      </x:c>
      <x:c r="AJ80" s="48" t="n">
        <x:f>AD80-G80</x:f>
        <x:v>-3.06374625376999</x:v>
      </x:c>
      <x:c r="AK80" s="48" t="n">
        <x:f>Y80-X80</x:f>
        <x:v>460.29607872371787</x:v>
      </x:c>
      <x:c r="AL80" s="48" t="n">
        <x:f>1000*(AA81-AA79)/(A81-A79)*Inputs!$C$11</x:f>
        <x:v>-438.8495399052772</x:v>
      </x:c>
      <x:c r="AM80" s="48" t="n">
        <x:f>-2*AL80/Inputs!$C$13</x:f>
        <x:v>175.53981596211088</x:v>
      </x:c>
      <x:c r="AN80" s="48" t="n">
        <x:f>-2*AL80/Inputs!$C$14</x:f>
        <x:v>26.357329724040675</x:v>
      </x:c>
      <x:c r="AO80" s="48" t="n">
        <x:f>ABS(AM80)</x:f>
        <x:v>175.53981596211088</x:v>
      </x:c>
      <x:c r="AP80" s="48" t="n">
        <x:f>ABS(AN80)</x:f>
        <x:v>26.357329724040675</x:v>
      </x:c>
      <x:c r="AQ80" s="48" t="n">
        <x:f>IF(OR(Inputs!$C$27=TRUE,Inputs!$C$27="TRUE",Inputs!$C$27=1),Inputs!$C$46/Inputs!$C$12,0)</x:f>
        <x:v>42.13483146067416</x:v>
      </x:c>
      <x:c r="AR80" s="48" t="n">
        <x:f>AC80-AQ80</x:f>
        <x:v>446.3043167496838</x:v>
      </x:c>
      <x:c r="AS80" s="48" t="n">
        <x:f>AC80+AQ80</x:f>
        <x:v>530.5739796710321</x:v>
      </x:c>
    </x:row>
    <x:row r="81">
      <x:c r="A81" s="48" t="n">
        <x:f>Inputs!$C$7+79*(Inputs!$C$8-Inputs!$C$7)/240</x:f>
        <x:v>-20.5</x:v>
      </x:c>
      <x:c r="B81" s="48" t="n">
        <x:f>Inputs!$C$5+Inputs!$C$9*(A81/Inputs!$C$10)^2</x:f>
        <x:v>400.46694444444444</x:v>
      </x:c>
      <x:c r="C81" s="48" t="n">
        <x:f>B81</x:f>
        <x:v>400.46694444444444</x:v>
      </x:c>
      <x:c r="D81" s="48" t="n">
        <x:f>SQRT(A81^2+Inputs!$C$6^2+B81^2)</x:f>
        <x:v>401.76986396775675</x:v>
      </x:c>
      <x:c r="E81" s="48" t="n">
        <x:f>(D81-C81)*1000</x:f>
        <x:v>1302.9195233123119</x:v>
      </x:c>
      <x:c r="F81" s="48" t="n">
        <x:f>E81/Inputs!$C$12</x:f>
        <x:v>731.9772602878156</x:v>
      </x:c>
      <x:c r="G81" s="48" t="n">
        <x:f>2*E81/Inputs!$C$21*1000000</x:f>
        <x:v>8.692143438193577</x:v>
      </x:c>
      <x:c r="H81" s="48" t="n">
        <x:f>SQRT(A81^2+Inputs!$C$6^2)</x:f>
        <x:v>32.33032632065442</x:v>
      </x:c>
      <x:c r="I81" s="48" t="n">
        <x:f>DEGREES(ATAN(H81/B81))</x:f>
        <x:v>4.61556831369344</x:v>
      </x:c>
      <x:c r="J81" s="48" t="n">
        <x:f>DEGREES((2*PI()/Inputs!$C$13)*Inputs!$C$15*SIN(RADIANS(I81)))</x:f>
        <x:v>28.96911520563834</x:v>
      </x:c>
      <x:c r="K81" s="48" t="n">
        <x:f>(C81/D81)^4</x:f>
        <x:v>0.9870911646003662</x:v>
      </x:c>
      <x:c r="L81" s="48" t="n">
        <x:f>10*LOG10(K81)</x:f>
        <x:v>-0.0564273542102285</x:v>
      </x:c>
      <x:c r="M81" s="48" t="n">
        <x:f>2*(Inputs!$C$9/(Inputs!$C$10^2))*A81</x:f>
        <x:v>-0.04555555555555556</x:v>
      </x:c>
      <x:c r="N81" s="48" t="n">
        <x:f>M81*Inputs!$C$11</x:f>
        <x:v>-0.18222222222222223</x:v>
      </x:c>
      <x:c r="O81" s="48" t="n">
        <x:f>1000*((A81*Inputs!$C$11)+(B81*N81))/D81</x:f>
        <x:v>-385.7282251404675</x:v>
      </x:c>
      <x:c r="P81" s="48" t="n">
        <x:f>-2*O81/Inputs!$C$13</x:f>
        <x:v>154.291290056187</x:v>
      </x:c>
      <x:c r="Q81" s="48" t="n">
        <x:f>-2*O81/Inputs!$C$14</x:f>
        <x:v>23.166860368796847</x:v>
      </x:c>
      <x:c r="R81" s="48" t="n">
        <x:f>F81-Inputs!$C$16/2</x:f>
        <x:v>716.9772602878156</x:v>
      </x:c>
      <x:c r="S81" s="48" t="n">
        <x:f>F81+Inputs!$C$16/2</x:f>
        <x:v>746.9772602878156</x:v>
      </x:c>
      <x:c r="T81" s="48" t="n">
        <x:f>F81-Inputs!$C$17/2</x:f>
        <x:v>581.9772602878156</x:v>
      </x:c>
      <x:c r="U81" s="48" t="n">
        <x:f>F81+Inputs!$C$17/2</x:f>
        <x:v>881.9772602878156</x:v>
      </x:c>
      <x:c r="V81" s="48" t="n">
        <x:f>ABS(P81)</x:f>
        <x:v>154.291290056187</x:v>
      </x:c>
      <x:c r="W81" s="48" t="n">
        <x:f>ABS(Q81)</x:f>
        <x:v>23.166860368796847</x:v>
      </x:c>
      <x:c r="X81" s="48" t="n">
        <x: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(0.45*SIN(2*PI()*(((A81)/Inputs!$C$49)+Inputs!$C$47*0.137))+0.35*COS(2*PI()*(((0)/Inputs!$C$50)+Inputs!$C$47*0.173))+0.20*SIN(2*PI()*(((A81)+(0))/(0.5*(Inputs!$C$49+Inputs!$C$50))+Inputs!$C$47*0.097)))+0.30*(2*((SIN(((A81)*12.9898+(0)*78.233+Inputs!$C$47*37.719))*43758.5453)-INT((SIN(((A81)*12.9898+(0)*78.233+Inputs!$C$47*37.719))*43758.5453)))-1)))</x:f>
        <x:v>-140.5508651158499</x:v>
      </x:c>
      <x:c r="Y81" s="48" t="n">
        <x: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(0.45*SIN(2*PI()*(((A81)/Inputs!$C$49)+Inputs!$C$47*0.137))+0.35*COS(2*PI()*(((Inputs!$C$6)/Inputs!$C$50)+Inputs!$C$47*0.173))+0.20*SIN(2*PI()*(((A81)+(Inputs!$C$6))/(0.5*(Inputs!$C$49+Inputs!$C$50))+Inputs!$C$47*0.097)))+0.30*(2*((SIN(((A81)*12.9898+(Inputs!$C$6)*78.233+Inputs!$C$47*37.719))*43758.5453)-INT((SIN(((A81)*12.9898+(Inputs!$C$6)*78.233+Inputs!$C$47*37.719))*43758.5453)))-1)))</x:f>
        <x:v>343.37986587370784</x:v>
      </x:c>
      <x:c r="Z81" s="48" t="n">
        <x:f>B81-X81/1000</x:f>
        <x:v>400.6074953095603</x:v>
      </x:c>
      <x:c r="AA81" s="48" t="n">
        <x:f>SQRT(A81^2+Inputs!$C$6^2+(B81-Y81/1000)^2)</x:f>
        <x:v>401.4275986165646</x:v>
      </x:c>
      <x:c r="AB81" s="48" t="n">
        <x:f>(AA81-Z81)*1000</x:f>
        <x:v>820.103307004274</x:v>
      </x:c>
      <x:c r="AC81" s="48" t="n">
        <x:f>AB81/Inputs!$C$12</x:f>
        <x:v>460.73219494622134</x:v>
      </x:c>
      <x:c r="AD81" s="48" t="n">
        <x:f>2*AB81/Inputs!$C$21*1000000</x:f>
        <x:v>5.471140351397859</x:v>
      </x:c>
      <x:c r="AE81" s="48" t="n">
        <x:f>DEGREES(ATAN(H81/(B81-Y81/1000)))</x:f>
        <x:v>4.619512187062934</x:v>
      </x:c>
      <x:c r="AF81" s="48" t="n">
        <x:f>DEGREES((2*PI()/Inputs!$C$13)*Inputs!$C$15*SIN(RADIANS(AE81)))</x:f>
        <x:v>28.993814863618404</x:v>
      </x:c>
      <x:c r="AG81" s="48" t="n">
        <x:f>(Z81/AA81)^4</x:f>
        <x:v>0.9918531404910619</x:v>
      </x:c>
      <x:c r="AH81" s="48" t="n">
        <x:f>10*LOG10(AG81)</x:f>
        <x:v>-0.035526272369018404</x:v>
      </x:c>
      <x:c r="AI81" s="48" t="n">
        <x:f>AC81-F81</x:f>
        <x:v>-271.2450653415943</x:v>
      </x:c>
      <x:c r="AJ81" s="48" t="n">
        <x:f>AD81-G81</x:f>
        <x:v>-3.221003086795718</x:v>
      </x:c>
      <x:c r="AK81" s="48" t="n">
        <x:f>Y81-X81</x:f>
        <x:v>483.93073098955773</x:v>
      </x:c>
      <x:c r="AL81" s="48" t="n">
        <x:f>1000*(AA82-AA80)/(A82-A80)*Inputs!$C$11</x:f>
        <x:v>-466.59073148748575</x:v>
      </x:c>
      <x:c r="AM81" s="48" t="n">
        <x:f>-2*AL81/Inputs!$C$13</x:f>
        <x:v>186.6362925949943</x:v>
      </x:c>
      <x:c r="AN81" s="48" t="n">
        <x:f>-2*AL81/Inputs!$C$14</x:f>
        <x:v>28.023467356605753</x:v>
      </x:c>
      <x:c r="AO81" s="48" t="n">
        <x:f>ABS(AM81)</x:f>
        <x:v>186.6362925949943</x:v>
      </x:c>
      <x:c r="AP81" s="48" t="n">
        <x:f>ABS(AN81)</x:f>
        <x:v>28.023467356605753</x:v>
      </x:c>
      <x:c r="AQ81" s="48" t="n">
        <x:f>IF(OR(Inputs!$C$27=TRUE,Inputs!$C$27="TRUE",Inputs!$C$27=1),Inputs!$C$46/Inputs!$C$12,0)</x:f>
        <x:v>42.13483146067416</x:v>
      </x:c>
      <x:c r="AR81" s="48" t="n">
        <x:f>AC81-AQ81</x:f>
        <x:v>418.5973634855472</x:v>
      </x:c>
      <x:c r="AS81" s="48" t="n">
        <x:f>AC81+AQ81</x:f>
        <x:v>502.8670264068955</x:v>
      </x:c>
    </x:row>
    <x:row r="82">
      <x:c r="A82" s="48" t="n">
        <x:f>Inputs!$C$7+80*(Inputs!$C$8-Inputs!$C$7)/240</x:f>
        <x:v>-20</x:v>
      </x:c>
      <x:c r="B82" s="48" t="n">
        <x:f>Inputs!$C$5+Inputs!$C$9*(A82/Inputs!$C$10)^2</x:f>
        <x:v>400.44444444444446</x:v>
      </x:c>
      <x:c r="C82" s="48" t="n">
        <x:f>B82</x:f>
        <x:v>400.44444444444446</x:v>
      </x:c>
      <x:c r="D82" s="48" t="n">
        <x:f>SQRT(A82^2+Inputs!$C$6^2+B82^2)</x:f>
        <x:v>401.722233746677</x:v>
      </x:c>
      <x:c r="E82" s="48" t="n">
        <x:f>(D82-C82)*1000</x:f>
        <x:v>1277.7893022325202</x:v>
      </x:c>
      <x:c r="F82" s="48" t="n">
        <x:f>E82/Inputs!$C$12</x:f>
        <x:v>717.8591585575956</x:v>
      </x:c>
      <x:c r="G82" s="48" t="n">
        <x:f>2*E82/Inputs!$C$21*1000000</x:f>
        <x:v>8.524492649061374</x:v>
      </x:c>
      <x:c r="H82" s="48" t="n">
        <x:f>SQRT(A82^2+Inputs!$C$6^2)</x:f>
        <x:v>32.01562118716424</x:v>
      </x:c>
      <x:c r="I82" s="48" t="n">
        <x:f>DEGREES(ATAN(H82/B82))</x:f>
        <x:v>4.571087167996556</x:v>
      </x:c>
      <x:c r="J82" s="48" t="n">
        <x:f>DEGREES((2*PI()/Inputs!$C$13)*Inputs!$C$15*SIN(RADIANS(I82)))</x:f>
        <x:v>28.69052957284685</x:v>
      </x:c>
      <x:c r="K82" s="48" t="n">
        <x:f>(C82/D82)^4</x:f>
        <x:v>0.98733746288823</x:v>
      </x:c>
      <x:c r="L82" s="48" t="n">
        <x:f>10*LOG10(K82)</x:f>
        <x:v>-0.0553438408698413</x:v>
      </x:c>
      <x:c r="M82" s="48" t="n">
        <x:f>2*(Inputs!$C$9/(Inputs!$C$10^2))*A82</x:f>
        <x:v>-0.044444444444444446</x:v>
      </x:c>
      <x:c r="N82" s="48" t="n">
        <x:f>M82*Inputs!$C$11</x:f>
        <x:v>-0.17777777777777778</x:v>
      </x:c>
      <x:c r="O82" s="48" t="n">
        <x:f>1000*((A82*Inputs!$C$11)+(B82*N82))/D82</x:f>
        <x:v>-376.35488095022765</x:v>
      </x:c>
      <x:c r="P82" s="48" t="n">
        <x:f>-2*O82/Inputs!$C$13</x:f>
        <x:v>150.54195238009106</x:v>
      </x:c>
      <x:c r="Q82" s="48" t="n">
        <x:f>-2*O82/Inputs!$C$14</x:f>
        <x:v>22.60389675376743</x:v>
      </x:c>
      <x:c r="R82" s="48" t="n">
        <x:f>F82-Inputs!$C$16/2</x:f>
        <x:v>702.8591585575956</x:v>
      </x:c>
      <x:c r="S82" s="48" t="n">
        <x:f>F82+Inputs!$C$16/2</x:f>
        <x:v>732.8591585575956</x:v>
      </x:c>
      <x:c r="T82" s="48" t="n">
        <x:f>F82-Inputs!$C$17/2</x:f>
        <x:v>567.8591585575956</x:v>
      </x:c>
      <x:c r="U82" s="48" t="n">
        <x:f>F82+Inputs!$C$17/2</x:f>
        <x:v>867.8591585575956</x:v>
      </x:c>
      <x:c r="V82" s="48" t="n">
        <x:f>ABS(P82)</x:f>
        <x:v>150.54195238009106</x:v>
      </x:c>
      <x:c r="W82" s="48" t="n">
        <x:f>ABS(Q82)</x:f>
        <x:v>22.60389675376743</x:v>
      </x:c>
      <x:c r="X82" s="48" t="n">
        <x: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(0.45*SIN(2*PI()*(((A82)/Inputs!$C$49)+Inputs!$C$47*0.137))+0.35*COS(2*PI()*(((0)/Inputs!$C$50)+Inputs!$C$47*0.173))+0.20*SIN(2*PI()*(((A82)+(0))/(0.5*(Inputs!$C$49+Inputs!$C$50))+Inputs!$C$47*0.097)))+0.30*(2*((SIN(((A82)*12.9898+(0)*78.233+Inputs!$C$47*37.719))*43758.5453)-INT((SIN(((A82)*12.9898+(0)*78.233+Inputs!$C$47*37.719))*43758.5453)))-1)))</x:f>
        <x:v>-146.32822187126578</x:v>
      </x:c>
      <x:c r="Y82" s="48" t="n">
        <x: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(0.45*SIN(2*PI()*(((A82)/Inputs!$C$49)+Inputs!$C$47*0.137))+0.35*COS(2*PI()*(((Inputs!$C$6)/Inputs!$C$50)+Inputs!$C$47*0.173))+0.20*SIN(2*PI()*(((A82)+(Inputs!$C$6))/(0.5*(Inputs!$C$49+Inputs!$C$50))+Inputs!$C$47*0.097)))+0.30*(2*((SIN(((A82)*12.9898+(Inputs!$C$6)*78.233+Inputs!$C$47*37.719))*43758.5453)-INT((SIN(((A82)*12.9898+(Inputs!$C$6)*78.233+Inputs!$C$47*37.719))*43758.5453)))-1)))</x:f>
        <x:v>338.15830709992554</x:v>
      </x:c>
      <x:c r="Z82" s="48" t="n">
        <x:f>B82-X82/1000</x:f>
        <x:v>400.59077266631573</x:v>
      </x:c>
      <x:c r="AA82" s="48" t="n">
        <x:f>SQRT(A82^2+Inputs!$C$6^2+(B82-Y82/1000)^2)</x:f>
        <x:v>401.38515195086455</x:v>
      </x:c>
      <x:c r="AB82" s="48" t="n">
        <x:f>(AA82-Z82)*1000</x:f>
        <x:v>794.3792845488247</x:v>
      </x:c>
      <x:c r="AC82" s="48" t="n">
        <x:f>AB82/Inputs!$C$12</x:f>
        <x:v>446.28049693754195</x:v>
      </x:c>
      <x:c r="AD82" s="48" t="n">
        <x:f>2*AB82/Inputs!$C$21*1000000</x:f>
        <x:v>5.299528145893682</x:v>
      </x:c>
      <x:c r="AE82" s="48" t="n">
        <x:f>DEGREES(ATAN(H82/(B82-Y82/1000)))</x:f>
        <x:v>4.574934126079314</x:v>
      </x:c>
      <x:c r="AF82" s="48" t="n">
        <x:f>DEGREES((2*PI()/Inputs!$C$13)*Inputs!$C$15*SIN(RADIANS(AE82)))</x:f>
        <x:v>28.714623775595047</x:v>
      </x:c>
      <x:c r="AG82" s="48" t="n">
        <x:f>(Z82/AA82)^4</x:f>
        <x:v>0.9921070905320862</x:v>
      </x:c>
      <x:c r="AH82" s="48" t="n">
        <x:f>10*LOG10(AG82)</x:f>
        <x:v>-0.0344144647795947</x:v>
      </x:c>
      <x:c r="AI82" s="48" t="n">
        <x:f>AC82-F82</x:f>
        <x:v>-271.57866162005365</x:v>
      </x:c>
      <x:c r="AJ82" s="48" t="n">
        <x:f>AD82-G82</x:f>
        <x:v>-3.2249645031676923</x:v>
      </x:c>
      <x:c r="AK82" s="48" t="n">
        <x:f>Y82-X82</x:f>
        <x:v>484.4865289711913</x:v>
      </x:c>
      <x:c r="AL82" s="48" t="n">
        <x:f>1000*(AA83-AA81)/(A83-A81)*Inputs!$C$11</x:f>
        <x:v>-458.00653411788517</x:v>
      </x:c>
      <x:c r="AM82" s="48" t="n">
        <x:f>-2*AL82/Inputs!$C$13</x:f>
        <x:v>183.20261364715407</x:v>
      </x:c>
      <x:c r="AN82" s="48" t="n">
        <x:f>-2*AL82/Inputs!$C$14</x:f>
        <x:v>27.50789994702013</x:v>
      </x:c>
      <x:c r="AO82" s="48" t="n">
        <x:f>ABS(AM82)</x:f>
        <x:v>183.20261364715407</x:v>
      </x:c>
      <x:c r="AP82" s="48" t="n">
        <x:f>ABS(AN82)</x:f>
        <x:v>27.50789994702013</x:v>
      </x:c>
      <x:c r="AQ82" s="48" t="n">
        <x:f>IF(OR(Inputs!$C$27=TRUE,Inputs!$C$27="TRUE",Inputs!$C$27=1),Inputs!$C$46/Inputs!$C$12,0)</x:f>
        <x:v>42.13483146067416</x:v>
      </x:c>
      <x:c r="AR82" s="48" t="n">
        <x:f>AC82-AQ82</x:f>
        <x:v>404.1456654768678</x:v>
      </x:c>
      <x:c r="AS82" s="48" t="n">
        <x:f>AC82+AQ82</x:f>
        <x:v>488.4153283982161</x:v>
      </x:c>
    </x:row>
    <x:row r="83">
      <x:c r="A83" s="48" t="n">
        <x:f>Inputs!$C$7+81*(Inputs!$C$8-Inputs!$C$7)/240</x:f>
        <x:v>-19.5</x:v>
      </x:c>
      <x:c r="B83" s="48" t="n">
        <x:f>Inputs!$C$5+Inputs!$C$9*(A83/Inputs!$C$10)^2</x:f>
        <x:v>400.4225</x:v>
      </x:c>
      <x:c r="C83" s="48" t="n">
        <x:f>B83</x:f>
        <x:v>400.4225</x:v>
      </x:c>
      <x:c r="D83" s="48" t="n">
        <x:f>SQRT(A83^2+Inputs!$C$6^2+B83^2)</x:f>
        <x:v>401.6757753540161</x:v>
      </x:c>
      <x:c r="E83" s="48" t="n">
        <x:f>(D83-C83)*1000</x:f>
        <x:v>1253.2753540160684</x:v>
      </x:c>
      <x:c r="F83" s="48" t="n">
        <x:f>E83/Inputs!$C$12</x:f>
        <x:v>704.0872775371171</x:v>
      </x:c>
      <x:c r="G83" s="48" t="n">
        <x:f>2*E83/Inputs!$C$21*1000000</x:f>
        <x:v>8.360953189930271</x:v>
      </x:c>
      <x:c r="H83" s="48" t="n">
        <x:f>SQRT(A83^2+Inputs!$C$6^2)</x:f>
        <x:v>31.70567772497538</x:v>
      </x:c>
      <x:c r="I83" s="48" t="n">
        <x:f>DEGREES(ATAN(H83/B83))</x:f>
        <x:v>4.527266340904271</x:v>
      </x:c>
      <x:c r="J83" s="48" t="n">
        <x:f>DEGREES((2*PI()/Inputs!$C$13)*Inputs!$C$15*SIN(RADIANS(I83)))</x:f>
        <x:v>28.416062609031858</x:v>
      </x:c>
      <x:c r="K83" s="48" t="n">
        <x:f>(C83/D83)^4</x:f>
        <x:v>0.9875778219796632</x:v>
      </x:c>
      <x:c r="L83" s="48" t="n">
        <x:f>10*LOG10(K83)</x:f>
        <x:v>-0.0542867157526281</x:v>
      </x:c>
      <x:c r="M83" s="48" t="n">
        <x:f>2*(Inputs!$C$9/(Inputs!$C$10^2))*A83</x:f>
        <x:v>-0.043333333333333335</x:v>
      </x:c>
      <x:c r="N83" s="48" t="n">
        <x:f>M83*Inputs!$C$11</x:f>
        <x:v>-0.17333333333333334</x:v>
      </x:c>
      <x:c r="O83" s="48" t="n">
        <x:f>1000*((A83*Inputs!$C$11)+(B83*N83))/D83</x:f>
        <x:v>-366.9789808378416</x:v>
      </x:c>
      <x:c r="P83" s="48" t="n">
        <x:f>-2*O83/Inputs!$C$13</x:f>
        <x:v>146.79159233513664</x:v>
      </x:c>
      <x:c r="Q83" s="48" t="n">
        <x:f>-2*O83/Inputs!$C$14</x:f>
        <x:v>22.0407796299004</x:v>
      </x:c>
      <x:c r="R83" s="48" t="n">
        <x:f>F83-Inputs!$C$16/2</x:f>
        <x:v>689.0872775371171</x:v>
      </x:c>
      <x:c r="S83" s="48" t="n">
        <x:f>F83+Inputs!$C$16/2</x:f>
        <x:v>719.0872775371171</x:v>
      </x:c>
      <x:c r="T83" s="48" t="n">
        <x:f>F83-Inputs!$C$17/2</x:f>
        <x:v>554.0872775371171</x:v>
      </x:c>
      <x:c r="U83" s="48" t="n">
        <x:f>F83+Inputs!$C$17/2</x:f>
        <x:v>854.0872775371171</x:v>
      </x:c>
      <x:c r="V83" s="48" t="n">
        <x:f>ABS(P83)</x:f>
        <x:v>146.79159233513664</x:v>
      </x:c>
      <x:c r="W83" s="48" t="n">
        <x:f>ABS(Q83)</x:f>
        <x:v>22.0407796299004</x:v>
      </x:c>
      <x:c r="X83" s="48" t="n">
        <x: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(0.45*SIN(2*PI()*(((A83)/Inputs!$C$49)+Inputs!$C$47*0.137))+0.35*COS(2*PI()*(((0)/Inputs!$C$50)+Inputs!$C$47*0.173))+0.20*SIN(2*PI()*(((A83)+(0))/(0.5*(Inputs!$C$49+Inputs!$C$50))+Inputs!$C$47*0.097)))+0.30*(2*((SIN(((A83)*12.9898+(0)*78.233+Inputs!$C$47*37.719))*43758.5453)-INT((SIN(((A83)*12.9898+(0)*78.233+Inputs!$C$47*37.719))*43758.5453)))-1)))</x:f>
        <x:v>-140.0483381286437</x:v>
      </x:c>
      <x:c r="Y83" s="48" t="n">
        <x: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(0.45*SIN(2*PI()*(((A83)/Inputs!$C$49)+Inputs!$C$47*0.137))+0.35*COS(2*PI()*(((Inputs!$C$6)/Inputs!$C$50)+Inputs!$C$47*0.173))+0.20*SIN(2*PI()*(((A83)+(Inputs!$C$6))/(0.5*(Inputs!$C$49+Inputs!$C$50))+Inputs!$C$47*0.097)))+0.30*(2*((SIN(((A83)*12.9898+(Inputs!$C$6)*78.233+Inputs!$C$47*37.719))*43758.5453)-INT((SIN(((A83)*12.9898+(Inputs!$C$6)*78.233+Inputs!$C$47*37.719))*43758.5453)))-1)))</x:f>
        <x:v>363.81454233496186</x:v>
      </x:c>
      <x:c r="Z83" s="48" t="n">
        <x:f>B83-X83/1000</x:f>
        <x:v>400.56254833812864</x:v>
      </x:c>
      <x:c r="AA83" s="48" t="n">
        <x:f>SQRT(A83^2+Inputs!$C$6^2+(B83-Y83/1000)^2)</x:f>
        <x:v>401.3130969830351</x:v>
      </x:c>
      <x:c r="AB83" s="48" t="n">
        <x:f>(AA83-Z83)*1000</x:f>
        <x:v>750.5486449064733</x:v>
      </x:c>
      <x:c r="AC83" s="48" t="n">
        <x:f>AB83/Inputs!$C$12</x:f>
        <x:v>421.65654208228835</x:v>
      </x:c>
      <x:c r="AD83" s="48" t="n">
        <x:f>2*AB83/Inputs!$C$21*1000000</x:f>
        <x:v>5.007121592808538</x:v>
      </x:c>
      <x:c r="AE83" s="48" t="n">
        <x:f>DEGREES(ATAN(H83/(B83-Y83/1000)))</x:f>
        <x:v>4.531366311615746</x:v>
      </x:c>
      <x:c r="AF83" s="48" t="n">
        <x:f>DEGREES((2*PI()/Inputs!$C$13)*Inputs!$C$15*SIN(RADIANS(AE83)))</x:f>
        <x:v>28.441743035048873</x:v>
      </x:c>
      <x:c r="AG83" s="48" t="n">
        <x:f>(Z83/AA83)^4</x:f>
        <x:v>0.992540031967322</x:v>
      </x:c>
      <x:c r="AH83" s="48" t="n">
        <x:f>10*LOG10(AG83)</x:f>
        <x:v>-0.032519678777981495</x:v>
      </x:c>
      <x:c r="AI83" s="48" t="n">
        <x:f>AC83-F83</x:f>
        <x:v>-282.4307354548287</x:v>
      </x:c>
      <x:c r="AJ83" s="48" t="n">
        <x:f>AD83-G83</x:f>
        <x:v>-3.353831597121733</x:v>
      </x:c>
      <x:c r="AK83" s="48" t="n">
        <x:f>Y83-X83</x:f>
        <x:v>503.86288046360556</x:v>
      </x:c>
      <x:c r="AL83" s="48" t="n">
        <x:f>1000*(AA84-AA82)/(A84-A82)*Inputs!$C$11</x:f>
        <x:v>-498.84810512912736</x:v>
      </x:c>
      <x:c r="AM83" s="48" t="n">
        <x:f>-2*AL83/Inputs!$C$13</x:f>
        <x:v>199.53924205165094</x:v>
      </x:c>
      <x:c r="AN83" s="48" t="n">
        <x:f>-2*AL83/Inputs!$C$14</x:f>
        <x:v>29.960847154902545</x:v>
      </x:c>
      <x:c r="AO83" s="48" t="n">
        <x:f>ABS(AM83)</x:f>
        <x:v>199.53924205165094</x:v>
      </x:c>
      <x:c r="AP83" s="48" t="n">
        <x:f>ABS(AN83)</x:f>
        <x:v>29.960847154902545</x:v>
      </x:c>
      <x:c r="AQ83" s="48" t="n">
        <x:f>IF(OR(Inputs!$C$27=TRUE,Inputs!$C$27="TRUE",Inputs!$C$27=1),Inputs!$C$46/Inputs!$C$12,0)</x:f>
        <x:v>42.13483146067416</x:v>
      </x:c>
      <x:c r="AR83" s="48" t="n">
        <x:f>AC83-AQ83</x:f>
        <x:v>379.5217106216142</x:v>
      </x:c>
      <x:c r="AS83" s="48" t="n">
        <x:f>AC83+AQ83</x:f>
        <x:v>463.7913735429625</x:v>
      </x:c>
    </x:row>
    <x:row r="84">
      <x:c r="A84" s="48" t="n">
        <x:f>Inputs!$C$7+82*(Inputs!$C$8-Inputs!$C$7)/240</x:f>
        <x:v>-19</x:v>
      </x:c>
      <x:c r="B84" s="48" t="n">
        <x:f>Inputs!$C$5+Inputs!$C$9*(A84/Inputs!$C$10)^2</x:f>
        <x:v>400.4011111111111</x:v>
      </x:c>
      <x:c r="C84" s="48" t="n">
        <x:f>B84</x:f>
        <x:v>400.4011111111111</x:v>
      </x:c>
      <x:c r="D84" s="48" t="n">
        <x:f>SQRT(A84^2+Inputs!$C$6^2+B84^2)</x:f>
        <x:v>401.630489105362</x:v>
      </x:c>
      <x:c r="E84" s="48" t="n">
        <x:f>(D84-C84)*1000</x:f>
        <x:v>1229.3779942509104</x:v>
      </x:c>
      <x:c r="F84" s="48" t="n">
        <x:f>E84/Inputs!$C$12</x:f>
        <x:v>690.6617945229834</x:v>
      </x:c>
      <x:c r="G84" s="48" t="n">
        <x:f>2*E84/Inputs!$C$21*1000000</x:f>
        <x:v>8.201527166176477</x:v>
      </x:c>
      <x:c r="H84" s="48" t="n">
        <x:f>SQRT(A84^2+Inputs!$C$6^2)</x:f>
        <x:v>31.400636936215164</x:v>
      </x:c>
      <x:c r="I84" s="48" t="n">
        <x:f>DEGREES(ATAN(H84/B84))</x:f>
        <x:v>4.484126471249511</x:v>
      </x:c>
      <x:c r="J84" s="48" t="n">
        <x:f>DEGREES((2*PI()/Inputs!$C$13)*Inputs!$C$15*SIN(RADIANS(I84)))</x:f>
        <x:v>28.14584451050467</x:v>
      </x:c>
      <x:c r="K84" s="48" t="n">
        <x:f>(C84/D84)^4</x:f>
        <x:v>0.9878122313157164</x:v>
      </x:c>
      <x:c r="L84" s="48" t="n">
        <x:f>10*LOG10(K84)</x:f>
        <x:v>-0.05325600608126439</x:v>
      </x:c>
      <x:c r="M84" s="48" t="n">
        <x:f>2*(Inputs!$C$9/(Inputs!$C$10^2))*A84</x:f>
        <x:v>-0.042222222222222223</x:v>
      </x:c>
      <x:c r="N84" s="48" t="n">
        <x:f>M84*Inputs!$C$11</x:f>
        <x:v>-0.1688888888888889</x:v>
      </x:c>
      <x:c r="O84" s="48" t="n">
        <x:f>1000*((A84*Inputs!$C$11)+(B84*N84))/D84</x:f>
        <x:v>-357.60058725958567</x:v>
      </x:c>
      <x:c r="P84" s="48" t="n">
        <x:f>-2*O84/Inputs!$C$13</x:f>
        <x:v>143.04023490383426</x:v>
      </x:c>
      <x:c r="Q84" s="48" t="n">
        <x:f>-2*O84/Inputs!$C$14</x:f>
        <x:v>21.477512748323466</x:v>
      </x:c>
      <x:c r="R84" s="48" t="n">
        <x:f>F84-Inputs!$C$16/2</x:f>
        <x:v>675.6617945229834</x:v>
      </x:c>
      <x:c r="S84" s="48" t="n">
        <x:f>F84+Inputs!$C$16/2</x:f>
        <x:v>705.6617945229834</x:v>
      </x:c>
      <x:c r="T84" s="48" t="n">
        <x:f>F84-Inputs!$C$17/2</x:f>
        <x:v>540.6617945229834</x:v>
      </x:c>
      <x:c r="U84" s="48" t="n">
        <x:f>F84+Inputs!$C$17/2</x:f>
        <x:v>840.6617945229834</x:v>
      </x:c>
      <x:c r="V84" s="48" t="n">
        <x:f>ABS(P84)</x:f>
        <x:v>143.04023490383426</x:v>
      </x:c>
      <x:c r="W84" s="48" t="n">
        <x:f>ABS(Q84)</x:f>
        <x:v>21.477512748323466</x:v>
      </x:c>
      <x:c r="X84" s="48" t="n">
        <x: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(0.45*SIN(2*PI()*(((A84)/Inputs!$C$49)+Inputs!$C$47*0.137))+0.35*COS(2*PI()*(((0)/Inputs!$C$50)+Inputs!$C$47*0.173))+0.20*SIN(2*PI()*(((A84)+(0))/(0.5*(Inputs!$C$49+Inputs!$C$50))+Inputs!$C$47*0.097)))+0.30*(2*((SIN(((A84)*12.9898+(0)*78.233+Inputs!$C$47*37.719))*43758.5453)-INT((SIN(((A84)*12.9898+(0)*78.233+Inputs!$C$47*37.719))*43758.5453)))-1)))</x:f>
        <x:v>-144.88352309984418</x:v>
      </x:c>
      <x:c r="Y84" s="48" t="n">
        <x: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(0.45*SIN(2*PI()*(((A84)/Inputs!$C$49)+Inputs!$C$47*0.137))+0.35*COS(2*PI()*(((Inputs!$C$6)/Inputs!$C$50)+Inputs!$C$47*0.173))+0.20*SIN(2*PI()*(((A84)+(Inputs!$C$6))/(0.5*(Inputs!$C$49+Inputs!$C$50))+Inputs!$C$47*0.097)))+0.30*(2*((SIN(((A84)*12.9898+(Inputs!$C$6)*78.233+Inputs!$C$47*37.719))*43758.5453)-INT((SIN(((A84)*12.9898+(Inputs!$C$6)*78.233+Inputs!$C$47*37.719))*43758.5453)))-1)))</x:f>
        <x:v>371.18641988344854</x:v>
      </x:c>
      <x:c r="Z84" s="48" t="n">
        <x:f>B84-X84/1000</x:f>
        <x:v>400.54599463421096</x:v>
      </x:c>
      <x:c r="AA84" s="48" t="n">
        <x:f>SQRT(A84^2+Inputs!$C$6^2+(B84-Y84/1000)^2)</x:f>
        <x:v>401.2604399245823</x:v>
      </x:c>
      <x:c r="AB84" s="48" t="n">
        <x:f>(AA84-Z84)*1000</x:f>
        <x:v>714.4452903713159</x:v>
      </x:c>
      <x:c r="AC84" s="48" t="n">
        <x:f>AB84/Inputs!$C$12</x:f>
        <x:v>401.3737586355707</x:v>
      </x:c>
      <x:c r="AD84" s="48" t="n">
        <x:f>2*AB84/Inputs!$C$21*1000000</x:f>
        <x:v>4.766265937025779</x:v>
      </x:c>
      <x:c r="AE84" s="48" t="n">
        <x:f>DEGREES(ATAN(H84/(B84-Y84/1000)))</x:f>
        <x:v>4.488270284263776</x:v>
      </x:c>
      <x:c r="AF84" s="48" t="n">
        <x:f>DEGREES((2*PI()/Inputs!$C$13)*Inputs!$C$15*SIN(RADIANS(AE84)))</x:f>
        <x:v>28.171801085504747</x:v>
      </x:c>
      <x:c r="AG84" s="48" t="n">
        <x:f>(Z84/AA84)^4</x:f>
        <x:v>0.9928969878337535</x:v>
      </x:c>
      <x:c r="AH84" s="48" t="n">
        <x:f>10*LOG10(AG84)</x:f>
        <x:v>-0.0309580682791502</x:v>
      </x:c>
      <x:c r="AI84" s="48" t="n">
        <x:f>AC84-F84</x:f>
        <x:v>-289.2880358874127</x:v>
      </x:c>
      <x:c r="AJ84" s="48" t="n">
        <x:f>AD84-G84</x:f>
        <x:v>-3.435261229150698</x:v>
      </x:c>
      <x:c r="AK84" s="48" t="n">
        <x:f>Y84-X84</x:f>
        <x:v>516.0699429832928</x:v>
      </x:c>
      <x:c r="AL84" s="48" t="n">
        <x:f>1000*(AA85-AA83)/(A85-A83)*Inputs!$C$11</x:f>
        <x:v>-365.2433110662514</x:v>
      </x:c>
      <x:c r="AM84" s="48" t="n">
        <x:f>-2*AL84/Inputs!$C$13</x:f>
        <x:v>146.09732442650056</x:v>
      </x:c>
      <x:c r="AN84" s="48" t="n">
        <x:f>-2*AL84/Inputs!$C$14</x:f>
        <x:v>21.936535199174262</x:v>
      </x:c>
      <x:c r="AO84" s="48" t="n">
        <x:f>ABS(AM84)</x:f>
        <x:v>146.09732442650056</x:v>
      </x:c>
      <x:c r="AP84" s="48" t="n">
        <x:f>ABS(AN84)</x:f>
        <x:v>21.936535199174262</x:v>
      </x:c>
      <x:c r="AQ84" s="48" t="n">
        <x:f>IF(OR(Inputs!$C$27=TRUE,Inputs!$C$27="TRUE",Inputs!$C$27=1),Inputs!$C$46/Inputs!$C$12,0)</x:f>
        <x:v>42.13483146067416</x:v>
      </x:c>
      <x:c r="AR84" s="48" t="n">
        <x:f>AC84-AQ84</x:f>
        <x:v>359.23892717489656</x:v>
      </x:c>
      <x:c r="AS84" s="48" t="n">
        <x:f>AC84+AQ84</x:f>
        <x:v>443.50859009624486</x:v>
      </x:c>
    </x:row>
    <x:row r="85">
      <x:c r="A85" s="48" t="n">
        <x:f>Inputs!$C$7+83*(Inputs!$C$8-Inputs!$C$7)/240</x:f>
        <x:v>-18.5</x:v>
      </x:c>
      <x:c r="B85" s="48" t="n">
        <x:f>Inputs!$C$5+Inputs!$C$9*(A85/Inputs!$C$10)^2</x:f>
        <x:v>400.3802777777778</x:v>
      </x:c>
      <x:c r="C85" s="48" t="n">
        <x:f>B85</x:f>
        <x:v>400.3802777777778</x:v>
      </x:c>
      <x:c r="D85" s="48" t="n">
        <x:f>SQRT(A85^2+Inputs!$C$6^2+B85^2)</x:f>
        <x:v>401.5863753084889</x:v>
      </x:c>
      <x:c r="E85" s="48" t="n">
        <x:f>(D85-C85)*1000</x:f>
        <x:v>1206.0975307111335</x:v>
      </x:c>
      <x:c r="F85" s="48" t="n">
        <x:f>E85/Inputs!$C$12</x:f>
        <x:v>677.5828824219851</x:v>
      </x:c>
      <x:c r="G85" s="48" t="n">
        <x:f>2*E85/Inputs!$C$21*1000000</x:f>
        <x:v>8.046216631047692</x:v>
      </x:c>
      <x:c r="H85" s="48" t="n">
        <x:f>SQRT(A85^2+Inputs!$C$6^2)</x:f>
        <x:v>31.100643080167973</x:v>
      </x:c>
      <x:c r="I85" s="48" t="n">
        <x:f>DEGREES(ATAN(H85/B85))</x:f>
        <x:v>4.441688661129496</x:v>
      </x:c>
      <x:c r="J85" s="48" t="n">
        <x:f>DEGREES((2*PI()/Inputs!$C$13)*Inputs!$C$15*SIN(RADIANS(I85)))</x:f>
        <x:v>27.88000837991527</x:v>
      </x:c>
      <x:c r="K85" s="48" t="n">
        <x:f>(C85/D85)^4</x:f>
        <x:v>0.9880406805910283</x:v>
      </x:c>
      <x:c r="L85" s="48" t="n">
        <x:f>10*LOG10(K85)</x:f>
        <x:v>-0.052251738410254996</x:v>
      </x:c>
      <x:c r="M85" s="48" t="n">
        <x:f>2*(Inputs!$C$9/(Inputs!$C$10^2))*A85</x:f>
        <x:v>-0.04111111111111111</x:v>
      </x:c>
      <x:c r="N85" s="48" t="n">
        <x:f>M85*Inputs!$C$11</x:f>
        <x:v>-0.16444444444444445</x:v>
      </x:c>
      <x:c r="O85" s="48" t="n">
        <x:f>1000*((A85*Inputs!$C$11)+(B85*N85))/D85</x:f>
        <x:v>-348.2197627801917</x:v>
      </x:c>
      <x:c r="P85" s="48" t="n">
        <x:f>-2*O85/Inputs!$C$13</x:f>
        <x:v>139.28790511207666</x:v>
      </x:c>
      <x:c r="Q85" s="48" t="n">
        <x:f>-2*O85/Inputs!$C$14</x:f>
        <x:v>20.914099866678182</x:v>
      </x:c>
      <x:c r="R85" s="48" t="n">
        <x:f>F85-Inputs!$C$16/2</x:f>
        <x:v>662.5828824219851</x:v>
      </x:c>
      <x:c r="S85" s="48" t="n">
        <x:f>F85+Inputs!$C$16/2</x:f>
        <x:v>692.5828824219851</x:v>
      </x:c>
      <x:c r="T85" s="48" t="n">
        <x:f>F85-Inputs!$C$17/2</x:f>
        <x:v>527.5828824219851</x:v>
      </x:c>
      <x:c r="U85" s="48" t="n">
        <x:f>F85+Inputs!$C$17/2</x:f>
        <x:v>827.5828824219851</x:v>
      </x:c>
      <x:c r="V85" s="48" t="n">
        <x:f>ABS(P85)</x:f>
        <x:v>139.28790511207666</x:v>
      </x:c>
      <x:c r="W85" s="48" t="n">
        <x:f>ABS(Q85)</x:f>
        <x:v>20.914099866678182</x:v>
      </x:c>
      <x:c r="X85" s="48" t="n">
        <x: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(0.45*SIN(2*PI()*(((A85)/Inputs!$C$49)+Inputs!$C$47*0.137))+0.35*COS(2*PI()*(((0)/Inputs!$C$50)+Inputs!$C$47*0.173))+0.20*SIN(2*PI()*(((A85)+(0))/(0.5*(Inputs!$C$49+Inputs!$C$50))+Inputs!$C$47*0.097)))+0.30*(2*((SIN(((A85)*12.9898+(0)*78.233+Inputs!$C$47*37.719))*43758.5453)-INT((SIN(((A85)*12.9898+(0)*78.233+Inputs!$C$47*37.719))*43758.5453)))-1)))</x:f>
        <x:v>-136.66366560462208</x:v>
      </x:c>
      <x:c r="Y85" s="48" t="n">
        <x: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(0.45*SIN(2*PI()*(((A85)/Inputs!$C$49)+Inputs!$C$47*0.137))+0.35*COS(2*PI()*(((Inputs!$C$6)/Inputs!$C$50)+Inputs!$C$47*0.173))+0.20*SIN(2*PI()*(((A85)+(Inputs!$C$6))/(0.5*(Inputs!$C$49+Inputs!$C$50))+Inputs!$C$47*0.097)))+0.30*(2*((SIN(((A85)*12.9898+(Inputs!$C$6)*78.233+Inputs!$C$47*37.719))*43758.5453)-INT((SIN(((A85)*12.9898+(Inputs!$C$6)*78.233+Inputs!$C$47*37.719))*43758.5453)))-1)))</x:f>
        <x:v>365.6884368087795</x:v>
      </x:c>
      <x:c r="Z85" s="48" t="n">
        <x:f>B85-X85/1000</x:f>
        <x:v>400.5169414433824</x:v>
      </x:c>
      <x:c r="AA85" s="48" t="n">
        <x:f>SQRT(A85^2+Inputs!$C$6^2+(B85-Y85/1000)^2)</x:f>
        <x:v>401.22178615526855</x:v>
      </x:c>
      <x:c r="AB85" s="48" t="n">
        <x:f>(AA85-Z85)*1000</x:f>
        <x:v>704.8447118861532</x:v>
      </x:c>
      <x:c r="AC85" s="48" t="n">
        <x:f>AB85/Inputs!$C$12</x:f>
        <x:v>395.98017521694</x:v>
      </x:c>
      <x:c r="AD85" s="48" t="n">
        <x:f>2*AB85/Inputs!$C$21*1000000</x:f>
        <x:v>4.702217771510138</x:v>
      </x:c>
      <x:c r="AE85" s="48" t="n">
        <x:f>DEGREES(ATAN(H85/(B85-Y85/1000)))</x:f>
        <x:v>4.4457329275082635</x:v>
      </x:c>
      <x:c r="AF85" s="48" t="n">
        <x:f>DEGREES((2*PI()/Inputs!$C$13)*Inputs!$C$15*SIN(RADIANS(AE85)))</x:f>
        <x:v>27.905342868215158</x:v>
      </x:c>
      <x:c r="AG85" s="48" t="n">
        <x:f>(Z85/AA85)^4</x:f>
        <x:v>0.9929915118181059</x:v>
      </x:c>
      <x:c r="AH85" s="48" t="n">
        <x:f>10*LOG10(AG85)</x:f>
        <x:v>-0.0305446387754298</x:v>
      </x:c>
      <x:c r="AI85" s="48" t="n">
        <x:f>AC85-F85</x:f>
        <x:v>-281.60270720504514</x:v>
      </x:c>
      <x:c r="AJ85" s="48" t="n">
        <x:f>AD85-G85</x:f>
        <x:v>-3.343998859537554</x:v>
      </x:c>
      <x:c r="AK85" s="48" t="n">
        <x:f>Y85-X85</x:f>
        <x:v>502.35210241340155</x:v>
      </x:c>
      <x:c r="AL85" s="48" t="n">
        <x:f>1000*(AA86-AA84)/(A86-A84)*Inputs!$C$11</x:f>
        <x:v>-431.4848610322315</x:v>
      </x:c>
      <x:c r="AM85" s="48" t="n">
        <x:f>-2*AL85/Inputs!$C$13</x:f>
        <x:v>172.5939444128926</x:v>
      </x:c>
      <x:c r="AN85" s="48" t="n">
        <x:f>-2*AL85/Inputs!$C$14</x:f>
        <x:v>25.915006668602494</x:v>
      </x:c>
      <x:c r="AO85" s="48" t="n">
        <x:f>ABS(AM85)</x:f>
        <x:v>172.5939444128926</x:v>
      </x:c>
      <x:c r="AP85" s="48" t="n">
        <x:f>ABS(AN85)</x:f>
        <x:v>25.915006668602494</x:v>
      </x:c>
      <x:c r="AQ85" s="48" t="n">
        <x:f>IF(OR(Inputs!$C$27=TRUE,Inputs!$C$27="TRUE",Inputs!$C$27=1),Inputs!$C$46/Inputs!$C$12,0)</x:f>
        <x:v>42.13483146067416</x:v>
      </x:c>
      <x:c r="AR85" s="48" t="n">
        <x:f>AC85-AQ85</x:f>
        <x:v>353.84534375626583</x:v>
      </x:c>
      <x:c r="AS85" s="48" t="n">
        <x:f>AC85+AQ85</x:f>
        <x:v>438.11500667761413</x:v>
      </x:c>
    </x:row>
    <x:row r="86">
      <x:c r="A86" s="48" t="n">
        <x:f>Inputs!$C$7+84*(Inputs!$C$8-Inputs!$C$7)/240</x:f>
        <x:v>-18</x:v>
      </x:c>
      <x:c r="B86" s="48" t="n">
        <x:f>Inputs!$C$5+Inputs!$C$9*(A86/Inputs!$C$10)^2</x:f>
        <x:v>400.36</x:v>
      </x:c>
      <x:c r="C86" s="48" t="n">
        <x:f>B86</x:f>
        <x:v>400.36</x:v>
      </x:c>
      <x:c r="D86" s="48" t="n">
        <x:f>SQRT(A86^2+Inputs!$C$6^2+B86^2)</x:f>
        <x:v>401.54343426334344</x:v>
      </x:c>
      <x:c r="E86" s="48" t="n">
        <x:f>(D86-C86)*1000</x:f>
        <x:v>1183.434263343429</x:v>
      </x:c>
      <x:c r="F86" s="48" t="n">
        <x:f>E86/Inputs!$C$12</x:f>
        <x:v>664.8507097434994</x:v>
      </x:c>
      <x:c r="G86" s="48" t="n">
        <x:f>2*E86/Inputs!$C$21*1000000</x:f>
        <x:v>7.895023585572849</x:v>
      </x:c>
      <x:c r="H86" s="48" t="n">
        <x:f>SQRT(A86^2+Inputs!$C$6^2)</x:f>
        <x:v>30.805843601498726</x:v>
      </x:c>
      <x:c r="I86" s="48" t="n">
        <x:f>DEGREES(ATAN(H86/B86))</x:f>
        <x:v>4.3999744653546005</x:v>
      </x:c>
      <x:c r="J86" s="48" t="n">
        <x:f>DEGREES((2*PI()/Inputs!$C$13)*Inputs!$C$15*SIN(RADIANS(I86)))</x:f>
        <x:v>27.618690159596383</x:v>
      </x:c>
      <x:c r="K86" s="48" t="n">
        <x:f>(C86/D86)^4</x:f>
        <x:v>0.9882631597548657</x:v>
      </x:c>
      <x:c r="L86" s="48" t="n">
        <x:f>10*LOG10(K86)</x:f>
        <x:v>-0.0512739386243249</x:v>
      </x:c>
      <x:c r="M86" s="48" t="n">
        <x:f>2*(Inputs!$C$9/(Inputs!$C$10^2))*A86</x:f>
        <x:v>-0.04</x:v>
      </x:c>
      <x:c r="N86" s="48" t="n">
        <x:f>M86*Inputs!$C$11</x:f>
        <x:v>-0.16</x:v>
      </x:c>
      <x:c r="O86" s="48" t="n">
        <x:f>1000*((A86*Inputs!$C$11)+(B86*N86))/D86</x:f>
        <x:v>-338.83657007019974</x:v>
      </x:c>
      <x:c r="P86" s="48" t="n">
        <x:f>-2*O86/Inputs!$C$13</x:f>
        <x:v>135.5346280280799</x:v>
      </x:c>
      <x:c r="Q86" s="48" t="n">
        <x:f>-2*O86/Inputs!$C$14</x:f>
        <x:v>20.350544748960946</x:v>
      </x:c>
      <x:c r="R86" s="48" t="n">
        <x:f>F86-Inputs!$C$16/2</x:f>
        <x:v>649.8507097434994</x:v>
      </x:c>
      <x:c r="S86" s="48" t="n">
        <x:f>F86+Inputs!$C$16/2</x:f>
        <x:v>679.8507097434994</x:v>
      </x:c>
      <x:c r="T86" s="48" t="n">
        <x:f>F86-Inputs!$C$17/2</x:f>
        <x:v>514.8507097434994</x:v>
      </x:c>
      <x:c r="U86" s="48" t="n">
        <x:f>F86+Inputs!$C$17/2</x:f>
        <x:v>814.8507097434994</x:v>
      </x:c>
      <x:c r="V86" s="48" t="n">
        <x:f>ABS(P86)</x:f>
        <x:v>135.5346280280799</x:v>
      </x:c>
      <x:c r="W86" s="48" t="n">
        <x:f>ABS(Q86)</x:f>
        <x:v>20.350544748960946</x:v>
      </x:c>
      <x:c r="X86" s="48" t="n">
        <x: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(0.45*SIN(2*PI()*(((A86)/Inputs!$C$49)+Inputs!$C$47*0.137))+0.35*COS(2*PI()*(((0)/Inputs!$C$50)+Inputs!$C$47*0.173))+0.20*SIN(2*PI()*(((A86)+(0))/(0.5*(Inputs!$C$49+Inputs!$C$50))+Inputs!$C$47*0.097)))+0.30*(2*((SIN(((A86)*12.9898+(0)*78.233+Inputs!$C$47*37.719))*43758.5453)-INT((SIN(((A86)*12.9898+(0)*78.233+Inputs!$C$47*37.719))*43758.5453)))-1)))</x:f>
        <x:v>-149.12259877495586</x:v>
      </x:c>
      <x:c r="Y86" s="48" t="n">
        <x: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(0.45*SIN(2*PI()*(((A86)/Inputs!$C$49)+Inputs!$C$47*0.137))+0.35*COS(2*PI()*(((Inputs!$C$6)/Inputs!$C$50)+Inputs!$C$47*0.173))+0.20*SIN(2*PI()*(((A86)+(Inputs!$C$6))/(0.5*(Inputs!$C$49+Inputs!$C$50))+Inputs!$C$47*0.097)))+0.30*(2*((SIN(((A86)*12.9898+(Inputs!$C$6)*78.233+Inputs!$C$47*37.719))*43758.5453)-INT((SIN(((A86)*12.9898+(Inputs!$C$6)*78.233+Inputs!$C$47*37.719))*43758.5453)))-1)))</x:f>
        <x:v>392.0220541536099</x:v>
      </x:c>
      <x:c r="Z86" s="48" t="n">
        <x:f>B86-X86/1000</x:f>
        <x:v>400.509122598775</x:v>
      </x:c>
      <x:c r="AA86" s="48" t="n">
        <x:f>SQRT(A86^2+Inputs!$C$6^2+(B86-Y86/1000)^2)</x:f>
        <x:v>401.1525687093242</x:v>
      </x:c>
      <x:c r="AB86" s="48" t="n">
        <x:f>(AA86-Z86)*1000</x:f>
        <x:v>643.4461105492346</x:v>
      </x:c>
      <x:c r="AC86" s="48" t="n">
        <x:f>AB86/Inputs!$C$12</x:f>
        <x:v>361.4865789602442</x:v>
      </x:c>
      <x:c r="AD86" s="48" t="n">
        <x:f>2*AB86/Inputs!$C$21*1000000</x:f>
        <x:v>4.292610393482511</x:v>
      </x:c>
      <x:c r="AE86" s="48" t="n">
        <x:f>DEGREES(ATAN(H86/(B86-Y86/1000)))</x:f>
        <x:v>4.404270068310071</x:v>
      </x:c>
      <x:c r="AF86" s="48" t="n">
        <x:f>DEGREES((2*PI()/Inputs!$C$13)*Inputs!$C$15*SIN(RADIANS(AE86)))</x:f>
        <x:v>27.645600605826974</x:v>
      </x:c>
      <x:c r="AG86" s="48" t="n">
        <x:f>(Z86/AA86)^4</x:f>
        <x:v>0.9935994462920429</x:v>
      </x:c>
      <x:c r="AH86" s="48" t="n">
        <x:f>10*LOG10(AG86)</x:f>
        <x:v>-0.027886591888088</x:v>
      </x:c>
      <x:c r="AI86" s="48" t="n">
        <x:f>AC86-F86</x:f>
        <x:v>-303.3641307832552</x:v>
      </x:c>
      <x:c r="AJ86" s="48" t="n">
        <x:f>AD86-G86</x:f>
        <x:v>-3.6024131920903377</x:v>
      </x:c>
      <x:c r="AK86" s="48" t="n">
        <x:f>Y86-X86</x:f>
        <x:v>541.1446529285657</x:v>
      </x:c>
      <x:c r="AL86" s="48" t="n">
        <x:f>1000*(AA87-AA85)/(A87-A85)*Inputs!$C$11</x:f>
        <x:v>-464.164624930163</x:v>
      </x:c>
      <x:c r="AM86" s="48" t="n">
        <x:f>-2*AL86/Inputs!$C$13</x:f>
        <x:v>185.6658499720652</x:v>
      </x:c>
      <x:c r="AN86" s="48" t="n">
        <x:f>-2*AL86/Inputs!$C$14</x:f>
        <x:v>27.87775525106084</x:v>
      </x:c>
      <x:c r="AO86" s="48" t="n">
        <x:f>ABS(AM86)</x:f>
        <x:v>185.6658499720652</x:v>
      </x:c>
      <x:c r="AP86" s="48" t="n">
        <x:f>ABS(AN86)</x:f>
        <x:v>27.87775525106084</x:v>
      </x:c>
      <x:c r="AQ86" s="48" t="n">
        <x:f>IF(OR(Inputs!$C$27=TRUE,Inputs!$C$27="TRUE",Inputs!$C$27=1),Inputs!$C$46/Inputs!$C$12,0)</x:f>
        <x:v>42.13483146067416</x:v>
      </x:c>
      <x:c r="AR86" s="48" t="n">
        <x:f>AC86-AQ86</x:f>
        <x:v>319.35174749957</x:v>
      </x:c>
      <x:c r="AS86" s="48" t="n">
        <x:f>AC86+AQ86</x:f>
        <x:v>403.6214104209183</x:v>
      </x:c>
    </x:row>
    <x:row r="87">
      <x:c r="A87" s="48" t="n">
        <x:f>Inputs!$C$7+85*(Inputs!$C$8-Inputs!$C$7)/240</x:f>
        <x:v>-17.5</x:v>
      </x:c>
      <x:c r="B87" s="48" t="n">
        <x:f>Inputs!$C$5+Inputs!$C$9*(A87/Inputs!$C$10)^2</x:f>
        <x:v>400.34027777777777</x:v>
      </x:c>
      <x:c r="C87" s="48" t="n">
        <x:f>B87</x:f>
        <x:v>400.34027777777777</x:v>
      </x:c>
      <x:c r="D87" s="48" t="n">
        <x:f>SQRT(A87^2+Inputs!$C$6^2+B87^2)</x:f>
        <x:v>401.5016662620322</x:v>
      </x:c>
      <x:c r="E87" s="48" t="n">
        <x:f>(D87-C87)*1000</x:f>
        <x:v>1161.3884842544167</x:v>
      </x:c>
      <x:c r="F87" s="48" t="n">
        <x:f>E87/Inputs!$C$12</x:f>
        <x:v>652.4654405923689</x:v>
      </x:c>
      <x:c r="G87" s="48" t="n">
        <x:f>2*E87/Inputs!$C$21*1000000</x:f>
        <x:v>7.747949978477554</x:v>
      </x:c>
      <x:c r="H87" s="48" t="n">
        <x:f>SQRT(A87^2+Inputs!$C$6^2)</x:f>
        <x:v>30.516389039334257</x:v>
      </x:c>
      <x:c r="I87" s="48" t="n">
        <x:f>DEGREES(ATAN(H87/B87))</x:f>
        <x:v>4.359005878140658</x:v>
      </x:c>
      <x:c r="J87" s="48" t="n">
        <x:f>DEGREES((2*PI()/Inputs!$C$13)*Inputs!$C$15*SIN(RADIANS(I87)))</x:f>
        <x:v>27.3620285475742</x:v>
      </x:c>
      <x:c r="K87" s="48" t="n">
        <x:f>(C87/D87)^4</x:f>
        <x:v>0.988479659012131</x:v>
      </x:c>
      <x:c r="L87" s="48" t="n">
        <x:f>10*LOG10(K87)</x:f>
        <x:v>-0.05032263193688159</x:v>
      </x:c>
      <x:c r="M87" s="48" t="n">
        <x:f>2*(Inputs!$C$9/(Inputs!$C$10^2))*A87</x:f>
        <x:v>-0.03888888888888889</x:v>
      </x:c>
      <x:c r="N87" s="48" t="n">
        <x:f>M87*Inputs!$C$11</x:f>
        <x:v>-0.15555555555555556</x:v>
      </x:c>
      <x:c r="O87" s="48" t="n">
        <x:f>1000*((A87*Inputs!$C$11)+(B87*N87))/D87</x:f>
        <x:v>-329.4510719033004</x:v>
      </x:c>
      <x:c r="P87" s="48" t="n">
        <x:f>-2*O87/Inputs!$C$13</x:f>
        <x:v>131.78042876132014</x:v>
      </x:c>
      <x:c r="Q87" s="48" t="n">
        <x:f>-2*O87/Inputs!$C$14</x:f>
        <x:v>19.786851165363387</x:v>
      </x:c>
      <x:c r="R87" s="48" t="n">
        <x:f>F87-Inputs!$C$16/2</x:f>
        <x:v>637.4654405923689</x:v>
      </x:c>
      <x:c r="S87" s="48" t="n">
        <x:f>F87+Inputs!$C$16/2</x:f>
        <x:v>667.4654405923689</x:v>
      </x:c>
      <x:c r="T87" s="48" t="n">
        <x:f>F87-Inputs!$C$17/2</x:f>
        <x:v>502.46544059236885</x:v>
      </x:c>
      <x:c r="U87" s="48" t="n">
        <x:f>F87+Inputs!$C$17/2</x:f>
        <x:v>802.4654405923689</x:v>
      </x:c>
      <x:c r="V87" s="48" t="n">
        <x:f>ABS(P87)</x:f>
        <x:v>131.78042876132014</x:v>
      </x:c>
      <x:c r="W87" s="48" t="n">
        <x:f>ABS(Q87)</x:f>
        <x:v>19.786851165363387</x:v>
      </x:c>
      <x:c r="X87" s="48" t="n">
        <x: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(0.45*SIN(2*PI()*(((A87)/Inputs!$C$49)+Inputs!$C$47*0.137))+0.35*COS(2*PI()*(((0)/Inputs!$C$50)+Inputs!$C$47*0.173))+0.20*SIN(2*PI()*(((A87)+(0))/(0.5*(Inputs!$C$49+Inputs!$C$50))+Inputs!$C$47*0.097)))+0.30*(2*((SIN(((A87)*12.9898+(0)*78.233+Inputs!$C$47*37.719))*43758.5453)-INT((SIN(((A87)*12.9898+(0)*78.233+Inputs!$C$47*37.719))*43758.5453)))-1)))</x:f>
        <x:v>-139.0731304771746</x:v>
      </x:c>
      <x:c r="Y87" s="48" t="n">
        <x: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(0.45*SIN(2*PI()*(((A87)/Inputs!$C$49)+Inputs!$C$47*0.137))+0.35*COS(2*PI()*(((Inputs!$C$6)/Inputs!$C$50)+Inputs!$C$47*0.173))+0.20*SIN(2*PI()*(((A87)+(Inputs!$C$6))/(0.5*(Inputs!$C$49+Inputs!$C$50))+Inputs!$C$47*0.097)))+0.30*(2*((SIN(((A87)*12.9898+(Inputs!$C$6)*78.233+Inputs!$C$47*37.719))*43758.5453)-INT((SIN(((A87)*12.9898+(Inputs!$C$6)*78.233+Inputs!$C$47*37.719))*43758.5453)))-1)))</x:f>
        <x:v>397.07097057156574</x:v>
      </x:c>
      <x:c r="Z87" s="48" t="n">
        <x:f>B87-X87/1000</x:f>
        <x:v>400.47935090825496</x:v>
      </x:c>
      <x:c r="AA87" s="48" t="n">
        <x:f>SQRT(A87^2+Inputs!$C$6^2+(B87-Y87/1000)^2)</x:f>
        <x:v>401.105744999036</x:v>
      </x:c>
      <x:c r="AB87" s="48" t="n">
        <x:f>(AA87-Z87)*1000</x:f>
        <x:v>626.3940907810479</x:v>
      </x:c>
      <x:c r="AC87" s="48" t="n">
        <x:f>AB87/Inputs!$C$12</x:f>
        <x:v>351.9067925736224</x:v>
      </x:c>
      <x:c r="AD87" s="48" t="n">
        <x:f>2*AB87/Inputs!$C$21*1000000</x:f>
        <x:v>4.1788515625769875</x:v>
      </x:c>
      <x:c r="AE87" s="48" t="n">
        <x:f>DEGREES(ATAN(H87/(B87-Y87/1000)))</x:f>
        <x:v>4.363316874725082</x:v>
      </x:c>
      <x:c r="AF87" s="48" t="n">
        <x:f>DEGREES((2*PI()/Inputs!$C$13)*Inputs!$C$15*SIN(RADIANS(AE87)))</x:f>
        <x:v>27.389036908924687</x:v>
      </x:c>
      <x:c r="AG87" s="48" t="n">
        <x:f>(Z87/AA87)^4</x:f>
        <x:v>0.9937679447774241</x:v>
      </x:c>
      <x:c r="AH87" s="48" t="n">
        <x:f>10*LOG10(AG87)</x:f>
        <x:v>-0.027150160738877098</x:v>
      </x:c>
      <x:c r="AI87" s="48" t="n">
        <x:f>AC87-F87</x:f>
        <x:v>-300.55864801874645</x:v>
      </x:c>
      <x:c r="AJ87" s="48" t="n">
        <x:f>AD87-G87</x:f>
        <x:v>-3.5690984159005668</x:v>
      </x:c>
      <x:c r="AK87" s="48" t="n">
        <x:f>Y87-X87</x:f>
        <x:v>536.1441010487404</x:v>
      </x:c>
      <x:c r="AL87" s="48" t="n">
        <x:f>1000*(AA88-AA86)/(A88-A86)*Inputs!$C$11</x:f>
        <x:v>-287.14509854398784</x:v>
      </x:c>
      <x:c r="AM87" s="48" t="n">
        <x:f>-2*AL87/Inputs!$C$13</x:f>
        <x:v>114.85803941759514</x:v>
      </x:c>
      <x:c r="AN87" s="48" t="n">
        <x:f>-2*AL87/Inputs!$C$14</x:f>
        <x:v>17.245951864503777</x:v>
      </x:c>
      <x:c r="AO87" s="48" t="n">
        <x:f>ABS(AM87)</x:f>
        <x:v>114.85803941759514</x:v>
      </x:c>
      <x:c r="AP87" s="48" t="n">
        <x:f>ABS(AN87)</x:f>
        <x:v>17.245951864503777</x:v>
      </x:c>
      <x:c r="AQ87" s="48" t="n">
        <x:f>IF(OR(Inputs!$C$27=TRUE,Inputs!$C$27="TRUE",Inputs!$C$27=1),Inputs!$C$46/Inputs!$C$12,0)</x:f>
        <x:v>42.13483146067416</x:v>
      </x:c>
      <x:c r="AR87" s="48" t="n">
        <x:f>AC87-AQ87</x:f>
        <x:v>309.77196111294825</x:v>
      </x:c>
      <x:c r="AS87" s="48" t="n">
        <x:f>AC87+AQ87</x:f>
        <x:v>394.04162403429655</x:v>
      </x:c>
    </x:row>
    <x:row r="88">
      <x:c r="A88" s="48" t="n">
        <x:f>Inputs!$C$7+86*(Inputs!$C$8-Inputs!$C$7)/240</x:f>
        <x:v>-17</x:v>
      </x:c>
      <x:c r="B88" s="48" t="n">
        <x:f>Inputs!$C$5+Inputs!$C$9*(A88/Inputs!$C$10)^2</x:f>
        <x:v>400.3211111111111</x:v>
      </x:c>
      <x:c r="C88" s="48" t="n">
        <x:f>B88</x:f>
        <x:v>400.3211111111111</x:v>
      </x:c>
      <x:c r="D88" s="48" t="n">
        <x:f>SQRT(A88^2+Inputs!$C$6^2+B88^2)</x:f>
        <x:v>401.4610715888087</x:v>
      </x:c>
      <x:c r="E88" s="48" t="n">
        <x:f>(D88-C88)*1000</x:f>
        <x:v>1139.9604776975707</x:v>
      </x:c>
      <x:c r="F88" s="48" t="n">
        <x:f>E88/Inputs!$C$12</x:f>
        <x:v>640.4272346615566</x:v>
      </x:c>
      <x:c r="G88" s="48" t="n">
        <x:f>2*E88/Inputs!$C$21*1000000</x:f>
        <x:v>7.604997706096867</x:v>
      </x:c>
      <x:c r="H88" s="48" t="n">
        <x:f>SQRT(A88^2+Inputs!$C$6^2)</x:f>
        <x:v>30.23243291566195</x:v>
      </x:c>
      <x:c r="I88" s="48" t="n">
        <x:f>DEGREES(ATAN(H88/B88))</x:f>
        <x:v>4.3188053168235525</x:v>
      </x:c>
      <x:c r="J88" s="48" t="n">
        <x:f>DEGREES((2*PI()/Inputs!$C$13)*Inputs!$C$15*SIN(RADIANS(I88)))</x:f>
        <x:v>27.110164894856272</x:v>
      </x:c>
      <x:c r="K88" s="48" t="n">
        <x:f>(C88/D88)^4</x:f>
        <x:v>0.9886901688243562</x:v>
      </x:c>
      <x:c r="L88" s="48" t="n">
        <x:f>10*LOG10(K88)</x:f>
        <x:v>-0.04939784288847281</x:v>
      </x:c>
      <x:c r="M88" s="48" t="n">
        <x:f>2*(Inputs!$C$9/(Inputs!$C$10^2))*A88</x:f>
        <x:v>-0.03777777777777778</x:v>
      </x:c>
      <x:c r="N88" s="48" t="n">
        <x:f>M88*Inputs!$C$11</x:f>
        <x:v>-0.1511111111111111</x:v>
      </x:c>
      <x:c r="O88" s="48" t="n">
        <x:f>1000*((A88*Inputs!$C$11)+(B88*N88))/D88</x:f>
        <x:v>-320.0633311536662</x:v>
      </x:c>
      <x:c r="P88" s="48" t="n">
        <x:f>-2*O88/Inputs!$C$13</x:f>
        <x:v>128.02533246146646</x:v>
      </x:c>
      <x:c r="Q88" s="48" t="n">
        <x:f>-2*O88/Inputs!$C$14</x:f>
        <x:v>19.223022892112084</x:v>
      </x:c>
      <x:c r="R88" s="48" t="n">
        <x:f>F88-Inputs!$C$16/2</x:f>
        <x:v>625.4272346615566</x:v>
      </x:c>
      <x:c r="S88" s="48" t="n">
        <x:f>F88+Inputs!$C$16/2</x:f>
        <x:v>655.4272346615566</x:v>
      </x:c>
      <x:c r="T88" s="48" t="n">
        <x:f>F88-Inputs!$C$17/2</x:f>
        <x:v>490.42723466155655</x:v>
      </x:c>
      <x:c r="U88" s="48" t="n">
        <x:f>F88+Inputs!$C$17/2</x:f>
        <x:v>790.4272346615566</x:v>
      </x:c>
      <x:c r="V88" s="48" t="n">
        <x:f>ABS(P88)</x:f>
        <x:v>128.02533246146646</x:v>
      </x:c>
      <x:c r="W88" s="48" t="n">
        <x:f>ABS(Q88)</x:f>
        <x:v>19.223022892112084</x:v>
      </x:c>
      <x:c r="X88" s="48" t="n">
        <x: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(0.45*SIN(2*PI()*(((A88)/Inputs!$C$49)+Inputs!$C$47*0.137))+0.35*COS(2*PI()*(((0)/Inputs!$C$50)+Inputs!$C$47*0.173))+0.20*SIN(2*PI()*(((A88)+(0))/(0.5*(Inputs!$C$49+Inputs!$C$50))+Inputs!$C$47*0.097)))+0.30*(2*((SIN(((A88)*12.9898+(0)*78.233+Inputs!$C$47*37.719))*43758.5453)-INT((SIN(((A88)*12.9898+(0)*78.233+Inputs!$C$47*37.719))*43758.5453)))-1)))</x:f>
        <x:v>-125.70874899839603</x:v>
      </x:c>
      <x:c r="Y88" s="48" t="n">
        <x: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(0.45*SIN(2*PI()*(((A88)/Inputs!$C$49)+Inputs!$C$47*0.137))+0.35*COS(2*PI()*(((Inputs!$C$6)/Inputs!$C$50)+Inputs!$C$47*0.173))+0.20*SIN(2*PI()*(((A88)+(Inputs!$C$6))/(0.5*(Inputs!$C$49+Inputs!$C$50))+Inputs!$C$47*0.097)))+0.30*(2*((SIN(((A88)*12.9898+(Inputs!$C$6)*78.233+Inputs!$C$47*37.719))*43758.5453)-INT((SIN(((A88)*12.9898+(Inputs!$C$6)*78.233+Inputs!$C$47*37.719))*43758.5453)))-1)))</x:f>
        <x:v>381.37310246850825</x:v>
      </x:c>
      <x:c r="Z88" s="48" t="n">
        <x:f>B88-X88/1000</x:f>
        <x:v>400.44681986010954</x:v>
      </x:c>
      <x:c r="AA88" s="48" t="n">
        <x:f>SQRT(A88^2+Inputs!$C$6^2+(B88-Y88/1000)^2)</x:f>
        <x:v>401.0807824346882</x:v>
      </x:c>
      <x:c r="AB88" s="48" t="n">
        <x:f>(AA88-Z88)*1000</x:f>
        <x:v>633.9625745786748</x:v>
      </x:c>
      <x:c r="AC88" s="48" t="n">
        <x:f>AB88/Inputs!$C$12</x:f>
        <x:v>356.1587497633004</x:v>
      </x:c>
      <x:c r="AD88" s="48" t="n">
        <x:f>2*AB88/Inputs!$C$21*1000000</x:f>
        <x:v>4.2293430515765325</x:v>
      </x:c>
      <x:c r="AE88" s="48" t="n">
        <x:f>DEGREES(ATAN(H88/(B88-Y88/1000)))</x:f>
        <x:v>4.322908023777097</x:v>
      </x:c>
      <x:c r="AF88" s="48" t="n">
        <x:f>DEGREES((2*PI()/Inputs!$C$13)*Inputs!$C$15*SIN(RADIANS(AE88)))</x:f>
        <x:v>27.135869695802725</x:v>
      </x:c>
      <x:c r="AG88" s="48" t="n">
        <x:f>(Z88/AA88)^4</x:f>
        <x:v>0.9936924321503245</x:v>
      </x:c>
      <x:c r="AH88" s="48" t="n">
        <x:f>10*LOG10(AG88)</x:f>
        <x:v>-0.0274801770517542</x:v>
      </x:c>
      <x:c r="AI88" s="48" t="n">
        <x:f>AC88-F88</x:f>
        <x:v>-284.26848489825613</x:v>
      </x:c>
      <x:c r="AJ88" s="48" t="n">
        <x:f>AD88-G88</x:f>
        <x:v>-3.3756546545203348</x:v>
      </x:c>
      <x:c r="AK88" s="48" t="n">
        <x:f>Y88-X88</x:f>
        <x:v>507.08185146690425</x:v>
      </x:c>
      <x:c r="AL88" s="48" t="n">
        <x:f>1000*(AA89-AA87)/(A89-A87)*Inputs!$C$11</x:f>
        <x:v>-280.62880776428756</x:v>
      </x:c>
      <x:c r="AM88" s="48" t="n">
        <x:f>-2*AL88/Inputs!$C$13</x:f>
        <x:v>112.25152310571502</x:v>
      </x:c>
      <x:c r="AN88" s="48" t="n">
        <x:f>-2*AL88/Inputs!$C$14</x:f>
        <x:v>16.85458304890616</x:v>
      </x:c>
      <x:c r="AO88" s="48" t="n">
        <x:f>ABS(AM88)</x:f>
        <x:v>112.25152310571502</x:v>
      </x:c>
      <x:c r="AP88" s="48" t="n">
        <x:f>ABS(AN88)</x:f>
        <x:v>16.85458304890616</x:v>
      </x:c>
      <x:c r="AQ88" s="48" t="n">
        <x:f>IF(OR(Inputs!$C$27=TRUE,Inputs!$C$27="TRUE",Inputs!$C$27=1),Inputs!$C$46/Inputs!$C$12,0)</x:f>
        <x:v>42.13483146067416</x:v>
      </x:c>
      <x:c r="AR88" s="48" t="n">
        <x:f>AC88-AQ88</x:f>
        <x:v>314.02391830262627</x:v>
      </x:c>
      <x:c r="AS88" s="48" t="n">
        <x:f>AC88+AQ88</x:f>
        <x:v>398.29358122397457</x:v>
      </x:c>
    </x:row>
    <x:row r="89">
      <x:c r="A89" s="48" t="n">
        <x:f>Inputs!$C$7+87*(Inputs!$C$8-Inputs!$C$7)/240</x:f>
        <x:v>-16.5</x:v>
      </x:c>
      <x:c r="B89" s="48" t="n">
        <x:f>Inputs!$C$5+Inputs!$C$9*(A89/Inputs!$C$10)^2</x:f>
        <x:v>400.3025</x:v>
      </x:c>
      <x:c r="C89" s="48" t="n">
        <x:f>B89</x:f>
        <x:v>400.3025</x:v>
      </x:c>
      <x:c r="D89" s="48" t="n">
        <x:f>SQRT(A89^2+Inputs!$C$6^2+B89^2)</x:f>
        <x:v>401.421650520061</x:v>
      </x:c>
      <x:c r="E89" s="48" t="n">
        <x:f>(D89-C89)*1000</x:f>
        <x:v>1119.1505200609981</x:v>
      </x:c>
      <x:c r="F89" s="48" t="n">
        <x:f>E89/Inputs!$C$12</x:f>
        <x:v>628.7362472252798</x:v>
      </x:c>
      <x:c r="G89" s="48" t="n">
        <x:f>2*E89/Inputs!$C$21*1000000</x:f>
        <x:v>7.466168612293763</x:v>
      </x:c>
      <x:c r="H89" s="48" t="n">
        <x:f>SQRT(A89^2+Inputs!$C$6^2)</x:f>
        <x:v>29.95413160150032</x:v>
      </x:c>
      <x:c r="I89" s="48" t="n">
        <x:f>DEGREES(ATAN(H89/B89))</x:f>
        <x:v>4.2793956023743185</x:v>
      </x:c>
      <x:c r="J89" s="48" t="n">
        <x:f>DEGREES((2*PI()/Inputs!$C$13)*Inputs!$C$15*SIN(RADIANS(I89)))</x:f>
        <x:v>26.863243082603024</x:v>
      </x:c>
      <x:c r="K89" s="48" t="n">
        <x:f>(C89/D89)^4</x:f>
        <x:v>0.988894679910662</x:v>
      </x:c>
      <x:c r="L89" s="48" t="n">
        <x:f>10*LOG10(K89)</x:f>
        <x:v>-0.0484995953453235</x:v>
      </x:c>
      <x:c r="M89" s="48" t="n">
        <x:f>2*(Inputs!$C$9/(Inputs!$C$10^2))*A89</x:f>
        <x:v>-0.03666666666666667</x:v>
      </x:c>
      <x:c r="N89" s="48" t="n">
        <x:f>M89*Inputs!$C$11</x:f>
        <x:v>-0.14666666666666667</x:v>
      </x:c>
      <x:c r="O89" s="48" t="n">
        <x:f>1000*((A89*Inputs!$C$11)+(B89*N89))/D89</x:f>
        <x:v>-310.6734107932749</x:v>
      </x:c>
      <x:c r="P89" s="48" t="n">
        <x:f>-2*O89/Inputs!$C$13</x:f>
        <x:v>124.26936431730996</x:v>
      </x:c>
      <x:c r="Q89" s="48" t="n">
        <x:f>-2*O89/Inputs!$C$14</x:f>
        <x:v>18.659063711307805</x:v>
      </x:c>
      <x:c r="R89" s="48" t="n">
        <x:f>F89-Inputs!$C$16/2</x:f>
        <x:v>613.7362472252798</x:v>
      </x:c>
      <x:c r="S89" s="48" t="n">
        <x:f>F89+Inputs!$C$16/2</x:f>
        <x:v>643.7362472252798</x:v>
      </x:c>
      <x:c r="T89" s="48" t="n">
        <x:f>F89-Inputs!$C$17/2</x:f>
        <x:v>478.73624722527984</x:v>
      </x:c>
      <x:c r="U89" s="48" t="n">
        <x:f>F89+Inputs!$C$17/2</x:f>
        <x:v>778.7362472252798</x:v>
      </x:c>
      <x:c r="V89" s="48" t="n">
        <x:f>ABS(P89)</x:f>
        <x:v>124.26936431730996</x:v>
      </x:c>
      <x:c r="W89" s="48" t="n">
        <x:f>ABS(Q89)</x:f>
        <x:v>18.659063711307805</x:v>
      </x:c>
      <x:c r="X89" s="48" t="n">
        <x: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(0.45*SIN(2*PI()*(((A89)/Inputs!$C$49)+Inputs!$C$47*0.137))+0.35*COS(2*PI()*(((0)/Inputs!$C$50)+Inputs!$C$47*0.173))+0.20*SIN(2*PI()*(((A89)+(0))/(0.5*(Inputs!$C$49+Inputs!$C$50))+Inputs!$C$47*0.097)))+0.30*(2*((SIN(((A89)*12.9898+(0)*78.233+Inputs!$C$47*37.719))*43758.5453)-INT((SIN(((A89)*12.9898+(0)*78.233+Inputs!$C$47*37.719))*43758.5453)))-1)))</x:f>
        <x:v>-123.86861357235706</x:v>
      </x:c>
      <x:c r="Y89" s="48" t="n">
        <x: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(0.45*SIN(2*PI()*(((A89)/Inputs!$C$49)+Inputs!$C$47*0.137))+0.35*COS(2*PI()*(((Inputs!$C$6)/Inputs!$C$50)+Inputs!$C$47*0.173))+0.20*SIN(2*PI()*(((A89)+(Inputs!$C$6))/(0.5*(Inputs!$C$49+Inputs!$C$50))+Inputs!$C$47*0.097)))+0.30*(2*((SIN(((A89)*12.9898+(Inputs!$C$6)*78.233+Inputs!$C$47*37.719))*43758.5453)-INT((SIN(((A89)*12.9898+(Inputs!$C$6)*78.233+Inputs!$C$47*37.719))*43758.5453)))-1)))</x:f>
        <x:v>387.1431058674635</x:v>
      </x:c>
      <x:c r="Z89" s="48" t="n">
        <x:f>B89-X89/1000</x:f>
        <x:v>400.4263686135724</x:v>
      </x:c>
      <x:c r="AA89" s="48" t="n">
        <x:f>SQRT(A89^2+Inputs!$C$6^2+(B89-Y89/1000)^2)</x:f>
        <x:v>401.03558779709493</x:v>
      </x:c>
      <x:c r="AB89" s="48" t="n">
        <x:f>(AA89-Z89)*1000</x:f>
        <x:v>609.2191835225549</x:v>
      </x:c>
      <x:c r="AC89" s="48" t="n">
        <x:f>AB89/Inputs!$C$12</x:f>
        <x:v>342.25796827109826</x:v>
      </x:c>
      <x:c r="AD89" s="48" t="n">
        <x:f>2*AB89/Inputs!$C$21*1000000</x:f>
        <x:v>4.064272914581159</x:v>
      </x:c>
      <x:c r="AE89" s="48" t="n">
        <x:f>DEGREES(ATAN(H89/(B89-Y89/1000)))</x:f>
        <x:v>4.283522913330763</x:v>
      </x:c>
      <x:c r="AF89" s="48" t="n">
        <x:f>DEGREES((2*PI()/Inputs!$C$13)*Inputs!$C$15*SIN(RADIANS(AE89)))</x:f>
        <x:v>26.88910337303045</x:v>
      </x:c>
      <x:c r="AG89" s="48" t="n">
        <x:f>(Z89/AA89)^4</x:f>
        <x:v>0.9939373721797209</x:v>
      </x:c>
      <x:c r="AH89" s="48" t="n">
        <x:f>10*LOG10(AG89)</x:f>
        <x:v>-0.0264097956007335</x:v>
      </x:c>
      <x:c r="AI89" s="48" t="n">
        <x:f>AC89-F89</x:f>
        <x:v>-286.4782789541816</x:v>
      </x:c>
      <x:c r="AJ89" s="48" t="n">
        <x:f>AD89-G89</x:f>
        <x:v>-3.401895697712604</x:v>
      </x:c>
      <x:c r="AK89" s="48" t="n">
        <x:f>Y89-X89</x:f>
        <x:v>511.0117194398205</x:v>
      </x:c>
      <x:c r="AL89" s="48" t="n">
        <x:f>1000*(AA90-AA88)/(A90-A88)*Inputs!$C$11</x:f>
        <x:v>-438.16794734948417</x:v>
      </x:c>
      <x:c r="AM89" s="48" t="n">
        <x:f>-2*AL89/Inputs!$C$13</x:f>
        <x:v>175.26717893979367</x:v>
      </x:c>
      <x:c r="AN89" s="48" t="n">
        <x:f>-2*AL89/Inputs!$C$14</x:f>
        <x:v>26.316393234203254</x:v>
      </x:c>
      <x:c r="AO89" s="48" t="n">
        <x:f>ABS(AM89)</x:f>
        <x:v>175.26717893979367</x:v>
      </x:c>
      <x:c r="AP89" s="48" t="n">
        <x:f>ABS(AN89)</x:f>
        <x:v>26.316393234203254</x:v>
      </x:c>
      <x:c r="AQ89" s="48" t="n">
        <x:f>IF(OR(Inputs!$C$27=TRUE,Inputs!$C$27="TRUE",Inputs!$C$27=1),Inputs!$C$46/Inputs!$C$12,0)</x:f>
        <x:v>42.13483146067416</x:v>
      </x:c>
      <x:c r="AR89" s="48" t="n">
        <x:f>AC89-AQ89</x:f>
        <x:v>300.1231368104241</x:v>
      </x:c>
      <x:c r="AS89" s="48" t="n">
        <x:f>AC89+AQ89</x:f>
        <x:v>384.3927997317724</x:v>
      </x:c>
    </x:row>
    <x:row r="90">
      <x:c r="A90" s="48" t="n">
        <x:f>Inputs!$C$7+88*(Inputs!$C$8-Inputs!$C$7)/240</x:f>
        <x:v>-16</x:v>
      </x:c>
      <x:c r="B90" s="48" t="n">
        <x:f>Inputs!$C$5+Inputs!$C$9*(A90/Inputs!$C$10)^2</x:f>
        <x:v>400.28444444444443</x:v>
      </x:c>
      <x:c r="C90" s="48" t="n">
        <x:f>B90</x:f>
        <x:v>400.28444444444443</x:v>
      </x:c>
      <x:c r="D90" s="48" t="n">
        <x:f>SQRT(A90^2+Inputs!$C$6^2+B90^2)</x:f>
        <x:v>401.38340332429976</x:v>
      </x:c>
      <x:c r="E90" s="48" t="n">
        <x:f>(D90-C90)*1000</x:f>
        <x:v>1098.9588798553314</x:v>
      </x:c>
      <x:c r="F90" s="48" t="n">
        <x:f>E90/Inputs!$C$12</x:f>
        <x:v>617.3926291322086</x:v>
      </x:c>
      <x:c r="G90" s="48" t="n">
        <x:f>2*E90/Inputs!$C$21*1000000</x:f>
        <x:v>7.331464488378367</x:v>
      </x:c>
      <x:c r="H90" s="48" t="n">
        <x:f>SQRT(A90^2+Inputs!$C$6^2)</x:f>
        <x:v>29.68164415931166</x:v>
      </x:c>
      <x:c r="I90" s="48" t="n">
        <x:f>DEGREES(ATAN(H90/B90))</x:f>
        <x:v>4.240799936495226</x:v>
      </x:c>
      <x:c r="J90" s="48" t="n">
        <x:f>DEGREES((2*PI()/Inputs!$C$13)*Inputs!$C$15*SIN(RADIANS(I90)))</x:f>
        <x:v>26.621409377803502</x:v>
      </x:c>
      <x:c r="K90" s="48" t="n">
        <x:f>(C90/D90)^4</x:f>
        <x:v>0.9890931832486968</x:v>
      </x:c>
      <x:c r="L90" s="48" t="n">
        <x:f>10*LOG10(K90)</x:f>
        <x:v>-0.0476279124978911</x:v>
      </x:c>
      <x:c r="M90" s="48" t="n">
        <x:f>2*(Inputs!$C$9/(Inputs!$C$10^2))*A90</x:f>
        <x:v>-0.035555555555555556</x:v>
      </x:c>
      <x:c r="N90" s="48" t="n">
        <x:f>M90*Inputs!$C$11</x:f>
        <x:v>-0.14222222222222222</x:v>
      </x:c>
      <x:c r="O90" s="48" t="n">
        <x:f>1000*((A90*Inputs!$C$11)+(B90*N90))/D90</x:f>
        <x:v>-301.28137388922147</x:v>
      </x:c>
      <x:c r="P90" s="48" t="n">
        <x:f>-2*O90/Inputs!$C$13</x:f>
        <x:v>120.5125495556886</x:v>
      </x:c>
      <x:c r="Q90" s="48" t="n">
        <x:f>-2*O90/Inputs!$C$14</x:f>
        <x:v>18.094977410764052</x:v>
      </x:c>
      <x:c r="R90" s="48" t="n">
        <x:f>F90-Inputs!$C$16/2</x:f>
        <x:v>602.3926291322086</x:v>
      </x:c>
      <x:c r="S90" s="48" t="n">
        <x:f>F90+Inputs!$C$16/2</x:f>
        <x:v>632.3926291322086</x:v>
      </x:c>
      <x:c r="T90" s="48" t="n">
        <x:f>F90-Inputs!$C$17/2</x:f>
        <x:v>467.39262913220864</x:v>
      </x:c>
      <x:c r="U90" s="48" t="n">
        <x:f>F90+Inputs!$C$17/2</x:f>
        <x:v>767.3926291322086</x:v>
      </x:c>
      <x:c r="V90" s="48" t="n">
        <x:f>ABS(P90)</x:f>
        <x:v>120.5125495556886</x:v>
      </x:c>
      <x:c r="W90" s="48" t="n">
        <x:f>ABS(Q90)</x:f>
        <x:v>18.094977410764052</x:v>
      </x:c>
      <x:c r="X90" s="48" t="n">
        <x: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(0.45*SIN(2*PI()*(((A90)/Inputs!$C$49)+Inputs!$C$47*0.137))+0.35*COS(2*PI()*(((0)/Inputs!$C$50)+Inputs!$C$47*0.173))+0.20*SIN(2*PI()*(((A90)+(0))/(0.5*(Inputs!$C$49+Inputs!$C$50))+Inputs!$C$47*0.097)))+0.30*(2*((SIN(((A90)*12.9898+(0)*78.233+Inputs!$C$47*37.719))*43758.5453)-INT((SIN(((A90)*12.9898+(0)*78.233+Inputs!$C$47*37.719))*43758.5453)))-1)))</x:f>
        <x:v>-97.48037396441562</x:v>
      </x:c>
      <x:c r="Y90" s="48" t="n">
        <x: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(0.45*SIN(2*PI()*(((A90)/Inputs!$C$49)+Inputs!$C$47*0.137))+0.35*COS(2*PI()*(((Inputs!$C$6)/Inputs!$C$50)+Inputs!$C$47*0.173))+0.20*SIN(2*PI()*(((A90)+(Inputs!$C$6))/(0.5*(Inputs!$C$49+Inputs!$C$50))+Inputs!$C$47*0.097)))+0.30*(2*((SIN(((A90)*12.9898+(Inputs!$C$6)*78.233+Inputs!$C$47*37.719))*43758.5453)-INT((SIN(((A90)*12.9898+(Inputs!$C$6)*78.233+Inputs!$C$47*37.719))*43758.5453)))-1)))</x:f>
        <x:v>413.2956148642764</x:v>
      </x:c>
      <x:c r="Z90" s="48" t="n">
        <x:f>B90-X90/1000</x:f>
        <x:v>400.38192481840883</x:v>
      </x:c>
      <x:c r="AA90" s="48" t="n">
        <x:f>SQRT(A90^2+Inputs!$C$6^2+(B90-Y90/1000)^2)</x:f>
        <x:v>400.97124044785085</x:v>
      </x:c>
      <x:c r="AB90" s="48" t="n">
        <x:f>(AA90-Z90)*1000</x:f>
        <x:v>589.3156294420123</x:v>
      </x:c>
      <x:c r="AC90" s="48" t="n">
        <x:f>AB90/Inputs!$C$12</x:f>
        <x:v>331.07619631573726</x:v>
      </x:c>
      <x:c r="AD90" s="48" t="n">
        <x:f>2*AB90/Inputs!$C$21*1000000</x:f>
        <x:v>3.9314906944190855</x:v>
      </x:c>
      <x:c r="AE90" s="48" t="n">
        <x:f>DEGREES(ATAN(H90/(B90-Y90/1000)))</x:f>
        <x:v>4.24516709293355</x:v>
      </x:c>
      <x:c r="AF90" s="48" t="n">
        <x:f>DEGREES((2*PI()/Inputs!$C$13)*Inputs!$C$15*SIN(RADIANS(AE90)))</x:f>
        <x:v>26.64877382581733</x:v>
      </x:c>
      <x:c r="AG90" s="48" t="n">
        <x:f>(Z90/AA90)^4</x:f>
        <x:v>0.9941340659999182</x:v>
      </x:c>
      <x:c r="AH90" s="48" t="n">
        <x:f>10*LOG10(AG90)</x:f>
        <x:v>-0.0255504397508946</x:v>
      </x:c>
      <x:c r="AI90" s="48" t="n">
        <x:f>AC90-F90</x:f>
        <x:v>-286.3164328164714</x:v>
      </x:c>
      <x:c r="AJ90" s="48" t="n">
        <x:f>AD90-G90</x:f>
        <x:v>-3.399973793959281</x:v>
      </x:c>
      <x:c r="AK90" s="48" t="n">
        <x:f>Y90-X90</x:f>
        <x:v>510.775988828692</x:v>
      </x:c>
      <x:c r="AL90" s="48" t="n">
        <x:f>1000*(AA91-AA89)/(A91-A89)*Inputs!$C$11</x:f>
        <x:v>-373.38435721062524</x:v>
      </x:c>
      <x:c r="AM90" s="48" t="n">
        <x:f>-2*AL90/Inputs!$C$13</x:f>
        <x:v>149.3537428842501</x:v>
      </x:c>
      <x:c r="AN90" s="48" t="n">
        <x:f>-2*AL90/Inputs!$C$14</x:f>
        <x:v>22.425486919557073</x:v>
      </x:c>
      <x:c r="AO90" s="48" t="n">
        <x:f>ABS(AM90)</x:f>
        <x:v>149.3537428842501</x:v>
      </x:c>
      <x:c r="AP90" s="48" t="n">
        <x:f>ABS(AN90)</x:f>
        <x:v>22.425486919557073</x:v>
      </x:c>
      <x:c r="AQ90" s="48" t="n">
        <x:f>IF(OR(Inputs!$C$27=TRUE,Inputs!$C$27="TRUE",Inputs!$C$27=1),Inputs!$C$46/Inputs!$C$12,0)</x:f>
        <x:v>42.13483146067416</x:v>
      </x:c>
      <x:c r="AR90" s="48" t="n">
        <x:f>AC90-AQ90</x:f>
        <x:v>288.9413648550631</x:v>
      </x:c>
      <x:c r="AS90" s="48" t="n">
        <x:f>AC90+AQ90</x:f>
        <x:v>373.2110277764114</x:v>
      </x:c>
    </x:row>
    <x:row r="91">
      <x:c r="A91" s="48" t="n">
        <x:f>Inputs!$C$7+89*(Inputs!$C$8-Inputs!$C$7)/240</x:f>
        <x:v>-15.5</x:v>
      </x:c>
      <x:c r="B91" s="48" t="n">
        <x:f>Inputs!$C$5+Inputs!$C$9*(A91/Inputs!$C$10)^2</x:f>
        <x:v>400.26694444444445</x:v>
      </x:c>
      <x:c r="C91" s="48" t="n">
        <x:f>B91</x:f>
        <x:v>400.26694444444445</x:v>
      </x:c>
      <x:c r="D91" s="48" t="n">
        <x:f>SQRT(A91^2+Inputs!$C$6^2+B91^2)</x:f>
        <x:v>401.3463302621465</x:v>
      </x:c>
      <x:c r="E91" s="48" t="n">
        <x:f>(D91-C91)*1000</x:f>
        <x:v>1079.3858177020752</x:v>
      </x:c>
      <x:c r="F91" s="48" t="n">
        <x:f>E91/Inputs!$C$12</x:f>
        <x:v>606.3965267989187</x:v>
      </x:c>
      <x:c r="G91" s="48" t="n">
        <x:f>2*E91/Inputs!$C$21*1000000</x:f>
        <x:v>7.200887073030204</x:v>
      </x:c>
      <x:c r="H91" s="48" t="n">
        <x:f>SQRT(A91^2+Inputs!$C$6^2)</x:f>
        <x:v>29.415132160165456</x:v>
      </x:c>
      <x:c r="I91" s="48" t="n">
        <x:f>DEGREES(ATAN(H91/B91))</x:f>
        <x:v>4.203041875082947</x:v>
      </x:c>
      <x:c r="J91" s="48" t="n">
        <x:f>DEGREES((2*PI()/Inputs!$C$13)*Inputs!$C$15*SIN(RADIANS(I91)))</x:f>
        <x:v>26.38481226611161</x:v>
      </x:c>
      <x:c r="K91" s="48" t="n">
        <x:f>(C91/D91)^4</x:f>
        <x:v>0.9892856700755499</x:v>
      </x:c>
      <x:c r="L91" s="48" t="n">
        <x:f>10*LOG10(K91)</x:f>
        <x:v>-0.0467828168594627</x:v>
      </x:c>
      <x:c r="M91" s="48" t="n">
        <x:f>2*(Inputs!$C$9/(Inputs!$C$10^2))*A91</x:f>
        <x:v>-0.034444444444444444</x:v>
      </x:c>
      <x:c r="N91" s="48" t="n">
        <x:f>M91*Inputs!$C$11</x:f>
        <x:v>-0.13777777777777778</x:v>
      </x:c>
      <x:c r="O91" s="48" t="n">
        <x:f>1000*((A91*Inputs!$C$11)+(B91*N91))/D91</x:f>
        <x:v>-291.8872836010225</x:v>
      </x:c>
      <x:c r="P91" s="48" t="n">
        <x:f>-2*O91/Inputs!$C$13</x:f>
        <x:v>116.754913440409</x:v>
      </x:c>
      <x:c r="Q91" s="48" t="n">
        <x:f>-2*O91/Inputs!$C$14</x:f>
        <x:v>17.530767783845196</x:v>
      </x:c>
      <x:c r="R91" s="48" t="n">
        <x:f>F91-Inputs!$C$16/2</x:f>
        <x:v>591.3965267989187</x:v>
      </x:c>
      <x:c r="S91" s="48" t="n">
        <x:f>F91+Inputs!$C$16/2</x:f>
        <x:v>621.3965267989187</x:v>
      </x:c>
      <x:c r="T91" s="48" t="n">
        <x:f>F91-Inputs!$C$17/2</x:f>
        <x:v>456.39652679891867</x:v>
      </x:c>
      <x:c r="U91" s="48" t="n">
        <x:f>F91+Inputs!$C$17/2</x:f>
        <x:v>756.3965267989187</x:v>
      </x:c>
      <x:c r="V91" s="48" t="n">
        <x:f>ABS(P91)</x:f>
        <x:v>116.754913440409</x:v>
      </x:c>
      <x:c r="W91" s="48" t="n">
        <x:f>ABS(Q91)</x:f>
        <x:v>17.530767783845196</x:v>
      </x:c>
      <x:c r="X91" s="48" t="n">
        <x: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(0.45*SIN(2*PI()*(((A91)/Inputs!$C$49)+Inputs!$C$47*0.137))+0.35*COS(2*PI()*(((0)/Inputs!$C$50)+Inputs!$C$47*0.173))+0.20*SIN(2*PI()*(((A91)+(0))/(0.5*(Inputs!$C$49+Inputs!$C$50))+Inputs!$C$47*0.097)))+0.30*(2*((SIN(((A91)*12.9898+(0)*78.233+Inputs!$C$47*37.719))*43758.5453)-INT((SIN(((A91)*12.9898+(0)*78.233+Inputs!$C$47*37.719))*43758.5453)))-1)))</x:f>
        <x:v>-109.31712972071381</x:v>
      </x:c>
      <x:c r="Y91" s="48" t="n">
        <x: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(0.45*SIN(2*PI()*(((A91)/Inputs!$C$49)+Inputs!$C$47*0.137))+0.35*COS(2*PI()*(((Inputs!$C$6)/Inputs!$C$50)+Inputs!$C$47*0.173))+0.20*SIN(2*PI()*(((A91)+(Inputs!$C$6))/(0.5*(Inputs!$C$49+Inputs!$C$50))+Inputs!$C$47*0.097)))+0.30*(2*((SIN(((A91)*12.9898+(Inputs!$C$6)*78.233+Inputs!$C$47*37.719))*43758.5453)-INT((SIN(((A91)*12.9898+(Inputs!$C$6)*78.233+Inputs!$C$47*37.719))*43758.5453)))-1)))</x:f>
        <x:v>405.1793484681727</x:v>
      </x:c>
      <x:c r="Z91" s="48" t="n">
        <x:f>B91-X91/1000</x:f>
        <x:v>400.37626157416514</x:v>
      </x:c>
      <x:c r="AA91" s="48" t="n">
        <x:f>SQRT(A91^2+Inputs!$C$6^2+(B91-Y91/1000)^2)</x:f>
        <x:v>400.9422417077923</x:v>
      </x:c>
      <x:c r="AB91" s="48" t="n">
        <x:f>(AA91-Z91)*1000</x:f>
        <x:v>565.9801336271357</x:v>
      </x:c>
      <x:c r="AC91" s="48" t="n">
        <x:f>AB91/Inputs!$C$12</x:f>
        <x:v>317.966367206256</x:v>
      </x:c>
      <x:c r="AD91" s="48" t="n">
        <x:f>2*AB91/Inputs!$C$21*1000000</x:f>
        <x:v>3.7758130234692944</x:v>
      </x:c>
      <x:c r="AE91" s="48" t="n">
        <x:f>DEGREES(ATAN(H91/(B91-Y91/1000)))</x:f>
        <x:v>4.207285525769131</x:v>
      </x:c>
      <x:c r="AF91" s="48" t="n">
        <x:f>DEGREES((2*PI()/Inputs!$C$13)*Inputs!$C$15*SIN(RADIANS(AE91)))</x:f>
        <x:v>26.411404127822436</x:v>
      </x:c>
      <x:c r="AG91" s="48" t="n">
        <x:f>(Z91/AA91)^4</x:f>
        <x:v>0.9943654444490918</x:v>
      </x:c>
      <x:c r="AH91" s="48" t="n">
        <x:f>10*LOG10(AG91)</x:f>
        <x:v>-0.024539764277927003</x:v>
      </x:c>
      <x:c r="AI91" s="48" t="n">
        <x:f>AC91-F91</x:f>
        <x:v>-288.4301595926627</x:v>
      </x:c>
      <x:c r="AJ91" s="48" t="n">
        <x:f>AD91-G91</x:f>
        <x:v>-3.4250740495609096</x:v>
      </x:c>
      <x:c r="AK91" s="48" t="n">
        <x:f>Y91-X91</x:f>
        <x:v>514.4964781888865</x:v>
      </x:c>
      <x:c r="AL91" s="48" t="n">
        <x:f>1000*(AA92-AA90)/(A92-A90)*Inputs!$C$11</x:f>
        <x:v>-305.34818395585717</x:v>
      </x:c>
      <x:c r="AM91" s="48" t="n">
        <x:f>-2*AL91/Inputs!$C$13</x:f>
        <x:v>122.13927358234287</x:v>
      </x:c>
      <x:c r="AN91" s="48" t="n">
        <x:f>-2*AL91/Inputs!$C$14</x:f>
        <x:v>18.33923026761905</x:v>
      </x:c>
      <x:c r="AO91" s="48" t="n">
        <x:f>ABS(AM91)</x:f>
        <x:v>122.13927358234287</x:v>
      </x:c>
      <x:c r="AP91" s="48" t="n">
        <x:f>ABS(AN91)</x:f>
        <x:v>18.33923026761905</x:v>
      </x:c>
      <x:c r="AQ91" s="48" t="n">
        <x:f>IF(OR(Inputs!$C$27=TRUE,Inputs!$C$27="TRUE",Inputs!$C$27=1),Inputs!$C$46/Inputs!$C$12,0)</x:f>
        <x:v>42.13483146067416</x:v>
      </x:c>
      <x:c r="AR91" s="48" t="n">
        <x:f>AC91-AQ91</x:f>
        <x:v>275.83153574558185</x:v>
      </x:c>
      <x:c r="AS91" s="48" t="n">
        <x:f>AC91+AQ91</x:f>
        <x:v>360.10119866693015</x:v>
      </x:c>
    </x:row>
    <x:row r="92">
      <x:c r="A92" s="48" t="n">
        <x:f>Inputs!$C$7+90*(Inputs!$C$8-Inputs!$C$7)/240</x:f>
        <x:v>-15</x:v>
      </x:c>
      <x:c r="B92" s="48" t="n">
        <x:f>Inputs!$C$5+Inputs!$C$9*(A92/Inputs!$C$10)^2</x:f>
        <x:v>400.25</x:v>
      </x:c>
      <x:c r="C92" s="48" t="n">
        <x:f>B92</x:f>
        <x:v>400.25</x:v>
      </x:c>
      <x:c r="D92" s="48" t="n">
        <x:f>SQRT(A92^2+Inputs!$C$6^2+B92^2)</x:f>
        <x:v>401.31043158632195</x:v>
      </x:c>
      <x:c r="E92" s="48" t="n">
        <x:f>(D92-C92)*1000</x:f>
        <x:v>1060.431586321954</x:v>
      </x:c>
      <x:c r="F92" s="48" t="n">
        <x:f>E92/Inputs!$C$12</x:f>
        <x:v>595.7480822033449</x:v>
      </x:c>
      <x:c r="G92" s="48" t="n">
        <x:f>2*E92/Inputs!$C$21*1000000</x:f>
        <x:v>7.074438052220473</x:v>
      </x:c>
      <x:c r="H92" s="48" t="n">
        <x:f>SQRT(A92^2+Inputs!$C$6^2)</x:f>
        <x:v>29.154759474226502</x:v>
      </x:c>
      <x:c r="I92" s="48" t="n">
        <x:f>DEGREES(ATAN(H92/B92))</x:f>
        <x:v>4.1661452978543005</x:v>
      </x:c>
      <x:c r="J92" s="48" t="n">
        <x:f>DEGREES((2*PI()/Inputs!$C$13)*Inputs!$C$15*SIN(RADIANS(I92)))</x:f>
        <x:v>26.153602260558017</x:v>
      </x:c>
      <x:c r="K92" s="48" t="n">
        <x:f>(C92/D92)^4</x:f>
        <x:v>0.9894721318886404</x:v>
      </x:c>
      <x:c r="L92" s="48" t="n">
        <x:f>10*LOG10(K92)</x:f>
        <x:v>-0.045964330264790396</x:v>
      </x:c>
      <x:c r="M92" s="48" t="n">
        <x:f>2*(Inputs!$C$9/(Inputs!$C$10^2))*A92</x:f>
        <x:v>-0.03333333333333333</x:v>
      </x:c>
      <x:c r="N92" s="48" t="n">
        <x:f>M92*Inputs!$C$11</x:f>
        <x:v>-0.13333333333333333</x:v>
      </x:c>
      <x:c r="O92" s="48" t="n">
        <x:f>1000*((A92*Inputs!$C$11)+(B92*N92))/D92</x:f>
        <x:v>-282.4912031779106</x:v>
      </x:c>
      <x:c r="P92" s="48" t="n">
        <x:f>-2*O92/Inputs!$C$13</x:f>
        <x:v>112.99648127116424</x:v>
      </x:c>
      <x:c r="Q92" s="48" t="n">
        <x:f>-2*O92/Inputs!$C$14</x:f>
        <x:v>16.966438629303944</x:v>
      </x:c>
      <x:c r="R92" s="48" t="n">
        <x:f>F92-Inputs!$C$16/2</x:f>
        <x:v>580.7480822033449</x:v>
      </x:c>
      <x:c r="S92" s="48" t="n">
        <x:f>F92+Inputs!$C$16/2</x:f>
        <x:v>610.7480822033449</x:v>
      </x:c>
      <x:c r="T92" s="48" t="n">
        <x:f>F92-Inputs!$C$17/2</x:f>
        <x:v>445.7480822033449</x:v>
      </x:c>
      <x:c r="U92" s="48" t="n">
        <x:f>F92+Inputs!$C$17/2</x:f>
        <x:v>745.7480822033449</x:v>
      </x:c>
      <x:c r="V92" s="48" t="n">
        <x:f>ABS(P92)</x:f>
        <x:v>112.99648127116424</x:v>
      </x:c>
      <x:c r="W92" s="48" t="n">
        <x:f>ABS(Q92)</x:f>
        <x:v>16.966438629303944</x:v>
      </x:c>
      <x:c r="X92" s="48" t="n">
        <x: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(0.45*SIN(2*PI()*(((A92)/Inputs!$C$49)+Inputs!$C$47*0.137))+0.35*COS(2*PI()*(((0)/Inputs!$C$50)+Inputs!$C$47*0.173))+0.20*SIN(2*PI()*(((A92)+(0))/(0.5*(Inputs!$C$49+Inputs!$C$50))+Inputs!$C$47*0.097)))+0.30*(2*((SIN(((A92)*12.9898+(0)*78.233+Inputs!$C$47*37.719))*43758.5453)-INT((SIN(((A92)*12.9898+(0)*78.233+Inputs!$C$47*37.719))*43758.5453)))-1)))</x:f>
        <x:v>-90.49530902944495</x:v>
      </x:c>
      <x:c r="Y92" s="48" t="n">
        <x: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(0.45*SIN(2*PI()*(((A92)/Inputs!$C$49)+Inputs!$C$47*0.137))+0.35*COS(2*PI()*(((Inputs!$C$6)/Inputs!$C$50)+Inputs!$C$47*0.173))+0.20*SIN(2*PI()*(((A92)+(Inputs!$C$6))/(0.5*(Inputs!$C$49+Inputs!$C$50))+Inputs!$C$47*0.097)))+0.30*(2*((SIN(((A92)*12.9898+(Inputs!$C$6)*78.233+Inputs!$C$47*37.719))*43758.5453)-INT((SIN(((A92)*12.9898+(Inputs!$C$6)*78.233+Inputs!$C$47*37.719))*43758.5453)))-1)))</x:f>
        <x:v>416.63024006091615</x:v>
      </x:c>
      <x:c r="Z92" s="48" t="n">
        <x:f>B92-X92/1000</x:f>
        <x:v>400.34049530902945</x:v>
      </x:c>
      <x:c r="AA92" s="48" t="n">
        <x:f>SQRT(A92^2+Inputs!$C$6^2+(B92-Y92/1000)^2)</x:f>
        <x:v>400.8949034018619</x:v>
      </x:c>
      <x:c r="AB92" s="48" t="n">
        <x:f>(AA92-Z92)*1000</x:f>
        <x:v>554.408092832432</x:v>
      </x:c>
      <x:c r="AC92" s="48" t="n">
        <x:f>AB92/Inputs!$C$12</x:f>
        <x:v>311.4652206923775</x:v>
      </x:c>
      <x:c r="AD92" s="48" t="n">
        <x:f>2*AB92/Inputs!$C$21*1000000</x:f>
        <x:v>3.6986126771236654</x:v>
      </x:c>
      <x:c r="AE92" s="48" t="n">
        <x:f>DEGREES(ATAN(H92/(B92-Y92/1000)))</x:f>
        <x:v>4.170471152282782</x:v>
      </x:c>
      <x:c r="AF92" s="48" t="n">
        <x:f>DEGREES((2*PI()/Inputs!$C$13)*Inputs!$C$15*SIN(RADIANS(AE92)))</x:f>
        <x:v>26.180710509558434</x:v>
      </x:c>
      <x:c r="AG92" s="48" t="n">
        <x:f>(Z92/AA92)^4</x:f>
        <x:v>0.9944797592606371</x:v>
      </x:c>
      <x:c r="AH92" s="48" t="n">
        <x:f>10*LOG10(AG92)</x:f>
        <x:v>-0.0240405168572024</x:v>
      </x:c>
      <x:c r="AI92" s="48" t="n">
        <x:f>AC92-F92</x:f>
        <x:v>-284.2828615109674</x:v>
      </x:c>
      <x:c r="AJ92" s="48" t="n">
        <x:f>AD92-G92</x:f>
        <x:v>-3.3758253750968077</x:v>
      </x:c>
      <x:c r="AK92" s="48" t="n">
        <x:f>Y92-X92</x:f>
        <x:v>507.1255490903611</x:v>
      </x:c>
      <x:c r="AL92" s="48" t="n">
        <x:f>1000*(AA93-AA91)/(A93-A91)*Inputs!$C$11</x:f>
        <x:v>-362.9688443518262</x:v>
      </x:c>
      <x:c r="AM92" s="48" t="n">
        <x:f>-2*AL92/Inputs!$C$13</x:f>
        <x:v>145.18753774073048</x:v>
      </x:c>
      <x:c r="AN92" s="48" t="n">
        <x:f>-2*AL92/Inputs!$C$14</x:f>
        <x:v>21.799930591701276</x:v>
      </x:c>
      <x:c r="AO92" s="48" t="n">
        <x:f>ABS(AM92)</x:f>
        <x:v>145.18753774073048</x:v>
      </x:c>
      <x:c r="AP92" s="48" t="n">
        <x:f>ABS(AN92)</x:f>
        <x:v>21.799930591701276</x:v>
      </x:c>
      <x:c r="AQ92" s="48" t="n">
        <x:f>IF(OR(Inputs!$C$27=TRUE,Inputs!$C$27="TRUE",Inputs!$C$27=1),Inputs!$C$46/Inputs!$C$12,0)</x:f>
        <x:v>42.13483146067416</x:v>
      </x:c>
      <x:c r="AR92" s="48" t="n">
        <x:f>AC92-AQ92</x:f>
        <x:v>269.33038923170335</x:v>
      </x:c>
      <x:c r="AS92" s="48" t="n">
        <x:f>AC92+AQ92</x:f>
        <x:v>353.60005215305165</x:v>
      </x:c>
    </x:row>
    <x:row r="93">
      <x:c r="A93" s="48" t="n">
        <x:f>Inputs!$C$7+91*(Inputs!$C$8-Inputs!$C$7)/240</x:f>
        <x:v>-14.5</x:v>
      </x:c>
      <x:c r="B93" s="48" t="n">
        <x:f>Inputs!$C$5+Inputs!$C$9*(A93/Inputs!$C$10)^2</x:f>
        <x:v>400.2336111111111</x:v>
      </x:c>
      <x:c r="C93" s="48" t="n">
        <x:f>B93</x:f>
        <x:v>400.2336111111111</x:v>
      </x:c>
      <x:c r="D93" s="48" t="n">
        <x:f>SQRT(A93^2+Inputs!$C$6^2+B93^2)</x:f>
        <x:v>401.2757075416354</x:v>
      </x:c>
      <x:c r="E93" s="48" t="n">
        <x:f>(D93-C93)*1000</x:f>
        <x:v>1042.0964305243388</x:v>
      </x:c>
      <x:c r="F93" s="48" t="n">
        <x:f>E93/Inputs!$C$12</x:f>
        <x:v>585.4474328788419</x:v>
      </x:c>
      <x:c r="G93" s="48" t="n">
        <x:f>2*E93/Inputs!$C$21*1000000</x:f>
        <x:v>6.9521190591415</x:v>
      </x:c>
      <x:c r="H93" s="48" t="n">
        <x:f>SQRT(A93^2+Inputs!$C$6^2)</x:f>
        <x:v>28.90069203323685</x:v>
      </x:c>
      <x:c r="I93" s="48" t="n">
        <x:f>DEGREES(ATAN(H93/B93))</x:f>
        <x:v>4.130134373943814</x:v>
      </x:c>
      <x:c r="J93" s="48" t="n">
        <x:f>DEGREES((2*PI()/Inputs!$C$13)*Inputs!$C$15*SIN(RADIANS(I93)))</x:f>
        <x:v>25.927931684939455</x:v>
      </x:c>
      <x:c r="K93" s="48" t="n">
        <x:f>(C93/D93)^4</x:f>
        <x:v>0.9896525604465756</x:v>
      </x:c>
      <x:c r="L93" s="48" t="n">
        <x:f>10*LOG10(K93)</x:f>
        <x:v>-0.0451724738687828</x:v>
      </x:c>
      <x:c r="M93" s="48" t="n">
        <x:f>2*(Inputs!$C$9/(Inputs!$C$10^2))*A93</x:f>
        <x:v>-0.03222222222222222</x:v>
      </x:c>
      <x:c r="N93" s="48" t="n">
        <x:f>M93*Inputs!$C$11</x:f>
        <x:v>-0.1288888888888889</x:v>
      </x:c>
      <x:c r="O93" s="48" t="n">
        <x:f>1000*((A93*Inputs!$C$11)+(B93*N93))/D93</x:f>
        <x:v>-273.09319595612055</x:v>
      </x:c>
      <x:c r="P93" s="48" t="n">
        <x:f>-2*O93/Inputs!$C$13</x:f>
        <x:v>109.23727838244822</x:v>
      </x:c>
      <x:c r="Q93" s="48" t="n">
        <x:f>-2*O93/Inputs!$C$14</x:f>
        <x:v>16.401993751118354</x:v>
      </x:c>
      <x:c r="R93" s="48" t="n">
        <x:f>F93-Inputs!$C$16/2</x:f>
        <x:v>570.4474328788419</x:v>
      </x:c>
      <x:c r="S93" s="48" t="n">
        <x:f>F93+Inputs!$C$16/2</x:f>
        <x:v>600.4474328788419</x:v>
      </x:c>
      <x:c r="T93" s="48" t="n">
        <x:f>F93-Inputs!$C$17/2</x:f>
        <x:v>435.44743287884194</x:v>
      </x:c>
      <x:c r="U93" s="48" t="n">
        <x:f>F93+Inputs!$C$17/2</x:f>
        <x:v>735.4474328788419</x:v>
      </x:c>
      <x:c r="V93" s="48" t="n">
        <x:f>ABS(P93)</x:f>
        <x:v>109.23727838244822</x:v>
      </x:c>
      <x:c r="W93" s="48" t="n">
        <x:f>ABS(Q93)</x:f>
        <x:v>16.401993751118354</x:v>
      </x:c>
      <x:c r="X93" s="48" t="n">
        <x: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(0.45*SIN(2*PI()*(((A93)/Inputs!$C$49)+Inputs!$C$47*0.137))+0.35*COS(2*PI()*(((0)/Inputs!$C$50)+Inputs!$C$47*0.173))+0.20*SIN(2*PI()*(((A93)+(0))/(0.5*(Inputs!$C$49+Inputs!$C$50))+Inputs!$C$47*0.097)))+0.30*(2*((SIN(((A93)*12.9898+(0)*78.233+Inputs!$C$47*37.719))*43758.5453)-INT((SIN(((A93)*12.9898+(0)*78.233+Inputs!$C$47*37.719))*43758.5453)))-1)))</x:f>
        <x:v>-86.65248482679937</x:v>
      </x:c>
      <x:c r="Y93" s="48" t="n">
        <x: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(0.45*SIN(2*PI()*(((A93)/Inputs!$C$49)+Inputs!$C$47*0.137))+0.35*COS(2*PI()*(((Inputs!$C$6)/Inputs!$C$50)+Inputs!$C$47*0.173))+0.20*SIN(2*PI()*(((A93)+(Inputs!$C$6))/(0.5*(Inputs!$C$49+Inputs!$C$50))+Inputs!$C$47*0.097)))+0.30*(2*((SIN(((A93)*12.9898+(Inputs!$C$6)*78.233+Inputs!$C$47*37.719))*43758.5453)-INT((SIN(((A93)*12.9898+(Inputs!$C$6)*78.233+Inputs!$C$47*37.719))*43758.5453)))-1)))</x:f>
        <x:v>425.31373753688456</x:v>
      </x:c>
      <x:c r="Z93" s="48" t="n">
        <x:f>B93-X93/1000</x:f>
        <x:v>400.3202635959379</x:v>
      </x:c>
      <x:c r="AA93" s="48" t="n">
        <x:f>SQRT(A93^2+Inputs!$C$6^2+(B93-Y93/1000)^2)</x:f>
        <x:v>400.8514994967043</x:v>
      </x:c>
      <x:c r="AB93" s="48" t="n">
        <x:f>(AA93-Z93)*1000</x:f>
        <x:v>531.2359007664327</x:v>
      </x:c>
      <x:c r="AC93" s="48" t="n">
        <x:f>AB93/Inputs!$C$12</x:f>
        <x:v>298.44713526204083</x:v>
      </x:c>
      <x:c r="AD93" s="48" t="n">
        <x:f>2*AB93/Inputs!$C$21*1000000</x:f>
        <x:v>3.544024451518608</x:v>
      </x:c>
      <x:c r="AE93" s="48" t="n">
        <x:f>DEGREES(ATAN(H93/(B93-Y93/1000)))</x:f>
        <x:v>4.134512758505744</x:v>
      </x:c>
      <x:c r="AF93" s="48" t="n">
        <x:f>DEGREES((2*PI()/Inputs!$C$13)*Inputs!$C$15*SIN(RADIANS(AE93)))</x:f>
        <x:v>25.95537036790056</x:v>
      </x:c>
      <x:c r="AG93" s="48" t="n">
        <x:f>(Z93/AA93)^4</x:f>
        <x:v>0.9947094543612891</x:v>
      </x:c>
      <x:c r="AH93" s="48" t="n">
        <x:f>10*LOG10(AG93)</x:f>
        <x:v>-0.023037542233234</x:v>
      </x:c>
      <x:c r="AI93" s="48" t="n">
        <x:f>AC93-F93</x:f>
        <x:v>-287.0002976168011</x:v>
      </x:c>
      <x:c r="AJ93" s="48" t="n">
        <x:f>AD93-G93</x:f>
        <x:v>-3.408094607622892</x:v>
      </x:c>
      <x:c r="AK93" s="48" t="n">
        <x:f>Y93-X93</x:f>
        <x:v>511.9662223636839</x:v>
      </x:c>
      <x:c r="AL93" s="48" t="n">
        <x:f>1000*(AA94-AA92)/(A94-A92)*Inputs!$C$11</x:f>
        <x:v>-290.5071518562181</x:v>
      </x:c>
      <x:c r="AM93" s="48" t="n">
        <x:f>-2*AL93/Inputs!$C$13</x:f>
        <x:v>116.20286074248725</x:v>
      </x:c>
      <x:c r="AN93" s="48" t="n">
        <x:f>-2*AL93/Inputs!$C$14</x:f>
        <x:v>17.44787698836145</x:v>
      </x:c>
      <x:c r="AO93" s="48" t="n">
        <x:f>ABS(AM93)</x:f>
        <x:v>116.20286074248725</x:v>
      </x:c>
      <x:c r="AP93" s="48" t="n">
        <x:f>ABS(AN93)</x:f>
        <x:v>17.44787698836145</x:v>
      </x:c>
      <x:c r="AQ93" s="48" t="n">
        <x:f>IF(OR(Inputs!$C$27=TRUE,Inputs!$C$27="TRUE",Inputs!$C$27=1),Inputs!$C$46/Inputs!$C$12,0)</x:f>
        <x:v>42.13483146067416</x:v>
      </x:c>
      <x:c r="AR93" s="48" t="n">
        <x:f>AC93-AQ93</x:f>
        <x:v>256.3123038013667</x:v>
      </x:c>
      <x:c r="AS93" s="48" t="n">
        <x:f>AC93+AQ93</x:f>
        <x:v>340.581966722715</x:v>
      </x:c>
    </x:row>
    <x:row r="94">
      <x:c r="A94" s="48" t="n">
        <x:f>Inputs!$C$7+92*(Inputs!$C$8-Inputs!$C$7)/240</x:f>
        <x:v>-14</x:v>
      </x:c>
      <x:c r="B94" s="48" t="n">
        <x:f>Inputs!$C$5+Inputs!$C$9*(A94/Inputs!$C$10)^2</x:f>
        <x:v>400.21777777777777</x:v>
      </x:c>
      <x:c r="C94" s="48" t="n">
        <x:f>B94</x:f>
        <x:v>400.21777777777777</x:v>
      </x:c>
      <x:c r="D94" s="48" t="n">
        <x:f>SQRT(A94^2+Inputs!$C$6^2+B94^2)</x:f>
        <x:v>401.2421583649738</x:v>
      </x:c>
      <x:c r="E94" s="48" t="n">
        <x:f>(D94-C94)*1000</x:f>
        <x:v>1024.380587196049</x:v>
      </x:c>
      <x:c r="F94" s="48" t="n">
        <x:f>E94/Inputs!$C$12</x:f>
        <x:v>575.4947119078927</x:v>
      </x:c>
      <x:c r="G94" s="48" t="n">
        <x:f>2*E94/Inputs!$C$21*1000000</x:f>
        <x:v>6.833931674132036</x:v>
      </x:c>
      <x:c r="H94" s="48" t="n">
        <x:f>SQRT(A94^2+Inputs!$C$6^2)</x:f>
        <x:v>28.653097563788805</x:v>
      </x:c>
      <x:c r="I94" s="48" t="n">
        <x:f>DEGREES(ATAN(H94/B94))</x:f>
        <x:v>4.095033523300829</x:v>
      </x:c>
      <x:c r="J94" s="48" t="n">
        <x:f>DEGREES((2*PI()/Inputs!$C$13)*Inputs!$C$15*SIN(RADIANS(I94)))</x:f>
        <x:v>25.707954430803454</x:v>
      </x:c>
      <x:c r="K94" s="48" t="n">
        <x:f>(C94/D94)^4</x:f>
        <x:v>0.989826947769989</x:v>
      </x:c>
      <x:c r="L94" s="48" t="n">
        <x:f>10*LOG10(K94)</x:f>
        <x:v>-0.044407268145218504</x:v>
      </x:c>
      <x:c r="M94" s="48" t="n">
        <x:f>2*(Inputs!$C$9/(Inputs!$C$10^2))*A94</x:f>
        <x:v>-0.03111111111111111</x:v>
      </x:c>
      <x:c r="N94" s="48" t="n">
        <x:f>M94*Inputs!$C$11</x:f>
        <x:v>-0.12444444444444444</x:v>
      </x:c>
      <x:c r="O94" s="48" t="n">
        <x:f>1000*((A94*Inputs!$C$11)+(B94*N94))/D94</x:f>
        <x:v>-263.6933253561669</x:v>
      </x:c>
      <x:c r="P94" s="48" t="n">
        <x:f>-2*O94/Inputs!$C$13</x:f>
        <x:v>105.47733014246676</x:v>
      </x:c>
      <x:c r="Q94" s="48" t="n">
        <x:f>-2*O94/Inputs!$C$14</x:f>
        <x:v>15.837436958328343</x:v>
      </x:c>
      <x:c r="R94" s="48" t="n">
        <x:f>F94-Inputs!$C$16/2</x:f>
        <x:v>560.4947119078927</x:v>
      </x:c>
      <x:c r="S94" s="48" t="n">
        <x:f>F94+Inputs!$C$16/2</x:f>
        <x:v>590.4947119078927</x:v>
      </x:c>
      <x:c r="T94" s="48" t="n">
        <x:f>F94-Inputs!$C$17/2</x:f>
        <x:v>425.4947119078927</x:v>
      </x:c>
      <x:c r="U94" s="48" t="n">
        <x:f>F94+Inputs!$C$17/2</x:f>
        <x:v>725.4947119078927</x:v>
      </x:c>
      <x:c r="V94" s="48" t="n">
        <x:f>ABS(P94)</x:f>
        <x:v>105.47733014246676</x:v>
      </x:c>
      <x:c r="W94" s="48" t="n">
        <x:f>ABS(Q94)</x:f>
        <x:v>15.837436958328343</x:v>
      </x:c>
      <x:c r="X94" s="48" t="n">
        <x: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(0.45*SIN(2*PI()*(((A94)/Inputs!$C$49)+Inputs!$C$47*0.137))+0.35*COS(2*PI()*(((0)/Inputs!$C$50)+Inputs!$C$47*0.173))+0.20*SIN(2*PI()*(((A94)+(0))/(0.5*(Inputs!$C$49+Inputs!$C$50))+Inputs!$C$47*0.097)))+0.30*(2*((SIN(((A94)*12.9898+(0)*78.233+Inputs!$C$47*37.719))*43758.5453)-INT((SIN(((A94)*12.9898+(0)*78.233+Inputs!$C$47*37.719))*43758.5453)))-1)))</x:f>
        <x:v>-84.36597258140502</x:v>
      </x:c>
      <x:c r="Y94" s="48" t="n">
        <x: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(0.45*SIN(2*PI()*(((A94)/Inputs!$C$49)+Inputs!$C$47*0.137))+0.35*COS(2*PI()*(((Inputs!$C$6)/Inputs!$C$50)+Inputs!$C$47*0.173))+0.20*SIN(2*PI()*(((A94)+(Inputs!$C$6))/(0.5*(Inputs!$C$49+Inputs!$C$50))+Inputs!$C$47*0.097)))+0.30*(2*((SIN(((A94)*12.9898+(Inputs!$C$6)*78.233+Inputs!$C$47*37.719))*43758.5453)-INT((SIN(((A94)*12.9898+(Inputs!$C$6)*78.233+Inputs!$C$47*37.719))*43758.5453)))-1)))</x:f>
        <x:v>420.9575928892744</x:v>
      </x:c>
      <x:c r="Z94" s="48" t="n">
        <x:f>B94-X94/1000</x:f>
        <x:v>400.30214375035916</x:v>
      </x:c>
      <x:c r="AA94" s="48" t="n">
        <x:f>SQRT(A94^2+Inputs!$C$6^2+(B94-Y94/1000)^2)</x:f>
        <x:v>400.8222766138978</x:v>
      </x:c>
      <x:c r="AB94" s="48" t="n">
        <x:f>(AA94-Z94)*1000</x:f>
        <x:v>520.1328635386631</x:v>
      </x:c>
      <x:c r="AC94" s="48" t="n">
        <x:f>AB94/Inputs!$C$12</x:f>
        <x:v>292.2094738981253</x:v>
      </x:c>
      <x:c r="AD94" s="48" t="n">
        <x:f>2*AB94/Inputs!$C$21*1000000</x:f>
        <x:v>3.4699529601819608</x:v>
      </x:c>
      <x:c r="AE94" s="48" t="n">
        <x:f>DEGREES(ATAN(H94/(B94-Y94/1000)))</x:f>
        <x:v>4.0993306103383205</x:v>
      </x:c>
      <x:c r="AF94" s="48" t="n">
        <x:f>DEGREES((2*PI()/Inputs!$C$13)*Inputs!$C$15*SIN(RADIANS(AE94)))</x:f>
        <x:v>25.734884822532617</x:v>
      </x:c>
      <x:c r="AG94" s="48" t="n">
        <x:f>(Z94/AA94)^4</x:f>
        <x:v>0.9948194366188111</x:v>
      </x:c>
      <x:c r="AH94" s="48" t="n">
        <x:f>10*LOG10(AG94)</x:f>
        <x:v>-0.022557381449298898</x:v>
      </x:c>
      <x:c r="AI94" s="48" t="n">
        <x:f>AC94-F94</x:f>
        <x:v>-283.2852380097674</x:v>
      </x:c>
      <x:c r="AJ94" s="48" t="n">
        <x:f>AD94-G94</x:f>
        <x:v>-3.3639787139500754</x:v>
      </x:c>
      <x:c r="AK94" s="48" t="n">
        <x:f>Y94-X94</x:f>
        <x:v>505.3235654706794</x:v>
      </x:c>
      <x:c r="AL94" s="48" t="n">
        <x:f>1000*(AA95-AA93)/(A95-A93)*Inputs!$C$11</x:f>
        <x:v>-237.7310433726052</x:v>
      </x:c>
      <x:c r="AM94" s="48" t="n">
        <x:f>-2*AL94/Inputs!$C$13</x:f>
        <x:v>95.09241734904208</x:v>
      </x:c>
      <x:c r="AN94" s="48" t="n">
        <x:f>-2*AL94/Inputs!$C$14</x:f>
        <x:v>14.278140743099412</x:v>
      </x:c>
      <x:c r="AO94" s="48" t="n">
        <x:f>ABS(AM94)</x:f>
        <x:v>95.09241734904208</x:v>
      </x:c>
      <x:c r="AP94" s="48" t="n">
        <x:f>ABS(AN94)</x:f>
        <x:v>14.278140743099412</x:v>
      </x:c>
      <x:c r="AQ94" s="48" t="n">
        <x:f>IF(OR(Inputs!$C$27=TRUE,Inputs!$C$27="TRUE",Inputs!$C$27=1),Inputs!$C$46/Inputs!$C$12,0)</x:f>
        <x:v>42.13483146067416</x:v>
      </x:c>
      <x:c r="AR94" s="48" t="n">
        <x:f>AC94-AQ94</x:f>
        <x:v>250.07464243745113</x:v>
      </x:c>
      <x:c r="AS94" s="48" t="n">
        <x:f>AC94+AQ94</x:f>
        <x:v>334.34430535879943</x:v>
      </x:c>
    </x:row>
    <x:row r="95">
      <x:c r="A95" s="48" t="n">
        <x:f>Inputs!$C$7+93*(Inputs!$C$8-Inputs!$C$7)/240</x:f>
        <x:v>-13.5</x:v>
      </x:c>
      <x:c r="B95" s="48" t="n">
        <x:f>Inputs!$C$5+Inputs!$C$9*(A95/Inputs!$C$10)^2</x:f>
        <x:v>400.2025</x:v>
      </x:c>
      <x:c r="C95" s="48" t="n">
        <x:f>B95</x:f>
        <x:v>400.2025</x:v>
      </x:c>
      <x:c r="D95" s="48" t="n">
        <x:f>SQRT(A95^2+Inputs!$C$6^2+B95^2)</x:f>
        <x:v>401.20978428529133</x:v>
      </x:c>
      <x:c r="E95" s="48" t="n">
        <x:f>(D95-C95)*1000</x:f>
        <x:v>1007.2842852913482</x:v>
      </x:c>
      <x:c r="F95" s="48" t="n">
        <x:f>E95/Inputs!$C$12</x:f>
        <x:v>565.8900479164877</x:v>
      </x:c>
      <x:c r="G95" s="48" t="n">
        <x:f>2*E95/Inputs!$C$21*1000000</x:f>
        <x:v>6.719877424610516</x:v>
      </x:c>
      <x:c r="H95" s="48" t="n">
        <x:f>SQRT(A95^2+Inputs!$C$6^2)</x:f>
        <x:v>28.412145290350743</x:v>
      </x:c>
      <x:c r="I95" s="48" t="n">
        <x:f>DEGREES(ATAN(H95/B95))</x:f>
        <x:v>4.060867373737527</x:v>
      </x:c>
      <x:c r="J95" s="48" t="n">
        <x:f>DEGREES((2*PI()/Inputs!$C$13)*Inputs!$C$15*SIN(RADIANS(I95)))</x:f>
        <x:v>25.49382568709516</x:v>
      </x:c>
      <x:c r="K95" s="48" t="n">
        <x:f>(C95/D95)^4</x:f>
        <x:v>0.989995286142351</x:v>
      </x:c>
      <x:c r="L95" s="48" t="n">
        <x:f>10*LOG10(K95)</x:f>
        <x:v>-0.043668732885503894</x:v>
      </x:c>
      <x:c r="M95" s="48" t="n">
        <x:f>2*(Inputs!$C$9/(Inputs!$C$10^2))*A95</x:f>
        <x:v>-0.03</x:v>
      </x:c>
      <x:c r="N95" s="48" t="n">
        <x:f>M95*Inputs!$C$11</x:f>
        <x:v>-0.12</x:v>
      </x:c>
      <x:c r="O95" s="48" t="n">
        <x:f>1000*((A95*Inputs!$C$11)+(B95*N95))/D95</x:f>
        <x:v>-254.2916548801133</x:v>
      </x:c>
      <x:c r="P95" s="48" t="n">
        <x:f>-2*O95/Inputs!$C$13</x:f>
        <x:v>101.71666195204531</x:v>
      </x:c>
      <x:c r="Q95" s="48" t="n">
        <x:f>-2*O95/Inputs!$C$14</x:f>
        <x:v>15.27277206487167</x:v>
      </x:c>
      <x:c r="R95" s="48" t="n">
        <x:f>F95-Inputs!$C$16/2</x:f>
        <x:v>550.8900479164877</x:v>
      </x:c>
      <x:c r="S95" s="48" t="n">
        <x:f>F95+Inputs!$C$16/2</x:f>
        <x:v>580.8900479164877</x:v>
      </x:c>
      <x:c r="T95" s="48" t="n">
        <x:f>F95-Inputs!$C$17/2</x:f>
        <x:v>415.8900479164877</x:v>
      </x:c>
      <x:c r="U95" s="48" t="n">
        <x:f>F95+Inputs!$C$17/2</x:f>
        <x:v>715.8900479164877</x:v>
      </x:c>
      <x:c r="V95" s="48" t="n">
        <x:f>ABS(P95)</x:f>
        <x:v>101.71666195204531</x:v>
      </x:c>
      <x:c r="W95" s="48" t="n">
        <x:f>ABS(Q95)</x:f>
        <x:v>15.27277206487167</x:v>
      </x:c>
      <x:c r="X95" s="48" t="n">
        <x: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(0.45*SIN(2*PI()*(((A95)/Inputs!$C$49)+Inputs!$C$47*0.137))+0.35*COS(2*PI()*(((0)/Inputs!$C$50)+Inputs!$C$47*0.173))+0.20*SIN(2*PI()*(((A95)+(0))/(0.5*(Inputs!$C$49+Inputs!$C$50))+Inputs!$C$47*0.097)))+0.30*(2*((SIN(((A95)*12.9898+(0)*78.233+Inputs!$C$47*37.719))*43758.5453)-INT((SIN(((A95)*12.9898+(0)*78.233+Inputs!$C$47*37.719))*43758.5453)))-1)))</x:f>
        <x:v>-61.03205493353448</x:v>
      </x:c>
      <x:c r="Y95" s="48" t="n">
        <x: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(0.45*SIN(2*PI()*(((A95)/Inputs!$C$49)+Inputs!$C$47*0.137))+0.35*COS(2*PI()*(((Inputs!$C$6)/Inputs!$C$50)+Inputs!$C$47*0.173))+0.20*SIN(2*PI()*(((A95)+(Inputs!$C$6))/(0.5*(Inputs!$C$49+Inputs!$C$50))+Inputs!$C$47*0.097)))+0.30*(2*((SIN(((A95)*12.9898+(Inputs!$C$6)*78.233+Inputs!$C$47*37.719))*43758.5453)-INT((SIN(((A95)*12.9898+(Inputs!$C$6)*78.233+Inputs!$C$47*37.719))*43758.5453)))-1)))</x:f>
        <x:v>418.7700178970381</x:v>
      </x:c>
      <x:c r="Z95" s="48" t="n">
        <x:f>B95-X95/1000</x:f>
        <x:v>400.26353205493353</x:v>
      </x:c>
      <x:c r="AA95" s="48" t="n">
        <x:f>SQRT(A95^2+Inputs!$C$6^2+(B95-Y95/1000)^2)</x:f>
        <x:v>400.79206673586117</x:v>
      </x:c>
      <x:c r="AB95" s="48" t="n">
        <x:f>(AA95-Z95)*1000</x:f>
        <x:v>528.5346809276348</x:v>
      </x:c>
      <x:c r="AC95" s="48" t="n">
        <x:f>AB95/Inputs!$C$12</x:f>
        <x:v>296.9295960267611</x:v>
      </x:c>
      <x:c r="AD95" s="48" t="n">
        <x:f>2*AB95/Inputs!$C$21*1000000</x:f>
        <x:v>3.52600385248941</x:v>
      </x:c>
      <x:c r="AE95" s="48" t="n">
        <x:f>DEGREES(ATAN(H95/(B95-Y95/1000)))</x:f>
        <x:v>4.065106844144217</x:v>
      </x:c>
      <x:c r="AF95" s="48" t="n">
        <x:f>DEGREES((2*PI()/Inputs!$C$13)*Inputs!$C$15*SIN(RADIANS(AE95)))</x:f>
        <x:v>25.520396119185655</x:v>
      </x:c>
      <x:c r="AG95" s="48" t="n">
        <x:f>(Z95/AA95)^4</x:f>
        <x:v>0.9947355234259572</x:v>
      </x:c>
      <x:c r="AH95" s="48" t="n">
        <x:f>10*LOG10(AG95)</x:f>
        <x:v>-0.022923725052454602</x:v>
      </x:c>
      <x:c r="AI95" s="48" t="n">
        <x:f>AC95-F95</x:f>
        <x:v>-268.9604518897266</x:v>
      </x:c>
      <x:c r="AJ95" s="48" t="n">
        <x:f>AD95-G95</x:f>
        <x:v>-3.193873572121106</x:v>
      </x:c>
      <x:c r="AK95" s="48" t="n">
        <x:f>Y95-X95</x:f>
        <x:v>479.80207283057257</x:v>
      </x:c>
      <x:c r="AL95" s="48" t="n">
        <x:f>1000*(AA96-AA94)/(A96-A94)*Inputs!$C$11</x:f>
        <x:v>-302.0210785894051</x:v>
      </x:c>
      <x:c r="AM95" s="48" t="n">
        <x:f>-2*AL95/Inputs!$C$13</x:f>
        <x:v>120.80843143576203</x:v>
      </x:c>
      <x:c r="AN95" s="48" t="n">
        <x:f>-2*AL95/Inputs!$C$14</x:f>
        <x:v>18.13940411948379</x:v>
      </x:c>
      <x:c r="AO95" s="48" t="n">
        <x:f>ABS(AM95)</x:f>
        <x:v>120.80843143576203</x:v>
      </x:c>
      <x:c r="AP95" s="48" t="n">
        <x:f>ABS(AN95)</x:f>
        <x:v>18.13940411948379</x:v>
      </x:c>
      <x:c r="AQ95" s="48" t="n">
        <x:f>IF(OR(Inputs!$C$27=TRUE,Inputs!$C$27="TRUE",Inputs!$C$27=1),Inputs!$C$46/Inputs!$C$12,0)</x:f>
        <x:v>42.13483146067416</x:v>
      </x:c>
      <x:c r="AR95" s="48" t="n">
        <x:f>AC95-AQ95</x:f>
        <x:v>254.79476456608694</x:v>
      </x:c>
      <x:c r="AS95" s="48" t="n">
        <x:f>AC95+AQ95</x:f>
        <x:v>339.06442748743524</x:v>
      </x:c>
    </x:row>
    <x:row r="96">
      <x:c r="A96" s="48" t="n">
        <x:f>Inputs!$C$7+94*(Inputs!$C$8-Inputs!$C$7)/240</x:f>
        <x:v>-13</x:v>
      </x:c>
      <x:c r="B96" s="48" t="n">
        <x:f>Inputs!$C$5+Inputs!$C$9*(A96/Inputs!$C$10)^2</x:f>
        <x:v>400.1877777777778</x:v>
      </x:c>
      <x:c r="C96" s="48" t="n">
        <x:f>B96</x:f>
        <x:v>400.1877777777778</x:v>
      </x:c>
      <x:c r="D96" s="48" t="n">
        <x:f>SQRT(A96^2+Inputs!$C$6^2+B96^2)</x:f>
        <x:v>401.1785855235995</x:v>
      </x:c>
      <x:c r="E96" s="48" t="n">
        <x:f>(D96-C96)*1000</x:f>
        <x:v>990.8077458217122</x:v>
      </x:c>
      <x:c r="F96" s="48" t="n">
        <x:f>E96/Inputs!$C$12</x:f>
        <x:v>556.6335650683776</x:v>
      </x:c>
      <x:c r="G96" s="48" t="n">
        <x:f>2*E96/Inputs!$C$21*1000000</x:f>
        <x:v>6.6099577850068005</x:v>
      </x:c>
      <x:c r="H96" s="48" t="n">
        <x:f>SQRT(A96^2+Inputs!$C$6^2)</x:f>
        <x:v>28.178005607210743</x:v>
      </x:c>
      <x:c r="I96" s="48" t="n">
        <x:f>DEGREES(ATAN(H96/B96))</x:f>
        <x:v>4.027660713508556</x:v>
      </x:c>
      <x:c r="J96" s="48" t="n">
        <x:f>DEGREES((2*PI()/Inputs!$C$13)*Inputs!$C$15*SIN(RADIANS(I96)))</x:f>
        <x:v>25.285701641717207</x:v>
      </x:c>
      <x:c r="K96" s="48" t="n">
        <x:f>(C96/D96)^4</x:f>
        <x:v>0.990157568110751</x:v>
      </x:c>
      <x:c r="L96" s="48" t="n">
        <x:f>10*LOG10(K96)</x:f>
        <x:v>-0.042956887197481294</x:v>
      </x:c>
      <x:c r="M96" s="48" t="n">
        <x:f>2*(Inputs!$C$9/(Inputs!$C$10^2))*A96</x:f>
        <x:v>-0.028888888888888888</x:v>
      </x:c>
      <x:c r="N96" s="48" t="n">
        <x:f>M96*Inputs!$C$11</x:f>
        <x:v>-0.11555555555555555</x:v>
      </x:c>
      <x:c r="O96" s="48" t="n">
        <x:f>1000*((A96*Inputs!$C$11)+(B96*N96))/D96</x:f>
        <x:v>-244.888248108834</x:v>
      </x:c>
      <x:c r="P96" s="48" t="n">
        <x:f>-2*O96/Inputs!$C$13</x:f>
        <x:v>97.9552992435336</x:v>
      </x:c>
      <x:c r="Q96" s="48" t="n">
        <x:f>-2*O96/Inputs!$C$14</x:f>
        <x:v>14.708002889419461</x:v>
      </x:c>
      <x:c r="R96" s="48" t="n">
        <x:f>F96-Inputs!$C$16/2</x:f>
        <x:v>541.6335650683776</x:v>
      </x:c>
      <x:c r="S96" s="48" t="n">
        <x:f>F96+Inputs!$C$16/2</x:f>
        <x:v>571.6335650683776</x:v>
      </x:c>
      <x:c r="T96" s="48" t="n">
        <x:f>F96-Inputs!$C$17/2</x:f>
        <x:v>406.6335650683776</x:v>
      </x:c>
      <x:c r="U96" s="48" t="n">
        <x:f>F96+Inputs!$C$17/2</x:f>
        <x:v>706.6335650683776</x:v>
      </x:c>
      <x:c r="V96" s="48" t="n">
        <x:f>ABS(P96)</x:f>
        <x:v>97.9552992435336</x:v>
      </x:c>
      <x:c r="W96" s="48" t="n">
        <x:f>ABS(Q96)</x:f>
        <x:v>14.708002889419461</x:v>
      </x:c>
      <x:c r="X96" s="48" t="n">
        <x: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(0.45*SIN(2*PI()*(((A96)/Inputs!$C$49)+Inputs!$C$47*0.137))+0.35*COS(2*PI()*(((0)/Inputs!$C$50)+Inputs!$C$47*0.173))+0.20*SIN(2*PI()*(((A96)+(0))/(0.5*(Inputs!$C$49+Inputs!$C$50))+Inputs!$C$47*0.097)))+0.30*(2*((SIN(((A96)*12.9898+(0)*78.233+Inputs!$C$47*37.719))*43758.5453)-INT((SIN(((A96)*12.9898+(0)*78.233+Inputs!$C$47*37.719))*43758.5453)))-1)))</x:f>
        <x:v>-64.09243482429542</x:v>
      </x:c>
      <x:c r="Y96" s="48" t="n">
        <x: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(0.45*SIN(2*PI()*(((A96)/Inputs!$C$49)+Inputs!$C$47*0.137))+0.35*COS(2*PI()*(((Inputs!$C$6)/Inputs!$C$50)+Inputs!$C$47*0.173))+0.20*SIN(2*PI()*(((A96)+(Inputs!$C$6))/(0.5*(Inputs!$C$49+Inputs!$C$50))+Inputs!$C$47*0.097)))+0.30*(2*((SIN(((A96)*12.9898+(Inputs!$C$6)*78.233+Inputs!$C$47*37.719))*43758.5453)-INT((SIN(((A96)*12.9898+(Inputs!$C$6)*78.233+Inputs!$C$47*37.719))*43758.5453)))-1)))</x:f>
        <x:v>432.8844458249992</x:v>
      </x:c>
      <x:c r="Z96" s="48" t="n">
        <x:f>B96-X96/1000</x:f>
        <x:v>400.2518702126021</x:v>
      </x:c>
      <x:c r="AA96" s="48" t="n">
        <x:f>SQRT(A96^2+Inputs!$C$6^2+(B96-Y96/1000)^2)</x:f>
        <x:v>400.7467713442505</x:v>
      </x:c>
      <x:c r="AB96" s="48" t="n">
        <x:f>(AA96-Z96)*1000</x:f>
        <x:v>494.901131648362</x:v>
      </x:c>
      <x:c r="AC96" s="48" t="n">
        <x:f>AB96/Inputs!$C$12</x:f>
        <x:v>278.0343436226753</x:v>
      </x:c>
      <x:c r="AD96" s="48" t="n">
        <x:f>2*AB96/Inputs!$C$21*1000000</x:f>
        <x:v>3.3016249638165482</x:v>
      </x:c>
      <x:c r="AE96" s="48" t="n">
        <x:f>DEGREES(ATAN(H96/(B96-Y96/1000)))</x:f>
        <x:v>4.032007788080743</x:v>
      </x:c>
      <x:c r="AF96" s="48" t="n">
        <x:f>DEGREES((2*PI()/Inputs!$C$13)*Inputs!$C$15*SIN(RADIANS(AE96)))</x:f>
        <x:v>25.31294758674893</x:v>
      </x:c>
      <x:c r="AG96" s="48" t="n">
        <x:f>(Z96/AA96)^4</x:f>
        <x:v>0.9950693539531061</x:v>
      </x:c>
      <x:c r="AH96" s="48" t="n">
        <x:f>10*LOG10(AG96)</x:f>
        <x:v>-0.0214664891310826</x:v>
      </x:c>
      <x:c r="AI96" s="48" t="n">
        <x:f>AC96-F96</x:f>
        <x:v>-278.5992214457023</x:v>
      </x:c>
      <x:c r="AJ96" s="48" t="n">
        <x:f>AD96-G96</x:f>
        <x:v>-3.3083328211902523</x:v>
      </x:c>
      <x:c r="AK96" s="48" t="n">
        <x:f>Y96-X96</x:f>
        <x:v>496.9768806492946</x:v>
      </x:c>
      <x:c r="AL96" s="48" t="n">
        <x:f>1000*(AA97-AA95)/(A97-A95)*Inputs!$C$11</x:f>
        <x:v>-365.1224368347812</x:v>
      </x:c>
      <x:c r="AM96" s="48" t="n">
        <x:f>-2*AL96/Inputs!$C$13</x:f>
        <x:v>146.04897473391247</x:v>
      </x:c>
      <x:c r="AN96" s="48" t="n">
        <x:f>-2*AL96/Inputs!$C$14</x:f>
        <x:v>21.929275485572447</x:v>
      </x:c>
      <x:c r="AO96" s="48" t="n">
        <x:f>ABS(AM96)</x:f>
        <x:v>146.04897473391247</x:v>
      </x:c>
      <x:c r="AP96" s="48" t="n">
        <x:f>ABS(AN96)</x:f>
        <x:v>21.929275485572447</x:v>
      </x:c>
      <x:c r="AQ96" s="48" t="n">
        <x:f>IF(OR(Inputs!$C$27=TRUE,Inputs!$C$27="TRUE",Inputs!$C$27=1),Inputs!$C$46/Inputs!$C$12,0)</x:f>
        <x:v>42.13483146067416</x:v>
      </x:c>
      <x:c r="AR96" s="48" t="n">
        <x:f>AC96-AQ96</x:f>
        <x:v>235.89951216200114</x:v>
      </x:c>
      <x:c r="AS96" s="48" t="n">
        <x:f>AC96+AQ96</x:f>
        <x:v>320.16917508334944</x:v>
      </x:c>
    </x:row>
    <x:row r="97">
      <x:c r="A97" s="48" t="n">
        <x:f>Inputs!$C$7+95*(Inputs!$C$8-Inputs!$C$7)/240</x:f>
        <x:v>-12.5</x:v>
      </x:c>
      <x:c r="B97" s="48" t="n">
        <x:f>Inputs!$C$5+Inputs!$C$9*(A97/Inputs!$C$10)^2</x:f>
        <x:v>400.1736111111111</x:v>
      </x:c>
      <x:c r="C97" s="48" t="n">
        <x:f>B97</x:f>
        <x:v>400.1736111111111</x:v>
      </x:c>
      <x:c r="D97" s="48" t="n">
        <x:f>SQRT(A97^2+Inputs!$C$6^2+B97^2)</x:f>
        <x:v>401.1485622929575</x:v>
      </x:c>
      <x:c r="E97" s="48" t="n">
        <x:f>(D97-C97)*1000</x:f>
        <x:v>974.951181846393</x:v>
      </x:c>
      <x:c r="F97" s="48" t="n">
        <x:f>E97/Inputs!$C$12</x:f>
        <x:v>547.7253830597713</x:v>
      </x:c>
      <x:c r="G97" s="48" t="n">
        <x:f>2*E97/Inputs!$C$21*1000000</x:f>
        <x:v>6.504174176699221</x:v>
      </x:c>
      <x:c r="H97" s="48" t="n">
        <x:f>SQRT(A97^2+Inputs!$C$6^2)</x:f>
        <x:v>27.95084971874737</x:v>
      </x:c>
      <x:c r="I97" s="48" t="n">
        <x:f>DEGREES(ATAN(H97/B97))</x:f>
        <x:v>3.9954384393380815</x:v>
      </x:c>
      <x:c r="J97" s="48" t="n">
        <x:f>DEGREES((2*PI()/Inputs!$C$13)*Inputs!$C$15*SIN(RADIANS(I97)))</x:f>
        <x:v>25.083739154474607</x:v>
      </x:c>
      <x:c r="K97" s="48" t="n">
        <x:f>(C97/D97)^4</x:f>
        <x:v>0.9903137864866547</x:v>
      </x:c>
      <x:c r="L97" s="48" t="n">
        <x:f>10*LOG10(K97)</x:f>
        <x:v>-0.0422717495042741</x:v>
      </x:c>
      <x:c r="M97" s="48" t="n">
        <x:f>2*(Inputs!$C$9/(Inputs!$C$10^2))*A97</x:f>
        <x:v>-0.027777777777777776</x:v>
      </x:c>
      <x:c r="N97" s="48" t="n">
        <x:f>M97*Inputs!$C$11</x:f>
        <x:v>-0.1111111111111111</x:v>
      </x:c>
      <x:c r="O97" s="48" t="n">
        <x:f>1000*((A97*Inputs!$C$11)+(B97*N97))/D97</x:f>
        <x:v>-235.48316869926774</x:v>
      </x:c>
      <x:c r="P97" s="48" t="n">
        <x:f>-2*O97/Inputs!$C$13</x:f>
        <x:v>94.19326747970709</x:v>
      </x:c>
      <x:c r="Q97" s="48" t="n">
        <x:f>-2*O97/Inputs!$C$14</x:f>
        <x:v>14.143133255211277</x:v>
      </x:c>
      <x:c r="R97" s="48" t="n">
        <x:f>F97-Inputs!$C$16/2</x:f>
        <x:v>532.7253830597713</x:v>
      </x:c>
      <x:c r="S97" s="48" t="n">
        <x:f>F97+Inputs!$C$16/2</x:f>
        <x:v>562.7253830597713</x:v>
      </x:c>
      <x:c r="T97" s="48" t="n">
        <x:f>F97-Inputs!$C$17/2</x:f>
        <x:v>397.7253830597713</x:v>
      </x:c>
      <x:c r="U97" s="48" t="n">
        <x:f>F97+Inputs!$C$17/2</x:f>
        <x:v>697.7253830597713</x:v>
      </x:c>
      <x:c r="V97" s="48" t="n">
        <x:f>ABS(P97)</x:f>
        <x:v>94.19326747970709</x:v>
      </x:c>
      <x:c r="W97" s="48" t="n">
        <x:f>ABS(Q97)</x:f>
        <x:v>14.143133255211277</x:v>
      </x:c>
      <x:c r="X97" s="48" t="n">
        <x: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(0.45*SIN(2*PI()*(((A97)/Inputs!$C$49)+Inputs!$C$47*0.137))+0.35*COS(2*PI()*(((0)/Inputs!$C$50)+Inputs!$C$47*0.173))+0.20*SIN(2*PI()*(((A97)+(0))/(0.5*(Inputs!$C$49+Inputs!$C$50))+Inputs!$C$47*0.097)))+0.30*(2*((SIN(((A97)*12.9898+(0)*78.233+Inputs!$C$47*37.719))*43758.5453)-INT((SIN(((A97)*12.9898+(0)*78.233+Inputs!$C$47*37.719))*43758.5453)))-1)))</x:f>
        <x:v>-70.18392228131138</x:v>
      </x:c>
      <x:c r="Y97" s="48" t="n">
        <x: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(0.45*SIN(2*PI()*(((A97)/Inputs!$C$49)+Inputs!$C$47*0.137))+0.35*COS(2*PI()*(((Inputs!$C$6)/Inputs!$C$50)+Inputs!$C$47*0.173))+0.20*SIN(2*PI()*(((A97)+(Inputs!$C$6))/(0.5*(Inputs!$C$49+Inputs!$C$50))+Inputs!$C$47*0.097)))+0.30*(2*((SIN(((A97)*12.9898+(Inputs!$C$6)*78.233+Inputs!$C$47*37.719))*43758.5453)-INT((SIN(((A97)*12.9898+(Inputs!$C$6)*78.233+Inputs!$C$47*37.719))*43758.5453)))-1)))</x:f>
        <x:v>448.8683161255995</x:v>
      </x:c>
      <x:c r="Z97" s="48" t="n">
        <x:f>B97-X97/1000</x:f>
        <x:v>400.2437950333924</x:v>
      </x:c>
      <x:c r="AA97" s="48" t="n">
        <x:f>SQRT(A97^2+Inputs!$C$6^2+(B97-Y97/1000)^2)</x:f>
        <x:v>400.7007861266525</x:v>
      </x:c>
      <x:c r="AB97" s="48" t="n">
        <x:f>(AA97-Z97)*1000</x:f>
        <x:v>456.9910932600578</x:v>
      </x:c>
      <x:c r="AC97" s="48" t="n">
        <x:f>AB97/Inputs!$C$12</x:f>
        <x:v>256.7365692472235</x:v>
      </x:c>
      <x:c r="AD97" s="48" t="n">
        <x:f>2*AB97/Inputs!$C$21*1000000</x:f>
        <x:v>3.0487164107381104</x:v>
      </x:c>
      <x:c r="AE97" s="48" t="n">
        <x:f>DEGREES(ATAN(H97/(B97-Y97/1000)))</x:f>
        <x:v>3.9999105358231075</x:v>
      </x:c>
      <x:c r="AF97" s="48" t="n">
        <x:f>DEGREES((2*PI()/Inputs!$C$13)*Inputs!$C$15*SIN(RADIANS(AE97)))</x:f>
        <x:v>25.111769797148796</x:v>
      </x:c>
      <x:c r="AG97" s="48" t="n">
        <x:f>(Z97/AA97)^4</x:f>
        <x:v>0.9954458796216376</x:v>
      </x:c>
      <x:c r="AH97" s="48" t="n">
        <x:f>10*LOG10(AG97)</x:f>
        <x:v>-0.019823467069957003</x:v>
      </x:c>
      <x:c r="AI97" s="48" t="n">
        <x:f>AC97-F97</x:f>
        <x:v>-290.9888138125478</x:v>
      </x:c>
      <x:c r="AJ97" s="48" t="n">
        <x:f>AD97-G97</x:f>
        <x:v>-3.455457765961111</x:v>
      </x:c>
      <x:c r="AK97" s="48" t="n">
        <x:f>Y97-X97</x:f>
        <x:v>519.0522384069109</x:v>
      </x:c>
      <x:c r="AL97" s="48" t="n">
        <x:f>1000*(AA98-AA96)/(A98-A96)*Inputs!$C$11</x:f>
        <x:v>-255.99746463171869</x:v>
      </x:c>
      <x:c r="AM97" s="48" t="n">
        <x:f>-2*AL97/Inputs!$C$13</x:f>
        <x:v>102.39898585268747</x:v>
      </x:c>
      <x:c r="AN97" s="48" t="n">
        <x:f>-2*AL97/Inputs!$C$14</x:f>
        <x:v>15.375223101004126</x:v>
      </x:c>
      <x:c r="AO97" s="48" t="n">
        <x:f>ABS(AM97)</x:f>
        <x:v>102.39898585268747</x:v>
      </x:c>
      <x:c r="AP97" s="48" t="n">
        <x:f>ABS(AN97)</x:f>
        <x:v>15.375223101004126</x:v>
      </x:c>
      <x:c r="AQ97" s="48" t="n">
        <x:f>IF(OR(Inputs!$C$27=TRUE,Inputs!$C$27="TRUE",Inputs!$C$27=1),Inputs!$C$46/Inputs!$C$12,0)</x:f>
        <x:v>42.13483146067416</x:v>
      </x:c>
      <x:c r="AR97" s="48" t="n">
        <x:f>AC97-AQ97</x:f>
        <x:v>214.60173778654934</x:v>
      </x:c>
      <x:c r="AS97" s="48" t="n">
        <x:f>AC97+AQ97</x:f>
        <x:v>298.87140070789764</x:v>
      </x:c>
    </x:row>
    <x:row r="98">
      <x:c r="A98" s="48" t="n">
        <x:f>Inputs!$C$7+96*(Inputs!$C$8-Inputs!$C$7)/240</x:f>
        <x:v>-12</x:v>
      </x:c>
      <x:c r="B98" s="48" t="n">
        <x:f>Inputs!$C$5+Inputs!$C$9*(A98/Inputs!$C$10)^2</x:f>
        <x:v>400.16</x:v>
      </x:c>
      <x:c r="C98" s="48" t="n">
        <x:f>B98</x:f>
        <x:v>400.16</x:v>
      </x:c>
      <x:c r="D98" s="48" t="n">
        <x:f>SQRT(A98^2+Inputs!$C$6^2+B98^2)</x:f>
        <x:v>401.11971479846267</x:v>
      </x:c>
      <x:c r="E98" s="48" t="n">
        <x:f>(D98-C98)*1000</x:f>
        <x:v>959.7147984626417</x:v>
      </x:c>
      <x:c r="F98" s="48" t="n">
        <x:f>E98/Inputs!$C$12</x:f>
        <x:v>539.1656171138436</x:v>
      </x:c>
      <x:c r="G98" s="48" t="n">
        <x:f>2*E98/Inputs!$C$21*1000000</x:f>
        <x:v>6.402527967949358</x:v>
      </x:c>
      <x:c r="H98" s="48" t="n">
        <x:f>SQRT(A98^2+Inputs!$C$6^2)</x:f>
        <x:v>27.730849247724095</x:v>
      </x:c>
      <x:c r="I98" s="48" t="n">
        <x:f>DEGREES(ATAN(H98/B98))</x:f>
        <x:v>3.964225499851384</x:v>
      </x:c>
      <x:c r="J98" s="48" t="n">
        <x:f>DEGREES((2*PI()/Inputs!$C$13)*Inputs!$C$15*SIN(RADIANS(I98)))</x:f>
        <x:v>24.888095401136177</x:v>
      </x:c>
      <x:c r="K98" s="48" t="n">
        <x:f>(C98/D98)^4</x:f>
        <x:v>0.9904639343466405</x:v>
      </x:c>
      <x:c r="L98" s="48" t="n">
        <x:f>10*LOG10(K98)</x:f>
        <x:v>-0.0416133375431493</x:v>
      </x:c>
      <x:c r="M98" s="48" t="n">
        <x:f>2*(Inputs!$C$9/(Inputs!$C$10^2))*A98</x:f>
        <x:v>-0.026666666666666665</x:v>
      </x:c>
      <x:c r="N98" s="48" t="n">
        <x:f>M98*Inputs!$C$11</x:f>
        <x:v>-0.10666666666666666</x:v>
      </x:c>
      <x:c r="O98" s="48" t="n">
        <x:f>1000*((A98*Inputs!$C$11)+(B98*N98))/D98</x:f>
        <x:v>-226.07648038166408</x:v>
      </x:c>
      <x:c r="P98" s="48" t="n">
        <x:f>-2*O98/Inputs!$C$13</x:f>
        <x:v>90.43059215266564</x:v>
      </x:c>
      <x:c r="Q98" s="48" t="n">
        <x:f>-2*O98/Inputs!$C$14</x:f>
        <x:v>13.578166989889736</x:v>
      </x:c>
      <x:c r="R98" s="48" t="n">
        <x:f>F98-Inputs!$C$16/2</x:f>
        <x:v>524.1656171138436</x:v>
      </x:c>
      <x:c r="S98" s="48" t="n">
        <x:f>F98+Inputs!$C$16/2</x:f>
        <x:v>554.1656171138436</x:v>
      </x:c>
      <x:c r="T98" s="48" t="n">
        <x:f>F98-Inputs!$C$17/2</x:f>
        <x:v>389.1656171138436</x:v>
      </x:c>
      <x:c r="U98" s="48" t="n">
        <x:f>F98+Inputs!$C$17/2</x:f>
        <x:v>689.1656171138436</x:v>
      </x:c>
      <x:c r="V98" s="48" t="n">
        <x:f>ABS(P98)</x:f>
        <x:v>90.43059215266564</x:v>
      </x:c>
      <x:c r="W98" s="48" t="n">
        <x:f>ABS(Q98)</x:f>
        <x:v>13.578166989889736</x:v>
      </x:c>
      <x:c r="X98" s="48" t="n">
        <x: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(0.45*SIN(2*PI()*(((A98)/Inputs!$C$49)+Inputs!$C$47*0.137))+0.35*COS(2*PI()*(((0)/Inputs!$C$50)+Inputs!$C$47*0.173))+0.20*SIN(2*PI()*(((A98)+(0))/(0.5*(Inputs!$C$49+Inputs!$C$50))+Inputs!$C$47*0.097)))+0.30*(2*((SIN(((A98)*12.9898+(0)*78.233+Inputs!$C$47*37.719))*43758.5453)-INT((SIN(((A98)*12.9898+(0)*78.233+Inputs!$C$47*37.719))*43758.5453)))-1)))</x:f>
        <x:v>-47.55794552962975</x:v>
      </x:c>
      <x:c r="Y98" s="48" t="n">
        <x: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(0.45*SIN(2*PI()*(((A98)/Inputs!$C$49)+Inputs!$C$47*0.137))+0.35*COS(2*PI()*(((Inputs!$C$6)/Inputs!$C$50)+Inputs!$C$47*0.173))+0.20*SIN(2*PI()*(((A98)+(Inputs!$C$6))/(0.5*(Inputs!$C$49+Inputs!$C$50))+Inputs!$C$47*0.097)))+0.30*(2*((SIN(((A98)*12.9898+(Inputs!$C$6)*78.233+Inputs!$C$47*37.719))*43758.5453)-INT((SIN(((A98)*12.9898+(Inputs!$C$6)*78.233+Inputs!$C$47*37.719))*43758.5453)))-1)))</x:f>
        <x:v>437.9918993099811</x:v>
      </x:c>
      <x:c r="Z98" s="48" t="n">
        <x:f>B98-X98/1000</x:f>
        <x:v>400.20755794552963</x:v>
      </x:c>
      <x:c r="AA98" s="48" t="n">
        <x:f>SQRT(A98^2+Inputs!$C$6^2+(B98-Y98/1000)^2)</x:f>
        <x:v>400.68277197809255</x:v>
      </x:c>
      <x:c r="AB98" s="48" t="n">
        <x:f>(AA98-Z98)*1000</x:f>
        <x:v>475.21403256291705</x:v>
      </x:c>
      <x:c r="AC98" s="48" t="n">
        <x:f>AB98/Inputs!$C$12</x:f>
        <x:v>266.9741755971444</x:v>
      </x:c>
      <x:c r="AD98" s="48" t="n">
        <x:f>2*AB98/Inputs!$C$21*1000000</x:f>
        <x:v>3.170286775946292</x:v>
      </x:c>
      <x:c r="AE98" s="48" t="n">
        <x:f>DEGREES(ATAN(H98/(B98-Y98/1000)))</x:f>
        <x:v>3.968555393243375</x:v>
      </x:c>
      <x:c r="AF98" s="48" t="n">
        <x:f>DEGREES((2*PI()/Inputs!$C$13)*Inputs!$C$15*SIN(RADIANS(AE98)))</x:f>
        <x:v>24.915235760938838</x:v>
      </x:c>
      <x:c r="AG98" s="48" t="n">
        <x:f>(Z98/AA98)^4</x:f>
        <x:v>0.9952643904791058</x:v>
      </x:c>
      <x:c r="AH98" s="48" t="n">
        <x:f>10*LOG10(AG98)</x:f>
        <x:v>-0.0206153425581093</x:v>
      </x:c>
      <x:c r="AI98" s="48" t="n">
        <x:f>AC98-F98</x:f>
        <x:v>-272.19144151669923</x:v>
      </x:c>
      <x:c r="AJ98" s="48" t="n">
        <x:f>AD98-G98</x:f>
        <x:v>-3.232241192003066</x:v>
      </x:c>
      <x:c r="AK98" s="48" t="n">
        <x:f>Y98-X98</x:f>
        <x:v>485.54984483961084</x:v>
      </x:c>
      <x:c r="AL98" s="48" t="n">
        <x:f>1000*(AA99-AA97)/(A99-A97)*Inputs!$C$11</x:f>
        <x:v>-266.2848222332741</x:v>
      </x:c>
      <x:c r="AM98" s="48" t="n">
        <x:f>-2*AL98/Inputs!$C$13</x:f>
        <x:v>106.51392889330964</x:v>
      </x:c>
      <x:c r="AN98" s="48" t="n">
        <x:f>-2*AL98/Inputs!$C$14</x:f>
        <x:v>15.99308241641286</x:v>
      </x:c>
      <x:c r="AO98" s="48" t="n">
        <x:f>ABS(AM98)</x:f>
        <x:v>106.51392889330964</x:v>
      </x:c>
      <x:c r="AP98" s="48" t="n">
        <x:f>ABS(AN98)</x:f>
        <x:v>15.99308241641286</x:v>
      </x:c>
      <x:c r="AQ98" s="48" t="n">
        <x:f>IF(OR(Inputs!$C$27=TRUE,Inputs!$C$27="TRUE",Inputs!$C$27=1),Inputs!$C$46/Inputs!$C$12,0)</x:f>
        <x:v>42.13483146067416</x:v>
      </x:c>
      <x:c r="AR98" s="48" t="n">
        <x:f>AC98-AQ98</x:f>
        <x:v>224.83934413647023</x:v>
      </x:c>
      <x:c r="AS98" s="48" t="n">
        <x:f>AC98+AQ98</x:f>
        <x:v>309.10900705781853</x:v>
      </x:c>
    </x:row>
    <x:row r="99">
      <x:c r="A99" s="48" t="n">
        <x:f>Inputs!$C$7+97*(Inputs!$C$8-Inputs!$C$7)/240</x:f>
        <x:v>-11.5</x:v>
      </x:c>
      <x:c r="B99" s="48" t="n">
        <x:f>Inputs!$C$5+Inputs!$C$9*(A99/Inputs!$C$10)^2</x:f>
        <x:v>400.14694444444444</x:v>
      </x:c>
      <x:c r="C99" s="48" t="n">
        <x:f>B99</x:f>
        <x:v>400.14694444444444</x:v>
      </x:c>
      <x:c r="D99" s="48" t="n">
        <x:f>SQRT(A99^2+Inputs!$C$6^2+B99^2)</x:f>
        <x:v>401.0920432372416</x:v>
      </x:c>
      <x:c r="E99" s="48" t="n">
        <x:f>(D99-C99)*1000</x:f>
        <x:v>945.0987927971823</x:v>
      </x:c>
      <x:c r="F99" s="48" t="n">
        <x:f>E99/Inputs!$C$12</x:f>
        <x:v>530.9543779759451</x:v>
      </x:c>
      <x:c r="G99" s="48" t="n">
        <x:f>2*E99/Inputs!$C$21*1000000</x:f>
        <x:v>6.3050204738451585</x:v>
      </x:c>
      <x:c r="H99" s="48" t="n">
        <x:f>SQRT(A99^2+Inputs!$C$6^2)</x:f>
        <x:v>27.518175811634027</x:v>
      </x:c>
      <x:c r="I99" s="48" t="n">
        <x:f>DEGREES(ATAN(H99/B99))</x:f>
        <x:v>3.934046834415676</x:v>
      </x:c>
      <x:c r="J99" s="48" t="n">
        <x:f>DEGREES((2*PI()/Inputs!$C$13)*Inputs!$C$15*SIN(RADIANS(I99)))</x:f>
        <x:v>24.69892748864289</x:v>
      </x:c>
      <x:c r="K99" s="48" t="n">
        <x:f>(C99/D99)^4</x:f>
        <x:v>0.9906080050330984</x:v>
      </x:c>
      <x:c r="L99" s="48" t="n">
        <x:f>10*LOG10(K99)</x:f>
        <x:v>-0.0409816683644662</x:v>
      </x:c>
      <x:c r="M99" s="48" t="n">
        <x:f>2*(Inputs!$C$9/(Inputs!$C$10^2))*A99</x:f>
        <x:v>-0.025555555555555557</x:v>
      </x:c>
      <x:c r="N99" s="48" t="n">
        <x:f>M99*Inputs!$C$11</x:f>
        <x:v>-0.10222222222222223</x:v>
      </x:c>
      <x:c r="O99" s="48" t="n">
        <x:f>1000*((A99*Inputs!$C$11)+(B99*N99))/D99</x:f>
        <x:v>-216.66824695682254</x:v>
      </x:c>
      <x:c r="P99" s="48" t="n">
        <x:f>-2*O99/Inputs!$C$13</x:f>
        <x:v>86.66729878272902</x:v>
      </x:c>
      <x:c r="Q99" s="48" t="n">
        <x:f>-2*O99/Inputs!$C$14</x:f>
        <x:v>13.013107925334689</x:v>
      </x:c>
      <x:c r="R99" s="48" t="n">
        <x:f>F99-Inputs!$C$16/2</x:f>
        <x:v>515.9543779759451</x:v>
      </x:c>
      <x:c r="S99" s="48" t="n">
        <x:f>F99+Inputs!$C$16/2</x:f>
        <x:v>545.9543779759451</x:v>
      </x:c>
      <x:c r="T99" s="48" t="n">
        <x:f>F99-Inputs!$C$17/2</x:f>
        <x:v>380.95437797594514</x:v>
      </x:c>
      <x:c r="U99" s="48" t="n">
        <x:f>F99+Inputs!$C$17/2</x:f>
        <x:v>680.9543779759451</x:v>
      </x:c>
      <x:c r="V99" s="48" t="n">
        <x:f>ABS(P99)</x:f>
        <x:v>86.66729878272902</x:v>
      </x:c>
      <x:c r="W99" s="48" t="n">
        <x:f>ABS(Q99)</x:f>
        <x:v>13.013107925334689</x:v>
      </x:c>
      <x:c r="X99" s="48" t="n">
        <x: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(0.45*SIN(2*PI()*(((A99)/Inputs!$C$49)+Inputs!$C$47*0.137))+0.35*COS(2*PI()*(((0)/Inputs!$C$50)+Inputs!$C$47*0.173))+0.20*SIN(2*PI()*(((A99)+(0))/(0.5*(Inputs!$C$49+Inputs!$C$50))+Inputs!$C$47*0.097)))+0.30*(2*((SIN(((A99)*12.9898+(0)*78.233+Inputs!$C$47*37.719))*43758.5453)-INT((SIN(((A99)*12.9898+(0)*78.233+Inputs!$C$47*37.719))*43758.5453)))-1)))</x:f>
        <x:v>-48.06780811544866</x:v>
      </x:c>
      <x:c r="Y99" s="48" t="n">
        <x: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(0.45*SIN(2*PI()*(((A99)/Inputs!$C$49)+Inputs!$C$47*0.137))+0.35*COS(2*PI()*(((Inputs!$C$6)/Inputs!$C$50)+Inputs!$C$47*0.173))+0.20*SIN(2*PI()*(((A99)+(Inputs!$C$6))/(0.5*(Inputs!$C$49+Inputs!$C$50))+Inputs!$C$47*0.097)))+0.30*(2*((SIN(((A99)*12.9898+(Inputs!$C$6)*78.233+Inputs!$C$47*37.719))*43758.5453)-INT((SIN(((A99)*12.9898+(Inputs!$C$6)*78.233+Inputs!$C$47*37.719))*43758.5453)))-1)))</x:f>
        <x:v>458.910891472728</x:v>
      </x:c>
      <x:c r="Z99" s="48" t="n">
        <x:f>B99-X99/1000</x:f>
        <x:v>400.1950122525599</x:v>
      </x:c>
      <x:c r="AA99" s="48" t="n">
        <x:f>SQRT(A99^2+Inputs!$C$6^2+(B99-Y99/1000)^2)</x:f>
        <x:v>400.63421492109416</x:v>
      </x:c>
      <x:c r="AB99" s="48" t="n">
        <x:f>(AA99-Z99)*1000</x:f>
        <x:v>439.2026685342785</x:v>
      </x:c>
      <x:c r="AC99" s="48" t="n">
        <x:f>AB99/Inputs!$C$12</x:f>
        <x:v>246.7430722102688</x:v>
      </x:c>
      <x:c r="AD99" s="48" t="n">
        <x:f>2*AB99/Inputs!$C$21*1000000</x:f>
        <x:v>2.9300448147650098</x:v>
      </x:c>
      <x:c r="AE99" s="48" t="n">
        <x:f>DEGREES(ATAN(H99/(B99-Y99/1000)))</x:f>
        <x:v>3.938549591893754</x:v>
      </x:c>
      <x:c r="AF99" s="48" t="n">
        <x:f>DEGREES((2*PI()/Inputs!$C$13)*Inputs!$C$15*SIN(RADIANS(AE99)))</x:f>
        <x:v>24.72715240793741</x:v>
      </x:c>
      <x:c r="AG99" s="48" t="n">
        <x:f>(Z99/AA99)^4</x:f>
        <x:v>0.9956221315721827</x:v>
      </x:c>
      <x:c r="AH99" s="48" t="n">
        <x:f>10*LOG10(AG99)</x:f>
        <x:v>-0.0190545807304041</x:v>
      </x:c>
      <x:c r="AI99" s="48" t="n">
        <x:f>AC99-F99</x:f>
        <x:v>-284.21130576567634</x:v>
      </x:c>
      <x:c r="AJ99" s="48" t="n">
        <x:f>AD99-G99</x:f>
        <x:v>-3.3749756590801487</x:v>
      </x:c>
      <x:c r="AK99" s="48" t="n">
        <x:f>Y99-X99</x:f>
        <x:v>506.97869958817665</x:v>
      </x:c>
      <x:c r="AL99" s="48" t="n">
        <x:f>1000*(AA100-AA98)/(A100-A98)*Inputs!$C$11</x:f>
        <x:v>-314.76146712043374</x:v>
      </x:c>
      <x:c r="AM99" s="48" t="n">
        <x:f>-2*AL99/Inputs!$C$13</x:f>
        <x:v>125.9045868481735</x:v>
      </x:c>
      <x:c r="AN99" s="48" t="n">
        <x:f>-2*AL99/Inputs!$C$14</x:f>
        <x:v>18.90459261984587</x:v>
      </x:c>
      <x:c r="AO99" s="48" t="n">
        <x:f>ABS(AM99)</x:f>
        <x:v>125.9045868481735</x:v>
      </x:c>
      <x:c r="AP99" s="48" t="n">
        <x:f>ABS(AN99)</x:f>
        <x:v>18.90459261984587</x:v>
      </x:c>
      <x:c r="AQ99" s="48" t="n">
        <x:f>IF(OR(Inputs!$C$27=TRUE,Inputs!$C$27="TRUE",Inputs!$C$27=1),Inputs!$C$46/Inputs!$C$12,0)</x:f>
        <x:v>42.13483146067416</x:v>
      </x:c>
      <x:c r="AR99" s="48" t="n">
        <x:f>AC99-AQ99</x:f>
        <x:v>204.60824074959464</x:v>
      </x:c>
      <x:c r="AS99" s="48" t="n">
        <x:f>AC99+AQ99</x:f>
        <x:v>288.87790367094294</x:v>
      </x:c>
    </x:row>
    <x:row r="100">
      <x:c r="A100" s="48" t="n">
        <x:f>Inputs!$C$7+98*(Inputs!$C$8-Inputs!$C$7)/240</x:f>
        <x:v>-11</x:v>
      </x:c>
      <x:c r="B100" s="48" t="n">
        <x:f>Inputs!$C$5+Inputs!$C$9*(A100/Inputs!$C$10)^2</x:f>
        <x:v>400.13444444444445</x:v>
      </x:c>
      <x:c r="C100" s="48" t="n">
        <x:f>B100</x:f>
        <x:v>400.13444444444445</x:v>
      </x:c>
      <x:c r="D100" s="48" t="n">
        <x:f>SQRT(A100^2+Inputs!$C$6^2+B100^2)</x:f>
        <x:v>401.0655477984418</x:v>
      </x:c>
      <x:c r="E100" s="48" t="n">
        <x:f>(D100-C100)*1000</x:f>
        <x:v>931.1033539973437</x:v>
      </x:c>
      <x:c r="F100" s="48" t="n">
        <x:f>E100/Inputs!$C$12</x:f>
        <x:v>523.09177190862</x:v>
      </x:c>
      <x:c r="G100" s="48" t="n">
        <x:f>2*E100/Inputs!$C$21*1000000</x:f>
        <x:v>6.211652956241772</x:v>
      </x:c>
      <x:c r="H100" s="48" t="n">
        <x:f>SQRT(A100^2+Inputs!$C$6^2)</x:f>
        <x:v>27.313000567495326</x:v>
      </x:c>
      <x:c r="I100" s="48" t="n">
        <x:f>DEGREES(ATAN(H100/B100))</x:f>
        <x:v>3.904927307448456</x:v>
      </x:c>
      <x:c r="J100" s="48" t="n">
        <x:f>DEGREES((2*PI()/Inputs!$C$13)*Inputs!$C$15*SIN(RADIANS(I100)))</x:f>
        <x:v>24.516392041831022</x:v>
      </x:c>
      <x:c r="K100" s="48" t="n">
        <x:f>(C100/D100)^4</x:f>
        <x:v>0.9907459921549117</x:v>
      </x:c>
      <x:c r="L100" s="48" t="n">
        <x:f>10*LOG10(K100)</x:f>
        <x:v>-0.0403767583306295</x:v>
      </x:c>
      <x:c r="M100" s="48" t="n">
        <x:f>2*(Inputs!$C$9/(Inputs!$C$10^2))*A100</x:f>
        <x:v>-0.024444444444444446</x:v>
      </x:c>
      <x:c r="N100" s="48" t="n">
        <x:f>M100*Inputs!$C$11</x:f>
        <x:v>-0.09777777777777778</x:v>
      </x:c>
      <x:c r="O100" s="48" t="n">
        <x:f>1000*((A100*Inputs!$C$11)+(B100*N100))/D100</x:f>
        <x:v>-207.25853229332512</x:v>
      </x:c>
      <x:c r="P100" s="48" t="n">
        <x:f>-2*O100/Inputs!$C$13</x:f>
        <x:v>82.90341291733004</x:v>
      </x:c>
      <x:c r="Q100" s="48" t="n">
        <x:f>-2*O100/Inputs!$C$14</x:f>
        <x:v>12.447959897497006</x:v>
      </x:c>
      <x:c r="R100" s="48" t="n">
        <x:f>F100-Inputs!$C$16/2</x:f>
        <x:v>508.09177190862</x:v>
      </x:c>
      <x:c r="S100" s="48" t="n">
        <x:f>F100+Inputs!$C$16/2</x:f>
        <x:v>538.09177190862</x:v>
      </x:c>
      <x:c r="T100" s="48" t="n">
        <x:f>F100-Inputs!$C$17/2</x:f>
        <x:v>373.09177190862</x:v>
      </x:c>
      <x:c r="U100" s="48" t="n">
        <x:f>F100+Inputs!$C$17/2</x:f>
        <x:v>673.09177190862</x:v>
      </x:c>
      <x:c r="V100" s="48" t="n">
        <x:f>ABS(P100)</x:f>
        <x:v>82.90341291733004</x:v>
      </x:c>
      <x:c r="W100" s="48" t="n">
        <x:f>ABS(Q100)</x:f>
        <x:v>12.447959897497006</x:v>
      </x:c>
      <x:c r="X100" s="48" t="n">
        <x: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(0.45*SIN(2*PI()*(((A100)/Inputs!$C$49)+Inputs!$C$47*0.137))+0.35*COS(2*PI()*(((0)/Inputs!$C$50)+Inputs!$C$47*0.173))+0.20*SIN(2*PI()*(((A100)+(0))/(0.5*(Inputs!$C$49+Inputs!$C$50))+Inputs!$C$47*0.097)))+0.30*(2*((SIN(((A100)*12.9898+(0)*78.233+Inputs!$C$47*37.719))*43758.5453)-INT((SIN(((A100)*12.9898+(0)*78.233+Inputs!$C$47*37.719))*43758.5453)))-1)))</x:f>
        <x:v>-43.28983557333215</x:v>
      </x:c>
      <x:c r="Y100" s="48" t="n">
        <x: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(0.45*SIN(2*PI()*(((A100)/Inputs!$C$49)+Inputs!$C$47*0.137))+0.35*COS(2*PI()*(((Inputs!$C$6)/Inputs!$C$50)+Inputs!$C$47*0.173))+0.20*SIN(2*PI()*(((A100)+(Inputs!$C$6))/(0.5*(Inputs!$C$49+Inputs!$C$50))+Inputs!$C$47*0.097)))+0.30*(2*((SIN(((A100)*12.9898+(Inputs!$C$6)*78.233+Inputs!$C$47*37.719))*43758.5453)-INT((SIN(((A100)*12.9898+(Inputs!$C$6)*78.233+Inputs!$C$47*37.719))*43758.5453)))-1)))</x:f>
        <x:v>462.5412492822977</x:v>
      </x:c>
      <x:c r="Z100" s="48" t="n">
        <x:f>B100-X100/1000</x:f>
        <x:v>400.1777342800178</x:v>
      </x:c>
      <x:c r="AA100" s="48" t="n">
        <x:f>SQRT(A100^2+Inputs!$C$6^2+(B100-Y100/1000)^2)</x:f>
        <x:v>400.60408161131244</x:v>
      </x:c>
      <x:c r="AB100" s="48" t="n">
        <x:f>(AA100-Z100)*1000</x:f>
        <x:v>426.3473312946644</x:v>
      </x:c>
      <x:c r="AC100" s="48" t="n">
        <x:f>AB100/Inputs!$C$12</x:f>
        <x:v>239.5209726374519</x:v>
      </x:c>
      <x:c r="AD100" s="48" t="n">
        <x:f>2*AB100/Inputs!$C$21*1000000</x:f>
        <x:v>2.84428323606903</x:v>
      </x:c>
      <x:c r="AE100" s="48" t="n">
        <x:f>DEGREES(ATAN(H100/(B100-Y100/1000)))</x:f>
        <x:v>3.9094324837280876</x:v>
      </x:c>
      <x:c r="AF100" s="48" t="n">
        <x:f>DEGREES((2*PI()/Inputs!$C$13)*Inputs!$C$15*SIN(RADIANS(AE100)))</x:f>
        <x:v>24.54463310695499</x:v>
      </x:c>
      <x:c r="AG100" s="48" t="n">
        <x:f>(Z100/AA100)^4</x:f>
        <x:v>0.9957497467818884</x:v>
      </x:c>
      <x:c r="AH100" s="48" t="n">
        <x:f>10*LOG10(AG100)</x:f>
        <x:v>-0.0184979535924956</x:v>
      </x:c>
      <x:c r="AI100" s="48" t="n">
        <x:f>AC100-F100</x:f>
        <x:v>-283.5707992711681</x:v>
      </x:c>
      <x:c r="AJ100" s="48" t="n">
        <x:f>AD100-G100</x:f>
        <x:v>-3.367369720172742</x:v>
      </x:c>
      <x:c r="AK100" s="48" t="n">
        <x:f>Y100-X100</x:f>
        <x:v>505.83108485562985</x:v>
      </x:c>
      <x:c r="AL100" s="48" t="n">
        <x:f>1000*(AA101-AA99)/(A101-A99)*Inputs!$C$11</x:f>
        <x:v>-252.0434480827589</x:v>
      </x:c>
      <x:c r="AM100" s="48" t="n">
        <x:f>-2*AL100/Inputs!$C$13</x:f>
        <x:v>100.81737923310357</x:v>
      </x:c>
      <x:c r="AN100" s="48" t="n">
        <x:f>-2*AL100/Inputs!$C$14</x:f>
        <x:v>15.137744629595131</x:v>
      </x:c>
      <x:c r="AO100" s="48" t="n">
        <x:f>ABS(AM100)</x:f>
        <x:v>100.81737923310357</x:v>
      </x:c>
      <x:c r="AP100" s="48" t="n">
        <x:f>ABS(AN100)</x:f>
        <x:v>15.137744629595131</x:v>
      </x:c>
      <x:c r="AQ100" s="48" t="n">
        <x:f>IF(OR(Inputs!$C$27=TRUE,Inputs!$C$27="TRUE",Inputs!$C$27=1),Inputs!$C$46/Inputs!$C$12,0)</x:f>
        <x:v>42.13483146067416</x:v>
      </x:c>
      <x:c r="AR100" s="48" t="n">
        <x:f>AC100-AQ100</x:f>
        <x:v>197.38614117677776</x:v>
      </x:c>
      <x:c r="AS100" s="48" t="n">
        <x:f>AC100+AQ100</x:f>
        <x:v>281.65580409812605</x:v>
      </x:c>
    </x:row>
    <x:row r="101">
      <x:c r="A101" s="48" t="n">
        <x:f>Inputs!$C$7+99*(Inputs!$C$8-Inputs!$C$7)/240</x:f>
        <x:v>-10.5</x:v>
      </x:c>
      <x:c r="B101" s="48" t="n">
        <x:f>Inputs!$C$5+Inputs!$C$9*(A101/Inputs!$C$10)^2</x:f>
        <x:v>400.1225</x:v>
      </x:c>
      <x:c r="C101" s="48" t="n">
        <x:f>B101</x:f>
        <x:v>400.1225</x:v>
      </x:c>
      <x:c r="D101" s="48" t="n">
        <x:f>SQRT(A101^2+Inputs!$C$6^2+B101^2)</x:f>
        <x:v>401.04022866322276</x:v>
      </x:c>
      <x:c r="E101" s="48" t="n">
        <x:f>(D101-C101)*1000</x:f>
        <x:v>917.7286632227606</x:v>
      </x:c>
      <x:c r="F101" s="48" t="n">
        <x:f>E101/Inputs!$C$12</x:f>
        <x:v>515.5779006869442</x:v>
      </x:c>
      <x:c r="G101" s="48" t="n">
        <x:f>2*E101/Inputs!$C$21*1000000</x:f>
        <x:v>6.122426623706195</x:v>
      </x:c>
      <x:c r="H101" s="48" t="n">
        <x:f>SQRT(A101^2+Inputs!$C$6^2)</x:f>
        <x:v>27.115493725912497</x:v>
      </x:c>
      <x:c r="I101" s="48" t="n">
        <x:f>DEGREES(ATAN(H101/B101))</x:f>
        <x:v>3.8768916383114713</x:v>
      </x:c>
      <x:c r="J101" s="48" t="n">
        <x:f>DEGREES((2*PI()/Inputs!$C$13)*Inputs!$C$15*SIN(RADIANS(I101)))</x:f>
        <x:v>24.340644762413287</x:v>
      </x:c>
      <x:c r="K101" s="48" t="n">
        <x:f>(C101/D101)^4</x:f>
        <x:v>0.990877889588107</x:v>
      </x:c>
      <x:c r="L101" s="48" t="n">
        <x:f>10*LOG10(K101)</x:f>
        <x:v>-0.039798623115099706</x:v>
      </x:c>
      <x:c r="M101" s="48" t="n">
        <x:f>2*(Inputs!$C$9/(Inputs!$C$10^2))*A101</x:f>
        <x:v>-0.023333333333333334</x:v>
      </x:c>
      <x:c r="N101" s="48" t="n">
        <x:f>M101*Inputs!$C$11</x:f>
        <x:v>-0.09333333333333334</x:v>
      </x:c>
      <x:c r="O101" s="48" t="n">
        <x:f>1000*((A101*Inputs!$C$11)+(B101*N101))/D101</x:f>
        <x:v>-197.84740032476188</x:v>
      </x:c>
      <x:c r="P101" s="48" t="n">
        <x:f>-2*O101/Inputs!$C$13</x:f>
        <x:v>79.13896012990475</x:v>
      </x:c>
      <x:c r="Q101" s="48" t="n">
        <x:f>-2*O101/Inputs!$C$14</x:f>
        <x:v>11.882726746231945</x:v>
      </x:c>
      <x:c r="R101" s="48" t="n">
        <x:f>F101-Inputs!$C$16/2</x:f>
        <x:v>500.5779006869442</x:v>
      </x:c>
      <x:c r="S101" s="48" t="n">
        <x:f>F101+Inputs!$C$16/2</x:f>
        <x:v>530.5779006869442</x:v>
      </x:c>
      <x:c r="T101" s="48" t="n">
        <x:f>F101-Inputs!$C$17/2</x:f>
        <x:v>365.5779006869442</x:v>
      </x:c>
      <x:c r="U101" s="48" t="n">
        <x:f>F101+Inputs!$C$17/2</x:f>
        <x:v>665.5779006869442</x:v>
      </x:c>
      <x:c r="V101" s="48" t="n">
        <x:f>ABS(P101)</x:f>
        <x:v>79.13896012990475</x:v>
      </x:c>
      <x:c r="W101" s="48" t="n">
        <x:f>ABS(Q101)</x:f>
        <x:v>11.882726746231945</x:v>
      </x:c>
      <x:c r="X101" s="48" t="n">
        <x: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(0.45*SIN(2*PI()*(((A101)/Inputs!$C$49)+Inputs!$C$47*0.137))+0.35*COS(2*PI()*(((0)/Inputs!$C$50)+Inputs!$C$47*0.173))+0.20*SIN(2*PI()*(((A101)+(0))/(0.5*(Inputs!$C$49+Inputs!$C$50))+Inputs!$C$47*0.097)))+0.30*(2*((SIN(((A101)*12.9898+(0)*78.233+Inputs!$C$47*37.719))*43758.5453)-INT((SIN(((A101)*12.9898+(0)*78.233+Inputs!$C$47*37.719))*43758.5453)))-1)))</x:f>
        <x:v>-52.09631463655199</x:v>
      </x:c>
      <x:c r="Y101" s="48" t="n">
        <x: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(0.45*SIN(2*PI()*(((A101)/Inputs!$C$49)+Inputs!$C$47*0.137))+0.35*COS(2*PI()*(((Inputs!$C$6)/Inputs!$C$50)+Inputs!$C$47*0.173))+0.20*SIN(2*PI()*(((A101)+(Inputs!$C$6))/(0.5*(Inputs!$C$49+Inputs!$C$50))+Inputs!$C$47*0.097)))+0.30*(2*((SIN(((A101)*12.9898+(Inputs!$C$6)*78.233+Inputs!$C$47*37.719))*43758.5453)-INT((SIN(((A101)*12.9898+(Inputs!$C$6)*78.233+Inputs!$C$47*37.719))*43758.5453)))-1)))</x:f>
        <x:v>470.10163194835394</x:v>
      </x:c>
      <x:c r="Z101" s="48" t="n">
        <x:f>B101-X101/1000</x:f>
        <x:v>400.1745963146366</x:v>
      </x:c>
      <x:c r="AA101" s="48" t="n">
        <x:f>SQRT(A101^2+Inputs!$C$6^2+(B101-Y101/1000)^2)</x:f>
        <x:v>400.57120405907347</x:v>
      </x:c>
      <x:c r="AB101" s="48" t="n">
        <x:f>(AA101-Z101)*1000</x:f>
        <x:v>396.60774443689206</x:v>
      </x:c>
      <x:c r="AC101" s="48" t="n">
        <x:f>AB101/Inputs!$C$12</x:f>
        <x:v>222.81333957128768</x:v>
      </x:c>
      <x:c r="AD101" s="48" t="n">
        <x:f>2*AB101/Inputs!$C$21*1000000</x:f>
        <x:v>2.6458820684334365</x:v>
      </x:c>
      <x:c r="AE101" s="48" t="n">
        <x:f>DEGREES(ATAN(H101/(B101-Y101/1000)))</x:f>
        <x:v>3.88143800272045</x:v>
      </x:c>
      <x:c r="AF101" s="48" t="n">
        <x:f>DEGREES((2*PI()/Inputs!$C$13)*Inputs!$C$15*SIN(RADIANS(AE101)))</x:f>
        <x:v>24.369144967017967</x:v>
      </x:c>
      <x:c r="AG101" s="48" t="n">
        <x:f>(Z101/AA101)^4</x:f>
        <x:v>0.9960454560500228</x:v>
      </x:c>
      <x:c r="AH101" s="48" t="n">
        <x:f>10*LOG10(AG101)</x:f>
        <x:v>-0.0172084143450933</x:v>
      </x:c>
      <x:c r="AI101" s="48" t="n">
        <x:f>AC101-F101</x:f>
        <x:v>-292.76456111565653</x:v>
      </x:c>
      <x:c r="AJ101" s="48" t="n">
        <x:f>AD101-G101</x:f>
        <x:v>-3.4765445552727585</x:v>
      </x:c>
      <x:c r="AK101" s="48" t="n">
        <x:f>Y101-X101</x:f>
        <x:v>522.1979465849059</x:v>
      </x:c>
      <x:c r="AL101" s="48" t="n">
        <x:f>1000*(AA102-AA100)/(A102-A100)*Inputs!$C$11</x:f>
        <x:v>-233.77908518386903</x:v>
      </x:c>
      <x:c r="AM101" s="48" t="n">
        <x:f>-2*AL101/Inputs!$C$13</x:f>
        <x:v>93.51163407354761</x:v>
      </x:c>
      <x:c r="AN101" s="48" t="n">
        <x:f>-2*AL101/Inputs!$C$14</x:f>
        <x:v>14.040785896929073</x:v>
      </x:c>
      <x:c r="AO101" s="48" t="n">
        <x:f>ABS(AM101)</x:f>
        <x:v>93.51163407354761</x:v>
      </x:c>
      <x:c r="AP101" s="48" t="n">
        <x:f>ABS(AN101)</x:f>
        <x:v>14.040785896929073</x:v>
      </x:c>
      <x:c r="AQ101" s="48" t="n">
        <x:f>IF(OR(Inputs!$C$27=TRUE,Inputs!$C$27="TRUE",Inputs!$C$27=1),Inputs!$C$46/Inputs!$C$12,0)</x:f>
        <x:v>42.13483146067416</x:v>
      </x:c>
      <x:c r="AR101" s="48" t="n">
        <x:f>AC101-AQ101</x:f>
        <x:v>180.67850811061354</x:v>
      </x:c>
      <x:c r="AS101" s="48" t="n">
        <x:f>AC101+AQ101</x:f>
        <x:v>264.94817103196186</x:v>
      </x:c>
    </x:row>
    <x:row r="102">
      <x:c r="A102" s="48" t="n">
        <x:f>Inputs!$C$7+100*(Inputs!$C$8-Inputs!$C$7)/240</x:f>
        <x:v>-10</x:v>
      </x:c>
      <x:c r="B102" s="48" t="n">
        <x:f>Inputs!$C$5+Inputs!$C$9*(A102/Inputs!$C$10)^2</x:f>
        <x:v>400.1111111111111</x:v>
      </x:c>
      <x:c r="C102" s="48" t="n">
        <x:f>B102</x:f>
        <x:v>400.1111111111111</x:v>
      </x:c>
      <x:c r="D102" s="48" t="n">
        <x:f>SQRT(A102^2+Inputs!$C$6^2+B102^2)</x:f>
        <x:v>401.01608600474856</x:v>
      </x:c>
      <x:c r="E102" s="48" t="n">
        <x:f>(D102-C102)*1000</x:f>
        <x:v>904.9748936374726</x:v>
      </x:c>
      <x:c r="F102" s="48" t="n">
        <x:f>E102/Inputs!$C$12</x:f>
        <x:v>508.41286159408577</x:v>
      </x:c>
      <x:c r="G102" s="48" t="n">
        <x:f>2*E102/Inputs!$C$21*1000000</x:f>
        <x:v>6.037342631464549</x:v>
      </x:c>
      <x:c r="H102" s="48" t="n">
        <x:f>SQRT(A102^2+Inputs!$C$6^2)</x:f>
        <x:v>26.92582403567252</x:v>
      </x:c>
      <x:c r="I102" s="48" t="n">
        <x:f>DEGREES(ATAN(H102/B102))</x:f>
        <x:v>3.8499643269735215</x:v>
      </x:c>
      <x:c r="J102" s="48" t="n">
        <x:f>DEGREES((2*PI()/Inputs!$C$13)*Inputs!$C$15*SIN(RADIANS(I102)))</x:f>
        <x:v>24.171839961370843</x:v>
      </x:c>
      <x:c r="K102" s="48" t="n">
        <x:f>(C102/D102)^4</x:f>
        <x:v>0.9910036914764812</x:v>
      </x:c>
      <x:c r="L102" s="48" t="n">
        <x:f>10*LOG10(K102)</x:f>
        <x:v>-0.039247277701435296</x:v>
      </x:c>
      <x:c r="M102" s="48" t="n">
        <x:f>2*(Inputs!$C$9/(Inputs!$C$10^2))*A102</x:f>
        <x:v>-0.022222222222222223</x:v>
      </x:c>
      <x:c r="N102" s="48" t="n">
        <x:f>M102*Inputs!$C$11</x:f>
        <x:v>-0.08888888888888889</x:v>
      </x:c>
      <x:c r="O102" s="48" t="n">
        <x:f>1000*((A102*Inputs!$C$11)+(B102*N102))/D102</x:f>
        <x:v>-188.43491504695058</x:v>
      </x:c>
      <x:c r="P102" s="48" t="n">
        <x:f>-2*O102/Inputs!$C$13</x:f>
        <x:v>75.37396601878024</x:v>
      </x:c>
      <x:c r="Q102" s="48" t="n">
        <x:f>-2*O102/Inputs!$C$14</x:f>
        <x:v>11.317412315132168</x:v>
      </x:c>
      <x:c r="R102" s="48" t="n">
        <x:f>F102-Inputs!$C$16/2</x:f>
        <x:v>493.41286159408577</x:v>
      </x:c>
      <x:c r="S102" s="48" t="n">
        <x:f>F102+Inputs!$C$16/2</x:f>
        <x:v>523.4128615940858</x:v>
      </x:c>
      <x:c r="T102" s="48" t="n">
        <x:f>F102-Inputs!$C$17/2</x:f>
        <x:v>358.41286159408577</x:v>
      </x:c>
      <x:c r="U102" s="48" t="n">
        <x:f>F102+Inputs!$C$17/2</x:f>
        <x:v>658.4128615940858</x:v>
      </x:c>
      <x:c r="V102" s="48" t="n">
        <x:f>ABS(P102)</x:f>
        <x:v>75.37396601878024</x:v>
      </x:c>
      <x:c r="W102" s="48" t="n">
        <x:f>ABS(Q102)</x:f>
        <x:v>11.317412315132168</x:v>
      </x:c>
      <x:c r="X102" s="48" t="n">
        <x: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(0.45*SIN(2*PI()*(((A102)/Inputs!$C$49)+Inputs!$C$47*0.137))+0.35*COS(2*PI()*(((0)/Inputs!$C$50)+Inputs!$C$47*0.173))+0.20*SIN(2*PI()*(((A102)+(0))/(0.5*(Inputs!$C$49+Inputs!$C$50))+Inputs!$C$47*0.097)))+0.30*(2*((SIN(((A102)*12.9898+(0)*78.233+Inputs!$C$47*37.719))*43758.5453)-INT((SIN(((A102)*12.9898+(0)*78.233+Inputs!$C$47*37.719))*43758.5453)))-1)))</x:f>
        <x:v>-49.423131521111884</x:v>
      </x:c>
      <x:c r="Y102" s="48" t="n">
        <x: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(0.45*SIN(2*PI()*(((A102)/Inputs!$C$49)+Inputs!$C$47*0.137))+0.35*COS(2*PI()*(((Inputs!$C$6)/Inputs!$C$50)+Inputs!$C$47*0.173))+0.20*SIN(2*PI()*(((A102)+(Inputs!$C$6))/(0.5*(Inputs!$C$49+Inputs!$C$50))+Inputs!$C$47*0.097)))+0.30*(2*((SIN(((A102)*12.9898+(Inputs!$C$6)*78.233+Inputs!$C$47*37.719))*43758.5453)-INT((SIN(((A102)*12.9898+(Inputs!$C$6)*78.233+Inputs!$C$47*37.719))*43758.5453)))-1)))</x:f>
        <x:v>471.5144848829251</x:v>
      </x:c>
      <x:c r="Z102" s="48" t="n">
        <x:f>B102-X102/1000</x:f>
        <x:v>400.1605342426322</x:v>
      </x:c>
      <x:c r="AA102" s="48" t="n">
        <x:f>SQRT(A102^2+Inputs!$C$6^2+(B102-Y102/1000)^2)</x:f>
        <x:v>400.54563684001647</x:v>
      </x:c>
      <x:c r="AB102" s="48" t="n">
        <x:f>(AA102-Z102)*1000</x:f>
        <x:v>385.1025973842752</x:v>
      </x:c>
      <x:c r="AC102" s="48" t="n">
        <x:f>AB102/Inputs!$C$12</x:f>
        <x:v>216.34977381139058</x:v>
      </x:c>
      <x:c r="AD102" s="48" t="n">
        <x:f>2*AB102/Inputs!$C$21*1000000</x:f>
        <x:v>2.56912798909888</x:v>
      </x:c>
      <x:c r="AE102" s="48" t="n">
        <x:f>DEGREES(ATAN(H102/(B102-Y102/1000)))</x:f>
        <x:v>3.8544930199199263</x:v>
      </x:c>
      <x:c r="AF102" s="48" t="n">
        <x:f>DEGREES((2*PI()/Inputs!$C$13)*Inputs!$C$15*SIN(RADIANS(AE102)))</x:f>
        <x:v>24.200230289148667</x:v>
      </x:c>
      <x:c r="AG102" s="48" t="n">
        <x:f>(Z102/AA102)^4</x:f>
        <x:v>0.996159762729005</x:v>
      </x:c>
      <x:c r="AH102" s="48" t="n">
        <x:f>10*LOG10(AG102)</x:f>
        <x:v>-0.016710044402949098</x:v>
      </x:c>
      <x:c r="AI102" s="48" t="n">
        <x:f>AC102-F102</x:f>
        <x:v>-292.0630877826952</x:v>
      </x:c>
      <x:c r="AJ102" s="48" t="n">
        <x:f>AD102-G102</x:f>
        <x:v>-3.468214642365669</x:v>
      </x:c>
      <x:c r="AK102" s="48" t="n">
        <x:f>Y102-X102</x:f>
        <x:v>520.937616404037</x:v>
      </x:c>
      <x:c r="AL102" s="48" t="n">
        <x:f>1000*(AA103-AA101)/(A103-A101)*Inputs!$C$11</x:f>
        <x:v>-190.4665149304492</x:v>
      </x:c>
      <x:c r="AM102" s="48" t="n">
        <x:f>-2*AL102/Inputs!$C$13</x:f>
        <x:v>76.18660597217968</x:v>
      </x:c>
      <x:c r="AN102" s="48" t="n">
        <x:f>-2*AL102/Inputs!$C$14</x:f>
        <x:v>11.439430326153106</x:v>
      </x:c>
      <x:c r="AO102" s="48" t="n">
        <x:f>ABS(AM102)</x:f>
        <x:v>76.18660597217968</x:v>
      </x:c>
      <x:c r="AP102" s="48" t="n">
        <x:f>ABS(AN102)</x:f>
        <x:v>11.439430326153106</x:v>
      </x:c>
      <x:c r="AQ102" s="48" t="n">
        <x:f>IF(OR(Inputs!$C$27=TRUE,Inputs!$C$27="TRUE",Inputs!$C$27=1),Inputs!$C$46/Inputs!$C$12,0)</x:f>
        <x:v>42.13483146067416</x:v>
      </x:c>
      <x:c r="AR102" s="48" t="n">
        <x:f>AC102-AQ102</x:f>
        <x:v>174.21494235071643</x:v>
      </x:c>
      <x:c r="AS102" s="48" t="n">
        <x:f>AC102+AQ102</x:f>
        <x:v>258.48460527206475</x:v>
      </x:c>
    </x:row>
    <x:row r="103">
      <x:c r="A103" s="48" t="n">
        <x:f>Inputs!$C$7+101*(Inputs!$C$8-Inputs!$C$7)/240</x:f>
        <x:v>-9.5</x:v>
      </x:c>
      <x:c r="B103" s="48" t="n">
        <x:f>Inputs!$C$5+Inputs!$C$9*(A103/Inputs!$C$10)^2</x:f>
        <x:v>400.10027777777776</x:v>
      </x:c>
      <x:c r="C103" s="48" t="n">
        <x:f>B103</x:f>
        <x:v>400.10027777777776</x:v>
      </x:c>
      <x:c r="D103" s="48" t="n">
        <x:f>SQRT(A103^2+Inputs!$C$6^2+B103^2)</x:f>
        <x:v>400.99311998818</x:v>
      </x:c>
      <x:c r="E103" s="48" t="n">
        <x:f>(D103-C103)*1000</x:f>
        <x:v>892.8422104022502</x:v>
      </x:c>
      <x:c r="F103" s="48" t="n">
        <x:f>E103/Inputs!$C$12</x:f>
        <x:v>501.5967474169945</x:v>
      </x:c>
      <x:c r="G103" s="48" t="n">
        <x:f>2*E103/Inputs!$C$21*1000000</x:f>
        <x:v>5.956402081350894</x:v>
      </x:c>
      <x:c r="H103" s="48" t="n">
        <x:f>SQRT(A103^2+Inputs!$C$6^2)</x:f>
        <x:v>26.744158240632665</x:v>
      </x:c>
      <x:c r="I103" s="48" t="n">
        <x:f>DEGREES(ATAN(H103/B103))</x:f>
        <x:v>3.8241695756954894</x:v>
      </x:c>
      <x:c r="J103" s="48" t="n">
        <x:f>DEGREES((2*PI()/Inputs!$C$13)*Inputs!$C$15*SIN(RADIANS(I103)))</x:f>
        <x:v>24.010130066350158</x:v>
      </x:c>
      <x:c r="K103" s="48" t="n">
        <x:f>(C103/D103)^4</x:f>
        <x:v>0.9911233922321975</x:v>
      </x:c>
      <x:c r="L103" s="48" t="n">
        <x:f>10*LOG10(K103)</x:f>
        <x:v>-0.0387227363823875</x:v>
      </x:c>
      <x:c r="M103" s="48" t="n">
        <x:f>2*(Inputs!$C$9/(Inputs!$C$10^2))*A103</x:f>
        <x:v>-0.021111111111111112</x:v>
      </x:c>
      <x:c r="N103" s="48" t="n">
        <x:f>M103*Inputs!$C$11</x:f>
        <x:v>-0.08444444444444445</x:v>
      </x:c>
      <x:c r="O103" s="48" t="n">
        <x:f>1000*((A103*Inputs!$C$11)+(B103*N103))/D103</x:f>
        <x:v>-179.02114051514994</x:v>
      </x:c>
      <x:c r="P103" s="48" t="n">
        <x:f>-2*O103/Inputs!$C$13</x:f>
        <x:v>71.60845620605997</x:v>
      </x:c>
      <x:c r="Q103" s="48" t="n">
        <x:f>-2*O103/Inputs!$C$14</x:f>
        <x:v>10.752020451360357</x:v>
      </x:c>
      <x:c r="R103" s="48" t="n">
        <x:f>F103-Inputs!$C$16/2</x:f>
        <x:v>486.5967474169945</x:v>
      </x:c>
      <x:c r="S103" s="48" t="n">
        <x:f>F103+Inputs!$C$16/2</x:f>
        <x:v>516.5967474169945</x:v>
      </x:c>
      <x:c r="T103" s="48" t="n">
        <x:f>F103-Inputs!$C$17/2</x:f>
        <x:v>351.5967474169945</x:v>
      </x:c>
      <x:c r="U103" s="48" t="n">
        <x:f>F103+Inputs!$C$17/2</x:f>
        <x:v>651.5967474169945</x:v>
      </x:c>
      <x:c r="V103" s="48" t="n">
        <x:f>ABS(P103)</x:f>
        <x:v>71.60845620605997</x:v>
      </x:c>
      <x:c r="W103" s="48" t="n">
        <x:f>ABS(Q103)</x:f>
        <x:v>10.752020451360357</x:v>
      </x:c>
      <x:c r="X103" s="48" t="n">
        <x: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(0.45*SIN(2*PI()*(((A103)/Inputs!$C$49)+Inputs!$C$47*0.137))+0.35*COS(2*PI()*(((0)/Inputs!$C$50)+Inputs!$C$47*0.173))+0.20*SIN(2*PI()*(((A103)+(0))/(0.5*(Inputs!$C$49+Inputs!$C$50))+Inputs!$C$47*0.097)))+0.30*(2*((SIN(((A103)*12.9898+(0)*78.233+Inputs!$C$47*37.719))*43758.5453)-INT((SIN(((A103)*12.9898+(0)*78.233+Inputs!$C$47*37.719))*43758.5453)))-1)))</x:f>
        <x:v>-32.277557975083496</x:v>
      </x:c>
      <x:c r="Y103" s="48" t="n">
        <x: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(0.45*SIN(2*PI()*(((A103)/Inputs!$C$49)+Inputs!$C$47*0.137))+0.35*COS(2*PI()*(((Inputs!$C$6)/Inputs!$C$50)+Inputs!$C$47*0.173))+0.20*SIN(2*PI()*(((A103)+(Inputs!$C$6))/(0.5*(Inputs!$C$49+Inputs!$C$50))+Inputs!$C$47*0.097)))+0.30*(2*((SIN(((A103)*12.9898+(Inputs!$C$6)*78.233+Inputs!$C$47*37.719))*43758.5453)-INT((SIN(((A103)*12.9898+(Inputs!$C$6)*78.233+Inputs!$C$47*37.719))*43758.5453)))-1)))</x:f>
        <x:v>470.5815738170562</x:v>
      </x:c>
      <x:c r="Z103" s="48" t="n">
        <x:f>B103-X103/1000</x:f>
        <x:v>400.13255533575284</x:v>
      </x:c>
      <x:c r="AA103" s="48" t="n">
        <x:f>SQRT(A103^2+Inputs!$C$6^2+(B103-Y103/1000)^2)</x:f>
        <x:v>400.52358743034085</x:v>
      </x:c>
      <x:c r="AB103" s="48" t="n">
        <x:f>(AA103-Z103)*1000</x:f>
        <x:v>391.032094588013</x:v>
      </x:c>
      <x:c r="AC103" s="48" t="n">
        <x:f>AB103/Inputs!$C$12</x:f>
        <x:v>219.68095201573766</x:v>
      </x:c>
      <x:c r="AD103" s="48" t="n">
        <x:f>2*AB103/Inputs!$C$21*1000000</x:f>
        <x:v>2.6086853364937754</x:v>
      </x:c>
      <x:c r="AE103" s="48" t="n">
        <x:f>DEGREES(ATAN(H103/(B103-Y103/1000)))</x:f>
        <x:v>3.8286593185218867</x:v>
      </x:c>
      <x:c r="AF103" s="48" t="n">
        <x:f>DEGREES((2*PI()/Inputs!$C$13)*Inputs!$C$15*SIN(RADIANS(AE103)))</x:f>
        <x:v>24.03827706727071</x:v>
      </x:c>
      <x:c r="AG103" s="48" t="n">
        <x:f>(Z103/AA103)^4</x:f>
        <x:v>0.9961005061257132</x:v>
      </x:c>
      <x:c r="AH103" s="48" t="n">
        <x:f>10*LOG10(AG103)</x:f>
        <x:v>-0.0169683923330448</x:v>
      </x:c>
      <x:c r="AI103" s="48" t="n">
        <x:f>AC103-F103</x:f>
        <x:v>-281.91579540125684</x:v>
      </x:c>
      <x:c r="AJ103" s="48" t="n">
        <x:f>AD103-G103</x:f>
        <x:v>-3.3477167448571183</x:v>
      </x:c>
      <x:c r="AK103" s="48" t="n">
        <x:f>Y103-X103</x:f>
        <x:v>502.8591317921397</x:v>
      </x:c>
      <x:c r="AL103" s="48" t="n">
        <x:f>1000*(AA104-AA102)/(A104-A102)*Inputs!$C$11</x:f>
        <x:v>-215.46677892047228</x:v>
      </x:c>
      <x:c r="AM103" s="48" t="n">
        <x:f>-2*AL103/Inputs!$C$13</x:f>
        <x:v>86.18671156818891</x:v>
      </x:c>
      <x:c r="AN103" s="48" t="n">
        <x:f>-2*AL103/Inputs!$C$14</x:f>
        <x:v>12.940947682911249</x:v>
      </x:c>
      <x:c r="AO103" s="48" t="n">
        <x:f>ABS(AM103)</x:f>
        <x:v>86.18671156818891</x:v>
      </x:c>
      <x:c r="AP103" s="48" t="n">
        <x:f>ABS(AN103)</x:f>
        <x:v>12.940947682911249</x:v>
      </x:c>
      <x:c r="AQ103" s="48" t="n">
        <x:f>IF(OR(Inputs!$C$27=TRUE,Inputs!$C$27="TRUE",Inputs!$C$27=1),Inputs!$C$46/Inputs!$C$12,0)</x:f>
        <x:v>42.13483146067416</x:v>
      </x:c>
      <x:c r="AR103" s="48" t="n">
        <x:f>AC103-AQ103</x:f>
        <x:v>177.5461205550635</x:v>
      </x:c>
      <x:c r="AS103" s="48" t="n">
        <x:f>AC103+AQ103</x:f>
        <x:v>261.8157834764118</x:v>
      </x:c>
    </x:row>
    <x:row r="104">
      <x:c r="A104" s="48" t="n">
        <x:f>Inputs!$C$7+102*(Inputs!$C$8-Inputs!$C$7)/240</x:f>
        <x:v>-9</x:v>
      </x:c>
      <x:c r="B104" s="48" t="n">
        <x:f>Inputs!$C$5+Inputs!$C$9*(A104/Inputs!$C$10)^2</x:f>
        <x:v>400.09</x:v>
      </x:c>
      <x:c r="C104" s="48" t="n">
        <x:f>B104</x:f>
        <x:v>400.09</x:v>
      </x:c>
      <x:c r="D104" s="48" t="n">
        <x:f>SQRT(A104^2+Inputs!$C$6^2+B104^2)</x:f>
        <x:v>400.9713307706674</x:v>
      </x:c>
      <x:c r="E104" s="48" t="n">
        <x:f>(D104-C104)*1000</x:f>
        <x:v>881.3307706674323</x:v>
      </x:c>
      <x:c r="F104" s="48" t="n">
        <x:f>E104/Inputs!$C$12</x:f>
        <x:v>495.1296464423777</x:v>
      </x:c>
      <x:c r="G104" s="48" t="n">
        <x:f>2*E104/Inputs!$C$21*1000000</x:f>
        <x:v>5.879606021759441</x:v>
      </x:c>
      <x:c r="H104" s="48" t="n">
        <x:f>SQRT(A104^2+Inputs!$C$6^2)</x:f>
        <x:v>26.570660511172846</x:v>
      </x:c>
      <x:c r="I104" s="48" t="n">
        <x:f>DEGREES(ATAN(H104/B104))</x:f>
        <x:v>3.79953120706518</x:v>
      </x:c>
      <x:c r="J104" s="48" t="n">
        <x:f>DEGREES((2*PI()/Inputs!$C$13)*Inputs!$C$15*SIN(RADIANS(I104)))</x:f>
        <x:v>23.85566510612477</x:v>
      </x:c>
      <x:c r="K104" s="48" t="n">
        <x:f>(C104/D104)^4</x:f>
        <x:v>0.9912369865363565</x:v>
      </x:c>
      <x:c r="L104" s="48" t="n">
        <x:f>10*LOG10(K104)</x:f>
        <x:v>-0.0382250127590316</x:v>
      </x:c>
      <x:c r="M104" s="48" t="n">
        <x:f>2*(Inputs!$C$9/(Inputs!$C$10^2))*A104</x:f>
        <x:v>-0.02</x:v>
      </x:c>
      <x:c r="N104" s="48" t="n">
        <x:f>M104*Inputs!$C$11</x:f>
        <x:v>-0.08</x:v>
      </x:c>
      <x:c r="O104" s="48" t="n">
        <x:f>1000*((A104*Inputs!$C$11)+(B104*N104))/D104</x:f>
        <x:v>-169.6061408412668</x:v>
      </x:c>
      <x:c r="P104" s="48" t="n">
        <x:f>-2*O104/Inputs!$C$13</x:f>
        <x:v>67.84245633650673</x:v>
      </x:c>
      <x:c r="Q104" s="48" t="n">
        <x:f>-2*O104/Inputs!$C$14</x:f>
        <x:v>10.186555005481491</x:v>
      </x:c>
      <x:c r="R104" s="48" t="n">
        <x:f>F104-Inputs!$C$16/2</x:f>
        <x:v>480.1296464423777</x:v>
      </x:c>
      <x:c r="S104" s="48" t="n">
        <x:f>F104+Inputs!$C$16/2</x:f>
        <x:v>510.1296464423777</x:v>
      </x:c>
      <x:c r="T104" s="48" t="n">
        <x:f>F104-Inputs!$C$17/2</x:f>
        <x:v>345.1296464423777</x:v>
      </x:c>
      <x:c r="U104" s="48" t="n">
        <x:f>F104+Inputs!$C$17/2</x:f>
        <x:v>645.1296464423776</x:v>
      </x:c>
      <x:c r="V104" s="48" t="n">
        <x:f>ABS(P104)</x:f>
        <x:v>67.84245633650673</x:v>
      </x:c>
      <x:c r="W104" s="48" t="n">
        <x:f>ABS(Q104)</x:f>
        <x:v>10.186555005481491</x:v>
      </x:c>
      <x:c r="X104" s="48" t="n">
        <x: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(0.45*SIN(2*PI()*(((A104)/Inputs!$C$49)+Inputs!$C$47*0.137))+0.35*COS(2*PI()*(((0)/Inputs!$C$50)+Inputs!$C$47*0.173))+0.20*SIN(2*PI()*(((A104)+(0))/(0.5*(Inputs!$C$49+Inputs!$C$50))+Inputs!$C$47*0.097)))+0.30*(2*((SIN(((A104)*12.9898+(0)*78.233+Inputs!$C$47*37.719))*43758.5453)-INT((SIN(((A104)*12.9898+(0)*78.233+Inputs!$C$47*37.719))*43758.5453)))-1)))</x:f>
        <x:v>-47.4214748383975</x:v>
      </x:c>
      <x:c r="Y104" s="48" t="n">
        <x: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(0.45*SIN(2*PI()*(((A104)/Inputs!$C$49)+Inputs!$C$47*0.137))+0.35*COS(2*PI()*(((Inputs!$C$6)/Inputs!$C$50)+Inputs!$C$47*0.173))+0.20*SIN(2*PI()*(((A104)+(Inputs!$C$6))/(0.5*(Inputs!$C$49+Inputs!$C$50))+Inputs!$C$47*0.097)))+0.30*(2*((SIN(((A104)*12.9898+(Inputs!$C$6)*78.233+Inputs!$C$47*37.719))*43758.5453)-INT((SIN(((A104)*12.9898+(Inputs!$C$6)*78.233+Inputs!$C$47*37.719))*43758.5453)))-1)))</x:f>
        <x:v>480.618285675218</x:v>
      </x:c>
      <x:c r="Z104" s="48" t="n">
        <x:f>B104-X104/1000</x:f>
        <x:v>400.1374214748384</x:v>
      </x:c>
      <x:c r="AA104" s="48" t="n">
        <x:f>SQRT(A104^2+Inputs!$C$6^2+(B104-Y104/1000)^2)</x:f>
        <x:v>400.49177014528635</x:v>
      </x:c>
      <x:c r="AB104" s="48" t="n">
        <x:f>(AA104-Z104)*1000</x:f>
        <x:v>354.3486704479619</x:v>
      </x:c>
      <x:c r="AC104" s="48" t="n">
        <x:f>AB104/Inputs!$C$12</x:f>
        <x:v>199.07228676851793</x:v>
      </x:c>
      <x:c r="AD104" s="48" t="n">
        <x:f>2*AB104/Inputs!$C$21*1000000</x:f>
        <x:v>2.3639598728528517</x:v>
      </x:c>
      <x:c r="AE104" s="48" t="n">
        <x:f>DEGREES(ATAN(H104/(B104-Y104/1000)))</x:f>
        <x:v>3.8040875704738526</x:v>
      </x:c>
      <x:c r="AF104" s="48" t="n">
        <x:f>DEGREES((2*PI()/Inputs!$C$13)*Inputs!$C$15*SIN(RADIANS(AE104)))</x:f>
        <x:v>23.884230581198143</x:v>
      </x:c>
      <x:c r="AG104" s="48" t="n">
        <x:f>(Z104/AA104)^4</x:f>
        <x:v>0.9964655586839214</x:v>
      </x:c>
      <x:c r="AH104" s="48" t="n">
        <x:f>10*LOG10(AG104)</x:f>
        <x:v>-0.0153770743214794</x:v>
      </x:c>
      <x:c r="AI104" s="48" t="n">
        <x:f>AC104-F104</x:f>
        <x:v>-296.05735967385976</x:v>
      </x:c>
      <x:c r="AJ104" s="48" t="n">
        <x:f>AD104-G104</x:f>
        <x:v>-3.5156461489065896</x:v>
      </x:c>
      <x:c r="AK104" s="48" t="n">
        <x:f>Y104-X104</x:f>
        <x:v>528.0397605136154</x:v>
      </x:c>
      <x:c r="AL104" s="48" t="n">
        <x:f>1000*(AA105-AA103)/(A105-A103)*Inputs!$C$11</x:f>
        <x:v>-129.95364129824338</x:v>
      </x:c>
      <x:c r="AM104" s="48" t="n">
        <x:f>-2*AL104/Inputs!$C$13</x:f>
        <x:v>51.98145651929735</x:v>
      </x:c>
      <x:c r="AN104" s="48" t="n">
        <x:f>-2*AL104/Inputs!$C$14</x:f>
        <x:v>7.805023501396</x:v>
      </x:c>
      <x:c r="AO104" s="48" t="n">
        <x:f>ABS(AM104)</x:f>
        <x:v>51.98145651929735</x:v>
      </x:c>
      <x:c r="AP104" s="48" t="n">
        <x:f>ABS(AN104)</x:f>
        <x:v>7.805023501396</x:v>
      </x:c>
      <x:c r="AQ104" s="48" t="n">
        <x:f>IF(OR(Inputs!$C$27=TRUE,Inputs!$C$27="TRUE",Inputs!$C$27=1),Inputs!$C$46/Inputs!$C$12,0)</x:f>
        <x:v>42.13483146067416</x:v>
      </x:c>
      <x:c r="AR104" s="48" t="n">
        <x:f>AC104-AQ104</x:f>
        <x:v>156.93745530784378</x:v>
      </x:c>
      <x:c r="AS104" s="48" t="n">
        <x:f>AC104+AQ104</x:f>
        <x:v>241.20711822919208</x:v>
      </x:c>
    </x:row>
    <x:row r="105">
      <x:c r="A105" s="48" t="n">
        <x:f>Inputs!$C$7+103*(Inputs!$C$8-Inputs!$C$7)/240</x:f>
        <x:v>-8.5</x:v>
      </x:c>
      <x:c r="B105" s="48" t="n">
        <x:f>Inputs!$C$5+Inputs!$C$9*(A105/Inputs!$C$10)^2</x:f>
        <x:v>400.0802777777778</x:v>
      </x:c>
      <x:c r="C105" s="48" t="n">
        <x:f>B105</x:f>
        <x:v>400.0802777777778</x:v>
      </x:c>
      <x:c r="D105" s="48" t="n">
        <x:f>SQRT(A105^2+Inputs!$C$6^2+B105^2)</x:f>
        <x:v>400.9507185013438</x:v>
      </x:c>
      <x:c r="E105" s="48" t="n">
        <x:f>(D105-C105)*1000</x:f>
        <x:v>870.4407235659914</x:v>
      </x:c>
      <x:c r="F105" s="48" t="n">
        <x:f>E105/Inputs!$C$12</x:f>
        <x:v>489.01164245280415</x:v>
      </x:c>
      <x:c r="G105" s="48" t="n">
        <x:f>2*E105/Inputs!$C$21*1000000</x:f>
        <x:v>5.806955447598295</x:v>
      </x:c>
      <x:c r="H105" s="48" t="n">
        <x:f>SQRT(A105^2+Inputs!$C$6^2)</x:f>
        <x:v>26.405491853021786</x:v>
      </x:c>
      <x:c r="I105" s="48" t="n">
        <x:f>DEGREES(ATAN(H105/B105))</x:f>
        <x:v>3.776072578786574</x:v>
      </x:c>
      <x:c r="J105" s="48" t="n">
        <x:f>DEGREES((2*PI()/Inputs!$C$13)*Inputs!$C$15*SIN(RADIANS(I105)))</x:f>
        <x:v>23.708592174666432</x:v>
      </x:c>
      <x:c r="K105" s="48" t="n">
        <x:f>(C105/D105)^4</x:f>
        <x:v>0.9913444693395405</x:v>
      </x:c>
      <x:c r="L105" s="48" t="n">
        <x:f>10*LOG10(K105)</x:f>
        <x:v>-0.037754119739936</x:v>
      </x:c>
      <x:c r="M105" s="48" t="n">
        <x:f>2*(Inputs!$C$9/(Inputs!$C$10^2))*A105</x:f>
        <x:v>-0.01888888888888889</x:v>
      </x:c>
      <x:c r="N105" s="48" t="n">
        <x:f>M105*Inputs!$C$11</x:f>
        <x:v>-0.07555555555555556</x:v>
      </x:c>
      <x:c r="O105" s="48" t="n">
        <x:f>1000*((A105*Inputs!$C$11)+(B105*N105))/D105</x:f>
        <x:v>-160.18998019105862</x:v>
      </x:c>
      <x:c r="P105" s="48" t="n">
        <x:f>-2*O105/Inputs!$C$13</x:f>
        <x:v>64.07599207642345</x:v>
      </x:c>
      <x:c r="Q105" s="48" t="n">
        <x:f>-2*O105/Inputs!$C$14</x:f>
        <x:v>9.621019831294813</x:v>
      </x:c>
      <x:c r="R105" s="48" t="n">
        <x:f>F105-Inputs!$C$16/2</x:f>
        <x:v>474.01164245280415</x:v>
      </x:c>
      <x:c r="S105" s="48" t="n">
        <x:f>F105+Inputs!$C$16/2</x:f>
        <x:v>504.01164245280415</x:v>
      </x:c>
      <x:c r="T105" s="48" t="n">
        <x:f>F105-Inputs!$C$17/2</x:f>
        <x:v>339.01164245280415</x:v>
      </x:c>
      <x:c r="U105" s="48" t="n">
        <x:f>F105+Inputs!$C$17/2</x:f>
        <x:v>639.0116424528042</x:v>
      </x:c>
      <x:c r="V105" s="48" t="n">
        <x:f>ABS(P105)</x:f>
        <x:v>64.07599207642345</x:v>
      </x:c>
      <x:c r="W105" s="48" t="n">
        <x:f>ABS(Q105)</x:f>
        <x:v>9.621019831294813</x:v>
      </x:c>
      <x:c r="X105" s="48" t="n">
        <x: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(0.45*SIN(2*PI()*(((A105)/Inputs!$C$49)+Inputs!$C$47*0.137))+0.35*COS(2*PI()*(((0)/Inputs!$C$50)+Inputs!$C$47*0.173))+0.20*SIN(2*PI()*(((A105)+(0))/(0.5*(Inputs!$C$49+Inputs!$C$50))+Inputs!$C$47*0.097)))+0.30*(2*((SIN(((A105)*12.9898+(0)*78.233+Inputs!$C$47*37.719))*43758.5453)-INT((SIN(((A105)*12.9898+(0)*78.233+Inputs!$C$47*37.719))*43758.5453)))-1)))</x:f>
        <x:v>-61.84832289166857</x:v>
      </x:c>
      <x:c r="Y105" s="48" t="n">
        <x: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(0.45*SIN(2*PI()*(((A105)/Inputs!$C$49)+Inputs!$C$47*0.137))+0.35*COS(2*PI()*(((Inputs!$C$6)/Inputs!$C$50)+Inputs!$C$47*0.173))+0.20*SIN(2*PI()*(((A105)+(Inputs!$C$6))/(0.5*(Inputs!$C$49+Inputs!$C$50))+Inputs!$C$47*0.097)))+0.30*(2*((SIN(((A105)*12.9898+(Inputs!$C$6)*78.233+Inputs!$C$47*37.719))*43758.5453)-INT((SIN(((A105)*12.9898+(Inputs!$C$6)*78.233+Inputs!$C$47*37.719))*43758.5453)))-1)))</x:f>
        <x:v>460.6206107904381</x:v>
      </x:c>
      <x:c r="Z105" s="48" t="n">
        <x:f>B105-X105/1000</x:f>
        <x:v>400.14212610066943</x:v>
      </x:c>
      <x:c r="AA105" s="48" t="n">
        <x:f>SQRT(A105^2+Inputs!$C$6^2+(B105-Y105/1000)^2)</x:f>
        <x:v>400.4910990200163</x:v>
      </x:c>
      <x:c r="AB105" s="48" t="n">
        <x:f>(AA105-Z105)*1000</x:f>
        <x:v>348.97291934686336</x:v>
      </x:c>
      <x:c r="AC105" s="48" t="n">
        <x:f>AB105/Inputs!$C$12</x:f>
        <x:v>196.05220188026033</x:v>
      </x:c>
      <x:c r="AD105" s="48" t="n">
        <x:f>2*AB105/Inputs!$C$21*1000000</x:f>
        <x:v>2.328096721811883</x:v>
      </x:c>
      <x:c r="AE105" s="48" t="n">
        <x:f>DEGREES(ATAN(H105/(B105-Y105/1000)))</x:f>
        <x:v>3.7804124455522796</x:v>
      </x:c>
      <x:c r="AF105" s="48" t="n">
        <x:f>DEGREES((2*PI()/Inputs!$C$13)*Inputs!$C$15*SIN(RADIANS(AE105)))</x:f>
        <x:v>23.735801096075644</x:v>
      </x:c>
      <x:c r="AG105" s="48" t="n">
        <x:f>(Z105/AA105)^4</x:f>
        <x:v>0.996519103048811</x:v>
      </x:c>
      <x:c r="AH105" s="48" t="n">
        <x:f>10*LOG10(AG105)</x:f>
        <x:v>-0.015143715553992099</x:v>
      </x:c>
      <x:c r="AI105" s="48" t="n">
        <x:f>AC105-F105</x:f>
        <x:v>-292.9594405725438</x:v>
      </x:c>
      <x:c r="AJ105" s="48" t="n">
        <x:f>AD105-G105</x:f>
        <x:v>-3.4788587257864116</x:v>
      </x:c>
      <x:c r="AK105" s="48" t="n">
        <x:f>Y105-X105</x:f>
        <x:v>522.4689336821067</x:v>
      </x:c>
      <x:c r="AL105" s="48" t="n">
        <x:f>1000*(AA106-AA104)/(A106-A104)*Inputs!$C$11</x:f>
        <x:v>-140.52409974078728</x:v>
      </x:c>
      <x:c r="AM105" s="48" t="n">
        <x:f>-2*AL105/Inputs!$C$13</x:f>
        <x:v>56.20963989631491</x:v>
      </x:c>
      <x:c r="AN105" s="48" t="n">
        <x:f>-2*AL105/Inputs!$C$14</x:f>
        <x:v>8.439885870317555</x:v>
      </x:c>
      <x:c r="AO105" s="48" t="n">
        <x:f>ABS(AM105)</x:f>
        <x:v>56.20963989631491</x:v>
      </x:c>
      <x:c r="AP105" s="48" t="n">
        <x:f>ABS(AN105)</x:f>
        <x:v>8.439885870317555</x:v>
      </x:c>
      <x:c r="AQ105" s="48" t="n">
        <x:f>IF(OR(Inputs!$C$27=TRUE,Inputs!$C$27="TRUE",Inputs!$C$27=1),Inputs!$C$46/Inputs!$C$12,0)</x:f>
        <x:v>42.13483146067416</x:v>
      </x:c>
      <x:c r="AR105" s="48" t="n">
        <x:f>AC105-AQ105</x:f>
        <x:v>153.91737041958618</x:v>
      </x:c>
      <x:c r="AS105" s="48" t="n">
        <x:f>AC105+AQ105</x:f>
        <x:v>238.18703334093448</x:v>
      </x:c>
    </x:row>
    <x:row r="106">
      <x:c r="A106" s="48" t="n">
        <x:f>Inputs!$C$7+104*(Inputs!$C$8-Inputs!$C$7)/240</x:f>
        <x:v>-8</x:v>
      </x:c>
      <x:c r="B106" s="48" t="n">
        <x:f>Inputs!$C$5+Inputs!$C$9*(A106/Inputs!$C$10)^2</x:f>
        <x:v>400.0711111111111</x:v>
      </x:c>
      <x:c r="C106" s="48" t="n">
        <x:f>B106</x:f>
        <x:v>400.0711111111111</x:v>
      </x:c>
      <x:c r="D106" s="48" t="n">
        <x:f>SQRT(A106^2+Inputs!$C$6^2+B106^2)</x:f>
        <x:v>400.93128332131806</x:v>
      </x:c>
      <x:c r="E106" s="48" t="n">
        <x:f>(D106-C106)*1000</x:f>
        <x:v>860.1722102069402</x:v>
      </x:c>
      <x:c r="F106" s="48" t="n">
        <x:f>E106/Inputs!$C$12</x:f>
        <x:v>483.24281472300015</x:v>
      </x:c>
      <x:c r="G106" s="48" t="n">
        <x:f>2*E106/Inputs!$C$21*1000000</x:f>
        <x:v>5.738451300245453</x:v>
      </x:c>
      <x:c r="H106" s="48" t="n">
        <x:f>SQRT(A106^2+Inputs!$C$6^2)</x:f>
        <x:v>26.248809496813376</x:v>
      </x:c>
      <x:c r="I106" s="48" t="n">
        <x:f>DEGREES(ATAN(H106/B106))</x:f>
        <x:v>3.75381649570681</x:v>
      </x:c>
      <x:c r="J106" s="48" t="n">
        <x:f>DEGREES((2*PI()/Inputs!$C$13)*Inputs!$C$15*SIN(RADIANS(I106)))</x:f>
        <x:v>23.56905487786457</x:v>
      </x:c>
      <x:c r="K106" s="48" t="n">
        <x:f>(C106/D106)^4</x:f>
        <x:v>0.9914458358623286</x:v>
      </x:c>
      <x:c r="L106" s="48" t="n">
        <x:f>10*LOG10(K106)</x:f>
        <x:v>-0.0373100695403817</x:v>
      </x:c>
      <x:c r="M106" s="48" t="n">
        <x:f>2*(Inputs!$C$9/(Inputs!$C$10^2))*A106</x:f>
        <x:v>-0.017777777777777778</x:v>
      </x:c>
      <x:c r="N106" s="48" t="n">
        <x:f>M106*Inputs!$C$11</x:f>
        <x:v>-0.07111111111111111</x:v>
      </x:c>
      <x:c r="O106" s="48" t="n">
        <x:f>1000*((A106*Inputs!$C$11)+(B106*N106))/D106</x:f>
        <x:v>-150.77272278132986</x:v>
      </x:c>
      <x:c r="P106" s="48" t="n">
        <x:f>-2*O106/Inputs!$C$13</x:f>
        <x:v>60.30908911253194</x:v>
      </x:c>
      <x:c r="Q106" s="48" t="n">
        <x:f>-2*O106/Inputs!$C$14</x:f>
        <x:v>9.055418785665458</x:v>
      </x:c>
      <x:c r="R106" s="48" t="n">
        <x:f>F106-Inputs!$C$16/2</x:f>
        <x:v>468.24281472300015</x:v>
      </x:c>
      <x:c r="S106" s="48" t="n">
        <x:f>F106+Inputs!$C$16/2</x:f>
        <x:v>498.24281472300015</x:v>
      </x:c>
      <x:c r="T106" s="48" t="n">
        <x:f>F106-Inputs!$C$17/2</x:f>
        <x:v>333.24281472300015</x:v>
      </x:c>
      <x:c r="U106" s="48" t="n">
        <x:f>F106+Inputs!$C$17/2</x:f>
        <x:v>633.2428147230002</x:v>
      </x:c>
      <x:c r="V106" s="48" t="n">
        <x:f>ABS(P106)</x:f>
        <x:v>60.30908911253194</x:v>
      </x:c>
      <x:c r="W106" s="48" t="n">
        <x:f>ABS(Q106)</x:f>
        <x:v>9.055418785665458</x:v>
      </x:c>
      <x:c r="X106" s="48" t="n">
        <x: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(0.45*SIN(2*PI()*(((A106)/Inputs!$C$49)+Inputs!$C$47*0.137))+0.35*COS(2*PI()*(((0)/Inputs!$C$50)+Inputs!$C$47*0.173))+0.20*SIN(2*PI()*(((A106)+(0))/(0.5*(Inputs!$C$49+Inputs!$C$50))+Inputs!$C$47*0.097)))+0.30*(2*((SIN(((A106)*12.9898+(0)*78.233+Inputs!$C$47*37.719))*43758.5453)-INT((SIN(((A106)*12.9898+(0)*78.233+Inputs!$C$47*37.719))*43758.5453)))-1)))</x:f>
        <x:v>-39.34099577037003</x:v>
      </x:c>
      <x:c r="Y106" s="48" t="n">
        <x: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(0.45*SIN(2*PI()*(((A106)/Inputs!$C$49)+Inputs!$C$47*0.137))+0.35*COS(2*PI()*(((Inputs!$C$6)/Inputs!$C$50)+Inputs!$C$47*0.173))+0.20*SIN(2*PI()*(((A106)+(Inputs!$C$6))/(0.5*(Inputs!$C$49+Inputs!$C$50))+Inputs!$C$47*0.097)))+0.30*(2*((SIN(((A106)*12.9898+(Inputs!$C$6)*78.233+Inputs!$C$47*37.719))*43758.5453)-INT((SIN(((A106)*12.9898+(Inputs!$C$6)*78.233+Inputs!$C$47*37.719))*43758.5453)))-1)))</x:f>
        <x:v>475.6659223963138</x:v>
      </x:c>
      <x:c r="Z106" s="48" t="n">
        <x:f>B106-X106/1000</x:f>
        <x:v>400.1104521068815</x:v>
      </x:c>
      <x:c r="AA106" s="48" t="n">
        <x:f>SQRT(A106^2+Inputs!$C$6^2+(B106-Y106/1000)^2)</x:f>
        <x:v>400.45663912035116</x:v>
      </x:c>
      <x:c r="AB106" s="48" t="n">
        <x:f>(AA106-Z106)*1000</x:f>
        <x:v>346.18701346965963</x:v>
      </x:c>
      <x:c r="AC106" s="48" t="n">
        <x:f>AB106/Inputs!$C$12</x:f>
        <x:v>194.4870862189099</x:v>
      </x:c>
      <x:c r="AD106" s="48" t="n">
        <x:f>2*AB106/Inputs!$C$21*1000000</x:f>
        <x:v>2.3095111583471497</x:v>
      </x:c>
      <x:c r="AE106" s="48" t="n">
        <x:f>DEGREES(ATAN(H106/(B106-Y106/1000)))</x:f>
        <x:v>3.758272122844037</x:v>
      </x:c>
      <x:c r="AF106" s="48" t="n">
        <x:f>DEGREES((2*PI()/Inputs!$C$13)*Inputs!$C$15*SIN(RADIANS(AE106)))</x:f>
        <x:v>23.596990274926846</x:v>
      </x:c>
      <x:c r="AG106" s="48" t="n">
        <x:f>(Z106/AA106)^4</x:f>
        <x:v>0.9965465587991822</x:v>
      </x:c>
      <x:c r="AH106" s="48" t="n">
        <x:f>10*LOG10(AG106)</x:f>
        <x:v>-0.0150240618856586</x:v>
      </x:c>
      <x:c r="AI106" s="48" t="n">
        <x:f>AC106-F106</x:f>
        <x:v>-288.75572850409026</x:v>
      </x:c>
      <x:c r="AJ106" s="48" t="n">
        <x:f>AD106-G106</x:f>
        <x:v>-3.428940141898303</x:v>
      </x:c>
      <x:c r="AK106" s="48" t="n">
        <x:f>Y106-X106</x:f>
        <x:v>515.0069181666838</x:v>
      </x:c>
      <x:c r="AL106" s="48" t="n">
        <x:f>1000*(AA107-AA105)/(A107-A105)*Inputs!$C$11</x:f>
        <x:v>-189.35571794418138</x:v>
      </x:c>
      <x:c r="AM106" s="48" t="n">
        <x:f>-2*AL106/Inputs!$C$13</x:f>
        <x:v>75.74228717767255</x:v>
      </x:c>
      <x:c r="AN106" s="48" t="n">
        <x:f>-2*AL106/Inputs!$C$14</x:f>
        <x:v>11.372715792443326</x:v>
      </x:c>
      <x:c r="AO106" s="48" t="n">
        <x:f>ABS(AM106)</x:f>
        <x:v>75.74228717767255</x:v>
      </x:c>
      <x:c r="AP106" s="48" t="n">
        <x:f>ABS(AN106)</x:f>
        <x:v>11.372715792443326</x:v>
      </x:c>
      <x:c r="AQ106" s="48" t="n">
        <x:f>IF(OR(Inputs!$C$27=TRUE,Inputs!$C$27="TRUE",Inputs!$C$27=1),Inputs!$C$46/Inputs!$C$12,0)</x:f>
        <x:v>42.13483146067416</x:v>
      </x:c>
      <x:c r="AR106" s="48" t="n">
        <x:f>AC106-AQ106</x:f>
        <x:v>152.35225475823574</x:v>
      </x:c>
      <x:c r="AS106" s="48" t="n">
        <x:f>AC106+AQ106</x:f>
        <x:v>236.62191767958404</x:v>
      </x:c>
    </x:row>
    <x:row r="107">
      <x:c r="A107" s="48" t="n">
        <x:f>Inputs!$C$7+105*(Inputs!$C$8-Inputs!$C$7)/240</x:f>
        <x:v>-7.5</x:v>
      </x:c>
      <x:c r="B107" s="48" t="n">
        <x:f>Inputs!$C$5+Inputs!$C$9*(A107/Inputs!$C$10)^2</x:f>
        <x:v>400.0625</x:v>
      </x:c>
      <x:c r="C107" s="48" t="n">
        <x:f>B107</x:f>
        <x:v>400.0625</x:v>
      </x:c>
      <x:c r="D107" s="48" t="n">
        <x:f>SQRT(A107^2+Inputs!$C$6^2+B107^2)</x:f>
        <x:v>400.91302536366914</x:v>
      </x:c>
      <x:c r="E107" s="48" t="n">
        <x:f>(D107-C107)*1000</x:f>
        <x:v>850.525363669135</x:v>
      </x:c>
      <x:c r="F107" s="48" t="n">
        <x:f>E107/Inputs!$C$12</x:f>
        <x:v>477.82323801636795</x:v>
      </x:c>
      <x:c r="G107" s="48" t="n">
        <x:f>2*E107/Inputs!$C$21*1000000</x:f>
        <x:v>5.6740944675074845</x:v>
      </x:c>
      <x:c r="H107" s="48" t="n">
        <x:f>SQRT(A107^2+Inputs!$C$6^2)</x:f>
        <x:v>26.100766272276374</x:v>
      </x:c>
      <x:c r="I107" s="48" t="n">
        <x:f>DEGREES(ATAN(H107/B107))</x:f>
        <x:v>3.7327851196426796</x:v>
      </x:c>
      <x:c r="J107" s="48" t="n">
        <x:f>DEGREES((2*PI()/Inputs!$C$13)*Inputs!$C$15*SIN(RADIANS(I107)))</x:f>
        <x:v>23.437192766426364</x:v>
      </x:c>
      <x:c r="K107" s="48" t="n">
        <x:f>(C107/D107)^4</x:f>
        <x:v>0.9915410815957869</x:v>
      </x:c>
      <x:c r="L107" s="48" t="n">
        <x:f>10*LOG10(K107)</x:f>
        <x:v>-0.0368928736816152</x:v>
      </x:c>
      <x:c r="M107" s="48" t="n">
        <x:f>2*(Inputs!$C$9/(Inputs!$C$10^2))*A107</x:f>
        <x:v>-0.016666666666666666</x:v>
      </x:c>
      <x:c r="N107" s="48" t="n">
        <x:f>M107*Inputs!$C$11</x:f>
        <x:v>-0.06666666666666667</x:v>
      </x:c>
      <x:c r="O107" s="48" t="n">
        <x:f>1000*((A107*Inputs!$C$11)+(B107*N107))/D107</x:f>
        <x:v>-141.35443287712363</x:v>
      </x:c>
      <x:c r="P107" s="48" t="n">
        <x:f>-2*O107/Inputs!$C$13</x:f>
        <x:v>56.54177315084945</x:v>
      </x:c>
      <x:c r="Q107" s="48" t="n">
        <x:f>-2*O107/Inputs!$C$14</x:f>
        <x:v>8.489755728355775</x:v>
      </x:c>
      <x:c r="R107" s="48" t="n">
        <x:f>F107-Inputs!$C$16/2</x:f>
        <x:v>462.82323801636795</x:v>
      </x:c>
      <x:c r="S107" s="48" t="n">
        <x:f>F107+Inputs!$C$16/2</x:f>
        <x:v>492.82323801636795</x:v>
      </x:c>
      <x:c r="T107" s="48" t="n">
        <x:f>F107-Inputs!$C$17/2</x:f>
        <x:v>327.82323801636795</x:v>
      </x:c>
      <x:c r="U107" s="48" t="n">
        <x:f>F107+Inputs!$C$17/2</x:f>
        <x:v>627.8232380163679</x:v>
      </x:c>
      <x:c r="V107" s="48" t="n">
        <x:f>ABS(P107)</x:f>
        <x:v>56.54177315084945</x:v>
      </x:c>
      <x:c r="W107" s="48" t="n">
        <x:f>ABS(Q107)</x:f>
        <x:v>8.489755728355775</x:v>
      </x:c>
      <x:c r="X107" s="48" t="n">
        <x: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(0.45*SIN(2*PI()*(((A107)/Inputs!$C$49)+Inputs!$C$47*0.137))+0.35*COS(2*PI()*(((0)/Inputs!$C$50)+Inputs!$C$47*0.173))+0.20*SIN(2*PI()*(((A107)+(0))/(0.5*(Inputs!$C$49+Inputs!$C$50))+Inputs!$C$47*0.097)))+0.30*(2*((SIN(((A107)*12.9898+(0)*78.233+Inputs!$C$47*37.719))*43758.5453)-INT((SIN(((A107)*12.9898+(0)*78.233+Inputs!$C$47*37.719))*43758.5453)))-1)))</x:f>
        <x:v>-43.22381145165265</x:v>
      </x:c>
      <x:c r="Y107" s="48" t="n">
        <x: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(0.45*SIN(2*PI()*(((A107)/Inputs!$C$49)+Inputs!$C$47*0.137))+0.35*COS(2*PI()*(((Inputs!$C$6)/Inputs!$C$50)+Inputs!$C$47*0.173))+0.20*SIN(2*PI()*(((A107)+(Inputs!$C$6))/(0.5*(Inputs!$C$49+Inputs!$C$50))+Inputs!$C$47*0.097)))+0.30*(2*((SIN(((A107)*12.9898+(Inputs!$C$6)*78.233+Inputs!$C$47*37.719))*43758.5453)-INT((SIN(((A107)*12.9898+(Inputs!$C$6)*78.233+Inputs!$C$47*37.719))*43758.5453)))-1)))</x:f>
        <x:v>470.2640951439132</x:v>
      </x:c>
      <x:c r="Z107" s="48" t="n">
        <x:f>B107-X107/1000</x:f>
        <x:v>400.10572381145164</x:v>
      </x:c>
      <x:c r="AA107" s="48" t="n">
        <x:f>SQRT(A107^2+Inputs!$C$6^2+(B107-Y107/1000)^2)</x:f>
        <x:v>400.44376009053025</x:v>
      </x:c>
      <x:c r="AB107" s="48" t="n">
        <x:f>(AA107-Z107)*1000</x:f>
        <x:v>338.036279078608</x:v>
      </x:c>
      <x:c r="AC107" s="48" t="n">
        <x:f>AB107/Inputs!$C$12</x:f>
        <x:v>189.90802195427415</x:v>
      </x:c>
      <x:c r="AD107" s="48" t="n">
        <x:f>2*AB107/Inputs!$C$21*1000000</x:f>
        <x:v>2.255135311500118</x:v>
      </x:c>
      <x:c r="AE107" s="48" t="n">
        <x:f>DEGREES(ATAN(H107/(B107-Y107/1000)))</x:f>
        <x:v>3.737165643146335</x:v>
      </x:c>
      <x:c r="AF107" s="48" t="n">
        <x:f>DEGREES((2*PI()/Inputs!$C$13)*Inputs!$C$15*SIN(RADIANS(AE107)))</x:f>
        <x:v>23.464657948210338</x:v>
      </x:c>
      <x:c r="AG107" s="48" t="n">
        <x:f>(Z107/AA107)^4</x:f>
        <x:v>0.9966276564007753</x:v>
      </x:c>
      <x:c r="AH107" s="48" t="n">
        <x:f>10*LOG10(AG107)</x:f>
        <x:v>-0.014670653331420501</x:v>
      </x:c>
      <x:c r="AI107" s="48" t="n">
        <x:f>AC107-F107</x:f>
        <x:v>-287.9152160620938</x:v>
      </x:c>
      <x:c r="AJ107" s="48" t="n">
        <x:f>AD107-G107</x:f>
        <x:v>-3.4189591560073667</x:v>
      </x:c>
      <x:c r="AK107" s="48" t="n">
        <x:f>Y107-X107</x:f>
        <x:v>513.4879065955658</x:v>
      </x:c>
      <x:c r="AL107" s="48" t="n">
        <x:f>1000*(AA108-AA106)/(A108-A106)*Inputs!$C$11</x:f>
        <x:v>-10.882529067430369</x:v>
      </x:c>
      <x:c r="AM107" s="48" t="n">
        <x:f>-2*AL107/Inputs!$C$13</x:f>
        <x:v>4.3530116269721475</x:v>
      </x:c>
      <x:c r="AN107" s="48" t="n">
        <x:f>-2*AL107/Inputs!$C$14</x:f>
        <x:v>0.6536053493952174</x:v>
      </x:c>
      <x:c r="AO107" s="48" t="n">
        <x:f>ABS(AM107)</x:f>
        <x:v>4.3530116269721475</x:v>
      </x:c>
      <x:c r="AP107" s="48" t="n">
        <x:f>ABS(AN107)</x:f>
        <x:v>0.6536053493952174</x:v>
      </x:c>
      <x:c r="AQ107" s="48" t="n">
        <x:f>IF(OR(Inputs!$C$27=TRUE,Inputs!$C$27="TRUE",Inputs!$C$27=1),Inputs!$C$46/Inputs!$C$12,0)</x:f>
        <x:v>42.13483146067416</x:v>
      </x:c>
      <x:c r="AR107" s="48" t="n">
        <x:f>AC107-AQ107</x:f>
        <x:v>147.7731904936</x:v>
      </x:c>
      <x:c r="AS107" s="48" t="n">
        <x:f>AC107+AQ107</x:f>
        <x:v>232.0428534149483</x:v>
      </x:c>
    </x:row>
    <x:row r="108">
      <x:c r="A108" s="48" t="n">
        <x:f>Inputs!$C$7+106*(Inputs!$C$8-Inputs!$C$7)/240</x:f>
        <x:v>-7</x:v>
      </x:c>
      <x:c r="B108" s="48" t="n">
        <x:f>Inputs!$C$5+Inputs!$C$9*(A108/Inputs!$C$10)^2</x:f>
        <x:v>400.05444444444447</x:v>
      </x:c>
      <x:c r="C108" s="48" t="n">
        <x:f>B108</x:f>
        <x:v>400.05444444444447</x:v>
      </x:c>
      <x:c r="D108" s="48" t="n">
        <x:f>SQRT(A108^2+Inputs!$C$6^2+B108^2)</x:f>
        <x:v>400.89594475343984</x:v>
      </x:c>
      <x:c r="E108" s="48" t="n">
        <x:f>(D108-C108)*1000</x:f>
        <x:v>841.5003089953643</x:v>
      </x:c>
      <x:c r="F108" s="48" t="n">
        <x:f>E108/Inputs!$C$12</x:f>
        <x:v>472.7529825816653</x:v>
      </x:c>
      <x:c r="G108" s="48" t="n">
        <x:f>2*E108/Inputs!$C$21*1000000</x:f>
        <x:v>5.6138857835800815</x:v>
      </x:c>
      <x:c r="H108" s="48" t="n">
        <x:f>SQRT(A108^2+Inputs!$C$6^2)</x:f>
        <x:v>25.96150997149434</x:v>
      </x:c>
      <x:c r="I108" s="48" t="n">
        <x:f>DEGREES(ATAN(H108/B108))</x:f>
        <x:v>3.7129998776451707</x:v>
      </x:c>
      <x:c r="J108" s="48" t="n">
        <x:f>DEGREES((2*PI()/Inputs!$C$13)*Inputs!$C$15*SIN(RADIANS(I108)))</x:f>
        <x:v>23.31314075897189</x:v>
      </x:c>
      <x:c r="K108" s="48" t="n">
        <x:f>(C108/D108)^4</x:f>
        <x:v>0.9916302023019311</x:v>
      </x:c>
      <x:c r="L108" s="48" t="n">
        <x:f>10*LOG10(K108)</x:f>
        <x:v>-0.0365025429901407</x:v>
      </x:c>
      <x:c r="M108" s="48" t="n">
        <x:f>2*(Inputs!$C$9/(Inputs!$C$10^2))*A108</x:f>
        <x:v>-0.015555555555555555</x:v>
      </x:c>
      <x:c r="N108" s="48" t="n">
        <x:f>M108*Inputs!$C$11</x:f>
        <x:v>-0.06222222222222222</x:v>
      </x:c>
      <x:c r="O108" s="48" t="n">
        <x:f>1000*((A108*Inputs!$C$11)+(B108*N108))/D108</x:f>
        <x:v>-131.93517478890897</x:v>
      </x:c>
      <x:c r="P108" s="48" t="n">
        <x:f>-2*O108/Inputs!$C$13</x:f>
        <x:v>52.77406991556359</x:v>
      </x:c>
      <x:c r="Q108" s="48" t="n">
        <x:f>-2*O108/Inputs!$C$14</x:f>
        <x:v>7.924034521856395</x:v>
      </x:c>
      <x:c r="R108" s="48" t="n">
        <x:f>F108-Inputs!$C$16/2</x:f>
        <x:v>457.7529825816653</x:v>
      </x:c>
      <x:c r="S108" s="48" t="n">
        <x:f>F108+Inputs!$C$16/2</x:f>
        <x:v>487.7529825816653</x:v>
      </x:c>
      <x:c r="T108" s="48" t="n">
        <x:f>F108-Inputs!$C$17/2</x:f>
        <x:v>322.7529825816653</x:v>
      </x:c>
      <x:c r="U108" s="48" t="n">
        <x:f>F108+Inputs!$C$17/2</x:f>
        <x:v>622.7529825816653</x:v>
      </x:c>
      <x:c r="V108" s="48" t="n">
        <x:f>ABS(P108)</x:f>
        <x:v>52.77406991556359</x:v>
      </x:c>
      <x:c r="W108" s="48" t="n">
        <x:f>ABS(Q108)</x:f>
        <x:v>7.924034521856395</x:v>
      </x:c>
      <x:c r="X108" s="48" t="n">
        <x: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(0.45*SIN(2*PI()*(((A108)/Inputs!$C$49)+Inputs!$C$47*0.137))+0.35*COS(2*PI()*(((0)/Inputs!$C$50)+Inputs!$C$47*0.173))+0.20*SIN(2*PI()*(((A108)+(0))/(0.5*(Inputs!$C$49+Inputs!$C$50))+Inputs!$C$47*0.097)))+0.30*(2*((SIN(((A108)*12.9898+(0)*78.233+Inputs!$C$47*37.719))*43758.5453)-INT((SIN(((A108)*12.9898+(0)*78.233+Inputs!$C$47*37.719))*43758.5453)))-1)))</x:f>
        <x:v>-48.04634011268098</x:v>
      </x:c>
      <x:c r="Y108" s="48" t="n">
        <x: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(0.45*SIN(2*PI()*(((A108)/Inputs!$C$49)+Inputs!$C$47*0.137))+0.35*COS(2*PI()*(((Inputs!$C$6)/Inputs!$C$50)+Inputs!$C$47*0.173))+0.20*SIN(2*PI()*(((A108)+(Inputs!$C$6))/(0.5*(Inputs!$C$49+Inputs!$C$50))+Inputs!$C$47*0.097)))+0.30*(2*((SIN(((A108)*12.9898+(Inputs!$C$6)*78.233+Inputs!$C$47*37.719))*43758.5453)-INT((SIN(((A108)*12.9898+(Inputs!$C$6)*78.233+Inputs!$C$47*37.719))*43758.5453)))-1)))</x:f>
        <x:v>442.95708145426426</x:v>
      </x:c>
      <x:c r="Z108" s="48" t="n">
        <x:f>B108-X108/1000</x:f>
        <x:v>400.1024907845572</x:v>
      </x:c>
      <x:c r="AA108" s="48" t="n">
        <x:f>SQRT(A108^2+Inputs!$C$6^2+(B108-Y108/1000)^2)</x:f>
        <x:v>400.4539184880843</x:v>
      </x:c>
      <x:c r="AB108" s="48" t="n">
        <x:f>(AA108-Z108)*1000</x:f>
        <x:v>351.42770352712205</x:v>
      </x:c>
      <x:c r="AC108" s="48" t="n">
        <x:f>AB108/Inputs!$C$12</x:f>
        <x:v>197.4312941163607</x:v>
      </x:c>
      <x:c r="AD108" s="48" t="n">
        <x:f>2*AB108/Inputs!$C$21*1000000</x:f>
        <x:v>2.344473279091778</x:v>
      </x:c>
      <x:c r="AE108" s="48" t="n">
        <x:f>DEGREES(ATAN(H108/(B108-Y108/1000)))</x:f>
        <x:v>3.717104091851114</x:v>
      </x:c>
      <x:c r="AF108" s="48" t="n">
        <x:f>DEGREES((2*PI()/Inputs!$C$13)*Inputs!$C$15*SIN(RADIANS(AE108)))</x:f>
        <x:v>23.338874108222925</x:v>
      </x:c>
      <x:c r="AG108" s="48" t="n">
        <x:f>(Z108/AA108)^4</x:f>
        <x:v>0.9964943245401423</x:v>
      </x:c>
      <x:c r="AH108" s="48" t="n">
        <x:f>10*LOG10(AG108)</x:f>
        <x:v>-0.0152517044860904</x:v>
      </x:c>
      <x:c r="AI108" s="48" t="n">
        <x:f>AC108-F108</x:f>
        <x:v>-275.32168846530465</x:v>
      </x:c>
      <x:c r="AJ108" s="48" t="n">
        <x:f>AD108-G108</x:f>
        <x:v>-3.2694125044883036</x:v>
      </x:c>
      <x:c r="AK108" s="48" t="n">
        <x:f>Y108-X108</x:f>
        <x:v>491.00342156694524</x:v>
      </x:c>
      <x:c r="AL108" s="48" t="n">
        <x:f>1000*(AA109-AA107)/(A109-A107)*Inputs!$C$11</x:f>
        <x:v>-74.32081001070401</x:v>
      </x:c>
      <x:c r="AM108" s="48" t="n">
        <x:f>-2*AL108/Inputs!$C$13</x:f>
        <x:v>29.728324004281603</x:v>
      </x:c>
      <x:c r="AN108" s="48" t="n">
        <x:f>-2*AL108/Inputs!$C$14</x:f>
        <x:v>4.463712312955196</x:v>
      </x:c>
      <x:c r="AO108" s="48" t="n">
        <x:f>ABS(AM108)</x:f>
        <x:v>29.728324004281603</x:v>
      </x:c>
      <x:c r="AP108" s="48" t="n">
        <x:f>ABS(AN108)</x:f>
        <x:v>4.463712312955196</x:v>
      </x:c>
      <x:c r="AQ108" s="48" t="n">
        <x:f>IF(OR(Inputs!$C$27=TRUE,Inputs!$C$27="TRUE",Inputs!$C$27=1),Inputs!$C$46/Inputs!$C$12,0)</x:f>
        <x:v>42.13483146067416</x:v>
      </x:c>
      <x:c r="AR108" s="48" t="n">
        <x:f>AC108-AQ108</x:f>
        <x:v>155.29646265568655</x:v>
      </x:c>
      <x:c r="AS108" s="48" t="n">
        <x:f>AC108+AQ108</x:f>
        <x:v>239.56612557703485</x:v>
      </x:c>
    </x:row>
    <x:row r="109">
      <x:c r="A109" s="48" t="n">
        <x:f>Inputs!$C$7+107*(Inputs!$C$8-Inputs!$C$7)/240</x:f>
        <x:v>-6.5</x:v>
      </x:c>
      <x:c r="B109" s="48" t="n">
        <x:f>Inputs!$C$5+Inputs!$C$9*(A109/Inputs!$C$10)^2</x:f>
        <x:v>400.0469444444444</x:v>
      </x:c>
      <x:c r="C109" s="48" t="n">
        <x:f>B109</x:f>
        <x:v>400.0469444444444</x:v>
      </x:c>
      <x:c r="D109" s="48" t="n">
        <x:f>SQRT(A109^2+Inputs!$C$6^2+B109^2)</x:f>
        <x:v>400.88004160763154</x:v>
      </x:c>
      <x:c r="E109" s="48" t="n">
        <x:f>(D109-C109)*1000</x:f>
        <x:v>833.0971631871193</x:v>
      </x:c>
      <x:c r="F109" s="48" t="n">
        <x:f>E109/Inputs!$C$12</x:f>
        <x:v>468.03211415006706</x:v>
      </x:c>
      <x:c r="G109" s="48" t="n">
        <x:f>2*E109/Inputs!$C$21*1000000</x:f>
        <x:v>5.557826029013174</x:v>
      </x:c>
      <x:c r="H109" s="48" t="n">
        <x:f>SQRT(A109^2+Inputs!$C$6^2)</x:f>
        <x:v>25.83118270617898</x:v>
      </x:c>
      <x:c r="I109" s="48" t="n">
        <x:f>DEGREES(ATAN(H109/B109))</x:f>
        <x:v>3.694481369413298</x:v>
      </x:c>
      <x:c r="J109" s="48" t="n">
        <x:f>DEGREES((2*PI()/Inputs!$C$13)*Inputs!$C$15*SIN(RADIANS(I109)))</x:f>
        <x:v>23.19702855979598</x:v>
      </x:c>
      <x:c r="K109" s="48" t="n">
        <x:f>(C109/D109)^4</x:f>
        <x:v>0.9917131940141547</x:v>
      </x:c>
      <x:c r="L109" s="48" t="n">
        <x:f>10*LOG10(K109)</x:f>
        <x:v>-0.0361390875970869</x:v>
      </x:c>
      <x:c r="M109" s="48" t="n">
        <x:f>2*(Inputs!$C$9/(Inputs!$C$10^2))*A109</x:f>
        <x:v>-0.014444444444444444</x:v>
      </x:c>
      <x:c r="N109" s="48" t="n">
        <x:f>M109*Inputs!$C$11</x:f>
        <x:v>-0.057777777777777775</x:v>
      </x:c>
      <x:c r="O109" s="48" t="n">
        <x:f>1000*((A109*Inputs!$C$11)+(B109*N109))/D109</x:f>
        <x:v>-122.51501286976304</x:v>
      </x:c>
      <x:c r="P109" s="48" t="n">
        <x:f>-2*O109/Inputs!$C$13</x:f>
        <x:v>49.00600514790521</x:v>
      </x:c>
      <x:c r="Q109" s="48" t="n">
        <x:f>-2*O109/Inputs!$C$14</x:f>
        <x:v>7.358259031217</x:v>
      </x:c>
      <x:c r="R109" s="48" t="n">
        <x:f>F109-Inputs!$C$16/2</x:f>
        <x:v>453.03211415006706</x:v>
      </x:c>
      <x:c r="S109" s="48" t="n">
        <x:f>F109+Inputs!$C$16/2</x:f>
        <x:v>483.03211415006706</x:v>
      </x:c>
      <x:c r="T109" s="48" t="n">
        <x:f>F109-Inputs!$C$17/2</x:f>
        <x:v>318.03211415006706</x:v>
      </x:c>
      <x:c r="U109" s="48" t="n">
        <x:f>F109+Inputs!$C$17/2</x:f>
        <x:v>618.0321141500671</x:v>
      </x:c>
      <x:c r="V109" s="48" t="n">
        <x:f>ABS(P109)</x:f>
        <x:v>49.00600514790521</x:v>
      </x:c>
      <x:c r="W109" s="48" t="n">
        <x:f>ABS(Q109)</x:f>
        <x:v>7.358259031217</x:v>
      </x:c>
      <x:c r="X109" s="48" t="n">
        <x: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(0.45*SIN(2*PI()*(((A109)/Inputs!$C$49)+Inputs!$C$47*0.137))+0.35*COS(2*PI()*(((0)/Inputs!$C$50)+Inputs!$C$47*0.173))+0.20*SIN(2*PI()*(((A109)+(0))/(0.5*(Inputs!$C$49+Inputs!$C$50))+Inputs!$C$47*0.097)))+0.30*(2*((SIN(((A109)*12.9898+(0)*78.233+Inputs!$C$47*37.719))*43758.5453)-INT((SIN(((A109)*12.9898+(0)*78.233+Inputs!$C$47*37.719))*43758.5453)))-1)))</x:f>
        <x:v>-59.466303655605586</x:v>
      </x:c>
      <x:c r="Y109" s="48" t="n">
        <x: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(0.45*SIN(2*PI()*(((A109)/Inputs!$C$49)+Inputs!$C$47*0.137))+0.35*COS(2*PI()*(((Inputs!$C$6)/Inputs!$C$50)+Inputs!$C$47*0.173))+0.20*SIN(2*PI()*(((A109)+(Inputs!$C$6))/(0.5*(Inputs!$C$49+Inputs!$C$50))+Inputs!$C$47*0.097)))+0.30*(2*((SIN(((A109)*12.9898+(Inputs!$C$6)*78.233+Inputs!$C$47*37.719))*43758.5453)-INT((SIN(((A109)*12.9898+(Inputs!$C$6)*78.233+Inputs!$C$47*37.719))*43758.5453)))-1)))</x:f>
        <x:v>455.8100478474453</x:v>
      </x:c>
      <x:c r="Z109" s="48" t="n">
        <x:f>B109-X109/1000</x:f>
        <x:v>400.1064107481</x:v>
      </x:c>
      <x:c r="AA109" s="48" t="n">
        <x:f>SQRT(A109^2+Inputs!$C$6^2+(B109-Y109/1000)^2)</x:f>
        <x:v>400.42517988802757</x:v>
      </x:c>
      <x:c r="AB109" s="48" t="n">
        <x:f>(AA109-Z109)*1000</x:f>
        <x:v>318.7691399275536</x:v>
      </x:c>
      <x:c r="AC109" s="48" t="n">
        <x:f>AB109/Inputs!$C$12</x:f>
        <x:v>179.0837864761537</x:v>
      </x:c>
      <x:c r="AD109" s="48" t="n">
        <x:f>2*AB109/Inputs!$C$21*1000000</x:f>
        <x:v>2.126598794740551</x:v>
      </x:c>
      <x:c r="AE109" s="48" t="n">
        <x:f>DEGREES(ATAN(H109/(B109-Y109/1000)))</x:f>
        <x:v>3.6986839398815357</x:v>
      </x:c>
      <x:c r="AF109" s="48" t="n">
        <x:f>DEGREES((2*PI()/Inputs!$C$13)*Inputs!$C$15*SIN(RADIANS(AE109)))</x:f>
        <x:v>23.223379151193264</x:v>
      </x:c>
      <x:c r="AG109" s="48" t="n">
        <x:f>(Z109/AA109)^4</x:f>
        <x:v>0.9968194937692578</x:v>
      </x:c>
      <x:c r="AH109" s="48" t="n">
        <x:f>10*LOG10(AG109)</x:f>
        <x:v>-0.0138347755324543</x:v>
      </x:c>
      <x:c r="AI109" s="48" t="n">
        <x:f>AC109-F109</x:f>
        <x:v>-288.94832767391335</x:v>
      </x:c>
      <x:c r="AJ109" s="48" t="n">
        <x:f>AD109-G109</x:f>
        <x:v>-3.4312272342726224</x:v>
      </x:c>
      <x:c r="AK109" s="48" t="n">
        <x:f>Y109-X109</x:f>
        <x:v>515.2763515030508</x:v>
      </x:c>
      <x:c r="AL109" s="48" t="n">
        <x:f>1000*(AA110-AA108)/(A110-A108)*Inputs!$C$11</x:f>
        <x:v>-141.73205933184363</x:v>
      </x:c>
      <x:c r="AM109" s="48" t="n">
        <x:f>-2*AL109/Inputs!$C$13</x:f>
        <x:v>56.69282373273745</x:v>
      </x:c>
      <x:c r="AN109" s="48" t="n">
        <x:f>-2*AL109/Inputs!$C$14</x:f>
        <x:v>8.512435995906525</x:v>
      </x:c>
      <x:c r="AO109" s="48" t="n">
        <x:f>ABS(AM109)</x:f>
        <x:v>56.69282373273745</x:v>
      </x:c>
      <x:c r="AP109" s="48" t="n">
        <x:f>ABS(AN109)</x:f>
        <x:v>8.512435995906525</x:v>
      </x:c>
      <x:c r="AQ109" s="48" t="n">
        <x:f>IF(OR(Inputs!$C$27=TRUE,Inputs!$C$27="TRUE",Inputs!$C$27=1),Inputs!$C$46/Inputs!$C$12,0)</x:f>
        <x:v>42.13483146067416</x:v>
      </x:c>
      <x:c r="AR109" s="48" t="n">
        <x:f>AC109-AQ109</x:f>
        <x:v>136.94895501547956</x:v>
      </x:c>
      <x:c r="AS109" s="48" t="n">
        <x:f>AC109+AQ109</x:f>
        <x:v>221.21861793682785</x:v>
      </x:c>
    </x:row>
    <x:row r="110">
      <x:c r="A110" s="48" t="n">
        <x:f>Inputs!$C$7+108*(Inputs!$C$8-Inputs!$C$7)/240</x:f>
        <x:v>-6</x:v>
      </x:c>
      <x:c r="B110" s="48" t="n">
        <x:f>Inputs!$C$5+Inputs!$C$9*(A110/Inputs!$C$10)^2</x:f>
        <x:v>400.04</x:v>
      </x:c>
      <x:c r="C110" s="48" t="n">
        <x:f>B110</x:f>
        <x:v>400.04</x:v>
      </x:c>
      <x:c r="D110" s="48" t="n">
        <x:f>SQRT(A110^2+Inputs!$C$6^2+B110^2)</x:f>
        <x:v>400.86531603519904</x:v>
      </x:c>
      <x:c r="E110" s="48" t="n">
        <x:f>(D110-C110)*1000</x:f>
        <x:v>825.3160351990232</x:v>
      </x:c>
      <x:c r="F110" s="48" t="n">
        <x:f>E110/Inputs!$C$12</x:f>
        <x:v>463.6606939320355</x:v>
      </x:c>
      <x:c r="G110" s="48" t="n">
        <x:f>2*E110/Inputs!$C$21*1000000</x:f>
        <x:v>5.505915930673767</x:v>
      </x:c>
      <x:c r="H110" s="48" t="n">
        <x:f>SQRT(A110^2+Inputs!$C$6^2)</x:f>
        <x:v>25.709920264364882</x:v>
      </x:c>
      <x:c r="I110" s="48" t="n">
        <x:f>DEGREES(ATAN(H110/B110))</x:f>
        <x:v>3.6772492746351846</x:v>
      </x:c>
      <x:c r="J110" s="48" t="n">
        <x:f>DEGREES((2*PI()/Inputs!$C$13)*Inputs!$C$15*SIN(RADIANS(I110)))</x:f>
        <x:v>23.0889800761876</x:v>
      </x:c>
      <x:c r="K110" s="48" t="n">
        <x:f>(C110/D110)^4</x:f>
        <x:v>0.9917900530376442</x:v>
      </x:c>
      <x:c r="L110" s="48" t="n">
        <x:f>10*LOG10(K110)</x:f>
        <x:v>-0.03580251693755</x:v>
      </x:c>
      <x:c r="M110" s="48" t="n">
        <x:f>2*(Inputs!$C$9/(Inputs!$C$10^2))*A110</x:f>
        <x:v>-0.013333333333333332</x:v>
      </x:c>
      <x:c r="N110" s="48" t="n">
        <x:f>M110*Inputs!$C$11</x:f>
        <x:v>-0.05333333333333333</x:v>
      </x:c>
      <x:c r="O110" s="48" t="n">
        <x:f>1000*((A110*Inputs!$C$11)+(B110*N110))/D110</x:f>
        <x:v>-113.09401151254967</x:v>
      </x:c>
      <x:c r="P110" s="48" t="n">
        <x:f>-2*O110/Inputs!$C$13</x:f>
        <x:v>45.23760460501987</x:v>
      </x:c>
      <x:c r="Q110" s="48" t="n">
        <x:f>-2*O110/Inputs!$C$14</x:f>
        <x:v>6.792433123876858</x:v>
      </x:c>
      <x:c r="R110" s="48" t="n">
        <x:f>F110-Inputs!$C$16/2</x:f>
        <x:v>448.6606939320355</x:v>
      </x:c>
      <x:c r="S110" s="48" t="n">
        <x:f>F110+Inputs!$C$16/2</x:f>
        <x:v>478.6606939320355</x:v>
      </x:c>
      <x:c r="T110" s="48" t="n">
        <x:f>F110-Inputs!$C$17/2</x:f>
        <x:v>313.6606939320355</x:v>
      </x:c>
      <x:c r="U110" s="48" t="n">
        <x:f>F110+Inputs!$C$17/2</x:f>
        <x:v>613.6606939320354</x:v>
      </x:c>
      <x:c r="V110" s="48" t="n">
        <x:f>ABS(P110)</x:f>
        <x:v>45.23760460501987</x:v>
      </x:c>
      <x:c r="W110" s="48" t="n">
        <x:f>ABS(Q110)</x:f>
        <x:v>6.792433123876858</x:v>
      </x:c>
      <x:c r="X110" s="48" t="n">
        <x: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(0.45*SIN(2*PI()*(((A110)/Inputs!$C$49)+Inputs!$C$47*0.137))+0.35*COS(2*PI()*(((0)/Inputs!$C$50)+Inputs!$C$47*0.173))+0.20*SIN(2*PI()*(((A110)+(0))/(0.5*(Inputs!$C$49+Inputs!$C$50))+Inputs!$C$47*0.097)))+0.30*(2*((SIN(((A110)*12.9898+(0)*78.233+Inputs!$C$47*37.719))*43758.5453)-INT((SIN(((A110)*12.9898+(0)*78.233+Inputs!$C$47*37.719))*43758.5453)))-1)))</x:f>
        <x:v>-61.0986453608147</x:v>
      </x:c>
      <x:c r="Y110" s="48" t="n">
        <x: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(0.45*SIN(2*PI()*(((A110)/Inputs!$C$49)+Inputs!$C$47*0.137))+0.35*COS(2*PI()*(((Inputs!$C$6)/Inputs!$C$50)+Inputs!$C$47*0.173))+0.20*SIN(2*PI()*(((A110)+(Inputs!$C$6))/(0.5*(Inputs!$C$49+Inputs!$C$50))+Inputs!$C$47*0.097)))+0.30*(2*((SIN(((A110)*12.9898+(Inputs!$C$6)*78.233+Inputs!$C$47*37.719))*43758.5453)-INT((SIN(((A110)*12.9898+(Inputs!$C$6)*78.233+Inputs!$C$47*37.719))*43758.5453)))-1)))</x:f>
        <x:v>447.7534427220802</x:v>
      </x:c>
      <x:c r="Z110" s="48" t="n">
        <x:f>B110-X110/1000</x:f>
        <x:v>400.1010986453608</x:v>
      </x:c>
      <x:c r="AA110" s="48" t="n">
        <x:f>SQRT(A110^2+Inputs!$C$6^2+(B110-Y110/1000)^2)</x:f>
        <x:v>400.41848547325134</x:v>
      </x:c>
      <x:c r="AB110" s="48" t="n">
        <x:f>(AA110-Z110)*1000</x:f>
        <x:v>317.3868278905161</x:v>
      </x:c>
      <x:c r="AC110" s="48" t="n">
        <x:f>AB110/Inputs!$C$12</x:f>
        <x:v>178.3072066800652</x:v>
      </x:c>
      <x:c r="AD110" s="48" t="n">
        <x:f>2*AB110/Inputs!$C$21*1000000</x:f>
        <x:v>2.117377001462232</x:v>
      </x:c>
      <x:c r="AE110" s="48" t="n">
        <x:f>DEGREES(ATAN(H110/(B110-Y110/1000)))</x:f>
        <x:v>3.681358402884123</x:v>
      </x:c>
      <x:c r="AF110" s="48" t="n">
        <x:f>DEGREES((2*PI()/Inputs!$C$13)*Inputs!$C$15*SIN(RADIANS(AE110)))</x:f>
        <x:v>23.11474527513952</x:v>
      </x:c>
      <x:c r="AG110" s="48" t="n">
        <x:f>(Z110/AA110)^4</x:f>
        <x:v>0.9968332164516697</x:v>
      </x:c>
      <x:c r="AH110" s="48" t="n">
        <x:f>10*LOG10(AG110)</x:f>
        <x:v>-0.013774988938551402</x:v>
      </x:c>
      <x:c r="AI110" s="48" t="n">
        <x:f>AC110-F110</x:f>
        <x:v>-285.35348725197025</x:v>
      </x:c>
      <x:c r="AJ110" s="48" t="n">
        <x:f>AD110-G110</x:f>
        <x:v>-3.3885389292115353</x:v>
      </x:c>
      <x:c r="AK110" s="48" t="n">
        <x:f>Y110-X110</x:f>
        <x:v>508.8520880828949</x:v>
      </x:c>
      <x:c r="AL110" s="48" t="n">
        <x:f>1000*(AA111-AA109)/(A111-A109)*Inputs!$C$11</x:f>
        <x:v>-39.001595405125045</x:v>
      </x:c>
      <x:c r="AM110" s="48" t="n">
        <x:f>-2*AL110/Inputs!$C$13</x:f>
        <x:v>15.600638162050018</x:v>
      </x:c>
      <x:c r="AN110" s="48" t="n">
        <x:f>-2*AL110/Inputs!$C$14</x:f>
        <x:v>2.342438162469973</x:v>
      </x:c>
      <x:c r="AO110" s="48" t="n">
        <x:f>ABS(AM110)</x:f>
        <x:v>15.600638162050018</x:v>
      </x:c>
      <x:c r="AP110" s="48" t="n">
        <x:f>ABS(AN110)</x:f>
        <x:v>2.342438162469973</x:v>
      </x:c>
      <x:c r="AQ110" s="48" t="n">
        <x:f>IF(OR(Inputs!$C$27=TRUE,Inputs!$C$27="TRUE",Inputs!$C$27=1),Inputs!$C$46/Inputs!$C$12,0)</x:f>
        <x:v>42.13483146067416</x:v>
      </x:c>
      <x:c r="AR110" s="48" t="n">
        <x:f>AC110-AQ110</x:f>
        <x:v>136.17237521939106</x:v>
      </x:c>
      <x:c r="AS110" s="48" t="n">
        <x:f>AC110+AQ110</x:f>
        <x:v>220.44203814073936</x:v>
      </x:c>
    </x:row>
    <x:row r="111">
      <x:c r="A111" s="48" t="n">
        <x:f>Inputs!$C$7+109*(Inputs!$C$8-Inputs!$C$7)/240</x:f>
        <x:v>-5.5</x:v>
      </x:c>
      <x:c r="B111" s="48" t="n">
        <x:f>Inputs!$C$5+Inputs!$C$9*(A111/Inputs!$C$10)^2</x:f>
        <x:v>400.0336111111111</x:v>
      </x:c>
      <x:c r="C111" s="48" t="n">
        <x:f>B111</x:f>
        <x:v>400.0336111111111</x:v>
      </x:c>
      <x:c r="D111" s="48" t="n">
        <x:f>SQRT(A111^2+Inputs!$C$6^2+B111^2)</x:f>
        <x:v>400.8517681370455</x:v>
      </x:c>
      <x:c r="E111" s="48" t="n">
        <x:f>(D111-C111)*1000</x:f>
        <x:v>818.1570259343971</x:v>
      </x:c>
      <x:c r="F111" s="48" t="n">
        <x:f>E111/Inputs!$C$12</x:f>
        <x:v>459.63877861482985</x:v>
      </x:c>
      <x:c r="G111" s="48" t="n">
        <x:f>2*E111/Inputs!$C$21*1000000</x:f>
        <x:v>5.458156161716364</x:v>
      </x:c>
      <x:c r="H111" s="48" t="n">
        <x:f>SQRT(A111^2+Inputs!$C$6^2)</x:f>
        <x:v>25.59785147234041</x:v>
      </x:c>
      <x:c r="I111" s="48" t="n">
        <x:f>DEGREES(ATAN(H111/B111))</x:f>
        <x:v>3.6613222610928524</x:v>
      </x:c>
      <x:c r="J111" s="48" t="n">
        <x:f>DEGREES((2*PI()/Inputs!$C$13)*Inputs!$C$15*SIN(RADIANS(I111)))</x:f>
        <x:v>22.989112840565028</x:v>
      </x:c>
      <x:c r="K111" s="48" t="n">
        <x:f>(C111/D111)^4</x:f>
        <x:v>0.9918607759497502</x:v>
      </x:c>
      <x:c r="L111" s="48" t="n">
        <x:f>10*LOG10(K111)</x:f>
        <x:v>-0.0354928397500539</x:v>
      </x:c>
      <x:c r="M111" s="48" t="n">
        <x:f>2*(Inputs!$C$9/(Inputs!$C$10^2))*A111</x:f>
        <x:v>-0.012222222222222223</x:v>
      </x:c>
      <x:c r="N111" s="48" t="n">
        <x:f>M111*Inputs!$C$11</x:f>
        <x:v>-0.04888888888888889</x:v>
      </x:c>
      <x:c r="O111" s="48" t="n">
        <x:f>1000*((A111*Inputs!$C$11)+(B111*N111))/D111</x:f>
        <x:v>-103.67223514709379</x:v>
      </x:c>
      <x:c r="P111" s="48" t="n">
        <x:f>-2*O111/Inputs!$C$13</x:f>
        <x:v>41.46889405883751</x:v>
      </x:c>
      <x:c r="Q111" s="48" t="n">
        <x:f>-2*O111/Inputs!$C$14</x:f>
        <x:v>6.2265606694951225</x:v>
      </x:c>
      <x:c r="R111" s="48" t="n">
        <x:f>F111-Inputs!$C$16/2</x:f>
        <x:v>444.63877861482985</x:v>
      </x:c>
      <x:c r="S111" s="48" t="n">
        <x:f>F111+Inputs!$C$16/2</x:f>
        <x:v>474.63877861482985</x:v>
      </x:c>
      <x:c r="T111" s="48" t="n">
        <x:f>F111-Inputs!$C$17/2</x:f>
        <x:v>309.63877861482985</x:v>
      </x:c>
      <x:c r="U111" s="48" t="n">
        <x:f>F111+Inputs!$C$17/2</x:f>
        <x:v>609.6387786148298</x:v>
      </x:c>
      <x:c r="V111" s="48" t="n">
        <x:f>ABS(P111)</x:f>
        <x:v>41.46889405883751</x:v>
      </x:c>
      <x:c r="W111" s="48" t="n">
        <x:f>ABS(Q111)</x:f>
        <x:v>6.2265606694951225</x:v>
      </x:c>
      <x:c r="X111" s="48" t="n">
        <x: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(0.45*SIN(2*PI()*(((A111)/Inputs!$C$49)+Inputs!$C$47*0.137))+0.35*COS(2*PI()*(((0)/Inputs!$C$50)+Inputs!$C$47*0.173))+0.20*SIN(2*PI()*(((A111)+(0))/(0.5*(Inputs!$C$49+Inputs!$C$50))+Inputs!$C$47*0.097)))+0.30*(2*((SIN(((A111)*12.9898+(0)*78.233+Inputs!$C$47*37.719))*43758.5453)-INT((SIN(((A111)*12.9898+(0)*78.233+Inputs!$C$47*37.719))*43758.5453)))-1)))</x:f>
        <x:v>-63.59054434613801</x:v>
      </x:c>
      <x:c r="Y111" s="48" t="n">
        <x: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(0.45*SIN(2*PI()*(((A111)/Inputs!$C$49)+Inputs!$C$47*0.137))+0.35*COS(2*PI()*(((Inputs!$C$6)/Inputs!$C$50)+Inputs!$C$47*0.173))+0.20*SIN(2*PI()*(((A111)+(Inputs!$C$6))/(0.5*(Inputs!$C$49+Inputs!$C$50))+Inputs!$C$47*0.097)))+0.30*(2*((SIN(((A111)*12.9898+(Inputs!$C$6)*78.233+Inputs!$C$47*37.719))*43758.5453)-INT((SIN(((A111)*12.9898+(Inputs!$C$6)*78.233+Inputs!$C$47*37.719))*43758.5453)))-1)))</x:f>
        <x:v>437.23203216912464</x:v>
      </x:c>
      <x:c r="Z111" s="48" t="n">
        <x:f>B111-X111/1000</x:f>
        <x:v>400.09720165545724</x:v>
      </x:c>
      <x:c r="AA111" s="48" t="n">
        <x:f>SQRT(A111^2+Inputs!$C$6^2+(B111-Y111/1000)^2)</x:f>
        <x:v>400.4154294891763</x:v>
      </x:c>
      <x:c r="AB111" s="48" t="n">
        <x:f>(AA111-Z111)*1000</x:f>
        <x:v>318.2278337190496</x:v>
      </x:c>
      <x:c r="AC111" s="48" t="n">
        <x:f>AB111/Inputs!$C$12</x:f>
        <x:v>178.77968186463463</x:v>
      </x:c>
      <x:c r="AD111" s="48" t="n">
        <x:f>2*AB111/Inputs!$C$21*1000000</x:f>
        <x:v>2.1229875884272555</x:v>
      </x:c>
      <x:c r="AE111" s="48" t="n">
        <x:f>DEGREES(ATAN(H111/(B111-Y111/1000)))</x:f>
        <x:v>3.665317506963284</x:v>
      </x:c>
      <x:c r="AF111" s="48" t="n">
        <x:f>DEGREES((2*PI()/Inputs!$C$13)*Inputs!$C$15*SIN(RADIANS(AE111)))</x:f>
        <x:v>23.014164418685684</x:v>
      </x:c>
      <x:c r="AG111" s="48" t="n">
        <x:f>(Z111/AA111)^4</x:f>
        <x:v>0.9968248109669186</x:v>
      </x:c>
      <x:c r="AH111" s="48" t="n">
        <x:f>10*LOG10(AG111)</x:f>
        <x:v>-0.0138116096186776</x:v>
      </x:c>
      <x:c r="AI111" s="48" t="n">
        <x:f>AC111-F111</x:f>
        <x:v>-280.85909675019525</x:v>
      </x:c>
      <x:c r="AJ111" s="48" t="n">
        <x:f>AD111-G111</x:f>
        <x:v>-3.335168573289108</x:v>
      </x:c>
      <x:c r="AK111" s="48" t="n">
        <x:f>Y111-X111</x:f>
        <x:v>500.82257651526265</x:v>
      </x:c>
      <x:c r="AL111" s="48" t="n">
        <x:f>1000*(AA112-AA110)/(A112-A110)*Inputs!$C$11</x:f>
        <x:v>-18.872319123147463</x:v>
      </x:c>
      <x:c r="AM111" s="48" t="n">
        <x:f>-2*AL111/Inputs!$C$13</x:f>
        <x:v>7.548927649258985</x:v>
      </x:c>
      <x:c r="AN111" s="48" t="n">
        <x:f>-2*AL111/Inputs!$C$14</x:f>
        <x:v>1.1334726200088567</x:v>
      </x:c>
      <x:c r="AO111" s="48" t="n">
        <x:f>ABS(AM111)</x:f>
        <x:v>7.548927649258985</x:v>
      </x:c>
      <x:c r="AP111" s="48" t="n">
        <x:f>ABS(AN111)</x:f>
        <x:v>1.1334726200088567</x:v>
      </x:c>
      <x:c r="AQ111" s="48" t="n">
        <x:f>IF(OR(Inputs!$C$27=TRUE,Inputs!$C$27="TRUE",Inputs!$C$27=1),Inputs!$C$46/Inputs!$C$12,0)</x:f>
        <x:v>42.13483146067416</x:v>
      </x:c>
      <x:c r="AR111" s="48" t="n">
        <x:f>AC111-AQ111</x:f>
        <x:v>136.64485040396048</x:v>
      </x:c>
      <x:c r="AS111" s="48" t="n">
        <x:f>AC111+AQ111</x:f>
        <x:v>220.91451332530877</x:v>
      </x:c>
    </x:row>
    <x:row r="112">
      <x:c r="A112" s="48" t="n">
        <x:f>Inputs!$C$7+110*(Inputs!$C$8-Inputs!$C$7)/240</x:f>
        <x:v>-5</x:v>
      </x:c>
      <x:c r="B112" s="48" t="n">
        <x:f>Inputs!$C$5+Inputs!$C$9*(A112/Inputs!$C$10)^2</x:f>
        <x:v>400.02777777777777</x:v>
      </x:c>
      <x:c r="C112" s="48" t="n">
        <x:f>B112</x:f>
        <x:v>400.02777777777777</x:v>
      </x:c>
      <x:c r="D112" s="48" t="n">
        <x:f>SQRT(A112^2+Inputs!$C$6^2+B112^2)</x:f>
        <x:v>400.8393980060183</x:v>
      </x:c>
      <x:c r="E112" s="48" t="n">
        <x:f>(D112-C112)*1000</x:f>
        <x:v>811.6202282405425</x:v>
      </x:c>
      <x:c r="F112" s="48" t="n">
        <x:f>E112/Inputs!$C$12</x:f>
        <x:v>455.9664203598553</x:v>
      </x:c>
      <x:c r="G112" s="48" t="n">
        <x:f>2*E112/Inputs!$C$21*1000000</x:f>
        <x:v>5.414547341551484</x:v>
      </x:c>
      <x:c r="H112" s="48" t="n">
        <x:f>SQRT(A112^2+Inputs!$C$6^2)</x:f>
        <x:v>25.495097567963924</x:v>
      </x:c>
      <x:c r="I112" s="48" t="n">
        <x:f>DEGREES(ATAN(H112/B112))</x:f>
        <x:v>3.646717894415093</x:v>
      </x:c>
      <x:c r="J112" s="48" t="n">
        <x:f>DEGREES((2*PI()/Inputs!$C$13)*Inputs!$C$15*SIN(RADIANS(I112)))</x:f>
        <x:v>22.897537442986597</x:v>
      </x:c>
      <x:c r="K112" s="48" t="n">
        <x:f>(C112/D112)^4</x:f>
        <x:v>0.9919253596003422</x:v>
      </x:c>
      <x:c r="L112" s="48" t="n">
        <x:f>10*LOG10(K112)</x:f>
        <x:v>-0.0352100640759975</x:v>
      </x:c>
      <x:c r="M112" s="48" t="n">
        <x:f>2*(Inputs!$C$9/(Inputs!$C$10^2))*A112</x:f>
        <x:v>-0.011111111111111112</x:v>
      </x:c>
      <x:c r="N112" s="48" t="n">
        <x:f>M112*Inputs!$C$11</x:f>
        <x:v>-0.044444444444444446</x:v>
      </x:c>
      <x:c r="O112" s="48" t="n">
        <x:f>1000*((A112*Inputs!$C$11)+(B112*N112))/D112</x:f>
        <x:v>-94.24974823735214</x:v>
      </x:c>
      <x:c r="P112" s="48" t="n">
        <x:f>-2*O112/Inputs!$C$13</x:f>
        <x:v>37.699899294940856</x:v>
      </x:c>
      <x:c r="Q112" s="48" t="n">
        <x:f>-2*O112/Inputs!$C$14</x:f>
        <x:v>5.6606455397809095</x:v>
      </x:c>
      <x:c r="R112" s="48" t="n">
        <x:f>F112-Inputs!$C$16/2</x:f>
        <x:v>440.9664203598553</x:v>
      </x:c>
      <x:c r="S112" s="48" t="n">
        <x:f>F112+Inputs!$C$16/2</x:f>
        <x:v>470.9664203598553</x:v>
      </x:c>
      <x:c r="T112" s="48" t="n">
        <x:f>F112-Inputs!$C$17/2</x:f>
        <x:v>305.9664203598553</x:v>
      </x:c>
      <x:c r="U112" s="48" t="n">
        <x:f>F112+Inputs!$C$17/2</x:f>
        <x:v>605.9664203598553</x:v>
      </x:c>
      <x:c r="V112" s="48" t="n">
        <x:f>ABS(P112)</x:f>
        <x:v>37.699899294940856</x:v>
      </x:c>
      <x:c r="W112" s="48" t="n">
        <x:f>ABS(Q112)</x:f>
        <x:v>5.6606455397809095</x:v>
      </x:c>
      <x:c r="X112" s="48" t="n">
        <x: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(0.45*SIN(2*PI()*(((A112)/Inputs!$C$49)+Inputs!$C$47*0.137))+0.35*COS(2*PI()*(((0)/Inputs!$C$50)+Inputs!$C$47*0.173))+0.20*SIN(2*PI()*(((A112)+(0))/(0.5*(Inputs!$C$49+Inputs!$C$50))+Inputs!$C$47*0.097)))+0.30*(2*((SIN(((A112)*12.9898+(0)*78.233+Inputs!$C$47*37.719))*43758.5453)-INT((SIN(((A112)*12.9898+(0)*78.233+Inputs!$C$47*37.719))*43758.5453)))-1)))</x:f>
        <x:v>-73.64560445817172</x:v>
      </x:c>
      <x:c r="Y112" s="48" t="n">
        <x: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(0.45*SIN(2*PI()*(((A112)/Inputs!$C$49)+Inputs!$C$47*0.137))+0.35*COS(2*PI()*(((Inputs!$C$6)/Inputs!$C$50)+Inputs!$C$47*0.173))+0.20*SIN(2*PI()*(((A112)+(Inputs!$C$6))/(0.5*(Inputs!$C$49+Inputs!$C$50))+Inputs!$C$47*0.097)))+0.30*(2*((SIN(((A112)*12.9898+(Inputs!$C$6)*78.233+Inputs!$C$47*37.719))*43758.5453)-INT((SIN(((A112)*12.9898+(Inputs!$C$6)*78.233+Inputs!$C$47*37.719))*43758.5453)))-1)))</x:f>
        <x:v>426.4950993655156</x:v>
      </x:c>
      <x:c r="Z112" s="48" t="n">
        <x:f>B112-X112/1000</x:f>
        <x:v>400.10142338223596</x:v>
      </x:c>
      <x:c r="AA112" s="48" t="n">
        <x:f>SQRT(A112^2+Inputs!$C$6^2+(B112-Y112/1000)^2)</x:f>
        <x:v>400.41376739347055</x:v>
      </x:c>
      <x:c r="AB112" s="48" t="n">
        <x:f>(AA112-Z112)*1000</x:f>
        <x:v>312.3440112345861</x:v>
      </x:c>
      <x:c r="AC112" s="48" t="n">
        <x:f>AB112/Inputs!$C$12</x:f>
        <x:v>175.474163614936</x:v>
      </x:c>
      <x:c r="AD112" s="48" t="n">
        <x:f>2*AB112/Inputs!$C$21*1000000</x:f>
        <x:v>2.0837349499605233</x:v>
      </x:c>
      <x:c r="AE112" s="48" t="n">
        <x:f>DEGREES(ATAN(H112/(B112-Y112/1000)))</x:f>
        <x:v>3.6505995227884935</x:v>
      </x:c>
      <x:c r="AF112" s="48" t="n">
        <x:f>DEGREES((2*PI()/Inputs!$C$13)*Inputs!$C$15*SIN(RADIANS(AE112)))</x:f>
        <x:v>22.92187699792033</x:v>
      </x:c>
      <x:c r="AG112" s="48" t="n">
        <x:f>(Z112/AA112)^4</x:f>
        <x:v>0.9968834364922017</x:v>
      </x:c>
      <x:c r="AH112" s="48" t="n">
        <x:f>10*LOG10(AG112)</x:f>
        <x:v>-0.013556198706183901</x:v>
      </x:c>
      <x:c r="AI112" s="48" t="n">
        <x:f>AC112-F112</x:f>
        <x:v>-280.4922567449193</x:v>
      </x:c>
      <x:c r="AJ112" s="48" t="n">
        <x:f>AD112-G112</x:f>
        <x:v>-3.3308123915909604</x:v>
      </x:c>
      <x:c r="AK112" s="48" t="n">
        <x:f>Y112-X112</x:f>
        <x:v>500.1407038236873</x:v>
      </x:c>
      <x:c r="AL112" s="48" t="n">
        <x:f>1000*(AA113-AA111)/(A113-A111)*Inputs!$C$11</x:f>
        <x:v>-38.71062506823364</x:v>
      </x:c>
      <x:c r="AM112" s="48" t="n">
        <x:f>-2*AL112/Inputs!$C$13</x:f>
        <x:v>15.484250027293456</x:v>
      </x:c>
      <x:c r="AN112" s="48" t="n">
        <x:f>-2*AL112/Inputs!$C$14</x:f>
        <x:v>2.3249624665605793</x:v>
      </x:c>
      <x:c r="AO112" s="48" t="n">
        <x:f>ABS(AM112)</x:f>
        <x:v>15.484250027293456</x:v>
      </x:c>
      <x:c r="AP112" s="48" t="n">
        <x:f>ABS(AN112)</x:f>
        <x:v>2.3249624665605793</x:v>
      </x:c>
      <x:c r="AQ112" s="48" t="n">
        <x:f>IF(OR(Inputs!$C$27=TRUE,Inputs!$C$27="TRUE",Inputs!$C$27=1),Inputs!$C$46/Inputs!$C$12,0)</x:f>
        <x:v>42.13483146067416</x:v>
      </x:c>
      <x:c r="AR112" s="48" t="n">
        <x:f>AC112-AQ112</x:f>
        <x:v>133.33933215426185</x:v>
      </x:c>
      <x:c r="AS112" s="48" t="n">
        <x:f>AC112+AQ112</x:f>
        <x:v>217.60899507561015</x:v>
      </x:c>
    </x:row>
    <x:row r="113">
      <x:c r="A113" s="48" t="n">
        <x:f>Inputs!$C$7+111*(Inputs!$C$8-Inputs!$C$7)/240</x:f>
        <x:v>-4.5</x:v>
      </x:c>
      <x:c r="B113" s="48" t="n">
        <x:f>Inputs!$C$5+Inputs!$C$9*(A113/Inputs!$C$10)^2</x:f>
        <x:v>400.0225</x:v>
      </x:c>
      <x:c r="C113" s="48" t="n">
        <x:f>B113</x:f>
        <x:v>400.0225</x:v>
      </x:c>
      <x:c r="D113" s="48" t="n">
        <x:f>SQRT(A113^2+Inputs!$C$6^2+B113^2)</x:f>
        <x:v>400.82820572690486</x:v>
      </x:c>
      <x:c r="E113" s="48" t="n">
        <x:f>(D113-C113)*1000</x:f>
        <x:v>805.7057269048755</x:v>
      </x:c>
      <x:c r="F113" s="48" t="n">
        <x:f>E113/Inputs!$C$12</x:f>
        <x:v>452.64366680049187</x:v>
      </x:c>
      <x:c r="G113" s="48" t="n">
        <x:f>2*E113/Inputs!$C$21*1000000</x:f>
        <x:v>5.375090035819884</x:v>
      </x:c>
      <x:c r="H113" s="48" t="n">
        <x:f>SQRT(A113^2+Inputs!$C$6^2)</x:f>
        <x:v>25.401771591761076</x:v>
      </x:c>
      <x:c r="I113" s="48" t="n">
        <x:f>DEGREES(ATAN(H113/B113))</x:f>
        <x:v>3.6334525503982564</x:v>
      </x:c>
      <x:c r="J113" s="48" t="n">
        <x:f>DEGREES((2*PI()/Inputs!$C$13)*Inputs!$C$15*SIN(RADIANS(I113)))</x:f>
        <x:v>22.814356979819124</x:v>
      </x:c>
      <x:c r="K113" s="48" t="n">
        <x:f>(C113/D113)^4</x:f>
        <x:v>0.9919838011121314</x:v>
      </x:c>
      <x:c r="L113" s="48" t="n">
        <x:f>10*LOG10(K113)</x:f>
        <x:v>-0.0349541972591687</x:v>
      </x:c>
      <x:c r="M113" s="48" t="n">
        <x:f>2*(Inputs!$C$9/(Inputs!$C$10^2))*A113</x:f>
        <x:v>-0.01</x:v>
      </x:c>
      <x:c r="N113" s="48" t="n">
        <x:f>M113*Inputs!$C$11</x:f>
        <x:v>-0.04</x:v>
      </x:c>
      <x:c r="O113" s="48" t="n">
        <x:f>1000*((A113*Inputs!$C$11)+(B113*N113))/D113</x:f>
        <x:v>-84.82661527858082</x:v>
      </x:c>
      <x:c r="P113" s="48" t="n">
        <x:f>-2*O113/Inputs!$C$13</x:f>
        <x:v>33.930646111432324</x:v>
      </x:c>
      <x:c r="Q113" s="48" t="n">
        <x:f>-2*O113/Inputs!$C$14</x:f>
        <x:v>5.094691608323172</x:v>
      </x:c>
      <x:c r="R113" s="48" t="n">
        <x:f>F113-Inputs!$C$16/2</x:f>
        <x:v>437.64366680049187</x:v>
      </x:c>
      <x:c r="S113" s="48" t="n">
        <x:f>F113+Inputs!$C$16/2</x:f>
        <x:v>467.64366680049187</x:v>
      </x:c>
      <x:c r="T113" s="48" t="n">
        <x:f>F113-Inputs!$C$17/2</x:f>
        <x:v>302.64366680049187</x:v>
      </x:c>
      <x:c r="U113" s="48" t="n">
        <x:f>F113+Inputs!$C$17/2</x:f>
        <x:v>602.6436668004919</x:v>
      </x:c>
      <x:c r="V113" s="48" t="n">
        <x:f>ABS(P113)</x:f>
        <x:v>33.930646111432324</x:v>
      </x:c>
      <x:c r="W113" s="48" t="n">
        <x:f>ABS(Q113)</x:f>
        <x:v>5.094691608323172</x:v>
      </x:c>
      <x:c r="X113" s="48" t="n">
        <x: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(0.45*SIN(2*PI()*(((A113)/Inputs!$C$49)+Inputs!$C$47*0.137))+0.35*COS(2*PI()*(((0)/Inputs!$C$50)+Inputs!$C$47*0.173))+0.20*SIN(2*PI()*(((A113)+(0))/(0.5*(Inputs!$C$49+Inputs!$C$50))+Inputs!$C$47*0.097)))+0.30*(2*((SIN(((A113)*12.9898+(0)*78.233+Inputs!$C$47*37.719))*43758.5453)-INT((SIN(((A113)*12.9898+(0)*78.233+Inputs!$C$47*37.719))*43758.5453)))-1)))</x:f>
        <x:v>-73.08935088189128</x:v>
      </x:c>
      <x:c r="Y113" s="48" t="n">
        <x: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(0.45*SIN(2*PI()*(((A113)/Inputs!$C$49)+Inputs!$C$47*0.137))+0.35*COS(2*PI()*(((Inputs!$C$6)/Inputs!$C$50)+Inputs!$C$47*0.173))+0.20*SIN(2*PI()*(((A113)+(Inputs!$C$6))/(0.5*(Inputs!$C$49+Inputs!$C$50))+Inputs!$C$47*0.097)))+0.30*(2*((SIN(((A113)*12.9898+(Inputs!$C$6)*78.233+Inputs!$C$47*37.719))*43758.5453)-INT((SIN(((A113)*12.9898+(Inputs!$C$6)*78.233+Inputs!$C$47*37.719))*43758.5453)))-1)))</x:f>
        <x:v>423.30568039510905</x:v>
      </x:c>
      <x:c r="Z113" s="48" t="n">
        <x:f>B113-X113/1000</x:f>
        <x:v>400.0955893508819</x:v>
      </x:c>
      <x:c r="AA113" s="48" t="n">
        <x:f>SQRT(A113^2+Inputs!$C$6^2+(B113-Y113/1000)^2)</x:f>
        <x:v>400.40575183290923</x:v>
      </x:c>
      <x:c r="AB113" s="48" t="n">
        <x:f>(AA113-Z113)*1000</x:f>
        <x:v>310.1624820273514</x:v>
      </x:c>
      <x:c r="AC113" s="48" t="n">
        <x:f>AB113/Inputs!$C$12</x:f>
        <x:v>174.2485854086244</x:v>
      </x:c>
      <x:c r="AD113" s="48" t="n">
        <x:f>2*AB113/Inputs!$C$21*1000000</x:f>
        <x:v>2.0691813536373314</x:v>
      </x:c>
      <x:c r="AE113" s="48" t="n">
        <x:f>DEGREES(ATAN(H113/(B113-Y113/1000)))</x:f>
        <x:v>3.637291232551428</x:v>
      </x:c>
      <x:c r="AF113" s="48" t="n">
        <x:f>DEGREES((2*PI()/Inputs!$C$13)*Inputs!$C$15*SIN(RADIANS(AE113)))</x:f>
        <x:v>22.8384275979384</x:v>
      </x:c>
      <x:c r="AG113" s="48" t="n">
        <x:f>(Z113/AA113)^4</x:f>
        <x:v>0.996905116578552</x:v>
      </x:c>
      <x:c r="AH113" s="48" t="n">
        <x:f>10*LOG10(AG113)</x:f>
        <x:v>-0.0134617499557888</x:v>
      </x:c>
      <x:c r="AI113" s="48" t="n">
        <x:f>AC113-F113</x:f>
        <x:v>-278.3950813918675</x:v>
      </x:c>
      <x:c r="AJ113" s="48" t="n">
        <x:f>AD113-G113</x:f>
        <x:v>-3.3059086821825527</x:v>
      </x:c>
      <x:c r="AK113" s="48" t="n">
        <x:f>Y113-X113</x:f>
        <x:v>496.3950312770003</x:v>
      </x:c>
      <x:c r="AL113" s="48" t="n">
        <x:f>1000*(AA114-AA112)/(A114-A112)*Inputs!$C$11</x:f>
        <x:v>-82.95651876301235</x:v>
      </x:c>
      <x:c r="AM113" s="48" t="n">
        <x:f>-2*AL113/Inputs!$C$13</x:f>
        <x:v>33.18260750520494</x:v>
      </x:c>
      <x:c r="AN113" s="48" t="n">
        <x:f>-2*AL113/Inputs!$C$14</x:f>
        <x:v>4.982373499280022</x:v>
      </x:c>
      <x:c r="AO113" s="48" t="n">
        <x:f>ABS(AM113)</x:f>
        <x:v>33.18260750520494</x:v>
      </x:c>
      <x:c r="AP113" s="48" t="n">
        <x:f>ABS(AN113)</x:f>
        <x:v>4.982373499280022</x:v>
      </x:c>
      <x:c r="AQ113" s="48" t="n">
        <x:f>IF(OR(Inputs!$C$27=TRUE,Inputs!$C$27="TRUE",Inputs!$C$27=1),Inputs!$C$46/Inputs!$C$12,0)</x:f>
        <x:v>42.13483146067416</x:v>
      </x:c>
      <x:c r="AR113" s="48" t="n">
        <x:f>AC113-AQ113</x:f>
        <x:v>132.11375394795024</x:v>
      </x:c>
      <x:c r="AS113" s="48" t="n">
        <x:f>AC113+AQ113</x:f>
        <x:v>216.38341686929854</x:v>
      </x:c>
    </x:row>
    <x:row r="114">
      <x:c r="A114" s="48" t="n">
        <x:f>Inputs!$C$7+112*(Inputs!$C$8-Inputs!$C$7)/240</x:f>
        <x:v>-4</x:v>
      </x:c>
      <x:c r="B114" s="48" t="n">
        <x:f>Inputs!$C$5+Inputs!$C$9*(A114/Inputs!$C$10)^2</x:f>
        <x:v>400.0177777777778</x:v>
      </x:c>
      <x:c r="C114" s="48" t="n">
        <x:f>B114</x:f>
        <x:v>400.0177777777778</x:v>
      </x:c>
      <x:c r="D114" s="48" t="n">
        <x:f>SQRT(A114^2+Inputs!$C$6^2+B114^2)</x:f>
        <x:v>400.8181913764289</x:v>
      </x:c>
      <x:c r="E114" s="48" t="n">
        <x:f>(D114-C114)*1000</x:f>
        <x:v>800.4135986511187</x:v>
      </x:c>
      <x:c r="F114" s="48" t="n">
        <x:f>E114/Inputs!$C$12</x:f>
        <x:v>449.67056103995435</x:v>
      </x:c>
      <x:c r="G114" s="48" t="n">
        <x:f>2*E114/Inputs!$C$21*1000000</x:f>
        <x:v>5.339784756367145</x:v>
      </x:c>
      <x:c r="H114" s="48" t="n">
        <x:f>SQRT(A114^2+Inputs!$C$6^2)</x:f>
        <x:v>25.317977802344327</x:v>
      </x:c>
      <x:c r="I114" s="48" t="n">
        <x:f>DEGREES(ATAN(H114/B114))</x:f>
        <x:v>3.62154133083556</x:v>
      </x:c>
      <x:c r="J114" s="48" t="n">
        <x:f>DEGREES((2*PI()/Inputs!$C$13)*Inputs!$C$15*SIN(RADIANS(I114)))</x:f>
        <x:v>22.739666524476903</x:v>
      </x:c>
      <x:c r="K114" s="48" t="n">
        <x:f>(C114/D114)^4</x:f>
        <x:v>0.9920360978809625</x:v>
      </x:c>
      <x:c r="L114" s="48" t="n">
        <x:f>10*LOG10(K114)</x:f>
        <x:v>-0.0347252459453083</x:v>
      </x:c>
      <x:c r="M114" s="48" t="n">
        <x:f>2*(Inputs!$C$9/(Inputs!$C$10^2))*A114</x:f>
        <x:v>-0.008888888888888889</x:v>
      </x:c>
      <x:c r="N114" s="48" t="n">
        <x:f>M114*Inputs!$C$11</x:f>
        <x:v>-0.035555555555555556</x:v>
      </x:c>
      <x:c r="O114" s="48" t="n">
        <x:f>1000*((A114*Inputs!$C$11)+(B114*N114))/D114</x:f>
        <x:v>-75.40290079449969</x:v>
      </x:c>
      <x:c r="P114" s="48" t="n">
        <x:f>-2*O114/Inputs!$C$13</x:f>
        <x:v>30.161160317799876</x:v>
      </x:c>
      <x:c r="Q114" s="48" t="n">
        <x:f>-2*O114/Inputs!$C$14</x:f>
        <x:v>4.528702750420402</x:v>
      </x:c>
      <x:c r="R114" s="48" t="n">
        <x:f>F114-Inputs!$C$16/2</x:f>
        <x:v>434.67056103995435</x:v>
      </x:c>
      <x:c r="S114" s="48" t="n">
        <x:f>F114+Inputs!$C$16/2</x:f>
        <x:v>464.67056103995435</x:v>
      </x:c>
      <x:c r="T114" s="48" t="n">
        <x:f>F114-Inputs!$C$17/2</x:f>
        <x:v>299.67056103995435</x:v>
      </x:c>
      <x:c r="U114" s="48" t="n">
        <x:f>F114+Inputs!$C$17/2</x:f>
        <x:v>599.6705610399544</x:v>
      </x:c>
      <x:c r="V114" s="48" t="n">
        <x:f>ABS(P114)</x:f>
        <x:v>30.161160317799876</x:v>
      </x:c>
      <x:c r="W114" s="48" t="n">
        <x:f>ABS(Q114)</x:f>
        <x:v>4.528702750420402</x:v>
      </x:c>
      <x:c r="X114" s="48" t="n">
        <x: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(0.45*SIN(2*PI()*(((A114)/Inputs!$C$49)+Inputs!$C$47*0.137))+0.35*COS(2*PI()*(((0)/Inputs!$C$50)+Inputs!$C$47*0.173))+0.20*SIN(2*PI()*(((A114)+(0))/(0.5*(Inputs!$C$49+Inputs!$C$50))+Inputs!$C$47*0.097)))+0.30*(2*((SIN(((A114)*12.9898+(0)*78.233+Inputs!$C$47*37.719))*43758.5453)-INT((SIN(((A114)*12.9898+(0)*78.233+Inputs!$C$47*37.719))*43758.5453)))-1)))</x:f>
        <x:v>-74.23673097551541</x:v>
      </x:c>
      <x:c r="Y114" s="48" t="n">
        <x: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(0.45*SIN(2*PI()*(((A114)/Inputs!$C$49)+Inputs!$C$47*0.137))+0.35*COS(2*PI()*(((Inputs!$C$6)/Inputs!$C$50)+Inputs!$C$47*0.173))+0.20*SIN(2*PI()*(((A114)+(Inputs!$C$6))/(0.5*(Inputs!$C$49+Inputs!$C$50))+Inputs!$C$47*0.097)))+0.30*(2*((SIN(((A114)*12.9898+(Inputs!$C$6)*78.233+Inputs!$C$47*37.719))*43758.5453)-INT((SIN(((A114)*12.9898+(Inputs!$C$6)*78.233+Inputs!$C$47*37.719))*43758.5453)))-1)))</x:f>
        <x:v>426.0147467563934</x:v>
      </x:c>
      <x:c r="Z114" s="48" t="n">
        <x:f>B114-X114/1000</x:f>
        <x:v>400.0920145087533</x:v>
      </x:c>
      <x:c r="AA114" s="48" t="n">
        <x:f>SQRT(A114^2+Inputs!$C$6^2+(B114-Y114/1000)^2)</x:f>
        <x:v>400.3930282637798</x:v>
      </x:c>
      <x:c r="AB114" s="48" t="n">
        <x:f>(AA114-Z114)*1000</x:f>
        <x:v>301.0137550264744</x:v>
      </x:c>
      <x:c r="AC114" s="48" t="n">
        <x:f>AB114/Inputs!$C$12</x:f>
        <x:v>169.10885113846876</x:v>
      </x:c>
      <x:c r="AD114" s="48" t="n">
        <x:f>2*AB114/Inputs!$C$21*1000000</x:f>
        <x:v>2.008147616752083</x:v>
      </x:c>
      <x:c r="AE114" s="48" t="n">
        <x:f>DEGREES(ATAN(H114/(B114-Y114/1000)))</x:f>
        <x:v>3.6253920544596827</x:v>
      </x:c>
      <x:c r="AF114" s="48" t="n">
        <x:f>DEGREES((2*PI()/Inputs!$C$13)*Inputs!$C$15*SIN(RADIANS(AE114)))</x:f>
        <x:v>22.763812967390944</x:v>
      </x:c>
      <x:c r="AG114" s="48" t="n">
        <x:f>(Z114/AA114)^4</x:f>
        <x:v>0.9969962067005762</x:v>
      </x:c>
      <x:c r="AH114" s="48" t="n">
        <x:f>10*LOG10(AG114)</x:f>
        <x:v>-0.0130649405759396</x:v>
      </x:c>
      <x:c r="AI114" s="48" t="n">
        <x:f>AC114-F114</x:f>
        <x:v>-280.5617099014856</x:v>
      </x:c>
      <x:c r="AJ114" s="48" t="n">
        <x:f>AD114-G114</x:f>
        <x:v>-3.331637139615062</x:v>
      </x:c>
      <x:c r="AK114" s="48" t="n">
        <x:f>Y114-X114</x:f>
        <x:v>500.2514777319088</x:v>
      </x:c>
      <x:c r="AL114" s="48" t="n">
        <x:f>1000*(AA115-AA113)/(A115-A113)*Inputs!$C$11</x:f>
        <x:v>-2.2282070128767373</x:v>
      </x:c>
      <x:c r="AM114" s="48" t="n">
        <x:f>-2*AL114/Inputs!$C$13</x:f>
        <x:v>0.8912828051506949</x:v>
      </x:c>
      <x:c r="AN114" s="48" t="n">
        <x:f>-2*AL114/Inputs!$C$14</x:f>
        <x:v>0.13382624701962387</x:v>
      </x:c>
      <x:c r="AO114" s="48" t="n">
        <x:f>ABS(AM114)</x:f>
        <x:v>0.8912828051506949</x:v>
      </x:c>
      <x:c r="AP114" s="48" t="n">
        <x:f>ABS(AN114)</x:f>
        <x:v>0.13382624701962387</x:v>
      </x:c>
      <x:c r="AQ114" s="48" t="n">
        <x:f>IF(OR(Inputs!$C$27=TRUE,Inputs!$C$27="TRUE",Inputs!$C$27=1),Inputs!$C$46/Inputs!$C$12,0)</x:f>
        <x:v>42.13483146067416</x:v>
      </x:c>
      <x:c r="AR114" s="48" t="n">
        <x:f>AC114-AQ114</x:f>
        <x:v>126.97401967779462</x:v>
      </x:c>
      <x:c r="AS114" s="48" t="n">
        <x:f>AC114+AQ114</x:f>
        <x:v>211.24368259914291</x:v>
      </x:c>
    </x:row>
    <x:row r="115">
      <x:c r="A115" s="48" t="n">
        <x:f>Inputs!$C$7+113*(Inputs!$C$8-Inputs!$C$7)/240</x:f>
        <x:v>-3.5</x:v>
      </x:c>
      <x:c r="B115" s="48" t="n">
        <x:f>Inputs!$C$5+Inputs!$C$9*(A115/Inputs!$C$10)^2</x:f>
        <x:v>400.0136111111111</x:v>
      </x:c>
      <x:c r="C115" s="48" t="n">
        <x:f>B115</x:f>
        <x:v>400.0136111111111</x:v>
      </x:c>
      <x:c r="D115" s="48" t="n">
        <x:f>SQRT(A115^2+Inputs!$C$6^2+B115^2)</x:f>
        <x:v>400.80935502324695</x:v>
      </x:c>
      <x:c r="E115" s="48" t="n">
        <x:f>(D115-C115)*1000</x:f>
        <x:v>795.7439121358334</x:v>
      </x:c>
      <x:c r="F115" s="48" t="n">
        <x:f>E115/Inputs!$C$12</x:f>
        <x:v>447.0471416493446</x:v>
      </x:c>
      <x:c r="G115" s="48" t="n">
        <x:f>2*E115/Inputs!$C$21*1000000</x:f>
        <x:v>5.3086319612205415</x:v>
      </x:c>
      <x:c r="H115" s="48" t="n">
        <x:f>SQRT(A115^2+Inputs!$C$6^2)</x:f>
        <x:v>25.243811122728676</x:v>
      </x:c>
      <x:c r="I115" s="48" t="n">
        <x:f>DEGREES(ATAN(H115/B115))</x:f>
        <x:v>3.6109979838002473</x:v>
      </x:c>
      <x:c r="J115" s="48" t="n">
        <x:f>DEGREES((2*PI()/Inputs!$C$13)*Inputs!$C$15*SIN(RADIANS(I115)))</x:f>
        <x:v>22.673552626173688</x:v>
      </x:c>
      <x:c r="K115" s="48" t="n">
        <x:f>(C115/D115)^4</x:f>
        <x:v>0.9920822475760858</x:v>
      </x:c>
      <x:c r="L115" s="48" t="n">
        <x:f>10*LOG10(K115)</x:f>
        <x:v>-0.0345232160816858</x:v>
      </x:c>
      <x:c r="M115" s="48" t="n">
        <x:f>2*(Inputs!$C$9/(Inputs!$C$10^2))*A115</x:f>
        <x:v>-0.0077777777777777776</x:v>
      </x:c>
      <x:c r="N115" s="48" t="n">
        <x:f>M115*Inputs!$C$11</x:f>
        <x:v>-0.03111111111111111</x:v>
      </x:c>
      <x:c r="O115" s="48" t="n">
        <x:f>1000*((A115*Inputs!$C$11)+(B115*N115))/D115</x:f>
        <x:v>-65.97866933445394</x:v>
      </x:c>
      <x:c r="P115" s="48" t="n">
        <x:f>-2*O115/Inputs!$C$13</x:f>
        <x:v>26.391467733781575</x:v>
      </x:c>
      <x:c r="Q115" s="48" t="n">
        <x:f>-2*O115/Inputs!$C$14</x:f>
        <x:v>3.962682842910147</x:v>
      </x:c>
      <x:c r="R115" s="48" t="n">
        <x:f>F115-Inputs!$C$16/2</x:f>
        <x:v>432.0471416493446</x:v>
      </x:c>
      <x:c r="S115" s="48" t="n">
        <x:f>F115+Inputs!$C$16/2</x:f>
        <x:v>462.0471416493446</x:v>
      </x:c>
      <x:c r="T115" s="48" t="n">
        <x:f>F115-Inputs!$C$17/2</x:f>
        <x:v>297.0471416493446</x:v>
      </x:c>
      <x:c r="U115" s="48" t="n">
        <x:f>F115+Inputs!$C$17/2</x:f>
        <x:v>597.0471416493447</x:v>
      </x:c>
      <x:c r="V115" s="48" t="n">
        <x:f>ABS(P115)</x:f>
        <x:v>26.391467733781575</x:v>
      </x:c>
      <x:c r="W115" s="48" t="n">
        <x:f>ABS(Q115)</x:f>
        <x:v>3.962682842910147</x:v>
      </x:c>
      <x:c r="X115" s="48" t="n">
        <x: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(0.45*SIN(2*PI()*(((A115)/Inputs!$C$49)+Inputs!$C$47*0.137))+0.35*COS(2*PI()*(((0)/Inputs!$C$50)+Inputs!$C$47*0.173))+0.20*SIN(2*PI()*(((A115)+(0))/(0.5*(Inputs!$C$49+Inputs!$C$50))+Inputs!$C$47*0.097)))+0.30*(2*((SIN(((A115)*12.9898+(0)*78.233+Inputs!$C$47*37.719))*43758.5453)-INT((SIN(((A115)*12.9898+(0)*78.233+Inputs!$C$47*37.719))*43758.5453)))-1)))</x:f>
        <x:v>-78.64906809360804</x:v>
      </x:c>
      <x:c r="Y115" s="48" t="n">
        <x: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(0.45*SIN(2*PI()*(((A115)/Inputs!$C$49)+Inputs!$C$47*0.137))+0.35*COS(2*PI()*(((Inputs!$C$6)/Inputs!$C$50)+Inputs!$C$47*0.173))+0.20*SIN(2*PI()*(((A115)+(Inputs!$C$6))/(0.5*(Inputs!$C$49+Inputs!$C$50))+Inputs!$C$47*0.097)))+0.30*(2*((SIN(((A115)*12.9898+(Inputs!$C$6)*78.233+Inputs!$C$47*37.719))*43758.5453)-INT((SIN(((A115)*12.9898+(Inputs!$C$6)*78.233+Inputs!$C$47*37.719))*43758.5453)))-1)))</x:f>
        <x:v>404.9650488225026</x:v>
      </x:c>
      <x:c r="Z115" s="48" t="n">
        <x:f>B115-X115/1000</x:f>
        <x:v>400.09226017920474</x:v>
      </x:c>
      <x:c r="AA115" s="48" t="n">
        <x:f>SQRT(A115^2+Inputs!$C$6^2+(B115-Y115/1000)^2)</x:f>
        <x:v>400.405194781156</x:v>
      </x:c>
      <x:c r="AB115" s="48" t="n">
        <x:f>(AA115-Z115)*1000</x:f>
        <x:v>312.93460195126954</x:v>
      </x:c>
      <x:c r="AC115" s="48" t="n">
        <x:f>AB115/Inputs!$C$12</x:f>
        <x:v>175.8059561523986</x:v>
      </x:c>
      <x:c r="AD115" s="48" t="n">
        <x:f>2*AB115/Inputs!$C$21*1000000</x:f>
        <x:v>2.0876749471213816</x:v>
      </x:c>
      <x:c r="AE115" s="48" t="n">
        <x:f>DEGREES(ATAN(H115/(B115-Y115/1000)))</x:f>
        <x:v>3.6146476869659185</x:v>
      </x:c>
      <x:c r="AF115" s="48" t="n">
        <x:f>DEGREES((2*PI()/Inputs!$C$13)*Inputs!$C$15*SIN(RADIANS(AE115)))</x:f>
        <x:v>22.696438814060098</x:v>
      </x:c>
      <x:c r="AG115" s="48" t="n">
        <x:f>(Z115/AA115)^4</x:f>
        <x:v>0.996877483723877</x:v>
      </x:c>
      <x:c r="AH115" s="48" t="n">
        <x:f>10*LOG10(AG115)</x:f>
        <x:v>-0.0135821321509542</x:v>
      </x:c>
      <x:c r="AI115" s="48" t="n">
        <x:f>AC115-F115</x:f>
        <x:v>-271.241185496946</x:v>
      </x:c>
      <x:c r="AJ115" s="48" t="n">
        <x:f>AD115-G115</x:f>
        <x:v>-3.22095701409916</x:v>
      </x:c>
      <x:c r="AK115" s="48" t="n">
        <x:f>Y115-X115</x:f>
        <x:v>483.6141169161106</x:v>
      </x:c>
      <x:c r="AL115" s="48" t="n">
        <x:f>1000*(AA116-AA114)/(A116-A114)*Inputs!$C$11</x:f>
        <x:v>-42.5926990797052</x:v>
      </x:c>
      <x:c r="AM115" s="48" t="n">
        <x:f>-2*AL115/Inputs!$C$13</x:f>
        <x:v>17.03707963188208</x:v>
      </x:c>
      <x:c r="AN115" s="48" t="n">
        <x:f>-2*AL115/Inputs!$C$14</x:f>
        <x:v>2.5581200648471594</x:v>
      </x:c>
      <x:c r="AO115" s="48" t="n">
        <x:f>ABS(AM115)</x:f>
        <x:v>17.03707963188208</x:v>
      </x:c>
      <x:c r="AP115" s="48" t="n">
        <x:f>ABS(AN115)</x:f>
        <x:v>2.5581200648471594</x:v>
      </x:c>
      <x:c r="AQ115" s="48" t="n">
        <x:f>IF(OR(Inputs!$C$27=TRUE,Inputs!$C$27="TRUE",Inputs!$C$27=1),Inputs!$C$46/Inputs!$C$12,0)</x:f>
        <x:v>42.13483146067416</x:v>
      </x:c>
      <x:c r="AR115" s="48" t="n">
        <x:f>AC115-AQ115</x:f>
        <x:v>133.67112469172446</x:v>
      </x:c>
      <x:c r="AS115" s="48" t="n">
        <x:f>AC115+AQ115</x:f>
        <x:v>217.94078761307276</x:v>
      </x:c>
    </x:row>
    <x:row r="116">
      <x:c r="A116" s="48" t="n">
        <x:f>Inputs!$C$7+114*(Inputs!$C$8-Inputs!$C$7)/240</x:f>
        <x:v>-3</x:v>
      </x:c>
      <x:c r="B116" s="48" t="n">
        <x:f>Inputs!$C$5+Inputs!$C$9*(A116/Inputs!$C$10)^2</x:f>
        <x:v>400.01</x:v>
      </x:c>
      <x:c r="C116" s="48" t="n">
        <x:f>B116</x:f>
        <x:v>400.01</x:v>
      </x:c>
      <x:c r="D116" s="48" t="n">
        <x:f>SQRT(A116^2+Inputs!$C$6^2+B116^2)</x:f>
        <x:v>400.8016967279455</x:v>
      </x:c>
      <x:c r="E116" s="48" t="n">
        <x:f>(D116-C116)*1000</x:f>
        <x:v>791.6967279455207</x:v>
      </x:c>
      <x:c r="F116" s="48" t="n">
        <x:f>E116/Inputs!$C$12</x:f>
        <x:v>444.77344266602285</x:v>
      </x:c>
      <x:c r="G116" s="48" t="n">
        <x:f>2*E116/Inputs!$C$21*1000000</x:f>
        <x:v>5.2816320545697035</x:v>
      </x:c>
      <x:c r="H116" s="48" t="n">
        <x:f>SQRT(A116^2+Inputs!$C$6^2)</x:f>
        <x:v>25.179356624028344</x:v>
      </x:c>
      <x:c r="I116" s="48" t="n">
        <x:f>DEGREES(ATAN(H116/B116))</x:f>
        <x:v>3.601834829314978</x:v>
      </x:c>
      <x:c r="J116" s="48" t="n">
        <x:f>DEGREES((2*PI()/Inputs!$C$13)*Inputs!$C$15*SIN(RADIANS(I116)))</x:f>
        <x:v>22.616092842548554</x:v>
      </x:c>
      <x:c r="K116" s="48" t="n">
        <x:f>(C116/D116)^4</x:f>
        <x:v>0.9921222481403926</x:v>
      </x:c>
      <x:c r="L116" s="48" t="n">
        <x:f>10*LOG10(K116)</x:f>
        <x:v>-0.0343481129167515</x:v>
      </x:c>
      <x:c r="M116" s="48" t="n">
        <x:f>2*(Inputs!$C$9/(Inputs!$C$10^2))*A116</x:f>
        <x:v>-0.006666666666666666</x:v>
      </x:c>
      <x:c r="N116" s="48" t="n">
        <x:f>M116*Inputs!$C$11</x:f>
        <x:v>-0.026666666666666665</x:v>
      </x:c>
      <x:c r="O116" s="48" t="n">
        <x:f>1000*((A116*Inputs!$C$11)+(B116*N116))/D116</x:f>
        <x:v>-56.553985470573245</x:v>
      </x:c>
      <x:c r="P116" s="48" t="n">
        <x:f>-2*O116/Inputs!$C$13</x:f>
        <x:v>22.6215941882293</x:v>
      </x:c>
      <x:c r="Q116" s="48" t="n">
        <x:f>-2*O116/Inputs!$C$14</x:f>
        <x:v>3.3966357639983933</x:v>
      </x:c>
      <x:c r="R116" s="48" t="n">
        <x:f>F116-Inputs!$C$16/2</x:f>
        <x:v>429.77344266602285</x:v>
      </x:c>
      <x:c r="S116" s="48" t="n">
        <x:f>F116+Inputs!$C$16/2</x:f>
        <x:v>459.77344266602285</x:v>
      </x:c>
      <x:c r="T116" s="48" t="n">
        <x:f>F116-Inputs!$C$17/2</x:f>
        <x:v>294.77344266602285</x:v>
      </x:c>
      <x:c r="U116" s="48" t="n">
        <x:f>F116+Inputs!$C$17/2</x:f>
        <x:v>594.7734426660229</x:v>
      </x:c>
      <x:c r="V116" s="48" t="n">
        <x:f>ABS(P116)</x:f>
        <x:v>22.6215941882293</x:v>
      </x:c>
      <x:c r="W116" s="48" t="n">
        <x:f>ABS(Q116)</x:f>
        <x:v>3.3966357639983933</x:v>
      </x:c>
      <x:c r="X116" s="48" t="n">
        <x: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(0.45*SIN(2*PI()*(((A116)/Inputs!$C$49)+Inputs!$C$47*0.137))+0.35*COS(2*PI()*(((0)/Inputs!$C$50)+Inputs!$C$47*0.173))+0.20*SIN(2*PI()*(((A116)+(0))/(0.5*(Inputs!$C$49+Inputs!$C$50))+Inputs!$C$47*0.097)))+0.30*(2*((SIN(((A116)*12.9898+(0)*78.233+Inputs!$C$47*37.719))*43758.5453)-INT((SIN(((A116)*12.9898+(0)*78.233+Inputs!$C$47*37.719))*43758.5453)))-1)))</x:f>
        <x:v>-67.68197739460362</x:v>
      </x:c>
      <x:c r="Y116" s="48" t="n">
        <x: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(0.45*SIN(2*PI()*(((A116)/Inputs!$C$49)+Inputs!$C$47*0.137))+0.35*COS(2*PI()*(((Inputs!$C$6)/Inputs!$C$50)+Inputs!$C$47*0.173))+0.20*SIN(2*PI()*(((A116)+(Inputs!$C$6))/(0.5*(Inputs!$C$49+Inputs!$C$50))+Inputs!$C$47*0.097)))+0.30*(2*((SIN(((A116)*12.9898+(Inputs!$C$6)*78.233+Inputs!$C$47*37.719))*43758.5453)-INT((SIN(((A116)*12.9898+(Inputs!$C$6)*78.233+Inputs!$C$47*37.719))*43758.5453)))-1)))</x:f>
        <x:v>420.14741895617453</x:v>
      </x:c>
      <x:c r="Z116" s="48" t="n">
        <x:f>B116-X116/1000</x:f>
        <x:v>400.0776819773946</x:v>
      </x:c>
      <x:c r="AA116" s="48" t="n">
        <x:f>SQRT(A116^2+Inputs!$C$6^2+(B116-Y116/1000)^2)</x:f>
        <x:v>400.38238008900987</x:v>
      </x:c>
      <x:c r="AB116" s="48" t="n">
        <x:f>(AA116-Z116)*1000</x:f>
        <x:v>304.6981116152665</x:v>
      </x:c>
      <x:c r="AC116" s="48" t="n">
        <x:f>AB116/Inputs!$C$12</x:f>
        <x:v>171.17871439059914</x:v>
      </x:c>
      <x:c r="AD116" s="48" t="n">
        <x:f>2*AB116/Inputs!$C$21*1000000</x:f>
        <x:v>2.0327269981906384</x:v>
      </x:c>
      <x:c r="AE116" s="48" t="n">
        <x:f>DEGREES(ATAN(H116/(B116-Y116/1000)))</x:f>
        <x:v>3.605611981238959</x:v>
      </x:c>
      <x:c r="AF116" s="48" t="n">
        <x:f>DEGREES((2*PI()/Inputs!$C$13)*Inputs!$C$15*SIN(RADIANS(AE116)))</x:f>
        <x:v>22.639778460368408</x:v>
      </x:c>
      <x:c r="AG116" s="48" t="n">
        <x:f>(Z116/AA116)^4</x:f>
        <x:v>0.9969594019900991</x:v>
      </x:c>
      <x:c r="AH116" s="48" t="n">
        <x:f>10*LOG10(AG116)</x:f>
        <x:v>-0.013225265937250399</x:v>
      </x:c>
      <x:c r="AI116" s="48" t="n">
        <x:f>AC116-F116</x:f>
        <x:v>-273.5947282754237</x:v>
      </x:c>
      <x:c r="AJ116" s="48" t="n">
        <x:f>AD116-G116</x:f>
        <x:v>-3.248905056379065</x:v>
      </x:c>
      <x:c r="AK116" s="48" t="n">
        <x:f>Y116-X116</x:f>
        <x:v>487.82939635077815</x:v>
      </x:c>
      <x:c r="AL116" s="48" t="n">
        <x:f>1000*(AA117-AA115)/(A117-A115)*Inputs!$C$11</x:f>
        <x:v>-120.50258786780432</x:v>
      </x:c>
      <x:c r="AM116" s="48" t="n">
        <x:f>-2*AL116/Inputs!$C$13</x:f>
        <x:v>48.20103514712173</x:v>
      </x:c>
      <x:c r="AN116" s="48" t="n">
        <x:f>-2*AL116/Inputs!$C$14</x:f>
        <x:v>7.237392664732993</x:v>
      </x:c>
      <x:c r="AO116" s="48" t="n">
        <x:f>ABS(AM116)</x:f>
        <x:v>48.20103514712173</x:v>
      </x:c>
      <x:c r="AP116" s="48" t="n">
        <x:f>ABS(AN116)</x:f>
        <x:v>7.237392664732993</x:v>
      </x:c>
      <x:c r="AQ116" s="48" t="n">
        <x:f>IF(OR(Inputs!$C$27=TRUE,Inputs!$C$27="TRUE",Inputs!$C$27=1),Inputs!$C$46/Inputs!$C$12,0)</x:f>
        <x:v>42.13483146067416</x:v>
      </x:c>
      <x:c r="AR116" s="48" t="n">
        <x:f>AC116-AQ116</x:f>
        <x:v>129.043882929925</x:v>
      </x:c>
      <x:c r="AS116" s="48" t="n">
        <x:f>AC116+AQ116</x:f>
        <x:v>213.3135458512733</x:v>
      </x:c>
    </x:row>
    <x:row r="117">
      <x:c r="A117" s="48" t="n">
        <x:f>Inputs!$C$7+115*(Inputs!$C$8-Inputs!$C$7)/240</x:f>
        <x:v>-2.5</x:v>
      </x:c>
      <x:c r="B117" s="48" t="n">
        <x:f>Inputs!$C$5+Inputs!$C$9*(A117/Inputs!$C$10)^2</x:f>
        <x:v>400.00694444444446</x:v>
      </x:c>
      <x:c r="C117" s="48" t="n">
        <x:f>B117</x:f>
        <x:v>400.00694444444446</x:v>
      </x:c>
      <x:c r="D117" s="48" t="n">
        <x:f>SQRT(A117^2+Inputs!$C$6^2+B117^2)</x:f>
        <x:v>400.7952165430382</x:v>
      </x:c>
      <x:c r="E117" s="48" t="n">
        <x:f>(D117-C117)*1000</x:f>
        <x:v>788.2720985937226</x:v>
      </x:c>
      <x:c r="F117" s="48" t="n">
        <x:f>E117/Inputs!$C$12</x:f>
        <x:v>442.849493591979</x:v>
      </x:c>
      <x:c r="G117" s="48" t="n">
        <x:f>2*E117/Inputs!$C$21*1000000</x:f>
        <x:v>5.258785386747272</x:v>
      </x:c>
      <x:c r="H117" s="48" t="n">
        <x:f>SQRT(A117^2+Inputs!$C$6^2)</x:f>
        <x:v>25.124689052802225</x:v>
      </x:c>
      <x:c r="I117" s="48" t="n">
        <x:f>DEGREES(ATAN(H117/B117))</x:f>
        <x:v>3.594062691308639</x:v>
      </x:c>
      <x:c r="J117" s="48" t="n">
        <x:f>DEGREES((2*PI()/Inputs!$C$13)*Inputs!$C$15*SIN(RADIANS(I117)))</x:f>
        <x:v>22.567355311830532</x:v>
      </x:c>
      <x:c r="K117" s="48" t="n">
        <x:f>(C117/D117)^4</x:f>
        <x:v>0.9921560977906302</x:v>
      </x:c>
      <x:c r="L117" s="48" t="n">
        <x:f>10*LOG10(K117)</x:f>
        <x:v>-0.034199940999801504</x:v>
      </x:c>
      <x:c r="M117" s="48" t="n">
        <x:f>2*(Inputs!$C$9/(Inputs!$C$10^2))*A117</x:f>
        <x:v>-0.005555555555555556</x:v>
      </x:c>
      <x:c r="N117" s="48" t="n">
        <x:f>M117*Inputs!$C$11</x:f>
        <x:v>-0.022222222222222223</x:v>
      </x:c>
      <x:c r="O117" s="48" t="n">
        <x:f>1000*((A117*Inputs!$C$11)+(B117*N117))/D117</x:f>
        <x:v>-47.12891379492849</x:v>
      </x:c>
      <x:c r="P117" s="48" t="n">
        <x:f>-2*O117/Inputs!$C$13</x:f>
        <x:v>18.851565517971398</x:v>
      </x:c>
      <x:c r="Q117" s="48" t="n">
        <x:f>-2*O117/Inputs!$C$14</x:f>
        <x:v>2.830565393088799</x:v>
      </x:c>
      <x:c r="R117" s="48" t="n">
        <x:f>F117-Inputs!$C$16/2</x:f>
        <x:v>427.849493591979</x:v>
      </x:c>
      <x:c r="S117" s="48" t="n">
        <x:f>F117+Inputs!$C$16/2</x:f>
        <x:v>457.849493591979</x:v>
      </x:c>
      <x:c r="T117" s="48" t="n">
        <x:f>F117-Inputs!$C$17/2</x:f>
        <x:v>292.849493591979</x:v>
      </x:c>
      <x:c r="U117" s="48" t="n">
        <x:f>F117+Inputs!$C$17/2</x:f>
        <x:v>592.849493591979</x:v>
      </x:c>
      <x:c r="V117" s="48" t="n">
        <x:f>ABS(P117)</x:f>
        <x:v>18.851565517971398</x:v>
      </x:c>
      <x:c r="W117" s="48" t="n">
        <x:f>ABS(Q117)</x:f>
        <x:v>2.830565393088799</x:v>
      </x:c>
      <x:c r="X117" s="48" t="n">
        <x: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(0.45*SIN(2*PI()*(((A117)/Inputs!$C$49)+Inputs!$C$47*0.137))+0.35*COS(2*PI()*(((0)/Inputs!$C$50)+Inputs!$C$47*0.173))+0.20*SIN(2*PI()*(((A117)+(0))/(0.5*(Inputs!$C$49+Inputs!$C$50))+Inputs!$C$47*0.097)))+0.30*(2*((SIN(((A117)*12.9898+(0)*78.233+Inputs!$C$47*37.719))*43758.5453)-INT((SIN(((A117)*12.9898+(0)*78.233+Inputs!$C$47*37.719))*43758.5453)))-1)))</x:f>
        <x:v>-49.83449295863612</x:v>
      </x:c>
      <x:c r="Y117" s="48" t="n">
        <x: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(0.45*SIN(2*PI()*(((A117)/Inputs!$C$49)+Inputs!$C$47*0.137))+0.35*COS(2*PI()*(((Inputs!$C$6)/Inputs!$C$50)+Inputs!$C$47*0.173))+0.20*SIN(2*PI()*(((A117)+(Inputs!$C$6))/(0.5*(Inputs!$C$49+Inputs!$C$50))+Inputs!$C$47*0.097)))+0.30*(2*((SIN(((A117)*12.9898+(Inputs!$C$6)*78.233+Inputs!$C$47*37.719))*43758.5453)-INT((SIN(((A117)*12.9898+(Inputs!$C$6)*78.233+Inputs!$C$47*37.719))*43758.5453)))-1)))</x:f>
        <x:v>420.97624209793275</x:v>
      </x:c>
      <x:c r="Z117" s="48" t="n">
        <x:f>B117-X117/1000</x:f>
        <x:v>400.05677893740307</x:v>
      </x:c>
      <x:c r="AA117" s="48" t="n">
        <x:f>SQRT(A117^2+Inputs!$C$6^2+(B117-Y117/1000)^2)</x:f>
        <x:v>400.37506913418906</x:v>
      </x:c>
      <x:c r="AB117" s="48" t="n">
        <x:f>(AA117-Z117)*1000</x:f>
        <x:v>318.2901967859948</x:v>
      </x:c>
      <x:c r="AC117" s="48" t="n">
        <x:f>AB117/Inputs!$C$12</x:f>
        <x:v>178.8147172955027</x:v>
      </x:c>
      <x:c r="AD117" s="48" t="n">
        <x:f>2*AB117/Inputs!$C$21*1000000</x:f>
        <x:v>2.1234036300272425</x:v>
      </x:c>
      <x:c r="AE117" s="48" t="n">
        <x:f>DEGREES(ATAN(H117/(B117-Y117/1000)))</x:f>
        <x:v>3.5978392075694425</x:v>
      </x:c>
      <x:c r="AF117" s="48" t="n">
        <x:f>DEGREES((2*PI()/Inputs!$C$13)*Inputs!$C$15*SIN(RADIANS(AE117)))</x:f>
        <x:v>22.591037145665354</x:v>
      </x:c>
      <x:c r="AG117" s="48" t="n">
        <x:f>(Z117/AA117)^4</x:f>
        <x:v>0.996823869707464</x:v>
      </x:c>
      <x:c r="AH117" s="48" t="n">
        <x:f>10*LOG10(AG117)</x:f>
        <x:v>-0.0138157104794875</x:v>
      </x:c>
      <x:c r="AI117" s="48" t="n">
        <x:f>AC117-F117</x:f>
        <x:v>-264.0347762964763</x:v>
      </x:c>
      <x:c r="AJ117" s="48" t="n">
        <x:f>AD117-G117</x:f>
        <x:v>-3.1353817567200295</x:v>
      </x:c>
      <x:c r="AK117" s="48" t="n">
        <x:f>Y117-X117</x:f>
        <x:v>470.8107350565689</x:v>
      </x:c>
      <x:c r="AL117" s="48" t="n">
        <x:f>1000*(AA118-AA116)/(A118-A116)*Inputs!$C$11</x:f>
        <x:v>-110.37285230668203</x:v>
      </x:c>
      <x:c r="AM117" s="48" t="n">
        <x:f>-2*AL117/Inputs!$C$13</x:f>
        <x:v>44.149140922672814</x:v>
      </x:c>
      <x:c r="AN117" s="48" t="n">
        <x:f>-2*AL117/Inputs!$C$14</x:f>
        <x:v>6.629000138539462</x:v>
      </x:c>
      <x:c r="AO117" s="48" t="n">
        <x:f>ABS(AM117)</x:f>
        <x:v>44.149140922672814</x:v>
      </x:c>
      <x:c r="AP117" s="48" t="n">
        <x:f>ABS(AN117)</x:f>
        <x:v>6.629000138539462</x:v>
      </x:c>
      <x:c r="AQ117" s="48" t="n">
        <x:f>IF(OR(Inputs!$C$27=TRUE,Inputs!$C$27="TRUE",Inputs!$C$27=1),Inputs!$C$46/Inputs!$C$12,0)</x:f>
        <x:v>42.13483146067416</x:v>
      </x:c>
      <x:c r="AR117" s="48" t="n">
        <x:f>AC117-AQ117</x:f>
        <x:v>136.67988583482855</x:v>
      </x:c>
      <x:c r="AS117" s="48" t="n">
        <x:f>AC117+AQ117</x:f>
        <x:v>220.94954875617685</x:v>
      </x:c>
    </x:row>
    <x:row r="118">
      <x:c r="A118" s="48" t="n">
        <x:f>Inputs!$C$7+116*(Inputs!$C$8-Inputs!$C$7)/240</x:f>
        <x:v>-2</x:v>
      </x:c>
      <x:c r="B118" s="48" t="n">
        <x:f>Inputs!$C$5+Inputs!$C$9*(A118/Inputs!$C$10)^2</x:f>
        <x:v>400.00444444444446</x:v>
      </x:c>
      <x:c r="C118" s="48" t="n">
        <x:f>B118</x:f>
        <x:v>400.00444444444446</x:v>
      </x:c>
      <x:c r="D118" s="48" t="n">
        <x:f>SQRT(A118^2+Inputs!$C$6^2+B118^2)</x:f>
        <x:v>400.78991451296355</x:v>
      </x:c>
      <x:c r="E118" s="48" t="n">
        <x:f>(D118-C118)*1000</x:f>
        <x:v>785.4700685190892</x:v>
      </x:c>
      <x:c r="F118" s="48" t="n">
        <x:f>E118/Inputs!$C$12</x:f>
        <x:v>441.2753193927467</x:v>
      </x:c>
      <x:c r="G118" s="48" t="n">
        <x:f>2*E118/Inputs!$C$21*1000000</x:f>
        <x:v>5.24009225421601</x:v>
      </x:c>
      <x:c r="H118" s="48" t="n">
        <x:f>SQRT(A118^2+Inputs!$C$6^2)</x:f>
        <x:v>25.079872407968907</x:v>
      </x:c>
      <x:c r="I118" s="48" t="n">
        <x:f>DEGREES(ATAN(H118/B118))</x:f>
        <x:v>3.5876908367118427</x:v>
      </x:c>
      <x:c r="J118" s="48" t="n">
        <x:f>DEGREES((2*PI()/Inputs!$C$13)*Inputs!$C$15*SIN(RADIANS(I118)))</x:f>
        <x:v>22.52739836989279</x:v>
      </x:c>
      <x:c r="K118" s="48" t="n">
        <x:f>(C118/D118)^4</x:f>
        <x:v>0.9921837950175804</x:v>
      </x:c>
      <x:c r="L118" s="48" t="n">
        <x:f>10*LOG10(K118)</x:f>
        <x:v>-0.034078704180717595</x:v>
      </x:c>
      <x:c r="M118" s="48" t="n">
        <x:f>2*(Inputs!$C$9/(Inputs!$C$10^2))*A118</x:f>
        <x:v>-0.0044444444444444444</x:v>
      </x:c>
      <x:c r="N118" s="48" t="n">
        <x:f>M118*Inputs!$C$11</x:f>
        <x:v>-0.017777777777777778</x:v>
      </x:c>
      <x:c r="O118" s="48" t="n">
        <x:f>1000*((A118*Inputs!$C$11)+(B118*N118))/D118</x:f>
        <x:v>-37.70351891668676</x:v>
      </x:c>
      <x:c r="P118" s="48" t="n">
        <x:f>-2*O118/Inputs!$C$13</x:f>
        <x:v>15.081407566674704</x:v>
      </x:c>
      <x:c r="Q118" s="48" t="n">
        <x:f>-2*O118/Inputs!$C$14</x:f>
        <x:v>2.2644756106118176</x:v>
      </x:c>
      <x:c r="R118" s="48" t="n">
        <x:f>F118-Inputs!$C$16/2</x:f>
        <x:v>426.2753193927467</x:v>
      </x:c>
      <x:c r="S118" s="48" t="n">
        <x:f>F118+Inputs!$C$16/2</x:f>
        <x:v>456.2753193927467</x:v>
      </x:c>
      <x:c r="T118" s="48" t="n">
        <x:f>F118-Inputs!$C$17/2</x:f>
        <x:v>291.2753193927467</x:v>
      </x:c>
      <x:c r="U118" s="48" t="n">
        <x:f>F118+Inputs!$C$17/2</x:f>
        <x:v>591.2753193927467</x:v>
      </x:c>
      <x:c r="V118" s="48" t="n">
        <x:f>ABS(P118)</x:f>
        <x:v>15.081407566674704</x:v>
      </x:c>
      <x:c r="W118" s="48" t="n">
        <x:f>ABS(Q118)</x:f>
        <x:v>2.2644756106118176</x:v>
      </x:c>
      <x:c r="X118" s="48" t="n">
        <x: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(0.45*SIN(2*PI()*(((A118)/Inputs!$C$49)+Inputs!$C$47*0.137))+0.35*COS(2*PI()*(((0)/Inputs!$C$50)+Inputs!$C$47*0.173))+0.20*SIN(2*PI()*(((A118)+(0))/(0.5*(Inputs!$C$49+Inputs!$C$50))+Inputs!$C$47*0.097)))+0.30*(2*((SIN(((A118)*12.9898+(0)*78.233+Inputs!$C$47*37.719))*43758.5453)-INT((SIN(((A118)*12.9898+(0)*78.233+Inputs!$C$47*37.719))*43758.5453)))-1)))</x:f>
        <x:v>-59.60727995622125</x:v>
      </x:c>
      <x:c r="Y118" s="48" t="n">
        <x: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(0.45*SIN(2*PI()*(((A118)/Inputs!$C$49)+Inputs!$C$47*0.137))+0.35*COS(2*PI()*(((Inputs!$C$6)/Inputs!$C$50)+Inputs!$C$47*0.173))+0.20*SIN(2*PI()*(((A118)+(Inputs!$C$6))/(0.5*(Inputs!$C$49+Inputs!$C$50))+Inputs!$C$47*0.097)))+0.30*(2*((SIN(((A118)*12.9898+(Inputs!$C$6)*78.233+Inputs!$C$47*37.719))*43758.5453)-INT((SIN(((A118)*12.9898+(Inputs!$C$6)*78.233+Inputs!$C$47*37.719))*43758.5453)))-1)))</x:f>
        <x:v>435.98300826713626</x:v>
      </x:c>
      <x:c r="Z118" s="48" t="n">
        <x:f>B118-X118/1000</x:f>
        <x:v>400.06405172440066</x:v>
      </x:c>
      <x:c r="AA118" s="48" t="n">
        <x:f>SQRT(A118^2+Inputs!$C$6^2+(B118-Y118/1000)^2)</x:f>
        <x:v>400.3547868759332</x:v>
      </x:c>
      <x:c r="AB118" s="48" t="n">
        <x:f>(AA118-Z118)*1000</x:f>
        <x:v>290.7351515325445</x:v>
      </x:c>
      <x:c r="AC118" s="48" t="n">
        <x:f>AB118/Inputs!$C$12</x:f>
        <x:v>163.3343547935643</x:v>
      </x:c>
      <x:c r="AD118" s="48" t="n">
        <x:f>2*AB118/Inputs!$C$21*1000000</x:f>
        <x:v>1.9395761552650168</x:v>
      </x:c>
      <x:c r="AE118" s="48" t="n">
        <x:f>DEGREES(ATAN(H118/(B118-Y118/1000)))</x:f>
        <x:v>3.5915952493438987</x:v>
      </x:c>
      <x:c r="AF118" s="48" t="n">
        <x:f>DEGREES((2*PI()/Inputs!$C$13)*Inputs!$C$15*SIN(RADIANS(AE118)))</x:f>
        <x:v>22.55188238742539</x:v>
      </x:c>
      <x:c r="AG118" s="48" t="n">
        <x:f>(Z118/AA118)^4</x:f>
        <x:v>0.9970983875376224</x:v>
      </x:c>
      <x:c r="AH118" s="48" t="n">
        <x:f>10*LOG10(AG118)</x:f>
        <x:v>-0.0126198606499173</x:v>
      </x:c>
      <x:c r="AI118" s="48" t="n">
        <x:f>AC118-F118</x:f>
        <x:v>-277.9409645991824</x:v>
      </x:c>
      <x:c r="AJ118" s="48" t="n">
        <x:f>AD118-G118</x:f>
        <x:v>-3.300516098950993</x:v>
      </x:c>
      <x:c r="AK118" s="48" t="n">
        <x:f>Y118-X118</x:f>
        <x:v>495.5902882233575</x:v>
      </x:c>
      <x:c r="AL118" s="48" t="n">
        <x:f>1000*(AA119-AA117)/(A119-A117)*Inputs!$C$11</x:f>
        <x:v>-78.16325089697784</x:v>
      </x:c>
      <x:c r="AM118" s="48" t="n">
        <x:f>-2*AL118/Inputs!$C$13</x:f>
        <x:v>31.265300358791137</x:v>
      </x:c>
      <x:c r="AN118" s="48" t="n">
        <x:f>-2*AL118/Inputs!$C$14</x:f>
        <x:v>4.694489543362033</x:v>
      </x:c>
      <x:c r="AO118" s="48" t="n">
        <x:f>ABS(AM118)</x:f>
        <x:v>31.265300358791137</x:v>
      </x:c>
      <x:c r="AP118" s="48" t="n">
        <x:f>ABS(AN118)</x:f>
        <x:v>4.694489543362033</x:v>
      </x:c>
      <x:c r="AQ118" s="48" t="n">
        <x:f>IF(OR(Inputs!$C$27=TRUE,Inputs!$C$27="TRUE",Inputs!$C$27=1),Inputs!$C$46/Inputs!$C$12,0)</x:f>
        <x:v>42.13483146067416</x:v>
      </x:c>
      <x:c r="AR118" s="48" t="n">
        <x:f>AC118-AQ118</x:f>
        <x:v>121.19952333289015</x:v>
      </x:c>
      <x:c r="AS118" s="48" t="n">
        <x:f>AC118+AQ118</x:f>
        <x:v>205.46918625423845</x:v>
      </x:c>
    </x:row>
    <x:row r="119">
      <x:c r="A119" s="48" t="n">
        <x:f>Inputs!$C$7+117*(Inputs!$C$8-Inputs!$C$7)/240</x:f>
        <x:v>-1.5</x:v>
      </x:c>
      <x:c r="B119" s="48" t="n">
        <x:f>Inputs!$C$5+Inputs!$C$9*(A119/Inputs!$C$10)^2</x:f>
        <x:v>400.0025</x:v>
      </x:c>
      <x:c r="C119" s="48" t="n">
        <x:f>B119</x:f>
        <x:v>400.0025</x:v>
      </x:c>
      <x:c r="D119" s="48" t="n">
        <x:f>SQRT(A119^2+Inputs!$C$6^2+B119^2)</x:f>
        <x:v>400.78579067408316</x:v>
      </x:c>
      <x:c r="E119" s="48" t="n">
        <x:f>(D119-C119)*1000</x:f>
        <x:v>783.2906740831618</x:v>
      </x:c>
      <x:c r="F119" s="48" t="n">
        <x:f>E119/Inputs!$C$12</x:f>
        <x:v>440.0509404961583</x:v>
      </x:c>
      <x:c r="G119" s="48" t="n">
        <x:f>2*E119/Inputs!$C$21*1000000</x:f>
        <x:v>5.2255528995540095</x:v>
      </x:c>
      <x:c r="H119" s="48" t="n">
        <x:f>SQRT(A119^2+Inputs!$C$6^2)</x:f>
        <x:v>25.04495957273639</x:v>
      </x:c>
      <x:c r="I119" s="48" t="n">
        <x:f>DEGREES(ATAN(H119/B119))</x:f>
        <x:v>3.582726922473895</x:v>
      </x:c>
      <x:c r="J119" s="48" t="n">
        <x:f>DEGREES((2*PI()/Inputs!$C$13)*Inputs!$C$15*SIN(RADIANS(I119)))</x:f>
        <x:v>22.49627021711709</x:v>
      </x:c>
      <x:c r="K119" s="48" t="n">
        <x:f>(C119/D119)^4</x:f>
        <x:v>0.992205338586216</x:v>
      </x:c>
      <x:c r="L119" s="48" t="n">
        <x:f>10*LOG10(K119)</x:f>
        <x:v>-0.033984405609728</x:v>
      </x:c>
      <x:c r="M119" s="48" t="n">
        <x:f>2*(Inputs!$C$9/(Inputs!$C$10^2))*A119</x:f>
        <x:v>-0.003333333333333333</x:v>
      </x:c>
      <x:c r="N119" s="48" t="n">
        <x:f>M119*Inputs!$C$11</x:f>
        <x:v>-0.013333333333333332</x:v>
      </x:c>
      <x:c r="O119" s="48" t="n">
        <x:f>1000*((A119*Inputs!$C$11)+(B119*N119))/D119</x:f>
        <x:v>-28.277865459264497</x:v>
      </x:c>
      <x:c r="P119" s="48" t="n">
        <x:f>-2*O119/Inputs!$C$13</x:f>
        <x:v>11.311146183705798</x:v>
      </x:c>
      <x:c r="Q119" s="48" t="n">
        <x:f>-2*O119/Inputs!$C$14</x:f>
        <x:v>1.6983702978537236</x:v>
      </x:c>
      <x:c r="R119" s="48" t="n">
        <x:f>F119-Inputs!$C$16/2</x:f>
        <x:v>425.0509404961583</x:v>
      </x:c>
      <x:c r="S119" s="48" t="n">
        <x:f>F119+Inputs!$C$16/2</x:f>
        <x:v>455.0509404961583</x:v>
      </x:c>
      <x:c r="T119" s="48" t="n">
        <x:f>F119-Inputs!$C$17/2</x:f>
        <x:v>290.0509404961583</x:v>
      </x:c>
      <x:c r="U119" s="48" t="n">
        <x:f>F119+Inputs!$C$17/2</x:f>
        <x:v>590.0509404961583</x:v>
      </x:c>
      <x:c r="V119" s="48" t="n">
        <x:f>ABS(P119)</x:f>
        <x:v>11.311146183705798</x:v>
      </x:c>
      <x:c r="W119" s="48" t="n">
        <x:f>ABS(Q119)</x:f>
        <x:v>1.6983702978537236</x:v>
      </x:c>
      <x:c r="X119" s="48" t="n">
        <x: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(0.45*SIN(2*PI()*(((A119)/Inputs!$C$49)+Inputs!$C$47*0.137))+0.35*COS(2*PI()*(((0)/Inputs!$C$50)+Inputs!$C$47*0.173))+0.20*SIN(2*PI()*(((A119)+(0))/(0.5*(Inputs!$C$49+Inputs!$C$50))+Inputs!$C$47*0.097)))+0.30*(2*((SIN(((A119)*12.9898+(0)*78.233+Inputs!$C$47*37.719))*43758.5453)-INT((SIN(((A119)*12.9898+(0)*78.233+Inputs!$C$47*37.719))*43758.5453)))-1)))</x:f>
        <x:v>-34.15455011761312</x:v>
      </x:c>
      <x:c r="Y119" s="48" t="n">
        <x: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(0.45*SIN(2*PI()*(((A119)/Inputs!$C$49)+Inputs!$C$47*0.137))+0.35*COS(2*PI()*(((Inputs!$C$6)/Inputs!$C$50)+Inputs!$C$47*0.173))+0.20*SIN(2*PI()*(((A119)+(Inputs!$C$6))/(0.5*(Inputs!$C$49+Inputs!$C$50))+Inputs!$C$47*0.097)))+0.30*(2*((SIN(((A119)*12.9898+(Inputs!$C$6)*78.233+Inputs!$C$47*37.719))*43758.5453)-INT((SIN(((A119)*12.9898+(Inputs!$C$6)*78.233+Inputs!$C$47*37.719))*43758.5453)))-1)))</x:f>
        <x:v>431.10580672292525</x:v>
      </x:c>
      <x:c r="Z119" s="48" t="n">
        <x:f>B119-X119/1000</x:f>
        <x:v>400.0366545501176</x:v>
      </x:c>
      <x:c r="AA119" s="48" t="n">
        <x:f>SQRT(A119^2+Inputs!$C$6^2+(B119-Y119/1000)^2)</x:f>
        <x:v>400.3555283214648</x:v>
      </x:c>
      <x:c r="AB119" s="48" t="n">
        <x:f>(AA119-Z119)*1000</x:f>
        <x:v>318.87377134722783</x:v>
      </x:c>
      <x:c r="AC119" s="48" t="n">
        <x:f>AB119/Inputs!$C$12</x:f>
        <x:v>179.1425681725999</x:v>
      </x:c>
      <x:c r="AD119" s="48" t="n">
        <x:f>2*AB119/Inputs!$C$21*1000000</x:f>
        <x:v>2.1272968204372096</x:v>
      </x:c>
      <x:c r="AE119" s="48" t="n">
        <x:f>DEGREES(ATAN(H119/(B119-Y119/1000)))</x:f>
        <x:v>3.5865823158301713</x:v>
      </x:c>
      <x:c r="AF119" s="48" t="n">
        <x:f>DEGREES((2*PI()/Inputs!$C$13)*Inputs!$C$15*SIN(RADIANS(AE119)))</x:f>
        <x:v>22.520446973684773</x:v>
      </x:c>
      <x:c r="AG119" s="48" t="n">
        <x:f>(Z119/AA119)^4</x:f>
        <x:v>0.996817898214339</x:v>
      </x:c>
      <x:c r="AH119" s="48" t="n">
        <x:f>10*LOG10(AG119)</x:f>
        <x:v>-0.013841727054327</x:v>
      </x:c>
      <x:c r="AI119" s="48" t="n">
        <x:f>AC119-F119</x:f>
        <x:v>-260.9083723235584</x:v>
      </x:c>
      <x:c r="AJ119" s="48" t="n">
        <x:f>AD119-G119</x:f>
        <x:v>-3.0982560791168</x:v>
      </x:c>
      <x:c r="AK119" s="48" t="n">
        <x:f>Y119-X119</x:f>
        <x:v>465.26035684053835</x:v>
      </x:c>
      <x:c r="AL119" s="48" t="n">
        <x:f>1000*(AA120-AA118)/(A120-A118)*Inputs!$C$11</x:f>
        <x:v>-48.30047041855323</x:v>
      </x:c>
      <x:c r="AM119" s="48" t="n">
        <x:f>-2*AL119/Inputs!$C$13</x:f>
        <x:v>19.320188167421293</x:v>
      </x:c>
      <x:c r="AN119" s="48" t="n">
        <x:f>-2*AL119/Inputs!$C$14</x:f>
        <x:v>2.9009291542674616</x:v>
      </x:c>
      <x:c r="AO119" s="48" t="n">
        <x:f>ABS(AM119)</x:f>
        <x:v>19.320188167421293</x:v>
      </x:c>
      <x:c r="AP119" s="48" t="n">
        <x:f>ABS(AN119)</x:f>
        <x:v>2.9009291542674616</x:v>
      </x:c>
      <x:c r="AQ119" s="48" t="n">
        <x:f>IF(OR(Inputs!$C$27=TRUE,Inputs!$C$27="TRUE",Inputs!$C$27=1),Inputs!$C$46/Inputs!$C$12,0)</x:f>
        <x:v>42.13483146067416</x:v>
      </x:c>
      <x:c r="AR119" s="48" t="n">
        <x:f>AC119-AQ119</x:f>
        <x:v>137.00773671192576</x:v>
      </x:c>
      <x:c r="AS119" s="48" t="n">
        <x:f>AC119+AQ119</x:f>
        <x:v>221.27739963327406</x:v>
      </x:c>
    </x:row>
    <x:row r="120">
      <x:c r="A120" s="48" t="n">
        <x:f>Inputs!$C$7+118*(Inputs!$C$8-Inputs!$C$7)/240</x:f>
        <x:v>-1</x:v>
      </x:c>
      <x:c r="B120" s="48" t="n">
        <x:f>Inputs!$C$5+Inputs!$C$9*(A120/Inputs!$C$10)^2</x:f>
        <x:v>400.00111111111113</x:v>
      </x:c>
      <x:c r="C120" s="48" t="n">
        <x:f>B120</x:f>
        <x:v>400.00111111111113</x:v>
      </x:c>
      <x:c r="D120" s="48" t="n">
        <x:f>SQRT(A120^2+Inputs!$C$6^2+B120^2)</x:f>
        <x:v>400.7828450546798</x:v>
      </x:c>
      <x:c r="E120" s="48" t="n">
        <x:f>(D120-C120)*1000</x:f>
        <x:v>781.7339435686677</x:v>
      </x:c>
      <x:c r="F120" s="48" t="n">
        <x:f>E120/Inputs!$C$12</x:f>
        <x:v>439.1763727913863</x:v>
      </x:c>
      <x:c r="G120" s="48" t="n">
        <x:f>2*E120/Inputs!$C$21*1000000</x:f>
        <x:v>5.215167511443318</x:v>
      </x:c>
      <x:c r="H120" s="48" t="n">
        <x:f>SQRT(A120^2+Inputs!$C$6^2)</x:f>
        <x:v>25.019992006393608</x:v>
      </x:c>
      <x:c r="I120" s="48" t="n">
        <x:f>DEGREES(ATAN(H120/B120))</x:f>
        <x:v>3.5791769511981175</x:v>
      </x:c>
      <x:c r="J120" s="48" t="n">
        <x:f>DEGREES((2*PI()/Inputs!$C$13)*Inputs!$C$15*SIN(RADIANS(I120)))</x:f>
        <x:v>22.474008639448687</x:v>
      </x:c>
      <x:c r="K120" s="48" t="n">
        <x:f>(C120/D120)^4</x:f>
        <x:v>0.9922207275358317</x:v>
      </x:c>
      <x:c r="L120" s="48" t="n">
        <x:f>10*LOG10(K120)</x:f>
        <x:v>-0.0339170477371962</x:v>
      </x:c>
      <x:c r="M120" s="48" t="n">
        <x:f>2*(Inputs!$C$9/(Inputs!$C$10^2))*A120</x:f>
        <x:v>-0.0022222222222222222</x:v>
      </x:c>
      <x:c r="N120" s="48" t="n">
        <x:f>M120*Inputs!$C$11</x:f>
        <x:v>-0.008888888888888889</x:v>
      </x:c>
      <x:c r="O120" s="48" t="n">
        <x:f>1000*((A120*Inputs!$C$11)+(B120*N120))/D120</x:f>
        <x:v>-18.852018057479334</x:v>
      </x:c>
      <x:c r="P120" s="48" t="n">
        <x:f>-2*O120/Inputs!$C$13</x:f>
        <x:v>7.540807222991734</x:v>
      </x:c>
      <x:c r="Q120" s="48" t="n">
        <x:f>-2*O120/Inputs!$C$14</x:f>
        <x:v>1.1322533367855456</x:v>
      </x:c>
      <x:c r="R120" s="48" t="n">
        <x:f>F120-Inputs!$C$16/2</x:f>
        <x:v>424.1763727913863</x:v>
      </x:c>
      <x:c r="S120" s="48" t="n">
        <x:f>F120+Inputs!$C$16/2</x:f>
        <x:v>454.1763727913863</x:v>
      </x:c>
      <x:c r="T120" s="48" t="n">
        <x:f>F120-Inputs!$C$17/2</x:f>
        <x:v>289.1763727913863</x:v>
      </x:c>
      <x:c r="U120" s="48" t="n">
        <x:f>F120+Inputs!$C$17/2</x:f>
        <x:v>589.1763727913863</x:v>
      </x:c>
      <x:c r="V120" s="48" t="n">
        <x:f>ABS(P120)</x:f>
        <x:v>7.540807222991734</x:v>
      </x:c>
      <x:c r="W120" s="48" t="n">
        <x:f>ABS(Q120)</x:f>
        <x:v>1.1322533367855456</x:v>
      </x:c>
      <x:c r="X120" s="48" t="n">
        <x: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(0.45*SIN(2*PI()*(((A120)/Inputs!$C$49)+Inputs!$C$47*0.137))+0.35*COS(2*PI()*(((0)/Inputs!$C$50)+Inputs!$C$47*0.173))+0.20*SIN(2*PI()*(((A120)+(0))/(0.5*(Inputs!$C$49+Inputs!$C$50))+Inputs!$C$47*0.097)))+0.30*(2*((SIN(((A120)*12.9898+(0)*78.233+Inputs!$C$47*37.719))*43758.5453)-INT((SIN(((A120)*12.9898+(0)*78.233+Inputs!$C$47*37.719))*43758.5453)))-1)))</x:f>
        <x:v>-38.26579288799343</x:v>
      </x:c>
      <x:c r="Y120" s="48" t="n">
        <x: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(0.45*SIN(2*PI()*(((A120)/Inputs!$C$49)+Inputs!$C$47*0.137))+0.35*COS(2*PI()*(((Inputs!$C$6)/Inputs!$C$50)+Inputs!$C$47*0.173))+0.20*SIN(2*PI()*(((A120)+(Inputs!$C$6))/(0.5*(Inputs!$C$49+Inputs!$C$50))+Inputs!$C$47*0.097)))+0.30*(2*((SIN(((A120)*12.9898+(Inputs!$C$6)*78.233+Inputs!$C$47*37.719))*43758.5453)-INT((SIN(((A120)*12.9898+(Inputs!$C$6)*78.233+Inputs!$C$47*37.719))*43758.5453)))-1)))</x:f>
        <x:v>440.9944102420088</x:v>
      </x:c>
      <x:c r="Z120" s="48" t="n">
        <x:f>B120-X120/1000</x:f>
        <x:v>400.03937690399914</x:v>
      </x:c>
      <x:c r="AA120" s="48" t="n">
        <x:f>SQRT(A120^2+Inputs!$C$6^2+(B120-Y120/1000)^2)</x:f>
        <x:v>400.34271175832856</x:v>
      </x:c>
      <x:c r="AB120" s="48" t="n">
        <x:f>(AA120-Z120)*1000</x:f>
        <x:v>303.334854329421</x:v>
      </x:c>
      <x:c r="AC120" s="48" t="n">
        <x:f>AB120/Inputs!$C$12</x:f>
        <x:v>170.41283951091066</x:v>
      </x:c>
      <x:c r="AD120" s="48" t="n">
        <x:f>2*AB120/Inputs!$C$21*1000000</x:f>
        <x:v>2.023632324529131</x:v>
      </x:c>
      <x:c r="AE120" s="48" t="n">
        <x:f>DEGREES(ATAN(H120/(B120-Y120/1000)))</x:f>
        <x:v>3.583117002109058</x:v>
      </x:c>
      <x:c r="AF120" s="48" t="n">
        <x:f>DEGREES((2*PI()/Inputs!$C$13)*Inputs!$C$15*SIN(RADIANS(AE120)))</x:f>
        <x:v>22.498716369136744</x:v>
      </x:c>
      <x:c r="AG120" s="48" t="n">
        <x:f>(Z120/AA120)^4</x:f>
        <x:v>0.9969726909491613</x:v>
      </x:c>
      <x:c r="AH120" s="48" t="n">
        <x:f>10*LOG10(AG120)</x:f>
        <x:v>-0.013167377089265499</x:v>
      </x:c>
      <x:c r="AI120" s="48" t="n">
        <x:f>AC120-F120</x:f>
        <x:v>-268.76353328047566</x:v>
      </x:c>
      <x:c r="AJ120" s="48" t="n">
        <x:f>AD120-G120</x:f>
        <x:v>-3.191535186914187</x:v>
      </x:c>
      <x:c r="AK120" s="48" t="n">
        <x:f>Y120-X120</x:f>
        <x:v>479.26020313000225</x:v>
      </x:c>
      <x:c r="AL120" s="48" t="n">
        <x:f>1000*(AA121-AA119)/(A121-A119)*Inputs!$C$11</x:f>
        <x:v>-191.03376617817958</x:v>
      </x:c>
      <x:c r="AM120" s="48" t="n">
        <x:f>-2*AL120/Inputs!$C$13</x:f>
        <x:v>76.41350647127183</x:v>
      </x:c>
      <x:c r="AN120" s="48" t="n">
        <x:f>-2*AL120/Inputs!$C$14</x:f>
        <x:v>11.473499470160936</x:v>
      </x:c>
      <x:c r="AO120" s="48" t="n">
        <x:f>ABS(AM120)</x:f>
        <x:v>76.41350647127183</x:v>
      </x:c>
      <x:c r="AP120" s="48" t="n">
        <x:f>ABS(AN120)</x:f>
        <x:v>11.473499470160936</x:v>
      </x:c>
      <x:c r="AQ120" s="48" t="n">
        <x:f>IF(OR(Inputs!$C$27=TRUE,Inputs!$C$27="TRUE",Inputs!$C$27=1),Inputs!$C$46/Inputs!$C$12,0)</x:f>
        <x:v>42.13483146067416</x:v>
      </x:c>
      <x:c r="AR120" s="48" t="n">
        <x:f>AC120-AQ120</x:f>
        <x:v>128.2780080502365</x:v>
      </x:c>
      <x:c r="AS120" s="48" t="n">
        <x:f>AC120+AQ120</x:f>
        <x:v>212.5476709715848</x:v>
      </x:c>
    </x:row>
    <x:row r="121">
      <x:c r="A121" s="48" t="n">
        <x:f>Inputs!$C$7+119*(Inputs!$C$8-Inputs!$C$7)/240</x:f>
        <x:v>-0.5</x:v>
      </x:c>
      <x:c r="B121" s="48" t="n">
        <x:f>Inputs!$C$5+Inputs!$C$9*(A121/Inputs!$C$10)^2</x:f>
        <x:v>400.0002777777778</x:v>
      </x:c>
      <x:c r="C121" s="48" t="n">
        <x:f>B121</x:f>
        <x:v>400.0002777777778</x:v>
      </x:c>
      <x:c r="D121" s="48" t="n">
        <x:f>SQRT(A121^2+Inputs!$C$6^2+B121^2)</x:f>
        <x:v>400.78107767495635</x:v>
      </x:c>
      <x:c r="E121" s="48" t="n">
        <x:f>(D121-C121)*1000</x:f>
        <x:v>780.7998971785537</x:v>
      </x:c>
      <x:c r="F121" s="48" t="n">
        <x:f>E121/Inputs!$C$12</x:f>
        <x:v>438.65162762840095</x:v>
      </x:c>
      <x:c r="G121" s="48" t="n">
        <x:f>2*E121/Inputs!$C$21*1000000</x:f>
        <x:v>5.208936224663488</x:v>
      </x:c>
      <x:c r="H121" s="48" t="n">
        <x:f>SQRT(A121^2+Inputs!$C$6^2)</x:f>
        <x:v>25.004999500099974</x:v>
      </x:c>
      <x:c r="I121" s="48" t="n">
        <x:f>DEGREES(ATAN(H121/B121))</x:f>
        <x:v>3.5770452359901275</x:v>
      </x:c>
      <x:c r="J121" s="48" t="n">
        <x:f>DEGREES((2*PI()/Inputs!$C$13)*Inputs!$C$15*SIN(RADIANS(I121)))</x:f>
        <x:v>22.46064078737939</x:v>
      </x:c>
      <x:c r="K121" s="48" t="n">
        <x:f>(C121/D121)^4</x:f>
        <x:v>0.9922299611801368</x:v>
      </x:c>
      <x:c r="L121" s="48" t="n">
        <x:f>10*LOG10(K121)</x:f>
        <x:v>-0.0338766323134981</x:v>
      </x:c>
      <x:c r="M121" s="48" t="n">
        <x:f>2*(Inputs!$C$9/(Inputs!$C$10^2))*A121</x:f>
        <x:v>-0.0011111111111111111</x:v>
      </x:c>
      <x:c r="N121" s="48" t="n">
        <x:f>M121*Inputs!$C$11</x:f>
        <x:v>-0.0044444444444444444</x:v>
      </x:c>
      <x:c r="O121" s="48" t="n">
        <x:f>1000*((A121*Inputs!$C$11)+(B121*N121))/D121</x:f>
        <x:v>-9.426041354700766</x:v>
      </x:c>
      <x:c r="P121" s="48" t="n">
        <x:f>-2*O121/Inputs!$C$13</x:f>
        <x:v>3.7704165418803064</x:v>
      </x:c>
      <x:c r="Q121" s="48" t="n">
        <x:f>-2*O121/Inputs!$C$14</x:f>
        <x:v>0.5661286098919379</x:v>
      </x:c>
      <x:c r="R121" s="48" t="n">
        <x:f>F121-Inputs!$C$16/2</x:f>
        <x:v>423.65162762840095</x:v>
      </x:c>
      <x:c r="S121" s="48" t="n">
        <x:f>F121+Inputs!$C$16/2</x:f>
        <x:v>453.65162762840095</x:v>
      </x:c>
      <x:c r="T121" s="48" t="n">
        <x:f>F121-Inputs!$C$17/2</x:f>
        <x:v>288.65162762840095</x:v>
      </x:c>
      <x:c r="U121" s="48" t="n">
        <x:f>F121+Inputs!$C$17/2</x:f>
        <x:v>588.651627628401</x:v>
      </x:c>
      <x:c r="V121" s="48" t="n">
        <x:f>ABS(P121)</x:f>
        <x:v>3.7704165418803064</x:v>
      </x:c>
      <x:c r="W121" s="48" t="n">
        <x:f>ABS(Q121)</x:f>
        <x:v>0.5661286098919379</x:v>
      </x:c>
      <x:c r="X121" s="48" t="n">
        <x: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(0.45*SIN(2*PI()*(((A121)/Inputs!$C$49)+Inputs!$C$47*0.137))+0.35*COS(2*PI()*(((0)/Inputs!$C$50)+Inputs!$C$47*0.173))+0.20*SIN(2*PI()*(((A121)+(0))/(0.5*(Inputs!$C$49+Inputs!$C$50))+Inputs!$C$47*0.097)))+0.30*(2*((SIN(((A121)*12.9898+(0)*78.233+Inputs!$C$47*37.719))*43758.5453)-INT((SIN(((A121)*12.9898+(0)*78.233+Inputs!$C$47*37.719))*43758.5453)))-1)))</x:f>
        <x:v>-15.949828195457984</x:v>
      </x:c>
      <x:c r="Y121" s="48" t="n">
        <x: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(0.45*SIN(2*PI()*(((A121)/Inputs!$C$49)+Inputs!$C$47*0.137))+0.35*COS(2*PI()*(((Inputs!$C$6)/Inputs!$C$50)+Inputs!$C$47*0.173))+0.20*SIN(2*PI()*(((A121)+(Inputs!$C$6))/(0.5*(Inputs!$C$49+Inputs!$C$50))+Inputs!$C$47*0.097)))+0.30*(2*((SIN(((A121)*12.9898+(Inputs!$C$6)*78.233+Inputs!$C$47*37.719))*43758.5453)-INT((SIN(((A121)*12.9898+(Inputs!$C$6)*78.233+Inputs!$C$47*37.719))*43758.5453)))-1)))</x:f>
        <x:v>474.23278667183286</x:v>
      </x:c>
      <x:c r="Z121" s="48" t="n">
        <x:f>B121-X121/1000</x:f>
        <x:v>400.01622760597326</x:v>
      </x:c>
      <x:c r="AA121" s="48" t="n">
        <x:f>SQRT(A121^2+Inputs!$C$6^2+(B121-Y121/1000)^2)</x:f>
        <x:v>400.3077698799203</x:v>
      </x:c>
      <x:c r="AB121" s="48" t="n">
        <x:f>(AA121-Z121)*1000</x:f>
        <x:v>291.54227394701593</x:v>
      </x:c>
      <x:c r="AC121" s="48" t="n">
        <x:f>AB121/Inputs!$C$12</x:f>
        <x:v>163.78779435225613</x:v>
      </x:c>
      <x:c r="AD121" s="48" t="n">
        <x:f>2*AB121/Inputs!$C$21*1000000</x:f>
        <x:v>1.944960696422963</x:v>
      </x:c>
      <x:c r="AE121" s="48" t="n">
        <x:f>DEGREES(ATAN(H121/(B121-Y121/1000)))</x:f>
        <x:v>3.5812801035288904</x:v>
      </x:c>
      <x:c r="AF121" s="48" t="n">
        <x:f>DEGREES((2*PI()/Inputs!$C$13)*Inputs!$C$15*SIN(RADIANS(AE121)))</x:f>
        <x:v>22.48719734502342</x:v>
      </x:c>
      <x:c r="AG121" s="48" t="n">
        <x:f>(Z121/AA121)^4</x:f>
        <x:v>0.9970899996736475</x:v>
      </x:c>
      <x:c r="AH121" s="48" t="n">
        <x:f>10*LOG10(AG121)</x:f>
        <x:v>-0.0126563948415976</x:v>
      </x:c>
      <x:c r="AI121" s="48" t="n">
        <x:f>AC121-F121</x:f>
        <x:v>-274.8638332761448</x:v>
      </x:c>
      <x:c r="AJ121" s="48" t="n">
        <x:f>AD121-G121</x:f>
        <x:v>-3.2639755282405254</x:v>
      </x:c>
      <x:c r="AK121" s="48" t="n">
        <x:f>Y121-X121</x:f>
        <x:v>490.18261486729085</x:v>
      </x:c>
      <x:c r="AL121" s="48" t="n">
        <x:f>1000*(AA122-AA120)/(A122-A120)*Inputs!$C$11</x:f>
        <x:v>-166.93793273088886</x:v>
      </x:c>
      <x:c r="AM121" s="48" t="n">
        <x:f>-2*AL121/Inputs!$C$13</x:f>
        <x:v>66.77517309235554</x:v>
      </x:c>
      <x:c r="AN121" s="48" t="n">
        <x:f>-2*AL121/Inputs!$C$14</x:f>
        <x:v>10.026302266119451</x:v>
      </x:c>
      <x:c r="AO121" s="48" t="n">
        <x:f>ABS(AM121)</x:f>
        <x:v>66.77517309235554</x:v>
      </x:c>
      <x:c r="AP121" s="48" t="n">
        <x:f>ABS(AN121)</x:f>
        <x:v>10.026302266119451</x:v>
      </x:c>
      <x:c r="AQ121" s="48" t="n">
        <x:f>IF(OR(Inputs!$C$27=TRUE,Inputs!$C$27="TRUE",Inputs!$C$27=1),Inputs!$C$46/Inputs!$C$12,0)</x:f>
        <x:v>42.13483146067416</x:v>
      </x:c>
      <x:c r="AR121" s="48" t="n">
        <x:f>AC121-AQ121</x:f>
        <x:v>121.65296289158198</x:v>
      </x:c>
      <x:c r="AS121" s="48" t="n">
        <x:f>AC121+AQ121</x:f>
        <x:v>205.92262581293028</x:v>
      </x:c>
    </x:row>
    <x:row r="122">
      <x:c r="A122" s="48" t="n">
        <x:f>Inputs!$C$7+120*(Inputs!$C$8-Inputs!$C$7)/240</x:f>
        <x:v>0</x:v>
      </x:c>
      <x:c r="B122" s="48" t="n">
        <x:f>Inputs!$C$5+Inputs!$C$9*(A122/Inputs!$C$10)^2</x:f>
        <x:v>400</x:v>
      </x:c>
      <x:c r="C122" s="48" t="n">
        <x:f>B122</x:f>
        <x:v>400</x:v>
      </x:c>
      <x:c r="D122" s="48" t="n">
        <x:f>SQRT(A122^2+Inputs!$C$6^2+B122^2)</x:f>
        <x:v>400.7804885470349</x:v>
      </x:c>
      <x:c r="E122" s="48" t="n">
        <x:f>(D122-C122)*1000</x:f>
        <x:v>780.4885470349063</x:v>
      </x:c>
      <x:c r="F122" s="48" t="n">
        <x:f>E122/Inputs!$C$12</x:f>
        <x:v>438.4767118173631</x:v>
      </x:c>
      <x:c r="G122" s="48" t="n">
        <x:f>2*E122/Inputs!$C$21*1000000</x:f>
        <x:v>5.206859120084377</x:v>
      </x:c>
      <x:c r="H122" s="48" t="n">
        <x:f>SQRT(A122^2+Inputs!$C$6^2)</x:f>
        <x:v>25</x:v>
      </x:c>
      <x:c r="I122" s="48" t="n">
        <x:f>DEGREES(ATAN(H122/B122))</x:f>
        <x:v>3.5763343749973515</x:v>
      </x:c>
      <x:c r="J122" s="48" t="n">
        <x:f>DEGREES((2*PI()/Inputs!$C$13)*Inputs!$C$15*SIN(RADIANS(I122)))</x:f>
        <x:v>22.456183015864994</x:v>
      </x:c>
      <x:c r="K122" s="48" t="n">
        <x:f>(C122/D122)^4</x:f>
        <x:v>0.9922330391073297</x:v>
      </x:c>
      <x:c r="L122" s="48" t="n">
        <x:f>10*LOG10(K122)</x:f>
        <x:v>-0.033863160388898</x:v>
      </x:c>
      <x:c r="M122" s="48" t="n">
        <x:f>2*(Inputs!$C$9/(Inputs!$C$10^2))*A122</x:f>
        <x:v>0</x:v>
      </x:c>
      <x:c r="N122" s="48" t="n">
        <x:f>M122*Inputs!$C$11</x:f>
        <x:v>0</x:v>
      </x:c>
      <x:c r="O122" s="48" t="n">
        <x:f>1000*((A122*Inputs!$C$11)+(B122*N122))/D122</x:f>
        <x:v>0</x:v>
      </x:c>
      <x:c r="P122" s="48" t="n">
        <x:f>-2*O122/Inputs!$C$13</x:f>
        <x:v>0</x:v>
      </x:c>
      <x:c r="Q122" s="48" t="n">
        <x:f>-2*O122/Inputs!$C$14</x:f>
        <x:v>0</x:v>
      </x:c>
      <x:c r="R122" s="48" t="n">
        <x:f>F122-Inputs!$C$16/2</x:f>
        <x:v>423.4767118173631</x:v>
      </x:c>
      <x:c r="S122" s="48" t="n">
        <x:f>F122+Inputs!$C$16/2</x:f>
        <x:v>453.4767118173631</x:v>
      </x:c>
      <x:c r="T122" s="48" t="n">
        <x:f>F122-Inputs!$C$17/2</x:f>
        <x:v>288.4767118173631</x:v>
      </x:c>
      <x:c r="U122" s="48" t="n">
        <x:f>F122+Inputs!$C$17/2</x:f>
        <x:v>588.4767118173631</x:v>
      </x:c>
      <x:c r="V122" s="48" t="n">
        <x:f>ABS(P122)</x:f>
        <x:v>0</x:v>
      </x:c>
      <x:c r="W122" s="48" t="n">
        <x:f>ABS(Q122)</x:f>
        <x:v>0</x:v>
      </x:c>
      <x:c r="X122" s="48" t="n">
        <x: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(0.45*SIN(2*PI()*(((A122)/Inputs!$C$49)+Inputs!$C$47*0.137))+0.35*COS(2*PI()*(((0)/Inputs!$C$50)+Inputs!$C$47*0.173))+0.20*SIN(2*PI()*(((A122)+(0))/(0.5*(Inputs!$C$49+Inputs!$C$50))+Inputs!$C$47*0.097)))+0.30*(2*((SIN(((A122)*12.9898+(0)*78.233+Inputs!$C$47*37.719))*43758.5453)-INT((SIN(((A122)*12.9898+(0)*78.233+Inputs!$C$47*37.719))*43758.5453)))-1)))</x:f>
        <x:v>-4.948127387128106</x:v>
      </x:c>
      <x:c r="Y122" s="48" t="n">
        <x: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(0.45*SIN(2*PI()*(((A122)/Inputs!$C$49)+Inputs!$C$47*0.137))+0.35*COS(2*PI()*(((Inputs!$C$6)/Inputs!$C$50)+Inputs!$C$47*0.173))+0.20*SIN(2*PI()*(((A122)+(Inputs!$C$6))/(0.5*(Inputs!$C$49+Inputs!$C$50))+Inputs!$C$47*0.097)))+0.30*(2*((SIN(((A122)*12.9898+(Inputs!$C$6)*78.233+Inputs!$C$47*37.719))*43758.5453)-INT((SIN(((A122)*12.9898+(Inputs!$C$6)*78.233+Inputs!$C$47*37.719))*43758.5453)))-1)))</x:f>
        <x:v>480.44802858922253</x:v>
      </x:c>
      <x:c r="Z122" s="48" t="n">
        <x:f>B122-X122/1000</x:f>
        <x:v>400.00494812738714</x:v>
      </x:c>
      <x:c r="AA122" s="48" t="n">
        <x:f>SQRT(A122^2+Inputs!$C$6^2+(B122-Y122/1000)^2)</x:f>
        <x:v>400.30097727514584</x:v>
      </x:c>
      <x:c r="AB122" s="48" t="n">
        <x:f>(AA122-Z122)*1000</x:f>
        <x:v>296.02914775870204</x:v>
      </x:c>
      <x:c r="AC122" s="48" t="n">
        <x:f>AB122/Inputs!$C$12</x:f>
        <x:v>166.3085099767989</x:v>
      </x:c>
      <x:c r="AD122" s="48" t="n">
        <x:f>2*AB122/Inputs!$C$21*1000000</x:f>
        <x:v>1.97489389648823</x:v>
      </x:c>
      <x:c r="AE122" s="48" t="n">
        <x:f>DEGREES(ATAN(H122/(B122-Y122/1000)))</x:f>
        <x:v>3.5806239655136194</x:v>
      </x:c>
      <x:c r="AF122" s="48" t="n">
        <x:f>DEGREES((2*PI()/Inputs!$C$13)*Inputs!$C$15*SIN(RADIANS(AE122)))</x:f>
        <x:v>22.4830827575369</x:v>
      </x:c>
      <x:c r="AG122" s="48" t="n">
        <x:f>(Z122/AA122)^4</x:f>
        <x:v>0.9970452139886374</x:v>
      </x:c>
      <x:c r="AH122" s="48" t="n">
        <x:f>10*LOG10(AG122)</x:f>
        <x:v>-0.012851468633366099</x:v>
      </x:c>
      <x:c r="AI122" s="48" t="n">
        <x:f>AC122-F122</x:f>
        <x:v>-272.16820184056417</x:v>
      </x:c>
      <x:c r="AJ122" s="48" t="n">
        <x:f>AD122-G122</x:f>
        <x:v>-3.2319652235961467</x:v>
      </x:c>
      <x:c r="AK122" s="48" t="n">
        <x:f>Y122-X122</x:f>
        <x:v>485.39615597635066</x:v>
      </x:c>
      <x:c r="AL122" s="48" t="n">
        <x:f>1000*(AA123-AA121)/(A123-A121)*Inputs!$C$11</x:f>
        <x:v>-33.98308406667638</x:v>
      </x:c>
      <x:c r="AM122" s="48" t="n">
        <x:f>-2*AL122/Inputs!$C$13</x:f>
        <x:v>13.593233626670553</x:v>
      </x:c>
      <x:c r="AN122" s="48" t="n">
        <x:f>-2*AL122/Inputs!$C$14</x:f>
        <x:v>2.0410260700706537</x:v>
      </x:c>
      <x:c r="AO122" s="48" t="n">
        <x:f>ABS(AM122)</x:f>
        <x:v>13.593233626670553</x:v>
      </x:c>
      <x:c r="AP122" s="48" t="n">
        <x:f>ABS(AN122)</x:f>
        <x:v>2.0410260700706537</x:v>
      </x:c>
      <x:c r="AQ122" s="48" t="n">
        <x:f>IF(OR(Inputs!$C$27=TRUE,Inputs!$C$27="TRUE",Inputs!$C$27=1),Inputs!$C$46/Inputs!$C$12,0)</x:f>
        <x:v>42.13483146067416</x:v>
      </x:c>
      <x:c r="AR122" s="48" t="n">
        <x:f>AC122-AQ122</x:f>
        <x:v>124.17367851612474</x:v>
      </x:c>
      <x:c r="AS122" s="48" t="n">
        <x:f>AC122+AQ122</x:f>
        <x:v>208.44334143747304</x:v>
      </x:c>
    </x:row>
    <x:row r="123">
      <x:c r="A123" s="48" t="n">
        <x:f>Inputs!$C$7+121*(Inputs!$C$8-Inputs!$C$7)/240</x:f>
        <x:v>0.5</x:v>
      </x:c>
      <x:c r="B123" s="48" t="n">
        <x:f>Inputs!$C$5+Inputs!$C$9*(A123/Inputs!$C$10)^2</x:f>
        <x:v>400.0002777777778</x:v>
      </x:c>
      <x:c r="C123" s="48" t="n">
        <x:f>B123</x:f>
        <x:v>400.0002777777778</x:v>
      </x:c>
      <x:c r="D123" s="48" t="n">
        <x:f>SQRT(A123^2+Inputs!$C$6^2+B123^2)</x:f>
        <x:v>400.78107767495635</x:v>
      </x:c>
      <x:c r="E123" s="48" t="n">
        <x:f>(D123-C123)*1000</x:f>
        <x:v>780.7998971785537</x:v>
      </x:c>
      <x:c r="F123" s="48" t="n">
        <x:f>E123/Inputs!$C$12</x:f>
        <x:v>438.65162762840095</x:v>
      </x:c>
      <x:c r="G123" s="48" t="n">
        <x:f>2*E123/Inputs!$C$21*1000000</x:f>
        <x:v>5.208936224663488</x:v>
      </x:c>
      <x:c r="H123" s="48" t="n">
        <x:f>SQRT(A123^2+Inputs!$C$6^2)</x:f>
        <x:v>25.004999500099974</x:v>
      </x:c>
      <x:c r="I123" s="48" t="n">
        <x:f>DEGREES(ATAN(H123/B123))</x:f>
        <x:v>3.5770452359901275</x:v>
      </x:c>
      <x:c r="J123" s="48" t="n">
        <x:f>DEGREES((2*PI()/Inputs!$C$13)*Inputs!$C$15*SIN(RADIANS(I123)))</x:f>
        <x:v>22.46064078737939</x:v>
      </x:c>
      <x:c r="K123" s="48" t="n">
        <x:f>(C123/D123)^4</x:f>
        <x:v>0.9922299611801368</x:v>
      </x:c>
      <x:c r="L123" s="48" t="n">
        <x:f>10*LOG10(K123)</x:f>
        <x:v>-0.0338766323134981</x:v>
      </x:c>
      <x:c r="M123" s="48" t="n">
        <x:f>2*(Inputs!$C$9/(Inputs!$C$10^2))*A123</x:f>
        <x:v>0.0011111111111111111</x:v>
      </x:c>
      <x:c r="N123" s="48" t="n">
        <x:f>M123*Inputs!$C$11</x:f>
        <x:v>0.0044444444444444444</x:v>
      </x:c>
      <x:c r="O123" s="48" t="n">
        <x:f>1000*((A123*Inputs!$C$11)+(B123*N123))/D123</x:f>
        <x:v>9.426041354700766</x:v>
      </x:c>
      <x:c r="P123" s="48" t="n">
        <x:f>-2*O123/Inputs!$C$13</x:f>
        <x:v>-3.7704165418803064</x:v>
      </x:c>
      <x:c r="Q123" s="48" t="n">
        <x:f>-2*O123/Inputs!$C$14</x:f>
        <x:v>-0.5661286098919379</x:v>
      </x:c>
      <x:c r="R123" s="48" t="n">
        <x:f>F123-Inputs!$C$16/2</x:f>
        <x:v>423.65162762840095</x:v>
      </x:c>
      <x:c r="S123" s="48" t="n">
        <x:f>F123+Inputs!$C$16/2</x:f>
        <x:v>453.65162762840095</x:v>
      </x:c>
      <x:c r="T123" s="48" t="n">
        <x:f>F123-Inputs!$C$17/2</x:f>
        <x:v>288.65162762840095</x:v>
      </x:c>
      <x:c r="U123" s="48" t="n">
        <x:f>F123+Inputs!$C$17/2</x:f>
        <x:v>588.651627628401</x:v>
      </x:c>
      <x:c r="V123" s="48" t="n">
        <x:f>ABS(P123)</x:f>
        <x:v>3.7704165418803064</x:v>
      </x:c>
      <x:c r="W123" s="48" t="n">
        <x:f>ABS(Q123)</x:f>
        <x:v>0.5661286098919379</x:v>
      </x:c>
      <x:c r="X123" s="48" t="n">
        <x: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(0.45*SIN(2*PI()*(((A123)/Inputs!$C$49)+Inputs!$C$47*0.137))+0.35*COS(2*PI()*(((0)/Inputs!$C$50)+Inputs!$C$47*0.173))+0.20*SIN(2*PI()*(((A123)+(0))/(0.5*(Inputs!$C$49+Inputs!$C$50))+Inputs!$C$47*0.097)))+0.30*(2*((SIN(((A123)*12.9898+(0)*78.233+Inputs!$C$47*37.719))*43758.5453)-INT((SIN(((A123)*12.9898+(0)*78.233+Inputs!$C$47*37.719))*43758.5453)))-1)))</x:f>
        <x:v>2.259569132321303</x:v>
      </x:c>
      <x:c r="Y123" s="48" t="n">
        <x: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(0.45*SIN(2*PI()*(((A123)/Inputs!$C$49)+Inputs!$C$47*0.137))+0.35*COS(2*PI()*(((Inputs!$C$6)/Inputs!$C$50)+Inputs!$C$47*0.173))+0.20*SIN(2*PI()*(((A123)+(Inputs!$C$6))/(0.5*(Inputs!$C$49+Inputs!$C$50))+Inputs!$C$47*0.097)))+0.30*(2*((SIN(((A123)*12.9898+(Inputs!$C$6)*78.233+Inputs!$C$47*37.719))*43758.5453)-INT((SIN(((A123)*12.9898+(Inputs!$C$6)*78.233+Inputs!$C$47*37.719))*43758.5453)))-1)))</x:f>
        <x:v>482.7451811280071</x:v>
      </x:c>
      <x:c r="Z123" s="48" t="n">
        <x:f>B123-X123/1000</x:f>
        <x:v>399.9980182086455</x:v>
      </x:c>
      <x:c r="AA123" s="48" t="n">
        <x:f>SQRT(A123^2+Inputs!$C$6^2+(B123-Y123/1000)^2)</x:f>
        <x:v>400.2992741089036</x:v>
      </x:c>
      <x:c r="AB123" s="48" t="n">
        <x:f>(AA123-Z123)*1000</x:f>
        <x:v>301.255900258127</x:v>
      </x:c>
      <x:c r="AC123" s="48" t="n">
        <x:f>AB123/Inputs!$C$12</x:f>
        <x:v>169.24488778546458</x:v>
      </x:c>
      <x:c r="AD123" s="48" t="n">
        <x:f>2*AB123/Inputs!$C$21*1000000</x:f>
        <x:v>2.0097630358541374</x:v>
      </x:c>
      <x:c r="AE123" s="48" t="n">
        <x:f>DEGREES(ATAN(H123/(B123-Y123/1000)))</x:f>
        <x:v>3.581356210142889</x:v>
      </x:c>
      <x:c r="AF123" s="48" t="n">
        <x:f>DEGREES((2*PI()/Inputs!$C$13)*Inputs!$C$15*SIN(RADIANS(AE123)))</x:f>
        <x:v>22.48767460314455</x:v>
      </x:c>
      <x:c r="AG123" s="48" t="n">
        <x:f>(Z123/AA123)^4</x:f>
        <x:v>0.996993089789942</x:v>
      </x:c>
      <x:c r="AH123" s="48" t="n">
        <x:f>10*LOG10(AG123)</x:f>
        <x:v>-0.013078517951619401</x:v>
      </x:c>
      <x:c r="AI123" s="48" t="n">
        <x:f>AC123-F123</x:f>
        <x:v>-269.40673984293636</x:v>
      </x:c>
      <x:c r="AJ123" s="48" t="n">
        <x:f>AD123-G123</x:f>
        <x:v>-3.199173188809351</x:v>
      </x:c>
      <x:c r="AK123" s="48" t="n">
        <x:f>Y123-X123</x:f>
        <x:v>480.4856119956858</x:v>
      </x:c>
      <x:c r="AL123" s="48" t="n">
        <x:f>1000*(AA124-AA122)/(A124-A122)*Inputs!$C$11</x:f>
        <x:v>-58.96850653243746</x:v>
      </x:c>
      <x:c r="AM123" s="48" t="n">
        <x:f>-2*AL123/Inputs!$C$13</x:f>
        <x:v>23.587402612974984</x:v>
      </x:c>
      <x:c r="AN123" s="48" t="n">
        <x:f>-2*AL123/Inputs!$C$14</x:f>
        <x:v>3.541652043990238</x:v>
      </x:c>
      <x:c r="AO123" s="48" t="n">
        <x:f>ABS(AM123)</x:f>
        <x:v>23.587402612974984</x:v>
      </x:c>
      <x:c r="AP123" s="48" t="n">
        <x:f>ABS(AN123)</x:f>
        <x:v>3.541652043990238</x:v>
      </x:c>
      <x:c r="AQ123" s="48" t="n">
        <x:f>IF(OR(Inputs!$C$27=TRUE,Inputs!$C$27="TRUE",Inputs!$C$27=1),Inputs!$C$46/Inputs!$C$12,0)</x:f>
        <x:v>42.13483146067416</x:v>
      </x:c>
      <x:c r="AR123" s="48" t="n">
        <x:f>AC123-AQ123</x:f>
        <x:v>127.11005632479043</x:v>
      </x:c>
      <x:c r="AS123" s="48" t="n">
        <x:f>AC123+AQ123</x:f>
        <x:v>211.37971924613873</x:v>
      </x:c>
    </x:row>
    <x:row r="124">
      <x:c r="A124" s="48" t="n">
        <x:f>Inputs!$C$7+122*(Inputs!$C$8-Inputs!$C$7)/240</x:f>
        <x:v>1</x:v>
      </x:c>
      <x:c r="B124" s="48" t="n">
        <x:f>Inputs!$C$5+Inputs!$C$9*(A124/Inputs!$C$10)^2</x:f>
        <x:v>400.00111111111113</x:v>
      </x:c>
      <x:c r="C124" s="48" t="n">
        <x:f>B124</x:f>
        <x:v>400.00111111111113</x:v>
      </x:c>
      <x:c r="D124" s="48" t="n">
        <x:f>SQRT(A124^2+Inputs!$C$6^2+B124^2)</x:f>
        <x:v>400.7828450546798</x:v>
      </x:c>
      <x:c r="E124" s="48" t="n">
        <x:f>(D124-C124)*1000</x:f>
        <x:v>781.7339435686677</x:v>
      </x:c>
      <x:c r="F124" s="48" t="n">
        <x:f>E124/Inputs!$C$12</x:f>
        <x:v>439.1763727913863</x:v>
      </x:c>
      <x:c r="G124" s="48" t="n">
        <x:f>2*E124/Inputs!$C$21*1000000</x:f>
        <x:v>5.215167511443318</x:v>
      </x:c>
      <x:c r="H124" s="48" t="n">
        <x:f>SQRT(A124^2+Inputs!$C$6^2)</x:f>
        <x:v>25.019992006393608</x:v>
      </x:c>
      <x:c r="I124" s="48" t="n">
        <x:f>DEGREES(ATAN(H124/B124))</x:f>
        <x:v>3.5791769511981175</x:v>
      </x:c>
      <x:c r="J124" s="48" t="n">
        <x:f>DEGREES((2*PI()/Inputs!$C$13)*Inputs!$C$15*SIN(RADIANS(I124)))</x:f>
        <x:v>22.474008639448687</x:v>
      </x:c>
      <x:c r="K124" s="48" t="n">
        <x:f>(C124/D124)^4</x:f>
        <x:v>0.9922207275358317</x:v>
      </x:c>
      <x:c r="L124" s="48" t="n">
        <x:f>10*LOG10(K124)</x:f>
        <x:v>-0.0339170477371962</x:v>
      </x:c>
      <x:c r="M124" s="48" t="n">
        <x:f>2*(Inputs!$C$9/(Inputs!$C$10^2))*A124</x:f>
        <x:v>0.0022222222222222222</x:v>
      </x:c>
      <x:c r="N124" s="48" t="n">
        <x:f>M124*Inputs!$C$11</x:f>
        <x:v>0.008888888888888889</x:v>
      </x:c>
      <x:c r="O124" s="48" t="n">
        <x:f>1000*((A124*Inputs!$C$11)+(B124*N124))/D124</x:f>
        <x:v>18.852018057479334</x:v>
      </x:c>
      <x:c r="P124" s="48" t="n">
        <x:f>-2*O124/Inputs!$C$13</x:f>
        <x:v>-7.540807222991734</x:v>
      </x:c>
      <x:c r="Q124" s="48" t="n">
        <x:f>-2*O124/Inputs!$C$14</x:f>
        <x:v>-1.1322533367855456</x:v>
      </x:c>
      <x:c r="R124" s="48" t="n">
        <x:f>F124-Inputs!$C$16/2</x:f>
        <x:v>424.1763727913863</x:v>
      </x:c>
      <x:c r="S124" s="48" t="n">
        <x:f>F124+Inputs!$C$16/2</x:f>
        <x:v>454.1763727913863</x:v>
      </x:c>
      <x:c r="T124" s="48" t="n">
        <x:f>F124-Inputs!$C$17/2</x:f>
        <x:v>289.1763727913863</x:v>
      </x:c>
      <x:c r="U124" s="48" t="n">
        <x:f>F124+Inputs!$C$17/2</x:f>
        <x:v>589.1763727913863</x:v>
      </x:c>
      <x:c r="V124" s="48" t="n">
        <x:f>ABS(P124)</x:f>
        <x:v>7.540807222991734</x:v>
      </x:c>
      <x:c r="W124" s="48" t="n">
        <x:f>ABS(Q124)</x:f>
        <x:v>1.1322533367855456</x:v>
      </x:c>
      <x:c r="X124" s="48" t="n">
        <x: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(0.45*SIN(2*PI()*(((A124)/Inputs!$C$49)+Inputs!$C$47*0.137))+0.35*COS(2*PI()*(((0)/Inputs!$C$50)+Inputs!$C$47*0.173))+0.20*SIN(2*PI()*(((A124)+(0))/(0.5*(Inputs!$C$49+Inputs!$C$50))+Inputs!$C$47*0.097)))+0.30*(2*((SIN(((A124)*12.9898+(0)*78.233+Inputs!$C$47*37.719))*43758.5453)-INT((SIN(((A124)*12.9898+(0)*78.233+Inputs!$C$47*37.719))*43758.5453)))-1)))</x:f>
        <x:v>43.07644622126787</x:v>
      </x:c>
      <x:c r="Y124" s="48" t="n">
        <x: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(0.45*SIN(2*PI()*(((A124)/Inputs!$C$49)+Inputs!$C$47*0.137))+0.35*COS(2*PI()*(((Inputs!$C$6)/Inputs!$C$50)+Inputs!$C$47*0.173))+0.20*SIN(2*PI()*(((A124)+(Inputs!$C$6))/(0.5*(Inputs!$C$49+Inputs!$C$50))+Inputs!$C$47*0.097)))+0.30*(2*((SIN(((A124)*12.9898+(Inputs!$C$6)*78.233+Inputs!$C$47*37.719))*43758.5453)-INT((SIN(((A124)*12.9898+(Inputs!$C$6)*78.233+Inputs!$C$47*37.719))*43758.5453)))-1)))</x:f>
        <x:v>497.58165314697214</x:v>
      </x:c>
      <x:c r="Z124" s="48" t="n">
        <x:f>B124-X124/1000</x:f>
        <x:v>399.95803466488985</x:v>
      </x:c>
      <x:c r="AA124" s="48" t="n">
        <x:f>SQRT(A124^2+Inputs!$C$6^2+(B124-Y124/1000)^2)</x:f>
        <x:v>400.28623514851273</x:v>
      </x:c>
      <x:c r="AB124" s="48" t="n">
        <x:f>(AA124-Z124)*1000</x:f>
        <x:v>328.20048362287935</x:v>
      </x:c>
      <x:c r="AC124" s="48" t="n">
        <x:f>AB124/Inputs!$C$12</x:f>
        <x:v>184.38229417015694</x:v>
      </x:c>
      <x:c r="AD124" s="48" t="n">
        <x:f>2*AB124/Inputs!$C$21*1000000</x:f>
        <x:v>2.1895179472652333</x:v>
      </x:c>
      <x:c r="AE124" s="48" t="n">
        <x:f>DEGREES(ATAN(H124/(B124-Y124/1000)))</x:f>
        <x:v>3.583623206316691</x:v>
      </x:c>
      <x:c r="AF124" s="48" t="n">
        <x:f>DEGREES((2*PI()/Inputs!$C$13)*Inputs!$C$15*SIN(RADIANS(AE124)))</x:f>
        <x:v>22.50189072567005</x:v>
      </x:c>
      <x:c r="AG124" s="48" t="n">
        <x:f>(Z124/AA124)^4</x:f>
        <x:v>0.9967243734015017</x:v>
      </x:c>
      <x:c r="AH124" s="48" t="n">
        <x:f>10*LOG10(AG124)</x:f>
        <x:v>-0.014249215882072301</x:v>
      </x:c>
      <x:c r="AI124" s="48" t="n">
        <x:f>AC124-F124</x:f>
        <x:v>-254.79407862122937</x:v>
      </x:c>
      <x:c r="AJ124" s="48" t="n">
        <x:f>AD124-G124</x:f>
        <x:v>-3.0256495641780847</x:v>
      </x:c>
      <x:c r="AK124" s="48" t="n">
        <x:f>Y124-X124</x:f>
        <x:v>454.5052069257043</x:v>
      </x:c>
      <x:c r="AL124" s="48" t="n">
        <x:f>1000*(AA125-AA123)/(A125-A123)*Inputs!$C$11</x:f>
        <x:v>-117.34437727068325</x:v>
      </x:c>
      <x:c r="AM124" s="48" t="n">
        <x:f>-2*AL124/Inputs!$C$13</x:f>
        <x:v>46.9377509082733</x:v>
      </x:c>
      <x:c r="AN124" s="48" t="n">
        <x:f>-2*AL124/Inputs!$C$14</x:f>
        <x:v>7.047710346587583</x:v>
      </x:c>
      <x:c r="AO124" s="48" t="n">
        <x:f>ABS(AM124)</x:f>
        <x:v>46.9377509082733</x:v>
      </x:c>
      <x:c r="AP124" s="48" t="n">
        <x:f>ABS(AN124)</x:f>
        <x:v>7.047710346587583</x:v>
      </x:c>
      <x:c r="AQ124" s="48" t="n">
        <x:f>IF(OR(Inputs!$C$27=TRUE,Inputs!$C$27="TRUE",Inputs!$C$27=1),Inputs!$C$46/Inputs!$C$12,0)</x:f>
        <x:v>42.13483146067416</x:v>
      </x:c>
      <x:c r="AR124" s="48" t="n">
        <x:f>AC124-AQ124</x:f>
        <x:v>142.2474627094828</x:v>
      </x:c>
      <x:c r="AS124" s="48" t="n">
        <x:f>AC124+AQ124</x:f>
        <x:v>226.5171256308311</x:v>
      </x:c>
    </x:row>
    <x:row r="125">
      <x:c r="A125" s="48" t="n">
        <x:f>Inputs!$C$7+123*(Inputs!$C$8-Inputs!$C$7)/240</x:f>
        <x:v>1.5</x:v>
      </x:c>
      <x:c r="B125" s="48" t="n">
        <x:f>Inputs!$C$5+Inputs!$C$9*(A125/Inputs!$C$10)^2</x:f>
        <x:v>400.0025</x:v>
      </x:c>
      <x:c r="C125" s="48" t="n">
        <x:f>B125</x:f>
        <x:v>400.0025</x:v>
      </x:c>
      <x:c r="D125" s="48" t="n">
        <x:f>SQRT(A125^2+Inputs!$C$6^2+B125^2)</x:f>
        <x:v>400.78579067408316</x:v>
      </x:c>
      <x:c r="E125" s="48" t="n">
        <x:f>(D125-C125)*1000</x:f>
        <x:v>783.2906740831618</x:v>
      </x:c>
      <x:c r="F125" s="48" t="n">
        <x:f>E125/Inputs!$C$12</x:f>
        <x:v>440.0509404961583</x:v>
      </x:c>
      <x:c r="G125" s="48" t="n">
        <x:f>2*E125/Inputs!$C$21*1000000</x:f>
        <x:v>5.2255528995540095</x:v>
      </x:c>
      <x:c r="H125" s="48" t="n">
        <x:f>SQRT(A125^2+Inputs!$C$6^2)</x:f>
        <x:v>25.04495957273639</x:v>
      </x:c>
      <x:c r="I125" s="48" t="n">
        <x:f>DEGREES(ATAN(H125/B125))</x:f>
        <x:v>3.582726922473895</x:v>
      </x:c>
      <x:c r="J125" s="48" t="n">
        <x:f>DEGREES((2*PI()/Inputs!$C$13)*Inputs!$C$15*SIN(RADIANS(I125)))</x:f>
        <x:v>22.49627021711709</x:v>
      </x:c>
      <x:c r="K125" s="48" t="n">
        <x:f>(C125/D125)^4</x:f>
        <x:v>0.992205338586216</x:v>
      </x:c>
      <x:c r="L125" s="48" t="n">
        <x:f>10*LOG10(K125)</x:f>
        <x:v>-0.033984405609728</x:v>
      </x:c>
      <x:c r="M125" s="48" t="n">
        <x:f>2*(Inputs!$C$9/(Inputs!$C$10^2))*A125</x:f>
        <x:v>0.003333333333333333</x:v>
      </x:c>
      <x:c r="N125" s="48" t="n">
        <x:f>M125*Inputs!$C$11</x:f>
        <x:v>0.013333333333333332</x:v>
      </x:c>
      <x:c r="O125" s="48" t="n">
        <x:f>1000*((A125*Inputs!$C$11)+(B125*N125))/D125</x:f>
        <x:v>28.277865459264497</x:v>
      </x:c>
      <x:c r="P125" s="48" t="n">
        <x:f>-2*O125/Inputs!$C$13</x:f>
        <x:v>-11.311146183705798</x:v>
      </x:c>
      <x:c r="Q125" s="48" t="n">
        <x:f>-2*O125/Inputs!$C$14</x:f>
        <x:v>-1.6983702978537236</x:v>
      </x:c>
      <x:c r="R125" s="48" t="n">
        <x:f>F125-Inputs!$C$16/2</x:f>
        <x:v>425.0509404961583</x:v>
      </x:c>
      <x:c r="S125" s="48" t="n">
        <x:f>F125+Inputs!$C$16/2</x:f>
        <x:v>455.0509404961583</x:v>
      </x:c>
      <x:c r="T125" s="48" t="n">
        <x:f>F125-Inputs!$C$17/2</x:f>
        <x:v>290.0509404961583</x:v>
      </x:c>
      <x:c r="U125" s="48" t="n">
        <x:f>F125+Inputs!$C$17/2</x:f>
        <x:v>590.0509404961583</x:v>
      </x:c>
      <x:c r="V125" s="48" t="n">
        <x:f>ABS(P125)</x:f>
        <x:v>11.311146183705798</x:v>
      </x:c>
      <x:c r="W125" s="48" t="n">
        <x:f>ABS(Q125)</x:f>
        <x:v>1.6983702978537236</x:v>
      </x:c>
      <x:c r="X125" s="48" t="n">
        <x: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(0.45*SIN(2*PI()*(((A125)/Inputs!$C$49)+Inputs!$C$47*0.137))+0.35*COS(2*PI()*(((0)/Inputs!$C$50)+Inputs!$C$47*0.173))+0.20*SIN(2*PI()*(((A125)+(0))/(0.5*(Inputs!$C$49+Inputs!$C$50))+Inputs!$C$47*0.097)))+0.30*(2*((SIN(((A125)*12.9898+(0)*78.233+Inputs!$C$47*37.719))*43758.5453)-INT((SIN(((A125)*12.9898+(0)*78.233+Inputs!$C$47*37.719))*43758.5453)))-1)))</x:f>
        <x:v>46.8149548284789</x:v>
      </x:c>
      <x:c r="Y125" s="48" t="n">
        <x: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(0.45*SIN(2*PI()*(((A125)/Inputs!$C$49)+Inputs!$C$47*0.137))+0.35*COS(2*PI()*(((Inputs!$C$6)/Inputs!$C$50)+Inputs!$C$47*0.173))+0.20*SIN(2*PI()*(((A125)+(Inputs!$C$6))/(0.5*(Inputs!$C$49+Inputs!$C$50))+Inputs!$C$47*0.097)))+0.30*(2*((SIN(((A125)*12.9898+(Inputs!$C$6)*78.233+Inputs!$C$47*37.719))*43758.5453)-INT((SIN(((A125)*12.9898+(Inputs!$C$6)*78.233+Inputs!$C$47*37.719))*43758.5453)))-1)))</x:f>
        <x:v>516.864115303311</x:v>
      </x:c>
      <x:c r="Z125" s="48" t="n">
        <x:f>B125-X125/1000</x:f>
        <x:v>399.9556850451715</x:v>
      </x:c>
      <x:c r="AA125" s="48" t="n">
        <x:f>SQRT(A125^2+Inputs!$C$6^2+(B125-Y125/1000)^2)</x:f>
        <x:v>400.26993801458593</x:v>
      </x:c>
      <x:c r="AB125" s="48" t="n">
        <x:f>(AA125-Z125)*1000</x:f>
        <x:v>314.25296941444003</x:v>
      </x:c>
      <x:c r="AC125" s="48" t="n">
        <x:f>AB125/Inputs!$C$12</x:f>
        <x:v>176.54661203058427</x:v>
      </x:c>
      <x:c r="AD125" s="48" t="n">
        <x:f>2*AB125/Inputs!$C$21*1000000</x:f>
        <x:v>2.0964701481212047</x:v>
      </x:c>
      <x:c r="AE125" s="48" t="n">
        <x:f>DEGREES(ATAN(H125/(B125-Y125/1000)))</x:f>
        <x:v>3.5873502435956905</x:v>
      </x:c>
      <x:c r="AF125" s="48" t="n">
        <x:f>DEGREES((2*PI()/Inputs!$C$13)*Inputs!$C$15*SIN(RADIANS(AE125)))</x:f>
        <x:v>22.52526255383323</x:v>
      </x:c>
      <x:c r="AG125" s="48" t="n">
        <x:f>(Z125/AA125)^4</x:f>
        <x:v>0.9968632859774675</x:v>
      </x:c>
      <x:c r="AH125" s="48" t="n">
        <x:f>10*LOG10(AG125)</x:f>
        <x:v>-0.0136439857581521</x:v>
      </x:c>
      <x:c r="AI125" s="48" t="n">
        <x:f>AC125-F125</x:f>
        <x:v>-263.5043284655741</x:v>
      </x:c>
      <x:c r="AJ125" s="48" t="n">
        <x:f>AD125-G125</x:f>
        <x:v>-3.129082751432805</x:v>
      </x:c>
      <x:c r="AK125" s="48" t="n">
        <x:f>Y125-X125</x:f>
        <x:v>470.0491604748321</x:v>
      </x:c>
      <x:c r="AL125" s="48" t="n">
        <x:f>1000*(AA126-AA124)/(A126-A124)*Inputs!$C$11</x:f>
        <x:v>-119.11277458193581</x:v>
      </x:c>
      <x:c r="AM125" s="48" t="n">
        <x:f>-2*AL125/Inputs!$C$13</x:f>
        <x:v>47.645109832774324</x:v>
      </x:c>
      <x:c r="AN125" s="48" t="n">
        <x:f>-2*AL125/Inputs!$C$14</x:f>
        <x:v>7.15392039531146</x:v>
      </x:c>
      <x:c r="AO125" s="48" t="n">
        <x:f>ABS(AM125)</x:f>
        <x:v>47.645109832774324</x:v>
      </x:c>
      <x:c r="AP125" s="48" t="n">
        <x:f>ABS(AN125)</x:f>
        <x:v>7.15392039531146</x:v>
      </x:c>
      <x:c r="AQ125" s="48" t="n">
        <x:f>IF(OR(Inputs!$C$27=TRUE,Inputs!$C$27="TRUE",Inputs!$C$27=1),Inputs!$C$46/Inputs!$C$12,0)</x:f>
        <x:v>42.13483146067416</x:v>
      </x:c>
      <x:c r="AR125" s="48" t="n">
        <x:f>AC125-AQ125</x:f>
        <x:v>134.41178056991012</x:v>
      </x:c>
      <x:c r="AS125" s="48" t="n">
        <x:f>AC125+AQ125</x:f>
        <x:v>218.68144349125842</x:v>
      </x:c>
    </x:row>
    <x:row r="126">
      <x:c r="A126" s="48" t="n">
        <x:f>Inputs!$C$7+124*(Inputs!$C$8-Inputs!$C$7)/240</x:f>
        <x:v>2</x:v>
      </x:c>
      <x:c r="B126" s="48" t="n">
        <x:f>Inputs!$C$5+Inputs!$C$9*(A126/Inputs!$C$10)^2</x:f>
        <x:v>400.00444444444446</x:v>
      </x:c>
      <x:c r="C126" s="48" t="n">
        <x:f>B126</x:f>
        <x:v>400.00444444444446</x:v>
      </x:c>
      <x:c r="D126" s="48" t="n">
        <x:f>SQRT(A126^2+Inputs!$C$6^2+B126^2)</x:f>
        <x:v>400.78991451296355</x:v>
      </x:c>
      <x:c r="E126" s="48" t="n">
        <x:f>(D126-C126)*1000</x:f>
        <x:v>785.4700685190892</x:v>
      </x:c>
      <x:c r="F126" s="48" t="n">
        <x:f>E126/Inputs!$C$12</x:f>
        <x:v>441.2753193927467</x:v>
      </x:c>
      <x:c r="G126" s="48" t="n">
        <x:f>2*E126/Inputs!$C$21*1000000</x:f>
        <x:v>5.24009225421601</x:v>
      </x:c>
      <x:c r="H126" s="48" t="n">
        <x:f>SQRT(A126^2+Inputs!$C$6^2)</x:f>
        <x:v>25.079872407968907</x:v>
      </x:c>
      <x:c r="I126" s="48" t="n">
        <x:f>DEGREES(ATAN(H126/B126))</x:f>
        <x:v>3.5876908367118427</x:v>
      </x:c>
      <x:c r="J126" s="48" t="n">
        <x:f>DEGREES((2*PI()/Inputs!$C$13)*Inputs!$C$15*SIN(RADIANS(I126)))</x:f>
        <x:v>22.52739836989279</x:v>
      </x:c>
      <x:c r="K126" s="48" t="n">
        <x:f>(C126/D126)^4</x:f>
        <x:v>0.9921837950175804</x:v>
      </x:c>
      <x:c r="L126" s="48" t="n">
        <x:f>10*LOG10(K126)</x:f>
        <x:v>-0.034078704180717595</x:v>
      </x:c>
      <x:c r="M126" s="48" t="n">
        <x:f>2*(Inputs!$C$9/(Inputs!$C$10^2))*A126</x:f>
        <x:v>0.0044444444444444444</x:v>
      </x:c>
      <x:c r="N126" s="48" t="n">
        <x:f>M126*Inputs!$C$11</x:f>
        <x:v>0.017777777777777778</x:v>
      </x:c>
      <x:c r="O126" s="48" t="n">
        <x:f>1000*((A126*Inputs!$C$11)+(B126*N126))/D126</x:f>
        <x:v>37.70351891668676</x:v>
      </x:c>
      <x:c r="P126" s="48" t="n">
        <x:f>-2*O126/Inputs!$C$13</x:f>
        <x:v>-15.081407566674704</x:v>
      </x:c>
      <x:c r="Q126" s="48" t="n">
        <x:f>-2*O126/Inputs!$C$14</x:f>
        <x:v>-2.2644756106118176</x:v>
      </x:c>
      <x:c r="R126" s="48" t="n">
        <x:f>F126-Inputs!$C$16/2</x:f>
        <x:v>426.2753193927467</x:v>
      </x:c>
      <x:c r="S126" s="48" t="n">
        <x:f>F126+Inputs!$C$16/2</x:f>
        <x:v>456.2753193927467</x:v>
      </x:c>
      <x:c r="T126" s="48" t="n">
        <x:f>F126-Inputs!$C$17/2</x:f>
        <x:v>291.2753193927467</x:v>
      </x:c>
      <x:c r="U126" s="48" t="n">
        <x:f>F126+Inputs!$C$17/2</x:f>
        <x:v>591.2753193927467</x:v>
      </x:c>
      <x:c r="V126" s="48" t="n">
        <x:f>ABS(P126)</x:f>
        <x:v>15.081407566674704</x:v>
      </x:c>
      <x:c r="W126" s="48" t="n">
        <x:f>ABS(Q126)</x:f>
        <x:v>2.2644756106118176</x:v>
      </x:c>
      <x:c r="X126" s="48" t="n">
        <x: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(0.45*SIN(2*PI()*(((A126)/Inputs!$C$49)+Inputs!$C$47*0.137))+0.35*COS(2*PI()*(((0)/Inputs!$C$50)+Inputs!$C$47*0.173))+0.20*SIN(2*PI()*(((A126)+(0))/(0.5*(Inputs!$C$49+Inputs!$C$50))+Inputs!$C$47*0.097)))+0.30*(2*((SIN(((A126)*12.9898+(0)*78.233+Inputs!$C$47*37.719))*43758.5453)-INT((SIN(((A126)*12.9898+(0)*78.233+Inputs!$C$47*37.719))*43758.5453)))-1)))</x:f>
        <x:v>65.55817790320465</x:v>
      </x:c>
      <x:c r="Y126" s="48" t="n">
        <x: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(0.45*SIN(2*PI()*(((A126)/Inputs!$C$49)+Inputs!$C$47*0.137))+0.35*COS(2*PI()*(((Inputs!$C$6)/Inputs!$C$50)+Inputs!$C$47*0.173))+0.20*SIN(2*PI()*(((A126)+(Inputs!$C$6))/(0.5*(Inputs!$C$49+Inputs!$C$50))+Inputs!$C$47*0.097)))+0.30*(2*((SIN(((A126)*12.9898+(Inputs!$C$6)*78.233+Inputs!$C$47*37.719))*43758.5453)-INT((SIN(((A126)*12.9898+(Inputs!$C$6)*78.233+Inputs!$C$47*37.719))*43758.5453)))-1)))</x:f>
        <x:v>534.5064840723982</x:v>
      </x:c>
      <x:c r="Z126" s="48" t="n">
        <x:f>B126-X126/1000</x:f>
        <x:v>399.93888626654126</x:v>
      </x:c>
      <x:c r="AA126" s="48" t="n">
        <x:f>SQRT(A126^2+Inputs!$C$6^2+(B126-Y126/1000)^2)</x:f>
        <x:v>400.25645695486725</x:v>
      </x:c>
      <x:c r="AB126" s="48" t="n">
        <x:f>(AA126-Z126)*1000</x:f>
        <x:v>317.57068832598634</x:v>
      </x:c>
      <x:c r="AC126" s="48" t="n">
        <x:f>AB126/Inputs!$C$12</x:f>
        <x:v>178.41049905954287</x:v>
      </x:c>
      <x:c r="AD126" s="48" t="n">
        <x:f>2*AB126/Inputs!$C$21*1000000</x:f>
        <x:v>2.1186035862582395</x:v>
      </x:c>
      <x:c r="AE126" s="48" t="n">
        <x:f>DEGREES(ATAN(H126/(B126-Y126/1000)))</x:f>
        <x:v>3.5924787447746764</x:v>
      </x:c>
      <x:c r="AF126" s="48" t="n">
        <x:f>DEGREES((2*PI()/Inputs!$C$13)*Inputs!$C$15*SIN(RADIANS(AE126)))</x:f>
        <x:v>22.55742264736752</x:v>
      </x:c>
      <x:c r="AG126" s="48" t="n">
        <x:f>(Z126/AA126)^4</x:f>
        <x:v>0.9968301029679748</x:v>
      </x:c>
      <x:c r="AH126" s="48" t="n">
        <x:f>10*LOG10(AG126)</x:f>
        <x:v>-0.0137885536039089</x:v>
      </x:c>
      <x:c r="AI126" s="48" t="n">
        <x:f>AC126-F126</x:f>
        <x:v>-262.86482033320385</x:v>
      </x:c>
      <x:c r="AJ126" s="48" t="n">
        <x:f>AD126-G126</x:f>
        <x:v>-3.1214886679577702</x:v>
      </x:c>
      <x:c r="AK126" s="48" t="n">
        <x:f>Y126-X126</x:f>
        <x:v>468.94830616919353</x:v>
      </x:c>
      <x:c r="AL126" s="48" t="n">
        <x:f>1000*(AA127-AA125)/(A127-A125)*Inputs!$C$11</x:f>
        <x:v>-93.47843471687156</x:v>
      </x:c>
      <x:c r="AM126" s="48" t="n">
        <x:f>-2*AL126/Inputs!$C$13</x:f>
        <x:v>37.391373886748624</x:v>
      </x:c>
      <x:c r="AN126" s="48" t="n">
        <x:f>-2*AL126/Inputs!$C$14</x:f>
        <x:v>5.61432040341571</x:v>
      </x:c>
      <x:c r="AO126" s="48" t="n">
        <x:f>ABS(AM126)</x:f>
        <x:v>37.391373886748624</x:v>
      </x:c>
      <x:c r="AP126" s="48" t="n">
        <x:f>ABS(AN126)</x:f>
        <x:v>5.61432040341571</x:v>
      </x:c>
      <x:c r="AQ126" s="48" t="n">
        <x:f>IF(OR(Inputs!$C$27=TRUE,Inputs!$C$27="TRUE",Inputs!$C$27=1),Inputs!$C$46/Inputs!$C$12,0)</x:f>
        <x:v>42.13483146067416</x:v>
      </x:c>
      <x:c r="AR126" s="48" t="n">
        <x:f>AC126-AQ126</x:f>
        <x:v>136.27566759886872</x:v>
      </x:c>
      <x:c r="AS126" s="48" t="n">
        <x:f>AC126+AQ126</x:f>
        <x:v>220.54533052021702</x:v>
      </x:c>
    </x:row>
    <x:row r="127">
      <x:c r="A127" s="48" t="n">
        <x:f>Inputs!$C$7+125*(Inputs!$C$8-Inputs!$C$7)/240</x:f>
        <x:v>2.5</x:v>
      </x:c>
      <x:c r="B127" s="48" t="n">
        <x:f>Inputs!$C$5+Inputs!$C$9*(A127/Inputs!$C$10)^2</x:f>
        <x:v>400.00694444444446</x:v>
      </x:c>
      <x:c r="C127" s="48" t="n">
        <x:f>B127</x:f>
        <x:v>400.00694444444446</x:v>
      </x:c>
      <x:c r="D127" s="48" t="n">
        <x:f>SQRT(A127^2+Inputs!$C$6^2+B127^2)</x:f>
        <x:v>400.7952165430382</x:v>
      </x:c>
      <x:c r="E127" s="48" t="n">
        <x:f>(D127-C127)*1000</x:f>
        <x:v>788.2720985937226</x:v>
      </x:c>
      <x:c r="F127" s="48" t="n">
        <x:f>E127/Inputs!$C$12</x:f>
        <x:v>442.849493591979</x:v>
      </x:c>
      <x:c r="G127" s="48" t="n">
        <x:f>2*E127/Inputs!$C$21*1000000</x:f>
        <x:v>5.258785386747272</x:v>
      </x:c>
      <x:c r="H127" s="48" t="n">
        <x:f>SQRT(A127^2+Inputs!$C$6^2)</x:f>
        <x:v>25.124689052802225</x:v>
      </x:c>
      <x:c r="I127" s="48" t="n">
        <x:f>DEGREES(ATAN(H127/B127))</x:f>
        <x:v>3.594062691308639</x:v>
      </x:c>
      <x:c r="J127" s="48" t="n">
        <x:f>DEGREES((2*PI()/Inputs!$C$13)*Inputs!$C$15*SIN(RADIANS(I127)))</x:f>
        <x:v>22.567355311830532</x:v>
      </x:c>
      <x:c r="K127" s="48" t="n">
        <x:f>(C127/D127)^4</x:f>
        <x:v>0.9921560977906302</x:v>
      </x:c>
      <x:c r="L127" s="48" t="n">
        <x:f>10*LOG10(K127)</x:f>
        <x:v>-0.034199940999801504</x:v>
      </x:c>
      <x:c r="M127" s="48" t="n">
        <x:f>2*(Inputs!$C$9/(Inputs!$C$10^2))*A127</x:f>
        <x:v>0.005555555555555556</x:v>
      </x:c>
      <x:c r="N127" s="48" t="n">
        <x:f>M127*Inputs!$C$11</x:f>
        <x:v>0.022222222222222223</x:v>
      </x:c>
      <x:c r="O127" s="48" t="n">
        <x:f>1000*((A127*Inputs!$C$11)+(B127*N127))/D127</x:f>
        <x:v>47.12891379492849</x:v>
      </x:c>
      <x:c r="P127" s="48" t="n">
        <x:f>-2*O127/Inputs!$C$13</x:f>
        <x:v>-18.851565517971398</x:v>
      </x:c>
      <x:c r="Q127" s="48" t="n">
        <x:f>-2*O127/Inputs!$C$14</x:f>
        <x:v>-2.830565393088799</x:v>
      </x:c>
      <x:c r="R127" s="48" t="n">
        <x:f>F127-Inputs!$C$16/2</x:f>
        <x:v>427.849493591979</x:v>
      </x:c>
      <x:c r="S127" s="48" t="n">
        <x:f>F127+Inputs!$C$16/2</x:f>
        <x:v>457.849493591979</x:v>
      </x:c>
      <x:c r="T127" s="48" t="n">
        <x:f>F127-Inputs!$C$17/2</x:f>
        <x:v>292.849493591979</x:v>
      </x:c>
      <x:c r="U127" s="48" t="n">
        <x:f>F127+Inputs!$C$17/2</x:f>
        <x:v>592.849493591979</x:v>
      </x:c>
      <x:c r="V127" s="48" t="n">
        <x:f>ABS(P127)</x:f>
        <x:v>18.851565517971398</x:v>
      </x:c>
      <x:c r="W127" s="48" t="n">
        <x:f>ABS(Q127)</x:f>
        <x:v>2.830565393088799</x:v>
      </x:c>
      <x:c r="X127" s="48" t="n">
        <x: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(0.45*SIN(2*PI()*(((A127)/Inputs!$C$49)+Inputs!$C$47*0.137))+0.35*COS(2*PI()*(((0)/Inputs!$C$50)+Inputs!$C$47*0.173))+0.20*SIN(2*PI()*(((A127)+(0))/(0.5*(Inputs!$C$49+Inputs!$C$50))+Inputs!$C$47*0.097)))+0.30*(2*((SIN(((A127)*12.9898+(0)*78.233+Inputs!$C$47*37.719))*43758.5453)-INT((SIN(((A127)*12.9898+(0)*78.233+Inputs!$C$47*37.719))*43758.5453)))-1)))</x:f>
        <x:v>70.90088362648228</x:v>
      </x:c>
      <x:c r="Y127" s="48" t="n">
        <x: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(0.45*SIN(2*PI()*(((A127)/Inputs!$C$49)+Inputs!$C$47*0.137))+0.35*COS(2*PI()*(((Inputs!$C$6)/Inputs!$C$50)+Inputs!$C$47*0.173))+0.20*SIN(2*PI()*(((A127)+(Inputs!$C$6))/(0.5*(Inputs!$C$49+Inputs!$C$50))+Inputs!$C$47*0.097)))+0.30*(2*((SIN(((A127)*12.9898+(Inputs!$C$6)*78.233+Inputs!$C$47*37.719))*43758.5453)-INT((SIN(((A127)*12.9898+(Inputs!$C$6)*78.233+Inputs!$C$47*37.719))*43758.5453)))-1)))</x:f>
        <x:v>549.7308148691991</x:v>
      </x:c>
      <x:c r="Z127" s="48" t="n">
        <x:f>B127-X127/1000</x:f>
        <x:v>399.93604356081795</x:v>
      </x:c>
      <x:c r="AA127" s="48" t="n">
        <x:f>SQRT(A127^2+Inputs!$C$6^2+(B127-Y127/1000)^2)</x:f>
        <x:v>400.2465684059067</x:v>
      </x:c>
      <x:c r="AB127" s="48" t="n">
        <x:f>(AA127-Z127)*1000</x:f>
        <x:v>310.5248450887643</x:v>
      </x:c>
      <x:c r="AC127" s="48" t="n">
        <x:f>AB127/Inputs!$C$12</x:f>
        <x:v>174.45216016222716</x:v>
      </x:c>
      <x:c r="AD127" s="48" t="n">
        <x:f>2*AB127/Inputs!$C$21*1000000</x:f>
        <x:v>2.0715987797716</x:v>
      </x:c>
      <x:c r="AE127" s="48" t="n">
        <x:f>DEGREES(ATAN(H127/(B127-Y127/1000)))</x:f>
        <x:v>3.5989958292968733</x:v>
      </x:c>
      <x:c r="AF127" s="48" t="n">
        <x:f>DEGREES((2*PI()/Inputs!$C$13)*Inputs!$C$15*SIN(RADIANS(AE127)))</x:f>
        <x:v>22.598290086614817</x:v>
      </x:c>
      <x:c r="AG127" s="48" t="n">
        <x:f>(Z127/AA127)^4</x:f>
        <x:v>0.9969002741519178</x:v>
      </x:c>
      <x:c r="AH127" s="48" t="n">
        <x:f>10*LOG10(AG127)</x:f>
        <x:v>-0.013482845687358202</x:v>
      </x:c>
      <x:c r="AI127" s="48" t="n">
        <x:f>AC127-F127</x:f>
        <x:v>-268.3973334297518</x:v>
      </x:c>
      <x:c r="AJ127" s="48" t="n">
        <x:f>AD127-G127</x:f>
        <x:v>-3.187186606975672</x:v>
      </x:c>
      <x:c r="AK127" s="48" t="n">
        <x:f>Y127-X127</x:f>
        <x:v>478.82993124271684</x:v>
      </x:c>
      <x:c r="AL127" s="48" t="n">
        <x:f>1000*(AA128-AA126)/(A128-A126)*Inputs!$C$11</x:f>
        <x:v>37.8340272384321</x:v>
      </x:c>
      <x:c r="AM127" s="48" t="n">
        <x:f>-2*AL127/Inputs!$C$13</x:f>
        <x:v>-15.13361089537284</x:v>
      </x:c>
      <x:c r="AN127" s="48" t="n">
        <x:f>-2*AL127/Inputs!$C$14</x:f>
        <x:v>-2.2723139482541805</x:v>
      </x:c>
      <x:c r="AO127" s="48" t="n">
        <x:f>ABS(AM127)</x:f>
        <x:v>15.13361089537284</x:v>
      </x:c>
      <x:c r="AP127" s="48" t="n">
        <x:f>ABS(AN127)</x:f>
        <x:v>2.2723139482541805</x:v>
      </x:c>
      <x:c r="AQ127" s="48" t="n">
        <x:f>IF(OR(Inputs!$C$27=TRUE,Inputs!$C$27="TRUE",Inputs!$C$27=1),Inputs!$C$46/Inputs!$C$12,0)</x:f>
        <x:v>42.13483146067416</x:v>
      </x:c>
      <x:c r="AR127" s="48" t="n">
        <x:f>AC127-AQ127</x:f>
        <x:v>132.317328701553</x:v>
      </x:c>
      <x:c r="AS127" s="48" t="n">
        <x:f>AC127+AQ127</x:f>
        <x:v>216.5869916229013</x:v>
      </x:c>
    </x:row>
    <x:row r="128">
      <x:c r="A128" s="48" t="n">
        <x:f>Inputs!$C$7+126*(Inputs!$C$8-Inputs!$C$7)/240</x:f>
        <x:v>3</x:v>
      </x:c>
      <x:c r="B128" s="48" t="n">
        <x:f>Inputs!$C$5+Inputs!$C$9*(A128/Inputs!$C$10)^2</x:f>
        <x:v>400.01</x:v>
      </x:c>
      <x:c r="C128" s="48" t="n">
        <x:f>B128</x:f>
        <x:v>400.01</x:v>
      </x:c>
      <x:c r="D128" s="48" t="n">
        <x:f>SQRT(A128^2+Inputs!$C$6^2+B128^2)</x:f>
        <x:v>400.8016967279455</x:v>
      </x:c>
      <x:c r="E128" s="48" t="n">
        <x:f>(D128-C128)*1000</x:f>
        <x:v>791.6967279455207</x:v>
      </x:c>
      <x:c r="F128" s="48" t="n">
        <x:f>E128/Inputs!$C$12</x:f>
        <x:v>444.77344266602285</x:v>
      </x:c>
      <x:c r="G128" s="48" t="n">
        <x:f>2*E128/Inputs!$C$21*1000000</x:f>
        <x:v>5.2816320545697035</x:v>
      </x:c>
      <x:c r="H128" s="48" t="n">
        <x:f>SQRT(A128^2+Inputs!$C$6^2)</x:f>
        <x:v>25.179356624028344</x:v>
      </x:c>
      <x:c r="I128" s="48" t="n">
        <x:f>DEGREES(ATAN(H128/B128))</x:f>
        <x:v>3.601834829314978</x:v>
      </x:c>
      <x:c r="J128" s="48" t="n">
        <x:f>DEGREES((2*PI()/Inputs!$C$13)*Inputs!$C$15*SIN(RADIANS(I128)))</x:f>
        <x:v>22.616092842548554</x:v>
      </x:c>
      <x:c r="K128" s="48" t="n">
        <x:f>(C128/D128)^4</x:f>
        <x:v>0.9921222481403926</x:v>
      </x:c>
      <x:c r="L128" s="48" t="n">
        <x:f>10*LOG10(K128)</x:f>
        <x:v>-0.0343481129167515</x:v>
      </x:c>
      <x:c r="M128" s="48" t="n">
        <x:f>2*(Inputs!$C$9/(Inputs!$C$10^2))*A128</x:f>
        <x:v>0.006666666666666666</x:v>
      </x:c>
      <x:c r="N128" s="48" t="n">
        <x:f>M128*Inputs!$C$11</x:f>
        <x:v>0.026666666666666665</x:v>
      </x:c>
      <x:c r="O128" s="48" t="n">
        <x:f>1000*((A128*Inputs!$C$11)+(B128*N128))/D128</x:f>
        <x:v>56.553985470573245</x:v>
      </x:c>
      <x:c r="P128" s="48" t="n">
        <x:f>-2*O128/Inputs!$C$13</x:f>
        <x:v>-22.6215941882293</x:v>
      </x:c>
      <x:c r="Q128" s="48" t="n">
        <x:f>-2*O128/Inputs!$C$14</x:f>
        <x:v>-3.3966357639983933</x:v>
      </x:c>
      <x:c r="R128" s="48" t="n">
        <x:f>F128-Inputs!$C$16/2</x:f>
        <x:v>429.77344266602285</x:v>
      </x:c>
      <x:c r="S128" s="48" t="n">
        <x:f>F128+Inputs!$C$16/2</x:f>
        <x:v>459.77344266602285</x:v>
      </x:c>
      <x:c r="T128" s="48" t="n">
        <x:f>F128-Inputs!$C$17/2</x:f>
        <x:v>294.77344266602285</x:v>
      </x:c>
      <x:c r="U128" s="48" t="n">
        <x:f>F128+Inputs!$C$17/2</x:f>
        <x:v>594.7734426660229</x:v>
      </x:c>
      <x:c r="V128" s="48" t="n">
        <x:f>ABS(P128)</x:f>
        <x:v>22.6215941882293</x:v>
      </x:c>
      <x:c r="W128" s="48" t="n">
        <x:f>ABS(Q128)</x:f>
        <x:v>3.3966357639983933</x:v>
      </x:c>
      <x:c r="X128" s="48" t="n">
        <x: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(0.45*SIN(2*PI()*(((A128)/Inputs!$C$49)+Inputs!$C$47*0.137))+0.35*COS(2*PI()*(((0)/Inputs!$C$50)+Inputs!$C$47*0.173))+0.20*SIN(2*PI()*(((A128)+(0))/(0.5*(Inputs!$C$49+Inputs!$C$50))+Inputs!$C$47*0.097)))+0.30*(2*((SIN(((A128)*12.9898+(0)*78.233+Inputs!$C$47*37.719))*43758.5453)-INT((SIN(((A128)*12.9898+(0)*78.233+Inputs!$C$47*37.719))*43758.5453)))-1)))</x:f>
        <x:v>82.12086586426281</x:v>
      </x:c>
      <x:c r="Y128" s="48" t="n">
        <x: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(0.45*SIN(2*PI()*(((A128)/Inputs!$C$49)+Inputs!$C$47*0.137))+0.35*COS(2*PI()*(((Inputs!$C$6)/Inputs!$C$50)+Inputs!$C$47*0.173))+0.20*SIN(2*PI()*(((A128)+(Inputs!$C$6))/(0.5*(Inputs!$C$49+Inputs!$C$50))+Inputs!$C$47*0.097)))+0.30*(2*((SIN(((A128)*12.9898+(Inputs!$C$6)*78.233+Inputs!$C$47*37.719))*43758.5453)-INT((SIN(((A128)*12.9898+(Inputs!$C$6)*78.233+Inputs!$C$47*37.719))*43758.5453)))-1)))</x:f>
        <x:v>536.8431041026216</x:v>
      </x:c>
      <x:c r="Z128" s="48" t="n">
        <x:f>B128-X128/1000</x:f>
        <x:v>399.9278791341357</x:v>
      </x:c>
      <x:c r="AA128" s="48" t="n">
        <x:f>SQRT(A128^2+Inputs!$C$6^2+(B128-Y128/1000)^2)</x:f>
        <x:v>400.26591546167685</x:v>
      </x:c>
      <x:c r="AB128" s="48" t="n">
        <x:f>(AA128-Z128)*1000</x:f>
        <x:v>338.0363275411469</x:v>
      </x:c>
      <x:c r="AC128" s="48" t="n">
        <x:f>AB128/Inputs!$C$12</x:f>
        <x:v>189.9080491804196</x:v>
      </x:c>
      <x:c r="AD128" s="48" t="n">
        <x:f>2*AB128/Inputs!$C$21*1000000</x:f>
        <x:v>2.2551356348073766</x:v>
      </x:c>
      <x:c r="AE128" s="48" t="n">
        <x:f>DEGREES(ATAN(H128/(B128-Y128/1000)))</x:f>
        <x:v>3.606662487132426</x:v>
      </x:c>
      <x:c r="AF128" s="48" t="n">
        <x:f>DEGREES((2*PI()/Inputs!$C$13)*Inputs!$C$15*SIN(RADIANS(AE128)))</x:f>
        <x:v>22.646365914506866</x:v>
      </x:c>
      <x:c r="AG128" s="48" t="n">
        <x:f>(Z128/AA128)^4</x:f>
        <x:v>0.9966261594292324</x:v>
      </x:c>
      <x:c r="AH128" s="48" t="n">
        <x:f>10*LOG10(AG128)</x:f>
        <x:v>-0.0146771765998121</x:v>
      </x:c>
      <x:c r="AI128" s="48" t="n">
        <x:f>AC128-F128</x:f>
        <x:v>-254.86539348560325</x:v>
      </x:c>
      <x:c r="AJ128" s="48" t="n">
        <x:f>AD128-G128</x:f>
        <x:v>-3.026496419762327</x:v>
      </x:c>
      <x:c r="AK128" s="48" t="n">
        <x:f>Y128-X128</x:f>
        <x:v>454.72223823835884</x:v>
      </x:c>
      <x:c r="AL128" s="48" t="n">
        <x:f>1000*(AA129-AA127)/(A129-A127)*Inputs!$C$11</x:f>
        <x:v>3.9470202227676054</x:v>
      </x:c>
      <x:c r="AM128" s="48" t="n">
        <x:f>-2*AL128/Inputs!$C$13</x:f>
        <x:v>-1.5788080891070422</x:v>
      </x:c>
      <x:c r="AN128" s="48" t="n">
        <x:f>-2*AL128/Inputs!$C$14</x:f>
        <x:v>-0.23705827163769405</x:v>
      </x:c>
      <x:c r="AO128" s="48" t="n">
        <x:f>ABS(AM128)</x:f>
        <x:v>1.5788080891070422</x:v>
      </x:c>
      <x:c r="AP128" s="48" t="n">
        <x:f>ABS(AN128)</x:f>
        <x:v>0.23705827163769405</x:v>
      </x:c>
      <x:c r="AQ128" s="48" t="n">
        <x:f>IF(OR(Inputs!$C$27=TRUE,Inputs!$C$27="TRUE",Inputs!$C$27=1),Inputs!$C$46/Inputs!$C$12,0)</x:f>
        <x:v>42.13483146067416</x:v>
      </x:c>
      <x:c r="AR128" s="48" t="n">
        <x:f>AC128-AQ128</x:f>
        <x:v>147.77321771974545</x:v>
      </x:c>
      <x:c r="AS128" s="48" t="n">
        <x:f>AC128+AQ128</x:f>
        <x:v>232.04288064109375</x:v>
      </x:c>
    </x:row>
    <x:row r="129">
      <x:c r="A129" s="48" t="n">
        <x:f>Inputs!$C$7+127*(Inputs!$C$8-Inputs!$C$7)/240</x:f>
        <x:v>3.5</x:v>
      </x:c>
      <x:c r="B129" s="48" t="n">
        <x:f>Inputs!$C$5+Inputs!$C$9*(A129/Inputs!$C$10)^2</x:f>
        <x:v>400.0136111111111</x:v>
      </x:c>
      <x:c r="C129" s="48" t="n">
        <x:f>B129</x:f>
        <x:v>400.0136111111111</x:v>
      </x:c>
      <x:c r="D129" s="48" t="n">
        <x:f>SQRT(A129^2+Inputs!$C$6^2+B129^2)</x:f>
        <x:v>400.80935502324695</x:v>
      </x:c>
      <x:c r="E129" s="48" t="n">
        <x:f>(D129-C129)*1000</x:f>
        <x:v>795.7439121358334</x:v>
      </x:c>
      <x:c r="F129" s="48" t="n">
        <x:f>E129/Inputs!$C$12</x:f>
        <x:v>447.0471416493446</x:v>
      </x:c>
      <x:c r="G129" s="48" t="n">
        <x:f>2*E129/Inputs!$C$21*1000000</x:f>
        <x:v>5.3086319612205415</x:v>
      </x:c>
      <x:c r="H129" s="48" t="n">
        <x:f>SQRT(A129^2+Inputs!$C$6^2)</x:f>
        <x:v>25.243811122728676</x:v>
      </x:c>
      <x:c r="I129" s="48" t="n">
        <x:f>DEGREES(ATAN(H129/B129))</x:f>
        <x:v>3.6109979838002473</x:v>
      </x:c>
      <x:c r="J129" s="48" t="n">
        <x:f>DEGREES((2*PI()/Inputs!$C$13)*Inputs!$C$15*SIN(RADIANS(I129)))</x:f>
        <x:v>22.673552626173688</x:v>
      </x:c>
      <x:c r="K129" s="48" t="n">
        <x:f>(C129/D129)^4</x:f>
        <x:v>0.9920822475760858</x:v>
      </x:c>
      <x:c r="L129" s="48" t="n">
        <x:f>10*LOG10(K129)</x:f>
        <x:v>-0.0345232160816858</x:v>
      </x:c>
      <x:c r="M129" s="48" t="n">
        <x:f>2*(Inputs!$C$9/(Inputs!$C$10^2))*A129</x:f>
        <x:v>0.0077777777777777776</x:v>
      </x:c>
      <x:c r="N129" s="48" t="n">
        <x:f>M129*Inputs!$C$11</x:f>
        <x:v>0.03111111111111111</x:v>
      </x:c>
      <x:c r="O129" s="48" t="n">
        <x:f>1000*((A129*Inputs!$C$11)+(B129*N129))/D129</x:f>
        <x:v>65.97866933445394</x:v>
      </x:c>
      <x:c r="P129" s="48" t="n">
        <x:f>-2*O129/Inputs!$C$13</x:f>
        <x:v>-26.391467733781575</x:v>
      </x:c>
      <x:c r="Q129" s="48" t="n">
        <x:f>-2*O129/Inputs!$C$14</x:f>
        <x:v>-3.962682842910147</x:v>
      </x:c>
      <x:c r="R129" s="48" t="n">
        <x:f>F129-Inputs!$C$16/2</x:f>
        <x:v>432.0471416493446</x:v>
      </x:c>
      <x:c r="S129" s="48" t="n">
        <x:f>F129+Inputs!$C$16/2</x:f>
        <x:v>462.0471416493446</x:v>
      </x:c>
      <x:c r="T129" s="48" t="n">
        <x:f>F129-Inputs!$C$17/2</x:f>
        <x:v>297.0471416493446</x:v>
      </x:c>
      <x:c r="U129" s="48" t="n">
        <x:f>F129+Inputs!$C$17/2</x:f>
        <x:v>597.0471416493447</x:v>
      </x:c>
      <x:c r="V129" s="48" t="n">
        <x:f>ABS(P129)</x:f>
        <x:v>26.391467733781575</x:v>
      </x:c>
      <x:c r="W129" s="48" t="n">
        <x:f>ABS(Q129)</x:f>
        <x:v>3.962682842910147</x:v>
      </x:c>
      <x:c r="X129" s="48" t="n">
        <x: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(0.45*SIN(2*PI()*(((A129)/Inputs!$C$49)+Inputs!$C$47*0.137))+0.35*COS(2*PI()*(((0)/Inputs!$C$50)+Inputs!$C$47*0.173))+0.20*SIN(2*PI()*(((A129)+(0))/(0.5*(Inputs!$C$49+Inputs!$C$50))+Inputs!$C$47*0.097)))+0.30*(2*((SIN(((A129)*12.9898+(0)*78.233+Inputs!$C$47*37.719))*43758.5453)-INT((SIN(((A129)*12.9898+(0)*78.233+Inputs!$C$47*37.719))*43758.5453)))-1)))</x:f>
        <x:v>98.61636326587373</x:v>
      </x:c>
      <x:c r="Y129" s="48" t="n">
        <x: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(0.45*SIN(2*PI()*(((A129)/Inputs!$C$49)+Inputs!$C$47*0.137))+0.35*COS(2*PI()*(((Inputs!$C$6)/Inputs!$C$50)+Inputs!$C$47*0.173))+0.20*SIN(2*PI()*(((A129)+(Inputs!$C$6))/(0.5*(Inputs!$C$49+Inputs!$C$50))+Inputs!$C$47*0.097)))+0.30*(2*((SIN(((A129)*12.9898+(Inputs!$C$6)*78.233+Inputs!$C$47*37.719))*43758.5453)-INT((SIN(((A129)*12.9898+(Inputs!$C$6)*78.233+Inputs!$C$47*37.719))*43758.5453)))-1)))</x:f>
        <x:v>562.919019674553</x:v>
      </x:c>
      <x:c r="Z129" s="48" t="n">
        <x:f>B129-X129/1000</x:f>
        <x:v>399.91499474784524</x:v>
      </x:c>
      <x:c r="AA129" s="48" t="n">
        <x:f>SQRT(A129^2+Inputs!$C$6^2+(B129-Y129/1000)^2)</x:f>
        <x:v>400.2475551609624</x:v>
      </x:c>
      <x:c r="AB129" s="48" t="n">
        <x:f>(AA129-Z129)*1000</x:f>
        <x:v>332.56041311716444</x:v>
      </x:c>
      <x:c r="AC129" s="48" t="n">
        <x:f>AB129/Inputs!$C$12</x:f>
        <x:v>186.83169276245192</x:v>
      </x:c>
      <x:c r="AD129" s="48" t="n">
        <x:f>2*AB129/Inputs!$C$21*1000000</x:f>
        <x:v>2.2186042660030125</x:v>
      </x:c>
      <x:c r="AE129" s="48" t="n">
        <x:f>DEGREES(ATAN(H129/(B129-Y129/1000)))</x:f>
        <x:v>3.616073227962962</x:v>
      </x:c>
      <x:c r="AF129" s="48" t="n">
        <x:f>DEGREES((2*PI()/Inputs!$C$13)*Inputs!$C$15*SIN(RADIANS(AE129)))</x:f>
        <x:v>22.705377926737395</x:v>
      </x:c>
      <x:c r="AG129" s="48" t="n">
        <x:f>(Z129/AA129)^4</x:f>
        <x:v>0.9966805927153066</x:v>
      </x:c>
      <x:c r="AH129" s="48" t="n">
        <x:f>10*LOG10(AG129)</x:f>
        <x:v>-0.0144399820410284</x:v>
      </x:c>
      <x:c r="AI129" s="48" t="n">
        <x:f>AC129-F129</x:f>
        <x:v>-260.21544888689266</x:v>
      </x:c>
      <x:c r="AJ129" s="48" t="n">
        <x:f>AD129-G129</x:f>
        <x:v>-3.090027695217529</x:v>
      </x:c>
      <x:c r="AK129" s="48" t="n">
        <x:f>Y129-X129</x:f>
        <x:v>464.30265640867935</x:v>
      </x:c>
      <x:c r="AL129" s="48" t="n">
        <x:f>1000*(AA130-AA128)/(A130-A128)*Inputs!$C$11</x:f>
        <x:v>-33.082623564496316</x:v>
      </x:c>
      <x:c r="AM129" s="48" t="n">
        <x:f>-2*AL129/Inputs!$C$13</x:f>
        <x:v>13.233049425798526</x:v>
      </x:c>
      <x:c r="AN129" s="48" t="n">
        <x:f>-2*AL129/Inputs!$C$14</x:f>
        <x:v>1.986944358228007</x:v>
      </x:c>
      <x:c r="AO129" s="48" t="n">
        <x:f>ABS(AM129)</x:f>
        <x:v>13.233049425798526</x:v>
      </x:c>
      <x:c r="AP129" s="48" t="n">
        <x:f>ABS(AN129)</x:f>
        <x:v>1.986944358228007</x:v>
      </x:c>
      <x:c r="AQ129" s="48" t="n">
        <x:f>IF(OR(Inputs!$C$27=TRUE,Inputs!$C$27="TRUE",Inputs!$C$27=1),Inputs!$C$46/Inputs!$C$12,0)</x:f>
        <x:v>42.13483146067416</x:v>
      </x:c>
      <x:c r="AR129" s="48" t="n">
        <x:f>AC129-AQ129</x:f>
        <x:v>144.69686130177777</x:v>
      </x:c>
      <x:c r="AS129" s="48" t="n">
        <x:f>AC129+AQ129</x:f>
        <x:v>228.96652422312607</x:v>
      </x:c>
    </x:row>
    <x:row r="130">
      <x:c r="A130" s="48" t="n">
        <x:f>Inputs!$C$7+128*(Inputs!$C$8-Inputs!$C$7)/240</x:f>
        <x:v>4</x:v>
      </x:c>
      <x:c r="B130" s="48" t="n">
        <x:f>Inputs!$C$5+Inputs!$C$9*(A130/Inputs!$C$10)^2</x:f>
        <x:v>400.0177777777778</x:v>
      </x:c>
      <x:c r="C130" s="48" t="n">
        <x:f>B130</x:f>
        <x:v>400.0177777777778</x:v>
      </x:c>
      <x:c r="D130" s="48" t="n">
        <x:f>SQRT(A130^2+Inputs!$C$6^2+B130^2)</x:f>
        <x:v>400.8181913764289</x:v>
      </x:c>
      <x:c r="E130" s="48" t="n">
        <x:f>(D130-C130)*1000</x:f>
        <x:v>800.4135986511187</x:v>
      </x:c>
      <x:c r="F130" s="48" t="n">
        <x:f>E130/Inputs!$C$12</x:f>
        <x:v>449.67056103995435</x:v>
      </x:c>
      <x:c r="G130" s="48" t="n">
        <x:f>2*E130/Inputs!$C$21*1000000</x:f>
        <x:v>5.339784756367145</x:v>
      </x:c>
      <x:c r="H130" s="48" t="n">
        <x:f>SQRT(A130^2+Inputs!$C$6^2)</x:f>
        <x:v>25.317977802344327</x:v>
      </x:c>
      <x:c r="I130" s="48" t="n">
        <x:f>DEGREES(ATAN(H130/B130))</x:f>
        <x:v>3.62154133083556</x:v>
      </x:c>
      <x:c r="J130" s="48" t="n">
        <x:f>DEGREES((2*PI()/Inputs!$C$13)*Inputs!$C$15*SIN(RADIANS(I130)))</x:f>
        <x:v>22.739666524476903</x:v>
      </x:c>
      <x:c r="K130" s="48" t="n">
        <x:f>(C130/D130)^4</x:f>
        <x:v>0.9920360978809625</x:v>
      </x:c>
      <x:c r="L130" s="48" t="n">
        <x:f>10*LOG10(K130)</x:f>
        <x:v>-0.0347252459453083</x:v>
      </x:c>
      <x:c r="M130" s="48" t="n">
        <x:f>2*(Inputs!$C$9/(Inputs!$C$10^2))*A130</x:f>
        <x:v>0.008888888888888889</x:v>
      </x:c>
      <x:c r="N130" s="48" t="n">
        <x:f>M130*Inputs!$C$11</x:f>
        <x:v>0.035555555555555556</x:v>
      </x:c>
      <x:c r="O130" s="48" t="n">
        <x:f>1000*((A130*Inputs!$C$11)+(B130*N130))/D130</x:f>
        <x:v>75.40290079449969</x:v>
      </x:c>
      <x:c r="P130" s="48" t="n">
        <x:f>-2*O130/Inputs!$C$13</x:f>
        <x:v>-30.161160317799876</x:v>
      </x:c>
      <x:c r="Q130" s="48" t="n">
        <x:f>-2*O130/Inputs!$C$14</x:f>
        <x:v>-4.528702750420402</x:v>
      </x:c>
      <x:c r="R130" s="48" t="n">
        <x:f>F130-Inputs!$C$16/2</x:f>
        <x:v>434.67056103995435</x:v>
      </x:c>
      <x:c r="S130" s="48" t="n">
        <x:f>F130+Inputs!$C$16/2</x:f>
        <x:v>464.67056103995435</x:v>
      </x:c>
      <x:c r="T130" s="48" t="n">
        <x:f>F130-Inputs!$C$17/2</x:f>
        <x:v>299.67056103995435</x:v>
      </x:c>
      <x:c r="U130" s="48" t="n">
        <x:f>F130+Inputs!$C$17/2</x:f>
        <x:v>599.6705610399544</x:v>
      </x:c>
      <x:c r="V130" s="48" t="n">
        <x:f>ABS(P130)</x:f>
        <x:v>30.161160317799876</x:v>
      </x:c>
      <x:c r="W130" s="48" t="n">
        <x:f>ABS(Q130)</x:f>
        <x:v>4.528702750420402</x:v>
      </x:c>
      <x:c r="X130" s="48" t="n">
        <x: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(0.45*SIN(2*PI()*(((A130)/Inputs!$C$49)+Inputs!$C$47*0.137))+0.35*COS(2*PI()*(((0)/Inputs!$C$50)+Inputs!$C$47*0.173))+0.20*SIN(2*PI()*(((A130)+(0))/(0.5*(Inputs!$C$49+Inputs!$C$50))+Inputs!$C$47*0.097)))+0.30*(2*((SIN(((A130)*12.9898+(0)*78.233+Inputs!$C$47*37.719))*43758.5453)-INT((SIN(((A130)*12.9898+(0)*78.233+Inputs!$C$47*37.719))*43758.5453)))-1)))</x:f>
        <x:v>96.36311355528144</x:v>
      </x:c>
      <x:c r="Y130" s="48" t="n">
        <x: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(0.45*SIN(2*PI()*(((A130)/Inputs!$C$49)+Inputs!$C$47*0.137))+0.35*COS(2*PI()*(((Inputs!$C$6)/Inputs!$C$50)+Inputs!$C$47*0.173))+0.20*SIN(2*PI()*(((A130)+(Inputs!$C$6))/(0.5*(Inputs!$C$49+Inputs!$C$50))+Inputs!$C$47*0.097)))+0.30*(2*((SIN(((A130)*12.9898+(Inputs!$C$6)*78.233+Inputs!$C$47*37.719))*43758.5453)-INT((SIN(((A130)*12.9898+(Inputs!$C$6)*78.233+Inputs!$C$47*37.719))*43758.5453)))-1)))</x:f>
        <x:v>561.6697690573507</x:v>
      </x:c>
      <x:c r="Z130" s="48" t="n">
        <x:f>B130-X130/1000</x:f>
        <x:v>399.9214146642225</x:v>
      </x:c>
      <x:c r="AA130" s="48" t="n">
        <x:f>SQRT(A130^2+Inputs!$C$6^2+(B130-Y130/1000)^2)</x:f>
        <x:v>400.25764480578573</x:v>
      </x:c>
      <x:c r="AB130" s="48" t="n">
        <x:f>(AA130-Z130)*1000</x:f>
        <x:v>336.2301415632487</x:v>
      </x:c>
      <x:c r="AC130" s="48" t="n">
        <x:f>AB130/Inputs!$C$12</x:f>
        <x:v>188.89333795688128</x:v>
      </x:c>
      <x:c r="AD130" s="48" t="n">
        <x:f>2*AB130/Inputs!$C$21*1000000</x:f>
        <x:v>2.2430860589778328</x:v>
      </x:c>
      <x:c r="AE130" s="48" t="n">
        <x:f>DEGREES(ATAN(H130/(B130-Y130/1000)))</x:f>
        <x:v>3.626619949886558</x:v>
      </x:c>
      <x:c r="AF130" s="48" t="n">
        <x:f>DEGREES((2*PI()/Inputs!$C$13)*Inputs!$C$15*SIN(RADIANS(AE130)))</x:f>
        <x:v>22.771512617245605</x:v>
      </x:c>
      <x:c r="AG130" s="48" t="n">
        <x:f>(Z130/AA130)^4</x:f>
        <x:v>0.9966440944639693</x:v>
      </x:c>
      <x:c r="AH130" s="48" t="n">
        <x:f>10*LOG10(AG130)</x:f>
        <x:v>-0.0145990227558567</x:v>
      </x:c>
      <x:c r="AI130" s="48" t="n">
        <x:f>AC130-F130</x:f>
        <x:v>-260.77722308307307</x:v>
      </x:c>
      <x:c r="AJ130" s="48" t="n">
        <x:f>AD130-G130</x:f>
        <x:v>-3.096698697389312</x:v>
      </x:c>
      <x:c r="AK130" s="48" t="n">
        <x:f>Y130-X130</x:f>
        <x:v>465.30665550206925</x:v>
      </x:c>
      <x:c r="AL130" s="48" t="n">
        <x:f>1000*(AA131-AA129)/(A131-A129)*Inputs!$C$11</x:f>
        <x:v>52.60632759041073</x:v>
      </x:c>
      <x:c r="AM130" s="48" t="n">
        <x:f>-2*AL130/Inputs!$C$13</x:f>
        <x:v>-21.04253103616429</x:v>
      </x:c>
      <x:c r="AN130" s="48" t="n">
        <x:f>-2*AL130/Inputs!$C$14</x:f>
        <x:v>-3.1595391946192635</x:v>
      </x:c>
      <x:c r="AO130" s="48" t="n">
        <x:f>ABS(AM130)</x:f>
        <x:v>21.04253103616429</x:v>
      </x:c>
      <x:c r="AP130" s="48" t="n">
        <x:f>ABS(AN130)</x:f>
        <x:v>3.1595391946192635</x:v>
      </x:c>
      <x:c r="AQ130" s="48" t="n">
        <x:f>IF(OR(Inputs!$C$27=TRUE,Inputs!$C$27="TRUE",Inputs!$C$27=1),Inputs!$C$46/Inputs!$C$12,0)</x:f>
        <x:v>42.13483146067416</x:v>
      </x:c>
      <x:c r="AR130" s="48" t="n">
        <x:f>AC130-AQ130</x:f>
        <x:v>146.75850649620713</x:v>
      </x:c>
      <x:c r="AS130" s="48" t="n">
        <x:f>AC130+AQ130</x:f>
        <x:v>231.02816941755543</x:v>
      </x:c>
    </x:row>
    <x:row r="131">
      <x:c r="A131" s="48" t="n">
        <x:f>Inputs!$C$7+129*(Inputs!$C$8-Inputs!$C$7)/240</x:f>
        <x:v>4.5</x:v>
      </x:c>
      <x:c r="B131" s="48" t="n">
        <x:f>Inputs!$C$5+Inputs!$C$9*(A131/Inputs!$C$10)^2</x:f>
        <x:v>400.0225</x:v>
      </x:c>
      <x:c r="C131" s="48" t="n">
        <x:f>B131</x:f>
        <x:v>400.0225</x:v>
      </x:c>
      <x:c r="D131" s="48" t="n">
        <x:f>SQRT(A131^2+Inputs!$C$6^2+B131^2)</x:f>
        <x:v>400.82820572690486</x:v>
      </x:c>
      <x:c r="E131" s="48" t="n">
        <x:f>(D131-C131)*1000</x:f>
        <x:v>805.7057269048755</x:v>
      </x:c>
      <x:c r="F131" s="48" t="n">
        <x:f>E131/Inputs!$C$12</x:f>
        <x:v>452.64366680049187</x:v>
      </x:c>
      <x:c r="G131" s="48" t="n">
        <x:f>2*E131/Inputs!$C$21*1000000</x:f>
        <x:v>5.375090035819884</x:v>
      </x:c>
      <x:c r="H131" s="48" t="n">
        <x:f>SQRT(A131^2+Inputs!$C$6^2)</x:f>
        <x:v>25.401771591761076</x:v>
      </x:c>
      <x:c r="I131" s="48" t="n">
        <x:f>DEGREES(ATAN(H131/B131))</x:f>
        <x:v>3.6334525503982564</x:v>
      </x:c>
      <x:c r="J131" s="48" t="n">
        <x:f>DEGREES((2*PI()/Inputs!$C$13)*Inputs!$C$15*SIN(RADIANS(I131)))</x:f>
        <x:v>22.814356979819124</x:v>
      </x:c>
      <x:c r="K131" s="48" t="n">
        <x:f>(C131/D131)^4</x:f>
        <x:v>0.9919838011121314</x:v>
      </x:c>
      <x:c r="L131" s="48" t="n">
        <x:f>10*LOG10(K131)</x:f>
        <x:v>-0.0349541972591687</x:v>
      </x:c>
      <x:c r="M131" s="48" t="n">
        <x:f>2*(Inputs!$C$9/(Inputs!$C$10^2))*A131</x:f>
        <x:v>0.01</x:v>
      </x:c>
      <x:c r="N131" s="48" t="n">
        <x:f>M131*Inputs!$C$11</x:f>
        <x:v>0.04</x:v>
      </x:c>
      <x:c r="O131" s="48" t="n">
        <x:f>1000*((A131*Inputs!$C$11)+(B131*N131))/D131</x:f>
        <x:v>84.82661527858082</x:v>
      </x:c>
      <x:c r="P131" s="48" t="n">
        <x:f>-2*O131/Inputs!$C$13</x:f>
        <x:v>-33.930646111432324</x:v>
      </x:c>
      <x:c r="Q131" s="48" t="n">
        <x:f>-2*O131/Inputs!$C$14</x:f>
        <x:v>-5.094691608323172</x:v>
      </x:c>
      <x:c r="R131" s="48" t="n">
        <x:f>F131-Inputs!$C$16/2</x:f>
        <x:v>437.64366680049187</x:v>
      </x:c>
      <x:c r="S131" s="48" t="n">
        <x:f>F131+Inputs!$C$16/2</x:f>
        <x:v>467.64366680049187</x:v>
      </x:c>
      <x:c r="T131" s="48" t="n">
        <x:f>F131-Inputs!$C$17/2</x:f>
        <x:v>302.64366680049187</x:v>
      </x:c>
      <x:c r="U131" s="48" t="n">
        <x:f>F131+Inputs!$C$17/2</x:f>
        <x:v>602.6436668004919</x:v>
      </x:c>
      <x:c r="V131" s="48" t="n">
        <x:f>ABS(P131)</x:f>
        <x:v>33.930646111432324</x:v>
      </x:c>
      <x:c r="W131" s="48" t="n">
        <x:f>ABS(Q131)</x:f>
        <x:v>5.094691608323172</x:v>
      </x:c>
      <x:c r="X131" s="48" t="n">
        <x: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(0.45*SIN(2*PI()*(((A131)/Inputs!$C$49)+Inputs!$C$47*0.137))+0.35*COS(2*PI()*(((0)/Inputs!$C$50)+Inputs!$C$47*0.173))+0.20*SIN(2*PI()*(((A131)+(0))/(0.5*(Inputs!$C$49+Inputs!$C$50))+Inputs!$C$47*0.097)))+0.30*(2*((SIN(((A131)*12.9898+(0)*78.233+Inputs!$C$47*37.719))*43758.5453)-INT((SIN(((A131)*12.9898+(0)*78.233+Inputs!$C$47*37.719))*43758.5453)))-1)))</x:f>
        <x:v>82.51998590748882</x:v>
      </x:c>
      <x:c r="Y131" s="48" t="n">
        <x: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(0.45*SIN(2*PI()*(((A131)/Inputs!$C$49)+Inputs!$C$47*0.137))+0.35*COS(2*PI()*(((Inputs!$C$6)/Inputs!$C$50)+Inputs!$C$47*0.173))+0.20*SIN(2*PI()*(((A131)+(Inputs!$C$6))/(0.5*(Inputs!$C$49+Inputs!$C$50))+Inputs!$C$47*0.097)))+0.30*(2*((SIN(((A131)*12.9898+(Inputs!$C$6)*78.233+Inputs!$C$47*37.719))*43758.5453)-INT((SIN(((A131)*12.9898+(Inputs!$C$6)*78.233+Inputs!$C$47*37.719))*43758.5453)))-1)))</x:f>
        <x:v>568.6436382247327</x:v>
      </x:c>
      <x:c r="Z131" s="48" t="n">
        <x:f>B131-X131/1000</x:f>
        <x:v>399.9399800140925</x:v>
      </x:c>
      <x:c r="AA131" s="48" t="n">
        <x:f>SQRT(A131^2+Inputs!$C$6^2+(B131-Y131/1000)^2)</x:f>
        <x:v>400.26070674286</x:v>
      </x:c>
      <x:c r="AB131" s="48" t="n">
        <x:f>(AA131-Z131)*1000</x:f>
        <x:v>320.72672876751085</x:v>
      </x:c>
      <x:c r="AC131" s="48" t="n">
        <x:f>AB131/Inputs!$C$12</x:f>
        <x:v>180.18355548736565</x:v>
      </x:c>
      <x:c r="AD131" s="48" t="n">
        <x:f>2*AB131/Inputs!$C$21*1000000</x:f>
        <x:v>2.139658421743958</x:v>
      </x:c>
      <x:c r="AE131" s="48" t="n">
        <x:f>DEGREES(ATAN(H131/(B131-Y131/1000)))</x:f>
        <x:v>3.6386110760189014</x:v>
      </x:c>
      <x:c r="AF131" s="48" t="n">
        <x:f>DEGREES((2*PI()/Inputs!$C$13)*Inputs!$C$15*SIN(RADIANS(AE131)))</x:f>
        <x:v>22.84670370831276</x:v>
      </x:c>
      <x:c r="AG131" s="48" t="n">
        <x:f>(Z131/AA131)^4</x:f>
        <x:v>0.9967986721216154</x:v>
      </x:c>
      <x:c r="AH131" s="48" t="n">
        <x:f>10*LOG10(AG131)</x:f>
        <x:v>-0.0139254922687909</x:v>
      </x:c>
      <x:c r="AI131" s="48" t="n">
        <x:f>AC131-F131</x:f>
        <x:v>-272.4601113131262</x:v>
      </x:c>
      <x:c r="AJ131" s="48" t="n">
        <x:f>AD131-G131</x:f>
        <x:v>-3.2354316140759263</x:v>
      </x:c>
      <x:c r="AK131" s="48" t="n">
        <x:f>Y131-X131</x:f>
        <x:v>486.1236523172439</x:v>
      </x:c>
      <x:c r="AL131" s="48" t="n">
        <x:f>1000*(AA132-AA130)/(A132-A130)*Inputs!$C$11</x:f>
        <x:v>136.20508393114505</x:v>
      </x:c>
      <x:c r="AM131" s="48" t="n">
        <x:f>-2*AL131/Inputs!$C$13</x:f>
        <x:v>-54.48203357245802</x:v>
      </x:c>
      <x:c r="AN131" s="48" t="n">
        <x:f>-2*AL131/Inputs!$C$14</x:f>
        <x:v>-8.180485521390095</x:v>
      </x:c>
      <x:c r="AO131" s="48" t="n">
        <x:f>ABS(AM131)</x:f>
        <x:v>54.48203357245802</x:v>
      </x:c>
      <x:c r="AP131" s="48" t="n">
        <x:f>ABS(AN131)</x:f>
        <x:v>8.180485521390095</x:v>
      </x:c>
      <x:c r="AQ131" s="48" t="n">
        <x:f>IF(OR(Inputs!$C$27=TRUE,Inputs!$C$27="TRUE",Inputs!$C$27=1),Inputs!$C$46/Inputs!$C$12,0)</x:f>
        <x:v>42.13483146067416</x:v>
      </x:c>
      <x:c r="AR131" s="48" t="n">
        <x:f>AC131-AQ131</x:f>
        <x:v>138.0487240266915</x:v>
      </x:c>
      <x:c r="AS131" s="48" t="n">
        <x:f>AC131+AQ131</x:f>
        <x:v>222.3183869480398</x:v>
      </x:c>
    </x:row>
    <x:row r="132">
      <x:c r="A132" s="48" t="n">
        <x:f>Inputs!$C$7+130*(Inputs!$C$8-Inputs!$C$7)/240</x:f>
        <x:v>5</x:v>
      </x:c>
      <x:c r="B132" s="48" t="n">
        <x:f>Inputs!$C$5+Inputs!$C$9*(A132/Inputs!$C$10)^2</x:f>
        <x:v>400.02777777777777</x:v>
      </x:c>
      <x:c r="C132" s="48" t="n">
        <x:f>B132</x:f>
        <x:v>400.02777777777777</x:v>
      </x:c>
      <x:c r="D132" s="48" t="n">
        <x:f>SQRT(A132^2+Inputs!$C$6^2+B132^2)</x:f>
        <x:v>400.8393980060183</x:v>
      </x:c>
      <x:c r="E132" s="48" t="n">
        <x:f>(D132-C132)*1000</x:f>
        <x:v>811.6202282405425</x:v>
      </x:c>
      <x:c r="F132" s="48" t="n">
        <x:f>E132/Inputs!$C$12</x:f>
        <x:v>455.9664203598553</x:v>
      </x:c>
      <x:c r="G132" s="48" t="n">
        <x:f>2*E132/Inputs!$C$21*1000000</x:f>
        <x:v>5.414547341551484</x:v>
      </x:c>
      <x:c r="H132" s="48" t="n">
        <x:f>SQRT(A132^2+Inputs!$C$6^2)</x:f>
        <x:v>25.495097567963924</x:v>
      </x:c>
      <x:c r="I132" s="48" t="n">
        <x:f>DEGREES(ATAN(H132/B132))</x:f>
        <x:v>3.646717894415093</x:v>
      </x:c>
      <x:c r="J132" s="48" t="n">
        <x:f>DEGREES((2*PI()/Inputs!$C$13)*Inputs!$C$15*SIN(RADIANS(I132)))</x:f>
        <x:v>22.897537442986597</x:v>
      </x:c>
      <x:c r="K132" s="48" t="n">
        <x:f>(C132/D132)^4</x:f>
        <x:v>0.9919253596003422</x:v>
      </x:c>
      <x:c r="L132" s="48" t="n">
        <x:f>10*LOG10(K132)</x:f>
        <x:v>-0.0352100640759975</x:v>
      </x:c>
      <x:c r="M132" s="48" t="n">
        <x:f>2*(Inputs!$C$9/(Inputs!$C$10^2))*A132</x:f>
        <x:v>0.011111111111111112</x:v>
      </x:c>
      <x:c r="N132" s="48" t="n">
        <x:f>M132*Inputs!$C$11</x:f>
        <x:v>0.044444444444444446</x:v>
      </x:c>
      <x:c r="O132" s="48" t="n">
        <x:f>1000*((A132*Inputs!$C$11)+(B132*N132))/D132</x:f>
        <x:v>94.24974823735214</x:v>
      </x:c>
      <x:c r="P132" s="48" t="n">
        <x:f>-2*O132/Inputs!$C$13</x:f>
        <x:v>-37.699899294940856</x:v>
      </x:c>
      <x:c r="Q132" s="48" t="n">
        <x:f>-2*O132/Inputs!$C$14</x:f>
        <x:v>-5.6606455397809095</x:v>
      </x:c>
      <x:c r="R132" s="48" t="n">
        <x:f>F132-Inputs!$C$16/2</x:f>
        <x:v>440.9664203598553</x:v>
      </x:c>
      <x:c r="S132" s="48" t="n">
        <x:f>F132+Inputs!$C$16/2</x:f>
        <x:v>470.9664203598553</x:v>
      </x:c>
      <x:c r="T132" s="48" t="n">
        <x:f>F132-Inputs!$C$17/2</x:f>
        <x:v>305.9664203598553</x:v>
      </x:c>
      <x:c r="U132" s="48" t="n">
        <x:f>F132+Inputs!$C$17/2</x:f>
        <x:v>605.9664203598553</x:v>
      </x:c>
      <x:c r="V132" s="48" t="n">
        <x:f>ABS(P132)</x:f>
        <x:v>37.699899294940856</x:v>
      </x:c>
      <x:c r="W132" s="48" t="n">
        <x:f>ABS(Q132)</x:f>
        <x:v>5.6606455397809095</x:v>
      </x:c>
      <x:c r="X132" s="48" t="n">
        <x: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(0.45*SIN(2*PI()*(((A132)/Inputs!$C$49)+Inputs!$C$47*0.137))+0.35*COS(2*PI()*(((0)/Inputs!$C$50)+Inputs!$C$47*0.173))+0.20*SIN(2*PI()*(((A132)+(0))/(0.5*(Inputs!$C$49+Inputs!$C$50))+Inputs!$C$47*0.097)))+0.30*(2*((SIN(((A132)*12.9898+(0)*78.233+Inputs!$C$47*37.719))*43758.5453)-INT((SIN(((A132)*12.9898+(0)*78.233+Inputs!$C$47*37.719))*43758.5453)))-1)))</x:f>
        <x:v>98.94976350623145</x:v>
      </x:c>
      <x:c r="Y132" s="48" t="n">
        <x: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(0.45*SIN(2*PI()*(((A132)/Inputs!$C$49)+Inputs!$C$47*0.137))+0.35*COS(2*PI()*(((Inputs!$C$6)/Inputs!$C$50)+Inputs!$C$47*0.173))+0.20*SIN(2*PI()*(((A132)+(Inputs!$C$6))/(0.5*(Inputs!$C$49+Inputs!$C$50))+Inputs!$C$47*0.097)))+0.30*(2*((SIN(((A132)*12.9898+(Inputs!$C$6)*78.233+Inputs!$C$47*37.719))*43758.5453)-INT((SIN(((A132)*12.9898+(Inputs!$C$6)*78.233+Inputs!$C$47*37.719))*43758.5453)))-1)))</x:f>
        <x:v>548.8146920903409</x:v>
      </x:c>
      <x:c r="Z132" s="48" t="n">
        <x:f>B132-X132/1000</x:f>
        <x:v>399.9288280142715</x:v>
      </x:c>
      <x:c r="AA132" s="48" t="n">
        <x:f>SQRT(A132^2+Inputs!$C$6^2+(B132-Y132/1000)^2)</x:f>
        <x:v>400.2916960767685</x:v>
      </x:c>
      <x:c r="AB132" s="48" t="n">
        <x:f>(AA132-Z132)*1000</x:f>
        <x:v>362.8680624970002</x:v>
      </x:c>
      <x:c r="AC132" s="48" t="n">
        <x:f>AB132/Inputs!$C$12</x:f>
        <x:v>203.85846207696642</x:v>
      </x:c>
      <x:c r="AD132" s="48" t="n">
        <x:f>2*AB132/Inputs!$C$21*1000000</x:f>
        <x:v>2.4207951388623674</x:v>
      </x:c>
      <x:c r="AE132" s="48" t="n">
        <x:f>DEGREES(ATAN(H132/(B132-Y132/1000)))</x:f>
        <x:v>3.6517143042935203</x:v>
      </x:c>
      <x:c r="AF132" s="48" t="n">
        <x:f>DEGREES((2*PI()/Inputs!$C$13)*Inputs!$C$15*SIN(RADIANS(AE132)))</x:f>
        <x:v>22.928867159679463</x:v>
      </x:c>
      <x:c r="AG132" s="48" t="n">
        <x:f>(Z132/AA132)^4</x:f>
        <x:v>0.9963788911998572</x:v>
      </x:c>
      <x:c r="AH132" s="48" t="n">
        <x:f>10*LOG10(AG132)</x:f>
        <x:v>-0.0157548179041803</x:v>
      </x:c>
      <x:c r="AI132" s="48" t="n">
        <x:f>AC132-F132</x:f>
        <x:v>-252.1079582828889</x:v>
      </x:c>
      <x:c r="AJ132" s="48" t="n">
        <x:f>AD132-G132</x:f>
        <x:v>-2.9937522026891163</x:v>
      </x:c>
      <x:c r="AK132" s="48" t="n">
        <x:f>Y132-X132</x:f>
        <x:v>449.8649285841095</x:v>
      </x:c>
      <x:c r="AL132" s="48" t="n">
        <x:f>1000*(AA133-AA131)/(A133-A131)*Inputs!$C$11</x:f>
        <x:v>210.57111764503134</x:v>
      </x:c>
      <x:c r="AM132" s="48" t="n">
        <x:f>-2*AL132/Inputs!$C$13</x:f>
        <x:v>-84.22844705801253</x:v>
      </x:c>
      <x:c r="AN132" s="48" t="n">
        <x:f>-2*AL132/Inputs!$C$14</x:f>
        <x:v>-12.646913972674556</x:v>
      </x:c>
      <x:c r="AO132" s="48" t="n">
        <x:f>ABS(AM132)</x:f>
        <x:v>84.22844705801253</x:v>
      </x:c>
      <x:c r="AP132" s="48" t="n">
        <x:f>ABS(AN132)</x:f>
        <x:v>12.646913972674556</x:v>
      </x:c>
      <x:c r="AQ132" s="48" t="n">
        <x:f>IF(OR(Inputs!$C$27=TRUE,Inputs!$C$27="TRUE",Inputs!$C$27=1),Inputs!$C$46/Inputs!$C$12,0)</x:f>
        <x:v>42.13483146067416</x:v>
      </x:c>
      <x:c r="AR132" s="48" t="n">
        <x:f>AC132-AQ132</x:f>
        <x:v>161.72363061629227</x:v>
      </x:c>
      <x:c r="AS132" s="48" t="n">
        <x:f>AC132+AQ132</x:f>
        <x:v>245.99329353764057</x:v>
      </x:c>
    </x:row>
    <x:row r="133">
      <x:c r="A133" s="48" t="n">
        <x:f>Inputs!$C$7+131*(Inputs!$C$8-Inputs!$C$7)/240</x:f>
        <x:v>5.5</x:v>
      </x:c>
      <x:c r="B133" s="48" t="n">
        <x:f>Inputs!$C$5+Inputs!$C$9*(A133/Inputs!$C$10)^2</x:f>
        <x:v>400.0336111111111</x:v>
      </x:c>
      <x:c r="C133" s="48" t="n">
        <x:f>B133</x:f>
        <x:v>400.0336111111111</x:v>
      </x:c>
      <x:c r="D133" s="48" t="n">
        <x:f>SQRT(A133^2+Inputs!$C$6^2+B133^2)</x:f>
        <x:v>400.8517681370455</x:v>
      </x:c>
      <x:c r="E133" s="48" t="n">
        <x:f>(D133-C133)*1000</x:f>
        <x:v>818.1570259343971</x:v>
      </x:c>
      <x:c r="F133" s="48" t="n">
        <x:f>E133/Inputs!$C$12</x:f>
        <x:v>459.63877861482985</x:v>
      </x:c>
      <x:c r="G133" s="48" t="n">
        <x:f>2*E133/Inputs!$C$21*1000000</x:f>
        <x:v>5.458156161716364</x:v>
      </x:c>
      <x:c r="H133" s="48" t="n">
        <x:f>SQRT(A133^2+Inputs!$C$6^2)</x:f>
        <x:v>25.59785147234041</x:v>
      </x:c>
      <x:c r="I133" s="48" t="n">
        <x:f>DEGREES(ATAN(H133/B133))</x:f>
        <x:v>3.6613222610928524</x:v>
      </x:c>
      <x:c r="J133" s="48" t="n">
        <x:f>DEGREES((2*PI()/Inputs!$C$13)*Inputs!$C$15*SIN(RADIANS(I133)))</x:f>
        <x:v>22.989112840565028</x:v>
      </x:c>
      <x:c r="K133" s="48" t="n">
        <x:f>(C133/D133)^4</x:f>
        <x:v>0.9918607759497502</x:v>
      </x:c>
      <x:c r="L133" s="48" t="n">
        <x:f>10*LOG10(K133)</x:f>
        <x:v>-0.0354928397500539</x:v>
      </x:c>
      <x:c r="M133" s="48" t="n">
        <x:f>2*(Inputs!$C$9/(Inputs!$C$10^2))*A133</x:f>
        <x:v>0.012222222222222223</x:v>
      </x:c>
      <x:c r="N133" s="48" t="n">
        <x:f>M133*Inputs!$C$11</x:f>
        <x:v>0.04888888888888889</x:v>
      </x:c>
      <x:c r="O133" s="48" t="n">
        <x:f>1000*((A133*Inputs!$C$11)+(B133*N133))/D133</x:f>
        <x:v>103.67223514709379</x:v>
      </x:c>
      <x:c r="P133" s="48" t="n">
        <x:f>-2*O133/Inputs!$C$13</x:f>
        <x:v>-41.46889405883751</x:v>
      </x:c>
      <x:c r="Q133" s="48" t="n">
        <x:f>-2*O133/Inputs!$C$14</x:f>
        <x:v>-6.2265606694951225</x:v>
      </x:c>
      <x:c r="R133" s="48" t="n">
        <x:f>F133-Inputs!$C$16/2</x:f>
        <x:v>444.63877861482985</x:v>
      </x:c>
      <x:c r="S133" s="48" t="n">
        <x:f>F133+Inputs!$C$16/2</x:f>
        <x:v>474.63877861482985</x:v>
      </x:c>
      <x:c r="T133" s="48" t="n">
        <x:f>F133-Inputs!$C$17/2</x:f>
        <x:v>309.63877861482985</x:v>
      </x:c>
      <x:c r="U133" s="48" t="n">
        <x:f>F133+Inputs!$C$17/2</x:f>
        <x:v>609.6387786148298</x:v>
      </x:c>
      <x:c r="V133" s="48" t="n">
        <x:f>ABS(P133)</x:f>
        <x:v>41.46889405883751</x:v>
      </x:c>
      <x:c r="W133" s="48" t="n">
        <x:f>ABS(Q133)</x:f>
        <x:v>6.2265606694951225</x:v>
      </x:c>
      <x:c r="X133" s="48" t="n">
        <x: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(0.45*SIN(2*PI()*(((A133)/Inputs!$C$49)+Inputs!$C$47*0.137))+0.35*COS(2*PI()*(((0)/Inputs!$C$50)+Inputs!$C$47*0.173))+0.20*SIN(2*PI()*(((A133)+(0))/(0.5*(Inputs!$C$49+Inputs!$C$50))+Inputs!$C$47*0.097)))+0.30*(2*((SIN(((A133)*12.9898+(0)*78.233+Inputs!$C$47*37.719))*43758.5453)-INT((SIN(((A133)*12.9898+(0)*78.233+Inputs!$C$47*37.719))*43758.5453)))-1)))</x:f>
        <x:v>97.11441747768895</x:v>
      </x:c>
      <x:c r="Y133" s="48" t="n">
        <x: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(0.45*SIN(2*PI()*(((A133)/Inputs!$C$49)+Inputs!$C$47*0.137))+0.35*COS(2*PI()*(((Inputs!$C$6)/Inputs!$C$50)+Inputs!$C$47*0.173))+0.20*SIN(2*PI()*(((A133)+(Inputs!$C$6))/(0.5*(Inputs!$C$49+Inputs!$C$50))+Inputs!$C$47*0.097)))+0.30*(2*((SIN(((A133)*12.9898+(Inputs!$C$6)*78.233+Inputs!$C$47*37.719))*43758.5453)-INT((SIN(((A133)*12.9898+(Inputs!$C$6)*78.233+Inputs!$C$47*37.719))*43758.5453)))-1)))</x:f>
        <x:v>539.5212853164131</x:v>
      </x:c>
      <x:c r="Z133" s="48" t="n">
        <x:f>B133-X133/1000</x:f>
        <x:v>399.9364966936334</x:v>
      </x:c>
      <x:c r="AA133" s="48" t="n">
        <x:f>SQRT(A133^2+Inputs!$C$6^2+(B133-Y133/1000)^2)</x:f>
        <x:v>400.31334952227127</x:v>
      </x:c>
      <x:c r="AB133" s="48" t="n">
        <x:f>(AA133-Z133)*1000</x:f>
        <x:v>376.8528286378796</x:v>
      </x:c>
      <x:c r="AC133" s="48" t="n">
        <x:f>AB133/Inputs!$C$12</x:f>
        <x:v>211.7150722684717</x:v>
      </x:c>
      <x:c r="AD133" s="48" t="n">
        <x:f>2*AB133/Inputs!$C$21*1000000</x:f>
        <x:v>2.514091456149171</x:v>
      </x:c>
      <x:c r="AE133" s="48" t="n">
        <x:f>DEGREES(ATAN(H133/(B133-Y133/1000)))</x:f>
        <x:v>3.6662534410783953</x:v>
      </x:c>
      <x:c r="AF133" s="48" t="n">
        <x:f>DEGREES((2*PI()/Inputs!$C$13)*Inputs!$C$15*SIN(RADIANS(AE133)))</x:f>
        <x:v>23.020033034221512</x:v>
      </x:c>
      <x:c r="AG133" s="48" t="n">
        <x:f>(Z133/AA133)^4</x:f>
        <x:v>0.9962397355756117</x:v>
      </x:c>
      <x:c r="AH133" s="48" t="n">
        <x:f>10*LOG10(AG133)</x:f>
        <x:v>-0.0163614018136328</x:v>
      </x:c>
      <x:c r="AI133" s="48" t="n">
        <x:f>AC133-F133</x:f>
        <x:v>-247.92370634635816</x:v>
      </x:c>
      <x:c r="AJ133" s="48" t="n">
        <x:f>AD133-G133</x:f>
        <x:v>-2.9440647055671927</x:v>
      </x:c>
      <x:c r="AK133" s="48" t="n">
        <x:f>Y133-X133</x:f>
        <x:v>442.40686783872417</x:v>
      </x:c>
      <x:c r="AL133" s="48" t="n">
        <x:f>1000*(AA134-AA132)/(A134-A132)*Inputs!$C$11</x:f>
        <x:v>164.11257676145397</x:v>
      </x:c>
      <x:c r="AM133" s="48" t="n">
        <x:f>-2*AL133/Inputs!$C$13</x:f>
        <x:v>-65.64503070458159</x:v>
      </x:c>
      <x:c r="AN133" s="48" t="n">
        <x:f>-2*AL133/Inputs!$C$14</x:f>
        <x:v>-9.856611216904144</x:v>
      </x:c>
      <x:c r="AO133" s="48" t="n">
        <x:f>ABS(AM133)</x:f>
        <x:v>65.64503070458159</x:v>
      </x:c>
      <x:c r="AP133" s="48" t="n">
        <x:f>ABS(AN133)</x:f>
        <x:v>9.856611216904144</x:v>
      </x:c>
      <x:c r="AQ133" s="48" t="n">
        <x:f>IF(OR(Inputs!$C$27=TRUE,Inputs!$C$27="TRUE",Inputs!$C$27=1),Inputs!$C$46/Inputs!$C$12,0)</x:f>
        <x:v>42.13483146067416</x:v>
      </x:c>
      <x:c r="AR133" s="48" t="n">
        <x:f>AC133-AQ133</x:f>
        <x:v>169.58024080779754</x:v>
      </x:c>
      <x:c r="AS133" s="48" t="n">
        <x:f>AC133+AQ133</x:f>
        <x:v>253.84990372914584</x:v>
      </x:c>
    </x:row>
    <x:row r="134">
      <x:c r="A134" s="48" t="n">
        <x:f>Inputs!$C$7+132*(Inputs!$C$8-Inputs!$C$7)/240</x:f>
        <x:v>6</x:v>
      </x:c>
      <x:c r="B134" s="48" t="n">
        <x:f>Inputs!$C$5+Inputs!$C$9*(A134/Inputs!$C$10)^2</x:f>
        <x:v>400.04</x:v>
      </x:c>
      <x:c r="C134" s="48" t="n">
        <x:f>B134</x:f>
        <x:v>400.04</x:v>
      </x:c>
      <x:c r="D134" s="48" t="n">
        <x:f>SQRT(A134^2+Inputs!$C$6^2+B134^2)</x:f>
        <x:v>400.86531603519904</x:v>
      </x:c>
      <x:c r="E134" s="48" t="n">
        <x:f>(D134-C134)*1000</x:f>
        <x:v>825.3160351990232</x:v>
      </x:c>
      <x:c r="F134" s="48" t="n">
        <x:f>E134/Inputs!$C$12</x:f>
        <x:v>463.6606939320355</x:v>
      </x:c>
      <x:c r="G134" s="48" t="n">
        <x:f>2*E134/Inputs!$C$21*1000000</x:f>
        <x:v>5.505915930673767</x:v>
      </x:c>
      <x:c r="H134" s="48" t="n">
        <x:f>SQRT(A134^2+Inputs!$C$6^2)</x:f>
        <x:v>25.709920264364882</x:v>
      </x:c>
      <x:c r="I134" s="48" t="n">
        <x:f>DEGREES(ATAN(H134/B134))</x:f>
        <x:v>3.6772492746351846</x:v>
      </x:c>
      <x:c r="J134" s="48" t="n">
        <x:f>DEGREES((2*PI()/Inputs!$C$13)*Inputs!$C$15*SIN(RADIANS(I134)))</x:f>
        <x:v>23.0889800761876</x:v>
      </x:c>
      <x:c r="K134" s="48" t="n">
        <x:f>(C134/D134)^4</x:f>
        <x:v>0.9917900530376442</x:v>
      </x:c>
      <x:c r="L134" s="48" t="n">
        <x:f>10*LOG10(K134)</x:f>
        <x:v>-0.03580251693755</x:v>
      </x:c>
      <x:c r="M134" s="48" t="n">
        <x:f>2*(Inputs!$C$9/(Inputs!$C$10^2))*A134</x:f>
        <x:v>0.013333333333333332</x:v>
      </x:c>
      <x:c r="N134" s="48" t="n">
        <x:f>M134*Inputs!$C$11</x:f>
        <x:v>0.05333333333333333</x:v>
      </x:c>
      <x:c r="O134" s="48" t="n">
        <x:f>1000*((A134*Inputs!$C$11)+(B134*N134))/D134</x:f>
        <x:v>113.09401151254967</x:v>
      </x:c>
      <x:c r="P134" s="48" t="n">
        <x:f>-2*O134/Inputs!$C$13</x:f>
        <x:v>-45.23760460501987</x:v>
      </x:c>
      <x:c r="Q134" s="48" t="n">
        <x:f>-2*O134/Inputs!$C$14</x:f>
        <x:v>-6.792433123876858</x:v>
      </x:c>
      <x:c r="R134" s="48" t="n">
        <x:f>F134-Inputs!$C$16/2</x:f>
        <x:v>448.6606939320355</x:v>
      </x:c>
      <x:c r="S134" s="48" t="n">
        <x:f>F134+Inputs!$C$16/2</x:f>
        <x:v>478.6606939320355</x:v>
      </x:c>
      <x:c r="T134" s="48" t="n">
        <x:f>F134-Inputs!$C$17/2</x:f>
        <x:v>313.6606939320355</x:v>
      </x:c>
      <x:c r="U134" s="48" t="n">
        <x:f>F134+Inputs!$C$17/2</x:f>
        <x:v>613.6606939320354</x:v>
      </x:c>
      <x:c r="V134" s="48" t="n">
        <x:f>ABS(P134)</x:f>
        <x:v>45.23760460501987</x:v>
      </x:c>
      <x:c r="W134" s="48" t="n">
        <x:f>ABS(Q134)</x:f>
        <x:v>6.792433123876858</x:v>
      </x:c>
      <x:c r="X134" s="48" t="n">
        <x: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(0.45*SIN(2*PI()*(((A134)/Inputs!$C$49)+Inputs!$C$47*0.137))+0.35*COS(2*PI()*(((0)/Inputs!$C$50)+Inputs!$C$47*0.173))+0.20*SIN(2*PI()*(((A134)+(0))/(0.5*(Inputs!$C$49+Inputs!$C$50))+Inputs!$C$47*0.097)))+0.30*(2*((SIN(((A134)*12.9898+(0)*78.233+Inputs!$C$47*37.719))*43758.5453)-INT((SIN(((A134)*12.9898+(0)*78.233+Inputs!$C$47*37.719))*43758.5453)))-1)))</x:f>
        <x:v>70.34255347941284</x:v>
      </x:c>
      <x:c r="Y134" s="48" t="n">
        <x: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(0.45*SIN(2*PI()*(((A134)/Inputs!$C$49)+Inputs!$C$47*0.137))+0.35*COS(2*PI()*(((Inputs!$C$6)/Inputs!$C$50)+Inputs!$C$47*0.173))+0.20*SIN(2*PI()*(((A134)+(Inputs!$C$6))/(0.5*(Inputs!$C$49+Inputs!$C$50))+Inputs!$C$47*0.097)))+0.30*(2*((SIN(((A134)*12.9898+(Inputs!$C$6)*78.233+Inputs!$C$47*37.719))*43758.5453)-INT((SIN(((A134)*12.9898+(Inputs!$C$6)*78.233+Inputs!$C$47*37.719))*43758.5453)))-1)))</x:f>
        <x:v>533.6920620973987</x:v>
      </x:c>
      <x:c r="Z134" s="48" t="n">
        <x:f>B134-X134/1000</x:f>
        <x:v>399.9696574465206</x:v>
      </x:c>
      <x:c r="AA134" s="48" t="n">
        <x:f>SQRT(A134^2+Inputs!$C$6^2+(B134-Y134/1000)^2)</x:f>
        <x:v>400.3327242209589</x:v>
      </x:c>
      <x:c r="AB134" s="48" t="n">
        <x:f>(AA134-Z134)*1000</x:f>
        <x:v>363.0667744382663</x:v>
      </x:c>
      <x:c r="AC134" s="48" t="n">
        <x:f>AB134/Inputs!$C$12</x:f>
        <x:v>203.970097999026</x:v>
      </x:c>
      <x:c r="AD134" s="48" t="n">
        <x:f>2*AB134/Inputs!$C$21*1000000</x:f>
        <x:v>2.422120802240237</x:v>
      </x:c>
      <x:c r="AE134" s="48" t="n">
        <x:f>DEGREES(ATAN(H134/(B134-Y134/1000)))</x:f>
        <x:v>3.6821481290433065</x:v>
      </x:c>
      <x:c r="AF134" s="48" t="n">
        <x:f>DEGREES((2*PI()/Inputs!$C$13)*Inputs!$C$15*SIN(RADIANS(AE134)))</x:f>
        <x:v>23.11969702997064</x:v>
      </x:c>
      <x:c r="AG134" s="48" t="n">
        <x:f>(Z134/AA134)^4</x:f>
        <x:v>0.9963772817326377</x:v>
      </x:c>
      <x:c r="AH134" s="48" t="n">
        <x:f>10*LOG10(AG134)</x:f>
        <x:v>-0.0157618331400805</x:v>
      </x:c>
      <x:c r="AI134" s="48" t="n">
        <x:f>AC134-F134</x:f>
        <x:v>-259.6905959330095</x:v>
      </x:c>
      <x:c r="AJ134" s="48" t="n">
        <x:f>AD134-G134</x:f>
        <x:v>-3.0837951284335303</x:v>
      </x:c>
      <x:c r="AK134" s="48" t="n">
        <x:f>Y134-X134</x:f>
        <x:v>463.3495086179858</x:v>
      </x:c>
      <x:c r="AL134" s="48" t="n">
        <x:f>1000*(AA135-AA133)/(A135-A133)*Inputs!$C$11</x:f>
        <x:v>173.4278968331182</x:v>
      </x:c>
      <x:c r="AM134" s="48" t="n">
        <x:f>-2*AL134/Inputs!$C$13</x:f>
        <x:v>-69.37115873324728</x:v>
      </x:c>
      <x:c r="AN134" s="48" t="n">
        <x:f>-2*AL134/Inputs!$C$14</x:f>
        <x:v>-10.41608989988698</x:v>
      </x:c>
      <x:c r="AO134" s="48" t="n">
        <x:f>ABS(AM134)</x:f>
        <x:v>69.37115873324728</x:v>
      </x:c>
      <x:c r="AP134" s="48" t="n">
        <x:f>ABS(AN134)</x:f>
        <x:v>10.41608989988698</x:v>
      </x:c>
      <x:c r="AQ134" s="48" t="n">
        <x:f>IF(OR(Inputs!$C$27=TRUE,Inputs!$C$27="TRUE",Inputs!$C$27=1),Inputs!$C$46/Inputs!$C$12,0)</x:f>
        <x:v>42.13483146067416</x:v>
      </x:c>
      <x:c r="AR134" s="48" t="n">
        <x:f>AC134-AQ134</x:f>
        <x:v>161.83526653835185</x:v>
      </x:c>
      <x:c r="AS134" s="48" t="n">
        <x:f>AC134+AQ134</x:f>
        <x:v>246.10492945970014</x:v>
      </x:c>
    </x:row>
    <x:row r="135">
      <x:c r="A135" s="48" t="n">
        <x:f>Inputs!$C$7+133*(Inputs!$C$8-Inputs!$C$7)/240</x:f>
        <x:v>6.5</x:v>
      </x:c>
      <x:c r="B135" s="48" t="n">
        <x:f>Inputs!$C$5+Inputs!$C$9*(A135/Inputs!$C$10)^2</x:f>
        <x:v>400.0469444444444</x:v>
      </x:c>
      <x:c r="C135" s="48" t="n">
        <x:f>B135</x:f>
        <x:v>400.0469444444444</x:v>
      </x:c>
      <x:c r="D135" s="48" t="n">
        <x:f>SQRT(A135^2+Inputs!$C$6^2+B135^2)</x:f>
        <x:v>400.88004160763154</x:v>
      </x:c>
      <x:c r="E135" s="48" t="n">
        <x:f>(D135-C135)*1000</x:f>
        <x:v>833.0971631871193</x:v>
      </x:c>
      <x:c r="F135" s="48" t="n">
        <x:f>E135/Inputs!$C$12</x:f>
        <x:v>468.03211415006706</x:v>
      </x:c>
      <x:c r="G135" s="48" t="n">
        <x:f>2*E135/Inputs!$C$21*1000000</x:f>
        <x:v>5.557826029013174</x:v>
      </x:c>
      <x:c r="H135" s="48" t="n">
        <x:f>SQRT(A135^2+Inputs!$C$6^2)</x:f>
        <x:v>25.83118270617898</x:v>
      </x:c>
      <x:c r="I135" s="48" t="n">
        <x:f>DEGREES(ATAN(H135/B135))</x:f>
        <x:v>3.694481369413298</x:v>
      </x:c>
      <x:c r="J135" s="48" t="n">
        <x:f>DEGREES((2*PI()/Inputs!$C$13)*Inputs!$C$15*SIN(RADIANS(I135)))</x:f>
        <x:v>23.19702855979598</x:v>
      </x:c>
      <x:c r="K135" s="48" t="n">
        <x:f>(C135/D135)^4</x:f>
        <x:v>0.9917131940141547</x:v>
      </x:c>
      <x:c r="L135" s="48" t="n">
        <x:f>10*LOG10(K135)</x:f>
        <x:v>-0.0361390875970869</x:v>
      </x:c>
      <x:c r="M135" s="48" t="n">
        <x:f>2*(Inputs!$C$9/(Inputs!$C$10^2))*A135</x:f>
        <x:v>0.014444444444444444</x:v>
      </x:c>
      <x:c r="N135" s="48" t="n">
        <x:f>M135*Inputs!$C$11</x:f>
        <x:v>0.057777777777777775</x:v>
      </x:c>
      <x:c r="O135" s="48" t="n">
        <x:f>1000*((A135*Inputs!$C$11)+(B135*N135))/D135</x:f>
        <x:v>122.51501286976304</x:v>
      </x:c>
      <x:c r="P135" s="48" t="n">
        <x:f>-2*O135/Inputs!$C$13</x:f>
        <x:v>-49.00600514790521</x:v>
      </x:c>
      <x:c r="Q135" s="48" t="n">
        <x:f>-2*O135/Inputs!$C$14</x:f>
        <x:v>-7.358259031217</x:v>
      </x:c>
      <x:c r="R135" s="48" t="n">
        <x:f>F135-Inputs!$C$16/2</x:f>
        <x:v>453.03211415006706</x:v>
      </x:c>
      <x:c r="S135" s="48" t="n">
        <x:f>F135+Inputs!$C$16/2</x:f>
        <x:v>483.03211415006706</x:v>
      </x:c>
      <x:c r="T135" s="48" t="n">
        <x:f>F135-Inputs!$C$17/2</x:f>
        <x:v>318.03211415006706</x:v>
      </x:c>
      <x:c r="U135" s="48" t="n">
        <x:f>F135+Inputs!$C$17/2</x:f>
        <x:v>618.0321141500671</x:v>
      </x:c>
      <x:c r="V135" s="48" t="n">
        <x:f>ABS(P135)</x:f>
        <x:v>49.00600514790521</x:v>
      </x:c>
      <x:c r="W135" s="48" t="n">
        <x:f>ABS(Q135)</x:f>
        <x:v>7.358259031217</x:v>
      </x:c>
      <x:c r="X135" s="48" t="n">
        <x: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(0.45*SIN(2*PI()*(((A135)/Inputs!$C$49)+Inputs!$C$47*0.137))+0.35*COS(2*PI()*(((0)/Inputs!$C$50)+Inputs!$C$47*0.173))+0.20*SIN(2*PI()*(((A135)+(0))/(0.5*(Inputs!$C$49+Inputs!$C$50))+Inputs!$C$47*0.097)))+0.30*(2*((SIN(((A135)*12.9898+(0)*78.233+Inputs!$C$47*37.719))*43758.5453)-INT((SIN(((A135)*12.9898+(0)*78.233+Inputs!$C$47*37.719))*43758.5453)))-1)))</x:f>
        <x:v>77.64795080795966</x:v>
      </x:c>
      <x:c r="Y135" s="48" t="n">
        <x: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(0.45*SIN(2*PI()*(((A135)/Inputs!$C$49)+Inputs!$C$47*0.137))+0.35*COS(2*PI()*(((Inputs!$C$6)/Inputs!$C$50)+Inputs!$C$47*0.173))+0.20*SIN(2*PI()*(((A135)+(Inputs!$C$6))/(0.5*(Inputs!$C$49+Inputs!$C$50))+Inputs!$C$47*0.097)))+0.30*(2*((SIN(((A135)*12.9898+(Inputs!$C$6)*78.233+Inputs!$C$47*37.719))*43758.5453)-INT((SIN(((A135)*12.9898+(Inputs!$C$6)*78.233+Inputs!$C$47*37.719))*43758.5453)))-1)))</x:f>
        <x:v>524.4263848132822</x:v>
      </x:c>
      <x:c r="Z135" s="48" t="n">
        <x:f>B135-X135/1000</x:f>
        <x:v>399.9692964936365</x:v>
      </x:c>
      <x:c r="AA135" s="48" t="n">
        <x:f>SQRT(A135^2+Inputs!$C$6^2+(B135-Y135/1000)^2)</x:f>
        <x:v>400.35670649647955</x:v>
      </x:c>
      <x:c r="AB135" s="48" t="n">
        <x:f>(AA135-Z135)*1000</x:f>
        <x:v>387.4100028430689</x:v>
      </x:c>
      <x:c r="AC135" s="48" t="n">
        <x:f>AB135/Inputs!$C$12</x:f>
        <x:v>217.64606901296006</x:v>
      </x:c>
      <x:c r="AD135" s="48" t="n">
        <x:f>2*AB135/Inputs!$C$21*1000000</x:f>
        <x:v>2.584521341381236</x:v>
      </x:c>
      <x:c r="AE135" s="48" t="n">
        <x:f>DEGREES(ATAN(H135/(B135-Y135/1000)))</x:f>
        <x:v>3.6993174097559924</x:v>
      </x:c>
      <x:c r="AF135" s="48" t="n">
        <x:f>DEGREES((2*PI()/Inputs!$C$13)*Inputs!$C$15*SIN(RADIANS(AE135)))</x:f>
        <x:v>23.22735106800616</x:v>
      </x:c>
      <x:c r="AG135" s="48" t="n">
        <x:f>(Z135/AA135)^4</x:f>
        <x:v>0.996134966280978</x:v>
      </x:c>
      <x:c r="AH135" s="48" t="n">
        <x:f>10*LOG10(AG135)</x:f>
        <x:v>-0.0168181505018377</x:v>
      </x:c>
      <x:c r="AI135" s="48" t="n">
        <x:f>AC135-F135</x:f>
        <x:v>-250.386045137107</x:v>
      </x:c>
      <x:c r="AJ135" s="48" t="n">
        <x:f>AD135-G135</x:f>
        <x:v>-2.973304687631938</x:v>
      </x:c>
      <x:c r="AK135" s="48" t="n">
        <x:f>Y135-X135</x:f>
        <x:v>446.77843400532254</x:v>
      </x:c>
      <x:c r="AL135" s="48" t="n">
        <x:f>1000*(AA136-AA134)/(A136-A134)*Inputs!$C$11</x:f>
        <x:v>119.74377871342767</x:v>
      </x:c>
      <x:c r="AM135" s="48" t="n">
        <x:f>-2*AL135/Inputs!$C$13</x:f>
        <x:v>-47.89751148537107</x:v>
      </x:c>
      <x:c r="AN135" s="48" t="n">
        <x:f>-2*AL135/Inputs!$C$14</x:f>
        <x:v>-7.191818541347008</x:v>
      </x:c>
      <x:c r="AO135" s="48" t="n">
        <x:f>ABS(AM135)</x:f>
        <x:v>47.89751148537107</x:v>
      </x:c>
      <x:c r="AP135" s="48" t="n">
        <x:f>ABS(AN135)</x:f>
        <x:v>7.191818541347008</x:v>
      </x:c>
      <x:c r="AQ135" s="48" t="n">
        <x:f>IF(OR(Inputs!$C$27=TRUE,Inputs!$C$27="TRUE",Inputs!$C$27=1),Inputs!$C$46/Inputs!$C$12,0)</x:f>
        <x:v>42.13483146067416</x:v>
      </x:c>
      <x:c r="AR135" s="48" t="n">
        <x:f>AC135-AQ135</x:f>
        <x:v>175.5112375522859</x:v>
      </x:c>
      <x:c r="AS135" s="48" t="n">
        <x:f>AC135+AQ135</x:f>
        <x:v>259.78090047363423</x:v>
      </x:c>
    </x:row>
    <x:row r="136">
      <x:c r="A136" s="48" t="n">
        <x:f>Inputs!$C$7+134*(Inputs!$C$8-Inputs!$C$7)/240</x:f>
        <x:v>7</x:v>
      </x:c>
      <x:c r="B136" s="48" t="n">
        <x:f>Inputs!$C$5+Inputs!$C$9*(A136/Inputs!$C$10)^2</x:f>
        <x:v>400.05444444444447</x:v>
      </x:c>
      <x:c r="C136" s="48" t="n">
        <x:f>B136</x:f>
        <x:v>400.05444444444447</x:v>
      </x:c>
      <x:c r="D136" s="48" t="n">
        <x:f>SQRT(A136^2+Inputs!$C$6^2+B136^2)</x:f>
        <x:v>400.89594475343984</x:v>
      </x:c>
      <x:c r="E136" s="48" t="n">
        <x:f>(D136-C136)*1000</x:f>
        <x:v>841.5003089953643</x:v>
      </x:c>
      <x:c r="F136" s="48" t="n">
        <x:f>E136/Inputs!$C$12</x:f>
        <x:v>472.7529825816653</x:v>
      </x:c>
      <x:c r="G136" s="48" t="n">
        <x:f>2*E136/Inputs!$C$21*1000000</x:f>
        <x:v>5.6138857835800815</x:v>
      </x:c>
      <x:c r="H136" s="48" t="n">
        <x:f>SQRT(A136^2+Inputs!$C$6^2)</x:f>
        <x:v>25.96150997149434</x:v>
      </x:c>
      <x:c r="I136" s="48" t="n">
        <x:f>DEGREES(ATAN(H136/B136))</x:f>
        <x:v>3.7129998776451707</x:v>
      </x:c>
      <x:c r="J136" s="48" t="n">
        <x:f>DEGREES((2*PI()/Inputs!$C$13)*Inputs!$C$15*SIN(RADIANS(I136)))</x:f>
        <x:v>23.31314075897189</x:v>
      </x:c>
      <x:c r="K136" s="48" t="n">
        <x:f>(C136/D136)^4</x:f>
        <x:v>0.9916302023019311</x:v>
      </x:c>
      <x:c r="L136" s="48" t="n">
        <x:f>10*LOG10(K136)</x:f>
        <x:v>-0.0365025429901407</x:v>
      </x:c>
      <x:c r="M136" s="48" t="n">
        <x:f>2*(Inputs!$C$9/(Inputs!$C$10^2))*A136</x:f>
        <x:v>0.015555555555555555</x:v>
      </x:c>
      <x:c r="N136" s="48" t="n">
        <x:f>M136*Inputs!$C$11</x:f>
        <x:v>0.06222222222222222</x:v>
      </x:c>
      <x:c r="O136" s="48" t="n">
        <x:f>1000*((A136*Inputs!$C$11)+(B136*N136))/D136</x:f>
        <x:v>131.93517478890897</x:v>
      </x:c>
      <x:c r="P136" s="48" t="n">
        <x:f>-2*O136/Inputs!$C$13</x:f>
        <x:v>-52.77406991556359</x:v>
      </x:c>
      <x:c r="Q136" s="48" t="n">
        <x:f>-2*O136/Inputs!$C$14</x:f>
        <x:v>-7.924034521856395</x:v>
      </x:c>
      <x:c r="R136" s="48" t="n">
        <x:f>F136-Inputs!$C$16/2</x:f>
        <x:v>457.7529825816653</x:v>
      </x:c>
      <x:c r="S136" s="48" t="n">
        <x:f>F136+Inputs!$C$16/2</x:f>
        <x:v>487.7529825816653</x:v>
      </x:c>
      <x:c r="T136" s="48" t="n">
        <x:f>F136-Inputs!$C$17/2</x:f>
        <x:v>322.7529825816653</x:v>
      </x:c>
      <x:c r="U136" s="48" t="n">
        <x:f>F136+Inputs!$C$17/2</x:f>
        <x:v>622.7529825816653</x:v>
      </x:c>
      <x:c r="V136" s="48" t="n">
        <x:f>ABS(P136)</x:f>
        <x:v>52.77406991556359</x:v>
      </x:c>
      <x:c r="W136" s="48" t="n">
        <x:f>ABS(Q136)</x:f>
        <x:v>7.924034521856395</x:v>
      </x:c>
      <x:c r="X136" s="48" t="n">
        <x: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(0.45*SIN(2*PI()*(((A136)/Inputs!$C$49)+Inputs!$C$47*0.137))+0.35*COS(2*PI()*(((0)/Inputs!$C$50)+Inputs!$C$47*0.173))+0.20*SIN(2*PI()*(((A136)+(0))/(0.5*(Inputs!$C$49+Inputs!$C$50))+Inputs!$C$47*0.097)))+0.30*(2*((SIN(((A136)*12.9898+(0)*78.233+Inputs!$C$47*37.719))*43758.5453)-INT((SIN(((A136)*12.9898+(0)*78.233+Inputs!$C$47*37.719))*43758.5453)))-1)))</x:f>
        <x:v>66.91550989906084</x:v>
      </x:c>
      <x:c r="Y136" s="48" t="n">
        <x: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(0.45*SIN(2*PI()*(((A136)/Inputs!$C$49)+Inputs!$C$47*0.137))+0.35*COS(2*PI()*(((Inputs!$C$6)/Inputs!$C$50)+Inputs!$C$47*0.173))+0.20*SIN(2*PI()*(((A136)+(Inputs!$C$6))/(0.5*(Inputs!$C$49+Inputs!$C$50))+Inputs!$C$47*0.097)))+0.30*(2*((SIN(((A136)*12.9898+(Inputs!$C$6)*78.233+Inputs!$C$47*37.719))*43758.5453)-INT((SIN(((A136)*12.9898+(Inputs!$C$6)*78.233+Inputs!$C$47*37.719))*43758.5453)))-1)))</x:f>
        <x:v>534.4078318791427</x:v>
      </x:c>
      <x:c r="Z136" s="48" t="n">
        <x:f>B136-X136/1000</x:f>
        <x:v>399.9875289345454</x:v>
      </x:c>
      <x:c r="AA136" s="48" t="n">
        <x:f>SQRT(A136^2+Inputs!$C$6^2+(B136-Y136/1000)^2)</x:f>
        <x:v>400.36266016563724</x:v>
      </x:c>
      <x:c r="AB136" s="48" t="n">
        <x:f>(AA136-Z136)*1000</x:f>
        <x:v>375.1312310918138</x:v>
      </x:c>
      <x:c r="AC136" s="48" t="n">
        <x:f>AB136/Inputs!$C$12</x:f>
        <x:v>210.74788263585043</x:v>
      </x:c>
      <x:c r="AD136" s="48" t="n">
        <x:f>2*AB136/Inputs!$C$21*1000000</x:f>
        <x:v>2.502606193594195</x:v>
      </x:c>
      <x:c r="AE136" s="48" t="n">
        <x:f>DEGREES(ATAN(H136/(B136-Y136/1000)))</x:f>
        <x:v>3.717952556476865</x:v>
      </x:c>
      <x:c r="AF136" s="48" t="n">
        <x:f>DEGREES((2*PI()/Inputs!$C$13)*Inputs!$C$15*SIN(RADIANS(AE136)))</x:f>
        <x:v>23.34419395123235</x:v>
      </x:c>
      <x:c r="AG136" s="48" t="n">
        <x:f>(Z136/AA136)^4</x:f>
        <x:v>0.9962573500204648</x:v>
      </x:c>
      <x:c r="AH136" s="48" t="n">
        <x:f>10*LOG10(AG136)</x:f>
        <x:v>-0.0162846151898835</x:v>
      </x:c>
      <x:c r="AI136" s="48" t="n">
        <x:f>AC136-F136</x:f>
        <x:v>-262.0050999458149</x:v>
      </x:c>
      <x:c r="AJ136" s="48" t="n">
        <x:f>AD136-G136</x:f>
        <x:v>-3.1112795899858865</x:v>
      </x:c>
      <x:c r="AK136" s="48" t="n">
        <x:f>Y136-X136</x:f>
        <x:v>467.49232198008184</x:v>
      </x:c>
      <x:c r="AL136" s="48" t="n">
        <x:f>1000*(AA137-AA135)/(A137-A135)*Inputs!$C$11</x:f>
        <x:v>215.6181315701815</x:v>
      </x:c>
      <x:c r="AM136" s="48" t="n">
        <x:f>-2*AL136/Inputs!$C$13</x:f>
        <x:v>-86.2472526280726</x:v>
      </x:c>
      <x:c r="AN136" s="48" t="n">
        <x:f>-2*AL136/Inputs!$C$14</x:f>
        <x:v>-12.950037932143035</x:v>
      </x:c>
      <x:c r="AO136" s="48" t="n">
        <x:f>ABS(AM136)</x:f>
        <x:v>86.2472526280726</x:v>
      </x:c>
      <x:c r="AP136" s="48" t="n">
        <x:f>ABS(AN136)</x:f>
        <x:v>12.950037932143035</x:v>
      </x:c>
      <x:c r="AQ136" s="48" t="n">
        <x:f>IF(OR(Inputs!$C$27=TRUE,Inputs!$C$27="TRUE",Inputs!$C$27=1),Inputs!$C$46/Inputs!$C$12,0)</x:f>
        <x:v>42.13483146067416</x:v>
      </x:c>
      <x:c r="AR136" s="48" t="n">
        <x:f>AC136-AQ136</x:f>
        <x:v>168.61305117517628</x:v>
      </x:c>
      <x:c r="AS136" s="48" t="n">
        <x:f>AC136+AQ136</x:f>
        <x:v>252.88271409652458</x:v>
      </x:c>
    </x:row>
    <x:row r="137">
      <x:c r="A137" s="48" t="n">
        <x:f>Inputs!$C$7+135*(Inputs!$C$8-Inputs!$C$7)/240</x:f>
        <x:v>7.5</x:v>
      </x:c>
      <x:c r="B137" s="48" t="n">
        <x:f>Inputs!$C$5+Inputs!$C$9*(A137/Inputs!$C$10)^2</x:f>
        <x:v>400.0625</x:v>
      </x:c>
      <x:c r="C137" s="48" t="n">
        <x:f>B137</x:f>
        <x:v>400.0625</x:v>
      </x:c>
      <x:c r="D137" s="48" t="n">
        <x:f>SQRT(A137^2+Inputs!$C$6^2+B137^2)</x:f>
        <x:v>400.91302536366914</x:v>
      </x:c>
      <x:c r="E137" s="48" t="n">
        <x:f>(D137-C137)*1000</x:f>
        <x:v>850.525363669135</x:v>
      </x:c>
      <x:c r="F137" s="48" t="n">
        <x:f>E137/Inputs!$C$12</x:f>
        <x:v>477.82323801636795</x:v>
      </x:c>
      <x:c r="G137" s="48" t="n">
        <x:f>2*E137/Inputs!$C$21*1000000</x:f>
        <x:v>5.6740944675074845</x:v>
      </x:c>
      <x:c r="H137" s="48" t="n">
        <x:f>SQRT(A137^2+Inputs!$C$6^2)</x:f>
        <x:v>26.100766272276374</x:v>
      </x:c>
      <x:c r="I137" s="48" t="n">
        <x:f>DEGREES(ATAN(H137/B137))</x:f>
        <x:v>3.7327851196426796</x:v>
      </x:c>
      <x:c r="J137" s="48" t="n">
        <x:f>DEGREES((2*PI()/Inputs!$C$13)*Inputs!$C$15*SIN(RADIANS(I137)))</x:f>
        <x:v>23.437192766426364</x:v>
      </x:c>
      <x:c r="K137" s="48" t="n">
        <x:f>(C137/D137)^4</x:f>
        <x:v>0.9915410815957869</x:v>
      </x:c>
      <x:c r="L137" s="48" t="n">
        <x:f>10*LOG10(K137)</x:f>
        <x:v>-0.0368928736816152</x:v>
      </x:c>
      <x:c r="M137" s="48" t="n">
        <x:f>2*(Inputs!$C$9/(Inputs!$C$10^2))*A137</x:f>
        <x:v>0.016666666666666666</x:v>
      </x:c>
      <x:c r="N137" s="48" t="n">
        <x:f>M137*Inputs!$C$11</x:f>
        <x:v>0.06666666666666667</x:v>
      </x:c>
      <x:c r="O137" s="48" t="n">
        <x:f>1000*((A137*Inputs!$C$11)+(B137*N137))/D137</x:f>
        <x:v>141.35443287712363</x:v>
      </x:c>
      <x:c r="P137" s="48" t="n">
        <x:f>-2*O137/Inputs!$C$13</x:f>
        <x:v>-56.54177315084945</x:v>
      </x:c>
      <x:c r="Q137" s="48" t="n">
        <x:f>-2*O137/Inputs!$C$14</x:f>
        <x:v>-8.489755728355775</x:v>
      </x:c>
      <x:c r="R137" s="48" t="n">
        <x:f>F137-Inputs!$C$16/2</x:f>
        <x:v>462.82323801636795</x:v>
      </x:c>
      <x:c r="S137" s="48" t="n">
        <x:f>F137+Inputs!$C$16/2</x:f>
        <x:v>492.82323801636795</x:v>
      </x:c>
      <x:c r="T137" s="48" t="n">
        <x:f>F137-Inputs!$C$17/2</x:f>
        <x:v>327.82323801636795</x:v>
      </x:c>
      <x:c r="U137" s="48" t="n">
        <x:f>F137+Inputs!$C$17/2</x:f>
        <x:v>627.8232380163679</x:v>
      </x:c>
      <x:c r="V137" s="48" t="n">
        <x:f>ABS(P137)</x:f>
        <x:v>56.54177315084945</x:v>
      </x:c>
      <x:c r="W137" s="48" t="n">
        <x:f>ABS(Q137)</x:f>
        <x:v>8.489755728355775</x:v>
      </x:c>
      <x:c r="X137" s="48" t="n">
        <x: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(0.45*SIN(2*PI()*(((A137)/Inputs!$C$49)+Inputs!$C$47*0.137))+0.35*COS(2*PI()*(((0)/Inputs!$C$50)+Inputs!$C$47*0.173))+0.20*SIN(2*PI()*(((A137)+(0))/(0.5*(Inputs!$C$49+Inputs!$C$50))+Inputs!$C$47*0.097)))+0.30*(2*((SIN(((A137)*12.9898+(0)*78.233+Inputs!$C$47*37.719))*43758.5453)-INT((SIN(((A137)*12.9898+(0)*78.233+Inputs!$C$47*37.719))*43758.5453)))-1)))</x:f>
        <x:v>56.202037436945574</x:v>
      </x:c>
      <x:c r="Y137" s="48" t="n">
        <x: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(0.45*SIN(2*PI()*(((A137)/Inputs!$C$49)+Inputs!$C$47*0.137))+0.35*COS(2*PI()*(((Inputs!$C$6)/Inputs!$C$50)+Inputs!$C$47*0.173))+0.20*SIN(2*PI()*(((A137)+(Inputs!$C$6))/(0.5*(Inputs!$C$49+Inputs!$C$50))+Inputs!$C$47*0.097)))+0.30*(2*((SIN(((A137)*12.9898+(Inputs!$C$6)*78.233+Inputs!$C$47*37.719))*43758.5453)-INT((SIN(((A137)*12.9898+(Inputs!$C$6)*78.233+Inputs!$C$47*37.719))*43758.5453)))-1)))</x:f>
        <x:v>503.48380224840304</x:v>
      </x:c>
      <x:c r="Z137" s="48" t="n">
        <x:f>B137-X137/1000</x:f>
        <x:v>400.00629796256305</x:v>
      </x:c>
      <x:c r="AA137" s="48" t="n">
        <x:f>SQRT(A137^2+Inputs!$C$6^2+(B137-Y137/1000)^2)</x:f>
        <x:v>400.4106110293721</x:v>
      </x:c>
      <x:c r="AB137" s="48" t="n">
        <x:f>(AA137-Z137)*1000</x:f>
        <x:v>404.31306680903845</x:v>
      </x:c>
      <x:c r="AC137" s="48" t="n">
        <x:f>AB137/Inputs!$C$12</x:f>
        <x:v>227.14217236462835</x:v>
      </x:c>
      <x:c r="AD137" s="48" t="n">
        <x:f>2*AB137/Inputs!$C$21*1000000</x:f>
        <x:v>2.6972864461389383</x:v>
      </x:c>
      <x:c r="AE137" s="48" t="n">
        <x:f>DEGREES(ATAN(H137/(B137-Y137/1000)))</x:f>
        <x:v>3.7374754739406755</x:v>
      </x:c>
      <x:c r="AF137" s="48" t="n">
        <x:f>DEGREES((2*PI()/Inputs!$C$13)*Inputs!$C$15*SIN(RADIANS(AE137)))</x:f>
        <x:v>23.466600532547403</x:v>
      </x:c>
      <x:c r="AG137" s="48" t="n">
        <x:f>(Z137/AA137)^4</x:f>
        <x:v>0.99596712886739</x:v>
      </x:c>
      <x:c r="AH137" s="48" t="n">
        <x:f>10*LOG10(AG137)</x:f>
        <x:v>-0.0175499489666668</x:v>
      </x:c>
      <x:c r="AI137" s="48" t="n">
        <x:f>AC137-F137</x:f>
        <x:v>-250.6810656517396</x:v>
      </x:c>
      <x:c r="AJ137" s="48" t="n">
        <x:f>AD137-G137</x:f>
        <x:v>-2.976808021368546</x:v>
      </x:c>
      <x:c r="AK137" s="48" t="n">
        <x:f>Y137-X137</x:f>
        <x:v>447.2817648114575</x:v>
      </x:c>
      <x:c r="AL137" s="48" t="n">
        <x:f>1000*(AA138-AA136)/(A138-A136)*Inputs!$C$11</x:f>
        <x:v>289.85917087629787</x:v>
      </x:c>
      <x:c r="AM137" s="48" t="n">
        <x:f>-2*AL137/Inputs!$C$13</x:f>
        <x:v>-115.94366835051915</x:v>
      </x:c>
      <x:c r="AN137" s="48" t="n">
        <x:f>-2*AL137/Inputs!$C$14</x:f>
        <x:v>-17.408959211789664</x:v>
      </x:c>
      <x:c r="AO137" s="48" t="n">
        <x:f>ABS(AM137)</x:f>
        <x:v>115.94366835051915</x:v>
      </x:c>
      <x:c r="AP137" s="48" t="n">
        <x:f>ABS(AN137)</x:f>
        <x:v>17.408959211789664</x:v>
      </x:c>
      <x:c r="AQ137" s="48" t="n">
        <x:f>IF(OR(Inputs!$C$27=TRUE,Inputs!$C$27="TRUE",Inputs!$C$27=1),Inputs!$C$46/Inputs!$C$12,0)</x:f>
        <x:v>42.13483146067416</x:v>
      </x:c>
      <x:c r="AR137" s="48" t="n">
        <x:f>AC137-AQ137</x:f>
        <x:v>185.0073409039542</x:v>
      </x:c>
      <x:c r="AS137" s="48" t="n">
        <x:f>AC137+AQ137</x:f>
        <x:v>269.27700382530253</x:v>
      </x:c>
    </x:row>
    <x:row r="138">
      <x:c r="A138" s="48" t="n">
        <x:f>Inputs!$C$7+136*(Inputs!$C$8-Inputs!$C$7)/240</x:f>
        <x:v>8</x:v>
      </x:c>
      <x:c r="B138" s="48" t="n">
        <x:f>Inputs!$C$5+Inputs!$C$9*(A138/Inputs!$C$10)^2</x:f>
        <x:v>400.0711111111111</x:v>
      </x:c>
      <x:c r="C138" s="48" t="n">
        <x:f>B138</x:f>
        <x:v>400.0711111111111</x:v>
      </x:c>
      <x:c r="D138" s="48" t="n">
        <x:f>SQRT(A138^2+Inputs!$C$6^2+B138^2)</x:f>
        <x:v>400.93128332131806</x:v>
      </x:c>
      <x:c r="E138" s="48" t="n">
        <x:f>(D138-C138)*1000</x:f>
        <x:v>860.1722102069402</x:v>
      </x:c>
      <x:c r="F138" s="48" t="n">
        <x:f>E138/Inputs!$C$12</x:f>
        <x:v>483.24281472300015</x:v>
      </x:c>
      <x:c r="G138" s="48" t="n">
        <x:f>2*E138/Inputs!$C$21*1000000</x:f>
        <x:v>5.738451300245453</x:v>
      </x:c>
      <x:c r="H138" s="48" t="n">
        <x:f>SQRT(A138^2+Inputs!$C$6^2)</x:f>
        <x:v>26.248809496813376</x:v>
      </x:c>
      <x:c r="I138" s="48" t="n">
        <x:f>DEGREES(ATAN(H138/B138))</x:f>
        <x:v>3.75381649570681</x:v>
      </x:c>
      <x:c r="J138" s="48" t="n">
        <x:f>DEGREES((2*PI()/Inputs!$C$13)*Inputs!$C$15*SIN(RADIANS(I138)))</x:f>
        <x:v>23.56905487786457</x:v>
      </x:c>
      <x:c r="K138" s="48" t="n">
        <x:f>(C138/D138)^4</x:f>
        <x:v>0.9914458358623286</x:v>
      </x:c>
      <x:c r="L138" s="48" t="n">
        <x:f>10*LOG10(K138)</x:f>
        <x:v>-0.0373100695403817</x:v>
      </x:c>
      <x:c r="M138" s="48" t="n">
        <x:f>2*(Inputs!$C$9/(Inputs!$C$10^2))*A138</x:f>
        <x:v>0.017777777777777778</x:v>
      </x:c>
      <x:c r="N138" s="48" t="n">
        <x:f>M138*Inputs!$C$11</x:f>
        <x:v>0.07111111111111111</x:v>
      </x:c>
      <x:c r="O138" s="48" t="n">
        <x:f>1000*((A138*Inputs!$C$11)+(B138*N138))/D138</x:f>
        <x:v>150.77272278132986</x:v>
      </x:c>
      <x:c r="P138" s="48" t="n">
        <x:f>-2*O138/Inputs!$C$13</x:f>
        <x:v>-60.30908911253194</x:v>
      </x:c>
      <x:c r="Q138" s="48" t="n">
        <x:f>-2*O138/Inputs!$C$14</x:f>
        <x:v>-9.055418785665458</x:v>
      </x:c>
      <x:c r="R138" s="48" t="n">
        <x:f>F138-Inputs!$C$16/2</x:f>
        <x:v>468.24281472300015</x:v>
      </x:c>
      <x:c r="S138" s="48" t="n">
        <x:f>F138+Inputs!$C$16/2</x:f>
        <x:v>498.24281472300015</x:v>
      </x:c>
      <x:c r="T138" s="48" t="n">
        <x:f>F138-Inputs!$C$17/2</x:f>
        <x:v>333.24281472300015</x:v>
      </x:c>
      <x:c r="U138" s="48" t="n">
        <x:f>F138+Inputs!$C$17/2</x:f>
        <x:v>633.2428147230002</x:v>
      </x:c>
      <x:c r="V138" s="48" t="n">
        <x:f>ABS(P138)</x:f>
        <x:v>60.30908911253194</x:v>
      </x:c>
      <x:c r="W138" s="48" t="n">
        <x:f>ABS(Q138)</x:f>
        <x:v>9.055418785665458</x:v>
      </x:c>
      <x:c r="X138" s="48" t="n">
        <x: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(0.45*SIN(2*PI()*(((A138)/Inputs!$C$49)+Inputs!$C$47*0.137))+0.35*COS(2*PI()*(((0)/Inputs!$C$50)+Inputs!$C$47*0.173))+0.20*SIN(2*PI()*(((A138)+(0))/(0.5*(Inputs!$C$49+Inputs!$C$50))+Inputs!$C$47*0.097)))+0.30*(2*((SIN(((A138)*12.9898+(0)*78.233+Inputs!$C$47*37.719))*43758.5453)-INT((SIN(((A138)*12.9898+(0)*78.233+Inputs!$C$47*37.719))*43758.5453)))-1)))</x:f>
        <x:v>45.99320506201067</x:v>
      </x:c>
      <x:c r="Y138" s="48" t="n">
        <x: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(0.45*SIN(2*PI()*(((A138)/Inputs!$C$49)+Inputs!$C$47*0.137))+0.35*COS(2*PI()*(((Inputs!$C$6)/Inputs!$C$50)+Inputs!$C$47*0.173))+0.20*SIN(2*PI()*(((A138)+(Inputs!$C$6))/(0.5*(Inputs!$C$49+Inputs!$C$50))+Inputs!$C$47*0.097)))+0.30*(2*((SIN(((A138)*12.9898+(Inputs!$C$6)*78.233+Inputs!$C$47*37.719))*43758.5453)-INT((SIN(((A138)*12.9898+(Inputs!$C$6)*78.233+Inputs!$C$47*37.719))*43758.5453)))-1)))</x:f>
        <x:v>497.2264534493298</x:v>
      </x:c>
      <x:c r="Z138" s="48" t="n">
        <x:f>B138-X138/1000</x:f>
        <x:v>400.0251179060491</x:v>
      </x:c>
      <x:c r="AA138" s="48" t="n">
        <x:f>SQRT(A138^2+Inputs!$C$6^2+(B138-Y138/1000)^2)</x:f>
        <x:v>400.4351249583563</x:v>
      </x:c>
      <x:c r="AB138" s="48" t="n">
        <x:f>(AA138-Z138)*1000</x:f>
        <x:v>410.0070523072077</x:v>
      </x:c>
      <x:c r="AC138" s="48" t="n">
        <x:f>AB138/Inputs!$C$12</x:f>
        <x:v>230.34104062202678</x:v>
      </x:c>
      <x:c r="AD138" s="48" t="n">
        <x:f>2*AB138/Inputs!$C$21*1000000</x:f>
        <x:v>2.7352726285543025</x:v>
      </x:c>
      <x:c r="AE138" s="48" t="n">
        <x:f>DEGREES(ATAN(H138/(B138-Y138/1000)))</x:f>
        <x:v>3.7584743334978383</x:v>
      </x:c>
      <x:c r="AF138" s="48" t="n">
        <x:f>DEGREES((2*PI()/Inputs!$C$13)*Inputs!$C$15*SIN(RADIANS(AE138)))</x:f>
        <x:v>23.59825806948263</x:v>
      </x:c>
      <x:c r="AG138" s="48" t="n">
        <x:f>(Z138/AA138)^4</x:f>
        <x:v>0.9959106707194612</x:v>
      </x:c>
      <x:c r="AH138" s="48" t="n">
        <x:f>10*LOG10(AG138)</x:f>
        <x:v>-0.0177961434080692</x:v>
      </x:c>
      <x:c r="AI138" s="48" t="n">
        <x:f>AC138-F138</x:f>
        <x:v>-252.90177410097337</x:v>
      </x:c>
      <x:c r="AJ138" s="48" t="n">
        <x:f>AD138-G138</x:f>
        <x:v>-3.0031786716911504</x:v>
      </x:c>
      <x:c r="AK138" s="48" t="n">
        <x:f>Y138-X138</x:f>
        <x:v>451.2332483873192</x:v>
      </x:c>
      <x:c r="AL138" s="48" t="n">
        <x:f>1000*(AA139-AA137)/(A139-A137)*Inputs!$C$11</x:f>
        <x:v>246.19173370410863</x:v>
      </x:c>
      <x:c r="AM138" s="48" t="n">
        <x:f>-2*AL138/Inputs!$C$13</x:f>
        <x:v>-98.47669348164345</x:v>
      </x:c>
      <x:c r="AN138" s="48" t="n">
        <x:f>-2*AL138/Inputs!$C$14</x:f>
        <x:v>-14.786290312559078</x:v>
      </x:c>
      <x:c r="AO138" s="48" t="n">
        <x:f>ABS(AM138)</x:f>
        <x:v>98.47669348164345</x:v>
      </x:c>
      <x:c r="AP138" s="48" t="n">
        <x:f>ABS(AN138)</x:f>
        <x:v>14.786290312559078</x:v>
      </x:c>
      <x:c r="AQ138" s="48" t="n">
        <x:f>IF(OR(Inputs!$C$27=TRUE,Inputs!$C$27="TRUE",Inputs!$C$27=1),Inputs!$C$46/Inputs!$C$12,0)</x:f>
        <x:v>42.13483146067416</x:v>
      </x:c>
      <x:c r="AR138" s="48" t="n">
        <x:f>AC138-AQ138</x:f>
        <x:v>188.20620916135263</x:v>
      </x:c>
      <x:c r="AS138" s="48" t="n">
        <x:f>AC138+AQ138</x:f>
        <x:v>272.47587208270096</x:v>
      </x:c>
    </x:row>
    <x:row r="139">
      <x:c r="A139" s="48" t="n">
        <x:f>Inputs!$C$7+137*(Inputs!$C$8-Inputs!$C$7)/240</x:f>
        <x:v>8.5</x:v>
      </x:c>
      <x:c r="B139" s="48" t="n">
        <x:f>Inputs!$C$5+Inputs!$C$9*(A139/Inputs!$C$10)^2</x:f>
        <x:v>400.0802777777778</x:v>
      </x:c>
      <x:c r="C139" s="48" t="n">
        <x:f>B139</x:f>
        <x:v>400.0802777777778</x:v>
      </x:c>
      <x:c r="D139" s="48" t="n">
        <x:f>SQRT(A139^2+Inputs!$C$6^2+B139^2)</x:f>
        <x:v>400.9507185013438</x:v>
      </x:c>
      <x:c r="E139" s="48" t="n">
        <x:f>(D139-C139)*1000</x:f>
        <x:v>870.4407235659914</x:v>
      </x:c>
      <x:c r="F139" s="48" t="n">
        <x:f>E139/Inputs!$C$12</x:f>
        <x:v>489.01164245280415</x:v>
      </x:c>
      <x:c r="G139" s="48" t="n">
        <x:f>2*E139/Inputs!$C$21*1000000</x:f>
        <x:v>5.806955447598295</x:v>
      </x:c>
      <x:c r="H139" s="48" t="n">
        <x:f>SQRT(A139^2+Inputs!$C$6^2)</x:f>
        <x:v>26.405491853021786</x:v>
      </x:c>
      <x:c r="I139" s="48" t="n">
        <x:f>DEGREES(ATAN(H139/B139))</x:f>
        <x:v>3.776072578786574</x:v>
      </x:c>
      <x:c r="J139" s="48" t="n">
        <x:f>DEGREES((2*PI()/Inputs!$C$13)*Inputs!$C$15*SIN(RADIANS(I139)))</x:f>
        <x:v>23.708592174666432</x:v>
      </x:c>
      <x:c r="K139" s="48" t="n">
        <x:f>(C139/D139)^4</x:f>
        <x:v>0.9913444693395405</x:v>
      </x:c>
      <x:c r="L139" s="48" t="n">
        <x:f>10*LOG10(K139)</x:f>
        <x:v>-0.037754119739936</x:v>
      </x:c>
      <x:c r="M139" s="48" t="n">
        <x:f>2*(Inputs!$C$9/(Inputs!$C$10^2))*A139</x:f>
        <x:v>0.01888888888888889</x:v>
      </x:c>
      <x:c r="N139" s="48" t="n">
        <x:f>M139*Inputs!$C$11</x:f>
        <x:v>0.07555555555555556</x:v>
      </x:c>
      <x:c r="O139" s="48" t="n">
        <x:f>1000*((A139*Inputs!$C$11)+(B139*N139))/D139</x:f>
        <x:v>160.18998019105862</x:v>
      </x:c>
      <x:c r="P139" s="48" t="n">
        <x:f>-2*O139/Inputs!$C$13</x:f>
        <x:v>-64.07599207642345</x:v>
      </x:c>
      <x:c r="Q139" s="48" t="n">
        <x:f>-2*O139/Inputs!$C$14</x:f>
        <x:v>-9.621019831294813</x:v>
      </x:c>
      <x:c r="R139" s="48" t="n">
        <x:f>F139-Inputs!$C$16/2</x:f>
        <x:v>474.01164245280415</x:v>
      </x:c>
      <x:c r="S139" s="48" t="n">
        <x:f>F139+Inputs!$C$16/2</x:f>
        <x:v>504.01164245280415</x:v>
      </x:c>
      <x:c r="T139" s="48" t="n">
        <x:f>F139-Inputs!$C$17/2</x:f>
        <x:v>339.01164245280415</x:v>
      </x:c>
      <x:c r="U139" s="48" t="n">
        <x:f>F139+Inputs!$C$17/2</x:f>
        <x:v>639.0116424528042</x:v>
      </x:c>
      <x:c r="V139" s="48" t="n">
        <x:f>ABS(P139)</x:f>
        <x:v>64.07599207642345</x:v>
      </x:c>
      <x:c r="W139" s="48" t="n">
        <x:f>ABS(Q139)</x:f>
        <x:v>9.621019831294813</x:v>
      </x:c>
      <x:c r="X139" s="48" t="n">
        <x: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(0.45*SIN(2*PI()*(((A139)/Inputs!$C$49)+Inputs!$C$47*0.137))+0.35*COS(2*PI()*(((0)/Inputs!$C$50)+Inputs!$C$47*0.173))+0.20*SIN(2*PI()*(((A139)+(0))/(0.5*(Inputs!$C$49+Inputs!$C$50))+Inputs!$C$47*0.097)))+0.30*(2*((SIN(((A139)*12.9898+(0)*78.233+Inputs!$C$47*37.719))*43758.5453)-INT((SIN(((A139)*12.9898+(0)*78.233+Inputs!$C$47*37.719))*43758.5453)))-1)))</x:f>
        <x:v>35.42120810065494</x:v>
      </x:c>
      <x:c r="Y139" s="48" t="n">
        <x: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(0.45*SIN(2*PI()*(((A139)/Inputs!$C$49)+Inputs!$C$47*0.137))+0.35*COS(2*PI()*(((Inputs!$C$6)/Inputs!$C$50)+Inputs!$C$47*0.173))+0.20*SIN(2*PI()*(((A139)+(Inputs!$C$6))/(0.5*(Inputs!$C$49+Inputs!$C$50))+Inputs!$C$47*0.097)))+0.30*(2*((SIN(((A139)*12.9898+(Inputs!$C$6)*78.233+Inputs!$C$47*37.719))*43758.5453)-INT((SIN(((A139)*12.9898+(Inputs!$C$6)*78.233+Inputs!$C$47*37.719))*43758.5453)))-1)))</x:f>
        <x:v>479.6019721372586</x:v>
      </x:c>
      <x:c r="Z139" s="48" t="n">
        <x:f>B139-X139/1000</x:f>
        <x:v>400.0448565696771</x:v>
      </x:c>
      <x:c r="AA139" s="48" t="n">
        <x:f>SQRT(A139^2+Inputs!$C$6^2+(B139-Y139/1000)^2)</x:f>
        <x:v>400.4721589627981</x:v>
      </x:c>
      <x:c r="AB139" s="48" t="n">
        <x:f>(AA139-Z139)*1000</x:f>
        <x:v>427.3023931210105</x:v>
      </x:c>
      <x:c r="AC139" s="48" t="n">
        <x:f>AB139/Inputs!$C$12</x:f>
        <x:v>240.05752422528678</x:v>
      </x:c>
      <x:c r="AD139" s="48" t="n">
        <x:f>2*AB139/Inputs!$C$21*1000000</x:f>
        <x:v>2.8506547227482986</x:v>
      </x:c>
      <x:c r="AE139" s="48" t="n">
        <x:f>DEGREES(ATAN(H139/(B139-Y139/1000)))</x:f>
        <x:v>3.78059149750157</x:v>
      </x:c>
      <x:c r="AF139" s="48" t="n">
        <x:f>DEGREES((2*PI()/Inputs!$C$13)*Inputs!$C$15*SIN(RADIANS(AE139)))</x:f>
        <x:v>23.736923664575894</x:v>
      </x:c>
      <x:c r="AG139" s="48" t="n">
        <x:f>(Z139/AA139)^4</x:f>
        <x:v>0.9957388400199072</x:v>
      </x:c>
      <x:c r="AH139" s="48" t="n">
        <x:f>10*LOG10(AG139)</x:f>
        <x:v>-0.0185455235015106</x:v>
      </x:c>
      <x:c r="AI139" s="48" t="n">
        <x:f>AC139-F139</x:f>
        <x:v>-248.95411822751737</x:v>
      </x:c>
      <x:c r="AJ139" s="48" t="n">
        <x:f>AD139-G139</x:f>
        <x:v>-2.956300724849996</x:v>
      </x:c>
      <x:c r="AK139" s="48" t="n">
        <x:f>Y139-X139</x:f>
        <x:v>444.18076403660365</x:v>
      </x:c>
      <x:c r="AL139" s="48" t="n">
        <x:f>1000*(AA140-AA138)/(A140-A138)*Inputs!$C$11</x:f>
        <x:v>224.15572688669272</x:v>
      </x:c>
      <x:c r="AM139" s="48" t="n">
        <x:f>-2*AL139/Inputs!$C$13</x:f>
        <x:v>-89.66229075467709</x:v>
      </x:c>
      <x:c r="AN139" s="48" t="n">
        <x:f>-2*AL139/Inputs!$C$14</x:f>
        <x:v>-13.462806419621186</x:v>
      </x:c>
      <x:c r="AO139" s="48" t="n">
        <x:f>ABS(AM139)</x:f>
        <x:v>89.66229075467709</x:v>
      </x:c>
      <x:c r="AP139" s="48" t="n">
        <x:f>ABS(AN139)</x:f>
        <x:v>13.462806419621186</x:v>
      </x:c>
      <x:c r="AQ139" s="48" t="n">
        <x:f>IF(OR(Inputs!$C$27=TRUE,Inputs!$C$27="TRUE",Inputs!$C$27=1),Inputs!$C$46/Inputs!$C$12,0)</x:f>
        <x:v>42.13483146067416</x:v>
      </x:c>
      <x:c r="AR139" s="48" t="n">
        <x:f>AC139-AQ139</x:f>
        <x:v>197.92269276461263</x:v>
      </x:c>
      <x:c r="AS139" s="48" t="n">
        <x:f>AC139+AQ139</x:f>
        <x:v>282.19235568596093</x:v>
      </x:c>
    </x:row>
    <x:row r="140">
      <x:c r="A140" s="48" t="n">
        <x:f>Inputs!$C$7+138*(Inputs!$C$8-Inputs!$C$7)/240</x:f>
        <x:v>9</x:v>
      </x:c>
      <x:c r="B140" s="48" t="n">
        <x:f>Inputs!$C$5+Inputs!$C$9*(A140/Inputs!$C$10)^2</x:f>
        <x:v>400.09</x:v>
      </x:c>
      <x:c r="C140" s="48" t="n">
        <x:f>B140</x:f>
        <x:v>400.09</x:v>
      </x:c>
      <x:c r="D140" s="48" t="n">
        <x:f>SQRT(A140^2+Inputs!$C$6^2+B140^2)</x:f>
        <x:v>400.9713307706674</x:v>
      </x:c>
      <x:c r="E140" s="48" t="n">
        <x:f>(D140-C140)*1000</x:f>
        <x:v>881.3307706674323</x:v>
      </x:c>
      <x:c r="F140" s="48" t="n">
        <x:f>E140/Inputs!$C$12</x:f>
        <x:v>495.1296464423777</x:v>
      </x:c>
      <x:c r="G140" s="48" t="n">
        <x:f>2*E140/Inputs!$C$21*1000000</x:f>
        <x:v>5.879606021759441</x:v>
      </x:c>
      <x:c r="H140" s="48" t="n">
        <x:f>SQRT(A140^2+Inputs!$C$6^2)</x:f>
        <x:v>26.570660511172846</x:v>
      </x:c>
      <x:c r="I140" s="48" t="n">
        <x:f>DEGREES(ATAN(H140/B140))</x:f>
        <x:v>3.79953120706518</x:v>
      </x:c>
      <x:c r="J140" s="48" t="n">
        <x:f>DEGREES((2*PI()/Inputs!$C$13)*Inputs!$C$15*SIN(RADIANS(I140)))</x:f>
        <x:v>23.85566510612477</x:v>
      </x:c>
      <x:c r="K140" s="48" t="n">
        <x:f>(C140/D140)^4</x:f>
        <x:v>0.9912369865363565</x:v>
      </x:c>
      <x:c r="L140" s="48" t="n">
        <x:f>10*LOG10(K140)</x:f>
        <x:v>-0.0382250127590316</x:v>
      </x:c>
      <x:c r="M140" s="48" t="n">
        <x:f>2*(Inputs!$C$9/(Inputs!$C$10^2))*A140</x:f>
        <x:v>0.02</x:v>
      </x:c>
      <x:c r="N140" s="48" t="n">
        <x:f>M140*Inputs!$C$11</x:f>
        <x:v>0.08</x:v>
      </x:c>
      <x:c r="O140" s="48" t="n">
        <x:f>1000*((A140*Inputs!$C$11)+(B140*N140))/D140</x:f>
        <x:v>169.6061408412668</x:v>
      </x:c>
      <x:c r="P140" s="48" t="n">
        <x:f>-2*O140/Inputs!$C$13</x:f>
        <x:v>-67.84245633650673</x:v>
      </x:c>
      <x:c r="Q140" s="48" t="n">
        <x:f>-2*O140/Inputs!$C$14</x:f>
        <x:v>-10.186555005481491</x:v>
      </x:c>
      <x:c r="R140" s="48" t="n">
        <x:f>F140-Inputs!$C$16/2</x:f>
        <x:v>480.1296464423777</x:v>
      </x:c>
      <x:c r="S140" s="48" t="n">
        <x:f>F140+Inputs!$C$16/2</x:f>
        <x:v>510.1296464423777</x:v>
      </x:c>
      <x:c r="T140" s="48" t="n">
        <x:f>F140-Inputs!$C$17/2</x:f>
        <x:v>345.1296464423777</x:v>
      </x:c>
      <x:c r="U140" s="48" t="n">
        <x:f>F140+Inputs!$C$17/2</x:f>
        <x:v>645.1296464423776</x:v>
      </x:c>
      <x:c r="V140" s="48" t="n">
        <x:f>ABS(P140)</x:f>
        <x:v>67.84245633650673</x:v>
      </x:c>
      <x:c r="W140" s="48" t="n">
        <x:f>ABS(Q140)</x:f>
        <x:v>10.186555005481491</x:v>
      </x:c>
      <x:c r="X140" s="48" t="n">
        <x: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(0.45*SIN(2*PI()*(((A140)/Inputs!$C$49)+Inputs!$C$47*0.137))+0.35*COS(2*PI()*(((0)/Inputs!$C$50)+Inputs!$C$47*0.173))+0.20*SIN(2*PI()*(((A140)+(0))/(0.5*(Inputs!$C$49+Inputs!$C$50))+Inputs!$C$47*0.097)))+0.30*(2*((SIN(((A140)*12.9898+(0)*78.233+Inputs!$C$47*37.719))*43758.5453)-INT((SIN(((A140)*12.9898+(0)*78.233+Inputs!$C$47*37.719))*43758.5453)))-1)))</x:f>
        <x:v>29.628149721243545</x:v>
      </x:c>
      <x:c r="Y140" s="48" t="n">
        <x: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(0.45*SIN(2*PI()*(((A140)/Inputs!$C$49)+Inputs!$C$47*0.137))+0.35*COS(2*PI()*(((Inputs!$C$6)/Inputs!$C$50)+Inputs!$C$47*0.173))+0.20*SIN(2*PI()*(((A140)+(Inputs!$C$6))/(0.5*(Inputs!$C$49+Inputs!$C$50))+Inputs!$C$47*0.097)))+0.30*(2*((SIN(((A140)*12.9898+(Inputs!$C$6)*78.233+Inputs!$C$47*37.719))*43758.5453)-INT((SIN(((A140)*12.9898+(Inputs!$C$6)*78.233+Inputs!$C$47*37.719))*43758.5453)))-1)))</x:f>
        <x:v>481.22587957439987</x:v>
      </x:c>
      <x:c r="Z140" s="48" t="n">
        <x:f>B140-X140/1000</x:f>
        <x:v>400.0603718502787</x:v>
      </x:c>
      <x:c r="AA140" s="48" t="n">
        <x:f>SQRT(A140^2+Inputs!$C$6^2+(B140-Y140/1000)^2)</x:f>
        <x:v>400.491163890078</x:v>
      </x:c>
      <x:c r="AB140" s="48" t="n">
        <x:f>(AA140-Z140)*1000</x:f>
        <x:v>430.7920397992575</x:v>
      </x:c>
      <x:c r="AC140" s="48" t="n">
        <x:f>AB140/Inputs!$C$12</x:f>
        <x:v>242.0179998872233</x:v>
      </x:c>
      <x:c r="AD140" s="48" t="n">
        <x:f>2*AB140/Inputs!$C$21*1000000</x:f>
        <x:v>2.8739351394841126</x:v>
      </x:c>
      <x:c r="AE140" s="48" t="n">
        <x:f>DEGREES(ATAN(H140/(B140-Y140/1000)))</x:f>
        <x:v>3.8040933374991006</x:v>
      </x:c>
      <x:c r="AF140" s="48" t="n">
        <x:f>DEGREES((2*PI()/Inputs!$C$13)*Inputs!$C$15*SIN(RADIANS(AE140)))</x:f>
        <x:v>23.884266736650474</x:v>
      </x:c>
      <x:c r="AG140" s="48" t="n">
        <x:f>(Z140/AA140)^4</x:f>
        <x:v>0.9957043001324188</x:v>
      </x:c>
      <x:c r="AH140" s="48" t="n">
        <x:f>10*LOG10(AG140)</x:f>
        <x:v>-0.018696172869708</x:v>
      </x:c>
      <x:c r="AI140" s="48" t="n">
        <x:f>AC140-F140</x:f>
        <x:v>-253.11164655515438</x:v>
      </x:c>
      <x:c r="AJ140" s="48" t="n">
        <x:f>AD140-G140</x:f>
        <x:v>-3.0056708822753286</x:v>
      </x:c>
      <x:c r="AK140" s="48" t="n">
        <x:f>Y140-X140</x:f>
        <x:v>451.59772985315635</x:v>
      </x:c>
      <x:c r="AL140" s="48" t="n">
        <x:f>1000*(AA141-AA139)/(A141-A139)*Inputs!$C$11</x:f>
        <x:v>174.99139188930712</x:v>
      </x:c>
      <x:c r="AM140" s="48" t="n">
        <x:f>-2*AL140/Inputs!$C$13</x:f>
        <x:v>-69.99655675572285</x:v>
      </x:c>
      <x:c r="AN140" s="48" t="n">
        <x:f>-2*AL140/Inputs!$C$14</x:f>
        <x:v>-10.509993506865294</x:v>
      </x:c>
      <x:c r="AO140" s="48" t="n">
        <x:f>ABS(AM140)</x:f>
        <x:v>69.99655675572285</x:v>
      </x:c>
      <x:c r="AP140" s="48" t="n">
        <x:f>ABS(AN140)</x:f>
        <x:v>10.509993506865294</x:v>
      </x:c>
      <x:c r="AQ140" s="48" t="n">
        <x:f>IF(OR(Inputs!$C$27=TRUE,Inputs!$C$27="TRUE",Inputs!$C$27=1),Inputs!$C$46/Inputs!$C$12,0)</x:f>
        <x:v>42.13483146067416</x:v>
      </x:c>
      <x:c r="AR140" s="48" t="n">
        <x:f>AC140-AQ140</x:f>
        <x:v>199.88316842654916</x:v>
      </x:c>
      <x:c r="AS140" s="48" t="n">
        <x:f>AC140+AQ140</x:f>
        <x:v>284.15283134789746</x:v>
      </x:c>
    </x:row>
    <x:row r="141">
      <x:c r="A141" s="48" t="n">
        <x:f>Inputs!$C$7+139*(Inputs!$C$8-Inputs!$C$7)/240</x:f>
        <x:v>9.5</x:v>
      </x:c>
      <x:c r="B141" s="48" t="n">
        <x:f>Inputs!$C$5+Inputs!$C$9*(A141/Inputs!$C$10)^2</x:f>
        <x:v>400.10027777777776</x:v>
      </x:c>
      <x:c r="C141" s="48" t="n">
        <x:f>B141</x:f>
        <x:v>400.10027777777776</x:v>
      </x:c>
      <x:c r="D141" s="48" t="n">
        <x:f>SQRT(A141^2+Inputs!$C$6^2+B141^2)</x:f>
        <x:v>400.99311998818</x:v>
      </x:c>
      <x:c r="E141" s="48" t="n">
        <x:f>(D141-C141)*1000</x:f>
        <x:v>892.8422104022502</x:v>
      </x:c>
      <x:c r="F141" s="48" t="n">
        <x:f>E141/Inputs!$C$12</x:f>
        <x:v>501.5967474169945</x:v>
      </x:c>
      <x:c r="G141" s="48" t="n">
        <x:f>2*E141/Inputs!$C$21*1000000</x:f>
        <x:v>5.956402081350894</x:v>
      </x:c>
      <x:c r="H141" s="48" t="n">
        <x:f>SQRT(A141^2+Inputs!$C$6^2)</x:f>
        <x:v>26.744158240632665</x:v>
      </x:c>
      <x:c r="I141" s="48" t="n">
        <x:f>DEGREES(ATAN(H141/B141))</x:f>
        <x:v>3.8241695756954894</x:v>
      </x:c>
      <x:c r="J141" s="48" t="n">
        <x:f>DEGREES((2*PI()/Inputs!$C$13)*Inputs!$C$15*SIN(RADIANS(I141)))</x:f>
        <x:v>24.010130066350158</x:v>
      </x:c>
      <x:c r="K141" s="48" t="n">
        <x:f>(C141/D141)^4</x:f>
        <x:v>0.9911233922321975</x:v>
      </x:c>
      <x:c r="L141" s="48" t="n">
        <x:f>10*LOG10(K141)</x:f>
        <x:v>-0.0387227363823875</x:v>
      </x:c>
      <x:c r="M141" s="48" t="n">
        <x:f>2*(Inputs!$C$9/(Inputs!$C$10^2))*A141</x:f>
        <x:v>0.021111111111111112</x:v>
      </x:c>
      <x:c r="N141" s="48" t="n">
        <x:f>M141*Inputs!$C$11</x:f>
        <x:v>0.08444444444444445</x:v>
      </x:c>
      <x:c r="O141" s="48" t="n">
        <x:f>1000*((A141*Inputs!$C$11)+(B141*N141))/D141</x:f>
        <x:v>179.02114051514994</x:v>
      </x:c>
      <x:c r="P141" s="48" t="n">
        <x:f>-2*O141/Inputs!$C$13</x:f>
        <x:v>-71.60845620605997</x:v>
      </x:c>
      <x:c r="Q141" s="48" t="n">
        <x:f>-2*O141/Inputs!$C$14</x:f>
        <x:v>-10.752020451360357</x:v>
      </x:c>
      <x:c r="R141" s="48" t="n">
        <x:f>F141-Inputs!$C$16/2</x:f>
        <x:v>486.5967474169945</x:v>
      </x:c>
      <x:c r="S141" s="48" t="n">
        <x:f>F141+Inputs!$C$16/2</x:f>
        <x:v>516.5967474169945</x:v>
      </x:c>
      <x:c r="T141" s="48" t="n">
        <x:f>F141-Inputs!$C$17/2</x:f>
        <x:v>351.5967474169945</x:v>
      </x:c>
      <x:c r="U141" s="48" t="n">
        <x:f>F141+Inputs!$C$17/2</x:f>
        <x:v>651.5967474169945</x:v>
      </x:c>
      <x:c r="V141" s="48" t="n">
        <x:f>ABS(P141)</x:f>
        <x:v>71.60845620605997</x:v>
      </x:c>
      <x:c r="W141" s="48" t="n">
        <x:f>ABS(Q141)</x:f>
        <x:v>10.752020451360357</x:v>
      </x:c>
      <x:c r="X141" s="48" t="n">
        <x: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(0.45*SIN(2*PI()*(((A141)/Inputs!$C$49)+Inputs!$C$47*0.137))+0.35*COS(2*PI()*(((0)/Inputs!$C$50)+Inputs!$C$47*0.173))+0.20*SIN(2*PI()*(((A141)+(0))/(0.5*(Inputs!$C$49+Inputs!$C$50))+Inputs!$C$47*0.097)))+0.30*(2*((SIN(((A141)*12.9898+(0)*78.233+Inputs!$C$47*37.719))*43758.5453)-INT((SIN(((A141)*12.9898+(0)*78.233+Inputs!$C$47*37.719))*43758.5453)))-1)))</x:f>
        <x:v>5.649927018638348</x:v>
      </x:c>
      <x:c r="Y141" s="48" t="n">
        <x: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(0.45*SIN(2*PI()*(((A141)/Inputs!$C$49)+Inputs!$C$47*0.137))+0.35*COS(2*PI()*(((Inputs!$C$6)/Inputs!$C$50)+Inputs!$C$47*0.173))+0.20*SIN(2*PI()*(((A141)+(Inputs!$C$6))/(0.5*(Inputs!$C$49+Inputs!$C$50))+Inputs!$C$47*0.097)))+0.30*(2*((SIN(((A141)*12.9898+(Inputs!$C$6)*78.233+Inputs!$C$47*37.719))*43758.5453)-INT((SIN(((A141)*12.9898+(Inputs!$C$6)*78.233+Inputs!$C$47*37.719))*43758.5453)))-1)))</x:f>
        <x:v>478.27937371872196</x:v>
      </x:c>
      <x:c r="Z141" s="48" t="n">
        <x:f>B141-X141/1000</x:f>
        <x:v>400.09462785075914</x:v>
      </x:c>
      <x:c r="AA141" s="48" t="n">
        <x:f>SQRT(A141^2+Inputs!$C$6^2+(B141-Y141/1000)^2)</x:f>
        <x:v>400.51590681077045</x:v>
      </x:c>
      <x:c r="AB141" s="48" t="n">
        <x:f>(AA141-Z141)*1000</x:f>
        <x:v>421.27896001130694</x:v>
      </x:c>
      <x:c r="AC141" s="48" t="n">
        <x:f>AB141/Inputs!$C$12</x:f>
        <x:v>236.67357304006006</x:v>
      </x:c>
      <x:c r="AD141" s="48" t="n">
        <x:f>2*AB141/Inputs!$C$21*1000000</x:f>
        <x:v>2.8104707024438014</x:v>
      </x:c>
      <x:c r="AE141" s="48" t="n">
        <x:f>DEGREES(ATAN(H141/(B141-Y141/1000)))</x:f>
        <x:v>3.828732849495572</x:v>
      </x:c>
      <x:c r="AF141" s="48" t="n">
        <x:f>DEGREES((2*PI()/Inputs!$C$13)*Inputs!$C$15*SIN(RADIANS(AE141)))</x:f>
        <x:v>24.038738044870204</x:v>
      </x:c>
      <x:c r="AG141" s="48" t="n">
        <x:f>(Z141/AA141)^4</x:f>
        <x:v>0.995799270478427</x:v>
      </x:c>
      <x:c r="AH141" s="48" t="n">
        <x:f>10*LOG10(AG141)</x:f>
        <x:v>-0.0182819622415605</x:v>
      </x:c>
      <x:c r="AI141" s="48" t="n">
        <x:f>AC141-F141</x:f>
        <x:v>-264.9231743769344</x:v>
      </x:c>
      <x:c r="AJ141" s="48" t="n">
        <x:f>AD141-G141</x:f>
        <x:v>-3.1459313789070924</x:v>
      </x:c>
      <x:c r="AK141" s="48" t="n">
        <x:f>Y141-X141</x:f>
        <x:v>472.62944670008363</x:v>
      </x:c>
      <x:c r="AL141" s="48" t="n">
        <x:f>1000*(AA142-AA140)/(A142-A140)*Inputs!$C$11</x:f>
        <x:v>286.98430039071354</x:v>
      </x:c>
      <x:c r="AM141" s="48" t="n">
        <x:f>-2*AL141/Inputs!$C$13</x:f>
        <x:v>-114.79372015628542</x:v>
      </x:c>
      <x:c r="AN141" s="48" t="n">
        <x:f>-2*AL141/Inputs!$C$14</x:f>
        <x:v>-17.236294317760574</x:v>
      </x:c>
      <x:c r="AO141" s="48" t="n">
        <x:f>ABS(AM141)</x:f>
        <x:v>114.79372015628542</x:v>
      </x:c>
      <x:c r="AP141" s="48" t="n">
        <x:f>ABS(AN141)</x:f>
        <x:v>17.236294317760574</x:v>
      </x:c>
      <x:c r="AQ141" s="48" t="n">
        <x:f>IF(OR(Inputs!$C$27=TRUE,Inputs!$C$27="TRUE",Inputs!$C$27=1),Inputs!$C$46/Inputs!$C$12,0)</x:f>
        <x:v>42.13483146067416</x:v>
      </x:c>
      <x:c r="AR141" s="48" t="n">
        <x:f>AC141-AQ141</x:f>
        <x:v>194.5387415793859</x:v>
      </x:c>
      <x:c r="AS141" s="48" t="n">
        <x:f>AC141+AQ141</x:f>
        <x:v>278.80840450073424</x:v>
      </x:c>
    </x:row>
    <x:row r="142">
      <x:c r="A142" s="48" t="n">
        <x:f>Inputs!$C$7+140*(Inputs!$C$8-Inputs!$C$7)/240</x:f>
        <x:v>10</x:v>
      </x:c>
      <x:c r="B142" s="48" t="n">
        <x:f>Inputs!$C$5+Inputs!$C$9*(A142/Inputs!$C$10)^2</x:f>
        <x:v>400.1111111111111</x:v>
      </x:c>
      <x:c r="C142" s="48" t="n">
        <x:f>B142</x:f>
        <x:v>400.1111111111111</x:v>
      </x:c>
      <x:c r="D142" s="48" t="n">
        <x:f>SQRT(A142^2+Inputs!$C$6^2+B142^2)</x:f>
        <x:v>401.01608600474856</x:v>
      </x:c>
      <x:c r="E142" s="48" t="n">
        <x:f>(D142-C142)*1000</x:f>
        <x:v>904.9748936374726</x:v>
      </x:c>
      <x:c r="F142" s="48" t="n">
        <x:f>E142/Inputs!$C$12</x:f>
        <x:v>508.41286159408577</x:v>
      </x:c>
      <x:c r="G142" s="48" t="n">
        <x:f>2*E142/Inputs!$C$21*1000000</x:f>
        <x:v>6.037342631464549</x:v>
      </x:c>
      <x:c r="H142" s="48" t="n">
        <x:f>SQRT(A142^2+Inputs!$C$6^2)</x:f>
        <x:v>26.92582403567252</x:v>
      </x:c>
      <x:c r="I142" s="48" t="n">
        <x:f>DEGREES(ATAN(H142/B142))</x:f>
        <x:v>3.8499643269735215</x:v>
      </x:c>
      <x:c r="J142" s="48" t="n">
        <x:f>DEGREES((2*PI()/Inputs!$C$13)*Inputs!$C$15*SIN(RADIANS(I142)))</x:f>
        <x:v>24.171839961370843</x:v>
      </x:c>
      <x:c r="K142" s="48" t="n">
        <x:f>(C142/D142)^4</x:f>
        <x:v>0.9910036914764812</x:v>
      </x:c>
      <x:c r="L142" s="48" t="n">
        <x:f>10*LOG10(K142)</x:f>
        <x:v>-0.039247277701435296</x:v>
      </x:c>
      <x:c r="M142" s="48" t="n">
        <x:f>2*(Inputs!$C$9/(Inputs!$C$10^2))*A142</x:f>
        <x:v>0.022222222222222223</x:v>
      </x:c>
      <x:c r="N142" s="48" t="n">
        <x:f>M142*Inputs!$C$11</x:f>
        <x:v>0.08888888888888889</x:v>
      </x:c>
      <x:c r="O142" s="48" t="n">
        <x:f>1000*((A142*Inputs!$C$11)+(B142*N142))/D142</x:f>
        <x:v>188.43491504695058</x:v>
      </x:c>
      <x:c r="P142" s="48" t="n">
        <x:f>-2*O142/Inputs!$C$13</x:f>
        <x:v>-75.37396601878024</x:v>
      </x:c>
      <x:c r="Q142" s="48" t="n">
        <x:f>-2*O142/Inputs!$C$14</x:f>
        <x:v>-11.317412315132168</x:v>
      </x:c>
      <x:c r="R142" s="48" t="n">
        <x:f>F142-Inputs!$C$16/2</x:f>
        <x:v>493.41286159408577</x:v>
      </x:c>
      <x:c r="S142" s="48" t="n">
        <x:f>F142+Inputs!$C$16/2</x:f>
        <x:v>523.4128615940858</x:v>
      </x:c>
      <x:c r="T142" s="48" t="n">
        <x:f>F142-Inputs!$C$17/2</x:f>
        <x:v>358.41286159408577</x:v>
      </x:c>
      <x:c r="U142" s="48" t="n">
        <x:f>F142+Inputs!$C$17/2</x:f>
        <x:v>658.4128615940858</x:v>
      </x:c>
      <x:c r="V142" s="48" t="n">
        <x:f>ABS(P142)</x:f>
        <x:v>75.37396601878024</x:v>
      </x:c>
      <x:c r="W142" s="48" t="n">
        <x:f>ABS(Q142)</x:f>
        <x:v>11.317412315132168</x:v>
      </x:c>
      <x:c r="X142" s="48" t="n">
        <x: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(0.45*SIN(2*PI()*(((A142)/Inputs!$C$49)+Inputs!$C$47*0.137))+0.35*COS(2*PI()*(((0)/Inputs!$C$50)+Inputs!$C$47*0.173))+0.20*SIN(2*PI()*(((A142)+(0))/(0.5*(Inputs!$C$49+Inputs!$C$50))+Inputs!$C$47*0.097)))+0.30*(2*((SIN(((A142)*12.9898+(0)*78.233+Inputs!$C$47*37.719))*43758.5453)-INT((SIN(((A142)*12.9898+(0)*78.233+Inputs!$C$47*37.719))*43758.5453)))-1)))</x:f>
        <x:v>-8.569441618173819</x:v>
      </x:c>
      <x:c r="Y142" s="48" t="n">
        <x: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(0.45*SIN(2*PI()*(((A142)/Inputs!$C$49)+Inputs!$C$47*0.137))+0.35*COS(2*PI()*(((Inputs!$C$6)/Inputs!$C$50)+Inputs!$C$47*0.173))+0.20*SIN(2*PI()*(((A142)+(Inputs!$C$6))/(0.5*(Inputs!$C$49+Inputs!$C$50))+Inputs!$C$47*0.097)))+0.30*(2*((SIN(((A142)*12.9898+(Inputs!$C$6)*78.233+Inputs!$C$47*37.719))*43758.5453)-INT((SIN(((A142)*12.9898+(Inputs!$C$6)*78.233+Inputs!$C$47*37.719))*43758.5453)))-1)))</x:f>
        <x:v>454.2022007690729</x:v>
      </x:c>
      <x:c r="Z142" s="48" t="n">
        <x:f>B142-X142/1000</x:f>
        <x:v>400.1196805527293</x:v>
      </x:c>
      <x:c r="AA142" s="48" t="n">
        <x:f>SQRT(A142^2+Inputs!$C$6^2+(B142-Y142/1000)^2)</x:f>
        <x:v>400.56290996517566</x:v>
      </x:c>
      <x:c r="AB142" s="48" t="n">
        <x:f>(AA142-Z142)*1000</x:f>
        <x:v>443.22941244638514</x:v>
      </x:c>
      <x:c r="AC142" s="48" t="n">
        <x:f>AB142/Inputs!$C$12</x:f>
        <x:v>249.0052878912276</x:v>
      </x:c>
      <x:c r="AD142" s="48" t="n">
        <x:f>2*AB142/Inputs!$C$21*1000000</x:f>
        <x:v>2.9569083585577403</x:v>
      </x:c>
      <x:c r="AE142" s="48" t="n">
        <x:f>DEGREES(ATAN(H142/(B142-Y142/1000)))</x:f>
        <x:v>3.8543265547924417</x:v>
      </x:c>
      <x:c r="AF142" s="48" t="n">
        <x:f>DEGREES((2*PI()/Inputs!$C$13)*Inputs!$C$15*SIN(RADIANS(AE142)))</x:f>
        <x:v>24.199186723715453</x:v>
      </x:c>
      <x:c r="AG142" s="48" t="n">
        <x:f>(Z142/AA142)^4</x:f>
        <x:v>0.9955812754194125</x:v>
      </x:c>
      <x:c r="AH142" s="48" t="n">
        <x:f>10*LOG10(AG142)</x:f>
        <x:v>-0.0192328006113069</x:v>
      </x:c>
      <x:c r="AI142" s="48" t="n">
        <x:f>AC142-F142</x:f>
        <x:v>-259.40757370285814</x:v>
      </x:c>
      <x:c r="AJ142" s="48" t="n">
        <x:f>AD142-G142</x:f>
        <x:v>-3.0804342729068086</x:v>
      </x:c>
      <x:c r="AK142" s="48" t="n">
        <x:f>Y142-X142</x:f>
        <x:v>462.7716423872467</x:v>
      </x:c>
      <x:c r="AL142" s="48" t="n">
        <x:f>1000*(AA143-AA141)/(A143-A141)*Inputs!$C$11</x:f>
        <x:v>349.54803643245214</x:v>
      </x:c>
      <x:c r="AM142" s="48" t="n">
        <x:f>-2*AL142/Inputs!$C$13</x:f>
        <x:v>-139.81921457298085</x:v>
      </x:c>
      <x:c r="AN142" s="48" t="n">
        <x:f>-2*AL142/Inputs!$C$14</x:f>
        <x:v>-20.99387606200914</x:v>
      </x:c>
      <x:c r="AO142" s="48" t="n">
        <x:f>ABS(AM142)</x:f>
        <x:v>139.81921457298085</x:v>
      </x:c>
      <x:c r="AP142" s="48" t="n">
        <x:f>ABS(AN142)</x:f>
        <x:v>20.99387606200914</x:v>
      </x:c>
      <x:c r="AQ142" s="48" t="n">
        <x:f>IF(OR(Inputs!$C$27=TRUE,Inputs!$C$27="TRUE",Inputs!$C$27=1),Inputs!$C$46/Inputs!$C$12,0)</x:f>
        <x:v>42.13483146067416</x:v>
      </x:c>
      <x:c r="AR142" s="48" t="n">
        <x:f>AC142-AQ142</x:f>
        <x:v>206.87045643055345</x:v>
      </x:c>
      <x:c r="AS142" s="48" t="n">
        <x:f>AC142+AQ142</x:f>
        <x:v>291.1401193519018</x:v>
      </x:c>
    </x:row>
    <x:row r="143">
      <x:c r="A143" s="48" t="n">
        <x:f>Inputs!$C$7+141*(Inputs!$C$8-Inputs!$C$7)/240</x:f>
        <x:v>10.5</x:v>
      </x:c>
      <x:c r="B143" s="48" t="n">
        <x:f>Inputs!$C$5+Inputs!$C$9*(A143/Inputs!$C$10)^2</x:f>
        <x:v>400.1225</x:v>
      </x:c>
      <x:c r="C143" s="48" t="n">
        <x:f>B143</x:f>
        <x:v>400.1225</x:v>
      </x:c>
      <x:c r="D143" s="48" t="n">
        <x:f>SQRT(A143^2+Inputs!$C$6^2+B143^2)</x:f>
        <x:v>401.04022866322276</x:v>
      </x:c>
      <x:c r="E143" s="48" t="n">
        <x:f>(D143-C143)*1000</x:f>
        <x:v>917.7286632227606</x:v>
      </x:c>
      <x:c r="F143" s="48" t="n">
        <x:f>E143/Inputs!$C$12</x:f>
        <x:v>515.5779006869442</x:v>
      </x:c>
      <x:c r="G143" s="48" t="n">
        <x:f>2*E143/Inputs!$C$21*1000000</x:f>
        <x:v>6.122426623706195</x:v>
      </x:c>
      <x:c r="H143" s="48" t="n">
        <x:f>SQRT(A143^2+Inputs!$C$6^2)</x:f>
        <x:v>27.115493725912497</x:v>
      </x:c>
      <x:c r="I143" s="48" t="n">
        <x:f>DEGREES(ATAN(H143/B143))</x:f>
        <x:v>3.8768916383114713</x:v>
      </x:c>
      <x:c r="J143" s="48" t="n">
        <x:f>DEGREES((2*PI()/Inputs!$C$13)*Inputs!$C$15*SIN(RADIANS(I143)))</x:f>
        <x:v>24.340644762413287</x:v>
      </x:c>
      <x:c r="K143" s="48" t="n">
        <x:f>(C143/D143)^4</x:f>
        <x:v>0.990877889588107</x:v>
      </x:c>
      <x:c r="L143" s="48" t="n">
        <x:f>10*LOG10(K143)</x:f>
        <x:v>-0.039798623115099706</x:v>
      </x:c>
      <x:c r="M143" s="48" t="n">
        <x:f>2*(Inputs!$C$9/(Inputs!$C$10^2))*A143</x:f>
        <x:v>0.023333333333333334</x:v>
      </x:c>
      <x:c r="N143" s="48" t="n">
        <x:f>M143*Inputs!$C$11</x:f>
        <x:v>0.09333333333333334</x:v>
      </x:c>
      <x:c r="O143" s="48" t="n">
        <x:f>1000*((A143*Inputs!$C$11)+(B143*N143))/D143</x:f>
        <x:v>197.84740032476188</x:v>
      </x:c>
      <x:c r="P143" s="48" t="n">
        <x:f>-2*O143/Inputs!$C$13</x:f>
        <x:v>-79.13896012990475</x:v>
      </x:c>
      <x:c r="Q143" s="48" t="n">
        <x:f>-2*O143/Inputs!$C$14</x:f>
        <x:v>-11.882726746231945</x:v>
      </x:c>
      <x:c r="R143" s="48" t="n">
        <x:f>F143-Inputs!$C$16/2</x:f>
        <x:v>500.5779006869442</x:v>
      </x:c>
      <x:c r="S143" s="48" t="n">
        <x:f>F143+Inputs!$C$16/2</x:f>
        <x:v>530.5779006869442</x:v>
      </x:c>
      <x:c r="T143" s="48" t="n">
        <x:f>F143-Inputs!$C$17/2</x:f>
        <x:v>365.5779006869442</x:v>
      </x:c>
      <x:c r="U143" s="48" t="n">
        <x:f>F143+Inputs!$C$17/2</x:f>
        <x:v>665.5779006869442</x:v>
      </x:c>
      <x:c r="V143" s="48" t="n">
        <x:f>ABS(P143)</x:f>
        <x:v>79.13896012990475</x:v>
      </x:c>
      <x:c r="W143" s="48" t="n">
        <x:f>ABS(Q143)</x:f>
        <x:v>11.882726746231945</x:v>
      </x:c>
      <x:c r="X143" s="48" t="n">
        <x: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(0.45*SIN(2*PI()*(((A143)/Inputs!$C$49)+Inputs!$C$47*0.137))+0.35*COS(2*PI()*(((0)/Inputs!$C$50)+Inputs!$C$47*0.173))+0.20*SIN(2*PI()*(((A143)+(0))/(0.5*(Inputs!$C$49+Inputs!$C$50))+Inputs!$C$47*0.097)))+0.30*(2*((SIN(((A143)*12.9898+(0)*78.233+Inputs!$C$47*37.719))*43758.5453)-INT((SIN(((A143)*12.9898+(0)*78.233+Inputs!$C$47*37.719))*43758.5453)))-1)))</x:f>
        <x:v>4.936290407774814</x:v>
      </x:c>
      <x:c r="Y143" s="48" t="n">
        <x: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(0.45*SIN(2*PI()*(((A143)/Inputs!$C$49)+Inputs!$C$47*0.137))+0.35*COS(2*PI()*(((Inputs!$C$6)/Inputs!$C$50)+Inputs!$C$47*0.173))+0.20*SIN(2*PI()*(((A143)+(Inputs!$C$6))/(0.5*(Inputs!$C$49+Inputs!$C$50))+Inputs!$C$47*0.097)))+0.30*(2*((SIN(((A143)*12.9898+(Inputs!$C$6)*78.233+Inputs!$C$47*37.719))*43758.5453)-INT((SIN(((A143)*12.9898+(Inputs!$C$6)*78.233+Inputs!$C$47*37.719))*43758.5453)))-1)))</x:f>
        <x:v>437.9381023255588</x:v>
      </x:c>
      <x:c r="Z143" s="48" t="n">
        <x:f>B143-X143/1000</x:f>
        <x:v>400.1175637095922</x:v>
      </x:c>
      <x:c r="AA143" s="48" t="n">
        <x:f>SQRT(A143^2+Inputs!$C$6^2+(B143-Y143/1000)^2)</x:f>
        <x:v>400.60329381987856</x:v>
      </x:c>
      <x:c r="AB143" s="48" t="n">
        <x:f>(AA143-Z143)*1000</x:f>
        <x:v>485.7301102863403</x:v>
      </x:c>
      <x:c r="AC143" s="48" t="n">
        <x:f>AB143/Inputs!$C$12</x:f>
        <x:v>272.88208443052827</x:v>
      </x:c>
      <x:c r="AD143" s="48" t="n">
        <x:f>2*AB143/Inputs!$C$21*1000000</x:f>
        <x:v>3.240442494963234</x:v>
      </x:c>
      <x:c r="AE143" s="48" t="n">
        <x:f>DEGREES(ATAN(H143/(B143-Y143/1000)))</x:f>
        <x:v>3.8811266091727297</x:v>
      </x:c>
      <x:c r="AF143" s="48" t="n">
        <x:f>DEGREES((2*PI()/Inputs!$C$13)*Inputs!$C$15*SIN(RADIANS(AE143)))</x:f>
        <x:v>24.367192911093618</x:v>
      </x:c>
      <x:c r="AG143" s="48" t="n">
        <x:f>(Z143/AA143)^4</x:f>
        <x:v>0.9951588275730846</x:v>
      </x:c>
      <x:c r="AH143" s="48" t="n">
        <x:f>10*LOG10(AG143)</x:f>
        <x:v>-0.021076002253051</x:v>
      </x:c>
      <x:c r="AI143" s="48" t="n">
        <x:f>AC143-F143</x:f>
        <x:v>-242.69581625641592</x:v>
      </x:c>
      <x:c r="AJ143" s="48" t="n">
        <x:f>AD143-G143</x:f>
        <x:v>-2.881984128742961</x:v>
      </x:c>
      <x:c r="AK143" s="48" t="n">
        <x:f>Y143-X143</x:f>
        <x:v>433.001811917784</x:v>
      </x:c>
      <x:c r="AL143" s="48" t="n">
        <x:f>1000*(AA144-AA142)/(A144-A142)*Inputs!$C$11</x:f>
        <x:v>234.93331745999058</x:v>
      </x:c>
      <x:c r="AM143" s="48" t="n">
        <x:f>-2*AL143/Inputs!$C$13</x:f>
        <x:v>-93.97332698399623</x:v>
      </x:c>
      <x:c r="AN143" s="48" t="n">
        <x:f>-2*AL143/Inputs!$C$14</x:f>
        <x:v>-14.110109156756192</x:v>
      </x:c>
      <x:c r="AO143" s="48" t="n">
        <x:f>ABS(AM143)</x:f>
        <x:v>93.97332698399623</x:v>
      </x:c>
      <x:c r="AP143" s="48" t="n">
        <x:f>ABS(AN143)</x:f>
        <x:v>14.110109156756192</x:v>
      </x:c>
      <x:c r="AQ143" s="48" t="n">
        <x:f>IF(OR(Inputs!$C$27=TRUE,Inputs!$C$27="TRUE",Inputs!$C$27=1),Inputs!$C$46/Inputs!$C$12,0)</x:f>
        <x:v>42.13483146067416</x:v>
      </x:c>
      <x:c r="AR143" s="48" t="n">
        <x:f>AC143-AQ143</x:f>
        <x:v>230.74725296985412</x:v>
      </x:c>
      <x:c r="AS143" s="48" t="n">
        <x:f>AC143+AQ143</x:f>
        <x:v>315.0169158912024</x:v>
      </x:c>
    </x:row>
    <x:row r="144">
      <x:c r="A144" s="48" t="n">
        <x:f>Inputs!$C$7+142*(Inputs!$C$8-Inputs!$C$7)/240</x:f>
        <x:v>11</x:v>
      </x:c>
      <x:c r="B144" s="48" t="n">
        <x:f>Inputs!$C$5+Inputs!$C$9*(A144/Inputs!$C$10)^2</x:f>
        <x:v>400.13444444444445</x:v>
      </x:c>
      <x:c r="C144" s="48" t="n">
        <x:f>B144</x:f>
        <x:v>400.13444444444445</x:v>
      </x:c>
      <x:c r="D144" s="48" t="n">
        <x:f>SQRT(A144^2+Inputs!$C$6^2+B144^2)</x:f>
        <x:v>401.0655477984418</x:v>
      </x:c>
      <x:c r="E144" s="48" t="n">
        <x:f>(D144-C144)*1000</x:f>
        <x:v>931.1033539973437</x:v>
      </x:c>
      <x:c r="F144" s="48" t="n">
        <x:f>E144/Inputs!$C$12</x:f>
        <x:v>523.09177190862</x:v>
      </x:c>
      <x:c r="G144" s="48" t="n">
        <x:f>2*E144/Inputs!$C$21*1000000</x:f>
        <x:v>6.211652956241772</x:v>
      </x:c>
      <x:c r="H144" s="48" t="n">
        <x:f>SQRT(A144^2+Inputs!$C$6^2)</x:f>
        <x:v>27.313000567495326</x:v>
      </x:c>
      <x:c r="I144" s="48" t="n">
        <x:f>DEGREES(ATAN(H144/B144))</x:f>
        <x:v>3.904927307448456</x:v>
      </x:c>
      <x:c r="J144" s="48" t="n">
        <x:f>DEGREES((2*PI()/Inputs!$C$13)*Inputs!$C$15*SIN(RADIANS(I144)))</x:f>
        <x:v>24.516392041831022</x:v>
      </x:c>
      <x:c r="K144" s="48" t="n">
        <x:f>(C144/D144)^4</x:f>
        <x:v>0.9907459921549117</x:v>
      </x:c>
      <x:c r="L144" s="48" t="n">
        <x:f>10*LOG10(K144)</x:f>
        <x:v>-0.0403767583306295</x:v>
      </x:c>
      <x:c r="M144" s="48" t="n">
        <x:f>2*(Inputs!$C$9/(Inputs!$C$10^2))*A144</x:f>
        <x:v>0.024444444444444446</x:v>
      </x:c>
      <x:c r="N144" s="48" t="n">
        <x:f>M144*Inputs!$C$11</x:f>
        <x:v>0.09777777777777778</x:v>
      </x:c>
      <x:c r="O144" s="48" t="n">
        <x:f>1000*((A144*Inputs!$C$11)+(B144*N144))/D144</x:f>
        <x:v>207.25853229332512</x:v>
      </x:c>
      <x:c r="P144" s="48" t="n">
        <x:f>-2*O144/Inputs!$C$13</x:f>
        <x:v>-82.90341291733004</x:v>
      </x:c>
      <x:c r="Q144" s="48" t="n">
        <x:f>-2*O144/Inputs!$C$14</x:f>
        <x:v>-12.447959897497006</x:v>
      </x:c>
      <x:c r="R144" s="48" t="n">
        <x:f>F144-Inputs!$C$16/2</x:f>
        <x:v>508.09177190862</x:v>
      </x:c>
      <x:c r="S144" s="48" t="n">
        <x:f>F144+Inputs!$C$16/2</x:f>
        <x:v>538.09177190862</x:v>
      </x:c>
      <x:c r="T144" s="48" t="n">
        <x:f>F144-Inputs!$C$17/2</x:f>
        <x:v>373.09177190862</x:v>
      </x:c>
      <x:c r="U144" s="48" t="n">
        <x:f>F144+Inputs!$C$17/2</x:f>
        <x:v>673.09177190862</x:v>
      </x:c>
      <x:c r="V144" s="48" t="n">
        <x:f>ABS(P144)</x:f>
        <x:v>82.90341291733004</x:v>
      </x:c>
      <x:c r="W144" s="48" t="n">
        <x:f>ABS(Q144)</x:f>
        <x:v>12.447959897497006</x:v>
      </x:c>
      <x:c r="X144" s="48" t="n">
        <x: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(0.45*SIN(2*PI()*(((A144)/Inputs!$C$49)+Inputs!$C$47*0.137))+0.35*COS(2*PI()*(((0)/Inputs!$C$50)+Inputs!$C$47*0.173))+0.20*SIN(2*PI()*(((A144)+(0))/(0.5*(Inputs!$C$49+Inputs!$C$50))+Inputs!$C$47*0.097)))+0.30*(2*((SIN(((A144)*12.9898+(0)*78.233+Inputs!$C$47*37.719))*43758.5453)-INT((SIN(((A144)*12.9898+(0)*78.233+Inputs!$C$47*37.719))*43758.5453)))-1)))</x:f>
        <x:v>1.9403678384373038</x:v>
      </x:c>
      <x:c r="Y144" s="48" t="n">
        <x: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(0.45*SIN(2*PI()*(((A144)/Inputs!$C$49)+Inputs!$C$47*0.137))+0.35*COS(2*PI()*(((Inputs!$C$6)/Inputs!$C$50)+Inputs!$C$47*0.173))+0.20*SIN(2*PI()*(((A144)+(Inputs!$C$6))/(0.5*(Inputs!$C$49+Inputs!$C$50))+Inputs!$C$47*0.097)))+0.30*(2*((SIN(((A144)*12.9898+(Inputs!$C$6)*78.233+Inputs!$C$47*37.719))*43758.5453)-INT((SIN(((A144)*12.9898+(Inputs!$C$6)*78.233+Inputs!$C$47*37.719))*43758.5453)))-1)))</x:f>
        <x:v>444.9386077034983</x:v>
      </x:c>
      <x:c r="Z144" s="48" t="n">
        <x:f>B144-X144/1000</x:f>
        <x:v>400.13250407660604</x:v>
      </x:c>
      <x:c r="AA144" s="48" t="n">
        <x:f>SQRT(A144^2+Inputs!$C$6^2+(B144-Y144/1000)^2)</x:f>
        <x:v>400.62164329454066</x:v>
      </x:c>
      <x:c r="AB144" s="48" t="n">
        <x:f>(AA144-Z144)*1000</x:f>
        <x:v>489.13921793462123</x:v>
      </x:c>
      <x:c r="AC144" s="48" t="n">
        <x:f>AB144/Inputs!$C$12</x:f>
        <x:v>274.7973134464164</x:v>
      </x:c>
      <x:c r="AD144" s="48" t="n">
        <x:f>2*AB144/Inputs!$C$21*1000000</x:f>
        <x:v>3.2631856131258727</x:v>
      </x:c>
      <x:c r="AE144" s="48" t="n">
        <x:f>DEGREES(ATAN(H144/(B144-Y144/1000)))</x:f>
        <x:v>3.909260843092401</x:v>
      </x:c>
      <x:c r="AF144" s="48" t="n">
        <x:f>DEGREES((2*PI()/Inputs!$C$13)*Inputs!$C$15*SIN(RADIANS(AE144)))</x:f>
        <x:v>24.543557166404117</x:v>
      </x:c>
      <x:c r="AG144" s="48" t="n">
        <x:f>(Z144/AA144)^4</x:f>
        <x:v>0.9951251348213053</x:v>
      </x:c>
      <x:c r="AH144" s="48" t="n">
        <x:f>10*LOG10(AG144)</x:f>
        <x:v>-0.0212230423383431</x:v>
      </x:c>
      <x:c r="AI144" s="48" t="n">
        <x:f>AC144-F144</x:f>
        <x:v>-248.29445846220358</x:v>
      </x:c>
      <x:c r="AJ144" s="48" t="n">
        <x:f>AD144-G144</x:f>
        <x:v>-2.948467343115899</x:v>
      </x:c>
      <x:c r="AK144" s="48" t="n">
        <x:f>Y144-X144</x:f>
        <x:v>442.998239865061</x:v>
      </x:c>
      <x:c r="AL144" s="48" t="n">
        <x:f>1000*(AA145-AA143)/(A145-A143)*Inputs!$C$11</x:f>
        <x:v>221.31814074555223</x:v>
      </x:c>
      <x:c r="AM144" s="48" t="n">
        <x:f>-2*AL144/Inputs!$C$13</x:f>
        <x:v>-88.52725629822089</x:v>
      </x:c>
      <x:c r="AN144" s="48" t="n">
        <x:f>-2*AL144/Inputs!$C$14</x:f>
        <x:v>-13.292380825558693</x:v>
      </x:c>
      <x:c r="AO144" s="48" t="n">
        <x:f>ABS(AM144)</x:f>
        <x:v>88.52725629822089</x:v>
      </x:c>
      <x:c r="AP144" s="48" t="n">
        <x:f>ABS(AN144)</x:f>
        <x:v>13.292380825558693</x:v>
      </x:c>
      <x:c r="AQ144" s="48" t="n">
        <x:f>IF(OR(Inputs!$C$27=TRUE,Inputs!$C$27="TRUE",Inputs!$C$27=1),Inputs!$C$46/Inputs!$C$12,0)</x:f>
        <x:v>42.13483146067416</x:v>
      </x:c>
      <x:c r="AR144" s="48" t="n">
        <x:f>AC144-AQ144</x:f>
        <x:v>232.66248198574226</x:v>
      </x:c>
      <x:c r="AS144" s="48" t="n">
        <x:f>AC144+AQ144</x:f>
        <x:v>316.93214490709056</x:v>
      </x:c>
    </x:row>
    <x:row r="145">
      <x:c r="A145" s="48" t="n">
        <x:f>Inputs!$C$7+143*(Inputs!$C$8-Inputs!$C$7)/240</x:f>
        <x:v>11.5</x:v>
      </x:c>
      <x:c r="B145" s="48" t="n">
        <x:f>Inputs!$C$5+Inputs!$C$9*(A145/Inputs!$C$10)^2</x:f>
        <x:v>400.14694444444444</x:v>
      </x:c>
      <x:c r="C145" s="48" t="n">
        <x:f>B145</x:f>
        <x:v>400.14694444444444</x:v>
      </x:c>
      <x:c r="D145" s="48" t="n">
        <x:f>SQRT(A145^2+Inputs!$C$6^2+B145^2)</x:f>
        <x:v>401.0920432372416</x:v>
      </x:c>
      <x:c r="E145" s="48" t="n">
        <x:f>(D145-C145)*1000</x:f>
        <x:v>945.0987927971823</x:v>
      </x:c>
      <x:c r="F145" s="48" t="n">
        <x:f>E145/Inputs!$C$12</x:f>
        <x:v>530.9543779759451</x:v>
      </x:c>
      <x:c r="G145" s="48" t="n">
        <x:f>2*E145/Inputs!$C$21*1000000</x:f>
        <x:v>6.3050204738451585</x:v>
      </x:c>
      <x:c r="H145" s="48" t="n">
        <x:f>SQRT(A145^2+Inputs!$C$6^2)</x:f>
        <x:v>27.518175811634027</x:v>
      </x:c>
      <x:c r="I145" s="48" t="n">
        <x:f>DEGREES(ATAN(H145/B145))</x:f>
        <x:v>3.934046834415676</x:v>
      </x:c>
      <x:c r="J145" s="48" t="n">
        <x:f>DEGREES((2*PI()/Inputs!$C$13)*Inputs!$C$15*SIN(RADIANS(I145)))</x:f>
        <x:v>24.69892748864289</x:v>
      </x:c>
      <x:c r="K145" s="48" t="n">
        <x:f>(C145/D145)^4</x:f>
        <x:v>0.9906080050330984</x:v>
      </x:c>
      <x:c r="L145" s="48" t="n">
        <x:f>10*LOG10(K145)</x:f>
        <x:v>-0.0409816683644662</x:v>
      </x:c>
      <x:c r="M145" s="48" t="n">
        <x:f>2*(Inputs!$C$9/(Inputs!$C$10^2))*A145</x:f>
        <x:v>0.025555555555555557</x:v>
      </x:c>
      <x:c r="N145" s="48" t="n">
        <x:f>M145*Inputs!$C$11</x:f>
        <x:v>0.10222222222222223</x:v>
      </x:c>
      <x:c r="O145" s="48" t="n">
        <x:f>1000*((A145*Inputs!$C$11)+(B145*N145))/D145</x:f>
        <x:v>216.66824695682254</x:v>
      </x:c>
      <x:c r="P145" s="48" t="n">
        <x:f>-2*O145/Inputs!$C$13</x:f>
        <x:v>-86.66729878272902</x:v>
      </x:c>
      <x:c r="Q145" s="48" t="n">
        <x:f>-2*O145/Inputs!$C$14</x:f>
        <x:v>-13.013107925334689</x:v>
      </x:c>
      <x:c r="R145" s="48" t="n">
        <x:f>F145-Inputs!$C$16/2</x:f>
        <x:v>515.9543779759451</x:v>
      </x:c>
      <x:c r="S145" s="48" t="n">
        <x:f>F145+Inputs!$C$16/2</x:f>
        <x:v>545.9543779759451</x:v>
      </x:c>
      <x:c r="T145" s="48" t="n">
        <x:f>F145-Inputs!$C$17/2</x:f>
        <x:v>380.95437797594514</x:v>
      </x:c>
      <x:c r="U145" s="48" t="n">
        <x:f>F145+Inputs!$C$17/2</x:f>
        <x:v>680.9543779759451</x:v>
      </x:c>
      <x:c r="V145" s="48" t="n">
        <x:f>ABS(P145)</x:f>
        <x:v>86.66729878272902</x:v>
      </x:c>
      <x:c r="W145" s="48" t="n">
        <x:f>ABS(Q145)</x:f>
        <x:v>13.013107925334689</x:v>
      </x:c>
      <x:c r="X145" s="48" t="n">
        <x: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(0.45*SIN(2*PI()*(((A145)/Inputs!$C$49)+Inputs!$C$47*0.137))+0.35*COS(2*PI()*(((0)/Inputs!$C$50)+Inputs!$C$47*0.173))+0.20*SIN(2*PI()*(((A145)+(0))/(0.5*(Inputs!$C$49+Inputs!$C$50))+Inputs!$C$47*0.097)))+0.30*(2*((SIN(((A145)*12.9898+(0)*78.233+Inputs!$C$47*37.719))*43758.5453)-INT((SIN(((A145)*12.9898+(0)*78.233+Inputs!$C$47*37.719))*43758.5453)))-1)))</x:f>
        <x:v>4.044824683821267</x:v>
      </x:c>
      <x:c r="Y145" s="48" t="n">
        <x: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(0.45*SIN(2*PI()*(((A145)/Inputs!$C$49)+Inputs!$C$47*0.137))+0.35*COS(2*PI()*(((Inputs!$C$6)/Inputs!$C$50)+Inputs!$C$47*0.173))+0.20*SIN(2*PI()*(((A145)+(Inputs!$C$6))/(0.5*(Inputs!$C$49+Inputs!$C$50))+Inputs!$C$47*0.097)))+0.30*(2*((SIN(((A145)*12.9898+(Inputs!$C$6)*78.233+Inputs!$C$47*37.719))*43758.5453)-INT((SIN(((A145)*12.9898+(Inputs!$C$6)*78.233+Inputs!$C$47*37.719))*43758.5453)))-1)))</x:f>
        <x:v>434.44467895572086</x:v>
      </x:c>
      <x:c r="Z145" s="48" t="n">
        <x:f>B145-X145/1000</x:f>
        <x:v>400.1428996197606</x:v>
      </x:c>
      <x:c r="AA145" s="48" t="n">
        <x:f>SQRT(A145^2+Inputs!$C$6^2+(B145-Y145/1000)^2)</x:f>
        <x:v>400.65862335506495</x:v>
      </x:c>
      <x:c r="AB145" s="48" t="n">
        <x:f>(AA145-Z145)*1000</x:f>
        <x:v>515.7237353043342</x:v>
      </x:c>
      <x:c r="AC145" s="48" t="n">
        <x:f>AB145/Inputs!$C$12</x:f>
        <x:v>289.73243556423273</x:v>
      </x:c>
      <x:c r="AD145" s="48" t="n">
        <x:f>2*AB145/Inputs!$C$21*1000000</x:f>
        <x:v>3.44053842278003</x:v>
      </x:c>
      <x:c r="AE145" s="48" t="n">
        <x:f>DEGREES(ATAN(H145/(B145-Y145/1000)))</x:f>
        <x:v>3.938309273791066</x:v>
      </x:c>
      <x:c r="AF145" s="48" t="n">
        <x:f>DEGREES((2*PI()/Inputs!$C$13)*Inputs!$C$15*SIN(RADIANS(AE145)))</x:f>
        <x:v>24.725646010641427</x:v>
      </x:c>
      <x:c r="AG145" s="48" t="n">
        <x:f>(Z145/AA145)^4</x:f>
        <x:v>0.9948611729993849</x:v>
      </x:c>
      <x:c r="AH145" s="48" t="n">
        <x:f>10*LOG10(AG145)</x:f>
        <x:v>-0.022375182560765098</x:v>
      </x:c>
      <x:c r="AI145" s="48" t="n">
        <x:f>AC145-F145</x:f>
        <x:v>-241.2219424117124</x:v>
      </x:c>
      <x:c r="AJ145" s="48" t="n">
        <x:f>AD145-G145</x:f>
        <x:v>-2.8644820510651283</x:v>
      </x:c>
      <x:c r="AK145" s="48" t="n">
        <x:f>Y145-X145</x:f>
        <x:v>430.3998542718996</x:v>
      </x:c>
      <x:c r="AL145" s="48" t="n">
        <x:f>1000*(AA146-AA144)/(A146-A144)*Inputs!$C$11</x:f>
        <x:v>304.98212419479387</x:v>
      </x:c>
      <x:c r="AM145" s="48" t="n">
        <x:f>-2*AL145/Inputs!$C$13</x:f>
        <x:v>-121.99284967791755</x:v>
      </x:c>
      <x:c r="AN145" s="48" t="n">
        <x:f>-2*AL145/Inputs!$C$14</x:f>
        <x:v>-18.31724469638402</x:v>
      </x:c>
      <x:c r="AO145" s="48" t="n">
        <x:f>ABS(AM145)</x:f>
        <x:v>121.99284967791755</x:v>
      </x:c>
      <x:c r="AP145" s="48" t="n">
        <x:f>ABS(AN145)</x:f>
        <x:v>18.31724469638402</x:v>
      </x:c>
      <x:c r="AQ145" s="48" t="n">
        <x:f>IF(OR(Inputs!$C$27=TRUE,Inputs!$C$27="TRUE",Inputs!$C$27=1),Inputs!$C$46/Inputs!$C$12,0)</x:f>
        <x:v>42.13483146067416</x:v>
      </x:c>
      <x:c r="AR145" s="48" t="n">
        <x:f>AC145-AQ145</x:f>
        <x:v>247.59760410355858</x:v>
      </x:c>
      <x:c r="AS145" s="48" t="n">
        <x:f>AC145+AQ145</x:f>
        <x:v>331.8672670249069</x:v>
      </x:c>
    </x:row>
    <x:row r="146">
      <x:c r="A146" s="48" t="n">
        <x:f>Inputs!$C$7+144*(Inputs!$C$8-Inputs!$C$7)/240</x:f>
        <x:v>12</x:v>
      </x:c>
      <x:c r="B146" s="48" t="n">
        <x:f>Inputs!$C$5+Inputs!$C$9*(A146/Inputs!$C$10)^2</x:f>
        <x:v>400.16</x:v>
      </x:c>
      <x:c r="C146" s="48" t="n">
        <x:f>B146</x:f>
        <x:v>400.16</x:v>
      </x:c>
      <x:c r="D146" s="48" t="n">
        <x:f>SQRT(A146^2+Inputs!$C$6^2+B146^2)</x:f>
        <x:v>401.11971479846267</x:v>
      </x:c>
      <x:c r="E146" s="48" t="n">
        <x:f>(D146-C146)*1000</x:f>
        <x:v>959.7147984626417</x:v>
      </x:c>
      <x:c r="F146" s="48" t="n">
        <x:f>E146/Inputs!$C$12</x:f>
        <x:v>539.1656171138436</x:v>
      </x:c>
      <x:c r="G146" s="48" t="n">
        <x:f>2*E146/Inputs!$C$21*1000000</x:f>
        <x:v>6.402527967949358</x:v>
      </x:c>
      <x:c r="H146" s="48" t="n">
        <x:f>SQRT(A146^2+Inputs!$C$6^2)</x:f>
        <x:v>27.730849247724095</x:v>
      </x:c>
      <x:c r="I146" s="48" t="n">
        <x:f>DEGREES(ATAN(H146/B146))</x:f>
        <x:v>3.964225499851384</x:v>
      </x:c>
      <x:c r="J146" s="48" t="n">
        <x:f>DEGREES((2*PI()/Inputs!$C$13)*Inputs!$C$15*SIN(RADIANS(I146)))</x:f>
        <x:v>24.888095401136177</x:v>
      </x:c>
      <x:c r="K146" s="48" t="n">
        <x:f>(C146/D146)^4</x:f>
        <x:v>0.9904639343466405</x:v>
      </x:c>
      <x:c r="L146" s="48" t="n">
        <x:f>10*LOG10(K146)</x:f>
        <x:v>-0.0416133375431493</x:v>
      </x:c>
      <x:c r="M146" s="48" t="n">
        <x:f>2*(Inputs!$C$9/(Inputs!$C$10^2))*A146</x:f>
        <x:v>0.026666666666666665</x:v>
      </x:c>
      <x:c r="N146" s="48" t="n">
        <x:f>M146*Inputs!$C$11</x:f>
        <x:v>0.10666666666666666</x:v>
      </x:c>
      <x:c r="O146" s="48" t="n">
        <x:f>1000*((A146*Inputs!$C$11)+(B146*N146))/D146</x:f>
        <x:v>226.07648038166408</x:v>
      </x:c>
      <x:c r="P146" s="48" t="n">
        <x:f>-2*O146/Inputs!$C$13</x:f>
        <x:v>-90.43059215266564</x:v>
      </x:c>
      <x:c r="Q146" s="48" t="n">
        <x:f>-2*O146/Inputs!$C$14</x:f>
        <x:v>-13.578166989889736</x:v>
      </x:c>
      <x:c r="R146" s="48" t="n">
        <x:f>F146-Inputs!$C$16/2</x:f>
        <x:v>524.1656171138436</x:v>
      </x:c>
      <x:c r="S146" s="48" t="n">
        <x:f>F146+Inputs!$C$16/2</x:f>
        <x:v>554.1656171138436</x:v>
      </x:c>
      <x:c r="T146" s="48" t="n">
        <x:f>F146-Inputs!$C$17/2</x:f>
        <x:v>389.1656171138436</x:v>
      </x:c>
      <x:c r="U146" s="48" t="n">
        <x:f>F146+Inputs!$C$17/2</x:f>
        <x:v>689.1656171138436</x:v>
      </x:c>
      <x:c r="V146" s="48" t="n">
        <x:f>ABS(P146)</x:f>
        <x:v>90.43059215266564</x:v>
      </x:c>
      <x:c r="W146" s="48" t="n">
        <x:f>ABS(Q146)</x:f>
        <x:v>13.578166989889736</x:v>
      </x:c>
      <x:c r="X146" s="48" t="n">
        <x: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(0.45*SIN(2*PI()*(((A146)/Inputs!$C$49)+Inputs!$C$47*0.137))+0.35*COS(2*PI()*(((0)/Inputs!$C$50)+Inputs!$C$47*0.173))+0.20*SIN(2*PI()*(((A146)+(0))/(0.5*(Inputs!$C$49+Inputs!$C$50))+Inputs!$C$47*0.097)))+0.30*(2*((SIN(((A146)*12.9898+(0)*78.233+Inputs!$C$47*37.719))*43758.5453)-INT((SIN(((A146)*12.9898+(0)*78.233+Inputs!$C$47*37.719))*43758.5453)))-1)))</x:f>
        <x:v>7.0738918061296845</x:v>
      </x:c>
      <x:c r="Y146" s="48" t="n">
        <x: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(0.45*SIN(2*PI()*(((A146)/Inputs!$C$49)+Inputs!$C$47*0.137))+0.35*COS(2*PI()*(((Inputs!$C$6)/Inputs!$C$50)+Inputs!$C$47*0.173))+0.20*SIN(2*PI()*(((A146)+(Inputs!$C$6))/(0.5*(Inputs!$C$49+Inputs!$C$50))+Inputs!$C$47*0.097)))+0.30*(2*((SIN(((A146)*12.9898+(Inputs!$C$6)*78.233+Inputs!$C$47*37.719))*43758.5453)-INT((SIN(((A146)*12.9898+(Inputs!$C$6)*78.233+Inputs!$C$47*37.719))*43758.5453)))-1)))</x:f>
        <x:v>422.8387186345762</x:v>
      </x:c>
      <x:c r="Z146" s="48" t="n">
        <x:f>B146-X146/1000</x:f>
        <x:v>400.15292610819387</x:v>
      </x:c>
      <x:c r="AA146" s="48" t="n">
        <x:f>SQRT(A146^2+Inputs!$C$6^2+(B146-Y146/1000)^2)</x:f>
        <x:v>400.69788882558936</x:v>
      </x:c>
      <x:c r="AB146" s="48" t="n">
        <x:f>(AA146-Z146)*1000</x:f>
        <x:v>544.9627173954923</x:v>
      </x:c>
      <x:c r="AC146" s="48" t="n">
        <x:f>AB146/Inputs!$C$12</x:f>
        <x:v>306.1588299974676</x:v>
      </x:c>
      <x:c r="AD146" s="48" t="n">
        <x:f>2*AB146/Inputs!$C$21*1000000</x:f>
        <x:v>3.635599914895072</x:v>
      </x:c>
      <x:c r="AE146" s="48" t="n">
        <x:f>DEGREES(ATAN(H146/(B146-Y146/1000)))</x:f>
        <x:v>3.9684054344698065</x:v>
      </x:c>
      <x:c r="AF146" s="48" t="n">
        <x:f>DEGREES((2*PI()/Inputs!$C$13)*Inputs!$C$15*SIN(RADIANS(AE146)))</x:f>
        <x:v>24.914295801358694</x:v>
      </x:c>
      <x:c r="AG146" s="48" t="n">
        <x:f>(Z146/AA146)^4</x:f>
        <x:v>0.9945709524450437</x:v>
      </x:c>
      <x:c r="AH146" s="48" t="n">
        <x:f>10*LOG10(AG146)</x:f>
        <x:v>-0.0236422897374049</x:v>
      </x:c>
      <x:c r="AI146" s="48" t="n">
        <x:f>AC146-F146</x:f>
        <x:v>-233.00678711637602</x:v>
      </x:c>
      <x:c r="AJ146" s="48" t="n">
        <x:f>AD146-G146</x:f>
        <x:v>-2.766928053054286</x:v>
      </x:c>
      <x:c r="AK146" s="48" t="n">
        <x:f>Y146-X146</x:f>
        <x:v>415.76482682844653</x:v>
      </x:c>
      <x:c r="AL146" s="48" t="n">
        <x:f>1000*(AA147-AA145)/(A147-A145)*Inputs!$C$11</x:f>
        <x:v>227.48375935930198</x:v>
      </x:c>
      <x:c r="AM146" s="48" t="n">
        <x:f>-2*AL146/Inputs!$C$13</x:f>
        <x:v>-90.9935037437208</x:v>
      </x:c>
      <x:c r="AN146" s="48" t="n">
        <x:f>-2*AL146/Inputs!$C$14</x:f>
        <x:v>-13.662688249807928</x:v>
      </x:c>
      <x:c r="AO146" s="48" t="n">
        <x:f>ABS(AM146)</x:f>
        <x:v>90.9935037437208</x:v>
      </x:c>
      <x:c r="AP146" s="48" t="n">
        <x:f>ABS(AN146)</x:f>
        <x:v>13.662688249807928</x:v>
      </x:c>
      <x:c r="AQ146" s="48" t="n">
        <x:f>IF(OR(Inputs!$C$27=TRUE,Inputs!$C$27="TRUE",Inputs!$C$27=1),Inputs!$C$46/Inputs!$C$12,0)</x:f>
        <x:v>42.13483146067416</x:v>
      </x:c>
      <x:c r="AR146" s="48" t="n">
        <x:f>AC146-AQ146</x:f>
        <x:v>264.02399853679344</x:v>
      </x:c>
      <x:c r="AS146" s="48" t="n">
        <x:f>AC146+AQ146</x:f>
        <x:v>348.29366145814174</x:v>
      </x:c>
    </x:row>
    <x:row r="147">
      <x:c r="A147" s="48" t="n">
        <x:f>Inputs!$C$7+145*(Inputs!$C$8-Inputs!$C$7)/240</x:f>
        <x:v>12.5</x:v>
      </x:c>
      <x:c r="B147" s="48" t="n">
        <x:f>Inputs!$C$5+Inputs!$C$9*(A147/Inputs!$C$10)^2</x:f>
        <x:v>400.1736111111111</x:v>
      </x:c>
      <x:c r="C147" s="48" t="n">
        <x:f>B147</x:f>
        <x:v>400.1736111111111</x:v>
      </x:c>
      <x:c r="D147" s="48" t="n">
        <x:f>SQRT(A147^2+Inputs!$C$6^2+B147^2)</x:f>
        <x:v>401.1485622929575</x:v>
      </x:c>
      <x:c r="E147" s="48" t="n">
        <x:f>(D147-C147)*1000</x:f>
        <x:v>974.951181846393</x:v>
      </x:c>
      <x:c r="F147" s="48" t="n">
        <x:f>E147/Inputs!$C$12</x:f>
        <x:v>547.7253830597713</x:v>
      </x:c>
      <x:c r="G147" s="48" t="n">
        <x:f>2*E147/Inputs!$C$21*1000000</x:f>
        <x:v>6.504174176699221</x:v>
      </x:c>
      <x:c r="H147" s="48" t="n">
        <x:f>SQRT(A147^2+Inputs!$C$6^2)</x:f>
        <x:v>27.95084971874737</x:v>
      </x:c>
      <x:c r="I147" s="48" t="n">
        <x:f>DEGREES(ATAN(H147/B147))</x:f>
        <x:v>3.9954384393380815</x:v>
      </x:c>
      <x:c r="J147" s="48" t="n">
        <x:f>DEGREES((2*PI()/Inputs!$C$13)*Inputs!$C$15*SIN(RADIANS(I147)))</x:f>
        <x:v>25.083739154474607</x:v>
      </x:c>
      <x:c r="K147" s="48" t="n">
        <x:f>(C147/D147)^4</x:f>
        <x:v>0.9903137864866547</x:v>
      </x:c>
      <x:c r="L147" s="48" t="n">
        <x:f>10*LOG10(K147)</x:f>
        <x:v>-0.0422717495042741</x:v>
      </x:c>
      <x:c r="M147" s="48" t="n">
        <x:f>2*(Inputs!$C$9/(Inputs!$C$10^2))*A147</x:f>
        <x:v>0.027777777777777776</x:v>
      </x:c>
      <x:c r="N147" s="48" t="n">
        <x:f>M147*Inputs!$C$11</x:f>
        <x:v>0.1111111111111111</x:v>
      </x:c>
      <x:c r="O147" s="48" t="n">
        <x:f>1000*((A147*Inputs!$C$11)+(B147*N147))/D147</x:f>
        <x:v>235.48316869926774</x:v>
      </x:c>
      <x:c r="P147" s="48" t="n">
        <x:f>-2*O147/Inputs!$C$13</x:f>
        <x:v>-94.19326747970709</x:v>
      </x:c>
      <x:c r="Q147" s="48" t="n">
        <x:f>-2*O147/Inputs!$C$14</x:f>
        <x:v>-14.143133255211277</x:v>
      </x:c>
      <x:c r="R147" s="48" t="n">
        <x:f>F147-Inputs!$C$16/2</x:f>
        <x:v>532.7253830597713</x:v>
      </x:c>
      <x:c r="S147" s="48" t="n">
        <x:f>F147+Inputs!$C$16/2</x:f>
        <x:v>562.7253830597713</x:v>
      </x:c>
      <x:c r="T147" s="48" t="n">
        <x:f>F147-Inputs!$C$17/2</x:f>
        <x:v>397.7253830597713</x:v>
      </x:c>
      <x:c r="U147" s="48" t="n">
        <x:f>F147+Inputs!$C$17/2</x:f>
        <x:v>697.7253830597713</x:v>
      </x:c>
      <x:c r="V147" s="48" t="n">
        <x:f>ABS(P147)</x:f>
        <x:v>94.19326747970709</x:v>
      </x:c>
      <x:c r="W147" s="48" t="n">
        <x:f>ABS(Q147)</x:f>
        <x:v>14.143133255211277</x:v>
      </x:c>
      <x:c r="X147" s="48" t="n">
        <x: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(0.45*SIN(2*PI()*(((A147)/Inputs!$C$49)+Inputs!$C$47*0.137))+0.35*COS(2*PI()*(((0)/Inputs!$C$50)+Inputs!$C$47*0.173))+0.20*SIN(2*PI()*(((A147)+(0))/(0.5*(Inputs!$C$49+Inputs!$C$50))+Inputs!$C$47*0.097)))+0.30*(2*((SIN(((A147)*12.9898+(0)*78.233+Inputs!$C$47*37.719))*43758.5453)-INT((SIN(((A147)*12.9898+(0)*78.233+Inputs!$C$47*37.719))*43758.5453)))-1)))</x:f>
        <x:v>-5.687454175445142</x:v>
      </x:c>
      <x:c r="Y147" s="48" t="n">
        <x: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(0.45*SIN(2*PI()*(((A147)/Inputs!$C$49)+Inputs!$C$47*0.137))+0.35*COS(2*PI()*(((Inputs!$C$6)/Inputs!$C$50)+Inputs!$C$47*0.173))+0.20*SIN(2*PI()*(((A147)+(Inputs!$C$6))/(0.5*(Inputs!$C$49+Inputs!$C$50))+Inputs!$C$47*0.097)))+0.30*(2*((SIN(((A147)*12.9898+(Inputs!$C$6)*78.233+Inputs!$C$47*37.719))*43758.5453)-INT((SIN(((A147)*12.9898+(Inputs!$C$6)*78.233+Inputs!$C$47*37.719))*43758.5453)))-1)))</x:f>
        <x:v>434.12423495839124</x:v>
      </x:c>
      <x:c r="Z147" s="48" t="n">
        <x:f>B147-X147/1000</x:f>
        <x:v>400.17929856528656</x:v>
      </x:c>
      <x:c r="AA147" s="48" t="n">
        <x:f>SQRT(A147^2+Inputs!$C$6^2+(B147-Y147/1000)^2)</x:f>
        <x:v>400.7154942949048</x:v>
      </x:c>
      <x:c r="AB147" s="48" t="n">
        <x:f>(AA147-Z147)*1000</x:f>
        <x:v>536.195729618214</x:v>
      </x:c>
      <x:c r="AC147" s="48" t="n">
        <x:f>AB147/Inputs!$C$12</x:f>
        <x:v>301.23355596528876</x:v>
      </x:c>
      <x:c r="AD147" s="48" t="n">
        <x:f>2*AB147/Inputs!$C$21*1000000</x:f>
        <x:v>3.5771128679842508</x:v>
      </x:c>
      <x:c r="AE147" s="48" t="n">
        <x:f>DEGREES(ATAN(H147/(B147-Y147/1000)))</x:f>
        <x:v>3.999763481082064</x:v>
      </x:c>
      <x:c r="AF147" s="48" t="n">
        <x:f>DEGREES((2*PI()/Inputs!$C$13)*Inputs!$C$15*SIN(RADIANS(AE147)))</x:f>
        <x:v>25.110848075526988</x:v>
      </x:c>
      <x:c r="AG147" s="48" t="n">
        <x:f>(Z147/AA147)^4</x:f>
        <x:v>0.9946583501254708</x:v>
      </x:c>
      <x:c r="AH147" s="48" t="n">
        <x:f>10*LOG10(AG147)</x:f>
        <x:v>-0.0232606712853139</x:v>
      </x:c>
      <x:c r="AI147" s="48" t="n">
        <x:f>AC147-F147</x:f>
        <x:v>-246.49182709448252</x:v>
      </x:c>
      <x:c r="AJ147" s="48" t="n">
        <x:f>AD147-G147</x:f>
        <x:v>-2.9270613087149706</x:v>
      </x:c>
      <x:c r="AK147" s="48" t="n">
        <x:f>Y147-X147</x:f>
        <x:v>439.8116891338364</x:v>
      </x:c>
      <x:c r="AL147" s="48" t="n">
        <x:f>1000*(AA148-AA146)/(A148-A146)*Inputs!$C$11</x:f>
        <x:v>211.686972922962</x:v>
      </x:c>
      <x:c r="AM147" s="48" t="n">
        <x:f>-2*AL147/Inputs!$C$13</x:f>
        <x:v>-84.6747891691848</x:v>
      </x:c>
      <x:c r="AN147" s="48" t="n">
        <x:f>-2*AL147/Inputs!$C$14</x:f>
        <x:v>-12.713932307685408</x:v>
      </x:c>
      <x:c r="AO147" s="48" t="n">
        <x:f>ABS(AM147)</x:f>
        <x:v>84.6747891691848</x:v>
      </x:c>
      <x:c r="AP147" s="48" t="n">
        <x:f>ABS(AN147)</x:f>
        <x:v>12.713932307685408</x:v>
      </x:c>
      <x:c r="AQ147" s="48" t="n">
        <x:f>IF(OR(Inputs!$C$27=TRUE,Inputs!$C$27="TRUE",Inputs!$C$27=1),Inputs!$C$46/Inputs!$C$12,0)</x:f>
        <x:v>42.13483146067416</x:v>
      </x:c>
      <x:c r="AR147" s="48" t="n">
        <x:f>AC147-AQ147</x:f>
        <x:v>259.0987245046146</x:v>
      </x:c>
      <x:c r="AS147" s="48" t="n">
        <x:f>AC147+AQ147</x:f>
        <x:v>343.3683874259629</x:v>
      </x:c>
    </x:row>
    <x:row r="148">
      <x:c r="A148" s="48" t="n">
        <x:f>Inputs!$C$7+146*(Inputs!$C$8-Inputs!$C$7)/240</x:f>
        <x:v>13</x:v>
      </x:c>
      <x:c r="B148" s="48" t="n">
        <x:f>Inputs!$C$5+Inputs!$C$9*(A148/Inputs!$C$10)^2</x:f>
        <x:v>400.1877777777778</x:v>
      </x:c>
      <x:c r="C148" s="48" t="n">
        <x:f>B148</x:f>
        <x:v>400.1877777777778</x:v>
      </x:c>
      <x:c r="D148" s="48" t="n">
        <x:f>SQRT(A148^2+Inputs!$C$6^2+B148^2)</x:f>
        <x:v>401.1785855235995</x:v>
      </x:c>
      <x:c r="E148" s="48" t="n">
        <x:f>(D148-C148)*1000</x:f>
        <x:v>990.8077458217122</x:v>
      </x:c>
      <x:c r="F148" s="48" t="n">
        <x:f>E148/Inputs!$C$12</x:f>
        <x:v>556.6335650683776</x:v>
      </x:c>
      <x:c r="G148" s="48" t="n">
        <x:f>2*E148/Inputs!$C$21*1000000</x:f>
        <x:v>6.6099577850068005</x:v>
      </x:c>
      <x:c r="H148" s="48" t="n">
        <x:f>SQRT(A148^2+Inputs!$C$6^2)</x:f>
        <x:v>28.178005607210743</x:v>
      </x:c>
      <x:c r="I148" s="48" t="n">
        <x:f>DEGREES(ATAN(H148/B148))</x:f>
        <x:v>4.027660713508556</x:v>
      </x:c>
      <x:c r="J148" s="48" t="n">
        <x:f>DEGREES((2*PI()/Inputs!$C$13)*Inputs!$C$15*SIN(RADIANS(I148)))</x:f>
        <x:v>25.285701641717207</x:v>
      </x:c>
      <x:c r="K148" s="48" t="n">
        <x:f>(C148/D148)^4</x:f>
        <x:v>0.990157568110751</x:v>
      </x:c>
      <x:c r="L148" s="48" t="n">
        <x:f>10*LOG10(K148)</x:f>
        <x:v>-0.042956887197481294</x:v>
      </x:c>
      <x:c r="M148" s="48" t="n">
        <x:f>2*(Inputs!$C$9/(Inputs!$C$10^2))*A148</x:f>
        <x:v>0.028888888888888888</x:v>
      </x:c>
      <x:c r="N148" s="48" t="n">
        <x:f>M148*Inputs!$C$11</x:f>
        <x:v>0.11555555555555555</x:v>
      </x:c>
      <x:c r="O148" s="48" t="n">
        <x:f>1000*((A148*Inputs!$C$11)+(B148*N148))/D148</x:f>
        <x:v>244.888248108834</x:v>
      </x:c>
      <x:c r="P148" s="48" t="n">
        <x:f>-2*O148/Inputs!$C$13</x:f>
        <x:v>-97.9552992435336</x:v>
      </x:c>
      <x:c r="Q148" s="48" t="n">
        <x:f>-2*O148/Inputs!$C$14</x:f>
        <x:v>-14.708002889419461</x:v>
      </x:c>
      <x:c r="R148" s="48" t="n">
        <x:f>F148-Inputs!$C$16/2</x:f>
        <x:v>541.6335650683776</x:v>
      </x:c>
      <x:c r="S148" s="48" t="n">
        <x:f>F148+Inputs!$C$16/2</x:f>
        <x:v>571.6335650683776</x:v>
      </x:c>
      <x:c r="T148" s="48" t="n">
        <x:f>F148-Inputs!$C$17/2</x:f>
        <x:v>406.6335650683776</x:v>
      </x:c>
      <x:c r="U148" s="48" t="n">
        <x:f>F148+Inputs!$C$17/2</x:f>
        <x:v>706.6335650683776</x:v>
      </x:c>
      <x:c r="V148" s="48" t="n">
        <x:f>ABS(P148)</x:f>
        <x:v>97.9552992435336</x:v>
      </x:c>
      <x:c r="W148" s="48" t="n">
        <x:f>ABS(Q148)</x:f>
        <x:v>14.708002889419461</x:v>
      </x:c>
      <x:c r="X148" s="48" t="n">
        <x: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(0.45*SIN(2*PI()*(((A148)/Inputs!$C$49)+Inputs!$C$47*0.137))+0.35*COS(2*PI()*(((0)/Inputs!$C$50)+Inputs!$C$47*0.173))+0.20*SIN(2*PI()*(((A148)+(0))/(0.5*(Inputs!$C$49+Inputs!$C$50))+Inputs!$C$47*0.097)))+0.30*(2*((SIN(((A148)*12.9898+(0)*78.233+Inputs!$C$47*37.719))*43758.5453)-INT((SIN(((A148)*12.9898+(0)*78.233+Inputs!$C$47*37.719))*43758.5453)))-1)))</x:f>
        <x:v>-3.618490966575764</x:v>
      </x:c>
      <x:c r="Y148" s="48" t="n">
        <x: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(0.45*SIN(2*PI()*(((A148)/Inputs!$C$49)+Inputs!$C$47*0.137))+0.35*COS(2*PI()*(((Inputs!$C$6)/Inputs!$C$50)+Inputs!$C$47*0.173))+0.20*SIN(2*PI()*(((A148)+(Inputs!$C$6))/(0.5*(Inputs!$C$49+Inputs!$C$50))+Inputs!$C$47*0.097)))+0.30*(2*((SIN(((A148)*12.9898+(Inputs!$C$6)*78.233+Inputs!$C$47*37.719))*43758.5453)-INT((SIN(((A148)*12.9898+(Inputs!$C$6)*78.233+Inputs!$C$47*37.719))*43758.5453)))-1)))</x:f>
        <x:v>428.8351991704085</x:v>
      </x:c>
      <x:c r="Z148" s="48" t="n">
        <x:f>B148-X148/1000</x:f>
        <x:v>400.19139626874437</x:v>
      </x:c>
      <x:c r="AA148" s="48" t="n">
        <x:f>SQRT(A148^2+Inputs!$C$6^2+(B148-Y148/1000)^2)</x:f>
        <x:v>400.7508105688201</x:v>
      </x:c>
      <x:c r="AB148" s="48" t="n">
        <x:f>(AA148-Z148)*1000</x:f>
        <x:v>559.4143000757299</x:v>
      </x:c>
      <x:c r="AC148" s="48" t="n">
        <x:f>AB148/Inputs!$C$12</x:f>
        <x:v>314.27769667175835</x:v>
      </x:c>
      <x:c r="AD148" s="48" t="n">
        <x:f>2*AB148/Inputs!$C$21*1000000</x:f>
        <x:v>3.7320104969133676</x:v>
      </x:c>
      <x:c r="AE148" s="48" t="n">
        <x:f>DEGREES(ATAN(H148/(B148-Y148/1000)))</x:f>
        <x:v>4.0319670816827795</x:v>
      </x:c>
      <x:c r="AF148" s="48" t="n">
        <x:f>DEGREES((2*PI()/Inputs!$C$13)*Inputs!$C$15*SIN(RADIANS(AE148)))</x:f>
        <x:v>25.312692453940397</x:v>
      </x:c>
      <x:c r="AG148" s="48" t="n">
        <x:f>(Z148/AA148)^4</x:f>
        <x:v>0.9944280182863648</x:v>
      </x:c>
      <x:c r="AH148" s="48" t="n">
        <x:f>10*LOG10(AG148)</x:f>
        <x:v>-0.0242664782604762</x:v>
      </x:c>
      <x:c r="AI148" s="48" t="n">
        <x:f>AC148-F148</x:f>
        <x:v>-242.35586839661926</x:v>
      </x:c>
      <x:c r="AJ148" s="48" t="n">
        <x:f>AD148-G148</x:f>
        <x:v>-2.877947288093433</x:v>
      </x:c>
      <x:c r="AK148" s="48" t="n">
        <x:f>Y148-X148</x:f>
        <x:v>432.4536901369843</x:v>
      </x:c>
      <x:c r="AL148" s="48" t="n">
        <x:f>1000*(AA149-AA147)/(A149-A147)*Inputs!$C$11</x:f>
        <x:v>345.88520042370874</x:v>
      </x:c>
      <x:c r="AM148" s="48" t="n">
        <x:f>-2*AL148/Inputs!$C$13</x:f>
        <x:v>-138.3540801694835</x:v>
      </x:c>
      <x:c r="AN148" s="48" t="n">
        <x:f>-2*AL148/Inputs!$C$14</x:f>
        <x:v>-20.77388591133386</x:v>
      </x:c>
      <x:c r="AO148" s="48" t="n">
        <x:f>ABS(AM148)</x:f>
        <x:v>138.3540801694835</x:v>
      </x:c>
      <x:c r="AP148" s="48" t="n">
        <x:f>ABS(AN148)</x:f>
        <x:v>20.77388591133386</x:v>
      </x:c>
      <x:c r="AQ148" s="48" t="n">
        <x:f>IF(OR(Inputs!$C$27=TRUE,Inputs!$C$27="TRUE",Inputs!$C$27=1),Inputs!$C$46/Inputs!$C$12,0)</x:f>
        <x:v>42.13483146067416</x:v>
      </x:c>
      <x:c r="AR148" s="48" t="n">
        <x:f>AC148-AQ148</x:f>
        <x:v>272.1428652110842</x:v>
      </x:c>
      <x:c r="AS148" s="48" t="n">
        <x:f>AC148+AQ148</x:f>
        <x:v>356.4125281324325</x:v>
      </x:c>
    </x:row>
    <x:row r="149">
      <x:c r="A149" s="48" t="n">
        <x:f>Inputs!$C$7+147*(Inputs!$C$8-Inputs!$C$7)/240</x:f>
        <x:v>13.5</x:v>
      </x:c>
      <x:c r="B149" s="48" t="n">
        <x:f>Inputs!$C$5+Inputs!$C$9*(A149/Inputs!$C$10)^2</x:f>
        <x:v>400.2025</x:v>
      </x:c>
      <x:c r="C149" s="48" t="n">
        <x:f>B149</x:f>
        <x:v>400.2025</x:v>
      </x:c>
      <x:c r="D149" s="48" t="n">
        <x:f>SQRT(A149^2+Inputs!$C$6^2+B149^2)</x:f>
        <x:v>401.20978428529133</x:v>
      </x:c>
      <x:c r="E149" s="48" t="n">
        <x:f>(D149-C149)*1000</x:f>
        <x:v>1007.2842852913482</x:v>
      </x:c>
      <x:c r="F149" s="48" t="n">
        <x:f>E149/Inputs!$C$12</x:f>
        <x:v>565.8900479164877</x:v>
      </x:c>
      <x:c r="G149" s="48" t="n">
        <x:f>2*E149/Inputs!$C$21*1000000</x:f>
        <x:v>6.719877424610516</x:v>
      </x:c>
      <x:c r="H149" s="48" t="n">
        <x:f>SQRT(A149^2+Inputs!$C$6^2)</x:f>
        <x:v>28.412145290350743</x:v>
      </x:c>
      <x:c r="I149" s="48" t="n">
        <x:f>DEGREES(ATAN(H149/B149))</x:f>
        <x:v>4.060867373737527</x:v>
      </x:c>
      <x:c r="J149" s="48" t="n">
        <x:f>DEGREES((2*PI()/Inputs!$C$13)*Inputs!$C$15*SIN(RADIANS(I149)))</x:f>
        <x:v>25.49382568709516</x:v>
      </x:c>
      <x:c r="K149" s="48" t="n">
        <x:f>(C149/D149)^4</x:f>
        <x:v>0.989995286142351</x:v>
      </x:c>
      <x:c r="L149" s="48" t="n">
        <x:f>10*LOG10(K149)</x:f>
        <x:v>-0.043668732885503894</x:v>
      </x:c>
      <x:c r="M149" s="48" t="n">
        <x:f>2*(Inputs!$C$9/(Inputs!$C$10^2))*A149</x:f>
        <x:v>0.03</x:v>
      </x:c>
      <x:c r="N149" s="48" t="n">
        <x:f>M149*Inputs!$C$11</x:f>
        <x:v>0.12</x:v>
      </x:c>
      <x:c r="O149" s="48" t="n">
        <x:f>1000*((A149*Inputs!$C$11)+(B149*N149))/D149</x:f>
        <x:v>254.2916548801133</x:v>
      </x:c>
      <x:c r="P149" s="48" t="n">
        <x:f>-2*O149/Inputs!$C$13</x:f>
        <x:v>-101.71666195204531</x:v>
      </x:c>
      <x:c r="Q149" s="48" t="n">
        <x:f>-2*O149/Inputs!$C$14</x:f>
        <x:v>-15.27277206487167</x:v>
      </x:c>
      <x:c r="R149" s="48" t="n">
        <x:f>F149-Inputs!$C$16/2</x:f>
        <x:v>550.8900479164877</x:v>
      </x:c>
      <x:c r="S149" s="48" t="n">
        <x:f>F149+Inputs!$C$16/2</x:f>
        <x:v>580.8900479164877</x:v>
      </x:c>
      <x:c r="T149" s="48" t="n">
        <x:f>F149-Inputs!$C$17/2</x:f>
        <x:v>415.8900479164877</x:v>
      </x:c>
      <x:c r="U149" s="48" t="n">
        <x:f>F149+Inputs!$C$17/2</x:f>
        <x:v>715.8900479164877</x:v>
      </x:c>
      <x:c r="V149" s="48" t="n">
        <x:f>ABS(P149)</x:f>
        <x:v>101.71666195204531</x:v>
      </x:c>
      <x:c r="W149" s="48" t="n">
        <x:f>ABS(Q149)</x:f>
        <x:v>15.27277206487167</x:v>
      </x:c>
      <x:c r="X149" s="48" t="n">
        <x: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(0.45*SIN(2*PI()*(((A149)/Inputs!$C$49)+Inputs!$C$47*0.137))+0.35*COS(2*PI()*(((0)/Inputs!$C$50)+Inputs!$C$47*0.173))+0.20*SIN(2*PI()*(((A149)+(0))/(0.5*(Inputs!$C$49+Inputs!$C$50))+Inputs!$C$47*0.097)))+0.30*(2*((SIN(((A149)*12.9898+(0)*78.233+Inputs!$C$47*37.719))*43758.5453)-INT((SIN(((A149)*12.9898+(0)*78.233+Inputs!$C$47*37.719))*43758.5453)))-1)))</x:f>
        <x:v>0.04576132524433074</x:v>
      </x:c>
      <x:c r="Y149" s="48" t="n">
        <x: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(0.45*SIN(2*PI()*(((A149)/Inputs!$C$49)+Inputs!$C$47*0.137))+0.35*COS(2*PI()*(((Inputs!$C$6)/Inputs!$C$50)+Inputs!$C$47*0.173))+0.20*SIN(2*PI()*(((A149)+(Inputs!$C$6))/(0.5*(Inputs!$C$49+Inputs!$C$50))+Inputs!$C$47*0.097)))+0.30*(2*((SIN(((A149)*12.9898+(Inputs!$C$6)*78.233+Inputs!$C$47*37.719))*43758.5453)-INT((SIN(((A149)*12.9898+(Inputs!$C$6)*78.233+Inputs!$C$47*37.719))*43758.5453)))-1)))</x:f>
        <x:v>408.84619240872695</x:v>
      </x:c>
      <x:c r="Z149" s="48" t="n">
        <x:f>B149-X149/1000</x:f>
        <x:v>400.20245423867476</x:v>
      </x:c>
      <x:c r="AA149" s="48" t="n">
        <x:f>SQRT(A149^2+Inputs!$C$6^2+(B149-Y149/1000)^2)</x:f>
        <x:v>400.8019655950107</x:v>
      </x:c>
      <x:c r="AB149" s="48" t="n">
        <x:f>(AA149-Z149)*1000</x:f>
        <x:v>599.5113563359382</x:v>
      </x:c>
      <x:c r="AC149" s="48" t="n">
        <x:f>AB149/Inputs!$C$12</x:f>
        <x:v>336.80413277299897</x:v>
      </x:c>
      <x:c r="AD149" s="48" t="n">
        <x:f>2*AB149/Inputs!$C$21*1000000</x:f>
        <x:v>3.999509262744283</x:v>
      </x:c>
      <x:c r="AE149" s="48" t="n">
        <x:f>DEGREES(ATAN(H149/(B149-Y149/1000)))</x:f>
        <x:v>4.065006276837715</x:v>
      </x:c>
      <x:c r="AF149" s="48" t="n">
        <x:f>DEGREES((2*PI()/Inputs!$C$13)*Inputs!$C$15*SIN(RADIANS(AE149)))</x:f>
        <x:v>25.519765825853014</x:v>
      </x:c>
      <x:c r="AG149" s="48" t="n">
        <x:f>(Z149/AA149)^4</x:f>
        <x:v>0.9940302928296463</x:v>
      </x:c>
      <x:c r="AH149" s="48" t="n">
        <x:f>10*LOG10(AG149)</x:f>
        <x:v>-0.0260038038307753</x:v>
      </x:c>
      <x:c r="AI149" s="48" t="n">
        <x:f>AC149-F149</x:f>
        <x:v>-229.0859151434887</x:v>
      </x:c>
      <x:c r="AJ149" s="48" t="n">
        <x:f>AD149-G149</x:f>
        <x:v>-2.720368161866233</x:v>
      </x:c>
      <x:c r="AK149" s="48" t="n">
        <x:f>Y149-X149</x:f>
        <x:v>408.80043108348264</x:v>
      </x:c>
      <x:c r="AL149" s="48" t="n">
        <x:f>1000*(AA150-AA148)/(A150-A148)*Inputs!$C$11</x:f>
        <x:v>319.40452185745016</x:v>
      </x:c>
      <x:c r="AM149" s="48" t="n">
        <x:f>-2*AL149/Inputs!$C$13</x:f>
        <x:v>-127.76180874298007</x:v>
      </x:c>
      <x:c r="AN149" s="48" t="n">
        <x:f>-2*AL149/Inputs!$C$14</x:f>
        <x:v>-19.183454766213224</x:v>
      </x:c>
      <x:c r="AO149" s="48" t="n">
        <x:f>ABS(AM149)</x:f>
        <x:v>127.76180874298007</x:v>
      </x:c>
      <x:c r="AP149" s="48" t="n">
        <x:f>ABS(AN149)</x:f>
        <x:v>19.183454766213224</x:v>
      </x:c>
      <x:c r="AQ149" s="48" t="n">
        <x:f>IF(OR(Inputs!$C$27=TRUE,Inputs!$C$27="TRUE",Inputs!$C$27=1),Inputs!$C$46/Inputs!$C$12,0)</x:f>
        <x:v>42.13483146067416</x:v>
      </x:c>
      <x:c r="AR149" s="48" t="n">
        <x:f>AC149-AQ149</x:f>
        <x:v>294.6693013123248</x:v>
      </x:c>
      <x:c r="AS149" s="48" t="n">
        <x:f>AC149+AQ149</x:f>
        <x:v>378.9389642336731</x:v>
      </x:c>
    </x:row>
    <x:row r="150">
      <x:c r="A150" s="48" t="n">
        <x:f>Inputs!$C$7+148*(Inputs!$C$8-Inputs!$C$7)/240</x:f>
        <x:v>14</x:v>
      </x:c>
      <x:c r="B150" s="48" t="n">
        <x:f>Inputs!$C$5+Inputs!$C$9*(A150/Inputs!$C$10)^2</x:f>
        <x:v>400.21777777777777</x:v>
      </x:c>
      <x:c r="C150" s="48" t="n">
        <x:f>B150</x:f>
        <x:v>400.21777777777777</x:v>
      </x:c>
      <x:c r="D150" s="48" t="n">
        <x:f>SQRT(A150^2+Inputs!$C$6^2+B150^2)</x:f>
        <x:v>401.2421583649738</x:v>
      </x:c>
      <x:c r="E150" s="48" t="n">
        <x:f>(D150-C150)*1000</x:f>
        <x:v>1024.380587196049</x:v>
      </x:c>
      <x:c r="F150" s="48" t="n">
        <x:f>E150/Inputs!$C$12</x:f>
        <x:v>575.4947119078927</x:v>
      </x:c>
      <x:c r="G150" s="48" t="n">
        <x:f>2*E150/Inputs!$C$21*1000000</x:f>
        <x:v>6.833931674132036</x:v>
      </x:c>
      <x:c r="H150" s="48" t="n">
        <x:f>SQRT(A150^2+Inputs!$C$6^2)</x:f>
        <x:v>28.653097563788805</x:v>
      </x:c>
      <x:c r="I150" s="48" t="n">
        <x:f>DEGREES(ATAN(H150/B150))</x:f>
        <x:v>4.095033523300829</x:v>
      </x:c>
      <x:c r="J150" s="48" t="n">
        <x:f>DEGREES((2*PI()/Inputs!$C$13)*Inputs!$C$15*SIN(RADIANS(I150)))</x:f>
        <x:v>25.707954430803454</x:v>
      </x:c>
      <x:c r="K150" s="48" t="n">
        <x:f>(C150/D150)^4</x:f>
        <x:v>0.989826947769989</x:v>
      </x:c>
      <x:c r="L150" s="48" t="n">
        <x:f>10*LOG10(K150)</x:f>
        <x:v>-0.044407268145218504</x:v>
      </x:c>
      <x:c r="M150" s="48" t="n">
        <x:f>2*(Inputs!$C$9/(Inputs!$C$10^2))*A150</x:f>
        <x:v>0.03111111111111111</x:v>
      </x:c>
      <x:c r="N150" s="48" t="n">
        <x:f>M150*Inputs!$C$11</x:f>
        <x:v>0.12444444444444444</x:v>
      </x:c>
      <x:c r="O150" s="48" t="n">
        <x:f>1000*((A150*Inputs!$C$11)+(B150*N150))/D150</x:f>
        <x:v>263.6933253561669</x:v>
      </x:c>
      <x:c r="P150" s="48" t="n">
        <x:f>-2*O150/Inputs!$C$13</x:f>
        <x:v>-105.47733014246676</x:v>
      </x:c>
      <x:c r="Q150" s="48" t="n">
        <x:f>-2*O150/Inputs!$C$14</x:f>
        <x:v>-15.837436958328343</x:v>
      </x:c>
      <x:c r="R150" s="48" t="n">
        <x:f>F150-Inputs!$C$16/2</x:f>
        <x:v>560.4947119078927</x:v>
      </x:c>
      <x:c r="S150" s="48" t="n">
        <x:f>F150+Inputs!$C$16/2</x:f>
        <x:v>590.4947119078927</x:v>
      </x:c>
      <x:c r="T150" s="48" t="n">
        <x:f>F150-Inputs!$C$17/2</x:f>
        <x:v>425.4947119078927</x:v>
      </x:c>
      <x:c r="U150" s="48" t="n">
        <x:f>F150+Inputs!$C$17/2</x:f>
        <x:v>725.4947119078927</x:v>
      </x:c>
      <x:c r="V150" s="48" t="n">
        <x:f>ABS(P150)</x:f>
        <x:v>105.47733014246676</x:v>
      </x:c>
      <x:c r="W150" s="48" t="n">
        <x:f>ABS(Q150)</x:f>
        <x:v>15.837436958328343</x:v>
      </x:c>
      <x:c r="X150" s="48" t="n">
        <x: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(0.45*SIN(2*PI()*(((A150)/Inputs!$C$49)+Inputs!$C$47*0.137))+0.35*COS(2*PI()*(((0)/Inputs!$C$50)+Inputs!$C$47*0.173))+0.20*SIN(2*PI()*(((A150)+(0))/(0.5*(Inputs!$C$49+Inputs!$C$50))+Inputs!$C$47*0.097)))+0.30*(2*((SIN(((A150)*12.9898+(0)*78.233+Inputs!$C$47*37.719))*43758.5453)-INT((SIN(((A150)*12.9898+(0)*78.233+Inputs!$C$47*37.719))*43758.5453)))-1)))</x:f>
        <x:v>17.14805919414721</x:v>
      </x:c>
      <x:c r="Y150" s="48" t="n">
        <x: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(0.45*SIN(2*PI()*(((A150)/Inputs!$C$49)+Inputs!$C$47*0.137))+0.35*COS(2*PI()*(((Inputs!$C$6)/Inputs!$C$50)+Inputs!$C$47*0.173))+0.20*SIN(2*PI()*(((A150)+(Inputs!$C$6))/(0.5*(Inputs!$C$49+Inputs!$C$50))+Inputs!$C$47*0.097)))+0.30*(2*((SIN(((A150)*12.9898+(Inputs!$C$6)*78.233+Inputs!$C$47*37.719))*43758.5453)-INT((SIN(((A150)*12.9898+(Inputs!$C$6)*78.233+Inputs!$C$47*37.719))*43758.5453)))-1)))</x:f>
        <x:v>412.55100068044544</x:v>
      </x:c>
      <x:c r="Z150" s="48" t="n">
        <x:f>B150-X150/1000</x:f>
        <x:v>400.2006297185836</x:v>
      </x:c>
      <x:c r="AA150" s="48" t="n">
        <x:f>SQRT(A150^2+Inputs!$C$6^2+(B150-Y150/1000)^2)</x:f>
        <x:v>400.83066169928446</x:v>
      </x:c>
      <x:c r="AB150" s="48" t="n">
        <x:f>(AA150-Z150)*1000</x:f>
        <x:v>630.031980700835</x:v>
      </x:c>
      <x:c r="AC150" s="48" t="n">
        <x:f>AB150/Inputs!$C$12</x:f>
        <x:v>353.9505509555253</x:v>
      </x:c>
      <x:c r="AD150" s="48" t="n">
        <x:f>2*AB150/Inputs!$C$21*1000000</x:f>
        <x:v>4.203120951767473</x:v>
      </x:c>
      <x:c r="AE150" s="48" t="n">
        <x:f>DEGREES(ATAN(H150/(B150-Y150/1000)))</x:f>
        <x:v>4.0992447087081025</x:v>
      </x:c>
      <x:c r="AF150" s="48" t="n">
        <x:f>DEGREES((2*PI()/Inputs!$C$13)*Inputs!$C$15*SIN(RADIANS(AE150)))</x:f>
        <x:v>25.734346467493268</x:v>
      </x:c>
      <x:c r="AG150" s="48" t="n">
        <x:f>(Z150/AA150)^4</x:f>
        <x:v>0.9937275447679561</x:v>
      </x:c>
      <x:c r="AH150" s="48" t="n">
        <x:f>10*LOG10(AG150)</x:f>
        <x:v>-0.0273267196420345</x:v>
      </x:c>
      <x:c r="AI150" s="48" t="n">
        <x:f>AC150-F150</x:f>
        <x:v>-221.5441609523674</x:v>
      </x:c>
      <x:c r="AJ150" s="48" t="n">
        <x:f>AD150-G150</x:f>
        <x:v>-2.630810722364563</x:v>
      </x:c>
      <x:c r="AK150" s="48" t="n">
        <x:f>Y150-X150</x:f>
        <x:v>395.40294148629823</x:v>
      </x:c>
      <x:c r="AL150" s="48" t="n">
        <x:f>1000*(AA151-AA149)/(A151-A149)*Inputs!$C$11</x:f>
        <x:v>237.01899161164874</x:v>
      </x:c>
      <x:c r="AM150" s="48" t="n">
        <x:f>-2*AL150/Inputs!$C$13</x:f>
        <x:v>-94.8075966446595</x:v>
      </x:c>
      <x:c r="AN150" s="48" t="n">
        <x:f>-2*AL150/Inputs!$C$14</x:f>
        <x:v>-14.235374871570496</x:v>
      </x:c>
      <x:c r="AO150" s="48" t="n">
        <x:f>ABS(AM150)</x:f>
        <x:v>94.8075966446595</x:v>
      </x:c>
      <x:c r="AP150" s="48" t="n">
        <x:f>ABS(AN150)</x:f>
        <x:v>14.235374871570496</x:v>
      </x:c>
      <x:c r="AQ150" s="48" t="n">
        <x:f>IF(OR(Inputs!$C$27=TRUE,Inputs!$C$27="TRUE",Inputs!$C$27=1),Inputs!$C$46/Inputs!$C$12,0)</x:f>
        <x:v>42.13483146067416</x:v>
      </x:c>
      <x:c r="AR150" s="48" t="n">
        <x:f>AC150-AQ150</x:f>
        <x:v>311.8157194948511</x:v>
      </x:c>
      <x:c r="AS150" s="48" t="n">
        <x:f>AC150+AQ150</x:f>
        <x:v>396.0853824161994</x:v>
      </x:c>
    </x:row>
    <x:row r="151">
      <x:c r="A151" s="48" t="n">
        <x:f>Inputs!$C$7+149*(Inputs!$C$8-Inputs!$C$7)/240</x:f>
        <x:v>14.5</x:v>
      </x:c>
      <x:c r="B151" s="48" t="n">
        <x:f>Inputs!$C$5+Inputs!$C$9*(A151/Inputs!$C$10)^2</x:f>
        <x:v>400.2336111111111</x:v>
      </x:c>
      <x:c r="C151" s="48" t="n">
        <x:f>B151</x:f>
        <x:v>400.2336111111111</x:v>
      </x:c>
      <x:c r="D151" s="48" t="n">
        <x:f>SQRT(A151^2+Inputs!$C$6^2+B151^2)</x:f>
        <x:v>401.2757075416354</x:v>
      </x:c>
      <x:c r="E151" s="48" t="n">
        <x:f>(D151-C151)*1000</x:f>
        <x:v>1042.0964305243388</x:v>
      </x:c>
      <x:c r="F151" s="48" t="n">
        <x:f>E151/Inputs!$C$12</x:f>
        <x:v>585.4474328788419</x:v>
      </x:c>
      <x:c r="G151" s="48" t="n">
        <x:f>2*E151/Inputs!$C$21*1000000</x:f>
        <x:v>6.9521190591415</x:v>
      </x:c>
      <x:c r="H151" s="48" t="n">
        <x:f>SQRT(A151^2+Inputs!$C$6^2)</x:f>
        <x:v>28.90069203323685</x:v>
      </x:c>
      <x:c r="I151" s="48" t="n">
        <x:f>DEGREES(ATAN(H151/B151))</x:f>
        <x:v>4.130134373943814</x:v>
      </x:c>
      <x:c r="J151" s="48" t="n">
        <x:f>DEGREES((2*PI()/Inputs!$C$13)*Inputs!$C$15*SIN(RADIANS(I151)))</x:f>
        <x:v>25.927931684939455</x:v>
      </x:c>
      <x:c r="K151" s="48" t="n">
        <x:f>(C151/D151)^4</x:f>
        <x:v>0.9896525604465756</x:v>
      </x:c>
      <x:c r="L151" s="48" t="n">
        <x:f>10*LOG10(K151)</x:f>
        <x:v>-0.0451724738687828</x:v>
      </x:c>
      <x:c r="M151" s="48" t="n">
        <x:f>2*(Inputs!$C$9/(Inputs!$C$10^2))*A151</x:f>
        <x:v>0.03222222222222222</x:v>
      </x:c>
      <x:c r="N151" s="48" t="n">
        <x:f>M151*Inputs!$C$11</x:f>
        <x:v>0.1288888888888889</x:v>
      </x:c>
      <x:c r="O151" s="48" t="n">
        <x:f>1000*((A151*Inputs!$C$11)+(B151*N151))/D151</x:f>
        <x:v>273.09319595612055</x:v>
      </x:c>
      <x:c r="P151" s="48" t="n">
        <x:f>-2*O151/Inputs!$C$13</x:f>
        <x:v>-109.23727838244822</x:v>
      </x:c>
      <x:c r="Q151" s="48" t="n">
        <x:f>-2*O151/Inputs!$C$14</x:f>
        <x:v>-16.401993751118354</x:v>
      </x:c>
      <x:c r="R151" s="48" t="n">
        <x:f>F151-Inputs!$C$16/2</x:f>
        <x:v>570.4474328788419</x:v>
      </x:c>
      <x:c r="S151" s="48" t="n">
        <x:f>F151+Inputs!$C$16/2</x:f>
        <x:v>600.4474328788419</x:v>
      </x:c>
      <x:c r="T151" s="48" t="n">
        <x:f>F151-Inputs!$C$17/2</x:f>
        <x:v>435.44743287884194</x:v>
      </x:c>
      <x:c r="U151" s="48" t="n">
        <x:f>F151+Inputs!$C$17/2</x:f>
        <x:v>735.4474328788419</x:v>
      </x:c>
      <x:c r="V151" s="48" t="n">
        <x:f>ABS(P151)</x:f>
        <x:v>109.23727838244822</x:v>
      </x:c>
      <x:c r="W151" s="48" t="n">
        <x:f>ABS(Q151)</x:f>
        <x:v>16.401993751118354</x:v>
      </x:c>
      <x:c r="X151" s="48" t="n">
        <x: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(0.45*SIN(2*PI()*(((A151)/Inputs!$C$49)+Inputs!$C$47*0.137))+0.35*COS(2*PI()*(((0)/Inputs!$C$50)+Inputs!$C$47*0.173))+0.20*SIN(2*PI()*(((A151)+(0))/(0.5*(Inputs!$C$49+Inputs!$C$50))+Inputs!$C$47*0.097)))+0.30*(2*((SIN(((A151)*12.9898+(0)*78.233+Inputs!$C$47*37.719))*43758.5453)-INT((SIN(((A151)*12.9898+(0)*78.233+Inputs!$C$47*37.719))*43758.5453)))-1)))</x:f>
        <x:v>27.325427950737776</x:v>
      </x:c>
      <x:c r="Y151" s="48" t="n">
        <x: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(0.45*SIN(2*PI()*(((A151)/Inputs!$C$49)+Inputs!$C$47*0.137))+0.35*COS(2*PI()*(((Inputs!$C$6)/Inputs!$C$50)+Inputs!$C$47*0.173))+0.20*SIN(2*PI()*(((A151)+(Inputs!$C$6))/(0.5*(Inputs!$C$49+Inputs!$C$50))+Inputs!$C$47*0.097)))+0.30*(2*((SIN(((A151)*12.9898+(Inputs!$C$6)*78.233+Inputs!$C$47*37.719))*43758.5453)-INT((SIN(((A151)*12.9898+(Inputs!$C$6)*78.233+Inputs!$C$47*37.719))*43758.5453)))-1)))</x:f>
        <x:v>415.5675277705944</x:v>
      </x:c>
      <x:c r="Z151" s="48" t="n">
        <x:f>B151-X151/1000</x:f>
        <x:v>400.20628568316033</x:v>
      </x:c>
      <x:c r="AA151" s="48" t="n">
        <x:f>SQRT(A151^2+Inputs!$C$6^2+(B151-Y151/1000)^2)</x:f>
        <x:v>400.8612203429136</x:v>
      </x:c>
      <x:c r="AB151" s="48" t="n">
        <x:f>(AA151-Z151)*1000</x:f>
        <x:v>654.9346597532804</x:v>
      </x:c>
      <x:c r="AC151" s="48" t="n">
        <x:f>AB151/Inputs!$C$12</x:f>
        <x:v>367.9408200861126</x:v>
      </x:c>
      <x:c r="AD151" s="48" t="n">
        <x:f>2*AB151/Inputs!$C$21*1000000</x:f>
        <x:v>4.36925374389025</x:v>
      </x:c>
      <x:c r="AE151" s="48" t="n">
        <x:f>DEGREES(ATAN(H151/(B151-Y151/1000)))</x:f>
        <x:v>4.1344123225834135</x:v>
      </x:c>
      <x:c r="AF151" s="48" t="n">
        <x:f>DEGREES((2*PI()/Inputs!$C$13)*Inputs!$C$15*SIN(RADIANS(AE151)))</x:f>
        <x:v>25.95474095265446</x:v>
      </x:c>
      <x:c r="AG151" s="48" t="n">
        <x:f>(Z151/AA151)^4</x:f>
        <x:v>0.9934807229320076</x:v>
      </x:c>
      <x:c r="AH151" s="48" t="n">
        <x:f>10*LOG10(AG151)</x:f>
        <x:v>-0.0284055533371152</x:v>
      </x:c>
      <x:c r="AI151" s="48" t="n">
        <x:f>AC151-F151</x:f>
        <x:v>-217.50661279272936</x:v>
      </x:c>
      <x:c r="AJ151" s="48" t="n">
        <x:f>AD151-G151</x:f>
        <x:v>-2.58286531525125</x:v>
      </x:c>
      <x:c r="AK151" s="48" t="n">
        <x:f>Y151-X151</x:f>
        <x:v>388.2420998198566</x:v>
      </x:c>
      <x:c r="AL151" s="48" t="n">
        <x:f>1000*(AA152-AA150)/(A152-A150)*Inputs!$C$11</x:f>
        <x:v>325.92098244072076</x:v>
      </x:c>
      <x:c r="AM151" s="48" t="n">
        <x:f>-2*AL151/Inputs!$C$13</x:f>
        <x:v>-130.3683929762883</x:v>
      </x:c>
      <x:c r="AN151" s="48" t="n">
        <x:f>-2*AL151/Inputs!$C$14</x:f>
        <x:v>-19.57483378022347</x:v>
      </x:c>
      <x:c r="AO151" s="48" t="n">
        <x:f>ABS(AM151)</x:f>
        <x:v>130.3683929762883</x:v>
      </x:c>
      <x:c r="AP151" s="48" t="n">
        <x:f>ABS(AN151)</x:f>
        <x:v>19.57483378022347</x:v>
      </x:c>
      <x:c r="AQ151" s="48" t="n">
        <x:f>IF(OR(Inputs!$C$27=TRUE,Inputs!$C$27="TRUE",Inputs!$C$27=1),Inputs!$C$46/Inputs!$C$12,0)</x:f>
        <x:v>42.13483146067416</x:v>
      </x:c>
      <x:c r="AR151" s="48" t="n">
        <x:f>AC151-AQ151</x:f>
        <x:v>325.80598862543843</x:v>
      </x:c>
      <x:c r="AS151" s="48" t="n">
        <x:f>AC151+AQ151</x:f>
        <x:v>410.07565154678673</x:v>
      </x:c>
    </x:row>
    <x:row r="152">
      <x:c r="A152" s="48" t="n">
        <x:f>Inputs!$C$7+150*(Inputs!$C$8-Inputs!$C$7)/240</x:f>
        <x:v>15</x:v>
      </x:c>
      <x:c r="B152" s="48" t="n">
        <x:f>Inputs!$C$5+Inputs!$C$9*(A152/Inputs!$C$10)^2</x:f>
        <x:v>400.25</x:v>
      </x:c>
      <x:c r="C152" s="48" t="n">
        <x:f>B152</x:f>
        <x:v>400.25</x:v>
      </x:c>
      <x:c r="D152" s="48" t="n">
        <x:f>SQRT(A152^2+Inputs!$C$6^2+B152^2)</x:f>
        <x:v>401.31043158632195</x:v>
      </x:c>
      <x:c r="E152" s="48" t="n">
        <x:f>(D152-C152)*1000</x:f>
        <x:v>1060.431586321954</x:v>
      </x:c>
      <x:c r="F152" s="48" t="n">
        <x:f>E152/Inputs!$C$12</x:f>
        <x:v>595.7480822033449</x:v>
      </x:c>
      <x:c r="G152" s="48" t="n">
        <x:f>2*E152/Inputs!$C$21*1000000</x:f>
        <x:v>7.074438052220473</x:v>
      </x:c>
      <x:c r="H152" s="48" t="n">
        <x:f>SQRT(A152^2+Inputs!$C$6^2)</x:f>
        <x:v>29.154759474226502</x:v>
      </x:c>
      <x:c r="I152" s="48" t="n">
        <x:f>DEGREES(ATAN(H152/B152))</x:f>
        <x:v>4.1661452978543005</x:v>
      </x:c>
      <x:c r="J152" s="48" t="n">
        <x:f>DEGREES((2*PI()/Inputs!$C$13)*Inputs!$C$15*SIN(RADIANS(I152)))</x:f>
        <x:v>26.153602260558017</x:v>
      </x:c>
      <x:c r="K152" s="48" t="n">
        <x:f>(C152/D152)^4</x:f>
        <x:v>0.9894721318886404</x:v>
      </x:c>
      <x:c r="L152" s="48" t="n">
        <x:f>10*LOG10(K152)</x:f>
        <x:v>-0.045964330264790396</x:v>
      </x:c>
      <x:c r="M152" s="48" t="n">
        <x:f>2*(Inputs!$C$9/(Inputs!$C$10^2))*A152</x:f>
        <x:v>0.03333333333333333</x:v>
      </x:c>
      <x:c r="N152" s="48" t="n">
        <x:f>M152*Inputs!$C$11</x:f>
        <x:v>0.13333333333333333</x:v>
      </x:c>
      <x:c r="O152" s="48" t="n">
        <x:f>1000*((A152*Inputs!$C$11)+(B152*N152))/D152</x:f>
        <x:v>282.4912031779106</x:v>
      </x:c>
      <x:c r="P152" s="48" t="n">
        <x:f>-2*O152/Inputs!$C$13</x:f>
        <x:v>-112.99648127116424</x:v>
      </x:c>
      <x:c r="Q152" s="48" t="n">
        <x:f>-2*O152/Inputs!$C$14</x:f>
        <x:v>-16.966438629303944</x:v>
      </x:c>
      <x:c r="R152" s="48" t="n">
        <x:f>F152-Inputs!$C$16/2</x:f>
        <x:v>580.7480822033449</x:v>
      </x:c>
      <x:c r="S152" s="48" t="n">
        <x:f>F152+Inputs!$C$16/2</x:f>
        <x:v>610.7480822033449</x:v>
      </x:c>
      <x:c r="T152" s="48" t="n">
        <x:f>F152-Inputs!$C$17/2</x:f>
        <x:v>445.7480822033449</x:v>
      </x:c>
      <x:c r="U152" s="48" t="n">
        <x:f>F152+Inputs!$C$17/2</x:f>
        <x:v>745.7480822033449</x:v>
      </x:c>
      <x:c r="V152" s="48" t="n">
        <x:f>ABS(P152)</x:f>
        <x:v>112.99648127116424</x:v>
      </x:c>
      <x:c r="W152" s="48" t="n">
        <x:f>ABS(Q152)</x:f>
        <x:v>16.966438629303944</x:v>
      </x:c>
      <x:c r="X152" s="48" t="n">
        <x: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(0.45*SIN(2*PI()*(((A152)/Inputs!$C$49)+Inputs!$C$47*0.137))+0.35*COS(2*PI()*(((0)/Inputs!$C$50)+Inputs!$C$47*0.173))+0.20*SIN(2*PI()*(((A152)+(0))/(0.5*(Inputs!$C$49+Inputs!$C$50))+Inputs!$C$47*0.097)))+0.30*(2*((SIN(((A152)*12.9898+(0)*78.233+Inputs!$C$47*37.719))*43758.5453)-INT((SIN(((A152)*12.9898+(0)*78.233+Inputs!$C$47*37.719))*43758.5453)))-1)))</x:f>
        <x:v>45.362905639140564</x:v>
      </x:c>
      <x:c r="Y152" s="48" t="n">
        <x: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(0.45*SIN(2*PI()*(((A152)/Inputs!$C$49)+Inputs!$C$47*0.137))+0.35*COS(2*PI()*(((Inputs!$C$6)/Inputs!$C$50)+Inputs!$C$47*0.173))+0.20*SIN(2*PI()*(((A152)+(Inputs!$C$6))/(0.5*(Inputs!$C$49+Inputs!$C$50))+Inputs!$C$47*0.097)))+0.30*(2*((SIN(((A152)*12.9898+(Inputs!$C$6)*78.233+Inputs!$C$47*37.719))*43758.5453)-INT((SIN(((A152)*12.9898+(Inputs!$C$6)*78.233+Inputs!$C$47*37.719))*43758.5453)))-1)))</x:f>
        <x:v>399.34593170493116</x:v>
      </x:c>
      <x:c r="Z152" s="48" t="n">
        <x:f>B152-X152/1000</x:f>
        <x:v>400.20463709436086</x:v>
      </x:c>
      <x:c r="AA152" s="48" t="n">
        <x:f>SQRT(A152^2+Inputs!$C$6^2+(B152-Y152/1000)^2)</x:f>
        <x:v>400.91214194489464</x:v>
      </x:c>
      <x:c r="AB152" s="48" t="n">
        <x:f>(AA152-Z152)*1000</x:f>
        <x:v>707.5048505337804</x:v>
      </x:c>
      <x:c r="AC152" s="48" t="n">
        <x:f>AB152/Inputs!$C$12</x:f>
        <x:v>397.4746351313373</x:v>
      </x:c>
      <x:c r="AD152" s="48" t="n">
        <x:f>2*AB152/Inputs!$C$21*1000000</x:f>
        <x:v>4.719964306332086</x:v>
      </x:c>
      <x:c r="AE152" s="48" t="n">
        <x:f>DEGREES(ATAN(H152/(B152-Y152/1000)))</x:f>
        <x:v>4.1702915117409125</x:v>
      </x:c>
      <x:c r="AF152" s="48" t="n">
        <x:f>DEGREES((2*PI()/Inputs!$C$13)*Inputs!$C$15*SIN(RADIANS(AE152)))</x:f>
        <x:v>26.179584783351807</x:v>
      </x:c>
      <x:c r="AG152" s="48" t="n">
        <x:f>(Z152/AA152)^4</x:f>
        <x:v>0.9929597122343369</x:v>
      </x:c>
      <x:c r="AH152" s="48" t="n">
        <x:f>10*LOG10(AG152)</x:f>
        <x:v>-0.0306837195704826</x:v>
      </x:c>
      <x:c r="AI152" s="48" t="n">
        <x:f>AC152-F152</x:f>
        <x:v>-198.27344707200757</x:v>
      </x:c>
      <x:c r="AJ152" s="48" t="n">
        <x:f>AD152-G152</x:f>
        <x:v>-2.354473745888387</x:v>
      </x:c>
      <x:c r="AK152" s="48" t="n">
        <x:f>Y152-X152</x:f>
        <x:v>353.98302606579057</x:v>
      </x:c>
      <x:c r="AL152" s="48" t="n">
        <x:f>1000*(AA153-AA151)/(A153-A151)*Inputs!$C$11</x:f>
        <x:v>362.23432867291194</x:v>
      </x:c>
      <x:c r="AM152" s="48" t="n">
        <x:f>-2*AL152/Inputs!$C$13</x:f>
        <x:v>-144.89373146916478</x:v>
      </x:c>
      <x:c r="AN152" s="48" t="n">
        <x:f>-2*AL152/Inputs!$C$14</x:f>
        <x:v>-21.755815535910628</x:v>
      </x:c>
      <x:c r="AO152" s="48" t="n">
        <x:f>ABS(AM152)</x:f>
        <x:v>144.89373146916478</x:v>
      </x:c>
      <x:c r="AP152" s="48" t="n">
        <x:f>ABS(AN152)</x:f>
        <x:v>21.755815535910628</x:v>
      </x:c>
      <x:c r="AQ152" s="48" t="n">
        <x:f>IF(OR(Inputs!$C$27=TRUE,Inputs!$C$27="TRUE",Inputs!$C$27=1),Inputs!$C$46/Inputs!$C$12,0)</x:f>
        <x:v>42.13483146067416</x:v>
      </x:c>
      <x:c r="AR152" s="48" t="n">
        <x:f>AC152-AQ152</x:f>
        <x:v>355.3398036706632</x:v>
      </x:c>
      <x:c r="AS152" s="48" t="n">
        <x:f>AC152+AQ152</x:f>
        <x:v>439.6094665920115</x:v>
      </x:c>
    </x:row>
    <x:row r="153">
      <x:c r="A153" s="48" t="n">
        <x:f>Inputs!$C$7+151*(Inputs!$C$8-Inputs!$C$7)/240</x:f>
        <x:v>15.5</x:v>
      </x:c>
      <x:c r="B153" s="48" t="n">
        <x:f>Inputs!$C$5+Inputs!$C$9*(A153/Inputs!$C$10)^2</x:f>
        <x:v>400.26694444444445</x:v>
      </x:c>
      <x:c r="C153" s="48" t="n">
        <x:f>B153</x:f>
        <x:v>400.26694444444445</x:v>
      </x:c>
      <x:c r="D153" s="48" t="n">
        <x:f>SQRT(A153^2+Inputs!$C$6^2+B153^2)</x:f>
        <x:v>401.3463302621465</x:v>
      </x:c>
      <x:c r="E153" s="48" t="n">
        <x:f>(D153-C153)*1000</x:f>
        <x:v>1079.3858177020752</x:v>
      </x:c>
      <x:c r="F153" s="48" t="n">
        <x:f>E153/Inputs!$C$12</x:f>
        <x:v>606.3965267989187</x:v>
      </x:c>
      <x:c r="G153" s="48" t="n">
        <x:f>2*E153/Inputs!$C$21*1000000</x:f>
        <x:v>7.200887073030204</x:v>
      </x:c>
      <x:c r="H153" s="48" t="n">
        <x:f>SQRT(A153^2+Inputs!$C$6^2)</x:f>
        <x:v>29.415132160165456</x:v>
      </x:c>
      <x:c r="I153" s="48" t="n">
        <x:f>DEGREES(ATAN(H153/B153))</x:f>
        <x:v>4.203041875082947</x:v>
      </x:c>
      <x:c r="J153" s="48" t="n">
        <x:f>DEGREES((2*PI()/Inputs!$C$13)*Inputs!$C$15*SIN(RADIANS(I153)))</x:f>
        <x:v>26.38481226611161</x:v>
      </x:c>
      <x:c r="K153" s="48" t="n">
        <x:f>(C153/D153)^4</x:f>
        <x:v>0.9892856700755499</x:v>
      </x:c>
      <x:c r="L153" s="48" t="n">
        <x:f>10*LOG10(K153)</x:f>
        <x:v>-0.0467828168594627</x:v>
      </x:c>
      <x:c r="M153" s="48" t="n">
        <x:f>2*(Inputs!$C$9/(Inputs!$C$10^2))*A153</x:f>
        <x:v>0.034444444444444444</x:v>
      </x:c>
      <x:c r="N153" s="48" t="n">
        <x:f>M153*Inputs!$C$11</x:f>
        <x:v>0.13777777777777778</x:v>
      </x:c>
      <x:c r="O153" s="48" t="n">
        <x:f>1000*((A153*Inputs!$C$11)+(B153*N153))/D153</x:f>
        <x:v>291.8872836010225</x:v>
      </x:c>
      <x:c r="P153" s="48" t="n">
        <x:f>-2*O153/Inputs!$C$13</x:f>
        <x:v>-116.754913440409</x:v>
      </x:c>
      <x:c r="Q153" s="48" t="n">
        <x:f>-2*O153/Inputs!$C$14</x:f>
        <x:v>-17.530767783845196</x:v>
      </x:c>
      <x:c r="R153" s="48" t="n">
        <x:f>F153-Inputs!$C$16/2</x:f>
        <x:v>591.3965267989187</x:v>
      </x:c>
      <x:c r="S153" s="48" t="n">
        <x:f>F153+Inputs!$C$16/2</x:f>
        <x:v>621.3965267989187</x:v>
      </x:c>
      <x:c r="T153" s="48" t="n">
        <x:f>F153-Inputs!$C$17/2</x:f>
        <x:v>456.39652679891867</x:v>
      </x:c>
      <x:c r="U153" s="48" t="n">
        <x:f>F153+Inputs!$C$17/2</x:f>
        <x:v>756.3965267989187</x:v>
      </x:c>
      <x:c r="V153" s="48" t="n">
        <x:f>ABS(P153)</x:f>
        <x:v>116.754913440409</x:v>
      </x:c>
      <x:c r="W153" s="48" t="n">
        <x:f>ABS(Q153)</x:f>
        <x:v>17.530767783845196</x:v>
      </x:c>
      <x:c r="X153" s="48" t="n">
        <x: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(0.45*SIN(2*PI()*(((A153)/Inputs!$C$49)+Inputs!$C$47*0.137))+0.35*COS(2*PI()*(((0)/Inputs!$C$50)+Inputs!$C$47*0.173))+0.20*SIN(2*PI()*(((A153)+(0))/(0.5*(Inputs!$C$49+Inputs!$C$50))+Inputs!$C$47*0.097)))+0.30*(2*((SIN(((A153)*12.9898+(0)*78.233+Inputs!$C$47*37.719))*43758.5453)-INT((SIN(((A153)*12.9898+(0)*78.233+Inputs!$C$47*37.719))*43758.5453)))-1)))</x:f>
        <x:v>49.090179641950456</x:v>
      </x:c>
      <x:c r="Y153" s="48" t="n">
        <x: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(0.45*SIN(2*PI()*(((A153)/Inputs!$C$49)+Inputs!$C$47*0.137))+0.35*COS(2*PI()*(((Inputs!$C$6)/Inputs!$C$50)+Inputs!$C$47*0.173))+0.20*SIN(2*PI()*(((A153)+(Inputs!$C$6))/(0.5*(Inputs!$C$49+Inputs!$C$50))+Inputs!$C$47*0.097)))+0.30*(2*((SIN(((A153)*12.9898+(Inputs!$C$6)*78.233+Inputs!$C$47*37.719))*43758.5453)-INT((SIN(((A153)*12.9898+(Inputs!$C$6)*78.233+Inputs!$C$47*37.719))*43758.5453)))-1)))</x:f>
        <x:v>395.616361037493</x:v>
      </x:c>
      <x:c r="Z153" s="48" t="n">
        <x:f>B153-X153/1000</x:f>
        <x:v>400.2178542648025</x:v>
      </x:c>
      <x:c r="AA153" s="48" t="n">
        <x:f>SQRT(A153^2+Inputs!$C$6^2+(B153-Y153/1000)^2)</x:f>
        <x:v>400.95177892508184</x:v>
      </x:c>
      <x:c r="AB153" s="48" t="n">
        <x:f>(AA153-Z153)*1000</x:f>
        <x:v>733.9246602793423</x:v>
      </x:c>
      <x:c r="AC153" s="48" t="n">
        <x:f>AB153/Inputs!$C$12</x:f>
        <x:v>412.317224876035</x:v>
      </x:c>
      <x:c r="AD153" s="48" t="n">
        <x:f>2*AB153/Inputs!$C$21*1000000</x:f>
        <x:v>4.896218304993799</x:v>
      </x:c>
      <x:c r="AE153" s="48" t="n">
        <x:f>DEGREES(ATAN(H153/(B153-Y153/1000)))</x:f>
        <x:v>4.207185269148323</x:v>
      </x:c>
      <x:c r="AF153" s="48" t="n">
        <x:f>DEGREES((2*PI()/Inputs!$C$13)*Inputs!$C$15*SIN(RADIANS(AE153)))</x:f>
        <x:v>26.410775894420482</x:v>
      </x:c>
      <x:c r="AG153" s="48" t="n">
        <x:f>(Z153/AA153)^4</x:f>
        <x:v>0.9926982541911585</x:v>
      </x:c>
      <x:c r="AH153" s="48" t="n">
        <x:f>10*LOG10(AG153)</x:f>
        <x:v>-0.031827418918283404</x:v>
      </x:c>
      <x:c r="AI153" s="48" t="n">
        <x:f>AC153-F153</x:f>
        <x:v>-194.07930192288364</x:v>
      </x:c>
      <x:c r="AJ153" s="48" t="n">
        <x:f>AD153-G153</x:f>
        <x:v>-2.3046687680364046</x:v>
      </x:c>
      <x:c r="AK153" s="48" t="n">
        <x:f>Y153-X153</x:f>
        <x:v>346.52618139554255</x:v>
      </x:c>
      <x:c r="AL153" s="48" t="n">
        <x:f>1000*(AA154-AA152)/(A154-A152)*Inputs!$C$11</x:f>
        <x:v>288.19828614314247</x:v>
      </x:c>
      <x:c r="AM153" s="48" t="n">
        <x:f>-2*AL153/Inputs!$C$13</x:f>
        <x:v>-115.27931445725699</x:v>
      </x:c>
      <x:c r="AN153" s="48" t="n">
        <x:f>-2*AL153/Inputs!$C$14</x:f>
        <x:v>-17.309206374963512</x:v>
      </x:c>
      <x:c r="AO153" s="48" t="n">
        <x:f>ABS(AM153)</x:f>
        <x:v>115.27931445725699</x:v>
      </x:c>
      <x:c r="AP153" s="48" t="n">
        <x:f>ABS(AN153)</x:f>
        <x:v>17.309206374963512</x:v>
      </x:c>
      <x:c r="AQ153" s="48" t="n">
        <x:f>IF(OR(Inputs!$C$27=TRUE,Inputs!$C$27="TRUE",Inputs!$C$27=1),Inputs!$C$46/Inputs!$C$12,0)</x:f>
        <x:v>42.13483146067416</x:v>
      </x:c>
      <x:c r="AR153" s="48" t="n">
        <x:f>AC153-AQ153</x:f>
        <x:v>370.1823934153609</x:v>
      </x:c>
      <x:c r="AS153" s="48" t="n">
        <x:f>AC153+AQ153</x:f>
        <x:v>454.4520563367092</x:v>
      </x:c>
    </x:row>
    <x:row r="154">
      <x:c r="A154" s="48" t="n">
        <x:f>Inputs!$C$7+152*(Inputs!$C$8-Inputs!$C$7)/240</x:f>
        <x:v>16</x:v>
      </x:c>
      <x:c r="B154" s="48" t="n">
        <x:f>Inputs!$C$5+Inputs!$C$9*(A154/Inputs!$C$10)^2</x:f>
        <x:v>400.28444444444443</x:v>
      </x:c>
      <x:c r="C154" s="48" t="n">
        <x:f>B154</x:f>
        <x:v>400.28444444444443</x:v>
      </x:c>
      <x:c r="D154" s="48" t="n">
        <x:f>SQRT(A154^2+Inputs!$C$6^2+B154^2)</x:f>
        <x:v>401.38340332429976</x:v>
      </x:c>
      <x:c r="E154" s="48" t="n">
        <x:f>(D154-C154)*1000</x:f>
        <x:v>1098.9588798553314</x:v>
      </x:c>
      <x:c r="F154" s="48" t="n">
        <x:f>E154/Inputs!$C$12</x:f>
        <x:v>617.3926291322086</x:v>
      </x:c>
      <x:c r="G154" s="48" t="n">
        <x:f>2*E154/Inputs!$C$21*1000000</x:f>
        <x:v>7.331464488378367</x:v>
      </x:c>
      <x:c r="H154" s="48" t="n">
        <x:f>SQRT(A154^2+Inputs!$C$6^2)</x:f>
        <x:v>29.68164415931166</x:v>
      </x:c>
      <x:c r="I154" s="48" t="n">
        <x:f>DEGREES(ATAN(H154/B154))</x:f>
        <x:v>4.240799936495226</x:v>
      </x:c>
      <x:c r="J154" s="48" t="n">
        <x:f>DEGREES((2*PI()/Inputs!$C$13)*Inputs!$C$15*SIN(RADIANS(I154)))</x:f>
        <x:v>26.621409377803502</x:v>
      </x:c>
      <x:c r="K154" s="48" t="n">
        <x:f>(C154/D154)^4</x:f>
        <x:v>0.9890931832486968</x:v>
      </x:c>
      <x:c r="L154" s="48" t="n">
        <x:f>10*LOG10(K154)</x:f>
        <x:v>-0.0476279124978911</x:v>
      </x:c>
      <x:c r="M154" s="48" t="n">
        <x:f>2*(Inputs!$C$9/(Inputs!$C$10^2))*A154</x:f>
        <x:v>0.035555555555555556</x:v>
      </x:c>
      <x:c r="N154" s="48" t="n">
        <x:f>M154*Inputs!$C$11</x:f>
        <x:v>0.14222222222222222</x:v>
      </x:c>
      <x:c r="O154" s="48" t="n">
        <x:f>1000*((A154*Inputs!$C$11)+(B154*N154))/D154</x:f>
        <x:v>301.28137388922147</x:v>
      </x:c>
      <x:c r="P154" s="48" t="n">
        <x:f>-2*O154/Inputs!$C$13</x:f>
        <x:v>-120.5125495556886</x:v>
      </x:c>
      <x:c r="Q154" s="48" t="n">
        <x:f>-2*O154/Inputs!$C$14</x:f>
        <x:v>-18.094977410764052</x:v>
      </x:c>
      <x:c r="R154" s="48" t="n">
        <x:f>F154-Inputs!$C$16/2</x:f>
        <x:v>602.3926291322086</x:v>
      </x:c>
      <x:c r="S154" s="48" t="n">
        <x:f>F154+Inputs!$C$16/2</x:f>
        <x:v>632.3926291322086</x:v>
      </x:c>
      <x:c r="T154" s="48" t="n">
        <x:f>F154-Inputs!$C$17/2</x:f>
        <x:v>467.39262913220864</x:v>
      </x:c>
      <x:c r="U154" s="48" t="n">
        <x:f>F154+Inputs!$C$17/2</x:f>
        <x:v>767.3926291322086</x:v>
      </x:c>
      <x:c r="V154" s="48" t="n">
        <x:f>ABS(P154)</x:f>
        <x:v>120.5125495556886</x:v>
      </x:c>
      <x:c r="W154" s="48" t="n">
        <x:f>ABS(Q154)</x:f>
        <x:v>18.094977410764052</x:v>
      </x:c>
      <x:c r="X154" s="48" t="n">
        <x: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(0.45*SIN(2*PI()*(((A154)/Inputs!$C$49)+Inputs!$C$47*0.137))+0.35*COS(2*PI()*(((0)/Inputs!$C$50)+Inputs!$C$47*0.173))+0.20*SIN(2*PI()*(((A154)+(0))/(0.5*(Inputs!$C$49+Inputs!$C$50))+Inputs!$C$47*0.097)))+0.30*(2*((SIN(((A154)*12.9898+(0)*78.233+Inputs!$C$47*37.719))*43758.5453)-INT((SIN(((A154)*12.9898+(0)*78.233+Inputs!$C$47*37.719))*43758.5453)))-1)))</x:f>
        <x:v>69.7201880441823</x:v>
      </x:c>
      <x:c r="Y154" s="48" t="n">
        <x: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(0.45*SIN(2*PI()*(((A154)/Inputs!$C$49)+Inputs!$C$47*0.137))+0.35*COS(2*PI()*(((Inputs!$C$6)/Inputs!$C$50)+Inputs!$C$47*0.173))+0.20*SIN(2*PI()*(((A154)+(Inputs!$C$6))/(0.5*(Inputs!$C$49+Inputs!$C$50))+Inputs!$C$47*0.097)))+0.30*(2*((SIN(((A154)*12.9898+(Inputs!$C$6)*78.233+Inputs!$C$47*37.719))*43758.5453)-INT((SIN(((A154)*12.9898+(Inputs!$C$6)*78.233+Inputs!$C$47*37.719))*43758.5453)))-1)))</x:f>
        <x:v>400.30891755789503</x:v>
      </x:c>
      <x:c r="Z154" s="48" t="n">
        <x:f>B154-X154/1000</x:f>
        <x:v>400.21472425640025</x:v>
      </x:c>
      <x:c r="AA154" s="48" t="n">
        <x:f>SQRT(A154^2+Inputs!$C$6^2+(B154-Y154/1000)^2)</x:f>
        <x:v>400.9841915164304</x:v>
      </x:c>
      <x:c r="AB154" s="48" t="n">
        <x:f>(AA154-Z154)*1000</x:f>
        <x:v>769.4672600301828</x:v>
      </x:c>
      <x:c r="AC154" s="48" t="n">
        <x:f>AB154/Inputs!$C$12</x:f>
        <x:v>432.28497754504656</x:v>
      </x:c>
      <x:c r="AD154" s="48" t="n">
        <x:f>2*AB154/Inputs!$C$21*1000000</x:f>
        <x:v>5.133333007531382</x:v>
      </x:c>
      <x:c r="AE154" s="48" t="n">
        <x:f>DEGREES(ATAN(H154/(B154-Y154/1000)))</x:f>
        <x:v>4.24502973023017</x:v>
      </x:c>
      <x:c r="AF154" s="48" t="n">
        <x:f>DEGREES((2*PI()/Inputs!$C$13)*Inputs!$C$15*SIN(RADIANS(AE154)))</x:f>
        <x:v>26.647913118326414</x:v>
      </x:c>
      <x:c r="AG154" s="48" t="n">
        <x:f>(Z154/AA154)^4</x:f>
        <x:v>0.9923462793949857</x:v>
      </x:c>
      <x:c r="AH154" s="48" t="n">
        <x:f>10*LOG10(AG154)</x:f>
        <x:v>-0.033367542686416</x:v>
      </x:c>
      <x:c r="AI154" s="48" t="n">
        <x:f>AC154-F154</x:f>
        <x:v>-185.10765158716208</x:v>
      </x:c>
      <x:c r="AJ154" s="48" t="n">
        <x:f>AD154-G154</x:f>
        <x:v>-2.1981314808469845</x:v>
      </x:c>
      <x:c r="AK154" s="48" t="n">
        <x:f>Y154-X154</x:f>
        <x:v>330.58872951371274</x:v>
      </x:c>
      <x:c r="AL154" s="48" t="n">
        <x:f>1000*(AA155-AA153)/(A155-A153)*Inputs!$C$11</x:f>
        <x:v>259.2137376439041</x:v>
      </x:c>
      <x:c r="AM154" s="48" t="n">
        <x:f>-2*AL154/Inputs!$C$13</x:f>
        <x:v>-103.68549505756164</x:v>
      </x:c>
      <x:c r="AN154" s="48" t="n">
        <x:f>-2*AL154/Inputs!$C$14</x:f>
        <x:v>-15.568392651285533</x:v>
      </x:c>
      <x:c r="AO154" s="48" t="n">
        <x:f>ABS(AM154)</x:f>
        <x:v>103.68549505756164</x:v>
      </x:c>
      <x:c r="AP154" s="48" t="n">
        <x:f>ABS(AN154)</x:f>
        <x:v>15.568392651285533</x:v>
      </x:c>
      <x:c r="AQ154" s="48" t="n">
        <x:f>IF(OR(Inputs!$C$27=TRUE,Inputs!$C$27="TRUE",Inputs!$C$27=1),Inputs!$C$46/Inputs!$C$12,0)</x:f>
        <x:v>42.13483146067416</x:v>
      </x:c>
      <x:c r="AR154" s="48" t="n">
        <x:f>AC154-AQ154</x:f>
        <x:v>390.1501460843724</x:v>
      </x:c>
      <x:c r="AS154" s="48" t="n">
        <x:f>AC154+AQ154</x:f>
        <x:v>474.4198090057207</x:v>
      </x:c>
    </x:row>
    <x:row r="155">
      <x:c r="A155" s="48" t="n">
        <x:f>Inputs!$C$7+153*(Inputs!$C$8-Inputs!$C$7)/240</x:f>
        <x:v>16.5</x:v>
      </x:c>
      <x:c r="B155" s="48" t="n">
        <x:f>Inputs!$C$5+Inputs!$C$9*(A155/Inputs!$C$10)^2</x:f>
        <x:v>400.3025</x:v>
      </x:c>
      <x:c r="C155" s="48" t="n">
        <x:f>B155</x:f>
        <x:v>400.3025</x:v>
      </x:c>
      <x:c r="D155" s="48" t="n">
        <x:f>SQRT(A155^2+Inputs!$C$6^2+B155^2)</x:f>
        <x:v>401.421650520061</x:v>
      </x:c>
      <x:c r="E155" s="48" t="n">
        <x:f>(D155-C155)*1000</x:f>
        <x:v>1119.1505200609981</x:v>
      </x:c>
      <x:c r="F155" s="48" t="n">
        <x:f>E155/Inputs!$C$12</x:f>
        <x:v>628.7362472252798</x:v>
      </x:c>
      <x:c r="G155" s="48" t="n">
        <x:f>2*E155/Inputs!$C$21*1000000</x:f>
        <x:v>7.466168612293763</x:v>
      </x:c>
      <x:c r="H155" s="48" t="n">
        <x:f>SQRT(A155^2+Inputs!$C$6^2)</x:f>
        <x:v>29.95413160150032</x:v>
      </x:c>
      <x:c r="I155" s="48" t="n">
        <x:f>DEGREES(ATAN(H155/B155))</x:f>
        <x:v>4.2793956023743185</x:v>
      </x:c>
      <x:c r="J155" s="48" t="n">
        <x:f>DEGREES((2*PI()/Inputs!$C$13)*Inputs!$C$15*SIN(RADIANS(I155)))</x:f>
        <x:v>26.863243082603024</x:v>
      </x:c>
      <x:c r="K155" s="48" t="n">
        <x:f>(C155/D155)^4</x:f>
        <x:v>0.988894679910662</x:v>
      </x:c>
      <x:c r="L155" s="48" t="n">
        <x:f>10*LOG10(K155)</x:f>
        <x:v>-0.0484995953453235</x:v>
      </x:c>
      <x:c r="M155" s="48" t="n">
        <x:f>2*(Inputs!$C$9/(Inputs!$C$10^2))*A155</x:f>
        <x:v>0.03666666666666667</x:v>
      </x:c>
      <x:c r="N155" s="48" t="n">
        <x:f>M155*Inputs!$C$11</x:f>
        <x:v>0.14666666666666667</x:v>
      </x:c>
      <x:c r="O155" s="48" t="n">
        <x:f>1000*((A155*Inputs!$C$11)+(B155*N155))/D155</x:f>
        <x:v>310.6734107932749</x:v>
      </x:c>
      <x:c r="P155" s="48" t="n">
        <x:f>-2*O155/Inputs!$C$13</x:f>
        <x:v>-124.26936431730996</x:v>
      </x:c>
      <x:c r="Q155" s="48" t="n">
        <x:f>-2*O155/Inputs!$C$14</x:f>
        <x:v>-18.659063711307805</x:v>
      </x:c>
      <x:c r="R155" s="48" t="n">
        <x:f>F155-Inputs!$C$16/2</x:f>
        <x:v>613.7362472252798</x:v>
      </x:c>
      <x:c r="S155" s="48" t="n">
        <x:f>F155+Inputs!$C$16/2</x:f>
        <x:v>643.7362472252798</x:v>
      </x:c>
      <x:c r="T155" s="48" t="n">
        <x:f>F155-Inputs!$C$17/2</x:f>
        <x:v>478.73624722527984</x:v>
      </x:c>
      <x:c r="U155" s="48" t="n">
        <x:f>F155+Inputs!$C$17/2</x:f>
        <x:v>778.7362472252798</x:v>
      </x:c>
      <x:c r="V155" s="48" t="n">
        <x:f>ABS(P155)</x:f>
        <x:v>124.26936431730996</x:v>
      </x:c>
      <x:c r="W155" s="48" t="n">
        <x:f>ABS(Q155)</x:f>
        <x:v>18.659063711307805</x:v>
      </x:c>
      <x:c r="X155" s="48" t="n">
        <x: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(0.45*SIN(2*PI()*(((A155)/Inputs!$C$49)+Inputs!$C$47*0.137))+0.35*COS(2*PI()*(((0)/Inputs!$C$50)+Inputs!$C$47*0.173))+0.20*SIN(2*PI()*(((A155)+(0))/(0.5*(Inputs!$C$49+Inputs!$C$50))+Inputs!$C$47*0.097)))+0.30*(2*((SIN(((A155)*12.9898+(0)*78.233+Inputs!$C$47*37.719))*43758.5453)-INT((SIN(((A155)*12.9898+(0)*78.233+Inputs!$C$47*37.719))*43758.5453)))-1)))</x:f>
        <x:v>71.50919840907298</x:v>
      </x:c>
      <x:c r="Y155" s="48" t="n">
        <x: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(0.45*SIN(2*PI()*(((A155)/Inputs!$C$49)+Inputs!$C$47*0.137))+0.35*COS(2*PI()*(((Inputs!$C$6)/Inputs!$C$50)+Inputs!$C$47*0.173))+0.20*SIN(2*PI()*(((A155)+(Inputs!$C$6))/(0.5*(Inputs!$C$49+Inputs!$C$50))+Inputs!$C$47*0.097)))+0.30*(2*((SIN(((A155)*12.9898+(Inputs!$C$6)*78.233+Inputs!$C$47*37.719))*43758.5453)-INT((SIN(((A155)*12.9898+(Inputs!$C$6)*78.233+Inputs!$C$47*37.719))*43758.5453)))-1)))</x:f>
        <x:v>406.20178346502695</x:v>
      </x:c>
      <x:c r="Z155" s="48" t="n">
        <x:f>B155-X155/1000</x:f>
        <x:v>400.23099080159096</x:v>
      </x:c>
      <x:c r="AA155" s="48" t="n">
        <x:f>SQRT(A155^2+Inputs!$C$6^2+(B155-Y155/1000)^2)</x:f>
        <x:v>401.0165823594928</x:v>
      </x:c>
      <x:c r="AB155" s="48" t="n">
        <x:f>(AA155-Z155)*1000</x:f>
        <x:v>785.5915579018529</x:v>
      </x:c>
      <x:c r="AC155" s="48" t="n">
        <x:f>AB155/Inputs!$C$12</x:f>
        <x:v>441.3435718549735</x:v>
      </x:c>
      <x:c r="AD155" s="48" t="n">
        <x:f>2*AB155/Inputs!$C$21*1000000</x:f>
        <x:v>5.240902744136764</x:v>
      </x:c>
      <x:c r="AE155" s="48" t="n">
        <x:f>DEGREES(ATAN(H155/(B155-Y155/1000)))</x:f>
        <x:v>4.283726302060733</x:v>
      </x:c>
      <x:c r="AF155" s="48" t="n">
        <x:f>DEGREES((2*PI()/Inputs!$C$13)*Inputs!$C$15*SIN(RADIANS(AE155)))</x:f>
        <x:v>26.890377732243543</x:v>
      </x:c>
      <x:c r="AG155" s="48" t="n">
        <x:f>(Z155/AA155)^4</x:f>
        <x:v>0.99218699530419</x:v>
      </x:c>
      <x:c r="AH155" s="48" t="n">
        <x:f>10*LOG10(AG155)</x:f>
        <x:v>-0.034064696044518096</x:v>
      </x:c>
      <x:c r="AI155" s="48" t="n">
        <x:f>AC155-F155</x:f>
        <x:v>-187.39267537030634</x:v>
      </x:c>
      <x:c r="AJ155" s="48" t="n">
        <x:f>AD155-G155</x:f>
        <x:v>-2.225265868156999</x:v>
      </x:c>
      <x:c r="AK155" s="48" t="n">
        <x:f>Y155-X155</x:f>
        <x:v>334.69258505595394</x:v>
      </x:c>
      <x:c r="AL155" s="48" t="n">
        <x:f>1000*(AA156-AA154)/(A156-A154)*Inputs!$C$11</x:f>
        <x:v>300.5116013398492</x:v>
      </x:c>
      <x:c r="AM155" s="48" t="n">
        <x:f>-2*AL155/Inputs!$C$13</x:f>
        <x:v>-120.20464053593969</x:v>
      </x:c>
      <x:c r="AN155" s="48" t="n">
        <x:f>-2*AL155/Inputs!$C$14</x:f>
        <x:v>-18.048744825216172</x:v>
      </x:c>
      <x:c r="AO155" s="48" t="n">
        <x:f>ABS(AM155)</x:f>
        <x:v>120.20464053593969</x:v>
      </x:c>
      <x:c r="AP155" s="48" t="n">
        <x:f>ABS(AN155)</x:f>
        <x:v>18.048744825216172</x:v>
      </x:c>
      <x:c r="AQ155" s="48" t="n">
        <x:f>IF(OR(Inputs!$C$27=TRUE,Inputs!$C$27="TRUE",Inputs!$C$27=1),Inputs!$C$46/Inputs!$C$12,0)</x:f>
        <x:v>42.13483146067416</x:v>
      </x:c>
      <x:c r="AR155" s="48" t="n">
        <x:f>AC155-AQ155</x:f>
        <x:v>399.20874039429935</x:v>
      </x:c>
      <x:c r="AS155" s="48" t="n">
        <x:f>AC155+AQ155</x:f>
        <x:v>483.47840331564765</x:v>
      </x:c>
    </x:row>
    <x:row r="156">
      <x:c r="A156" s="48" t="n">
        <x:f>Inputs!$C$7+154*(Inputs!$C$8-Inputs!$C$7)/240</x:f>
        <x:v>17</x:v>
      </x:c>
      <x:c r="B156" s="48" t="n">
        <x:f>Inputs!$C$5+Inputs!$C$9*(A156/Inputs!$C$10)^2</x:f>
        <x:v>400.3211111111111</x:v>
      </x:c>
      <x:c r="C156" s="48" t="n">
        <x:f>B156</x:f>
        <x:v>400.3211111111111</x:v>
      </x:c>
      <x:c r="D156" s="48" t="n">
        <x:f>SQRT(A156^2+Inputs!$C$6^2+B156^2)</x:f>
        <x:v>401.4610715888087</x:v>
      </x:c>
      <x:c r="E156" s="48" t="n">
        <x:f>(D156-C156)*1000</x:f>
        <x:v>1139.9604776975707</x:v>
      </x:c>
      <x:c r="F156" s="48" t="n">
        <x:f>E156/Inputs!$C$12</x:f>
        <x:v>640.4272346615566</x:v>
      </x:c>
      <x:c r="G156" s="48" t="n">
        <x:f>2*E156/Inputs!$C$21*1000000</x:f>
        <x:v>7.604997706096867</x:v>
      </x:c>
      <x:c r="H156" s="48" t="n">
        <x:f>SQRT(A156^2+Inputs!$C$6^2)</x:f>
        <x:v>30.23243291566195</x:v>
      </x:c>
      <x:c r="I156" s="48" t="n">
        <x:f>DEGREES(ATAN(H156/B156))</x:f>
        <x:v>4.3188053168235525</x:v>
      </x:c>
      <x:c r="J156" s="48" t="n">
        <x:f>DEGREES((2*PI()/Inputs!$C$13)*Inputs!$C$15*SIN(RADIANS(I156)))</x:f>
        <x:v>27.110164894856272</x:v>
      </x:c>
      <x:c r="K156" s="48" t="n">
        <x:f>(C156/D156)^4</x:f>
        <x:v>0.9886901688243562</x:v>
      </x:c>
      <x:c r="L156" s="48" t="n">
        <x:f>10*LOG10(K156)</x:f>
        <x:v>-0.04939784288847281</x:v>
      </x:c>
      <x:c r="M156" s="48" t="n">
        <x:f>2*(Inputs!$C$9/(Inputs!$C$10^2))*A156</x:f>
        <x:v>0.03777777777777778</x:v>
      </x:c>
      <x:c r="N156" s="48" t="n">
        <x:f>M156*Inputs!$C$11</x:f>
        <x:v>0.1511111111111111</x:v>
      </x:c>
      <x:c r="O156" s="48" t="n">
        <x:f>1000*((A156*Inputs!$C$11)+(B156*N156))/D156</x:f>
        <x:v>320.0633311536662</x:v>
      </x:c>
      <x:c r="P156" s="48" t="n">
        <x:f>-2*O156/Inputs!$C$13</x:f>
        <x:v>-128.02533246146646</x:v>
      </x:c>
      <x:c r="Q156" s="48" t="n">
        <x:f>-2*O156/Inputs!$C$14</x:f>
        <x:v>-19.223022892112084</x:v>
      </x:c>
      <x:c r="R156" s="48" t="n">
        <x:f>F156-Inputs!$C$16/2</x:f>
        <x:v>625.4272346615566</x:v>
      </x:c>
      <x:c r="S156" s="48" t="n">
        <x:f>F156+Inputs!$C$16/2</x:f>
        <x:v>655.4272346615566</x:v>
      </x:c>
      <x:c r="T156" s="48" t="n">
        <x:f>F156-Inputs!$C$17/2</x:f>
        <x:v>490.42723466155655</x:v>
      </x:c>
      <x:c r="U156" s="48" t="n">
        <x:f>F156+Inputs!$C$17/2</x:f>
        <x:v>790.4272346615566</x:v>
      </x:c>
      <x:c r="V156" s="48" t="n">
        <x:f>ABS(P156)</x:f>
        <x:v>128.02533246146646</x:v>
      </x:c>
      <x:c r="W156" s="48" t="n">
        <x:f>ABS(Q156)</x:f>
        <x:v>19.223022892112084</x:v>
      </x:c>
      <x:c r="X156" s="48" t="n">
        <x: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(0.45*SIN(2*PI()*(((A156)/Inputs!$C$49)+Inputs!$C$47*0.137))+0.35*COS(2*PI()*(((0)/Inputs!$C$50)+Inputs!$C$47*0.173))+0.20*SIN(2*PI()*(((A156)+(0))/(0.5*(Inputs!$C$49+Inputs!$C$50))+Inputs!$C$47*0.097)))+0.30*(2*((SIN(((A156)*12.9898+(0)*78.233+Inputs!$C$47*37.719))*43758.5453)-INT((SIN(((A156)*12.9898+(0)*78.233+Inputs!$C$47*37.719))*43758.5453)))-1)))</x:f>
        <x:v>58.586187093984584</x:v>
      </x:c>
      <x:c r="Y156" s="48" t="n">
        <x: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(0.45*SIN(2*PI()*(((A156)/Inputs!$C$49)+Inputs!$C$47*0.137))+0.35*COS(2*PI()*(((Inputs!$C$6)/Inputs!$C$50)+Inputs!$C$47*0.173))+0.20*SIN(2*PI()*(((A156)+(Inputs!$C$6))/(0.5*(Inputs!$C$49+Inputs!$C$50))+Inputs!$C$47*0.097)))+0.30*(2*((SIN(((A156)*12.9898+(Inputs!$C$6)*78.233+Inputs!$C$47*37.719))*43758.5453)-INT((SIN(((A156)*12.9898+(Inputs!$C$6)*78.233+Inputs!$C$47*37.719))*43758.5453)))-1)))</x:f>
        <x:v>402.8973585501548</x:v>
      </x:c>
      <x:c r="Z156" s="48" t="n">
        <x:f>B156-X156/1000</x:f>
        <x:v>400.26252492401716</x:v>
      </x:c>
      <x:c r="AA156" s="48" t="n">
        <x:f>SQRT(A156^2+Inputs!$C$6^2+(B156-Y156/1000)^2)</x:f>
        <x:v>401.0593194167654</x:v>
      </x:c>
      <x:c r="AB156" s="48" t="n">
        <x:f>(AA156-Z156)*1000</x:f>
        <x:v>796.7944927482336</x:v>
      </x:c>
      <x:c r="AC156" s="48" t="n">
        <x:f>AB156/Inputs!$C$12</x:f>
        <x:v>447.6373554765357</x:v>
      </x:c>
      <x:c r="AD156" s="48" t="n">
        <x:f>2*AB156/Inputs!$C$21*1000000</x:f>
        <x:v>5.315640680648701</x:v>
      </x:c>
      <x:c r="AE156" s="48" t="n">
        <x:f>DEGREES(ATAN(H156/(B156-Y156/1000)))</x:f>
        <x:v>4.323139807756409</x:v>
      </x:c>
      <x:c r="AF156" s="48" t="n">
        <x:f>DEGREES((2*PI()/Inputs!$C$13)*Inputs!$C$15*SIN(RADIANS(AE156)))</x:f>
        <x:v>27.1373218940922</x:v>
      </x:c>
      <x:c r="AG156" s="48" t="n">
        <x:f>(Z156/AA156)^4</x:f>
        <x:v>0.9920767519349439</x:v>
      </x:c>
      <x:c r="AH156" s="48" t="n">
        <x:f>10*LOG10(AG156)</x:f>
        <x:v>-0.0345472738978489</x:v>
      </x:c>
      <x:c r="AI156" s="48" t="n">
        <x:f>AC156-F156</x:f>
        <x:v>-192.78987918502088</x:v>
      </x:c>
      <x:c r="AJ156" s="48" t="n">
        <x:f>AD156-G156</x:f>
        <x:v>-2.289357025448166</x:v>
      </x:c>
      <x:c r="AK156" s="48" t="n">
        <x:f>Y156-X156</x:f>
        <x:v>344.31117145617026</x:v>
      </x:c>
      <x:c r="AL156" s="48" t="n">
        <x:f>1000*(AA157-AA155)/(A157-A155)*Inputs!$C$11</x:f>
        <x:v>294.727488685794</x:v>
      </x:c>
      <x:c r="AM156" s="48" t="n">
        <x:f>-2*AL156/Inputs!$C$13</x:f>
        <x:v>-117.8909954743176</x:v>
      </x:c>
      <x:c r="AN156" s="48" t="n">
        <x:f>-2*AL156/Inputs!$C$14</x:f>
        <x:v>-17.701350671819462</x:v>
      </x:c>
      <x:c r="AO156" s="48" t="n">
        <x:f>ABS(AM156)</x:f>
        <x:v>117.8909954743176</x:v>
      </x:c>
      <x:c r="AP156" s="48" t="n">
        <x:f>ABS(AN156)</x:f>
        <x:v>17.701350671819462</x:v>
      </x:c>
      <x:c r="AQ156" s="48" t="n">
        <x:f>IF(OR(Inputs!$C$27=TRUE,Inputs!$C$27="TRUE",Inputs!$C$27=1),Inputs!$C$46/Inputs!$C$12,0)</x:f>
        <x:v>42.13483146067416</x:v>
      </x:c>
      <x:c r="AR156" s="48" t="n">
        <x:f>AC156-AQ156</x:f>
        <x:v>405.5025240158615</x:v>
      </x:c>
      <x:c r="AS156" s="48" t="n">
        <x:f>AC156+AQ156</x:f>
        <x:v>489.7721869372098</x:v>
      </x:c>
    </x:row>
    <x:row r="157">
      <x:c r="A157" s="48" t="n">
        <x:f>Inputs!$C$7+155*(Inputs!$C$8-Inputs!$C$7)/240</x:f>
        <x:v>17.5</x:v>
      </x:c>
      <x:c r="B157" s="48" t="n">
        <x:f>Inputs!$C$5+Inputs!$C$9*(A157/Inputs!$C$10)^2</x:f>
        <x:v>400.34027777777777</x:v>
      </x:c>
      <x:c r="C157" s="48" t="n">
        <x:f>B157</x:f>
        <x:v>400.34027777777777</x:v>
      </x:c>
      <x:c r="D157" s="48" t="n">
        <x:f>SQRT(A157^2+Inputs!$C$6^2+B157^2)</x:f>
        <x:v>401.5016662620322</x:v>
      </x:c>
      <x:c r="E157" s="48" t="n">
        <x:f>(D157-C157)*1000</x:f>
        <x:v>1161.3884842544167</x:v>
      </x:c>
      <x:c r="F157" s="48" t="n">
        <x:f>E157/Inputs!$C$12</x:f>
        <x:v>652.4654405923689</x:v>
      </x:c>
      <x:c r="G157" s="48" t="n">
        <x:f>2*E157/Inputs!$C$21*1000000</x:f>
        <x:v>7.747949978477554</x:v>
      </x:c>
      <x:c r="H157" s="48" t="n">
        <x:f>SQRT(A157^2+Inputs!$C$6^2)</x:f>
        <x:v>30.516389039334257</x:v>
      </x:c>
      <x:c r="I157" s="48" t="n">
        <x:f>DEGREES(ATAN(H157/B157))</x:f>
        <x:v>4.359005878140658</x:v>
      </x:c>
      <x:c r="J157" s="48" t="n">
        <x:f>DEGREES((2*PI()/Inputs!$C$13)*Inputs!$C$15*SIN(RADIANS(I157)))</x:f>
        <x:v>27.3620285475742</x:v>
      </x:c>
      <x:c r="K157" s="48" t="n">
        <x:f>(C157/D157)^4</x:f>
        <x:v>0.988479659012131</x:v>
      </x:c>
      <x:c r="L157" s="48" t="n">
        <x:f>10*LOG10(K157)</x:f>
        <x:v>-0.05032263193688159</x:v>
      </x:c>
      <x:c r="M157" s="48" t="n">
        <x:f>2*(Inputs!$C$9/(Inputs!$C$10^2))*A157</x:f>
        <x:v>0.03888888888888889</x:v>
      </x:c>
      <x:c r="N157" s="48" t="n">
        <x:f>M157*Inputs!$C$11</x:f>
        <x:v>0.15555555555555556</x:v>
      </x:c>
      <x:c r="O157" s="48" t="n">
        <x:f>1000*((A157*Inputs!$C$11)+(B157*N157))/D157</x:f>
        <x:v>329.4510719033004</x:v>
      </x:c>
      <x:c r="P157" s="48" t="n">
        <x:f>-2*O157/Inputs!$C$13</x:f>
        <x:v>-131.78042876132014</x:v>
      </x:c>
      <x:c r="Q157" s="48" t="n">
        <x:f>-2*O157/Inputs!$C$14</x:f>
        <x:v>-19.786851165363387</x:v>
      </x:c>
      <x:c r="R157" s="48" t="n">
        <x:f>F157-Inputs!$C$16/2</x:f>
        <x:v>637.4654405923689</x:v>
      </x:c>
      <x:c r="S157" s="48" t="n">
        <x:f>F157+Inputs!$C$16/2</x:f>
        <x:v>667.4654405923689</x:v>
      </x:c>
      <x:c r="T157" s="48" t="n">
        <x:f>F157-Inputs!$C$17/2</x:f>
        <x:v>502.46544059236885</x:v>
      </x:c>
      <x:c r="U157" s="48" t="n">
        <x:f>F157+Inputs!$C$17/2</x:f>
        <x:v>802.4654405923689</x:v>
      </x:c>
      <x:c r="V157" s="48" t="n">
        <x:f>ABS(P157)</x:f>
        <x:v>131.78042876132014</x:v>
      </x:c>
      <x:c r="W157" s="48" t="n">
        <x:f>ABS(Q157)</x:f>
        <x:v>19.786851165363387</x:v>
      </x:c>
      <x:c r="X157" s="48" t="n">
        <x: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(0.45*SIN(2*PI()*(((A157)/Inputs!$C$49)+Inputs!$C$47*0.137))+0.35*COS(2*PI()*(((0)/Inputs!$C$50)+Inputs!$C$47*0.173))+0.20*SIN(2*PI()*(((A157)+(0))/(0.5*(Inputs!$C$49+Inputs!$C$50))+Inputs!$C$47*0.097)))+0.30*(2*((SIN(((A157)*12.9898+(0)*78.233+Inputs!$C$47*37.719))*43758.5453)-INT((SIN(((A157)*12.9898+(0)*78.233+Inputs!$C$47*37.719))*43758.5453)))-1)))</x:f>
        <x:v>65.71226511619231</x:v>
      </x:c>
      <x:c r="Y157" s="48" t="n">
        <x: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(0.45*SIN(2*PI()*(((A157)/Inputs!$C$49)+Inputs!$C$47*0.137))+0.35*COS(2*PI()*(((Inputs!$C$6)/Inputs!$C$50)+Inputs!$C$47*0.173))+0.20*SIN(2*PI()*(((A157)+(Inputs!$C$6))/(0.5*(Inputs!$C$49+Inputs!$C$50))+Inputs!$C$47*0.097)))+0.30*(2*((SIN(((A157)*12.9898+(Inputs!$C$6)*78.233+Inputs!$C$47*37.719))*43758.5453)-INT((SIN(((A157)*12.9898+(Inputs!$C$6)*78.233+Inputs!$C$47*37.719))*43758.5453)))-1)))</x:f>
        <x:v>412.59673853506814</x:v>
      </x:c>
      <x:c r="Z157" s="48" t="n">
        <x:f>B157-X157/1000</x:f>
        <x:v>400.2745655126616</x:v>
      </x:c>
      <x:c r="AA157" s="48" t="n">
        <x:f>SQRT(A157^2+Inputs!$C$6^2+(B157-Y157/1000)^2)</x:f>
        <x:v>401.09026423166426</x:v>
      </x:c>
      <x:c r="AB157" s="48" t="n">
        <x:f>(AA157-Z157)*1000</x:f>
        <x:v>815.6987190026825</x:v>
      </x:c>
      <x:c r="AC157" s="48" t="n">
        <x:f>AB157/Inputs!$C$12</x:f>
        <x:v>458.25770730487784</x:v>
      </x:c>
      <x:c r="AD157" s="48" t="n">
        <x:f>2*AB157/Inputs!$C$21*1000000</x:f>
        <x:v>5.44175610316843</x:v>
      </x:c>
      <x:c r="AE157" s="48" t="n">
        <x:f>DEGREES(ATAN(H157/(B157-Y157/1000)))</x:f>
        <x:v>4.363485610769421</x:v>
      </x:c>
      <x:c r="AF157" s="48" t="n">
        <x:f>DEGREES((2*PI()/Inputs!$C$13)*Inputs!$C$15*SIN(RADIANS(AE157)))</x:f>
        <x:v>27.390094035827868</x:v>
      </x:c>
      <x:c r="AG157" s="48" t="n">
        <x:f>(Z157/AA157)^4</x:f>
        <x:v>0.9918899676272297</x:v>
      </x:c>
      <x:c r="AH157" s="48" t="n">
        <x:f>10*LOG10(AG157)</x:f>
        <x:v>-0.0353650234456234</x:v>
      </x:c>
      <x:c r="AI157" s="48" t="n">
        <x:f>AC157-F157</x:f>
        <x:v>-194.207733287491</x:v>
      </x:c>
      <x:c r="AJ157" s="48" t="n">
        <x:f>AD157-G157</x:f>
        <x:v>-2.3061938753091242</x:v>
      </x:c>
      <x:c r="AK157" s="48" t="n">
        <x:f>Y157-X157</x:f>
        <x:v>346.8844734188758</x:v>
      </x:c>
      <x:c r="AL157" s="48" t="n">
        <x:f>1000*(AA158-AA156)/(A158-A156)*Inputs!$C$11</x:f>
        <x:v>271.9162790626797</x:v>
      </x:c>
      <x:c r="AM157" s="48" t="n">
        <x:f>-2*AL157/Inputs!$C$13</x:f>
        <x:v>-108.76651162507187</x:v>
      </x:c>
      <x:c r="AN157" s="48" t="n">
        <x:f>-2*AL157/Inputs!$C$14</x:f>
        <x:v>-16.331308051812595</x:v>
      </x:c>
      <x:c r="AO157" s="48" t="n">
        <x:f>ABS(AM157)</x:f>
        <x:v>108.76651162507187</x:v>
      </x:c>
      <x:c r="AP157" s="48" t="n">
        <x:f>ABS(AN157)</x:f>
        <x:v>16.331308051812595</x:v>
      </x:c>
      <x:c r="AQ157" s="48" t="n">
        <x:f>IF(OR(Inputs!$C$27=TRUE,Inputs!$C$27="TRUE",Inputs!$C$27=1),Inputs!$C$46/Inputs!$C$12,0)</x:f>
        <x:v>42.13483146067416</x:v>
      </x:c>
      <x:c r="AR157" s="48" t="n">
        <x:f>AC157-AQ157</x:f>
        <x:v>416.1228758442037</x:v>
      </x:c>
      <x:c r="AS157" s="48" t="n">
        <x:f>AC157+AQ157</x:f>
        <x:v>500.392538765552</x:v>
      </x:c>
    </x:row>
    <x:row r="158">
      <x:c r="A158" s="48" t="n">
        <x:f>Inputs!$C$7+156*(Inputs!$C$8-Inputs!$C$7)/240</x:f>
        <x:v>18</x:v>
      </x:c>
      <x:c r="B158" s="48" t="n">
        <x:f>Inputs!$C$5+Inputs!$C$9*(A158/Inputs!$C$10)^2</x:f>
        <x:v>400.36</x:v>
      </x:c>
      <x:c r="C158" s="48" t="n">
        <x:f>B158</x:f>
        <x:v>400.36</x:v>
      </x:c>
      <x:c r="D158" s="48" t="n">
        <x:f>SQRT(A158^2+Inputs!$C$6^2+B158^2)</x:f>
        <x:v>401.54343426334344</x:v>
      </x:c>
      <x:c r="E158" s="48" t="n">
        <x:f>(D158-C158)*1000</x:f>
        <x:v>1183.434263343429</x:v>
      </x:c>
      <x:c r="F158" s="48" t="n">
        <x:f>E158/Inputs!$C$12</x:f>
        <x:v>664.8507097434994</x:v>
      </x:c>
      <x:c r="G158" s="48" t="n">
        <x:f>2*E158/Inputs!$C$21*1000000</x:f>
        <x:v>7.895023585572849</x:v>
      </x:c>
      <x:c r="H158" s="48" t="n">
        <x:f>SQRT(A158^2+Inputs!$C$6^2)</x:f>
        <x:v>30.805843601498726</x:v>
      </x:c>
      <x:c r="I158" s="48" t="n">
        <x:f>DEGREES(ATAN(H158/B158))</x:f>
        <x:v>4.3999744653546005</x:v>
      </x:c>
      <x:c r="J158" s="48" t="n">
        <x:f>DEGREES((2*PI()/Inputs!$C$13)*Inputs!$C$15*SIN(RADIANS(I158)))</x:f>
        <x:v>27.618690159596383</x:v>
      </x:c>
      <x:c r="K158" s="48" t="n">
        <x:f>(C158/D158)^4</x:f>
        <x:v>0.9882631597548657</x:v>
      </x:c>
      <x:c r="L158" s="48" t="n">
        <x:f>10*LOG10(K158)</x:f>
        <x:v>-0.0512739386243249</x:v>
      </x:c>
      <x:c r="M158" s="48" t="n">
        <x:f>2*(Inputs!$C$9/(Inputs!$C$10^2))*A158</x:f>
        <x:v>0.04</x:v>
      </x:c>
      <x:c r="N158" s="48" t="n">
        <x:f>M158*Inputs!$C$11</x:f>
        <x:v>0.16</x:v>
      </x:c>
      <x:c r="O158" s="48" t="n">
        <x:f>1000*((A158*Inputs!$C$11)+(B158*N158))/D158</x:f>
        <x:v>338.83657007019974</x:v>
      </x:c>
      <x:c r="P158" s="48" t="n">
        <x:f>-2*O158/Inputs!$C$13</x:f>
        <x:v>-135.5346280280799</x:v>
      </x:c>
      <x:c r="Q158" s="48" t="n">
        <x:f>-2*O158/Inputs!$C$14</x:f>
        <x:v>-20.350544748960946</x:v>
      </x:c>
      <x:c r="R158" s="48" t="n">
        <x:f>F158-Inputs!$C$16/2</x:f>
        <x:v>649.8507097434994</x:v>
      </x:c>
      <x:c r="S158" s="48" t="n">
        <x:f>F158+Inputs!$C$16/2</x:f>
        <x:v>679.8507097434994</x:v>
      </x:c>
      <x:c r="T158" s="48" t="n">
        <x:f>F158-Inputs!$C$17/2</x:f>
        <x:v>514.8507097434994</x:v>
      </x:c>
      <x:c r="U158" s="48" t="n">
        <x:f>F158+Inputs!$C$17/2</x:f>
        <x:v>814.8507097434994</x:v>
      </x:c>
      <x:c r="V158" s="48" t="n">
        <x:f>ABS(P158)</x:f>
        <x:v>135.5346280280799</x:v>
      </x:c>
      <x:c r="W158" s="48" t="n">
        <x:f>ABS(Q158)</x:f>
        <x:v>20.350544748960946</x:v>
      </x:c>
      <x:c r="X158" s="48" t="n">
        <x: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(0.45*SIN(2*PI()*(((A158)/Inputs!$C$49)+Inputs!$C$47*0.137))+0.35*COS(2*PI()*(((0)/Inputs!$C$50)+Inputs!$C$47*0.173))+0.20*SIN(2*PI()*(((A158)+(0))/(0.5*(Inputs!$C$49+Inputs!$C$50))+Inputs!$C$47*0.097)))+0.30*(2*((SIN(((A158)*12.9898+(0)*78.233+Inputs!$C$47*37.719))*43758.5453)-INT((SIN(((A158)*12.9898+(0)*78.233+Inputs!$C$47*37.719))*43758.5453)))-1)))</x:f>
        <x:v>70.50298613715029</x:v>
      </x:c>
      <x:c r="Y158" s="48" t="n">
        <x: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(0.45*SIN(2*PI()*(((A158)/Inputs!$C$49)+Inputs!$C$47*0.137))+0.35*COS(2*PI()*(((Inputs!$C$6)/Inputs!$C$50)+Inputs!$C$47*0.173))+0.20*SIN(2*PI()*(((A158)+(Inputs!$C$6))/(0.5*(Inputs!$C$49+Inputs!$C$50))+Inputs!$C$47*0.097)))+0.30*(2*((SIN(((A158)*12.9898+(Inputs!$C$6)*78.233+Inputs!$C$47*37.719))*43758.5453)-INT((SIN(((A158)*12.9898+(Inputs!$C$6)*78.233+Inputs!$C$47*37.719))*43758.5453)))-1)))</x:f>
        <x:v>417.3671248555401</x:v>
      </x:c>
      <x:c r="Z158" s="48" t="n">
        <x:f>B158-X158/1000</x:f>
        <x:v>400.28949701386284</x:v>
      </x:c>
      <x:c r="AA158" s="48" t="n">
        <x:f>SQRT(A158^2+Inputs!$C$6^2+(B158-Y158/1000)^2)</x:f>
        <x:v>401.12729848653106</x:v>
      </x:c>
      <x:c r="AB158" s="48" t="n">
        <x:f>(AA158-Z158)*1000</x:f>
        <x:v>837.8014726682181</x:v>
      </x:c>
      <x:c r="AC158" s="48" t="n">
        <x:f>AB158/Inputs!$C$12</x:f>
        <x:v>470.6749846450664</x:v>
      </x:c>
      <x:c r="AD158" s="48" t="n">
        <x:f>2*AB158/Inputs!$C$21*1000000</x:f>
        <x:v>5.58920980372507</x:v>
      </x:c>
      <x:c r="AE158" s="48" t="n">
        <x:f>DEGREES(ATAN(H158/(B158-Y158/1000)))</x:f>
        <x:v>4.404548076410021</x:v>
      </x:c>
      <x:c r="AF158" s="48" t="n">
        <x:f>DEGREES((2*PI()/Inputs!$C$13)*Inputs!$C$15*SIN(RADIANS(AE158)))</x:f>
        <x:v>27.647342223735293</x:v>
      </x:c>
      <x:c r="AG158" s="48" t="n">
        <x:f>(Z158/AA158)^4</x:f>
        <x:v>0.991671667737234</x:v>
      </x:c>
      <x:c r="AH158" s="48" t="n">
        <x:f>10*LOG10(AG158)</x:f>
        <x:v>-0.036320944716913196</x:v>
      </x:c>
      <x:c r="AI158" s="48" t="n">
        <x:f>AC158-F158</x:f>
        <x:v>-194.17572509843296</x:v>
      </x:c>
      <x:c r="AJ158" s="48" t="n">
        <x:f>AD158-G158</x:f>
        <x:v>-2.305813781847779</x:v>
      </x:c>
      <x:c r="AK158" s="48" t="n">
        <x:f>Y158-X158</x:f>
        <x:v>346.8641387183898</x:v>
      </x:c>
      <x:c r="AL158" s="48" t="n">
        <x:f>1000*(AA159-AA157)/(A159-A157)*Inputs!$C$11</x:f>
        <x:v>333.3001873995727</x:v>
      </x:c>
      <x:c r="AM158" s="48" t="n">
        <x:f>-2*AL158/Inputs!$C$13</x:f>
        <x:v>-133.32007495982907</x:v>
      </x:c>
      <x:c r="AN158" s="48" t="n">
        <x:f>-2*AL158/Inputs!$C$14</x:f>
        <x:v>-20.01802927324761</x:v>
      </x:c>
      <x:c r="AO158" s="48" t="n">
        <x:f>ABS(AM158)</x:f>
        <x:v>133.32007495982907</x:v>
      </x:c>
      <x:c r="AP158" s="48" t="n">
        <x:f>ABS(AN158)</x:f>
        <x:v>20.01802927324761</x:v>
      </x:c>
      <x:c r="AQ158" s="48" t="n">
        <x:f>IF(OR(Inputs!$C$27=TRUE,Inputs!$C$27="TRUE",Inputs!$C$27=1),Inputs!$C$46/Inputs!$C$12,0)</x:f>
        <x:v>42.13483146067416</x:v>
      </x:c>
      <x:c r="AR158" s="48" t="n">
        <x:f>AC158-AQ158</x:f>
        <x:v>428.54015318439224</x:v>
      </x:c>
      <x:c r="AS158" s="48" t="n">
        <x:f>AC158+AQ158</x:f>
        <x:v>512.8098161057405</x:v>
      </x:c>
    </x:row>
    <x:row r="159">
      <x:c r="A159" s="48" t="n">
        <x:f>Inputs!$C$7+157*(Inputs!$C$8-Inputs!$C$7)/240</x:f>
        <x:v>18.5</x:v>
      </x:c>
      <x:c r="B159" s="48" t="n">
        <x:f>Inputs!$C$5+Inputs!$C$9*(A159/Inputs!$C$10)^2</x:f>
        <x:v>400.3802777777778</x:v>
      </x:c>
      <x:c r="C159" s="48" t="n">
        <x:f>B159</x:f>
        <x:v>400.3802777777778</x:v>
      </x:c>
      <x:c r="D159" s="48" t="n">
        <x:f>SQRT(A159^2+Inputs!$C$6^2+B159^2)</x:f>
        <x:v>401.5863753084889</x:v>
      </x:c>
      <x:c r="E159" s="48" t="n">
        <x:f>(D159-C159)*1000</x:f>
        <x:v>1206.0975307111335</x:v>
      </x:c>
      <x:c r="F159" s="48" t="n">
        <x:f>E159/Inputs!$C$12</x:f>
        <x:v>677.5828824219851</x:v>
      </x:c>
      <x:c r="G159" s="48" t="n">
        <x:f>2*E159/Inputs!$C$21*1000000</x:f>
        <x:v>8.046216631047692</x:v>
      </x:c>
      <x:c r="H159" s="48" t="n">
        <x:f>SQRT(A159^2+Inputs!$C$6^2)</x:f>
        <x:v>31.100643080167973</x:v>
      </x:c>
      <x:c r="I159" s="48" t="n">
        <x:f>DEGREES(ATAN(H159/B159))</x:f>
        <x:v>4.441688661129496</x:v>
      </x:c>
      <x:c r="J159" s="48" t="n">
        <x:f>DEGREES((2*PI()/Inputs!$C$13)*Inputs!$C$15*SIN(RADIANS(I159)))</x:f>
        <x:v>27.88000837991527</x:v>
      </x:c>
      <x:c r="K159" s="48" t="n">
        <x:f>(C159/D159)^4</x:f>
        <x:v>0.9880406805910283</x:v>
      </x:c>
      <x:c r="L159" s="48" t="n">
        <x:f>10*LOG10(K159)</x:f>
        <x:v>-0.052251738410254996</x:v>
      </x:c>
      <x:c r="M159" s="48" t="n">
        <x:f>2*(Inputs!$C$9/(Inputs!$C$10^2))*A159</x:f>
        <x:v>0.04111111111111111</x:v>
      </x:c>
      <x:c r="N159" s="48" t="n">
        <x:f>M159*Inputs!$C$11</x:f>
        <x:v>0.16444444444444445</x:v>
      </x:c>
      <x:c r="O159" s="48" t="n">
        <x:f>1000*((A159*Inputs!$C$11)+(B159*N159))/D159</x:f>
        <x:v>348.2197627801917</x:v>
      </x:c>
      <x:c r="P159" s="48" t="n">
        <x:f>-2*O159/Inputs!$C$13</x:f>
        <x:v>-139.28790511207666</x:v>
      </x:c>
      <x:c r="Q159" s="48" t="n">
        <x:f>-2*O159/Inputs!$C$14</x:f>
        <x:v>-20.914099866678182</x:v>
      </x:c>
      <x:c r="R159" s="48" t="n">
        <x:f>F159-Inputs!$C$16/2</x:f>
        <x:v>662.5828824219851</x:v>
      </x:c>
      <x:c r="S159" s="48" t="n">
        <x:f>F159+Inputs!$C$16/2</x:f>
        <x:v>692.5828824219851</x:v>
      </x:c>
      <x:c r="T159" s="48" t="n">
        <x:f>F159-Inputs!$C$17/2</x:f>
        <x:v>527.5828824219851</x:v>
      </x:c>
      <x:c r="U159" s="48" t="n">
        <x:f>F159+Inputs!$C$17/2</x:f>
        <x:v>827.5828824219851</x:v>
      </x:c>
      <x:c r="V159" s="48" t="n">
        <x:f>ABS(P159)</x:f>
        <x:v>139.28790511207666</x:v>
      </x:c>
      <x:c r="W159" s="48" t="n">
        <x:f>ABS(Q159)</x:f>
        <x:v>20.914099866678182</x:v>
      </x:c>
      <x:c r="X159" s="48" t="n">
        <x: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(0.45*SIN(2*PI()*(((A159)/Inputs!$C$49)+Inputs!$C$47*0.137))+0.35*COS(2*PI()*(((0)/Inputs!$C$50)+Inputs!$C$47*0.173))+0.20*SIN(2*PI()*(((A159)+(0))/(0.5*(Inputs!$C$49+Inputs!$C$50))+Inputs!$C$47*0.097)))+0.30*(2*((SIN(((A159)*12.9898+(0)*78.233+Inputs!$C$47*37.719))*43758.5453)-INT((SIN(((A159)*12.9898+(0)*78.233+Inputs!$C$47*37.719))*43758.5453)))-1)))</x:f>
        <x:v>84.15381309689964</x:v>
      </x:c>
      <x:c r="Y159" s="48" t="n">
        <x: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(0.45*SIN(2*PI()*(((A159)/Inputs!$C$49)+Inputs!$C$47*0.137))+0.35*COS(2*PI()*(((Inputs!$C$6)/Inputs!$C$50)+Inputs!$C$47*0.173))+0.20*SIN(2*PI()*(((A159)+(Inputs!$C$6))/(0.5*(Inputs!$C$49+Inputs!$C$50))+Inputs!$C$47*0.097)))+0.30*(2*((SIN(((A159)*12.9898+(Inputs!$C$6)*78.233+Inputs!$C$47*37.719))*43758.5453)-INT((SIN(((A159)*12.9898+(Inputs!$C$6)*78.233+Inputs!$C$47*37.719))*43758.5453)))-1)))</x:f>
        <x:v>414.03078360208366</x:v>
      </x:c>
      <x:c r="Z159" s="48" t="n">
        <x:f>B159-X159/1000</x:f>
        <x:v>400.2961239646809</x:v>
      </x:c>
      <x:c r="AA159" s="48" t="n">
        <x:f>SQRT(A159^2+Inputs!$C$6^2+(B159-Y159/1000)^2)</x:f>
        <x:v>401.17358927851416</x:v>
      </x:c>
      <x:c r="AB159" s="48" t="n">
        <x:f>(AA159-Z159)*1000</x:f>
        <x:v>877.4653138332837</x:v>
      </x:c>
      <x:c r="AC159" s="48" t="n">
        <x:f>AB159/Inputs!$C$12</x:f>
        <x:v>492.95804147937287</x:v>
      </x:c>
      <x:c r="AD159" s="48" t="n">
        <x:f>2*AB159/Inputs!$C$21*1000000</x:f>
        <x:v>5.8538184695312365</x:v>
      </x:c>
      <x:c r="AE159" s="48" t="n">
        <x:f>DEGREES(ATAN(H159/(B159-Y159/1000)))</x:f>
        <x:v>4.446268111223477</x:v>
      </x:c>
      <x:c r="AF159" s="48" t="n">
        <x:f>DEGREES((2*PI()/Inputs!$C$13)*Inputs!$C$15*SIN(RADIANS(AE159)))</x:f>
        <x:v>27.90869540788116</x:v>
      </x:c>
      <x:c r="AG159" s="48" t="n">
        <x:f>(Z159/AA159)^4</x:f>
        <x:v>0.991279678582576</x:v>
      </x:c>
      <x:c r="AH159" s="48" t="n">
        <x:f>10*LOG10(AG159)</x:f>
        <x:v>-0.0380379684791686</x:v>
      </x:c>
      <x:c r="AI159" s="48" t="n">
        <x:f>AC159-F159</x:f>
        <x:v>-184.62484094261225</x:v>
      </x:c>
      <x:c r="AJ159" s="48" t="n">
        <x:f>AD159-G159</x:f>
        <x:v>-2.192398161516455</x:v>
      </x:c>
      <x:c r="AK159" s="48" t="n">
        <x:f>Y159-X159</x:f>
        <x:v>329.87697050518403</x:v>
      </x:c>
      <x:c r="AL159" s="48" t="n">
        <x:f>1000*(AA160-AA158)/(A160-A158)*Inputs!$C$11</x:f>
        <x:v>300.6678132289835</x:v>
      </x:c>
      <x:c r="AM159" s="48" t="n">
        <x:f>-2*AL159/Inputs!$C$13</x:f>
        <x:v>-120.2671252915934</x:v>
      </x:c>
      <x:c r="AN159" s="48" t="n">
        <x:f>-2*AL159/Inputs!$C$14</x:f>
        <x:v>-18.05812692065967</x:v>
      </x:c>
      <x:c r="AO159" s="48" t="n">
        <x:f>ABS(AM159)</x:f>
        <x:v>120.2671252915934</x:v>
      </x:c>
      <x:c r="AP159" s="48" t="n">
        <x:f>ABS(AN159)</x:f>
        <x:v>18.05812692065967</x:v>
      </x:c>
      <x:c r="AQ159" s="48" t="n">
        <x:f>IF(OR(Inputs!$C$27=TRUE,Inputs!$C$27="TRUE",Inputs!$C$27=1),Inputs!$C$46/Inputs!$C$12,0)</x:f>
        <x:v>42.13483146067416</x:v>
      </x:c>
      <x:c r="AR159" s="48" t="n">
        <x:f>AC159-AQ159</x:f>
        <x:v>450.8232100186987</x:v>
      </x:c>
      <x:c r="AS159" s="48" t="n">
        <x:f>AC159+AQ159</x:f>
        <x:v>535.0928729400471</x:v>
      </x:c>
    </x:row>
    <x:row r="160">
      <x:c r="A160" s="48" t="n">
        <x:f>Inputs!$C$7+158*(Inputs!$C$8-Inputs!$C$7)/240</x:f>
        <x:v>19</x:v>
      </x:c>
      <x:c r="B160" s="48" t="n">
        <x:f>Inputs!$C$5+Inputs!$C$9*(A160/Inputs!$C$10)^2</x:f>
        <x:v>400.4011111111111</x:v>
      </x:c>
      <x:c r="C160" s="48" t="n">
        <x:f>B160</x:f>
        <x:v>400.4011111111111</x:v>
      </x:c>
      <x:c r="D160" s="48" t="n">
        <x:f>SQRT(A160^2+Inputs!$C$6^2+B160^2)</x:f>
        <x:v>401.630489105362</x:v>
      </x:c>
      <x:c r="E160" s="48" t="n">
        <x:f>(D160-C160)*1000</x:f>
        <x:v>1229.3779942509104</x:v>
      </x:c>
      <x:c r="F160" s="48" t="n">
        <x:f>E160/Inputs!$C$12</x:f>
        <x:v>690.6617945229834</x:v>
      </x:c>
      <x:c r="G160" s="48" t="n">
        <x:f>2*E160/Inputs!$C$21*1000000</x:f>
        <x:v>8.201527166176477</x:v>
      </x:c>
      <x:c r="H160" s="48" t="n">
        <x:f>SQRT(A160^2+Inputs!$C$6^2)</x:f>
        <x:v>31.400636936215164</x:v>
      </x:c>
      <x:c r="I160" s="48" t="n">
        <x:f>DEGREES(ATAN(H160/B160))</x:f>
        <x:v>4.484126471249511</x:v>
      </x:c>
      <x:c r="J160" s="48" t="n">
        <x:f>DEGREES((2*PI()/Inputs!$C$13)*Inputs!$C$15*SIN(RADIANS(I160)))</x:f>
        <x:v>28.14584451050467</x:v>
      </x:c>
      <x:c r="K160" s="48" t="n">
        <x:f>(C160/D160)^4</x:f>
        <x:v>0.9878122313157164</x:v>
      </x:c>
      <x:c r="L160" s="48" t="n">
        <x:f>10*LOG10(K160)</x:f>
        <x:v>-0.05325600608126439</x:v>
      </x:c>
      <x:c r="M160" s="48" t="n">
        <x:f>2*(Inputs!$C$9/(Inputs!$C$10^2))*A160</x:f>
        <x:v>0.042222222222222223</x:v>
      </x:c>
      <x:c r="N160" s="48" t="n">
        <x:f>M160*Inputs!$C$11</x:f>
        <x:v>0.1688888888888889</x:v>
      </x:c>
      <x:c r="O160" s="48" t="n">
        <x:f>1000*((A160*Inputs!$C$11)+(B160*N160))/D160</x:f>
        <x:v>357.60058725958567</x:v>
      </x:c>
      <x:c r="P160" s="48" t="n">
        <x:f>-2*O160/Inputs!$C$13</x:f>
        <x:v>-143.04023490383426</x:v>
      </x:c>
      <x:c r="Q160" s="48" t="n">
        <x:f>-2*O160/Inputs!$C$14</x:f>
        <x:v>-21.477512748323466</x:v>
      </x:c>
      <x:c r="R160" s="48" t="n">
        <x:f>F160-Inputs!$C$16/2</x:f>
        <x:v>675.6617945229834</x:v>
      </x:c>
      <x:c r="S160" s="48" t="n">
        <x:f>F160+Inputs!$C$16/2</x:f>
        <x:v>705.6617945229834</x:v>
      </x:c>
      <x:c r="T160" s="48" t="n">
        <x:f>F160-Inputs!$C$17/2</x:f>
        <x:v>540.6617945229834</x:v>
      </x:c>
      <x:c r="U160" s="48" t="n">
        <x:f>F160+Inputs!$C$17/2</x:f>
        <x:v>840.6617945229834</x:v>
      </x:c>
      <x:c r="V160" s="48" t="n">
        <x:f>ABS(P160)</x:f>
        <x:v>143.04023490383426</x:v>
      </x:c>
      <x:c r="W160" s="48" t="n">
        <x:f>ABS(Q160)</x:f>
        <x:v>21.477512748323466</x:v>
      </x:c>
      <x:c r="X160" s="48" t="n">
        <x: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(0.45*SIN(2*PI()*(((A160)/Inputs!$C$49)+Inputs!$C$47*0.137))+0.35*COS(2*PI()*(((0)/Inputs!$C$50)+Inputs!$C$47*0.173))+0.20*SIN(2*PI()*(((A160)+(0))/(0.5*(Inputs!$C$49+Inputs!$C$50))+Inputs!$C$47*0.097)))+0.30*(2*((SIN(((A160)*12.9898+(0)*78.233+Inputs!$C$47*37.719))*43758.5453)-INT((SIN(((A160)*12.9898+(0)*78.233+Inputs!$C$47*37.719))*43758.5453)))-1)))</x:f>
        <x:v>87.79516149602648</x:v>
      </x:c>
      <x:c r="Y160" s="48" t="n">
        <x: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(0.45*SIN(2*PI()*(((A160)/Inputs!$C$49)+Inputs!$C$47*0.137))+0.35*COS(2*PI()*(((Inputs!$C$6)/Inputs!$C$50)+Inputs!$C$47*0.173))+0.20*SIN(2*PI()*(((A160)+(Inputs!$C$6))/(0.5*(Inputs!$C$49+Inputs!$C$50))+Inputs!$C$47*0.097)))+0.30*(2*((SIN(((A160)*12.9898+(Inputs!$C$6)*78.233+Inputs!$C$47*37.719))*43758.5453)-INT((SIN(((A160)*12.9898+(Inputs!$C$6)*78.233+Inputs!$C$47*37.719))*43758.5453)))-1)))</x:f>
        <x:v>429.33926339108206</x:v>
      </x:c>
      <x:c r="Z160" s="48" t="n">
        <x:f>B160-X160/1000</x:f>
        <x:v>400.31331594961506</x:v>
      </x:c>
      <x:c r="AA160" s="48" t="n">
        <x:f>SQRT(A160^2+Inputs!$C$6^2+(B160-Y160/1000)^2)</x:f>
        <x:v>401.2024654398383</x:v>
      </x:c>
      <x:c r="AB160" s="48" t="n">
        <x:f>(AA160-Z160)*1000</x:f>
        <x:v>889.1494902232466</x:v>
      </x:c>
      <x:c r="AC160" s="48" t="n">
        <x:f>AB160/Inputs!$C$12</x:f>
        <x:v>499.5221855186779</x:v>
      </x:c>
      <x:c r="AD160" s="48" t="n">
        <x:f>2*AB160/Inputs!$C$21*1000000</x:f>
        <x:v>5.931766904044308</x:v>
      </x:c>
      <x:c r="AE160" s="48" t="n">
        <x:f>DEGREES(ATAN(H160/(B160-Y160/1000)))</x:f>
        <x:v>4.488920177634765</x:v>
      </x:c>
      <x:c r="AF160" s="48" t="n">
        <x:f>DEGREES((2*PI()/Inputs!$C$13)*Inputs!$C$15*SIN(RADIANS(AE160)))</x:f>
        <x:v>28.175871961914865</x:v>
      </x:c>
      <x:c r="AG160" s="48" t="n">
        <x:f>(Z160/AA160)^4</x:f>
        <x:v>0.9911645803165655</x:v>
      </x:c>
      <x:c r="AH160" s="48" t="n">
        <x:f>10*LOG10(AG160)</x:f>
        <x:v>-0.0385422605079284</x:v>
      </x:c>
      <x:c r="AI160" s="48" t="n">
        <x:f>AC160-F160</x:f>
        <x:v>-191.13960900430556</x:v>
      </x:c>
      <x:c r="AJ160" s="48" t="n">
        <x:f>AD160-G160</x:f>
        <x:v>-2.269760262132169</x:v>
      </x:c>
      <x:c r="AK160" s="48" t="n">
        <x:f>Y160-X160</x:f>
        <x:v>341.5441018950556</x:v>
      </x:c>
      <x:c r="AL160" s="48" t="n">
        <x:f>1000*(AA161-AA159)/(A161-A159)*Inputs!$C$11</x:f>
        <x:v>267.5429875921509</x:v>
      </x:c>
      <x:c r="AM160" s="48" t="n">
        <x:f>-2*AL160/Inputs!$C$13</x:f>
        <x:v>-107.01719503686036</x:v>
      </x:c>
      <x:c r="AN160" s="48" t="n">
        <x:f>-2*AL160/Inputs!$C$14</x:f>
        <x:v>-16.06864790343249</x:v>
      </x:c>
      <x:c r="AO160" s="48" t="n">
        <x:f>ABS(AM160)</x:f>
        <x:v>107.01719503686036</x:v>
      </x:c>
      <x:c r="AP160" s="48" t="n">
        <x:f>ABS(AN160)</x:f>
        <x:v>16.06864790343249</x:v>
      </x:c>
      <x:c r="AQ160" s="48" t="n">
        <x:f>IF(OR(Inputs!$C$27=TRUE,Inputs!$C$27="TRUE",Inputs!$C$27=1),Inputs!$C$46/Inputs!$C$12,0)</x:f>
        <x:v>42.13483146067416</x:v>
      </x:c>
      <x:c r="AR160" s="48" t="n">
        <x:f>AC160-AQ160</x:f>
        <x:v>457.3873540580037</x:v>
      </x:c>
      <x:c r="AS160" s="48" t="n">
        <x:f>AC160+AQ160</x:f>
        <x:v>541.6570169793521</x:v>
      </x:c>
    </x:row>
    <x:row r="161">
      <x:c r="A161" s="48" t="n">
        <x:f>Inputs!$C$7+159*(Inputs!$C$8-Inputs!$C$7)/240</x:f>
        <x:v>19.5</x:v>
      </x:c>
      <x:c r="B161" s="48" t="n">
        <x:f>Inputs!$C$5+Inputs!$C$9*(A161/Inputs!$C$10)^2</x:f>
        <x:v>400.4225</x:v>
      </x:c>
      <x:c r="C161" s="48" t="n">
        <x:f>B161</x:f>
        <x:v>400.4225</x:v>
      </x:c>
      <x:c r="D161" s="48" t="n">
        <x:f>SQRT(A161^2+Inputs!$C$6^2+B161^2)</x:f>
        <x:v>401.6757753540161</x:v>
      </x:c>
      <x:c r="E161" s="48" t="n">
        <x:f>(D161-C161)*1000</x:f>
        <x:v>1253.2753540160684</x:v>
      </x:c>
      <x:c r="F161" s="48" t="n">
        <x:f>E161/Inputs!$C$12</x:f>
        <x:v>704.0872775371171</x:v>
      </x:c>
      <x:c r="G161" s="48" t="n">
        <x:f>2*E161/Inputs!$C$21*1000000</x:f>
        <x:v>8.360953189930271</x:v>
      </x:c>
      <x:c r="H161" s="48" t="n">
        <x:f>SQRT(A161^2+Inputs!$C$6^2)</x:f>
        <x:v>31.70567772497538</x:v>
      </x:c>
      <x:c r="I161" s="48" t="n">
        <x:f>DEGREES(ATAN(H161/B161))</x:f>
        <x:v>4.527266340904271</x:v>
      </x:c>
      <x:c r="J161" s="48" t="n">
        <x:f>DEGREES((2*PI()/Inputs!$C$13)*Inputs!$C$15*SIN(RADIANS(I161)))</x:f>
        <x:v>28.416062609031858</x:v>
      </x:c>
      <x:c r="K161" s="48" t="n">
        <x:f>(C161/D161)^4</x:f>
        <x:v>0.9875778219796632</x:v>
      </x:c>
      <x:c r="L161" s="48" t="n">
        <x:f>10*LOG10(K161)</x:f>
        <x:v>-0.0542867157526281</x:v>
      </x:c>
      <x:c r="M161" s="48" t="n">
        <x:f>2*(Inputs!$C$9/(Inputs!$C$10^2))*A161</x:f>
        <x:v>0.043333333333333335</x:v>
      </x:c>
      <x:c r="N161" s="48" t="n">
        <x:f>M161*Inputs!$C$11</x:f>
        <x:v>0.17333333333333334</x:v>
      </x:c>
      <x:c r="O161" s="48" t="n">
        <x:f>1000*((A161*Inputs!$C$11)+(B161*N161))/D161</x:f>
        <x:v>366.9789808378416</x:v>
      </x:c>
      <x:c r="P161" s="48" t="n">
        <x:f>-2*O161/Inputs!$C$13</x:f>
        <x:v>-146.79159233513664</x:v>
      </x:c>
      <x:c r="Q161" s="48" t="n">
        <x:f>-2*O161/Inputs!$C$14</x:f>
        <x:v>-22.0407796299004</x:v>
      </x:c>
      <x:c r="R161" s="48" t="n">
        <x:f>F161-Inputs!$C$16/2</x:f>
        <x:v>689.0872775371171</x:v>
      </x:c>
      <x:c r="S161" s="48" t="n">
        <x:f>F161+Inputs!$C$16/2</x:f>
        <x:v>719.0872775371171</x:v>
      </x:c>
      <x:c r="T161" s="48" t="n">
        <x:f>F161-Inputs!$C$17/2</x:f>
        <x:v>554.0872775371171</x:v>
      </x:c>
      <x:c r="U161" s="48" t="n">
        <x:f>F161+Inputs!$C$17/2</x:f>
        <x:v>854.0872775371171</x:v>
      </x:c>
      <x:c r="V161" s="48" t="n">
        <x:f>ABS(P161)</x:f>
        <x:v>146.79159233513664</x:v>
      </x:c>
      <x:c r="W161" s="48" t="n">
        <x:f>ABS(Q161)</x:f>
        <x:v>22.0407796299004</x:v>
      </x:c>
      <x:c r="X161" s="48" t="n">
        <x: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(0.45*SIN(2*PI()*(((A161)/Inputs!$C$49)+Inputs!$C$47*0.137))+0.35*COS(2*PI()*(((0)/Inputs!$C$50)+Inputs!$C$47*0.173))+0.20*SIN(2*PI()*(((A161)+(0))/(0.5*(Inputs!$C$49+Inputs!$C$50))+Inputs!$C$47*0.097)))+0.30*(2*((SIN(((A161)*12.9898+(0)*78.233+Inputs!$C$47*37.719))*43758.5453)-INT((SIN(((A161)*12.9898+(0)*78.233+Inputs!$C$47*37.719))*43758.5453)))-1)))</x:f>
        <x:v>80.08578782325549</x:v>
      </x:c>
      <x:c r="Y161" s="48" t="n">
        <x: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(0.45*SIN(2*PI()*(((A161)/Inputs!$C$49)+Inputs!$C$47*0.137))+0.35*COS(2*PI()*(((Inputs!$C$6)/Inputs!$C$50)+Inputs!$C$47*0.173))+0.20*SIN(2*PI()*(((A161)+(Inputs!$C$6))/(0.5*(Inputs!$C$49+Inputs!$C$50))+Inputs!$C$47*0.097)))+0.30*(2*((SIN(((A161)*12.9898+(Inputs!$C$6)*78.233+Inputs!$C$47*37.719))*43758.5453)-INT((SIN(((A161)*12.9898+(Inputs!$C$6)*78.233+Inputs!$C$47*37.719))*43758.5453)))-1)))</x:f>
        <x:v>436.66425250955575</x:v>
      </x:c>
      <x:c r="Z161" s="48" t="n">
        <x:f>B161-X161/1000</x:f>
        <x:v>400.3424142121768</x:v>
      </x:c>
      <x:c r="AA161" s="48" t="n">
        <x:f>SQRT(A161^2+Inputs!$C$6^2+(B161-Y161/1000)^2)</x:f>
        <x:v>401.2404750254122</x:v>
      </x:c>
      <x:c r="AB161" s="48" t="n">
        <x:f>(AA161-Z161)*1000</x:f>
        <x:v>898.0608132354178</x:v>
      </x:c>
      <x:c r="AC161" s="48" t="n">
        <x:f>AB161/Inputs!$C$12</x:f>
        <x:v>504.52854676147064</x:v>
      </x:c>
      <x:c r="AD161" s="48" t="n">
        <x:f>2*AB161/Inputs!$C$21*1000000</x:f>
        <x:v>5.991216851995775</x:v>
      </x:c>
      <x:c r="AE161" s="48" t="n">
        <x:f>DEGREES(ATAN(H161/(B161-Y161/1000)))</x:f>
        <x:v>4.532188174622039</x:v>
      </x:c>
      <x:c r="AF161" s="48" t="n">
        <x:f>DEGREES((2*PI()/Inputs!$C$13)*Inputs!$C$15*SIN(RADIANS(AE161)))</x:f>
        <x:v>28.446890808481474</x:v>
      </x:c>
      <x:c r="AG161" s="48" t="n">
        <x:f>(Z161/AA161)^4</x:f>
        <x:v>0.9910771690189432</x:v>
      </x:c>
      <x:c r="AH161" s="48" t="n">
        <x:f>10*LOG10(AG161)</x:f>
        <x:v>-0.0389252838626804</x:v>
      </x:c>
      <x:c r="AI161" s="48" t="n">
        <x:f>AC161-F161</x:f>
        <x:v>-199.55873077564644</x:v>
      </x:c>
      <x:c r="AJ161" s="48" t="n">
        <x:f>AD161-G161</x:f>
        <x:v>-2.369736337934496</x:v>
      </x:c>
      <x:c r="AK161" s="48" t="n">
        <x:f>Y161-X161</x:f>
        <x:v>356.57846468630026</x:v>
      </x:c>
      <x:c r="AL161" s="48" t="n">
        <x:f>1000*(AA162-AA160)/(A162-A160)*Inputs!$C$11</x:f>
        <x:v>328.6197102249844</x:v>
      </x:c>
      <x:c r="AM161" s="48" t="n">
        <x:f>-2*AL161/Inputs!$C$13</x:f>
        <x:v>-131.44788408999375</x:v>
      </x:c>
      <x:c r="AN161" s="48" t="n">
        <x:f>-2*AL161/Inputs!$C$14</x:f>
        <x:v>-19.736919533032097</x:v>
      </x:c>
      <x:c r="AO161" s="48" t="n">
        <x:f>ABS(AM161)</x:f>
        <x:v>131.44788408999375</x:v>
      </x:c>
      <x:c r="AP161" s="48" t="n">
        <x:f>ABS(AN161)</x:f>
        <x:v>19.736919533032097</x:v>
      </x:c>
      <x:c r="AQ161" s="48" t="n">
        <x:f>IF(OR(Inputs!$C$27=TRUE,Inputs!$C$27="TRUE",Inputs!$C$27=1),Inputs!$C$46/Inputs!$C$12,0)</x:f>
        <x:v>42.13483146067416</x:v>
      </x:c>
      <x:c r="AR161" s="48" t="n">
        <x:f>AC161-AQ161</x:f>
        <x:v>462.3937153007965</x:v>
      </x:c>
      <x:c r="AS161" s="48" t="n">
        <x:f>AC161+AQ161</x:f>
        <x:v>546.6633782221448</x:v>
      </x:c>
    </x:row>
    <x:row r="162">
      <x:c r="A162" s="48" t="n">
        <x:f>Inputs!$C$7+160*(Inputs!$C$8-Inputs!$C$7)/240</x:f>
        <x:v>20</x:v>
      </x:c>
      <x:c r="B162" s="48" t="n">
        <x:f>Inputs!$C$5+Inputs!$C$9*(A162/Inputs!$C$10)^2</x:f>
        <x:v>400.44444444444446</x:v>
      </x:c>
      <x:c r="C162" s="48" t="n">
        <x:f>B162</x:f>
        <x:v>400.44444444444446</x:v>
      </x:c>
      <x:c r="D162" s="48" t="n">
        <x:f>SQRT(A162^2+Inputs!$C$6^2+B162^2)</x:f>
        <x:v>401.722233746677</x:v>
      </x:c>
      <x:c r="E162" s="48" t="n">
        <x:f>(D162-C162)*1000</x:f>
        <x:v>1277.7893022325202</x:v>
      </x:c>
      <x:c r="F162" s="48" t="n">
        <x:f>E162/Inputs!$C$12</x:f>
        <x:v>717.8591585575956</x:v>
      </x:c>
      <x:c r="G162" s="48" t="n">
        <x:f>2*E162/Inputs!$C$21*1000000</x:f>
        <x:v>8.524492649061374</x:v>
      </x:c>
      <x:c r="H162" s="48" t="n">
        <x:f>SQRT(A162^2+Inputs!$C$6^2)</x:f>
        <x:v>32.01562118716424</x:v>
      </x:c>
      <x:c r="I162" s="48" t="n">
        <x:f>DEGREES(ATAN(H162/B162))</x:f>
        <x:v>4.571087167996556</x:v>
      </x:c>
      <x:c r="J162" s="48" t="n">
        <x:f>DEGREES((2*PI()/Inputs!$C$13)*Inputs!$C$15*SIN(RADIANS(I162)))</x:f>
        <x:v>28.69052957284685</x:v>
      </x:c>
      <x:c r="K162" s="48" t="n">
        <x:f>(C162/D162)^4</x:f>
        <x:v>0.98733746288823</x:v>
      </x:c>
      <x:c r="L162" s="48" t="n">
        <x:f>10*LOG10(K162)</x:f>
        <x:v>-0.0553438408698413</x:v>
      </x:c>
      <x:c r="M162" s="48" t="n">
        <x:f>2*(Inputs!$C$9/(Inputs!$C$10^2))*A162</x:f>
        <x:v>0.044444444444444446</x:v>
      </x:c>
      <x:c r="N162" s="48" t="n">
        <x:f>M162*Inputs!$C$11</x:f>
        <x:v>0.17777777777777778</x:v>
      </x:c>
      <x:c r="O162" s="48" t="n">
        <x:f>1000*((A162*Inputs!$C$11)+(B162*N162))/D162</x:f>
        <x:v>376.35488095022765</x:v>
      </x:c>
      <x:c r="P162" s="48" t="n">
        <x:f>-2*O162/Inputs!$C$13</x:f>
        <x:v>-150.54195238009106</x:v>
      </x:c>
      <x:c r="Q162" s="48" t="n">
        <x:f>-2*O162/Inputs!$C$14</x:f>
        <x:v>-22.60389675376743</x:v>
      </x:c>
      <x:c r="R162" s="48" t="n">
        <x:f>F162-Inputs!$C$16/2</x:f>
        <x:v>702.8591585575956</x:v>
      </x:c>
      <x:c r="S162" s="48" t="n">
        <x:f>F162+Inputs!$C$16/2</x:f>
        <x:v>732.8591585575956</x:v>
      </x:c>
      <x:c r="T162" s="48" t="n">
        <x:f>F162-Inputs!$C$17/2</x:f>
        <x:v>567.8591585575956</x:v>
      </x:c>
      <x:c r="U162" s="48" t="n">
        <x:f>F162+Inputs!$C$17/2</x:f>
        <x:v>867.8591585575956</x:v>
      </x:c>
      <x:c r="V162" s="48" t="n">
        <x:f>ABS(P162)</x:f>
        <x:v>150.54195238009106</x:v>
      </x:c>
      <x:c r="W162" s="48" t="n">
        <x:f>ABS(Q162)</x:f>
        <x:v>22.60389675376743</x:v>
      </x:c>
      <x:c r="X162" s="48" t="n">
        <x: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(0.45*SIN(2*PI()*(((A162)/Inputs!$C$49)+Inputs!$C$47*0.137))+0.35*COS(2*PI()*(((0)/Inputs!$C$50)+Inputs!$C$47*0.173))+0.20*SIN(2*PI()*(((A162)+(0))/(0.5*(Inputs!$C$49+Inputs!$C$50))+Inputs!$C$47*0.097)))+0.30*(2*((SIN(((A162)*12.9898+(0)*78.233+Inputs!$C$47*37.719))*43758.5453)-INT((SIN(((A162)*12.9898+(0)*78.233+Inputs!$C$47*37.719))*43758.5453)))-1)))</x:f>
        <x:v>74.33166863889775</x:v>
      </x:c>
      <x:c r="Y162" s="48" t="n">
        <x: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(0.45*SIN(2*PI()*(((A162)/Inputs!$C$49)+Inputs!$C$47*0.137))+0.35*COS(2*PI()*(((Inputs!$C$6)/Inputs!$C$50)+Inputs!$C$47*0.173))+0.20*SIN(2*PI()*(((A162)+(Inputs!$C$6))/(0.5*(Inputs!$C$49+Inputs!$C$50))+Inputs!$C$47*0.097)))+0.30*(2*((SIN(((A162)*12.9898+(Inputs!$C$6)*78.233+Inputs!$C$47*37.719))*43758.5453)-INT((SIN(((A162)*12.9898+(Inputs!$C$6)*78.233+Inputs!$C$47*37.719))*43758.5453)))-1)))</x:f>
        <x:v>439.0113020882822</x:v>
      </x:c>
      <x:c r="Z162" s="48" t="n">
        <x:f>B162-X162/1000</x:f>
        <x:v>400.3701127758056</x:v>
      </x:c>
      <x:c r="AA162" s="48" t="n">
        <x:f>SQRT(A162^2+Inputs!$C$6^2+(B162-Y162/1000)^2)</x:f>
        <x:v>401.28462036739455</x:v>
      </x:c>
      <x:c r="AB162" s="48" t="n">
        <x:f>(AA162-Z162)*1000</x:f>
        <x:v>914.507591588972</x:v>
      </x:c>
      <x:c r="AC162" s="48" t="n">
        <x:f>AB162/Inputs!$C$12</x:f>
        <x:v>513.7683098814449</x:v>
      </x:c>
      <x:c r="AD162" s="48" t="n">
        <x:f>2*AB162/Inputs!$C$21*1000000</x:f>
        <x:v>6.100937946804332</x:v>
      </x:c>
      <x:c r="AE162" s="48" t="n">
        <x:f>DEGREES(ATAN(H162/(B162-Y162/1000)))</x:f>
        <x:v>4.576082701575143</x:v>
      </x:c>
      <x:c r="AF162" s="48" t="n">
        <x:f>DEGREES((2*PI()/Inputs!$C$13)*Inputs!$C$15*SIN(RADIANS(AE162)))</x:f>
        <x:v>28.721817489110066</x:v>
      </x:c>
      <x:c r="AG162" s="48" t="n">
        <x:f>(Z162/AA162)^4</x:f>
        <x:v>0.9909153143022237</x:v>
      </x:c>
      <x:c r="AH162" s="48" t="n">
        <x:f>10*LOG10(AG162)</x:f>
        <x:v>-0.0396345964467498</x:v>
      </x:c>
      <x:c r="AI162" s="48" t="n">
        <x:f>AC162-F162</x:f>
        <x:v>-204.0908486761507</x:v>
      </x:c>
      <x:c r="AJ162" s="48" t="n">
        <x:f>AD162-G162</x:f>
        <x:v>-2.423554702257042</x:v>
      </x:c>
      <x:c r="AK162" s="48" t="n">
        <x:f>Y162-X162</x:f>
        <x:v>364.6796334493845</x:v>
      </x:c>
      <x:c r="AL162" s="48" t="n">
        <x:f>1000*(AA163-AA161)/(A163-A161)*Inputs!$C$11</x:f>
        <x:v>356.23764422462045</x:v>
      </x:c>
      <x:c r="AM162" s="48" t="n">
        <x:f>-2*AL162/Inputs!$C$13</x:f>
        <x:v>-142.49505768984818</x:v>
      </x:c>
      <x:c r="AN162" s="48" t="n">
        <x:f>-2*AL162/Inputs!$C$14</x:f>
        <x:v>-21.395654307785016</x:v>
      </x:c>
      <x:c r="AO162" s="48" t="n">
        <x:f>ABS(AM162)</x:f>
        <x:v>142.49505768984818</x:v>
      </x:c>
      <x:c r="AP162" s="48" t="n">
        <x:f>ABS(AN162)</x:f>
        <x:v>21.395654307785016</x:v>
      </x:c>
      <x:c r="AQ162" s="48" t="n">
        <x:f>IF(OR(Inputs!$C$27=TRUE,Inputs!$C$27="TRUE",Inputs!$C$27=1),Inputs!$C$46/Inputs!$C$12,0)</x:f>
        <x:v>42.13483146067416</x:v>
      </x:c>
      <x:c r="AR162" s="48" t="n">
        <x:f>AC162-AQ162</x:f>
        <x:v>471.63347842077076</x:v>
      </x:c>
      <x:c r="AS162" s="48" t="n">
        <x:f>AC162+AQ162</x:f>
        <x:v>555.903141342119</x:v>
      </x:c>
    </x:row>
    <x:row r="163">
      <x:c r="A163" s="48" t="n">
        <x:f>Inputs!$C$7+161*(Inputs!$C$8-Inputs!$C$7)/240</x:f>
        <x:v>20.5</x:v>
      </x:c>
      <x:c r="B163" s="48" t="n">
        <x:f>Inputs!$C$5+Inputs!$C$9*(A163/Inputs!$C$10)^2</x:f>
        <x:v>400.46694444444444</x:v>
      </x:c>
      <x:c r="C163" s="48" t="n">
        <x:f>B163</x:f>
        <x:v>400.46694444444444</x:v>
      </x:c>
      <x:c r="D163" s="48" t="n">
        <x:f>SQRT(A163^2+Inputs!$C$6^2+B163^2)</x:f>
        <x:v>401.76986396775675</x:v>
      </x:c>
      <x:c r="E163" s="48" t="n">
        <x:f>(D163-C163)*1000</x:f>
        <x:v>1302.9195233123119</x:v>
      </x:c>
      <x:c r="F163" s="48" t="n">
        <x:f>E163/Inputs!$C$12</x:f>
        <x:v>731.9772602878156</x:v>
      </x:c>
      <x:c r="G163" s="48" t="n">
        <x:f>2*E163/Inputs!$C$21*1000000</x:f>
        <x:v>8.692143438193577</x:v>
      </x:c>
      <x:c r="H163" s="48" t="n">
        <x:f>SQRT(A163^2+Inputs!$C$6^2)</x:f>
        <x:v>32.33032632065442</x:v>
      </x:c>
      <x:c r="I163" s="48" t="n">
        <x:f>DEGREES(ATAN(H163/B163))</x:f>
        <x:v>4.61556831369344</x:v>
      </x:c>
      <x:c r="J163" s="48" t="n">
        <x:f>DEGREES((2*PI()/Inputs!$C$13)*Inputs!$C$15*SIN(RADIANS(I163)))</x:f>
        <x:v>28.96911520563834</x:v>
      </x:c>
      <x:c r="K163" s="48" t="n">
        <x:f>(C163/D163)^4</x:f>
        <x:v>0.9870911646003662</x:v>
      </x:c>
      <x:c r="L163" s="48" t="n">
        <x:f>10*LOG10(K163)</x:f>
        <x:v>-0.0564273542102285</x:v>
      </x:c>
      <x:c r="M163" s="48" t="n">
        <x:f>2*(Inputs!$C$9/(Inputs!$C$10^2))*A163</x:f>
        <x:v>0.04555555555555556</x:v>
      </x:c>
      <x:c r="N163" s="48" t="n">
        <x:f>M163*Inputs!$C$11</x:f>
        <x:v>0.18222222222222223</x:v>
      </x:c>
      <x:c r="O163" s="48" t="n">
        <x:f>1000*((A163*Inputs!$C$11)+(B163*N163))/D163</x:f>
        <x:v>385.7282251404675</x:v>
      </x:c>
      <x:c r="P163" s="48" t="n">
        <x:f>-2*O163/Inputs!$C$13</x:f>
        <x:v>-154.291290056187</x:v>
      </x:c>
      <x:c r="Q163" s="48" t="n">
        <x:f>-2*O163/Inputs!$C$14</x:f>
        <x:v>-23.166860368796847</x:v>
      </x:c>
      <x:c r="R163" s="48" t="n">
        <x:f>F163-Inputs!$C$16/2</x:f>
        <x:v>716.9772602878156</x:v>
      </x:c>
      <x:c r="S163" s="48" t="n">
        <x:f>F163+Inputs!$C$16/2</x:f>
        <x:v>746.9772602878156</x:v>
      </x:c>
      <x:c r="T163" s="48" t="n">
        <x:f>F163-Inputs!$C$17/2</x:f>
        <x:v>581.9772602878156</x:v>
      </x:c>
      <x:c r="U163" s="48" t="n">
        <x:f>F163+Inputs!$C$17/2</x:f>
        <x:v>881.9772602878156</x:v>
      </x:c>
      <x:c r="V163" s="48" t="n">
        <x:f>ABS(P163)</x:f>
        <x:v>154.291290056187</x:v>
      </x:c>
      <x:c r="W163" s="48" t="n">
        <x:f>ABS(Q163)</x:f>
        <x:v>23.166860368796847</x:v>
      </x:c>
      <x:c r="X163" s="48" t="n">
        <x: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(0.45*SIN(2*PI()*(((A163)/Inputs!$C$49)+Inputs!$C$47*0.137))+0.35*COS(2*PI()*(((0)/Inputs!$C$50)+Inputs!$C$47*0.173))+0.20*SIN(2*PI()*(((A163)+(0))/(0.5*(Inputs!$C$49+Inputs!$C$50))+Inputs!$C$47*0.097)))+0.30*(2*((SIN(((A163)*12.9898+(0)*78.233+Inputs!$C$47*37.719))*43758.5453)-INT((SIN(((A163)*12.9898+(0)*78.233+Inputs!$C$47*37.719))*43758.5453)))-1)))</x:f>
        <x:v>77.08298836787891</x:v>
      </x:c>
      <x:c r="Y163" s="48" t="n">
        <x: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(0.45*SIN(2*PI()*(((A163)/Inputs!$C$49)+Inputs!$C$47*0.137))+0.35*COS(2*PI()*(((Inputs!$C$6)/Inputs!$C$50)+Inputs!$C$47*0.173))+0.20*SIN(2*PI()*(((A163)+(Inputs!$C$6))/(0.5*(Inputs!$C$49+Inputs!$C$50))+Inputs!$C$47*0.097)))+0.30*(2*((SIN(((A163)*12.9898+(Inputs!$C$6)*78.233+Inputs!$C$47*37.719))*43758.5453)-INT((SIN(((A163)*12.9898+(Inputs!$C$6)*78.233+Inputs!$C$47*37.719))*43758.5453)))-1)))</x:f>
        <x:v>441.7637232897853</x:v>
      </x:c>
      <x:c r="Z163" s="48" t="n">
        <x:f>B163-X163/1000</x:f>
        <x:v>400.3898614560766</x:v>
      </x:c>
      <x:c r="AA163" s="48" t="n">
        <x:f>SQRT(A163^2+Inputs!$C$6^2+(B163-Y163/1000)^2)</x:f>
        <x:v>401.32953443646835</x:v>
      </x:c>
      <x:c r="AB163" s="48" t="n">
        <x:f>(AA163-Z163)*1000</x:f>
        <x:v>939.6729803917765</x:v>
      </x:c>
      <x:c r="AC163" s="48" t="n">
        <x:f>AB163/Inputs!$C$12</x:f>
        <x:v>527.906168759425</x:v>
      </x:c>
      <x:c r="AD163" s="48" t="n">
        <x:f>2*AB163/Inputs!$C$21*1000000</x:f>
        <x:v>6.268823349730676</x:v>
      </x:c>
      <x:c r="AE163" s="48" t="n">
        <x:f>DEGREES(ATAN(H163/(B163-Y163/1000)))</x:f>
        <x:v>4.6206434100408424</x:v>
      </x:c>
      <x:c r="AF163" s="48" t="n">
        <x:f>DEGREES((2*PI()/Inputs!$C$13)*Inputs!$C$15*SIN(RADIANS(AE163)))</x:f>
        <x:v>29.000899452312968</x:v>
      </x:c>
      <x:c r="AG163" s="48" t="n">
        <x:f>(Z163/AA163)^4</x:f>
        <x:v>0.9906672415264018</x:v>
      </x:c>
      <x:c r="AH163" s="48" t="n">
        <x:f>10*LOG10(AG163)</x:f>
        <x:v>-0.040721976206889304</x:v>
      </x:c>
      <x:c r="AI163" s="48" t="n">
        <x:f>AC163-F163</x:f>
        <x:v>-204.07109152839064</x:v>
      </x:c>
      <x:c r="AJ163" s="48" t="n">
        <x:f>AD163-G163</x:f>
        <x:v>-2.4233200884629014</x:v>
      </x:c>
      <x:c r="AK163" s="48" t="n">
        <x:f>Y163-X163</x:f>
        <x:v>364.6807349219064</x:v>
      </x:c>
      <x:c r="AL163" s="48" t="n">
        <x:f>1000*(AA164-AA162)/(A164-A162)*Inputs!$C$11</x:f>
        <x:v>377.00910525882136</x:v>
      </x:c>
      <x:c r="AM163" s="48" t="n">
        <x:f>-2*AL163/Inputs!$C$13</x:f>
        <x:v>-150.80364210352855</x:v>
      </x:c>
      <x:c r="AN163" s="48" t="n">
        <x:f>-2*AL163/Inputs!$C$14</x:f>
        <x:v>-22.643189505034318</x:v>
      </x:c>
      <x:c r="AO163" s="48" t="n">
        <x:f>ABS(AM163)</x:f>
        <x:v>150.80364210352855</x:v>
      </x:c>
      <x:c r="AP163" s="48" t="n">
        <x:f>ABS(AN163)</x:f>
        <x:v>22.643189505034318</x:v>
      </x:c>
      <x:c r="AQ163" s="48" t="n">
        <x:f>IF(OR(Inputs!$C$27=TRUE,Inputs!$C$27="TRUE",Inputs!$C$27=1),Inputs!$C$46/Inputs!$C$12,0)</x:f>
        <x:v>42.13483146067416</x:v>
      </x:c>
      <x:c r="AR163" s="48" t="n">
        <x:f>AC163-AQ163</x:f>
        <x:v>485.77133729875084</x:v>
      </x:c>
      <x:c r="AS163" s="48" t="n">
        <x:f>AC163+AQ163</x:f>
        <x:v>570.0410002200991</x:v>
      </x:c>
    </x:row>
    <x:row r="164">
      <x:c r="A164" s="48" t="n">
        <x:f>Inputs!$C$7+162*(Inputs!$C$8-Inputs!$C$7)/240</x:f>
        <x:v>21</x:v>
      </x:c>
      <x:c r="B164" s="48" t="n">
        <x:f>Inputs!$C$5+Inputs!$C$9*(A164/Inputs!$C$10)^2</x:f>
        <x:v>400.49</x:v>
      </x:c>
      <x:c r="C164" s="48" t="n">
        <x:f>B164</x:f>
        <x:v>400.49</x:v>
      </x:c>
      <x:c r="D164" s="48" t="n">
        <x:f>SQRT(A164^2+Inputs!$C$6^2+B164^2)</x:f>
        <x:v>401.81866569386744</x:v>
      </x:c>
      <x:c r="E164" s="48" t="n">
        <x:f>(D164-C164)*1000</x:f>
        <x:v>1328.6656938674355</x:v>
      </x:c>
      <x:c r="F164" s="48" t="n">
        <x:f>E164/Inputs!$C$12</x:f>
        <x:v>746.441401049121</x:v>
      </x:c>
      <x:c r="G164" s="48" t="n">
        <x:f>2*E164/Inputs!$C$21*1000000</x:f>
        <x:v>8.86390339991432</x:v>
      </x:c>
      <x:c r="H164" s="48" t="n">
        <x:f>SQRT(A164^2+Inputs!$C$6^2)</x:f>
        <x:v>32.64965543462902</x:v>
      </x:c>
      <x:c r="I164" s="48" t="n">
        <x:f>DEGREES(ATAN(H164/B164))</x:f>
        <x:v>4.660689610438978</x:v>
      </x:c>
      <x:c r="J164" s="48" t="n">
        <x:f>DEGREES((2*PI()/Inputs!$C$13)*Inputs!$C$15*SIN(RADIANS(I164)))</x:f>
        <x:v>29.251692268127087</x:v>
      </x:c>
      <x:c r="K164" s="48" t="n">
        <x:f>(C164/D164)^4</x:f>
        <x:v>0.9868389379275482</x:v>
      </x:c>
      <x:c r="L164" s="48" t="n">
        <x:f>10*LOG10(K164)</x:f>
        <x:v>-0.057537227884575506</x:v>
      </x:c>
      <x:c r="M164" s="48" t="n">
        <x:f>2*(Inputs!$C$9/(Inputs!$C$10^2))*A164</x:f>
        <x:v>0.04666666666666667</x:v>
      </x:c>
      <x:c r="N164" s="48" t="n">
        <x:f>M164*Inputs!$C$11</x:f>
        <x:v>0.18666666666666668</x:v>
      </x:c>
      <x:c r="O164" s="48" t="n">
        <x:f>1000*((A164*Inputs!$C$11)+(B164*N164))/D164</x:f>
        <x:v>395.09895106337837</x:v>
      </x:c>
      <x:c r="P164" s="48" t="n">
        <x:f>-2*O164/Inputs!$C$13</x:f>
        <x:v>-158.03958042535135</x:v>
      </x:c>
      <x:c r="Q164" s="48" t="n">
        <x:f>-2*O164/Inputs!$C$14</x:f>
        <x:v>-23.729666730533236</x:v>
      </x:c>
      <x:c r="R164" s="48" t="n">
        <x:f>F164-Inputs!$C$16/2</x:f>
        <x:v>731.441401049121</x:v>
      </x:c>
      <x:c r="S164" s="48" t="n">
        <x:f>F164+Inputs!$C$16/2</x:f>
        <x:v>761.441401049121</x:v>
      </x:c>
      <x:c r="T164" s="48" t="n">
        <x:f>F164-Inputs!$C$17/2</x:f>
        <x:v>596.441401049121</x:v>
      </x:c>
      <x:c r="U164" s="48" t="n">
        <x:f>F164+Inputs!$C$17/2</x:f>
        <x:v>896.441401049121</x:v>
      </x:c>
      <x:c r="V164" s="48" t="n">
        <x:f>ABS(P164)</x:f>
        <x:v>158.03958042535135</x:v>
      </x:c>
      <x:c r="W164" s="48" t="n">
        <x:f>ABS(Q164)</x:f>
        <x:v>23.729666730533236</x:v>
      </x:c>
      <x:c r="X164" s="48" t="n">
        <x: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(0.45*SIN(2*PI()*(((A164)/Inputs!$C$49)+Inputs!$C$47*0.137))+0.35*COS(2*PI()*(((0)/Inputs!$C$50)+Inputs!$C$47*0.173))+0.20*SIN(2*PI()*(((A164)+(0))/(0.5*(Inputs!$C$49+Inputs!$C$50))+Inputs!$C$47*0.097)))+0.30*(2*((SIN(((A164)*12.9898+(0)*78.233+Inputs!$C$47*37.719))*43758.5453)-INT((SIN(((A164)*12.9898+(0)*78.233+Inputs!$C$47*37.719))*43758.5453)))-1)))</x:f>
        <x:v>84.6060805836893</x:v>
      </x:c>
      <x:c r="Y164" s="48" t="n">
        <x: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(0.45*SIN(2*PI()*(((A164)/Inputs!$C$49)+Inputs!$C$47*0.137))+0.35*COS(2*PI()*(((Inputs!$C$6)/Inputs!$C$50)+Inputs!$C$47*0.173))+0.20*SIN(2*PI()*(((A164)+(Inputs!$C$6))/(0.5*(Inputs!$C$49+Inputs!$C$50))+Inputs!$C$47*0.097)))+0.30*(2*((SIN(((A164)*12.9898+(Inputs!$C$6)*78.233+Inputs!$C$47*37.719))*43758.5453)-INT((SIN(((A164)*12.9898+(Inputs!$C$6)*78.233+Inputs!$C$47*37.719))*43758.5453)))-1)))</x:f>
        <x:v>441.2537143317768</x:v>
      </x:c>
      <x:c r="Z164" s="48" t="n">
        <x:f>B164-X164/1000</x:f>
        <x:v>400.4053939194163</x:v>
      </x:c>
      <x:c r="AA164" s="48" t="n">
        <x:f>SQRT(A164^2+Inputs!$C$6^2+(B164-Y164/1000)^2)</x:f>
        <x:v>401.37887264370926</x:v>
      </x:c>
      <x:c r="AB164" s="48" t="n">
        <x:f>(AA164-Z164)*1000</x:f>
        <x:v>973.4787242929315</x:v>
      </x:c>
      <x:c r="AC164" s="48" t="n">
        <x:f>AB164/Inputs!$C$12</x:f>
        <x:v>546.8981597151301</x:v>
      </x:c>
      <x:c r="AD164" s="48" t="n">
        <x:f>2*AB164/Inputs!$C$21*1000000</x:f>
        <x:v>6.4943509972684605</x:v>
      </x:c>
      <x:c r="AE164" s="48" t="n">
        <x:f>DEGREES(ATAN(H164/(B164-Y164/1000)))</x:f>
        <x:v>4.665807665967855</x:v>
      </x:c>
      <x:c r="AF164" s="48" t="n">
        <x:f>DEGREES((2*PI()/Inputs!$C$13)*Inputs!$C$15*SIN(RADIANS(AE164)))</x:f>
        <x:v>29.283743509090908</x:v>
      </x:c>
      <x:c r="AG164" s="48" t="n">
        <x:f>(Z164/AA164)^4</x:f>
        <x:v>0.9903338915589117</x:v>
      </x:c>
      <x:c r="AH164" s="48" t="n">
        <x:f>10*LOG10(AG164)</x:f>
        <x:v>-0.0421835811537231</x:v>
      </x:c>
      <x:c r="AI164" s="48" t="n">
        <x:f>AC164-F164</x:f>
        <x:v>-199.54324133399098</x:v>
      </x:c>
      <x:c r="AJ164" s="48" t="n">
        <x:f>AD164-G164</x:f>
        <x:v>-2.3695524026458603</x:v>
      </x:c>
      <x:c r="AK164" s="48" t="n">
        <x:f>Y164-X164</x:f>
        <x:v>356.6476337480875</x:v>
      </x:c>
      <x:c r="AL164" s="48" t="n">
        <x:f>1000*(AA165-AA163)/(A165-A163)*Inputs!$C$11</x:f>
        <x:v>385.8557665682838</x:v>
      </x:c>
      <x:c r="AM164" s="48" t="n">
        <x:f>-2*AL164/Inputs!$C$13</x:f>
        <x:v>-154.34230662731352</x:v>
      </x:c>
      <x:c r="AN164" s="48" t="n">
        <x:f>-2*AL164/Inputs!$C$14</x:f>
        <x:v>-23.17452051461164</x:v>
      </x:c>
      <x:c r="AO164" s="48" t="n">
        <x:f>ABS(AM164)</x:f>
        <x:v>154.34230662731352</x:v>
      </x:c>
      <x:c r="AP164" s="48" t="n">
        <x:f>ABS(AN164)</x:f>
        <x:v>23.17452051461164</x:v>
      </x:c>
      <x:c r="AQ164" s="48" t="n">
        <x:f>IF(OR(Inputs!$C$27=TRUE,Inputs!$C$27="TRUE",Inputs!$C$27=1),Inputs!$C$46/Inputs!$C$12,0)</x:f>
        <x:v>42.13483146067416</x:v>
      </x:c>
      <x:c r="AR164" s="48" t="n">
        <x:f>AC164-AQ164</x:f>
        <x:v>504.7633282544559</x:v>
      </x:c>
      <x:c r="AS164" s="48" t="n">
        <x:f>AC164+AQ164</x:f>
        <x:v>589.0329911758042</x:v>
      </x:c>
    </x:row>
    <x:row r="165">
      <x:c r="A165" s="48" t="n">
        <x:f>Inputs!$C$7+163*(Inputs!$C$8-Inputs!$C$7)/240</x:f>
        <x:v>21.5</x:v>
      </x:c>
      <x:c r="B165" s="48" t="n">
        <x:f>Inputs!$C$5+Inputs!$C$9*(A165/Inputs!$C$10)^2</x:f>
        <x:v>400.5136111111111</x:v>
      </x:c>
      <x:c r="C165" s="48" t="n">
        <x:f>B165</x:f>
        <x:v>400.5136111111111</x:v>
      </x:c>
      <x:c r="D165" s="48" t="n">
        <x:f>SQRT(A165^2+Inputs!$C$6^2+B165^2)</x:f>
        <x:v>401.868638593835</x:v>
      </x:c>
      <x:c r="E165" s="48" t="n">
        <x:f>(D165-C165)*1000</x:f>
        <x:v>1355.0274827238695</x:v>
      </x:c>
      <x:c r="F165" s="48" t="n">
        <x:f>E165/Inputs!$C$12</x:f>
        <x:v>761.2513947886907</x:v>
      </x:c>
      <x:c r="G165" s="48" t="n">
        <x:f>2*E165/Inputs!$C$21*1000000</x:f>
        <x:v>9.039770324868343</x:v>
      </x:c>
      <x:c r="H165" s="48" t="n">
        <x:f>SQRT(A165^2+Inputs!$C$6^2)</x:f>
        <x:v>32.973474187595095</x:v>
      </x:c>
      <x:c r="I165" s="48" t="n">
        <x:f>DEGREES(ATAN(H165/B165))</x:f>
        <x:v>4.7064313676414065</x:v>
      </x:c>
      <x:c r="J165" s="48" t="n">
        <x:f>DEGREES((2*PI()/Inputs!$C$13)*Inputs!$C$15*SIN(RADIANS(I165)))</x:f>
        <x:v>29.538136514134884</x:v>
      </x:c>
      <x:c r="K165" s="48" t="n">
        <x:f>(C165/D165)^4</x:f>
        <x:v>0.9865807939326916</x:v>
      </x:c>
      <x:c r="L165" s="48" t="n">
        <x:f>10*LOG10(K165)</x:f>
        <x:v>-0.0586734333388145</x:v>
      </x:c>
      <x:c r="M165" s="48" t="n">
        <x:f>2*(Inputs!$C$9/(Inputs!$C$10^2))*A165</x:f>
        <x:v>0.04777777777777778</x:v>
      </x:c>
      <x:c r="N165" s="48" t="n">
        <x:f>M165*Inputs!$C$11</x:f>
        <x:v>0.19111111111111112</x:v>
      </x:c>
      <x:c r="O165" s="48" t="n">
        <x:f>1000*((A165*Inputs!$C$11)+(B165*N165))/D165</x:f>
        <x:v>404.4669964874971</x:v>
      </x:c>
      <x:c r="P165" s="48" t="n">
        <x:f>-2*O165/Inputs!$C$13</x:f>
        <x:v>-161.78679859499886</x:v>
      </x:c>
      <x:c r="Q165" s="48" t="n">
        <x:f>-2*O165/Inputs!$C$14</x:f>
        <x:v>-24.29231210135118</x:v>
      </x:c>
      <x:c r="R165" s="48" t="n">
        <x:f>F165-Inputs!$C$16/2</x:f>
        <x:v>746.2513947886907</x:v>
      </x:c>
      <x:c r="S165" s="48" t="n">
        <x:f>F165+Inputs!$C$16/2</x:f>
        <x:v>776.2513947886907</x:v>
      </x:c>
      <x:c r="T165" s="48" t="n">
        <x:f>F165-Inputs!$C$17/2</x:f>
        <x:v>611.2513947886907</x:v>
      </x:c>
      <x:c r="U165" s="48" t="n">
        <x:f>F165+Inputs!$C$17/2</x:f>
        <x:v>911.2513947886907</x:v>
      </x:c>
      <x:c r="V165" s="48" t="n">
        <x:f>ABS(P165)</x:f>
        <x:v>161.78679859499886</x:v>
      </x:c>
      <x:c r="W165" s="48" t="n">
        <x:f>ABS(Q165)</x:f>
        <x:v>24.29231210135118</x:v>
      </x:c>
      <x:c r="X165" s="48" t="n">
        <x: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(0.45*SIN(2*PI()*(((A165)/Inputs!$C$49)+Inputs!$C$47*0.137))+0.35*COS(2*PI()*(((0)/Inputs!$C$50)+Inputs!$C$47*0.173))+0.20*SIN(2*PI()*(((A165)+(0))/(0.5*(Inputs!$C$49+Inputs!$C$50))+Inputs!$C$47*0.097)))+0.30*(2*((SIN(((A165)*12.9898+(0)*78.233+Inputs!$C$47*37.719))*43758.5453)-INT((SIN(((A165)*12.9898+(0)*78.233+Inputs!$C$47*37.719))*43758.5453)))-1)))</x:f>
        <x:v>83.65167434978589</x:v>
      </x:c>
      <x:c r="Y165" s="48" t="n">
        <x: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(0.45*SIN(2*PI()*(((A165)/Inputs!$C$49)+Inputs!$C$47*0.137))+0.35*COS(2*PI()*(((Inputs!$C$6)/Inputs!$C$50)+Inputs!$C$47*0.173))+0.20*SIN(2*PI()*(((A165)+(Inputs!$C$6))/(0.5*(Inputs!$C$49+Inputs!$C$50))+Inputs!$C$47*0.097)))+0.30*(2*((SIN(((A165)*12.9898+(Inputs!$C$6)*78.233+Inputs!$C$47*37.719))*43758.5453)-INT((SIN(((A165)*12.9898+(Inputs!$C$6)*78.233+Inputs!$C$47*37.719))*43758.5453)))-1)))</x:f>
        <x:v>444.1394266764314</x:v>
      </x:c>
      <x:c r="Z165" s="48" t="n">
        <x:f>B165-X165/1000</x:f>
        <x:v>400.42995943676135</x:v>
      </x:c>
      <x:c r="AA165" s="48" t="n">
        <x:f>SQRT(A165^2+Inputs!$C$6^2+(B165-Y165/1000)^2)</x:f>
        <x:v>401.4259983781104</x:v>
      </x:c>
      <x:c r="AB165" s="48" t="n">
        <x:f>(AA165-Z165)*1000</x:f>
        <x:v>996.0389413490702</x:v>
      </x:c>
      <x:c r="AC165" s="48" t="n">
        <x:f>AB165/Inputs!$C$12</x:f>
        <x:v>559.5724389601518</x:v>
      </x:c>
      <x:c r="AD165" s="48" t="n">
        <x:f>2*AB165/Inputs!$C$21*1000000</x:f>
        <x:v>6.644856565064557</x:v>
      </x:c>
      <x:c r="AE165" s="48" t="n">
        <x:f>DEGREES(ATAN(H165/(B165-Y165/1000)))</x:f>
        <x:v>4.711632729360009</x:v>
      </x:c>
      <x:c r="AF165" s="48" t="n">
        <x:f>DEGREES((2*PI()/Inputs!$C$13)*Inputs!$C$15*SIN(RADIANS(AE165)))</x:f>
        <x:v>29.57070731715101</x:v>
      </x:c>
      <x:c r="AG165" s="48" t="n">
        <x:f>(Z165/AA165)^4</x:f>
        <x:v>0.9901118717890575</x:v>
      </x:c>
      <x:c r="AH165" s="48" t="n">
        <x:f>10*LOG10(AG165)</x:f>
        <x:v>-0.043157321138019095</x:v>
      </x:c>
      <x:c r="AI165" s="48" t="n">
        <x:f>AC165-F165</x:f>
        <x:v>-201.67895582853896</x:v>
      </x:c>
      <x:c r="AJ165" s="48" t="n">
        <x:f>AD165-G165</x:f>
        <x:v>-2.394913759803786</x:v>
      </x:c>
      <x:c r="AK165" s="48" t="n">
        <x:f>Y165-X165</x:f>
        <x:v>360.48775232664553</x:v>
      </x:c>
      <x:c r="AL165" s="48" t="n">
        <x:f>1000*(AA166-AA164)/(A166-A164)*Inputs!$C$11</x:f>
        <x:v>378.6865579438654</x:v>
      </x:c>
      <x:c r="AM165" s="48" t="n">
        <x:f>-2*AL165/Inputs!$C$13</x:f>
        <x:v>-151.47462317754616</x:v>
      </x:c>
      <x:c r="AN165" s="48" t="n">
        <x:f>-2*AL165/Inputs!$C$14</x:f>
        <x:v>-22.743937414045973</x:v>
      </x:c>
      <x:c r="AO165" s="48" t="n">
        <x:f>ABS(AM165)</x:f>
        <x:v>151.47462317754616</x:v>
      </x:c>
      <x:c r="AP165" s="48" t="n">
        <x:f>ABS(AN165)</x:f>
        <x:v>22.743937414045973</x:v>
      </x:c>
      <x:c r="AQ165" s="48" t="n">
        <x:f>IF(OR(Inputs!$C$27=TRUE,Inputs!$C$27="TRUE",Inputs!$C$27=1),Inputs!$C$46/Inputs!$C$12,0)</x:f>
        <x:v>42.13483146067416</x:v>
      </x:c>
      <x:c r="AR165" s="48" t="n">
        <x:f>AC165-AQ165</x:f>
        <x:v>517.4376074994776</x:v>
      </x:c>
      <x:c r="AS165" s="48" t="n">
        <x:f>AC165+AQ165</x:f>
        <x:v>601.7072704208259</x:v>
      </x:c>
    </x:row>
    <x:row r="166">
      <x:c r="A166" s="48" t="n">
        <x:f>Inputs!$C$7+164*(Inputs!$C$8-Inputs!$C$7)/240</x:f>
        <x:v>22</x:v>
      </x:c>
      <x:c r="B166" s="48" t="n">
        <x:f>Inputs!$C$5+Inputs!$C$9*(A166/Inputs!$C$10)^2</x:f>
        <x:v>400.53777777777776</x:v>
      </x:c>
      <x:c r="C166" s="48" t="n">
        <x:f>B166</x:f>
        <x:v>400.53777777777776</x:v>
      </x:c>
      <x:c r="D166" s="48" t="n">
        <x:f>SQRT(A166^2+Inputs!$C$6^2+B166^2)</x:f>
        <x:v>401.91978232871355</x:v>
      </x:c>
      <x:c r="E166" s="48" t="n">
        <x:f>(D166-C166)*1000</x:f>
        <x:v>1382.0045509357897</x:v>
      </x:c>
      <x:c r="F166" s="48" t="n">
        <x:f>E166/Inputs!$C$12</x:f>
        <x:v>776.4070510875223</x:v>
      </x:c>
      <x:c r="G166" s="48" t="n">
        <x:f>2*E166/Inputs!$C$21*1000000</x:f>
        <x:v>9.219741951852502</x:v>
      </x:c>
      <x:c r="H166" s="48" t="n">
        <x:f>SQRT(A166^2+Inputs!$C$6^2)</x:f>
        <x:v>33.301651610693426</x:v>
      </x:c>
      <x:c r="I166" s="48" t="n">
        <x:f>DEGREES(ATAN(H166/B166))</x:f>
        <x:v>4.752774375241167</x:v>
      </x:c>
      <x:c r="J166" s="48" t="n">
        <x:f>DEGREES((2*PI()/Inputs!$C$13)*Inputs!$C$15*SIN(RADIANS(I166)))</x:f>
        <x:v>29.828326713325737</x:v>
      </x:c>
      <x:c r="K166" s="48" t="n">
        <x:f>(C166/D166)^4</x:f>
        <x:v>0.9863167439290446</x:v>
      </x:c>
      <x:c r="L166" s="48" t="n">
        <x:f>10*LOG10(K166)</x:f>
        <x:v>-0.059835941355722996</x:v>
      </x:c>
      <x:c r="M166" s="48" t="n">
        <x:f>2*(Inputs!$C$9/(Inputs!$C$10^2))*A166</x:f>
        <x:v>0.04888888888888889</x:v>
      </x:c>
      <x:c r="N166" s="48" t="n">
        <x:f>M166*Inputs!$C$11</x:f>
        <x:v>0.19555555555555557</x:v>
      </x:c>
      <x:c r="O166" s="48" t="n">
        <x:f>1000*((A166*Inputs!$C$11)+(B166*N166))/D166</x:f>
        <x:v>413.83229929769595</x:v>
      </x:c>
      <x:c r="P166" s="48" t="n">
        <x:f>-2*O166/Inputs!$C$13</x:f>
        <x:v>-165.5329197190784</x:v>
      </x:c>
      <x:c r="Q166" s="48" t="n">
        <x:f>-2*O166/Inputs!$C$14</x:f>
        <x:v>-24.854792750612372</x:v>
      </x:c>
      <x:c r="R166" s="48" t="n">
        <x:f>F166-Inputs!$C$16/2</x:f>
        <x:v>761.4070510875223</x:v>
      </x:c>
      <x:c r="S166" s="48" t="n">
        <x:f>F166+Inputs!$C$16/2</x:f>
        <x:v>791.4070510875223</x:v>
      </x:c>
      <x:c r="T166" s="48" t="n">
        <x:f>F166-Inputs!$C$17/2</x:f>
        <x:v>626.4070510875223</x:v>
      </x:c>
      <x:c r="U166" s="48" t="n">
        <x:f>F166+Inputs!$C$17/2</x:f>
        <x:v>926.4070510875223</x:v>
      </x:c>
      <x:c r="V166" s="48" t="n">
        <x:f>ABS(P166)</x:f>
        <x:v>165.5329197190784</x:v>
      </x:c>
      <x:c r="W166" s="48" t="n">
        <x:f>ABS(Q166)</x:f>
        <x:v>24.854792750612372</x:v>
      </x:c>
      <x:c r="X166" s="48" t="n">
        <x: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(0.45*SIN(2*PI()*(((A166)/Inputs!$C$49)+Inputs!$C$47*0.137))+0.35*COS(2*PI()*(((0)/Inputs!$C$50)+Inputs!$C$47*0.173))+0.20*SIN(2*PI()*(((A166)+(0))/(0.5*(Inputs!$C$49+Inputs!$C$50))+Inputs!$C$47*0.097)))+0.30*(2*((SIN(((A166)*12.9898+(0)*78.233+Inputs!$C$47*37.719))*43758.5453)-INT((SIN(((A166)*12.9898+(0)*78.233+Inputs!$C$47*37.719))*43758.5453)))-1)))</x:f>
        <x:v>73.36589826371042</x:v>
      </x:c>
      <x:c r="Y166" s="48" t="n">
        <x: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(0.45*SIN(2*PI()*(((A166)/Inputs!$C$49)+Inputs!$C$47*0.137))+0.35*COS(2*PI()*(((Inputs!$C$6)/Inputs!$C$50)+Inputs!$C$47*0.173))+0.20*SIN(2*PI()*(((A166)+(Inputs!$C$6))/(0.5*(Inputs!$C$49+Inputs!$C$50))+Inputs!$C$47*0.097)))+0.30*(2*((SIN(((A166)*12.9898+(Inputs!$C$6)*78.233+Inputs!$C$47*37.719))*43758.5453)-INT((SIN(((A166)*12.9898+(Inputs!$C$6)*78.233+Inputs!$C$47*37.719))*43758.5453)))-1)))</x:f>
        <x:v>447.7794532624074</x:v>
      </x:c>
      <x:c r="Z166" s="48" t="n">
        <x:f>B166-X166/1000</x:f>
        <x:v>400.46441187951405</x:v>
      </x:c>
      <x:c r="AA166" s="48" t="n">
        <x:f>SQRT(A166^2+Inputs!$C$6^2+(B166-Y166/1000)^2)</x:f>
        <x:v>401.4735442831952</x:v>
      </x:c>
      <x:c r="AB166" s="48" t="n">
        <x:f>(AA166-Z166)*1000</x:f>
        <x:v>1009.1324036811784</x:v>
      </x:c>
      <x:c r="AC166" s="48" t="n">
        <x:f>AB166/Inputs!$C$12</x:f>
        <x:v>566.9283166748194</x:v>
      </x:c>
      <x:c r="AD166" s="48" t="n">
        <x:f>2*AB166/Inputs!$C$21*1000000</x:f>
        <x:v>6.732206743380972</x:v>
      </x:c>
      <x:c r="AE166" s="48" t="n">
        <x:f>DEGREES(ATAN(H166/(B166-Y166/1000)))</x:f>
        <x:v>4.758069256841949</x:v>
      </x:c>
      <x:c r="AF166" s="48" t="n">
        <x:f>DEGREES((2*PI()/Inputs!$C$13)*Inputs!$C$15*SIN(RADIANS(AE166)))</x:f>
        <x:v>29.861480913404854</x:v>
      </x:c>
      <x:c r="AG166" s="48" t="n">
        <x:f>(Z166/AA166)^4</x:f>
        <x:v>0.9899835593127975</x:v>
      </x:c>
      <x:c r="AH166" s="48" t="n">
        <x:f>10*LOG10(AG166)</x:f>
        <x:v>-0.0437201768428681</x:v>
      </x:c>
      <x:c r="AI166" s="48" t="n">
        <x:f>AC166-F166</x:f>
        <x:v>-209.47873441270292</x:v>
      </x:c>
      <x:c r="AJ166" s="48" t="n">
        <x:f>AD166-G166</x:f>
        <x:v>-2.48753520847153</x:v>
      </x:c>
      <x:c r="AK166" s="48" t="n">
        <x:f>Y166-X166</x:f>
        <x:v>374.413554998697</x:v>
      </x:c>
      <x:c r="AL166" s="48" t="n">
        <x:f>1000*(AA167-AA165)/(A167-A165)*Inputs!$C$11</x:f>
        <x:v>420.56943053307805</x:v>
      </x:c>
      <x:c r="AM166" s="48" t="n">
        <x:f>-2*AL166/Inputs!$C$13</x:f>
        <x:v>-168.22777221323122</x:v>
      </x:c>
      <x:c r="AN166" s="48" t="n">
        <x:f>-2*AL166/Inputs!$C$14</x:f>
        <x:v>-25.259425257241926</x:v>
      </x:c>
      <x:c r="AO166" s="48" t="n">
        <x:f>ABS(AM166)</x:f>
        <x:v>168.22777221323122</x:v>
      </x:c>
      <x:c r="AP166" s="48" t="n">
        <x:f>ABS(AN166)</x:f>
        <x:v>25.259425257241926</x:v>
      </x:c>
      <x:c r="AQ166" s="48" t="n">
        <x:f>IF(OR(Inputs!$C$27=TRUE,Inputs!$C$27="TRUE",Inputs!$C$27=1),Inputs!$C$46/Inputs!$C$12,0)</x:f>
        <x:v>42.13483146067416</x:v>
      </x:c>
      <x:c r="AR166" s="48" t="n">
        <x:f>AC166-AQ166</x:f>
        <x:v>524.7934852141452</x:v>
      </x:c>
      <x:c r="AS166" s="48" t="n">
        <x:f>AC166+AQ166</x:f>
        <x:v>609.0631481354935</x:v>
      </x:c>
    </x:row>
    <x:row r="167">
      <x:c r="A167" s="48" t="n">
        <x:f>Inputs!$C$7+165*(Inputs!$C$8-Inputs!$C$7)/240</x:f>
        <x:v>22.5</x:v>
      </x:c>
      <x:c r="B167" s="48" t="n">
        <x:f>Inputs!$C$5+Inputs!$C$9*(A167/Inputs!$C$10)^2</x:f>
        <x:v>400.5625</x:v>
      </x:c>
      <x:c r="C167" s="48" t="n">
        <x:f>B167</x:f>
        <x:v>400.5625</x:v>
      </x:c>
      <x:c r="D167" s="48" t="n">
        <x:f>SQRT(A167^2+Inputs!$C$6^2+B167^2)</x:f>
        <x:v>401.97209655180046</x:v>
      </x:c>
      <x:c r="E167" s="48" t="n">
        <x:f>(D167-C167)*1000</x:f>
        <x:v>1409.5965518004618</x:v>
      </x:c>
      <x:c r="F167" s="48" t="n">
        <x:f>E167/Inputs!$C$12</x:f>
        <x:v>791.9081751687987</x:v>
      </x:c>
      <x:c r="G167" s="48" t="n">
        <x:f>2*E167/Inputs!$C$21*1000000</x:f>
        <x:v>9.403815967915122</x:v>
      </x:c>
      <x:c r="H167" s="48" t="n">
        <x:f>SQRT(A167^2+Inputs!$C$6^2)</x:f>
        <x:v>33.63406011768428</x:v>
      </x:c>
      <x:c r="I167" s="48" t="n">
        <x:f>DEGREES(ATAN(H167/B167))</x:f>
        <x:v>4.799699905357918</x:v>
      </x:c>
      <x:c r="J167" s="48" t="n">
        <x:f>DEGREES((2*PI()/Inputs!$C$13)*Inputs!$C$15*SIN(RADIANS(I167)))</x:f>
        <x:v>30.122144661864603</x:v>
      </x:c>
      <x:c r="K167" s="48" t="n">
        <x:f>(C167/D167)^4</x:f>
        <x:v>0.9860467994790504</x:v>
      </x:c>
      <x:c r="L167" s="48" t="n">
        <x:f>10*LOG10(K167)</x:f>
        <x:v>-0.0610247220566916</x:v>
      </x:c>
      <x:c r="M167" s="48" t="n">
        <x:f>2*(Inputs!$C$9/(Inputs!$C$10^2))*A167</x:f>
        <x:v>0.05</x:v>
      </x:c>
      <x:c r="N167" s="48" t="n">
        <x:f>M167*Inputs!$C$11</x:f>
        <x:v>0.2</x:v>
      </x:c>
      <x:c r="O167" s="48" t="n">
        <x:f>1000*((A167*Inputs!$C$11)+(B167*N167))/D167</x:f>
        <x:v>423.1947974977868</x:v>
      </x:c>
      <x:c r="P167" s="48" t="n">
        <x:f>-2*O167/Inputs!$C$13</x:f>
        <x:v>-169.27791899911472</x:v>
      </x:c>
      <x:c r="Q167" s="48" t="n">
        <x:f>-2*O167/Inputs!$C$14</x:f>
        <x:v>-25.417104954822033</x:v>
      </x:c>
      <x:c r="R167" s="48" t="n">
        <x:f>F167-Inputs!$C$16/2</x:f>
        <x:v>776.9081751687987</x:v>
      </x:c>
      <x:c r="S167" s="48" t="n">
        <x:f>F167+Inputs!$C$16/2</x:f>
        <x:v>806.9081751687987</x:v>
      </x:c>
      <x:c r="T167" s="48" t="n">
        <x:f>F167-Inputs!$C$17/2</x:f>
        <x:v>641.9081751687987</x:v>
      </x:c>
      <x:c r="U167" s="48" t="n">
        <x:f>F167+Inputs!$C$17/2</x:f>
        <x:v>941.9081751687987</x:v>
      </x:c>
      <x:c r="V167" s="48" t="n">
        <x:f>ABS(P167)</x:f>
        <x:v>169.27791899911472</x:v>
      </x:c>
      <x:c r="W167" s="48" t="n">
        <x:f>ABS(Q167)</x:f>
        <x:v>25.417104954822033</x:v>
      </x:c>
      <x:c r="X167" s="48" t="n">
        <x: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(0.45*SIN(2*PI()*(((A167)/Inputs!$C$49)+Inputs!$C$47*0.137))+0.35*COS(2*PI()*(((0)/Inputs!$C$50)+Inputs!$C$47*0.173))+0.20*SIN(2*PI()*(((A167)+(0))/(0.5*(Inputs!$C$49+Inputs!$C$50))+Inputs!$C$47*0.097)))+0.30*(2*((SIN(((A167)*12.9898+(0)*78.233+Inputs!$C$47*37.719))*43758.5453)-INT((SIN(((A167)*12.9898+(0)*78.233+Inputs!$C$47*37.719))*43758.5453)))-1)))</x:f>
        <x:v>73.86322008676284</x:v>
      </x:c>
      <x:c r="Y167" s="48" t="n">
        <x: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(0.45*SIN(2*PI()*(((A167)/Inputs!$C$49)+Inputs!$C$47*0.137))+0.35*COS(2*PI()*(((Inputs!$C$6)/Inputs!$C$50)+Inputs!$C$47*0.173))+0.20*SIN(2*PI()*(((A167)+(Inputs!$C$6))/(0.5*(Inputs!$C$49+Inputs!$C$50))+Inputs!$C$47*0.097)))+0.30*(2*((SIN(((A167)*12.9898+(Inputs!$C$6)*78.233+Inputs!$C$47*37.719))*43758.5453)-INT((SIN(((A167)*12.9898+(Inputs!$C$6)*78.233+Inputs!$C$47*37.719))*43758.5453)))-1)))</x:f>
        <x:v>442.50927153418206</x:v>
      </x:c>
      <x:c r="Z167" s="48" t="n">
        <x:f>B167-X167/1000</x:f>
        <x:v>400.48863677991324</x:v>
      </x:c>
      <x:c r="AA167" s="48" t="n">
        <x:f>SQRT(A167^2+Inputs!$C$6^2+(B167-Y167/1000)^2)</x:f>
        <x:v>401.5311407357437</x:v>
      </x:c>
      <x:c r="AB167" s="48" t="n">
        <x:f>(AA167-Z167)*1000</x:f>
        <x:v>1042.5039558304547</x:v>
      </x:c>
      <x:c r="AC167" s="48" t="n">
        <x:f>AB167/Inputs!$C$12</x:f>
        <x:v>585.6763796800308</x:v>
      </x:c>
      <x:c r="AD167" s="48" t="n">
        <x:f>2*AB167/Inputs!$C$21*1000000</x:f>
        <x:v>6.954837775341598</x:v>
      </x:c>
      <x:c r="AE167" s="48" t="n">
        <x:f>DEGREES(ATAN(H167/(B167-Y167/1000)))</x:f>
        <x:v>4.804983252708725</x:v>
      </x:c>
      <x:c r="AF167" s="48" t="n">
        <x:f>DEGREES((2*PI()/Inputs!$C$13)*Inputs!$C$15*SIN(RADIANS(AE167)))</x:f>
        <x:v>30.155224374826382</x:v>
      </x:c>
      <x:c r="AG167" s="48" t="n">
        <x:f>(Z167/AA167)^4</x:f>
        <x:v>0.9896550891317853</x:v>
      </x:c>
      <x:c r="AH167" s="48" t="n">
        <x:f>10*LOG10(AG167)</x:f>
        <x:v>-0.0451613771195401</x:v>
      </x:c>
      <x:c r="AI167" s="48" t="n">
        <x:f>AC167-F167</x:f>
        <x:v>-206.23179548876794</x:v>
      </x:c>
      <x:c r="AJ167" s="48" t="n">
        <x:f>AD167-G167</x:f>
        <x:v>-2.4489781925735237</x:v>
      </x:c>
      <x:c r="AK167" s="48" t="n">
        <x:f>Y167-X167</x:f>
        <x:v>368.6460514474192</x:v>
      </x:c>
      <x:c r="AL167" s="48" t="n">
        <x:f>1000*(AA168-AA166)/(A168-A166)*Inputs!$C$11</x:f>
        <x:v>461.905223584381</x:v>
      </x:c>
      <x:c r="AM167" s="48" t="n">
        <x:f>-2*AL167/Inputs!$C$13</x:f>
        <x:v>-184.7620894337524</x:v>
      </x:c>
      <x:c r="AN167" s="48" t="n">
        <x:f>-2*AL167/Inputs!$C$14</x:f>
        <x:v>-27.742055470533398</x:v>
      </x:c>
      <x:c r="AO167" s="48" t="n">
        <x:f>ABS(AM167)</x:f>
        <x:v>184.7620894337524</x:v>
      </x:c>
      <x:c r="AP167" s="48" t="n">
        <x:f>ABS(AN167)</x:f>
        <x:v>27.742055470533398</x:v>
      </x:c>
      <x:c r="AQ167" s="48" t="n">
        <x:f>IF(OR(Inputs!$C$27=TRUE,Inputs!$C$27="TRUE",Inputs!$C$27=1),Inputs!$C$46/Inputs!$C$12,0)</x:f>
        <x:v>42.13483146067416</x:v>
      </x:c>
      <x:c r="AR167" s="48" t="n">
        <x:f>AC167-AQ167</x:f>
        <x:v>543.5415482193566</x:v>
      </x:c>
      <x:c r="AS167" s="48" t="n">
        <x:f>AC167+AQ167</x:f>
        <x:v>627.8112111407049</x:v>
      </x:c>
    </x:row>
    <x:row r="168">
      <x:c r="A168" s="48" t="n">
        <x:f>Inputs!$C$7+166*(Inputs!$C$8-Inputs!$C$7)/240</x:f>
        <x:v>23</x:v>
      </x:c>
      <x:c r="B168" s="48" t="n">
        <x:f>Inputs!$C$5+Inputs!$C$9*(A168/Inputs!$C$10)^2</x:f>
        <x:v>400.5877777777778</x:v>
      </x:c>
      <x:c r="C168" s="48" t="n">
        <x:f>B168</x:f>
        <x:v>400.5877777777778</x:v>
      </x:c>
      <x:c r="D168" s="48" t="n">
        <x:f>SQRT(A168^2+Inputs!$C$6^2+B168^2)</x:f>
        <x:v>402.02558090865097</x:v>
      </x:c>
      <x:c r="E168" s="48" t="n">
        <x:f>(D168-C168)*1000</x:f>
        <x:v>1437.803130873192</x:v>
      </x:c>
      <x:c r="F168" s="48" t="n">
        <x:f>E168/Inputs!$C$12</x:f>
        <x:v>807.7545679062877</x:v>
      </x:c>
      <x:c r="G168" s="48" t="n">
        <x:f>2*E168/Inputs!$C$21*1000000</x:f>
        <x:v>9.59199000845573</x:v>
      </x:c>
      <x:c r="H168" s="48" t="n">
        <x:f>SQRT(A168^2+Inputs!$C$6^2)</x:f>
        <x:v>33.97057550292606</x:v>
      </x:c>
      <x:c r="I168" s="48" t="n">
        <x:f>DEGREES(ATAN(H168/B168))</x:f>
        <x:v>4.847189712205752</x:v>
      </x:c>
      <x:c r="J168" s="48" t="n">
        <x:f>DEGREES((2*PI()/Inputs!$C$13)*Inputs!$C$15*SIN(RADIANS(I168)))</x:f>
        <x:v>30.419475182182925</x:v>
      </x:c>
      <x:c r="K168" s="48" t="n">
        <x:f>(C168/D168)^4</x:f>
        <x:v>0.9857709723931932</x:v>
      </x:c>
      <x:c r="L168" s="48" t="n">
        <x:f>10*LOG10(K168)</x:f>
        <x:v>-0.062239744903501905</x:v>
      </x:c>
      <x:c r="M168" s="48" t="n">
        <x:f>2*(Inputs!$C$9/(Inputs!$C$10^2))*A168</x:f>
        <x:v>0.051111111111111114</x:v>
      </x:c>
      <x:c r="N168" s="48" t="n">
        <x:f>M168*Inputs!$C$11</x:f>
        <x:v>0.20444444444444446</x:v>
      </x:c>
      <x:c r="O168" s="48" t="n">
        <x:f>1000*((A168*Inputs!$C$11)+(B168*N168))/D168</x:f>
        <x:v>432.55442921311464</x:v>
      </x:c>
      <x:c r="P168" s="48" t="n">
        <x:f>-2*O168/Inputs!$C$13</x:f>
        <x:v>-173.02177168524585</x:v>
      </x:c>
      <x:c r="Q168" s="48" t="n">
        <x:f>-2*O168/Inputs!$C$14</x:f>
        <x:v>-25.979244997784665</x:v>
      </x:c>
      <x:c r="R168" s="48" t="n">
        <x:f>F168-Inputs!$C$16/2</x:f>
        <x:v>792.7545679062877</x:v>
      </x:c>
      <x:c r="S168" s="48" t="n">
        <x:f>F168+Inputs!$C$16/2</x:f>
        <x:v>822.7545679062877</x:v>
      </x:c>
      <x:c r="T168" s="48" t="n">
        <x:f>F168-Inputs!$C$17/2</x:f>
        <x:v>657.7545679062877</x:v>
      </x:c>
      <x:c r="U168" s="48" t="n">
        <x:f>F168+Inputs!$C$17/2</x:f>
        <x:v>957.7545679062877</x:v>
      </x:c>
      <x:c r="V168" s="48" t="n">
        <x:f>ABS(P168)</x:f>
        <x:v>173.02177168524585</x:v>
      </x:c>
      <x:c r="W168" s="48" t="n">
        <x:f>ABS(Q168)</x:f>
        <x:v>25.979244997784665</x:v>
      </x:c>
      <x:c r="X168" s="48" t="n">
        <x: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(0.45*SIN(2*PI()*(((A168)/Inputs!$C$49)+Inputs!$C$47*0.137))+0.35*COS(2*PI()*(((0)/Inputs!$C$50)+Inputs!$C$47*0.173))+0.20*SIN(2*PI()*(((A168)+(0))/(0.5*(Inputs!$C$49+Inputs!$C$50))+Inputs!$C$47*0.097)))+0.30*(2*((SIN(((A168)*12.9898+(0)*78.233+Inputs!$C$47*37.719))*43758.5453)-INT((SIN(((A168)*12.9898+(0)*78.233+Inputs!$C$47*37.719))*43758.5453)))-1)))</x:f>
        <x:v>61.781548358505674</x:v>
      </x:c>
      <x:c r="Y168" s="48" t="n">
        <x: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(0.45*SIN(2*PI()*(((A168)/Inputs!$C$49)+Inputs!$C$47*0.137))+0.35*COS(2*PI()*(((Inputs!$C$6)/Inputs!$C$50)+Inputs!$C$47*0.173))+0.20*SIN(2*PI()*(((A168)+(Inputs!$C$6))/(0.5*(Inputs!$C$49+Inputs!$C$50))+Inputs!$C$47*0.097)))+0.30*(2*((SIN(((A168)*12.9898+(Inputs!$C$6)*78.233+Inputs!$C$47*37.719))*43758.5453)-INT((SIN(((A168)*12.9898+(Inputs!$C$6)*78.233+Inputs!$C$47*37.719))*43758.5453)))-1)))</x:f>
        <x:v>438.1289491107309</x:v>
      </x:c>
      <x:c r="Z168" s="48" t="n">
        <x:f>B168-X168/1000</x:f>
        <x:v>400.52599622941926</x:v>
      </x:c>
      <x:c r="AA168" s="48" t="n">
        <x:f>SQRT(A168^2+Inputs!$C$6^2+(B168-Y168/1000)^2)</x:f>
        <x:v>401.5890205890913</x:v>
      </x:c>
      <x:c r="AB168" s="48" t="n">
        <x:f>(AA168-Z168)*1000</x:f>
        <x:v>1063.024359672056</x:v>
      </x:c>
      <x:c r="AC168" s="48" t="n">
        <x:f>AB168/Inputs!$C$12</x:f>
        <x:v>597.2046964449753</x:v>
      </x:c>
      <x:c r="AD168" s="48" t="n">
        <x:f>2*AB168/Inputs!$C$21*1000000</x:f>
        <x:v>7.091735174152086</x:v>
      </x:c>
      <x:c r="AE168" s="48" t="n">
        <x:f>DEGREES(ATAN(H168/(B168-Y168/1000)))</x:f>
        <x:v>4.852471634022157</x:v>
      </x:c>
      <x:c r="AF168" s="48" t="n">
        <x:f>DEGREES((2*PI()/Inputs!$C$13)*Inputs!$C$15*SIN(RADIANS(AE168)))</x:f>
        <x:v>30.45254365548654</x:v>
      </x:c>
      <x:c r="AG168" s="48" t="n">
        <x:f>(Z168/AA168)^4</x:f>
        <x:v>0.9894537854539078</x:v>
      </x:c>
      <x:c r="AH168" s="48" t="n">
        <x:f>10*LOG10(AG168)</x:f>
        <x:v>-0.046044856324885294</x:v>
      </x:c>
      <x:c r="AI168" s="48" t="n">
        <x:f>AC168-F168</x:f>
        <x:v>-210.54987146131236</x:v>
      </x:c>
      <x:c r="AJ168" s="48" t="n">
        <x:f>AD168-G168</x:f>
        <x:v>-2.500254834303643</x:v>
      </x:c>
      <x:c r="AK168" s="48" t="n">
        <x:f>Y168-X168</x:f>
        <x:v>376.3474007522252</x:v>
      </x:c>
      <x:c r="AL168" s="48" t="n">
        <x:f>1000*(AA169-AA167)/(A169-A167)*Inputs!$C$11</x:f>
        <x:v>477.8230992214958</x:v>
      </x:c>
      <x:c r="AM168" s="48" t="n">
        <x:f>-2*AL168/Inputs!$C$13</x:f>
        <x:v>-191.12923968859832</x:v>
      </x:c>
      <x:c r="AN168" s="48" t="n">
        <x:f>-2*AL168/Inputs!$C$14</x:f>
        <x:v>-28.698084037327078</x:v>
      </x:c>
      <x:c r="AO168" s="48" t="n">
        <x:f>ABS(AM168)</x:f>
        <x:v>191.12923968859832</x:v>
      </x:c>
      <x:c r="AP168" s="48" t="n">
        <x:f>ABS(AN168)</x:f>
        <x:v>28.698084037327078</x:v>
      </x:c>
      <x:c r="AQ168" s="48" t="n">
        <x:f>IF(OR(Inputs!$C$27=TRUE,Inputs!$C$27="TRUE",Inputs!$C$27=1),Inputs!$C$46/Inputs!$C$12,0)</x:f>
        <x:v>42.13483146067416</x:v>
      </x:c>
      <x:c r="AR168" s="48" t="n">
        <x:f>AC168-AQ168</x:f>
        <x:v>555.0698649843011</x:v>
      </x:c>
      <x:c r="AS168" s="48" t="n">
        <x:f>AC168+AQ168</x:f>
        <x:v>639.3395279056494</x:v>
      </x:c>
    </x:row>
    <x:row r="169">
      <x:c r="A169" s="48" t="n">
        <x:f>Inputs!$C$7+167*(Inputs!$C$8-Inputs!$C$7)/240</x:f>
        <x:v>23.5</x:v>
      </x:c>
      <x:c r="B169" s="48" t="n">
        <x:f>Inputs!$C$5+Inputs!$C$9*(A169/Inputs!$C$10)^2</x:f>
        <x:v>400.6136111111111</x:v>
      </x:c>
      <x:c r="C169" s="48" t="n">
        <x:f>B169</x:f>
        <x:v>400.6136111111111</x:v>
      </x:c>
      <x:c r="D169" s="48" t="n">
        <x:f>SQRT(A169^2+Inputs!$C$6^2+B169^2)</x:f>
        <x:v>402.08023503709376</x:v>
      </x:c>
      <x:c r="E169" s="48" t="n">
        <x:f>(D169-C169)*1000</x:f>
        <x:v>1466.6239259826739</x:v>
      </x:c>
      <x:c r="F169" s="48" t="n">
        <x:f>E169/Inputs!$C$12</x:f>
        <x:v>823.9460258329628</x:v>
      </x:c>
      <x:c r="G169" s="48" t="n">
        <x:f>2*E169/Inputs!$C$21*1000000</x:f>
        <x:v>9.784261657327443</x:v>
      </x:c>
      <x:c r="H169" s="48" t="n">
        <x:f>SQRT(A169^2+Inputs!$C$6^2)</x:f>
        <x:v>34.311076928595526</x:v>
      </x:c>
      <x:c r="I169" s="48" t="n">
        <x:f>DEGREES(ATAN(H169/B169))</x:f>
        <x:v>4.8952260304560395</x:v>
      </x:c>
      <x:c r="J169" s="48" t="n">
        <x:f>DEGREES((2*PI()/Inputs!$C$13)*Inputs!$C$15*SIN(RADIANS(I169)))</x:f>
        <x:v>30.72020611297858</x:v>
      </x:c>
      <x:c r="K169" s="48" t="n">
        <x:f>(C169/D169)^4</x:f>
        <x:v>0.9854892747288151</x:v>
      </x:c>
      <x:c r="L169" s="48" t="n">
        <x:f>10*LOG10(K169)</x:f>
        <x:v>-0.0634809787001641</x:v>
      </x:c>
      <x:c r="M169" s="48" t="n">
        <x:f>2*(Inputs!$C$9/(Inputs!$C$10^2))*A169</x:f>
        <x:v>0.052222222222222225</x:v>
      </x:c>
      <x:c r="N169" s="48" t="n">
        <x:f>M169*Inputs!$C$11</x:f>
        <x:v>0.2088888888888889</x:v>
      </x:c>
      <x:c r="O169" s="48" t="n">
        <x:f>1000*((A169*Inputs!$C$11)+(B169*N169))/D169</x:f>
        <x:v>441.9111326931385</x:v>
      </x:c>
      <x:c r="P169" s="48" t="n">
        <x:f>-2*O169/Inputs!$C$13</x:f>
        <x:v>-176.76445307725538</x:v>
      </x:c>
      <x:c r="Q169" s="48" t="n">
        <x:f>-2*O169/Inputs!$C$14</x:f>
        <x:v>-26.54120917075907</x:v>
      </x:c>
      <x:c r="R169" s="48" t="n">
        <x:f>F169-Inputs!$C$16/2</x:f>
        <x:v>808.9460258329628</x:v>
      </x:c>
      <x:c r="S169" s="48" t="n">
        <x:f>F169+Inputs!$C$16/2</x:f>
        <x:v>838.9460258329628</x:v>
      </x:c>
      <x:c r="T169" s="48" t="n">
        <x:f>F169-Inputs!$C$17/2</x:f>
        <x:v>673.9460258329628</x:v>
      </x:c>
      <x:c r="U169" s="48" t="n">
        <x:f>F169+Inputs!$C$17/2</x:f>
        <x:v>973.9460258329628</x:v>
      </x:c>
      <x:c r="V169" s="48" t="n">
        <x:f>ABS(P169)</x:f>
        <x:v>176.76445307725538</x:v>
      </x:c>
      <x:c r="W169" s="48" t="n">
        <x:f>ABS(Q169)</x:f>
        <x:v>26.54120917075907</x:v>
      </x:c>
      <x:c r="X169" s="48" t="n">
        <x: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(0.45*SIN(2*PI()*(((A169)/Inputs!$C$49)+Inputs!$C$47*0.137))+0.35*COS(2*PI()*(((0)/Inputs!$C$50)+Inputs!$C$47*0.173))+0.20*SIN(2*PI()*(((A169)+(0))/(0.5*(Inputs!$C$49+Inputs!$C$50))+Inputs!$C$47*0.097)))+0.30*(2*((SIN(((A169)*12.9898+(0)*78.233+Inputs!$C$47*37.719))*43758.5453)-INT((SIN(((A169)*12.9898+(0)*78.233+Inputs!$C$47*37.719))*43758.5453)))-1)))</x:f>
        <x:v>70.98866885242666</x:v>
      </x:c>
      <x:c r="Y169" s="48" t="n">
        <x: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(0.45*SIN(2*PI()*(((A169)/Inputs!$C$49)+Inputs!$C$47*0.137))+0.35*COS(2*PI()*(((Inputs!$C$6)/Inputs!$C$50)+Inputs!$C$47*0.173))+0.20*SIN(2*PI()*(((A169)+(Inputs!$C$6))/(0.5*(Inputs!$C$49+Inputs!$C$50))+Inputs!$C$47*0.097)))+0.30*(2*((SIN(((A169)*12.9898+(Inputs!$C$6)*78.233+Inputs!$C$47*37.719))*43758.5453)-INT((SIN(((A169)*12.9898+(Inputs!$C$6)*78.233+Inputs!$C$47*37.719))*43758.5453)))-1)))</x:f>
        <x:v>431.2131008039683</x:v>
      </x:c>
      <x:c r="Z169" s="48" t="n">
        <x:f>B169-X169/1000</x:f>
        <x:v>400.5426224422587</x:v>
      </x:c>
      <x:c r="AA169" s="48" t="n">
        <x:f>SQRT(A169^2+Inputs!$C$6^2+(B169-Y169/1000)^2)</x:f>
        <x:v>401.65059651054906</x:v>
      </x:c>
      <x:c r="AB169" s="48" t="n">
        <x:f>(AA169-Z169)*1000</x:f>
        <x:v>1107.974068290389</x:v>
      </x:c>
      <x:c r="AC169" s="48" t="n">
        <x:f>AB169/Inputs!$C$12</x:f>
        <x:v>622.4573417361736</x:v>
      </x:c>
      <x:c r="AD169" s="48" t="n">
        <x:f>2*AB169/Inputs!$C$21*1000000</x:f>
        <x:v>7.391607351845982</x:v>
      </x:c>
      <x:c r="AE169" s="48" t="n">
        <x:f>DEGREES(ATAN(H169/(B169-Y169/1000)))</x:f>
        <x:v>4.900475166007683</x:v>
      </x:c>
      <x:c r="AF169" s="48" t="n">
        <x:f>DEGREES((2*PI()/Inputs!$C$13)*Inputs!$C$15*SIN(RADIANS(AE169)))</x:f>
        <x:v>30.753066973149572</x:v>
      </x:c>
      <x:c r="AG169" s="48" t="n">
        <x:f>(Z169/AA169)^4</x:f>
        <x:v>0.9890113656283437</x:v>
      </x:c>
      <x:c r="AH169" s="48" t="n">
        <x:f>10*LOG10(AG169)</x:f>
        <x:v>-0.047987175015964105</x:v>
      </x:c>
      <x:c r="AI169" s="48" t="n">
        <x:f>AC169-F169</x:f>
        <x:v>-201.48868409678926</x:v>
      </x:c>
      <x:c r="AJ169" s="48" t="n">
        <x:f>AD169-G169</x:f>
        <x:v>-2.392654305481461</x:v>
      </x:c>
      <x:c r="AK169" s="48" t="n">
        <x:f>Y169-X169</x:f>
        <x:v>360.22443195154165</x:v>
      </x:c>
      <x:c r="AL169" s="48" t="n">
        <x:f>1000*(AA170-AA168)/(A170-A168)*Inputs!$C$11</x:f>
        <x:v>429.6755630430198</x:v>
      </x:c>
      <x:c r="AM169" s="48" t="n">
        <x:f>-2*AL169/Inputs!$C$13</x:f>
        <x:v>-171.87022521720792</x:v>
      </x:c>
      <x:c r="AN169" s="48" t="n">
        <x:f>-2*AL169/Inputs!$C$14</x:f>
        <x:v>-25.806340122703894</x:v>
      </x:c>
      <x:c r="AO169" s="48" t="n">
        <x:f>ABS(AM169)</x:f>
        <x:v>171.87022521720792</x:v>
      </x:c>
      <x:c r="AP169" s="48" t="n">
        <x:f>ABS(AN169)</x:f>
        <x:v>25.806340122703894</x:v>
      </x:c>
      <x:c r="AQ169" s="48" t="n">
        <x:f>IF(OR(Inputs!$C$27=TRUE,Inputs!$C$27="TRUE",Inputs!$C$27=1),Inputs!$C$46/Inputs!$C$12,0)</x:f>
        <x:v>42.13483146067416</x:v>
      </x:c>
      <x:c r="AR169" s="48" t="n">
        <x:f>AC169-AQ169</x:f>
        <x:v>580.3225102754994</x:v>
      </x:c>
      <x:c r="AS169" s="48" t="n">
        <x:f>AC169+AQ169</x:f>
        <x:v>664.5921731968477</x:v>
      </x:c>
    </x:row>
    <x:row r="170">
      <x:c r="A170" s="48" t="n">
        <x:f>Inputs!$C$7+168*(Inputs!$C$8-Inputs!$C$7)/240</x:f>
        <x:v>24</x:v>
      </x:c>
      <x:c r="B170" s="48" t="n">
        <x:f>Inputs!$C$5+Inputs!$C$9*(A170/Inputs!$C$10)^2</x:f>
        <x:v>400.64</x:v>
      </x:c>
      <x:c r="C170" s="48" t="n">
        <x:f>B170</x:f>
        <x:v>400.64</x:v>
      </x:c>
      <x:c r="D170" s="48" t="n">
        <x:f>SQRT(A170^2+Inputs!$C$6^2+B170^2)</x:f>
        <x:v>402.1360585672466</x:v>
      </x:c>
      <x:c r="E170" s="48" t="n">
        <x:f>(D170-C170)*1000</x:f>
        <x:v>1496.058567246621</x:v>
      </x:c>
      <x:c r="F170" s="48" t="n">
        <x:f>E170/Inputs!$C$12</x:f>
        <x:v>840.482341149787</x:v>
      </x:c>
      <x:c r="G170" s="48" t="n">
        <x:f>2*E170/Inputs!$C$21*1000000</x:f>
        <x:v>9.980628446941257</x:v>
      </x:c>
      <x:c r="H170" s="48" t="n">
        <x:f>SQRT(A170^2+Inputs!$C$6^2)</x:f>
        <x:v>34.655446902326915</x:v>
      </x:c>
      <x:c r="I170" s="48" t="n">
        <x:f>DEGREES(ATAN(H170/B170))</x:f>
        <x:v>4.943791572217107</x:v>
      </x:c>
      <x:c r="J170" s="48" t="n">
        <x:f>DEGREES((2*PI()/Inputs!$C$13)*Inputs!$C$15*SIN(RADIANS(I170)))</x:f>
        <x:v>31.024228290513804</x:v>
      </x:c>
      <x:c r="K170" s="48" t="n">
        <x:f>(C170/D170)^4</x:f>
        <x:v>0.9852017187889134</x:v>
      </x:c>
      <x:c r="L170" s="48" t="n">
        <x:f>10*LOG10(K170)</x:f>
        <x:v>-0.0647483915947774</x:v>
      </x:c>
      <x:c r="M170" s="48" t="n">
        <x:f>2*(Inputs!$C$9/(Inputs!$C$10^2))*A170</x:f>
        <x:v>0.05333333333333333</x:v>
      </x:c>
      <x:c r="N170" s="48" t="n">
        <x:f>M170*Inputs!$C$11</x:f>
        <x:v>0.21333333333333332</x:v>
      </x:c>
      <x:c r="O170" s="48" t="n">
        <x:f>1000*((A170*Inputs!$C$11)+(B170*N170))/D170</x:f>
        <x:v>451.26484631400103</x:v>
      </x:c>
      <x:c r="P170" s="48" t="n">
        <x:f>-2*O170/Inputs!$C$13</x:f>
        <x:v>-180.5059385256004</x:v>
      </x:c>
      <x:c r="Q170" s="48" t="n">
        <x:f>-2*O170/Inputs!$C$14</x:f>
        <x:v>-27.102993772612678</x:v>
      </x:c>
      <x:c r="R170" s="48" t="n">
        <x:f>F170-Inputs!$C$16/2</x:f>
        <x:v>825.482341149787</x:v>
      </x:c>
      <x:c r="S170" s="48" t="n">
        <x:f>F170+Inputs!$C$16/2</x:f>
        <x:v>855.482341149787</x:v>
      </x:c>
      <x:c r="T170" s="48" t="n">
        <x:f>F170-Inputs!$C$17/2</x:f>
        <x:v>690.482341149787</x:v>
      </x:c>
      <x:c r="U170" s="48" t="n">
        <x:f>F170+Inputs!$C$17/2</x:f>
        <x:v>990.482341149787</x:v>
      </x:c>
      <x:c r="V170" s="48" t="n">
        <x:f>ABS(P170)</x:f>
        <x:v>180.5059385256004</x:v>
      </x:c>
      <x:c r="W170" s="48" t="n">
        <x:f>ABS(Q170)</x:f>
        <x:v>27.102993772612678</x:v>
      </x:c>
      <x:c r="X170" s="48" t="n">
        <x: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(0.45*SIN(2*PI()*(((A170)/Inputs!$C$49)+Inputs!$C$47*0.137))+0.35*COS(2*PI()*(((0)/Inputs!$C$50)+Inputs!$C$47*0.173))+0.20*SIN(2*PI()*(((A170)+(0))/(0.5*(Inputs!$C$49+Inputs!$C$50))+Inputs!$C$47*0.097)))+0.30*(2*((SIN(((A170)*12.9898+(0)*78.233+Inputs!$C$47*37.719))*43758.5453)-INT((SIN(((A170)*12.9898+(0)*78.233+Inputs!$C$47*37.719))*43758.5453)))-1)))</x:f>
        <x:v>75.46815017037277</x:v>
      </x:c>
      <x:c r="Y170" s="48" t="n">
        <x: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(0.45*SIN(2*PI()*(((A170)/Inputs!$C$49)+Inputs!$C$47*0.137))+0.35*COS(2*PI()*(((Inputs!$C$6)/Inputs!$C$50)+Inputs!$C$47*0.173))+0.20*SIN(2*PI()*(((A170)+(Inputs!$C$6))/(0.5*(Inputs!$C$49+Inputs!$C$50))+Inputs!$C$47*0.097)))+0.30*(2*((SIN(((A170)*12.9898+(Inputs!$C$6)*78.233+Inputs!$C$47*37.719))*43758.5453)-INT((SIN(((A170)*12.9898+(Inputs!$C$6)*78.233+Inputs!$C$47*37.719))*43758.5453)))-1)))</x:f>
        <x:v>441.2625072507224</x:v>
      </x:c>
      <x:c r="Z170" s="48" t="n">
        <x:f>B170-X170/1000</x:f>
        <x:v>400.5645318498296</x:v>
      </x:c>
      <x:c r="AA170" s="48" t="n">
        <x:f>SQRT(A170^2+Inputs!$C$6^2+(B170-Y170/1000)^2)</x:f>
        <x:v>401.6964394798521</x:v>
      </x:c>
      <x:c r="AB170" s="48" t="n">
        <x:f>(AA170-Z170)*1000</x:f>
        <x:v>1131.9076300224538</x:v>
      </x:c>
      <x:c r="AC170" s="48" t="n">
        <x:f>AB170/Inputs!$C$12</x:f>
        <x:v>635.9031629339628</x:v>
      </x:c>
      <x:c r="AD170" s="48" t="n">
        <x:f>2*AB170/Inputs!$C$21*1000000</x:f>
        <x:v>7.551274889126489</x:v>
      </x:c>
      <x:c r="AE170" s="48" t="n">
        <x:f>DEGREES(ATAN(H170/(B170-Y170/1000)))</x:f>
        <x:v>4.949215578273693</x:v>
      </x:c>
      <x:c r="AF170" s="48" t="n">
        <x:f>DEGREES((2*PI()/Inputs!$C$13)*Inputs!$C$15*SIN(RADIANS(AE170)))</x:f>
        <x:v>31.058181399348573</x:v>
      </x:c>
      <x:c r="AG170" s="48" t="n">
        <x:f>(Z170/AA170)^4</x:f>
        <x:v>0.9887762774562643</x:v>
      </x:c>
      <x:c r="AH170" s="48" t="n">
        <x:f>10*LOG10(AG170)</x:f>
        <x:v>-0.0490196164586299</x:v>
      </x:c>
      <x:c r="AI170" s="48" t="n">
        <x:f>AC170-F170</x:f>
        <x:v>-204.5791782158242</x:v>
      </x:c>
      <x:c r="AJ170" s="48" t="n">
        <x:f>AD170-G170</x:f>
        <x:v>-2.4293535578147676</x:v>
      </x:c>
      <x:c r="AK170" s="48" t="n">
        <x:f>Y170-X170</x:f>
        <x:v>365.79435708034964</x:v>
      </x:c>
      <x:c r="AL170" s="48" t="n">
        <x:f>1000*(AA171-AA169)/(A171-A169)*Inputs!$C$11</x:f>
        <x:v>514.3824830340691</x:v>
      </x:c>
      <x:c r="AM170" s="48" t="n">
        <x:f>-2*AL170/Inputs!$C$13</x:f>
        <x:v>-205.75299321362763</x:v>
      </x:c>
      <x:c r="AN170" s="48" t="n">
        <x:f>-2*AL170/Inputs!$C$14</x:f>
        <x:v>-30.893842824869015</x:v>
      </x:c>
      <x:c r="AO170" s="48" t="n">
        <x:f>ABS(AM170)</x:f>
        <x:v>205.75299321362763</x:v>
      </x:c>
      <x:c r="AP170" s="48" t="n">
        <x:f>ABS(AN170)</x:f>
        <x:v>30.893842824869015</x:v>
      </x:c>
      <x:c r="AQ170" s="48" t="n">
        <x:f>IF(OR(Inputs!$C$27=TRUE,Inputs!$C$27="TRUE",Inputs!$C$27=1),Inputs!$C$46/Inputs!$C$12,0)</x:f>
        <x:v>42.13483146067416</x:v>
      </x:c>
      <x:c r="AR170" s="48" t="n">
        <x:f>AC170-AQ170</x:f>
        <x:v>593.7683314732886</x:v>
      </x:c>
      <x:c r="AS170" s="48" t="n">
        <x:f>AC170+AQ170</x:f>
        <x:v>678.0379943946369</x:v>
      </x:c>
    </x:row>
    <x:row r="171">
      <x:c r="A171" s="48" t="n">
        <x:f>Inputs!$C$7+169*(Inputs!$C$8-Inputs!$C$7)/240</x:f>
        <x:v>24.5</x:v>
      </x:c>
      <x:c r="B171" s="48" t="n">
        <x:f>Inputs!$C$5+Inputs!$C$9*(A171/Inputs!$C$10)^2</x:f>
        <x:v>400.6669444444444</x:v>
      </x:c>
      <x:c r="C171" s="48" t="n">
        <x:f>B171</x:f>
        <x:v>400.6669444444444</x:v>
      </x:c>
      <x:c r="D171" s="48" t="n">
        <x:f>SQRT(A171^2+Inputs!$C$6^2+B171^2)</x:f>
        <x:v>402.19305112153233</x:v>
      </x:c>
      <x:c r="E171" s="48" t="n">
        <x:f>(D171-C171)*1000</x:f>
        <x:v>1526.1066770879097</x:v>
      </x:c>
      <x:c r="F171" s="48" t="n">
        <x:f>E171/Inputs!$C$12</x:f>
        <x:v>857.3633017347807</x:v>
      </x:c>
      <x:c r="G171" s="48" t="n">
        <x:f>2*E171/Inputs!$C$21*1000000</x:f>
        <x:v>10.18108785837374</x:v>
      </x:c>
      <x:c r="H171" s="48" t="n">
        <x:f>SQRT(A171^2+Inputs!$C$6^2)</x:f>
        <x:v>35.00357124637428</x:v>
      </x:c>
      <x:c r="I171" s="48" t="n">
        <x:f>DEGREES(ATAN(H171/B171))</x:f>
        <x:v>4.99286952278949</x:v>
      </x:c>
      <x:c r="J171" s="48" t="n">
        <x:f>DEGREES((2*PI()/Inputs!$C$13)*Inputs!$C$15*SIN(RADIANS(I171)))</x:f>
        <x:v>31.331435522208846</x:v>
      </x:c>
      <x:c r="K171" s="48" t="n">
        <x:f>(C171/D171)^4</x:f>
        <x:v>0.9849083171209121</x:v>
      </x:c>
      <x:c r="L171" s="48" t="n">
        <x:f>10*LOG10(K171)</x:f>
        <x:v>-0.06604195108144201</x:v>
      </x:c>
      <x:c r="M171" s="48" t="n">
        <x:f>2*(Inputs!$C$9/(Inputs!$C$10^2))*A171</x:f>
        <x:v>0.05444444444444444</x:v>
      </x:c>
      <x:c r="N171" s="48" t="n">
        <x:f>M171*Inputs!$C$11</x:f>
        <x:v>0.21777777777777776</x:v>
      </x:c>
      <x:c r="O171" s="48" t="n">
        <x:f>1000*((A171*Inputs!$C$11)+(B171*N171))/D171</x:f>
        <x:v>460.61550858108626</x:v>
      </x:c>
      <x:c r="P171" s="48" t="n">
        <x:f>-2*O171/Inputs!$C$13</x:f>
        <x:v>-184.2462034324345</x:v>
      </x:c>
      <x:c r="Q171" s="48" t="n">
        <x:f>-2*O171/Inputs!$C$14</x:f>
        <x:v>-27.664595109975153</x:v>
      </x:c>
      <x:c r="R171" s="48" t="n">
        <x:f>F171-Inputs!$C$16/2</x:f>
        <x:v>842.3633017347807</x:v>
      </x:c>
      <x:c r="S171" s="48" t="n">
        <x:f>F171+Inputs!$C$16/2</x:f>
        <x:v>872.3633017347807</x:v>
      </x:c>
      <x:c r="T171" s="48" t="n">
        <x:f>F171-Inputs!$C$17/2</x:f>
        <x:v>707.3633017347807</x:v>
      </x:c>
      <x:c r="U171" s="48" t="n">
        <x:f>F171+Inputs!$C$17/2</x:f>
        <x:v>1007.3633017347807</x:v>
      </x:c>
      <x:c r="V171" s="48" t="n">
        <x:f>ABS(P171)</x:f>
        <x:v>184.2462034324345</x:v>
      </x:c>
      <x:c r="W171" s="48" t="n">
        <x:f>ABS(Q171)</x:f>
        <x:v>27.664595109975153</x:v>
      </x:c>
      <x:c r="X171" s="48" t="n">
        <x: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(0.45*SIN(2*PI()*(((A171)/Inputs!$C$49)+Inputs!$C$47*0.137))+0.35*COS(2*PI()*(((0)/Inputs!$C$50)+Inputs!$C$47*0.173))+0.20*SIN(2*PI()*(((A171)+(0))/(0.5*(Inputs!$C$49+Inputs!$C$50))+Inputs!$C$47*0.097)))+0.30*(2*((SIN(((A171)*12.9898+(0)*78.233+Inputs!$C$47*37.719))*43758.5453)-INT((SIN(((A171)*12.9898+(0)*78.233+Inputs!$C$47*37.719))*43758.5453)))-1)))</x:f>
        <x:v>80.2881627342364</x:v>
      </x:c>
      <x:c r="Y171" s="48" t="n">
        <x: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(0.45*SIN(2*PI()*(((A171)/Inputs!$C$49)+Inputs!$C$47*0.137))+0.35*COS(2*PI()*(((Inputs!$C$6)/Inputs!$C$50)+Inputs!$C$47*0.173))+0.20*SIN(2*PI()*(((A171)+(Inputs!$C$6))/(0.5*(Inputs!$C$49+Inputs!$C$50))+Inputs!$C$47*0.097)))+0.30*(2*((SIN(((A171)*12.9898+(Inputs!$C$6)*78.233+Inputs!$C$47*37.719))*43758.5453)-INT((SIN(((A171)*12.9898+(Inputs!$C$6)*78.233+Inputs!$C$47*37.719))*43758.5453)))-1)))</x:f>
        <x:v>415.4369773442437</x:v>
      </x:c>
      <x:c r="Z171" s="48" t="n">
        <x:f>B171-X171/1000</x:f>
        <x:v>400.5866562817102</x:v>
      </x:c>
      <x:c r="AA171" s="48" t="n">
        <x:f>SQRT(A171^2+Inputs!$C$6^2+(B171-Y171/1000)^2)</x:f>
        <x:v>401.7791921313076</x:v>
      </x:c>
      <x:c r="AB171" s="48" t="n">
        <x:f>(AA171-Z171)*1000</x:f>
        <x:v>1192.535849597391</x:v>
      </x:c>
      <x:c r="AC171" s="48" t="n">
        <x:f>AB171/Inputs!$C$12</x:f>
        <x:v>669.9639604479725</x:v>
      </x:c>
      <x:c r="AD171" s="48" t="n">
        <x:f>2*AB171/Inputs!$C$21*1000000</x:f>
        <x:v>7.955742833246266</x:v>
      </x:c>
      <x:c r="AE171" s="48" t="n">
        <x:f>DEGREES(ATAN(H171/(B171-Y171/1000)))</x:f>
        <x:v>4.998025584829427</x:v>
      </x:c>
      <x:c r="AF171" s="48" t="n">
        <x:f>DEGREES((2*PI()/Inputs!$C$13)*Inputs!$C$15*SIN(RADIANS(AE171)))</x:f>
        <x:v>31.363708961255632</x:v>
      </x:c>
      <x:c r="AG171" s="48" t="n">
        <x:f>(Z171/AA171)^4</x:f>
        <x:v>0.9881802048915838</x:v>
      </x:c>
      <x:c r="AH171" s="48" t="n">
        <x:f>10*LOG10(AG171)</x:f>
        <x:v>-0.0516385009491145</x:v>
      </x:c>
      <x:c r="AI171" s="48" t="n">
        <x:f>AC171-F171</x:f>
        <x:v>-187.3993412868083</x:v>
      </x:c>
      <x:c r="AJ171" s="48" t="n">
        <x:f>AD171-G171</x:f>
        <x:v>-2.2253450251274742</x:v>
      </x:c>
      <x:c r="AK171" s="48" t="n">
        <x:f>Y171-X171</x:f>
        <x:v>335.1488146100073</x:v>
      </x:c>
      <x:c r="AL171" s="48" t="n">
        <x:f>1000*(AA172-AA170)/(A172-A170)*Inputs!$C$11</x:f>
        <x:v>550.2535373402679</x:v>
      </x:c>
      <x:c r="AM171" s="48" t="n">
        <x:f>-2*AL171/Inputs!$C$13</x:f>
        <x:v>-220.10141493610718</x:v>
      </x:c>
      <x:c r="AN171" s="48" t="n">
        <x:f>-2*AL171/Inputs!$C$14</x:f>
        <x:v>-33.048260500916996</x:v>
      </x:c>
      <x:c r="AO171" s="48" t="n">
        <x:f>ABS(AM171)</x:f>
        <x:v>220.10141493610718</x:v>
      </x:c>
      <x:c r="AP171" s="48" t="n">
        <x:f>ABS(AN171)</x:f>
        <x:v>33.048260500916996</x:v>
      </x:c>
      <x:c r="AQ171" s="48" t="n">
        <x:f>IF(OR(Inputs!$C$27=TRUE,Inputs!$C$27="TRUE",Inputs!$C$27=1),Inputs!$C$46/Inputs!$C$12,0)</x:f>
        <x:v>42.13483146067416</x:v>
      </x:c>
      <x:c r="AR171" s="48" t="n">
        <x:f>AC171-AQ171</x:f>
        <x:v>627.8291289872983</x:v>
      </x:c>
      <x:c r="AS171" s="48" t="n">
        <x:f>AC171+AQ171</x:f>
        <x:v>712.0987919086466</x:v>
      </x:c>
    </x:row>
    <x:row r="172">
      <x:c r="A172" s="48" t="n">
        <x:f>Inputs!$C$7+170*(Inputs!$C$8-Inputs!$C$7)/240</x:f>
        <x:v>25</x:v>
      </x:c>
      <x:c r="B172" s="48" t="n">
        <x:f>Inputs!$C$5+Inputs!$C$9*(A172/Inputs!$C$10)^2</x:f>
        <x:v>400.69444444444446</x:v>
      </x:c>
      <x:c r="C172" s="48" t="n">
        <x:f>B172</x:f>
        <x:v>400.69444444444446</x:v>
      </x:c>
      <x:c r="D172" s="48" t="n">
        <x:f>SQRT(A172^2+Inputs!$C$6^2+B172^2)</x:f>
        <x:v>402.2512123146952</x:v>
      </x:c>
      <x:c r="E172" s="48" t="n">
        <x:f>(D172-C172)*1000</x:f>
        <x:v>1556.7678702507237</x:v>
      </x:c>
      <x:c r="F172" s="48" t="n">
        <x:f>E172/Inputs!$C$12</x:f>
        <x:v>874.588691152092</x:v>
      </x:c>
      <x:c r="G172" s="48" t="n">
        <x:f>2*E172/Inputs!$C$21*1000000</x:f>
        <x:v>10.385637321474738</x:v>
      </x:c>
      <x:c r="H172" s="48" t="n">
        <x:f>SQRT(A172^2+Inputs!$C$6^2)</x:f>
        <x:v>35.35533905932738</x:v>
      </x:c>
      <x:c r="I172" s="48" t="n">
        <x:f>DEGREES(ATAN(H172/B172))</x:f>
        <x:v>5.042443535344872</x:v>
      </x:c>
      <x:c r="J172" s="48" t="n">
        <x:f>DEGREES((2*PI()/Inputs!$C$13)*Inputs!$C$15*SIN(RADIANS(I172)))</x:f>
        <x:v>31.64172455346228</x:v>
      </x:c>
      <x:c r="K172" s="48" t="n">
        <x:f>(C172/D172)^4</x:f>
        <x:v>0.9846090825154142</x:v>
      </x:c>
      <x:c r="L172" s="48" t="n">
        <x:f>10*LOG10(K172)</x:f>
        <x:v>-0.06736162400219059</x:v>
      </x:c>
      <x:c r="M172" s="48" t="n">
        <x:f>2*(Inputs!$C$9/(Inputs!$C$10^2))*A172</x:f>
        <x:v>0.05555555555555555</x:v>
      </x:c>
      <x:c r="N172" s="48" t="n">
        <x:f>M172*Inputs!$C$11</x:f>
        <x:v>0.2222222222222222</x:v>
      </x:c>
      <x:c r="O172" s="48" t="n">
        <x:f>1000*((A172*Inputs!$C$11)+(B172*N172))/D172</x:f>
        <x:v>469.963058131564</x:v>
      </x:c>
      <x:c r="P172" s="48" t="n">
        <x:f>-2*O172/Inputs!$C$13</x:f>
        <x:v>-187.98522325262562</x:v>
      </x:c>
      <x:c r="Q172" s="48" t="n">
        <x:f>-2*O172/Inputs!$C$14</x:f>
        <x:v>-28.226009497391235</x:v>
      </x:c>
      <x:c r="R172" s="48" t="n">
        <x:f>F172-Inputs!$C$16/2</x:f>
        <x:v>859.588691152092</x:v>
      </x:c>
      <x:c r="S172" s="48" t="n">
        <x:f>F172+Inputs!$C$16/2</x:f>
        <x:v>889.588691152092</x:v>
      </x:c>
      <x:c r="T172" s="48" t="n">
        <x:f>F172-Inputs!$C$17/2</x:f>
        <x:v>724.588691152092</x:v>
      </x:c>
      <x:c r="U172" s="48" t="n">
        <x:f>F172+Inputs!$C$17/2</x:f>
        <x:v>1024.588691152092</x:v>
      </x:c>
      <x:c r="V172" s="48" t="n">
        <x:f>ABS(P172)</x:f>
        <x:v>187.98522325262562</x:v>
      </x:c>
      <x:c r="W172" s="48" t="n">
        <x:f>ABS(Q172)</x:f>
        <x:v>28.226009497391235</x:v>
      </x:c>
      <x:c r="X172" s="48" t="n">
        <x: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(0.45*SIN(2*PI()*(((A172)/Inputs!$C$49)+Inputs!$C$47*0.137))+0.35*COS(2*PI()*(((0)/Inputs!$C$50)+Inputs!$C$47*0.173))+0.20*SIN(2*PI()*(((A172)+(0))/(0.5*(Inputs!$C$49+Inputs!$C$50))+Inputs!$C$47*0.097)))+0.30*(2*((SIN(((A172)*12.9898+(0)*78.233+Inputs!$C$47*37.719))*43758.5453)-INT((SIN(((A172)*12.9898+(0)*78.233+Inputs!$C$47*37.719))*43758.5453)))-1)))</x:f>
        <x:v>61.498548518191555</x:v>
      </x:c>
      <x:c r="Y172" s="48" t="n">
        <x: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(0.45*SIN(2*PI()*(((A172)/Inputs!$C$49)+Inputs!$C$47*0.137))+0.35*COS(2*PI()*(((Inputs!$C$6)/Inputs!$C$50)+Inputs!$C$47*0.173))+0.20*SIN(2*PI()*(((A172)+(Inputs!$C$6))/(0.5*(Inputs!$C$49+Inputs!$C$50))+Inputs!$C$47*0.097)))+0.30*(2*((SIN(((A172)*12.9898+(Inputs!$C$6)*78.233+Inputs!$C$47*37.719))*43758.5453)-INT((SIN(((A172)*12.9898+(Inputs!$C$6)*78.233+Inputs!$C$47*37.719))*43758.5453)))-1)))</x:f>
        <x:v>418.8320748478676</x:v>
      </x:c>
      <x:c r="Z172" s="48" t="n">
        <x:f>B172-X172/1000</x:f>
        <x:v>400.63294589592624</x:v>
      </x:c>
      <x:c r="AA172" s="48" t="n">
        <x:f>SQRT(A172^2+Inputs!$C$6^2+(B172-Y172/1000)^2)</x:f>
        <x:v>401.83400286418714</x:v>
      </x:c>
      <x:c r="AB172" s="48" t="n">
        <x:f>(AA172-Z172)*1000</x:f>
        <x:v>1201.0569682609002</x:v>
      </x:c>
      <x:c r="AC172" s="48" t="n">
        <x:f>AB172/Inputs!$C$12</x:f>
        <x:v>674.7511057645507</x:v>
      </x:c>
      <x:c r="AD172" s="48" t="n">
        <x:f>2*AB172/Inputs!$C$21*1000000</x:f>
        <x:v>8.012589617987656</x:v>
      </x:c>
      <x:c r="AE172" s="48" t="n">
        <x:f>DEGREES(ATAN(H172/(B172-Y172/1000)))</x:f>
        <x:v>5.047692498539244</x:v>
      </x:c>
      <x:c r="AF172" s="48" t="n">
        <x:f>DEGREES((2*PI()/Inputs!$C$13)*Inputs!$C$15*SIN(RADIANS(AE172)))</x:f>
        <x:v>31.674576991085722</x:v>
      </x:c>
      <x:c r="AG172" s="48" t="n">
        <x:f>(Z172/AA172)^4</x:f>
        <x:v>0.9880977433046179</x:v>
      </x:c>
      <x:c r="AH172" s="48" t="n">
        <x:f>10*LOG10(AG172)</x:f>
        <x:v>-0.0520009258017699</x:v>
      </x:c>
      <x:c r="AI172" s="48" t="n">
        <x:f>AC172-F172</x:f>
        <x:v>-199.83758538754125</x:v>
      </x:c>
      <x:c r="AJ172" s="48" t="n">
        <x:f>AD172-G172</x:f>
        <x:v>-2.3730477034870816</x:v>
      </x:c>
      <x:c r="AK172" s="48" t="n">
        <x:f>Y172-X172</x:f>
        <x:v>357.33352632967603</x:v>
      </x:c>
      <x:c r="AL172" s="48" t="n">
        <x:f>1000*(AA173-AA171)/(A173-A171)*Inputs!$C$11</x:f>
        <x:v>570.9370851836866</x:v>
      </x:c>
      <x:c r="AM172" s="48" t="n">
        <x:f>-2*AL172/Inputs!$C$13</x:f>
        <x:v>-228.37483407347463</x:v>
      </x:c>
      <x:c r="AN172" s="48" t="n">
        <x:f>-2*AL172/Inputs!$C$14</x:f>
        <x:v>-34.290515626647846</x:v>
      </x:c>
      <x:c r="AO172" s="48" t="n">
        <x:f>ABS(AM172)</x:f>
        <x:v>228.37483407347463</x:v>
      </x:c>
      <x:c r="AP172" s="48" t="n">
        <x:f>ABS(AN172)</x:f>
        <x:v>34.290515626647846</x:v>
      </x:c>
      <x:c r="AQ172" s="48" t="n">
        <x:f>IF(OR(Inputs!$C$27=TRUE,Inputs!$C$27="TRUE",Inputs!$C$27=1),Inputs!$C$46/Inputs!$C$12,0)</x:f>
        <x:v>42.13483146067416</x:v>
      </x:c>
      <x:c r="AR172" s="48" t="n">
        <x:f>AC172-AQ172</x:f>
        <x:v>632.6162743038766</x:v>
      </x:c>
      <x:c r="AS172" s="48" t="n">
        <x:f>AC172+AQ172</x:f>
        <x:v>716.8859372252249</x:v>
      </x:c>
    </x:row>
    <x:row r="173">
      <x:c r="A173" s="48" t="n">
        <x:f>Inputs!$C$7+171*(Inputs!$C$8-Inputs!$C$7)/240</x:f>
        <x:v>25.5</x:v>
      </x:c>
      <x:c r="B173" s="48" t="n">
        <x:f>Inputs!$C$5+Inputs!$C$9*(A173/Inputs!$C$10)^2</x:f>
        <x:v>400.7225</x:v>
      </x:c>
      <x:c r="C173" s="48" t="n">
        <x:f>B173</x:f>
        <x:v>400.7225</x:v>
      </x:c>
      <x:c r="D173" s="48" t="n">
        <x:f>SQRT(A173^2+Inputs!$C$6^2+B173^2)</x:f>
        <x:v>402.31054175381735</x:v>
      </x:c>
      <x:c r="E173" s="48" t="n">
        <x:f>(D173-C173)*1000</x:f>
        <x:v>1588.041753817322</x:v>
      </x:c>
      <x:c r="F173" s="48" t="n">
        <x:f>E173/Inputs!$C$12</x:f>
        <x:v>892.1582886614168</x:v>
      </x:c>
      <x:c r="G173" s="48" t="n">
        <x:f>2*E173/Inputs!$C$21*1000000</x:f>
        <x:v>10.594274214979231</x:v>
      </x:c>
      <x:c r="H173" s="48" t="n">
        <x:f>SQRT(A173^2+Inputs!$C$6^2)</x:f>
        <x:v>35.71064267133819</x:v>
      </x:c>
      <x:c r="I173" s="48" t="n">
        <x:f>DEGREES(ATAN(H173/B173))</x:f>
        <x:v>5.092497724666333</x:v>
      </x:c>
      <x:c r="J173" s="48" t="n">
        <x:f>DEGREES((2*PI()/Inputs!$C$13)*Inputs!$C$15*SIN(RADIANS(I173)))</x:f>
        <x:v>31.95499502856307</x:v>
      </x:c>
      <x:c r="K173" s="48" t="n">
        <x:f>(C173/D173)^4</x:f>
        <x:v>0.9843040280049287</x:v>
      </x:c>
      <x:c r="L173" s="48" t="n">
        <x:f>10*LOG10(K173)</x:f>
        <x:v>-0.0687073765489717</x:v>
      </x:c>
      <x:c r="M173" s="48" t="n">
        <x:f>2*(Inputs!$C$9/(Inputs!$C$10^2))*A173</x:f>
        <x:v>0.056666666666666664</x:v>
      </x:c>
      <x:c r="N173" s="48" t="n">
        <x:f>M173*Inputs!$C$11</x:f>
        <x:v>0.22666666666666666</x:v>
      </x:c>
      <x:c r="O173" s="48" t="n">
        <x:f>1000*((A173*Inputs!$C$11)+(B173*N173))/D173</x:f>
        <x:v>479.3074337369228</x:v>
      </x:c>
      <x:c r="P173" s="48" t="n">
        <x:f>-2*O173/Inputs!$C$13</x:f>
        <x:v>-191.72297349476912</x:v>
      </x:c>
      <x:c r="Q173" s="48" t="n">
        <x:f>-2*O173/Inputs!$C$14</x:f>
        <x:v>-28.787233257472842</x:v>
      </x:c>
      <x:c r="R173" s="48" t="n">
        <x:f>F173-Inputs!$C$16/2</x:f>
        <x:v>877.1582886614168</x:v>
      </x:c>
      <x:c r="S173" s="48" t="n">
        <x:f>F173+Inputs!$C$16/2</x:f>
        <x:v>907.1582886614168</x:v>
      </x:c>
      <x:c r="T173" s="48" t="n">
        <x:f>F173-Inputs!$C$17/2</x:f>
        <x:v>742.1582886614168</x:v>
      </x:c>
      <x:c r="U173" s="48" t="n">
        <x:f>F173+Inputs!$C$17/2</x:f>
        <x:v>1042.158288661417</x:v>
      </x:c>
      <x:c r="V173" s="48" t="n">
        <x:f>ABS(P173)</x:f>
        <x:v>191.72297349476912</x:v>
      </x:c>
      <x:c r="W173" s="48" t="n">
        <x:f>ABS(Q173)</x:f>
        <x:v>28.787233257472842</x:v>
      </x:c>
      <x:c r="X173" s="48" t="n">
        <x: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(0.45*SIN(2*PI()*(((A173)/Inputs!$C$49)+Inputs!$C$47*0.137))+0.35*COS(2*PI()*(((0)/Inputs!$C$50)+Inputs!$C$47*0.173))+0.20*SIN(2*PI()*(((A173)+(0))/(0.5*(Inputs!$C$49+Inputs!$C$50))+Inputs!$C$47*0.097)))+0.30*(2*((SIN(((A173)*12.9898+(0)*78.233+Inputs!$C$47*37.719))*43758.5453)-INT((SIN(((A173)*12.9898+(0)*78.233+Inputs!$C$47*37.719))*43758.5453)))-1)))</x:f>
        <x:v>67.90188044896082</x:v>
      </x:c>
      <x:c r="Y173" s="48" t="n">
        <x: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(0.45*SIN(2*PI()*(((A173)/Inputs!$C$49)+Inputs!$C$47*0.137))+0.35*COS(2*PI()*(((Inputs!$C$6)/Inputs!$C$50)+Inputs!$C$47*0.173))+0.20*SIN(2*PI()*(((A173)+(Inputs!$C$6))/(0.5*(Inputs!$C$49+Inputs!$C$50))+Inputs!$C$47*0.097)))+0.30*(2*((SIN(((A173)*12.9898+(Inputs!$C$6)*78.233+Inputs!$C$47*37.719))*43758.5453)-INT((SIN(((A173)*12.9898+(Inputs!$C$6)*78.233+Inputs!$C$47*37.719))*43758.5453)))-1)))</x:f>
        <x:v>390.15691093629596</x:v>
      </x:c>
      <x:c r="Z173" s="48" t="n">
        <x:f>B173-X173/1000</x:f>
        <x:v>400.65459811955105</x:v>
      </x:c>
      <x:c r="AA173" s="48" t="n">
        <x:f>SQRT(A173^2+Inputs!$C$6^2+(B173-Y173/1000)^2)</x:f>
        <x:v>401.9219264026035</x:v>
      </x:c>
      <x:c r="AB173" s="48" t="n">
        <x:f>(AA173-Z173)*1000</x:f>
        <x:v>1267.32828305245</x:v>
      </x:c>
      <x:c r="AC173" s="48" t="n">
        <x:f>AB173/Inputs!$C$12</x:f>
        <x:v>711.9821814901404</x:v>
      </x:c>
      <x:c r="AD173" s="48" t="n">
        <x:f>2*AB173/Inputs!$C$21*1000000</x:f>
        <x:v>8.45470424110836</x:v>
      </x:c>
      <x:c r="AE173" s="48" t="n">
        <x:f>DEGREES(ATAN(H173/(B173-Y173/1000)))</x:f>
        <x:v>5.097434649230494</x:v>
      </x:c>
      <x:c r="AF173" s="48" t="n">
        <x:f>DEGREES((2*PI()/Inputs!$C$13)*Inputs!$C$15*SIN(RADIANS(AE173)))</x:f>
        <x:v>31.985892077965694</x:v>
      </x:c>
      <x:c r="AG173" s="48" t="n">
        <x:f>(Z173/AA173)^4</x:f>
        <x:v>0.9874468483773754</x:v>
      </x:c>
      <x:c r="AH173" s="48" t="n">
        <x:f>10*LOG10(AG173)</x:f>
        <x:v>-0.054862719826761094</x:v>
      </x:c>
      <x:c r="AI173" s="48" t="n">
        <x:f>AC173-F173</x:f>
        <x:v>-180.17610717127639</x:v>
      </x:c>
      <x:c r="AJ173" s="48" t="n">
        <x:f>AD173-G173</x:f>
        <x:v>-2.1395699738708718</x:v>
      </x:c>
      <x:c r="AK173" s="48" t="n">
        <x:f>Y173-X173</x:f>
        <x:v>322.25503048733515</x:v>
      </x:c>
      <x:c r="AL173" s="48" t="n">
        <x:f>1000*(AA174-AA172)/(A174-A172)*Inputs!$C$11</x:f>
        <x:v>604.8891491207087</x:v>
      </x:c>
      <x:c r="AM173" s="48" t="n">
        <x:f>-2*AL173/Inputs!$C$13</x:f>
        <x:v>-241.95565964828347</x:v>
      </x:c>
      <x:c r="AN173" s="48" t="n">
        <x:f>-2*AL173/Inputs!$C$14</x:f>
        <x:v>-36.32967862586839</x:v>
      </x:c>
      <x:c r="AO173" s="48" t="n">
        <x:f>ABS(AM173)</x:f>
        <x:v>241.95565964828347</x:v>
      </x:c>
      <x:c r="AP173" s="48" t="n">
        <x:f>ABS(AN173)</x:f>
        <x:v>36.32967862586839</x:v>
      </x:c>
      <x:c r="AQ173" s="48" t="n">
        <x:f>IF(OR(Inputs!$C$27=TRUE,Inputs!$C$27="TRUE",Inputs!$C$27=1),Inputs!$C$46/Inputs!$C$12,0)</x:f>
        <x:v>42.13483146067416</x:v>
      </x:c>
      <x:c r="AR173" s="48" t="n">
        <x:f>AC173-AQ173</x:f>
        <x:v>669.8473500294663</x:v>
      </x:c>
      <x:c r="AS173" s="48" t="n">
        <x:f>AC173+AQ173</x:f>
        <x:v>754.1170129508146</x:v>
      </x:c>
    </x:row>
    <x:row r="174">
      <x:c r="A174" s="48" t="n">
        <x:f>Inputs!$C$7+172*(Inputs!$C$8-Inputs!$C$7)/240</x:f>
        <x:v>26</x:v>
      </x:c>
      <x:c r="B174" s="48" t="n">
        <x:f>Inputs!$C$5+Inputs!$C$9*(A174/Inputs!$C$10)^2</x:f>
        <x:v>400.75111111111113</x:v>
      </x:c>
      <x:c r="C174" s="48" t="n">
        <x:f>B174</x:f>
        <x:v>400.75111111111113</x:v>
      </x:c>
      <x:c r="D174" s="48" t="n">
        <x:f>SQRT(A174^2+Inputs!$C$6^2+B174^2)</x:f>
        <x:v>402.37103903833605</x:v>
      </x:c>
      <x:c r="E174" s="48" t="n">
        <x:f>(D174-C174)*1000</x:f>
        <x:v>1619.9279272249214</x:v>
      </x:c>
      <x:c r="F174" s="48" t="n">
        <x:f>E174/Inputs!$C$12</x:f>
        <x:v>910.071869227484</x:v>
      </x:c>
      <x:c r="G174" s="48" t="n">
        <x:f>2*E174/Inputs!$C$21*1000000</x:f>
        <x:v>10.806995866619976</x:v>
      </x:c>
      <x:c r="H174" s="48" t="n">
        <x:f>SQRT(A174^2+Inputs!$C$6^2)</x:f>
        <x:v>36.069377593742864</x:v>
      </x:c>
      <x:c r="I174" s="48" t="n">
        <x:f>DEGREES(ATAN(H174/B174))</x:f>
        <x:v>5.143016660077165</x:v>
      </x:c>
      <x:c r="J174" s="48" t="n">
        <x:f>DEGREES((2*PI()/Inputs!$C$13)*Inputs!$C$15*SIN(RADIANS(I174)))</x:f>
        <x:v>32.27114944649454</x:v>
      </x:c>
      <x:c r="K174" s="48" t="n">
        <x:f>(C174/D174)^4</x:f>
        <x:v>0.9839931668625745</x:v>
      </x:c>
      <x:c r="L174" s="48" t="n">
        <x:f>10*LOG10(K174)</x:f>
        <x:v>-0.0700791742656688</x:v>
      </x:c>
      <x:c r="M174" s="48" t="n">
        <x:f>2*(Inputs!$C$9/(Inputs!$C$10^2))*A174</x:f>
        <x:v>0.057777777777777775</x:v>
      </x:c>
      <x:c r="N174" s="48" t="n">
        <x:f>M174*Inputs!$C$11</x:f>
        <x:v>0.2311111111111111</x:v>
      </x:c>
      <x:c r="O174" s="48" t="n">
        <x:f>1000*((A174*Inputs!$C$11)+(B174*N174))/D174</x:f>
        <x:v>488.6485743054892</x:v>
      </x:c>
      <x:c r="P174" s="48" t="n">
        <x:f>-2*O174/Inputs!$C$13</x:f>
        <x:v>-195.4594297221957</x:v>
      </x:c>
      <x:c r="Q174" s="48" t="n">
        <x:f>-2*O174/Inputs!$C$14</x:f>
        <x:v>-29.348262721050407</x:v>
      </x:c>
      <x:c r="R174" s="48" t="n">
        <x:f>F174-Inputs!$C$16/2</x:f>
        <x:v>895.071869227484</x:v>
      </x:c>
      <x:c r="S174" s="48" t="n">
        <x:f>F174+Inputs!$C$16/2</x:f>
        <x:v>925.071869227484</x:v>
      </x:c>
      <x:c r="T174" s="48" t="n">
        <x:f>F174-Inputs!$C$17/2</x:f>
        <x:v>760.071869227484</x:v>
      </x:c>
      <x:c r="U174" s="48" t="n">
        <x:f>F174+Inputs!$C$17/2</x:f>
        <x:v>1060.071869227484</x:v>
      </x:c>
      <x:c r="V174" s="48" t="n">
        <x:f>ABS(P174)</x:f>
        <x:v>195.4594297221957</x:v>
      </x:c>
      <x:c r="W174" s="48" t="n">
        <x:f>ABS(Q174)</x:f>
        <x:v>29.348262721050407</x:v>
      </x:c>
      <x:c r="X174" s="48" t="n">
        <x: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(0.45*SIN(2*PI()*(((A174)/Inputs!$C$49)+Inputs!$C$47*0.137))+0.35*COS(2*PI()*(((0)/Inputs!$C$50)+Inputs!$C$47*0.173))+0.20*SIN(2*PI()*(((A174)+(0))/(0.5*(Inputs!$C$49+Inputs!$C$50))+Inputs!$C$47*0.097)))+0.30*(2*((SIN(((A174)*12.9898+(0)*78.233+Inputs!$C$47*37.719))*43758.5453)-INT((SIN(((A174)*12.9898+(0)*78.233+Inputs!$C$47*37.719))*43758.5453)))-1)))</x:f>
        <x:v>65.03267186217182</x:v>
      </x:c>
      <x:c r="Y174" s="48" t="n">
        <x: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(0.45*SIN(2*PI()*(((A174)/Inputs!$C$49)+Inputs!$C$47*0.137))+0.35*COS(2*PI()*(((Inputs!$C$6)/Inputs!$C$50)+Inputs!$C$47*0.173))+0.20*SIN(2*PI()*(((A174)+(Inputs!$C$6))/(0.5*(Inputs!$C$49+Inputs!$C$50))+Inputs!$C$47*0.097)))+0.30*(2*((SIN(((A174)*12.9898+(Inputs!$C$6)*78.233+Inputs!$C$47*37.719))*43758.5453)-INT((SIN(((A174)*12.9898+(Inputs!$C$6)*78.233+Inputs!$C$47*37.719))*43758.5453)))-1)))</x:f>
        <x:v>387.3749410180904</x:v>
      </x:c>
      <x:c r="Z174" s="48" t="n">
        <x:f>B174-X174/1000</x:f>
        <x:v>400.68607843924894</x:v>
      </x:c>
      <x:c r="AA174" s="48" t="n">
        <x:f>SQRT(A174^2+Inputs!$C$6^2+(B174-Y174/1000)^2)</x:f>
        <x:v>401.9852251514673</x:v>
      </x:c>
      <x:c r="AB174" s="48" t="n">
        <x:f>(AA174-Z174)*1000</x:f>
        <x:v>1299.1467122183735</x:v>
      </x:c>
      <x:c r="AC174" s="48" t="n">
        <x:f>AB174/Inputs!$C$12</x:f>
        <x:v>729.8577034934683</x:v>
      </x:c>
      <x:c r="AD174" s="48" t="n">
        <x:f>2*AB174/Inputs!$C$21*1000000</x:f>
        <x:v>8.666973951815516</x:v>
      </x:c>
      <x:c r="AE174" s="48" t="n">
        <x:f>DEGREES(ATAN(H174/(B174-Y174/1000)))</x:f>
        <x:v>5.147966099336315</x:v>
      </x:c>
      <x:c r="AF174" s="48" t="n">
        <x:f>DEGREES((2*PI()/Inputs!$C$13)*Inputs!$C$15*SIN(RADIANS(AE174)))</x:f>
        <x:v>32.302122369932164</x:v>
      </x:c>
      <x:c r="AG174" s="48" t="n">
        <x:f>(Z174/AA174)^4</x:f>
        <x:v>0.9871352252431439</x:v>
      </x:c>
      <x:c r="AH174" s="48" t="n">
        <x:f>10*LOG10(AG174)</x:f>
        <x:v>-0.056233503149082695</x:v>
      </x:c>
      <x:c r="AI174" s="48" t="n">
        <x:f>AC174-F174</x:f>
        <x:v>-180.21416573401564</x:v>
      </x:c>
      <x:c r="AJ174" s="48" t="n">
        <x:f>AD174-G174</x:f>
        <x:v>-2.1400219148044606</x:v>
      </x:c>
      <x:c r="AK174" s="48" t="n">
        <x:f>Y174-X174</x:f>
        <x:v>322.3422691559186</x:v>
      </x:c>
      <x:c r="AL174" s="48" t="n">
        <x:f>1000*(AA175-AA173)/(A175-A173)*Inputs!$C$11</x:f>
        <x:v>515.4654032444341</x:v>
      </x:c>
      <x:c r="AM174" s="48" t="n">
        <x:f>-2*AL174/Inputs!$C$13</x:f>
        <x:v>-206.18616129777365</x:v>
      </x:c>
      <x:c r="AN174" s="48" t="n">
        <x:f>-2*AL174/Inputs!$C$14</x:f>
        <x:v>-30.958883077743796</x:v>
      </x:c>
      <x:c r="AO174" s="48" t="n">
        <x:f>ABS(AM174)</x:f>
        <x:v>206.18616129777365</x:v>
      </x:c>
      <x:c r="AP174" s="48" t="n">
        <x:f>ABS(AN174)</x:f>
        <x:v>30.958883077743796</x:v>
      </x:c>
      <x:c r="AQ174" s="48" t="n">
        <x:f>IF(OR(Inputs!$C$27=TRUE,Inputs!$C$27="TRUE",Inputs!$C$27=1),Inputs!$C$46/Inputs!$C$12,0)</x:f>
        <x:v>42.13483146067416</x:v>
      </x:c>
      <x:c r="AR174" s="48" t="n">
        <x:f>AC174-AQ174</x:f>
        <x:v>687.7228720327942</x:v>
      </x:c>
      <x:c r="AS174" s="48" t="n">
        <x:f>AC174+AQ174</x:f>
        <x:v>771.9925349541425</x:v>
      </x:c>
    </x:row>
    <x:row r="175">
      <x:c r="A175" s="48" t="n">
        <x:f>Inputs!$C$7+173*(Inputs!$C$8-Inputs!$C$7)/240</x:f>
        <x:v>26.5</x:v>
      </x:c>
      <x:c r="B175" s="48" t="n">
        <x:f>Inputs!$C$5+Inputs!$C$9*(A175/Inputs!$C$10)^2</x:f>
        <x:v>400.78027777777777</x:v>
      </x:c>
      <x:c r="C175" s="48" t="n">
        <x:f>B175</x:f>
        <x:v>400.78027777777777</x:v>
      </x:c>
      <x:c r="D175" s="48" t="n">
        <x:f>SQRT(A175^2+Inputs!$C$6^2+B175^2)</x:f>
        <x:v>402.43270376006063</x:v>
      </x:c>
      <x:c r="E175" s="48" t="n">
        <x:f>(D175-C175)*1000</x:f>
        <x:v>1652.425982282864</x:v>
      </x:c>
      <x:c r="F175" s="48" t="n">
        <x:f>E175/Inputs!$C$12</x:f>
        <x:v>928.3292035296988</x:v>
      </x:c>
      <x:c r="G175" s="48" t="n">
        <x:f>2*E175/Inputs!$C$21*1000000</x:f>
        <x:v>11.023799553242023</x:v>
      </x:c>
      <x:c r="H175" s="48" t="n">
        <x:f>SQRT(A175^2+Inputs!$C$6^2)</x:f>
        <x:v>36.43144246389374</x:v>
      </x:c>
      <x:c r="I175" s="48" t="n">
        <x:f>DEGREES(ATAN(H175/B175))</x:f>
        <x:v>5.1939853576754125</x:v>
      </x:c>
      <x:c r="J175" s="48" t="n">
        <x:f>DEGREES((2*PI()/Inputs!$C$13)*Inputs!$C$15*SIN(RADIANS(I175)))</x:f>
        <x:v>32.59009311236641</x:v>
      </x:c>
      <x:c r="K175" s="48" t="n">
        <x:f>(C175/D175)^4</x:f>
        <x:v>0.9836765126007667</x:v>
      </x:c>
      <x:c r="L175" s="48" t="n">
        <x:f>10*LOG10(K175)</x:f>
        <x:v>-0.0714769820501437</x:v>
      </x:c>
      <x:c r="M175" s="48" t="n">
        <x:f>2*(Inputs!$C$9/(Inputs!$C$10^2))*A175</x:f>
        <x:v>0.058888888888888886</x:v>
      </x:c>
      <x:c r="N175" s="48" t="n">
        <x:f>M175*Inputs!$C$11</x:f>
        <x:v>0.23555555555555555</x:v>
      </x:c>
      <x:c r="O175" s="48" t="n">
        <x:f>1000*((A175*Inputs!$C$11)+(B175*N175))/D175</x:f>
        <x:v>497.9864188849345</x:v>
      </x:c>
      <x:c r="P175" s="48" t="n">
        <x:f>-2*O175/Inputs!$C$13</x:f>
        <x:v>-199.1945675539738</x:v>
      </x:c>
      <x:c r="Q175" s="48" t="n">
        <x:f>-2*O175/Inputs!$C$14</x:f>
        <x:v>-29.909094227323397</x:v>
      </x:c>
      <x:c r="R175" s="48" t="n">
        <x:f>F175-Inputs!$C$16/2</x:f>
        <x:v>913.3292035296988</x:v>
      </x:c>
      <x:c r="S175" s="48" t="n">
        <x:f>F175+Inputs!$C$16/2</x:f>
        <x:v>943.3292035296988</x:v>
      </x:c>
      <x:c r="T175" s="48" t="n">
        <x:f>F175-Inputs!$C$17/2</x:f>
        <x:v>778.3292035296988</x:v>
      </x:c>
      <x:c r="U175" s="48" t="n">
        <x:f>F175+Inputs!$C$17/2</x:f>
        <x:v>1078.3292035296988</x:v>
      </x:c>
      <x:c r="V175" s="48" t="n">
        <x:f>ABS(P175)</x:f>
        <x:v>199.1945675539738</x:v>
      </x:c>
      <x:c r="W175" s="48" t="n">
        <x:f>ABS(Q175)</x:f>
        <x:v>29.909094227323397</x:v>
      </x:c>
      <x:c r="X175" s="48" t="n">
        <x: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(0.45*SIN(2*PI()*(((A175)/Inputs!$C$49)+Inputs!$C$47*0.137))+0.35*COS(2*PI()*(((0)/Inputs!$C$50)+Inputs!$C$47*0.173))+0.20*SIN(2*PI()*(((A175)+(0))/(0.5*(Inputs!$C$49+Inputs!$C$50))+Inputs!$C$47*0.097)))+0.30*(2*((SIN(((A175)*12.9898+(0)*78.233+Inputs!$C$47*37.719))*43758.5453)-INT((SIN(((A175)*12.9898+(0)*78.233+Inputs!$C$47*37.719))*43758.5453)))-1)))</x:f>
        <x:v>69.51659821200863</x:v>
      </x:c>
      <x:c r="Y175" s="48" t="n">
        <x: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(0.45*SIN(2*PI()*(((A175)/Inputs!$C$49)+Inputs!$C$47*0.137))+0.35*COS(2*PI()*(((Inputs!$C$6)/Inputs!$C$50)+Inputs!$C$47*0.173))+0.20*SIN(2*PI()*(((A175)+(Inputs!$C$6))/(0.5*(Inputs!$C$49+Inputs!$C$50))+Inputs!$C$47*0.097)))+0.30*(2*((SIN(((A175)*12.9898+(Inputs!$C$6)*78.233+Inputs!$C$47*37.719))*43758.5453)-INT((SIN(((A175)*12.9898+(Inputs!$C$6)*78.233+Inputs!$C$47*37.719))*43758.5453)))-1)))</x:f>
        <x:v>383.48713922986474</x:v>
      </x:c>
      <x:c r="Z175" s="48" t="n">
        <x:f>B175-X175/1000</x:f>
        <x:v>400.71076117956574</x:v>
      </x:c>
      <x:c r="AA175" s="48" t="n">
        <x:f>SQRT(A175^2+Inputs!$C$6^2+(B175-Y175/1000)^2)</x:f>
        <x:v>402.0507927534146</x:v>
      </x:c>
      <x:c r="AB175" s="48" t="n">
        <x:f>(AA175-Z175)*1000</x:f>
        <x:v>1340.0315738488757</x:v>
      </x:c>
      <x:c r="AC175" s="48" t="n">
        <x:f>AB175/Inputs!$C$12</x:f>
        <x:v>752.8267268813909</x:v>
      </x:c>
      <x:c r="AD175" s="48" t="n">
        <x:f>2*AB175/Inputs!$C$21*1000000</x:f>
        <x:v>8.939728389357118</x:v>
      </x:c>
      <x:c r="AE175" s="48" t="n">
        <x:f>DEGREES(ATAN(H175/(B175-Y175/1000)))</x:f>
        <x:v>5.19893274161084</x:v>
      </x:c>
      <x:c r="AF175" s="48" t="n">
        <x:f>DEGREES((2*PI()/Inputs!$C$13)*Inputs!$C$15*SIN(RADIANS(AE175)))</x:f>
        <x:v>32.62105068163768</x:v>
      </x:c>
      <x:c r="AG175" s="48" t="n">
        <x:f>(Z175/AA175)^4</x:f>
        <x:v>0.9867345419793384</x:v>
      </x:c>
      <x:c r="AH175" s="48" t="n">
        <x:f>10*LOG10(AG175)</x:f>
        <x:v>-0.057996684649114005</x:v>
      </x:c>
      <x:c r="AI175" s="48" t="n">
        <x:f>AC175-F175</x:f>
        <x:v>-175.50247664830795</x:v>
      </x:c>
      <x:c r="AJ175" s="48" t="n">
        <x:f>AD175-G175</x:f>
        <x:v>-2.0840711638849054</x:v>
      </x:c>
      <x:c r="AK175" s="48" t="n">
        <x:f>Y175-X175</x:f>
        <x:v>313.97054101785614</x:v>
      </x:c>
      <x:c r="AL175" s="48" t="n">
        <x:f>1000*(AA176-AA174)/(A176-A174)*Inputs!$C$11</x:f>
        <x:v>662.1310834111682</x:v>
      </x:c>
      <x:c r="AM175" s="48" t="n">
        <x:f>-2*AL175/Inputs!$C$13</x:f>
        <x:v>-264.8524333644673</x:v>
      </x:c>
      <x:c r="AN175" s="48" t="n">
        <x:f>-2*AL175/Inputs!$C$14</x:f>
        <x:v>-39.7676326373074</x:v>
      </x:c>
      <x:c r="AO175" s="48" t="n">
        <x:f>ABS(AM175)</x:f>
        <x:v>264.8524333644673</x:v>
      </x:c>
      <x:c r="AP175" s="48" t="n">
        <x:f>ABS(AN175)</x:f>
        <x:v>39.7676326373074</x:v>
      </x:c>
      <x:c r="AQ175" s="48" t="n">
        <x:f>IF(OR(Inputs!$C$27=TRUE,Inputs!$C$27="TRUE",Inputs!$C$27=1),Inputs!$C$46/Inputs!$C$12,0)</x:f>
        <x:v>42.13483146067416</x:v>
      </x:c>
      <x:c r="AR175" s="48" t="n">
        <x:f>AC175-AQ175</x:f>
        <x:v>710.6918954207167</x:v>
      </x:c>
      <x:c r="AS175" s="48" t="n">
        <x:f>AC175+AQ175</x:f>
        <x:v>794.961558342065</x:v>
      </x:c>
    </x:row>
    <x:row r="176">
      <x:c r="A176" s="48" t="n">
        <x:f>Inputs!$C$7+174*(Inputs!$C$8-Inputs!$C$7)/240</x:f>
        <x:v>27</x:v>
      </x:c>
      <x:c r="B176" s="48" t="n">
        <x:f>Inputs!$C$5+Inputs!$C$9*(A176/Inputs!$C$10)^2</x:f>
        <x:v>400.81</x:v>
      </x:c>
      <x:c r="C176" s="48" t="n">
        <x:f>B176</x:f>
        <x:v>400.81</x:v>
      </x:c>
      <x:c r="D176" s="48" t="n">
        <x:f>SQRT(A176^2+Inputs!$C$6^2+B176^2)</x:f>
        <x:v>402.4955355031904</x:v>
      </x:c>
      <x:c r="E176" s="48" t="n">
        <x:f>(D176-C176)*1000</x:f>
        <x:v>1685.5355031904082</x:v>
      </x:c>
      <x:c r="F176" s="48" t="n">
        <x:f>E176/Inputs!$C$12</x:f>
        <x:v>946.9300579721395</x:v>
      </x:c>
      <x:c r="G176" s="48" t="n">
        <x:f>2*E176/Inputs!$C$21*1000000</x:f>
        <x:v>11.244682500921408</x:v>
      </x:c>
      <x:c r="H176" s="48" t="n">
        <x:f>SQRT(A176^2+Inputs!$C$6^2)</x:f>
        <x:v>36.796738985948195</x:v>
      </x:c>
      <x:c r="I176" s="48" t="n">
        <x:f>DEGREES(ATAN(H176/B176))</x:f>
        <x:v>5.2453892719816</x:v>
      </x:c>
      <x:c r="J176" s="48" t="n">
        <x:f>DEGREES((2*PI()/Inputs!$C$13)*Inputs!$C$15*SIN(RADIANS(I176)))</x:f>
        <x:v>32.911734085150734</x:v>
      </x:c>
      <x:c r="K176" s="48" t="n">
        <x:f>(C176/D176)^4</x:f>
        <x:v>0.9833540789698759</x:v>
      </x:c>
      <x:c r="L176" s="48" t="n">
        <x:f>10*LOG10(K176)</x:f>
        <x:v>-0.0729007641563313</x:v>
      </x:c>
      <x:c r="M176" s="48" t="n">
        <x:f>2*(Inputs!$C$9/(Inputs!$C$10^2))*A176</x:f>
        <x:v>0.06</x:v>
      </x:c>
      <x:c r="N176" s="48" t="n">
        <x:f>M176*Inputs!$C$11</x:f>
        <x:v>0.24</x:v>
      </x:c>
      <x:c r="O176" s="48" t="n">
        <x:f>1000*((A176*Inputs!$C$11)+(B176*N176))/D176</x:f>
        <x:v>507.3209066647683</x:v>
      </x:c>
      <x:c r="P176" s="48" t="n">
        <x:f>-2*O176/Inputs!$C$13</x:f>
        <x:v>-202.92836266590731</x:v>
      </x:c>
      <x:c r="Q176" s="48" t="n">
        <x:f>-2*O176/Inputs!$C$14</x:f>
        <x:v>-30.46972412401011</x:v>
      </x:c>
      <x:c r="R176" s="48" t="n">
        <x:f>F176-Inputs!$C$16/2</x:f>
        <x:v>931.9300579721395</x:v>
      </x:c>
      <x:c r="S176" s="48" t="n">
        <x:f>F176+Inputs!$C$16/2</x:f>
        <x:v>961.9300579721395</x:v>
      </x:c>
      <x:c r="T176" s="48" t="n">
        <x:f>F176-Inputs!$C$17/2</x:f>
        <x:v>796.9300579721395</x:v>
      </x:c>
      <x:c r="U176" s="48" t="n">
        <x:f>F176+Inputs!$C$17/2</x:f>
        <x:v>1096.9300579721394</x:v>
      </x:c>
      <x:c r="V176" s="48" t="n">
        <x:f>ABS(P176)</x:f>
        <x:v>202.92836266590731</x:v>
      </x:c>
      <x:c r="W176" s="48" t="n">
        <x:f>ABS(Q176)</x:f>
        <x:v>30.46972412401011</x:v>
      </x:c>
      <x:c r="X176" s="48" t="n">
        <x: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(0.45*SIN(2*PI()*(((A176)/Inputs!$C$49)+Inputs!$C$47*0.137))+0.35*COS(2*PI()*(((0)/Inputs!$C$50)+Inputs!$C$47*0.173))+0.20*SIN(2*PI()*(((A176)+(0))/(0.5*(Inputs!$C$49+Inputs!$C$50))+Inputs!$C$47*0.097)))+0.30*(2*((SIN(((A176)*12.9898+(0)*78.233+Inputs!$C$47*37.719))*43758.5453)-INT((SIN(((A176)*12.9898+(0)*78.233+Inputs!$C$47*37.719))*43758.5453)))-1)))</x:f>
        <x:v>64.45446968061479</x:v>
      </x:c>
      <x:c r="Y176" s="48" t="n">
        <x: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(0.45*SIN(2*PI()*(((A176)/Inputs!$C$49)+Inputs!$C$47*0.137))+0.35*COS(2*PI()*(((Inputs!$C$6)/Inputs!$C$50)+Inputs!$C$47*0.173))+0.20*SIN(2*PI()*(((A176)+(Inputs!$C$6))/(0.5*(Inputs!$C$49+Inputs!$C$50))+Inputs!$C$47*0.097)))+0.30*(2*((SIN(((A176)*12.9898+(Inputs!$C$6)*78.233+Inputs!$C$47*37.719))*43758.5453)-INT((SIN(((A176)*12.9898+(Inputs!$C$6)*78.233+Inputs!$C$47*37.719))*43758.5453)))-1)))</x:f>
        <x:v>346.2287328646241</x:v>
      </x:c>
      <x:c r="Z176" s="48" t="n">
        <x:f>B176-X176/1000</x:f>
        <x:v>400.74554553031936</x:v>
      </x:c>
      <x:c r="AA176" s="48" t="n">
        <x:f>SQRT(A176^2+Inputs!$C$6^2+(B176-Y176/1000)^2)</x:f>
        <x:v>402.1507579223201</x:v>
      </x:c>
      <x:c r="AB176" s="48" t="n">
        <x:f>(AA176-Z176)*1000</x:f>
        <x:v>1405.2123920007489</x:v>
      </x:c>
      <x:c r="AC176" s="48" t="n">
        <x:f>AB176/Inputs!$C$12</x:f>
        <x:v>789.4451640453645</x:v>
      </x:c>
      <x:c r="AD176" s="48" t="n">
        <x:f>2*AB176/Inputs!$C$21*1000000</x:f>
        <x:v>9.374568001979215</x:v>
      </x:c>
      <x:c r="AE176" s="48" t="n">
        <x:f>DEGREES(ATAN(H176/(B176-Y176/1000)))</x:f>
        <x:v>5.249898945607764</x:v>
      </x:c>
      <x:c r="AF176" s="48" t="n">
        <x:f>DEGREES((2*PI()/Inputs!$C$13)*Inputs!$C$15*SIN(RADIANS(AE176)))</x:f>
        <x:v>32.93995043893495</x:v>
      </x:c>
      <x:c r="AG176" s="48" t="n">
        <x:f>(Z176/AA176)^4</x:f>
        <x:v>0.9860961166745595</x:v>
      </x:c>
      <x:c r="AH176" s="48" t="n">
        <x:f>10*LOG10(AG176)</x:f>
        <x:v>-0.0608075148177882</x:v>
      </x:c>
      <x:c r="AI176" s="48" t="n">
        <x:f>AC176-F176</x:f>
        <x:v>-157.48489392677493</x:v>
      </x:c>
      <x:c r="AJ176" s="48" t="n">
        <x:f>AD176-G176</x:f>
        <x:v>-1.8701144989421934</x:v>
      </x:c>
      <x:c r="AK176" s="48" t="n">
        <x:f>Y176-X176</x:f>
        <x:v>281.77426318400927</x:v>
      </x:c>
      <x:c r="AL176" s="48" t="n">
        <x:f>1000*(AA177-AA175)/(A177-A175)*Inputs!$C$11</x:f>
        <x:v>692.5862719433553</x:v>
      </x:c>
      <x:c r="AM176" s="48" t="n">
        <x:f>-2*AL176/Inputs!$C$13</x:f>
        <x:v>-277.0345087773421</x:v>
      </x:c>
      <x:c r="AN176" s="48" t="n">
        <x:f>-2*AL176/Inputs!$C$14</x:f>
        <x:v>-41.59677308969101</x:v>
      </x:c>
      <x:c r="AO176" s="48" t="n">
        <x:f>ABS(AM176)</x:f>
        <x:v>277.0345087773421</x:v>
      </x:c>
      <x:c r="AP176" s="48" t="n">
        <x:f>ABS(AN176)</x:f>
        <x:v>41.59677308969101</x:v>
      </x:c>
      <x:c r="AQ176" s="48" t="n">
        <x:f>IF(OR(Inputs!$C$27=TRUE,Inputs!$C$27="TRUE",Inputs!$C$27=1),Inputs!$C$46/Inputs!$C$12,0)</x:f>
        <x:v>42.13483146067416</x:v>
      </x:c>
      <x:c r="AR176" s="48" t="n">
        <x:f>AC176-AQ176</x:f>
        <x:v>747.3103325846904</x:v>
      </x:c>
      <x:c r="AS176" s="48" t="n">
        <x:f>AC176+AQ176</x:f>
        <x:v>831.5799955060387</x:v>
      </x:c>
    </x:row>
    <x:row r="177">
      <x:c r="A177" s="48" t="n">
        <x:f>Inputs!$C$7+175*(Inputs!$C$8-Inputs!$C$7)/240</x:f>
        <x:v>27.5</x:v>
      </x:c>
      <x:c r="B177" s="48" t="n">
        <x:f>Inputs!$C$5+Inputs!$C$9*(A177/Inputs!$C$10)^2</x:f>
        <x:v>400.84027777777777</x:v>
      </x:c>
      <x:c r="C177" s="48" t="n">
        <x:f>B177</x:f>
        <x:v>400.84027777777777</x:v>
      </x:c>
      <x:c r="D177" s="48" t="n">
        <x:f>SQRT(A177^2+Inputs!$C$6^2+B177^2)</x:f>
        <x:v>402.5595338443322</x:v>
      </x:c>
      <x:c r="E177" s="48" t="n">
        <x:f>(D177-C177)*1000</x:f>
        <x:v>1719.2560665544079</x:v>
      </x:c>
      <x:c r="F177" s="48" t="n">
        <x:f>E177/Inputs!$C$12</x:f>
        <x:v>965.8741946934875</x:v>
      </x:c>
      <x:c r="G177" s="48" t="n">
        <x:f>2*E177/Inputs!$C$21*1000000</x:f>
        <x:v>11.4696418850831</x:v>
      </x:c>
      <x:c r="H177" s="48" t="n">
        <x:f>SQRT(A177^2+Inputs!$C$6^2)</x:f>
        <x:v>37.16517186829626</x:v>
      </x:c>
      <x:c r="I177" s="48" t="n">
        <x:f>DEGREES(ATAN(H177/B177))</x:f>
        <x:v>5.297214287097746</x:v>
      </x:c>
      <x:c r="J177" s="48" t="n">
        <x:f>DEGREES((2*PI()/Inputs!$C$13)*Inputs!$C$15*SIN(RADIANS(I177)))</x:f>
        <x:v>33.23598312233844</x:v>
      </x:c>
      <x:c r="K177" s="48" t="n">
        <x:f>(C177/D177)^4</x:f>
        <x:v>0.9830258799568693</x:v>
      </x:c>
      <x:c r="L177" s="48" t="n">
        <x:f>10*LOG10(K177)</x:f>
        <x:v>-0.0743504841963607</x:v>
      </x:c>
      <x:c r="M177" s="48" t="n">
        <x:f>2*(Inputs!$C$9/(Inputs!$C$10^2))*A177</x:f>
        <x:v>0.06111111111111111</x:v>
      </x:c>
      <x:c r="N177" s="48" t="n">
        <x:f>M177*Inputs!$C$11</x:f>
        <x:v>0.24444444444444444</x:v>
      </x:c>
      <x:c r="O177" s="48" t="n">
        <x:f>1000*((A177*Inputs!$C$11)+(B177*N177))/D177</x:f>
        <x:v>516.6519769788181</x:v>
      </x:c>
      <x:c r="P177" s="48" t="n">
        <x:f>-2*O177/Inputs!$C$13</x:f>
        <x:v>-206.66079079152723</x:v>
      </x:c>
      <x:c r="Q177" s="48" t="n">
        <x:f>-2*O177/Inputs!$C$14</x:f>
        <x:v>-31.030148767496584</x:v>
      </x:c>
      <x:c r="R177" s="48" t="n">
        <x:f>F177-Inputs!$C$16/2</x:f>
        <x:v>950.8741946934875</x:v>
      </x:c>
      <x:c r="S177" s="48" t="n">
        <x:f>F177+Inputs!$C$16/2</x:f>
        <x:v>980.8741946934875</x:v>
      </x:c>
      <x:c r="T177" s="48" t="n">
        <x:f>F177-Inputs!$C$17/2</x:f>
        <x:v>815.8741946934875</x:v>
      </x:c>
      <x:c r="U177" s="48" t="n">
        <x:f>F177+Inputs!$C$17/2</x:f>
        <x:v>1115.8741946934874</x:v>
      </x:c>
      <x:c r="V177" s="48" t="n">
        <x:f>ABS(P177)</x:f>
        <x:v>206.66079079152723</x:v>
      </x:c>
      <x:c r="W177" s="48" t="n">
        <x:f>ABS(Q177)</x:f>
        <x:v>31.030148767496584</x:v>
      </x:c>
      <x:c r="X177" s="48" t="n">
        <x: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(0.45*SIN(2*PI()*(((A177)/Inputs!$C$49)+Inputs!$C$47*0.137))+0.35*COS(2*PI()*(((0)/Inputs!$C$50)+Inputs!$C$47*0.173))+0.20*SIN(2*PI()*(((A177)+(0))/(0.5*(Inputs!$C$49+Inputs!$C$50))+Inputs!$C$47*0.097)))+0.30*(2*((SIN(((A177)*12.9898+(0)*78.233+Inputs!$C$47*37.719))*43758.5453)-INT((SIN(((A177)*12.9898+(0)*78.233+Inputs!$C$47*37.719))*43758.5453)))-1)))</x:f>
        <x:v>45.78588130375909</x:v>
      </x:c>
      <x:c r="Y177" s="48" t="n">
        <x: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(0.45*SIN(2*PI()*(((A177)/Inputs!$C$49)+Inputs!$C$47*0.137))+0.35*COS(2*PI()*(((Inputs!$C$6)/Inputs!$C$50)+Inputs!$C$47*0.173))+0.20*SIN(2*PI()*(((A177)+(Inputs!$C$6))/(0.5*(Inputs!$C$49+Inputs!$C$50))+Inputs!$C$47*0.097)))+0.30*(2*((SIN(((A177)*12.9898+(Inputs!$C$6)*78.233+Inputs!$C$47*37.719))*43758.5453)-INT((SIN(((A177)*12.9898+(Inputs!$C$6)*78.233+Inputs!$C$47*37.719))*43758.5453)))-1)))</x:f>
        <x:v>337.0351401860322</x:v>
      </x:c>
      <x:c r="Z177" s="48" t="n">
        <x:f>B177-X177/1000</x:f>
        <x:v>400.794491896474</x:v>
      </x:c>
      <x:c r="AA177" s="48" t="n">
        <x:f>SQRT(A177^2+Inputs!$C$6^2+(B177-Y177/1000)^2)</x:f>
        <x:v>402.22393932140045</x:v>
      </x:c>
      <x:c r="AB177" s="48" t="n">
        <x:f>(AA177-Z177)*1000</x:f>
        <x:v>1429.4474249264226</x:v>
      </x:c>
      <x:c r="AC177" s="48" t="n">
        <x:f>AB177/Inputs!$C$12</x:f>
        <x:v>803.0603510822599</x:v>
      </x:c>
      <x:c r="AD177" s="48" t="n">
        <x:f>2*AB177/Inputs!$C$21*1000000</x:f>
        <x:v>9.53624673857821</x:v>
      </x:c>
      <x:c r="AE177" s="48" t="n">
        <x:f>DEGREES(ATAN(H177/(B177-Y177/1000)))</x:f>
        <x:v>5.301646656321297</x:v>
      </x:c>
      <x:c r="AF177" s="48" t="n">
        <x:f>DEGREES((2*PI()/Inputs!$C$13)*Inputs!$C$15*SIN(RADIANS(AE177)))</x:f>
        <x:v>33.26371348050391</x:v>
      </x:c>
      <x:c r="AG177" s="48" t="n">
        <x:f>(Z177/AA177)^4</x:f>
        <x:v>0.9858601615625461</x:v>
      </x:c>
      <x:c r="AH177" s="48" t="n">
        <x:f>10*LOG10(AG177)</x:f>
        <x:v>-0.0618468279581888</x:v>
      </x:c>
      <x:c r="AI177" s="48" t="n">
        <x:f>AC177-F177</x:f>
        <x:v>-162.81384361122764</x:v>
      </x:c>
      <x:c r="AJ177" s="48" t="n">
        <x:f>AD177-G177</x:f>
        <x:v>-1.933395146504889</x:v>
      </x:c>
      <x:c r="AK177" s="48" t="n">
        <x:f>Y177-X177</x:f>
        <x:v>291.2492588822731</x:v>
      </x:c>
      <x:c r="AL177" s="48" t="n">
        <x:f>1000*(AA178-AA176)/(A178-A176)*Inputs!$C$11</x:f>
        <x:v>652.4698651030576</x:v>
      </x:c>
      <x:c r="AM177" s="48" t="n">
        <x:f>-2*AL177/Inputs!$C$13</x:f>
        <x:v>-260.98794604122304</x:v>
      </x:c>
      <x:c r="AN177" s="48" t="n">
        <x:f>-2*AL177/Inputs!$C$14</x:f>
        <x:v>-39.18737928546893</x:v>
      </x:c>
      <x:c r="AO177" s="48" t="n">
        <x:f>ABS(AM177)</x:f>
        <x:v>260.98794604122304</x:v>
      </x:c>
      <x:c r="AP177" s="48" t="n">
        <x:f>ABS(AN177)</x:f>
        <x:v>39.18737928546893</x:v>
      </x:c>
      <x:c r="AQ177" s="48" t="n">
        <x:f>IF(OR(Inputs!$C$27=TRUE,Inputs!$C$27="TRUE",Inputs!$C$27=1),Inputs!$C$46/Inputs!$C$12,0)</x:f>
        <x:v>42.13483146067416</x:v>
      </x:c>
      <x:c r="AR177" s="48" t="n">
        <x:f>AC177-AQ177</x:f>
        <x:v>760.9255196215857</x:v>
      </x:c>
      <x:c r="AS177" s="48" t="n">
        <x:f>AC177+AQ177</x:f>
        <x:v>845.195182542934</x:v>
      </x:c>
    </x:row>
    <x:row r="178">
      <x:c r="A178" s="48" t="n">
        <x:f>Inputs!$C$7+176*(Inputs!$C$8-Inputs!$C$7)/240</x:f>
        <x:v>28</x:v>
      </x:c>
      <x:c r="B178" s="48" t="n">
        <x:f>Inputs!$C$5+Inputs!$C$9*(A178/Inputs!$C$10)^2</x:f>
        <x:v>400.87111111111113</x:v>
      </x:c>
      <x:c r="C178" s="48" t="n">
        <x:f>B178</x:f>
        <x:v>400.87111111111113</x:v>
      </x:c>
      <x:c r="D178" s="48" t="n">
        <x:f>SQRT(A178^2+Inputs!$C$6^2+B178^2)</x:f>
        <x:v>402.62469835251886</x:v>
      </x:c>
      <x:c r="E178" s="48" t="n">
        <x:f>(D178-C178)*1000</x:f>
        <x:v>1753.587241407729</x:v>
      </x:c>
      <x:c r="F178" s="48" t="n">
        <x:f>E178/Inputs!$C$12</x:f>
        <x:v>985.1613715773758</x:v>
      </x:c>
      <x:c r="G178" s="48" t="n">
        <x:f>2*E178/Inputs!$C$21*1000000</x:f>
        <x:v>11.69867483062385</x:v>
      </x:c>
      <x:c r="H178" s="48" t="n">
        <x:f>SQRT(A178^2+Inputs!$C$6^2)</x:f>
        <x:v>37.53664875824692</x:v>
      </x:c>
      <x:c r="I178" s="48" t="n">
        <x:f>DEGREES(ATAN(H178/B178))</x:f>
        <x:v>5.349446707466922</x:v>
      </x:c>
      <x:c r="J178" s="48" t="n">
        <x:f>DEGREES((2*PI()/Inputs!$C$13)*Inputs!$C$15*SIN(RADIANS(I178)))</x:f>
        <x:v>33.56275362207757</x:v>
      </x:c>
      <x:c r="K178" s="48" t="n">
        <x:f>(C178/D178)^4</x:f>
        <x:v>0.9826919297839273</x:v>
      </x:c>
      <x:c r="L178" s="48" t="n">
        <x:f>10*LOG10(K178)</x:f>
        <x:v>-0.0758261051427241</x:v>
      </x:c>
      <x:c r="M178" s="48" t="n">
        <x:f>2*(Inputs!$C$9/(Inputs!$C$10^2))*A178</x:f>
        <x:v>0.06222222222222222</x:v>
      </x:c>
      <x:c r="N178" s="48" t="n">
        <x:f>M178*Inputs!$C$11</x:f>
        <x:v>0.24888888888888888</x:v>
      </x:c>
      <x:c r="O178" s="48" t="n">
        <x:f>1000*((A178*Inputs!$C$11)+(B178*N178))/D178</x:f>
        <x:v>525.9795693076957</x:v>
      </x:c>
      <x:c r="P178" s="48" t="n">
        <x:f>-2*O178/Inputs!$C$13</x:f>
        <x:v>-210.39182772307828</x:v>
      </x:c>
      <x:c r="Q178" s="48" t="n">
        <x:f>-2*O178/Inputs!$C$14</x:f>
        <x:v>-31.59036452298473</x:v>
      </x:c>
      <x:c r="R178" s="48" t="n">
        <x:f>F178-Inputs!$C$16/2</x:f>
        <x:v>970.1613715773758</x:v>
      </x:c>
      <x:c r="S178" s="48" t="n">
        <x:f>F178+Inputs!$C$16/2</x:f>
        <x:v>1000.1613715773758</x:v>
      </x:c>
      <x:c r="T178" s="48" t="n">
        <x:f>F178-Inputs!$C$17/2</x:f>
        <x:v>835.1613715773758</x:v>
      </x:c>
      <x:c r="U178" s="48" t="n">
        <x:f>F178+Inputs!$C$17/2</x:f>
        <x:v>1135.1613715773758</x:v>
      </x:c>
      <x:c r="V178" s="48" t="n">
        <x:f>ABS(P178)</x:f>
        <x:v>210.39182772307828</x:v>
      </x:c>
      <x:c r="W178" s="48" t="n">
        <x:f>ABS(Q178)</x:f>
        <x:v>31.59036452298473</x:v>
      </x:c>
      <x:c r="X178" s="48" t="n">
        <x: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(0.45*SIN(2*PI()*(((A178)/Inputs!$C$49)+Inputs!$C$47*0.137))+0.35*COS(2*PI()*(((0)/Inputs!$C$50)+Inputs!$C$47*0.173))+0.20*SIN(2*PI()*(((A178)+(0))/(0.5*(Inputs!$C$49+Inputs!$C$50))+Inputs!$C$47*0.097)))+0.30*(2*((SIN(((A178)*12.9898+(0)*78.233+Inputs!$C$47*37.719))*43758.5453)-INT((SIN(((A178)*12.9898+(0)*78.233+Inputs!$C$47*37.719))*43758.5453)))-1)))</x:f>
        <x:v>58.94439177372493</x:v>
      </x:c>
      <x:c r="Y178" s="48" t="n">
        <x: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(0.45*SIN(2*PI()*(((A178)/Inputs!$C$49)+Inputs!$C$47*0.137))+0.35*COS(2*PI()*(((Inputs!$C$6)/Inputs!$C$50)+Inputs!$C$47*0.173))+0.20*SIN(2*PI()*(((A178)+(Inputs!$C$6))/(0.5*(Inputs!$C$49+Inputs!$C$50))+Inputs!$C$47*0.097)))+0.30*(2*((SIN(((A178)*12.9898+(Inputs!$C$6)*78.233+Inputs!$C$47*37.719))*43758.5453)-INT((SIN(((A178)*12.9898+(Inputs!$C$6)*78.233+Inputs!$C$47*37.719))*43758.5453)))-1)))</x:f>
        <x:v>312.18369818898617</x:v>
      </x:c>
      <x:c r="Z178" s="48" t="n">
        <x:f>B178-X178/1000</x:f>
        <x:v>400.8121667193374</x:v>
      </x:c>
      <x:c r="AA178" s="48" t="n">
        <x:f>SQRT(A178^2+Inputs!$C$6^2+(B178-Y178/1000)^2)</x:f>
        <x:v>402.3138753885959</x:v>
      </x:c>
      <x:c r="AB178" s="48" t="n">
        <x:f>(AA178-Z178)*1000</x:f>
        <x:v>1501.7086692584485</x:v>
      </x:c>
      <x:c r="AC178" s="48" t="n">
        <x:f>AB178/Inputs!$C$12</x:f>
        <x:v>843.6565557631733</x:v>
      </x:c>
      <x:c r="AD178" s="48" t="n">
        <x:f>2*AB178/Inputs!$C$21*1000000</x:f>
        <x:v>10.018321870248307</x:v>
      </x:c>
      <x:c r="AE178" s="48" t="n">
        <x:f>DEGREES(ATAN(H178/(B178-Y178/1000)))</x:f>
        <x:v>5.353591692118461</x:v>
      </x:c>
      <x:c r="AF178" s="48" t="n">
        <x:f>DEGREES((2*PI()/Inputs!$C$13)*Inputs!$C$15*SIN(RADIANS(AE178)))</x:f>
        <x:v>33.58868381041163</x:v>
      </x:c>
      <x:c r="AG178" s="48" t="n">
        <x:f>(Z178/AA178)^4</x:f>
        <x:v>0.9851526723886999</x:v>
      </x:c>
      <x:c r="AH178" s="48" t="n">
        <x:f>10*LOG10(AG178)</x:f>
        <x:v>-0.0649646022528167</x:v>
      </x:c>
      <x:c r="AI178" s="48" t="n">
        <x:f>AC178-F178</x:f>
        <x:v>-141.50481581420252</x:v>
      </x:c>
      <x:c r="AJ178" s="48" t="n">
        <x:f>AD178-G178</x:f>
        <x:v>-1.6803529603755418</x:v>
      </x:c>
      <x:c r="AK178" s="48" t="n">
        <x:f>Y178-X178</x:f>
        <x:v>253.23930641526124</x:v>
      </x:c>
      <x:c r="AL178" s="48" t="n">
        <x:f>1000*(AA179-AA177)/(A179-A177)*Inputs!$C$11</x:f>
        <x:v>632.0130368712853</x:v>
      </x:c>
      <x:c r="AM178" s="48" t="n">
        <x:f>-2*AL178/Inputs!$C$13</x:f>
        <x:v>-252.80521474851412</x:v>
      </x:c>
      <x:c r="AN178" s="48" t="n">
        <x:f>-2*AL178/Inputs!$C$14</x:f>
        <x:v>-37.958740953230354</x:v>
      </x:c>
      <x:c r="AO178" s="48" t="n">
        <x:f>ABS(AM178)</x:f>
        <x:v>252.80521474851412</x:v>
      </x:c>
      <x:c r="AP178" s="48" t="n">
        <x:f>ABS(AN178)</x:f>
        <x:v>37.958740953230354</x:v>
      </x:c>
      <x:c r="AQ178" s="48" t="n">
        <x:f>IF(OR(Inputs!$C$27=TRUE,Inputs!$C$27="TRUE",Inputs!$C$27=1),Inputs!$C$46/Inputs!$C$12,0)</x:f>
        <x:v>42.13483146067416</x:v>
      </x:c>
      <x:c r="AR178" s="48" t="n">
        <x:f>AC178-AQ178</x:f>
        <x:v>801.5217243024991</x:v>
      </x:c>
      <x:c r="AS178" s="48" t="n">
        <x:f>AC178+AQ178</x:f>
        <x:v>885.7913872238474</x:v>
      </x:c>
    </x:row>
    <x:row r="179">
      <x:c r="A179" s="48" t="n">
        <x:f>Inputs!$C$7+177*(Inputs!$C$8-Inputs!$C$7)/240</x:f>
        <x:v>28.5</x:v>
      </x:c>
      <x:c r="B179" s="48" t="n">
        <x:f>Inputs!$C$5+Inputs!$C$9*(A179/Inputs!$C$10)^2</x:f>
        <x:v>400.9025</x:v>
      </x:c>
      <x:c r="C179" s="48" t="n">
        <x:f>B179</x:f>
        <x:v>400.9025</x:v>
      </x:c>
      <x:c r="D179" s="48" t="n">
        <x:f>SQRT(A179^2+Inputs!$C$6^2+B179^2)</x:f>
        <x:v>402.6910285892274</x:v>
      </x:c>
      <x:c r="E179" s="48" t="n">
        <x:f>(D179-C179)*1000</x:f>
        <x:v>1788.5285892274396</x:v>
      </x:c>
      <x:c r="F179" s="48" t="n">
        <x:f>E179/Inputs!$C$12</x:f>
        <x:v>1004.7913422626065</x:v>
      </x:c>
      <x:c r="G179" s="48" t="n">
        <x:f>2*E179/Inputs!$C$21*1000000</x:f>
        <x:v>11.931778412033564</x:v>
      </x:c>
      <x:c r="H179" s="48" t="n">
        <x:f>SQRT(A179^2+Inputs!$C$6^2)</x:f>
        <x:v>37.911080174534725</x:v>
      </x:c>
      <x:c r="I179" s="48" t="n">
        <x:f>DEGREES(ATAN(H179/B179))</x:f>
        <x:v>5.402073248314196</x:v>
      </x:c>
      <x:c r="J179" s="48" t="n">
        <x:f>DEGREES((2*PI()/Inputs!$C$13)*Inputs!$C$15*SIN(RADIANS(I179)))</x:f>
        <x:v>33.891961563301656</x:v>
      </x:c>
      <x:c r="K179" s="48" t="n">
        <x:f>(C179/D179)^4</x:f>
        <x:v>0.9823522429070451</x:v>
      </x:c>
      <x:c r="L179" s="48" t="n">
        <x:f>10*LOG10(K179)</x:f>
        <x:v>-0.0773275893304539</x:v>
      </x:c>
      <x:c r="M179" s="48" t="n">
        <x:f>2*(Inputs!$C$9/(Inputs!$C$10^2))*A179</x:f>
        <x:v>0.06333333333333334</x:v>
      </x:c>
      <x:c r="N179" s="48" t="n">
        <x:f>M179*Inputs!$C$11</x:f>
        <x:v>0.25333333333333335</x:v>
      </x:c>
      <x:c r="O179" s="48" t="n">
        <x:f>1000*((A179*Inputs!$C$11)+(B179*N179))/D179</x:f>
        <x:v>535.3036232812494</x:v>
      </x:c>
      <x:c r="P179" s="48" t="n">
        <x:f>-2*O179/Inputs!$C$13</x:f>
        <x:v>-214.12144931249978</x:v>
      </x:c>
      <x:c r="Q179" s="48" t="n">
        <x:f>-2*O179/Inputs!$C$14</x:f>
        <x:v>-32.15036776463961</x:v>
      </x:c>
      <x:c r="R179" s="48" t="n">
        <x:f>F179-Inputs!$C$16/2</x:f>
        <x:v>989.7913422626065</x:v>
      </x:c>
      <x:c r="S179" s="48" t="n">
        <x:f>F179+Inputs!$C$16/2</x:f>
        <x:v>1019.7913422626065</x:v>
      </x:c>
      <x:c r="T179" s="48" t="n">
        <x:f>F179-Inputs!$C$17/2</x:f>
        <x:v>854.7913422626065</x:v>
      </x:c>
      <x:c r="U179" s="48" t="n">
        <x:f>F179+Inputs!$C$17/2</x:f>
        <x:v>1154.7913422626066</x:v>
      </x:c>
      <x:c r="V179" s="48" t="n">
        <x:f>ABS(P179)</x:f>
        <x:v>214.12144931249978</x:v>
      </x:c>
      <x:c r="W179" s="48" t="n">
        <x:f>ABS(Q179)</x:f>
        <x:v>32.15036776463961</x:v>
      </x:c>
      <x:c r="X179" s="48" t="n">
        <x: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(0.45*SIN(2*PI()*(((A179)/Inputs!$C$49)+Inputs!$C$47*0.137))+0.35*COS(2*PI()*(((0)/Inputs!$C$50)+Inputs!$C$47*0.173))+0.20*SIN(2*PI()*(((A179)+(0))/(0.5*(Inputs!$C$49+Inputs!$C$50))+Inputs!$C$47*0.097)))+0.30*(2*((SIN(((A179)*12.9898+(0)*78.233+Inputs!$C$47*37.719))*43758.5453)-INT((SIN(((A179)*12.9898+(0)*78.233+Inputs!$C$47*37.719))*43758.5453)))-1)))</x:f>
        <x:v>53.72705851492565</x:v>
      </x:c>
      <x:c r="Y179" s="48" t="n">
        <x: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(0.45*SIN(2*PI()*(((A179)/Inputs!$C$49)+Inputs!$C$47*0.137))+0.35*COS(2*PI()*(((Inputs!$C$6)/Inputs!$C$50)+Inputs!$C$47*0.173))+0.20*SIN(2*PI()*(((A179)+(Inputs!$C$6))/(0.5*(Inputs!$C$49+Inputs!$C$50))+Inputs!$C$47*0.097)))+0.30*(2*((SIN(((A179)*12.9898+(Inputs!$C$6)*78.233+Inputs!$C$47*37.719))*43758.5453)-INT((SIN(((A179)*12.9898+(Inputs!$C$6)*78.233+Inputs!$C$47*37.719))*43758.5453)))-1)))</x:f>
        <x:v>310.4659866511931</x:v>
      </x:c>
      <x:c r="Z179" s="48" t="n">
        <x:f>B179-X179/1000</x:f>
        <x:v>400.84877294148504</x:v>
      </x:c>
      <x:c r="AA179" s="48" t="n">
        <x:f>SQRT(A179^2+Inputs!$C$6^2+(B179-Y179/1000)^2)</x:f>
        <x:v>402.3819425806183</x:v>
      </x:c>
      <x:c r="AB179" s="48" t="n">
        <x:f>(AA179-Z179)*1000</x:f>
        <x:v>1533.1696391332343</x:v>
      </x:c>
      <x:c r="AC179" s="48" t="n">
        <x:f>AB179/Inputs!$C$12</x:f>
        <x:v>861.3312579400193</x:v>
      </x:c>
      <x:c r="AD179" s="48" t="n">
        <x:f>2*AB179/Inputs!$C$21*1000000</x:f>
        <x:v>10.228206869255091</x:v>
      </x:c>
      <x:c r="AE179" s="48" t="n">
        <x:f>DEGREES(ATAN(H179/(B179-Y179/1000)))</x:f>
        <x:v>5.40623515541457</x:v>
      </x:c>
      <x:c r="AF179" s="48" t="n">
        <x:f>DEGREES((2*PI()/Inputs!$C$13)*Inputs!$C$15*SIN(RADIANS(AE179)))</x:f>
        <x:v>33.917995363567016</x:v>
      </x:c>
      <x:c r="AG179" s="48" t="n">
        <x:f>(Z179/AA179)^4</x:f>
        <x:v>0.9848459474865456</x:v>
      </x:c>
      <x:c r="AH179" s="48" t="n">
        <x:f>10*LOG10(AG179)</x:f>
        <x:v>-0.0663169781600926</x:v>
      </x:c>
      <x:c r="AI179" s="48" t="n">
        <x:f>AC179-F179</x:f>
        <x:v>-143.46008432258714</x:v>
      </x:c>
      <x:c r="AJ179" s="48" t="n">
        <x:f>AD179-G179</x:f>
        <x:v>-1.703571542778473</x:v>
      </x:c>
      <x:c r="AK179" s="48" t="n">
        <x:f>Y179-X179</x:f>
        <x:v>256.7389281362674</x:v>
      </x:c>
      <x:c r="AL179" s="48" t="n">
        <x:f>1000*(AA180-AA178)/(A180-A178)*Inputs!$C$11</x:f>
        <x:v>647.8162342339147</x:v>
      </x:c>
      <x:c r="AM179" s="48" t="n">
        <x:f>-2*AL179/Inputs!$C$13</x:f>
        <x:v>-259.12649369356586</x:v>
      </x:c>
      <x:c r="AN179" s="48" t="n">
        <x:f>-2*AL179/Inputs!$C$14</x:f>
        <x:v>-38.907881935970856</x:v>
      </x:c>
      <x:c r="AO179" s="48" t="n">
        <x:f>ABS(AM179)</x:f>
        <x:v>259.12649369356586</x:v>
      </x:c>
      <x:c r="AP179" s="48" t="n">
        <x:f>ABS(AN179)</x:f>
        <x:v>38.907881935970856</x:v>
      </x:c>
      <x:c r="AQ179" s="48" t="n">
        <x:f>IF(OR(Inputs!$C$27=TRUE,Inputs!$C$27="TRUE",Inputs!$C$27=1),Inputs!$C$46/Inputs!$C$12,0)</x:f>
        <x:v>42.13483146067416</x:v>
      </x:c>
      <x:c r="AR179" s="48" t="n">
        <x:f>AC179-AQ179</x:f>
        <x:v>819.1964264793452</x:v>
      </x:c>
      <x:c r="AS179" s="48" t="n">
        <x:f>AC179+AQ179</x:f>
        <x:v>903.4660894006935</x:v>
      </x:c>
    </x:row>
    <x:row r="180">
      <x:c r="A180" s="48" t="n">
        <x:f>Inputs!$C$7+178*(Inputs!$C$8-Inputs!$C$7)/240</x:f>
        <x:v>29</x:v>
      </x:c>
      <x:c r="B180" s="48" t="n">
        <x:f>Inputs!$C$5+Inputs!$C$9*(A180/Inputs!$C$10)^2</x:f>
        <x:v>400.93444444444447</x:v>
      </x:c>
      <x:c r="C180" s="48" t="n">
        <x:f>B180</x:f>
        <x:v>400.93444444444447</x:v>
      </x:c>
      <x:c r="D180" s="48" t="n">
        <x:f>SQRT(A180^2+Inputs!$C$6^2+B180^2)</x:f>
        <x:v>402.7585241083984</x:v>
      </x:c>
      <x:c r="E180" s="48" t="n">
        <x:f>(D180-C180)*1000</x:f>
        <x:v>1824.0796639539099</x:v>
      </x:c>
      <x:c r="F180" s="48" t="n">
        <x:f>E180/Inputs!$C$12</x:f>
        <x:v>1024.763856153882</x:v>
      </x:c>
      <x:c r="G180" s="48" t="n">
        <x:f>2*E180/Inputs!$C$21*1000000</x:f>
        <x:v>12.168949653522704</x:v>
      </x:c>
      <x:c r="H180" s="48" t="n">
        <x:f>SQRT(A180^2+Inputs!$C$6^2)</x:f>
        <x:v>38.28837943815329</x:v>
      </x:c>
      <x:c r="I180" s="48" t="n">
        <x:f>DEGREES(ATAN(H180/B180))</x:f>
        <x:v>5.455081025841907</x:v>
      </x:c>
      <x:c r="J180" s="48" t="n">
        <x:f>DEGREES((2*PI()/Inputs!$C$13)*Inputs!$C$15*SIN(RADIANS(I180)))</x:f>
        <x:v>34.2235254443067</x:v>
      </x:c>
      <x:c r="K180" s="48" t="n">
        <x:f>(C180/D180)^4</x:f>
        <x:v>0.9820068340146043</x:v>
      </x:c>
      <x:c r="L180" s="48" t="n">
        <x:f>10*LOG10(K180)</x:f>
        <x:v>-0.0788548984593785</x:v>
      </x:c>
      <x:c r="M180" s="48" t="n">
        <x:f>2*(Inputs!$C$9/(Inputs!$C$10^2))*A180</x:f>
        <x:v>0.06444444444444444</x:v>
      </x:c>
      <x:c r="N180" s="48" t="n">
        <x:f>M180*Inputs!$C$11</x:f>
        <x:v>0.2577777777777778</x:v>
      </x:c>
      <x:c r="O180" s="48" t="n">
        <x:f>1000*((A180*Inputs!$C$11)+(B180*N180))/D180</x:f>
        <x:v>544.6240786810025</x:v>
      </x:c>
      <x:c r="P180" s="48" t="n">
        <x:f>-2*O180/Inputs!$C$13</x:f>
        <x:v>-217.849631472401</x:v>
      </x:c>
      <x:c r="Q180" s="48" t="n">
        <x:f>-2*O180/Inputs!$C$14</x:f>
        <x:v>-32.71015487573589</x:v>
      </x:c>
      <x:c r="R180" s="48" t="n">
        <x:f>F180-Inputs!$C$16/2</x:f>
        <x:v>1009.763856153882</x:v>
      </x:c>
      <x:c r="S180" s="48" t="n">
        <x:f>F180+Inputs!$C$16/2</x:f>
        <x:v>1039.763856153882</x:v>
      </x:c>
      <x:c r="T180" s="48" t="n">
        <x:f>F180-Inputs!$C$17/2</x:f>
        <x:v>874.763856153882</x:v>
      </x:c>
      <x:c r="U180" s="48" t="n">
        <x:f>F180+Inputs!$C$17/2</x:f>
        <x:v>1174.763856153882</x:v>
      </x:c>
      <x:c r="V180" s="48" t="n">
        <x:f>ABS(P180)</x:f>
        <x:v>217.849631472401</x:v>
      </x:c>
      <x:c r="W180" s="48" t="n">
        <x:f>ABS(Q180)</x:f>
        <x:v>32.71015487573589</x:v>
      </x:c>
      <x:c r="X180" s="48" t="n">
        <x: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(0.45*SIN(2*PI()*(((A180)/Inputs!$C$49)+Inputs!$C$47*0.137))+0.35*COS(2*PI()*(((0)/Inputs!$C$50)+Inputs!$C$47*0.173))+0.20*SIN(2*PI()*(((A180)+(0))/(0.5*(Inputs!$C$49+Inputs!$C$50))+Inputs!$C$47*0.097)))+0.30*(2*((SIN(((A180)*12.9898+(0)*78.233+Inputs!$C$47*37.719))*43758.5453)-INT((SIN(((A180)*12.9898+(0)*78.233+Inputs!$C$47*37.719))*43758.5453)))-1)))</x:f>
        <x:v>29.362157595592716</x:v>
      </x:c>
      <x:c r="Y180" s="48" t="n">
        <x: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(0.45*SIN(2*PI()*(((A180)/Inputs!$C$49)+Inputs!$C$47*0.137))+0.35*COS(2*PI()*(((Inputs!$C$6)/Inputs!$C$50)+Inputs!$C$47*0.173))+0.20*SIN(2*PI()*(((A180)+(Inputs!$C$6))/(0.5*(Inputs!$C$49+Inputs!$C$50))+Inputs!$C$47*0.097)))+0.30*(2*((SIN(((A180)*12.9898+(Inputs!$C$6)*78.233+Inputs!$C$47*37.719))*43758.5453)-INT((SIN(((A180)*12.9898+(Inputs!$C$6)*78.233+Inputs!$C$47*37.719))*43758.5453)))-1)))</x:f>
        <x:v>283.98171018669603</x:v>
      </x:c>
      <x:c r="Z180" s="48" t="n">
        <x:f>B180-X180/1000</x:f>
        <x:v>400.9050822868489</x:v>
      </x:c>
      <x:c r="AA180" s="48" t="n">
        <x:f>SQRT(A180^2+Inputs!$C$6^2+(B180-Y180/1000)^2)</x:f>
        <x:v>402.47582944715435</x:v>
      </x:c>
      <x:c r="AB180" s="48" t="n">
        <x:f>(AA180-Z180)*1000</x:f>
        <x:v>1570.7471603054728</x:v>
      </x:c>
      <x:c r="AC180" s="48" t="n">
        <x:f>AB180/Inputs!$C$12</x:f>
        <x:v>882.442224890715</x:v>
      </x:c>
      <x:c r="AD180" s="48" t="n">
        <x:f>2*AB180/Inputs!$C$21*1000000</x:f>
        <x:v>10.478897106247235</x:v>
      </x:c>
      <x:c r="AE180" s="48" t="n">
        <x:f>DEGREES(ATAN(H180/(B180-Y180/1000)))</x:f>
        <x:v>5.458924247590091</x:v>
      </x:c>
      <x:c r="AF180" s="48" t="n">
        <x:f>DEGREES((2*PI()/Inputs!$C$13)*Inputs!$C$15*SIN(RADIANS(AE180)))</x:f>
        <x:v>34.24756367772147</x:v>
      </x:c>
      <x:c r="AG180" s="48" t="n">
        <x:f>(Z180/AA180)^4</x:f>
        <x:v>0.9844803023004699</x:v>
      </x:c>
      <x:c r="AH180" s="48" t="n">
        <x:f>10*LOG10(AG180)</x:f>
        <x:v>-0.0679296889893838</x:v>
      </x:c>
      <x:c r="AI180" s="48" t="n">
        <x:f>AC180-F180</x:f>
        <x:v>-142.32163126316698</x:v>
      </x:c>
      <x:c r="AJ180" s="48" t="n">
        <x:f>AD180-G180</x:f>
        <x:v>-1.690052547275469</x:v>
      </x:c>
      <x:c r="AK180" s="48" t="n">
        <x:f>Y180-X180</x:f>
        <x:v>254.61955259110331</x:v>
      </x:c>
      <x:c r="AL180" s="48" t="n">
        <x:f>1000*(AA181-AA179)/(A181-A179)*Inputs!$C$11</x:f>
        <x:v>731.7398317386505</x:v>
      </x:c>
      <x:c r="AM180" s="48" t="n">
        <x:f>-2*AL180/Inputs!$C$13</x:f>
        <x:v>-292.6959326954602</x:v>
      </x:c>
      <x:c r="AN180" s="48" t="n">
        <x:f>-2*AL180/Inputs!$C$14</x:f>
        <x:v>-43.9483382425616</x:v>
      </x:c>
      <x:c r="AO180" s="48" t="n">
        <x:f>ABS(AM180)</x:f>
        <x:v>292.6959326954602</x:v>
      </x:c>
      <x:c r="AP180" s="48" t="n">
        <x:f>ABS(AN180)</x:f>
        <x:v>43.9483382425616</x:v>
      </x:c>
      <x:c r="AQ180" s="48" t="n">
        <x:f>IF(OR(Inputs!$C$27=TRUE,Inputs!$C$27="TRUE",Inputs!$C$27=1),Inputs!$C$46/Inputs!$C$12,0)</x:f>
        <x:v>42.13483146067416</x:v>
      </x:c>
      <x:c r="AR180" s="48" t="n">
        <x:f>AC180-AQ180</x:f>
        <x:v>840.3073934300409</x:v>
      </x:c>
      <x:c r="AS180" s="48" t="n">
        <x:f>AC180+AQ180</x:f>
        <x:v>924.5770563513892</x:v>
      </x:c>
    </x:row>
    <x:row r="181">
      <x:c r="A181" s="48" t="n">
        <x:f>Inputs!$C$7+179*(Inputs!$C$8-Inputs!$C$7)/240</x:f>
        <x:v>29.5</x:v>
      </x:c>
      <x:c r="B181" s="48" t="n">
        <x:f>Inputs!$C$5+Inputs!$C$9*(A181/Inputs!$C$10)^2</x:f>
        <x:v>400.96694444444444</x:v>
      </x:c>
      <x:c r="C181" s="48" t="n">
        <x:f>B181</x:f>
        <x:v>400.96694444444444</x:v>
      </x:c>
      <x:c r="D181" s="48" t="n">
        <x:f>SQRT(A181^2+Inputs!$C$6^2+B181^2)</x:f>
        <x:v>402.8271844564542</x:v>
      </x:c>
      <x:c r="E181" s="48" t="n">
        <x:f>(D181-C181)*1000</x:f>
        <x:v>1860.24001200974</x:v>
      </x:c>
      <x:c r="F181" s="48" t="n">
        <x:f>E181/Inputs!$C$12</x:f>
        <x:v>1045.0786584324383</x:v>
      </x:c>
      <x:c r="G181" s="48" t="n">
        <x:f>2*E181/Inputs!$C$21*1000000</x:f>
        <x:v>12.410185529148567</x:v>
      </x:c>
      <x:c r="H181" s="48" t="n">
        <x:f>SQRT(A181^2+Inputs!$C$6^2)</x:f>
        <x:v>38.66846260197062</x:v>
      </x:c>
      <x:c r="I181" s="48" t="n">
        <x:f>DEGREES(ATAN(H181/B181))</x:f>
        <x:v>5.508457547244826</x:v>
      </x:c>
      <x:c r="J181" s="48" t="n">
        <x:f>DEGREES((2*PI()/Inputs!$C$13)*Inputs!$C$15*SIN(RADIANS(I181)))</x:f>
        <x:v>34.55736622018927</x:v>
      </x:c>
      <x:c r="K181" s="48" t="n">
        <x:f>(C181/D181)^4</x:f>
        <x:v>0.9816557180259332</x:v>
      </x:c>
      <x:c r="L181" s="48" t="n">
        <x:f>10*LOG10(K181)</x:f>
        <x:v>-0.0804079935963663</x:v>
      </x:c>
      <x:c r="M181" s="48" t="n">
        <x:f>2*(Inputs!$C$9/(Inputs!$C$10^2))*A181</x:f>
        <x:v>0.06555555555555556</x:v>
      </x:c>
      <x:c r="N181" s="48" t="n">
        <x:f>M181*Inputs!$C$11</x:f>
        <x:v>0.26222222222222225</x:v>
      </x:c>
      <x:c r="O181" s="48" t="n">
        <x:f>1000*((A181*Inputs!$C$11)+(B181*N181))/D181</x:f>
        <x:v>553.9408754425766</x:v>
      </x:c>
      <x:c r="P181" s="48" t="n">
        <x:f>-2*O181/Inputs!$C$13</x:f>
        <x:v>-221.57635017703063</x:v>
      </x:c>
      <x:c r="Q181" s="48" t="n">
        <x:f>-2*O181/Inputs!$C$14</x:f>
        <x:v>-33.269722248803404</x:v>
      </x:c>
      <x:c r="R181" s="48" t="n">
        <x:f>F181-Inputs!$C$16/2</x:f>
        <x:v>1030.0786584324383</x:v>
      </x:c>
      <x:c r="S181" s="48" t="n">
        <x:f>F181+Inputs!$C$16/2</x:f>
        <x:v>1060.0786584324383</x:v>
      </x:c>
      <x:c r="T181" s="48" t="n">
        <x:f>F181-Inputs!$C$17/2</x:f>
        <x:v>895.0786584324383</x:v>
      </x:c>
      <x:c r="U181" s="48" t="n">
        <x:f>F181+Inputs!$C$17/2</x:f>
        <x:v>1195.0786584324383</x:v>
      </x:c>
      <x:c r="V181" s="48" t="n">
        <x:f>ABS(P181)</x:f>
        <x:v>221.57635017703063</x:v>
      </x:c>
      <x:c r="W181" s="48" t="n">
        <x:f>ABS(Q181)</x:f>
        <x:v>33.269722248803404</x:v>
      </x:c>
      <x:c r="X181" s="48" t="n">
        <x: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(0.45*SIN(2*PI()*(((A181)/Inputs!$C$49)+Inputs!$C$47*0.137))+0.35*COS(2*PI()*(((0)/Inputs!$C$50)+Inputs!$C$47*0.173))+0.20*SIN(2*PI()*(((A181)+(0))/(0.5*(Inputs!$C$49+Inputs!$C$50))+Inputs!$C$47*0.097)))+0.30*(2*((SIN(((A181)*12.9898+(0)*78.233+Inputs!$C$47*37.719))*43758.5453)-INT((SIN(((A181)*12.9898+(0)*78.233+Inputs!$C$47*37.719))*43758.5453)))-1)))</x:f>
        <x:v>20.4458299890095</x:v>
      </x:c>
      <x:c r="Y181" s="48" t="n">
        <x: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(0.45*SIN(2*PI()*(((A181)/Inputs!$C$49)+Inputs!$C$47*0.137))+0.35*COS(2*PI()*(((Inputs!$C$6)/Inputs!$C$50)+Inputs!$C$47*0.173))+0.20*SIN(2*PI()*(((A181)+(Inputs!$C$6))/(0.5*(Inputs!$C$49+Inputs!$C$50))+Inputs!$C$47*0.097)))+0.30*(2*((SIN(((A181)*12.9898+(Inputs!$C$6)*78.233+Inputs!$C$47*37.719))*43758.5453)-INT((SIN(((A181)*12.9898+(Inputs!$C$6)*78.233+Inputs!$C$47*37.719))*43758.5453)))-1)))</x:f>
        <x:v>263.5246591496981</x:v>
      </x:c>
      <x:c r="Z181" s="48" t="n">
        <x:f>B181-X181/1000</x:f>
        <x:v>400.94649861445544</x:v>
      </x:c>
      <x:c r="AA181" s="48" t="n">
        <x:f>SQRT(A181^2+Inputs!$C$6^2+(B181-Y181/1000)^2)</x:f>
        <x:v>402.56487753855293</x:v>
      </x:c>
      <x:c r="AB181" s="48" t="n">
        <x:f>(AA181-Z181)*1000</x:f>
        <x:v>1618.3789240974988</x:v>
      </x:c>
      <x:c r="AC181" s="48" t="n">
        <x:f>AB181/Inputs!$C$12</x:f>
        <x:v>909.2016427514038</x:v>
      </x:c>
      <x:c r="AD181" s="48" t="n">
        <x:f>2*AB181/Inputs!$C$21*1000000</x:f>
        <x:v>10.79666203008682</x:v>
      </x:c>
      <x:c r="AE181" s="48" t="n">
        <x:f>DEGREES(ATAN(H181/(B181-Y181/1000)))</x:f>
        <x:v>5.512057909053376</x:v>
      </x:c>
      <x:c r="AF181" s="48" t="n">
        <x:f>DEGREES((2*PI()/Inputs!$C$13)*Inputs!$C$15*SIN(RADIANS(AE181)))</x:f>
        <x:v>34.57988342606035</x:v>
      </x:c>
      <x:c r="AG181" s="48" t="n">
        <x:f>(Z181/AA181)^4</x:f>
        <x:v>0.9840160341078268</x:v>
      </x:c>
      <x:c r="AH181" s="48" t="n">
        <x:f>10*LOG10(AG181)</x:f>
        <x:v>-0.0699782487372218</x:v>
      </x:c>
      <x:c r="AI181" s="48" t="n">
        <x:f>AC181-F181</x:f>
        <x:v>-135.87701568103444</x:v>
      </x:c>
      <x:c r="AJ181" s="48" t="n">
        <x:f>AD181-G181</x:f>
        <x:v>-1.6135234990617473</x:v>
      </x:c>
      <x:c r="AK181" s="48" t="n">
        <x:f>Y181-X181</x:f>
        <x:v>243.0788291606886</x:v>
      </x:c>
      <x:c r="AL181" s="48" t="n">
        <x:f>1000*(AA182-AA180)/(A182-A180)*Inputs!$C$11</x:f>
        <x:v>656.0641423511697</x:v>
      </x:c>
      <x:c r="AM181" s="48" t="n">
        <x:f>-2*AL181/Inputs!$C$13</x:f>
        <x:v>-262.4256569404679</x:v>
      </x:c>
      <x:c r="AN181" s="48" t="n">
        <x:f>-2*AL181/Inputs!$C$14</x:f>
        <x:v>-39.40325179286305</x:v>
      </x:c>
      <x:c r="AO181" s="48" t="n">
        <x:f>ABS(AM181)</x:f>
        <x:v>262.4256569404679</x:v>
      </x:c>
      <x:c r="AP181" s="48" t="n">
        <x:f>ABS(AN181)</x:f>
        <x:v>39.40325179286305</x:v>
      </x:c>
      <x:c r="AQ181" s="48" t="n">
        <x:f>IF(OR(Inputs!$C$27=TRUE,Inputs!$C$27="TRUE",Inputs!$C$27=1),Inputs!$C$46/Inputs!$C$12,0)</x:f>
        <x:v>42.13483146067416</x:v>
      </x:c>
      <x:c r="AR181" s="48" t="n">
        <x:f>AC181-AQ181</x:f>
        <x:v>867.0668112907297</x:v>
      </x:c>
      <x:c r="AS181" s="48" t="n">
        <x:f>AC181+AQ181</x:f>
        <x:v>951.336474212078</x:v>
      </x:c>
    </x:row>
    <x:row r="182">
      <x:c r="A182" s="48" t="n">
        <x:f>Inputs!$C$7+180*(Inputs!$C$8-Inputs!$C$7)/240</x:f>
        <x:v>30</x:v>
      </x:c>
      <x:c r="B182" s="48" t="n">
        <x:f>Inputs!$C$5+Inputs!$C$9*(A182/Inputs!$C$10)^2</x:f>
        <x:v>401</x:v>
      </x:c>
      <x:c r="C182" s="48" t="n">
        <x:f>B182</x:f>
        <x:v>401</x:v>
      </x:c>
      <x:c r="D182" s="48" t="n">
        <x:f>SQRT(A182^2+Inputs!$C$6^2+B182^2)</x:f>
        <x:v>402.8970091723194</x:v>
      </x:c>
      <x:c r="E182" s="48" t="n">
        <x:f>(D182-C182)*1000</x:f>
        <x:v>1897.0091723193718</x:v>
      </x:c>
      <x:c r="F182" s="48" t="n">
        <x:f>E182/Inputs!$C$12</x:f>
        <x:v>1065.7354900670628</x:v>
      </x:c>
      <x:c r="G182" s="48" t="n">
        <x:f>2*E182/Inputs!$C$21*1000000</x:f>
        <x:v>12.655482962946131</x:v>
      </x:c>
      <x:c r="H182" s="48" t="n">
        <x:f>SQRT(A182^2+Inputs!$C$6^2)</x:f>
        <x:v>39.05124837953327</x:v>
      </x:c>
      <x:c r="I182" s="48" t="n">
        <x:f>DEGREES(ATAN(H182/B182))</x:f>
        <x:v>5.562190700603825</x:v>
      </x:c>
      <x:c r="J182" s="48" t="n">
        <x:f>DEGREES((2*PI()/Inputs!$C$13)*Inputs!$C$15*SIN(RADIANS(I182)))</x:f>
        <x:v>34.893407239514076</x:v>
      </x:c>
      <x:c r="K182" s="48" t="n">
        <x:f>(C182/D182)^4</x:f>
        <x:v>0.9812989100898379</x:v>
      </x:c>
      <x:c r="L182" s="48" t="n">
        <x:f>10*LOG10(K182)</x:f>
        <x:v>-0.08198683517764999</x:v>
      </x:c>
      <x:c r="M182" s="48" t="n">
        <x:f>2*(Inputs!$C$9/(Inputs!$C$10^2))*A182</x:f>
        <x:v>0.06666666666666667</x:v>
      </x:c>
      <x:c r="N182" s="48" t="n">
        <x:f>M182*Inputs!$C$11</x:f>
        <x:v>0.26666666666666666</x:v>
      </x:c>
      <x:c r="O182" s="48" t="n">
        <x:f>1000*((A182*Inputs!$C$11)+(B182*N182))/D182</x:f>
        <x:v>563.2539536581016</x:v>
      </x:c>
      <x:c r="P182" s="48" t="n">
        <x:f>-2*O182/Inputs!$C$13</x:f>
        <x:v>-225.30158146324067</x:v>
      </x:c>
      <x:c r="Q182" s="48" t="n">
        <x:f>-2*O182/Inputs!$C$14</x:f>
        <x:v>-33.82906628577187</x:v>
      </x:c>
      <x:c r="R182" s="48" t="n">
        <x:f>F182-Inputs!$C$16/2</x:f>
        <x:v>1050.7354900670628</x:v>
      </x:c>
      <x:c r="S182" s="48" t="n">
        <x:f>F182+Inputs!$C$16/2</x:f>
        <x:v>1080.7354900670628</x:v>
      </x:c>
      <x:c r="T182" s="48" t="n">
        <x:f>F182-Inputs!$C$17/2</x:f>
        <x:v>915.7354900670628</x:v>
      </x:c>
      <x:c r="U182" s="48" t="n">
        <x:f>F182+Inputs!$C$17/2</x:f>
        <x:v>1215.7354900670628</x:v>
      </x:c>
      <x:c r="V182" s="48" t="n">
        <x:f>ABS(P182)</x:f>
        <x:v>225.30158146324067</x:v>
      </x:c>
      <x:c r="W182" s="48" t="n">
        <x:f>ABS(Q182)</x:f>
        <x:v>33.82906628577187</x:v>
      </x:c>
      <x:c r="X182" s="48" t="n">
        <x: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(0.45*SIN(2*PI()*(((A182)/Inputs!$C$49)+Inputs!$C$47*0.137))+0.35*COS(2*PI()*(((0)/Inputs!$C$50)+Inputs!$C$47*0.173))+0.20*SIN(2*PI()*(((A182)+(0))/(0.5*(Inputs!$C$49+Inputs!$C$50))+Inputs!$C$47*0.097)))+0.30*(2*((SIN(((A182)*12.9898+(0)*78.233+Inputs!$C$47*37.719))*43758.5453)-INT((SIN(((A182)*12.9898+(0)*78.233+Inputs!$C$47*37.719))*43758.5453)))-1)))</x:f>
        <x:v>11.879118514207924</x:v>
      </x:c>
      <x:c r="Y182" s="48" t="n">
        <x: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(0.45*SIN(2*PI()*(((A182)/Inputs!$C$49)+Inputs!$C$47*0.137))+0.35*COS(2*PI()*(((Inputs!$C$6)/Inputs!$C$50)+Inputs!$C$47*0.173))+0.20*SIN(2*PI()*(((A182)+(Inputs!$C$6))/(0.5*(Inputs!$C$49+Inputs!$C$50))+Inputs!$C$47*0.097)))+0.30*(2*((SIN(((A182)*12.9898+(Inputs!$C$6)*78.233+Inputs!$C$47*37.719))*43758.5453)-INT((SIN(((A182)*12.9898+(Inputs!$C$6)*78.233+Inputs!$C$47*37.719))*43758.5453)))-1)))</x:f>
        <x:v>258.3810354027646</x:v>
      </x:c>
      <x:c r="Z182" s="48" t="n">
        <x:f>B182-X182/1000</x:f>
        <x:v>400.98812088148577</x:v>
      </x:c>
      <x:c r="AA182" s="48" t="n">
        <x:f>SQRT(A182^2+Inputs!$C$6^2+(B182-Y182/1000)^2)</x:f>
        <x:v>402.63984548274215</x:v>
      </x:c>
      <x:c r="AB182" s="48" t="n">
        <x:f>(AA182-Z182)*1000</x:f>
        <x:v>1651.724601256376</x:v>
      </x:c>
      <x:c r="AC182" s="48" t="n">
        <x:f>AB182/Inputs!$C$12</x:f>
        <x:v>927.9351692451551</x:v>
      </x:c>
      <x:c r="AD182" s="48" t="n">
        <x:f>2*AB182/Inputs!$C$21*1000000</x:f>
        <x:v>11.01912044269223</x:v>
      </x:c>
      <x:c r="AE182" s="48" t="n">
        <x:f>DEGREES(ATAN(H182/(B182-Y182/1000)))</x:f>
        <x:v>5.565754451951442</x:v>
      </x:c>
      <x:c r="AF182" s="48" t="n">
        <x:f>DEGREES((2*PI()/Inputs!$C$13)*Inputs!$C$15*SIN(RADIANS(AE182)))</x:f>
        <x:v>34.91569345248656</x:v>
      </x:c>
      <x:c r="AG182" s="48" t="n">
        <x:f>(Z182/AA182)^4</x:f>
        <x:v>0.9836917410428733</x:v>
      </x:c>
      <x:c r="AH182" s="48" t="n">
        <x:f>10*LOG10(AG182)</x:f>
        <x:v>-0.0714097487971649</x:v>
      </x:c>
      <x:c r="AI182" s="48" t="n">
        <x:f>AC182-F182</x:f>
        <x:v>-137.8003208219077</x:v>
      </x:c>
      <x:c r="AJ182" s="48" t="n">
        <x:f>AD182-G182</x:f>
        <x:v>-1.6363625202539005</x:v>
      </x:c>
      <x:c r="AK182" s="48" t="n">
        <x:f>Y182-X182</x:f>
        <x:v>246.50191688855668</x:v>
      </x:c>
      <x:c r="AL182" s="48" t="n">
        <x:f>1000*(AA183-AA181)/(A183-A181)*Inputs!$C$11</x:f>
        <x:v>657.1472451198588</x:v>
      </x:c>
      <x:c r="AM182" s="48" t="n">
        <x:f>-2*AL182/Inputs!$C$13</x:f>
        <x:v>-262.8588980479435</x:v>
      </x:c>
      <x:c r="AN182" s="48" t="n">
        <x:f>-2*AL182/Inputs!$C$14</x:f>
        <x:v>-39.46830301020173</x:v>
      </x:c>
      <x:c r="AO182" s="48" t="n">
        <x:f>ABS(AM182)</x:f>
        <x:v>262.8588980479435</x:v>
      </x:c>
      <x:c r="AP182" s="48" t="n">
        <x:f>ABS(AN182)</x:f>
        <x:v>39.46830301020173</x:v>
      </x:c>
      <x:c r="AQ182" s="48" t="n">
        <x:f>IF(OR(Inputs!$C$27=TRUE,Inputs!$C$27="TRUE",Inputs!$C$27=1),Inputs!$C$46/Inputs!$C$12,0)</x:f>
        <x:v>42.13483146067416</x:v>
      </x:c>
      <x:c r="AR182" s="48" t="n">
        <x:f>AC182-AQ182</x:f>
        <x:v>885.8003377844809</x:v>
      </x:c>
      <x:c r="AS182" s="48" t="n">
        <x:f>AC182+AQ182</x:f>
        <x:v>970.0700007058292</x:v>
      </x:c>
    </x:row>
    <x:row r="183">
      <x:c r="A183" s="48" t="n">
        <x:f>Inputs!$C$7+181*(Inputs!$C$8-Inputs!$C$7)/240</x:f>
        <x:v>30.5</x:v>
      </x:c>
      <x:c r="B183" s="48" t="n">
        <x:f>Inputs!$C$5+Inputs!$C$9*(A183/Inputs!$C$10)^2</x:f>
        <x:v>401.0336111111111</x:v>
      </x:c>
      <x:c r="C183" s="48" t="n">
        <x:f>B183</x:f>
        <x:v>401.0336111111111</x:v>
      </x:c>
      <x:c r="D183" s="48" t="n">
        <x:f>SQRT(A183^2+Inputs!$C$6^2+B183^2)</x:f>
        <x:v>402.9679977874396</x:v>
      </x:c>
      <x:c r="E183" s="48" t="n">
        <x:f>(D183-C183)*1000</x:f>
        <x:v>1934.3866763284723</x:v>
      </x:c>
      <x:c r="F183" s="48" t="n">
        <x:f>E183/Inputs!$C$12</x:f>
        <x:v>1086.7340878249845</x:v>
      </x:c>
      <x:c r="G183" s="48" t="n">
        <x:f>2*E183/Inputs!$C$21*1000000</x:f>
        <x:v>12.904838829057349</x:v>
      </x:c>
      <x:c r="H183" s="48" t="n">
        <x:f>SQRT(A183^2+Inputs!$C$6^2)</x:f>
        <x:v>39.436658073421995</x:v>
      </x:c>
      <x:c r="I183" s="48" t="n">
        <x:f>DEGREES(ATAN(H183/B183))</x:f>
        <x:v>5.616268744710343</x:v>
      </x:c>
      <x:c r="J183" s="48" t="n">
        <x:f>DEGREES((2*PI()/Inputs!$C$13)*Inputs!$C$15*SIN(RADIANS(I183)))</x:f>
        <x:v>35.23157418054016</x:v>
      </x:c>
      <x:c r="K183" s="48" t="n">
        <x:f>(C183/D183)^4</x:f>
        <x:v>0.9809364255831229</x:v>
      </x:c>
      <x:c r="L183" s="48" t="n">
        <x:f>10*LOG10(K183)</x:f>
        <x:v>-0.0835913830111392</x:v>
      </x:c>
      <x:c r="M183" s="48" t="n">
        <x:f>2*(Inputs!$C$9/(Inputs!$C$10^2))*A183</x:f>
        <x:v>0.06777777777777778</x:v>
      </x:c>
      <x:c r="N183" s="48" t="n">
        <x:f>M183*Inputs!$C$11</x:f>
        <x:v>0.27111111111111114</x:v>
      </x:c>
      <x:c r="O183" s="48" t="n">
        <x:f>1000*((A183*Inputs!$C$11)+(B183*N183))/D183</x:f>
        <x:v>572.5632535786101</x:v>
      </x:c>
      <x:c r="P183" s="48" t="n">
        <x:f>-2*O183/Inputs!$C$13</x:f>
        <x:v>-229.02530143144403</x:v>
      </x:c>
      <x:c r="Q183" s="48" t="n">
        <x:f>-2*O183/Inputs!$C$14</x:f>
        <x:v>-34.38818339811473</x:v>
      </x:c>
      <x:c r="R183" s="48" t="n">
        <x:f>F183-Inputs!$C$16/2</x:f>
        <x:v>1071.7340878249845</x:v>
      </x:c>
      <x:c r="S183" s="48" t="n">
        <x:f>F183+Inputs!$C$16/2</x:f>
        <x:v>1101.7340878249845</x:v>
      </x:c>
      <x:c r="T183" s="48" t="n">
        <x:f>F183-Inputs!$C$17/2</x:f>
        <x:v>936.7340878249845</x:v>
      </x:c>
      <x:c r="U183" s="48" t="n">
        <x:f>F183+Inputs!$C$17/2</x:f>
        <x:v>1236.7340878249845</x:v>
      </x:c>
      <x:c r="V183" s="48" t="n">
        <x:f>ABS(P183)</x:f>
        <x:v>229.02530143144403</x:v>
      </x:c>
      <x:c r="W183" s="48" t="n">
        <x:f>ABS(Q183)</x:f>
        <x:v>34.38818339811473</x:v>
      </x:c>
      <x:c r="X183" s="48" t="n">
        <x: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(0.45*SIN(2*PI()*(((A183)/Inputs!$C$49)+Inputs!$C$47*0.137))+0.35*COS(2*PI()*(((0)/Inputs!$C$50)+Inputs!$C$47*0.173))+0.20*SIN(2*PI()*(((A183)+(0))/(0.5*(Inputs!$C$49+Inputs!$C$50))+Inputs!$C$47*0.097)))+0.30*(2*((SIN(((A183)*12.9898+(0)*78.233+Inputs!$C$47*37.719))*43758.5453)-INT((SIN(((A183)*12.9898+(0)*78.233+Inputs!$C$47*37.719))*43758.5453)))-1)))</x:f>
        <x:v>4.284803604386864</x:v>
      </x:c>
      <x:c r="Y183" s="48" t="n">
        <x: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(0.45*SIN(2*PI()*(((A183)/Inputs!$C$49)+Inputs!$C$47*0.137))+0.35*COS(2*PI()*(((Inputs!$C$6)/Inputs!$C$50)+Inputs!$C$47*0.173))+0.20*SIN(2*PI()*(((A183)+(Inputs!$C$6))/(0.5*(Inputs!$C$49+Inputs!$C$50))+Inputs!$C$47*0.097)))+0.30*(2*((SIN(((A183)*12.9898+(Inputs!$C$6)*78.233+Inputs!$C$47*37.719))*43758.5453)-INT((SIN(((A183)*12.9898+(Inputs!$C$6)*78.233+Inputs!$C$47*37.719))*43758.5453)))-1)))</x:f>
        <x:v>239.98613946224492</x:v>
      </x:c>
      <x:c r="Z183" s="48" t="n">
        <x:f>B183-X183/1000</x:f>
        <x:v>401.0293263075067</x:v>
      </x:c>
      <x:c r="AA183" s="48" t="n">
        <x:f>SQRT(A183^2+Inputs!$C$6^2+(B183-Y183/1000)^2)</x:f>
        <x:v>402.7291643498329</x:v>
      </x:c>
      <x:c r="AB183" s="48" t="n">
        <x:f>(AA183-Z183)*1000</x:f>
        <x:v>1699.8380423261779</x:v>
      </x:c>
      <x:c r="AC183" s="48" t="n">
        <x:f>AB183/Inputs!$C$12</x:f>
        <x:v>954.9651923180775</x:v>
      </x:c>
      <x:c r="AD183" s="48" t="n">
        <x:f>2*AB183/Inputs!$C$21*1000000</x:f>
        <x:v>11.340098771438592</x:v>
      </x:c>
      <x:c r="AE183" s="48" t="n">
        <x:f>DEGREES(ATAN(H183/(B183-Y183/1000)))</x:f>
        <x:v>5.6196101200168185</x:v>
      </x:c>
      <x:c r="AF183" s="48" t="n">
        <x:f>DEGREES((2*PI()/Inputs!$C$13)*Inputs!$C$15*SIN(RADIANS(AE183)))</x:f>
        <x:v>35.252467820034624</x:v>
      </x:c>
      <x:c r="AG183" s="48" t="n">
        <x:f>(Z183/AA183)^4</x:f>
        <x:v>0.983223402367637</x:v>
      </x:c>
      <x:c r="AH183" s="48" t="n">
        <x:f>10*LOG10(AG183)</x:f>
        <x:v>-0.0734779306080816</x:v>
      </x:c>
      <x:c r="AI183" s="48" t="n">
        <x:f>AC183-F183</x:f>
        <x:v>-131.76889550690703</x:v>
      </x:c>
      <x:c r="AJ183" s="48" t="n">
        <x:f>AD183-G183</x:f>
        <x:v>-1.5647400576187565</x:v>
      </x:c>
      <x:c r="AK183" s="48" t="n">
        <x:f>Y183-X183</x:f>
        <x:v>235.70133585785806</x:v>
      </x:c>
      <x:c r="AL183" s="48" t="n">
        <x:f>1000*(AA184-AA182)/(A184-A182)*Inputs!$C$11</x:f>
        <x:v>647.5878378046218</x:v>
      </x:c>
      <x:c r="AM183" s="48" t="n">
        <x:f>-2*AL183/Inputs!$C$13</x:f>
        <x:v>-259.0351351218487</x:v>
      </x:c>
      <x:c r="AN183" s="48" t="n">
        <x:f>-2*AL183/Inputs!$C$14</x:f>
        <x:v>-38.89416443271002</x:v>
      </x:c>
      <x:c r="AO183" s="48" t="n">
        <x:f>ABS(AM183)</x:f>
        <x:v>259.0351351218487</x:v>
      </x:c>
      <x:c r="AP183" s="48" t="n">
        <x:f>ABS(AN183)</x:f>
        <x:v>38.89416443271002</x:v>
      </x:c>
      <x:c r="AQ183" s="48" t="n">
        <x:f>IF(OR(Inputs!$C$27=TRUE,Inputs!$C$27="TRUE",Inputs!$C$27=1),Inputs!$C$46/Inputs!$C$12,0)</x:f>
        <x:v>42.13483146067416</x:v>
      </x:c>
      <x:c r="AR183" s="48" t="n">
        <x:f>AC183-AQ183</x:f>
        <x:v>912.8303608574033</x:v>
      </x:c>
      <x:c r="AS183" s="48" t="n">
        <x:f>AC183+AQ183</x:f>
        <x:v>997.1000237787516</x:v>
      </x:c>
    </x:row>
    <x:row r="184">
      <x:c r="A184" s="48" t="n">
        <x:f>Inputs!$C$7+182*(Inputs!$C$8-Inputs!$C$7)/240</x:f>
        <x:v>31</x:v>
      </x:c>
      <x:c r="B184" s="48" t="n">
        <x:f>Inputs!$C$5+Inputs!$C$9*(A184/Inputs!$C$10)^2</x:f>
        <x:v>401.0677777777778</x:v>
      </x:c>
      <x:c r="C184" s="48" t="n">
        <x:f>B184</x:f>
        <x:v>401.0677777777778</x:v>
      </x:c>
      <x:c r="D184" s="48" t="n">
        <x:f>SQRT(A184^2+Inputs!$C$6^2+B184^2)</x:f>
        <x:v>403.040149825802</x:v>
      </x:c>
      <x:c r="E184" s="48" t="n">
        <x:f>(D184-C184)*1000</x:f>
        <x:v>1972.3720480242264</x:v>
      </x:c>
      <x:c r="F184" s="48" t="n">
        <x:f>E184/Inputs!$C$12</x:f>
        <x:v>1108.0741842832733</x:v>
      </x:c>
      <x:c r="G184" s="48" t="n">
        <x:f>2*E184/Inputs!$C$21*1000000</x:f>
        <x:v>13.158249951866544</x:v>
      </x:c>
      <x:c r="H184" s="48" t="n">
        <x:f>SQRT(A184^2+Inputs!$C$6^2)</x:f>
        <x:v>39.824615503479755</x:v>
      </x:c>
      <x:c r="I184" s="48" t="n">
        <x:f>DEGREES(ATAN(H184/B184))</x:f>
        <x:v>5.670680298867937</x:v>
      </x:c>
      <x:c r="J184" s="48" t="n">
        <x:f>DEGREES((2*PI()/Inputs!$C$13)*Inputs!$C$15*SIN(RADIANS(I184)))</x:f>
        <x:v>35.57179498729654</x:v>
      </x:c>
      <x:c r="K184" s="48" t="n">
        <x:f>(C184/D184)^4</x:f>
        <x:v>0.9805682801090831</x:v>
      </x:c>
      <x:c r="L184" s="48" t="n">
        <x:f>10*LOG10(K184)</x:f>
        <x:v>-0.0852215962788054</x:v>
      </x:c>
      <x:c r="M184" s="48" t="n">
        <x:f>2*(Inputs!$C$9/(Inputs!$C$10^2))*A184</x:f>
        <x:v>0.06888888888888889</x:v>
      </x:c>
      <x:c r="N184" s="48" t="n">
        <x:f>M184*Inputs!$C$11</x:f>
        <x:v>0.27555555555555555</x:v>
      </x:c>
      <x:c r="O184" s="48" t="n">
        <x:f>1000*((A184*Inputs!$C$11)+(B184*N184))/D184</x:f>
        <x:v>581.8687156164169</x:v>
      </x:c>
      <x:c r="P184" s="48" t="n">
        <x:f>-2*O184/Inputs!$C$13</x:f>
        <x:v>-232.74748624656678</x:v>
      </x:c>
      <x:c r="Q184" s="48" t="n">
        <x:f>-2*O184/Inputs!$C$14</x:f>
        <x:v>-34.94707000699201</x:v>
      </x:c>
      <x:c r="R184" s="48" t="n">
        <x:f>F184-Inputs!$C$16/2</x:f>
        <x:v>1093.0741842832733</x:v>
      </x:c>
      <x:c r="S184" s="48" t="n">
        <x:f>F184+Inputs!$C$16/2</x:f>
        <x:v>1123.0741842832733</x:v>
      </x:c>
      <x:c r="T184" s="48" t="n">
        <x:f>F184-Inputs!$C$17/2</x:f>
        <x:v>958.0741842832733</x:v>
      </x:c>
      <x:c r="U184" s="48" t="n">
        <x:f>F184+Inputs!$C$17/2</x:f>
        <x:v>1258.0741842832733</x:v>
      </x:c>
      <x:c r="V184" s="48" t="n">
        <x:f>ABS(P184)</x:f>
        <x:v>232.74748624656678</x:v>
      </x:c>
      <x:c r="W184" s="48" t="n">
        <x:f>ABS(Q184)</x:f>
        <x:v>34.94707000699201</x:v>
      </x:c>
      <x:c r="X184" s="48" t="n">
        <x: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(0.45*SIN(2*PI()*(((A184)/Inputs!$C$49)+Inputs!$C$47*0.137))+0.35*COS(2*PI()*(((0)/Inputs!$C$50)+Inputs!$C$47*0.173))+0.20*SIN(2*PI()*(((A184)+(0))/(0.5*(Inputs!$C$49+Inputs!$C$50))+Inputs!$C$47*0.097)))+0.30*(2*((SIN(((A184)*12.9898+(0)*78.233+Inputs!$C$47*37.719))*43758.5453)-INT((SIN(((A184)*12.9898+(0)*78.233+Inputs!$C$47*37.719))*43758.5453)))-1)))</x:f>
        <x:v>18.692329061381155</x:v>
      </x:c>
      <x:c r="Y184" s="48" t="n">
        <x: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(0.45*SIN(2*PI()*(((A184)/Inputs!$C$49)+Inputs!$C$47*0.137))+0.35*COS(2*PI()*(((Inputs!$C$6)/Inputs!$C$50)+Inputs!$C$47*0.173))+0.20*SIN(2*PI()*(((A184)+(Inputs!$C$6))/(0.5*(Inputs!$C$49+Inputs!$C$50))+Inputs!$C$47*0.097)))+0.30*(2*((SIN(((A184)*12.9898+(Inputs!$C$6)*78.233+Inputs!$C$47*37.719))*43758.5453)-INT((SIN(((A184)*12.9898+(Inputs!$C$6)*78.233+Inputs!$C$47*37.719))*43758.5453)))-1)))</x:f>
        <x:v>239.58052305996605</x:v>
      </x:c>
      <x:c r="Z184" s="48" t="n">
        <x:f>B184-X184/1000</x:f>
        <x:v>401.0490854487164</x:v>
      </x:c>
      <x:c r="AA184" s="48" t="n">
        <x:f>SQRT(A184^2+Inputs!$C$6^2+(B184-Y184/1000)^2)</x:f>
        <x:v>402.8017424421933</x:v>
      </x:c>
      <x:c r="AB184" s="48" t="n">
        <x:f>(AA184-Z184)*1000</x:f>
        <x:v>1752.6569934768759</x:v>
      </x:c>
      <x:c r="AC184" s="48" t="n">
        <x:f>AB184/Inputs!$C$12</x:f>
        <x:v>984.6387603802673</x:v>
      </x:c>
      <x:c r="AD184" s="48" t="n">
        <x:f>2*AB184/Inputs!$C$21*1000000</x:f>
        <x:v>11.69246888443655</x:v>
      </x:c>
      <x:c r="AE184" s="48" t="n">
        <x:f>DEGREES(ATAN(H184/(B184-Y184/1000)))</x:f>
        <x:v>5.674047631978591</x:v>
      </x:c>
      <x:c r="AF184" s="48" t="n">
        <x:f>DEGREES((2*PI()/Inputs!$C$13)*Inputs!$C$15*SIN(RADIANS(AE184)))</x:f>
        <x:v>35.592848964178</x:v>
      </x:c>
      <x:c r="AG184" s="48" t="n">
        <x:f>(Z184/AA184)^4</x:f>
        <x:v>0.9827086051950045</x:v>
      </x:c>
      <x:c r="AH184" s="48" t="n">
        <x:f>10*LOG10(AG184)</x:f>
        <x:v>-0.0757524098436176</x:v>
      </x:c>
      <x:c r="AI184" s="48" t="n">
        <x:f>AC184-F184</x:f>
        <x:v>-123.43542390300604</x:v>
      </x:c>
      <x:c r="AJ184" s="48" t="n">
        <x:f>AD184-G184</x:f>
        <x:v>-1.4657810674299938</x:v>
      </x:c>
      <x:c r="AK184" s="48" t="n">
        <x:f>Y184-X184</x:f>
        <x:v>220.8881939985849</x:v>
      </x:c>
      <x:c r="AL184" s="48" t="n">
        <x:f>1000*(AA185-AA183)/(A185-A183)*Inputs!$C$11</x:f>
        <x:v>675.2791757130581</x:v>
      </x:c>
      <x:c r="AM184" s="48" t="n">
        <x:f>-2*AL184/Inputs!$C$13</x:f>
        <x:v>-270.1116702852232</x:v>
      </x:c>
      <x:c r="AN184" s="48" t="n">
        <x:f>-2*AL184/Inputs!$C$14</x:f>
        <x:v>-40.557307850634125</x:v>
      </x:c>
      <x:c r="AO184" s="48" t="n">
        <x:f>ABS(AM184)</x:f>
        <x:v>270.1116702852232</x:v>
      </x:c>
      <x:c r="AP184" s="48" t="n">
        <x:f>ABS(AN184)</x:f>
        <x:v>40.557307850634125</x:v>
      </x:c>
      <x:c r="AQ184" s="48" t="n">
        <x:f>IF(OR(Inputs!$C$27=TRUE,Inputs!$C$27="TRUE",Inputs!$C$27=1),Inputs!$C$46/Inputs!$C$12,0)</x:f>
        <x:v>42.13483146067416</x:v>
      </x:c>
      <x:c r="AR184" s="48" t="n">
        <x:f>AC184-AQ184</x:f>
        <x:v>942.5039289195931</x:v>
      </x:c>
      <x:c r="AS184" s="48" t="n">
        <x:f>AC184+AQ184</x:f>
        <x:v>1026.7735918409414</x:v>
      </x:c>
    </x:row>
    <x:row r="185">
      <x:c r="A185" s="48" t="n">
        <x:f>Inputs!$C$7+183*(Inputs!$C$8-Inputs!$C$7)/240</x:f>
        <x:v>31.5</x:v>
      </x:c>
      <x:c r="B185" s="48" t="n">
        <x:f>Inputs!$C$5+Inputs!$C$9*(A185/Inputs!$C$10)^2</x:f>
        <x:v>401.1025</x:v>
      </x:c>
      <x:c r="C185" s="48" t="n">
        <x:f>B185</x:f>
        <x:v>401.1025</x:v>
      </x:c>
      <x:c r="D185" s="48" t="n">
        <x:f>SQRT(A185^2+Inputs!$C$6^2+B185^2)</x:f>
        <x:v>403.11346480395565</x:v>
      </x:c>
      <x:c r="E185" s="48" t="n">
        <x:f>(D185-C185)*1000</x:f>
        <x:v>2010.9648039556305</x:v>
      </x:c>
      <x:c r="F185" s="48" t="n">
        <x:f>E185/Inputs!$C$12</x:f>
        <x:v>1129.7555078402418</x:v>
      </x:c>
      <x:c r="G185" s="48" t="n">
        <x:f>2*E185/Inputs!$C$21*1000000</x:f>
        <x:v>13.415713106135783</x:v>
      </x:c>
      <x:c r="H185" s="48" t="n">
        <x:f>SQRT(A185^2+Inputs!$C$6^2)</x:f>
        <x:v>40.21504693519579</x:v>
      </x:c>
      <x:c r="I185" s="48" t="n">
        <x:f>DEGREES(ATAN(H185/B185))</x:f>
        <x:v>5.725414332711808</x:v>
      </x:c>
      <x:c r="J185" s="48" t="n">
        <x:f>DEGREES((2*PI()/Inputs!$C$13)*Inputs!$C$15*SIN(RADIANS(I185)))</x:f>
        <x:v>35.91399980576492</x:v>
      </x:c>
      <x:c r="K185" s="48" t="n">
        <x:f>(C185/D185)^4</x:f>
        <x:v>0.9801944894959806</x:v>
      </x:c>
      <x:c r="L185" s="48" t="n">
        <x:f>10*LOG10(K185)</x:f>
        <x:v>-0.0868774335390861</x:v>
      </x:c>
      <x:c r="M185" s="48" t="n">
        <x:f>2*(Inputs!$C$9/(Inputs!$C$10^2))*A185</x:f>
        <x:v>0.07</x:v>
      </x:c>
      <x:c r="N185" s="48" t="n">
        <x:f>M185*Inputs!$C$11</x:f>
        <x:v>0.28</x:v>
      </x:c>
      <x:c r="O185" s="48" t="n">
        <x:f>1000*((A185*Inputs!$C$11)+(B185*N185))/D185</x:f>
        <x:v>591.1702803474839</x:v>
      </x:c>
      <x:c r="P185" s="48" t="n">
        <x:f>-2*O185/Inputs!$C$13</x:f>
        <x:v>-236.46811213899355</x:v>
      </x:c>
      <x:c r="Q185" s="48" t="n">
        <x:f>-2*O185/Inputs!$C$14</x:f>
        <x:v>-35.50572254339243</x:v>
      </x:c>
      <x:c r="R185" s="48" t="n">
        <x:f>F185-Inputs!$C$16/2</x:f>
        <x:v>1114.7555078402418</x:v>
      </x:c>
      <x:c r="S185" s="48" t="n">
        <x:f>F185+Inputs!$C$16/2</x:f>
        <x:v>1144.7555078402418</x:v>
      </x:c>
      <x:c r="T185" s="48" t="n">
        <x:f>F185-Inputs!$C$17/2</x:f>
        <x:v>979.7555078402418</x:v>
      </x:c>
      <x:c r="U185" s="48" t="n">
        <x:f>F185+Inputs!$C$17/2</x:f>
        <x:v>1279.7555078402418</x:v>
      </x:c>
      <x:c r="V185" s="48" t="n">
        <x:f>ABS(P185)</x:f>
        <x:v>236.46811213899355</x:v>
      </x:c>
      <x:c r="W185" s="48" t="n">
        <x:f>ABS(Q185)</x:f>
        <x:v>35.50572254339243</x:v>
      </x:c>
      <x:c r="X185" s="48" t="n">
        <x: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(0.45*SIN(2*PI()*(((A185)/Inputs!$C$49)+Inputs!$C$47*0.137))+0.35*COS(2*PI()*(((0)/Inputs!$C$50)+Inputs!$C$47*0.173))+0.20*SIN(2*PI()*(((A185)+(0))/(0.5*(Inputs!$C$49+Inputs!$C$50))+Inputs!$C$47*0.097)))+0.30*(2*((SIN(((A185)*12.9898+(0)*78.233+Inputs!$C$47*37.719))*43758.5453)-INT((SIN(((A185)*12.9898+(0)*78.233+Inputs!$C$47*37.719))*43758.5453)))-1)))</x:f>
        <x:v>18.579807279306877</x:v>
      </x:c>
      <x:c r="Y185" s="48" t="n">
        <x: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(0.45*SIN(2*PI()*(((A185)/Inputs!$C$49)+Inputs!$C$47*0.137))+0.35*COS(2*PI()*(((Inputs!$C$6)/Inputs!$C$50)+Inputs!$C$47*0.173))+0.20*SIN(2*PI()*(((A185)+(Inputs!$C$6))/(0.5*(Inputs!$C$49+Inputs!$C$50))+Inputs!$C$47*0.097)))+0.30*(2*((SIN(((A185)*12.9898+(Inputs!$C$6)*78.233+Inputs!$C$47*37.719))*43758.5453)-INT((SIN(((A185)*12.9898+(Inputs!$C$6)*78.233+Inputs!$C$47*37.719))*43758.5453)))-1)))</x:f>
        <x:v>216.56157473369862</x:v>
      </x:c>
      <x:c r="Z185" s="48" t="n">
        <x:f>B185-X185/1000</x:f>
        <x:v>401.0839201927207</x:v>
      </x:c>
      <x:c r="AA185" s="48" t="n">
        <x:f>SQRT(A185^2+Inputs!$C$6^2+(B185-Y185/1000)^2)</x:f>
        <x:v>402.89798414376116</x:v>
      </x:c>
      <x:c r="AB185" s="48" t="n">
        <x:f>(AA185-Z185)*1000</x:f>
        <x:v>1814.0639510404526</x:v>
      </x:c>
      <x:c r="AC185" s="48" t="n">
        <x:f>AB185/Inputs!$C$12</x:f>
        <x:v>1019.1370511463217</x:v>
      </x:c>
      <x:c r="AD185" s="48" t="n">
        <x:f>2*AB185/Inputs!$C$21*1000000</x:f>
        <x:v>12.102132009207867</x:v>
      </x:c>
      <x:c r="AE185" s="48" t="n">
        <x:f>DEGREES(ATAN(H185/(B185-Y185/1000)))</x:f>
        <x:v>5.728486679354458</x:v>
      </x:c>
      <x:c r="AF185" s="48" t="n">
        <x:f>DEGREES((2*PI()/Inputs!$C$13)*Inputs!$C$15*SIN(RADIANS(AE185)))</x:f>
        <x:v>35.93320757719325</x:v>
      </x:c>
      <x:c r="AG185" s="48" t="n">
        <x:f>(Z185/AA185)^4</x:f>
        <x:v>0.982111115807457</x:v>
      </x:c>
      <x:c r="AH185" s="48" t="n">
        <x:f>10*LOG10(AG185)</x:f>
        <x:v>-0.0783937346352245</x:v>
      </x:c>
      <x:c r="AI185" s="48" t="n">
        <x:f>AC185-F185</x:f>
        <x:v>-110.61845669392005</x:v>
      </x:c>
      <x:c r="AJ185" s="48" t="n">
        <x:f>AD185-G185</x:f>
        <x:v>-1.3135810969279156</x:v>
      </x:c>
      <x:c r="AK185" s="48" t="n">
        <x:f>Y185-X185</x:f>
        <x:v>197.98176745439173</x:v>
      </x:c>
      <x:c r="AL185" s="48" t="n">
        <x:f>1000*(AA186-AA184)/(A186-A184)*Inputs!$C$11</x:f>
        <x:v>659.5751135828323</x:v>
      </x:c>
      <x:c r="AM185" s="48" t="n">
        <x:f>-2*AL185/Inputs!$C$13</x:f>
        <x:v>-263.8300454331329</x:v>
      </x:c>
      <x:c r="AN185" s="48" t="n">
        <x:f>-2*AL185/Inputs!$C$14</x:f>
        <x:v>-39.614120935905845</x:v>
      </x:c>
      <x:c r="AO185" s="48" t="n">
        <x:f>ABS(AM185)</x:f>
        <x:v>263.8300454331329</x:v>
      </x:c>
      <x:c r="AP185" s="48" t="n">
        <x:f>ABS(AN185)</x:f>
        <x:v>39.614120935905845</x:v>
      </x:c>
      <x:c r="AQ185" s="48" t="n">
        <x:f>IF(OR(Inputs!$C$27=TRUE,Inputs!$C$27="TRUE",Inputs!$C$27=1),Inputs!$C$46/Inputs!$C$12,0)</x:f>
        <x:v>42.13483146067416</x:v>
      </x:c>
      <x:c r="AR185" s="48" t="n">
        <x:f>AC185-AQ185</x:f>
        <x:v>977.0022196856476</x:v>
      </x:c>
      <x:c r="AS185" s="48" t="n">
        <x:f>AC185+AQ185</x:f>
        <x:v>1061.2718826069959</x:v>
      </x:c>
    </x:row>
    <x:row r="186">
      <x:c r="A186" s="48" t="n">
        <x:f>Inputs!$C$7+184*(Inputs!$C$8-Inputs!$C$7)/240</x:f>
        <x:v>32</x:v>
      </x:c>
      <x:c r="B186" s="48" t="n">
        <x:f>Inputs!$C$5+Inputs!$C$9*(A186/Inputs!$C$10)^2</x:f>
        <x:v>401.1377777777778</x:v>
      </x:c>
      <x:c r="C186" s="48" t="n">
        <x:f>B186</x:f>
        <x:v>401.1377777777778</x:v>
      </x:c>
      <x:c r="D186" s="48" t="n">
        <x:f>SQRT(A186^2+Inputs!$C$6^2+B186^2)</x:f>
        <x:v>403.1879422310318</x:v>
      </x:c>
      <x:c r="E186" s="48" t="n">
        <x:f>(D186-C186)*1000</x:f>
        <x:v>2050.1644532540126</x:v>
      </x:c>
      <x:c r="F186" s="48" t="n">
        <x:f>E186/Inputs!$C$12</x:f>
        <x:v>1151.7777827269733</x:v>
      </x:c>
      <x:c r="G186" s="48" t="n">
        <x:f>2*E186/Inputs!$C$21*1000000</x:f>
        <x:v>13.677225017141778</x:v>
      </x:c>
      <x:c r="H186" s="48" t="n">
        <x:f>SQRT(A186^2+Inputs!$C$6^2)</x:f>
        <x:v>40.607881008493905</x:v>
      </x:c>
      <x:c r="I186" s="48" t="n">
        <x:f>DEGREES(ATAN(H186/B186))</x:f>
        <x:v>5.780460156082169</x:v>
      </x:c>
      <x:c r="J186" s="48" t="n">
        <x:f>DEGREES((2*PI()/Inputs!$C$13)*Inputs!$C$15*SIN(RADIANS(I186)))</x:f>
        <x:v>36.25812092039455</x:v>
      </x:c>
      <x:c r="K186" s="48" t="n">
        <x:f>(C186/D186)^4</x:f>
        <x:v>0.9798150697955003</x:v>
      </x:c>
      <x:c r="L186" s="48" t="n">
        <x:f>10*LOG10(K186)</x:f>
        <x:v>-0.0885588527293259</x:v>
      </x:c>
      <x:c r="M186" s="48" t="n">
        <x:f>2*(Inputs!$C$9/(Inputs!$C$10^2))*A186</x:f>
        <x:v>0.07111111111111111</x:v>
      </x:c>
      <x:c r="N186" s="48" t="n">
        <x:f>M186*Inputs!$C$11</x:f>
        <x:v>0.28444444444444444</x:v>
      </x:c>
      <x:c r="O186" s="48" t="n">
        <x:f>1000*((A186*Inputs!$C$11)+(B186*N186))/D186</x:f>
        <x:v>600.4678885137687</x:v>
      </x:c>
      <x:c r="P186" s="48" t="n">
        <x:f>-2*O186/Inputs!$C$13</x:f>
        <x:v>-240.18715540550747</x:v>
      </x:c>
      <x:c r="Q186" s="48" t="n">
        <x:f>-2*O186/Inputs!$C$14</x:f>
        <x:v>-36.0641374482744</x:v>
      </x:c>
      <x:c r="R186" s="48" t="n">
        <x:f>F186-Inputs!$C$16/2</x:f>
        <x:v>1136.7777827269733</x:v>
      </x:c>
      <x:c r="S186" s="48" t="n">
        <x:f>F186+Inputs!$C$16/2</x:f>
        <x:v>1166.7777827269733</x:v>
      </x:c>
      <x:c r="T186" s="48" t="n">
        <x:f>F186-Inputs!$C$17/2</x:f>
        <x:v>1001.7777827269733</x:v>
      </x:c>
      <x:c r="U186" s="48" t="n">
        <x:f>F186+Inputs!$C$17/2</x:f>
        <x:v>1301.7777827269733</x:v>
      </x:c>
      <x:c r="V186" s="48" t="n">
        <x:f>ABS(P186)</x:f>
        <x:v>240.18715540550747</x:v>
      </x:c>
      <x:c r="W186" s="48" t="n">
        <x:f>ABS(Q186)</x:f>
        <x:v>36.0641374482744</x:v>
      </x:c>
      <x:c r="X186" s="48" t="n">
        <x: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(0.45*SIN(2*PI()*(((A186)/Inputs!$C$49)+Inputs!$C$47*0.137))+0.35*COS(2*PI()*(((0)/Inputs!$C$50)+Inputs!$C$47*0.173))+0.20*SIN(2*PI()*(((A186)+(0))/(0.5*(Inputs!$C$49+Inputs!$C$50))+Inputs!$C$47*0.097)))+0.30*(2*((SIN(((A186)*12.9898+(0)*78.233+Inputs!$C$47*37.719))*43758.5453)-INT((SIN(((A186)*12.9898+(0)*78.233+Inputs!$C$47*37.719))*43758.5453)))-1)))</x:f>
        <x:v>-1.3588316603362678</x:v>
      </x:c>
      <x:c r="Y186" s="48" t="n">
        <x: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(0.45*SIN(2*PI()*(((A186)/Inputs!$C$49)+Inputs!$C$47*0.137))+0.35*COS(2*PI()*(((Inputs!$C$6)/Inputs!$C$50)+Inputs!$C$47*0.173))+0.20*SIN(2*PI()*(((A186)+(Inputs!$C$6))/(0.5*(Inputs!$C$49+Inputs!$C$50))+Inputs!$C$47*0.097)))+0.30*(2*((SIN(((A186)*12.9898+(Inputs!$C$6)*78.233+Inputs!$C$47*37.719))*43758.5453)-INT((SIN(((A186)*12.9898+(Inputs!$C$6)*78.233+Inputs!$C$47*37.719))*43758.5453)))-1)))</x:f>
        <x:v>222.43770342182788</x:v>
      </x:c>
      <x:c r="Z186" s="48" t="n">
        <x:f>B186-X186/1000</x:f>
        <x:v>401.13913660943814</x:v>
      </x:c>
      <x:c r="AA186" s="48" t="n">
        <x:f>SQRT(A186^2+Inputs!$C$6^2+(B186-Y186/1000)^2)</x:f>
        <x:v>402.966636220589</x:v>
      </x:c>
      <x:c r="AB186" s="48" t="n">
        <x:f>(AA186-Z186)*1000</x:f>
        <x:v>1827.49961115087</x:v>
      </x:c>
      <x:c r="AC186" s="48" t="n">
        <x:f>AB186/Inputs!$C$12</x:f>
        <x:v>1026.6851748038596</x:v>
      </x:c>
      <x:c r="AD186" s="48" t="n">
        <x:f>2*AB186/Inputs!$C$21*1000000</x:f>
        <x:v>12.191765085370292</x:v>
      </x:c>
      <x:c r="AE186" s="48" t="n">
        <x:f>DEGREES(ATAN(H186/(B186-Y186/1000)))</x:f>
        <x:v>5.783645561668308</x:v>
      </x:c>
      <x:c r="AF186" s="48" t="n">
        <x:f>DEGREES((2*PI()/Inputs!$C$13)*Inputs!$C$15*SIN(RADIANS(AE186)))</x:f>
        <x:v>36.27803358652072</x:v>
      </x:c>
      <x:c r="AG186" s="48" t="n">
        <x:f>(Z186/AA186)^4</x:f>
        <x:v>0.9819825750959327</x:v>
      </x:c>
      <x:c r="AH186" s="48" t="n">
        <x:f>10*LOG10(AG186)</x:f>
        <x:v>-0.0789621853364634</x:v>
      </x:c>
      <x:c r="AI186" s="48" t="n">
        <x:f>AC186-F186</x:f>
        <x:v>-125.09260792311375</x:v>
      </x:c>
      <x:c r="AJ186" s="48" t="n">
        <x:f>AD186-G186</x:f>
        <x:v>-1.4854599317714854</x:v>
      </x:c>
      <x:c r="AK186" s="48" t="n">
        <x:f>Y186-X186</x:f>
        <x:v>223.79653508216416</x:v>
      </x:c>
      <x:c r="AL186" s="48" t="n">
        <x:f>1000*(AA187-AA185)/(A187-A185)*Inputs!$C$11</x:f>
        <x:v>555.2313026794309</x:v>
      </x:c>
      <x:c r="AM186" s="48" t="n">
        <x:f>-2*AL186/Inputs!$C$13</x:f>
        <x:v>-222.09252107177235</x:v>
      </x:c>
      <x:c r="AN186" s="48" t="n">
        <x:f>-2*AL186/Inputs!$C$14</x:f>
        <x:v>-33.347225386152004</x:v>
      </x:c>
      <x:c r="AO186" s="48" t="n">
        <x:f>ABS(AM186)</x:f>
        <x:v>222.09252107177235</x:v>
      </x:c>
      <x:c r="AP186" s="48" t="n">
        <x:f>ABS(AN186)</x:f>
        <x:v>33.347225386152004</x:v>
      </x:c>
      <x:c r="AQ186" s="48" t="n">
        <x:f>IF(OR(Inputs!$C$27=TRUE,Inputs!$C$27="TRUE",Inputs!$C$27=1),Inputs!$C$46/Inputs!$C$12,0)</x:f>
        <x:v>42.13483146067416</x:v>
      </x:c>
      <x:c r="AR186" s="48" t="n">
        <x:f>AC186-AQ186</x:f>
        <x:v>984.5503433431854</x:v>
      </x:c>
      <x:c r="AS186" s="48" t="n">
        <x:f>AC186+AQ186</x:f>
        <x:v>1068.8200062645337</x:v>
      </x:c>
    </x:row>
    <x:row r="187">
      <x:c r="A187" s="48" t="n">
        <x:f>Inputs!$C$7+185*(Inputs!$C$8-Inputs!$C$7)/240</x:f>
        <x:v>32.5</x:v>
      </x:c>
      <x:c r="B187" s="48" t="n">
        <x:f>Inputs!$C$5+Inputs!$C$9*(A187/Inputs!$C$10)^2</x:f>
        <x:v>401.1736111111111</x:v>
      </x:c>
      <x:c r="C187" s="48" t="n">
        <x:f>B187</x:f>
        <x:v>401.1736111111111</x:v>
      </x:c>
      <x:c r="D187" s="48" t="n">
        <x:f>SQRT(A187^2+Inputs!$C$6^2+B187^2)</x:f>
        <x:v>403.2635816087649</x:v>
      </x:c>
      <x:c r="E187" s="48" t="n">
        <x:f>(D187-C187)*1000</x:f>
        <x:v>2089.9704976538374</x:v>
      </x:c>
      <x:c r="F187" s="48" t="n">
        <x:f>E187/Inputs!$C$12</x:f>
        <x:v>1174.1407290190098</x:v>
      </x:c>
      <x:c r="G187" s="48" t="n">
        <x:f>2*E187/Inputs!$C$21*1000000</x:f>
        <x:v>13.942782360814675</x:v>
      </x:c>
      <x:c r="H187" s="48" t="n">
        <x:f>SQRT(A187^2+Inputs!$C$6^2)</x:f>
        <x:v>41.00304866714181</x:v>
      </x:c>
      <x:c r="I187" s="48" t="n">
        <x:f>DEGREES(ATAN(H187/B187))</x:f>
        <x:v>5.835807408982732</x:v>
      </x:c>
      <x:c r="J187" s="48" t="n">
        <x:f>DEGREES((2*PI()/Inputs!$C$13)*Inputs!$C$15*SIN(RADIANS(I187)))</x:f>
        <x:v>36.60409269114675</x:v>
      </x:c>
      <x:c r="K187" s="48" t="n">
        <x:f>(C187/D187)^4</x:f>
        <x:v>0.9794300372811903</x:v>
      </x:c>
      <x:c r="L187" s="48" t="n">
        <x:f>10*LOG10(K187)</x:f>
        <x:v>-0.0902658111682354</x:v>
      </x:c>
      <x:c r="M187" s="48" t="n">
        <x:f>2*(Inputs!$C$9/(Inputs!$C$10^2))*A187</x:f>
        <x:v>0.07222222222222222</x:v>
      </x:c>
      <x:c r="N187" s="48" t="n">
        <x:f>M187*Inputs!$C$11</x:f>
        <x:v>0.28888888888888886</x:v>
      </x:c>
      <x:c r="O187" s="48" t="n">
        <x:f>1000*((A187*Inputs!$C$11)+(B187*N187))/D187</x:f>
        <x:v>609.7614810255595</x:v>
      </x:c>
      <x:c r="P187" s="48" t="n">
        <x:f>-2*O187/Inputs!$C$13</x:f>
        <x:v>-243.9045924102238</x:v>
      </x:c>
      <x:c r="Q187" s="48" t="n">
        <x:f>-2*O187/Inputs!$C$14</x:f>
        <x:v>-36.62231117270628</x:v>
      </x:c>
      <x:c r="R187" s="48" t="n">
        <x:f>F187-Inputs!$C$16/2</x:f>
        <x:v>1159.1407290190098</x:v>
      </x:c>
      <x:c r="S187" s="48" t="n">
        <x:f>F187+Inputs!$C$16/2</x:f>
        <x:v>1189.1407290190098</x:v>
      </x:c>
      <x:c r="T187" s="48" t="n">
        <x:f>F187-Inputs!$C$17/2</x:f>
        <x:v>1024.1407290190098</x:v>
      </x:c>
      <x:c r="U187" s="48" t="n">
        <x:f>F187+Inputs!$C$17/2</x:f>
        <x:v>1324.1407290190098</x:v>
      </x:c>
      <x:c r="V187" s="48" t="n">
        <x:f>ABS(P187)</x:f>
        <x:v>243.9045924102238</x:v>
      </x:c>
      <x:c r="W187" s="48" t="n">
        <x:f>ABS(Q187)</x:f>
        <x:v>36.62231117270628</x:v>
      </x:c>
      <x:c r="X187" s="48" t="n">
        <x: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(0.45*SIN(2*PI()*(((A187)/Inputs!$C$49)+Inputs!$C$47*0.137))+0.35*COS(2*PI()*(((0)/Inputs!$C$50)+Inputs!$C$47*0.173))+0.20*SIN(2*PI()*(((A187)+(0))/(0.5*(Inputs!$C$49+Inputs!$C$50))+Inputs!$C$47*0.097)))+0.30*(2*((SIN(((A187)*12.9898+(0)*78.233+Inputs!$C$47*37.719))*43758.5453)-INT((SIN(((A187)*12.9898+(0)*78.233+Inputs!$C$47*37.719))*43758.5453)))-1)))</x:f>
        <x:v>5.846843018322446</x:v>
      </x:c>
      <x:c r="Y187" s="48" t="n">
        <x: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(0.45*SIN(2*PI()*(((A187)/Inputs!$C$49)+Inputs!$C$47*0.137))+0.35*COS(2*PI()*(((Inputs!$C$6)/Inputs!$C$50)+Inputs!$C$47*0.173))+0.20*SIN(2*PI()*(((A187)+(Inputs!$C$6))/(0.5*(Inputs!$C$49+Inputs!$C$50))+Inputs!$C$47*0.097)))+0.30*(2*((SIN(((A187)*12.9898+(Inputs!$C$6)*78.233+Inputs!$C$47*37.719))*43758.5453)-INT((SIN(((A187)*12.9898+(Inputs!$C$6)*78.233+Inputs!$C$47*37.719))*43758.5453)))-1)))</x:f>
        <x:v>227.97180197677312</x:v>
      </x:c>
      <x:c r="Z187" s="48" t="n">
        <x:f>B187-X187/1000</x:f>
        <x:v>401.16776426809275</x:v>
      </x:c>
      <x:c r="AA187" s="48" t="n">
        <x:f>SQRT(A187^2+Inputs!$C$6^2+(B187-Y187/1000)^2)</x:f>
        <x:v>403.036791969431</x:v>
      </x:c>
      <x:c r="AB187" s="48" t="n">
        <x:f>(AA187-Z187)*1000</x:f>
        <x:v>1869.0277013382683</x:v>
      </x:c>
      <x:c r="AC187" s="48" t="n">
        <x:f>AB187/Inputs!$C$12</x:f>
        <x:v>1050.015562549589</x:v>
      </x:c>
      <x:c r="AD187" s="48" t="n">
        <x:f>2*AB187/Inputs!$C$21*1000000</x:f>
        <x:v>12.46881068194363</x:v>
      </x:c>
      <x:c r="AE187" s="48" t="n">
        <x:f>DEGREES(ATAN(H187/(B187-Y187/1000)))</x:f>
        <x:v>5.839102642656873</x:v>
      </x:c>
      <x:c r="AF187" s="48" t="n">
        <x:f>DEGREES((2*PI()/Inputs!$C$13)*Inputs!$C$15*SIN(RADIANS(AE187)))</x:f>
        <x:v>36.624689890074926</x:v>
      </x:c>
      <x:c r="AG187" s="48" t="n">
        <x:f>(Z187/AA187)^4</x:f>
        <x:v>0.981579182377647</x:v>
      </x:c>
      <x:c r="AH187" s="48" t="n">
        <x:f>10*LOG10(AG187)</x:f>
        <x:v>-0.0807466082952963</x:v>
      </x:c>
      <x:c r="AI187" s="48" t="n">
        <x:f>AC187-F187</x:f>
        <x:v>-124.12516646942072</x:v>
      </x:c>
      <x:c r="AJ187" s="48" t="n">
        <x:f>AD187-G187</x:f>
        <x:v>-1.4739716788710453</x:v>
      </x:c>
      <x:c r="AK187" s="48" t="n">
        <x:f>Y187-X187</x:f>
        <x:v>222.1249589584507</x:v>
      </x:c>
      <x:c r="AL187" s="48" t="n">
        <x:f>1000*(AA188-AA186)/(A188-A186)*Inputs!$C$11</x:f>
        <x:v>595.4273554368683</x:v>
      </x:c>
      <x:c r="AM187" s="48" t="n">
        <x:f>-2*AL187/Inputs!$C$13</x:f>
        <x:v>-238.17094217474732</x:v>
      </x:c>
      <x:c r="AN187" s="48" t="n">
        <x:f>-2*AL187/Inputs!$C$14</x:f>
        <x:v>-35.76140272894104</x:v>
      </x:c>
      <x:c r="AO187" s="48" t="n">
        <x:f>ABS(AM187)</x:f>
        <x:v>238.17094217474732</x:v>
      </x:c>
      <x:c r="AP187" s="48" t="n">
        <x:f>ABS(AN187)</x:f>
        <x:v>35.76140272894104</x:v>
      </x:c>
      <x:c r="AQ187" s="48" t="n">
        <x:f>IF(OR(Inputs!$C$27=TRUE,Inputs!$C$27="TRUE",Inputs!$C$27=1),Inputs!$C$46/Inputs!$C$12,0)</x:f>
        <x:v>42.13483146067416</x:v>
      </x:c>
      <x:c r="AR187" s="48" t="n">
        <x:f>AC187-AQ187</x:f>
        <x:v>1007.8807310889149</x:v>
      </x:c>
      <x:c r="AS187" s="48" t="n">
        <x:f>AC187+AQ187</x:f>
        <x:v>1092.1503940102632</x:v>
      </x:c>
    </x:row>
    <x:row r="188">
      <x:c r="A188" s="48" t="n">
        <x:f>Inputs!$C$7+186*(Inputs!$C$8-Inputs!$C$7)/240</x:f>
        <x:v>33</x:v>
      </x:c>
      <x:c r="B188" s="48" t="n">
        <x:f>Inputs!$C$5+Inputs!$C$9*(A188/Inputs!$C$10)^2</x:f>
        <x:v>401.21</x:v>
      </x:c>
      <x:c r="C188" s="48" t="n">
        <x:f>B188</x:f>
        <x:v>401.21</x:v>
      </x:c>
      <x:c r="D188" s="48" t="n">
        <x:f>SQRT(A188^2+Inputs!$C$6^2+B188^2)</x:f>
        <x:v>403.340382431514</x:v>
      </x:c>
      <x:c r="E188" s="48" t="n">
        <x:f>(D188-C188)*1000</x:f>
        <x:v>2130.382431514022</x:v>
      </x:c>
      <x:c r="F188" s="48" t="n">
        <x:f>E188/Inputs!$C$12</x:f>
        <x:v>1196.8440626483268</x:v>
      </x:c>
      <x:c r="G188" s="48" t="n">
        <x:f>2*E188/Inputs!$C$21*1000000</x:f>
        <x:v>14.212381763880277</x:v>
      </x:c>
      <x:c r="H188" s="48" t="n">
        <x:f>SQRT(A188^2+Inputs!$C$6^2)</x:f>
        <x:v>41.400483088968905</x:v>
      </x:c>
      <x:c r="I188" s="48" t="n">
        <x:f>DEGREES(ATAN(H188/B188))</x:f>
        <x:v>5.891446051651431</x:v>
      </x:c>
      <x:c r="J188" s="48" t="n">
        <x:f>DEGREES((2*PI()/Inputs!$C$13)*Inputs!$C$15*SIN(RADIANS(I188)))</x:f>
        <x:v>36.95185149123889</x:v>
      </x:c>
      <x:c r="K188" s="48" t="n">
        <x:f>(C188/D188)^4</x:f>
        <x:v>0.9790394084468791</x:v>
      </x:c>
      <x:c r="L188" s="48" t="n">
        <x:f>10*LOG10(K188)</x:f>
        <x:v>-0.09199826555840601</x:v>
      </x:c>
      <x:c r="M188" s="48" t="n">
        <x:f>2*(Inputs!$C$9/(Inputs!$C$10^2))*A188</x:f>
        <x:v>0.07333333333333333</x:v>
      </x:c>
      <x:c r="N188" s="48" t="n">
        <x:f>M188*Inputs!$C$11</x:f>
        <x:v>0.29333333333333333</x:v>
      </x:c>
      <x:c r="O188" s="48" t="n">
        <x:f>1000*((A188*Inputs!$C$11)+(B188*N188))/D188</x:f>
        <x:v>619.050998963792</x:v>
      </x:c>
      <x:c r="P188" s="48" t="n">
        <x:f>-2*O188/Inputs!$C$13</x:f>
        <x:v>-247.62039958551682</x:v>
      </x:c>
      <x:c r="Q188" s="48" t="n">
        <x:f>-2*O188/Inputs!$C$14</x:f>
        <x:v>-37.18024017800553</x:v>
      </x:c>
      <x:c r="R188" s="48" t="n">
        <x:f>F188-Inputs!$C$16/2</x:f>
        <x:v>1181.8440626483268</x:v>
      </x:c>
      <x:c r="S188" s="48" t="n">
        <x:f>F188+Inputs!$C$16/2</x:f>
        <x:v>1211.8440626483268</x:v>
      </x:c>
      <x:c r="T188" s="48" t="n">
        <x:f>F188-Inputs!$C$17/2</x:f>
        <x:v>1046.8440626483268</x:v>
      </x:c>
      <x:c r="U188" s="48" t="n">
        <x:f>F188+Inputs!$C$17/2</x:f>
        <x:v>1346.8440626483268</x:v>
      </x:c>
      <x:c r="V188" s="48" t="n">
        <x:f>ABS(P188)</x:f>
        <x:v>247.62039958551682</x:v>
      </x:c>
      <x:c r="W188" s="48" t="n">
        <x:f>ABS(Q188)</x:f>
        <x:v>37.18024017800553</x:v>
      </x:c>
      <x:c r="X188" s="48" t="n">
        <x: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(0.45*SIN(2*PI()*(((A188)/Inputs!$C$49)+Inputs!$C$47*0.137))+0.35*COS(2*PI()*(((0)/Inputs!$C$50)+Inputs!$C$47*0.173))+0.20*SIN(2*PI()*(((A188)+(0))/(0.5*(Inputs!$C$49+Inputs!$C$50))+Inputs!$C$47*0.097)))+0.30*(2*((SIN(((A188)*12.9898+(0)*78.233+Inputs!$C$47*37.719))*43758.5453)-INT((SIN(((A188)*12.9898+(0)*78.233+Inputs!$C$47*37.719))*43758.5453)))-1)))</x:f>
        <x:v>-3.610290991247414</x:v>
      </x:c>
      <x:c r="Y188" s="48" t="n">
        <x: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(0.45*SIN(2*PI()*(((A188)/Inputs!$C$49)+Inputs!$C$47*0.137))+0.35*COS(2*PI()*(((Inputs!$C$6)/Inputs!$C$50)+Inputs!$C$47*0.173))+0.20*SIN(2*PI()*(((A188)+(Inputs!$C$6))/(0.5*(Inputs!$C$49+Inputs!$C$50))+Inputs!$C$47*0.097)))+0.30*(2*((SIN(((A188)*12.9898+(Inputs!$C$6)*78.233+Inputs!$C$47*37.719))*43758.5453)-INT((SIN(((A188)*12.9898+(Inputs!$C$6)*78.233+Inputs!$C$47*37.719))*43758.5453)))-1)))</x:f>
        <x:v>226.0841822180117</x:v>
      </x:c>
      <x:c r="Z188" s="48" t="n">
        <x:f>B188-X188/1000</x:f>
        <x:v>401.21361029099126</x:v>
      </x:c>
      <x:c r="AA188" s="48" t="n">
        <x:f>SQRT(A188^2+Inputs!$C$6^2+(B188-Y188/1000)^2)</x:f>
        <x:v>403.1154930594482</x:v>
      </x:c>
      <x:c r="AB188" s="48" t="n">
        <x:f>(AA188-Z188)*1000</x:f>
        <x:v>1901.8827684569715</x:v>
      </x:c>
      <x:c r="AC188" s="48" t="n">
        <x:f>AB188/Inputs!$C$12</x:f>
        <x:v>1068.4734654252647</x:v>
      </x:c>
      <x:c r="AD188" s="48" t="n">
        <x:f>2*AB188/Inputs!$C$21*1000000</x:f>
        <x:v>12.687996096666124</x:v>
      </x:c>
      <x:c r="AE188" s="48" t="n">
        <x:f>DEGREES(ATAN(H188/(B188-Y188/1000)))</x:f>
        <x:v>5.894744403822772</x:v>
      </x:c>
      <x:c r="AF188" s="48" t="n">
        <x:f>DEGREES((2*PI()/Inputs!$C$13)*Inputs!$C$15*SIN(RADIANS(AE188)))</x:f>
        <x:v>36.972466126055984</x:v>
      </x:c>
      <x:c r="AG188" s="48" t="n">
        <x:f>(Z188/AA188)^4</x:f>
        <x:v>0.9812612953348746</x:v>
      </x:c>
      <x:c r="AH188" s="48" t="n">
        <x:f>10*LOG10(AG188)</x:f>
        <x:v>-0.0821533103815756</x:v>
      </x:c>
      <x:c r="AI188" s="48" t="n">
        <x:f>AC188-F188</x:f>
        <x:v>-128.37059722306208</x:v>
      </x:c>
      <x:c r="AJ188" s="48" t="n">
        <x:f>AD188-G188</x:f>
        <x:v>-1.524385667214153</x:v>
      </x:c>
      <x:c r="AK188" s="48" t="n">
        <x:f>Y188-X188</x:f>
        <x:v>229.69447320925912</x:v>
      </x:c>
      <x:c r="AL188" s="48" t="n">
        <x:f>1000*(AA189-AA187)/(A189-A187)*Inputs!$C$11</x:f>
        <x:v>626.1248295302266</x:v>
      </x:c>
      <x:c r="AM188" s="48" t="n">
        <x:f>-2*AL188/Inputs!$C$13</x:f>
        <x:v>-250.44993181209065</x:v>
      </x:c>
      <x:c r="AN188" s="48" t="n">
        <x:f>-2*AL188/Inputs!$C$14</x:f>
        <x:v>-37.60509486668028</x:v>
      </x:c>
      <x:c r="AO188" s="48" t="n">
        <x:f>ABS(AM188)</x:f>
        <x:v>250.44993181209065</x:v>
      </x:c>
      <x:c r="AP188" s="48" t="n">
        <x:f>ABS(AN188)</x:f>
        <x:v>37.60509486668028</x:v>
      </x:c>
      <x:c r="AQ188" s="48" t="n">
        <x:f>IF(OR(Inputs!$C$27=TRUE,Inputs!$C$27="TRUE",Inputs!$C$27=1),Inputs!$C$46/Inputs!$C$12,0)</x:f>
        <x:v>42.13483146067416</x:v>
      </x:c>
      <x:c r="AR188" s="48" t="n">
        <x:f>AC188-AQ188</x:f>
        <x:v>1026.3386339645906</x:v>
      </x:c>
      <x:c r="AS188" s="48" t="n">
        <x:f>AC188+AQ188</x:f>
        <x:v>1110.608296885939</x:v>
      </x:c>
    </x:row>
    <x:row r="189">
      <x:c r="A189" s="48" t="n">
        <x:f>Inputs!$C$7+187*(Inputs!$C$8-Inputs!$C$7)/240</x:f>
        <x:v>33.5</x:v>
      </x:c>
      <x:c r="B189" s="48" t="n">
        <x:f>Inputs!$C$5+Inputs!$C$9*(A189/Inputs!$C$10)^2</x:f>
        <x:v>401.24694444444447</x:v>
      </x:c>
      <x:c r="C189" s="48" t="n">
        <x:f>B189</x:f>
        <x:v>401.24694444444447</x:v>
      </x:c>
      <x:c r="D189" s="48" t="n">
        <x:f>SQRT(A189^2+Inputs!$C$6^2+B189^2)</x:f>
        <x:v>403.418344186284</x:v>
      </x:c>
      <x:c r="E189" s="48" t="n">
        <x:f>(D189-C189)*1000</x:f>
        <x:v>2171.3997418395365</x:v>
      </x:c>
      <x:c r="F189" s="48" t="n">
        <x:f>E189/Inputs!$C$12</x:f>
        <x:v>1219.8874954154699</x:v>
      </x:c>
      <x:c r="G189" s="48" t="n">
        <x:f>2*E189/Inputs!$C$21*1000000</x:f>
        <x:v>14.486019804004119</x:v>
      </x:c>
      <x:c r="H189" s="48" t="n">
        <x:f>SQRT(A189^2+Inputs!$C$6^2)</x:f>
        <x:v>41.80011961705373</x:v>
      </x:c>
      <x:c r="I189" s="48" t="n">
        <x:f>DEGREES(ATAN(H189/B189))</x:f>
        <x:v>5.947366354766674</x:v>
      </x:c>
      <x:c r="J189" s="48" t="n">
        <x:f>DEGREES((2*PI()/Inputs!$C$13)*Inputs!$C$15*SIN(RADIANS(I189)))</x:f>
        <x:v>37.30133564573529</x:v>
      </x:c>
      <x:c r="K189" s="48" t="n">
        <x:f>(C189/D189)^4</x:f>
        <x:v>0.9786432000050733</x:v>
      </x:c>
      <x:c r="L189" s="48" t="n">
        <x:f>10*LOG10(K189)</x:f>
        <x:v>-0.0937561719888581</x:v>
      </x:c>
      <x:c r="M189" s="48" t="n">
        <x:f>2*(Inputs!$C$9/(Inputs!$C$10^2))*A189</x:f>
        <x:v>0.07444444444444444</x:v>
      </x:c>
      <x:c r="N189" s="48" t="n">
        <x:f>M189*Inputs!$C$11</x:f>
        <x:v>0.29777777777777775</x:v>
      </x:c>
      <x:c r="O189" s="48" t="n">
        <x:f>1000*((A189*Inputs!$C$11)+(B189*N189))/D189</x:f>
        <x:v>628.3363835823517</x:v>
      </x:c>
      <x:c r="P189" s="48" t="n">
        <x:f>-2*O189/Inputs!$C$13</x:f>
        <x:v>-251.33455343294068</x:v>
      </x:c>
      <x:c r="Q189" s="48" t="n">
        <x:f>-2*O189/Inputs!$C$14</x:f>
        <x:v>-37.73792093587698</x:v>
      </x:c>
      <x:c r="R189" s="48" t="n">
        <x:f>F189-Inputs!$C$16/2</x:f>
        <x:v>1204.8874954154699</x:v>
      </x:c>
      <x:c r="S189" s="48" t="n">
        <x:f>F189+Inputs!$C$16/2</x:f>
        <x:v>1234.8874954154699</x:v>
      </x:c>
      <x:c r="T189" s="48" t="n">
        <x:f>F189-Inputs!$C$17/2</x:f>
        <x:v>1069.8874954154699</x:v>
      </x:c>
      <x:c r="U189" s="48" t="n">
        <x:f>F189+Inputs!$C$17/2</x:f>
        <x:v>1369.8874954154699</x:v>
      </x:c>
      <x:c r="V189" s="48" t="n">
        <x:f>ABS(P189)</x:f>
        <x:v>251.33455343294068</x:v>
      </x:c>
      <x:c r="W189" s="48" t="n">
        <x:f>ABS(Q189)</x:f>
        <x:v>37.73792093587698</x:v>
      </x:c>
      <x:c r="X189" s="48" t="n">
        <x: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(0.45*SIN(2*PI()*(((A189)/Inputs!$C$49)+Inputs!$C$47*0.137))+0.35*COS(2*PI()*(((0)/Inputs!$C$50)+Inputs!$C$47*0.173))+0.20*SIN(2*PI()*(((A189)+(0))/(0.5*(Inputs!$C$49+Inputs!$C$50))+Inputs!$C$47*0.097)))+0.30*(2*((SIN(((A189)*12.9898+(0)*78.233+Inputs!$C$47*37.719))*43758.5453)-INT((SIN(((A189)*12.9898+(0)*78.233+Inputs!$C$47*37.719))*43758.5453)))-1)))</x:f>
        <x:v>2.8193818928466783</x:v>
      </x:c>
      <x:c r="Y189" s="48" t="n">
        <x: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(0.45*SIN(2*PI()*(((A189)/Inputs!$C$49)+Inputs!$C$47*0.137))+0.35*COS(2*PI()*(((Inputs!$C$6)/Inputs!$C$50)+Inputs!$C$47*0.173))+0.20*SIN(2*PI()*(((A189)+(Inputs!$C$6))/(0.5*(Inputs!$C$49+Inputs!$C$50))+Inputs!$C$47*0.097)))+0.30*(2*((SIN(((A189)*12.9898+(Inputs!$C$6)*78.233+Inputs!$C$47*37.719))*43758.5453)-INT((SIN(((A189)*12.9898+(Inputs!$C$6)*78.233+Inputs!$C$47*37.719))*43758.5453)))-1)))</x:f>
        <x:v>226.23942491253771</x:v>
      </x:c>
      <x:c r="Z189" s="48" t="n">
        <x:f>B189-X189/1000</x:f>
        <x:v>401.24412506255163</x:v>
      </x:c>
      <x:c r="AA189" s="48" t="n">
        <x:f>SQRT(A189^2+Inputs!$C$6^2+(B189-Y189/1000)^2)</x:f>
        <x:v>403.1933231768136</x:v>
      </x:c>
      <x:c r="AB189" s="48" t="n">
        <x:f>(AA189-Z189)*1000</x:f>
        <x:v>1949.1981142619466</x:v>
      </x:c>
      <x:c r="AC189" s="48" t="n">
        <x:f>AB189/Inputs!$C$12</x:f>
        <x:v>1095.05512037188</x:v>
      </x:c>
      <x:c r="AD189" s="48" t="n">
        <x:f>2*AB189/Inputs!$C$21*1000000</x:f>
        <x:v>13.003650106914607</x:v>
      </x:c>
      <x:c r="AE189" s="48" t="n">
        <x:f>DEGREES(ATAN(H189/(B189-Y189/1000)))</x:f>
        <x:v>5.9506975452816</x:v>
      </x:c>
      <x:c r="AF189" s="48" t="n">
        <x:f>DEGREES((2*PI()/Inputs!$C$13)*Inputs!$C$15*SIN(RADIANS(AE189)))</x:f>
        <x:v>37.322153411603686</x:v>
      </x:c>
      <x:c r="AG189" s="48" t="n">
        <x:f>(Z189/AA189)^4</x:f>
        <x:v>0.980802174081728</x:v>
      </x:c>
      <x:c r="AH189" s="48" t="n">
        <x:f>10*LOG10(AG189)</x:f>
        <x:v>-0.08418580151668331</x:v>
      </x:c>
      <x:c r="AI189" s="48" t="n">
        <x:f>AC189-F189</x:f>
        <x:v>-124.83237504358976</x:v>
      </x:c>
      <x:c r="AJ189" s="48" t="n">
        <x:f>AD189-G189</x:f>
        <x:v>-1.4823696970895117</x:v>
      </x:c>
      <x:c r="AK189" s="48" t="n">
        <x:f>Y189-X189</x:f>
        <x:v>223.42004301969104</x:v>
      </x:c>
      <x:c r="AL189" s="48" t="n">
        <x:f>1000*(AA190-AA188)/(A190-A188)*Inputs!$C$11</x:f>
        <x:v>560.1516372566948</x:v>
      </x:c>
      <x:c r="AM189" s="48" t="n">
        <x:f>-2*AL189/Inputs!$C$13</x:f>
        <x:v>-224.06065490267792</x:v>
      </x:c>
      <x:c r="AN189" s="48" t="n">
        <x:f>-2*AL189/Inputs!$C$14</x:f>
        <x:v>-33.64274097637807</x:v>
      </x:c>
      <x:c r="AO189" s="48" t="n">
        <x:f>ABS(AM189)</x:f>
        <x:v>224.06065490267792</x:v>
      </x:c>
      <x:c r="AP189" s="48" t="n">
        <x:f>ABS(AN189)</x:f>
        <x:v>33.64274097637807</x:v>
      </x:c>
      <x:c r="AQ189" s="48" t="n">
        <x:f>IF(OR(Inputs!$C$27=TRUE,Inputs!$C$27="TRUE",Inputs!$C$27=1),Inputs!$C$46/Inputs!$C$12,0)</x:f>
        <x:v>42.13483146067416</x:v>
      </x:c>
      <x:c r="AR189" s="48" t="n">
        <x:f>AC189-AQ189</x:f>
        <x:v>1052.920288911206</x:v>
      </x:c>
      <x:c r="AS189" s="48" t="n">
        <x:f>AC189+AQ189</x:f>
        <x:v>1137.1899518325542</x:v>
      </x:c>
    </x:row>
    <x:row r="190">
      <x:c r="A190" s="48" t="n">
        <x:f>Inputs!$C$7+188*(Inputs!$C$8-Inputs!$C$7)/240</x:f>
        <x:v>34</x:v>
      </x:c>
      <x:c r="B190" s="48" t="n">
        <x:f>Inputs!$C$5+Inputs!$C$9*(A190/Inputs!$C$10)^2</x:f>
        <x:v>401.28444444444443</x:v>
      </x:c>
      <x:c r="C190" s="48" t="n">
        <x:f>B190</x:f>
        <x:v>401.28444444444443</x:v>
      </x:c>
      <x:c r="D190" s="48" t="n">
        <x:f>SQRT(A190^2+Inputs!$C$6^2+B190^2)</x:f>
        <x:v>403.49746635274727</x:v>
      </x:c>
      <x:c r="E190" s="48" t="n">
        <x:f>(D190-C190)*1000</x:f>
        <x:v>2213.021908302835</x:v>
      </x:c>
      <x:c r="F190" s="48" t="n">
        <x:f>E190/Inputs!$C$12</x:f>
        <x:v>1243.2707350015928</x:v>
      </x:c>
      <x:c r="G190" s="48" t="n">
        <x:f>2*E190/Inputs!$C$21*1000000</x:f>
        <x:v>14.76369300993446</x:v>
      </x:c>
      <x:c r="H190" s="48" t="n">
        <x:f>SQRT(A190^2+Inputs!$C$6^2)</x:f>
        <x:v>42.20189569201838</x:v>
      </x:c>
      <x:c r="I190" s="48" t="n">
        <x:f>DEGREES(ATAN(H190/B190))</x:f>
        <x:v>6.003558889809033</x:v>
      </x:c>
      <x:c r="J190" s="48" t="n">
        <x:f>DEGREES((2*PI()/Inputs!$C$13)*Inputs!$C$15*SIN(RADIANS(I190)))</x:f>
        <x:v>37.65248537110963</x:v>
      </x:c>
      <x:c r="K190" s="48" t="n">
        <x:f>(C190/D190)^4</x:f>
        <x:v>0.9782414288853452</x:v>
      </x:c>
      <x:c r="L190" s="48" t="n">
        <x:f>10*LOG10(K190)</x:f>
        <x:v>-0.0955394859375877</x:v>
      </x:c>
      <x:c r="M190" s="48" t="n">
        <x:f>2*(Inputs!$C$9/(Inputs!$C$10^2))*A190</x:f>
        <x:v>0.07555555555555556</x:v>
      </x:c>
      <x:c r="N190" s="48" t="n">
        <x:f>M190*Inputs!$C$11</x:f>
        <x:v>0.3022222222222222</x:v>
      </x:c>
      <x:c r="O190" s="48" t="n">
        <x:f>1000*((A190*Inputs!$C$11)+(B190*N190))/D190</x:f>
        <x:v>637.6175763103604</x:v>
      </x:c>
      <x:c r="P190" s="48" t="n">
        <x:f>-2*O190/Inputs!$C$13</x:f>
        <x:v>-255.04703052414416</x:v>
      </x:c>
      <x:c r="Q190" s="48" t="n">
        <x:f>-2*O190/Inputs!$C$14</x:f>
        <x:v>-38.29534992855017</x:v>
      </x:c>
      <x:c r="R190" s="48" t="n">
        <x:f>F190-Inputs!$C$16/2</x:f>
        <x:v>1228.2707350015928</x:v>
      </x:c>
      <x:c r="S190" s="48" t="n">
        <x:f>F190+Inputs!$C$16/2</x:f>
        <x:v>1258.2707350015928</x:v>
      </x:c>
      <x:c r="T190" s="48" t="n">
        <x:f>F190-Inputs!$C$17/2</x:f>
        <x:v>1093.2707350015928</x:v>
      </x:c>
      <x:c r="U190" s="48" t="n">
        <x:f>F190+Inputs!$C$17/2</x:f>
        <x:v>1393.2707350015928</x:v>
      </x:c>
      <x:c r="V190" s="48" t="n">
        <x:f>ABS(P190)</x:f>
        <x:v>255.04703052414416</x:v>
      </x:c>
      <x:c r="W190" s="48" t="n">
        <x:f>ABS(Q190)</x:f>
        <x:v>38.29534992855017</x:v>
      </x:c>
      <x:c r="X190" s="48" t="n">
        <x: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(0.45*SIN(2*PI()*(((A190)/Inputs!$C$49)+Inputs!$C$47*0.137))+0.35*COS(2*PI()*(((0)/Inputs!$C$50)+Inputs!$C$47*0.173))+0.20*SIN(2*PI()*(((A190)+(0))/(0.5*(Inputs!$C$49+Inputs!$C$50))+Inputs!$C$47*0.097)))+0.30*(2*((SIN(((A190)*12.9898+(0)*78.233+Inputs!$C$47*37.719))*43758.5453)-INT((SIN(((A190)*12.9898+(0)*78.233+Inputs!$C$47*37.719))*43758.5453)))-1)))</x:f>
        <x:v>9.90157819415245</x:v>
      </x:c>
      <x:c r="Y190" s="48" t="n">
        <x: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(0.45*SIN(2*PI()*(((A190)/Inputs!$C$49)+Inputs!$C$47*0.137))+0.35*COS(2*PI()*(((Inputs!$C$6)/Inputs!$C$50)+Inputs!$C$47*0.173))+0.20*SIN(2*PI()*(((A190)+(Inputs!$C$6))/(0.5*(Inputs!$C$49+Inputs!$C$50))+Inputs!$C$47*0.097)))+0.30*(2*((SIN(((A190)*12.9898+(Inputs!$C$6)*78.233+Inputs!$C$47*37.719))*43758.5453)-INT((SIN(((A190)*12.9898+(Inputs!$C$6)*78.233+Inputs!$C$47*37.719))*43758.5453)))-1)))</x:f>
        <x:v>243.2704274883201</x:v>
      </x:c>
      <x:c r="Z190" s="48" t="n">
        <x:f>B190-X190/1000</x:f>
        <x:v>401.2745428662503</x:v>
      </x:c>
      <x:c r="AA190" s="48" t="n">
        <x:f>SQRT(A190^2+Inputs!$C$6^2+(B190-Y190/1000)^2)</x:f>
        <x:v>403.2555309687624</x:v>
      </x:c>
      <x:c r="AB190" s="48" t="n">
        <x:f>(AA190-Z190)*1000</x:f>
        <x:v>1980.9881025121285</x:v>
      </x:c>
      <x:c r="AC190" s="48" t="n">
        <x:f>AB190/Inputs!$C$12</x:f>
        <x:v>1112.9146643326565</x:v>
      </x:c>
      <x:c r="AD190" s="48" t="n">
        <x:f>2*AB190/Inputs!$C$21*1000000</x:f>
        <x:v>13.215730080255245</x:v>
      </x:c>
      <x:c r="AE190" s="48" t="n">
        <x:f>DEGREES(ATAN(H190/(B190-Y190/1000)))</x:f>
        <x:v>6.007174010209388</x:v>
      </x:c>
      <x:c r="AF190" s="48" t="n">
        <x:f>DEGREES((2*PI()/Inputs!$C$13)*Inputs!$C$15*SIN(RADIANS(AE190)))</x:f>
        <x:v>37.67507518775607</x:v>
      </x:c>
      <x:c r="AG190" s="48" t="n">
        <x:f>(Z190/AA190)^4</x:f>
        <x:v>0.9804943681852714</x:v>
      </x:c>
      <x:c r="AH190" s="48" t="n">
        <x:f>10*LOG10(AG190)</x:f>
        <x:v>-0.08554896512346141</x:v>
      </x:c>
      <x:c r="AI190" s="48" t="n">
        <x:f>AC190-F190</x:f>
        <x:v>-130.35607066893635</x:v>
      </x:c>
      <x:c r="AJ190" s="48" t="n">
        <x:f>AD190-G190</x:f>
        <x:v>-1.5479629296792154</x:v>
      </x:c>
      <x:c r="AK190" s="48" t="n">
        <x:f>Y190-X190</x:f>
        <x:v>233.36884929416766</x:v>
      </x:c>
      <x:c r="AL190" s="48" t="n">
        <x:f>1000*(AA191-AA189)/(A191-A189)*Inputs!$C$11</x:f>
        <x:v>547.9008257855185</x:v>
      </x:c>
      <x:c r="AM190" s="48" t="n">
        <x:f>-2*AL190/Inputs!$C$13</x:f>
        <x:v>-219.16033031420739</x:v>
      </x:c>
      <x:c r="AN190" s="48" t="n">
        <x:f>-2*AL190/Inputs!$C$14</x:f>
        <x:v>-32.906956503634746</x:v>
      </x:c>
      <x:c r="AO190" s="48" t="n">
        <x:f>ABS(AM190)</x:f>
        <x:v>219.16033031420739</x:v>
      </x:c>
      <x:c r="AP190" s="48" t="n">
        <x:f>ABS(AN190)</x:f>
        <x:v>32.906956503634746</x:v>
      </x:c>
      <x:c r="AQ190" s="48" t="n">
        <x:f>IF(OR(Inputs!$C$27=TRUE,Inputs!$C$27="TRUE",Inputs!$C$27=1),Inputs!$C$46/Inputs!$C$12,0)</x:f>
        <x:v>42.13483146067416</x:v>
      </x:c>
      <x:c r="AR190" s="48" t="n">
        <x:f>AC190-AQ190</x:f>
        <x:v>1070.7798328719823</x:v>
      </x:c>
      <x:c r="AS190" s="48" t="n">
        <x:f>AC190+AQ190</x:f>
        <x:v>1155.0494957933306</x:v>
      </x:c>
    </x:row>
    <x:row r="191">
      <x:c r="A191" s="48" t="n">
        <x:f>Inputs!$C$7+189*(Inputs!$C$8-Inputs!$C$7)/240</x:f>
        <x:v>34.5</x:v>
      </x:c>
      <x:c r="B191" s="48" t="n">
        <x:f>Inputs!$C$5+Inputs!$C$9*(A191/Inputs!$C$10)^2</x:f>
        <x:v>401.3225</x:v>
      </x:c>
      <x:c r="C191" s="48" t="n">
        <x:f>B191</x:f>
        <x:v>401.3225</x:v>
      </x:c>
      <x:c r="D191" s="48" t="n">
        <x:f>SQRT(A191^2+Inputs!$C$6^2+B191^2)</x:f>
        <x:v>403.5777484032662</x:v>
      </x:c>
      <x:c r="E191" s="48" t="n">
        <x:f>(D191-C191)*1000</x:f>
        <x:v>2255.2484032661937</x:v>
      </x:c>
      <x:c r="F191" s="48" t="n">
        <x:f>E191/Inputs!$C$12</x:f>
        <x:v>1266.9934849810077</x:v>
      </x:c>
      <x:c r="G191" s="48" t="n">
        <x:f>2*E191/Inputs!$C$21*1000000</x:f>
        <x:v>15.0453978616513</x:v>
      </x:c>
      <x:c r="H191" s="48" t="n">
        <x:f>SQRT(A191^2+Inputs!$C$6^2)</x:f>
        <x:v>42.60575078554537</x:v>
      </x:c>
      <x:c r="I191" s="48" t="n">
        <x:f>DEGREES(ATAN(H191/B191))</x:f>
        <x:v>6.060014519595078</x:v>
      </x:c>
      <x:c r="J191" s="48" t="n">
        <x:f>DEGREES((2*PI()/Inputs!$C$13)*Inputs!$C$15*SIN(RADIANS(I191)))</x:f>
        <x:v>38.005242715884584</x:v>
      </x:c>
      <x:c r="K191" s="48" t="n">
        <x:f>(C191/D191)^4</x:f>
        <x:v>0.9778341122326911</x:v>
      </x:c>
      <x:c r="L191" s="48" t="n">
        <x:f>10*LOG10(K191)</x:f>
        <x:v>-0.0973481622741937</x:v>
      </x:c>
      <x:c r="M191" s="48" t="n">
        <x:f>2*(Inputs!$C$9/(Inputs!$C$10^2))*A191</x:f>
        <x:v>0.07666666666666666</x:v>
      </x:c>
      <x:c r="N191" s="48" t="n">
        <x:f>M191*Inputs!$C$11</x:f>
        <x:v>0.30666666666666664</x:v>
      </x:c>
      <x:c r="O191" s="48" t="n">
        <x:f>1000*((A191*Inputs!$C$11)+(B191*N191))/D191</x:f>
        <x:v>646.8945187544449</x:v>
      </x:c>
      <x:c r="P191" s="48" t="n">
        <x:f>-2*O191/Inputs!$C$13</x:f>
        <x:v>-258.75780750177796</x:v>
      </x:c>
      <x:c r="Q191" s="48" t="n">
        <x:f>-2*O191/Inputs!$C$14</x:f>
        <x:v>-38.852523648915614</x:v>
      </x:c>
      <x:c r="R191" s="48" t="n">
        <x:f>F191-Inputs!$C$16/2</x:f>
        <x:v>1251.9934849810077</x:v>
      </x:c>
      <x:c r="S191" s="48" t="n">
        <x:f>F191+Inputs!$C$16/2</x:f>
        <x:v>1281.9934849810077</x:v>
      </x:c>
      <x:c r="T191" s="48" t="n">
        <x:f>F191-Inputs!$C$17/2</x:f>
        <x:v>1116.9934849810077</x:v>
      </x:c>
      <x:c r="U191" s="48" t="n">
        <x:f>F191+Inputs!$C$17/2</x:f>
        <x:v>1416.9934849810077</x:v>
      </x:c>
      <x:c r="V191" s="48" t="n">
        <x:f>ABS(P191)</x:f>
        <x:v>258.75780750177796</x:v>
      </x:c>
      <x:c r="W191" s="48" t="n">
        <x:f>ABS(Q191)</x:f>
        <x:v>38.852523648915614</x:v>
      </x:c>
      <x:c r="X191" s="48" t="n">
        <x: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(0.45*SIN(2*PI()*(((A191)/Inputs!$C$49)+Inputs!$C$47*0.137))+0.35*COS(2*PI()*(((0)/Inputs!$C$50)+Inputs!$C$47*0.173))+0.20*SIN(2*PI()*(((A191)+(0))/(0.5*(Inputs!$C$49+Inputs!$C$50))+Inputs!$C$47*0.097)))+0.30*(2*((SIN(((A191)*12.9898+(0)*78.233+Inputs!$C$47*37.719))*43758.5453)-INT((SIN(((A191)*12.9898+(0)*78.233+Inputs!$C$47*37.719))*43758.5453)))-1)))</x:f>
        <x:v>22.306190725387925</x:v>
      </x:c>
      <x:c r="Y191" s="48" t="n">
        <x: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(0.45*SIN(2*PI()*(((A191)/Inputs!$C$49)+Inputs!$C$47*0.137))+0.35*COS(2*PI()*(((Inputs!$C$6)/Inputs!$C$50)+Inputs!$C$47*0.173))+0.20*SIN(2*PI()*(((A191)+(Inputs!$C$6))/(0.5*(Inputs!$C$49+Inputs!$C$50))+Inputs!$C$47*0.097)))+0.30*(2*((SIN(((A191)*12.9898+(Inputs!$C$6)*78.233+Inputs!$C$47*37.719))*43758.5453)-INT((SIN(((A191)*12.9898+(Inputs!$C$6)*78.233+Inputs!$C$47*37.719))*43758.5453)))-1)))</x:f>
        <x:v>248.8414359782273</x:v>
      </x:c>
      <x:c r="Z191" s="48" t="n">
        <x:f>B191-X191/1000</x:f>
        <x:v>401.3001938092746</x:v>
      </x:c>
      <x:c r="AA191" s="48" t="n">
        <x:f>SQRT(A191^2+Inputs!$C$6^2+(B191-Y191/1000)^2)</x:f>
        <x:v>403.33029838325996</x:v>
      </x:c>
      <x:c r="AB191" s="48" t="n">
        <x:f>(AA191-Z191)*1000</x:f>
        <x:v>2030.1045739853407</x:v>
      </x:c>
      <x:c r="AC191" s="48" t="n">
        <x:f>AB191/Inputs!$C$12</x:f>
        <x:v>1140.5081876322138</x:v>
      </x:c>
      <x:c r="AD191" s="48" t="n">
        <x:f>2*AB191/Inputs!$C$21*1000000</x:f>
        <x:v>13.543399907581003</x:v>
      </x:c>
      <x:c r="AE191" s="48" t="n">
        <x:f>DEGREES(ATAN(H191/(B191-Y191/1000)))</x:f>
        <x:v>6.063746380889756</x:v>
      </x:c>
      <x:c r="AF191" s="48" t="n">
        <x:f>DEGREES((2*PI()/Inputs!$C$13)*Inputs!$C$15*SIN(RADIANS(AE191)))</x:f>
        <x:v>38.028559580767</x:v>
      </x:c>
      <x:c r="AG191" s="48" t="n">
        <x:f>(Z191/AA191)^4</x:f>
        <x:v>0.980018078544107</x:v>
      </x:c>
      <x:c r="AH191" s="48" t="n">
        <x:f>10*LOG10(AG191)</x:f>
        <x:v>-0.0876591273655821</x:v>
      </x:c>
      <x:c r="AI191" s="48" t="n">
        <x:f>AC191-F191</x:f>
        <x:v>-126.48529734879389</x:v>
      </x:c>
      <x:c r="AJ191" s="48" t="n">
        <x:f>AD191-G191</x:f>
        <x:v>-1.5019979540702977</x:v>
      </x:c>
      <x:c r="AK191" s="48" t="n">
        <x:f>Y191-X191</x:f>
        <x:v>226.5352452528394</x:v>
      </x:c>
      <x:c r="AL191" s="48" t="n">
        <x:f>1000*(AA192-AA190)/(A192-A190)*Inputs!$C$11</x:f>
        <x:v>652.1141402113244</x:v>
      </x:c>
      <x:c r="AM191" s="48" t="n">
        <x:f>-2*AL191/Inputs!$C$13</x:f>
        <x:v>-260.84565608452976</x:v>
      </x:c>
      <x:c r="AN191" s="48" t="n">
        <x:f>-2*AL191/Inputs!$C$14</x:f>
        <x:v>-39.166014427106575</x:v>
      </x:c>
      <x:c r="AO191" s="48" t="n">
        <x:f>ABS(AM191)</x:f>
        <x:v>260.84565608452976</x:v>
      </x:c>
      <x:c r="AP191" s="48" t="n">
        <x:f>ABS(AN191)</x:f>
        <x:v>39.166014427106575</x:v>
      </x:c>
      <x:c r="AQ191" s="48" t="n">
        <x:f>IF(OR(Inputs!$C$27=TRUE,Inputs!$C$27="TRUE",Inputs!$C$27=1),Inputs!$C$46/Inputs!$C$12,0)</x:f>
        <x:v>42.13483146067416</x:v>
      </x:c>
      <x:c r="AR191" s="48" t="n">
        <x:f>AC191-AQ191</x:f>
        <x:v>1098.3733561715396</x:v>
      </x:c>
      <x:c r="AS191" s="48" t="n">
        <x:f>AC191+AQ191</x:f>
        <x:v>1182.643019092888</x:v>
      </x:c>
    </x:row>
    <x:row r="192">
      <x:c r="A192" s="48" t="n">
        <x:f>Inputs!$C$7+190*(Inputs!$C$8-Inputs!$C$7)/240</x:f>
        <x:v>35</x:v>
      </x:c>
      <x:c r="B192" s="48" t="n">
        <x:f>Inputs!$C$5+Inputs!$C$9*(A192/Inputs!$C$10)^2</x:f>
        <x:v>401.3611111111111</x:v>
      </x:c>
      <x:c r="C192" s="48" t="n">
        <x:f>B192</x:f>
        <x:v>401.3611111111111</x:v>
      </x:c>
      <x:c r="D192" s="48" t="n">
        <x:f>SQRT(A192^2+Inputs!$C$6^2+B192^2)</x:f>
        <x:v>403.65918980291485</x:v>
      </x:c>
      <x:c r="E192" s="48" t="n">
        <x:f>(D192-C192)*1000</x:f>
        <x:v>2298.0786918037666</x:v>
      </x:c>
      <x:c r="F192" s="48" t="n">
        <x:f>E192/Inputs!$C$12</x:f>
        <x:v>1291.0554448335768</x:v>
      </x:c>
      <x:c r="G192" s="48" t="n">
        <x:f>2*E192/Inputs!$C$21*1000000</x:f>
        <x:v>15.331130790513527</x:v>
      </x:c>
      <x:c r="H192" s="48" t="n">
        <x:f>SQRT(A192^2+Inputs!$C$6^2)</x:f>
        <x:v>43.01162633521314</x:v>
      </x:c>
      <x:c r="I192" s="48" t="n">
        <x:f>DEGREES(ATAN(H192/B192))</x:f>
        <x:v>6.116724388997361</x:v>
      </x:c>
      <x:c r="J192" s="48" t="n">
        <x:f>DEGREES((2*PI()/Inputs!$C$13)*Inputs!$C$15*SIN(RADIANS(I192)))</x:f>
        <x:v>38.35955150243656</x:v>
      </x:c>
      <x:c r="K192" s="48" t="n">
        <x:f>(C192/D192)^4</x:f>
        <x:v>0.9774212674058816</x:v>
      </x:c>
      <x:c r="L192" s="48" t="n">
        <x:f>10*LOG10(K192)</x:f>
        <x:v>-0.099182155262499</x:v>
      </x:c>
      <x:c r="M192" s="48" t="n">
        <x:f>2*(Inputs!$C$9/(Inputs!$C$10^2))*A192</x:f>
        <x:v>0.07777777777777778</x:v>
      </x:c>
      <x:c r="N192" s="48" t="n">
        <x:f>M192*Inputs!$C$11</x:f>
        <x:v>0.3111111111111111</x:v>
      </x:c>
      <x:c r="O192" s="48" t="n">
        <x:f>1000*((A192*Inputs!$C$11)+(B192*N192))/D192</x:f>
        <x:v>656.167152700992</x:v>
      </x:c>
      <x:c r="P192" s="48" t="n">
        <x:f>-2*O192/Inputs!$C$13</x:f>
        <x:v>-262.4668610803968</x:v>
      </x:c>
      <x:c r="Q192" s="48" t="n">
        <x:f>-2*O192/Inputs!$C$14</x:f>
        <x:v>-39.40943860066018</x:v>
      </x:c>
      <x:c r="R192" s="48" t="n">
        <x:f>F192-Inputs!$C$16/2</x:f>
        <x:v>1276.0554448335768</x:v>
      </x:c>
      <x:c r="S192" s="48" t="n">
        <x:f>F192+Inputs!$C$16/2</x:f>
        <x:v>1306.0554448335768</x:v>
      </x:c>
      <x:c r="T192" s="48" t="n">
        <x:f>F192-Inputs!$C$17/2</x:f>
        <x:v>1141.0554448335768</x:v>
      </x:c>
      <x:c r="U192" s="48" t="n">
        <x:f>F192+Inputs!$C$17/2</x:f>
        <x:v>1441.0554448335768</x:v>
      </x:c>
      <x:c r="V192" s="48" t="n">
        <x:f>ABS(P192)</x:f>
        <x:v>262.4668610803968</x:v>
      </x:c>
      <x:c r="W192" s="48" t="n">
        <x:f>ABS(Q192)</x:f>
        <x:v>39.40943860066018</x:v>
      </x:c>
      <x:c r="X192" s="48" t="n">
        <x: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(0.45*SIN(2*PI()*(((A192)/Inputs!$C$49)+Inputs!$C$47*0.137))+0.35*COS(2*PI()*(((0)/Inputs!$C$50)+Inputs!$C$47*0.173))+0.20*SIN(2*PI()*(((A192)+(0))/(0.5*(Inputs!$C$49+Inputs!$C$50))+Inputs!$C$47*0.097)))+0.30*(2*((SIN(((A192)*12.9898+(0)*78.233+Inputs!$C$47*37.719))*43758.5453)-INT((SIN(((A192)*12.9898+(0)*78.233+Inputs!$C$47*37.719))*43758.5453)))-1)))</x:f>
        <x:v>28.92396994213728</x:v>
      </x:c>
      <x:c r="Y192" s="48" t="n">
        <x: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(0.45*SIN(2*PI()*(((A192)/Inputs!$C$49)+Inputs!$C$47*0.137))+0.35*COS(2*PI()*(((Inputs!$C$6)/Inputs!$C$50)+Inputs!$C$47*0.173))+0.20*SIN(2*PI()*(((A192)+(Inputs!$C$6))/(0.5*(Inputs!$C$49+Inputs!$C$50))+Inputs!$C$47*0.097)))+0.30*(2*((SIN(((A192)*12.9898+(Inputs!$C$6)*78.233+Inputs!$C$47*37.719))*43758.5453)-INT((SIN(((A192)*12.9898+(Inputs!$C$6)*78.233+Inputs!$C$47*37.719))*43758.5453)))-1)))</x:f>
        <x:v>242.00890812042311</x:v>
      </x:c>
      <x:c r="Z192" s="48" t="n">
        <x:f>B192-X192/1000</x:f>
        <x:v>401.33218714116896</x:v>
      </x:c>
      <x:c r="AA192" s="48" t="n">
        <x:f>SQRT(A192^2+Inputs!$C$6^2+(B192-Y192/1000)^2)</x:f>
        <x:v>403.41855950381523</x:v>
      </x:c>
      <x:c r="AB192" s="48" t="n">
        <x:f>(AA192-Z192)*1000</x:f>
        <x:v>2086.372362646273</x:v>
      </x:c>
      <x:c r="AC192" s="48" t="n">
        <x:f>AB192/Inputs!$C$12</x:f>
        <x:v>1172.1193048574567</x:v>
      </x:c>
      <x:c r="AD192" s="48" t="n">
        <x:f>2*AB192/Inputs!$C$21*1000000</x:f>
        <x:v>13.918778187850696</x:v>
      </x:c>
      <x:c r="AE192" s="48" t="n">
        <x:f>DEGREES(ATAN(H192/(B192-Y192/1000)))</x:f>
        <x:v>6.120386817292944</x:v>
      </x:c>
      <x:c r="AF192" s="48" t="n">
        <x:f>DEGREES((2*PI()/Inputs!$C$13)*Inputs!$C$15*SIN(RADIANS(AE192)))</x:f>
        <x:v>38.382432131336515</x:v>
      </x:c>
      <x:c r="AG192" s="48" t="n">
        <x:f>(Z192/AA192)^4</x:f>
        <x:v>0.9794730033126999</x:v>
      </x:c>
      <x:c r="AH192" s="48" t="n">
        <x:f>10*LOG10(AG192)</x:f>
        <x:v>-0.0900752972937839</x:v>
      </x:c>
      <x:c r="AI192" s="48" t="n">
        <x:f>AC192-F192</x:f>
        <x:v>-118.9361399761201</x:v>
      </x:c>
      <x:c r="AJ192" s="48" t="n">
        <x:f>AD192-G192</x:f>
        <x:v>-1.4123526026628301</x:v>
      </x:c>
      <x:c r="AK192" s="48" t="n">
        <x:f>Y192-X192</x:f>
        <x:v>213.08493817828582</x:v>
      </x:c>
      <x:c r="AL192" s="48" t="n">
        <x:f>1000*(AA193-AA191)/(A193-A191)*Inputs!$C$11</x:f>
        <x:v>681.0470908731077</x:v>
      </x:c>
      <x:c r="AM192" s="48" t="n">
        <x:f>-2*AL192/Inputs!$C$13</x:f>
        <x:v>-272.41883634924307</x:v>
      </x:c>
      <x:c r="AN192" s="48" t="n">
        <x:f>-2*AL192/Inputs!$C$14</x:f>
        <x:v>-40.90372918156803</x:v>
      </x:c>
      <x:c r="AO192" s="48" t="n">
        <x:f>ABS(AM192)</x:f>
        <x:v>272.41883634924307</x:v>
      </x:c>
      <x:c r="AP192" s="48" t="n">
        <x:f>ABS(AN192)</x:f>
        <x:v>40.90372918156803</x:v>
      </x:c>
      <x:c r="AQ192" s="48" t="n">
        <x:f>IF(OR(Inputs!$C$27=TRUE,Inputs!$C$27="TRUE",Inputs!$C$27=1),Inputs!$C$46/Inputs!$C$12,0)</x:f>
        <x:v>42.13483146067416</x:v>
      </x:c>
      <x:c r="AR192" s="48" t="n">
        <x:f>AC192-AQ192</x:f>
        <x:v>1129.9844733967825</x:v>
      </x:c>
      <x:c r="AS192" s="48" t="n">
        <x:f>AC192+AQ192</x:f>
        <x:v>1214.2541363181308</x:v>
      </x:c>
    </x:row>
    <x:row r="193">
      <x:c r="A193" s="48" t="n">
        <x:f>Inputs!$C$7+191*(Inputs!$C$8-Inputs!$C$7)/240</x:f>
        <x:v>35.5</x:v>
      </x:c>
      <x:c r="B193" s="48" t="n">
        <x:f>Inputs!$C$5+Inputs!$C$9*(A193/Inputs!$C$10)^2</x:f>
        <x:v>401.4002777777778</x:v>
      </x:c>
      <x:c r="C193" s="48" t="n">
        <x:f>B193</x:f>
        <x:v>401.4002777777778</x:v>
      </x:c>
      <x:c r="D193" s="48" t="n">
        <x:f>SQRT(A193^2+Inputs!$C$6^2+B193^2)</x:f>
        <x:v>403.74179000950244</x:v>
      </x:c>
      <x:c r="E193" s="48" t="n">
        <x:f>(D193-C193)*1000</x:f>
        <x:v>2341.512231724664</x:v>
      </x:c>
      <x:c r="F193" s="48" t="n">
        <x:f>E193/Inputs!$C$12</x:f>
        <x:v>1315.4563099576765</x:v>
      </x:c>
      <x:c r="G193" s="48" t="n">
        <x:f>2*E193/Inputs!$C$21*1000000</x:f>
        <x:v>15.620888179412866</x:v>
      </x:c>
      <x:c r="H193" s="48" t="n">
        <x:f>SQRT(A193^2+Inputs!$C$6^2)</x:f>
        <x:v>43.41946568072896</x:v>
      </x:c>
      <x:c r="I193" s="48" t="n">
        <x:f>DEGREES(ATAN(H193/B193))</x:f>
        <x:v>6.173679915861962</x:v>
      </x:c>
      <x:c r="J193" s="48" t="n">
        <x:f>DEGREES((2*PI()/Inputs!$C$13)*Inputs!$C$15*SIN(RADIANS(I193)))</x:f>
        <x:v>38.71535727003771</x:v>
      </x:c>
      <x:c r="K193" s="48" t="n">
        <x:f>(C193/D193)^4</x:f>
        <x:v>0.977002911975787</x:v>
      </x:c>
      <x:c r="L193" s="48" t="n">
        <x:f>10*LOG10(K193)</x:f>
        <x:v>-0.101041418563231</x:v>
      </x:c>
      <x:c r="M193" s="48" t="n">
        <x:f>2*(Inputs!$C$9/(Inputs!$C$10^2))*A193</x:f>
        <x:v>0.07888888888888888</x:v>
      </x:c>
      <x:c r="N193" s="48" t="n">
        <x:f>M193*Inputs!$C$11</x:f>
        <x:v>0.31555555555555553</x:v>
      </x:c>
      <x:c r="O193" s="48" t="n">
        <x:f>1000*((A193*Inputs!$C$11)+(B193*N193))/D193</x:f>
        <x:v>665.4354201183822</x:v>
      </x:c>
      <x:c r="P193" s="48" t="n">
        <x:f>-2*O193/Inputs!$C$13</x:f>
        <x:v>-266.1741680473529</x:v>
      </x:c>
      <x:c r="Q193" s="48" t="n">
        <x:f>-2*O193/Inputs!$C$14</x:f>
        <x:v>-39.96609129840134</x:v>
      </x:c>
      <x:c r="R193" s="48" t="n">
        <x:f>F193-Inputs!$C$16/2</x:f>
        <x:v>1300.4563099576765</x:v>
      </x:c>
      <x:c r="S193" s="48" t="n">
        <x:f>F193+Inputs!$C$16/2</x:f>
        <x:v>1330.4563099576765</x:v>
      </x:c>
      <x:c r="T193" s="48" t="n">
        <x:f>F193-Inputs!$C$17/2</x:f>
        <x:v>1165.4563099576765</x:v>
      </x:c>
      <x:c r="U193" s="48" t="n">
        <x:f>F193+Inputs!$C$17/2</x:f>
        <x:v>1465.4563099576765</x:v>
      </x:c>
      <x:c r="V193" s="48" t="n">
        <x:f>ABS(P193)</x:f>
        <x:v>266.1741680473529</x:v>
      </x:c>
      <x:c r="W193" s="48" t="n">
        <x:f>ABS(Q193)</x:f>
        <x:v>39.96609129840134</x:v>
      </x:c>
      <x:c r="X193" s="48" t="n">
        <x: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(0.45*SIN(2*PI()*(((A193)/Inputs!$C$49)+Inputs!$C$47*0.137))+0.35*COS(2*PI()*(((0)/Inputs!$C$50)+Inputs!$C$47*0.173))+0.20*SIN(2*PI()*(((A193)+(0))/(0.5*(Inputs!$C$49+Inputs!$C$50))+Inputs!$C$47*0.097)))+0.30*(2*((SIN(((A193)*12.9898+(0)*78.233+Inputs!$C$47*37.719))*43758.5453)-INT((SIN(((A193)*12.9898+(0)*78.233+Inputs!$C$47*37.719))*43758.5453)))-1)))</x:f>
        <x:v>32.227616256478356</x:v>
      </x:c>
      <x:c r="Y193" s="48" t="n">
        <x: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(0.45*SIN(2*PI()*(((A193)/Inputs!$C$49)+Inputs!$C$47*0.137))+0.35*COS(2*PI()*(((Inputs!$C$6)/Inputs!$C$50)+Inputs!$C$47*0.173))+0.20*SIN(2*PI()*(((A193)+(Inputs!$C$6))/(0.5*(Inputs!$C$49+Inputs!$C$50))+Inputs!$C$47*0.097)))+0.30*(2*((SIN(((A193)*12.9898+(Inputs!$C$6)*78.233+Inputs!$C$47*37.719))*43758.5453)-INT((SIN(((A193)*12.9898+(Inputs!$C$6)*78.233+Inputs!$C$47*37.719))*43758.5453)))-1)))</x:f>
        <x:v>242.63788270086079</x:v>
      </x:c>
      <x:c r="Z193" s="48" t="n">
        <x:f>B193-X193/1000</x:f>
        <x:v>401.3680501615213</x:v>
      </x:c>
      <x:c r="AA193" s="48" t="n">
        <x:f>SQRT(A193^2+Inputs!$C$6^2+(B193-Y193/1000)^2)</x:f>
        <x:v>403.50056015597823</x:v>
      </x:c>
      <x:c r="AB193" s="48" t="n">
        <x:f>(AA193-Z193)*1000</x:f>
        <x:v>2132.509994456939</x:v>
      </x:c>
      <x:c r="AC193" s="48" t="n">
        <x:f>AB193/Inputs!$C$12</x:f>
        <x:v>1198.0393227286172</x:v>
      </x:c>
      <x:c r="AD193" s="48" t="n">
        <x:f>2*AB193/Inputs!$C$21*1000000</x:f>
        <x:v>14.2265753360409</x:v>
      </x:c>
      <x:c r="AE193" s="48" t="n">
        <x:f>DEGREES(ATAN(H193/(B193-Y193/1000)))</x:f>
        <x:v>6.177385168873344</x:v>
      </x:c>
      <x:c r="AF193" s="48" t="n">
        <x:f>DEGREES((2*PI()/Inputs!$C$13)*Inputs!$C$15*SIN(RADIANS(AE193)))</x:f>
        <x:v>38.738502962722194</x:v>
      </x:c>
      <x:c r="AG193" s="48" t="n">
        <x:f>(Z193/AA193)^4</x:f>
        <x:v>0.9790269046414584</x:v>
      </x:c>
      <x:c r="AH193" s="48" t="n">
        <x:f>10*LOG10(AG193)</x:f>
        <x:v>-0.0920537318483962</x:v>
      </x:c>
      <x:c r="AI193" s="48" t="n">
        <x:f>AC193-F193</x:f>
        <x:v>-117.41698722905926</x:v>
      </x:c>
      <x:c r="AJ193" s="48" t="n">
        <x:f>AD193-G193</x:f>
        <x:v>-1.3943128433719654</x:v>
      </x:c>
      <x:c r="AK193" s="48" t="n">
        <x:f>Y193-X193</x:f>
        <x:v>210.41026644438244</x:v>
      </x:c>
      <x:c r="AL193" s="48" t="n">
        <x:f>1000*(AA194-AA192)/(A194-A192)*Inputs!$C$11</x:f>
        <x:v>626.5184915973805</x:v>
      </x:c>
      <x:c r="AM193" s="48" t="n">
        <x:f>-2*AL193/Inputs!$C$13</x:f>
        <x:v>-250.6073966389522</x:v>
      </x:c>
      <x:c r="AN193" s="48" t="n">
        <x:f>-2*AL193/Inputs!$C$14</x:f>
        <x:v>-37.62873823407691</x:v>
      </x:c>
      <x:c r="AO193" s="48" t="n">
        <x:f>ABS(AM193)</x:f>
        <x:v>250.6073966389522</x:v>
      </x:c>
      <x:c r="AP193" s="48" t="n">
        <x:f>ABS(AN193)</x:f>
        <x:v>37.62873823407691</x:v>
      </x:c>
      <x:c r="AQ193" s="48" t="n">
        <x:f>IF(OR(Inputs!$C$27=TRUE,Inputs!$C$27="TRUE",Inputs!$C$27=1),Inputs!$C$46/Inputs!$C$12,0)</x:f>
        <x:v>42.13483146067416</x:v>
      </x:c>
      <x:c r="AR193" s="48" t="n">
        <x:f>AC193-AQ193</x:f>
        <x:v>1155.904491267943</x:v>
      </x:c>
      <x:c r="AS193" s="48" t="n">
        <x:f>AC193+AQ193</x:f>
        <x:v>1240.1741541892914</x:v>
      </x:c>
    </x:row>
    <x:row r="194">
      <x:c r="A194" s="48" t="n">
        <x:f>Inputs!$C$7+192*(Inputs!$C$8-Inputs!$C$7)/240</x:f>
        <x:v>36</x:v>
      </x:c>
      <x:c r="B194" s="48" t="n">
        <x:f>Inputs!$C$5+Inputs!$C$9*(A194/Inputs!$C$10)^2</x:f>
        <x:v>401.44</x:v>
      </x:c>
      <x:c r="C194" s="48" t="n">
        <x:f>B194</x:f>
        <x:v>401.44</x:v>
      </x:c>
      <x:c r="D194" s="48" t="n">
        <x:f>SQRT(A194^2+Inputs!$C$6^2+B194^2)</x:f>
        <x:v>403.82554847359523</x:v>
      </x:c>
      <x:c r="E194" s="48" t="n">
        <x:f>(D194-C194)*1000</x:f>
        <x:v>2385.548473595236</x:v>
      </x:c>
      <x:c r="F194" s="48" t="n">
        <x:f>E194/Inputs!$C$12</x:f>
        <x:v>1340.195771682717</x:v>
      </x:c>
      <x:c r="G194" s="48" t="n">
        <x:f>2*E194/Inputs!$C$21*1000000</x:f>
        <x:v>15.914666362922551</x:v>
      </x:c>
      <x:c r="H194" s="48" t="n">
        <x:f>SQRT(A194^2+Inputs!$C$6^2)</x:f>
        <x:v>43.829214001622255</x:v>
      </x:c>
      <x:c r="I194" s="48" t="n">
        <x:f>DEGREES(ATAN(H194/B194))</x:f>
        <x:v>6.23087278213282</x:v>
      </x:c>
      <x:c r="J194" s="48" t="n">
        <x:f>DEGREES((2*PI()/Inputs!$C$13)*Inputs!$C$15*SIN(RADIANS(I194)))</x:f>
        <x:v>39.0726072191931</x:v>
      </x:c>
      <x:c r="K194" s="48" t="n">
        <x:f>(C194/D194)^4</x:f>
        <x:v>0.9765790637236926</x:v>
      </x:c>
      <x:c r="L194" s="48" t="n">
        <x:f>10*LOG10(K194)</x:f>
        <x:v>-0.102925905236704</x:v>
      </x:c>
      <x:c r="M194" s="48" t="n">
        <x:f>2*(Inputs!$C$9/(Inputs!$C$10^2))*A194</x:f>
        <x:v>0.08</x:v>
      </x:c>
      <x:c r="N194" s="48" t="n">
        <x:f>M194*Inputs!$C$11</x:f>
        <x:v>0.32</x:v>
      </x:c>
      <x:c r="O194" s="48" t="n">
        <x:f>1000*((A194*Inputs!$C$11)+(B194*N194))/D194</x:f>
        <x:v>674.6992631592136</x:v>
      </x:c>
      <x:c r="P194" s="48" t="n">
        <x:f>-2*O194/Inputs!$C$13</x:f>
        <x:v>-269.8797052636854</x:v>
      </x:c>
      <x:c r="Q194" s="48" t="n">
        <x:f>-2*O194/Inputs!$C$14</x:f>
        <x:v>-40.52247826782064</x:v>
      </x:c>
      <x:c r="R194" s="48" t="n">
        <x:f>F194-Inputs!$C$16/2</x:f>
        <x:v>1325.195771682717</x:v>
      </x:c>
      <x:c r="S194" s="48" t="n">
        <x:f>F194+Inputs!$C$16/2</x:f>
        <x:v>1355.195771682717</x:v>
      </x:c>
      <x:c r="T194" s="48" t="n">
        <x:f>F194-Inputs!$C$17/2</x:f>
        <x:v>1190.195771682717</x:v>
      </x:c>
      <x:c r="U194" s="48" t="n">
        <x:f>F194+Inputs!$C$17/2</x:f>
        <x:v>1490.195771682717</x:v>
      </x:c>
      <x:c r="V194" s="48" t="n">
        <x:f>ABS(P194)</x:f>
        <x:v>269.8797052636854</x:v>
      </x:c>
      <x:c r="W194" s="48" t="n">
        <x:f>ABS(Q194)</x:f>
        <x:v>40.52247826782064</x:v>
      </x:c>
      <x:c r="X194" s="48" t="n">
        <x: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(0.45*SIN(2*PI()*(((A194)/Inputs!$C$49)+Inputs!$C$47*0.137))+0.35*COS(2*PI()*(((0)/Inputs!$C$50)+Inputs!$C$47*0.173))+0.20*SIN(2*PI()*(((A194)+(0))/(0.5*(Inputs!$C$49+Inputs!$C$50))+Inputs!$C$47*0.097)))+0.30*(2*((SIN(((A194)*12.9898+(0)*78.233+Inputs!$C$47*37.719))*43758.5453)-INT((SIN(((A194)*12.9898+(0)*78.233+Inputs!$C$47*37.719))*43758.5453)))-1)))</x:f>
        <x:v>45.422536466318</x:v>
      </x:c>
      <x:c r="Y194" s="48" t="n">
        <x: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(0.45*SIN(2*PI()*(((A194)/Inputs!$C$49)+Inputs!$C$47*0.137))+0.35*COS(2*PI()*(((Inputs!$C$6)/Inputs!$C$50)+Inputs!$C$47*0.173))+0.20*SIN(2*PI()*(((A194)+(Inputs!$C$6))/(0.5*(Inputs!$C$49+Inputs!$C$50))+Inputs!$C$47*0.097)))+0.30*(2*((SIN(((A194)*12.9898+(Inputs!$C$6)*78.233+Inputs!$C$47*37.719))*43758.5453)-INT((SIN(((A194)*12.9898+(Inputs!$C$6)*78.233+Inputs!$C$47*37.719))*43758.5453)))-1)))</x:f>
        <x:v>251.8480330414438</x:v>
      </x:c>
      <x:c r="Z194" s="48" t="n">
        <x:f>B194-X194/1000</x:f>
        <x:v>401.39457746353366</x:v>
      </x:c>
      <x:c r="AA194" s="48" t="n">
        <x:f>SQRT(A194^2+Inputs!$C$6^2+(B194-Y194/1000)^2)</x:f>
        <x:v>403.5751891267146</x:v>
      </x:c>
      <x:c r="AB194" s="48" t="n">
        <x:f>(AA194-Z194)*1000</x:f>
        <x:v>2180.611663180912</x:v>
      </x:c>
      <x:c r="AC194" s="48" t="n">
        <x:f>AB194/Inputs!$C$12</x:f>
        <x:v>1225.0627321241077</x:v>
      </x:c>
      <x:c r="AD194" s="48" t="n">
        <x:f>2*AB194/Inputs!$C$21*1000000</x:f>
        <x:v>14.547475128149568</x:v>
      </x:c>
      <x:c r="AE194" s="48" t="n">
        <x:f>DEGREES(ATAN(H194/(B194-Y194/1000)))</x:f>
        <x:v>6.234753451370284</x:v>
      </x:c>
      <x:c r="AF194" s="48" t="n">
        <x:f>DEGREES((2*PI()/Inputs!$C$13)*Inputs!$C$15*SIN(RADIANS(AE194)))</x:f>
        <x:v>39.09684605420546</x:v>
      </x:c>
      <x:c r="AG194" s="48" t="n">
        <x:f>(Z194/AA194)^4</x:f>
        <x:v>0.9785615988117853</x:v>
      </x:c>
      <x:c r="AH194" s="48" t="n">
        <x:f>10*LOG10(AG194)</x:f>
        <x:v>-0.094118310360925</x:v>
      </x:c>
      <x:c r="AI194" s="48" t="n">
        <x:f>AC194-F194</x:f>
        <x:v>-115.1330395586092</x:v>
      </x:c>
      <x:c r="AJ194" s="48" t="n">
        <x:f>AD194-G194</x:f>
        <x:v>-1.3671912347729833</x:v>
      </x:c>
      <x:c r="AK194" s="48" t="n">
        <x:f>Y194-X194</x:f>
        <x:v>206.4254965751258</x:v>
      </x:c>
      <x:c r="AL194" s="48" t="n">
        <x:f>1000*(AA195-AA193)/(A195-A193)*Inputs!$C$11</x:f>
        <x:v>548.9716450076685</x:v>
      </x:c>
      <x:c r="AM194" s="48" t="n">
        <x:f>-2*AL194/Inputs!$C$13</x:f>
        <x:v>-219.5886580030674</x:v>
      </x:c>
      <x:c r="AN194" s="48" t="n">
        <x:f>-2*AL194/Inputs!$C$14</x:f>
        <x:v>-32.97126997043054</x:v>
      </x:c>
      <x:c r="AO194" s="48" t="n">
        <x:f>ABS(AM194)</x:f>
        <x:v>219.5886580030674</x:v>
      </x:c>
      <x:c r="AP194" s="48" t="n">
        <x:f>ABS(AN194)</x:f>
        <x:v>32.97126997043054</x:v>
      </x:c>
      <x:c r="AQ194" s="48" t="n">
        <x:f>IF(OR(Inputs!$C$27=TRUE,Inputs!$C$27="TRUE",Inputs!$C$27=1),Inputs!$C$46/Inputs!$C$12,0)</x:f>
        <x:v>42.13483146067416</x:v>
      </x:c>
      <x:c r="AR194" s="48" t="n">
        <x:f>AC194-AQ194</x:f>
        <x:v>1182.9279006634335</x:v>
      </x:c>
      <x:c r="AS194" s="48" t="n">
        <x:f>AC194+AQ194</x:f>
        <x:v>1267.1975635847818</x:v>
      </x:c>
    </x:row>
    <x:row r="195">
      <x:c r="A195" s="48" t="n">
        <x:f>Inputs!$C$7+193*(Inputs!$C$8-Inputs!$C$7)/240</x:f>
        <x:v>36.5</x:v>
      </x:c>
      <x:c r="B195" s="48" t="n">
        <x:f>Inputs!$C$5+Inputs!$C$9*(A195/Inputs!$C$10)^2</x:f>
        <x:v>401.48027777777776</x:v>
      </x:c>
      <x:c r="C195" s="48" t="n">
        <x:f>B195</x:f>
        <x:v>401.48027777777776</x:v>
      </x:c>
      <x:c r="D195" s="48" t="n">
        <x:f>SQRT(A195^2+Inputs!$C$6^2+B195^2)</x:f>
        <x:v>403.91046463854036</x:v>
      </x:c>
      <x:c r="E195" s="48" t="n">
        <x:f>(D195-C195)*1000</x:f>
        <x:v>2430.1868607626034</x:v>
      </x:c>
      <x:c r="F195" s="48" t="n">
        <x:f>E195/Inputs!$C$12</x:f>
        <x:v>1365.2735172823614</x:v>
      </x:c>
      <x:c r="G195" s="48" t="n">
        <x:f>2*E195/Inputs!$C$21*1000000</x:f>
        <x:v>16.212461627454307</x:v>
      </x:c>
      <x:c r="H195" s="48" t="n">
        <x:f>SQRT(A195^2+Inputs!$C$6^2)</x:f>
        <x:v>44.24081825644729</x:v>
      </x:c>
      <x:c r="I195" s="48" t="n">
        <x:f>DEGREES(ATAN(H195/B195))</x:f>
        <x:v>6.288294925190011</x:v>
      </x:c>
      <x:c r="J195" s="48" t="n">
        <x:f>DEGREES((2*PI()/Inputs!$C$13)*Inputs!$C$15*SIN(RADIANS(I195)))</x:f>
        <x:v>39.43125015731848</x:v>
      </x:c>
      <x:c r="K195" s="48" t="n">
        <x:f>(C195/D195)^4</x:f>
        <x:v>0.9761497406395917</x:v>
      </x:c>
      <x:c r="L195" s="48" t="n">
        <x:f>10*LOG10(K195)</x:f>
        <x:v>-0.10483556774556099</x:v>
      </x:c>
      <x:c r="M195" s="48" t="n">
        <x:f>2*(Inputs!$C$9/(Inputs!$C$10^2))*A195</x:f>
        <x:v>0.0811111111111111</x:v>
      </x:c>
      <x:c r="N195" s="48" t="n">
        <x:f>M195*Inputs!$C$11</x:f>
        <x:v>0.3244444444444444</x:v>
      </x:c>
      <x:c r="O195" s="48" t="n">
        <x:f>1000*((A195*Inputs!$C$11)+(B195*N195))/D195</x:f>
        <x:v>683.9586241625003</x:v>
      </x:c>
      <x:c r="P195" s="48" t="n">
        <x:f>-2*O195/Inputs!$C$13</x:f>
        <x:v>-273.5834496650001</x:v>
      </x:c>
      <x:c r="Q195" s="48" t="n">
        <x:f>-2*O195/Inputs!$C$14</x:f>
        <x:v>-41.07859604579582</x:v>
      </x:c>
      <x:c r="R195" s="48" t="n">
        <x:f>F195-Inputs!$C$16/2</x:f>
        <x:v>1350.2735172823614</x:v>
      </x:c>
      <x:c r="S195" s="48" t="n">
        <x:f>F195+Inputs!$C$16/2</x:f>
        <x:v>1380.2735172823614</x:v>
      </x:c>
      <x:c r="T195" s="48" t="n">
        <x:f>F195-Inputs!$C$17/2</x:f>
        <x:v>1215.2735172823614</x:v>
      </x:c>
      <x:c r="U195" s="48" t="n">
        <x:f>F195+Inputs!$C$17/2</x:f>
        <x:v>1515.2735172823614</x:v>
      </x:c>
      <x:c r="V195" s="48" t="n">
        <x:f>ABS(P195)</x:f>
        <x:v>273.5834496650001</x:v>
      </x:c>
      <x:c r="W195" s="48" t="n">
        <x:f>ABS(Q195)</x:f>
        <x:v>41.07859604579582</x:v>
      </x:c>
      <x:c r="X195" s="48" t="n">
        <x: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(0.45*SIN(2*PI()*(((A195)/Inputs!$C$49)+Inputs!$C$47*0.137))+0.35*COS(2*PI()*(((0)/Inputs!$C$50)+Inputs!$C$47*0.173))+0.20*SIN(2*PI()*(((A195)+(0))/(0.5*(Inputs!$C$49+Inputs!$C$50))+Inputs!$C$47*0.097)))+0.30*(2*((SIN(((A195)*12.9898+(0)*78.233+Inputs!$C$47*37.719))*43758.5453)-INT((SIN(((A195)*12.9898+(0)*78.233+Inputs!$C$47*37.719))*43758.5453)))-1)))</x:f>
        <x:v>44.98219479967033</x:v>
      </x:c>
      <x:c r="Y195" s="48" t="n">
        <x: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(0.45*SIN(2*PI()*(((A195)/Inputs!$C$49)+Inputs!$C$47*0.137))+0.35*COS(2*PI()*(((Inputs!$C$6)/Inputs!$C$50)+Inputs!$C$47*0.173))+0.20*SIN(2*PI()*(((A195)+(Inputs!$C$6))/(0.5*(Inputs!$C$49+Inputs!$C$50))+Inputs!$C$47*0.097)))+0.30*(2*((SIN(((A195)*12.9898+(Inputs!$C$6)*78.233+Inputs!$C$47*37.719))*43758.5453)-INT((SIN(((A195)*12.9898+(Inputs!$C$6)*78.233+Inputs!$C$47*37.719))*43758.5453)))-1)))</x:f>
        <x:v>274.3131350022337</x:v>
      </x:c>
      <x:c r="Z195" s="48" t="n">
        <x:f>B195-X195/1000</x:f>
        <x:v>401.4352955829781</x:v>
      </x:c>
      <x:c r="AA195" s="48" t="n">
        <x:f>SQRT(A195^2+Inputs!$C$6^2+(B195-Y195/1000)^2)</x:f>
        <x:v>403.63780306723015</x:v>
      </x:c>
      <x:c r="AB195" s="48" t="n">
        <x:f>(AA195-Z195)*1000</x:f>
        <x:v>2202.5074842520667</x:v>
      </x:c>
      <x:c r="AC195" s="48" t="n">
        <x:f>AB195/Inputs!$C$12</x:f>
        <x:v>1237.3637551977902</x:v>
      </x:c>
      <x:c r="AD195" s="48" t="n">
        <x:f>2*AB195/Inputs!$C$21*1000000</x:f>
        <x:v>14.693548323033976</x:v>
      </x:c>
      <x:c r="AE195" s="48" t="n">
        <x:f>DEGREES(ATAN(H195/(B195-Y195/1000)))</x:f>
        <x:v>6.292559889962323</x:v>
      </x:c>
      <x:c r="AF195" s="48" t="n">
        <x:f>DEGREES((2*PI()/Inputs!$C$13)*Inputs!$C$15*SIN(RADIANS(AE195)))</x:f>
        <x:v>39.457886380548615</x:v>
      </x:c>
      <x:c r="AG195" s="48" t="n">
        <x:f>(Z195/AA195)^4</x:f>
        <x:v>0.9783514278253107</x:v>
      </x:c>
      <x:c r="AH195" s="48" t="n">
        <x:f>10*LOG10(AG195)</x:f>
        <x:v>-0.0950511683754671</x:v>
      </x:c>
      <x:c r="AI195" s="48" t="n">
        <x:f>AC195-F195</x:f>
        <x:v>-127.90976208457118</x:v>
      </x:c>
      <x:c r="AJ195" s="48" t="n">
        <x:f>AD195-G195</x:f>
        <x:v>-1.5189133044203302</x:v>
      </x:c>
      <x:c r="AK195" s="48" t="n">
        <x:f>Y195-X195</x:f>
        <x:v>229.33094020256337</x:v>
      </x:c>
      <x:c r="AL195" s="48" t="n">
        <x:f>1000*(AA196-AA194)/(A196-A194)*Inputs!$C$11</x:f>
        <x:v>583.1159695640054</x:v>
      </x:c>
      <x:c r="AM195" s="48" t="n">
        <x:f>-2*AL195/Inputs!$C$13</x:f>
        <x:v>-233.24638782560214</x:v>
      </x:c>
      <x:c r="AN195" s="48" t="n">
        <x:f>-2*AL195/Inputs!$C$14</x:f>
        <x:v>-35.02198015399432</x:v>
      </x:c>
      <x:c r="AO195" s="48" t="n">
        <x:f>ABS(AM195)</x:f>
        <x:v>233.24638782560214</x:v>
      </x:c>
      <x:c r="AP195" s="48" t="n">
        <x:f>ABS(AN195)</x:f>
        <x:v>35.02198015399432</x:v>
      </x:c>
      <x:c r="AQ195" s="48" t="n">
        <x:f>IF(OR(Inputs!$C$27=TRUE,Inputs!$C$27="TRUE",Inputs!$C$27=1),Inputs!$C$46/Inputs!$C$12,0)</x:f>
        <x:v>42.13483146067416</x:v>
      </x:c>
      <x:c r="AR195" s="48" t="n">
        <x:f>AC195-AQ195</x:f>
        <x:v>1195.228923737116</x:v>
      </x:c>
      <x:c r="AS195" s="48" t="n">
        <x:f>AC195+AQ195</x:f>
        <x:v>1279.4985866584643</x:v>
      </x:c>
    </x:row>
    <x:row r="196">
      <x:c r="A196" s="48" t="n">
        <x:f>Inputs!$C$7+194*(Inputs!$C$8-Inputs!$C$7)/240</x:f>
        <x:v>37</x:v>
      </x:c>
      <x:c r="B196" s="48" t="n">
        <x:f>Inputs!$C$5+Inputs!$C$9*(A196/Inputs!$C$10)^2</x:f>
        <x:v>401.5211111111111</x:v>
      </x:c>
      <x:c r="C196" s="48" t="n">
        <x:f>B196</x:f>
        <x:v>401.5211111111111</x:v>
      </x:c>
      <x:c r="D196" s="48" t="n">
        <x:f>SQRT(A196^2+Inputs!$C$6^2+B196^2)</x:f>
        <x:v>403.9965379404893</x:v>
      </x:c>
      <x:c r="E196" s="48" t="n">
        <x:f>(D196-C196)*1000</x:f>
        <x:v>2475.4268293781934</x:v>
      </x:c>
      <x:c r="F196" s="48" t="n">
        <x:f>E196/Inputs!$C$12</x:f>
        <x:v>1390.689229987749</x:v>
      </x:c>
      <x:c r="G196" s="48" t="n">
        <x:f>2*E196/Inputs!$C$21*1000000</x:f>
        <x:v>16.514270211415347</x:v>
      </x:c>
      <x:c r="H196" s="48" t="n">
        <x:f>SQRT(A196^2+Inputs!$C$6^2)</x:f>
        <x:v>44.654227123532216</x:v>
      </x:c>
      <x:c r="I196" s="48" t="n">
        <x:f>DEGREES(ATAN(H196/B196))</x:f>
        <x:v>6.345938529407371</x:v>
      </x:c>
      <x:c r="J196" s="48" t="n">
        <x:f>DEGREES((2*PI()/Inputs!$C$13)*Inputs!$C$15*SIN(RADIANS(I196)))</x:f>
        <x:v>39.791236445792514</x:v>
      </x:c>
      <x:c r="K196" s="48" t="n">
        <x:f>(C196/D196)^4</x:f>
        <x:v>0.9757149609204623</x:v>
      </x:c>
      <x:c r="L196" s="48" t="n">
        <x:f>10*LOG10(K196)</x:f>
        <x:v>-0.106770357957541</x:v>
      </x:c>
      <x:c r="M196" s="48" t="n">
        <x:f>2*(Inputs!$C$9/(Inputs!$C$10^2))*A196</x:f>
        <x:v>0.08222222222222222</x:v>
      </x:c>
      <x:c r="N196" s="48" t="n">
        <x:f>M196*Inputs!$C$11</x:f>
        <x:v>0.3288888888888889</x:v>
      </x:c>
      <x:c r="O196" s="48" t="n">
        <x:f>1000*((A196*Inputs!$C$11)+(B196*N196))/D196</x:f>
        <x:v>693.2134456558613</x:v>
      </x:c>
      <x:c r="P196" s="48" t="n">
        <x:f>-2*O196/Inputs!$C$13</x:f>
        <x:v>-277.2853782623445</x:v>
      </x:c>
      <x:c r="Q196" s="48" t="n">
        <x:f>-2*O196/Inputs!$C$14</x:f>
        <x:v>-41.634441180532214</x:v>
      </x:c>
      <x:c r="R196" s="48" t="n">
        <x:f>F196-Inputs!$C$16/2</x:f>
        <x:v>1375.689229987749</x:v>
      </x:c>
      <x:c r="S196" s="48" t="n">
        <x:f>F196+Inputs!$C$16/2</x:f>
        <x:v>1405.689229987749</x:v>
      </x:c>
      <x:c r="T196" s="48" t="n">
        <x:f>F196-Inputs!$C$17/2</x:f>
        <x:v>1240.689229987749</x:v>
      </x:c>
      <x:c r="U196" s="48" t="n">
        <x:f>F196+Inputs!$C$17/2</x:f>
        <x:v>1540.689229987749</x:v>
      </x:c>
      <x:c r="V196" s="48" t="n">
        <x:f>ABS(P196)</x:f>
        <x:v>277.2853782623445</x:v>
      </x:c>
      <x:c r="W196" s="48" t="n">
        <x:f>ABS(Q196)</x:f>
        <x:v>41.634441180532214</x:v>
      </x:c>
      <x:c r="X196" s="48" t="n">
        <x: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(0.45*SIN(2*PI()*(((A196)/Inputs!$C$49)+Inputs!$C$47*0.137))+0.35*COS(2*PI()*(((0)/Inputs!$C$50)+Inputs!$C$47*0.173))+0.20*SIN(2*PI()*(((A196)+(0))/(0.5*(Inputs!$C$49+Inputs!$C$50))+Inputs!$C$47*0.097)))+0.30*(2*((SIN(((A196)*12.9898+(0)*78.233+Inputs!$C$47*37.719))*43758.5453)-INT((SIN(((A196)*12.9898+(0)*78.233+Inputs!$C$47*37.719))*43758.5453)))-1)))</x:f>
        <x:v>58.36098804305038</x:v>
      </x:c>
      <x:c r="Y196" s="48" t="n">
        <x: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(0.45*SIN(2*PI()*(((A196)/Inputs!$C$49)+Inputs!$C$47*0.137))+0.35*COS(2*PI()*(((Inputs!$C$6)/Inputs!$C$50)+Inputs!$C$47*0.173))+0.20*SIN(2*PI()*(((A196)+(Inputs!$C$6))/(0.5*(Inputs!$C$49+Inputs!$C$50))+Inputs!$C$47*0.097)))+0.30*(2*((SIN(((A196)*12.9898+(Inputs!$C$6)*78.233+Inputs!$C$47*37.719))*43758.5453)-INT((SIN(((A196)*12.9898+(Inputs!$C$6)*78.233+Inputs!$C$47*37.719))*43758.5453)))-1)))</x:f>
        <x:v>277.26991348245565</x:v>
      </x:c>
      <x:c r="Z196" s="48" t="n">
        <x:f>B196-X196/1000</x:f>
        <x:v>401.4627501230681</x:v>
      </x:c>
      <x:c r="AA196" s="48" t="n">
        <x:f>SQRT(A196^2+Inputs!$C$6^2+(B196-Y196/1000)^2)</x:f>
        <x:v>403.7209681191056</x:v>
      </x:c>
      <x:c r="AB196" s="48" t="n">
        <x:f>(AA196-Z196)*1000</x:f>
        <x:v>2258.2179960375015</x:v>
      </x:c>
      <x:c r="AC196" s="48" t="n">
        <x:f>AB196/Inputs!$C$12</x:f>
        <x:v>1268.6617955266863</x:v>
      </x:c>
      <x:c r="AD196" s="48" t="n">
        <x:f>2*AB196/Inputs!$C$21*1000000</x:f>
        <x:v>15.065208852168666</x:v>
      </x:c>
      <x:c r="AE196" s="48" t="n">
        <x:f>DEGREES(ATAN(H196/(B196-Y196/1000)))</x:f>
        <x:v>6.350287925973654</x:v>
      </x:c>
      <x:c r="AF196" s="48" t="n">
        <x:f>DEGREES((2*PI()/Inputs!$C$13)*Inputs!$C$15*SIN(RADIANS(AE196)))</x:f>
        <x:v>39.818396947193</x:v>
      </x:c>
      <x:c r="AG196" s="48" t="n">
        <x:f>(Z196/AA196)^4</x:f>
        <x:v>0.9778129780289093</x:v>
      </x:c>
      <x:c r="AH196" s="48" t="n">
        <x:f>10*LOG10(AG196)</x:f>
        <x:v>-0.0974420285768402</x:v>
      </x:c>
      <x:c r="AI196" s="48" t="n">
        <x:f>AC196-F196</x:f>
        <x:v>-122.02743446106274</x:v>
      </x:c>
      <x:c r="AJ196" s="48" t="n">
        <x:f>AD196-G196</x:f>
        <x:v>-1.4490613592466808</x:v>
      </x:c>
      <x:c r="AK196" s="48" t="n">
        <x:f>Y196-X196</x:f>
        <x:v>218.90892543940527</x:v>
      </x:c>
      <x:c r="AL196" s="48" t="n">
        <x:f>1000*(AA197-AA195)/(A197-A195)*Inputs!$C$11</x:f>
        <x:v>668.1319561455439</x:v>
      </x:c>
      <x:c r="AM196" s="48" t="n">
        <x:f>-2*AL196/Inputs!$C$13</x:f>
        <x:v>-267.25278245821755</x:v>
      </x:c>
      <x:c r="AN196" s="48" t="n">
        <x:f>-2*AL196/Inputs!$C$14</x:f>
        <x:v>-40.12804541414678</x:v>
      </x:c>
      <x:c r="AO196" s="48" t="n">
        <x:f>ABS(AM196)</x:f>
        <x:v>267.25278245821755</x:v>
      </x:c>
      <x:c r="AP196" s="48" t="n">
        <x:f>ABS(AN196)</x:f>
        <x:v>40.12804541414678</x:v>
      </x:c>
      <x:c r="AQ196" s="48" t="n">
        <x:f>IF(OR(Inputs!$C$27=TRUE,Inputs!$C$27="TRUE",Inputs!$C$27=1),Inputs!$C$46/Inputs!$C$12,0)</x:f>
        <x:v>42.13483146067416</x:v>
      </x:c>
      <x:c r="AR196" s="48" t="n">
        <x:f>AC196-AQ196</x:f>
        <x:v>1226.5269640660122</x:v>
      </x:c>
      <x:c r="AS196" s="48" t="n">
        <x:f>AC196+AQ196</x:f>
        <x:v>1310.7966269873605</x:v>
      </x:c>
    </x:row>
    <x:row r="197">
      <x:c r="A197" s="48" t="n">
        <x:f>Inputs!$C$7+195*(Inputs!$C$8-Inputs!$C$7)/240</x:f>
        <x:v>37.5</x:v>
      </x:c>
      <x:c r="B197" s="48" t="n">
        <x:f>Inputs!$C$5+Inputs!$C$9*(A197/Inputs!$C$10)^2</x:f>
        <x:v>401.5625</x:v>
      </x:c>
      <x:c r="C197" s="48" t="n">
        <x:f>B197</x:f>
        <x:v>401.5625</x:v>
      </x:c>
      <x:c r="D197" s="48" t="n">
        <x:f>SQRT(A197^2+Inputs!$C$6^2+B197^2)</x:f>
        <x:v>404.08376780842116</x:v>
      </x:c>
      <x:c r="E197" s="48" t="n">
        <x:f>(D197-C197)*1000</x:f>
        <x:v>2521.2678084211575</x:v>
      </x:c>
      <x:c r="F197" s="48" t="n">
        <x:f>E197/Inputs!$C$12</x:f>
        <x:v>1416.4425890006503</x:v>
      </x:c>
      <x:c r="G197" s="48" t="n">
        <x:f>2*E197/Inputs!$C$21*1000000</x:f>
        <x:v>16.820088305364624</x:v>
      </x:c>
      <x:c r="H197" s="48" t="n">
        <x:f>SQRT(A197^2+Inputs!$C$6^2)</x:f>
        <x:v>45.069390943299865</x:v>
      </x:c>
      <x:c r="I197" s="48" t="n">
        <x:f>DEGREES(ATAN(H197/B197))</x:f>
        <x:v>6.403796017933305</x:v>
      </x:c>
      <x:c r="J197" s="48" t="n">
        <x:f>DEGREES((2*PI()/Inputs!$C$13)*Inputs!$C$15*SIN(RADIANS(I197)))</x:f>
        <x:v>40.15251794840797</x:v>
      </x:c>
      <x:c r="K197" s="48" t="n">
        <x:f>(C197/D197)^4</x:f>
        <x:v>0.9752747429685318</x:v>
      </x:c>
      <x:c r="L197" s="48" t="n">
        <x:f>10*LOG10(K197)</x:f>
        <x:v>-0.10873022714825599</x:v>
      </x:c>
      <x:c r="M197" s="48" t="n">
        <x:f>2*(Inputs!$C$9/(Inputs!$C$10^2))*A197</x:f>
        <x:v>0.08333333333333333</x:v>
      </x:c>
      <x:c r="N197" s="48" t="n">
        <x:f>M197*Inputs!$C$11</x:f>
        <x:v>0.3333333333333333</x:v>
      </x:c>
      <x:c r="O197" s="48" t="n">
        <x:f>1000*((A197*Inputs!$C$11)+(B197*N197))/D197</x:f>
        <x:v>702.4636703576864</x:v>
      </x:c>
      <x:c r="P197" s="48" t="n">
        <x:f>-2*O197/Inputs!$C$13</x:f>
        <x:v>-280.98546814307457</x:v>
      </x:c>
      <x:c r="Q197" s="48" t="n">
        <x:f>-2*O197/Inputs!$C$14</x:f>
        <x:v>-42.19001023169288</x:v>
      </x:c>
      <x:c r="R197" s="48" t="n">
        <x:f>F197-Inputs!$C$16/2</x:f>
        <x:v>1401.4425890006503</x:v>
      </x:c>
      <x:c r="S197" s="48" t="n">
        <x:f>F197+Inputs!$C$16/2</x:f>
        <x:v>1431.4425890006503</x:v>
      </x:c>
      <x:c r="T197" s="48" t="n">
        <x:f>F197-Inputs!$C$17/2</x:f>
        <x:v>1266.4425890006503</x:v>
      </x:c>
      <x:c r="U197" s="48" t="n">
        <x:f>F197+Inputs!$C$17/2</x:f>
        <x:v>1566.4425890006503</x:v>
      </x:c>
      <x:c r="V197" s="48" t="n">
        <x:f>ABS(P197)</x:f>
        <x:v>280.98546814307457</x:v>
      </x:c>
      <x:c r="W197" s="48" t="n">
        <x:f>ABS(Q197)</x:f>
        <x:v>42.19001023169288</x:v>
      </x:c>
      <x:c r="X197" s="48" t="n">
        <x: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(0.45*SIN(2*PI()*(((A197)/Inputs!$C$49)+Inputs!$C$47*0.137))+0.35*COS(2*PI()*(((0)/Inputs!$C$50)+Inputs!$C$47*0.173))+0.20*SIN(2*PI()*(((A197)+(0))/(0.5*(Inputs!$C$49+Inputs!$C$50))+Inputs!$C$47*0.097)))+0.30*(2*((SIN(((A197)*12.9898+(0)*78.233+Inputs!$C$47*37.719))*43758.5453)-INT((SIN(((A197)*12.9898+(0)*78.233+Inputs!$C$47*37.719))*43758.5453)))-1)))</x:f>
        <x:v>56.08108474403666</x:v>
      </x:c>
      <x:c r="Y197" s="48" t="n">
        <x: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(0.45*SIN(2*PI()*(((A197)/Inputs!$C$49)+Inputs!$C$47*0.137))+0.35*COS(2*PI()*(((Inputs!$C$6)/Inputs!$C$50)+Inputs!$C$47*0.173))+0.20*SIN(2*PI()*(((A197)+(Inputs!$C$6))/(0.5*(Inputs!$C$49+Inputs!$C$50))+Inputs!$C$47*0.097)))+0.30*(2*((SIN(((A197)*12.9898+(Inputs!$C$6)*78.233+Inputs!$C$47*37.719))*43758.5453)-INT((SIN(((A197)*12.9898+(Inputs!$C$6)*78.233+Inputs!$C$47*37.719))*43758.5453)))-1)))</x:f>
        <x:v>280.6842863692354</x:v>
      </x:c>
      <x:c r="Z197" s="48" t="n">
        <x:f>B197-X197/1000</x:f>
        <x:v>401.50641891525595</x:v>
      </x:c>
      <x:c r="AA197" s="48" t="n">
        <x:f>SQRT(A197^2+Inputs!$C$6^2+(B197-Y197/1000)^2)</x:f>
        <x:v>403.80483605626654</x:v>
      </x:c>
      <x:c r="AB197" s="48" t="n">
        <x:f>(AA197-Z197)*1000</x:f>
        <x:v>2298.4171410105887</x:v>
      </x:c>
      <x:c r="AC197" s="48" t="n">
        <x:f>AB197/Inputs!$C$12</x:f>
        <x:v>1291.2455848374093</x:v>
      </x:c>
      <x:c r="AD197" s="48" t="n">
        <x:f>2*AB197/Inputs!$C$21*1000000</x:f>
        <x:v>15.33338868058241</x:v>
      </x:c>
      <x:c r="AE197" s="48" t="n">
        <x:f>DEGREES(ATAN(H197/(B197-Y197/1000)))</x:f>
        <x:v>6.408238027619321</x:v>
      </x:c>
      <x:c r="AF197" s="48" t="n">
        <x:f>DEGREES((2*PI()/Inputs!$C$13)*Inputs!$C$15*SIN(RADIANS(AE197)))</x:f>
        <x:v>40.180253654335004</x:v>
      </x:c>
      <x:c r="AG197" s="48" t="n">
        <x:f>(Z197/AA197)^4</x:f>
        <x:v>0.9774260459417599</x:v>
      </x:c>
      <x:c r="AH197" s="48" t="n">
        <x:f>10*LOG10(AG197)</x:f>
        <x:v>-0.0991609229979705</x:v>
      </x:c>
      <x:c r="AI197" s="48" t="n">
        <x:f>AC197-F197</x:f>
        <x:v>-125.19700416324099</x:v>
      </x:c>
      <x:c r="AJ197" s="48" t="n">
        <x:f>AD197-G197</x:f>
        <x:v>-1.486699624782215</x:v>
      </x:c>
      <x:c r="AK197" s="48" t="n">
        <x:f>Y197-X197</x:f>
        <x:v>224.60320162519872</x:v>
      </x:c>
      <x:c r="AL197" s="48" t="n">
        <x:f>1000*(AA198-AA196)/(A198-A196)*Inputs!$C$11</x:f>
        <x:v>682.4357507434797</x:v>
      </x:c>
      <x:c r="AM197" s="48" t="n">
        <x:f>-2*AL197/Inputs!$C$13</x:f>
        <x:v>-272.9743002973919</x:v>
      </x:c>
      <x:c r="AN197" s="48" t="n">
        <x:f>-2*AL197/Inputs!$C$14</x:f>
        <x:v>-40.98713217678557</x:v>
      </x:c>
      <x:c r="AO197" s="48" t="n">
        <x:f>ABS(AM197)</x:f>
        <x:v>272.9743002973919</x:v>
      </x:c>
      <x:c r="AP197" s="48" t="n">
        <x:f>ABS(AN197)</x:f>
        <x:v>40.98713217678557</x:v>
      </x:c>
      <x:c r="AQ197" s="48" t="n">
        <x:f>IF(OR(Inputs!$C$27=TRUE,Inputs!$C$27="TRUE",Inputs!$C$27=1),Inputs!$C$46/Inputs!$C$12,0)</x:f>
        <x:v>42.13483146067416</x:v>
      </x:c>
      <x:c r="AR197" s="48" t="n">
        <x:f>AC197-AQ197</x:f>
        <x:v>1249.1107533767351</x:v>
      </x:c>
      <x:c r="AS197" s="48" t="n">
        <x:f>AC197+AQ197</x:f>
        <x:v>1333.3804162980834</x:v>
      </x:c>
    </x:row>
    <x:row r="198">
      <x:c r="A198" s="48" t="n">
        <x:f>Inputs!$C$7+196*(Inputs!$C$8-Inputs!$C$7)/240</x:f>
        <x:v>38</x:v>
      </x:c>
      <x:c r="B198" s="48" t="n">
        <x:f>Inputs!$C$5+Inputs!$C$9*(A198/Inputs!$C$10)^2</x:f>
        <x:v>401.6044444444444</x:v>
      </x:c>
      <x:c r="C198" s="48" t="n">
        <x:f>B198</x:f>
        <x:v>401.6044444444444</x:v>
      </x:c>
      <x:c r="D198" s="48" t="n">
        <x:f>SQRT(A198^2+Inputs!$C$6^2+B198^2)</x:f>
        <x:v>404.1721536641668</x:v>
      </x:c>
      <x:c r="E198" s="48" t="n">
        <x:f>(D198-C198)*1000</x:f>
        <x:v>2567.70921972236</x:v>
      </x:c>
      <x:c r="F198" s="48" t="n">
        <x:f>E198/Inputs!$C$12</x:f>
        <x:v>1442.533269506944</x:v>
      </x:c>
      <x:c r="G198" s="48" t="n">
        <x:f>2*E198/Inputs!$C$21*1000000</x:f>
        <x:v>17.12991205217284</x:v>
      </x:c>
      <x:c r="H198" s="48" t="n">
        <x:f>SQRT(A198^2+Inputs!$C$6^2)</x:f>
        <x:v>45.48626166217664</x:v>
      </x:c>
      <x:c r="I198" s="48" t="n">
        <x:f>DEGREES(ATAN(H198/B198))</x:f>
        <x:v>6.4618600446971834</x:v>
      </x:c>
      <x:c r="J198" s="48" t="n">
        <x:f>DEGREES((2*PI()/Inputs!$C$13)*Inputs!$C$15*SIN(RADIANS(I198)))</x:f>
        <x:v>40.51504798123695</x:v>
      </x:c>
      <x:c r="K198" s="48" t="n">
        <x:f>(C198/D198)^4</x:f>
        <x:v>0.9748291053895243</x:v>
      </x:c>
      <x:c r="L198" s="48" t="n">
        <x:f>10*LOG10(K198)</x:f>
        <x:v>-0.11071512600401301</x:v>
      </x:c>
      <x:c r="M198" s="48" t="n">
        <x:f>2*(Inputs!$C$9/(Inputs!$C$10^2))*A198</x:f>
        <x:v>0.08444444444444445</x:v>
      </x:c>
      <x:c r="N198" s="48" t="n">
        <x:f>M198*Inputs!$C$11</x:f>
        <x:v>0.3377777777777778</x:v>
      </x:c>
      <x:c r="O198" s="48" t="n">
        <x:f>1000*((A198*Inputs!$C$11)+(B198*N198))/D198</x:f>
        <x:v>711.7092411792898</x:v>
      </x:c>
      <x:c r="P198" s="48" t="n">
        <x:f>-2*O198/Inputs!$C$13</x:f>
        <x:v>-284.68369647171596</x:v>
      </x:c>
      <x:c r="Q198" s="48" t="n">
        <x:f>-2*O198/Inputs!$C$14</x:f>
        <x:v>-42.74529977052792</x:v>
      </x:c>
      <x:c r="R198" s="48" t="n">
        <x:f>F198-Inputs!$C$16/2</x:f>
        <x:v>1427.533269506944</x:v>
      </x:c>
      <x:c r="S198" s="48" t="n">
        <x:f>F198+Inputs!$C$16/2</x:f>
        <x:v>1457.533269506944</x:v>
      </x:c>
      <x:c r="T198" s="48" t="n">
        <x:f>F198-Inputs!$C$17/2</x:f>
        <x:v>1292.533269506944</x:v>
      </x:c>
      <x:c r="U198" s="48" t="n">
        <x:f>F198+Inputs!$C$17/2</x:f>
        <x:v>1592.533269506944</x:v>
      </x:c>
      <x:c r="V198" s="48" t="n">
        <x:f>ABS(P198)</x:f>
        <x:v>284.68369647171596</x:v>
      </x:c>
      <x:c r="W198" s="48" t="n">
        <x:f>ABS(Q198)</x:f>
        <x:v>42.74529977052792</x:v>
      </x:c>
      <x:c r="X198" s="48" t="n">
        <x: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(0.45*SIN(2*PI()*(((A198)/Inputs!$C$49)+Inputs!$C$47*0.137))+0.35*COS(2*PI()*(((0)/Inputs!$C$50)+Inputs!$C$47*0.173))+0.20*SIN(2*PI()*(((A198)+(0))/(0.5*(Inputs!$C$49+Inputs!$C$50))+Inputs!$C$47*0.097)))+0.30*(2*((SIN(((A198)*12.9898+(0)*78.233+Inputs!$C$47*37.719))*43758.5453)-INT((SIN(((A198)*12.9898+(0)*78.233+Inputs!$C$47*37.719))*43758.5453)))-1)))</x:f>
        <x:v>74.89136844725374</x:v>
      </x:c>
      <x:c r="Y198" s="48" t="n">
        <x: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(0.45*SIN(2*PI()*(((A198)/Inputs!$C$49)+Inputs!$C$47*0.137))+0.35*COS(2*PI()*(((Inputs!$C$6)/Inputs!$C$50)+Inputs!$C$47*0.173))+0.20*SIN(2*PI()*(((A198)+(Inputs!$C$6))/(0.5*(Inputs!$C$49+Inputs!$C$50))+Inputs!$C$47*0.097)))+0.30*(2*((SIN(((A198)*12.9898+(Inputs!$C$6)*78.233+Inputs!$C$47*37.719))*43758.5453)-INT((SIN(((A198)*12.9898+(Inputs!$C$6)*78.233+Inputs!$C$47*37.719))*43758.5453)))-1)))</x:f>
        <x:v>282.3717678695042</x:v>
      </x:c>
      <x:c r="Z198" s="48" t="n">
        <x:f>B198-X198/1000</x:f>
        <x:v>401.52955307599717</x:v>
      </x:c>
      <x:c r="AA198" s="48" t="n">
        <x:f>SQRT(A198^2+Inputs!$C$6^2+(B198-Y198/1000)^2)</x:f>
        <x:v>403.89157705679145</x:v>
      </x:c>
      <x:c r="AB198" s="48" t="n">
        <x:f>(AA198-Z198)*1000</x:f>
        <x:v>2362.0239807942767</x:v>
      </x:c>
      <x:c r="AC198" s="48" t="n">
        <x:f>AB198/Inputs!$C$12</x:f>
        <x:v>1326.9797644911666</x:v>
      </x:c>
      <x:c r="AD198" s="48" t="n">
        <x:f>2*AB198/Inputs!$C$21*1000000</x:f>
        <x:v>15.757727839799605</x:v>
      </x:c>
      <x:c r="AE198" s="48" t="n">
        <x:f>DEGREES(ATAN(H198/(B198-Y198/1000)))</x:f>
        <x:v>6.46636813872967</x:v>
      </x:c>
      <x:c r="AF198" s="48" t="n">
        <x:f>DEGREES((2*PI()/Inputs!$C$13)*Inputs!$C$15*SIN(RADIANS(AE198)))</x:f>
        <x:v>40.543193095807204</x:v>
      </x:c>
      <x:c r="AG198" s="48" t="n">
        <x:f>(Z198/AA198)^4</x:f>
        <x:v>0.9768117531966811</x:v>
      </x:c>
      <x:c r="AH198" s="48" t="n">
        <x:f>10*LOG10(AG198)</x:f>
        <x:v>-0.101891235126468</x:v>
      </x:c>
      <x:c r="AI198" s="48" t="n">
        <x:f>AC198-F198</x:f>
        <x:v>-115.55350501577732</x:v>
      </x:c>
      <x:c r="AJ198" s="48" t="n">
        <x:f>AD198-G198</x:f>
        <x:v>-1.3721842123732362</x:v>
      </x:c>
      <x:c r="AK198" s="48" t="n">
        <x:f>Y198-X198</x:f>
        <x:v>207.48039942225046</x:v>
      </x:c>
      <x:c r="AL198" s="48" t="n">
        <x:f>1000*(AA199-AA197)/(A199-A197)*Inputs!$C$11</x:f>
        <x:v>590.7648241832248</x:v>
      </x:c>
      <x:c r="AM198" s="48" t="n">
        <x:f>-2*AL198/Inputs!$C$13</x:f>
        <x:v>-236.30592967328994</x:v>
      </x:c>
      <x:c r="AN198" s="48" t="n">
        <x:f>-2*AL198/Inputs!$C$14</x:f>
        <x:v>-35.48137082181531</x:v>
      </x:c>
      <x:c r="AO198" s="48" t="n">
        <x:f>ABS(AM198)</x:f>
        <x:v>236.30592967328994</x:v>
      </x:c>
      <x:c r="AP198" s="48" t="n">
        <x:f>ABS(AN198)</x:f>
        <x:v>35.48137082181531</x:v>
      </x:c>
      <x:c r="AQ198" s="48" t="n">
        <x:f>IF(OR(Inputs!$C$27=TRUE,Inputs!$C$27="TRUE",Inputs!$C$27=1),Inputs!$C$46/Inputs!$C$12,0)</x:f>
        <x:v>42.13483146067416</x:v>
      </x:c>
      <x:c r="AR198" s="48" t="n">
        <x:f>AC198-AQ198</x:f>
        <x:v>1284.8449330304925</x:v>
      </x:c>
      <x:c r="AS198" s="48" t="n">
        <x:f>AC198+AQ198</x:f>
        <x:v>1369.1145959518408</x:v>
      </x:c>
    </x:row>
    <x:row r="199">
      <x:c r="A199" s="48" t="n">
        <x:f>Inputs!$C$7+197*(Inputs!$C$8-Inputs!$C$7)/240</x:f>
        <x:v>38.5</x:v>
      </x:c>
      <x:c r="B199" s="48" t="n">
        <x:f>Inputs!$C$5+Inputs!$C$9*(A199/Inputs!$C$10)^2</x:f>
        <x:v>401.64694444444444</x:v>
      </x:c>
      <x:c r="C199" s="48" t="n">
        <x:f>B199</x:f>
        <x:v>401.64694444444444</x:v>
      </x:c>
      <x:c r="D199" s="48" t="n">
        <x:f>SQRT(A199^2+Inputs!$C$6^2+B199^2)</x:f>
        <x:v>404.26169492243343</x:v>
      </x:c>
      <x:c r="E199" s="48" t="n">
        <x:f>(D199-C199)*1000</x:f>
        <x:v>2614.7504779889914</x:v>
      </x:c>
      <x:c r="F199" s="48" t="n">
        <x:f>E199/Inputs!$C$12</x:f>
        <x:v>1468.9609426904447</x:v>
      </x:c>
      <x:c r="G199" s="48" t="n">
        <x:f>2*E199/Inputs!$C$21*1000000</x:f>
        <x:v>17.44373754718667</x:v>
      </x:c>
      <x:c r="H199" s="48" t="n">
        <x:f>SQRT(A199^2+Inputs!$C$6^2)</x:f>
        <x:v>45.90479277809671</x:v>
      </x:c>
      <x:c r="I199" s="48" t="n">
        <x:f>DEGREES(ATAN(H199/B199))</x:f>
        <x:v>6.520123486642501</x:v>
      </x:c>
      <x:c r="J199" s="48" t="n">
        <x:f>DEGREES((2*PI()/Inputs!$C$13)*Inputs!$C$15*SIN(RADIANS(I199)))</x:f>
        <x:v>40.87878126391779</x:v>
      </x:c>
      <x:c r="K199" s="48" t="n">
        <x:f>(C199/D199)^4</x:f>
        <x:v>0.9743780669908849</x:v>
      </x:c>
      <x:c r="L199" s="48" t="n">
        <x:f>10*LOG10(K199)</x:f>
        <x:v>-0.11272500462468801</x:v>
      </x:c>
      <x:c r="M199" s="48" t="n">
        <x:f>2*(Inputs!$C$9/(Inputs!$C$10^2))*A199</x:f>
        <x:v>0.08555555555555555</x:v>
      </x:c>
      <x:c r="N199" s="48" t="n">
        <x:f>M199*Inputs!$C$11</x:f>
        <x:v>0.3422222222222222</x:v>
      </x:c>
      <x:c r="O199" s="48" t="n">
        <x:f>1000*((A199*Inputs!$C$11)+(B199*N199))/D199</x:f>
        <x:v>720.9501012270401</x:v>
      </x:c>
      <x:c r="P199" s="48" t="n">
        <x:f>-2*O199/Inputs!$C$13</x:f>
        <x:v>-288.38004049081604</x:v>
      </x:c>
      <x:c r="Q199" s="48" t="n">
        <x:f>-2*O199/Inputs!$C$14</x:f>
        <x:v>-43.30030638000241</x:v>
      </x:c>
      <x:c r="R199" s="48" t="n">
        <x:f>F199-Inputs!$C$16/2</x:f>
        <x:v>1453.9609426904447</x:v>
      </x:c>
      <x:c r="S199" s="48" t="n">
        <x:f>F199+Inputs!$C$16/2</x:f>
        <x:v>1483.9609426904447</x:v>
      </x:c>
      <x:c r="T199" s="48" t="n">
        <x:f>F199-Inputs!$C$17/2</x:f>
        <x:v>1318.9609426904447</x:v>
      </x:c>
      <x:c r="U199" s="48" t="n">
        <x:f>F199+Inputs!$C$17/2</x:f>
        <x:v>1618.9609426904447</x:v>
      </x:c>
      <x:c r="V199" s="48" t="n">
        <x:f>ABS(P199)</x:f>
        <x:v>288.38004049081604</x:v>
      </x:c>
      <x:c r="W199" s="48" t="n">
        <x:f>ABS(Q199)</x:f>
        <x:v>43.30030638000241</x:v>
      </x:c>
      <x:c r="X199" s="48" t="n">
        <x: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(0.45*SIN(2*PI()*(((A199)/Inputs!$C$49)+Inputs!$C$47*0.137))+0.35*COS(2*PI()*(((0)/Inputs!$C$50)+Inputs!$C$47*0.173))+0.20*SIN(2*PI()*(((A199)+(0))/(0.5*(Inputs!$C$49+Inputs!$C$50))+Inputs!$C$47*0.097)))+0.30*(2*((SIN(((A199)*12.9898+(0)*78.233+Inputs!$C$47*37.719))*43758.5453)-INT((SIN(((A199)*12.9898+(0)*78.233+Inputs!$C$47*37.719))*43758.5453)))-1)))</x:f>
        <x:v>81.22943665181958</x:v>
      </x:c>
      <x:c r="Y199" s="48" t="n">
        <x: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(0.45*SIN(2*PI()*(((A199)/Inputs!$C$49)+Inputs!$C$47*0.137))+0.35*COS(2*PI()*(((Inputs!$C$6)/Inputs!$C$50)+Inputs!$C$47*0.173))+0.20*SIN(2*PI()*(((A199)+(Inputs!$C$6))/(0.5*(Inputs!$C$49+Inputs!$C$50))+Inputs!$C$47*0.097)))+0.30*(2*((SIN(((A199)*12.9898+(Inputs!$C$6)*78.233+Inputs!$C$47*37.719))*43758.5453)-INT((SIN(((A199)*12.9898+(Inputs!$C$6)*78.233+Inputs!$C$47*37.719))*43758.5453)))-1)))</x:f>
        <x:v>311.18191933727104</x:v>
      </x:c>
      <x:c r="Z199" s="48" t="n">
        <x:f>B199-X199/1000</x:f>
        <x:v>401.5657150077926</x:v>
      </x:c>
      <x:c r="AA199" s="48" t="n">
        <x:f>SQRT(A199^2+Inputs!$C$6^2+(B199-Y199/1000)^2)</x:f>
        <x:v>403.95252726231234</x:v>
      </x:c>
      <x:c r="AB199" s="48" t="n">
        <x:f>(AA199-Z199)*1000</x:f>
        <x:v>2386.8122545197252</x:v>
      </x:c>
      <x:c r="AC199" s="48" t="n">
        <x:f>AB199/Inputs!$C$12</x:f>
        <x:v>1340.9057609661377</x:v>
      </x:c>
      <x:c r="AD199" s="48" t="n">
        <x:f>2*AB199/Inputs!$C$21*1000000</x:f>
        <x:v>15.92309740173467</x:v>
      </x:c>
      <x:c r="AE199" s="48" t="n">
        <x:f>DEGREES(ATAN(H199/(B199-Y199/1000)))</x:f>
        <x:v>6.525135383182239</x:v>
      </x:c>
      <x:c r="AF199" s="48" t="n">
        <x:f>DEGREES((2*PI()/Inputs!$C$13)*Inputs!$C$15*SIN(RADIANS(AE199)))</x:f>
        <x:v>40.91006810160046</x:v>
      </x:c>
      <x:c r="AG199" s="48" t="n">
        <x:f>(Z199/AA199)^4</x:f>
        <x:v>0.9765740669074543</x:v>
      </x:c>
      <x:c r="AH199" s="48" t="n">
        <x:f>10*LOG10(AG199)</x:f>
        <x:v>-0.102948126635378</x:v>
      </x:c>
      <x:c r="AI199" s="48" t="n">
        <x:f>AC199-F199</x:f>
        <x:v>-128.05518172430698</x:v>
      </x:c>
      <x:c r="AJ199" s="48" t="n">
        <x:f>AD199-G199</x:f>
        <x:v>-1.5206401454520009</x:v>
      </x:c>
      <x:c r="AK199" s="48" t="n">
        <x:f>Y199-X199</x:f>
        <x:v>229.95248268545146</x:v>
      </x:c>
      <x:c r="AL199" s="48" t="n">
        <x:f>1000*(AA200-AA198)/(A200-A198)*Inputs!$C$11</x:f>
        <x:v>639.863587682612</x:v>
      </x:c>
      <x:c r="AM199" s="48" t="n">
        <x:f>-2*AL199/Inputs!$C$13</x:f>
        <x:v>-255.9454350730448</x:v>
      </x:c>
      <x:c r="AN199" s="48" t="n">
        <x:f>-2*AL199/Inputs!$C$14</x:f>
        <x:v>-38.43024550646319</x:v>
      </x:c>
      <x:c r="AO199" s="48" t="n">
        <x:f>ABS(AM199)</x:f>
        <x:v>255.9454350730448</x:v>
      </x:c>
      <x:c r="AP199" s="48" t="n">
        <x:f>ABS(AN199)</x:f>
        <x:v>38.43024550646319</x:v>
      </x:c>
      <x:c r="AQ199" s="48" t="n">
        <x:f>IF(OR(Inputs!$C$27=TRUE,Inputs!$C$27="TRUE",Inputs!$C$27=1),Inputs!$C$46/Inputs!$C$12,0)</x:f>
        <x:v>42.13483146067416</x:v>
      </x:c>
      <x:c r="AR199" s="48" t="n">
        <x:f>AC199-AQ199</x:f>
        <x:v>1298.7709295054635</x:v>
      </x:c>
      <x:c r="AS199" s="48" t="n">
        <x:f>AC199+AQ199</x:f>
        <x:v>1383.0405924268118</x:v>
      </x:c>
    </x:row>
    <x:row r="200">
      <x:c r="A200" s="48" t="n">
        <x:f>Inputs!$C$7+198*(Inputs!$C$8-Inputs!$C$7)/240</x:f>
        <x:v>39</x:v>
      </x:c>
      <x:c r="B200" s="48" t="n">
        <x:f>Inputs!$C$5+Inputs!$C$9*(A200/Inputs!$C$10)^2</x:f>
        <x:v>401.69</x:v>
      </x:c>
      <x:c r="C200" s="48" t="n">
        <x:f>B200</x:f>
        <x:v>401.69</x:v>
      </x:c>
      <x:c r="D200" s="48" t="n">
        <x:f>SQRT(A200^2+Inputs!$C$6^2+B200^2)</x:f>
        <x:v>404.3523909908287</x:v>
      </x:c>
      <x:c r="E200" s="48" t="n">
        <x:f>(D200-C200)*1000</x:f>
        <x:v>2662.390990828726</x:v>
      </x:c>
      <x:c r="F200" s="48" t="n">
        <x:f>E200/Inputs!$C$12</x:f>
        <x:v>1495.7252757464753</x:v>
      </x:c>
      <x:c r="G200" s="48" t="n">
        <x:f>2*E200/Inputs!$C$21*1000000</x:f>
        <x:v>17.76156083838991</x:v>
      </x:c>
      <x:c r="H200" s="48" t="n">
        <x:f>SQRT(A200^2+Inputs!$C$6^2)</x:f>
        <x:v>46.32493928760188</x:v>
      </x:c>
      <x:c r="I200" s="48" t="n">
        <x:f>DEGREES(ATAN(H200/B200))</x:f>
        <x:v>6.57857943618696</x:v>
      </x:c>
      <x:c r="J200" s="48" t="n">
        <x:f>DEGREES((2*PI()/Inputs!$C$13)*Inputs!$C$15*SIN(RADIANS(I200)))</x:f>
        <x:v>41.2436738723648</x:v>
      </x:c>
      <x:c r="K200" s="48" t="n">
        <x:f>(C200/D200)^4</x:f>
        <x:v>0.9739216467800008</x:v>
      </x:c>
      <x:c r="L200" s="48" t="n">
        <x:f>10*LOG10(K200)</x:f>
        <x:v>-0.114759812526585</x:v>
      </x:c>
      <x:c r="M200" s="48" t="n">
        <x:f>2*(Inputs!$C$9/(Inputs!$C$10^2))*A200</x:f>
        <x:v>0.08666666666666667</x:v>
      </x:c>
      <x:c r="N200" s="48" t="n">
        <x:f>M200*Inputs!$C$11</x:f>
        <x:v>0.3466666666666667</x:v>
      </x:c>
      <x:c r="O200" s="48" t="n">
        <x:f>1000*((A200*Inputs!$C$11)+(B200*N200))/D200</x:f>
        <x:v>730.186193804478</x:v>
      </x:c>
      <x:c r="P200" s="48" t="n">
        <x:f>-2*O200/Inputs!$C$13</x:f>
        <x:v>-292.0744775217912</x:v>
      </x:c>
      <x:c r="Q200" s="48" t="n">
        <x:f>-2*O200/Inputs!$C$14</x:f>
        <x:v>-43.855026654923606</x:v>
      </x:c>
      <x:c r="R200" s="48" t="n">
        <x:f>F200-Inputs!$C$16/2</x:f>
        <x:v>1480.7252757464753</x:v>
      </x:c>
      <x:c r="S200" s="48" t="n">
        <x:f>F200+Inputs!$C$16/2</x:f>
        <x:v>1510.7252757464753</x:v>
      </x:c>
      <x:c r="T200" s="48" t="n">
        <x:f>F200-Inputs!$C$17/2</x:f>
        <x:v>1345.7252757464753</x:v>
      </x:c>
      <x:c r="U200" s="48" t="n">
        <x:f>F200+Inputs!$C$17/2</x:f>
        <x:v>1645.7252757464753</x:v>
      </x:c>
      <x:c r="V200" s="48" t="n">
        <x:f>ABS(P200)</x:f>
        <x:v>292.0744775217912</x:v>
      </x:c>
      <x:c r="W200" s="48" t="n">
        <x:f>ABS(Q200)</x:f>
        <x:v>43.855026654923606</x:v>
      </x:c>
      <x:c r="X200" s="48" t="n">
        <x: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(0.45*SIN(2*PI()*(((A200)/Inputs!$C$49)+Inputs!$C$47*0.137))+0.35*COS(2*PI()*(((0)/Inputs!$C$50)+Inputs!$C$47*0.173))+0.20*SIN(2*PI()*(((A200)+(0))/(0.5*(Inputs!$C$49+Inputs!$C$50))+Inputs!$C$47*0.097)))+0.30*(2*((SIN(((A200)*12.9898+(0)*78.233+Inputs!$C$47*37.719))*43758.5453)-INT((SIN(((A200)*12.9898+(0)*78.233+Inputs!$C$47*37.719))*43758.5453)))-1)))</x:f>
        <x:v>82.75771702731363</x:v>
      </x:c>
      <x:c r="Y200" s="48" t="n">
        <x: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(0.45*SIN(2*PI()*(((A200)/Inputs!$C$49)+Inputs!$C$47*0.137))+0.35*COS(2*PI()*(((Inputs!$C$6)/Inputs!$C$50)+Inputs!$C$47*0.173))+0.20*SIN(2*PI()*(((A200)+(Inputs!$C$6))/(0.5*(Inputs!$C$49+Inputs!$C$50))+Inputs!$C$47*0.097)))+0.30*(2*((SIN(((A200)*12.9898+(Inputs!$C$6)*78.233+Inputs!$C$47*37.719))*43758.5453)-INT((SIN(((A200)*12.9898+(Inputs!$C$6)*78.233+Inputs!$C$47*37.719))*43758.5453)))-1)))</x:f>
        <x:v>302.8435496777789</x:v>
      </x:c>
      <x:c r="Z200" s="48" t="n">
        <x:f>B200-X200/1000</x:f>
        <x:v>401.60724228297266</x:v>
      </x:c>
      <x:c r="AA200" s="48" t="n">
        <x:f>SQRT(A200^2+Inputs!$C$6^2+(B200-Y200/1000)^2)</x:f>
        <x:v>404.0515429537121</x:v>
      </x:c>
      <x:c r="AB200" s="48" t="n">
        <x:f>(AA200-Z200)*1000</x:f>
        <x:v>2444.3006707394375</x:v>
      </x:c>
      <x:c r="AC200" s="48" t="n">
        <x:f>AB200/Inputs!$C$12</x:f>
        <x:v>1373.2026240109199</x:v>
      </x:c>
      <x:c r="AD200" s="48" t="n">
        <x:f>2*AB200/Inputs!$C$21*1000000</x:f>
        <x:v>16.306618832548732</x:v>
      </x:c>
      <x:c r="AE200" s="48" t="n">
        <x:f>DEGREES(ATAN(H200/(B200-Y200/1000)))</x:f>
        <x:v>6.583499367443908</x:v>
      </x:c>
      <x:c r="AF200" s="48" t="n">
        <x:f>DEGREES((2*PI()/Inputs!$C$13)*Inputs!$C$15*SIN(RADIANS(AE200)))</x:f>
        <x:v>41.27438301961188</x:v>
      </x:c>
      <x:c r="AG200" s="48" t="n">
        <x:f>(Z200/AA200)^4</x:f>
        <x:v>0.9760207833152279</x:v>
      </x:c>
      <x:c r="AH200" s="48" t="n">
        <x:f>10*LOG10(AG200)</x:f>
        <x:v>-0.10540934399888</x:v>
      </x:c>
      <x:c r="AI200" s="48" t="n">
        <x:f>AC200-F200</x:f>
        <x:v>-122.52265173555543</x:v>
      </x:c>
      <x:c r="AJ200" s="48" t="n">
        <x:f>AD200-G200</x:f>
        <x:v>-1.454942005841179</x:v>
      </x:c>
      <x:c r="AK200" s="48" t="n">
        <x:f>Y200-X200</x:f>
        <x:v>220.0858326504653</x:v>
      </x:c>
      <x:c r="AL200" s="48" t="n">
        <x:f>1000*(AA201-AA199)/(A201-A199)*Inputs!$C$11</x:f>
        <x:v>779.1581503604448</x:v>
      </x:c>
      <x:c r="AM200" s="48" t="n">
        <x:f>-2*AL200/Inputs!$C$13</x:f>
        <x:v>-311.6632601441779</x:v>
      </x:c>
      <x:c r="AN200" s="48" t="n">
        <x:f>-2*AL200/Inputs!$C$14</x:f>
        <x:v>-46.796285306933626</x:v>
      </x:c>
      <x:c r="AO200" s="48" t="n">
        <x:f>ABS(AM200)</x:f>
        <x:v>311.6632601441779</x:v>
      </x:c>
      <x:c r="AP200" s="48" t="n">
        <x:f>ABS(AN200)</x:f>
        <x:v>46.796285306933626</x:v>
      </x:c>
      <x:c r="AQ200" s="48" t="n">
        <x:f>IF(OR(Inputs!$C$27=TRUE,Inputs!$C$27="TRUE",Inputs!$C$27=1),Inputs!$C$46/Inputs!$C$12,0)</x:f>
        <x:v>42.13483146067416</x:v>
      </x:c>
      <x:c r="AR200" s="48" t="n">
        <x:f>AC200-AQ200</x:f>
        <x:v>1331.0677925502457</x:v>
      </x:c>
      <x:c r="AS200" s="48" t="n">
        <x:f>AC200+AQ200</x:f>
        <x:v>1415.337455471594</x:v>
      </x:c>
    </x:row>
    <x:row r="201">
      <x:c r="A201" s="48" t="n">
        <x:f>Inputs!$C$7+199*(Inputs!$C$8-Inputs!$C$7)/240</x:f>
        <x:v>39.5</x:v>
      </x:c>
      <x:c r="B201" s="48" t="n">
        <x:f>Inputs!$C$5+Inputs!$C$9*(A201/Inputs!$C$10)^2</x:f>
        <x:v>401.7336111111111</x:v>
      </x:c>
      <x:c r="C201" s="48" t="n">
        <x:f>B201</x:f>
        <x:v>401.7336111111111</x:v>
      </x:c>
      <x:c r="D201" s="48" t="n">
        <x:f>SQRT(A201^2+Inputs!$C$6^2+B201^2)</x:f>
        <x:v>404.4442412698856</x:v>
      </x:c>
      <x:c r="E201" s="48" t="n">
        <x:f>(D201-C201)*1000</x:f>
        <x:v>2710.6301587745065</x:v>
      </x:c>
      <x:c r="F201" s="48" t="n">
        <x:f>E201/Inputs!$C$12</x:f>
        <x:v>1522.82593189579</x:v>
      </x:c>
      <x:c r="G201" s="48" t="n">
        <x:f>2*E201/Inputs!$C$21*1000000</x:f>
        <x:v>18.08337792656883</x:v>
      </x:c>
      <x:c r="H201" s="48" t="n">
        <x:f>SQRT(A201^2+Inputs!$C$6^2)</x:f>
        <x:v>46.74665763453041</x:v>
      </x:c>
      <x:c r="I201" s="48" t="n">
        <x:f>DEGREES(ATAN(H201/B201))</x:f>
        <x:v>6.637221193908625</x:v>
      </x:c>
      <x:c r="J201" s="48" t="n">
        <x:f>DEGREES((2*PI()/Inputs!$C$13)*Inputs!$C$15*SIN(RADIANS(I201)))</x:f>
        <x:v>41.609683192895545</x:v>
      </x:c>
      <x:c r="K201" s="48" t="n">
        <x:f>(C201/D201)^4</x:f>
        <x:v>0.9734598639623986</x:v>
      </x:c>
      <x:c r="L201" s="48" t="n">
        <x:f>10*LOG10(K201)</x:f>
        <x:v>-0.116819498645356</x:v>
      </x:c>
      <x:c r="M201" s="48" t="n">
        <x:f>2*(Inputs!$C$9/(Inputs!$C$10^2))*A201</x:f>
        <x:v>0.08777777777777777</x:v>
      </x:c>
      <x:c r="N201" s="48" t="n">
        <x:f>M201*Inputs!$C$11</x:f>
        <x:v>0.3511111111111111</x:v>
      </x:c>
      <x:c r="O201" s="48" t="n">
        <x:f>1000*((A201*Inputs!$C$11)+(B201*N201))/D201</x:f>
        <x:v>739.4174624144125</x:v>
      </x:c>
      <x:c r="P201" s="48" t="n">
        <x:f>-2*O201/Inputs!$C$13</x:f>
        <x:v>-295.766984965765</x:v>
      </x:c>
      <x:c r="Q201" s="48" t="n">
        <x:f>-2*O201/Inputs!$C$14</x:f>
        <x:v>-44.40945720206682</x:v>
      </x:c>
      <x:c r="R201" s="48" t="n">
        <x:f>F201-Inputs!$C$16/2</x:f>
        <x:v>1507.82593189579</x:v>
      </x:c>
      <x:c r="S201" s="48" t="n">
        <x:f>F201+Inputs!$C$16/2</x:f>
        <x:v>1537.82593189579</x:v>
      </x:c>
      <x:c r="T201" s="48" t="n">
        <x:f>F201-Inputs!$C$17/2</x:f>
        <x:v>1372.82593189579</x:v>
      </x:c>
      <x:c r="U201" s="48" t="n">
        <x:f>F201+Inputs!$C$17/2</x:f>
        <x:v>1672.82593189579</x:v>
      </x:c>
      <x:c r="V201" s="48" t="n">
        <x:f>ABS(P201)</x:f>
        <x:v>295.766984965765</x:v>
      </x:c>
      <x:c r="W201" s="48" t="n">
        <x:f>ABS(Q201)</x:f>
        <x:v>44.40945720206682</x:v>
      </x:c>
      <x:c r="X201" s="48" t="n">
        <x: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(0.45*SIN(2*PI()*(((A201)/Inputs!$C$49)+Inputs!$C$47*0.137))+0.35*COS(2*PI()*(((0)/Inputs!$C$50)+Inputs!$C$47*0.173))+0.20*SIN(2*PI()*(((A201)+(0))/(0.5*(Inputs!$C$49+Inputs!$C$50))+Inputs!$C$47*0.097)))+0.30*(2*((SIN(((A201)*12.9898+(0)*78.233+Inputs!$C$47*37.719))*43758.5453)-INT((SIN(((A201)*12.9898+(0)*78.233+Inputs!$C$47*37.719))*43758.5453)))-1)))</x:f>
        <x:v>76.31271490051972</x:v>
      </x:c>
      <x:c r="Y201" s="48" t="n">
        <x: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(0.45*SIN(2*PI()*(((A201)/Inputs!$C$49)+Inputs!$C$47*0.137))+0.35*COS(2*PI()*(((Inputs!$C$6)/Inputs!$C$50)+Inputs!$C$47*0.173))+0.20*SIN(2*PI()*(((A201)+(Inputs!$C$6))/(0.5*(Inputs!$C$49+Inputs!$C$50))+Inputs!$C$47*0.097)))+0.30*(2*((SIN(((A201)*12.9898+(Inputs!$C$6)*78.233+Inputs!$C$47*37.719))*43758.5453)-INT((SIN(((A201)*12.9898+(Inputs!$C$6)*78.233+Inputs!$C$47*37.719))*43758.5453)))-1)))</x:f>
        <x:v>298.92940490783735</x:v>
      </x:c>
      <x:c r="Z201" s="48" t="n">
        <x:f>B201-X201/1000</x:f>
        <x:v>401.6572983962106</x:v>
      </x:c>
      <x:c r="AA201" s="48" t="n">
        <x:f>SQRT(A201^2+Inputs!$C$6^2+(B201-Y201/1000)^2)</x:f>
        <x:v>404.14731679990246</x:v>
      </x:c>
      <x:c r="AB201" s="48" t="n">
        <x:f>(AA201-Z201)*1000</x:f>
        <x:v>2490.018403691863</x:v>
      </x:c>
      <x:c r="AC201" s="48" t="n">
        <x:f>AB201/Inputs!$C$12</x:f>
        <x:v>1398.8867436471141</x:v>
      </x:c>
      <x:c r="AD201" s="48" t="n">
        <x:f>2*AB201/Inputs!$C$21*1000000</x:f>
        <x:v>16.611614717084464</x:v>
      </x:c>
      <x:c r="AE201" s="48" t="n">
        <x:f>DEGREES(ATAN(H201/(B201-Y201/1000)))</x:f>
        <x:v>6.642119472465843</x:v>
      </x:c>
      <x:c r="AF201" s="48" t="n">
        <x:f>DEGREES((2*PI()/Inputs!$C$13)*Inputs!$C$15*SIN(RADIANS(AE201)))</x:f>
        <x:v>41.64025356319033</x:v>
      </x:c>
      <x:c r="AG201" s="48" t="n">
        <x:f>(Z201/AA201)^4</x:f>
        <x:v>0.9755821646785419</x:v>
      </x:c>
      <x:c r="AH201" s="48" t="n">
        <x:f>10*LOG10(AG201)</x:f>
        <x:v>-0.107361479365101</x:v>
      </x:c>
      <x:c r="AI201" s="48" t="n">
        <x:f>AC201-F201</x:f>
        <x:v>-123.93918824867592</x:v>
      </x:c>
      <x:c r="AJ201" s="48" t="n">
        <x:f>AD201-G201</x:f>
        <x:v>-1.4717632094843651</x:v>
      </x:c>
      <x:c r="AK201" s="48" t="n">
        <x:f>Y201-X201</x:f>
        <x:v>222.61669000731763</x:v>
      </x:c>
      <x:c r="AL201" s="48" t="n">
        <x:f>1000*(AA202-AA200)/(A202-A200)*Inputs!$C$11</x:f>
        <x:v>731.8474555625016</x:v>
      </x:c>
      <x:c r="AM201" s="48" t="n">
        <x:f>-2*AL201/Inputs!$C$13</x:f>
        <x:v>-292.73898222500065</x:v>
      </x:c>
      <x:c r="AN201" s="48" t="n">
        <x:f>-2*AL201/Inputs!$C$14</x:f>
        <x:v>-43.95480213588599</x:v>
      </x:c>
      <x:c r="AO201" s="48" t="n">
        <x:f>ABS(AM201)</x:f>
        <x:v>292.73898222500065</x:v>
      </x:c>
      <x:c r="AP201" s="48" t="n">
        <x:f>ABS(AN201)</x:f>
        <x:v>43.95480213588599</x:v>
      </x:c>
      <x:c r="AQ201" s="48" t="n">
        <x:f>IF(OR(Inputs!$C$27=TRUE,Inputs!$C$27="TRUE",Inputs!$C$27=1),Inputs!$C$46/Inputs!$C$12,0)</x:f>
        <x:v>42.13483146067416</x:v>
      </x:c>
      <x:c r="AR201" s="48" t="n">
        <x:f>AC201-AQ201</x:f>
        <x:v>1356.75191218644</x:v>
      </x:c>
      <x:c r="AS201" s="48" t="n">
        <x:f>AC201+AQ201</x:f>
        <x:v>1441.0215751077883</x:v>
      </x:c>
    </x:row>
    <x:row r="202">
      <x:c r="A202" s="48" t="n">
        <x:f>Inputs!$C$7+200*(Inputs!$C$8-Inputs!$C$7)/240</x:f>
        <x:v>40</x:v>
      </x:c>
      <x:c r="B202" s="48" t="n">
        <x:f>Inputs!$C$5+Inputs!$C$9*(A202/Inputs!$C$10)^2</x:f>
        <x:v>401.77777777777777</x:v>
      </x:c>
      <x:c r="C202" s="48" t="n">
        <x:f>B202</x:f>
        <x:v>401.77777777777777</x:v>
      </x:c>
      <x:c r="D202" s="48" t="n">
        <x:f>SQRT(A202^2+Inputs!$C$6^2+B202^2)</x:f>
        <x:v>404.5372451530877</x:v>
      </x:c>
      <x:c r="E202" s="48" t="n">
        <x:f>(D202-C202)*1000</x:f>
        <x:v>2759.467375309953</x:v>
      </x:c>
      <x:c r="F202" s="48" t="n">
        <x:f>E202/Inputs!$C$12</x:f>
        <x:v>1550.26257039885</x:v>
      </x:c>
      <x:c r="G202" s="48" t="n">
        <x:f>2*E202/Inputs!$C$21*1000000</x:f>
        <x:v>18.40918476548168</x:v>
      </x:c>
      <x:c r="H202" s="48" t="n">
        <x:f>SQRT(A202^2+Inputs!$C$6^2)</x:f>
        <x:v>47.16990566028302</x:v>
      </x:c>
      <x:c r="I202" s="48" t="n">
        <x:f>DEGREES(ATAN(H202/B202))</x:f>
        <x:v>6.696042261456512</x:v>
      </x:c>
      <x:c r="J202" s="48" t="n">
        <x:f>DEGREES((2*PI()/Inputs!$C$13)*Inputs!$C$15*SIN(RADIANS(I202)))</x:f>
        <x:v>41.976767877765525</x:v>
      </x:c>
      <x:c r="K202" s="48" t="n">
        <x:f>(C202/D202)^4</x:f>
        <x:v>0.9729927379399279</x:v>
      </x:c>
      <x:c r="L202" s="48" t="n">
        <x:f>10*LOG10(K202)</x:f>
        <x:v>-0.11890401133895</x:v>
      </x:c>
      <x:c r="M202" s="48" t="n">
        <x:f>2*(Inputs!$C$9/(Inputs!$C$10^2))*A202</x:f>
        <x:v>0.08888888888888889</x:v>
      </x:c>
      <x:c r="N202" s="48" t="n">
        <x:f>M202*Inputs!$C$11</x:f>
        <x:v>0.35555555555555557</x:v>
      </x:c>
      <x:c r="O202" s="48" t="n">
        <x:f>1000*((A202*Inputs!$C$11)+(B202*N202))/D202</x:f>
        <x:v>748.6438507610001</x:v>
      </x:c>
      <x:c r="P202" s="48" t="n">
        <x:f>-2*O202/Inputs!$C$13</x:f>
        <x:v>-299.4575403044</x:v>
      </x:c>
      <x:c r="Q202" s="48" t="n">
        <x:f>-2*O202/Inputs!$C$14</x:f>
        <x:v>-44.96359464030031</x:v>
      </x:c>
      <x:c r="R202" s="48" t="n">
        <x:f>F202-Inputs!$C$16/2</x:f>
        <x:v>1535.26257039885</x:v>
      </x:c>
      <x:c r="S202" s="48" t="n">
        <x:f>F202+Inputs!$C$16/2</x:f>
        <x:v>1565.26257039885</x:v>
      </x:c>
      <x:c r="T202" s="48" t="n">
        <x:f>F202-Inputs!$C$17/2</x:f>
        <x:v>1400.26257039885</x:v>
      </x:c>
      <x:c r="U202" s="48" t="n">
        <x:f>F202+Inputs!$C$17/2</x:f>
        <x:v>1700.26257039885</x:v>
      </x:c>
      <x:c r="V202" s="48" t="n">
        <x:f>ABS(P202)</x:f>
        <x:v>299.4575403044</x:v>
      </x:c>
      <x:c r="W202" s="48" t="n">
        <x:f>ABS(Q202)</x:f>
        <x:v>44.96359464030031</x:v>
      </x:c>
      <x:c r="X202" s="48" t="n">
        <x: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(0.45*SIN(2*PI()*(((A202)/Inputs!$C$49)+Inputs!$C$47*0.137))+0.35*COS(2*PI()*(((0)/Inputs!$C$50)+Inputs!$C$47*0.173))+0.20*SIN(2*PI()*(((A202)+(0))/(0.5*(Inputs!$C$49+Inputs!$C$50))+Inputs!$C$47*0.097)))+0.30*(2*((SIN(((A202)*12.9898+(0)*78.233+Inputs!$C$47*37.719))*43758.5453)-INT((SIN(((A202)*12.9898+(0)*78.233+Inputs!$C$47*37.719))*43758.5453)))-1)))</x:f>
        <x:v>66.26609020115302</x:v>
      </x:c>
      <x:c r="Y202" s="48" t="n">
        <x: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(0.45*SIN(2*PI()*(((A202)/Inputs!$C$49)+Inputs!$C$47*0.137))+0.35*COS(2*PI()*(((Inputs!$C$6)/Inputs!$C$50)+Inputs!$C$47*0.173))+0.20*SIN(2*PI()*(((A202)+(Inputs!$C$6))/(0.5*(Inputs!$C$49+Inputs!$C$50))+Inputs!$C$47*0.097)))+0.30*(2*((SIN(((A202)*12.9898+(Inputs!$C$6)*78.233+Inputs!$C$47*37.719))*43758.5453)-INT((SIN(((A202)*12.9898+(Inputs!$C$6)*78.233+Inputs!$C$47*37.719))*43758.5453)))-1)))</x:f>
        <x:v>304.82117281231683</x:v>
      </x:c>
      <x:c r="Z202" s="48" t="n">
        <x:f>B202-X202/1000</x:f>
        <x:v>401.7115116875766</x:v>
      </x:c>
      <x:c r="AA202" s="48" t="n">
        <x:f>SQRT(A202^2+Inputs!$C$6^2+(B202-Y202/1000)^2)</x:f>
        <x:v>404.2345048176027</x:v>
      </x:c>
      <x:c r="AB202" s="48" t="n">
        <x:f>(AA202-Z202)*1000</x:f>
        <x:v>2522.993130026123</x:v>
      </x:c>
      <x:c r="AC202" s="48" t="n">
        <x:f>AB202/Inputs!$C$12</x:f>
        <x:v>1417.4118708011927</x:v>
      </x:c>
      <x:c r="AD202" s="48" t="n">
        <x:f>2*AB202/Inputs!$C$21*1000000</x:f>
        <x:v>16.831598412166343</x:v>
      </x:c>
      <x:c r="AE202" s="48" t="n">
        <x:f>DEGREES(ATAN(H202/(B202-Y202/1000)))</x:f>
        <x:v>6.7010800609249275</x:v>
      </x:c>
      <x:c r="AF202" s="48" t="n">
        <x:f>DEGREES((2*PI()/Inputs!$C$13)*Inputs!$C$15*SIN(RADIANS(AE202)))</x:f>
        <x:v>42.008205225736646</x:v>
      </x:c>
      <x:c r="AG202" s="48" t="n">
        <x:f>(Z202/AA202)^4</x:f>
        <x:v>0.9752671216321114</x:v>
      </x:c>
      <x:c r="AH202" s="48" t="n">
        <x:f>10*LOG10(AG202)</x:f>
        <x:v>-0.10876416545444899</x:v>
      </x:c>
      <x:c r="AI202" s="48" t="n">
        <x:f>AC202-F202</x:f>
        <x:v>-132.85069959765724</x:v>
      </x:c>
      <x:c r="AJ202" s="48" t="n">
        <x:f>AD202-G202</x:f>
        <x:v>-1.5775863533153363</x:v>
      </x:c>
      <x:c r="AK202" s="48" t="n">
        <x:f>Y202-X202</x:f>
        <x:v>238.5550826111638</x:v>
      </x:c>
      <x:c r="AL202" s="48" t="n">
        <x:f>1000*(AA203-AA201)/(A203-A201)*Inputs!$C$11</x:f>
        <x:v>741.9066940660741</x:v>
      </x:c>
      <x:c r="AM202" s="48" t="n">
        <x:f>-2*AL202/Inputs!$C$13</x:f>
        <x:v>-296.76267762642965</x:v>
      </x:c>
      <x:c r="AN202" s="48" t="n">
        <x:f>-2*AL202/Inputs!$C$14</x:f>
        <x:v>-44.55896060456902</x:v>
      </x:c>
      <x:c r="AO202" s="48" t="n">
        <x:f>ABS(AM202)</x:f>
        <x:v>296.76267762642965</x:v>
      </x:c>
      <x:c r="AP202" s="48" t="n">
        <x:f>ABS(AN202)</x:f>
        <x:v>44.55896060456902</x:v>
      </x:c>
      <x:c r="AQ202" s="48" t="n">
        <x:f>IF(OR(Inputs!$C$27=TRUE,Inputs!$C$27="TRUE",Inputs!$C$27=1),Inputs!$C$46/Inputs!$C$12,0)</x:f>
        <x:v>42.13483146067416</x:v>
      </x:c>
      <x:c r="AR202" s="48" t="n">
        <x:f>AC202-AQ202</x:f>
        <x:v>1375.2770393405185</x:v>
      </x:c>
      <x:c r="AS202" s="48" t="n">
        <x:f>AC202+AQ202</x:f>
        <x:v>1459.5467022618668</x:v>
      </x:c>
    </x:row>
    <x:row r="203">
      <x:c r="A203" s="48" t="n">
        <x:f>Inputs!$C$7+201*(Inputs!$C$8-Inputs!$C$7)/240</x:f>
        <x:v>40.5</x:v>
      </x:c>
      <x:c r="B203" s="48" t="n">
        <x:f>Inputs!$C$5+Inputs!$C$9*(A203/Inputs!$C$10)^2</x:f>
        <x:v>401.8225</x:v>
      </x:c>
      <x:c r="C203" s="48" t="n">
        <x:f>B203</x:f>
        <x:v>401.8225</x:v>
      </x:c>
      <x:c r="D203" s="48" t="n">
        <x:f>SQRT(A203^2+Inputs!$C$6^2+B203^2)</x:f>
        <x:v>404.6314020268941</x:v>
      </x:c>
      <x:c r="E203" s="48" t="n">
        <x:f>(D203-C203)*1000</x:f>
        <x:v>2808.9020268940885</x:v>
      </x:c>
      <x:c r="F203" s="48" t="n">
        <x:f>E203/Inputs!$C$12</x:f>
        <x:v>1578.0348465697127</x:v>
      </x:c>
      <x:c r="G203" s="48" t="n">
        <x:f>2*E203/Inputs!$C$21*1000000</x:f>
        <x:v>18.73897726202364</x:v>
      </x:c>
      <x:c r="H203" s="48" t="n">
        <x:f>SQRT(A203^2+Inputs!$C$6^2)</x:f>
        <x:v>47.59464255564905</x:v>
      </x:c>
      <x:c r="I203" s="48" t="n">
        <x:f>DEGREES(ATAN(H203/B203))</x:f>
        <x:v>6.755036334683316</x:v>
      </x:c>
      <x:c r="J203" s="48" t="n">
        <x:f>DEGREES((2*PI()/Inputs!$C$13)*Inputs!$C$15*SIN(RADIANS(I203)))</x:f>
        <x:v>42.34488780209607</x:v>
      </x:c>
      <x:c r="K203" s="48" t="n">
        <x:f>(C203/D203)^4</x:f>
        <x:v>0.9725202883089363</x:v>
      </x:c>
      <x:c r="L203" s="48" t="n">
        <x:f>10*LOG10(K203)</x:f>
        <x:v>-0.12101329839055901</x:v>
      </x:c>
      <x:c r="M203" s="48" t="n">
        <x:f>2*(Inputs!$C$9/(Inputs!$C$10^2))*A203</x:f>
        <x:v>0.09</x:v>
      </x:c>
      <x:c r="N203" s="48" t="n">
        <x:f>M203*Inputs!$C$11</x:f>
        <x:v>0.36</x:v>
      </x:c>
      <x:c r="O203" s="48" t="n">
        <x:f>1000*((A203*Inputs!$C$11)+(B203*N203))/D203</x:f>
        <x:v>757.8653027518064</x:v>
      </x:c>
      <x:c r="P203" s="48" t="n">
        <x:f>-2*O203/Inputs!$C$13</x:f>
        <x:v>-303.14612110072255</x:v>
      </x:c>
      <x:c r="Q203" s="48" t="n">
        <x:f>-2*O203/Inputs!$C$14</x:f>
        <x:v>-45.5174356007091</x:v>
      </x:c>
      <x:c r="R203" s="48" t="n">
        <x:f>F203-Inputs!$C$16/2</x:f>
        <x:v>1563.0348465697127</x:v>
      </x:c>
      <x:c r="S203" s="48" t="n">
        <x:f>F203+Inputs!$C$16/2</x:f>
        <x:v>1593.0348465697127</x:v>
      </x:c>
      <x:c r="T203" s="48" t="n">
        <x:f>F203-Inputs!$C$17/2</x:f>
        <x:v>1428.0348465697127</x:v>
      </x:c>
      <x:c r="U203" s="48" t="n">
        <x:f>F203+Inputs!$C$17/2</x:f>
        <x:v>1728.0348465697127</x:v>
      </x:c>
      <x:c r="V203" s="48" t="n">
        <x:f>ABS(P203)</x:f>
        <x:v>303.14612110072255</x:v>
      </x:c>
      <x:c r="W203" s="48" t="n">
        <x:f>ABS(Q203)</x:f>
        <x:v>45.5174356007091</x:v>
      </x:c>
      <x:c r="X203" s="48" t="n">
        <x: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(0.45*SIN(2*PI()*(((A203)/Inputs!$C$49)+Inputs!$C$47*0.137))+0.35*COS(2*PI()*(((0)/Inputs!$C$50)+Inputs!$C$47*0.173))+0.20*SIN(2*PI()*(((A203)+(0))/(0.5*(Inputs!$C$49+Inputs!$C$50))+Inputs!$C$47*0.097)))+0.30*(2*((SIN(((A203)*12.9898+(0)*78.233+Inputs!$C$47*37.719))*43758.5453)-INT((SIN(((A203)*12.9898+(0)*78.233+Inputs!$C$47*37.719))*43758.5453)))-1)))</x:f>
        <x:v>60.152205166209214</x:v>
      </x:c>
      <x:c r="Y203" s="48" t="n">
        <x: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(0.45*SIN(2*PI()*(((A203)/Inputs!$C$49)+Inputs!$C$47*0.137))+0.35*COS(2*PI()*(((Inputs!$C$6)/Inputs!$C$50)+Inputs!$C$47*0.173))+0.20*SIN(2*PI()*(((A203)+(Inputs!$C$6))/(0.5*(Inputs!$C$49+Inputs!$C$50))+Inputs!$C$47*0.097)))+0.30*(2*((SIN(((A203)*12.9898+(Inputs!$C$6)*78.233+Inputs!$C$47*37.719))*43758.5453)-INT((SIN(((A203)*12.9898+(Inputs!$C$6)*78.233+Inputs!$C$47*37.719))*43758.5453)))-1)))</x:f>
        <x:v>300.6975060152245</x:v>
      </x:c>
      <x:c r="Z203" s="48" t="n">
        <x:f>B203-X203/1000</x:f>
        <x:v>401.7623477948338</x:v>
      </x:c>
      <x:c r="AA203" s="48" t="n">
        <x:f>SQRT(A203^2+Inputs!$C$6^2+(B203-Y203/1000)^2)</x:f>
        <x:v>404.332793473419</x:v>
      </x:c>
      <x:c r="AB203" s="48" t="n">
        <x:f>(AA203-Z203)*1000</x:f>
        <x:v>2570.4456785852017</x:v>
      </x:c>
      <x:c r="AC203" s="48" t="n">
        <x:f>AB203/Inputs!$C$12</x:f>
        <x:v>1444.0706059467425</x:v>
      </x:c>
      <x:c r="AD203" s="48" t="n">
        <x:f>2*AB203/Inputs!$C$21*1000000</x:f>
        <x:v>17.148167740665457</x:v>
      </x:c>
      <x:c r="AE203" s="48" t="n">
        <x:f>DEGREES(ATAN(H203/(B203-Y203/1000)))</x:f>
        <x:v>6.760048345256284</x:v>
      </x:c>
      <x:c r="AF203" s="48" t="n">
        <x:f>DEGREES((2*PI()/Inputs!$C$13)*Inputs!$C$15*SIN(RADIANS(AE203)))</x:f>
        <x:v>42.37616042182356</x:v>
      </x:c>
      <x:c r="AG203" s="48" t="n">
        <x:f>(Z203/AA203)^4</x:f>
        <x:v>0.9748124517250621</x:v>
      </x:c>
      <x:c r="AH203" s="48" t="n">
        <x:f>10*LOG10(AG203)</x:f>
        <x:v>-0.11078932009936499</x:v>
      </x:c>
      <x:c r="AI203" s="48" t="n">
        <x:f>AC203-F203</x:f>
        <x:v>-133.96424062297024</x:v>
      </x:c>
      <x:c r="AJ203" s="48" t="n">
        <x:f>AD203-G203</x:f>
        <x:v>-1.5908095213581817</x:v>
      </x:c>
      <x:c r="AK203" s="48" t="n">
        <x:f>Y203-X203</x:f>
        <x:v>240.5453008490153</x:v>
      </x:c>
      <x:c r="AL203" s="48" t="n">
        <x:f>1000*(AA204-AA202)/(A204-A202)*Inputs!$C$11</x:f>
        <x:v>870.4169506506787</x:v>
      </x:c>
      <x:c r="AM203" s="48" t="n">
        <x:f>-2*AL203/Inputs!$C$13</x:f>
        <x:v>-348.1667802602715</x:v>
      </x:c>
      <x:c r="AN203" s="48" t="n">
        <x:f>-2*AL203/Inputs!$C$14</x:f>
        <x:v>-52.2772943333741</x:v>
      </x:c>
      <x:c r="AO203" s="48" t="n">
        <x:f>ABS(AM203)</x:f>
        <x:v>348.1667802602715</x:v>
      </x:c>
      <x:c r="AP203" s="48" t="n">
        <x:f>ABS(AN203)</x:f>
        <x:v>52.2772943333741</x:v>
      </x:c>
      <x:c r="AQ203" s="48" t="n">
        <x:f>IF(OR(Inputs!$C$27=TRUE,Inputs!$C$27="TRUE",Inputs!$C$27=1),Inputs!$C$46/Inputs!$C$12,0)</x:f>
        <x:v>42.13483146067416</x:v>
      </x:c>
      <x:c r="AR203" s="48" t="n">
        <x:f>AC203-AQ203</x:f>
        <x:v>1401.9357744860683</x:v>
      </x:c>
      <x:c r="AS203" s="48" t="n">
        <x:f>AC203+AQ203</x:f>
        <x:v>1486.2054374074166</x:v>
      </x:c>
    </x:row>
    <x:row r="204">
      <x:c r="A204" s="48" t="n">
        <x:f>Inputs!$C$7+202*(Inputs!$C$8-Inputs!$C$7)/240</x:f>
        <x:v>41</x:v>
      </x:c>
      <x:c r="B204" s="48" t="n">
        <x:f>Inputs!$C$5+Inputs!$C$9*(A204/Inputs!$C$10)^2</x:f>
        <x:v>401.8677777777778</x:v>
      </x:c>
      <x:c r="C204" s="48" t="n">
        <x:f>B204</x:f>
        <x:v>401.8677777777778</x:v>
      </x:c>
      <x:c r="D204" s="48" t="n">
        <x:f>SQRT(A204^2+Inputs!$C$6^2+B204^2)</x:f>
        <x:v>404.7267112707653</x:v>
      </x:c>
      <x:c r="E204" s="48" t="n">
        <x:f>(D204-C204)*1000</x:f>
        <x:v>2858.9334929874894</x:v>
      </x:c>
      <x:c r="F204" s="48" t="n">
        <x:f>E204/Inputs!$C$12</x:f>
        <x:v>1606.1424117907243</x:v>
      </x:c>
      <x:c r="G204" s="48" t="n">
        <x:f>2*E204/Inputs!$C$21*1000000</x:f>
        <x:v>19.072751276401284</x:v>
      </x:c>
      <x:c r="H204" s="48" t="n">
        <x:f>SQRT(A204^2+Inputs!$C$6^2)</x:f>
        <x:v>48.02082881417188</x:v>
      </x:c>
      <x:c r="I204" s="48" t="n">
        <x:f>DEGREES(ATAN(H204/B204))</x:f>
        <x:v>6.814197296997338</x:v>
      </x:c>
      <x:c r="J204" s="48" t="n">
        <x:f>DEGREES((2*PI()/Inputs!$C$13)*Inputs!$C$15*SIN(RADIANS(I204)))</x:f>
        <x:v>42.71400402217685</x:v>
      </x:c>
      <x:c r="K204" s="48" t="n">
        <x:f>(C204/D204)^4</x:f>
        <x:v>0.9720425348584198</x:v>
      </x:c>
      <x:c r="L204" s="48" t="n">
        <x:f>10*LOG10(K204)</x:f>
        <x:v>-0.123147307011646</x:v>
      </x:c>
      <x:c r="M204" s="48" t="n">
        <x:f>2*(Inputs!$C$9/(Inputs!$C$10^2))*A204</x:f>
        <x:v>0.09111111111111111</x:v>
      </x:c>
      <x:c r="N204" s="48" t="n">
        <x:f>M204*Inputs!$C$11</x:f>
        <x:v>0.36444444444444446</x:v>
      </x:c>
      <x:c r="O204" s="48" t="n">
        <x:f>1000*((A204*Inputs!$C$11)+(B204*N204))/D204</x:f>
        <x:v>767.081762499848</x:v>
      </x:c>
      <x:c r="P204" s="48" t="n">
        <x:f>-2*O204/Inputs!$C$13</x:f>
        <x:v>-306.8327049999392</x:v>
      </x:c>
      <x:c r="Q204" s="48" t="n">
        <x:f>-2*O204/Inputs!$C$14</x:f>
        <x:v>-46.070976726717596</x:v>
      </x:c>
      <x:c r="R204" s="48" t="n">
        <x:f>F204-Inputs!$C$16/2</x:f>
        <x:v>1591.1424117907243</x:v>
      </x:c>
      <x:c r="S204" s="48" t="n">
        <x:f>F204+Inputs!$C$16/2</x:f>
        <x:v>1621.1424117907243</x:v>
      </x:c>
      <x:c r="T204" s="48" t="n">
        <x:f>F204-Inputs!$C$17/2</x:f>
        <x:v>1456.1424117907243</x:v>
      </x:c>
      <x:c r="U204" s="48" t="n">
        <x:f>F204+Inputs!$C$17/2</x:f>
        <x:v>1756.1424117907243</x:v>
      </x:c>
      <x:c r="V204" s="48" t="n">
        <x:f>ABS(P204)</x:f>
        <x:v>306.8327049999392</x:v>
      </x:c>
      <x:c r="W204" s="48" t="n">
        <x:f>ABS(Q204)</x:f>
        <x:v>46.070976726717596</x:v>
      </x:c>
      <x:c r="X204" s="48" t="n">
        <x: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(0.45*SIN(2*PI()*(((A204)/Inputs!$C$49)+Inputs!$C$47*0.137))+0.35*COS(2*PI()*(((0)/Inputs!$C$50)+Inputs!$C$47*0.173))+0.20*SIN(2*PI()*(((A204)+(0))/(0.5*(Inputs!$C$49+Inputs!$C$50))+Inputs!$C$47*0.097)))+0.30*(2*((SIN(((A204)*12.9898+(0)*78.233+Inputs!$C$47*37.719))*43758.5453)-INT((SIN(((A204)*12.9898+(0)*78.233+Inputs!$C$47*37.719))*43758.5453)))-1)))</x:f>
        <x:v>52.60933898915909</x:v>
      </x:c>
      <x:c r="Y204" s="48" t="n">
        <x: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(0.45*SIN(2*PI()*(((A204)/Inputs!$C$49)+Inputs!$C$47*0.137))+0.35*COS(2*PI()*(((Inputs!$C$6)/Inputs!$C$50)+Inputs!$C$47*0.173))+0.20*SIN(2*PI()*(((A204)+(Inputs!$C$6))/(0.5*(Inputs!$C$49+Inputs!$C$50))+Inputs!$C$47*0.097)))+0.30*(2*((SIN(((A204)*12.9898+(Inputs!$C$6)*78.233+Inputs!$C$47*37.719))*43758.5453)-INT((SIN(((A204)*12.9898+(Inputs!$C$6)*78.233+Inputs!$C$47*37.719))*43758.5453)))-1)))</x:f>
        <x:v>276.55710773836364</x:v>
      </x:c>
      <x:c r="Z204" s="48" t="n">
        <x:f>B204-X204/1000</x:f>
        <x:v>401.81516843878865</x:v>
      </x:c>
      <x:c r="AA204" s="48" t="n">
        <x:f>SQRT(A204^2+Inputs!$C$6^2+(B204-Y204/1000)^2)</x:f>
        <x:v>404.4521090552654</x:v>
      </x:c>
      <x:c r="AB204" s="48" t="n">
        <x:f>(AA204-Z204)*1000</x:f>
        <x:v>2636.9406164767497</x:v>
      </x:c>
      <x:c r="AC204" s="48" t="n">
        <x:f>AB204/Inputs!$C$12</x:f>
        <x:v>1481.4273126273874</x:v>
      </x:c>
      <x:c r="AD204" s="48" t="n">
        <x:f>2*AB204/Inputs!$C$21*1000000</x:f>
        <x:v>17.591774216526485</x:v>
      </x:c>
      <x:c r="AE204" s="48" t="n">
        <x:f>DEGREES(ATAN(H204/(B204-Y204/1000)))</x:f>
        <x:v>6.818845746704476</x:v>
      </x:c>
      <x:c r="AF204" s="48" t="n">
        <x:f>DEGREES((2*PI()/Inputs!$C$13)*Inputs!$C$15*SIN(RADIANS(AE204)))</x:f>
        <x:v>42.743004637762105</x:v>
      </x:c>
      <x:c r="AG204" s="48" t="n">
        <x:f>(Z204/AA204)^4</x:f>
        <x:v>0.9741748005440068</x:v>
      </x:c>
      <x:c r="AH204" s="48" t="n">
        <x:f>10*LOG10(AG204)</x:f>
        <x:v>-0.11363108726710701</x:v>
      </x:c>
      <x:c r="AI204" s="48" t="n">
        <x:f>AC204-F204</x:f>
        <x:v>-124.71509916333684</x:v>
      </x:c>
      <x:c r="AJ204" s="48" t="n">
        <x:f>AD204-G204</x:f>
        <x:v>-1.4809770598747996</x:v>
      </x:c>
      <x:c r="AK204" s="48" t="n">
        <x:f>Y204-X204</x:f>
        <x:v>223.94776874920456</x:v>
      </x:c>
      <x:c r="AL204" s="48" t="n">
        <x:f>1000*(AA205-AA203)/(A205-A203)*Inputs!$C$11</x:f>
        <x:v>892.3977693566485</x:v>
      </x:c>
      <x:c r="AM204" s="48" t="n">
        <x:f>-2*AL204/Inputs!$C$13</x:f>
        <x:v>-356.9591077426594</x:v>
      </x:c>
      <x:c r="AN204" s="48" t="n">
        <x:f>-2*AL204/Inputs!$C$14</x:f>
        <x:v>-53.59746362502394</x:v>
      </x:c>
      <x:c r="AO204" s="48" t="n">
        <x:f>ABS(AM204)</x:f>
        <x:v>356.9591077426594</x:v>
      </x:c>
      <x:c r="AP204" s="48" t="n">
        <x:f>ABS(AN204)</x:f>
        <x:v>53.59746362502394</x:v>
      </x:c>
      <x:c r="AQ204" s="48" t="n">
        <x:f>IF(OR(Inputs!$C$27=TRUE,Inputs!$C$27="TRUE",Inputs!$C$27=1),Inputs!$C$46/Inputs!$C$12,0)</x:f>
        <x:v>42.13483146067416</x:v>
      </x:c>
      <x:c r="AR204" s="48" t="n">
        <x:f>AC204-AQ204</x:f>
        <x:v>1439.2924811667133</x:v>
      </x:c>
      <x:c r="AS204" s="48" t="n">
        <x:f>AC204+AQ204</x:f>
        <x:v>1523.5621440880616</x:v>
      </x:c>
    </x:row>
    <x:row r="205">
      <x:c r="A205" s="48" t="n">
        <x:f>Inputs!$C$7+203*(Inputs!$C$8-Inputs!$C$7)/240</x:f>
        <x:v>41.5</x:v>
      </x:c>
      <x:c r="B205" s="48" t="n">
        <x:f>Inputs!$C$5+Inputs!$C$9*(A205/Inputs!$C$10)^2</x:f>
        <x:v>401.9136111111111</x:v>
      </x:c>
      <x:c r="C205" s="48" t="n">
        <x:f>B205</x:f>
        <x:v>401.9136111111111</x:v>
      </x:c>
      <x:c r="D205" s="48" t="n">
        <x:f>SQRT(A205^2+Inputs!$C$6^2+B205^2)</x:f>
        <x:v>404.8231722571887</x:v>
      </x:c>
      <x:c r="E205" s="48" t="n">
        <x:f>(D205-C205)*1000</x:f>
        <x:v>2909.5611460775785</x:v>
      </x:c>
      <x:c r="F205" s="48" t="n">
        <x:f>E205/Inputs!$C$12</x:f>
        <x:v>1634.5849135267295</x:v>
      </x:c>
      <x:c r="G205" s="48" t="n">
        <x:f>2*E205/Inputs!$C$21*1000000</x:f>
        <x:v>19.410502622301316</x:v>
      </x:c>
      <x:c r="H205" s="48" t="n">
        <x:f>SQRT(A205^2+Inputs!$C$6^2)</x:f>
        <x:v>48.44842618702903</x:v>
      </x:c>
      <x:c r="I205" s="48" t="n">
        <x:f>DEGREES(ATAN(H205/B205))</x:f>
        <x:v>6.873519212930159</x:v>
      </x:c>
      <x:c r="J205" s="48" t="n">
        <x:f>DEGREES((2*PI()/Inputs!$C$13)*Inputs!$C$15*SIN(RADIANS(I205)))</x:f>
        <x:v>43.0840787351217</x:v>
      </x:c>
      <x:c r="K205" s="48" t="n">
        <x:f>(C205/D205)^4</x:f>
        <x:v>0.9715594975681711</x:v>
      </x:c>
      <x:c r="L205" s="48" t="n">
        <x:f>10*LOG10(K205)</x:f>
        <x:v>-0.125305983844946</x:v>
      </x:c>
      <x:c r="M205" s="48" t="n">
        <x:f>2*(Inputs!$C$9/(Inputs!$C$10^2))*A205</x:f>
        <x:v>0.09222222222222222</x:v>
      </x:c>
      <x:c r="N205" s="48" t="n">
        <x:f>M205*Inputs!$C$11</x:f>
        <x:v>0.3688888888888889</x:v>
      </x:c>
      <x:c r="O205" s="48" t="n">
        <x:f>1000*((A205*Inputs!$C$11)+(B205*N205))/D205</x:f>
        <x:v>776.2931743256163</x:v>
      </x:c>
      <x:c r="P205" s="48" t="n">
        <x:f>-2*O205/Inputs!$C$13</x:f>
        <x:v>-310.51726973024654</x:v>
      </x:c>
      <x:c r="Q205" s="48" t="n">
        <x:f>-2*O205/Inputs!$C$14</x:f>
        <x:v>-46.624214674211196</x:v>
      </x:c>
      <x:c r="R205" s="48" t="n">
        <x:f>F205-Inputs!$C$16/2</x:f>
        <x:v>1619.5849135267295</x:v>
      </x:c>
      <x:c r="S205" s="48" t="n">
        <x:f>F205+Inputs!$C$16/2</x:f>
        <x:v>1649.5849135267295</x:v>
      </x:c>
      <x:c r="T205" s="48" t="n">
        <x:f>F205-Inputs!$C$17/2</x:f>
        <x:v>1484.5849135267295</x:v>
      </x:c>
      <x:c r="U205" s="48" t="n">
        <x:f>F205+Inputs!$C$17/2</x:f>
        <x:v>1784.5849135267295</x:v>
      </x:c>
      <x:c r="V205" s="48" t="n">
        <x:f>ABS(P205)</x:f>
        <x:v>310.51726973024654</x:v>
      </x:c>
      <x:c r="W205" s="48" t="n">
        <x:f>ABS(Q205)</x:f>
        <x:v>46.624214674211196</x:v>
      </x:c>
      <x:c r="X205" s="48" t="n">
        <x: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(0.45*SIN(2*PI()*(((A205)/Inputs!$C$49)+Inputs!$C$47*0.137))+0.35*COS(2*PI()*(((0)/Inputs!$C$50)+Inputs!$C$47*0.173))+0.20*SIN(2*PI()*(((A205)+(0))/(0.5*(Inputs!$C$49+Inputs!$C$50))+Inputs!$C$47*0.097)))+0.30*(2*((SIN(((A205)*12.9898+(0)*78.233+Inputs!$C$47*37.719))*43758.5453)-INT((SIN(((A205)*12.9898+(0)*78.233+Inputs!$C$47*37.719))*43758.5453)))-1)))</x:f>
        <x:v>58.38095189793533</x:v>
      </x:c>
      <x:c r="Y205" s="48" t="n">
        <x: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(0.45*SIN(2*PI()*(((A205)/Inputs!$C$49)+Inputs!$C$47*0.137))+0.35*COS(2*PI()*(((Inputs!$C$6)/Inputs!$C$50)+Inputs!$C$47*0.173))+0.20*SIN(2*PI()*(((A205)+(Inputs!$C$6))/(0.5*(Inputs!$C$49+Inputs!$C$50))+Inputs!$C$47*0.097)))+0.30*(2*((SIN(((A205)*12.9898+(Inputs!$C$6)*78.233+Inputs!$C$47*37.719))*43758.5453)-INT((SIN(((A205)*12.9898+(Inputs!$C$6)*78.233+Inputs!$C$47*37.719))*43758.5453)))-1)))</x:f>
        <x:v>269.21554101681534</x:v>
      </x:c>
      <x:c r="Z205" s="48" t="n">
        <x:f>B205-X205/1000</x:f>
        <x:v>401.85523015921314</x:v>
      </x:c>
      <x:c r="AA205" s="48" t="n">
        <x:f>SQRT(A205^2+Inputs!$C$6^2+(B205-Y205/1000)^2)</x:f>
        <x:v>404.55589291575814</x:v>
      </x:c>
      <x:c r="AB205" s="48" t="n">
        <x:f>(AA205-Z205)*1000</x:f>
        <x:v>2700.6627565450003</x:v>
      </x:c>
      <x:c r="AC205" s="48" t="n">
        <x:f>AB205/Inputs!$C$12</x:f>
        <x:v>1517.2262677219103</x:v>
      </x:c>
      <x:c r="AD205" s="48" t="n">
        <x:f>2*AB205/Inputs!$C$21*1000000</x:f>
        <x:v>18.016882576445603</x:v>
      </x:c>
      <x:c r="AE205" s="48" t="n">
        <x:f>DEGREES(ATAN(H205/(B205-Y205/1000)))</x:f>
        <x:v>6.878082297713337</x:v>
      </x:c>
      <x:c r="AF205" s="48" t="n">
        <x:f>DEGREES((2*PI()/Inputs!$C$13)*Inputs!$C$15*SIN(RADIANS(AE205)))</x:f>
        <x:v>43.112543242479305</x:v>
      </x:c>
      <x:c r="AG205" s="48" t="n">
        <x:f>(Z205/AA205)^4</x:f>
        <x:v>0.9735637023832886</x:v>
      </x:c>
      <x:c r="AH205" s="48" t="n">
        <x:f>10*LOG10(AG205)</x:f>
        <x:v>-0.11635626384918499</x:v>
      </x:c>
      <x:c r="AI205" s="48" t="n">
        <x:f>AC205-F205</x:f>
        <x:v>-117.35864580481916</x:v>
      </x:c>
      <x:c r="AJ205" s="48" t="n">
        <x:f>AD205-G205</x:f>
        <x:v>-1.3936200458557124</x:v>
      </x:c>
      <x:c r="AK205" s="48" t="n">
        <x:f>Y205-X205</x:f>
        <x:v>210.83458911888</x:v>
      </x:c>
      <x:c r="AL205" s="48" t="n">
        <x:f>1000*(AA206-AA204)/(A206-A204)*Inputs!$C$11</x:f>
        <x:v>798.131579846995</x:v>
      </x:c>
      <x:c r="AM205" s="48" t="n">
        <x:f>-2*AL205/Inputs!$C$13</x:f>
        <x:v>-319.252631938798</x:v>
      </x:c>
      <x:c r="AN205" s="48" t="n">
        <x:f>-2*AL205/Inputs!$C$14</x:f>
        <x:v>-47.93583062144115</x:v>
      </x:c>
      <x:c r="AO205" s="48" t="n">
        <x:f>ABS(AM205)</x:f>
        <x:v>319.252631938798</x:v>
      </x:c>
      <x:c r="AP205" s="48" t="n">
        <x:f>ABS(AN205)</x:f>
        <x:v>47.93583062144115</x:v>
      </x:c>
      <x:c r="AQ205" s="48" t="n">
        <x:f>IF(OR(Inputs!$C$27=TRUE,Inputs!$C$27="TRUE",Inputs!$C$27=1),Inputs!$C$46/Inputs!$C$12,0)</x:f>
        <x:v>42.13483146067416</x:v>
      </x:c>
      <x:c r="AR205" s="48" t="n">
        <x:f>AC205-AQ205</x:f>
        <x:v>1475.0914362612361</x:v>
      </x:c>
      <x:c r="AS205" s="48" t="n">
        <x:f>AC205+AQ205</x:f>
        <x:v>1559.3610991825844</x:v>
      </x:c>
    </x:row>
    <x:row r="206">
      <x:c r="A206" s="48" t="n">
        <x:f>Inputs!$C$7+204*(Inputs!$C$8-Inputs!$C$7)/240</x:f>
        <x:v>42</x:v>
      </x:c>
      <x:c r="B206" s="48" t="n">
        <x:f>Inputs!$C$5+Inputs!$C$9*(A206/Inputs!$C$10)^2</x:f>
        <x:v>401.96</x:v>
      </x:c>
      <x:c r="C206" s="48" t="n">
        <x:f>B206</x:f>
        <x:v>401.96</x:v>
      </x:c>
      <x:c r="D206" s="48" t="n">
        <x:f>SQRT(A206^2+Inputs!$C$6^2+B206^2)</x:f>
        <x:v>404.920784351705</x:v>
      </x:c>
      <x:c r="E206" s="48" t="n">
        <x:f>(D206-C206)*1000</x:f>
        <x:v>2960.7843517050014</x:v>
      </x:c>
      <x:c r="F206" s="48" t="n">
        <x:f>E206/Inputs!$C$12</x:f>
        <x:v>1663.3619953398884</x:v>
      </x:c>
      <x:c r="G206" s="48" t="n">
        <x:f>2*E206/Inputs!$C$21*1000000</x:f>
        <x:v>19.75222706706652</x:v>
      </x:c>
      <x:c r="H206" s="48" t="n">
        <x:f>SQRT(A206^2+Inputs!$C$6^2)</x:f>
        <x:v>48.877397639399746</x:v>
      </x:c>
      <x:c r="I206" s="48" t="n">
        <x:f>DEGREES(ATAN(H206/B206))</x:f>
        <x:v>6.932996321916247</x:v>
      </x:c>
      <x:c r="J206" s="48" t="n">
        <x:f>DEGREES((2*PI()/Inputs!$C$13)*Inputs!$C$15*SIN(RADIANS(I206)))</x:f>
        <x:v>43.45507523985368</x:v>
      </x:c>
      <x:c r="K206" s="48" t="n">
        <x:f>(C206/D206)^4</x:f>
        <x:v>0.971071196606904</x:v>
      </x:c>
      <x:c r="L206" s="48" t="n">
        <x:f>10*LOG10(K206)</x:f>
        <x:v>-0.12748927496753</x:v>
      </x:c>
      <x:c r="M206" s="48" t="n">
        <x:f>2*(Inputs!$C$9/(Inputs!$C$10^2))*A206</x:f>
        <x:v>0.09333333333333334</x:v>
      </x:c>
      <x:c r="N206" s="48" t="n">
        <x:f>M206*Inputs!$C$11</x:f>
        <x:v>0.37333333333333335</x:v>
      </x:c>
      <x:c r="O206" s="48" t="n">
        <x:f>1000*((A206*Inputs!$C$11)+(B206*N206))/D206</x:f>
        <x:v>785.4994827590834</x:v>
      </x:c>
      <x:c r="P206" s="48" t="n">
        <x:f>-2*O206/Inputs!$C$13</x:f>
        <x:v>-314.1997931036334</x:v>
      </x:c>
      <x:c r="Q206" s="48" t="n">
        <x:f>-2*O206/Inputs!$C$14</x:f>
        <x:v>-47.17714611165667</x:v>
      </x:c>
      <x:c r="R206" s="48" t="n">
        <x:f>F206-Inputs!$C$16/2</x:f>
        <x:v>1648.3619953398884</x:v>
      </x:c>
      <x:c r="S206" s="48" t="n">
        <x:f>F206+Inputs!$C$16/2</x:f>
        <x:v>1678.3619953398884</x:v>
      </x:c>
      <x:c r="T206" s="48" t="n">
        <x:f>F206-Inputs!$C$17/2</x:f>
        <x:v>1513.3619953398884</x:v>
      </x:c>
      <x:c r="U206" s="48" t="n">
        <x:f>F206+Inputs!$C$17/2</x:f>
        <x:v>1813.3619953398884</x:v>
      </x:c>
      <x:c r="V206" s="48" t="n">
        <x:f>ABS(P206)</x:f>
        <x:v>314.1997931036334</x:v>
      </x:c>
      <x:c r="W206" s="48" t="n">
        <x:f>ABS(Q206)</x:f>
        <x:v>47.17714611165667</x:v>
      </x:c>
      <x:c r="X206" s="48" t="n">
        <x: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(0.45*SIN(2*PI()*(((A206)/Inputs!$C$49)+Inputs!$C$47*0.137))+0.35*COS(2*PI()*(((0)/Inputs!$C$50)+Inputs!$C$47*0.173))+0.20*SIN(2*PI()*(((A206)+(0))/(0.5*(Inputs!$C$49+Inputs!$C$50))+Inputs!$C$47*0.097)))+0.30*(2*((SIN(((A206)*12.9898+(0)*78.233+Inputs!$C$47*37.719))*43758.5453)-INT((SIN(((A206)*12.9898+(0)*78.233+Inputs!$C$47*37.719))*43758.5453)))-1)))</x:f>
        <x:v>34.52124211278962</x:v>
      </x:c>
      <x:c r="Y206" s="48" t="n">
        <x: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(0.45*SIN(2*PI()*(((A206)/Inputs!$C$49)+Inputs!$C$47*0.137))+0.35*COS(2*PI()*(((Inputs!$C$6)/Inputs!$C$50)+Inputs!$C$47*0.173))+0.20*SIN(2*PI()*(((A206)+(Inputs!$C$6))/(0.5*(Inputs!$C$49+Inputs!$C$50))+Inputs!$C$47*0.097)))+0.30*(2*((SIN(((A206)*12.9898+(Inputs!$C$6)*78.233+Inputs!$C$47*37.719))*43758.5453)-INT((SIN(((A206)*12.9898+(Inputs!$C$6)*78.233+Inputs!$C$47*37.719))*43758.5453)))-1)))</x:f>
        <x:v>271.1262021129023</x:v>
      </x:c>
      <x:c r="Z206" s="48" t="n">
        <x:f>B206-X206/1000</x:f>
        <x:v>401.92547875788716</x:v>
      </x:c>
      <x:c r="AA206" s="48" t="n">
        <x:f>SQRT(A206^2+Inputs!$C$6^2+(B206-Y206/1000)^2)</x:f>
        <x:v>404.65164195022714</x:v>
      </x:c>
      <x:c r="AB206" s="48" t="n">
        <x:f>(AA206-Z206)*1000</x:f>
        <x:v>2726.163192339982</x:v>
      </x:c>
      <x:c r="AC206" s="48" t="n">
        <x:f>AB206/Inputs!$C$12</x:f>
        <x:v>1531.5523552471807</x:v>
      </x:c>
      <x:c r="AD206" s="48" t="n">
        <x:f>2*AB206/Inputs!$C$21*1000000</x:f>
        <x:v>18.187003172307836</x:v>
      </x:c>
      <x:c r="AE206" s="48" t="n">
        <x:f>DEGREES(ATAN(H206/(B206-Y206/1000)))</x:f>
        <x:v>6.937630266351659</x:v>
      </x:c>
      <x:c r="AF206" s="48" t="n">
        <x:f>DEGREES((2*PI()/Inputs!$C$13)*Inputs!$C$15*SIN(RADIANS(AE206)))</x:f>
        <x:v>43.48397813334025</x:v>
      </x:c>
      <x:c r="AG206" s="48" t="n">
        <x:f>(Z206/AA206)^4</x:f>
        <x:v>0.9733228590355585</x:v>
      </x:c>
      <x:c r="AH206" s="48" t="n">
        <x:f>10*LOG10(AG206)</x:f>
        <x:v>-0.117430768543281</x:v>
      </x:c>
      <x:c r="AI206" s="48" t="n">
        <x:f>AC206-F206</x:f>
        <x:v>-131.8096400927077</x:v>
      </x:c>
      <x:c r="AJ206" s="48" t="n">
        <x:f>AD206-G206</x:f>
        <x:v>-1.5652238947586845</x:v>
      </x:c>
      <x:c r="AK206" s="48" t="n">
        <x:f>Y206-X206</x:f>
        <x:v>236.6049600001127</x:v>
      </x:c>
      <x:c r="AL206" s="48" t="n">
        <x:f>1000*(AA207-AA205)/(A207-A205)*Inputs!$C$11</x:f>
        <x:v>823.242563319809</x:v>
      </x:c>
      <x:c r="AM206" s="48" t="n">
        <x:f>-2*AL206/Inputs!$C$13</x:f>
        <x:v>-329.2970253279236</x:v>
      </x:c>
      <x:c r="AN206" s="48" t="n">
        <x:f>-2*AL206/Inputs!$C$14</x:f>
        <x:v>-49.443997796985535</x:v>
      </x:c>
      <x:c r="AO206" s="48" t="n">
        <x:f>ABS(AM206)</x:f>
        <x:v>329.2970253279236</x:v>
      </x:c>
      <x:c r="AP206" s="48" t="n">
        <x:f>ABS(AN206)</x:f>
        <x:v>49.443997796985535</x:v>
      </x:c>
      <x:c r="AQ206" s="48" t="n">
        <x:f>IF(OR(Inputs!$C$27=TRUE,Inputs!$C$27="TRUE",Inputs!$C$27=1),Inputs!$C$46/Inputs!$C$12,0)</x:f>
        <x:v>42.13483146067416</x:v>
      </x:c>
      <x:c r="AR206" s="48" t="n">
        <x:f>AC206-AQ206</x:f>
        <x:v>1489.4175237865065</x:v>
      </x:c>
      <x:c r="AS206" s="48" t="n">
        <x:f>AC206+AQ206</x:f>
        <x:v>1573.6871867078548</x:v>
      </x:c>
    </x:row>
    <x:row r="207">
      <x:c r="A207" s="48" t="n">
        <x:f>Inputs!$C$7+205*(Inputs!$C$8-Inputs!$C$7)/240</x:f>
        <x:v>42.5</x:v>
      </x:c>
      <x:c r="B207" s="48" t="n">
        <x:f>Inputs!$C$5+Inputs!$C$9*(A207/Inputs!$C$10)^2</x:f>
        <x:v>402.00694444444446</x:v>
      </x:c>
      <x:c r="C207" s="48" t="n">
        <x:f>B207</x:f>
        <x:v>402.00694444444446</x:v>
      </x:c>
      <x:c r="D207" s="48" t="n">
        <x:f>SQRT(A207^2+Inputs!$C$6^2+B207^2)</x:f>
        <x:v>405.0195469129344</x:v>
      </x:c>
      <x:c r="E207" s="48" t="n">
        <x:f>(D207-C207)*1000</x:f>
        <x:v>3012.602468489945</x:v>
      </x:c>
      <x:c r="F207" s="48" t="n">
        <x:f>E207/Inputs!$C$12</x:f>
        <x:v>1692.4732969044633</x:v>
      </x:c>
      <x:c r="G207" s="48" t="n">
        <x:f>2*E207/Inputs!$C$21*1000000</x:f>
        <x:v>20.097920331871354</x:v>
      </x:c>
      <x:c r="H207" s="48" t="n">
        <x:f>SQRT(A207^2+Inputs!$C$6^2)</x:f>
        <x:v>49.30770730829005</x:v>
      </x:c>
      <x:c r="I207" s="48" t="n">
        <x:f>DEGREES(ATAN(H207/B207))</x:f>
        <x:v>6.992623032280269</x:v>
      </x:c>
      <x:c r="J207" s="48" t="n">
        <x:f>DEGREES((2*PI()/Inputs!$C$13)*Inputs!$C$15*SIN(RADIANS(I207)))</x:f>
        <x:v>43.82695789939304</x:v>
      </x:c>
      <x:c r="K207" s="48" t="n">
        <x:f>(C207/D207)^4</x:f>
        <x:v>0.9705776523303707</x:v>
      </x:c>
      <x:c r="L207" s="48" t="n">
        <x:f>10*LOG10(K207)</x:f>
        <x:v>-0.12969712589389099</x:v>
      </x:c>
      <x:c r="M207" s="48" t="n">
        <x:f>2*(Inputs!$C$9/(Inputs!$C$10^2))*A207</x:f>
        <x:v>0.09444444444444444</x:v>
      </x:c>
      <x:c r="N207" s="48" t="n">
        <x:f>M207*Inputs!$C$11</x:f>
        <x:v>0.37777777777777777</x:v>
      </x:c>
      <x:c r="O207" s="48" t="n">
        <x:f>1000*((A207*Inputs!$C$11)+(B207*N207))/D207</x:f>
        <x:v>794.7006325416879</x:v>
      </x:c>
      <x:c r="P207" s="48" t="n">
        <x:f>-2*O207/Inputs!$C$13</x:f>
        <x:v>-317.88025301667517</x:v>
      </x:c>
      <x:c r="Q207" s="48" t="n">
        <x:f>-2*O207/Inputs!$C$14</x:f>
        <x:v>-47.7297677202215</x:v>
      </x:c>
      <x:c r="R207" s="48" t="n">
        <x:f>F207-Inputs!$C$16/2</x:f>
        <x:v>1677.4732969044633</x:v>
      </x:c>
      <x:c r="S207" s="48" t="n">
        <x:f>F207+Inputs!$C$16/2</x:f>
        <x:v>1707.4732969044633</x:v>
      </x:c>
      <x:c r="T207" s="48" t="n">
        <x:f>F207-Inputs!$C$17/2</x:f>
        <x:v>1542.4732969044633</x:v>
      </x:c>
      <x:c r="U207" s="48" t="n">
        <x:f>F207+Inputs!$C$17/2</x:f>
        <x:v>1842.4732969044633</x:v>
      </x:c>
      <x:c r="V207" s="48" t="n">
        <x:f>ABS(P207)</x:f>
        <x:v>317.88025301667517</x:v>
      </x:c>
      <x:c r="W207" s="48" t="n">
        <x:f>ABS(Q207)</x:f>
        <x:v>47.7297677202215</x:v>
      </x:c>
      <x:c r="X207" s="48" t="n">
        <x: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(0.45*SIN(2*PI()*(((A207)/Inputs!$C$49)+Inputs!$C$47*0.137))+0.35*COS(2*PI()*(((0)/Inputs!$C$50)+Inputs!$C$47*0.173))+0.20*SIN(2*PI()*(((A207)+(0))/(0.5*(Inputs!$C$49+Inputs!$C$50))+Inputs!$C$47*0.097)))+0.30*(2*((SIN(((A207)*12.9898+(0)*78.233+Inputs!$C$47*37.719))*43758.5453)-INT((SIN(((A207)*12.9898+(0)*78.233+Inputs!$C$47*37.719))*43758.5453)))-1)))</x:f>
        <x:v>40.25127636090155</x:v>
      </x:c>
      <x:c r="Y207" s="48" t="n">
        <x: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(0.45*SIN(2*PI()*(((A207)/Inputs!$C$49)+Inputs!$C$47*0.137))+0.35*COS(2*PI()*(((Inputs!$C$6)/Inputs!$C$50)+Inputs!$C$47*0.173))+0.20*SIN(2*PI()*(((A207)+(Inputs!$C$6))/(0.5*(Inputs!$C$49+Inputs!$C$50))+Inputs!$C$47*0.097)))+0.30*(2*((SIN(((A207)*12.9898+(Inputs!$C$6)*78.233+Inputs!$C$47*37.719))*43758.5453)-INT((SIN(((A207)*12.9898+(Inputs!$C$6)*78.233+Inputs!$C$47*37.719))*43758.5453)))-1)))</x:f>
        <x:v>259.7768551367322</x:v>
      </x:c>
      <x:c r="Z207" s="48" t="n">
        <x:f>B207-X207/1000</x:f>
        <x:v>401.96669316808357</x:v>
      </x:c>
      <x:c r="AA207" s="48" t="n">
        <x:f>SQRT(A207^2+Inputs!$C$6^2+(B207-Y207/1000)^2)</x:f>
        <x:v>404.7617035565881</x:v>
      </x:c>
      <x:c r="AB207" s="48" t="n">
        <x:f>(AA207-Z207)*1000</x:f>
        <x:v>2795.0103885045223</x:v>
      </x:c>
      <x:c r="AC207" s="48" t="n">
        <x:f>AB207/Inputs!$C$12</x:f>
        <x:v>1570.2305553396193</x:v>
      </x:c>
      <x:c r="AD207" s="48" t="n">
        <x:f>2*AB207/Inputs!$C$21*1000000</x:f>
        <x:v>18.64630222621893</x:v>
      </x:c>
      <x:c r="AE207" s="48" t="n">
        <x:f>DEGREES(ATAN(H207/(B207-Y207/1000)))</x:f>
        <x:v>6.997099778736734</x:v>
      </x:c>
      <x:c r="AF207" s="48" t="n">
        <x:f>DEGREES((2*PI()/Inputs!$C$13)*Inputs!$C$15*SIN(RADIANS(AE207)))</x:f>
        <x:v>43.85487677072877</x:v>
      </x:c>
      <x:c r="AG207" s="48" t="n">
        <x:f>(Z207/AA207)^4</x:f>
        <x:v>0.9726634932625339</x:v>
      </x:c>
      <x:c r="AH207" s="48" t="n">
        <x:f>10*LOG10(AG207)</x:f>
        <x:v>-0.12037384085620899</x:v>
      </x:c>
      <x:c r="AI207" s="48" t="n">
        <x:f>AC207-F207</x:f>
        <x:v>-122.24274156484398</x:v>
      </x:c>
      <x:c r="AJ207" s="48" t="n">
        <x:f>AD207-G207</x:f>
        <x:v>-1.4516181056524253</x:v>
      </x:c>
      <x:c r="AK207" s="48" t="n">
        <x:f>Y207-X207</x:f>
        <x:v>219.52557877583064</x:v>
      </x:c>
      <x:c r="AL207" s="48" t="n">
        <x:f>1000*(AA208-AA206)/(A208-A206)*Inputs!$C$11</x:f>
        <x:v>889.7049187983157</x:v>
      </x:c>
      <x:c r="AM207" s="48" t="n">
        <x:f>-2*AL207/Inputs!$C$13</x:f>
        <x:v>-355.8819675193263</x:v>
      </x:c>
      <x:c r="AN207" s="48" t="n">
        <x:f>-2*AL207/Inputs!$C$14</x:f>
        <x:v>-53.4357308587577</x:v>
      </x:c>
      <x:c r="AO207" s="48" t="n">
        <x:f>ABS(AM207)</x:f>
        <x:v>355.8819675193263</x:v>
      </x:c>
      <x:c r="AP207" s="48" t="n">
        <x:f>ABS(AN207)</x:f>
        <x:v>53.4357308587577</x:v>
      </x:c>
      <x:c r="AQ207" s="48" t="n">
        <x:f>IF(OR(Inputs!$C$27=TRUE,Inputs!$C$27="TRUE",Inputs!$C$27=1),Inputs!$C$46/Inputs!$C$12,0)</x:f>
        <x:v>42.13483146067416</x:v>
      </x:c>
      <x:c r="AR207" s="48" t="n">
        <x:f>AC207-AQ207</x:f>
        <x:v>1528.0957238789451</x:v>
      </x:c>
      <x:c r="AS207" s="48" t="n">
        <x:f>AC207+AQ207</x:f>
        <x:v>1612.3653868002934</x:v>
      </x:c>
    </x:row>
    <x:row r="208">
      <x:c r="A208" s="48" t="n">
        <x:f>Inputs!$C$7+206*(Inputs!$C$8-Inputs!$C$7)/240</x:f>
        <x:v>43</x:v>
      </x:c>
      <x:c r="B208" s="48" t="n">
        <x:f>Inputs!$C$5+Inputs!$C$9*(A208/Inputs!$C$10)^2</x:f>
        <x:v>402.05444444444447</x:v>
      </x:c>
      <x:c r="C208" s="48" t="n">
        <x:f>B208</x:f>
        <x:v>402.05444444444447</x:v>
      </x:c>
      <x:c r="D208" s="48" t="n">
        <x:f>SQRT(A208^2+Inputs!$C$6^2+B208^2)</x:f>
        <x:v>405.1194592926028</x:v>
      </x:c>
      <x:c r="E208" s="48" t="n">
        <x:f>(D208-C208)*1000</x:f>
        <x:v>3065.0148481583415</x:v>
      </x:c>
      <x:c r="F208" s="48" t="n">
        <x:f>E208/Inputs!$C$12</x:f>
        <x:v>1721.9184540215401</x:v>
      </x:c>
      <x:c r="G208" s="48" t="n">
        <x:f>2*E208/Inputs!$C$21*1000000</x:f>
        <x:v>20.44757809189677</x:v>
      </x:c>
      <x:c r="H208" s="48" t="n">
        <x:f>SQRT(A208^2+Inputs!$C$6^2)</x:f>
        <x:v>49.73932046178355</x:v>
      </x:c>
      <x:c r="I208" s="48" t="n">
        <x:f>DEGREES(ATAN(H208/B208))</x:f>
        <x:v>7.05239391542762</x:v>
      </x:c>
      <x:c r="J208" s="48" t="n">
        <x:f>DEGREES((2*PI()/Inputs!$C$13)*Inputs!$C$15*SIN(RADIANS(I208)))</x:f>
        <x:v>44.1996921044198</x:v>
      </x:c>
      <x:c r="K208" s="48" t="n">
        <x:f>(C208/D208)^4</x:f>
        <x:v>0.9700788852794662</x:v>
      </x:c>
      <x:c r="L208" s="48" t="n">
        <x:f>10*LOG10(K208)</x:f>
        <x:v>-0.131929481579036</x:v>
      </x:c>
      <x:c r="M208" s="48" t="n">
        <x:f>2*(Inputs!$C$9/(Inputs!$C$10^2))*A208</x:f>
        <x:v>0.09555555555555556</x:v>
      </x:c>
      <x:c r="N208" s="48" t="n">
        <x:f>M208*Inputs!$C$11</x:f>
        <x:v>0.38222222222222224</x:v>
      </x:c>
      <x:c r="O208" s="48" t="n">
        <x:f>1000*((A208*Inputs!$C$11)+(B208*N208))/D208</x:f>
        <x:v>803.8965686283021</x:v>
      </x:c>
      <x:c r="P208" s="48" t="n">
        <x:f>-2*O208/Inputs!$C$13</x:f>
        <x:v>-321.55862745132083</x:v>
      </x:c>
      <x:c r="Q208" s="48" t="n">
        <x:f>-2*O208/Inputs!$C$14</x:f>
        <x:v>-48.282076193892024</x:v>
      </x:c>
      <x:c r="R208" s="48" t="n">
        <x:f>F208-Inputs!$C$16/2</x:f>
        <x:v>1706.9184540215401</x:v>
      </x:c>
      <x:c r="S208" s="48" t="n">
        <x:f>F208+Inputs!$C$16/2</x:f>
        <x:v>1736.9184540215401</x:v>
      </x:c>
      <x:c r="T208" s="48" t="n">
        <x:f>F208-Inputs!$C$17/2</x:f>
        <x:v>1571.9184540215401</x:v>
      </x:c>
      <x:c r="U208" s="48" t="n">
        <x:f>F208+Inputs!$C$17/2</x:f>
        <x:v>1871.9184540215401</x:v>
      </x:c>
      <x:c r="V208" s="48" t="n">
        <x:f>ABS(P208)</x:f>
        <x:v>321.55862745132083</x:v>
      </x:c>
      <x:c r="W208" s="48" t="n">
        <x:f>ABS(Q208)</x:f>
        <x:v>48.282076193892024</x:v>
      </x:c>
      <x:c r="X208" s="48" t="n">
        <x: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(0.45*SIN(2*PI()*(((A208)/Inputs!$C$49)+Inputs!$C$47*0.137))+0.35*COS(2*PI()*(((0)/Inputs!$C$50)+Inputs!$C$47*0.173))+0.20*SIN(2*PI()*(((A208)+(0))/(0.5*(Inputs!$C$49+Inputs!$C$50))+Inputs!$C$47*0.097)))+0.30*(2*((SIN(((A208)*12.9898+(0)*78.233+Inputs!$C$47*37.719))*43758.5453)-INT((SIN(((A208)*12.9898+(0)*78.233+Inputs!$C$47*37.719))*43758.5453)))-1)))</x:f>
        <x:v>33.32797910139238</x:v>
      </x:c>
      <x:c r="Y208" s="48" t="n">
        <x: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(0.45*SIN(2*PI()*(((A208)/Inputs!$C$49)+Inputs!$C$47*0.137))+0.35*COS(2*PI()*(((Inputs!$C$6)/Inputs!$C$50)+Inputs!$C$47*0.173))+0.20*SIN(2*PI()*(((A208)+(Inputs!$C$6))/(0.5*(Inputs!$C$49+Inputs!$C$50))+Inputs!$C$47*0.097)))+0.30*(2*((SIN(((A208)*12.9898+(Inputs!$C$6)*78.233+Inputs!$C$47*37.719))*43758.5453)-INT((SIN(((A208)*12.9898+(Inputs!$C$6)*78.233+Inputs!$C$47*37.719))*43758.5453)))-1)))</x:f>
        <x:v>247.2629698422237</x:v>
      </x:c>
      <x:c r="Z208" s="48" t="n">
        <x:f>B208-X208/1000</x:f>
        <x:v>402.0211164653431</x:v>
      </x:c>
      <x:c r="AA208" s="48" t="n">
        <x:f>SQRT(A208^2+Inputs!$C$6^2+(B208-Y208/1000)^2)</x:f>
        <x:v>404.8740681799267</x:v>
      </x:c>
      <x:c r="AB208" s="48" t="n">
        <x:f>(AA208-Z208)*1000</x:f>
        <x:v>2852.9517145836394</x:v>
      </x:c>
      <x:c r="AC208" s="48" t="n">
        <x:f>AB208/Inputs!$C$12</x:f>
        <x:v>1602.7818621256401</x:v>
      </x:c>
      <x:c r="AD208" s="48" t="n">
        <x:f>2*AB208/Inputs!$C$21*1000000</x:f>
        <x:v>19.032845146382165</x:v>
      </x:c>
      <x:c r="AE208" s="48" t="n">
        <x:f>DEGREES(ATAN(H208/(B208-Y208/1000)))</x:f>
        <x:v>7.056690056123688</x:v>
      </x:c>
      <x:c r="AF208" s="48" t="n">
        <x:f>DEGREES((2*PI()/Inputs!$C$13)*Inputs!$C$15*SIN(RADIANS(AE208)))</x:f>
        <x:v>44.226481203741976</x:v>
      </x:c>
      <x:c r="AG208" s="48" t="n">
        <x:f>(Z208/AA208)^4</x:f>
        <x:v>0.9721104581443852</x:v>
      </x:c>
      <x:c r="AH208" s="48" t="n">
        <x:f>10*LOG10(AG208)</x:f>
        <x:v>-0.12284384624075399</x:v>
      </x:c>
      <x:c r="AI208" s="48" t="n">
        <x:f>AC208-F208</x:f>
        <x:v>-119.13659189589998</x:v>
      </x:c>
      <x:c r="AJ208" s="48" t="n">
        <x:f>AD208-G208</x:f>
        <x:v>-1.4147329455146043</x:v>
      </x:c>
      <x:c r="AK208" s="48" t="n">
        <x:f>Y208-X208</x:f>
        <x:v>213.93499074083132</x:v>
      </x:c>
      <x:c r="AL208" s="48" t="n">
        <x:f>1000*(AA209-AA207)/(A209-A207)*Inputs!$C$11</x:f>
        <x:v>940.7879297014006</x:v>
      </x:c>
      <x:c r="AM208" s="48" t="n">
        <x:f>-2*AL208/Inputs!$C$13</x:f>
        <x:v>-376.31517188056023</x:v>
      </x:c>
      <x:c r="AN208" s="48" t="n">
        <x:f>-2*AL208/Inputs!$C$14</x:f>
        <x:v>-56.503779561645686</x:v>
      </x:c>
      <x:c r="AO208" s="48" t="n">
        <x:f>ABS(AM208)</x:f>
        <x:v>376.31517188056023</x:v>
      </x:c>
      <x:c r="AP208" s="48" t="n">
        <x:f>ABS(AN208)</x:f>
        <x:v>56.503779561645686</x:v>
      </x:c>
      <x:c r="AQ208" s="48" t="n">
        <x:f>IF(OR(Inputs!$C$27=TRUE,Inputs!$C$27="TRUE",Inputs!$C$27=1),Inputs!$C$46/Inputs!$C$12,0)</x:f>
        <x:v>42.13483146067416</x:v>
      </x:c>
      <x:c r="AR208" s="48" t="n">
        <x:f>AC208-AQ208</x:f>
        <x:v>1560.647030664966</x:v>
      </x:c>
      <x:c r="AS208" s="48" t="n">
        <x:f>AC208+AQ208</x:f>
        <x:v>1644.9166935863143</x:v>
      </x:c>
    </x:row>
    <x:row r="209">
      <x:c r="A209" s="48" t="n">
        <x:f>Inputs!$C$7+207*(Inputs!$C$8-Inputs!$C$7)/240</x:f>
        <x:v>43.5</x:v>
      </x:c>
      <x:c r="B209" s="48" t="n">
        <x:f>Inputs!$C$5+Inputs!$C$9*(A209/Inputs!$C$10)^2</x:f>
        <x:v>402.1025</x:v>
      </x:c>
      <x:c r="C209" s="48" t="n">
        <x:f>B209</x:f>
        <x:v>402.1025</x:v>
      </x:c>
      <x:c r="D209" s="48" t="n">
        <x:f>SQRT(A209^2+Inputs!$C$6^2+B209^2)</x:f>
        <x:v>405.2205208355693</x:v>
      </x:c>
      <x:c r="E209" s="48" t="n">
        <x:f>(D209-C209)*1000</x:f>
        <x:v>3118.0208355692685</x:v>
      </x:c>
      <x:c r="F209" s="48" t="n">
        <x:f>E209/Inputs!$C$12</x:f>
        <x:v>1751.6970986344204</x:v>
      </x:c>
      <x:c r="G209" s="48" t="n">
        <x:f>2*E209/Inputs!$C$21*1000000</x:f>
        <x:v>20.801195976512982</x:v>
      </x:c>
      <x:c r="H209" s="48" t="n">
        <x:f>SQRT(A209^2+Inputs!$C$6^2)</x:f>
        <x:v>50.172203459684724</x:v>
      </x:c>
      <x:c r="I209" s="48" t="n">
        <x:f>DEGREES(ATAN(H209/B209))</x:f>
        <x:v>7.1123037002334435</x:v>
      </x:c>
      <x:c r="J209" s="48" t="n">
        <x:f>DEGREES((2*PI()/Inputs!$C$13)*Inputs!$C$15*SIN(RADIANS(I209)))</x:f>
        <x:v>44.57324423808168</x:v>
      </x:c>
      <x:c r="K209" s="48" t="n">
        <x:f>(C209/D209)^4</x:f>
        <x:v>0.969574916178313</x:v>
      </x:c>
      <x:c r="L209" s="48" t="n">
        <x:f>10*LOG10(K209)</x:f>
        <x:v>-0.134186286421645</x:v>
      </x:c>
      <x:c r="M209" s="48" t="n">
        <x:f>2*(Inputs!$C$9/(Inputs!$C$10^2))*A209</x:f>
        <x:v>0.09666666666666666</x:v>
      </x:c>
      <x:c r="N209" s="48" t="n">
        <x:f>M209*Inputs!$C$11</x:f>
        <x:v>0.38666666666666666</x:v>
      </x:c>
      <x:c r="O209" s="48" t="n">
        <x:f>1000*((A209*Inputs!$C$11)+(B209*N209))/D209</x:f>
        <x:v>813.0872361891808</x:v>
      </x:c>
      <x:c r="P209" s="48" t="n">
        <x:f>-2*O209/Inputs!$C$13</x:f>
        <x:v>-325.2348944756723</x:v>
      </x:c>
      <x:c r="Q209" s="48" t="n">
        <x:f>-2*O209/Inputs!$C$14</x:f>
        <x:v>-48.834068239590444</x:v>
      </x:c>
      <x:c r="R209" s="48" t="n">
        <x:f>F209-Inputs!$C$16/2</x:f>
        <x:v>1736.6970986344204</x:v>
      </x:c>
      <x:c r="S209" s="48" t="n">
        <x:f>F209+Inputs!$C$16/2</x:f>
        <x:v>1766.6970986344204</x:v>
      </x:c>
      <x:c r="T209" s="48" t="n">
        <x:f>F209-Inputs!$C$17/2</x:f>
        <x:v>1601.6970986344204</x:v>
      </x:c>
      <x:c r="U209" s="48" t="n">
        <x:f>F209+Inputs!$C$17/2</x:f>
        <x:v>1901.6970986344204</x:v>
      </x:c>
      <x:c r="V209" s="48" t="n">
        <x:f>ABS(P209)</x:f>
        <x:v>325.2348944756723</x:v>
      </x:c>
      <x:c r="W209" s="48" t="n">
        <x:f>ABS(Q209)</x:f>
        <x:v>48.834068239590444</x:v>
      </x:c>
      <x:c r="X209" s="48" t="n">
        <x: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(0.45*SIN(2*PI()*(((A209)/Inputs!$C$49)+Inputs!$C$47*0.137))+0.35*COS(2*PI()*(((0)/Inputs!$C$50)+Inputs!$C$47*0.173))+0.20*SIN(2*PI()*(((A209)+(0))/(0.5*(Inputs!$C$49+Inputs!$C$50))+Inputs!$C$47*0.097)))+0.30*(2*((SIN(((A209)*12.9898+(0)*78.233+Inputs!$C$47*37.719))*43758.5453)-INT((SIN(((A209)*12.9898+(0)*78.233+Inputs!$C$47*37.719))*43758.5453)))-1)))</x:f>
        <x:v>20.522948331606614</x:v>
      </x:c>
      <x:c r="Y209" s="48" t="n">
        <x: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(0.45*SIN(2*PI()*(((A209)/Inputs!$C$49)+Inputs!$C$47*0.137))+0.35*COS(2*PI()*(((Inputs!$C$6)/Inputs!$C$50)+Inputs!$C$47*0.173))+0.20*SIN(2*PI()*(((A209)+(Inputs!$C$6))/(0.5*(Inputs!$C$49+Inputs!$C$50))+Inputs!$C$47*0.097)))+0.30*(2*((SIN(((A209)*12.9898+(Inputs!$C$6)*78.233+Inputs!$C$47*37.719))*43758.5453)-INT((SIN(((A209)*12.9898+(Inputs!$C$6)*78.233+Inputs!$C$47*37.719))*43758.5453)))-1)))</x:f>
        <x:v>225.35528260314678</x:v>
      </x:c>
      <x:c r="Z209" s="48" t="n">
        <x:f>B209-X209/1000</x:f>
        <x:v>402.0819770516684</x:v>
      </x:c>
      <x:c r="AA209" s="48" t="n">
        <x:f>SQRT(A209^2+Inputs!$C$6^2+(B209-Y209/1000)^2)</x:f>
        <x:v>404.99690053901344</x:v>
      </x:c>
      <x:c r="AB209" s="48" t="n">
        <x:f>(AA209-Z209)*1000</x:f>
        <x:v>2914.9234873450496</x:v>
      </x:c>
      <x:c r="AC209" s="48" t="n">
        <x:f>AB209/Inputs!$C$12</x:f>
        <x:v>1637.5974648005897</x:v>
      </x:c>
      <x:c r="AD209" s="48" t="n">
        <x:f>2*AB209/Inputs!$C$21*1000000</x:f>
        <x:v>19.44627631256187</x:v>
      </x:c>
      <x:c r="AE209" s="48" t="n">
        <x:f>DEGREES(ATAN(H209/(B209-Y209/1000)))</x:f>
        <x:v>7.116251093722708</x:v>
      </x:c>
      <x:c r="AF209" s="48" t="n">
        <x:f>DEGREES((2*PI()/Inputs!$C$13)*Inputs!$C$15*SIN(RADIANS(AE209)))</x:f>
        <x:v>44.59785549333255</x:v>
      </x:c>
      <x:c r="AG209" s="48" t="n">
        <x:f>(Z209/AA209)^4</x:f>
        <x:v>0.9715197383511651</x:v>
      </x:c>
      <x:c r="AH209" s="48" t="n">
        <x:f>10*LOG10(AG209)</x:f>
        <x:v>-0.125483714204405</x:v>
      </x:c>
      <x:c r="AI209" s="48" t="n">
        <x:f>AC209-F209</x:f>
        <x:v>-114.0996338338307</x:v>
      </x:c>
      <x:c r="AJ209" s="48" t="n">
        <x:f>AD209-G209</x:f>
        <x:v>-1.3549196639511116</x:v>
      </x:c>
      <x:c r="AK209" s="48" t="n">
        <x:f>Y209-X209</x:f>
        <x:v>204.83233427154016</x:v>
      </x:c>
      <x:c r="AL209" s="48" t="n">
        <x:f>1000*(AA210-AA208)/(A210-A208)*Inputs!$C$11</x:f>
        <x:v>965.8301507472515</x:v>
      </x:c>
      <x:c r="AM209" s="48" t="n">
        <x:f>-2*AL209/Inputs!$C$13</x:f>
        <x:v>-386.3320602989006</x:v>
      </x:c>
      <x:c r="AN209" s="48" t="n">
        <x:f>-2*AL209/Inputs!$C$14</x:f>
        <x:v>-58.007816861696796</x:v>
      </x:c>
      <x:c r="AO209" s="48" t="n">
        <x:f>ABS(AM209)</x:f>
        <x:v>386.3320602989006</x:v>
      </x:c>
      <x:c r="AP209" s="48" t="n">
        <x:f>ABS(AN209)</x:f>
        <x:v>58.007816861696796</x:v>
      </x:c>
      <x:c r="AQ209" s="48" t="n">
        <x:f>IF(OR(Inputs!$C$27=TRUE,Inputs!$C$27="TRUE",Inputs!$C$27=1),Inputs!$C$46/Inputs!$C$12,0)</x:f>
        <x:v>42.13483146067416</x:v>
      </x:c>
      <x:c r="AR209" s="48" t="n">
        <x:f>AC209-AQ209</x:f>
        <x:v>1595.4626333399156</x:v>
      </x:c>
      <x:c r="AS209" s="48" t="n">
        <x:f>AC209+AQ209</x:f>
        <x:v>1679.7322962612639</x:v>
      </x:c>
    </x:row>
    <x:row r="210">
      <x:c r="A210" s="48" t="n">
        <x:f>Inputs!$C$7+208*(Inputs!$C$8-Inputs!$C$7)/240</x:f>
        <x:v>44</x:v>
      </x:c>
      <x:c r="B210" s="48" t="n">
        <x:f>Inputs!$C$5+Inputs!$C$9*(A210/Inputs!$C$10)^2</x:f>
        <x:v>402.1511111111111</x:v>
      </x:c>
      <x:c r="C210" s="48" t="n">
        <x:f>B210</x:f>
        <x:v>402.1511111111111</x:v>
      </x:c>
      <x:c r="D210" s="48" t="n">
        <x:f>SQRT(A210^2+Inputs!$C$6^2+B210^2)</x:f>
        <x:v>405.3227308798524</x:v>
      </x:c>
      <x:c r="E210" s="48" t="n">
        <x:f>(D210-C210)*1000</x:f>
        <x:v>3171.619768741266</x:v>
      </x:c>
      <x:c r="F210" s="48" t="n">
        <x:f>E210/Inputs!$C$12</x:f>
        <x:v>1781.8088588434077</x:v>
      </x:c>
      <x:c r="G210" s="48" t="n">
        <x:f>2*E210/Inputs!$C$21*1000000</x:f>
        <x:v>21.158769569455053</x:v>
      </x:c>
      <x:c r="H210" s="48" t="n">
        <x:f>SQRT(A210^2+Inputs!$C$6^2)</x:f>
        <x:v>50.60632371551998</x:v>
      </x:c>
      <x:c r="I210" s="48" t="n">
        <x:f>DEGREES(ATAN(H210/B210))</x:f>
        <x:v>7.172347267625263</x:v>
      </x:c>
      <x:c r="J210" s="48" t="n">
        <x:f>DEGREES((2*PI()/Inputs!$C$13)*Inputs!$C$15*SIN(RADIANS(I210)))</x:f>
        <x:v>44.94758164201636</x:v>
      </x:c>
      <x:c r="K210" s="48" t="n">
        <x:f>(C210/D210)^4</x:f>
        <x:v>0.9690657659323467</x:v>
      </x:c>
      <x:c r="L210" s="48" t="n">
        <x:f>10*LOG10(K210)</x:f>
        <x:v>-0.136467484267201</x:v>
      </x:c>
      <x:c r="M210" s="48" t="n">
        <x:f>2*(Inputs!$C$9/(Inputs!$C$10^2))*A210</x:f>
        <x:v>0.09777777777777778</x:v>
      </x:c>
      <x:c r="N210" s="48" t="n">
        <x:f>M210*Inputs!$C$11</x:f>
        <x:v>0.39111111111111113</x:v>
      </x:c>
      <x:c r="O210" s="48" t="n">
        <x:f>1000*((A210*Inputs!$C$11)+(B210*N210))/D210</x:f>
        <x:v>822.2725806118895</x:v>
      </x:c>
      <x:c r="P210" s="48" t="n">
        <x:f>-2*O210/Inputs!$C$13</x:f>
        <x:v>-328.9090322447558</x:v>
      </x:c>
      <x:c r="Q210" s="48" t="n">
        <x:f>-2*O210/Inputs!$C$14</x:f>
        <x:v>-49.38574057729066</x:v>
      </x:c>
      <x:c r="R210" s="48" t="n">
        <x:f>F210-Inputs!$C$16/2</x:f>
        <x:v>1766.8088588434077</x:v>
      </x:c>
      <x:c r="S210" s="48" t="n">
        <x:f>F210+Inputs!$C$16/2</x:f>
        <x:v>1796.8088588434077</x:v>
      </x:c>
      <x:c r="T210" s="48" t="n">
        <x:f>F210-Inputs!$C$17/2</x:f>
        <x:v>1631.8088588434077</x:v>
      </x:c>
      <x:c r="U210" s="48" t="n">
        <x:f>F210+Inputs!$C$17/2</x:f>
        <x:v>1931.8088588434077</x:v>
      </x:c>
      <x:c r="V210" s="48" t="n">
        <x:f>ABS(P210)</x:f>
        <x:v>328.9090322447558</x:v>
      </x:c>
      <x:c r="W210" s="48" t="n">
        <x:f>ABS(Q210)</x:f>
        <x:v>49.38574057729066</x:v>
      </x:c>
      <x:c r="X210" s="48" t="n">
        <x: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(0.45*SIN(2*PI()*(((A210)/Inputs!$C$49)+Inputs!$C$47*0.137))+0.35*COS(2*PI()*(((0)/Inputs!$C$50)+Inputs!$C$47*0.173))+0.20*SIN(2*PI()*(((A210)+(0))/(0.5*(Inputs!$C$49+Inputs!$C$50))+Inputs!$C$47*0.097)))+0.30*(2*((SIN(((A210)*12.9898+(0)*78.233+Inputs!$C$47*37.719))*43758.5453)-INT((SIN(((A210)*12.9898+(0)*78.233+Inputs!$C$47*37.719))*43758.5453)))-1)))</x:f>
        <x:v>7.051899638170276</x:v>
      </x:c>
      <x:c r="Y210" s="48" t="n">
        <x: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(0.45*SIN(2*PI()*(((A210)/Inputs!$C$49)+Inputs!$C$47*0.137))+0.35*COS(2*PI()*(((Inputs!$C$6)/Inputs!$C$50)+Inputs!$C$47*0.173))+0.20*SIN(2*PI()*(((A210)+(Inputs!$C$6))/(0.5*(Inputs!$C$49+Inputs!$C$50))+Inputs!$C$47*0.097)))+0.30*(2*((SIN(((A210)*12.9898+(Inputs!$C$6)*78.233+Inputs!$C$47*37.719))*43758.5453)-INT((SIN(((A210)*12.9898+(Inputs!$C$6)*78.233+Inputs!$C$47*37.719))*43758.5453)))-1)))</x:f>
        <x:v>208.84015984832814</x:v>
      </x:c>
      <x:c r="Z210" s="48" t="n">
        <x:f>B210-X210/1000</x:f>
        <x:v>402.14405921147295</x:v>
      </x:c>
      <x:c r="AA210" s="48" t="n">
        <x:f>SQRT(A210^2+Inputs!$C$6^2+(B210-Y210/1000)^2)</x:f>
        <x:v>405.11552571761354</x:v>
      </x:c>
      <x:c r="AB210" s="48" t="n">
        <x:f>(AA210-Z210)*1000</x:f>
        <x:v>2971.4665061405867</x:v>
      </x:c>
      <x:c r="AC210" s="48" t="n">
        <x:f>AB210/Inputs!$C$12</x:f>
        <x:v>1669.3632056969589</x:v>
      </x:c>
      <x:c r="AD210" s="48" t="n">
        <x:f>2*AB210/Inputs!$C$21*1000000</x:f>
        <x:v>19.82349073064798</x:v>
      </x:c>
      <x:c r="AE210" s="48" t="n">
        <x:f>DEGREES(ATAN(H210/(B210-Y210/1000)))</x:f>
        <x:v>7.176035018641395</x:v>
      </x:c>
      <x:c r="AF210" s="48" t="n">
        <x:f>DEGREES((2*PI()/Inputs!$C$13)*Inputs!$C$15*SIN(RADIANS(AE210)))</x:f>
        <x:v>44.97057106195993</x:v>
      </x:c>
      <x:c r="AG210" s="48" t="n">
        <x:f>(Z210/AA210)^4</x:f>
        <x:v>0.9709817773307663</x:v>
      </x:c>
      <x:c r="AH210" s="48" t="n">
        <x:f>10*LOG10(AG210)</x:f>
        <x:v>-0.127889205337617</x:v>
      </x:c>
      <x:c r="AI210" s="48" t="n">
        <x:f>AC210-F210</x:f>
        <x:v>-112.44565314644888</x:v>
      </x:c>
      <x:c r="AJ210" s="48" t="n">
        <x:f>AD210-G210</x:f>
        <x:v>-1.3352788388070742</x:v>
      </x:c>
      <x:c r="AK210" s="48" t="n">
        <x:f>Y210-X210</x:f>
        <x:v>201.78826021015786</x:v>
      </x:c>
      <x:c r="AL210" s="48" t="n">
        <x:f>1000*(AA211-AA209)/(A211-A209)*Inputs!$C$11</x:f>
        <x:v>1006.5992651811939</x:v>
      </x:c>
      <x:c r="AM210" s="48" t="n">
        <x:f>-2*AL210/Inputs!$C$13</x:f>
        <x:v>-402.63970607247757</x:v>
      </x:c>
      <x:c r="AN210" s="48" t="n">
        <x:f>-2*AL210/Inputs!$C$14</x:f>
        <x:v>-60.45641232319483</x:v>
      </x:c>
      <x:c r="AO210" s="48" t="n">
        <x:f>ABS(AM210)</x:f>
        <x:v>402.63970607247757</x:v>
      </x:c>
      <x:c r="AP210" s="48" t="n">
        <x:f>ABS(AN210)</x:f>
        <x:v>60.45641232319483</x:v>
      </x:c>
      <x:c r="AQ210" s="48" t="n">
        <x:f>IF(OR(Inputs!$C$27=TRUE,Inputs!$C$27="TRUE",Inputs!$C$27=1),Inputs!$C$46/Inputs!$C$12,0)</x:f>
        <x:v>42.13483146067416</x:v>
      </x:c>
      <x:c r="AR210" s="48" t="n">
        <x:f>AC210-AQ210</x:f>
        <x:v>1627.2283742362847</x:v>
      </x:c>
      <x:c r="AS210" s="48" t="n">
        <x:f>AC210+AQ210</x:f>
        <x:v>1711.498037157633</x:v>
      </x:c>
    </x:row>
    <x:row r="211">
      <x:c r="A211" s="48" t="n">
        <x:f>Inputs!$C$7+209*(Inputs!$C$8-Inputs!$C$7)/240</x:f>
        <x:v>44.5</x:v>
      </x:c>
      <x:c r="B211" s="48" t="n">
        <x:f>Inputs!$C$5+Inputs!$C$9*(A211/Inputs!$C$10)^2</x:f>
        <x:v>402.2002777777778</x:v>
      </x:c>
      <x:c r="C211" s="48" t="n">
        <x:f>B211</x:f>
        <x:v>402.2002777777778</x:v>
      </x:c>
      <x:c r="D211" s="48" t="n">
        <x:f>SQRT(A211^2+Inputs!$C$6^2+B211^2)</x:f>
        <x:v>405.4260887566581</x:v>
      </x:c>
      <x:c r="E211" s="48" t="n">
        <x:f>(D211-C211)*1000</x:f>
        <x:v>3225.810978880304</x:v>
      </x:c>
      <x:c r="F211" s="48" t="n">
        <x:f>E211/Inputs!$C$12</x:f>
        <x:v>1812.253358921519</x:v>
      </x:c>
      <x:c r="G211" s="48" t="n">
        <x:f>2*E211/Inputs!$C$21*1000000</x:f>
        <x:v>21.520294409009473</x:v>
      </x:c>
      <x:c r="H211" s="48" t="n">
        <x:f>SQRT(A211^2+Inputs!$C$6^2)</x:f>
        <x:v>51.041649659861115</x:v>
      </x:c>
      <x:c r="I211" s="48" t="n">
        <x:f>DEGREES(ATAN(H211/B211))</x:f>
        <x:v>7.232519645354166</x:v>
      </x:c>
      <x:c r="J211" s="48" t="n">
        <x:f>DEGREES((2*PI()/Inputs!$C$13)*Inputs!$C$15*SIN(RADIANS(I211)))</x:f>
        <x:v>45.32267258355667</x:v>
      </x:c>
      <x:c r="K211" s="48" t="n">
        <x:f>(C211/D211)^4</x:f>
        <x:v>0.9685514556263732</x:v>
      </x:c>
      <x:c r="L211" s="48" t="n">
        <x:f>10*LOG10(K211)</x:f>
        <x:v>-0.138773018411207</x:v>
      </x:c>
      <x:c r="M211" s="48" t="n">
        <x:f>2*(Inputs!$C$9/(Inputs!$C$10^2))*A211</x:f>
        <x:v>0.09888888888888889</x:v>
      </x:c>
      <x:c r="N211" s="48" t="n">
        <x:f>M211*Inputs!$C$11</x:f>
        <x:v>0.39555555555555555</x:v>
      </x:c>
      <x:c r="O211" s="48" t="n">
        <x:f>1000*((A211*Inputs!$C$11)+(B211*N211))/D211</x:f>
        <x:v>831.4525475032144</x:v>
      </x:c>
      <x:c r="P211" s="48" t="n">
        <x:f>-2*O211/Inputs!$C$13</x:f>
        <x:v>-332.58101900128577</x:v>
      </x:c>
      <x:c r="Q211" s="48" t="n">
        <x:f>-2*O211/Inputs!$C$14</x:f>
        <x:v>-49.937089940133</x:v>
      </x:c>
      <x:c r="R211" s="48" t="n">
        <x:f>F211-Inputs!$C$16/2</x:f>
        <x:v>1797.253358921519</x:v>
      </x:c>
      <x:c r="S211" s="48" t="n">
        <x:f>F211+Inputs!$C$16/2</x:f>
        <x:v>1827.253358921519</x:v>
      </x:c>
      <x:c r="T211" s="48" t="n">
        <x:f>F211-Inputs!$C$17/2</x:f>
        <x:v>1662.253358921519</x:v>
      </x:c>
      <x:c r="U211" s="48" t="n">
        <x:f>F211+Inputs!$C$17/2</x:f>
        <x:v>1962.253358921519</x:v>
      </x:c>
      <x:c r="V211" s="48" t="n">
        <x:f>ABS(P211)</x:f>
        <x:v>332.58101900128577</x:v>
      </x:c>
      <x:c r="W211" s="48" t="n">
        <x:f>ABS(Q211)</x:f>
        <x:v>49.937089940133</x:v>
      </x:c>
      <x:c r="X211" s="48" t="n">
        <x: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(0.45*SIN(2*PI()*(((A211)/Inputs!$C$49)+Inputs!$C$47*0.137))+0.35*COS(2*PI()*(((0)/Inputs!$C$50)+Inputs!$C$47*0.173))+0.20*SIN(2*PI()*(((A211)+(0))/(0.5*(Inputs!$C$49+Inputs!$C$50))+Inputs!$C$47*0.097)))+0.30*(2*((SIN(((A211)*12.9898+(0)*78.233+Inputs!$C$47*37.719))*43758.5453)-INT((SIN(((A211)*12.9898+(0)*78.233+Inputs!$C$47*37.719))*43758.5453)))-1)))</x:f>
        <x:v>-3.283716108943903</x:v>
      </x:c>
      <x:c r="Y211" s="48" t="n">
        <x: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(0.45*SIN(2*PI()*(((A211)/Inputs!$C$49)+Inputs!$C$47*0.137))+0.35*COS(2*PI()*(((Inputs!$C$6)/Inputs!$C$50)+Inputs!$C$47*0.173))+0.20*SIN(2*PI()*(((A211)+(Inputs!$C$6))/(0.5*(Inputs!$C$49+Inputs!$C$50))+Inputs!$C$47*0.097)))+0.30*(2*((SIN(((A211)*12.9898+(Inputs!$C$6)*78.233+Inputs!$C$47*37.719))*43758.5453)-INT((SIN(((A211)*12.9898+(Inputs!$C$6)*78.233+Inputs!$C$47*37.719))*43758.5453)))-1)))</x:f>
        <x:v>178.96296340227542</x:v>
      </x:c>
      <x:c r="Z211" s="48" t="n">
        <x:f>B211-X211/1000</x:f>
        <x:v>402.20356149388675</x:v>
      </x:c>
      <x:c r="AA211" s="48" t="n">
        <x:f>SQRT(A211^2+Inputs!$C$6^2+(B211-Y211/1000)^2)</x:f>
        <x:v>405.24855035530874</x:v>
      </x:c>
      <x:c r="AB211" s="48" t="n">
        <x:f>(AA211-Z211)*1000</x:f>
        <x:v>3044.9888614219844</x:v>
      </x:c>
      <x:c r="AC211" s="48" t="n">
        <x:f>AB211/Inputs!$C$12</x:f>
        <x:v>1710.667899675272</x:v>
      </x:c>
      <x:c r="AD211" s="48" t="n">
        <x:f>2*AB211/Inputs!$C$21*1000000</x:f>
        <x:v>20.313979088973507</x:v>
      </x:c>
      <x:c r="AE211" s="48" t="n">
        <x:f>DEGREES(ATAN(H211/(B211-Y211/1000)))</x:f>
        <x:v>7.235705143347186</x:v>
      </x:c>
      <x:c r="AF211" s="48" t="n">
        <x:f>DEGREES((2*PI()/Inputs!$C$13)*Inputs!$C$15*SIN(RADIANS(AE211)))</x:f>
        <x:v>45.342528335855626</x:v>
      </x:c>
      <x:c r="AG211" s="48" t="n">
        <x:f>(Z211/AA211)^4</x:f>
        <x:v>0.9702815377776622</x:v>
      </x:c>
      <x:c r="AH211" s="48" t="n">
        <x:f>10*LOG10(AG211)</x:f>
        <x:v>-0.131022321641278</x:v>
      </x:c>
      <x:c r="AI211" s="48" t="n">
        <x:f>AC211-F211</x:f>
        <x:v>-101.58545924624696</x:v>
      </x:c>
      <x:c r="AJ211" s="48" t="n">
        <x:f>AD211-G211</x:f>
        <x:v>-1.2063153200359658</x:v>
      </x:c>
      <x:c r="AK211" s="48" t="n">
        <x:f>Y211-X211</x:f>
        <x:v>182.24667951121933</x:v>
      </x:c>
      <x:c r="AL211" s="48" t="n">
        <x:f>1000*(AA212-AA210)/(A212-A210)*Inputs!$C$11</x:f>
        <x:v>1004.5592892333843</x:v>
      </x:c>
      <x:c r="AM211" s="48" t="n">
        <x:f>-2*AL211/Inputs!$C$13</x:f>
        <x:v>-401.82371569335373</x:v>
      </x:c>
      <x:c r="AN211" s="48" t="n">
        <x:f>-2*AL211/Inputs!$C$14</x:f>
        <x:v>-60.33389124524831</x:v>
      </x:c>
      <x:c r="AO211" s="48" t="n">
        <x:f>ABS(AM211)</x:f>
        <x:v>401.82371569335373</x:v>
      </x:c>
      <x:c r="AP211" s="48" t="n">
        <x:f>ABS(AN211)</x:f>
        <x:v>60.33389124524831</x:v>
      </x:c>
      <x:c r="AQ211" s="48" t="n">
        <x:f>IF(OR(Inputs!$C$27=TRUE,Inputs!$C$27="TRUE",Inputs!$C$27=1),Inputs!$C$46/Inputs!$C$12,0)</x:f>
        <x:v>42.13483146067416</x:v>
      </x:c>
      <x:c r="AR211" s="48" t="n">
        <x:f>AC211-AQ211</x:f>
        <x:v>1668.533068214598</x:v>
      </x:c>
      <x:c r="AS211" s="48" t="n">
        <x:f>AC211+AQ211</x:f>
        <x:v>1752.8027311359463</x:v>
      </x:c>
    </x:row>
    <x:row r="212">
      <x:c r="A212" s="48" t="n">
        <x:f>Inputs!$C$7+210*(Inputs!$C$8-Inputs!$C$7)/240</x:f>
        <x:v>45</x:v>
      </x:c>
      <x:c r="B212" s="48" t="n">
        <x:f>Inputs!$C$5+Inputs!$C$9*(A212/Inputs!$C$10)^2</x:f>
        <x:v>402.25</x:v>
      </x:c>
      <x:c r="C212" s="48" t="n">
        <x:f>B212</x:f>
        <x:v>402.25</x:v>
      </x:c>
      <x:c r="D212" s="48" t="n">
        <x:f>SQRT(A212^2+Inputs!$C$6^2+B212^2)</x:f>
        <x:v>405.5305937904069</x:v>
      </x:c>
      <x:c r="E212" s="48" t="n">
        <x:f>(D212-C212)*1000</x:f>
        <x:v>3280.593790406897</x:v>
      </x:c>
      <x:c r="F212" s="48" t="n">
        <x:f>E212/Inputs!$C$12</x:f>
        <x:v>1843.0302193297173</x:v>
      </x:c>
      <x:c r="G212" s="48" t="n">
        <x:f>2*E212/Inputs!$C$21*1000000</x:f>
        <x:v>21.885765988195054</x:v>
      </x:c>
      <x:c r="H212" s="48" t="n">
        <x:f>SQRT(A212^2+Inputs!$C$6^2)</x:f>
        <x:v>51.478150704935004</x:v>
      </x:c>
      <x:c r="I212" s="48" t="n">
        <x:f>DEGREES(ATAN(H212/B212))</x:f>
        <x:v>7.292816002949435</x:v>
      </x:c>
      <x:c r="J212" s="48" t="n">
        <x:f>DEGREES((2*PI()/Inputs!$C$13)*Inputs!$C$15*SIN(RADIANS(I212)))</x:f>
        <x:v>45.69848622408668</x:v>
      </x:c>
      <x:c r="K212" s="48" t="n">
        <x:f>(C212/D212)^4</x:f>
        <x:v>0.9680320065226272</x:v>
      </x:c>
      <x:c r="L212" s="48" t="n">
        <x:f>10*LOG10(K212)</x:f>
        <x:v>-0.141102831602387</x:v>
      </x:c>
      <x:c r="M212" s="48" t="n">
        <x:f>2*(Inputs!$C$9/(Inputs!$C$10^2))*A212</x:f>
        <x:v>0.1</x:v>
      </x:c>
      <x:c r="N212" s="48" t="n">
        <x:f>M212*Inputs!$C$11</x:f>
        <x:v>0.4</x:v>
      </x:c>
      <x:c r="O212" s="48" t="n">
        <x:f>1000*((A212*Inputs!$C$11)+(B212*N212))/D212</x:f>
        <x:v>840.6270826910525</x:v>
      </x:c>
      <x:c r="P212" s="48" t="n">
        <x:f>-2*O212/Inputs!$C$13</x:f>
        <x:v>-336.250833076421</x:v>
      </x:c>
      <x:c r="Q212" s="48" t="n">
        <x:f>-2*O212/Inputs!$C$14</x:f>
        <x:v>-50.48811307453769</x:v>
      </x:c>
      <x:c r="R212" s="48" t="n">
        <x:f>F212-Inputs!$C$16/2</x:f>
        <x:v>1828.0302193297173</x:v>
      </x:c>
      <x:c r="S212" s="48" t="n">
        <x:f>F212+Inputs!$C$16/2</x:f>
        <x:v>1858.0302193297173</x:v>
      </x:c>
      <x:c r="T212" s="48" t="n">
        <x:f>F212-Inputs!$C$17/2</x:f>
        <x:v>1693.0302193297173</x:v>
      </x:c>
      <x:c r="U212" s="48" t="n">
        <x:f>F212+Inputs!$C$17/2</x:f>
        <x:v>1993.0302193297173</x:v>
      </x:c>
      <x:c r="V212" s="48" t="n">
        <x:f>ABS(P212)</x:f>
        <x:v>336.250833076421</x:v>
      </x:c>
      <x:c r="W212" s="48" t="n">
        <x:f>ABS(Q212)</x:f>
        <x:v>50.48811307453769</x:v>
      </x:c>
      <x:c r="X212" s="48" t="n">
        <x: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(0.45*SIN(2*PI()*(((A212)/Inputs!$C$49)+Inputs!$C$47*0.137))+0.35*COS(2*PI()*(((0)/Inputs!$C$50)+Inputs!$C$47*0.173))+0.20*SIN(2*PI()*(((A212)+(0))/(0.5*(Inputs!$C$49+Inputs!$C$50))+Inputs!$C$47*0.097)))+0.30*(2*((SIN(((A212)*12.9898+(0)*78.233+Inputs!$C$47*37.719))*43758.5453)-INT((SIN(((A212)*12.9898+(0)*78.233+Inputs!$C$47*37.719))*43758.5453)))-1)))</x:f>
        <x:v>-4.746207968267804</x:v>
      </x:c>
      <x:c r="Y212" s="48" t="n">
        <x: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(0.45*SIN(2*PI()*(((A212)/Inputs!$C$49)+Inputs!$C$47*0.137))+0.35*COS(2*PI()*(((Inputs!$C$6)/Inputs!$C$50)+Inputs!$C$47*0.173))+0.20*SIN(2*PI()*(((A212)+(Inputs!$C$6))/(0.5*(Inputs!$C$49+Inputs!$C$50))+Inputs!$C$47*0.097)))+0.30*(2*((SIN(((A212)*12.9898+(Inputs!$C$6)*78.233+Inputs!$C$47*37.719))*43758.5453)-INT((SIN(((A212)*12.9898+(Inputs!$C$6)*78.233+Inputs!$C$47*37.719))*43758.5453)))-1)))</x:f>
        <x:v>165.26573251393552</x:v>
      </x:c>
      <x:c r="Z212" s="48" t="n">
        <x:f>B212-X212/1000</x:f>
        <x:v>402.25474620796825</x:v>
      </x:c>
      <x:c r="AA212" s="48" t="n">
        <x:f>SQRT(A212^2+Inputs!$C$6^2+(B212-Y212/1000)^2)</x:f>
        <x:v>405.3666655399219</x:v>
      </x:c>
      <x:c r="AB212" s="48" t="n">
        <x:f>(AA212-Z212)*1000</x:f>
        <x:v>3111.9193319536294</x:v>
      </x:c>
      <x:c r="AC212" s="48" t="n">
        <x:f>AB212/Inputs!$C$12</x:f>
        <x:v>1748.2692876143985</x:v>
      </x:c>
      <x:c r="AD212" s="48" t="n">
        <x:f>2*AB212/Inputs!$C$21*1000000</x:f>
        <x:v>20.760491125855</x:v>
      </x:c>
      <x:c r="AE212" s="48" t="n">
        <x:f>DEGREES(ATAN(H212/(B212-Y212/1000)))</x:f>
        <x:v>7.295781221622455</x:v>
      </x:c>
      <x:c r="AF212" s="48" t="n">
        <x:f>DEGREES((2*PI()/Inputs!$C$13)*Inputs!$C$15*SIN(RADIANS(AE212)))</x:f>
        <x:v>45.716966463172334</x:v>
      </x:c>
      <x:c r="AG212" s="48" t="n">
        <x:f>(Z212/AA212)^4</x:f>
        <x:v>0.9696445883917948</x:v>
      </x:c>
      <x:c r="AH212" s="48" t="n">
        <x:f>10*LOG10(AG212)</x:f>
        <x:v>-0.133874220069189</x:v>
      </x:c>
      <x:c r="AI212" s="48" t="n">
        <x:f>AC212-F212</x:f>
        <x:v>-94.76093171531875</x:v>
      </x:c>
      <x:c r="AJ212" s="48" t="n">
        <x:f>AD212-G212</x:f>
        <x:v>-1.1252748623400528</x:v>
      </x:c>
      <x:c r="AK212" s="48" t="n">
        <x:f>Y212-X212</x:f>
        <x:v>170.01194048220333</x:v>
      </x:c>
      <x:c r="AL212" s="48" t="n">
        <x:f>1000*(AA213-AA211)/(A213-A211)*Inputs!$C$11</x:f>
        <x:v>881.206829759094</x:v>
      </x:c>
      <x:c r="AM212" s="48" t="n">
        <x:f>-2*AL212/Inputs!$C$13</x:f>
        <x:v>-352.4827319036376</x:v>
      </x:c>
      <x:c r="AN212" s="48" t="n">
        <x:f>-2*AL212/Inputs!$C$14</x:f>
        <x:v>-52.92533512066631</x:v>
      </x:c>
      <x:c r="AO212" s="48" t="n">
        <x:f>ABS(AM212)</x:f>
        <x:v>352.4827319036376</x:v>
      </x:c>
      <x:c r="AP212" s="48" t="n">
        <x:f>ABS(AN212)</x:f>
        <x:v>52.92533512066631</x:v>
      </x:c>
      <x:c r="AQ212" s="48" t="n">
        <x:f>IF(OR(Inputs!$C$27=TRUE,Inputs!$C$27="TRUE",Inputs!$C$27=1),Inputs!$C$46/Inputs!$C$12,0)</x:f>
        <x:v>42.13483146067416</x:v>
      </x:c>
      <x:c r="AR212" s="48" t="n">
        <x:f>AC212-AQ212</x:f>
        <x:v>1706.1344561537244</x:v>
      </x:c>
      <x:c r="AS212" s="48" t="n">
        <x:f>AC212+AQ212</x:f>
        <x:v>1790.4041190750727</x:v>
      </x:c>
    </x:row>
    <x:row r="213">
      <x:c r="A213" s="48" t="n">
        <x:f>Inputs!$C$7+211*(Inputs!$C$8-Inputs!$C$7)/240</x:f>
        <x:v>45.5</x:v>
      </x:c>
      <x:c r="B213" s="48" t="n">
        <x:f>Inputs!$C$5+Inputs!$C$9*(A213/Inputs!$C$10)^2</x:f>
        <x:v>402.30027777777775</x:v>
      </x:c>
      <x:c r="C213" s="48" t="n">
        <x:f>B213</x:f>
        <x:v>402.30027777777775</x:v>
      </x:c>
      <x:c r="D213" s="48" t="n">
        <x:f>SQRT(A213^2+Inputs!$C$6^2+B213^2)</x:f>
        <x:v>405.63624529876165</x:v>
      </x:c>
      <x:c r="E213" s="48" t="n">
        <x:f>(D213-C213)*1000</x:f>
        <x:v>3335.9675209838997</x:v>
      </x:c>
      <x:c r="F213" s="48" t="n">
        <x:f>E213/Inputs!$C$12</x:f>
        <x:v>1874.139056732528</x:v>
      </x:c>
      <x:c r="G213" s="48" t="n">
        <x:f>2*E213/Inputs!$C$21*1000000</x:f>
        <x:v>22.255179754948337</x:v>
      </x:c>
      <x:c r="H213" s="48" t="n">
        <x:f>SQRT(A213^2+Inputs!$C$6^2)</x:f>
        <x:v>51.915797210483056</x:v>
      </x:c>
      <x:c r="I213" s="48" t="n">
        <x:f>DEGREES(ATAN(H213/B213))</x:f>
        <x:v>7.353231646851434</x:v>
      </x:c>
      <x:c r="J213" s="48" t="n">
        <x:f>DEGREES((2*PI()/Inputs!$C$13)*Inputs!$C$15*SIN(RADIANS(I213)))</x:f>
        <x:v>46.07499258851599</x:v>
      </x:c>
      <x:c r="K213" s="48" t="n">
        <x:f>(C213/D213)^4</x:f>
        <x:v>0.9675074400588148</x:v>
      </x:c>
      <x:c r="L213" s="48" t="n">
        <x:f>10*LOG10(K213)</x:f>
        <x:v>-0.143456866045915</x:v>
      </x:c>
      <x:c r="M213" s="48" t="n">
        <x:f>2*(Inputs!$C$9/(Inputs!$C$10^2))*A213</x:f>
        <x:v>0.10111111111111111</x:v>
      </x:c>
      <x:c r="N213" s="48" t="n">
        <x:f>M213*Inputs!$C$11</x:f>
        <x:v>0.40444444444444444</x:v>
      </x:c>
      <x:c r="O213" s="48" t="n">
        <x:f>1000*((A213*Inputs!$C$11)+(B213*N213))/D213</x:f>
        <x:v>849.796132226282</x:v>
      </x:c>
      <x:c r="P213" s="48" t="n">
        <x:f>-2*O213/Inputs!$C$13</x:f>
        <x:v>-339.9184528905128</x:v>
      </x:c>
      <x:c r="Q213" s="48" t="n">
        <x:f>-2*O213/Inputs!$C$14</x:f>
        <x:v>-51.03880674031724</x:v>
      </x:c>
      <x:c r="R213" s="48" t="n">
        <x:f>F213-Inputs!$C$16/2</x:f>
        <x:v>1859.139056732528</x:v>
      </x:c>
      <x:c r="S213" s="48" t="n">
        <x:f>F213+Inputs!$C$16/2</x:f>
        <x:v>1889.139056732528</x:v>
      </x:c>
      <x:c r="T213" s="48" t="n">
        <x:f>F213-Inputs!$C$17/2</x:f>
        <x:v>1724.139056732528</x:v>
      </x:c>
      <x:c r="U213" s="48" t="n">
        <x:f>F213+Inputs!$C$17/2</x:f>
        <x:v>2024.139056732528</x:v>
      </x:c>
      <x:c r="V213" s="48" t="n">
        <x:f>ABS(P213)</x:f>
        <x:v>339.9184528905128</x:v>
      </x:c>
      <x:c r="W213" s="48" t="n">
        <x:f>ABS(Q213)</x:f>
        <x:v>51.03880674031724</x:v>
      </x:c>
      <x:c r="X213" s="48" t="n">
        <x: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(0.45*SIN(2*PI()*(((A213)/Inputs!$C$49)+Inputs!$C$47*0.137))+0.35*COS(2*PI()*(((0)/Inputs!$C$50)+Inputs!$C$47*0.173))+0.20*SIN(2*PI()*(((A213)+(0))/(0.5*(Inputs!$C$49+Inputs!$C$50))+Inputs!$C$47*0.097)))+0.30*(2*((SIN(((A213)*12.9898+(0)*78.233+Inputs!$C$47*37.719))*43758.5453)-INT((SIN(((A213)*12.9898+(0)*78.233+Inputs!$C$47*37.719))*43758.5453)))-1)))</x:f>
        <x:v>-4.954776418919145</x:v>
      </x:c>
      <x:c r="Y213" s="48" t="n">
        <x: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(0.45*SIN(2*PI()*(((A213)/Inputs!$C$49)+Inputs!$C$47*0.137))+0.35*COS(2*PI()*(((Inputs!$C$6)/Inputs!$C$50)+Inputs!$C$47*0.173))+0.20*SIN(2*PI()*(((A213)+(Inputs!$C$6))/(0.5*(Inputs!$C$49+Inputs!$C$50))+Inputs!$C$47*0.097)))+0.30*(2*((SIN(((A213)*12.9898+(Inputs!$C$6)*78.233+Inputs!$C$47*37.719))*43758.5453)-INT((SIN(((A213)*12.9898+(Inputs!$C$6)*78.233+Inputs!$C$47*37.719))*43758.5453)))-1)))</x:f>
        <x:v>168.78187987738474</x:v>
      </x:c>
      <x:c r="Z213" s="48" t="n">
        <x:f>B213-X213/1000</x:f>
        <x:v>402.30523255419666</x:v>
      </x:c>
      <x:c r="AA213" s="48" t="n">
        <x:f>SQRT(A213^2+Inputs!$C$6^2+(B213-Y213/1000)^2)</x:f>
        <x:v>405.4688520627485</x:v>
      </x:c>
      <x:c r="AB213" s="48" t="n">
        <x:f>(AA213-Z213)*1000</x:f>
        <x:v>3163.6195085518466</x:v>
      </x:c>
      <x:c r="AC213" s="48" t="n">
        <x:f>AB213/Inputs!$C$12</x:f>
        <x:v>1777.3143306471047</x:v>
      </x:c>
      <x:c r="AD213" s="48" t="n">
        <x:f>2*AB213/Inputs!$C$21*1000000</x:f>
        <x:v>21.105397578426384</x:v>
      </x:c>
      <x:c r="AE213" s="48" t="n">
        <x:f>DEGREES(ATAN(H213/(B213-Y213/1000)))</x:f>
        <x:v>7.356284133183934</x:v>
      </x:c>
      <x:c r="AF213" s="48" t="n">
        <x:f>DEGREES((2*PI()/Inputs!$C$13)*Inputs!$C$15*SIN(RADIANS(AE213)))</x:f>
        <x:v>46.09401412881295</x:v>
      </x:c>
      <x:c r="AG213" s="48" t="n">
        <x:f>(Z213/AA213)^4</x:f>
        <x:v>0.9691538711665207</x:v>
      </x:c>
      <x:c r="AH213" s="48" t="n">
        <x:f>10*LOG10(AG213)</x:f>
        <x:v>-0.136072651645319</x:v>
      </x:c>
      <x:c r="AI213" s="48" t="n">
        <x:f>AC213-F213</x:f>
        <x:v>-96.82472608542321</x:v>
      </x:c>
      <x:c r="AJ213" s="48" t="n">
        <x:f>AD213-G213</x:f>
        <x:v>-1.1497821765219527</x:v>
      </x:c>
      <x:c r="AK213" s="48" t="n">
        <x:f>Y213-X213</x:f>
        <x:v>173.7366562963039</x:v>
      </x:c>
      <x:c r="AL213" s="48" t="n">
        <x:f>1000*(AA214-AA212)/(A214-A212)*Inputs!$C$11</x:f>
        <x:v>921.5384282831565</x:v>
      </x:c>
      <x:c r="AM213" s="48" t="n">
        <x:f>-2*AL213/Inputs!$C$13</x:f>
        <x:v>-368.6153713132626</x:v>
      </x:c>
      <x:c r="AN213" s="48" t="n">
        <x:f>-2*AL213/Inputs!$C$14</x:f>
        <x:v>-55.34765335033973</x:v>
      </x:c>
      <x:c r="AO213" s="48" t="n">
        <x:f>ABS(AM213)</x:f>
        <x:v>368.6153713132626</x:v>
      </x:c>
      <x:c r="AP213" s="48" t="n">
        <x:f>ABS(AN213)</x:f>
        <x:v>55.34765335033973</x:v>
      </x:c>
      <x:c r="AQ213" s="48" t="n">
        <x:f>IF(OR(Inputs!$C$27=TRUE,Inputs!$C$27="TRUE",Inputs!$C$27=1),Inputs!$C$46/Inputs!$C$12,0)</x:f>
        <x:v>42.13483146067416</x:v>
      </x:c>
      <x:c r="AR213" s="48" t="n">
        <x:f>AC213-AQ213</x:f>
        <x:v>1735.1794991864306</x:v>
      </x:c>
      <x:c r="AS213" s="48" t="n">
        <x:f>AC213+AQ213</x:f>
        <x:v>1819.4491621077789</x:v>
      </x:c>
    </x:row>
    <x:row r="214">
      <x:c r="A214" s="48" t="n">
        <x:f>Inputs!$C$7+212*(Inputs!$C$8-Inputs!$C$7)/240</x:f>
        <x:v>46</x:v>
      </x:c>
      <x:c r="B214" s="48" t="n">
        <x:f>Inputs!$C$5+Inputs!$C$9*(A214/Inputs!$C$10)^2</x:f>
        <x:v>402.3511111111111</x:v>
      </x:c>
      <x:c r="C214" s="48" t="n">
        <x:f>B214</x:f>
        <x:v>402.3511111111111</x:v>
      </x:c>
      <x:c r="D214" s="48" t="n">
        <x:f>SQRT(A214^2+Inputs!$C$6^2+B214^2)</x:f>
        <x:v>405.74304259265574</x:v>
      </x:c>
      <x:c r="E214" s="48" t="n">
        <x:f>(D214-C214)*1000</x:f>
        <x:v>3391.9314815446455</x:v>
      </x:c>
      <x:c r="F214" s="48" t="n">
        <x:f>E214/Inputs!$C$12</x:f>
        <x:v>1905.5794840138458</x:v>
      </x:c>
      <x:c r="G214" s="48" t="n">
        <x:f>2*E214/Inputs!$C$21*1000000</x:f>
        <x:v>22.62853111231134</x:v>
      </x:c>
      <x:c r="H214" s="48" t="n">
        <x:f>SQRT(A214^2+Inputs!$C$6^2)</x:f>
        <x:v>52.354560450833695</x:v>
      </x:c>
      <x:c r="I214" s="48" t="n">
        <x:f>DEGREES(ATAN(H214/B214))</x:f>
        <x:v>7.413762015717533</x:v>
      </x:c>
      <x:c r="J214" s="48" t="n">
        <x:f>DEGREES((2*PI()/Inputs!$C$13)*Inputs!$C$15*SIN(RADIANS(I214)))</x:f>
        <x:v>46.45216253583958</x:v>
      </x:c>
      <x:c r="K214" s="48" t="n">
        <x:f>(C214/D214)^4</x:f>
        <x:v>0.9669777778461417</x:v>
      </x:c>
      <x:c r="L214" s="48" t="n">
        <x:f>10*LOG10(K214)</x:f>
        <x:v>-0.145835063406698</x:v>
      </x:c>
      <x:c r="M214" s="48" t="n">
        <x:f>2*(Inputs!$C$9/(Inputs!$C$10^2))*A214</x:f>
        <x:v>0.10222222222222223</x:v>
      </x:c>
      <x:c r="N214" s="48" t="n">
        <x:f>M214*Inputs!$C$11</x:f>
        <x:v>0.4088888888888889</x:v>
      </x:c>
      <x:c r="O214" s="48" t="n">
        <x:f>1000*((A214*Inputs!$C$11)+(B214*N214))/D214</x:f>
        <x:v>858.9596423846123</x:v>
      </x:c>
      <x:c r="P214" s="48" t="n">
        <x:f>-2*O214/Inputs!$C$13</x:f>
        <x:v>-343.58385695384493</x:v>
      </x:c>
      <x:c r="Q214" s="48" t="n">
        <x:f>-2*O214/Inputs!$C$14</x:f>
        <x:v>-51.58916771078753</x:v>
      </x:c>
      <x:c r="R214" s="48" t="n">
        <x:f>F214-Inputs!$C$16/2</x:f>
        <x:v>1890.5794840138458</x:v>
      </x:c>
      <x:c r="S214" s="48" t="n">
        <x:f>F214+Inputs!$C$16/2</x:f>
        <x:v>1920.5794840138458</x:v>
      </x:c>
      <x:c r="T214" s="48" t="n">
        <x:f>F214-Inputs!$C$17/2</x:f>
        <x:v>1755.5794840138458</x:v>
      </x:c>
      <x:c r="U214" s="48" t="n">
        <x:f>F214+Inputs!$C$17/2</x:f>
        <x:v>2055.579484013846</x:v>
      </x:c>
      <x:c r="V214" s="48" t="n">
        <x:f>ABS(P214)</x:f>
        <x:v>343.58385695384493</x:v>
      </x:c>
      <x:c r="W214" s="48" t="n">
        <x:f>ABS(Q214)</x:f>
        <x:v>51.58916771078753</x:v>
      </x:c>
      <x:c r="X214" s="48" t="n">
        <x: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(0.45*SIN(2*PI()*(((A214)/Inputs!$C$49)+Inputs!$C$47*0.137))+0.35*COS(2*PI()*(((0)/Inputs!$C$50)+Inputs!$C$47*0.173))+0.20*SIN(2*PI()*(((A214)+(0))/(0.5*(Inputs!$C$49+Inputs!$C$50))+Inputs!$C$47*0.097)))+0.30*(2*((SIN(((A214)*12.9898+(0)*78.233+Inputs!$C$47*37.719))*43758.5453)-INT((SIN(((A214)*12.9898+(0)*78.233+Inputs!$C$47*37.719))*43758.5453)))-1)))</x:f>
        <x:v>-0.04819256513620118</x:v>
      </x:c>
      <x:c r="Y214" s="48" t="n">
        <x: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(0.45*SIN(2*PI()*(((A214)/Inputs!$C$49)+Inputs!$C$47*0.137))+0.35*COS(2*PI()*(((Inputs!$C$6)/Inputs!$C$50)+Inputs!$C$47*0.173))+0.20*SIN(2*PI()*(((A214)+(Inputs!$C$6))/(0.5*(Inputs!$C$49+Inputs!$C$50))+Inputs!$C$47*0.097)))+0.30*(2*((SIN(((A214)*12.9898+(Inputs!$C$6)*78.233+Inputs!$C$47*37.719))*43758.5453)-INT((SIN(((A214)*12.9898+(Inputs!$C$6)*78.233+Inputs!$C$47*37.719))*43758.5453)))-1)))</x:f>
        <x:v>147.2236511039814</x:v>
      </x:c>
      <x:c r="Z214" s="48" t="n">
        <x:f>B214-X214/1000</x:f>
        <x:v>402.35115930367624</x:v>
      </x:c>
      <x:c r="AA214" s="48" t="n">
        <x:f>SQRT(A214^2+Inputs!$C$6^2+(B214-Y214/1000)^2)</x:f>
        <x:v>405.5970501469927</x:v>
      </x:c>
      <x:c r="AB214" s="48" t="n">
        <x:f>(AA214-Z214)*1000</x:f>
        <x:v>3245.890843316431</x:v>
      </x:c>
      <x:c r="AC214" s="48" t="n">
        <x:f>AB214/Inputs!$C$12</x:f>
        <x:v>1823.5341816384444</x:v>
      </x:c>
      <x:c r="AD214" s="48" t="n">
        <x:f>2*AB214/Inputs!$C$21*1000000</x:f>
        <x:v>21.65425284525624</x:v>
      </x:c>
      <x:c r="AE214" s="48" t="n">
        <x:f>DEGREES(ATAN(H214/(B214-Y214/1000)))</x:f>
        <x:v>7.416445560609959</x:v>
      </x:c>
      <x:c r="AF214" s="48" t="n">
        <x:f>DEGREES((2*PI()/Inputs!$C$13)*Inputs!$C$15*SIN(RADIANS(AE214)))</x:f>
        <x:v>46.468882738347205</x:v>
      </x:c>
      <x:c r="AG214" s="48" t="n">
        <x:f>(Z214/AA214)^4</x:f>
        <x:v>0.968371227177621</x:v>
      </x:c>
      <x:c r="AH214" s="48" t="n">
        <x:f>10*LOG10(AG214)</x:f>
        <x:v>-0.13958123054787</x:v>
      </x:c>
      <x:c r="AI214" s="48" t="n">
        <x:f>AC214-F214</x:f>
        <x:v>-82.04530237540143</x:v>
      </x:c>
      <x:c r="AJ214" s="48" t="n">
        <x:f>AD214-G214</x:f>
        <x:v>-0.974278267055098</x:v>
      </x:c>
      <x:c r="AK214" s="48" t="n">
        <x:f>Y214-X214</x:f>
        <x:v>147.2718436691176</x:v>
      </x:c>
      <x:c r="AL214" s="48" t="n">
        <x:f>1000*(AA215-AA213)/(A215-A213)*Inputs!$C$11</x:f>
        <x:v>1031.734011741264</x:v>
      </x:c>
      <x:c r="AM214" s="48" t="n">
        <x:f>-2*AL214/Inputs!$C$13</x:f>
        <x:v>-412.69360469650564</x:v>
      </x:c>
      <x:c r="AN214" s="48" t="n">
        <x:f>-2*AL214/Inputs!$C$14</x:f>
        <x:v>-61.96600671118704</x:v>
      </x:c>
      <x:c r="AO214" s="48" t="n">
        <x:f>ABS(AM214)</x:f>
        <x:v>412.69360469650564</x:v>
      </x:c>
      <x:c r="AP214" s="48" t="n">
        <x:f>ABS(AN214)</x:f>
        <x:v>61.96600671118704</x:v>
      </x:c>
      <x:c r="AQ214" s="48" t="n">
        <x:f>IF(OR(Inputs!$C$27=TRUE,Inputs!$C$27="TRUE",Inputs!$C$27=1),Inputs!$C$46/Inputs!$C$12,0)</x:f>
        <x:v>42.13483146067416</x:v>
      </x:c>
      <x:c r="AR214" s="48" t="n">
        <x:f>AC214-AQ214</x:f>
        <x:v>1781.3993501777702</x:v>
      </x:c>
      <x:c r="AS214" s="48" t="n">
        <x:f>AC214+AQ214</x:f>
        <x:v>1865.6690130991185</x:v>
      </x:c>
    </x:row>
    <x:row r="215">
      <x:c r="A215" s="48" t="n">
        <x:f>Inputs!$C$7+213*(Inputs!$C$8-Inputs!$C$7)/240</x:f>
        <x:v>46.5</x:v>
      </x:c>
      <x:c r="B215" s="48" t="n">
        <x:f>Inputs!$C$5+Inputs!$C$9*(A215/Inputs!$C$10)^2</x:f>
        <x:v>402.4025</x:v>
      </x:c>
      <x:c r="C215" s="48" t="n">
        <x:f>B215</x:f>
        <x:v>402.4025</x:v>
      </x:c>
      <x:c r="D215" s="48" t="n">
        <x:f>SQRT(A215^2+Inputs!$C$6^2+B215^2)</x:f>
        <x:v>405.85098497632106</x:v>
      </x:c>
      <x:c r="E215" s="48" t="n">
        <x:f>(D215-C215)*1000</x:f>
        <x:v>3448.484976321083</x:v>
      </x:c>
      <x:c r="F215" s="48" t="n">
        <x:f>E215/Inputs!$C$12</x:f>
        <x:v>1937.3511102927434</x:v>
      </x:c>
      <x:c r="G215" s="48" t="n">
        <x:f>2*E215/Inputs!$C$21*1000000</x:f>
        <x:v>23.005815418619257</x:v>
      </x:c>
      <x:c r="H215" s="48" t="n">
        <x:f>SQRT(A215^2+Inputs!$C$6^2)</x:f>
        <x:v>52.79441258315126</x:v>
      </x:c>
      <x:c r="I215" s="48" t="n">
        <x:f>DEGREES(ATAN(H215/B215))</x:f>
        <x:v>7.4744026758958535</x:v>
      </x:c>
      <x:c r="J215" s="48" t="n">
        <x:f>DEGREES((2*PI()/Inputs!$C$13)*Inputs!$C$15*SIN(RADIANS(I215)))</x:f>
        <x:v>46.82996773075058</x:v>
      </x:c>
      <x:c r="K215" s="48" t="n">
        <x:f>(C215/D215)^4</x:f>
        <x:v>0.9664430416673366</x:v>
      </x:c>
      <x:c r="L215" s="48" t="n">
        <x:f>10*LOG10(K215)</x:f>
        <x:v>-0.148237364812649</x:v>
      </x:c>
      <x:c r="M215" s="48" t="n">
        <x:f>2*(Inputs!$C$9/(Inputs!$C$10^2))*A215</x:f>
        <x:v>0.10333333333333333</x:v>
      </x:c>
      <x:c r="N215" s="48" t="n">
        <x:f>M215*Inputs!$C$11</x:f>
        <x:v>0.41333333333333333</x:v>
      </x:c>
      <x:c r="O215" s="48" t="n">
        <x:f>1000*((A215*Inputs!$C$11)+(B215*N215))/D215</x:f>
        <x:v>868.1175596684158</x:v>
      </x:c>
      <x:c r="P215" s="48" t="n">
        <x:f>-2*O215/Inputs!$C$13</x:f>
        <x:v>-347.2470238673663</x:v>
      </x:c>
      <x:c r="Q215" s="48" t="n">
        <x:f>-2*O215/Inputs!$C$14</x:f>
        <x:v>-52.13919277287783</x:v>
      </x:c>
      <x:c r="R215" s="48" t="n">
        <x:f>F215-Inputs!$C$16/2</x:f>
        <x:v>1922.3511102927434</x:v>
      </x:c>
      <x:c r="S215" s="48" t="n">
        <x:f>F215+Inputs!$C$16/2</x:f>
        <x:v>1952.3511102927434</x:v>
      </x:c>
      <x:c r="T215" s="48" t="n">
        <x:f>F215-Inputs!$C$17/2</x:f>
        <x:v>1787.3511102927434</x:v>
      </x:c>
      <x:c r="U215" s="48" t="n">
        <x:f>F215+Inputs!$C$17/2</x:f>
        <x:v>2087.351110292743</x:v>
      </x:c>
      <x:c r="V215" s="48" t="n">
        <x:f>ABS(P215)</x:f>
        <x:v>347.2470238673663</x:v>
      </x:c>
      <x:c r="W215" s="48" t="n">
        <x:f>ABS(Q215)</x:f>
        <x:v>52.13919277287783</x:v>
      </x:c>
      <x:c r="X215" s="48" t="n">
        <x: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(0.45*SIN(2*PI()*(((A215)/Inputs!$C$49)+Inputs!$C$47*0.137))+0.35*COS(2*PI()*(((0)/Inputs!$C$50)+Inputs!$C$47*0.173))+0.20*SIN(2*PI()*(((A215)+(0))/(0.5*(Inputs!$C$49+Inputs!$C$50))+Inputs!$C$47*0.097)))+0.30*(2*((SIN(((A215)*12.9898+(0)*78.233+Inputs!$C$47*37.719))*43758.5453)-INT((SIN(((A215)*12.9898+(0)*78.233+Inputs!$C$47*37.719))*43758.5453)))-1)))</x:f>
        <x:v>-12.32376640540756</x:v>
      </x:c>
      <x:c r="Y215" s="48" t="n">
        <x: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(0.45*SIN(2*PI()*(((A215)/Inputs!$C$49)+Inputs!$C$47*0.137))+0.35*COS(2*PI()*(((Inputs!$C$6)/Inputs!$C$50)+Inputs!$C$47*0.173))+0.20*SIN(2*PI()*(((A215)+(Inputs!$C$6))/(0.5*(Inputs!$C$49+Inputs!$C$50))+Inputs!$C$47*0.097)))+0.30*(2*((SIN(((A215)*12.9898+(Inputs!$C$6)*78.233+Inputs!$C$47*37.719))*43758.5453)-INT((SIN(((A215)*12.9898+(Inputs!$C$6)*78.233+Inputs!$C$47*37.719))*43758.5453)))-1)))</x:f>
        <x:v>125.26409736726505</x:v>
      </x:c>
      <x:c r="Z215" s="48" t="n">
        <x:f>B215-X215/1000</x:f>
        <x:v>402.4148237664054</x:v>
      </x:c>
      <x:c r="AA215" s="48" t="n">
        <x:f>SQRT(A215^2+Inputs!$C$6^2+(B215-Y215/1000)^2)</x:f>
        <x:v>405.7267855656838</x:v>
      </x:c>
      <x:c r="AB215" s="48" t="n">
        <x:f>(AA215-Z215)*1000</x:f>
        <x:v>3311.9617992784356</x:v>
      </x:c>
      <x:c r="AC215" s="48" t="n">
        <x:f>AB215/Inputs!$C$12</x:f>
        <x:v>1860.6526962238402</x:v>
      </x:c>
      <x:c r="AD215" s="48" t="n">
        <x:f>2*AB215/Inputs!$C$21*1000000</x:f>
        <x:v>22.095030818143098</x:v>
      </x:c>
      <x:c r="AE215" s="48" t="n">
        <x:f>DEGREES(ATAN(H215/(B215-Y215/1000)))</x:f>
        <x:v>7.47670378347765</x:v>
      </x:c>
      <x:c r="AF215" s="48" t="n">
        <x:f>DEGREES((2*PI()/Inputs!$C$13)*Inputs!$C$15*SIN(RADIANS(AE215)))</x:f>
        <x:v>46.84430312737521</x:v>
      </x:c>
      <x:c r="AG215" s="48" t="n">
        <x:f>(Z215/AA215)^4</x:f>
        <x:v>0.9677455009623412</x:v>
      </x:c>
      <x:c r="AH215" s="48" t="n">
        <x:f>10*LOG10(AG215)</x:f>
        <x:v>-0.142388390343454</x:v>
      </x:c>
      <x:c r="AI215" s="48" t="n">
        <x:f>AC215-F215</x:f>
        <x:v>-76.69841406890328</x:v>
      </x:c>
      <x:c r="AJ215" s="48" t="n">
        <x:f>AD215-G215</x:f>
        <x:v>-0.9107846004761591</x:v>
      </x:c>
      <x:c r="AK215" s="48" t="n">
        <x:f>Y215-X215</x:f>
        <x:v>137.58786377267262</x:v>
      </x:c>
      <x:c r="AL215" s="48" t="n">
        <x:f>1000*(AA216-AA214)/(A216-A214)*Inputs!$C$11</x:f>
        <x:v>979.9012592957297</x:v>
      </x:c>
      <x:c r="AM215" s="48" t="n">
        <x:f>-2*AL215/Inputs!$C$13</x:f>
        <x:v>-391.9605037182919</x:v>
      </x:c>
      <x:c r="AN215" s="48" t="n">
        <x:f>-2*AL215/Inputs!$C$14</x:f>
        <x:v>-58.85292848623001</x:v>
      </x:c>
      <x:c r="AO215" s="48" t="n">
        <x:f>ABS(AM215)</x:f>
        <x:v>391.9605037182919</x:v>
      </x:c>
      <x:c r="AP215" s="48" t="n">
        <x:f>ABS(AN215)</x:f>
        <x:v>58.85292848623001</x:v>
      </x:c>
      <x:c r="AQ215" s="48" t="n">
        <x:f>IF(OR(Inputs!$C$27=TRUE,Inputs!$C$27="TRUE",Inputs!$C$27=1),Inputs!$C$46/Inputs!$C$12,0)</x:f>
        <x:v>42.13483146067416</x:v>
      </x:c>
      <x:c r="AR215" s="48" t="n">
        <x:f>AC215-AQ215</x:f>
        <x:v>1818.517864763166</x:v>
      </x:c>
      <x:c r="AS215" s="48" t="n">
        <x:f>AC215+AQ215</x:f>
        <x:v>1902.7875276845143</x:v>
      </x:c>
    </x:row>
    <x:row r="216">
      <x:c r="A216" s="48" t="n">
        <x:f>Inputs!$C$7+214*(Inputs!$C$8-Inputs!$C$7)/240</x:f>
        <x:v>47</x:v>
      </x:c>
      <x:c r="B216" s="48" t="n">
        <x:f>Inputs!$C$5+Inputs!$C$9*(A216/Inputs!$C$10)^2</x:f>
        <x:v>402.45444444444445</x:v>
      </x:c>
      <x:c r="C216" s="48" t="n">
        <x:f>B216</x:f>
        <x:v>402.45444444444445</x:v>
      </x:c>
      <x:c r="D216" s="48" t="n">
        <x:f>SQRT(A216^2+Inputs!$C$6^2+B216^2)</x:f>
        <x:v>405.9600717473166</x:v>
      </x:c>
      <x:c r="E216" s="48" t="n">
        <x:f>(D216-C216)*1000</x:f>
        <x:v>3505.627302872142</x:v>
      </x:c>
      <x:c r="F216" s="48" t="n">
        <x:f>E216/Inputs!$C$12</x:f>
        <x:v>1969.4535409394057</x:v>
      </x:c>
      <x:c r="G216" s="48" t="n">
        <x:f>2*E216/Inputs!$C$21*1000000</x:f>
        <x:v>23.387027987689684</x:v>
      </x:c>
      <x:c r="H216" s="48" t="n">
        <x:f>SQRT(A216^2+Inputs!$C$6^2)</x:f>
        <x:v>53.23532661682466</x:v>
      </x:c>
      <x:c r="I216" s="48" t="n">
        <x:f>DEGREES(ATAN(H216/B216))</x:f>
        <x:v>7.535149317061624</x:v>
      </x:c>
      <x:c r="J216" s="48" t="n">
        <x:f>DEGREES((2*PI()/Inputs!$C$13)*Inputs!$C$15*SIN(RADIANS(I216)))</x:f>
        <x:v>47.20838061627316</x:v>
      </x:c>
      <x:c r="K216" s="48" t="n">
        <x:f>(C216/D216)^4</x:f>
        <x:v>0.9659032534746591</x:v>
      </x:c>
      <x:c r="L216" s="48" t="n">
        <x:f>10*LOG10(K216)</x:f>
        <x:v>-0.150663710858007</x:v>
      </x:c>
      <x:c r="M216" s="48" t="n">
        <x:f>2*(Inputs!$C$9/(Inputs!$C$10^2))*A216</x:f>
        <x:v>0.10444444444444445</x:v>
      </x:c>
      <x:c r="N216" s="48" t="n">
        <x:f>M216*Inputs!$C$11</x:f>
        <x:v>0.4177777777777778</x:v>
      </x:c>
      <x:c r="O216" s="48" t="n">
        <x:f>1000*((A216*Inputs!$C$11)+(B216*N216))/D216</x:f>
        <x:v>877.2698308085374</x:v>
      </x:c>
      <x:c r="P216" s="48" t="n">
        <x:f>-2*O216/Inputs!$C$13</x:f>
        <x:v>-350.90793232341497</x:v>
      </x:c>
      <x:c r="Q216" s="48" t="n">
        <x:f>-2*O216/Inputs!$C$14</x:f>
        <x:v>-52.68887872723949</x:v>
      </x:c>
      <x:c r="R216" s="48" t="n">
        <x:f>F216-Inputs!$C$16/2</x:f>
        <x:v>1954.4535409394057</x:v>
      </x:c>
      <x:c r="S216" s="48" t="n">
        <x:f>F216+Inputs!$C$16/2</x:f>
        <x:v>1984.4535409394057</x:v>
      </x:c>
      <x:c r="T216" s="48" t="n">
        <x:f>F216-Inputs!$C$17/2</x:f>
        <x:v>1819.4535409394057</x:v>
      </x:c>
      <x:c r="U216" s="48" t="n">
        <x:f>F216+Inputs!$C$17/2</x:f>
        <x:v>2119.4535409394057</x:v>
      </x:c>
      <x:c r="V216" s="48" t="n">
        <x:f>ABS(P216)</x:f>
        <x:v>350.90793232341497</x:v>
      </x:c>
      <x:c r="W216" s="48" t="n">
        <x:f>ABS(Q216)</x:f>
        <x:v>52.68887872723949</x:v>
      </x:c>
      <x:c r="X216" s="48" t="n">
        <x: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(0.45*SIN(2*PI()*(((A216)/Inputs!$C$49)+Inputs!$C$47*0.137))+0.35*COS(2*PI()*(((0)/Inputs!$C$50)+Inputs!$C$47*0.173))+0.20*SIN(2*PI()*(((A216)+(0))/(0.5*(Inputs!$C$49+Inputs!$C$50))+Inputs!$C$47*0.097)))+0.30*(2*((SIN(((A216)*12.9898+(0)*78.233+Inputs!$C$47*37.719))*43758.5453)-INT((SIN(((A216)*12.9898+(0)*78.233+Inputs!$C$47*37.719))*43758.5453)))-1)))</x:f>
        <x:v>5.624733438492097</x:v>
      </x:c>
      <x:c r="Y216" s="48" t="n">
        <x: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(0.45*SIN(2*PI()*(((A216)/Inputs!$C$49)+Inputs!$C$47*0.137))+0.35*COS(2*PI()*(((Inputs!$C$6)/Inputs!$C$50)+Inputs!$C$47*0.173))+0.20*SIN(2*PI()*(((A216)+(Inputs!$C$6))/(0.5*(Inputs!$C$49+Inputs!$C$50))+Inputs!$C$47*0.097)))+0.30*(2*((SIN(((A216)*12.9898+(Inputs!$C$6)*78.233+Inputs!$C$47*37.719))*43758.5453)-INT((SIN(((A216)*12.9898+(Inputs!$C$6)*78.233+Inputs!$C$47*37.719))*43758.5453)))-1)))</x:f>
        <x:v>119.07484471636309</x:v>
      </x:c>
      <x:c r="Z216" s="48" t="n">
        <x:f>B216-X216/1000</x:f>
        <x:v>402.44881971100597</x:v>
      </x:c>
      <x:c r="AA216" s="48" t="n">
        <x:f>SQRT(A216^2+Inputs!$C$6^2+(B216-Y216/1000)^2)</x:f>
        <x:v>405.8420254618166</x:v>
      </x:c>
      <x:c r="AB216" s="48" t="n">
        <x:f>(AA216-Z216)*1000</x:f>
        <x:v>3393.205750810637</x:v>
      </x:c>
      <x:c r="AC216" s="48" t="n">
        <x:f>AB216/Inputs!$C$12</x:f>
        <x:v>1906.2953656239533</x:v>
      </x:c>
      <x:c r="AD216" s="48" t="n">
        <x:f>2*AB216/Inputs!$C$21*1000000</x:f>
        <x:v>22.637032121806325</x:v>
      </x:c>
      <x:c r="AE216" s="48" t="n">
        <x:f>DEGREES(ATAN(H216/(B216-Y216/1000)))</x:f>
        <x:v>7.537353777157998</x:v>
      </x:c>
      <x:c r="AF216" s="48" t="n">
        <x:f>DEGREES((2*PI()/Inputs!$C$13)*Inputs!$C$15*SIN(RADIANS(AE216)))</x:f>
        <x:v>47.2221120034302</x:v>
      </x:c>
      <x:c r="AG216" s="48" t="n">
        <x:f>(Z216/AA216)^4</x:f>
        <x:v>0.9669734837665473</x:v>
      </x:c>
      <x:c r="AH216" s="48" t="n">
        <x:f>10*LOG10(AG216)</x:f>
        <x:v>-0.145854349260584</x:v>
      </x:c>
      <x:c r="AI216" s="48" t="n">
        <x:f>AC216-F216</x:f>
        <x:v>-63.158175315452354</x:v>
      </x:c>
      <x:c r="AJ216" s="48" t="n">
        <x:f>AD216-G216</x:f>
        <x:v>-0.7499958658833599</x:v>
      </x:c>
      <x:c r="AK216" s="48" t="n">
        <x:f>Y216-X216</x:f>
        <x:v>113.45011127787099</x:v>
      </x:c>
      <x:c r="AL216" s="48" t="n">
        <x:f>1000*(AA217-AA215)/(A217-A215)*Inputs!$C$11</x:f>
        <x:v>946.8388986317677</x:v>
      </x:c>
      <x:c r="AM216" s="48" t="n">
        <x:f>-2*AL216/Inputs!$C$13</x:f>
        <x:v>-378.7355594527071</x:v>
      </x:c>
      <x:c r="AN216" s="48" t="n">
        <x:f>-2*AL216/Inputs!$C$14</x:f>
        <x:v>-56.8672011190251</x:v>
      </x:c>
      <x:c r="AO216" s="48" t="n">
        <x:f>ABS(AM216)</x:f>
        <x:v>378.7355594527071</x:v>
      </x:c>
      <x:c r="AP216" s="48" t="n">
        <x:f>ABS(AN216)</x:f>
        <x:v>56.8672011190251</x:v>
      </x:c>
      <x:c r="AQ216" s="48" t="n">
        <x:f>IF(OR(Inputs!$C$27=TRUE,Inputs!$C$27="TRUE",Inputs!$C$27=1),Inputs!$C$46/Inputs!$C$12,0)</x:f>
        <x:v>42.13483146067416</x:v>
      </x:c>
      <x:c r="AR216" s="48" t="n">
        <x:f>AC216-AQ216</x:f>
        <x:v>1864.1605341632792</x:v>
      </x:c>
      <x:c r="AS216" s="48" t="n">
        <x:f>AC216+AQ216</x:f>
        <x:v>1948.4301970846275</x:v>
      </x:c>
    </x:row>
    <x:row r="217">
      <x:c r="A217" s="48" t="n">
        <x:f>Inputs!$C$7+215*(Inputs!$C$8-Inputs!$C$7)/240</x:f>
        <x:v>47.5</x:v>
      </x:c>
      <x:c r="B217" s="48" t="n">
        <x:f>Inputs!$C$5+Inputs!$C$9*(A217/Inputs!$C$10)^2</x:f>
        <x:v>402.50694444444446</x:v>
      </x:c>
      <x:c r="C217" s="48" t="n">
        <x:f>B217</x:f>
        <x:v>402.50694444444446</x:v>
      </x:c>
      <x:c r="D217" s="48" t="n">
        <x:f>SQRT(A217^2+Inputs!$C$6^2+B217^2)</x:f>
        <x:v>406.07030219655695</x:v>
      </x:c>
      <x:c r="E217" s="48" t="n">
        <x:f>(D217-C217)*1000</x:f>
        <x:v>3563.357752112495</x:v>
      </x:c>
      <x:c r="F217" s="48" t="n">
        <x:f>E217/Inputs!$C$12</x:f>
        <x:v>2001.8863775912891</x:v>
      </x:c>
      <x:c r="G217" s="48" t="n">
        <x:f>2*E217/Inputs!$C$21*1000000</x:f>
        <x:v>23.772164089014506</x:v>
      </x:c>
      <x:c r="H217" s="48" t="n">
        <x:f>SQRT(A217^2+Inputs!$C$6^2)</x:f>
        <x:v>53.67727638395972</x:v>
      </x:c>
      <x:c r="I217" s="48" t="n">
        <x:f>DEGREES(ATAN(H217/B217))</x:f>
        <x:v>7.595997748011028</x:v>
      </x:c>
      <x:c r="J217" s="48" t="n">
        <x:f>DEGREES((2*PI()/Inputs!$C$13)*Inputs!$C$15*SIN(RADIANS(I217)))</x:f>
        <x:v>47.58737438738348</x:v>
      </x:c>
      <x:c r="K217" s="48" t="n">
        <x:f>(C217/D217)^4</x:f>
        <x:v>0.9653584353879024</x:v>
      </x:c>
      <x:c r="L217" s="48" t="n">
        <x:f>10*LOG10(K217)</x:f>
        <x:v>-0.153114041606665</x:v>
      </x:c>
      <x:c r="M217" s="48" t="n">
        <x:f>2*(Inputs!$C$9/(Inputs!$C$10^2))*A217</x:f>
        <x:v>0.10555555555555556</x:v>
      </x:c>
      <x:c r="N217" s="48" t="n">
        <x:f>M217*Inputs!$C$11</x:f>
        <x:v>0.4222222222222222</x:v>
      </x:c>
      <x:c r="O217" s="48" t="n">
        <x:f>1000*((A217*Inputs!$C$11)+(B217*N217))/D217</x:f>
        <x:v>886.416402766087</x:v>
      </x:c>
      <x:c r="P217" s="48" t="n">
        <x:f>-2*O217/Inputs!$C$13</x:f>
        <x:v>-354.5665611064348</x:v>
      </x:c>
      <x:c r="Q217" s="48" t="n">
        <x:f>-2*O217/Inputs!$C$14</x:f>
        <x:v>-53.23822238835358</x:v>
      </x:c>
      <x:c r="R217" s="48" t="n">
        <x:f>F217-Inputs!$C$16/2</x:f>
        <x:v>1986.8863775912891</x:v>
      </x:c>
      <x:c r="S217" s="48" t="n">
        <x:f>F217+Inputs!$C$16/2</x:f>
        <x:v>2016.8863775912891</x:v>
      </x:c>
      <x:c r="T217" s="48" t="n">
        <x:f>F217-Inputs!$C$17/2</x:f>
        <x:v>1851.8863775912891</x:v>
      </x:c>
      <x:c r="U217" s="48" t="n">
        <x:f>F217+Inputs!$C$17/2</x:f>
        <x:v>2151.886377591289</x:v>
      </x:c>
      <x:c r="V217" s="48" t="n">
        <x:f>ABS(P217)</x:f>
        <x:v>354.5665611064348</x:v>
      </x:c>
      <x:c r="W217" s="48" t="n">
        <x:f>ABS(Q217)</x:f>
        <x:v>53.23822238835358</x:v>
      </x:c>
      <x:c r="X217" s="48" t="n">
        <x: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(0.45*SIN(2*PI()*(((A217)/Inputs!$C$49)+Inputs!$C$47*0.137))+0.35*COS(2*PI()*(((0)/Inputs!$C$50)+Inputs!$C$47*0.173))+0.20*SIN(2*PI()*(((A217)+(0))/(0.5*(Inputs!$C$49+Inputs!$C$50))+Inputs!$C$47*0.097)))+0.30*(2*((SIN(((A217)*12.9898+(0)*78.233+Inputs!$C$47*37.719))*43758.5453)-INT((SIN(((A217)*12.9898+(0)*78.233+Inputs!$C$47*37.719))*43758.5453)))-1)))</x:f>
        <x:v>4.725819493947935</x:v>
      </x:c>
      <x:c r="Y217" s="48" t="n">
        <x: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(0.45*SIN(2*PI()*(((A217)/Inputs!$C$49)+Inputs!$C$47*0.137))+0.35*COS(2*PI()*(((Inputs!$C$6)/Inputs!$C$50)+Inputs!$C$47*0.173))+0.20*SIN(2*PI()*(((A217)+(Inputs!$C$6))/(0.5*(Inputs!$C$49+Inputs!$C$50))+Inputs!$C$47*0.097)))+0.30*(2*((SIN(((A217)*12.9898+(Inputs!$C$6)*78.233+Inputs!$C$47*37.719))*43758.5453)-INT((SIN(((A217)*12.9898+(Inputs!$C$6)*78.233+Inputs!$C$47*37.719))*43758.5453)))-1)))</x:f>
        <x:v>107.75271022723112</x:v>
      </x:c>
      <x:c r="Z217" s="48" t="n">
        <x:f>B217-X217/1000</x:f>
        <x:v>402.5022186249505</x:v>
      </x:c>
      <x:c r="AA217" s="48" t="n">
        <x:f>SQRT(A217^2+Inputs!$C$6^2+(B217-Y217/1000)^2)</x:f>
        <x:v>405.96349529034177</x:v>
      </x:c>
      <x:c r="AB217" s="48" t="n">
        <x:f>(AA217-Z217)*1000</x:f>
        <x:v>3461.276665391267</x:v>
      </x:c>
      <x:c r="AC217" s="48" t="n">
        <x:f>AB217/Inputs!$C$12</x:f>
        <x:v>1944.537452467004</x:v>
      </x:c>
      <x:c r="AD217" s="48" t="n">
        <x:f>2*AB217/Inputs!$C$21*1000000</x:f>
        <x:v>23.0911523824343</x:v>
      </x:c>
      <x:c r="AE217" s="48" t="n">
        <x:f>DEGREES(ATAN(H217/(B217-Y217/1000)))</x:f>
        <x:v>7.598008012007536</x:v>
      </x:c>
      <x:c r="AF217" s="48" t="n">
        <x:f>DEGREES((2*PI()/Inputs!$C$13)*Inputs!$C$15*SIN(RADIANS(AE217)))</x:f>
        <x:v>47.59989438066412</x:v>
      </x:c>
      <x:c r="AG217" s="48" t="n">
        <x:f>(Z217/AA217)^4</x:f>
        <x:v>0.9663293758427824</x:v>
      </x:c>
      <x:c r="AH217" s="48" t="n">
        <x:f>10*LOG10(AG217)</x:f>
        <x:v>-0.148748179640039</x:v>
      </x:c>
      <x:c r="AI217" s="48" t="n">
        <x:f>AC217-F217</x:f>
        <x:v>-57.34892512428519</x:v>
      </x:c>
      <x:c r="AJ217" s="48" t="n">
        <x:f>AD217-G217</x:f>
        <x:v>-0.6810117065802075</x:v>
      </x:c>
      <x:c r="AK217" s="48" t="n">
        <x:f>Y217-X217</x:f>
        <x:v>103.02689073328318</x:v>
      </x:c>
      <x:c r="AL217" s="48" t="n">
        <x:f>1000*(AA218-AA216)/(A218-A216)*Inputs!$C$11</x:f>
        <x:v>863.0714325647659</x:v>
      </x:c>
      <x:c r="AM217" s="48" t="n">
        <x:f>-2*AL217/Inputs!$C$13</x:f>
        <x:v>-345.22857302590637</x:v>
      </x:c>
      <x:c r="AN217" s="48" t="n">
        <x:f>-2*AL217/Inputs!$C$14</x:f>
        <x:v>-51.836122075961924</x:v>
      </x:c>
      <x:c r="AO217" s="48" t="n">
        <x:f>ABS(AM217)</x:f>
        <x:v>345.22857302590637</x:v>
      </x:c>
      <x:c r="AP217" s="48" t="n">
        <x:f>ABS(AN217)</x:f>
        <x:v>51.836122075961924</x:v>
      </x:c>
      <x:c r="AQ217" s="48" t="n">
        <x:f>IF(OR(Inputs!$C$27=TRUE,Inputs!$C$27="TRUE",Inputs!$C$27=1),Inputs!$C$46/Inputs!$C$12,0)</x:f>
        <x:v>42.13483146067416</x:v>
      </x:c>
      <x:c r="AR217" s="48" t="n">
        <x:f>AC217-AQ217</x:f>
        <x:v>1902.4026210063298</x:v>
      </x:c>
      <x:c r="AS217" s="48" t="n">
        <x:f>AC217+AQ217</x:f>
        <x:v>1986.672283927678</x:v>
      </x:c>
    </x:row>
    <x:row r="218">
      <x:c r="A218" s="48" t="n">
        <x:f>Inputs!$C$7+216*(Inputs!$C$8-Inputs!$C$7)/240</x:f>
        <x:v>48</x:v>
      </x:c>
      <x:c r="B218" s="48" t="n">
        <x:f>Inputs!$C$5+Inputs!$C$9*(A218/Inputs!$C$10)^2</x:f>
        <x:v>402.56</x:v>
      </x:c>
      <x:c r="C218" s="48" t="n">
        <x:f>B218</x:f>
        <x:v>402.56</x:v>
      </x:c>
      <x:c r="D218" s="48" t="n">
        <x:f>SQRT(A218^2+Inputs!$C$6^2+B218^2)</x:f>
        <x:v>406.18167560834155</x:v>
      </x:c>
      <x:c r="E218" s="48" t="n">
        <x:f>(D218-C218)*1000</x:f>
        <x:v>3621.6756083415476</x:v>
      </x:c>
      <x:c r="F218" s="48" t="n">
        <x:f>E218/Inputs!$C$12</x:f>
        <x:v>2034.6492181694086</x:v>
      </x:c>
      <x:c r="G218" s="48" t="n">
        <x:f>2*E218/Inputs!$C$21*1000000</x:f>
        <x:v>24.161218947953305</x:v>
      </x:c>
      <x:c r="H218" s="48" t="n">
        <x:f>SQRT(A218^2+Inputs!$C$6^2)</x:f>
        <x:v>54.120236510939236</x:v>
      </x:c>
      <x:c r="I218" s="48" t="n">
        <x:f>DEGREES(ATAN(H218/B218))</x:f>
        <x:v>7.656943892607386</x:v>
      </x:c>
      <x:c r="J218" s="48" t="n">
        <x:f>DEGREES((2*PI()/Inputs!$C$13)*Inputs!$C$15*SIN(RADIANS(I218)))</x:f>
        <x:v>47.96692296558639</x:v>
      </x:c>
      <x:c r="K218" s="48" t="n">
        <x:f>(C218/D218)^4</x:f>
        <x:v>0.964808609692378</x:v>
      </x:c>
      <x:c r="L218" s="48" t="n">
        <x:f>10*LOG10(K218)</x:f>
        <x:v>-0.15558829659555098</x:v>
      </x:c>
      <x:c r="M218" s="48" t="n">
        <x:f>2*(Inputs!$C$9/(Inputs!$C$10^2))*A218</x:f>
        <x:v>0.10666666666666666</x:v>
      </x:c>
      <x:c r="N218" s="48" t="n">
        <x:f>M218*Inputs!$C$11</x:f>
        <x:v>0.42666666666666664</x:v>
      </x:c>
      <x:c r="O218" s="48" t="n">
        <x:f>1000*((A218*Inputs!$C$11)+(B218*N218))/D218</x:f>
        <x:v>895.5572227342078</x:v>
      </x:c>
      <x:c r="P218" s="48" t="n">
        <x:f>-2*O218/Inputs!$C$13</x:f>
        <x:v>-358.22288909368314</x:v>
      </x:c>
      <x:c r="Q218" s="48" t="n">
        <x:f>-2*O218/Inputs!$C$14</x:f>
        <x:v>-53.78722058463711</x:v>
      </x:c>
      <x:c r="R218" s="48" t="n">
        <x:f>F218-Inputs!$C$16/2</x:f>
        <x:v>2019.6492181694086</x:v>
      </x:c>
      <x:c r="S218" s="48" t="n">
        <x:f>F218+Inputs!$C$16/2</x:f>
        <x:v>2049.6492181694084</x:v>
      </x:c>
      <x:c r="T218" s="48" t="n">
        <x:f>F218-Inputs!$C$17/2</x:f>
        <x:v>1884.6492181694086</x:v>
      </x:c>
      <x:c r="U218" s="48" t="n">
        <x:f>F218+Inputs!$C$17/2</x:f>
        <x:v>2184.6492181694084</x:v>
      </x:c>
      <x:c r="V218" s="48" t="n">
        <x:f>ABS(P218)</x:f>
        <x:v>358.22288909368314</x:v>
      </x:c>
      <x:c r="W218" s="48" t="n">
        <x:f>ABS(Q218)</x:f>
        <x:v>53.78722058463711</x:v>
      </x:c>
      <x:c r="X218" s="48" t="n">
        <x: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(0.45*SIN(2*PI()*(((A218)/Inputs!$C$49)+Inputs!$C$47*0.137))+0.35*COS(2*PI()*(((0)/Inputs!$C$50)+Inputs!$C$47*0.173))+0.20*SIN(2*PI()*(((A218)+(0))/(0.5*(Inputs!$C$49+Inputs!$C$50))+Inputs!$C$47*0.097)))+0.30*(2*((SIN(((A218)*12.9898+(0)*78.233+Inputs!$C$47*37.719))*43758.5453)-INT((SIN(((A218)*12.9898+(0)*78.233+Inputs!$C$47*37.719))*43758.5453)))-1)))</x:f>
        <x:v>-9.076914728959792</x:v>
      </x:c>
      <x:c r="Y218" s="48" t="n">
        <x: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(0.45*SIN(2*PI()*(((A218)/Inputs!$C$49)+Inputs!$C$47*0.137))+0.35*COS(2*PI()*(((Inputs!$C$6)/Inputs!$C$50)+Inputs!$C$47*0.173))+0.20*SIN(2*PI()*(((A218)+(Inputs!$C$6))/(0.5*(Inputs!$C$49+Inputs!$C$50))+Inputs!$C$47*0.097)))+0.30*(2*((SIN(((A218)*12.9898+(Inputs!$C$6)*78.233+Inputs!$C$47*37.719))*43758.5453)-INT((SIN(((A218)*12.9898+(Inputs!$C$6)*78.233+Inputs!$C$47*37.719))*43758.5453)))-1)))</x:f>
        <x:v>124.99715373468393</x:v>
      </x:c>
      <x:c r="Z218" s="48" t="n">
        <x:f>B218-X218/1000</x:f>
        <x:v>402.56907691472895</x:v>
      </x:c>
      <x:c r="AA218" s="48" t="n">
        <x:f>SQRT(A218^2+Inputs!$C$6^2+(B218-Y218/1000)^2)</x:f>
        <x:v>406.0577933199578</x:v>
      </x:c>
      <x:c r="AB218" s="48" t="n">
        <x:f>(AA218-Z218)*1000</x:f>
        <x:v>3488.7164052288426</x:v>
      </x:c>
      <x:c r="AC218" s="48" t="n">
        <x:f>AB218/Inputs!$C$12</x:f>
        <x:v>1959.9530366454171</x:v>
      </x:c>
      <x:c r="AD218" s="48" t="n">
        <x:f>2*AB218/Inputs!$C$21*1000000</x:f>
        <x:v>23.27421062226217</x:v>
      </x:c>
      <x:c r="AE218" s="48" t="n">
        <x:f>DEGREES(ATAN(H218/(B218-Y218/1000)))</x:f>
        <x:v>7.659293927255027</x:v>
      </x:c>
      <x:c r="AF218" s="48" t="n">
        <x:f>DEGREES((2*PI()/Inputs!$C$13)*Inputs!$C$15*SIN(RADIANS(AE218)))</x:f>
        <x:v>47.98155697158619</x:v>
      </x:c>
      <x:c r="AG218" s="48" t="n">
        <x:f>(Z218/AA218)^4</x:f>
        <x:v>0.9660736716695058</x:v>
      </x:c>
      <x:c r="AH218" s="48" t="n">
        <x:f>10*LOG10(AG218)</x:f>
        <x:v>-0.149897535228614</x:v>
      </x:c>
      <x:c r="AI218" s="48" t="n">
        <x:f>AC218-F218</x:f>
        <x:v>-74.69618152399153</x:v>
      </x:c>
      <x:c r="AJ218" s="48" t="n">
        <x:f>AD218-G218</x:f>
        <x:v>-0.8870083256911343</x:v>
      </x:c>
      <x:c r="AK218" s="48" t="n">
        <x:f>Y218-X218</x:f>
        <x:v>134.07406846364373</x:v>
      </x:c>
      <x:c r="AL218" s="48" t="n">
        <x:f>1000*(AA219-AA217)/(A219-A217)*Inputs!$C$11</x:f>
        <x:v>869.8661014148001</x:v>
      </x:c>
      <x:c r="AM218" s="48" t="n">
        <x:f>-2*AL218/Inputs!$C$13</x:f>
        <x:v>-347.94644056592006</x:v>
      </x:c>
      <x:c r="AN218" s="48" t="n">
        <x:f>-2*AL218/Inputs!$C$14</x:f>
        <x:v>-52.244210295183194</x:v>
      </x:c>
      <x:c r="AO218" s="48" t="n">
        <x:f>ABS(AM218)</x:f>
        <x:v>347.94644056592006</x:v>
      </x:c>
      <x:c r="AP218" s="48" t="n">
        <x:f>ABS(AN218)</x:f>
        <x:v>52.244210295183194</x:v>
      </x:c>
      <x:c r="AQ218" s="48" t="n">
        <x:f>IF(OR(Inputs!$C$27=TRUE,Inputs!$C$27="TRUE",Inputs!$C$27=1),Inputs!$C$46/Inputs!$C$12,0)</x:f>
        <x:v>42.13483146067416</x:v>
      </x:c>
      <x:c r="AR218" s="48" t="n">
        <x:f>AC218-AQ218</x:f>
        <x:v>1917.818205184743</x:v>
      </x:c>
      <x:c r="AS218" s="48" t="n">
        <x:f>AC218+AQ218</x:f>
        <x:v>2002.0878681060913</x:v>
      </x:c>
    </x:row>
    <x:row r="219">
      <x:c r="A219" s="48" t="n">
        <x:f>Inputs!$C$7+217*(Inputs!$C$8-Inputs!$C$7)/240</x:f>
        <x:v>48.5</x:v>
      </x:c>
      <x:c r="B219" s="48" t="n">
        <x:f>Inputs!$C$5+Inputs!$C$9*(A219/Inputs!$C$10)^2</x:f>
        <x:v>402.6136111111111</x:v>
      </x:c>
      <x:c r="C219" s="48" t="n">
        <x:f>B219</x:f>
        <x:v>402.6136111111111</x:v>
      </x:c>
      <x:c r="D219" s="48" t="n">
        <x:f>SQRT(A219^2+Inputs!$C$6^2+B219^2)</x:f>
        <x:v>406.2941912603834</x:v>
      </x:c>
      <x:c r="E219" s="48" t="n">
        <x:f>(D219-C219)*1000</x:f>
        <x:v>3680.5801492723162</x:v>
      </x:c>
      <x:c r="F219" s="48" t="n">
        <x:f>E219/Inputs!$C$12</x:f>
        <x:v>2067.7416568945596</x:v>
      </x:c>
      <x:c r="G219" s="48" t="n">
        <x:f>2*E219/Inputs!$C$21*1000000</x:f>
        <x:v>24.554187745925994</x:v>
      </x:c>
      <x:c r="H219" s="48" t="n">
        <x:f>SQRT(A219^2+Inputs!$C$6^2)</x:f>
        <x:v>54.56418239101544</x:v>
      </x:c>
      <x:c r="I219" s="48" t="n">
        <x:f>DEGREES(ATAN(H219/B219))</x:f>
        <x:v>7.717983785874701</x:v>
      </x:c>
      <x:c r="J219" s="48" t="n">
        <x:f>DEGREES((2*PI()/Inputs!$C$13)*Inputs!$C$15*SIN(RADIANS(I219)))</x:f>
        <x:v>48.347000974416595</x:v>
      </x:c>
      <x:c r="K219" s="48" t="n">
        <x:f>(C219/D219)^4</x:f>
        <x:v>0.964253798836902</x:v>
      </x:c>
      <x:c r="L219" s="48" t="n">
        <x:f>10*LOG10(K219)</x:f>
        <x:v>-0.15808641483798297</x:v>
      </x:c>
      <x:c r="M219" s="48" t="n">
        <x:f>2*(Inputs!$C$9/(Inputs!$C$10^2))*A219</x:f>
        <x:v>0.10777777777777778</x:v>
      </x:c>
      <x:c r="N219" s="48" t="n">
        <x:f>M219*Inputs!$C$11</x:f>
        <x:v>0.4311111111111111</x:v>
      </x:c>
      <x:c r="O219" s="48" t="n">
        <x:f>1000*((A219*Inputs!$C$11)+(B219*N219))/D219</x:f>
        <x:v>904.6922381398286</x:v>
      </x:c>
      <x:c r="P219" s="48" t="n">
        <x:f>-2*O219/Inputs!$C$13</x:f>
        <x:v>-361.87689525593146</x:v>
      </x:c>
      <x:c r="Q219" s="48" t="n">
        <x:f>-2*O219/Inputs!$C$14</x:f>
        <x:v>-54.335870158548275</x:v>
      </x:c>
      <x:c r="R219" s="48" t="n">
        <x:f>F219-Inputs!$C$16/2</x:f>
        <x:v>2052.7416568945596</x:v>
      </x:c>
      <x:c r="S219" s="48" t="n">
        <x:f>F219+Inputs!$C$16/2</x:f>
        <x:v>2082.7416568945596</x:v>
      </x:c>
      <x:c r="T219" s="48" t="n">
        <x:f>F219-Inputs!$C$17/2</x:f>
        <x:v>1917.7416568945596</x:v>
      </x:c>
      <x:c r="U219" s="48" t="n">
        <x:f>F219+Inputs!$C$17/2</x:f>
        <x:v>2217.7416568945596</x:v>
      </x:c>
      <x:c r="V219" s="48" t="n">
        <x:f>ABS(P219)</x:f>
        <x:v>361.87689525593146</x:v>
      </x:c>
      <x:c r="W219" s="48" t="n">
        <x:f>ABS(Q219)</x:f>
        <x:v>54.335870158548275</x:v>
      </x:c>
      <x:c r="X219" s="48" t="n">
        <x: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(0.45*SIN(2*PI()*(((A219)/Inputs!$C$49)+Inputs!$C$47*0.137))+0.35*COS(2*PI()*(((0)/Inputs!$C$50)+Inputs!$C$47*0.173))+0.20*SIN(2*PI()*(((A219)+(0))/(0.5*(Inputs!$C$49+Inputs!$C$50))+Inputs!$C$47*0.097)))+0.30*(2*((SIN(((A219)*12.9898+(0)*78.233+Inputs!$C$47*37.719))*43758.5453)-INT((SIN(((A219)*12.9898+(0)*78.233+Inputs!$C$47*37.719))*43758.5453)))-1)))</x:f>
        <x:v>-2.0408727900443155</x:v>
      </x:c>
      <x:c r="Y219" s="48" t="n">
        <x: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(0.45*SIN(2*PI()*(((A219)/Inputs!$C$49)+Inputs!$C$47*0.137))+0.35*COS(2*PI()*(((Inputs!$C$6)/Inputs!$C$50)+Inputs!$C$47*0.173))+0.20*SIN(2*PI()*(((A219)+(Inputs!$C$6))/(0.5*(Inputs!$C$49+Inputs!$C$50))+Inputs!$C$47*0.097)))+0.30*(2*((SIN(((A219)*12.9898+(Inputs!$C$6)*78.233+Inputs!$C$47*37.719))*43758.5453)-INT((SIN(((A219)*12.9898+(Inputs!$C$6)*78.233+Inputs!$C$47*37.719))*43758.5453)))-1)))</x:f>
        <x:v>114.2648488799635</x:v>
      </x:c>
      <x:c r="Z219" s="48" t="n">
        <x:f>B219-X219/1000</x:f>
        <x:v>402.6156519839011</x:v>
      </x:c>
      <x:c r="AA219" s="48" t="n">
        <x:f>SQRT(A219^2+Inputs!$C$6^2+(B219-Y219/1000)^2)</x:f>
        <x:v>406.18096181569547</x:v>
      </x:c>
      <x:c r="AB219" s="48" t="n">
        <x:f>(AA219-Z219)*1000</x:f>
        <x:v>3565.309831794366</x:v>
      </x:c>
      <x:c r="AC219" s="48" t="n">
        <x:f>AB219/Inputs!$C$12</x:f>
        <x:v>2002.9830515698684</x:v>
      </x:c>
      <x:c r="AD219" s="48" t="n">
        <x:f>2*AB219/Inputs!$C$21*1000000</x:f>
        <x:v>23.78518696287127</x:v>
      </x:c>
      <x:c r="AE219" s="48" t="n">
        <x:f>DEGREES(ATAN(H219/(B219-Y219/1000)))</x:f>
        <x:v>7.720148411309109</x:v>
      </x:c>
      <x:c r="AF219" s="48" t="n">
        <x:f>DEGREES((2*PI()/Inputs!$C$13)*Inputs!$C$15*SIN(RADIANS(AE219)))</x:f>
        <x:v>48.36047847480999</x:v>
      </x:c>
      <x:c r="AG219" s="48" t="n">
        <x:f>(Z219/AA219)^4</x:f>
        <x:v>0.9653490266424967</x:v>
      </x:c>
      <x:c r="AH219" s="48" t="n">
        <x:f>10*LOG10(AG219)</x:f>
        <x:v>-0.153156369782132</x:v>
      </x:c>
      <x:c r="AI219" s="48" t="n">
        <x:f>AC219-F219</x:f>
        <x:v>-64.75860532469119</x:v>
      </x:c>
      <x:c r="AJ219" s="48" t="n">
        <x:f>AD219-G219</x:f>
        <x:v>-0.7690007830547252</x:v>
      </x:c>
      <x:c r="AK219" s="48" t="n">
        <x:f>Y219-X219</x:f>
        <x:v>116.30572167000781</x:v>
      </x:c>
      <x:c r="AL219" s="48" t="n">
        <x:f>1000*(AA220-AA218)/(A220-A218)*Inputs!$C$11</x:f>
        <x:v>966.0778288964593</x:v>
      </x:c>
      <x:c r="AM219" s="48" t="n">
        <x:f>-2*AL219/Inputs!$C$13</x:f>
        <x:v>-386.43113155858373</x:v>
      </x:c>
      <x:c r="AN219" s="48" t="n">
        <x:f>-2*AL219/Inputs!$C$14</x:f>
        <x:v>-58.02269242621378</x:v>
      </x:c>
      <x:c r="AO219" s="48" t="n">
        <x:f>ABS(AM219)</x:f>
        <x:v>386.43113155858373</x:v>
      </x:c>
      <x:c r="AP219" s="48" t="n">
        <x:f>ABS(AN219)</x:f>
        <x:v>58.02269242621378</x:v>
      </x:c>
      <x:c r="AQ219" s="48" t="n">
        <x:f>IF(OR(Inputs!$C$27=TRUE,Inputs!$C$27="TRUE",Inputs!$C$27=1),Inputs!$C$46/Inputs!$C$12,0)</x:f>
        <x:v>42.13483146067416</x:v>
      </x:c>
      <x:c r="AR219" s="48" t="n">
        <x:f>AC219-AQ219</x:f>
        <x:v>1960.8482201091942</x:v>
      </x:c>
      <x:c r="AS219" s="48" t="n">
        <x:f>AC219+AQ219</x:f>
        <x:v>2045.1178830305425</x:v>
      </x:c>
    </x:row>
    <x:row r="220">
      <x:c r="A220" s="48" t="n">
        <x:f>Inputs!$C$7+218*(Inputs!$C$8-Inputs!$C$7)/240</x:f>
        <x:v>49</x:v>
      </x:c>
      <x:c r="B220" s="48" t="n">
        <x:f>Inputs!$C$5+Inputs!$C$9*(A220/Inputs!$C$10)^2</x:f>
        <x:v>402.66777777777776</x:v>
      </x:c>
      <x:c r="C220" s="48" t="n">
        <x:f>B220</x:f>
        <x:v>402.66777777777776</x:v>
      </x:c>
      <x:c r="D220" s="48" t="n">
        <x:f>SQRT(A220^2+Inputs!$C$6^2+B220^2)</x:f>
        <x:v>406.40784842383863</x:v>
      </x:c>
      <x:c r="E220" s="48" t="n">
        <x:f>(D220-C220)*1000</x:f>
        <x:v>3740.0706460608717</x:v>
      </x:c>
      <x:c r="F220" s="48" t="n">
        <x:f>E220/Inputs!$C$12</x:f>
        <x:v>2101.1632843038606</x:v>
      </x:c>
      <x:c r="G220" s="48" t="n">
        <x:f>2*E220/Inputs!$C$21*1000000</x:f>
        <x:v>24.951065620609253</x:v>
      </x:c>
      <x:c r="H220" s="48" t="n">
        <x:f>SQRT(A220^2+Inputs!$C$6^2)</x:f>
        <x:v>55.00909015790027</x:v>
      </x:c>
      <x:c r="I220" s="48" t="n">
        <x:f>DEGREES(ATAN(H220/B220))</x:f>
        <x:v>7.779113570233542</x:v>
      </x:c>
      <x:c r="J220" s="48" t="n">
        <x:f>DEGREES((2*PI()/Inputs!$C$13)*Inputs!$C$15*SIN(RADIANS(I220)))</x:f>
        <x:v>48.727583715832836</x:v>
      </x:c>
      <x:c r="K220" s="48" t="n">
        <x:f>(C220/D220)^4</x:f>
        <x:v>0.9636940254317625</x:v>
      </x:c>
      <x:c r="L220" s="48" t="n">
        <x:f>10*LOG10(K220)</x:f>
        <x:v>-0.160608334827098</x:v>
      </x:c>
      <x:c r="M220" s="48" t="n">
        <x:f>2*(Inputs!$C$9/(Inputs!$C$10^2))*A220</x:f>
        <x:v>0.10888888888888888</x:v>
      </x:c>
      <x:c r="N220" s="48" t="n">
        <x:f>M220*Inputs!$C$11</x:f>
        <x:v>0.43555555555555553</x:v>
      </x:c>
      <x:c r="O220" s="48" t="n">
        <x:f>1000*((A220*Inputs!$C$11)+(B220*N220))/D220</x:f>
        <x:v>913.8213966453919</x:v>
      </x:c>
      <x:c r="P220" s="48" t="n">
        <x:f>-2*O220/Inputs!$C$13</x:f>
        <x:v>-365.5285586581568</x:v>
      </x:c>
      <x:c r="Q220" s="48" t="n">
        <x:f>-2*O220/Inputs!$C$14</x:f>
        <x:v>-54.884167966690214</x:v>
      </x:c>
      <x:c r="R220" s="48" t="n">
        <x:f>F220-Inputs!$C$16/2</x:f>
        <x:v>2086.1632843038606</x:v>
      </x:c>
      <x:c r="S220" s="48" t="n">
        <x:f>F220+Inputs!$C$16/2</x:f>
        <x:v>2116.1632843038606</x:v>
      </x:c>
      <x:c r="T220" s="48" t="n">
        <x:f>F220-Inputs!$C$17/2</x:f>
        <x:v>1951.1632843038606</x:v>
      </x:c>
      <x:c r="U220" s="48" t="n">
        <x:f>F220+Inputs!$C$17/2</x:f>
        <x:v>2251.1632843038606</x:v>
      </x:c>
      <x:c r="V220" s="48" t="n">
        <x:f>ABS(P220)</x:f>
        <x:v>365.5285586581568</x:v>
      </x:c>
      <x:c r="W220" s="48" t="n">
        <x:f>ABS(Q220)</x:f>
        <x:v>54.884167966690214</x:v>
      </x:c>
      <x:c r="X220" s="48" t="n">
        <x: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(0.45*SIN(2*PI()*(((A220)/Inputs!$C$49)+Inputs!$C$47*0.137))+0.35*COS(2*PI()*(((0)/Inputs!$C$50)+Inputs!$C$47*0.173))+0.20*SIN(2*PI()*(((A220)+(0))/(0.5*(Inputs!$C$49+Inputs!$C$50))+Inputs!$C$47*0.097)))+0.30*(2*((SIN(((A220)*12.9898+(0)*78.233+Inputs!$C$47*37.719))*43758.5453)-INT((SIN(((A220)*12.9898+(0)*78.233+Inputs!$C$47*37.719))*43758.5453)))-1)))</x:f>
        <x:v>10.43102720072224</x:v>
      </x:c>
      <x:c r="Y220" s="48" t="n">
        <x: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(0.45*SIN(2*PI()*(((A220)/Inputs!$C$49)+Inputs!$C$47*0.137))+0.35*COS(2*PI()*(((Inputs!$C$6)/Inputs!$C$50)+Inputs!$C$47*0.173))+0.20*SIN(2*PI()*(((A220)+(Inputs!$C$6))/(0.5*(Inputs!$C$49+Inputs!$C$50))+Inputs!$C$47*0.097)))+0.30*(2*((SIN(((A220)*12.9898+(Inputs!$C$6)*78.233+Inputs!$C$47*37.719))*43758.5453)-INT((SIN(((A220)*12.9898+(Inputs!$C$6)*78.233+Inputs!$C$47*37.719))*43758.5453)))-1)))</x:f>
        <x:v>109.54402369059221</x:v>
      </x:c>
      <x:c r="Z220" s="48" t="n">
        <x:f>B220-X220/1000</x:f>
        <x:v>402.65734675057706</x:v>
      </x:c>
      <x:c r="AA220" s="48" t="n">
        <x:f>SQRT(A220^2+Inputs!$C$6^2+(B220-Y220/1000)^2)</x:f>
        <x:v>406.2993127771819</x:v>
      </x:c>
      <x:c r="AB220" s="48" t="n">
        <x:f>(AA220-Z220)*1000</x:f>
        <x:v>3641.966026604848</x:v>
      </x:c>
      <x:c r="AC220" s="48" t="n">
        <x:f>AB220/Inputs!$C$12</x:f>
        <x:v>2046.0483295532854</x:v>
      </x:c>
      <x:c r="AD220" s="48" t="n">
        <x:f>2*AB220/Inputs!$C$21*1000000</x:f>
        <x:v>24.296582048137104</x:v>
      </x:c>
      <x:c r="AE220" s="48" t="n">
        <x:f>DEGREES(ATAN(H220/(B220-Y220/1000)))</x:f>
        <x:v>7.781204491160874</x:v>
      </x:c>
      <x:c r="AF220" s="48" t="n">
        <x:f>DEGREES((2*PI()/Inputs!$C$13)*Inputs!$C$15*SIN(RADIANS(AE220)))</x:f>
        <x:v>48.74060042455543</x:v>
      </x:c>
      <x:c r="AG220" s="48" t="n">
        <x:f>(Z220/AA220)^4</x:f>
        <x:v>0.9646242130510579</x:v>
      </x:c>
      <x:c r="AH220" s="48" t="n">
        <x:f>10*LOG10(AG220)</x:f>
        <x:v>-0.156418410431147</x:v>
      </x:c>
      <x:c r="AI220" s="48" t="n">
        <x:f>AC220-F220</x:f>
        <x:v>-55.11495475057518</x:v>
      </x:c>
      <x:c r="AJ220" s="48" t="n">
        <x:f>AD220-G220</x:f>
        <x:v>-0.6544835724721487</x:v>
      </x:c>
      <x:c r="AK220" s="48" t="n">
        <x:f>Y220-X220</x:f>
        <x:v>99.11299648986997</x:v>
      </x:c>
      <x:c r="AL220" s="48" t="n">
        <x:f>1000*(AA221-AA219)/(A221-A219)*Inputs!$C$11</x:f>
        <x:v>907.795120880337</x:v>
      </x:c>
      <x:c r="AM220" s="48" t="n">
        <x:f>-2*AL220/Inputs!$C$13</x:f>
        <x:v>-363.1180483521348</x:v>
      </x:c>
      <x:c r="AN220" s="48" t="n">
        <x:f>-2*AL220/Inputs!$C$14</x:f>
        <x:v>-54.52222948230253</x:v>
      </x:c>
      <x:c r="AO220" s="48" t="n">
        <x:f>ABS(AM220)</x:f>
        <x:v>363.1180483521348</x:v>
      </x:c>
      <x:c r="AP220" s="48" t="n">
        <x:f>ABS(AN220)</x:f>
        <x:v>54.52222948230253</x:v>
      </x:c>
      <x:c r="AQ220" s="48" t="n">
        <x:f>IF(OR(Inputs!$C$27=TRUE,Inputs!$C$27="TRUE",Inputs!$C$27=1),Inputs!$C$46/Inputs!$C$12,0)</x:f>
        <x:v>42.13483146067416</x:v>
      </x:c>
      <x:c r="AR220" s="48" t="n">
        <x:f>AC220-AQ220</x:f>
        <x:v>2003.9134980926112</x:v>
      </x:c>
      <x:c r="AS220" s="48" t="n">
        <x:f>AC220+AQ220</x:f>
        <x:v>2088.1831610139598</x:v>
      </x:c>
    </x:row>
    <x:row r="221">
      <x:c r="A221" s="48" t="n">
        <x:f>Inputs!$C$7+219*(Inputs!$C$8-Inputs!$C$7)/240</x:f>
        <x:v>49.5</x:v>
      </x:c>
      <x:c r="B221" s="48" t="n">
        <x:f>Inputs!$C$5+Inputs!$C$9*(A221/Inputs!$C$10)^2</x:f>
        <x:v>402.7225</x:v>
      </x:c>
      <x:c r="C221" s="48" t="n">
        <x:f>B221</x:f>
        <x:v>402.7225</x:v>
      </x:c>
      <x:c r="D221" s="48" t="n">
        <x:f>SQRT(A221^2+Inputs!$C$6^2+B221^2)</x:f>
        <x:v>406.5226463633361</x:v>
      </x:c>
      <x:c r="E221" s="48" t="n">
        <x:f>(D221-C221)*1000</x:f>
        <x:v>3800.1463633360686</x:v>
      </x:c>
      <x:c r="F221" s="48" t="n">
        <x:f>E221/Inputs!$C$12</x:f>
        <x:v>2134.9136872674544</x:v>
      </x:c>
      <x:c r="G221" s="48" t="n">
        <x:f>2*E221/Inputs!$C$21*1000000</x:f>
        <x:v>25.351847666134873</x:v>
      </x:c>
      <x:c r="H221" s="48" t="n">
        <x:f>SQRT(A221^2+Inputs!$C$6^2)</x:f>
        <x:v>55.45493666031907</x:v>
      </x:c>
      <x:c r="I221" s="48" t="n">
        <x:f>DEGREES(ATAN(H221/B221))</x:f>
        <x:v>7.84032949187448</x:v>
      </x:c>
      <x:c r="J221" s="48" t="n">
        <x:f>DEGREES((2*PI()/Inputs!$C$13)*Inputs!$C$15*SIN(RADIANS(I221)))</x:f>
        <x:v>49.108647147475075</x:v>
      </x:c>
      <x:c r="K221" s="48" t="n">
        <x:f>(C221/D221)^4</x:f>
        <x:v>0.9631293122466821</x:v>
      </x:c>
      <x:c r="L221" s="48" t="n">
        <x:f>10*LOG10(K221)</x:f>
        <x:v>-0.163153994539274</x:v>
      </x:c>
      <x:c r="M221" s="48" t="n">
        <x:f>2*(Inputs!$C$9/(Inputs!$C$10^2))*A221</x:f>
        <x:v>0.11</x:v>
      </x:c>
      <x:c r="N221" s="48" t="n">
        <x:f>M221*Inputs!$C$11</x:f>
        <x:v>0.44</x:v>
      </x:c>
      <x:c r="O221" s="48" t="n">
        <x:f>1000*((A221*Inputs!$C$11)+(B221*N221))/D221</x:f>
        <x:v>922.9446461505638</x:v>
      </x:c>
      <x:c r="P221" s="48" t="n">
        <x:f>-2*O221/Inputs!$C$13</x:f>
        <x:v>-369.17785846022554</x:v>
      </x:c>
      <x:c r="Q221" s="48" t="n">
        <x:f>-2*O221/Inputs!$C$14</x:f>
        <x:v>-55.43211087991375</x:v>
      </x:c>
      <x:c r="R221" s="48" t="n">
        <x:f>F221-Inputs!$C$16/2</x:f>
        <x:v>2119.9136872674544</x:v>
      </x:c>
      <x:c r="S221" s="48" t="n">
        <x:f>F221+Inputs!$C$16/2</x:f>
        <x:v>2149.9136872674544</x:v>
      </x:c>
      <x:c r="T221" s="48" t="n">
        <x:f>F221-Inputs!$C$17/2</x:f>
        <x:v>1984.9136872674544</x:v>
      </x:c>
      <x:c r="U221" s="48" t="n">
        <x:f>F221+Inputs!$C$17/2</x:f>
        <x:v>2284.9136872674544</x:v>
      </x:c>
      <x:c r="V221" s="48" t="n">
        <x:f>ABS(P221)</x:f>
        <x:v>369.17785846022554</x:v>
      </x:c>
      <x:c r="W221" s="48" t="n">
        <x:f>ABS(Q221)</x:f>
        <x:v>55.43211087991375</x:v>
      </x:c>
      <x:c r="X221" s="48" t="n">
        <x: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(0.45*SIN(2*PI()*(((A221)/Inputs!$C$49)+Inputs!$C$47*0.137))+0.35*COS(2*PI()*(((0)/Inputs!$C$50)+Inputs!$C$47*0.173))+0.20*SIN(2*PI()*(((A221)+(0))/(0.5*(Inputs!$C$49+Inputs!$C$50))+Inputs!$C$47*0.097)))+0.30*(2*((SIN(((A221)*12.9898+(0)*78.233+Inputs!$C$47*37.719))*43758.5453)-INT((SIN(((A221)*12.9898+(0)*78.233+Inputs!$C$47*37.719))*43758.5453)))-1)))</x:f>
        <x:v>-2.2699304094542576</x:v>
      </x:c>
      <x:c r="Y221" s="48" t="n">
        <x: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(0.45*SIN(2*PI()*(((A221)/Inputs!$C$49)+Inputs!$C$47*0.137))+0.35*COS(2*PI()*(((Inputs!$C$6)/Inputs!$C$50)+Inputs!$C$47*0.173))+0.20*SIN(2*PI()*(((A221)+(Inputs!$C$6))/(0.5*(Inputs!$C$49+Inputs!$C$50))+Inputs!$C$47*0.097)))+0.30*(2*((SIN(((A221)*12.9898+(Inputs!$C$6)*78.233+Inputs!$C$47*37.719))*43758.5453)-INT((SIN(((A221)*12.9898+(Inputs!$C$6)*78.233+Inputs!$C$47*37.719))*43758.5453)))-1)))</x:f>
        <x:v>115.81874031490976</x:v>
      </x:c>
      <x:c r="Z221" s="48" t="n">
        <x:f>B221-X221/1000</x:f>
        <x:v>402.7247699304095</x:v>
      </x:c>
      <x:c r="AA221" s="48" t="n">
        <x:f>SQRT(A221^2+Inputs!$C$6^2+(B221-Y221/1000)^2)</x:f>
        <x:v>406.40791059591555</x:v>
      </x:c>
      <x:c r="AB221" s="48" t="n">
        <x:f>(AA221-Z221)*1000</x:f>
        <x:v>3683.140665506073</x:v>
      </x:c>
      <x:c r="AC221" s="48" t="n">
        <x:f>AB221/Inputs!$C$12</x:f>
        <x:v>2069.1801491607152</x:v>
      </x:c>
      <x:c r="AD221" s="48" t="n">
        <x:f>2*AB221/Inputs!$C$21*1000000</x:f>
        <x:v>24.571269671541057</x:v>
      </x:c>
      <x:c r="AE221" s="48" t="n">
        <x:f>DEGREES(ATAN(H221/(B221-Y221/1000)))</x:f>
        <x:v>7.8425568742881735</x:v>
      </x:c>
      <x:c r="AF221" s="48" t="n">
        <x:f>DEGREES((2*PI()/Inputs!$C$13)*Inputs!$C$15*SIN(RADIANS(AE221)))</x:f>
        <x:v>49.12251134197166</x:v>
      </x:c>
      <x:c r="AG221" s="48" t="n">
        <x:f>(Z221/AA221)^4</x:f>
        <x:v>0.9642391424185398</x:v>
      </x:c>
      <x:c r="AH221" s="48" t="n">
        <x:f>10*LOG10(AG221)</x:f>
        <x:v>-0.158152427022763</x:v>
      </x:c>
      <x:c r="AI221" s="48" t="n">
        <x:f>AC221-F221</x:f>
        <x:v>-65.73353810673916</x:v>
      </x:c>
      <x:c r="AJ221" s="48" t="n">
        <x:f>AD221-G221</x:f>
        <x:v>-0.7805779945938163</x:v>
      </x:c>
      <x:c r="AK221" s="48" t="n">
        <x:f>Y221-X221</x:f>
        <x:v>118.08867072436402</x:v>
      </x:c>
      <x:c r="AL221" s="48" t="n">
        <x:f>1000*(AA222-AA220)/(A222-A220)*Inputs!$C$11</x:f>
        <x:v>900.5228452597294</x:v>
      </x:c>
      <x:c r="AM221" s="48" t="n">
        <x:f>-2*AL221/Inputs!$C$13</x:f>
        <x:v>-360.20913810389175</x:v>
      </x:c>
      <x:c r="AN221" s="48" t="n">
        <x:f>-2*AL221/Inputs!$C$14</x:f>
        <x:v>-54.085456171755524</x:v>
      </x:c>
      <x:c r="AO221" s="48" t="n">
        <x:f>ABS(AM221)</x:f>
        <x:v>360.20913810389175</x:v>
      </x:c>
      <x:c r="AP221" s="48" t="n">
        <x:f>ABS(AN221)</x:f>
        <x:v>54.085456171755524</x:v>
      </x:c>
      <x:c r="AQ221" s="48" t="n">
        <x:f>IF(OR(Inputs!$C$27=TRUE,Inputs!$C$27="TRUE",Inputs!$C$27=1),Inputs!$C$46/Inputs!$C$12,0)</x:f>
        <x:v>42.13483146067416</x:v>
      </x:c>
      <x:c r="AR221" s="48" t="n">
        <x:f>AC221-AQ221</x:f>
        <x:v>2027.045317700041</x:v>
      </x:c>
      <x:c r="AS221" s="48" t="n">
        <x:f>AC221+AQ221</x:f>
        <x:v>2111.3149806213896</x:v>
      </x:c>
    </x:row>
    <x:row r="222">
      <x:c r="A222" s="48" t="n">
        <x:f>Inputs!$C$7+220*(Inputs!$C$8-Inputs!$C$7)/240</x:f>
        <x:v>50</x:v>
      </x:c>
      <x:c r="B222" s="48" t="n">
        <x:f>Inputs!$C$5+Inputs!$C$9*(A222/Inputs!$C$10)^2</x:f>
        <x:v>402.77777777777777</x:v>
      </x:c>
      <x:c r="C222" s="48" t="n">
        <x:f>B222</x:f>
        <x:v>402.77777777777777</x:v>
      </x:c>
      <x:c r="D222" s="48" t="n">
        <x:f>SQRT(A222^2+Inputs!$C$6^2+B222^2)</x:f>
        <x:v>406.63858433700676</x:v>
      </x:c>
      <x:c r="E222" s="48" t="n">
        <x:f>(D222-C222)*1000</x:f>
        <x:v>3860.8065592289904</x:v>
      </x:c>
      <x:c r="F222" s="48" t="n">
        <x:f>E222/Inputs!$C$12</x:f>
        <x:v>2168.9924490050507</x:v>
      </x:c>
      <x:c r="G222" s="48" t="n">
        <x:f>2*E222/Inputs!$C$21*1000000</x:f>
        <x:v>25.756528933286177</x:v>
      </x:c>
      <x:c r="H222" s="48" t="n">
        <x:f>SQRT(A222^2+Inputs!$C$6^2)</x:f>
        <x:v>55.90169943749474</x:v>
      </x:c>
      <x:c r="I222" s="48" t="n">
        <x:f>DEGREES(ATAN(H222/B222))</x:f>
        <x:v>7.901627897264307</x:v>
      </x:c>
      <x:c r="J222" s="48" t="n">
        <x:f>DEGREES((2*PI()/Inputs!$C$13)*Inputs!$C$15*SIN(RADIANS(I222)))</x:f>
        <x:v>49.490167860754674</x:v>
      </x:c>
      <x:c r="K222" s="48" t="n">
        <x:f>(C222/D222)^4</x:f>
        <x:v>0.9625596822087733</x:v>
      </x:c>
      <x:c r="L222" s="48" t="n">
        <x:f>10*LOG10(K222)</x:f>
        <x:v>-0.165723331437579</x:v>
      </x:c>
      <x:c r="M222" s="48" t="n">
        <x:f>2*(Inputs!$C$9/(Inputs!$C$10^2))*A222</x:f>
        <x:v>0.1111111111111111</x:v>
      </x:c>
      <x:c r="N222" s="48" t="n">
        <x:f>M222*Inputs!$C$11</x:f>
        <x:v>0.4444444444444444</x:v>
      </x:c>
      <x:c r="O222" s="48" t="n">
        <x:f>1000*((A222*Inputs!$C$11)+(B222*N222))/D222</x:f>
        <x:v>932.061934793923</x:v>
      </x:c>
      <x:c r="P222" s="48" t="n">
        <x:f>-2*O222/Inputs!$C$13</x:f>
        <x:v>-372.8247739175692</x:v>
      </x:c>
      <x:c r="Q222" s="48" t="n">
        <x:f>-2*O222/Inputs!$C$14</x:f>
        <x:v>-55.979695783418805</x:v>
      </x:c>
      <x:c r="R222" s="48" t="n">
        <x:f>F222-Inputs!$C$16/2</x:f>
        <x:v>2153.9924490050507</x:v>
      </x:c>
      <x:c r="S222" s="48" t="n">
        <x:f>F222+Inputs!$C$16/2</x:f>
        <x:v>2183.9924490050507</x:v>
      </x:c>
      <x:c r="T222" s="48" t="n">
        <x:f>F222-Inputs!$C$17/2</x:f>
        <x:v>2018.9924490050507</x:v>
      </x:c>
      <x:c r="U222" s="48" t="n">
        <x:f>F222+Inputs!$C$17/2</x:f>
        <x:v>2318.9924490050507</x:v>
      </x:c>
      <x:c r="V222" s="48" t="n">
        <x:f>ABS(P222)</x:f>
        <x:v>372.8247739175692</x:v>
      </x:c>
      <x:c r="W222" s="48" t="n">
        <x:f>ABS(Q222)</x:f>
        <x:v>55.979695783418805</x:v>
      </x:c>
      <x:c r="X222" s="48" t="n">
        <x: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(0.45*SIN(2*PI()*(((A222)/Inputs!$C$49)+Inputs!$C$47*0.137))+0.35*COS(2*PI()*(((0)/Inputs!$C$50)+Inputs!$C$47*0.173))+0.20*SIN(2*PI()*(((A222)+(0))/(0.5*(Inputs!$C$49+Inputs!$C$50))+Inputs!$C$47*0.097)))+0.30*(2*((SIN(((A222)*12.9898+(0)*78.233+Inputs!$C$47*37.719))*43758.5453)-INT((SIN(((A222)*12.9898+(0)*78.233+Inputs!$C$47*37.719))*43758.5453)))-1)))</x:f>
        <x:v>8.17258837755962</x:v>
      </x:c>
      <x:c r="Y222" s="48" t="n">
        <x: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(0.45*SIN(2*PI()*(((A222)/Inputs!$C$49)+Inputs!$C$47*0.137))+0.35*COS(2*PI()*(((Inputs!$C$6)/Inputs!$C$50)+Inputs!$C$47*0.173))+0.20*SIN(2*PI()*(((A222)+(Inputs!$C$6))/(0.5*(Inputs!$C$49+Inputs!$C$50))+Inputs!$C$47*0.097)))+0.30*(2*((SIN(((A222)*12.9898+(Inputs!$C$6)*78.233+Inputs!$C$47*37.719))*43758.5453)-INT((SIN(((A222)*12.9898+(Inputs!$C$6)*78.233+Inputs!$C$47*37.719))*43758.5453)))-1)))</x:f>
        <x:v>115.23525161719914</x:v>
      </x:c>
      <x:c r="Z222" s="48" t="n">
        <x:f>B222-X222/1000</x:f>
        <x:v>402.76960518940024</x:v>
      </x:c>
      <x:c r="AA222" s="48" t="n">
        <x:f>SQRT(A222^2+Inputs!$C$6^2+(B222-Y222/1000)^2)</x:f>
        <x:v>406.52444348849684</x:v>
      </x:c>
      <x:c r="AB222" s="48" t="n">
        <x:f>(AA222-Z222)*1000</x:f>
        <x:v>3754.8382990966047</x:v>
      </x:c>
      <x:c r="AC222" s="48" t="n">
        <x:f>AB222/Inputs!$C$12</x:f>
        <x:v>2109.459718593598</x:v>
      </x:c>
      <x:c r="AD222" s="48" t="n">
        <x:f>2*AB222/Inputs!$C$21*1000000</x:f>
        <x:v>25.049584797070544</x:v>
      </x:c>
      <x:c r="AE222" s="48" t="n">
        <x:f>DEGREES(ATAN(H222/(B222-Y222/1000)))</x:f>
        <x:v>7.903860635188158</x:v>
      </x:c>
      <x:c r="AF222" s="48" t="n">
        <x:f>DEGREES((2*PI()/Inputs!$C$13)*Inputs!$C$15*SIN(RADIANS(AE222)))</x:f>
        <x:v>49.504063334552136</x:v>
      </x:c>
      <x:c r="AG222" s="48" t="n">
        <x:f>(Z222/AA222)^4</x:f>
        <x:v>0.9635629694855142</x:v>
      </x:c>
      <x:c r="AH222" s="48" t="n">
        <x:f>10*LOG10(AG222)</x:f>
        <x:v>-0.161198986458033</x:v>
      </x:c>
      <x:c r="AI222" s="48" t="n">
        <x:f>AC222-F222</x:f>
        <x:v>-59.532730411452576</x:v>
      </x:c>
      <x:c r="AJ222" s="48" t="n">
        <x:f>AD222-G222</x:f>
        <x:v>-0.7069441362156326</x:v>
      </x:c>
      <x:c r="AK222" s="48" t="n">
        <x:f>Y222-X222</x:f>
        <x:v>107.06266323963952</x:v>
      </x:c>
      <x:c r="AL222" s="48" t="n">
        <x:f>1000*(AA223-AA221)/(A223-A221)*Inputs!$C$11</x:f>
        <x:v>848.3444059008889</x:v>
      </x:c>
      <x:c r="AM222" s="48" t="n">
        <x:f>-2*AL222/Inputs!$C$13</x:f>
        <x:v>-339.33776236035555</x:v>
      </x:c>
      <x:c r="AN222" s="48" t="n">
        <x:f>-2*AL222/Inputs!$C$14</x:f>
        <x:v>-50.95161597002336</x:v>
      </x:c>
      <x:c r="AO222" s="48" t="n">
        <x:f>ABS(AM222)</x:f>
        <x:v>339.33776236035555</x:v>
      </x:c>
      <x:c r="AP222" s="48" t="n">
        <x:f>ABS(AN222)</x:f>
        <x:v>50.95161597002336</x:v>
      </x:c>
      <x:c r="AQ222" s="48" t="n">
        <x:f>IF(OR(Inputs!$C$27=TRUE,Inputs!$C$27="TRUE",Inputs!$C$27=1),Inputs!$C$46/Inputs!$C$12,0)</x:f>
        <x:v>42.13483146067416</x:v>
      </x:c>
      <x:c r="AR222" s="48" t="n">
        <x:f>AC222-AQ222</x:f>
        <x:v>2067.324887132924</x:v>
      </x:c>
      <x:c r="AS222" s="48" t="n">
        <x:f>AC222+AQ222</x:f>
        <x:v>2151.5945500542725</x:v>
      </x:c>
    </x:row>
    <x:row r="223">
      <x:c r="A223" s="48" t="n">
        <x:f>Inputs!$C$7+221*(Inputs!$C$8-Inputs!$C$7)/240</x:f>
        <x:v>50.5</x:v>
      </x:c>
      <x:c r="B223" s="48" t="n">
        <x:f>Inputs!$C$5+Inputs!$C$9*(A223/Inputs!$C$10)^2</x:f>
        <x:v>402.8336111111111</x:v>
      </x:c>
      <x:c r="C223" s="48" t="n">
        <x:f>B223</x:f>
        <x:v>402.8336111111111</x:v>
      </x:c>
      <x:c r="D223" s="48" t="n">
        <x:f>SQRT(A223^2+Inputs!$C$6^2+B223^2)</x:f>
        <x:v>406.75566159651413</x:v>
      </x:c>
      <x:c r="E223" s="48" t="n">
        <x:f>(D223-C223)*1000</x:f>
        <x:v>3922.0504854030196</x:v>
      </x:c>
      <x:c r="F223" s="48" t="n">
        <x:f>E223/Inputs!$C$12</x:f>
        <x:v>2203.39914910282</x:v>
      </x:c>
      <x:c r="G223" s="48" t="n">
        <x:f>2*E223/Inputs!$C$21*1000000</x:f>
        <x:v>26.165104429698626</x:v>
      </x:c>
      <x:c r="H223" s="48" t="n">
        <x:f>SQRT(A223^2+Inputs!$C$6^2)</x:f>
        <x:v>56.349356695529366</x:v>
      </x:c>
      <x:c r="I223" s="48" t="n">
        <x:f>DEGREES(ATAN(H223/B223))</x:f>
        <x:v>7.9630052297803156</x:v>
      </x:c>
      <x:c r="J223" s="48" t="n">
        <x:f>DEGREES((2*PI()/Inputs!$C$13)*Inputs!$C$15*SIN(RADIANS(I223)))</x:f>
        <x:v>49.87212305974802</x:v>
      </x:c>
      <x:c r="K223" s="48" t="n">
        <x:f>(C223/D223)^4</x:f>
        <x:v>0.961985158400483</x:v>
      </x:c>
      <x:c r="L223" s="48" t="n">
        <x:f>10*LOG10(K223)</x:f>
        <x:v>-0.168316282475243</x:v>
      </x:c>
      <x:c r="M223" s="48" t="n">
        <x:f>2*(Inputs!$C$9/(Inputs!$C$10^2))*A223</x:f>
        <x:v>0.11222222222222222</x:v>
      </x:c>
      <x:c r="N223" s="48" t="n">
        <x:f>M223*Inputs!$C$11</x:f>
        <x:v>0.4488888888888889</x:v>
      </x:c>
      <x:c r="O223" s="48" t="n">
        <x:f>1000*((A223*Inputs!$C$11)+(B223*N223))/D223</x:f>
        <x:v>941.1732109546285</x:v>
      </x:c>
      <x:c r="P223" s="48" t="n">
        <x:f>-2*O223/Inputs!$C$13</x:f>
        <x:v>-376.4692843818514</x:v>
      </x:c>
      <x:c r="Q223" s="48" t="n">
        <x:f>-2*O223/Inputs!$C$14</x:f>
        <x:v>-56.526919576854574</x:v>
      </x:c>
      <x:c r="R223" s="48" t="n">
        <x:f>F223-Inputs!$C$16/2</x:f>
        <x:v>2188.39914910282</x:v>
      </x:c>
      <x:c r="S223" s="48" t="n">
        <x:f>F223+Inputs!$C$16/2</x:f>
        <x:v>2218.39914910282</x:v>
      </x:c>
      <x:c r="T223" s="48" t="n">
        <x:f>F223-Inputs!$C$17/2</x:f>
        <x:v>2053.39914910282</x:v>
      </x:c>
      <x:c r="U223" s="48" t="n">
        <x:f>F223+Inputs!$C$17/2</x:f>
        <x:v>2353.39914910282</x:v>
      </x:c>
      <x:c r="V223" s="48" t="n">
        <x:f>ABS(P223)</x:f>
        <x:v>376.4692843818514</x:v>
      </x:c>
      <x:c r="W223" s="48" t="n">
        <x:f>ABS(Q223)</x:f>
        <x:v>56.526919576854574</x:v>
      </x:c>
      <x:c r="X223" s="48" t="n">
        <x: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(0.45*SIN(2*PI()*(((A223)/Inputs!$C$49)+Inputs!$C$47*0.137))+0.35*COS(2*PI()*(((0)/Inputs!$C$50)+Inputs!$C$47*0.173))+0.20*SIN(2*PI()*(((A223)+(0))/(0.5*(Inputs!$C$49+Inputs!$C$50))+Inputs!$C$47*0.097)))+0.30*(2*((SIN(((A223)*12.9898+(0)*78.233+Inputs!$C$47*37.719))*43758.5453)-INT((SIN(((A223)*12.9898+(0)*78.233+Inputs!$C$47*37.719))*43758.5453)))-1)))</x:f>
        <x:v>7.175411887622014</x:v>
      </x:c>
      <x:c r="Y223" s="48" t="n">
        <x: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(0.45*SIN(2*PI()*(((A223)/Inputs!$C$49)+Inputs!$C$47*0.137))+0.35*COS(2*PI()*(((Inputs!$C$6)/Inputs!$C$50)+Inputs!$C$47*0.173))+0.20*SIN(2*PI()*(((A223)+(Inputs!$C$6))/(0.5*(Inputs!$C$49+Inputs!$C$50))+Inputs!$C$47*0.097)))+0.30*(2*((SIN(((A223)*12.9898+(Inputs!$C$6)*78.233+Inputs!$C$47*37.719))*43758.5453)-INT((SIN(((A223)*12.9898+(Inputs!$C$6)*78.233+Inputs!$C$47*37.719))*43758.5453)))-1)))</x:f>
        <x:v>136.98620076238512</x:v>
      </x:c>
      <x:c r="Z223" s="48" t="n">
        <x:f>B223-X223/1000</x:f>
        <x:v>402.8264356992235</x:v>
      </x:c>
      <x:c r="AA223" s="48" t="n">
        <x:f>SQRT(A223^2+Inputs!$C$6^2+(B223-Y223/1000)^2)</x:f>
        <x:v>406.6199966973908</x:v>
      </x:c>
      <x:c r="AB223" s="48" t="n">
        <x:f>(AA223-Z223)*1000</x:f>
        <x:v>3793.5609981672656</x:v>
      </x:c>
      <x:c r="AC223" s="48" t="n">
        <x:f>AB223/Inputs!$C$12</x:f>
        <x:v>2131.214043914194</x:v>
      </x:c>
      <x:c r="AD223" s="48" t="n">
        <x:f>2*AB223/Inputs!$C$21*1000000</x:f>
        <x:v>25.30791483865325</x:v>
      </x:c>
      <x:c r="AE223" s="48" t="n">
        <x:f>DEGREES(ATAN(H223/(B223-Y223/1000)))</x:f>
        <x:v>7.965679258557915</x:v>
      </x:c>
      <x:c r="AF223" s="48" t="n">
        <x:f>DEGREES((2*PI()/Inputs!$C$13)*Inputs!$C$15*SIN(RADIANS(AE223)))</x:f>
        <x:v>49.88876241983588</x:v>
      </x:c>
      <x:c r="AG223" s="48" t="n">
        <x:f>(Z223/AA223)^4</x:f>
        <x:v>0.963200999351221</x:v>
      </x:c>
      <x:c r="AH223" s="48" t="n">
        <x:f>10*LOG10(AG223)</x:f>
        <x:v>-0.16283075491882298</x:v>
      </x:c>
      <x:c r="AI223" s="48" t="n">
        <x:f>AC223-F223</x:f>
        <x:v>-72.18510518862604</x:v>
      </x:c>
      <x:c r="AJ223" s="48" t="n">
        <x:f>AD223-G223</x:f>
        <x:v>-0.8571895910453762</x:v>
      </x:c>
      <x:c r="AK223" s="48" t="n">
        <x:f>Y223-X223</x:f>
        <x:v>129.81078887476312</x:v>
      </x:c>
      <x:c r="AL223" s="48" t="n">
        <x:f>1000*(AA224-AA222)/(A224-A222)*Inputs!$C$11</x:f>
        <x:v>854.7747604116012</x:v>
      </x:c>
      <x:c r="AM223" s="48" t="n">
        <x:f>-2*AL223/Inputs!$C$13</x:f>
        <x:v>-341.90990416464047</x:v>
      </x:c>
      <x:c r="AN223" s="48" t="n">
        <x:f>-2*AL223/Inputs!$C$14</x:f>
        <x:v>-51.33782344814422</x:v>
      </x:c>
      <x:c r="AO223" s="48" t="n">
        <x:f>ABS(AM223)</x:f>
        <x:v>341.90990416464047</x:v>
      </x:c>
      <x:c r="AP223" s="48" t="n">
        <x:f>ABS(AN223)</x:f>
        <x:v>51.33782344814422</x:v>
      </x:c>
      <x:c r="AQ223" s="48" t="n">
        <x:f>IF(OR(Inputs!$C$27=TRUE,Inputs!$C$27="TRUE",Inputs!$C$27=1),Inputs!$C$46/Inputs!$C$12,0)</x:f>
        <x:v>42.13483146067416</x:v>
      </x:c>
      <x:c r="AR223" s="48" t="n">
        <x:f>AC223-AQ223</x:f>
        <x:v>2089.0792124535196</x:v>
      </x:c>
      <x:c r="AS223" s="48" t="n">
        <x:f>AC223+AQ223</x:f>
        <x:v>2173.3488753748684</x:v>
      </x:c>
    </x:row>
    <x:row r="224">
      <x:c r="A224" s="48" t="n">
        <x:f>Inputs!$C$7+222*(Inputs!$C$8-Inputs!$C$7)/240</x:f>
        <x:v>51</x:v>
      </x:c>
      <x:c r="B224" s="48" t="n">
        <x:f>Inputs!$C$5+Inputs!$C$9*(A224/Inputs!$C$10)^2</x:f>
        <x:v>402.89</x:v>
      </x:c>
      <x:c r="C224" s="48" t="n">
        <x:f>B224</x:f>
        <x:v>402.89</x:v>
      </x:c>
      <x:c r="D224" s="48" t="n">
        <x:f>SQRT(A224^2+Inputs!$C$6^2+B224^2)</x:f>
        <x:v>406.8738773870842</x:v>
      </x:c>
      <x:c r="E224" s="48" t="n">
        <x:f>(D224-C224)*1000</x:f>
        <x:v>3983.877387084192</x:v>
      </x:c>
      <x:c r="F224" s="48" t="n">
        <x:f>E224/Inputs!$C$12</x:f>
        <x:v>2238.133363530445</x:v>
      </x:c>
      <x:c r="G224" s="48" t="n">
        <x:f>2*E224/Inputs!$C$21*1000000</x:f>
        <x:v>26.577569120062332</x:v>
      </x:c>
      <x:c r="H224" s="48" t="n">
        <x:f>SQRT(A224^2+Inputs!$C$6^2)</x:f>
        <x:v>56.79788728465171</x:v>
      </x:c>
      <x:c r="I224" s="48" t="n">
        <x:f>DEGREES(ATAN(H224/B224))</x:f>
        <x:v>8.024458026468219</x:v>
      </x:c>
      <x:c r="J224" s="48" t="n">
        <x:f>DEGREES((2*PI()/Inputs!$C$13)*Inputs!$C$15*SIN(RADIANS(I224)))</x:f>
        <x:v>50.25449054086581</x:v>
      </x:c>
      <x:c r="K224" s="48" t="n">
        <x:f>(C224/D224)^4</x:f>
        <x:v>0.9614057640575286</x:v>
      </x:c>
      <x:c r="L224" s="48" t="n">
        <x:f>10*LOG10(K224)</x:f>
        <x:v>-0.170932784099163</x:v>
      </x:c>
      <x:c r="M224" s="48" t="n">
        <x:f>2*(Inputs!$C$9/(Inputs!$C$10^2))*A224</x:f>
        <x:v>0.11333333333333333</x:v>
      </x:c>
      <x:c r="N224" s="48" t="n">
        <x:f>M224*Inputs!$C$11</x:f>
        <x:v>0.4533333333333333</x:v>
      </x:c>
      <x:c r="O224" s="48" t="n">
        <x:f>1000*((A224*Inputs!$C$11)+(B224*N224))/D224</x:f>
        <x:v>950.2784232540663</x:v>
      </x:c>
      <x:c r="P224" s="48" t="n">
        <x:f>-2*O224/Inputs!$C$13</x:f>
        <x:v>-380.1113693016265</x:v>
      </x:c>
      <x:c r="Q224" s="48" t="n">
        <x:f>-2*O224/Inputs!$C$14</x:f>
        <x:v>-57.0737791744184</x:v>
      </x:c>
      <x:c r="R224" s="48" t="n">
        <x:f>F224-Inputs!$C$16/2</x:f>
        <x:v>2223.133363530445</x:v>
      </x:c>
      <x:c r="S224" s="48" t="n">
        <x:f>F224+Inputs!$C$16/2</x:f>
        <x:v>2253.133363530445</x:v>
      </x:c>
      <x:c r="T224" s="48" t="n">
        <x:f>F224-Inputs!$C$17/2</x:f>
        <x:v>2088.133363530445</x:v>
      </x:c>
      <x:c r="U224" s="48" t="n">
        <x:f>F224+Inputs!$C$17/2</x:f>
        <x:v>2388.133363530445</x:v>
      </x:c>
      <x:c r="V224" s="48" t="n">
        <x:f>ABS(P224)</x:f>
        <x:v>380.1113693016265</x:v>
      </x:c>
      <x:c r="W224" s="48" t="n">
        <x:f>ABS(Q224)</x:f>
        <x:v>57.0737791744184</x:v>
      </x:c>
      <x:c r="X224" s="48" t="n">
        <x: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(0.45*SIN(2*PI()*(((A224)/Inputs!$C$49)+Inputs!$C$47*0.137))+0.35*COS(2*PI()*(((0)/Inputs!$C$50)+Inputs!$C$47*0.173))+0.20*SIN(2*PI()*(((A224)+(0))/(0.5*(Inputs!$C$49+Inputs!$C$50))+Inputs!$C$47*0.097)))+0.30*(2*((SIN(((A224)*12.9898+(0)*78.233+Inputs!$C$47*37.719))*43758.5453)-INT((SIN(((A224)*12.9898+(0)*78.233+Inputs!$C$47*37.719))*43758.5453)))-1)))</x:f>
        <x:v>11.525237738664625</x:v>
      </x:c>
      <x:c r="Y224" s="48" t="n">
        <x: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(0.45*SIN(2*PI()*(((A224)/Inputs!$C$49)+Inputs!$C$47*0.137))+0.35*COS(2*PI()*(((Inputs!$C$6)/Inputs!$C$50)+Inputs!$C$47*0.173))+0.20*SIN(2*PI()*(((A224)+(Inputs!$C$6))/(0.5*(Inputs!$C$49+Inputs!$C$50))+Inputs!$C$47*0.097)))+0.30*(2*((SIN(((A224)*12.9898+(Inputs!$C$6)*78.233+Inputs!$C$47*37.719))*43758.5453)-INT((SIN(((A224)*12.9898+(Inputs!$C$6)*78.233+Inputs!$C$47*37.719))*43758.5453)))-1)))</x:f>
        <x:v>137.08289632779307</x:v>
      </x:c>
      <x:c r="Z224" s="48" t="n">
        <x:f>B224-X224/1000</x:f>
        <x:v>402.8784747622613</x:v>
      </x:c>
      <x:c r="AA224" s="48" t="n">
        <x:f>SQRT(A224^2+Inputs!$C$6^2+(B224-Y224/1000)^2)</x:f>
        <x:v>406.73813717859974</x:v>
      </x:c>
      <x:c r="AB224" s="48" t="n">
        <x:f>(AA224-Z224)*1000</x:f>
        <x:v>3859.6624163384377</x:v>
      </x:c>
      <x:c r="AC224" s="48" t="n">
        <x:f>AB224/Inputs!$C$12</x:f>
        <x:v>2168.3496721002457</x:v>
      </x:c>
      <x:c r="AD224" s="48" t="n">
        <x:f>2*AB224/Inputs!$C$21*1000000</x:f>
        <x:v>25.748896033524883</x:v>
      </x:c>
      <x:c r="AE224" s="48" t="n">
        <x:f>DEGREES(ATAN(H224/(B224-Y224/1000)))</x:f>
        <x:v>8.027153675721486</x:v>
      </x:c>
      <x:c r="AF224" s="48" t="n">
        <x:f>DEGREES((2*PI()/Inputs!$C$13)*Inputs!$C$15*SIN(RADIANS(AE224)))</x:f>
        <x:v>50.271261908976534</x:v>
      </x:c>
      <x:c r="AG224" s="48" t="n">
        <x:f>(Z224/AA224)^4</x:f>
        <x:v>0.9625796499378425</x:v>
      </x:c>
      <x:c r="AH224" s="48" t="n">
        <x:f>10*LOG10(AG224)</x:f>
        <x:v>-0.165633240560452</x:v>
      </x:c>
      <x:c r="AI224" s="48" t="n">
        <x:f>AC224-F224</x:f>
        <x:v>-69.78369143019927</x:v>
      </x:c>
      <x:c r="AJ224" s="48" t="n">
        <x:f>AD224-G224</x:f>
        <x:v>-0.8286730865374494</x:v>
      </x:c>
      <x:c r="AK224" s="48" t="n">
        <x:f>Y224-X224</x:f>
        <x:v>125.55765858912844</x:v>
      </x:c>
      <x:c r="AL224" s="48" t="n">
        <x:f>1000*(AA225-AA223)/(A225-A223)*Inputs!$C$11</x:f>
        <x:v>860.8138639963272</x:v>
      </x:c>
      <x:c r="AM224" s="48" t="n">
        <x:f>-2*AL224/Inputs!$C$13</x:f>
        <x:v>-344.3255455985309</x:v>
      </x:c>
      <x:c r="AN224" s="48" t="n">
        <x:f>-2*AL224/Inputs!$C$14</x:f>
        <x:v>-51.70053237215179</x:v>
      </x:c>
      <x:c r="AO224" s="48" t="n">
        <x:f>ABS(AM224)</x:f>
        <x:v>344.3255455985309</x:v>
      </x:c>
      <x:c r="AP224" s="48" t="n">
        <x:f>ABS(AN224)</x:f>
        <x:v>51.70053237215179</x:v>
      </x:c>
      <x:c r="AQ224" s="48" t="n">
        <x:f>IF(OR(Inputs!$C$27=TRUE,Inputs!$C$27="TRUE",Inputs!$C$27=1),Inputs!$C$46/Inputs!$C$12,0)</x:f>
        <x:v>42.13483146067416</x:v>
      </x:c>
      <x:c r="AR224" s="48" t="n">
        <x:f>AC224-AQ224</x:f>
        <x:v>2126.2148406395713</x:v>
      </x:c>
      <x:c r="AS224" s="48" t="n">
        <x:f>AC224+AQ224</x:f>
        <x:v>2210.48450356092</x:v>
      </x:c>
    </x:row>
    <x:row r="225">
      <x:c r="A225" s="48" t="n">
        <x:f>Inputs!$C$7+223*(Inputs!$C$8-Inputs!$C$7)/240</x:f>
        <x:v>51.5</x:v>
      </x:c>
      <x:c r="B225" s="48" t="n">
        <x:f>Inputs!$C$5+Inputs!$C$9*(A225/Inputs!$C$10)^2</x:f>
        <x:v>402.94694444444445</x:v>
      </x:c>
      <x:c r="C225" s="48" t="n">
        <x:f>B225</x:f>
        <x:v>402.94694444444445</x:v>
      </x:c>
      <x:c r="D225" s="48" t="n">
        <x:f>SQRT(A225^2+Inputs!$C$6^2+B225^2)</x:f>
        <x:v>406.9932309475358</x:v>
      </x:c>
      <x:c r="E225" s="48" t="n">
        <x:f>(D225-C225)*1000</x:f>
        <x:v>4046.2865030913235</x:v>
      </x:c>
      <x:c r="F225" s="48" t="n">
        <x:f>E225/Inputs!$C$12</x:f>
        <x:v>2273.194664658047</x:v>
      </x:c>
      <x:c r="G225" s="48" t="n">
        <x:f>2*E225/Inputs!$C$21*1000000</x:f>
        <x:v>26.99391792632304</x:v>
      </x:c>
      <x:c r="H225" s="48" t="n">
        <x:f>SQRT(A225^2+Inputs!$C$6^2)</x:f>
        <x:v>57.24727067729954</x:v>
      </x:c>
      <x:c r="I225" s="48" t="n">
        <x:f>DEGREES(ATAN(H225/B225))</x:f>
        <x:v>8.085982914919201</x:v>
      </x:c>
      <x:c r="J225" s="48" t="n">
        <x:f>DEGREES((2*PI()/Inputs!$C$13)*Inputs!$C$15*SIN(RADIANS(I225)))</x:f>
        <x:v>50.63724867326966</x:v>
      </x:c>
      <x:c r="K225" s="48" t="n">
        <x:f>(C225/D225)^4</x:f>
        <x:v>0.9608215225668301</x:v>
      </x:c>
      <x:c r="L225" s="48" t="n">
        <x:f>10*LOG10(K225)</x:f>
        <x:v>-0.173572772253406</x:v>
      </x:c>
      <x:c r="M225" s="48" t="n">
        <x:f>2*(Inputs!$C$9/(Inputs!$C$10^2))*A225</x:f>
        <x:v>0.11444444444444445</x:v>
      </x:c>
      <x:c r="N225" s="48" t="n">
        <x:f>M225*Inputs!$C$11</x:f>
        <x:v>0.4577777777777778</x:v>
      </x:c>
      <x:c r="O225" s="48" t="n">
        <x:f>1000*((A225*Inputs!$C$11)+(B225*N225))/D225</x:f>
        <x:v>959.377520557477</x:v>
      </x:c>
      <x:c r="P225" s="48" t="n">
        <x:f>-2*O225/Inputs!$C$13</x:f>
        <x:v>-383.75100822299083</x:v>
      </x:c>
      <x:c r="Q225" s="48" t="n">
        <x:f>-2*O225/Inputs!$C$14</x:f>
        <x:v>-57.62027150495358</x:v>
      </x:c>
      <x:c r="R225" s="48" t="n">
        <x:f>F225-Inputs!$C$16/2</x:f>
        <x:v>2258.194664658047</x:v>
      </x:c>
      <x:c r="S225" s="48" t="n">
        <x:f>F225+Inputs!$C$16/2</x:f>
        <x:v>2288.194664658047</x:v>
      </x:c>
      <x:c r="T225" s="48" t="n">
        <x:f>F225-Inputs!$C$17/2</x:f>
        <x:v>2123.194664658047</x:v>
      </x:c>
      <x:c r="U225" s="48" t="n">
        <x:f>F225+Inputs!$C$17/2</x:f>
        <x:v>2423.194664658047</x:v>
      </x:c>
      <x:c r="V225" s="48" t="n">
        <x:f>ABS(P225)</x:f>
        <x:v>383.75100822299083</x:v>
      </x:c>
      <x:c r="W225" s="48" t="n">
        <x:f>ABS(Q225)</x:f>
        <x:v>57.62027150495358</x:v>
      </x:c>
      <x:c r="X225" s="48" t="n">
        <x: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(0.45*SIN(2*PI()*(((A225)/Inputs!$C$49)+Inputs!$C$47*0.137))+0.35*COS(2*PI()*(((0)/Inputs!$C$50)+Inputs!$C$47*0.173))+0.20*SIN(2*PI()*(((A225)+(0))/(0.5*(Inputs!$C$49+Inputs!$C$50))+Inputs!$C$47*0.097)))+0.30*(2*((SIN(((A225)*12.9898+(0)*78.233+Inputs!$C$47*37.719))*43758.5453)-INT((SIN(((A225)*12.9898+(0)*78.233+Inputs!$C$47*37.719))*43758.5453)))-1)))</x:f>
        <x:v>-4.550946531934956</x:v>
      </x:c>
      <x:c r="Y225" s="48" t="n">
        <x: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(0.45*SIN(2*PI()*(((A225)/Inputs!$C$49)+Inputs!$C$47*0.137))+0.35*COS(2*PI()*(((Inputs!$C$6)/Inputs!$C$50)+Inputs!$C$47*0.173))+0.20*SIN(2*PI()*(((A225)+(Inputs!$C$6))/(0.5*(Inputs!$C$49+Inputs!$C$50))+Inputs!$C$47*0.097)))+0.30*(2*((SIN(((A225)*12.9898+(Inputs!$C$6)*78.233+Inputs!$C$47*37.719))*43758.5453)-INT((SIN(((A225)*12.9898+(Inputs!$C$6)*78.233+Inputs!$C$47*37.719))*43758.5453)))-1)))</x:f>
        <x:v>159.61831316527434</x:v>
      </x:c>
      <x:c r="Z225" s="48" t="n">
        <x:f>B225-X225/1000</x:f>
        <x:v>402.9514953909764</x:v>
      </x:c>
      <x:c r="AA225" s="48" t="n">
        <x:f>SQRT(A225^2+Inputs!$C$6^2+(B225-Y225/1000)^2)</x:f>
        <x:v>406.83520016338986</x:v>
      </x:c>
      <x:c r="AB225" s="48" t="n">
        <x:f>(AA225-Z225)*1000</x:f>
        <x:v>3883.7047724134663</x:v>
      </x:c>
      <x:c r="AC225" s="48" t="n">
        <x:f>AB225/Inputs!$C$12</x:f>
        <x:v>2181.8566137154303</x:v>
      </x:c>
      <x:c r="AD225" s="48" t="n">
        <x:f>2*AB225/Inputs!$C$21*1000000</x:f>
        <x:v>25.909289368536857</x:v>
      </x:c>
      <x:c r="AE225" s="48" t="n">
        <x:f>DEGREES(ATAN(H225/(B225-Y225/1000)))</x:f>
        <x:v>8.089144860765073</x:v>
      </x:c>
      <x:c r="AF225" s="48" t="n">
        <x:f>DEGREES((2*PI()/Inputs!$C$13)*Inputs!$C$15*SIN(RADIANS(AE225)))</x:f>
        <x:v>50.656918171168584</x:v>
      </x:c>
      <x:c r="AG225" s="48" t="n">
        <x:f>(Z225/AA225)^4</x:f>
        <x:v>0.9623587509286297</x:v>
      </x:c>
      <x:c r="AH225" s="48" t="n">
        <x:f>10*LOG10(AG225)</x:f>
        <x:v>-0.166630002027074</x:v>
      </x:c>
      <x:c r="AI225" s="48" t="n">
        <x:f>AC225-F225</x:f>
        <x:v>-91.33805094261652</x:v>
      </x:c>
      <x:c r="AJ225" s="48" t="n">
        <x:f>AD225-G225</x:f>
        <x:v>-1.084628557786182</x:v>
      </x:c>
      <x:c r="AK225" s="48" t="n">
        <x:f>Y225-X225</x:f>
        <x:v>164.1692596972093</x:v>
      </x:c>
      <x:c r="AL225" s="48" t="n">
        <x:f>1000*(AA226-AA224)/(A226-A224)*Inputs!$C$11</x:f>
        <x:v>841.1098927590501</x:v>
      </x:c>
      <x:c r="AM225" s="48" t="n">
        <x:f>-2*AL225/Inputs!$C$13</x:f>
        <x:v>-336.44395710362005</x:v>
      </x:c>
      <x:c r="AN225" s="48" t="n">
        <x:f>-2*AL225/Inputs!$C$14</x:f>
        <x:v>-50.51711067621923</x:v>
      </x:c>
      <x:c r="AO225" s="48" t="n">
        <x:f>ABS(AM225)</x:f>
        <x:v>336.44395710362005</x:v>
      </x:c>
      <x:c r="AP225" s="48" t="n">
        <x:f>ABS(AN225)</x:f>
        <x:v>50.51711067621923</x:v>
      </x:c>
      <x:c r="AQ225" s="48" t="n">
        <x:f>IF(OR(Inputs!$C$27=TRUE,Inputs!$C$27="TRUE",Inputs!$C$27=1),Inputs!$C$46/Inputs!$C$12,0)</x:f>
        <x:v>42.13483146067416</x:v>
      </x:c>
      <x:c r="AR225" s="48" t="n">
        <x:f>AC225-AQ225</x:f>
        <x:v>2139.721782254756</x:v>
      </x:c>
      <x:c r="AS225" s="48" t="n">
        <x:f>AC225+AQ225</x:f>
        <x:v>2223.9914451761047</x:v>
      </x:c>
    </x:row>
    <x:row r="226">
      <x:c r="A226" s="48" t="n">
        <x:f>Inputs!$C$7+224*(Inputs!$C$8-Inputs!$C$7)/240</x:f>
        <x:v>52</x:v>
      </x:c>
      <x:c r="B226" s="48" t="n">
        <x:f>Inputs!$C$5+Inputs!$C$9*(A226/Inputs!$C$10)^2</x:f>
        <x:v>403.00444444444446</x:v>
      </x:c>
      <x:c r="C226" s="48" t="n">
        <x:f>B226</x:f>
        <x:v>403.00444444444446</x:v>
      </x:c>
      <x:c r="D226" s="48" t="n">
        <x:f>SQRT(A226^2+Inputs!$C$6^2+B226^2)</x:f>
        <x:v>407.11372151031134</x:v>
      </x:c>
      <x:c r="E226" s="48" t="n">
        <x:f>(D226-C226)*1000</x:f>
        <x:v>4109.277065866877</x:v>
      </x:c>
      <x:c r="F226" s="48" t="n">
        <x:f>E226/Inputs!$C$12</x:f>
        <x:v>2308.5826212735265</x:v>
      </x:c>
      <x:c r="G226" s="48" t="n">
        <x:f>2*E226/Inputs!$C$21*1000000</x:f>
        <x:v>27.414145727888037</x:v>
      </x:c>
      <x:c r="H226" s="48" t="n">
        <x:f>SQRT(A226^2+Inputs!$C$6^2)</x:f>
        <x:v>57.697486947006624</x:v>
      </x:c>
      <x:c r="I226" s="48" t="n">
        <x:f>DEGREES(ATAN(H226/B226))</x:f>
        <x:v>8.147576610261819</x:v>
      </x:c>
      <x:c r="J226" s="48" t="n">
        <x:f>DEGREES((2*PI()/Inputs!$C$13)*Inputs!$C$15*SIN(RADIANS(I226)))</x:f>
        <x:v>51.02037638000933</x:v>
      </x:c>
      <x:c r="K226" s="48" t="n">
        <x:f>(C226/D226)^4</x:f>
        <x:v>0.96023245746443</x:v>
      </x:c>
      <x:c r="L226" s="48" t="n">
        <x:f>10*LOG10(K226)</x:f>
        <x:v>-0.17623618238275698</x:v>
      </x:c>
      <x:c r="M226" s="48" t="n">
        <x:f>2*(Inputs!$C$9/(Inputs!$C$10^2))*A226</x:f>
        <x:v>0.11555555555555555</x:v>
      </x:c>
      <x:c r="N226" s="48" t="n">
        <x:f>M226*Inputs!$C$11</x:f>
        <x:v>0.4622222222222222</x:v>
      </x:c>
      <x:c r="O226" s="48" t="n">
        <x:f>1000*((A226*Inputs!$C$11)+(B226*N226))/D226</x:f>
        <x:v>968.4704519755594</x:v>
      </x:c>
      <x:c r="P226" s="48" t="n">
        <x:f>-2*O226/Inputs!$C$13</x:f>
        <x:v>-387.38818079022377</x:v>
      </x:c>
      <x:c r="Q226" s="48" t="n">
        <x:f>-2*O226/Inputs!$C$14</x:f>
        <x:v>-58.166393512045616</x:v>
      </x:c>
      <x:c r="R226" s="48" t="n">
        <x:f>F226-Inputs!$C$16/2</x:f>
        <x:v>2293.5826212735265</x:v>
      </x:c>
      <x:c r="S226" s="48" t="n">
        <x:f>F226+Inputs!$C$16/2</x:f>
        <x:v>2323.5826212735265</x:v>
      </x:c>
      <x:c r="T226" s="48" t="n">
        <x:f>F226-Inputs!$C$17/2</x:f>
        <x:v>2158.5826212735265</x:v>
      </x:c>
      <x:c r="U226" s="48" t="n">
        <x:f>F226+Inputs!$C$17/2</x:f>
        <x:v>2458.5826212735265</x:v>
      </x:c>
      <x:c r="V226" s="48" t="n">
        <x:f>ABS(P226)</x:f>
        <x:v>387.38818079022377</x:v>
      </x:c>
      <x:c r="W226" s="48" t="n">
        <x:f>ABS(Q226)</x:f>
        <x:v>58.166393512045616</x:v>
      </x:c>
      <x:c r="X226" s="48" t="n">
        <x: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(0.45*SIN(2*PI()*(((A226)/Inputs!$C$49)+Inputs!$C$47*0.137))+0.35*COS(2*PI()*(((0)/Inputs!$C$50)+Inputs!$C$47*0.173))+0.20*SIN(2*PI()*(((A226)+(0))/(0.5*(Inputs!$C$49+Inputs!$C$50))+Inputs!$C$47*0.097)))+0.30*(2*((SIN(((A226)*12.9898+(0)*78.233+Inputs!$C$47*37.719))*43758.5453)-INT((SIN(((A226)*12.9898+(0)*78.233+Inputs!$C$47*37.719))*43758.5453)))-1)))</x:f>
        <x:v>-7.85094902162108</x:v>
      </x:c>
      <x:c r="Y226" s="48" t="n">
        <x: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(0.45*SIN(2*PI()*(((A226)/Inputs!$C$49)+Inputs!$C$47*0.137))+0.35*COS(2*PI()*(((Inputs!$C$6)/Inputs!$C$50)+Inputs!$C$47*0.173))+0.20*SIN(2*PI()*(((A226)+(Inputs!$C$6))/(0.5*(Inputs!$C$49+Inputs!$C$50))+Inputs!$C$47*0.097)))+0.30*(2*((SIN(((A226)*12.9898+(Inputs!$C$6)*78.233+Inputs!$C$47*37.719))*43758.5453)-INT((SIN(((A226)*12.9898+(Inputs!$C$6)*78.233+Inputs!$C$47*37.719))*43758.5453)))-1)))</x:f>
        <x:v>166.9931224443313</x:v>
      </x:c>
      <x:c r="Z226" s="48" t="n">
        <x:f>B226-X226/1000</x:f>
        <x:v>403.0122953934661</x:v>
      </x:c>
      <x:c r="AA226" s="48" t="n">
        <x:f>SQRT(A226^2+Inputs!$C$6^2+(B226-Y226/1000)^2)</x:f>
        <x:v>406.9484146517895</x:v>
      </x:c>
      <x:c r="AB226" s="48" t="n">
        <x:f>(AA226-Z226)*1000</x:f>
        <x:v>3936.1192583234015</x:v>
      </x:c>
      <x:c r="AC226" s="48" t="n">
        <x:f>AB226/Inputs!$C$12</x:f>
        <x:v>2211.3029541142705</x:v>
      </x:c>
      <x:c r="AD226" s="48" t="n">
        <x:f>2*AB226/Inputs!$C$21*1000000</x:f>
        <x:v>26.258961179893337</x:v>
      </x:c>
      <x:c r="AE226" s="48" t="n">
        <x:f>DEGREES(ATAN(H226/(B226-Y226/1000)))</x:f>
        <x:v>8.1509087485299</x:v>
      </x:c>
      <x:c r="AF226" s="48" t="n">
        <x:f>DEGREES((2*PI()/Inputs!$C$13)*Inputs!$C$15*SIN(RADIANS(AE226)))</x:f>
        <x:v>51.0411014101024</x:v>
      </x:c>
      <x:c r="AG226" s="48" t="n">
        <x:f>(Z226/AA226)^4</x:f>
        <x:v>0.9618685849203488</x:v>
      </x:c>
      <x:c r="AH226" s="48" t="n">
        <x:f>10*LOG10(AG226)</x:f>
        <x:v>-0.16884259295384701</x:v>
      </x:c>
      <x:c r="AI226" s="48" t="n">
        <x:f>AC226-F226</x:f>
        <x:v>-97.27966715925595</x:v>
      </x:c>
      <x:c r="AJ226" s="48" t="n">
        <x:f>AD226-G226</x:f>
        <x:v>-1.1551845479947005</x:v>
      </x:c>
      <x:c r="AK226" s="48" t="n">
        <x:f>Y226-X226</x:f>
        <x:v>174.8440714659524</x:v>
      </x:c>
      <x:c r="AL226" s="48" t="n">
        <x:f>1000*(AA227-AA225)/(A227-A225)*Inputs!$C$11</x:f>
        <x:v>951.0462412360994</x:v>
      </x:c>
      <x:c r="AM226" s="48" t="n">
        <x:f>-2*AL226/Inputs!$C$13</x:f>
        <x:v>-380.41849649443975</x:v>
      </x:c>
      <x:c r="AN226" s="48" t="n">
        <x:f>-2*AL226/Inputs!$C$14</x:f>
        <x:v>-57.1198943685345</x:v>
      </x:c>
      <x:c r="AO226" s="48" t="n">
        <x:f>ABS(AM226)</x:f>
        <x:v>380.41849649443975</x:v>
      </x:c>
      <x:c r="AP226" s="48" t="n">
        <x:f>ABS(AN226)</x:f>
        <x:v>57.1198943685345</x:v>
      </x:c>
      <x:c r="AQ226" s="48" t="n">
        <x:f>IF(OR(Inputs!$C$27=TRUE,Inputs!$C$27="TRUE",Inputs!$C$27=1),Inputs!$C$46/Inputs!$C$12,0)</x:f>
        <x:v>42.13483146067416</x:v>
      </x:c>
      <x:c r="AR226" s="48" t="n">
        <x:f>AC226-AQ226</x:f>
        <x:v>2169.168122653596</x:v>
      </x:c>
      <x:c r="AS226" s="48" t="n">
        <x:f>AC226+AQ226</x:f>
        <x:v>2253.437785574945</x:v>
      </x:c>
    </x:row>
    <x:row r="227">
      <x:c r="A227" s="48" t="n">
        <x:f>Inputs!$C$7+225*(Inputs!$C$8-Inputs!$C$7)/240</x:f>
        <x:v>52.5</x:v>
      </x:c>
      <x:c r="B227" s="48" t="n">
        <x:f>Inputs!$C$5+Inputs!$C$9*(A227/Inputs!$C$10)^2</x:f>
        <x:v>403.0625</x:v>
      </x:c>
      <x:c r="C227" s="48" t="n">
        <x:f>B227</x:f>
        <x:v>403.0625</x:v>
      </x:c>
      <x:c r="D227" s="48" t="n">
        <x:f>SQRT(A227^2+Inputs!$C$6^2+B227^2)</x:f>
        <x:v>407.2353483015073</x:v>
      </x:c>
      <x:c r="E227" s="48" t="n">
        <x:f>(D227-C227)*1000</x:f>
        <x:v>4172.848301507315</x:v>
      </x:c>
      <x:c r="F227" s="48" t="n">
        <x:f>E227/Inputs!$C$12</x:f>
        <x:v>2344.296798599615</x:v>
      </x:c>
      <x:c r="G227" s="48" t="n">
        <x:f>2*E227/Inputs!$C$21*1000000</x:f>
        <x:v>27.838247361828664</x:v>
      </x:c>
      <x:c r="H227" s="48" t="n">
        <x:f>SQRT(A227^2+Inputs!$C$6^2)</x:f>
        <x:v>58.148516748065035</x:v>
      </x:c>
      <x:c r="I227" s="48" t="n">
        <x:f>DEGREES(ATAN(H227/B227))</x:f>
        <x:v>8.2092359122646</x:v>
      </x:c>
      <x:c r="J227" s="48" t="n">
        <x:f>DEGREES((2*PI()/Inputs!$C$13)*Inputs!$C$15*SIN(RADIANS(I227)))</x:f>
        <x:v>51.403853119854354</x:v>
      </x:c>
      <x:c r="K227" s="48" t="n">
        <x:f>(C227/D227)^4</x:f>
        <x:v>0.9596385924334114</x:v>
      </x:c>
      <x:c r="L227" s="48" t="n">
        <x:f>10*LOG10(K227)</x:f>
        <x:v>-0.178922949436266</x:v>
      </x:c>
      <x:c r="M227" s="48" t="n">
        <x:f>2*(Inputs!$C$9/(Inputs!$C$10^2))*A227</x:f>
        <x:v>0.11666666666666667</x:v>
      </x:c>
      <x:c r="N227" s="48" t="n">
        <x:f>M227*Inputs!$C$11</x:f>
        <x:v>0.4666666666666667</x:v>
      </x:c>
      <x:c r="O227" s="48" t="n">
        <x:f>1000*((A227*Inputs!$C$11)+(B227*N227))/D227</x:f>
        <x:v>977.5571668660567</x:v>
      </x:c>
      <x:c r="P227" s="48" t="n">
        <x:f>-2*O227/Inputs!$C$13</x:f>
        <x:v>-391.02286674642266</x:v>
      </x:c>
      <x:c r="Q227" s="48" t="n">
        <x:f>-2*O227/Inputs!$C$14</x:f>
        <x:v>-58.71214215411752</x:v>
      </x:c>
      <x:c r="R227" s="48" t="n">
        <x:f>F227-Inputs!$C$16/2</x:f>
        <x:v>2329.296798599615</x:v>
      </x:c>
      <x:c r="S227" s="48" t="n">
        <x:f>F227+Inputs!$C$16/2</x:f>
        <x:v>2359.296798599615</x:v>
      </x:c>
      <x:c r="T227" s="48" t="n">
        <x:f>F227-Inputs!$C$17/2</x:f>
        <x:v>2194.296798599615</x:v>
      </x:c>
      <x:c r="U227" s="48" t="n">
        <x:f>F227+Inputs!$C$17/2</x:f>
        <x:v>2494.296798599615</x:v>
      </x:c>
      <x:c r="V227" s="48" t="n">
        <x:f>ABS(P227)</x:f>
        <x:v>391.02286674642266</x:v>
      </x:c>
      <x:c r="W227" s="48" t="n">
        <x:f>ABS(Q227)</x:f>
        <x:v>58.71214215411752</x:v>
      </x:c>
      <x:c r="X227" s="48" t="n">
        <x: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(0.45*SIN(2*PI()*(((A227)/Inputs!$C$49)+Inputs!$C$47*0.137))+0.35*COS(2*PI()*(((0)/Inputs!$C$50)+Inputs!$C$47*0.173))+0.20*SIN(2*PI()*(((A227)+(0))/(0.5*(Inputs!$C$49+Inputs!$C$50))+Inputs!$C$47*0.097)))+0.30*(2*((SIN(((A227)*12.9898+(0)*78.233+Inputs!$C$47*37.719))*43758.5453)-INT((SIN(((A227)*12.9898+(0)*78.233+Inputs!$C$47*37.719))*43758.5453)))-1)))</x:f>
        <x:v>6.588346931916092</x:v>
      </x:c>
      <x:c r="Y227" s="48" t="n">
        <x: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(0.45*SIN(2*PI()*(((A227)/Inputs!$C$49)+Inputs!$C$47*0.137))+0.35*COS(2*PI()*(((Inputs!$C$6)/Inputs!$C$50)+Inputs!$C$47*0.173))+0.20*SIN(2*PI()*(((A227)+(Inputs!$C$6))/(0.5*(Inputs!$C$49+Inputs!$C$50))+Inputs!$C$47*0.097)))+0.30*(2*((SIN(((A227)*12.9898+(Inputs!$C$6)*78.233+Inputs!$C$47*37.719))*43758.5453)-INT((SIN(((A227)*12.9898+(Inputs!$C$6)*78.233+Inputs!$C$47*37.719))*43758.5453)))-1)))</x:f>
        <x:v>164.06842387185546</x:v>
      </x:c>
      <x:c r="Z227" s="48" t="n">
        <x:f>B227-X227/1000</x:f>
        <x:v>403.0559116530681</x:v>
      </x:c>
      <x:c r="AA227" s="48" t="n">
        <x:f>SQRT(A227^2+Inputs!$C$6^2+(B227-Y227/1000)^2)</x:f>
        <x:v>407.0729617236989</x:v>
      </x:c>
      <x:c r="AB227" s="48" t="n">
        <x:f>(AA227-Z227)*1000</x:f>
        <x:v>4017.0500706307735</x:v>
      </x:c>
      <x:c r="AC227" s="48" t="n">
        <x:f>AB227/Inputs!$C$12</x:f>
        <x:v>2256.769702601558</x:v>
      </x:c>
      <x:c r="AD227" s="48" t="n">
        <x:f>2*AB227/Inputs!$C$21*1000000</x:f>
        <x:v>26.798873443512534</x:v>
      </x:c>
      <x:c r="AE227" s="48" t="n">
        <x:f>DEGREES(ATAN(H227/(B227-Y227/1000)))</x:f>
        <x:v>8.212533288889754</x:v>
      </x:c>
      <x:c r="AF227" s="48" t="n">
        <x:f>DEGREES((2*PI()/Inputs!$C$13)*Inputs!$C$15*SIN(RADIANS(AE227)))</x:f>
        <x:v>51.42435877014111</x:v>
      </x:c>
      <x:c r="AG227" s="48" t="n">
        <x:f>(Z227/AA227)^4</x:f>
        <x:v>0.9611079144768098</x:v>
      </x:c>
      <x:c r="AH227" s="48" t="n">
        <x:f>10*LOG10(AG227)</x:f>
        <x:v>-0.172278464307555</x:v>
      </x:c>
      <x:c r="AI227" s="48" t="n">
        <x:f>AC227-F227</x:f>
        <x:v>-87.52709599805712</x:v>
      </x:c>
      <x:c r="AJ227" s="48" t="n">
        <x:f>AD227-G227</x:f>
        <x:v>-1.0393739183161301</x:v>
      </x:c>
      <x:c r="AK227" s="48" t="n">
        <x:f>Y227-X227</x:f>
        <x:v>157.48007693993935</x:v>
      </x:c>
      <x:c r="AL227" s="48" t="n">
        <x:f>1000*(AA228-AA226)/(A228-A226)*Inputs!$C$11</x:f>
        <x:v>912.329280978156</x:v>
      </x:c>
      <x:c r="AM227" s="48" t="n">
        <x:f>-2*AL227/Inputs!$C$13</x:f>
        <x:v>-364.9317123912624</x:v>
      </x:c>
      <x:c r="AN227" s="48" t="n">
        <x:f>-2*AL227/Inputs!$C$14</x:f>
        <x:v>-54.794551410099466</x:v>
      </x:c>
      <x:c r="AO227" s="48" t="n">
        <x:f>ABS(AM227)</x:f>
        <x:v>364.9317123912624</x:v>
      </x:c>
      <x:c r="AP227" s="48" t="n">
        <x:f>ABS(AN227)</x:f>
        <x:v>54.794551410099466</x:v>
      </x:c>
      <x:c r="AQ227" s="48" t="n">
        <x:f>IF(OR(Inputs!$C$27=TRUE,Inputs!$C$27="TRUE",Inputs!$C$27=1),Inputs!$C$46/Inputs!$C$12,0)</x:f>
        <x:v>42.13483146067416</x:v>
      </x:c>
      <x:c r="AR227" s="48" t="n">
        <x:f>AC227-AQ227</x:f>
        <x:v>2214.6348711408837</x:v>
      </x:c>
      <x:c r="AS227" s="48" t="n">
        <x:f>AC227+AQ227</x:f>
        <x:v>2298.9045340622324</x:v>
      </x:c>
    </x:row>
    <x:row r="228">
      <x:c r="A228" s="48" t="n">
        <x:f>Inputs!$C$7+226*(Inputs!$C$8-Inputs!$C$7)/240</x:f>
        <x:v>53</x:v>
      </x:c>
      <x:c r="B228" s="48" t="n">
        <x:f>Inputs!$C$5+Inputs!$C$9*(A228/Inputs!$C$10)^2</x:f>
        <x:v>403.12111111111113</x:v>
      </x:c>
      <x:c r="C228" s="48" t="n">
        <x:f>B228</x:f>
        <x:v>403.12111111111113</x:v>
      </x:c>
      <x:c r="D228" s="48" t="n">
        <x:f>SQRT(A228^2+Inputs!$C$6^2+B228^2)</x:f>
        <x:v>407.3581105409058</x:v>
      </x:c>
      <x:c r="E228" s="48" t="n">
        <x:f>(D228-C228)*1000</x:f>
        <x:v>4236.9994297946505</x:v>
      </x:c>
      <x:c r="F228" s="48" t="n">
        <x:f>E228/Inputs!$C$12</x:f>
        <x:v>2380.3367583116014</x:v>
      </x:c>
      <x:c r="G228" s="48" t="n">
        <x:f>2*E228/Inputs!$C$21*1000000</x:f>
        <x:v>28.266217623090775</x:v>
      </x:c>
      <x:c r="H228" s="48" t="n">
        <x:f>SQRT(A228^2+Inputs!$C$6^2)</x:f>
        <x:v>58.60034129593445</x:v>
      </x:c>
      <x:c r="I228" s="48" t="n">
        <x:f>DEGREES(ATAN(H228/B228))</x:f>
        <x:v>8.27095770254524</x:v>
      </x:c>
      <x:c r="J228" s="48" t="n">
        <x:f>DEGREES((2*PI()/Inputs!$C$13)*Inputs!$C$15*SIN(RADIANS(I228)))</x:f>
        <x:v>51.78765886979433</x:v>
      </x:c>
      <x:c r="K228" s="48" t="n">
        <x:f>(C228/D228)^4</x:f>
        <x:v>0.9590399513018042</x:v>
      </x:c>
      <x:c r="L228" s="48" t="n">
        <x:f>10*LOG10(K228)</x:f>
        <x:v>-0.18163300787083397</x:v>
      </x:c>
      <x:c r="M228" s="48" t="n">
        <x:f>2*(Inputs!$C$9/(Inputs!$C$10^2))*A228</x:f>
        <x:v>0.11777777777777777</x:v>
      </x:c>
      <x:c r="N228" s="48" t="n">
        <x:f>M228*Inputs!$C$11</x:f>
        <x:v>0.4711111111111111</x:v>
      </x:c>
      <x:c r="O228" s="48" t="n">
        <x:f>1000*((A228*Inputs!$C$11)+(B228*N228))/D228</x:f>
        <x:v>986.6376148353185</x:v>
      </x:c>
      <x:c r="P228" s="48" t="n">
        <x:f>-2*O228/Inputs!$C$13</x:f>
        <x:v>-394.6550459341274</x:v>
      </x:c>
      <x:c r="Q228" s="48" t="n">
        <x:f>-2*O228/Inputs!$C$14</x:f>
        <x:v>-59.25751440452363</x:v>
      </x:c>
      <x:c r="R228" s="48" t="n">
        <x:f>F228-Inputs!$C$16/2</x:f>
        <x:v>2365.3367583116014</x:v>
      </x:c>
      <x:c r="S228" s="48" t="n">
        <x:f>F228+Inputs!$C$16/2</x:f>
        <x:v>2395.3367583116014</x:v>
      </x:c>
      <x:c r="T228" s="48" t="n">
        <x:f>F228-Inputs!$C$17/2</x:f>
        <x:v>2230.3367583116014</x:v>
      </x:c>
      <x:c r="U228" s="48" t="n">
        <x:f>F228+Inputs!$C$17/2</x:f>
        <x:v>2530.3367583116014</x:v>
      </x:c>
      <x:c r="V228" s="48" t="n">
        <x:f>ABS(P228)</x:f>
        <x:v>394.6550459341274</x:v>
      </x:c>
      <x:c r="W228" s="48" t="n">
        <x:f>ABS(Q228)</x:f>
        <x:v>59.25751440452363</x:v>
      </x:c>
      <x:c r="X228" s="48" t="n">
        <x: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(0.45*SIN(2*PI()*(((A228)/Inputs!$C$49)+Inputs!$C$47*0.137))+0.35*COS(2*PI()*(((0)/Inputs!$C$50)+Inputs!$C$47*0.173))+0.20*SIN(2*PI()*(((A228)+(0))/(0.5*(Inputs!$C$49+Inputs!$C$50))+Inputs!$C$47*0.097)))+0.30*(2*((SIN(((A228)*12.9898+(0)*78.233+Inputs!$C$47*37.719))*43758.5453)-INT((SIN(((A228)*12.9898+(0)*78.233+Inputs!$C$47*37.719))*43758.5453)))-1)))</x:f>
        <x:v>4.508396540761183</x:v>
      </x:c>
      <x:c r="Y228" s="48" t="n">
        <x: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(0.45*SIN(2*PI()*(((A228)/Inputs!$C$49)+Inputs!$C$47*0.137))+0.35*COS(2*PI()*(((Inputs!$C$6)/Inputs!$C$50)+Inputs!$C$47*0.173))+0.20*SIN(2*PI()*(((A228)+(Inputs!$C$6))/(0.5*(Inputs!$C$49+Inputs!$C$50))+Inputs!$C$47*0.097)))+0.30*(2*((SIN(((A228)*12.9898+(Inputs!$C$6)*78.233+Inputs!$C$47*37.719))*43758.5453)-INT((SIN(((A228)*12.9898+(Inputs!$C$6)*78.233+Inputs!$C$47*37.719))*43758.5453)))-1)))</x:f>
        <x:v>183.5232809151917</x:v>
      </x:c>
      <x:c r="Z228" s="48" t="n">
        <x:f>B228-X228/1000</x:f>
        <x:v>403.1166027145704</x:v>
      </x:c>
      <x:c r="AA228" s="48" t="n">
        <x:f>SQRT(A228^2+Inputs!$C$6^2+(B228-Y228/1000)^2)</x:f>
        <x:v>407.17649697203404</x:v>
      </x:c>
      <x:c r="AB228" s="48" t="n">
        <x:f>(AA228-Z228)*1000</x:f>
        <x:v>4059.894257463668</x:v>
      </x:c>
      <x:c r="AC228" s="48" t="n">
        <x:f>AB228/Inputs!$C$12</x:f>
        <x:v>2280.8394704852067</x:v>
      </x:c>
      <x:c r="AD228" s="48" t="n">
        <x:f>2*AB228/Inputs!$C$21*1000000</x:f>
        <x:v>27.084699091820838</x:v>
      </x:c>
      <x:c r="AE228" s="48" t="n">
        <x:f>DEGREES(ATAN(H228/(B228-Y228/1000)))</x:f>
        <x:v>8.2746726688029</x:v>
      </x:c>
      <x:c r="AF228" s="48" t="n">
        <x:f>DEGREES((2*PI()/Inputs!$C$13)*Inputs!$C$15*SIN(RADIANS(AE228)))</x:f>
        <x:v>51.81075780016188</x:v>
      </x:c>
      <x:c r="AG228" s="48" t="n">
        <x:f>(Z228/AA228)^4</x:f>
        <x:v>0.9607091663251855</x:v>
      </x:c>
      <x:c r="AH228" s="48" t="n">
        <x:f>10*LOG10(AG228)</x:f>
        <x:v>-0.17408065584944998</x:v>
      </x:c>
      <x:c r="AI228" s="48" t="n">
        <x:f>AC228-F228</x:f>
        <x:v>-99.49728782639477</x:v>
      </x:c>
      <x:c r="AJ228" s="48" t="n">
        <x:f>AD228-G228</x:f>
        <x:v>-1.181518531269937</x:v>
      </x:c>
      <x:c r="AK228" s="48" t="n">
        <x:f>Y228-X228</x:f>
        <x:v>179.0148843744305</x:v>
      </x:c>
      <x:c r="AL228" s="48" t="n">
        <x:f>1000*(AA229-AA227)/(A229-A227)*Inputs!$C$11</x:f>
        <x:v>919.6637177055891</x:v>
      </x:c>
      <x:c r="AM228" s="48" t="n">
        <x:f>-2*AL228/Inputs!$C$13</x:f>
        <x:v>-367.86548708223563</x:v>
      </x:c>
      <x:c r="AN228" s="48" t="n">
        <x:f>-2*AL228/Inputs!$C$14</x:f>
        <x:v>-55.235058120455804</x:v>
      </x:c>
      <x:c r="AO228" s="48" t="n">
        <x:f>ABS(AM228)</x:f>
        <x:v>367.86548708223563</x:v>
      </x:c>
      <x:c r="AP228" s="48" t="n">
        <x:f>ABS(AN228)</x:f>
        <x:v>55.235058120455804</x:v>
      </x:c>
      <x:c r="AQ228" s="48" t="n">
        <x:f>IF(OR(Inputs!$C$27=TRUE,Inputs!$C$27="TRUE",Inputs!$C$27=1),Inputs!$C$46/Inputs!$C$12,0)</x:f>
        <x:v>42.13483146067416</x:v>
      </x:c>
      <x:c r="AR228" s="48" t="n">
        <x:f>AC228-AQ228</x:f>
        <x:v>2238.7046390245323</x:v>
      </x:c>
      <x:c r="AS228" s="48" t="n">
        <x:f>AC228+AQ228</x:f>
        <x:v>2322.974301945881</x:v>
      </x:c>
    </x:row>
    <x:row r="229">
      <x:c r="A229" s="48" t="n">
        <x:f>Inputs!$C$7+227*(Inputs!$C$8-Inputs!$C$7)/240</x:f>
        <x:v>53.5</x:v>
      </x:c>
      <x:c r="B229" s="48" t="n">
        <x:f>Inputs!$C$5+Inputs!$C$9*(A229/Inputs!$C$10)^2</x:f>
        <x:v>403.1802777777778</x:v>
      </x:c>
      <x:c r="C229" s="48" t="n">
        <x:f>B229</x:f>
        <x:v>403.1802777777778</x:v>
      </x:c>
      <x:c r="D229" s="48" t="n">
        <x:f>SQRT(A229^2+Inputs!$C$6^2+B229^2)</x:f>
        <x:v>407.48200744200483</x:v>
      </x:c>
      <x:c r="E229" s="48" t="n">
        <x:f>(D229-C229)*1000</x:f>
        <x:v>4301.729664227025</x:v>
      </x:c>
      <x:c r="F229" s="48" t="n">
        <x:f>E229/Inputs!$C$12</x:f>
        <x:v>2416.7020585545083</x:v>
      </x:c>
      <x:c r="G229" s="48" t="n">
        <x:f>2*E229/Inputs!$C$21*1000000</x:f>
        <x:v>28.69805126469876</x:v>
      </x:c>
      <x:c r="H229" s="48" t="n">
        <x:f>SQRT(A229^2+Inputs!$C$6^2)</x:f>
        <x:v>59.052942348370756</x:v>
      </x:c>
      <x:c r="I229" s="48" t="n">
        <x:f>DEGREES(ATAN(H229/B229))</x:f>
        <x:v>8.33273894188251</x:v>
      </x:c>
      <x:c r="J229" s="48" t="n">
        <x:f>DEGREES((2*PI()/Inputs!$C$13)*Inputs!$C$15*SIN(RADIANS(I229)))</x:f>
        <x:v>52.17177410818362</x:v>
      </x:c>
      <x:c r="K229" s="48" t="n">
        <x:f>(C229/D229)^4</x:f>
        <x:v>0.9584365580404887</x:v>
      </x:c>
      <x:c r="L229" s="48" t="n">
        <x:f>10*LOG10(K229)</x:f>
        <x:v>-0.184366291654807</x:v>
      </x:c>
      <x:c r="M229" s="48" t="n">
        <x:f>2*(Inputs!$C$9/(Inputs!$C$10^2))*A229</x:f>
        <x:v>0.11888888888888889</x:v>
      </x:c>
      <x:c r="N229" s="48" t="n">
        <x:f>M229*Inputs!$C$11</x:f>
        <x:v>0.47555555555555556</x:v>
      </x:c>
      <x:c r="O229" s="48" t="n">
        <x:f>1000*((A229*Inputs!$C$11)+(B229*N229))/D229</x:f>
        <x:v>995.7117457398431</x:v>
      </x:c>
      <x:c r="P229" s="48" t="n">
        <x:f>-2*O229/Inputs!$C$13</x:f>
        <x:v>-398.28469829593723</x:v>
      </x:c>
      <x:c r="Q229" s="48" t="n">
        <x:f>-2*O229/Inputs!$C$14</x:f>
        <x:v>-59.80250725164223</x:v>
      </x:c>
      <x:c r="R229" s="48" t="n">
        <x:f>F229-Inputs!$C$16/2</x:f>
        <x:v>2401.7020585545083</x:v>
      </x:c>
      <x:c r="S229" s="48" t="n">
        <x:f>F229+Inputs!$C$16/2</x:f>
        <x:v>2431.7020585545083</x:v>
      </x:c>
      <x:c r="T229" s="48" t="n">
        <x:f>F229-Inputs!$C$17/2</x:f>
        <x:v>2266.7020585545083</x:v>
      </x:c>
      <x:c r="U229" s="48" t="n">
        <x:f>F229+Inputs!$C$17/2</x:f>
        <x:v>2566.7020585545083</x:v>
      </x:c>
      <x:c r="V229" s="48" t="n">
        <x:f>ABS(P229)</x:f>
        <x:v>398.28469829593723</x:v>
      </x:c>
      <x:c r="W229" s="48" t="n">
        <x:f>ABS(Q229)</x:f>
        <x:v>59.80250725164223</x:v>
      </x:c>
      <x:c r="X229" s="48" t="n">
        <x: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(0.45*SIN(2*PI()*(((A229)/Inputs!$C$49)+Inputs!$C$47*0.137))+0.35*COS(2*PI()*(((0)/Inputs!$C$50)+Inputs!$C$47*0.173))+0.20*SIN(2*PI()*(((A229)+(0))/(0.5*(Inputs!$C$49+Inputs!$C$50))+Inputs!$C$47*0.097)))+0.30*(2*((SIN(((A229)*12.9898+(0)*78.233+Inputs!$C$47*37.719))*43758.5453)-INT((SIN(((A229)*12.9898+(0)*78.233+Inputs!$C$47*37.719))*43758.5453)))-1)))</x:f>
        <x:v>-0.1280560890739677</x:v>
      </x:c>
      <x:c r="Y229" s="48" t="n">
        <x: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(0.45*SIN(2*PI()*(((A229)/Inputs!$C$49)+Inputs!$C$47*0.137))+0.35*COS(2*PI()*(((Inputs!$C$6)/Inputs!$C$50)+Inputs!$C$47*0.173))+0.20*SIN(2*PI()*(((A229)+(Inputs!$C$6))/(0.5*(Inputs!$C$49+Inputs!$C$50))+Inputs!$C$47*0.097)))+0.30*(2*((SIN(((A229)*12.9898+(Inputs!$C$6)*78.233+Inputs!$C$47*37.719))*43758.5453)-INT((SIN(((A229)*12.9898+(Inputs!$C$6)*78.233+Inputs!$C$47*37.719))*43758.5453)))-1)))</x:f>
        <x:v>181.04186719105834</x:v>
      </x:c>
      <x:c r="Z229" s="48" t="n">
        <x:f>B229-X229/1000</x:f>
        <x:v>403.18040583386687</x:v>
      </x:c>
      <x:c r="AA229" s="48" t="n">
        <x:f>SQRT(A229^2+Inputs!$C$6^2+(B229-Y229/1000)^2)</x:f>
        <x:v>407.3028776531253</x:v>
      </x:c>
      <x:c r="AB229" s="48" t="n">
        <x:f>(AA229-Z229)*1000</x:f>
        <x:v>4122.471819258408</x:v>
      </x:c>
      <x:c r="AC229" s="48" t="n">
        <x:f>AB229/Inputs!$C$12</x:f>
        <x:v>2315.995404077757</x:v>
      </x:c>
      <x:c r="AD229" s="48" t="n">
        <x:f>2*AB229/Inputs!$C$21*1000000</x:f>
        <x:v>27.502171647416212</x:v>
      </x:c>
      <x:c r="AE229" s="48" t="n">
        <x:f>DEGREES(ATAN(H229/(B229-Y229/1000)))</x:f>
        <x:v>8.33642971440627</x:v>
      </x:c>
      <x:c r="AF229" s="48" t="n">
        <x:f>DEGREES((2*PI()/Inputs!$C$13)*Inputs!$C$15*SIN(RADIANS(AE229)))</x:f>
        <x:v>52.194718996114005</x:v>
      </x:c>
      <x:c r="AG229" s="48" t="n">
        <x:f>(Z229/AA229)^4</x:f>
        <x:v>0.9601249530594227</x:v>
      </x:c>
      <x:c r="AH229" s="48" t="n">
        <x:f>10*LOG10(AG229)</x:f>
        <x:v>-0.176722431136951</x:v>
      </x:c>
      <x:c r="AI229" s="48" t="n">
        <x:f>AC229-F229</x:f>
        <x:v>-100.70665447675128</x:v>
      </x:c>
      <x:c r="AJ229" s="48" t="n">
        <x:f>AD229-G229</x:f>
        <x:v>-1.1958796172825465</x:v>
      </x:c>
      <x:c r="AK229" s="48" t="n">
        <x:f>Y229-X229</x:f>
        <x:v>181.1699232801323</x:v>
      </x:c>
      <x:c r="AL229" s="48" t="n">
        <x:f>1000*(AA230-AA228)/(A230-A228)*Inputs!$C$11</x:f>
        <x:v>1003.7810833987351</x:v>
      </x:c>
      <x:c r="AM229" s="48" t="n">
        <x:f>-2*AL229/Inputs!$C$13</x:f>
        <x:v>-401.512433359494</x:v>
      </x:c>
      <x:c r="AN229" s="48" t="n">
        <x:f>-2*AL229/Inputs!$C$14</x:f>
        <x:v>-60.28715215608019</x:v>
      </x:c>
      <x:c r="AO229" s="48" t="n">
        <x:f>ABS(AM229)</x:f>
        <x:v>401.512433359494</x:v>
      </x:c>
      <x:c r="AP229" s="48" t="n">
        <x:f>ABS(AN229)</x:f>
        <x:v>60.28715215608019</x:v>
      </x:c>
      <x:c r="AQ229" s="48" t="n">
        <x:f>IF(OR(Inputs!$C$27=TRUE,Inputs!$C$27="TRUE",Inputs!$C$27=1),Inputs!$C$46/Inputs!$C$12,0)</x:f>
        <x:v>42.13483146067416</x:v>
      </x:c>
      <x:c r="AR229" s="48" t="n">
        <x:f>AC229-AQ229</x:f>
        <x:v>2273.8605726170827</x:v>
      </x:c>
      <x:c r="AS229" s="48" t="n">
        <x:f>AC229+AQ229</x:f>
        <x:v>2358.1302355384314</x:v>
      </x:c>
    </x:row>
    <x:row r="230">
      <x:c r="A230" s="48" t="n">
        <x:f>Inputs!$C$7+228*(Inputs!$C$8-Inputs!$C$7)/240</x:f>
        <x:v>54</x:v>
      </x:c>
      <x:c r="B230" s="48" t="n">
        <x:f>Inputs!$C$5+Inputs!$C$9*(A230/Inputs!$C$10)^2</x:f>
        <x:v>403.24</x:v>
      </x:c>
      <x:c r="C230" s="48" t="n">
        <x:f>B230</x:f>
        <x:v>403.24</x:v>
      </x:c>
      <x:c r="D230" s="48" t="n">
        <x:f>SQRT(A230^2+Inputs!$C$6^2+B230^2)</x:f>
        <x:v>407.6070382120505</x:v>
      </x:c>
      <x:c r="E230" s="48" t="n">
        <x:f>(D230-C230)*1000</x:f>
        <x:v>4367.038212050488</x:v>
      </x:c>
      <x:c r="F230" s="48" t="n">
        <x:f>E230/Inputs!$C$12</x:f>
        <x:v>2453.3922539609484</x:v>
      </x:c>
      <x:c r="G230" s="48" t="n">
        <x:f>2*E230/Inputs!$C$21*1000000</x:f>
        <x:v>29.133742997967538</x:v>
      </x:c>
      <x:c r="H230" s="48" t="n">
        <x:f>SQRT(A230^2+Inputs!$C$6^2)</x:f>
        <x:v>59.50630218724736</x:v>
      </x:c>
      <x:c r="I230" s="48" t="n">
        <x:f>DEGREES(ATAN(H230/B230))</x:f>
        <x:v>8.394576667627003</x:v>
      </x:c>
      <x:c r="J230" s="48" t="n">
        <x:f>DEGREES((2*PI()/Inputs!$C$13)*Inputs!$C$15*SIN(RADIANS(I230)))</x:f>
        <x:v>52.55617979850606</x:v>
      </x:c>
      <x:c r="K230" s="48" t="n">
        <x:f>(C230/D230)^4</x:f>
        <x:v>0.9578284367610922</x:v>
      </x:c>
      <x:c r="L230" s="48" t="n">
        <x:f>10*LOG10(K230)</x:f>
        <x:v>-0.187122734271587</x:v>
      </x:c>
      <x:c r="M230" s="48" t="n">
        <x:f>2*(Inputs!$C$9/(Inputs!$C$10^2))*A230</x:f>
        <x:v>0.12</x:v>
      </x:c>
      <x:c r="N230" s="48" t="n">
        <x:f>M230*Inputs!$C$11</x:f>
        <x:v>0.48</x:v>
      </x:c>
      <x:c r="O230" s="48" t="n">
        <x:f>1000*((A230*Inputs!$C$11)+(B230*N230))/D230</x:f>
        <x:v>1004.7795096877988</x:v>
      </x:c>
      <x:c r="P230" s="48" t="n">
        <x:f>-2*O230/Inputs!$C$13</x:f>
        <x:v>-401.9118038751195</x:v>
      </x:c>
      <x:c r="Q230" s="48" t="n">
        <x:f>-2*O230/Inputs!$C$14</x:f>
        <x:v>-60.347117698966905</x:v>
      </x:c>
      <x:c r="R230" s="48" t="n">
        <x:f>F230-Inputs!$C$16/2</x:f>
        <x:v>2438.3922539609484</x:v>
      </x:c>
      <x:c r="S230" s="48" t="n">
        <x:f>F230+Inputs!$C$16/2</x:f>
        <x:v>2468.3922539609484</x:v>
      </x:c>
      <x:c r="T230" s="48" t="n">
        <x:f>F230-Inputs!$C$17/2</x:f>
        <x:v>2303.3922539609484</x:v>
      </x:c>
      <x:c r="U230" s="48" t="n">
        <x:f>F230+Inputs!$C$17/2</x:f>
        <x:v>2603.3922539609484</x:v>
      </x:c>
      <x:c r="V230" s="48" t="n">
        <x:f>ABS(P230)</x:f>
        <x:v>401.9118038751195</x:v>
      </x:c>
      <x:c r="W230" s="48" t="n">
        <x:f>ABS(Q230)</x:f>
        <x:v>60.347117698966905</x:v>
      </x:c>
      <x:c r="X230" s="48" t="n">
        <x: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(0.45*SIN(2*PI()*(((A230)/Inputs!$C$49)+Inputs!$C$47*0.137))+0.35*COS(2*PI()*(((0)/Inputs!$C$50)+Inputs!$C$47*0.173))+0.20*SIN(2*PI()*(((A230)+(0))/(0.5*(Inputs!$C$49+Inputs!$C$50))+Inputs!$C$47*0.097)))+0.30*(2*((SIN(((A230)*12.9898+(0)*78.233+Inputs!$C$47*37.719))*43758.5453)-INT((SIN(((A230)*12.9898+(0)*78.233+Inputs!$C$47*37.719))*43758.5453)))-1)))</x:f>
        <x:v>-7.852837825142384</x:v>
      </x:c>
      <x:c r="Y230" s="48" t="n">
        <x: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(0.45*SIN(2*PI()*(((A230)/Inputs!$C$49)+Inputs!$C$47*0.137))+0.35*COS(2*PI()*(((Inputs!$C$6)/Inputs!$C$50)+Inputs!$C$47*0.173))+0.20*SIN(2*PI()*(((A230)+(Inputs!$C$6))/(0.5*(Inputs!$C$49+Inputs!$C$50))+Inputs!$C$47*0.097)))+0.30*(2*((SIN(((A230)*12.9898+(Inputs!$C$6)*78.233+Inputs!$C$47*37.719))*43758.5453)-INT((SIN(((A230)*12.9898+(Inputs!$C$6)*78.233+Inputs!$C$47*37.719))*43758.5453)))-1)))</x:f>
        <x:v>181.54184215615243</x:v>
      </x:c>
      <x:c r="Z230" s="48" t="n">
        <x:f>B230-X230/1000</x:f>
        <x:v>403.2478528378252</x:v>
      </x:c>
      <x:c r="AA230" s="48" t="n">
        <x:f>SQRT(A230^2+Inputs!$C$6^2+(B230-Y230/1000)^2)</x:f>
        <x:v>407.4274422428837</x:v>
      </x:c>
      <x:c r="AB230" s="48" t="n">
        <x:f>(AA230-Z230)*1000</x:f>
        <x:v>4179.58940505855</x:v>
      </x:c>
      <x:c r="AC230" s="48" t="n">
        <x:f>AB230/Inputs!$C$12</x:f>
        <x:v>2348.0839354261516</x:v>
      </x:c>
      <x:c r="AD230" s="48" t="n">
        <x:f>2*AB230/Inputs!$C$21*1000000</x:f>
        <x:v>27.88321916396276</x:v>
      </x:c>
      <x:c r="AE230" s="48" t="n">
        <x:f>DEGREES(ATAN(H230/(B230-Y230/1000)))</x:f>
        <x:v>8.398303761936601</x:v>
      </x:c>
      <x:c r="AF230" s="48" t="n">
        <x:f>DEGREES((2*PI()/Inputs!$C$13)*Inputs!$C$15*SIN(RADIANS(AE230)))</x:f>
        <x:v>52.579346814440605</x:v>
      </x:c>
      <x:c r="AG230" s="48" t="n">
        <x:f>(Z230/AA230)^4</x:f>
        <x:v>0.9595931614202566</x:v>
      </x:c>
      <x:c r="AH230" s="48" t="n">
        <x:f>10*LOG10(AG230)</x:f>
        <x:v>-0.179128557104902</x:v>
      </x:c>
      <x:c r="AI230" s="48" t="n">
        <x:f>AC230-F230</x:f>
        <x:v>-105.30831853479685</x:v>
      </x:c>
      <x:c r="AJ230" s="48" t="n">
        <x:f>AD230-G230</x:f>
        <x:v>-1.2505238340047775</x:v>
      </x:c>
      <x:c r="AK230" s="48" t="n">
        <x:f>Y230-X230</x:f>
        <x:v>189.39467998129481</x:v>
      </x:c>
      <x:c r="AL230" s="48" t="n">
        <x:f>1000*(AA231-AA229)/(A231-A229)*Inputs!$C$11</x:f>
        <x:v>1022.2663409135748</x:v>
      </x:c>
      <x:c r="AM230" s="48" t="n">
        <x:f>-2*AL230/Inputs!$C$13</x:f>
        <x:v>-408.90653636542993</x:v>
      </x:c>
      <x:c r="AN230" s="48" t="n">
        <x:f>-2*AL230/Inputs!$C$14</x:f>
        <x:v>-61.397377832647145</x:v>
      </x:c>
      <x:c r="AO230" s="48" t="n">
        <x:f>ABS(AM230)</x:f>
        <x:v>408.90653636542993</x:v>
      </x:c>
      <x:c r="AP230" s="48" t="n">
        <x:f>ABS(AN230)</x:f>
        <x:v>61.397377832647145</x:v>
      </x:c>
      <x:c r="AQ230" s="48" t="n">
        <x:f>IF(OR(Inputs!$C$27=TRUE,Inputs!$C$27="TRUE",Inputs!$C$27=1),Inputs!$C$46/Inputs!$C$12,0)</x:f>
        <x:v>42.13483146067416</x:v>
      </x:c>
      <x:c r="AR230" s="48" t="n">
        <x:f>AC230-AQ230</x:f>
        <x:v>2305.949103965477</x:v>
      </x:c>
      <x:c r="AS230" s="48" t="n">
        <x:f>AC230+AQ230</x:f>
        <x:v>2390.218766886826</x:v>
      </x:c>
    </x:row>
    <x:row r="231">
      <x:c r="A231" s="48" t="n">
        <x:f>Inputs!$C$7+229*(Inputs!$C$8-Inputs!$C$7)/240</x:f>
        <x:v>54.5</x:v>
      </x:c>
      <x:c r="B231" s="48" t="n">
        <x:f>Inputs!$C$5+Inputs!$C$9*(A231/Inputs!$C$10)^2</x:f>
        <x:v>403.30027777777775</x:v>
      </x:c>
      <x:c r="C231" s="48" t="n">
        <x:f>B231</x:f>
        <x:v>403.30027777777775</x:v>
      </x:c>
      <x:c r="D231" s="48" t="n">
        <x:f>SQRT(A231^2+Inputs!$C$6^2+B231^2)</x:f>
        <x:v>407.73320205206824</x:v>
      </x:c>
      <x:c r="E231" s="48" t="n">
        <x:f>(D231-C231)*1000</x:f>
        <x:v>4432.924274290485</x:v>
      </x:c>
      <x:c r="F231" s="48" t="n">
        <x:f>E231/Inputs!$C$12</x:f>
        <x:v>2490.406895668812</x:v>
      </x:c>
      <x:c r="G231" s="48" t="n">
        <x:f>2*E231/Inputs!$C$21*1000000</x:f>
        <x:v>29.57328749271261</x:v>
      </x:c>
      <x:c r="H231" s="48" t="n">
        <x:f>SQRT(A231^2+Inputs!$C$6^2)</x:f>
        <x:v>59.96040360104325</x:v>
      </x:c>
      <x:c r="I231" s="48" t="n">
        <x:f>DEGREES(ATAN(H231/B231))</x:f>
        <x:v>8.45646799120709</x:v>
      </x:c>
      <x:c r="J231" s="48" t="n">
        <x:f>DEGREES((2*PI()/Inputs!$C$13)*Inputs!$C$15*SIN(RADIANS(I231)))</x:f>
        <x:v>52.94085737373685</x:v>
      </x:c>
      <x:c r="K231" s="48" t="n">
        <x:f>(C231/D231)^4</x:f>
        <x:v>0.9572156117138775</x:v>
      </x:c>
      <x:c r="L231" s="48" t="n">
        <x:f>10*LOG10(K231)</x:f>
        <x:v>-0.189902268723279</x:v>
      </x:c>
      <x:c r="M231" s="48" t="n">
        <x:f>2*(Inputs!$C$9/(Inputs!$C$10^2))*A231</x:f>
        <x:v>0.12111111111111111</x:v>
      </x:c>
      <x:c r="N231" s="48" t="n">
        <x:f>M231*Inputs!$C$11</x:f>
        <x:v>0.48444444444444446</x:v>
      </x:c>
      <x:c r="O231" s="48" t="n">
        <x:f>1000*((A231*Inputs!$C$11)+(B231*N231))/D231</x:f>
        <x:v>1013.8408570405232</x:v>
      </x:c>
      <x:c r="P231" s="48" t="n">
        <x:f>-2*O231/Inputs!$C$13</x:f>
        <x:v>-405.5363428162093</x:v>
      </x:c>
      <x:c r="Q231" s="48" t="n">
        <x:f>-2*O231/Inputs!$C$14</x:f>
        <x:v>-60.8913427651966</x:v>
      </x:c>
      <x:c r="R231" s="48" t="n">
        <x:f>F231-Inputs!$C$16/2</x:f>
        <x:v>2475.406895668812</x:v>
      </x:c>
      <x:c r="S231" s="48" t="n">
        <x:f>F231+Inputs!$C$16/2</x:f>
        <x:v>2505.406895668812</x:v>
      </x:c>
      <x:c r="T231" s="48" t="n">
        <x:f>F231-Inputs!$C$17/2</x:f>
        <x:v>2340.406895668812</x:v>
      </x:c>
      <x:c r="U231" s="48" t="n">
        <x:f>F231+Inputs!$C$17/2</x:f>
        <x:v>2640.406895668812</x:v>
      </x:c>
      <x:c r="V231" s="48" t="n">
        <x:f>ABS(P231)</x:f>
        <x:v>405.5363428162093</x:v>
      </x:c>
      <x:c r="W231" s="48" t="n">
        <x:f>ABS(Q231)</x:f>
        <x:v>60.8913427651966</x:v>
      </x:c>
      <x:c r="X231" s="48" t="n">
        <x: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(0.45*SIN(2*PI()*(((A231)/Inputs!$C$49)+Inputs!$C$47*0.137))+0.35*COS(2*PI()*(((0)/Inputs!$C$50)+Inputs!$C$47*0.173))+0.20*SIN(2*PI()*(((A231)+(0))/(0.5*(Inputs!$C$49+Inputs!$C$50))+Inputs!$C$47*0.097)))+0.30*(2*((SIN(((A231)*12.9898+(0)*78.233+Inputs!$C$47*37.719))*43758.5453)-INT((SIN(((A231)*12.9898+(0)*78.233+Inputs!$C$47*37.719))*43758.5453)))-1)))</x:f>
        <x:v>-10.88592803052483</x:v>
      </x:c>
      <x:c r="Y231" s="48" t="n">
        <x: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(0.45*SIN(2*PI()*(((A231)/Inputs!$C$49)+Inputs!$C$47*0.137))+0.35*COS(2*PI()*(((Inputs!$C$6)/Inputs!$C$50)+Inputs!$C$47*0.173))+0.20*SIN(2*PI()*(((A231)+(Inputs!$C$6))/(0.5*(Inputs!$C$49+Inputs!$C$50))+Inputs!$C$47*0.097)))+0.30*(2*((SIN(((A231)*12.9898+(Inputs!$C$6)*78.233+Inputs!$C$47*37.719))*43758.5453)-INT((SIN(((A231)*12.9898+(Inputs!$C$6)*78.233+Inputs!$C$47*37.719))*43758.5453)))-1)))</x:f>
        <x:v>176.67952286630316</x:v>
      </x:c>
      <x:c r="Z231" s="48" t="n">
        <x:f>B231-X231/1000</x:f>
        <x:v>403.31116370580827</x:v>
      </x:c>
      <x:c r="AA231" s="48" t="n">
        <x:f>SQRT(A231^2+Inputs!$C$6^2+(B231-Y231/1000)^2)</x:f>
        <x:v>407.5584442383537</x:v>
      </x:c>
      <x:c r="AB231" s="48" t="n">
        <x:f>(AA231-Z231)*1000</x:f>
        <x:v>4247.280532545403</x:v>
      </x:c>
      <x:c r="AC231" s="48" t="n">
        <x:f>AB231/Inputs!$C$12</x:f>
        <x:v>2386.1126587333724</x:v>
      </x:c>
      <x:c r="AD231" s="48" t="n">
        <x:f>2*AB231/Inputs!$C$21*1000000</x:f>
        <x:v>28.334805757824654</x:v>
      </x:c>
      <x:c r="AE231" s="48" t="n">
        <x:f>DEGREES(ATAN(H231/(B231-Y231/1000)))</x:f>
        <x:v>8.46012063586291</x:v>
      </x:c>
      <x:c r="AF231" s="48" t="n">
        <x:f>DEGREES((2*PI()/Inputs!$C$13)*Inputs!$C$15*SIN(RADIANS(AE231)))</x:f>
        <x:v>52.96355799157853</x:v>
      </x:c>
      <x:c r="AG231" s="48" t="n">
        <x:f>(Z231/AA231)^4</x:f>
        <x:v>0.9589619843714524</x:v>
      </x:c>
      <x:c r="AH231" s="48" t="n">
        <x:f>10*LOG10(AG231)</x:f>
        <x:v>-0.18198608997165602</x:v>
      </x:c>
      <x:c r="AI231" s="48" t="n">
        <x:f>AC231-F231</x:f>
        <x:v>-104.29423693543959</x:v>
      </x:c>
      <x:c r="AJ231" s="48" t="n">
        <x:f>AD231-G231</x:f>
        <x:v>-1.238481734887955</x:v>
      </x:c>
      <x:c r="AK231" s="48" t="n">
        <x:f>Y231-X231</x:f>
        <x:v>187.565450896828</x:v>
      </x:c>
      <x:c r="AL231" s="48" t="n">
        <x:f>1000*(AA232-AA230)/(A232-A230)*Inputs!$C$11</x:f>
        <x:v>986.5213967677846</x:v>
      </x:c>
      <x:c r="AM231" s="48" t="n">
        <x:f>-2*AL231/Inputs!$C$13</x:f>
        <x:v>-394.60855870711384</x:v>
      </x:c>
      <x:c r="AN231" s="48" t="n">
        <x:f>-2*AL231/Inputs!$C$14</x:f>
        <x:v>-59.25053434040749</x:v>
      </x:c>
      <x:c r="AO231" s="48" t="n">
        <x:f>ABS(AM231)</x:f>
        <x:v>394.60855870711384</x:v>
      </x:c>
      <x:c r="AP231" s="48" t="n">
        <x:f>ABS(AN231)</x:f>
        <x:v>59.25053434040749</x:v>
      </x:c>
      <x:c r="AQ231" s="48" t="n">
        <x:f>IF(OR(Inputs!$C$27=TRUE,Inputs!$C$27="TRUE",Inputs!$C$27=1),Inputs!$C$46/Inputs!$C$12,0)</x:f>
        <x:v>42.13483146067416</x:v>
      </x:c>
      <x:c r="AR231" s="48" t="n">
        <x:f>AC231-AQ231</x:f>
        <x:v>2343.977827272698</x:v>
      </x:c>
      <x:c r="AS231" s="48" t="n">
        <x:f>AC231+AQ231</x:f>
        <x:v>2428.247490194047</x:v>
      </x:c>
    </x:row>
    <x:row r="232">
      <x:c r="A232" s="48" t="n">
        <x:f>Inputs!$C$7+230*(Inputs!$C$8-Inputs!$C$7)/240</x:f>
        <x:v>55</x:v>
      </x:c>
      <x:c r="B232" s="48" t="n">
        <x:f>Inputs!$C$5+Inputs!$C$9*(A232/Inputs!$C$10)^2</x:f>
        <x:v>403.3611111111111</x:v>
      </x:c>
      <x:c r="C232" s="48" t="n">
        <x:f>B232</x:f>
        <x:v>403.3611111111111</x:v>
      </x:c>
      <x:c r="D232" s="48" t="n">
        <x:f>SQRT(A232^2+Inputs!$C$6^2+B232^2)</x:f>
        <x:v>407.86049815689444</x:v>
      </x:c>
      <x:c r="E232" s="48" t="n">
        <x:f>(D232-C232)*1000</x:f>
        <x:v>4499.387045783351</x:v>
      </x:c>
      <x:c r="F232" s="48" t="n">
        <x:f>E232/Inputs!$C$12</x:f>
        <x:v>2527.745531338961</x:v>
      </x:c>
      <x:c r="G232" s="48" t="n">
        <x:f>2*E232/Inputs!$C$21*1000000</x:f>
        <x:v>30.016679377460196</x:v>
      </x:c>
      <x:c r="H232" s="48" t="n">
        <x:f>SQRT(A232^2+Inputs!$C$6^2)</x:f>
        <x:v>60.41522986797286</x:v>
      </x:c>
      <x:c r="I232" s="48" t="n">
        <x:f>DEGREES(ATAN(H232/B232))</x:f>
        <x:v>8.518410095726479</x:v>
      </x:c>
      <x:c r="J232" s="48" t="n">
        <x:f>DEGREES((2*PI()/Inputs!$C$13)*Inputs!$C$15*SIN(RADIANS(I232)))</x:f>
        <x:v>53.32578872127919</x:v>
      </x:c>
      <x:c r="K232" s="48" t="n">
        <x:f>(C232/D232)^4</x:f>
        <x:v>0.9565981072856315</x:v>
      </x:c>
      <x:c r="L232" s="48" t="n">
        <x:f>10*LOG10(K232)</x:f>
        <x:v>-0.19270482753432902</x:v>
      </x:c>
      <x:c r="M232" s="48" t="n">
        <x:f>2*(Inputs!$C$9/(Inputs!$C$10^2))*A232</x:f>
        <x:v>0.12222222222222222</x:v>
      </x:c>
      <x:c r="N232" s="48" t="n">
        <x:f>M232*Inputs!$C$11</x:f>
        <x:v>0.4888888888888889</x:v>
      </x:c>
      <x:c r="O232" s="48" t="n">
        <x:f>1000*((A232*Inputs!$C$11)+(B232*N232))/D232</x:f>
        <x:v>1022.8957384140008</x:v>
      </x:c>
      <x:c r="P232" s="48" t="n">
        <x:f>-2*O232/Inputs!$C$13</x:f>
        <x:v>-409.15829536560034</x:v>
      </x:c>
      <x:c r="Q232" s="48" t="n">
        <x:f>-2*O232/Inputs!$C$14</x:f>
        <x:v>-61.43517948432438</x:v>
      </x:c>
      <x:c r="R232" s="48" t="n">
        <x:f>F232-Inputs!$C$16/2</x:f>
        <x:v>2512.745531338961</x:v>
      </x:c>
      <x:c r="S232" s="48" t="n">
        <x:f>F232+Inputs!$C$16/2</x:f>
        <x:v>2542.745531338961</x:v>
      </x:c>
      <x:c r="T232" s="48" t="n">
        <x:f>F232-Inputs!$C$17/2</x:f>
        <x:v>2377.745531338961</x:v>
      </x:c>
      <x:c r="U232" s="48" t="n">
        <x:f>F232+Inputs!$C$17/2</x:f>
        <x:v>2677.745531338961</x:v>
      </x:c>
      <x:c r="V232" s="48" t="n">
        <x:f>ABS(P232)</x:f>
        <x:v>409.15829536560034</x:v>
      </x:c>
      <x:c r="W232" s="48" t="n">
        <x:f>ABS(Q232)</x:f>
        <x:v>61.43517948432438</x:v>
      </x:c>
      <x:c r="X232" s="48" t="n">
        <x: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(0.45*SIN(2*PI()*(((A232)/Inputs!$C$49)+Inputs!$C$47*0.137))+0.35*COS(2*PI()*(((0)/Inputs!$C$50)+Inputs!$C$47*0.173))+0.20*SIN(2*PI()*(((A232)+(0))/(0.5*(Inputs!$C$49+Inputs!$C$50))+Inputs!$C$47*0.097)))+0.30*(2*((SIN(((A232)*12.9898+(0)*78.233+Inputs!$C$47*37.719))*43758.5453)-INT((SIN(((A232)*12.9898+(0)*78.233+Inputs!$C$47*37.719))*43758.5453)))-1)))</x:f>
        <x:v>-2.7391578251359494</x:v>
      </x:c>
      <x:c r="Y232" s="48" t="n">
        <x: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(0.45*SIN(2*PI()*(((A232)/Inputs!$C$49)+Inputs!$C$47*0.137))+0.35*COS(2*PI()*(((Inputs!$C$6)/Inputs!$C$50)+Inputs!$C$47*0.173))+0.20*SIN(2*PI()*(((A232)+(Inputs!$C$6))/(0.5*(Inputs!$C$49+Inputs!$C$50))+Inputs!$C$47*0.097)))+0.30*(2*((SIN(((A232)*12.9898+(Inputs!$C$6)*78.233+Inputs!$C$47*37.719))*43758.5453)-INT((SIN(((A232)*12.9898+(Inputs!$C$6)*78.233+Inputs!$C$47*37.719))*43758.5453)))-1)))</x:f>
        <x:v>188.50605986389118</x:v>
      </x:c>
      <x:c r="Z232" s="48" t="n">
        <x:f>B232-X232/1000</x:f>
        <x:v>403.36385026893623</x:v>
      </x:c>
      <x:c r="AA232" s="48" t="n">
        <x:f>SQRT(A232^2+Inputs!$C$6^2+(B232-Y232/1000)^2)</x:f>
        <x:v>407.6740725920757</x:v>
      </x:c>
      <x:c r="AB232" s="48" t="n">
        <x:f>(AA232-Z232)*1000</x:f>
        <x:v>4310.222323139442</x:v>
      </x:c>
      <x:c r="AC232" s="48" t="n">
        <x:f>AB232/Inputs!$C$12</x:f>
        <x:v>2421.4732152468773</x:v>
      </x:c>
      <x:c r="AD232" s="48" t="n">
        <x:f>2*AB232/Inputs!$C$21*1000000</x:f>
        <x:v>28.754708186417698</x:v>
      </x:c>
      <x:c r="AE232" s="48" t="n">
        <x:f>DEGREES(ATAN(H232/(B232-Y232/1000)))</x:f>
        <x:v>8.522334462984816</x:v>
      </x:c>
      <x:c r="AF232" s="48" t="n">
        <x:f>DEGREES((2*PI()/Inputs!$C$13)*Inputs!$C$15*SIN(RADIANS(AE232)))</x:f>
        <x:v>53.350174108896724</x:v>
      </x:c>
      <x:c r="AG232" s="48" t="n">
        <x:f>(Z232/AA232)^4</x:f>
        <x:v>0.9583751138013626</x:v>
      </x:c>
      <x:c r="AH232" s="48" t="n">
        <x:f>10*LOG10(AG232)</x:f>
        <x:v>-0.18464472165811202</x:v>
      </x:c>
      <x:c r="AI232" s="48" t="n">
        <x:f>AC232-F232</x:f>
        <x:v>-106.27231609208366</x:v>
      </x:c>
      <x:c r="AJ232" s="48" t="n">
        <x:f>AD232-G232</x:f>
        <x:v>-1.2619711910424982</x:v>
      </x:c>
      <x:c r="AK232" s="48" t="n">
        <x:f>Y232-X232</x:f>
        <x:v>191.24521768902713</x:v>
      </x:c>
      <x:c r="AL232" s="48" t="n">
        <x:f>1000*(AA233-AA231)/(A233-A231)*Inputs!$C$11</x:f>
        <x:v>999.8933507667971</x:v>
      </x:c>
      <x:c r="AM232" s="48" t="n">
        <x:f>-2*AL232/Inputs!$C$13</x:f>
        <x:v>-399.95734030671883</x:v>
      </x:c>
      <x:c r="AN232" s="48" t="n">
        <x:f>-2*AL232/Inputs!$C$14</x:f>
        <x:v>-60.05365470070854</x:v>
      </x:c>
      <x:c r="AO232" s="48" t="n">
        <x:f>ABS(AM232)</x:f>
        <x:v>399.95734030671883</x:v>
      </x:c>
      <x:c r="AP232" s="48" t="n">
        <x:f>ABS(AN232)</x:f>
        <x:v>60.05365470070854</x:v>
      </x:c>
      <x:c r="AQ232" s="48" t="n">
        <x:f>IF(OR(Inputs!$C$27=TRUE,Inputs!$C$27="TRUE",Inputs!$C$27=1),Inputs!$C$46/Inputs!$C$12,0)</x:f>
        <x:v>42.13483146067416</x:v>
      </x:c>
      <x:c r="AR232" s="48" t="n">
        <x:f>AC232-AQ232</x:f>
        <x:v>2379.338383786203</x:v>
      </x:c>
      <x:c r="AS232" s="48" t="n">
        <x:f>AC232+AQ232</x:f>
        <x:v>2463.6080467075517</x:v>
      </x:c>
    </x:row>
    <x:row r="233">
      <x:c r="A233" s="48" t="n">
        <x:f>Inputs!$C$7+231*(Inputs!$C$8-Inputs!$C$7)/240</x:f>
        <x:v>55.5</x:v>
      </x:c>
      <x:c r="B233" s="48" t="n">
        <x:f>Inputs!$C$5+Inputs!$C$9*(A233/Inputs!$C$10)^2</x:f>
        <x:v>403.4225</x:v>
      </x:c>
      <x:c r="C233" s="48" t="n">
        <x:f>B233</x:f>
        <x:v>403.4225</x:v>
      </x:c>
      <x:c r="D233" s="48" t="n">
        <x:f>SQRT(A233^2+Inputs!$C$6^2+B233^2)</x:f>
        <x:v>407.9889257152086</x:v>
      </x:c>
      <x:c r="E233" s="48" t="n">
        <x:f>(D233-C233)*1000</x:f>
        <x:v>4566.425715208596</x:v>
      </x:c>
      <x:c r="F233" s="48" t="n">
        <x:f>E233/Inputs!$C$12</x:f>
        <x:v>2565.4077051733684</x:v>
      </x:c>
      <x:c r="G233" s="48" t="n">
        <x:f>2*E233/Inputs!$C$21*1000000</x:f>
        <x:v>30.463913239662592</x:v>
      </x:c>
      <x:c r="H233" s="48" t="n">
        <x:f>SQRT(A233^2+Inputs!$C$6^2)</x:f>
        <x:v>60.87076473973364</x:v>
      </x:c>
      <x:c r="I233" s="48" t="n">
        <x:f>DEGREES(ATAN(H233/B233))</x:f>
        <x:v>8.580400233649934</x:v>
      </x:c>
      <x:c r="J233" s="48" t="n">
        <x:f>DEGREES((2*PI()/Inputs!$C$13)*Inputs!$C$15*SIN(RADIANS(I233)))</x:f>
        <x:v>53.71095616845376</x:v>
      </x:c>
      <x:c r="K233" s="48" t="n">
        <x:f>(C233/D233)^4</x:f>
        <x:v>0.9559759479975408</x:v>
      </x:c>
      <x:c r="L233" s="48" t="n">
        <x:f>10*LOG10(K233)</x:f>
        <x:v>-0.195530342755213</x:v>
      </x:c>
      <x:c r="M233" s="48" t="n">
        <x:f>2*(Inputs!$C$9/(Inputs!$C$10^2))*A233</x:f>
        <x:v>0.12333333333333334</x:v>
      </x:c>
      <x:c r="N233" s="48" t="n">
        <x:f>M233*Inputs!$C$11</x:f>
        <x:v>0.49333333333333335</x:v>
      </x:c>
      <x:c r="O233" s="48" t="n">
        <x:f>1000*((A233*Inputs!$C$11)+(B233*N233))/D233</x:f>
        <x:v>1031.9441046803204</x:v>
      </x:c>
      <x:c r="P233" s="48" t="n">
        <x:f>-2*O233/Inputs!$C$13</x:f>
        <x:v>-412.77764187212813</x:v>
      </x:c>
      <x:c r="Q233" s="48" t="n">
        <x:f>-2*O233/Inputs!$C$14</x:f>
        <x:v>-61.978624905724956</x:v>
      </x:c>
      <x:c r="R233" s="48" t="n">
        <x:f>F233-Inputs!$C$16/2</x:f>
        <x:v>2550.4077051733684</x:v>
      </x:c>
      <x:c r="S233" s="48" t="n">
        <x:f>F233+Inputs!$C$16/2</x:f>
        <x:v>2580.4077051733684</x:v>
      </x:c>
      <x:c r="T233" s="48" t="n">
        <x:f>F233-Inputs!$C$17/2</x:f>
        <x:v>2415.4077051733684</x:v>
      </x:c>
      <x:c r="U233" s="48" t="n">
        <x:f>F233+Inputs!$C$17/2</x:f>
        <x:v>2715.4077051733684</x:v>
      </x:c>
      <x:c r="V233" s="48" t="n">
        <x:f>ABS(P233)</x:f>
        <x:v>412.77764187212813</x:v>
      </x:c>
      <x:c r="W233" s="48" t="n">
        <x:f>ABS(Q233)</x:f>
        <x:v>61.978624905724956</x:v>
      </x:c>
      <x:c r="X233" s="48" t="n">
        <x: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(0.45*SIN(2*PI()*(((A233)/Inputs!$C$49)+Inputs!$C$47*0.137))+0.35*COS(2*PI()*(((0)/Inputs!$C$50)+Inputs!$C$47*0.173))+0.20*SIN(2*PI()*(((A233)+(0))/(0.5*(Inputs!$C$49+Inputs!$C$50))+Inputs!$C$47*0.097)))+0.30*(2*((SIN(((A233)*12.9898+(0)*78.233+Inputs!$C$47*37.719))*43758.5453)-INT((SIN(((A233)*12.9898+(0)*78.233+Inputs!$C$47*37.719))*43758.5453)))-1)))</x:f>
        <x:v>-6.538094280084824</x:v>
      </x:c>
      <x:c r="Y233" s="48" t="n">
        <x: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(0.45*SIN(2*PI()*(((A233)/Inputs!$C$49)+Inputs!$C$47*0.137))+0.35*COS(2*PI()*(((Inputs!$C$6)/Inputs!$C$50)+Inputs!$C$47*0.173))+0.20*SIN(2*PI()*(((A233)+(Inputs!$C$6))/(0.5*(Inputs!$C$49+Inputs!$C$50))+Inputs!$C$47*0.097)))+0.30*(2*((SIN(((A233)*12.9898+(Inputs!$C$6)*78.233+Inputs!$C$47*37.719))*43758.5453)-INT((SIN(((A233)*12.9898+(Inputs!$C$6)*78.233+Inputs!$C$47*37.719))*43758.5453)))-1)))</x:f>
        <x:v>182.5522692746181</x:v>
      </x:c>
      <x:c r="Z233" s="48" t="n">
        <x:f>B233-X233/1000</x:f>
        <x:v>403.4290380942801</x:v>
      </x:c>
      <x:c r="AA233" s="48" t="n">
        <x:f>SQRT(A233^2+Inputs!$C$6^2+(B233-Y233/1000)^2)</x:f>
        <x:v>407.8084175760454</x:v>
      </x:c>
      <x:c r="AB233" s="48" t="n">
        <x:f>(AA233-Z233)*1000</x:f>
        <x:v>4379.379481765283</x:v>
      </x:c>
      <x:c r="AC233" s="48" t="n">
        <x:f>AB233/Inputs!$C$12</x:f>
        <x:v>2460.3255515535297</x:v>
      </x:c>
      <x:c r="AD233" s="48" t="n">
        <x:f>2*AB233/Inputs!$C$21*1000000</x:f>
        <x:v>29.216075087287777</x:v>
      </x:c>
      <x:c r="AE233" s="48" t="n">
        <x:f>DEGREES(ATAN(H233/(B233-Y233/1000)))</x:f>
        <x:v>8.584226842449953</x:v>
      </x:c>
      <x:c r="AF233" s="48" t="n">
        <x:f>DEGREES((2*PI()/Inputs!$C$13)*Inputs!$C$15*SIN(RADIANS(AE233)))</x:f>
        <x:v>53.73473023571867</x:v>
      </x:c>
      <x:c r="AG233" s="48" t="n">
        <x:f>(Z233/AA233)^4</x:f>
        <x:v>0.9577317293585904</x:v>
      </x:c>
      <x:c r="AH233" s="48" t="n">
        <x:f>10*LOG10(AG233)</x:f>
        <x:v>-0.187561242986106</x:v>
      </x:c>
      <x:c r="AI233" s="48" t="n">
        <x:f>AC233-F233</x:f>
        <x:v>-105.08215361983866</x:v>
      </x:c>
      <x:c r="AJ233" s="48" t="n">
        <x:f>AD233-G233</x:f>
        <x:v>-1.2478381523748148</x:v>
      </x:c>
      <x:c r="AK233" s="48" t="n">
        <x:f>Y233-X233</x:f>
        <x:v>189.09036355470295</x:v>
      </x:c>
      <x:c r="AL233" s="48" t="n">
        <x:f>1000*(AA234-AA232)/(A234-A232)*Inputs!$C$11</x:f>
        <x:v>1038.522422822325</x:v>
      </x:c>
      <x:c r="AM233" s="48" t="n">
        <x:f>-2*AL233/Inputs!$C$13</x:f>
        <x:v>-415.40896912893004</x:v>
      </x:c>
      <x:c r="AN233" s="48" t="n">
        <x:f>-2*AL233/Inputs!$C$14</x:f>
        <x:v>-62.37371908842794</x:v>
      </x:c>
      <x:c r="AO233" s="48" t="n">
        <x:f>ABS(AM233)</x:f>
        <x:v>415.40896912893004</x:v>
      </x:c>
      <x:c r="AP233" s="48" t="n">
        <x:f>ABS(AN233)</x:f>
        <x:v>62.37371908842794</x:v>
      </x:c>
      <x:c r="AQ233" s="48" t="n">
        <x:f>IF(OR(Inputs!$C$27=TRUE,Inputs!$C$27="TRUE",Inputs!$C$27=1),Inputs!$C$46/Inputs!$C$12,0)</x:f>
        <x:v>42.13483146067416</x:v>
      </x:c>
      <x:c r="AR233" s="48" t="n">
        <x:f>AC233-AQ233</x:f>
        <x:v>2418.1907200928554</x:v>
      </x:c>
      <x:c r="AS233" s="48" t="n">
        <x:f>AC233+AQ233</x:f>
        <x:v>2502.460383014204</x:v>
      </x:c>
    </x:row>
    <x:row r="234">
      <x:c r="A234" s="48" t="n">
        <x:f>Inputs!$C$7+232*(Inputs!$C$8-Inputs!$C$7)/240</x:f>
        <x:v>56</x:v>
      </x:c>
      <x:c r="B234" s="48" t="n">
        <x:f>Inputs!$C$5+Inputs!$C$9*(A234/Inputs!$C$10)^2</x:f>
        <x:v>403.4844444444444</x:v>
      </x:c>
      <x:c r="C234" s="48" t="n">
        <x:f>B234</x:f>
        <x:v>403.4844444444444</x:v>
      </x:c>
      <x:c r="D234" s="48" t="n">
        <x:f>SQRT(A234^2+Inputs!$C$6^2+B234^2)</x:f>
        <x:v>408.1184839095651</x:v>
      </x:c>
      <x:c r="E234" s="48" t="n">
        <x:f>(D234-C234)*1000</x:f>
        <x:v>4634.039465120679</x:v>
      </x:c>
      <x:c r="F234" s="48" t="n">
        <x:f>E234/Inputs!$C$12</x:f>
        <x:v>2603.3929579329656</x:v>
      </x:c>
      <x:c r="G234" s="48" t="n">
        <x:f>2*E234/Inputs!$C$21*1000000</x:f>
        <x:v>30.914983625910157</x:v>
      </x:c>
      <x:c r="H234" s="48" t="n">
        <x:f>SQRT(A234^2+Inputs!$C$6^2)</x:f>
        <x:v>61.326992425847855</x:v>
      </x:c>
      <x:c r="I234" s="48" t="n">
        <x:f>DEGREES(ATAN(H234/B234))</x:f>
        <x:v>8.642435724573849</x:v>
      </x:c>
      <x:c r="J234" s="48" t="n">
        <x:f>DEGREES((2*PI()/Inputs!$C$13)*Inputs!$C$15*SIN(RADIANS(I234)))</x:f>
        <x:v>54.09634246852054</x:v>
      </x:c>
      <x:c r="K234" s="48" t="n">
        <x:f>(C234/D234)^4</x:f>
        <x:v>0.9553491585030692</x:v>
      </x:c>
      <x:c r="L234" s="48" t="n">
        <x:f>10*LOG10(K234)</x:f>
        <x:v>-0.198378745966117</x:v>
      </x:c>
      <x:c r="M234" s="48" t="n">
        <x:f>2*(Inputs!$C$9/(Inputs!$C$10^2))*A234</x:f>
        <x:v>0.12444444444444444</x:v>
      </x:c>
      <x:c r="N234" s="48" t="n">
        <x:f>M234*Inputs!$C$11</x:f>
        <x:v>0.49777777777777776</x:v>
      </x:c>
      <x:c r="O234" s="48" t="n">
        <x:f>1000*((A234*Inputs!$C$11)+(B234*N234))/D234</x:f>
        <x:v>1040.9859069691101</x:v>
      </x:c>
      <x:c r="P234" s="48" t="n">
        <x:f>-2*O234/Inputs!$C$13</x:f>
        <x:v>-416.39436278764407</x:v>
      </x:c>
      <x:c r="Q234" s="48" t="n">
        <x:f>-2*O234/Inputs!$C$14</x:f>
        <x:v>-62.52167609424085</x:v>
      </x:c>
      <x:c r="R234" s="48" t="n">
        <x:f>F234-Inputs!$C$16/2</x:f>
        <x:v>2588.3929579329656</x:v>
      </x:c>
      <x:c r="S234" s="48" t="n">
        <x:f>F234+Inputs!$C$16/2</x:f>
        <x:v>2618.3929579329656</x:v>
      </x:c>
      <x:c r="T234" s="48" t="n">
        <x:f>F234-Inputs!$C$17/2</x:f>
        <x:v>2453.3929579329656</x:v>
      </x:c>
      <x:c r="U234" s="48" t="n">
        <x:f>F234+Inputs!$C$17/2</x:f>
        <x:v>2753.3929579329656</x:v>
      </x:c>
      <x:c r="V234" s="48" t="n">
        <x:f>ABS(P234)</x:f>
        <x:v>416.39436278764407</x:v>
      </x:c>
      <x:c r="W234" s="48" t="n">
        <x:f>ABS(Q234)</x:f>
        <x:v>62.52167609424085</x:v>
      </x:c>
      <x:c r="X234" s="48" t="n">
        <x: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(0.45*SIN(2*PI()*(((A234)/Inputs!$C$49)+Inputs!$C$47*0.137))+0.35*COS(2*PI()*(((0)/Inputs!$C$50)+Inputs!$C$47*0.173))+0.20*SIN(2*PI()*(((A234)+(0))/(0.5*(Inputs!$C$49+Inputs!$C$50))+Inputs!$C$47*0.097)))+0.30*(2*((SIN(((A234)*12.9898+(0)*78.233+Inputs!$C$47*37.719))*43758.5453)-INT((SIN(((A234)*12.9898+(0)*78.233+Inputs!$C$47*37.719))*43758.5453)))-1)))</x:f>
        <x:v>-4.357290177669684</x:v>
      </x:c>
      <x:c r="Y234" s="48" t="n">
        <x: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(0.45*SIN(2*PI()*(((A234)/Inputs!$C$49)+Inputs!$C$47*0.137))+0.35*COS(2*PI()*(((Inputs!$C$6)/Inputs!$C$50)+Inputs!$C$47*0.173))+0.20*SIN(2*PI()*(((A234)+(Inputs!$C$6))/(0.5*(Inputs!$C$49+Inputs!$C$50))+Inputs!$C$47*0.097)))+0.30*(2*((SIN(((A234)*12.9898+(Inputs!$C$6)*78.233+Inputs!$C$47*37.719))*43758.5453)-INT((SIN(((A234)*12.9898+(Inputs!$C$6)*78.233+Inputs!$C$47*37.719))*43758.5453)))-1)))</x:f>
        <x:v>186.90390563143987</x:v>
      </x:c>
      <x:c r="Z234" s="48" t="n">
        <x:f>B234-X234/1000</x:f>
        <x:v>403.4888017346221</x:v>
      </x:c>
      <x:c r="AA234" s="48" t="n">
        <x:f>SQRT(A234^2+Inputs!$C$6^2+(B234-Y234/1000)^2)</x:f>
        <x:v>407.93370319778126</x:v>
      </x:c>
      <x:c r="AB234" s="48" t="n">
        <x:f>(AA234-Z234)*1000</x:f>
        <x:v>4444.901463159169</x:v>
      </x:c>
      <x:c r="AC234" s="48" t="n">
        <x:f>AB234/Inputs!$C$12</x:f>
        <x:v>2497.1356534602073</x:v>
      </x:c>
      <x:c r="AD234" s="48" t="n">
        <x:f>2*AB234/Inputs!$C$21*1000000</x:f>
        <x:v>29.653190696072606</x:v>
      </x:c>
      <x:c r="AE234" s="48" t="n">
        <x:f>DEGREES(ATAN(H234/(B234-Y234/1000)))</x:f>
        <x:v>8.646380450401507</x:v>
      </x:c>
      <x:c r="AF234" s="48" t="n">
        <x:f>DEGREES((2*PI()/Inputs!$C$13)*Inputs!$C$15*SIN(RADIANS(AE234)))</x:f>
        <x:v>54.120846353803564</x:v>
      </x:c>
      <x:c r="AG234" s="48" t="n">
        <x:f>(Z234/AA234)^4</x:f>
        <x:v>0.9571226468050483</x:v>
      </x:c>
      <x:c r="AH234" s="48" t="n">
        <x:f>10*LOG10(AG234)</x:f>
        <x:v>-0.190324076591008</x:v>
      </x:c>
      <x:c r="AI234" s="48" t="n">
        <x:f>AC234-F234</x:f>
        <x:v>-106.25730447275828</x:v>
      </x:c>
      <x:c r="AJ234" s="48" t="n">
        <x:f>AD234-G234</x:f>
        <x:v>-1.2617929298375508</x:v>
      </x:c>
      <x:c r="AK234" s="48" t="n">
        <x:f>Y234-X234</x:f>
        <x:v>191.26119580910955</x:v>
      </x:c>
      <x:c r="AL234" s="48" t="n">
        <x:f>1000*(AA235-AA233)/(A235-A233)*Inputs!$C$11</x:f>
        <x:v>1011.4958765198026</x:v>
      </x:c>
      <x:c r="AM234" s="48" t="n">
        <x:f>-2*AL234/Inputs!$C$13</x:f>
        <x:v>-404.598350607921</x:v>
      </x:c>
      <x:c r="AN234" s="48" t="n">
        <x:f>-2*AL234/Inputs!$C$14</x:f>
        <x:v>-60.75050309428244</x:v>
      </x:c>
      <x:c r="AO234" s="48" t="n">
        <x:f>ABS(AM234)</x:f>
        <x:v>404.598350607921</x:v>
      </x:c>
      <x:c r="AP234" s="48" t="n">
        <x:f>ABS(AN234)</x:f>
        <x:v>60.75050309428244</x:v>
      </x:c>
      <x:c r="AQ234" s="48" t="n">
        <x:f>IF(OR(Inputs!$C$27=TRUE,Inputs!$C$27="TRUE",Inputs!$C$27=1),Inputs!$C$46/Inputs!$C$12,0)</x:f>
        <x:v>42.13483146067416</x:v>
      </x:c>
      <x:c r="AR234" s="48" t="n">
        <x:f>AC234-AQ234</x:f>
        <x:v>2455.000821999533</x:v>
      </x:c>
      <x:c r="AS234" s="48" t="n">
        <x:f>AC234+AQ234</x:f>
        <x:v>2539.2704849208817</x:v>
      </x:c>
    </x:row>
    <x:row r="235">
      <x:c r="A235" s="48" t="n">
        <x:f>Inputs!$C$7+233*(Inputs!$C$8-Inputs!$C$7)/240</x:f>
        <x:v>56.5</x:v>
      </x:c>
      <x:c r="B235" s="48" t="n">
        <x:f>Inputs!$C$5+Inputs!$C$9*(A235/Inputs!$C$10)^2</x:f>
        <x:v>403.5469444444444</x:v>
      </x:c>
      <x:c r="C235" s="48" t="n">
        <x:f>B235</x:f>
        <x:v>403.5469444444444</x:v>
      </x:c>
      <x:c r="D235" s="48" t="n">
        <x:f>SQRT(A235^2+Inputs!$C$6^2+B235^2)</x:f>
        <x:v>408.24917191642595</x:v>
      </x:c>
      <x:c r="E235" s="48" t="n">
        <x:f>(D235-C235)*1000</x:f>
        <x:v>4702.2274719815305</x:v>
      </x:c>
      <x:c r="F235" s="48" t="n">
        <x:f>E235/Inputs!$C$12</x:f>
        <x:v>2641.700826955916</x:v>
      </x:c>
      <x:c r="G235" s="48" t="n">
        <x:f>2*E235/Inputs!$C$21*1000000</x:f>
        <x:v>31.369885042148262</x:v>
      </x:c>
      <x:c r="H235" s="48" t="n">
        <x:f>SQRT(A235^2+Inputs!$C$6^2)</x:f>
        <x:v>61.78389757857625</x:v>
      </x:c>
      <x:c r="I235" s="48" t="n">
        <x:f>DEGREES(ATAN(H235/B235))</x:f>
        <x:v>8.704513953078392</x:v>
      </x:c>
      <x:c r="J235" s="48" t="n">
        <x:f>DEGREES((2*PI()/Inputs!$C$13)*Inputs!$C$15*SIN(RADIANS(I235)))</x:f>
        <x:v>54.48193078721229</x:v>
      </x:c>
      <x:c r="K235" s="48" t="n">
        <x:f>(C235/D235)^4</x:f>
        <x:v>0.9547177635858287</x:v>
      </x:c>
      <x:c r="L235" s="48" t="n">
        <x:f>10*LOG10(K235)</x:f>
        <x:v>-0.201249968280644</x:v>
      </x:c>
      <x:c r="M235" s="48" t="n">
        <x:f>2*(Inputs!$C$9/(Inputs!$C$10^2))*A235</x:f>
        <x:v>0.12555555555555556</x:v>
      </x:c>
      <x:c r="N235" s="48" t="n">
        <x:f>M235*Inputs!$C$11</x:f>
        <x:v>0.5022222222222222</x:v>
      </x:c>
      <x:c r="O235" s="48" t="n">
        <x:f>1000*((A235*Inputs!$C$11)+(B235*N235))/D235</x:f>
        <x:v>1050.0210966689506</x:v>
      </x:c>
      <x:c r="P235" s="48" t="n">
        <x:f>-2*O235/Inputs!$C$13</x:f>
        <x:v>-420.0084386675802</x:v>
      </x:c>
      <x:c r="Q235" s="48" t="n">
        <x:f>-2*O235/Inputs!$C$14</x:f>
        <x:v>-63.06433013026731</x:v>
      </x:c>
      <x:c r="R235" s="48" t="n">
        <x:f>F235-Inputs!$C$16/2</x:f>
        <x:v>2626.700826955916</x:v>
      </x:c>
      <x:c r="S235" s="48" t="n">
        <x:f>F235+Inputs!$C$16/2</x:f>
        <x:v>2656.700826955916</x:v>
      </x:c>
      <x:c r="T235" s="48" t="n">
        <x:f>F235-Inputs!$C$17/2</x:f>
        <x:v>2491.700826955916</x:v>
      </x:c>
      <x:c r="U235" s="48" t="n">
        <x:f>F235+Inputs!$C$17/2</x:f>
        <x:v>2791.700826955916</x:v>
      </x:c>
      <x:c r="V235" s="48" t="n">
        <x:f>ABS(P235)</x:f>
        <x:v>420.0084386675802</x:v>
      </x:c>
      <x:c r="W235" s="48" t="n">
        <x:f>ABS(Q235)</x:f>
        <x:v>63.06433013026731</x:v>
      </x:c>
      <x:c r="X235" s="48" t="n">
        <x: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(0.45*SIN(2*PI()*(((A235)/Inputs!$C$49)+Inputs!$C$47*0.137))+0.35*COS(2*PI()*(((0)/Inputs!$C$50)+Inputs!$C$47*0.173))+0.20*SIN(2*PI()*(((A235)+(0))/(0.5*(Inputs!$C$49+Inputs!$C$50))+Inputs!$C$47*0.097)))+0.30*(2*((SIN(((A235)*12.9898+(0)*78.233+Inputs!$C$47*37.719))*43758.5453)-INT((SIN(((A235)*12.9898+(0)*78.233+Inputs!$C$47*37.719))*43758.5453)))-1)))</x:f>
        <x:v>21.715435034758002</x:v>
      </x:c>
      <x:c r="Y235" s="48" t="n">
        <x: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(0.45*SIN(2*PI()*(((A235)/Inputs!$C$49)+Inputs!$C$47*0.137))+0.35*COS(2*PI()*(((Inputs!$C$6)/Inputs!$C$50)+Inputs!$C$47*0.173))+0.20*SIN(2*PI()*(((A235)+(Inputs!$C$6))/(0.5*(Inputs!$C$49+Inputs!$C$50))+Inputs!$C$47*0.097)))+0.30*(2*((SIN(((A235)*12.9898+(Inputs!$C$6)*78.233+Inputs!$C$47*37.719))*43758.5453)-INT((SIN(((A235)*12.9898+(Inputs!$C$6)*78.233+Inputs!$C$47*37.719))*43758.5453)))-1)))</x:f>
        <x:v>190.07062484954076</x:v>
      </x:c>
      <x:c r="Z235" s="48" t="n">
        <x:f>B235-X235/1000</x:f>
        <x:v>403.52522900940966</x:v>
      </x:c>
      <x:c r="AA235" s="48" t="n">
        <x:f>SQRT(A235^2+Inputs!$C$6^2+(B235-Y235/1000)^2)</x:f>
        <x:v>408.0612915451753</x:v>
      </x:c>
      <x:c r="AB235" s="48" t="n">
        <x:f>(AA235-Z235)*1000</x:f>
        <x:v>4536.062535765666</x:v>
      </x:c>
      <x:c r="AC235" s="48" t="n">
        <x:f>AB235/Inputs!$C$12</x:f>
        <x:v>2548.3497391941946</x:v>
      </x:c>
      <x:c r="AD235" s="48" t="n">
        <x:f>2*AB235/Inputs!$C$21*1000000</x:f>
        <x:v>30.261351910098192</x:v>
      </x:c>
      <x:c r="AE235" s="48" t="n">
        <x:f>DEGREES(ATAN(H235/(B235-Y235/1000)))</x:f>
        <x:v>8.708552844934305</x:v>
      </x:c>
      <x:c r="AF235" s="48" t="n">
        <x:f>DEGREES((2*PI()/Inputs!$C$13)*Inputs!$C$15*SIN(RADIANS(AE235)))</x:f>
        <x:v>54.50701546344804</x:v>
      </x:c>
      <x:c r="AG235" s="48" t="n">
        <x:f>(Z235/AA235)^4</x:f>
        <x:v>0.9562714093182334</x:v>
      </x:c>
      <x:c r="AH235" s="48" t="n">
        <x:f>10*LOG10(AG235)</x:f>
        <x:v>-0.194188286020525</x:v>
      </x:c>
      <x:c r="AI235" s="48" t="n">
        <x:f>AC235-F235</x:f>
        <x:v>-93.35108776172137</x:v>
      </x:c>
      <x:c r="AJ235" s="48" t="n">
        <x:f>AD235-G235</x:f>
        <x:v>-1.10853313205007</x:v>
      </x:c>
      <x:c r="AK235" s="48" t="n">
        <x:f>Y235-X235</x:f>
        <x:v>168.35518981478276</x:v>
      </x:c>
      <x:c r="AL235" s="48" t="n">
        <x:f>1000*(AA236-AA234)/(A236-A234)*Inputs!$C$11</x:f>
        <x:v>995.7873785542688</x:v>
      </x:c>
      <x:c r="AM235" s="48" t="n">
        <x:f>-2*AL235/Inputs!$C$13</x:f>
        <x:v>-398.3149514217075</x:v>
      </x:c>
      <x:c r="AN235" s="48" t="n">
        <x:f>-2*AL235/Inputs!$C$14</x:f>
        <x:v>-59.80704976301915</x:v>
      </x:c>
      <x:c r="AO235" s="48" t="n">
        <x:f>ABS(AM235)</x:f>
        <x:v>398.3149514217075</x:v>
      </x:c>
      <x:c r="AP235" s="48" t="n">
        <x:f>ABS(AN235)</x:f>
        <x:v>59.80704976301915</x:v>
      </x:c>
      <x:c r="AQ235" s="48" t="n">
        <x:f>IF(OR(Inputs!$C$27=TRUE,Inputs!$C$27="TRUE",Inputs!$C$27=1),Inputs!$C$46/Inputs!$C$12,0)</x:f>
        <x:v>42.13483146067416</x:v>
      </x:c>
      <x:c r="AR235" s="48" t="n">
        <x:f>AC235-AQ235</x:f>
        <x:v>2506.2149077335202</x:v>
      </x:c>
      <x:c r="AS235" s="48" t="n">
        <x:f>AC235+AQ235</x:f>
        <x:v>2590.484570654869</x:v>
      </x:c>
    </x:row>
    <x:row r="236">
      <x:c r="A236" s="48" t="n">
        <x:f>Inputs!$C$7+234*(Inputs!$C$8-Inputs!$C$7)/240</x:f>
        <x:v>57</x:v>
      </x:c>
      <x:c r="B236" s="48" t="n">
        <x:f>Inputs!$C$5+Inputs!$C$9*(A236/Inputs!$C$10)^2</x:f>
        <x:v>403.61</x:v>
      </x:c>
      <x:c r="C236" s="48" t="n">
        <x:f>B236</x:f>
        <x:v>403.61</x:v>
      </x:c>
      <x:c r="D236" s="48" t="n">
        <x:f>SQRT(A236^2+Inputs!$C$6^2+B236^2)</x:f>
        <x:v>408.38098890619284</x:v>
      </x:c>
      <x:c r="E236" s="48" t="n">
        <x:f>(D236-C236)*1000</x:f>
        <x:v>4770.988906192826</x:v>
      </x:c>
      <x:c r="F236" s="48" t="n">
        <x:f>E236/Inputs!$C$12</x:f>
        <x:v>2680.330846175745</x:v>
      </x:c>
      <x:c r="G236" s="48" t="n">
        <x:f>2*E236/Inputs!$C$21*1000000</x:f>
        <x:v>31.828611953892622</x:v>
      </x:c>
      <x:c r="H236" s="48" t="n">
        <x:f>SQRT(A236^2+Inputs!$C$6^2)</x:f>
        <x:v>62.24146527838174</x:v>
      </x:c>
      <x:c r="I236" s="48" t="n">
        <x:f>DEGREES(ATAN(H236/B236))</x:f>
        <x:v>8.766632366658216</x:v>
      </x:c>
      <x:c r="J236" s="48" t="n">
        <x:f>DEGREES((2*PI()/Inputs!$C$13)*Inputs!$C$15*SIN(RADIANS(I236)))</x:f>
        <x:v>54.86770468976069</x:v>
      </x:c>
      <x:c r="K236" s="48" t="n">
        <x:f>(C236/D236)^4</x:f>
        <x:v>0.9540817881574452</x:v>
      </x:c>
      <x:c r="L236" s="48" t="n">
        <x:f>10*LOG10(K236)</x:f>
        <x:v>-0.20414394034954</x:v>
      </x:c>
      <x:c r="M236" s="48" t="n">
        <x:f>2*(Inputs!$C$9/(Inputs!$C$10^2))*A236</x:f>
        <x:v>0.12666666666666668</x:v>
      </x:c>
      <x:c r="N236" s="48" t="n">
        <x:f>M236*Inputs!$C$11</x:f>
        <x:v>0.5066666666666667</x:v>
      </x:c>
      <x:c r="O236" s="48" t="n">
        <x:f>1000*((A236*Inputs!$C$11)+(B236*N236))/D236</x:f>
        <x:v>1059.049625428768</x:v>
      </x:c>
      <x:c r="P236" s="48" t="n">
        <x:f>-2*O236/Inputs!$C$13</x:f>
        <x:v>-423.6198501715072</x:v>
      </x:c>
      <x:c r="Q236" s="48" t="n">
        <x:f>-2*O236/Inputs!$C$14</x:f>
        <x:v>-63.60658410983592</x:v>
      </x:c>
      <x:c r="R236" s="48" t="n">
        <x:f>F236-Inputs!$C$16/2</x:f>
        <x:v>2665.330846175745</x:v>
      </x:c>
      <x:c r="S236" s="48" t="n">
        <x:f>F236+Inputs!$C$16/2</x:f>
        <x:v>2695.330846175745</x:v>
      </x:c>
      <x:c r="T236" s="48" t="n">
        <x:f>F236-Inputs!$C$17/2</x:f>
        <x:v>2530.330846175745</x:v>
      </x:c>
      <x:c r="U236" s="48" t="n">
        <x:f>F236+Inputs!$C$17/2</x:f>
        <x:v>2830.330846175745</x:v>
      </x:c>
      <x:c r="V236" s="48" t="n">
        <x:f>ABS(P236)</x:f>
        <x:v>423.6198501715072</x:v>
      </x:c>
      <x:c r="W236" s="48" t="n">
        <x:f>ABS(Q236)</x:f>
        <x:v>63.60658410983592</x:v>
      </x:c>
      <x:c r="X236" s="48" t="n">
        <x: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(0.45*SIN(2*PI()*(((A236)/Inputs!$C$49)+Inputs!$C$47*0.137))+0.35*COS(2*PI()*(((0)/Inputs!$C$50)+Inputs!$C$47*0.173))+0.20*SIN(2*PI()*(((A236)+(0))/(0.5*(Inputs!$C$49+Inputs!$C$50))+Inputs!$C$47*0.097)))+0.30*(2*((SIN(((A236)*12.9898+(0)*78.233+Inputs!$C$47*37.719))*43758.5453)-INT((SIN(((A236)*12.9898+(0)*78.233+Inputs!$C$47*37.719))*43758.5453)))-1)))</x:f>
        <x:v>18.4135707545088</x:v>
      </x:c>
      <x:c r="Y236" s="48" t="n">
        <x: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(0.45*SIN(2*PI()*(((A236)/Inputs!$C$49)+Inputs!$C$47*0.137))+0.35*COS(2*PI()*(((Inputs!$C$6)/Inputs!$C$50)+Inputs!$C$47*0.173))+0.20*SIN(2*PI()*(((A236)+(Inputs!$C$6))/(0.5*(Inputs!$C$49+Inputs!$C$50))+Inputs!$C$47*0.097)))+0.30*(2*((SIN(((A236)*12.9898+(Inputs!$C$6)*78.233+Inputs!$C$47*37.719))*43758.5453)-INT((SIN(((A236)*12.9898+(Inputs!$C$6)*78.233+Inputs!$C$47*37.719))*43758.5453)))-1)))</x:f>
        <x:v>200.68454527158707</x:v>
      </x:c>
      <x:c r="Z236" s="48" t="n">
        <x:f>B236-X236/1000</x:f>
        <x:v>403.5915864292455</x:v>
      </x:c>
      <x:c r="AA236" s="48" t="n">
        <x:f>SQRT(A236^2+Inputs!$C$6^2+(B236-Y236/1000)^2)</x:f>
        <x:v>408.1826500424198</x:v>
      </x:c>
      <x:c r="AB236" s="48" t="n">
        <x:f>(AA236-Z236)*1000</x:f>
        <x:v>4591.0636131742995</x:v>
      </x:c>
      <x:c r="AC236" s="48" t="n">
        <x:f>AB236/Inputs!$C$12</x:f>
        <x:v>2579.249220884438</x:v>
      </x:c>
      <x:c r="AD236" s="48" t="n">
        <x:f>2*AB236/Inputs!$C$21*1000000</x:f>
        <x:v>30.62827960251288</x:v>
      </x:c>
      <x:c r="AE236" s="48" t="n">
        <x:f>DEGREES(ATAN(H236/(B236-Y236/1000)))</x:f>
        <x:v>8.770925716837477</x:v>
      </x:c>
      <x:c r="AF236" s="48" t="n">
        <x:f>DEGREES((2*PI()/Inputs!$C$13)*Inputs!$C$15*SIN(RADIANS(AE236)))</x:f>
        <x:v>54.89436529918362</x:v>
      </x:c>
      <x:c r="AG236" s="48" t="n">
        <x:f>(Z236/AA236)^4</x:f>
        <x:v>0.9557630848873361</x:v>
      </x:c>
      <x:c r="AH236" s="48" t="n">
        <x:f>10*LOG10(AG236)</x:f>
        <x:v>-0.19649747553803</x:v>
      </x:c>
      <x:c r="AI236" s="48" t="n">
        <x:f>AC236-F236</x:f>
        <x:v>-101.08162529130732</x:v>
      </x:c>
      <x:c r="AJ236" s="48" t="n">
        <x:f>AD236-G236</x:f>
        <x:v>-1.2003323513797426</x:v>
      </x:c>
      <x:c r="AK236" s="48" t="n">
        <x:f>Y236-X236</x:f>
        <x:v>182.27097451707826</x:v>
      </x:c>
      <x:c r="AL236" s="48" t="n">
        <x:f>1000*(AA237-AA235)/(A237-A235)*Inputs!$C$11</x:f>
        <x:v>1105.9121820735527</x:v>
      </x:c>
      <x:c r="AM236" s="48" t="n">
        <x:f>-2*AL236/Inputs!$C$13</x:f>
        <x:v>-442.3648728294211</x:v>
      </x:c>
      <x:c r="AN236" s="48" t="n">
        <x:f>-2*AL236/Inputs!$C$14</x:f>
        <x:v>-66.42115207648966</x:v>
      </x:c>
      <x:c r="AO236" s="48" t="n">
        <x:f>ABS(AM236)</x:f>
        <x:v>442.3648728294211</x:v>
      </x:c>
      <x:c r="AP236" s="48" t="n">
        <x:f>ABS(AN236)</x:f>
        <x:v>66.42115207648966</x:v>
      </x:c>
      <x:c r="AQ236" s="48" t="n">
        <x:f>IF(OR(Inputs!$C$27=TRUE,Inputs!$C$27="TRUE",Inputs!$C$27=1),Inputs!$C$46/Inputs!$C$12,0)</x:f>
        <x:v>42.13483146067416</x:v>
      </x:c>
      <x:c r="AR236" s="48" t="n">
        <x:f>AC236-AQ236</x:f>
        <x:v>2537.1143894237634</x:v>
      </x:c>
      <x:c r="AS236" s="48" t="n">
        <x:f>AC236+AQ236</x:f>
        <x:v>2621.384052345112</x:v>
      </x:c>
    </x:row>
    <x:row r="237">
      <x:c r="A237" s="48" t="n">
        <x:f>Inputs!$C$7+235*(Inputs!$C$8-Inputs!$C$7)/240</x:f>
        <x:v>57.5</x:v>
      </x:c>
      <x:c r="B237" s="48" t="n">
        <x:f>Inputs!$C$5+Inputs!$C$9*(A237/Inputs!$C$10)^2</x:f>
        <x:v>403.6736111111111</x:v>
      </x:c>
      <x:c r="C237" s="48" t="n">
        <x:f>B237</x:f>
        <x:v>403.6736111111111</x:v>
      </x:c>
      <x:c r="D237" s="48" t="n">
        <x:f>SQRT(A237^2+Inputs!$C$6^2+B237^2)</x:f>
        <x:v>408.5139340432399</x:v>
      </x:c>
      <x:c r="E237" s="48" t="n">
        <x:f>(D237-C237)*1000</x:f>
        <x:v>4840.3229321288</x:v>
      </x:c>
      <x:c r="F237" s="48" t="n">
        <x:f>E237/Inputs!$C$12</x:f>
        <x:v>2719.282546139775</x:v>
      </x:c>
      <x:c r="G237" s="48" t="n">
        <x:f>2*E237/Inputs!$C$21*1000000</x:f>
        <x:v>32.291158786448186</x:v>
      </x:c>
      <x:c r="H237" s="48" t="n">
        <x:f>SQRT(A237^2+Inputs!$C$6^2)</x:f>
        <x:v>62.69968101992226</x:v>
      </x:c>
      <x:c r="I237" s="48" t="n">
        <x:f>DEGREES(ATAN(H237/B237))</x:f>
        <x:v>8.828788473728661</x:v>
      </x:c>
      <x:c r="J237" s="48" t="n">
        <x:f>DEGREES((2*PI()/Inputs!$C$13)*Inputs!$C$15*SIN(RADIANS(I237)))</x:f>
        <x:v>55.25364812839616</x:v>
      </x:c>
      <x:c r="K237" s="48" t="n">
        <x:f>(C237/D237)^4</x:f>
        <x:v>0.9534412572554191</x:v>
      </x:c>
      <x:c r="L237" s="48" t="n">
        <x:f>10*LOG10(K237)</x:f>
        <x:v>-0.20706059236444402</x:v>
      </x:c>
      <x:c r="M237" s="48" t="n">
        <x:f>2*(Inputs!$C$9/(Inputs!$C$10^2))*A237</x:f>
        <x:v>0.12777777777777777</x:v>
      </x:c>
      <x:c r="N237" s="48" t="n">
        <x:f>M237*Inputs!$C$11</x:f>
        <x:v>0.5111111111111111</x:v>
      </x:c>
      <x:c r="O237" s="48" t="n">
        <x:f>1000*((A237*Inputs!$C$11)+(B237*N237))/D237</x:f>
        <x:v>1068.0714451592028</x:v>
      </x:c>
      <x:c r="P237" s="48" t="n">
        <x:f>-2*O237/Inputs!$C$13</x:f>
        <x:v>-427.2285780636811</x:v>
      </x:c>
      <x:c r="Q237" s="48" t="n">
        <x:f>-2*O237/Inputs!$C$14</x:f>
        <x:v>-64.14843514469686</x:v>
      </x:c>
      <x:c r="R237" s="48" t="n">
        <x:f>F237-Inputs!$C$16/2</x:f>
        <x:v>2704.282546139775</x:v>
      </x:c>
      <x:c r="S237" s="48" t="n">
        <x:f>F237+Inputs!$C$16/2</x:f>
        <x:v>2734.282546139775</x:v>
      </x:c>
      <x:c r="T237" s="48" t="n">
        <x:f>F237-Inputs!$C$17/2</x:f>
        <x:v>2569.282546139775</x:v>
      </x:c>
      <x:c r="U237" s="48" t="n">
        <x:f>F237+Inputs!$C$17/2</x:f>
        <x:v>2869.282546139775</x:v>
      </x:c>
      <x:c r="V237" s="48" t="n">
        <x:f>ABS(P237)</x:f>
        <x:v>427.2285780636811</x:v>
      </x:c>
      <x:c r="W237" s="48" t="n">
        <x:f>ABS(Q237)</x:f>
        <x:v>64.14843514469686</x:v>
      </x:c>
      <x:c r="X237" s="48" t="n">
        <x: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(0.45*SIN(2*PI()*(((A237)/Inputs!$C$49)+Inputs!$C$47*0.137))+0.35*COS(2*PI()*(((0)/Inputs!$C$50)+Inputs!$C$47*0.173))+0.20*SIN(2*PI()*(((A237)+(0))/(0.5*(Inputs!$C$49+Inputs!$C$50))+Inputs!$C$47*0.097)))+0.30*(2*((SIN(((A237)*12.9898+(0)*78.233+Inputs!$C$47*37.719))*43758.5453)-INT((SIN(((A237)*12.9898+(0)*78.233+Inputs!$C$47*37.719))*43758.5453)))-1)))</x:f>
        <x:v>25.968776223167485</x:v>
      </x:c>
      <x:c r="Y237" s="48" t="n">
        <x: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(0.45*SIN(2*PI()*(((A237)/Inputs!$C$49)+Inputs!$C$47*0.137))+0.35*COS(2*PI()*(((Inputs!$C$6)/Inputs!$C$50)+Inputs!$C$47*0.173))+0.20*SIN(2*PI()*(((A237)+(Inputs!$C$6))/(0.5*(Inputs!$C$49+Inputs!$C$50))+Inputs!$C$47*0.097)))+0.30*(2*((SIN(((A237)*12.9898+(Inputs!$C$6)*78.233+Inputs!$C$47*37.719))*43758.5453)-INT((SIN(((A237)*12.9898+(Inputs!$C$6)*78.233+Inputs!$C$47*37.719))*43758.5453)))-1)))</x:f>
        <x:v>178.2777126906697</x:v>
      </x:c>
      <x:c r="Z237" s="48" t="n">
        <x:f>B237-X237/1000</x:f>
        <x:v>403.6476423348879</x:v>
      </x:c>
      <x:c r="AA237" s="48" t="n">
        <x:f>SQRT(A237^2+Inputs!$C$6^2+(B237-Y237/1000)^2)</x:f>
        <x:v>408.3377695906937</x:v>
      </x:c>
      <x:c r="AB237" s="48" t="n">
        <x:f>(AA237-Z237)*1000</x:f>
        <x:v>4690.127255805805</x:v>
      </x:c>
      <x:c r="AC237" s="48" t="n">
        <x:f>AB237/Inputs!$C$12</x:f>
        <x:v>2634.9029526998906</x:v>
      </x:c>
      <x:c r="AD237" s="48" t="n">
        <x:f>2*AB237/Inputs!$C$21*1000000</x:f>
        <x:v>31.289161088941107</x:v>
      </x:c>
      <x:c r="AE237" s="48" t="n">
        <x:f>DEGREES(ATAN(H237/(B237-Y237/1000)))</x:f>
        <x:v>8.832627831561567</x:v>
      </x:c>
      <x:c r="AF237" s="48" t="n">
        <x:f>DEGREES((2*PI()/Inputs!$C$13)*Inputs!$C$15*SIN(RADIANS(AE237)))</x:f>
        <x:v>55.27748557229335</x:v>
      </x:c>
      <x:c r="AG237" s="48" t="n">
        <x:f>(Z237/AA237)^4</x:f>
        <x:v>0.9548419072176938</x:v>
      </x:c>
      <x:c r="AH237" s="48" t="n">
        <x:f>10*LOG10(AG237)</x:f>
        <x:v>-0.200685284231408</x:v>
      </x:c>
      <x:c r="AI237" s="48" t="n">
        <x:f>AC237-F237</x:f>
        <x:v>-84.3795934398845</x:v>
      </x:c>
      <x:c r="AJ237" s="48" t="n">
        <x:f>AD237-G237</x:f>
        <x:v>-1.001997697507079</x:v>
      </x:c>
      <x:c r="AK237" s="48" t="n">
        <x:f>Y237-X237</x:f>
        <x:v>152.3089364675022</x:v>
      </x:c>
      <x:c r="AL237" s="48" t="n">
        <x:f>1000*(AA238-AA236)/(A238-A236)*Inputs!$C$11</x:f>
        <x:v>1092.6686930022242</x:v>
      </x:c>
      <x:c r="AM237" s="48" t="n">
        <x:f>-2*AL237/Inputs!$C$13</x:f>
        <x:v>-437.0674772008897</x:v>
      </x:c>
      <x:c r="AN237" s="48" t="n">
        <x:f>-2*AL237/Inputs!$C$14</x:f>
        <x:v>-65.62574732746093</x:v>
      </x:c>
      <x:c r="AO237" s="48" t="n">
        <x:f>ABS(AM237)</x:f>
        <x:v>437.0674772008897</x:v>
      </x:c>
      <x:c r="AP237" s="48" t="n">
        <x:f>ABS(AN237)</x:f>
        <x:v>65.62574732746093</x:v>
      </x:c>
      <x:c r="AQ237" s="48" t="n">
        <x:f>IF(OR(Inputs!$C$27=TRUE,Inputs!$C$27="TRUE",Inputs!$C$27=1),Inputs!$C$46/Inputs!$C$12,0)</x:f>
        <x:v>42.13483146067416</x:v>
      </x:c>
      <x:c r="AR237" s="48" t="n">
        <x:f>AC237-AQ237</x:f>
        <x:v>2592.7681212392163</x:v>
      </x:c>
      <x:c r="AS237" s="48" t="n">
        <x:f>AC237+AQ237</x:f>
        <x:v>2677.037784160565</x:v>
      </x:c>
    </x:row>
    <x:row r="238">
      <x:c r="A238" s="48" t="n">
        <x:f>Inputs!$C$7+236*(Inputs!$C$8-Inputs!$C$7)/240</x:f>
        <x:v>58</x:v>
      </x:c>
      <x:c r="B238" s="48" t="n">
        <x:f>Inputs!$C$5+Inputs!$C$9*(A238/Inputs!$C$10)^2</x:f>
        <x:v>403.73777777777775</x:v>
      </x:c>
      <x:c r="C238" s="48" t="n">
        <x:f>B238</x:f>
        <x:v>403.73777777777775</x:v>
      </x:c>
      <x:c r="D238" s="48" t="n">
        <x:f>SQRT(A238^2+Inputs!$C$6^2+B238^2)</x:f>
        <x:v>408.6480064859466</x:v>
      </x:c>
      <x:c r="E238" s="48" t="n">
        <x:f>(D238-C238)*1000</x:f>
        <x:v>4910.228708168859</x:v>
      </x:c>
      <x:c r="F238" s="48" t="n">
        <x:f>E238/Inputs!$C$12</x:f>
        <x:v>2758.555454027449</x:v>
      </x:c>
      <x:c r="G238" s="48" t="n">
        <x:f>2*E238/Inputs!$C$21*1000000</x:f>
        <x:v>32.75751992512673</x:v>
      </x:c>
      <x:c r="H238" s="48" t="n">
        <x:f>SQRT(A238^2+Inputs!$C$6^2)</x:f>
        <x:v>63.15853069855251</x:v>
      </x:c>
      <x:c r="I238" s="48" t="n">
        <x:f>DEGREES(ATAN(H238/B238))</x:f>
        <x:v>8.890979841704603</x:v>
      </x:c>
      <x:c r="J238" s="48" t="n">
        <x:f>DEGREES((2*PI()/Inputs!$C$13)*Inputs!$C$15*SIN(RADIANS(I238)))</x:f>
        <x:v>55.639745430303066</x:v>
      </x:c>
      <x:c r="K238" s="48" t="n">
        <x:f>(C238/D238)^4</x:f>
        <x:v>0.9527961960409873</x:v>
      </x:c>
      <x:c r="L238" s="48" t="n">
        <x:f>10*LOG10(K238)</x:f>
        <x:v>-0.20999985406163002</x:v>
      </x:c>
      <x:c r="M238" s="48" t="n">
        <x:f>2*(Inputs!$C$9/(Inputs!$C$10^2))*A238</x:f>
        <x:v>0.1288888888888889</x:v>
      </x:c>
      <x:c r="N238" s="48" t="n">
        <x:f>M238*Inputs!$C$11</x:f>
        <x:v>0.5155555555555555</x:v>
      </x:c>
      <x:c r="O238" s="48" t="n">
        <x:f>1000*((A238*Inputs!$C$11)+(B238*N238))/D238</x:f>
        <x:v>1077.086508033961</x:v>
      </x:c>
      <x:c r="P238" s="48" t="n">
        <x:f>-2*O238/Inputs!$C$13</x:f>
        <x:v>-430.83460321358444</x:v>
      </x:c>
      <x:c r="Q238" s="48" t="n">
        <x:f>-2*O238/Inputs!$C$14</x:f>
        <x:v>-64.68988036240007</x:v>
      </x:c>
      <x:c r="R238" s="48" t="n">
        <x:f>F238-Inputs!$C$16/2</x:f>
        <x:v>2743.555454027449</x:v>
      </x:c>
      <x:c r="S238" s="48" t="n">
        <x:f>F238+Inputs!$C$16/2</x:f>
        <x:v>2773.555454027449</x:v>
      </x:c>
      <x:c r="T238" s="48" t="n">
        <x:f>F238-Inputs!$C$17/2</x:f>
        <x:v>2608.555454027449</x:v>
      </x:c>
      <x:c r="U238" s="48" t="n">
        <x:f>F238+Inputs!$C$17/2</x:f>
        <x:v>2908.555454027449</x:v>
      </x:c>
      <x:c r="V238" s="48" t="n">
        <x:f>ABS(P238)</x:f>
        <x:v>430.83460321358444</x:v>
      </x:c>
      <x:c r="W238" s="48" t="n">
        <x:f>ABS(Q238)</x:f>
        <x:v>64.68988036240007</x:v>
      </x:c>
      <x:c r="X238" s="48" t="n">
        <x: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(0.45*SIN(2*PI()*(((A238)/Inputs!$C$49)+Inputs!$C$47*0.137))+0.35*COS(2*PI()*(((0)/Inputs!$C$50)+Inputs!$C$47*0.173))+0.20*SIN(2*PI()*(((A238)+(0))/(0.5*(Inputs!$C$49+Inputs!$C$50))+Inputs!$C$47*0.097)))+0.30*(2*((SIN(((A238)*12.9898+(0)*78.233+Inputs!$C$47*37.719))*43758.5453)-INT((SIN(((A238)*12.9898+(0)*78.233+Inputs!$C$47*37.719))*43758.5453)))-1)))</x:f>
        <x:v>30.070182113253747</x:v>
      </x:c>
      <x:c r="Y238" s="48" t="n">
        <x: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(0.45*SIN(2*PI()*(((A238)/Inputs!$C$49)+Inputs!$C$47*0.137))+0.35*COS(2*PI()*(((Inputs!$C$6)/Inputs!$C$50)+Inputs!$C$47*0.173))+0.20*SIN(2*PI()*(((A238)+(Inputs!$C$6))/(0.5*(Inputs!$C$49+Inputs!$C$50))+Inputs!$C$47*0.097)))+0.30*(2*((SIN(((A238)*12.9898+(Inputs!$C$6)*78.233+Inputs!$C$47*37.719))*43758.5453)-INT((SIN(((A238)*12.9898+(Inputs!$C$6)*78.233+Inputs!$C$47*37.719))*43758.5453)))-1)))</x:f>
        <x:v>194.52778179385766</x:v>
      </x:c>
      <x:c r="Z238" s="48" t="n">
        <x:f>B238-X238/1000</x:f>
        <x:v>403.7077075956645</x:v>
      </x:c>
      <x:c r="AA238" s="48" t="n">
        <x:f>SQRT(A238^2+Inputs!$C$6^2+(B238-Y238/1000)^2)</x:f>
        <x:v>408.4558172156704</x:v>
      </x:c>
      <x:c r="AB238" s="48" t="n">
        <x:f>(AA238-Z238)*1000</x:f>
        <x:v>4748.109620005891</x:v>
      </x:c>
      <x:c r="AC238" s="48" t="n">
        <x:f>AB238/Inputs!$C$12</x:f>
        <x:v>2667.477314610051</x:v>
      </x:c>
      <x:c r="AD238" s="48" t="n">
        <x:f>2*AB238/Inputs!$C$21*1000000</x:f>
        <x:v>31.67597778597813</x:v>
      </x:c>
      <x:c r="AE238" s="48" t="n">
        <x:f>DEGREES(ATAN(H238/(B238-Y238/1000)))</x:f>
        <x:v>8.89519721278091</x:v>
      </x:c>
      <x:c r="AF238" s="48" t="n">
        <x:f>DEGREES((2*PI()/Inputs!$C$13)*Inputs!$C$15*SIN(RADIANS(AE238)))</x:f>
        <x:v>55.6659254028286</x:v>
      </x:c>
      <x:c r="AG238" s="48" t="n">
        <x:f>(Z238/AA238)^4</x:f>
        <x:v>0.954306367459157</x:v>
      </x:c>
      <x:c r="AH238" s="48" t="n">
        <x:f>10*LOG10(AG238)</x:f>
        <x:v>-0.20312178401676</x:v>
      </x:c>
      <x:c r="AI238" s="48" t="n">
        <x:f>AC238-F238</x:f>
        <x:v>-91.07813941739778</x:v>
      </x:c>
      <x:c r="AJ238" s="48" t="n">
        <x:f>AD238-G238</x:f>
        <x:v>-1.081542139148599</x:v>
      </x:c>
      <x:c r="AK238" s="48" t="n">
        <x:f>Y238-X238</x:f>
        <x:v>164.45759968060392</x:v>
      </x:c>
      <x:c r="AL238" s="48" t="n">
        <x:f>1000*(AA239-AA237)/(A239-A237)*Inputs!$C$11</x:f>
        <x:v>1037.5972403980995</x:v>
      </x:c>
      <x:c r="AM238" s="48" t="n">
        <x:f>-2*AL238/Inputs!$C$13</x:f>
        <x:v>-415.0388961592398</x:v>
      </x:c>
      <x:c r="AN238" s="48" t="n">
        <x:f>-2*AL238/Inputs!$C$14</x:f>
        <x:v>-62.31815257646244</x:v>
      </x:c>
      <x:c r="AO238" s="48" t="n">
        <x:f>ABS(AM238)</x:f>
        <x:v>415.0388961592398</x:v>
      </x:c>
      <x:c r="AP238" s="48" t="n">
        <x:f>ABS(AN238)</x:f>
        <x:v>62.31815257646244</x:v>
      </x:c>
      <x:c r="AQ238" s="48" t="n">
        <x:f>IF(OR(Inputs!$C$27=TRUE,Inputs!$C$27="TRUE",Inputs!$C$27=1),Inputs!$C$46/Inputs!$C$12,0)</x:f>
        <x:v>42.13483146067416</x:v>
      </x:c>
      <x:c r="AR238" s="48" t="n">
        <x:f>AC238-AQ238</x:f>
        <x:v>2625.3424831493767</x:v>
      </x:c>
      <x:c r="AS238" s="48" t="n">
        <x:f>AC238+AQ238</x:f>
        <x:v>2709.6121460707254</x:v>
      </x:c>
    </x:row>
    <x:row r="239">
      <x:c r="A239" s="48" t="n">
        <x:f>Inputs!$C$7+237*(Inputs!$C$8-Inputs!$C$7)/240</x:f>
        <x:v>58.5</x:v>
      </x:c>
      <x:c r="B239" s="48" t="n">
        <x:f>Inputs!$C$5+Inputs!$C$9*(A239/Inputs!$C$10)^2</x:f>
        <x:v>403.8025</x:v>
      </x:c>
      <x:c r="C239" s="48" t="n">
        <x:f>B239</x:f>
        <x:v>403.8025</x:v>
      </x:c>
      <x:c r="D239" s="48" t="n">
        <x:f>SQRT(A239^2+Inputs!$C$6^2+B239^2)</x:f>
        <x:v>408.7832053867307</x:v>
      </x:c>
      <x:c r="E239" s="48" t="n">
        <x:f>(D239-C239)*1000</x:f>
        <x:v>4980.705386730677</x:v>
      </x:c>
      <x:c r="F239" s="48" t="n">
        <x:f>E239/Inputs!$C$12</x:f>
        <x:v>2798.1490936689197</x:v>
      </x:c>
      <x:c r="G239" s="48" t="n">
        <x:f>2*E239/Inputs!$C$21*1000000</x:f>
        <x:v>33.227689715467605</x:v>
      </x:c>
      <x:c r="H239" s="48" t="n">
        <x:f>SQRT(A239^2+Inputs!$C$6^2)</x:f>
        <x:v>63.61800059731522</x:v>
      </x:c>
      <x:c r="I239" s="48" t="n">
        <x:f>DEGREES(ATAN(H239/B239))</x:f>
        <x:v>8.953204095149154</x:v>
      </x:c>
      <x:c r="J239" s="48" t="n">
        <x:f>DEGREES((2*PI()/Inputs!$C$13)*Inputs!$C$15*SIN(RADIANS(I239)))</x:f>
        <x:v>56.02598128601325</x:v>
      </x:c>
      <x:c r="K239" s="48" t="n">
        <x:f>(C239/D239)^4</x:f>
        <x:v>0.9521466297969774</x:v>
      </x:c>
      <x:c r="L239" s="48" t="n">
        <x:f>10*LOG10(K239)</x:f>
        <x:v>-0.212961654725793</x:v>
      </x:c>
      <x:c r="M239" s="48" t="n">
        <x:f>2*(Inputs!$C$9/(Inputs!$C$10^2))*A239</x:f>
        <x:v>0.13</x:v>
      </x:c>
      <x:c r="N239" s="48" t="n">
        <x:f>M239*Inputs!$C$11</x:f>
        <x:v>0.52</x:v>
      </x:c>
      <x:c r="O239" s="48" t="n">
        <x:f>1000*((A239*Inputs!$C$11)+(B239*N239))/D239</x:f>
        <x:v>1086.0947664911375</x:v>
      </x:c>
      <x:c r="P239" s="48" t="n">
        <x:f>-2*O239/Inputs!$C$13</x:f>
        <x:v>-434.43790659645504</x:v>
      </x:c>
      <x:c r="Q239" s="48" t="n">
        <x:f>-2*O239/Inputs!$C$14</x:f>
        <x:v>-65.23091690637463</x:v>
      </x:c>
      <x:c r="R239" s="48" t="n">
        <x:f>F239-Inputs!$C$16/2</x:f>
        <x:v>2783.1490936689197</x:v>
      </x:c>
      <x:c r="S239" s="48" t="n">
        <x:f>F239+Inputs!$C$16/2</x:f>
        <x:v>2813.1490936689197</x:v>
      </x:c>
      <x:c r="T239" s="48" t="n">
        <x:f>F239-Inputs!$C$17/2</x:f>
        <x:v>2648.1490936689197</x:v>
      </x:c>
      <x:c r="U239" s="48" t="n">
        <x:f>F239+Inputs!$C$17/2</x:f>
        <x:v>2948.1490936689197</x:v>
      </x:c>
      <x:c r="V239" s="48" t="n">
        <x:f>ABS(P239)</x:f>
        <x:v>434.43790659645504</x:v>
      </x:c>
      <x:c r="W239" s="48" t="n">
        <x:f>ABS(Q239)</x:f>
        <x:v>65.23091690637463</x:v>
      </x:c>
      <x:c r="X239" s="48" t="n">
        <x: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(0.45*SIN(2*PI()*(((A239)/Inputs!$C$49)+Inputs!$C$47*0.137))+0.35*COS(2*PI()*(((0)/Inputs!$C$50)+Inputs!$C$47*0.173))+0.20*SIN(2*PI()*(((A239)+(0))/(0.5*(Inputs!$C$49+Inputs!$C$50))+Inputs!$C$47*0.097)))+0.30*(2*((SIN(((A239)*12.9898+(0)*78.233+Inputs!$C$47*37.719))*43758.5453)-INT((SIN(((A239)*12.9898+(0)*78.233+Inputs!$C$47*37.719))*43758.5453)))-1)))</x:f>
        <x:v>28.425297518081656</x:v>
      </x:c>
      <x:c r="Y239" s="48" t="n">
        <x: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(0.45*SIN(2*PI()*(((A239)/Inputs!$C$49)+Inputs!$C$47*0.137))+0.35*COS(2*PI()*(((Inputs!$C$6)/Inputs!$C$50)+Inputs!$C$47*0.173))+0.20*SIN(2*PI()*(((A239)+(Inputs!$C$6))/(0.5*(Inputs!$C$49+Inputs!$C$50))+Inputs!$C$47*0.097)))+0.30*(2*((SIN(((A239)*12.9898+(Inputs!$C$6)*78.233+Inputs!$C$47*37.719))*43758.5453)-INT((SIN(((A239)*12.9898+(Inputs!$C$6)*78.233+Inputs!$C$47*37.719))*43758.5453)))-1)))</x:f>
        <x:v>188.33221875951745</x:v>
      </x:c>
      <x:c r="Z239" s="48" t="n">
        <x:f>B239-X239/1000</x:f>
        <x:v>403.7740747024819</x:v>
      </x:c>
      <x:c r="AA239" s="48" t="n">
        <x:f>SQRT(A239^2+Inputs!$C$6^2+(B239-Y239/1000)^2)</x:f>
        <x:v>408.59716890079324</x:v>
      </x:c>
      <x:c r="AB239" s="48" t="n">
        <x:f>(AA239-Z239)*1000</x:f>
        <x:v>4823.09419831131</x:v>
      </x:c>
      <x:c r="AC239" s="48" t="n">
        <x:f>AB239/Inputs!$C$12</x:f>
        <x:v>2709.603482197365</x:v>
      </x:c>
      <x:c r="AD239" s="48" t="n">
        <x:f>2*AB239/Inputs!$C$21*1000000</x:f>
        <x:v>32.17622104630337</x:v>
      </x:c>
      <x:c r="AE239" s="48" t="n">
        <x:f>DEGREES(ATAN(H239/(B239-Y239/1000)))</x:f>
        <x:v>8.95731406724814</x:v>
      </x:c>
      <x:c r="AF239" s="48" t="n">
        <x:f>DEGREES((2*PI()/Inputs!$C$13)*Inputs!$C$15*SIN(RADIANS(AE239)))</x:f>
        <x:v>56.05149021625788</x:v>
      </x:c>
      <x:c r="AG239" s="48" t="n">
        <x:f>(Z239/AA239)^4</x:f>
        <x:v>0.9536133222390204</x:v>
      </x:c>
      <x:c r="AH239" s="48" t="n">
        <x:f>10*LOG10(AG239)</x:f>
        <x:v>-0.206276903487229</x:v>
      </x:c>
      <x:c r="AI239" s="48" t="n">
        <x:f>AC239-F239</x:f>
        <x:v>-88.54561147155482</x:v>
      </x:c>
      <x:c r="AJ239" s="48" t="n">
        <x:f>AD239-G239</x:f>
        <x:v>-1.0514686691642368</x:v>
      </x:c>
      <x:c r="AK239" s="48" t="n">
        <x:f>Y239-X239</x:f>
        <x:v>159.90692124143578</x:v>
      </x:c>
      <x:c r="AL239" s="48" t="n">
        <x:f>1000*(AA240-AA238)/(A240-A238)*Inputs!$C$11</x:f>
        <x:v>1089.466318360337</x:v>
      </x:c>
      <x:c r="AM239" s="48" t="n">
        <x:f>-2*AL239/Inputs!$C$13</x:f>
        <x:v>-435.7865273441348</x:v>
      </x:c>
      <x:c r="AN239" s="48" t="n">
        <x:f>-2*AL239/Inputs!$C$14</x:f>
        <x:v>-65.43341251413436</x:v>
      </x:c>
      <x:c r="AO239" s="48" t="n">
        <x:f>ABS(AM239)</x:f>
        <x:v>435.7865273441348</x:v>
      </x:c>
      <x:c r="AP239" s="48" t="n">
        <x:f>ABS(AN239)</x:f>
        <x:v>65.43341251413436</x:v>
      </x:c>
      <x:c r="AQ239" s="48" t="n">
        <x:f>IF(OR(Inputs!$C$27=TRUE,Inputs!$C$27="TRUE",Inputs!$C$27=1),Inputs!$C$46/Inputs!$C$12,0)</x:f>
        <x:v>42.13483146067416</x:v>
      </x:c>
      <x:c r="AR239" s="48" t="n">
        <x:f>AC239-AQ239</x:f>
        <x:v>2667.4686507366905</x:v>
      </x:c>
      <x:c r="AS239" s="48" t="n">
        <x:f>AC239+AQ239</x:f>
        <x:v>2751.7383136580393</x:v>
      </x:c>
    </x:row>
    <x:row r="240">
      <x:c r="A240" s="48" t="n">
        <x:f>Inputs!$C$7+238*(Inputs!$C$8-Inputs!$C$7)/240</x:f>
        <x:v>59</x:v>
      </x:c>
      <x:c r="B240" s="48" t="n">
        <x:f>Inputs!$C$5+Inputs!$C$9*(A240/Inputs!$C$10)^2</x:f>
        <x:v>403.8677777777778</x:v>
      </x:c>
      <x:c r="C240" s="48" t="n">
        <x:f>B240</x:f>
        <x:v>403.8677777777778</x:v>
      </x:c>
      <x:c r="D240" s="48" t="n">
        <x:f>SQRT(A240^2+Inputs!$C$6^2+B240^2)</x:f>
        <x:v>408.91952989208096</x:v>
      </x:c>
      <x:c r="E240" s="48" t="n">
        <x:f>(D240-C240)*1000</x:f>
        <x:v>5051.752114303155</x:v>
      </x:c>
      <x:c r="F240" s="48" t="n">
        <x:f>E240/Inputs!$C$12</x:f>
        <x:v>2838.0629855635702</x:v>
      </x:c>
      <x:c r="G240" s="48" t="n">
        <x:f>2*E240/Inputs!$C$21*1000000</x:f>
        <x:v>33.70166246345767</x:v>
      </x:c>
      <x:c r="H240" s="48" t="n">
        <x:f>SQRT(A240^2+Inputs!$C$6^2)</x:f>
        <x:v>64.07807737440318</x:v>
      </x:c>
      <x:c r="I240" s="48" t="n">
        <x:f>DEGREES(ATAN(H240/B240))</x:f>
        <x:v>9.015458913989574</x:v>
      </x:c>
      <x:c r="J240" s="48" t="n">
        <x:f>DEGREES((2*PI()/Inputs!$C$13)*Inputs!$C$15*SIN(RADIANS(I240)))</x:f>
        <x:v>56.41234073822082</x:v>
      </x:c>
      <x:c r="K240" s="48" t="n">
        <x:f>(C240/D240)^4</x:f>
        <x:v>0.9514925839256605</x:v>
      </x:c>
      <x:c r="L240" s="48" t="n">
        <x:f>10*LOG10(K240)</x:f>
        <x:v>-0.215945923193827</x:v>
      </x:c>
      <x:c r="M240" s="48" t="n">
        <x:f>2*(Inputs!$C$9/(Inputs!$C$10^2))*A240</x:f>
        <x:v>0.13111111111111112</x:v>
      </x:c>
      <x:c r="N240" s="48" t="n">
        <x:f>M240*Inputs!$C$11</x:f>
        <x:v>0.5244444444444445</x:v>
      </x:c>
      <x:c r="O240" s="48" t="n">
        <x:f>1000*((A240*Inputs!$C$11)+(B240*N240))/D240</x:f>
        <x:v>1095.0961732345256</x:v>
      </x:c>
      <x:c r="P240" s="48" t="n">
        <x:f>-2*O240/Inputs!$C$13</x:f>
        <x:v>-438.03846929381024</x:v>
      </x:c>
      <x:c r="Q240" s="48" t="n">
        <x:f>-2*O240/Inputs!$C$14</x:f>
        <x:v>-65.77154193600755</x:v>
      </x:c>
      <x:c r="R240" s="48" t="n">
        <x:f>F240-Inputs!$C$16/2</x:f>
        <x:v>2823.0629855635702</x:v>
      </x:c>
      <x:c r="S240" s="48" t="n">
        <x:f>F240+Inputs!$C$16/2</x:f>
        <x:v>2853.0629855635702</x:v>
      </x:c>
      <x:c r="T240" s="48" t="n">
        <x:f>F240-Inputs!$C$17/2</x:f>
        <x:v>2688.0629855635702</x:v>
      </x:c>
      <x:c r="U240" s="48" t="n">
        <x:f>F240+Inputs!$C$17/2</x:f>
        <x:v>2988.0629855635702</x:v>
      </x:c>
      <x:c r="V240" s="48" t="n">
        <x:f>ABS(P240)</x:f>
        <x:v>438.03846929381024</x:v>
      </x:c>
      <x:c r="W240" s="48" t="n">
        <x:f>ABS(Q240)</x:f>
        <x:v>65.77154193600755</x:v>
      </x:c>
      <x:c r="X240" s="48" t="n">
        <x: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(0.45*SIN(2*PI()*(((A240)/Inputs!$C$49)+Inputs!$C$47*0.137))+0.35*COS(2*PI()*(((0)/Inputs!$C$50)+Inputs!$C$47*0.173))+0.20*SIN(2*PI()*(((A240)+(0))/(0.5*(Inputs!$C$49+Inputs!$C$50))+Inputs!$C$47*0.097)))+0.30*(2*((SIN(((A240)*12.9898+(0)*78.233+Inputs!$C$47*37.719))*43758.5453)-INT((SIN(((A240)*12.9898+(0)*78.233+Inputs!$C$47*37.719))*43758.5453)))-1)))</x:f>
        <x:v>25.687015205000044</x:v>
      </x:c>
      <x:c r="Y240" s="48" t="n">
        <x: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(0.45*SIN(2*PI()*(((A240)/Inputs!$C$49)+Inputs!$C$47*0.137))+0.35*COS(2*PI()*(((Inputs!$C$6)/Inputs!$C$50)+Inputs!$C$47*0.173))+0.20*SIN(2*PI()*(((A240)+(Inputs!$C$6))/(0.5*(Inputs!$C$49+Inputs!$C$50))+Inputs!$C$47*0.097)))+0.30*(2*((SIN(((A240)*12.9898+(Inputs!$C$6)*78.233+Inputs!$C$47*37.719))*43758.5453)-INT((SIN(((A240)*12.9898+(Inputs!$C$6)*78.233+Inputs!$C$47*37.719))*43758.5453)))-1)))</x:f>
        <x:v>193.74067782731254</x:v>
      </x:c>
      <x:c r="Z240" s="48" t="n">
        <x:f>B240-X240/1000</x:f>
        <x:v>403.8420907625728</x:v>
      </x:c>
      <x:c r="AA240" s="48" t="n">
        <x:f>SQRT(A240^2+Inputs!$C$6^2+(B240-Y240/1000)^2)</x:f>
        <x:v>408.72818379526046</x:v>
      </x:c>
      <x:c r="AB240" s="48" t="n">
        <x:f>(AA240-Z240)*1000</x:f>
        <x:v>4886.093032687654</x:v>
      </x:c>
      <x:c r="AC240" s="48" t="n">
        <x:f>AB240/Inputs!$C$12</x:f>
        <x:v>2744.996085779581</x:v>
      </x:c>
      <x:c r="AD240" s="48" t="n">
        <x:f>2*AB240/Inputs!$C$21*1000000</x:f>
        <x:v>32.59650403004905</x:v>
      </x:c>
      <x:c r="AE240" s="48" t="n">
        <x:f>DEGREES(ATAN(H240/(B240-Y240/1000)))</x:f>
        <x:v>9.01971470685204</x:v>
      </x:c>
      <x:c r="AF240" s="48" t="n">
        <x:f>DEGREES((2*PI()/Inputs!$C$13)*Inputs!$C$15*SIN(RADIANS(AE240)))</x:f>
        <x:v>56.438750175202955</x:v>
      </x:c>
      <x:c r="AG240" s="48" t="n">
        <x:f>(Z240/AA240)^4</x:f>
        <x:v>0.9530331006569305</x:v>
      </x:c>
      <x:c r="AH240" s="48" t="n">
        <x:f>10*LOG10(AG240)</x:f>
        <x:v>-0.208920152242063</x:v>
      </x:c>
      <x:c r="AI240" s="48" t="n">
        <x:f>AC240-F240</x:f>
        <x:v>-93.06689978398936</x:v>
      </x:c>
      <x:c r="AJ240" s="48" t="n">
        <x:f>AD240-G240</x:f>
        <x:v>-1.1051584334086257</x:v>
      </x:c>
      <x:c r="AK240" s="48" t="n">
        <x:f>Y240-X240</x:f>
        <x:v>168.0536626223125</x:v>
      </x:c>
      <x:c r="AL240" s="48" t="n">
        <x:f>1000*(AA241-AA239)/(A241-A239)*Inputs!$C$11</x:f>
        <x:v>1171.794110171959</x:v>
      </x:c>
      <x:c r="AM240" s="48" t="n">
        <x:f>-2*AL240/Inputs!$C$13</x:f>
        <x:v>-468.71764406878356</x:v>
      </x:c>
      <x:c r="AN240" s="48" t="n">
        <x:f>-2*AL240/Inputs!$C$14</x:f>
        <x:v>-70.3780246349525</x:v>
      </x:c>
      <x:c r="AO240" s="48" t="n">
        <x:f>ABS(AM240)</x:f>
        <x:v>468.71764406878356</x:v>
      </x:c>
      <x:c r="AP240" s="48" t="n">
        <x:f>ABS(AN240)</x:f>
        <x:v>70.3780246349525</x:v>
      </x:c>
      <x:c r="AQ240" s="48" t="n">
        <x:f>IF(OR(Inputs!$C$27=TRUE,Inputs!$C$27="TRUE",Inputs!$C$27=1),Inputs!$C$46/Inputs!$C$12,0)</x:f>
        <x:v>42.13483146067416</x:v>
      </x:c>
      <x:c r="AR240" s="48" t="n">
        <x:f>AC240-AQ240</x:f>
        <x:v>2702.8612543189065</x:v>
      </x:c>
      <x:c r="AS240" s="48" t="n">
        <x:f>AC240+AQ240</x:f>
        <x:v>2787.1309172402553</x:v>
      </x:c>
    </x:row>
    <x:row r="241">
      <x:c r="A241" s="48" t="n">
        <x:f>Inputs!$C$7+239*(Inputs!$C$8-Inputs!$C$7)/240</x:f>
        <x:v>59.5</x:v>
      </x:c>
      <x:c r="B241" s="48" t="n">
        <x:f>Inputs!$C$5+Inputs!$C$9*(A241/Inputs!$C$10)^2</x:f>
        <x:v>403.93361111111113</x:v>
      </x:c>
      <x:c r="C241" s="48" t="n">
        <x:f>B241</x:f>
        <x:v>403.93361111111113</x:v>
      </x:c>
      <x:c r="D241" s="48" t="n">
        <x:f>SQRT(A241^2+Inputs!$C$6^2+B241^2)</x:f>
        <x:v>409.05697914259133</x:v>
      </x:c>
      <x:c r="E241" s="48" t="n">
        <x:f>(D241-C241)*1000</x:f>
        <x:v>5123.368031480197</x:v>
      </x:c>
      <x:c r="F241" s="48" t="n">
        <x:f>E241/Inputs!$C$12</x:f>
        <x:v>2878.296646898987</x:v>
      </x:c>
      <x:c r="G241" s="48" t="n">
        <x:f>2*E241/Inputs!$C$21*1000000</x:f>
        <x:v>34.17943243575658</x:v>
      </x:c>
      <x:c r="H241" s="48" t="n">
        <x:f>SQRT(A241^2+Inputs!$C$6^2)</x:f>
        <x:v>64.53874805107394</x:v>
      </x:c>
      <x:c r="I241" s="48" t="n">
        <x:f>DEGREES(ATAN(H241/B241))</x:f>
        <x:v>9.07774203179775</x:v>
      </x:c>
      <x:c r="J241" s="48" t="n">
        <x:f>DEGREES((2*PI()/Inputs!$C$13)*Inputs!$C$15*SIN(RADIANS(I241)))</x:f>
        <x:v>56.79880917100207</x:v>
      </x:c>
      <x:c r="K241" s="48" t="n">
        <x:f>(C241/D241)^4</x:f>
        <x:v>0.950834083946599</x:v>
      </x:c>
      <x:c r="L241" s="48" t="n">
        <x:f>10*LOG10(K241)</x:f>
        <x:v>-0.218952587858653</x:v>
      </x:c>
      <x:c r="M241" s="48" t="n">
        <x:f>2*(Inputs!$C$9/(Inputs!$C$10^2))*A241</x:f>
        <x:v>0.1322222222222222</x:v>
      </x:c>
      <x:c r="N241" s="48" t="n">
        <x:f>M241*Inputs!$C$11</x:f>
        <x:v>0.5288888888888889</x:v>
      </x:c>
      <x:c r="O241" s="48" t="n">
        <x:f>1000*((A241*Inputs!$C$11)+(B241*N241))/D241</x:f>
        <x:v>1104.0906812348956</x:v>
      </x:c>
      <x:c r="P241" s="48" t="n">
        <x:f>-2*O241/Inputs!$C$13</x:f>
        <x:v>-441.63627249395824</x:v>
      </x:c>
      <x:c r="Q241" s="48" t="n">
        <x:f>-2*O241/Inputs!$C$14</x:f>
        <x:v>-66.31175262672046</x:v>
      </x:c>
      <x:c r="R241" s="48" t="n">
        <x:f>F241-Inputs!$C$16/2</x:f>
        <x:v>2863.296646898987</x:v>
      </x:c>
      <x:c r="S241" s="48" t="n">
        <x:f>F241+Inputs!$C$16/2</x:f>
        <x:v>2893.296646898987</x:v>
      </x:c>
      <x:c r="T241" s="48" t="n">
        <x:f>F241-Inputs!$C$17/2</x:f>
        <x:v>2728.296646898987</x:v>
      </x:c>
      <x:c r="U241" s="48" t="n">
        <x:f>F241+Inputs!$C$17/2</x:f>
        <x:v>3028.296646898987</x:v>
      </x:c>
      <x:c r="V241" s="48" t="n">
        <x:f>ABS(P241)</x:f>
        <x:v>441.63627249395824</x:v>
      </x:c>
      <x:c r="W241" s="48" t="n">
        <x:f>ABS(Q241)</x:f>
        <x:v>66.31175262672046</x:v>
      </x:c>
      <x:c r="X241" s="48" t="n">
        <x: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(0.45*SIN(2*PI()*(((A241)/Inputs!$C$49)+Inputs!$C$47*0.137))+0.35*COS(2*PI()*(((0)/Inputs!$C$50)+Inputs!$C$47*0.173))+0.20*SIN(2*PI()*(((A241)+(0))/(0.5*(Inputs!$C$49+Inputs!$C$50))+Inputs!$C$47*0.097)))+0.30*(2*((SIN(((A241)*12.9898+(0)*78.233+Inputs!$C$47*37.719))*43758.5453)-INT((SIN(((A241)*12.9898+(0)*78.233+Inputs!$C$47*37.719))*43758.5453)))-1)))</x:f>
        <x:v>45.681577079364786</x:v>
      </x:c>
      <x:c r="Y241" s="48" t="n">
        <x: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(0.45*SIN(2*PI()*(((A241)/Inputs!$C$49)+Inputs!$C$47*0.137))+0.35*COS(2*PI()*(((Inputs!$C$6)/Inputs!$C$50)+Inputs!$C$47*0.173))+0.20*SIN(2*PI()*(((A241)+(Inputs!$C$6))/(0.5*(Inputs!$C$49+Inputs!$C$50))+Inputs!$C$47*0.097)))+0.30*(2*((SIN(((A241)*12.9898+(Inputs!$C$6)*78.233+Inputs!$C$47*37.719))*43758.5453)-INT((SIN(((A241)*12.9898+(Inputs!$C$6)*78.233+Inputs!$C$47*37.719))*43758.5453)))-1)))</x:f>
        <x:v>168.97901642333537</x:v>
      </x:c>
      <x:c r="Z241" s="48" t="n">
        <x:f>B241-X241/1000</x:f>
        <x:v>403.88792953403174</x:v>
      </x:c>
      <x:c r="AA241" s="48" t="n">
        <x:f>SQRT(A241^2+Inputs!$C$6^2+(B241-Y241/1000)^2)</x:f>
        <x:v>408.8901174283362</x:v>
      </x:c>
      <x:c r="AB241" s="48" t="n">
        <x:f>(AA241-Z241)*1000</x:f>
        <x:v>5002.187894304484</x:v>
      </x:c>
      <x:c r="AC241" s="48" t="n">
        <x:f>AB241/Inputs!$C$12</x:f>
        <x:v>2810.2179181485863</x:v>
      </x:c>
      <x:c r="AD241" s="48" t="n">
        <x:f>2*AB241/Inputs!$C$21*1000000</x:f>
        <x:v>33.37100557949649</x:v>
      </x:c>
      <x:c r="AE241" s="48" t="n">
        <x:f>DEGREES(ATAN(H241/(B241-Y241/1000)))</x:f>
        <x:v>9.081477848214389</x:v>
      </x:c>
      <x:c r="AF241" s="48" t="n">
        <x:f>DEGREES((2*PI()/Inputs!$C$13)*Inputs!$C$15*SIN(RADIANS(AE241)))</x:f>
        <x:v>56.82198788396664</x:v>
      </x:c>
      <x:c r="AG241" s="48" t="n">
        <x:f>(Z241/AA241)^4</x:f>
        <x:v>0.9519563612434858</x:v>
      </x:c>
      <x:c r="AH241" s="48" t="n">
        <x:f>10*LOG10(AG241)</x:f>
        <x:v>-0.21382959709576901</x:v>
      </x:c>
      <x:c r="AI241" s="48" t="n">
        <x:f>AC241-F241</x:f>
        <x:v>-68.07872875040084</x:v>
      </x:c>
      <x:c r="AJ241" s="48" t="n">
        <x:f>AD241-G241</x:f>
        <x:v>-0.8084268562600911</x:v>
      </x:c>
      <x:c r="AK241" s="48" t="n">
        <x:f>Y241-X241</x:f>
        <x:v>123.29743934397058</x:v>
      </x:c>
      <x:c r="AL241" s="48" t="n">
        <x:f>1000*(AA242-AA240)/(A242-A240)*Inputs!$C$11</x:f>
        <x:v>1161.1906060441015</x:v>
      </x:c>
      <x:c r="AM241" s="48" t="n">
        <x:f>-2*AL241/Inputs!$C$13</x:f>
        <x:v>-464.4762424176406</x:v>
      </x:c>
      <x:c r="AN241" s="48" t="n">
        <x:f>-2*AL241/Inputs!$C$14</x:f>
        <x:v>-69.74117754018629</x:v>
      </x:c>
      <x:c r="AO241" s="48" t="n">
        <x:f>ABS(AM241)</x:f>
        <x:v>464.4762424176406</x:v>
      </x:c>
      <x:c r="AP241" s="48" t="n">
        <x:f>ABS(AN241)</x:f>
        <x:v>69.74117754018629</x:v>
      </x:c>
      <x:c r="AQ241" s="48" t="n">
        <x:f>IF(OR(Inputs!$C$27=TRUE,Inputs!$C$27="TRUE",Inputs!$C$27=1),Inputs!$C$46/Inputs!$C$12,0)</x:f>
        <x:v>42.13483146067416</x:v>
      </x:c>
      <x:c r="AR241" s="48" t="n">
        <x:f>AC241-AQ241</x:f>
        <x:v>2768.083086687912</x:v>
      </x:c>
      <x:c r="AS241" s="48" t="n">
        <x:f>AC241+AQ241</x:f>
        <x:v>2852.3527496092606</x:v>
      </x:c>
    </x:row>
    <x:row r="242">
      <x:c r="A242" s="48" t="n">
        <x:f>Inputs!$C$7+240*(Inputs!$C$8-Inputs!$C$7)/240</x:f>
        <x:v>60</x:v>
      </x:c>
      <x:c r="B242" s="48" t="n">
        <x:f>Inputs!$C$5+Inputs!$C$9*(A242/Inputs!$C$10)^2</x:f>
        <x:v>404</x:v>
      </x:c>
      <x:c r="C242" s="48" t="n">
        <x:f>B242</x:f>
        <x:v>404</x:v>
      </x:c>
      <x:c r="D242" s="48" t="n">
        <x:f>SQRT(A242^2+Inputs!$C$6^2+B242^2)</x:f>
        <x:v>409.1955522729933</x:v>
      </x:c>
      <x:c r="E242" s="48" t="n">
        <x:f>(D242-C242)*1000</x:f>
        <x:v>5195.5522729933255</x:v>
      </x:c>
      <x:c r="F242" s="48" t="n">
        <x:f>E242/Inputs!$C$12</x:f>
        <x:v>2918.849591569284</x:v>
      </x:c>
      <x:c r="G242" s="48" t="n">
        <x:f>2*E242/Inputs!$C$21*1000000</x:f>
        <x:v>34.66099385991442</x:v>
      </x:c>
      <x:c r="H242" s="48" t="n">
        <x:f>SQRT(A242^2+Inputs!$C$6^2)</x:f>
        <x:v>65</x:v>
      </x:c>
      <x:c r="I242" s="48" t="n">
        <x:f>DEGREES(ATAN(H242/B242))</x:f>
        <x:v>9.14005123413285</x:v>
      </x:c>
      <x:c r="J242" s="48" t="n">
        <x:f>DEGREES((2*PI()/Inputs!$C$13)*Inputs!$C$15*SIN(RADIANS(I242)))</x:f>
        <x:v>57.185372299425126</x:v>
      </x:c>
      <x:c r="K242" s="48" t="n">
        <x:f>(C242/D242)^4</x:f>
        <x:v>0.9501711554944995</x:v>
      </x:c>
      <x:c r="L242" s="48" t="n">
        <x:f>10*LOG10(K242)</x:f>
        <x:v>-0.221981576673</x:v>
      </x:c>
      <x:c r="M242" s="48" t="n">
        <x:f>2*(Inputs!$C$9/(Inputs!$C$10^2))*A242</x:f>
        <x:v>0.13333333333333333</x:v>
      </x:c>
      <x:c r="N242" s="48" t="n">
        <x:f>M242*Inputs!$C$11</x:f>
        <x:v>0.5333333333333333</x:v>
      </x:c>
      <x:c r="O242" s="48" t="n">
        <x:f>1000*((A242*Inputs!$C$11)+(B242*N242))/D242</x:f>
        <x:v>1113.0782437312607</x:v>
      </x:c>
      <x:c r="P242" s="48" t="n">
        <x:f>-2*O242/Inputs!$C$13</x:f>
        <x:v>-445.23129749250427</x:v>
      </x:c>
      <x:c r="Q242" s="48" t="n">
        <x:f>-2*O242/Inputs!$C$14</x:f>
        <x:v>-66.8515461700457</x:v>
      </x:c>
      <x:c r="R242" s="48" t="n">
        <x:f>F242-Inputs!$C$16/2</x:f>
        <x:v>2903.849591569284</x:v>
      </x:c>
      <x:c r="S242" s="48" t="n">
        <x:f>F242+Inputs!$C$16/2</x:f>
        <x:v>2933.849591569284</x:v>
      </x:c>
      <x:c r="T242" s="48" t="n">
        <x:f>F242-Inputs!$C$17/2</x:f>
        <x:v>2768.849591569284</x:v>
      </x:c>
      <x:c r="U242" s="48" t="n">
        <x:f>F242+Inputs!$C$17/2</x:f>
        <x:v>3068.849591569284</x:v>
      </x:c>
      <x:c r="V242" s="48" t="n">
        <x:f>ABS(P242)</x:f>
        <x:v>445.23129749250427</x:v>
      </x:c>
      <x:c r="W242" s="48" t="n">
        <x:f>ABS(Q242)</x:f>
        <x:v>66.8515461700457</x:v>
      </x:c>
      <x:c r="X242" s="48" t="n">
        <x: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(0.45*SIN(2*PI()*(((A242)/Inputs!$C$49)+Inputs!$C$47*0.137))+0.35*COS(2*PI()*(((0)/Inputs!$C$50)+Inputs!$C$47*0.173))+0.20*SIN(2*PI()*(((A242)+(0))/(0.5*(Inputs!$C$49+Inputs!$C$50))+Inputs!$C$47*0.097)))+0.30*(2*((SIN(((A242)*12.9898+(0)*78.233+Inputs!$C$47*37.719))*43758.5453)-INT((SIN(((A242)*12.9898+(0)*78.233+Inputs!$C$47*37.719))*43758.5453)))-1)))</x:f>
        <x:v>31.89413090916895</x:v>
      </x:c>
      <x:c r="Y242" s="48" t="n">
        <x: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(0.45*SIN(2*PI()*(((A242)/Inputs!$C$49)+Inputs!$C$47*0.137))+0.35*COS(2*PI()*(((Inputs!$C$6)/Inputs!$C$50)+Inputs!$C$47*0.173))+0.20*SIN(2*PI()*(((A242)+(Inputs!$C$6))/(0.5*(Inputs!$C$49+Inputs!$C$50))+Inputs!$C$47*0.097)))+0.30*(2*((SIN(((A242)*12.9898+(Inputs!$C$6)*78.233+Inputs!$C$47*37.719))*43758.5453)-INT((SIN(((A242)*12.9898+(Inputs!$C$6)*78.233+Inputs!$C$47*37.719))*43758.5453)))-1)))</x:f>
        <x:v>179.34901119414707</x:v>
      </x:c>
      <x:c r="Z242" s="48" t="n">
        <x:f>B242-X242/1000</x:f>
        <x:v>403.96810586909083</x:v>
      </x:c>
      <x:c r="AA242" s="48" t="n">
        <x:f>SQRT(A242^2+Inputs!$C$6^2+(B242-Y242/1000)^2)</x:f>
        <x:v>409.0184814467715</x:v>
      </x:c>
      <x:c r="AB242" s="48" t="n">
        <x:f>(AA242-Z242)*1000</x:f>
        <x:v>5050.375577680654</x:v>
      </x:c>
      <x:c r="AC242" s="48" t="n">
        <x:f>AB242/Inputs!$C$12</x:f>
        <x:v>2837.28965038239</x:v>
      </x:c>
      <x:c r="AD242" s="48" t="n">
        <x:f>2*AB242/Inputs!$C$21*1000000</x:f>
        <x:v>33.69247919959784</x:v>
      </x:c>
      <x:c r="AE242" s="48" t="n">
        <x:f>DEGREES(ATAN(H242/(B242-Y242/1000)))</x:f>
        <x:v>9.144042044938944</x:v>
      </x:c>
      <x:c r="AF242" s="48" t="n">
        <x:f>DEGREES((2*PI()/Inputs!$C$13)*Inputs!$C$15*SIN(RADIANS(AE242)))</x:f>
        <x:v>57.21012878740839</x:v>
      </x:c>
      <x:c r="AG242" s="48" t="n">
        <x:f>(Z242/AA242)^4</x:f>
        <x:v>0.9515170704602104</x:v>
      </x:c>
      <x:c r="AH242" s="48" t="n">
        <x:f>10*LOG10(AG242)</x:f>
        <x:v>-0.21583415952713203</x:v>
      </x:c>
      <x:c r="AI242" s="48" t="n">
        <x:f>AC242-F242</x:f>
        <x:v>-81.55994118689387</x:v>
      </x:c>
      <x:c r="AJ242" s="48" t="n">
        <x:f>AD242-G242</x:f>
        <x:v>-0.9685146603165791</x:v>
      </x:c>
      <x:c r="AK242" s="48" t="n">
        <x:f>Y242-X242</x:f>
        <x:v>147.45488028497812</x:v>
      </x:c>
      <x:c r="AL242" s="48" t="n">
        <x:f>1000*(AA242-AA241)/(A242-A241)*Inputs!$C$11</x:f>
        <x:v>1026.9121474821077</x:v>
      </x:c>
      <x:c r="AM242" s="48" t="n">
        <x:f>-2*AL242/Inputs!$C$13</x:f>
        <x:v>-410.7648589928431</x:v>
      </x:c>
      <x:c r="AN242" s="48" t="n">
        <x:f>-2*AL242/Inputs!$C$14</x:f>
        <x:v>-61.676405254180644</x:v>
      </x:c>
      <x:c r="AO242" s="48" t="n">
        <x:f>ABS(AM242)</x:f>
        <x:v>410.7648589928431</x:v>
      </x:c>
      <x:c r="AP242" s="48" t="n">
        <x:f>ABS(AN242)</x:f>
        <x:v>61.676405254180644</x:v>
      </x:c>
      <x:c r="AQ242" s="48" t="n">
        <x:f>IF(OR(Inputs!$C$27=TRUE,Inputs!$C$27="TRUE",Inputs!$C$27=1),Inputs!$C$46/Inputs!$C$12,0)</x:f>
        <x:v>42.13483146067416</x:v>
      </x:c>
      <x:c r="AR242" s="48" t="n">
        <x:f>AC242-AQ242</x:f>
        <x:v>2795.1548189217156</x:v>
      </x:c>
      <x:c r="AS242" s="48" t="n">
        <x:f>AC242+AQ242</x:f>
        <x:v>2879.4244818430643</x:v>
      </x:c>
    </x:row>
  </x:sheetData>
  <x:pageMargins left="0.7" right="0.7" top="0.75" bottom="0.75" header="0.3" footer="0.3"/>
  <x:tableParts count="1">
    <x:tablePart xmlns:r="http://schemas.openxmlformats.org/officeDocument/2006/relationships" r:id="Rfa18c71d87974a1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30" hidden="0" customWidth="1"/>
    <x:col min="4" max="4" width="4" hidden="0" customWidth="1"/>
    <x:col min="5" max="5" width="12" hidden="0" customWidth="1"/>
    <x:col min="6" max="6" width="30" hidden="0" customWidth="1"/>
    <x:col min="7" max="7" width="30" hidden="0" customWidth="1"/>
    <x:col min="8" max="8" width="4" hidden="0" customWidth="1"/>
    <x:col min="9" max="9" width="12" hidden="0" customWidth="1"/>
    <x:col min="10" max="10" width="34" hidden="0" customWidth="1"/>
    <x:col min="11" max="11" width="42" hidden="0" customWidth="1"/>
    <x:col min="12" max="12" width="4" hidden="0" customWidth="1"/>
    <x:col min="13" max="13" width="12" hidden="0" customWidth="1"/>
    <x:col min="14" max="14" width="20" hidden="0" customWidth="1"/>
    <x:col min="15" max="15" width="28" hidden="0" customWidth="1"/>
    <x:col min="16" max="16" width="20" hidden="0" customWidth="1"/>
    <x:col min="17" max="17" width="28" hidden="0" customWidth="1"/>
    <x:col min="18" max="18" width="4" hidden="0" customWidth="1"/>
    <x:col min="19" max="19" width="12" hidden="0" customWidth="1"/>
    <x:col min="20" max="20" width="22" hidden="0" customWidth="1"/>
    <x:col min="21" max="21" width="4" hidden="0" customWidth="1"/>
    <x:col min="22" max="22" width="12" hidden="0" customWidth="1"/>
    <x:col min="23" max="23" width="34" hidden="0" customWidth="1"/>
    <x:col min="24" max="24" width="30" hidden="0" customWidth="1"/>
    <x:col min="25" max="25" width="4" hidden="0" customWidth="1"/>
    <x:col min="26" max="26" width="12" hidden="0" customWidth="1"/>
    <x:col min="27" max="27" width="34" hidden="0" customWidth="1"/>
    <x:col min="28" max="28" width="34" hidden="0" customWidth="1"/>
    <x:col min="29" max="29" width="28" hidden="0" customWidth="1"/>
    <x:col min="30" max="30" width="28" hidden="0" customWidth="1"/>
  </x:cols>
  <x:sheetData>
    <x:row r="1">
      <x:c r="A1" s="14" t="str">
        <x:v>x (km)</x:v>
      </x:c>
      <x:c r="B1" s="14" t="str">
        <x:v>Flat apparent depth (m)</x:v>
      </x:c>
      <x:c r="C1" s="14" t="str">
        <x:v>Topography-preview apparent depth (m)</x:v>
      </x:c>
      <x:c r="E1" s="14" t="str">
        <x:v>x (km)</x:v>
      </x:c>
      <x:c r="F1" s="14" t="str">
        <x:v>Target topography preview height (m)</x:v>
      </x:c>
      <x:c r="G1" s="14" t="str">
        <x:v>Nadir topography preview height (m)</x:v>
      </x:c>
      <x:c r="I1" s="14" t="str">
        <x:v>x (km)</x:v>
      </x:c>
      <x:c r="J1" s="14" t="str">
        <x:v>Original target-minus-nadir surface height (m)</x:v>
      </x:c>
      <x:c r="K1" s="14" t="str">
        <x:v>Radar apparent surface shift from topography (m; positive = shallower)</x:v>
      </x:c>
      <x:c r="M1" s="14" t="str">
        <x:v>x (km)</x:v>
      </x:c>
      <x:c r="N1" s="14" t="str">
        <x:v>Flat VHF Doppler (Hz)</x:v>
      </x:c>
      <x:c r="O1" s="14" t="str">
        <x:v>Topography-preview VHF Doppler (Hz)</x:v>
      </x:c>
      <x:c r="P1" s="14" t="str">
        <x:v>Flat HF Doppler (Hz)</x:v>
      </x:c>
      <x:c r="Q1" s="14" t="str">
        <x:v>Topography-preview HF Doppler (Hz)</x:v>
      </x:c>
      <x:c r="S1" s="14" t="str">
        <x:v>x (km)</x:v>
      </x:c>
      <x:c r="T1" s="14" t="str">
        <x:v>Altitude rise above z0 (km)</x:v>
      </x:c>
      <x:c r="V1" s="14" t="str">
        <x:v>x (km)</x:v>
      </x:c>
      <x:c r="W1" s="14" t="str">
        <x:v>Extra apparent shift caused by parabolic path (m)</x:v>
      </x:c>
      <x:c r="X1" s="14" t="str">
        <x:v>Zero reference (no path-motion effect)</x:v>
      </x:c>
      <x:c r="Z1" s="14" t="str">
        <x:v>x (km)</x:v>
      </x:c>
      <x:c r="AA1" s="14" t="str">
        <x:v>Preview topographic off-nadir range (km)</x:v>
      </x:c>
      <x:c r="AB1" s="14" t="str">
        <x:v>Preview topographic range rate (m/s)</x:v>
      </x:c>
      <x:c r="AC1" s="14" t="str">
        <x:v>Preview VHF Doppler (Hz)</x:v>
      </x:c>
      <x:c r="AD1" s="14" t="str">
        <x:v>Preview HF Doppler (Hz)</x:v>
      </x:c>
    </x:row>
    <x:row r="2">
      <x:c r="A2" s="48" t="n">
        <x:f>Model_Data!A2</x:f>
        <x:v>-60</x:v>
      </x:c>
      <x:c r="B2" s="48" t="n">
        <x:f>Model_Data!F2</x:f>
        <x:v>2918.849591569284</x:v>
      </x:c>
      <x:c r="C2" s="48" t="n">
        <x:f>(((SQRT((Model_Data!A2)^2+Inputs!$C$6^2+((Model_Data!B2)-((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(0.45*SIN(2*PI()*(((Model_Data!A2)/Inputs!$C$49)+Inputs!$C$47*0.137))+0.35*COS(2*PI()*(((Inputs!$C$6)/Inputs!$C$50)+Inputs!$C$47*0.173))+0.20*SIN(2*PI()*(((Model_Data!A2)+(Inputs!$C$6))/(0.5*(Inputs!$C$49+Inputs!$C$50))+Inputs!$C$47*0.097)))+0.30*(2*((SIN(((Model_Data!A2)*12.9898+(Inputs!$C$6)*78.233+Inputs!$C$47*37.719))*43758.5453)-INT((SIN(((Model_Data!A2)*12.9898+(Inputs!$C$6)*78.233+Inputs!$C$47*37.719))*43758.5453)))-1))))/1000)^2))-(((Model_Data!B2)-((Inputs!$C$51*(115*EXP(-(((0)-25)^2)/(4.5^2))+70*EXP(-(((0)+38)^2)/(7^2))*(0.55+0.45*SIN(2*PI()*(Model_Data!A2)/45))+24*SIN(2*PI()*(0)/9+(Model_Data!A2)/18)*EXP(-(((0)+5)^2)/(22^2))+18*SIN(2*PI()*(Model_Data!A2)/70))+Inputs!$C$28*EXP(-(((Model_Data!A2)-Inputs!$C$29)^2)/(2*Inputs!$C$31^2))*EXP(-(((0)-Inputs!$C$30)^2)/(2*Inputs!$C$32^2))+-Inputs!$C$33*EXP(-(((((Model_Data!A2)-Inputs!$C$34)^2)+(((0)-Inputs!$C$35)^2))/(2*Inputs!$C$36^2)))+Inputs!$C$37*(0.55*SIN(2*PI()*(Model_Data!A2)/Inputs!$C$39)+0.35*COS(2*PI()*(0)/Inputs!$C$40)+0.2*SIN(2*PI()*((Model_Data!A2)+(0))/(0.5*(Inputs!$C$39+Inputs!$C$40))))+Inputs!$C$38*SIN(2*PI()*(Model_Data!A2)/Inputs!$C$39)*SIN(2*PI()*(0)/Inputs!$C$40)+-Inputs!$C$41*EXP(-(((0)-Inputs!$C$43)^2)/(2*Inputs!$C$44^2))*EXP(-(((Model_Data!A2)-Inputs!$C$42)^2)/(2*Inputs!$C$45^2))+Inputs!$C$48*(0.70*(0.45*SIN(2*PI()*(((Model_Data!A2)/Inputs!$C$49)+Inputs!$C$47*0.137))+0.35*COS(2*PI()*(((0)/Inputs!$C$50)+Inputs!$C$47*0.173))+0.20*SIN(2*PI()*(((Model_Data!A2)+(0))/(0.5*(Inputs!$C$49+Inputs!$C$50))+Inputs!$C$47*0.097)))+0.30*(2*((SIN(((Model_Data!A2)*12.9898+(0)*78.233+Inputs!$C$47*37.719))*43758.5453)-INT((SIN(((Model_Data!A2)*12.9898+(0)*78.233+Inputs!$C$47*37.719))*43758.5453)))-1))))/1000)))*1000/Inputs!$C$12)</x:f>
        <x:v>2854.161214580993</x:v>
      </x:c>
      <x:c r="D2" s="49"/>
      <x:c r="E2" s="48" t="n">
        <x:f>Model_Data!A2</x:f>
        <x:v>-60</x:v>
      </x:c>
      <x:c r="F2" s="48" t="n">
        <x:f>(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(0.45*SIN(2*PI()*(((Model_Data!A2)/Inputs!$C$49)+Inputs!$C$47*0.137))+0.35*COS(2*PI()*(((Inputs!$C$6)/Inputs!$C$50)+Inputs!$C$47*0.173))+0.20*SIN(2*PI()*(((Model_Data!A2)+(Inputs!$C$6))/(0.5*(Inputs!$C$49+Inputs!$C$50))+Inputs!$C$47*0.097)))+0.30*(2*((SIN(((Model_Data!A2)*12.9898+(Inputs!$C$6)*78.233+Inputs!$C$47*37.719))*43758.5453)-INT((SIN(((Model_Data!A2)*12.9898+(Inputs!$C$6)*78.233+Inputs!$C$47*37.719))*43758.5453)))-1)))</x:f>
        <x:v>119.42638570504096</x:v>
      </x:c>
      <x:c r="G2" s="48" t="n">
        <x:f>(Inputs!$C$51*(115*EXP(-(((0)-25)^2)/(4.5^2))+70*EXP(-(((0)+38)^2)/(7^2))*(0.55+0.45*SIN(2*PI()*(Model_Data!A2)/45))+24*SIN(2*PI()*(0)/9+(Model_Data!A2)/18)*EXP(-(((0)+5)^2)/(22^2))+18*SIN(2*PI()*(Model_Data!A2)/70))+Inputs!$C$28*EXP(-(((Model_Data!A2)-Inputs!$C$29)^2)/(2*Inputs!$C$31^2))*EXP(-(((0)-Inputs!$C$30)^2)/(2*Inputs!$C$32^2))+-Inputs!$C$33*EXP(-(((((Model_Data!A2)-Inputs!$C$34)^2)+(((0)-Inputs!$C$35)^2))/(2*Inputs!$C$36^2)))+Inputs!$C$37*(0.55*SIN(2*PI()*(Model_Data!A2)/Inputs!$C$39)+0.35*COS(2*PI()*(0)/Inputs!$C$40)+0.2*SIN(2*PI()*((Model_Data!A2)+(0))/(0.5*(Inputs!$C$39+Inputs!$C$40))))+Inputs!$C$38*SIN(2*PI()*(Model_Data!A2)/Inputs!$C$39)*SIN(2*PI()*(0)/Inputs!$C$40)+-Inputs!$C$41*EXP(-(((0)-Inputs!$C$43)^2)/(2*Inputs!$C$44^2))*EXP(-(((Model_Data!A2)-Inputs!$C$42)^2)/(2*Inputs!$C$45^2))+Inputs!$C$48*(0.70*(0.45*SIN(2*PI()*(((Model_Data!A2)/Inputs!$C$49)+Inputs!$C$47*0.137))+0.35*COS(2*PI()*(((0)/Inputs!$C$50)+Inputs!$C$47*0.173))+0.20*SIN(2*PI()*(((Model_Data!A2)+(0))/(0.5*(Inputs!$C$49+Inputs!$C$50))+Inputs!$C$47*0.097)))+0.30*(2*((SIN(((Model_Data!A2)*12.9898+(0)*78.233+Inputs!$C$47*37.719))*43758.5453)-INT((SIN(((Model_Data!A2)*12.9898+(0)*78.233+Inputs!$C$47*37.719))*43758.5453)))-1)))</x:f>
        <x:v>2.7642790376402013</x:v>
      </x:c>
      <x:c r="H2" s="49"/>
      <x:c r="I2" s="48" t="n">
        <x:f>Model_Data!A2</x:f>
        <x:v>-60</x:v>
      </x:c>
      <x:c r="J2" s="48" t="n">
        <x:f>((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(0.45*SIN(2*PI()*(((Model_Data!A2)/Inputs!$C$49)+Inputs!$C$47*0.137))+0.35*COS(2*PI()*(((Inputs!$C$6)/Inputs!$C$50)+Inputs!$C$47*0.173))+0.20*SIN(2*PI()*(((Model_Data!A2)+(Inputs!$C$6))/(0.5*(Inputs!$C$49+Inputs!$C$50))+Inputs!$C$47*0.097)))+0.30*(2*((SIN(((Model_Data!A2)*12.9898+(Inputs!$C$6)*78.233+Inputs!$C$47*37.719))*43758.5453)-INT((SIN(((Model_Data!A2)*12.9898+(Inputs!$C$6)*78.233+Inputs!$C$47*37.719))*43758.5453)))-1))))-((Inputs!$C$51*(115*EXP(-(((0)-25)^2)/(4.5^2))+70*EXP(-(((0)+38)^2)/(7^2))*(0.55+0.45*SIN(2*PI()*(Model_Data!A2)/45))+24*SIN(2*PI()*(0)/9+(Model_Data!A2)/18)*EXP(-(((0)+5)^2)/(22^2))+18*SIN(2*PI()*(Model_Data!A2)/70))+Inputs!$C$28*EXP(-(((Model_Data!A2)-Inputs!$C$29)^2)/(2*Inputs!$C$31^2))*EXP(-(((0)-Inputs!$C$30)^2)/(2*Inputs!$C$32^2))+-Inputs!$C$33*EXP(-(((((Model_Data!A2)-Inputs!$C$34)^2)+(((0)-Inputs!$C$35)^2))/(2*Inputs!$C$36^2)))+Inputs!$C$37*(0.55*SIN(2*PI()*(Model_Data!A2)/Inputs!$C$39)+0.35*COS(2*PI()*(0)/Inputs!$C$40)+0.2*SIN(2*PI()*((Model_Data!A2)+(0))/(0.5*(Inputs!$C$39+Inputs!$C$40))))+Inputs!$C$38*SIN(2*PI()*(Model_Data!A2)/Inputs!$C$39)*SIN(2*PI()*(0)/Inputs!$C$40)+-Inputs!$C$41*EXP(-(((0)-Inputs!$C$43)^2)/(2*Inputs!$C$44^2))*EXP(-(((Model_Data!A2)-Inputs!$C$42)^2)/(2*Inputs!$C$45^2))+Inputs!$C$48*(0.70*(0.45*SIN(2*PI()*(((Model_Data!A2)/Inputs!$C$49)+Inputs!$C$47*0.137))+0.35*COS(2*PI()*(((0)/Inputs!$C$50)+Inputs!$C$47*0.173))+0.20*SIN(2*PI()*(((Model_Data!A2)+(0))/(0.5*(Inputs!$C$49+Inputs!$C$50))+Inputs!$C$47*0.097)))+0.30*(2*((SIN(((Model_Data!A2)*12.9898+(0)*78.233+Inputs!$C$47*37.719))*43758.5453)-INT((SIN(((Model_Data!A2)*12.9898+(0)*78.233+Inputs!$C$47*37.719))*43758.5453)))-1))))</x:f>
        <x:v>116.66210666740075</x:v>
      </x:c>
      <x:c r="K2" s="48" t="n">
        <x:f>-((((SQRT((Model_Data!A2)^2+Inputs!$C$6^2+((Model_Data!B2)-((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(0.45*SIN(2*PI()*(((Model_Data!A2)/Inputs!$C$49)+Inputs!$C$47*0.137))+0.35*COS(2*PI()*(((Inputs!$C$6)/Inputs!$C$50)+Inputs!$C$47*0.173))+0.20*SIN(2*PI()*(((Model_Data!A2)+(Inputs!$C$6))/(0.5*(Inputs!$C$49+Inputs!$C$50))+Inputs!$C$47*0.097)))+0.30*(2*((SIN(((Model_Data!A2)*12.9898+(Inputs!$C$6)*78.233+Inputs!$C$47*37.719))*43758.5453)-INT((SIN(((Model_Data!A2)*12.9898+(Inputs!$C$6)*78.233+Inputs!$C$47*37.719))*43758.5453)))-1))))/1000)^2))-(((Model_Data!B2)-((Inputs!$C$51*(115*EXP(-(((0)-25)^2)/(4.5^2))+70*EXP(-(((0)+38)^2)/(7^2))*(0.55+0.45*SIN(2*PI()*(Model_Data!A2)/45))+24*SIN(2*PI()*(0)/9+(Model_Data!A2)/18)*EXP(-(((0)+5)^2)/(22^2))+18*SIN(2*PI()*(Model_Data!A2)/70))+Inputs!$C$28*EXP(-(((Model_Data!A2)-Inputs!$C$29)^2)/(2*Inputs!$C$31^2))*EXP(-(((0)-Inputs!$C$30)^2)/(2*Inputs!$C$32^2))+-Inputs!$C$33*EXP(-(((((Model_Data!A2)-Inputs!$C$34)^2)+(((0)-Inputs!$C$35)^2))/(2*Inputs!$C$36^2)))+Inputs!$C$37*(0.55*SIN(2*PI()*(Model_Data!A2)/Inputs!$C$39)+0.35*COS(2*PI()*(0)/Inputs!$C$40)+0.2*SIN(2*PI()*((Model_Data!A2)+(0))/(0.5*(Inputs!$C$39+Inputs!$C$40))))+Inputs!$C$38*SIN(2*PI()*(Model_Data!A2)/Inputs!$C$39)*SIN(2*PI()*(0)/Inputs!$C$40)+-Inputs!$C$41*EXP(-(((0)-Inputs!$C$43)^2)/(2*Inputs!$C$44^2))*EXP(-(((Model_Data!A2)-Inputs!$C$42)^2)/(2*Inputs!$C$45^2))+Inputs!$C$48*(0.70*(0.45*SIN(2*PI()*(((Model_Data!A2)/Inputs!$C$49)+Inputs!$C$47*0.137))+0.35*COS(2*PI()*(((0)/Inputs!$C$50)+Inputs!$C$47*0.173))+0.20*SIN(2*PI()*(((Model_Data!A2)+(0))/(0.5*(Inputs!$C$49+Inputs!$C$50))+Inputs!$C$47*0.097)))+0.30*(2*((SIN(((Model_Data!A2)*12.9898+(0)*78.233+Inputs!$C$47*37.719))*43758.5453)-INT((SIN(((Model_Data!A2)*12.9898+(0)*78.233+Inputs!$C$47*37.719))*43758.5453)))-1))))/1000)))*1000/Inputs!$C$12)-Model_Data!F2)</x:f>
        <x:v>64.68837698829066</x:v>
      </x:c>
      <x:c r="L2" s="49"/>
      <x:c r="M2" s="48" t="n">
        <x:f>Model_Data!A2</x:f>
        <x:v>-60</x:v>
      </x:c>
      <x:c r="N2" s="48" t="n">
        <x:f>Model_Data!P2</x:f>
        <x:v>445.23129749250427</x:v>
      </x:c>
      <x:c r="O2" s="48" t="n">
        <x:f>AC2</x:f>
        <x:v>415.91290631095035</x:v>
      </x:c>
      <x:c r="P2" s="48" t="n">
        <x:f>Model_Data!Q2</x:f>
        <x:v>66.8515461700457</x:v>
      </x:c>
      <x:c r="Q2" s="48" t="n">
        <x:f>AD2</x:f>
        <x:v>62.44938533197453</x:v>
      </x:c>
      <x:c r="R2" s="49"/>
      <x:c r="S2" s="48" t="n">
        <x:f>Model_Data!A2</x:f>
        <x:v>-60</x:v>
      </x:c>
      <x:c r="T2" s="48" t="n">
        <x:f>Model_Data!B2-Inputs!$C$5</x:f>
        <x:v>4</x:v>
      </x:c>
      <x:c r="U2" s="49"/>
      <x:c r="V2" s="48" t="n">
        <x:f>Model_Data!A2</x:f>
        <x:v>-60</x:v>
      </x:c>
      <x:c r="W2" s="48" t="n">
        <x:f>(-((((SQRT((Model_Data!A2)^2+Inputs!$C$6^2+((Model_Data!B2)-((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(0.45*SIN(2*PI()*(((Model_Data!A2)/Inputs!$C$49)+Inputs!$C$47*0.137))+0.35*COS(2*PI()*(((Inputs!$C$6)/Inputs!$C$50)+Inputs!$C$47*0.173))+0.20*SIN(2*PI()*(((Model_Data!A2)+(Inputs!$C$6))/(0.5*(Inputs!$C$49+Inputs!$C$50))+Inputs!$C$47*0.097)))+0.30*(2*((SIN(((Model_Data!A2)*12.9898+(Inputs!$C$6)*78.233+Inputs!$C$47*37.719))*43758.5453)-INT((SIN(((Model_Data!A2)*12.9898+(Inputs!$C$6)*78.233+Inputs!$C$47*37.719))*43758.5453)))-1))))/1000)^2))-(((Model_Data!B2)-((Inputs!$C$51*(115*EXP(-(((0)-25)^2)/(4.5^2))+70*EXP(-(((0)+38)^2)/(7^2))*(0.55+0.45*SIN(2*PI()*(Model_Data!A2)/45))+24*SIN(2*PI()*(0)/9+(Model_Data!A2)/18)*EXP(-(((0)+5)^2)/(22^2))+18*SIN(2*PI()*(Model_Data!A2)/70))+Inputs!$C$28*EXP(-(((Model_Data!A2)-Inputs!$C$29)^2)/(2*Inputs!$C$31^2))*EXP(-(((0)-Inputs!$C$30)^2)/(2*Inputs!$C$32^2))+-Inputs!$C$33*EXP(-(((((Model_Data!A2)-Inputs!$C$34)^2)+(((0)-Inputs!$C$35)^2))/(2*Inputs!$C$36^2)))+Inputs!$C$37*(0.55*SIN(2*PI()*(Model_Data!A2)/Inputs!$C$39)+0.35*COS(2*PI()*(0)/Inputs!$C$40)+0.2*SIN(2*PI()*((Model_Data!A2)+(0))/(0.5*(Inputs!$C$39+Inputs!$C$40))))+Inputs!$C$38*SIN(2*PI()*(Model_Data!A2)/Inputs!$C$39)*SIN(2*PI()*(0)/Inputs!$C$40)+-Inputs!$C$41*EXP(-(((0)-Inputs!$C$43)^2)/(2*Inputs!$C$44^2))*EXP(-(((Model_Data!A2)-Inputs!$C$42)^2)/(2*Inputs!$C$45^2))+Inputs!$C$48*(0.70*(0.45*SIN(2*PI()*(((Model_Data!A2)/Inputs!$C$49)+Inputs!$C$47*0.137))+0.35*COS(2*PI()*(((0)/Inputs!$C$50)+Inputs!$C$47*0.173))+0.20*SIN(2*PI()*(((Model_Data!A2)+(0))/(0.5*(Inputs!$C$49+Inputs!$C$50))+Inputs!$C$47*0.097)))+0.30*(2*((SIN(((Model_Data!A2)*12.9898+(0)*78.233+Inputs!$C$47*37.719))*43758.5453)-INT((SIN(((Model_Data!A2)*12.9898+(0)*78.233+Inputs!$C$47*37.719))*43758.5453)))-1))))/1000)))*1000/Inputs!$C$12)-Model_Data!F2))-(-(((SQRT((Model_Data!A2)^2+Inputs!$C$6^2+(Inputs!$C$5-((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(0.45*SIN(2*PI()*(((Model_Data!A2)/Inputs!$C$49)+Inputs!$C$47*0.137))+0.35*COS(2*PI()*(((Inputs!$C$6)/Inputs!$C$50)+Inputs!$C$47*0.173))+0.20*SIN(2*PI()*(((Model_Data!A2)+(Inputs!$C$6))/(0.5*(Inputs!$C$49+Inputs!$C$50))+Inputs!$C$47*0.097)))+0.30*(2*((SIN(((Model_Data!A2)*12.9898+(Inputs!$C$6)*78.233+Inputs!$C$47*37.719))*43758.5453)-INT((SIN(((Model_Data!A2)*12.9898+(Inputs!$C$6)*78.233+Inputs!$C$47*37.719))*43758.5453)))-1))))/1000)^2)-(Inputs!$C$5-((Inputs!$C$51*(115*EXP(-(((0)-25)^2)/(4.5^2))+70*EXP(-(((0)+38)^2)/(7^2))*(0.55+0.45*SIN(2*PI()*(Model_Data!A2)/45))+24*SIN(2*PI()*(0)/9+(Model_Data!A2)/18)*EXP(-(((0)+5)^2)/(22^2))+18*SIN(2*PI()*(Model_Data!A2)/70))+Inputs!$C$28*EXP(-(((Model_Data!A2)-Inputs!$C$29)^2)/(2*Inputs!$C$31^2))*EXP(-(((0)-Inputs!$C$30)^2)/(2*Inputs!$C$32^2))+-Inputs!$C$33*EXP(-(((((Model_Data!A2)-Inputs!$C$34)^2)+(((0)-Inputs!$C$35)^2))/(2*Inputs!$C$36^2)))+Inputs!$C$37*(0.55*SIN(2*PI()*(Model_Data!A2)/Inputs!$C$39)+0.35*COS(2*PI()*(0)/Inputs!$C$40)+0.2*SIN(2*PI()*((Model_Data!A2)+(0))/(0.5*(Inputs!$C$39+Inputs!$C$40))))+Inputs!$C$38*SIN(2*PI()*(Model_Data!A2)/Inputs!$C$39)*SIN(2*PI()*(0)/Inputs!$C$40)+-Inputs!$C$41*EXP(-(((0)-Inputs!$C$43)^2)/(2*Inputs!$C$44^2))*EXP(-(((Model_Data!A2)-Inputs!$C$42)^2)/(2*Inputs!$C$45^2))+Inputs!$C$48*(0.70*(0.45*SIN(2*PI()*(((Model_Data!A2)/Inputs!$C$49)+Inputs!$C$47*0.137))+0.35*COS(2*PI()*(((0)/Inputs!$C$50)+Inputs!$C$47*0.173))+0.20*SIN(2*PI()*(((Model_Data!A2)+(0))/(0.5*(Inputs!$C$49+Inputs!$C$50))+Inputs!$C$47*0.097)))+0.30*(2*((SIN(((Model_Data!A2)*12.9898+(0)*78.233+Inputs!$C$47*37.719))*43758.5453)-INT((SIN(((Model_Data!A2)*12.9898+(0)*78.233+Inputs!$C$47*37.719))*43758.5453)))-1))))/1000))*1000/Inputs!$C$12)-((SQRT((Model_Data!A2)^2+Inputs!$C$6^2+Inputs!$C$5^2)-Inputs!$C$5)*1000/Inputs!$C$12)))</x:f>
        <x:v>0.01679906810477405</x:v>
      </x:c>
      <x:c r="X2" s="48" t="n">
        <x:f>0</x:f>
        <x:v>0</x:v>
      </x:c>
      <x:c r="Y2" s="49"/>
      <x:c r="Z2" s="48" t="n">
        <x:f>Model_Data!A2</x:f>
        <x:v>-60</x:v>
      </x:c>
      <x:c r="AA2" s="48" t="n">
        <x:f>SQRT((Model_Data!A2)^2+Inputs!$C$6^2+((Model_Data!B2)-((Inputs!$C$51*(115*EXP(-(((Inputs!$C$6)-25)^2)/(4.5^2))+70*EXP(-(((Inputs!$C$6)+38)^2)/(7^2))*(0.55+0.45*SIN(2*PI()*(Model_Data!A2)/45))+24*SIN(2*PI()*(Inputs!$C$6)/9+(Model_Data!A2)/18)*EXP(-(((Inputs!$C$6)+5)^2)/(22^2))+18*SIN(2*PI()*(Model_Data!A2)/70))+Inputs!$C$28*EXP(-(((Model_Data!A2)-Inputs!$C$29)^2)/(2*Inputs!$C$31^2))*EXP(-(((Inputs!$C$6)-Inputs!$C$30)^2)/(2*Inputs!$C$32^2))+-Inputs!$C$33*EXP(-(((((Model_Data!A2)-Inputs!$C$34)^2)+(((Inputs!$C$6)-Inputs!$C$35)^2))/(2*Inputs!$C$36^2)))+Inputs!$C$37*(0.55*SIN(2*PI()*(Model_Data!A2)/Inputs!$C$39)+0.35*COS(2*PI()*(Inputs!$C$6)/Inputs!$C$40)+0.2*SIN(2*PI()*((Model_Data!A2)+(Inputs!$C$6))/(0.5*(Inputs!$C$39+Inputs!$C$40))))+Inputs!$C$38*SIN(2*PI()*(Model_Data!A2)/Inputs!$C$39)*SIN(2*PI()*(Inputs!$C$6)/Inputs!$C$40)+-Inputs!$C$41*EXP(-(((Inputs!$C$6)-Inputs!$C$43)^2)/(2*Inputs!$C$44^2))*EXP(-(((Model_Data!A2)-Inputs!$C$42)^2)/(2*Inputs!$C$45^2))+Inputs!$C$48*(0.70*(0.45*SIN(2*PI()*(((Model_Data!A2)/Inputs!$C$49)+Inputs!$C$47*0.137))+0.35*COS(2*PI()*(((Inputs!$C$6)/Inputs!$C$50)+Inputs!$C$47*0.173))+0.20*SIN(2*PI()*(((Model_Data!A2)+(Inputs!$C$6))/(0.5*(Inputs!$C$49+Inputs!$C$50))+Inputs!$C$47*0.097)))+0.30*(2*((SIN(((Model_Data!A2)*12.9898+(Inputs!$C$6)*78.233+Inputs!$C$47*37.719))*43758.5453)-INT((SIN(((Model_Data!A2)*12.9898+(Inputs!$C$6)*78.233+Inputs!$C$47*37.719))*43758.5453)))-1))))/1000)^2)</x:f>
        <x:v>409.0776426829165</x:v>
      </x:c>
      <x:c r="AB2" s="48" t="n">
        <x:f>1000*(AA3-AA2)/(Z3-Z2)*Inputs!$C$11</x:f>
        <x:v>-1039.7822657773759</x:v>
      </x:c>
      <x:c r="AC2" s="48" t="n">
        <x:f>-2*AB2/Inputs!$C$13</x:f>
        <x:v>415.91290631095035</x:v>
      </x:c>
      <x:c r="AD2" s="48" t="n">
        <x:f>-2*AB2/Inputs!$C$14</x:f>
        <x:v>62.44938533197453</x:v>
      </x:c>
    </x:row>
    <x:row r="3">
      <x:c r="A3" s="48" t="n">
        <x:f>Model_Data!A3</x:f>
        <x:v>-59.5</x:v>
      </x:c>
      <x:c r="B3" s="48" t="n">
        <x:f>Model_Data!F3</x:f>
        <x:v>2878.296646898987</x:v>
      </x:c>
      <x:c r="C3" s="48" t="n">
        <x:f>(((SQRT((Model_Data!A3)^2+Inputs!$C$6^2+((Model_Data!B3)-((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(0.45*SIN(2*PI()*(((Model_Data!A3)/Inputs!$C$49)+Inputs!$C$47*0.137))+0.35*COS(2*PI()*(((Inputs!$C$6)/Inputs!$C$50)+Inputs!$C$47*0.173))+0.20*SIN(2*PI()*(((Model_Data!A3)+(Inputs!$C$6))/(0.5*(Inputs!$C$49+Inputs!$C$50))+Inputs!$C$47*0.097)))+0.30*(2*((SIN(((Model_Data!A3)*12.9898+(Inputs!$C$6)*78.233+Inputs!$C$47*37.719))*43758.5453)-INT((SIN(((Model_Data!A3)*12.9898+(Inputs!$C$6)*78.233+Inputs!$C$47*37.719))*43758.5453)))-1))))/1000)^2))-(((Model_Data!B3)-((Inputs!$C$51*(115*EXP(-(((0)-25)^2)/(4.5^2))+70*EXP(-(((0)+38)^2)/(7^2))*(0.55+0.45*SIN(2*PI()*(Model_Data!A3)/45))+24*SIN(2*PI()*(0)/9+(Model_Data!A3)/18)*EXP(-(((0)+5)^2)/(22^2))+18*SIN(2*PI()*(Model_Data!A3)/70))+Inputs!$C$28*EXP(-(((Model_Data!A3)-Inputs!$C$29)^2)/(2*Inputs!$C$31^2))*EXP(-(((0)-Inputs!$C$30)^2)/(2*Inputs!$C$32^2))+-Inputs!$C$33*EXP(-(((((Model_Data!A3)-Inputs!$C$34)^2)+(((0)-Inputs!$C$35)^2))/(2*Inputs!$C$36^2)))+Inputs!$C$37*(0.55*SIN(2*PI()*(Model_Data!A3)/Inputs!$C$39)+0.35*COS(2*PI()*(0)/Inputs!$C$40)+0.2*SIN(2*PI()*((Model_Data!A3)+(0))/(0.5*(Inputs!$C$39+Inputs!$C$40))))+Inputs!$C$38*SIN(2*PI()*(Model_Data!A3)/Inputs!$C$39)*SIN(2*PI()*(0)/Inputs!$C$40)+-Inputs!$C$41*EXP(-(((0)-Inputs!$C$43)^2)/(2*Inputs!$C$44^2))*EXP(-(((Model_Data!A3)-Inputs!$C$42)^2)/(2*Inputs!$C$45^2))+Inputs!$C$48*(0.70*(0.45*SIN(2*PI()*(((Model_Data!A3)/Inputs!$C$49)+Inputs!$C$47*0.137))+0.35*COS(2*PI()*(((0)/Inputs!$C$50)+Inputs!$C$47*0.173))+0.20*SIN(2*PI()*(((Model_Data!A3)+(0))/(0.5*(Inputs!$C$49+Inputs!$C$50))+Inputs!$C$47*0.097)))+0.30*(2*((SIN(((Model_Data!A3)*12.9898+(0)*78.233+Inputs!$C$47*37.719))*43758.5453)-INT((SIN(((Model_Data!A3)*12.9898+(0)*78.233+Inputs!$C$47*37.719))*43758.5453)))-1))))/1000)))*1000/Inputs!$C$12)</x:f>
        <x:v>2827.923542466078</x:v>
      </x:c>
      <x:c r="D3" s="49"/>
      <x:c r="E3" s="48" t="n">
        <x:f>Model_Data!A3</x:f>
        <x:v>-59.5</x:v>
      </x:c>
      <x:c r="F3" s="48" t="n">
        <x:f>(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(0.45*SIN(2*PI()*(((Model_Data!A3)/Inputs!$C$49)+Inputs!$C$47*0.137))+0.35*COS(2*PI()*(((Inputs!$C$6)/Inputs!$C$50)+Inputs!$C$47*0.173))+0.20*SIN(2*PI()*(((Model_Data!A3)+(Inputs!$C$6))/(0.5*(Inputs!$C$49+Inputs!$C$50))+Inputs!$C$47*0.097)))+0.30*(2*((SIN(((Model_Data!A3)*12.9898+(Inputs!$C$6)*78.233+Inputs!$C$47*37.719))*43758.5453)-INT((SIN(((Model_Data!A3)*12.9898+(Inputs!$C$6)*78.233+Inputs!$C$47*37.719))*43758.5453)))-1)))</x:f>
        <x:v>110.69606493723512</x:v>
      </x:c>
      <x:c r="G3" s="48" t="n">
        <x:f>(Inputs!$C$51*(115*EXP(-(((0)-25)^2)/(4.5^2))+70*EXP(-(((0)+38)^2)/(7^2))*(0.55+0.45*SIN(2*PI()*(Model_Data!A3)/45))+24*SIN(2*PI()*(0)/9+(Model_Data!A3)/18)*EXP(-(((0)+5)^2)/(22^2))+18*SIN(2*PI()*(Model_Data!A3)/70))+Inputs!$C$28*EXP(-(((Model_Data!A3)-Inputs!$C$29)^2)/(2*Inputs!$C$31^2))*EXP(-(((0)-Inputs!$C$30)^2)/(2*Inputs!$C$32^2))+-Inputs!$C$33*EXP(-(((((Model_Data!A3)-Inputs!$C$34)^2)+(((0)-Inputs!$C$35)^2))/(2*Inputs!$C$36^2)))+Inputs!$C$37*(0.55*SIN(2*PI()*(Model_Data!A3)/Inputs!$C$39)+0.35*COS(2*PI()*(0)/Inputs!$C$40)+0.2*SIN(2*PI()*((Model_Data!A3)+(0))/(0.5*(Inputs!$C$39+Inputs!$C$40))))+Inputs!$C$38*SIN(2*PI()*(Model_Data!A3)/Inputs!$C$39)*SIN(2*PI()*(0)/Inputs!$C$40)+-Inputs!$C$41*EXP(-(((0)-Inputs!$C$43)^2)/(2*Inputs!$C$44^2))*EXP(-(((Model_Data!A3)-Inputs!$C$42)^2)/(2*Inputs!$C$45^2))+Inputs!$C$48*(0.70*(0.45*SIN(2*PI()*(((Model_Data!A3)/Inputs!$C$49)+Inputs!$C$47*0.137))+0.35*COS(2*PI()*(((0)/Inputs!$C$50)+Inputs!$C$47*0.173))+0.20*SIN(2*PI()*(((Model_Data!A3)+(0))/(0.5*(Inputs!$C$49+Inputs!$C$50))+Inputs!$C$47*0.097)))+0.30*(2*((SIN(((Model_Data!A3)*12.9898+(0)*78.233+Inputs!$C$47*37.719))*43758.5453)-INT((SIN(((Model_Data!A3)*12.9898+(0)*78.233+Inputs!$C$47*37.719))*43758.5453)))-1)))</x:f>
        <x:v>19.645117006397193</x:v>
      </x:c>
      <x:c r="H3" s="49"/>
      <x:c r="I3" s="48" t="n">
        <x:f>Model_Data!A3</x:f>
        <x:v>-59.5</x:v>
      </x:c>
      <x:c r="J3" s="48" t="n">
        <x:f>((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(0.45*SIN(2*PI()*(((Model_Data!A3)/Inputs!$C$49)+Inputs!$C$47*0.137))+0.35*COS(2*PI()*(((Inputs!$C$6)/Inputs!$C$50)+Inputs!$C$47*0.173))+0.20*SIN(2*PI()*(((Model_Data!A3)+(Inputs!$C$6))/(0.5*(Inputs!$C$49+Inputs!$C$50))+Inputs!$C$47*0.097)))+0.30*(2*((SIN(((Model_Data!A3)*12.9898+(Inputs!$C$6)*78.233+Inputs!$C$47*37.719))*43758.5453)-INT((SIN(((Model_Data!A3)*12.9898+(Inputs!$C$6)*78.233+Inputs!$C$47*37.719))*43758.5453)))-1))))-((Inputs!$C$51*(115*EXP(-(((0)-25)^2)/(4.5^2))+70*EXP(-(((0)+38)^2)/(7^2))*(0.55+0.45*SIN(2*PI()*(Model_Data!A3)/45))+24*SIN(2*PI()*(0)/9+(Model_Data!A3)/18)*EXP(-(((0)+5)^2)/(22^2))+18*SIN(2*PI()*(Model_Data!A3)/70))+Inputs!$C$28*EXP(-(((Model_Data!A3)-Inputs!$C$29)^2)/(2*Inputs!$C$31^2))*EXP(-(((0)-Inputs!$C$30)^2)/(2*Inputs!$C$32^2))+-Inputs!$C$33*EXP(-(((((Model_Data!A3)-Inputs!$C$34)^2)+(((0)-Inputs!$C$35)^2))/(2*Inputs!$C$36^2)))+Inputs!$C$37*(0.55*SIN(2*PI()*(Model_Data!A3)/Inputs!$C$39)+0.35*COS(2*PI()*(0)/Inputs!$C$40)+0.2*SIN(2*PI()*((Model_Data!A3)+(0))/(0.5*(Inputs!$C$39+Inputs!$C$40))))+Inputs!$C$38*SIN(2*PI()*(Model_Data!A3)/Inputs!$C$39)*SIN(2*PI()*(0)/Inputs!$C$40)+-Inputs!$C$41*EXP(-(((0)-Inputs!$C$43)^2)/(2*Inputs!$C$44^2))*EXP(-(((Model_Data!A3)-Inputs!$C$42)^2)/(2*Inputs!$C$45^2))+Inputs!$C$48*(0.70*(0.45*SIN(2*PI()*(((Model_Data!A3)/Inputs!$C$49)+Inputs!$C$47*0.137))+0.35*COS(2*PI()*(((0)/Inputs!$C$50)+Inputs!$C$47*0.173))+0.20*SIN(2*PI()*(((Model_Data!A3)+(0))/(0.5*(Inputs!$C$49+Inputs!$C$50))+Inputs!$C$47*0.097)))+0.30*(2*((SIN(((Model_Data!A3)*12.9898+(0)*78.233+Inputs!$C$47*37.719))*43758.5453)-INT((SIN(((Model_Data!A3)*12.9898+(0)*78.233+Inputs!$C$47*37.719))*43758.5453)))-1))))</x:f>
        <x:v>91.05094793083794</x:v>
      </x:c>
      <x:c r="K3" s="48" t="n">
        <x:f>-((((SQRT((Model_Data!A3)^2+Inputs!$C$6^2+((Model_Data!B3)-((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(0.45*SIN(2*PI()*(((Model_Data!A3)/Inputs!$C$49)+Inputs!$C$47*0.137))+0.35*COS(2*PI()*(((Inputs!$C$6)/Inputs!$C$50)+Inputs!$C$47*0.173))+0.20*SIN(2*PI()*(((Model_Data!A3)+(Inputs!$C$6))/(0.5*(Inputs!$C$49+Inputs!$C$50))+Inputs!$C$47*0.097)))+0.30*(2*((SIN(((Model_Data!A3)*12.9898+(Inputs!$C$6)*78.233+Inputs!$C$47*37.719))*43758.5453)-INT((SIN(((Model_Data!A3)*12.9898+(Inputs!$C$6)*78.233+Inputs!$C$47*37.719))*43758.5453)))-1))))/1000)^2))-(((Model_Data!B3)-((Inputs!$C$51*(115*EXP(-(((0)-25)^2)/(4.5^2))+70*EXP(-(((0)+38)^2)/(7^2))*(0.55+0.45*SIN(2*PI()*(Model_Data!A3)/45))+24*SIN(2*PI()*(0)/9+(Model_Data!A3)/18)*EXP(-(((0)+5)^2)/(22^2))+18*SIN(2*PI()*(Model_Data!A3)/70))+Inputs!$C$28*EXP(-(((Model_Data!A3)-Inputs!$C$29)^2)/(2*Inputs!$C$31^2))*EXP(-(((0)-Inputs!$C$30)^2)/(2*Inputs!$C$32^2))+-Inputs!$C$33*EXP(-(((((Model_Data!A3)-Inputs!$C$34)^2)+(((0)-Inputs!$C$35)^2))/(2*Inputs!$C$36^2)))+Inputs!$C$37*(0.55*SIN(2*PI()*(Model_Data!A3)/Inputs!$C$39)+0.35*COS(2*PI()*(0)/Inputs!$C$40)+0.2*SIN(2*PI()*((Model_Data!A3)+(0))/(0.5*(Inputs!$C$39+Inputs!$C$40))))+Inputs!$C$38*SIN(2*PI()*(Model_Data!A3)/Inputs!$C$39)*SIN(2*PI()*(0)/Inputs!$C$40)+-Inputs!$C$41*EXP(-(((0)-Inputs!$C$43)^2)/(2*Inputs!$C$44^2))*EXP(-(((Model_Data!A3)-Inputs!$C$42)^2)/(2*Inputs!$C$45^2))+Inputs!$C$48*(0.70*(0.45*SIN(2*PI()*(((Model_Data!A3)/Inputs!$C$49)+Inputs!$C$47*0.137))+0.35*COS(2*PI()*(((0)/Inputs!$C$50)+Inputs!$C$47*0.173))+0.20*SIN(2*PI()*(((Model_Data!A3)+(0))/(0.5*(Inputs!$C$49+Inputs!$C$50))+Inputs!$C$47*0.097)))+0.30*(2*((SIN(((Model_Data!A3)*12.9898+(0)*78.233+Inputs!$C$47*37.719))*43758.5453)-INT((SIN(((Model_Data!A3)*12.9898+(0)*78.233+Inputs!$C$47*37.719))*43758.5453)))-1))))/1000)))*1000/Inputs!$C$12)-Model_Data!F3)</x:f>
        <x:v>50.37310443290926</x:v>
      </x:c>
      <x:c r="L3" s="49"/>
      <x:c r="M3" s="48" t="n">
        <x:f>Model_Data!A3</x:f>
        <x:v>-59.5</x:v>
      </x:c>
      <x:c r="N3" s="48" t="n">
        <x:f>Model_Data!P3</x:f>
        <x:v>441.63627249395824</x:v>
      </x:c>
      <x:c r="O3" s="48" t="n">
        <x:f>AC3</x:f>
        <x:v>431.5339313087861</x:v>
      </x:c>
      <x:c r="P3" s="48" t="n">
        <x:f>Model_Data!Q3</x:f>
        <x:v>66.31175262672046</x:v>
      </x:c>
      <x:c r="Q3" s="48" t="n">
        <x:f>AD3</x:f>
        <x:v>64.79488458089882</x:v>
      </x:c>
      <x:c r="R3" s="49"/>
      <x:c r="S3" s="48" t="n">
        <x:f>Model_Data!A3</x:f>
        <x:v>-59.5</x:v>
      </x:c>
      <x:c r="T3" s="48" t="n">
        <x:f>Model_Data!B3-Inputs!$C$5</x:f>
        <x:v>3.9336111111111336</x:v>
      </x:c>
      <x:c r="U3" s="49"/>
      <x:c r="V3" s="48" t="n">
        <x:f>Model_Data!A3</x:f>
        <x:v>-59.5</x:v>
      </x:c>
      <x:c r="W3" s="48" t="n">
        <x:f>(-((((SQRT((Model_Data!A3)^2+Inputs!$C$6^2+((Model_Data!B3)-((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(0.45*SIN(2*PI()*(((Model_Data!A3)/Inputs!$C$49)+Inputs!$C$47*0.137))+0.35*COS(2*PI()*(((Inputs!$C$6)/Inputs!$C$50)+Inputs!$C$47*0.173))+0.20*SIN(2*PI()*(((Model_Data!A3)+(Inputs!$C$6))/(0.5*(Inputs!$C$49+Inputs!$C$50))+Inputs!$C$47*0.097)))+0.30*(2*((SIN(((Model_Data!A3)*12.9898+(Inputs!$C$6)*78.233+Inputs!$C$47*37.719))*43758.5453)-INT((SIN(((Model_Data!A3)*12.9898+(Inputs!$C$6)*78.233+Inputs!$C$47*37.719))*43758.5453)))-1))))/1000)^2))-(((Model_Data!B3)-((Inputs!$C$51*(115*EXP(-(((0)-25)^2)/(4.5^2))+70*EXP(-(((0)+38)^2)/(7^2))*(0.55+0.45*SIN(2*PI()*(Model_Data!A3)/45))+24*SIN(2*PI()*(0)/9+(Model_Data!A3)/18)*EXP(-(((0)+5)^2)/(22^2))+18*SIN(2*PI()*(Model_Data!A3)/70))+Inputs!$C$28*EXP(-(((Model_Data!A3)-Inputs!$C$29)^2)/(2*Inputs!$C$31^2))*EXP(-(((0)-Inputs!$C$30)^2)/(2*Inputs!$C$32^2))+-Inputs!$C$33*EXP(-(((((Model_Data!A3)-Inputs!$C$34)^2)+(((0)-Inputs!$C$35)^2))/(2*Inputs!$C$36^2)))+Inputs!$C$37*(0.55*SIN(2*PI()*(Model_Data!A3)/Inputs!$C$39)+0.35*COS(2*PI()*(0)/Inputs!$C$40)+0.2*SIN(2*PI()*((Model_Data!A3)+(0))/(0.5*(Inputs!$C$39+Inputs!$C$40))))+Inputs!$C$38*SIN(2*PI()*(Model_Data!A3)/Inputs!$C$39)*SIN(2*PI()*(0)/Inputs!$C$40)+-Inputs!$C$41*EXP(-(((0)-Inputs!$C$43)^2)/(2*Inputs!$C$44^2))*EXP(-(((Model_Data!A3)-Inputs!$C$42)^2)/(2*Inputs!$C$45^2))+Inputs!$C$48*(0.70*(0.45*SIN(2*PI()*(((Model_Data!A3)/Inputs!$C$49)+Inputs!$C$47*0.137))+0.35*COS(2*PI()*(((0)/Inputs!$C$50)+Inputs!$C$47*0.173))+0.20*SIN(2*PI()*(((Model_Data!A3)+(0))/(0.5*(Inputs!$C$49+Inputs!$C$50))+Inputs!$C$47*0.097)))+0.30*(2*((SIN(((Model_Data!A3)*12.9898+(0)*78.233+Inputs!$C$47*37.719))*43758.5453)-INT((SIN(((Model_Data!A3)*12.9898+(0)*78.233+Inputs!$C$47*37.719))*43758.5453)))-1))))/1000)))*1000/Inputs!$C$12)-Model_Data!F3))-(-(((SQRT((Model_Data!A3)^2+Inputs!$C$6^2+(Inputs!$C$5-((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(0.45*SIN(2*PI()*(((Model_Data!A3)/Inputs!$C$49)+Inputs!$C$47*0.137))+0.35*COS(2*PI()*(((Inputs!$C$6)/Inputs!$C$50)+Inputs!$C$47*0.173))+0.20*SIN(2*PI()*(((Model_Data!A3)+(Inputs!$C$6))/(0.5*(Inputs!$C$49+Inputs!$C$50))+Inputs!$C$47*0.097)))+0.30*(2*((SIN(((Model_Data!A3)*12.9898+(Inputs!$C$6)*78.233+Inputs!$C$47*37.719))*43758.5453)-INT((SIN(((Model_Data!A3)*12.9898+(Inputs!$C$6)*78.233+Inputs!$C$47*37.719))*43758.5453)))-1))))/1000)^2)-(Inputs!$C$5-((Inputs!$C$51*(115*EXP(-(((0)-25)^2)/(4.5^2))+70*EXP(-(((0)+38)^2)/(7^2))*(0.55+0.45*SIN(2*PI()*(Model_Data!A3)/45))+24*SIN(2*PI()*(0)/9+(Model_Data!A3)/18)*EXP(-(((0)+5)^2)/(22^2))+18*SIN(2*PI()*(Model_Data!A3)/70))+Inputs!$C$28*EXP(-(((Model_Data!A3)-Inputs!$C$29)^2)/(2*Inputs!$C$31^2))*EXP(-(((0)-Inputs!$C$30)^2)/(2*Inputs!$C$32^2))+-Inputs!$C$33*EXP(-(((((Model_Data!A3)-Inputs!$C$34)^2)+(((0)-Inputs!$C$35)^2))/(2*Inputs!$C$36^2)))+Inputs!$C$37*(0.55*SIN(2*PI()*(Model_Data!A3)/Inputs!$C$39)+0.35*COS(2*PI()*(0)/Inputs!$C$40)+0.2*SIN(2*PI()*((Model_Data!A3)+(0))/(0.5*(Inputs!$C$39+Inputs!$C$40))))+Inputs!$C$38*SIN(2*PI()*(Model_Data!A3)/Inputs!$C$39)*SIN(2*PI()*(0)/Inputs!$C$40)+-Inputs!$C$41*EXP(-(((0)-Inputs!$C$43)^2)/(2*Inputs!$C$44^2))*EXP(-(((Model_Data!A3)-Inputs!$C$42)^2)/(2*Inputs!$C$45^2))+Inputs!$C$48*(0.70*(0.45*SIN(2*PI()*(((Model_Data!A3)/Inputs!$C$49)+Inputs!$C$47*0.137))+0.35*COS(2*PI()*(((0)/Inputs!$C$50)+Inputs!$C$47*0.173))+0.20*SIN(2*PI()*(((Model_Data!A3)+(0))/(0.5*(Inputs!$C$49+Inputs!$C$50))+Inputs!$C$47*0.097)))+0.30*(2*((SIN(((Model_Data!A3)*12.9898+(0)*78.233+Inputs!$C$47*37.719))*43758.5453)-INT((SIN(((Model_Data!A3)*12.9898+(0)*78.233+Inputs!$C$47*37.719))*43758.5453)))-1))))/1000))*1000/Inputs!$C$12)-((SQRT((Model_Data!A3)^2+Inputs!$C$6^2+Inputs!$C$5^2)-Inputs!$C$5)*1000/Inputs!$C$12)))</x:f>
        <x:v>0.015107345398973848</x:v>
      </x:c>
      <x:c r="X3" s="48" t="n">
        <x:f>0</x:f>
        <x:v>0</x:v>
      </x:c>
      <x:c r="Y3" s="49"/>
      <x:c r="Z3" s="48" t="n">
        <x:f>Model_Data!A3</x:f>
        <x:v>-59.5</x:v>
      </x:c>
      <x:c r="AA3" s="48" t="n">
        <x:f>SQRT((Model_Data!A3)^2+Inputs!$C$6^2+((Model_Data!B3)-((Inputs!$C$51*(115*EXP(-(((Inputs!$C$6)-25)^2)/(4.5^2))+70*EXP(-(((Inputs!$C$6)+38)^2)/(7^2))*(0.55+0.45*SIN(2*PI()*(Model_Data!A3)/45))+24*SIN(2*PI()*(Inputs!$C$6)/9+(Model_Data!A3)/18)*EXP(-(((Inputs!$C$6)+5)^2)/(22^2))+18*SIN(2*PI()*(Model_Data!A3)/70))+Inputs!$C$28*EXP(-(((Model_Data!A3)-Inputs!$C$29)^2)/(2*Inputs!$C$31^2))*EXP(-(((Inputs!$C$6)-Inputs!$C$30)^2)/(2*Inputs!$C$32^2))+-Inputs!$C$33*EXP(-(((((Model_Data!A3)-Inputs!$C$34)^2)+(((Inputs!$C$6)-Inputs!$C$35)^2))/(2*Inputs!$C$36^2)))+Inputs!$C$37*(0.55*SIN(2*PI()*(Model_Data!A3)/Inputs!$C$39)+0.35*COS(2*PI()*(Inputs!$C$6)/Inputs!$C$40)+0.2*SIN(2*PI()*((Model_Data!A3)+(Inputs!$C$6))/(0.5*(Inputs!$C$39+Inputs!$C$40))))+Inputs!$C$38*SIN(2*PI()*(Model_Data!A3)/Inputs!$C$39)*SIN(2*PI()*(Inputs!$C$6)/Inputs!$C$40)+-Inputs!$C$41*EXP(-(((Inputs!$C$6)-Inputs!$C$43)^2)/(2*Inputs!$C$44^2))*EXP(-(((Model_Data!A3)-Inputs!$C$42)^2)/(2*Inputs!$C$45^2))+Inputs!$C$48*(0.70*(0.45*SIN(2*PI()*(((Model_Data!A3)/Inputs!$C$49)+Inputs!$C$47*0.137))+0.35*COS(2*PI()*(((Inputs!$C$6)/Inputs!$C$50)+Inputs!$C$47*0.173))+0.20*SIN(2*PI()*(((Model_Data!A3)+(Inputs!$C$6))/(0.5*(Inputs!$C$49+Inputs!$C$50))+Inputs!$C$47*0.097)))+0.30*(2*((SIN(((Model_Data!A3)*12.9898+(Inputs!$C$6)*78.233+Inputs!$C$47*37.719))*43758.5453)-INT((SIN(((Model_Data!A3)*12.9898+(Inputs!$C$6)*78.233+Inputs!$C$47*37.719))*43758.5453)))-1))))/1000)^2)</x:f>
        <x:v>408.94766989969435</x:v>
      </x:c>
      <x:c r="AB3" s="48" t="n">
        <x:f>1000*(AA4-AA2)/(Z4-Z2)*Inputs!$C$11</x:f>
        <x:v>-1078.8348282719653</x:v>
      </x:c>
      <x:c r="AC3" s="48" t="n">
        <x:f>-2*AB3/Inputs!$C$13</x:f>
        <x:v>431.5339313087861</x:v>
      </x:c>
      <x:c r="AD3" s="48" t="n">
        <x:f>-2*AB3/Inputs!$C$14</x:f>
        <x:v>64.79488458089882</x:v>
      </x:c>
    </x:row>
    <x:row r="4">
      <x:c r="A4" s="48" t="n">
        <x:f>Model_Data!A4</x:f>
        <x:v>-59</x:v>
      </x:c>
      <x:c r="B4" s="48" t="n">
        <x:f>Model_Data!F4</x:f>
        <x:v>2838.0629855635702</x:v>
      </x:c>
      <x:c r="C4" s="48" t="n">
        <x:f>(((SQRT((Model_Data!A4)^2+Inputs!$C$6^2+((Model_Data!B4)-((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(0.45*SIN(2*PI()*(((Model_Data!A4)/Inputs!$C$49)+Inputs!$C$47*0.137))+0.35*COS(2*PI()*(((Inputs!$C$6)/Inputs!$C$50)+Inputs!$C$47*0.173))+0.20*SIN(2*PI()*(((Model_Data!A4)+(Inputs!$C$6))/(0.5*(Inputs!$C$49+Inputs!$C$50))+Inputs!$C$47*0.097)))+0.30*(2*((SIN(((Model_Data!A4)*12.9898+(Inputs!$C$6)*78.233+Inputs!$C$47*37.719))*43758.5453)-INT((SIN(((Model_Data!A4)*12.9898+(Inputs!$C$6)*78.233+Inputs!$C$47*37.719))*43758.5453)))-1))))/1000)^2))-(((Model_Data!B4)-((Inputs!$C$51*(115*EXP(-(((0)-25)^2)/(4.5^2))+70*EXP(-(((0)+38)^2)/(7^2))*(0.55+0.45*SIN(2*PI()*(Model_Data!A4)/45))+24*SIN(2*PI()*(0)/9+(Model_Data!A4)/18)*EXP(-(((0)+5)^2)/(22^2))+18*SIN(2*PI()*(Model_Data!A4)/70))+Inputs!$C$28*EXP(-(((Model_Data!A4)-Inputs!$C$29)^2)/(2*Inputs!$C$31^2))*EXP(-(((0)-Inputs!$C$30)^2)/(2*Inputs!$C$32^2))+-Inputs!$C$33*EXP(-(((((Model_Data!A4)-Inputs!$C$34)^2)+(((0)-Inputs!$C$35)^2))/(2*Inputs!$C$36^2)))+Inputs!$C$37*(0.55*SIN(2*PI()*(Model_Data!A4)/Inputs!$C$39)+0.35*COS(2*PI()*(0)/Inputs!$C$40)+0.2*SIN(2*PI()*((Model_Data!A4)+(0))/(0.5*(Inputs!$C$39+Inputs!$C$40))))+Inputs!$C$38*SIN(2*PI()*(Model_Data!A4)/Inputs!$C$39)*SIN(2*PI()*(0)/Inputs!$C$40)+-Inputs!$C$41*EXP(-(((0)-Inputs!$C$43)^2)/(2*Inputs!$C$44^2))*EXP(-(((Model_Data!A4)-Inputs!$C$42)^2)/(2*Inputs!$C$45^2))+Inputs!$C$48*(0.70*(0.45*SIN(2*PI()*(((Model_Data!A4)/Inputs!$C$49)+Inputs!$C$47*0.137))+0.35*COS(2*PI()*(((0)/Inputs!$C$50)+Inputs!$C$47*0.173))+0.20*SIN(2*PI()*(((Model_Data!A4)+(0))/(0.5*(Inputs!$C$49+Inputs!$C$50))+Inputs!$C$47*0.097)))+0.30*(2*((SIN(((Model_Data!A4)*12.9898+(0)*78.233+Inputs!$C$47*37.719))*43758.5453)-INT((SIN(((Model_Data!A4)*12.9898+(0)*78.233+Inputs!$C$47*37.719))*43758.5453)))-1))))/1000)))*1000/Inputs!$C$12)</x:f>
        <x:v>2779.8464305755606</x:v>
      </x:c>
      <x:c r="D4" s="49"/>
      <x:c r="E4" s="48" t="n">
        <x:f>Model_Data!A4</x:f>
        <x:v>-59</x:v>
      </x:c>
      <x:c r="F4" s="48" t="n">
        <x:f>(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(0.45*SIN(2*PI()*(((Model_Data!A4)/Inputs!$C$49)+Inputs!$C$47*0.137))+0.35*COS(2*PI()*(((Inputs!$C$6)/Inputs!$C$50)+Inputs!$C$47*0.173))+0.20*SIN(2*PI()*(((Model_Data!A4)+(Inputs!$C$6))/(0.5*(Inputs!$C$49+Inputs!$C$50))+Inputs!$C$47*0.097)))+0.30*(2*((SIN(((Model_Data!A4)*12.9898+(Inputs!$C$6)*78.233+Inputs!$C$47*37.719))*43758.5453)-INT((SIN(((Model_Data!A4)*12.9898+(Inputs!$C$6)*78.233+Inputs!$C$47*37.719))*43758.5453)))-1)))</x:f>
        <x:v>112.99219424849355</x:v>
      </x:c>
      <x:c r="G4" s="48" t="n">
        <x:f>(Inputs!$C$51*(115*EXP(-(((0)-25)^2)/(4.5^2))+70*EXP(-(((0)+38)^2)/(7^2))*(0.55+0.45*SIN(2*PI()*(Model_Data!A4)/45))+24*SIN(2*PI()*(0)/9+(Model_Data!A4)/18)*EXP(-(((0)+5)^2)/(22^2))+18*SIN(2*PI()*(Model_Data!A4)/70))+Inputs!$C$28*EXP(-(((Model_Data!A4)-Inputs!$C$29)^2)/(2*Inputs!$C$31^2))*EXP(-(((0)-Inputs!$C$30)^2)/(2*Inputs!$C$32^2))+-Inputs!$C$33*EXP(-(((((Model_Data!A4)-Inputs!$C$34)^2)+(((0)-Inputs!$C$35)^2))/(2*Inputs!$C$36^2)))+Inputs!$C$37*(0.55*SIN(2*PI()*(Model_Data!A4)/Inputs!$C$39)+0.35*COS(2*PI()*(0)/Inputs!$C$40)+0.2*SIN(2*PI()*((Model_Data!A4)+(0))/(0.5*(Inputs!$C$39+Inputs!$C$40))))+Inputs!$C$38*SIN(2*PI()*(Model_Data!A4)/Inputs!$C$39)*SIN(2*PI()*(0)/Inputs!$C$40)+-Inputs!$C$41*EXP(-(((0)-Inputs!$C$43)^2)/(2*Inputs!$C$44^2))*EXP(-(((Model_Data!A4)-Inputs!$C$42)^2)/(2*Inputs!$C$45^2))+Inputs!$C$48*(0.70*(0.45*SIN(2*PI()*(((Model_Data!A4)/Inputs!$C$49)+Inputs!$C$47*0.137))+0.35*COS(2*PI()*(((0)/Inputs!$C$50)+Inputs!$C$47*0.173))+0.20*SIN(2*PI()*(((Model_Data!A4)+(0))/(0.5*(Inputs!$C$49+Inputs!$C$50))+Inputs!$C$47*0.097)))+0.30*(2*((SIN(((Model_Data!A4)*12.9898+(0)*78.233+Inputs!$C$47*37.719))*43758.5453)-INT((SIN(((Model_Data!A4)*12.9898+(0)*78.233+Inputs!$C$47*37.719))*43758.5453)))-1)))</x:f>
        <x:v>7.970448353767724</x:v>
      </x:c>
      <x:c r="H4" s="49"/>
      <x:c r="I4" s="48" t="n">
        <x:f>Model_Data!A4</x:f>
        <x:v>-59</x:v>
      </x:c>
      <x:c r="J4" s="48" t="n">
        <x:f>((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(0.45*SIN(2*PI()*(((Model_Data!A4)/Inputs!$C$49)+Inputs!$C$47*0.137))+0.35*COS(2*PI()*(((Inputs!$C$6)/Inputs!$C$50)+Inputs!$C$47*0.173))+0.20*SIN(2*PI()*(((Model_Data!A4)+(Inputs!$C$6))/(0.5*(Inputs!$C$49+Inputs!$C$50))+Inputs!$C$47*0.097)))+0.30*(2*((SIN(((Model_Data!A4)*12.9898+(Inputs!$C$6)*78.233+Inputs!$C$47*37.719))*43758.5453)-INT((SIN(((Model_Data!A4)*12.9898+(Inputs!$C$6)*78.233+Inputs!$C$47*37.719))*43758.5453)))-1))))-((Inputs!$C$51*(115*EXP(-(((0)-25)^2)/(4.5^2))+70*EXP(-(((0)+38)^2)/(7^2))*(0.55+0.45*SIN(2*PI()*(Model_Data!A4)/45))+24*SIN(2*PI()*(0)/9+(Model_Data!A4)/18)*EXP(-(((0)+5)^2)/(22^2))+18*SIN(2*PI()*(Model_Data!A4)/70))+Inputs!$C$28*EXP(-(((Model_Data!A4)-Inputs!$C$29)^2)/(2*Inputs!$C$31^2))*EXP(-(((0)-Inputs!$C$30)^2)/(2*Inputs!$C$32^2))+-Inputs!$C$33*EXP(-(((((Model_Data!A4)-Inputs!$C$34)^2)+(((0)-Inputs!$C$35)^2))/(2*Inputs!$C$36^2)))+Inputs!$C$37*(0.55*SIN(2*PI()*(Model_Data!A4)/Inputs!$C$39)+0.35*COS(2*PI()*(0)/Inputs!$C$40)+0.2*SIN(2*PI()*((Model_Data!A4)+(0))/(0.5*(Inputs!$C$39+Inputs!$C$40))))+Inputs!$C$38*SIN(2*PI()*(Model_Data!A4)/Inputs!$C$39)*SIN(2*PI()*(0)/Inputs!$C$40)+-Inputs!$C$41*EXP(-(((0)-Inputs!$C$43)^2)/(2*Inputs!$C$44^2))*EXP(-(((Model_Data!A4)-Inputs!$C$42)^2)/(2*Inputs!$C$45^2))+Inputs!$C$48*(0.70*(0.45*SIN(2*PI()*(((Model_Data!A4)/Inputs!$C$49)+Inputs!$C$47*0.137))+0.35*COS(2*PI()*(((0)/Inputs!$C$50)+Inputs!$C$47*0.173))+0.20*SIN(2*PI()*(((Model_Data!A4)+(0))/(0.5*(Inputs!$C$49+Inputs!$C$50))+Inputs!$C$47*0.097)))+0.30*(2*((SIN(((Model_Data!A4)*12.9898+(0)*78.233+Inputs!$C$47*37.719))*43758.5453)-INT((SIN(((Model_Data!A4)*12.9898+(0)*78.233+Inputs!$C$47*37.719))*43758.5453)))-1))))</x:f>
        <x:v>105.02174589472583</x:v>
      </x:c>
      <x:c r="K4" s="48" t="n">
        <x:f>-((((SQRT((Model_Data!A4)^2+Inputs!$C$6^2+((Model_Data!B4)-((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(0.45*SIN(2*PI()*(((Model_Data!A4)/Inputs!$C$49)+Inputs!$C$47*0.137))+0.35*COS(2*PI()*(((Inputs!$C$6)/Inputs!$C$50)+Inputs!$C$47*0.173))+0.20*SIN(2*PI()*(((Model_Data!A4)+(Inputs!$C$6))/(0.5*(Inputs!$C$49+Inputs!$C$50))+Inputs!$C$47*0.097)))+0.30*(2*((SIN(((Model_Data!A4)*12.9898+(Inputs!$C$6)*78.233+Inputs!$C$47*37.719))*43758.5453)-INT((SIN(((Model_Data!A4)*12.9898+(Inputs!$C$6)*78.233+Inputs!$C$47*37.719))*43758.5453)))-1))))/1000)^2))-(((Model_Data!B4)-((Inputs!$C$51*(115*EXP(-(((0)-25)^2)/(4.5^2))+70*EXP(-(((0)+38)^2)/(7^2))*(0.55+0.45*SIN(2*PI()*(Model_Data!A4)/45))+24*SIN(2*PI()*(0)/9+(Model_Data!A4)/18)*EXP(-(((0)+5)^2)/(22^2))+18*SIN(2*PI()*(Model_Data!A4)/70))+Inputs!$C$28*EXP(-(((Model_Data!A4)-Inputs!$C$29)^2)/(2*Inputs!$C$31^2))*EXP(-(((0)-Inputs!$C$30)^2)/(2*Inputs!$C$32^2))+-Inputs!$C$33*EXP(-(((((Model_Data!A4)-Inputs!$C$34)^2)+(((0)-Inputs!$C$35)^2))/(2*Inputs!$C$36^2)))+Inputs!$C$37*(0.55*SIN(2*PI()*(Model_Data!A4)/Inputs!$C$39)+0.35*COS(2*PI()*(0)/Inputs!$C$40)+0.2*SIN(2*PI()*((Model_Data!A4)+(0))/(0.5*(Inputs!$C$39+Inputs!$C$40))))+Inputs!$C$38*SIN(2*PI()*(Model_Data!A4)/Inputs!$C$39)*SIN(2*PI()*(0)/Inputs!$C$40)+-Inputs!$C$41*EXP(-(((0)-Inputs!$C$43)^2)/(2*Inputs!$C$44^2))*EXP(-(((Model_Data!A4)-Inputs!$C$42)^2)/(2*Inputs!$C$45^2))+Inputs!$C$48*(0.70*(0.45*SIN(2*PI()*(((Model_Data!A4)/Inputs!$C$49)+Inputs!$C$47*0.137))+0.35*COS(2*PI()*(((0)/Inputs!$C$50)+Inputs!$C$47*0.173))+0.20*SIN(2*PI()*(((Model_Data!A4)+(0))/(0.5*(Inputs!$C$49+Inputs!$C$50))+Inputs!$C$47*0.097)))+0.30*(2*((SIN(((Model_Data!A4)*12.9898+(0)*78.233+Inputs!$C$47*37.719))*43758.5453)-INT((SIN(((Model_Data!A4)*12.9898+(0)*78.233+Inputs!$C$47*37.719))*43758.5453)))-1))))/1000)))*1000/Inputs!$C$12)-Model_Data!F4)</x:f>
        <x:v>58.21655498800965</x:v>
      </x:c>
      <x:c r="L4" s="49"/>
      <x:c r="M4" s="48" t="n">
        <x:f>Model_Data!A4</x:f>
        <x:v>-59</x:v>
      </x:c>
      <x:c r="N4" s="48" t="n">
        <x:f>Model_Data!P4</x:f>
        <x:v>438.03846929381024</x:v>
      </x:c>
      <x:c r="O4" s="48" t="n">
        <x:f>AC4</x:f>
        <x:v>475.5398752355177</x:v>
      </x:c>
      <x:c r="P4" s="48" t="n">
        <x:f>Model_Data!Q4</x:f>
        <x:v>65.77154193600755</x:v>
      </x:c>
      <x:c r="Q4" s="48" t="n">
        <x:f>AD4</x:f>
        <x:v>71.40238366899665</x:v>
      </x:c>
      <x:c r="R4" s="49"/>
      <x:c r="S4" s="48" t="n">
        <x:f>Model_Data!A4</x:f>
        <x:v>-59</x:v>
      </x:c>
      <x:c r="T4" s="48" t="n">
        <x:f>Model_Data!B4-Inputs!$C$5</x:f>
        <x:v>3.8677777777778033</x:v>
      </x:c>
      <x:c r="U4" s="49"/>
      <x:c r="V4" s="48" t="n">
        <x:f>Model_Data!A4</x:f>
        <x:v>-59</x:v>
      </x:c>
      <x:c r="W4" s="48" t="n">
        <x:f>(-((((SQRT((Model_Data!A4)^2+Inputs!$C$6^2+((Model_Data!B4)-((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(0.45*SIN(2*PI()*(((Model_Data!A4)/Inputs!$C$49)+Inputs!$C$47*0.137))+0.35*COS(2*PI()*(((Inputs!$C$6)/Inputs!$C$50)+Inputs!$C$47*0.173))+0.20*SIN(2*PI()*(((Model_Data!A4)+(Inputs!$C$6))/(0.5*(Inputs!$C$49+Inputs!$C$50))+Inputs!$C$47*0.097)))+0.30*(2*((SIN(((Model_Data!A4)*12.9898+(Inputs!$C$6)*78.233+Inputs!$C$47*37.719))*43758.5453)-INT((SIN(((Model_Data!A4)*12.9898+(Inputs!$C$6)*78.233+Inputs!$C$47*37.719))*43758.5453)))-1))))/1000)^2))-(((Model_Data!B4)-((Inputs!$C$51*(115*EXP(-(((0)-25)^2)/(4.5^2))+70*EXP(-(((0)+38)^2)/(7^2))*(0.55+0.45*SIN(2*PI()*(Model_Data!A4)/45))+24*SIN(2*PI()*(0)/9+(Model_Data!A4)/18)*EXP(-(((0)+5)^2)/(22^2))+18*SIN(2*PI()*(Model_Data!A4)/70))+Inputs!$C$28*EXP(-(((Model_Data!A4)-Inputs!$C$29)^2)/(2*Inputs!$C$31^2))*EXP(-(((0)-Inputs!$C$30)^2)/(2*Inputs!$C$32^2))+-Inputs!$C$33*EXP(-(((((Model_Data!A4)-Inputs!$C$34)^2)+(((0)-Inputs!$C$35)^2))/(2*Inputs!$C$36^2)))+Inputs!$C$37*(0.55*SIN(2*PI()*(Model_Data!A4)/Inputs!$C$39)+0.35*COS(2*PI()*(0)/Inputs!$C$40)+0.2*SIN(2*PI()*((Model_Data!A4)+(0))/(0.5*(Inputs!$C$39+Inputs!$C$40))))+Inputs!$C$38*SIN(2*PI()*(Model_Data!A4)/Inputs!$C$39)*SIN(2*PI()*(0)/Inputs!$C$40)+-Inputs!$C$41*EXP(-(((0)-Inputs!$C$43)^2)/(2*Inputs!$C$44^2))*EXP(-(((Model_Data!A4)-Inputs!$C$42)^2)/(2*Inputs!$C$45^2))+Inputs!$C$48*(0.70*(0.45*SIN(2*PI()*(((Model_Data!A4)/Inputs!$C$49)+Inputs!$C$47*0.137))+0.35*COS(2*PI()*(((0)/Inputs!$C$50)+Inputs!$C$47*0.173))+0.20*SIN(2*PI()*(((Model_Data!A4)+(0))/(0.5*(Inputs!$C$49+Inputs!$C$50))+Inputs!$C$47*0.097)))+0.30*(2*((SIN(((Model_Data!A4)*12.9898+(0)*78.233+Inputs!$C$47*37.719))*43758.5453)-INT((SIN(((Model_Data!A4)*12.9898+(0)*78.233+Inputs!$C$47*37.719))*43758.5453)))-1))))/1000)))*1000/Inputs!$C$12)-Model_Data!F4))-(-(((SQRT((Model_Data!A4)^2+Inputs!$C$6^2+(Inputs!$C$5-((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(0.45*SIN(2*PI()*(((Model_Data!A4)/Inputs!$C$49)+Inputs!$C$47*0.137))+0.35*COS(2*PI()*(((Inputs!$C$6)/Inputs!$C$50)+Inputs!$C$47*0.173))+0.20*SIN(2*PI()*(((Model_Data!A4)+(Inputs!$C$6))/(0.5*(Inputs!$C$49+Inputs!$C$50))+Inputs!$C$47*0.097)))+0.30*(2*((SIN(((Model_Data!A4)*12.9898+(Inputs!$C$6)*78.233+Inputs!$C$47*37.719))*43758.5453)-INT((SIN(((Model_Data!A4)*12.9898+(Inputs!$C$6)*78.233+Inputs!$C$47*37.719))*43758.5453)))-1))))/1000)^2)-(Inputs!$C$5-((Inputs!$C$51*(115*EXP(-(((0)-25)^2)/(4.5^2))+70*EXP(-(((0)+38)^2)/(7^2))*(0.55+0.45*SIN(2*PI()*(Model_Data!A4)/45))+24*SIN(2*PI()*(0)/9+(Model_Data!A4)/18)*EXP(-(((0)+5)^2)/(22^2))+18*SIN(2*PI()*(Model_Data!A4)/70))+Inputs!$C$28*EXP(-(((Model_Data!A4)-Inputs!$C$29)^2)/(2*Inputs!$C$31^2))*EXP(-(((0)-Inputs!$C$30)^2)/(2*Inputs!$C$32^2))+-Inputs!$C$33*EXP(-(((((Model_Data!A4)-Inputs!$C$34)^2)+(((0)-Inputs!$C$35)^2))/(2*Inputs!$C$36^2)))+Inputs!$C$37*(0.55*SIN(2*PI()*(Model_Data!A4)/Inputs!$C$39)+0.35*COS(2*PI()*(0)/Inputs!$C$40)+0.2*SIN(2*PI()*((Model_Data!A4)+(0))/(0.5*(Inputs!$C$39+Inputs!$C$40))))+Inputs!$C$38*SIN(2*PI()*(Model_Data!A4)/Inputs!$C$39)*SIN(2*PI()*(0)/Inputs!$C$40)+-Inputs!$C$41*EXP(-(((0)-Inputs!$C$43)^2)/(2*Inputs!$C$44^2))*EXP(-(((Model_Data!A4)-Inputs!$C$42)^2)/(2*Inputs!$C$45^2))+Inputs!$C$48*(0.70*(0.45*SIN(2*PI()*(((Model_Data!A4)/Inputs!$C$49)+Inputs!$C$47*0.137))+0.35*COS(2*PI()*(((0)/Inputs!$C$50)+Inputs!$C$47*0.173))+0.20*SIN(2*PI()*(((Model_Data!A4)+(0))/(0.5*(Inputs!$C$49+Inputs!$C$50))+Inputs!$C$47*0.097)))+0.30*(2*((SIN(((Model_Data!A4)*12.9898+(0)*78.233+Inputs!$C$47*37.719))*43758.5453)-INT((SIN(((Model_Data!A4)*12.9898+(0)*78.233+Inputs!$C$47*37.719))*43758.5453)))-1))))/1000))*1000/Inputs!$C$12)-((SQRT((Model_Data!A4)^2+Inputs!$C$6^2+Inputs!$C$5^2)-Inputs!$C$5)*1000/Inputs!$C$12)))</x:f>
        <x:v>0.014958650870994461</x:v>
      </x:c>
      <x:c r="X4" s="48" t="n">
        <x:f>0</x:f>
        <x:v>0</x:v>
      </x:c>
      <x:c r="Y4" s="49"/>
      <x:c r="Z4" s="48" t="n">
        <x:f>Model_Data!A4</x:f>
        <x:v>-59</x:v>
      </x:c>
      <x:c r="AA4" s="48" t="n">
        <x:f>SQRT((Model_Data!A4)^2+Inputs!$C$6^2+((Model_Data!B4)-((Inputs!$C$51*(115*EXP(-(((Inputs!$C$6)-25)^2)/(4.5^2))+70*EXP(-(((Inputs!$C$6)+38)^2)/(7^2))*(0.55+0.45*SIN(2*PI()*(Model_Data!A4)/45))+24*SIN(2*PI()*(Inputs!$C$6)/9+(Model_Data!A4)/18)*EXP(-(((Inputs!$C$6)+5)^2)/(22^2))+18*SIN(2*PI()*(Model_Data!A4)/70))+Inputs!$C$28*EXP(-(((Model_Data!A4)-Inputs!$C$29)^2)/(2*Inputs!$C$31^2))*EXP(-(((Inputs!$C$6)-Inputs!$C$30)^2)/(2*Inputs!$C$32^2))+-Inputs!$C$33*EXP(-(((((Model_Data!A4)-Inputs!$C$34)^2)+(((Inputs!$C$6)-Inputs!$C$35)^2))/(2*Inputs!$C$36^2)))+Inputs!$C$37*(0.55*SIN(2*PI()*(Model_Data!A4)/Inputs!$C$39)+0.35*COS(2*PI()*(Inputs!$C$6)/Inputs!$C$40)+0.2*SIN(2*PI()*((Model_Data!A4)+(Inputs!$C$6))/(0.5*(Inputs!$C$39+Inputs!$C$40))))+Inputs!$C$38*SIN(2*PI()*(Model_Data!A4)/Inputs!$C$39)*SIN(2*PI()*(Inputs!$C$6)/Inputs!$C$40)+-Inputs!$C$41*EXP(-(((Inputs!$C$6)-Inputs!$C$43)^2)/(2*Inputs!$C$44^2))*EXP(-(((Model_Data!A4)-Inputs!$C$42)^2)/(2*Inputs!$C$45^2))+Inputs!$C$48*(0.70*(0.45*SIN(2*PI()*(((Model_Data!A4)/Inputs!$C$49)+Inputs!$C$47*0.137))+0.35*COS(2*PI()*(((Inputs!$C$6)/Inputs!$C$50)+Inputs!$C$47*0.173))+0.20*SIN(2*PI()*(((Model_Data!A4)+(Inputs!$C$6))/(0.5*(Inputs!$C$49+Inputs!$C$50))+Inputs!$C$47*0.097)))+0.30*(2*((SIN(((Model_Data!A4)*12.9898+(Inputs!$C$6)*78.233+Inputs!$C$47*37.719))*43758.5453)-INT((SIN(((Model_Data!A4)*12.9898+(Inputs!$C$6)*78.233+Inputs!$C$47*37.719))*43758.5453)))-1))))/1000)^2)</x:f>
        <x:v>408.8079339758485</x:v>
      </x:c>
      <x:c r="AB4" s="48" t="n">
        <x:f>1000*(AA5-AA3)/(Z5-Z3)*Inputs!$C$11</x:f>
        <x:v>-1188.8496880887942</x:v>
      </x:c>
      <x:c r="AC4" s="48" t="n">
        <x:f>-2*AB4/Inputs!$C$13</x:f>
        <x:v>475.5398752355177</x:v>
      </x:c>
      <x:c r="AD4" s="48" t="n">
        <x:f>-2*AB4/Inputs!$C$14</x:f>
        <x:v>71.40238366899665</x:v>
      </x:c>
    </x:row>
    <x:row r="5">
      <x:c r="A5" s="48" t="n">
        <x:f>Model_Data!A5</x:f>
        <x:v>-58.5</x:v>
      </x:c>
      <x:c r="B5" s="48" t="n">
        <x:f>Model_Data!F5</x:f>
        <x:v>2798.1490936689197</x:v>
      </x:c>
      <x:c r="C5" s="48" t="n">
        <x:f>(((SQRT((Model_Data!A5)^2+Inputs!$C$6^2+((Model_Data!B5)-((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(0.45*SIN(2*PI()*(((Model_Data!A5)/Inputs!$C$49)+Inputs!$C$47*0.137))+0.35*COS(2*PI()*(((Inputs!$C$6)/Inputs!$C$50)+Inputs!$C$47*0.173))+0.20*SIN(2*PI()*(((Model_Data!A5)+(Inputs!$C$6))/(0.5*(Inputs!$C$49+Inputs!$C$50))+Inputs!$C$47*0.097)))+0.30*(2*((SIN(((Model_Data!A5)*12.9898+(Inputs!$C$6)*78.233+Inputs!$C$47*37.719))*43758.5453)-INT((SIN(((Model_Data!A5)*12.9898+(Inputs!$C$6)*78.233+Inputs!$C$47*37.719))*43758.5453)))-1))))/1000)^2))-(((Model_Data!B5)-((Inputs!$C$51*(115*EXP(-(((0)-25)^2)/(4.5^2))+70*EXP(-(((0)+38)^2)/(7^2))*(0.55+0.45*SIN(2*PI()*(Model_Data!A5)/45))+24*SIN(2*PI()*(0)/9+(Model_Data!A5)/18)*EXP(-(((0)+5)^2)/(22^2))+18*SIN(2*PI()*(Model_Data!A5)/70))+Inputs!$C$28*EXP(-(((Model_Data!A5)-Inputs!$C$29)^2)/(2*Inputs!$C$31^2))*EXP(-(((0)-Inputs!$C$30)^2)/(2*Inputs!$C$32^2))+-Inputs!$C$33*EXP(-(((((Model_Data!A5)-Inputs!$C$34)^2)+(((0)-Inputs!$C$35)^2))/(2*Inputs!$C$36^2)))+Inputs!$C$37*(0.55*SIN(2*PI()*(Model_Data!A5)/Inputs!$C$39)+0.35*COS(2*PI()*(0)/Inputs!$C$40)+0.2*SIN(2*PI()*((Model_Data!A5)+(0))/(0.5*(Inputs!$C$39+Inputs!$C$40))))+Inputs!$C$38*SIN(2*PI()*(Model_Data!A5)/Inputs!$C$39)*SIN(2*PI()*(0)/Inputs!$C$40)+-Inputs!$C$41*EXP(-(((0)-Inputs!$C$43)^2)/(2*Inputs!$C$44^2))*EXP(-(((Model_Data!A5)-Inputs!$C$42)^2)/(2*Inputs!$C$45^2))+Inputs!$C$48*(0.70*(0.45*SIN(2*PI()*(((Model_Data!A5)/Inputs!$C$49)+Inputs!$C$47*0.137))+0.35*COS(2*PI()*(((0)/Inputs!$C$50)+Inputs!$C$47*0.173))+0.20*SIN(2*PI()*(((Model_Data!A5)+(0))/(0.5*(Inputs!$C$49+Inputs!$C$50))+Inputs!$C$47*0.097)))+0.30*(2*((SIN(((Model_Data!A5)*12.9898+(0)*78.233+Inputs!$C$47*37.719))*43758.5453)-INT((SIN(((Model_Data!A5)*12.9898+(0)*78.233+Inputs!$C$47*37.719))*43758.5453)))-1))))/1000)))*1000/Inputs!$C$12)</x:f>
        <x:v>2735.7892085610615</x:v>
      </x:c>
      <x:c r="D5" s="49"/>
      <x:c r="E5" s="48" t="n">
        <x:f>Model_Data!A5</x:f>
        <x:v>-58.5</x:v>
      </x:c>
      <x:c r="F5" s="48" t="n">
        <x:f>(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(0.45*SIN(2*PI()*(((Model_Data!A5)/Inputs!$C$49)+Inputs!$C$47*0.137))+0.35*COS(2*PI()*(((Inputs!$C$6)/Inputs!$C$50)+Inputs!$C$47*0.173))+0.20*SIN(2*PI()*(((Model_Data!A5)+(Inputs!$C$6))/(0.5*(Inputs!$C$49+Inputs!$C$50))+Inputs!$C$47*0.097)))+0.30*(2*((SIN(((Model_Data!A5)*12.9898+(Inputs!$C$6)*78.233+Inputs!$C$47*37.719))*43758.5453)-INT((SIN(((Model_Data!A5)*12.9898+(Inputs!$C$6)*78.233+Inputs!$C$47*37.719))*43758.5453)))-1)))</x:f>
        <x:v>134.3858310571132</x:v>
      </x:c>
      <x:c r="G5" s="48" t="n">
        <x:f>(Inputs!$C$51*(115*EXP(-(((0)-25)^2)/(4.5^2))+70*EXP(-(((0)+38)^2)/(7^2))*(0.55+0.45*SIN(2*PI()*(Model_Data!A5)/45))+24*SIN(2*PI()*(0)/9+(Model_Data!A5)/18)*EXP(-(((0)+5)^2)/(22^2))+18*SIN(2*PI()*(Model_Data!A5)/70))+Inputs!$C$28*EXP(-(((Model_Data!A5)-Inputs!$C$29)^2)/(2*Inputs!$C$31^2))*EXP(-(((0)-Inputs!$C$30)^2)/(2*Inputs!$C$32^2))+-Inputs!$C$33*EXP(-(((((Model_Data!A5)-Inputs!$C$34)^2)+(((0)-Inputs!$C$35)^2))/(2*Inputs!$C$36^2)))+Inputs!$C$37*(0.55*SIN(2*PI()*(Model_Data!A5)/Inputs!$C$39)+0.35*COS(2*PI()*(0)/Inputs!$C$40)+0.2*SIN(2*PI()*((Model_Data!A5)+(0))/(0.5*(Inputs!$C$39+Inputs!$C$40))))+Inputs!$C$38*SIN(2*PI()*(Model_Data!A5)/Inputs!$C$39)*SIN(2*PI()*(0)/Inputs!$C$40)+-Inputs!$C$41*EXP(-(((0)-Inputs!$C$43)^2)/(2*Inputs!$C$44^2))*EXP(-(((Model_Data!A5)-Inputs!$C$42)^2)/(2*Inputs!$C$45^2))+Inputs!$C$48*(0.70*(0.45*SIN(2*PI()*(((Model_Data!A5)/Inputs!$C$49)+Inputs!$C$47*0.137))+0.35*COS(2*PI()*(((0)/Inputs!$C$50)+Inputs!$C$47*0.173))+0.20*SIN(2*PI()*(((Model_Data!A5)+(0))/(0.5*(Inputs!$C$49+Inputs!$C$50))+Inputs!$C$47*0.097)))+0.30*(2*((SIN(((Model_Data!A5)*12.9898+(0)*78.233+Inputs!$C$47*37.719))*43758.5453)-INT((SIN(((Model_Data!A5)*12.9898+(0)*78.233+Inputs!$C$47*37.719))*43758.5453)))-1)))</x:f>
        <x:v>21.747313566550197</x:v>
      </x:c>
      <x:c r="H5" s="49"/>
      <x:c r="I5" s="48" t="n">
        <x:f>Model_Data!A5</x:f>
        <x:v>-58.5</x:v>
      </x:c>
      <x:c r="J5" s="48" t="n">
        <x:f>((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(0.45*SIN(2*PI()*(((Model_Data!A5)/Inputs!$C$49)+Inputs!$C$47*0.137))+0.35*COS(2*PI()*(((Inputs!$C$6)/Inputs!$C$50)+Inputs!$C$47*0.173))+0.20*SIN(2*PI()*(((Model_Data!A5)+(Inputs!$C$6))/(0.5*(Inputs!$C$49+Inputs!$C$50))+Inputs!$C$47*0.097)))+0.30*(2*((SIN(((Model_Data!A5)*12.9898+(Inputs!$C$6)*78.233+Inputs!$C$47*37.719))*43758.5453)-INT((SIN(((Model_Data!A5)*12.9898+(Inputs!$C$6)*78.233+Inputs!$C$47*37.719))*43758.5453)))-1))))-((Inputs!$C$51*(115*EXP(-(((0)-25)^2)/(4.5^2))+70*EXP(-(((0)+38)^2)/(7^2))*(0.55+0.45*SIN(2*PI()*(Model_Data!A5)/45))+24*SIN(2*PI()*(0)/9+(Model_Data!A5)/18)*EXP(-(((0)+5)^2)/(22^2))+18*SIN(2*PI()*(Model_Data!A5)/70))+Inputs!$C$28*EXP(-(((Model_Data!A5)-Inputs!$C$29)^2)/(2*Inputs!$C$31^2))*EXP(-(((0)-Inputs!$C$30)^2)/(2*Inputs!$C$32^2))+-Inputs!$C$33*EXP(-(((((Model_Data!A5)-Inputs!$C$34)^2)+(((0)-Inputs!$C$35)^2))/(2*Inputs!$C$36^2)))+Inputs!$C$37*(0.55*SIN(2*PI()*(Model_Data!A5)/Inputs!$C$39)+0.35*COS(2*PI()*(0)/Inputs!$C$40)+0.2*SIN(2*PI()*((Model_Data!A5)+(0))/(0.5*(Inputs!$C$39+Inputs!$C$40))))+Inputs!$C$38*SIN(2*PI()*(Model_Data!A5)/Inputs!$C$39)*SIN(2*PI()*(0)/Inputs!$C$40)+-Inputs!$C$41*EXP(-(((0)-Inputs!$C$43)^2)/(2*Inputs!$C$44^2))*EXP(-(((Model_Data!A5)-Inputs!$C$42)^2)/(2*Inputs!$C$45^2))+Inputs!$C$48*(0.70*(0.45*SIN(2*PI()*(((Model_Data!A5)/Inputs!$C$49)+Inputs!$C$47*0.137))+0.35*COS(2*PI()*(((0)/Inputs!$C$50)+Inputs!$C$47*0.173))+0.20*SIN(2*PI()*(((Model_Data!A5)+(0))/(0.5*(Inputs!$C$49+Inputs!$C$50))+Inputs!$C$47*0.097)))+0.30*(2*((SIN(((Model_Data!A5)*12.9898+(0)*78.233+Inputs!$C$47*37.719))*43758.5453)-INT((SIN(((Model_Data!A5)*12.9898+(0)*78.233+Inputs!$C$47*37.719))*43758.5453)))-1))))</x:f>
        <x:v>112.638517490563</x:v>
      </x:c>
      <x:c r="K5" s="48" t="n">
        <x:f>-((((SQRT((Model_Data!A5)^2+Inputs!$C$6^2+((Model_Data!B5)-((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(0.45*SIN(2*PI()*(((Model_Data!A5)/Inputs!$C$49)+Inputs!$C$47*0.137))+0.35*COS(2*PI()*(((Inputs!$C$6)/Inputs!$C$50)+Inputs!$C$47*0.173))+0.20*SIN(2*PI()*(((Model_Data!A5)+(Inputs!$C$6))/(0.5*(Inputs!$C$49+Inputs!$C$50))+Inputs!$C$47*0.097)))+0.30*(2*((SIN(((Model_Data!A5)*12.9898+(Inputs!$C$6)*78.233+Inputs!$C$47*37.719))*43758.5453)-INT((SIN(((Model_Data!A5)*12.9898+(Inputs!$C$6)*78.233+Inputs!$C$47*37.719))*43758.5453)))-1))))/1000)^2))-(((Model_Data!B5)-((Inputs!$C$51*(115*EXP(-(((0)-25)^2)/(4.5^2))+70*EXP(-(((0)+38)^2)/(7^2))*(0.55+0.45*SIN(2*PI()*(Model_Data!A5)/45))+24*SIN(2*PI()*(0)/9+(Model_Data!A5)/18)*EXP(-(((0)+5)^2)/(22^2))+18*SIN(2*PI()*(Model_Data!A5)/70))+Inputs!$C$28*EXP(-(((Model_Data!A5)-Inputs!$C$29)^2)/(2*Inputs!$C$31^2))*EXP(-(((0)-Inputs!$C$30)^2)/(2*Inputs!$C$32^2))+-Inputs!$C$33*EXP(-(((((Model_Data!A5)-Inputs!$C$34)^2)+(((0)-Inputs!$C$35)^2))/(2*Inputs!$C$36^2)))+Inputs!$C$37*(0.55*SIN(2*PI()*(Model_Data!A5)/Inputs!$C$39)+0.35*COS(2*PI()*(0)/Inputs!$C$40)+0.2*SIN(2*PI()*((Model_Data!A5)+(0))/(0.5*(Inputs!$C$39+Inputs!$C$40))))+Inputs!$C$38*SIN(2*PI()*(Model_Data!A5)/Inputs!$C$39)*SIN(2*PI()*(0)/Inputs!$C$40)+-Inputs!$C$41*EXP(-(((0)-Inputs!$C$43)^2)/(2*Inputs!$C$44^2))*EXP(-(((Model_Data!A5)-Inputs!$C$42)^2)/(2*Inputs!$C$45^2))+Inputs!$C$48*(0.70*(0.45*SIN(2*PI()*(((Model_Data!A5)/Inputs!$C$49)+Inputs!$C$47*0.137))+0.35*COS(2*PI()*(((0)/Inputs!$C$50)+Inputs!$C$47*0.173))+0.20*SIN(2*PI()*(((Model_Data!A5)+(0))/(0.5*(Inputs!$C$49+Inputs!$C$50))+Inputs!$C$47*0.097)))+0.30*(2*((SIN(((Model_Data!A5)*12.9898+(0)*78.233+Inputs!$C$47*37.719))*43758.5453)-INT((SIN(((Model_Data!A5)*12.9898+(0)*78.233+Inputs!$C$47*37.719))*43758.5453)))-1))))/1000)))*1000/Inputs!$C$12)-Model_Data!F5)</x:f>
        <x:v>62.35988510785819</x:v>
      </x:c>
      <x:c r="L5" s="49"/>
      <x:c r="M5" s="48" t="n">
        <x:f>Model_Data!A5</x:f>
        <x:v>-58.5</x:v>
      </x:c>
      <x:c r="N5" s="48" t="n">
        <x:f>Model_Data!P5</x:f>
        <x:v>434.43790659645504</x:v>
      </x:c>
      <x:c r="O5" s="48" t="n">
        <x:f>AC5</x:f>
        <x:v>445.68618755110947</x:v>
      </x:c>
      <x:c r="P5" s="48" t="n">
        <x:f>Model_Data!Q5</x:f>
        <x:v>65.23091690637463</x:v>
      </x:c>
      <x:c r="Q5" s="48" t="n">
        <x:f>AD5</x:f>
        <x:v>66.91984798064708</x:v>
      </x:c>
      <x:c r="R5" s="49"/>
      <x:c r="S5" s="48" t="n">
        <x:f>Model_Data!A5</x:f>
        <x:v>-58.5</x:v>
      </x:c>
      <x:c r="T5" s="48" t="n">
        <x:f>Model_Data!B5-Inputs!$C$5</x:f>
        <x:v>3.802500000000009</x:v>
      </x:c>
      <x:c r="U5" s="49"/>
      <x:c r="V5" s="48" t="n">
        <x:f>Model_Data!A5</x:f>
        <x:v>-58.5</x:v>
      </x:c>
      <x:c r="W5" s="48" t="n">
        <x:f>(-((((SQRT((Model_Data!A5)^2+Inputs!$C$6^2+((Model_Data!B5)-((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(0.45*SIN(2*PI()*(((Model_Data!A5)/Inputs!$C$49)+Inputs!$C$47*0.137))+0.35*COS(2*PI()*(((Inputs!$C$6)/Inputs!$C$50)+Inputs!$C$47*0.173))+0.20*SIN(2*PI()*(((Model_Data!A5)+(Inputs!$C$6))/(0.5*(Inputs!$C$49+Inputs!$C$50))+Inputs!$C$47*0.097)))+0.30*(2*((SIN(((Model_Data!A5)*12.9898+(Inputs!$C$6)*78.233+Inputs!$C$47*37.719))*43758.5453)-INT((SIN(((Model_Data!A5)*12.9898+(Inputs!$C$6)*78.233+Inputs!$C$47*37.719))*43758.5453)))-1))))/1000)^2))-(((Model_Data!B5)-((Inputs!$C$51*(115*EXP(-(((0)-25)^2)/(4.5^2))+70*EXP(-(((0)+38)^2)/(7^2))*(0.55+0.45*SIN(2*PI()*(Model_Data!A5)/45))+24*SIN(2*PI()*(0)/9+(Model_Data!A5)/18)*EXP(-(((0)+5)^2)/(22^2))+18*SIN(2*PI()*(Model_Data!A5)/70))+Inputs!$C$28*EXP(-(((Model_Data!A5)-Inputs!$C$29)^2)/(2*Inputs!$C$31^2))*EXP(-(((0)-Inputs!$C$30)^2)/(2*Inputs!$C$32^2))+-Inputs!$C$33*EXP(-(((((Model_Data!A5)-Inputs!$C$34)^2)+(((0)-Inputs!$C$35)^2))/(2*Inputs!$C$36^2)))+Inputs!$C$37*(0.55*SIN(2*PI()*(Model_Data!A5)/Inputs!$C$39)+0.35*COS(2*PI()*(0)/Inputs!$C$40)+0.2*SIN(2*PI()*((Model_Data!A5)+(0))/(0.5*(Inputs!$C$39+Inputs!$C$40))))+Inputs!$C$38*SIN(2*PI()*(Model_Data!A5)/Inputs!$C$39)*SIN(2*PI()*(0)/Inputs!$C$40)+-Inputs!$C$41*EXP(-(((0)-Inputs!$C$43)^2)/(2*Inputs!$C$44^2))*EXP(-(((Model_Data!A5)-Inputs!$C$42)^2)/(2*Inputs!$C$45^2))+Inputs!$C$48*(0.70*(0.45*SIN(2*PI()*(((Model_Data!A5)/Inputs!$C$49)+Inputs!$C$47*0.137))+0.35*COS(2*PI()*(((0)/Inputs!$C$50)+Inputs!$C$47*0.173))+0.20*SIN(2*PI()*(((Model_Data!A5)+(0))/(0.5*(Inputs!$C$49+Inputs!$C$50))+Inputs!$C$47*0.097)))+0.30*(2*((SIN(((Model_Data!A5)*12.9898+(0)*78.233+Inputs!$C$47*37.719))*43758.5453)-INT((SIN(((Model_Data!A5)*12.9898+(0)*78.233+Inputs!$C$47*37.719))*43758.5453)))-1))))/1000)))*1000/Inputs!$C$12)-Model_Data!F5))-(-(((SQRT((Model_Data!A5)^2+Inputs!$C$6^2+(Inputs!$C$5-((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(0.45*SIN(2*PI()*(((Model_Data!A5)/Inputs!$C$49)+Inputs!$C$47*0.137))+0.35*COS(2*PI()*(((Inputs!$C$6)/Inputs!$C$50)+Inputs!$C$47*0.173))+0.20*SIN(2*PI()*(((Model_Data!A5)+(Inputs!$C$6))/(0.5*(Inputs!$C$49+Inputs!$C$50))+Inputs!$C$47*0.097)))+0.30*(2*((SIN(((Model_Data!A5)*12.9898+(Inputs!$C$6)*78.233+Inputs!$C$47*37.719))*43758.5453)-INT((SIN(((Model_Data!A5)*12.9898+(Inputs!$C$6)*78.233+Inputs!$C$47*37.719))*43758.5453)))-1))))/1000)^2)-(Inputs!$C$5-((Inputs!$C$51*(115*EXP(-(((0)-25)^2)/(4.5^2))+70*EXP(-(((0)+38)^2)/(7^2))*(0.55+0.45*SIN(2*PI()*(Model_Data!A5)/45))+24*SIN(2*PI()*(0)/9+(Model_Data!A5)/18)*EXP(-(((0)+5)^2)/(22^2))+18*SIN(2*PI()*(Model_Data!A5)/70))+Inputs!$C$28*EXP(-(((Model_Data!A5)-Inputs!$C$29)^2)/(2*Inputs!$C$31^2))*EXP(-(((0)-Inputs!$C$30)^2)/(2*Inputs!$C$32^2))+-Inputs!$C$33*EXP(-(((((Model_Data!A5)-Inputs!$C$34)^2)+(((0)-Inputs!$C$35)^2))/(2*Inputs!$C$36^2)))+Inputs!$C$37*(0.55*SIN(2*PI()*(Model_Data!A5)/Inputs!$C$39)+0.35*COS(2*PI()*(0)/Inputs!$C$40)+0.2*SIN(2*PI()*((Model_Data!A5)+(0))/(0.5*(Inputs!$C$39+Inputs!$C$40))))+Inputs!$C$38*SIN(2*PI()*(Model_Data!A5)/Inputs!$C$39)*SIN(2*PI()*(0)/Inputs!$C$40)+-Inputs!$C$41*EXP(-(((0)-Inputs!$C$43)^2)/(2*Inputs!$C$44^2))*EXP(-(((Model_Data!A5)-Inputs!$C$42)^2)/(2*Inputs!$C$45^2))+Inputs!$C$48*(0.70*(0.45*SIN(2*PI()*(((Model_Data!A5)/Inputs!$C$49)+Inputs!$C$47*0.137))+0.35*COS(2*PI()*(((0)/Inputs!$C$50)+Inputs!$C$47*0.173))+0.20*SIN(2*PI()*(((Model_Data!A5)+(0))/(0.5*(Inputs!$C$49+Inputs!$C$50))+Inputs!$C$47*0.097)))+0.30*(2*((SIN(((Model_Data!A5)*12.9898+(0)*78.233+Inputs!$C$47*37.719))*43758.5453)-INT((SIN(((Model_Data!A5)*12.9898+(0)*78.233+Inputs!$C$47*37.719))*43758.5453)))-1))))/1000))*1000/Inputs!$C$12)-((SQRT((Model_Data!A5)^2+Inputs!$C$6^2+Inputs!$C$5^2)-Inputs!$C$5)*1000/Inputs!$C$12)))</x:f>
        <x:v>0.01725495593245796</x:v>
      </x:c>
      <x:c r="X5" s="48" t="n">
        <x:f>0</x:f>
        <x:v>0</x:v>
      </x:c>
      <x:c r="Y5" s="49"/>
      <x:c r="Z5" s="48" t="n">
        <x:f>Model_Data!A5</x:f>
        <x:v>-58.5</x:v>
      </x:c>
      <x:c r="AA5" s="48" t="n">
        <x:f>SQRT((Model_Data!A5)^2+Inputs!$C$6^2+((Model_Data!B5)-((Inputs!$C$51*(115*EXP(-(((Inputs!$C$6)-25)^2)/(4.5^2))+70*EXP(-(((Inputs!$C$6)+38)^2)/(7^2))*(0.55+0.45*SIN(2*PI()*(Model_Data!A5)/45))+24*SIN(2*PI()*(Inputs!$C$6)/9+(Model_Data!A5)/18)*EXP(-(((Inputs!$C$6)+5)^2)/(22^2))+18*SIN(2*PI()*(Model_Data!A5)/70))+Inputs!$C$28*EXP(-(((Model_Data!A5)-Inputs!$C$29)^2)/(2*Inputs!$C$31^2))*EXP(-(((Inputs!$C$6)-Inputs!$C$30)^2)/(2*Inputs!$C$32^2))+-Inputs!$C$33*EXP(-(((((Model_Data!A5)-Inputs!$C$34)^2)+(((Inputs!$C$6)-Inputs!$C$35)^2))/(2*Inputs!$C$36^2)))+Inputs!$C$37*(0.55*SIN(2*PI()*(Model_Data!A5)/Inputs!$C$39)+0.35*COS(2*PI()*(Inputs!$C$6)/Inputs!$C$40)+0.2*SIN(2*PI()*((Model_Data!A5)+(Inputs!$C$6))/(0.5*(Inputs!$C$39+Inputs!$C$40))))+Inputs!$C$38*SIN(2*PI()*(Model_Data!A5)/Inputs!$C$39)*SIN(2*PI()*(Inputs!$C$6)/Inputs!$C$40)+-Inputs!$C$41*EXP(-(((Inputs!$C$6)-Inputs!$C$43)^2)/(2*Inputs!$C$44^2))*EXP(-(((Model_Data!A5)-Inputs!$C$42)^2)/(2*Inputs!$C$45^2))+Inputs!$C$48*(0.70*(0.45*SIN(2*PI()*(((Model_Data!A5)/Inputs!$C$49)+Inputs!$C$47*0.137))+0.35*COS(2*PI()*(((Inputs!$C$6)/Inputs!$C$50)+Inputs!$C$47*0.173))+0.20*SIN(2*PI()*(((Model_Data!A5)+(Inputs!$C$6))/(0.5*(Inputs!$C$49+Inputs!$C$50))+Inputs!$C$47*0.097)))+0.30*(2*((SIN(((Model_Data!A5)*12.9898+(Inputs!$C$6)*78.233+Inputs!$C$47*37.719))*43758.5453)-INT((SIN(((Model_Data!A5)*12.9898+(Inputs!$C$6)*78.233+Inputs!$C$47*37.719))*43758.5453)))-1))))/1000)^2)</x:f>
        <x:v>408.65045747767215</x:v>
      </x:c>
      <x:c r="AB5" s="48" t="n">
        <x:f>1000*(AA6-AA4)/(Z6-Z4)*Inputs!$C$11</x:f>
        <x:v>-1114.2154688777737</x:v>
      </x:c>
      <x:c r="AC5" s="48" t="n">
        <x:f>-2*AB5/Inputs!$C$13</x:f>
        <x:v>445.68618755110947</x:v>
      </x:c>
      <x:c r="AD5" s="48" t="n">
        <x:f>-2*AB5/Inputs!$C$14</x:f>
        <x:v>66.91984798064708</x:v>
      </x:c>
    </x:row>
    <x:row r="6">
      <x:c r="A6" s="48" t="n">
        <x:f>Model_Data!A6</x:f>
        <x:v>-58</x:v>
      </x:c>
      <x:c r="B6" s="48" t="n">
        <x:f>Model_Data!F6</x:f>
        <x:v>2758.555454027449</x:v>
      </x:c>
      <x:c r="C6" s="48" t="n">
        <x:f>(((SQRT((Model_Data!A6)^2+Inputs!$C$6^2+((Model_Data!B6)-((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(0.45*SIN(2*PI()*(((Model_Data!A6)/Inputs!$C$49)+Inputs!$C$47*0.137))+0.35*COS(2*PI()*(((Inputs!$C$6)/Inputs!$C$50)+Inputs!$C$47*0.173))+0.20*SIN(2*PI()*(((Model_Data!A6)+(Inputs!$C$6))/(0.5*(Inputs!$C$49+Inputs!$C$50))+Inputs!$C$47*0.097)))+0.30*(2*((SIN(((Model_Data!A6)*12.9898+(Inputs!$C$6)*78.233+Inputs!$C$47*37.719))*43758.5453)-INT((SIN(((Model_Data!A6)*12.9898+(Inputs!$C$6)*78.233+Inputs!$C$47*37.719))*43758.5453)))-1))))/1000)^2))-(((Model_Data!B6)-((Inputs!$C$51*(115*EXP(-(((0)-25)^2)/(4.5^2))+70*EXP(-(((0)+38)^2)/(7^2))*(0.55+0.45*SIN(2*PI()*(Model_Data!A6)/45))+24*SIN(2*PI()*(0)/9+(Model_Data!A6)/18)*EXP(-(((0)+5)^2)/(22^2))+18*SIN(2*PI()*(Model_Data!A6)/70))+Inputs!$C$28*EXP(-(((Model_Data!A6)-Inputs!$C$29)^2)/(2*Inputs!$C$31^2))*EXP(-(((0)-Inputs!$C$30)^2)/(2*Inputs!$C$32^2))+-Inputs!$C$33*EXP(-(((((Model_Data!A6)-Inputs!$C$34)^2)+(((0)-Inputs!$C$35)^2))/(2*Inputs!$C$36^2)))+Inputs!$C$37*(0.55*SIN(2*PI()*(Model_Data!A6)/Inputs!$C$39)+0.35*COS(2*PI()*(0)/Inputs!$C$40)+0.2*SIN(2*PI()*((Model_Data!A6)+(0))/(0.5*(Inputs!$C$39+Inputs!$C$40))))+Inputs!$C$38*SIN(2*PI()*(Model_Data!A6)/Inputs!$C$39)*SIN(2*PI()*(0)/Inputs!$C$40)+-Inputs!$C$41*EXP(-(((0)-Inputs!$C$43)^2)/(2*Inputs!$C$44^2))*EXP(-(((Model_Data!A6)-Inputs!$C$42)^2)/(2*Inputs!$C$45^2))+Inputs!$C$48*(0.70*(0.45*SIN(2*PI()*(((Model_Data!A6)/Inputs!$C$49)+Inputs!$C$47*0.137))+0.35*COS(2*PI()*(((0)/Inputs!$C$50)+Inputs!$C$47*0.173))+0.20*SIN(2*PI()*(((Model_Data!A6)+(0))/(0.5*(Inputs!$C$49+Inputs!$C$50))+Inputs!$C$47*0.097)))+0.30*(2*((SIN(((Model_Data!A6)*12.9898+(0)*78.233+Inputs!$C$47*37.719))*43758.5453)-INT((SIN(((Model_Data!A6)*12.9898+(0)*78.233+Inputs!$C$47*37.719))*43758.5453)))-1))))/1000)))*1000/Inputs!$C$12)</x:f>
        <x:v>2709.8141822473995</x:v>
      </x:c>
      <x:c r="D6" s="49"/>
      <x:c r="E6" s="48" t="n">
        <x:f>Model_Data!A6</x:f>
        <x:v>-58</x:v>
      </x:c>
      <x:c r="F6" s="48" t="n">
        <x:f>(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(0.45*SIN(2*PI()*(((Model_Data!A6)/Inputs!$C$49)+Inputs!$C$47*0.137))+0.35*COS(2*PI()*(((Inputs!$C$6)/Inputs!$C$50)+Inputs!$C$47*0.173))+0.20*SIN(2*PI()*(((Model_Data!A6)+(Inputs!$C$6))/(0.5*(Inputs!$C$49+Inputs!$C$50))+Inputs!$C$47*0.097)))+0.30*(2*((SIN(((Model_Data!A6)*12.9898+(Inputs!$C$6)*78.233+Inputs!$C$47*37.719))*43758.5453)-INT((SIN(((Model_Data!A6)*12.9898+(Inputs!$C$6)*78.233+Inputs!$C$47*37.719))*43758.5453)))-1)))</x:f>
        <x:v>120.06952906780961</x:v>
      </x:c>
      <x:c r="G6" s="48" t="n">
        <x:f>(Inputs!$C$51*(115*EXP(-(((0)-25)^2)/(4.5^2))+70*EXP(-(((0)+38)^2)/(7^2))*(0.55+0.45*SIN(2*PI()*(Model_Data!A6)/45))+24*SIN(2*PI()*(0)/9+(Model_Data!A6)/18)*EXP(-(((0)+5)^2)/(22^2))+18*SIN(2*PI()*(Model_Data!A6)/70))+Inputs!$C$28*EXP(-(((Model_Data!A6)-Inputs!$C$29)^2)/(2*Inputs!$C$31^2))*EXP(-(((0)-Inputs!$C$30)^2)/(2*Inputs!$C$32^2))+-Inputs!$C$33*EXP(-(((((Model_Data!A6)-Inputs!$C$34)^2)+(((0)-Inputs!$C$35)^2))/(2*Inputs!$C$36^2)))+Inputs!$C$37*(0.55*SIN(2*PI()*(Model_Data!A6)/Inputs!$C$39)+0.35*COS(2*PI()*(0)/Inputs!$C$40)+0.2*SIN(2*PI()*((Model_Data!A6)+(0))/(0.5*(Inputs!$C$39+Inputs!$C$40))))+Inputs!$C$38*SIN(2*PI()*(Model_Data!A6)/Inputs!$C$39)*SIN(2*PI()*(0)/Inputs!$C$40)+-Inputs!$C$41*EXP(-(((0)-Inputs!$C$43)^2)/(2*Inputs!$C$44^2))*EXP(-(((Model_Data!A6)-Inputs!$C$42)^2)/(2*Inputs!$C$45^2))+Inputs!$C$48*(0.70*(0.45*SIN(2*PI()*(((Model_Data!A6)/Inputs!$C$49)+Inputs!$C$47*0.137))+0.35*COS(2*PI()*(((0)/Inputs!$C$50)+Inputs!$C$47*0.173))+0.20*SIN(2*PI()*(((Model_Data!A6)+(0))/(0.5*(Inputs!$C$49+Inputs!$C$50))+Inputs!$C$47*0.097)))+0.30*(2*((SIN(((Model_Data!A6)*12.9898+(0)*78.233+Inputs!$C$47*37.719))*43758.5453)-INT((SIN(((Model_Data!A6)*12.9898+(0)*78.233+Inputs!$C$47*37.719))*43758.5453)))-1)))</x:f>
        <x:v>31.86691354901535</x:v>
      </x:c>
      <x:c r="H6" s="49"/>
      <x:c r="I6" s="48" t="n">
        <x:f>Model_Data!A6</x:f>
        <x:v>-58</x:v>
      </x:c>
      <x:c r="J6" s="48" t="n">
        <x:f>((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(0.45*SIN(2*PI()*(((Model_Data!A6)/Inputs!$C$49)+Inputs!$C$47*0.137))+0.35*COS(2*PI()*(((Inputs!$C$6)/Inputs!$C$50)+Inputs!$C$47*0.173))+0.20*SIN(2*PI()*(((Model_Data!A6)+(Inputs!$C$6))/(0.5*(Inputs!$C$49+Inputs!$C$50))+Inputs!$C$47*0.097)))+0.30*(2*((SIN(((Model_Data!A6)*12.9898+(Inputs!$C$6)*78.233+Inputs!$C$47*37.719))*43758.5453)-INT((SIN(((Model_Data!A6)*12.9898+(Inputs!$C$6)*78.233+Inputs!$C$47*37.719))*43758.5453)))-1))))-((Inputs!$C$51*(115*EXP(-(((0)-25)^2)/(4.5^2))+70*EXP(-(((0)+38)^2)/(7^2))*(0.55+0.45*SIN(2*PI()*(Model_Data!A6)/45))+24*SIN(2*PI()*(0)/9+(Model_Data!A6)/18)*EXP(-(((0)+5)^2)/(22^2))+18*SIN(2*PI()*(Model_Data!A6)/70))+Inputs!$C$28*EXP(-(((Model_Data!A6)-Inputs!$C$29)^2)/(2*Inputs!$C$31^2))*EXP(-(((0)-Inputs!$C$30)^2)/(2*Inputs!$C$32^2))+-Inputs!$C$33*EXP(-(((((Model_Data!A6)-Inputs!$C$34)^2)+(((0)-Inputs!$C$35)^2))/(2*Inputs!$C$36^2)))+Inputs!$C$37*(0.55*SIN(2*PI()*(Model_Data!A6)/Inputs!$C$39)+0.35*COS(2*PI()*(0)/Inputs!$C$40)+0.2*SIN(2*PI()*((Model_Data!A6)+(0))/(0.5*(Inputs!$C$39+Inputs!$C$40))))+Inputs!$C$38*SIN(2*PI()*(Model_Data!A6)/Inputs!$C$39)*SIN(2*PI()*(0)/Inputs!$C$40)+-Inputs!$C$41*EXP(-(((0)-Inputs!$C$43)^2)/(2*Inputs!$C$44^2))*EXP(-(((Model_Data!A6)-Inputs!$C$42)^2)/(2*Inputs!$C$45^2))+Inputs!$C$48*(0.70*(0.45*SIN(2*PI()*(((Model_Data!A6)/Inputs!$C$49)+Inputs!$C$47*0.137))+0.35*COS(2*PI()*(((0)/Inputs!$C$50)+Inputs!$C$47*0.173))+0.20*SIN(2*PI()*(((Model_Data!A6)+(0))/(0.5*(Inputs!$C$49+Inputs!$C$50))+Inputs!$C$47*0.097)))+0.30*(2*((SIN(((Model_Data!A6)*12.9898+(0)*78.233+Inputs!$C$47*37.719))*43758.5453)-INT((SIN(((Model_Data!A6)*12.9898+(0)*78.233+Inputs!$C$47*37.719))*43758.5453)))-1))))</x:f>
        <x:v>88.20261551879426</x:v>
      </x:c>
      <x:c r="K6" s="48" t="n">
        <x:f>-((((SQRT((Model_Data!A6)^2+Inputs!$C$6^2+((Model_Data!B6)-((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(0.45*SIN(2*PI()*(((Model_Data!A6)/Inputs!$C$49)+Inputs!$C$47*0.137))+0.35*COS(2*PI()*(((Inputs!$C$6)/Inputs!$C$50)+Inputs!$C$47*0.173))+0.20*SIN(2*PI()*(((Model_Data!A6)+(Inputs!$C$6))/(0.5*(Inputs!$C$49+Inputs!$C$50))+Inputs!$C$47*0.097)))+0.30*(2*((SIN(((Model_Data!A6)*12.9898+(Inputs!$C$6)*78.233+Inputs!$C$47*37.719))*43758.5453)-INT((SIN(((Model_Data!A6)*12.9898+(Inputs!$C$6)*78.233+Inputs!$C$47*37.719))*43758.5453)))-1))))/1000)^2))-(((Model_Data!B6)-((Inputs!$C$51*(115*EXP(-(((0)-25)^2)/(4.5^2))+70*EXP(-(((0)+38)^2)/(7^2))*(0.55+0.45*SIN(2*PI()*(Model_Data!A6)/45))+24*SIN(2*PI()*(0)/9+(Model_Data!A6)/18)*EXP(-(((0)+5)^2)/(22^2))+18*SIN(2*PI()*(Model_Data!A6)/70))+Inputs!$C$28*EXP(-(((Model_Data!A6)-Inputs!$C$29)^2)/(2*Inputs!$C$31^2))*EXP(-(((0)-Inputs!$C$30)^2)/(2*Inputs!$C$32^2))+-Inputs!$C$33*EXP(-(((((Model_Data!A6)-Inputs!$C$34)^2)+(((0)-Inputs!$C$35)^2))/(2*Inputs!$C$36^2)))+Inputs!$C$37*(0.55*SIN(2*PI()*(Model_Data!A6)/Inputs!$C$39)+0.35*COS(2*PI()*(0)/Inputs!$C$40)+0.2*SIN(2*PI()*((Model_Data!A6)+(0))/(0.5*(Inputs!$C$39+Inputs!$C$40))))+Inputs!$C$38*SIN(2*PI()*(Model_Data!A6)/Inputs!$C$39)*SIN(2*PI()*(0)/Inputs!$C$40)+-Inputs!$C$41*EXP(-(((0)-Inputs!$C$43)^2)/(2*Inputs!$C$44^2))*EXP(-(((Model_Data!A6)-Inputs!$C$42)^2)/(2*Inputs!$C$45^2))+Inputs!$C$48*(0.70*(0.45*SIN(2*PI()*(((Model_Data!A6)/Inputs!$C$49)+Inputs!$C$47*0.137))+0.35*COS(2*PI()*(((0)/Inputs!$C$50)+Inputs!$C$47*0.173))+0.20*SIN(2*PI()*(((Model_Data!A6)+(0))/(0.5*(Inputs!$C$49+Inputs!$C$50))+Inputs!$C$47*0.097)))+0.30*(2*((SIN(((Model_Data!A6)*12.9898+(0)*78.233+Inputs!$C$47*37.719))*43758.5453)-INT((SIN(((Model_Data!A6)*12.9898+(0)*78.233+Inputs!$C$47*37.719))*43758.5453)))-1))))/1000)))*1000/Inputs!$C$12)-Model_Data!F6)</x:f>
        <x:v>48.741271780049374</x:v>
      </x:c>
      <x:c r="L6" s="49"/>
      <x:c r="M6" s="48" t="n">
        <x:f>Model_Data!A6</x:f>
        <x:v>-58</x:v>
      </x:c>
      <x:c r="N6" s="48" t="n">
        <x:f>Model_Data!P6</x:f>
        <x:v>430.83460321358444</x:v>
      </x:c>
      <x:c r="O6" s="48" t="n">
        <x:f>AC6</x:f>
        <x:v>438.0457634046252</x:v>
      </x:c>
      <x:c r="P6" s="48" t="n">
        <x:f>Model_Data!Q6</x:f>
        <x:v>64.68988036240007</x:v>
      </x:c>
      <x:c r="Q6" s="48" t="n">
        <x:f>AD6</x:f>
        <x:v>65.77263714784162</x:v>
      </x:c>
      <x:c r="R6" s="49"/>
      <x:c r="S6" s="48" t="n">
        <x:f>Model_Data!A6</x:f>
        <x:v>-58</x:v>
      </x:c>
      <x:c r="T6" s="48" t="n">
        <x:f>Model_Data!B6-Inputs!$C$5</x:f>
        <x:v>3.737777777777751</x:v>
      </x:c>
      <x:c r="U6" s="49"/>
      <x:c r="V6" s="48" t="n">
        <x:f>Model_Data!A6</x:f>
        <x:v>-58</x:v>
      </x:c>
      <x:c r="W6" s="48" t="n">
        <x:f>(-((((SQRT((Model_Data!A6)^2+Inputs!$C$6^2+((Model_Data!B6)-((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(0.45*SIN(2*PI()*(((Model_Data!A6)/Inputs!$C$49)+Inputs!$C$47*0.137))+0.35*COS(2*PI()*(((Inputs!$C$6)/Inputs!$C$50)+Inputs!$C$47*0.173))+0.20*SIN(2*PI()*(((Model_Data!A6)+(Inputs!$C$6))/(0.5*(Inputs!$C$49+Inputs!$C$50))+Inputs!$C$47*0.097)))+0.30*(2*((SIN(((Model_Data!A6)*12.9898+(Inputs!$C$6)*78.233+Inputs!$C$47*37.719))*43758.5453)-INT((SIN(((Model_Data!A6)*12.9898+(Inputs!$C$6)*78.233+Inputs!$C$47*37.719))*43758.5453)))-1))))/1000)^2))-(((Model_Data!B6)-((Inputs!$C$51*(115*EXP(-(((0)-25)^2)/(4.5^2))+70*EXP(-(((0)+38)^2)/(7^2))*(0.55+0.45*SIN(2*PI()*(Model_Data!A6)/45))+24*SIN(2*PI()*(0)/9+(Model_Data!A6)/18)*EXP(-(((0)+5)^2)/(22^2))+18*SIN(2*PI()*(Model_Data!A6)/70))+Inputs!$C$28*EXP(-(((Model_Data!A6)-Inputs!$C$29)^2)/(2*Inputs!$C$31^2))*EXP(-(((0)-Inputs!$C$30)^2)/(2*Inputs!$C$32^2))+-Inputs!$C$33*EXP(-(((((Model_Data!A6)-Inputs!$C$34)^2)+(((0)-Inputs!$C$35)^2))/(2*Inputs!$C$36^2)))+Inputs!$C$37*(0.55*SIN(2*PI()*(Model_Data!A6)/Inputs!$C$39)+0.35*COS(2*PI()*(0)/Inputs!$C$40)+0.2*SIN(2*PI()*((Model_Data!A6)+(0))/(0.5*(Inputs!$C$39+Inputs!$C$40))))+Inputs!$C$38*SIN(2*PI()*(Model_Data!A6)/Inputs!$C$39)*SIN(2*PI()*(0)/Inputs!$C$40)+-Inputs!$C$41*EXP(-(((0)-Inputs!$C$43)^2)/(2*Inputs!$C$44^2))*EXP(-(((Model_Data!A6)-Inputs!$C$42)^2)/(2*Inputs!$C$45^2))+Inputs!$C$48*(0.70*(0.45*SIN(2*PI()*(((Model_Data!A6)/Inputs!$C$49)+Inputs!$C$47*0.137))+0.35*COS(2*PI()*(((0)/Inputs!$C$50)+Inputs!$C$47*0.173))+0.20*SIN(2*PI()*(((Model_Data!A6)+(0))/(0.5*(Inputs!$C$49+Inputs!$C$50))+Inputs!$C$47*0.097)))+0.30*(2*((SIN(((Model_Data!A6)*12.9898+(0)*78.233+Inputs!$C$47*37.719))*43758.5453)-INT((SIN(((Model_Data!A6)*12.9898+(0)*78.233+Inputs!$C$47*37.719))*43758.5453)))-1))))/1000)))*1000/Inputs!$C$12)-Model_Data!F6))-(-(((SQRT((Model_Data!A6)^2+Inputs!$C$6^2+(Inputs!$C$5-((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(0.45*SIN(2*PI()*(((Model_Data!A6)/Inputs!$C$49)+Inputs!$C$47*0.137))+0.35*COS(2*PI()*(((Inputs!$C$6)/Inputs!$C$50)+Inputs!$C$47*0.173))+0.20*SIN(2*PI()*(((Model_Data!A6)+(Inputs!$C$6))/(0.5*(Inputs!$C$49+Inputs!$C$50))+Inputs!$C$47*0.097)))+0.30*(2*((SIN(((Model_Data!A6)*12.9898+(Inputs!$C$6)*78.233+Inputs!$C$47*37.719))*43758.5453)-INT((SIN(((Model_Data!A6)*12.9898+(Inputs!$C$6)*78.233+Inputs!$C$47*37.719))*43758.5453)))-1))))/1000)^2)-(Inputs!$C$5-((Inputs!$C$51*(115*EXP(-(((0)-25)^2)/(4.5^2))+70*EXP(-(((0)+38)^2)/(7^2))*(0.55+0.45*SIN(2*PI()*(Model_Data!A6)/45))+24*SIN(2*PI()*(0)/9+(Model_Data!A6)/18)*EXP(-(((0)+5)^2)/(22^2))+18*SIN(2*PI()*(Model_Data!A6)/70))+Inputs!$C$28*EXP(-(((Model_Data!A6)-Inputs!$C$29)^2)/(2*Inputs!$C$31^2))*EXP(-(((0)-Inputs!$C$30)^2)/(2*Inputs!$C$32^2))+-Inputs!$C$33*EXP(-(((((Model_Data!A6)-Inputs!$C$34)^2)+(((0)-Inputs!$C$35)^2))/(2*Inputs!$C$36^2)))+Inputs!$C$37*(0.55*SIN(2*PI()*(Model_Data!A6)/Inputs!$C$39)+0.35*COS(2*PI()*(0)/Inputs!$C$40)+0.2*SIN(2*PI()*((Model_Data!A6)+(0))/(0.5*(Inputs!$C$39+Inputs!$C$40))))+Inputs!$C$38*SIN(2*PI()*(Model_Data!A6)/Inputs!$C$39)*SIN(2*PI()*(0)/Inputs!$C$40)+-Inputs!$C$41*EXP(-(((0)-Inputs!$C$43)^2)/(2*Inputs!$C$44^2))*EXP(-(((Model_Data!A6)-Inputs!$C$42)^2)/(2*Inputs!$C$45^2))+Inputs!$C$48*(0.70*(0.45*SIN(2*PI()*(((Model_Data!A6)/Inputs!$C$49)+Inputs!$C$47*0.137))+0.35*COS(2*PI()*(((0)/Inputs!$C$50)+Inputs!$C$47*0.173))+0.20*SIN(2*PI()*(((Model_Data!A6)+(0))/(0.5*(Inputs!$C$49+Inputs!$C$50))+Inputs!$C$47*0.097)))+0.30*(2*((SIN(((Model_Data!A6)*12.9898+(0)*78.233+Inputs!$C$47*37.719))*43758.5453)-INT((SIN(((Model_Data!A6)*12.9898+(0)*78.233+Inputs!$C$47*37.719))*43758.5453)))-1))))/1000))*1000/Inputs!$C$12)-((SQRT((Model_Data!A6)^2+Inputs!$C$6^2+Inputs!$C$5^2)-Inputs!$C$5)*1000/Inputs!$C$12)))</x:f>
        <x:v>0.014946856980259327</x:v>
      </x:c>
      <x:c r="X6" s="48" t="n">
        <x:f>0</x:f>
        <x:v>0</x:v>
      </x:c>
      <x:c r="Y6" s="49"/>
      <x:c r="Z6" s="48" t="n">
        <x:f>Model_Data!A6</x:f>
        <x:v>-58</x:v>
      </x:c>
      <x:c r="AA6" s="48" t="n">
        <x:f>SQRT((Model_Data!A6)^2+Inputs!$C$6^2+((Model_Data!B6)-((Inputs!$C$51*(115*EXP(-(((Inputs!$C$6)-25)^2)/(4.5^2))+70*EXP(-(((Inputs!$C$6)+38)^2)/(7^2))*(0.55+0.45*SIN(2*PI()*(Model_Data!A6)/45))+24*SIN(2*PI()*(Inputs!$C$6)/9+(Model_Data!A6)/18)*EXP(-(((Inputs!$C$6)+5)^2)/(22^2))+18*SIN(2*PI()*(Model_Data!A6)/70))+Inputs!$C$28*EXP(-(((Model_Data!A6)-Inputs!$C$29)^2)/(2*Inputs!$C$31^2))*EXP(-(((Inputs!$C$6)-Inputs!$C$30)^2)/(2*Inputs!$C$32^2))+-Inputs!$C$33*EXP(-(((((Model_Data!A6)-Inputs!$C$34)^2)+(((Inputs!$C$6)-Inputs!$C$35)^2))/(2*Inputs!$C$36^2)))+Inputs!$C$37*(0.55*SIN(2*PI()*(Model_Data!A6)/Inputs!$C$39)+0.35*COS(2*PI()*(Inputs!$C$6)/Inputs!$C$40)+0.2*SIN(2*PI()*((Model_Data!A6)+(Inputs!$C$6))/(0.5*(Inputs!$C$39+Inputs!$C$40))))+Inputs!$C$38*SIN(2*PI()*(Model_Data!A6)/Inputs!$C$39)*SIN(2*PI()*(Inputs!$C$6)/Inputs!$C$40)+-Inputs!$C$41*EXP(-(((Inputs!$C$6)-Inputs!$C$43)^2)/(2*Inputs!$C$44^2))*EXP(-(((Model_Data!A6)-Inputs!$C$42)^2)/(2*Inputs!$C$45^2))+Inputs!$C$48*(0.70*(0.45*SIN(2*PI()*(((Model_Data!A6)/Inputs!$C$49)+Inputs!$C$47*0.137))+0.35*COS(2*PI()*(((Inputs!$C$6)/Inputs!$C$50)+Inputs!$C$47*0.173))+0.20*SIN(2*PI()*(((Model_Data!A6)+(Inputs!$C$6))/(0.5*(Inputs!$C$49+Inputs!$C$50))+Inputs!$C$47*0.097)))+0.30*(2*((SIN(((Model_Data!A6)*12.9898+(Inputs!$C$6)*78.233+Inputs!$C$47*37.719))*43758.5453)-INT((SIN(((Model_Data!A6)*12.9898+(Inputs!$C$6)*78.233+Inputs!$C$47*37.719))*43758.5453)))-1))))/1000)^2)</x:f>
        <x:v>408.5293801086291</x:v>
      </x:c>
      <x:c r="AB6" s="48" t="n">
        <x:f>1000*(AA7-AA5)/(Z7-Z5)*Inputs!$C$11</x:f>
        <x:v>-1095.114408511563</x:v>
      </x:c>
      <x:c r="AC6" s="48" t="n">
        <x:f>-2*AB6/Inputs!$C$13</x:f>
        <x:v>438.0457634046252</x:v>
      </x:c>
      <x:c r="AD6" s="48" t="n">
        <x:f>-2*AB6/Inputs!$C$14</x:f>
        <x:v>65.77263714784162</x:v>
      </x:c>
    </x:row>
    <x:row r="7">
      <x:c r="A7" s="48" t="n">
        <x:f>Model_Data!A7</x:f>
        <x:v>-57.5</x:v>
      </x:c>
      <x:c r="B7" s="48" t="n">
        <x:f>Model_Data!F7</x:f>
        <x:v>2719.282546139775</x:v>
      </x:c>
      <x:c r="C7" s="48" t="n">
        <x:f>(((SQRT((Model_Data!A7)^2+Inputs!$C$6^2+((Model_Data!B7)-((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(0.45*SIN(2*PI()*(((Model_Data!A7)/Inputs!$C$49)+Inputs!$C$47*0.137))+0.35*COS(2*PI()*(((Inputs!$C$6)/Inputs!$C$50)+Inputs!$C$47*0.173))+0.20*SIN(2*PI()*(((Model_Data!A7)+(Inputs!$C$6))/(0.5*(Inputs!$C$49+Inputs!$C$50))+Inputs!$C$47*0.097)))+0.30*(2*((SIN(((Model_Data!A7)*12.9898+(Inputs!$C$6)*78.233+Inputs!$C$47*37.719))*43758.5453)-INT((SIN(((Model_Data!A7)*12.9898+(Inputs!$C$6)*78.233+Inputs!$C$47*37.719))*43758.5453)))-1))))/1000)^2))-(((Model_Data!B7)-((Inputs!$C$51*(115*EXP(-(((0)-25)^2)/(4.5^2))+70*EXP(-(((0)+38)^2)/(7^2))*(0.55+0.45*SIN(2*PI()*(Model_Data!A7)/45))+24*SIN(2*PI()*(0)/9+(Model_Data!A7)/18)*EXP(-(((0)+5)^2)/(22^2))+18*SIN(2*PI()*(Model_Data!A7)/70))+Inputs!$C$28*EXP(-(((Model_Data!A7)-Inputs!$C$29)^2)/(2*Inputs!$C$31^2))*EXP(-(((0)-Inputs!$C$30)^2)/(2*Inputs!$C$32^2))+-Inputs!$C$33*EXP(-(((((Model_Data!A7)-Inputs!$C$34)^2)+(((0)-Inputs!$C$35)^2))/(2*Inputs!$C$36^2)))+Inputs!$C$37*(0.55*SIN(2*PI()*(Model_Data!A7)/Inputs!$C$39)+0.35*COS(2*PI()*(0)/Inputs!$C$40)+0.2*SIN(2*PI()*((Model_Data!A7)+(0))/(0.5*(Inputs!$C$39+Inputs!$C$40))))+Inputs!$C$38*SIN(2*PI()*(Model_Data!A7)/Inputs!$C$39)*SIN(2*PI()*(0)/Inputs!$C$40)+-Inputs!$C$41*EXP(-(((0)-Inputs!$C$43)^2)/(2*Inputs!$C$44^2))*EXP(-(((Model_Data!A7)-Inputs!$C$42)^2)/(2*Inputs!$C$45^2))+Inputs!$C$48*(0.70*(0.45*SIN(2*PI()*(((Model_Data!A7)/Inputs!$C$49)+Inputs!$C$47*0.137))+0.35*COS(2*PI()*(((0)/Inputs!$C$50)+Inputs!$C$47*0.173))+0.20*SIN(2*PI()*(((Model_Data!A7)+(0))/(0.5*(Inputs!$C$49+Inputs!$C$50))+Inputs!$C$47*0.097)))+0.30*(2*((SIN(((Model_Data!A7)*12.9898+(0)*78.233+Inputs!$C$47*37.719))*43758.5453)-INT((SIN(((Model_Data!A7)*12.9898+(0)*78.233+Inputs!$C$47*37.719))*43758.5453)))-1))))/1000)))*1000/Inputs!$C$12)</x:f>
        <x:v>2661.6034336635566</x:v>
      </x:c>
      <x:c r="D7" s="49"/>
      <x:c r="E7" s="48" t="n">
        <x:f>Model_Data!A7</x:f>
        <x:v>-57.5</x:v>
      </x:c>
      <x:c r="F7" s="48" t="n">
        <x:f>(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(0.45*SIN(2*PI()*(((Model_Data!A7)/Inputs!$C$49)+Inputs!$C$47*0.137))+0.35*COS(2*PI()*(((Inputs!$C$6)/Inputs!$C$50)+Inputs!$C$47*0.173))+0.20*SIN(2*PI()*(((Model_Data!A7)+(Inputs!$C$6))/(0.5*(Inputs!$C$49+Inputs!$C$50))+Inputs!$C$47*0.097)))+0.30*(2*((SIN(((Model_Data!A7)*12.9898+(Inputs!$C$6)*78.233+Inputs!$C$47*37.719))*43758.5453)-INT((SIN(((Model_Data!A7)*12.9898+(Inputs!$C$6)*78.233+Inputs!$C$47*37.719))*43758.5453)))-1)))</x:f>
        <x:v>138.90151425445745</x:v>
      </x:c>
      <x:c r="G7" s="48" t="n">
        <x:f>(Inputs!$C$51*(115*EXP(-(((0)-25)^2)/(4.5^2))+70*EXP(-(((0)+38)^2)/(7^2))*(0.55+0.45*SIN(2*PI()*(Model_Data!A7)/45))+24*SIN(2*PI()*(0)/9+(Model_Data!A7)/18)*EXP(-(((0)+5)^2)/(22^2))+18*SIN(2*PI()*(Model_Data!A7)/70))+Inputs!$C$28*EXP(-(((Model_Data!A7)-Inputs!$C$29)^2)/(2*Inputs!$C$31^2))*EXP(-(((0)-Inputs!$C$30)^2)/(2*Inputs!$C$32^2))+-Inputs!$C$33*EXP(-(((((Model_Data!A7)-Inputs!$C$34)^2)+(((0)-Inputs!$C$35)^2))/(2*Inputs!$C$36^2)))+Inputs!$C$37*(0.55*SIN(2*PI()*(Model_Data!A7)/Inputs!$C$39)+0.35*COS(2*PI()*(0)/Inputs!$C$40)+0.2*SIN(2*PI()*((Model_Data!A7)+(0))/(0.5*(Inputs!$C$39+Inputs!$C$40))))+Inputs!$C$38*SIN(2*PI()*(Model_Data!A7)/Inputs!$C$39)*SIN(2*PI()*(0)/Inputs!$C$40)+-Inputs!$C$41*EXP(-(((0)-Inputs!$C$43)^2)/(2*Inputs!$C$44^2))*EXP(-(((Model_Data!A7)-Inputs!$C$42)^2)/(2*Inputs!$C$45^2))+Inputs!$C$48*(0.70*(0.45*SIN(2*PI()*(((Model_Data!A7)/Inputs!$C$49)+Inputs!$C$47*0.137))+0.35*COS(2*PI()*(((0)/Inputs!$C$50)+Inputs!$C$47*0.173))+0.20*SIN(2*PI()*(((Model_Data!A7)+(0))/(0.5*(Inputs!$C$49+Inputs!$C$50))+Inputs!$C$47*0.097)))+0.30*(2*((SIN(((Model_Data!A7)*12.9898+(0)*78.233+Inputs!$C$47*37.719))*43758.5453)-INT((SIN(((Model_Data!A7)*12.9898+(0)*78.233+Inputs!$C$47*37.719))*43758.5453)))-1)))</x:f>
        <x:v>34.58634748797326</x:v>
      </x:c>
      <x:c r="H7" s="49"/>
      <x:c r="I7" s="48" t="n">
        <x:f>Model_Data!A7</x:f>
        <x:v>-57.5</x:v>
      </x:c>
      <x:c r="J7" s="48" t="n">
        <x:f>((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(0.45*SIN(2*PI()*(((Model_Data!A7)/Inputs!$C$49)+Inputs!$C$47*0.137))+0.35*COS(2*PI()*(((Inputs!$C$6)/Inputs!$C$50)+Inputs!$C$47*0.173))+0.20*SIN(2*PI()*(((Model_Data!A7)+(Inputs!$C$6))/(0.5*(Inputs!$C$49+Inputs!$C$50))+Inputs!$C$47*0.097)))+0.30*(2*((SIN(((Model_Data!A7)*12.9898+(Inputs!$C$6)*78.233+Inputs!$C$47*37.719))*43758.5453)-INT((SIN(((Model_Data!A7)*12.9898+(Inputs!$C$6)*78.233+Inputs!$C$47*37.719))*43758.5453)))-1))))-((Inputs!$C$51*(115*EXP(-(((0)-25)^2)/(4.5^2))+70*EXP(-(((0)+38)^2)/(7^2))*(0.55+0.45*SIN(2*PI()*(Model_Data!A7)/45))+24*SIN(2*PI()*(0)/9+(Model_Data!A7)/18)*EXP(-(((0)+5)^2)/(22^2))+18*SIN(2*PI()*(Model_Data!A7)/70))+Inputs!$C$28*EXP(-(((Model_Data!A7)-Inputs!$C$29)^2)/(2*Inputs!$C$31^2))*EXP(-(((0)-Inputs!$C$30)^2)/(2*Inputs!$C$32^2))+-Inputs!$C$33*EXP(-(((((Model_Data!A7)-Inputs!$C$34)^2)+(((0)-Inputs!$C$35)^2))/(2*Inputs!$C$36^2)))+Inputs!$C$37*(0.55*SIN(2*PI()*(Model_Data!A7)/Inputs!$C$39)+0.35*COS(2*PI()*(0)/Inputs!$C$40)+0.2*SIN(2*PI()*((Model_Data!A7)+(0))/(0.5*(Inputs!$C$39+Inputs!$C$40))))+Inputs!$C$38*SIN(2*PI()*(Model_Data!A7)/Inputs!$C$39)*SIN(2*PI()*(0)/Inputs!$C$40)+-Inputs!$C$41*EXP(-(((0)-Inputs!$C$43)^2)/(2*Inputs!$C$44^2))*EXP(-(((Model_Data!A7)-Inputs!$C$42)^2)/(2*Inputs!$C$45^2))+Inputs!$C$48*(0.70*(0.45*SIN(2*PI()*(((Model_Data!A7)/Inputs!$C$49)+Inputs!$C$47*0.137))+0.35*COS(2*PI()*(((0)/Inputs!$C$50)+Inputs!$C$47*0.173))+0.20*SIN(2*PI()*(((Model_Data!A7)+(0))/(0.5*(Inputs!$C$49+Inputs!$C$50))+Inputs!$C$47*0.097)))+0.30*(2*((SIN(((Model_Data!A7)*12.9898+(0)*78.233+Inputs!$C$47*37.719))*43758.5453)-INT((SIN(((Model_Data!A7)*12.9898+(0)*78.233+Inputs!$C$47*37.719))*43758.5453)))-1))))</x:f>
        <x:v>104.3151667664842</x:v>
      </x:c>
      <x:c r="K7" s="48" t="n">
        <x:f>-((((SQRT((Model_Data!A7)^2+Inputs!$C$6^2+((Model_Data!B7)-((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(0.45*SIN(2*PI()*(((Model_Data!A7)/Inputs!$C$49)+Inputs!$C$47*0.137))+0.35*COS(2*PI()*(((Inputs!$C$6)/Inputs!$C$50)+Inputs!$C$47*0.173))+0.20*SIN(2*PI()*(((Model_Data!A7)+(Inputs!$C$6))/(0.5*(Inputs!$C$49+Inputs!$C$50))+Inputs!$C$47*0.097)))+0.30*(2*((SIN(((Model_Data!A7)*12.9898+(Inputs!$C$6)*78.233+Inputs!$C$47*37.719))*43758.5453)-INT((SIN(((Model_Data!A7)*12.9898+(Inputs!$C$6)*78.233+Inputs!$C$47*37.719))*43758.5453)))-1))))/1000)^2))-(((Model_Data!B7)-((Inputs!$C$51*(115*EXP(-(((0)-25)^2)/(4.5^2))+70*EXP(-(((0)+38)^2)/(7^2))*(0.55+0.45*SIN(2*PI()*(Model_Data!A7)/45))+24*SIN(2*PI()*(0)/9+(Model_Data!A7)/18)*EXP(-(((0)+5)^2)/(22^2))+18*SIN(2*PI()*(Model_Data!A7)/70))+Inputs!$C$28*EXP(-(((Model_Data!A7)-Inputs!$C$29)^2)/(2*Inputs!$C$31^2))*EXP(-(((0)-Inputs!$C$30)^2)/(2*Inputs!$C$32^2))+-Inputs!$C$33*EXP(-(((((Model_Data!A7)-Inputs!$C$34)^2)+(((0)-Inputs!$C$35)^2))/(2*Inputs!$C$36^2)))+Inputs!$C$37*(0.55*SIN(2*PI()*(Model_Data!A7)/Inputs!$C$39)+0.35*COS(2*PI()*(0)/Inputs!$C$40)+0.2*SIN(2*PI()*((Model_Data!A7)+(0))/(0.5*(Inputs!$C$39+Inputs!$C$40))))+Inputs!$C$38*SIN(2*PI()*(Model_Data!A7)/Inputs!$C$39)*SIN(2*PI()*(0)/Inputs!$C$40)+-Inputs!$C$41*EXP(-(((0)-Inputs!$C$43)^2)/(2*Inputs!$C$44^2))*EXP(-(((Model_Data!A7)-Inputs!$C$42)^2)/(2*Inputs!$C$45^2))+Inputs!$C$48*(0.70*(0.45*SIN(2*PI()*(((Model_Data!A7)/Inputs!$C$49)+Inputs!$C$47*0.137))+0.35*COS(2*PI()*(((0)/Inputs!$C$50)+Inputs!$C$47*0.173))+0.20*SIN(2*PI()*(((Model_Data!A7)+(0))/(0.5*(Inputs!$C$49+Inputs!$C$50))+Inputs!$C$47*0.097)))+0.30*(2*((SIN(((Model_Data!A7)*12.9898+(0)*78.233+Inputs!$C$47*37.719))*43758.5453)-INT((SIN(((Model_Data!A7)*12.9898+(0)*78.233+Inputs!$C$47*37.719))*43758.5453)))-1))))/1000)))*1000/Inputs!$C$12)-Model_Data!F7)</x:f>
        <x:v>57.679112476218506</x:v>
      </x:c>
      <x:c r="L7" s="49"/>
      <x:c r="M7" s="48" t="n">
        <x:f>Model_Data!A7</x:f>
        <x:v>-57.5</x:v>
      </x:c>
      <x:c r="N7" s="48" t="n">
        <x:f>Model_Data!P7</x:f>
        <x:v>427.2285780636811</x:v>
      </x:c>
      <x:c r="O7" s="48" t="n">
        <x:f>AC7</x:f>
        <x:v>454.8011819611929</x:v>
      </x:c>
      <x:c r="P7" s="48" t="n">
        <x:f>Model_Data!Q7</x:f>
        <x:v>64.14843514469686</x:v>
      </x:c>
      <x:c r="Q7" s="48" t="n">
        <x:f>AD7</x:f>
        <x:v>68.28846575993889</x:v>
      </x:c>
      <x:c r="R7" s="49"/>
      <x:c r="S7" s="48" t="n">
        <x:f>Model_Data!A7</x:f>
        <x:v>-57.5</x:v>
      </x:c>
      <x:c r="T7" s="48" t="n">
        <x:f>Model_Data!B7-Inputs!$C$5</x:f>
        <x:v>3.673611111111086</x:v>
      </x:c>
      <x:c r="U7" s="49"/>
      <x:c r="V7" s="48" t="n">
        <x:f>Model_Data!A7</x:f>
        <x:v>-57.5</x:v>
      </x:c>
      <x:c r="W7" s="48" t="n">
        <x:f>(-((((SQRT((Model_Data!A7)^2+Inputs!$C$6^2+((Model_Data!B7)-((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(0.45*SIN(2*PI()*(((Model_Data!A7)/Inputs!$C$49)+Inputs!$C$47*0.137))+0.35*COS(2*PI()*(((Inputs!$C$6)/Inputs!$C$50)+Inputs!$C$47*0.173))+0.20*SIN(2*PI()*(((Model_Data!A7)+(Inputs!$C$6))/(0.5*(Inputs!$C$49+Inputs!$C$50))+Inputs!$C$47*0.097)))+0.30*(2*((SIN(((Model_Data!A7)*12.9898+(Inputs!$C$6)*78.233+Inputs!$C$47*37.719))*43758.5453)-INT((SIN(((Model_Data!A7)*12.9898+(Inputs!$C$6)*78.233+Inputs!$C$47*37.719))*43758.5453)))-1))))/1000)^2))-(((Model_Data!B7)-((Inputs!$C$51*(115*EXP(-(((0)-25)^2)/(4.5^2))+70*EXP(-(((0)+38)^2)/(7^2))*(0.55+0.45*SIN(2*PI()*(Model_Data!A7)/45))+24*SIN(2*PI()*(0)/9+(Model_Data!A7)/18)*EXP(-(((0)+5)^2)/(22^2))+18*SIN(2*PI()*(Model_Data!A7)/70))+Inputs!$C$28*EXP(-(((Model_Data!A7)-Inputs!$C$29)^2)/(2*Inputs!$C$31^2))*EXP(-(((0)-Inputs!$C$30)^2)/(2*Inputs!$C$32^2))+-Inputs!$C$33*EXP(-(((((Model_Data!A7)-Inputs!$C$34)^2)+(((0)-Inputs!$C$35)^2))/(2*Inputs!$C$36^2)))+Inputs!$C$37*(0.55*SIN(2*PI()*(Model_Data!A7)/Inputs!$C$39)+0.35*COS(2*PI()*(0)/Inputs!$C$40)+0.2*SIN(2*PI()*((Model_Data!A7)+(0))/(0.5*(Inputs!$C$39+Inputs!$C$40))))+Inputs!$C$38*SIN(2*PI()*(Model_Data!A7)/Inputs!$C$39)*SIN(2*PI()*(0)/Inputs!$C$40)+-Inputs!$C$41*EXP(-(((0)-Inputs!$C$43)^2)/(2*Inputs!$C$44^2))*EXP(-(((Model_Data!A7)-Inputs!$C$42)^2)/(2*Inputs!$C$45^2))+Inputs!$C$48*(0.70*(0.45*SIN(2*PI()*(((Model_Data!A7)/Inputs!$C$49)+Inputs!$C$47*0.137))+0.35*COS(2*PI()*(((0)/Inputs!$C$50)+Inputs!$C$47*0.173))+0.20*SIN(2*PI()*(((Model_Data!A7)+(0))/(0.5*(Inputs!$C$49+Inputs!$C$50))+Inputs!$C$47*0.097)))+0.30*(2*((SIN(((Model_Data!A7)*12.9898+(0)*78.233+Inputs!$C$47*37.719))*43758.5453)-INT((SIN(((Model_Data!A7)*12.9898+(0)*78.233+Inputs!$C$47*37.719))*43758.5453)))-1))))/1000)))*1000/Inputs!$C$12)-Model_Data!F7))-(-(((SQRT((Model_Data!A7)^2+Inputs!$C$6^2+(Inputs!$C$5-((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(0.45*SIN(2*PI()*(((Model_Data!A7)/Inputs!$C$49)+Inputs!$C$47*0.137))+0.35*COS(2*PI()*(((Inputs!$C$6)/Inputs!$C$50)+Inputs!$C$47*0.173))+0.20*SIN(2*PI()*(((Model_Data!A7)+(Inputs!$C$6))/(0.5*(Inputs!$C$49+Inputs!$C$50))+Inputs!$C$47*0.097)))+0.30*(2*((SIN(((Model_Data!A7)*12.9898+(Inputs!$C$6)*78.233+Inputs!$C$47*37.719))*43758.5453)-INT((SIN(((Model_Data!A7)*12.9898+(Inputs!$C$6)*78.233+Inputs!$C$47*37.719))*43758.5453)))-1))))/1000)^2)-(Inputs!$C$5-((Inputs!$C$51*(115*EXP(-(((0)-25)^2)/(4.5^2))+70*EXP(-(((0)+38)^2)/(7^2))*(0.55+0.45*SIN(2*PI()*(Model_Data!A7)/45))+24*SIN(2*PI()*(0)/9+(Model_Data!A7)/18)*EXP(-(((0)+5)^2)/(22^2))+18*SIN(2*PI()*(Model_Data!A7)/70))+Inputs!$C$28*EXP(-(((Model_Data!A7)-Inputs!$C$29)^2)/(2*Inputs!$C$31^2))*EXP(-(((0)-Inputs!$C$30)^2)/(2*Inputs!$C$32^2))+-Inputs!$C$33*EXP(-(((((Model_Data!A7)-Inputs!$C$34)^2)+(((0)-Inputs!$C$35)^2))/(2*Inputs!$C$36^2)))+Inputs!$C$37*(0.55*SIN(2*PI()*(Model_Data!A7)/Inputs!$C$39)+0.35*COS(2*PI()*(0)/Inputs!$C$40)+0.2*SIN(2*PI()*((Model_Data!A7)+(0))/(0.5*(Inputs!$C$39+Inputs!$C$40))))+Inputs!$C$38*SIN(2*PI()*(Model_Data!A7)/Inputs!$C$39)*SIN(2*PI()*(0)/Inputs!$C$40)+-Inputs!$C$41*EXP(-(((0)-Inputs!$C$43)^2)/(2*Inputs!$C$44^2))*EXP(-(((Model_Data!A7)-Inputs!$C$42)^2)/(2*Inputs!$C$45^2))+Inputs!$C$48*(0.70*(0.45*SIN(2*PI()*(((Model_Data!A7)/Inputs!$C$49)+Inputs!$C$47*0.137))+0.35*COS(2*PI()*(((0)/Inputs!$C$50)+Inputs!$C$47*0.173))+0.20*SIN(2*PI()*(((Model_Data!A7)+(0))/(0.5*(Inputs!$C$49+Inputs!$C$50))+Inputs!$C$47*0.097)))+0.30*(2*((SIN(((Model_Data!A7)*12.9898+(0)*78.233+Inputs!$C$47*37.719))*43758.5453)-INT((SIN(((Model_Data!A7)*12.9898+(0)*78.233+Inputs!$C$47*37.719))*43758.5453)))-1))))/1000))*1000/Inputs!$C$12)-((SQRT((Model_Data!A7)^2+Inputs!$C$6^2+Inputs!$C$5^2)-Inputs!$C$5)*1000/Inputs!$C$12)))</x:f>
        <x:v>0.016762106980877434</x:v>
      </x:c>
      <x:c r="X7" s="48" t="n">
        <x:f>0</x:f>
        <x:v>0</x:v>
      </x:c>
      <x:c r="Y7" s="49"/>
      <x:c r="Z7" s="48" t="n">
        <x:f>Model_Data!A7</x:f>
        <x:v>-57.5</x:v>
      </x:c>
      <x:c r="AA7" s="48" t="n">
        <x:f>SQRT((Model_Data!A7)^2+Inputs!$C$6^2+((Model_Data!B7)-((Inputs!$C$51*(115*EXP(-(((Inputs!$C$6)-25)^2)/(4.5^2))+70*EXP(-(((Inputs!$C$6)+38)^2)/(7^2))*(0.55+0.45*SIN(2*PI()*(Model_Data!A7)/45))+24*SIN(2*PI()*(Inputs!$C$6)/9+(Model_Data!A7)/18)*EXP(-(((Inputs!$C$6)+5)^2)/(22^2))+18*SIN(2*PI()*(Model_Data!A7)/70))+Inputs!$C$28*EXP(-(((Model_Data!A7)-Inputs!$C$29)^2)/(2*Inputs!$C$31^2))*EXP(-(((Inputs!$C$6)-Inputs!$C$30)^2)/(2*Inputs!$C$32^2))+-Inputs!$C$33*EXP(-(((((Model_Data!A7)-Inputs!$C$34)^2)+(((Inputs!$C$6)-Inputs!$C$35)^2))/(2*Inputs!$C$36^2)))+Inputs!$C$37*(0.55*SIN(2*PI()*(Model_Data!A7)/Inputs!$C$39)+0.35*COS(2*PI()*(Inputs!$C$6)/Inputs!$C$40)+0.2*SIN(2*PI()*((Model_Data!A7)+(Inputs!$C$6))/(0.5*(Inputs!$C$39+Inputs!$C$40))))+Inputs!$C$38*SIN(2*PI()*(Model_Data!A7)/Inputs!$C$39)*SIN(2*PI()*(Inputs!$C$6)/Inputs!$C$40)+-Inputs!$C$41*EXP(-(((Inputs!$C$6)-Inputs!$C$43)^2)/(2*Inputs!$C$44^2))*EXP(-(((Model_Data!A7)-Inputs!$C$42)^2)/(2*Inputs!$C$45^2))+Inputs!$C$48*(0.70*(0.45*SIN(2*PI()*(((Model_Data!A7)/Inputs!$C$49)+Inputs!$C$47*0.137))+0.35*COS(2*PI()*(((Inputs!$C$6)/Inputs!$C$50)+Inputs!$C$47*0.173))+0.20*SIN(2*PI()*(((Model_Data!A7)+(Inputs!$C$6))/(0.5*(Inputs!$C$49+Inputs!$C$50))+Inputs!$C$47*0.097)))+0.30*(2*((SIN(((Model_Data!A7)*12.9898+(Inputs!$C$6)*78.233+Inputs!$C$47*37.719))*43758.5453)-INT((SIN(((Model_Data!A7)*12.9898+(Inputs!$C$6)*78.233+Inputs!$C$47*37.719))*43758.5453)))-1))))/1000)^2)</x:f>
        <x:v>408.37667887554426</x:v>
      </x:c>
      <x:c r="AB7" s="48" t="n">
        <x:f>1000*(AA8-AA6)/(Z8-Z6)*Inputs!$C$11</x:f>
        <x:v>-1137.0029549029823</x:v>
      </x:c>
      <x:c r="AC7" s="48" t="n">
        <x:f>-2*AB7/Inputs!$C$13</x:f>
        <x:v>454.8011819611929</x:v>
      </x:c>
      <x:c r="AD7" s="48" t="n">
        <x:f>-2*AB7/Inputs!$C$14</x:f>
        <x:v>68.28846575993889</x:v>
      </x:c>
    </x:row>
    <x:row r="8">
      <x:c r="A8" s="48" t="n">
        <x:f>Model_Data!A8</x:f>
        <x:v>-57</x:v>
      </x:c>
      <x:c r="B8" s="48" t="n">
        <x:f>Model_Data!F8</x:f>
        <x:v>2680.330846175745</x:v>
      </x:c>
      <x:c r="C8" s="48" t="n">
        <x:f>(((SQRT((Model_Data!A8)^2+Inputs!$C$6^2+((Model_Data!B8)-((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(0.45*SIN(2*PI()*(((Model_Data!A8)/Inputs!$C$49)+Inputs!$C$47*0.137))+0.35*COS(2*PI()*(((Inputs!$C$6)/Inputs!$C$50)+Inputs!$C$47*0.173))+0.20*SIN(2*PI()*(((Model_Data!A8)+(Inputs!$C$6))/(0.5*(Inputs!$C$49+Inputs!$C$50))+Inputs!$C$47*0.097)))+0.30*(2*((SIN(((Model_Data!A8)*12.9898+(Inputs!$C$6)*78.233+Inputs!$C$47*37.719))*43758.5453)-INT((SIN(((Model_Data!A8)*12.9898+(Inputs!$C$6)*78.233+Inputs!$C$47*37.719))*43758.5453)))-1))))/1000)^2))-(((Model_Data!B8)-((Inputs!$C$51*(115*EXP(-(((0)-25)^2)/(4.5^2))+70*EXP(-(((0)+38)^2)/(7^2))*(0.55+0.45*SIN(2*PI()*(Model_Data!A8)/45))+24*SIN(2*PI()*(0)/9+(Model_Data!A8)/18)*EXP(-(((0)+5)^2)/(22^2))+18*SIN(2*PI()*(Model_Data!A8)/70))+Inputs!$C$28*EXP(-(((Model_Data!A8)-Inputs!$C$29)^2)/(2*Inputs!$C$31^2))*EXP(-(((0)-Inputs!$C$30)^2)/(2*Inputs!$C$32^2))+-Inputs!$C$33*EXP(-(((((Model_Data!A8)-Inputs!$C$34)^2)+(((0)-Inputs!$C$35)^2))/(2*Inputs!$C$36^2)))+Inputs!$C$37*(0.55*SIN(2*PI()*(Model_Data!A8)/Inputs!$C$39)+0.35*COS(2*PI()*(0)/Inputs!$C$40)+0.2*SIN(2*PI()*((Model_Data!A8)+(0))/(0.5*(Inputs!$C$39+Inputs!$C$40))))+Inputs!$C$38*SIN(2*PI()*(Model_Data!A8)/Inputs!$C$39)*SIN(2*PI()*(0)/Inputs!$C$40)+-Inputs!$C$41*EXP(-(((0)-Inputs!$C$43)^2)/(2*Inputs!$C$44^2))*EXP(-(((Model_Data!A8)-Inputs!$C$42)^2)/(2*Inputs!$C$45^2))+Inputs!$C$48*(0.70*(0.45*SIN(2*PI()*(((Model_Data!A8)/Inputs!$C$49)+Inputs!$C$47*0.137))+0.35*COS(2*PI()*(((0)/Inputs!$C$50)+Inputs!$C$47*0.173))+0.20*SIN(2*PI()*(((Model_Data!A8)+(0))/(0.5*(Inputs!$C$49+Inputs!$C$50))+Inputs!$C$47*0.097)))+0.30*(2*((SIN(((Model_Data!A8)*12.9898+(0)*78.233+Inputs!$C$47*37.719))*43758.5453)-INT((SIN(((Model_Data!A8)*12.9898+(0)*78.233+Inputs!$C$47*37.719))*43758.5453)))-1))))/1000)))*1000/Inputs!$C$12)</x:f>
        <x:v>2635.15182749512</x:v>
      </x:c>
      <x:c r="D8" s="49"/>
      <x:c r="E8" s="48" t="n">
        <x:f>Model_Data!A8</x:f>
        <x:v>-57</x:v>
      </x:c>
      <x:c r="F8" s="48" t="n">
        <x:f>(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(0.45*SIN(2*PI()*(((Model_Data!A8)/Inputs!$C$49)+Inputs!$C$47*0.137))+0.35*COS(2*PI()*(((Inputs!$C$6)/Inputs!$C$50)+Inputs!$C$47*0.173))+0.20*SIN(2*PI()*(((Model_Data!A8)+(Inputs!$C$6))/(0.5*(Inputs!$C$49+Inputs!$C$50))+Inputs!$C$47*0.097)))+0.30*(2*((SIN(((Model_Data!A8)*12.9898+(Inputs!$C$6)*78.233+Inputs!$C$47*37.719))*43758.5453)-INT((SIN(((Model_Data!A8)*12.9898+(Inputs!$C$6)*78.233+Inputs!$C$47*37.719))*43758.5453)))-1)))</x:f>
        <x:v>137.46604725484156</x:v>
      </x:c>
      <x:c r="G8" s="48" t="n">
        <x:f>(Inputs!$C$51*(115*EXP(-(((0)-25)^2)/(4.5^2))+70*EXP(-(((0)+38)^2)/(7^2))*(0.55+0.45*SIN(2*PI()*(Model_Data!A8)/45))+24*SIN(2*PI()*(0)/9+(Model_Data!A8)/18)*EXP(-(((0)+5)^2)/(22^2))+18*SIN(2*PI()*(Model_Data!A8)/70))+Inputs!$C$28*EXP(-(((Model_Data!A8)-Inputs!$C$29)^2)/(2*Inputs!$C$31^2))*EXP(-(((0)-Inputs!$C$30)^2)/(2*Inputs!$C$32^2))+-Inputs!$C$33*EXP(-(((((Model_Data!A8)-Inputs!$C$34)^2)+(((0)-Inputs!$C$35)^2))/(2*Inputs!$C$36^2)))+Inputs!$C$37*(0.55*SIN(2*PI()*(Model_Data!A8)/Inputs!$C$39)+0.35*COS(2*PI()*(0)/Inputs!$C$40)+0.2*SIN(2*PI()*((Model_Data!A8)+(0))/(0.5*(Inputs!$C$39+Inputs!$C$40))))+Inputs!$C$38*SIN(2*PI()*(Model_Data!A8)/Inputs!$C$39)*SIN(2*PI()*(0)/Inputs!$C$40)+-Inputs!$C$41*EXP(-(((0)-Inputs!$C$43)^2)/(2*Inputs!$C$44^2))*EXP(-(((Model_Data!A8)-Inputs!$C$42)^2)/(2*Inputs!$C$45^2))+Inputs!$C$48*(0.70*(0.45*SIN(2*PI()*(((Model_Data!A8)/Inputs!$C$49)+Inputs!$C$47*0.137))+0.35*COS(2*PI()*(((0)/Inputs!$C$50)+Inputs!$C$47*0.173))+0.20*SIN(2*PI()*(((Model_Data!A8)+(0))/(0.5*(Inputs!$C$49+Inputs!$C$50))+Inputs!$C$47*0.097)))+0.30*(2*((SIN(((Model_Data!A8)*12.9898+(0)*78.233+Inputs!$C$47*37.719))*43758.5453)-INT((SIN(((Model_Data!A8)*12.9898+(0)*78.233+Inputs!$C$47*37.719))*43758.5453)))-1)))</x:f>
        <x:v>55.44088303799376</x:v>
      </x:c>
      <x:c r="H8" s="49"/>
      <x:c r="I8" s="48" t="n">
        <x:f>Model_Data!A8</x:f>
        <x:v>-57</x:v>
      </x:c>
      <x:c r="J8" s="48" t="n">
        <x:f>((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(0.45*SIN(2*PI()*(((Model_Data!A8)/Inputs!$C$49)+Inputs!$C$47*0.137))+0.35*COS(2*PI()*(((Inputs!$C$6)/Inputs!$C$50)+Inputs!$C$47*0.173))+0.20*SIN(2*PI()*(((Model_Data!A8)+(Inputs!$C$6))/(0.5*(Inputs!$C$49+Inputs!$C$50))+Inputs!$C$47*0.097)))+0.30*(2*((SIN(((Model_Data!A8)*12.9898+(Inputs!$C$6)*78.233+Inputs!$C$47*37.719))*43758.5453)-INT((SIN(((Model_Data!A8)*12.9898+(Inputs!$C$6)*78.233+Inputs!$C$47*37.719))*43758.5453)))-1))))-((Inputs!$C$51*(115*EXP(-(((0)-25)^2)/(4.5^2))+70*EXP(-(((0)+38)^2)/(7^2))*(0.55+0.45*SIN(2*PI()*(Model_Data!A8)/45))+24*SIN(2*PI()*(0)/9+(Model_Data!A8)/18)*EXP(-(((0)+5)^2)/(22^2))+18*SIN(2*PI()*(Model_Data!A8)/70))+Inputs!$C$28*EXP(-(((Model_Data!A8)-Inputs!$C$29)^2)/(2*Inputs!$C$31^2))*EXP(-(((0)-Inputs!$C$30)^2)/(2*Inputs!$C$32^2))+-Inputs!$C$33*EXP(-(((((Model_Data!A8)-Inputs!$C$34)^2)+(((0)-Inputs!$C$35)^2))/(2*Inputs!$C$36^2)))+Inputs!$C$37*(0.55*SIN(2*PI()*(Model_Data!A8)/Inputs!$C$39)+0.35*COS(2*PI()*(0)/Inputs!$C$40)+0.2*SIN(2*PI()*((Model_Data!A8)+(0))/(0.5*(Inputs!$C$39+Inputs!$C$40))))+Inputs!$C$38*SIN(2*PI()*(Model_Data!A8)/Inputs!$C$39)*SIN(2*PI()*(0)/Inputs!$C$40)+-Inputs!$C$41*EXP(-(((0)-Inputs!$C$43)^2)/(2*Inputs!$C$44^2))*EXP(-(((Model_Data!A8)-Inputs!$C$42)^2)/(2*Inputs!$C$45^2))+Inputs!$C$48*(0.70*(0.45*SIN(2*PI()*(((Model_Data!A8)/Inputs!$C$49)+Inputs!$C$47*0.137))+0.35*COS(2*PI()*(((0)/Inputs!$C$50)+Inputs!$C$47*0.173))+0.20*SIN(2*PI()*(((Model_Data!A8)+(0))/(0.5*(Inputs!$C$49+Inputs!$C$50))+Inputs!$C$47*0.097)))+0.30*(2*((SIN(((Model_Data!A8)*12.9898+(0)*78.233+Inputs!$C$47*37.719))*43758.5453)-INT((SIN(((Model_Data!A8)*12.9898+(0)*78.233+Inputs!$C$47*37.719))*43758.5453)))-1))))</x:f>
        <x:v>82.0251642168478</x:v>
      </x:c>
      <x:c r="K8" s="48" t="n">
        <x:f>-((((SQRT((Model_Data!A8)^2+Inputs!$C$6^2+((Model_Data!B8)-((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(0.45*SIN(2*PI()*(((Model_Data!A8)/Inputs!$C$49)+Inputs!$C$47*0.137))+0.35*COS(2*PI()*(((Inputs!$C$6)/Inputs!$C$50)+Inputs!$C$47*0.173))+0.20*SIN(2*PI()*(((Model_Data!A8)+(Inputs!$C$6))/(0.5*(Inputs!$C$49+Inputs!$C$50))+Inputs!$C$47*0.097)))+0.30*(2*((SIN(((Model_Data!A8)*12.9898+(Inputs!$C$6)*78.233+Inputs!$C$47*37.719))*43758.5453)-INT((SIN(((Model_Data!A8)*12.9898+(Inputs!$C$6)*78.233+Inputs!$C$47*37.719))*43758.5453)))-1))))/1000)^2))-(((Model_Data!B8)-((Inputs!$C$51*(115*EXP(-(((0)-25)^2)/(4.5^2))+70*EXP(-(((0)+38)^2)/(7^2))*(0.55+0.45*SIN(2*PI()*(Model_Data!A8)/45))+24*SIN(2*PI()*(0)/9+(Model_Data!A8)/18)*EXP(-(((0)+5)^2)/(22^2))+18*SIN(2*PI()*(Model_Data!A8)/70))+Inputs!$C$28*EXP(-(((Model_Data!A8)-Inputs!$C$29)^2)/(2*Inputs!$C$31^2))*EXP(-(((0)-Inputs!$C$30)^2)/(2*Inputs!$C$32^2))+-Inputs!$C$33*EXP(-(((((Model_Data!A8)-Inputs!$C$34)^2)+(((0)-Inputs!$C$35)^2))/(2*Inputs!$C$36^2)))+Inputs!$C$37*(0.55*SIN(2*PI()*(Model_Data!A8)/Inputs!$C$39)+0.35*COS(2*PI()*(0)/Inputs!$C$40)+0.2*SIN(2*PI()*((Model_Data!A8)+(0))/(0.5*(Inputs!$C$39+Inputs!$C$40))))+Inputs!$C$38*SIN(2*PI()*(Model_Data!A8)/Inputs!$C$39)*SIN(2*PI()*(0)/Inputs!$C$40)+-Inputs!$C$41*EXP(-(((0)-Inputs!$C$43)^2)/(2*Inputs!$C$44^2))*EXP(-(((Model_Data!A8)-Inputs!$C$42)^2)/(2*Inputs!$C$45^2))+Inputs!$C$48*(0.70*(0.45*SIN(2*PI()*(((Model_Data!A8)/Inputs!$C$49)+Inputs!$C$47*0.137))+0.35*COS(2*PI()*(((0)/Inputs!$C$50)+Inputs!$C$47*0.173))+0.20*SIN(2*PI()*(((Model_Data!A8)+(0))/(0.5*(Inputs!$C$49+Inputs!$C$50))+Inputs!$C$47*0.097)))+0.30*(2*((SIN(((Model_Data!A8)*12.9898+(0)*78.233+Inputs!$C$47*37.719))*43758.5453)-INT((SIN(((Model_Data!A8)*12.9898+(0)*78.233+Inputs!$C$47*37.719))*43758.5453)))-1))))/1000)))*1000/Inputs!$C$12)-Model_Data!F8)</x:f>
        <x:v>45.17901868062518</x:v>
      </x:c>
      <x:c r="L8" s="49"/>
      <x:c r="M8" s="48" t="n">
        <x:f>Model_Data!A8</x:f>
        <x:v>-57</x:v>
      </x:c>
      <x:c r="N8" s="48" t="n">
        <x:f>Model_Data!P8</x:f>
        <x:v>423.6198501715072</x:v>
      </x:c>
      <x:c r="O8" s="48" t="n">
        <x:f>AC8</x:f>
        <x:v>427.7326868219461</x:v>
      </x:c>
      <x:c r="P8" s="48" t="n">
        <x:f>Model_Data!Q8</x:f>
        <x:v>63.60658410983592</x:v>
      </x:c>
      <x:c r="Q8" s="48" t="n">
        <x:f>AD8</x:f>
        <x:v>64.22412715044237</x:v>
      </x:c>
      <x:c r="R8" s="49"/>
      <x:c r="S8" s="48" t="n">
        <x:f>Model_Data!A8</x:f>
        <x:v>-57</x:v>
      </x:c>
      <x:c r="T8" s="48" t="n">
        <x:f>Model_Data!B8-Inputs!$C$5</x:f>
        <x:v>3.6100000000000136</x:v>
      </x:c>
      <x:c r="U8" s="49"/>
      <x:c r="V8" s="48" t="n">
        <x:f>Model_Data!A8</x:f>
        <x:v>-57</x:v>
      </x:c>
      <x:c r="W8" s="48" t="n">
        <x:f>(-((((SQRT((Model_Data!A8)^2+Inputs!$C$6^2+((Model_Data!B8)-((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(0.45*SIN(2*PI()*(((Model_Data!A8)/Inputs!$C$49)+Inputs!$C$47*0.137))+0.35*COS(2*PI()*(((Inputs!$C$6)/Inputs!$C$50)+Inputs!$C$47*0.173))+0.20*SIN(2*PI()*(((Model_Data!A8)+(Inputs!$C$6))/(0.5*(Inputs!$C$49+Inputs!$C$50))+Inputs!$C$47*0.097)))+0.30*(2*((SIN(((Model_Data!A8)*12.9898+(Inputs!$C$6)*78.233+Inputs!$C$47*37.719))*43758.5453)-INT((SIN(((Model_Data!A8)*12.9898+(Inputs!$C$6)*78.233+Inputs!$C$47*37.719))*43758.5453)))-1))))/1000)^2))-(((Model_Data!B8)-((Inputs!$C$51*(115*EXP(-(((0)-25)^2)/(4.5^2))+70*EXP(-(((0)+38)^2)/(7^2))*(0.55+0.45*SIN(2*PI()*(Model_Data!A8)/45))+24*SIN(2*PI()*(0)/9+(Model_Data!A8)/18)*EXP(-(((0)+5)^2)/(22^2))+18*SIN(2*PI()*(Model_Data!A8)/70))+Inputs!$C$28*EXP(-(((Model_Data!A8)-Inputs!$C$29)^2)/(2*Inputs!$C$31^2))*EXP(-(((0)-Inputs!$C$30)^2)/(2*Inputs!$C$32^2))+-Inputs!$C$33*EXP(-(((((Model_Data!A8)-Inputs!$C$34)^2)+(((0)-Inputs!$C$35)^2))/(2*Inputs!$C$36^2)))+Inputs!$C$37*(0.55*SIN(2*PI()*(Model_Data!A8)/Inputs!$C$39)+0.35*COS(2*PI()*(0)/Inputs!$C$40)+0.2*SIN(2*PI()*((Model_Data!A8)+(0))/(0.5*(Inputs!$C$39+Inputs!$C$40))))+Inputs!$C$38*SIN(2*PI()*(Model_Data!A8)/Inputs!$C$39)*SIN(2*PI()*(0)/Inputs!$C$40)+-Inputs!$C$41*EXP(-(((0)-Inputs!$C$43)^2)/(2*Inputs!$C$44^2))*EXP(-(((Model_Data!A8)-Inputs!$C$42)^2)/(2*Inputs!$C$45^2))+Inputs!$C$48*(0.70*(0.45*SIN(2*PI()*(((Model_Data!A8)/Inputs!$C$49)+Inputs!$C$47*0.137))+0.35*COS(2*PI()*(((0)/Inputs!$C$50)+Inputs!$C$47*0.173))+0.20*SIN(2*PI()*(((Model_Data!A8)+(0))/(0.5*(Inputs!$C$49+Inputs!$C$50))+Inputs!$C$47*0.097)))+0.30*(2*((SIN(((Model_Data!A8)*12.9898+(0)*78.233+Inputs!$C$47*37.719))*43758.5453)-INT((SIN(((Model_Data!A8)*12.9898+(0)*78.233+Inputs!$C$47*37.719))*43758.5453)))-1))))/1000)))*1000/Inputs!$C$12)-Model_Data!F8))-(-(((SQRT((Model_Data!A8)^2+Inputs!$C$6^2+(Inputs!$C$5-((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(0.45*SIN(2*PI()*(((Model_Data!A8)/Inputs!$C$49)+Inputs!$C$47*0.137))+0.35*COS(2*PI()*(((Inputs!$C$6)/Inputs!$C$50)+Inputs!$C$47*0.173))+0.20*SIN(2*PI()*(((Model_Data!A8)+(Inputs!$C$6))/(0.5*(Inputs!$C$49+Inputs!$C$50))+Inputs!$C$47*0.097)))+0.30*(2*((SIN(((Model_Data!A8)*12.9898+(Inputs!$C$6)*78.233+Inputs!$C$47*37.719))*43758.5453)-INT((SIN(((Model_Data!A8)*12.9898+(Inputs!$C$6)*78.233+Inputs!$C$47*37.719))*43758.5453)))-1))))/1000)^2)-(Inputs!$C$5-((Inputs!$C$51*(115*EXP(-(((0)-25)^2)/(4.5^2))+70*EXP(-(((0)+38)^2)/(7^2))*(0.55+0.45*SIN(2*PI()*(Model_Data!A8)/45))+24*SIN(2*PI()*(0)/9+(Model_Data!A8)/18)*EXP(-(((0)+5)^2)/(22^2))+18*SIN(2*PI()*(Model_Data!A8)/70))+Inputs!$C$28*EXP(-(((Model_Data!A8)-Inputs!$C$29)^2)/(2*Inputs!$C$31^2))*EXP(-(((0)-Inputs!$C$30)^2)/(2*Inputs!$C$32^2))+-Inputs!$C$33*EXP(-(((((Model_Data!A8)-Inputs!$C$34)^2)+(((0)-Inputs!$C$35)^2))/(2*Inputs!$C$36^2)))+Inputs!$C$37*(0.55*SIN(2*PI()*(Model_Data!A8)/Inputs!$C$39)+0.35*COS(2*PI()*(0)/Inputs!$C$40)+0.2*SIN(2*PI()*((Model_Data!A8)+(0))/(0.5*(Inputs!$C$39+Inputs!$C$40))))+Inputs!$C$38*SIN(2*PI()*(Model_Data!A8)/Inputs!$C$39)*SIN(2*PI()*(0)/Inputs!$C$40)+-Inputs!$C$41*EXP(-(((0)-Inputs!$C$43)^2)/(2*Inputs!$C$44^2))*EXP(-(((Model_Data!A8)-Inputs!$C$42)^2)/(2*Inputs!$C$45^2))+Inputs!$C$48*(0.70*(0.45*SIN(2*PI()*(((Model_Data!A8)/Inputs!$C$49)+Inputs!$C$47*0.137))+0.35*COS(2*PI()*(((0)/Inputs!$C$50)+Inputs!$C$47*0.173))+0.20*SIN(2*PI()*(((Model_Data!A8)+(0))/(0.5*(Inputs!$C$49+Inputs!$C$50))+Inputs!$C$47*0.097)))+0.30*(2*((SIN(((Model_Data!A8)*12.9898+(0)*78.233+Inputs!$C$47*37.719))*43758.5453)-INT((SIN(((Model_Data!A8)*12.9898+(0)*78.233+Inputs!$C$47*37.719))*43758.5453)))-1))))/1000))*1000/Inputs!$C$12)-((SQRT((Model_Data!A8)^2+Inputs!$C$6^2+Inputs!$C$5^2)-Inputs!$C$5)*1000/Inputs!$C$12)))</x:f>
        <x:v>0.016076204461114685</x:v>
      </x:c>
      <x:c r="X8" s="48" t="n">
        <x:f>0</x:f>
        <x:v>0</x:v>
      </x:c>
      <x:c r="Y8" s="49"/>
      <x:c r="Z8" s="48" t="n">
        <x:f>Model_Data!A8</x:f>
        <x:v>-57</x:v>
      </x:c>
      <x:c r="AA8" s="48" t="n">
        <x:f>SQRT((Model_Data!A8)^2+Inputs!$C$6^2+((Model_Data!B8)-((Inputs!$C$51*(115*EXP(-(((Inputs!$C$6)-25)^2)/(4.5^2))+70*EXP(-(((Inputs!$C$6)+38)^2)/(7^2))*(0.55+0.45*SIN(2*PI()*(Model_Data!A8)/45))+24*SIN(2*PI()*(Inputs!$C$6)/9+(Model_Data!A8)/18)*EXP(-(((Inputs!$C$6)+5)^2)/(22^2))+18*SIN(2*PI()*(Model_Data!A8)/70))+Inputs!$C$28*EXP(-(((Model_Data!A8)-Inputs!$C$29)^2)/(2*Inputs!$C$31^2))*EXP(-(((Inputs!$C$6)-Inputs!$C$30)^2)/(2*Inputs!$C$32^2))+-Inputs!$C$33*EXP(-(((((Model_Data!A8)-Inputs!$C$34)^2)+(((Inputs!$C$6)-Inputs!$C$35)^2))/(2*Inputs!$C$36^2)))+Inputs!$C$37*(0.55*SIN(2*PI()*(Model_Data!A8)/Inputs!$C$39)+0.35*COS(2*PI()*(Inputs!$C$6)/Inputs!$C$40)+0.2*SIN(2*PI()*((Model_Data!A8)+(Inputs!$C$6))/(0.5*(Inputs!$C$39+Inputs!$C$40))))+Inputs!$C$38*SIN(2*PI()*(Model_Data!A8)/Inputs!$C$39)*SIN(2*PI()*(Inputs!$C$6)/Inputs!$C$40)+-Inputs!$C$41*EXP(-(((Inputs!$C$6)-Inputs!$C$43)^2)/(2*Inputs!$C$44^2))*EXP(-(((Model_Data!A8)-Inputs!$C$42)^2)/(2*Inputs!$C$45^2))+Inputs!$C$48*(0.70*(0.45*SIN(2*PI()*(((Model_Data!A8)/Inputs!$C$49)+Inputs!$C$47*0.137))+0.35*COS(2*PI()*(((Inputs!$C$6)/Inputs!$C$50)+Inputs!$C$47*0.173))+0.20*SIN(2*PI()*(((Model_Data!A8)+(Inputs!$C$6))/(0.5*(Inputs!$C$49+Inputs!$C$50))+Inputs!$C$47*0.097)))+0.30*(2*((SIN(((Model_Data!A8)*12.9898+(Inputs!$C$6)*78.233+Inputs!$C$47*37.719))*43758.5453)-INT((SIN(((Model_Data!A8)*12.9898+(Inputs!$C$6)*78.233+Inputs!$C$47*37.719))*43758.5453)))-1))))/1000)^2)</x:f>
        <x:v>408.24512936990334</x:v>
      </x:c>
      <x:c r="AB8" s="48" t="n">
        <x:f>1000*(AA9-AA7)/(Z9-Z7)*Inputs!$C$11</x:f>
        <x:v>-1069.3317170548653</x:v>
      </x:c>
      <x:c r="AC8" s="48" t="n">
        <x:f>-2*AB8/Inputs!$C$13</x:f>
        <x:v>427.7326868219461</x:v>
      </x:c>
      <x:c r="AD8" s="48" t="n">
        <x:f>-2*AB8/Inputs!$C$14</x:f>
        <x:v>64.22412715044237</x:v>
      </x:c>
    </x:row>
    <x:row r="9">
      <x:c r="A9" s="48" t="n">
        <x:f>Model_Data!A9</x:f>
        <x:v>-56.5</x:v>
      </x:c>
      <x:c r="B9" s="48" t="n">
        <x:f>Model_Data!F9</x:f>
        <x:v>2641.700826955916</x:v>
      </x:c>
      <x:c r="C9" s="48" t="n">
        <x:f>(((SQRT((Model_Data!A9)^2+Inputs!$C$6^2+((Model_Data!B9)-((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(0.45*SIN(2*PI()*(((Model_Data!A9)/Inputs!$C$49)+Inputs!$C$47*0.137))+0.35*COS(2*PI()*(((Inputs!$C$6)/Inputs!$C$50)+Inputs!$C$47*0.173))+0.20*SIN(2*PI()*(((Model_Data!A9)+(Inputs!$C$6))/(0.5*(Inputs!$C$49+Inputs!$C$50))+Inputs!$C$47*0.097)))+0.30*(2*((SIN(((Model_Data!A9)*12.9898+(Inputs!$C$6)*78.233+Inputs!$C$47*37.719))*43758.5453)-INT((SIN(((Model_Data!A9)*12.9898+(Inputs!$C$6)*78.233+Inputs!$C$47*37.719))*43758.5453)))-1))))/1000)^2))-(((Model_Data!B9)-((Inputs!$C$51*(115*EXP(-(((0)-25)^2)/(4.5^2))+70*EXP(-(((0)+38)^2)/(7^2))*(0.55+0.45*SIN(2*PI()*(Model_Data!A9)/45))+24*SIN(2*PI()*(0)/9+(Model_Data!A9)/18)*EXP(-(((0)+5)^2)/(22^2))+18*SIN(2*PI()*(Model_Data!A9)/70))+Inputs!$C$28*EXP(-(((Model_Data!A9)-Inputs!$C$29)^2)/(2*Inputs!$C$31^2))*EXP(-(((0)-Inputs!$C$30)^2)/(2*Inputs!$C$32^2))+-Inputs!$C$33*EXP(-(((((Model_Data!A9)-Inputs!$C$34)^2)+(((0)-Inputs!$C$35)^2))/(2*Inputs!$C$36^2)))+Inputs!$C$37*(0.55*SIN(2*PI()*(Model_Data!A9)/Inputs!$C$39)+0.35*COS(2*PI()*(0)/Inputs!$C$40)+0.2*SIN(2*PI()*((Model_Data!A9)+(0))/(0.5*(Inputs!$C$39+Inputs!$C$40))))+Inputs!$C$38*SIN(2*PI()*(Model_Data!A9)/Inputs!$C$39)*SIN(2*PI()*(0)/Inputs!$C$40)+-Inputs!$C$41*EXP(-(((0)-Inputs!$C$43)^2)/(2*Inputs!$C$44^2))*EXP(-(((Model_Data!A9)-Inputs!$C$42)^2)/(2*Inputs!$C$45^2))+Inputs!$C$48*(0.70*(0.45*SIN(2*PI()*(((Model_Data!A9)/Inputs!$C$49)+Inputs!$C$47*0.137))+0.35*COS(2*PI()*(((0)/Inputs!$C$50)+Inputs!$C$47*0.173))+0.20*SIN(2*PI()*(((Model_Data!A9)+(0))/(0.5*(Inputs!$C$49+Inputs!$C$50))+Inputs!$C$47*0.097)))+0.30*(2*((SIN(((Model_Data!A9)*12.9898+(0)*78.233+Inputs!$C$47*37.719))*43758.5453)-INT((SIN(((Model_Data!A9)*12.9898+(0)*78.233+Inputs!$C$47*37.719))*43758.5453)))-1))))/1000)))*1000/Inputs!$C$12)</x:f>
        <x:v>2595.3523309634957</x:v>
      </x:c>
      <x:c r="D9" s="49"/>
      <x:c r="E9" s="48" t="n">
        <x:f>Model_Data!A9</x:f>
        <x:v>-56.5</x:v>
      </x:c>
      <x:c r="F9" s="48" t="n">
        <x:f>(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(0.45*SIN(2*PI()*(((Model_Data!A9)/Inputs!$C$49)+Inputs!$C$47*0.137))+0.35*COS(2*PI()*(((Inputs!$C$6)/Inputs!$C$50)+Inputs!$C$47*0.173))+0.20*SIN(2*PI()*(((Model_Data!A9)+(Inputs!$C$6))/(0.5*(Inputs!$C$49+Inputs!$C$50))+Inputs!$C$47*0.097)))+0.30*(2*((SIN(((Model_Data!A9)*12.9898+(Inputs!$C$6)*78.233+Inputs!$C$47*37.719))*43758.5453)-INT((SIN(((Model_Data!A9)*12.9898+(Inputs!$C$6)*78.233+Inputs!$C$47*37.719))*43758.5453)))-1)))</x:f>
        <x:v>141.4558244940569</x:v>
      </x:c>
      <x:c r="G9" s="48" t="n">
        <x:f>(Inputs!$C$51*(115*EXP(-(((0)-25)^2)/(4.5^2))+70*EXP(-(((0)+38)^2)/(7^2))*(0.55+0.45*SIN(2*PI()*(Model_Data!A9)/45))+24*SIN(2*PI()*(0)/9+(Model_Data!A9)/18)*EXP(-(((0)+5)^2)/(22^2))+18*SIN(2*PI()*(Model_Data!A9)/70))+Inputs!$C$28*EXP(-(((Model_Data!A9)-Inputs!$C$29)^2)/(2*Inputs!$C$31^2))*EXP(-(((0)-Inputs!$C$30)^2)/(2*Inputs!$C$32^2))+-Inputs!$C$33*EXP(-(((((Model_Data!A9)-Inputs!$C$34)^2)+(((0)-Inputs!$C$35)^2))/(2*Inputs!$C$36^2)))+Inputs!$C$37*(0.55*SIN(2*PI()*(Model_Data!A9)/Inputs!$C$39)+0.35*COS(2*PI()*(0)/Inputs!$C$40)+0.2*SIN(2*PI()*((Model_Data!A9)+(0))/(0.5*(Inputs!$C$39+Inputs!$C$40))))+Inputs!$C$38*SIN(2*PI()*(Model_Data!A9)/Inputs!$C$39)*SIN(2*PI()*(0)/Inputs!$C$40)+-Inputs!$C$41*EXP(-(((0)-Inputs!$C$43)^2)/(2*Inputs!$C$44^2))*EXP(-(((Model_Data!A9)-Inputs!$C$42)^2)/(2*Inputs!$C$45^2))+Inputs!$C$48*(0.70*(0.45*SIN(2*PI()*(((Model_Data!A9)/Inputs!$C$49)+Inputs!$C$47*0.137))+0.35*COS(2*PI()*(((0)/Inputs!$C$50)+Inputs!$C$47*0.173))+0.20*SIN(2*PI()*(((Model_Data!A9)+(0))/(0.5*(Inputs!$C$49+Inputs!$C$50))+Inputs!$C$47*0.097)))+0.30*(2*((SIN(((Model_Data!A9)*12.9898+(0)*78.233+Inputs!$C$47*37.719))*43758.5453)-INT((SIN(((Model_Data!A9)*12.9898+(0)*78.233+Inputs!$C$47*37.719))*43758.5453)))-1)))</x:f>
        <x:v>57.32564727891993</x:v>
      </x:c>
      <x:c r="H9" s="49"/>
      <x:c r="I9" s="48" t="n">
        <x:f>Model_Data!A9</x:f>
        <x:v>-56.5</x:v>
      </x:c>
      <x:c r="J9" s="48" t="n">
        <x:f>((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(0.45*SIN(2*PI()*(((Model_Data!A9)/Inputs!$C$49)+Inputs!$C$47*0.137))+0.35*COS(2*PI()*(((Inputs!$C$6)/Inputs!$C$50)+Inputs!$C$47*0.173))+0.20*SIN(2*PI()*(((Model_Data!A9)+(Inputs!$C$6))/(0.5*(Inputs!$C$49+Inputs!$C$50))+Inputs!$C$47*0.097)))+0.30*(2*((SIN(((Model_Data!A9)*12.9898+(Inputs!$C$6)*78.233+Inputs!$C$47*37.719))*43758.5453)-INT((SIN(((Model_Data!A9)*12.9898+(Inputs!$C$6)*78.233+Inputs!$C$47*37.719))*43758.5453)))-1))))-((Inputs!$C$51*(115*EXP(-(((0)-25)^2)/(4.5^2))+70*EXP(-(((0)+38)^2)/(7^2))*(0.55+0.45*SIN(2*PI()*(Model_Data!A9)/45))+24*SIN(2*PI()*(0)/9+(Model_Data!A9)/18)*EXP(-(((0)+5)^2)/(22^2))+18*SIN(2*PI()*(Model_Data!A9)/70))+Inputs!$C$28*EXP(-(((Model_Data!A9)-Inputs!$C$29)^2)/(2*Inputs!$C$31^2))*EXP(-(((0)-Inputs!$C$30)^2)/(2*Inputs!$C$32^2))+-Inputs!$C$33*EXP(-(((((Model_Data!A9)-Inputs!$C$34)^2)+(((0)-Inputs!$C$35)^2))/(2*Inputs!$C$36^2)))+Inputs!$C$37*(0.55*SIN(2*PI()*(Model_Data!A9)/Inputs!$C$39)+0.35*COS(2*PI()*(0)/Inputs!$C$40)+0.2*SIN(2*PI()*((Model_Data!A9)+(0))/(0.5*(Inputs!$C$39+Inputs!$C$40))))+Inputs!$C$38*SIN(2*PI()*(Model_Data!A9)/Inputs!$C$39)*SIN(2*PI()*(0)/Inputs!$C$40)+-Inputs!$C$41*EXP(-(((0)-Inputs!$C$43)^2)/(2*Inputs!$C$44^2))*EXP(-(((Model_Data!A9)-Inputs!$C$42)^2)/(2*Inputs!$C$45^2))+Inputs!$C$48*(0.70*(0.45*SIN(2*PI()*(((Model_Data!A9)/Inputs!$C$49)+Inputs!$C$47*0.137))+0.35*COS(2*PI()*(((0)/Inputs!$C$50)+Inputs!$C$47*0.173))+0.20*SIN(2*PI()*(((Model_Data!A9)+(0))/(0.5*(Inputs!$C$49+Inputs!$C$50))+Inputs!$C$47*0.097)))+0.30*(2*((SIN(((Model_Data!A9)*12.9898+(0)*78.233+Inputs!$C$47*37.719))*43758.5453)-INT((SIN(((Model_Data!A9)*12.9898+(0)*78.233+Inputs!$C$47*37.719))*43758.5453)))-1))))</x:f>
        <x:v>84.13017721513698</x:v>
      </x:c>
      <x:c r="K9" s="48" t="n">
        <x:f>-((((SQRT((Model_Data!A9)^2+Inputs!$C$6^2+((Model_Data!B9)-((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(0.45*SIN(2*PI()*(((Model_Data!A9)/Inputs!$C$49)+Inputs!$C$47*0.137))+0.35*COS(2*PI()*(((Inputs!$C$6)/Inputs!$C$50)+Inputs!$C$47*0.173))+0.20*SIN(2*PI()*(((Model_Data!A9)+(Inputs!$C$6))/(0.5*(Inputs!$C$49+Inputs!$C$50))+Inputs!$C$47*0.097)))+0.30*(2*((SIN(((Model_Data!A9)*12.9898+(Inputs!$C$6)*78.233+Inputs!$C$47*37.719))*43758.5453)-INT((SIN(((Model_Data!A9)*12.9898+(Inputs!$C$6)*78.233+Inputs!$C$47*37.719))*43758.5453)))-1))))/1000)^2))-(((Model_Data!B9)-((Inputs!$C$51*(115*EXP(-(((0)-25)^2)/(4.5^2))+70*EXP(-(((0)+38)^2)/(7^2))*(0.55+0.45*SIN(2*PI()*(Model_Data!A9)/45))+24*SIN(2*PI()*(0)/9+(Model_Data!A9)/18)*EXP(-(((0)+5)^2)/(22^2))+18*SIN(2*PI()*(Model_Data!A9)/70))+Inputs!$C$28*EXP(-(((Model_Data!A9)-Inputs!$C$29)^2)/(2*Inputs!$C$31^2))*EXP(-(((0)-Inputs!$C$30)^2)/(2*Inputs!$C$32^2))+-Inputs!$C$33*EXP(-(((((Model_Data!A9)-Inputs!$C$34)^2)+(((0)-Inputs!$C$35)^2))/(2*Inputs!$C$36^2)))+Inputs!$C$37*(0.55*SIN(2*PI()*(Model_Data!A9)/Inputs!$C$39)+0.35*COS(2*PI()*(0)/Inputs!$C$40)+0.2*SIN(2*PI()*((Model_Data!A9)+(0))/(0.5*(Inputs!$C$39+Inputs!$C$40))))+Inputs!$C$38*SIN(2*PI()*(Model_Data!A9)/Inputs!$C$39)*SIN(2*PI()*(0)/Inputs!$C$40)+-Inputs!$C$41*EXP(-(((0)-Inputs!$C$43)^2)/(2*Inputs!$C$44^2))*EXP(-(((Model_Data!A9)-Inputs!$C$42)^2)/(2*Inputs!$C$45^2))+Inputs!$C$48*(0.70*(0.45*SIN(2*PI()*(((Model_Data!A9)/Inputs!$C$49)+Inputs!$C$47*0.137))+0.35*COS(2*PI()*(((0)/Inputs!$C$50)+Inputs!$C$47*0.173))+0.20*SIN(2*PI()*(((Model_Data!A9)+(0))/(0.5*(Inputs!$C$49+Inputs!$C$50))+Inputs!$C$47*0.097)))+0.30*(2*((SIN(((Model_Data!A9)*12.9898+(0)*78.233+Inputs!$C$47*37.719))*43758.5453)-INT((SIN(((Model_Data!A9)*12.9898+(0)*78.233+Inputs!$C$47*37.719))*43758.5453)))-1))))/1000)))*1000/Inputs!$C$12)-Model_Data!F9)</x:f>
        <x:v>46.34849599242034</x:v>
      </x:c>
      <x:c r="L9" s="49"/>
      <x:c r="M9" s="48" t="n">
        <x:f>Model_Data!A9</x:f>
        <x:v>-56.5</x:v>
      </x:c>
      <x:c r="N9" s="48" t="n">
        <x:f>Model_Data!P9</x:f>
        <x:v>420.0084386675802</x:v>
      </x:c>
      <x:c r="O9" s="48" t="n">
        <x:f>AC9</x:f>
        <x:v>466.97982813939234</x:v>
      </x:c>
      <x:c r="P9" s="48" t="n">
        <x:f>Model_Data!Q9</x:f>
        <x:v>63.06433013026731</x:v>
      </x:c>
      <x:c r="Q9" s="48" t="n">
        <x:f>AD9</x:f>
        <x:v>70.11709131222108</x:v>
      </x:c>
      <x:c r="R9" s="49"/>
      <x:c r="S9" s="48" t="n">
        <x:f>Model_Data!A9</x:f>
        <x:v>-56.5</x:v>
      </x:c>
      <x:c r="T9" s="48" t="n">
        <x:f>Model_Data!B9-Inputs!$C$5</x:f>
        <x:v>3.5469444444444207</x:v>
      </x:c>
      <x:c r="U9" s="49"/>
      <x:c r="V9" s="48" t="n">
        <x:f>Model_Data!A9</x:f>
        <x:v>-56.5</x:v>
      </x:c>
      <x:c r="W9" s="48" t="n">
        <x:f>(-((((SQRT((Model_Data!A9)^2+Inputs!$C$6^2+((Model_Data!B9)-((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(0.45*SIN(2*PI()*(((Model_Data!A9)/Inputs!$C$49)+Inputs!$C$47*0.137))+0.35*COS(2*PI()*(((Inputs!$C$6)/Inputs!$C$50)+Inputs!$C$47*0.173))+0.20*SIN(2*PI()*(((Model_Data!A9)+(Inputs!$C$6))/(0.5*(Inputs!$C$49+Inputs!$C$50))+Inputs!$C$47*0.097)))+0.30*(2*((SIN(((Model_Data!A9)*12.9898+(Inputs!$C$6)*78.233+Inputs!$C$47*37.719))*43758.5453)-INT((SIN(((Model_Data!A9)*12.9898+(Inputs!$C$6)*78.233+Inputs!$C$47*37.719))*43758.5453)))-1))))/1000)^2))-(((Model_Data!B9)-((Inputs!$C$51*(115*EXP(-(((0)-25)^2)/(4.5^2))+70*EXP(-(((0)+38)^2)/(7^2))*(0.55+0.45*SIN(2*PI()*(Model_Data!A9)/45))+24*SIN(2*PI()*(0)/9+(Model_Data!A9)/18)*EXP(-(((0)+5)^2)/(22^2))+18*SIN(2*PI()*(Model_Data!A9)/70))+Inputs!$C$28*EXP(-(((Model_Data!A9)-Inputs!$C$29)^2)/(2*Inputs!$C$31^2))*EXP(-(((0)-Inputs!$C$30)^2)/(2*Inputs!$C$32^2))+-Inputs!$C$33*EXP(-(((((Model_Data!A9)-Inputs!$C$34)^2)+(((0)-Inputs!$C$35)^2))/(2*Inputs!$C$36^2)))+Inputs!$C$37*(0.55*SIN(2*PI()*(Model_Data!A9)/Inputs!$C$39)+0.35*COS(2*PI()*(0)/Inputs!$C$40)+0.2*SIN(2*PI()*((Model_Data!A9)+(0))/(0.5*(Inputs!$C$39+Inputs!$C$40))))+Inputs!$C$38*SIN(2*PI()*(Model_Data!A9)/Inputs!$C$39)*SIN(2*PI()*(0)/Inputs!$C$40)+-Inputs!$C$41*EXP(-(((0)-Inputs!$C$43)^2)/(2*Inputs!$C$44^2))*EXP(-(((Model_Data!A9)-Inputs!$C$42)^2)/(2*Inputs!$C$45^2))+Inputs!$C$48*(0.70*(0.45*SIN(2*PI()*(((Model_Data!A9)/Inputs!$C$49)+Inputs!$C$47*0.137))+0.35*COS(2*PI()*(((0)/Inputs!$C$50)+Inputs!$C$47*0.173))+0.20*SIN(2*PI()*(((Model_Data!A9)+(0))/(0.5*(Inputs!$C$49+Inputs!$C$50))+Inputs!$C$47*0.097)))+0.30*(2*((SIN(((Model_Data!A9)*12.9898+(0)*78.233+Inputs!$C$47*37.719))*43758.5453)-INT((SIN(((Model_Data!A9)*12.9898+(0)*78.233+Inputs!$C$47*37.719))*43758.5453)))-1))))/1000)))*1000/Inputs!$C$12)-Model_Data!F9))-(-(((SQRT((Model_Data!A9)^2+Inputs!$C$6^2+(Inputs!$C$5-((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(0.45*SIN(2*PI()*(((Model_Data!A9)/Inputs!$C$49)+Inputs!$C$47*0.137))+0.35*COS(2*PI()*(((Inputs!$C$6)/Inputs!$C$50)+Inputs!$C$47*0.173))+0.20*SIN(2*PI()*(((Model_Data!A9)+(Inputs!$C$6))/(0.5*(Inputs!$C$49+Inputs!$C$50))+Inputs!$C$47*0.097)))+0.30*(2*((SIN(((Model_Data!A9)*12.9898+(Inputs!$C$6)*78.233+Inputs!$C$47*37.719))*43758.5453)-INT((SIN(((Model_Data!A9)*12.9898+(Inputs!$C$6)*78.233+Inputs!$C$47*37.719))*43758.5453)))-1))))/1000)^2)-(Inputs!$C$5-((Inputs!$C$51*(115*EXP(-(((0)-25)^2)/(4.5^2))+70*EXP(-(((0)+38)^2)/(7^2))*(0.55+0.45*SIN(2*PI()*(Model_Data!A9)/45))+24*SIN(2*PI()*(0)/9+(Model_Data!A9)/18)*EXP(-(((0)+5)^2)/(22^2))+18*SIN(2*PI()*(Model_Data!A9)/70))+Inputs!$C$28*EXP(-(((Model_Data!A9)-Inputs!$C$29)^2)/(2*Inputs!$C$31^2))*EXP(-(((0)-Inputs!$C$30)^2)/(2*Inputs!$C$32^2))+-Inputs!$C$33*EXP(-(((((Model_Data!A9)-Inputs!$C$34)^2)+(((0)-Inputs!$C$35)^2))/(2*Inputs!$C$36^2)))+Inputs!$C$37*(0.55*SIN(2*PI()*(Model_Data!A9)/Inputs!$C$39)+0.35*COS(2*PI()*(0)/Inputs!$C$40)+0.2*SIN(2*PI()*((Model_Data!A9)+(0))/(0.5*(Inputs!$C$39+Inputs!$C$40))))+Inputs!$C$38*SIN(2*PI()*(Model_Data!A9)/Inputs!$C$39)*SIN(2*PI()*(0)/Inputs!$C$40)+-Inputs!$C$41*EXP(-(((0)-Inputs!$C$43)^2)/(2*Inputs!$C$44^2))*EXP(-(((Model_Data!A9)-Inputs!$C$42)^2)/(2*Inputs!$C$45^2))+Inputs!$C$48*(0.70*(0.45*SIN(2*PI()*(((Model_Data!A9)/Inputs!$C$49)+Inputs!$C$47*0.137))+0.35*COS(2*PI()*(((0)/Inputs!$C$50)+Inputs!$C$47*0.173))+0.20*SIN(2*PI()*(((Model_Data!A9)+(0))/(0.5*(Inputs!$C$49+Inputs!$C$50))+Inputs!$C$47*0.097)))+0.30*(2*((SIN(((Model_Data!A9)*12.9898+(0)*78.233+Inputs!$C$47*37.719))*43758.5453)-INT((SIN(((Model_Data!A9)*12.9898+(0)*78.233+Inputs!$C$47*37.719))*43758.5453)))-1))))/1000))*1000/Inputs!$C$12)-((SQRT((Model_Data!A9)^2+Inputs!$C$6^2+Inputs!$C$5^2)-Inputs!$C$5)*1000/Inputs!$C$12)))</x:f>
        <x:v>0.016027894262606424</x:v>
      </x:c>
      <x:c r="X9" s="48" t="n">
        <x:f>0</x:f>
        <x:v>0</x:v>
      </x:c>
      <x:c r="Y9" s="49"/>
      <x:c r="Z9" s="48" t="n">
        <x:f>Model_Data!A9</x:f>
        <x:v>-56.5</x:v>
      </x:c>
      <x:c r="AA9" s="48" t="n">
        <x:f>SQRT((Model_Data!A9)^2+Inputs!$C$6^2+((Model_Data!B9)-((Inputs!$C$51*(115*EXP(-(((Inputs!$C$6)-25)^2)/(4.5^2))+70*EXP(-(((Inputs!$C$6)+38)^2)/(7^2))*(0.55+0.45*SIN(2*PI()*(Model_Data!A9)/45))+24*SIN(2*PI()*(Inputs!$C$6)/9+(Model_Data!A9)/18)*EXP(-(((Inputs!$C$6)+5)^2)/(22^2))+18*SIN(2*PI()*(Model_Data!A9)/70))+Inputs!$C$28*EXP(-(((Model_Data!A9)-Inputs!$C$29)^2)/(2*Inputs!$C$31^2))*EXP(-(((Inputs!$C$6)-Inputs!$C$30)^2)/(2*Inputs!$C$32^2))+-Inputs!$C$33*EXP(-(((((Model_Data!A9)-Inputs!$C$34)^2)+(((Inputs!$C$6)-Inputs!$C$35)^2))/(2*Inputs!$C$36^2)))+Inputs!$C$37*(0.55*SIN(2*PI()*(Model_Data!A9)/Inputs!$C$39)+0.35*COS(2*PI()*(Inputs!$C$6)/Inputs!$C$40)+0.2*SIN(2*PI()*((Model_Data!A9)+(Inputs!$C$6))/(0.5*(Inputs!$C$39+Inputs!$C$40))))+Inputs!$C$38*SIN(2*PI()*(Model_Data!A9)/Inputs!$C$39)*SIN(2*PI()*(Inputs!$C$6)/Inputs!$C$40)+-Inputs!$C$41*EXP(-(((Inputs!$C$6)-Inputs!$C$43)^2)/(2*Inputs!$C$44^2))*EXP(-(((Model_Data!A9)-Inputs!$C$42)^2)/(2*Inputs!$C$45^2))+Inputs!$C$48*(0.70*(0.45*SIN(2*PI()*(((Model_Data!A9)/Inputs!$C$49)+Inputs!$C$47*0.137))+0.35*COS(2*PI()*(((Inputs!$C$6)/Inputs!$C$50)+Inputs!$C$47*0.173))+0.20*SIN(2*PI()*(((Model_Data!A9)+(Inputs!$C$6))/(0.5*(Inputs!$C$49+Inputs!$C$50))+Inputs!$C$47*0.097)))+0.30*(2*((SIN(((Model_Data!A9)*12.9898+(Inputs!$C$6)*78.233+Inputs!$C$47*37.719))*43758.5453)-INT((SIN(((Model_Data!A9)*12.9898+(Inputs!$C$6)*78.233+Inputs!$C$47*37.719))*43758.5453)))-1))))/1000)^2)</x:f>
        <x:v>408.10934594628054</x:v>
      </x:c>
      <x:c r="AB9" s="48" t="n">
        <x:f>1000*(AA10-AA8)/(Z10-Z8)*Inputs!$C$11</x:f>
        <x:v>-1167.4495703484808</x:v>
      </x:c>
      <x:c r="AC9" s="48" t="n">
        <x:f>-2*AB9/Inputs!$C$13</x:f>
        <x:v>466.97982813939234</x:v>
      </x:c>
      <x:c r="AD9" s="48" t="n">
        <x:f>-2*AB9/Inputs!$C$14</x:f>
        <x:v>70.11709131222108</x:v>
      </x:c>
    </x:row>
    <x:row r="10">
      <x:c r="A10" s="48" t="n">
        <x:f>Model_Data!A10</x:f>
        <x:v>-56</x:v>
      </x:c>
      <x:c r="B10" s="48" t="n">
        <x:f>Model_Data!F10</x:f>
        <x:v>2603.3929579329656</x:v>
      </x:c>
      <x:c r="C10" s="48" t="n">
        <x:f>(((SQRT((Model_Data!A10)^2+Inputs!$C$6^2+((Model_Data!B10)-((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(0.45*SIN(2*PI()*(((Model_Data!A10)/Inputs!$C$49)+Inputs!$C$47*0.137))+0.35*COS(2*PI()*(((Inputs!$C$6)/Inputs!$C$50)+Inputs!$C$47*0.173))+0.20*SIN(2*PI()*(((Model_Data!A10)+(Inputs!$C$6))/(0.5*(Inputs!$C$49+Inputs!$C$50))+Inputs!$C$47*0.097)))+0.30*(2*((SIN(((Model_Data!A10)*12.9898+(Inputs!$C$6)*78.233+Inputs!$C$47*37.719))*43758.5453)-INT((SIN(((Model_Data!A10)*12.9898+(Inputs!$C$6)*78.233+Inputs!$C$47*37.719))*43758.5453)))-1))))/1000)^2))-(((Model_Data!B10)-((Inputs!$C$51*(115*EXP(-(((0)-25)^2)/(4.5^2))+70*EXP(-(((0)+38)^2)/(7^2))*(0.55+0.45*SIN(2*PI()*(Model_Data!A10)/45))+24*SIN(2*PI()*(0)/9+(Model_Data!A10)/18)*EXP(-(((0)+5)^2)/(22^2))+18*SIN(2*PI()*(Model_Data!A10)/70))+Inputs!$C$28*EXP(-(((Model_Data!A10)-Inputs!$C$29)^2)/(2*Inputs!$C$31^2))*EXP(-(((0)-Inputs!$C$30)^2)/(2*Inputs!$C$32^2))+-Inputs!$C$33*EXP(-(((((Model_Data!A10)-Inputs!$C$34)^2)+(((0)-Inputs!$C$35)^2))/(2*Inputs!$C$36^2)))+Inputs!$C$37*(0.55*SIN(2*PI()*(Model_Data!A10)/Inputs!$C$39)+0.35*COS(2*PI()*(0)/Inputs!$C$40)+0.2*SIN(2*PI()*((Model_Data!A10)+(0))/(0.5*(Inputs!$C$39+Inputs!$C$40))))+Inputs!$C$38*SIN(2*PI()*(Model_Data!A10)/Inputs!$C$39)*SIN(2*PI()*(0)/Inputs!$C$40)+-Inputs!$C$41*EXP(-(((0)-Inputs!$C$43)^2)/(2*Inputs!$C$44^2))*EXP(-(((Model_Data!A10)-Inputs!$C$42)^2)/(2*Inputs!$C$45^2))+Inputs!$C$48*(0.70*(0.45*SIN(2*PI()*(((Model_Data!A10)/Inputs!$C$49)+Inputs!$C$47*0.137))+0.35*COS(2*PI()*(((0)/Inputs!$C$50)+Inputs!$C$47*0.173))+0.20*SIN(2*PI()*(((Model_Data!A10)+(0))/(0.5*(Inputs!$C$49+Inputs!$C$50))+Inputs!$C$47*0.097)))+0.30*(2*((SIN(((Model_Data!A10)*12.9898+(0)*78.233+Inputs!$C$47*37.719))*43758.5453)-INT((SIN(((Model_Data!A10)*12.9898+(0)*78.233+Inputs!$C$47*37.719))*43758.5453)))-1))))/1000)))*1000/Inputs!$C$12)</x:f>
        <x:v>2545.1584838335834</x:v>
      </x:c>
      <x:c r="D10" s="49"/>
      <x:c r="E10" s="48" t="n">
        <x:f>Model_Data!A10</x:f>
        <x:v>-56</x:v>
      </x:c>
      <x:c r="F10" s="48" t="n">
        <x:f>(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(0.45*SIN(2*PI()*(((Model_Data!A10)/Inputs!$C$49)+Inputs!$C$47*0.137))+0.35*COS(2*PI()*(((Inputs!$C$6)/Inputs!$C$50)+Inputs!$C$47*0.173))+0.20*SIN(2*PI()*(((Model_Data!A10)+(Inputs!$C$6))/(0.5*(Inputs!$C$49+Inputs!$C$50))+Inputs!$C$47*0.097)))+0.30*(2*((SIN(((Model_Data!A10)*12.9898+(Inputs!$C$6)*78.233+Inputs!$C$47*37.719))*43758.5453)-INT((SIN(((Model_Data!A10)*12.9898+(Inputs!$C$6)*78.233+Inputs!$C$47*37.719))*43758.5453)))-1)))</x:f>
        <x:v>167.1152389347629</x:v>
      </x:c>
      <x:c r="G10" s="48" t="n">
        <x:f>(Inputs!$C$51*(115*EXP(-(((0)-25)^2)/(4.5^2))+70*EXP(-(((0)+38)^2)/(7^2))*(0.55+0.45*SIN(2*PI()*(Model_Data!A10)/45))+24*SIN(2*PI()*(0)/9+(Model_Data!A10)/18)*EXP(-(((0)+5)^2)/(22^2))+18*SIN(2*PI()*(Model_Data!A10)/70))+Inputs!$C$28*EXP(-(((Model_Data!A10)-Inputs!$C$29)^2)/(2*Inputs!$C$31^2))*EXP(-(((0)-Inputs!$C$30)^2)/(2*Inputs!$C$32^2))+-Inputs!$C$33*EXP(-(((((Model_Data!A10)-Inputs!$C$34)^2)+(((0)-Inputs!$C$35)^2))/(2*Inputs!$C$36^2)))+Inputs!$C$37*(0.55*SIN(2*PI()*(Model_Data!A10)/Inputs!$C$39)+0.35*COS(2*PI()*(0)/Inputs!$C$40)+0.2*SIN(2*PI()*((Model_Data!A10)+(0))/(0.5*(Inputs!$C$39+Inputs!$C$40))))+Inputs!$C$38*SIN(2*PI()*(Model_Data!A10)/Inputs!$C$39)*SIN(2*PI()*(0)/Inputs!$C$40)+-Inputs!$C$41*EXP(-(((0)-Inputs!$C$43)^2)/(2*Inputs!$C$44^2))*EXP(-(((Model_Data!A10)-Inputs!$C$42)^2)/(2*Inputs!$C$45^2))+Inputs!$C$48*(0.70*(0.45*SIN(2*PI()*(((Model_Data!A10)/Inputs!$C$49)+Inputs!$C$47*0.137))+0.35*COS(2*PI()*(((0)/Inputs!$C$50)+Inputs!$C$47*0.173))+0.20*SIN(2*PI()*(((Model_Data!A10)+(0))/(0.5*(Inputs!$C$49+Inputs!$C$50))+Inputs!$C$47*0.097)))+0.30*(2*((SIN(((Model_Data!A10)*12.9898+(0)*78.233+Inputs!$C$47*37.719))*43758.5453)-INT((SIN(((Model_Data!A10)*12.9898+(0)*78.233+Inputs!$C$47*37.719))*43758.5453)))-1)))</x:f>
        <x:v>61.55956835196879</x:v>
      </x:c>
      <x:c r="H10" s="49"/>
      <x:c r="I10" s="48" t="n">
        <x:f>Model_Data!A10</x:f>
        <x:v>-56</x:v>
      </x:c>
      <x:c r="J10" s="48" t="n">
        <x:f>((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(0.45*SIN(2*PI()*(((Model_Data!A10)/Inputs!$C$49)+Inputs!$C$47*0.137))+0.35*COS(2*PI()*(((Inputs!$C$6)/Inputs!$C$50)+Inputs!$C$47*0.173))+0.20*SIN(2*PI()*(((Model_Data!A10)+(Inputs!$C$6))/(0.5*(Inputs!$C$49+Inputs!$C$50))+Inputs!$C$47*0.097)))+0.30*(2*((SIN(((Model_Data!A10)*12.9898+(Inputs!$C$6)*78.233+Inputs!$C$47*37.719))*43758.5453)-INT((SIN(((Model_Data!A10)*12.9898+(Inputs!$C$6)*78.233+Inputs!$C$47*37.719))*43758.5453)))-1))))-((Inputs!$C$51*(115*EXP(-(((0)-25)^2)/(4.5^2))+70*EXP(-(((0)+38)^2)/(7^2))*(0.55+0.45*SIN(2*PI()*(Model_Data!A10)/45))+24*SIN(2*PI()*(0)/9+(Model_Data!A10)/18)*EXP(-(((0)+5)^2)/(22^2))+18*SIN(2*PI()*(Model_Data!A10)/70))+Inputs!$C$28*EXP(-(((Model_Data!A10)-Inputs!$C$29)^2)/(2*Inputs!$C$31^2))*EXP(-(((0)-Inputs!$C$30)^2)/(2*Inputs!$C$32^2))+-Inputs!$C$33*EXP(-(((((Model_Data!A10)-Inputs!$C$34)^2)+(((0)-Inputs!$C$35)^2))/(2*Inputs!$C$36^2)))+Inputs!$C$37*(0.55*SIN(2*PI()*(Model_Data!A10)/Inputs!$C$39)+0.35*COS(2*PI()*(0)/Inputs!$C$40)+0.2*SIN(2*PI()*((Model_Data!A10)+(0))/(0.5*(Inputs!$C$39+Inputs!$C$40))))+Inputs!$C$38*SIN(2*PI()*(Model_Data!A10)/Inputs!$C$39)*SIN(2*PI()*(0)/Inputs!$C$40)+-Inputs!$C$41*EXP(-(((0)-Inputs!$C$43)^2)/(2*Inputs!$C$44^2))*EXP(-(((Model_Data!A10)-Inputs!$C$42)^2)/(2*Inputs!$C$45^2))+Inputs!$C$48*(0.70*(0.45*SIN(2*PI()*(((Model_Data!A10)/Inputs!$C$49)+Inputs!$C$47*0.137))+0.35*COS(2*PI()*(((0)/Inputs!$C$50)+Inputs!$C$47*0.173))+0.20*SIN(2*PI()*(((Model_Data!A10)+(0))/(0.5*(Inputs!$C$49+Inputs!$C$50))+Inputs!$C$47*0.097)))+0.30*(2*((SIN(((Model_Data!A10)*12.9898+(0)*78.233+Inputs!$C$47*37.719))*43758.5453)-INT((SIN(((Model_Data!A10)*12.9898+(0)*78.233+Inputs!$C$47*37.719))*43758.5453)))-1))))</x:f>
        <x:v>105.55567058279412</x:v>
      </x:c>
      <x:c r="K10" s="48" t="n">
        <x:f>-((((SQRT((Model_Data!A10)^2+Inputs!$C$6^2+((Model_Data!B10)-((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(0.45*SIN(2*PI()*(((Model_Data!A10)/Inputs!$C$49)+Inputs!$C$47*0.137))+0.35*COS(2*PI()*(((Inputs!$C$6)/Inputs!$C$50)+Inputs!$C$47*0.173))+0.20*SIN(2*PI()*(((Model_Data!A10)+(Inputs!$C$6))/(0.5*(Inputs!$C$49+Inputs!$C$50))+Inputs!$C$47*0.097)))+0.30*(2*((SIN(((Model_Data!A10)*12.9898+(Inputs!$C$6)*78.233+Inputs!$C$47*37.719))*43758.5453)-INT((SIN(((Model_Data!A10)*12.9898+(Inputs!$C$6)*78.233+Inputs!$C$47*37.719))*43758.5453)))-1))))/1000)^2))-(((Model_Data!B10)-((Inputs!$C$51*(115*EXP(-(((0)-25)^2)/(4.5^2))+70*EXP(-(((0)+38)^2)/(7^2))*(0.55+0.45*SIN(2*PI()*(Model_Data!A10)/45))+24*SIN(2*PI()*(0)/9+(Model_Data!A10)/18)*EXP(-(((0)+5)^2)/(22^2))+18*SIN(2*PI()*(Model_Data!A10)/70))+Inputs!$C$28*EXP(-(((Model_Data!A10)-Inputs!$C$29)^2)/(2*Inputs!$C$31^2))*EXP(-(((0)-Inputs!$C$30)^2)/(2*Inputs!$C$32^2))+-Inputs!$C$33*EXP(-(((((Model_Data!A10)-Inputs!$C$34)^2)+(((0)-Inputs!$C$35)^2))/(2*Inputs!$C$36^2)))+Inputs!$C$37*(0.55*SIN(2*PI()*(Model_Data!A10)/Inputs!$C$39)+0.35*COS(2*PI()*(0)/Inputs!$C$40)+0.2*SIN(2*PI()*((Model_Data!A10)+(0))/(0.5*(Inputs!$C$39+Inputs!$C$40))))+Inputs!$C$38*SIN(2*PI()*(Model_Data!A10)/Inputs!$C$39)*SIN(2*PI()*(0)/Inputs!$C$40)+-Inputs!$C$41*EXP(-(((0)-Inputs!$C$43)^2)/(2*Inputs!$C$44^2))*EXP(-(((Model_Data!A10)-Inputs!$C$42)^2)/(2*Inputs!$C$45^2))+Inputs!$C$48*(0.70*(0.45*SIN(2*PI()*(((Model_Data!A10)/Inputs!$C$49)+Inputs!$C$47*0.137))+0.35*COS(2*PI()*(((0)/Inputs!$C$50)+Inputs!$C$47*0.173))+0.20*SIN(2*PI()*(((Model_Data!A10)+(0))/(0.5*(Inputs!$C$49+Inputs!$C$50))+Inputs!$C$47*0.097)))+0.30*(2*((SIN(((Model_Data!A10)*12.9898+(0)*78.233+Inputs!$C$47*37.719))*43758.5453)-INT((SIN(((Model_Data!A10)*12.9898+(0)*78.233+Inputs!$C$47*37.719))*43758.5453)))-1))))/1000)))*1000/Inputs!$C$12)-Model_Data!F10)</x:f>
        <x:v>58.23447409938217</x:v>
      </x:c>
      <x:c r="L10" s="49"/>
      <x:c r="M10" s="48" t="n">
        <x:f>Model_Data!A10</x:f>
        <x:v>-56</x:v>
      </x:c>
      <x:c r="N10" s="48" t="n">
        <x:f>Model_Data!P10</x:f>
        <x:v>416.39436278764407</x:v>
      </x:c>
      <x:c r="O10" s="48" t="n">
        <x:f>AC10</x:f>
        <x:v>446.7226709037277</x:v>
      </x:c>
      <x:c r="P10" s="48" t="n">
        <x:f>Model_Data!Q10</x:f>
        <x:v>62.52167609424085</x:v>
      </x:c>
      <x:c r="Q10" s="48" t="n">
        <x:f>AD10</x:f>
        <x:v>67.07547611167084</x:v>
      </x:c>
      <x:c r="R10" s="49"/>
      <x:c r="S10" s="48" t="n">
        <x:f>Model_Data!A10</x:f>
        <x:v>-56</x:v>
      </x:c>
      <x:c r="T10" s="48" t="n">
        <x:f>Model_Data!B10-Inputs!$C$5</x:f>
        <x:v>3.4844444444444207</x:v>
      </x:c>
      <x:c r="U10" s="49"/>
      <x:c r="V10" s="48" t="n">
        <x:f>Model_Data!A10</x:f>
        <x:v>-56</x:v>
      </x:c>
      <x:c r="W10" s="48" t="n">
        <x:f>(-((((SQRT((Model_Data!A10)^2+Inputs!$C$6^2+((Model_Data!B10)-((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(0.45*SIN(2*PI()*(((Model_Data!A10)/Inputs!$C$49)+Inputs!$C$47*0.137))+0.35*COS(2*PI()*(((Inputs!$C$6)/Inputs!$C$50)+Inputs!$C$47*0.173))+0.20*SIN(2*PI()*(((Model_Data!A10)+(Inputs!$C$6))/(0.5*(Inputs!$C$49+Inputs!$C$50))+Inputs!$C$47*0.097)))+0.30*(2*((SIN(((Model_Data!A10)*12.9898+(Inputs!$C$6)*78.233+Inputs!$C$47*37.719))*43758.5453)-INT((SIN(((Model_Data!A10)*12.9898+(Inputs!$C$6)*78.233+Inputs!$C$47*37.719))*43758.5453)))-1))))/1000)^2))-(((Model_Data!B10)-((Inputs!$C$51*(115*EXP(-(((0)-25)^2)/(4.5^2))+70*EXP(-(((0)+38)^2)/(7^2))*(0.55+0.45*SIN(2*PI()*(Model_Data!A10)/45))+24*SIN(2*PI()*(0)/9+(Model_Data!A10)/18)*EXP(-(((0)+5)^2)/(22^2))+18*SIN(2*PI()*(Model_Data!A10)/70))+Inputs!$C$28*EXP(-(((Model_Data!A10)-Inputs!$C$29)^2)/(2*Inputs!$C$31^2))*EXP(-(((0)-Inputs!$C$30)^2)/(2*Inputs!$C$32^2))+-Inputs!$C$33*EXP(-(((((Model_Data!A10)-Inputs!$C$34)^2)+(((0)-Inputs!$C$35)^2))/(2*Inputs!$C$36^2)))+Inputs!$C$37*(0.55*SIN(2*PI()*(Model_Data!A10)/Inputs!$C$39)+0.35*COS(2*PI()*(0)/Inputs!$C$40)+0.2*SIN(2*PI()*((Model_Data!A10)+(0))/(0.5*(Inputs!$C$39+Inputs!$C$40))))+Inputs!$C$38*SIN(2*PI()*(Model_Data!A10)/Inputs!$C$39)*SIN(2*PI()*(0)/Inputs!$C$40)+-Inputs!$C$41*EXP(-(((0)-Inputs!$C$43)^2)/(2*Inputs!$C$44^2))*EXP(-(((Model_Data!A10)-Inputs!$C$42)^2)/(2*Inputs!$C$45^2))+Inputs!$C$48*(0.70*(0.45*SIN(2*PI()*(((Model_Data!A10)/Inputs!$C$49)+Inputs!$C$47*0.137))+0.35*COS(2*PI()*(((0)/Inputs!$C$50)+Inputs!$C$47*0.173))+0.20*SIN(2*PI()*(((Model_Data!A10)+(0))/(0.5*(Inputs!$C$49+Inputs!$C$50))+Inputs!$C$47*0.097)))+0.30*(2*((SIN(((Model_Data!A10)*12.9898+(0)*78.233+Inputs!$C$47*37.719))*43758.5453)-INT((SIN(((Model_Data!A10)*12.9898+(0)*78.233+Inputs!$C$47*37.719))*43758.5453)))-1))))/1000)))*1000/Inputs!$C$12)-Model_Data!F10))-(-(((SQRT((Model_Data!A10)^2+Inputs!$C$6^2+(Inputs!$C$5-((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(0.45*SIN(2*PI()*(((Model_Data!A10)/Inputs!$C$49)+Inputs!$C$47*0.137))+0.35*COS(2*PI()*(((Inputs!$C$6)/Inputs!$C$50)+Inputs!$C$47*0.173))+0.20*SIN(2*PI()*(((Model_Data!A10)+(Inputs!$C$6))/(0.5*(Inputs!$C$49+Inputs!$C$50))+Inputs!$C$47*0.097)))+0.30*(2*((SIN(((Model_Data!A10)*12.9898+(Inputs!$C$6)*78.233+Inputs!$C$47*37.719))*43758.5453)-INT((SIN(((Model_Data!A10)*12.9898+(Inputs!$C$6)*78.233+Inputs!$C$47*37.719))*43758.5453)))-1))))/1000)^2)-(Inputs!$C$5-((Inputs!$C$51*(115*EXP(-(((0)-25)^2)/(4.5^2))+70*EXP(-(((0)+38)^2)/(7^2))*(0.55+0.45*SIN(2*PI()*(Model_Data!A10)/45))+24*SIN(2*PI()*(0)/9+(Model_Data!A10)/18)*EXP(-(((0)+5)^2)/(22^2))+18*SIN(2*PI()*(Model_Data!A10)/70))+Inputs!$C$28*EXP(-(((Model_Data!A10)-Inputs!$C$29)^2)/(2*Inputs!$C$31^2))*EXP(-(((0)-Inputs!$C$30)^2)/(2*Inputs!$C$32^2))+-Inputs!$C$33*EXP(-(((((Model_Data!A10)-Inputs!$C$34)^2)+(((0)-Inputs!$C$35)^2))/(2*Inputs!$C$36^2)))+Inputs!$C$37*(0.55*SIN(2*PI()*(Model_Data!A10)/Inputs!$C$39)+0.35*COS(2*PI()*(0)/Inputs!$C$40)+0.2*SIN(2*PI()*((Model_Data!A10)+(0))/(0.5*(Inputs!$C$39+Inputs!$C$40))))+Inputs!$C$38*SIN(2*PI()*(Model_Data!A10)/Inputs!$C$39)*SIN(2*PI()*(0)/Inputs!$C$40)+-Inputs!$C$41*EXP(-(((0)-Inputs!$C$43)^2)/(2*Inputs!$C$44^2))*EXP(-(((Model_Data!A10)-Inputs!$C$42)^2)/(2*Inputs!$C$45^2))+Inputs!$C$48*(0.70*(0.45*SIN(2*PI()*(((Model_Data!A10)/Inputs!$C$49)+Inputs!$C$47*0.137))+0.35*COS(2*PI()*(((0)/Inputs!$C$50)+Inputs!$C$47*0.173))+0.20*SIN(2*PI()*(((Model_Data!A10)+(0))/(0.5*(Inputs!$C$49+Inputs!$C$50))+Inputs!$C$47*0.097)))+0.30*(2*((SIN(((Model_Data!A10)*12.9898+(0)*78.233+Inputs!$C$47*37.719))*43758.5453)-INT((SIN(((Model_Data!A10)*12.9898+(0)*78.233+Inputs!$C$47*37.719))*43758.5453)))-1))))/1000))*1000/Inputs!$C$12)-((SQRT((Model_Data!A10)^2+Inputs!$C$6^2+Inputs!$C$5^2)-Inputs!$C$5)*1000/Inputs!$C$12)))</x:f>
        <x:v>0.01834275793271445</x:v>
      </x:c>
      <x:c r="X10" s="48" t="n">
        <x:f>0</x:f>
        <x:v>0</x:v>
      </x:c>
      <x:c r="Y10" s="49"/>
      <x:c r="Z10" s="48" t="n">
        <x:f>Model_Data!A10</x:f>
        <x:v>-56</x:v>
      </x:c>
      <x:c r="AA10" s="48" t="n">
        <x:f>SQRT((Model_Data!A10)^2+Inputs!$C$6^2+((Model_Data!B10)-((Inputs!$C$51*(115*EXP(-(((Inputs!$C$6)-25)^2)/(4.5^2))+70*EXP(-(((Inputs!$C$6)+38)^2)/(7^2))*(0.55+0.45*SIN(2*PI()*(Model_Data!A10)/45))+24*SIN(2*PI()*(Inputs!$C$6)/9+(Model_Data!A10)/18)*EXP(-(((Inputs!$C$6)+5)^2)/(22^2))+18*SIN(2*PI()*(Model_Data!A10)/70))+Inputs!$C$28*EXP(-(((Model_Data!A10)-Inputs!$C$29)^2)/(2*Inputs!$C$31^2))*EXP(-(((Inputs!$C$6)-Inputs!$C$30)^2)/(2*Inputs!$C$32^2))+-Inputs!$C$33*EXP(-(((((Model_Data!A10)-Inputs!$C$34)^2)+(((Inputs!$C$6)-Inputs!$C$35)^2))/(2*Inputs!$C$36^2)))+Inputs!$C$37*(0.55*SIN(2*PI()*(Model_Data!A10)/Inputs!$C$39)+0.35*COS(2*PI()*(Inputs!$C$6)/Inputs!$C$40)+0.2*SIN(2*PI()*((Model_Data!A10)+(Inputs!$C$6))/(0.5*(Inputs!$C$39+Inputs!$C$40))))+Inputs!$C$38*SIN(2*PI()*(Model_Data!A10)/Inputs!$C$39)*SIN(2*PI()*(Inputs!$C$6)/Inputs!$C$40)+-Inputs!$C$41*EXP(-(((Inputs!$C$6)-Inputs!$C$43)^2)/(2*Inputs!$C$44^2))*EXP(-(((Model_Data!A10)-Inputs!$C$42)^2)/(2*Inputs!$C$45^2))+Inputs!$C$48*(0.70*(0.45*SIN(2*PI()*(((Model_Data!A10)/Inputs!$C$49)+Inputs!$C$47*0.137))+0.35*COS(2*PI()*(((Inputs!$C$6)/Inputs!$C$50)+Inputs!$C$47*0.173))+0.20*SIN(2*PI()*(((Model_Data!A10)+(Inputs!$C$6))/(0.5*(Inputs!$C$49+Inputs!$C$50))+Inputs!$C$47*0.097)))+0.30*(2*((SIN(((Model_Data!A10)*12.9898+(Inputs!$C$6)*78.233+Inputs!$C$47*37.719))*43758.5453)-INT((SIN(((Model_Data!A10)*12.9898+(Inputs!$C$6)*78.233+Inputs!$C$47*37.719))*43758.5453)))-1))))/1000)^2)</x:f>
        <x:v>407.9532669773162</x:v>
      </x:c>
      <x:c r="AB10" s="48" t="n">
        <x:f>1000*(AA11-AA9)/(Z11-Z9)*Inputs!$C$11</x:f>
        <x:v>-1116.8066772593193</x:v>
      </x:c>
      <x:c r="AC10" s="48" t="n">
        <x:f>-2*AB10/Inputs!$C$13</x:f>
        <x:v>446.7226709037277</x:v>
      </x:c>
      <x:c r="AD10" s="48" t="n">
        <x:f>-2*AB10/Inputs!$C$14</x:f>
        <x:v>67.07547611167084</x:v>
      </x:c>
    </x:row>
    <x:row r="11">
      <x:c r="A11" s="48" t="n">
        <x:f>Model_Data!A11</x:f>
        <x:v>-55.5</x:v>
      </x:c>
      <x:c r="B11" s="48" t="n">
        <x:f>Model_Data!F11</x:f>
        <x:v>2565.4077051733684</x:v>
      </x:c>
      <x:c r="C11" s="48" t="n">
        <x:f>(((SQRT((Model_Data!A11)^2+Inputs!$C$6^2+((Model_Data!B11)-((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(0.45*SIN(2*PI()*(((Model_Data!A11)/Inputs!$C$49)+Inputs!$C$47*0.137))+0.35*COS(2*PI()*(((Inputs!$C$6)/Inputs!$C$50)+Inputs!$C$47*0.173))+0.20*SIN(2*PI()*(((Model_Data!A11)+(Inputs!$C$6))/(0.5*(Inputs!$C$49+Inputs!$C$50))+Inputs!$C$47*0.097)))+0.30*(2*((SIN(((Model_Data!A11)*12.9898+(Inputs!$C$6)*78.233+Inputs!$C$47*37.719))*43758.5453)-INT((SIN(((Model_Data!A11)*12.9898+(Inputs!$C$6)*78.233+Inputs!$C$47*37.719))*43758.5453)))-1))))/1000)^2))-(((Model_Data!B11)-((Inputs!$C$51*(115*EXP(-(((0)-25)^2)/(4.5^2))+70*EXP(-(((0)+38)^2)/(7^2))*(0.55+0.45*SIN(2*PI()*(Model_Data!A11)/45))+24*SIN(2*PI()*(0)/9+(Model_Data!A11)/18)*EXP(-(((0)+5)^2)/(22^2))+18*SIN(2*PI()*(Model_Data!A11)/70))+Inputs!$C$28*EXP(-(((Model_Data!A11)-Inputs!$C$29)^2)/(2*Inputs!$C$31^2))*EXP(-(((0)-Inputs!$C$30)^2)/(2*Inputs!$C$32^2))+-Inputs!$C$33*EXP(-(((((Model_Data!A11)-Inputs!$C$34)^2)+(((0)-Inputs!$C$35)^2))/(2*Inputs!$C$36^2)))+Inputs!$C$37*(0.55*SIN(2*PI()*(Model_Data!A11)/Inputs!$C$39)+0.35*COS(2*PI()*(0)/Inputs!$C$40)+0.2*SIN(2*PI()*((Model_Data!A11)+(0))/(0.5*(Inputs!$C$39+Inputs!$C$40))))+Inputs!$C$38*SIN(2*PI()*(Model_Data!A11)/Inputs!$C$39)*SIN(2*PI()*(0)/Inputs!$C$40)+-Inputs!$C$41*EXP(-(((0)-Inputs!$C$43)^2)/(2*Inputs!$C$44^2))*EXP(-(((Model_Data!A11)-Inputs!$C$42)^2)/(2*Inputs!$C$45^2))+Inputs!$C$48*(0.70*(0.45*SIN(2*PI()*(((Model_Data!A11)/Inputs!$C$49)+Inputs!$C$47*0.137))+0.35*COS(2*PI()*(((0)/Inputs!$C$50)+Inputs!$C$47*0.173))+0.20*SIN(2*PI()*(((Model_Data!A11)+(0))/(0.5*(Inputs!$C$49+Inputs!$C$50))+Inputs!$C$47*0.097)))+0.30*(2*((SIN(((Model_Data!A11)*12.9898+(0)*78.233+Inputs!$C$47*37.719))*43758.5453)-INT((SIN(((Model_Data!A11)*12.9898+(0)*78.233+Inputs!$C$47*37.719))*43758.5453)))-1))))/1000)))*1000/Inputs!$C$12)</x:f>
        <x:v>2497.831943332401</x:v>
      </x:c>
      <x:c r="D11" s="49"/>
      <x:c r="E11" s="48" t="n">
        <x:f>Model_Data!A11</x:f>
        <x:v>-55.5</x:v>
      </x:c>
      <x:c r="F11" s="48" t="n">
        <x:f>(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(0.45*SIN(2*PI()*(((Model_Data!A11)/Inputs!$C$49)+Inputs!$C$47*0.137))+0.35*COS(2*PI()*(((Inputs!$C$6)/Inputs!$C$50)+Inputs!$C$47*0.173))+0.20*SIN(2*PI()*(((Model_Data!A11)+(Inputs!$C$6))/(0.5*(Inputs!$C$49+Inputs!$C$50))+Inputs!$C$47*0.097)))+0.30*(2*((SIN(((Model_Data!A11)*12.9898+(Inputs!$C$6)*78.233+Inputs!$C$47*37.719))*43758.5453)-INT((SIN(((Model_Data!A11)*12.9898+(Inputs!$C$6)*78.233+Inputs!$C$47*37.719))*43758.5453)))-1)))</x:f>
        <x:v>160.57943103446084</x:v>
      </x:c>
      <x:c r="G11" s="48" t="n">
        <x:f>(Inputs!$C$51*(115*EXP(-(((0)-25)^2)/(4.5^2))+70*EXP(-(((0)+38)^2)/(7^2))*(0.55+0.45*SIN(2*PI()*(Model_Data!A11)/45))+24*SIN(2*PI()*(0)/9+(Model_Data!A11)/18)*EXP(-(((0)+5)^2)/(22^2))+18*SIN(2*PI()*(Model_Data!A11)/70))+Inputs!$C$28*EXP(-(((Model_Data!A11)-Inputs!$C$29)^2)/(2*Inputs!$C$31^2))*EXP(-(((0)-Inputs!$C$30)^2)/(2*Inputs!$C$32^2))+-Inputs!$C$33*EXP(-(((((Model_Data!A11)-Inputs!$C$34)^2)+(((0)-Inputs!$C$35)^2))/(2*Inputs!$C$36^2)))+Inputs!$C$37*(0.55*SIN(2*PI()*(Model_Data!A11)/Inputs!$C$39)+0.35*COS(2*PI()*(0)/Inputs!$C$40)+0.2*SIN(2*PI()*((Model_Data!A11)+(0))/(0.5*(Inputs!$C$39+Inputs!$C$40))))+Inputs!$C$38*SIN(2*PI()*(Model_Data!A11)/Inputs!$C$39)*SIN(2*PI()*(0)/Inputs!$C$40)+-Inputs!$C$41*EXP(-(((0)-Inputs!$C$43)^2)/(2*Inputs!$C$44^2))*EXP(-(((Model_Data!A11)-Inputs!$C$42)^2)/(2*Inputs!$C$45^2))+Inputs!$C$48*(0.70*(0.45*SIN(2*PI()*(((Model_Data!A11)/Inputs!$C$49)+Inputs!$C$47*0.137))+0.35*COS(2*PI()*(((0)/Inputs!$C$50)+Inputs!$C$47*0.173))+0.20*SIN(2*PI()*(((Model_Data!A11)+(0))/(0.5*(Inputs!$C$49+Inputs!$C$50))+Inputs!$C$47*0.097)))+0.30*(2*((SIN(((Model_Data!A11)*12.9898+(0)*78.233+Inputs!$C$47*37.719))*43758.5453)-INT((SIN(((Model_Data!A11)*12.9898+(0)*78.233+Inputs!$C$47*37.719))*43758.5453)))-1)))</x:f>
        <x:v>38.49658216595124</x:v>
      </x:c>
      <x:c r="H11" s="49"/>
      <x:c r="I11" s="48" t="n">
        <x:f>Model_Data!A11</x:f>
        <x:v>-55.5</x:v>
      </x:c>
      <x:c r="J11" s="48" t="n">
        <x:f>((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(0.45*SIN(2*PI()*(((Model_Data!A11)/Inputs!$C$49)+Inputs!$C$47*0.137))+0.35*COS(2*PI()*(((Inputs!$C$6)/Inputs!$C$50)+Inputs!$C$47*0.173))+0.20*SIN(2*PI()*(((Model_Data!A11)+(Inputs!$C$6))/(0.5*(Inputs!$C$49+Inputs!$C$50))+Inputs!$C$47*0.097)))+0.30*(2*((SIN(((Model_Data!A11)*12.9898+(Inputs!$C$6)*78.233+Inputs!$C$47*37.719))*43758.5453)-INT((SIN(((Model_Data!A11)*12.9898+(Inputs!$C$6)*78.233+Inputs!$C$47*37.719))*43758.5453)))-1))))-((Inputs!$C$51*(115*EXP(-(((0)-25)^2)/(4.5^2))+70*EXP(-(((0)+38)^2)/(7^2))*(0.55+0.45*SIN(2*PI()*(Model_Data!A11)/45))+24*SIN(2*PI()*(0)/9+(Model_Data!A11)/18)*EXP(-(((0)+5)^2)/(22^2))+18*SIN(2*PI()*(Model_Data!A11)/70))+Inputs!$C$28*EXP(-(((Model_Data!A11)-Inputs!$C$29)^2)/(2*Inputs!$C$31^2))*EXP(-(((0)-Inputs!$C$30)^2)/(2*Inputs!$C$32^2))+-Inputs!$C$33*EXP(-(((((Model_Data!A11)-Inputs!$C$34)^2)+(((0)-Inputs!$C$35)^2))/(2*Inputs!$C$36^2)))+Inputs!$C$37*(0.55*SIN(2*PI()*(Model_Data!A11)/Inputs!$C$39)+0.35*COS(2*PI()*(0)/Inputs!$C$40)+0.2*SIN(2*PI()*((Model_Data!A11)+(0))/(0.5*(Inputs!$C$39+Inputs!$C$40))))+Inputs!$C$38*SIN(2*PI()*(Model_Data!A11)/Inputs!$C$39)*SIN(2*PI()*(0)/Inputs!$C$40)+-Inputs!$C$41*EXP(-(((0)-Inputs!$C$43)^2)/(2*Inputs!$C$44^2))*EXP(-(((Model_Data!A11)-Inputs!$C$42)^2)/(2*Inputs!$C$45^2))+Inputs!$C$48*(0.70*(0.45*SIN(2*PI()*(((Model_Data!A11)/Inputs!$C$49)+Inputs!$C$47*0.137))+0.35*COS(2*PI()*(((0)/Inputs!$C$50)+Inputs!$C$47*0.173))+0.20*SIN(2*PI()*(((Model_Data!A11)+(0))/(0.5*(Inputs!$C$49+Inputs!$C$50))+Inputs!$C$47*0.097)))+0.30*(2*((SIN(((Model_Data!A11)*12.9898+(0)*78.233+Inputs!$C$47*37.719))*43758.5453)-INT((SIN(((Model_Data!A11)*12.9898+(0)*78.233+Inputs!$C$47*37.719))*43758.5453)))-1))))</x:f>
        <x:v>122.0828488685096</x:v>
      </x:c>
      <x:c r="K11" s="48" t="n">
        <x:f>-((((SQRT((Model_Data!A11)^2+Inputs!$C$6^2+((Model_Data!B11)-((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(0.45*SIN(2*PI()*(((Model_Data!A11)/Inputs!$C$49)+Inputs!$C$47*0.137))+0.35*COS(2*PI()*(((Inputs!$C$6)/Inputs!$C$50)+Inputs!$C$47*0.173))+0.20*SIN(2*PI()*(((Model_Data!A11)+(Inputs!$C$6))/(0.5*(Inputs!$C$49+Inputs!$C$50))+Inputs!$C$47*0.097)))+0.30*(2*((SIN(((Model_Data!A11)*12.9898+(Inputs!$C$6)*78.233+Inputs!$C$47*37.719))*43758.5453)-INT((SIN(((Model_Data!A11)*12.9898+(Inputs!$C$6)*78.233+Inputs!$C$47*37.719))*43758.5453)))-1))))/1000)^2))-(((Model_Data!B11)-((Inputs!$C$51*(115*EXP(-(((0)-25)^2)/(4.5^2))+70*EXP(-(((0)+38)^2)/(7^2))*(0.55+0.45*SIN(2*PI()*(Model_Data!A11)/45))+24*SIN(2*PI()*(0)/9+(Model_Data!A11)/18)*EXP(-(((0)+5)^2)/(22^2))+18*SIN(2*PI()*(Model_Data!A11)/70))+Inputs!$C$28*EXP(-(((Model_Data!A11)-Inputs!$C$29)^2)/(2*Inputs!$C$31^2))*EXP(-(((0)-Inputs!$C$30)^2)/(2*Inputs!$C$32^2))+-Inputs!$C$33*EXP(-(((((Model_Data!A11)-Inputs!$C$34)^2)+(((0)-Inputs!$C$35)^2))/(2*Inputs!$C$36^2)))+Inputs!$C$37*(0.55*SIN(2*PI()*(Model_Data!A11)/Inputs!$C$39)+0.35*COS(2*PI()*(0)/Inputs!$C$40)+0.2*SIN(2*PI()*((Model_Data!A11)+(0))/(0.5*(Inputs!$C$39+Inputs!$C$40))))+Inputs!$C$38*SIN(2*PI()*(Model_Data!A11)/Inputs!$C$39)*SIN(2*PI()*(0)/Inputs!$C$40)+-Inputs!$C$41*EXP(-(((0)-Inputs!$C$43)^2)/(2*Inputs!$C$44^2))*EXP(-(((Model_Data!A11)-Inputs!$C$42)^2)/(2*Inputs!$C$45^2))+Inputs!$C$48*(0.70*(0.45*SIN(2*PI()*(((Model_Data!A11)/Inputs!$C$49)+Inputs!$C$47*0.137))+0.35*COS(2*PI()*(((0)/Inputs!$C$50)+Inputs!$C$47*0.173))+0.20*SIN(2*PI()*(((Model_Data!A11)+(0))/(0.5*(Inputs!$C$49+Inputs!$C$50))+Inputs!$C$47*0.097)))+0.30*(2*((SIN(((Model_Data!A11)*12.9898+(0)*78.233+Inputs!$C$47*37.719))*43758.5453)-INT((SIN(((Model_Data!A11)*12.9898+(0)*78.233+Inputs!$C$47*37.719))*43758.5453)))-1))))/1000)))*1000/Inputs!$C$12)-Model_Data!F11)</x:f>
        <x:v>67.57576184096752</x:v>
      </x:c>
      <x:c r="L11" s="49"/>
      <x:c r="M11" s="48" t="n">
        <x:f>Model_Data!A11</x:f>
        <x:v>-55.5</x:v>
      </x:c>
      <x:c r="N11" s="48" t="n">
        <x:f>Model_Data!P11</x:f>
        <x:v>412.77764187212813</x:v>
      </x:c>
      <x:c r="O11" s="48" t="n">
        <x:f>AC11</x:f>
        <x:v>427.09594019206634</x:v>
      </x:c>
      <x:c r="P11" s="48" t="n">
        <x:f>Model_Data!Q11</x:f>
        <x:v>61.978624905724956</x:v>
      </x:c>
      <x:c r="Q11" s="48" t="n">
        <x:f>AD11</x:f>
        <x:v>64.12851954835831</x:v>
      </x:c>
      <x:c r="R11" s="49"/>
      <x:c r="S11" s="48" t="n">
        <x:f>Model_Data!A11</x:f>
        <x:v>-55.5</x:v>
      </x:c>
      <x:c r="T11" s="48" t="n">
        <x:f>Model_Data!B11-Inputs!$C$5</x:f>
        <x:v>3.4225000000000136</x:v>
      </x:c>
      <x:c r="U11" s="49"/>
      <x:c r="V11" s="48" t="n">
        <x:f>Model_Data!A11</x:f>
        <x:v>-55.5</x:v>
      </x:c>
      <x:c r="W11" s="48" t="n">
        <x:f>(-((((SQRT((Model_Data!A11)^2+Inputs!$C$6^2+((Model_Data!B11)-((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(0.45*SIN(2*PI()*(((Model_Data!A11)/Inputs!$C$49)+Inputs!$C$47*0.137))+0.35*COS(2*PI()*(((Inputs!$C$6)/Inputs!$C$50)+Inputs!$C$47*0.173))+0.20*SIN(2*PI()*(((Model_Data!A11)+(Inputs!$C$6))/(0.5*(Inputs!$C$49+Inputs!$C$50))+Inputs!$C$47*0.097)))+0.30*(2*((SIN(((Model_Data!A11)*12.9898+(Inputs!$C$6)*78.233+Inputs!$C$47*37.719))*43758.5453)-INT((SIN(((Model_Data!A11)*12.9898+(Inputs!$C$6)*78.233+Inputs!$C$47*37.719))*43758.5453)))-1))))/1000)^2))-(((Model_Data!B11)-((Inputs!$C$51*(115*EXP(-(((0)-25)^2)/(4.5^2))+70*EXP(-(((0)+38)^2)/(7^2))*(0.55+0.45*SIN(2*PI()*(Model_Data!A11)/45))+24*SIN(2*PI()*(0)/9+(Model_Data!A11)/18)*EXP(-(((0)+5)^2)/(22^2))+18*SIN(2*PI()*(Model_Data!A11)/70))+Inputs!$C$28*EXP(-(((Model_Data!A11)-Inputs!$C$29)^2)/(2*Inputs!$C$31^2))*EXP(-(((0)-Inputs!$C$30)^2)/(2*Inputs!$C$32^2))+-Inputs!$C$33*EXP(-(((((Model_Data!A11)-Inputs!$C$34)^2)+(((0)-Inputs!$C$35)^2))/(2*Inputs!$C$36^2)))+Inputs!$C$37*(0.55*SIN(2*PI()*(Model_Data!A11)/Inputs!$C$39)+0.35*COS(2*PI()*(0)/Inputs!$C$40)+0.2*SIN(2*PI()*((Model_Data!A11)+(0))/(0.5*(Inputs!$C$39+Inputs!$C$40))))+Inputs!$C$38*SIN(2*PI()*(Model_Data!A11)/Inputs!$C$39)*SIN(2*PI()*(0)/Inputs!$C$40)+-Inputs!$C$41*EXP(-(((0)-Inputs!$C$43)^2)/(2*Inputs!$C$44^2))*EXP(-(((Model_Data!A11)-Inputs!$C$42)^2)/(2*Inputs!$C$45^2))+Inputs!$C$48*(0.70*(0.45*SIN(2*PI()*(((Model_Data!A11)/Inputs!$C$49)+Inputs!$C$47*0.137))+0.35*COS(2*PI()*(((0)/Inputs!$C$50)+Inputs!$C$47*0.173))+0.20*SIN(2*PI()*(((Model_Data!A11)+(0))/(0.5*(Inputs!$C$49+Inputs!$C$50))+Inputs!$C$47*0.097)))+0.30*(2*((SIN(((Model_Data!A11)*12.9898+(0)*78.233+Inputs!$C$47*37.719))*43758.5453)-INT((SIN(((Model_Data!A11)*12.9898+(0)*78.233+Inputs!$C$47*37.719))*43758.5453)))-1))))/1000)))*1000/Inputs!$C$12)-Model_Data!F11))-(-(((SQRT((Model_Data!A11)^2+Inputs!$C$6^2+(Inputs!$C$5-((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(0.45*SIN(2*PI()*(((Model_Data!A11)/Inputs!$C$49)+Inputs!$C$47*0.137))+0.35*COS(2*PI()*(((Inputs!$C$6)/Inputs!$C$50)+Inputs!$C$47*0.173))+0.20*SIN(2*PI()*(((Model_Data!A11)+(Inputs!$C$6))/(0.5*(Inputs!$C$49+Inputs!$C$50))+Inputs!$C$47*0.097)))+0.30*(2*((SIN(((Model_Data!A11)*12.9898+(Inputs!$C$6)*78.233+Inputs!$C$47*37.719))*43758.5453)-INT((SIN(((Model_Data!A11)*12.9898+(Inputs!$C$6)*78.233+Inputs!$C$47*37.719))*43758.5453)))-1))))/1000)^2)-(Inputs!$C$5-((Inputs!$C$51*(115*EXP(-(((0)-25)^2)/(4.5^2))+70*EXP(-(((0)+38)^2)/(7^2))*(0.55+0.45*SIN(2*PI()*(Model_Data!A11)/45))+24*SIN(2*PI()*(0)/9+(Model_Data!A11)/18)*EXP(-(((0)+5)^2)/(22^2))+18*SIN(2*PI()*(Model_Data!A11)/70))+Inputs!$C$28*EXP(-(((Model_Data!A11)-Inputs!$C$29)^2)/(2*Inputs!$C$31^2))*EXP(-(((0)-Inputs!$C$30)^2)/(2*Inputs!$C$32^2))+-Inputs!$C$33*EXP(-(((((Model_Data!A11)-Inputs!$C$34)^2)+(((0)-Inputs!$C$35)^2))/(2*Inputs!$C$36^2)))+Inputs!$C$37*(0.55*SIN(2*PI()*(Model_Data!A11)/Inputs!$C$39)+0.35*COS(2*PI()*(0)/Inputs!$C$40)+0.2*SIN(2*PI()*((Model_Data!A11)+(0))/(0.5*(Inputs!$C$39+Inputs!$C$40))))+Inputs!$C$38*SIN(2*PI()*(Model_Data!A11)/Inputs!$C$39)*SIN(2*PI()*(0)/Inputs!$C$40)+-Inputs!$C$41*EXP(-(((0)-Inputs!$C$43)^2)/(2*Inputs!$C$44^2))*EXP(-(((Model_Data!A11)-Inputs!$C$42)^2)/(2*Inputs!$C$45^2))+Inputs!$C$48*(0.70*(0.45*SIN(2*PI()*(((Model_Data!A11)/Inputs!$C$49)+Inputs!$C$47*0.137))+0.35*COS(2*PI()*(((0)/Inputs!$C$50)+Inputs!$C$47*0.173))+0.20*SIN(2*PI()*(((Model_Data!A11)+(0))/(0.5*(Inputs!$C$49+Inputs!$C$50))+Inputs!$C$47*0.097)))+0.30*(2*((SIN(((Model_Data!A11)*12.9898+(0)*78.233+Inputs!$C$47*37.719))*43758.5453)-INT((SIN(((Model_Data!A11)*12.9898+(0)*78.233+Inputs!$C$47*37.719))*43758.5453)))-1))))/1000))*1000/Inputs!$C$12)-((SQRT((Model_Data!A11)^2+Inputs!$C$6^2+Inputs!$C$5^2)-Inputs!$C$5)*1000/Inputs!$C$12)))</x:f>
        <x:v>0.017067500708435546</x:v>
      </x:c>
      <x:c r="X11" s="48" t="n">
        <x:f>0</x:f>
        <x:v>0</x:v>
      </x:c>
      <x:c r="Y11" s="49"/>
      <x:c r="Z11" s="48" t="n">
        <x:f>Model_Data!A11</x:f>
        <x:v>-55.5</x:v>
      </x:c>
      <x:c r="AA11" s="48" t="n">
        <x:f>SQRT((Model_Data!A11)^2+Inputs!$C$6^2+((Model_Data!B11)-((Inputs!$C$51*(115*EXP(-(((Inputs!$C$6)-25)^2)/(4.5^2))+70*EXP(-(((Inputs!$C$6)+38)^2)/(7^2))*(0.55+0.45*SIN(2*PI()*(Model_Data!A11)/45))+24*SIN(2*PI()*(Inputs!$C$6)/9+(Model_Data!A11)/18)*EXP(-(((Inputs!$C$6)+5)^2)/(22^2))+18*SIN(2*PI()*(Model_Data!A11)/70))+Inputs!$C$28*EXP(-(((Model_Data!A11)-Inputs!$C$29)^2)/(2*Inputs!$C$31^2))*EXP(-(((Inputs!$C$6)-Inputs!$C$30)^2)/(2*Inputs!$C$32^2))+-Inputs!$C$33*EXP(-(((((Model_Data!A11)-Inputs!$C$34)^2)+(((Inputs!$C$6)-Inputs!$C$35)^2))/(2*Inputs!$C$36^2)))+Inputs!$C$37*(0.55*SIN(2*PI()*(Model_Data!A11)/Inputs!$C$39)+0.35*COS(2*PI()*(Inputs!$C$6)/Inputs!$C$40)+0.2*SIN(2*PI()*((Model_Data!A11)+(Inputs!$C$6))/(0.5*(Inputs!$C$39+Inputs!$C$40))))+Inputs!$C$38*SIN(2*PI()*(Model_Data!A11)/Inputs!$C$39)*SIN(2*PI()*(Inputs!$C$6)/Inputs!$C$40)+-Inputs!$C$41*EXP(-(((Inputs!$C$6)-Inputs!$C$43)^2)/(2*Inputs!$C$44^2))*EXP(-(((Model_Data!A11)-Inputs!$C$42)^2)/(2*Inputs!$C$45^2))+Inputs!$C$48*(0.70*(0.45*SIN(2*PI()*(((Model_Data!A11)/Inputs!$C$49)+Inputs!$C$47*0.137))+0.35*COS(2*PI()*(((Inputs!$C$6)/Inputs!$C$50)+Inputs!$C$47*0.173))+0.20*SIN(2*PI()*(((Model_Data!A11)+(Inputs!$C$6))/(0.5*(Inputs!$C$49+Inputs!$C$50))+Inputs!$C$47*0.097)))+0.30*(2*((SIN(((Model_Data!A11)*12.9898+(Inputs!$C$6)*78.233+Inputs!$C$47*37.719))*43758.5453)-INT((SIN(((Model_Data!A11)*12.9898+(Inputs!$C$6)*78.233+Inputs!$C$47*37.719))*43758.5453)))-1))))/1000)^2)</x:f>
        <x:v>407.8301442769657</x:v>
      </x:c>
      <x:c r="AB11" s="48" t="n">
        <x:f>1000*(AA12-AA10)/(Z12-Z10)*Inputs!$C$11</x:f>
        <x:v>-1067.7398504801658</x:v>
      </x:c>
      <x:c r="AC11" s="48" t="n">
        <x:f>-2*AB11/Inputs!$C$13</x:f>
        <x:v>427.09594019206634</x:v>
      </x:c>
      <x:c r="AD11" s="48" t="n">
        <x:f>-2*AB11/Inputs!$C$14</x:f>
        <x:v>64.12851954835831</x:v>
      </x:c>
    </x:row>
    <x:row r="12">
      <x:c r="A12" s="48" t="n">
        <x:f>Model_Data!A12</x:f>
        <x:v>-55</x:v>
      </x:c>
      <x:c r="B12" s="48" t="n">
        <x:f>Model_Data!F12</x:f>
        <x:v>2527.745531338961</x:v>
      </x:c>
      <x:c r="C12" s="48" t="n">
        <x:f>(((SQRT((Model_Data!A12)^2+Inputs!$C$6^2+((Model_Data!B12)-((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(0.45*SIN(2*PI()*(((Model_Data!A12)/Inputs!$C$49)+Inputs!$C$47*0.137))+0.35*COS(2*PI()*(((Inputs!$C$6)/Inputs!$C$50)+Inputs!$C$47*0.173))+0.20*SIN(2*PI()*(((Model_Data!A12)+(Inputs!$C$6))/(0.5*(Inputs!$C$49+Inputs!$C$50))+Inputs!$C$47*0.097)))+0.30*(2*((SIN(((Model_Data!A12)*12.9898+(Inputs!$C$6)*78.233+Inputs!$C$47*37.719))*43758.5453)-INT((SIN(((Model_Data!A12)*12.9898+(Inputs!$C$6)*78.233+Inputs!$C$47*37.719))*43758.5453)))-1))))/1000)^2))-(((Model_Data!B12)-((Inputs!$C$51*(115*EXP(-(((0)-25)^2)/(4.5^2))+70*EXP(-(((0)+38)^2)/(7^2))*(0.55+0.45*SIN(2*PI()*(Model_Data!A12)/45))+24*SIN(2*PI()*(0)/9+(Model_Data!A12)/18)*EXP(-(((0)+5)^2)/(22^2))+18*SIN(2*PI()*(Model_Data!A12)/70))+Inputs!$C$28*EXP(-(((Model_Data!A12)-Inputs!$C$29)^2)/(2*Inputs!$C$31^2))*EXP(-(((0)-Inputs!$C$30)^2)/(2*Inputs!$C$32^2))+-Inputs!$C$33*EXP(-(((((Model_Data!A12)-Inputs!$C$34)^2)+(((0)-Inputs!$C$35)^2))/(2*Inputs!$C$36^2)))+Inputs!$C$37*(0.55*SIN(2*PI()*(Model_Data!A12)/Inputs!$C$39)+0.35*COS(2*PI()*(0)/Inputs!$C$40)+0.2*SIN(2*PI()*((Model_Data!A12)+(0))/(0.5*(Inputs!$C$39+Inputs!$C$40))))+Inputs!$C$38*SIN(2*PI()*(Model_Data!A12)/Inputs!$C$39)*SIN(2*PI()*(0)/Inputs!$C$40)+-Inputs!$C$41*EXP(-(((0)-Inputs!$C$43)^2)/(2*Inputs!$C$44^2))*EXP(-(((Model_Data!A12)-Inputs!$C$42)^2)/(2*Inputs!$C$45^2))+Inputs!$C$48*(0.70*(0.45*SIN(2*PI()*(((Model_Data!A12)/Inputs!$C$49)+Inputs!$C$47*0.137))+0.35*COS(2*PI()*(((0)/Inputs!$C$50)+Inputs!$C$47*0.173))+0.20*SIN(2*PI()*(((Model_Data!A12)+(0))/(0.5*(Inputs!$C$49+Inputs!$C$50))+Inputs!$C$47*0.097)))+0.30*(2*((SIN(((Model_Data!A12)*12.9898+(0)*78.233+Inputs!$C$47*37.719))*43758.5453)-INT((SIN(((Model_Data!A12)*12.9898+(0)*78.233+Inputs!$C$47*37.719))*43758.5453)))-1))))/1000)))*1000/Inputs!$C$12)</x:f>
        <x:v>2456.0296963577753</x:v>
      </x:c>
      <x:c r="D12" s="49"/>
      <x:c r="E12" s="48" t="n">
        <x:f>Model_Data!A12</x:f>
        <x:v>-55</x:v>
      </x:c>
      <x:c r="F12" s="48" t="n">
        <x:f>(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(0.45*SIN(2*PI()*(((Model_Data!A12)/Inputs!$C$49)+Inputs!$C$47*0.137))+0.35*COS(2*PI()*(((Inputs!$C$6)/Inputs!$C$50)+Inputs!$C$47*0.173))+0.20*SIN(2*PI()*(((Model_Data!A12)+(Inputs!$C$6))/(0.5*(Inputs!$C$49+Inputs!$C$50))+Inputs!$C$47*0.097)))+0.30*(2*((SIN(((Model_Data!A12)*12.9898+(Inputs!$C$6)*78.233+Inputs!$C$47*37.719))*43758.5453)-INT((SIN(((Model_Data!A12)*12.9898+(Inputs!$C$6)*78.233+Inputs!$C$47*37.719))*43758.5453)))-1)))</x:f>
        <x:v>176.10976359434375</x:v>
      </x:c>
      <x:c r="G12" s="48" t="n">
        <x:f>(Inputs!$C$51*(115*EXP(-(((0)-25)^2)/(4.5^2))+70*EXP(-(((0)+38)^2)/(7^2))*(0.55+0.45*SIN(2*PI()*(Model_Data!A12)/45))+24*SIN(2*PI()*(0)/9+(Model_Data!A12)/18)*EXP(-(((0)+5)^2)/(22^2))+18*SIN(2*PI()*(Model_Data!A12)/70))+Inputs!$C$28*EXP(-(((Model_Data!A12)-Inputs!$C$29)^2)/(2*Inputs!$C$31^2))*EXP(-(((0)-Inputs!$C$30)^2)/(2*Inputs!$C$32^2))+-Inputs!$C$33*EXP(-(((((Model_Data!A12)-Inputs!$C$34)^2)+(((0)-Inputs!$C$35)^2))/(2*Inputs!$C$36^2)))+Inputs!$C$37*(0.55*SIN(2*PI()*(Model_Data!A12)/Inputs!$C$39)+0.35*COS(2*PI()*(0)/Inputs!$C$40)+0.2*SIN(2*PI()*((Model_Data!A12)+(0))/(0.5*(Inputs!$C$39+Inputs!$C$40))))+Inputs!$C$38*SIN(2*PI()*(Model_Data!A12)/Inputs!$C$39)*SIN(2*PI()*(0)/Inputs!$C$40)+-Inputs!$C$41*EXP(-(((0)-Inputs!$C$43)^2)/(2*Inputs!$C$44^2))*EXP(-(((Model_Data!A12)-Inputs!$C$42)^2)/(2*Inputs!$C$45^2))+Inputs!$C$48*(0.70*(0.45*SIN(2*PI()*(((Model_Data!A12)/Inputs!$C$49)+Inputs!$C$47*0.137))+0.35*COS(2*PI()*(((0)/Inputs!$C$50)+Inputs!$C$47*0.173))+0.20*SIN(2*PI()*(((Model_Data!A12)+(0))/(0.5*(Inputs!$C$49+Inputs!$C$50))+Inputs!$C$47*0.097)))+0.30*(2*((SIN(((Model_Data!A12)*12.9898+(0)*78.233+Inputs!$C$47*37.719))*43758.5453)-INT((SIN(((Model_Data!A12)*12.9898+(0)*78.233+Inputs!$C$47*37.719))*43758.5453)))-1)))</x:f>
        <x:v>46.51195593176057</x:v>
      </x:c>
      <x:c r="H12" s="49"/>
      <x:c r="I12" s="48" t="n">
        <x:f>Model_Data!A12</x:f>
        <x:v>-55</x:v>
      </x:c>
      <x:c r="J12" s="48" t="n">
        <x:f>((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(0.45*SIN(2*PI()*(((Model_Data!A12)/Inputs!$C$49)+Inputs!$C$47*0.137))+0.35*COS(2*PI()*(((Inputs!$C$6)/Inputs!$C$50)+Inputs!$C$47*0.173))+0.20*SIN(2*PI()*(((Model_Data!A12)+(Inputs!$C$6))/(0.5*(Inputs!$C$49+Inputs!$C$50))+Inputs!$C$47*0.097)))+0.30*(2*((SIN(((Model_Data!A12)*12.9898+(Inputs!$C$6)*78.233+Inputs!$C$47*37.719))*43758.5453)-INT((SIN(((Model_Data!A12)*12.9898+(Inputs!$C$6)*78.233+Inputs!$C$47*37.719))*43758.5453)))-1))))-((Inputs!$C$51*(115*EXP(-(((0)-25)^2)/(4.5^2))+70*EXP(-(((0)+38)^2)/(7^2))*(0.55+0.45*SIN(2*PI()*(Model_Data!A12)/45))+24*SIN(2*PI()*(0)/9+(Model_Data!A12)/18)*EXP(-(((0)+5)^2)/(22^2))+18*SIN(2*PI()*(Model_Data!A12)/70))+Inputs!$C$28*EXP(-(((Model_Data!A12)-Inputs!$C$29)^2)/(2*Inputs!$C$31^2))*EXP(-(((0)-Inputs!$C$30)^2)/(2*Inputs!$C$32^2))+-Inputs!$C$33*EXP(-(((((Model_Data!A12)-Inputs!$C$34)^2)+(((0)-Inputs!$C$35)^2))/(2*Inputs!$C$36^2)))+Inputs!$C$37*(0.55*SIN(2*PI()*(Model_Data!A12)/Inputs!$C$39)+0.35*COS(2*PI()*(0)/Inputs!$C$40)+0.2*SIN(2*PI()*((Model_Data!A12)+(0))/(0.5*(Inputs!$C$39+Inputs!$C$40))))+Inputs!$C$38*SIN(2*PI()*(Model_Data!A12)/Inputs!$C$39)*SIN(2*PI()*(0)/Inputs!$C$40)+-Inputs!$C$41*EXP(-(((0)-Inputs!$C$43)^2)/(2*Inputs!$C$44^2))*EXP(-(((Model_Data!A12)-Inputs!$C$42)^2)/(2*Inputs!$C$45^2))+Inputs!$C$48*(0.70*(0.45*SIN(2*PI()*(((Model_Data!A12)/Inputs!$C$49)+Inputs!$C$47*0.137))+0.35*COS(2*PI()*(((0)/Inputs!$C$50)+Inputs!$C$47*0.173))+0.20*SIN(2*PI()*(((Model_Data!A12)+(0))/(0.5*(Inputs!$C$49+Inputs!$C$50))+Inputs!$C$47*0.097)))+0.30*(2*((SIN(((Model_Data!A12)*12.9898+(0)*78.233+Inputs!$C$47*37.719))*43758.5453)-INT((SIN(((Model_Data!A12)*12.9898+(0)*78.233+Inputs!$C$47*37.719))*43758.5453)))-1))))</x:f>
        <x:v>129.5978076625832</x:v>
      </x:c>
      <x:c r="K12" s="48" t="n">
        <x:f>-((((SQRT((Model_Data!A12)^2+Inputs!$C$6^2+((Model_Data!B12)-((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(0.45*SIN(2*PI()*(((Model_Data!A12)/Inputs!$C$49)+Inputs!$C$47*0.137))+0.35*COS(2*PI()*(((Inputs!$C$6)/Inputs!$C$50)+Inputs!$C$47*0.173))+0.20*SIN(2*PI()*(((Model_Data!A12)+(Inputs!$C$6))/(0.5*(Inputs!$C$49+Inputs!$C$50))+Inputs!$C$47*0.097)))+0.30*(2*((SIN(((Model_Data!A12)*12.9898+(Inputs!$C$6)*78.233+Inputs!$C$47*37.719))*43758.5453)-INT((SIN(((Model_Data!A12)*12.9898+(Inputs!$C$6)*78.233+Inputs!$C$47*37.719))*43758.5453)))-1))))/1000)^2))-(((Model_Data!B12)-((Inputs!$C$51*(115*EXP(-(((0)-25)^2)/(4.5^2))+70*EXP(-(((0)+38)^2)/(7^2))*(0.55+0.45*SIN(2*PI()*(Model_Data!A12)/45))+24*SIN(2*PI()*(0)/9+(Model_Data!A12)/18)*EXP(-(((0)+5)^2)/(22^2))+18*SIN(2*PI()*(Model_Data!A12)/70))+Inputs!$C$28*EXP(-(((Model_Data!A12)-Inputs!$C$29)^2)/(2*Inputs!$C$31^2))*EXP(-(((0)-Inputs!$C$30)^2)/(2*Inputs!$C$32^2))+-Inputs!$C$33*EXP(-(((((Model_Data!A12)-Inputs!$C$34)^2)+(((0)-Inputs!$C$35)^2))/(2*Inputs!$C$36^2)))+Inputs!$C$37*(0.55*SIN(2*PI()*(Model_Data!A12)/Inputs!$C$39)+0.35*COS(2*PI()*(0)/Inputs!$C$40)+0.2*SIN(2*PI()*((Model_Data!A12)+(0))/(0.5*(Inputs!$C$39+Inputs!$C$40))))+Inputs!$C$38*SIN(2*PI()*(Model_Data!A12)/Inputs!$C$39)*SIN(2*PI()*(0)/Inputs!$C$40)+-Inputs!$C$41*EXP(-(((0)-Inputs!$C$43)^2)/(2*Inputs!$C$44^2))*EXP(-(((Model_Data!A12)-Inputs!$C$42)^2)/(2*Inputs!$C$45^2))+Inputs!$C$48*(0.70*(0.45*SIN(2*PI()*(((Model_Data!A12)/Inputs!$C$49)+Inputs!$C$47*0.137))+0.35*COS(2*PI()*(((0)/Inputs!$C$50)+Inputs!$C$47*0.173))+0.20*SIN(2*PI()*(((Model_Data!A12)+(0))/(0.5*(Inputs!$C$49+Inputs!$C$50))+Inputs!$C$47*0.097)))+0.30*(2*((SIN(((Model_Data!A12)*12.9898+(0)*78.233+Inputs!$C$47*37.719))*43758.5453)-INT((SIN(((Model_Data!A12)*12.9898+(0)*78.233+Inputs!$C$47*37.719))*43758.5453)))-1))))/1000)))*1000/Inputs!$C$12)-Model_Data!F12)</x:f>
        <x:v>71.71583498118571</x:v>
      </x:c>
      <x:c r="L12" s="49"/>
      <x:c r="M12" s="48" t="n">
        <x:f>Model_Data!A12</x:f>
        <x:v>-55</x:v>
      </x:c>
      <x:c r="N12" s="48" t="n">
        <x:f>Model_Data!P12</x:f>
        <x:v>409.15829536560034</x:v>
      </x:c>
      <x:c r="O12" s="48" t="n">
        <x:f>AC12</x:f>
        <x:v>462.77938259800067</x:v>
      </x:c>
      <x:c r="P12" s="48" t="n">
        <x:f>Model_Data!Q12</x:f>
        <x:v>61.43517948432438</x:v>
      </x:c>
      <x:c r="Q12" s="48" t="n">
        <x:f>AD12</x:f>
        <x:v>69.48639378348359</x:v>
      </x:c>
      <x:c r="R12" s="49"/>
      <x:c r="S12" s="48" t="n">
        <x:f>Model_Data!A12</x:f>
        <x:v>-55</x:v>
      </x:c>
      <x:c r="T12" s="48" t="n">
        <x:f>Model_Data!B12-Inputs!$C$5</x:f>
        <x:v>3.361111111111086</x:v>
      </x:c>
      <x:c r="U12" s="49"/>
      <x:c r="V12" s="48" t="n">
        <x:f>Model_Data!A12</x:f>
        <x:v>-55</x:v>
      </x:c>
      <x:c r="W12" s="48" t="n">
        <x:f>(-((((SQRT((Model_Data!A12)^2+Inputs!$C$6^2+((Model_Data!B12)-((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(0.45*SIN(2*PI()*(((Model_Data!A12)/Inputs!$C$49)+Inputs!$C$47*0.137))+0.35*COS(2*PI()*(((Inputs!$C$6)/Inputs!$C$50)+Inputs!$C$47*0.173))+0.20*SIN(2*PI()*(((Model_Data!A12)+(Inputs!$C$6))/(0.5*(Inputs!$C$49+Inputs!$C$50))+Inputs!$C$47*0.097)))+0.30*(2*((SIN(((Model_Data!A12)*12.9898+(Inputs!$C$6)*78.233+Inputs!$C$47*37.719))*43758.5453)-INT((SIN(((Model_Data!A12)*12.9898+(Inputs!$C$6)*78.233+Inputs!$C$47*37.719))*43758.5453)))-1))))/1000)^2))-(((Model_Data!B12)-((Inputs!$C$51*(115*EXP(-(((0)-25)^2)/(4.5^2))+70*EXP(-(((0)+38)^2)/(7^2))*(0.55+0.45*SIN(2*PI()*(Model_Data!A12)/45))+24*SIN(2*PI()*(0)/9+(Model_Data!A12)/18)*EXP(-(((0)+5)^2)/(22^2))+18*SIN(2*PI()*(Model_Data!A12)/70))+Inputs!$C$28*EXP(-(((Model_Data!A12)-Inputs!$C$29)^2)/(2*Inputs!$C$31^2))*EXP(-(((0)-Inputs!$C$30)^2)/(2*Inputs!$C$32^2))+-Inputs!$C$33*EXP(-(((((Model_Data!A12)-Inputs!$C$34)^2)+(((0)-Inputs!$C$35)^2))/(2*Inputs!$C$36^2)))+Inputs!$C$37*(0.55*SIN(2*PI()*(Model_Data!A12)/Inputs!$C$39)+0.35*COS(2*PI()*(0)/Inputs!$C$40)+0.2*SIN(2*PI()*((Model_Data!A12)+(0))/(0.5*(Inputs!$C$39+Inputs!$C$40))))+Inputs!$C$38*SIN(2*PI()*(Model_Data!A12)/Inputs!$C$39)*SIN(2*PI()*(0)/Inputs!$C$40)+-Inputs!$C$41*EXP(-(((0)-Inputs!$C$43)^2)/(2*Inputs!$C$44^2))*EXP(-(((Model_Data!A12)-Inputs!$C$42)^2)/(2*Inputs!$C$45^2))+Inputs!$C$48*(0.70*(0.45*SIN(2*PI()*(((Model_Data!A12)/Inputs!$C$49)+Inputs!$C$47*0.137))+0.35*COS(2*PI()*(((0)/Inputs!$C$50)+Inputs!$C$47*0.173))+0.20*SIN(2*PI()*(((Model_Data!A12)+(0))/(0.5*(Inputs!$C$49+Inputs!$C$50))+Inputs!$C$47*0.097)))+0.30*(2*((SIN(((Model_Data!A12)*12.9898+(0)*78.233+Inputs!$C$47*37.719))*43758.5453)-INT((SIN(((Model_Data!A12)*12.9898+(0)*78.233+Inputs!$C$47*37.719))*43758.5453)))-1))))/1000)))*1000/Inputs!$C$12)-Model_Data!F12))-(-(((SQRT((Model_Data!A12)^2+Inputs!$C$6^2+(Inputs!$C$5-((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(0.45*SIN(2*PI()*(((Model_Data!A12)/Inputs!$C$49)+Inputs!$C$47*0.137))+0.35*COS(2*PI()*(((Inputs!$C$6)/Inputs!$C$50)+Inputs!$C$47*0.173))+0.20*SIN(2*PI()*(((Model_Data!A12)+(Inputs!$C$6))/(0.5*(Inputs!$C$49+Inputs!$C$50))+Inputs!$C$47*0.097)))+0.30*(2*((SIN(((Model_Data!A12)*12.9898+(Inputs!$C$6)*78.233+Inputs!$C$47*37.719))*43758.5453)-INT((SIN(((Model_Data!A12)*12.9898+(Inputs!$C$6)*78.233+Inputs!$C$47*37.719))*43758.5453)))-1))))/1000)^2)-(Inputs!$C$5-((Inputs!$C$51*(115*EXP(-(((0)-25)^2)/(4.5^2))+70*EXP(-(((0)+38)^2)/(7^2))*(0.55+0.45*SIN(2*PI()*(Model_Data!A12)/45))+24*SIN(2*PI()*(0)/9+(Model_Data!A12)/18)*EXP(-(((0)+5)^2)/(22^2))+18*SIN(2*PI()*(Model_Data!A12)/70))+Inputs!$C$28*EXP(-(((Model_Data!A12)-Inputs!$C$29)^2)/(2*Inputs!$C$31^2))*EXP(-(((0)-Inputs!$C$30)^2)/(2*Inputs!$C$32^2))+-Inputs!$C$33*EXP(-(((((Model_Data!A12)-Inputs!$C$34)^2)+(((0)-Inputs!$C$35)^2))/(2*Inputs!$C$36^2)))+Inputs!$C$37*(0.55*SIN(2*PI()*(Model_Data!A12)/Inputs!$C$39)+0.35*COS(2*PI()*(0)/Inputs!$C$40)+0.2*SIN(2*PI()*((Model_Data!A12)+(0))/(0.5*(Inputs!$C$39+Inputs!$C$40))))+Inputs!$C$38*SIN(2*PI()*(Model_Data!A12)/Inputs!$C$39)*SIN(2*PI()*(0)/Inputs!$C$40)+-Inputs!$C$41*EXP(-(((0)-Inputs!$C$43)^2)/(2*Inputs!$C$44^2))*EXP(-(((Model_Data!A12)-Inputs!$C$42)^2)/(2*Inputs!$C$45^2))+Inputs!$C$48*(0.70*(0.45*SIN(2*PI()*(((Model_Data!A12)/Inputs!$C$49)+Inputs!$C$47*0.137))+0.35*COS(2*PI()*(((0)/Inputs!$C$50)+Inputs!$C$47*0.173))+0.20*SIN(2*PI()*(((Model_Data!A12)+(0))/(0.5*(Inputs!$C$49+Inputs!$C$50))+Inputs!$C$47*0.097)))+0.30*(2*((SIN(((Model_Data!A12)*12.9898+(0)*78.233+Inputs!$C$47*37.719))*43758.5453)-INT((SIN(((Model_Data!A12)*12.9898+(0)*78.233+Inputs!$C$47*37.719))*43758.5453)))-1))))/1000))*1000/Inputs!$C$12)-((SQRT((Model_Data!A12)^2+Inputs!$C$6^2+Inputs!$C$5^2)-Inputs!$C$5)*1000/Inputs!$C$12)))</x:f>
        <x:v>0.018122489587767632</x:v>
      </x:c>
      <x:c r="X12" s="48" t="n">
        <x:f>0</x:f>
        <x:v>0</x:v>
      </x:c>
      <x:c r="Y12" s="49"/>
      <x:c r="Z12" s="48" t="n">
        <x:f>Model_Data!A12</x:f>
        <x:v>-55</x:v>
      </x:c>
      <x:c r="AA12" s="48" t="n">
        <x:f>SQRT((Model_Data!A12)^2+Inputs!$C$6^2+((Model_Data!B12)-((Inputs!$C$51*(115*EXP(-(((Inputs!$C$6)-25)^2)/(4.5^2))+70*EXP(-(((Inputs!$C$6)+38)^2)/(7^2))*(0.55+0.45*SIN(2*PI()*(Model_Data!A12)/45))+24*SIN(2*PI()*(Inputs!$C$6)/9+(Model_Data!A12)/18)*EXP(-(((Inputs!$C$6)+5)^2)/(22^2))+18*SIN(2*PI()*(Model_Data!A12)/70))+Inputs!$C$28*EXP(-(((Model_Data!A12)-Inputs!$C$29)^2)/(2*Inputs!$C$31^2))*EXP(-(((Inputs!$C$6)-Inputs!$C$30)^2)/(2*Inputs!$C$32^2))+-Inputs!$C$33*EXP(-(((((Model_Data!A12)-Inputs!$C$34)^2)+(((Inputs!$C$6)-Inputs!$C$35)^2))/(2*Inputs!$C$36^2)))+Inputs!$C$37*(0.55*SIN(2*PI()*(Model_Data!A12)/Inputs!$C$39)+0.35*COS(2*PI()*(Inputs!$C$6)/Inputs!$C$40)+0.2*SIN(2*PI()*((Model_Data!A12)+(Inputs!$C$6))/(0.5*(Inputs!$C$39+Inputs!$C$40))))+Inputs!$C$38*SIN(2*PI()*(Model_Data!A12)/Inputs!$C$39)*SIN(2*PI()*(Inputs!$C$6)/Inputs!$C$40)+-Inputs!$C$41*EXP(-(((Inputs!$C$6)-Inputs!$C$43)^2)/(2*Inputs!$C$44^2))*EXP(-(((Model_Data!A12)-Inputs!$C$42)^2)/(2*Inputs!$C$45^2))+Inputs!$C$48*(0.70*(0.45*SIN(2*PI()*(((Model_Data!A12)/Inputs!$C$49)+Inputs!$C$47*0.137))+0.35*COS(2*PI()*(((Inputs!$C$6)/Inputs!$C$50)+Inputs!$C$47*0.173))+0.20*SIN(2*PI()*(((Model_Data!A12)+(Inputs!$C$6))/(0.5*(Inputs!$C$49+Inputs!$C$50))+Inputs!$C$47*0.097)))+0.30*(2*((SIN(((Model_Data!A12)*12.9898+(Inputs!$C$6)*78.233+Inputs!$C$47*37.719))*43758.5453)-INT((SIN(((Model_Data!A12)*12.9898+(Inputs!$C$6)*78.233+Inputs!$C$47*37.719))*43758.5453)))-1))))/1000)^2)</x:f>
        <x:v>407.6863320146962</x:v>
      </x:c>
      <x:c r="AB12" s="48" t="n">
        <x:f>1000*(AA13-AA11)/(Z13-Z11)*Inputs!$C$11</x:f>
        <x:v>-1156.9484564950017</x:v>
      </x:c>
      <x:c r="AC12" s="48" t="n">
        <x:f>-2*AB12/Inputs!$C$13</x:f>
        <x:v>462.77938259800067</x:v>
      </x:c>
      <x:c r="AD12" s="48" t="n">
        <x:f>-2*AB12/Inputs!$C$14</x:f>
        <x:v>69.48639378348359</x:v>
      </x:c>
    </x:row>
    <x:row r="13">
      <x:c r="A13" s="48" t="n">
        <x:f>Model_Data!A13</x:f>
        <x:v>-54.5</x:v>
      </x:c>
      <x:c r="B13" s="48" t="n">
        <x:f>Model_Data!F13</x:f>
        <x:v>2490.406895668812</x:v>
      </x:c>
      <x:c r="C13" s="48" t="n">
        <x:f>(((SQRT((Model_Data!A13)^2+Inputs!$C$6^2+((Model_Data!B13)-((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(0.45*SIN(2*PI()*(((Model_Data!A13)/Inputs!$C$49)+Inputs!$C$47*0.137))+0.35*COS(2*PI()*(((Inputs!$C$6)/Inputs!$C$50)+Inputs!$C$47*0.173))+0.20*SIN(2*PI()*(((Model_Data!A13)+(Inputs!$C$6))/(0.5*(Inputs!$C$49+Inputs!$C$50))+Inputs!$C$47*0.097)))+0.30*(2*((SIN(((Model_Data!A13)*12.9898+(Inputs!$C$6)*78.233+Inputs!$C$47*37.719))*43758.5453)-INT((SIN(((Model_Data!A13)*12.9898+(Inputs!$C$6)*78.233+Inputs!$C$47*37.719))*43758.5453)))-1))))/1000)^2))-(((Model_Data!B13)-((Inputs!$C$51*(115*EXP(-(((0)-25)^2)/(4.5^2))+70*EXP(-(((0)+38)^2)/(7^2))*(0.55+0.45*SIN(2*PI()*(Model_Data!A13)/45))+24*SIN(2*PI()*(0)/9+(Model_Data!A13)/18)*EXP(-(((0)+5)^2)/(22^2))+18*SIN(2*PI()*(Model_Data!A13)/70))+Inputs!$C$28*EXP(-(((Model_Data!A13)-Inputs!$C$29)^2)/(2*Inputs!$C$31^2))*EXP(-(((0)-Inputs!$C$30)^2)/(2*Inputs!$C$32^2))+-Inputs!$C$33*EXP(-(((((Model_Data!A13)-Inputs!$C$34)^2)+(((0)-Inputs!$C$35)^2))/(2*Inputs!$C$36^2)))+Inputs!$C$37*(0.55*SIN(2*PI()*(Model_Data!A13)/Inputs!$C$39)+0.35*COS(2*PI()*(0)/Inputs!$C$40)+0.2*SIN(2*PI()*((Model_Data!A13)+(0))/(0.5*(Inputs!$C$39+Inputs!$C$40))))+Inputs!$C$38*SIN(2*PI()*(Model_Data!A13)/Inputs!$C$39)*SIN(2*PI()*(0)/Inputs!$C$40)+-Inputs!$C$41*EXP(-(((0)-Inputs!$C$43)^2)/(2*Inputs!$C$44^2))*EXP(-(((Model_Data!A13)-Inputs!$C$42)^2)/(2*Inputs!$C$45^2))+Inputs!$C$48*(0.70*(0.45*SIN(2*PI()*(((Model_Data!A13)/Inputs!$C$49)+Inputs!$C$47*0.137))+0.35*COS(2*PI()*(((0)/Inputs!$C$50)+Inputs!$C$47*0.173))+0.20*SIN(2*PI()*(((Model_Data!A13)+(0))/(0.5*(Inputs!$C$49+Inputs!$C$50))+Inputs!$C$47*0.097)))+0.30*(2*((SIN(((Model_Data!A13)*12.9898+(0)*78.233+Inputs!$C$47*37.719))*43758.5453)-INT((SIN(((Model_Data!A13)*12.9898+(0)*78.233+Inputs!$C$47*37.719))*43758.5453)))-1))))/1000)))*1000/Inputs!$C$12)</x:f>
        <x:v>2410.3393699321896</x:v>
      </x:c>
      <x:c r="D13" s="49"/>
      <x:c r="E13" s="48" t="n">
        <x:f>Model_Data!A13</x:f>
        <x:v>-54.5</x:v>
      </x:c>
      <x:c r="F13" s="48" t="n">
        <x:f>(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(0.45*SIN(2*PI()*(((Model_Data!A13)/Inputs!$C$49)+Inputs!$C$47*0.137))+0.35*COS(2*PI()*(((Inputs!$C$6)/Inputs!$C$50)+Inputs!$C$47*0.173))+0.20*SIN(2*PI()*(((Model_Data!A13)+(Inputs!$C$6))/(0.5*(Inputs!$C$49+Inputs!$C$50))+Inputs!$C$47*0.097)))+0.30*(2*((SIN(((Model_Data!A13)*12.9898+(Inputs!$C$6)*78.233+Inputs!$C$47*37.719))*43758.5453)-INT((SIN(((Model_Data!A13)*12.9898+(Inputs!$C$6)*78.233+Inputs!$C$47*37.719))*43758.5453)))-1)))</x:f>
        <x:v>194.40953580817023</x:v>
      </x:c>
      <x:c r="G13" s="48" t="n">
        <x:f>(Inputs!$C$51*(115*EXP(-(((0)-25)^2)/(4.5^2))+70*EXP(-(((0)+38)^2)/(7^2))*(0.55+0.45*SIN(2*PI()*(Model_Data!A13)/45))+24*SIN(2*PI()*(0)/9+(Model_Data!A13)/18)*EXP(-(((0)+5)^2)/(22^2))+18*SIN(2*PI()*(Model_Data!A13)/70))+Inputs!$C$28*EXP(-(((Model_Data!A13)-Inputs!$C$29)^2)/(2*Inputs!$C$31^2))*EXP(-(((0)-Inputs!$C$30)^2)/(2*Inputs!$C$32^2))+-Inputs!$C$33*EXP(-(((((Model_Data!A13)-Inputs!$C$34)^2)+(((0)-Inputs!$C$35)^2))/(2*Inputs!$C$36^2)))+Inputs!$C$37*(0.55*SIN(2*PI()*(Model_Data!A13)/Inputs!$C$39)+0.35*COS(2*PI()*(0)/Inputs!$C$40)+0.2*SIN(2*PI()*((Model_Data!A13)+(0))/(0.5*(Inputs!$C$39+Inputs!$C$40))))+Inputs!$C$38*SIN(2*PI()*(Model_Data!A13)/Inputs!$C$39)*SIN(2*PI()*(0)/Inputs!$C$40)+-Inputs!$C$41*EXP(-(((0)-Inputs!$C$43)^2)/(2*Inputs!$C$44^2))*EXP(-(((Model_Data!A13)-Inputs!$C$42)^2)/(2*Inputs!$C$45^2))+Inputs!$C$48*(0.70*(0.45*SIN(2*PI()*(((Model_Data!A13)/Inputs!$C$49)+Inputs!$C$47*0.137))+0.35*COS(2*PI()*(((0)/Inputs!$C$50)+Inputs!$C$47*0.173))+0.20*SIN(2*PI()*(((Model_Data!A13)+(0))/(0.5*(Inputs!$C$49+Inputs!$C$50))+Inputs!$C$47*0.097)))+0.30*(2*((SIN(((Model_Data!A13)*12.9898+(0)*78.233+Inputs!$C$47*37.719))*43758.5453)-INT((SIN(((Model_Data!A13)*12.9898+(0)*78.233+Inputs!$C$47*37.719))*43758.5453)))-1)))</x:f>
        <x:v>49.77469341509185</x:v>
      </x:c>
      <x:c r="H13" s="49"/>
      <x:c r="I13" s="48" t="n">
        <x:f>Model_Data!A13</x:f>
        <x:v>-54.5</x:v>
      </x:c>
      <x:c r="J13" s="48" t="n">
        <x:f>((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(0.45*SIN(2*PI()*(((Model_Data!A13)/Inputs!$C$49)+Inputs!$C$47*0.137))+0.35*COS(2*PI()*(((Inputs!$C$6)/Inputs!$C$50)+Inputs!$C$47*0.173))+0.20*SIN(2*PI()*(((Model_Data!A13)+(Inputs!$C$6))/(0.5*(Inputs!$C$49+Inputs!$C$50))+Inputs!$C$47*0.097)))+0.30*(2*((SIN(((Model_Data!A13)*12.9898+(Inputs!$C$6)*78.233+Inputs!$C$47*37.719))*43758.5453)-INT((SIN(((Model_Data!A13)*12.9898+(Inputs!$C$6)*78.233+Inputs!$C$47*37.719))*43758.5453)))-1))))-((Inputs!$C$51*(115*EXP(-(((0)-25)^2)/(4.5^2))+70*EXP(-(((0)+38)^2)/(7^2))*(0.55+0.45*SIN(2*PI()*(Model_Data!A13)/45))+24*SIN(2*PI()*(0)/9+(Model_Data!A13)/18)*EXP(-(((0)+5)^2)/(22^2))+18*SIN(2*PI()*(Model_Data!A13)/70))+Inputs!$C$28*EXP(-(((Model_Data!A13)-Inputs!$C$29)^2)/(2*Inputs!$C$31^2))*EXP(-(((0)-Inputs!$C$30)^2)/(2*Inputs!$C$32^2))+-Inputs!$C$33*EXP(-(((((Model_Data!A13)-Inputs!$C$34)^2)+(((0)-Inputs!$C$35)^2))/(2*Inputs!$C$36^2)))+Inputs!$C$37*(0.55*SIN(2*PI()*(Model_Data!A13)/Inputs!$C$39)+0.35*COS(2*PI()*(0)/Inputs!$C$40)+0.2*SIN(2*PI()*((Model_Data!A13)+(0))/(0.5*(Inputs!$C$39+Inputs!$C$40))))+Inputs!$C$38*SIN(2*PI()*(Model_Data!A13)/Inputs!$C$39)*SIN(2*PI()*(0)/Inputs!$C$40)+-Inputs!$C$41*EXP(-(((0)-Inputs!$C$43)^2)/(2*Inputs!$C$44^2))*EXP(-(((Model_Data!A13)-Inputs!$C$42)^2)/(2*Inputs!$C$45^2))+Inputs!$C$48*(0.70*(0.45*SIN(2*PI()*(((Model_Data!A13)/Inputs!$C$49)+Inputs!$C$47*0.137))+0.35*COS(2*PI()*(((0)/Inputs!$C$50)+Inputs!$C$47*0.173))+0.20*SIN(2*PI()*(((Model_Data!A13)+(0))/(0.5*(Inputs!$C$49+Inputs!$C$50))+Inputs!$C$47*0.097)))+0.30*(2*((SIN(((Model_Data!A13)*12.9898+(0)*78.233+Inputs!$C$47*37.719))*43758.5453)-INT((SIN(((Model_Data!A13)*12.9898+(0)*78.233+Inputs!$C$47*37.719))*43758.5453)))-1))))</x:f>
        <x:v>144.63484239307837</x:v>
      </x:c>
      <x:c r="K13" s="48" t="n">
        <x:f>-((((SQRT((Model_Data!A13)^2+Inputs!$C$6^2+((Model_Data!B13)-((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(0.45*SIN(2*PI()*(((Model_Data!A13)/Inputs!$C$49)+Inputs!$C$47*0.137))+0.35*COS(2*PI()*(((Inputs!$C$6)/Inputs!$C$50)+Inputs!$C$47*0.173))+0.20*SIN(2*PI()*(((Model_Data!A13)+(Inputs!$C$6))/(0.5*(Inputs!$C$49+Inputs!$C$50))+Inputs!$C$47*0.097)))+0.30*(2*((SIN(((Model_Data!A13)*12.9898+(Inputs!$C$6)*78.233+Inputs!$C$47*37.719))*43758.5453)-INT((SIN(((Model_Data!A13)*12.9898+(Inputs!$C$6)*78.233+Inputs!$C$47*37.719))*43758.5453)))-1))))/1000)^2))-(((Model_Data!B13)-((Inputs!$C$51*(115*EXP(-(((0)-25)^2)/(4.5^2))+70*EXP(-(((0)+38)^2)/(7^2))*(0.55+0.45*SIN(2*PI()*(Model_Data!A13)/45))+24*SIN(2*PI()*(0)/9+(Model_Data!A13)/18)*EXP(-(((0)+5)^2)/(22^2))+18*SIN(2*PI()*(Model_Data!A13)/70))+Inputs!$C$28*EXP(-(((Model_Data!A13)-Inputs!$C$29)^2)/(2*Inputs!$C$31^2))*EXP(-(((0)-Inputs!$C$30)^2)/(2*Inputs!$C$32^2))+-Inputs!$C$33*EXP(-(((((Model_Data!A13)-Inputs!$C$34)^2)+(((0)-Inputs!$C$35)^2))/(2*Inputs!$C$36^2)))+Inputs!$C$37*(0.55*SIN(2*PI()*(Model_Data!A13)/Inputs!$C$39)+0.35*COS(2*PI()*(0)/Inputs!$C$40)+0.2*SIN(2*PI()*((Model_Data!A13)+(0))/(0.5*(Inputs!$C$39+Inputs!$C$40))))+Inputs!$C$38*SIN(2*PI()*(Model_Data!A13)/Inputs!$C$39)*SIN(2*PI()*(0)/Inputs!$C$40)+-Inputs!$C$41*EXP(-(((0)-Inputs!$C$43)^2)/(2*Inputs!$C$44^2))*EXP(-(((Model_Data!A13)-Inputs!$C$42)^2)/(2*Inputs!$C$45^2))+Inputs!$C$48*(0.70*(0.45*SIN(2*PI()*(((Model_Data!A13)/Inputs!$C$49)+Inputs!$C$47*0.137))+0.35*COS(2*PI()*(((0)/Inputs!$C$50)+Inputs!$C$47*0.173))+0.20*SIN(2*PI()*(((Model_Data!A13)+(0))/(0.5*(Inputs!$C$49+Inputs!$C$50))+Inputs!$C$47*0.097)))+0.30*(2*((SIN(((Model_Data!A13)*12.9898+(0)*78.233+Inputs!$C$47*37.719))*43758.5453)-INT((SIN(((Model_Data!A13)*12.9898+(0)*78.233+Inputs!$C$47*37.719))*43758.5453)))-1))))/1000)))*1000/Inputs!$C$12)-Model_Data!F13)</x:f>
        <x:v>80.06752573662243</x:v>
      </x:c>
      <x:c r="L13" s="49"/>
      <x:c r="M13" s="48" t="n">
        <x:f>Model_Data!A13</x:f>
        <x:v>-54.5</x:v>
      </x:c>
      <x:c r="N13" s="48" t="n">
        <x:f>Model_Data!P13</x:f>
        <x:v>405.5363428162093</x:v>
      </x:c>
      <x:c r="O13" s="48" t="n">
        <x:f>AC13</x:f>
        <x:v>437.73589107295265</x:v>
      </x:c>
      <x:c r="P13" s="48" t="n">
        <x:f>Model_Data!Q13</x:f>
        <x:v>60.8913427651966</x:v>
      </x:c>
      <x:c r="Q13" s="48" t="n">
        <x:f>AD13</x:f>
        <x:v>65.72610977071362</x:v>
      </x:c>
      <x:c r="R13" s="49"/>
      <x:c r="S13" s="48" t="n">
        <x:f>Model_Data!A13</x:f>
        <x:v>-54.5</x:v>
      </x:c>
      <x:c r="T13" s="48" t="n">
        <x:f>Model_Data!B13-Inputs!$C$5</x:f>
        <x:v>3.300277777777751</x:v>
      </x:c>
      <x:c r="U13" s="49"/>
      <x:c r="V13" s="48" t="n">
        <x:f>Model_Data!A13</x:f>
        <x:v>-54.5</x:v>
      </x:c>
      <x:c r="W13" s="48" t="n">
        <x:f>(-((((SQRT((Model_Data!A13)^2+Inputs!$C$6^2+((Model_Data!B13)-((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(0.45*SIN(2*PI()*(((Model_Data!A13)/Inputs!$C$49)+Inputs!$C$47*0.137))+0.35*COS(2*PI()*(((Inputs!$C$6)/Inputs!$C$50)+Inputs!$C$47*0.173))+0.20*SIN(2*PI()*(((Model_Data!A13)+(Inputs!$C$6))/(0.5*(Inputs!$C$49+Inputs!$C$50))+Inputs!$C$47*0.097)))+0.30*(2*((SIN(((Model_Data!A13)*12.9898+(Inputs!$C$6)*78.233+Inputs!$C$47*37.719))*43758.5453)-INT((SIN(((Model_Data!A13)*12.9898+(Inputs!$C$6)*78.233+Inputs!$C$47*37.719))*43758.5453)))-1))))/1000)^2))-(((Model_Data!B13)-((Inputs!$C$51*(115*EXP(-(((0)-25)^2)/(4.5^2))+70*EXP(-(((0)+38)^2)/(7^2))*(0.55+0.45*SIN(2*PI()*(Model_Data!A13)/45))+24*SIN(2*PI()*(0)/9+(Model_Data!A13)/18)*EXP(-(((0)+5)^2)/(22^2))+18*SIN(2*PI()*(Model_Data!A13)/70))+Inputs!$C$28*EXP(-(((Model_Data!A13)-Inputs!$C$29)^2)/(2*Inputs!$C$31^2))*EXP(-(((0)-Inputs!$C$30)^2)/(2*Inputs!$C$32^2))+-Inputs!$C$33*EXP(-(((((Model_Data!A13)-Inputs!$C$34)^2)+(((0)-Inputs!$C$35)^2))/(2*Inputs!$C$36^2)))+Inputs!$C$37*(0.55*SIN(2*PI()*(Model_Data!A13)/Inputs!$C$39)+0.35*COS(2*PI()*(0)/Inputs!$C$40)+0.2*SIN(2*PI()*((Model_Data!A13)+(0))/(0.5*(Inputs!$C$39+Inputs!$C$40))))+Inputs!$C$38*SIN(2*PI()*(Model_Data!A13)/Inputs!$C$39)*SIN(2*PI()*(0)/Inputs!$C$40)+-Inputs!$C$41*EXP(-(((0)-Inputs!$C$43)^2)/(2*Inputs!$C$44^2))*EXP(-(((Model_Data!A13)-Inputs!$C$42)^2)/(2*Inputs!$C$45^2))+Inputs!$C$48*(0.70*(0.45*SIN(2*PI()*(((Model_Data!A13)/Inputs!$C$49)+Inputs!$C$47*0.137))+0.35*COS(2*PI()*(((0)/Inputs!$C$50)+Inputs!$C$47*0.173))+0.20*SIN(2*PI()*(((Model_Data!A13)+(0))/(0.5*(Inputs!$C$49+Inputs!$C$50))+Inputs!$C$47*0.097)))+0.30*(2*((SIN(((Model_Data!A13)*12.9898+(0)*78.233+Inputs!$C$47*37.719))*43758.5453)-INT((SIN(((Model_Data!A13)*12.9898+(0)*78.233+Inputs!$C$47*37.719))*43758.5453)))-1))))/1000)))*1000/Inputs!$C$12)-Model_Data!F13))-(-(((SQRT((Model_Data!A13)^2+Inputs!$C$6^2+(Inputs!$C$5-((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(0.45*SIN(2*PI()*(((Model_Data!A13)/Inputs!$C$49)+Inputs!$C$47*0.137))+0.35*COS(2*PI()*(((Inputs!$C$6)/Inputs!$C$50)+Inputs!$C$47*0.173))+0.20*SIN(2*PI()*(((Model_Data!A13)+(Inputs!$C$6))/(0.5*(Inputs!$C$49+Inputs!$C$50))+Inputs!$C$47*0.097)))+0.30*(2*((SIN(((Model_Data!A13)*12.9898+(Inputs!$C$6)*78.233+Inputs!$C$47*37.719))*43758.5453)-INT((SIN(((Model_Data!A13)*12.9898+(Inputs!$C$6)*78.233+Inputs!$C$47*37.719))*43758.5453)))-1))))/1000)^2)-(Inputs!$C$5-((Inputs!$C$51*(115*EXP(-(((0)-25)^2)/(4.5^2))+70*EXP(-(((0)+38)^2)/(7^2))*(0.55+0.45*SIN(2*PI()*(Model_Data!A13)/45))+24*SIN(2*PI()*(0)/9+(Model_Data!A13)/18)*EXP(-(((0)+5)^2)/(22^2))+18*SIN(2*PI()*(Model_Data!A13)/70))+Inputs!$C$28*EXP(-(((Model_Data!A13)-Inputs!$C$29)^2)/(2*Inputs!$C$31^2))*EXP(-(((0)-Inputs!$C$30)^2)/(2*Inputs!$C$32^2))+-Inputs!$C$33*EXP(-(((((Model_Data!A13)-Inputs!$C$34)^2)+(((0)-Inputs!$C$35)^2))/(2*Inputs!$C$36^2)))+Inputs!$C$37*(0.55*SIN(2*PI()*(Model_Data!A13)/Inputs!$C$39)+0.35*COS(2*PI()*(0)/Inputs!$C$40)+0.2*SIN(2*PI()*((Model_Data!A13)+(0))/(0.5*(Inputs!$C$39+Inputs!$C$40))))+Inputs!$C$38*SIN(2*PI()*(Model_Data!A13)/Inputs!$C$39)*SIN(2*PI()*(0)/Inputs!$C$40)+-Inputs!$C$41*EXP(-(((0)-Inputs!$C$43)^2)/(2*Inputs!$C$44^2))*EXP(-(((Model_Data!A13)-Inputs!$C$42)^2)/(2*Inputs!$C$45^2))+Inputs!$C$48*(0.70*(0.45*SIN(2*PI()*(((Model_Data!A13)/Inputs!$C$49)+Inputs!$C$47*0.137))+0.35*COS(2*PI()*(((0)/Inputs!$C$50)+Inputs!$C$47*0.173))+0.20*SIN(2*PI()*(((Model_Data!A13)+(0))/(0.5*(Inputs!$C$49+Inputs!$C$50))+Inputs!$C$47*0.097)))+0.30*(2*((SIN(((Model_Data!A13)*12.9898+(0)*78.233+Inputs!$C$47*37.719))*43758.5453)-INT((SIN(((Model_Data!A13)*12.9898+(0)*78.233+Inputs!$C$47*37.719))*43758.5453)))-1))))/1000))*1000/Inputs!$C$12)-((SQRT((Model_Data!A13)^2+Inputs!$C$6^2+Inputs!$C$5^2)-Inputs!$C$5)*1000/Inputs!$C$12)))</x:f>
        <x:v>0.01936409531845129</x:v>
      </x:c>
      <x:c r="X13" s="48" t="n">
        <x:f>0</x:f>
        <x:v>0</x:v>
      </x:c>
      <x:c r="Y13" s="49"/>
      <x:c r="Z13" s="48" t="n">
        <x:f>Model_Data!A13</x:f>
        <x:v>-54.5</x:v>
      </x:c>
      <x:c r="AA13" s="48" t="n">
        <x:f>SQRT((Model_Data!A13)^2+Inputs!$C$6^2+((Model_Data!B13)-((Inputs!$C$51*(115*EXP(-(((Inputs!$C$6)-25)^2)/(4.5^2))+70*EXP(-(((Inputs!$C$6)+38)^2)/(7^2))*(0.55+0.45*SIN(2*PI()*(Model_Data!A13)/45))+24*SIN(2*PI()*(Inputs!$C$6)/9+(Model_Data!A13)/18)*EXP(-(((Inputs!$C$6)+5)^2)/(22^2))+18*SIN(2*PI()*(Model_Data!A13)/70))+Inputs!$C$28*EXP(-(((Model_Data!A13)-Inputs!$C$29)^2)/(2*Inputs!$C$31^2))*EXP(-(((Inputs!$C$6)-Inputs!$C$30)^2)/(2*Inputs!$C$32^2))+-Inputs!$C$33*EXP(-(((((Model_Data!A13)-Inputs!$C$34)^2)+(((Inputs!$C$6)-Inputs!$C$35)^2))/(2*Inputs!$C$36^2)))+Inputs!$C$37*(0.55*SIN(2*PI()*(Model_Data!A13)/Inputs!$C$39)+0.35*COS(2*PI()*(Inputs!$C$6)/Inputs!$C$40)+0.2*SIN(2*PI()*((Model_Data!A13)+(Inputs!$C$6))/(0.5*(Inputs!$C$39+Inputs!$C$40))))+Inputs!$C$38*SIN(2*PI()*(Model_Data!A13)/Inputs!$C$39)*SIN(2*PI()*(Inputs!$C$6)/Inputs!$C$40)+-Inputs!$C$41*EXP(-(((Inputs!$C$6)-Inputs!$C$43)^2)/(2*Inputs!$C$44^2))*EXP(-(((Model_Data!A13)-Inputs!$C$42)^2)/(2*Inputs!$C$45^2))+Inputs!$C$48*(0.70*(0.45*SIN(2*PI()*(((Model_Data!A13)/Inputs!$C$49)+Inputs!$C$47*0.137))+0.35*COS(2*PI()*(((Inputs!$C$6)/Inputs!$C$50)+Inputs!$C$47*0.173))+0.20*SIN(2*PI()*(((Model_Data!A13)+(Inputs!$C$6))/(0.5*(Inputs!$C$49+Inputs!$C$50))+Inputs!$C$47*0.097)))+0.30*(2*((SIN(((Model_Data!A13)*12.9898+(Inputs!$C$6)*78.233+Inputs!$C$47*37.719))*43758.5453)-INT((SIN(((Model_Data!A13)*12.9898+(Inputs!$C$6)*78.233+Inputs!$C$47*37.719))*43758.5453)))-1))))/1000)^2)</x:f>
        <x:v>407.54090716284196</x:v>
      </x:c>
      <x:c r="AB13" s="48" t="n">
        <x:f>1000*(AA14-AA12)/(Z14-Z12)*Inputs!$C$11</x:f>
        <x:v>-1094.3397276823816</x:v>
      </x:c>
      <x:c r="AC13" s="48" t="n">
        <x:f>-2*AB13/Inputs!$C$13</x:f>
        <x:v>437.73589107295265</x:v>
      </x:c>
      <x:c r="AD13" s="48" t="n">
        <x:f>-2*AB13/Inputs!$C$14</x:f>
        <x:v>65.72610977071362</x:v>
      </x:c>
    </x:row>
    <x:row r="14">
      <x:c r="A14" s="48" t="n">
        <x:f>Model_Data!A14</x:f>
        <x:v>-54</x:v>
      </x:c>
      <x:c r="B14" s="48" t="n">
        <x:f>Model_Data!F14</x:f>
        <x:v>2453.3922539609484</x:v>
      </x:c>
      <x:c r="C14" s="48" t="n">
        <x:f>(((SQRT((Model_Data!A14)^2+Inputs!$C$6^2+((Model_Data!B14)-((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(0.45*SIN(2*PI()*(((Model_Data!A14)/Inputs!$C$49)+Inputs!$C$47*0.137))+0.35*COS(2*PI()*(((Inputs!$C$6)/Inputs!$C$50)+Inputs!$C$47*0.173))+0.20*SIN(2*PI()*(((Model_Data!A14)+(Inputs!$C$6))/(0.5*(Inputs!$C$49+Inputs!$C$50))+Inputs!$C$47*0.097)))+0.30*(2*((SIN(((Model_Data!A14)*12.9898+(Inputs!$C$6)*78.233+Inputs!$C$47*37.719))*43758.5453)-INT((SIN(((Model_Data!A14)*12.9898+(Inputs!$C$6)*78.233+Inputs!$C$47*37.719))*43758.5453)))-1))))/1000)^2))-(((Model_Data!B14)-((Inputs!$C$51*(115*EXP(-(((0)-25)^2)/(4.5^2))+70*EXP(-(((0)+38)^2)/(7^2))*(0.55+0.45*SIN(2*PI()*(Model_Data!A14)/45))+24*SIN(2*PI()*(0)/9+(Model_Data!A14)/18)*EXP(-(((0)+5)^2)/(22^2))+18*SIN(2*PI()*(Model_Data!A14)/70))+Inputs!$C$28*EXP(-(((Model_Data!A14)-Inputs!$C$29)^2)/(2*Inputs!$C$31^2))*EXP(-(((0)-Inputs!$C$30)^2)/(2*Inputs!$C$32^2))+-Inputs!$C$33*EXP(-(((((Model_Data!A14)-Inputs!$C$34)^2)+(((0)-Inputs!$C$35)^2))/(2*Inputs!$C$36^2)))+Inputs!$C$37*(0.55*SIN(2*PI()*(Model_Data!A14)/Inputs!$C$39)+0.35*COS(2*PI()*(0)/Inputs!$C$40)+0.2*SIN(2*PI()*((Model_Data!A14)+(0))/(0.5*(Inputs!$C$39+Inputs!$C$40))))+Inputs!$C$38*SIN(2*PI()*(Model_Data!A14)/Inputs!$C$39)*SIN(2*PI()*(0)/Inputs!$C$40)+-Inputs!$C$41*EXP(-(((0)-Inputs!$C$43)^2)/(2*Inputs!$C$44^2))*EXP(-(((Model_Data!A14)-Inputs!$C$42)^2)/(2*Inputs!$C$45^2))+Inputs!$C$48*(0.70*(0.45*SIN(2*PI()*(((Model_Data!A14)/Inputs!$C$49)+Inputs!$C$47*0.137))+0.35*COS(2*PI()*(((0)/Inputs!$C$50)+Inputs!$C$47*0.173))+0.20*SIN(2*PI()*(((Model_Data!A14)+(0))/(0.5*(Inputs!$C$49+Inputs!$C$50))+Inputs!$C$47*0.097)))+0.30*(2*((SIN(((Model_Data!A14)*12.9898+(0)*78.233+Inputs!$C$47*37.719))*43758.5453)-INT((SIN(((Model_Data!A14)*12.9898+(0)*78.233+Inputs!$C$47*37.719))*43758.5453)))-1))))/1000)))*1000/Inputs!$C$12)</x:f>
        <x:v>2365.540880248765</x:v>
      </x:c>
      <x:c r="D14" s="49"/>
      <x:c r="E14" s="48" t="n">
        <x:f>Model_Data!A14</x:f>
        <x:v>-54</x:v>
      </x:c>
      <x:c r="F14" s="48" t="n">
        <x:f>(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(0.45*SIN(2*PI()*(((Model_Data!A14)/Inputs!$C$49)+Inputs!$C$47*0.137))+0.35*COS(2*PI()*(((Inputs!$C$6)/Inputs!$C$50)+Inputs!$C$47*0.173))+0.20*SIN(2*PI()*(((Model_Data!A14)+(Inputs!$C$6))/(0.5*(Inputs!$C$49+Inputs!$C$50))+Inputs!$C$47*0.097)))+0.30*(2*((SIN(((Model_Data!A14)*12.9898+(Inputs!$C$6)*78.233+Inputs!$C$47*37.719))*43758.5453)-INT((SIN(((Model_Data!A14)*12.9898+(Inputs!$C$6)*78.233+Inputs!$C$47*37.719))*43758.5453)))-1)))</x:f>
        <x:v>196.39629745562698</x:v>
      </x:c>
      <x:c r="G14" s="48" t="n">
        <x:f>(Inputs!$C$51*(115*EXP(-(((0)-25)^2)/(4.5^2))+70*EXP(-(((0)+38)^2)/(7^2))*(0.55+0.45*SIN(2*PI()*(Model_Data!A14)/45))+24*SIN(2*PI()*(0)/9+(Model_Data!A14)/18)*EXP(-(((0)+5)^2)/(22^2))+18*SIN(2*PI()*(Model_Data!A14)/70))+Inputs!$C$28*EXP(-(((Model_Data!A14)-Inputs!$C$29)^2)/(2*Inputs!$C$31^2))*EXP(-(((0)-Inputs!$C$30)^2)/(2*Inputs!$C$32^2))+-Inputs!$C$33*EXP(-(((((Model_Data!A14)-Inputs!$C$34)^2)+(((0)-Inputs!$C$35)^2))/(2*Inputs!$C$36^2)))+Inputs!$C$37*(0.55*SIN(2*PI()*(Model_Data!A14)/Inputs!$C$39)+0.35*COS(2*PI()*(0)/Inputs!$C$40)+0.2*SIN(2*PI()*((Model_Data!A14)+(0))/(0.5*(Inputs!$C$39+Inputs!$C$40))))+Inputs!$C$38*SIN(2*PI()*(Model_Data!A14)/Inputs!$C$39)*SIN(2*PI()*(0)/Inputs!$C$40)+-Inputs!$C$41*EXP(-(((0)-Inputs!$C$43)^2)/(2*Inputs!$C$44^2))*EXP(-(((Model_Data!A14)-Inputs!$C$42)^2)/(2*Inputs!$C$45^2))+Inputs!$C$48*(0.70*(0.45*SIN(2*PI()*(((Model_Data!A14)/Inputs!$C$49)+Inputs!$C$47*0.137))+0.35*COS(2*PI()*(((0)/Inputs!$C$50)+Inputs!$C$47*0.173))+0.20*SIN(2*PI()*(((Model_Data!A14)+(0))/(0.5*(Inputs!$C$49+Inputs!$C$50))+Inputs!$C$47*0.097)))+0.30*(2*((SIN(((Model_Data!A14)*12.9898+(0)*78.233+Inputs!$C$47*37.719))*43758.5453)-INT((SIN(((Model_Data!A14)*12.9898+(0)*78.233+Inputs!$C$47*37.719))*43758.5453)))-1)))</x:f>
        <x:v>37.91568406723211</x:v>
      </x:c>
      <x:c r="H14" s="49"/>
      <x:c r="I14" s="48" t="n">
        <x:f>Model_Data!A14</x:f>
        <x:v>-54</x:v>
      </x:c>
      <x:c r="J14" s="48" t="n">
        <x:f>((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(0.45*SIN(2*PI()*(((Model_Data!A14)/Inputs!$C$49)+Inputs!$C$47*0.137))+0.35*COS(2*PI()*(((Inputs!$C$6)/Inputs!$C$50)+Inputs!$C$47*0.173))+0.20*SIN(2*PI()*(((Model_Data!A14)+(Inputs!$C$6))/(0.5*(Inputs!$C$49+Inputs!$C$50))+Inputs!$C$47*0.097)))+0.30*(2*((SIN(((Model_Data!A14)*12.9898+(Inputs!$C$6)*78.233+Inputs!$C$47*37.719))*43758.5453)-INT((SIN(((Model_Data!A14)*12.9898+(Inputs!$C$6)*78.233+Inputs!$C$47*37.719))*43758.5453)))-1))))-((Inputs!$C$51*(115*EXP(-(((0)-25)^2)/(4.5^2))+70*EXP(-(((0)+38)^2)/(7^2))*(0.55+0.45*SIN(2*PI()*(Model_Data!A14)/45))+24*SIN(2*PI()*(0)/9+(Model_Data!A14)/18)*EXP(-(((0)+5)^2)/(22^2))+18*SIN(2*PI()*(Model_Data!A14)/70))+Inputs!$C$28*EXP(-(((Model_Data!A14)-Inputs!$C$29)^2)/(2*Inputs!$C$31^2))*EXP(-(((0)-Inputs!$C$30)^2)/(2*Inputs!$C$32^2))+-Inputs!$C$33*EXP(-(((((Model_Data!A14)-Inputs!$C$34)^2)+(((0)-Inputs!$C$35)^2))/(2*Inputs!$C$36^2)))+Inputs!$C$37*(0.55*SIN(2*PI()*(Model_Data!A14)/Inputs!$C$39)+0.35*COS(2*PI()*(0)/Inputs!$C$40)+0.2*SIN(2*PI()*((Model_Data!A14)+(0))/(0.5*(Inputs!$C$39+Inputs!$C$40))))+Inputs!$C$38*SIN(2*PI()*(Model_Data!A14)/Inputs!$C$39)*SIN(2*PI()*(0)/Inputs!$C$40)+-Inputs!$C$41*EXP(-(((0)-Inputs!$C$43)^2)/(2*Inputs!$C$44^2))*EXP(-(((Model_Data!A14)-Inputs!$C$42)^2)/(2*Inputs!$C$45^2))+Inputs!$C$48*(0.70*(0.45*SIN(2*PI()*(((Model_Data!A14)/Inputs!$C$49)+Inputs!$C$47*0.137))+0.35*COS(2*PI()*(((0)/Inputs!$C$50)+Inputs!$C$47*0.173))+0.20*SIN(2*PI()*(((Model_Data!A14)+(0))/(0.5*(Inputs!$C$49+Inputs!$C$50))+Inputs!$C$47*0.097)))+0.30*(2*((SIN(((Model_Data!A14)*12.9898+(0)*78.233+Inputs!$C$47*37.719))*43758.5453)-INT((SIN(((Model_Data!A14)*12.9898+(0)*78.233+Inputs!$C$47*37.719))*43758.5453)))-1))))</x:f>
        <x:v>158.4806133883949</x:v>
      </x:c>
      <x:c r="K14" s="48" t="n">
        <x:f>-((((SQRT((Model_Data!A14)^2+Inputs!$C$6^2+((Model_Data!B14)-((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(0.45*SIN(2*PI()*(((Model_Data!A14)/Inputs!$C$49)+Inputs!$C$47*0.137))+0.35*COS(2*PI()*(((Inputs!$C$6)/Inputs!$C$50)+Inputs!$C$47*0.173))+0.20*SIN(2*PI()*(((Model_Data!A14)+(Inputs!$C$6))/(0.5*(Inputs!$C$49+Inputs!$C$50))+Inputs!$C$47*0.097)))+0.30*(2*((SIN(((Model_Data!A14)*12.9898+(Inputs!$C$6)*78.233+Inputs!$C$47*37.719))*43758.5453)-INT((SIN(((Model_Data!A14)*12.9898+(Inputs!$C$6)*78.233+Inputs!$C$47*37.719))*43758.5453)))-1))))/1000)^2))-(((Model_Data!B14)-((Inputs!$C$51*(115*EXP(-(((0)-25)^2)/(4.5^2))+70*EXP(-(((0)+38)^2)/(7^2))*(0.55+0.45*SIN(2*PI()*(Model_Data!A14)/45))+24*SIN(2*PI()*(0)/9+(Model_Data!A14)/18)*EXP(-(((0)+5)^2)/(22^2))+18*SIN(2*PI()*(Model_Data!A14)/70))+Inputs!$C$28*EXP(-(((Model_Data!A14)-Inputs!$C$29)^2)/(2*Inputs!$C$31^2))*EXP(-(((0)-Inputs!$C$30)^2)/(2*Inputs!$C$32^2))+-Inputs!$C$33*EXP(-(((((Model_Data!A14)-Inputs!$C$34)^2)+(((0)-Inputs!$C$35)^2))/(2*Inputs!$C$36^2)))+Inputs!$C$37*(0.55*SIN(2*PI()*(Model_Data!A14)/Inputs!$C$39)+0.35*COS(2*PI()*(0)/Inputs!$C$40)+0.2*SIN(2*PI()*((Model_Data!A14)+(0))/(0.5*(Inputs!$C$39+Inputs!$C$40))))+Inputs!$C$38*SIN(2*PI()*(Model_Data!A14)/Inputs!$C$39)*SIN(2*PI()*(0)/Inputs!$C$40)+-Inputs!$C$41*EXP(-(((0)-Inputs!$C$43)^2)/(2*Inputs!$C$44^2))*EXP(-(((Model_Data!A14)-Inputs!$C$42)^2)/(2*Inputs!$C$45^2))+Inputs!$C$48*(0.70*(0.45*SIN(2*PI()*(((Model_Data!A14)/Inputs!$C$49)+Inputs!$C$47*0.137))+0.35*COS(2*PI()*(((0)/Inputs!$C$50)+Inputs!$C$47*0.173))+0.20*SIN(2*PI()*(((Model_Data!A14)+(0))/(0.5*(Inputs!$C$49+Inputs!$C$50))+Inputs!$C$47*0.097)))+0.30*(2*((SIN(((Model_Data!A14)*12.9898+(0)*78.233+Inputs!$C$47*37.719))*43758.5453)-INT((SIN(((Model_Data!A14)*12.9898+(0)*78.233+Inputs!$C$47*37.719))*43758.5453)))-1))))/1000)))*1000/Inputs!$C$12)-Model_Data!F14)</x:f>
        <x:v>87.85137371218343</x:v>
      </x:c>
      <x:c r="L14" s="49"/>
      <x:c r="M14" s="48" t="n">
        <x:f>Model_Data!A14</x:f>
        <x:v>-54</x:v>
      </x:c>
      <x:c r="N14" s="48" t="n">
        <x:f>Model_Data!P14</x:f>
        <x:v>401.9118038751195</x:v>
      </x:c>
      <x:c r="O14" s="48" t="n">
        <x:f>AC14</x:f>
        <x:v>434.67739751295085</x:v>
      </x:c>
      <x:c r="P14" s="48" t="n">
        <x:f>Model_Data!Q14</x:f>
        <x:v>60.347117698966905</x:v>
      </x:c>
      <x:c r="Q14" s="48" t="n">
        <x:f>AD14</x:f>
        <x:v>65.26687650344608</x:v>
      </x:c>
      <x:c r="R14" s="49"/>
      <x:c r="S14" s="48" t="n">
        <x:f>Model_Data!A14</x:f>
        <x:v>-54</x:v>
      </x:c>
      <x:c r="T14" s="48" t="n">
        <x:f>Model_Data!B14-Inputs!$C$5</x:f>
        <x:v>3.240000000000009</x:v>
      </x:c>
      <x:c r="U14" s="49"/>
      <x:c r="V14" s="48" t="n">
        <x:f>Model_Data!A14</x:f>
        <x:v>-54</x:v>
      </x:c>
      <x:c r="W14" s="48" t="n">
        <x:f>(-((((SQRT((Model_Data!A14)^2+Inputs!$C$6^2+((Model_Data!B14)-((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(0.45*SIN(2*PI()*(((Model_Data!A14)/Inputs!$C$49)+Inputs!$C$47*0.137))+0.35*COS(2*PI()*(((Inputs!$C$6)/Inputs!$C$50)+Inputs!$C$47*0.173))+0.20*SIN(2*PI()*(((Model_Data!A14)+(Inputs!$C$6))/(0.5*(Inputs!$C$49+Inputs!$C$50))+Inputs!$C$47*0.097)))+0.30*(2*((SIN(((Model_Data!A14)*12.9898+(Inputs!$C$6)*78.233+Inputs!$C$47*37.719))*43758.5453)-INT((SIN(((Model_Data!A14)*12.9898+(Inputs!$C$6)*78.233+Inputs!$C$47*37.719))*43758.5453)))-1))))/1000)^2))-(((Model_Data!B14)-((Inputs!$C$51*(115*EXP(-(((0)-25)^2)/(4.5^2))+70*EXP(-(((0)+38)^2)/(7^2))*(0.55+0.45*SIN(2*PI()*(Model_Data!A14)/45))+24*SIN(2*PI()*(0)/9+(Model_Data!A14)/18)*EXP(-(((0)+5)^2)/(22^2))+18*SIN(2*PI()*(Model_Data!A14)/70))+Inputs!$C$28*EXP(-(((Model_Data!A14)-Inputs!$C$29)^2)/(2*Inputs!$C$31^2))*EXP(-(((0)-Inputs!$C$30)^2)/(2*Inputs!$C$32^2))+-Inputs!$C$33*EXP(-(((((Model_Data!A14)-Inputs!$C$34)^2)+(((0)-Inputs!$C$35)^2))/(2*Inputs!$C$36^2)))+Inputs!$C$37*(0.55*SIN(2*PI()*(Model_Data!A14)/Inputs!$C$39)+0.35*COS(2*PI()*(0)/Inputs!$C$40)+0.2*SIN(2*PI()*((Model_Data!A14)+(0))/(0.5*(Inputs!$C$39+Inputs!$C$40))))+Inputs!$C$38*SIN(2*PI()*(Model_Data!A14)/Inputs!$C$39)*SIN(2*PI()*(0)/Inputs!$C$40)+-Inputs!$C$41*EXP(-(((0)-Inputs!$C$43)^2)/(2*Inputs!$C$44^2))*EXP(-(((Model_Data!A14)-Inputs!$C$42)^2)/(2*Inputs!$C$45^2))+Inputs!$C$48*(0.70*(0.45*SIN(2*PI()*(((Model_Data!A14)/Inputs!$C$49)+Inputs!$C$47*0.137))+0.35*COS(2*PI()*(((0)/Inputs!$C$50)+Inputs!$C$47*0.173))+0.20*SIN(2*PI()*(((Model_Data!A14)+(0))/(0.5*(Inputs!$C$49+Inputs!$C$50))+Inputs!$C$47*0.097)))+0.30*(2*((SIN(((Model_Data!A14)*12.9898+(0)*78.233+Inputs!$C$47*37.719))*43758.5453)-INT((SIN(((Model_Data!A14)*12.9898+(0)*78.233+Inputs!$C$47*37.719))*43758.5453)))-1))))/1000)))*1000/Inputs!$C$12)-Model_Data!F14))-(-(((SQRT((Model_Data!A14)^2+Inputs!$C$6^2+(Inputs!$C$5-((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(0.45*SIN(2*PI()*(((Model_Data!A14)/Inputs!$C$49)+Inputs!$C$47*0.137))+0.35*COS(2*PI()*(((Inputs!$C$6)/Inputs!$C$50)+Inputs!$C$47*0.173))+0.20*SIN(2*PI()*(((Model_Data!A14)+(Inputs!$C$6))/(0.5*(Inputs!$C$49+Inputs!$C$50))+Inputs!$C$47*0.097)))+0.30*(2*((SIN(((Model_Data!A14)*12.9898+(Inputs!$C$6)*78.233+Inputs!$C$47*37.719))*43758.5453)-INT((SIN(((Model_Data!A14)*12.9898+(Inputs!$C$6)*78.233+Inputs!$C$47*37.719))*43758.5453)))-1))))/1000)^2)-(Inputs!$C$5-((Inputs!$C$51*(115*EXP(-(((0)-25)^2)/(4.5^2))+70*EXP(-(((0)+38)^2)/(7^2))*(0.55+0.45*SIN(2*PI()*(Model_Data!A14)/45))+24*SIN(2*PI()*(0)/9+(Model_Data!A14)/18)*EXP(-(((0)+5)^2)/(22^2))+18*SIN(2*PI()*(Model_Data!A14)/70))+Inputs!$C$28*EXP(-(((Model_Data!A14)-Inputs!$C$29)^2)/(2*Inputs!$C$31^2))*EXP(-(((0)-Inputs!$C$30)^2)/(2*Inputs!$C$32^2))+-Inputs!$C$33*EXP(-(((((Model_Data!A14)-Inputs!$C$34)^2)+(((0)-Inputs!$C$35)^2))/(2*Inputs!$C$36^2)))+Inputs!$C$37*(0.55*SIN(2*PI()*(Model_Data!A14)/Inputs!$C$39)+0.35*COS(2*PI()*(0)/Inputs!$C$40)+0.2*SIN(2*PI()*((Model_Data!A14)+(0))/(0.5*(Inputs!$C$39+Inputs!$C$40))))+Inputs!$C$38*SIN(2*PI()*(Model_Data!A14)/Inputs!$C$39)*SIN(2*PI()*(0)/Inputs!$C$40)+-Inputs!$C$41*EXP(-(((0)-Inputs!$C$43)^2)/(2*Inputs!$C$44^2))*EXP(-(((Model_Data!A14)-Inputs!$C$42)^2)/(2*Inputs!$C$45^2))+Inputs!$C$48*(0.70*(0.45*SIN(2*PI()*(((Model_Data!A14)/Inputs!$C$49)+Inputs!$C$47*0.137))+0.35*COS(2*PI()*(((0)/Inputs!$C$50)+Inputs!$C$47*0.173))+0.20*SIN(2*PI()*(((Model_Data!A14)+(0))/(0.5*(Inputs!$C$49+Inputs!$C$50))+Inputs!$C$47*0.097)))+0.30*(2*((SIN(((Model_Data!A14)*12.9898+(0)*78.233+Inputs!$C$47*37.719))*43758.5453)-INT((SIN(((Model_Data!A14)*12.9898+(0)*78.233+Inputs!$C$47*37.719))*43758.5453)))-1))))/1000))*1000/Inputs!$C$12)-((SQRT((Model_Data!A14)^2+Inputs!$C$6^2+Inputs!$C$5^2)-Inputs!$C$5)*1000/Inputs!$C$12)))</x:f>
        <x:v>0.018928538113868854</x:v>
      </x:c>
      <x:c r="X14" s="48" t="n">
        <x:f>0</x:f>
        <x:v>0</x:v>
      </x:c>
      <x:c r="Y14" s="49"/>
      <x:c r="Z14" s="48" t="n">
        <x:f>Model_Data!A14</x:f>
        <x:v>-54</x:v>
      </x:c>
      <x:c r="AA14" s="48" t="n">
        <x:f>SQRT((Model_Data!A14)^2+Inputs!$C$6^2+((Model_Data!B14)-((Inputs!$C$51*(115*EXP(-(((Inputs!$C$6)-25)^2)/(4.5^2))+70*EXP(-(((Inputs!$C$6)+38)^2)/(7^2))*(0.55+0.45*SIN(2*PI()*(Model_Data!A14)/45))+24*SIN(2*PI()*(Inputs!$C$6)/9+(Model_Data!A14)/18)*EXP(-(((Inputs!$C$6)+5)^2)/(22^2))+18*SIN(2*PI()*(Model_Data!A14)/70))+Inputs!$C$28*EXP(-(((Model_Data!A14)-Inputs!$C$29)^2)/(2*Inputs!$C$31^2))*EXP(-(((Inputs!$C$6)-Inputs!$C$30)^2)/(2*Inputs!$C$32^2))+-Inputs!$C$33*EXP(-(((((Model_Data!A14)-Inputs!$C$34)^2)+(((Inputs!$C$6)-Inputs!$C$35)^2))/(2*Inputs!$C$36^2)))+Inputs!$C$37*(0.55*SIN(2*PI()*(Model_Data!A14)/Inputs!$C$39)+0.35*COS(2*PI()*(Inputs!$C$6)/Inputs!$C$40)+0.2*SIN(2*PI()*((Model_Data!A14)+(Inputs!$C$6))/(0.5*(Inputs!$C$39+Inputs!$C$40))))+Inputs!$C$38*SIN(2*PI()*(Model_Data!A14)/Inputs!$C$39)*SIN(2*PI()*(Inputs!$C$6)/Inputs!$C$40)+-Inputs!$C$41*EXP(-(((Inputs!$C$6)-Inputs!$C$43)^2)/(2*Inputs!$C$44^2))*EXP(-(((Model_Data!A14)-Inputs!$C$42)^2)/(2*Inputs!$C$45^2))+Inputs!$C$48*(0.70*(0.45*SIN(2*PI()*(((Model_Data!A14)/Inputs!$C$49)+Inputs!$C$47*0.137))+0.35*COS(2*PI()*(((Inputs!$C$6)/Inputs!$C$50)+Inputs!$C$47*0.173))+0.20*SIN(2*PI()*(((Model_Data!A14)+(Inputs!$C$6))/(0.5*(Inputs!$C$49+Inputs!$C$50))+Inputs!$C$47*0.097)))+0.30*(2*((SIN(((Model_Data!A14)*12.9898+(Inputs!$C$6)*78.233+Inputs!$C$47*37.719))*43758.5453)-INT((SIN(((Model_Data!A14)*12.9898+(Inputs!$C$6)*78.233+Inputs!$C$47*37.719))*43758.5453)))-1))))/1000)^2)</x:f>
        <x:v>407.4127470827756</x:v>
      </x:c>
      <x:c r="AB14" s="48" t="n">
        <x:f>1000*(AA15-AA13)/(Z15-Z13)*Inputs!$C$11</x:f>
        <x:v>-1086.6934937823771</x:v>
      </x:c>
      <x:c r="AC14" s="48" t="n">
        <x:f>-2*AB14/Inputs!$C$13</x:f>
        <x:v>434.67739751295085</x:v>
      </x:c>
      <x:c r="AD14" s="48" t="n">
        <x:f>-2*AB14/Inputs!$C$14</x:f>
        <x:v>65.26687650344608</x:v>
      </x:c>
    </x:row>
    <x:row r="15">
      <x:c r="A15" s="48" t="n">
        <x:f>Model_Data!A15</x:f>
        <x:v>-53.5</x:v>
      </x:c>
      <x:c r="B15" s="48" t="n">
        <x:f>Model_Data!F15</x:f>
        <x:v>2416.7020585545083</x:v>
      </x:c>
      <x:c r="C15" s="48" t="n">
        <x:f>(((SQRT((Model_Data!A15)^2+Inputs!$C$6^2+((Model_Data!B15)-((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(0.45*SIN(2*PI()*(((Model_Data!A15)/Inputs!$C$49)+Inputs!$C$47*0.137))+0.35*COS(2*PI()*(((Inputs!$C$6)/Inputs!$C$50)+Inputs!$C$47*0.173))+0.20*SIN(2*PI()*(((Model_Data!A15)+(Inputs!$C$6))/(0.5*(Inputs!$C$49+Inputs!$C$50))+Inputs!$C$47*0.097)))+0.30*(2*((SIN(((Model_Data!A15)*12.9898+(Inputs!$C$6)*78.233+Inputs!$C$47*37.719))*43758.5453)-INT((SIN(((Model_Data!A15)*12.9898+(Inputs!$C$6)*78.233+Inputs!$C$47*37.719))*43758.5453)))-1))))/1000)^2))-(((Model_Data!B15)-((Inputs!$C$51*(115*EXP(-(((0)-25)^2)/(4.5^2))+70*EXP(-(((0)+38)^2)/(7^2))*(0.55+0.45*SIN(2*PI()*(Model_Data!A15)/45))+24*SIN(2*PI()*(0)/9+(Model_Data!A15)/18)*EXP(-(((0)+5)^2)/(22^2))+18*SIN(2*PI()*(Model_Data!A15)/70))+Inputs!$C$28*EXP(-(((Model_Data!A15)-Inputs!$C$29)^2)/(2*Inputs!$C$31^2))*EXP(-(((0)-Inputs!$C$30)^2)/(2*Inputs!$C$32^2))+-Inputs!$C$33*EXP(-(((((Model_Data!A15)-Inputs!$C$34)^2)+(((0)-Inputs!$C$35)^2))/(2*Inputs!$C$36^2)))+Inputs!$C$37*(0.55*SIN(2*PI()*(Model_Data!A15)/Inputs!$C$39)+0.35*COS(2*PI()*(0)/Inputs!$C$40)+0.2*SIN(2*PI()*((Model_Data!A15)+(0))/(0.5*(Inputs!$C$39+Inputs!$C$40))))+Inputs!$C$38*SIN(2*PI()*(Model_Data!A15)/Inputs!$C$39)*SIN(2*PI()*(0)/Inputs!$C$40)+-Inputs!$C$41*EXP(-(((0)-Inputs!$C$43)^2)/(2*Inputs!$C$44^2))*EXP(-(((Model_Data!A15)-Inputs!$C$42)^2)/(2*Inputs!$C$45^2))+Inputs!$C$48*(0.70*(0.45*SIN(2*PI()*(((Model_Data!A15)/Inputs!$C$49)+Inputs!$C$47*0.137))+0.35*COS(2*PI()*(((0)/Inputs!$C$50)+Inputs!$C$47*0.173))+0.20*SIN(2*PI()*(((Model_Data!A15)+(0))/(0.5*(Inputs!$C$49+Inputs!$C$50))+Inputs!$C$47*0.097)))+0.30*(2*((SIN(((Model_Data!A15)*12.9898+(0)*78.233+Inputs!$C$47*37.719))*43758.5453)-INT((SIN(((Model_Data!A15)*12.9898+(0)*78.233+Inputs!$C$47*37.719))*43758.5453)))-1))))/1000)))*1000/Inputs!$C$12)</x:f>
        <x:v>2324.8661258158404</x:v>
      </x:c>
      <x:c r="D15" s="49"/>
      <x:c r="E15" s="48" t="n">
        <x:f>Model_Data!A15</x:f>
        <x:v>-53.5</x:v>
      </x:c>
      <x:c r="F15" s="48" t="n">
        <x:f>(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(0.45*SIN(2*PI()*(((Model_Data!A15)/Inputs!$C$49)+Inputs!$C$47*0.137))+0.35*COS(2*PI()*(((Inputs!$C$6)/Inputs!$C$50)+Inputs!$C$47*0.173))+0.20*SIN(2*PI()*(((Model_Data!A15)+(Inputs!$C$6))/(0.5*(Inputs!$C$49+Inputs!$C$50))+Inputs!$C$47*0.097)))+0.30*(2*((SIN(((Model_Data!A15)*12.9898+(Inputs!$C$6)*78.233+Inputs!$C$47*37.719))*43758.5453)-INT((SIN(((Model_Data!A15)*12.9898+(Inputs!$C$6)*78.233+Inputs!$C$47*37.719))*43758.5453)))-1)))</x:f>
        <x:v>215.04504497494062</x:v>
      </x:c>
      <x:c r="G15" s="48" t="n">
        <x:f>(Inputs!$C$51*(115*EXP(-(((0)-25)^2)/(4.5^2))+70*EXP(-(((0)+38)^2)/(7^2))*(0.55+0.45*SIN(2*PI()*(Model_Data!A15)/45))+24*SIN(2*PI()*(0)/9+(Model_Data!A15)/18)*EXP(-(((0)+5)^2)/(22^2))+18*SIN(2*PI()*(Model_Data!A15)/70))+Inputs!$C$28*EXP(-(((Model_Data!A15)-Inputs!$C$29)^2)/(2*Inputs!$C$31^2))*EXP(-(((0)-Inputs!$C$30)^2)/(2*Inputs!$C$32^2))+-Inputs!$C$33*EXP(-(((((Model_Data!A15)-Inputs!$C$34)^2)+(((0)-Inputs!$C$35)^2))/(2*Inputs!$C$36^2)))+Inputs!$C$37*(0.55*SIN(2*PI()*(Model_Data!A15)/Inputs!$C$39)+0.35*COS(2*PI()*(0)/Inputs!$C$40)+0.2*SIN(2*PI()*((Model_Data!A15)+(0))/(0.5*(Inputs!$C$39+Inputs!$C$40))))+Inputs!$C$38*SIN(2*PI()*(Model_Data!A15)/Inputs!$C$39)*SIN(2*PI()*(0)/Inputs!$C$40)+-Inputs!$C$41*EXP(-(((0)-Inputs!$C$43)^2)/(2*Inputs!$C$44^2))*EXP(-(((Model_Data!A15)-Inputs!$C$42)^2)/(2*Inputs!$C$45^2))+Inputs!$C$48*(0.70*(0.45*SIN(2*PI()*(((Model_Data!A15)/Inputs!$C$49)+Inputs!$C$47*0.137))+0.35*COS(2*PI()*(((0)/Inputs!$C$50)+Inputs!$C$47*0.173))+0.20*SIN(2*PI()*(((Model_Data!A15)+(0))/(0.5*(Inputs!$C$49+Inputs!$C$50))+Inputs!$C$47*0.097)))+0.30*(2*((SIN(((Model_Data!A15)*12.9898+(0)*78.233+Inputs!$C$47*37.719))*43758.5453)-INT((SIN(((Model_Data!A15)*12.9898+(0)*78.233+Inputs!$C$47*37.719))*43758.5453)))-1)))</x:f>
        <x:v>49.305692333608725</x:v>
      </x:c>
      <x:c r="H15" s="49"/>
      <x:c r="I15" s="48" t="n">
        <x:f>Model_Data!A15</x:f>
        <x:v>-53.5</x:v>
      </x:c>
      <x:c r="J15" s="48" t="n">
        <x:f>((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(0.45*SIN(2*PI()*(((Model_Data!A15)/Inputs!$C$49)+Inputs!$C$47*0.137))+0.35*COS(2*PI()*(((Inputs!$C$6)/Inputs!$C$50)+Inputs!$C$47*0.173))+0.20*SIN(2*PI()*(((Model_Data!A15)+(Inputs!$C$6))/(0.5*(Inputs!$C$49+Inputs!$C$50))+Inputs!$C$47*0.097)))+0.30*(2*((SIN(((Model_Data!A15)*12.9898+(Inputs!$C$6)*78.233+Inputs!$C$47*37.719))*43758.5453)-INT((SIN(((Model_Data!A15)*12.9898+(Inputs!$C$6)*78.233+Inputs!$C$47*37.719))*43758.5453)))-1))))-((Inputs!$C$51*(115*EXP(-(((0)-25)^2)/(4.5^2))+70*EXP(-(((0)+38)^2)/(7^2))*(0.55+0.45*SIN(2*PI()*(Model_Data!A15)/45))+24*SIN(2*PI()*(0)/9+(Model_Data!A15)/18)*EXP(-(((0)+5)^2)/(22^2))+18*SIN(2*PI()*(Model_Data!A15)/70))+Inputs!$C$28*EXP(-(((Model_Data!A15)-Inputs!$C$29)^2)/(2*Inputs!$C$31^2))*EXP(-(((0)-Inputs!$C$30)^2)/(2*Inputs!$C$32^2))+-Inputs!$C$33*EXP(-(((((Model_Data!A15)-Inputs!$C$34)^2)+(((0)-Inputs!$C$35)^2))/(2*Inputs!$C$36^2)))+Inputs!$C$37*(0.55*SIN(2*PI()*(Model_Data!A15)/Inputs!$C$39)+0.35*COS(2*PI()*(0)/Inputs!$C$40)+0.2*SIN(2*PI()*((Model_Data!A15)+(0))/(0.5*(Inputs!$C$39+Inputs!$C$40))))+Inputs!$C$38*SIN(2*PI()*(Model_Data!A15)/Inputs!$C$39)*SIN(2*PI()*(0)/Inputs!$C$40)+-Inputs!$C$41*EXP(-(((0)-Inputs!$C$43)^2)/(2*Inputs!$C$44^2))*EXP(-(((Model_Data!A15)-Inputs!$C$42)^2)/(2*Inputs!$C$45^2))+Inputs!$C$48*(0.70*(0.45*SIN(2*PI()*(((Model_Data!A15)/Inputs!$C$49)+Inputs!$C$47*0.137))+0.35*COS(2*PI()*(((0)/Inputs!$C$50)+Inputs!$C$47*0.173))+0.20*SIN(2*PI()*(((Model_Data!A15)+(0))/(0.5*(Inputs!$C$49+Inputs!$C$50))+Inputs!$C$47*0.097)))+0.30*(2*((SIN(((Model_Data!A15)*12.9898+(0)*78.233+Inputs!$C$47*37.719))*43758.5453)-INT((SIN(((Model_Data!A15)*12.9898+(0)*78.233+Inputs!$C$47*37.719))*43758.5453)))-1))))</x:f>
        <x:v>165.7393526413319</x:v>
      </x:c>
      <x:c r="K15" s="48" t="n">
        <x:f>-((((SQRT((Model_Data!A15)^2+Inputs!$C$6^2+((Model_Data!B15)-((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(0.45*SIN(2*PI()*(((Model_Data!A15)/Inputs!$C$49)+Inputs!$C$47*0.137))+0.35*COS(2*PI()*(((Inputs!$C$6)/Inputs!$C$50)+Inputs!$C$47*0.173))+0.20*SIN(2*PI()*(((Model_Data!A15)+(Inputs!$C$6))/(0.5*(Inputs!$C$49+Inputs!$C$50))+Inputs!$C$47*0.097)))+0.30*(2*((SIN(((Model_Data!A15)*12.9898+(Inputs!$C$6)*78.233+Inputs!$C$47*37.719))*43758.5453)-INT((SIN(((Model_Data!A15)*12.9898+(Inputs!$C$6)*78.233+Inputs!$C$47*37.719))*43758.5453)))-1))))/1000)^2))-(((Model_Data!B15)-((Inputs!$C$51*(115*EXP(-(((0)-25)^2)/(4.5^2))+70*EXP(-(((0)+38)^2)/(7^2))*(0.55+0.45*SIN(2*PI()*(Model_Data!A15)/45))+24*SIN(2*PI()*(0)/9+(Model_Data!A15)/18)*EXP(-(((0)+5)^2)/(22^2))+18*SIN(2*PI()*(Model_Data!A15)/70))+Inputs!$C$28*EXP(-(((Model_Data!A15)-Inputs!$C$29)^2)/(2*Inputs!$C$31^2))*EXP(-(((0)-Inputs!$C$30)^2)/(2*Inputs!$C$32^2))+-Inputs!$C$33*EXP(-(((((Model_Data!A15)-Inputs!$C$34)^2)+(((0)-Inputs!$C$35)^2))/(2*Inputs!$C$36^2)))+Inputs!$C$37*(0.55*SIN(2*PI()*(Model_Data!A15)/Inputs!$C$39)+0.35*COS(2*PI()*(0)/Inputs!$C$40)+0.2*SIN(2*PI()*((Model_Data!A15)+(0))/(0.5*(Inputs!$C$39+Inputs!$C$40))))+Inputs!$C$38*SIN(2*PI()*(Model_Data!A15)/Inputs!$C$39)*SIN(2*PI()*(0)/Inputs!$C$40)+-Inputs!$C$41*EXP(-(((0)-Inputs!$C$43)^2)/(2*Inputs!$C$44^2))*EXP(-(((Model_Data!A15)-Inputs!$C$42)^2)/(2*Inputs!$C$45^2))+Inputs!$C$48*(0.70*(0.45*SIN(2*PI()*(((Model_Data!A15)/Inputs!$C$49)+Inputs!$C$47*0.137))+0.35*COS(2*PI()*(((0)/Inputs!$C$50)+Inputs!$C$47*0.173))+0.20*SIN(2*PI()*(((Model_Data!A15)+(0))/(0.5*(Inputs!$C$49+Inputs!$C$50))+Inputs!$C$47*0.097)))+0.30*(2*((SIN(((Model_Data!A15)*12.9898+(0)*78.233+Inputs!$C$47*37.719))*43758.5453)-INT((SIN(((Model_Data!A15)*12.9898+(0)*78.233+Inputs!$C$47*37.719))*43758.5453)))-1))))/1000)))*1000/Inputs!$C$12)-Model_Data!F15)</x:f>
        <x:v>91.8359327386679</x:v>
      </x:c>
      <x:c r="L15" s="49"/>
      <x:c r="M15" s="48" t="n">
        <x:f>Model_Data!A15</x:f>
        <x:v>-53.5</x:v>
      </x:c>
      <x:c r="N15" s="48" t="n">
        <x:f>Model_Data!P15</x:f>
        <x:v>398.28469829593723</x:v>
      </x:c>
      <x:c r="O15" s="48" t="n">
        <x:f>AC15</x:f>
        <x:v>436.1964650725895</x:v>
      </x:c>
      <x:c r="P15" s="48" t="n">
        <x:f>Model_Data!Q15</x:f>
        <x:v>59.80250725164223</x:v>
      </x:c>
      <x:c r="Q15" s="48" t="n">
        <x:f>AD15</x:f>
        <x:v>65.49496472561404</x:v>
      </x:c>
      <x:c r="R15" s="49"/>
      <x:c r="S15" s="48" t="n">
        <x:f>Model_Data!A15</x:f>
        <x:v>-53.5</x:v>
      </x:c>
      <x:c r="T15" s="48" t="n">
        <x:f>Model_Data!B15-Inputs!$C$5</x:f>
        <x:v>3.1802777777778033</x:v>
      </x:c>
      <x:c r="U15" s="49"/>
      <x:c r="V15" s="48" t="n">
        <x:f>Model_Data!A15</x:f>
        <x:v>-53.5</x:v>
      </x:c>
      <x:c r="W15" s="48" t="n">
        <x:f>(-((((SQRT((Model_Data!A15)^2+Inputs!$C$6^2+((Model_Data!B15)-((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(0.45*SIN(2*PI()*(((Model_Data!A15)/Inputs!$C$49)+Inputs!$C$47*0.137))+0.35*COS(2*PI()*(((Inputs!$C$6)/Inputs!$C$50)+Inputs!$C$47*0.173))+0.20*SIN(2*PI()*(((Model_Data!A15)+(Inputs!$C$6))/(0.5*(Inputs!$C$49+Inputs!$C$50))+Inputs!$C$47*0.097)))+0.30*(2*((SIN(((Model_Data!A15)*12.9898+(Inputs!$C$6)*78.233+Inputs!$C$47*37.719))*43758.5453)-INT((SIN(((Model_Data!A15)*12.9898+(Inputs!$C$6)*78.233+Inputs!$C$47*37.719))*43758.5453)))-1))))/1000)^2))-(((Model_Data!B15)-((Inputs!$C$51*(115*EXP(-(((0)-25)^2)/(4.5^2))+70*EXP(-(((0)+38)^2)/(7^2))*(0.55+0.45*SIN(2*PI()*(Model_Data!A15)/45))+24*SIN(2*PI()*(0)/9+(Model_Data!A15)/18)*EXP(-(((0)+5)^2)/(22^2))+18*SIN(2*PI()*(Model_Data!A15)/70))+Inputs!$C$28*EXP(-(((Model_Data!A15)-Inputs!$C$29)^2)/(2*Inputs!$C$31^2))*EXP(-(((0)-Inputs!$C$30)^2)/(2*Inputs!$C$32^2))+-Inputs!$C$33*EXP(-(((((Model_Data!A15)-Inputs!$C$34)^2)+(((0)-Inputs!$C$35)^2))/(2*Inputs!$C$36^2)))+Inputs!$C$37*(0.55*SIN(2*PI()*(Model_Data!A15)/Inputs!$C$39)+0.35*COS(2*PI()*(0)/Inputs!$C$40)+0.2*SIN(2*PI()*((Model_Data!A15)+(0))/(0.5*(Inputs!$C$39+Inputs!$C$40))))+Inputs!$C$38*SIN(2*PI()*(Model_Data!A15)/Inputs!$C$39)*SIN(2*PI()*(0)/Inputs!$C$40)+-Inputs!$C$41*EXP(-(((0)-Inputs!$C$43)^2)/(2*Inputs!$C$44^2))*EXP(-(((Model_Data!A15)-Inputs!$C$42)^2)/(2*Inputs!$C$45^2))+Inputs!$C$48*(0.70*(0.45*SIN(2*PI()*(((Model_Data!A15)/Inputs!$C$49)+Inputs!$C$47*0.137))+0.35*COS(2*PI()*(((0)/Inputs!$C$50)+Inputs!$C$47*0.173))+0.20*SIN(2*PI()*(((Model_Data!A15)+(0))/(0.5*(Inputs!$C$49+Inputs!$C$50))+Inputs!$C$47*0.097)))+0.30*(2*((SIN(((Model_Data!A15)*12.9898+(0)*78.233+Inputs!$C$47*37.719))*43758.5453)-INT((SIN(((Model_Data!A15)*12.9898+(0)*78.233+Inputs!$C$47*37.719))*43758.5453)))-1))))/1000)))*1000/Inputs!$C$12)-Model_Data!F15))-(-(((SQRT((Model_Data!A15)^2+Inputs!$C$6^2+(Inputs!$C$5-((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(0.45*SIN(2*PI()*(((Model_Data!A15)/Inputs!$C$49)+Inputs!$C$47*0.137))+0.35*COS(2*PI()*(((Inputs!$C$6)/Inputs!$C$50)+Inputs!$C$47*0.173))+0.20*SIN(2*PI()*(((Model_Data!A15)+(Inputs!$C$6))/(0.5*(Inputs!$C$49+Inputs!$C$50))+Inputs!$C$47*0.097)))+0.30*(2*((SIN(((Model_Data!A15)*12.9898+(Inputs!$C$6)*78.233+Inputs!$C$47*37.719))*43758.5453)-INT((SIN(((Model_Data!A15)*12.9898+(Inputs!$C$6)*78.233+Inputs!$C$47*37.719))*43758.5453)))-1))))/1000)^2)-(Inputs!$C$5-((Inputs!$C$51*(115*EXP(-(((0)-25)^2)/(4.5^2))+70*EXP(-(((0)+38)^2)/(7^2))*(0.55+0.45*SIN(2*PI()*(Model_Data!A15)/45))+24*SIN(2*PI()*(0)/9+(Model_Data!A15)/18)*EXP(-(((0)+5)^2)/(22^2))+18*SIN(2*PI()*(Model_Data!A15)/70))+Inputs!$C$28*EXP(-(((Model_Data!A15)-Inputs!$C$29)^2)/(2*Inputs!$C$31^2))*EXP(-(((0)-Inputs!$C$30)^2)/(2*Inputs!$C$32^2))+-Inputs!$C$33*EXP(-(((((Model_Data!A15)-Inputs!$C$34)^2)+(((0)-Inputs!$C$35)^2))/(2*Inputs!$C$36^2)))+Inputs!$C$37*(0.55*SIN(2*PI()*(Model_Data!A15)/Inputs!$C$39)+0.35*COS(2*PI()*(0)/Inputs!$C$40)+0.2*SIN(2*PI()*((Model_Data!A15)+(0))/(0.5*(Inputs!$C$39+Inputs!$C$40))))+Inputs!$C$38*SIN(2*PI()*(Model_Data!A15)/Inputs!$C$39)*SIN(2*PI()*(0)/Inputs!$C$40)+-Inputs!$C$41*EXP(-(((0)-Inputs!$C$43)^2)/(2*Inputs!$C$44^2))*EXP(-(((Model_Data!A15)-Inputs!$C$42)^2)/(2*Inputs!$C$45^2))+Inputs!$C$48*(0.70*(0.45*SIN(2*PI()*(((Model_Data!A15)/Inputs!$C$49)+Inputs!$C$47*0.137))+0.35*COS(2*PI()*(((0)/Inputs!$C$50)+Inputs!$C$47*0.173))+0.20*SIN(2*PI()*(((Model_Data!A15)+(0))/(0.5*(Inputs!$C$49+Inputs!$C$50))+Inputs!$C$47*0.097)))+0.30*(2*((SIN(((Model_Data!A15)*12.9898+(0)*78.233+Inputs!$C$47*37.719))*43758.5453)-INT((SIN(((Model_Data!A15)*12.9898+(0)*78.233+Inputs!$C$47*37.719))*43758.5453)))-1))))/1000))*1000/Inputs!$C$12)-((SQRT((Model_Data!A15)^2+Inputs!$C$6^2+Inputs!$C$5^2)-Inputs!$C$5)*1000/Inputs!$C$12)))</x:f>
        <x:v>0.02005058134363935</x:v>
      </x:c>
      <x:c r="X15" s="48" t="n">
        <x:f>0</x:f>
        <x:v>0</x:v>
      </x:c>
      <x:c r="Y15" s="49"/>
      <x:c r="Z15" s="48" t="n">
        <x:f>Model_Data!A15</x:f>
        <x:v>-53.5</x:v>
      </x:c>
      <x:c r="AA15" s="48" t="n">
        <x:f>SQRT((Model_Data!A15)^2+Inputs!$C$6^2+((Model_Data!B15)-((Inputs!$C$51*(115*EXP(-(((Inputs!$C$6)-25)^2)/(4.5^2))+70*EXP(-(((Inputs!$C$6)+38)^2)/(7^2))*(0.55+0.45*SIN(2*PI()*(Model_Data!A15)/45))+24*SIN(2*PI()*(Inputs!$C$6)/9+(Model_Data!A15)/18)*EXP(-(((Inputs!$C$6)+5)^2)/(22^2))+18*SIN(2*PI()*(Model_Data!A15)/70))+Inputs!$C$28*EXP(-(((Model_Data!A15)-Inputs!$C$29)^2)/(2*Inputs!$C$31^2))*EXP(-(((Inputs!$C$6)-Inputs!$C$30)^2)/(2*Inputs!$C$32^2))+-Inputs!$C$33*EXP(-(((((Model_Data!A15)-Inputs!$C$34)^2)+(((Inputs!$C$6)-Inputs!$C$35)^2))/(2*Inputs!$C$36^2)))+Inputs!$C$37*(0.55*SIN(2*PI()*(Model_Data!A15)/Inputs!$C$39)+0.35*COS(2*PI()*(Inputs!$C$6)/Inputs!$C$40)+0.2*SIN(2*PI()*((Model_Data!A15)+(Inputs!$C$6))/(0.5*(Inputs!$C$39+Inputs!$C$40))))+Inputs!$C$38*SIN(2*PI()*(Model_Data!A15)/Inputs!$C$39)*SIN(2*PI()*(Inputs!$C$6)/Inputs!$C$40)+-Inputs!$C$41*EXP(-(((Inputs!$C$6)-Inputs!$C$43)^2)/(2*Inputs!$C$44^2))*EXP(-(((Model_Data!A15)-Inputs!$C$42)^2)/(2*Inputs!$C$45^2))+Inputs!$C$48*(0.70*(0.45*SIN(2*PI()*(((Model_Data!A15)/Inputs!$C$49)+Inputs!$C$47*0.137))+0.35*COS(2*PI()*(((Inputs!$C$6)/Inputs!$C$50)+Inputs!$C$47*0.173))+0.20*SIN(2*PI()*(((Model_Data!A15)+(Inputs!$C$6))/(0.5*(Inputs!$C$49+Inputs!$C$50))+Inputs!$C$47*0.097)))+0.30*(2*((SIN(((Model_Data!A15)*12.9898+(Inputs!$C$6)*78.233+Inputs!$C$47*37.719))*43758.5453)-INT((SIN(((Model_Data!A15)*12.9898+(Inputs!$C$6)*78.233+Inputs!$C$47*37.719))*43758.5453)))-1))))/1000)^2)</x:f>
        <x:v>407.26923378939637</x:v>
      </x:c>
      <x:c r="AB15" s="48" t="n">
        <x:f>1000*(AA16-AA14)/(Z16-Z14)*Inputs!$C$11</x:f>
        <x:v>-1090.4911626814737</x:v>
      </x:c>
      <x:c r="AC15" s="48" t="n">
        <x:f>-2*AB15/Inputs!$C$13</x:f>
        <x:v>436.1964650725895</x:v>
      </x:c>
      <x:c r="AD15" s="48" t="n">
        <x:f>-2*AB15/Inputs!$C$14</x:f>
        <x:v>65.49496472561404</x:v>
      </x:c>
    </x:row>
    <x:row r="16">
      <x:c r="A16" s="48" t="n">
        <x:f>Model_Data!A16</x:f>
        <x:v>-53</x:v>
      </x:c>
      <x:c r="B16" s="48" t="n">
        <x:f>Model_Data!F16</x:f>
        <x:v>2380.3367583116014</x:v>
      </x:c>
      <x:c r="C16" s="48" t="n">
        <x:f>(((SQRT((Model_Data!A16)^2+Inputs!$C$6^2+((Model_Data!B16)-((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(0.45*SIN(2*PI()*(((Model_Data!A16)/Inputs!$C$49)+Inputs!$C$47*0.137))+0.35*COS(2*PI()*(((Inputs!$C$6)/Inputs!$C$50)+Inputs!$C$47*0.173))+0.20*SIN(2*PI()*(((Model_Data!A16)+(Inputs!$C$6))/(0.5*(Inputs!$C$49+Inputs!$C$50))+Inputs!$C$47*0.097)))+0.30*(2*((SIN(((Model_Data!A16)*12.9898+(Inputs!$C$6)*78.233+Inputs!$C$47*37.719))*43758.5453)-INT((SIN(((Model_Data!A16)*12.9898+(Inputs!$C$6)*78.233+Inputs!$C$47*37.719))*43758.5453)))-1))))/1000)^2))-(((Model_Data!B16)-((Inputs!$C$51*(115*EXP(-(((0)-25)^2)/(4.5^2))+70*EXP(-(((0)+38)^2)/(7^2))*(0.55+0.45*SIN(2*PI()*(Model_Data!A16)/45))+24*SIN(2*PI()*(0)/9+(Model_Data!A16)/18)*EXP(-(((0)+5)^2)/(22^2))+18*SIN(2*PI()*(Model_Data!A16)/70))+Inputs!$C$28*EXP(-(((Model_Data!A16)-Inputs!$C$29)^2)/(2*Inputs!$C$31^2))*EXP(-(((0)-Inputs!$C$30)^2)/(2*Inputs!$C$32^2))+-Inputs!$C$33*EXP(-(((((Model_Data!A16)-Inputs!$C$34)^2)+(((0)-Inputs!$C$35)^2))/(2*Inputs!$C$36^2)))+Inputs!$C$37*(0.55*SIN(2*PI()*(Model_Data!A16)/Inputs!$C$39)+0.35*COS(2*PI()*(0)/Inputs!$C$40)+0.2*SIN(2*PI()*((Model_Data!A16)+(0))/(0.5*(Inputs!$C$39+Inputs!$C$40))))+Inputs!$C$38*SIN(2*PI()*(Model_Data!A16)/Inputs!$C$39)*SIN(2*PI()*(0)/Inputs!$C$40)+-Inputs!$C$41*EXP(-(((0)-Inputs!$C$43)^2)/(2*Inputs!$C$44^2))*EXP(-(((Model_Data!A16)-Inputs!$C$42)^2)/(2*Inputs!$C$45^2))+Inputs!$C$48*(0.70*(0.45*SIN(2*PI()*(((Model_Data!A16)/Inputs!$C$49)+Inputs!$C$47*0.137))+0.35*COS(2*PI()*(((0)/Inputs!$C$50)+Inputs!$C$47*0.173))+0.20*SIN(2*PI()*(((Model_Data!A16)+(0))/(0.5*(Inputs!$C$49+Inputs!$C$50))+Inputs!$C$47*0.097)))+0.30*(2*((SIN(((Model_Data!A16)*12.9898+(0)*78.233+Inputs!$C$47*37.719))*43758.5453)-INT((SIN(((Model_Data!A16)*12.9898+(0)*78.233+Inputs!$C$47*37.719))*43758.5453)))-1))))/1000)))*1000/Inputs!$C$12)</x:f>
        <x:v>2288.7500043131804</x:v>
      </x:c>
      <x:c r="D16" s="49"/>
      <x:c r="E16" s="48" t="n">
        <x:f>Model_Data!A16</x:f>
        <x:v>-53</x:v>
      </x:c>
      <x:c r="F16" s="48" t="n">
        <x:f>(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(0.45*SIN(2*PI()*(((Model_Data!A16)/Inputs!$C$49)+Inputs!$C$47*0.137))+0.35*COS(2*PI()*(((Inputs!$C$6)/Inputs!$C$50)+Inputs!$C$47*0.173))+0.20*SIN(2*PI()*(((Model_Data!A16)+(Inputs!$C$6))/(0.5*(Inputs!$C$49+Inputs!$C$50))+Inputs!$C$47*0.097)))+0.30*(2*((SIN(((Model_Data!A16)*12.9898+(Inputs!$C$6)*78.233+Inputs!$C$47*37.719))*43758.5453)-INT((SIN(((Model_Data!A16)*12.9898+(Inputs!$C$6)*78.233+Inputs!$C$47*37.719))*43758.5453)))-1)))</x:f>
        <x:v>220.27863667842527</x:v>
      </x:c>
      <x:c r="G16" s="48" t="n">
        <x:f>(Inputs!$C$51*(115*EXP(-(((0)-25)^2)/(4.5^2))+70*EXP(-(((0)+38)^2)/(7^2))*(0.55+0.45*SIN(2*PI()*(Model_Data!A16)/45))+24*SIN(2*PI()*(0)/9+(Model_Data!A16)/18)*EXP(-(((0)+5)^2)/(22^2))+18*SIN(2*PI()*(Model_Data!A16)/70))+Inputs!$C$28*EXP(-(((Model_Data!A16)-Inputs!$C$29)^2)/(2*Inputs!$C$31^2))*EXP(-(((0)-Inputs!$C$30)^2)/(2*Inputs!$C$32^2))+-Inputs!$C$33*EXP(-(((((Model_Data!A16)-Inputs!$C$34)^2)+(((0)-Inputs!$C$35)^2))/(2*Inputs!$C$36^2)))+Inputs!$C$37*(0.55*SIN(2*PI()*(Model_Data!A16)/Inputs!$C$39)+0.35*COS(2*PI()*(0)/Inputs!$C$40)+0.2*SIN(2*PI()*((Model_Data!A16)+(0))/(0.5*(Inputs!$C$39+Inputs!$C$40))))+Inputs!$C$38*SIN(2*PI()*(Model_Data!A16)/Inputs!$C$39)*SIN(2*PI()*(0)/Inputs!$C$40)+-Inputs!$C$41*EXP(-(((0)-Inputs!$C$43)^2)/(2*Inputs!$C$44^2))*EXP(-(((Model_Data!A16)-Inputs!$C$42)^2)/(2*Inputs!$C$45^2))+Inputs!$C$48*(0.70*(0.45*SIN(2*PI()*(((Model_Data!A16)/Inputs!$C$49)+Inputs!$C$47*0.137))+0.35*COS(2*PI()*(((0)/Inputs!$C$50)+Inputs!$C$47*0.173))+0.20*SIN(2*PI()*(((Model_Data!A16)+(0))/(0.5*(Inputs!$C$49+Inputs!$C$50))+Inputs!$C$47*0.097)))+0.30*(2*((SIN(((Model_Data!A16)*12.9898+(0)*78.233+Inputs!$C$47*37.719))*43758.5453)-INT((SIN(((Model_Data!A16)*12.9898+(0)*78.233+Inputs!$C$47*37.719))*43758.5453)))-1)))</x:f>
        <x:v>54.9618266833629</x:v>
      </x:c>
      <x:c r="H16" s="49"/>
      <x:c r="I16" s="48" t="n">
        <x:f>Model_Data!A16</x:f>
        <x:v>-53</x:v>
      </x:c>
      <x:c r="J16" s="48" t="n">
        <x:f>((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(0.45*SIN(2*PI()*(((Model_Data!A16)/Inputs!$C$49)+Inputs!$C$47*0.137))+0.35*COS(2*PI()*(((Inputs!$C$6)/Inputs!$C$50)+Inputs!$C$47*0.173))+0.20*SIN(2*PI()*(((Model_Data!A16)+(Inputs!$C$6))/(0.5*(Inputs!$C$49+Inputs!$C$50))+Inputs!$C$47*0.097)))+0.30*(2*((SIN(((Model_Data!A16)*12.9898+(Inputs!$C$6)*78.233+Inputs!$C$47*37.719))*43758.5453)-INT((SIN(((Model_Data!A16)*12.9898+(Inputs!$C$6)*78.233+Inputs!$C$47*37.719))*43758.5453)))-1))))-((Inputs!$C$51*(115*EXP(-(((0)-25)^2)/(4.5^2))+70*EXP(-(((0)+38)^2)/(7^2))*(0.55+0.45*SIN(2*PI()*(Model_Data!A16)/45))+24*SIN(2*PI()*(0)/9+(Model_Data!A16)/18)*EXP(-(((0)+5)^2)/(22^2))+18*SIN(2*PI()*(Model_Data!A16)/70))+Inputs!$C$28*EXP(-(((Model_Data!A16)-Inputs!$C$29)^2)/(2*Inputs!$C$31^2))*EXP(-(((0)-Inputs!$C$30)^2)/(2*Inputs!$C$32^2))+-Inputs!$C$33*EXP(-(((((Model_Data!A16)-Inputs!$C$34)^2)+(((0)-Inputs!$C$35)^2))/(2*Inputs!$C$36^2)))+Inputs!$C$37*(0.55*SIN(2*PI()*(Model_Data!A16)/Inputs!$C$39)+0.35*COS(2*PI()*(0)/Inputs!$C$40)+0.2*SIN(2*PI()*((Model_Data!A16)+(0))/(0.5*(Inputs!$C$39+Inputs!$C$40))))+Inputs!$C$38*SIN(2*PI()*(Model_Data!A16)/Inputs!$C$39)*SIN(2*PI()*(0)/Inputs!$C$40)+-Inputs!$C$41*EXP(-(((0)-Inputs!$C$43)^2)/(2*Inputs!$C$44^2))*EXP(-(((Model_Data!A16)-Inputs!$C$42)^2)/(2*Inputs!$C$45^2))+Inputs!$C$48*(0.70*(0.45*SIN(2*PI()*(((Model_Data!A16)/Inputs!$C$49)+Inputs!$C$47*0.137))+0.35*COS(2*PI()*(((0)/Inputs!$C$50)+Inputs!$C$47*0.173))+0.20*SIN(2*PI()*(((Model_Data!A16)+(0))/(0.5*(Inputs!$C$49+Inputs!$C$50))+Inputs!$C$47*0.097)))+0.30*(2*((SIN(((Model_Data!A16)*12.9898+(0)*78.233+Inputs!$C$47*37.719))*43758.5453)-INT((SIN(((Model_Data!A16)*12.9898+(0)*78.233+Inputs!$C$47*37.719))*43758.5453)))-1))))</x:f>
        <x:v>165.31680999506239</x:v>
      </x:c>
      <x:c r="K16" s="48" t="n">
        <x:f>-((((SQRT((Model_Data!A16)^2+Inputs!$C$6^2+((Model_Data!B16)-((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(0.45*SIN(2*PI()*(((Model_Data!A16)/Inputs!$C$49)+Inputs!$C$47*0.137))+0.35*COS(2*PI()*(((Inputs!$C$6)/Inputs!$C$50)+Inputs!$C$47*0.173))+0.20*SIN(2*PI()*(((Model_Data!A16)+(Inputs!$C$6))/(0.5*(Inputs!$C$49+Inputs!$C$50))+Inputs!$C$47*0.097)))+0.30*(2*((SIN(((Model_Data!A16)*12.9898+(Inputs!$C$6)*78.233+Inputs!$C$47*37.719))*43758.5453)-INT((SIN(((Model_Data!A16)*12.9898+(Inputs!$C$6)*78.233+Inputs!$C$47*37.719))*43758.5453)))-1))))/1000)^2))-(((Model_Data!B16)-((Inputs!$C$51*(115*EXP(-(((0)-25)^2)/(4.5^2))+70*EXP(-(((0)+38)^2)/(7^2))*(0.55+0.45*SIN(2*PI()*(Model_Data!A16)/45))+24*SIN(2*PI()*(0)/9+(Model_Data!A16)/18)*EXP(-(((0)+5)^2)/(22^2))+18*SIN(2*PI()*(Model_Data!A16)/70))+Inputs!$C$28*EXP(-(((Model_Data!A16)-Inputs!$C$29)^2)/(2*Inputs!$C$31^2))*EXP(-(((0)-Inputs!$C$30)^2)/(2*Inputs!$C$32^2))+-Inputs!$C$33*EXP(-(((((Model_Data!A16)-Inputs!$C$34)^2)+(((0)-Inputs!$C$35)^2))/(2*Inputs!$C$36^2)))+Inputs!$C$37*(0.55*SIN(2*PI()*(Model_Data!A16)/Inputs!$C$39)+0.35*COS(2*PI()*(0)/Inputs!$C$40)+0.2*SIN(2*PI()*((Model_Data!A16)+(0))/(0.5*(Inputs!$C$39+Inputs!$C$40))))+Inputs!$C$38*SIN(2*PI()*(Model_Data!A16)/Inputs!$C$39)*SIN(2*PI()*(0)/Inputs!$C$40)+-Inputs!$C$41*EXP(-(((0)-Inputs!$C$43)^2)/(2*Inputs!$C$44^2))*EXP(-(((Model_Data!A16)-Inputs!$C$42)^2)/(2*Inputs!$C$45^2))+Inputs!$C$48*(0.70*(0.45*SIN(2*PI()*(((Model_Data!A16)/Inputs!$C$49)+Inputs!$C$47*0.137))+0.35*COS(2*PI()*(((0)/Inputs!$C$50)+Inputs!$C$47*0.173))+0.20*SIN(2*PI()*(((Model_Data!A16)+(0))/(0.5*(Inputs!$C$49+Inputs!$C$50))+Inputs!$C$47*0.097)))+0.30*(2*((SIN(((Model_Data!A16)*12.9898+(0)*78.233+Inputs!$C$47*37.719))*43758.5453)-INT((SIN(((Model_Data!A16)*12.9898+(0)*78.233+Inputs!$C$47*37.719))*43758.5453)))-1))))/1000)))*1000/Inputs!$C$12)-Model_Data!F16)</x:f>
        <x:v>91.58675399842105</x:v>
      </x:c>
      <x:c r="L16" s="49"/>
      <x:c r="M16" s="48" t="n">
        <x:f>Model_Data!A16</x:f>
        <x:v>-53</x:v>
      </x:c>
      <x:c r="N16" s="48" t="n">
        <x:f>Model_Data!P16</x:f>
        <x:v>394.6550459341274</x:v>
      </x:c>
      <x:c r="O16" s="48" t="n">
        <x:f>AC16</x:f>
        <x:v>416.0458413987726</x:v>
      </x:c>
      <x:c r="P16" s="48" t="n">
        <x:f>Model_Data!Q16</x:f>
        <x:v>59.25751440452363</x:v>
      </x:c>
      <x:c r="Q16" s="48" t="n">
        <x:f>AD16</x:f>
        <x:v>62.46934555537127</x:v>
      </x:c>
      <x:c r="R16" s="49"/>
      <x:c r="S16" s="48" t="n">
        <x:f>Model_Data!A16</x:f>
        <x:v>-53</x:v>
      </x:c>
      <x:c r="T16" s="48" t="n">
        <x:f>Model_Data!B16-Inputs!$C$5</x:f>
        <x:v>3.1211111111111336</x:v>
      </x:c>
      <x:c r="U16" s="49"/>
      <x:c r="V16" s="48" t="n">
        <x:f>Model_Data!A16</x:f>
        <x:v>-53</x:v>
      </x:c>
      <x:c r="W16" s="48" t="n">
        <x:f>(-((((SQRT((Model_Data!A16)^2+Inputs!$C$6^2+((Model_Data!B16)-((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(0.45*SIN(2*PI()*(((Model_Data!A16)/Inputs!$C$49)+Inputs!$C$47*0.137))+0.35*COS(2*PI()*(((Inputs!$C$6)/Inputs!$C$50)+Inputs!$C$47*0.173))+0.20*SIN(2*PI()*(((Model_Data!A16)+(Inputs!$C$6))/(0.5*(Inputs!$C$49+Inputs!$C$50))+Inputs!$C$47*0.097)))+0.30*(2*((SIN(((Model_Data!A16)*12.9898+(Inputs!$C$6)*78.233+Inputs!$C$47*37.719))*43758.5453)-INT((SIN(((Model_Data!A16)*12.9898+(Inputs!$C$6)*78.233+Inputs!$C$47*37.719))*43758.5453)))-1))))/1000)^2))-(((Model_Data!B16)-((Inputs!$C$51*(115*EXP(-(((0)-25)^2)/(4.5^2))+70*EXP(-(((0)+38)^2)/(7^2))*(0.55+0.45*SIN(2*PI()*(Model_Data!A16)/45))+24*SIN(2*PI()*(0)/9+(Model_Data!A16)/18)*EXP(-(((0)+5)^2)/(22^2))+18*SIN(2*PI()*(Model_Data!A16)/70))+Inputs!$C$28*EXP(-(((Model_Data!A16)-Inputs!$C$29)^2)/(2*Inputs!$C$31^2))*EXP(-(((0)-Inputs!$C$30)^2)/(2*Inputs!$C$32^2))+-Inputs!$C$33*EXP(-(((((Model_Data!A16)-Inputs!$C$34)^2)+(((0)-Inputs!$C$35)^2))/(2*Inputs!$C$36^2)))+Inputs!$C$37*(0.55*SIN(2*PI()*(Model_Data!A16)/Inputs!$C$39)+0.35*COS(2*PI()*(0)/Inputs!$C$40)+0.2*SIN(2*PI()*((Model_Data!A16)+(0))/(0.5*(Inputs!$C$39+Inputs!$C$40))))+Inputs!$C$38*SIN(2*PI()*(Model_Data!A16)/Inputs!$C$39)*SIN(2*PI()*(0)/Inputs!$C$40)+-Inputs!$C$41*EXP(-(((0)-Inputs!$C$43)^2)/(2*Inputs!$C$44^2))*EXP(-(((Model_Data!A16)-Inputs!$C$42)^2)/(2*Inputs!$C$45^2))+Inputs!$C$48*(0.70*(0.45*SIN(2*PI()*(((Model_Data!A16)/Inputs!$C$49)+Inputs!$C$47*0.137))+0.35*COS(2*PI()*(((0)/Inputs!$C$50)+Inputs!$C$47*0.173))+0.20*SIN(2*PI()*(((Model_Data!A16)+(0))/(0.5*(Inputs!$C$49+Inputs!$C$50))+Inputs!$C$47*0.097)))+0.30*(2*((SIN(((Model_Data!A16)*12.9898+(0)*78.233+Inputs!$C$47*37.719))*43758.5453)-INT((SIN(((Model_Data!A16)*12.9898+(0)*78.233+Inputs!$C$47*37.719))*43758.5453)))-1))))/1000)))*1000/Inputs!$C$12)-Model_Data!F16))-(-(((SQRT((Model_Data!A16)^2+Inputs!$C$6^2+(Inputs!$C$5-((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(0.45*SIN(2*PI()*(((Model_Data!A16)/Inputs!$C$49)+Inputs!$C$47*0.137))+0.35*COS(2*PI()*(((Inputs!$C$6)/Inputs!$C$50)+Inputs!$C$47*0.173))+0.20*SIN(2*PI()*(((Model_Data!A16)+(Inputs!$C$6))/(0.5*(Inputs!$C$49+Inputs!$C$50))+Inputs!$C$47*0.097)))+0.30*(2*((SIN(((Model_Data!A16)*12.9898+(Inputs!$C$6)*78.233+Inputs!$C$47*37.719))*43758.5453)-INT((SIN(((Model_Data!A16)*12.9898+(Inputs!$C$6)*78.233+Inputs!$C$47*37.719))*43758.5453)))-1))))/1000)^2)-(Inputs!$C$5-((Inputs!$C$51*(115*EXP(-(((0)-25)^2)/(4.5^2))+70*EXP(-(((0)+38)^2)/(7^2))*(0.55+0.45*SIN(2*PI()*(Model_Data!A16)/45))+24*SIN(2*PI()*(0)/9+(Model_Data!A16)/18)*EXP(-(((0)+5)^2)/(22^2))+18*SIN(2*PI()*(Model_Data!A16)/70))+Inputs!$C$28*EXP(-(((Model_Data!A16)-Inputs!$C$29)^2)/(2*Inputs!$C$31^2))*EXP(-(((0)-Inputs!$C$30)^2)/(2*Inputs!$C$32^2))+-Inputs!$C$33*EXP(-(((((Model_Data!A16)-Inputs!$C$34)^2)+(((0)-Inputs!$C$35)^2))/(2*Inputs!$C$36^2)))+Inputs!$C$37*(0.55*SIN(2*PI()*(Model_Data!A16)/Inputs!$C$39)+0.35*COS(2*PI()*(0)/Inputs!$C$40)+0.2*SIN(2*PI()*((Model_Data!A16)+(0))/(0.5*(Inputs!$C$39+Inputs!$C$40))))+Inputs!$C$38*SIN(2*PI()*(Model_Data!A16)/Inputs!$C$39)*SIN(2*PI()*(0)/Inputs!$C$40)+-Inputs!$C$41*EXP(-(((0)-Inputs!$C$43)^2)/(2*Inputs!$C$44^2))*EXP(-(((Model_Data!A16)-Inputs!$C$42)^2)/(2*Inputs!$C$45^2))+Inputs!$C$48*(0.70*(0.45*SIN(2*PI()*(((Model_Data!A16)/Inputs!$C$49)+Inputs!$C$47*0.137))+0.35*COS(2*PI()*(((0)/Inputs!$C$50)+Inputs!$C$47*0.173))+0.20*SIN(2*PI()*(((Model_Data!A16)+(0))/(0.5*(Inputs!$C$49+Inputs!$C$50))+Inputs!$C$47*0.097)))+0.30*(2*((SIN(((Model_Data!A16)*12.9898+(0)*78.233+Inputs!$C$47*37.719))*43758.5453)-INT((SIN(((Model_Data!A16)*12.9898+(0)*78.233+Inputs!$C$47*37.719))*43758.5453)))-1))))/1000))*1000/Inputs!$C$12)-((SQRT((Model_Data!A16)^2+Inputs!$C$6^2+Inputs!$C$5^2)-Inputs!$C$5)*1000/Inputs!$C$12)))</x:f>
        <x:v>0.01986295383221659</x:v>
      </x:c>
      <x:c r="X16" s="48" t="n">
        <x:f>0</x:f>
        <x:v>0</x:v>
      </x:c>
      <x:c r="Y16" s="49"/>
      <x:c r="Z16" s="48" t="n">
        <x:f>Model_Data!A16</x:f>
        <x:v>-53</x:v>
      </x:c>
      <x:c r="AA16" s="48" t="n">
        <x:f>SQRT((Model_Data!A16)^2+Inputs!$C$6^2+((Model_Data!B16)-((Inputs!$C$51*(115*EXP(-(((Inputs!$C$6)-25)^2)/(4.5^2))+70*EXP(-(((Inputs!$C$6)+38)^2)/(7^2))*(0.55+0.45*SIN(2*PI()*(Model_Data!A16)/45))+24*SIN(2*PI()*(Inputs!$C$6)/9+(Model_Data!A16)/18)*EXP(-(((Inputs!$C$6)+5)^2)/(22^2))+18*SIN(2*PI()*(Model_Data!A16)/70))+Inputs!$C$28*EXP(-(((Model_Data!A16)-Inputs!$C$29)^2)/(2*Inputs!$C$31^2))*EXP(-(((Inputs!$C$6)-Inputs!$C$30)^2)/(2*Inputs!$C$32^2))+-Inputs!$C$33*EXP(-(((((Model_Data!A16)-Inputs!$C$34)^2)+(((Inputs!$C$6)-Inputs!$C$35)^2))/(2*Inputs!$C$36^2)))+Inputs!$C$37*(0.55*SIN(2*PI()*(Model_Data!A16)/Inputs!$C$39)+0.35*COS(2*PI()*(Inputs!$C$6)/Inputs!$C$40)+0.2*SIN(2*PI()*((Model_Data!A16)+(Inputs!$C$6))/(0.5*(Inputs!$C$39+Inputs!$C$40))))+Inputs!$C$38*SIN(2*PI()*(Model_Data!A16)/Inputs!$C$39)*SIN(2*PI()*(Inputs!$C$6)/Inputs!$C$40)+-Inputs!$C$41*EXP(-(((Inputs!$C$6)-Inputs!$C$43)^2)/(2*Inputs!$C$44^2))*EXP(-(((Model_Data!A16)-Inputs!$C$42)^2)/(2*Inputs!$C$45^2))+Inputs!$C$48*(0.70*(0.45*SIN(2*PI()*(((Model_Data!A16)/Inputs!$C$49)+Inputs!$C$47*0.137))+0.35*COS(2*PI()*(((Inputs!$C$6)/Inputs!$C$50)+Inputs!$C$47*0.173))+0.20*SIN(2*PI()*(((Model_Data!A16)+(Inputs!$C$6))/(0.5*(Inputs!$C$49+Inputs!$C$50))+Inputs!$C$47*0.097)))+0.30*(2*((SIN(((Model_Data!A16)*12.9898+(Inputs!$C$6)*78.233+Inputs!$C$47*37.719))*43758.5453)-INT((SIN(((Model_Data!A16)*12.9898+(Inputs!$C$6)*78.233+Inputs!$C$47*37.719))*43758.5453)))-1))))/1000)^2)</x:f>
        <x:v>407.1401242921052</x:v>
      </x:c>
      <x:c r="AB16" s="48" t="n">
        <x:f>1000*(AA17-AA15)/(Z17-Z15)*Inputs!$C$11</x:f>
        <x:v>-1040.1146034969315</x:v>
      </x:c>
      <x:c r="AC16" s="48" t="n">
        <x:f>-2*AB16/Inputs!$C$13</x:f>
        <x:v>416.0458413987726</x:v>
      </x:c>
      <x:c r="AD16" s="48" t="n">
        <x:f>-2*AB16/Inputs!$C$14</x:f>
        <x:v>62.46934555537127</x:v>
      </x:c>
    </x:row>
    <x:row r="17">
      <x:c r="A17" s="48" t="n">
        <x:f>Model_Data!A17</x:f>
        <x:v>-52.5</x:v>
      </x:c>
      <x:c r="B17" s="48" t="n">
        <x:f>Model_Data!F17</x:f>
        <x:v>2344.296798599615</x:v>
      </x:c>
      <x:c r="C17" s="48" t="n">
        <x:f>(((SQRT((Model_Data!A17)^2+Inputs!$C$6^2+((Model_Data!B17)-((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(0.45*SIN(2*PI()*(((Model_Data!A17)/Inputs!$C$49)+Inputs!$C$47*0.137))+0.35*COS(2*PI()*(((Inputs!$C$6)/Inputs!$C$50)+Inputs!$C$47*0.173))+0.20*SIN(2*PI()*(((Model_Data!A17)+(Inputs!$C$6))/(0.5*(Inputs!$C$49+Inputs!$C$50))+Inputs!$C$47*0.097)))+0.30*(2*((SIN(((Model_Data!A17)*12.9898+(Inputs!$C$6)*78.233+Inputs!$C$47*37.719))*43758.5453)-INT((SIN(((Model_Data!A17)*12.9898+(Inputs!$C$6)*78.233+Inputs!$C$47*37.719))*43758.5453)))-1))))/1000)^2))-(((Model_Data!B17)-((Inputs!$C$51*(115*EXP(-(((0)-25)^2)/(4.5^2))+70*EXP(-(((0)+38)^2)/(7^2))*(0.55+0.45*SIN(2*PI()*(Model_Data!A17)/45))+24*SIN(2*PI()*(0)/9+(Model_Data!A17)/18)*EXP(-(((0)+5)^2)/(22^2))+18*SIN(2*PI()*(Model_Data!A17)/70))+Inputs!$C$28*EXP(-(((Model_Data!A17)-Inputs!$C$29)^2)/(2*Inputs!$C$31^2))*EXP(-(((0)-Inputs!$C$30)^2)/(2*Inputs!$C$32^2))+-Inputs!$C$33*EXP(-(((((Model_Data!A17)-Inputs!$C$34)^2)+(((0)-Inputs!$C$35)^2))/(2*Inputs!$C$36^2)))+Inputs!$C$37*(0.55*SIN(2*PI()*(Model_Data!A17)/Inputs!$C$39)+0.35*COS(2*PI()*(0)/Inputs!$C$40)+0.2*SIN(2*PI()*((Model_Data!A17)+(0))/(0.5*(Inputs!$C$39+Inputs!$C$40))))+Inputs!$C$38*SIN(2*PI()*(Model_Data!A17)/Inputs!$C$39)*SIN(2*PI()*(0)/Inputs!$C$40)+-Inputs!$C$41*EXP(-(((0)-Inputs!$C$43)^2)/(2*Inputs!$C$44^2))*EXP(-(((Model_Data!A17)-Inputs!$C$42)^2)/(2*Inputs!$C$45^2))+Inputs!$C$48*(0.70*(0.45*SIN(2*PI()*(((Model_Data!A17)/Inputs!$C$49)+Inputs!$C$47*0.137))+0.35*COS(2*PI()*(((0)/Inputs!$C$50)+Inputs!$C$47*0.173))+0.20*SIN(2*PI()*(((Model_Data!A17)+(0))/(0.5*(Inputs!$C$49+Inputs!$C$50))+Inputs!$C$47*0.097)))+0.30*(2*((SIN(((Model_Data!A17)*12.9898+(0)*78.233+Inputs!$C$47*37.719))*43758.5453)-INT((SIN(((Model_Data!A17)*12.9898+(0)*78.233+Inputs!$C$47*37.719))*43758.5453)))-1))))/1000)))*1000/Inputs!$C$12)</x:f>
        <x:v>2240.797010083695</x:v>
      </x:c>
      <x:c r="D17" s="49"/>
      <x:c r="E17" s="48" t="n">
        <x:f>Model_Data!A17</x:f>
        <x:v>-52.5</x:v>
      </x:c>
      <x:c r="F17" s="48" t="n">
        <x:f>(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(0.45*SIN(2*PI()*(((Model_Data!A17)/Inputs!$C$49)+Inputs!$C$47*0.137))+0.35*COS(2*PI()*(((Inputs!$C$6)/Inputs!$C$50)+Inputs!$C$47*0.173))+0.20*SIN(2*PI()*(((Model_Data!A17)+(Inputs!$C$6))/(0.5*(Inputs!$C$49+Inputs!$C$50))+Inputs!$C$47*0.097)))+0.30*(2*((SIN(((Model_Data!A17)*12.9898+(Inputs!$C$6)*78.233+Inputs!$C$47*37.719))*43758.5453)-INT((SIN(((Model_Data!A17)*12.9898+(Inputs!$C$6)*78.233+Inputs!$C$47*37.719))*43758.5453)))-1)))</x:f>
        <x:v>228.48571186718385</x:v>
      </x:c>
      <x:c r="G17" s="48" t="n">
        <x:f>(Inputs!$C$51*(115*EXP(-(((0)-25)^2)/(4.5^2))+70*EXP(-(((0)+38)^2)/(7^2))*(0.55+0.45*SIN(2*PI()*(Model_Data!A17)/45))+24*SIN(2*PI()*(0)/9+(Model_Data!A17)/18)*EXP(-(((0)+5)^2)/(22^2))+18*SIN(2*PI()*(Model_Data!A17)/70))+Inputs!$C$28*EXP(-(((Model_Data!A17)-Inputs!$C$29)^2)/(2*Inputs!$C$31^2))*EXP(-(((0)-Inputs!$C$30)^2)/(2*Inputs!$C$32^2))+-Inputs!$C$33*EXP(-(((((Model_Data!A17)-Inputs!$C$34)^2)+(((0)-Inputs!$C$35)^2))/(2*Inputs!$C$36^2)))+Inputs!$C$37*(0.55*SIN(2*PI()*(Model_Data!A17)/Inputs!$C$39)+0.35*COS(2*PI()*(0)/Inputs!$C$40)+0.2*SIN(2*PI()*((Model_Data!A17)+(0))/(0.5*(Inputs!$C$39+Inputs!$C$40))))+Inputs!$C$38*SIN(2*PI()*(Model_Data!A17)/Inputs!$C$39)*SIN(2*PI()*(0)/Inputs!$C$40)+-Inputs!$C$41*EXP(-(((0)-Inputs!$C$43)^2)/(2*Inputs!$C$44^2))*EXP(-(((Model_Data!A17)-Inputs!$C$42)^2)/(2*Inputs!$C$45^2))+Inputs!$C$48*(0.70*(0.45*SIN(2*PI()*(((Model_Data!A17)/Inputs!$C$49)+Inputs!$C$47*0.137))+0.35*COS(2*PI()*(((0)/Inputs!$C$50)+Inputs!$C$47*0.173))+0.20*SIN(2*PI()*(((Model_Data!A17)+(0))/(0.5*(Inputs!$C$49+Inputs!$C$50))+Inputs!$C$47*0.097)))+0.30*(2*((SIN(((Model_Data!A17)*12.9898+(0)*78.233+Inputs!$C$47*37.719))*43758.5453)-INT((SIN(((Model_Data!A17)*12.9898+(0)*78.233+Inputs!$C$47*37.719))*43758.5453)))-1)))</x:f>
        <x:v>41.913539426844665</x:v>
      </x:c>
      <x:c r="H17" s="49"/>
      <x:c r="I17" s="48" t="n">
        <x:f>Model_Data!A17</x:f>
        <x:v>-52.5</x:v>
      </x:c>
      <x:c r="J17" s="48" t="n">
        <x:f>((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(0.45*SIN(2*PI()*(((Model_Data!A17)/Inputs!$C$49)+Inputs!$C$47*0.137))+0.35*COS(2*PI()*(((Inputs!$C$6)/Inputs!$C$50)+Inputs!$C$47*0.173))+0.20*SIN(2*PI()*(((Model_Data!A17)+(Inputs!$C$6))/(0.5*(Inputs!$C$49+Inputs!$C$50))+Inputs!$C$47*0.097)))+0.30*(2*((SIN(((Model_Data!A17)*12.9898+(Inputs!$C$6)*78.233+Inputs!$C$47*37.719))*43758.5453)-INT((SIN(((Model_Data!A17)*12.9898+(Inputs!$C$6)*78.233+Inputs!$C$47*37.719))*43758.5453)))-1))))-((Inputs!$C$51*(115*EXP(-(((0)-25)^2)/(4.5^2))+70*EXP(-(((0)+38)^2)/(7^2))*(0.55+0.45*SIN(2*PI()*(Model_Data!A17)/45))+24*SIN(2*PI()*(0)/9+(Model_Data!A17)/18)*EXP(-(((0)+5)^2)/(22^2))+18*SIN(2*PI()*(Model_Data!A17)/70))+Inputs!$C$28*EXP(-(((Model_Data!A17)-Inputs!$C$29)^2)/(2*Inputs!$C$31^2))*EXP(-(((0)-Inputs!$C$30)^2)/(2*Inputs!$C$32^2))+-Inputs!$C$33*EXP(-(((((Model_Data!A17)-Inputs!$C$34)^2)+(((0)-Inputs!$C$35)^2))/(2*Inputs!$C$36^2)))+Inputs!$C$37*(0.55*SIN(2*PI()*(Model_Data!A17)/Inputs!$C$39)+0.35*COS(2*PI()*(0)/Inputs!$C$40)+0.2*SIN(2*PI()*((Model_Data!A17)+(0))/(0.5*(Inputs!$C$39+Inputs!$C$40))))+Inputs!$C$38*SIN(2*PI()*(Model_Data!A17)/Inputs!$C$39)*SIN(2*PI()*(0)/Inputs!$C$40)+-Inputs!$C$41*EXP(-(((0)-Inputs!$C$43)^2)/(2*Inputs!$C$44^2))*EXP(-(((Model_Data!A17)-Inputs!$C$42)^2)/(2*Inputs!$C$45^2))+Inputs!$C$48*(0.70*(0.45*SIN(2*PI()*(((Model_Data!A17)/Inputs!$C$49)+Inputs!$C$47*0.137))+0.35*COS(2*PI()*(((0)/Inputs!$C$50)+Inputs!$C$47*0.173))+0.20*SIN(2*PI()*(((Model_Data!A17)+(0))/(0.5*(Inputs!$C$49+Inputs!$C$50))+Inputs!$C$47*0.097)))+0.30*(2*((SIN(((Model_Data!A17)*12.9898+(0)*78.233+Inputs!$C$47*37.719))*43758.5453)-INT((SIN(((Model_Data!A17)*12.9898+(0)*78.233+Inputs!$C$47*37.719))*43758.5453)))-1))))</x:f>
        <x:v>186.5721724403392</x:v>
      </x:c>
      <x:c r="K17" s="48" t="n">
        <x:f>-((((SQRT((Model_Data!A17)^2+Inputs!$C$6^2+((Model_Data!B17)-((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(0.45*SIN(2*PI()*(((Model_Data!A17)/Inputs!$C$49)+Inputs!$C$47*0.137))+0.35*COS(2*PI()*(((Inputs!$C$6)/Inputs!$C$50)+Inputs!$C$47*0.173))+0.20*SIN(2*PI()*(((Model_Data!A17)+(Inputs!$C$6))/(0.5*(Inputs!$C$49+Inputs!$C$50))+Inputs!$C$47*0.097)))+0.30*(2*((SIN(((Model_Data!A17)*12.9898+(Inputs!$C$6)*78.233+Inputs!$C$47*37.719))*43758.5453)-INT((SIN(((Model_Data!A17)*12.9898+(Inputs!$C$6)*78.233+Inputs!$C$47*37.719))*43758.5453)))-1))))/1000)^2))-(((Model_Data!B17)-((Inputs!$C$51*(115*EXP(-(((0)-25)^2)/(4.5^2))+70*EXP(-(((0)+38)^2)/(7^2))*(0.55+0.45*SIN(2*PI()*(Model_Data!A17)/45))+24*SIN(2*PI()*(0)/9+(Model_Data!A17)/18)*EXP(-(((0)+5)^2)/(22^2))+18*SIN(2*PI()*(Model_Data!A17)/70))+Inputs!$C$28*EXP(-(((Model_Data!A17)-Inputs!$C$29)^2)/(2*Inputs!$C$31^2))*EXP(-(((0)-Inputs!$C$30)^2)/(2*Inputs!$C$32^2))+-Inputs!$C$33*EXP(-(((((Model_Data!A17)-Inputs!$C$34)^2)+(((0)-Inputs!$C$35)^2))/(2*Inputs!$C$36^2)))+Inputs!$C$37*(0.55*SIN(2*PI()*(Model_Data!A17)/Inputs!$C$39)+0.35*COS(2*PI()*(0)/Inputs!$C$40)+0.2*SIN(2*PI()*((Model_Data!A17)+(0))/(0.5*(Inputs!$C$39+Inputs!$C$40))))+Inputs!$C$38*SIN(2*PI()*(Model_Data!A17)/Inputs!$C$39)*SIN(2*PI()*(0)/Inputs!$C$40)+-Inputs!$C$41*EXP(-(((0)-Inputs!$C$43)^2)/(2*Inputs!$C$44^2))*EXP(-(((Model_Data!A17)-Inputs!$C$42)^2)/(2*Inputs!$C$45^2))+Inputs!$C$48*(0.70*(0.45*SIN(2*PI()*(((Model_Data!A17)/Inputs!$C$49)+Inputs!$C$47*0.137))+0.35*COS(2*PI()*(((0)/Inputs!$C$50)+Inputs!$C$47*0.173))+0.20*SIN(2*PI()*(((Model_Data!A17)+(0))/(0.5*(Inputs!$C$49+Inputs!$C$50))+Inputs!$C$47*0.097)))+0.30*(2*((SIN(((Model_Data!A17)*12.9898+(0)*78.233+Inputs!$C$47*37.719))*43758.5453)-INT((SIN(((Model_Data!A17)*12.9898+(0)*78.233+Inputs!$C$47*37.719))*43758.5453)))-1))))/1000)))*1000/Inputs!$C$12)-Model_Data!F17)</x:f>
        <x:v>103.49978851592005</x:v>
      </x:c>
      <x:c r="L17" s="49"/>
      <x:c r="M17" s="48" t="n">
        <x:f>Model_Data!A17</x:f>
        <x:v>-52.5</x:v>
      </x:c>
      <x:c r="N17" s="48" t="n">
        <x:f>Model_Data!P17</x:f>
        <x:v>391.02286674642266</x:v>
      </x:c>
      <x:c r="O17" s="48" t="n">
        <x:f>AC17</x:f>
        <x:v>424.33636602063416</x:v>
      </x:c>
      <x:c r="P17" s="48" t="n">
        <x:f>Model_Data!Q17</x:f>
        <x:v>58.71214215411752</x:v>
      </x:c>
      <x:c r="Q17" s="48" t="n">
        <x:f>AD17</x:f>
        <x:v>63.714169072167294</x:v>
      </x:c>
      <x:c r="R17" s="49"/>
      <x:c r="S17" s="48" t="n">
        <x:f>Model_Data!A17</x:f>
        <x:v>-52.5</x:v>
      </x:c>
      <x:c r="T17" s="48" t="n">
        <x:f>Model_Data!B17-Inputs!$C$5</x:f>
        <x:v>3.0625</x:v>
      </x:c>
      <x:c r="U17" s="49"/>
      <x:c r="V17" s="48" t="n">
        <x:f>Model_Data!A17</x:f>
        <x:v>-52.5</x:v>
      </x:c>
      <x:c r="W17" s="48" t="n">
        <x:f>(-((((SQRT((Model_Data!A17)^2+Inputs!$C$6^2+((Model_Data!B17)-((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(0.45*SIN(2*PI()*(((Model_Data!A17)/Inputs!$C$49)+Inputs!$C$47*0.137))+0.35*COS(2*PI()*(((Inputs!$C$6)/Inputs!$C$50)+Inputs!$C$47*0.173))+0.20*SIN(2*PI()*(((Model_Data!A17)+(Inputs!$C$6))/(0.5*(Inputs!$C$49+Inputs!$C$50))+Inputs!$C$47*0.097)))+0.30*(2*((SIN(((Model_Data!A17)*12.9898+(Inputs!$C$6)*78.233+Inputs!$C$47*37.719))*43758.5453)-INT((SIN(((Model_Data!A17)*12.9898+(Inputs!$C$6)*78.233+Inputs!$C$47*37.719))*43758.5453)))-1))))/1000)^2))-(((Model_Data!B17)-((Inputs!$C$51*(115*EXP(-(((0)-25)^2)/(4.5^2))+70*EXP(-(((0)+38)^2)/(7^2))*(0.55+0.45*SIN(2*PI()*(Model_Data!A17)/45))+24*SIN(2*PI()*(0)/9+(Model_Data!A17)/18)*EXP(-(((0)+5)^2)/(22^2))+18*SIN(2*PI()*(Model_Data!A17)/70))+Inputs!$C$28*EXP(-(((Model_Data!A17)-Inputs!$C$29)^2)/(2*Inputs!$C$31^2))*EXP(-(((0)-Inputs!$C$30)^2)/(2*Inputs!$C$32^2))+-Inputs!$C$33*EXP(-(((((Model_Data!A17)-Inputs!$C$34)^2)+(((0)-Inputs!$C$35)^2))/(2*Inputs!$C$36^2)))+Inputs!$C$37*(0.55*SIN(2*PI()*(Model_Data!A17)/Inputs!$C$39)+0.35*COS(2*PI()*(0)/Inputs!$C$40)+0.2*SIN(2*PI()*((Model_Data!A17)+(0))/(0.5*(Inputs!$C$39+Inputs!$C$40))))+Inputs!$C$38*SIN(2*PI()*(Model_Data!A17)/Inputs!$C$39)*SIN(2*PI()*(0)/Inputs!$C$40)+-Inputs!$C$41*EXP(-(((0)-Inputs!$C$43)^2)/(2*Inputs!$C$44^2))*EXP(-(((Model_Data!A17)-Inputs!$C$42)^2)/(2*Inputs!$C$45^2))+Inputs!$C$48*(0.70*(0.45*SIN(2*PI()*(((Model_Data!A17)/Inputs!$C$49)+Inputs!$C$47*0.137))+0.35*COS(2*PI()*(((0)/Inputs!$C$50)+Inputs!$C$47*0.173))+0.20*SIN(2*PI()*(((Model_Data!A17)+(0))/(0.5*(Inputs!$C$49+Inputs!$C$50))+Inputs!$C$47*0.097)))+0.30*(2*((SIN(((Model_Data!A17)*12.9898+(0)*78.233+Inputs!$C$47*37.719))*43758.5453)-INT((SIN(((Model_Data!A17)*12.9898+(0)*78.233+Inputs!$C$47*37.719))*43758.5453)))-1))))/1000)))*1000/Inputs!$C$12)-Model_Data!F17))-(-(((SQRT((Model_Data!A17)^2+Inputs!$C$6^2+(Inputs!$C$5-((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(0.45*SIN(2*PI()*(((Model_Data!A17)/Inputs!$C$49)+Inputs!$C$47*0.137))+0.35*COS(2*PI()*(((Inputs!$C$6)/Inputs!$C$50)+Inputs!$C$47*0.173))+0.20*SIN(2*PI()*(((Model_Data!A17)+(Inputs!$C$6))/(0.5*(Inputs!$C$49+Inputs!$C$50))+Inputs!$C$47*0.097)))+0.30*(2*((SIN(((Model_Data!A17)*12.9898+(Inputs!$C$6)*78.233+Inputs!$C$47*37.719))*43758.5453)-INT((SIN(((Model_Data!A17)*12.9898+(Inputs!$C$6)*78.233+Inputs!$C$47*37.719))*43758.5453)))-1))))/1000)^2)-(Inputs!$C$5-((Inputs!$C$51*(115*EXP(-(((0)-25)^2)/(4.5^2))+70*EXP(-(((0)+38)^2)/(7^2))*(0.55+0.45*SIN(2*PI()*(Model_Data!A17)/45))+24*SIN(2*PI()*(0)/9+(Model_Data!A17)/18)*EXP(-(((0)+5)^2)/(22^2))+18*SIN(2*PI()*(Model_Data!A17)/70))+Inputs!$C$28*EXP(-(((Model_Data!A17)-Inputs!$C$29)^2)/(2*Inputs!$C$31^2))*EXP(-(((0)-Inputs!$C$30)^2)/(2*Inputs!$C$32^2))+-Inputs!$C$33*EXP(-(((((Model_Data!A17)-Inputs!$C$34)^2)+(((0)-Inputs!$C$35)^2))/(2*Inputs!$C$36^2)))+Inputs!$C$37*(0.55*SIN(2*PI()*(Model_Data!A17)/Inputs!$C$39)+0.35*COS(2*PI()*(0)/Inputs!$C$40)+0.2*SIN(2*PI()*((Model_Data!A17)+(0))/(0.5*(Inputs!$C$39+Inputs!$C$40))))+Inputs!$C$38*SIN(2*PI()*(Model_Data!A17)/Inputs!$C$39)*SIN(2*PI()*(0)/Inputs!$C$40)+-Inputs!$C$41*EXP(-(((0)-Inputs!$C$43)^2)/(2*Inputs!$C$44^2))*EXP(-(((Model_Data!A17)-Inputs!$C$42)^2)/(2*Inputs!$C$45^2))+Inputs!$C$48*(0.70*(0.45*SIN(2*PI()*(((Model_Data!A17)/Inputs!$C$49)+Inputs!$C$47*0.137))+0.35*COS(2*PI()*(((0)/Inputs!$C$50)+Inputs!$C$47*0.173))+0.20*SIN(2*PI()*(((Model_Data!A17)+(0))/(0.5*(Inputs!$C$49+Inputs!$C$50))+Inputs!$C$47*0.097)))+0.30*(2*((SIN(((Model_Data!A17)*12.9898+(0)*78.233+Inputs!$C$47*37.719))*43758.5453)-INT((SIN(((Model_Data!A17)*12.9898+(0)*78.233+Inputs!$C$47*37.719))*43758.5453)))-1))))/1000))*1000/Inputs!$C$12)-((SQRT((Model_Data!A17)^2+Inputs!$C$6^2+Inputs!$C$5^2)-Inputs!$C$5)*1000/Inputs!$C$12)))</x:f>
        <x:v>0.01991998106632309</x:v>
      </x:c>
      <x:c r="X17" s="48" t="n">
        <x:f>0</x:f>
        <x:v>0</x:v>
      </x:c>
      <x:c r="Y17" s="49"/>
      <x:c r="Z17" s="48" t="n">
        <x:f>Model_Data!A17</x:f>
        <x:v>-52.5</x:v>
      </x:c>
      <x:c r="AA17" s="48" t="n">
        <x:f>SQRT((Model_Data!A17)^2+Inputs!$C$6^2+((Model_Data!B17)-((Inputs!$C$51*(115*EXP(-(((Inputs!$C$6)-25)^2)/(4.5^2))+70*EXP(-(((Inputs!$C$6)+38)^2)/(7^2))*(0.55+0.45*SIN(2*PI()*(Model_Data!A17)/45))+24*SIN(2*PI()*(Inputs!$C$6)/9+(Model_Data!A17)/18)*EXP(-(((Inputs!$C$6)+5)^2)/(22^2))+18*SIN(2*PI()*(Model_Data!A17)/70))+Inputs!$C$28*EXP(-(((Model_Data!A17)-Inputs!$C$29)^2)/(2*Inputs!$C$31^2))*EXP(-(((Inputs!$C$6)-Inputs!$C$30)^2)/(2*Inputs!$C$32^2))+-Inputs!$C$33*EXP(-(((((Model_Data!A17)-Inputs!$C$34)^2)+(((Inputs!$C$6)-Inputs!$C$35)^2))/(2*Inputs!$C$36^2)))+Inputs!$C$37*(0.55*SIN(2*PI()*(Model_Data!A17)/Inputs!$C$39)+0.35*COS(2*PI()*(Inputs!$C$6)/Inputs!$C$40)+0.2*SIN(2*PI()*((Model_Data!A17)+(Inputs!$C$6))/(0.5*(Inputs!$C$39+Inputs!$C$40))))+Inputs!$C$38*SIN(2*PI()*(Model_Data!A17)/Inputs!$C$39)*SIN(2*PI()*(Inputs!$C$6)/Inputs!$C$40)+-Inputs!$C$41*EXP(-(((Inputs!$C$6)-Inputs!$C$43)^2)/(2*Inputs!$C$44^2))*EXP(-(((Model_Data!A17)-Inputs!$C$42)^2)/(2*Inputs!$C$45^2))+Inputs!$C$48*(0.70*(0.45*SIN(2*PI()*(((Model_Data!A17)/Inputs!$C$49)+Inputs!$C$47*0.137))+0.35*COS(2*PI()*(((Inputs!$C$6)/Inputs!$C$50)+Inputs!$C$47*0.173))+0.20*SIN(2*PI()*(((Model_Data!A17)+(Inputs!$C$6))/(0.5*(Inputs!$C$49+Inputs!$C$50))+Inputs!$C$47*0.097)))+0.30*(2*((SIN(((Model_Data!A17)*12.9898+(Inputs!$C$6)*78.233+Inputs!$C$47*37.719))*43758.5453)-INT((SIN(((Model_Data!A17)*12.9898+(Inputs!$C$6)*78.233+Inputs!$C$47*37.719))*43758.5453)))-1))))/1000)^2)</x:f>
        <x:v>407.00920513852213</x:v>
      </x:c>
      <x:c r="AB17" s="48" t="n">
        <x:f>1000*(AA18-AA16)/(Z18-Z16)*Inputs!$C$11</x:f>
        <x:v>-1060.8409150515854</x:v>
      </x:c>
      <x:c r="AC17" s="48" t="n">
        <x:f>-2*AB17/Inputs!$C$13</x:f>
        <x:v>424.33636602063416</x:v>
      </x:c>
      <x:c r="AD17" s="48" t="n">
        <x:f>-2*AB17/Inputs!$C$14</x:f>
        <x:v>63.714169072167294</x:v>
      </x:c>
    </x:row>
    <x:row r="18">
      <x:c r="A18" s="48" t="n">
        <x:f>Model_Data!A18</x:f>
        <x:v>-52</x:v>
      </x:c>
      <x:c r="B18" s="48" t="n">
        <x:f>Model_Data!F18</x:f>
        <x:v>2308.5826212735265</x:v>
      </x:c>
      <x:c r="C18" s="48" t="n">
        <x:f>(((SQRT((Model_Data!A18)^2+Inputs!$C$6^2+((Model_Data!B18)-((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(0.45*SIN(2*PI()*(((Model_Data!A18)/Inputs!$C$49)+Inputs!$C$47*0.137))+0.35*COS(2*PI()*(((Inputs!$C$6)/Inputs!$C$50)+Inputs!$C$47*0.173))+0.20*SIN(2*PI()*(((Model_Data!A18)+(Inputs!$C$6))/(0.5*(Inputs!$C$49+Inputs!$C$50))+Inputs!$C$47*0.097)))+0.30*(2*((SIN(((Model_Data!A18)*12.9898+(Inputs!$C$6)*78.233+Inputs!$C$47*37.719))*43758.5453)-INT((SIN(((Model_Data!A18)*12.9898+(Inputs!$C$6)*78.233+Inputs!$C$47*37.719))*43758.5453)))-1))))/1000)^2))-(((Model_Data!B18)-((Inputs!$C$51*(115*EXP(-(((0)-25)^2)/(4.5^2))+70*EXP(-(((0)+38)^2)/(7^2))*(0.55+0.45*SIN(2*PI()*(Model_Data!A18)/45))+24*SIN(2*PI()*(0)/9+(Model_Data!A18)/18)*EXP(-(((0)+5)^2)/(22^2))+18*SIN(2*PI()*(Model_Data!A18)/70))+Inputs!$C$28*EXP(-(((Model_Data!A18)-Inputs!$C$29)^2)/(2*Inputs!$C$31^2))*EXP(-(((0)-Inputs!$C$30)^2)/(2*Inputs!$C$32^2))+-Inputs!$C$33*EXP(-(((((Model_Data!A18)-Inputs!$C$34)^2)+(((0)-Inputs!$C$35)^2))/(2*Inputs!$C$36^2)))+Inputs!$C$37*(0.55*SIN(2*PI()*(Model_Data!A18)/Inputs!$C$39)+0.35*COS(2*PI()*(0)/Inputs!$C$40)+0.2*SIN(2*PI()*((Model_Data!A18)+(0))/(0.5*(Inputs!$C$39+Inputs!$C$40))))+Inputs!$C$38*SIN(2*PI()*(Model_Data!A18)/Inputs!$C$39)*SIN(2*PI()*(0)/Inputs!$C$40)+-Inputs!$C$41*EXP(-(((0)-Inputs!$C$43)^2)/(2*Inputs!$C$44^2))*EXP(-(((Model_Data!A18)-Inputs!$C$42)^2)/(2*Inputs!$C$45^2))+Inputs!$C$48*(0.70*(0.45*SIN(2*PI()*(((Model_Data!A18)/Inputs!$C$49)+Inputs!$C$47*0.137))+0.35*COS(2*PI()*(((0)/Inputs!$C$50)+Inputs!$C$47*0.173))+0.20*SIN(2*PI()*(((Model_Data!A18)+(0))/(0.5*(Inputs!$C$49+Inputs!$C$50))+Inputs!$C$47*0.097)))+0.30*(2*((SIN(((Model_Data!A18)*12.9898+(0)*78.233+Inputs!$C$47*37.719))*43758.5453)-INT((SIN(((Model_Data!A18)*12.9898+(0)*78.233+Inputs!$C$47*37.719))*43758.5453)))-1))))/1000)))*1000/Inputs!$C$12)</x:f>
        <x:v>2199.145428620421</x:v>
      </x:c>
      <x:c r="D18" s="49"/>
      <x:c r="E18" s="48" t="n">
        <x:f>Model_Data!A18</x:f>
        <x:v>-52</x:v>
      </x:c>
      <x:c r="F18" s="48" t="n">
        <x:f>(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(0.45*SIN(2*PI()*(((Model_Data!A18)/Inputs!$C$49)+Inputs!$C$47*0.137))+0.35*COS(2*PI()*(((Inputs!$C$6)/Inputs!$C$50)+Inputs!$C$47*0.173))+0.20*SIN(2*PI()*(((Model_Data!A18)+(Inputs!$C$6))/(0.5*(Inputs!$C$49+Inputs!$C$50))+Inputs!$C$47*0.097)))+0.30*(2*((SIN(((Model_Data!A18)*12.9898+(Inputs!$C$6)*78.233+Inputs!$C$47*37.719))*43758.5453)-INT((SIN(((Model_Data!A18)*12.9898+(Inputs!$C$6)*78.233+Inputs!$C$47*37.719))*43758.5453)))-1)))</x:f>
        <x:v>241.24392327938918</x:v>
      </x:c>
      <x:c r="G18" s="48" t="n">
        <x:f>(Inputs!$C$51*(115*EXP(-(((0)-25)^2)/(4.5^2))+70*EXP(-(((0)+38)^2)/(7^2))*(0.55+0.45*SIN(2*PI()*(Model_Data!A18)/45))+24*SIN(2*PI()*(0)/9+(Model_Data!A18)/18)*EXP(-(((0)+5)^2)/(22^2))+18*SIN(2*PI()*(Model_Data!A18)/70))+Inputs!$C$28*EXP(-(((Model_Data!A18)-Inputs!$C$29)^2)/(2*Inputs!$C$31^2))*EXP(-(((0)-Inputs!$C$30)^2)/(2*Inputs!$C$32^2))+-Inputs!$C$33*EXP(-(((((Model_Data!A18)-Inputs!$C$34)^2)+(((0)-Inputs!$C$35)^2))/(2*Inputs!$C$36^2)))+Inputs!$C$37*(0.55*SIN(2*PI()*(Model_Data!A18)/Inputs!$C$39)+0.35*COS(2*PI()*(0)/Inputs!$C$40)+0.2*SIN(2*PI()*((Model_Data!A18)+(0))/(0.5*(Inputs!$C$39+Inputs!$C$40))))+Inputs!$C$38*SIN(2*PI()*(Model_Data!A18)/Inputs!$C$39)*SIN(2*PI()*(0)/Inputs!$C$40)+-Inputs!$C$41*EXP(-(((0)-Inputs!$C$43)^2)/(2*Inputs!$C$44^2))*EXP(-(((Model_Data!A18)-Inputs!$C$42)^2)/(2*Inputs!$C$45^2))+Inputs!$C$48*(0.70*(0.45*SIN(2*PI()*(((Model_Data!A18)/Inputs!$C$49)+Inputs!$C$47*0.137))+0.35*COS(2*PI()*(((0)/Inputs!$C$50)+Inputs!$C$47*0.173))+0.20*SIN(2*PI()*(((Model_Data!A18)+(0))/(0.5*(Inputs!$C$49+Inputs!$C$50))+Inputs!$C$47*0.097)))+0.30*(2*((SIN(((Model_Data!A18)*12.9898+(0)*78.233+Inputs!$C$47*37.719))*43758.5453)-INT((SIN(((Model_Data!A18)*12.9898+(0)*78.233+Inputs!$C$47*37.719))*43758.5453)))-1)))</x:f>
        <x:v>44.0092440465048</x:v>
      </x:c>
      <x:c r="H18" s="49"/>
      <x:c r="I18" s="48" t="n">
        <x:f>Model_Data!A18</x:f>
        <x:v>-52</x:v>
      </x:c>
      <x:c r="J18" s="48" t="n">
        <x:f>((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(0.45*SIN(2*PI()*(((Model_Data!A18)/Inputs!$C$49)+Inputs!$C$47*0.137))+0.35*COS(2*PI()*(((Inputs!$C$6)/Inputs!$C$50)+Inputs!$C$47*0.173))+0.20*SIN(2*PI()*(((Model_Data!A18)+(Inputs!$C$6))/(0.5*(Inputs!$C$49+Inputs!$C$50))+Inputs!$C$47*0.097)))+0.30*(2*((SIN(((Model_Data!A18)*12.9898+(Inputs!$C$6)*78.233+Inputs!$C$47*37.719))*43758.5453)-INT((SIN(((Model_Data!A18)*12.9898+(Inputs!$C$6)*78.233+Inputs!$C$47*37.719))*43758.5453)))-1))))-((Inputs!$C$51*(115*EXP(-(((0)-25)^2)/(4.5^2))+70*EXP(-(((0)+38)^2)/(7^2))*(0.55+0.45*SIN(2*PI()*(Model_Data!A18)/45))+24*SIN(2*PI()*(0)/9+(Model_Data!A18)/18)*EXP(-(((0)+5)^2)/(22^2))+18*SIN(2*PI()*(Model_Data!A18)/70))+Inputs!$C$28*EXP(-(((Model_Data!A18)-Inputs!$C$29)^2)/(2*Inputs!$C$31^2))*EXP(-(((0)-Inputs!$C$30)^2)/(2*Inputs!$C$32^2))+-Inputs!$C$33*EXP(-(((((Model_Data!A18)-Inputs!$C$34)^2)+(((0)-Inputs!$C$35)^2))/(2*Inputs!$C$36^2)))+Inputs!$C$37*(0.55*SIN(2*PI()*(Model_Data!A18)/Inputs!$C$39)+0.35*COS(2*PI()*(0)/Inputs!$C$40)+0.2*SIN(2*PI()*((Model_Data!A18)+(0))/(0.5*(Inputs!$C$39+Inputs!$C$40))))+Inputs!$C$38*SIN(2*PI()*(Model_Data!A18)/Inputs!$C$39)*SIN(2*PI()*(0)/Inputs!$C$40)+-Inputs!$C$41*EXP(-(((0)-Inputs!$C$43)^2)/(2*Inputs!$C$44^2))*EXP(-(((Model_Data!A18)-Inputs!$C$42)^2)/(2*Inputs!$C$45^2))+Inputs!$C$48*(0.70*(0.45*SIN(2*PI()*(((Model_Data!A18)/Inputs!$C$49)+Inputs!$C$47*0.137))+0.35*COS(2*PI()*(((0)/Inputs!$C$50)+Inputs!$C$47*0.173))+0.20*SIN(2*PI()*(((Model_Data!A18)+(0))/(0.5*(Inputs!$C$49+Inputs!$C$50))+Inputs!$C$47*0.097)))+0.30*(2*((SIN(((Model_Data!A18)*12.9898+(0)*78.233+Inputs!$C$47*37.719))*43758.5453)-INT((SIN(((Model_Data!A18)*12.9898+(0)*78.233+Inputs!$C$47*37.719))*43758.5453)))-1))))</x:f>
        <x:v>197.2346792328844</x:v>
      </x:c>
      <x:c r="K18" s="48" t="n">
        <x:f>-((((SQRT((Model_Data!A18)^2+Inputs!$C$6^2+((Model_Data!B18)-((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(0.45*SIN(2*PI()*(((Model_Data!A18)/Inputs!$C$49)+Inputs!$C$47*0.137))+0.35*COS(2*PI()*(((Inputs!$C$6)/Inputs!$C$50)+Inputs!$C$47*0.173))+0.20*SIN(2*PI()*(((Model_Data!A18)+(Inputs!$C$6))/(0.5*(Inputs!$C$49+Inputs!$C$50))+Inputs!$C$47*0.097)))+0.30*(2*((SIN(((Model_Data!A18)*12.9898+(Inputs!$C$6)*78.233+Inputs!$C$47*37.719))*43758.5453)-INT((SIN(((Model_Data!A18)*12.9898+(Inputs!$C$6)*78.233+Inputs!$C$47*37.719))*43758.5453)))-1))))/1000)^2))-(((Model_Data!B18)-((Inputs!$C$51*(115*EXP(-(((0)-25)^2)/(4.5^2))+70*EXP(-(((0)+38)^2)/(7^2))*(0.55+0.45*SIN(2*PI()*(Model_Data!A18)/45))+24*SIN(2*PI()*(0)/9+(Model_Data!A18)/18)*EXP(-(((0)+5)^2)/(22^2))+18*SIN(2*PI()*(Model_Data!A18)/70))+Inputs!$C$28*EXP(-(((Model_Data!A18)-Inputs!$C$29)^2)/(2*Inputs!$C$31^2))*EXP(-(((0)-Inputs!$C$30)^2)/(2*Inputs!$C$32^2))+-Inputs!$C$33*EXP(-(((((Model_Data!A18)-Inputs!$C$34)^2)+(((0)-Inputs!$C$35)^2))/(2*Inputs!$C$36^2)))+Inputs!$C$37*(0.55*SIN(2*PI()*(Model_Data!A18)/Inputs!$C$39)+0.35*COS(2*PI()*(0)/Inputs!$C$40)+0.2*SIN(2*PI()*((Model_Data!A18)+(0))/(0.5*(Inputs!$C$39+Inputs!$C$40))))+Inputs!$C$38*SIN(2*PI()*(Model_Data!A18)/Inputs!$C$39)*SIN(2*PI()*(0)/Inputs!$C$40)+-Inputs!$C$41*EXP(-(((0)-Inputs!$C$43)^2)/(2*Inputs!$C$44^2))*EXP(-(((Model_Data!A18)-Inputs!$C$42)^2)/(2*Inputs!$C$45^2))+Inputs!$C$48*(0.70*(0.45*SIN(2*PI()*(((Model_Data!A18)/Inputs!$C$49)+Inputs!$C$47*0.137))+0.35*COS(2*PI()*(((0)/Inputs!$C$50)+Inputs!$C$47*0.173))+0.20*SIN(2*PI()*(((Model_Data!A18)+(0))/(0.5*(Inputs!$C$49+Inputs!$C$50))+Inputs!$C$47*0.097)))+0.30*(2*((SIN(((Model_Data!A18)*12.9898+(0)*78.233+Inputs!$C$47*37.719))*43758.5453)-INT((SIN(((Model_Data!A18)*12.9898+(0)*78.233+Inputs!$C$47*37.719))*43758.5453)))-1))))/1000)))*1000/Inputs!$C$12)-Model_Data!F18)</x:f>
        <x:v>109.43719265310528</x:v>
      </x:c>
      <x:c r="L18" s="49"/>
      <x:c r="M18" s="48" t="n">
        <x:f>Model_Data!A18</x:f>
        <x:v>-52</x:v>
      </x:c>
      <x:c r="N18" s="48" t="n">
        <x:f>Model_Data!P18</x:f>
        <x:v>387.38818079022377</x:v>
      </x:c>
      <x:c r="O18" s="48" t="n">
        <x:f>AC18</x:f>
        <x:v>439.6318428669474</x:v>
      </x:c>
      <x:c r="P18" s="48" t="n">
        <x:f>Model_Data!Q18</x:f>
        <x:v>58.166393512045616</x:v>
      </x:c>
      <x:c r="Q18" s="48" t="n">
        <x:f>AD18</x:f>
        <x:v>66.01078721725938</x:v>
      </x:c>
      <x:c r="R18" s="49"/>
      <x:c r="S18" s="48" t="n">
        <x:f>Model_Data!A18</x:f>
        <x:v>-52</x:v>
      </x:c>
      <x:c r="T18" s="48" t="n">
        <x:f>Model_Data!B18-Inputs!$C$5</x:f>
        <x:v>3.0044444444444594</x:v>
      </x:c>
      <x:c r="U18" s="49"/>
      <x:c r="V18" s="48" t="n">
        <x:f>Model_Data!A18</x:f>
        <x:v>-52</x:v>
      </x:c>
      <x:c r="W18" s="48" t="n">
        <x:f>(-((((SQRT((Model_Data!A18)^2+Inputs!$C$6^2+((Model_Data!B18)-((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(0.45*SIN(2*PI()*(((Model_Data!A18)/Inputs!$C$49)+Inputs!$C$47*0.137))+0.35*COS(2*PI()*(((Inputs!$C$6)/Inputs!$C$50)+Inputs!$C$47*0.173))+0.20*SIN(2*PI()*(((Model_Data!A18)+(Inputs!$C$6))/(0.5*(Inputs!$C$49+Inputs!$C$50))+Inputs!$C$47*0.097)))+0.30*(2*((SIN(((Model_Data!A18)*12.9898+(Inputs!$C$6)*78.233+Inputs!$C$47*37.719))*43758.5453)-INT((SIN(((Model_Data!A18)*12.9898+(Inputs!$C$6)*78.233+Inputs!$C$47*37.719))*43758.5453)))-1))))/1000)^2))-(((Model_Data!B18)-((Inputs!$C$51*(115*EXP(-(((0)-25)^2)/(4.5^2))+70*EXP(-(((0)+38)^2)/(7^2))*(0.55+0.45*SIN(2*PI()*(Model_Data!A18)/45))+24*SIN(2*PI()*(0)/9+(Model_Data!A18)/18)*EXP(-(((0)+5)^2)/(22^2))+18*SIN(2*PI()*(Model_Data!A18)/70))+Inputs!$C$28*EXP(-(((Model_Data!A18)-Inputs!$C$29)^2)/(2*Inputs!$C$31^2))*EXP(-(((0)-Inputs!$C$30)^2)/(2*Inputs!$C$32^2))+-Inputs!$C$33*EXP(-(((((Model_Data!A18)-Inputs!$C$34)^2)+(((0)-Inputs!$C$35)^2))/(2*Inputs!$C$36^2)))+Inputs!$C$37*(0.55*SIN(2*PI()*(Model_Data!A18)/Inputs!$C$39)+0.35*COS(2*PI()*(0)/Inputs!$C$40)+0.2*SIN(2*PI()*((Model_Data!A18)+(0))/(0.5*(Inputs!$C$39+Inputs!$C$40))))+Inputs!$C$38*SIN(2*PI()*(Model_Data!A18)/Inputs!$C$39)*SIN(2*PI()*(0)/Inputs!$C$40)+-Inputs!$C$41*EXP(-(((0)-Inputs!$C$43)^2)/(2*Inputs!$C$44^2))*EXP(-(((Model_Data!A18)-Inputs!$C$42)^2)/(2*Inputs!$C$45^2))+Inputs!$C$48*(0.70*(0.45*SIN(2*PI()*(((Model_Data!A18)/Inputs!$C$49)+Inputs!$C$47*0.137))+0.35*COS(2*PI()*(((0)/Inputs!$C$50)+Inputs!$C$47*0.173))+0.20*SIN(2*PI()*(((Model_Data!A18)+(0))/(0.5*(Inputs!$C$49+Inputs!$C$50))+Inputs!$C$47*0.097)))+0.30*(2*((SIN(((Model_Data!A18)*12.9898+(0)*78.233+Inputs!$C$47*37.719))*43758.5453)-INT((SIN(((Model_Data!A18)*12.9898+(0)*78.233+Inputs!$C$47*37.719))*43758.5453)))-1))))/1000)))*1000/Inputs!$C$12)-Model_Data!F18))-(-(((SQRT((Model_Data!A18)^2+Inputs!$C$6^2+(Inputs!$C$5-((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(0.45*SIN(2*PI()*(((Model_Data!A18)/Inputs!$C$49)+Inputs!$C$47*0.137))+0.35*COS(2*PI()*(((Inputs!$C$6)/Inputs!$C$50)+Inputs!$C$47*0.173))+0.20*SIN(2*PI()*(((Model_Data!A18)+(Inputs!$C$6))/(0.5*(Inputs!$C$49+Inputs!$C$50))+Inputs!$C$47*0.097)))+0.30*(2*((SIN(((Model_Data!A18)*12.9898+(Inputs!$C$6)*78.233+Inputs!$C$47*37.719))*43758.5453)-INT((SIN(((Model_Data!A18)*12.9898+(Inputs!$C$6)*78.233+Inputs!$C$47*37.719))*43758.5453)))-1))))/1000)^2)-(Inputs!$C$5-((Inputs!$C$51*(115*EXP(-(((0)-25)^2)/(4.5^2))+70*EXP(-(((0)+38)^2)/(7^2))*(0.55+0.45*SIN(2*PI()*(Model_Data!A18)/45))+24*SIN(2*PI()*(0)/9+(Model_Data!A18)/18)*EXP(-(((0)+5)^2)/(22^2))+18*SIN(2*PI()*(Model_Data!A18)/70))+Inputs!$C$28*EXP(-(((Model_Data!A18)-Inputs!$C$29)^2)/(2*Inputs!$C$31^2))*EXP(-(((0)-Inputs!$C$30)^2)/(2*Inputs!$C$32^2))+-Inputs!$C$33*EXP(-(((((Model_Data!A18)-Inputs!$C$34)^2)+(((0)-Inputs!$C$35)^2))/(2*Inputs!$C$36^2)))+Inputs!$C$37*(0.55*SIN(2*PI()*(Model_Data!A18)/Inputs!$C$39)+0.35*COS(2*PI()*(0)/Inputs!$C$40)+0.2*SIN(2*PI()*((Model_Data!A18)+(0))/(0.5*(Inputs!$C$39+Inputs!$C$40))))+Inputs!$C$38*SIN(2*PI()*(Model_Data!A18)/Inputs!$C$39)*SIN(2*PI()*(0)/Inputs!$C$40)+-Inputs!$C$41*EXP(-(((0)-Inputs!$C$43)^2)/(2*Inputs!$C$44^2))*EXP(-(((Model_Data!A18)-Inputs!$C$42)^2)/(2*Inputs!$C$45^2))+Inputs!$C$48*(0.70*(0.45*SIN(2*PI()*(((Model_Data!A18)/Inputs!$C$49)+Inputs!$C$47*0.137))+0.35*COS(2*PI()*(((0)/Inputs!$C$50)+Inputs!$C$47*0.173))+0.20*SIN(2*PI()*(((Model_Data!A18)+(0))/(0.5*(Inputs!$C$49+Inputs!$C$50))+Inputs!$C$47*0.097)))+0.30*(2*((SIN(((Model_Data!A18)*12.9898+(0)*78.233+Inputs!$C$47*37.719))*43758.5453)-INT((SIN(((Model_Data!A18)*12.9898+(0)*78.233+Inputs!$C$47*37.719))*43758.5453)))-1))))/1000))*1000/Inputs!$C$12)-((SQRT((Model_Data!A18)^2+Inputs!$C$6^2+Inputs!$C$5^2)-Inputs!$C$5)*1000/Inputs!$C$12)))</x:f>
        <x:v>0.02032965190574032</x:v>
      </x:c>
      <x:c r="X18" s="48" t="n">
        <x:f>0</x:f>
        <x:v>0</x:v>
      </x:c>
      <x:c r="Y18" s="49"/>
      <x:c r="Z18" s="48" t="n">
        <x:f>Model_Data!A18</x:f>
        <x:v>-52</x:v>
      </x:c>
      <x:c r="AA18" s="48" t="n">
        <x:f>SQRT((Model_Data!A18)^2+Inputs!$C$6^2+((Model_Data!B18)-((Inputs!$C$51*(115*EXP(-(((Inputs!$C$6)-25)^2)/(4.5^2))+70*EXP(-(((Inputs!$C$6)+38)^2)/(7^2))*(0.55+0.45*SIN(2*PI()*(Model_Data!A18)/45))+24*SIN(2*PI()*(Inputs!$C$6)/9+(Model_Data!A18)/18)*EXP(-(((Inputs!$C$6)+5)^2)/(22^2))+18*SIN(2*PI()*(Model_Data!A18)/70))+Inputs!$C$28*EXP(-(((Model_Data!A18)-Inputs!$C$29)^2)/(2*Inputs!$C$31^2))*EXP(-(((Inputs!$C$6)-Inputs!$C$30)^2)/(2*Inputs!$C$32^2))+-Inputs!$C$33*EXP(-(((((Model_Data!A18)-Inputs!$C$34)^2)+(((Inputs!$C$6)-Inputs!$C$35)^2))/(2*Inputs!$C$36^2)))+Inputs!$C$37*(0.55*SIN(2*PI()*(Model_Data!A18)/Inputs!$C$39)+0.35*COS(2*PI()*(Inputs!$C$6)/Inputs!$C$40)+0.2*SIN(2*PI()*((Model_Data!A18)+(Inputs!$C$6))/(0.5*(Inputs!$C$39+Inputs!$C$40))))+Inputs!$C$38*SIN(2*PI()*(Model_Data!A18)/Inputs!$C$39)*SIN(2*PI()*(Inputs!$C$6)/Inputs!$C$40)+-Inputs!$C$41*EXP(-(((Inputs!$C$6)-Inputs!$C$43)^2)/(2*Inputs!$C$44^2))*EXP(-(((Model_Data!A18)-Inputs!$C$42)^2)/(2*Inputs!$C$45^2))+Inputs!$C$48*(0.70*(0.45*SIN(2*PI()*(((Model_Data!A18)/Inputs!$C$49)+Inputs!$C$47*0.137))+0.35*COS(2*PI()*(((Inputs!$C$6)/Inputs!$C$50)+Inputs!$C$47*0.173))+0.20*SIN(2*PI()*(((Model_Data!A18)+(Inputs!$C$6))/(0.5*(Inputs!$C$49+Inputs!$C$50))+Inputs!$C$47*0.097)))+0.30*(2*((SIN(((Model_Data!A18)*12.9898+(Inputs!$C$6)*78.233+Inputs!$C$47*37.719))*43758.5453)-INT((SIN(((Model_Data!A18)*12.9898+(Inputs!$C$6)*78.233+Inputs!$C$47*37.719))*43758.5453)))-1))))/1000)^2)</x:f>
        <x:v>406.8749140633423</x:v>
      </x:c>
      <x:c r="AB18" s="48" t="n">
        <x:f>1000*(AA19-AA17)/(Z19-Z17)*Inputs!$C$11</x:f>
        <x:v>-1099.0796071673685</x:v>
      </x:c>
      <x:c r="AC18" s="48" t="n">
        <x:f>-2*AB18/Inputs!$C$13</x:f>
        <x:v>439.6318428669474</x:v>
      </x:c>
      <x:c r="AD18" s="48" t="n">
        <x:f>-2*AB18/Inputs!$C$14</x:f>
        <x:v>66.01078721725938</x:v>
      </x:c>
    </x:row>
    <x:row r="19">
      <x:c r="A19" s="48" t="n">
        <x:f>Model_Data!A19</x:f>
        <x:v>-51.5</x:v>
      </x:c>
      <x:c r="B19" s="48" t="n">
        <x:f>Model_Data!F19</x:f>
        <x:v>2273.194664658047</x:v>
      </x:c>
      <x:c r="C19" s="48" t="n">
        <x:f>(((SQRT((Model_Data!A19)^2+Inputs!$C$6^2+((Model_Data!B19)-((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(0.45*SIN(2*PI()*(((Model_Data!A19)/Inputs!$C$49)+Inputs!$C$47*0.137))+0.35*COS(2*PI()*(((Inputs!$C$6)/Inputs!$C$50)+Inputs!$C$47*0.173))+0.20*SIN(2*PI()*(((Model_Data!A19)+(Inputs!$C$6))/(0.5*(Inputs!$C$49+Inputs!$C$50))+Inputs!$C$47*0.097)))+0.30*(2*((SIN(((Model_Data!A19)*12.9898+(Inputs!$C$6)*78.233+Inputs!$C$47*37.719))*43758.5453)-INT((SIN(((Model_Data!A19)*12.9898+(Inputs!$C$6)*78.233+Inputs!$C$47*37.719))*43758.5453)))-1))))/1000)^2))-(((Model_Data!B19)-((Inputs!$C$51*(115*EXP(-(((0)-25)^2)/(4.5^2))+70*EXP(-(((0)+38)^2)/(7^2))*(0.55+0.45*SIN(2*PI()*(Model_Data!A19)/45))+24*SIN(2*PI()*(0)/9+(Model_Data!A19)/18)*EXP(-(((0)+5)^2)/(22^2))+18*SIN(2*PI()*(Model_Data!A19)/70))+Inputs!$C$28*EXP(-(((Model_Data!A19)-Inputs!$C$29)^2)/(2*Inputs!$C$31^2))*EXP(-(((0)-Inputs!$C$30)^2)/(2*Inputs!$C$32^2))+-Inputs!$C$33*EXP(-(((((Model_Data!A19)-Inputs!$C$34)^2)+(((0)-Inputs!$C$35)^2))/(2*Inputs!$C$36^2)))+Inputs!$C$37*(0.55*SIN(2*PI()*(Model_Data!A19)/Inputs!$C$39)+0.35*COS(2*PI()*(0)/Inputs!$C$40)+0.2*SIN(2*PI()*((Model_Data!A19)+(0))/(0.5*(Inputs!$C$39+Inputs!$C$40))))+Inputs!$C$38*SIN(2*PI()*(Model_Data!A19)/Inputs!$C$39)*SIN(2*PI()*(0)/Inputs!$C$40)+-Inputs!$C$41*EXP(-(((0)-Inputs!$C$43)^2)/(2*Inputs!$C$44^2))*EXP(-(((Model_Data!A19)-Inputs!$C$42)^2)/(2*Inputs!$C$45^2))+Inputs!$C$48*(0.70*(0.45*SIN(2*PI()*(((Model_Data!A19)/Inputs!$C$49)+Inputs!$C$47*0.137))+0.35*COS(2*PI()*(((0)/Inputs!$C$50)+Inputs!$C$47*0.173))+0.20*SIN(2*PI()*(((Model_Data!A19)+(0))/(0.5*(Inputs!$C$49+Inputs!$C$50))+Inputs!$C$47*0.097)))+0.30*(2*((SIN(((Model_Data!A19)*12.9898+(0)*78.233+Inputs!$C$47*37.719))*43758.5453)-INT((SIN(((Model_Data!A19)*12.9898+(0)*78.233+Inputs!$C$47*37.719))*43758.5453)))-1))))/1000)))*1000/Inputs!$C$12)</x:f>
        <x:v>2146.057534589302</x:v>
      </x:c>
      <x:c r="D19" s="49"/>
      <x:c r="E19" s="48" t="n">
        <x:f>Model_Data!A19</x:f>
        <x:v>-51.5</x:v>
      </x:c>
      <x:c r="F19" s="48" t="n">
        <x:f>(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(0.45*SIN(2*PI()*(((Model_Data!A19)/Inputs!$C$49)+Inputs!$C$47*0.137))+0.35*COS(2*PI()*(((Inputs!$C$6)/Inputs!$C$50)+Inputs!$C$47*0.173))+0.20*SIN(2*PI()*(((Model_Data!A19)+(Inputs!$C$6))/(0.5*(Inputs!$C$49+Inputs!$C$50))+Inputs!$C$47*0.097)))+0.30*(2*((SIN(((Model_Data!A19)*12.9898+(Inputs!$C$6)*78.233+Inputs!$C$47*37.719))*43758.5453)-INT((SIN(((Model_Data!A19)*12.9898+(Inputs!$C$6)*78.233+Inputs!$C$47*37.719))*43758.5453)))-1)))</x:f>
        <x:v>261.3961473371179</x:v>
      </x:c>
      <x:c r="G19" s="48" t="n">
        <x:f>(Inputs!$C$51*(115*EXP(-(((0)-25)^2)/(4.5^2))+70*EXP(-(((0)+38)^2)/(7^2))*(0.55+0.45*SIN(2*PI()*(Model_Data!A19)/45))+24*SIN(2*PI()*(0)/9+(Model_Data!A19)/18)*EXP(-(((0)+5)^2)/(22^2))+18*SIN(2*PI()*(Model_Data!A19)/70))+Inputs!$C$28*EXP(-(((Model_Data!A19)-Inputs!$C$29)^2)/(2*Inputs!$C$31^2))*EXP(-(((0)-Inputs!$C$30)^2)/(2*Inputs!$C$32^2))+-Inputs!$C$33*EXP(-(((((Model_Data!A19)-Inputs!$C$34)^2)+(((0)-Inputs!$C$35)^2))/(2*Inputs!$C$36^2)))+Inputs!$C$37*(0.55*SIN(2*PI()*(Model_Data!A19)/Inputs!$C$39)+0.35*COS(2*PI()*(0)/Inputs!$C$40)+0.2*SIN(2*PI()*((Model_Data!A19)+(0))/(0.5*(Inputs!$C$39+Inputs!$C$40))))+Inputs!$C$38*SIN(2*PI()*(Model_Data!A19)/Inputs!$C$39)*SIN(2*PI()*(0)/Inputs!$C$40)+-Inputs!$C$41*EXP(-(((0)-Inputs!$C$43)^2)/(2*Inputs!$C$44^2))*EXP(-(((Model_Data!A19)-Inputs!$C$42)^2)/(2*Inputs!$C$45^2))+Inputs!$C$48*(0.70*(0.45*SIN(2*PI()*(((Model_Data!A19)/Inputs!$C$49)+Inputs!$C$47*0.137))+0.35*COS(2*PI()*(((0)/Inputs!$C$50)+Inputs!$C$47*0.173))+0.20*SIN(2*PI()*(((Model_Data!A19)+(0))/(0.5*(Inputs!$C$49+Inputs!$C$50))+Inputs!$C$47*0.097)))+0.30*(2*((SIN(((Model_Data!A19)*12.9898+(0)*78.233+Inputs!$C$47*37.719))*43758.5453)-INT((SIN(((Model_Data!A19)*12.9898+(0)*78.233+Inputs!$C$47*37.719))*43758.5453)))-1)))</x:f>
        <x:v>32.491619283106324</x:v>
      </x:c>
      <x:c r="H19" s="49"/>
      <x:c r="I19" s="48" t="n">
        <x:f>Model_Data!A19</x:f>
        <x:v>-51.5</x:v>
      </x:c>
      <x:c r="J19" s="48" t="n">
        <x:f>((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(0.45*SIN(2*PI()*(((Model_Data!A19)/Inputs!$C$49)+Inputs!$C$47*0.137))+0.35*COS(2*PI()*(((Inputs!$C$6)/Inputs!$C$50)+Inputs!$C$47*0.173))+0.20*SIN(2*PI()*(((Model_Data!A19)+(Inputs!$C$6))/(0.5*(Inputs!$C$49+Inputs!$C$50))+Inputs!$C$47*0.097)))+0.30*(2*((SIN(((Model_Data!A19)*12.9898+(Inputs!$C$6)*78.233+Inputs!$C$47*37.719))*43758.5453)-INT((SIN(((Model_Data!A19)*12.9898+(Inputs!$C$6)*78.233+Inputs!$C$47*37.719))*43758.5453)))-1))))-((Inputs!$C$51*(115*EXP(-(((0)-25)^2)/(4.5^2))+70*EXP(-(((0)+38)^2)/(7^2))*(0.55+0.45*SIN(2*PI()*(Model_Data!A19)/45))+24*SIN(2*PI()*(0)/9+(Model_Data!A19)/18)*EXP(-(((0)+5)^2)/(22^2))+18*SIN(2*PI()*(Model_Data!A19)/70))+Inputs!$C$28*EXP(-(((Model_Data!A19)-Inputs!$C$29)^2)/(2*Inputs!$C$31^2))*EXP(-(((0)-Inputs!$C$30)^2)/(2*Inputs!$C$32^2))+-Inputs!$C$33*EXP(-(((((Model_Data!A19)-Inputs!$C$34)^2)+(((0)-Inputs!$C$35)^2))/(2*Inputs!$C$36^2)))+Inputs!$C$37*(0.55*SIN(2*PI()*(Model_Data!A19)/Inputs!$C$39)+0.35*COS(2*PI()*(0)/Inputs!$C$40)+0.2*SIN(2*PI()*((Model_Data!A19)+(0))/(0.5*(Inputs!$C$39+Inputs!$C$40))))+Inputs!$C$38*SIN(2*PI()*(Model_Data!A19)/Inputs!$C$39)*SIN(2*PI()*(0)/Inputs!$C$40)+-Inputs!$C$41*EXP(-(((0)-Inputs!$C$43)^2)/(2*Inputs!$C$44^2))*EXP(-(((Model_Data!A19)-Inputs!$C$42)^2)/(2*Inputs!$C$45^2))+Inputs!$C$48*(0.70*(0.45*SIN(2*PI()*(((Model_Data!A19)/Inputs!$C$49)+Inputs!$C$47*0.137))+0.35*COS(2*PI()*(((0)/Inputs!$C$50)+Inputs!$C$47*0.173))+0.20*SIN(2*PI()*(((Model_Data!A19)+(0))/(0.5*(Inputs!$C$49+Inputs!$C$50))+Inputs!$C$47*0.097)))+0.30*(2*((SIN(((Model_Data!A19)*12.9898+(0)*78.233+Inputs!$C$47*37.719))*43758.5453)-INT((SIN(((Model_Data!A19)*12.9898+(0)*78.233+Inputs!$C$47*37.719))*43758.5453)))-1))))</x:f>
        <x:v>228.90452805401156</x:v>
      </x:c>
      <x:c r="K19" s="48" t="n">
        <x:f>-((((SQRT((Model_Data!A19)^2+Inputs!$C$6^2+((Model_Data!B19)-((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(0.45*SIN(2*PI()*(((Model_Data!A19)/Inputs!$C$49)+Inputs!$C$47*0.137))+0.35*COS(2*PI()*(((Inputs!$C$6)/Inputs!$C$50)+Inputs!$C$47*0.173))+0.20*SIN(2*PI()*(((Model_Data!A19)+(Inputs!$C$6))/(0.5*(Inputs!$C$49+Inputs!$C$50))+Inputs!$C$47*0.097)))+0.30*(2*((SIN(((Model_Data!A19)*12.9898+(Inputs!$C$6)*78.233+Inputs!$C$47*37.719))*43758.5453)-INT((SIN(((Model_Data!A19)*12.9898+(Inputs!$C$6)*78.233+Inputs!$C$47*37.719))*43758.5453)))-1))))/1000)^2))-(((Model_Data!B19)-((Inputs!$C$51*(115*EXP(-(((0)-25)^2)/(4.5^2))+70*EXP(-(((0)+38)^2)/(7^2))*(0.55+0.45*SIN(2*PI()*(Model_Data!A19)/45))+24*SIN(2*PI()*(0)/9+(Model_Data!A19)/18)*EXP(-(((0)+5)^2)/(22^2))+18*SIN(2*PI()*(Model_Data!A19)/70))+Inputs!$C$28*EXP(-(((Model_Data!A19)-Inputs!$C$29)^2)/(2*Inputs!$C$31^2))*EXP(-(((0)-Inputs!$C$30)^2)/(2*Inputs!$C$32^2))+-Inputs!$C$33*EXP(-(((((Model_Data!A19)-Inputs!$C$34)^2)+(((0)-Inputs!$C$35)^2))/(2*Inputs!$C$36^2)))+Inputs!$C$37*(0.55*SIN(2*PI()*(Model_Data!A19)/Inputs!$C$39)+0.35*COS(2*PI()*(0)/Inputs!$C$40)+0.2*SIN(2*PI()*((Model_Data!A19)+(0))/(0.5*(Inputs!$C$39+Inputs!$C$40))))+Inputs!$C$38*SIN(2*PI()*(Model_Data!A19)/Inputs!$C$39)*SIN(2*PI()*(0)/Inputs!$C$40)+-Inputs!$C$41*EXP(-(((0)-Inputs!$C$43)^2)/(2*Inputs!$C$44^2))*EXP(-(((Model_Data!A19)-Inputs!$C$42)^2)/(2*Inputs!$C$45^2))+Inputs!$C$48*(0.70*(0.45*SIN(2*PI()*(((Model_Data!A19)/Inputs!$C$49)+Inputs!$C$47*0.137))+0.35*COS(2*PI()*(((0)/Inputs!$C$50)+Inputs!$C$47*0.173))+0.20*SIN(2*PI()*(((Model_Data!A19)+(0))/(0.5*(Inputs!$C$49+Inputs!$C$50))+Inputs!$C$47*0.097)))+0.30*(2*((SIN(((Model_Data!A19)*12.9898+(0)*78.233+Inputs!$C$47*37.719))*43758.5453)-INT((SIN(((Model_Data!A19)*12.9898+(0)*78.233+Inputs!$C$47*37.719))*43758.5453)))-1))))/1000)))*1000/Inputs!$C$12)-Model_Data!F19)</x:f>
        <x:v>127.13713006874468</x:v>
      </x:c>
      <x:c r="L19" s="49"/>
      <x:c r="M19" s="48" t="n">
        <x:f>Model_Data!A19</x:f>
        <x:v>-51.5</x:v>
      </x:c>
      <x:c r="N19" s="48" t="n">
        <x:f>Model_Data!P19</x:f>
        <x:v>383.75100822299083</x:v>
      </x:c>
      <x:c r="O19" s="48" t="n">
        <x:f>AC19</x:f>
        <x:v>400.8565801752411</x:v>
      </x:c>
      <x:c r="P19" s="48" t="n">
        <x:f>Model_Data!Q19</x:f>
        <x:v>57.62027150495358</x:v>
      </x:c>
      <x:c r="Q19" s="48" t="n">
        <x:f>AD19</x:f>
        <x:v>60.18867570198816</x:v>
      </x:c>
      <x:c r="R19" s="49"/>
      <x:c r="S19" s="48" t="n">
        <x:f>Model_Data!A19</x:f>
        <x:v>-51.5</x:v>
      </x:c>
      <x:c r="T19" s="48" t="n">
        <x:f>Model_Data!B19-Inputs!$C$5</x:f>
        <x:v>2.946944444444455</x:v>
      </x:c>
      <x:c r="U19" s="49"/>
      <x:c r="V19" s="48" t="n">
        <x:f>Model_Data!A19</x:f>
        <x:v>-51.5</x:v>
      </x:c>
      <x:c r="W19" s="48" t="n">
        <x:f>(-((((SQRT((Model_Data!A19)^2+Inputs!$C$6^2+((Model_Data!B19)-((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(0.45*SIN(2*PI()*(((Model_Data!A19)/Inputs!$C$49)+Inputs!$C$47*0.137))+0.35*COS(2*PI()*(((Inputs!$C$6)/Inputs!$C$50)+Inputs!$C$47*0.173))+0.20*SIN(2*PI()*(((Model_Data!A19)+(Inputs!$C$6))/(0.5*(Inputs!$C$49+Inputs!$C$50))+Inputs!$C$47*0.097)))+0.30*(2*((SIN(((Model_Data!A19)*12.9898+(Inputs!$C$6)*78.233+Inputs!$C$47*37.719))*43758.5453)-INT((SIN(((Model_Data!A19)*12.9898+(Inputs!$C$6)*78.233+Inputs!$C$47*37.719))*43758.5453)))-1))))/1000)^2))-(((Model_Data!B19)-((Inputs!$C$51*(115*EXP(-(((0)-25)^2)/(4.5^2))+70*EXP(-(((0)+38)^2)/(7^2))*(0.55+0.45*SIN(2*PI()*(Model_Data!A19)/45))+24*SIN(2*PI()*(0)/9+(Model_Data!A19)/18)*EXP(-(((0)+5)^2)/(22^2))+18*SIN(2*PI()*(Model_Data!A19)/70))+Inputs!$C$28*EXP(-(((Model_Data!A19)-Inputs!$C$29)^2)/(2*Inputs!$C$31^2))*EXP(-(((0)-Inputs!$C$30)^2)/(2*Inputs!$C$32^2))+-Inputs!$C$33*EXP(-(((((Model_Data!A19)-Inputs!$C$34)^2)+(((0)-Inputs!$C$35)^2))/(2*Inputs!$C$36^2)))+Inputs!$C$37*(0.55*SIN(2*PI()*(Model_Data!A19)/Inputs!$C$39)+0.35*COS(2*PI()*(0)/Inputs!$C$40)+0.2*SIN(2*PI()*((Model_Data!A19)+(0))/(0.5*(Inputs!$C$39+Inputs!$C$40))))+Inputs!$C$38*SIN(2*PI()*(Model_Data!A19)/Inputs!$C$39)*SIN(2*PI()*(0)/Inputs!$C$40)+-Inputs!$C$41*EXP(-(((0)-Inputs!$C$43)^2)/(2*Inputs!$C$44^2))*EXP(-(((Model_Data!A19)-Inputs!$C$42)^2)/(2*Inputs!$C$45^2))+Inputs!$C$48*(0.70*(0.45*SIN(2*PI()*(((Model_Data!A19)/Inputs!$C$49)+Inputs!$C$47*0.137))+0.35*COS(2*PI()*(((0)/Inputs!$C$50)+Inputs!$C$47*0.173))+0.20*SIN(2*PI()*(((Model_Data!A19)+(0))/(0.5*(Inputs!$C$49+Inputs!$C$50))+Inputs!$C$47*0.097)))+0.30*(2*((SIN(((Model_Data!A19)*12.9898+(0)*78.233+Inputs!$C$47*37.719))*43758.5453)-INT((SIN(((Model_Data!A19)*12.9898+(0)*78.233+Inputs!$C$47*37.719))*43758.5453)))-1))))/1000)))*1000/Inputs!$C$12)-Model_Data!F19))-(-(((SQRT((Model_Data!A19)^2+Inputs!$C$6^2+(Inputs!$C$5-((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(0.45*SIN(2*PI()*(((Model_Data!A19)/Inputs!$C$49)+Inputs!$C$47*0.137))+0.35*COS(2*PI()*(((Inputs!$C$6)/Inputs!$C$50)+Inputs!$C$47*0.173))+0.20*SIN(2*PI()*(((Model_Data!A19)+(Inputs!$C$6))/(0.5*(Inputs!$C$49+Inputs!$C$50))+Inputs!$C$47*0.097)))+0.30*(2*((SIN(((Model_Data!A19)*12.9898+(Inputs!$C$6)*78.233+Inputs!$C$47*37.719))*43758.5453)-INT((SIN(((Model_Data!A19)*12.9898+(Inputs!$C$6)*78.233+Inputs!$C$47*37.719))*43758.5453)))-1))))/1000)^2)-(Inputs!$C$5-((Inputs!$C$51*(115*EXP(-(((0)-25)^2)/(4.5^2))+70*EXP(-(((0)+38)^2)/(7^2))*(0.55+0.45*SIN(2*PI()*(Model_Data!A19)/45))+24*SIN(2*PI()*(0)/9+(Model_Data!A19)/18)*EXP(-(((0)+5)^2)/(22^2))+18*SIN(2*PI()*(Model_Data!A19)/70))+Inputs!$C$28*EXP(-(((Model_Data!A19)-Inputs!$C$29)^2)/(2*Inputs!$C$31^2))*EXP(-(((0)-Inputs!$C$30)^2)/(2*Inputs!$C$32^2))+-Inputs!$C$33*EXP(-(((((Model_Data!A19)-Inputs!$C$34)^2)+(((0)-Inputs!$C$35)^2))/(2*Inputs!$C$36^2)))+Inputs!$C$37*(0.55*SIN(2*PI()*(Model_Data!A19)/Inputs!$C$39)+0.35*COS(2*PI()*(0)/Inputs!$C$40)+0.2*SIN(2*PI()*((Model_Data!A19)+(0))/(0.5*(Inputs!$C$39+Inputs!$C$40))))+Inputs!$C$38*SIN(2*PI()*(Model_Data!A19)/Inputs!$C$39)*SIN(2*PI()*(0)/Inputs!$C$40)+-Inputs!$C$41*EXP(-(((0)-Inputs!$C$43)^2)/(2*Inputs!$C$44^2))*EXP(-(((Model_Data!A19)-Inputs!$C$42)^2)/(2*Inputs!$C$45^2))+Inputs!$C$48*(0.70*(0.45*SIN(2*PI()*(((Model_Data!A19)/Inputs!$C$49)+Inputs!$C$47*0.137))+0.35*COS(2*PI()*(((0)/Inputs!$C$50)+Inputs!$C$47*0.173))+0.20*SIN(2*PI()*(((Model_Data!A19)+(0))/(0.5*(Inputs!$C$49+Inputs!$C$50))+Inputs!$C$47*0.097)))+0.30*(2*((SIN(((Model_Data!A19)*12.9898+(0)*78.233+Inputs!$C$47*37.719))*43758.5453)-INT((SIN(((Model_Data!A19)*12.9898+(0)*78.233+Inputs!$C$47*37.719))*43758.5453)))-1))))/1000))*1000/Inputs!$C$12)-((SQRT((Model_Data!A19)^2+Inputs!$C$6^2+Inputs!$C$5^2)-Inputs!$C$5)*1000/Inputs!$C$12)))</x:f>
        <x:v>0.02128650905478935</x:v>
      </x:c>
      <x:c r="X19" s="48" t="n">
        <x:f>0</x:f>
        <x:v>0</x:v>
      </x:c>
      <x:c r="Y19" s="49"/>
      <x:c r="Z19" s="48" t="n">
        <x:f>Model_Data!A19</x:f>
        <x:v>-51.5</x:v>
      </x:c>
      <x:c r="AA19" s="48" t="n">
        <x:f>SQRT((Model_Data!A19)^2+Inputs!$C$6^2+((Model_Data!B19)-((Inputs!$C$51*(115*EXP(-(((Inputs!$C$6)-25)^2)/(4.5^2))+70*EXP(-(((Inputs!$C$6)+38)^2)/(7^2))*(0.55+0.45*SIN(2*PI()*(Model_Data!A19)/45))+24*SIN(2*PI()*(Inputs!$C$6)/9+(Model_Data!A19)/18)*EXP(-(((Inputs!$C$6)+5)^2)/(22^2))+18*SIN(2*PI()*(Model_Data!A19)/70))+Inputs!$C$28*EXP(-(((Model_Data!A19)-Inputs!$C$29)^2)/(2*Inputs!$C$31^2))*EXP(-(((Inputs!$C$6)-Inputs!$C$30)^2)/(2*Inputs!$C$32^2))+-Inputs!$C$33*EXP(-(((((Model_Data!A19)-Inputs!$C$34)^2)+(((Inputs!$C$6)-Inputs!$C$35)^2))/(2*Inputs!$C$36^2)))+Inputs!$C$37*(0.55*SIN(2*PI()*(Model_Data!A19)/Inputs!$C$39)+0.35*COS(2*PI()*(Inputs!$C$6)/Inputs!$C$40)+0.2*SIN(2*PI()*((Model_Data!A19)+(Inputs!$C$6))/(0.5*(Inputs!$C$39+Inputs!$C$40))))+Inputs!$C$38*SIN(2*PI()*(Model_Data!A19)/Inputs!$C$39)*SIN(2*PI()*(Inputs!$C$6)/Inputs!$C$40)+-Inputs!$C$41*EXP(-(((Inputs!$C$6)-Inputs!$C$43)^2)/(2*Inputs!$C$44^2))*EXP(-(((Model_Data!A19)-Inputs!$C$42)^2)/(2*Inputs!$C$45^2))+Inputs!$C$48*(0.70*(0.45*SIN(2*PI()*(((Model_Data!A19)/Inputs!$C$49)+Inputs!$C$47*0.137))+0.35*COS(2*PI()*(((Inputs!$C$6)/Inputs!$C$50)+Inputs!$C$47*0.173))+0.20*SIN(2*PI()*(((Model_Data!A19)+(Inputs!$C$6))/(0.5*(Inputs!$C$49+Inputs!$C$50))+Inputs!$C$47*0.097)))+0.30*(2*((SIN(((Model_Data!A19)*12.9898+(Inputs!$C$6)*78.233+Inputs!$C$47*37.719))*43758.5453)-INT((SIN(((Model_Data!A19)*12.9898+(Inputs!$C$6)*78.233+Inputs!$C$47*37.719))*43758.5453)))-1))))/1000)^2)</x:f>
        <x:v>406.7344352367303</x:v>
      </x:c>
      <x:c r="AB19" s="48" t="n">
        <x:f>1000*(AA20-AA18)/(Z20-Z18)*Inputs!$C$11</x:f>
        <x:v>-1002.1414504381028</x:v>
      </x:c>
      <x:c r="AC19" s="48" t="n">
        <x:f>-2*AB19/Inputs!$C$13</x:f>
        <x:v>400.8565801752411</x:v>
      </x:c>
      <x:c r="AD19" s="48" t="n">
        <x:f>-2*AB19/Inputs!$C$14</x:f>
        <x:v>60.18867570198816</x:v>
      </x:c>
    </x:row>
    <x:row r="20">
      <x:c r="A20" s="48" t="n">
        <x:f>Model_Data!A20</x:f>
        <x:v>-51</x:v>
      </x:c>
      <x:c r="B20" s="48" t="n">
        <x:f>Model_Data!F20</x:f>
        <x:v>2238.133363530445</x:v>
      </x:c>
      <x:c r="C20" s="48" t="n">
        <x:f>(((SQRT((Model_Data!A20)^2+Inputs!$C$6^2+((Model_Data!B20)-((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(0.45*SIN(2*PI()*(((Model_Data!A20)/Inputs!$C$49)+Inputs!$C$47*0.137))+0.35*COS(2*PI()*(((Inputs!$C$6)/Inputs!$C$50)+Inputs!$C$47*0.173))+0.20*SIN(2*PI()*(((Model_Data!A20)+(Inputs!$C$6))/(0.5*(Inputs!$C$49+Inputs!$C$50))+Inputs!$C$47*0.097)))+0.30*(2*((SIN(((Model_Data!A20)*12.9898+(Inputs!$C$6)*78.233+Inputs!$C$47*37.719))*43758.5453)-INT((SIN(((Model_Data!A20)*12.9898+(Inputs!$C$6)*78.233+Inputs!$C$47*37.719))*43758.5453)))-1))))/1000)^2))-(((Model_Data!B20)-((Inputs!$C$51*(115*EXP(-(((0)-25)^2)/(4.5^2))+70*EXP(-(((0)+38)^2)/(7^2))*(0.55+0.45*SIN(2*PI()*(Model_Data!A20)/45))+24*SIN(2*PI()*(0)/9+(Model_Data!A20)/18)*EXP(-(((0)+5)^2)/(22^2))+18*SIN(2*PI()*(Model_Data!A20)/70))+Inputs!$C$28*EXP(-(((Model_Data!A20)-Inputs!$C$29)^2)/(2*Inputs!$C$31^2))*EXP(-(((0)-Inputs!$C$30)^2)/(2*Inputs!$C$32^2))+-Inputs!$C$33*EXP(-(((((Model_Data!A20)-Inputs!$C$34)^2)+(((0)-Inputs!$C$35)^2))/(2*Inputs!$C$36^2)))+Inputs!$C$37*(0.55*SIN(2*PI()*(Model_Data!A20)/Inputs!$C$39)+0.35*COS(2*PI()*(0)/Inputs!$C$40)+0.2*SIN(2*PI()*((Model_Data!A20)+(0))/(0.5*(Inputs!$C$39+Inputs!$C$40))))+Inputs!$C$38*SIN(2*PI()*(Model_Data!A20)/Inputs!$C$39)*SIN(2*PI()*(0)/Inputs!$C$40)+-Inputs!$C$41*EXP(-(((0)-Inputs!$C$43)^2)/(2*Inputs!$C$44^2))*EXP(-(((Model_Data!A20)-Inputs!$C$42)^2)/(2*Inputs!$C$45^2))+Inputs!$C$48*(0.70*(0.45*SIN(2*PI()*(((Model_Data!A20)/Inputs!$C$49)+Inputs!$C$47*0.137))+0.35*COS(2*PI()*(((0)/Inputs!$C$50)+Inputs!$C$47*0.173))+0.20*SIN(2*PI()*(((Model_Data!A20)+(0))/(0.5*(Inputs!$C$49+Inputs!$C$50))+Inputs!$C$47*0.097)))+0.30*(2*((SIN(((Model_Data!A20)*12.9898+(0)*78.233+Inputs!$C$47*37.719))*43758.5453)-INT((SIN(((Model_Data!A20)*12.9898+(0)*78.233+Inputs!$C$47*37.719))*43758.5453)))-1))))/1000)))*1000/Inputs!$C$12)</x:f>
        <x:v>2119.9368074828944</x:v>
      </x:c>
      <x:c r="D20" s="49"/>
      <x:c r="E20" s="48" t="n">
        <x:f>Model_Data!A20</x:f>
        <x:v>-51</x:v>
      </x:c>
      <x:c r="F20" s="48" t="n">
        <x:f>(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(0.45*SIN(2*PI()*(((Model_Data!A20)/Inputs!$C$49)+Inputs!$C$47*0.137))+0.35*COS(2*PI()*(((Inputs!$C$6)/Inputs!$C$50)+Inputs!$C$47*0.173))+0.20*SIN(2*PI()*(((Model_Data!A20)+(Inputs!$C$6))/(0.5*(Inputs!$C$49+Inputs!$C$50))+Inputs!$C$47*0.097)))+0.30*(2*((SIN(((Model_Data!A20)*12.9898+(Inputs!$C$6)*78.233+Inputs!$C$47*37.719))*43758.5453)-INT((SIN(((Model_Data!A20)*12.9898+(Inputs!$C$6)*78.233+Inputs!$C$47*37.719))*43758.5453)))-1)))</x:f>
        <x:v>251.96732827517536</x:v>
      </x:c>
      <x:c r="G20" s="48" t="n">
        <x:f>(Inputs!$C$51*(115*EXP(-(((0)-25)^2)/(4.5^2))+70*EXP(-(((0)+38)^2)/(7^2))*(0.55+0.45*SIN(2*PI()*(Model_Data!A20)/45))+24*SIN(2*PI()*(0)/9+(Model_Data!A20)/18)*EXP(-(((0)+5)^2)/(22^2))+18*SIN(2*PI()*(Model_Data!A20)/70))+Inputs!$C$28*EXP(-(((Model_Data!A20)-Inputs!$C$29)^2)/(2*Inputs!$C$31^2))*EXP(-(((0)-Inputs!$C$30)^2)/(2*Inputs!$C$32^2))+-Inputs!$C$33*EXP(-(((((Model_Data!A20)-Inputs!$C$34)^2)+(((0)-Inputs!$C$35)^2))/(2*Inputs!$C$36^2)))+Inputs!$C$37*(0.55*SIN(2*PI()*(Model_Data!A20)/Inputs!$C$39)+0.35*COS(2*PI()*(0)/Inputs!$C$40)+0.2*SIN(2*PI()*((Model_Data!A20)+(0))/(0.5*(Inputs!$C$39+Inputs!$C$40))))+Inputs!$C$38*SIN(2*PI()*(Model_Data!A20)/Inputs!$C$39)*SIN(2*PI()*(0)/Inputs!$C$40)+-Inputs!$C$41*EXP(-(((0)-Inputs!$C$43)^2)/(2*Inputs!$C$44^2))*EXP(-(((Model_Data!A20)-Inputs!$C$42)^2)/(2*Inputs!$C$45^2))+Inputs!$C$48*(0.70*(0.45*SIN(2*PI()*(((Model_Data!A20)/Inputs!$C$49)+Inputs!$C$47*0.137))+0.35*COS(2*PI()*(((0)/Inputs!$C$50)+Inputs!$C$47*0.173))+0.20*SIN(2*PI()*(((Model_Data!A20)+(0))/(0.5*(Inputs!$C$49+Inputs!$C$50))+Inputs!$C$47*0.097)))+0.30*(2*((SIN(((Model_Data!A20)*12.9898+(0)*78.233+Inputs!$C$47*37.719))*43758.5453)-INT((SIN(((Model_Data!A20)*12.9898+(0)*78.233+Inputs!$C$47*37.719))*43758.5453)))-1)))</x:f>
        <x:v>39.10881658677256</x:v>
      </x:c>
      <x:c r="H20" s="49"/>
      <x:c r="I20" s="48" t="n">
        <x:f>Model_Data!A20</x:f>
        <x:v>-51</x:v>
      </x:c>
      <x:c r="J20" s="48" t="n">
        <x:f>((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(0.45*SIN(2*PI()*(((Model_Data!A20)/Inputs!$C$49)+Inputs!$C$47*0.137))+0.35*COS(2*PI()*(((Inputs!$C$6)/Inputs!$C$50)+Inputs!$C$47*0.173))+0.20*SIN(2*PI()*(((Model_Data!A20)+(Inputs!$C$6))/(0.5*(Inputs!$C$49+Inputs!$C$50))+Inputs!$C$47*0.097)))+0.30*(2*((SIN(((Model_Data!A20)*12.9898+(Inputs!$C$6)*78.233+Inputs!$C$47*37.719))*43758.5453)-INT((SIN(((Model_Data!A20)*12.9898+(Inputs!$C$6)*78.233+Inputs!$C$47*37.719))*43758.5453)))-1))))-((Inputs!$C$51*(115*EXP(-(((0)-25)^2)/(4.5^2))+70*EXP(-(((0)+38)^2)/(7^2))*(0.55+0.45*SIN(2*PI()*(Model_Data!A20)/45))+24*SIN(2*PI()*(0)/9+(Model_Data!A20)/18)*EXP(-(((0)+5)^2)/(22^2))+18*SIN(2*PI()*(Model_Data!A20)/70))+Inputs!$C$28*EXP(-(((Model_Data!A20)-Inputs!$C$29)^2)/(2*Inputs!$C$31^2))*EXP(-(((0)-Inputs!$C$30)^2)/(2*Inputs!$C$32^2))+-Inputs!$C$33*EXP(-(((((Model_Data!A20)-Inputs!$C$34)^2)+(((0)-Inputs!$C$35)^2))/(2*Inputs!$C$36^2)))+Inputs!$C$37*(0.55*SIN(2*PI()*(Model_Data!A20)/Inputs!$C$39)+0.35*COS(2*PI()*(0)/Inputs!$C$40)+0.2*SIN(2*PI()*((Model_Data!A20)+(0))/(0.5*(Inputs!$C$39+Inputs!$C$40))))+Inputs!$C$38*SIN(2*PI()*(Model_Data!A20)/Inputs!$C$39)*SIN(2*PI()*(0)/Inputs!$C$40)+-Inputs!$C$41*EXP(-(((0)-Inputs!$C$43)^2)/(2*Inputs!$C$44^2))*EXP(-(((Model_Data!A20)-Inputs!$C$42)^2)/(2*Inputs!$C$45^2))+Inputs!$C$48*(0.70*(0.45*SIN(2*PI()*(((Model_Data!A20)/Inputs!$C$49)+Inputs!$C$47*0.137))+0.35*COS(2*PI()*(((0)/Inputs!$C$50)+Inputs!$C$47*0.173))+0.20*SIN(2*PI()*(((Model_Data!A20)+(0))/(0.5*(Inputs!$C$49+Inputs!$C$50))+Inputs!$C$47*0.097)))+0.30*(2*((SIN(((Model_Data!A20)*12.9898+(0)*78.233+Inputs!$C$47*37.719))*43758.5453)-INT((SIN(((Model_Data!A20)*12.9898+(0)*78.233+Inputs!$C$47*37.719))*43758.5453)))-1))))</x:f>
        <x:v>212.8585116884028</x:v>
      </x:c>
      <x:c r="K20" s="48" t="n">
        <x:f>-((((SQRT((Model_Data!A20)^2+Inputs!$C$6^2+((Model_Data!B20)-((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(0.45*SIN(2*PI()*(((Model_Data!A20)/Inputs!$C$49)+Inputs!$C$47*0.137))+0.35*COS(2*PI()*(((Inputs!$C$6)/Inputs!$C$50)+Inputs!$C$47*0.173))+0.20*SIN(2*PI()*(((Model_Data!A20)+(Inputs!$C$6))/(0.5*(Inputs!$C$49+Inputs!$C$50))+Inputs!$C$47*0.097)))+0.30*(2*((SIN(((Model_Data!A20)*12.9898+(Inputs!$C$6)*78.233+Inputs!$C$47*37.719))*43758.5453)-INT((SIN(((Model_Data!A20)*12.9898+(Inputs!$C$6)*78.233+Inputs!$C$47*37.719))*43758.5453)))-1))))/1000)^2))-(((Model_Data!B20)-((Inputs!$C$51*(115*EXP(-(((0)-25)^2)/(4.5^2))+70*EXP(-(((0)+38)^2)/(7^2))*(0.55+0.45*SIN(2*PI()*(Model_Data!A20)/45))+24*SIN(2*PI()*(0)/9+(Model_Data!A20)/18)*EXP(-(((0)+5)^2)/(22^2))+18*SIN(2*PI()*(Model_Data!A20)/70))+Inputs!$C$28*EXP(-(((Model_Data!A20)-Inputs!$C$29)^2)/(2*Inputs!$C$31^2))*EXP(-(((0)-Inputs!$C$30)^2)/(2*Inputs!$C$32^2))+-Inputs!$C$33*EXP(-(((((Model_Data!A20)-Inputs!$C$34)^2)+(((0)-Inputs!$C$35)^2))/(2*Inputs!$C$36^2)))+Inputs!$C$37*(0.55*SIN(2*PI()*(Model_Data!A20)/Inputs!$C$39)+0.35*COS(2*PI()*(0)/Inputs!$C$40)+0.2*SIN(2*PI()*((Model_Data!A20)+(0))/(0.5*(Inputs!$C$39+Inputs!$C$40))))+Inputs!$C$38*SIN(2*PI()*(Model_Data!A20)/Inputs!$C$39)*SIN(2*PI()*(0)/Inputs!$C$40)+-Inputs!$C$41*EXP(-(((0)-Inputs!$C$43)^2)/(2*Inputs!$C$44^2))*EXP(-(((Model_Data!A20)-Inputs!$C$42)^2)/(2*Inputs!$C$45^2))+Inputs!$C$48*(0.70*(0.45*SIN(2*PI()*(((Model_Data!A20)/Inputs!$C$49)+Inputs!$C$47*0.137))+0.35*COS(2*PI()*(((0)/Inputs!$C$50)+Inputs!$C$47*0.173))+0.20*SIN(2*PI()*(((Model_Data!A20)+(0))/(0.5*(Inputs!$C$49+Inputs!$C$50))+Inputs!$C$47*0.097)))+0.30*(2*((SIN(((Model_Data!A20)*12.9898+(0)*78.233+Inputs!$C$47*37.719))*43758.5453)-INT((SIN(((Model_Data!A20)*12.9898+(0)*78.233+Inputs!$C$47*37.719))*43758.5453)))-1))))/1000)))*1000/Inputs!$C$12)-Model_Data!F20)</x:f>
        <x:v>118.19655604755053</x:v>
      </x:c>
      <x:c r="L20" s="49"/>
      <x:c r="M20" s="48" t="n">
        <x:f>Model_Data!A20</x:f>
        <x:v>-51</x:v>
      </x:c>
      <x:c r="N20" s="48" t="n">
        <x:f>Model_Data!P20</x:f>
        <x:v>380.1113693016265</x:v>
      </x:c>
      <x:c r="O20" s="48" t="n">
        <x:f>AC20</x:f>
        <x:v>361.7473457699816</x:v>
      </x:c>
      <x:c r="P20" s="48" t="n">
        <x:f>Model_Data!Q20</x:f>
        <x:v>57.0737791744184</x:v>
      </x:c>
      <x:c r="Q20" s="48" t="n">
        <x:f>AD20</x:f>
        <x:v>54.316418283781026</x:v>
      </x:c>
      <x:c r="R20" s="49"/>
      <x:c r="S20" s="48" t="n">
        <x:f>Model_Data!A20</x:f>
        <x:v>-51</x:v>
      </x:c>
      <x:c r="T20" s="48" t="n">
        <x:f>Model_Data!B20-Inputs!$C$5</x:f>
        <x:v>2.8899999999999864</x:v>
      </x:c>
      <x:c r="U20" s="49"/>
      <x:c r="V20" s="48" t="n">
        <x:f>Model_Data!A20</x:f>
        <x:v>-51</x:v>
      </x:c>
      <x:c r="W20" s="48" t="n">
        <x:f>(-((((SQRT((Model_Data!A20)^2+Inputs!$C$6^2+((Model_Data!B20)-((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(0.45*SIN(2*PI()*(((Model_Data!A20)/Inputs!$C$49)+Inputs!$C$47*0.137))+0.35*COS(2*PI()*(((Inputs!$C$6)/Inputs!$C$50)+Inputs!$C$47*0.173))+0.20*SIN(2*PI()*(((Model_Data!A20)+(Inputs!$C$6))/(0.5*(Inputs!$C$49+Inputs!$C$50))+Inputs!$C$47*0.097)))+0.30*(2*((SIN(((Model_Data!A20)*12.9898+(Inputs!$C$6)*78.233+Inputs!$C$47*37.719))*43758.5453)-INT((SIN(((Model_Data!A20)*12.9898+(Inputs!$C$6)*78.233+Inputs!$C$47*37.719))*43758.5453)))-1))))/1000)^2))-(((Model_Data!B20)-((Inputs!$C$51*(115*EXP(-(((0)-25)^2)/(4.5^2))+70*EXP(-(((0)+38)^2)/(7^2))*(0.55+0.45*SIN(2*PI()*(Model_Data!A20)/45))+24*SIN(2*PI()*(0)/9+(Model_Data!A20)/18)*EXP(-(((0)+5)^2)/(22^2))+18*SIN(2*PI()*(Model_Data!A20)/70))+Inputs!$C$28*EXP(-(((Model_Data!A20)-Inputs!$C$29)^2)/(2*Inputs!$C$31^2))*EXP(-(((0)-Inputs!$C$30)^2)/(2*Inputs!$C$32^2))+-Inputs!$C$33*EXP(-(((((Model_Data!A20)-Inputs!$C$34)^2)+(((0)-Inputs!$C$35)^2))/(2*Inputs!$C$36^2)))+Inputs!$C$37*(0.55*SIN(2*PI()*(Model_Data!A20)/Inputs!$C$39)+0.35*COS(2*PI()*(0)/Inputs!$C$40)+0.2*SIN(2*PI()*((Model_Data!A20)+(0))/(0.5*(Inputs!$C$39+Inputs!$C$40))))+Inputs!$C$38*SIN(2*PI()*(Model_Data!A20)/Inputs!$C$39)*SIN(2*PI()*(0)/Inputs!$C$40)+-Inputs!$C$41*EXP(-(((0)-Inputs!$C$43)^2)/(2*Inputs!$C$44^2))*EXP(-(((Model_Data!A20)-Inputs!$C$42)^2)/(2*Inputs!$C$45^2))+Inputs!$C$48*(0.70*(0.45*SIN(2*PI()*(((Model_Data!A20)/Inputs!$C$49)+Inputs!$C$47*0.137))+0.35*COS(2*PI()*(((0)/Inputs!$C$50)+Inputs!$C$47*0.173))+0.20*SIN(2*PI()*(((Model_Data!A20)+(0))/(0.5*(Inputs!$C$49+Inputs!$C$50))+Inputs!$C$47*0.097)))+0.30*(2*((SIN(((Model_Data!A20)*12.9898+(0)*78.233+Inputs!$C$47*37.719))*43758.5453)-INT((SIN(((Model_Data!A20)*12.9898+(0)*78.233+Inputs!$C$47*37.719))*43758.5453)))-1))))/1000)))*1000/Inputs!$C$12)-Model_Data!F20))-(-(((SQRT((Model_Data!A20)^2+Inputs!$C$6^2+(Inputs!$C$5-((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(0.45*SIN(2*PI()*(((Model_Data!A20)/Inputs!$C$49)+Inputs!$C$47*0.137))+0.35*COS(2*PI()*(((Inputs!$C$6)/Inputs!$C$50)+Inputs!$C$47*0.173))+0.20*SIN(2*PI()*(((Model_Data!A20)+(Inputs!$C$6))/(0.5*(Inputs!$C$49+Inputs!$C$50))+Inputs!$C$47*0.097)))+0.30*(2*((SIN(((Model_Data!A20)*12.9898+(Inputs!$C$6)*78.233+Inputs!$C$47*37.719))*43758.5453)-INT((SIN(((Model_Data!A20)*12.9898+(Inputs!$C$6)*78.233+Inputs!$C$47*37.719))*43758.5453)))-1))))/1000)^2)-(Inputs!$C$5-((Inputs!$C$51*(115*EXP(-(((0)-25)^2)/(4.5^2))+70*EXP(-(((0)+38)^2)/(7^2))*(0.55+0.45*SIN(2*PI()*(Model_Data!A20)/45))+24*SIN(2*PI()*(0)/9+(Model_Data!A20)/18)*EXP(-(((0)+5)^2)/(22^2))+18*SIN(2*PI()*(Model_Data!A20)/70))+Inputs!$C$28*EXP(-(((Model_Data!A20)-Inputs!$C$29)^2)/(2*Inputs!$C$31^2))*EXP(-(((0)-Inputs!$C$30)^2)/(2*Inputs!$C$32^2))+-Inputs!$C$33*EXP(-(((((Model_Data!A20)-Inputs!$C$34)^2)+(((0)-Inputs!$C$35)^2))/(2*Inputs!$C$36^2)))+Inputs!$C$37*(0.55*SIN(2*PI()*(Model_Data!A20)/Inputs!$C$39)+0.35*COS(2*PI()*(0)/Inputs!$C$40)+0.2*SIN(2*PI()*((Model_Data!A20)+(0))/(0.5*(Inputs!$C$39+Inputs!$C$40))))+Inputs!$C$38*SIN(2*PI()*(Model_Data!A20)/Inputs!$C$39)*SIN(2*PI()*(0)/Inputs!$C$40)+-Inputs!$C$41*EXP(-(((0)-Inputs!$C$43)^2)/(2*Inputs!$C$44^2))*EXP(-(((Model_Data!A20)-Inputs!$C$42)^2)/(2*Inputs!$C$45^2))+Inputs!$C$48*(0.70*(0.45*SIN(2*PI()*(((Model_Data!A20)/Inputs!$C$49)+Inputs!$C$47*0.137))+0.35*COS(2*PI()*(((0)/Inputs!$C$50)+Inputs!$C$47*0.173))+0.20*SIN(2*PI()*(((Model_Data!A20)+(0))/(0.5*(Inputs!$C$49+Inputs!$C$50))+Inputs!$C$47*0.097)))+0.30*(2*((SIN(((Model_Data!A20)*12.9898+(0)*78.233+Inputs!$C$47*37.719))*43758.5453)-INT((SIN(((Model_Data!A20)*12.9898+(0)*78.233+Inputs!$C$47*37.719))*43758.5453)))-1))))/1000))*1000/Inputs!$C$12)-((SQRT((Model_Data!A20)^2+Inputs!$C$6^2+Inputs!$C$5^2)-Inputs!$C$5)*1000/Inputs!$C$12)))</x:f>
        <x:v>0.019820222909856966</x:v>
      </x:c>
      <x:c r="X20" s="48" t="n">
        <x:f>0</x:f>
        <x:v>0</x:v>
      </x:c>
      <x:c r="Y20" s="49"/>
      <x:c r="Z20" s="48" t="n">
        <x:f>Model_Data!A20</x:f>
        <x:v>-51</x:v>
      </x:c>
      <x:c r="AA20" s="48" t="n">
        <x:f>SQRT((Model_Data!A20)^2+Inputs!$C$6^2+((Model_Data!B20)-((Inputs!$C$51*(115*EXP(-(((Inputs!$C$6)-25)^2)/(4.5^2))+70*EXP(-(((Inputs!$C$6)+38)^2)/(7^2))*(0.55+0.45*SIN(2*PI()*(Model_Data!A20)/45))+24*SIN(2*PI()*(Inputs!$C$6)/9+(Model_Data!A20)/18)*EXP(-(((Inputs!$C$6)+5)^2)/(22^2))+18*SIN(2*PI()*(Model_Data!A20)/70))+Inputs!$C$28*EXP(-(((Model_Data!A20)-Inputs!$C$29)^2)/(2*Inputs!$C$31^2))*EXP(-(((Inputs!$C$6)-Inputs!$C$30)^2)/(2*Inputs!$C$32^2))+-Inputs!$C$33*EXP(-(((((Model_Data!A20)-Inputs!$C$34)^2)+(((Inputs!$C$6)-Inputs!$C$35)^2))/(2*Inputs!$C$36^2)))+Inputs!$C$37*(0.55*SIN(2*PI()*(Model_Data!A20)/Inputs!$C$39)+0.35*COS(2*PI()*(Inputs!$C$6)/Inputs!$C$40)+0.2*SIN(2*PI()*((Model_Data!A20)+(Inputs!$C$6))/(0.5*(Inputs!$C$39+Inputs!$C$40))))+Inputs!$C$38*SIN(2*PI()*(Model_Data!A20)/Inputs!$C$39)*SIN(2*PI()*(Inputs!$C$6)/Inputs!$C$40)+-Inputs!$C$41*EXP(-(((Inputs!$C$6)-Inputs!$C$43)^2)/(2*Inputs!$C$44^2))*EXP(-(((Model_Data!A20)-Inputs!$C$42)^2)/(2*Inputs!$C$45^2))+Inputs!$C$48*(0.70*(0.45*SIN(2*PI()*(((Model_Data!A20)/Inputs!$C$49)+Inputs!$C$47*0.137))+0.35*COS(2*PI()*(((Inputs!$C$6)/Inputs!$C$50)+Inputs!$C$47*0.173))+0.20*SIN(2*PI()*(((Model_Data!A20)+(Inputs!$C$6))/(0.5*(Inputs!$C$49+Inputs!$C$50))+Inputs!$C$47*0.097)))+0.30*(2*((SIN(((Model_Data!A20)*12.9898+(Inputs!$C$6)*78.233+Inputs!$C$47*37.719))*43758.5453)-INT((SIN(((Model_Data!A20)*12.9898+(Inputs!$C$6)*78.233+Inputs!$C$47*37.719))*43758.5453)))-1))))/1000)^2)</x:f>
        <x:v>406.6243787007328</x:v>
      </x:c>
      <x:c r="AB20" s="48" t="n">
        <x:f>1000*(AA21-AA19)/(Z21-Z19)*Inputs!$C$11</x:f>
        <x:v>-904.368364424954</x:v>
      </x:c>
      <x:c r="AC20" s="48" t="n">
        <x:f>-2*AB20/Inputs!$C$13</x:f>
        <x:v>361.7473457699816</x:v>
      </x:c>
      <x:c r="AD20" s="48" t="n">
        <x:f>-2*AB20/Inputs!$C$14</x:f>
        <x:v>54.316418283781026</x:v>
      </x:c>
    </x:row>
    <x:row r="21">
      <x:c r="A21" s="48" t="n">
        <x:f>Model_Data!A21</x:f>
        <x:v>-50.5</x:v>
      </x:c>
      <x:c r="B21" s="48" t="n">
        <x:f>Model_Data!F21</x:f>
        <x:v>2203.39914910282</x:v>
      </x:c>
      <x:c r="C21" s="48" t="n">
        <x:f>(((SQRT((Model_Data!A21)^2+Inputs!$C$6^2+((Model_Data!B21)-((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(0.45*SIN(2*PI()*(((Model_Data!A21)/Inputs!$C$49)+Inputs!$C$47*0.137))+0.35*COS(2*PI()*(((Inputs!$C$6)/Inputs!$C$50)+Inputs!$C$47*0.173))+0.20*SIN(2*PI()*(((Model_Data!A21)+(Inputs!$C$6))/(0.5*(Inputs!$C$49+Inputs!$C$50))+Inputs!$C$47*0.097)))+0.30*(2*((SIN(((Model_Data!A21)*12.9898+(Inputs!$C$6)*78.233+Inputs!$C$47*37.719))*43758.5453)-INT((SIN(((Model_Data!A21)*12.9898+(Inputs!$C$6)*78.233+Inputs!$C$47*37.719))*43758.5453)))-1))))/1000)^2))-(((Model_Data!B21)-((Inputs!$C$51*(115*EXP(-(((0)-25)^2)/(4.5^2))+70*EXP(-(((0)+38)^2)/(7^2))*(0.55+0.45*SIN(2*PI()*(Model_Data!A21)/45))+24*SIN(2*PI()*(0)/9+(Model_Data!A21)/18)*EXP(-(((0)+5)^2)/(22^2))+18*SIN(2*PI()*(Model_Data!A21)/70))+Inputs!$C$28*EXP(-(((Model_Data!A21)-Inputs!$C$29)^2)/(2*Inputs!$C$31^2))*EXP(-(((0)-Inputs!$C$30)^2)/(2*Inputs!$C$32^2))+-Inputs!$C$33*EXP(-(((((Model_Data!A21)-Inputs!$C$34)^2)+(((0)-Inputs!$C$35)^2))/(2*Inputs!$C$36^2)))+Inputs!$C$37*(0.55*SIN(2*PI()*(Model_Data!A21)/Inputs!$C$39)+0.35*COS(2*PI()*(0)/Inputs!$C$40)+0.2*SIN(2*PI()*((Model_Data!A21)+(0))/(0.5*(Inputs!$C$39+Inputs!$C$40))))+Inputs!$C$38*SIN(2*PI()*(Model_Data!A21)/Inputs!$C$39)*SIN(2*PI()*(0)/Inputs!$C$40)+-Inputs!$C$41*EXP(-(((0)-Inputs!$C$43)^2)/(2*Inputs!$C$44^2))*EXP(-(((Model_Data!A21)-Inputs!$C$42)^2)/(2*Inputs!$C$45^2))+Inputs!$C$48*(0.70*(0.45*SIN(2*PI()*(((Model_Data!A21)/Inputs!$C$49)+Inputs!$C$47*0.137))+0.35*COS(2*PI()*(((0)/Inputs!$C$50)+Inputs!$C$47*0.173))+0.20*SIN(2*PI()*(((Model_Data!A21)+(0))/(0.5*(Inputs!$C$49+Inputs!$C$50))+Inputs!$C$47*0.097)))+0.30*(2*((SIN(((Model_Data!A21)*12.9898+(0)*78.233+Inputs!$C$47*37.719))*43758.5453)-INT((SIN(((Model_Data!A21)*12.9898+(0)*78.233+Inputs!$C$47*37.719))*43758.5453)))-1))))/1000)))*1000/Inputs!$C$12)</x:f>
        <x:v>2091.420149559082</x:v>
      </x:c>
      <x:c r="D21" s="49"/>
      <x:c r="E21" s="48" t="n">
        <x:f>Model_Data!A21</x:f>
        <x:v>-50.5</x:v>
      </x:c>
      <x:c r="F21" s="48" t="n">
        <x:f>(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(0.45*SIN(2*PI()*(((Model_Data!A21)/Inputs!$C$49)+Inputs!$C$47*0.137))+0.35*COS(2*PI()*(((Inputs!$C$6)/Inputs!$C$50)+Inputs!$C$47*0.173))+0.20*SIN(2*PI()*(((Model_Data!A21)+(Inputs!$C$6))/(0.5*(Inputs!$C$49+Inputs!$C$50))+Inputs!$C$47*0.097)))+0.30*(2*((SIN(((Model_Data!A21)*12.9898+(Inputs!$C$6)*78.233+Inputs!$C$47*37.719))*43758.5453)-INT((SIN(((Model_Data!A21)*12.9898+(Inputs!$C$6)*78.233+Inputs!$C$47*37.719))*43758.5453)))-1)))</x:f>
        <x:v>249.7278681272967</x:v>
      </x:c>
      <x:c r="G21" s="48" t="n">
        <x:f>(Inputs!$C$51*(115*EXP(-(((0)-25)^2)/(4.5^2))+70*EXP(-(((0)+38)^2)/(7^2))*(0.55+0.45*SIN(2*PI()*(Model_Data!A21)/45))+24*SIN(2*PI()*(0)/9+(Model_Data!A21)/18)*EXP(-(((0)+5)^2)/(22^2))+18*SIN(2*PI()*(Model_Data!A21)/70))+Inputs!$C$28*EXP(-(((Model_Data!A21)-Inputs!$C$29)^2)/(2*Inputs!$C$31^2))*EXP(-(((0)-Inputs!$C$30)^2)/(2*Inputs!$C$32^2))+-Inputs!$C$33*EXP(-(((((Model_Data!A21)-Inputs!$C$34)^2)+(((0)-Inputs!$C$35)^2))/(2*Inputs!$C$36^2)))+Inputs!$C$37*(0.55*SIN(2*PI()*(Model_Data!A21)/Inputs!$C$39)+0.35*COS(2*PI()*(0)/Inputs!$C$40)+0.2*SIN(2*PI()*((Model_Data!A21)+(0))/(0.5*(Inputs!$C$39+Inputs!$C$40))))+Inputs!$C$38*SIN(2*PI()*(Model_Data!A21)/Inputs!$C$39)*SIN(2*PI()*(0)/Inputs!$C$40)+-Inputs!$C$41*EXP(-(((0)-Inputs!$C$43)^2)/(2*Inputs!$C$44^2))*EXP(-(((Model_Data!A21)-Inputs!$C$42)^2)/(2*Inputs!$C$45^2))+Inputs!$C$48*(0.70*(0.45*SIN(2*PI()*(((Model_Data!A21)/Inputs!$C$49)+Inputs!$C$47*0.137))+0.35*COS(2*PI()*(((0)/Inputs!$C$50)+Inputs!$C$47*0.173))+0.20*SIN(2*PI()*(((Model_Data!A21)+(0))/(0.5*(Inputs!$C$49+Inputs!$C$50))+Inputs!$C$47*0.097)))+0.30*(2*((SIN(((Model_Data!A21)*12.9898+(0)*78.233+Inputs!$C$47*37.719))*43758.5453)-INT((SIN(((Model_Data!A21)*12.9898+(0)*78.233+Inputs!$C$47*37.719))*43758.5453)))-1)))</x:f>
        <x:v>47.99583170220943</x:v>
      </x:c>
      <x:c r="H21" s="49"/>
      <x:c r="I21" s="48" t="n">
        <x:f>Model_Data!A21</x:f>
        <x:v>-50.5</x:v>
      </x:c>
      <x:c r="J21" s="48" t="n">
        <x:f>((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(0.45*SIN(2*PI()*(((Model_Data!A21)/Inputs!$C$49)+Inputs!$C$47*0.137))+0.35*COS(2*PI()*(((Inputs!$C$6)/Inputs!$C$50)+Inputs!$C$47*0.173))+0.20*SIN(2*PI()*(((Model_Data!A21)+(Inputs!$C$6))/(0.5*(Inputs!$C$49+Inputs!$C$50))+Inputs!$C$47*0.097)))+0.30*(2*((SIN(((Model_Data!A21)*12.9898+(Inputs!$C$6)*78.233+Inputs!$C$47*37.719))*43758.5453)-INT((SIN(((Model_Data!A21)*12.9898+(Inputs!$C$6)*78.233+Inputs!$C$47*37.719))*43758.5453)))-1))))-((Inputs!$C$51*(115*EXP(-(((0)-25)^2)/(4.5^2))+70*EXP(-(((0)+38)^2)/(7^2))*(0.55+0.45*SIN(2*PI()*(Model_Data!A21)/45))+24*SIN(2*PI()*(0)/9+(Model_Data!A21)/18)*EXP(-(((0)+5)^2)/(22^2))+18*SIN(2*PI()*(Model_Data!A21)/70))+Inputs!$C$28*EXP(-(((Model_Data!A21)-Inputs!$C$29)^2)/(2*Inputs!$C$31^2))*EXP(-(((0)-Inputs!$C$30)^2)/(2*Inputs!$C$32^2))+-Inputs!$C$33*EXP(-(((((Model_Data!A21)-Inputs!$C$34)^2)+(((0)-Inputs!$C$35)^2))/(2*Inputs!$C$36^2)))+Inputs!$C$37*(0.55*SIN(2*PI()*(Model_Data!A21)/Inputs!$C$39)+0.35*COS(2*PI()*(0)/Inputs!$C$40)+0.2*SIN(2*PI()*((Model_Data!A21)+(0))/(0.5*(Inputs!$C$39+Inputs!$C$40))))+Inputs!$C$38*SIN(2*PI()*(Model_Data!A21)/Inputs!$C$39)*SIN(2*PI()*(0)/Inputs!$C$40)+-Inputs!$C$41*EXP(-(((0)-Inputs!$C$43)^2)/(2*Inputs!$C$44^2))*EXP(-(((Model_Data!A21)-Inputs!$C$42)^2)/(2*Inputs!$C$45^2))+Inputs!$C$48*(0.70*(0.45*SIN(2*PI()*(((Model_Data!A21)/Inputs!$C$49)+Inputs!$C$47*0.137))+0.35*COS(2*PI()*(((0)/Inputs!$C$50)+Inputs!$C$47*0.173))+0.20*SIN(2*PI()*(((Model_Data!A21)+(0))/(0.5*(Inputs!$C$49+Inputs!$C$50))+Inputs!$C$47*0.097)))+0.30*(2*((SIN(((Model_Data!A21)*12.9898+(0)*78.233+Inputs!$C$47*37.719))*43758.5453)-INT((SIN(((Model_Data!A21)*12.9898+(0)*78.233+Inputs!$C$47*37.719))*43758.5453)))-1))))</x:f>
        <x:v>201.73203642508724</x:v>
      </x:c>
      <x:c r="K21" s="48" t="n">
        <x:f>-((((SQRT((Model_Data!A21)^2+Inputs!$C$6^2+((Model_Data!B21)-((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(0.45*SIN(2*PI()*(((Model_Data!A21)/Inputs!$C$49)+Inputs!$C$47*0.137))+0.35*COS(2*PI()*(((Inputs!$C$6)/Inputs!$C$50)+Inputs!$C$47*0.173))+0.20*SIN(2*PI()*(((Model_Data!A21)+(Inputs!$C$6))/(0.5*(Inputs!$C$49+Inputs!$C$50))+Inputs!$C$47*0.097)))+0.30*(2*((SIN(((Model_Data!A21)*12.9898+(Inputs!$C$6)*78.233+Inputs!$C$47*37.719))*43758.5453)-INT((SIN(((Model_Data!A21)*12.9898+(Inputs!$C$6)*78.233+Inputs!$C$47*37.719))*43758.5453)))-1))))/1000)^2))-(((Model_Data!B21)-((Inputs!$C$51*(115*EXP(-(((0)-25)^2)/(4.5^2))+70*EXP(-(((0)+38)^2)/(7^2))*(0.55+0.45*SIN(2*PI()*(Model_Data!A21)/45))+24*SIN(2*PI()*(0)/9+(Model_Data!A21)/18)*EXP(-(((0)+5)^2)/(22^2))+18*SIN(2*PI()*(Model_Data!A21)/70))+Inputs!$C$28*EXP(-(((Model_Data!A21)-Inputs!$C$29)^2)/(2*Inputs!$C$31^2))*EXP(-(((0)-Inputs!$C$30)^2)/(2*Inputs!$C$32^2))+-Inputs!$C$33*EXP(-(((((Model_Data!A21)-Inputs!$C$34)^2)+(((0)-Inputs!$C$35)^2))/(2*Inputs!$C$36^2)))+Inputs!$C$37*(0.55*SIN(2*PI()*(Model_Data!A21)/Inputs!$C$39)+0.35*COS(2*PI()*(0)/Inputs!$C$40)+0.2*SIN(2*PI()*((Model_Data!A21)+(0))/(0.5*(Inputs!$C$39+Inputs!$C$40))))+Inputs!$C$38*SIN(2*PI()*(Model_Data!A21)/Inputs!$C$39)*SIN(2*PI()*(0)/Inputs!$C$40)+-Inputs!$C$41*EXP(-(((0)-Inputs!$C$43)^2)/(2*Inputs!$C$44^2))*EXP(-(((Model_Data!A21)-Inputs!$C$42)^2)/(2*Inputs!$C$45^2))+Inputs!$C$48*(0.70*(0.45*SIN(2*PI()*(((Model_Data!A21)/Inputs!$C$49)+Inputs!$C$47*0.137))+0.35*COS(2*PI()*(((0)/Inputs!$C$50)+Inputs!$C$47*0.173))+0.20*SIN(2*PI()*(((Model_Data!A21)+(0))/(0.5*(Inputs!$C$49+Inputs!$C$50))+Inputs!$C$47*0.097)))+0.30*(2*((SIN(((Model_Data!A21)*12.9898+(0)*78.233+Inputs!$C$47*37.719))*43758.5453)-INT((SIN(((Model_Data!A21)*12.9898+(0)*78.233+Inputs!$C$47*37.719))*43758.5453)))-1))))/1000)))*1000/Inputs!$C$12)-Model_Data!F21)</x:f>
        <x:v>111.97899954373815</x:v>
      </x:c>
      <x:c r="L21" s="49"/>
      <x:c r="M21" s="48" t="n">
        <x:f>Model_Data!A21</x:f>
        <x:v>-50.5</x:v>
      </x:c>
      <x:c r="N21" s="48" t="n">
        <x:f>Model_Data!P21</x:f>
        <x:v>376.4692843818514</x:v>
      </x:c>
      <x:c r="O21" s="48" t="n">
        <x:f>AC21</x:f>
        <x:v>411.05422549080686</x:v>
      </x:c>
      <x:c r="P21" s="48" t="n">
        <x:f>Model_Data!Q21</x:f>
        <x:v>56.526919576854574</x:v>
      </x:c>
      <x:c r="Q21" s="48" t="n">
        <x:f>AD21</x:f>
        <x:v>61.71985367729833</x:v>
      </x:c>
      <x:c r="R21" s="49"/>
      <x:c r="S21" s="48" t="n">
        <x:f>Model_Data!A21</x:f>
        <x:v>-50.5</x:v>
      </x:c>
      <x:c r="T21" s="48" t="n">
        <x:f>Model_Data!B21-Inputs!$C$5</x:f>
        <x:v>2.833611111111111</x:v>
      </x:c>
      <x:c r="U21" s="49"/>
      <x:c r="V21" s="48" t="n">
        <x:f>Model_Data!A21</x:f>
        <x:v>-50.5</x:v>
      </x:c>
      <x:c r="W21" s="48" t="n">
        <x:f>(-((((SQRT((Model_Data!A21)^2+Inputs!$C$6^2+((Model_Data!B21)-((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(0.45*SIN(2*PI()*(((Model_Data!A21)/Inputs!$C$49)+Inputs!$C$47*0.137))+0.35*COS(2*PI()*(((Inputs!$C$6)/Inputs!$C$50)+Inputs!$C$47*0.173))+0.20*SIN(2*PI()*(((Model_Data!A21)+(Inputs!$C$6))/(0.5*(Inputs!$C$49+Inputs!$C$50))+Inputs!$C$47*0.097)))+0.30*(2*((SIN(((Model_Data!A21)*12.9898+(Inputs!$C$6)*78.233+Inputs!$C$47*37.719))*43758.5453)-INT((SIN(((Model_Data!A21)*12.9898+(Inputs!$C$6)*78.233+Inputs!$C$47*37.719))*43758.5453)))-1))))/1000)^2))-(((Model_Data!B21)-((Inputs!$C$51*(115*EXP(-(((0)-25)^2)/(4.5^2))+70*EXP(-(((0)+38)^2)/(7^2))*(0.55+0.45*SIN(2*PI()*(Model_Data!A21)/45))+24*SIN(2*PI()*(0)/9+(Model_Data!A21)/18)*EXP(-(((0)+5)^2)/(22^2))+18*SIN(2*PI()*(Model_Data!A21)/70))+Inputs!$C$28*EXP(-(((Model_Data!A21)-Inputs!$C$29)^2)/(2*Inputs!$C$31^2))*EXP(-(((0)-Inputs!$C$30)^2)/(2*Inputs!$C$32^2))+-Inputs!$C$33*EXP(-(((((Model_Data!A21)-Inputs!$C$34)^2)+(((0)-Inputs!$C$35)^2))/(2*Inputs!$C$36^2)))+Inputs!$C$37*(0.55*SIN(2*PI()*(Model_Data!A21)/Inputs!$C$39)+0.35*COS(2*PI()*(0)/Inputs!$C$40)+0.2*SIN(2*PI()*((Model_Data!A21)+(0))/(0.5*(Inputs!$C$39+Inputs!$C$40))))+Inputs!$C$38*SIN(2*PI()*(Model_Data!A21)/Inputs!$C$39)*SIN(2*PI()*(0)/Inputs!$C$40)+-Inputs!$C$41*EXP(-(((0)-Inputs!$C$43)^2)/(2*Inputs!$C$44^2))*EXP(-(((Model_Data!A21)-Inputs!$C$42)^2)/(2*Inputs!$C$45^2))+Inputs!$C$48*(0.70*(0.45*SIN(2*PI()*(((Model_Data!A21)/Inputs!$C$49)+Inputs!$C$47*0.137))+0.35*COS(2*PI()*(((0)/Inputs!$C$50)+Inputs!$C$47*0.173))+0.20*SIN(2*PI()*(((Model_Data!A21)+(0))/(0.5*(Inputs!$C$49+Inputs!$C$50))+Inputs!$C$47*0.097)))+0.30*(2*((SIN(((Model_Data!A21)*12.9898+(0)*78.233+Inputs!$C$47*37.719))*43758.5453)-INT((SIN(((Model_Data!A21)*12.9898+(0)*78.233+Inputs!$C$47*37.719))*43758.5453)))-1))))/1000)))*1000/Inputs!$C$12)-Model_Data!F21))-(-(((SQRT((Model_Data!A21)^2+Inputs!$C$6^2+(Inputs!$C$5-((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(0.45*SIN(2*PI()*(((Model_Data!A21)/Inputs!$C$49)+Inputs!$C$47*0.137))+0.35*COS(2*PI()*(((Inputs!$C$6)/Inputs!$C$50)+Inputs!$C$47*0.173))+0.20*SIN(2*PI()*(((Model_Data!A21)+(Inputs!$C$6))/(0.5*(Inputs!$C$49+Inputs!$C$50))+Inputs!$C$47*0.097)))+0.30*(2*((SIN(((Model_Data!A21)*12.9898+(Inputs!$C$6)*78.233+Inputs!$C$47*37.719))*43758.5453)-INT((SIN(((Model_Data!A21)*12.9898+(Inputs!$C$6)*78.233+Inputs!$C$47*37.719))*43758.5453)))-1))))/1000)^2)-(Inputs!$C$5-((Inputs!$C$51*(115*EXP(-(((0)-25)^2)/(4.5^2))+70*EXP(-(((0)+38)^2)/(7^2))*(0.55+0.45*SIN(2*PI()*(Model_Data!A21)/45))+24*SIN(2*PI()*(0)/9+(Model_Data!A21)/18)*EXP(-(((0)+5)^2)/(22^2))+18*SIN(2*PI()*(Model_Data!A21)/70))+Inputs!$C$28*EXP(-(((Model_Data!A21)-Inputs!$C$29)^2)/(2*Inputs!$C$31^2))*EXP(-(((0)-Inputs!$C$30)^2)/(2*Inputs!$C$32^2))+-Inputs!$C$33*EXP(-(((((Model_Data!A21)-Inputs!$C$34)^2)+(((0)-Inputs!$C$35)^2))/(2*Inputs!$C$36^2)))+Inputs!$C$37*(0.55*SIN(2*PI()*(Model_Data!A21)/Inputs!$C$39)+0.35*COS(2*PI()*(0)/Inputs!$C$40)+0.2*SIN(2*PI()*((Model_Data!A21)+(0))/(0.5*(Inputs!$C$39+Inputs!$C$40))))+Inputs!$C$38*SIN(2*PI()*(Model_Data!A21)/Inputs!$C$39)*SIN(2*PI()*(0)/Inputs!$C$40)+-Inputs!$C$41*EXP(-(((0)-Inputs!$C$43)^2)/(2*Inputs!$C$44^2))*EXP(-(((Model_Data!A21)-Inputs!$C$42)^2)/(2*Inputs!$C$45^2))+Inputs!$C$48*(0.70*(0.45*SIN(2*PI()*(((Model_Data!A21)/Inputs!$C$49)+Inputs!$C$47*0.137))+0.35*COS(2*PI()*(((0)/Inputs!$C$50)+Inputs!$C$47*0.173))+0.20*SIN(2*PI()*(((Model_Data!A21)+(0))/(0.5*(Inputs!$C$49+Inputs!$C$50))+Inputs!$C$47*0.097)))+0.30*(2*((SIN(((Model_Data!A21)*12.9898+(0)*78.233+Inputs!$C$47*37.719))*43758.5453)-INT((SIN(((Model_Data!A21)*12.9898+(0)*78.233+Inputs!$C$47*37.719))*43758.5453)))-1))))/1000))*1000/Inputs!$C$12)-((SQRT((Model_Data!A21)^2+Inputs!$C$6^2+Inputs!$C$5^2)-Inputs!$C$5)*1000/Inputs!$C$12)))</x:f>
        <x:v>0.018970306338360388</x:v>
      </x:c>
      <x:c r="X21" s="48" t="n">
        <x:f>0</x:f>
        <x:v>0</x:v>
      </x:c>
      <x:c r="Y21" s="49"/>
      <x:c r="Z21" s="48" t="n">
        <x:f>Model_Data!A21</x:f>
        <x:v>-50.5</x:v>
      </x:c>
      <x:c r="AA21" s="48" t="n">
        <x:f>SQRT((Model_Data!A21)^2+Inputs!$C$6^2+((Model_Data!B21)-((Inputs!$C$51*(115*EXP(-(((Inputs!$C$6)-25)^2)/(4.5^2))+70*EXP(-(((Inputs!$C$6)+38)^2)/(7^2))*(0.55+0.45*SIN(2*PI()*(Model_Data!A21)/45))+24*SIN(2*PI()*(Inputs!$C$6)/9+(Model_Data!A21)/18)*EXP(-(((Inputs!$C$6)+5)^2)/(22^2))+18*SIN(2*PI()*(Model_Data!A21)/70))+Inputs!$C$28*EXP(-(((Model_Data!A21)-Inputs!$C$29)^2)/(2*Inputs!$C$31^2))*EXP(-(((Inputs!$C$6)-Inputs!$C$30)^2)/(2*Inputs!$C$32^2))+-Inputs!$C$33*EXP(-(((((Model_Data!A21)-Inputs!$C$34)^2)+(((Inputs!$C$6)-Inputs!$C$35)^2))/(2*Inputs!$C$36^2)))+Inputs!$C$37*(0.55*SIN(2*PI()*(Model_Data!A21)/Inputs!$C$39)+0.35*COS(2*PI()*(Inputs!$C$6)/Inputs!$C$40)+0.2*SIN(2*PI()*((Model_Data!A21)+(Inputs!$C$6))/(0.5*(Inputs!$C$39+Inputs!$C$40))))+Inputs!$C$38*SIN(2*PI()*(Model_Data!A21)/Inputs!$C$39)*SIN(2*PI()*(Inputs!$C$6)/Inputs!$C$40)+-Inputs!$C$41*EXP(-(((Inputs!$C$6)-Inputs!$C$43)^2)/(2*Inputs!$C$44^2))*EXP(-(((Model_Data!A21)-Inputs!$C$42)^2)/(2*Inputs!$C$45^2))+Inputs!$C$48*(0.70*(0.45*SIN(2*PI()*(((Model_Data!A21)/Inputs!$C$49)+Inputs!$C$47*0.137))+0.35*COS(2*PI()*(((Inputs!$C$6)/Inputs!$C$50)+Inputs!$C$47*0.173))+0.20*SIN(2*PI()*(((Model_Data!A21)+(Inputs!$C$6))/(0.5*(Inputs!$C$49+Inputs!$C$50))+Inputs!$C$47*0.097)))+0.30*(2*((SIN(((Model_Data!A21)*12.9898+(Inputs!$C$6)*78.233+Inputs!$C$47*37.719))*43758.5453)-INT((SIN(((Model_Data!A21)*12.9898+(Inputs!$C$6)*78.233+Inputs!$C$47*37.719))*43758.5453)))-1))))/1000)^2)</x:f>
        <x:v>406.50834314562405</x:v>
      </x:c>
      <x:c r="AB21" s="48" t="n">
        <x:f>1000*(AA22-AA20)/(Z22-Z20)*Inputs!$C$11</x:f>
        <x:v>-1027.6355637270171</x:v>
      </x:c>
      <x:c r="AC21" s="48" t="n">
        <x:f>-2*AB21/Inputs!$C$13</x:f>
        <x:v>411.05422549080686</x:v>
      </x:c>
      <x:c r="AD21" s="48" t="n">
        <x:f>-2*AB21/Inputs!$C$14</x:f>
        <x:v>61.71985367729833</x:v>
      </x:c>
    </x:row>
    <x:row r="22">
      <x:c r="A22" s="48" t="n">
        <x:f>Model_Data!A22</x:f>
        <x:v>-50</x:v>
      </x:c>
      <x:c r="B22" s="48" t="n">
        <x:f>Model_Data!F22</x:f>
        <x:v>2168.9924490050507</x:v>
      </x:c>
      <x:c r="C22" s="48" t="n">
        <x:f>(((SQRT((Model_Data!A22)^2+Inputs!$C$6^2+((Model_Data!B22)-((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(0.45*SIN(2*PI()*(((Model_Data!A22)/Inputs!$C$49)+Inputs!$C$47*0.137))+0.35*COS(2*PI()*(((Inputs!$C$6)/Inputs!$C$50)+Inputs!$C$47*0.173))+0.20*SIN(2*PI()*(((Model_Data!A22)+(Inputs!$C$6))/(0.5*(Inputs!$C$49+Inputs!$C$50))+Inputs!$C$47*0.097)))+0.30*(2*((SIN(((Model_Data!A22)*12.9898+(Inputs!$C$6)*78.233+Inputs!$C$47*37.719))*43758.5453)-INT((SIN(((Model_Data!A22)*12.9898+(Inputs!$C$6)*78.233+Inputs!$C$47*37.719))*43758.5453)))-1))))/1000)^2))-(((Model_Data!B22)-((Inputs!$C$51*(115*EXP(-(((0)-25)^2)/(4.5^2))+70*EXP(-(((0)+38)^2)/(7^2))*(0.55+0.45*SIN(2*PI()*(Model_Data!A22)/45))+24*SIN(2*PI()*(0)/9+(Model_Data!A22)/18)*EXP(-(((0)+5)^2)/(22^2))+18*SIN(2*PI()*(Model_Data!A22)/70))+Inputs!$C$28*EXP(-(((Model_Data!A22)-Inputs!$C$29)^2)/(2*Inputs!$C$31^2))*EXP(-(((0)-Inputs!$C$30)^2)/(2*Inputs!$C$32^2))+-Inputs!$C$33*EXP(-(((((Model_Data!A22)-Inputs!$C$34)^2)+(((0)-Inputs!$C$35)^2))/(2*Inputs!$C$36^2)))+Inputs!$C$37*(0.55*SIN(2*PI()*(Model_Data!A22)/Inputs!$C$39)+0.35*COS(2*PI()*(0)/Inputs!$C$40)+0.2*SIN(2*PI()*((Model_Data!A22)+(0))/(0.5*(Inputs!$C$39+Inputs!$C$40))))+Inputs!$C$38*SIN(2*PI()*(Model_Data!A22)/Inputs!$C$39)*SIN(2*PI()*(0)/Inputs!$C$40)+-Inputs!$C$41*EXP(-(((0)-Inputs!$C$43)^2)/(2*Inputs!$C$44^2))*EXP(-(((Model_Data!A22)-Inputs!$C$42)^2)/(2*Inputs!$C$45^2))+Inputs!$C$48*(0.70*(0.45*SIN(2*PI()*(((Model_Data!A22)/Inputs!$C$49)+Inputs!$C$47*0.137))+0.35*COS(2*PI()*(((0)/Inputs!$C$50)+Inputs!$C$47*0.173))+0.20*SIN(2*PI()*(((Model_Data!A22)+(0))/(0.5*(Inputs!$C$49+Inputs!$C$50))+Inputs!$C$47*0.097)))+0.30*(2*((SIN(((Model_Data!A22)*12.9898+(0)*78.233+Inputs!$C$47*37.719))*43758.5453)-INT((SIN(((Model_Data!A22)*12.9898+(0)*78.233+Inputs!$C$47*37.719))*43758.5453)))-1))))/1000)))*1000/Inputs!$C$12)</x:f>
        <x:v>2032.992388588583</x:v>
      </x:c>
      <x:c r="D22" s="49"/>
      <x:c r="E22" s="48" t="n">
        <x:f>Model_Data!A22</x:f>
        <x:v>-50</x:v>
      </x:c>
      <x:c r="F22" s="48" t="n">
        <x:f>(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(0.45*SIN(2*PI()*(((Model_Data!A22)/Inputs!$C$49)+Inputs!$C$47*0.137))+0.35*COS(2*PI()*(((Inputs!$C$6)/Inputs!$C$50)+Inputs!$C$47*0.173))+0.20*SIN(2*PI()*(((Model_Data!A22)+(Inputs!$C$6))/(0.5*(Inputs!$C$49+Inputs!$C$50))+Inputs!$C$47*0.097)))+0.30*(2*((SIN(((Model_Data!A22)*12.9898+(Inputs!$C$6)*78.233+Inputs!$C$47*37.719))*43758.5453)-INT((SIN(((Model_Data!A22)*12.9898+(Inputs!$C$6)*78.233+Inputs!$C$47*37.719))*43758.5453)))-1)))</x:f>
        <x:v>273.71504099052385</x:v>
      </x:c>
      <x:c r="G22" s="48" t="n">
        <x:f>(Inputs!$C$51*(115*EXP(-(((0)-25)^2)/(4.5^2))+70*EXP(-(((0)+38)^2)/(7^2))*(0.55+0.45*SIN(2*PI()*(Model_Data!A22)/45))+24*SIN(2*PI()*(0)/9+(Model_Data!A22)/18)*EXP(-(((0)+5)^2)/(22^2))+18*SIN(2*PI()*(Model_Data!A22)/70))+Inputs!$C$28*EXP(-(((Model_Data!A22)-Inputs!$C$29)^2)/(2*Inputs!$C$31^2))*EXP(-(((0)-Inputs!$C$30)^2)/(2*Inputs!$C$32^2))+-Inputs!$C$33*EXP(-(((((Model_Data!A22)-Inputs!$C$34)^2)+(((0)-Inputs!$C$35)^2))/(2*Inputs!$C$36^2)))+Inputs!$C$37*(0.55*SIN(2*PI()*(Model_Data!A22)/Inputs!$C$39)+0.35*COS(2*PI()*(0)/Inputs!$C$40)+0.2*SIN(2*PI()*((Model_Data!A22)+(0))/(0.5*(Inputs!$C$39+Inputs!$C$40))))+Inputs!$C$38*SIN(2*PI()*(Model_Data!A22)/Inputs!$C$39)*SIN(2*PI()*(0)/Inputs!$C$40)+-Inputs!$C$41*EXP(-(((0)-Inputs!$C$43)^2)/(2*Inputs!$C$44^2))*EXP(-(((Model_Data!A22)-Inputs!$C$42)^2)/(2*Inputs!$C$45^2))+Inputs!$C$48*(0.70*(0.45*SIN(2*PI()*(((Model_Data!A22)/Inputs!$C$49)+Inputs!$C$47*0.137))+0.35*COS(2*PI()*(((0)/Inputs!$C$50)+Inputs!$C$47*0.173))+0.20*SIN(2*PI()*(((Model_Data!A22)+(0))/(0.5*(Inputs!$C$49+Inputs!$C$50))+Inputs!$C$47*0.097)))+0.30*(2*((SIN(((Model_Data!A22)*12.9898+(0)*78.233+Inputs!$C$47*37.719))*43758.5453)-INT((SIN(((Model_Data!A22)*12.9898+(0)*78.233+Inputs!$C$47*37.719))*43758.5453)))-1)))</x:f>
        <x:v>29.034419664389077</x:v>
      </x:c>
      <x:c r="H22" s="49"/>
      <x:c r="I22" s="48" t="n">
        <x:f>Model_Data!A22</x:f>
        <x:v>-50</x:v>
      </x:c>
      <x:c r="J22" s="48" t="n">
        <x:f>((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(0.45*SIN(2*PI()*(((Model_Data!A22)/Inputs!$C$49)+Inputs!$C$47*0.137))+0.35*COS(2*PI()*(((Inputs!$C$6)/Inputs!$C$50)+Inputs!$C$47*0.173))+0.20*SIN(2*PI()*(((Model_Data!A22)+(Inputs!$C$6))/(0.5*(Inputs!$C$49+Inputs!$C$50))+Inputs!$C$47*0.097)))+0.30*(2*((SIN(((Model_Data!A22)*12.9898+(Inputs!$C$6)*78.233+Inputs!$C$47*37.719))*43758.5453)-INT((SIN(((Model_Data!A22)*12.9898+(Inputs!$C$6)*78.233+Inputs!$C$47*37.719))*43758.5453)))-1))))-((Inputs!$C$51*(115*EXP(-(((0)-25)^2)/(4.5^2))+70*EXP(-(((0)+38)^2)/(7^2))*(0.55+0.45*SIN(2*PI()*(Model_Data!A22)/45))+24*SIN(2*PI()*(0)/9+(Model_Data!A22)/18)*EXP(-(((0)+5)^2)/(22^2))+18*SIN(2*PI()*(Model_Data!A22)/70))+Inputs!$C$28*EXP(-(((Model_Data!A22)-Inputs!$C$29)^2)/(2*Inputs!$C$31^2))*EXP(-(((0)-Inputs!$C$30)^2)/(2*Inputs!$C$32^2))+-Inputs!$C$33*EXP(-(((((Model_Data!A22)-Inputs!$C$34)^2)+(((0)-Inputs!$C$35)^2))/(2*Inputs!$C$36^2)))+Inputs!$C$37*(0.55*SIN(2*PI()*(Model_Data!A22)/Inputs!$C$39)+0.35*COS(2*PI()*(0)/Inputs!$C$40)+0.2*SIN(2*PI()*((Model_Data!A22)+(0))/(0.5*(Inputs!$C$39+Inputs!$C$40))))+Inputs!$C$38*SIN(2*PI()*(Model_Data!A22)/Inputs!$C$39)*SIN(2*PI()*(0)/Inputs!$C$40)+-Inputs!$C$41*EXP(-(((0)-Inputs!$C$43)^2)/(2*Inputs!$C$44^2))*EXP(-(((Model_Data!A22)-Inputs!$C$42)^2)/(2*Inputs!$C$45^2))+Inputs!$C$48*(0.70*(0.45*SIN(2*PI()*(((Model_Data!A22)/Inputs!$C$49)+Inputs!$C$47*0.137))+0.35*COS(2*PI()*(((0)/Inputs!$C$50)+Inputs!$C$47*0.173))+0.20*SIN(2*PI()*(((Model_Data!A22)+(0))/(0.5*(Inputs!$C$49+Inputs!$C$50))+Inputs!$C$47*0.097)))+0.30*(2*((SIN(((Model_Data!A22)*12.9898+(0)*78.233+Inputs!$C$47*37.719))*43758.5453)-INT((SIN(((Model_Data!A22)*12.9898+(0)*78.233+Inputs!$C$47*37.719))*43758.5453)))-1))))</x:f>
        <x:v>244.68062132613477</x:v>
      </x:c>
      <x:c r="K22" s="48" t="n">
        <x:f>-((((SQRT((Model_Data!A22)^2+Inputs!$C$6^2+((Model_Data!B22)-((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(0.45*SIN(2*PI()*(((Model_Data!A22)/Inputs!$C$49)+Inputs!$C$47*0.137))+0.35*COS(2*PI()*(((Inputs!$C$6)/Inputs!$C$50)+Inputs!$C$47*0.173))+0.20*SIN(2*PI()*(((Model_Data!A22)+(Inputs!$C$6))/(0.5*(Inputs!$C$49+Inputs!$C$50))+Inputs!$C$47*0.097)))+0.30*(2*((SIN(((Model_Data!A22)*12.9898+(Inputs!$C$6)*78.233+Inputs!$C$47*37.719))*43758.5453)-INT((SIN(((Model_Data!A22)*12.9898+(Inputs!$C$6)*78.233+Inputs!$C$47*37.719))*43758.5453)))-1))))/1000)^2))-(((Model_Data!B22)-((Inputs!$C$51*(115*EXP(-(((0)-25)^2)/(4.5^2))+70*EXP(-(((0)+38)^2)/(7^2))*(0.55+0.45*SIN(2*PI()*(Model_Data!A22)/45))+24*SIN(2*PI()*(0)/9+(Model_Data!A22)/18)*EXP(-(((0)+5)^2)/(22^2))+18*SIN(2*PI()*(Model_Data!A22)/70))+Inputs!$C$28*EXP(-(((Model_Data!A22)-Inputs!$C$29)^2)/(2*Inputs!$C$31^2))*EXP(-(((0)-Inputs!$C$30)^2)/(2*Inputs!$C$32^2))+-Inputs!$C$33*EXP(-(((((Model_Data!A22)-Inputs!$C$34)^2)+(((0)-Inputs!$C$35)^2))/(2*Inputs!$C$36^2)))+Inputs!$C$37*(0.55*SIN(2*PI()*(Model_Data!A22)/Inputs!$C$39)+0.35*COS(2*PI()*(0)/Inputs!$C$40)+0.2*SIN(2*PI()*((Model_Data!A22)+(0))/(0.5*(Inputs!$C$39+Inputs!$C$40))))+Inputs!$C$38*SIN(2*PI()*(Model_Data!A22)/Inputs!$C$39)*SIN(2*PI()*(0)/Inputs!$C$40)+-Inputs!$C$41*EXP(-(((0)-Inputs!$C$43)^2)/(2*Inputs!$C$44^2))*EXP(-(((Model_Data!A22)-Inputs!$C$42)^2)/(2*Inputs!$C$45^2))+Inputs!$C$48*(0.70*(0.45*SIN(2*PI()*(((Model_Data!A22)/Inputs!$C$49)+Inputs!$C$47*0.137))+0.35*COS(2*PI()*(((0)/Inputs!$C$50)+Inputs!$C$47*0.173))+0.20*SIN(2*PI()*(((Model_Data!A22)+(0))/(0.5*(Inputs!$C$49+Inputs!$C$50))+Inputs!$C$47*0.097)))+0.30*(2*((SIN(((Model_Data!A22)*12.9898+(0)*78.233+Inputs!$C$47*37.719))*43758.5453)-INT((SIN(((Model_Data!A22)*12.9898+(0)*78.233+Inputs!$C$47*37.719))*43758.5453)))-1))))/1000)))*1000/Inputs!$C$12)-Model_Data!F22)</x:f>
        <x:v>136.0000604164677</x:v>
      </x:c>
      <x:c r="L22" s="49"/>
      <x:c r="M22" s="48" t="n">
        <x:f>Model_Data!A22</x:f>
        <x:v>-50</x:v>
      </x:c>
      <x:c r="N22" s="48" t="n">
        <x:f>Model_Data!P22</x:f>
        <x:v>372.8247739175692</x:v>
      </x:c>
      <x:c r="O22" s="48" t="n">
        <x:f>AC22</x:f>
        <x:v>387.5078208193372</x:v>
      </x:c>
      <x:c r="P22" s="48" t="n">
        <x:f>Model_Data!Q22</x:f>
        <x:v>55.979695783418805</x:v>
      </x:c>
      <x:c r="Q22" s="48" t="n">
        <x:f>AD22</x:f>
        <x:v>58.18435748038097</x:v>
      </x:c>
      <x:c r="R22" s="49"/>
      <x:c r="S22" s="48" t="n">
        <x:f>Model_Data!A22</x:f>
        <x:v>-50</x:v>
      </x:c>
      <x:c r="T22" s="48" t="n">
        <x:f>Model_Data!B22-Inputs!$C$5</x:f>
        <x:v>2.7777777777777715</x:v>
      </x:c>
      <x:c r="U22" s="49"/>
      <x:c r="V22" s="48" t="n">
        <x:f>Model_Data!A22</x:f>
        <x:v>-50</x:v>
      </x:c>
      <x:c r="W22" s="48" t="n">
        <x:f>(-((((SQRT((Model_Data!A22)^2+Inputs!$C$6^2+((Model_Data!B22)-((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(0.45*SIN(2*PI()*(((Model_Data!A22)/Inputs!$C$49)+Inputs!$C$47*0.137))+0.35*COS(2*PI()*(((Inputs!$C$6)/Inputs!$C$50)+Inputs!$C$47*0.173))+0.20*SIN(2*PI()*(((Model_Data!A22)+(Inputs!$C$6))/(0.5*(Inputs!$C$49+Inputs!$C$50))+Inputs!$C$47*0.097)))+0.30*(2*((SIN(((Model_Data!A22)*12.9898+(Inputs!$C$6)*78.233+Inputs!$C$47*37.719))*43758.5453)-INT((SIN(((Model_Data!A22)*12.9898+(Inputs!$C$6)*78.233+Inputs!$C$47*37.719))*43758.5453)))-1))))/1000)^2))-(((Model_Data!B22)-((Inputs!$C$51*(115*EXP(-(((0)-25)^2)/(4.5^2))+70*EXP(-(((0)+38)^2)/(7^2))*(0.55+0.45*SIN(2*PI()*(Model_Data!A22)/45))+24*SIN(2*PI()*(0)/9+(Model_Data!A22)/18)*EXP(-(((0)+5)^2)/(22^2))+18*SIN(2*PI()*(Model_Data!A22)/70))+Inputs!$C$28*EXP(-(((Model_Data!A22)-Inputs!$C$29)^2)/(2*Inputs!$C$31^2))*EXP(-(((0)-Inputs!$C$30)^2)/(2*Inputs!$C$32^2))+-Inputs!$C$33*EXP(-(((((Model_Data!A22)-Inputs!$C$34)^2)+(((0)-Inputs!$C$35)^2))/(2*Inputs!$C$36^2)))+Inputs!$C$37*(0.55*SIN(2*PI()*(Model_Data!A22)/Inputs!$C$39)+0.35*COS(2*PI()*(0)/Inputs!$C$40)+0.2*SIN(2*PI()*((Model_Data!A22)+(0))/(0.5*(Inputs!$C$39+Inputs!$C$40))))+Inputs!$C$38*SIN(2*PI()*(Model_Data!A22)/Inputs!$C$39)*SIN(2*PI()*(0)/Inputs!$C$40)+-Inputs!$C$41*EXP(-(((0)-Inputs!$C$43)^2)/(2*Inputs!$C$44^2))*EXP(-(((Model_Data!A22)-Inputs!$C$42)^2)/(2*Inputs!$C$45^2))+Inputs!$C$48*(0.70*(0.45*SIN(2*PI()*(((Model_Data!A22)/Inputs!$C$49)+Inputs!$C$47*0.137))+0.35*COS(2*PI()*(((0)/Inputs!$C$50)+Inputs!$C$47*0.173))+0.20*SIN(2*PI()*(((Model_Data!A22)+(0))/(0.5*(Inputs!$C$49+Inputs!$C$50))+Inputs!$C$47*0.097)))+0.30*(2*((SIN(((Model_Data!A22)*12.9898+(0)*78.233+Inputs!$C$47*37.719))*43758.5453)-INT((SIN(((Model_Data!A22)*12.9898+(0)*78.233+Inputs!$C$47*37.719))*43758.5453)))-1))))/1000)))*1000/Inputs!$C$12)-Model_Data!F22))-(-(((SQRT((Model_Data!A22)^2+Inputs!$C$6^2+(Inputs!$C$5-((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(0.45*SIN(2*PI()*(((Model_Data!A22)/Inputs!$C$49)+Inputs!$C$47*0.137))+0.35*COS(2*PI()*(((Inputs!$C$6)/Inputs!$C$50)+Inputs!$C$47*0.173))+0.20*SIN(2*PI()*(((Model_Data!A22)+(Inputs!$C$6))/(0.5*(Inputs!$C$49+Inputs!$C$50))+Inputs!$C$47*0.097)))+0.30*(2*((SIN(((Model_Data!A22)*12.9898+(Inputs!$C$6)*78.233+Inputs!$C$47*37.719))*43758.5453)-INT((SIN(((Model_Data!A22)*12.9898+(Inputs!$C$6)*78.233+Inputs!$C$47*37.719))*43758.5453)))-1))))/1000)^2)-(Inputs!$C$5-((Inputs!$C$51*(115*EXP(-(((0)-25)^2)/(4.5^2))+70*EXP(-(((0)+38)^2)/(7^2))*(0.55+0.45*SIN(2*PI()*(Model_Data!A22)/45))+24*SIN(2*PI()*(0)/9+(Model_Data!A22)/18)*EXP(-(((0)+5)^2)/(22^2))+18*SIN(2*PI()*(Model_Data!A22)/70))+Inputs!$C$28*EXP(-(((Model_Data!A22)-Inputs!$C$29)^2)/(2*Inputs!$C$31^2))*EXP(-(((0)-Inputs!$C$30)^2)/(2*Inputs!$C$32^2))+-Inputs!$C$33*EXP(-(((((Model_Data!A22)-Inputs!$C$34)^2)+(((0)-Inputs!$C$35)^2))/(2*Inputs!$C$36^2)))+Inputs!$C$37*(0.55*SIN(2*PI()*(Model_Data!A22)/Inputs!$C$39)+0.35*COS(2*PI()*(0)/Inputs!$C$40)+0.2*SIN(2*PI()*((Model_Data!A22)+(0))/(0.5*(Inputs!$C$39+Inputs!$C$40))))+Inputs!$C$38*SIN(2*PI()*(Model_Data!A22)/Inputs!$C$39)*SIN(2*PI()*(0)/Inputs!$C$40)+-Inputs!$C$41*EXP(-(((0)-Inputs!$C$43)^2)/(2*Inputs!$C$44^2))*EXP(-(((Model_Data!A22)-Inputs!$C$42)^2)/(2*Inputs!$C$45^2))+Inputs!$C$48*(0.70*(0.45*SIN(2*PI()*(((Model_Data!A22)/Inputs!$C$49)+Inputs!$C$47*0.137))+0.35*COS(2*PI()*(((0)/Inputs!$C$50)+Inputs!$C$47*0.173))+0.20*SIN(2*PI()*(((Model_Data!A22)+(0))/(0.5*(Inputs!$C$49+Inputs!$C$50))+Inputs!$C$47*0.097)))+0.30*(2*((SIN(((Model_Data!A22)*12.9898+(0)*78.233+Inputs!$C$47*37.719))*43758.5453)-INT((SIN(((Model_Data!A22)*12.9898+(0)*78.233+Inputs!$C$47*37.719))*43758.5453)))-1))))/1000))*1000/Inputs!$C$12)-((SQRT((Model_Data!A22)^2+Inputs!$C$6^2+Inputs!$C$5^2)-Inputs!$C$5)*1000/Inputs!$C$12)))</x:f>
        <x:v>0.020075273199154253</x:v>
      </x:c>
      <x:c r="X22" s="48" t="n">
        <x:f>0</x:f>
        <x:v>0</x:v>
      </x:c>
      <x:c r="Y22" s="49"/>
      <x:c r="Z22" s="48" t="n">
        <x:f>Model_Data!A22</x:f>
        <x:v>-50</x:v>
      </x:c>
      <x:c r="AA22" s="48" t="n">
        <x:f>SQRT((Model_Data!A22)^2+Inputs!$C$6^2+((Model_Data!B22)-((Inputs!$C$51*(115*EXP(-(((Inputs!$C$6)-25)^2)/(4.5^2))+70*EXP(-(((Inputs!$C$6)+38)^2)/(7^2))*(0.55+0.45*SIN(2*PI()*(Model_Data!A22)/45))+24*SIN(2*PI()*(Inputs!$C$6)/9+(Model_Data!A22)/18)*EXP(-(((Inputs!$C$6)+5)^2)/(22^2))+18*SIN(2*PI()*(Model_Data!A22)/70))+Inputs!$C$28*EXP(-(((Model_Data!A22)-Inputs!$C$29)^2)/(2*Inputs!$C$31^2))*EXP(-(((Inputs!$C$6)-Inputs!$C$30)^2)/(2*Inputs!$C$32^2))+-Inputs!$C$33*EXP(-(((((Model_Data!A22)-Inputs!$C$34)^2)+(((Inputs!$C$6)-Inputs!$C$35)^2))/(2*Inputs!$C$36^2)))+Inputs!$C$37*(0.55*SIN(2*PI()*(Model_Data!A22)/Inputs!$C$39)+0.35*COS(2*PI()*(Inputs!$C$6)/Inputs!$C$40)+0.2*SIN(2*PI()*((Model_Data!A22)+(Inputs!$C$6))/(0.5*(Inputs!$C$39+Inputs!$C$40))))+Inputs!$C$38*SIN(2*PI()*(Model_Data!A22)/Inputs!$C$39)*SIN(2*PI()*(Inputs!$C$6)/Inputs!$C$40)+-Inputs!$C$41*EXP(-(((Inputs!$C$6)-Inputs!$C$43)^2)/(2*Inputs!$C$44^2))*EXP(-(((Model_Data!A22)-Inputs!$C$42)^2)/(2*Inputs!$C$45^2))+Inputs!$C$48*(0.70*(0.45*SIN(2*PI()*(((Model_Data!A22)/Inputs!$C$49)+Inputs!$C$47*0.137))+0.35*COS(2*PI()*(((Inputs!$C$6)/Inputs!$C$50)+Inputs!$C$47*0.173))+0.20*SIN(2*PI()*(((Model_Data!A22)+(Inputs!$C$6))/(0.5*(Inputs!$C$49+Inputs!$C$50))+Inputs!$C$47*0.097)))+0.30*(2*((SIN(((Model_Data!A22)*12.9898+(Inputs!$C$6)*78.233+Inputs!$C$47*37.719))*43758.5453)-INT((SIN(((Model_Data!A22)*12.9898+(Inputs!$C$6)*78.233+Inputs!$C$47*37.719))*43758.5453)))-1))))/1000)^2)</x:f>
        <x:v>406.36746980980104</x:v>
      </x:c>
      <x:c r="AB22" s="48" t="n">
        <x:f>1000*(AA23-AA21)/(Z23-Z21)*Inputs!$C$11</x:f>
        <x:v>-968.769552048343</x:v>
      </x:c>
      <x:c r="AC22" s="48" t="n">
        <x:f>-2*AB22/Inputs!$C$13</x:f>
        <x:v>387.5078208193372</x:v>
      </x:c>
      <x:c r="AD22" s="48" t="n">
        <x:f>-2*AB22/Inputs!$C$14</x:f>
        <x:v>58.18435748038097</x:v>
      </x:c>
    </x:row>
    <x:row r="23">
      <x:c r="A23" s="48" t="n">
        <x:f>Model_Data!A23</x:f>
        <x:v>-49.5</x:v>
      </x:c>
      <x:c r="B23" s="48" t="n">
        <x:f>Model_Data!F23</x:f>
        <x:v>2134.9136872674544</x:v>
      </x:c>
      <x:c r="C23" s="48" t="n">
        <x:f>(((SQRT((Model_Data!A23)^2+Inputs!$C$6^2+((Model_Data!B23)-((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(0.45*SIN(2*PI()*(((Model_Data!A23)/Inputs!$C$49)+Inputs!$C$47*0.137))+0.35*COS(2*PI()*(((Inputs!$C$6)/Inputs!$C$50)+Inputs!$C$47*0.173))+0.20*SIN(2*PI()*(((Model_Data!A23)+(Inputs!$C$6))/(0.5*(Inputs!$C$49+Inputs!$C$50))+Inputs!$C$47*0.097)))+0.30*(2*((SIN(((Model_Data!A23)*12.9898+(Inputs!$C$6)*78.233+Inputs!$C$47*37.719))*43758.5453)-INT((SIN(((Model_Data!A23)*12.9898+(Inputs!$C$6)*78.233+Inputs!$C$47*37.719))*43758.5453)))-1))))/1000)^2))-(((Model_Data!B23)-((Inputs!$C$51*(115*EXP(-(((0)-25)^2)/(4.5^2))+70*EXP(-(((0)+38)^2)/(7^2))*(0.55+0.45*SIN(2*PI()*(Model_Data!A23)/45))+24*SIN(2*PI()*(0)/9+(Model_Data!A23)/18)*EXP(-(((0)+5)^2)/(22^2))+18*SIN(2*PI()*(Model_Data!A23)/70))+Inputs!$C$28*EXP(-(((Model_Data!A23)-Inputs!$C$29)^2)/(2*Inputs!$C$31^2))*EXP(-(((0)-Inputs!$C$30)^2)/(2*Inputs!$C$32^2))+-Inputs!$C$33*EXP(-(((((Model_Data!A23)-Inputs!$C$34)^2)+(((0)-Inputs!$C$35)^2))/(2*Inputs!$C$36^2)))+Inputs!$C$37*(0.55*SIN(2*PI()*(Model_Data!A23)/Inputs!$C$39)+0.35*COS(2*PI()*(0)/Inputs!$C$40)+0.2*SIN(2*PI()*((Model_Data!A23)+(0))/(0.5*(Inputs!$C$39+Inputs!$C$40))))+Inputs!$C$38*SIN(2*PI()*(Model_Data!A23)/Inputs!$C$39)*SIN(2*PI()*(0)/Inputs!$C$40)+-Inputs!$C$41*EXP(-(((0)-Inputs!$C$43)^2)/(2*Inputs!$C$44^2))*EXP(-(((Model_Data!A23)-Inputs!$C$42)^2)/(2*Inputs!$C$45^2))+Inputs!$C$48*(0.70*(0.45*SIN(2*PI()*(((Model_Data!A23)/Inputs!$C$49)+Inputs!$C$47*0.137))+0.35*COS(2*PI()*(((0)/Inputs!$C$50)+Inputs!$C$47*0.173))+0.20*SIN(2*PI()*(((Model_Data!A23)+(0))/(0.5*(Inputs!$C$49+Inputs!$C$50))+Inputs!$C$47*0.097)))+0.30*(2*((SIN(((Model_Data!A23)*12.9898+(0)*78.233+Inputs!$C$47*37.719))*43758.5453)-INT((SIN(((Model_Data!A23)*12.9898+(0)*78.233+Inputs!$C$47*37.719))*43758.5453)))-1))))/1000)))*1000/Inputs!$C$12)</x:f>
        <x:v>2019.9749297192698</x:v>
      </x:c>
      <x:c r="D23" s="49"/>
      <x:c r="E23" s="48" t="n">
        <x:f>Model_Data!A23</x:f>
        <x:v>-49.5</x:v>
      </x:c>
      <x:c r="F23" s="48" t="n">
        <x:f>(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(0.45*SIN(2*PI()*(((Model_Data!A23)/Inputs!$C$49)+Inputs!$C$47*0.137))+0.35*COS(2*PI()*(((Inputs!$C$6)/Inputs!$C$50)+Inputs!$C$47*0.173))+0.20*SIN(2*PI()*(((Model_Data!A23)+(Inputs!$C$6))/(0.5*(Inputs!$C$49+Inputs!$C$50))+Inputs!$C$47*0.097)))+0.30*(2*((SIN(((Model_Data!A23)*12.9898+(Inputs!$C$6)*78.233+Inputs!$C$47*37.719))*43758.5453)-INT((SIN(((Model_Data!A23)*12.9898+(Inputs!$C$6)*78.233+Inputs!$C$47*37.719))*43758.5453)))-1)))</x:f>
        <x:v>258.91748425644914</x:v>
      </x:c>
      <x:c r="G23" s="48" t="n">
        <x:f>(Inputs!$C$51*(115*EXP(-(((0)-25)^2)/(4.5^2))+70*EXP(-(((0)+38)^2)/(7^2))*(0.55+0.45*SIN(2*PI()*(Model_Data!A23)/45))+24*SIN(2*PI()*(0)/9+(Model_Data!A23)/18)*EXP(-(((0)+5)^2)/(22^2))+18*SIN(2*PI()*(Model_Data!A23)/70))+Inputs!$C$28*EXP(-(((Model_Data!A23)-Inputs!$C$29)^2)/(2*Inputs!$C$31^2))*EXP(-(((0)-Inputs!$C$30)^2)/(2*Inputs!$C$32^2))+-Inputs!$C$33*EXP(-(((((Model_Data!A23)-Inputs!$C$34)^2)+(((0)-Inputs!$C$35)^2))/(2*Inputs!$C$36^2)))+Inputs!$C$37*(0.55*SIN(2*PI()*(Model_Data!A23)/Inputs!$C$39)+0.35*COS(2*PI()*(0)/Inputs!$C$40)+0.2*SIN(2*PI()*((Model_Data!A23)+(0))/(0.5*(Inputs!$C$39+Inputs!$C$40))))+Inputs!$C$38*SIN(2*PI()*(Model_Data!A23)/Inputs!$C$39)*SIN(2*PI()*(0)/Inputs!$C$40)+-Inputs!$C$41*EXP(-(((0)-Inputs!$C$43)^2)/(2*Inputs!$C$44^2))*EXP(-(((Model_Data!A23)-Inputs!$C$42)^2)/(2*Inputs!$C$45^2))+Inputs!$C$48*(0.70*(0.45*SIN(2*PI()*(((Model_Data!A23)/Inputs!$C$49)+Inputs!$C$47*0.137))+0.35*COS(2*PI()*(((0)/Inputs!$C$50)+Inputs!$C$47*0.173))+0.20*SIN(2*PI()*(((Model_Data!A23)+(0))/(0.5*(Inputs!$C$49+Inputs!$C$50))+Inputs!$C$47*0.097)))+0.30*(2*((SIN(((Model_Data!A23)*12.9898+(0)*78.233+Inputs!$C$47*37.719))*43758.5453)-INT((SIN(((Model_Data!A23)*12.9898+(0)*78.233+Inputs!$C$47*37.719))*43758.5453)))-1)))</x:f>
        <x:v>51.90461728837901</x:v>
      </x:c>
      <x:c r="H23" s="49"/>
      <x:c r="I23" s="48" t="n">
        <x:f>Model_Data!A23</x:f>
        <x:v>-49.5</x:v>
      </x:c>
      <x:c r="J23" s="48" t="n">
        <x:f>((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(0.45*SIN(2*PI()*(((Model_Data!A23)/Inputs!$C$49)+Inputs!$C$47*0.137))+0.35*COS(2*PI()*(((Inputs!$C$6)/Inputs!$C$50)+Inputs!$C$47*0.173))+0.20*SIN(2*PI()*(((Model_Data!A23)+(Inputs!$C$6))/(0.5*(Inputs!$C$49+Inputs!$C$50))+Inputs!$C$47*0.097)))+0.30*(2*((SIN(((Model_Data!A23)*12.9898+(Inputs!$C$6)*78.233+Inputs!$C$47*37.719))*43758.5453)-INT((SIN(((Model_Data!A23)*12.9898+(Inputs!$C$6)*78.233+Inputs!$C$47*37.719))*43758.5453)))-1))))-((Inputs!$C$51*(115*EXP(-(((0)-25)^2)/(4.5^2))+70*EXP(-(((0)+38)^2)/(7^2))*(0.55+0.45*SIN(2*PI()*(Model_Data!A23)/45))+24*SIN(2*PI()*(0)/9+(Model_Data!A23)/18)*EXP(-(((0)+5)^2)/(22^2))+18*SIN(2*PI()*(Model_Data!A23)/70))+Inputs!$C$28*EXP(-(((Model_Data!A23)-Inputs!$C$29)^2)/(2*Inputs!$C$31^2))*EXP(-(((0)-Inputs!$C$30)^2)/(2*Inputs!$C$32^2))+-Inputs!$C$33*EXP(-(((((Model_Data!A23)-Inputs!$C$34)^2)+(((0)-Inputs!$C$35)^2))/(2*Inputs!$C$36^2)))+Inputs!$C$37*(0.55*SIN(2*PI()*(Model_Data!A23)/Inputs!$C$39)+0.35*COS(2*PI()*(0)/Inputs!$C$40)+0.2*SIN(2*PI()*((Model_Data!A23)+(0))/(0.5*(Inputs!$C$39+Inputs!$C$40))))+Inputs!$C$38*SIN(2*PI()*(Model_Data!A23)/Inputs!$C$39)*SIN(2*PI()*(0)/Inputs!$C$40)+-Inputs!$C$41*EXP(-(((0)-Inputs!$C$43)^2)/(2*Inputs!$C$44^2))*EXP(-(((Model_Data!A23)-Inputs!$C$42)^2)/(2*Inputs!$C$45^2))+Inputs!$C$48*(0.70*(0.45*SIN(2*PI()*(((Model_Data!A23)/Inputs!$C$49)+Inputs!$C$47*0.137))+0.35*COS(2*PI()*(((0)/Inputs!$C$50)+Inputs!$C$47*0.173))+0.20*SIN(2*PI()*(((Model_Data!A23)+(0))/(0.5*(Inputs!$C$49+Inputs!$C$50))+Inputs!$C$47*0.097)))+0.30*(2*((SIN(((Model_Data!A23)*12.9898+(0)*78.233+Inputs!$C$47*37.719))*43758.5453)-INT((SIN(((Model_Data!A23)*12.9898+(0)*78.233+Inputs!$C$47*37.719))*43758.5453)))-1))))</x:f>
        <x:v>207.01286696807014</x:v>
      </x:c>
      <x:c r="K23" s="48" t="n">
        <x:f>-((((SQRT((Model_Data!A23)^2+Inputs!$C$6^2+((Model_Data!B23)-((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(0.45*SIN(2*PI()*(((Model_Data!A23)/Inputs!$C$49)+Inputs!$C$47*0.137))+0.35*COS(2*PI()*(((Inputs!$C$6)/Inputs!$C$50)+Inputs!$C$47*0.173))+0.20*SIN(2*PI()*(((Model_Data!A23)+(Inputs!$C$6))/(0.5*(Inputs!$C$49+Inputs!$C$50))+Inputs!$C$47*0.097)))+0.30*(2*((SIN(((Model_Data!A23)*12.9898+(Inputs!$C$6)*78.233+Inputs!$C$47*37.719))*43758.5453)-INT((SIN(((Model_Data!A23)*12.9898+(Inputs!$C$6)*78.233+Inputs!$C$47*37.719))*43758.5453)))-1))))/1000)^2))-(((Model_Data!B23)-((Inputs!$C$51*(115*EXP(-(((0)-25)^2)/(4.5^2))+70*EXP(-(((0)+38)^2)/(7^2))*(0.55+0.45*SIN(2*PI()*(Model_Data!A23)/45))+24*SIN(2*PI()*(0)/9+(Model_Data!A23)/18)*EXP(-(((0)+5)^2)/(22^2))+18*SIN(2*PI()*(Model_Data!A23)/70))+Inputs!$C$28*EXP(-(((Model_Data!A23)-Inputs!$C$29)^2)/(2*Inputs!$C$31^2))*EXP(-(((0)-Inputs!$C$30)^2)/(2*Inputs!$C$32^2))+-Inputs!$C$33*EXP(-(((((Model_Data!A23)-Inputs!$C$34)^2)+(((0)-Inputs!$C$35)^2))/(2*Inputs!$C$36^2)))+Inputs!$C$37*(0.55*SIN(2*PI()*(Model_Data!A23)/Inputs!$C$39)+0.35*COS(2*PI()*(0)/Inputs!$C$40)+0.2*SIN(2*PI()*((Model_Data!A23)+(0))/(0.5*(Inputs!$C$39+Inputs!$C$40))))+Inputs!$C$38*SIN(2*PI()*(Model_Data!A23)/Inputs!$C$39)*SIN(2*PI()*(0)/Inputs!$C$40)+-Inputs!$C$41*EXP(-(((0)-Inputs!$C$43)^2)/(2*Inputs!$C$44^2))*EXP(-(((Model_Data!A23)-Inputs!$C$42)^2)/(2*Inputs!$C$45^2))+Inputs!$C$48*(0.70*(0.45*SIN(2*PI()*(((Model_Data!A23)/Inputs!$C$49)+Inputs!$C$47*0.137))+0.35*COS(2*PI()*(((0)/Inputs!$C$50)+Inputs!$C$47*0.173))+0.20*SIN(2*PI()*(((Model_Data!A23)+(0))/(0.5*(Inputs!$C$49+Inputs!$C$50))+Inputs!$C$47*0.097)))+0.30*(2*((SIN(((Model_Data!A23)*12.9898+(0)*78.233+Inputs!$C$47*37.719))*43758.5453)-INT((SIN(((Model_Data!A23)*12.9898+(0)*78.233+Inputs!$C$47*37.719))*43758.5453)))-1))))/1000)))*1000/Inputs!$C$12)-Model_Data!F23)</x:f>
        <x:v>114.93875754818464</x:v>
      </x:c>
      <x:c r="L23" s="49"/>
      <x:c r="M23" s="48" t="n">
        <x:f>Model_Data!A23</x:f>
        <x:v>-49.5</x:v>
      </x:c>
      <x:c r="N23" s="48" t="n">
        <x:f>Model_Data!P23</x:f>
        <x:v>369.17785846022554</x:v>
      </x:c>
      <x:c r="O23" s="48" t="n">
        <x:f>AC23</x:f>
        <x:v>361.50227130265193</x:v>
      </x:c>
      <x:c r="P23" s="48" t="n">
        <x:f>Model_Data!Q23</x:f>
        <x:v>55.43211087991375</x:v>
      </x:c>
      <x:c r="Q23" s="48" t="n">
        <x:f>AD23</x:f>
        <x:v>54.27962031571351</x:v>
      </x:c>
      <x:c r="R23" s="49"/>
      <x:c r="S23" s="48" t="n">
        <x:f>Model_Data!A23</x:f>
        <x:v>-49.5</x:v>
      </x:c>
      <x:c r="T23" s="48" t="n">
        <x:f>Model_Data!B23-Inputs!$C$5</x:f>
        <x:v>2.722500000000025</x:v>
      </x:c>
      <x:c r="U23" s="49"/>
      <x:c r="V23" s="48" t="n">
        <x:f>Model_Data!A23</x:f>
        <x:v>-49.5</x:v>
      </x:c>
      <x:c r="W23" s="48" t="n">
        <x:f>(-((((SQRT((Model_Data!A23)^2+Inputs!$C$6^2+((Model_Data!B23)-((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(0.45*SIN(2*PI()*(((Model_Data!A23)/Inputs!$C$49)+Inputs!$C$47*0.137))+0.35*COS(2*PI()*(((Inputs!$C$6)/Inputs!$C$50)+Inputs!$C$47*0.173))+0.20*SIN(2*PI()*(((Model_Data!A23)+(Inputs!$C$6))/(0.5*(Inputs!$C$49+Inputs!$C$50))+Inputs!$C$47*0.097)))+0.30*(2*((SIN(((Model_Data!A23)*12.9898+(Inputs!$C$6)*78.233+Inputs!$C$47*37.719))*43758.5453)-INT((SIN(((Model_Data!A23)*12.9898+(Inputs!$C$6)*78.233+Inputs!$C$47*37.719))*43758.5453)))-1))))/1000)^2))-(((Model_Data!B23)-((Inputs!$C$51*(115*EXP(-(((0)-25)^2)/(4.5^2))+70*EXP(-(((0)+38)^2)/(7^2))*(0.55+0.45*SIN(2*PI()*(Model_Data!A23)/45))+24*SIN(2*PI()*(0)/9+(Model_Data!A23)/18)*EXP(-(((0)+5)^2)/(22^2))+18*SIN(2*PI()*(Model_Data!A23)/70))+Inputs!$C$28*EXP(-(((Model_Data!A23)-Inputs!$C$29)^2)/(2*Inputs!$C$31^2))*EXP(-(((0)-Inputs!$C$30)^2)/(2*Inputs!$C$32^2))+-Inputs!$C$33*EXP(-(((((Model_Data!A23)-Inputs!$C$34)^2)+(((0)-Inputs!$C$35)^2))/(2*Inputs!$C$36^2)))+Inputs!$C$37*(0.55*SIN(2*PI()*(Model_Data!A23)/Inputs!$C$39)+0.35*COS(2*PI()*(0)/Inputs!$C$40)+0.2*SIN(2*PI()*((Model_Data!A23)+(0))/(0.5*(Inputs!$C$39+Inputs!$C$40))))+Inputs!$C$38*SIN(2*PI()*(Model_Data!A23)/Inputs!$C$39)*SIN(2*PI()*(0)/Inputs!$C$40)+-Inputs!$C$41*EXP(-(((0)-Inputs!$C$43)^2)/(2*Inputs!$C$44^2))*EXP(-(((Model_Data!A23)-Inputs!$C$42)^2)/(2*Inputs!$C$45^2))+Inputs!$C$48*(0.70*(0.45*SIN(2*PI()*(((Model_Data!A23)/Inputs!$C$49)+Inputs!$C$47*0.137))+0.35*COS(2*PI()*(((0)/Inputs!$C$50)+Inputs!$C$47*0.173))+0.20*SIN(2*PI()*(((Model_Data!A23)+(0))/(0.5*(Inputs!$C$49+Inputs!$C$50))+Inputs!$C$47*0.097)))+0.30*(2*((SIN(((Model_Data!A23)*12.9898+(0)*78.233+Inputs!$C$47*37.719))*43758.5453)-INT((SIN(((Model_Data!A23)*12.9898+(0)*78.233+Inputs!$C$47*37.719))*43758.5453)))-1))))/1000)))*1000/Inputs!$C$12)-Model_Data!F23))-(-(((SQRT((Model_Data!A23)^2+Inputs!$C$6^2+(Inputs!$C$5-((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(0.45*SIN(2*PI()*(((Model_Data!A23)/Inputs!$C$49)+Inputs!$C$47*0.137))+0.35*COS(2*PI()*(((Inputs!$C$6)/Inputs!$C$50)+Inputs!$C$47*0.173))+0.20*SIN(2*PI()*(((Model_Data!A23)+(Inputs!$C$6))/(0.5*(Inputs!$C$49+Inputs!$C$50))+Inputs!$C$47*0.097)))+0.30*(2*((SIN(((Model_Data!A23)*12.9898+(Inputs!$C$6)*78.233+Inputs!$C$47*37.719))*43758.5453)-INT((SIN(((Model_Data!A23)*12.9898+(Inputs!$C$6)*78.233+Inputs!$C$47*37.719))*43758.5453)))-1))))/1000)^2)-(Inputs!$C$5-((Inputs!$C$51*(115*EXP(-(((0)-25)^2)/(4.5^2))+70*EXP(-(((0)+38)^2)/(7^2))*(0.55+0.45*SIN(2*PI()*(Model_Data!A23)/45))+24*SIN(2*PI()*(0)/9+(Model_Data!A23)/18)*EXP(-(((0)+5)^2)/(22^2))+18*SIN(2*PI()*(Model_Data!A23)/70))+Inputs!$C$28*EXP(-(((Model_Data!A23)-Inputs!$C$29)^2)/(2*Inputs!$C$31^2))*EXP(-(((0)-Inputs!$C$30)^2)/(2*Inputs!$C$32^2))+-Inputs!$C$33*EXP(-(((((Model_Data!A23)-Inputs!$C$34)^2)+(((0)-Inputs!$C$35)^2))/(2*Inputs!$C$36^2)))+Inputs!$C$37*(0.55*SIN(2*PI()*(Model_Data!A23)/Inputs!$C$39)+0.35*COS(2*PI()*(0)/Inputs!$C$40)+0.2*SIN(2*PI()*((Model_Data!A23)+(0))/(0.5*(Inputs!$C$39+Inputs!$C$40))))+Inputs!$C$38*SIN(2*PI()*(Model_Data!A23)/Inputs!$C$39)*SIN(2*PI()*(0)/Inputs!$C$40)+-Inputs!$C$41*EXP(-(((0)-Inputs!$C$43)^2)/(2*Inputs!$C$44^2))*EXP(-(((Model_Data!A23)-Inputs!$C$42)^2)/(2*Inputs!$C$45^2))+Inputs!$C$48*(0.70*(0.45*SIN(2*PI()*(((Model_Data!A23)/Inputs!$C$49)+Inputs!$C$47*0.137))+0.35*COS(2*PI()*(((0)/Inputs!$C$50)+Inputs!$C$47*0.173))+0.20*SIN(2*PI()*(((Model_Data!A23)+(0))/(0.5*(Inputs!$C$49+Inputs!$C$50))+Inputs!$C$47*0.097)))+0.30*(2*((SIN(((Model_Data!A23)*12.9898+(0)*78.233+Inputs!$C$47*37.719))*43758.5453)-INT((SIN(((Model_Data!A23)*12.9898+(0)*78.233+Inputs!$C$47*37.719))*43758.5453)))-1))))/1000))*1000/Inputs!$C$12)-((SQRT((Model_Data!A23)^2+Inputs!$C$6^2+Inputs!$C$5^2)-Inputs!$C$5)*1000/Inputs!$C$12)))</x:f>
        <x:v>0.018326796683595603</x:v>
      </x:c>
      <x:c r="X23" s="48" t="n">
        <x:f>0</x:f>
        <x:v>0</x:v>
      </x:c>
      <x:c r="Y23" s="49"/>
      <x:c r="Z23" s="48" t="n">
        <x:f>Model_Data!A23</x:f>
        <x:v>-49.5</x:v>
      </x:c>
      <x:c r="AA23" s="48" t="n">
        <x:f>SQRT((Model_Data!A23)^2+Inputs!$C$6^2+((Model_Data!B23)-((Inputs!$C$51*(115*EXP(-(((Inputs!$C$6)-25)^2)/(4.5^2))+70*EXP(-(((Inputs!$C$6)+38)^2)/(7^2))*(0.55+0.45*SIN(2*PI()*(Model_Data!A23)/45))+24*SIN(2*PI()*(Inputs!$C$6)/9+(Model_Data!A23)/18)*EXP(-(((Inputs!$C$6)+5)^2)/(22^2))+18*SIN(2*PI()*(Model_Data!A23)/70))+Inputs!$C$28*EXP(-(((Model_Data!A23)-Inputs!$C$29)^2)/(2*Inputs!$C$31^2))*EXP(-(((Inputs!$C$6)-Inputs!$C$30)^2)/(2*Inputs!$C$32^2))+-Inputs!$C$33*EXP(-(((((Model_Data!A23)-Inputs!$C$34)^2)+(((Inputs!$C$6)-Inputs!$C$35)^2))/(2*Inputs!$C$36^2)))+Inputs!$C$37*(0.55*SIN(2*PI()*(Model_Data!A23)/Inputs!$C$39)+0.35*COS(2*PI()*(Inputs!$C$6)/Inputs!$C$40)+0.2*SIN(2*PI()*((Model_Data!A23)+(Inputs!$C$6))/(0.5*(Inputs!$C$39+Inputs!$C$40))))+Inputs!$C$38*SIN(2*PI()*(Model_Data!A23)/Inputs!$C$39)*SIN(2*PI()*(Inputs!$C$6)/Inputs!$C$40)+-Inputs!$C$41*EXP(-(((Inputs!$C$6)-Inputs!$C$43)^2)/(2*Inputs!$C$44^2))*EXP(-(((Model_Data!A23)-Inputs!$C$42)^2)/(2*Inputs!$C$45^2))+Inputs!$C$48*(0.70*(0.45*SIN(2*PI()*(((Model_Data!A23)/Inputs!$C$49)+Inputs!$C$47*0.137))+0.35*COS(2*PI()*(((Inputs!$C$6)/Inputs!$C$50)+Inputs!$C$47*0.173))+0.20*SIN(2*PI()*(((Model_Data!A23)+(Inputs!$C$6))/(0.5*(Inputs!$C$49+Inputs!$C$50))+Inputs!$C$47*0.097)))+0.30*(2*((SIN(((Model_Data!A23)*12.9898+(Inputs!$C$6)*78.233+Inputs!$C$47*37.719))*43758.5453)-INT((SIN(((Model_Data!A23)*12.9898+(Inputs!$C$6)*78.233+Inputs!$C$47*37.719))*43758.5453)))-1))))/1000)^2)</x:f>
        <x:v>406.26615075761197</x:v>
      </x:c>
      <x:c r="AB23" s="48" t="n">
        <x:f>1000*(AA24-AA22)/(Z24-Z22)*Inputs!$C$11</x:f>
        <x:v>-903.7556782566298</x:v>
      </x:c>
      <x:c r="AC23" s="48" t="n">
        <x:f>-2*AB23/Inputs!$C$13</x:f>
        <x:v>361.50227130265193</x:v>
      </x:c>
      <x:c r="AD23" s="48" t="n">
        <x:f>-2*AB23/Inputs!$C$14</x:f>
        <x:v>54.27962031571351</x:v>
      </x:c>
    </x:row>
    <x:row r="24">
      <x:c r="A24" s="48" t="n">
        <x:f>Model_Data!A24</x:f>
        <x:v>-49</x:v>
      </x:c>
      <x:c r="B24" s="48" t="n">
        <x:f>Model_Data!F24</x:f>
        <x:v>2101.1632843038606</x:v>
      </x:c>
      <x:c r="C24" s="48" t="n">
        <x:f>(((SQRT((Model_Data!A24)^2+Inputs!$C$6^2+((Model_Data!B24)-((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(0.45*SIN(2*PI()*(((Model_Data!A24)/Inputs!$C$49)+Inputs!$C$47*0.137))+0.35*COS(2*PI()*(((Inputs!$C$6)/Inputs!$C$50)+Inputs!$C$47*0.173))+0.20*SIN(2*PI()*(((Model_Data!A24)+(Inputs!$C$6))/(0.5*(Inputs!$C$49+Inputs!$C$50))+Inputs!$C$47*0.097)))+0.30*(2*((SIN(((Model_Data!A24)*12.9898+(Inputs!$C$6)*78.233+Inputs!$C$47*37.719))*43758.5453)-INT((SIN(((Model_Data!A24)*12.9898+(Inputs!$C$6)*78.233+Inputs!$C$47*37.719))*43758.5453)))-1))))/1000)^2))-(((Model_Data!B24)-((Inputs!$C$51*(115*EXP(-(((0)-25)^2)/(4.5^2))+70*EXP(-(((0)+38)^2)/(7^2))*(0.55+0.45*SIN(2*PI()*(Model_Data!A24)/45))+24*SIN(2*PI()*(0)/9+(Model_Data!A24)/18)*EXP(-(((0)+5)^2)/(22^2))+18*SIN(2*PI()*(Model_Data!A24)/70))+Inputs!$C$28*EXP(-(((Model_Data!A24)-Inputs!$C$29)^2)/(2*Inputs!$C$31^2))*EXP(-(((0)-Inputs!$C$30)^2)/(2*Inputs!$C$32^2))+-Inputs!$C$33*EXP(-(((((Model_Data!A24)-Inputs!$C$34)^2)+(((0)-Inputs!$C$35)^2))/(2*Inputs!$C$36^2)))+Inputs!$C$37*(0.55*SIN(2*PI()*(Model_Data!A24)/Inputs!$C$39)+0.35*COS(2*PI()*(0)/Inputs!$C$40)+0.2*SIN(2*PI()*((Model_Data!A24)+(0))/(0.5*(Inputs!$C$39+Inputs!$C$40))))+Inputs!$C$38*SIN(2*PI()*(Model_Data!A24)/Inputs!$C$39)*SIN(2*PI()*(0)/Inputs!$C$40)+-Inputs!$C$41*EXP(-(((0)-Inputs!$C$43)^2)/(2*Inputs!$C$44^2))*EXP(-(((Model_Data!A24)-Inputs!$C$42)^2)/(2*Inputs!$C$45^2))+Inputs!$C$48*(0.70*(0.45*SIN(2*PI()*(((Model_Data!A24)/Inputs!$C$49)+Inputs!$C$47*0.137))+0.35*COS(2*PI()*(((0)/Inputs!$C$50)+Inputs!$C$47*0.173))+0.20*SIN(2*PI()*(((Model_Data!A24)+(0))/(0.5*(Inputs!$C$49+Inputs!$C$50))+Inputs!$C$47*0.097)))+0.30*(2*((SIN(((Model_Data!A24)*12.9898+(0)*78.233+Inputs!$C$47*37.719))*43758.5453)-INT((SIN(((Model_Data!A24)*12.9898+(0)*78.233+Inputs!$C$47*37.719))*43758.5453)))-1))))/1000)))*1000/Inputs!$C$12)</x:f>
        <x:v>1973.818042417599</x:v>
      </x:c>
      <x:c r="D24" s="49"/>
      <x:c r="E24" s="48" t="n">
        <x:f>Model_Data!A24</x:f>
        <x:v>-49</x:v>
      </x:c>
      <x:c r="F24" s="48" t="n">
        <x:f>(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(0.45*SIN(2*PI()*(((Model_Data!A24)/Inputs!$C$49)+Inputs!$C$47*0.137))+0.35*COS(2*PI()*(((Inputs!$C$6)/Inputs!$C$50)+Inputs!$C$47*0.173))+0.20*SIN(2*PI()*(((Model_Data!A24)+(Inputs!$C$6))/(0.5*(Inputs!$C$49+Inputs!$C$50))+Inputs!$C$47*0.097)))+0.30*(2*((SIN(((Model_Data!A24)*12.9898+(Inputs!$C$6)*78.233+Inputs!$C$47*37.719))*43758.5453)-INT((SIN(((Model_Data!A24)*12.9898+(Inputs!$C$6)*78.233+Inputs!$C$47*37.719))*43758.5453)))-1)))</x:f>
        <x:v>268.7927966209557</x:v>
      </x:c>
      <x:c r="G24" s="48" t="n">
        <x:f>(Inputs!$C$51*(115*EXP(-(((0)-25)^2)/(4.5^2))+70*EXP(-(((0)+38)^2)/(7^2))*(0.55+0.45*SIN(2*PI()*(Model_Data!A24)/45))+24*SIN(2*PI()*(0)/9+(Model_Data!A24)/18)*EXP(-(((0)+5)^2)/(22^2))+18*SIN(2*PI()*(Model_Data!A24)/70))+Inputs!$C$28*EXP(-(((Model_Data!A24)-Inputs!$C$29)^2)/(2*Inputs!$C$31^2))*EXP(-(((0)-Inputs!$C$30)^2)/(2*Inputs!$C$32^2))+-Inputs!$C$33*EXP(-(((((Model_Data!A24)-Inputs!$C$34)^2)+(((0)-Inputs!$C$35)^2))/(2*Inputs!$C$36^2)))+Inputs!$C$37*(0.55*SIN(2*PI()*(Model_Data!A24)/Inputs!$C$39)+0.35*COS(2*PI()*(0)/Inputs!$C$40)+0.2*SIN(2*PI()*((Model_Data!A24)+(0))/(0.5*(Inputs!$C$39+Inputs!$C$40))))+Inputs!$C$38*SIN(2*PI()*(Model_Data!A24)/Inputs!$C$39)*SIN(2*PI()*(0)/Inputs!$C$40)+-Inputs!$C$41*EXP(-(((0)-Inputs!$C$43)^2)/(2*Inputs!$C$44^2))*EXP(-(((Model_Data!A24)-Inputs!$C$42)^2)/(2*Inputs!$C$45^2))+Inputs!$C$48*(0.70*(0.45*SIN(2*PI()*(((Model_Data!A24)/Inputs!$C$49)+Inputs!$C$47*0.137))+0.35*COS(2*PI()*(((0)/Inputs!$C$50)+Inputs!$C$47*0.173))+0.20*SIN(2*PI()*(((Model_Data!A24)+(0))/(0.5*(Inputs!$C$49+Inputs!$C$50))+Inputs!$C$47*0.097)))+0.30*(2*((SIN(((Model_Data!A24)*12.9898+(0)*78.233+Inputs!$C$47*37.719))*43758.5453)-INT((SIN(((Model_Data!A24)*12.9898+(0)*78.233+Inputs!$C$47*37.719))*43758.5453)))-1)))</x:f>
        <x:v>39.64300304421553</x:v>
      </x:c>
      <x:c r="H24" s="49"/>
      <x:c r="I24" s="48" t="n">
        <x:f>Model_Data!A24</x:f>
        <x:v>-49</x:v>
      </x:c>
      <x:c r="J24" s="48" t="n">
        <x:f>((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(0.45*SIN(2*PI()*(((Model_Data!A24)/Inputs!$C$49)+Inputs!$C$47*0.137))+0.35*COS(2*PI()*(((Inputs!$C$6)/Inputs!$C$50)+Inputs!$C$47*0.173))+0.20*SIN(2*PI()*(((Model_Data!A24)+(Inputs!$C$6))/(0.5*(Inputs!$C$49+Inputs!$C$50))+Inputs!$C$47*0.097)))+0.30*(2*((SIN(((Model_Data!A24)*12.9898+(Inputs!$C$6)*78.233+Inputs!$C$47*37.719))*43758.5453)-INT((SIN(((Model_Data!A24)*12.9898+(Inputs!$C$6)*78.233+Inputs!$C$47*37.719))*43758.5453)))-1))))-((Inputs!$C$51*(115*EXP(-(((0)-25)^2)/(4.5^2))+70*EXP(-(((0)+38)^2)/(7^2))*(0.55+0.45*SIN(2*PI()*(Model_Data!A24)/45))+24*SIN(2*PI()*(0)/9+(Model_Data!A24)/18)*EXP(-(((0)+5)^2)/(22^2))+18*SIN(2*PI()*(Model_Data!A24)/70))+Inputs!$C$28*EXP(-(((Model_Data!A24)-Inputs!$C$29)^2)/(2*Inputs!$C$31^2))*EXP(-(((0)-Inputs!$C$30)^2)/(2*Inputs!$C$32^2))+-Inputs!$C$33*EXP(-(((((Model_Data!A24)-Inputs!$C$34)^2)+(((0)-Inputs!$C$35)^2))/(2*Inputs!$C$36^2)))+Inputs!$C$37*(0.55*SIN(2*PI()*(Model_Data!A24)/Inputs!$C$39)+0.35*COS(2*PI()*(0)/Inputs!$C$40)+0.2*SIN(2*PI()*((Model_Data!A24)+(0))/(0.5*(Inputs!$C$39+Inputs!$C$40))))+Inputs!$C$38*SIN(2*PI()*(Model_Data!A24)/Inputs!$C$39)*SIN(2*PI()*(0)/Inputs!$C$40)+-Inputs!$C$41*EXP(-(((0)-Inputs!$C$43)^2)/(2*Inputs!$C$44^2))*EXP(-(((Model_Data!A24)-Inputs!$C$42)^2)/(2*Inputs!$C$45^2))+Inputs!$C$48*(0.70*(0.45*SIN(2*PI()*(((Model_Data!A24)/Inputs!$C$49)+Inputs!$C$47*0.137))+0.35*COS(2*PI()*(((0)/Inputs!$C$50)+Inputs!$C$47*0.173))+0.20*SIN(2*PI()*(((Model_Data!A24)+(0))/(0.5*(Inputs!$C$49+Inputs!$C$50))+Inputs!$C$47*0.097)))+0.30*(2*((SIN(((Model_Data!A24)*12.9898+(0)*78.233+Inputs!$C$47*37.719))*43758.5453)-INT((SIN(((Model_Data!A24)*12.9898+(0)*78.233+Inputs!$C$47*37.719))*43758.5453)))-1))))</x:f>
        <x:v>229.14979357674017</x:v>
      </x:c>
      <x:c r="K24" s="48" t="n">
        <x:f>-((((SQRT((Model_Data!A24)^2+Inputs!$C$6^2+((Model_Data!B24)-((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(0.45*SIN(2*PI()*(((Model_Data!A24)/Inputs!$C$49)+Inputs!$C$47*0.137))+0.35*COS(2*PI()*(((Inputs!$C$6)/Inputs!$C$50)+Inputs!$C$47*0.173))+0.20*SIN(2*PI()*(((Model_Data!A24)+(Inputs!$C$6))/(0.5*(Inputs!$C$49+Inputs!$C$50))+Inputs!$C$47*0.097)))+0.30*(2*((SIN(((Model_Data!A24)*12.9898+(Inputs!$C$6)*78.233+Inputs!$C$47*37.719))*43758.5453)-INT((SIN(((Model_Data!A24)*12.9898+(Inputs!$C$6)*78.233+Inputs!$C$47*37.719))*43758.5453)))-1))))/1000)^2))-(((Model_Data!B24)-((Inputs!$C$51*(115*EXP(-(((0)-25)^2)/(4.5^2))+70*EXP(-(((0)+38)^2)/(7^2))*(0.55+0.45*SIN(2*PI()*(Model_Data!A24)/45))+24*SIN(2*PI()*(0)/9+(Model_Data!A24)/18)*EXP(-(((0)+5)^2)/(22^2))+18*SIN(2*PI()*(Model_Data!A24)/70))+Inputs!$C$28*EXP(-(((Model_Data!A24)-Inputs!$C$29)^2)/(2*Inputs!$C$31^2))*EXP(-(((0)-Inputs!$C$30)^2)/(2*Inputs!$C$32^2))+-Inputs!$C$33*EXP(-(((((Model_Data!A24)-Inputs!$C$34)^2)+(((0)-Inputs!$C$35)^2))/(2*Inputs!$C$36^2)))+Inputs!$C$37*(0.55*SIN(2*PI()*(Model_Data!A24)/Inputs!$C$39)+0.35*COS(2*PI()*(0)/Inputs!$C$40)+0.2*SIN(2*PI()*((Model_Data!A24)+(0))/(0.5*(Inputs!$C$39+Inputs!$C$40))))+Inputs!$C$38*SIN(2*PI()*(Model_Data!A24)/Inputs!$C$39)*SIN(2*PI()*(0)/Inputs!$C$40)+-Inputs!$C$41*EXP(-(((0)-Inputs!$C$43)^2)/(2*Inputs!$C$44^2))*EXP(-(((Model_Data!A24)-Inputs!$C$42)^2)/(2*Inputs!$C$45^2))+Inputs!$C$48*(0.70*(0.45*SIN(2*PI()*(((Model_Data!A24)/Inputs!$C$49)+Inputs!$C$47*0.137))+0.35*COS(2*PI()*(((0)/Inputs!$C$50)+Inputs!$C$47*0.173))+0.20*SIN(2*PI()*(((Model_Data!A24)+(0))/(0.5*(Inputs!$C$49+Inputs!$C$50))+Inputs!$C$47*0.097)))+0.30*(2*((SIN(((Model_Data!A24)*12.9898+(0)*78.233+Inputs!$C$47*37.719))*43758.5453)-INT((SIN(((Model_Data!A24)*12.9898+(0)*78.233+Inputs!$C$47*37.719))*43758.5453)))-1))))/1000)))*1000/Inputs!$C$12)-Model_Data!F24)</x:f>
        <x:v>127.34524188626165</x:v>
      </x:c>
      <x:c r="L24" s="49"/>
      <x:c r="M24" s="48" t="n">
        <x:f>Model_Data!A24</x:f>
        <x:v>-49</x:v>
      </x:c>
      <x:c r="N24" s="48" t="n">
        <x:f>Model_Data!P24</x:f>
        <x:v>365.5285586581568</x:v>
      </x:c>
      <x:c r="O24" s="48" t="n">
        <x:f>AC24</x:f>
        <x:v>376.05665981400307</x:v>
      </x:c>
      <x:c r="P24" s="48" t="n">
        <x:f>Model_Data!Q24</x:f>
        <x:v>54.884167966690214</x:v>
      </x:c>
      <x:c r="Q24" s="48" t="n">
        <x:f>AD24</x:f>
        <x:v>56.464963936036504</x:v>
      </x:c>
      <x:c r="R24" s="49"/>
      <x:c r="S24" s="48" t="n">
        <x:f>Model_Data!A24</x:f>
        <x:v>-49</x:v>
      </x:c>
      <x:c r="T24" s="48" t="n">
        <x:f>Model_Data!B24-Inputs!$C$5</x:f>
        <x:v>2.667777777777758</x:v>
      </x:c>
      <x:c r="U24" s="49"/>
      <x:c r="V24" s="48" t="n">
        <x:f>Model_Data!A24</x:f>
        <x:v>-49</x:v>
      </x:c>
      <x:c r="W24" s="48" t="n">
        <x:f>(-((((SQRT((Model_Data!A24)^2+Inputs!$C$6^2+((Model_Data!B24)-((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(0.45*SIN(2*PI()*(((Model_Data!A24)/Inputs!$C$49)+Inputs!$C$47*0.137))+0.35*COS(2*PI()*(((Inputs!$C$6)/Inputs!$C$50)+Inputs!$C$47*0.173))+0.20*SIN(2*PI()*(((Model_Data!A24)+(Inputs!$C$6))/(0.5*(Inputs!$C$49+Inputs!$C$50))+Inputs!$C$47*0.097)))+0.30*(2*((SIN(((Model_Data!A24)*12.9898+(Inputs!$C$6)*78.233+Inputs!$C$47*37.719))*43758.5453)-INT((SIN(((Model_Data!A24)*12.9898+(Inputs!$C$6)*78.233+Inputs!$C$47*37.719))*43758.5453)))-1))))/1000)^2))-(((Model_Data!B24)-((Inputs!$C$51*(115*EXP(-(((0)-25)^2)/(4.5^2))+70*EXP(-(((0)+38)^2)/(7^2))*(0.55+0.45*SIN(2*PI()*(Model_Data!A24)/45))+24*SIN(2*PI()*(0)/9+(Model_Data!A24)/18)*EXP(-(((0)+5)^2)/(22^2))+18*SIN(2*PI()*(Model_Data!A24)/70))+Inputs!$C$28*EXP(-(((Model_Data!A24)-Inputs!$C$29)^2)/(2*Inputs!$C$31^2))*EXP(-(((0)-Inputs!$C$30)^2)/(2*Inputs!$C$32^2))+-Inputs!$C$33*EXP(-(((((Model_Data!A24)-Inputs!$C$34)^2)+(((0)-Inputs!$C$35)^2))/(2*Inputs!$C$36^2)))+Inputs!$C$37*(0.55*SIN(2*PI()*(Model_Data!A24)/Inputs!$C$39)+0.35*COS(2*PI()*(0)/Inputs!$C$40)+0.2*SIN(2*PI()*((Model_Data!A24)+(0))/(0.5*(Inputs!$C$39+Inputs!$C$40))))+Inputs!$C$38*SIN(2*PI()*(Model_Data!A24)/Inputs!$C$39)*SIN(2*PI()*(0)/Inputs!$C$40)+-Inputs!$C$41*EXP(-(((0)-Inputs!$C$43)^2)/(2*Inputs!$C$44^2))*EXP(-(((Model_Data!A24)-Inputs!$C$42)^2)/(2*Inputs!$C$45^2))+Inputs!$C$48*(0.70*(0.45*SIN(2*PI()*(((Model_Data!A24)/Inputs!$C$49)+Inputs!$C$47*0.137))+0.35*COS(2*PI()*(((0)/Inputs!$C$50)+Inputs!$C$47*0.173))+0.20*SIN(2*PI()*(((Model_Data!A24)+(0))/(0.5*(Inputs!$C$49+Inputs!$C$50))+Inputs!$C$47*0.097)))+0.30*(2*((SIN(((Model_Data!A24)*12.9898+(0)*78.233+Inputs!$C$47*37.719))*43758.5453)-INT((SIN(((Model_Data!A24)*12.9898+(0)*78.233+Inputs!$C$47*37.719))*43758.5453)))-1))))/1000)))*1000/Inputs!$C$12)-Model_Data!F24))-(-(((SQRT((Model_Data!A24)^2+Inputs!$C$6^2+(Inputs!$C$5-((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(0.45*SIN(2*PI()*(((Model_Data!A24)/Inputs!$C$49)+Inputs!$C$47*0.137))+0.35*COS(2*PI()*(((Inputs!$C$6)/Inputs!$C$50)+Inputs!$C$47*0.173))+0.20*SIN(2*PI()*(((Model_Data!A24)+(Inputs!$C$6))/(0.5*(Inputs!$C$49+Inputs!$C$50))+Inputs!$C$47*0.097)))+0.30*(2*((SIN(((Model_Data!A24)*12.9898+(Inputs!$C$6)*78.233+Inputs!$C$47*37.719))*43758.5453)-INT((SIN(((Model_Data!A24)*12.9898+(Inputs!$C$6)*78.233+Inputs!$C$47*37.719))*43758.5453)))-1))))/1000)^2)-(Inputs!$C$5-((Inputs!$C$51*(115*EXP(-(((0)-25)^2)/(4.5^2))+70*EXP(-(((0)+38)^2)/(7^2))*(0.55+0.45*SIN(2*PI()*(Model_Data!A24)/45))+24*SIN(2*PI()*(0)/9+(Model_Data!A24)/18)*EXP(-(((0)+5)^2)/(22^2))+18*SIN(2*PI()*(Model_Data!A24)/70))+Inputs!$C$28*EXP(-(((Model_Data!A24)-Inputs!$C$29)^2)/(2*Inputs!$C$31^2))*EXP(-(((0)-Inputs!$C$30)^2)/(2*Inputs!$C$32^2))+-Inputs!$C$33*EXP(-(((((Model_Data!A24)-Inputs!$C$34)^2)+(((0)-Inputs!$C$35)^2))/(2*Inputs!$C$36^2)))+Inputs!$C$37*(0.55*SIN(2*PI()*(Model_Data!A24)/Inputs!$C$39)+0.35*COS(2*PI()*(0)/Inputs!$C$40)+0.2*SIN(2*PI()*((Model_Data!A24)+(0))/(0.5*(Inputs!$C$39+Inputs!$C$40))))+Inputs!$C$38*SIN(2*PI()*(Model_Data!A24)/Inputs!$C$39)*SIN(2*PI()*(0)/Inputs!$C$40)+-Inputs!$C$41*EXP(-(((0)-Inputs!$C$43)^2)/(2*Inputs!$C$44^2))*EXP(-(((Model_Data!A24)-Inputs!$C$42)^2)/(2*Inputs!$C$45^2))+Inputs!$C$48*(0.70*(0.45*SIN(2*PI()*(((Model_Data!A24)/Inputs!$C$49)+Inputs!$C$47*0.137))+0.35*COS(2*PI()*(((0)/Inputs!$C$50)+Inputs!$C$47*0.173))+0.20*SIN(2*PI()*(((Model_Data!A24)+(0))/(0.5*(Inputs!$C$49+Inputs!$C$50))+Inputs!$C$47*0.097)))+0.30*(2*((SIN(((Model_Data!A24)*12.9898+(0)*78.233+Inputs!$C$47*37.719))*43758.5453)-INT((SIN(((Model_Data!A24)*12.9898+(0)*78.233+Inputs!$C$47*37.719))*43758.5453)))-1))))/1000))*1000/Inputs!$C$12)-((SQRT((Model_Data!A24)^2+Inputs!$C$6^2+Inputs!$C$5^2)-Inputs!$C$5)*1000/Inputs!$C$12)))</x:f>
        <x:v>0.01835740277692821</x:v>
      </x:c>
      <x:c r="X24" s="48" t="n">
        <x:f>0</x:f>
        <x:v>0</x:v>
      </x:c>
      <x:c r="Y24" s="49"/>
      <x:c r="Z24" s="48" t="n">
        <x:f>Model_Data!A24</x:f>
        <x:v>-49</x:v>
      </x:c>
      <x:c r="AA24" s="48" t="n">
        <x:f>SQRT((Model_Data!A24)^2+Inputs!$C$6^2+((Model_Data!B24)-((Inputs!$C$51*(115*EXP(-(((Inputs!$C$6)-25)^2)/(4.5^2))+70*EXP(-(((Inputs!$C$6)+38)^2)/(7^2))*(0.55+0.45*SIN(2*PI()*(Model_Data!A24)/45))+24*SIN(2*PI()*(Inputs!$C$6)/9+(Model_Data!A24)/18)*EXP(-(((Inputs!$C$6)+5)^2)/(22^2))+18*SIN(2*PI()*(Model_Data!A24)/70))+Inputs!$C$28*EXP(-(((Model_Data!A24)-Inputs!$C$29)^2)/(2*Inputs!$C$31^2))*EXP(-(((Inputs!$C$6)-Inputs!$C$30)^2)/(2*Inputs!$C$32^2))+-Inputs!$C$33*EXP(-(((((Model_Data!A24)-Inputs!$C$34)^2)+(((Inputs!$C$6)-Inputs!$C$35)^2))/(2*Inputs!$C$36^2)))+Inputs!$C$37*(0.55*SIN(2*PI()*(Model_Data!A24)/Inputs!$C$39)+0.35*COS(2*PI()*(Inputs!$C$6)/Inputs!$C$40)+0.2*SIN(2*PI()*((Model_Data!A24)+(Inputs!$C$6))/(0.5*(Inputs!$C$39+Inputs!$C$40))))+Inputs!$C$38*SIN(2*PI()*(Model_Data!A24)/Inputs!$C$39)*SIN(2*PI()*(Inputs!$C$6)/Inputs!$C$40)+-Inputs!$C$41*EXP(-(((Inputs!$C$6)-Inputs!$C$43)^2)/(2*Inputs!$C$44^2))*EXP(-(((Model_Data!A24)-Inputs!$C$42)^2)/(2*Inputs!$C$45^2))+Inputs!$C$48*(0.70*(0.45*SIN(2*PI()*(((Model_Data!A24)/Inputs!$C$49)+Inputs!$C$47*0.137))+0.35*COS(2*PI()*(((Inputs!$C$6)/Inputs!$C$50)+Inputs!$C$47*0.173))+0.20*SIN(2*PI()*(((Model_Data!A24)+(Inputs!$C$6))/(0.5*(Inputs!$C$49+Inputs!$C$50))+Inputs!$C$47*0.097)))+0.30*(2*((SIN(((Model_Data!A24)*12.9898+(Inputs!$C$6)*78.233+Inputs!$C$47*37.719))*43758.5453)-INT((SIN(((Model_Data!A24)*12.9898+(Inputs!$C$6)*78.233+Inputs!$C$47*37.719))*43758.5453)))-1))))/1000)^2)</x:f>
        <x:v>406.1415308902369</x:v>
      </x:c>
      <x:c r="AB24" s="48" t="n">
        <x:f>1000*(AA25-AA23)/(Z25-Z23)*Inputs!$C$11</x:f>
        <x:v>-940.1416495350077</x:v>
      </x:c>
      <x:c r="AC24" s="48" t="n">
        <x:f>-2*AB24/Inputs!$C$13</x:f>
        <x:v>376.05665981400307</x:v>
      </x:c>
      <x:c r="AD24" s="48" t="n">
        <x:f>-2*AB24/Inputs!$C$14</x:f>
        <x:v>56.464963936036504</x:v>
      </x:c>
    </x:row>
    <x:row r="25">
      <x:c r="A25" s="48" t="n">
        <x:f>Model_Data!A25</x:f>
        <x:v>-48.5</x:v>
      </x:c>
      <x:c r="B25" s="48" t="n">
        <x:f>Model_Data!F25</x:f>
        <x:v>2067.7416568945596</x:v>
      </x:c>
      <x:c r="C25" s="48" t="n">
        <x:f>(((SQRT((Model_Data!A25)^2+Inputs!$C$6^2+((Model_Data!B25)-((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(0.45*SIN(2*PI()*(((Model_Data!A25)/Inputs!$C$49)+Inputs!$C$47*0.137))+0.35*COS(2*PI()*(((Inputs!$C$6)/Inputs!$C$50)+Inputs!$C$47*0.173))+0.20*SIN(2*PI()*(((Model_Data!A25)+(Inputs!$C$6))/(0.5*(Inputs!$C$49+Inputs!$C$50))+Inputs!$C$47*0.097)))+0.30*(2*((SIN(((Model_Data!A25)*12.9898+(Inputs!$C$6)*78.233+Inputs!$C$47*37.719))*43758.5453)-INT((SIN(((Model_Data!A25)*12.9898+(Inputs!$C$6)*78.233+Inputs!$C$47*37.719))*43758.5453)))-1))))/1000)^2))-(((Model_Data!B25)-((Inputs!$C$51*(115*EXP(-(((0)-25)^2)/(4.5^2))+70*EXP(-(((0)+38)^2)/(7^2))*(0.55+0.45*SIN(2*PI()*(Model_Data!A25)/45))+24*SIN(2*PI()*(0)/9+(Model_Data!A25)/18)*EXP(-(((0)+5)^2)/(22^2))+18*SIN(2*PI()*(Model_Data!A25)/70))+Inputs!$C$28*EXP(-(((Model_Data!A25)-Inputs!$C$29)^2)/(2*Inputs!$C$31^2))*EXP(-(((0)-Inputs!$C$30)^2)/(2*Inputs!$C$32^2))+-Inputs!$C$33*EXP(-(((((Model_Data!A25)-Inputs!$C$34)^2)+(((0)-Inputs!$C$35)^2))/(2*Inputs!$C$36^2)))+Inputs!$C$37*(0.55*SIN(2*PI()*(Model_Data!A25)/Inputs!$C$39)+0.35*COS(2*PI()*(0)/Inputs!$C$40)+0.2*SIN(2*PI()*((Model_Data!A25)+(0))/(0.5*(Inputs!$C$39+Inputs!$C$40))))+Inputs!$C$38*SIN(2*PI()*(Model_Data!A25)/Inputs!$C$39)*SIN(2*PI()*(0)/Inputs!$C$40)+-Inputs!$C$41*EXP(-(((0)-Inputs!$C$43)^2)/(2*Inputs!$C$44^2))*EXP(-(((Model_Data!A25)-Inputs!$C$42)^2)/(2*Inputs!$C$45^2))+Inputs!$C$48*(0.70*(0.45*SIN(2*PI()*(((Model_Data!A25)/Inputs!$C$49)+Inputs!$C$47*0.137))+0.35*COS(2*PI()*(((0)/Inputs!$C$50)+Inputs!$C$47*0.173))+0.20*SIN(2*PI()*(((Model_Data!A25)+(0))/(0.5*(Inputs!$C$49+Inputs!$C$50))+Inputs!$C$47*0.097)))+0.30*(2*((SIN(((Model_Data!A25)*12.9898+(0)*78.233+Inputs!$C$47*37.719))*43758.5453)-INT((SIN(((Model_Data!A25)*12.9898+(0)*78.233+Inputs!$C$47*37.719))*43758.5453)))-1))))/1000)))*1000/Inputs!$C$12)</x:f>
        <x:v>1942.6031428676506</x:v>
      </x:c>
      <x:c r="D25" s="49"/>
      <x:c r="E25" s="48" t="n">
        <x:f>Model_Data!A25</x:f>
        <x:v>-48.5</x:v>
      </x:c>
      <x:c r="F25" s="48" t="n">
        <x:f>(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(0.45*SIN(2*PI()*(((Model_Data!A25)/Inputs!$C$49)+Inputs!$C$47*0.137))+0.35*COS(2*PI()*(((Inputs!$C$6)/Inputs!$C$50)+Inputs!$C$47*0.173))+0.20*SIN(2*PI()*(((Model_Data!A25)+(Inputs!$C$6))/(0.5*(Inputs!$C$49+Inputs!$C$50))+Inputs!$C$47*0.097)))+0.30*(2*((SIN(((Model_Data!A25)*12.9898+(Inputs!$C$6)*78.233+Inputs!$C$47*37.719))*43758.5453)-INT((SIN(((Model_Data!A25)*12.9898+(Inputs!$C$6)*78.233+Inputs!$C$47*37.719))*43758.5453)))-1)))</x:f>
        <x:v>265.4824606971943</x:v>
      </x:c>
      <x:c r="G25" s="48" t="n">
        <x:f>(Inputs!$C$51*(115*EXP(-(((0)-25)^2)/(4.5^2))+70*EXP(-(((0)+38)^2)/(7^2))*(0.55+0.45*SIN(2*PI()*(Model_Data!A25)/45))+24*SIN(2*PI()*(0)/9+(Model_Data!A25)/18)*EXP(-(((0)+5)^2)/(22^2))+18*SIN(2*PI()*(Model_Data!A25)/70))+Inputs!$C$28*EXP(-(((Model_Data!A25)-Inputs!$C$29)^2)/(2*Inputs!$C$31^2))*EXP(-(((0)-Inputs!$C$30)^2)/(2*Inputs!$C$32^2))+-Inputs!$C$33*EXP(-(((((Model_Data!A25)-Inputs!$C$34)^2)+(((0)-Inputs!$C$35)^2))/(2*Inputs!$C$36^2)))+Inputs!$C$37*(0.55*SIN(2*PI()*(Model_Data!A25)/Inputs!$C$39)+0.35*COS(2*PI()*(0)/Inputs!$C$40)+0.2*SIN(2*PI()*((Model_Data!A25)+(0))/(0.5*(Inputs!$C$39+Inputs!$C$40))))+Inputs!$C$38*SIN(2*PI()*(Model_Data!A25)/Inputs!$C$39)*SIN(2*PI()*(0)/Inputs!$C$40)+-Inputs!$C$41*EXP(-(((0)-Inputs!$C$43)^2)/(2*Inputs!$C$44^2))*EXP(-(((Model_Data!A25)-Inputs!$C$42)^2)/(2*Inputs!$C$45^2))+Inputs!$C$48*(0.70*(0.45*SIN(2*PI()*(((Model_Data!A25)/Inputs!$C$49)+Inputs!$C$47*0.137))+0.35*COS(2*PI()*(((0)/Inputs!$C$50)+Inputs!$C$47*0.173))+0.20*SIN(2*PI()*(((Model_Data!A25)+(0))/(0.5*(Inputs!$C$49+Inputs!$C$50))+Inputs!$C$47*0.097)))+0.30*(2*((SIN(((Model_Data!A25)*12.9898+(0)*78.233+Inputs!$C$47*37.719))*43758.5453)-INT((SIN(((Model_Data!A25)*12.9898+(0)*78.233+Inputs!$C$47*37.719))*43758.5453)))-1)))</x:f>
        <x:v>40.329360187280464</x:v>
      </x:c>
      <x:c r="H25" s="49"/>
      <x:c r="I25" s="48" t="n">
        <x:f>Model_Data!A25</x:f>
        <x:v>-48.5</x:v>
      </x:c>
      <x:c r="J25" s="48" t="n">
        <x:f>((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(0.45*SIN(2*PI()*(((Model_Data!A25)/Inputs!$C$49)+Inputs!$C$47*0.137))+0.35*COS(2*PI()*(((Inputs!$C$6)/Inputs!$C$50)+Inputs!$C$47*0.173))+0.20*SIN(2*PI()*(((Model_Data!A25)+(Inputs!$C$6))/(0.5*(Inputs!$C$49+Inputs!$C$50))+Inputs!$C$47*0.097)))+0.30*(2*((SIN(((Model_Data!A25)*12.9898+(Inputs!$C$6)*78.233+Inputs!$C$47*37.719))*43758.5453)-INT((SIN(((Model_Data!A25)*12.9898+(Inputs!$C$6)*78.233+Inputs!$C$47*37.719))*43758.5453)))-1))))-((Inputs!$C$51*(115*EXP(-(((0)-25)^2)/(4.5^2))+70*EXP(-(((0)+38)^2)/(7^2))*(0.55+0.45*SIN(2*PI()*(Model_Data!A25)/45))+24*SIN(2*PI()*(0)/9+(Model_Data!A25)/18)*EXP(-(((0)+5)^2)/(22^2))+18*SIN(2*PI()*(Model_Data!A25)/70))+Inputs!$C$28*EXP(-(((Model_Data!A25)-Inputs!$C$29)^2)/(2*Inputs!$C$31^2))*EXP(-(((0)-Inputs!$C$30)^2)/(2*Inputs!$C$32^2))+-Inputs!$C$33*EXP(-(((((Model_Data!A25)-Inputs!$C$34)^2)+(((0)-Inputs!$C$35)^2))/(2*Inputs!$C$36^2)))+Inputs!$C$37*(0.55*SIN(2*PI()*(Model_Data!A25)/Inputs!$C$39)+0.35*COS(2*PI()*(0)/Inputs!$C$40)+0.2*SIN(2*PI()*((Model_Data!A25)+(0))/(0.5*(Inputs!$C$39+Inputs!$C$40))))+Inputs!$C$38*SIN(2*PI()*(Model_Data!A25)/Inputs!$C$39)*SIN(2*PI()*(0)/Inputs!$C$40)+-Inputs!$C$41*EXP(-(((0)-Inputs!$C$43)^2)/(2*Inputs!$C$44^2))*EXP(-(((Model_Data!A25)-Inputs!$C$42)^2)/(2*Inputs!$C$45^2))+Inputs!$C$48*(0.70*(0.45*SIN(2*PI()*(((Model_Data!A25)/Inputs!$C$49)+Inputs!$C$47*0.137))+0.35*COS(2*PI()*(((0)/Inputs!$C$50)+Inputs!$C$47*0.173))+0.20*SIN(2*PI()*(((Model_Data!A25)+(0))/(0.5*(Inputs!$C$49+Inputs!$C$50))+Inputs!$C$47*0.097)))+0.30*(2*((SIN(((Model_Data!A25)*12.9898+(0)*78.233+Inputs!$C$47*37.719))*43758.5453)-INT((SIN(((Model_Data!A25)*12.9898+(0)*78.233+Inputs!$C$47*37.719))*43758.5453)))-1))))</x:f>
        <x:v>225.15310050991386</x:v>
      </x:c>
      <x:c r="K25" s="48" t="n">
        <x:f>-((((SQRT((Model_Data!A25)^2+Inputs!$C$6^2+((Model_Data!B25)-((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(0.45*SIN(2*PI()*(((Model_Data!A25)/Inputs!$C$49)+Inputs!$C$47*0.137))+0.35*COS(2*PI()*(((Inputs!$C$6)/Inputs!$C$50)+Inputs!$C$47*0.173))+0.20*SIN(2*PI()*(((Model_Data!A25)+(Inputs!$C$6))/(0.5*(Inputs!$C$49+Inputs!$C$50))+Inputs!$C$47*0.097)))+0.30*(2*((SIN(((Model_Data!A25)*12.9898+(Inputs!$C$6)*78.233+Inputs!$C$47*37.719))*43758.5453)-INT((SIN(((Model_Data!A25)*12.9898+(Inputs!$C$6)*78.233+Inputs!$C$47*37.719))*43758.5453)))-1))))/1000)^2))-(((Model_Data!B25)-((Inputs!$C$51*(115*EXP(-(((0)-25)^2)/(4.5^2))+70*EXP(-(((0)+38)^2)/(7^2))*(0.55+0.45*SIN(2*PI()*(Model_Data!A25)/45))+24*SIN(2*PI()*(0)/9+(Model_Data!A25)/18)*EXP(-(((0)+5)^2)/(22^2))+18*SIN(2*PI()*(Model_Data!A25)/70))+Inputs!$C$28*EXP(-(((Model_Data!A25)-Inputs!$C$29)^2)/(2*Inputs!$C$31^2))*EXP(-(((0)-Inputs!$C$30)^2)/(2*Inputs!$C$32^2))+-Inputs!$C$33*EXP(-(((((Model_Data!A25)-Inputs!$C$34)^2)+(((0)-Inputs!$C$35)^2))/(2*Inputs!$C$36^2)))+Inputs!$C$37*(0.55*SIN(2*PI()*(Model_Data!A25)/Inputs!$C$39)+0.35*COS(2*PI()*(0)/Inputs!$C$40)+0.2*SIN(2*PI()*((Model_Data!A25)+(0))/(0.5*(Inputs!$C$39+Inputs!$C$40))))+Inputs!$C$38*SIN(2*PI()*(Model_Data!A25)/Inputs!$C$39)*SIN(2*PI()*(0)/Inputs!$C$40)+-Inputs!$C$41*EXP(-(((0)-Inputs!$C$43)^2)/(2*Inputs!$C$44^2))*EXP(-(((Model_Data!A25)-Inputs!$C$42)^2)/(2*Inputs!$C$45^2))+Inputs!$C$48*(0.70*(0.45*SIN(2*PI()*(((Model_Data!A25)/Inputs!$C$49)+Inputs!$C$47*0.137))+0.35*COS(2*PI()*(((0)/Inputs!$C$50)+Inputs!$C$47*0.173))+0.20*SIN(2*PI()*(((Model_Data!A25)+(0))/(0.5*(Inputs!$C$49+Inputs!$C$50))+Inputs!$C$47*0.097)))+0.30*(2*((SIN(((Model_Data!A25)*12.9898+(0)*78.233+Inputs!$C$47*37.719))*43758.5453)-INT((SIN(((Model_Data!A25)*12.9898+(0)*78.233+Inputs!$C$47*37.719))*43758.5453)))-1))))/1000)))*1000/Inputs!$C$12)-Model_Data!F25)</x:f>
        <x:v>125.13851402690898</x:v>
      </x:c>
      <x:c r="L25" s="49"/>
      <x:c r="M25" s="48" t="n">
        <x:f>Model_Data!A25</x:f>
        <x:v>-48.5</x:v>
      </x:c>
      <x:c r="N25" s="48" t="n">
        <x:f>Model_Data!P25</x:f>
        <x:v>361.87689525593146</x:v>
      </x:c>
      <x:c r="O25" s="48" t="n">
        <x:f>AC25</x:f>
        <x:v>337.9669926499446</x:v>
      </x:c>
      <x:c r="P25" s="48" t="n">
        <x:f>Model_Data!Q25</x:f>
        <x:v>54.335870158548275</x:v>
      </x:c>
      <x:c r="Q25" s="48" t="n">
        <x:f>AD25</x:f>
        <x:v>50.74579469218388</x:v>
      </x:c>
      <x:c r="R25" s="49"/>
      <x:c r="S25" s="48" t="n">
        <x:f>Model_Data!A25</x:f>
        <x:v>-48.5</x:v>
      </x:c>
      <x:c r="T25" s="48" t="n">
        <x:f>Model_Data!B25-Inputs!$C$5</x:f>
        <x:v>2.6136111111110836</x:v>
      </x:c>
      <x:c r="U25" s="49"/>
      <x:c r="V25" s="48" t="n">
        <x:f>Model_Data!A25</x:f>
        <x:v>-48.5</x:v>
      </x:c>
      <x:c r="W25" s="48" t="n">
        <x:f>(-((((SQRT((Model_Data!A25)^2+Inputs!$C$6^2+((Model_Data!B25)-((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(0.45*SIN(2*PI()*(((Model_Data!A25)/Inputs!$C$49)+Inputs!$C$47*0.137))+0.35*COS(2*PI()*(((Inputs!$C$6)/Inputs!$C$50)+Inputs!$C$47*0.173))+0.20*SIN(2*PI()*(((Model_Data!A25)+(Inputs!$C$6))/(0.5*(Inputs!$C$49+Inputs!$C$50))+Inputs!$C$47*0.097)))+0.30*(2*((SIN(((Model_Data!A25)*12.9898+(Inputs!$C$6)*78.233+Inputs!$C$47*37.719))*43758.5453)-INT((SIN(((Model_Data!A25)*12.9898+(Inputs!$C$6)*78.233+Inputs!$C$47*37.719))*43758.5453)))-1))))/1000)^2))-(((Model_Data!B25)-((Inputs!$C$51*(115*EXP(-(((0)-25)^2)/(4.5^2))+70*EXP(-(((0)+38)^2)/(7^2))*(0.55+0.45*SIN(2*PI()*(Model_Data!A25)/45))+24*SIN(2*PI()*(0)/9+(Model_Data!A25)/18)*EXP(-(((0)+5)^2)/(22^2))+18*SIN(2*PI()*(Model_Data!A25)/70))+Inputs!$C$28*EXP(-(((Model_Data!A25)-Inputs!$C$29)^2)/(2*Inputs!$C$31^2))*EXP(-(((0)-Inputs!$C$30)^2)/(2*Inputs!$C$32^2))+-Inputs!$C$33*EXP(-(((((Model_Data!A25)-Inputs!$C$34)^2)+(((0)-Inputs!$C$35)^2))/(2*Inputs!$C$36^2)))+Inputs!$C$37*(0.55*SIN(2*PI()*(Model_Data!A25)/Inputs!$C$39)+0.35*COS(2*PI()*(0)/Inputs!$C$40)+0.2*SIN(2*PI()*((Model_Data!A25)+(0))/(0.5*(Inputs!$C$39+Inputs!$C$40))))+Inputs!$C$38*SIN(2*PI()*(Model_Data!A25)/Inputs!$C$39)*SIN(2*PI()*(0)/Inputs!$C$40)+-Inputs!$C$41*EXP(-(((0)-Inputs!$C$43)^2)/(2*Inputs!$C$44^2))*EXP(-(((Model_Data!A25)-Inputs!$C$42)^2)/(2*Inputs!$C$45^2))+Inputs!$C$48*(0.70*(0.45*SIN(2*PI()*(((Model_Data!A25)/Inputs!$C$49)+Inputs!$C$47*0.137))+0.35*COS(2*PI()*(((0)/Inputs!$C$50)+Inputs!$C$47*0.173))+0.20*SIN(2*PI()*(((Model_Data!A25)+(0))/(0.5*(Inputs!$C$49+Inputs!$C$50))+Inputs!$C$47*0.097)))+0.30*(2*((SIN(((Model_Data!A25)*12.9898+(0)*78.233+Inputs!$C$47*37.719))*43758.5453)-INT((SIN(((Model_Data!A25)*12.9898+(0)*78.233+Inputs!$C$47*37.719))*43758.5453)))-1))))/1000)))*1000/Inputs!$C$12)-Model_Data!F25))-(-(((SQRT((Model_Data!A25)^2+Inputs!$C$6^2+(Inputs!$C$5-((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(0.45*SIN(2*PI()*(((Model_Data!A25)/Inputs!$C$49)+Inputs!$C$47*0.137))+0.35*COS(2*PI()*(((Inputs!$C$6)/Inputs!$C$50)+Inputs!$C$47*0.173))+0.20*SIN(2*PI()*(((Model_Data!A25)+(Inputs!$C$6))/(0.5*(Inputs!$C$49+Inputs!$C$50))+Inputs!$C$47*0.097)))+0.30*(2*((SIN(((Model_Data!A25)*12.9898+(Inputs!$C$6)*78.233+Inputs!$C$47*37.719))*43758.5453)-INT((SIN(((Model_Data!A25)*12.9898+(Inputs!$C$6)*78.233+Inputs!$C$47*37.719))*43758.5453)))-1))))/1000)^2)-(Inputs!$C$5-((Inputs!$C$51*(115*EXP(-(((0)-25)^2)/(4.5^2))+70*EXP(-(((0)+38)^2)/(7^2))*(0.55+0.45*SIN(2*PI()*(Model_Data!A25)/45))+24*SIN(2*PI()*(0)/9+(Model_Data!A25)/18)*EXP(-(((0)+5)^2)/(22^2))+18*SIN(2*PI()*(Model_Data!A25)/70))+Inputs!$C$28*EXP(-(((Model_Data!A25)-Inputs!$C$29)^2)/(2*Inputs!$C$31^2))*EXP(-(((0)-Inputs!$C$30)^2)/(2*Inputs!$C$32^2))+-Inputs!$C$33*EXP(-(((((Model_Data!A25)-Inputs!$C$34)^2)+(((0)-Inputs!$C$35)^2))/(2*Inputs!$C$36^2)))+Inputs!$C$37*(0.55*SIN(2*PI()*(Model_Data!A25)/Inputs!$C$39)+0.35*COS(2*PI()*(0)/Inputs!$C$40)+0.2*SIN(2*PI()*((Model_Data!A25)+(0))/(0.5*(Inputs!$C$39+Inputs!$C$40))))+Inputs!$C$38*SIN(2*PI()*(Model_Data!A25)/Inputs!$C$39)*SIN(2*PI()*(0)/Inputs!$C$40)+-Inputs!$C$41*EXP(-(((0)-Inputs!$C$43)^2)/(2*Inputs!$C$44^2))*EXP(-(((Model_Data!A25)-Inputs!$C$42)^2)/(2*Inputs!$C$45^2))+Inputs!$C$48*(0.70*(0.45*SIN(2*PI()*(((Model_Data!A25)/Inputs!$C$49)+Inputs!$C$47*0.137))+0.35*COS(2*PI()*(((0)/Inputs!$C$50)+Inputs!$C$47*0.173))+0.20*SIN(2*PI()*(((Model_Data!A25)+(0))/(0.5*(Inputs!$C$49+Inputs!$C$50))+Inputs!$C$47*0.097)))+0.30*(2*((SIN(((Model_Data!A25)*12.9898+(0)*78.233+Inputs!$C$47*37.719))*43758.5453)-INT((SIN(((Model_Data!A25)*12.9898+(0)*78.233+Inputs!$C$47*37.719))*43758.5453)))-1))))/1000))*1000/Inputs!$C$12)-((SQRT((Model_Data!A25)^2+Inputs!$C$6^2+Inputs!$C$5^2)-Inputs!$C$5)*1000/Inputs!$C$12)))</x:f>
        <x:v>0.017488056486172354</x:v>
      </x:c>
      <x:c r="X25" s="48" t="n">
        <x:f>0</x:f>
        <x:v>0</x:v>
      </x:c>
      <x:c r="Y25" s="49"/>
      <x:c r="Z25" s="48" t="n">
        <x:f>Model_Data!A25</x:f>
        <x:v>-48.5</x:v>
      </x:c>
      <x:c r="AA25" s="48" t="n">
        <x:f>SQRT((Model_Data!A25)^2+Inputs!$C$6^2+((Model_Data!B25)-((Inputs!$C$51*(115*EXP(-(((Inputs!$C$6)-25)^2)/(4.5^2))+70*EXP(-(((Inputs!$C$6)+38)^2)/(7^2))*(0.55+0.45*SIN(2*PI()*(Model_Data!A25)/45))+24*SIN(2*PI()*(Inputs!$C$6)/9+(Model_Data!A25)/18)*EXP(-(((Inputs!$C$6)+5)^2)/(22^2))+18*SIN(2*PI()*(Model_Data!A25)/70))+Inputs!$C$28*EXP(-(((Model_Data!A25)-Inputs!$C$29)^2)/(2*Inputs!$C$31^2))*EXP(-(((Inputs!$C$6)-Inputs!$C$30)^2)/(2*Inputs!$C$32^2))+-Inputs!$C$33*EXP(-(((((Model_Data!A25)-Inputs!$C$34)^2)+(((Inputs!$C$6)-Inputs!$C$35)^2))/(2*Inputs!$C$36^2)))+Inputs!$C$37*(0.55*SIN(2*PI()*(Model_Data!A25)/Inputs!$C$39)+0.35*COS(2*PI()*(Inputs!$C$6)/Inputs!$C$40)+0.2*SIN(2*PI()*((Model_Data!A25)+(Inputs!$C$6))/(0.5*(Inputs!$C$39+Inputs!$C$40))))+Inputs!$C$38*SIN(2*PI()*(Model_Data!A25)/Inputs!$C$39)*SIN(2*PI()*(Inputs!$C$6)/Inputs!$C$40)+-Inputs!$C$41*EXP(-(((Inputs!$C$6)-Inputs!$C$43)^2)/(2*Inputs!$C$44^2))*EXP(-(((Model_Data!A25)-Inputs!$C$42)^2)/(2*Inputs!$C$45^2))+Inputs!$C$48*(0.70*(0.45*SIN(2*PI()*(((Model_Data!A25)/Inputs!$C$49)+Inputs!$C$47*0.137))+0.35*COS(2*PI()*(((Inputs!$C$6)/Inputs!$C$50)+Inputs!$C$47*0.173))+0.20*SIN(2*PI()*(((Model_Data!A25)+(Inputs!$C$6))/(0.5*(Inputs!$C$49+Inputs!$C$50))+Inputs!$C$47*0.097)))+0.30*(2*((SIN(((Model_Data!A25)*12.9898+(Inputs!$C$6)*78.233+Inputs!$C$47*37.719))*43758.5453)-INT((SIN(((Model_Data!A25)*12.9898+(Inputs!$C$6)*78.233+Inputs!$C$47*37.719))*43758.5453)))-1))))/1000)^2)</x:f>
        <x:v>406.0311153452282</x:v>
      </x:c>
      <x:c r="AB25" s="48" t="n">
        <x:f>1000*(AA26-AA24)/(Z26-Z24)*Inputs!$C$11</x:f>
        <x:v>-844.9174816248615</x:v>
      </x:c>
      <x:c r="AC25" s="48" t="n">
        <x:f>-2*AB25/Inputs!$C$13</x:f>
        <x:v>337.9669926499446</x:v>
      </x:c>
      <x:c r="AD25" s="48" t="n">
        <x:f>-2*AB25/Inputs!$C$14</x:f>
        <x:v>50.74579469218388</x:v>
      </x:c>
    </x:row>
    <x:row r="26">
      <x:c r="A26" s="48" t="n">
        <x:f>Model_Data!A26</x:f>
        <x:v>-48</x:v>
      </x:c>
      <x:c r="B26" s="48" t="n">
        <x:f>Model_Data!F26</x:f>
        <x:v>2034.6492181694086</x:v>
      </x:c>
      <x:c r="C26" s="48" t="n">
        <x:f>(((SQRT((Model_Data!A26)^2+Inputs!$C$6^2+((Model_Data!B26)-((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(0.45*SIN(2*PI()*(((Model_Data!A26)/Inputs!$C$49)+Inputs!$C$47*0.137))+0.35*COS(2*PI()*(((Inputs!$C$6)/Inputs!$C$50)+Inputs!$C$47*0.173))+0.20*SIN(2*PI()*(((Model_Data!A26)+(Inputs!$C$6))/(0.5*(Inputs!$C$49+Inputs!$C$50))+Inputs!$C$47*0.097)))+0.30*(2*((SIN(((Model_Data!A26)*12.9898+(Inputs!$C$6)*78.233+Inputs!$C$47*37.719))*43758.5453)-INT((SIN(((Model_Data!A26)*12.9898+(Inputs!$C$6)*78.233+Inputs!$C$47*37.719))*43758.5453)))-1))))/1000)^2))-(((Model_Data!B26)-((Inputs!$C$51*(115*EXP(-(((0)-25)^2)/(4.5^2))+70*EXP(-(((0)+38)^2)/(7^2))*(0.55+0.45*SIN(2*PI()*(Model_Data!A26)/45))+24*SIN(2*PI()*(0)/9+(Model_Data!A26)/18)*EXP(-(((0)+5)^2)/(22^2))+18*SIN(2*PI()*(Model_Data!A26)/70))+Inputs!$C$28*EXP(-(((Model_Data!A26)-Inputs!$C$29)^2)/(2*Inputs!$C$31^2))*EXP(-(((0)-Inputs!$C$30)^2)/(2*Inputs!$C$32^2))+-Inputs!$C$33*EXP(-(((((Model_Data!A26)-Inputs!$C$34)^2)+(((0)-Inputs!$C$35)^2))/(2*Inputs!$C$36^2)))+Inputs!$C$37*(0.55*SIN(2*PI()*(Model_Data!A26)/Inputs!$C$39)+0.35*COS(2*PI()*(0)/Inputs!$C$40)+0.2*SIN(2*PI()*((Model_Data!A26)+(0))/(0.5*(Inputs!$C$39+Inputs!$C$40))))+Inputs!$C$38*SIN(2*PI()*(Model_Data!A26)/Inputs!$C$39)*SIN(2*PI()*(0)/Inputs!$C$40)+-Inputs!$C$41*EXP(-(((0)-Inputs!$C$43)^2)/(2*Inputs!$C$44^2))*EXP(-(((Model_Data!A26)-Inputs!$C$42)^2)/(2*Inputs!$C$45^2))+Inputs!$C$48*(0.70*(0.45*SIN(2*PI()*(((Model_Data!A26)/Inputs!$C$49)+Inputs!$C$47*0.137))+0.35*COS(2*PI()*(((0)/Inputs!$C$50)+Inputs!$C$47*0.173))+0.20*SIN(2*PI()*(((Model_Data!A26)+(0))/(0.5*(Inputs!$C$49+Inputs!$C$50))+Inputs!$C$47*0.097)))+0.30*(2*((SIN(((Model_Data!A26)*12.9898+(0)*78.233+Inputs!$C$47*37.719))*43758.5453)-INT((SIN(((Model_Data!A26)*12.9898+(0)*78.233+Inputs!$C$47*37.719))*43758.5453)))-1))))/1000)))*1000/Inputs!$C$12)</x:f>
        <x:v>1924.7070639529716</x:v>
      </x:c>
      <x:c r="D26" s="49"/>
      <x:c r="E26" s="48" t="n">
        <x:f>Model_Data!A26</x:f>
        <x:v>-48</x:v>
      </x:c>
      <x:c r="F26" s="48" t="n">
        <x:f>(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(0.45*SIN(2*PI()*(((Model_Data!A26)/Inputs!$C$49)+Inputs!$C$47*0.137))+0.35*COS(2*PI()*(((Inputs!$C$6)/Inputs!$C$50)+Inputs!$C$47*0.173))+0.20*SIN(2*PI()*(((Model_Data!A26)+(Inputs!$C$6))/(0.5*(Inputs!$C$49+Inputs!$C$50))+Inputs!$C$47*0.097)))+0.30*(2*((SIN(((Model_Data!A26)*12.9898+(Inputs!$C$6)*78.233+Inputs!$C$47*37.719))*43758.5453)-INT((SIN(((Model_Data!A26)*12.9898+(Inputs!$C$6)*78.233+Inputs!$C$47*37.719))*43758.5453)))-1)))</x:f>
        <x:v>253.6370227527636</x:v>
      </x:c>
      <x:c r="G26" s="48" t="n">
        <x:f>(Inputs!$C$51*(115*EXP(-(((0)-25)^2)/(4.5^2))+70*EXP(-(((0)+38)^2)/(7^2))*(0.55+0.45*SIN(2*PI()*(Model_Data!A26)/45))+24*SIN(2*PI()*(0)/9+(Model_Data!A26)/18)*EXP(-(((0)+5)^2)/(22^2))+18*SIN(2*PI()*(Model_Data!A26)/70))+Inputs!$C$28*EXP(-(((Model_Data!A26)-Inputs!$C$29)^2)/(2*Inputs!$C$31^2))*EXP(-(((0)-Inputs!$C$30)^2)/(2*Inputs!$C$32^2))+-Inputs!$C$33*EXP(-(((((Model_Data!A26)-Inputs!$C$34)^2)+(((0)-Inputs!$C$35)^2))/(2*Inputs!$C$36^2)))+Inputs!$C$37*(0.55*SIN(2*PI()*(Model_Data!A26)/Inputs!$C$39)+0.35*COS(2*PI()*(0)/Inputs!$C$40)+0.2*SIN(2*PI()*((Model_Data!A26)+(0))/(0.5*(Inputs!$C$39+Inputs!$C$40))))+Inputs!$C$38*SIN(2*PI()*(Model_Data!A26)/Inputs!$C$39)*SIN(2*PI()*(0)/Inputs!$C$40)+-Inputs!$C$41*EXP(-(((0)-Inputs!$C$43)^2)/(2*Inputs!$C$44^2))*EXP(-(((Model_Data!A26)-Inputs!$C$42)^2)/(2*Inputs!$C$45^2))+Inputs!$C$48*(0.70*(0.45*SIN(2*PI()*(((Model_Data!A26)/Inputs!$C$49)+Inputs!$C$47*0.137))+0.35*COS(2*PI()*(((0)/Inputs!$C$50)+Inputs!$C$47*0.173))+0.20*SIN(2*PI()*(((Model_Data!A26)+(0))/(0.5*(Inputs!$C$49+Inputs!$C$50))+Inputs!$C$47*0.097)))+0.30*(2*((SIN(((Model_Data!A26)*12.9898+(0)*78.233+Inputs!$C$47*37.719))*43758.5453)-INT((SIN(((Model_Data!A26)*12.9898+(0)*78.233+Inputs!$C$47*37.719))*43758.5453)))-1)))</x:f>
        <x:v>55.67705400563339</x:v>
      </x:c>
      <x:c r="H26" s="49"/>
      <x:c r="I26" s="48" t="n">
        <x:f>Model_Data!A26</x:f>
        <x:v>-48</x:v>
      </x:c>
      <x:c r="J26" s="48" t="n">
        <x:f>((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(0.45*SIN(2*PI()*(((Model_Data!A26)/Inputs!$C$49)+Inputs!$C$47*0.137))+0.35*COS(2*PI()*(((Inputs!$C$6)/Inputs!$C$50)+Inputs!$C$47*0.173))+0.20*SIN(2*PI()*(((Model_Data!A26)+(Inputs!$C$6))/(0.5*(Inputs!$C$49+Inputs!$C$50))+Inputs!$C$47*0.097)))+0.30*(2*((SIN(((Model_Data!A26)*12.9898+(Inputs!$C$6)*78.233+Inputs!$C$47*37.719))*43758.5453)-INT((SIN(((Model_Data!A26)*12.9898+(Inputs!$C$6)*78.233+Inputs!$C$47*37.719))*43758.5453)))-1))))-((Inputs!$C$51*(115*EXP(-(((0)-25)^2)/(4.5^2))+70*EXP(-(((0)+38)^2)/(7^2))*(0.55+0.45*SIN(2*PI()*(Model_Data!A26)/45))+24*SIN(2*PI()*(0)/9+(Model_Data!A26)/18)*EXP(-(((0)+5)^2)/(22^2))+18*SIN(2*PI()*(Model_Data!A26)/70))+Inputs!$C$28*EXP(-(((Model_Data!A26)-Inputs!$C$29)^2)/(2*Inputs!$C$31^2))*EXP(-(((0)-Inputs!$C$30)^2)/(2*Inputs!$C$32^2))+-Inputs!$C$33*EXP(-(((((Model_Data!A26)-Inputs!$C$34)^2)+(((0)-Inputs!$C$35)^2))/(2*Inputs!$C$36^2)))+Inputs!$C$37*(0.55*SIN(2*PI()*(Model_Data!A26)/Inputs!$C$39)+0.35*COS(2*PI()*(0)/Inputs!$C$40)+0.2*SIN(2*PI()*((Model_Data!A26)+(0))/(0.5*(Inputs!$C$39+Inputs!$C$40))))+Inputs!$C$38*SIN(2*PI()*(Model_Data!A26)/Inputs!$C$39)*SIN(2*PI()*(0)/Inputs!$C$40)+-Inputs!$C$41*EXP(-(((0)-Inputs!$C$43)^2)/(2*Inputs!$C$44^2))*EXP(-(((Model_Data!A26)-Inputs!$C$42)^2)/(2*Inputs!$C$45^2))+Inputs!$C$48*(0.70*(0.45*SIN(2*PI()*(((Model_Data!A26)/Inputs!$C$49)+Inputs!$C$47*0.137))+0.35*COS(2*PI()*(((0)/Inputs!$C$50)+Inputs!$C$47*0.173))+0.20*SIN(2*PI()*(((Model_Data!A26)+(0))/(0.5*(Inputs!$C$49+Inputs!$C$50))+Inputs!$C$47*0.097)))+0.30*(2*((SIN(((Model_Data!A26)*12.9898+(0)*78.233+Inputs!$C$47*37.719))*43758.5453)-INT((SIN(((Model_Data!A26)*12.9898+(0)*78.233+Inputs!$C$47*37.719))*43758.5453)))-1))))</x:f>
        <x:v>197.95996874713023</x:v>
      </x:c>
      <x:c r="K26" s="48" t="n">
        <x:f>-((((SQRT((Model_Data!A26)^2+Inputs!$C$6^2+((Model_Data!B26)-((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(0.45*SIN(2*PI()*(((Model_Data!A26)/Inputs!$C$49)+Inputs!$C$47*0.137))+0.35*COS(2*PI()*(((Inputs!$C$6)/Inputs!$C$50)+Inputs!$C$47*0.173))+0.20*SIN(2*PI()*(((Model_Data!A26)+(Inputs!$C$6))/(0.5*(Inputs!$C$49+Inputs!$C$50))+Inputs!$C$47*0.097)))+0.30*(2*((SIN(((Model_Data!A26)*12.9898+(Inputs!$C$6)*78.233+Inputs!$C$47*37.719))*43758.5453)-INT((SIN(((Model_Data!A26)*12.9898+(Inputs!$C$6)*78.233+Inputs!$C$47*37.719))*43758.5453)))-1))))/1000)^2))-(((Model_Data!B26)-((Inputs!$C$51*(115*EXP(-(((0)-25)^2)/(4.5^2))+70*EXP(-(((0)+38)^2)/(7^2))*(0.55+0.45*SIN(2*PI()*(Model_Data!A26)/45))+24*SIN(2*PI()*(0)/9+(Model_Data!A26)/18)*EXP(-(((0)+5)^2)/(22^2))+18*SIN(2*PI()*(Model_Data!A26)/70))+Inputs!$C$28*EXP(-(((Model_Data!A26)-Inputs!$C$29)^2)/(2*Inputs!$C$31^2))*EXP(-(((0)-Inputs!$C$30)^2)/(2*Inputs!$C$32^2))+-Inputs!$C$33*EXP(-(((((Model_Data!A26)-Inputs!$C$34)^2)+(((0)-Inputs!$C$35)^2))/(2*Inputs!$C$36^2)))+Inputs!$C$37*(0.55*SIN(2*PI()*(Model_Data!A26)/Inputs!$C$39)+0.35*COS(2*PI()*(0)/Inputs!$C$40)+0.2*SIN(2*PI()*((Model_Data!A26)+(0))/(0.5*(Inputs!$C$39+Inputs!$C$40))))+Inputs!$C$38*SIN(2*PI()*(Model_Data!A26)/Inputs!$C$39)*SIN(2*PI()*(0)/Inputs!$C$40)+-Inputs!$C$41*EXP(-(((0)-Inputs!$C$43)^2)/(2*Inputs!$C$44^2))*EXP(-(((Model_Data!A26)-Inputs!$C$42)^2)/(2*Inputs!$C$45^2))+Inputs!$C$48*(0.70*(0.45*SIN(2*PI()*(((Model_Data!A26)/Inputs!$C$49)+Inputs!$C$47*0.137))+0.35*COS(2*PI()*(((0)/Inputs!$C$50)+Inputs!$C$47*0.173))+0.20*SIN(2*PI()*(((Model_Data!A26)+(0))/(0.5*(Inputs!$C$49+Inputs!$C$50))+Inputs!$C$47*0.097)))+0.30*(2*((SIN(((Model_Data!A26)*12.9898+(0)*78.233+Inputs!$C$47*37.719))*43758.5453)-INT((SIN(((Model_Data!A26)*12.9898+(0)*78.233+Inputs!$C$47*37.719))*43758.5453)))-1))))/1000)))*1000/Inputs!$C$12)-Model_Data!F26)</x:f>
        <x:v>109.94215421643707</x:v>
      </x:c>
      <x:c r="L26" s="49"/>
      <x:c r="M26" s="48" t="n">
        <x:f>Model_Data!A26</x:f>
        <x:v>-48</x:v>
      </x:c>
      <x:c r="N26" s="48" t="n">
        <x:f>Model_Data!P26</x:f>
        <x:v>358.22288909368314</x:v>
      </x:c>
      <x:c r="O26" s="48" t="n">
        <x:f>AC26</x:f>
        <x:v>354.01723719560323</x:v>
      </x:c>
      <x:c r="P26" s="48" t="n">
        <x:f>Model_Data!Q26</x:f>
        <x:v>53.78722058463711</x:v>
      </x:c>
      <x:c r="Q26" s="48" t="n">
        <x:f>AD26</x:f>
        <x:v>53.15574132066115</x:v>
      </x:c>
      <x:c r="R26" s="49"/>
      <x:c r="S26" s="48" t="n">
        <x:f>Model_Data!A26</x:f>
        <x:v>-48</x:v>
      </x:c>
      <x:c r="T26" s="48" t="n">
        <x:f>Model_Data!B26-Inputs!$C$5</x:f>
        <x:v>2.5600000000000023</x:v>
      </x:c>
      <x:c r="U26" s="49"/>
      <x:c r="V26" s="48" t="n">
        <x:f>Model_Data!A26</x:f>
        <x:v>-48</x:v>
      </x:c>
      <x:c r="W26" s="48" t="n">
        <x:f>(-((((SQRT((Model_Data!A26)^2+Inputs!$C$6^2+((Model_Data!B26)-((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(0.45*SIN(2*PI()*(((Model_Data!A26)/Inputs!$C$49)+Inputs!$C$47*0.137))+0.35*COS(2*PI()*(((Inputs!$C$6)/Inputs!$C$50)+Inputs!$C$47*0.173))+0.20*SIN(2*PI()*(((Model_Data!A26)+(Inputs!$C$6))/(0.5*(Inputs!$C$49+Inputs!$C$50))+Inputs!$C$47*0.097)))+0.30*(2*((SIN(((Model_Data!A26)*12.9898+(Inputs!$C$6)*78.233+Inputs!$C$47*37.719))*43758.5453)-INT((SIN(((Model_Data!A26)*12.9898+(Inputs!$C$6)*78.233+Inputs!$C$47*37.719))*43758.5453)))-1))))/1000)^2))-(((Model_Data!B26)-((Inputs!$C$51*(115*EXP(-(((0)-25)^2)/(4.5^2))+70*EXP(-(((0)+38)^2)/(7^2))*(0.55+0.45*SIN(2*PI()*(Model_Data!A26)/45))+24*SIN(2*PI()*(0)/9+(Model_Data!A26)/18)*EXP(-(((0)+5)^2)/(22^2))+18*SIN(2*PI()*(Model_Data!A26)/70))+Inputs!$C$28*EXP(-(((Model_Data!A26)-Inputs!$C$29)^2)/(2*Inputs!$C$31^2))*EXP(-(((0)-Inputs!$C$30)^2)/(2*Inputs!$C$32^2))+-Inputs!$C$33*EXP(-(((((Model_Data!A26)-Inputs!$C$34)^2)+(((0)-Inputs!$C$35)^2))/(2*Inputs!$C$36^2)))+Inputs!$C$37*(0.55*SIN(2*PI()*(Model_Data!A26)/Inputs!$C$39)+0.35*COS(2*PI()*(0)/Inputs!$C$40)+0.2*SIN(2*PI()*((Model_Data!A26)+(0))/(0.5*(Inputs!$C$39+Inputs!$C$40))))+Inputs!$C$38*SIN(2*PI()*(Model_Data!A26)/Inputs!$C$39)*SIN(2*PI()*(0)/Inputs!$C$40)+-Inputs!$C$41*EXP(-(((0)-Inputs!$C$43)^2)/(2*Inputs!$C$44^2))*EXP(-(((Model_Data!A26)-Inputs!$C$42)^2)/(2*Inputs!$C$45^2))+Inputs!$C$48*(0.70*(0.45*SIN(2*PI()*(((Model_Data!A26)/Inputs!$C$49)+Inputs!$C$47*0.137))+0.35*COS(2*PI()*(((0)/Inputs!$C$50)+Inputs!$C$47*0.173))+0.20*SIN(2*PI()*(((Model_Data!A26)+(0))/(0.5*(Inputs!$C$49+Inputs!$C$50))+Inputs!$C$47*0.097)))+0.30*(2*((SIN(((Model_Data!A26)*12.9898+(0)*78.233+Inputs!$C$47*37.719))*43758.5453)-INT((SIN(((Model_Data!A26)*12.9898+(0)*78.233+Inputs!$C$47*37.719))*43758.5453)))-1))))/1000)))*1000/Inputs!$C$12)-Model_Data!F26))-(-(((SQRT((Model_Data!A26)^2+Inputs!$C$6^2+(Inputs!$C$5-((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(0.45*SIN(2*PI()*(((Model_Data!A26)/Inputs!$C$49)+Inputs!$C$47*0.137))+0.35*COS(2*PI()*(((Inputs!$C$6)/Inputs!$C$50)+Inputs!$C$47*0.173))+0.20*SIN(2*PI()*(((Model_Data!A26)+(Inputs!$C$6))/(0.5*(Inputs!$C$49+Inputs!$C$50))+Inputs!$C$47*0.097)))+0.30*(2*((SIN(((Model_Data!A26)*12.9898+(Inputs!$C$6)*78.233+Inputs!$C$47*37.719))*43758.5453)-INT((SIN(((Model_Data!A26)*12.9898+(Inputs!$C$6)*78.233+Inputs!$C$47*37.719))*43758.5453)))-1))))/1000)^2)-(Inputs!$C$5-((Inputs!$C$51*(115*EXP(-(((0)-25)^2)/(4.5^2))+70*EXP(-(((0)+38)^2)/(7^2))*(0.55+0.45*SIN(2*PI()*(Model_Data!A26)/45))+24*SIN(2*PI()*(0)/9+(Model_Data!A26)/18)*EXP(-(((0)+5)^2)/(22^2))+18*SIN(2*PI()*(Model_Data!A26)/70))+Inputs!$C$28*EXP(-(((Model_Data!A26)-Inputs!$C$29)^2)/(2*Inputs!$C$31^2))*EXP(-(((0)-Inputs!$C$30)^2)/(2*Inputs!$C$32^2))+-Inputs!$C$33*EXP(-(((((Model_Data!A26)-Inputs!$C$34)^2)+(((0)-Inputs!$C$35)^2))/(2*Inputs!$C$36^2)))+Inputs!$C$37*(0.55*SIN(2*PI()*(Model_Data!A26)/Inputs!$C$39)+0.35*COS(2*PI()*(0)/Inputs!$C$40)+0.2*SIN(2*PI()*((Model_Data!A26)+(0))/(0.5*(Inputs!$C$39+Inputs!$C$40))))+Inputs!$C$38*SIN(2*PI()*(Model_Data!A26)/Inputs!$C$39)*SIN(2*PI()*(0)/Inputs!$C$40)+-Inputs!$C$41*EXP(-(((0)-Inputs!$C$43)^2)/(2*Inputs!$C$44^2))*EXP(-(((Model_Data!A26)-Inputs!$C$42)^2)/(2*Inputs!$C$45^2))+Inputs!$C$48*(0.70*(0.45*SIN(2*PI()*(((Model_Data!A26)/Inputs!$C$49)+Inputs!$C$47*0.137))+0.35*COS(2*PI()*(((0)/Inputs!$C$50)+Inputs!$C$47*0.173))+0.20*SIN(2*PI()*(((Model_Data!A26)+(0))/(0.5*(Inputs!$C$49+Inputs!$C$50))+Inputs!$C$47*0.097)))+0.30*(2*((SIN(((Model_Data!A26)*12.9898+(0)*78.233+Inputs!$C$47*37.719))*43758.5453)-INT((SIN(((Model_Data!A26)*12.9898+(0)*78.233+Inputs!$C$47*37.719))*43758.5453)))-1))))/1000))*1000/Inputs!$C$12)-((SQRT((Model_Data!A26)^2+Inputs!$C$6^2+Inputs!$C$5^2)-Inputs!$C$5)*1000/Inputs!$C$12)))</x:f>
        <x:v>0.016109403381278753</x:v>
      </x:c>
      <x:c r="X26" s="48" t="n">
        <x:f>0</x:f>
        <x:v>0</x:v>
      </x:c>
      <x:c r="Y26" s="49"/>
      <x:c r="Z26" s="48" t="n">
        <x:f>Model_Data!A26</x:f>
        <x:v>-48</x:v>
      </x:c>
      <x:c r="AA26" s="48" t="n">
        <x:f>SQRT((Model_Data!A26)^2+Inputs!$C$6^2+((Model_Data!B26)-((Inputs!$C$51*(115*EXP(-(((Inputs!$C$6)-25)^2)/(4.5^2))+70*EXP(-(((Inputs!$C$6)+38)^2)/(7^2))*(0.55+0.45*SIN(2*PI()*(Model_Data!A26)/45))+24*SIN(2*PI()*(Inputs!$C$6)/9+(Model_Data!A26)/18)*EXP(-(((Inputs!$C$6)+5)^2)/(22^2))+18*SIN(2*PI()*(Model_Data!A26)/70))+Inputs!$C$28*EXP(-(((Model_Data!A26)-Inputs!$C$29)^2)/(2*Inputs!$C$31^2))*EXP(-(((Inputs!$C$6)-Inputs!$C$30)^2)/(2*Inputs!$C$32^2))+-Inputs!$C$33*EXP(-(((((Model_Data!A26)-Inputs!$C$34)^2)+(((Inputs!$C$6)-Inputs!$C$35)^2))/(2*Inputs!$C$36^2)))+Inputs!$C$37*(0.55*SIN(2*PI()*(Model_Data!A26)/Inputs!$C$39)+0.35*COS(2*PI()*(Inputs!$C$6)/Inputs!$C$40)+0.2*SIN(2*PI()*((Model_Data!A26)+(Inputs!$C$6))/(0.5*(Inputs!$C$39+Inputs!$C$40))))+Inputs!$C$38*SIN(2*PI()*(Model_Data!A26)/Inputs!$C$39)*SIN(2*PI()*(Inputs!$C$6)/Inputs!$C$40)+-Inputs!$C$41*EXP(-(((Inputs!$C$6)-Inputs!$C$43)^2)/(2*Inputs!$C$44^2))*EXP(-(((Model_Data!A26)-Inputs!$C$42)^2)/(2*Inputs!$C$45^2))+Inputs!$C$48*(0.70*(0.45*SIN(2*PI()*(((Model_Data!A26)/Inputs!$C$49)+Inputs!$C$47*0.137))+0.35*COS(2*PI()*(((Inputs!$C$6)/Inputs!$C$50)+Inputs!$C$47*0.173))+0.20*SIN(2*PI()*(((Model_Data!A26)+(Inputs!$C$6))/(0.5*(Inputs!$C$49+Inputs!$C$50))+Inputs!$C$47*0.097)))+0.30*(2*((SIN(((Model_Data!A26)*12.9898+(Inputs!$C$6)*78.233+Inputs!$C$47*37.719))*43758.5453)-INT((SIN(((Model_Data!A26)*12.9898+(Inputs!$C$6)*78.233+Inputs!$C$47*37.719))*43758.5453)))-1))))/1000)^2)</x:f>
        <x:v>405.93030151983066</x:v>
      </x:c>
      <x:c r="AB26" s="48" t="n">
        <x:f>1000*(AA27-AA25)/(Z27-Z25)*Inputs!$C$11</x:f>
        <x:v>-885.0430929890081</x:v>
      </x:c>
      <x:c r="AC26" s="48" t="n">
        <x:f>-2*AB26/Inputs!$C$13</x:f>
        <x:v>354.01723719560323</x:v>
      </x:c>
      <x:c r="AD26" s="48" t="n">
        <x:f>-2*AB26/Inputs!$C$14</x:f>
        <x:v>53.15574132066115</x:v>
      </x:c>
    </x:row>
    <x:row r="27">
      <x:c r="A27" s="48" t="n">
        <x:f>Model_Data!A27</x:f>
        <x:v>-47.5</x:v>
      </x:c>
      <x:c r="B27" s="48" t="n">
        <x:f>Model_Data!F27</x:f>
        <x:v>2001.8863775912891</x:v>
      </x:c>
      <x:c r="C27" s="48" t="n">
        <x:f>(((SQRT((Model_Data!A27)^2+Inputs!$C$6^2+((Model_Data!B27)-((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(0.45*SIN(2*PI()*(((Model_Data!A27)/Inputs!$C$49)+Inputs!$C$47*0.137))+0.35*COS(2*PI()*(((Inputs!$C$6)/Inputs!$C$50)+Inputs!$C$47*0.173))+0.20*SIN(2*PI()*(((Model_Data!A27)+(Inputs!$C$6))/(0.5*(Inputs!$C$49+Inputs!$C$50))+Inputs!$C$47*0.097)))+0.30*(2*((SIN(((Model_Data!A27)*12.9898+(Inputs!$C$6)*78.233+Inputs!$C$47*37.719))*43758.5453)-INT((SIN(((Model_Data!A27)*12.9898+(Inputs!$C$6)*78.233+Inputs!$C$47*37.719))*43758.5453)))-1))))/1000)^2))-(((Model_Data!B27)-((Inputs!$C$51*(115*EXP(-(((0)-25)^2)/(4.5^2))+70*EXP(-(((0)+38)^2)/(7^2))*(0.55+0.45*SIN(2*PI()*(Model_Data!A27)/45))+24*SIN(2*PI()*(0)/9+(Model_Data!A27)/18)*EXP(-(((0)+5)^2)/(22^2))+18*SIN(2*PI()*(Model_Data!A27)/70))+Inputs!$C$28*EXP(-(((Model_Data!A27)-Inputs!$C$29)^2)/(2*Inputs!$C$31^2))*EXP(-(((0)-Inputs!$C$30)^2)/(2*Inputs!$C$32^2))+-Inputs!$C$33*EXP(-(((((Model_Data!A27)-Inputs!$C$34)^2)+(((0)-Inputs!$C$35)^2))/(2*Inputs!$C$36^2)))+Inputs!$C$37*(0.55*SIN(2*PI()*(Model_Data!A27)/Inputs!$C$39)+0.35*COS(2*PI()*(0)/Inputs!$C$40)+0.2*SIN(2*PI()*((Model_Data!A27)+(0))/(0.5*(Inputs!$C$39+Inputs!$C$40))))+Inputs!$C$38*SIN(2*PI()*(Model_Data!A27)/Inputs!$C$39)*SIN(2*PI()*(0)/Inputs!$C$40)+-Inputs!$C$41*EXP(-(((0)-Inputs!$C$43)^2)/(2*Inputs!$C$44^2))*EXP(-(((Model_Data!A27)-Inputs!$C$42)^2)/(2*Inputs!$C$45^2))+Inputs!$C$48*(0.70*(0.45*SIN(2*PI()*(((Model_Data!A27)/Inputs!$C$49)+Inputs!$C$47*0.137))+0.35*COS(2*PI()*(((0)/Inputs!$C$50)+Inputs!$C$47*0.173))+0.20*SIN(2*PI()*(((Model_Data!A27)+(0))/(0.5*(Inputs!$C$49+Inputs!$C$50))+Inputs!$C$47*0.097)))+0.30*(2*((SIN(((Model_Data!A27)*12.9898+(0)*78.233+Inputs!$C$47*37.719))*43758.5453)-INT((SIN(((Model_Data!A27)*12.9898+(0)*78.233+Inputs!$C$47*37.719))*43758.5453)))-1))))/1000)))*1000/Inputs!$C$12)</x:f>
        <x:v>1885.890498158492</x:v>
      </x:c>
      <x:c r="D27" s="49"/>
      <x:c r="E27" s="48" t="n">
        <x:f>Model_Data!A27</x:f>
        <x:v>-47.5</x:v>
      </x:c>
      <x:c r="F27" s="48" t="n">
        <x:f>(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(0.45*SIN(2*PI()*(((Model_Data!A27)/Inputs!$C$49)+Inputs!$C$47*0.137))+0.35*COS(2*PI()*(((Inputs!$C$6)/Inputs!$C$50)+Inputs!$C$47*0.173))+0.20*SIN(2*PI()*(((Model_Data!A27)+(Inputs!$C$6))/(0.5*(Inputs!$C$49+Inputs!$C$50))+Inputs!$C$47*0.097)))+0.30*(2*((SIN(((Model_Data!A27)*12.9898+(Inputs!$C$6)*78.233+Inputs!$C$47*37.719))*43758.5453)-INT((SIN(((Model_Data!A27)*12.9898+(Inputs!$C$6)*78.233+Inputs!$C$47*37.719))*43758.5453)))-1)))</x:f>
        <x:v>262.7548434853875</x:v>
      </x:c>
      <x:c r="G27" s="48" t="n">
        <x:f>(Inputs!$C$51*(115*EXP(-(((0)-25)^2)/(4.5^2))+70*EXP(-(((0)+38)^2)/(7^2))*(0.55+0.45*SIN(2*PI()*(Model_Data!A27)/45))+24*SIN(2*PI()*(0)/9+(Model_Data!A27)/18)*EXP(-(((0)+5)^2)/(22^2))+18*SIN(2*PI()*(Model_Data!A27)/70))+Inputs!$C$28*EXP(-(((Model_Data!A27)-Inputs!$C$29)^2)/(2*Inputs!$C$31^2))*EXP(-(((0)-Inputs!$C$30)^2)/(2*Inputs!$C$32^2))+-Inputs!$C$33*EXP(-(((((Model_Data!A27)-Inputs!$C$34)^2)+(((0)-Inputs!$C$35)^2))/(2*Inputs!$C$36^2)))+Inputs!$C$37*(0.55*SIN(2*PI()*(Model_Data!A27)/Inputs!$C$39)+0.35*COS(2*PI()*(0)/Inputs!$C$40)+0.2*SIN(2*PI()*((Model_Data!A27)+(0))/(0.5*(Inputs!$C$39+Inputs!$C$40))))+Inputs!$C$38*SIN(2*PI()*(Model_Data!A27)/Inputs!$C$39)*SIN(2*PI()*(0)/Inputs!$C$40)+-Inputs!$C$41*EXP(-(((0)-Inputs!$C$43)^2)/(2*Inputs!$C$44^2))*EXP(-(((Model_Data!A27)-Inputs!$C$42)^2)/(2*Inputs!$C$45^2))+Inputs!$C$48*(0.70*(0.45*SIN(2*PI()*(((Model_Data!A27)/Inputs!$C$49)+Inputs!$C$47*0.137))+0.35*COS(2*PI()*(((0)/Inputs!$C$50)+Inputs!$C$47*0.173))+0.20*SIN(2*PI()*(((Model_Data!A27)+(0))/(0.5*(Inputs!$C$49+Inputs!$C$50))+Inputs!$C$47*0.097)))+0.30*(2*((SIN(((Model_Data!A27)*12.9898+(0)*78.233+Inputs!$C$47*37.719))*43758.5453)-INT((SIN(((Model_Data!A27)*12.9898+(0)*78.233+Inputs!$C$47*37.719))*43758.5453)))-1)))</x:f>
        <x:v>53.974959185609514</x:v>
      </x:c>
      <x:c r="H27" s="49"/>
      <x:c r="I27" s="48" t="n">
        <x:f>Model_Data!A27</x:f>
        <x:v>-47.5</x:v>
      </x:c>
      <x:c r="J27" s="48" t="n">
        <x:f>((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(0.45*SIN(2*PI()*(((Model_Data!A27)/Inputs!$C$49)+Inputs!$C$47*0.137))+0.35*COS(2*PI()*(((Inputs!$C$6)/Inputs!$C$50)+Inputs!$C$47*0.173))+0.20*SIN(2*PI()*(((Model_Data!A27)+(Inputs!$C$6))/(0.5*(Inputs!$C$49+Inputs!$C$50))+Inputs!$C$47*0.097)))+0.30*(2*((SIN(((Model_Data!A27)*12.9898+(Inputs!$C$6)*78.233+Inputs!$C$47*37.719))*43758.5453)-INT((SIN(((Model_Data!A27)*12.9898+(Inputs!$C$6)*78.233+Inputs!$C$47*37.719))*43758.5453)))-1))))-((Inputs!$C$51*(115*EXP(-(((0)-25)^2)/(4.5^2))+70*EXP(-(((0)+38)^2)/(7^2))*(0.55+0.45*SIN(2*PI()*(Model_Data!A27)/45))+24*SIN(2*PI()*(0)/9+(Model_Data!A27)/18)*EXP(-(((0)+5)^2)/(22^2))+18*SIN(2*PI()*(Model_Data!A27)/70))+Inputs!$C$28*EXP(-(((Model_Data!A27)-Inputs!$C$29)^2)/(2*Inputs!$C$31^2))*EXP(-(((0)-Inputs!$C$30)^2)/(2*Inputs!$C$32^2))+-Inputs!$C$33*EXP(-(((((Model_Data!A27)-Inputs!$C$34)^2)+(((0)-Inputs!$C$35)^2))/(2*Inputs!$C$36^2)))+Inputs!$C$37*(0.55*SIN(2*PI()*(Model_Data!A27)/Inputs!$C$39)+0.35*COS(2*PI()*(0)/Inputs!$C$40)+0.2*SIN(2*PI()*((Model_Data!A27)+(0))/(0.5*(Inputs!$C$39+Inputs!$C$40))))+Inputs!$C$38*SIN(2*PI()*(Model_Data!A27)/Inputs!$C$39)*SIN(2*PI()*(0)/Inputs!$C$40)+-Inputs!$C$41*EXP(-(((0)-Inputs!$C$43)^2)/(2*Inputs!$C$44^2))*EXP(-(((Model_Data!A27)-Inputs!$C$42)^2)/(2*Inputs!$C$45^2))+Inputs!$C$48*(0.70*(0.45*SIN(2*PI()*(((Model_Data!A27)/Inputs!$C$49)+Inputs!$C$47*0.137))+0.35*COS(2*PI()*(((0)/Inputs!$C$50)+Inputs!$C$47*0.173))+0.20*SIN(2*PI()*(((Model_Data!A27)+(0))/(0.5*(Inputs!$C$49+Inputs!$C$50))+Inputs!$C$47*0.097)))+0.30*(2*((SIN(((Model_Data!A27)*12.9898+(0)*78.233+Inputs!$C$47*37.719))*43758.5453)-INT((SIN(((Model_Data!A27)*12.9898+(0)*78.233+Inputs!$C$47*37.719))*43758.5453)))-1))))</x:f>
        <x:v>208.77988429977796</x:v>
      </x:c>
      <x:c r="K27" s="48" t="n">
        <x:f>-((((SQRT((Model_Data!A27)^2+Inputs!$C$6^2+((Model_Data!B27)-((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(0.45*SIN(2*PI()*(((Model_Data!A27)/Inputs!$C$49)+Inputs!$C$47*0.137))+0.35*COS(2*PI()*(((Inputs!$C$6)/Inputs!$C$50)+Inputs!$C$47*0.173))+0.20*SIN(2*PI()*(((Model_Data!A27)+(Inputs!$C$6))/(0.5*(Inputs!$C$49+Inputs!$C$50))+Inputs!$C$47*0.097)))+0.30*(2*((SIN(((Model_Data!A27)*12.9898+(Inputs!$C$6)*78.233+Inputs!$C$47*37.719))*43758.5453)-INT((SIN(((Model_Data!A27)*12.9898+(Inputs!$C$6)*78.233+Inputs!$C$47*37.719))*43758.5453)))-1))))/1000)^2))-(((Model_Data!B27)-((Inputs!$C$51*(115*EXP(-(((0)-25)^2)/(4.5^2))+70*EXP(-(((0)+38)^2)/(7^2))*(0.55+0.45*SIN(2*PI()*(Model_Data!A27)/45))+24*SIN(2*PI()*(0)/9+(Model_Data!A27)/18)*EXP(-(((0)+5)^2)/(22^2))+18*SIN(2*PI()*(Model_Data!A27)/70))+Inputs!$C$28*EXP(-(((Model_Data!A27)-Inputs!$C$29)^2)/(2*Inputs!$C$31^2))*EXP(-(((0)-Inputs!$C$30)^2)/(2*Inputs!$C$32^2))+-Inputs!$C$33*EXP(-(((((Model_Data!A27)-Inputs!$C$34)^2)+(((0)-Inputs!$C$35)^2))/(2*Inputs!$C$36^2)))+Inputs!$C$37*(0.55*SIN(2*PI()*(Model_Data!A27)/Inputs!$C$39)+0.35*COS(2*PI()*(0)/Inputs!$C$40)+0.2*SIN(2*PI()*((Model_Data!A27)+(0))/(0.5*(Inputs!$C$39+Inputs!$C$40))))+Inputs!$C$38*SIN(2*PI()*(Model_Data!A27)/Inputs!$C$39)*SIN(2*PI()*(0)/Inputs!$C$40)+-Inputs!$C$41*EXP(-(((0)-Inputs!$C$43)^2)/(2*Inputs!$C$44^2))*EXP(-(((Model_Data!A27)-Inputs!$C$42)^2)/(2*Inputs!$C$45^2))+Inputs!$C$48*(0.70*(0.45*SIN(2*PI()*(((Model_Data!A27)/Inputs!$C$49)+Inputs!$C$47*0.137))+0.35*COS(2*PI()*(((0)/Inputs!$C$50)+Inputs!$C$47*0.173))+0.20*SIN(2*PI()*(((Model_Data!A27)+(0))/(0.5*(Inputs!$C$49+Inputs!$C$50))+Inputs!$C$47*0.097)))+0.30*(2*((SIN(((Model_Data!A27)*12.9898+(0)*78.233+Inputs!$C$47*37.719))*43758.5453)-INT((SIN(((Model_Data!A27)*12.9898+(0)*78.233+Inputs!$C$47*37.719))*43758.5453)))-1))))/1000)))*1000/Inputs!$C$12)-Model_Data!F27)</x:f>
        <x:v>115.99587943279721</x:v>
      </x:c>
      <x:c r="L27" s="49"/>
      <x:c r="M27" s="48" t="n">
        <x:f>Model_Data!A27</x:f>
        <x:v>-47.5</x:v>
      </x:c>
      <x:c r="N27" s="48" t="n">
        <x:f>Model_Data!P27</x:f>
        <x:v>354.5665611064348</x:v>
      </x:c>
      <x:c r="O27" s="48" t="n">
        <x:f>AC27</x:f>
        <x:v>355.12089693975213</x:v>
      </x:c>
      <x:c r="P27" s="48" t="n">
        <x:f>Model_Data!Q27</x:f>
        <x:v>53.23822238835358</x:v>
      </x:c>
      <x:c r="Q27" s="48" t="n">
        <x:f>AD27</x:f>
        <x:v>53.321455996959784</x:v>
      </x:c>
      <x:c r="R27" s="49"/>
      <x:c r="S27" s="48" t="n">
        <x:f>Model_Data!A27</x:f>
        <x:v>-47.5</x:v>
      </x:c>
      <x:c r="T27" s="48" t="n">
        <x:f>Model_Data!B27-Inputs!$C$5</x:f>
        <x:v>2.506944444444457</x:v>
      </x:c>
      <x:c r="U27" s="49"/>
      <x:c r="V27" s="48" t="n">
        <x:f>Model_Data!A27</x:f>
        <x:v>-47.5</x:v>
      </x:c>
      <x:c r="W27" s="48" t="n">
        <x:f>(-((((SQRT((Model_Data!A27)^2+Inputs!$C$6^2+((Model_Data!B27)-((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(0.45*SIN(2*PI()*(((Model_Data!A27)/Inputs!$C$49)+Inputs!$C$47*0.137))+0.35*COS(2*PI()*(((Inputs!$C$6)/Inputs!$C$50)+Inputs!$C$47*0.173))+0.20*SIN(2*PI()*(((Model_Data!A27)+(Inputs!$C$6))/(0.5*(Inputs!$C$49+Inputs!$C$50))+Inputs!$C$47*0.097)))+0.30*(2*((SIN(((Model_Data!A27)*12.9898+(Inputs!$C$6)*78.233+Inputs!$C$47*37.719))*43758.5453)-INT((SIN(((Model_Data!A27)*12.9898+(Inputs!$C$6)*78.233+Inputs!$C$47*37.719))*43758.5453)))-1))))/1000)^2))-(((Model_Data!B27)-((Inputs!$C$51*(115*EXP(-(((0)-25)^2)/(4.5^2))+70*EXP(-(((0)+38)^2)/(7^2))*(0.55+0.45*SIN(2*PI()*(Model_Data!A27)/45))+24*SIN(2*PI()*(0)/9+(Model_Data!A27)/18)*EXP(-(((0)+5)^2)/(22^2))+18*SIN(2*PI()*(Model_Data!A27)/70))+Inputs!$C$28*EXP(-(((Model_Data!A27)-Inputs!$C$29)^2)/(2*Inputs!$C$31^2))*EXP(-(((0)-Inputs!$C$30)^2)/(2*Inputs!$C$32^2))+-Inputs!$C$33*EXP(-(((((Model_Data!A27)-Inputs!$C$34)^2)+(((0)-Inputs!$C$35)^2))/(2*Inputs!$C$36^2)))+Inputs!$C$37*(0.55*SIN(2*PI()*(Model_Data!A27)/Inputs!$C$39)+0.35*COS(2*PI()*(0)/Inputs!$C$40)+0.2*SIN(2*PI()*((Model_Data!A27)+(0))/(0.5*(Inputs!$C$39+Inputs!$C$40))))+Inputs!$C$38*SIN(2*PI()*(Model_Data!A27)/Inputs!$C$39)*SIN(2*PI()*(0)/Inputs!$C$40)+-Inputs!$C$41*EXP(-(((0)-Inputs!$C$43)^2)/(2*Inputs!$C$44^2))*EXP(-(((Model_Data!A27)-Inputs!$C$42)^2)/(2*Inputs!$C$45^2))+Inputs!$C$48*(0.70*(0.45*SIN(2*PI()*(((Model_Data!A27)/Inputs!$C$49)+Inputs!$C$47*0.137))+0.35*COS(2*PI()*(((0)/Inputs!$C$50)+Inputs!$C$47*0.173))+0.20*SIN(2*PI()*(((Model_Data!A27)+(0))/(0.5*(Inputs!$C$49+Inputs!$C$50))+Inputs!$C$47*0.097)))+0.30*(2*((SIN(((Model_Data!A27)*12.9898+(0)*78.233+Inputs!$C$47*37.719))*43758.5453)-INT((SIN(((Model_Data!A27)*12.9898+(0)*78.233+Inputs!$C$47*37.719))*43758.5453)))-1))))/1000)))*1000/Inputs!$C$12)-Model_Data!F27))-(-(((SQRT((Model_Data!A27)^2+Inputs!$C$6^2+(Inputs!$C$5-((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(0.45*SIN(2*PI()*(((Model_Data!A27)/Inputs!$C$49)+Inputs!$C$47*0.137))+0.35*COS(2*PI()*(((Inputs!$C$6)/Inputs!$C$50)+Inputs!$C$47*0.173))+0.20*SIN(2*PI()*(((Model_Data!A27)+(Inputs!$C$6))/(0.5*(Inputs!$C$49+Inputs!$C$50))+Inputs!$C$47*0.097)))+0.30*(2*((SIN(((Model_Data!A27)*12.9898+(Inputs!$C$6)*78.233+Inputs!$C$47*37.719))*43758.5453)-INT((SIN(((Model_Data!A27)*12.9898+(Inputs!$C$6)*78.233+Inputs!$C$47*37.719))*43758.5453)))-1))))/1000)^2)-(Inputs!$C$5-((Inputs!$C$51*(115*EXP(-(((0)-25)^2)/(4.5^2))+70*EXP(-(((0)+38)^2)/(7^2))*(0.55+0.45*SIN(2*PI()*(Model_Data!A27)/45))+24*SIN(2*PI()*(0)/9+(Model_Data!A27)/18)*EXP(-(((0)+5)^2)/(22^2))+18*SIN(2*PI()*(Model_Data!A27)/70))+Inputs!$C$28*EXP(-(((Model_Data!A27)-Inputs!$C$29)^2)/(2*Inputs!$C$31^2))*EXP(-(((0)-Inputs!$C$30)^2)/(2*Inputs!$C$32^2))+-Inputs!$C$33*EXP(-(((((Model_Data!A27)-Inputs!$C$34)^2)+(((0)-Inputs!$C$35)^2))/(2*Inputs!$C$36^2)))+Inputs!$C$37*(0.55*SIN(2*PI()*(Model_Data!A27)/Inputs!$C$39)+0.35*COS(2*PI()*(0)/Inputs!$C$40)+0.2*SIN(2*PI()*((Model_Data!A27)+(0))/(0.5*(Inputs!$C$39+Inputs!$C$40))))+Inputs!$C$38*SIN(2*PI()*(Model_Data!A27)/Inputs!$C$39)*SIN(2*PI()*(0)/Inputs!$C$40)+-Inputs!$C$41*EXP(-(((0)-Inputs!$C$43)^2)/(2*Inputs!$C$44^2))*EXP(-(((Model_Data!A27)-Inputs!$C$42)^2)/(2*Inputs!$C$45^2))+Inputs!$C$48*(0.70*(0.45*SIN(2*PI()*(((Model_Data!A27)/Inputs!$C$49)+Inputs!$C$47*0.137))+0.35*COS(2*PI()*(((0)/Inputs!$C$50)+Inputs!$C$47*0.173))+0.20*SIN(2*PI()*(((Model_Data!A27)+(0))/(0.5*(Inputs!$C$49+Inputs!$C$50))+Inputs!$C$47*0.097)))+0.30*(2*((SIN(((Model_Data!A27)*12.9898+(0)*78.233+Inputs!$C$47*37.719))*43758.5453)-INT((SIN(((Model_Data!A27)*12.9898+(0)*78.233+Inputs!$C$47*37.719))*43758.5453)))-1))))/1000))*1000/Inputs!$C$12)-((SQRT((Model_Data!A27)^2+Inputs!$C$6^2+Inputs!$C$5^2)-Inputs!$C$5)*1000/Inputs!$C$12)))</x:f>
        <x:v>0.01608690817306524</x:v>
      </x:c>
      <x:c r="X27" s="48" t="n">
        <x:f>0</x:f>
        <x:v>0</x:v>
      </x:c>
      <x:c r="Y27" s="49"/>
      <x:c r="Z27" s="48" t="n">
        <x:f>Model_Data!A27</x:f>
        <x:v>-47.5</x:v>
      </x:c>
      <x:c r="AA27" s="48" t="n">
        <x:f>SQRT((Model_Data!A27)^2+Inputs!$C$6^2+((Model_Data!B27)-((Inputs!$C$51*(115*EXP(-(((Inputs!$C$6)-25)^2)/(4.5^2))+70*EXP(-(((Inputs!$C$6)+38)^2)/(7^2))*(0.55+0.45*SIN(2*PI()*(Model_Data!A27)/45))+24*SIN(2*PI()*(Inputs!$C$6)/9+(Model_Data!A27)/18)*EXP(-(((Inputs!$C$6)+5)^2)/(22^2))+18*SIN(2*PI()*(Model_Data!A27)/70))+Inputs!$C$28*EXP(-(((Model_Data!A27)-Inputs!$C$29)^2)/(2*Inputs!$C$31^2))*EXP(-(((Inputs!$C$6)-Inputs!$C$30)^2)/(2*Inputs!$C$32^2))+-Inputs!$C$33*EXP(-(((((Model_Data!A27)-Inputs!$C$34)^2)+(((Inputs!$C$6)-Inputs!$C$35)^2))/(2*Inputs!$C$36^2)))+Inputs!$C$37*(0.55*SIN(2*PI()*(Model_Data!A27)/Inputs!$C$39)+0.35*COS(2*PI()*(Inputs!$C$6)/Inputs!$C$40)+0.2*SIN(2*PI()*((Model_Data!A27)+(Inputs!$C$6))/(0.5*(Inputs!$C$39+Inputs!$C$40))))+Inputs!$C$38*SIN(2*PI()*(Model_Data!A27)/Inputs!$C$39)*SIN(2*PI()*(Inputs!$C$6)/Inputs!$C$40)+-Inputs!$C$41*EXP(-(((Inputs!$C$6)-Inputs!$C$43)^2)/(2*Inputs!$C$44^2))*EXP(-(((Model_Data!A27)-Inputs!$C$42)^2)/(2*Inputs!$C$45^2))+Inputs!$C$48*(0.70*(0.45*SIN(2*PI()*(((Model_Data!A27)/Inputs!$C$49)+Inputs!$C$47*0.137))+0.35*COS(2*PI()*(((Inputs!$C$6)/Inputs!$C$50)+Inputs!$C$47*0.173))+0.20*SIN(2*PI()*(((Model_Data!A27)+(Inputs!$C$6))/(0.5*(Inputs!$C$49+Inputs!$C$50))+Inputs!$C$47*0.097)))+0.30*(2*((SIN(((Model_Data!A27)*12.9898+(Inputs!$C$6)*78.233+Inputs!$C$47*37.719))*43758.5453)-INT((SIN(((Model_Data!A27)*12.9898+(Inputs!$C$6)*78.233+Inputs!$C$47*37.719))*43758.5453)))-1))))/1000)^2)</x:f>
        <x:v>405.80985457198096</x:v>
      </x:c>
      <x:c r="AB27" s="48" t="n">
        <x:f>1000*(AA28-AA26)/(Z28-Z26)*Inputs!$C$11</x:f>
        <x:v>-887.8022423493803</x:v>
      </x:c>
      <x:c r="AC27" s="48" t="n">
        <x:f>-2*AB27/Inputs!$C$13</x:f>
        <x:v>355.12089693975213</x:v>
      </x:c>
      <x:c r="AD27" s="48" t="n">
        <x:f>-2*AB27/Inputs!$C$14</x:f>
        <x:v>53.321455996959784</x:v>
      </x:c>
    </x:row>
    <x:row r="28">
      <x:c r="A28" s="48" t="n">
        <x:f>Model_Data!A28</x:f>
        <x:v>-47</x:v>
      </x:c>
      <x:c r="B28" s="48" t="n">
        <x:f>Model_Data!F28</x:f>
        <x:v>1969.4535409394057</x:v>
      </x:c>
      <x:c r="C28" s="48" t="n">
        <x:f>(((SQRT((Model_Data!A28)^2+Inputs!$C$6^2+((Model_Data!B28)-((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(0.45*SIN(2*PI()*(((Model_Data!A28)/Inputs!$C$49)+Inputs!$C$47*0.137))+0.35*COS(2*PI()*(((Inputs!$C$6)/Inputs!$C$50)+Inputs!$C$47*0.173))+0.20*SIN(2*PI()*(((Model_Data!A28)+(Inputs!$C$6))/(0.5*(Inputs!$C$49+Inputs!$C$50))+Inputs!$C$47*0.097)))+0.30*(2*((SIN(((Model_Data!A28)*12.9898+(Inputs!$C$6)*78.233+Inputs!$C$47*37.719))*43758.5453)-INT((SIN(((Model_Data!A28)*12.9898+(Inputs!$C$6)*78.233+Inputs!$C$47*37.719))*43758.5453)))-1))))/1000)^2))-(((Model_Data!B28)-((Inputs!$C$51*(115*EXP(-(((0)-25)^2)/(4.5^2))+70*EXP(-(((0)+38)^2)/(7^2))*(0.55+0.45*SIN(2*PI()*(Model_Data!A28)/45))+24*SIN(2*PI()*(0)/9+(Model_Data!A28)/18)*EXP(-(((0)+5)^2)/(22^2))+18*SIN(2*PI()*(Model_Data!A28)/70))+Inputs!$C$28*EXP(-(((Model_Data!A28)-Inputs!$C$29)^2)/(2*Inputs!$C$31^2))*EXP(-(((0)-Inputs!$C$30)^2)/(2*Inputs!$C$32^2))+-Inputs!$C$33*EXP(-(((((Model_Data!A28)-Inputs!$C$34)^2)+(((0)-Inputs!$C$35)^2))/(2*Inputs!$C$36^2)))+Inputs!$C$37*(0.55*SIN(2*PI()*(Model_Data!A28)/Inputs!$C$39)+0.35*COS(2*PI()*(0)/Inputs!$C$40)+0.2*SIN(2*PI()*((Model_Data!A28)+(0))/(0.5*(Inputs!$C$39+Inputs!$C$40))))+Inputs!$C$38*SIN(2*PI()*(Model_Data!A28)/Inputs!$C$39)*SIN(2*PI()*(0)/Inputs!$C$40)+-Inputs!$C$41*EXP(-(((0)-Inputs!$C$43)^2)/(2*Inputs!$C$44^2))*EXP(-(((Model_Data!A28)-Inputs!$C$42)^2)/(2*Inputs!$C$45^2))+Inputs!$C$48*(0.70*(0.45*SIN(2*PI()*(((Model_Data!A28)/Inputs!$C$49)+Inputs!$C$47*0.137))+0.35*COS(2*PI()*(((0)/Inputs!$C$50)+Inputs!$C$47*0.173))+0.20*SIN(2*PI()*(((Model_Data!A28)+(0))/(0.5*(Inputs!$C$49+Inputs!$C$50))+Inputs!$C$47*0.097)))+0.30*(2*((SIN(((Model_Data!A28)*12.9898+(0)*78.233+Inputs!$C$47*37.719))*43758.5453)-INT((SIN(((Model_Data!A28)*12.9898+(0)*78.233+Inputs!$C$47*37.719))*43758.5453)))-1))))/1000)))*1000/Inputs!$C$12)</x:f>
        <x:v>1862.4269424419338</x:v>
      </x:c>
      <x:c r="D28" s="49"/>
      <x:c r="E28" s="48" t="n">
        <x:f>Model_Data!A28</x:f>
        <x:v>-47</x:v>
      </x:c>
      <x:c r="F28" s="48" t="n">
        <x:f>(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(0.45*SIN(2*PI()*(((Model_Data!A28)/Inputs!$C$49)+Inputs!$C$47*0.137))+0.35*COS(2*PI()*(((Inputs!$C$6)/Inputs!$C$50)+Inputs!$C$47*0.173))+0.20*SIN(2*PI()*(((Model_Data!A28)+(Inputs!$C$6))/(0.5*(Inputs!$C$49+Inputs!$C$50))+Inputs!$C$47*0.097)))+0.30*(2*((SIN(((Model_Data!A28)*12.9898+(Inputs!$C$6)*78.233+Inputs!$C$47*37.719))*43758.5453)-INT((SIN(((Model_Data!A28)*12.9898+(Inputs!$C$6)*78.233+Inputs!$C$47*37.719))*43758.5453)))-1)))</x:f>
        <x:v>253.91481019774176</x:v>
      </x:c>
      <x:c r="G28" s="48" t="n">
        <x:f>(Inputs!$C$51*(115*EXP(-(((0)-25)^2)/(4.5^2))+70*EXP(-(((0)+38)^2)/(7^2))*(0.55+0.45*SIN(2*PI()*(Model_Data!A28)/45))+24*SIN(2*PI()*(0)/9+(Model_Data!A28)/18)*EXP(-(((0)+5)^2)/(22^2))+18*SIN(2*PI()*(Model_Data!A28)/70))+Inputs!$C$28*EXP(-(((Model_Data!A28)-Inputs!$C$29)^2)/(2*Inputs!$C$31^2))*EXP(-(((0)-Inputs!$C$30)^2)/(2*Inputs!$C$32^2))+-Inputs!$C$33*EXP(-(((((Model_Data!A28)-Inputs!$C$34)^2)+(((0)-Inputs!$C$35)^2))/(2*Inputs!$C$36^2)))+Inputs!$C$37*(0.55*SIN(2*PI()*(Model_Data!A28)/Inputs!$C$39)+0.35*COS(2*PI()*(0)/Inputs!$C$40)+0.2*SIN(2*PI()*((Model_Data!A28)+(0))/(0.5*(Inputs!$C$39+Inputs!$C$40))))+Inputs!$C$38*SIN(2*PI()*(Model_Data!A28)/Inputs!$C$39)*SIN(2*PI()*(0)/Inputs!$C$40)+-Inputs!$C$41*EXP(-(((0)-Inputs!$C$43)^2)/(2*Inputs!$C$44^2))*EXP(-(((Model_Data!A28)-Inputs!$C$42)^2)/(2*Inputs!$C$45^2))+Inputs!$C$48*(0.70*(0.45*SIN(2*PI()*(((Model_Data!A28)/Inputs!$C$49)+Inputs!$C$47*0.137))+0.35*COS(2*PI()*(((0)/Inputs!$C$50)+Inputs!$C$47*0.173))+0.20*SIN(2*PI()*(((Model_Data!A28)+(0))/(0.5*(Inputs!$C$49+Inputs!$C$50))+Inputs!$C$47*0.097)))+0.30*(2*((SIN(((Model_Data!A28)*12.9898+(0)*78.233+Inputs!$C$47*37.719))*43758.5453)-INT((SIN(((Model_Data!A28)*12.9898+(0)*78.233+Inputs!$C$47*37.719))*43758.5453)))-1)))</x:f>
        <x:v>61.213442747759345</x:v>
      </x:c>
      <x:c r="H28" s="49"/>
      <x:c r="I28" s="48" t="n">
        <x:f>Model_Data!A28</x:f>
        <x:v>-47</x:v>
      </x:c>
      <x:c r="J28" s="48" t="n">
        <x:f>((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(0.45*SIN(2*PI()*(((Model_Data!A28)/Inputs!$C$49)+Inputs!$C$47*0.137))+0.35*COS(2*PI()*(((Inputs!$C$6)/Inputs!$C$50)+Inputs!$C$47*0.173))+0.20*SIN(2*PI()*(((Model_Data!A28)+(Inputs!$C$6))/(0.5*(Inputs!$C$49+Inputs!$C$50))+Inputs!$C$47*0.097)))+0.30*(2*((SIN(((Model_Data!A28)*12.9898+(Inputs!$C$6)*78.233+Inputs!$C$47*37.719))*43758.5453)-INT((SIN(((Model_Data!A28)*12.9898+(Inputs!$C$6)*78.233+Inputs!$C$47*37.719))*43758.5453)))-1))))-((Inputs!$C$51*(115*EXP(-(((0)-25)^2)/(4.5^2))+70*EXP(-(((0)+38)^2)/(7^2))*(0.55+0.45*SIN(2*PI()*(Model_Data!A28)/45))+24*SIN(2*PI()*(0)/9+(Model_Data!A28)/18)*EXP(-(((0)+5)^2)/(22^2))+18*SIN(2*PI()*(Model_Data!A28)/70))+Inputs!$C$28*EXP(-(((Model_Data!A28)-Inputs!$C$29)^2)/(2*Inputs!$C$31^2))*EXP(-(((0)-Inputs!$C$30)^2)/(2*Inputs!$C$32^2))+-Inputs!$C$33*EXP(-(((((Model_Data!A28)-Inputs!$C$34)^2)+(((0)-Inputs!$C$35)^2))/(2*Inputs!$C$36^2)))+Inputs!$C$37*(0.55*SIN(2*PI()*(Model_Data!A28)/Inputs!$C$39)+0.35*COS(2*PI()*(0)/Inputs!$C$40)+0.2*SIN(2*PI()*((Model_Data!A28)+(0))/(0.5*(Inputs!$C$39+Inputs!$C$40))))+Inputs!$C$38*SIN(2*PI()*(Model_Data!A28)/Inputs!$C$39)*SIN(2*PI()*(0)/Inputs!$C$40)+-Inputs!$C$41*EXP(-(((0)-Inputs!$C$43)^2)/(2*Inputs!$C$44^2))*EXP(-(((Model_Data!A28)-Inputs!$C$42)^2)/(2*Inputs!$C$45^2))+Inputs!$C$48*(0.70*(0.45*SIN(2*PI()*(((Model_Data!A28)/Inputs!$C$49)+Inputs!$C$47*0.137))+0.35*COS(2*PI()*(((0)/Inputs!$C$50)+Inputs!$C$47*0.173))+0.20*SIN(2*PI()*(((Model_Data!A28)+(0))/(0.5*(Inputs!$C$49+Inputs!$C$50))+Inputs!$C$47*0.097)))+0.30*(2*((SIN(((Model_Data!A28)*12.9898+(0)*78.233+Inputs!$C$47*37.719))*43758.5453)-INT((SIN(((Model_Data!A28)*12.9898+(0)*78.233+Inputs!$C$47*37.719))*43758.5453)))-1))))</x:f>
        <x:v>192.7013674499824</x:v>
      </x:c>
      <x:c r="K28" s="48" t="n">
        <x:f>-((((SQRT((Model_Data!A28)^2+Inputs!$C$6^2+((Model_Data!B28)-((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(0.45*SIN(2*PI()*(((Model_Data!A28)/Inputs!$C$49)+Inputs!$C$47*0.137))+0.35*COS(2*PI()*(((Inputs!$C$6)/Inputs!$C$50)+Inputs!$C$47*0.173))+0.20*SIN(2*PI()*(((Model_Data!A28)+(Inputs!$C$6))/(0.5*(Inputs!$C$49+Inputs!$C$50))+Inputs!$C$47*0.097)))+0.30*(2*((SIN(((Model_Data!A28)*12.9898+(Inputs!$C$6)*78.233+Inputs!$C$47*37.719))*43758.5453)-INT((SIN(((Model_Data!A28)*12.9898+(Inputs!$C$6)*78.233+Inputs!$C$47*37.719))*43758.5453)))-1))))/1000)^2))-(((Model_Data!B28)-((Inputs!$C$51*(115*EXP(-(((0)-25)^2)/(4.5^2))+70*EXP(-(((0)+38)^2)/(7^2))*(0.55+0.45*SIN(2*PI()*(Model_Data!A28)/45))+24*SIN(2*PI()*(0)/9+(Model_Data!A28)/18)*EXP(-(((0)+5)^2)/(22^2))+18*SIN(2*PI()*(Model_Data!A28)/70))+Inputs!$C$28*EXP(-(((Model_Data!A28)-Inputs!$C$29)^2)/(2*Inputs!$C$31^2))*EXP(-(((0)-Inputs!$C$30)^2)/(2*Inputs!$C$32^2))+-Inputs!$C$33*EXP(-(((((Model_Data!A28)-Inputs!$C$34)^2)+(((0)-Inputs!$C$35)^2))/(2*Inputs!$C$36^2)))+Inputs!$C$37*(0.55*SIN(2*PI()*(Model_Data!A28)/Inputs!$C$39)+0.35*COS(2*PI()*(0)/Inputs!$C$40)+0.2*SIN(2*PI()*((Model_Data!A28)+(0))/(0.5*(Inputs!$C$39+Inputs!$C$40))))+Inputs!$C$38*SIN(2*PI()*(Model_Data!A28)/Inputs!$C$39)*SIN(2*PI()*(0)/Inputs!$C$40)+-Inputs!$C$41*EXP(-(((0)-Inputs!$C$43)^2)/(2*Inputs!$C$44^2))*EXP(-(((Model_Data!A28)-Inputs!$C$42)^2)/(2*Inputs!$C$45^2))+Inputs!$C$48*(0.70*(0.45*SIN(2*PI()*(((Model_Data!A28)/Inputs!$C$49)+Inputs!$C$47*0.137))+0.35*COS(2*PI()*(((0)/Inputs!$C$50)+Inputs!$C$47*0.173))+0.20*SIN(2*PI()*(((Model_Data!A28)+(0))/(0.5*(Inputs!$C$49+Inputs!$C$50))+Inputs!$C$47*0.097)))+0.30*(2*((SIN(((Model_Data!A28)*12.9898+(0)*78.233+Inputs!$C$47*37.719))*43758.5453)-INT((SIN(((Model_Data!A28)*12.9898+(0)*78.233+Inputs!$C$47*37.719))*43758.5453)))-1))))/1000)))*1000/Inputs!$C$12)-Model_Data!F28)</x:f>
        <x:v>107.02659849747192</x:v>
      </x:c>
      <x:c r="L28" s="49"/>
      <x:c r="M28" s="48" t="n">
        <x:f>Model_Data!A28</x:f>
        <x:v>-47</x:v>
      </x:c>
      <x:c r="N28" s="48" t="n">
        <x:f>Model_Data!P28</x:f>
        <x:v>350.90793232341497</x:v>
      </x:c>
      <x:c r="O28" s="48" t="n">
        <x:f>AC28</x:f>
        <x:v>336.73665814785636</x:v>
      </x:c>
      <x:c r="P28" s="48" t="n">
        <x:f>Model_Data!Q28</x:f>
        <x:v>52.68887872723949</x:v>
      </x:c>
      <x:c r="Q28" s="48" t="n">
        <x:f>AD28</x:f>
        <x:v>50.56105978196042</x:v>
      </x:c>
      <x:c r="R28" s="49"/>
      <x:c r="S28" s="48" t="n">
        <x:f>Model_Data!A28</x:f>
        <x:v>-47</x:v>
      </x:c>
      <x:c r="T28" s="48" t="n">
        <x:f>Model_Data!B28-Inputs!$C$5</x:f>
        <x:v>2.454444444444448</x:v>
      </x:c>
      <x:c r="U28" s="49"/>
      <x:c r="V28" s="48" t="n">
        <x:f>Model_Data!A28</x:f>
        <x:v>-47</x:v>
      </x:c>
      <x:c r="W28" s="48" t="n">
        <x:f>(-((((SQRT((Model_Data!A28)^2+Inputs!$C$6^2+((Model_Data!B28)-((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(0.45*SIN(2*PI()*(((Model_Data!A28)/Inputs!$C$49)+Inputs!$C$47*0.137))+0.35*COS(2*PI()*(((Inputs!$C$6)/Inputs!$C$50)+Inputs!$C$47*0.173))+0.20*SIN(2*PI()*(((Model_Data!A28)+(Inputs!$C$6))/(0.5*(Inputs!$C$49+Inputs!$C$50))+Inputs!$C$47*0.097)))+0.30*(2*((SIN(((Model_Data!A28)*12.9898+(Inputs!$C$6)*78.233+Inputs!$C$47*37.719))*43758.5453)-INT((SIN(((Model_Data!A28)*12.9898+(Inputs!$C$6)*78.233+Inputs!$C$47*37.719))*43758.5453)))-1))))/1000)^2))-(((Model_Data!B28)-((Inputs!$C$51*(115*EXP(-(((0)-25)^2)/(4.5^2))+70*EXP(-(((0)+38)^2)/(7^2))*(0.55+0.45*SIN(2*PI()*(Model_Data!A28)/45))+24*SIN(2*PI()*(0)/9+(Model_Data!A28)/18)*EXP(-(((0)+5)^2)/(22^2))+18*SIN(2*PI()*(Model_Data!A28)/70))+Inputs!$C$28*EXP(-(((Model_Data!A28)-Inputs!$C$29)^2)/(2*Inputs!$C$31^2))*EXP(-(((0)-Inputs!$C$30)^2)/(2*Inputs!$C$32^2))+-Inputs!$C$33*EXP(-(((((Model_Data!A28)-Inputs!$C$34)^2)+(((0)-Inputs!$C$35)^2))/(2*Inputs!$C$36^2)))+Inputs!$C$37*(0.55*SIN(2*PI()*(Model_Data!A28)/Inputs!$C$39)+0.35*COS(2*PI()*(0)/Inputs!$C$40)+0.2*SIN(2*PI()*((Model_Data!A28)+(0))/(0.5*(Inputs!$C$39+Inputs!$C$40))))+Inputs!$C$38*SIN(2*PI()*(Model_Data!A28)/Inputs!$C$39)*SIN(2*PI()*(0)/Inputs!$C$40)+-Inputs!$C$41*EXP(-(((0)-Inputs!$C$43)^2)/(2*Inputs!$C$44^2))*EXP(-(((Model_Data!A28)-Inputs!$C$42)^2)/(2*Inputs!$C$45^2))+Inputs!$C$48*(0.70*(0.45*SIN(2*PI()*(((Model_Data!A28)/Inputs!$C$49)+Inputs!$C$47*0.137))+0.35*COS(2*PI()*(((0)/Inputs!$C$50)+Inputs!$C$47*0.173))+0.20*SIN(2*PI()*(((Model_Data!A28)+(0))/(0.5*(Inputs!$C$49+Inputs!$C$50))+Inputs!$C$47*0.097)))+0.30*(2*((SIN(((Model_Data!A28)*12.9898+(0)*78.233+Inputs!$C$47*37.719))*43758.5453)-INT((SIN(((Model_Data!A28)*12.9898+(0)*78.233+Inputs!$C$47*37.719))*43758.5453)))-1))))/1000)))*1000/Inputs!$C$12)-Model_Data!F28))-(-(((SQRT((Model_Data!A28)^2+Inputs!$C$6^2+(Inputs!$C$5-((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(0.45*SIN(2*PI()*(((Model_Data!A28)/Inputs!$C$49)+Inputs!$C$47*0.137))+0.35*COS(2*PI()*(((Inputs!$C$6)/Inputs!$C$50)+Inputs!$C$47*0.173))+0.20*SIN(2*PI()*(((Model_Data!A28)+(Inputs!$C$6))/(0.5*(Inputs!$C$49+Inputs!$C$50))+Inputs!$C$47*0.097)))+0.30*(2*((SIN(((Model_Data!A28)*12.9898+(Inputs!$C$6)*78.233+Inputs!$C$47*37.719))*43758.5453)-INT((SIN(((Model_Data!A28)*12.9898+(Inputs!$C$6)*78.233+Inputs!$C$47*37.719))*43758.5453)))-1))))/1000)^2)-(Inputs!$C$5-((Inputs!$C$51*(115*EXP(-(((0)-25)^2)/(4.5^2))+70*EXP(-(((0)+38)^2)/(7^2))*(0.55+0.45*SIN(2*PI()*(Model_Data!A28)/45))+24*SIN(2*PI()*(0)/9+(Model_Data!A28)/18)*EXP(-(((0)+5)^2)/(22^2))+18*SIN(2*PI()*(Model_Data!A28)/70))+Inputs!$C$28*EXP(-(((Model_Data!A28)-Inputs!$C$29)^2)/(2*Inputs!$C$31^2))*EXP(-(((0)-Inputs!$C$30)^2)/(2*Inputs!$C$32^2))+-Inputs!$C$33*EXP(-(((((Model_Data!A28)-Inputs!$C$34)^2)+(((0)-Inputs!$C$35)^2))/(2*Inputs!$C$36^2)))+Inputs!$C$37*(0.55*SIN(2*PI()*(Model_Data!A28)/Inputs!$C$39)+0.35*COS(2*PI()*(0)/Inputs!$C$40)+0.2*SIN(2*PI()*((Model_Data!A28)+(0))/(0.5*(Inputs!$C$39+Inputs!$C$40))))+Inputs!$C$38*SIN(2*PI()*(Model_Data!A28)/Inputs!$C$39)*SIN(2*PI()*(0)/Inputs!$C$40)+-Inputs!$C$41*EXP(-(((0)-Inputs!$C$43)^2)/(2*Inputs!$C$44^2))*EXP(-(((Model_Data!A28)-Inputs!$C$42)^2)/(2*Inputs!$C$45^2))+Inputs!$C$48*(0.70*(0.45*SIN(2*PI()*(((Model_Data!A28)/Inputs!$C$49)+Inputs!$C$47*0.137))+0.35*COS(2*PI()*(((0)/Inputs!$C$50)+Inputs!$C$47*0.173))+0.20*SIN(2*PI()*(((Model_Data!A28)+(0))/(0.5*(Inputs!$C$49+Inputs!$C$50))+Inputs!$C$47*0.097)))+0.30*(2*((SIN(((Model_Data!A28)*12.9898+(0)*78.233+Inputs!$C$47*37.719))*43758.5453)-INT((SIN(((Model_Data!A28)*12.9898+(0)*78.233+Inputs!$C$47*37.719))*43758.5453)))-1))))/1000))*1000/Inputs!$C$12)-((SQRT((Model_Data!A28)^2+Inputs!$C$6^2+Inputs!$C$5^2)-Inputs!$C$5)*1000/Inputs!$C$12)))</x:f>
        <x:v>0.014979406096017556</x:v>
      </x:c>
      <x:c r="X28" s="48" t="n">
        <x:f>0</x:f>
        <x:v>0</x:v>
      </x:c>
      <x:c r="Y28" s="49"/>
      <x:c r="Z28" s="48" t="n">
        <x:f>Model_Data!A28</x:f>
        <x:v>-47</x:v>
      </x:c>
      <x:c r="AA28" s="48" t="n">
        <x:f>SQRT((Model_Data!A28)^2+Inputs!$C$6^2+((Model_Data!B28)-((Inputs!$C$51*(115*EXP(-(((Inputs!$C$6)-25)^2)/(4.5^2))+70*EXP(-(((Inputs!$C$6)+38)^2)/(7^2))*(0.55+0.45*SIN(2*PI()*(Model_Data!A28)/45))+24*SIN(2*PI()*(Inputs!$C$6)/9+(Model_Data!A28)/18)*EXP(-(((Inputs!$C$6)+5)^2)/(22^2))+18*SIN(2*PI()*(Model_Data!A28)/70))+Inputs!$C$28*EXP(-(((Model_Data!A28)-Inputs!$C$29)^2)/(2*Inputs!$C$31^2))*EXP(-(((Inputs!$C$6)-Inputs!$C$30)^2)/(2*Inputs!$C$32^2))+-Inputs!$C$33*EXP(-(((((Model_Data!A28)-Inputs!$C$34)^2)+(((Inputs!$C$6)-Inputs!$C$35)^2))/(2*Inputs!$C$36^2)))+Inputs!$C$37*(0.55*SIN(2*PI()*(Model_Data!A28)/Inputs!$C$39)+0.35*COS(2*PI()*(Inputs!$C$6)/Inputs!$C$40)+0.2*SIN(2*PI()*((Model_Data!A28)+(Inputs!$C$6))/(0.5*(Inputs!$C$39+Inputs!$C$40))))+Inputs!$C$38*SIN(2*PI()*(Model_Data!A28)/Inputs!$C$39)*SIN(2*PI()*(Inputs!$C$6)/Inputs!$C$40)+-Inputs!$C$41*EXP(-(((Inputs!$C$6)-Inputs!$C$43)^2)/(2*Inputs!$C$44^2))*EXP(-(((Model_Data!A28)-Inputs!$C$42)^2)/(2*Inputs!$C$45^2))+Inputs!$C$48*(0.70*(0.45*SIN(2*PI()*(((Model_Data!A28)/Inputs!$C$49)+Inputs!$C$47*0.137))+0.35*COS(2*PI()*(((Inputs!$C$6)/Inputs!$C$50)+Inputs!$C$47*0.173))+0.20*SIN(2*PI()*(((Model_Data!A28)+(Inputs!$C$6))/(0.5*(Inputs!$C$49+Inputs!$C$50))+Inputs!$C$47*0.097)))+0.30*(2*((SIN(((Model_Data!A28)*12.9898+(Inputs!$C$6)*78.233+Inputs!$C$47*37.719))*43758.5453)-INT((SIN(((Model_Data!A28)*12.9898+(Inputs!$C$6)*78.233+Inputs!$C$47*37.719))*43758.5453)))-1))))/1000)^2)</x:f>
        <x:v>405.7083509592433</x:v>
      </x:c>
      <x:c r="AB28" s="48" t="n">
        <x:f>1000*(AA29-AA27)/(Z29-Z27)*Inputs!$C$11</x:f>
        <x:v>-841.8416453696409</x:v>
      </x:c>
      <x:c r="AC28" s="48" t="n">
        <x:f>-2*AB28/Inputs!$C$13</x:f>
        <x:v>336.73665814785636</x:v>
      </x:c>
      <x:c r="AD28" s="48" t="n">
        <x:f>-2*AB28/Inputs!$C$14</x:f>
        <x:v>50.56105978196042</x:v>
      </x:c>
    </x:row>
    <x:row r="29">
      <x:c r="A29" s="48" t="n">
        <x:f>Model_Data!A29</x:f>
        <x:v>-46.5</x:v>
      </x:c>
      <x:c r="B29" s="48" t="n">
        <x:f>Model_Data!F29</x:f>
        <x:v>1937.3511102927434</x:v>
      </x:c>
      <x:c r="C29" s="48" t="n">
        <x:f>(((SQRT((Model_Data!A29)^2+Inputs!$C$6^2+((Model_Data!B29)-((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(0.45*SIN(2*PI()*(((Model_Data!A29)/Inputs!$C$49)+Inputs!$C$47*0.137))+0.35*COS(2*PI()*(((Inputs!$C$6)/Inputs!$C$50)+Inputs!$C$47*0.173))+0.20*SIN(2*PI()*(((Model_Data!A29)+(Inputs!$C$6))/(0.5*(Inputs!$C$49+Inputs!$C$50))+Inputs!$C$47*0.097)))+0.30*(2*((SIN(((Model_Data!A29)*12.9898+(Inputs!$C$6)*78.233+Inputs!$C$47*37.719))*43758.5453)-INT((SIN(((Model_Data!A29)*12.9898+(Inputs!$C$6)*78.233+Inputs!$C$47*37.719))*43758.5453)))-1))))/1000)^2))-(((Model_Data!B29)-((Inputs!$C$51*(115*EXP(-(((0)-25)^2)/(4.5^2))+70*EXP(-(((0)+38)^2)/(7^2))*(0.55+0.45*SIN(2*PI()*(Model_Data!A29)/45))+24*SIN(2*PI()*(0)/9+(Model_Data!A29)/18)*EXP(-(((0)+5)^2)/(22^2))+18*SIN(2*PI()*(Model_Data!A29)/70))+Inputs!$C$28*EXP(-(((Model_Data!A29)-Inputs!$C$29)^2)/(2*Inputs!$C$31^2))*EXP(-(((0)-Inputs!$C$30)^2)/(2*Inputs!$C$32^2))+-Inputs!$C$33*EXP(-(((((Model_Data!A29)-Inputs!$C$34)^2)+(((0)-Inputs!$C$35)^2))/(2*Inputs!$C$36^2)))+Inputs!$C$37*(0.55*SIN(2*PI()*(Model_Data!A29)/Inputs!$C$39)+0.35*COS(2*PI()*(0)/Inputs!$C$40)+0.2*SIN(2*PI()*((Model_Data!A29)+(0))/(0.5*(Inputs!$C$39+Inputs!$C$40))))+Inputs!$C$38*SIN(2*PI()*(Model_Data!A29)/Inputs!$C$39)*SIN(2*PI()*(0)/Inputs!$C$40)+-Inputs!$C$41*EXP(-(((0)-Inputs!$C$43)^2)/(2*Inputs!$C$44^2))*EXP(-(((Model_Data!A29)-Inputs!$C$42)^2)/(2*Inputs!$C$45^2))+Inputs!$C$48*(0.70*(0.45*SIN(2*PI()*(((Model_Data!A29)/Inputs!$C$49)+Inputs!$C$47*0.137))+0.35*COS(2*PI()*(((0)/Inputs!$C$50)+Inputs!$C$47*0.173))+0.20*SIN(2*PI()*(((Model_Data!A29)+(0))/(0.5*(Inputs!$C$49+Inputs!$C$50))+Inputs!$C$47*0.097)))+0.30*(2*((SIN(((Model_Data!A29)*12.9898+(0)*78.233+Inputs!$C$47*37.719))*43758.5453)-INT((SIN(((Model_Data!A29)*12.9898+(0)*78.233+Inputs!$C$47*37.719))*43758.5453)))-1))))/1000)))*1000/Inputs!$C$12)</x:f>
        <x:v>1828.3280794055704</x:v>
      </x:c>
      <x:c r="D29" s="49"/>
      <x:c r="E29" s="48" t="n">
        <x:f>Model_Data!A29</x:f>
        <x:v>-46.5</x:v>
      </x:c>
      <x:c r="F29" s="48" t="n">
        <x:f>(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(0.45*SIN(2*PI()*(((Model_Data!A29)/Inputs!$C$49)+Inputs!$C$47*0.137))+0.35*COS(2*PI()*(((Inputs!$C$6)/Inputs!$C$50)+Inputs!$C$47*0.173))+0.20*SIN(2*PI()*(((Model_Data!A29)+(Inputs!$C$6))/(0.5*(Inputs!$C$49+Inputs!$C$50))+Inputs!$C$47*0.097)))+0.30*(2*((SIN(((Model_Data!A29)*12.9898+(Inputs!$C$6)*78.233+Inputs!$C$47*37.719))*43758.5453)-INT((SIN(((Model_Data!A29)*12.9898+(Inputs!$C$6)*78.233+Inputs!$C$47*37.719))*43758.5453)))-1)))</x:f>
        <x:v>253.748238320312</x:v>
      </x:c>
      <x:c r="G29" s="48" t="n">
        <x:f>(Inputs!$C$51*(115*EXP(-(((0)-25)^2)/(4.5^2))+70*EXP(-(((0)+38)^2)/(7^2))*(0.55+0.45*SIN(2*PI()*(Model_Data!A29)/45))+24*SIN(2*PI()*(0)/9+(Model_Data!A29)/18)*EXP(-(((0)+5)^2)/(22^2))+18*SIN(2*PI()*(Model_Data!A29)/70))+Inputs!$C$28*EXP(-(((Model_Data!A29)-Inputs!$C$29)^2)/(2*Inputs!$C$31^2))*EXP(-(((0)-Inputs!$C$30)^2)/(2*Inputs!$C$32^2))+-Inputs!$C$33*EXP(-(((((Model_Data!A29)-Inputs!$C$34)^2)+(((0)-Inputs!$C$35)^2))/(2*Inputs!$C$36^2)))+Inputs!$C$37*(0.55*SIN(2*PI()*(Model_Data!A29)/Inputs!$C$39)+0.35*COS(2*PI()*(0)/Inputs!$C$40)+0.2*SIN(2*PI()*((Model_Data!A29)+(0))/(0.5*(Inputs!$C$39+Inputs!$C$40))))+Inputs!$C$38*SIN(2*PI()*(Model_Data!A29)/Inputs!$C$39)*SIN(2*PI()*(0)/Inputs!$C$40)+-Inputs!$C$41*EXP(-(((0)-Inputs!$C$43)^2)/(2*Inputs!$C$44^2))*EXP(-(((Model_Data!A29)-Inputs!$C$42)^2)/(2*Inputs!$C$45^2))+Inputs!$C$48*(0.70*(0.45*SIN(2*PI()*(((Model_Data!A29)/Inputs!$C$49)+Inputs!$C$47*0.137))+0.35*COS(2*PI()*(((0)/Inputs!$C$50)+Inputs!$C$47*0.173))+0.20*SIN(2*PI()*(((Model_Data!A29)+(0))/(0.5*(Inputs!$C$49+Inputs!$C$50))+Inputs!$C$47*0.097)))+0.30*(2*((SIN(((Model_Data!A29)*12.9898+(0)*78.233+Inputs!$C$47*37.719))*43758.5453)-INT((SIN(((Model_Data!A29)*12.9898+(0)*78.233+Inputs!$C$47*37.719))*43758.5453)))-1)))</x:f>
        <x:v>57.529820703344</x:v>
      </x:c>
      <x:c r="H29" s="49"/>
      <x:c r="I29" s="48" t="n">
        <x:f>Model_Data!A29</x:f>
        <x:v>-46.5</x:v>
      </x:c>
      <x:c r="J29" s="48" t="n">
        <x:f>((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(0.45*SIN(2*PI()*(((Model_Data!A29)/Inputs!$C$49)+Inputs!$C$47*0.137))+0.35*COS(2*PI()*(((Inputs!$C$6)/Inputs!$C$50)+Inputs!$C$47*0.173))+0.20*SIN(2*PI()*(((Model_Data!A29)+(Inputs!$C$6))/(0.5*(Inputs!$C$49+Inputs!$C$50))+Inputs!$C$47*0.097)))+0.30*(2*((SIN(((Model_Data!A29)*12.9898+(Inputs!$C$6)*78.233+Inputs!$C$47*37.719))*43758.5453)-INT((SIN(((Model_Data!A29)*12.9898+(Inputs!$C$6)*78.233+Inputs!$C$47*37.719))*43758.5453)))-1))))-((Inputs!$C$51*(115*EXP(-(((0)-25)^2)/(4.5^2))+70*EXP(-(((0)+38)^2)/(7^2))*(0.55+0.45*SIN(2*PI()*(Model_Data!A29)/45))+24*SIN(2*PI()*(0)/9+(Model_Data!A29)/18)*EXP(-(((0)+5)^2)/(22^2))+18*SIN(2*PI()*(Model_Data!A29)/70))+Inputs!$C$28*EXP(-(((Model_Data!A29)-Inputs!$C$29)^2)/(2*Inputs!$C$31^2))*EXP(-(((0)-Inputs!$C$30)^2)/(2*Inputs!$C$32^2))+-Inputs!$C$33*EXP(-(((((Model_Data!A29)-Inputs!$C$34)^2)+(((0)-Inputs!$C$35)^2))/(2*Inputs!$C$36^2)))+Inputs!$C$37*(0.55*SIN(2*PI()*(Model_Data!A29)/Inputs!$C$39)+0.35*COS(2*PI()*(0)/Inputs!$C$40)+0.2*SIN(2*PI()*((Model_Data!A29)+(0))/(0.5*(Inputs!$C$39+Inputs!$C$40))))+Inputs!$C$38*SIN(2*PI()*(Model_Data!A29)/Inputs!$C$39)*SIN(2*PI()*(0)/Inputs!$C$40)+-Inputs!$C$41*EXP(-(((0)-Inputs!$C$43)^2)/(2*Inputs!$C$44^2))*EXP(-(((Model_Data!A29)-Inputs!$C$42)^2)/(2*Inputs!$C$45^2))+Inputs!$C$48*(0.70*(0.45*SIN(2*PI()*(((Model_Data!A29)/Inputs!$C$49)+Inputs!$C$47*0.137))+0.35*COS(2*PI()*(((0)/Inputs!$C$50)+Inputs!$C$47*0.173))+0.20*SIN(2*PI()*(((Model_Data!A29)+(0))/(0.5*(Inputs!$C$49+Inputs!$C$50))+Inputs!$C$47*0.097)))+0.30*(2*((SIN(((Model_Data!A29)*12.9898+(0)*78.233+Inputs!$C$47*37.719))*43758.5453)-INT((SIN(((Model_Data!A29)*12.9898+(0)*78.233+Inputs!$C$47*37.719))*43758.5453)))-1))))</x:f>
        <x:v>196.218417616968</x:v>
      </x:c>
      <x:c r="K29" s="48" t="n">
        <x:f>-((((SQRT((Model_Data!A29)^2+Inputs!$C$6^2+((Model_Data!B29)-((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(0.45*SIN(2*PI()*(((Model_Data!A29)/Inputs!$C$49)+Inputs!$C$47*0.137))+0.35*COS(2*PI()*(((Inputs!$C$6)/Inputs!$C$50)+Inputs!$C$47*0.173))+0.20*SIN(2*PI()*(((Model_Data!A29)+(Inputs!$C$6))/(0.5*(Inputs!$C$49+Inputs!$C$50))+Inputs!$C$47*0.097)))+0.30*(2*((SIN(((Model_Data!A29)*12.9898+(Inputs!$C$6)*78.233+Inputs!$C$47*37.719))*43758.5453)-INT((SIN(((Model_Data!A29)*12.9898+(Inputs!$C$6)*78.233+Inputs!$C$47*37.719))*43758.5453)))-1))))/1000)^2))-(((Model_Data!B29)-((Inputs!$C$51*(115*EXP(-(((0)-25)^2)/(4.5^2))+70*EXP(-(((0)+38)^2)/(7^2))*(0.55+0.45*SIN(2*PI()*(Model_Data!A29)/45))+24*SIN(2*PI()*(0)/9+(Model_Data!A29)/18)*EXP(-(((0)+5)^2)/(22^2))+18*SIN(2*PI()*(Model_Data!A29)/70))+Inputs!$C$28*EXP(-(((Model_Data!A29)-Inputs!$C$29)^2)/(2*Inputs!$C$31^2))*EXP(-(((0)-Inputs!$C$30)^2)/(2*Inputs!$C$32^2))+-Inputs!$C$33*EXP(-(((((Model_Data!A29)-Inputs!$C$34)^2)+(((0)-Inputs!$C$35)^2))/(2*Inputs!$C$36^2)))+Inputs!$C$37*(0.55*SIN(2*PI()*(Model_Data!A29)/Inputs!$C$39)+0.35*COS(2*PI()*(0)/Inputs!$C$40)+0.2*SIN(2*PI()*((Model_Data!A29)+(0))/(0.5*(Inputs!$C$39+Inputs!$C$40))))+Inputs!$C$38*SIN(2*PI()*(Model_Data!A29)/Inputs!$C$39)*SIN(2*PI()*(0)/Inputs!$C$40)+-Inputs!$C$41*EXP(-(((0)-Inputs!$C$43)^2)/(2*Inputs!$C$44^2))*EXP(-(((Model_Data!A29)-Inputs!$C$42)^2)/(2*Inputs!$C$45^2))+Inputs!$C$48*(0.70*(0.45*SIN(2*PI()*(((Model_Data!A29)/Inputs!$C$49)+Inputs!$C$47*0.137))+0.35*COS(2*PI()*(((0)/Inputs!$C$50)+Inputs!$C$47*0.173))+0.20*SIN(2*PI()*(((Model_Data!A29)+(0))/(0.5*(Inputs!$C$49+Inputs!$C$50))+Inputs!$C$47*0.097)))+0.30*(2*((SIN(((Model_Data!A29)*12.9898+(0)*78.233+Inputs!$C$47*37.719))*43758.5453)-INT((SIN(((Model_Data!A29)*12.9898+(0)*78.233+Inputs!$C$47*37.719))*43758.5453)))-1))))/1000)))*1000/Inputs!$C$12)-Model_Data!F29)</x:f>
        <x:v>109.02303088717304</x:v>
      </x:c>
      <x:c r="L29" s="49"/>
      <x:c r="M29" s="48" t="n">
        <x:f>Model_Data!A29</x:f>
        <x:v>-46.5</x:v>
      </x:c>
      <x:c r="N29" s="48" t="n">
        <x:f>Model_Data!P29</x:f>
        <x:v>347.2470238673663</x:v>
      </x:c>
      <x:c r="O29" s="48" t="n">
        <x:f>AC29</x:f>
        <x:v>321.16359744213696</x:v>
      </x:c>
      <x:c r="P29" s="48" t="n">
        <x:f>Model_Data!Q29</x:f>
        <x:v>52.13919277287783</x:v>
      </x:c>
      <x:c r="Q29" s="48" t="n">
        <x:f>AD29</x:f>
        <x:v>48.22276237869925</x:v>
      </x:c>
      <x:c r="R29" s="49"/>
      <x:c r="S29" s="48" t="n">
        <x:f>Model_Data!A29</x:f>
        <x:v>-46.5</x:v>
      </x:c>
      <x:c r="T29" s="48" t="n">
        <x:f>Model_Data!B29-Inputs!$C$5</x:f>
        <x:v>2.402499999999975</x:v>
      </x:c>
      <x:c r="U29" s="49"/>
      <x:c r="V29" s="48" t="n">
        <x:f>Model_Data!A29</x:f>
        <x:v>-46.5</x:v>
      </x:c>
      <x:c r="W29" s="48" t="n">
        <x:f>(-((((SQRT((Model_Data!A29)^2+Inputs!$C$6^2+((Model_Data!B29)-((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(0.45*SIN(2*PI()*(((Model_Data!A29)/Inputs!$C$49)+Inputs!$C$47*0.137))+0.35*COS(2*PI()*(((Inputs!$C$6)/Inputs!$C$50)+Inputs!$C$47*0.173))+0.20*SIN(2*PI()*(((Model_Data!A29)+(Inputs!$C$6))/(0.5*(Inputs!$C$49+Inputs!$C$50))+Inputs!$C$47*0.097)))+0.30*(2*((SIN(((Model_Data!A29)*12.9898+(Inputs!$C$6)*78.233+Inputs!$C$47*37.719))*43758.5453)-INT((SIN(((Model_Data!A29)*12.9898+(Inputs!$C$6)*78.233+Inputs!$C$47*37.719))*43758.5453)))-1))))/1000)^2))-(((Model_Data!B29)-((Inputs!$C$51*(115*EXP(-(((0)-25)^2)/(4.5^2))+70*EXP(-(((0)+38)^2)/(7^2))*(0.55+0.45*SIN(2*PI()*(Model_Data!A29)/45))+24*SIN(2*PI()*(0)/9+(Model_Data!A29)/18)*EXP(-(((0)+5)^2)/(22^2))+18*SIN(2*PI()*(Model_Data!A29)/70))+Inputs!$C$28*EXP(-(((Model_Data!A29)-Inputs!$C$29)^2)/(2*Inputs!$C$31^2))*EXP(-(((0)-Inputs!$C$30)^2)/(2*Inputs!$C$32^2))+-Inputs!$C$33*EXP(-(((((Model_Data!A29)-Inputs!$C$34)^2)+(((0)-Inputs!$C$35)^2))/(2*Inputs!$C$36^2)))+Inputs!$C$37*(0.55*SIN(2*PI()*(Model_Data!A29)/Inputs!$C$39)+0.35*COS(2*PI()*(0)/Inputs!$C$40)+0.2*SIN(2*PI()*((Model_Data!A29)+(0))/(0.5*(Inputs!$C$39+Inputs!$C$40))))+Inputs!$C$38*SIN(2*PI()*(Model_Data!A29)/Inputs!$C$39)*SIN(2*PI()*(0)/Inputs!$C$40)+-Inputs!$C$41*EXP(-(((0)-Inputs!$C$43)^2)/(2*Inputs!$C$44^2))*EXP(-(((Model_Data!A29)-Inputs!$C$42)^2)/(2*Inputs!$C$45^2))+Inputs!$C$48*(0.70*(0.45*SIN(2*PI()*(((Model_Data!A29)/Inputs!$C$49)+Inputs!$C$47*0.137))+0.35*COS(2*PI()*(((0)/Inputs!$C$50)+Inputs!$C$47*0.173))+0.20*SIN(2*PI()*(((Model_Data!A29)+(0))/(0.5*(Inputs!$C$49+Inputs!$C$50))+Inputs!$C$47*0.097)))+0.30*(2*((SIN(((Model_Data!A29)*12.9898+(0)*78.233+Inputs!$C$47*37.719))*43758.5453)-INT((SIN(((Model_Data!A29)*12.9898+(0)*78.233+Inputs!$C$47*37.719))*43758.5453)))-1))))/1000)))*1000/Inputs!$C$12)-Model_Data!F29))-(-(((SQRT((Model_Data!A29)^2+Inputs!$C$6^2+(Inputs!$C$5-((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(0.45*SIN(2*PI()*(((Model_Data!A29)/Inputs!$C$49)+Inputs!$C$47*0.137))+0.35*COS(2*PI()*(((Inputs!$C$6)/Inputs!$C$50)+Inputs!$C$47*0.173))+0.20*SIN(2*PI()*(((Model_Data!A29)+(Inputs!$C$6))/(0.5*(Inputs!$C$49+Inputs!$C$50))+Inputs!$C$47*0.097)))+0.30*(2*((SIN(((Model_Data!A29)*12.9898+(Inputs!$C$6)*78.233+Inputs!$C$47*37.719))*43758.5453)-INT((SIN(((Model_Data!A29)*12.9898+(Inputs!$C$6)*78.233+Inputs!$C$47*37.719))*43758.5453)))-1))))/1000)^2)-(Inputs!$C$5-((Inputs!$C$51*(115*EXP(-(((0)-25)^2)/(4.5^2))+70*EXP(-(((0)+38)^2)/(7^2))*(0.55+0.45*SIN(2*PI()*(Model_Data!A29)/45))+24*SIN(2*PI()*(0)/9+(Model_Data!A29)/18)*EXP(-(((0)+5)^2)/(22^2))+18*SIN(2*PI()*(Model_Data!A29)/70))+Inputs!$C$28*EXP(-(((Model_Data!A29)-Inputs!$C$29)^2)/(2*Inputs!$C$31^2))*EXP(-(((0)-Inputs!$C$30)^2)/(2*Inputs!$C$32^2))+-Inputs!$C$33*EXP(-(((((Model_Data!A29)-Inputs!$C$34)^2)+(((0)-Inputs!$C$35)^2))/(2*Inputs!$C$36^2)))+Inputs!$C$37*(0.55*SIN(2*PI()*(Model_Data!A29)/Inputs!$C$39)+0.35*COS(2*PI()*(0)/Inputs!$C$40)+0.2*SIN(2*PI()*((Model_Data!A29)+(0))/(0.5*(Inputs!$C$39+Inputs!$C$40))))+Inputs!$C$38*SIN(2*PI()*(Model_Data!A29)/Inputs!$C$39)*SIN(2*PI()*(0)/Inputs!$C$40)+-Inputs!$C$41*EXP(-(((0)-Inputs!$C$43)^2)/(2*Inputs!$C$44^2))*EXP(-(((Model_Data!A29)-Inputs!$C$42)^2)/(2*Inputs!$C$45^2))+Inputs!$C$48*(0.70*(0.45*SIN(2*PI()*(((Model_Data!A29)/Inputs!$C$49)+Inputs!$C$47*0.137))+0.35*COS(2*PI()*(((0)/Inputs!$C$50)+Inputs!$C$47*0.173))+0.20*SIN(2*PI()*(((Model_Data!A29)+(0))/(0.5*(Inputs!$C$49+Inputs!$C$50))+Inputs!$C$47*0.097)))+0.30*(2*((SIN(((Model_Data!A29)*12.9898+(0)*78.233+Inputs!$C$47*37.719))*43758.5453)-INT((SIN(((Model_Data!A29)*12.9898+(0)*78.233+Inputs!$C$47*37.719))*43758.5453)))-1))))/1000))*1000/Inputs!$C$12)-((SQRT((Model_Data!A29)^2+Inputs!$C$6^2+Inputs!$C$5^2)-Inputs!$C$5)*1000/Inputs!$C$12)))</x:f>
        <x:v>0.014419966771811232</x:v>
      </x:c>
      <x:c r="X29" s="48" t="n">
        <x:f>0</x:f>
        <x:v>0</x:v>
      </x:c>
      <x:c r="Y29" s="49"/>
      <x:c r="Z29" s="48" t="n">
        <x:f>Model_Data!A29</x:f>
        <x:v>-46.5</x:v>
      </x:c>
      <x:c r="AA29" s="48" t="n">
        <x:f>SQRT((Model_Data!A29)^2+Inputs!$C$6^2+((Model_Data!B29)-((Inputs!$C$51*(115*EXP(-(((Inputs!$C$6)-25)^2)/(4.5^2))+70*EXP(-(((Inputs!$C$6)+38)^2)/(7^2))*(0.55+0.45*SIN(2*PI()*(Model_Data!A29)/45))+24*SIN(2*PI()*(Inputs!$C$6)/9+(Model_Data!A29)/18)*EXP(-(((Inputs!$C$6)+5)^2)/(22^2))+18*SIN(2*PI()*(Model_Data!A29)/70))+Inputs!$C$28*EXP(-(((Model_Data!A29)-Inputs!$C$29)^2)/(2*Inputs!$C$31^2))*EXP(-(((Inputs!$C$6)-Inputs!$C$30)^2)/(2*Inputs!$C$32^2))+-Inputs!$C$33*EXP(-(((((Model_Data!A29)-Inputs!$C$34)^2)+(((Inputs!$C$6)-Inputs!$C$35)^2))/(2*Inputs!$C$36^2)))+Inputs!$C$37*(0.55*SIN(2*PI()*(Model_Data!A29)/Inputs!$C$39)+0.35*COS(2*PI()*(Inputs!$C$6)/Inputs!$C$40)+0.2*SIN(2*PI()*((Model_Data!A29)+(Inputs!$C$6))/(0.5*(Inputs!$C$39+Inputs!$C$40))))+Inputs!$C$38*SIN(2*PI()*(Model_Data!A29)/Inputs!$C$39)*SIN(2*PI()*(Inputs!$C$6)/Inputs!$C$40)+-Inputs!$C$41*EXP(-(((Inputs!$C$6)-Inputs!$C$43)^2)/(2*Inputs!$C$44^2))*EXP(-(((Model_Data!A29)-Inputs!$C$42)^2)/(2*Inputs!$C$45^2))+Inputs!$C$48*(0.70*(0.45*SIN(2*PI()*(((Model_Data!A29)/Inputs!$C$49)+Inputs!$C$47*0.137))+0.35*COS(2*PI()*(((Inputs!$C$6)/Inputs!$C$50)+Inputs!$C$47*0.173))+0.20*SIN(2*PI()*(((Model_Data!A29)+(Inputs!$C$6))/(0.5*(Inputs!$C$49+Inputs!$C$50))+Inputs!$C$47*0.097)))+0.30*(2*((SIN(((Model_Data!A29)*12.9898+(Inputs!$C$6)*78.233+Inputs!$C$47*37.719))*43758.5453)-INT((SIN(((Model_Data!A29)*12.9898+(Inputs!$C$6)*78.233+Inputs!$C$47*37.719))*43758.5453)))-1))))/1000)^2)</x:f>
        <x:v>405.59939416063855</x:v>
      </x:c>
      <x:c r="AB29" s="48" t="n">
        <x:f>1000*(AA30-AA28)/(Z30-Z28)*Inputs!$C$11</x:f>
        <x:v>-802.9089936053424</x:v>
      </x:c>
      <x:c r="AC29" s="48" t="n">
        <x:f>-2*AB29/Inputs!$C$13</x:f>
        <x:v>321.16359744213696</x:v>
      </x:c>
      <x:c r="AD29" s="48" t="n">
        <x:f>-2*AB29/Inputs!$C$14</x:f>
        <x:v>48.22276237869925</x:v>
      </x:c>
    </x:row>
    <x:row r="30">
      <x:c r="A30" s="48" t="n">
        <x:f>Model_Data!A30</x:f>
        <x:v>-46</x:v>
      </x:c>
      <x:c r="B30" s="48" t="n">
        <x:f>Model_Data!F30</x:f>
        <x:v>1905.5794840138458</x:v>
      </x:c>
      <x:c r="C30" s="48" t="n">
        <x:f>(((SQRT((Model_Data!A30)^2+Inputs!$C$6^2+((Model_Data!B30)-((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(0.45*SIN(2*PI()*(((Model_Data!A30)/Inputs!$C$49)+Inputs!$C$47*0.137))+0.35*COS(2*PI()*(((Inputs!$C$6)/Inputs!$C$50)+Inputs!$C$47*0.173))+0.20*SIN(2*PI()*(((Model_Data!A30)+(Inputs!$C$6))/(0.5*(Inputs!$C$49+Inputs!$C$50))+Inputs!$C$47*0.097)))+0.30*(2*((SIN(((Model_Data!A30)*12.9898+(Inputs!$C$6)*78.233+Inputs!$C$47*37.719))*43758.5453)-INT((SIN(((Model_Data!A30)*12.9898+(Inputs!$C$6)*78.233+Inputs!$C$47*37.719))*43758.5453)))-1))))/1000)^2))-(((Model_Data!B30)-((Inputs!$C$51*(115*EXP(-(((0)-25)^2)/(4.5^2))+70*EXP(-(((0)+38)^2)/(7^2))*(0.55+0.45*SIN(2*PI()*(Model_Data!A30)/45))+24*SIN(2*PI()*(0)/9+(Model_Data!A30)/18)*EXP(-(((0)+5)^2)/(22^2))+18*SIN(2*PI()*(Model_Data!A30)/70))+Inputs!$C$28*EXP(-(((Model_Data!A30)-Inputs!$C$29)^2)/(2*Inputs!$C$31^2))*EXP(-(((0)-Inputs!$C$30)^2)/(2*Inputs!$C$32^2))+-Inputs!$C$33*EXP(-(((((Model_Data!A30)-Inputs!$C$34)^2)+(((0)-Inputs!$C$35)^2))/(2*Inputs!$C$36^2)))+Inputs!$C$37*(0.55*SIN(2*PI()*(Model_Data!A30)/Inputs!$C$39)+0.35*COS(2*PI()*(0)/Inputs!$C$40)+0.2*SIN(2*PI()*((Model_Data!A30)+(0))/(0.5*(Inputs!$C$39+Inputs!$C$40))))+Inputs!$C$38*SIN(2*PI()*(Model_Data!A30)/Inputs!$C$39)*SIN(2*PI()*(0)/Inputs!$C$40)+-Inputs!$C$41*EXP(-(((0)-Inputs!$C$43)^2)/(2*Inputs!$C$44^2))*EXP(-(((Model_Data!A30)-Inputs!$C$42)^2)/(2*Inputs!$C$45^2))+Inputs!$C$48*(0.70*(0.45*SIN(2*PI()*(((Model_Data!A30)/Inputs!$C$49)+Inputs!$C$47*0.137))+0.35*COS(2*PI()*(((0)/Inputs!$C$50)+Inputs!$C$47*0.173))+0.20*SIN(2*PI()*(((Model_Data!A30)+(0))/(0.5*(Inputs!$C$49+Inputs!$C$50))+Inputs!$C$47*0.097)))+0.30*(2*((SIN(((Model_Data!A30)*12.9898+(0)*78.233+Inputs!$C$47*37.719))*43758.5453)-INT((SIN(((Model_Data!A30)*12.9898+(0)*78.233+Inputs!$C$47*37.719))*43758.5453)))-1))))/1000)))*1000/Inputs!$C$12)</x:f>
        <x:v>1801.1529327998296</x:v>
      </x:c>
      <x:c r="D30" s="49"/>
      <x:c r="E30" s="48" t="n">
        <x:f>Model_Data!A30</x:f>
        <x:v>-46</x:v>
      </x:c>
      <x:c r="F30" s="48" t="n">
        <x:f>(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(0.45*SIN(2*PI()*(((Model_Data!A30)/Inputs!$C$49)+Inputs!$C$47*0.137))+0.35*COS(2*PI()*(((Inputs!$C$6)/Inputs!$C$50)+Inputs!$C$47*0.173))+0.20*SIN(2*PI()*(((Model_Data!A30)+(Inputs!$C$6))/(0.5*(Inputs!$C$49+Inputs!$C$50))+Inputs!$C$47*0.097)))+0.30*(2*((SIN(((Model_Data!A30)*12.9898+(Inputs!$C$6)*78.233+Inputs!$C$47*37.719))*43758.5453)-INT((SIN(((Model_Data!A30)*12.9898+(Inputs!$C$6)*78.233+Inputs!$C$47*37.719))*43758.5453)))-1)))</x:f>
        <x:v>237.40469511010875</x:v>
      </x:c>
      <x:c r="G30" s="48" t="n">
        <x:f>(Inputs!$C$51*(115*EXP(-(((0)-25)^2)/(4.5^2))+70*EXP(-(((0)+38)^2)/(7^2))*(0.55+0.45*SIN(2*PI()*(Model_Data!A30)/45))+24*SIN(2*PI()*(0)/9+(Model_Data!A30)/18)*EXP(-(((0)+5)^2)/(22^2))+18*SIN(2*PI()*(Model_Data!A30)/70))+Inputs!$C$28*EXP(-(((Model_Data!A30)-Inputs!$C$29)^2)/(2*Inputs!$C$31^2))*EXP(-(((0)-Inputs!$C$30)^2)/(2*Inputs!$C$32^2))+-Inputs!$C$33*EXP(-(((((Model_Data!A30)-Inputs!$C$34)^2)+(((0)-Inputs!$C$35)^2))/(2*Inputs!$C$36^2)))+Inputs!$C$37*(0.55*SIN(2*PI()*(Model_Data!A30)/Inputs!$C$39)+0.35*COS(2*PI()*(0)/Inputs!$C$40)+0.2*SIN(2*PI()*((Model_Data!A30)+(0))/(0.5*(Inputs!$C$39+Inputs!$C$40))))+Inputs!$C$38*SIN(2*PI()*(Model_Data!A30)/Inputs!$C$39)*SIN(2*PI()*(0)/Inputs!$C$40)+-Inputs!$C$41*EXP(-(((0)-Inputs!$C$43)^2)/(2*Inputs!$C$44^2))*EXP(-(((Model_Data!A30)-Inputs!$C$42)^2)/(2*Inputs!$C$45^2))+Inputs!$C$48*(0.70*(0.45*SIN(2*PI()*(((Model_Data!A30)/Inputs!$C$49)+Inputs!$C$47*0.137))+0.35*COS(2*PI()*(((0)/Inputs!$C$50)+Inputs!$C$47*0.173))+0.20*SIN(2*PI()*(((Model_Data!A30)+(0))/(0.5*(Inputs!$C$49+Inputs!$C$50))+Inputs!$C$47*0.097)))+0.30*(2*((SIN(((Model_Data!A30)*12.9898+(0)*78.233+Inputs!$C$47*37.719))*43758.5453)-INT((SIN(((Model_Data!A30)*12.9898+(0)*78.233+Inputs!$C$47*37.719))*43758.5453)))-1)))</x:f>
        <x:v>49.53962065283257</x:v>
      </x:c>
      <x:c r="H30" s="49"/>
      <x:c r="I30" s="48" t="n">
        <x:f>Model_Data!A30</x:f>
        <x:v>-46</x:v>
      </x:c>
      <x:c r="J30" s="48" t="n">
        <x:f>((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(0.45*SIN(2*PI()*(((Model_Data!A30)/Inputs!$C$49)+Inputs!$C$47*0.137))+0.35*COS(2*PI()*(((Inputs!$C$6)/Inputs!$C$50)+Inputs!$C$47*0.173))+0.20*SIN(2*PI()*(((Model_Data!A30)+(Inputs!$C$6))/(0.5*(Inputs!$C$49+Inputs!$C$50))+Inputs!$C$47*0.097)))+0.30*(2*((SIN(((Model_Data!A30)*12.9898+(Inputs!$C$6)*78.233+Inputs!$C$47*37.719))*43758.5453)-INT((SIN(((Model_Data!A30)*12.9898+(Inputs!$C$6)*78.233+Inputs!$C$47*37.719))*43758.5453)))-1))))-((Inputs!$C$51*(115*EXP(-(((0)-25)^2)/(4.5^2))+70*EXP(-(((0)+38)^2)/(7^2))*(0.55+0.45*SIN(2*PI()*(Model_Data!A30)/45))+24*SIN(2*PI()*(0)/9+(Model_Data!A30)/18)*EXP(-(((0)+5)^2)/(22^2))+18*SIN(2*PI()*(Model_Data!A30)/70))+Inputs!$C$28*EXP(-(((Model_Data!A30)-Inputs!$C$29)^2)/(2*Inputs!$C$31^2))*EXP(-(((0)-Inputs!$C$30)^2)/(2*Inputs!$C$32^2))+-Inputs!$C$33*EXP(-(((((Model_Data!A30)-Inputs!$C$34)^2)+(((0)-Inputs!$C$35)^2))/(2*Inputs!$C$36^2)))+Inputs!$C$37*(0.55*SIN(2*PI()*(Model_Data!A30)/Inputs!$C$39)+0.35*COS(2*PI()*(0)/Inputs!$C$40)+0.2*SIN(2*PI()*((Model_Data!A30)+(0))/(0.5*(Inputs!$C$39+Inputs!$C$40))))+Inputs!$C$38*SIN(2*PI()*(Model_Data!A30)/Inputs!$C$39)*SIN(2*PI()*(0)/Inputs!$C$40)+-Inputs!$C$41*EXP(-(((0)-Inputs!$C$43)^2)/(2*Inputs!$C$44^2))*EXP(-(((Model_Data!A30)-Inputs!$C$42)^2)/(2*Inputs!$C$45^2))+Inputs!$C$48*(0.70*(0.45*SIN(2*PI()*(((Model_Data!A30)/Inputs!$C$49)+Inputs!$C$47*0.137))+0.35*COS(2*PI()*(((0)/Inputs!$C$50)+Inputs!$C$47*0.173))+0.20*SIN(2*PI()*(((Model_Data!A30)+(0))/(0.5*(Inputs!$C$49+Inputs!$C$50))+Inputs!$C$47*0.097)))+0.30*(2*((SIN(((Model_Data!A30)*12.9898+(0)*78.233+Inputs!$C$47*37.719))*43758.5453)-INT((SIN(((Model_Data!A30)*12.9898+(0)*78.233+Inputs!$C$47*37.719))*43758.5453)))-1))))</x:f>
        <x:v>187.8650744572762</x:v>
      </x:c>
      <x:c r="K30" s="48" t="n">
        <x:f>-((((SQRT((Model_Data!A30)^2+Inputs!$C$6^2+((Model_Data!B30)-((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(0.45*SIN(2*PI()*(((Model_Data!A30)/Inputs!$C$49)+Inputs!$C$47*0.137))+0.35*COS(2*PI()*(((Inputs!$C$6)/Inputs!$C$50)+Inputs!$C$47*0.173))+0.20*SIN(2*PI()*(((Model_Data!A30)+(Inputs!$C$6))/(0.5*(Inputs!$C$49+Inputs!$C$50))+Inputs!$C$47*0.097)))+0.30*(2*((SIN(((Model_Data!A30)*12.9898+(Inputs!$C$6)*78.233+Inputs!$C$47*37.719))*43758.5453)-INT((SIN(((Model_Data!A30)*12.9898+(Inputs!$C$6)*78.233+Inputs!$C$47*37.719))*43758.5453)))-1))))/1000)^2))-(((Model_Data!B30)-((Inputs!$C$51*(115*EXP(-(((0)-25)^2)/(4.5^2))+70*EXP(-(((0)+38)^2)/(7^2))*(0.55+0.45*SIN(2*PI()*(Model_Data!A30)/45))+24*SIN(2*PI()*(0)/9+(Model_Data!A30)/18)*EXP(-(((0)+5)^2)/(22^2))+18*SIN(2*PI()*(Model_Data!A30)/70))+Inputs!$C$28*EXP(-(((Model_Data!A30)-Inputs!$C$29)^2)/(2*Inputs!$C$31^2))*EXP(-(((0)-Inputs!$C$30)^2)/(2*Inputs!$C$32^2))+-Inputs!$C$33*EXP(-(((((Model_Data!A30)-Inputs!$C$34)^2)+(((0)-Inputs!$C$35)^2))/(2*Inputs!$C$36^2)))+Inputs!$C$37*(0.55*SIN(2*PI()*(Model_Data!A30)/Inputs!$C$39)+0.35*COS(2*PI()*(0)/Inputs!$C$40)+0.2*SIN(2*PI()*((Model_Data!A30)+(0))/(0.5*(Inputs!$C$39+Inputs!$C$40))))+Inputs!$C$38*SIN(2*PI()*(Model_Data!A30)/Inputs!$C$39)*SIN(2*PI()*(0)/Inputs!$C$40)+-Inputs!$C$41*EXP(-(((0)-Inputs!$C$43)^2)/(2*Inputs!$C$44^2))*EXP(-(((Model_Data!A30)-Inputs!$C$42)^2)/(2*Inputs!$C$45^2))+Inputs!$C$48*(0.70*(0.45*SIN(2*PI()*(((Model_Data!A30)/Inputs!$C$49)+Inputs!$C$47*0.137))+0.35*COS(2*PI()*(((0)/Inputs!$C$50)+Inputs!$C$47*0.173))+0.20*SIN(2*PI()*(((Model_Data!A30)+(0))/(0.5*(Inputs!$C$49+Inputs!$C$50))+Inputs!$C$47*0.097)))+0.30*(2*((SIN(((Model_Data!A30)*12.9898+(0)*78.233+Inputs!$C$47*37.719))*43758.5453)-INT((SIN(((Model_Data!A30)*12.9898+(0)*78.233+Inputs!$C$47*37.719))*43758.5453)))-1))))/1000)))*1000/Inputs!$C$12)-Model_Data!F30)</x:f>
        <x:v>104.42655121401617</x:v>
      </x:c>
      <x:c r="L30" s="49"/>
      <x:c r="M30" s="48" t="n">
        <x:f>Model_Data!A30</x:f>
        <x:v>-46</x:v>
      </x:c>
      <x:c r="N30" s="48" t="n">
        <x:f>Model_Data!P30</x:f>
        <x:v>343.58385695384493</x:v>
      </x:c>
      <x:c r="O30" s="48" t="n">
        <x:f>AC30</x:f>
        <x:v>306.06610506720244</x:v>
      </x:c>
      <x:c r="P30" s="48" t="n">
        <x:f>Model_Data!Q30</x:f>
        <x:v>51.58916771078753</x:v>
      </x:c>
      <x:c r="Q30" s="48" t="n">
        <x:f>AD30</x:f>
        <x:v>45.955871631712085</x:v>
      </x:c>
      <x:c r="R30" s="49"/>
      <x:c r="S30" s="48" t="n">
        <x:f>Model_Data!A30</x:f>
        <x:v>-46</x:v>
      </x:c>
      <x:c r="T30" s="48" t="n">
        <x:f>Model_Data!B30-Inputs!$C$5</x:f>
        <x:v>2.351111111111095</x:v>
      </x:c>
      <x:c r="U30" s="49"/>
      <x:c r="V30" s="48" t="n">
        <x:f>Model_Data!A30</x:f>
        <x:v>-46</x:v>
      </x:c>
      <x:c r="W30" s="48" t="n">
        <x:f>(-((((SQRT((Model_Data!A30)^2+Inputs!$C$6^2+((Model_Data!B30)-((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(0.45*SIN(2*PI()*(((Model_Data!A30)/Inputs!$C$49)+Inputs!$C$47*0.137))+0.35*COS(2*PI()*(((Inputs!$C$6)/Inputs!$C$50)+Inputs!$C$47*0.173))+0.20*SIN(2*PI()*(((Model_Data!A30)+(Inputs!$C$6))/(0.5*(Inputs!$C$49+Inputs!$C$50))+Inputs!$C$47*0.097)))+0.30*(2*((SIN(((Model_Data!A30)*12.9898+(Inputs!$C$6)*78.233+Inputs!$C$47*37.719))*43758.5453)-INT((SIN(((Model_Data!A30)*12.9898+(Inputs!$C$6)*78.233+Inputs!$C$47*37.719))*43758.5453)))-1))))/1000)^2))-(((Model_Data!B30)-((Inputs!$C$51*(115*EXP(-(((0)-25)^2)/(4.5^2))+70*EXP(-(((0)+38)^2)/(7^2))*(0.55+0.45*SIN(2*PI()*(Model_Data!A30)/45))+24*SIN(2*PI()*(0)/9+(Model_Data!A30)/18)*EXP(-(((0)+5)^2)/(22^2))+18*SIN(2*PI()*(Model_Data!A30)/70))+Inputs!$C$28*EXP(-(((Model_Data!A30)-Inputs!$C$29)^2)/(2*Inputs!$C$31^2))*EXP(-(((0)-Inputs!$C$30)^2)/(2*Inputs!$C$32^2))+-Inputs!$C$33*EXP(-(((((Model_Data!A30)-Inputs!$C$34)^2)+(((0)-Inputs!$C$35)^2))/(2*Inputs!$C$36^2)))+Inputs!$C$37*(0.55*SIN(2*PI()*(Model_Data!A30)/Inputs!$C$39)+0.35*COS(2*PI()*(0)/Inputs!$C$40)+0.2*SIN(2*PI()*((Model_Data!A30)+(0))/(0.5*(Inputs!$C$39+Inputs!$C$40))))+Inputs!$C$38*SIN(2*PI()*(Model_Data!A30)/Inputs!$C$39)*SIN(2*PI()*(0)/Inputs!$C$40)+-Inputs!$C$41*EXP(-(((0)-Inputs!$C$43)^2)/(2*Inputs!$C$44^2))*EXP(-(((Model_Data!A30)-Inputs!$C$42)^2)/(2*Inputs!$C$45^2))+Inputs!$C$48*(0.70*(0.45*SIN(2*PI()*(((Model_Data!A30)/Inputs!$C$49)+Inputs!$C$47*0.137))+0.35*COS(2*PI()*(((0)/Inputs!$C$50)+Inputs!$C$47*0.173))+0.20*SIN(2*PI()*(((Model_Data!A30)+(0))/(0.5*(Inputs!$C$49+Inputs!$C$50))+Inputs!$C$47*0.097)))+0.30*(2*((SIN(((Model_Data!A30)*12.9898+(0)*78.233+Inputs!$C$47*37.719))*43758.5453)-INT((SIN(((Model_Data!A30)*12.9898+(0)*78.233+Inputs!$C$47*37.719))*43758.5453)))-1))))/1000)))*1000/Inputs!$C$12)-Model_Data!F30))-(-(((SQRT((Model_Data!A30)^2+Inputs!$C$6^2+(Inputs!$C$5-((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(0.45*SIN(2*PI()*(((Model_Data!A30)/Inputs!$C$49)+Inputs!$C$47*0.137))+0.35*COS(2*PI()*(((Inputs!$C$6)/Inputs!$C$50)+Inputs!$C$47*0.173))+0.20*SIN(2*PI()*(((Model_Data!A30)+(Inputs!$C$6))/(0.5*(Inputs!$C$49+Inputs!$C$50))+Inputs!$C$47*0.097)))+0.30*(2*((SIN(((Model_Data!A30)*12.9898+(Inputs!$C$6)*78.233+Inputs!$C$47*37.719))*43758.5453)-INT((SIN(((Model_Data!A30)*12.9898+(Inputs!$C$6)*78.233+Inputs!$C$47*37.719))*43758.5453)))-1))))/1000)^2)-(Inputs!$C$5-((Inputs!$C$51*(115*EXP(-(((0)-25)^2)/(4.5^2))+70*EXP(-(((0)+38)^2)/(7^2))*(0.55+0.45*SIN(2*PI()*(Model_Data!A30)/45))+24*SIN(2*PI()*(0)/9+(Model_Data!A30)/18)*EXP(-(((0)+5)^2)/(22^2))+18*SIN(2*PI()*(Model_Data!A30)/70))+Inputs!$C$28*EXP(-(((Model_Data!A30)-Inputs!$C$29)^2)/(2*Inputs!$C$31^2))*EXP(-(((0)-Inputs!$C$30)^2)/(2*Inputs!$C$32^2))+-Inputs!$C$33*EXP(-(((((Model_Data!A30)-Inputs!$C$34)^2)+(((0)-Inputs!$C$35)^2))/(2*Inputs!$C$36^2)))+Inputs!$C$37*(0.55*SIN(2*PI()*(Model_Data!A30)/Inputs!$C$39)+0.35*COS(2*PI()*(0)/Inputs!$C$40)+0.2*SIN(2*PI()*((Model_Data!A30)+(0))/(0.5*(Inputs!$C$39+Inputs!$C$40))))+Inputs!$C$38*SIN(2*PI()*(Model_Data!A30)/Inputs!$C$39)*SIN(2*PI()*(0)/Inputs!$C$40)+-Inputs!$C$41*EXP(-(((0)-Inputs!$C$43)^2)/(2*Inputs!$C$44^2))*EXP(-(((Model_Data!A30)-Inputs!$C$42)^2)/(2*Inputs!$C$45^2))+Inputs!$C$48*(0.70*(0.45*SIN(2*PI()*(((Model_Data!A30)/Inputs!$C$49)+Inputs!$C$47*0.137))+0.35*COS(2*PI()*(((0)/Inputs!$C$50)+Inputs!$C$47*0.173))+0.20*SIN(2*PI()*(((Model_Data!A30)+(0))/(0.5*(Inputs!$C$49+Inputs!$C$50))+Inputs!$C$47*0.097)))+0.30*(2*((SIN(((Model_Data!A30)*12.9898+(0)*78.233+Inputs!$C$47*37.719))*43758.5453)-INT((SIN(((Model_Data!A30)*12.9898+(0)*78.233+Inputs!$C$47*37.719))*43758.5453)))-1))))/1000))*1000/Inputs!$C$12)-((SQRT((Model_Data!A30)^2+Inputs!$C$6^2+Inputs!$C$5^2)-Inputs!$C$5)*1000/Inputs!$C$12)))</x:f>
        <x:v>0.012990718681066937</x:v>
      </x:c>
      <x:c r="X30" s="48" t="n">
        <x:f>0</x:f>
        <x:v>0</x:v>
      </x:c>
      <x:c r="Y30" s="49"/>
      <x:c r="Z30" s="48" t="n">
        <x:f>Model_Data!A30</x:f>
        <x:v>-46</x:v>
      </x:c>
      <x:c r="AA30" s="48" t="n">
        <x:f>SQRT((Model_Data!A30)^2+Inputs!$C$6^2+((Model_Data!B30)-((Inputs!$C$51*(115*EXP(-(((Inputs!$C$6)-25)^2)/(4.5^2))+70*EXP(-(((Inputs!$C$6)+38)^2)/(7^2))*(0.55+0.45*SIN(2*PI()*(Model_Data!A30)/45))+24*SIN(2*PI()*(Inputs!$C$6)/9+(Model_Data!A30)/18)*EXP(-(((Inputs!$C$6)+5)^2)/(22^2))+18*SIN(2*PI()*(Model_Data!A30)/70))+Inputs!$C$28*EXP(-(((Model_Data!A30)-Inputs!$C$29)^2)/(2*Inputs!$C$31^2))*EXP(-(((Inputs!$C$6)-Inputs!$C$30)^2)/(2*Inputs!$C$32^2))+-Inputs!$C$33*EXP(-(((((Model_Data!A30)-Inputs!$C$34)^2)+(((Inputs!$C$6)-Inputs!$C$35)^2))/(2*Inputs!$C$36^2)))+Inputs!$C$37*(0.55*SIN(2*PI()*(Model_Data!A30)/Inputs!$C$39)+0.35*COS(2*PI()*(Inputs!$C$6)/Inputs!$C$40)+0.2*SIN(2*PI()*((Model_Data!A30)+(Inputs!$C$6))/(0.5*(Inputs!$C$39+Inputs!$C$40))))+Inputs!$C$38*SIN(2*PI()*(Model_Data!A30)/Inputs!$C$39)*SIN(2*PI()*(Inputs!$C$6)/Inputs!$C$40)+-Inputs!$C$41*EXP(-(((Inputs!$C$6)-Inputs!$C$43)^2)/(2*Inputs!$C$44^2))*EXP(-(((Model_Data!A30)-Inputs!$C$42)^2)/(2*Inputs!$C$45^2))+Inputs!$C$48*(0.70*(0.45*SIN(2*PI()*(((Model_Data!A30)/Inputs!$C$49)+Inputs!$C$47*0.137))+0.35*COS(2*PI()*(((Inputs!$C$6)/Inputs!$C$50)+Inputs!$C$47*0.173))+0.20*SIN(2*PI()*(((Model_Data!A30)+(Inputs!$C$6))/(0.5*(Inputs!$C$49+Inputs!$C$50))+Inputs!$C$47*0.097)))+0.30*(2*((SIN(((Model_Data!A30)*12.9898+(Inputs!$C$6)*78.233+Inputs!$C$47*37.719))*43758.5453)-INT((SIN(((Model_Data!A30)*12.9898+(Inputs!$C$6)*78.233+Inputs!$C$47*37.719))*43758.5453)))-1))))/1000)^2)</x:f>
        <x:v>405.507623710842</x:v>
      </x:c>
      <x:c r="AB30" s="48" t="n">
        <x:f>1000*(AA31-AA29)/(Z31-Z29)*Inputs!$C$11</x:f>
        <x:v>-765.1652626680061</x:v>
      </x:c>
      <x:c r="AC30" s="48" t="n">
        <x:f>-2*AB30/Inputs!$C$13</x:f>
        <x:v>306.06610506720244</x:v>
      </x:c>
      <x:c r="AD30" s="48" t="n">
        <x:f>-2*AB30/Inputs!$C$14</x:f>
        <x:v>45.955871631712085</x:v>
      </x:c>
    </x:row>
    <x:row r="31">
      <x:c r="A31" s="48" t="n">
        <x:f>Model_Data!A31</x:f>
        <x:v>-45.5</x:v>
      </x:c>
      <x:c r="B31" s="48" t="n">
        <x:f>Model_Data!F31</x:f>
        <x:v>1874.139056732528</x:v>
      </x:c>
      <x:c r="C31" s="48" t="n">
        <x:f>(((SQRT((Model_Data!A31)^2+Inputs!$C$6^2+((Model_Data!B31)-((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(0.45*SIN(2*PI()*(((Model_Data!A31)/Inputs!$C$49)+Inputs!$C$47*0.137))+0.35*COS(2*PI()*(((Inputs!$C$6)/Inputs!$C$50)+Inputs!$C$47*0.173))+0.20*SIN(2*PI()*(((Model_Data!A31)+(Inputs!$C$6))/(0.5*(Inputs!$C$49+Inputs!$C$50))+Inputs!$C$47*0.097)))+0.30*(2*((SIN(((Model_Data!A31)*12.9898+(Inputs!$C$6)*78.233+Inputs!$C$47*37.719))*43758.5453)-INT((SIN(((Model_Data!A31)*12.9898+(Inputs!$C$6)*78.233+Inputs!$C$47*37.719))*43758.5453)))-1))))/1000)^2))-(((Model_Data!B31)-((Inputs!$C$51*(115*EXP(-(((0)-25)^2)/(4.5^2))+70*EXP(-(((0)+38)^2)/(7^2))*(0.55+0.45*SIN(2*PI()*(Model_Data!A31)/45))+24*SIN(2*PI()*(0)/9+(Model_Data!A31)/18)*EXP(-(((0)+5)^2)/(22^2))+18*SIN(2*PI()*(Model_Data!A31)/70))+Inputs!$C$28*EXP(-(((Model_Data!A31)-Inputs!$C$29)^2)/(2*Inputs!$C$31^2))*EXP(-(((0)-Inputs!$C$30)^2)/(2*Inputs!$C$32^2))+-Inputs!$C$33*EXP(-(((((Model_Data!A31)-Inputs!$C$34)^2)+(((0)-Inputs!$C$35)^2))/(2*Inputs!$C$36^2)))+Inputs!$C$37*(0.55*SIN(2*PI()*(Model_Data!A31)/Inputs!$C$39)+0.35*COS(2*PI()*(0)/Inputs!$C$40)+0.2*SIN(2*PI()*((Model_Data!A31)+(0))/(0.5*(Inputs!$C$39+Inputs!$C$40))))+Inputs!$C$38*SIN(2*PI()*(Model_Data!A31)/Inputs!$C$39)*SIN(2*PI()*(0)/Inputs!$C$40)+-Inputs!$C$41*EXP(-(((0)-Inputs!$C$43)^2)/(2*Inputs!$C$44^2))*EXP(-(((Model_Data!A31)-Inputs!$C$42)^2)/(2*Inputs!$C$45^2))+Inputs!$C$48*(0.70*(0.45*SIN(2*PI()*(((Model_Data!A31)/Inputs!$C$49)+Inputs!$C$47*0.137))+0.35*COS(2*PI()*(((0)/Inputs!$C$50)+Inputs!$C$47*0.173))+0.20*SIN(2*PI()*(((Model_Data!A31)+(0))/(0.5*(Inputs!$C$49+Inputs!$C$50))+Inputs!$C$47*0.097)))+0.30*(2*((SIN(((Model_Data!A31)*12.9898+(0)*78.233+Inputs!$C$47*37.719))*43758.5453)-INT((SIN(((Model_Data!A31)*12.9898+(0)*78.233+Inputs!$C$47*37.719))*43758.5453)))-1))))/1000)))*1000/Inputs!$C$12)</x:f>
        <x:v>1766.6898796078244</x:v>
      </x:c>
      <x:c r="D31" s="49"/>
      <x:c r="E31" s="48" t="n">
        <x:f>Model_Data!A31</x:f>
        <x:v>-45.5</x:v>
      </x:c>
      <x:c r="F31" s="48" t="n">
        <x:f>(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(0.45*SIN(2*PI()*(((Model_Data!A31)/Inputs!$C$49)+Inputs!$C$47*0.137))+0.35*COS(2*PI()*(((Inputs!$C$6)/Inputs!$C$50)+Inputs!$C$47*0.173))+0.20*SIN(2*PI()*(((Model_Data!A31)+(Inputs!$C$6))/(0.5*(Inputs!$C$49+Inputs!$C$50))+Inputs!$C$47*0.097)))+0.30*(2*((SIN(((Model_Data!A31)*12.9898+(Inputs!$C$6)*78.233+Inputs!$C$47*37.719))*43758.5453)-INT((SIN(((Model_Data!A31)*12.9898+(Inputs!$C$6)*78.233+Inputs!$C$47*37.719))*43758.5453)))-1)))</x:f>
        <x:v>230.03534200748854</x:v>
      </x:c>
      <x:c r="G31" s="48" t="n">
        <x:f>(Inputs!$C$51*(115*EXP(-(((0)-25)^2)/(4.5^2))+70*EXP(-(((0)+38)^2)/(7^2))*(0.55+0.45*SIN(2*PI()*(Model_Data!A31)/45))+24*SIN(2*PI()*(0)/9+(Model_Data!A31)/18)*EXP(-(((0)+5)^2)/(22^2))+18*SIN(2*PI()*(Model_Data!A31)/70))+Inputs!$C$28*EXP(-(((Model_Data!A31)-Inputs!$C$29)^2)/(2*Inputs!$C$31^2))*EXP(-(((0)-Inputs!$C$30)^2)/(2*Inputs!$C$32^2))+-Inputs!$C$33*EXP(-(((((Model_Data!A31)-Inputs!$C$34)^2)+(((0)-Inputs!$C$35)^2))/(2*Inputs!$C$36^2)))+Inputs!$C$37*(0.55*SIN(2*PI()*(Model_Data!A31)/Inputs!$C$39)+0.35*COS(2*PI()*(0)/Inputs!$C$40)+0.2*SIN(2*PI()*((Model_Data!A31)+(0))/(0.5*(Inputs!$C$39+Inputs!$C$40))))+Inputs!$C$38*SIN(2*PI()*(Model_Data!A31)/Inputs!$C$39)*SIN(2*PI()*(0)/Inputs!$C$40)+-Inputs!$C$41*EXP(-(((0)-Inputs!$C$43)^2)/(2*Inputs!$C$44^2))*EXP(-(((Model_Data!A31)-Inputs!$C$42)^2)/(2*Inputs!$C$45^2))+Inputs!$C$48*(0.70*(0.45*SIN(2*PI()*(((Model_Data!A31)/Inputs!$C$49)+Inputs!$C$47*0.137))+0.35*COS(2*PI()*(((0)/Inputs!$C$50)+Inputs!$C$47*0.173))+0.20*SIN(2*PI()*(((Model_Data!A31)+(0))/(0.5*(Inputs!$C$49+Inputs!$C$50))+Inputs!$C$47*0.097)))+0.30*(2*((SIN(((Model_Data!A31)*12.9898+(0)*78.233+Inputs!$C$47*37.719))*43758.5453)-INT((SIN(((Model_Data!A31)*12.9898+(0)*78.233+Inputs!$C$47*37.719))*43758.5453)))-1)))</x:f>
        <x:v>36.8829185081177</x:v>
      </x:c>
      <x:c r="H31" s="49"/>
      <x:c r="I31" s="48" t="n">
        <x:f>Model_Data!A31</x:f>
        <x:v>-45.5</x:v>
      </x:c>
      <x:c r="J31" s="48" t="n">
        <x:f>((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(0.45*SIN(2*PI()*(((Model_Data!A31)/Inputs!$C$49)+Inputs!$C$47*0.137))+0.35*COS(2*PI()*(((Inputs!$C$6)/Inputs!$C$50)+Inputs!$C$47*0.173))+0.20*SIN(2*PI()*(((Model_Data!A31)+(Inputs!$C$6))/(0.5*(Inputs!$C$49+Inputs!$C$50))+Inputs!$C$47*0.097)))+0.30*(2*((SIN(((Model_Data!A31)*12.9898+(Inputs!$C$6)*78.233+Inputs!$C$47*37.719))*43758.5453)-INT((SIN(((Model_Data!A31)*12.9898+(Inputs!$C$6)*78.233+Inputs!$C$47*37.719))*43758.5453)))-1))))-((Inputs!$C$51*(115*EXP(-(((0)-25)^2)/(4.5^2))+70*EXP(-(((0)+38)^2)/(7^2))*(0.55+0.45*SIN(2*PI()*(Model_Data!A31)/45))+24*SIN(2*PI()*(0)/9+(Model_Data!A31)/18)*EXP(-(((0)+5)^2)/(22^2))+18*SIN(2*PI()*(Model_Data!A31)/70))+Inputs!$C$28*EXP(-(((Model_Data!A31)-Inputs!$C$29)^2)/(2*Inputs!$C$31^2))*EXP(-(((0)-Inputs!$C$30)^2)/(2*Inputs!$C$32^2))+-Inputs!$C$33*EXP(-(((((Model_Data!A31)-Inputs!$C$34)^2)+(((0)-Inputs!$C$35)^2))/(2*Inputs!$C$36^2)))+Inputs!$C$37*(0.55*SIN(2*PI()*(Model_Data!A31)/Inputs!$C$39)+0.35*COS(2*PI()*(0)/Inputs!$C$40)+0.2*SIN(2*PI()*((Model_Data!A31)+(0))/(0.5*(Inputs!$C$39+Inputs!$C$40))))+Inputs!$C$38*SIN(2*PI()*(Model_Data!A31)/Inputs!$C$39)*SIN(2*PI()*(0)/Inputs!$C$40)+-Inputs!$C$41*EXP(-(((0)-Inputs!$C$43)^2)/(2*Inputs!$C$44^2))*EXP(-(((Model_Data!A31)-Inputs!$C$42)^2)/(2*Inputs!$C$45^2))+Inputs!$C$48*(0.70*(0.45*SIN(2*PI()*(((Model_Data!A31)/Inputs!$C$49)+Inputs!$C$47*0.137))+0.35*COS(2*PI()*(((0)/Inputs!$C$50)+Inputs!$C$47*0.173))+0.20*SIN(2*PI()*(((Model_Data!A31)+(0))/(0.5*(Inputs!$C$49+Inputs!$C$50))+Inputs!$C$47*0.097)))+0.30*(2*((SIN(((Model_Data!A31)*12.9898+(0)*78.233+Inputs!$C$47*37.719))*43758.5453)-INT((SIN(((Model_Data!A31)*12.9898+(0)*78.233+Inputs!$C$47*37.719))*43758.5453)))-1))))</x:f>
        <x:v>193.15242349937085</x:v>
      </x:c>
      <x:c r="K31" s="48" t="n">
        <x:f>-((((SQRT((Model_Data!A31)^2+Inputs!$C$6^2+((Model_Data!B31)-((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(0.45*SIN(2*PI()*(((Model_Data!A31)/Inputs!$C$49)+Inputs!$C$47*0.137))+0.35*COS(2*PI()*(((Inputs!$C$6)/Inputs!$C$50)+Inputs!$C$47*0.173))+0.20*SIN(2*PI()*(((Model_Data!A31)+(Inputs!$C$6))/(0.5*(Inputs!$C$49+Inputs!$C$50))+Inputs!$C$47*0.097)))+0.30*(2*((SIN(((Model_Data!A31)*12.9898+(Inputs!$C$6)*78.233+Inputs!$C$47*37.719))*43758.5453)-INT((SIN(((Model_Data!A31)*12.9898+(Inputs!$C$6)*78.233+Inputs!$C$47*37.719))*43758.5453)))-1))))/1000)^2))-(((Model_Data!B31)-((Inputs!$C$51*(115*EXP(-(((0)-25)^2)/(4.5^2))+70*EXP(-(((0)+38)^2)/(7^2))*(0.55+0.45*SIN(2*PI()*(Model_Data!A31)/45))+24*SIN(2*PI()*(0)/9+(Model_Data!A31)/18)*EXP(-(((0)+5)^2)/(22^2))+18*SIN(2*PI()*(Model_Data!A31)/70))+Inputs!$C$28*EXP(-(((Model_Data!A31)-Inputs!$C$29)^2)/(2*Inputs!$C$31^2))*EXP(-(((0)-Inputs!$C$30)^2)/(2*Inputs!$C$32^2))+-Inputs!$C$33*EXP(-(((((Model_Data!A31)-Inputs!$C$34)^2)+(((0)-Inputs!$C$35)^2))/(2*Inputs!$C$36^2)))+Inputs!$C$37*(0.55*SIN(2*PI()*(Model_Data!A31)/Inputs!$C$39)+0.35*COS(2*PI()*(0)/Inputs!$C$40)+0.2*SIN(2*PI()*((Model_Data!A31)+(0))/(0.5*(Inputs!$C$39+Inputs!$C$40))))+Inputs!$C$38*SIN(2*PI()*(Model_Data!A31)/Inputs!$C$39)*SIN(2*PI()*(0)/Inputs!$C$40)+-Inputs!$C$41*EXP(-(((0)-Inputs!$C$43)^2)/(2*Inputs!$C$44^2))*EXP(-(((Model_Data!A31)-Inputs!$C$42)^2)/(2*Inputs!$C$45^2))+Inputs!$C$48*(0.70*(0.45*SIN(2*PI()*(((Model_Data!A31)/Inputs!$C$49)+Inputs!$C$47*0.137))+0.35*COS(2*PI()*(((0)/Inputs!$C$50)+Inputs!$C$47*0.173))+0.20*SIN(2*PI()*(((Model_Data!A31)+(0))/(0.5*(Inputs!$C$49+Inputs!$C$50))+Inputs!$C$47*0.097)))+0.30*(2*((SIN(((Model_Data!A31)*12.9898+(0)*78.233+Inputs!$C$47*37.719))*43758.5453)-INT((SIN(((Model_Data!A31)*12.9898+(0)*78.233+Inputs!$C$47*37.719))*43758.5453)))-1))))/1000)))*1000/Inputs!$C$12)-Model_Data!F31)</x:f>
        <x:v>107.44917712470351</x:v>
      </x:c>
      <x:c r="L31" s="49"/>
      <x:c r="M31" s="48" t="n">
        <x:f>Model_Data!A31</x:f>
        <x:v>-45.5</x:v>
      </x:c>
      <x:c r="N31" s="48" t="n">
        <x:f>Model_Data!P31</x:f>
        <x:v>339.9184528905128</x:v>
      </x:c>
      <x:c r="O31" s="48" t="n">
        <x:f>AC31</x:f>
        <x:v>294.65885962363245</x:v>
      </x:c>
      <x:c r="P31" s="48" t="n">
        <x:f>Model_Data!Q31</x:f>
        <x:v>51.03880674031724</x:v>
      </x:c>
      <x:c r="Q31" s="48" t="n">
        <x:f>AD31</x:f>
        <x:v>44.24307201556043</x:v>
      </x:c>
      <x:c r="R31" s="49"/>
      <x:c r="S31" s="48" t="n">
        <x:f>Model_Data!A31</x:f>
        <x:v>-45.5</x:v>
      </x:c>
      <x:c r="T31" s="48" t="n">
        <x:f>Model_Data!B31-Inputs!$C$5</x:f>
        <x:v>2.300277777777751</x:v>
      </x:c>
      <x:c r="U31" s="49"/>
      <x:c r="V31" s="48" t="n">
        <x:f>Model_Data!A31</x:f>
        <x:v>-45.5</x:v>
      </x:c>
      <x:c r="W31" s="48" t="n">
        <x:f>(-((((SQRT((Model_Data!A31)^2+Inputs!$C$6^2+((Model_Data!B31)-((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(0.45*SIN(2*PI()*(((Model_Data!A31)/Inputs!$C$49)+Inputs!$C$47*0.137))+0.35*COS(2*PI()*(((Inputs!$C$6)/Inputs!$C$50)+Inputs!$C$47*0.173))+0.20*SIN(2*PI()*(((Model_Data!A31)+(Inputs!$C$6))/(0.5*(Inputs!$C$49+Inputs!$C$50))+Inputs!$C$47*0.097)))+0.30*(2*((SIN(((Model_Data!A31)*12.9898+(Inputs!$C$6)*78.233+Inputs!$C$47*37.719))*43758.5453)-INT((SIN(((Model_Data!A31)*12.9898+(Inputs!$C$6)*78.233+Inputs!$C$47*37.719))*43758.5453)))-1))))/1000)^2))-(((Model_Data!B31)-((Inputs!$C$51*(115*EXP(-(((0)-25)^2)/(4.5^2))+70*EXP(-(((0)+38)^2)/(7^2))*(0.55+0.45*SIN(2*PI()*(Model_Data!A31)/45))+24*SIN(2*PI()*(0)/9+(Model_Data!A31)/18)*EXP(-(((0)+5)^2)/(22^2))+18*SIN(2*PI()*(Model_Data!A31)/70))+Inputs!$C$28*EXP(-(((Model_Data!A31)-Inputs!$C$29)^2)/(2*Inputs!$C$31^2))*EXP(-(((0)-Inputs!$C$30)^2)/(2*Inputs!$C$32^2))+-Inputs!$C$33*EXP(-(((((Model_Data!A31)-Inputs!$C$34)^2)+(((0)-Inputs!$C$35)^2))/(2*Inputs!$C$36^2)))+Inputs!$C$37*(0.55*SIN(2*PI()*(Model_Data!A31)/Inputs!$C$39)+0.35*COS(2*PI()*(0)/Inputs!$C$40)+0.2*SIN(2*PI()*((Model_Data!A31)+(0))/(0.5*(Inputs!$C$39+Inputs!$C$40))))+Inputs!$C$38*SIN(2*PI()*(Model_Data!A31)/Inputs!$C$39)*SIN(2*PI()*(0)/Inputs!$C$40)+-Inputs!$C$41*EXP(-(((0)-Inputs!$C$43)^2)/(2*Inputs!$C$44^2))*EXP(-(((Model_Data!A31)-Inputs!$C$42)^2)/(2*Inputs!$C$45^2))+Inputs!$C$48*(0.70*(0.45*SIN(2*PI()*(((Model_Data!A31)/Inputs!$C$49)+Inputs!$C$47*0.137))+0.35*COS(2*PI()*(((0)/Inputs!$C$50)+Inputs!$C$47*0.173))+0.20*SIN(2*PI()*(((Model_Data!A31)+(0))/(0.5*(Inputs!$C$49+Inputs!$C$50))+Inputs!$C$47*0.097)))+0.30*(2*((SIN(((Model_Data!A31)*12.9898+(0)*78.233+Inputs!$C$47*37.719))*43758.5453)-INT((SIN(((Model_Data!A31)*12.9898+(0)*78.233+Inputs!$C$47*37.719))*43758.5453)))-1))))/1000)))*1000/Inputs!$C$12)-Model_Data!F31))-(-(((SQRT((Model_Data!A31)^2+Inputs!$C$6^2+(Inputs!$C$5-((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(0.45*SIN(2*PI()*(((Model_Data!A31)/Inputs!$C$49)+Inputs!$C$47*0.137))+0.35*COS(2*PI()*(((Inputs!$C$6)/Inputs!$C$50)+Inputs!$C$47*0.173))+0.20*SIN(2*PI()*(((Model_Data!A31)+(Inputs!$C$6))/(0.5*(Inputs!$C$49+Inputs!$C$50))+Inputs!$C$47*0.097)))+0.30*(2*((SIN(((Model_Data!A31)*12.9898+(Inputs!$C$6)*78.233+Inputs!$C$47*37.719))*43758.5453)-INT((SIN(((Model_Data!A31)*12.9898+(Inputs!$C$6)*78.233+Inputs!$C$47*37.719))*43758.5453)))-1))))/1000)^2)-(Inputs!$C$5-((Inputs!$C$51*(115*EXP(-(((0)-25)^2)/(4.5^2))+70*EXP(-(((0)+38)^2)/(7^2))*(0.55+0.45*SIN(2*PI()*(Model_Data!A31)/45))+24*SIN(2*PI()*(0)/9+(Model_Data!A31)/18)*EXP(-(((0)+5)^2)/(22^2))+18*SIN(2*PI()*(Model_Data!A31)/70))+Inputs!$C$28*EXP(-(((Model_Data!A31)-Inputs!$C$29)^2)/(2*Inputs!$C$31^2))*EXP(-(((0)-Inputs!$C$30)^2)/(2*Inputs!$C$32^2))+-Inputs!$C$33*EXP(-(((((Model_Data!A31)-Inputs!$C$34)^2)+(((0)-Inputs!$C$35)^2))/(2*Inputs!$C$36^2)))+Inputs!$C$37*(0.55*SIN(2*PI()*(Model_Data!A31)/Inputs!$C$39)+0.35*COS(2*PI()*(0)/Inputs!$C$40)+0.2*SIN(2*PI()*((Model_Data!A31)+(0))/(0.5*(Inputs!$C$39+Inputs!$C$40))))+Inputs!$C$38*SIN(2*PI()*(Model_Data!A31)/Inputs!$C$39)*SIN(2*PI()*(0)/Inputs!$C$40)+-Inputs!$C$41*EXP(-(((0)-Inputs!$C$43)^2)/(2*Inputs!$C$44^2))*EXP(-(((Model_Data!A31)-Inputs!$C$42)^2)/(2*Inputs!$C$45^2))+Inputs!$C$48*(0.70*(0.45*SIN(2*PI()*(((Model_Data!A31)/Inputs!$C$49)+Inputs!$C$47*0.137))+0.35*COS(2*PI()*(((0)/Inputs!$C$50)+Inputs!$C$47*0.173))+0.20*SIN(2*PI()*(((Model_Data!A31)+(0))/(0.5*(Inputs!$C$49+Inputs!$C$50))+Inputs!$C$47*0.097)))+0.30*(2*((SIN(((Model_Data!A31)*12.9898+(0)*78.233+Inputs!$C$47*37.719))*43758.5453)-INT((SIN(((Model_Data!A31)*12.9898+(0)*78.233+Inputs!$C$47*37.719))*43758.5453)))-1))))/1000))*1000/Inputs!$C$12)-((SQRT((Model_Data!A31)^2+Inputs!$C$6^2+Inputs!$C$5^2)-Inputs!$C$5)*1000/Inputs!$C$12)))</x:f>
        <x:v>0.01211677190553928</x:v>
      </x:c>
      <x:c r="X31" s="48" t="n">
        <x:f>0</x:f>
        <x:v>0</x:v>
      </x:c>
      <x:c r="Y31" s="49"/>
      <x:c r="Z31" s="48" t="n">
        <x:f>Model_Data!A31</x:f>
        <x:v>-45.5</x:v>
      </x:c>
      <x:c r="AA31" s="48" t="n">
        <x:f>SQRT((Model_Data!A31)^2+Inputs!$C$6^2+((Model_Data!B31)-((Inputs!$C$51*(115*EXP(-(((Inputs!$C$6)-25)^2)/(4.5^2))+70*EXP(-(((Inputs!$C$6)+38)^2)/(7^2))*(0.55+0.45*SIN(2*PI()*(Model_Data!A31)/45))+24*SIN(2*PI()*(Inputs!$C$6)/9+(Model_Data!A31)/18)*EXP(-(((Inputs!$C$6)+5)^2)/(22^2))+18*SIN(2*PI()*(Model_Data!A31)/70))+Inputs!$C$28*EXP(-(((Model_Data!A31)-Inputs!$C$29)^2)/(2*Inputs!$C$31^2))*EXP(-(((Inputs!$C$6)-Inputs!$C$30)^2)/(2*Inputs!$C$32^2))+-Inputs!$C$33*EXP(-(((((Model_Data!A31)-Inputs!$C$34)^2)+(((Inputs!$C$6)-Inputs!$C$35)^2))/(2*Inputs!$C$36^2)))+Inputs!$C$37*(0.55*SIN(2*PI()*(Model_Data!A31)/Inputs!$C$39)+0.35*COS(2*PI()*(Inputs!$C$6)/Inputs!$C$40)+0.2*SIN(2*PI()*((Model_Data!A31)+(Inputs!$C$6))/(0.5*(Inputs!$C$39+Inputs!$C$40))))+Inputs!$C$38*SIN(2*PI()*(Model_Data!A31)/Inputs!$C$39)*SIN(2*PI()*(Inputs!$C$6)/Inputs!$C$40)+-Inputs!$C$41*EXP(-(((Inputs!$C$6)-Inputs!$C$43)^2)/(2*Inputs!$C$44^2))*EXP(-(((Model_Data!A31)-Inputs!$C$42)^2)/(2*Inputs!$C$45^2))+Inputs!$C$48*(0.70*(0.45*SIN(2*PI()*(((Model_Data!A31)/Inputs!$C$49)+Inputs!$C$47*0.137))+0.35*COS(2*PI()*(((Inputs!$C$6)/Inputs!$C$50)+Inputs!$C$47*0.173))+0.20*SIN(2*PI()*(((Model_Data!A31)+(Inputs!$C$6))/(0.5*(Inputs!$C$49+Inputs!$C$50))+Inputs!$C$47*0.097)))+0.30*(2*((SIN(((Model_Data!A31)*12.9898+(Inputs!$C$6)*78.233+Inputs!$C$47*37.719))*43758.5453)-INT((SIN(((Model_Data!A31)*12.9898+(Inputs!$C$6)*78.233+Inputs!$C$47*37.719))*43758.5453)))-1))))/1000)^2)</x:f>
        <x:v>405.40810284497155</x:v>
      </x:c>
      <x:c r="AB31" s="48" t="n">
        <x:f>1000*(AA32-AA30)/(Z32-Z30)*Inputs!$C$11</x:f>
        <x:v>-736.6471490590811</x:v>
      </x:c>
      <x:c r="AC31" s="48" t="n">
        <x:f>-2*AB31/Inputs!$C$13</x:f>
        <x:v>294.65885962363245</x:v>
      </x:c>
      <x:c r="AD31" s="48" t="n">
        <x:f>-2*AB31/Inputs!$C$14</x:f>
        <x:v>44.24307201556043</x:v>
      </x:c>
    </x:row>
    <x:row r="32">
      <x:c r="A32" s="48" t="n">
        <x:f>Model_Data!A32</x:f>
        <x:v>-45</x:v>
      </x:c>
      <x:c r="B32" s="48" t="n">
        <x:f>Model_Data!F32</x:f>
        <x:v>1843.0302193297173</x:v>
      </x:c>
      <x:c r="C32" s="48" t="n">
        <x:f>(((SQRT((Model_Data!A32)^2+Inputs!$C$6^2+((Model_Data!B32)-((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(0.45*SIN(2*PI()*(((Model_Data!A32)/Inputs!$C$49)+Inputs!$C$47*0.137))+0.35*COS(2*PI()*(((Inputs!$C$6)/Inputs!$C$50)+Inputs!$C$47*0.173))+0.20*SIN(2*PI()*(((Model_Data!A32)+(Inputs!$C$6))/(0.5*(Inputs!$C$49+Inputs!$C$50))+Inputs!$C$47*0.097)))+0.30*(2*((SIN(((Model_Data!A32)*12.9898+(Inputs!$C$6)*78.233+Inputs!$C$47*37.719))*43758.5453)-INT((SIN(((Model_Data!A32)*12.9898+(Inputs!$C$6)*78.233+Inputs!$C$47*37.719))*43758.5453)))-1))))/1000)^2))-(((Model_Data!B32)-((Inputs!$C$51*(115*EXP(-(((0)-25)^2)/(4.5^2))+70*EXP(-(((0)+38)^2)/(7^2))*(0.55+0.45*SIN(2*PI()*(Model_Data!A32)/45))+24*SIN(2*PI()*(0)/9+(Model_Data!A32)/18)*EXP(-(((0)+5)^2)/(22^2))+18*SIN(2*PI()*(Model_Data!A32)/70))+Inputs!$C$28*EXP(-(((Model_Data!A32)-Inputs!$C$29)^2)/(2*Inputs!$C$31^2))*EXP(-(((0)-Inputs!$C$30)^2)/(2*Inputs!$C$32^2))+-Inputs!$C$33*EXP(-(((((Model_Data!A32)-Inputs!$C$34)^2)+(((0)-Inputs!$C$35)^2))/(2*Inputs!$C$36^2)))+Inputs!$C$37*(0.55*SIN(2*PI()*(Model_Data!A32)/Inputs!$C$39)+0.35*COS(2*PI()*(0)/Inputs!$C$40)+0.2*SIN(2*PI()*((Model_Data!A32)+(0))/(0.5*(Inputs!$C$39+Inputs!$C$40))))+Inputs!$C$38*SIN(2*PI()*(Model_Data!A32)/Inputs!$C$39)*SIN(2*PI()*(0)/Inputs!$C$40)+-Inputs!$C$41*EXP(-(((0)-Inputs!$C$43)^2)/(2*Inputs!$C$44^2))*EXP(-(((Model_Data!A32)-Inputs!$C$42)^2)/(2*Inputs!$C$45^2))+Inputs!$C$48*(0.70*(0.45*SIN(2*PI()*(((Model_Data!A32)/Inputs!$C$49)+Inputs!$C$47*0.137))+0.35*COS(2*PI()*(((0)/Inputs!$C$50)+Inputs!$C$47*0.173))+0.20*SIN(2*PI()*(((Model_Data!A32)+(0))/(0.5*(Inputs!$C$49+Inputs!$C$50))+Inputs!$C$47*0.097)))+0.30*(2*((SIN(((Model_Data!A32)*12.9898+(0)*78.233+Inputs!$C$47*37.719))*43758.5453)-INT((SIN(((Model_Data!A32)*12.9898+(0)*78.233+Inputs!$C$47*37.719))*43758.5453)))-1))))/1000)))*1000/Inputs!$C$12)</x:f>
        <x:v>1752.8433156914214</x:v>
      </x:c>
      <x:c r="D32" s="49"/>
      <x:c r="E32" s="48" t="n">
        <x:f>Model_Data!A32</x:f>
        <x:v>-45</x:v>
      </x:c>
      <x:c r="F32" s="48" t="n">
        <x:f>(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(0.45*SIN(2*PI()*(((Model_Data!A32)/Inputs!$C$49)+Inputs!$C$47*0.137))+0.35*COS(2*PI()*(((Inputs!$C$6)/Inputs!$C$50)+Inputs!$C$47*0.173))+0.20*SIN(2*PI()*(((Model_Data!A32)+(Inputs!$C$6))/(0.5*(Inputs!$C$49+Inputs!$C$50))+Inputs!$C$47*0.097)))+0.30*(2*((SIN(((Model_Data!A32)*12.9898+(Inputs!$C$6)*78.233+Inputs!$C$47*37.719))*43758.5453)-INT((SIN(((Model_Data!A32)*12.9898+(Inputs!$C$6)*78.233+Inputs!$C$47*37.719))*43758.5453)))-1)))</x:f>
        <x:v>208.8220272535724</x:v>
      </x:c>
      <x:c r="G32" s="48" t="n">
        <x:f>(Inputs!$C$51*(115*EXP(-(((0)-25)^2)/(4.5^2))+70*EXP(-(((0)+38)^2)/(7^2))*(0.55+0.45*SIN(2*PI()*(Model_Data!A32)/45))+24*SIN(2*PI()*(0)/9+(Model_Data!A32)/18)*EXP(-(((0)+5)^2)/(22^2))+18*SIN(2*PI()*(Model_Data!A32)/70))+Inputs!$C$28*EXP(-(((Model_Data!A32)-Inputs!$C$29)^2)/(2*Inputs!$C$31^2))*EXP(-(((0)-Inputs!$C$30)^2)/(2*Inputs!$C$32^2))+-Inputs!$C$33*EXP(-(((((Model_Data!A32)-Inputs!$C$34)^2)+(((0)-Inputs!$C$35)^2))/(2*Inputs!$C$36^2)))+Inputs!$C$37*(0.55*SIN(2*PI()*(Model_Data!A32)/Inputs!$C$39)+0.35*COS(2*PI()*(0)/Inputs!$C$40)+0.2*SIN(2*PI()*((Model_Data!A32)+(0))/(0.5*(Inputs!$C$39+Inputs!$C$40))))+Inputs!$C$38*SIN(2*PI()*(Model_Data!A32)/Inputs!$C$39)*SIN(2*PI()*(0)/Inputs!$C$40)+-Inputs!$C$41*EXP(-(((0)-Inputs!$C$43)^2)/(2*Inputs!$C$44^2))*EXP(-(((Model_Data!A32)-Inputs!$C$42)^2)/(2*Inputs!$C$45^2))+Inputs!$C$48*(0.70*(0.45*SIN(2*PI()*(((Model_Data!A32)/Inputs!$C$49)+Inputs!$C$47*0.137))+0.35*COS(2*PI()*(((0)/Inputs!$C$50)+Inputs!$C$47*0.173))+0.20*SIN(2*PI()*(((Model_Data!A32)+(0))/(0.5*(Inputs!$C$49+Inputs!$C$50))+Inputs!$C$47*0.097)))+0.30*(2*((SIN(((Model_Data!A32)*12.9898+(0)*78.233+Inputs!$C$47*37.719))*43758.5453)-INT((SIN(((Model_Data!A32)*12.9898+(0)*78.233+Inputs!$C$47*37.719))*43758.5453)))-1)))</x:f>
        <x:v>46.59917835352822</x:v>
      </x:c>
      <x:c r="H32" s="49"/>
      <x:c r="I32" s="48" t="n">
        <x:f>Model_Data!A32</x:f>
        <x:v>-45</x:v>
      </x:c>
      <x:c r="J32" s="48" t="n">
        <x:f>((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(0.45*SIN(2*PI()*(((Model_Data!A32)/Inputs!$C$49)+Inputs!$C$47*0.137))+0.35*COS(2*PI()*(((Inputs!$C$6)/Inputs!$C$50)+Inputs!$C$47*0.173))+0.20*SIN(2*PI()*(((Model_Data!A32)+(Inputs!$C$6))/(0.5*(Inputs!$C$49+Inputs!$C$50))+Inputs!$C$47*0.097)))+0.30*(2*((SIN(((Model_Data!A32)*12.9898+(Inputs!$C$6)*78.233+Inputs!$C$47*37.719))*43758.5453)-INT((SIN(((Model_Data!A32)*12.9898+(Inputs!$C$6)*78.233+Inputs!$C$47*37.719))*43758.5453)))-1))))-((Inputs!$C$51*(115*EXP(-(((0)-25)^2)/(4.5^2))+70*EXP(-(((0)+38)^2)/(7^2))*(0.55+0.45*SIN(2*PI()*(Model_Data!A32)/45))+24*SIN(2*PI()*(0)/9+(Model_Data!A32)/18)*EXP(-(((0)+5)^2)/(22^2))+18*SIN(2*PI()*(Model_Data!A32)/70))+Inputs!$C$28*EXP(-(((Model_Data!A32)-Inputs!$C$29)^2)/(2*Inputs!$C$31^2))*EXP(-(((0)-Inputs!$C$30)^2)/(2*Inputs!$C$32^2))+-Inputs!$C$33*EXP(-(((((Model_Data!A32)-Inputs!$C$34)^2)+(((0)-Inputs!$C$35)^2))/(2*Inputs!$C$36^2)))+Inputs!$C$37*(0.55*SIN(2*PI()*(Model_Data!A32)/Inputs!$C$39)+0.35*COS(2*PI()*(0)/Inputs!$C$40)+0.2*SIN(2*PI()*((Model_Data!A32)+(0))/(0.5*(Inputs!$C$39+Inputs!$C$40))))+Inputs!$C$38*SIN(2*PI()*(Model_Data!A32)/Inputs!$C$39)*SIN(2*PI()*(0)/Inputs!$C$40)+-Inputs!$C$41*EXP(-(((0)-Inputs!$C$43)^2)/(2*Inputs!$C$44^2))*EXP(-(((Model_Data!A32)-Inputs!$C$42)^2)/(2*Inputs!$C$45^2))+Inputs!$C$48*(0.70*(0.45*SIN(2*PI()*(((Model_Data!A32)/Inputs!$C$49)+Inputs!$C$47*0.137))+0.35*COS(2*PI()*(((0)/Inputs!$C$50)+Inputs!$C$47*0.173))+0.20*SIN(2*PI()*(((Model_Data!A32)+(0))/(0.5*(Inputs!$C$49+Inputs!$C$50))+Inputs!$C$47*0.097)))+0.30*(2*((SIN(((Model_Data!A32)*12.9898+(0)*78.233+Inputs!$C$47*37.719))*43758.5453)-INT((SIN(((Model_Data!A32)*12.9898+(0)*78.233+Inputs!$C$47*37.719))*43758.5453)))-1))))</x:f>
        <x:v>162.2228489000442</x:v>
      </x:c>
      <x:c r="K32" s="48" t="n">
        <x:f>-((((SQRT((Model_Data!A32)^2+Inputs!$C$6^2+((Model_Data!B32)-((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(0.45*SIN(2*PI()*(((Model_Data!A32)/Inputs!$C$49)+Inputs!$C$47*0.137))+0.35*COS(2*PI()*(((Inputs!$C$6)/Inputs!$C$50)+Inputs!$C$47*0.173))+0.20*SIN(2*PI()*(((Model_Data!A32)+(Inputs!$C$6))/(0.5*(Inputs!$C$49+Inputs!$C$50))+Inputs!$C$47*0.097)))+0.30*(2*((SIN(((Model_Data!A32)*12.9898+(Inputs!$C$6)*78.233+Inputs!$C$47*37.719))*43758.5453)-INT((SIN(((Model_Data!A32)*12.9898+(Inputs!$C$6)*78.233+Inputs!$C$47*37.719))*43758.5453)))-1))))/1000)^2))-(((Model_Data!B32)-((Inputs!$C$51*(115*EXP(-(((0)-25)^2)/(4.5^2))+70*EXP(-(((0)+38)^2)/(7^2))*(0.55+0.45*SIN(2*PI()*(Model_Data!A32)/45))+24*SIN(2*PI()*(0)/9+(Model_Data!A32)/18)*EXP(-(((0)+5)^2)/(22^2))+18*SIN(2*PI()*(Model_Data!A32)/70))+Inputs!$C$28*EXP(-(((Model_Data!A32)-Inputs!$C$29)^2)/(2*Inputs!$C$31^2))*EXP(-(((0)-Inputs!$C$30)^2)/(2*Inputs!$C$32^2))+-Inputs!$C$33*EXP(-(((((Model_Data!A32)-Inputs!$C$34)^2)+(((0)-Inputs!$C$35)^2))/(2*Inputs!$C$36^2)))+Inputs!$C$37*(0.55*SIN(2*PI()*(Model_Data!A32)/Inputs!$C$39)+0.35*COS(2*PI()*(0)/Inputs!$C$40)+0.2*SIN(2*PI()*((Model_Data!A32)+(0))/(0.5*(Inputs!$C$39+Inputs!$C$40))))+Inputs!$C$38*SIN(2*PI()*(Model_Data!A32)/Inputs!$C$39)*SIN(2*PI()*(0)/Inputs!$C$40)+-Inputs!$C$41*EXP(-(((0)-Inputs!$C$43)^2)/(2*Inputs!$C$44^2))*EXP(-(((Model_Data!A32)-Inputs!$C$42)^2)/(2*Inputs!$C$45^2))+Inputs!$C$48*(0.70*(0.45*SIN(2*PI()*(((Model_Data!A32)/Inputs!$C$49)+Inputs!$C$47*0.137))+0.35*COS(2*PI()*(((0)/Inputs!$C$50)+Inputs!$C$47*0.173))+0.20*SIN(2*PI()*(((Model_Data!A32)+(0))/(0.5*(Inputs!$C$49+Inputs!$C$50))+Inputs!$C$47*0.097)))+0.30*(2*((SIN(((Model_Data!A32)*12.9898+(0)*78.233+Inputs!$C$47*37.719))*43758.5453)-INT((SIN(((Model_Data!A32)*12.9898+(0)*78.233+Inputs!$C$47*37.719))*43758.5453)))-1))))/1000)))*1000/Inputs!$C$12)-Model_Data!F32)</x:f>
        <x:v>90.18690363829592</x:v>
      </x:c>
      <x:c r="L32" s="49"/>
      <x:c r="M32" s="48" t="n">
        <x:f>Model_Data!A32</x:f>
        <x:v>-45</x:v>
      </x:c>
      <x:c r="N32" s="48" t="n">
        <x:f>Model_Data!P32</x:f>
        <x:v>336.250833076421</x:v>
      </x:c>
      <x:c r="O32" s="48" t="n">
        <x:f>AC32</x:f>
        <x:v>291.31673931651676</x:v>
      </x:c>
      <x:c r="P32" s="48" t="n">
        <x:f>Model_Data!Q32</x:f>
        <x:v>50.48811307453769</x:v>
      </x:c>
      <x:c r="Q32" s="48" t="n">
        <x:f>AD32</x:f>
        <x:v>43.741252149627144</x:v>
      </x:c>
      <x:c r="R32" s="49"/>
      <x:c r="S32" s="48" t="n">
        <x:f>Model_Data!A32</x:f>
        <x:v>-45</x:v>
      </x:c>
      <x:c r="T32" s="48" t="n">
        <x:f>Model_Data!B32-Inputs!$C$5</x:f>
        <x:v>2.25</x:v>
      </x:c>
      <x:c r="U32" s="49"/>
      <x:c r="V32" s="48" t="n">
        <x:f>Model_Data!A32</x:f>
        <x:v>-45</x:v>
      </x:c>
      <x:c r="W32" s="48" t="n">
        <x:f>(-((((SQRT((Model_Data!A32)^2+Inputs!$C$6^2+((Model_Data!B32)-((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(0.45*SIN(2*PI()*(((Model_Data!A32)/Inputs!$C$49)+Inputs!$C$47*0.137))+0.35*COS(2*PI()*(((Inputs!$C$6)/Inputs!$C$50)+Inputs!$C$47*0.173))+0.20*SIN(2*PI()*(((Model_Data!A32)+(Inputs!$C$6))/(0.5*(Inputs!$C$49+Inputs!$C$50))+Inputs!$C$47*0.097)))+0.30*(2*((SIN(((Model_Data!A32)*12.9898+(Inputs!$C$6)*78.233+Inputs!$C$47*37.719))*43758.5453)-INT((SIN(((Model_Data!A32)*12.9898+(Inputs!$C$6)*78.233+Inputs!$C$47*37.719))*43758.5453)))-1))))/1000)^2))-(((Model_Data!B32)-((Inputs!$C$51*(115*EXP(-(((0)-25)^2)/(4.5^2))+70*EXP(-(((0)+38)^2)/(7^2))*(0.55+0.45*SIN(2*PI()*(Model_Data!A32)/45))+24*SIN(2*PI()*(0)/9+(Model_Data!A32)/18)*EXP(-(((0)+5)^2)/(22^2))+18*SIN(2*PI()*(Model_Data!A32)/70))+Inputs!$C$28*EXP(-(((Model_Data!A32)-Inputs!$C$29)^2)/(2*Inputs!$C$31^2))*EXP(-(((0)-Inputs!$C$30)^2)/(2*Inputs!$C$32^2))+-Inputs!$C$33*EXP(-(((((Model_Data!A32)-Inputs!$C$34)^2)+(((0)-Inputs!$C$35)^2))/(2*Inputs!$C$36^2)))+Inputs!$C$37*(0.55*SIN(2*PI()*(Model_Data!A32)/Inputs!$C$39)+0.35*COS(2*PI()*(0)/Inputs!$C$40)+0.2*SIN(2*PI()*((Model_Data!A32)+(0))/(0.5*(Inputs!$C$39+Inputs!$C$40))))+Inputs!$C$38*SIN(2*PI()*(Model_Data!A32)/Inputs!$C$39)*SIN(2*PI()*(0)/Inputs!$C$40)+-Inputs!$C$41*EXP(-(((0)-Inputs!$C$43)^2)/(2*Inputs!$C$44^2))*EXP(-(((Model_Data!A32)-Inputs!$C$42)^2)/(2*Inputs!$C$45^2))+Inputs!$C$48*(0.70*(0.45*SIN(2*PI()*(((Model_Data!A32)/Inputs!$C$49)+Inputs!$C$47*0.137))+0.35*COS(2*PI()*(((0)/Inputs!$C$50)+Inputs!$C$47*0.173))+0.20*SIN(2*PI()*(((Model_Data!A32)+(0))/(0.5*(Inputs!$C$49+Inputs!$C$50))+Inputs!$C$47*0.097)))+0.30*(2*((SIN(((Model_Data!A32)*12.9898+(0)*78.233+Inputs!$C$47*37.719))*43758.5453)-INT((SIN(((Model_Data!A32)*12.9898+(0)*78.233+Inputs!$C$47*37.719))*43758.5453)))-1))))/1000)))*1000/Inputs!$C$12)-Model_Data!F32))-(-(((SQRT((Model_Data!A32)^2+Inputs!$C$6^2+(Inputs!$C$5-((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(0.45*SIN(2*PI()*(((Model_Data!A32)/Inputs!$C$49)+Inputs!$C$47*0.137))+0.35*COS(2*PI()*(((Inputs!$C$6)/Inputs!$C$50)+Inputs!$C$47*0.173))+0.20*SIN(2*PI()*(((Model_Data!A32)+(Inputs!$C$6))/(0.5*(Inputs!$C$49+Inputs!$C$50))+Inputs!$C$47*0.097)))+0.30*(2*((SIN(((Model_Data!A32)*12.9898+(Inputs!$C$6)*78.233+Inputs!$C$47*37.719))*43758.5453)-INT((SIN(((Model_Data!A32)*12.9898+(Inputs!$C$6)*78.233+Inputs!$C$47*37.719))*43758.5453)))-1))))/1000)^2)-(Inputs!$C$5-((Inputs!$C$51*(115*EXP(-(((0)-25)^2)/(4.5^2))+70*EXP(-(((0)+38)^2)/(7^2))*(0.55+0.45*SIN(2*PI()*(Model_Data!A32)/45))+24*SIN(2*PI()*(0)/9+(Model_Data!A32)/18)*EXP(-(((0)+5)^2)/(22^2))+18*SIN(2*PI()*(Model_Data!A32)/70))+Inputs!$C$28*EXP(-(((Model_Data!A32)-Inputs!$C$29)^2)/(2*Inputs!$C$31^2))*EXP(-(((0)-Inputs!$C$30)^2)/(2*Inputs!$C$32^2))+-Inputs!$C$33*EXP(-(((((Model_Data!A32)-Inputs!$C$34)^2)+(((0)-Inputs!$C$35)^2))/(2*Inputs!$C$36^2)))+Inputs!$C$37*(0.55*SIN(2*PI()*(Model_Data!A32)/Inputs!$C$39)+0.35*COS(2*PI()*(0)/Inputs!$C$40)+0.2*SIN(2*PI()*((Model_Data!A32)+(0))/(0.5*(Inputs!$C$39+Inputs!$C$40))))+Inputs!$C$38*SIN(2*PI()*(Model_Data!A32)/Inputs!$C$39)*SIN(2*PI()*(0)/Inputs!$C$40)+-Inputs!$C$41*EXP(-(((0)-Inputs!$C$43)^2)/(2*Inputs!$C$44^2))*EXP(-(((Model_Data!A32)-Inputs!$C$42)^2)/(2*Inputs!$C$45^2))+Inputs!$C$48*(0.70*(0.45*SIN(2*PI()*(((Model_Data!A32)/Inputs!$C$49)+Inputs!$C$47*0.137))+0.35*COS(2*PI()*(((0)/Inputs!$C$50)+Inputs!$C$47*0.173))+0.20*SIN(2*PI()*(((Model_Data!A32)+(0))/(0.5*(Inputs!$C$49+Inputs!$C$50))+Inputs!$C$47*0.097)))+0.30*(2*((SIN(((Model_Data!A32)*12.9898+(0)*78.233+Inputs!$C$47*37.719))*43758.5453)-INT((SIN(((Model_Data!A32)*12.9898+(0)*78.233+Inputs!$C$47*37.719))*43758.5453)))-1))))/1000))*1000/Inputs!$C$12)-((SQRT((Model_Data!A32)^2+Inputs!$C$6^2+Inputs!$C$5^2)-Inputs!$C$5)*1000/Inputs!$C$12)))</x:f>
        <x:v>0.010583861824898122</x:v>
      </x:c>
      <x:c r="X32" s="48" t="n">
        <x:f>0</x:f>
        <x:v>0</x:v>
      </x:c>
      <x:c r="Y32" s="49"/>
      <x:c r="Z32" s="48" t="n">
        <x:f>Model_Data!A32</x:f>
        <x:v>-45</x:v>
      </x:c>
      <x:c r="AA32" s="48" t="n">
        <x:f>SQRT((Model_Data!A32)^2+Inputs!$C$6^2+((Model_Data!B32)-((Inputs!$C$51*(115*EXP(-(((Inputs!$C$6)-25)^2)/(4.5^2))+70*EXP(-(((Inputs!$C$6)+38)^2)/(7^2))*(0.55+0.45*SIN(2*PI()*(Model_Data!A32)/45))+24*SIN(2*PI()*(Inputs!$C$6)/9+(Model_Data!A32)/18)*EXP(-(((Inputs!$C$6)+5)^2)/(22^2))+18*SIN(2*PI()*(Model_Data!A32)/70))+Inputs!$C$28*EXP(-(((Model_Data!A32)-Inputs!$C$29)^2)/(2*Inputs!$C$31^2))*EXP(-(((Inputs!$C$6)-Inputs!$C$30)^2)/(2*Inputs!$C$32^2))+-Inputs!$C$33*EXP(-(((((Model_Data!A32)-Inputs!$C$34)^2)+(((Inputs!$C$6)-Inputs!$C$35)^2))/(2*Inputs!$C$36^2)))+Inputs!$C$37*(0.55*SIN(2*PI()*(Model_Data!A32)/Inputs!$C$39)+0.35*COS(2*PI()*(Inputs!$C$6)/Inputs!$C$40)+0.2*SIN(2*PI()*((Model_Data!A32)+(Inputs!$C$6))/(0.5*(Inputs!$C$39+Inputs!$C$40))))+Inputs!$C$38*SIN(2*PI()*(Model_Data!A32)/Inputs!$C$39)*SIN(2*PI()*(Inputs!$C$6)/Inputs!$C$40)+-Inputs!$C$41*EXP(-(((Inputs!$C$6)-Inputs!$C$43)^2)/(2*Inputs!$C$44^2))*EXP(-(((Model_Data!A32)-Inputs!$C$42)^2)/(2*Inputs!$C$45^2))+Inputs!$C$48*(0.70*(0.45*SIN(2*PI()*(((Model_Data!A32)/Inputs!$C$49)+Inputs!$C$47*0.137))+0.35*COS(2*PI()*(((Inputs!$C$6)/Inputs!$C$50)+Inputs!$C$47*0.173))+0.20*SIN(2*PI()*(((Model_Data!A32)+(Inputs!$C$6))/(0.5*(Inputs!$C$49+Inputs!$C$50))+Inputs!$C$47*0.097)))+0.30*(2*((SIN(((Model_Data!A32)*12.9898+(Inputs!$C$6)*78.233+Inputs!$C$47*37.719))*43758.5453)-INT((SIN(((Model_Data!A32)*12.9898+(Inputs!$C$6)*78.233+Inputs!$C$47*37.719))*43758.5453)))-1))))/1000)^2)</x:f>
        <x:v>405.3234619235772</x:v>
      </x:c>
      <x:c r="AB32" s="48" t="n">
        <x:f>1000*(AA33-AA31)/(Z33-Z31)*Inputs!$C$11</x:f>
        <x:v>-728.2918482912919</x:v>
      </x:c>
      <x:c r="AC32" s="48" t="n">
        <x:f>-2*AB32/Inputs!$C$13</x:f>
        <x:v>291.31673931651676</x:v>
      </x:c>
      <x:c r="AD32" s="48" t="n">
        <x:f>-2*AB32/Inputs!$C$14</x:f>
        <x:v>43.741252149627144</x:v>
      </x:c>
    </x:row>
    <x:row r="33">
      <x:c r="A33" s="48" t="n">
        <x:f>Model_Data!A33</x:f>
        <x:v>-44.5</x:v>
      </x:c>
      <x:c r="B33" s="48" t="n">
        <x:f>Model_Data!F33</x:f>
        <x:v>1812.253358921519</x:v>
      </x:c>
      <x:c r="C33" s="48" t="n">
        <x:f>(((SQRT((Model_Data!A33)^2+Inputs!$C$6^2+((Model_Data!B33)-((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(0.45*SIN(2*PI()*(((Model_Data!A33)/Inputs!$C$49)+Inputs!$C$47*0.137))+0.35*COS(2*PI()*(((Inputs!$C$6)/Inputs!$C$50)+Inputs!$C$47*0.173))+0.20*SIN(2*PI()*(((Model_Data!A33)+(Inputs!$C$6))/(0.5*(Inputs!$C$49+Inputs!$C$50))+Inputs!$C$47*0.097)))+0.30*(2*((SIN(((Model_Data!A33)*12.9898+(Inputs!$C$6)*78.233+Inputs!$C$47*37.719))*43758.5453)-INT((SIN(((Model_Data!A33)*12.9898+(Inputs!$C$6)*78.233+Inputs!$C$47*37.719))*43758.5453)))-1))))/1000)^2))-(((Model_Data!B33)-((Inputs!$C$51*(115*EXP(-(((0)-25)^2)/(4.5^2))+70*EXP(-(((0)+38)^2)/(7^2))*(0.55+0.45*SIN(2*PI()*(Model_Data!A33)/45))+24*SIN(2*PI()*(0)/9+(Model_Data!A33)/18)*EXP(-(((0)+5)^2)/(22^2))+18*SIN(2*PI()*(Model_Data!A33)/70))+Inputs!$C$28*EXP(-(((Model_Data!A33)-Inputs!$C$29)^2)/(2*Inputs!$C$31^2))*EXP(-(((0)-Inputs!$C$30)^2)/(2*Inputs!$C$32^2))+-Inputs!$C$33*EXP(-(((((Model_Data!A33)-Inputs!$C$34)^2)+(((0)-Inputs!$C$35)^2))/(2*Inputs!$C$36^2)))+Inputs!$C$37*(0.55*SIN(2*PI()*(Model_Data!A33)/Inputs!$C$39)+0.35*COS(2*PI()*(0)/Inputs!$C$40)+0.2*SIN(2*PI()*((Model_Data!A33)+(0))/(0.5*(Inputs!$C$39+Inputs!$C$40))))+Inputs!$C$38*SIN(2*PI()*(Model_Data!A33)/Inputs!$C$39)*SIN(2*PI()*(0)/Inputs!$C$40)+-Inputs!$C$41*EXP(-(((0)-Inputs!$C$43)^2)/(2*Inputs!$C$44^2))*EXP(-(((Model_Data!A33)-Inputs!$C$42)^2)/(2*Inputs!$C$45^2))+Inputs!$C$48*(0.70*(0.45*SIN(2*PI()*(((Model_Data!A33)/Inputs!$C$49)+Inputs!$C$47*0.137))+0.35*COS(2*PI()*(((0)/Inputs!$C$50)+Inputs!$C$47*0.173))+0.20*SIN(2*PI()*(((Model_Data!A33)+(0))/(0.5*(Inputs!$C$49+Inputs!$C$50))+Inputs!$C$47*0.097)))+0.30*(2*((SIN(((Model_Data!A33)*12.9898+(0)*78.233+Inputs!$C$47*37.719))*43758.5453)-INT((SIN(((Model_Data!A33)*12.9898+(0)*78.233+Inputs!$C$47*37.719))*43758.5453)))-1))))/1000)))*1000/Inputs!$C$12)</x:f>
        <x:v>1715.5434962561048</x:v>
      </x:c>
      <x:c r="D33" s="49"/>
      <x:c r="E33" s="48" t="n">
        <x:f>Model_Data!A33</x:f>
        <x:v>-44.5</x:v>
      </x:c>
      <x:c r="F33" s="48" t="n">
        <x:f>(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(0.45*SIN(2*PI()*(((Model_Data!A33)/Inputs!$C$49)+Inputs!$C$47*0.137))+0.35*COS(2*PI()*(((Inputs!$C$6)/Inputs!$C$50)+Inputs!$C$47*0.173))+0.20*SIN(2*PI()*(((Model_Data!A33)+(Inputs!$C$6))/(0.5*(Inputs!$C$49+Inputs!$C$50))+Inputs!$C$47*0.097)))+0.30*(2*((SIN(((Model_Data!A33)*12.9898+(Inputs!$C$6)*78.233+Inputs!$C$47*37.719))*43758.5453)-INT((SIN(((Model_Data!A33)*12.9898+(Inputs!$C$6)*78.233+Inputs!$C$47*37.719))*43758.5453)))-1)))</x:f>
        <x:v>201.66422960156285</x:v>
      </x:c>
      <x:c r="G33" s="48" t="n">
        <x:f>(Inputs!$C$51*(115*EXP(-(((0)-25)^2)/(4.5^2))+70*EXP(-(((0)+38)^2)/(7^2))*(0.55+0.45*SIN(2*PI()*(Model_Data!A33)/45))+24*SIN(2*PI()*(0)/9+(Model_Data!A33)/18)*EXP(-(((0)+5)^2)/(22^2))+18*SIN(2*PI()*(Model_Data!A33)/70))+Inputs!$C$28*EXP(-(((Model_Data!A33)-Inputs!$C$29)^2)/(2*Inputs!$C$31^2))*EXP(-(((0)-Inputs!$C$30)^2)/(2*Inputs!$C$32^2))+-Inputs!$C$33*EXP(-(((((Model_Data!A33)-Inputs!$C$34)^2)+(((0)-Inputs!$C$35)^2))/(2*Inputs!$C$36^2)))+Inputs!$C$37*(0.55*SIN(2*PI()*(Model_Data!A33)/Inputs!$C$39)+0.35*COS(2*PI()*(0)/Inputs!$C$40)+0.2*SIN(2*PI()*((Model_Data!A33)+(0))/(0.5*(Inputs!$C$39+Inputs!$C$40))))+Inputs!$C$38*SIN(2*PI()*(Model_Data!A33)/Inputs!$C$39)*SIN(2*PI()*(0)/Inputs!$C$40)+-Inputs!$C$41*EXP(-(((0)-Inputs!$C$43)^2)/(2*Inputs!$C$44^2))*EXP(-(((Model_Data!A33)-Inputs!$C$42)^2)/(2*Inputs!$C$45^2))+Inputs!$C$48*(0.70*(0.45*SIN(2*PI()*(((Model_Data!A33)/Inputs!$C$49)+Inputs!$C$47*0.137))+0.35*COS(2*PI()*(((0)/Inputs!$C$50)+Inputs!$C$47*0.173))+0.20*SIN(2*PI()*(((Model_Data!A33)+(0))/(0.5*(Inputs!$C$49+Inputs!$C$50))+Inputs!$C$47*0.097)))+0.30*(2*((SIN(((Model_Data!A33)*12.9898+(0)*78.233+Inputs!$C$47*37.719))*43758.5453)-INT((SIN(((Model_Data!A33)*12.9898+(0)*78.233+Inputs!$C$47*37.719))*43758.5453)))-1)))</x:f>
        <x:v>27.91531821493412</x:v>
      </x:c>
      <x:c r="H33" s="49"/>
      <x:c r="I33" s="48" t="n">
        <x:f>Model_Data!A33</x:f>
        <x:v>-44.5</x:v>
      </x:c>
      <x:c r="J33" s="48" t="n">
        <x:f>((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(0.45*SIN(2*PI()*(((Model_Data!A33)/Inputs!$C$49)+Inputs!$C$47*0.137))+0.35*COS(2*PI()*(((Inputs!$C$6)/Inputs!$C$50)+Inputs!$C$47*0.173))+0.20*SIN(2*PI()*(((Model_Data!A33)+(Inputs!$C$6))/(0.5*(Inputs!$C$49+Inputs!$C$50))+Inputs!$C$47*0.097)))+0.30*(2*((SIN(((Model_Data!A33)*12.9898+(Inputs!$C$6)*78.233+Inputs!$C$47*37.719))*43758.5453)-INT((SIN(((Model_Data!A33)*12.9898+(Inputs!$C$6)*78.233+Inputs!$C$47*37.719))*43758.5453)))-1))))-((Inputs!$C$51*(115*EXP(-(((0)-25)^2)/(4.5^2))+70*EXP(-(((0)+38)^2)/(7^2))*(0.55+0.45*SIN(2*PI()*(Model_Data!A33)/45))+24*SIN(2*PI()*(0)/9+(Model_Data!A33)/18)*EXP(-(((0)+5)^2)/(22^2))+18*SIN(2*PI()*(Model_Data!A33)/70))+Inputs!$C$28*EXP(-(((Model_Data!A33)-Inputs!$C$29)^2)/(2*Inputs!$C$31^2))*EXP(-(((0)-Inputs!$C$30)^2)/(2*Inputs!$C$32^2))+-Inputs!$C$33*EXP(-(((((Model_Data!A33)-Inputs!$C$34)^2)+(((0)-Inputs!$C$35)^2))/(2*Inputs!$C$36^2)))+Inputs!$C$37*(0.55*SIN(2*PI()*(Model_Data!A33)/Inputs!$C$39)+0.35*COS(2*PI()*(0)/Inputs!$C$40)+0.2*SIN(2*PI()*((Model_Data!A33)+(0))/(0.5*(Inputs!$C$39+Inputs!$C$40))))+Inputs!$C$38*SIN(2*PI()*(Model_Data!A33)/Inputs!$C$39)*SIN(2*PI()*(0)/Inputs!$C$40)+-Inputs!$C$41*EXP(-(((0)-Inputs!$C$43)^2)/(2*Inputs!$C$44^2))*EXP(-(((Model_Data!A33)-Inputs!$C$42)^2)/(2*Inputs!$C$45^2))+Inputs!$C$48*(0.70*(0.45*SIN(2*PI()*(((Model_Data!A33)/Inputs!$C$49)+Inputs!$C$47*0.137))+0.35*COS(2*PI()*(((0)/Inputs!$C$50)+Inputs!$C$47*0.173))+0.20*SIN(2*PI()*(((Model_Data!A33)+(0))/(0.5*(Inputs!$C$49+Inputs!$C$50))+Inputs!$C$47*0.097)))+0.30*(2*((SIN(((Model_Data!A33)*12.9898+(0)*78.233+Inputs!$C$47*37.719))*43758.5453)-INT((SIN(((Model_Data!A33)*12.9898+(0)*78.233+Inputs!$C$47*37.719))*43758.5453)))-1))))</x:f>
        <x:v>173.74891138662872</x:v>
      </x:c>
      <x:c r="K33" s="48" t="n">
        <x:f>-((((SQRT((Model_Data!A33)^2+Inputs!$C$6^2+((Model_Data!B33)-((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(0.45*SIN(2*PI()*(((Model_Data!A33)/Inputs!$C$49)+Inputs!$C$47*0.137))+0.35*COS(2*PI()*(((Inputs!$C$6)/Inputs!$C$50)+Inputs!$C$47*0.173))+0.20*SIN(2*PI()*(((Model_Data!A33)+(Inputs!$C$6))/(0.5*(Inputs!$C$49+Inputs!$C$50))+Inputs!$C$47*0.097)))+0.30*(2*((SIN(((Model_Data!A33)*12.9898+(Inputs!$C$6)*78.233+Inputs!$C$47*37.719))*43758.5453)-INT((SIN(((Model_Data!A33)*12.9898+(Inputs!$C$6)*78.233+Inputs!$C$47*37.719))*43758.5453)))-1))))/1000)^2))-(((Model_Data!B33)-((Inputs!$C$51*(115*EXP(-(((0)-25)^2)/(4.5^2))+70*EXP(-(((0)+38)^2)/(7^2))*(0.55+0.45*SIN(2*PI()*(Model_Data!A33)/45))+24*SIN(2*PI()*(0)/9+(Model_Data!A33)/18)*EXP(-(((0)+5)^2)/(22^2))+18*SIN(2*PI()*(Model_Data!A33)/70))+Inputs!$C$28*EXP(-(((Model_Data!A33)-Inputs!$C$29)^2)/(2*Inputs!$C$31^2))*EXP(-(((0)-Inputs!$C$30)^2)/(2*Inputs!$C$32^2))+-Inputs!$C$33*EXP(-(((((Model_Data!A33)-Inputs!$C$34)^2)+(((0)-Inputs!$C$35)^2))/(2*Inputs!$C$36^2)))+Inputs!$C$37*(0.55*SIN(2*PI()*(Model_Data!A33)/Inputs!$C$39)+0.35*COS(2*PI()*(0)/Inputs!$C$40)+0.2*SIN(2*PI()*((Model_Data!A33)+(0))/(0.5*(Inputs!$C$39+Inputs!$C$40))))+Inputs!$C$38*SIN(2*PI()*(Model_Data!A33)/Inputs!$C$39)*SIN(2*PI()*(0)/Inputs!$C$40)+-Inputs!$C$41*EXP(-(((0)-Inputs!$C$43)^2)/(2*Inputs!$C$44^2))*EXP(-(((Model_Data!A33)-Inputs!$C$42)^2)/(2*Inputs!$C$45^2))+Inputs!$C$48*(0.70*(0.45*SIN(2*PI()*(((Model_Data!A33)/Inputs!$C$49)+Inputs!$C$47*0.137))+0.35*COS(2*PI()*(((0)/Inputs!$C$50)+Inputs!$C$47*0.173))+0.20*SIN(2*PI()*(((Model_Data!A33)+(0))/(0.5*(Inputs!$C$49+Inputs!$C$50))+Inputs!$C$47*0.097)))+0.30*(2*((SIN(((Model_Data!A33)*12.9898+(0)*78.233+Inputs!$C$47*37.719))*43758.5453)-INT((SIN(((Model_Data!A33)*12.9898+(0)*78.233+Inputs!$C$47*37.719))*43758.5453)))-1))))/1000)))*1000/Inputs!$C$12)-Model_Data!F33)</x:f>
        <x:v>96.70986266541422</x:v>
      </x:c>
      <x:c r="L33" s="49"/>
      <x:c r="M33" s="48" t="n">
        <x:f>Model_Data!A33</x:f>
        <x:v>-44.5</x:v>
      </x:c>
      <x:c r="N33" s="48" t="n">
        <x:f>Model_Data!P33</x:f>
        <x:v>332.58101900128577</x:v>
      </x:c>
      <x:c r="O33" s="48" t="n">
        <x:f>AC33</x:f>
        <x:v>318.8497561442091</x:v>
      </x:c>
      <x:c r="P33" s="48" t="n">
        <x:f>Model_Data!Q33</x:f>
        <x:v>49.937089940133</x:v>
      </x:c>
      <x:c r="Q33" s="48" t="n">
        <x:f>AD33</x:f>
        <x:v>47.87533876039176</x:v>
      </x:c>
      <x:c r="R33" s="49"/>
      <x:c r="S33" s="48" t="n">
        <x:f>Model_Data!A33</x:f>
        <x:v>-44.5</x:v>
      </x:c>
      <x:c r="T33" s="48" t="n">
        <x:f>Model_Data!B33-Inputs!$C$5</x:f>
        <x:v>2.200277777777785</x:v>
      </x:c>
      <x:c r="U33" s="49"/>
      <x:c r="V33" s="48" t="n">
        <x:f>Model_Data!A33</x:f>
        <x:v>-44.5</x:v>
      </x:c>
      <x:c r="W33" s="48" t="n">
        <x:f>(-((((SQRT((Model_Data!A33)^2+Inputs!$C$6^2+((Model_Data!B33)-((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(0.45*SIN(2*PI()*(((Model_Data!A33)/Inputs!$C$49)+Inputs!$C$47*0.137))+0.35*COS(2*PI()*(((Inputs!$C$6)/Inputs!$C$50)+Inputs!$C$47*0.173))+0.20*SIN(2*PI()*(((Model_Data!A33)+(Inputs!$C$6))/(0.5*(Inputs!$C$49+Inputs!$C$50))+Inputs!$C$47*0.097)))+0.30*(2*((SIN(((Model_Data!A33)*12.9898+(Inputs!$C$6)*78.233+Inputs!$C$47*37.719))*43758.5453)-INT((SIN(((Model_Data!A33)*12.9898+(Inputs!$C$6)*78.233+Inputs!$C$47*37.719))*43758.5453)))-1))))/1000)^2))-(((Model_Data!B33)-((Inputs!$C$51*(115*EXP(-(((0)-25)^2)/(4.5^2))+70*EXP(-(((0)+38)^2)/(7^2))*(0.55+0.45*SIN(2*PI()*(Model_Data!A33)/45))+24*SIN(2*PI()*(0)/9+(Model_Data!A33)/18)*EXP(-(((0)+5)^2)/(22^2))+18*SIN(2*PI()*(Model_Data!A33)/70))+Inputs!$C$28*EXP(-(((Model_Data!A33)-Inputs!$C$29)^2)/(2*Inputs!$C$31^2))*EXP(-(((0)-Inputs!$C$30)^2)/(2*Inputs!$C$32^2))+-Inputs!$C$33*EXP(-(((((Model_Data!A33)-Inputs!$C$34)^2)+(((0)-Inputs!$C$35)^2))/(2*Inputs!$C$36^2)))+Inputs!$C$37*(0.55*SIN(2*PI()*(Model_Data!A33)/Inputs!$C$39)+0.35*COS(2*PI()*(0)/Inputs!$C$40)+0.2*SIN(2*PI()*((Model_Data!A33)+(0))/(0.5*(Inputs!$C$39+Inputs!$C$40))))+Inputs!$C$38*SIN(2*PI()*(Model_Data!A33)/Inputs!$C$39)*SIN(2*PI()*(0)/Inputs!$C$40)+-Inputs!$C$41*EXP(-(((0)-Inputs!$C$43)^2)/(2*Inputs!$C$44^2))*EXP(-(((Model_Data!A33)-Inputs!$C$42)^2)/(2*Inputs!$C$45^2))+Inputs!$C$48*(0.70*(0.45*SIN(2*PI()*(((Model_Data!A33)/Inputs!$C$49)+Inputs!$C$47*0.137))+0.35*COS(2*PI()*(((0)/Inputs!$C$50)+Inputs!$C$47*0.173))+0.20*SIN(2*PI()*(((Model_Data!A33)+(0))/(0.5*(Inputs!$C$49+Inputs!$C$50))+Inputs!$C$47*0.097)))+0.30*(2*((SIN(((Model_Data!A33)*12.9898+(0)*78.233+Inputs!$C$47*37.719))*43758.5453)-INT((SIN(((Model_Data!A33)*12.9898+(0)*78.233+Inputs!$C$47*37.719))*43758.5453)))-1))))/1000)))*1000/Inputs!$C$12)-Model_Data!F33))-(-(((SQRT((Model_Data!A33)^2+Inputs!$C$6^2+(Inputs!$C$5-((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(0.45*SIN(2*PI()*(((Model_Data!A33)/Inputs!$C$49)+Inputs!$C$47*0.137))+0.35*COS(2*PI()*(((Inputs!$C$6)/Inputs!$C$50)+Inputs!$C$47*0.173))+0.20*SIN(2*PI()*(((Model_Data!A33)+(Inputs!$C$6))/(0.5*(Inputs!$C$49+Inputs!$C$50))+Inputs!$C$47*0.097)))+0.30*(2*((SIN(((Model_Data!A33)*12.9898+(Inputs!$C$6)*78.233+Inputs!$C$47*37.719))*43758.5453)-INT((SIN(((Model_Data!A33)*12.9898+(Inputs!$C$6)*78.233+Inputs!$C$47*37.719))*43758.5453)))-1))))/1000)^2)-(Inputs!$C$5-((Inputs!$C$51*(115*EXP(-(((0)-25)^2)/(4.5^2))+70*EXP(-(((0)+38)^2)/(7^2))*(0.55+0.45*SIN(2*PI()*(Model_Data!A33)/45))+24*SIN(2*PI()*(0)/9+(Model_Data!A33)/18)*EXP(-(((0)+5)^2)/(22^2))+18*SIN(2*PI()*(Model_Data!A33)/70))+Inputs!$C$28*EXP(-(((Model_Data!A33)-Inputs!$C$29)^2)/(2*Inputs!$C$31^2))*EXP(-(((0)-Inputs!$C$30)^2)/(2*Inputs!$C$32^2))+-Inputs!$C$33*EXP(-(((((Model_Data!A33)-Inputs!$C$34)^2)+(((0)-Inputs!$C$35)^2))/(2*Inputs!$C$36^2)))+Inputs!$C$37*(0.55*SIN(2*PI()*(Model_Data!A33)/Inputs!$C$39)+0.35*COS(2*PI()*(0)/Inputs!$C$40)+0.2*SIN(2*PI()*((Model_Data!A33)+(0))/(0.5*(Inputs!$C$39+Inputs!$C$40))))+Inputs!$C$38*SIN(2*PI()*(Model_Data!A33)/Inputs!$C$39)*SIN(2*PI()*(0)/Inputs!$C$40)+-Inputs!$C$41*EXP(-(((0)-Inputs!$C$43)^2)/(2*Inputs!$C$44^2))*EXP(-(((Model_Data!A33)-Inputs!$C$42)^2)/(2*Inputs!$C$45^2))+Inputs!$C$48*(0.70*(0.45*SIN(2*PI()*(((Model_Data!A33)/Inputs!$C$49)+Inputs!$C$47*0.137))+0.35*COS(2*PI()*(((0)/Inputs!$C$50)+Inputs!$C$47*0.173))+0.20*SIN(2*PI()*(((Model_Data!A33)+(0))/(0.5*(Inputs!$C$49+Inputs!$C$50))+Inputs!$C$47*0.097)))+0.30*(2*((SIN(((Model_Data!A33)*12.9898+(0)*78.233+Inputs!$C$47*37.719))*43758.5453)-INT((SIN(((Model_Data!A33)*12.9898+(0)*78.233+Inputs!$C$47*37.719))*43758.5453)))-1))))/1000))*1000/Inputs!$C$12)-((SQRT((Model_Data!A33)^2+Inputs!$C$6^2+Inputs!$C$5^2)-Inputs!$C$5)*1000/Inputs!$C$12)))</x:f>
        <x:v>0.009831988558744342</x:v>
      </x:c>
      <x:c r="X33" s="48" t="n">
        <x:f>0</x:f>
        <x:v>0</x:v>
      </x:c>
      <x:c r="Y33" s="49"/>
      <x:c r="Z33" s="48" t="n">
        <x:f>Model_Data!A33</x:f>
        <x:v>-44.5</x:v>
      </x:c>
      <x:c r="AA33" s="48" t="n">
        <x:f>SQRT((Model_Data!A33)^2+Inputs!$C$6^2+((Model_Data!B33)-((Inputs!$C$51*(115*EXP(-(((Inputs!$C$6)-25)^2)/(4.5^2))+70*EXP(-(((Inputs!$C$6)+38)^2)/(7^2))*(0.55+0.45*SIN(2*PI()*(Model_Data!A33)/45))+24*SIN(2*PI()*(Inputs!$C$6)/9+(Model_Data!A33)/18)*EXP(-(((Inputs!$C$6)+5)^2)/(22^2))+18*SIN(2*PI()*(Model_Data!A33)/70))+Inputs!$C$28*EXP(-(((Model_Data!A33)-Inputs!$C$29)^2)/(2*Inputs!$C$31^2))*EXP(-(((Inputs!$C$6)-Inputs!$C$30)^2)/(2*Inputs!$C$32^2))+-Inputs!$C$33*EXP(-(((((Model_Data!A33)-Inputs!$C$34)^2)+(((Inputs!$C$6)-Inputs!$C$35)^2))/(2*Inputs!$C$36^2)))+Inputs!$C$37*(0.55*SIN(2*PI()*(Model_Data!A33)/Inputs!$C$39)+0.35*COS(2*PI()*(Inputs!$C$6)/Inputs!$C$40)+0.2*SIN(2*PI()*((Model_Data!A33)+(Inputs!$C$6))/(0.5*(Inputs!$C$39+Inputs!$C$40))))+Inputs!$C$38*SIN(2*PI()*(Model_Data!A33)/Inputs!$C$39)*SIN(2*PI()*(Inputs!$C$6)/Inputs!$C$40)+-Inputs!$C$41*EXP(-(((Inputs!$C$6)-Inputs!$C$43)^2)/(2*Inputs!$C$44^2))*EXP(-(((Model_Data!A33)-Inputs!$C$42)^2)/(2*Inputs!$C$45^2))+Inputs!$C$48*(0.70*(0.45*SIN(2*PI()*(((Model_Data!A33)/Inputs!$C$49)+Inputs!$C$47*0.137))+0.35*COS(2*PI()*(((Inputs!$C$6)/Inputs!$C$50)+Inputs!$C$47*0.173))+0.20*SIN(2*PI()*(((Model_Data!A33)+(Inputs!$C$6))/(0.5*(Inputs!$C$49+Inputs!$C$50))+Inputs!$C$47*0.097)))+0.30*(2*((SIN(((Model_Data!A33)*12.9898+(Inputs!$C$6)*78.233+Inputs!$C$47*37.719))*43758.5453)-INT((SIN(((Model_Data!A33)*12.9898+(Inputs!$C$6)*78.233+Inputs!$C$47*37.719))*43758.5453)))-1))))/1000)^2)</x:f>
        <x:v>405.22602988289873</x:v>
      </x:c>
      <x:c r="AB33" s="48" t="n">
        <x:f>1000*(AA34-AA32)/(Z34-Z32)*Inputs!$C$11</x:f>
        <x:v>-797.1243903605227</x:v>
      </x:c>
      <x:c r="AC33" s="48" t="n">
        <x:f>-2*AB33/Inputs!$C$13</x:f>
        <x:v>318.8497561442091</x:v>
      </x:c>
      <x:c r="AD33" s="48" t="n">
        <x:f>-2*AB33/Inputs!$C$14</x:f>
        <x:v>47.87533876039176</x:v>
      </x:c>
    </x:row>
    <x:row r="34">
      <x:c r="A34" s="48" t="n">
        <x:f>Model_Data!A34</x:f>
        <x:v>-44</x:v>
      </x:c>
      <x:c r="B34" s="48" t="n">
        <x:f>Model_Data!F34</x:f>
        <x:v>1781.8088588434077</x:v>
      </x:c>
      <x:c r="C34" s="48" t="n">
        <x:f>(((SQRT((Model_Data!A34)^2+Inputs!$C$6^2+((Model_Data!B34)-((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(0.45*SIN(2*PI()*(((Model_Data!A34)/Inputs!$C$49)+Inputs!$C$47*0.137))+0.35*COS(2*PI()*(((Inputs!$C$6)/Inputs!$C$50)+Inputs!$C$47*0.173))+0.20*SIN(2*PI()*(((Model_Data!A34)+(Inputs!$C$6))/(0.5*(Inputs!$C$49+Inputs!$C$50))+Inputs!$C$47*0.097)))+0.30*(2*((SIN(((Model_Data!A34)*12.9898+(Inputs!$C$6)*78.233+Inputs!$C$47*37.719))*43758.5453)-INT((SIN(((Model_Data!A34)*12.9898+(Inputs!$C$6)*78.233+Inputs!$C$47*37.719))*43758.5453)))-1))))/1000)^2))-(((Model_Data!B34)-((Inputs!$C$51*(115*EXP(-(((0)-25)^2)/(4.5^2))+70*EXP(-(((0)+38)^2)/(7^2))*(0.55+0.45*SIN(2*PI()*(Model_Data!A34)/45))+24*SIN(2*PI()*(0)/9+(Model_Data!A34)/18)*EXP(-(((0)+5)^2)/(22^2))+18*SIN(2*PI()*(Model_Data!A34)/70))+Inputs!$C$28*EXP(-(((Model_Data!A34)-Inputs!$C$29)^2)/(2*Inputs!$C$31^2))*EXP(-(((0)-Inputs!$C$30)^2)/(2*Inputs!$C$32^2))+-Inputs!$C$33*EXP(-(((((Model_Data!A34)-Inputs!$C$34)^2)+(((0)-Inputs!$C$35)^2))/(2*Inputs!$C$36^2)))+Inputs!$C$37*(0.55*SIN(2*PI()*(Model_Data!A34)/Inputs!$C$39)+0.35*COS(2*PI()*(0)/Inputs!$C$40)+0.2*SIN(2*PI()*((Model_Data!A34)+(0))/(0.5*(Inputs!$C$39+Inputs!$C$40))))+Inputs!$C$38*SIN(2*PI()*(Model_Data!A34)/Inputs!$C$39)*SIN(2*PI()*(0)/Inputs!$C$40)+-Inputs!$C$41*EXP(-(((0)-Inputs!$C$43)^2)/(2*Inputs!$C$44^2))*EXP(-(((Model_Data!A34)-Inputs!$C$42)^2)/(2*Inputs!$C$45^2))+Inputs!$C$48*(0.70*(0.45*SIN(2*PI()*(((Model_Data!A34)/Inputs!$C$49)+Inputs!$C$47*0.137))+0.35*COS(2*PI()*(((0)/Inputs!$C$50)+Inputs!$C$47*0.173))+0.20*SIN(2*PI()*(((Model_Data!A34)+(0))/(0.5*(Inputs!$C$49+Inputs!$C$50))+Inputs!$C$47*0.097)))+0.30*(2*((SIN(((Model_Data!A34)*12.9898+(0)*78.233+Inputs!$C$47*37.719))*43758.5453)-INT((SIN(((Model_Data!A34)*12.9898+(0)*78.233+Inputs!$C$47*37.719))*43758.5453)))-1))))/1000)))*1000/Inputs!$C$12)</x:f>
        <x:v>1680.839947688847</x:v>
      </x:c>
      <x:c r="D34" s="49"/>
      <x:c r="E34" s="48" t="n">
        <x:f>Model_Data!A34</x:f>
        <x:v>-44</x:v>
      </x:c>
      <x:c r="F34" s="48" t="n">
        <x:f>(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(0.45*SIN(2*PI()*(((Model_Data!A34)/Inputs!$C$49)+Inputs!$C$47*0.137))+0.35*COS(2*PI()*(((Inputs!$C$6)/Inputs!$C$50)+Inputs!$C$47*0.173))+0.20*SIN(2*PI()*(((Model_Data!A34)+(Inputs!$C$6))/(0.5*(Inputs!$C$49+Inputs!$C$50))+Inputs!$C$47*0.097)))+0.30*(2*((SIN(((Model_Data!A34)*12.9898+(Inputs!$C$6)*78.233+Inputs!$C$47*37.719))*43758.5453)-INT((SIN(((Model_Data!A34)*12.9898+(Inputs!$C$6)*78.233+Inputs!$C$47*37.719))*43758.5453)))-1)))</x:f>
        <x:v>200.11672258234324</x:v>
      </x:c>
      <x:c r="G34" s="48" t="n">
        <x:f>(Inputs!$C$51*(115*EXP(-(((0)-25)^2)/(4.5^2))+70*EXP(-(((0)+38)^2)/(7^2))*(0.55+0.45*SIN(2*PI()*(Model_Data!A34)/45))+24*SIN(2*PI()*(0)/9+(Model_Data!A34)/18)*EXP(-(((0)+5)^2)/(22^2))+18*SIN(2*PI()*(Model_Data!A34)/70))+Inputs!$C$28*EXP(-(((Model_Data!A34)-Inputs!$C$29)^2)/(2*Inputs!$C$31^2))*EXP(-(((0)-Inputs!$C$30)^2)/(2*Inputs!$C$32^2))+-Inputs!$C$33*EXP(-(((((Model_Data!A34)-Inputs!$C$34)^2)+(((0)-Inputs!$C$35)^2))/(2*Inputs!$C$36^2)))+Inputs!$C$37*(0.55*SIN(2*PI()*(Model_Data!A34)/Inputs!$C$39)+0.35*COS(2*PI()*(0)/Inputs!$C$40)+0.2*SIN(2*PI()*((Model_Data!A34)+(0))/(0.5*(Inputs!$C$39+Inputs!$C$40))))+Inputs!$C$38*SIN(2*PI()*(Model_Data!A34)/Inputs!$C$39)*SIN(2*PI()*(0)/Inputs!$C$40)+-Inputs!$C$41*EXP(-(((0)-Inputs!$C$43)^2)/(2*Inputs!$C$44^2))*EXP(-(((Model_Data!A34)-Inputs!$C$42)^2)/(2*Inputs!$C$45^2))+Inputs!$C$48*(0.70*(0.45*SIN(2*PI()*(((Model_Data!A34)/Inputs!$C$49)+Inputs!$C$47*0.137))+0.35*COS(2*PI()*(((0)/Inputs!$C$50)+Inputs!$C$47*0.173))+0.20*SIN(2*PI()*(((Model_Data!A34)+(0))/(0.5*(Inputs!$C$49+Inputs!$C$50))+Inputs!$C$47*0.097)))+0.30*(2*((SIN(((Model_Data!A34)*12.9898+(0)*78.233+Inputs!$C$47*37.719))*43758.5453)-INT((SIN(((Model_Data!A34)*12.9898+(0)*78.233+Inputs!$C$47*37.719))*43758.5453)))-1)))</x:f>
        <x:v>18.82539201019003</x:v>
      </x:c>
      <x:c r="H34" s="49"/>
      <x:c r="I34" s="48" t="n">
        <x:f>Model_Data!A34</x:f>
        <x:v>-44</x:v>
      </x:c>
      <x:c r="J34" s="48" t="n">
        <x:f>((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(0.45*SIN(2*PI()*(((Model_Data!A34)/Inputs!$C$49)+Inputs!$C$47*0.137))+0.35*COS(2*PI()*(((Inputs!$C$6)/Inputs!$C$50)+Inputs!$C$47*0.173))+0.20*SIN(2*PI()*(((Model_Data!A34)+(Inputs!$C$6))/(0.5*(Inputs!$C$49+Inputs!$C$50))+Inputs!$C$47*0.097)))+0.30*(2*((SIN(((Model_Data!A34)*12.9898+(Inputs!$C$6)*78.233+Inputs!$C$47*37.719))*43758.5453)-INT((SIN(((Model_Data!A34)*12.9898+(Inputs!$C$6)*78.233+Inputs!$C$47*37.719))*43758.5453)))-1))))-((Inputs!$C$51*(115*EXP(-(((0)-25)^2)/(4.5^2))+70*EXP(-(((0)+38)^2)/(7^2))*(0.55+0.45*SIN(2*PI()*(Model_Data!A34)/45))+24*SIN(2*PI()*(0)/9+(Model_Data!A34)/18)*EXP(-(((0)+5)^2)/(22^2))+18*SIN(2*PI()*(Model_Data!A34)/70))+Inputs!$C$28*EXP(-(((Model_Data!A34)-Inputs!$C$29)^2)/(2*Inputs!$C$31^2))*EXP(-(((0)-Inputs!$C$30)^2)/(2*Inputs!$C$32^2))+-Inputs!$C$33*EXP(-(((((Model_Data!A34)-Inputs!$C$34)^2)+(((0)-Inputs!$C$35)^2))/(2*Inputs!$C$36^2)))+Inputs!$C$37*(0.55*SIN(2*PI()*(Model_Data!A34)/Inputs!$C$39)+0.35*COS(2*PI()*(0)/Inputs!$C$40)+0.2*SIN(2*PI()*((Model_Data!A34)+(0))/(0.5*(Inputs!$C$39+Inputs!$C$40))))+Inputs!$C$38*SIN(2*PI()*(Model_Data!A34)/Inputs!$C$39)*SIN(2*PI()*(0)/Inputs!$C$40)+-Inputs!$C$41*EXP(-(((0)-Inputs!$C$43)^2)/(2*Inputs!$C$44^2))*EXP(-(((Model_Data!A34)-Inputs!$C$42)^2)/(2*Inputs!$C$45^2))+Inputs!$C$48*(0.70*(0.45*SIN(2*PI()*(((Model_Data!A34)/Inputs!$C$49)+Inputs!$C$47*0.137))+0.35*COS(2*PI()*(((0)/Inputs!$C$50)+Inputs!$C$47*0.173))+0.20*SIN(2*PI()*(((Model_Data!A34)+(0))/(0.5*(Inputs!$C$49+Inputs!$C$50))+Inputs!$C$47*0.097)))+0.30*(2*((SIN(((Model_Data!A34)*12.9898+(0)*78.233+Inputs!$C$47*37.719))*43758.5453)-INT((SIN(((Model_Data!A34)*12.9898+(0)*78.233+Inputs!$C$47*37.719))*43758.5453)))-1))))</x:f>
        <x:v>181.2913305721532</x:v>
      </x:c>
      <x:c r="K34" s="48" t="n">
        <x:f>-((((SQRT((Model_Data!A34)^2+Inputs!$C$6^2+((Model_Data!B34)-((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(0.45*SIN(2*PI()*(((Model_Data!A34)/Inputs!$C$49)+Inputs!$C$47*0.137))+0.35*COS(2*PI()*(((Inputs!$C$6)/Inputs!$C$50)+Inputs!$C$47*0.173))+0.20*SIN(2*PI()*(((Model_Data!A34)+(Inputs!$C$6))/(0.5*(Inputs!$C$49+Inputs!$C$50))+Inputs!$C$47*0.097)))+0.30*(2*((SIN(((Model_Data!A34)*12.9898+(Inputs!$C$6)*78.233+Inputs!$C$47*37.719))*43758.5453)-INT((SIN(((Model_Data!A34)*12.9898+(Inputs!$C$6)*78.233+Inputs!$C$47*37.719))*43758.5453)))-1))))/1000)^2))-(((Model_Data!B34)-((Inputs!$C$51*(115*EXP(-(((0)-25)^2)/(4.5^2))+70*EXP(-(((0)+38)^2)/(7^2))*(0.55+0.45*SIN(2*PI()*(Model_Data!A34)/45))+24*SIN(2*PI()*(0)/9+(Model_Data!A34)/18)*EXP(-(((0)+5)^2)/(22^2))+18*SIN(2*PI()*(Model_Data!A34)/70))+Inputs!$C$28*EXP(-(((Model_Data!A34)-Inputs!$C$29)^2)/(2*Inputs!$C$31^2))*EXP(-(((0)-Inputs!$C$30)^2)/(2*Inputs!$C$32^2))+-Inputs!$C$33*EXP(-(((((Model_Data!A34)-Inputs!$C$34)^2)+(((0)-Inputs!$C$35)^2))/(2*Inputs!$C$36^2)))+Inputs!$C$37*(0.55*SIN(2*PI()*(Model_Data!A34)/Inputs!$C$39)+0.35*COS(2*PI()*(0)/Inputs!$C$40)+0.2*SIN(2*PI()*((Model_Data!A34)+(0))/(0.5*(Inputs!$C$39+Inputs!$C$40))))+Inputs!$C$38*SIN(2*PI()*(Model_Data!A34)/Inputs!$C$39)*SIN(2*PI()*(0)/Inputs!$C$40)+-Inputs!$C$41*EXP(-(((0)-Inputs!$C$43)^2)/(2*Inputs!$C$44^2))*EXP(-(((Model_Data!A34)-Inputs!$C$42)^2)/(2*Inputs!$C$45^2))+Inputs!$C$48*(0.70*(0.45*SIN(2*PI()*(((Model_Data!A34)/Inputs!$C$49)+Inputs!$C$47*0.137))+0.35*COS(2*PI()*(((0)/Inputs!$C$50)+Inputs!$C$47*0.173))+0.20*SIN(2*PI()*(((Model_Data!A34)+(0))/(0.5*(Inputs!$C$49+Inputs!$C$50))+Inputs!$C$47*0.097)))+0.30*(2*((SIN(((Model_Data!A34)*12.9898+(0)*78.233+Inputs!$C$47*37.719))*43758.5453)-INT((SIN(((Model_Data!A34)*12.9898+(0)*78.233+Inputs!$C$47*37.719))*43758.5453)))-1))))/1000)))*1000/Inputs!$C$12)-Model_Data!F34)</x:f>
        <x:v>100.96891115456083</x:v>
      </x:c>
      <x:c r="L34" s="49"/>
      <x:c r="M34" s="48" t="n">
        <x:f>Model_Data!A34</x:f>
        <x:v>-44</x:v>
      </x:c>
      <x:c r="N34" s="48" t="n">
        <x:f>Model_Data!P34</x:f>
        <x:v>328.9090322447558</x:v>
      </x:c>
      <x:c r="O34" s="48" t="n">
        <x:f>AC34</x:f>
        <x:v>343.57472241035794</x:v>
      </x:c>
      <x:c r="P34" s="48" t="n">
        <x:f>Model_Data!Q34</x:f>
        <x:v>49.38574057729066</x:v>
      </x:c>
      <x:c r="Q34" s="48" t="n">
        <x:f>AD34</x:f>
        <x:v>51.58779615771141</x:v>
      </x:c>
      <x:c r="R34" s="49"/>
      <x:c r="S34" s="48" t="n">
        <x:f>Model_Data!A34</x:f>
        <x:v>-44</x:v>
      </x:c>
      <x:c r="T34" s="48" t="n">
        <x:f>Model_Data!B34-Inputs!$C$5</x:f>
        <x:v>2.1511111111111063</x:v>
      </x:c>
      <x:c r="U34" s="49"/>
      <x:c r="V34" s="48" t="n">
        <x:f>Model_Data!A34</x:f>
        <x:v>-44</x:v>
      </x:c>
      <x:c r="W34" s="48" t="n">
        <x:f>(-((((SQRT((Model_Data!A34)^2+Inputs!$C$6^2+((Model_Data!B34)-((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(0.45*SIN(2*PI()*(((Model_Data!A34)/Inputs!$C$49)+Inputs!$C$47*0.137))+0.35*COS(2*PI()*(((Inputs!$C$6)/Inputs!$C$50)+Inputs!$C$47*0.173))+0.20*SIN(2*PI()*(((Model_Data!A34)+(Inputs!$C$6))/(0.5*(Inputs!$C$49+Inputs!$C$50))+Inputs!$C$47*0.097)))+0.30*(2*((SIN(((Model_Data!A34)*12.9898+(Inputs!$C$6)*78.233+Inputs!$C$47*37.719))*43758.5453)-INT((SIN(((Model_Data!A34)*12.9898+(Inputs!$C$6)*78.233+Inputs!$C$47*37.719))*43758.5453)))-1))))/1000)^2))-(((Model_Data!B34)-((Inputs!$C$51*(115*EXP(-(((0)-25)^2)/(4.5^2))+70*EXP(-(((0)+38)^2)/(7^2))*(0.55+0.45*SIN(2*PI()*(Model_Data!A34)/45))+24*SIN(2*PI()*(0)/9+(Model_Data!A34)/18)*EXP(-(((0)+5)^2)/(22^2))+18*SIN(2*PI()*(Model_Data!A34)/70))+Inputs!$C$28*EXP(-(((Model_Data!A34)-Inputs!$C$29)^2)/(2*Inputs!$C$31^2))*EXP(-(((0)-Inputs!$C$30)^2)/(2*Inputs!$C$32^2))+-Inputs!$C$33*EXP(-(((((Model_Data!A34)-Inputs!$C$34)^2)+(((0)-Inputs!$C$35)^2))/(2*Inputs!$C$36^2)))+Inputs!$C$37*(0.55*SIN(2*PI()*(Model_Data!A34)/Inputs!$C$39)+0.35*COS(2*PI()*(0)/Inputs!$C$40)+0.2*SIN(2*PI()*((Model_Data!A34)+(0))/(0.5*(Inputs!$C$39+Inputs!$C$40))))+Inputs!$C$38*SIN(2*PI()*(Model_Data!A34)/Inputs!$C$39)*SIN(2*PI()*(0)/Inputs!$C$40)+-Inputs!$C$41*EXP(-(((0)-Inputs!$C$43)^2)/(2*Inputs!$C$44^2))*EXP(-(((Model_Data!A34)-Inputs!$C$42)^2)/(2*Inputs!$C$45^2))+Inputs!$C$48*(0.70*(0.45*SIN(2*PI()*(((Model_Data!A34)/Inputs!$C$49)+Inputs!$C$47*0.137))+0.35*COS(2*PI()*(((0)/Inputs!$C$50)+Inputs!$C$47*0.173))+0.20*SIN(2*PI()*(((Model_Data!A34)+(0))/(0.5*(Inputs!$C$49+Inputs!$C$50))+Inputs!$C$47*0.097)))+0.30*(2*((SIN(((Model_Data!A34)*12.9898+(0)*78.233+Inputs!$C$47*37.719))*43758.5453)-INT((SIN(((Model_Data!A34)*12.9898+(0)*78.233+Inputs!$C$47*37.719))*43758.5453)))-1))))/1000)))*1000/Inputs!$C$12)-Model_Data!F34))-(-(((SQRT((Model_Data!A34)^2+Inputs!$C$6^2+(Inputs!$C$5-((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(0.45*SIN(2*PI()*(((Model_Data!A34)/Inputs!$C$49)+Inputs!$C$47*0.137))+0.35*COS(2*PI()*(((Inputs!$C$6)/Inputs!$C$50)+Inputs!$C$47*0.173))+0.20*SIN(2*PI()*(((Model_Data!A34)+(Inputs!$C$6))/(0.5*(Inputs!$C$49+Inputs!$C$50))+Inputs!$C$47*0.097)))+0.30*(2*((SIN(((Model_Data!A34)*12.9898+(Inputs!$C$6)*78.233+Inputs!$C$47*37.719))*43758.5453)-INT((SIN(((Model_Data!A34)*12.9898+(Inputs!$C$6)*78.233+Inputs!$C$47*37.719))*43758.5453)))-1))))/1000)^2)-(Inputs!$C$5-((Inputs!$C$51*(115*EXP(-(((0)-25)^2)/(4.5^2))+70*EXP(-(((0)+38)^2)/(7^2))*(0.55+0.45*SIN(2*PI()*(Model_Data!A34)/45))+24*SIN(2*PI()*(0)/9+(Model_Data!A34)/18)*EXP(-(((0)+5)^2)/(22^2))+18*SIN(2*PI()*(Model_Data!A34)/70))+Inputs!$C$28*EXP(-(((Model_Data!A34)-Inputs!$C$29)^2)/(2*Inputs!$C$31^2))*EXP(-(((0)-Inputs!$C$30)^2)/(2*Inputs!$C$32^2))+-Inputs!$C$33*EXP(-(((((Model_Data!A34)-Inputs!$C$34)^2)+(((0)-Inputs!$C$35)^2))/(2*Inputs!$C$36^2)))+Inputs!$C$37*(0.55*SIN(2*PI()*(Model_Data!A34)/Inputs!$C$39)+0.35*COS(2*PI()*(0)/Inputs!$C$40)+0.2*SIN(2*PI()*((Model_Data!A34)+(0))/(0.5*(Inputs!$C$39+Inputs!$C$40))))+Inputs!$C$38*SIN(2*PI()*(Model_Data!A34)/Inputs!$C$39)*SIN(2*PI()*(0)/Inputs!$C$40)+-Inputs!$C$41*EXP(-(((0)-Inputs!$C$43)^2)/(2*Inputs!$C$44^2))*EXP(-(((Model_Data!A34)-Inputs!$C$42)^2)/(2*Inputs!$C$45^2))+Inputs!$C$48*(0.70*(0.45*SIN(2*PI()*(((Model_Data!A34)/Inputs!$C$49)+Inputs!$C$47*0.137))+0.35*COS(2*PI()*(((0)/Inputs!$C$50)+Inputs!$C$47*0.173))+0.20*SIN(2*PI()*(((Model_Data!A34)+(0))/(0.5*(Inputs!$C$49+Inputs!$C$50))+Inputs!$C$47*0.097)))+0.30*(2*((SIN(((Model_Data!A34)*12.9898+(0)*78.233+Inputs!$C$47*37.719))*43758.5453)-INT((SIN(((Model_Data!A34)*12.9898+(0)*78.233+Inputs!$C$47*37.719))*43758.5453)))-1))))/1000))*1000/Inputs!$C$12)-((SQRT((Model_Data!A34)^2+Inputs!$C$6^2+Inputs!$C$5^2)-Inputs!$C$5)*1000/Inputs!$C$12)))</x:f>
        <x:v>0.009381962436691538</x:v>
      </x:c>
      <x:c r="X34" s="48" t="n">
        <x:f>0</x:f>
        <x:v>0</x:v>
      </x:c>
      <x:c r="Y34" s="49"/>
      <x:c r="Z34" s="48" t="n">
        <x:f>Model_Data!A34</x:f>
        <x:v>-44</x:v>
      </x:c>
      <x:c r="AA34" s="48" t="n">
        <x:f>SQRT((Model_Data!A34)^2+Inputs!$C$6^2+((Model_Data!B34)-((Inputs!$C$51*(115*EXP(-(((Inputs!$C$6)-25)^2)/(4.5^2))+70*EXP(-(((Inputs!$C$6)+38)^2)/(7^2))*(0.55+0.45*SIN(2*PI()*(Model_Data!A34)/45))+24*SIN(2*PI()*(Inputs!$C$6)/9+(Model_Data!A34)/18)*EXP(-(((Inputs!$C$6)+5)^2)/(22^2))+18*SIN(2*PI()*(Model_Data!A34)/70))+Inputs!$C$28*EXP(-(((Model_Data!A34)-Inputs!$C$29)^2)/(2*Inputs!$C$31^2))*EXP(-(((Inputs!$C$6)-Inputs!$C$30)^2)/(2*Inputs!$C$32^2))+-Inputs!$C$33*EXP(-(((((Model_Data!A34)-Inputs!$C$34)^2)+(((Inputs!$C$6)-Inputs!$C$35)^2))/(2*Inputs!$C$36^2)))+Inputs!$C$37*(0.55*SIN(2*PI()*(Model_Data!A34)/Inputs!$C$39)+0.35*COS(2*PI()*(Inputs!$C$6)/Inputs!$C$40)+0.2*SIN(2*PI()*((Model_Data!A34)+(Inputs!$C$6))/(0.5*(Inputs!$C$39+Inputs!$C$40))))+Inputs!$C$38*SIN(2*PI()*(Model_Data!A34)/Inputs!$C$39)*SIN(2*PI()*(Inputs!$C$6)/Inputs!$C$40)+-Inputs!$C$41*EXP(-(((Inputs!$C$6)-Inputs!$C$43)^2)/(2*Inputs!$C$44^2))*EXP(-(((Model_Data!A34)-Inputs!$C$42)^2)/(2*Inputs!$C$45^2))+Inputs!$C$48*(0.70*(0.45*SIN(2*PI()*(((Model_Data!A34)/Inputs!$C$49)+Inputs!$C$47*0.137))+0.35*COS(2*PI()*(((Inputs!$C$6)/Inputs!$C$50)+Inputs!$C$47*0.173))+0.20*SIN(2*PI()*(((Model_Data!A34)+(Inputs!$C$6))/(0.5*(Inputs!$C$49+Inputs!$C$50))+Inputs!$C$47*0.097)))+0.30*(2*((SIN(((Model_Data!A34)*12.9898+(Inputs!$C$6)*78.233+Inputs!$C$47*37.719))*43758.5453)-INT((SIN(((Model_Data!A34)*12.9898+(Inputs!$C$6)*78.233+Inputs!$C$47*37.719))*43758.5453)))-1))))/1000)^2)</x:f>
        <x:v>405.1241808259871</x:v>
      </x:c>
      <x:c r="AB34" s="48" t="n">
        <x:f>1000*(AA35-AA33)/(Z35-Z33)*Inputs!$C$11</x:f>
        <x:v>-858.9368060258948</x:v>
      </x:c>
      <x:c r="AC34" s="48" t="n">
        <x:f>-2*AB34/Inputs!$C$13</x:f>
        <x:v>343.57472241035794</x:v>
      </x:c>
      <x:c r="AD34" s="48" t="n">
        <x:f>-2*AB34/Inputs!$C$14</x:f>
        <x:v>51.58779615771141</x:v>
      </x:c>
    </x:row>
    <x:row r="35">
      <x:c r="A35" s="48" t="n">
        <x:f>Model_Data!A35</x:f>
        <x:v>-43.5</x:v>
      </x:c>
      <x:c r="B35" s="48" t="n">
        <x:f>Model_Data!F35</x:f>
        <x:v>1751.6970986344204</x:v>
      </x:c>
      <x:c r="C35" s="48" t="n">
        <x:f>(((SQRT((Model_Data!A35)^2+Inputs!$C$6^2+((Model_Data!B35)-((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(0.45*SIN(2*PI()*(((Model_Data!A35)/Inputs!$C$49)+Inputs!$C$47*0.137))+0.35*COS(2*PI()*(((Inputs!$C$6)/Inputs!$C$50)+Inputs!$C$47*0.173))+0.20*SIN(2*PI()*(((Model_Data!A35)+(Inputs!$C$6))/(0.5*(Inputs!$C$49+Inputs!$C$50))+Inputs!$C$47*0.097)))+0.30*(2*((SIN(((Model_Data!A35)*12.9898+(Inputs!$C$6)*78.233+Inputs!$C$47*37.719))*43758.5453)-INT((SIN(((Model_Data!A35)*12.9898+(Inputs!$C$6)*78.233+Inputs!$C$47*37.719))*43758.5453)))-1))))/1000)^2))-(((Model_Data!B35)-((Inputs!$C$51*(115*EXP(-(((0)-25)^2)/(4.5^2))+70*EXP(-(((0)+38)^2)/(7^2))*(0.55+0.45*SIN(2*PI()*(Model_Data!A35)/45))+24*SIN(2*PI()*(0)/9+(Model_Data!A35)/18)*EXP(-(((0)+5)^2)/(22^2))+18*SIN(2*PI()*(Model_Data!A35)/70))+Inputs!$C$28*EXP(-(((Model_Data!A35)-Inputs!$C$29)^2)/(2*Inputs!$C$31^2))*EXP(-(((0)-Inputs!$C$30)^2)/(2*Inputs!$C$32^2))+-Inputs!$C$33*EXP(-(((((Model_Data!A35)-Inputs!$C$34)^2)+(((0)-Inputs!$C$35)^2))/(2*Inputs!$C$36^2)))+Inputs!$C$37*(0.55*SIN(2*PI()*(Model_Data!A35)/Inputs!$C$39)+0.35*COS(2*PI()*(0)/Inputs!$C$40)+0.2*SIN(2*PI()*((Model_Data!A35)+(0))/(0.5*(Inputs!$C$39+Inputs!$C$40))))+Inputs!$C$38*SIN(2*PI()*(Model_Data!A35)/Inputs!$C$39)*SIN(2*PI()*(0)/Inputs!$C$40)+-Inputs!$C$41*EXP(-(((0)-Inputs!$C$43)^2)/(2*Inputs!$C$44^2))*EXP(-(((Model_Data!A35)-Inputs!$C$42)^2)/(2*Inputs!$C$45^2))+Inputs!$C$48*(0.70*(0.45*SIN(2*PI()*(((Model_Data!A35)/Inputs!$C$49)+Inputs!$C$47*0.137))+0.35*COS(2*PI()*(((0)/Inputs!$C$50)+Inputs!$C$47*0.173))+0.20*SIN(2*PI()*(((Model_Data!A35)+(0))/(0.5*(Inputs!$C$49+Inputs!$C$50))+Inputs!$C$47*0.097)))+0.30*(2*((SIN(((Model_Data!A35)*12.9898+(0)*78.233+Inputs!$C$47*37.719))*43758.5453)-INT((SIN(((Model_Data!A35)*12.9898+(0)*78.233+Inputs!$C$47*37.719))*43758.5453)))-1))))/1000)))*1000/Inputs!$C$12)</x:f>
        <x:v>1646.8261172972273</x:v>
      </x:c>
      <x:c r="D35" s="49"/>
      <x:c r="E35" s="48" t="n">
        <x:f>Model_Data!A35</x:f>
        <x:v>-43.5</x:v>
      </x:c>
      <x:c r="F35" s="48" t="n">
        <x:f>(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(0.45*SIN(2*PI()*(((Model_Data!A35)/Inputs!$C$49)+Inputs!$C$47*0.137))+0.35*COS(2*PI()*(((Inputs!$C$6)/Inputs!$C$50)+Inputs!$C$47*0.173))+0.20*SIN(2*PI()*(((Model_Data!A35)+(Inputs!$C$6))/(0.5*(Inputs!$C$49+Inputs!$C$50))+Inputs!$C$47*0.097)))+0.30*(2*((SIN(((Model_Data!A35)*12.9898+(Inputs!$C$6)*78.233+Inputs!$C$47*37.719))*43758.5453)-INT((SIN(((Model_Data!A35)*12.9898+(Inputs!$C$6)*78.233+Inputs!$C$47*37.719))*43758.5453)))-1)))</x:f>
        <x:v>210.8483953416035</x:v>
      </x:c>
      <x:c r="G35" s="48" t="n">
        <x:f>(Inputs!$C$51*(115*EXP(-(((0)-25)^2)/(4.5^2))+70*EXP(-(((0)+38)^2)/(7^2))*(0.55+0.45*SIN(2*PI()*(Model_Data!A35)/45))+24*SIN(2*PI()*(0)/9+(Model_Data!A35)/18)*EXP(-(((0)+5)^2)/(22^2))+18*SIN(2*PI()*(Model_Data!A35)/70))+Inputs!$C$28*EXP(-(((Model_Data!A35)-Inputs!$C$29)^2)/(2*Inputs!$C$31^2))*EXP(-(((0)-Inputs!$C$30)^2)/(2*Inputs!$C$32^2))+-Inputs!$C$33*EXP(-(((((Model_Data!A35)-Inputs!$C$34)^2)+(((0)-Inputs!$C$35)^2))/(2*Inputs!$C$36^2)))+Inputs!$C$37*(0.55*SIN(2*PI()*(Model_Data!A35)/Inputs!$C$39)+0.35*COS(2*PI()*(0)/Inputs!$C$40)+0.2*SIN(2*PI()*((Model_Data!A35)+(0))/(0.5*(Inputs!$C$39+Inputs!$C$40))))+Inputs!$C$38*SIN(2*PI()*(Model_Data!A35)/Inputs!$C$39)*SIN(2*PI()*(0)/Inputs!$C$40)+-Inputs!$C$41*EXP(-(((0)-Inputs!$C$43)^2)/(2*Inputs!$C$44^2))*EXP(-(((Model_Data!A35)-Inputs!$C$42)^2)/(2*Inputs!$C$45^2))+Inputs!$C$48*(0.70*(0.45*SIN(2*PI()*(((Model_Data!A35)/Inputs!$C$49)+Inputs!$C$47*0.137))+0.35*COS(2*PI()*(((0)/Inputs!$C$50)+Inputs!$C$47*0.173))+0.20*SIN(2*PI()*(((Model_Data!A35)+(0))/(0.5*(Inputs!$C$49+Inputs!$C$50))+Inputs!$C$47*0.097)))+0.30*(2*((SIN(((Model_Data!A35)*12.9898+(0)*78.233+Inputs!$C$47*37.719))*43758.5453)-INT((SIN(((Model_Data!A35)*12.9898+(0)*78.233+Inputs!$C$47*37.719))*43758.5453)))-1)))</x:f>
        <x:v>22.55480739682735</x:v>
      </x:c>
      <x:c r="H35" s="49"/>
      <x:c r="I35" s="48" t="n">
        <x:f>Model_Data!A35</x:f>
        <x:v>-43.5</x:v>
      </x:c>
      <x:c r="J35" s="48" t="n">
        <x:f>((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(0.45*SIN(2*PI()*(((Model_Data!A35)/Inputs!$C$49)+Inputs!$C$47*0.137))+0.35*COS(2*PI()*(((Inputs!$C$6)/Inputs!$C$50)+Inputs!$C$47*0.173))+0.20*SIN(2*PI()*(((Model_Data!A35)+(Inputs!$C$6))/(0.5*(Inputs!$C$49+Inputs!$C$50))+Inputs!$C$47*0.097)))+0.30*(2*((SIN(((Model_Data!A35)*12.9898+(Inputs!$C$6)*78.233+Inputs!$C$47*37.719))*43758.5453)-INT((SIN(((Model_Data!A35)*12.9898+(Inputs!$C$6)*78.233+Inputs!$C$47*37.719))*43758.5453)))-1))))-((Inputs!$C$51*(115*EXP(-(((0)-25)^2)/(4.5^2))+70*EXP(-(((0)+38)^2)/(7^2))*(0.55+0.45*SIN(2*PI()*(Model_Data!A35)/45))+24*SIN(2*PI()*(0)/9+(Model_Data!A35)/18)*EXP(-(((0)+5)^2)/(22^2))+18*SIN(2*PI()*(Model_Data!A35)/70))+Inputs!$C$28*EXP(-(((Model_Data!A35)-Inputs!$C$29)^2)/(2*Inputs!$C$31^2))*EXP(-(((0)-Inputs!$C$30)^2)/(2*Inputs!$C$32^2))+-Inputs!$C$33*EXP(-(((((Model_Data!A35)-Inputs!$C$34)^2)+(((0)-Inputs!$C$35)^2))/(2*Inputs!$C$36^2)))+Inputs!$C$37*(0.55*SIN(2*PI()*(Model_Data!A35)/Inputs!$C$39)+0.35*COS(2*PI()*(0)/Inputs!$C$40)+0.2*SIN(2*PI()*((Model_Data!A35)+(0))/(0.5*(Inputs!$C$39+Inputs!$C$40))))+Inputs!$C$38*SIN(2*PI()*(Model_Data!A35)/Inputs!$C$39)*SIN(2*PI()*(0)/Inputs!$C$40)+-Inputs!$C$41*EXP(-(((0)-Inputs!$C$43)^2)/(2*Inputs!$C$44^2))*EXP(-(((Model_Data!A35)-Inputs!$C$42)^2)/(2*Inputs!$C$45^2))+Inputs!$C$48*(0.70*(0.45*SIN(2*PI()*(((Model_Data!A35)/Inputs!$C$49)+Inputs!$C$47*0.137))+0.35*COS(2*PI()*(((0)/Inputs!$C$50)+Inputs!$C$47*0.173))+0.20*SIN(2*PI()*(((Model_Data!A35)+(0))/(0.5*(Inputs!$C$49+Inputs!$C$50))+Inputs!$C$47*0.097)))+0.30*(2*((SIN(((Model_Data!A35)*12.9898+(0)*78.233+Inputs!$C$47*37.719))*43758.5453)-INT((SIN(((Model_Data!A35)*12.9898+(0)*78.233+Inputs!$C$47*37.719))*43758.5453)))-1))))</x:f>
        <x:v>188.29358794477614</x:v>
      </x:c>
      <x:c r="K35" s="48" t="n">
        <x:f>-((((SQRT((Model_Data!A35)^2+Inputs!$C$6^2+((Model_Data!B35)-((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(0.45*SIN(2*PI()*(((Model_Data!A35)/Inputs!$C$49)+Inputs!$C$47*0.137))+0.35*COS(2*PI()*(((Inputs!$C$6)/Inputs!$C$50)+Inputs!$C$47*0.173))+0.20*SIN(2*PI()*(((Model_Data!A35)+(Inputs!$C$6))/(0.5*(Inputs!$C$49+Inputs!$C$50))+Inputs!$C$47*0.097)))+0.30*(2*((SIN(((Model_Data!A35)*12.9898+(Inputs!$C$6)*78.233+Inputs!$C$47*37.719))*43758.5453)-INT((SIN(((Model_Data!A35)*12.9898+(Inputs!$C$6)*78.233+Inputs!$C$47*37.719))*43758.5453)))-1))))/1000)^2))-(((Model_Data!B35)-((Inputs!$C$51*(115*EXP(-(((0)-25)^2)/(4.5^2))+70*EXP(-(((0)+38)^2)/(7^2))*(0.55+0.45*SIN(2*PI()*(Model_Data!A35)/45))+24*SIN(2*PI()*(0)/9+(Model_Data!A35)/18)*EXP(-(((0)+5)^2)/(22^2))+18*SIN(2*PI()*(Model_Data!A35)/70))+Inputs!$C$28*EXP(-(((Model_Data!A35)-Inputs!$C$29)^2)/(2*Inputs!$C$31^2))*EXP(-(((0)-Inputs!$C$30)^2)/(2*Inputs!$C$32^2))+-Inputs!$C$33*EXP(-(((((Model_Data!A35)-Inputs!$C$34)^2)+(((0)-Inputs!$C$35)^2))/(2*Inputs!$C$36^2)))+Inputs!$C$37*(0.55*SIN(2*PI()*(Model_Data!A35)/Inputs!$C$39)+0.35*COS(2*PI()*(0)/Inputs!$C$40)+0.2*SIN(2*PI()*((Model_Data!A35)+(0))/(0.5*(Inputs!$C$39+Inputs!$C$40))))+Inputs!$C$38*SIN(2*PI()*(Model_Data!A35)/Inputs!$C$39)*SIN(2*PI()*(0)/Inputs!$C$40)+-Inputs!$C$41*EXP(-(((0)-Inputs!$C$43)^2)/(2*Inputs!$C$44^2))*EXP(-(((Model_Data!A35)-Inputs!$C$42)^2)/(2*Inputs!$C$45^2))+Inputs!$C$48*(0.70*(0.45*SIN(2*PI()*(((Model_Data!A35)/Inputs!$C$49)+Inputs!$C$47*0.137))+0.35*COS(2*PI()*(((0)/Inputs!$C$50)+Inputs!$C$47*0.173))+0.20*SIN(2*PI()*(((Model_Data!A35)+(0))/(0.5*(Inputs!$C$49+Inputs!$C$50))+Inputs!$C$47*0.097)))+0.30*(2*((SIN(((Model_Data!A35)*12.9898+(0)*78.233+Inputs!$C$47*37.719))*43758.5453)-INT((SIN(((Model_Data!A35)*12.9898+(0)*78.233+Inputs!$C$47*37.719))*43758.5453)))-1))))/1000)))*1000/Inputs!$C$12)-Model_Data!F35)</x:f>
        <x:v>104.87098133719314</x:v>
      </x:c>
      <x:c r="L35" s="49"/>
      <x:c r="M35" s="48" t="n">
        <x:f>Model_Data!A35</x:f>
        <x:v>-43.5</x:v>
      </x:c>
      <x:c r="N35" s="48" t="n">
        <x:f>Model_Data!P35</x:f>
        <x:v>325.2348944756723</x:v>
      </x:c>
      <x:c r="O35" s="48" t="n">
        <x:f>AC35</x:f>
        <x:v>294.26089693251924</x:v>
      </x:c>
      <x:c r="P35" s="48" t="n">
        <x:f>Model_Data!Q35</x:f>
        <x:v>48.834068239590444</x:v>
      </x:c>
      <x:c r="Q35" s="48" t="n">
        <x:f>AD35</x:f>
        <x:v>44.183317857735624</x:v>
      </x:c>
      <x:c r="R35" s="49"/>
      <x:c r="S35" s="48" t="n">
        <x:f>Model_Data!A35</x:f>
        <x:v>-43.5</x:v>
      </x:c>
      <x:c r="T35" s="48" t="n">
        <x:f>Model_Data!B35-Inputs!$C$5</x:f>
        <x:v>2.1025000000000205</x:v>
      </x:c>
      <x:c r="U35" s="49"/>
      <x:c r="V35" s="48" t="n">
        <x:f>Model_Data!A35</x:f>
        <x:v>-43.5</x:v>
      </x:c>
      <x:c r="W35" s="48" t="n">
        <x:f>(-((((SQRT((Model_Data!A35)^2+Inputs!$C$6^2+((Model_Data!B35)-((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(0.45*SIN(2*PI()*(((Model_Data!A35)/Inputs!$C$49)+Inputs!$C$47*0.137))+0.35*COS(2*PI()*(((Inputs!$C$6)/Inputs!$C$50)+Inputs!$C$47*0.173))+0.20*SIN(2*PI()*(((Model_Data!A35)+(Inputs!$C$6))/(0.5*(Inputs!$C$49+Inputs!$C$50))+Inputs!$C$47*0.097)))+0.30*(2*((SIN(((Model_Data!A35)*12.9898+(Inputs!$C$6)*78.233+Inputs!$C$47*37.719))*43758.5453)-INT((SIN(((Model_Data!A35)*12.9898+(Inputs!$C$6)*78.233+Inputs!$C$47*37.719))*43758.5453)))-1))))/1000)^2))-(((Model_Data!B35)-((Inputs!$C$51*(115*EXP(-(((0)-25)^2)/(4.5^2))+70*EXP(-(((0)+38)^2)/(7^2))*(0.55+0.45*SIN(2*PI()*(Model_Data!A35)/45))+24*SIN(2*PI()*(0)/9+(Model_Data!A35)/18)*EXP(-(((0)+5)^2)/(22^2))+18*SIN(2*PI()*(Model_Data!A35)/70))+Inputs!$C$28*EXP(-(((Model_Data!A35)-Inputs!$C$29)^2)/(2*Inputs!$C$31^2))*EXP(-(((0)-Inputs!$C$30)^2)/(2*Inputs!$C$32^2))+-Inputs!$C$33*EXP(-(((((Model_Data!A35)-Inputs!$C$34)^2)+(((0)-Inputs!$C$35)^2))/(2*Inputs!$C$36^2)))+Inputs!$C$37*(0.55*SIN(2*PI()*(Model_Data!A35)/Inputs!$C$39)+0.35*COS(2*PI()*(0)/Inputs!$C$40)+0.2*SIN(2*PI()*((Model_Data!A35)+(0))/(0.5*(Inputs!$C$39+Inputs!$C$40))))+Inputs!$C$38*SIN(2*PI()*(Model_Data!A35)/Inputs!$C$39)*SIN(2*PI()*(0)/Inputs!$C$40)+-Inputs!$C$41*EXP(-(((0)-Inputs!$C$43)^2)/(2*Inputs!$C$44^2))*EXP(-(((Model_Data!A35)-Inputs!$C$42)^2)/(2*Inputs!$C$45^2))+Inputs!$C$48*(0.70*(0.45*SIN(2*PI()*(((Model_Data!A35)/Inputs!$C$49)+Inputs!$C$47*0.137))+0.35*COS(2*PI()*(((0)/Inputs!$C$50)+Inputs!$C$47*0.173))+0.20*SIN(2*PI()*(((Model_Data!A35)+(0))/(0.5*(Inputs!$C$49+Inputs!$C$50))+Inputs!$C$47*0.097)))+0.30*(2*((SIN(((Model_Data!A35)*12.9898+(0)*78.233+Inputs!$C$47*37.719))*43758.5453)-INT((SIN(((Model_Data!A35)*12.9898+(0)*78.233+Inputs!$C$47*37.719))*43758.5453)))-1))))/1000)))*1000/Inputs!$C$12)-Model_Data!F35))-(-(((SQRT((Model_Data!A35)^2+Inputs!$C$6^2+(Inputs!$C$5-((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(0.45*SIN(2*PI()*(((Model_Data!A35)/Inputs!$C$49)+Inputs!$C$47*0.137))+0.35*COS(2*PI()*(((Inputs!$C$6)/Inputs!$C$50)+Inputs!$C$47*0.173))+0.20*SIN(2*PI()*(((Model_Data!A35)+(Inputs!$C$6))/(0.5*(Inputs!$C$49+Inputs!$C$50))+Inputs!$C$47*0.097)))+0.30*(2*((SIN(((Model_Data!A35)*12.9898+(Inputs!$C$6)*78.233+Inputs!$C$47*37.719))*43758.5453)-INT((SIN(((Model_Data!A35)*12.9898+(Inputs!$C$6)*78.233+Inputs!$C$47*37.719))*43758.5453)))-1))))/1000)^2)-(Inputs!$C$5-((Inputs!$C$51*(115*EXP(-(((0)-25)^2)/(4.5^2))+70*EXP(-(((0)+38)^2)/(7^2))*(0.55+0.45*SIN(2*PI()*(Model_Data!A35)/45))+24*SIN(2*PI()*(0)/9+(Model_Data!A35)/18)*EXP(-(((0)+5)^2)/(22^2))+18*SIN(2*PI()*(Model_Data!A35)/70))+Inputs!$C$28*EXP(-(((Model_Data!A35)-Inputs!$C$29)^2)/(2*Inputs!$C$31^2))*EXP(-(((0)-Inputs!$C$30)^2)/(2*Inputs!$C$32^2))+-Inputs!$C$33*EXP(-(((((Model_Data!A35)-Inputs!$C$34)^2)+(((0)-Inputs!$C$35)^2))/(2*Inputs!$C$36^2)))+Inputs!$C$37*(0.55*SIN(2*PI()*(Model_Data!A35)/Inputs!$C$39)+0.35*COS(2*PI()*(0)/Inputs!$C$40)+0.2*SIN(2*PI()*((Model_Data!A35)+(0))/(0.5*(Inputs!$C$39+Inputs!$C$40))))+Inputs!$C$38*SIN(2*PI()*(Model_Data!A35)/Inputs!$C$39)*SIN(2*PI()*(0)/Inputs!$C$40)+-Inputs!$C$41*EXP(-(((0)-Inputs!$C$43)^2)/(2*Inputs!$C$44^2))*EXP(-(((Model_Data!A35)-Inputs!$C$42)^2)/(2*Inputs!$C$45^2))+Inputs!$C$48*(0.70*(0.45*SIN(2*PI()*(((Model_Data!A35)/Inputs!$C$49)+Inputs!$C$47*0.137))+0.35*COS(2*PI()*(((0)/Inputs!$C$50)+Inputs!$C$47*0.173))+0.20*SIN(2*PI()*(((Model_Data!A35)+(0))/(0.5*(Inputs!$C$49+Inputs!$C$50))+Inputs!$C$47*0.097)))+0.30*(2*((SIN(((Model_Data!A35)*12.9898+(0)*78.233+Inputs!$C$47*37.719))*43758.5453)-INT((SIN(((Model_Data!A35)*12.9898+(0)*78.233+Inputs!$C$47*37.719))*43758.5453)))-1))))/1000))*1000/Inputs!$C$12)-((SQRT((Model_Data!A35)^2+Inputs!$C$6^2+Inputs!$C$5^2)-Inputs!$C$5)*1000/Inputs!$C$12)))</x:f>
        <x:v>0.009502540197672715</x:v>
      </x:c>
      <x:c r="X35" s="48" t="n">
        <x:f>0</x:f>
        <x:v>0</x:v>
      </x:c>
      <x:c r="Y35" s="49"/>
      <x:c r="Z35" s="48" t="n">
        <x:f>Model_Data!A35</x:f>
        <x:v>-43.5</x:v>
      </x:c>
      <x:c r="AA35" s="48" t="n">
        <x:f>SQRT((Model_Data!A35)^2+Inputs!$C$6^2+((Model_Data!B35)-((Inputs!$C$51*(115*EXP(-(((Inputs!$C$6)-25)^2)/(4.5^2))+70*EXP(-(((Inputs!$C$6)+38)^2)/(7^2))*(0.55+0.45*SIN(2*PI()*(Model_Data!A35)/45))+24*SIN(2*PI()*(Inputs!$C$6)/9+(Model_Data!A35)/18)*EXP(-(((Inputs!$C$6)+5)^2)/(22^2))+18*SIN(2*PI()*(Model_Data!A35)/70))+Inputs!$C$28*EXP(-(((Model_Data!A35)-Inputs!$C$29)^2)/(2*Inputs!$C$31^2))*EXP(-(((Inputs!$C$6)-Inputs!$C$30)^2)/(2*Inputs!$C$32^2))+-Inputs!$C$33*EXP(-(((((Model_Data!A35)-Inputs!$C$34)^2)+(((Inputs!$C$6)-Inputs!$C$35)^2))/(2*Inputs!$C$36^2)))+Inputs!$C$37*(0.55*SIN(2*PI()*(Model_Data!A35)/Inputs!$C$39)+0.35*COS(2*PI()*(Inputs!$C$6)/Inputs!$C$40)+0.2*SIN(2*PI()*((Model_Data!A35)+(Inputs!$C$6))/(0.5*(Inputs!$C$39+Inputs!$C$40))))+Inputs!$C$38*SIN(2*PI()*(Model_Data!A35)/Inputs!$C$39)*SIN(2*PI()*(Inputs!$C$6)/Inputs!$C$40)+-Inputs!$C$41*EXP(-(((Inputs!$C$6)-Inputs!$C$43)^2)/(2*Inputs!$C$44^2))*EXP(-(((Model_Data!A35)-Inputs!$C$42)^2)/(2*Inputs!$C$45^2))+Inputs!$C$48*(0.70*(0.45*SIN(2*PI()*(((Model_Data!A35)/Inputs!$C$49)+Inputs!$C$47*0.137))+0.35*COS(2*PI()*(((Inputs!$C$6)/Inputs!$C$50)+Inputs!$C$47*0.173))+0.20*SIN(2*PI()*(((Model_Data!A35)+(Inputs!$C$6))/(0.5*(Inputs!$C$49+Inputs!$C$50))+Inputs!$C$47*0.097)))+0.30*(2*((SIN(((Model_Data!A35)*12.9898+(Inputs!$C$6)*78.233+Inputs!$C$47*37.719))*43758.5453)-INT((SIN(((Model_Data!A35)*12.9898+(Inputs!$C$6)*78.233+Inputs!$C$47*37.719))*43758.5453)))-1))))/1000)^2)</x:f>
        <x:v>405.01129568139226</x:v>
      </x:c>
      <x:c r="AB35" s="48" t="n">
        <x:f>1000*(AA36-AA34)/(Z36-Z34)*Inputs!$C$11</x:f>
        <x:v>-735.6522423312981</x:v>
      </x:c>
      <x:c r="AC35" s="48" t="n">
        <x:f>-2*AB35/Inputs!$C$13</x:f>
        <x:v>294.26089693251924</x:v>
      </x:c>
      <x:c r="AD35" s="48" t="n">
        <x:f>-2*AB35/Inputs!$C$14</x:f>
        <x:v>44.183317857735624</x:v>
      </x:c>
    </x:row>
    <x:row r="36">
      <x:c r="A36" s="48" t="n">
        <x:f>Model_Data!A36</x:f>
        <x:v>-43</x:v>
      </x:c>
      <x:c r="B36" s="48" t="n">
        <x:f>Model_Data!F36</x:f>
        <x:v>1721.9184540215401</x:v>
      </x:c>
      <x:c r="C36" s="48" t="n">
        <x:f>(((SQRT((Model_Data!A36)^2+Inputs!$C$6^2+((Model_Data!B36)-((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(0.45*SIN(2*PI()*(((Model_Data!A36)/Inputs!$C$49)+Inputs!$C$47*0.137))+0.35*COS(2*PI()*(((Inputs!$C$6)/Inputs!$C$50)+Inputs!$C$47*0.173))+0.20*SIN(2*PI()*(((Model_Data!A36)+(Inputs!$C$6))/(0.5*(Inputs!$C$49+Inputs!$C$50))+Inputs!$C$47*0.097)))+0.30*(2*((SIN(((Model_Data!A36)*12.9898+(Inputs!$C$6)*78.233+Inputs!$C$47*37.719))*43758.5453)-INT((SIN(((Model_Data!A36)*12.9898+(Inputs!$C$6)*78.233+Inputs!$C$47*37.719))*43758.5453)))-1))))/1000)^2))-(((Model_Data!B36)-((Inputs!$C$51*(115*EXP(-(((0)-25)^2)/(4.5^2))+70*EXP(-(((0)+38)^2)/(7^2))*(0.55+0.45*SIN(2*PI()*(Model_Data!A36)/45))+24*SIN(2*PI()*(0)/9+(Model_Data!A36)/18)*EXP(-(((0)+5)^2)/(22^2))+18*SIN(2*PI()*(Model_Data!A36)/70))+Inputs!$C$28*EXP(-(((Model_Data!A36)-Inputs!$C$29)^2)/(2*Inputs!$C$31^2))*EXP(-(((0)-Inputs!$C$30)^2)/(2*Inputs!$C$32^2))+-Inputs!$C$33*EXP(-(((((Model_Data!A36)-Inputs!$C$34)^2)+(((0)-Inputs!$C$35)^2))/(2*Inputs!$C$36^2)))+Inputs!$C$37*(0.55*SIN(2*PI()*(Model_Data!A36)/Inputs!$C$39)+0.35*COS(2*PI()*(0)/Inputs!$C$40)+0.2*SIN(2*PI()*((Model_Data!A36)+(0))/(0.5*(Inputs!$C$39+Inputs!$C$40))))+Inputs!$C$38*SIN(2*PI()*(Model_Data!A36)/Inputs!$C$39)*SIN(2*PI()*(0)/Inputs!$C$40)+-Inputs!$C$41*EXP(-(((0)-Inputs!$C$43)^2)/(2*Inputs!$C$44^2))*EXP(-(((Model_Data!A36)-Inputs!$C$42)^2)/(2*Inputs!$C$45^2))+Inputs!$C$48*(0.70*(0.45*SIN(2*PI()*(((Model_Data!A36)/Inputs!$C$49)+Inputs!$C$47*0.137))+0.35*COS(2*PI()*(((0)/Inputs!$C$50)+Inputs!$C$47*0.173))+0.20*SIN(2*PI()*(((Model_Data!A36)+(0))/(0.5*(Inputs!$C$49+Inputs!$C$50))+Inputs!$C$47*0.097)))+0.30*(2*((SIN(((Model_Data!A36)*12.9898+(0)*78.233+Inputs!$C$47*37.719))*43758.5453)-INT((SIN(((Model_Data!A36)*12.9898+(0)*78.233+Inputs!$C$47*37.719))*43758.5453)))-1))))/1000)))*1000/Inputs!$C$12)</x:f>
        <x:v>1623.324781796961</x:v>
      </x:c>
      <x:c r="D36" s="49"/>
      <x:c r="E36" s="48" t="n">
        <x:f>Model_Data!A36</x:f>
        <x:v>-43</x:v>
      </x:c>
      <x:c r="F36" s="48" t="n">
        <x:f>(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(0.45*SIN(2*PI()*(((Model_Data!A36)/Inputs!$C$49)+Inputs!$C$47*0.137))+0.35*COS(2*PI()*(((Inputs!$C$6)/Inputs!$C$50)+Inputs!$C$47*0.173))+0.20*SIN(2*PI()*(((Model_Data!A36)+(Inputs!$C$6))/(0.5*(Inputs!$C$49+Inputs!$C$50))+Inputs!$C$47*0.097)))+0.30*(2*((SIN(((Model_Data!A36)*12.9898+(Inputs!$C$6)*78.233+Inputs!$C$47*37.719))*43758.5453)-INT((SIN(((Model_Data!A36)*12.9898+(Inputs!$C$6)*78.233+Inputs!$C$47*37.719))*43758.5453)))-1)))</x:f>
        <x:v>180.5581841932563</x:v>
      </x:c>
      <x:c r="G36" s="48" t="n">
        <x:f>(Inputs!$C$51*(115*EXP(-(((0)-25)^2)/(4.5^2))+70*EXP(-(((0)+38)^2)/(7^2))*(0.55+0.45*SIN(2*PI()*(Model_Data!A36)/45))+24*SIN(2*PI()*(0)/9+(Model_Data!A36)/18)*EXP(-(((0)+5)^2)/(22^2))+18*SIN(2*PI()*(Model_Data!A36)/70))+Inputs!$C$28*EXP(-(((Model_Data!A36)-Inputs!$C$29)^2)/(2*Inputs!$C$31^2))*EXP(-(((0)-Inputs!$C$30)^2)/(2*Inputs!$C$32^2))+-Inputs!$C$33*EXP(-(((((Model_Data!A36)-Inputs!$C$34)^2)+(((0)-Inputs!$C$35)^2))/(2*Inputs!$C$36^2)))+Inputs!$C$37*(0.55*SIN(2*PI()*(Model_Data!A36)/Inputs!$C$39)+0.35*COS(2*PI()*(0)/Inputs!$C$40)+0.2*SIN(2*PI()*((Model_Data!A36)+(0))/(0.5*(Inputs!$C$39+Inputs!$C$40))))+Inputs!$C$38*SIN(2*PI()*(Model_Data!A36)/Inputs!$C$39)*SIN(2*PI()*(0)/Inputs!$C$40)+-Inputs!$C$41*EXP(-(((0)-Inputs!$C$43)^2)/(2*Inputs!$C$44^2))*EXP(-(((Model_Data!A36)-Inputs!$C$42)^2)/(2*Inputs!$C$45^2))+Inputs!$C$48*(0.70*(0.45*SIN(2*PI()*(((Model_Data!A36)/Inputs!$C$49)+Inputs!$C$47*0.137))+0.35*COS(2*PI()*(((0)/Inputs!$C$50)+Inputs!$C$47*0.173))+0.20*SIN(2*PI()*(((Model_Data!A36)+(0))/(0.5*(Inputs!$C$49+Inputs!$C$50))+Inputs!$C$47*0.097)))+0.30*(2*((SIN(((Model_Data!A36)*12.9898+(0)*78.233+Inputs!$C$47*37.719))*43758.5453)-INT((SIN(((Model_Data!A36)*12.9898+(0)*78.233+Inputs!$C$47*37.719))*43758.5453)))-1)))</x:f>
        <x:v>3.69479063881065</x:v>
      </x:c>
      <x:c r="H36" s="49"/>
      <x:c r="I36" s="48" t="n">
        <x:f>Model_Data!A36</x:f>
        <x:v>-43</x:v>
      </x:c>
      <x:c r="J36" s="48" t="n">
        <x:f>((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(0.45*SIN(2*PI()*(((Model_Data!A36)/Inputs!$C$49)+Inputs!$C$47*0.137))+0.35*COS(2*PI()*(((Inputs!$C$6)/Inputs!$C$50)+Inputs!$C$47*0.173))+0.20*SIN(2*PI()*(((Model_Data!A36)+(Inputs!$C$6))/(0.5*(Inputs!$C$49+Inputs!$C$50))+Inputs!$C$47*0.097)))+0.30*(2*((SIN(((Model_Data!A36)*12.9898+(Inputs!$C$6)*78.233+Inputs!$C$47*37.719))*43758.5453)-INT((SIN(((Model_Data!A36)*12.9898+(Inputs!$C$6)*78.233+Inputs!$C$47*37.719))*43758.5453)))-1))))-((Inputs!$C$51*(115*EXP(-(((0)-25)^2)/(4.5^2))+70*EXP(-(((0)+38)^2)/(7^2))*(0.55+0.45*SIN(2*PI()*(Model_Data!A36)/45))+24*SIN(2*PI()*(0)/9+(Model_Data!A36)/18)*EXP(-(((0)+5)^2)/(22^2))+18*SIN(2*PI()*(Model_Data!A36)/70))+Inputs!$C$28*EXP(-(((Model_Data!A36)-Inputs!$C$29)^2)/(2*Inputs!$C$31^2))*EXP(-(((0)-Inputs!$C$30)^2)/(2*Inputs!$C$32^2))+-Inputs!$C$33*EXP(-(((((Model_Data!A36)-Inputs!$C$34)^2)+(((0)-Inputs!$C$35)^2))/(2*Inputs!$C$36^2)))+Inputs!$C$37*(0.55*SIN(2*PI()*(Model_Data!A36)/Inputs!$C$39)+0.35*COS(2*PI()*(0)/Inputs!$C$40)+0.2*SIN(2*PI()*((Model_Data!A36)+(0))/(0.5*(Inputs!$C$39+Inputs!$C$40))))+Inputs!$C$38*SIN(2*PI()*(Model_Data!A36)/Inputs!$C$39)*SIN(2*PI()*(0)/Inputs!$C$40)+-Inputs!$C$41*EXP(-(((0)-Inputs!$C$43)^2)/(2*Inputs!$C$44^2))*EXP(-(((Model_Data!A36)-Inputs!$C$42)^2)/(2*Inputs!$C$45^2))+Inputs!$C$48*(0.70*(0.45*SIN(2*PI()*(((Model_Data!A36)/Inputs!$C$49)+Inputs!$C$47*0.137))+0.35*COS(2*PI()*(((0)/Inputs!$C$50)+Inputs!$C$47*0.173))+0.20*SIN(2*PI()*(((Model_Data!A36)+(0))/(0.5*(Inputs!$C$49+Inputs!$C$50))+Inputs!$C$47*0.097)))+0.30*(2*((SIN(((Model_Data!A36)*12.9898+(0)*78.233+Inputs!$C$47*37.719))*43758.5453)-INT((SIN(((Model_Data!A36)*12.9898+(0)*78.233+Inputs!$C$47*37.719))*43758.5453)))-1))))</x:f>
        <x:v>176.86339355444565</x:v>
      </x:c>
      <x:c r="K36" s="48" t="n">
        <x:f>-((((SQRT((Model_Data!A36)^2+Inputs!$C$6^2+((Model_Data!B36)-((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(0.45*SIN(2*PI()*(((Model_Data!A36)/Inputs!$C$49)+Inputs!$C$47*0.137))+0.35*COS(2*PI()*(((Inputs!$C$6)/Inputs!$C$50)+Inputs!$C$47*0.173))+0.20*SIN(2*PI()*(((Model_Data!A36)+(Inputs!$C$6))/(0.5*(Inputs!$C$49+Inputs!$C$50))+Inputs!$C$47*0.097)))+0.30*(2*((SIN(((Model_Data!A36)*12.9898+(Inputs!$C$6)*78.233+Inputs!$C$47*37.719))*43758.5453)-INT((SIN(((Model_Data!A36)*12.9898+(Inputs!$C$6)*78.233+Inputs!$C$47*37.719))*43758.5453)))-1))))/1000)^2))-(((Model_Data!B36)-((Inputs!$C$51*(115*EXP(-(((0)-25)^2)/(4.5^2))+70*EXP(-(((0)+38)^2)/(7^2))*(0.55+0.45*SIN(2*PI()*(Model_Data!A36)/45))+24*SIN(2*PI()*(0)/9+(Model_Data!A36)/18)*EXP(-(((0)+5)^2)/(22^2))+18*SIN(2*PI()*(Model_Data!A36)/70))+Inputs!$C$28*EXP(-(((Model_Data!A36)-Inputs!$C$29)^2)/(2*Inputs!$C$31^2))*EXP(-(((0)-Inputs!$C$30)^2)/(2*Inputs!$C$32^2))+-Inputs!$C$33*EXP(-(((((Model_Data!A36)-Inputs!$C$34)^2)+(((0)-Inputs!$C$35)^2))/(2*Inputs!$C$36^2)))+Inputs!$C$37*(0.55*SIN(2*PI()*(Model_Data!A36)/Inputs!$C$39)+0.35*COS(2*PI()*(0)/Inputs!$C$40)+0.2*SIN(2*PI()*((Model_Data!A36)+(0))/(0.5*(Inputs!$C$39+Inputs!$C$40))))+Inputs!$C$38*SIN(2*PI()*(Model_Data!A36)/Inputs!$C$39)*SIN(2*PI()*(0)/Inputs!$C$40)+-Inputs!$C$41*EXP(-(((0)-Inputs!$C$43)^2)/(2*Inputs!$C$44^2))*EXP(-(((Model_Data!A36)-Inputs!$C$42)^2)/(2*Inputs!$C$45^2))+Inputs!$C$48*(0.70*(0.45*SIN(2*PI()*(((Model_Data!A36)/Inputs!$C$49)+Inputs!$C$47*0.137))+0.35*COS(2*PI()*(((0)/Inputs!$C$50)+Inputs!$C$47*0.173))+0.20*SIN(2*PI()*(((Model_Data!A36)+(0))/(0.5*(Inputs!$C$49+Inputs!$C$50))+Inputs!$C$47*0.097)))+0.30*(2*((SIN(((Model_Data!A36)*12.9898+(0)*78.233+Inputs!$C$47*37.719))*43758.5453)-INT((SIN(((Model_Data!A36)*12.9898+(0)*78.233+Inputs!$C$47*37.719))*43758.5453)))-1))))/1000)))*1000/Inputs!$C$12)-Model_Data!F36)</x:f>
        <x:v>98.59367222457922</x:v>
      </x:c>
      <x:c r="L36" s="49"/>
      <x:c r="M36" s="48" t="n">
        <x:f>Model_Data!A36</x:f>
        <x:v>-43</x:v>
      </x:c>
      <x:c r="N36" s="48" t="n">
        <x:f>Model_Data!P36</x:f>
        <x:v>321.55862745132083</x:v>
      </x:c>
      <x:c r="O36" s="48" t="n">
        <x:f>AC36</x:f>
        <x:v>275.40097239234456</x:v>
      </x:c>
      <x:c r="P36" s="48" t="n">
        <x:f>Model_Data!Q36</x:f>
        <x:v>48.282076193892024</x:v>
      </x:c>
      <x:c r="Q36" s="48" t="n">
        <x:f>AD36</x:f>
        <x:v>41.351497356207894</x:v>
      </x:c>
      <x:c r="R36" s="49"/>
      <x:c r="S36" s="48" t="n">
        <x:f>Model_Data!A36</x:f>
        <x:v>-43</x:v>
      </x:c>
      <x:c r="T36" s="48" t="n">
        <x:f>Model_Data!B36-Inputs!$C$5</x:f>
        <x:v>2.0544444444444707</x:v>
      </x:c>
      <x:c r="U36" s="49"/>
      <x:c r="V36" s="48" t="n">
        <x:f>Model_Data!A36</x:f>
        <x:v>-43</x:v>
      </x:c>
      <x:c r="W36" s="48" t="n">
        <x:f>(-((((SQRT((Model_Data!A36)^2+Inputs!$C$6^2+((Model_Data!B36)-((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(0.45*SIN(2*PI()*(((Model_Data!A36)/Inputs!$C$49)+Inputs!$C$47*0.137))+0.35*COS(2*PI()*(((Inputs!$C$6)/Inputs!$C$50)+Inputs!$C$47*0.173))+0.20*SIN(2*PI()*(((Model_Data!A36)+(Inputs!$C$6))/(0.5*(Inputs!$C$49+Inputs!$C$50))+Inputs!$C$47*0.097)))+0.30*(2*((SIN(((Model_Data!A36)*12.9898+(Inputs!$C$6)*78.233+Inputs!$C$47*37.719))*43758.5453)-INT((SIN(((Model_Data!A36)*12.9898+(Inputs!$C$6)*78.233+Inputs!$C$47*37.719))*43758.5453)))-1))))/1000)^2))-(((Model_Data!B36)-((Inputs!$C$51*(115*EXP(-(((0)-25)^2)/(4.5^2))+70*EXP(-(((0)+38)^2)/(7^2))*(0.55+0.45*SIN(2*PI()*(Model_Data!A36)/45))+24*SIN(2*PI()*(0)/9+(Model_Data!A36)/18)*EXP(-(((0)+5)^2)/(22^2))+18*SIN(2*PI()*(Model_Data!A36)/70))+Inputs!$C$28*EXP(-(((Model_Data!A36)-Inputs!$C$29)^2)/(2*Inputs!$C$31^2))*EXP(-(((0)-Inputs!$C$30)^2)/(2*Inputs!$C$32^2))+-Inputs!$C$33*EXP(-(((((Model_Data!A36)-Inputs!$C$34)^2)+(((0)-Inputs!$C$35)^2))/(2*Inputs!$C$36^2)))+Inputs!$C$37*(0.55*SIN(2*PI()*(Model_Data!A36)/Inputs!$C$39)+0.35*COS(2*PI()*(0)/Inputs!$C$40)+0.2*SIN(2*PI()*((Model_Data!A36)+(0))/(0.5*(Inputs!$C$39+Inputs!$C$40))))+Inputs!$C$38*SIN(2*PI()*(Model_Data!A36)/Inputs!$C$39)*SIN(2*PI()*(0)/Inputs!$C$40)+-Inputs!$C$41*EXP(-(((0)-Inputs!$C$43)^2)/(2*Inputs!$C$44^2))*EXP(-(((Model_Data!A36)-Inputs!$C$42)^2)/(2*Inputs!$C$45^2))+Inputs!$C$48*(0.70*(0.45*SIN(2*PI()*(((Model_Data!A36)/Inputs!$C$49)+Inputs!$C$47*0.137))+0.35*COS(2*PI()*(((0)/Inputs!$C$50)+Inputs!$C$47*0.173))+0.20*SIN(2*PI()*(((Model_Data!A36)+(0))/(0.5*(Inputs!$C$49+Inputs!$C$50))+Inputs!$C$47*0.097)))+0.30*(2*((SIN(((Model_Data!A36)*12.9898+(0)*78.233+Inputs!$C$47*37.719))*43758.5453)-INT((SIN(((Model_Data!A36)*12.9898+(0)*78.233+Inputs!$C$47*37.719))*43758.5453)))-1))))/1000)))*1000/Inputs!$C$12)-Model_Data!F36))-(-(((SQRT((Model_Data!A36)^2+Inputs!$C$6^2+(Inputs!$C$5-((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(0.45*SIN(2*PI()*(((Model_Data!A36)/Inputs!$C$49)+Inputs!$C$47*0.137))+0.35*COS(2*PI()*(((Inputs!$C$6)/Inputs!$C$50)+Inputs!$C$47*0.173))+0.20*SIN(2*PI()*(((Model_Data!A36)+(Inputs!$C$6))/(0.5*(Inputs!$C$49+Inputs!$C$50))+Inputs!$C$47*0.097)))+0.30*(2*((SIN(((Model_Data!A36)*12.9898+(Inputs!$C$6)*78.233+Inputs!$C$47*37.719))*43758.5453)-INT((SIN(((Model_Data!A36)*12.9898+(Inputs!$C$6)*78.233+Inputs!$C$47*37.719))*43758.5453)))-1))))/1000)^2)-(Inputs!$C$5-((Inputs!$C$51*(115*EXP(-(((0)-25)^2)/(4.5^2))+70*EXP(-(((0)+38)^2)/(7^2))*(0.55+0.45*SIN(2*PI()*(Model_Data!A36)/45))+24*SIN(2*PI()*(0)/9+(Model_Data!A36)/18)*EXP(-(((0)+5)^2)/(22^2))+18*SIN(2*PI()*(Model_Data!A36)/70))+Inputs!$C$28*EXP(-(((Model_Data!A36)-Inputs!$C$29)^2)/(2*Inputs!$C$31^2))*EXP(-(((0)-Inputs!$C$30)^2)/(2*Inputs!$C$32^2))+-Inputs!$C$33*EXP(-(((((Model_Data!A36)-Inputs!$C$34)^2)+(((0)-Inputs!$C$35)^2))/(2*Inputs!$C$36^2)))+Inputs!$C$37*(0.55*SIN(2*PI()*(Model_Data!A36)/Inputs!$C$39)+0.35*COS(2*PI()*(0)/Inputs!$C$40)+0.2*SIN(2*PI()*((Model_Data!A36)+(0))/(0.5*(Inputs!$C$39+Inputs!$C$40))))+Inputs!$C$38*SIN(2*PI()*(Model_Data!A36)/Inputs!$C$39)*SIN(2*PI()*(0)/Inputs!$C$40)+-Inputs!$C$41*EXP(-(((0)-Inputs!$C$43)^2)/(2*Inputs!$C$44^2))*EXP(-(((Model_Data!A36)-Inputs!$C$42)^2)/(2*Inputs!$C$45^2))+Inputs!$C$48*(0.70*(0.45*SIN(2*PI()*(((Model_Data!A36)/Inputs!$C$49)+Inputs!$C$47*0.137))+0.35*COS(2*PI()*(((0)/Inputs!$C$50)+Inputs!$C$47*0.173))+0.20*SIN(2*PI()*(((Model_Data!A36)+(0))/(0.5*(Inputs!$C$49+Inputs!$C$50))+Inputs!$C$47*0.097)))+0.30*(2*((SIN(((Model_Data!A36)*12.9898+(0)*78.233+Inputs!$C$47*37.719))*43758.5453)-INT((SIN(((Model_Data!A36)*12.9898+(0)*78.233+Inputs!$C$47*37.719))*43758.5453)))-1))))/1000))*1000/Inputs!$C$12)-((SQRT((Model_Data!A36)^2+Inputs!$C$6^2+Inputs!$C$5^2)-Inputs!$C$5)*1000/Inputs!$C$12)))</x:f>
        <x:v>0.007818421418051003</x:v>
      </x:c>
      <x:c r="X36" s="48" t="n">
        <x:f>0</x:f>
        <x:v>0</x:v>
      </x:c>
      <x:c r="Y36" s="49"/>
      <x:c r="Z36" s="48" t="n">
        <x:f>Model_Data!A36</x:f>
        <x:v>-43</x:v>
      </x:c>
      <x:c r="AA36" s="48" t="n">
        <x:f>SQRT((Model_Data!A36)^2+Inputs!$C$6^2+((Model_Data!B36)-((Inputs!$C$51*(115*EXP(-(((Inputs!$C$6)-25)^2)/(4.5^2))+70*EXP(-(((Inputs!$C$6)+38)^2)/(7^2))*(0.55+0.45*SIN(2*PI()*(Model_Data!A36)/45))+24*SIN(2*PI()*(Inputs!$C$6)/9+(Model_Data!A36)/18)*EXP(-(((Inputs!$C$6)+5)^2)/(22^2))+18*SIN(2*PI()*(Model_Data!A36)/70))+Inputs!$C$28*EXP(-(((Model_Data!A36)-Inputs!$C$29)^2)/(2*Inputs!$C$31^2))*EXP(-(((Inputs!$C$6)-Inputs!$C$30)^2)/(2*Inputs!$C$32^2))+-Inputs!$C$33*EXP(-(((((Model_Data!A36)-Inputs!$C$34)^2)+(((Inputs!$C$6)-Inputs!$C$35)^2))/(2*Inputs!$C$36^2)))+Inputs!$C$37*(0.55*SIN(2*PI()*(Model_Data!A36)/Inputs!$C$39)+0.35*COS(2*PI()*(Inputs!$C$6)/Inputs!$C$40)+0.2*SIN(2*PI()*((Model_Data!A36)+(Inputs!$C$6))/(0.5*(Inputs!$C$39+Inputs!$C$40))))+Inputs!$C$38*SIN(2*PI()*(Model_Data!A36)/Inputs!$C$39)*SIN(2*PI()*(Inputs!$C$6)/Inputs!$C$40)+-Inputs!$C$41*EXP(-(((Inputs!$C$6)-Inputs!$C$43)^2)/(2*Inputs!$C$44^2))*EXP(-(((Model_Data!A36)-Inputs!$C$42)^2)/(2*Inputs!$C$45^2))+Inputs!$C$48*(0.70*(0.45*SIN(2*PI()*(((Model_Data!A36)/Inputs!$C$49)+Inputs!$C$47*0.137))+0.35*COS(2*PI()*(((Inputs!$C$6)/Inputs!$C$50)+Inputs!$C$47*0.173))+0.20*SIN(2*PI()*(((Model_Data!A36)+(Inputs!$C$6))/(0.5*(Inputs!$C$49+Inputs!$C$50))+Inputs!$C$47*0.097)))+0.30*(2*((SIN(((Model_Data!A36)*12.9898+(Inputs!$C$6)*78.233+Inputs!$C$47*37.719))*43758.5453)-INT((SIN(((Model_Data!A36)*12.9898+(Inputs!$C$6)*78.233+Inputs!$C$47*37.719))*43758.5453)))-1))))/1000)^2)</x:f>
        <x:v>404.94026776540426</x:v>
      </x:c>
      <x:c r="AB36" s="48" t="n">
        <x:f>1000*(AA37-AA35)/(Z37-Z35)*Inputs!$C$11</x:f>
        <x:v>-688.5024309808614</x:v>
      </x:c>
      <x:c r="AC36" s="48" t="n">
        <x:f>-2*AB36/Inputs!$C$13</x:f>
        <x:v>275.40097239234456</x:v>
      </x:c>
      <x:c r="AD36" s="48" t="n">
        <x:f>-2*AB36/Inputs!$C$14</x:f>
        <x:v>41.351497356207894</x:v>
      </x:c>
    </x:row>
    <x:row r="37">
      <x:c r="A37" s="48" t="n">
        <x:f>Model_Data!A37</x:f>
        <x:v>-42.5</x:v>
      </x:c>
      <x:c r="B37" s="48" t="n">
        <x:f>Model_Data!F37</x:f>
        <x:v>1692.4732969044633</x:v>
      </x:c>
      <x:c r="C37" s="48" t="n">
        <x:f>(((SQRT((Model_Data!A37)^2+Inputs!$C$6^2+((Model_Data!B37)-((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(0.45*SIN(2*PI()*(((Model_Data!A37)/Inputs!$C$49)+Inputs!$C$47*0.137))+0.35*COS(2*PI()*(((Inputs!$C$6)/Inputs!$C$50)+Inputs!$C$47*0.173))+0.20*SIN(2*PI()*(((Model_Data!A37)+(Inputs!$C$6))/(0.5*(Inputs!$C$49+Inputs!$C$50))+Inputs!$C$47*0.097)))+0.30*(2*((SIN(((Model_Data!A37)*12.9898+(Inputs!$C$6)*78.233+Inputs!$C$47*37.719))*43758.5453)-INT((SIN(((Model_Data!A37)*12.9898+(Inputs!$C$6)*78.233+Inputs!$C$47*37.719))*43758.5453)))-1))))/1000)^2))-(((Model_Data!B37)-((Inputs!$C$51*(115*EXP(-(((0)-25)^2)/(4.5^2))+70*EXP(-(((0)+38)^2)/(7^2))*(0.55+0.45*SIN(2*PI()*(Model_Data!A37)/45))+24*SIN(2*PI()*(0)/9+(Model_Data!A37)/18)*EXP(-(((0)+5)^2)/(22^2))+18*SIN(2*PI()*(Model_Data!A37)/70))+Inputs!$C$28*EXP(-(((Model_Data!A37)-Inputs!$C$29)^2)/(2*Inputs!$C$31^2))*EXP(-(((0)-Inputs!$C$30)^2)/(2*Inputs!$C$32^2))+-Inputs!$C$33*EXP(-(((((Model_Data!A37)-Inputs!$C$34)^2)+(((0)-Inputs!$C$35)^2))/(2*Inputs!$C$36^2)))+Inputs!$C$37*(0.55*SIN(2*PI()*(Model_Data!A37)/Inputs!$C$39)+0.35*COS(2*PI()*(0)/Inputs!$C$40)+0.2*SIN(2*PI()*((Model_Data!A37)+(0))/(0.5*(Inputs!$C$39+Inputs!$C$40))))+Inputs!$C$38*SIN(2*PI()*(Model_Data!A37)/Inputs!$C$39)*SIN(2*PI()*(0)/Inputs!$C$40)+-Inputs!$C$41*EXP(-(((0)-Inputs!$C$43)^2)/(2*Inputs!$C$44^2))*EXP(-(((Model_Data!A37)-Inputs!$C$42)^2)/(2*Inputs!$C$45^2))+Inputs!$C$48*(0.70*(0.45*SIN(2*PI()*(((Model_Data!A37)/Inputs!$C$49)+Inputs!$C$47*0.137))+0.35*COS(2*PI()*(((0)/Inputs!$C$50)+Inputs!$C$47*0.173))+0.20*SIN(2*PI()*(((Model_Data!A37)+(0))/(0.5*(Inputs!$C$49+Inputs!$C$50))+Inputs!$C$47*0.097)))+0.30*(2*((SIN(((Model_Data!A37)*12.9898+(0)*78.233+Inputs!$C$47*37.719))*43758.5453)-INT((SIN(((Model_Data!A37)*12.9898+(0)*78.233+Inputs!$C$47*37.719))*43758.5453)))-1))))/1000)))*1000/Inputs!$C$12)</x:f>
        <x:v>1596.4624599420724</x:v>
      </x:c>
      <x:c r="D37" s="49"/>
      <x:c r="E37" s="48" t="n">
        <x:f>Model_Data!A37</x:f>
        <x:v>-42.5</x:v>
      </x:c>
      <x:c r="F37" s="48" t="n">
        <x:f>(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(0.45*SIN(2*PI()*(((Model_Data!A37)/Inputs!$C$49)+Inputs!$C$47*0.137))+0.35*COS(2*PI()*(((Inputs!$C$6)/Inputs!$C$50)+Inputs!$C$47*0.173))+0.20*SIN(2*PI()*(((Model_Data!A37)+(Inputs!$C$6))/(0.5*(Inputs!$C$49+Inputs!$C$50))+Inputs!$C$47*0.097)))+0.30*(2*((SIN(((Model_Data!A37)*12.9898+(Inputs!$C$6)*78.233+Inputs!$C$47*37.719))*43758.5453)-INT((SIN(((Model_Data!A37)*12.9898+(Inputs!$C$6)*78.233+Inputs!$C$47*37.719))*43758.5453)))-1)))</x:f>
        <x:v>181.7291755177202</x:v>
      </x:c>
      <x:c r="G37" s="48" t="n">
        <x:f>(Inputs!$C$51*(115*EXP(-(((0)-25)^2)/(4.5^2))+70*EXP(-(((0)+38)^2)/(7^2))*(0.55+0.45*SIN(2*PI()*(Model_Data!A37)/45))+24*SIN(2*PI()*(0)/9+(Model_Data!A37)/18)*EXP(-(((0)+5)^2)/(22^2))+18*SIN(2*PI()*(Model_Data!A37)/70))+Inputs!$C$28*EXP(-(((Model_Data!A37)-Inputs!$C$29)^2)/(2*Inputs!$C$31^2))*EXP(-(((0)-Inputs!$C$30)^2)/(2*Inputs!$C$32^2))+-Inputs!$C$33*EXP(-(((((Model_Data!A37)-Inputs!$C$34)^2)+(((0)-Inputs!$C$35)^2))/(2*Inputs!$C$36^2)))+Inputs!$C$37*(0.55*SIN(2*PI()*(Model_Data!A37)/Inputs!$C$39)+0.35*COS(2*PI()*(0)/Inputs!$C$40)+0.2*SIN(2*PI()*((Model_Data!A37)+(0))/(0.5*(Inputs!$C$39+Inputs!$C$40))))+Inputs!$C$38*SIN(2*PI()*(Model_Data!A37)/Inputs!$C$39)*SIN(2*PI()*(0)/Inputs!$C$40)+-Inputs!$C$41*EXP(-(((0)-Inputs!$C$43)^2)/(2*Inputs!$C$44^2))*EXP(-(((Model_Data!A37)-Inputs!$C$42)^2)/(2*Inputs!$C$45^2))+Inputs!$C$48*(0.70*(0.45*SIN(2*PI()*(((Model_Data!A37)/Inputs!$C$49)+Inputs!$C$47*0.137))+0.35*COS(2*PI()*(((0)/Inputs!$C$50)+Inputs!$C$47*0.173))+0.20*SIN(2*PI()*(((Model_Data!A37)+(0))/(0.5*(Inputs!$C$49+Inputs!$C$50))+Inputs!$C$47*0.097)))+0.30*(2*((SIN(((Model_Data!A37)*12.9898+(0)*78.233+Inputs!$C$47*37.719))*43758.5453)-INT((SIN(((Model_Data!A37)*12.9898+(0)*78.233+Inputs!$C$47*37.719))*43758.5453)))-1)))</x:f>
        <x:v>9.477549494288523</x:v>
      </x:c>
      <x:c r="H37" s="49"/>
      <x:c r="I37" s="48" t="n">
        <x:f>Model_Data!A37</x:f>
        <x:v>-42.5</x:v>
      </x:c>
      <x:c r="J37" s="48" t="n">
        <x:f>((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(0.45*SIN(2*PI()*(((Model_Data!A37)/Inputs!$C$49)+Inputs!$C$47*0.137))+0.35*COS(2*PI()*(((Inputs!$C$6)/Inputs!$C$50)+Inputs!$C$47*0.173))+0.20*SIN(2*PI()*(((Model_Data!A37)+(Inputs!$C$6))/(0.5*(Inputs!$C$49+Inputs!$C$50))+Inputs!$C$47*0.097)))+0.30*(2*((SIN(((Model_Data!A37)*12.9898+(Inputs!$C$6)*78.233+Inputs!$C$47*37.719))*43758.5453)-INT((SIN(((Model_Data!A37)*12.9898+(Inputs!$C$6)*78.233+Inputs!$C$47*37.719))*43758.5453)))-1))))-((Inputs!$C$51*(115*EXP(-(((0)-25)^2)/(4.5^2))+70*EXP(-(((0)+38)^2)/(7^2))*(0.55+0.45*SIN(2*PI()*(Model_Data!A37)/45))+24*SIN(2*PI()*(0)/9+(Model_Data!A37)/18)*EXP(-(((0)+5)^2)/(22^2))+18*SIN(2*PI()*(Model_Data!A37)/70))+Inputs!$C$28*EXP(-(((Model_Data!A37)-Inputs!$C$29)^2)/(2*Inputs!$C$31^2))*EXP(-(((0)-Inputs!$C$30)^2)/(2*Inputs!$C$32^2))+-Inputs!$C$33*EXP(-(((((Model_Data!A37)-Inputs!$C$34)^2)+(((0)-Inputs!$C$35)^2))/(2*Inputs!$C$36^2)))+Inputs!$C$37*(0.55*SIN(2*PI()*(Model_Data!A37)/Inputs!$C$39)+0.35*COS(2*PI()*(0)/Inputs!$C$40)+0.2*SIN(2*PI()*((Model_Data!A37)+(0))/(0.5*(Inputs!$C$39+Inputs!$C$40))))+Inputs!$C$38*SIN(2*PI()*(Model_Data!A37)/Inputs!$C$39)*SIN(2*PI()*(0)/Inputs!$C$40)+-Inputs!$C$41*EXP(-(((0)-Inputs!$C$43)^2)/(2*Inputs!$C$44^2))*EXP(-(((Model_Data!A37)-Inputs!$C$42)^2)/(2*Inputs!$C$45^2))+Inputs!$C$48*(0.70*(0.45*SIN(2*PI()*(((Model_Data!A37)/Inputs!$C$49)+Inputs!$C$47*0.137))+0.35*COS(2*PI()*(((0)/Inputs!$C$50)+Inputs!$C$47*0.173))+0.20*SIN(2*PI()*(((Model_Data!A37)+(0))/(0.5*(Inputs!$C$49+Inputs!$C$50))+Inputs!$C$47*0.097)))+0.30*(2*((SIN(((Model_Data!A37)*12.9898+(0)*78.233+Inputs!$C$47*37.719))*43758.5453)-INT((SIN(((Model_Data!A37)*12.9898+(0)*78.233+Inputs!$C$47*37.719))*43758.5453)))-1))))</x:f>
        <x:v>172.25162602343167</x:v>
      </x:c>
      <x:c r="K37" s="48" t="n">
        <x:f>-((((SQRT((Model_Data!A37)^2+Inputs!$C$6^2+((Model_Data!B37)-((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(0.45*SIN(2*PI()*(((Model_Data!A37)/Inputs!$C$49)+Inputs!$C$47*0.137))+0.35*COS(2*PI()*(((Inputs!$C$6)/Inputs!$C$50)+Inputs!$C$47*0.173))+0.20*SIN(2*PI()*(((Model_Data!A37)+(Inputs!$C$6))/(0.5*(Inputs!$C$49+Inputs!$C$50))+Inputs!$C$47*0.097)))+0.30*(2*((SIN(((Model_Data!A37)*12.9898+(Inputs!$C$6)*78.233+Inputs!$C$47*37.719))*43758.5453)-INT((SIN(((Model_Data!A37)*12.9898+(Inputs!$C$6)*78.233+Inputs!$C$47*37.719))*43758.5453)))-1))))/1000)^2))-(((Model_Data!B37)-((Inputs!$C$51*(115*EXP(-(((0)-25)^2)/(4.5^2))+70*EXP(-(((0)+38)^2)/(7^2))*(0.55+0.45*SIN(2*PI()*(Model_Data!A37)/45))+24*SIN(2*PI()*(0)/9+(Model_Data!A37)/18)*EXP(-(((0)+5)^2)/(22^2))+18*SIN(2*PI()*(Model_Data!A37)/70))+Inputs!$C$28*EXP(-(((Model_Data!A37)-Inputs!$C$29)^2)/(2*Inputs!$C$31^2))*EXP(-(((0)-Inputs!$C$30)^2)/(2*Inputs!$C$32^2))+-Inputs!$C$33*EXP(-(((((Model_Data!A37)-Inputs!$C$34)^2)+(((0)-Inputs!$C$35)^2))/(2*Inputs!$C$36^2)))+Inputs!$C$37*(0.55*SIN(2*PI()*(Model_Data!A37)/Inputs!$C$39)+0.35*COS(2*PI()*(0)/Inputs!$C$40)+0.2*SIN(2*PI()*((Model_Data!A37)+(0))/(0.5*(Inputs!$C$39+Inputs!$C$40))))+Inputs!$C$38*SIN(2*PI()*(Model_Data!A37)/Inputs!$C$39)*SIN(2*PI()*(0)/Inputs!$C$40)+-Inputs!$C$41*EXP(-(((0)-Inputs!$C$43)^2)/(2*Inputs!$C$44^2))*EXP(-(((Model_Data!A37)-Inputs!$C$42)^2)/(2*Inputs!$C$45^2))+Inputs!$C$48*(0.70*(0.45*SIN(2*PI()*(((Model_Data!A37)/Inputs!$C$49)+Inputs!$C$47*0.137))+0.35*COS(2*PI()*(((0)/Inputs!$C$50)+Inputs!$C$47*0.173))+0.20*SIN(2*PI()*(((Model_Data!A37)+(0))/(0.5*(Inputs!$C$49+Inputs!$C$50))+Inputs!$C$47*0.097)))+0.30*(2*((SIN(((Model_Data!A37)*12.9898+(0)*78.233+Inputs!$C$47*37.719))*43758.5453)-INT((SIN(((Model_Data!A37)*12.9898+(0)*78.233+Inputs!$C$47*37.719))*43758.5453)))-1))))/1000)))*1000/Inputs!$C$12)-Model_Data!F37)</x:f>
        <x:v>96.01083696239084</x:v>
      </x:c>
      <x:c r="L37" s="49"/>
      <x:c r="M37" s="48" t="n">
        <x:f>Model_Data!A37</x:f>
        <x:v>-42.5</x:v>
      </x:c>
      <x:c r="N37" s="48" t="n">
        <x:f>Model_Data!P37</x:f>
        <x:v>317.88025301667517</x:v>
      </x:c>
      <x:c r="O37" s="48" t="n">
        <x:f>AC37</x:f>
        <x:v>302.1814847274072</x:v>
      </x:c>
      <x:c r="P37" s="48" t="n">
        <x:f>Model_Data!Q37</x:f>
        <x:v>47.7297677202215</x:v>
      </x:c>
      <x:c r="Q37" s="48" t="n">
        <x:f>AD37</x:f>
        <x:v>45.372595304415505</x:v>
      </x:c>
      <x:c r="R37" s="49"/>
      <x:c r="S37" s="48" t="n">
        <x:f>Model_Data!A37</x:f>
        <x:v>-42.5</x:v>
      </x:c>
      <x:c r="T37" s="48" t="n">
        <x:f>Model_Data!B37-Inputs!$C$5</x:f>
        <x:v>2.006944444444457</x:v>
      </x:c>
      <x:c r="U37" s="49"/>
      <x:c r="V37" s="48" t="n">
        <x:f>Model_Data!A37</x:f>
        <x:v>-42.5</x:v>
      </x:c>
      <x:c r="W37" s="48" t="n">
        <x:f>(-((((SQRT((Model_Data!A37)^2+Inputs!$C$6^2+((Model_Data!B37)-((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(0.45*SIN(2*PI()*(((Model_Data!A37)/Inputs!$C$49)+Inputs!$C$47*0.137))+0.35*COS(2*PI()*(((Inputs!$C$6)/Inputs!$C$50)+Inputs!$C$47*0.173))+0.20*SIN(2*PI()*(((Model_Data!A37)+(Inputs!$C$6))/(0.5*(Inputs!$C$49+Inputs!$C$50))+Inputs!$C$47*0.097)))+0.30*(2*((SIN(((Model_Data!A37)*12.9898+(Inputs!$C$6)*78.233+Inputs!$C$47*37.719))*43758.5453)-INT((SIN(((Model_Data!A37)*12.9898+(Inputs!$C$6)*78.233+Inputs!$C$47*37.719))*43758.5453)))-1))))/1000)^2))-(((Model_Data!B37)-((Inputs!$C$51*(115*EXP(-(((0)-25)^2)/(4.5^2))+70*EXP(-(((0)+38)^2)/(7^2))*(0.55+0.45*SIN(2*PI()*(Model_Data!A37)/45))+24*SIN(2*PI()*(0)/9+(Model_Data!A37)/18)*EXP(-(((0)+5)^2)/(22^2))+18*SIN(2*PI()*(Model_Data!A37)/70))+Inputs!$C$28*EXP(-(((Model_Data!A37)-Inputs!$C$29)^2)/(2*Inputs!$C$31^2))*EXP(-(((0)-Inputs!$C$30)^2)/(2*Inputs!$C$32^2))+-Inputs!$C$33*EXP(-(((((Model_Data!A37)-Inputs!$C$34)^2)+(((0)-Inputs!$C$35)^2))/(2*Inputs!$C$36^2)))+Inputs!$C$37*(0.55*SIN(2*PI()*(Model_Data!A37)/Inputs!$C$39)+0.35*COS(2*PI()*(0)/Inputs!$C$40)+0.2*SIN(2*PI()*((Model_Data!A37)+(0))/(0.5*(Inputs!$C$39+Inputs!$C$40))))+Inputs!$C$38*SIN(2*PI()*(Model_Data!A37)/Inputs!$C$39)*SIN(2*PI()*(0)/Inputs!$C$40)+-Inputs!$C$41*EXP(-(((0)-Inputs!$C$43)^2)/(2*Inputs!$C$44^2))*EXP(-(((Model_Data!A37)-Inputs!$C$42)^2)/(2*Inputs!$C$45^2))+Inputs!$C$48*(0.70*(0.45*SIN(2*PI()*(((Model_Data!A37)/Inputs!$C$49)+Inputs!$C$47*0.137))+0.35*COS(2*PI()*(((0)/Inputs!$C$50)+Inputs!$C$47*0.173))+0.20*SIN(2*PI()*(((Model_Data!A37)+(0))/(0.5*(Inputs!$C$49+Inputs!$C$50))+Inputs!$C$47*0.097)))+0.30*(2*((SIN(((Model_Data!A37)*12.9898+(0)*78.233+Inputs!$C$47*37.719))*43758.5453)-INT((SIN(((Model_Data!A37)*12.9898+(0)*78.233+Inputs!$C$47*37.719))*43758.5453)))-1))))/1000)))*1000/Inputs!$C$12)-Model_Data!F37))-(-(((SQRT((Model_Data!A37)^2+Inputs!$C$6^2+(Inputs!$C$5-((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(0.45*SIN(2*PI()*(((Model_Data!A37)/Inputs!$C$49)+Inputs!$C$47*0.137))+0.35*COS(2*PI()*(((Inputs!$C$6)/Inputs!$C$50)+Inputs!$C$47*0.173))+0.20*SIN(2*PI()*(((Model_Data!A37)+(Inputs!$C$6))/(0.5*(Inputs!$C$49+Inputs!$C$50))+Inputs!$C$47*0.097)))+0.30*(2*((SIN(((Model_Data!A37)*12.9898+(Inputs!$C$6)*78.233+Inputs!$C$47*37.719))*43758.5453)-INT((SIN(((Model_Data!A37)*12.9898+(Inputs!$C$6)*78.233+Inputs!$C$47*37.719))*43758.5453)))-1))))/1000)^2)-(Inputs!$C$5-((Inputs!$C$51*(115*EXP(-(((0)-25)^2)/(4.5^2))+70*EXP(-(((0)+38)^2)/(7^2))*(0.55+0.45*SIN(2*PI()*(Model_Data!A37)/45))+24*SIN(2*PI()*(0)/9+(Model_Data!A37)/18)*EXP(-(((0)+5)^2)/(22^2))+18*SIN(2*PI()*(Model_Data!A37)/70))+Inputs!$C$28*EXP(-(((Model_Data!A37)-Inputs!$C$29)^2)/(2*Inputs!$C$31^2))*EXP(-(((0)-Inputs!$C$30)^2)/(2*Inputs!$C$32^2))+-Inputs!$C$33*EXP(-(((((Model_Data!A37)-Inputs!$C$34)^2)+(((0)-Inputs!$C$35)^2))/(2*Inputs!$C$36^2)))+Inputs!$C$37*(0.55*SIN(2*PI()*(Model_Data!A37)/Inputs!$C$39)+0.35*COS(2*PI()*(0)/Inputs!$C$40)+0.2*SIN(2*PI()*((Model_Data!A37)+(0))/(0.5*(Inputs!$C$39+Inputs!$C$40))))+Inputs!$C$38*SIN(2*PI()*(Model_Data!A37)/Inputs!$C$39)*SIN(2*PI()*(0)/Inputs!$C$40)+-Inputs!$C$41*EXP(-(((0)-Inputs!$C$43)^2)/(2*Inputs!$C$44^2))*EXP(-(((Model_Data!A37)-Inputs!$C$42)^2)/(2*Inputs!$C$45^2))+Inputs!$C$48*(0.70*(0.45*SIN(2*PI()*(((Model_Data!A37)/Inputs!$C$49)+Inputs!$C$47*0.137))+0.35*COS(2*PI()*(((0)/Inputs!$C$50)+Inputs!$C$47*0.173))+0.20*SIN(2*PI()*(((Model_Data!A37)+(0))/(0.5*(Inputs!$C$49+Inputs!$C$50))+Inputs!$C$47*0.097)))+0.30*(2*((SIN(((Model_Data!A37)*12.9898+(0)*78.233+Inputs!$C$47*37.719))*43758.5453)-INT((SIN(((Model_Data!A37)*12.9898+(0)*78.233+Inputs!$C$47*37.719))*43758.5453)))-1))))/1000))*1000/Inputs!$C$12)-((SQRT((Model_Data!A37)^2+Inputs!$C$6^2+Inputs!$C$5^2)-Inputs!$C$5)*1000/Inputs!$C$12)))</x:f>
        <x:v>0.007558675862583186</x:v>
      </x:c>
      <x:c r="X37" s="48" t="n">
        <x:f>0</x:f>
        <x:v>0</x:v>
      </x:c>
      <x:c r="Y37" s="49"/>
      <x:c r="Z37" s="48" t="n">
        <x:f>Model_Data!A37</x:f>
        <x:v>-42.5</x:v>
      </x:c>
      <x:c r="AA37" s="48" t="n">
        <x:f>SQRT((Model_Data!A37)^2+Inputs!$C$6^2+((Model_Data!B37)-((Inputs!$C$51*(115*EXP(-(((Inputs!$C$6)-25)^2)/(4.5^2))+70*EXP(-(((Inputs!$C$6)+38)^2)/(7^2))*(0.55+0.45*SIN(2*PI()*(Model_Data!A37)/45))+24*SIN(2*PI()*(Inputs!$C$6)/9+(Model_Data!A37)/18)*EXP(-(((Inputs!$C$6)+5)^2)/(22^2))+18*SIN(2*PI()*(Model_Data!A37)/70))+Inputs!$C$28*EXP(-(((Model_Data!A37)-Inputs!$C$29)^2)/(2*Inputs!$C$31^2))*EXP(-(((Inputs!$C$6)-Inputs!$C$30)^2)/(2*Inputs!$C$32^2))+-Inputs!$C$33*EXP(-(((((Model_Data!A37)-Inputs!$C$34)^2)+(((Inputs!$C$6)-Inputs!$C$35)^2))/(2*Inputs!$C$36^2)))+Inputs!$C$37*(0.55*SIN(2*PI()*(Model_Data!A37)/Inputs!$C$39)+0.35*COS(2*PI()*(Inputs!$C$6)/Inputs!$C$40)+0.2*SIN(2*PI()*((Model_Data!A37)+(Inputs!$C$6))/(0.5*(Inputs!$C$39+Inputs!$C$40))))+Inputs!$C$38*SIN(2*PI()*(Model_Data!A37)/Inputs!$C$39)*SIN(2*PI()*(Inputs!$C$6)/Inputs!$C$40)+-Inputs!$C$41*EXP(-(((Inputs!$C$6)-Inputs!$C$43)^2)/(2*Inputs!$C$44^2))*EXP(-(((Model_Data!A37)-Inputs!$C$42)^2)/(2*Inputs!$C$45^2))+Inputs!$C$48*(0.70*(0.45*SIN(2*PI()*(((Model_Data!A37)/Inputs!$C$49)+Inputs!$C$47*0.137))+0.35*COS(2*PI()*(((Inputs!$C$6)/Inputs!$C$50)+Inputs!$C$47*0.173))+0.20*SIN(2*PI()*(((Model_Data!A37)+(Inputs!$C$6))/(0.5*(Inputs!$C$49+Inputs!$C$50))+Inputs!$C$47*0.097)))+0.30*(2*((SIN(((Model_Data!A37)*12.9898+(Inputs!$C$6)*78.233+Inputs!$C$47*37.719))*43758.5453)-INT((SIN(((Model_Data!A37)*12.9898+(Inputs!$C$6)*78.233+Inputs!$C$47*37.719))*43758.5453)))-1))))/1000)^2)</x:f>
        <x:v>404.83917007364704</x:v>
      </x:c>
      <x:c r="AB37" s="48" t="n">
        <x:f>1000*(AA38-AA36)/(Z38-Z36)*Inputs!$C$11</x:f>
        <x:v>-755.4537118185181</x:v>
      </x:c>
      <x:c r="AC37" s="48" t="n">
        <x:f>-2*AB37/Inputs!$C$13</x:f>
        <x:v>302.1814847274072</x:v>
      </x:c>
      <x:c r="AD37" s="48" t="n">
        <x:f>-2*AB37/Inputs!$C$14</x:f>
        <x:v>45.372595304415505</x:v>
      </x:c>
    </x:row>
    <x:row r="38">
      <x:c r="A38" s="48" t="n">
        <x:f>Model_Data!A38</x:f>
        <x:v>-42</x:v>
      </x:c>
      <x:c r="B38" s="48" t="n">
        <x:f>Model_Data!F38</x:f>
        <x:v>1663.3619953398884</x:v>
      </x:c>
      <x:c r="C38" s="48" t="n">
        <x:f>(((SQRT((Model_Data!A38)^2+Inputs!$C$6^2+((Model_Data!B38)-((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(0.45*SIN(2*PI()*(((Model_Data!A38)/Inputs!$C$49)+Inputs!$C$47*0.137))+0.35*COS(2*PI()*(((Inputs!$C$6)/Inputs!$C$50)+Inputs!$C$47*0.173))+0.20*SIN(2*PI()*(((Model_Data!A38)+(Inputs!$C$6))/(0.5*(Inputs!$C$49+Inputs!$C$50))+Inputs!$C$47*0.097)))+0.30*(2*((SIN(((Model_Data!A38)*12.9898+(Inputs!$C$6)*78.233+Inputs!$C$47*37.719))*43758.5453)-INT((SIN(((Model_Data!A38)*12.9898+(Inputs!$C$6)*78.233+Inputs!$C$47*37.719))*43758.5453)))-1))))/1000)^2))-(((Model_Data!B38)-((Inputs!$C$51*(115*EXP(-(((0)-25)^2)/(4.5^2))+70*EXP(-(((0)+38)^2)/(7^2))*(0.55+0.45*SIN(2*PI()*(Model_Data!A38)/45))+24*SIN(2*PI()*(0)/9+(Model_Data!A38)/18)*EXP(-(((0)+5)^2)/(22^2))+18*SIN(2*PI()*(Model_Data!A38)/70))+Inputs!$C$28*EXP(-(((Model_Data!A38)-Inputs!$C$29)^2)/(2*Inputs!$C$31^2))*EXP(-(((0)-Inputs!$C$30)^2)/(2*Inputs!$C$32^2))+-Inputs!$C$33*EXP(-(((((Model_Data!A38)-Inputs!$C$34)^2)+(((0)-Inputs!$C$35)^2))/(2*Inputs!$C$36^2)))+Inputs!$C$37*(0.55*SIN(2*PI()*(Model_Data!A38)/Inputs!$C$39)+0.35*COS(2*PI()*(0)/Inputs!$C$40)+0.2*SIN(2*PI()*((Model_Data!A38)+(0))/(0.5*(Inputs!$C$39+Inputs!$C$40))))+Inputs!$C$38*SIN(2*PI()*(Model_Data!A38)/Inputs!$C$39)*SIN(2*PI()*(0)/Inputs!$C$40)+-Inputs!$C$41*EXP(-(((0)-Inputs!$C$43)^2)/(2*Inputs!$C$44^2))*EXP(-(((Model_Data!A38)-Inputs!$C$42)^2)/(2*Inputs!$C$45^2))+Inputs!$C$48*(0.70*(0.45*SIN(2*PI()*(((Model_Data!A38)/Inputs!$C$49)+Inputs!$C$47*0.137))+0.35*COS(2*PI()*(((0)/Inputs!$C$50)+Inputs!$C$47*0.173))+0.20*SIN(2*PI()*(((Model_Data!A38)+(0))/(0.5*(Inputs!$C$49+Inputs!$C$50))+Inputs!$C$47*0.097)))+0.30*(2*((SIN(((Model_Data!A38)*12.9898+(0)*78.233+Inputs!$C$47*37.719))*43758.5453)-INT((SIN(((Model_Data!A38)*12.9898+(0)*78.233+Inputs!$C$47*37.719))*43758.5453)))-1))))/1000)))*1000/Inputs!$C$12)</x:f>
        <x:v>1563.3219291705852</x:v>
      </x:c>
      <x:c r="D38" s="49"/>
      <x:c r="E38" s="48" t="n">
        <x:f>Model_Data!A38</x:f>
        <x:v>-42</x:v>
      </x:c>
      <x:c r="F38" s="48" t="n">
        <x:f>(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(0.45*SIN(2*PI()*(((Model_Data!A38)/Inputs!$C$49)+Inputs!$C$47*0.137))+0.35*COS(2*PI()*(((Inputs!$C$6)/Inputs!$C$50)+Inputs!$C$47*0.173))+0.20*SIN(2*PI()*(((Model_Data!A38)+(Inputs!$C$6))/(0.5*(Inputs!$C$49+Inputs!$C$50))+Inputs!$C$47*0.097)))+0.30*(2*((SIN(((Model_Data!A38)*12.9898+(Inputs!$C$6)*78.233+Inputs!$C$47*37.719))*43758.5453)-INT((SIN(((Model_Data!A38)*12.9898+(Inputs!$C$6)*78.233+Inputs!$C$47*37.719))*43758.5453)))-1)))</x:f>
        <x:v>170.62817299697477</x:v>
      </x:c>
      <x:c r="G38" s="48" t="n">
        <x:f>(Inputs!$C$51*(115*EXP(-(((0)-25)^2)/(4.5^2))+70*EXP(-(((0)+38)^2)/(7^2))*(0.55+0.45*SIN(2*PI()*(Model_Data!A38)/45))+24*SIN(2*PI()*(0)/9+(Model_Data!A38)/18)*EXP(-(((0)+5)^2)/(22^2))+18*SIN(2*PI()*(Model_Data!A38)/70))+Inputs!$C$28*EXP(-(((Model_Data!A38)-Inputs!$C$29)^2)/(2*Inputs!$C$31^2))*EXP(-(((0)-Inputs!$C$30)^2)/(2*Inputs!$C$32^2))+-Inputs!$C$33*EXP(-(((((Model_Data!A38)-Inputs!$C$34)^2)+(((0)-Inputs!$C$35)^2))/(2*Inputs!$C$36^2)))+Inputs!$C$37*(0.55*SIN(2*PI()*(Model_Data!A38)/Inputs!$C$39)+0.35*COS(2*PI()*(0)/Inputs!$C$40)+0.2*SIN(2*PI()*((Model_Data!A38)+(0))/(0.5*(Inputs!$C$39+Inputs!$C$40))))+Inputs!$C$38*SIN(2*PI()*(Model_Data!A38)/Inputs!$C$39)*SIN(2*PI()*(0)/Inputs!$C$40)+-Inputs!$C$41*EXP(-(((0)-Inputs!$C$43)^2)/(2*Inputs!$C$44^2))*EXP(-(((Model_Data!A38)-Inputs!$C$42)^2)/(2*Inputs!$C$45^2))+Inputs!$C$48*(0.70*(0.45*SIN(2*PI()*(((Model_Data!A38)/Inputs!$C$49)+Inputs!$C$47*0.137))+0.35*COS(2*PI()*(((0)/Inputs!$C$50)+Inputs!$C$47*0.173))+0.20*SIN(2*PI()*(((Model_Data!A38)+(0))/(0.5*(Inputs!$C$49+Inputs!$C$50))+Inputs!$C$47*0.097)))+0.30*(2*((SIN(((Model_Data!A38)*12.9898+(0)*78.233+Inputs!$C$47*37.719))*43758.5453)-INT((SIN(((Model_Data!A38)*12.9898+(0)*78.233+Inputs!$C$47*37.719))*43758.5453)))-1)))</x:f>
        <x:v>-8.691303525994272</x:v>
      </x:c>
      <x:c r="H38" s="49"/>
      <x:c r="I38" s="48" t="n">
        <x:f>Model_Data!A38</x:f>
        <x:v>-42</x:v>
      </x:c>
      <x:c r="J38" s="48" t="n">
        <x:f>((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(0.45*SIN(2*PI()*(((Model_Data!A38)/Inputs!$C$49)+Inputs!$C$47*0.137))+0.35*COS(2*PI()*(((Inputs!$C$6)/Inputs!$C$50)+Inputs!$C$47*0.173))+0.20*SIN(2*PI()*(((Model_Data!A38)+(Inputs!$C$6))/(0.5*(Inputs!$C$49+Inputs!$C$50))+Inputs!$C$47*0.097)))+0.30*(2*((SIN(((Model_Data!A38)*12.9898+(Inputs!$C$6)*78.233+Inputs!$C$47*37.719))*43758.5453)-INT((SIN(((Model_Data!A38)*12.9898+(Inputs!$C$6)*78.233+Inputs!$C$47*37.719))*43758.5453)))-1))))-((Inputs!$C$51*(115*EXP(-(((0)-25)^2)/(4.5^2))+70*EXP(-(((0)+38)^2)/(7^2))*(0.55+0.45*SIN(2*PI()*(Model_Data!A38)/45))+24*SIN(2*PI()*(0)/9+(Model_Data!A38)/18)*EXP(-(((0)+5)^2)/(22^2))+18*SIN(2*PI()*(Model_Data!A38)/70))+Inputs!$C$28*EXP(-(((Model_Data!A38)-Inputs!$C$29)^2)/(2*Inputs!$C$31^2))*EXP(-(((0)-Inputs!$C$30)^2)/(2*Inputs!$C$32^2))+-Inputs!$C$33*EXP(-(((((Model_Data!A38)-Inputs!$C$34)^2)+(((0)-Inputs!$C$35)^2))/(2*Inputs!$C$36^2)))+Inputs!$C$37*(0.55*SIN(2*PI()*(Model_Data!A38)/Inputs!$C$39)+0.35*COS(2*PI()*(0)/Inputs!$C$40)+0.2*SIN(2*PI()*((Model_Data!A38)+(0))/(0.5*(Inputs!$C$39+Inputs!$C$40))))+Inputs!$C$38*SIN(2*PI()*(Model_Data!A38)/Inputs!$C$39)*SIN(2*PI()*(0)/Inputs!$C$40)+-Inputs!$C$41*EXP(-(((0)-Inputs!$C$43)^2)/(2*Inputs!$C$44^2))*EXP(-(((Model_Data!A38)-Inputs!$C$42)^2)/(2*Inputs!$C$45^2))+Inputs!$C$48*(0.70*(0.45*SIN(2*PI()*(((Model_Data!A38)/Inputs!$C$49)+Inputs!$C$47*0.137))+0.35*COS(2*PI()*(((0)/Inputs!$C$50)+Inputs!$C$47*0.173))+0.20*SIN(2*PI()*(((Model_Data!A38)+(0))/(0.5*(Inputs!$C$49+Inputs!$C$50))+Inputs!$C$47*0.097)))+0.30*(2*((SIN(((Model_Data!A38)*12.9898+(0)*78.233+Inputs!$C$47*37.719))*43758.5453)-INT((SIN(((Model_Data!A38)*12.9898+(0)*78.233+Inputs!$C$47*37.719))*43758.5453)))-1))))</x:f>
        <x:v>179.31947652296904</x:v>
      </x:c>
      <x:c r="K38" s="48" t="n">
        <x:f>-((((SQRT((Model_Data!A38)^2+Inputs!$C$6^2+((Model_Data!B38)-((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(0.45*SIN(2*PI()*(((Model_Data!A38)/Inputs!$C$49)+Inputs!$C$47*0.137))+0.35*COS(2*PI()*(((Inputs!$C$6)/Inputs!$C$50)+Inputs!$C$47*0.173))+0.20*SIN(2*PI()*(((Model_Data!A38)+(Inputs!$C$6))/(0.5*(Inputs!$C$49+Inputs!$C$50))+Inputs!$C$47*0.097)))+0.30*(2*((SIN(((Model_Data!A38)*12.9898+(Inputs!$C$6)*78.233+Inputs!$C$47*37.719))*43758.5453)-INT((SIN(((Model_Data!A38)*12.9898+(Inputs!$C$6)*78.233+Inputs!$C$47*37.719))*43758.5453)))-1))))/1000)^2))-(((Model_Data!B38)-((Inputs!$C$51*(115*EXP(-(((0)-25)^2)/(4.5^2))+70*EXP(-(((0)+38)^2)/(7^2))*(0.55+0.45*SIN(2*PI()*(Model_Data!A38)/45))+24*SIN(2*PI()*(0)/9+(Model_Data!A38)/18)*EXP(-(((0)+5)^2)/(22^2))+18*SIN(2*PI()*(Model_Data!A38)/70))+Inputs!$C$28*EXP(-(((Model_Data!A38)-Inputs!$C$29)^2)/(2*Inputs!$C$31^2))*EXP(-(((0)-Inputs!$C$30)^2)/(2*Inputs!$C$32^2))+-Inputs!$C$33*EXP(-(((((Model_Data!A38)-Inputs!$C$34)^2)+(((0)-Inputs!$C$35)^2))/(2*Inputs!$C$36^2)))+Inputs!$C$37*(0.55*SIN(2*PI()*(Model_Data!A38)/Inputs!$C$39)+0.35*COS(2*PI()*(0)/Inputs!$C$40)+0.2*SIN(2*PI()*((Model_Data!A38)+(0))/(0.5*(Inputs!$C$39+Inputs!$C$40))))+Inputs!$C$38*SIN(2*PI()*(Model_Data!A38)/Inputs!$C$39)*SIN(2*PI()*(0)/Inputs!$C$40)+-Inputs!$C$41*EXP(-(((0)-Inputs!$C$43)^2)/(2*Inputs!$C$44^2))*EXP(-(((Model_Data!A38)-Inputs!$C$42)^2)/(2*Inputs!$C$45^2))+Inputs!$C$48*(0.70*(0.45*SIN(2*PI()*(((Model_Data!A38)/Inputs!$C$49)+Inputs!$C$47*0.137))+0.35*COS(2*PI()*(((0)/Inputs!$C$50)+Inputs!$C$47*0.173))+0.20*SIN(2*PI()*(((Model_Data!A38)+(0))/(0.5*(Inputs!$C$49+Inputs!$C$50))+Inputs!$C$47*0.097)))+0.30*(2*((SIN(((Model_Data!A38)*12.9898+(0)*78.233+Inputs!$C$47*37.719))*43758.5453)-INT((SIN(((Model_Data!A38)*12.9898+(0)*78.233+Inputs!$C$47*37.719))*43758.5453)))-1))))/1000)))*1000/Inputs!$C$12)-Model_Data!F38)</x:f>
        <x:v>100.04006616930315</x:v>
      </x:c>
      <x:c r="L38" s="49"/>
      <x:c r="M38" s="48" t="n">
        <x:f>Model_Data!A38</x:f>
        <x:v>-42</x:v>
      </x:c>
      <x:c r="N38" s="48" t="n">
        <x:f>Model_Data!P38</x:f>
        <x:v>314.1997931036334</x:v>
      </x:c>
      <x:c r="O38" s="48" t="n">
        <x:f>AC38</x:f>
        <x:v>297.84173845755504</x:v>
      </x:c>
      <x:c r="P38" s="48" t="n">
        <x:f>Model_Data!Q38</x:f>
        <x:v>47.17714611165667</x:v>
      </x:c>
      <x:c r="Q38" s="48" t="n">
        <x:f>AD38</x:f>
        <x:v>44.72098175038364</x:v>
      </x:c>
      <x:c r="R38" s="49"/>
      <x:c r="S38" s="48" t="n">
        <x:f>Model_Data!A38</x:f>
        <x:v>-42</x:v>
      </x:c>
      <x:c r="T38" s="48" t="n">
        <x:f>Model_Data!B38-Inputs!$C$5</x:f>
        <x:v>1.9599999999999795</x:v>
      </x:c>
      <x:c r="U38" s="49"/>
      <x:c r="V38" s="48" t="n">
        <x:f>Model_Data!A38</x:f>
        <x:v>-42</x:v>
      </x:c>
      <x:c r="W38" s="48" t="n">
        <x:f>(-((((SQRT((Model_Data!A38)^2+Inputs!$C$6^2+((Model_Data!B38)-((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(0.45*SIN(2*PI()*(((Model_Data!A38)/Inputs!$C$49)+Inputs!$C$47*0.137))+0.35*COS(2*PI()*(((Inputs!$C$6)/Inputs!$C$50)+Inputs!$C$47*0.173))+0.20*SIN(2*PI()*(((Model_Data!A38)+(Inputs!$C$6))/(0.5*(Inputs!$C$49+Inputs!$C$50))+Inputs!$C$47*0.097)))+0.30*(2*((SIN(((Model_Data!A38)*12.9898+(Inputs!$C$6)*78.233+Inputs!$C$47*37.719))*43758.5453)-INT((SIN(((Model_Data!A38)*12.9898+(Inputs!$C$6)*78.233+Inputs!$C$47*37.719))*43758.5453)))-1))))/1000)^2))-(((Model_Data!B38)-((Inputs!$C$51*(115*EXP(-(((0)-25)^2)/(4.5^2))+70*EXP(-(((0)+38)^2)/(7^2))*(0.55+0.45*SIN(2*PI()*(Model_Data!A38)/45))+24*SIN(2*PI()*(0)/9+(Model_Data!A38)/18)*EXP(-(((0)+5)^2)/(22^2))+18*SIN(2*PI()*(Model_Data!A38)/70))+Inputs!$C$28*EXP(-(((Model_Data!A38)-Inputs!$C$29)^2)/(2*Inputs!$C$31^2))*EXP(-(((0)-Inputs!$C$30)^2)/(2*Inputs!$C$32^2))+-Inputs!$C$33*EXP(-(((((Model_Data!A38)-Inputs!$C$34)^2)+(((0)-Inputs!$C$35)^2))/(2*Inputs!$C$36^2)))+Inputs!$C$37*(0.55*SIN(2*PI()*(Model_Data!A38)/Inputs!$C$39)+0.35*COS(2*PI()*(0)/Inputs!$C$40)+0.2*SIN(2*PI()*((Model_Data!A38)+(0))/(0.5*(Inputs!$C$39+Inputs!$C$40))))+Inputs!$C$38*SIN(2*PI()*(Model_Data!A38)/Inputs!$C$39)*SIN(2*PI()*(0)/Inputs!$C$40)+-Inputs!$C$41*EXP(-(((0)-Inputs!$C$43)^2)/(2*Inputs!$C$44^2))*EXP(-(((Model_Data!A38)-Inputs!$C$42)^2)/(2*Inputs!$C$45^2))+Inputs!$C$48*(0.70*(0.45*SIN(2*PI()*(((Model_Data!A38)/Inputs!$C$49)+Inputs!$C$47*0.137))+0.35*COS(2*PI()*(((0)/Inputs!$C$50)+Inputs!$C$47*0.173))+0.20*SIN(2*PI()*(((Model_Data!A38)+(0))/(0.5*(Inputs!$C$49+Inputs!$C$50))+Inputs!$C$47*0.097)))+0.30*(2*((SIN(((Model_Data!A38)*12.9898+(0)*78.233+Inputs!$C$47*37.719))*43758.5453)-INT((SIN(((Model_Data!A38)*12.9898+(0)*78.233+Inputs!$C$47*37.719))*43758.5453)))-1))))/1000)))*1000/Inputs!$C$12)-Model_Data!F38))-(-(((SQRT((Model_Data!A38)^2+Inputs!$C$6^2+(Inputs!$C$5-((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(0.45*SIN(2*PI()*(((Model_Data!A38)/Inputs!$C$49)+Inputs!$C$47*0.137))+0.35*COS(2*PI()*(((Inputs!$C$6)/Inputs!$C$50)+Inputs!$C$47*0.173))+0.20*SIN(2*PI()*(((Model_Data!A38)+(Inputs!$C$6))/(0.5*(Inputs!$C$49+Inputs!$C$50))+Inputs!$C$47*0.097)))+0.30*(2*((SIN(((Model_Data!A38)*12.9898+(Inputs!$C$6)*78.233+Inputs!$C$47*37.719))*43758.5453)-INT((SIN(((Model_Data!A38)*12.9898+(Inputs!$C$6)*78.233+Inputs!$C$47*37.719))*43758.5453)))-1))))/1000)^2)-(Inputs!$C$5-((Inputs!$C$51*(115*EXP(-(((0)-25)^2)/(4.5^2))+70*EXP(-(((0)+38)^2)/(7^2))*(0.55+0.45*SIN(2*PI()*(Model_Data!A38)/45))+24*SIN(2*PI()*(0)/9+(Model_Data!A38)/18)*EXP(-(((0)+5)^2)/(22^2))+18*SIN(2*PI()*(Model_Data!A38)/70))+Inputs!$C$28*EXP(-(((Model_Data!A38)-Inputs!$C$29)^2)/(2*Inputs!$C$31^2))*EXP(-(((0)-Inputs!$C$30)^2)/(2*Inputs!$C$32^2))+-Inputs!$C$33*EXP(-(((((Model_Data!A38)-Inputs!$C$34)^2)+(((0)-Inputs!$C$35)^2))/(2*Inputs!$C$36^2)))+Inputs!$C$37*(0.55*SIN(2*PI()*(Model_Data!A38)/Inputs!$C$39)+0.35*COS(2*PI()*(0)/Inputs!$C$40)+0.2*SIN(2*PI()*((Model_Data!A38)+(0))/(0.5*(Inputs!$C$39+Inputs!$C$40))))+Inputs!$C$38*SIN(2*PI()*(Model_Data!A38)/Inputs!$C$39)*SIN(2*PI()*(0)/Inputs!$C$40)+-Inputs!$C$41*EXP(-(((0)-Inputs!$C$43)^2)/(2*Inputs!$C$44^2))*EXP(-(((Model_Data!A38)-Inputs!$C$42)^2)/(2*Inputs!$C$45^2))+Inputs!$C$48*(0.70*(0.45*SIN(2*PI()*(((Model_Data!A38)/Inputs!$C$49)+Inputs!$C$47*0.137))+0.35*COS(2*PI()*(((0)/Inputs!$C$50)+Inputs!$C$47*0.173))+0.20*SIN(2*PI()*(((Model_Data!A38)+(0))/(0.5*(Inputs!$C$49+Inputs!$C$50))+Inputs!$C$47*0.097)))+0.30*(2*((SIN(((Model_Data!A38)*12.9898+(0)*78.233+Inputs!$C$47*37.719))*43758.5453)-INT((SIN(((Model_Data!A38)*12.9898+(0)*78.233+Inputs!$C$47*37.719))*43758.5453)))-1))))/1000))*1000/Inputs!$C$12)-((SQRT((Model_Data!A38)^2+Inputs!$C$6^2+Inputs!$C$5^2)-Inputs!$C$5)*1000/Inputs!$C$12)))</x:f>
        <x:v>0.006814043681515614</x:v>
      </x:c>
      <x:c r="X38" s="48" t="n">
        <x:f>0</x:f>
        <x:v>0</x:v>
      </x:c>
      <x:c r="Y38" s="49"/>
      <x:c r="Z38" s="48" t="n">
        <x:f>Model_Data!A38</x:f>
        <x:v>-42</x:v>
      </x:c>
      <x:c r="AA38" s="48" t="n">
        <x:f>SQRT((Model_Data!A38)^2+Inputs!$C$6^2+((Model_Data!B38)-((Inputs!$C$51*(115*EXP(-(((Inputs!$C$6)-25)^2)/(4.5^2))+70*EXP(-(((Inputs!$C$6)+38)^2)/(7^2))*(0.55+0.45*SIN(2*PI()*(Model_Data!A38)/45))+24*SIN(2*PI()*(Inputs!$C$6)/9+(Model_Data!A38)/18)*EXP(-(((Inputs!$C$6)+5)^2)/(22^2))+18*SIN(2*PI()*(Model_Data!A38)/70))+Inputs!$C$28*EXP(-(((Model_Data!A38)-Inputs!$C$29)^2)/(2*Inputs!$C$31^2))*EXP(-(((Inputs!$C$6)-Inputs!$C$30)^2)/(2*Inputs!$C$32^2))+-Inputs!$C$33*EXP(-(((((Model_Data!A38)-Inputs!$C$34)^2)+(((Inputs!$C$6)-Inputs!$C$35)^2))/(2*Inputs!$C$36^2)))+Inputs!$C$37*(0.55*SIN(2*PI()*(Model_Data!A38)/Inputs!$C$39)+0.35*COS(2*PI()*(Inputs!$C$6)/Inputs!$C$40)+0.2*SIN(2*PI()*((Model_Data!A38)+(Inputs!$C$6))/(0.5*(Inputs!$C$39+Inputs!$C$40))))+Inputs!$C$38*SIN(2*PI()*(Model_Data!A38)/Inputs!$C$39)*SIN(2*PI()*(Inputs!$C$6)/Inputs!$C$40)+-Inputs!$C$41*EXP(-(((Inputs!$C$6)-Inputs!$C$43)^2)/(2*Inputs!$C$44^2))*EXP(-(((Model_Data!A38)-Inputs!$C$42)^2)/(2*Inputs!$C$45^2))+Inputs!$C$48*(0.70*(0.45*SIN(2*PI()*(((Model_Data!A38)/Inputs!$C$49)+Inputs!$C$47*0.137))+0.35*COS(2*PI()*(((Inputs!$C$6)/Inputs!$C$50)+Inputs!$C$47*0.173))+0.20*SIN(2*PI()*(((Model_Data!A38)+(Inputs!$C$6))/(0.5*(Inputs!$C$49+Inputs!$C$50))+Inputs!$C$47*0.097)))+0.30*(2*((SIN(((Model_Data!A38)*12.9898+(Inputs!$C$6)*78.233+Inputs!$C$47*37.719))*43758.5453)-INT((SIN(((Model_Data!A38)*12.9898+(Inputs!$C$6)*78.233+Inputs!$C$47*37.719))*43758.5453)))-1))))/1000)^2)</x:f>
        <x:v>404.7514043374496</x:v>
      </x:c>
      <x:c r="AB38" s="48" t="n">
        <x:f>1000*(AA39-AA37)/(Z39-Z37)*Inputs!$C$11</x:f>
        <x:v>-744.6043461438876</x:v>
      </x:c>
      <x:c r="AC38" s="48" t="n">
        <x:f>-2*AB38/Inputs!$C$13</x:f>
        <x:v>297.84173845755504</x:v>
      </x:c>
      <x:c r="AD38" s="48" t="n">
        <x:f>-2*AB38/Inputs!$C$14</x:f>
        <x:v>44.72098175038364</x:v>
      </x:c>
    </x:row>
    <x:row r="39">
      <x:c r="A39" s="48" t="n">
        <x:f>Model_Data!A39</x:f>
        <x:v>-41.5</x:v>
      </x:c>
      <x:c r="B39" s="48" t="n">
        <x:f>Model_Data!F39</x:f>
        <x:v>1634.5849135267295</x:v>
      </x:c>
      <x:c r="C39" s="48" t="n">
        <x:f>(((SQRT((Model_Data!A39)^2+Inputs!$C$6^2+((Model_Data!B39)-((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(0.45*SIN(2*PI()*(((Model_Data!A39)/Inputs!$C$49)+Inputs!$C$47*0.137))+0.35*COS(2*PI()*(((Inputs!$C$6)/Inputs!$C$50)+Inputs!$C$47*0.173))+0.20*SIN(2*PI()*(((Model_Data!A39)+(Inputs!$C$6))/(0.5*(Inputs!$C$49+Inputs!$C$50))+Inputs!$C$47*0.097)))+0.30*(2*((SIN(((Model_Data!A39)*12.9898+(Inputs!$C$6)*78.233+Inputs!$C$47*37.719))*43758.5453)-INT((SIN(((Model_Data!A39)*12.9898+(Inputs!$C$6)*78.233+Inputs!$C$47*37.719))*43758.5453)))-1))))/1000)^2))-(((Model_Data!B39)-((Inputs!$C$51*(115*EXP(-(((0)-25)^2)/(4.5^2))+70*EXP(-(((0)+38)^2)/(7^2))*(0.55+0.45*SIN(2*PI()*(Model_Data!A39)/45))+24*SIN(2*PI()*(0)/9+(Model_Data!A39)/18)*EXP(-(((0)+5)^2)/(22^2))+18*SIN(2*PI()*(Model_Data!A39)/70))+Inputs!$C$28*EXP(-(((Model_Data!A39)-Inputs!$C$29)^2)/(2*Inputs!$C$31^2))*EXP(-(((0)-Inputs!$C$30)^2)/(2*Inputs!$C$32^2))+-Inputs!$C$33*EXP(-(((((Model_Data!A39)-Inputs!$C$34)^2)+(((0)-Inputs!$C$35)^2))/(2*Inputs!$C$36^2)))+Inputs!$C$37*(0.55*SIN(2*PI()*(Model_Data!A39)/Inputs!$C$39)+0.35*COS(2*PI()*(0)/Inputs!$C$40)+0.2*SIN(2*PI()*((Model_Data!A39)+(0))/(0.5*(Inputs!$C$39+Inputs!$C$40))))+Inputs!$C$38*SIN(2*PI()*(Model_Data!A39)/Inputs!$C$39)*SIN(2*PI()*(0)/Inputs!$C$40)+-Inputs!$C$41*EXP(-(((0)-Inputs!$C$43)^2)/(2*Inputs!$C$44^2))*EXP(-(((Model_Data!A39)-Inputs!$C$42)^2)/(2*Inputs!$C$45^2))+Inputs!$C$48*(0.70*(0.45*SIN(2*PI()*(((Model_Data!A39)/Inputs!$C$49)+Inputs!$C$47*0.137))+0.35*COS(2*PI()*(((0)/Inputs!$C$50)+Inputs!$C$47*0.173))+0.20*SIN(2*PI()*(((Model_Data!A39)+(0))/(0.5*(Inputs!$C$49+Inputs!$C$50))+Inputs!$C$47*0.097)))+0.30*(2*((SIN(((Model_Data!A39)*12.9898+(0)*78.233+Inputs!$C$47*37.719))*43758.5453)-INT((SIN(((Model_Data!A39)*12.9898+(0)*78.233+Inputs!$C$47*37.719))*43758.5453)))-1))))/1000)))*1000/Inputs!$C$12)</x:f>
        <x:v>1530.1209666209127</x:v>
      </x:c>
      <x:c r="D39" s="49"/>
      <x:c r="E39" s="48" t="n">
        <x:f>Model_Data!A39</x:f>
        <x:v>-41.5</x:v>
      </x:c>
      <x:c r="F39" s="48" t="n">
        <x:f>(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(0.45*SIN(2*PI()*(((Model_Data!A39)/Inputs!$C$49)+Inputs!$C$47*0.137))+0.35*COS(2*PI()*(((Inputs!$C$6)/Inputs!$C$50)+Inputs!$C$47*0.173))+0.20*SIN(2*PI()*(((Model_Data!A39)+(Inputs!$C$6))/(0.5*(Inputs!$C$49+Inputs!$C$50))+Inputs!$C$47*0.097)))+0.30*(2*((SIN(((Model_Data!A39)*12.9898+(Inputs!$C$6)*78.233+Inputs!$C$47*37.719))*43758.5453)-INT((SIN(((Model_Data!A39)*12.9898+(Inputs!$C$6)*78.233+Inputs!$C$47*37.719))*43758.5453)))-1)))</x:f>
        <x:v>171.38557913735212</x:v>
      </x:c>
      <x:c r="G39" s="48" t="n">
        <x:f>(Inputs!$C$51*(115*EXP(-(((0)-25)^2)/(4.5^2))+70*EXP(-(((0)+38)^2)/(7^2))*(0.55+0.45*SIN(2*PI()*(Model_Data!A39)/45))+24*SIN(2*PI()*(0)/9+(Model_Data!A39)/18)*EXP(-(((0)+5)^2)/(22^2))+18*SIN(2*PI()*(Model_Data!A39)/70))+Inputs!$C$28*EXP(-(((Model_Data!A39)-Inputs!$C$29)^2)/(2*Inputs!$C$31^2))*EXP(-(((0)-Inputs!$C$30)^2)/(2*Inputs!$C$32^2))+-Inputs!$C$33*EXP(-(((((Model_Data!A39)-Inputs!$C$34)^2)+(((0)-Inputs!$C$35)^2))/(2*Inputs!$C$36^2)))+Inputs!$C$37*(0.55*SIN(2*PI()*(Model_Data!A39)/Inputs!$C$39)+0.35*COS(2*PI()*(0)/Inputs!$C$40)+0.2*SIN(2*PI()*((Model_Data!A39)+(0))/(0.5*(Inputs!$C$39+Inputs!$C$40))))+Inputs!$C$38*SIN(2*PI()*(Model_Data!A39)/Inputs!$C$39)*SIN(2*PI()*(0)/Inputs!$C$40)+-Inputs!$C$41*EXP(-(((0)-Inputs!$C$43)^2)/(2*Inputs!$C$44^2))*EXP(-(((Model_Data!A39)-Inputs!$C$42)^2)/(2*Inputs!$C$45^2))+Inputs!$C$48*(0.70*(0.45*SIN(2*PI()*(((Model_Data!A39)/Inputs!$C$49)+Inputs!$C$47*0.137))+0.35*COS(2*PI()*(((0)/Inputs!$C$50)+Inputs!$C$47*0.173))+0.20*SIN(2*PI()*(((Model_Data!A39)+(0))/(0.5*(Inputs!$C$49+Inputs!$C$50))+Inputs!$C$47*0.097)))+0.30*(2*((SIN(((Model_Data!A39)*12.9898+(0)*78.233+Inputs!$C$47*37.719))*43758.5453)-INT((SIN(((Model_Data!A39)*12.9898+(0)*78.233+Inputs!$C$47*37.719))*43758.5453)))-1)))</x:f>
        <x:v>-15.792555414769886</x:v>
      </x:c>
      <x:c r="H39" s="49"/>
      <x:c r="I39" s="48" t="n">
        <x:f>Model_Data!A39</x:f>
        <x:v>-41.5</x:v>
      </x:c>
      <x:c r="J39" s="48" t="n">
        <x:f>((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(0.45*SIN(2*PI()*(((Model_Data!A39)/Inputs!$C$49)+Inputs!$C$47*0.137))+0.35*COS(2*PI()*(((Inputs!$C$6)/Inputs!$C$50)+Inputs!$C$47*0.173))+0.20*SIN(2*PI()*(((Model_Data!A39)+(Inputs!$C$6))/(0.5*(Inputs!$C$49+Inputs!$C$50))+Inputs!$C$47*0.097)))+0.30*(2*((SIN(((Model_Data!A39)*12.9898+(Inputs!$C$6)*78.233+Inputs!$C$47*37.719))*43758.5453)-INT((SIN(((Model_Data!A39)*12.9898+(Inputs!$C$6)*78.233+Inputs!$C$47*37.719))*43758.5453)))-1))))-((Inputs!$C$51*(115*EXP(-(((0)-25)^2)/(4.5^2))+70*EXP(-(((0)+38)^2)/(7^2))*(0.55+0.45*SIN(2*PI()*(Model_Data!A39)/45))+24*SIN(2*PI()*(0)/9+(Model_Data!A39)/18)*EXP(-(((0)+5)^2)/(22^2))+18*SIN(2*PI()*(Model_Data!A39)/70))+Inputs!$C$28*EXP(-(((Model_Data!A39)-Inputs!$C$29)^2)/(2*Inputs!$C$31^2))*EXP(-(((0)-Inputs!$C$30)^2)/(2*Inputs!$C$32^2))+-Inputs!$C$33*EXP(-(((((Model_Data!A39)-Inputs!$C$34)^2)+(((0)-Inputs!$C$35)^2))/(2*Inputs!$C$36^2)))+Inputs!$C$37*(0.55*SIN(2*PI()*(Model_Data!A39)/Inputs!$C$39)+0.35*COS(2*PI()*(0)/Inputs!$C$40)+0.2*SIN(2*PI()*((Model_Data!A39)+(0))/(0.5*(Inputs!$C$39+Inputs!$C$40))))+Inputs!$C$38*SIN(2*PI()*(Model_Data!A39)/Inputs!$C$39)*SIN(2*PI()*(0)/Inputs!$C$40)+-Inputs!$C$41*EXP(-(((0)-Inputs!$C$43)^2)/(2*Inputs!$C$44^2))*EXP(-(((Model_Data!A39)-Inputs!$C$42)^2)/(2*Inputs!$C$45^2))+Inputs!$C$48*(0.70*(0.45*SIN(2*PI()*(((Model_Data!A39)/Inputs!$C$49)+Inputs!$C$47*0.137))+0.35*COS(2*PI()*(((0)/Inputs!$C$50)+Inputs!$C$47*0.173))+0.20*SIN(2*PI()*(((Model_Data!A39)+(0))/(0.5*(Inputs!$C$49+Inputs!$C$50))+Inputs!$C$47*0.097)))+0.30*(2*((SIN(((Model_Data!A39)*12.9898+(0)*78.233+Inputs!$C$47*37.719))*43758.5453)-INT((SIN(((Model_Data!A39)*12.9898+(0)*78.233+Inputs!$C$47*37.719))*43758.5453)))-1))))</x:f>
        <x:v>187.178134552122</x:v>
      </x:c>
      <x:c r="K39" s="48" t="n">
        <x:f>-((((SQRT((Model_Data!A39)^2+Inputs!$C$6^2+((Model_Data!B39)-((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(0.45*SIN(2*PI()*(((Model_Data!A39)/Inputs!$C$49)+Inputs!$C$47*0.137))+0.35*COS(2*PI()*(((Inputs!$C$6)/Inputs!$C$50)+Inputs!$C$47*0.173))+0.20*SIN(2*PI()*(((Model_Data!A39)+(Inputs!$C$6))/(0.5*(Inputs!$C$49+Inputs!$C$50))+Inputs!$C$47*0.097)))+0.30*(2*((SIN(((Model_Data!A39)*12.9898+(Inputs!$C$6)*78.233+Inputs!$C$47*37.719))*43758.5453)-INT((SIN(((Model_Data!A39)*12.9898+(Inputs!$C$6)*78.233+Inputs!$C$47*37.719))*43758.5453)))-1))))/1000)^2))-(((Model_Data!B39)-((Inputs!$C$51*(115*EXP(-(((0)-25)^2)/(4.5^2))+70*EXP(-(((0)+38)^2)/(7^2))*(0.55+0.45*SIN(2*PI()*(Model_Data!A39)/45))+24*SIN(2*PI()*(0)/9+(Model_Data!A39)/18)*EXP(-(((0)+5)^2)/(22^2))+18*SIN(2*PI()*(Model_Data!A39)/70))+Inputs!$C$28*EXP(-(((Model_Data!A39)-Inputs!$C$29)^2)/(2*Inputs!$C$31^2))*EXP(-(((0)-Inputs!$C$30)^2)/(2*Inputs!$C$32^2))+-Inputs!$C$33*EXP(-(((((Model_Data!A39)-Inputs!$C$34)^2)+(((0)-Inputs!$C$35)^2))/(2*Inputs!$C$36^2)))+Inputs!$C$37*(0.55*SIN(2*PI()*(Model_Data!A39)/Inputs!$C$39)+0.35*COS(2*PI()*(0)/Inputs!$C$40)+0.2*SIN(2*PI()*((Model_Data!A39)+(0))/(0.5*(Inputs!$C$39+Inputs!$C$40))))+Inputs!$C$38*SIN(2*PI()*(Model_Data!A39)/Inputs!$C$39)*SIN(2*PI()*(0)/Inputs!$C$40)+-Inputs!$C$41*EXP(-(((0)-Inputs!$C$43)^2)/(2*Inputs!$C$44^2))*EXP(-(((Model_Data!A39)-Inputs!$C$42)^2)/(2*Inputs!$C$45^2))+Inputs!$C$48*(0.70*(0.45*SIN(2*PI()*(((Model_Data!A39)/Inputs!$C$49)+Inputs!$C$47*0.137))+0.35*COS(2*PI()*(((0)/Inputs!$C$50)+Inputs!$C$47*0.173))+0.20*SIN(2*PI()*(((Model_Data!A39)+(0))/(0.5*(Inputs!$C$49+Inputs!$C$50))+Inputs!$C$47*0.097)))+0.30*(2*((SIN(((Model_Data!A39)*12.9898+(0)*78.233+Inputs!$C$47*37.719))*43758.5453)-INT((SIN(((Model_Data!A39)*12.9898+(0)*78.233+Inputs!$C$47*37.719))*43758.5453)))-1))))/1000)))*1000/Inputs!$C$12)-Model_Data!F39)</x:f>
        <x:v>104.46394690581678</x:v>
      </x:c>
      <x:c r="L39" s="49"/>
      <x:c r="M39" s="48" t="n">
        <x:f>Model_Data!A39</x:f>
        <x:v>-41.5</x:v>
      </x:c>
      <x:c r="N39" s="48" t="n">
        <x:f>Model_Data!P39</x:f>
        <x:v>310.51726973024654</x:v>
      </x:c>
      <x:c r="O39" s="48" t="n">
        <x:f>AC39</x:f>
        <x:v>320.17731147589075</x:v>
      </x:c>
      <x:c r="P39" s="48" t="n">
        <x:f>Model_Data!Q39</x:f>
        <x:v>46.624214674211196</x:v>
      </x:c>
      <x:c r="Q39" s="48" t="n">
        <x:f>AD39</x:f>
        <x:v>48.074671392776395</x:v>
      </x:c>
      <x:c r="R39" s="49"/>
      <x:c r="S39" s="48" t="n">
        <x:f>Model_Data!A39</x:f>
        <x:v>-41.5</x:v>
      </x:c>
      <x:c r="T39" s="48" t="n">
        <x:f>Model_Data!B39-Inputs!$C$5</x:f>
        <x:v>1.913611111111095</x:v>
      </x:c>
      <x:c r="U39" s="49"/>
      <x:c r="V39" s="48" t="n">
        <x:f>Model_Data!A39</x:f>
        <x:v>-41.5</x:v>
      </x:c>
      <x:c r="W39" s="48" t="n">
        <x:f>(-((((SQRT((Model_Data!A39)^2+Inputs!$C$6^2+((Model_Data!B39)-((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(0.45*SIN(2*PI()*(((Model_Data!A39)/Inputs!$C$49)+Inputs!$C$47*0.137))+0.35*COS(2*PI()*(((Inputs!$C$6)/Inputs!$C$50)+Inputs!$C$47*0.173))+0.20*SIN(2*PI()*(((Model_Data!A39)+(Inputs!$C$6))/(0.5*(Inputs!$C$49+Inputs!$C$50))+Inputs!$C$47*0.097)))+0.30*(2*((SIN(((Model_Data!A39)*12.9898+(Inputs!$C$6)*78.233+Inputs!$C$47*37.719))*43758.5453)-INT((SIN(((Model_Data!A39)*12.9898+(Inputs!$C$6)*78.233+Inputs!$C$47*37.719))*43758.5453)))-1))))/1000)^2))-(((Model_Data!B39)-((Inputs!$C$51*(115*EXP(-(((0)-25)^2)/(4.5^2))+70*EXP(-(((0)+38)^2)/(7^2))*(0.55+0.45*SIN(2*PI()*(Model_Data!A39)/45))+24*SIN(2*PI()*(0)/9+(Model_Data!A39)/18)*EXP(-(((0)+5)^2)/(22^2))+18*SIN(2*PI()*(Model_Data!A39)/70))+Inputs!$C$28*EXP(-(((Model_Data!A39)-Inputs!$C$29)^2)/(2*Inputs!$C$31^2))*EXP(-(((0)-Inputs!$C$30)^2)/(2*Inputs!$C$32^2))+-Inputs!$C$33*EXP(-(((((Model_Data!A39)-Inputs!$C$34)^2)+(((0)-Inputs!$C$35)^2))/(2*Inputs!$C$36^2)))+Inputs!$C$37*(0.55*SIN(2*PI()*(Model_Data!A39)/Inputs!$C$39)+0.35*COS(2*PI()*(0)/Inputs!$C$40)+0.2*SIN(2*PI()*((Model_Data!A39)+(0))/(0.5*(Inputs!$C$39+Inputs!$C$40))))+Inputs!$C$38*SIN(2*PI()*(Model_Data!A39)/Inputs!$C$39)*SIN(2*PI()*(0)/Inputs!$C$40)+-Inputs!$C$41*EXP(-(((0)-Inputs!$C$43)^2)/(2*Inputs!$C$44^2))*EXP(-(((Model_Data!A39)-Inputs!$C$42)^2)/(2*Inputs!$C$45^2))+Inputs!$C$48*(0.70*(0.45*SIN(2*PI()*(((Model_Data!A39)/Inputs!$C$49)+Inputs!$C$47*0.137))+0.35*COS(2*PI()*(((0)/Inputs!$C$50)+Inputs!$C$47*0.173))+0.20*SIN(2*PI()*(((Model_Data!A39)+(0))/(0.5*(Inputs!$C$49+Inputs!$C$50))+Inputs!$C$47*0.097)))+0.30*(2*((SIN(((Model_Data!A39)*12.9898+(0)*78.233+Inputs!$C$47*37.719))*43758.5453)-INT((SIN(((Model_Data!A39)*12.9898+(0)*78.233+Inputs!$C$47*37.719))*43758.5453)))-1))))/1000)))*1000/Inputs!$C$12)-Model_Data!F39))-(-(((SQRT((Model_Data!A39)^2+Inputs!$C$6^2+(Inputs!$C$5-((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(0.45*SIN(2*PI()*(((Model_Data!A39)/Inputs!$C$49)+Inputs!$C$47*0.137))+0.35*COS(2*PI()*(((Inputs!$C$6)/Inputs!$C$50)+Inputs!$C$47*0.173))+0.20*SIN(2*PI()*(((Model_Data!A39)+(Inputs!$C$6))/(0.5*(Inputs!$C$49+Inputs!$C$50))+Inputs!$C$47*0.097)))+0.30*(2*((SIN(((Model_Data!A39)*12.9898+(Inputs!$C$6)*78.233+Inputs!$C$47*37.719))*43758.5453)-INT((SIN(((Model_Data!A39)*12.9898+(Inputs!$C$6)*78.233+Inputs!$C$47*37.719))*43758.5453)))-1))))/1000)^2)-(Inputs!$C$5-((Inputs!$C$51*(115*EXP(-(((0)-25)^2)/(4.5^2))+70*EXP(-(((0)+38)^2)/(7^2))*(0.55+0.45*SIN(2*PI()*(Model_Data!A39)/45))+24*SIN(2*PI()*(0)/9+(Model_Data!A39)/18)*EXP(-(((0)+5)^2)/(22^2))+18*SIN(2*PI()*(Model_Data!A39)/70))+Inputs!$C$28*EXP(-(((Model_Data!A39)-Inputs!$C$29)^2)/(2*Inputs!$C$31^2))*EXP(-(((0)-Inputs!$C$30)^2)/(2*Inputs!$C$32^2))+-Inputs!$C$33*EXP(-(((((Model_Data!A39)-Inputs!$C$34)^2)+(((0)-Inputs!$C$35)^2))/(2*Inputs!$C$36^2)))+Inputs!$C$37*(0.55*SIN(2*PI()*(Model_Data!A39)/Inputs!$C$39)+0.35*COS(2*PI()*(0)/Inputs!$C$40)+0.2*SIN(2*PI()*((Model_Data!A39)+(0))/(0.5*(Inputs!$C$39+Inputs!$C$40))))+Inputs!$C$38*SIN(2*PI()*(Model_Data!A39)/Inputs!$C$39)*SIN(2*PI()*(0)/Inputs!$C$40)+-Inputs!$C$41*EXP(-(((0)-Inputs!$C$43)^2)/(2*Inputs!$C$44^2))*EXP(-(((Model_Data!A39)-Inputs!$C$42)^2)/(2*Inputs!$C$45^2))+Inputs!$C$48*(0.70*(0.45*SIN(2*PI()*(((Model_Data!A39)/Inputs!$C$49)+Inputs!$C$47*0.137))+0.35*COS(2*PI()*(((0)/Inputs!$C$50)+Inputs!$C$47*0.173))+0.20*SIN(2*PI()*(((Model_Data!A39)+(0))/(0.5*(Inputs!$C$49+Inputs!$C$50))+Inputs!$C$47*0.097)))+0.30*(2*((SIN(((Model_Data!A39)*12.9898+(0)*78.233+Inputs!$C$47*37.719))*43758.5453)-INT((SIN(((Model_Data!A39)*12.9898+(0)*78.233+Inputs!$C$47*37.719))*43758.5453)))-1))))/1000))*1000/Inputs!$C$12)-((SQRT((Model_Data!A39)^2+Inputs!$C$6^2+Inputs!$C$5^2)-Inputs!$C$5)*1000/Inputs!$C$12)))</x:f>
        <x:v>0.006569182255816486</x:v>
      </x:c>
      <x:c r="X39" s="48" t="n">
        <x:f>0</x:f>
        <x:v>0</x:v>
      </x:c>
      <x:c r="Y39" s="49"/>
      <x:c r="Z39" s="48" t="n">
        <x:f>Model_Data!A39</x:f>
        <x:v>-41.5</x:v>
      </x:c>
      <x:c r="AA39" s="48" t="n">
        <x:f>SQRT((Model_Data!A39)^2+Inputs!$C$6^2+((Model_Data!B39)-((Inputs!$C$51*(115*EXP(-(((Inputs!$C$6)-25)^2)/(4.5^2))+70*EXP(-(((Inputs!$C$6)+38)^2)/(7^2))*(0.55+0.45*SIN(2*PI()*(Model_Data!A39)/45))+24*SIN(2*PI()*(Inputs!$C$6)/9+(Model_Data!A39)/18)*EXP(-(((Inputs!$C$6)+5)^2)/(22^2))+18*SIN(2*PI()*(Model_Data!A39)/70))+Inputs!$C$28*EXP(-(((Model_Data!A39)-Inputs!$C$29)^2)/(2*Inputs!$C$31^2))*EXP(-(((Inputs!$C$6)-Inputs!$C$30)^2)/(2*Inputs!$C$32^2))+-Inputs!$C$33*EXP(-(((((Model_Data!A39)-Inputs!$C$34)^2)+(((Inputs!$C$6)-Inputs!$C$35)^2))/(2*Inputs!$C$36^2)))+Inputs!$C$37*(0.55*SIN(2*PI()*(Model_Data!A39)/Inputs!$C$39)+0.35*COS(2*PI()*(Inputs!$C$6)/Inputs!$C$40)+0.2*SIN(2*PI()*((Model_Data!A39)+(Inputs!$C$6))/(0.5*(Inputs!$C$39+Inputs!$C$40))))+Inputs!$C$38*SIN(2*PI()*(Model_Data!A39)/Inputs!$C$39)*SIN(2*PI()*(Inputs!$C$6)/Inputs!$C$40)+-Inputs!$C$41*EXP(-(((Inputs!$C$6)-Inputs!$C$43)^2)/(2*Inputs!$C$44^2))*EXP(-(((Model_Data!A39)-Inputs!$C$42)^2)/(2*Inputs!$C$45^2))+Inputs!$C$48*(0.70*(0.45*SIN(2*PI()*(((Model_Data!A39)/Inputs!$C$49)+Inputs!$C$47*0.137))+0.35*COS(2*PI()*(((Inputs!$C$6)/Inputs!$C$50)+Inputs!$C$47*0.173))+0.20*SIN(2*PI()*(((Model_Data!A39)+(Inputs!$C$6))/(0.5*(Inputs!$C$49+Inputs!$C$50))+Inputs!$C$47*0.097)))+0.30*(2*((SIN(((Model_Data!A39)*12.9898+(Inputs!$C$6)*78.233+Inputs!$C$47*37.719))*43758.5453)-INT((SIN(((Model_Data!A39)*12.9898+(Inputs!$C$6)*78.233+Inputs!$C$47*37.719))*43758.5453)))-1))))/1000)^2)</x:f>
        <x:v>404.65301898711107</x:v>
      </x:c>
      <x:c r="AB39" s="48" t="n">
        <x:f>1000*(AA40-AA38)/(Z40-Z38)*Inputs!$C$11</x:f>
        <x:v>-800.4432786897269</x:v>
      </x:c>
      <x:c r="AC39" s="48" t="n">
        <x:f>-2*AB39/Inputs!$C$13</x:f>
        <x:v>320.17731147589075</x:v>
      </x:c>
      <x:c r="AD39" s="48" t="n">
        <x:f>-2*AB39/Inputs!$C$14</x:f>
        <x:v>48.074671392776395</x:v>
      </x:c>
    </x:row>
    <x:row r="40">
      <x:c r="A40" s="48" t="n">
        <x:f>Model_Data!A40</x:f>
        <x:v>-41</x:v>
      </x:c>
      <x:c r="B40" s="48" t="n">
        <x:f>Model_Data!F40</x:f>
        <x:v>1606.1424117907243</x:v>
      </x:c>
      <x:c r="C40" s="48" t="n">
        <x:f>(((SQRT((Model_Data!A40)^2+Inputs!$C$6^2+((Model_Data!B40)-((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(0.45*SIN(2*PI()*(((Model_Data!A40)/Inputs!$C$49)+Inputs!$C$47*0.137))+0.35*COS(2*PI()*(((Inputs!$C$6)/Inputs!$C$50)+Inputs!$C$47*0.173))+0.20*SIN(2*PI()*(((Model_Data!A40)+(Inputs!$C$6))/(0.5*(Inputs!$C$49+Inputs!$C$50))+Inputs!$C$47*0.097)))+0.30*(2*((SIN(((Model_Data!A40)*12.9898+(Inputs!$C$6)*78.233+Inputs!$C$47*37.719))*43758.5453)-INT((SIN(((Model_Data!A40)*12.9898+(Inputs!$C$6)*78.233+Inputs!$C$47*37.719))*43758.5453)))-1))))/1000)^2))-(((Model_Data!B40)-((Inputs!$C$51*(115*EXP(-(((0)-25)^2)/(4.5^2))+70*EXP(-(((0)+38)^2)/(7^2))*(0.55+0.45*SIN(2*PI()*(Model_Data!A40)/45))+24*SIN(2*PI()*(0)/9+(Model_Data!A40)/18)*EXP(-(((0)+5)^2)/(22^2))+18*SIN(2*PI()*(Model_Data!A40)/70))+Inputs!$C$28*EXP(-(((Model_Data!A40)-Inputs!$C$29)^2)/(2*Inputs!$C$31^2))*EXP(-(((0)-Inputs!$C$30)^2)/(2*Inputs!$C$32^2))+-Inputs!$C$33*EXP(-(((((Model_Data!A40)-Inputs!$C$34)^2)+(((0)-Inputs!$C$35)^2))/(2*Inputs!$C$36^2)))+Inputs!$C$37*(0.55*SIN(2*PI()*(Model_Data!A40)/Inputs!$C$39)+0.35*COS(2*PI()*(0)/Inputs!$C$40)+0.2*SIN(2*PI()*((Model_Data!A40)+(0))/(0.5*(Inputs!$C$39+Inputs!$C$40))))+Inputs!$C$38*SIN(2*PI()*(Model_Data!A40)/Inputs!$C$39)*SIN(2*PI()*(0)/Inputs!$C$40)+-Inputs!$C$41*EXP(-(((0)-Inputs!$C$43)^2)/(2*Inputs!$C$44^2))*EXP(-(((Model_Data!A40)-Inputs!$C$42)^2)/(2*Inputs!$C$45^2))+Inputs!$C$48*(0.70*(0.45*SIN(2*PI()*(((Model_Data!A40)/Inputs!$C$49)+Inputs!$C$47*0.137))+0.35*COS(2*PI()*(((0)/Inputs!$C$50)+Inputs!$C$47*0.173))+0.20*SIN(2*PI()*(((Model_Data!A40)+(0))/(0.5*(Inputs!$C$49+Inputs!$C$50))+Inputs!$C$47*0.097)))+0.30*(2*((SIN(((Model_Data!A40)*12.9898+(0)*78.233+Inputs!$C$47*37.719))*43758.5453)-INT((SIN(((Model_Data!A40)*12.9898+(0)*78.233+Inputs!$C$47*37.719))*43758.5453)))-1))))/1000)))*1000/Inputs!$C$12)</x:f>
        <x:v>1497.5446477543235</x:v>
      </x:c>
      <x:c r="D40" s="49"/>
      <x:c r="E40" s="48" t="n">
        <x:f>Model_Data!A40</x:f>
        <x:v>-41</x:v>
      </x:c>
      <x:c r="F40" s="48" t="n">
        <x:f>(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(0.45*SIN(2*PI()*(((Model_Data!A40)/Inputs!$C$49)+Inputs!$C$47*0.137))+0.35*COS(2*PI()*(((Inputs!$C$6)/Inputs!$C$50)+Inputs!$C$47*0.173))+0.20*SIN(2*PI()*(((Model_Data!A40)+(Inputs!$C$6))/(0.5*(Inputs!$C$49+Inputs!$C$50))+Inputs!$C$47*0.097)))+0.30*(2*((SIN(((Model_Data!A40)*12.9898+(Inputs!$C$6)*78.233+Inputs!$C$47*37.719))*43758.5453)-INT((SIN(((Model_Data!A40)*12.9898+(Inputs!$C$6)*78.233+Inputs!$C$47*37.719))*43758.5453)))-1)))</x:f>
        <x:v>176.66624192778235</x:v>
      </x:c>
      <x:c r="G40" s="48" t="n">
        <x:f>(Inputs!$C$51*(115*EXP(-(((0)-25)^2)/(4.5^2))+70*EXP(-(((0)+38)^2)/(7^2))*(0.55+0.45*SIN(2*PI()*(Model_Data!A40)/45))+24*SIN(2*PI()*(0)/9+(Model_Data!A40)/18)*EXP(-(((0)+5)^2)/(22^2))+18*SIN(2*PI()*(Model_Data!A40)/70))+Inputs!$C$28*EXP(-(((Model_Data!A40)-Inputs!$C$29)^2)/(2*Inputs!$C$31^2))*EXP(-(((0)-Inputs!$C$30)^2)/(2*Inputs!$C$32^2))+-Inputs!$C$33*EXP(-(((((Model_Data!A40)-Inputs!$C$34)^2)+(((0)-Inputs!$C$35)^2))/(2*Inputs!$C$36^2)))+Inputs!$C$37*(0.55*SIN(2*PI()*(Model_Data!A40)/Inputs!$C$39)+0.35*COS(2*PI()*(0)/Inputs!$C$40)+0.2*SIN(2*PI()*((Model_Data!A40)+(0))/(0.5*(Inputs!$C$39+Inputs!$C$40))))+Inputs!$C$38*SIN(2*PI()*(Model_Data!A40)/Inputs!$C$39)*SIN(2*PI()*(0)/Inputs!$C$40)+-Inputs!$C$41*EXP(-(((0)-Inputs!$C$43)^2)/(2*Inputs!$C$44^2))*EXP(-(((Model_Data!A40)-Inputs!$C$42)^2)/(2*Inputs!$C$45^2))+Inputs!$C$48*(0.70*(0.45*SIN(2*PI()*(((Model_Data!A40)/Inputs!$C$49)+Inputs!$C$47*0.137))+0.35*COS(2*PI()*(((0)/Inputs!$C$50)+Inputs!$C$47*0.173))+0.20*SIN(2*PI()*(((Model_Data!A40)+(0))/(0.5*(Inputs!$C$49+Inputs!$C$50))+Inputs!$C$47*0.097)))+0.30*(2*((SIN(((Model_Data!A40)*12.9898+(0)*78.233+Inputs!$C$47*37.719))*43758.5453)-INT((SIN(((Model_Data!A40)*12.9898+(0)*78.233+Inputs!$C$47*37.719))*43758.5453)))-1)))</x:f>
        <x:v>-17.886266996681616</x:v>
      </x:c>
      <x:c r="H40" s="49"/>
      <x:c r="I40" s="48" t="n">
        <x:f>Model_Data!A40</x:f>
        <x:v>-41</x:v>
      </x:c>
      <x:c r="J40" s="48" t="n">
        <x:f>((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(0.45*SIN(2*PI()*(((Model_Data!A40)/Inputs!$C$49)+Inputs!$C$47*0.137))+0.35*COS(2*PI()*(((Inputs!$C$6)/Inputs!$C$50)+Inputs!$C$47*0.173))+0.20*SIN(2*PI()*(((Model_Data!A40)+(Inputs!$C$6))/(0.5*(Inputs!$C$49+Inputs!$C$50))+Inputs!$C$47*0.097)))+0.30*(2*((SIN(((Model_Data!A40)*12.9898+(Inputs!$C$6)*78.233+Inputs!$C$47*37.719))*43758.5453)-INT((SIN(((Model_Data!A40)*12.9898+(Inputs!$C$6)*78.233+Inputs!$C$47*37.719))*43758.5453)))-1))))-((Inputs!$C$51*(115*EXP(-(((0)-25)^2)/(4.5^2))+70*EXP(-(((0)+38)^2)/(7^2))*(0.55+0.45*SIN(2*PI()*(Model_Data!A40)/45))+24*SIN(2*PI()*(0)/9+(Model_Data!A40)/18)*EXP(-(((0)+5)^2)/(22^2))+18*SIN(2*PI()*(Model_Data!A40)/70))+Inputs!$C$28*EXP(-(((Model_Data!A40)-Inputs!$C$29)^2)/(2*Inputs!$C$31^2))*EXP(-(((0)-Inputs!$C$30)^2)/(2*Inputs!$C$32^2))+-Inputs!$C$33*EXP(-(((((Model_Data!A40)-Inputs!$C$34)^2)+(((0)-Inputs!$C$35)^2))/(2*Inputs!$C$36^2)))+Inputs!$C$37*(0.55*SIN(2*PI()*(Model_Data!A40)/Inputs!$C$39)+0.35*COS(2*PI()*(0)/Inputs!$C$40)+0.2*SIN(2*PI()*((Model_Data!A40)+(0))/(0.5*(Inputs!$C$39+Inputs!$C$40))))+Inputs!$C$38*SIN(2*PI()*(Model_Data!A40)/Inputs!$C$39)*SIN(2*PI()*(0)/Inputs!$C$40)+-Inputs!$C$41*EXP(-(((0)-Inputs!$C$43)^2)/(2*Inputs!$C$44^2))*EXP(-(((Model_Data!A40)-Inputs!$C$42)^2)/(2*Inputs!$C$45^2))+Inputs!$C$48*(0.70*(0.45*SIN(2*PI()*(((Model_Data!A40)/Inputs!$C$49)+Inputs!$C$47*0.137))+0.35*COS(2*PI()*(((0)/Inputs!$C$50)+Inputs!$C$47*0.173))+0.20*SIN(2*PI()*(((Model_Data!A40)+(0))/(0.5*(Inputs!$C$49+Inputs!$C$50))+Inputs!$C$47*0.097)))+0.30*(2*((SIN(((Model_Data!A40)*12.9898+(0)*78.233+Inputs!$C$47*37.719))*43758.5453)-INT((SIN(((Model_Data!A40)*12.9898+(0)*78.233+Inputs!$C$47*37.719))*43758.5453)))-1))))</x:f>
        <x:v>194.55250892446398</x:v>
      </x:c>
      <x:c r="K40" s="48" t="n">
        <x:f>-((((SQRT((Model_Data!A40)^2+Inputs!$C$6^2+((Model_Data!B40)-((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(0.45*SIN(2*PI()*(((Model_Data!A40)/Inputs!$C$49)+Inputs!$C$47*0.137))+0.35*COS(2*PI()*(((Inputs!$C$6)/Inputs!$C$50)+Inputs!$C$47*0.173))+0.20*SIN(2*PI()*(((Model_Data!A40)+(Inputs!$C$6))/(0.5*(Inputs!$C$49+Inputs!$C$50))+Inputs!$C$47*0.097)))+0.30*(2*((SIN(((Model_Data!A40)*12.9898+(Inputs!$C$6)*78.233+Inputs!$C$47*37.719))*43758.5453)-INT((SIN(((Model_Data!A40)*12.9898+(Inputs!$C$6)*78.233+Inputs!$C$47*37.719))*43758.5453)))-1))))/1000)^2))-(((Model_Data!B40)-((Inputs!$C$51*(115*EXP(-(((0)-25)^2)/(4.5^2))+70*EXP(-(((0)+38)^2)/(7^2))*(0.55+0.45*SIN(2*PI()*(Model_Data!A40)/45))+24*SIN(2*PI()*(0)/9+(Model_Data!A40)/18)*EXP(-(((0)+5)^2)/(22^2))+18*SIN(2*PI()*(Model_Data!A40)/70))+Inputs!$C$28*EXP(-(((Model_Data!A40)-Inputs!$C$29)^2)/(2*Inputs!$C$31^2))*EXP(-(((0)-Inputs!$C$30)^2)/(2*Inputs!$C$32^2))+-Inputs!$C$33*EXP(-(((((Model_Data!A40)-Inputs!$C$34)^2)+(((0)-Inputs!$C$35)^2))/(2*Inputs!$C$36^2)))+Inputs!$C$37*(0.55*SIN(2*PI()*(Model_Data!A40)/Inputs!$C$39)+0.35*COS(2*PI()*(0)/Inputs!$C$40)+0.2*SIN(2*PI()*((Model_Data!A40)+(0))/(0.5*(Inputs!$C$39+Inputs!$C$40))))+Inputs!$C$38*SIN(2*PI()*(Model_Data!A40)/Inputs!$C$39)*SIN(2*PI()*(0)/Inputs!$C$40)+-Inputs!$C$41*EXP(-(((0)-Inputs!$C$43)^2)/(2*Inputs!$C$44^2))*EXP(-(((Model_Data!A40)-Inputs!$C$42)^2)/(2*Inputs!$C$45^2))+Inputs!$C$48*(0.70*(0.45*SIN(2*PI()*(((Model_Data!A40)/Inputs!$C$49)+Inputs!$C$47*0.137))+0.35*COS(2*PI()*(((0)/Inputs!$C$50)+Inputs!$C$47*0.173))+0.20*SIN(2*PI()*(((Model_Data!A40)+(0))/(0.5*(Inputs!$C$49+Inputs!$C$50))+Inputs!$C$47*0.097)))+0.30*(2*((SIN(((Model_Data!A40)*12.9898+(0)*78.233+Inputs!$C$47*37.719))*43758.5453)-INT((SIN(((Model_Data!A40)*12.9898+(0)*78.233+Inputs!$C$47*37.719))*43758.5453)))-1))))/1000)))*1000/Inputs!$C$12)-Model_Data!F40)</x:f>
        <x:v>108.5977640364008</x:v>
      </x:c>
      <x:c r="L40" s="49"/>
      <x:c r="M40" s="48" t="n">
        <x:f>Model_Data!A40</x:f>
        <x:v>-41</x:v>
      </x:c>
      <x:c r="N40" s="48" t="n">
        <x:f>Model_Data!P40</x:f>
        <x:v>306.8327049999392</x:v>
      </x:c>
      <x:c r="O40" s="48" t="n">
        <x:f>AC40</x:f>
        <x:v>338.456387860424</x:v>
      </x:c>
      <x:c r="P40" s="48" t="n">
        <x:f>Model_Data!Q40</x:f>
        <x:v>46.070976726717596</x:v>
      </x:c>
      <x:c r="Q40" s="48" t="n">
        <x:f>AD40</x:f>
        <x:v>50.819277456520126</x:v>
      </x:c>
      <x:c r="R40" s="49"/>
      <x:c r="S40" s="48" t="n">
        <x:f>Model_Data!A40</x:f>
        <x:v>-41</x:v>
      </x:c>
      <x:c r="T40" s="48" t="n">
        <x:f>Model_Data!B40-Inputs!$C$5</x:f>
        <x:v>1.8677777777778033</x:v>
      </x:c>
      <x:c r="U40" s="49"/>
      <x:c r="V40" s="48" t="n">
        <x:f>Model_Data!A40</x:f>
        <x:v>-41</x:v>
      </x:c>
      <x:c r="W40" s="48" t="n">
        <x:f>(-((((SQRT((Model_Data!A40)^2+Inputs!$C$6^2+((Model_Data!B40)-((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(0.45*SIN(2*PI()*(((Model_Data!A40)/Inputs!$C$49)+Inputs!$C$47*0.137))+0.35*COS(2*PI()*(((Inputs!$C$6)/Inputs!$C$50)+Inputs!$C$47*0.173))+0.20*SIN(2*PI()*(((Model_Data!A40)+(Inputs!$C$6))/(0.5*(Inputs!$C$49+Inputs!$C$50))+Inputs!$C$47*0.097)))+0.30*(2*((SIN(((Model_Data!A40)*12.9898+(Inputs!$C$6)*78.233+Inputs!$C$47*37.719))*43758.5453)-INT((SIN(((Model_Data!A40)*12.9898+(Inputs!$C$6)*78.233+Inputs!$C$47*37.719))*43758.5453)))-1))))/1000)^2))-(((Model_Data!B40)-((Inputs!$C$51*(115*EXP(-(((0)-25)^2)/(4.5^2))+70*EXP(-(((0)+38)^2)/(7^2))*(0.55+0.45*SIN(2*PI()*(Model_Data!A40)/45))+24*SIN(2*PI()*(0)/9+(Model_Data!A40)/18)*EXP(-(((0)+5)^2)/(22^2))+18*SIN(2*PI()*(Model_Data!A40)/70))+Inputs!$C$28*EXP(-(((Model_Data!A40)-Inputs!$C$29)^2)/(2*Inputs!$C$31^2))*EXP(-(((0)-Inputs!$C$30)^2)/(2*Inputs!$C$32^2))+-Inputs!$C$33*EXP(-(((((Model_Data!A40)-Inputs!$C$34)^2)+(((0)-Inputs!$C$35)^2))/(2*Inputs!$C$36^2)))+Inputs!$C$37*(0.55*SIN(2*PI()*(Model_Data!A40)/Inputs!$C$39)+0.35*COS(2*PI()*(0)/Inputs!$C$40)+0.2*SIN(2*PI()*((Model_Data!A40)+(0))/(0.5*(Inputs!$C$39+Inputs!$C$40))))+Inputs!$C$38*SIN(2*PI()*(Model_Data!A40)/Inputs!$C$39)*SIN(2*PI()*(0)/Inputs!$C$40)+-Inputs!$C$41*EXP(-(((0)-Inputs!$C$43)^2)/(2*Inputs!$C$44^2))*EXP(-(((Model_Data!A40)-Inputs!$C$42)^2)/(2*Inputs!$C$45^2))+Inputs!$C$48*(0.70*(0.45*SIN(2*PI()*(((Model_Data!A40)/Inputs!$C$49)+Inputs!$C$47*0.137))+0.35*COS(2*PI()*(((0)/Inputs!$C$50)+Inputs!$C$47*0.173))+0.20*SIN(2*PI()*(((Model_Data!A40)+(0))/(0.5*(Inputs!$C$49+Inputs!$C$50))+Inputs!$C$47*0.097)))+0.30*(2*((SIN(((Model_Data!A40)*12.9898+(0)*78.233+Inputs!$C$47*37.719))*43758.5453)-INT((SIN(((Model_Data!A40)*12.9898+(0)*78.233+Inputs!$C$47*37.719))*43758.5453)))-1))))/1000)))*1000/Inputs!$C$12)-Model_Data!F40))-(-(((SQRT((Model_Data!A40)^2+Inputs!$C$6^2+(Inputs!$C$5-((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(0.45*SIN(2*PI()*(((Model_Data!A40)/Inputs!$C$49)+Inputs!$C$47*0.137))+0.35*COS(2*PI()*(((Inputs!$C$6)/Inputs!$C$50)+Inputs!$C$47*0.173))+0.20*SIN(2*PI()*(((Model_Data!A40)+(Inputs!$C$6))/(0.5*(Inputs!$C$49+Inputs!$C$50))+Inputs!$C$47*0.097)))+0.30*(2*((SIN(((Model_Data!A40)*12.9898+(Inputs!$C$6)*78.233+Inputs!$C$47*37.719))*43758.5453)-INT((SIN(((Model_Data!A40)*12.9898+(Inputs!$C$6)*78.233+Inputs!$C$47*37.719))*43758.5453)))-1))))/1000)^2)-(Inputs!$C$5-((Inputs!$C$51*(115*EXP(-(((0)-25)^2)/(4.5^2))+70*EXP(-(((0)+38)^2)/(7^2))*(0.55+0.45*SIN(2*PI()*(Model_Data!A40)/45))+24*SIN(2*PI()*(0)/9+(Model_Data!A40)/18)*EXP(-(((0)+5)^2)/(22^2))+18*SIN(2*PI()*(Model_Data!A40)/70))+Inputs!$C$28*EXP(-(((Model_Data!A40)-Inputs!$C$29)^2)/(2*Inputs!$C$31^2))*EXP(-(((0)-Inputs!$C$30)^2)/(2*Inputs!$C$32^2))+-Inputs!$C$33*EXP(-(((((Model_Data!A40)-Inputs!$C$34)^2)+(((0)-Inputs!$C$35)^2))/(2*Inputs!$C$36^2)))+Inputs!$C$37*(0.55*SIN(2*PI()*(Model_Data!A40)/Inputs!$C$39)+0.35*COS(2*PI()*(0)/Inputs!$C$40)+0.2*SIN(2*PI()*((Model_Data!A40)+(0))/(0.5*(Inputs!$C$39+Inputs!$C$40))))+Inputs!$C$38*SIN(2*PI()*(Model_Data!A40)/Inputs!$C$39)*SIN(2*PI()*(0)/Inputs!$C$40)+-Inputs!$C$41*EXP(-(((0)-Inputs!$C$43)^2)/(2*Inputs!$C$44^2))*EXP(-(((Model_Data!A40)-Inputs!$C$42)^2)/(2*Inputs!$C$45^2))+Inputs!$C$48*(0.70*(0.45*SIN(2*PI()*(((Model_Data!A40)/Inputs!$C$49)+Inputs!$C$47*0.137))+0.35*COS(2*PI()*(((0)/Inputs!$C$50)+Inputs!$C$47*0.173))+0.20*SIN(2*PI()*(((Model_Data!A40)+(0))/(0.5*(Inputs!$C$49+Inputs!$C$50))+Inputs!$C$47*0.097)))+0.30*(2*((SIN(((Model_Data!A40)*12.9898+(0)*78.233+Inputs!$C$47*37.719))*43758.5453)-INT((SIN(((Model_Data!A40)*12.9898+(0)*78.233+Inputs!$C$47*37.719))*43758.5453)))-1))))/1000))*1000/Inputs!$C$12)-((SQRT((Model_Data!A40)^2+Inputs!$C$6^2+Inputs!$C$5^2)-Inputs!$C$5)*1000/Inputs!$C$12)))</x:f>
        <x:v>0.006496935930726977</x:v>
      </x:c>
      <x:c r="X40" s="48" t="n">
        <x:f>0</x:f>
        <x:v>0</x:v>
      </x:c>
      <x:c r="Y40" s="49"/>
      <x:c r="Z40" s="48" t="n">
        <x:f>Model_Data!A40</x:f>
        <x:v>-41</x:v>
      </x:c>
      <x:c r="AA40" s="48" t="n">
        <x:f>SQRT((Model_Data!A40)^2+Inputs!$C$6^2+((Model_Data!B40)-((Inputs!$C$51*(115*EXP(-(((Inputs!$C$6)-25)^2)/(4.5^2))+70*EXP(-(((Inputs!$C$6)+38)^2)/(7^2))*(0.55+0.45*SIN(2*PI()*(Model_Data!A40)/45))+24*SIN(2*PI()*(Inputs!$C$6)/9+(Model_Data!A40)/18)*EXP(-(((Inputs!$C$6)+5)^2)/(22^2))+18*SIN(2*PI()*(Model_Data!A40)/70))+Inputs!$C$28*EXP(-(((Model_Data!A40)-Inputs!$C$29)^2)/(2*Inputs!$C$31^2))*EXP(-(((Inputs!$C$6)-Inputs!$C$30)^2)/(2*Inputs!$C$32^2))+-Inputs!$C$33*EXP(-(((((Model_Data!A40)-Inputs!$C$34)^2)+(((Inputs!$C$6)-Inputs!$C$35)^2))/(2*Inputs!$C$36^2)))+Inputs!$C$37*(0.55*SIN(2*PI()*(Model_Data!A40)/Inputs!$C$39)+0.35*COS(2*PI()*(Inputs!$C$6)/Inputs!$C$40)+0.2*SIN(2*PI()*((Model_Data!A40)+(Inputs!$C$6))/(0.5*(Inputs!$C$39+Inputs!$C$40))))+Inputs!$C$38*SIN(2*PI()*(Model_Data!A40)/Inputs!$C$39)*SIN(2*PI()*(Inputs!$C$6)/Inputs!$C$40)+-Inputs!$C$41*EXP(-(((Inputs!$C$6)-Inputs!$C$43)^2)/(2*Inputs!$C$44^2))*EXP(-(((Model_Data!A40)-Inputs!$C$42)^2)/(2*Inputs!$C$45^2))+Inputs!$C$48*(0.70*(0.45*SIN(2*PI()*(((Model_Data!A40)/Inputs!$C$49)+Inputs!$C$47*0.137))+0.35*COS(2*PI()*(((Inputs!$C$6)/Inputs!$C$50)+Inputs!$C$47*0.173))+0.20*SIN(2*PI()*(((Model_Data!A40)+(Inputs!$C$6))/(0.5*(Inputs!$C$49+Inputs!$C$50))+Inputs!$C$47*0.097)))+0.30*(2*((SIN(((Model_Data!A40)*12.9898+(Inputs!$C$6)*78.233+Inputs!$C$47*37.719))*43758.5453)-INT((SIN(((Model_Data!A40)*12.9898+(Inputs!$C$6)*78.233+Inputs!$C$47*37.719))*43758.5453)))-1))))/1000)^2)</x:f>
        <x:v>404.5512935177772</x:v>
      </x:c>
      <x:c r="AB40" s="48" t="n">
        <x:f>1000*(AA41-AA39)/(Z41-Z39)*Inputs!$C$11</x:f>
        <x:v>-846.14096965106</x:v>
      </x:c>
      <x:c r="AC40" s="48" t="n">
        <x:f>-2*AB40/Inputs!$C$13</x:f>
        <x:v>338.456387860424</x:v>
      </x:c>
      <x:c r="AD40" s="48" t="n">
        <x:f>-2*AB40/Inputs!$C$14</x:f>
        <x:v>50.819277456520126</x:v>
      </x:c>
    </x:row>
    <x:row r="41">
      <x:c r="A41" s="48" t="n">
        <x:f>Model_Data!A41</x:f>
        <x:v>-40.5</x:v>
      </x:c>
      <x:c r="B41" s="48" t="n">
        <x:f>Model_Data!F41</x:f>
        <x:v>1578.0348465697127</x:v>
      </x:c>
      <x:c r="C41" s="48" t="n">
        <x:f>(((SQRT((Model_Data!A41)^2+Inputs!$C$6^2+((Model_Data!B41)-((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(0.45*SIN(2*PI()*(((Model_Data!A41)/Inputs!$C$49)+Inputs!$C$47*0.137))+0.35*COS(2*PI()*(((Inputs!$C$6)/Inputs!$C$50)+Inputs!$C$47*0.173))+0.20*SIN(2*PI()*(((Model_Data!A41)+(Inputs!$C$6))/(0.5*(Inputs!$C$49+Inputs!$C$50))+Inputs!$C$47*0.097)))+0.30*(2*((SIN(((Model_Data!A41)*12.9898+(Inputs!$C$6)*78.233+Inputs!$C$47*37.719))*43758.5453)-INT((SIN(((Model_Data!A41)*12.9898+(Inputs!$C$6)*78.233+Inputs!$C$47*37.719))*43758.5453)))-1))))/1000)^2))-(((Model_Data!B41)-((Inputs!$C$51*(115*EXP(-(((0)-25)^2)/(4.5^2))+70*EXP(-(((0)+38)^2)/(7^2))*(0.55+0.45*SIN(2*PI()*(Model_Data!A41)/45))+24*SIN(2*PI()*(0)/9+(Model_Data!A41)/18)*EXP(-(((0)+5)^2)/(22^2))+18*SIN(2*PI()*(Model_Data!A41)/70))+Inputs!$C$28*EXP(-(((Model_Data!A41)-Inputs!$C$29)^2)/(2*Inputs!$C$31^2))*EXP(-(((0)-Inputs!$C$30)^2)/(2*Inputs!$C$32^2))+-Inputs!$C$33*EXP(-(((((Model_Data!A41)-Inputs!$C$34)^2)+(((0)-Inputs!$C$35)^2))/(2*Inputs!$C$36^2)))+Inputs!$C$37*(0.55*SIN(2*PI()*(Model_Data!A41)/Inputs!$C$39)+0.35*COS(2*PI()*(0)/Inputs!$C$40)+0.2*SIN(2*PI()*((Model_Data!A41)+(0))/(0.5*(Inputs!$C$39+Inputs!$C$40))))+Inputs!$C$38*SIN(2*PI()*(Model_Data!A41)/Inputs!$C$39)*SIN(2*PI()*(0)/Inputs!$C$40)+-Inputs!$C$41*EXP(-(((0)-Inputs!$C$43)^2)/(2*Inputs!$C$44^2))*EXP(-(((Model_Data!A41)-Inputs!$C$42)^2)/(2*Inputs!$C$45^2))+Inputs!$C$48*(0.70*(0.45*SIN(2*PI()*(((Model_Data!A41)/Inputs!$C$49)+Inputs!$C$47*0.137))+0.35*COS(2*PI()*(((0)/Inputs!$C$50)+Inputs!$C$47*0.173))+0.20*SIN(2*PI()*(((Model_Data!A41)+(0))/(0.5*(Inputs!$C$49+Inputs!$C$50))+Inputs!$C$47*0.097)))+0.30*(2*((SIN(((Model_Data!A41)*12.9898+(0)*78.233+Inputs!$C$47*37.719))*43758.5453)-INT((SIN(((Model_Data!A41)*12.9898+(0)*78.233+Inputs!$C$47*37.719))*43758.5453)))-1))))/1000)))*1000/Inputs!$C$12)</x:f>
        <x:v>1462.888071474159</x:v>
      </x:c>
      <x:c r="D41" s="49"/>
      <x:c r="E41" s="48" t="n">
        <x:f>Model_Data!A41</x:f>
        <x:v>-40.5</x:v>
      </x:c>
      <x:c r="F41" s="48" t="n">
        <x:f>(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(0.45*SIN(2*PI()*(((Model_Data!A41)/Inputs!$C$49)+Inputs!$C$47*0.137))+0.35*COS(2*PI()*(((Inputs!$C$6)/Inputs!$C$50)+Inputs!$C$47*0.173))+0.20*SIN(2*PI()*(((Model_Data!A41)+(Inputs!$C$6))/(0.5*(Inputs!$C$49+Inputs!$C$50))+Inputs!$C$47*0.097)))+0.30*(2*((SIN(((Model_Data!A41)*12.9898+(Inputs!$C$6)*78.233+Inputs!$C$47*37.719))*43758.5453)-INT((SIN(((Model_Data!A41)*12.9898+(Inputs!$C$6)*78.233+Inputs!$C$47*37.719))*43758.5453)))-1)))</x:f>
        <x:v>191.24651788731785</x:v>
      </x:c>
      <x:c r="G41" s="48" t="n">
        <x:f>(Inputs!$C$51*(115*EXP(-(((0)-25)^2)/(4.5^2))+70*EXP(-(((0)+38)^2)/(7^2))*(0.55+0.45*SIN(2*PI()*(Model_Data!A41)/45))+24*SIN(2*PI()*(0)/9+(Model_Data!A41)/18)*EXP(-(((0)+5)^2)/(22^2))+18*SIN(2*PI()*(Model_Data!A41)/70))+Inputs!$C$28*EXP(-(((Model_Data!A41)-Inputs!$C$29)^2)/(2*Inputs!$C$31^2))*EXP(-(((0)-Inputs!$C$30)^2)/(2*Inputs!$C$32^2))+-Inputs!$C$33*EXP(-(((((Model_Data!A41)-Inputs!$C$34)^2)+(((0)-Inputs!$C$35)^2))/(2*Inputs!$C$36^2)))+Inputs!$C$37*(0.55*SIN(2*PI()*(Model_Data!A41)/Inputs!$C$39)+0.35*COS(2*PI()*(0)/Inputs!$C$40)+0.2*SIN(2*PI()*((Model_Data!A41)+(0))/(0.5*(Inputs!$C$39+Inputs!$C$40))))+Inputs!$C$38*SIN(2*PI()*(Model_Data!A41)/Inputs!$C$39)*SIN(2*PI()*(0)/Inputs!$C$40)+-Inputs!$C$41*EXP(-(((0)-Inputs!$C$43)^2)/(2*Inputs!$C$44^2))*EXP(-(((Model_Data!A41)-Inputs!$C$42)^2)/(2*Inputs!$C$45^2))+Inputs!$C$48*(0.70*(0.45*SIN(2*PI()*(((Model_Data!A41)/Inputs!$C$49)+Inputs!$C$47*0.137))+0.35*COS(2*PI()*(((0)/Inputs!$C$50)+Inputs!$C$47*0.173))+0.20*SIN(2*PI()*(((Model_Data!A41)+(0))/(0.5*(Inputs!$C$49+Inputs!$C$50))+Inputs!$C$47*0.097)))+0.30*(2*((SIN(((Model_Data!A41)*12.9898+(0)*78.233+Inputs!$C$47*37.719))*43758.5453)-INT((SIN(((Model_Data!A41)*12.9898+(0)*78.233+Inputs!$C$47*37.719))*43758.5453)))-1)))</x:f>
        <x:v>-15.042977474303433</x:v>
      </x:c>
      <x:c r="H41" s="49"/>
      <x:c r="I41" s="48" t="n">
        <x:f>Model_Data!A41</x:f>
        <x:v>-40.5</x:v>
      </x:c>
      <x:c r="J41" s="48" t="n">
        <x:f>((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(0.45*SIN(2*PI()*(((Model_Data!A41)/Inputs!$C$49)+Inputs!$C$47*0.137))+0.35*COS(2*PI()*(((Inputs!$C$6)/Inputs!$C$50)+Inputs!$C$47*0.173))+0.20*SIN(2*PI()*(((Model_Data!A41)+(Inputs!$C$6))/(0.5*(Inputs!$C$49+Inputs!$C$50))+Inputs!$C$47*0.097)))+0.30*(2*((SIN(((Model_Data!A41)*12.9898+(Inputs!$C$6)*78.233+Inputs!$C$47*37.719))*43758.5453)-INT((SIN(((Model_Data!A41)*12.9898+(Inputs!$C$6)*78.233+Inputs!$C$47*37.719))*43758.5453)))-1))))-((Inputs!$C$51*(115*EXP(-(((0)-25)^2)/(4.5^2))+70*EXP(-(((0)+38)^2)/(7^2))*(0.55+0.45*SIN(2*PI()*(Model_Data!A41)/45))+24*SIN(2*PI()*(0)/9+(Model_Data!A41)/18)*EXP(-(((0)+5)^2)/(22^2))+18*SIN(2*PI()*(Model_Data!A41)/70))+Inputs!$C$28*EXP(-(((Model_Data!A41)-Inputs!$C$29)^2)/(2*Inputs!$C$31^2))*EXP(-(((0)-Inputs!$C$30)^2)/(2*Inputs!$C$32^2))+-Inputs!$C$33*EXP(-(((((Model_Data!A41)-Inputs!$C$34)^2)+(((0)-Inputs!$C$35)^2))/(2*Inputs!$C$36^2)))+Inputs!$C$37*(0.55*SIN(2*PI()*(Model_Data!A41)/Inputs!$C$39)+0.35*COS(2*PI()*(0)/Inputs!$C$40)+0.2*SIN(2*PI()*((Model_Data!A41)+(0))/(0.5*(Inputs!$C$39+Inputs!$C$40))))+Inputs!$C$38*SIN(2*PI()*(Model_Data!A41)/Inputs!$C$39)*SIN(2*PI()*(0)/Inputs!$C$40)+-Inputs!$C$41*EXP(-(((0)-Inputs!$C$43)^2)/(2*Inputs!$C$44^2))*EXP(-(((Model_Data!A41)-Inputs!$C$42)^2)/(2*Inputs!$C$45^2))+Inputs!$C$48*(0.70*(0.45*SIN(2*PI()*(((Model_Data!A41)/Inputs!$C$49)+Inputs!$C$47*0.137))+0.35*COS(2*PI()*(((0)/Inputs!$C$50)+Inputs!$C$47*0.173))+0.20*SIN(2*PI()*(((Model_Data!A41)+(0))/(0.5*(Inputs!$C$49+Inputs!$C$50))+Inputs!$C$47*0.097)))+0.30*(2*((SIN(((Model_Data!A41)*12.9898+(0)*78.233+Inputs!$C$47*37.719))*43758.5453)-INT((SIN(((Model_Data!A41)*12.9898+(0)*78.233+Inputs!$C$47*37.719))*43758.5453)))-1))))</x:f>
        <x:v>206.28949536162128</x:v>
      </x:c>
      <x:c r="K41" s="48" t="n">
        <x:f>-((((SQRT((Model_Data!A41)^2+Inputs!$C$6^2+((Model_Data!B41)-((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(0.45*SIN(2*PI()*(((Model_Data!A41)/Inputs!$C$49)+Inputs!$C$47*0.137))+0.35*COS(2*PI()*(((Inputs!$C$6)/Inputs!$C$50)+Inputs!$C$47*0.173))+0.20*SIN(2*PI()*(((Model_Data!A41)+(Inputs!$C$6))/(0.5*(Inputs!$C$49+Inputs!$C$50))+Inputs!$C$47*0.097)))+0.30*(2*((SIN(((Model_Data!A41)*12.9898+(Inputs!$C$6)*78.233+Inputs!$C$47*37.719))*43758.5453)-INT((SIN(((Model_Data!A41)*12.9898+(Inputs!$C$6)*78.233+Inputs!$C$47*37.719))*43758.5453)))-1))))/1000)^2))-(((Model_Data!B41)-((Inputs!$C$51*(115*EXP(-(((0)-25)^2)/(4.5^2))+70*EXP(-(((0)+38)^2)/(7^2))*(0.55+0.45*SIN(2*PI()*(Model_Data!A41)/45))+24*SIN(2*PI()*(0)/9+(Model_Data!A41)/18)*EXP(-(((0)+5)^2)/(22^2))+18*SIN(2*PI()*(Model_Data!A41)/70))+Inputs!$C$28*EXP(-(((Model_Data!A41)-Inputs!$C$29)^2)/(2*Inputs!$C$31^2))*EXP(-(((0)-Inputs!$C$30)^2)/(2*Inputs!$C$32^2))+-Inputs!$C$33*EXP(-(((((Model_Data!A41)-Inputs!$C$34)^2)+(((0)-Inputs!$C$35)^2))/(2*Inputs!$C$36^2)))+Inputs!$C$37*(0.55*SIN(2*PI()*(Model_Data!A41)/Inputs!$C$39)+0.35*COS(2*PI()*(0)/Inputs!$C$40)+0.2*SIN(2*PI()*((Model_Data!A41)+(0))/(0.5*(Inputs!$C$39+Inputs!$C$40))))+Inputs!$C$38*SIN(2*PI()*(Model_Data!A41)/Inputs!$C$39)*SIN(2*PI()*(0)/Inputs!$C$40)+-Inputs!$C$41*EXP(-(((0)-Inputs!$C$43)^2)/(2*Inputs!$C$44^2))*EXP(-(((Model_Data!A41)-Inputs!$C$42)^2)/(2*Inputs!$C$45^2))+Inputs!$C$48*(0.70*(0.45*SIN(2*PI()*(((Model_Data!A41)/Inputs!$C$49)+Inputs!$C$47*0.137))+0.35*COS(2*PI()*(((0)/Inputs!$C$50)+Inputs!$C$47*0.173))+0.20*SIN(2*PI()*(((Model_Data!A41)+(0))/(0.5*(Inputs!$C$49+Inputs!$C$50))+Inputs!$C$47*0.097)))+0.30*(2*((SIN(((Model_Data!A41)*12.9898+(0)*78.233+Inputs!$C$47*37.719))*43758.5453)-INT((SIN(((Model_Data!A41)*12.9898+(0)*78.233+Inputs!$C$47*37.719))*43758.5453)))-1))))/1000)))*1000/Inputs!$C$12)-Model_Data!F41)</x:f>
        <x:v>115.14677509555372</x:v>
      </x:c>
      <x:c r="L41" s="49"/>
      <x:c r="M41" s="48" t="n">
        <x:f>Model_Data!A41</x:f>
        <x:v>-40.5</x:v>
      </x:c>
      <x:c r="N41" s="48" t="n">
        <x:f>Model_Data!P41</x:f>
        <x:v>303.14612110072255</x:v>
      </x:c>
      <x:c r="O41" s="48" t="n">
        <x:f>AC41</x:f>
        <x:v>336.58391333292457</x:v>
      </x:c>
      <x:c r="P41" s="48" t="n">
        <x:f>Model_Data!Q41</x:f>
        <x:v>45.5174356007091</x:v>
      </x:c>
      <x:c r="Q41" s="48" t="n">
        <x:f>AD41</x:f>
        <x:v>50.53812512506375</x:v>
      </x:c>
      <x:c r="R41" s="49"/>
      <x:c r="S41" s="48" t="n">
        <x:f>Model_Data!A41</x:f>
        <x:v>-40.5</x:v>
      </x:c>
      <x:c r="T41" s="48" t="n">
        <x:f>Model_Data!B41-Inputs!$C$5</x:f>
        <x:v>1.822499999999991</x:v>
      </x:c>
      <x:c r="U41" s="49"/>
      <x:c r="V41" s="48" t="n">
        <x:f>Model_Data!A41</x:f>
        <x:v>-40.5</x:v>
      </x:c>
      <x:c r="W41" s="48" t="n">
        <x:f>(-((((SQRT((Model_Data!A41)^2+Inputs!$C$6^2+((Model_Data!B41)-((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(0.45*SIN(2*PI()*(((Model_Data!A41)/Inputs!$C$49)+Inputs!$C$47*0.137))+0.35*COS(2*PI()*(((Inputs!$C$6)/Inputs!$C$50)+Inputs!$C$47*0.173))+0.20*SIN(2*PI()*(((Model_Data!A41)+(Inputs!$C$6))/(0.5*(Inputs!$C$49+Inputs!$C$50))+Inputs!$C$47*0.097)))+0.30*(2*((SIN(((Model_Data!A41)*12.9898+(Inputs!$C$6)*78.233+Inputs!$C$47*37.719))*43758.5453)-INT((SIN(((Model_Data!A41)*12.9898+(Inputs!$C$6)*78.233+Inputs!$C$47*37.719))*43758.5453)))-1))))/1000)^2))-(((Model_Data!B41)-((Inputs!$C$51*(115*EXP(-(((0)-25)^2)/(4.5^2))+70*EXP(-(((0)+38)^2)/(7^2))*(0.55+0.45*SIN(2*PI()*(Model_Data!A41)/45))+24*SIN(2*PI()*(0)/9+(Model_Data!A41)/18)*EXP(-(((0)+5)^2)/(22^2))+18*SIN(2*PI()*(Model_Data!A41)/70))+Inputs!$C$28*EXP(-(((Model_Data!A41)-Inputs!$C$29)^2)/(2*Inputs!$C$31^2))*EXP(-(((0)-Inputs!$C$30)^2)/(2*Inputs!$C$32^2))+-Inputs!$C$33*EXP(-(((((Model_Data!A41)-Inputs!$C$34)^2)+(((0)-Inputs!$C$35)^2))/(2*Inputs!$C$36^2)))+Inputs!$C$37*(0.55*SIN(2*PI()*(Model_Data!A41)/Inputs!$C$39)+0.35*COS(2*PI()*(0)/Inputs!$C$40)+0.2*SIN(2*PI()*((Model_Data!A41)+(0))/(0.5*(Inputs!$C$39+Inputs!$C$40))))+Inputs!$C$38*SIN(2*PI()*(Model_Data!A41)/Inputs!$C$39)*SIN(2*PI()*(0)/Inputs!$C$40)+-Inputs!$C$41*EXP(-(((0)-Inputs!$C$43)^2)/(2*Inputs!$C$44^2))*EXP(-(((Model_Data!A41)-Inputs!$C$42)^2)/(2*Inputs!$C$45^2))+Inputs!$C$48*(0.70*(0.45*SIN(2*PI()*(((Model_Data!A41)/Inputs!$C$49)+Inputs!$C$47*0.137))+0.35*COS(2*PI()*(((0)/Inputs!$C$50)+Inputs!$C$47*0.173))+0.20*SIN(2*PI()*(((Model_Data!A41)+(0))/(0.5*(Inputs!$C$49+Inputs!$C$50))+Inputs!$C$47*0.097)))+0.30*(2*((SIN(((Model_Data!A41)*12.9898+(0)*78.233+Inputs!$C$47*37.719))*43758.5453)-INT((SIN(((Model_Data!A41)*12.9898+(0)*78.233+Inputs!$C$47*37.719))*43758.5453)))-1))))/1000)))*1000/Inputs!$C$12)-Model_Data!F41))-(-(((SQRT((Model_Data!A41)^2+Inputs!$C$6^2+(Inputs!$C$5-((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(0.45*SIN(2*PI()*(((Model_Data!A41)/Inputs!$C$49)+Inputs!$C$47*0.137))+0.35*COS(2*PI()*(((Inputs!$C$6)/Inputs!$C$50)+Inputs!$C$47*0.173))+0.20*SIN(2*PI()*(((Model_Data!A41)+(Inputs!$C$6))/(0.5*(Inputs!$C$49+Inputs!$C$50))+Inputs!$C$47*0.097)))+0.30*(2*((SIN(((Model_Data!A41)*12.9898+(Inputs!$C$6)*78.233+Inputs!$C$47*37.719))*43758.5453)-INT((SIN(((Model_Data!A41)*12.9898+(Inputs!$C$6)*78.233+Inputs!$C$47*37.719))*43758.5453)))-1))))/1000)^2)-(Inputs!$C$5-((Inputs!$C$51*(115*EXP(-(((0)-25)^2)/(4.5^2))+70*EXP(-(((0)+38)^2)/(7^2))*(0.55+0.45*SIN(2*PI()*(Model_Data!A41)/45))+24*SIN(2*PI()*(0)/9+(Model_Data!A41)/18)*EXP(-(((0)+5)^2)/(22^2))+18*SIN(2*PI()*(Model_Data!A41)/70))+Inputs!$C$28*EXP(-(((Model_Data!A41)-Inputs!$C$29)^2)/(2*Inputs!$C$31^2))*EXP(-(((0)-Inputs!$C$30)^2)/(2*Inputs!$C$32^2))+-Inputs!$C$33*EXP(-(((((Model_Data!A41)-Inputs!$C$34)^2)+(((0)-Inputs!$C$35)^2))/(2*Inputs!$C$36^2)))+Inputs!$C$37*(0.55*SIN(2*PI()*(Model_Data!A41)/Inputs!$C$39)+0.35*COS(2*PI()*(0)/Inputs!$C$40)+0.2*SIN(2*PI()*((Model_Data!A41)+(0))/(0.5*(Inputs!$C$39+Inputs!$C$40))))+Inputs!$C$38*SIN(2*PI()*(Model_Data!A41)/Inputs!$C$39)*SIN(2*PI()*(0)/Inputs!$C$40)+-Inputs!$C$41*EXP(-(((0)-Inputs!$C$43)^2)/(2*Inputs!$C$44^2))*EXP(-(((Model_Data!A41)-Inputs!$C$42)^2)/(2*Inputs!$C$45^2))+Inputs!$C$48*(0.70*(0.45*SIN(2*PI()*(((Model_Data!A41)/Inputs!$C$49)+Inputs!$C$47*0.137))+0.35*COS(2*PI()*(((0)/Inputs!$C$50)+Inputs!$C$47*0.173))+0.20*SIN(2*PI()*(((Model_Data!A41)+(0))/(0.5*(Inputs!$C$49+Inputs!$C$50))+Inputs!$C$47*0.097)))+0.30*(2*((SIN(((Model_Data!A41)*12.9898+(0)*78.233+Inputs!$C$47*37.719))*43758.5453)-INT((SIN(((Model_Data!A41)*12.9898+(0)*78.233+Inputs!$C$47*37.719))*43758.5453)))-1))))/1000))*1000/Inputs!$C$12)-((SQRT((Model_Data!A41)^2+Inputs!$C$6^2+Inputs!$C$5^2)-Inputs!$C$5)*1000/Inputs!$C$12)))</x:f>
        <x:v>0.006745378715550032</x:v>
      </x:c>
      <x:c r="X41" s="48" t="n">
        <x:f>0</x:f>
        <x:v>0</x:v>
      </x:c>
      <x:c r="Y41" s="49"/>
      <x:c r="Z41" s="48" t="n">
        <x:f>Model_Data!A41</x:f>
        <x:v>-40.5</x:v>
      </x:c>
      <x:c r="AA41" s="48" t="n">
        <x:f>SQRT((Model_Data!A41)^2+Inputs!$C$6^2+((Model_Data!B41)-((Inputs!$C$51*(115*EXP(-(((Inputs!$C$6)-25)^2)/(4.5^2))+70*EXP(-(((Inputs!$C$6)+38)^2)/(7^2))*(0.55+0.45*SIN(2*PI()*(Model_Data!A41)/45))+24*SIN(2*PI()*(Inputs!$C$6)/9+(Model_Data!A41)/18)*EXP(-(((Inputs!$C$6)+5)^2)/(22^2))+18*SIN(2*PI()*(Model_Data!A41)/70))+Inputs!$C$28*EXP(-(((Model_Data!A41)-Inputs!$C$29)^2)/(2*Inputs!$C$31^2))*EXP(-(((Inputs!$C$6)-Inputs!$C$30)^2)/(2*Inputs!$C$32^2))+-Inputs!$C$33*EXP(-(((((Model_Data!A41)-Inputs!$C$34)^2)+(((Inputs!$C$6)-Inputs!$C$35)^2))/(2*Inputs!$C$36^2)))+Inputs!$C$37*(0.55*SIN(2*PI()*(Model_Data!A41)/Inputs!$C$39)+0.35*COS(2*PI()*(Inputs!$C$6)/Inputs!$C$40)+0.2*SIN(2*PI()*((Model_Data!A41)+(Inputs!$C$6))/(0.5*(Inputs!$C$39+Inputs!$C$40))))+Inputs!$C$38*SIN(2*PI()*(Model_Data!A41)/Inputs!$C$39)*SIN(2*PI()*(Inputs!$C$6)/Inputs!$C$40)+-Inputs!$C$41*EXP(-(((Inputs!$C$6)-Inputs!$C$43)^2)/(2*Inputs!$C$44^2))*EXP(-(((Model_Data!A41)-Inputs!$C$42)^2)/(2*Inputs!$C$45^2))+Inputs!$C$48*(0.70*(0.45*SIN(2*PI()*(((Model_Data!A41)/Inputs!$C$49)+Inputs!$C$47*0.137))+0.35*COS(2*PI()*(((Inputs!$C$6)/Inputs!$C$50)+Inputs!$C$47*0.173))+0.20*SIN(2*PI()*(((Model_Data!A41)+(Inputs!$C$6))/(0.5*(Inputs!$C$49+Inputs!$C$50))+Inputs!$C$47*0.097)))+0.30*(2*((SIN(((Model_Data!A41)*12.9898+(Inputs!$C$6)*78.233+Inputs!$C$47*37.719))*43758.5453)-INT((SIN(((Model_Data!A41)*12.9898+(Inputs!$C$6)*78.233+Inputs!$C$47*37.719))*43758.5453)))-1))))/1000)^2)</x:f>
        <x:v>404.4414837446983</x:v>
      </x:c>
      <x:c r="AB41" s="48" t="n">
        <x:f>1000*(AA42-AA40)/(Z42-Z40)*Inputs!$C$11</x:f>
        <x:v>-841.4597833323114</x:v>
      </x:c>
      <x:c r="AC41" s="48" t="n">
        <x:f>-2*AB41/Inputs!$C$13</x:f>
        <x:v>336.58391333292457</x:v>
      </x:c>
      <x:c r="AD41" s="48" t="n">
        <x:f>-2*AB41/Inputs!$C$14</x:f>
        <x:v>50.53812512506375</x:v>
      </x:c>
    </x:row>
    <x:row r="42">
      <x:c r="A42" s="48" t="n">
        <x:f>Model_Data!A42</x:f>
        <x:v>-40</x:v>
      </x:c>
      <x:c r="B42" s="48" t="n">
        <x:f>Model_Data!F42</x:f>
        <x:v>1550.26257039885</x:v>
      </x:c>
      <x:c r="C42" s="48" t="n">
        <x:f>(((SQRT((Model_Data!A42)^2+Inputs!$C$6^2+((Model_Data!B42)-((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(0.45*SIN(2*PI()*(((Model_Data!A42)/Inputs!$C$49)+Inputs!$C$47*0.137))+0.35*COS(2*PI()*(((Inputs!$C$6)/Inputs!$C$50)+Inputs!$C$47*0.173))+0.20*SIN(2*PI()*(((Model_Data!A42)+(Inputs!$C$6))/(0.5*(Inputs!$C$49+Inputs!$C$50))+Inputs!$C$47*0.097)))+0.30*(2*((SIN(((Model_Data!A42)*12.9898+(Inputs!$C$6)*78.233+Inputs!$C$47*37.719))*43758.5453)-INT((SIN(((Model_Data!A42)*12.9898+(Inputs!$C$6)*78.233+Inputs!$C$47*37.719))*43758.5453)))-1))))/1000)^2))-(((Model_Data!B42)-((Inputs!$C$51*(115*EXP(-(((0)-25)^2)/(4.5^2))+70*EXP(-(((0)+38)^2)/(7^2))*(0.55+0.45*SIN(2*PI()*(Model_Data!A42)/45))+24*SIN(2*PI()*(0)/9+(Model_Data!A42)/18)*EXP(-(((0)+5)^2)/(22^2))+18*SIN(2*PI()*(Model_Data!A42)/70))+Inputs!$C$28*EXP(-(((Model_Data!A42)-Inputs!$C$29)^2)/(2*Inputs!$C$31^2))*EXP(-(((0)-Inputs!$C$30)^2)/(2*Inputs!$C$32^2))+-Inputs!$C$33*EXP(-(((((Model_Data!A42)-Inputs!$C$34)^2)+(((0)-Inputs!$C$35)^2))/(2*Inputs!$C$36^2)))+Inputs!$C$37*(0.55*SIN(2*PI()*(Model_Data!A42)/Inputs!$C$39)+0.35*COS(2*PI()*(0)/Inputs!$C$40)+0.2*SIN(2*PI()*((Model_Data!A42)+(0))/(0.5*(Inputs!$C$39+Inputs!$C$40))))+Inputs!$C$38*SIN(2*PI()*(Model_Data!A42)/Inputs!$C$39)*SIN(2*PI()*(0)/Inputs!$C$40)+-Inputs!$C$41*EXP(-(((0)-Inputs!$C$43)^2)/(2*Inputs!$C$44^2))*EXP(-(((Model_Data!A42)-Inputs!$C$42)^2)/(2*Inputs!$C$45^2))+Inputs!$C$48*(0.70*(0.45*SIN(2*PI()*(((Model_Data!A42)/Inputs!$C$49)+Inputs!$C$47*0.137))+0.35*COS(2*PI()*(((0)/Inputs!$C$50)+Inputs!$C$47*0.173))+0.20*SIN(2*PI()*(((Model_Data!A42)+(0))/(0.5*(Inputs!$C$49+Inputs!$C$50))+Inputs!$C$47*0.097)))+0.30*(2*((SIN(((Model_Data!A42)*12.9898+(0)*78.233+Inputs!$C$47*37.719))*43758.5453)-INT((SIN(((Model_Data!A42)*12.9898+(0)*78.233+Inputs!$C$47*37.719))*43758.5453)))-1))))/1000)))*1000/Inputs!$C$12)</x:f>
        <x:v>1422.426451180945</x:v>
      </x:c>
      <x:c r="D42" s="49"/>
      <x:c r="E42" s="48" t="n">
        <x:f>Model_Data!A42</x:f>
        <x:v>-40</x:v>
      </x:c>
      <x:c r="F42" s="48" t="n">
        <x:f>(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(0.45*SIN(2*PI()*(((Model_Data!A42)/Inputs!$C$49)+Inputs!$C$47*0.137))+0.35*COS(2*PI()*(((Inputs!$C$6)/Inputs!$C$50)+Inputs!$C$47*0.173))+0.20*SIN(2*PI()*(((Model_Data!A42)+(Inputs!$C$6))/(0.5*(Inputs!$C$49+Inputs!$C$50))+Inputs!$C$47*0.097)))+0.30*(2*((SIN(((Model_Data!A42)*12.9898+(Inputs!$C$6)*78.233+Inputs!$C$47*37.719))*43758.5453)-INT((SIN(((Model_Data!A42)*12.9898+(Inputs!$C$6)*78.233+Inputs!$C$47*37.719))*43758.5453)))-1)))</x:f>
        <x:v>197.66557297497732</x:v>
      </x:c>
      <x:c r="G42" s="48" t="n">
        <x:f>(Inputs!$C$51*(115*EXP(-(((0)-25)^2)/(4.5^2))+70*EXP(-(((0)+38)^2)/(7^2))*(0.55+0.45*SIN(2*PI()*(Model_Data!A42)/45))+24*SIN(2*PI()*(0)/9+(Model_Data!A42)/18)*EXP(-(((0)+5)^2)/(22^2))+18*SIN(2*PI()*(Model_Data!A42)/70))+Inputs!$C$28*EXP(-(((Model_Data!A42)-Inputs!$C$29)^2)/(2*Inputs!$C$31^2))*EXP(-(((0)-Inputs!$C$30)^2)/(2*Inputs!$C$32^2))+-Inputs!$C$33*EXP(-(((((Model_Data!A42)-Inputs!$C$34)^2)+(((0)-Inputs!$C$35)^2))/(2*Inputs!$C$36^2)))+Inputs!$C$37*(0.55*SIN(2*PI()*(Model_Data!A42)/Inputs!$C$39)+0.35*COS(2*PI()*(0)/Inputs!$C$40)+0.2*SIN(2*PI()*((Model_Data!A42)+(0))/(0.5*(Inputs!$C$39+Inputs!$C$40))))+Inputs!$C$38*SIN(2*PI()*(Model_Data!A42)/Inputs!$C$39)*SIN(2*PI()*(0)/Inputs!$C$40)+-Inputs!$C$41*EXP(-(((0)-Inputs!$C$43)^2)/(2*Inputs!$C$44^2))*EXP(-(((Model_Data!A42)-Inputs!$C$42)^2)/(2*Inputs!$C$45^2))+Inputs!$C$48*(0.70*(0.45*SIN(2*PI()*(((Model_Data!A42)/Inputs!$C$49)+Inputs!$C$47*0.137))+0.35*COS(2*PI()*(((0)/Inputs!$C$50)+Inputs!$C$47*0.173))+0.20*SIN(2*PI()*(((Model_Data!A42)+(0))/(0.5*(Inputs!$C$49+Inputs!$C$50))+Inputs!$C$47*0.097)))+0.30*(2*((SIN(((Model_Data!A42)*12.9898+(0)*78.233+Inputs!$C$47*37.719))*43758.5453)-INT((SIN(((Model_Data!A42)*12.9898+(0)*78.233+Inputs!$C$47*37.719))*43758.5453)))-1)))</x:f>
        <x:v>-31.231711064274894</x:v>
      </x:c>
      <x:c r="H42" s="49"/>
      <x:c r="I42" s="48" t="n">
        <x:f>Model_Data!A42</x:f>
        <x:v>-40</x:v>
      </x:c>
      <x:c r="J42" s="48" t="n">
        <x:f>((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(0.45*SIN(2*PI()*(((Model_Data!A42)/Inputs!$C$49)+Inputs!$C$47*0.137))+0.35*COS(2*PI()*(((Inputs!$C$6)/Inputs!$C$50)+Inputs!$C$47*0.173))+0.20*SIN(2*PI()*(((Model_Data!A42)+(Inputs!$C$6))/(0.5*(Inputs!$C$49+Inputs!$C$50))+Inputs!$C$47*0.097)))+0.30*(2*((SIN(((Model_Data!A42)*12.9898+(Inputs!$C$6)*78.233+Inputs!$C$47*37.719))*43758.5453)-INT((SIN(((Model_Data!A42)*12.9898+(Inputs!$C$6)*78.233+Inputs!$C$47*37.719))*43758.5453)))-1))))-((Inputs!$C$51*(115*EXP(-(((0)-25)^2)/(4.5^2))+70*EXP(-(((0)+38)^2)/(7^2))*(0.55+0.45*SIN(2*PI()*(Model_Data!A42)/45))+24*SIN(2*PI()*(0)/9+(Model_Data!A42)/18)*EXP(-(((0)+5)^2)/(22^2))+18*SIN(2*PI()*(Model_Data!A42)/70))+Inputs!$C$28*EXP(-(((Model_Data!A42)-Inputs!$C$29)^2)/(2*Inputs!$C$31^2))*EXP(-(((0)-Inputs!$C$30)^2)/(2*Inputs!$C$32^2))+-Inputs!$C$33*EXP(-(((((Model_Data!A42)-Inputs!$C$34)^2)+(((0)-Inputs!$C$35)^2))/(2*Inputs!$C$36^2)))+Inputs!$C$37*(0.55*SIN(2*PI()*(Model_Data!A42)/Inputs!$C$39)+0.35*COS(2*PI()*(0)/Inputs!$C$40)+0.2*SIN(2*PI()*((Model_Data!A42)+(0))/(0.5*(Inputs!$C$39+Inputs!$C$40))))+Inputs!$C$38*SIN(2*PI()*(Model_Data!A42)/Inputs!$C$39)*SIN(2*PI()*(0)/Inputs!$C$40)+-Inputs!$C$41*EXP(-(((0)-Inputs!$C$43)^2)/(2*Inputs!$C$44^2))*EXP(-(((Model_Data!A42)-Inputs!$C$42)^2)/(2*Inputs!$C$45^2))+Inputs!$C$48*(0.70*(0.45*SIN(2*PI()*(((Model_Data!A42)/Inputs!$C$49)+Inputs!$C$47*0.137))+0.35*COS(2*PI()*(((0)/Inputs!$C$50)+Inputs!$C$47*0.173))+0.20*SIN(2*PI()*(((Model_Data!A42)+(0))/(0.5*(Inputs!$C$49+Inputs!$C$50))+Inputs!$C$47*0.097)))+0.30*(2*((SIN(((Model_Data!A42)*12.9898+(0)*78.233+Inputs!$C$47*37.719))*43758.5453)-INT((SIN(((Model_Data!A42)*12.9898+(0)*78.233+Inputs!$C$47*37.719))*43758.5453)))-1))))</x:f>
        <x:v>228.8972840392522</x:v>
      </x:c>
      <x:c r="K42" s="48" t="n">
        <x:f>-((((SQRT((Model_Data!A42)^2+Inputs!$C$6^2+((Model_Data!B42)-((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(0.45*SIN(2*PI()*(((Model_Data!A42)/Inputs!$C$49)+Inputs!$C$47*0.137))+0.35*COS(2*PI()*(((Inputs!$C$6)/Inputs!$C$50)+Inputs!$C$47*0.173))+0.20*SIN(2*PI()*(((Model_Data!A42)+(Inputs!$C$6))/(0.5*(Inputs!$C$49+Inputs!$C$50))+Inputs!$C$47*0.097)))+0.30*(2*((SIN(((Model_Data!A42)*12.9898+(Inputs!$C$6)*78.233+Inputs!$C$47*37.719))*43758.5453)-INT((SIN(((Model_Data!A42)*12.9898+(Inputs!$C$6)*78.233+Inputs!$C$47*37.719))*43758.5453)))-1))))/1000)^2))-(((Model_Data!B42)-((Inputs!$C$51*(115*EXP(-(((0)-25)^2)/(4.5^2))+70*EXP(-(((0)+38)^2)/(7^2))*(0.55+0.45*SIN(2*PI()*(Model_Data!A42)/45))+24*SIN(2*PI()*(0)/9+(Model_Data!A42)/18)*EXP(-(((0)+5)^2)/(22^2))+18*SIN(2*PI()*(Model_Data!A42)/70))+Inputs!$C$28*EXP(-(((Model_Data!A42)-Inputs!$C$29)^2)/(2*Inputs!$C$31^2))*EXP(-(((0)-Inputs!$C$30)^2)/(2*Inputs!$C$32^2))+-Inputs!$C$33*EXP(-(((((Model_Data!A42)-Inputs!$C$34)^2)+(((0)-Inputs!$C$35)^2))/(2*Inputs!$C$36^2)))+Inputs!$C$37*(0.55*SIN(2*PI()*(Model_Data!A42)/Inputs!$C$39)+0.35*COS(2*PI()*(0)/Inputs!$C$40)+0.2*SIN(2*PI()*((Model_Data!A42)+(0))/(0.5*(Inputs!$C$39+Inputs!$C$40))))+Inputs!$C$38*SIN(2*PI()*(Model_Data!A42)/Inputs!$C$39)*SIN(2*PI()*(0)/Inputs!$C$40)+-Inputs!$C$41*EXP(-(((0)-Inputs!$C$43)^2)/(2*Inputs!$C$44^2))*EXP(-(((Model_Data!A42)-Inputs!$C$42)^2)/(2*Inputs!$C$45^2))+Inputs!$C$48*(0.70*(0.45*SIN(2*PI()*(((Model_Data!A42)/Inputs!$C$49)+Inputs!$C$47*0.137))+0.35*COS(2*PI()*(((0)/Inputs!$C$50)+Inputs!$C$47*0.173))+0.20*SIN(2*PI()*(((Model_Data!A42)+(0))/(0.5*(Inputs!$C$49+Inputs!$C$50))+Inputs!$C$47*0.097)))+0.30*(2*((SIN(((Model_Data!A42)*12.9898+(0)*78.233+Inputs!$C$47*37.719))*43758.5453)-INT((SIN(((Model_Data!A42)*12.9898+(0)*78.233+Inputs!$C$47*37.719))*43758.5453)))-1))))/1000)))*1000/Inputs!$C$12)-Model_Data!F42)</x:f>
        <x:v>127.83611921790498</x:v>
      </x:c>
      <x:c r="L42" s="49"/>
      <x:c r="M42" s="48" t="n">
        <x:f>Model_Data!A42</x:f>
        <x:v>-40</x:v>
      </x:c>
      <x:c r="N42" s="48" t="n">
        <x:f>Model_Data!P42</x:f>
        <x:v>299.4575403044</x:v>
      </x:c>
      <x:c r="O42" s="48" t="n">
        <x:f>AC42</x:f>
        <x:v>315.00254797001617</x:v>
      </x:c>
      <x:c r="P42" s="48" t="n">
        <x:f>Model_Data!Q42</x:f>
        <x:v>44.96359464030031</x:v>
      </x:c>
      <x:c r="Q42" s="48" t="n">
        <x:f>AD42</x:f>
        <x:v>47.29767987537781</x:v>
      </x:c>
      <x:c r="R42" s="49"/>
      <x:c r="S42" s="48" t="n">
        <x:f>Model_Data!A42</x:f>
        <x:v>-40</x:v>
      </x:c>
      <x:c r="T42" s="48" t="n">
        <x:f>Model_Data!B42-Inputs!$C$5</x:f>
        <x:v>1.7777777777777715</x:v>
      </x:c>
      <x:c r="U42" s="49"/>
      <x:c r="V42" s="48" t="n">
        <x:f>Model_Data!A42</x:f>
        <x:v>-40</x:v>
      </x:c>
      <x:c r="W42" s="48" t="n">
        <x:f>(-((((SQRT((Model_Data!A42)^2+Inputs!$C$6^2+((Model_Data!B42)-((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(0.45*SIN(2*PI()*(((Model_Data!A42)/Inputs!$C$49)+Inputs!$C$47*0.137))+0.35*COS(2*PI()*(((Inputs!$C$6)/Inputs!$C$50)+Inputs!$C$47*0.173))+0.20*SIN(2*PI()*(((Model_Data!A42)+(Inputs!$C$6))/(0.5*(Inputs!$C$49+Inputs!$C$50))+Inputs!$C$47*0.097)))+0.30*(2*((SIN(((Model_Data!A42)*12.9898+(Inputs!$C$6)*78.233+Inputs!$C$47*37.719))*43758.5453)-INT((SIN(((Model_Data!A42)*12.9898+(Inputs!$C$6)*78.233+Inputs!$C$47*37.719))*43758.5453)))-1))))/1000)^2))-(((Model_Data!B42)-((Inputs!$C$51*(115*EXP(-(((0)-25)^2)/(4.5^2))+70*EXP(-(((0)+38)^2)/(7^2))*(0.55+0.45*SIN(2*PI()*(Model_Data!A42)/45))+24*SIN(2*PI()*(0)/9+(Model_Data!A42)/18)*EXP(-(((0)+5)^2)/(22^2))+18*SIN(2*PI()*(Model_Data!A42)/70))+Inputs!$C$28*EXP(-(((Model_Data!A42)-Inputs!$C$29)^2)/(2*Inputs!$C$31^2))*EXP(-(((0)-Inputs!$C$30)^2)/(2*Inputs!$C$32^2))+-Inputs!$C$33*EXP(-(((((Model_Data!A42)-Inputs!$C$34)^2)+(((0)-Inputs!$C$35)^2))/(2*Inputs!$C$36^2)))+Inputs!$C$37*(0.55*SIN(2*PI()*(Model_Data!A42)/Inputs!$C$39)+0.35*COS(2*PI()*(0)/Inputs!$C$40)+0.2*SIN(2*PI()*((Model_Data!A42)+(0))/(0.5*(Inputs!$C$39+Inputs!$C$40))))+Inputs!$C$38*SIN(2*PI()*(Model_Data!A42)/Inputs!$C$39)*SIN(2*PI()*(0)/Inputs!$C$40)+-Inputs!$C$41*EXP(-(((0)-Inputs!$C$43)^2)/(2*Inputs!$C$44^2))*EXP(-(((Model_Data!A42)-Inputs!$C$42)^2)/(2*Inputs!$C$45^2))+Inputs!$C$48*(0.70*(0.45*SIN(2*PI()*(((Model_Data!A42)/Inputs!$C$49)+Inputs!$C$47*0.137))+0.35*COS(2*PI()*(((0)/Inputs!$C$50)+Inputs!$C$47*0.173))+0.20*SIN(2*PI()*(((Model_Data!A42)+(0))/(0.5*(Inputs!$C$49+Inputs!$C$50))+Inputs!$C$47*0.097)))+0.30*(2*((SIN(((Model_Data!A42)*12.9898+(0)*78.233+Inputs!$C$47*37.719))*43758.5453)-INT((SIN(((Model_Data!A42)*12.9898+(0)*78.233+Inputs!$C$47*37.719))*43758.5453)))-1))))/1000)))*1000/Inputs!$C$12)-Model_Data!F42))-(-(((SQRT((Model_Data!A42)^2+Inputs!$C$6^2+(Inputs!$C$5-((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(0.45*SIN(2*PI()*(((Model_Data!A42)/Inputs!$C$49)+Inputs!$C$47*0.137))+0.35*COS(2*PI()*(((Inputs!$C$6)/Inputs!$C$50)+Inputs!$C$47*0.173))+0.20*SIN(2*PI()*(((Model_Data!A42)+(Inputs!$C$6))/(0.5*(Inputs!$C$49+Inputs!$C$50))+Inputs!$C$47*0.097)))+0.30*(2*((SIN(((Model_Data!A42)*12.9898+(Inputs!$C$6)*78.233+Inputs!$C$47*37.719))*43758.5453)-INT((SIN(((Model_Data!A42)*12.9898+(Inputs!$C$6)*78.233+Inputs!$C$47*37.719))*43758.5453)))-1))))/1000)^2)-(Inputs!$C$5-((Inputs!$C$51*(115*EXP(-(((0)-25)^2)/(4.5^2))+70*EXP(-(((0)+38)^2)/(7^2))*(0.55+0.45*SIN(2*PI()*(Model_Data!A42)/45))+24*SIN(2*PI()*(0)/9+(Model_Data!A42)/18)*EXP(-(((0)+5)^2)/(22^2))+18*SIN(2*PI()*(Model_Data!A42)/70))+Inputs!$C$28*EXP(-(((Model_Data!A42)-Inputs!$C$29)^2)/(2*Inputs!$C$31^2))*EXP(-(((0)-Inputs!$C$30)^2)/(2*Inputs!$C$32^2))+-Inputs!$C$33*EXP(-(((((Model_Data!A42)-Inputs!$C$34)^2)+(((0)-Inputs!$C$35)^2))/(2*Inputs!$C$36^2)))+Inputs!$C$37*(0.55*SIN(2*PI()*(Model_Data!A42)/Inputs!$C$39)+0.35*COS(2*PI()*(0)/Inputs!$C$40)+0.2*SIN(2*PI()*((Model_Data!A42)+(0))/(0.5*(Inputs!$C$39+Inputs!$C$40))))+Inputs!$C$38*SIN(2*PI()*(Model_Data!A42)/Inputs!$C$39)*SIN(2*PI()*(0)/Inputs!$C$40)+-Inputs!$C$41*EXP(-(((0)-Inputs!$C$43)^2)/(2*Inputs!$C$44^2))*EXP(-(((Model_Data!A42)-Inputs!$C$42)^2)/(2*Inputs!$C$45^2))+Inputs!$C$48*(0.70*(0.45*SIN(2*PI()*(((Model_Data!A42)/Inputs!$C$49)+Inputs!$C$47*0.137))+0.35*COS(2*PI()*(((0)/Inputs!$C$50)+Inputs!$C$47*0.173))+0.20*SIN(2*PI()*(((Model_Data!A42)+(0))/(0.5*(Inputs!$C$49+Inputs!$C$50))+Inputs!$C$47*0.097)))+0.30*(2*((SIN(((Model_Data!A42)*12.9898+(0)*78.233+Inputs!$C$47*37.719))*43758.5453)-INT((SIN(((Model_Data!A42)*12.9898+(0)*78.233+Inputs!$C$47*37.719))*43758.5453)))-1))))/1000))*1000/Inputs!$C$12)-((SQRT((Model_Data!A42)^2+Inputs!$C$6^2+Inputs!$C$5^2)-Inputs!$C$5)*1000/Inputs!$C$12)))</x:f>
        <x:v>0.006683599116286132</x:v>
      </x:c>
      <x:c r="X42" s="48" t="n">
        <x:f>0</x:f>
        <x:v>0</x:v>
      </x:c>
      <x:c r="Y42" s="49"/>
      <x:c r="Z42" s="48" t="n">
        <x:f>Model_Data!A42</x:f>
        <x:v>-40</x:v>
      </x:c>
      <x:c r="AA42" s="48" t="n">
        <x:f>SQRT((Model_Data!A42)^2+Inputs!$C$6^2+((Model_Data!B42)-((Inputs!$C$51*(115*EXP(-(((Inputs!$C$6)-25)^2)/(4.5^2))+70*EXP(-(((Inputs!$C$6)+38)^2)/(7^2))*(0.55+0.45*SIN(2*PI()*(Model_Data!A42)/45))+24*SIN(2*PI()*(Inputs!$C$6)/9+(Model_Data!A42)/18)*EXP(-(((Inputs!$C$6)+5)^2)/(22^2))+18*SIN(2*PI()*(Model_Data!A42)/70))+Inputs!$C$28*EXP(-(((Model_Data!A42)-Inputs!$C$29)^2)/(2*Inputs!$C$31^2))*EXP(-(((Inputs!$C$6)-Inputs!$C$30)^2)/(2*Inputs!$C$32^2))+-Inputs!$C$33*EXP(-(((((Model_Data!A42)-Inputs!$C$34)^2)+(((Inputs!$C$6)-Inputs!$C$35)^2))/(2*Inputs!$C$36^2)))+Inputs!$C$37*(0.55*SIN(2*PI()*(Model_Data!A42)/Inputs!$C$39)+0.35*COS(2*PI()*(Inputs!$C$6)/Inputs!$C$40)+0.2*SIN(2*PI()*((Model_Data!A42)+(Inputs!$C$6))/(0.5*(Inputs!$C$39+Inputs!$C$40))))+Inputs!$C$38*SIN(2*PI()*(Model_Data!A42)/Inputs!$C$39)*SIN(2*PI()*(Inputs!$C$6)/Inputs!$C$40)+-Inputs!$C$41*EXP(-(((Inputs!$C$6)-Inputs!$C$43)^2)/(2*Inputs!$C$44^2))*EXP(-(((Model_Data!A42)-Inputs!$C$42)^2)/(2*Inputs!$C$45^2))+Inputs!$C$48*(0.70*(0.45*SIN(2*PI()*(((Model_Data!A42)/Inputs!$C$49)+Inputs!$C$47*0.137))+0.35*COS(2*PI()*(((Inputs!$C$6)/Inputs!$C$50)+Inputs!$C$47*0.173))+0.20*SIN(2*PI()*(((Model_Data!A42)+(Inputs!$C$6))/(0.5*(Inputs!$C$49+Inputs!$C$50))+Inputs!$C$47*0.097)))+0.30*(2*((SIN(((Model_Data!A42)*12.9898+(Inputs!$C$6)*78.233+Inputs!$C$47*37.719))*43758.5453)-INT((SIN(((Model_Data!A42)*12.9898+(Inputs!$C$6)*78.233+Inputs!$C$47*37.719))*43758.5453)))-1))))/1000)^2)</x:f>
        <x:v>404.3409285719441</x:v>
      </x:c>
      <x:c r="AB42" s="48" t="n">
        <x:f>1000*(AA43-AA41)/(Z43-Z41)*Inputs!$C$11</x:f>
        <x:v>-787.5063699250404</x:v>
      </x:c>
      <x:c r="AC42" s="48" t="n">
        <x:f>-2*AB42/Inputs!$C$13</x:f>
        <x:v>315.00254797001617</x:v>
      </x:c>
      <x:c r="AD42" s="48" t="n">
        <x:f>-2*AB42/Inputs!$C$14</x:f>
        <x:v>47.29767987537781</x:v>
      </x:c>
    </x:row>
    <x:row r="43">
      <x:c r="A43" s="48" t="n">
        <x:f>Model_Data!A43</x:f>
        <x:v>-39.5</x:v>
      </x:c>
      <x:c r="B43" s="48" t="n">
        <x:f>Model_Data!F43</x:f>
        <x:v>1522.82593189579</x:v>
      </x:c>
      <x:c r="C43" s="48" t="n">
        <x:f>(((SQRT((Model_Data!A43)^2+Inputs!$C$6^2+((Model_Data!B43)-((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(0.45*SIN(2*PI()*(((Model_Data!A43)/Inputs!$C$49)+Inputs!$C$47*0.137))+0.35*COS(2*PI()*(((Inputs!$C$6)/Inputs!$C$50)+Inputs!$C$47*0.173))+0.20*SIN(2*PI()*(((Model_Data!A43)+(Inputs!$C$6))/(0.5*(Inputs!$C$49+Inputs!$C$50))+Inputs!$C$47*0.097)))+0.30*(2*((SIN(((Model_Data!A43)*12.9898+(Inputs!$C$6)*78.233+Inputs!$C$47*37.719))*43758.5453)-INT((SIN(((Model_Data!A43)*12.9898+(Inputs!$C$6)*78.233+Inputs!$C$47*37.719))*43758.5453)))-1))))/1000)^2))-(((Model_Data!B43)-((Inputs!$C$51*(115*EXP(-(((0)-25)^2)/(4.5^2))+70*EXP(-(((0)+38)^2)/(7^2))*(0.55+0.45*SIN(2*PI()*(Model_Data!A43)/45))+24*SIN(2*PI()*(0)/9+(Model_Data!A43)/18)*EXP(-(((0)+5)^2)/(22^2))+18*SIN(2*PI()*(Model_Data!A43)/70))+Inputs!$C$28*EXP(-(((Model_Data!A43)-Inputs!$C$29)^2)/(2*Inputs!$C$31^2))*EXP(-(((0)-Inputs!$C$30)^2)/(2*Inputs!$C$32^2))+-Inputs!$C$33*EXP(-(((((Model_Data!A43)-Inputs!$C$34)^2)+(((0)-Inputs!$C$35)^2))/(2*Inputs!$C$36^2)))+Inputs!$C$37*(0.55*SIN(2*PI()*(Model_Data!A43)/Inputs!$C$39)+0.35*COS(2*PI()*(0)/Inputs!$C$40)+0.2*SIN(2*PI()*((Model_Data!A43)+(0))/(0.5*(Inputs!$C$39+Inputs!$C$40))))+Inputs!$C$38*SIN(2*PI()*(Model_Data!A43)/Inputs!$C$39)*SIN(2*PI()*(0)/Inputs!$C$40)+-Inputs!$C$41*EXP(-(((0)-Inputs!$C$43)^2)/(2*Inputs!$C$44^2))*EXP(-(((Model_Data!A43)-Inputs!$C$42)^2)/(2*Inputs!$C$45^2))+Inputs!$C$48*(0.70*(0.45*SIN(2*PI()*(((Model_Data!A43)/Inputs!$C$49)+Inputs!$C$47*0.137))+0.35*COS(2*PI()*(((0)/Inputs!$C$50)+Inputs!$C$47*0.173))+0.20*SIN(2*PI()*(((Model_Data!A43)+(0))/(0.5*(Inputs!$C$49+Inputs!$C$50))+Inputs!$C$47*0.097)))+0.30*(2*((SIN(((Model_Data!A43)*12.9898+(0)*78.233+Inputs!$C$47*37.719))*43758.5453)-INT((SIN(((Model_Data!A43)*12.9898+(0)*78.233+Inputs!$C$47*37.719))*43758.5453)))-1))))/1000)))*1000/Inputs!$C$12)</x:f>
        <x:v>1391.9971290898168</x:v>
      </x:c>
      <x:c r="D43" s="49"/>
      <x:c r="E43" s="48" t="n">
        <x:f>Model_Data!A43</x:f>
        <x:v>-39.5</x:v>
      </x:c>
      <x:c r="F43" s="48" t="n">
        <x:f>(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(0.45*SIN(2*PI()*(((Model_Data!A43)/Inputs!$C$49)+Inputs!$C$47*0.137))+0.35*COS(2*PI()*(((Inputs!$C$6)/Inputs!$C$50)+Inputs!$C$47*0.173))+0.20*SIN(2*PI()*(((Model_Data!A43)+(Inputs!$C$6))/(0.5*(Inputs!$C$49+Inputs!$C$50))+Inputs!$C$47*0.097)))+0.30*(2*((SIN(((Model_Data!A43)*12.9898+(Inputs!$C$6)*78.233+Inputs!$C$47*37.719))*43758.5453)-INT((SIN(((Model_Data!A43)*12.9898+(Inputs!$C$6)*78.233+Inputs!$C$47*37.719))*43758.5453)))-1)))</x:f>
        <x:v>200.98178735327417</x:v>
      </x:c>
      <x:c r="G43" s="48" t="n">
        <x:f>(Inputs!$C$51*(115*EXP(-(((0)-25)^2)/(4.5^2))+70*EXP(-(((0)+38)^2)/(7^2))*(0.55+0.45*SIN(2*PI()*(Model_Data!A43)/45))+24*SIN(2*PI()*(0)/9+(Model_Data!A43)/18)*EXP(-(((0)+5)^2)/(22^2))+18*SIN(2*PI()*(Model_Data!A43)/70))+Inputs!$C$28*EXP(-(((Model_Data!A43)-Inputs!$C$29)^2)/(2*Inputs!$C$31^2))*EXP(-(((0)-Inputs!$C$30)^2)/(2*Inputs!$C$32^2))+-Inputs!$C$33*EXP(-(((((Model_Data!A43)-Inputs!$C$34)^2)+(((0)-Inputs!$C$35)^2))/(2*Inputs!$C$36^2)))+Inputs!$C$37*(0.55*SIN(2*PI()*(Model_Data!A43)/Inputs!$C$39)+0.35*COS(2*PI()*(0)/Inputs!$C$40)+0.2*SIN(2*PI()*((Model_Data!A43)+(0))/(0.5*(Inputs!$C$39+Inputs!$C$40))))+Inputs!$C$38*SIN(2*PI()*(Model_Data!A43)/Inputs!$C$39)*SIN(2*PI()*(0)/Inputs!$C$40)+-Inputs!$C$41*EXP(-(((0)-Inputs!$C$43)^2)/(2*Inputs!$C$44^2))*EXP(-(((Model_Data!A43)-Inputs!$C$42)^2)/(2*Inputs!$C$45^2))+Inputs!$C$48*(0.70*(0.45*SIN(2*PI()*(((Model_Data!A43)/Inputs!$C$49)+Inputs!$C$47*0.137))+0.35*COS(2*PI()*(((0)/Inputs!$C$50)+Inputs!$C$47*0.173))+0.20*SIN(2*PI()*(((Model_Data!A43)+(0))/(0.5*(Inputs!$C$49+Inputs!$C$50))+Inputs!$C$47*0.097)))+0.30*(2*((SIN(((Model_Data!A43)*12.9898+(0)*78.233+Inputs!$C$47*37.719))*43758.5453)-INT((SIN(((Model_Data!A43)*12.9898+(0)*78.233+Inputs!$C$47*37.719))*43758.5453)))-1)))</x:f>
        <x:v>-33.241151326098546</x:v>
      </x:c>
      <x:c r="H43" s="49"/>
      <x:c r="I43" s="48" t="n">
        <x:f>Model_Data!A43</x:f>
        <x:v>-39.5</x:v>
      </x:c>
      <x:c r="J43" s="48" t="n">
        <x:f>((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(0.45*SIN(2*PI()*(((Model_Data!A43)/Inputs!$C$49)+Inputs!$C$47*0.137))+0.35*COS(2*PI()*(((Inputs!$C$6)/Inputs!$C$50)+Inputs!$C$47*0.173))+0.20*SIN(2*PI()*(((Model_Data!A43)+(Inputs!$C$6))/(0.5*(Inputs!$C$49+Inputs!$C$50))+Inputs!$C$47*0.097)))+0.30*(2*((SIN(((Model_Data!A43)*12.9898+(Inputs!$C$6)*78.233+Inputs!$C$47*37.719))*43758.5453)-INT((SIN(((Model_Data!A43)*12.9898+(Inputs!$C$6)*78.233+Inputs!$C$47*37.719))*43758.5453)))-1))))-((Inputs!$C$51*(115*EXP(-(((0)-25)^2)/(4.5^2))+70*EXP(-(((0)+38)^2)/(7^2))*(0.55+0.45*SIN(2*PI()*(Model_Data!A43)/45))+24*SIN(2*PI()*(0)/9+(Model_Data!A43)/18)*EXP(-(((0)+5)^2)/(22^2))+18*SIN(2*PI()*(Model_Data!A43)/70))+Inputs!$C$28*EXP(-(((Model_Data!A43)-Inputs!$C$29)^2)/(2*Inputs!$C$31^2))*EXP(-(((0)-Inputs!$C$30)^2)/(2*Inputs!$C$32^2))+-Inputs!$C$33*EXP(-(((((Model_Data!A43)-Inputs!$C$34)^2)+(((0)-Inputs!$C$35)^2))/(2*Inputs!$C$36^2)))+Inputs!$C$37*(0.55*SIN(2*PI()*(Model_Data!A43)/Inputs!$C$39)+0.35*COS(2*PI()*(0)/Inputs!$C$40)+0.2*SIN(2*PI()*((Model_Data!A43)+(0))/(0.5*(Inputs!$C$39+Inputs!$C$40))))+Inputs!$C$38*SIN(2*PI()*(Model_Data!A43)/Inputs!$C$39)*SIN(2*PI()*(0)/Inputs!$C$40)+-Inputs!$C$41*EXP(-(((0)-Inputs!$C$43)^2)/(2*Inputs!$C$44^2))*EXP(-(((Model_Data!A43)-Inputs!$C$42)^2)/(2*Inputs!$C$45^2))+Inputs!$C$48*(0.70*(0.45*SIN(2*PI()*(((Model_Data!A43)/Inputs!$C$49)+Inputs!$C$47*0.137))+0.35*COS(2*PI()*(((0)/Inputs!$C$50)+Inputs!$C$47*0.173))+0.20*SIN(2*PI()*(((Model_Data!A43)+(0))/(0.5*(Inputs!$C$49+Inputs!$C$50))+Inputs!$C$47*0.097)))+0.30*(2*((SIN(((Model_Data!A43)*12.9898+(0)*78.233+Inputs!$C$47*37.719))*43758.5453)-INT((SIN(((Model_Data!A43)*12.9898+(0)*78.233+Inputs!$C$47*37.719))*43758.5453)))-1))))</x:f>
        <x:v>234.2229386793727</x:v>
      </x:c>
      <x:c r="K43" s="48" t="n">
        <x:f>-((((SQRT((Model_Data!A43)^2+Inputs!$C$6^2+((Model_Data!B43)-((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(0.45*SIN(2*PI()*(((Model_Data!A43)/Inputs!$C$49)+Inputs!$C$47*0.137))+0.35*COS(2*PI()*(((Inputs!$C$6)/Inputs!$C$50)+Inputs!$C$47*0.173))+0.20*SIN(2*PI()*(((Model_Data!A43)+(Inputs!$C$6))/(0.5*(Inputs!$C$49+Inputs!$C$50))+Inputs!$C$47*0.097)))+0.30*(2*((SIN(((Model_Data!A43)*12.9898+(Inputs!$C$6)*78.233+Inputs!$C$47*37.719))*43758.5453)-INT((SIN(((Model_Data!A43)*12.9898+(Inputs!$C$6)*78.233+Inputs!$C$47*37.719))*43758.5453)))-1))))/1000)^2))-(((Model_Data!B43)-((Inputs!$C$51*(115*EXP(-(((0)-25)^2)/(4.5^2))+70*EXP(-(((0)+38)^2)/(7^2))*(0.55+0.45*SIN(2*PI()*(Model_Data!A43)/45))+24*SIN(2*PI()*(0)/9+(Model_Data!A43)/18)*EXP(-(((0)+5)^2)/(22^2))+18*SIN(2*PI()*(Model_Data!A43)/70))+Inputs!$C$28*EXP(-(((Model_Data!A43)-Inputs!$C$29)^2)/(2*Inputs!$C$31^2))*EXP(-(((0)-Inputs!$C$30)^2)/(2*Inputs!$C$32^2))+-Inputs!$C$33*EXP(-(((((Model_Data!A43)-Inputs!$C$34)^2)+(((0)-Inputs!$C$35)^2))/(2*Inputs!$C$36^2)))+Inputs!$C$37*(0.55*SIN(2*PI()*(Model_Data!A43)/Inputs!$C$39)+0.35*COS(2*PI()*(0)/Inputs!$C$40)+0.2*SIN(2*PI()*((Model_Data!A43)+(0))/(0.5*(Inputs!$C$39+Inputs!$C$40))))+Inputs!$C$38*SIN(2*PI()*(Model_Data!A43)/Inputs!$C$39)*SIN(2*PI()*(0)/Inputs!$C$40)+-Inputs!$C$41*EXP(-(((0)-Inputs!$C$43)^2)/(2*Inputs!$C$44^2))*EXP(-(((Model_Data!A43)-Inputs!$C$42)^2)/(2*Inputs!$C$45^2))+Inputs!$C$48*(0.70*(0.45*SIN(2*PI()*(((Model_Data!A43)/Inputs!$C$49)+Inputs!$C$47*0.137))+0.35*COS(2*PI()*(((0)/Inputs!$C$50)+Inputs!$C$47*0.173))+0.20*SIN(2*PI()*(((Model_Data!A43)+(0))/(0.5*(Inputs!$C$49+Inputs!$C$50))+Inputs!$C$47*0.097)))+0.30*(2*((SIN(((Model_Data!A43)*12.9898+(0)*78.233+Inputs!$C$47*37.719))*43758.5453)-INT((SIN(((Model_Data!A43)*12.9898+(0)*78.233+Inputs!$C$47*37.719))*43758.5453)))-1))))/1000)))*1000/Inputs!$C$12)-Model_Data!F43)</x:f>
        <x:v>130.82880280597328</x:v>
      </x:c>
      <x:c r="L43" s="49"/>
      <x:c r="M43" s="48" t="n">
        <x:f>Model_Data!A43</x:f>
        <x:v>-39.5</x:v>
      </x:c>
      <x:c r="N43" s="48" t="n">
        <x:f>Model_Data!P43</x:f>
        <x:v>295.766984965765</x:v>
      </x:c>
      <x:c r="O43" s="48" t="n">
        <x:f>AC43</x:f>
        <x:v>274.9858187979953</x:v>
      </x:c>
      <x:c r="P43" s="48" t="n">
        <x:f>Model_Data!Q43</x:f>
        <x:v>44.40945720206682</x:v>
      </x:c>
      <x:c r="Q43" s="48" t="n">
        <x:f>AD43</x:f>
        <x:v>41.289161981680984</x:v>
      </x:c>
      <x:c r="R43" s="49"/>
      <x:c r="S43" s="48" t="n">
        <x:f>Model_Data!A43</x:f>
        <x:v>-39.5</x:v>
      </x:c>
      <x:c r="T43" s="48" t="n">
        <x:f>Model_Data!B43-Inputs!$C$5</x:f>
        <x:v>1.7336111111110881</x:v>
      </x:c>
      <x:c r="U43" s="49"/>
      <x:c r="V43" s="48" t="n">
        <x:f>Model_Data!A43</x:f>
        <x:v>-39.5</x:v>
      </x:c>
      <x:c r="W43" s="48" t="n">
        <x:f>(-((((SQRT((Model_Data!A43)^2+Inputs!$C$6^2+((Model_Data!B43)-((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(0.45*SIN(2*PI()*(((Model_Data!A43)/Inputs!$C$49)+Inputs!$C$47*0.137))+0.35*COS(2*PI()*(((Inputs!$C$6)/Inputs!$C$50)+Inputs!$C$47*0.173))+0.20*SIN(2*PI()*(((Model_Data!A43)+(Inputs!$C$6))/(0.5*(Inputs!$C$49+Inputs!$C$50))+Inputs!$C$47*0.097)))+0.30*(2*((SIN(((Model_Data!A43)*12.9898+(Inputs!$C$6)*78.233+Inputs!$C$47*37.719))*43758.5453)-INT((SIN(((Model_Data!A43)*12.9898+(Inputs!$C$6)*78.233+Inputs!$C$47*37.719))*43758.5453)))-1))))/1000)^2))-(((Model_Data!B43)-((Inputs!$C$51*(115*EXP(-(((0)-25)^2)/(4.5^2))+70*EXP(-(((0)+38)^2)/(7^2))*(0.55+0.45*SIN(2*PI()*(Model_Data!A43)/45))+24*SIN(2*PI()*(0)/9+(Model_Data!A43)/18)*EXP(-(((0)+5)^2)/(22^2))+18*SIN(2*PI()*(Model_Data!A43)/70))+Inputs!$C$28*EXP(-(((Model_Data!A43)-Inputs!$C$29)^2)/(2*Inputs!$C$31^2))*EXP(-(((0)-Inputs!$C$30)^2)/(2*Inputs!$C$32^2))+-Inputs!$C$33*EXP(-(((((Model_Data!A43)-Inputs!$C$34)^2)+(((0)-Inputs!$C$35)^2))/(2*Inputs!$C$36^2)))+Inputs!$C$37*(0.55*SIN(2*PI()*(Model_Data!A43)/Inputs!$C$39)+0.35*COS(2*PI()*(0)/Inputs!$C$40)+0.2*SIN(2*PI()*((Model_Data!A43)+(0))/(0.5*(Inputs!$C$39+Inputs!$C$40))))+Inputs!$C$38*SIN(2*PI()*(Model_Data!A43)/Inputs!$C$39)*SIN(2*PI()*(0)/Inputs!$C$40)+-Inputs!$C$41*EXP(-(((0)-Inputs!$C$43)^2)/(2*Inputs!$C$44^2))*EXP(-(((Model_Data!A43)-Inputs!$C$42)^2)/(2*Inputs!$C$45^2))+Inputs!$C$48*(0.70*(0.45*SIN(2*PI()*(((Model_Data!A43)/Inputs!$C$49)+Inputs!$C$47*0.137))+0.35*COS(2*PI()*(((0)/Inputs!$C$50)+Inputs!$C$47*0.173))+0.20*SIN(2*PI()*(((Model_Data!A43)+(0))/(0.5*(Inputs!$C$49+Inputs!$C$50))+Inputs!$C$47*0.097)))+0.30*(2*((SIN(((Model_Data!A43)*12.9898+(0)*78.233+Inputs!$C$47*37.719))*43758.5453)-INT((SIN(((Model_Data!A43)*12.9898+(0)*78.233+Inputs!$C$47*37.719))*43758.5453)))-1))))/1000)))*1000/Inputs!$C$12)-Model_Data!F43))-(-(((SQRT((Model_Data!A43)^2+Inputs!$C$6^2+(Inputs!$C$5-((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(0.45*SIN(2*PI()*(((Model_Data!A43)/Inputs!$C$49)+Inputs!$C$47*0.137))+0.35*COS(2*PI()*(((Inputs!$C$6)/Inputs!$C$50)+Inputs!$C$47*0.173))+0.20*SIN(2*PI()*(((Model_Data!A43)+(Inputs!$C$6))/(0.5*(Inputs!$C$49+Inputs!$C$50))+Inputs!$C$47*0.097)))+0.30*(2*((SIN(((Model_Data!A43)*12.9898+(Inputs!$C$6)*78.233+Inputs!$C$47*37.719))*43758.5453)-INT((SIN(((Model_Data!A43)*12.9898+(Inputs!$C$6)*78.233+Inputs!$C$47*37.719))*43758.5453)))-1))))/1000)^2)-(Inputs!$C$5-((Inputs!$C$51*(115*EXP(-(((0)-25)^2)/(4.5^2))+70*EXP(-(((0)+38)^2)/(7^2))*(0.55+0.45*SIN(2*PI()*(Model_Data!A43)/45))+24*SIN(2*PI()*(0)/9+(Model_Data!A43)/18)*EXP(-(((0)+5)^2)/(22^2))+18*SIN(2*PI()*(Model_Data!A43)/70))+Inputs!$C$28*EXP(-(((Model_Data!A43)-Inputs!$C$29)^2)/(2*Inputs!$C$31^2))*EXP(-(((0)-Inputs!$C$30)^2)/(2*Inputs!$C$32^2))+-Inputs!$C$33*EXP(-(((((Model_Data!A43)-Inputs!$C$34)^2)+(((0)-Inputs!$C$35)^2))/(2*Inputs!$C$36^2)))+Inputs!$C$37*(0.55*SIN(2*PI()*(Model_Data!A43)/Inputs!$C$39)+0.35*COS(2*PI()*(0)/Inputs!$C$40)+0.2*SIN(2*PI()*((Model_Data!A43)+(0))/(0.5*(Inputs!$C$39+Inputs!$C$40))))+Inputs!$C$38*SIN(2*PI()*(Model_Data!A43)/Inputs!$C$39)*SIN(2*PI()*(0)/Inputs!$C$40)+-Inputs!$C$41*EXP(-(((0)-Inputs!$C$43)^2)/(2*Inputs!$C$44^2))*EXP(-(((Model_Data!A43)-Inputs!$C$42)^2)/(2*Inputs!$C$45^2))+Inputs!$C$48*(0.70*(0.45*SIN(2*PI()*(((Model_Data!A43)/Inputs!$C$49)+Inputs!$C$47*0.137))+0.35*COS(2*PI()*(((0)/Inputs!$C$50)+Inputs!$C$47*0.173))+0.20*SIN(2*PI()*(((Model_Data!A43)+(0))/(0.5*(Inputs!$C$49+Inputs!$C$50))+Inputs!$C$47*0.097)))+0.30*(2*((SIN(((Model_Data!A43)*12.9898+(0)*78.233+Inputs!$C$47*37.719))*43758.5453)-INT((SIN(((Model_Data!A43)*12.9898+(0)*78.233+Inputs!$C$47*37.719))*43758.5453)))-1))))/1000))*1000/Inputs!$C$12)-((SQRT((Model_Data!A43)^2+Inputs!$C$6^2+Inputs!$C$5^2)-Inputs!$C$5)*1000/Inputs!$C$12)))</x:f>
        <x:v>0.006512029391615215</x:v>
      </x:c>
      <x:c r="X43" s="48" t="n">
        <x:f>0</x:f>
        <x:v>0</x:v>
      </x:c>
      <x:c r="Y43" s="49"/>
      <x:c r="Z43" s="48" t="n">
        <x:f>Model_Data!A43</x:f>
        <x:v>-39.5</x:v>
      </x:c>
      <x:c r="AA43" s="48" t="n">
        <x:f>SQRT((Model_Data!A43)^2+Inputs!$C$6^2+((Model_Data!B43)-((Inputs!$C$51*(115*EXP(-(((Inputs!$C$6)-25)^2)/(4.5^2))+70*EXP(-(((Inputs!$C$6)+38)^2)/(7^2))*(0.55+0.45*SIN(2*PI()*(Model_Data!A43)/45))+24*SIN(2*PI()*(Inputs!$C$6)/9+(Model_Data!A43)/18)*EXP(-(((Inputs!$C$6)+5)^2)/(22^2))+18*SIN(2*PI()*(Model_Data!A43)/70))+Inputs!$C$28*EXP(-(((Model_Data!A43)-Inputs!$C$29)^2)/(2*Inputs!$C$31^2))*EXP(-(((Inputs!$C$6)-Inputs!$C$30)^2)/(2*Inputs!$C$32^2))+-Inputs!$C$33*EXP(-(((((Model_Data!A43)-Inputs!$C$34)^2)+(((Inputs!$C$6)-Inputs!$C$35)^2))/(2*Inputs!$C$36^2)))+Inputs!$C$37*(0.55*SIN(2*PI()*(Model_Data!A43)/Inputs!$C$39)+0.35*COS(2*PI()*(Inputs!$C$6)/Inputs!$C$40)+0.2*SIN(2*PI()*((Model_Data!A43)+(Inputs!$C$6))/(0.5*(Inputs!$C$39+Inputs!$C$40))))+Inputs!$C$38*SIN(2*PI()*(Model_Data!A43)/Inputs!$C$39)*SIN(2*PI()*(Inputs!$C$6)/Inputs!$C$40)+-Inputs!$C$41*EXP(-(((Inputs!$C$6)-Inputs!$C$43)^2)/(2*Inputs!$C$44^2))*EXP(-(((Model_Data!A43)-Inputs!$C$42)^2)/(2*Inputs!$C$45^2))+Inputs!$C$48*(0.70*(0.45*SIN(2*PI()*(((Model_Data!A43)/Inputs!$C$49)+Inputs!$C$47*0.137))+0.35*COS(2*PI()*(((Inputs!$C$6)/Inputs!$C$50)+Inputs!$C$47*0.173))+0.20*SIN(2*PI()*(((Model_Data!A43)+(Inputs!$C$6))/(0.5*(Inputs!$C$49+Inputs!$C$50))+Inputs!$C$47*0.097)))+0.30*(2*((SIN(((Model_Data!A43)*12.9898+(Inputs!$C$6)*78.233+Inputs!$C$47*37.719))*43758.5453)-INT((SIN(((Model_Data!A43)*12.9898+(Inputs!$C$6)*78.233+Inputs!$C$47*37.719))*43758.5453)))-1))))/1000)^2)</x:f>
        <x:v>404.24460715221704</x:v>
      </x:c>
      <x:c r="AB43" s="48" t="n">
        <x:f>1000*(AA44-AA42)/(Z44-Z42)*Inputs!$C$11</x:f>
        <x:v>-687.4645469949883</x:v>
      </x:c>
      <x:c r="AC43" s="48" t="n">
        <x:f>-2*AB43/Inputs!$C$13</x:f>
        <x:v>274.9858187979953</x:v>
      </x:c>
      <x:c r="AD43" s="48" t="n">
        <x:f>-2*AB43/Inputs!$C$14</x:f>
        <x:v>41.289161981680984</x:v>
      </x:c>
    </x:row>
    <x:row r="44">
      <x:c r="A44" s="48" t="n">
        <x:f>Model_Data!A44</x:f>
        <x:v>-39</x:v>
      </x:c>
      <x:c r="B44" s="48" t="n">
        <x:f>Model_Data!F44</x:f>
        <x:v>1495.7252757464753</x:v>
      </x:c>
      <x:c r="C44" s="48" t="n">
        <x:f>(((SQRT((Model_Data!A44)^2+Inputs!$C$6^2+((Model_Data!B44)-((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(0.45*SIN(2*PI()*(((Model_Data!A44)/Inputs!$C$49)+Inputs!$C$47*0.137))+0.35*COS(2*PI()*(((Inputs!$C$6)/Inputs!$C$50)+Inputs!$C$47*0.173))+0.20*SIN(2*PI()*(((Model_Data!A44)+(Inputs!$C$6))/(0.5*(Inputs!$C$49+Inputs!$C$50))+Inputs!$C$47*0.097)))+0.30*(2*((SIN(((Model_Data!A44)*12.9898+(Inputs!$C$6)*78.233+Inputs!$C$47*37.719))*43758.5453)-INT((SIN(((Model_Data!A44)*12.9898+(Inputs!$C$6)*78.233+Inputs!$C$47*37.719))*43758.5453)))-1))))/1000)^2))-(((Model_Data!B44)-((Inputs!$C$51*(115*EXP(-(((0)-25)^2)/(4.5^2))+70*EXP(-(((0)+38)^2)/(7^2))*(0.55+0.45*SIN(2*PI()*(Model_Data!A44)/45))+24*SIN(2*PI()*(0)/9+(Model_Data!A44)/18)*EXP(-(((0)+5)^2)/(22^2))+18*SIN(2*PI()*(Model_Data!A44)/70))+Inputs!$C$28*EXP(-(((Model_Data!A44)-Inputs!$C$29)^2)/(2*Inputs!$C$31^2))*EXP(-(((0)-Inputs!$C$30)^2)/(2*Inputs!$C$32^2))+-Inputs!$C$33*EXP(-(((((Model_Data!A44)-Inputs!$C$34)^2)+(((0)-Inputs!$C$35)^2))/(2*Inputs!$C$36^2)))+Inputs!$C$37*(0.55*SIN(2*PI()*(Model_Data!A44)/Inputs!$C$39)+0.35*COS(2*PI()*(0)/Inputs!$C$40)+0.2*SIN(2*PI()*((Model_Data!A44)+(0))/(0.5*(Inputs!$C$39+Inputs!$C$40))))+Inputs!$C$38*SIN(2*PI()*(Model_Data!A44)/Inputs!$C$39)*SIN(2*PI()*(0)/Inputs!$C$40)+-Inputs!$C$41*EXP(-(((0)-Inputs!$C$43)^2)/(2*Inputs!$C$44^2))*EXP(-(((Model_Data!A44)-Inputs!$C$42)^2)/(2*Inputs!$C$45^2))+Inputs!$C$48*(0.70*(0.45*SIN(2*PI()*(((Model_Data!A44)/Inputs!$C$49)+Inputs!$C$47*0.137))+0.35*COS(2*PI()*(((0)/Inputs!$C$50)+Inputs!$C$47*0.173))+0.20*SIN(2*PI()*(((Model_Data!A44)+(0))/(0.5*(Inputs!$C$49+Inputs!$C$50))+Inputs!$C$47*0.097)))+0.30*(2*((SIN(((Model_Data!A44)*12.9898+(0)*78.233+Inputs!$C$47*37.719))*43758.5453)-INT((SIN(((Model_Data!A44)*12.9898+(0)*78.233+Inputs!$C$47*37.719))*43758.5453)))-1))))/1000)))*1000/Inputs!$C$12)</x:f>
        <x:v>1374.7428279945518</x:v>
      </x:c>
      <x:c r="D44" s="49"/>
      <x:c r="E44" s="48" t="n">
        <x:f>Model_Data!A44</x:f>
        <x:v>-39</x:v>
      </x:c>
      <x:c r="F44" s="48" t="n">
        <x:f>(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(0.45*SIN(2*PI()*(((Model_Data!A44)/Inputs!$C$49)+Inputs!$C$47*0.137))+0.35*COS(2*PI()*(((Inputs!$C$6)/Inputs!$C$50)+Inputs!$C$47*0.173))+0.20*SIN(2*PI()*(((Model_Data!A44)+(Inputs!$C$6))/(0.5*(Inputs!$C$49+Inputs!$C$50))+Inputs!$C$47*0.097)))+0.30*(2*((SIN(((Model_Data!A44)*12.9898+(Inputs!$C$6)*78.233+Inputs!$C$47*37.719))*43758.5453)-INT((SIN(((Model_Data!A44)*12.9898+(Inputs!$C$6)*78.233+Inputs!$C$47*37.719))*43758.5453)))-1)))</x:f>
        <x:v>184.54420924136062</x:v>
      </x:c>
      <x:c r="G44" s="48" t="n">
        <x:f>(Inputs!$C$51*(115*EXP(-(((0)-25)^2)/(4.5^2))+70*EXP(-(((0)+38)^2)/(7^2))*(0.55+0.45*SIN(2*PI()*(Model_Data!A44)/45))+24*SIN(2*PI()*(0)/9+(Model_Data!A44)/18)*EXP(-(((0)+5)^2)/(22^2))+18*SIN(2*PI()*(Model_Data!A44)/70))+Inputs!$C$28*EXP(-(((Model_Data!A44)-Inputs!$C$29)^2)/(2*Inputs!$C$31^2))*EXP(-(((0)-Inputs!$C$30)^2)/(2*Inputs!$C$32^2))+-Inputs!$C$33*EXP(-(((((Model_Data!A44)-Inputs!$C$34)^2)+(((0)-Inputs!$C$35)^2))/(2*Inputs!$C$36^2)))+Inputs!$C$37*(0.55*SIN(2*PI()*(Model_Data!A44)/Inputs!$C$39)+0.35*COS(2*PI()*(0)/Inputs!$C$40)+0.2*SIN(2*PI()*((Model_Data!A44)+(0))/(0.5*(Inputs!$C$39+Inputs!$C$40))))+Inputs!$C$38*SIN(2*PI()*(Model_Data!A44)/Inputs!$C$39)*SIN(2*PI()*(0)/Inputs!$C$40)+-Inputs!$C$41*EXP(-(((0)-Inputs!$C$43)^2)/(2*Inputs!$C$44^2))*EXP(-(((Model_Data!A44)-Inputs!$C$42)^2)/(2*Inputs!$C$45^2))+Inputs!$C$48*(0.70*(0.45*SIN(2*PI()*(((Model_Data!A44)/Inputs!$C$49)+Inputs!$C$47*0.137))+0.35*COS(2*PI()*(((0)/Inputs!$C$50)+Inputs!$C$47*0.173))+0.20*SIN(2*PI()*(((Model_Data!A44)+(0))/(0.5*(Inputs!$C$49+Inputs!$C$50))+Inputs!$C$47*0.097)))+0.30*(2*((SIN(((Model_Data!A44)*12.9898+(0)*78.233+Inputs!$C$47*37.719))*43758.5453)-INT((SIN(((Model_Data!A44)*12.9898+(0)*78.233+Inputs!$C$47*37.719))*43758.5453)))-1)))</x:f>
        <x:v>-32.02020136507765</x:v>
      </x:c>
      <x:c r="H44" s="49"/>
      <x:c r="I44" s="48" t="n">
        <x:f>Model_Data!A44</x:f>
        <x:v>-39</x:v>
      </x:c>
      <x:c r="J44" s="48" t="n">
        <x:f>((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(0.45*SIN(2*PI()*(((Model_Data!A44)/Inputs!$C$49)+Inputs!$C$47*0.137))+0.35*COS(2*PI()*(((Inputs!$C$6)/Inputs!$C$50)+Inputs!$C$47*0.173))+0.20*SIN(2*PI()*(((Model_Data!A44)+(Inputs!$C$6))/(0.5*(Inputs!$C$49+Inputs!$C$50))+Inputs!$C$47*0.097)))+0.30*(2*((SIN(((Model_Data!A44)*12.9898+(Inputs!$C$6)*78.233+Inputs!$C$47*37.719))*43758.5453)-INT((SIN(((Model_Data!A44)*12.9898+(Inputs!$C$6)*78.233+Inputs!$C$47*37.719))*43758.5453)))-1))))-((Inputs!$C$51*(115*EXP(-(((0)-25)^2)/(4.5^2))+70*EXP(-(((0)+38)^2)/(7^2))*(0.55+0.45*SIN(2*PI()*(Model_Data!A44)/45))+24*SIN(2*PI()*(0)/9+(Model_Data!A44)/18)*EXP(-(((0)+5)^2)/(22^2))+18*SIN(2*PI()*(Model_Data!A44)/70))+Inputs!$C$28*EXP(-(((Model_Data!A44)-Inputs!$C$29)^2)/(2*Inputs!$C$31^2))*EXP(-(((0)-Inputs!$C$30)^2)/(2*Inputs!$C$32^2))+-Inputs!$C$33*EXP(-(((((Model_Data!A44)-Inputs!$C$34)^2)+(((0)-Inputs!$C$35)^2))/(2*Inputs!$C$36^2)))+Inputs!$C$37*(0.55*SIN(2*PI()*(Model_Data!A44)/Inputs!$C$39)+0.35*COS(2*PI()*(0)/Inputs!$C$40)+0.2*SIN(2*PI()*((Model_Data!A44)+(0))/(0.5*(Inputs!$C$39+Inputs!$C$40))))+Inputs!$C$38*SIN(2*PI()*(Model_Data!A44)/Inputs!$C$39)*SIN(2*PI()*(0)/Inputs!$C$40)+-Inputs!$C$41*EXP(-(((0)-Inputs!$C$43)^2)/(2*Inputs!$C$44^2))*EXP(-(((Model_Data!A44)-Inputs!$C$42)^2)/(2*Inputs!$C$45^2))+Inputs!$C$48*(0.70*(0.45*SIN(2*PI()*(((Model_Data!A44)/Inputs!$C$49)+Inputs!$C$47*0.137))+0.35*COS(2*PI()*(((0)/Inputs!$C$50)+Inputs!$C$47*0.173))+0.20*SIN(2*PI()*(((Model_Data!A44)+(0))/(0.5*(Inputs!$C$49+Inputs!$C$50))+Inputs!$C$47*0.097)))+0.30*(2*((SIN(((Model_Data!A44)*12.9898+(0)*78.233+Inputs!$C$47*37.719))*43758.5453)-INT((SIN(((Model_Data!A44)*12.9898+(0)*78.233+Inputs!$C$47*37.719))*43758.5453)))-1))))</x:f>
        <x:v>216.56441060643826</x:v>
      </x:c>
      <x:c r="K44" s="48" t="n">
        <x:f>-((((SQRT((Model_Data!A44)^2+Inputs!$C$6^2+((Model_Data!B44)-((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(0.45*SIN(2*PI()*(((Model_Data!A44)/Inputs!$C$49)+Inputs!$C$47*0.137))+0.35*COS(2*PI()*(((Inputs!$C$6)/Inputs!$C$50)+Inputs!$C$47*0.173))+0.20*SIN(2*PI()*(((Model_Data!A44)+(Inputs!$C$6))/(0.5*(Inputs!$C$49+Inputs!$C$50))+Inputs!$C$47*0.097)))+0.30*(2*((SIN(((Model_Data!A44)*12.9898+(Inputs!$C$6)*78.233+Inputs!$C$47*37.719))*43758.5453)-INT((SIN(((Model_Data!A44)*12.9898+(Inputs!$C$6)*78.233+Inputs!$C$47*37.719))*43758.5453)))-1))))/1000)^2))-(((Model_Data!B44)-((Inputs!$C$51*(115*EXP(-(((0)-25)^2)/(4.5^2))+70*EXP(-(((0)+38)^2)/(7^2))*(0.55+0.45*SIN(2*PI()*(Model_Data!A44)/45))+24*SIN(2*PI()*(0)/9+(Model_Data!A44)/18)*EXP(-(((0)+5)^2)/(22^2))+18*SIN(2*PI()*(Model_Data!A44)/70))+Inputs!$C$28*EXP(-(((Model_Data!A44)-Inputs!$C$29)^2)/(2*Inputs!$C$31^2))*EXP(-(((0)-Inputs!$C$30)^2)/(2*Inputs!$C$32^2))+-Inputs!$C$33*EXP(-(((((Model_Data!A44)-Inputs!$C$34)^2)+(((0)-Inputs!$C$35)^2))/(2*Inputs!$C$36^2)))+Inputs!$C$37*(0.55*SIN(2*PI()*(Model_Data!A44)/Inputs!$C$39)+0.35*COS(2*PI()*(0)/Inputs!$C$40)+0.2*SIN(2*PI()*((Model_Data!A44)+(0))/(0.5*(Inputs!$C$39+Inputs!$C$40))))+Inputs!$C$38*SIN(2*PI()*(Model_Data!A44)/Inputs!$C$39)*SIN(2*PI()*(0)/Inputs!$C$40)+-Inputs!$C$41*EXP(-(((0)-Inputs!$C$43)^2)/(2*Inputs!$C$44^2))*EXP(-(((Model_Data!A44)-Inputs!$C$42)^2)/(2*Inputs!$C$45^2))+Inputs!$C$48*(0.70*(0.45*SIN(2*PI()*(((Model_Data!A44)/Inputs!$C$49)+Inputs!$C$47*0.137))+0.35*COS(2*PI()*(((0)/Inputs!$C$50)+Inputs!$C$47*0.173))+0.20*SIN(2*PI()*(((Model_Data!A44)+(0))/(0.5*(Inputs!$C$49+Inputs!$C$50))+Inputs!$C$47*0.097)))+0.30*(2*((SIN(((Model_Data!A44)*12.9898+(0)*78.233+Inputs!$C$47*37.719))*43758.5453)-INT((SIN(((Model_Data!A44)*12.9898+(0)*78.233+Inputs!$C$47*37.719))*43758.5453)))-1))))/1000)))*1000/Inputs!$C$12)-Model_Data!F44)</x:f>
        <x:v>120.98244775192347</x:v>
      </x:c>
      <x:c r="L44" s="49"/>
      <x:c r="M44" s="48" t="n">
        <x:f>Model_Data!A44</x:f>
        <x:v>-39</x:v>
      </x:c>
      <x:c r="N44" s="48" t="n">
        <x:f>Model_Data!P44</x:f>
        <x:v>292.0744775217912</x:v>
      </x:c>
      <x:c r="O44" s="48" t="n">
        <x:f>AC44</x:f>
        <x:v>309.08317080575216</x:v>
      </x:c>
      <x:c r="P44" s="48" t="n">
        <x:f>Model_Data!Q44</x:f>
        <x:v>43.855026654923606</x:v>
      </x:c>
      <x:c r="Q44" s="48" t="n">
        <x:f>AD44</x:f>
        <x:v>46.4088845053682</x:v>
      </x:c>
      <x:c r="R44" s="49"/>
      <x:c r="S44" s="48" t="n">
        <x:f>Model_Data!A44</x:f>
        <x:v>-39</x:v>
      </x:c>
      <x:c r="T44" s="48" t="n">
        <x:f>Model_Data!B44-Inputs!$C$5</x:f>
        <x:v>1.6899999999999977</x:v>
      </x:c>
      <x:c r="U44" s="49"/>
      <x:c r="V44" s="48" t="n">
        <x:f>Model_Data!A44</x:f>
        <x:v>-39</x:v>
      </x:c>
      <x:c r="W44" s="48" t="n">
        <x:f>(-((((SQRT((Model_Data!A44)^2+Inputs!$C$6^2+((Model_Data!B44)-((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(0.45*SIN(2*PI()*(((Model_Data!A44)/Inputs!$C$49)+Inputs!$C$47*0.137))+0.35*COS(2*PI()*(((Inputs!$C$6)/Inputs!$C$50)+Inputs!$C$47*0.173))+0.20*SIN(2*PI()*(((Model_Data!A44)+(Inputs!$C$6))/(0.5*(Inputs!$C$49+Inputs!$C$50))+Inputs!$C$47*0.097)))+0.30*(2*((SIN(((Model_Data!A44)*12.9898+(Inputs!$C$6)*78.233+Inputs!$C$47*37.719))*43758.5453)-INT((SIN(((Model_Data!A44)*12.9898+(Inputs!$C$6)*78.233+Inputs!$C$47*37.719))*43758.5453)))-1))))/1000)^2))-(((Model_Data!B44)-((Inputs!$C$51*(115*EXP(-(((0)-25)^2)/(4.5^2))+70*EXP(-(((0)+38)^2)/(7^2))*(0.55+0.45*SIN(2*PI()*(Model_Data!A44)/45))+24*SIN(2*PI()*(0)/9+(Model_Data!A44)/18)*EXP(-(((0)+5)^2)/(22^2))+18*SIN(2*PI()*(Model_Data!A44)/70))+Inputs!$C$28*EXP(-(((Model_Data!A44)-Inputs!$C$29)^2)/(2*Inputs!$C$31^2))*EXP(-(((0)-Inputs!$C$30)^2)/(2*Inputs!$C$32^2))+-Inputs!$C$33*EXP(-(((((Model_Data!A44)-Inputs!$C$34)^2)+(((0)-Inputs!$C$35)^2))/(2*Inputs!$C$36^2)))+Inputs!$C$37*(0.55*SIN(2*PI()*(Model_Data!A44)/Inputs!$C$39)+0.35*COS(2*PI()*(0)/Inputs!$C$40)+0.2*SIN(2*PI()*((Model_Data!A44)+(0))/(0.5*(Inputs!$C$39+Inputs!$C$40))))+Inputs!$C$38*SIN(2*PI()*(Model_Data!A44)/Inputs!$C$39)*SIN(2*PI()*(0)/Inputs!$C$40)+-Inputs!$C$41*EXP(-(((0)-Inputs!$C$43)^2)/(2*Inputs!$C$44^2))*EXP(-(((Model_Data!A44)-Inputs!$C$42)^2)/(2*Inputs!$C$45^2))+Inputs!$C$48*(0.70*(0.45*SIN(2*PI()*(((Model_Data!A44)/Inputs!$C$49)+Inputs!$C$47*0.137))+0.35*COS(2*PI()*(((0)/Inputs!$C$50)+Inputs!$C$47*0.173))+0.20*SIN(2*PI()*(((Model_Data!A44)+(0))/(0.5*(Inputs!$C$49+Inputs!$C$50))+Inputs!$C$47*0.097)))+0.30*(2*((SIN(((Model_Data!A44)*12.9898+(0)*78.233+Inputs!$C$47*37.719))*43758.5453)-INT((SIN(((Model_Data!A44)*12.9898+(0)*78.233+Inputs!$C$47*37.719))*43758.5453)))-1))))/1000)))*1000/Inputs!$C$12)-Model_Data!F44))-(-(((SQRT((Model_Data!A44)^2+Inputs!$C$6^2+(Inputs!$C$5-((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(0.45*SIN(2*PI()*(((Model_Data!A44)/Inputs!$C$49)+Inputs!$C$47*0.137))+0.35*COS(2*PI()*(((Inputs!$C$6)/Inputs!$C$50)+Inputs!$C$47*0.173))+0.20*SIN(2*PI()*(((Model_Data!A44)+(Inputs!$C$6))/(0.5*(Inputs!$C$49+Inputs!$C$50))+Inputs!$C$47*0.097)))+0.30*(2*((SIN(((Model_Data!A44)*12.9898+(Inputs!$C$6)*78.233+Inputs!$C$47*37.719))*43758.5453)-INT((SIN(((Model_Data!A44)*12.9898+(Inputs!$C$6)*78.233+Inputs!$C$47*37.719))*43758.5453)))-1))))/1000)^2)-(Inputs!$C$5-((Inputs!$C$51*(115*EXP(-(((0)-25)^2)/(4.5^2))+70*EXP(-(((0)+38)^2)/(7^2))*(0.55+0.45*SIN(2*PI()*(Model_Data!A44)/45))+24*SIN(2*PI()*(0)/9+(Model_Data!A44)/18)*EXP(-(((0)+5)^2)/(22^2))+18*SIN(2*PI()*(Model_Data!A44)/70))+Inputs!$C$28*EXP(-(((Model_Data!A44)-Inputs!$C$29)^2)/(2*Inputs!$C$31^2))*EXP(-(((0)-Inputs!$C$30)^2)/(2*Inputs!$C$32^2))+-Inputs!$C$33*EXP(-(((((Model_Data!A44)-Inputs!$C$34)^2)+(((0)-Inputs!$C$35)^2))/(2*Inputs!$C$36^2)))+Inputs!$C$37*(0.55*SIN(2*PI()*(Model_Data!A44)/Inputs!$C$39)+0.35*COS(2*PI()*(0)/Inputs!$C$40)+0.2*SIN(2*PI()*((Model_Data!A44)+(0))/(0.5*(Inputs!$C$39+Inputs!$C$40))))+Inputs!$C$38*SIN(2*PI()*(Model_Data!A44)/Inputs!$C$39)*SIN(2*PI()*(0)/Inputs!$C$40)+-Inputs!$C$41*EXP(-(((0)-Inputs!$C$43)^2)/(2*Inputs!$C$44^2))*EXP(-(((Model_Data!A44)-Inputs!$C$42)^2)/(2*Inputs!$C$45^2))+Inputs!$C$48*(0.70*(0.45*SIN(2*PI()*(((Model_Data!A44)/Inputs!$C$49)+Inputs!$C$47*0.137))+0.35*COS(2*PI()*(((0)/Inputs!$C$50)+Inputs!$C$47*0.173))+0.20*SIN(2*PI()*(((Model_Data!A44)+(0))/(0.5*(Inputs!$C$49+Inputs!$C$50))+Inputs!$C$47*0.097)))+0.30*(2*((SIN(((Model_Data!A44)*12.9898+(0)*78.233+Inputs!$C$47*37.719))*43758.5453)-INT((SIN(((Model_Data!A44)*12.9898+(0)*78.233+Inputs!$C$47*37.719))*43758.5453)))-1))))/1000))*1000/Inputs!$C$12)-((SQRT((Model_Data!A44)^2+Inputs!$C$6^2+Inputs!$C$5^2)-Inputs!$C$5)*1000/Inputs!$C$12)))</x:f>
        <x:v>0.00572695995219874</x:v>
      </x:c>
      <x:c r="X44" s="48" t="n">
        <x:f>0</x:f>
        <x:v>0</x:v>
      </x:c>
      <x:c r="Y44" s="49"/>
      <x:c r="Z44" s="48" t="n">
        <x:f>Model_Data!A44</x:f>
        <x:v>-39</x:v>
      </x:c>
      <x:c r="AA44" s="48" t="n">
        <x:f>SQRT((Model_Data!A44)^2+Inputs!$C$6^2+((Model_Data!B44)-((Inputs!$C$51*(115*EXP(-(((Inputs!$C$6)-25)^2)/(4.5^2))+70*EXP(-(((Inputs!$C$6)+38)^2)/(7^2))*(0.55+0.45*SIN(2*PI()*(Model_Data!A44)/45))+24*SIN(2*PI()*(Inputs!$C$6)/9+(Model_Data!A44)/18)*EXP(-(((Inputs!$C$6)+5)^2)/(22^2))+18*SIN(2*PI()*(Model_Data!A44)/70))+Inputs!$C$28*EXP(-(((Model_Data!A44)-Inputs!$C$29)^2)/(2*Inputs!$C$31^2))*EXP(-(((Inputs!$C$6)-Inputs!$C$30)^2)/(2*Inputs!$C$32^2))+-Inputs!$C$33*EXP(-(((((Model_Data!A44)-Inputs!$C$34)^2)+(((Inputs!$C$6)-Inputs!$C$35)^2))/(2*Inputs!$C$36^2)))+Inputs!$C$37*(0.55*SIN(2*PI()*(Model_Data!A44)/Inputs!$C$39)+0.35*COS(2*PI()*(Inputs!$C$6)/Inputs!$C$40)+0.2*SIN(2*PI()*((Model_Data!A44)+(Inputs!$C$6))/(0.5*(Inputs!$C$39+Inputs!$C$40))))+Inputs!$C$38*SIN(2*PI()*(Model_Data!A44)/Inputs!$C$39)*SIN(2*PI()*(Inputs!$C$6)/Inputs!$C$40)+-Inputs!$C$41*EXP(-(((Inputs!$C$6)-Inputs!$C$43)^2)/(2*Inputs!$C$44^2))*EXP(-(((Model_Data!A44)-Inputs!$C$42)^2)/(2*Inputs!$C$45^2))+Inputs!$C$48*(0.70*(0.45*SIN(2*PI()*(((Model_Data!A44)/Inputs!$C$49)+Inputs!$C$47*0.137))+0.35*COS(2*PI()*(((Inputs!$C$6)/Inputs!$C$50)+Inputs!$C$47*0.173))+0.20*SIN(2*PI()*(((Model_Data!A44)+(Inputs!$C$6))/(0.5*(Inputs!$C$49+Inputs!$C$50))+Inputs!$C$47*0.097)))+0.30*(2*((SIN(((Model_Data!A44)*12.9898+(Inputs!$C$6)*78.233+Inputs!$C$47*37.719))*43758.5453)-INT((SIN(((Model_Data!A44)*12.9898+(Inputs!$C$6)*78.233+Inputs!$C$47*37.719))*43758.5453)))-1))))/1000)^2)</x:f>
        <x:v>404.16906243519537</x:v>
      </x:c>
      <x:c r="AB44" s="48" t="n">
        <x:f>1000*(AA45-AA43)/(Z45-Z43)*Inputs!$C$11</x:f>
        <x:v>-772.7079270143804</x:v>
      </x:c>
      <x:c r="AC44" s="48" t="n">
        <x:f>-2*AB44/Inputs!$C$13</x:f>
        <x:v>309.08317080575216</x:v>
      </x:c>
      <x:c r="AD44" s="48" t="n">
        <x:f>-2*AB44/Inputs!$C$14</x:f>
        <x:v>46.4088845053682</x:v>
      </x:c>
    </x:row>
    <x:row r="45">
      <x:c r="A45" s="48" t="n">
        <x:f>Model_Data!A45</x:f>
        <x:v>-38.5</x:v>
      </x:c>
      <x:c r="B45" s="48" t="n">
        <x:f>Model_Data!F45</x:f>
        <x:v>1468.9609426904447</x:v>
      </x:c>
      <x:c r="C45" s="48" t="n">
        <x:f>(((SQRT((Model_Data!A45)^2+Inputs!$C$6^2+((Model_Data!B45)-((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(0.45*SIN(2*PI()*(((Model_Data!A45)/Inputs!$C$49)+Inputs!$C$47*0.137))+0.35*COS(2*PI()*(((Inputs!$C$6)/Inputs!$C$50)+Inputs!$C$47*0.173))+0.20*SIN(2*PI()*(((Model_Data!A45)+(Inputs!$C$6))/(0.5*(Inputs!$C$49+Inputs!$C$50))+Inputs!$C$47*0.097)))+0.30*(2*((SIN(((Model_Data!A45)*12.9898+(Inputs!$C$6)*78.233+Inputs!$C$47*37.719))*43758.5453)-INT((SIN(((Model_Data!A45)*12.9898+(Inputs!$C$6)*78.233+Inputs!$C$47*37.719))*43758.5453)))-1))))/1000)^2))-(((Model_Data!B45)-((Inputs!$C$51*(115*EXP(-(((0)-25)^2)/(4.5^2))+70*EXP(-(((0)+38)^2)/(7^2))*(0.55+0.45*SIN(2*PI()*(Model_Data!A45)/45))+24*SIN(2*PI()*(0)/9+(Model_Data!A45)/18)*EXP(-(((0)+5)^2)/(22^2))+18*SIN(2*PI()*(Model_Data!A45)/70))+Inputs!$C$28*EXP(-(((Model_Data!A45)-Inputs!$C$29)^2)/(2*Inputs!$C$31^2))*EXP(-(((0)-Inputs!$C$30)^2)/(2*Inputs!$C$32^2))+-Inputs!$C$33*EXP(-(((((Model_Data!A45)-Inputs!$C$34)^2)+(((0)-Inputs!$C$35)^2))/(2*Inputs!$C$36^2)))+Inputs!$C$37*(0.55*SIN(2*PI()*(Model_Data!A45)/Inputs!$C$39)+0.35*COS(2*PI()*(0)/Inputs!$C$40)+0.2*SIN(2*PI()*((Model_Data!A45)+(0))/(0.5*(Inputs!$C$39+Inputs!$C$40))))+Inputs!$C$38*SIN(2*PI()*(Model_Data!A45)/Inputs!$C$39)*SIN(2*PI()*(0)/Inputs!$C$40)+-Inputs!$C$41*EXP(-(((0)-Inputs!$C$43)^2)/(2*Inputs!$C$44^2))*EXP(-(((Model_Data!A45)-Inputs!$C$42)^2)/(2*Inputs!$C$45^2))+Inputs!$C$48*(0.70*(0.45*SIN(2*PI()*(((Model_Data!A45)/Inputs!$C$49)+Inputs!$C$47*0.137))+0.35*COS(2*PI()*(((0)/Inputs!$C$50)+Inputs!$C$47*0.173))+0.20*SIN(2*PI()*(((Model_Data!A45)+(0))/(0.5*(Inputs!$C$49+Inputs!$C$50))+Inputs!$C$47*0.097)))+0.30*(2*((SIN(((Model_Data!A45)*12.9898+(0)*78.233+Inputs!$C$47*37.719))*43758.5453)-INT((SIN(((Model_Data!A45)*12.9898+(0)*78.233+Inputs!$C$47*37.719))*43758.5453)))-1))))/1000)))*1000/Inputs!$C$12)</x:f>
        <x:v>1331.5676077927096</x:v>
      </x:c>
      <x:c r="D45" s="49"/>
      <x:c r="E45" s="48" t="n">
        <x:f>Model_Data!A45</x:f>
        <x:v>-38.5</x:v>
      </x:c>
      <x:c r="F45" s="48" t="n">
        <x:f>(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(0.45*SIN(2*PI()*(((Model_Data!A45)/Inputs!$C$49)+Inputs!$C$47*0.137))+0.35*COS(2*PI()*(((Inputs!$C$6)/Inputs!$C$50)+Inputs!$C$47*0.173))+0.20*SIN(2*PI()*(((Model_Data!A45)+(Inputs!$C$6))/(0.5*(Inputs!$C$49+Inputs!$C$50))+Inputs!$C$47*0.097)))+0.30*(2*((SIN(((Model_Data!A45)*12.9898+(Inputs!$C$6)*78.233+Inputs!$C$47*37.719))*43758.5453)-INT((SIN(((Model_Data!A45)*12.9898+(Inputs!$C$6)*78.233+Inputs!$C$47*37.719))*43758.5453)))-1)))</x:f>
        <x:v>211.63430992610967</x:v>
      </x:c>
      <x:c r="G45" s="48" t="n">
        <x:f>(Inputs!$C$51*(115*EXP(-(((0)-25)^2)/(4.5^2))+70*EXP(-(((0)+38)^2)/(7^2))*(0.55+0.45*SIN(2*PI()*(Model_Data!A45)/45))+24*SIN(2*PI()*(0)/9+(Model_Data!A45)/18)*EXP(-(((0)+5)^2)/(22^2))+18*SIN(2*PI()*(Model_Data!A45)/70))+Inputs!$C$28*EXP(-(((Model_Data!A45)-Inputs!$C$29)^2)/(2*Inputs!$C$31^2))*EXP(-(((0)-Inputs!$C$30)^2)/(2*Inputs!$C$32^2))+-Inputs!$C$33*EXP(-(((((Model_Data!A45)-Inputs!$C$34)^2)+(((0)-Inputs!$C$35)^2))/(2*Inputs!$C$36^2)))+Inputs!$C$37*(0.55*SIN(2*PI()*(Model_Data!A45)/Inputs!$C$39)+0.35*COS(2*PI()*(0)/Inputs!$C$40)+0.2*SIN(2*PI()*((Model_Data!A45)+(0))/(0.5*(Inputs!$C$39+Inputs!$C$40))))+Inputs!$C$38*SIN(2*PI()*(Model_Data!A45)/Inputs!$C$39)*SIN(2*PI()*(0)/Inputs!$C$40)+-Inputs!$C$41*EXP(-(((0)-Inputs!$C$43)^2)/(2*Inputs!$C$44^2))*EXP(-(((Model_Data!A45)-Inputs!$C$42)^2)/(2*Inputs!$C$45^2))+Inputs!$C$48*(0.70*(0.45*SIN(2*PI()*(((Model_Data!A45)/Inputs!$C$49)+Inputs!$C$47*0.137))+0.35*COS(2*PI()*(((0)/Inputs!$C$50)+Inputs!$C$47*0.173))+0.20*SIN(2*PI()*(((Model_Data!A45)+(0))/(0.5*(Inputs!$C$49+Inputs!$C$50))+Inputs!$C$47*0.097)))+0.30*(2*((SIN(((Model_Data!A45)*12.9898+(0)*78.233+Inputs!$C$47*37.719))*43758.5453)-INT((SIN(((Model_Data!A45)*12.9898+(0)*78.233+Inputs!$C$47*37.719))*43758.5453)))-1)))</x:f>
        <x:v>-34.295384147954024</x:v>
      </x:c>
      <x:c r="H45" s="49"/>
      <x:c r="I45" s="48" t="n">
        <x:f>Model_Data!A45</x:f>
        <x:v>-38.5</x:v>
      </x:c>
      <x:c r="J45" s="48" t="n">
        <x:f>((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(0.45*SIN(2*PI()*(((Model_Data!A45)/Inputs!$C$49)+Inputs!$C$47*0.137))+0.35*COS(2*PI()*(((Inputs!$C$6)/Inputs!$C$50)+Inputs!$C$47*0.173))+0.20*SIN(2*PI()*(((Model_Data!A45)+(Inputs!$C$6))/(0.5*(Inputs!$C$49+Inputs!$C$50))+Inputs!$C$47*0.097)))+0.30*(2*((SIN(((Model_Data!A45)*12.9898+(Inputs!$C$6)*78.233+Inputs!$C$47*37.719))*43758.5453)-INT((SIN(((Model_Data!A45)*12.9898+(Inputs!$C$6)*78.233+Inputs!$C$47*37.719))*43758.5453)))-1))))-((Inputs!$C$51*(115*EXP(-(((0)-25)^2)/(4.5^2))+70*EXP(-(((0)+38)^2)/(7^2))*(0.55+0.45*SIN(2*PI()*(Model_Data!A45)/45))+24*SIN(2*PI()*(0)/9+(Model_Data!A45)/18)*EXP(-(((0)+5)^2)/(22^2))+18*SIN(2*PI()*(Model_Data!A45)/70))+Inputs!$C$28*EXP(-(((Model_Data!A45)-Inputs!$C$29)^2)/(2*Inputs!$C$31^2))*EXP(-(((0)-Inputs!$C$30)^2)/(2*Inputs!$C$32^2))+-Inputs!$C$33*EXP(-(((((Model_Data!A45)-Inputs!$C$34)^2)+(((0)-Inputs!$C$35)^2))/(2*Inputs!$C$36^2)))+Inputs!$C$37*(0.55*SIN(2*PI()*(Model_Data!A45)/Inputs!$C$39)+0.35*COS(2*PI()*(0)/Inputs!$C$40)+0.2*SIN(2*PI()*((Model_Data!A45)+(0))/(0.5*(Inputs!$C$39+Inputs!$C$40))))+Inputs!$C$38*SIN(2*PI()*(Model_Data!A45)/Inputs!$C$39)*SIN(2*PI()*(0)/Inputs!$C$40)+-Inputs!$C$41*EXP(-(((0)-Inputs!$C$43)^2)/(2*Inputs!$C$44^2))*EXP(-(((Model_Data!A45)-Inputs!$C$42)^2)/(2*Inputs!$C$45^2))+Inputs!$C$48*(0.70*(0.45*SIN(2*PI()*(((Model_Data!A45)/Inputs!$C$49)+Inputs!$C$47*0.137))+0.35*COS(2*PI()*(((0)/Inputs!$C$50)+Inputs!$C$47*0.173))+0.20*SIN(2*PI()*(((Model_Data!A45)+(0))/(0.5*(Inputs!$C$49+Inputs!$C$50))+Inputs!$C$47*0.097)))+0.30*(2*((SIN(((Model_Data!A45)*12.9898+(0)*78.233+Inputs!$C$47*37.719))*43758.5453)-INT((SIN(((Model_Data!A45)*12.9898+(0)*78.233+Inputs!$C$47*37.719))*43758.5453)))-1))))</x:f>
        <x:v>245.9296940740637</x:v>
      </x:c>
      <x:c r="K45" s="48" t="n">
        <x:f>-((((SQRT((Model_Data!A45)^2+Inputs!$C$6^2+((Model_Data!B45)-((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(0.45*SIN(2*PI()*(((Model_Data!A45)/Inputs!$C$49)+Inputs!$C$47*0.137))+0.35*COS(2*PI()*(((Inputs!$C$6)/Inputs!$C$50)+Inputs!$C$47*0.173))+0.20*SIN(2*PI()*(((Model_Data!A45)+(Inputs!$C$6))/(0.5*(Inputs!$C$49+Inputs!$C$50))+Inputs!$C$47*0.097)))+0.30*(2*((SIN(((Model_Data!A45)*12.9898+(Inputs!$C$6)*78.233+Inputs!$C$47*37.719))*43758.5453)-INT((SIN(((Model_Data!A45)*12.9898+(Inputs!$C$6)*78.233+Inputs!$C$47*37.719))*43758.5453)))-1))))/1000)^2))-(((Model_Data!B45)-((Inputs!$C$51*(115*EXP(-(((0)-25)^2)/(4.5^2))+70*EXP(-(((0)+38)^2)/(7^2))*(0.55+0.45*SIN(2*PI()*(Model_Data!A45)/45))+24*SIN(2*PI()*(0)/9+(Model_Data!A45)/18)*EXP(-(((0)+5)^2)/(22^2))+18*SIN(2*PI()*(Model_Data!A45)/70))+Inputs!$C$28*EXP(-(((Model_Data!A45)-Inputs!$C$29)^2)/(2*Inputs!$C$31^2))*EXP(-(((0)-Inputs!$C$30)^2)/(2*Inputs!$C$32^2))+-Inputs!$C$33*EXP(-(((((Model_Data!A45)-Inputs!$C$34)^2)+(((0)-Inputs!$C$35)^2))/(2*Inputs!$C$36^2)))+Inputs!$C$37*(0.55*SIN(2*PI()*(Model_Data!A45)/Inputs!$C$39)+0.35*COS(2*PI()*(0)/Inputs!$C$40)+0.2*SIN(2*PI()*((Model_Data!A45)+(0))/(0.5*(Inputs!$C$39+Inputs!$C$40))))+Inputs!$C$38*SIN(2*PI()*(Model_Data!A45)/Inputs!$C$39)*SIN(2*PI()*(0)/Inputs!$C$40)+-Inputs!$C$41*EXP(-(((0)-Inputs!$C$43)^2)/(2*Inputs!$C$44^2))*EXP(-(((Model_Data!A45)-Inputs!$C$42)^2)/(2*Inputs!$C$45^2))+Inputs!$C$48*(0.70*(0.45*SIN(2*PI()*(((Model_Data!A45)/Inputs!$C$49)+Inputs!$C$47*0.137))+0.35*COS(2*PI()*(((0)/Inputs!$C$50)+Inputs!$C$47*0.173))+0.20*SIN(2*PI()*(((Model_Data!A45)+(0))/(0.5*(Inputs!$C$49+Inputs!$C$50))+Inputs!$C$47*0.097)))+0.30*(2*((SIN(((Model_Data!A45)*12.9898+(0)*78.233+Inputs!$C$47*37.719))*43758.5453)-INT((SIN(((Model_Data!A45)*12.9898+(0)*78.233+Inputs!$C$47*37.719))*43758.5453)))-1))))/1000)))*1000/Inputs!$C$12)-Model_Data!F45)</x:f>
        <x:v>137.39333489773503</x:v>
      </x:c>
      <x:c r="L45" s="49"/>
      <x:c r="M45" s="48" t="n">
        <x:f>Model_Data!A45</x:f>
        <x:v>-38.5</x:v>
      </x:c>
      <x:c r="N45" s="48" t="n">
        <x:f>Model_Data!P45</x:f>
        <x:v>288.38004049081604</x:v>
      </x:c>
      <x:c r="O45" s="48" t="n">
        <x:f>AC45</x:f>
        <x:v>317.6887163272113</x:v>
      </x:c>
      <x:c r="P45" s="48" t="n">
        <x:f>Model_Data!Q45</x:f>
        <x:v>43.30030638000241</x:v>
      </x:c>
      <x:c r="Q45" s="48" t="n">
        <x:f>AD45</x:f>
        <x:v>47.70100845753924</x:v>
      </x:c>
      <x:c r="R45" s="49"/>
      <x:c r="S45" s="48" t="n">
        <x:f>Model_Data!A45</x:f>
        <x:v>-38.5</x:v>
      </x:c>
      <x:c r="T45" s="48" t="n">
        <x:f>Model_Data!B45-Inputs!$C$5</x:f>
        <x:v>1.6469444444444434</x:v>
      </x:c>
      <x:c r="U45" s="49"/>
      <x:c r="V45" s="48" t="n">
        <x:f>Model_Data!A45</x:f>
        <x:v>-38.5</x:v>
      </x:c>
      <x:c r="W45" s="48" t="n">
        <x:f>(-((((SQRT((Model_Data!A45)^2+Inputs!$C$6^2+((Model_Data!B45)-((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(0.45*SIN(2*PI()*(((Model_Data!A45)/Inputs!$C$49)+Inputs!$C$47*0.137))+0.35*COS(2*PI()*(((Inputs!$C$6)/Inputs!$C$50)+Inputs!$C$47*0.173))+0.20*SIN(2*PI()*(((Model_Data!A45)+(Inputs!$C$6))/(0.5*(Inputs!$C$49+Inputs!$C$50))+Inputs!$C$47*0.097)))+0.30*(2*((SIN(((Model_Data!A45)*12.9898+(Inputs!$C$6)*78.233+Inputs!$C$47*37.719))*43758.5453)-INT((SIN(((Model_Data!A45)*12.9898+(Inputs!$C$6)*78.233+Inputs!$C$47*37.719))*43758.5453)))-1))))/1000)^2))-(((Model_Data!B45)-((Inputs!$C$51*(115*EXP(-(((0)-25)^2)/(4.5^2))+70*EXP(-(((0)+38)^2)/(7^2))*(0.55+0.45*SIN(2*PI()*(Model_Data!A45)/45))+24*SIN(2*PI()*(0)/9+(Model_Data!A45)/18)*EXP(-(((0)+5)^2)/(22^2))+18*SIN(2*PI()*(Model_Data!A45)/70))+Inputs!$C$28*EXP(-(((Model_Data!A45)-Inputs!$C$29)^2)/(2*Inputs!$C$31^2))*EXP(-(((0)-Inputs!$C$30)^2)/(2*Inputs!$C$32^2))+-Inputs!$C$33*EXP(-(((((Model_Data!A45)-Inputs!$C$34)^2)+(((0)-Inputs!$C$35)^2))/(2*Inputs!$C$36^2)))+Inputs!$C$37*(0.55*SIN(2*PI()*(Model_Data!A45)/Inputs!$C$39)+0.35*COS(2*PI()*(0)/Inputs!$C$40)+0.2*SIN(2*PI()*((Model_Data!A45)+(0))/(0.5*(Inputs!$C$39+Inputs!$C$40))))+Inputs!$C$38*SIN(2*PI()*(Model_Data!A45)/Inputs!$C$39)*SIN(2*PI()*(0)/Inputs!$C$40)+-Inputs!$C$41*EXP(-(((0)-Inputs!$C$43)^2)/(2*Inputs!$C$44^2))*EXP(-(((Model_Data!A45)-Inputs!$C$42)^2)/(2*Inputs!$C$45^2))+Inputs!$C$48*(0.70*(0.45*SIN(2*PI()*(((Model_Data!A45)/Inputs!$C$49)+Inputs!$C$47*0.137))+0.35*COS(2*PI()*(((0)/Inputs!$C$50)+Inputs!$C$47*0.173))+0.20*SIN(2*PI()*(((Model_Data!A45)+(0))/(0.5*(Inputs!$C$49+Inputs!$C$50))+Inputs!$C$47*0.097)))+0.30*(2*((SIN(((Model_Data!A45)*12.9898+(0)*78.233+Inputs!$C$47*37.719))*43758.5453)-INT((SIN(((Model_Data!A45)*12.9898+(0)*78.233+Inputs!$C$47*37.719))*43758.5453)))-1))))/1000)))*1000/Inputs!$C$12)-Model_Data!F45))-(-(((SQRT((Model_Data!A45)^2+Inputs!$C$6^2+(Inputs!$C$5-((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(0.45*SIN(2*PI()*(((Model_Data!A45)/Inputs!$C$49)+Inputs!$C$47*0.137))+0.35*COS(2*PI()*(((Inputs!$C$6)/Inputs!$C$50)+Inputs!$C$47*0.173))+0.20*SIN(2*PI()*(((Model_Data!A45)+(Inputs!$C$6))/(0.5*(Inputs!$C$49+Inputs!$C$50))+Inputs!$C$47*0.097)))+0.30*(2*((SIN(((Model_Data!A45)*12.9898+(Inputs!$C$6)*78.233+Inputs!$C$47*37.719))*43758.5453)-INT((SIN(((Model_Data!A45)*12.9898+(Inputs!$C$6)*78.233+Inputs!$C$47*37.719))*43758.5453)))-1))))/1000)^2)-(Inputs!$C$5-((Inputs!$C$51*(115*EXP(-(((0)-25)^2)/(4.5^2))+70*EXP(-(((0)+38)^2)/(7^2))*(0.55+0.45*SIN(2*PI()*(Model_Data!A45)/45))+24*SIN(2*PI()*(0)/9+(Model_Data!A45)/18)*EXP(-(((0)+5)^2)/(22^2))+18*SIN(2*PI()*(Model_Data!A45)/70))+Inputs!$C$28*EXP(-(((Model_Data!A45)-Inputs!$C$29)^2)/(2*Inputs!$C$31^2))*EXP(-(((0)-Inputs!$C$30)^2)/(2*Inputs!$C$32^2))+-Inputs!$C$33*EXP(-(((((Model_Data!A45)-Inputs!$C$34)^2)+(((0)-Inputs!$C$35)^2))/(2*Inputs!$C$36^2)))+Inputs!$C$37*(0.55*SIN(2*PI()*(Model_Data!A45)/Inputs!$C$39)+0.35*COS(2*PI()*(0)/Inputs!$C$40)+0.2*SIN(2*PI()*((Model_Data!A45)+(0))/(0.5*(Inputs!$C$39+Inputs!$C$40))))+Inputs!$C$38*SIN(2*PI()*(Model_Data!A45)/Inputs!$C$39)*SIN(2*PI()*(0)/Inputs!$C$40)+-Inputs!$C$41*EXP(-(((0)-Inputs!$C$43)^2)/(2*Inputs!$C$44^2))*EXP(-(((Model_Data!A45)-Inputs!$C$42)^2)/(2*Inputs!$C$45^2))+Inputs!$C$48*(0.70*(0.45*SIN(2*PI()*(((Model_Data!A45)/Inputs!$C$49)+Inputs!$C$47*0.137))+0.35*COS(2*PI()*(((0)/Inputs!$C$50)+Inputs!$C$47*0.173))+0.20*SIN(2*PI()*(((Model_Data!A45)+(0))/(0.5*(Inputs!$C$49+Inputs!$C$50))+Inputs!$C$47*0.097)))+0.30*(2*((SIN(((Model_Data!A45)*12.9898+(0)*78.233+Inputs!$C$47*37.719))*43758.5453)-INT((SIN(((Model_Data!A45)*12.9898+(0)*78.233+Inputs!$C$47*37.719))*43758.5453)))-1))))/1000))*1000/Inputs!$C$12)-((SQRT((Model_Data!A45)^2+Inputs!$C$6^2+Inputs!$C$5^2)-Inputs!$C$5)*1000/Inputs!$C$12)))</x:f>
        <x:v>0.006288627889716736</x:v>
      </x:c>
      <x:c r="X45" s="48" t="n">
        <x:f>0</x:f>
        <x:v>0</x:v>
      </x:c>
      <x:c r="Y45" s="49"/>
      <x:c r="Z45" s="48" t="n">
        <x:f>Model_Data!A45</x:f>
        <x:v>-38.5</x:v>
      </x:c>
      <x:c r="AA45" s="48" t="n">
        <x:f>SQRT((Model_Data!A45)^2+Inputs!$C$6^2+((Model_Data!B45)-((Inputs!$C$51*(115*EXP(-(((Inputs!$C$6)-25)^2)/(4.5^2))+70*EXP(-(((Inputs!$C$6)+38)^2)/(7^2))*(0.55+0.45*SIN(2*PI()*(Model_Data!A45)/45))+24*SIN(2*PI()*(Inputs!$C$6)/9+(Model_Data!A45)/18)*EXP(-(((Inputs!$C$6)+5)^2)/(22^2))+18*SIN(2*PI()*(Model_Data!A45)/70))+Inputs!$C$28*EXP(-(((Model_Data!A45)-Inputs!$C$29)^2)/(2*Inputs!$C$31^2))*EXP(-(((Inputs!$C$6)-Inputs!$C$30)^2)/(2*Inputs!$C$32^2))+-Inputs!$C$33*EXP(-(((((Model_Data!A45)-Inputs!$C$34)^2)+(((Inputs!$C$6)-Inputs!$C$35)^2))/(2*Inputs!$C$36^2)))+Inputs!$C$37*(0.55*SIN(2*PI()*(Model_Data!A45)/Inputs!$C$39)+0.35*COS(2*PI()*(Inputs!$C$6)/Inputs!$C$40)+0.2*SIN(2*PI()*((Model_Data!A45)+(Inputs!$C$6))/(0.5*(Inputs!$C$39+Inputs!$C$40))))+Inputs!$C$38*SIN(2*PI()*(Model_Data!A45)/Inputs!$C$39)*SIN(2*PI()*(Inputs!$C$6)/Inputs!$C$40)+-Inputs!$C$41*EXP(-(((Inputs!$C$6)-Inputs!$C$43)^2)/(2*Inputs!$C$44^2))*EXP(-(((Model_Data!A45)-Inputs!$C$42)^2)/(2*Inputs!$C$45^2))+Inputs!$C$48*(0.70*(0.45*SIN(2*PI()*(((Model_Data!A45)/Inputs!$C$49)+Inputs!$C$47*0.137))+0.35*COS(2*PI()*(((Inputs!$C$6)/Inputs!$C$50)+Inputs!$C$47*0.173))+0.20*SIN(2*PI()*(((Model_Data!A45)+(Inputs!$C$6))/(0.5*(Inputs!$C$49+Inputs!$C$50))+Inputs!$C$47*0.097)))+0.30*(2*((SIN(((Model_Data!A45)*12.9898+(Inputs!$C$6)*78.233+Inputs!$C$47*37.719))*43758.5453)-INT((SIN(((Model_Data!A45)*12.9898+(Inputs!$C$6)*78.233+Inputs!$C$47*37.719))*43758.5453)))-1))))/1000)^2)</x:f>
        <x:v>404.05143017046345</x:v>
      </x:c>
      <x:c r="AB45" s="48" t="n">
        <x:f>1000*(AA46-AA44)/(Z46-Z44)*Inputs!$C$11</x:f>
        <x:v>-794.2217908180282</x:v>
      </x:c>
      <x:c r="AC45" s="48" t="n">
        <x:f>-2*AB45/Inputs!$C$13</x:f>
        <x:v>317.6887163272113</x:v>
      </x:c>
      <x:c r="AD45" s="48" t="n">
        <x:f>-2*AB45/Inputs!$C$14</x:f>
        <x:v>47.70100845753924</x:v>
      </x:c>
    </x:row>
    <x:row r="46">
      <x:c r="A46" s="48" t="n">
        <x:f>Model_Data!A46</x:f>
        <x:v>-38</x:v>
      </x:c>
      <x:c r="B46" s="48" t="n">
        <x:f>Model_Data!F46</x:f>
        <x:v>1442.533269506944</x:v>
      </x:c>
      <x:c r="C46" s="48" t="n">
        <x:f>(((SQRT((Model_Data!A46)^2+Inputs!$C$6^2+((Model_Data!B46)-((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(0.45*SIN(2*PI()*(((Model_Data!A46)/Inputs!$C$49)+Inputs!$C$47*0.137))+0.35*COS(2*PI()*(((Inputs!$C$6)/Inputs!$C$50)+Inputs!$C$47*0.173))+0.20*SIN(2*PI()*(((Model_Data!A46)+(Inputs!$C$6))/(0.5*(Inputs!$C$49+Inputs!$C$50))+Inputs!$C$47*0.097)))+0.30*(2*((SIN(((Model_Data!A46)*12.9898+(Inputs!$C$6)*78.233+Inputs!$C$47*37.719))*43758.5453)-INT((SIN(((Model_Data!A46)*12.9898+(Inputs!$C$6)*78.233+Inputs!$C$47*37.719))*43758.5453)))-1))))/1000)^2))-(((Model_Data!B46)-((Inputs!$C$51*(115*EXP(-(((0)-25)^2)/(4.5^2))+70*EXP(-(((0)+38)^2)/(7^2))*(0.55+0.45*SIN(2*PI()*(Model_Data!A46)/45))+24*SIN(2*PI()*(0)/9+(Model_Data!A46)/18)*EXP(-(((0)+5)^2)/(22^2))+18*SIN(2*PI()*(Model_Data!A46)/70))+Inputs!$C$28*EXP(-(((Model_Data!A46)-Inputs!$C$29)^2)/(2*Inputs!$C$31^2))*EXP(-(((0)-Inputs!$C$30)^2)/(2*Inputs!$C$32^2))+-Inputs!$C$33*EXP(-(((((Model_Data!A46)-Inputs!$C$34)^2)+(((0)-Inputs!$C$35)^2))/(2*Inputs!$C$36^2)))+Inputs!$C$37*(0.55*SIN(2*PI()*(Model_Data!A46)/Inputs!$C$39)+0.35*COS(2*PI()*(0)/Inputs!$C$40)+0.2*SIN(2*PI()*((Model_Data!A46)+(0))/(0.5*(Inputs!$C$39+Inputs!$C$40))))+Inputs!$C$38*SIN(2*PI()*(Model_Data!A46)/Inputs!$C$39)*SIN(2*PI()*(0)/Inputs!$C$40)+-Inputs!$C$41*EXP(-(((0)-Inputs!$C$43)^2)/(2*Inputs!$C$44^2))*EXP(-(((Model_Data!A46)-Inputs!$C$42)^2)/(2*Inputs!$C$45^2))+Inputs!$C$48*(0.70*(0.45*SIN(2*PI()*(((Model_Data!A46)/Inputs!$C$49)+Inputs!$C$47*0.137))+0.35*COS(2*PI()*(((0)/Inputs!$C$50)+Inputs!$C$47*0.173))+0.20*SIN(2*PI()*(((Model_Data!A46)+(0))/(0.5*(Inputs!$C$49+Inputs!$C$50))+Inputs!$C$47*0.097)))+0.30*(2*((SIN(((Model_Data!A46)*12.9898+(0)*78.233+Inputs!$C$47*37.719))*43758.5453)-INT((SIN(((Model_Data!A46)*12.9898+(0)*78.233+Inputs!$C$47*37.719))*43758.5453)))-1))))/1000)))*1000/Inputs!$C$12)</x:f>
        <x:v>1317.3624516769046</x:v>
      </x:c>
      <x:c r="D46" s="49"/>
      <x:c r="E46" s="48" t="n">
        <x:f>Model_Data!A46</x:f>
        <x:v>-38</x:v>
      </x:c>
      <x:c r="F46" s="48" t="n">
        <x:f>(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(0.45*SIN(2*PI()*(((Model_Data!A46)/Inputs!$C$49)+Inputs!$C$47*0.137))+0.35*COS(2*PI()*(((Inputs!$C$6)/Inputs!$C$50)+Inputs!$C$47*0.173))+0.20*SIN(2*PI()*(((Model_Data!A46)+(Inputs!$C$6))/(0.5*(Inputs!$C$49+Inputs!$C$50))+Inputs!$C$47*0.097)))+0.30*(2*((SIN(((Model_Data!A46)*12.9898+(Inputs!$C$6)*78.233+Inputs!$C$47*37.719))*43758.5453)-INT((SIN(((Model_Data!A46)*12.9898+(Inputs!$C$6)*78.233+Inputs!$C$47*37.719))*43758.5453)))-1)))</x:f>
        <x:v>202.93658014849487</x:v>
      </x:c>
      <x:c r="G46" s="48" t="n">
        <x:f>(Inputs!$C$51*(115*EXP(-(((0)-25)^2)/(4.5^2))+70*EXP(-(((0)+38)^2)/(7^2))*(0.55+0.45*SIN(2*PI()*(Model_Data!A46)/45))+24*SIN(2*PI()*(0)/9+(Model_Data!A46)/18)*EXP(-(((0)+5)^2)/(22^2))+18*SIN(2*PI()*(Model_Data!A46)/70))+Inputs!$C$28*EXP(-(((Model_Data!A46)-Inputs!$C$29)^2)/(2*Inputs!$C$31^2))*EXP(-(((0)-Inputs!$C$30)^2)/(2*Inputs!$C$32^2))+-Inputs!$C$33*EXP(-(((((Model_Data!A46)-Inputs!$C$34)^2)+(((0)-Inputs!$C$35)^2))/(2*Inputs!$C$36^2)))+Inputs!$C$37*(0.55*SIN(2*PI()*(Model_Data!A46)/Inputs!$C$39)+0.35*COS(2*PI()*(0)/Inputs!$C$40)+0.2*SIN(2*PI()*((Model_Data!A46)+(0))/(0.5*(Inputs!$C$39+Inputs!$C$40))))+Inputs!$C$38*SIN(2*PI()*(Model_Data!A46)/Inputs!$C$39)*SIN(2*PI()*(0)/Inputs!$C$40)+-Inputs!$C$41*EXP(-(((0)-Inputs!$C$43)^2)/(2*Inputs!$C$44^2))*EXP(-(((Model_Data!A46)-Inputs!$C$42)^2)/(2*Inputs!$C$45^2))+Inputs!$C$48*(0.70*(0.45*SIN(2*PI()*(((Model_Data!A46)/Inputs!$C$49)+Inputs!$C$47*0.137))+0.35*COS(2*PI()*(((0)/Inputs!$C$50)+Inputs!$C$47*0.173))+0.20*SIN(2*PI()*(((Model_Data!A46)+(0))/(0.5*(Inputs!$C$49+Inputs!$C$50))+Inputs!$C$47*0.097)))+0.30*(2*((SIN(((Model_Data!A46)*12.9898+(0)*78.233+Inputs!$C$47*37.719))*43758.5453)-INT((SIN(((Model_Data!A46)*12.9898+(0)*78.233+Inputs!$C$47*37.719))*43758.5453)))-1)))</x:f>
        <x:v>-21.15737906152213</x:v>
      </x:c>
      <x:c r="H46" s="49"/>
      <x:c r="I46" s="48" t="n">
        <x:f>Model_Data!A46</x:f>
        <x:v>-38</x:v>
      </x:c>
      <x:c r="J46" s="48" t="n">
        <x:f>((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(0.45*SIN(2*PI()*(((Model_Data!A46)/Inputs!$C$49)+Inputs!$C$47*0.137))+0.35*COS(2*PI()*(((Inputs!$C$6)/Inputs!$C$50)+Inputs!$C$47*0.173))+0.20*SIN(2*PI()*(((Model_Data!A46)+(Inputs!$C$6))/(0.5*(Inputs!$C$49+Inputs!$C$50))+Inputs!$C$47*0.097)))+0.30*(2*((SIN(((Model_Data!A46)*12.9898+(Inputs!$C$6)*78.233+Inputs!$C$47*37.719))*43758.5453)-INT((SIN(((Model_Data!A46)*12.9898+(Inputs!$C$6)*78.233+Inputs!$C$47*37.719))*43758.5453)))-1))))-((Inputs!$C$51*(115*EXP(-(((0)-25)^2)/(4.5^2))+70*EXP(-(((0)+38)^2)/(7^2))*(0.55+0.45*SIN(2*PI()*(Model_Data!A46)/45))+24*SIN(2*PI()*(0)/9+(Model_Data!A46)/18)*EXP(-(((0)+5)^2)/(22^2))+18*SIN(2*PI()*(Model_Data!A46)/70))+Inputs!$C$28*EXP(-(((Model_Data!A46)-Inputs!$C$29)^2)/(2*Inputs!$C$31^2))*EXP(-(((0)-Inputs!$C$30)^2)/(2*Inputs!$C$32^2))+-Inputs!$C$33*EXP(-(((((Model_Data!A46)-Inputs!$C$34)^2)+(((0)-Inputs!$C$35)^2))/(2*Inputs!$C$36^2)))+Inputs!$C$37*(0.55*SIN(2*PI()*(Model_Data!A46)/Inputs!$C$39)+0.35*COS(2*PI()*(0)/Inputs!$C$40)+0.2*SIN(2*PI()*((Model_Data!A46)+(0))/(0.5*(Inputs!$C$39+Inputs!$C$40))))+Inputs!$C$38*SIN(2*PI()*(Model_Data!A46)/Inputs!$C$39)*SIN(2*PI()*(0)/Inputs!$C$40)+-Inputs!$C$41*EXP(-(((0)-Inputs!$C$43)^2)/(2*Inputs!$C$44^2))*EXP(-(((Model_Data!A46)-Inputs!$C$42)^2)/(2*Inputs!$C$45^2))+Inputs!$C$48*(0.70*(0.45*SIN(2*PI()*(((Model_Data!A46)/Inputs!$C$49)+Inputs!$C$47*0.137))+0.35*COS(2*PI()*(((0)/Inputs!$C$50)+Inputs!$C$47*0.173))+0.20*SIN(2*PI()*(((Model_Data!A46)+(0))/(0.5*(Inputs!$C$49+Inputs!$C$50))+Inputs!$C$47*0.097)))+0.30*(2*((SIN(((Model_Data!A46)*12.9898+(0)*78.233+Inputs!$C$47*37.719))*43758.5453)-INT((SIN(((Model_Data!A46)*12.9898+(0)*78.233+Inputs!$C$47*37.719))*43758.5453)))-1))))</x:f>
        <x:v>224.093959210017</x:v>
      </x:c>
      <x:c r="K46" s="48" t="n">
        <x:f>-((((SQRT((Model_Data!A46)^2+Inputs!$C$6^2+((Model_Data!B46)-((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(0.45*SIN(2*PI()*(((Model_Data!A46)/Inputs!$C$49)+Inputs!$C$47*0.137))+0.35*COS(2*PI()*(((Inputs!$C$6)/Inputs!$C$50)+Inputs!$C$47*0.173))+0.20*SIN(2*PI()*(((Model_Data!A46)+(Inputs!$C$6))/(0.5*(Inputs!$C$49+Inputs!$C$50))+Inputs!$C$47*0.097)))+0.30*(2*((SIN(((Model_Data!A46)*12.9898+(Inputs!$C$6)*78.233+Inputs!$C$47*37.719))*43758.5453)-INT((SIN(((Model_Data!A46)*12.9898+(Inputs!$C$6)*78.233+Inputs!$C$47*37.719))*43758.5453)))-1))))/1000)^2))-(((Model_Data!B46)-((Inputs!$C$51*(115*EXP(-(((0)-25)^2)/(4.5^2))+70*EXP(-(((0)+38)^2)/(7^2))*(0.55+0.45*SIN(2*PI()*(Model_Data!A46)/45))+24*SIN(2*PI()*(0)/9+(Model_Data!A46)/18)*EXP(-(((0)+5)^2)/(22^2))+18*SIN(2*PI()*(Model_Data!A46)/70))+Inputs!$C$28*EXP(-(((Model_Data!A46)-Inputs!$C$29)^2)/(2*Inputs!$C$31^2))*EXP(-(((0)-Inputs!$C$30)^2)/(2*Inputs!$C$32^2))+-Inputs!$C$33*EXP(-(((((Model_Data!A46)-Inputs!$C$34)^2)+(((0)-Inputs!$C$35)^2))/(2*Inputs!$C$36^2)))+Inputs!$C$37*(0.55*SIN(2*PI()*(Model_Data!A46)/Inputs!$C$39)+0.35*COS(2*PI()*(0)/Inputs!$C$40)+0.2*SIN(2*PI()*((Model_Data!A46)+(0))/(0.5*(Inputs!$C$39+Inputs!$C$40))))+Inputs!$C$38*SIN(2*PI()*(Model_Data!A46)/Inputs!$C$39)*SIN(2*PI()*(0)/Inputs!$C$40)+-Inputs!$C$41*EXP(-(((0)-Inputs!$C$43)^2)/(2*Inputs!$C$44^2))*EXP(-(((Model_Data!A46)-Inputs!$C$42)^2)/(2*Inputs!$C$45^2))+Inputs!$C$48*(0.70*(0.45*SIN(2*PI()*(((Model_Data!A46)/Inputs!$C$49)+Inputs!$C$47*0.137))+0.35*COS(2*PI()*(((0)/Inputs!$C$50)+Inputs!$C$47*0.173))+0.20*SIN(2*PI()*(((Model_Data!A46)+(0))/(0.5*(Inputs!$C$49+Inputs!$C$50))+Inputs!$C$47*0.097)))+0.30*(2*((SIN(((Model_Data!A46)*12.9898+(0)*78.233+Inputs!$C$47*37.719))*43758.5453)-INT((SIN(((Model_Data!A46)*12.9898+(0)*78.233+Inputs!$C$47*37.719))*43758.5453)))-1))))/1000)))*1000/Inputs!$C$12)-Model_Data!F46)</x:f>
        <x:v>125.17081783003937</x:v>
      </x:c>
      <x:c r="L46" s="49"/>
      <x:c r="M46" s="48" t="n">
        <x:f>Model_Data!A46</x:f>
        <x:v>-38</x:v>
      </x:c>
      <x:c r="N46" s="48" t="n">
        <x:f>Model_Data!P46</x:f>
        <x:v>284.68369647171596</x:v>
      </x:c>
      <x:c r="O46" s="48" t="n">
        <x:f>AC46</x:f>
        <x:v>328.56996611108116</x:v>
      </x:c>
      <x:c r="P46" s="48" t="n">
        <x:f>Model_Data!Q46</x:f>
        <x:v>42.74529977052792</x:v>
      </x:c>
      <x:c r="Q46" s="48" t="n">
        <x:f>AD46</x:f>
        <x:v>49.33482974640859</x:v>
      </x:c>
      <x:c r="R46" s="49"/>
      <x:c r="S46" s="48" t="n">
        <x:f>Model_Data!A46</x:f>
        <x:v>-38</x:v>
      </x:c>
      <x:c r="T46" s="48" t="n">
        <x:f>Model_Data!B46-Inputs!$C$5</x:f>
        <x:v>1.6044444444444252</x:v>
      </x:c>
      <x:c r="U46" s="49"/>
      <x:c r="V46" s="48" t="n">
        <x:f>Model_Data!A46</x:f>
        <x:v>-38</x:v>
      </x:c>
      <x:c r="W46" s="48" t="n">
        <x:f>(-((((SQRT((Model_Data!A46)^2+Inputs!$C$6^2+((Model_Data!B46)-((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(0.45*SIN(2*PI()*(((Model_Data!A46)/Inputs!$C$49)+Inputs!$C$47*0.137))+0.35*COS(2*PI()*(((Inputs!$C$6)/Inputs!$C$50)+Inputs!$C$47*0.173))+0.20*SIN(2*PI()*(((Model_Data!A46)+(Inputs!$C$6))/(0.5*(Inputs!$C$49+Inputs!$C$50))+Inputs!$C$47*0.097)))+0.30*(2*((SIN(((Model_Data!A46)*12.9898+(Inputs!$C$6)*78.233+Inputs!$C$47*37.719))*43758.5453)-INT((SIN(((Model_Data!A46)*12.9898+(Inputs!$C$6)*78.233+Inputs!$C$47*37.719))*43758.5453)))-1))))/1000)^2))-(((Model_Data!B46)-((Inputs!$C$51*(115*EXP(-(((0)-25)^2)/(4.5^2))+70*EXP(-(((0)+38)^2)/(7^2))*(0.55+0.45*SIN(2*PI()*(Model_Data!A46)/45))+24*SIN(2*PI()*(0)/9+(Model_Data!A46)/18)*EXP(-(((0)+5)^2)/(22^2))+18*SIN(2*PI()*(Model_Data!A46)/70))+Inputs!$C$28*EXP(-(((Model_Data!A46)-Inputs!$C$29)^2)/(2*Inputs!$C$31^2))*EXP(-(((0)-Inputs!$C$30)^2)/(2*Inputs!$C$32^2))+-Inputs!$C$33*EXP(-(((((Model_Data!A46)-Inputs!$C$34)^2)+(((0)-Inputs!$C$35)^2))/(2*Inputs!$C$36^2)))+Inputs!$C$37*(0.55*SIN(2*PI()*(Model_Data!A46)/Inputs!$C$39)+0.35*COS(2*PI()*(0)/Inputs!$C$40)+0.2*SIN(2*PI()*((Model_Data!A46)+(0))/(0.5*(Inputs!$C$39+Inputs!$C$40))))+Inputs!$C$38*SIN(2*PI()*(Model_Data!A46)/Inputs!$C$39)*SIN(2*PI()*(0)/Inputs!$C$40)+-Inputs!$C$41*EXP(-(((0)-Inputs!$C$43)^2)/(2*Inputs!$C$44^2))*EXP(-(((Model_Data!A46)-Inputs!$C$42)^2)/(2*Inputs!$C$45^2))+Inputs!$C$48*(0.70*(0.45*SIN(2*PI()*(((Model_Data!A46)/Inputs!$C$49)+Inputs!$C$47*0.137))+0.35*COS(2*PI()*(((0)/Inputs!$C$50)+Inputs!$C$47*0.173))+0.20*SIN(2*PI()*(((Model_Data!A46)+(0))/(0.5*(Inputs!$C$49+Inputs!$C$50))+Inputs!$C$47*0.097)))+0.30*(2*((SIN(((Model_Data!A46)*12.9898+(0)*78.233+Inputs!$C$47*37.719))*43758.5453)-INT((SIN(((Model_Data!A46)*12.9898+(0)*78.233+Inputs!$C$47*37.719))*43758.5453)))-1))))/1000)))*1000/Inputs!$C$12)-Model_Data!F46))-(-(((SQRT((Model_Data!A46)^2+Inputs!$C$6^2+(Inputs!$C$5-((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(0.45*SIN(2*PI()*(((Model_Data!A46)/Inputs!$C$49)+Inputs!$C$47*0.137))+0.35*COS(2*PI()*(((Inputs!$C$6)/Inputs!$C$50)+Inputs!$C$47*0.173))+0.20*SIN(2*PI()*(((Model_Data!A46)+(Inputs!$C$6))/(0.5*(Inputs!$C$49+Inputs!$C$50))+Inputs!$C$47*0.097)))+0.30*(2*((SIN(((Model_Data!A46)*12.9898+(Inputs!$C$6)*78.233+Inputs!$C$47*37.719))*43758.5453)-INT((SIN(((Model_Data!A46)*12.9898+(Inputs!$C$6)*78.233+Inputs!$C$47*37.719))*43758.5453)))-1))))/1000)^2)-(Inputs!$C$5-((Inputs!$C$51*(115*EXP(-(((0)-25)^2)/(4.5^2))+70*EXP(-(((0)+38)^2)/(7^2))*(0.55+0.45*SIN(2*PI()*(Model_Data!A46)/45))+24*SIN(2*PI()*(0)/9+(Model_Data!A46)/18)*EXP(-(((0)+5)^2)/(22^2))+18*SIN(2*PI()*(Model_Data!A46)/70))+Inputs!$C$28*EXP(-(((Model_Data!A46)-Inputs!$C$29)^2)/(2*Inputs!$C$31^2))*EXP(-(((0)-Inputs!$C$30)^2)/(2*Inputs!$C$32^2))+-Inputs!$C$33*EXP(-(((((Model_Data!A46)-Inputs!$C$34)^2)+(((0)-Inputs!$C$35)^2))/(2*Inputs!$C$36^2)))+Inputs!$C$37*(0.55*SIN(2*PI()*(Model_Data!A46)/Inputs!$C$39)+0.35*COS(2*PI()*(0)/Inputs!$C$40)+0.2*SIN(2*PI()*((Model_Data!A46)+(0))/(0.5*(Inputs!$C$39+Inputs!$C$40))))+Inputs!$C$38*SIN(2*PI()*(Model_Data!A46)/Inputs!$C$39)*SIN(2*PI()*(0)/Inputs!$C$40)+-Inputs!$C$41*EXP(-(((0)-Inputs!$C$43)^2)/(2*Inputs!$C$44^2))*EXP(-(((Model_Data!A46)-Inputs!$C$42)^2)/(2*Inputs!$C$45^2))+Inputs!$C$48*(0.70*(0.45*SIN(2*PI()*(((Model_Data!A46)/Inputs!$C$49)+Inputs!$C$47*0.137))+0.35*COS(2*PI()*(((0)/Inputs!$C$50)+Inputs!$C$47*0.173))+0.20*SIN(2*PI()*(((Model_Data!A46)+(0))/(0.5*(Inputs!$C$49+Inputs!$C$50))+Inputs!$C$47*0.097)))+0.30*(2*((SIN(((Model_Data!A46)*12.9898+(0)*78.233+Inputs!$C$47*37.719))*43758.5453)-INT((SIN(((Model_Data!A46)*12.9898+(0)*78.233+Inputs!$C$47*37.719))*43758.5453)))-1))))/1000))*1000/Inputs!$C$12)-((SQRT((Model_Data!A46)^2+Inputs!$C$6^2+Inputs!$C$5^2)-Inputs!$C$5)*1000/Inputs!$C$12)))</x:f>
        <x:v>0.005770687773974714</x:v>
      </x:c>
      <x:c r="X46" s="48" t="n">
        <x:f>0</x:f>
        <x:v>0</x:v>
      </x:c>
      <x:c r="Y46" s="49"/>
      <x:c r="Z46" s="48" t="n">
        <x:f>Model_Data!A46</x:f>
        <x:v>-38</x:v>
      </x:c>
      <x:c r="AA46" s="48" t="n">
        <x:f>SQRT((Model_Data!A46)^2+Inputs!$C$6^2+((Model_Data!B46)-((Inputs!$C$51*(115*EXP(-(((Inputs!$C$6)-25)^2)/(4.5^2))+70*EXP(-(((Inputs!$C$6)+38)^2)/(7^2))*(0.55+0.45*SIN(2*PI()*(Model_Data!A46)/45))+24*SIN(2*PI()*(Inputs!$C$6)/9+(Model_Data!A46)/18)*EXP(-(((Inputs!$C$6)+5)^2)/(22^2))+18*SIN(2*PI()*(Model_Data!A46)/70))+Inputs!$C$28*EXP(-(((Model_Data!A46)-Inputs!$C$29)^2)/(2*Inputs!$C$31^2))*EXP(-(((Inputs!$C$6)-Inputs!$C$30)^2)/(2*Inputs!$C$32^2))+-Inputs!$C$33*EXP(-(((((Model_Data!A46)-Inputs!$C$34)^2)+(((Inputs!$C$6)-Inputs!$C$35)^2))/(2*Inputs!$C$36^2)))+Inputs!$C$37*(0.55*SIN(2*PI()*(Model_Data!A46)/Inputs!$C$39)+0.35*COS(2*PI()*(Inputs!$C$6)/Inputs!$C$40)+0.2*SIN(2*PI()*((Model_Data!A46)+(Inputs!$C$6))/(0.5*(Inputs!$C$39+Inputs!$C$40))))+Inputs!$C$38*SIN(2*PI()*(Model_Data!A46)/Inputs!$C$39)*SIN(2*PI()*(Inputs!$C$6)/Inputs!$C$40)+-Inputs!$C$41*EXP(-(((Inputs!$C$6)-Inputs!$C$43)^2)/(2*Inputs!$C$44^2))*EXP(-(((Model_Data!A46)-Inputs!$C$42)^2)/(2*Inputs!$C$45^2))+Inputs!$C$48*(0.70*(0.45*SIN(2*PI()*(((Model_Data!A46)/Inputs!$C$49)+Inputs!$C$47*0.137))+0.35*COS(2*PI()*(((Inputs!$C$6)/Inputs!$C$50)+Inputs!$C$47*0.173))+0.20*SIN(2*PI()*(((Model_Data!A46)+(Inputs!$C$6))/(0.5*(Inputs!$C$49+Inputs!$C$50))+Inputs!$C$47*0.097)))+0.30*(2*((SIN(((Model_Data!A46)*12.9898+(Inputs!$C$6)*78.233+Inputs!$C$47*37.719))*43758.5453)-INT((SIN(((Model_Data!A46)*12.9898+(Inputs!$C$6)*78.233+Inputs!$C$47*37.719))*43758.5453)))-1))))/1000)^2)</x:f>
        <x:v>403.97050698749086</x:v>
      </x:c>
      <x:c r="AB46" s="48" t="n">
        <x:f>1000*(AA47-AA45)/(Z47-Z45)*Inputs!$C$11</x:f>
        <x:v>-821.4249152777029</x:v>
      </x:c>
      <x:c r="AC46" s="48" t="n">
        <x:f>-2*AB46/Inputs!$C$13</x:f>
        <x:v>328.56996611108116</x:v>
      </x:c>
      <x:c r="AD46" s="48" t="n">
        <x:f>-2*AB46/Inputs!$C$14</x:f>
        <x:v>49.33482974640859</x:v>
      </x:c>
    </x:row>
    <x:row r="47">
      <x:c r="A47" s="48" t="n">
        <x:f>Model_Data!A47</x:f>
        <x:v>-37.5</x:v>
      </x:c>
      <x:c r="B47" s="48" t="n">
        <x:f>Model_Data!F47</x:f>
        <x:v>1416.4425890006503</x:v>
      </x:c>
      <x:c r="C47" s="48" t="n">
        <x:f>(((SQRT((Model_Data!A47)^2+Inputs!$C$6^2+((Model_Data!B47)-((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(0.45*SIN(2*PI()*(((Model_Data!A47)/Inputs!$C$49)+Inputs!$C$47*0.137))+0.35*COS(2*PI()*(((Inputs!$C$6)/Inputs!$C$50)+Inputs!$C$47*0.173))+0.20*SIN(2*PI()*(((Model_Data!A47)+(Inputs!$C$6))/(0.5*(Inputs!$C$49+Inputs!$C$50))+Inputs!$C$47*0.097)))+0.30*(2*((SIN(((Model_Data!A47)*12.9898+(Inputs!$C$6)*78.233+Inputs!$C$47*37.719))*43758.5453)-INT((SIN(((Model_Data!A47)*12.9898+(Inputs!$C$6)*78.233+Inputs!$C$47*37.719))*43758.5453)))-1))))/1000)^2))-(((Model_Data!B47)-((Inputs!$C$51*(115*EXP(-(((0)-25)^2)/(4.5^2))+70*EXP(-(((0)+38)^2)/(7^2))*(0.55+0.45*SIN(2*PI()*(Model_Data!A47)/45))+24*SIN(2*PI()*(0)/9+(Model_Data!A47)/18)*EXP(-(((0)+5)^2)/(22^2))+18*SIN(2*PI()*(Model_Data!A47)/70))+Inputs!$C$28*EXP(-(((Model_Data!A47)-Inputs!$C$29)^2)/(2*Inputs!$C$31^2))*EXP(-(((0)-Inputs!$C$30)^2)/(2*Inputs!$C$32^2))+-Inputs!$C$33*EXP(-(((((Model_Data!A47)-Inputs!$C$34)^2)+(((0)-Inputs!$C$35)^2))/(2*Inputs!$C$36^2)))+Inputs!$C$37*(0.55*SIN(2*PI()*(Model_Data!A47)/Inputs!$C$39)+0.35*COS(2*PI()*(0)/Inputs!$C$40)+0.2*SIN(2*PI()*((Model_Data!A47)+(0))/(0.5*(Inputs!$C$39+Inputs!$C$40))))+Inputs!$C$38*SIN(2*PI()*(Model_Data!A47)/Inputs!$C$39)*SIN(2*PI()*(0)/Inputs!$C$40)+-Inputs!$C$41*EXP(-(((0)-Inputs!$C$43)^2)/(2*Inputs!$C$44^2))*EXP(-(((Model_Data!A47)-Inputs!$C$42)^2)/(2*Inputs!$C$45^2))+Inputs!$C$48*(0.70*(0.45*SIN(2*PI()*(((Model_Data!A47)/Inputs!$C$49)+Inputs!$C$47*0.137))+0.35*COS(2*PI()*(((0)/Inputs!$C$50)+Inputs!$C$47*0.173))+0.20*SIN(2*PI()*(((Model_Data!A47)+(0))/(0.5*(Inputs!$C$49+Inputs!$C$50))+Inputs!$C$47*0.097)))+0.30*(2*((SIN(((Model_Data!A47)*12.9898+(0)*78.233+Inputs!$C$47*37.719))*43758.5453)-INT((SIN(((Model_Data!A47)*12.9898+(0)*78.233+Inputs!$C$47*37.719))*43758.5453)))-1))))/1000)))*1000/Inputs!$C$12)</x:f>
        <x:v>1272.404792117794</x:v>
      </x:c>
      <x:c r="D47" s="49"/>
      <x:c r="E47" s="48" t="n">
        <x:f>Model_Data!A47</x:f>
        <x:v>-37.5</x:v>
      </x:c>
      <x:c r="F47" s="48" t="n">
        <x:f>(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(0.45*SIN(2*PI()*(((Model_Data!A47)/Inputs!$C$49)+Inputs!$C$47*0.137))+0.35*COS(2*PI()*(((Inputs!$C$6)/Inputs!$C$50)+Inputs!$C$47*0.173))+0.20*SIN(2*PI()*(((Model_Data!A47)+(Inputs!$C$6))/(0.5*(Inputs!$C$49+Inputs!$C$50))+Inputs!$C$47*0.097)))+0.30*(2*((SIN(((Model_Data!A47)*12.9898+(Inputs!$C$6)*78.233+Inputs!$C$47*37.719))*43758.5453)-INT((SIN(((Model_Data!A47)*12.9898+(Inputs!$C$6)*78.233+Inputs!$C$47*37.719))*43758.5453)))-1)))</x:f>
        <x:v>239.1871485288169</x:v>
      </x:c>
      <x:c r="G47" s="48" t="n">
        <x:f>(Inputs!$C$51*(115*EXP(-(((0)-25)^2)/(4.5^2))+70*EXP(-(((0)+38)^2)/(7^2))*(0.55+0.45*SIN(2*PI()*(Model_Data!A47)/45))+24*SIN(2*PI()*(0)/9+(Model_Data!A47)/18)*EXP(-(((0)+5)^2)/(22^2))+18*SIN(2*PI()*(Model_Data!A47)/70))+Inputs!$C$28*EXP(-(((Model_Data!A47)-Inputs!$C$29)^2)/(2*Inputs!$C$31^2))*EXP(-(((0)-Inputs!$C$30)^2)/(2*Inputs!$C$32^2))+-Inputs!$C$33*EXP(-(((((Model_Data!A47)-Inputs!$C$34)^2)+(((0)-Inputs!$C$35)^2))/(2*Inputs!$C$36^2)))+Inputs!$C$37*(0.55*SIN(2*PI()*(Model_Data!A47)/Inputs!$C$39)+0.35*COS(2*PI()*(0)/Inputs!$C$40)+0.2*SIN(2*PI()*((Model_Data!A47)+(0))/(0.5*(Inputs!$C$39+Inputs!$C$40))))+Inputs!$C$38*SIN(2*PI()*(Model_Data!A47)/Inputs!$C$39)*SIN(2*PI()*(0)/Inputs!$C$40)+-Inputs!$C$41*EXP(-(((0)-Inputs!$C$43)^2)/(2*Inputs!$C$44^2))*EXP(-(((Model_Data!A47)-Inputs!$C$42)^2)/(2*Inputs!$C$45^2))+Inputs!$C$48*(0.70*(0.45*SIN(2*PI()*(((Model_Data!A47)/Inputs!$C$49)+Inputs!$C$47*0.137))+0.35*COS(2*PI()*(((0)/Inputs!$C$50)+Inputs!$C$47*0.173))+0.20*SIN(2*PI()*(((Model_Data!A47)+(0))/(0.5*(Inputs!$C$49+Inputs!$C$50))+Inputs!$C$47*0.097)))+0.30*(2*((SIN(((Model_Data!A47)*12.9898+(0)*78.233+Inputs!$C$47*37.719))*43758.5453)-INT((SIN(((Model_Data!A47)*12.9898+(0)*78.233+Inputs!$C$47*37.719))*43758.5453)))-1)))</x:f>
        <x:v>-18.69341167436205</x:v>
      </x:c>
      <x:c r="H47" s="49"/>
      <x:c r="I47" s="48" t="n">
        <x:f>Model_Data!A47</x:f>
        <x:v>-37.5</x:v>
      </x:c>
      <x:c r="J47" s="48" t="n">
        <x:f>((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(0.45*SIN(2*PI()*(((Model_Data!A47)/Inputs!$C$49)+Inputs!$C$47*0.137))+0.35*COS(2*PI()*(((Inputs!$C$6)/Inputs!$C$50)+Inputs!$C$47*0.173))+0.20*SIN(2*PI()*(((Model_Data!A47)+(Inputs!$C$6))/(0.5*(Inputs!$C$49+Inputs!$C$50))+Inputs!$C$47*0.097)))+0.30*(2*((SIN(((Model_Data!A47)*12.9898+(Inputs!$C$6)*78.233+Inputs!$C$47*37.719))*43758.5453)-INT((SIN(((Model_Data!A47)*12.9898+(Inputs!$C$6)*78.233+Inputs!$C$47*37.719))*43758.5453)))-1))))-((Inputs!$C$51*(115*EXP(-(((0)-25)^2)/(4.5^2))+70*EXP(-(((0)+38)^2)/(7^2))*(0.55+0.45*SIN(2*PI()*(Model_Data!A47)/45))+24*SIN(2*PI()*(0)/9+(Model_Data!A47)/18)*EXP(-(((0)+5)^2)/(22^2))+18*SIN(2*PI()*(Model_Data!A47)/70))+Inputs!$C$28*EXP(-(((Model_Data!A47)-Inputs!$C$29)^2)/(2*Inputs!$C$31^2))*EXP(-(((0)-Inputs!$C$30)^2)/(2*Inputs!$C$32^2))+-Inputs!$C$33*EXP(-(((((Model_Data!A47)-Inputs!$C$34)^2)+(((0)-Inputs!$C$35)^2))/(2*Inputs!$C$36^2)))+Inputs!$C$37*(0.55*SIN(2*PI()*(Model_Data!A47)/Inputs!$C$39)+0.35*COS(2*PI()*(0)/Inputs!$C$40)+0.2*SIN(2*PI()*((Model_Data!A47)+(0))/(0.5*(Inputs!$C$39+Inputs!$C$40))))+Inputs!$C$38*SIN(2*PI()*(Model_Data!A47)/Inputs!$C$39)*SIN(2*PI()*(0)/Inputs!$C$40)+-Inputs!$C$41*EXP(-(((0)-Inputs!$C$43)^2)/(2*Inputs!$C$44^2))*EXP(-(((Model_Data!A47)-Inputs!$C$42)^2)/(2*Inputs!$C$45^2))+Inputs!$C$48*(0.70*(0.45*SIN(2*PI()*(((Model_Data!A47)/Inputs!$C$49)+Inputs!$C$47*0.137))+0.35*COS(2*PI()*(((0)/Inputs!$C$50)+Inputs!$C$47*0.173))+0.20*SIN(2*PI()*(((Model_Data!A47)+(0))/(0.5*(Inputs!$C$49+Inputs!$C$50))+Inputs!$C$47*0.097)))+0.30*(2*((SIN(((Model_Data!A47)*12.9898+(0)*78.233+Inputs!$C$47*37.719))*43758.5453)-INT((SIN(((Model_Data!A47)*12.9898+(0)*78.233+Inputs!$C$47*37.719))*43758.5453)))-1))))</x:f>
        <x:v>257.88056020317896</x:v>
      </x:c>
      <x:c r="K47" s="48" t="n">
        <x:f>-((((SQRT((Model_Data!A47)^2+Inputs!$C$6^2+((Model_Data!B47)-((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(0.45*SIN(2*PI()*(((Model_Data!A47)/Inputs!$C$49)+Inputs!$C$47*0.137))+0.35*COS(2*PI()*(((Inputs!$C$6)/Inputs!$C$50)+Inputs!$C$47*0.173))+0.20*SIN(2*PI()*(((Model_Data!A47)+(Inputs!$C$6))/(0.5*(Inputs!$C$49+Inputs!$C$50))+Inputs!$C$47*0.097)))+0.30*(2*((SIN(((Model_Data!A47)*12.9898+(Inputs!$C$6)*78.233+Inputs!$C$47*37.719))*43758.5453)-INT((SIN(((Model_Data!A47)*12.9898+(Inputs!$C$6)*78.233+Inputs!$C$47*37.719))*43758.5453)))-1))))/1000)^2))-(((Model_Data!B47)-((Inputs!$C$51*(115*EXP(-(((0)-25)^2)/(4.5^2))+70*EXP(-(((0)+38)^2)/(7^2))*(0.55+0.45*SIN(2*PI()*(Model_Data!A47)/45))+24*SIN(2*PI()*(0)/9+(Model_Data!A47)/18)*EXP(-(((0)+5)^2)/(22^2))+18*SIN(2*PI()*(Model_Data!A47)/70))+Inputs!$C$28*EXP(-(((Model_Data!A47)-Inputs!$C$29)^2)/(2*Inputs!$C$31^2))*EXP(-(((0)-Inputs!$C$30)^2)/(2*Inputs!$C$32^2))+-Inputs!$C$33*EXP(-(((((Model_Data!A47)-Inputs!$C$34)^2)+(((0)-Inputs!$C$35)^2))/(2*Inputs!$C$36^2)))+Inputs!$C$37*(0.55*SIN(2*PI()*(Model_Data!A47)/Inputs!$C$39)+0.35*COS(2*PI()*(0)/Inputs!$C$40)+0.2*SIN(2*PI()*((Model_Data!A47)+(0))/(0.5*(Inputs!$C$39+Inputs!$C$40))))+Inputs!$C$38*SIN(2*PI()*(Model_Data!A47)/Inputs!$C$39)*SIN(2*PI()*(0)/Inputs!$C$40)+-Inputs!$C$41*EXP(-(((0)-Inputs!$C$43)^2)/(2*Inputs!$C$44^2))*EXP(-(((Model_Data!A47)-Inputs!$C$42)^2)/(2*Inputs!$C$45^2))+Inputs!$C$48*(0.70*(0.45*SIN(2*PI()*(((Model_Data!A47)/Inputs!$C$49)+Inputs!$C$47*0.137))+0.35*COS(2*PI()*(((0)/Inputs!$C$50)+Inputs!$C$47*0.173))+0.20*SIN(2*PI()*(((Model_Data!A47)+(0))/(0.5*(Inputs!$C$49+Inputs!$C$50))+Inputs!$C$47*0.097)))+0.30*(2*((SIN(((Model_Data!A47)*12.9898+(0)*78.233+Inputs!$C$47*37.719))*43758.5453)-INT((SIN(((Model_Data!A47)*12.9898+(0)*78.233+Inputs!$C$47*37.719))*43758.5453)))-1))))/1000)))*1000/Inputs!$C$12)-Model_Data!F47)</x:f>
        <x:v>144.03779688285636</x:v>
      </x:c>
      <x:c r="L47" s="49"/>
      <x:c r="M47" s="48" t="n">
        <x:f>Model_Data!A47</x:f>
        <x:v>-37.5</x:v>
      </x:c>
      <x:c r="N47" s="48" t="n">
        <x:f>Model_Data!P47</x:f>
        <x:v>280.98546814307457</x:v>
      </x:c>
      <x:c r="O47" s="48" t="n">
        <x:f>AC47</x:f>
        <x:v>333.93554114127255</x:v>
      </x:c>
      <x:c r="P47" s="48" t="n">
        <x:f>Model_Data!Q47</x:f>
        <x:v>42.19001023169288</x:v>
      </x:c>
      <x:c r="Q47" s="48" t="n">
        <x:f>AD47</x:f>
        <x:v>50.140471642833724</x:v>
      </x:c>
      <x:c r="R47" s="49"/>
      <x:c r="S47" s="48" t="n">
        <x:f>Model_Data!A47</x:f>
        <x:v>-37.5</x:v>
      </x:c>
      <x:c r="T47" s="48" t="n">
        <x:f>Model_Data!B47-Inputs!$C$5</x:f>
        <x:v>1.5625</x:v>
      </x:c>
      <x:c r="U47" s="49"/>
      <x:c r="V47" s="48" t="n">
        <x:f>Model_Data!A47</x:f>
        <x:v>-37.5</x:v>
      </x:c>
      <x:c r="W47" s="48" t="n">
        <x:f>(-((((SQRT((Model_Data!A47)^2+Inputs!$C$6^2+((Model_Data!B47)-((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(0.45*SIN(2*PI()*(((Model_Data!A47)/Inputs!$C$49)+Inputs!$C$47*0.137))+0.35*COS(2*PI()*(((Inputs!$C$6)/Inputs!$C$50)+Inputs!$C$47*0.173))+0.20*SIN(2*PI()*(((Model_Data!A47)+(Inputs!$C$6))/(0.5*(Inputs!$C$49+Inputs!$C$50))+Inputs!$C$47*0.097)))+0.30*(2*((SIN(((Model_Data!A47)*12.9898+(Inputs!$C$6)*78.233+Inputs!$C$47*37.719))*43758.5453)-INT((SIN(((Model_Data!A47)*12.9898+(Inputs!$C$6)*78.233+Inputs!$C$47*37.719))*43758.5453)))-1))))/1000)^2))-(((Model_Data!B47)-((Inputs!$C$51*(115*EXP(-(((0)-25)^2)/(4.5^2))+70*EXP(-(((0)+38)^2)/(7^2))*(0.55+0.45*SIN(2*PI()*(Model_Data!A47)/45))+24*SIN(2*PI()*(0)/9+(Model_Data!A47)/18)*EXP(-(((0)+5)^2)/(22^2))+18*SIN(2*PI()*(Model_Data!A47)/70))+Inputs!$C$28*EXP(-(((Model_Data!A47)-Inputs!$C$29)^2)/(2*Inputs!$C$31^2))*EXP(-(((0)-Inputs!$C$30)^2)/(2*Inputs!$C$32^2))+-Inputs!$C$33*EXP(-(((((Model_Data!A47)-Inputs!$C$34)^2)+(((0)-Inputs!$C$35)^2))/(2*Inputs!$C$36^2)))+Inputs!$C$37*(0.55*SIN(2*PI()*(Model_Data!A47)/Inputs!$C$39)+0.35*COS(2*PI()*(0)/Inputs!$C$40)+0.2*SIN(2*PI()*((Model_Data!A47)+(0))/(0.5*(Inputs!$C$39+Inputs!$C$40))))+Inputs!$C$38*SIN(2*PI()*(Model_Data!A47)/Inputs!$C$39)*SIN(2*PI()*(0)/Inputs!$C$40)+-Inputs!$C$41*EXP(-(((0)-Inputs!$C$43)^2)/(2*Inputs!$C$44^2))*EXP(-(((Model_Data!A47)-Inputs!$C$42)^2)/(2*Inputs!$C$45^2))+Inputs!$C$48*(0.70*(0.45*SIN(2*PI()*(((Model_Data!A47)/Inputs!$C$49)+Inputs!$C$47*0.137))+0.35*COS(2*PI()*(((0)/Inputs!$C$50)+Inputs!$C$47*0.173))+0.20*SIN(2*PI()*(((Model_Data!A47)+(0))/(0.5*(Inputs!$C$49+Inputs!$C$50))+Inputs!$C$47*0.097)))+0.30*(2*((SIN(((Model_Data!A47)*12.9898+(0)*78.233+Inputs!$C$47*37.719))*43758.5453)-INT((SIN(((Model_Data!A47)*12.9898+(0)*78.233+Inputs!$C$47*37.719))*43758.5453)))-1))))/1000)))*1000/Inputs!$C$12)-Model_Data!F47))-(-(((SQRT((Model_Data!A47)^2+Inputs!$C$6^2+(Inputs!$C$5-((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(0.45*SIN(2*PI()*(((Model_Data!A47)/Inputs!$C$49)+Inputs!$C$47*0.137))+0.35*COS(2*PI()*(((Inputs!$C$6)/Inputs!$C$50)+Inputs!$C$47*0.173))+0.20*SIN(2*PI()*(((Model_Data!A47)+(Inputs!$C$6))/(0.5*(Inputs!$C$49+Inputs!$C$50))+Inputs!$C$47*0.097)))+0.30*(2*((SIN(((Model_Data!A47)*12.9898+(Inputs!$C$6)*78.233+Inputs!$C$47*37.719))*43758.5453)-INT((SIN(((Model_Data!A47)*12.9898+(Inputs!$C$6)*78.233+Inputs!$C$47*37.719))*43758.5453)))-1))))/1000)^2)-(Inputs!$C$5-((Inputs!$C$51*(115*EXP(-(((0)-25)^2)/(4.5^2))+70*EXP(-(((0)+38)^2)/(7^2))*(0.55+0.45*SIN(2*PI()*(Model_Data!A47)/45))+24*SIN(2*PI()*(0)/9+(Model_Data!A47)/18)*EXP(-(((0)+5)^2)/(22^2))+18*SIN(2*PI()*(Model_Data!A47)/70))+Inputs!$C$28*EXP(-(((Model_Data!A47)-Inputs!$C$29)^2)/(2*Inputs!$C$31^2))*EXP(-(((0)-Inputs!$C$30)^2)/(2*Inputs!$C$32^2))+-Inputs!$C$33*EXP(-(((((Model_Data!A47)-Inputs!$C$34)^2)+(((0)-Inputs!$C$35)^2))/(2*Inputs!$C$36^2)))+Inputs!$C$37*(0.55*SIN(2*PI()*(Model_Data!A47)/Inputs!$C$39)+0.35*COS(2*PI()*(0)/Inputs!$C$40)+0.2*SIN(2*PI()*((Model_Data!A47)+(0))/(0.5*(Inputs!$C$39+Inputs!$C$40))))+Inputs!$C$38*SIN(2*PI()*(Model_Data!A47)/Inputs!$C$39)*SIN(2*PI()*(0)/Inputs!$C$40)+-Inputs!$C$41*EXP(-(((0)-Inputs!$C$43)^2)/(2*Inputs!$C$44^2))*EXP(-(((Model_Data!A47)-Inputs!$C$42)^2)/(2*Inputs!$C$45^2))+Inputs!$C$48*(0.70*(0.45*SIN(2*PI()*(((Model_Data!A47)/Inputs!$C$49)+Inputs!$C$47*0.137))+0.35*COS(2*PI()*(((0)/Inputs!$C$50)+Inputs!$C$47*0.173))+0.20*SIN(2*PI()*(((Model_Data!A47)+(0))/(0.5*(Inputs!$C$49+Inputs!$C$50))+Inputs!$C$47*0.097)))+0.30*(2*((SIN(((Model_Data!A47)*12.9898+(0)*78.233+Inputs!$C$47*37.719))*43758.5453)-INT((SIN(((Model_Data!A47)*12.9898+(0)*78.233+Inputs!$C$47*37.719))*43758.5453)))-1))))/1000))*1000/Inputs!$C$12)-((SQRT((Model_Data!A47)^2+Inputs!$C$6^2+Inputs!$C$5^2)-Inputs!$C$5)*1000/Inputs!$C$12)))</x:f>
        <x:v>0.006506986965405304</x:v>
      </x:c>
      <x:c r="X47" s="48" t="n">
        <x:f>0</x:f>
        <x:v>0</x:v>
      </x:c>
      <x:c r="Y47" s="49"/>
      <x:c r="Z47" s="48" t="n">
        <x:f>Model_Data!A47</x:f>
        <x:v>-37.5</x:v>
      </x:c>
      <x:c r="AA47" s="48" t="n">
        <x:f>SQRT((Model_Data!A47)^2+Inputs!$C$6^2+((Model_Data!B47)-((Inputs!$C$51*(115*EXP(-(((Inputs!$C$6)-25)^2)/(4.5^2))+70*EXP(-(((Inputs!$C$6)+38)^2)/(7^2))*(0.55+0.45*SIN(2*PI()*(Model_Data!A47)/45))+24*SIN(2*PI()*(Inputs!$C$6)/9+(Model_Data!A47)/18)*EXP(-(((Inputs!$C$6)+5)^2)/(22^2))+18*SIN(2*PI()*(Model_Data!A47)/70))+Inputs!$C$28*EXP(-(((Model_Data!A47)-Inputs!$C$29)^2)/(2*Inputs!$C$31^2))*EXP(-(((Inputs!$C$6)-Inputs!$C$30)^2)/(2*Inputs!$C$32^2))+-Inputs!$C$33*EXP(-(((((Model_Data!A47)-Inputs!$C$34)^2)+(((Inputs!$C$6)-Inputs!$C$35)^2))/(2*Inputs!$C$36^2)))+Inputs!$C$37*(0.55*SIN(2*PI()*(Model_Data!A47)/Inputs!$C$39)+0.35*COS(2*PI()*(Inputs!$C$6)/Inputs!$C$40)+0.2*SIN(2*PI()*((Model_Data!A47)+(Inputs!$C$6))/(0.5*(Inputs!$C$39+Inputs!$C$40))))+Inputs!$C$38*SIN(2*PI()*(Model_Data!A47)/Inputs!$C$39)*SIN(2*PI()*(Inputs!$C$6)/Inputs!$C$40)+-Inputs!$C$41*EXP(-(((Inputs!$C$6)-Inputs!$C$43)^2)/(2*Inputs!$C$44^2))*EXP(-(((Model_Data!A47)-Inputs!$C$42)^2)/(2*Inputs!$C$45^2))+Inputs!$C$48*(0.70*(0.45*SIN(2*PI()*(((Model_Data!A47)/Inputs!$C$49)+Inputs!$C$47*0.137))+0.35*COS(2*PI()*(((Inputs!$C$6)/Inputs!$C$50)+Inputs!$C$47*0.173))+0.20*SIN(2*PI()*(((Model_Data!A47)+(Inputs!$C$6))/(0.5*(Inputs!$C$49+Inputs!$C$50))+Inputs!$C$47*0.097)))+0.30*(2*((SIN(((Model_Data!A47)*12.9898+(Inputs!$C$6)*78.233+Inputs!$C$47*37.719))*43758.5453)-INT((SIN(((Model_Data!A47)*12.9898+(Inputs!$C$6)*78.233+Inputs!$C$47*37.719))*43758.5453)))-1))))/1000)^2)</x:f>
        <x:v>403.846073941644</x:v>
      </x:c>
      <x:c r="AB47" s="48" t="n">
        <x:f>1000*(AA48-AA46)/(Z48-Z46)*Inputs!$C$11</x:f>
        <x:v>-834.8388528531814</x:v>
      </x:c>
      <x:c r="AC47" s="48" t="n">
        <x:f>-2*AB47/Inputs!$C$13</x:f>
        <x:v>333.93554114127255</x:v>
      </x:c>
      <x:c r="AD47" s="48" t="n">
        <x:f>-2*AB47/Inputs!$C$14</x:f>
        <x:v>50.140471642833724</x:v>
      </x:c>
    </x:row>
    <x:row r="48">
      <x:c r="A48" s="48" t="n">
        <x:f>Model_Data!A48</x:f>
        <x:v>-37</x:v>
      </x:c>
      <x:c r="B48" s="48" t="n">
        <x:f>Model_Data!F48</x:f>
        <x:v>1390.689229987749</x:v>
      </x:c>
      <x:c r="C48" s="48" t="n">
        <x:f>(((SQRT((Model_Data!A48)^2+Inputs!$C$6^2+((Model_Data!B48)-((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(0.45*SIN(2*PI()*(((Model_Data!A48)/Inputs!$C$49)+Inputs!$C$47*0.137))+0.35*COS(2*PI()*(((Inputs!$C$6)/Inputs!$C$50)+Inputs!$C$47*0.173))+0.20*SIN(2*PI()*(((Model_Data!A48)+(Inputs!$C$6))/(0.5*(Inputs!$C$49+Inputs!$C$50))+Inputs!$C$47*0.097)))+0.30*(2*((SIN(((Model_Data!A48)*12.9898+(Inputs!$C$6)*78.233+Inputs!$C$47*37.719))*43758.5453)-INT((SIN(((Model_Data!A48)*12.9898+(Inputs!$C$6)*78.233+Inputs!$C$47*37.719))*43758.5453)))-1))))/1000)^2))-(((Model_Data!B48)-((Inputs!$C$51*(115*EXP(-(((0)-25)^2)/(4.5^2))+70*EXP(-(((0)+38)^2)/(7^2))*(0.55+0.45*SIN(2*PI()*(Model_Data!A48)/45))+24*SIN(2*PI()*(0)/9+(Model_Data!A48)/18)*EXP(-(((0)+5)^2)/(22^2))+18*SIN(2*PI()*(Model_Data!A48)/70))+Inputs!$C$28*EXP(-(((Model_Data!A48)-Inputs!$C$29)^2)/(2*Inputs!$C$31^2))*EXP(-(((0)-Inputs!$C$30)^2)/(2*Inputs!$C$32^2))+-Inputs!$C$33*EXP(-(((((Model_Data!A48)-Inputs!$C$34)^2)+(((0)-Inputs!$C$35)^2))/(2*Inputs!$C$36^2)))+Inputs!$C$37*(0.55*SIN(2*PI()*(Model_Data!A48)/Inputs!$C$39)+0.35*COS(2*PI()*(0)/Inputs!$C$40)+0.2*SIN(2*PI()*((Model_Data!A48)+(0))/(0.5*(Inputs!$C$39+Inputs!$C$40))))+Inputs!$C$38*SIN(2*PI()*(Model_Data!A48)/Inputs!$C$39)*SIN(2*PI()*(0)/Inputs!$C$40)+-Inputs!$C$41*EXP(-(((0)-Inputs!$C$43)^2)/(2*Inputs!$C$44^2))*EXP(-(((Model_Data!A48)-Inputs!$C$42)^2)/(2*Inputs!$C$45^2))+Inputs!$C$48*(0.70*(0.45*SIN(2*PI()*(((Model_Data!A48)/Inputs!$C$49)+Inputs!$C$47*0.137))+0.35*COS(2*PI()*(((0)/Inputs!$C$50)+Inputs!$C$47*0.173))+0.20*SIN(2*PI()*(((Model_Data!A48)+(0))/(0.5*(Inputs!$C$49+Inputs!$C$50))+Inputs!$C$47*0.097)))+0.30*(2*((SIN(((Model_Data!A48)*12.9898+(0)*78.233+Inputs!$C$47*37.719))*43758.5453)-INT((SIN(((Model_Data!A48)*12.9898+(0)*78.233+Inputs!$C$47*37.719))*43758.5453)))-1))))/1000)))*1000/Inputs!$C$12)</x:f>
        <x:v>1244.2969103264895</x:v>
      </x:c>
      <x:c r="D48" s="49"/>
      <x:c r="E48" s="48" t="n">
        <x:f>Model_Data!A48</x:f>
        <x:v>-37</x:v>
      </x:c>
      <x:c r="F48" s="48" t="n">
        <x:f>(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(0.45*SIN(2*PI()*(((Model_Data!A48)/Inputs!$C$49)+Inputs!$C$47*0.137))+0.35*COS(2*PI()*(((Inputs!$C$6)/Inputs!$C$50)+Inputs!$C$47*0.173))+0.20*SIN(2*PI()*(((Model_Data!A48)+(Inputs!$C$6))/(0.5*(Inputs!$C$49+Inputs!$C$50))+Inputs!$C$47*0.097)))+0.30*(2*((SIN(((Model_Data!A48)*12.9898+(Inputs!$C$6)*78.233+Inputs!$C$47*37.719))*43758.5453)-INT((SIN(((Model_Data!A48)*12.9898+(Inputs!$C$6)*78.233+Inputs!$C$47*37.719))*43758.5453)))-1)))</x:f>
        <x:v>236.18872035541293</x:v>
      </x:c>
      <x:c r="G48" s="48" t="n">
        <x:f>(Inputs!$C$51*(115*EXP(-(((0)-25)^2)/(4.5^2))+70*EXP(-(((0)+38)^2)/(7^2))*(0.55+0.45*SIN(2*PI()*(Model_Data!A48)/45))+24*SIN(2*PI()*(0)/9+(Model_Data!A48)/18)*EXP(-(((0)+5)^2)/(22^2))+18*SIN(2*PI()*(Model_Data!A48)/70))+Inputs!$C$28*EXP(-(((Model_Data!A48)-Inputs!$C$29)^2)/(2*Inputs!$C$31^2))*EXP(-(((0)-Inputs!$C$30)^2)/(2*Inputs!$C$32^2))+-Inputs!$C$33*EXP(-(((((Model_Data!A48)-Inputs!$C$34)^2)+(((0)-Inputs!$C$35)^2))/(2*Inputs!$C$36^2)))+Inputs!$C$37*(0.55*SIN(2*PI()*(Model_Data!A48)/Inputs!$C$39)+0.35*COS(2*PI()*(0)/Inputs!$C$40)+0.2*SIN(2*PI()*((Model_Data!A48)+(0))/(0.5*(Inputs!$C$39+Inputs!$C$40))))+Inputs!$C$38*SIN(2*PI()*(Model_Data!A48)/Inputs!$C$39)*SIN(2*PI()*(0)/Inputs!$C$40)+-Inputs!$C$41*EXP(-(((0)-Inputs!$C$43)^2)/(2*Inputs!$C$44^2))*EXP(-(((Model_Data!A48)-Inputs!$C$42)^2)/(2*Inputs!$C$45^2))+Inputs!$C$48*(0.70*(0.45*SIN(2*PI()*(((Model_Data!A48)/Inputs!$C$49)+Inputs!$C$47*0.137))+0.35*COS(2*PI()*(((0)/Inputs!$C$50)+Inputs!$C$47*0.173))+0.20*SIN(2*PI()*(((Model_Data!A48)+(0))/(0.5*(Inputs!$C$49+Inputs!$C$50))+Inputs!$C$47*0.097)))+0.30*(2*((SIN(((Model_Data!A48)*12.9898+(0)*78.233+Inputs!$C$47*37.719))*43758.5453)-INT((SIN(((Model_Data!A48)*12.9898+(0)*78.233+Inputs!$C$47*37.719))*43758.5453)))-1)))</x:f>
        <x:v>-25.83766278531854</x:v>
      </x:c>
      <x:c r="H48" s="49"/>
      <x:c r="I48" s="48" t="n">
        <x:f>Model_Data!A48</x:f>
        <x:v>-37</x:v>
      </x:c>
      <x:c r="J48" s="48" t="n">
        <x:f>((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(0.45*SIN(2*PI()*(((Model_Data!A48)/Inputs!$C$49)+Inputs!$C$47*0.137))+0.35*COS(2*PI()*(((Inputs!$C$6)/Inputs!$C$50)+Inputs!$C$47*0.173))+0.20*SIN(2*PI()*(((Model_Data!A48)+(Inputs!$C$6))/(0.5*(Inputs!$C$49+Inputs!$C$50))+Inputs!$C$47*0.097)))+0.30*(2*((SIN(((Model_Data!A48)*12.9898+(Inputs!$C$6)*78.233+Inputs!$C$47*37.719))*43758.5453)-INT((SIN(((Model_Data!A48)*12.9898+(Inputs!$C$6)*78.233+Inputs!$C$47*37.719))*43758.5453)))-1))))-((Inputs!$C$51*(115*EXP(-(((0)-25)^2)/(4.5^2))+70*EXP(-(((0)+38)^2)/(7^2))*(0.55+0.45*SIN(2*PI()*(Model_Data!A48)/45))+24*SIN(2*PI()*(0)/9+(Model_Data!A48)/18)*EXP(-(((0)+5)^2)/(22^2))+18*SIN(2*PI()*(Model_Data!A48)/70))+Inputs!$C$28*EXP(-(((Model_Data!A48)-Inputs!$C$29)^2)/(2*Inputs!$C$31^2))*EXP(-(((0)-Inputs!$C$30)^2)/(2*Inputs!$C$32^2))+-Inputs!$C$33*EXP(-(((((Model_Data!A48)-Inputs!$C$34)^2)+(((0)-Inputs!$C$35)^2))/(2*Inputs!$C$36^2)))+Inputs!$C$37*(0.55*SIN(2*PI()*(Model_Data!A48)/Inputs!$C$39)+0.35*COS(2*PI()*(0)/Inputs!$C$40)+0.2*SIN(2*PI()*((Model_Data!A48)+(0))/(0.5*(Inputs!$C$39+Inputs!$C$40))))+Inputs!$C$38*SIN(2*PI()*(Model_Data!A48)/Inputs!$C$39)*SIN(2*PI()*(0)/Inputs!$C$40)+-Inputs!$C$41*EXP(-(((0)-Inputs!$C$43)^2)/(2*Inputs!$C$44^2))*EXP(-(((Model_Data!A48)-Inputs!$C$42)^2)/(2*Inputs!$C$45^2))+Inputs!$C$48*(0.70*(0.45*SIN(2*PI()*(((Model_Data!A48)/Inputs!$C$49)+Inputs!$C$47*0.137))+0.35*COS(2*PI()*(((0)/Inputs!$C$50)+Inputs!$C$47*0.173))+0.20*SIN(2*PI()*(((Model_Data!A48)+(0))/(0.5*(Inputs!$C$49+Inputs!$C$50))+Inputs!$C$47*0.097)))+0.30*(2*((SIN(((Model_Data!A48)*12.9898+(0)*78.233+Inputs!$C$47*37.719))*43758.5453)-INT((SIN(((Model_Data!A48)*12.9898+(0)*78.233+Inputs!$C$47*37.719))*43758.5453)))-1))))</x:f>
        <x:v>262.02638314073147</x:v>
      </x:c>
      <x:c r="K48" s="48" t="n">
        <x:f>-((((SQRT((Model_Data!A48)^2+Inputs!$C$6^2+((Model_Data!B48)-((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(0.45*SIN(2*PI()*(((Model_Data!A48)/Inputs!$C$49)+Inputs!$C$47*0.137))+0.35*COS(2*PI()*(((Inputs!$C$6)/Inputs!$C$50)+Inputs!$C$47*0.173))+0.20*SIN(2*PI()*(((Model_Data!A48)+(Inputs!$C$6))/(0.5*(Inputs!$C$49+Inputs!$C$50))+Inputs!$C$47*0.097)))+0.30*(2*((SIN(((Model_Data!A48)*12.9898+(Inputs!$C$6)*78.233+Inputs!$C$47*37.719))*43758.5453)-INT((SIN(((Model_Data!A48)*12.9898+(Inputs!$C$6)*78.233+Inputs!$C$47*37.719))*43758.5453)))-1))))/1000)^2))-(((Model_Data!B48)-((Inputs!$C$51*(115*EXP(-(((0)-25)^2)/(4.5^2))+70*EXP(-(((0)+38)^2)/(7^2))*(0.55+0.45*SIN(2*PI()*(Model_Data!A48)/45))+24*SIN(2*PI()*(0)/9+(Model_Data!A48)/18)*EXP(-(((0)+5)^2)/(22^2))+18*SIN(2*PI()*(Model_Data!A48)/70))+Inputs!$C$28*EXP(-(((Model_Data!A48)-Inputs!$C$29)^2)/(2*Inputs!$C$31^2))*EXP(-(((0)-Inputs!$C$30)^2)/(2*Inputs!$C$32^2))+-Inputs!$C$33*EXP(-(((((Model_Data!A48)-Inputs!$C$34)^2)+(((0)-Inputs!$C$35)^2))/(2*Inputs!$C$36^2)))+Inputs!$C$37*(0.55*SIN(2*PI()*(Model_Data!A48)/Inputs!$C$39)+0.35*COS(2*PI()*(0)/Inputs!$C$40)+0.2*SIN(2*PI()*((Model_Data!A48)+(0))/(0.5*(Inputs!$C$39+Inputs!$C$40))))+Inputs!$C$38*SIN(2*PI()*(Model_Data!A48)/Inputs!$C$39)*SIN(2*PI()*(0)/Inputs!$C$40)+-Inputs!$C$41*EXP(-(((0)-Inputs!$C$43)^2)/(2*Inputs!$C$44^2))*EXP(-(((Model_Data!A48)-Inputs!$C$42)^2)/(2*Inputs!$C$45^2))+Inputs!$C$48*(0.70*(0.45*SIN(2*PI()*(((Model_Data!A48)/Inputs!$C$49)+Inputs!$C$47*0.137))+0.35*COS(2*PI()*(((0)/Inputs!$C$50)+Inputs!$C$47*0.173))+0.20*SIN(2*PI()*(((Model_Data!A48)+(0))/(0.5*(Inputs!$C$49+Inputs!$C$50))+Inputs!$C$47*0.097)))+0.30*(2*((SIN(((Model_Data!A48)*12.9898+(0)*78.233+Inputs!$C$47*37.719))*43758.5453)-INT((SIN(((Model_Data!A48)*12.9898+(0)*78.233+Inputs!$C$47*37.719))*43758.5453)))-1))))/1000)))*1000/Inputs!$C$12)-Model_Data!F48)</x:f>
        <x:v>146.39231966125953</x:v>
      </x:c>
      <x:c r="L48" s="49"/>
      <x:c r="M48" s="48" t="n">
        <x:f>Model_Data!A48</x:f>
        <x:v>-37</x:v>
      </x:c>
      <x:c r="N48" s="48" t="n">
        <x:f>Model_Data!P48</x:f>
        <x:v>277.2853782623445</x:v>
      </x:c>
      <x:c r="O48" s="48" t="n">
        <x:f>AC48</x:f>
        <x:v>318.18926568348616</x:v>
      </x:c>
      <x:c r="P48" s="48" t="n">
        <x:f>Model_Data!Q48</x:f>
        <x:v>41.634441180532214</x:v>
      </x:c>
      <x:c r="Q48" s="48" t="n">
        <x:f>AD48</x:f>
        <x:v>47.77616601854147</x:v>
      </x:c>
      <x:c r="R48" s="49"/>
      <x:c r="S48" s="48" t="n">
        <x:f>Model_Data!A48</x:f>
        <x:v>-37</x:v>
      </x:c>
      <x:c r="T48" s="48" t="n">
        <x:f>Model_Data!B48-Inputs!$C$5</x:f>
        <x:v>1.5211111111111109</x:v>
      </x:c>
      <x:c r="U48" s="49"/>
      <x:c r="V48" s="48" t="n">
        <x:f>Model_Data!A48</x:f>
        <x:v>-37</x:v>
      </x:c>
      <x:c r="W48" s="48" t="n">
        <x:f>(-((((SQRT((Model_Data!A48)^2+Inputs!$C$6^2+((Model_Data!B48)-((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(0.45*SIN(2*PI()*(((Model_Data!A48)/Inputs!$C$49)+Inputs!$C$47*0.137))+0.35*COS(2*PI()*(((Inputs!$C$6)/Inputs!$C$50)+Inputs!$C$47*0.173))+0.20*SIN(2*PI()*(((Model_Data!A48)+(Inputs!$C$6))/(0.5*(Inputs!$C$49+Inputs!$C$50))+Inputs!$C$47*0.097)))+0.30*(2*((SIN(((Model_Data!A48)*12.9898+(Inputs!$C$6)*78.233+Inputs!$C$47*37.719))*43758.5453)-INT((SIN(((Model_Data!A48)*12.9898+(Inputs!$C$6)*78.233+Inputs!$C$47*37.719))*43758.5453)))-1))))/1000)^2))-(((Model_Data!B48)-((Inputs!$C$51*(115*EXP(-(((0)-25)^2)/(4.5^2))+70*EXP(-(((0)+38)^2)/(7^2))*(0.55+0.45*SIN(2*PI()*(Model_Data!A48)/45))+24*SIN(2*PI()*(0)/9+(Model_Data!A48)/18)*EXP(-(((0)+5)^2)/(22^2))+18*SIN(2*PI()*(Model_Data!A48)/70))+Inputs!$C$28*EXP(-(((Model_Data!A48)-Inputs!$C$29)^2)/(2*Inputs!$C$31^2))*EXP(-(((0)-Inputs!$C$30)^2)/(2*Inputs!$C$32^2))+-Inputs!$C$33*EXP(-(((((Model_Data!A48)-Inputs!$C$34)^2)+(((0)-Inputs!$C$35)^2))/(2*Inputs!$C$36^2)))+Inputs!$C$37*(0.55*SIN(2*PI()*(Model_Data!A48)/Inputs!$C$39)+0.35*COS(2*PI()*(0)/Inputs!$C$40)+0.2*SIN(2*PI()*((Model_Data!A48)+(0))/(0.5*(Inputs!$C$39+Inputs!$C$40))))+Inputs!$C$38*SIN(2*PI()*(Model_Data!A48)/Inputs!$C$39)*SIN(2*PI()*(0)/Inputs!$C$40)+-Inputs!$C$41*EXP(-(((0)-Inputs!$C$43)^2)/(2*Inputs!$C$44^2))*EXP(-(((Model_Data!A48)-Inputs!$C$42)^2)/(2*Inputs!$C$45^2))+Inputs!$C$48*(0.70*(0.45*SIN(2*PI()*(((Model_Data!A48)/Inputs!$C$49)+Inputs!$C$47*0.137))+0.35*COS(2*PI()*(((0)/Inputs!$C$50)+Inputs!$C$47*0.173))+0.20*SIN(2*PI()*(((Model_Data!A48)+(0))/(0.5*(Inputs!$C$49+Inputs!$C$50))+Inputs!$C$47*0.097)))+0.30*(2*((SIN(((Model_Data!A48)*12.9898+(0)*78.233+Inputs!$C$47*37.719))*43758.5453)-INT((SIN(((Model_Data!A48)*12.9898+(0)*78.233+Inputs!$C$47*37.719))*43758.5453)))-1))))/1000)))*1000/Inputs!$C$12)-Model_Data!F48))-(-(((SQRT((Model_Data!A48)^2+Inputs!$C$6^2+(Inputs!$C$5-((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(0.45*SIN(2*PI()*(((Model_Data!A48)/Inputs!$C$49)+Inputs!$C$47*0.137))+0.35*COS(2*PI()*(((Inputs!$C$6)/Inputs!$C$50)+Inputs!$C$47*0.173))+0.20*SIN(2*PI()*(((Model_Data!A48)+(Inputs!$C$6))/(0.5*(Inputs!$C$49+Inputs!$C$50))+Inputs!$C$47*0.097)))+0.30*(2*((SIN(((Model_Data!A48)*12.9898+(Inputs!$C$6)*78.233+Inputs!$C$47*37.719))*43758.5453)-INT((SIN(((Model_Data!A48)*12.9898+(Inputs!$C$6)*78.233+Inputs!$C$47*37.719))*43758.5453)))-1))))/1000)^2)-(Inputs!$C$5-((Inputs!$C$51*(115*EXP(-(((0)-25)^2)/(4.5^2))+70*EXP(-(((0)+38)^2)/(7^2))*(0.55+0.45*SIN(2*PI()*(Model_Data!A48)/45))+24*SIN(2*PI()*(0)/9+(Model_Data!A48)/18)*EXP(-(((0)+5)^2)/(22^2))+18*SIN(2*PI()*(Model_Data!A48)/70))+Inputs!$C$28*EXP(-(((Model_Data!A48)-Inputs!$C$29)^2)/(2*Inputs!$C$31^2))*EXP(-(((0)-Inputs!$C$30)^2)/(2*Inputs!$C$32^2))+-Inputs!$C$33*EXP(-(((((Model_Data!A48)-Inputs!$C$34)^2)+(((0)-Inputs!$C$35)^2))/(2*Inputs!$C$36^2)))+Inputs!$C$37*(0.55*SIN(2*PI()*(Model_Data!A48)/Inputs!$C$39)+0.35*COS(2*PI()*(0)/Inputs!$C$40)+0.2*SIN(2*PI()*((Model_Data!A48)+(0))/(0.5*(Inputs!$C$39+Inputs!$C$40))))+Inputs!$C$38*SIN(2*PI()*(Model_Data!A48)/Inputs!$C$39)*SIN(2*PI()*(0)/Inputs!$C$40)+-Inputs!$C$41*EXP(-(((0)-Inputs!$C$43)^2)/(2*Inputs!$C$44^2))*EXP(-(((Model_Data!A48)-Inputs!$C$42)^2)/(2*Inputs!$C$45^2))+Inputs!$C$48*(0.70*(0.45*SIN(2*PI()*(((Model_Data!A48)/Inputs!$C$49)+Inputs!$C$47*0.137))+0.35*COS(2*PI()*(((0)/Inputs!$C$50)+Inputs!$C$47*0.173))+0.20*SIN(2*PI()*(((Model_Data!A48)+(0))/(0.5*(Inputs!$C$49+Inputs!$C$50))+Inputs!$C$47*0.097)))+0.30*(2*((SIN(((Model_Data!A48)*12.9898+(0)*78.233+Inputs!$C$47*37.719))*43758.5453)-INT((SIN(((Model_Data!A48)*12.9898+(0)*78.233+Inputs!$C$47*37.719))*43758.5453)))-1))))/1000))*1000/Inputs!$C$12)-((SQRT((Model_Data!A48)^2+Inputs!$C$6^2+Inputs!$C$5^2)-Inputs!$C$5)*1000/Inputs!$C$12)))</x:f>
        <x:v>0.00614348371232154</x:v>
      </x:c>
      <x:c r="X48" s="48" t="n">
        <x:f>0</x:f>
        <x:v>0</x:v>
      </x:c>
      <x:c r="Y48" s="49"/>
      <x:c r="Z48" s="48" t="n">
        <x:f>Model_Data!A48</x:f>
        <x:v>-37</x:v>
      </x:c>
      <x:c r="AA48" s="48" t="n">
        <x:f>SQRT((Model_Data!A48)^2+Inputs!$C$6^2+((Model_Data!B48)-((Inputs!$C$51*(115*EXP(-(((Inputs!$C$6)-25)^2)/(4.5^2))+70*EXP(-(((Inputs!$C$6)+38)^2)/(7^2))*(0.55+0.45*SIN(2*PI()*(Model_Data!A48)/45))+24*SIN(2*PI()*(Inputs!$C$6)/9+(Model_Data!A48)/18)*EXP(-(((Inputs!$C$6)+5)^2)/(22^2))+18*SIN(2*PI()*(Model_Data!A48)/70))+Inputs!$C$28*EXP(-(((Model_Data!A48)-Inputs!$C$29)^2)/(2*Inputs!$C$31^2))*EXP(-(((Inputs!$C$6)-Inputs!$C$30)^2)/(2*Inputs!$C$32^2))+-Inputs!$C$33*EXP(-(((((Model_Data!A48)-Inputs!$C$34)^2)+(((Inputs!$C$6)-Inputs!$C$35)^2))/(2*Inputs!$C$36^2)))+Inputs!$C$37*(0.55*SIN(2*PI()*(Model_Data!A48)/Inputs!$C$39)+0.35*COS(2*PI()*(Inputs!$C$6)/Inputs!$C$40)+0.2*SIN(2*PI()*((Model_Data!A48)+(Inputs!$C$6))/(0.5*(Inputs!$C$39+Inputs!$C$40))))+Inputs!$C$38*SIN(2*PI()*(Model_Data!A48)/Inputs!$C$39)*SIN(2*PI()*(Inputs!$C$6)/Inputs!$C$40)+-Inputs!$C$41*EXP(-(((Inputs!$C$6)-Inputs!$C$43)^2)/(2*Inputs!$C$44^2))*EXP(-(((Model_Data!A48)-Inputs!$C$42)^2)/(2*Inputs!$C$45^2))+Inputs!$C$48*(0.70*(0.45*SIN(2*PI()*(((Model_Data!A48)/Inputs!$C$49)+Inputs!$C$47*0.137))+0.35*COS(2*PI()*(((Inputs!$C$6)/Inputs!$C$50)+Inputs!$C$47*0.173))+0.20*SIN(2*PI()*(((Model_Data!A48)+(Inputs!$C$6))/(0.5*(Inputs!$C$49+Inputs!$C$50))+Inputs!$C$47*0.097)))+0.30*(2*((SIN(((Model_Data!A48)*12.9898+(Inputs!$C$6)*78.233+Inputs!$C$47*37.719))*43758.5453)-INT((SIN(((Model_Data!A48)*12.9898+(Inputs!$C$6)*78.233+Inputs!$C$47*37.719))*43758.5453)))-1))))/1000)^2)</x:f>
        <x:v>403.76179727427757</x:v>
      </x:c>
      <x:c r="AB48" s="48" t="n">
        <x:f>1000*(AA49-AA47)/(Z49-Z47)*Inputs!$C$11</x:f>
        <x:v>-795.4731642087154</x:v>
      </x:c>
      <x:c r="AC48" s="48" t="n">
        <x:f>-2*AB48/Inputs!$C$13</x:f>
        <x:v>318.18926568348616</x:v>
      </x:c>
      <x:c r="AD48" s="48" t="n">
        <x:f>-2*AB48/Inputs!$C$14</x:f>
        <x:v>47.77616601854147</x:v>
      </x:c>
    </x:row>
    <x:row r="49">
      <x:c r="A49" s="48" t="n">
        <x:f>Model_Data!A49</x:f>
        <x:v>-36.5</x:v>
      </x:c>
      <x:c r="B49" s="48" t="n">
        <x:f>Model_Data!F49</x:f>
        <x:v>1365.2735172823614</x:v>
      </x:c>
      <x:c r="C49" s="48" t="n">
        <x:f>(((SQRT((Model_Data!A49)^2+Inputs!$C$6^2+((Model_Data!B49)-((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(0.45*SIN(2*PI()*(((Model_Data!A49)/Inputs!$C$49)+Inputs!$C$47*0.137))+0.35*COS(2*PI()*(((Inputs!$C$6)/Inputs!$C$50)+Inputs!$C$47*0.173))+0.20*SIN(2*PI()*(((Model_Data!A49)+(Inputs!$C$6))/(0.5*(Inputs!$C$49+Inputs!$C$50))+Inputs!$C$47*0.097)))+0.30*(2*((SIN(((Model_Data!A49)*12.9898+(Inputs!$C$6)*78.233+Inputs!$C$47*37.719))*43758.5453)-INT((SIN(((Model_Data!A49)*12.9898+(Inputs!$C$6)*78.233+Inputs!$C$47*37.719))*43758.5453)))-1))))/1000)^2))-(((Model_Data!B49)-((Inputs!$C$51*(115*EXP(-(((0)-25)^2)/(4.5^2))+70*EXP(-(((0)+38)^2)/(7^2))*(0.55+0.45*SIN(2*PI()*(Model_Data!A49)/45))+24*SIN(2*PI()*(0)/9+(Model_Data!A49)/18)*EXP(-(((0)+5)^2)/(22^2))+18*SIN(2*PI()*(Model_Data!A49)/70))+Inputs!$C$28*EXP(-(((Model_Data!A49)-Inputs!$C$29)^2)/(2*Inputs!$C$31^2))*EXP(-(((0)-Inputs!$C$30)^2)/(2*Inputs!$C$32^2))+-Inputs!$C$33*EXP(-(((((Model_Data!A49)-Inputs!$C$34)^2)+(((0)-Inputs!$C$35)^2))/(2*Inputs!$C$36^2)))+Inputs!$C$37*(0.55*SIN(2*PI()*(Model_Data!A49)/Inputs!$C$39)+0.35*COS(2*PI()*(0)/Inputs!$C$40)+0.2*SIN(2*PI()*((Model_Data!A49)+(0))/(0.5*(Inputs!$C$39+Inputs!$C$40))))+Inputs!$C$38*SIN(2*PI()*(Model_Data!A49)/Inputs!$C$39)*SIN(2*PI()*(0)/Inputs!$C$40)+-Inputs!$C$41*EXP(-(((0)-Inputs!$C$43)^2)/(2*Inputs!$C$44^2))*EXP(-(((Model_Data!A49)-Inputs!$C$42)^2)/(2*Inputs!$C$45^2))+Inputs!$C$48*(0.70*(0.45*SIN(2*PI()*(((Model_Data!A49)/Inputs!$C$49)+Inputs!$C$47*0.137))+0.35*COS(2*PI()*(((0)/Inputs!$C$50)+Inputs!$C$47*0.173))+0.20*SIN(2*PI()*(((Model_Data!A49)+(0))/(0.5*(Inputs!$C$49+Inputs!$C$50))+Inputs!$C$47*0.097)))+0.30*(2*((SIN(((Model_Data!A49)*12.9898+(0)*78.233+Inputs!$C$47*37.719))*43758.5453)-INT((SIN(((Model_Data!A49)*12.9898+(0)*78.233+Inputs!$C$47*37.719))*43758.5453)))-1))))/1000)))*1000/Inputs!$C$12)</x:f>
        <x:v>1205.269571624105</x:v>
      </x:c>
      <x:c r="D49" s="49"/>
      <x:c r="E49" s="48" t="n">
        <x:f>Model_Data!A49</x:f>
        <x:v>-36.5</x:v>
      </x:c>
      <x:c r="F49" s="48" t="n">
        <x:f>(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(0.45*SIN(2*PI()*(((Model_Data!A49)/Inputs!$C$49)+Inputs!$C$47*0.137))+0.35*COS(2*PI()*(((Inputs!$C$6)/Inputs!$C$50)+Inputs!$C$47*0.173))+0.20*SIN(2*PI()*(((Model_Data!A49)+(Inputs!$C$6))/(0.5*(Inputs!$C$49+Inputs!$C$50))+Inputs!$C$47*0.097)))+0.30*(2*((SIN(((Model_Data!A49)*12.9898+(Inputs!$C$6)*78.233+Inputs!$C$47*37.719))*43758.5453)-INT((SIN(((Model_Data!A49)*12.9898+(Inputs!$C$6)*78.233+Inputs!$C$47*37.719))*43758.5453)))-1)))</x:f>
        <x:v>264.8535608975177</x:v>
      </x:c>
      <x:c r="G49" s="48" t="n">
        <x:f>(Inputs!$C$51*(115*EXP(-(((0)-25)^2)/(4.5^2))+70*EXP(-(((0)+38)^2)/(7^2))*(0.55+0.45*SIN(2*PI()*(Model_Data!A49)/45))+24*SIN(2*PI()*(0)/9+(Model_Data!A49)/18)*EXP(-(((0)+5)^2)/(22^2))+18*SIN(2*PI()*(Model_Data!A49)/70))+Inputs!$C$28*EXP(-(((Model_Data!A49)-Inputs!$C$29)^2)/(2*Inputs!$C$31^2))*EXP(-(((0)-Inputs!$C$30)^2)/(2*Inputs!$C$32^2))+-Inputs!$C$33*EXP(-(((((Model_Data!A49)-Inputs!$C$34)^2)+(((0)-Inputs!$C$35)^2))/(2*Inputs!$C$36^2)))+Inputs!$C$37*(0.55*SIN(2*PI()*(Model_Data!A49)/Inputs!$C$39)+0.35*COS(2*PI()*(0)/Inputs!$C$40)+0.2*SIN(2*PI()*((Model_Data!A49)+(0))/(0.5*(Inputs!$C$39+Inputs!$C$40))))+Inputs!$C$38*SIN(2*PI()*(Model_Data!A49)/Inputs!$C$39)*SIN(2*PI()*(0)/Inputs!$C$40)+-Inputs!$C$41*EXP(-(((0)-Inputs!$C$43)^2)/(2*Inputs!$C$44^2))*EXP(-(((Model_Data!A49)-Inputs!$C$42)^2)/(2*Inputs!$C$45^2))+Inputs!$C$48*(0.70*(0.45*SIN(2*PI()*(((Model_Data!A49)/Inputs!$C$49)+Inputs!$C$47*0.137))+0.35*COS(2*PI()*(((0)/Inputs!$C$50)+Inputs!$C$47*0.173))+0.20*SIN(2*PI()*(((Model_Data!A49)+(0))/(0.5*(Inputs!$C$49+Inputs!$C$50))+Inputs!$C$47*0.097)))+0.30*(2*((SIN(((Model_Data!A49)*12.9898+(0)*78.233+Inputs!$C$47*37.719))*43758.5453)-INT((SIN(((Model_Data!A49)*12.9898+(0)*78.233+Inputs!$C$47*37.719))*43758.5453)))-1)))</x:f>
        <x:v>-21.548035323184823</x:v>
      </x:c>
      <x:c r="H49" s="49"/>
      <x:c r="I49" s="48" t="n">
        <x:f>Model_Data!A49</x:f>
        <x:v>-36.5</x:v>
      </x:c>
      <x:c r="J49" s="48" t="n">
        <x:f>((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(0.45*SIN(2*PI()*(((Model_Data!A49)/Inputs!$C$49)+Inputs!$C$47*0.137))+0.35*COS(2*PI()*(((Inputs!$C$6)/Inputs!$C$50)+Inputs!$C$47*0.173))+0.20*SIN(2*PI()*(((Model_Data!A49)+(Inputs!$C$6))/(0.5*(Inputs!$C$49+Inputs!$C$50))+Inputs!$C$47*0.097)))+0.30*(2*((SIN(((Model_Data!A49)*12.9898+(Inputs!$C$6)*78.233+Inputs!$C$47*37.719))*43758.5453)-INT((SIN(((Model_Data!A49)*12.9898+(Inputs!$C$6)*78.233+Inputs!$C$47*37.719))*43758.5453)))-1))))-((Inputs!$C$51*(115*EXP(-(((0)-25)^2)/(4.5^2))+70*EXP(-(((0)+38)^2)/(7^2))*(0.55+0.45*SIN(2*PI()*(Model_Data!A49)/45))+24*SIN(2*PI()*(0)/9+(Model_Data!A49)/18)*EXP(-(((0)+5)^2)/(22^2))+18*SIN(2*PI()*(Model_Data!A49)/70))+Inputs!$C$28*EXP(-(((Model_Data!A49)-Inputs!$C$29)^2)/(2*Inputs!$C$31^2))*EXP(-(((0)-Inputs!$C$30)^2)/(2*Inputs!$C$32^2))+-Inputs!$C$33*EXP(-(((((Model_Data!A49)-Inputs!$C$34)^2)+(((0)-Inputs!$C$35)^2))/(2*Inputs!$C$36^2)))+Inputs!$C$37*(0.55*SIN(2*PI()*(Model_Data!A49)/Inputs!$C$39)+0.35*COS(2*PI()*(0)/Inputs!$C$40)+0.2*SIN(2*PI()*((Model_Data!A49)+(0))/(0.5*(Inputs!$C$39+Inputs!$C$40))))+Inputs!$C$38*SIN(2*PI()*(Model_Data!A49)/Inputs!$C$39)*SIN(2*PI()*(0)/Inputs!$C$40)+-Inputs!$C$41*EXP(-(((0)-Inputs!$C$43)^2)/(2*Inputs!$C$44^2))*EXP(-(((Model_Data!A49)-Inputs!$C$42)^2)/(2*Inputs!$C$45^2))+Inputs!$C$48*(0.70*(0.45*SIN(2*PI()*(((Model_Data!A49)/Inputs!$C$49)+Inputs!$C$47*0.137))+0.35*COS(2*PI()*(((0)/Inputs!$C$50)+Inputs!$C$47*0.173))+0.20*SIN(2*PI()*(((Model_Data!A49)+(0))/(0.5*(Inputs!$C$49+Inputs!$C$50))+Inputs!$C$47*0.097)))+0.30*(2*((SIN(((Model_Data!A49)*12.9898+(0)*78.233+Inputs!$C$47*37.719))*43758.5453)-INT((SIN(((Model_Data!A49)*12.9898+(0)*78.233+Inputs!$C$47*37.719))*43758.5453)))-1))))</x:f>
        <x:v>286.4015962207025</x:v>
      </x:c>
      <x:c r="K49" s="48" t="n">
        <x:f>-((((SQRT((Model_Data!A49)^2+Inputs!$C$6^2+((Model_Data!B49)-((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(0.45*SIN(2*PI()*(((Model_Data!A49)/Inputs!$C$49)+Inputs!$C$47*0.137))+0.35*COS(2*PI()*(((Inputs!$C$6)/Inputs!$C$50)+Inputs!$C$47*0.173))+0.20*SIN(2*PI()*(((Model_Data!A49)+(Inputs!$C$6))/(0.5*(Inputs!$C$49+Inputs!$C$50))+Inputs!$C$47*0.097)))+0.30*(2*((SIN(((Model_Data!A49)*12.9898+(Inputs!$C$6)*78.233+Inputs!$C$47*37.719))*43758.5453)-INT((SIN(((Model_Data!A49)*12.9898+(Inputs!$C$6)*78.233+Inputs!$C$47*37.719))*43758.5453)))-1))))/1000)^2))-(((Model_Data!B49)-((Inputs!$C$51*(115*EXP(-(((0)-25)^2)/(4.5^2))+70*EXP(-(((0)+38)^2)/(7^2))*(0.55+0.45*SIN(2*PI()*(Model_Data!A49)/45))+24*SIN(2*PI()*(0)/9+(Model_Data!A49)/18)*EXP(-(((0)+5)^2)/(22^2))+18*SIN(2*PI()*(Model_Data!A49)/70))+Inputs!$C$28*EXP(-(((Model_Data!A49)-Inputs!$C$29)^2)/(2*Inputs!$C$31^2))*EXP(-(((0)-Inputs!$C$30)^2)/(2*Inputs!$C$32^2))+-Inputs!$C$33*EXP(-(((((Model_Data!A49)-Inputs!$C$34)^2)+(((0)-Inputs!$C$35)^2))/(2*Inputs!$C$36^2)))+Inputs!$C$37*(0.55*SIN(2*PI()*(Model_Data!A49)/Inputs!$C$39)+0.35*COS(2*PI()*(0)/Inputs!$C$40)+0.2*SIN(2*PI()*((Model_Data!A49)+(0))/(0.5*(Inputs!$C$39+Inputs!$C$40))))+Inputs!$C$38*SIN(2*PI()*(Model_Data!A49)/Inputs!$C$39)*SIN(2*PI()*(0)/Inputs!$C$40)+-Inputs!$C$41*EXP(-(((0)-Inputs!$C$43)^2)/(2*Inputs!$C$44^2))*EXP(-(((Model_Data!A49)-Inputs!$C$42)^2)/(2*Inputs!$C$45^2))+Inputs!$C$48*(0.70*(0.45*SIN(2*PI()*(((Model_Data!A49)/Inputs!$C$49)+Inputs!$C$47*0.137))+0.35*COS(2*PI()*(((0)/Inputs!$C$50)+Inputs!$C$47*0.173))+0.20*SIN(2*PI()*(((Model_Data!A49)+(0))/(0.5*(Inputs!$C$49+Inputs!$C$50))+Inputs!$C$47*0.097)))+0.30*(2*((SIN(((Model_Data!A49)*12.9898+(0)*78.233+Inputs!$C$47*37.719))*43758.5453)-INT((SIN(((Model_Data!A49)*12.9898+(0)*78.233+Inputs!$C$47*37.719))*43758.5453)))-1))))/1000)))*1000/Inputs!$C$12)-Model_Data!F49)</x:f>
        <x:v>160.00394565825627</x:v>
      </x:c>
      <x:c r="L49" s="49"/>
      <x:c r="M49" s="48" t="n">
        <x:f>Model_Data!A49</x:f>
        <x:v>-36.5</x:v>
      </x:c>
      <x:c r="N49" s="48" t="n">
        <x:f>Model_Data!P49</x:f>
        <x:v>273.5834496650001</x:v>
      </x:c>
      <x:c r="O49" s="48" t="n">
        <x:f>AC49</x:f>
        <x:v>332.60743761138656</x:v>
      </x:c>
      <x:c r="P49" s="48" t="n">
        <x:f>Model_Data!Q49</x:f>
        <x:v>41.07859604579582</x:v>
      </x:c>
      <x:c r="Q49" s="48" t="n">
        <x:f>AD49</x:f>
        <x:v>49.94105669840639</x:v>
      </x:c>
      <x:c r="R49" s="49"/>
      <x:c r="S49" s="48" t="n">
        <x:f>Model_Data!A49</x:f>
        <x:v>-36.5</x:v>
      </x:c>
      <x:c r="T49" s="48" t="n">
        <x:f>Model_Data!B49-Inputs!$C$5</x:f>
        <x:v>1.4802777777777578</x:v>
      </x:c>
      <x:c r="U49" s="49"/>
      <x:c r="V49" s="48" t="n">
        <x:f>Model_Data!A49</x:f>
        <x:v>-36.5</x:v>
      </x:c>
      <x:c r="W49" s="48" t="n">
        <x:f>(-((((SQRT((Model_Data!A49)^2+Inputs!$C$6^2+((Model_Data!B49)-((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(0.45*SIN(2*PI()*(((Model_Data!A49)/Inputs!$C$49)+Inputs!$C$47*0.137))+0.35*COS(2*PI()*(((Inputs!$C$6)/Inputs!$C$50)+Inputs!$C$47*0.173))+0.20*SIN(2*PI()*(((Model_Data!A49)+(Inputs!$C$6))/(0.5*(Inputs!$C$49+Inputs!$C$50))+Inputs!$C$47*0.097)))+0.30*(2*((SIN(((Model_Data!A49)*12.9898+(Inputs!$C$6)*78.233+Inputs!$C$47*37.719))*43758.5453)-INT((SIN(((Model_Data!A49)*12.9898+(Inputs!$C$6)*78.233+Inputs!$C$47*37.719))*43758.5453)))-1))))/1000)^2))-(((Model_Data!B49)-((Inputs!$C$51*(115*EXP(-(((0)-25)^2)/(4.5^2))+70*EXP(-(((0)+38)^2)/(7^2))*(0.55+0.45*SIN(2*PI()*(Model_Data!A49)/45))+24*SIN(2*PI()*(0)/9+(Model_Data!A49)/18)*EXP(-(((0)+5)^2)/(22^2))+18*SIN(2*PI()*(Model_Data!A49)/70))+Inputs!$C$28*EXP(-(((Model_Data!A49)-Inputs!$C$29)^2)/(2*Inputs!$C$31^2))*EXP(-(((0)-Inputs!$C$30)^2)/(2*Inputs!$C$32^2))+-Inputs!$C$33*EXP(-(((((Model_Data!A49)-Inputs!$C$34)^2)+(((0)-Inputs!$C$35)^2))/(2*Inputs!$C$36^2)))+Inputs!$C$37*(0.55*SIN(2*PI()*(Model_Data!A49)/Inputs!$C$39)+0.35*COS(2*PI()*(0)/Inputs!$C$40)+0.2*SIN(2*PI()*((Model_Data!A49)+(0))/(0.5*(Inputs!$C$39+Inputs!$C$40))))+Inputs!$C$38*SIN(2*PI()*(Model_Data!A49)/Inputs!$C$39)*SIN(2*PI()*(0)/Inputs!$C$40)+-Inputs!$C$41*EXP(-(((0)-Inputs!$C$43)^2)/(2*Inputs!$C$44^2))*EXP(-(((Model_Data!A49)-Inputs!$C$42)^2)/(2*Inputs!$C$45^2))+Inputs!$C$48*(0.70*(0.45*SIN(2*PI()*(((Model_Data!A49)/Inputs!$C$49)+Inputs!$C$47*0.137))+0.35*COS(2*PI()*(((0)/Inputs!$C$50)+Inputs!$C$47*0.173))+0.20*SIN(2*PI()*(((Model_Data!A49)+(0))/(0.5*(Inputs!$C$49+Inputs!$C$50))+Inputs!$C$47*0.097)))+0.30*(2*((SIN(((Model_Data!A49)*12.9898+(0)*78.233+Inputs!$C$47*37.719))*43758.5453)-INT((SIN(((Model_Data!A49)*12.9898+(0)*78.233+Inputs!$C$47*37.719))*43758.5453)))-1))))/1000)))*1000/Inputs!$C$12)-Model_Data!F49))-(-(((SQRT((Model_Data!A49)^2+Inputs!$C$6^2+(Inputs!$C$5-((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(0.45*SIN(2*PI()*(((Model_Data!A49)/Inputs!$C$49)+Inputs!$C$47*0.137))+0.35*COS(2*PI()*(((Inputs!$C$6)/Inputs!$C$50)+Inputs!$C$47*0.173))+0.20*SIN(2*PI()*(((Model_Data!A49)+(Inputs!$C$6))/(0.5*(Inputs!$C$49+Inputs!$C$50))+Inputs!$C$47*0.097)))+0.30*(2*((SIN(((Model_Data!A49)*12.9898+(Inputs!$C$6)*78.233+Inputs!$C$47*37.719))*43758.5453)-INT((SIN(((Model_Data!A49)*12.9898+(Inputs!$C$6)*78.233+Inputs!$C$47*37.719))*43758.5453)))-1))))/1000)^2)-(Inputs!$C$5-((Inputs!$C$51*(115*EXP(-(((0)-25)^2)/(4.5^2))+70*EXP(-(((0)+38)^2)/(7^2))*(0.55+0.45*SIN(2*PI()*(Model_Data!A49)/45))+24*SIN(2*PI()*(0)/9+(Model_Data!A49)/18)*EXP(-(((0)+5)^2)/(22^2))+18*SIN(2*PI()*(Model_Data!A49)/70))+Inputs!$C$28*EXP(-(((Model_Data!A49)-Inputs!$C$29)^2)/(2*Inputs!$C$31^2))*EXP(-(((0)-Inputs!$C$30)^2)/(2*Inputs!$C$32^2))+-Inputs!$C$33*EXP(-(((((Model_Data!A49)-Inputs!$C$34)^2)+(((0)-Inputs!$C$35)^2))/(2*Inputs!$C$36^2)))+Inputs!$C$37*(0.55*SIN(2*PI()*(Model_Data!A49)/Inputs!$C$39)+0.35*COS(2*PI()*(0)/Inputs!$C$40)+0.2*SIN(2*PI()*((Model_Data!A49)+(0))/(0.5*(Inputs!$C$39+Inputs!$C$40))))+Inputs!$C$38*SIN(2*PI()*(Model_Data!A49)/Inputs!$C$39)*SIN(2*PI()*(0)/Inputs!$C$40)+-Inputs!$C$41*EXP(-(((0)-Inputs!$C$43)^2)/(2*Inputs!$C$44^2))*EXP(-(((Model_Data!A49)-Inputs!$C$42)^2)/(2*Inputs!$C$45^2))+Inputs!$C$48*(0.70*(0.45*SIN(2*PI()*(((Model_Data!A49)/Inputs!$C$49)+Inputs!$C$47*0.137))+0.35*COS(2*PI()*(((0)/Inputs!$C$50)+Inputs!$C$47*0.173))+0.20*SIN(2*PI()*(((Model_Data!A49)+(0))/(0.5*(Inputs!$C$49+Inputs!$C$50))+Inputs!$C$47*0.097)))+0.30*(2*((SIN(((Model_Data!A49)*12.9898+(0)*78.233+Inputs!$C$47*37.719))*43758.5453)-INT((SIN(((Model_Data!A49)*12.9898+(0)*78.233+Inputs!$C$47*37.719))*43758.5453)))-1))))/1000))*1000/Inputs!$C$12)-((SQRT((Model_Data!A49)^2+Inputs!$C$6^2+Inputs!$C$5^2)-Inputs!$C$5)*1000/Inputs!$C$12)))</x:f>
        <x:v>0.00658451279809924</x:v>
      </x:c>
      <x:c r="X49" s="48" t="n">
        <x:f>0</x:f>
        <x:v>0</x:v>
      </x:c>
      <x:c r="Y49" s="49"/>
      <x:c r="Z49" s="48" t="n">
        <x:f>Model_Data!A49</x:f>
        <x:v>-36.5</x:v>
      </x:c>
      <x:c r="AA49" s="48" t="n">
        <x:f>SQRT((Model_Data!A49)^2+Inputs!$C$6^2+((Model_Data!B49)-((Inputs!$C$51*(115*EXP(-(((Inputs!$C$6)-25)^2)/(4.5^2))+70*EXP(-(((Inputs!$C$6)+38)^2)/(7^2))*(0.55+0.45*SIN(2*PI()*(Model_Data!A49)/45))+24*SIN(2*PI()*(Inputs!$C$6)/9+(Model_Data!A49)/18)*EXP(-(((Inputs!$C$6)+5)^2)/(22^2))+18*SIN(2*PI()*(Model_Data!A49)/70))+Inputs!$C$28*EXP(-(((Model_Data!A49)-Inputs!$C$29)^2)/(2*Inputs!$C$31^2))*EXP(-(((Inputs!$C$6)-Inputs!$C$30)^2)/(2*Inputs!$C$32^2))+-Inputs!$C$33*EXP(-(((((Model_Data!A49)-Inputs!$C$34)^2)+(((Inputs!$C$6)-Inputs!$C$35)^2))/(2*Inputs!$C$36^2)))+Inputs!$C$37*(0.55*SIN(2*PI()*(Model_Data!A49)/Inputs!$C$39)+0.35*COS(2*PI()*(Inputs!$C$6)/Inputs!$C$40)+0.2*SIN(2*PI()*((Model_Data!A49)+(Inputs!$C$6))/(0.5*(Inputs!$C$39+Inputs!$C$40))))+Inputs!$C$38*SIN(2*PI()*(Model_Data!A49)/Inputs!$C$39)*SIN(2*PI()*(Inputs!$C$6)/Inputs!$C$40)+-Inputs!$C$41*EXP(-(((Inputs!$C$6)-Inputs!$C$43)^2)/(2*Inputs!$C$44^2))*EXP(-(((Model_Data!A49)-Inputs!$C$42)^2)/(2*Inputs!$C$45^2))+Inputs!$C$48*(0.70*(0.45*SIN(2*PI()*(((Model_Data!A49)/Inputs!$C$49)+Inputs!$C$47*0.137))+0.35*COS(2*PI()*(((Inputs!$C$6)/Inputs!$C$50)+Inputs!$C$47*0.173))+0.20*SIN(2*PI()*(((Model_Data!A49)+(Inputs!$C$6))/(0.5*(Inputs!$C$49+Inputs!$C$50))+Inputs!$C$47*0.097)))+0.30*(2*((SIN(((Model_Data!A49)*12.9898+(Inputs!$C$6)*78.233+Inputs!$C$47*37.719))*43758.5453)-INT((SIN(((Model_Data!A49)*12.9898+(Inputs!$C$6)*78.233+Inputs!$C$47*37.719))*43758.5453)))-1))))/1000)^2)</x:f>
        <x:v>403.64720565059184</x:v>
      </x:c>
      <x:c r="AB49" s="48" t="n">
        <x:f>1000*(AA50-AA48)/(Z50-Z48)*Inputs!$C$11</x:f>
        <x:v>-831.5185940284664</x:v>
      </x:c>
      <x:c r="AC49" s="48" t="n">
        <x:f>-2*AB49/Inputs!$C$13</x:f>
        <x:v>332.60743761138656</x:v>
      </x:c>
      <x:c r="AD49" s="48" t="n">
        <x:f>-2*AB49/Inputs!$C$14</x:f>
        <x:v>49.94105669840639</x:v>
      </x:c>
    </x:row>
    <x:row r="50">
      <x:c r="A50" s="48" t="n">
        <x:f>Model_Data!A50</x:f>
        <x:v>-36</x:v>
      </x:c>
      <x:c r="B50" s="48" t="n">
        <x:f>Model_Data!F50</x:f>
        <x:v>1340.195771682717</x:v>
      </x:c>
      <x:c r="C50" s="48" t="n">
        <x:f>(((SQRT((Model_Data!A50)^2+Inputs!$C$6^2+((Model_Data!B50)-((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(0.45*SIN(2*PI()*(((Model_Data!A50)/Inputs!$C$49)+Inputs!$C$47*0.137))+0.35*COS(2*PI()*(((Inputs!$C$6)/Inputs!$C$50)+Inputs!$C$47*0.173))+0.20*SIN(2*PI()*(((Model_Data!A50)+(Inputs!$C$6))/(0.5*(Inputs!$C$49+Inputs!$C$50))+Inputs!$C$47*0.097)))+0.30*(2*((SIN(((Model_Data!A50)*12.9898+(Inputs!$C$6)*78.233+Inputs!$C$47*37.719))*43758.5453)-INT((SIN(((Model_Data!A50)*12.9898+(Inputs!$C$6)*78.233+Inputs!$C$47*37.719))*43758.5453)))-1))))/1000)^2))-(((Model_Data!B50)-((Inputs!$C$51*(115*EXP(-(((0)-25)^2)/(4.5^2))+70*EXP(-(((0)+38)^2)/(7^2))*(0.55+0.45*SIN(2*PI()*(Model_Data!A50)/45))+24*SIN(2*PI()*(0)/9+(Model_Data!A50)/18)*EXP(-(((0)+5)^2)/(22^2))+18*SIN(2*PI()*(Model_Data!A50)/70))+Inputs!$C$28*EXP(-(((Model_Data!A50)-Inputs!$C$29)^2)/(2*Inputs!$C$31^2))*EXP(-(((0)-Inputs!$C$30)^2)/(2*Inputs!$C$32^2))+-Inputs!$C$33*EXP(-(((((Model_Data!A50)-Inputs!$C$34)^2)+(((0)-Inputs!$C$35)^2))/(2*Inputs!$C$36^2)))+Inputs!$C$37*(0.55*SIN(2*PI()*(Model_Data!A50)/Inputs!$C$39)+0.35*COS(2*PI()*(0)/Inputs!$C$40)+0.2*SIN(2*PI()*((Model_Data!A50)+(0))/(0.5*(Inputs!$C$39+Inputs!$C$40))))+Inputs!$C$38*SIN(2*PI()*(Model_Data!A50)/Inputs!$C$39)*SIN(2*PI()*(0)/Inputs!$C$40)+-Inputs!$C$41*EXP(-(((0)-Inputs!$C$43)^2)/(2*Inputs!$C$44^2))*EXP(-(((Model_Data!A50)-Inputs!$C$42)^2)/(2*Inputs!$C$45^2))+Inputs!$C$48*(0.70*(0.45*SIN(2*PI()*(((Model_Data!A50)/Inputs!$C$49)+Inputs!$C$47*0.137))+0.35*COS(2*PI()*(((0)/Inputs!$C$50)+Inputs!$C$47*0.173))+0.20*SIN(2*PI()*(((Model_Data!A50)+(0))/(0.5*(Inputs!$C$49+Inputs!$C$50))+Inputs!$C$47*0.097)))+0.30*(2*((SIN(((Model_Data!A50)*12.9898+(0)*78.233+Inputs!$C$47*37.719))*43758.5453)-INT((SIN(((Model_Data!A50)*12.9898+(0)*78.233+Inputs!$C$47*37.719))*43758.5453)))-1))))/1000)))*1000/Inputs!$C$12)</x:f>
        <x:v>1186.3095300921568</x:v>
      </x:c>
      <x:c r="D50" s="49"/>
      <x:c r="E50" s="48" t="n">
        <x:f>Model_Data!A50</x:f>
        <x:v>-36</x:v>
      </x:c>
      <x:c r="F50" s="48" t="n">
        <x:f>(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(0.45*SIN(2*PI()*(((Model_Data!A50)/Inputs!$C$49)+Inputs!$C$47*0.137))+0.35*COS(2*PI()*(((Inputs!$C$6)/Inputs!$C$50)+Inputs!$C$47*0.173))+0.20*SIN(2*PI()*(((Model_Data!A50)+(Inputs!$C$6))/(0.5*(Inputs!$C$49+Inputs!$C$50))+Inputs!$C$47*0.097)))+0.30*(2*((SIN(((Model_Data!A50)*12.9898+(Inputs!$C$6)*78.233+Inputs!$C$47*37.719))*43758.5453)-INT((SIN(((Model_Data!A50)*12.9898+(Inputs!$C$6)*78.233+Inputs!$C$47*37.719))*43758.5453)))-1)))</x:f>
        <x:v>273.24610443212225</x:v>
      </x:c>
      <x:c r="G50" s="48" t="n">
        <x:f>(Inputs!$C$51*(115*EXP(-(((0)-25)^2)/(4.5^2))+70*EXP(-(((0)+38)^2)/(7^2))*(0.55+0.45*SIN(2*PI()*(Model_Data!A50)/45))+24*SIN(2*PI()*(0)/9+(Model_Data!A50)/18)*EXP(-(((0)+5)^2)/(22^2))+18*SIN(2*PI()*(Model_Data!A50)/70))+Inputs!$C$28*EXP(-(((Model_Data!A50)-Inputs!$C$29)^2)/(2*Inputs!$C$31^2))*EXP(-(((0)-Inputs!$C$30)^2)/(2*Inputs!$C$32^2))+-Inputs!$C$33*EXP(-(((((Model_Data!A50)-Inputs!$C$34)^2)+(((0)-Inputs!$C$35)^2))/(2*Inputs!$C$36^2)))+Inputs!$C$37*(0.55*SIN(2*PI()*(Model_Data!A50)/Inputs!$C$39)+0.35*COS(2*PI()*(0)/Inputs!$C$40)+0.2*SIN(2*PI()*((Model_Data!A50)+(0))/(0.5*(Inputs!$C$39+Inputs!$C$40))))+Inputs!$C$38*SIN(2*PI()*(Model_Data!A50)/Inputs!$C$39)*SIN(2*PI()*(0)/Inputs!$C$40)+-Inputs!$C$41*EXP(-(((0)-Inputs!$C$43)^2)/(2*Inputs!$C$44^2))*EXP(-(((Model_Data!A50)-Inputs!$C$42)^2)/(2*Inputs!$C$45^2))+Inputs!$C$48*(0.70*(0.45*SIN(2*PI()*(((Model_Data!A50)/Inputs!$C$49)+Inputs!$C$47*0.137))+0.35*COS(2*PI()*(((0)/Inputs!$C$50)+Inputs!$C$47*0.173))+0.20*SIN(2*PI()*(((Model_Data!A50)+(0))/(0.5*(Inputs!$C$49+Inputs!$C$50))+Inputs!$C$47*0.097)))+0.30*(2*((SIN(((Model_Data!A50)*12.9898+(0)*78.233+Inputs!$C$47*37.719))*43758.5453)-INT((SIN(((Model_Data!A50)*12.9898+(0)*78.233+Inputs!$C$47*37.719))*43758.5453)))-1)))</x:f>
        <x:v>-2.286662206392558</x:v>
      </x:c>
      <x:c r="H50" s="49"/>
      <x:c r="I50" s="48" t="n">
        <x:f>Model_Data!A50</x:f>
        <x:v>-36</x:v>
      </x:c>
      <x:c r="J50" s="48" t="n">
        <x:f>((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(0.45*SIN(2*PI()*(((Model_Data!A50)/Inputs!$C$49)+Inputs!$C$47*0.137))+0.35*COS(2*PI()*(((Inputs!$C$6)/Inputs!$C$50)+Inputs!$C$47*0.173))+0.20*SIN(2*PI()*(((Model_Data!A50)+(Inputs!$C$6))/(0.5*(Inputs!$C$49+Inputs!$C$50))+Inputs!$C$47*0.097)))+0.30*(2*((SIN(((Model_Data!A50)*12.9898+(Inputs!$C$6)*78.233+Inputs!$C$47*37.719))*43758.5453)-INT((SIN(((Model_Data!A50)*12.9898+(Inputs!$C$6)*78.233+Inputs!$C$47*37.719))*43758.5453)))-1))))-((Inputs!$C$51*(115*EXP(-(((0)-25)^2)/(4.5^2))+70*EXP(-(((0)+38)^2)/(7^2))*(0.55+0.45*SIN(2*PI()*(Model_Data!A50)/45))+24*SIN(2*PI()*(0)/9+(Model_Data!A50)/18)*EXP(-(((0)+5)^2)/(22^2))+18*SIN(2*PI()*(Model_Data!A50)/70))+Inputs!$C$28*EXP(-(((Model_Data!A50)-Inputs!$C$29)^2)/(2*Inputs!$C$31^2))*EXP(-(((0)-Inputs!$C$30)^2)/(2*Inputs!$C$32^2))+-Inputs!$C$33*EXP(-(((((Model_Data!A50)-Inputs!$C$34)^2)+(((0)-Inputs!$C$35)^2))/(2*Inputs!$C$36^2)))+Inputs!$C$37*(0.55*SIN(2*PI()*(Model_Data!A50)/Inputs!$C$39)+0.35*COS(2*PI()*(0)/Inputs!$C$40)+0.2*SIN(2*PI()*((Model_Data!A50)+(0))/(0.5*(Inputs!$C$39+Inputs!$C$40))))+Inputs!$C$38*SIN(2*PI()*(Model_Data!A50)/Inputs!$C$39)*SIN(2*PI()*(0)/Inputs!$C$40)+-Inputs!$C$41*EXP(-(((0)-Inputs!$C$43)^2)/(2*Inputs!$C$44^2))*EXP(-(((Model_Data!A50)-Inputs!$C$42)^2)/(2*Inputs!$C$45^2))+Inputs!$C$48*(0.70*(0.45*SIN(2*PI()*(((Model_Data!A50)/Inputs!$C$49)+Inputs!$C$47*0.137))+0.35*COS(2*PI()*(((0)/Inputs!$C$50)+Inputs!$C$47*0.173))+0.20*SIN(2*PI()*(((Model_Data!A50)+(0))/(0.5*(Inputs!$C$49+Inputs!$C$50))+Inputs!$C$47*0.097)))+0.30*(2*((SIN(((Model_Data!A50)*12.9898+(0)*78.233+Inputs!$C$47*37.719))*43758.5453)-INT((SIN(((Model_Data!A50)*12.9898+(0)*78.233+Inputs!$C$47*37.719))*43758.5453)))-1))))</x:f>
        <x:v>275.53276663851483</x:v>
      </x:c>
      <x:c r="K50" s="48" t="n">
        <x:f>-((((SQRT((Model_Data!A50)^2+Inputs!$C$6^2+((Model_Data!B50)-((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(0.45*SIN(2*PI()*(((Model_Data!A50)/Inputs!$C$49)+Inputs!$C$47*0.137))+0.35*COS(2*PI()*(((Inputs!$C$6)/Inputs!$C$50)+Inputs!$C$47*0.173))+0.20*SIN(2*PI()*(((Model_Data!A50)+(Inputs!$C$6))/(0.5*(Inputs!$C$49+Inputs!$C$50))+Inputs!$C$47*0.097)))+0.30*(2*((SIN(((Model_Data!A50)*12.9898+(Inputs!$C$6)*78.233+Inputs!$C$47*37.719))*43758.5453)-INT((SIN(((Model_Data!A50)*12.9898+(Inputs!$C$6)*78.233+Inputs!$C$47*37.719))*43758.5453)))-1))))/1000)^2))-(((Model_Data!B50)-((Inputs!$C$51*(115*EXP(-(((0)-25)^2)/(4.5^2))+70*EXP(-(((0)+38)^2)/(7^2))*(0.55+0.45*SIN(2*PI()*(Model_Data!A50)/45))+24*SIN(2*PI()*(0)/9+(Model_Data!A50)/18)*EXP(-(((0)+5)^2)/(22^2))+18*SIN(2*PI()*(Model_Data!A50)/70))+Inputs!$C$28*EXP(-(((Model_Data!A50)-Inputs!$C$29)^2)/(2*Inputs!$C$31^2))*EXP(-(((0)-Inputs!$C$30)^2)/(2*Inputs!$C$32^2))+-Inputs!$C$33*EXP(-(((((Model_Data!A50)-Inputs!$C$34)^2)+(((0)-Inputs!$C$35)^2))/(2*Inputs!$C$36^2)))+Inputs!$C$37*(0.55*SIN(2*PI()*(Model_Data!A50)/Inputs!$C$39)+0.35*COS(2*PI()*(0)/Inputs!$C$40)+0.2*SIN(2*PI()*((Model_Data!A50)+(0))/(0.5*(Inputs!$C$39+Inputs!$C$40))))+Inputs!$C$38*SIN(2*PI()*(Model_Data!A50)/Inputs!$C$39)*SIN(2*PI()*(0)/Inputs!$C$40)+-Inputs!$C$41*EXP(-(((0)-Inputs!$C$43)^2)/(2*Inputs!$C$44^2))*EXP(-(((Model_Data!A50)-Inputs!$C$42)^2)/(2*Inputs!$C$45^2))+Inputs!$C$48*(0.70*(0.45*SIN(2*PI()*(((Model_Data!A50)/Inputs!$C$49)+Inputs!$C$47*0.137))+0.35*COS(2*PI()*(((0)/Inputs!$C$50)+Inputs!$C$47*0.173))+0.20*SIN(2*PI()*(((Model_Data!A50)+(0))/(0.5*(Inputs!$C$49+Inputs!$C$50))+Inputs!$C$47*0.097)))+0.30*(2*((SIN(((Model_Data!A50)*12.9898+(0)*78.233+Inputs!$C$47*37.719))*43758.5453)-INT((SIN(((Model_Data!A50)*12.9898+(0)*78.233+Inputs!$C$47*37.719))*43758.5453)))-1))))/1000)))*1000/Inputs!$C$12)-Model_Data!F50)</x:f>
        <x:v>153.88624159056008</x:v>
      </x:c>
      <x:c r="L50" s="49"/>
      <x:c r="M50" s="48" t="n">
        <x:f>Model_Data!A50</x:f>
        <x:v>-36</x:v>
      </x:c>
      <x:c r="N50" s="48" t="n">
        <x:f>Model_Data!P50</x:f>
        <x:v>269.8797052636854</x:v>
      </x:c>
      <x:c r="O50" s="48" t="n">
        <x:f>AC50</x:f>
        <x:v>301.94302632999097</x:v>
      </x:c>
      <x:c r="P50" s="48" t="n">
        <x:f>Model_Data!Q50</x:f>
        <x:v>40.52247826782064</x:v>
      </x:c>
      <x:c r="Q50" s="48" t="n">
        <x:f>AD50</x:f>
        <x:v>45.33679074023889</x:v>
      </x:c>
      <x:c r="R50" s="49"/>
      <x:c r="S50" s="48" t="n">
        <x:f>Model_Data!A50</x:f>
        <x:v>-36</x:v>
      </x:c>
      <x:c r="T50" s="48" t="n">
        <x:f>Model_Data!B50-Inputs!$C$5</x:f>
        <x:v>1.4399999999999977</x:v>
      </x:c>
      <x:c r="U50" s="49"/>
      <x:c r="V50" s="48" t="n">
        <x:f>Model_Data!A50</x:f>
        <x:v>-36</x:v>
      </x:c>
      <x:c r="W50" s="48" t="n">
        <x:f>(-((((SQRT((Model_Data!A50)^2+Inputs!$C$6^2+((Model_Data!B50)-((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(0.45*SIN(2*PI()*(((Model_Data!A50)/Inputs!$C$49)+Inputs!$C$47*0.137))+0.35*COS(2*PI()*(((Inputs!$C$6)/Inputs!$C$50)+Inputs!$C$47*0.173))+0.20*SIN(2*PI()*(((Model_Data!A50)+(Inputs!$C$6))/(0.5*(Inputs!$C$49+Inputs!$C$50))+Inputs!$C$47*0.097)))+0.30*(2*((SIN(((Model_Data!A50)*12.9898+(Inputs!$C$6)*78.233+Inputs!$C$47*37.719))*43758.5453)-INT((SIN(((Model_Data!A50)*12.9898+(Inputs!$C$6)*78.233+Inputs!$C$47*37.719))*43758.5453)))-1))))/1000)^2))-(((Model_Data!B50)-((Inputs!$C$51*(115*EXP(-(((0)-25)^2)/(4.5^2))+70*EXP(-(((0)+38)^2)/(7^2))*(0.55+0.45*SIN(2*PI()*(Model_Data!A50)/45))+24*SIN(2*PI()*(0)/9+(Model_Data!A50)/18)*EXP(-(((0)+5)^2)/(22^2))+18*SIN(2*PI()*(Model_Data!A50)/70))+Inputs!$C$28*EXP(-(((Model_Data!A50)-Inputs!$C$29)^2)/(2*Inputs!$C$31^2))*EXP(-(((0)-Inputs!$C$30)^2)/(2*Inputs!$C$32^2))+-Inputs!$C$33*EXP(-(((((Model_Data!A50)-Inputs!$C$34)^2)+(((0)-Inputs!$C$35)^2))/(2*Inputs!$C$36^2)))+Inputs!$C$37*(0.55*SIN(2*PI()*(Model_Data!A50)/Inputs!$C$39)+0.35*COS(2*PI()*(0)/Inputs!$C$40)+0.2*SIN(2*PI()*((Model_Data!A50)+(0))/(0.5*(Inputs!$C$39+Inputs!$C$40))))+Inputs!$C$38*SIN(2*PI()*(Model_Data!A50)/Inputs!$C$39)*SIN(2*PI()*(0)/Inputs!$C$40)+-Inputs!$C$41*EXP(-(((0)-Inputs!$C$43)^2)/(2*Inputs!$C$44^2))*EXP(-(((Model_Data!A50)-Inputs!$C$42)^2)/(2*Inputs!$C$45^2))+Inputs!$C$48*(0.70*(0.45*SIN(2*PI()*(((Model_Data!A50)/Inputs!$C$49)+Inputs!$C$47*0.137))+0.35*COS(2*PI()*(((0)/Inputs!$C$50)+Inputs!$C$47*0.173))+0.20*SIN(2*PI()*(((Model_Data!A50)+(0))/(0.5*(Inputs!$C$49+Inputs!$C$50))+Inputs!$C$47*0.097)))+0.30*(2*((SIN(((Model_Data!A50)*12.9898+(0)*78.233+Inputs!$C$47*37.719))*43758.5453)-INT((SIN(((Model_Data!A50)*12.9898+(0)*78.233+Inputs!$C$47*37.719))*43758.5453)))-1))))/1000)))*1000/Inputs!$C$12)-Model_Data!F50))-(-(((SQRT((Model_Data!A50)^2+Inputs!$C$6^2+(Inputs!$C$5-((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(0.45*SIN(2*PI()*(((Model_Data!A50)/Inputs!$C$49)+Inputs!$C$47*0.137))+0.35*COS(2*PI()*(((Inputs!$C$6)/Inputs!$C$50)+Inputs!$C$47*0.173))+0.20*SIN(2*PI()*(((Model_Data!A50)+(Inputs!$C$6))/(0.5*(Inputs!$C$49+Inputs!$C$50))+Inputs!$C$47*0.097)))+0.30*(2*((SIN(((Model_Data!A50)*12.9898+(Inputs!$C$6)*78.233+Inputs!$C$47*37.719))*43758.5453)-INT((SIN(((Model_Data!A50)*12.9898+(Inputs!$C$6)*78.233+Inputs!$C$47*37.719))*43758.5453)))-1))))/1000)^2)-(Inputs!$C$5-((Inputs!$C$51*(115*EXP(-(((0)-25)^2)/(4.5^2))+70*EXP(-(((0)+38)^2)/(7^2))*(0.55+0.45*SIN(2*PI()*(Model_Data!A50)/45))+24*SIN(2*PI()*(0)/9+(Model_Data!A50)/18)*EXP(-(((0)+5)^2)/(22^2))+18*SIN(2*PI()*(Model_Data!A50)/70))+Inputs!$C$28*EXP(-(((Model_Data!A50)-Inputs!$C$29)^2)/(2*Inputs!$C$31^2))*EXP(-(((0)-Inputs!$C$30)^2)/(2*Inputs!$C$32^2))+-Inputs!$C$33*EXP(-(((((Model_Data!A50)-Inputs!$C$34)^2)+(((0)-Inputs!$C$35)^2))/(2*Inputs!$C$36^2)))+Inputs!$C$37*(0.55*SIN(2*PI()*(Model_Data!A50)/Inputs!$C$39)+0.35*COS(2*PI()*(0)/Inputs!$C$40)+0.2*SIN(2*PI()*((Model_Data!A50)+(0))/(0.5*(Inputs!$C$39+Inputs!$C$40))))+Inputs!$C$38*SIN(2*PI()*(Model_Data!A50)/Inputs!$C$39)*SIN(2*PI()*(0)/Inputs!$C$40)+-Inputs!$C$41*EXP(-(((0)-Inputs!$C$43)^2)/(2*Inputs!$C$44^2))*EXP(-(((Model_Data!A50)-Inputs!$C$42)^2)/(2*Inputs!$C$45^2))+Inputs!$C$48*(0.70*(0.45*SIN(2*PI()*(((Model_Data!A50)/Inputs!$C$49)+Inputs!$C$47*0.137))+0.35*COS(2*PI()*(((0)/Inputs!$C$50)+Inputs!$C$47*0.173))+0.20*SIN(2*PI()*(((Model_Data!A50)+(0))/(0.5*(Inputs!$C$49+Inputs!$C$50))+Inputs!$C$47*0.097)))+0.30*(2*((SIN(((Model_Data!A50)*12.9898+(0)*78.233+Inputs!$C$47*37.719))*43758.5453)-INT((SIN(((Model_Data!A50)*12.9898+(0)*78.233+Inputs!$C$47*37.719))*43758.5453)))-1))))/1000))*1000/Inputs!$C$12)-((SQRT((Model_Data!A50)^2+Inputs!$C$6^2+Inputs!$C$5^2)-Inputs!$C$5)*1000/Inputs!$C$12)))</x:f>
        <x:v>0.006489266284916084</x:v>
      </x:c>
      <x:c r="X50" s="48" t="n">
        <x:f>0</x:f>
        <x:v>0</x:v>
      </x:c>
      <x:c r="Y50" s="49"/>
      <x:c r="Z50" s="48" t="n">
        <x:f>Model_Data!A50</x:f>
        <x:v>-36</x:v>
      </x:c>
      <x:c r="AA50" s="48" t="n">
        <x:f>SQRT((Model_Data!A50)^2+Inputs!$C$6^2+((Model_Data!B50)-((Inputs!$C$51*(115*EXP(-(((Inputs!$C$6)-25)^2)/(4.5^2))+70*EXP(-(((Inputs!$C$6)+38)^2)/(7^2))*(0.55+0.45*SIN(2*PI()*(Model_Data!A50)/45))+24*SIN(2*PI()*(Inputs!$C$6)/9+(Model_Data!A50)/18)*EXP(-(((Inputs!$C$6)+5)^2)/(22^2))+18*SIN(2*PI()*(Model_Data!A50)/70))+Inputs!$C$28*EXP(-(((Model_Data!A50)-Inputs!$C$29)^2)/(2*Inputs!$C$31^2))*EXP(-(((Inputs!$C$6)-Inputs!$C$30)^2)/(2*Inputs!$C$32^2))+-Inputs!$C$33*EXP(-(((((Model_Data!A50)-Inputs!$C$34)^2)+(((Inputs!$C$6)-Inputs!$C$35)^2))/(2*Inputs!$C$36^2)))+Inputs!$C$37*(0.55*SIN(2*PI()*(Model_Data!A50)/Inputs!$C$39)+0.35*COS(2*PI()*(Inputs!$C$6)/Inputs!$C$40)+0.2*SIN(2*PI()*((Model_Data!A50)+(Inputs!$C$6))/(0.5*(Inputs!$C$39+Inputs!$C$40))))+Inputs!$C$38*SIN(2*PI()*(Model_Data!A50)/Inputs!$C$39)*SIN(2*PI()*(Inputs!$C$6)/Inputs!$C$40)+-Inputs!$C$41*EXP(-(((Inputs!$C$6)-Inputs!$C$43)^2)/(2*Inputs!$C$44^2))*EXP(-(((Model_Data!A50)-Inputs!$C$42)^2)/(2*Inputs!$C$45^2))+Inputs!$C$48*(0.70*(0.45*SIN(2*PI()*(((Model_Data!A50)/Inputs!$C$49)+Inputs!$C$47*0.137))+0.35*COS(2*PI()*(((Inputs!$C$6)/Inputs!$C$50)+Inputs!$C$47*0.173))+0.20*SIN(2*PI()*(((Model_Data!A50)+(Inputs!$C$6))/(0.5*(Inputs!$C$49+Inputs!$C$50))+Inputs!$C$47*0.097)))+0.30*(2*((SIN(((Model_Data!A50)*12.9898+(Inputs!$C$6)*78.233+Inputs!$C$47*37.719))*43758.5453)-INT((SIN(((Model_Data!A50)*12.9898+(Inputs!$C$6)*78.233+Inputs!$C$47*37.719))*43758.5453)))-1))))/1000)^2)</x:f>
        <x:v>403.55391762577045</x:v>
      </x:c>
      <x:c r="AB50" s="48" t="n">
        <x:f>1000*(AA51-AA49)/(Z51-Z49)*Inputs!$C$11</x:f>
        <x:v>-754.8575658249774</x:v>
      </x:c>
      <x:c r="AC50" s="48" t="n">
        <x:f>-2*AB50/Inputs!$C$13</x:f>
        <x:v>301.94302632999097</x:v>
      </x:c>
      <x:c r="AD50" s="48" t="n">
        <x:f>-2*AB50/Inputs!$C$14</x:f>
        <x:v>45.33679074023889</x:v>
      </x:c>
    </x:row>
    <x:row r="51">
      <x:c r="A51" s="48" t="n">
        <x:f>Model_Data!A51</x:f>
        <x:v>-35.5</x:v>
      </x:c>
      <x:c r="B51" s="48" t="n">
        <x:f>Model_Data!F51</x:f>
        <x:v>1315.4563099576765</x:v>
      </x:c>
      <x:c r="C51" s="48" t="n">
        <x:f>(((SQRT((Model_Data!A51)^2+Inputs!$C$6^2+((Model_Data!B51)-((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(0.45*SIN(2*PI()*(((Model_Data!A51)/Inputs!$C$49)+Inputs!$C$47*0.137))+0.35*COS(2*PI()*(((Inputs!$C$6)/Inputs!$C$50)+Inputs!$C$47*0.173))+0.20*SIN(2*PI()*(((Model_Data!A51)+(Inputs!$C$6))/(0.5*(Inputs!$C$49+Inputs!$C$50))+Inputs!$C$47*0.097)))+0.30*(2*((SIN(((Model_Data!A51)*12.9898+(Inputs!$C$6)*78.233+Inputs!$C$47*37.719))*43758.5453)-INT((SIN(((Model_Data!A51)*12.9898+(Inputs!$C$6)*78.233+Inputs!$C$47*37.719))*43758.5453)))-1))))/1000)^2))-(((Model_Data!B51)-((Inputs!$C$51*(115*EXP(-(((0)-25)^2)/(4.5^2))+70*EXP(-(((0)+38)^2)/(7^2))*(0.55+0.45*SIN(2*PI()*(Model_Data!A51)/45))+24*SIN(2*PI()*(0)/9+(Model_Data!A51)/18)*EXP(-(((0)+5)^2)/(22^2))+18*SIN(2*PI()*(Model_Data!A51)/70))+Inputs!$C$28*EXP(-(((Model_Data!A51)-Inputs!$C$29)^2)/(2*Inputs!$C$31^2))*EXP(-(((0)-Inputs!$C$30)^2)/(2*Inputs!$C$32^2))+-Inputs!$C$33*EXP(-(((((Model_Data!A51)-Inputs!$C$34)^2)+(((0)-Inputs!$C$35)^2))/(2*Inputs!$C$36^2)))+Inputs!$C$37*(0.55*SIN(2*PI()*(Model_Data!A51)/Inputs!$C$39)+0.35*COS(2*PI()*(0)/Inputs!$C$40)+0.2*SIN(2*PI()*((Model_Data!A51)+(0))/(0.5*(Inputs!$C$39+Inputs!$C$40))))+Inputs!$C$38*SIN(2*PI()*(Model_Data!A51)/Inputs!$C$39)*SIN(2*PI()*(0)/Inputs!$C$40)+-Inputs!$C$41*EXP(-(((0)-Inputs!$C$43)^2)/(2*Inputs!$C$44^2))*EXP(-(((Model_Data!A51)-Inputs!$C$42)^2)/(2*Inputs!$C$45^2))+Inputs!$C$48*(0.70*(0.45*SIN(2*PI()*(((Model_Data!A51)/Inputs!$C$49)+Inputs!$C$47*0.137))+0.35*COS(2*PI()*(((0)/Inputs!$C$50)+Inputs!$C$47*0.173))+0.20*SIN(2*PI()*(((Model_Data!A51)+(0))/(0.5*(Inputs!$C$49+Inputs!$C$50))+Inputs!$C$47*0.097)))+0.30*(2*((SIN(((Model_Data!A51)*12.9898+(0)*78.233+Inputs!$C$47*37.719))*43758.5453)-INT((SIN(((Model_Data!A51)*12.9898+(0)*78.233+Inputs!$C$47*37.719))*43758.5453)))-1))))/1000)))*1000/Inputs!$C$12)</x:f>
        <x:v>1155.943544661062</x:v>
      </x:c>
      <x:c r="D51" s="49"/>
      <x:c r="E51" s="48" t="n">
        <x:f>Model_Data!A51</x:f>
        <x:v>-35.5</x:v>
      </x:c>
      <x:c r="F51" s="48" t="n">
        <x:f>(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(0.45*SIN(2*PI()*(((Model_Data!A51)/Inputs!$C$49)+Inputs!$C$47*0.137))+0.35*COS(2*PI()*(((Inputs!$C$6)/Inputs!$C$50)+Inputs!$C$47*0.173))+0.20*SIN(2*PI()*(((Model_Data!A51)+(Inputs!$C$6))/(0.5*(Inputs!$C$49+Inputs!$C$50))+Inputs!$C$47*0.097)))+0.30*(2*((SIN(((Model_Data!A51)*12.9898+(Inputs!$C$6)*78.233+Inputs!$C$47*37.719))*43758.5453)-INT((SIN(((Model_Data!A51)*12.9898+(Inputs!$C$6)*78.233+Inputs!$C$47*37.719))*43758.5453)))-1)))</x:f>
        <x:v>284.9525044867838</x:v>
      </x:c>
      <x:c r="G51" s="48" t="n">
        <x:f>(Inputs!$C$51*(115*EXP(-(((0)-25)^2)/(4.5^2))+70*EXP(-(((0)+38)^2)/(7^2))*(0.55+0.45*SIN(2*PI()*(Model_Data!A51)/45))+24*SIN(2*PI()*(0)/9+(Model_Data!A51)/18)*EXP(-(((0)+5)^2)/(22^2))+18*SIN(2*PI()*(Model_Data!A51)/70))+Inputs!$C$28*EXP(-(((Model_Data!A51)-Inputs!$C$29)^2)/(2*Inputs!$C$31^2))*EXP(-(((0)-Inputs!$C$30)^2)/(2*Inputs!$C$32^2))+-Inputs!$C$33*EXP(-(((((Model_Data!A51)-Inputs!$C$34)^2)+(((0)-Inputs!$C$35)^2))/(2*Inputs!$C$36^2)))+Inputs!$C$37*(0.55*SIN(2*PI()*(Model_Data!A51)/Inputs!$C$39)+0.35*COS(2*PI()*(0)/Inputs!$C$40)+0.2*SIN(2*PI()*((Model_Data!A51)+(0))/(0.5*(Inputs!$C$39+Inputs!$C$40))))+Inputs!$C$38*SIN(2*PI()*(Model_Data!A51)/Inputs!$C$39)*SIN(2*PI()*(0)/Inputs!$C$40)+-Inputs!$C$41*EXP(-(((0)-Inputs!$C$43)^2)/(2*Inputs!$C$44^2))*EXP(-(((Model_Data!A51)-Inputs!$C$42)^2)/(2*Inputs!$C$45^2))+Inputs!$C$48*(0.70*(0.45*SIN(2*PI()*(((Model_Data!A51)/Inputs!$C$49)+Inputs!$C$47*0.137))+0.35*COS(2*PI()*(((0)/Inputs!$C$50)+Inputs!$C$47*0.173))+0.20*SIN(2*PI()*(((Model_Data!A51)+(0))/(0.5*(Inputs!$C$49+Inputs!$C$50))+Inputs!$C$47*0.097)))+0.30*(2*((SIN(((Model_Data!A51)*12.9898+(0)*78.233+Inputs!$C$47*37.719))*43758.5453)-INT((SIN(((Model_Data!A51)*12.9898+(0)*78.233+Inputs!$C$47*37.719))*43758.5453)))-1)))</x:f>
        <x:v>-0.6339718611461809</x:v>
      </x:c>
      <x:c r="H51" s="49"/>
      <x:c r="I51" s="48" t="n">
        <x:f>Model_Data!A51</x:f>
        <x:v>-35.5</x:v>
      </x:c>
      <x:c r="J51" s="48" t="n">
        <x:f>((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(0.45*SIN(2*PI()*(((Model_Data!A51)/Inputs!$C$49)+Inputs!$C$47*0.137))+0.35*COS(2*PI()*(((Inputs!$C$6)/Inputs!$C$50)+Inputs!$C$47*0.173))+0.20*SIN(2*PI()*(((Model_Data!A51)+(Inputs!$C$6))/(0.5*(Inputs!$C$49+Inputs!$C$50))+Inputs!$C$47*0.097)))+0.30*(2*((SIN(((Model_Data!A51)*12.9898+(Inputs!$C$6)*78.233+Inputs!$C$47*37.719))*43758.5453)-INT((SIN(((Model_Data!A51)*12.9898+(Inputs!$C$6)*78.233+Inputs!$C$47*37.719))*43758.5453)))-1))))-((Inputs!$C$51*(115*EXP(-(((0)-25)^2)/(4.5^2))+70*EXP(-(((0)+38)^2)/(7^2))*(0.55+0.45*SIN(2*PI()*(Model_Data!A51)/45))+24*SIN(2*PI()*(0)/9+(Model_Data!A51)/18)*EXP(-(((0)+5)^2)/(22^2))+18*SIN(2*PI()*(Model_Data!A51)/70))+Inputs!$C$28*EXP(-(((Model_Data!A51)-Inputs!$C$29)^2)/(2*Inputs!$C$31^2))*EXP(-(((0)-Inputs!$C$30)^2)/(2*Inputs!$C$32^2))+-Inputs!$C$33*EXP(-(((((Model_Data!A51)-Inputs!$C$34)^2)+(((0)-Inputs!$C$35)^2))/(2*Inputs!$C$36^2)))+Inputs!$C$37*(0.55*SIN(2*PI()*(Model_Data!A51)/Inputs!$C$39)+0.35*COS(2*PI()*(0)/Inputs!$C$40)+0.2*SIN(2*PI()*((Model_Data!A51)+(0))/(0.5*(Inputs!$C$39+Inputs!$C$40))))+Inputs!$C$38*SIN(2*PI()*(Model_Data!A51)/Inputs!$C$39)*SIN(2*PI()*(0)/Inputs!$C$40)+-Inputs!$C$41*EXP(-(((0)-Inputs!$C$43)^2)/(2*Inputs!$C$44^2))*EXP(-(((Model_Data!A51)-Inputs!$C$42)^2)/(2*Inputs!$C$45^2))+Inputs!$C$48*(0.70*(0.45*SIN(2*PI()*(((Model_Data!A51)/Inputs!$C$49)+Inputs!$C$47*0.137))+0.35*COS(2*PI()*(((0)/Inputs!$C$50)+Inputs!$C$47*0.173))+0.20*SIN(2*PI()*(((Model_Data!A51)+(0))/(0.5*(Inputs!$C$49+Inputs!$C$50))+Inputs!$C$47*0.097)))+0.30*(2*((SIN(((Model_Data!A51)*12.9898+(0)*78.233+Inputs!$C$47*37.719))*43758.5453)-INT((SIN(((Model_Data!A51)*12.9898+(0)*78.233+Inputs!$C$47*37.719))*43758.5453)))-1))))</x:f>
        <x:v>285.58647634793</x:v>
      </x:c>
      <x:c r="K51" s="48" t="n">
        <x:f>-((((SQRT((Model_Data!A51)^2+Inputs!$C$6^2+((Model_Data!B51)-((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(0.45*SIN(2*PI()*(((Model_Data!A51)/Inputs!$C$49)+Inputs!$C$47*0.137))+0.35*COS(2*PI()*(((Inputs!$C$6)/Inputs!$C$50)+Inputs!$C$47*0.173))+0.20*SIN(2*PI()*(((Model_Data!A51)+(Inputs!$C$6))/(0.5*(Inputs!$C$49+Inputs!$C$50))+Inputs!$C$47*0.097)))+0.30*(2*((SIN(((Model_Data!A51)*12.9898+(Inputs!$C$6)*78.233+Inputs!$C$47*37.719))*43758.5453)-INT((SIN(((Model_Data!A51)*12.9898+(Inputs!$C$6)*78.233+Inputs!$C$47*37.719))*43758.5453)))-1))))/1000)^2))-(((Model_Data!B51)-((Inputs!$C$51*(115*EXP(-(((0)-25)^2)/(4.5^2))+70*EXP(-(((0)+38)^2)/(7^2))*(0.55+0.45*SIN(2*PI()*(Model_Data!A51)/45))+24*SIN(2*PI()*(0)/9+(Model_Data!A51)/18)*EXP(-(((0)+5)^2)/(22^2))+18*SIN(2*PI()*(Model_Data!A51)/70))+Inputs!$C$28*EXP(-(((Model_Data!A51)-Inputs!$C$29)^2)/(2*Inputs!$C$31^2))*EXP(-(((0)-Inputs!$C$30)^2)/(2*Inputs!$C$32^2))+-Inputs!$C$33*EXP(-(((((Model_Data!A51)-Inputs!$C$34)^2)+(((0)-Inputs!$C$35)^2))/(2*Inputs!$C$36^2)))+Inputs!$C$37*(0.55*SIN(2*PI()*(Model_Data!A51)/Inputs!$C$39)+0.35*COS(2*PI()*(0)/Inputs!$C$40)+0.2*SIN(2*PI()*((Model_Data!A51)+(0))/(0.5*(Inputs!$C$39+Inputs!$C$40))))+Inputs!$C$38*SIN(2*PI()*(Model_Data!A51)/Inputs!$C$39)*SIN(2*PI()*(0)/Inputs!$C$40)+-Inputs!$C$41*EXP(-(((0)-Inputs!$C$43)^2)/(2*Inputs!$C$44^2))*EXP(-(((Model_Data!A51)-Inputs!$C$42)^2)/(2*Inputs!$C$45^2))+Inputs!$C$48*(0.70*(0.45*SIN(2*PI()*(((Model_Data!A51)/Inputs!$C$49)+Inputs!$C$47*0.137))+0.35*COS(2*PI()*(((0)/Inputs!$C$50)+Inputs!$C$47*0.173))+0.20*SIN(2*PI()*(((Model_Data!A51)+(0))/(0.5*(Inputs!$C$49+Inputs!$C$50))+Inputs!$C$47*0.097)))+0.30*(2*((SIN(((Model_Data!A51)*12.9898+(0)*78.233+Inputs!$C$47*37.719))*43758.5453)-INT((SIN(((Model_Data!A51)*12.9898+(0)*78.233+Inputs!$C$47*37.719))*43758.5453)))-1))))/1000)))*1000/Inputs!$C$12)-Model_Data!F51)</x:f>
        <x:v>159.51276529661436</x:v>
      </x:c>
      <x:c r="L51" s="49"/>
      <x:c r="M51" s="48" t="n">
        <x:f>Model_Data!A51</x:f>
        <x:v>-35.5</x:v>
      </x:c>
      <x:c r="N51" s="48" t="n">
        <x:f>Model_Data!P51</x:f>
        <x:v>266.1741680473529</x:v>
      </x:c>
      <x:c r="O51" s="48" t="n">
        <x:f>AC51</x:f>
        <x:v>278.1472314687562</x:v>
      </x:c>
      <x:c r="P51" s="48" t="n">
        <x:f>Model_Data!Q51</x:f>
        <x:v>39.96609129840134</x:v>
      </x:c>
      <x:c r="Q51" s="48" t="n">
        <x:f>AD51</x:f>
        <x:v>41.76384856888232</x:v>
      </x:c>
      <x:c r="R51" s="49"/>
      <x:c r="S51" s="48" t="n">
        <x:f>Model_Data!A51</x:f>
        <x:v>-35.5</x:v>
      </x:c>
      <x:c r="T51" s="48" t="n">
        <x:f>Model_Data!B51-Inputs!$C$5</x:f>
        <x:v>1.4002777777777737</x:v>
      </x:c>
      <x:c r="U51" s="49"/>
      <x:c r="V51" s="48" t="n">
        <x:f>Model_Data!A51</x:f>
        <x:v>-35.5</x:v>
      </x:c>
      <x:c r="W51" s="48" t="n">
        <x:f>(-((((SQRT((Model_Data!A51)^2+Inputs!$C$6^2+((Model_Data!B51)-((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(0.45*SIN(2*PI()*(((Model_Data!A51)/Inputs!$C$49)+Inputs!$C$47*0.137))+0.35*COS(2*PI()*(((Inputs!$C$6)/Inputs!$C$50)+Inputs!$C$47*0.173))+0.20*SIN(2*PI()*(((Model_Data!A51)+(Inputs!$C$6))/(0.5*(Inputs!$C$49+Inputs!$C$50))+Inputs!$C$47*0.097)))+0.30*(2*((SIN(((Model_Data!A51)*12.9898+(Inputs!$C$6)*78.233+Inputs!$C$47*37.719))*43758.5453)-INT((SIN(((Model_Data!A51)*12.9898+(Inputs!$C$6)*78.233+Inputs!$C$47*37.719))*43758.5453)))-1))))/1000)^2))-(((Model_Data!B51)-((Inputs!$C$51*(115*EXP(-(((0)-25)^2)/(4.5^2))+70*EXP(-(((0)+38)^2)/(7^2))*(0.55+0.45*SIN(2*PI()*(Model_Data!A51)/45))+24*SIN(2*PI()*(0)/9+(Model_Data!A51)/18)*EXP(-(((0)+5)^2)/(22^2))+18*SIN(2*PI()*(Model_Data!A51)/70))+Inputs!$C$28*EXP(-(((Model_Data!A51)-Inputs!$C$29)^2)/(2*Inputs!$C$31^2))*EXP(-(((0)-Inputs!$C$30)^2)/(2*Inputs!$C$32^2))+-Inputs!$C$33*EXP(-(((((Model_Data!A51)-Inputs!$C$34)^2)+(((0)-Inputs!$C$35)^2))/(2*Inputs!$C$36^2)))+Inputs!$C$37*(0.55*SIN(2*PI()*(Model_Data!A51)/Inputs!$C$39)+0.35*COS(2*PI()*(0)/Inputs!$C$40)+0.2*SIN(2*PI()*((Model_Data!A51)+(0))/(0.5*(Inputs!$C$39+Inputs!$C$40))))+Inputs!$C$38*SIN(2*PI()*(Model_Data!A51)/Inputs!$C$39)*SIN(2*PI()*(0)/Inputs!$C$40)+-Inputs!$C$41*EXP(-(((0)-Inputs!$C$43)^2)/(2*Inputs!$C$44^2))*EXP(-(((Model_Data!A51)-Inputs!$C$42)^2)/(2*Inputs!$C$45^2))+Inputs!$C$48*(0.70*(0.45*SIN(2*PI()*(((Model_Data!A51)/Inputs!$C$49)+Inputs!$C$47*0.137))+0.35*COS(2*PI()*(((0)/Inputs!$C$50)+Inputs!$C$47*0.173))+0.20*SIN(2*PI()*(((Model_Data!A51)+(0))/(0.5*(Inputs!$C$49+Inputs!$C$50))+Inputs!$C$47*0.097)))+0.30*(2*((SIN(((Model_Data!A51)*12.9898+(0)*78.233+Inputs!$C$47*37.719))*43758.5453)-INT((SIN(((Model_Data!A51)*12.9898+(0)*78.233+Inputs!$C$47*37.719))*43758.5453)))-1))))/1000)))*1000/Inputs!$C$12)-Model_Data!F51))-(-(((SQRT((Model_Data!A51)^2+Inputs!$C$6^2+(Inputs!$C$5-((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(0.45*SIN(2*PI()*(((Model_Data!A51)/Inputs!$C$49)+Inputs!$C$47*0.137))+0.35*COS(2*PI()*(((Inputs!$C$6)/Inputs!$C$50)+Inputs!$C$47*0.173))+0.20*SIN(2*PI()*(((Model_Data!A51)+(Inputs!$C$6))/(0.5*(Inputs!$C$49+Inputs!$C$50))+Inputs!$C$47*0.097)))+0.30*(2*((SIN(((Model_Data!A51)*12.9898+(Inputs!$C$6)*78.233+Inputs!$C$47*37.719))*43758.5453)-INT((SIN(((Model_Data!A51)*12.9898+(Inputs!$C$6)*78.233+Inputs!$C$47*37.719))*43758.5453)))-1))))/1000)^2)-(Inputs!$C$5-((Inputs!$C$51*(115*EXP(-(((0)-25)^2)/(4.5^2))+70*EXP(-(((0)+38)^2)/(7^2))*(0.55+0.45*SIN(2*PI()*(Model_Data!A51)/45))+24*SIN(2*PI()*(0)/9+(Model_Data!A51)/18)*EXP(-(((0)+5)^2)/(22^2))+18*SIN(2*PI()*(Model_Data!A51)/70))+Inputs!$C$28*EXP(-(((Model_Data!A51)-Inputs!$C$29)^2)/(2*Inputs!$C$31^2))*EXP(-(((0)-Inputs!$C$30)^2)/(2*Inputs!$C$32^2))+-Inputs!$C$33*EXP(-(((((Model_Data!A51)-Inputs!$C$34)^2)+(((0)-Inputs!$C$35)^2))/(2*Inputs!$C$36^2)))+Inputs!$C$37*(0.55*SIN(2*PI()*(Model_Data!A51)/Inputs!$C$39)+0.35*COS(2*PI()*(0)/Inputs!$C$40)+0.2*SIN(2*PI()*((Model_Data!A51)+(0))/(0.5*(Inputs!$C$39+Inputs!$C$40))))+Inputs!$C$38*SIN(2*PI()*(Model_Data!A51)/Inputs!$C$39)*SIN(2*PI()*(0)/Inputs!$C$40)+-Inputs!$C$41*EXP(-(((0)-Inputs!$C$43)^2)/(2*Inputs!$C$44^2))*EXP(-(((Model_Data!A51)-Inputs!$C$42)^2)/(2*Inputs!$C$45^2))+Inputs!$C$48*(0.70*(0.45*SIN(2*PI()*(((Model_Data!A51)/Inputs!$C$49)+Inputs!$C$47*0.137))+0.35*COS(2*PI()*(((0)/Inputs!$C$50)+Inputs!$C$47*0.173))+0.20*SIN(2*PI()*(((Model_Data!A51)+(0))/(0.5*(Inputs!$C$49+Inputs!$C$50))+Inputs!$C$47*0.097)))+0.30*(2*((SIN(((Model_Data!A51)*12.9898+(0)*78.233+Inputs!$C$47*37.719))*43758.5453)-INT((SIN(((Model_Data!A51)*12.9898+(0)*78.233+Inputs!$C$47*37.719))*43758.5453)))-1))))/1000))*1000/Inputs!$C$12)-((SQRT((Model_Data!A51)^2+Inputs!$C$6^2+Inputs!$C$5^2)-Inputs!$C$5)*1000/Inputs!$C$12)))</x:f>
        <x:v>0.0064614999673722195</x:v>
      </x:c>
      <x:c r="X51" s="48" t="n">
        <x:f>0</x:f>
        <x:v>0</x:v>
      </x:c>
      <x:c r="Y51" s="49"/>
      <x:c r="Z51" s="48" t="n">
        <x:f>Model_Data!A51</x:f>
        <x:v>-35.5</x:v>
      </x:c>
      <x:c r="AA51" s="48" t="n">
        <x:f>SQRT((Model_Data!A51)^2+Inputs!$C$6^2+((Model_Data!B51)-((Inputs!$C$51*(115*EXP(-(((Inputs!$C$6)-25)^2)/(4.5^2))+70*EXP(-(((Inputs!$C$6)+38)^2)/(7^2))*(0.55+0.45*SIN(2*PI()*(Model_Data!A51)/45))+24*SIN(2*PI()*(Inputs!$C$6)/9+(Model_Data!A51)/18)*EXP(-(((Inputs!$C$6)+5)^2)/(22^2))+18*SIN(2*PI()*(Model_Data!A51)/70))+Inputs!$C$28*EXP(-(((Model_Data!A51)-Inputs!$C$29)^2)/(2*Inputs!$C$31^2))*EXP(-(((Inputs!$C$6)-Inputs!$C$30)^2)/(2*Inputs!$C$32^2))+-Inputs!$C$33*EXP(-(((((Model_Data!A51)-Inputs!$C$34)^2)+(((Inputs!$C$6)-Inputs!$C$35)^2))/(2*Inputs!$C$36^2)))+Inputs!$C$37*(0.55*SIN(2*PI()*(Model_Data!A51)/Inputs!$C$39)+0.35*COS(2*PI()*(Inputs!$C$6)/Inputs!$C$40)+0.2*SIN(2*PI()*((Model_Data!A51)+(Inputs!$C$6))/(0.5*(Inputs!$C$39+Inputs!$C$40))))+Inputs!$C$38*SIN(2*PI()*(Model_Data!A51)/Inputs!$C$39)*SIN(2*PI()*(Inputs!$C$6)/Inputs!$C$40)+-Inputs!$C$41*EXP(-(((Inputs!$C$6)-Inputs!$C$43)^2)/(2*Inputs!$C$44^2))*EXP(-(((Model_Data!A51)-Inputs!$C$42)^2)/(2*Inputs!$C$45^2))+Inputs!$C$48*(0.70*(0.45*SIN(2*PI()*(((Model_Data!A51)/Inputs!$C$49)+Inputs!$C$47*0.137))+0.35*COS(2*PI()*(((Inputs!$C$6)/Inputs!$C$50)+Inputs!$C$47*0.173))+0.20*SIN(2*PI()*(((Model_Data!A51)+(Inputs!$C$6))/(0.5*(Inputs!$C$49+Inputs!$C$50))+Inputs!$C$47*0.097)))+0.30*(2*((SIN(((Model_Data!A51)*12.9898+(Inputs!$C$6)*78.233+Inputs!$C$47*37.719))*43758.5453)-INT((SIN(((Model_Data!A51)*12.9898+(Inputs!$C$6)*78.233+Inputs!$C$47*37.719))*43758.5453)))-1))))/1000)^2)</x:f>
        <x:v>403.4584912591356</x:v>
      </x:c>
      <x:c r="AB51" s="48" t="n">
        <x:f>1000*(AA52-AA50)/(Z52-Z50)*Inputs!$C$11</x:f>
        <x:v>-695.3680786718905</x:v>
      </x:c>
      <x:c r="AC51" s="48" t="n">
        <x:f>-2*AB51/Inputs!$C$13</x:f>
        <x:v>278.1472314687562</x:v>
      </x:c>
      <x:c r="AD51" s="48" t="n">
        <x:f>-2*AB51/Inputs!$C$14</x:f>
        <x:v>41.76384856888232</x:v>
      </x:c>
    </x:row>
    <x:row r="52">
      <x:c r="A52" s="48" t="n">
        <x:f>Model_Data!A52</x:f>
        <x:v>-35</x:v>
      </x:c>
      <x:c r="B52" s="48" t="n">
        <x:f>Model_Data!F52</x:f>
        <x:v>1291.0554448335768</x:v>
      </x:c>
      <x:c r="C52" s="48" t="n">
        <x:f>(((SQRT((Model_Data!A52)^2+Inputs!$C$6^2+((Model_Data!B52)-((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(0.45*SIN(2*PI()*(((Model_Data!A52)/Inputs!$C$49)+Inputs!$C$47*0.137))+0.35*COS(2*PI()*(((Inputs!$C$6)/Inputs!$C$50)+Inputs!$C$47*0.173))+0.20*SIN(2*PI()*(((Model_Data!A52)+(Inputs!$C$6))/(0.5*(Inputs!$C$49+Inputs!$C$50))+Inputs!$C$47*0.097)))+0.30*(2*((SIN(((Model_Data!A52)*12.9898+(Inputs!$C$6)*78.233+Inputs!$C$47*37.719))*43758.5453)-INT((SIN(((Model_Data!A52)*12.9898+(Inputs!$C$6)*78.233+Inputs!$C$47*37.719))*43758.5453)))-1))))/1000)^2))-(((Model_Data!B52)-((Inputs!$C$51*(115*EXP(-(((0)-25)^2)/(4.5^2))+70*EXP(-(((0)+38)^2)/(7^2))*(0.55+0.45*SIN(2*PI()*(Model_Data!A52)/45))+24*SIN(2*PI()*(0)/9+(Model_Data!A52)/18)*EXP(-(((0)+5)^2)/(22^2))+18*SIN(2*PI()*(Model_Data!A52)/70))+Inputs!$C$28*EXP(-(((Model_Data!A52)-Inputs!$C$29)^2)/(2*Inputs!$C$31^2))*EXP(-(((0)-Inputs!$C$30)^2)/(2*Inputs!$C$32^2))+-Inputs!$C$33*EXP(-(((((Model_Data!A52)-Inputs!$C$34)^2)+(((0)-Inputs!$C$35)^2))/(2*Inputs!$C$36^2)))+Inputs!$C$37*(0.55*SIN(2*PI()*(Model_Data!A52)/Inputs!$C$39)+0.35*COS(2*PI()*(0)/Inputs!$C$40)+0.2*SIN(2*PI()*((Model_Data!A52)+(0))/(0.5*(Inputs!$C$39+Inputs!$C$40))))+Inputs!$C$38*SIN(2*PI()*(Model_Data!A52)/Inputs!$C$39)*SIN(2*PI()*(0)/Inputs!$C$40)+-Inputs!$C$41*EXP(-(((0)-Inputs!$C$43)^2)/(2*Inputs!$C$44^2))*EXP(-(((Model_Data!A52)-Inputs!$C$42)^2)/(2*Inputs!$C$45^2))+Inputs!$C$48*(0.70*(0.45*SIN(2*PI()*(((Model_Data!A52)/Inputs!$C$49)+Inputs!$C$47*0.137))+0.35*COS(2*PI()*(((0)/Inputs!$C$50)+Inputs!$C$47*0.173))+0.20*SIN(2*PI()*(((Model_Data!A52)+(0))/(0.5*(Inputs!$C$49+Inputs!$C$50))+Inputs!$C$47*0.097)))+0.30*(2*((SIN(((Model_Data!A52)*12.9898+(0)*78.233+Inputs!$C$47*37.719))*43758.5453)-INT((SIN(((Model_Data!A52)*12.9898+(0)*78.233+Inputs!$C$47*37.719))*43758.5453)))-1))))/1000)))*1000/Inputs!$C$12)</x:f>
        <x:v>1128.7954861009136</x:v>
      </x:c>
      <x:c r="D52" s="49"/>
      <x:c r="E52" s="48" t="n">
        <x:f>Model_Data!A52</x:f>
        <x:v>-35</x:v>
      </x:c>
      <x:c r="F52" s="48" t="n">
        <x:f>(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(0.45*SIN(2*PI()*(((Model_Data!A52)/Inputs!$C$49)+Inputs!$C$47*0.137))+0.35*COS(2*PI()*(((Inputs!$C$6)/Inputs!$C$50)+Inputs!$C$47*0.173))+0.20*SIN(2*PI()*(((Model_Data!A52)+(Inputs!$C$6))/(0.5*(Inputs!$C$49+Inputs!$C$50))+Inputs!$C$47*0.097)))+0.30*(2*((SIN(((Model_Data!A52)*12.9898+(Inputs!$C$6)*78.233+Inputs!$C$47*37.719))*43758.5453)-INT((SIN(((Model_Data!A52)*12.9898+(Inputs!$C$6)*78.233+Inputs!$C$47*37.719))*43758.5453)))-1)))</x:f>
        <x:v>280.71344003946786</x:v>
      </x:c>
      <x:c r="G52" s="48" t="n">
        <x:f>(Inputs!$C$51*(115*EXP(-(((0)-25)^2)/(4.5^2))+70*EXP(-(((0)+38)^2)/(7^2))*(0.55+0.45*SIN(2*PI()*(Model_Data!A52)/45))+24*SIN(2*PI()*(0)/9+(Model_Data!A52)/18)*EXP(-(((0)+5)^2)/(22^2))+18*SIN(2*PI()*(Model_Data!A52)/70))+Inputs!$C$28*EXP(-(((Model_Data!A52)-Inputs!$C$29)^2)/(2*Inputs!$C$31^2))*EXP(-(((0)-Inputs!$C$30)^2)/(2*Inputs!$C$32^2))+-Inputs!$C$33*EXP(-(((((Model_Data!A52)-Inputs!$C$34)^2)+(((0)-Inputs!$C$35)^2))/(2*Inputs!$C$36^2)))+Inputs!$C$37*(0.55*SIN(2*PI()*(Model_Data!A52)/Inputs!$C$39)+0.35*COS(2*PI()*(0)/Inputs!$C$40)+0.2*SIN(2*PI()*((Model_Data!A52)+(0))/(0.5*(Inputs!$C$39+Inputs!$C$40))))+Inputs!$C$38*SIN(2*PI()*(Model_Data!A52)/Inputs!$C$39)*SIN(2*PI()*(0)/Inputs!$C$40)+-Inputs!$C$41*EXP(-(((0)-Inputs!$C$43)^2)/(2*Inputs!$C$44^2))*EXP(-(((Model_Data!A52)-Inputs!$C$42)^2)/(2*Inputs!$C$45^2))+Inputs!$C$48*(0.70*(0.45*SIN(2*PI()*(((Model_Data!A52)/Inputs!$C$49)+Inputs!$C$47*0.137))+0.35*COS(2*PI()*(((0)/Inputs!$C$50)+Inputs!$C$47*0.173))+0.20*SIN(2*PI()*(((Model_Data!A52)+(0))/(0.5*(Inputs!$C$49+Inputs!$C$50))+Inputs!$C$47*0.097)))+0.30*(2*((SIN(((Model_Data!A52)*12.9898+(0)*78.233+Inputs!$C$47*37.719))*43758.5453)-INT((SIN(((Model_Data!A52)*12.9898+(0)*78.233+Inputs!$C$47*37.719))*43758.5453)))-1)))</x:f>
        <x:v>-9.708529731781153</x:v>
      </x:c>
      <x:c r="H52" s="49"/>
      <x:c r="I52" s="48" t="n">
        <x:f>Model_Data!A52</x:f>
        <x:v>-35</x:v>
      </x:c>
      <x:c r="J52" s="48" t="n">
        <x:f>((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(0.45*SIN(2*PI()*(((Model_Data!A52)/Inputs!$C$49)+Inputs!$C$47*0.137))+0.35*COS(2*PI()*(((Inputs!$C$6)/Inputs!$C$50)+Inputs!$C$47*0.173))+0.20*SIN(2*PI()*(((Model_Data!A52)+(Inputs!$C$6))/(0.5*(Inputs!$C$49+Inputs!$C$50))+Inputs!$C$47*0.097)))+0.30*(2*((SIN(((Model_Data!A52)*12.9898+(Inputs!$C$6)*78.233+Inputs!$C$47*37.719))*43758.5453)-INT((SIN(((Model_Data!A52)*12.9898+(Inputs!$C$6)*78.233+Inputs!$C$47*37.719))*43758.5453)))-1))))-((Inputs!$C$51*(115*EXP(-(((0)-25)^2)/(4.5^2))+70*EXP(-(((0)+38)^2)/(7^2))*(0.55+0.45*SIN(2*PI()*(Model_Data!A52)/45))+24*SIN(2*PI()*(0)/9+(Model_Data!A52)/18)*EXP(-(((0)+5)^2)/(22^2))+18*SIN(2*PI()*(Model_Data!A52)/70))+Inputs!$C$28*EXP(-(((Model_Data!A52)-Inputs!$C$29)^2)/(2*Inputs!$C$31^2))*EXP(-(((0)-Inputs!$C$30)^2)/(2*Inputs!$C$32^2))+-Inputs!$C$33*EXP(-(((((Model_Data!A52)-Inputs!$C$34)^2)+(((0)-Inputs!$C$35)^2))/(2*Inputs!$C$36^2)))+Inputs!$C$37*(0.55*SIN(2*PI()*(Model_Data!A52)/Inputs!$C$39)+0.35*COS(2*PI()*(0)/Inputs!$C$40)+0.2*SIN(2*PI()*((Model_Data!A52)+(0))/(0.5*(Inputs!$C$39+Inputs!$C$40))))+Inputs!$C$38*SIN(2*PI()*(Model_Data!A52)/Inputs!$C$39)*SIN(2*PI()*(0)/Inputs!$C$40)+-Inputs!$C$41*EXP(-(((0)-Inputs!$C$43)^2)/(2*Inputs!$C$44^2))*EXP(-(((Model_Data!A52)-Inputs!$C$42)^2)/(2*Inputs!$C$45^2))+Inputs!$C$48*(0.70*(0.45*SIN(2*PI()*(((Model_Data!A52)/Inputs!$C$49)+Inputs!$C$47*0.137))+0.35*COS(2*PI()*(((0)/Inputs!$C$50)+Inputs!$C$47*0.173))+0.20*SIN(2*PI()*(((Model_Data!A52)+(0))/(0.5*(Inputs!$C$49+Inputs!$C$50))+Inputs!$C$47*0.097)))+0.30*(2*((SIN(((Model_Data!A52)*12.9898+(0)*78.233+Inputs!$C$47*37.719))*43758.5453)-INT((SIN(((Model_Data!A52)*12.9898+(0)*78.233+Inputs!$C$47*37.719))*43758.5453)))-1))))</x:f>
        <x:v>290.421969771249</x:v>
      </x:c>
      <x:c r="K52" s="48" t="n">
        <x:f>-((((SQRT((Model_Data!A52)^2+Inputs!$C$6^2+((Model_Data!B52)-((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(0.45*SIN(2*PI()*(((Model_Data!A52)/Inputs!$C$49)+Inputs!$C$47*0.137))+0.35*COS(2*PI()*(((Inputs!$C$6)/Inputs!$C$50)+Inputs!$C$47*0.173))+0.20*SIN(2*PI()*(((Model_Data!A52)+(Inputs!$C$6))/(0.5*(Inputs!$C$49+Inputs!$C$50))+Inputs!$C$47*0.097)))+0.30*(2*((SIN(((Model_Data!A52)*12.9898+(Inputs!$C$6)*78.233+Inputs!$C$47*37.719))*43758.5453)-INT((SIN(((Model_Data!A52)*12.9898+(Inputs!$C$6)*78.233+Inputs!$C$47*37.719))*43758.5453)))-1))))/1000)^2))-(((Model_Data!B52)-((Inputs!$C$51*(115*EXP(-(((0)-25)^2)/(4.5^2))+70*EXP(-(((0)+38)^2)/(7^2))*(0.55+0.45*SIN(2*PI()*(Model_Data!A52)/45))+24*SIN(2*PI()*(0)/9+(Model_Data!A52)/18)*EXP(-(((0)+5)^2)/(22^2))+18*SIN(2*PI()*(Model_Data!A52)/70))+Inputs!$C$28*EXP(-(((Model_Data!A52)-Inputs!$C$29)^2)/(2*Inputs!$C$31^2))*EXP(-(((0)-Inputs!$C$30)^2)/(2*Inputs!$C$32^2))+-Inputs!$C$33*EXP(-(((((Model_Data!A52)-Inputs!$C$34)^2)+(((0)-Inputs!$C$35)^2))/(2*Inputs!$C$36^2)))+Inputs!$C$37*(0.55*SIN(2*PI()*(Model_Data!A52)/Inputs!$C$39)+0.35*COS(2*PI()*(0)/Inputs!$C$40)+0.2*SIN(2*PI()*((Model_Data!A52)+(0))/(0.5*(Inputs!$C$39+Inputs!$C$40))))+Inputs!$C$38*SIN(2*PI()*(Model_Data!A52)/Inputs!$C$39)*SIN(2*PI()*(0)/Inputs!$C$40)+-Inputs!$C$41*EXP(-(((0)-Inputs!$C$43)^2)/(2*Inputs!$C$44^2))*EXP(-(((Model_Data!A52)-Inputs!$C$42)^2)/(2*Inputs!$C$45^2))+Inputs!$C$48*(0.70*(0.45*SIN(2*PI()*(((Model_Data!A52)/Inputs!$C$49)+Inputs!$C$47*0.137))+0.35*COS(2*PI()*(((0)/Inputs!$C$50)+Inputs!$C$47*0.173))+0.20*SIN(2*PI()*(((Model_Data!A52)+(0))/(0.5*(Inputs!$C$49+Inputs!$C$50))+Inputs!$C$47*0.097)))+0.30*(2*((SIN(((Model_Data!A52)*12.9898+(0)*78.233+Inputs!$C$47*37.719))*43758.5453)-INT((SIN(((Model_Data!A52)*12.9898+(0)*78.233+Inputs!$C$47*37.719))*43758.5453)))-1))))/1000)))*1000/Inputs!$C$12)-Model_Data!F52)</x:f>
        <x:v>162.2599587326631</x:v>
      </x:c>
      <x:c r="L52" s="49"/>
      <x:c r="M52" s="48" t="n">
        <x:f>Model_Data!A52</x:f>
        <x:v>-35</x:v>
      </x:c>
      <x:c r="N52" s="48" t="n">
        <x:f>Model_Data!P52</x:f>
        <x:v>262.4668610803968</x:v>
      </x:c>
      <x:c r="O52" s="48" t="n">
        <x:f>AC52</x:f>
        <x:v>312.46198385988464</x:v>
      </x:c>
      <x:c r="P52" s="48" t="n">
        <x:f>Model_Data!Q52</x:f>
        <x:v>39.40943860066018</x:v>
      </x:c>
      <x:c r="Q52" s="48" t="n">
        <x:f>AD52</x:f>
        <x:v>46.91621379277547</x:v>
      </x:c>
      <x:c r="R52" s="49"/>
      <x:c r="S52" s="48" t="n">
        <x:f>Model_Data!A52</x:f>
        <x:v>-35</x:v>
      </x:c>
      <x:c r="T52" s="48" t="n">
        <x:f>Model_Data!B52-Inputs!$C$5</x:f>
        <x:v>1.3611111111110858</x:v>
      </x:c>
      <x:c r="U52" s="49"/>
      <x:c r="V52" s="48" t="n">
        <x:f>Model_Data!A52</x:f>
        <x:v>-35</x:v>
      </x:c>
      <x:c r="W52" s="48" t="n">
        <x:f>(-((((SQRT((Model_Data!A52)^2+Inputs!$C$6^2+((Model_Data!B52)-((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(0.45*SIN(2*PI()*(((Model_Data!A52)/Inputs!$C$49)+Inputs!$C$47*0.137))+0.35*COS(2*PI()*(((Inputs!$C$6)/Inputs!$C$50)+Inputs!$C$47*0.173))+0.20*SIN(2*PI()*(((Model_Data!A52)+(Inputs!$C$6))/(0.5*(Inputs!$C$49+Inputs!$C$50))+Inputs!$C$47*0.097)))+0.30*(2*((SIN(((Model_Data!A52)*12.9898+(Inputs!$C$6)*78.233+Inputs!$C$47*37.719))*43758.5453)-INT((SIN(((Model_Data!A52)*12.9898+(Inputs!$C$6)*78.233+Inputs!$C$47*37.719))*43758.5453)))-1))))/1000)^2))-(((Model_Data!B52)-((Inputs!$C$51*(115*EXP(-(((0)-25)^2)/(4.5^2))+70*EXP(-(((0)+38)^2)/(7^2))*(0.55+0.45*SIN(2*PI()*(Model_Data!A52)/45))+24*SIN(2*PI()*(0)/9+(Model_Data!A52)/18)*EXP(-(((0)+5)^2)/(22^2))+18*SIN(2*PI()*(Model_Data!A52)/70))+Inputs!$C$28*EXP(-(((Model_Data!A52)-Inputs!$C$29)^2)/(2*Inputs!$C$31^2))*EXP(-(((0)-Inputs!$C$30)^2)/(2*Inputs!$C$32^2))+-Inputs!$C$33*EXP(-(((((Model_Data!A52)-Inputs!$C$34)^2)+(((0)-Inputs!$C$35)^2))/(2*Inputs!$C$36^2)))+Inputs!$C$37*(0.55*SIN(2*PI()*(Model_Data!A52)/Inputs!$C$39)+0.35*COS(2*PI()*(0)/Inputs!$C$40)+0.2*SIN(2*PI()*((Model_Data!A52)+(0))/(0.5*(Inputs!$C$39+Inputs!$C$40))))+Inputs!$C$38*SIN(2*PI()*(Model_Data!A52)/Inputs!$C$39)*SIN(2*PI()*(0)/Inputs!$C$40)+-Inputs!$C$41*EXP(-(((0)-Inputs!$C$43)^2)/(2*Inputs!$C$44^2))*EXP(-(((Model_Data!A52)-Inputs!$C$42)^2)/(2*Inputs!$C$45^2))+Inputs!$C$48*(0.70*(0.45*SIN(2*PI()*(((Model_Data!A52)/Inputs!$C$49)+Inputs!$C$47*0.137))+0.35*COS(2*PI()*(((0)/Inputs!$C$50)+Inputs!$C$47*0.173))+0.20*SIN(2*PI()*(((Model_Data!A52)+(0))/(0.5*(Inputs!$C$49+Inputs!$C$50))+Inputs!$C$47*0.097)))+0.30*(2*((SIN(((Model_Data!A52)*12.9898+(0)*78.233+Inputs!$C$47*37.719))*43758.5453)-INT((SIN(((Model_Data!A52)*12.9898+(0)*78.233+Inputs!$C$47*37.719))*43758.5453)))-1))))/1000)))*1000/Inputs!$C$12)-Model_Data!F52))-(-(((SQRT((Model_Data!A52)^2+Inputs!$C$6^2+(Inputs!$C$5-((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(0.45*SIN(2*PI()*(((Model_Data!A52)/Inputs!$C$49)+Inputs!$C$47*0.137))+0.35*COS(2*PI()*(((Inputs!$C$6)/Inputs!$C$50)+Inputs!$C$47*0.173))+0.20*SIN(2*PI()*(((Model_Data!A52)+(Inputs!$C$6))/(0.5*(Inputs!$C$49+Inputs!$C$50))+Inputs!$C$47*0.097)))+0.30*(2*((SIN(((Model_Data!A52)*12.9898+(Inputs!$C$6)*78.233+Inputs!$C$47*37.719))*43758.5453)-INT((SIN(((Model_Data!A52)*12.9898+(Inputs!$C$6)*78.233+Inputs!$C$47*37.719))*43758.5453)))-1))))/1000)^2)-(Inputs!$C$5-((Inputs!$C$51*(115*EXP(-(((0)-25)^2)/(4.5^2))+70*EXP(-(((0)+38)^2)/(7^2))*(0.55+0.45*SIN(2*PI()*(Model_Data!A52)/45))+24*SIN(2*PI()*(0)/9+(Model_Data!A52)/18)*EXP(-(((0)+5)^2)/(22^2))+18*SIN(2*PI()*(Model_Data!A52)/70))+Inputs!$C$28*EXP(-(((Model_Data!A52)-Inputs!$C$29)^2)/(2*Inputs!$C$31^2))*EXP(-(((0)-Inputs!$C$30)^2)/(2*Inputs!$C$32^2))+-Inputs!$C$33*EXP(-(((((Model_Data!A52)-Inputs!$C$34)^2)+(((0)-Inputs!$C$35)^2))/(2*Inputs!$C$36^2)))+Inputs!$C$37*(0.55*SIN(2*PI()*(Model_Data!A52)/Inputs!$C$39)+0.35*COS(2*PI()*(0)/Inputs!$C$40)+0.2*SIN(2*PI()*((Model_Data!A52)+(0))/(0.5*(Inputs!$C$39+Inputs!$C$40))))+Inputs!$C$38*SIN(2*PI()*(Model_Data!A52)/Inputs!$C$39)*SIN(2*PI()*(0)/Inputs!$C$40)+-Inputs!$C$41*EXP(-(((0)-Inputs!$C$43)^2)/(2*Inputs!$C$44^2))*EXP(-(((Model_Data!A52)-Inputs!$C$42)^2)/(2*Inputs!$C$45^2))+Inputs!$C$48*(0.70*(0.45*SIN(2*PI()*(((Model_Data!A52)/Inputs!$C$49)+Inputs!$C$47*0.137))+0.35*COS(2*PI()*(((0)/Inputs!$C$50)+Inputs!$C$47*0.173))+0.20*SIN(2*PI()*(((Model_Data!A52)+(0))/(0.5*(Inputs!$C$49+Inputs!$C$50))+Inputs!$C$47*0.097)))+0.30*(2*((SIN(((Model_Data!A52)*12.9898+(0)*78.233+Inputs!$C$47*37.719))*43758.5453)-INT((SIN(((Model_Data!A52)*12.9898+(0)*78.233+Inputs!$C$47*37.719))*43758.5453)))-1))))/1000))*1000/Inputs!$C$12)-((SQRT((Model_Data!A52)^2+Inputs!$C$6^2+Inputs!$C$5^2)-Inputs!$C$5)*1000/Inputs!$C$12)))</x:f>
        <x:v>0.0060744046836589405</x:v>
      </x:c>
      <x:c r="X52" s="48" t="n">
        <x:f>0</x:f>
        <x:v>0</x:v>
      </x:c>
      <x:c r="Y52" s="49"/>
      <x:c r="Z52" s="48" t="n">
        <x:f>Model_Data!A52</x:f>
        <x:v>-35</x:v>
      </x:c>
      <x:c r="AA52" s="48" t="n">
        <x:f>SQRT((Model_Data!A52)^2+Inputs!$C$6^2+((Model_Data!B52)-((Inputs!$C$51*(115*EXP(-(((Inputs!$C$6)-25)^2)/(4.5^2))+70*EXP(-(((Inputs!$C$6)+38)^2)/(7^2))*(0.55+0.45*SIN(2*PI()*(Model_Data!A52)/45))+24*SIN(2*PI()*(Inputs!$C$6)/9+(Model_Data!A52)/18)*EXP(-(((Inputs!$C$6)+5)^2)/(22^2))+18*SIN(2*PI()*(Model_Data!A52)/70))+Inputs!$C$28*EXP(-(((Model_Data!A52)-Inputs!$C$29)^2)/(2*Inputs!$C$31^2))*EXP(-(((Inputs!$C$6)-Inputs!$C$30)^2)/(2*Inputs!$C$32^2))+-Inputs!$C$33*EXP(-(((((Model_Data!A52)-Inputs!$C$34)^2)+(((Inputs!$C$6)-Inputs!$C$35)^2))/(2*Inputs!$C$36^2)))+Inputs!$C$37*(0.55*SIN(2*PI()*(Model_Data!A52)/Inputs!$C$39)+0.35*COS(2*PI()*(Inputs!$C$6)/Inputs!$C$40)+0.2*SIN(2*PI()*((Model_Data!A52)+(Inputs!$C$6))/(0.5*(Inputs!$C$39+Inputs!$C$40))))+Inputs!$C$38*SIN(2*PI()*(Model_Data!A52)/Inputs!$C$39)*SIN(2*PI()*(Inputs!$C$6)/Inputs!$C$40)+-Inputs!$C$41*EXP(-(((Inputs!$C$6)-Inputs!$C$43)^2)/(2*Inputs!$C$44^2))*EXP(-(((Model_Data!A52)-Inputs!$C$42)^2)/(2*Inputs!$C$45^2))+Inputs!$C$48*(0.70*(0.45*SIN(2*PI()*(((Model_Data!A52)/Inputs!$C$49)+Inputs!$C$47*0.137))+0.35*COS(2*PI()*(((Inputs!$C$6)/Inputs!$C$50)+Inputs!$C$47*0.173))+0.20*SIN(2*PI()*(((Model_Data!A52)+(Inputs!$C$6))/(0.5*(Inputs!$C$49+Inputs!$C$50))+Inputs!$C$47*0.097)))+0.30*(2*((SIN(((Model_Data!A52)*12.9898+(Inputs!$C$6)*78.233+Inputs!$C$47*37.719))*43758.5453)-INT((SIN(((Model_Data!A52)*12.9898+(Inputs!$C$6)*78.233+Inputs!$C$47*37.719))*43758.5453)))-1))))/1000)^2)</x:f>
        <x:v>403.3800756061025</x:v>
      </x:c>
      <x:c r="AB52" s="48" t="n">
        <x:f>1000*(AA53-AA51)/(Z53-Z51)*Inputs!$C$11</x:f>
        <x:v>-781.1549596497116</x:v>
      </x:c>
      <x:c r="AC52" s="48" t="n">
        <x:f>-2*AB52/Inputs!$C$13</x:f>
        <x:v>312.46198385988464</x:v>
      </x:c>
      <x:c r="AD52" s="48" t="n">
        <x:f>-2*AB52/Inputs!$C$14</x:f>
        <x:v>46.91621379277547</x:v>
      </x:c>
    </x:row>
    <x:row r="53">
      <x:c r="A53" s="48" t="n">
        <x:f>Model_Data!A53</x:f>
        <x:v>-34.5</x:v>
      </x:c>
      <x:c r="B53" s="48" t="n">
        <x:f>Model_Data!F53</x:f>
        <x:v>1266.9934849810077</x:v>
      </x:c>
      <x:c r="C53" s="48" t="n">
        <x:f>(((SQRT((Model_Data!A53)^2+Inputs!$C$6^2+((Model_Data!B53)-((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(0.45*SIN(2*PI()*(((Model_Data!A53)/Inputs!$C$49)+Inputs!$C$47*0.137))+0.35*COS(2*PI()*(((Inputs!$C$6)/Inputs!$C$50)+Inputs!$C$47*0.173))+0.20*SIN(2*PI()*(((Model_Data!A53)+(Inputs!$C$6))/(0.5*(Inputs!$C$49+Inputs!$C$50))+Inputs!$C$47*0.097)))+0.30*(2*((SIN(((Model_Data!A53)*12.9898+(Inputs!$C$6)*78.233+Inputs!$C$47*37.719))*43758.5453)-INT((SIN(((Model_Data!A53)*12.9898+(Inputs!$C$6)*78.233+Inputs!$C$47*37.719))*43758.5453)))-1))))/1000)^2))-(((Model_Data!B53)-((Inputs!$C$51*(115*EXP(-(((0)-25)^2)/(4.5^2))+70*EXP(-(((0)+38)^2)/(7^2))*(0.55+0.45*SIN(2*PI()*(Model_Data!A53)/45))+24*SIN(2*PI()*(0)/9+(Model_Data!A53)/18)*EXP(-(((0)+5)^2)/(22^2))+18*SIN(2*PI()*(Model_Data!A53)/70))+Inputs!$C$28*EXP(-(((Model_Data!A53)-Inputs!$C$29)^2)/(2*Inputs!$C$31^2))*EXP(-(((0)-Inputs!$C$30)^2)/(2*Inputs!$C$32^2))+-Inputs!$C$33*EXP(-(((((Model_Data!A53)-Inputs!$C$34)^2)+(((0)-Inputs!$C$35)^2))/(2*Inputs!$C$36^2)))+Inputs!$C$37*(0.55*SIN(2*PI()*(Model_Data!A53)/Inputs!$C$39)+0.35*COS(2*PI()*(0)/Inputs!$C$40)+0.2*SIN(2*PI()*((Model_Data!A53)+(0))/(0.5*(Inputs!$C$39+Inputs!$C$40))))+Inputs!$C$38*SIN(2*PI()*(Model_Data!A53)/Inputs!$C$39)*SIN(2*PI()*(0)/Inputs!$C$40)+-Inputs!$C$41*EXP(-(((0)-Inputs!$C$43)^2)/(2*Inputs!$C$44^2))*EXP(-(((Model_Data!A53)-Inputs!$C$42)^2)/(2*Inputs!$C$45^2))+Inputs!$C$48*(0.70*(0.45*SIN(2*PI()*(((Model_Data!A53)/Inputs!$C$49)+Inputs!$C$47*0.137))+0.35*COS(2*PI()*(((0)/Inputs!$C$50)+Inputs!$C$47*0.173))+0.20*SIN(2*PI()*(((Model_Data!A53)+(0))/(0.5*(Inputs!$C$49+Inputs!$C$50))+Inputs!$C$47*0.097)))+0.30*(2*((SIN(((Model_Data!A53)*12.9898+(0)*78.233+Inputs!$C$47*37.719))*43758.5453)-INT((SIN(((Model_Data!A53)*12.9898+(0)*78.233+Inputs!$C$47*37.719))*43758.5453)))-1))))/1000)))*1000/Inputs!$C$12)</x:f>
        <x:v>1084.7431844923178</x:v>
      </x:c>
      <x:c r="D53" s="49"/>
      <x:c r="E53" s="48" t="n">
        <x:f>Model_Data!A53</x:f>
        <x:v>-34.5</x:v>
      </x:c>
      <x:c r="F53" s="48" t="n">
        <x:f>(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(0.45*SIN(2*PI()*(((Model_Data!A53)/Inputs!$C$49)+Inputs!$C$47*0.137))+0.35*COS(2*PI()*(((Inputs!$C$6)/Inputs!$C$50)+Inputs!$C$47*0.173))+0.20*SIN(2*PI()*(((Model_Data!A53)+(Inputs!$C$6))/(0.5*(Inputs!$C$49+Inputs!$C$50))+Inputs!$C$47*0.097)))+0.30*(2*((SIN(((Model_Data!A53)*12.9898+(Inputs!$C$6)*78.233+Inputs!$C$47*37.719))*43758.5453)-INT((SIN(((Model_Data!A53)*12.9898+(Inputs!$C$6)*78.233+Inputs!$C$47*37.719))*43758.5453)))-1)))</x:f>
        <x:v>316.314878049505</x:v>
      </x:c>
      <x:c r="G53" s="48" t="n">
        <x:f>(Inputs!$C$51*(115*EXP(-(((0)-25)^2)/(4.5^2))+70*EXP(-(((0)+38)^2)/(7^2))*(0.55+0.45*SIN(2*PI()*(Model_Data!A53)/45))+24*SIN(2*PI()*(0)/9+(Model_Data!A53)/18)*EXP(-(((0)+5)^2)/(22^2))+18*SIN(2*PI()*(Model_Data!A53)/70))+Inputs!$C$28*EXP(-(((Model_Data!A53)-Inputs!$C$29)^2)/(2*Inputs!$C$31^2))*EXP(-(((0)-Inputs!$C$30)^2)/(2*Inputs!$C$32^2))+-Inputs!$C$33*EXP(-(((((Model_Data!A53)-Inputs!$C$34)^2)+(((0)-Inputs!$C$35)^2))/(2*Inputs!$C$36^2)))+Inputs!$C$37*(0.55*SIN(2*PI()*(Model_Data!A53)/Inputs!$C$39)+0.35*COS(2*PI()*(0)/Inputs!$C$40)+0.2*SIN(2*PI()*((Model_Data!A53)+(0))/(0.5*(Inputs!$C$39+Inputs!$C$40))))+Inputs!$C$38*SIN(2*PI()*(Model_Data!A53)/Inputs!$C$39)*SIN(2*PI()*(0)/Inputs!$C$40)+-Inputs!$C$41*EXP(-(((0)-Inputs!$C$43)^2)/(2*Inputs!$C$44^2))*EXP(-(((Model_Data!A53)-Inputs!$C$42)^2)/(2*Inputs!$C$45^2))+Inputs!$C$48*(0.70*(0.45*SIN(2*PI()*(((Model_Data!A53)/Inputs!$C$49)+Inputs!$C$47*0.137))+0.35*COS(2*PI()*(((0)/Inputs!$C$50)+Inputs!$C$47*0.173))+0.20*SIN(2*PI()*(((Model_Data!A53)+(0))/(0.5*(Inputs!$C$49+Inputs!$C$50))+Inputs!$C$47*0.097)))+0.30*(2*((SIN(((Model_Data!A53)*12.9898+(0)*78.233+Inputs!$C$47*37.719))*43758.5453)-INT((SIN(((Model_Data!A53)*12.9898+(0)*78.233+Inputs!$C$47*37.719))*43758.5453)))-1)))</x:f>
        <x:v>-9.85965082687293</x:v>
      </x:c>
      <x:c r="H53" s="49"/>
      <x:c r="I53" s="48" t="n">
        <x:f>Model_Data!A53</x:f>
        <x:v>-34.5</x:v>
      </x:c>
      <x:c r="J53" s="48" t="n">
        <x:f>((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(0.45*SIN(2*PI()*(((Model_Data!A53)/Inputs!$C$49)+Inputs!$C$47*0.137))+0.35*COS(2*PI()*(((Inputs!$C$6)/Inputs!$C$50)+Inputs!$C$47*0.173))+0.20*SIN(2*PI()*(((Model_Data!A53)+(Inputs!$C$6))/(0.5*(Inputs!$C$49+Inputs!$C$50))+Inputs!$C$47*0.097)))+0.30*(2*((SIN(((Model_Data!A53)*12.9898+(Inputs!$C$6)*78.233+Inputs!$C$47*37.719))*43758.5453)-INT((SIN(((Model_Data!A53)*12.9898+(Inputs!$C$6)*78.233+Inputs!$C$47*37.719))*43758.5453)))-1))))-((Inputs!$C$51*(115*EXP(-(((0)-25)^2)/(4.5^2))+70*EXP(-(((0)+38)^2)/(7^2))*(0.55+0.45*SIN(2*PI()*(Model_Data!A53)/45))+24*SIN(2*PI()*(0)/9+(Model_Data!A53)/18)*EXP(-(((0)+5)^2)/(22^2))+18*SIN(2*PI()*(Model_Data!A53)/70))+Inputs!$C$28*EXP(-(((Model_Data!A53)-Inputs!$C$29)^2)/(2*Inputs!$C$31^2))*EXP(-(((0)-Inputs!$C$30)^2)/(2*Inputs!$C$32^2))+-Inputs!$C$33*EXP(-(((((Model_Data!A53)-Inputs!$C$34)^2)+(((0)-Inputs!$C$35)^2))/(2*Inputs!$C$36^2)))+Inputs!$C$37*(0.55*SIN(2*PI()*(Model_Data!A53)/Inputs!$C$39)+0.35*COS(2*PI()*(0)/Inputs!$C$40)+0.2*SIN(2*PI()*((Model_Data!A53)+(0))/(0.5*(Inputs!$C$39+Inputs!$C$40))))+Inputs!$C$38*SIN(2*PI()*(Model_Data!A53)/Inputs!$C$39)*SIN(2*PI()*(0)/Inputs!$C$40)+-Inputs!$C$41*EXP(-(((0)-Inputs!$C$43)^2)/(2*Inputs!$C$44^2))*EXP(-(((Model_Data!A53)-Inputs!$C$42)^2)/(2*Inputs!$C$45^2))+Inputs!$C$48*(0.70*(0.45*SIN(2*PI()*(((Model_Data!A53)/Inputs!$C$49)+Inputs!$C$47*0.137))+0.35*COS(2*PI()*(((0)/Inputs!$C$50)+Inputs!$C$47*0.173))+0.20*SIN(2*PI()*(((Model_Data!A53)+(0))/(0.5*(Inputs!$C$49+Inputs!$C$50))+Inputs!$C$47*0.097)))+0.30*(2*((SIN(((Model_Data!A53)*12.9898+(0)*78.233+Inputs!$C$47*37.719))*43758.5453)-INT((SIN(((Model_Data!A53)*12.9898+(0)*78.233+Inputs!$C$47*37.719))*43758.5453)))-1))))</x:f>
        <x:v>326.17452887637796</x:v>
      </x:c>
      <x:c r="K53" s="48" t="n">
        <x:f>-((((SQRT((Model_Data!A53)^2+Inputs!$C$6^2+((Model_Data!B53)-((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(0.45*SIN(2*PI()*(((Model_Data!A53)/Inputs!$C$49)+Inputs!$C$47*0.137))+0.35*COS(2*PI()*(((Inputs!$C$6)/Inputs!$C$50)+Inputs!$C$47*0.173))+0.20*SIN(2*PI()*(((Model_Data!A53)+(Inputs!$C$6))/(0.5*(Inputs!$C$49+Inputs!$C$50))+Inputs!$C$47*0.097)))+0.30*(2*((SIN(((Model_Data!A53)*12.9898+(Inputs!$C$6)*78.233+Inputs!$C$47*37.719))*43758.5453)-INT((SIN(((Model_Data!A53)*12.9898+(Inputs!$C$6)*78.233+Inputs!$C$47*37.719))*43758.5453)))-1))))/1000)^2))-(((Model_Data!B53)-((Inputs!$C$51*(115*EXP(-(((0)-25)^2)/(4.5^2))+70*EXP(-(((0)+38)^2)/(7^2))*(0.55+0.45*SIN(2*PI()*(Model_Data!A53)/45))+24*SIN(2*PI()*(0)/9+(Model_Data!A53)/18)*EXP(-(((0)+5)^2)/(22^2))+18*SIN(2*PI()*(Model_Data!A53)/70))+Inputs!$C$28*EXP(-(((Model_Data!A53)-Inputs!$C$29)^2)/(2*Inputs!$C$31^2))*EXP(-(((0)-Inputs!$C$30)^2)/(2*Inputs!$C$32^2))+-Inputs!$C$33*EXP(-(((((Model_Data!A53)-Inputs!$C$34)^2)+(((0)-Inputs!$C$35)^2))/(2*Inputs!$C$36^2)))+Inputs!$C$37*(0.55*SIN(2*PI()*(Model_Data!A53)/Inputs!$C$39)+0.35*COS(2*PI()*(0)/Inputs!$C$40)+0.2*SIN(2*PI()*((Model_Data!A53)+(0))/(0.5*(Inputs!$C$39+Inputs!$C$40))))+Inputs!$C$38*SIN(2*PI()*(Model_Data!A53)/Inputs!$C$39)*SIN(2*PI()*(0)/Inputs!$C$40)+-Inputs!$C$41*EXP(-(((0)-Inputs!$C$43)^2)/(2*Inputs!$C$44^2))*EXP(-(((Model_Data!A53)-Inputs!$C$42)^2)/(2*Inputs!$C$45^2))+Inputs!$C$48*(0.70*(0.45*SIN(2*PI()*(((Model_Data!A53)/Inputs!$C$49)+Inputs!$C$47*0.137))+0.35*COS(2*PI()*(((0)/Inputs!$C$50)+Inputs!$C$47*0.173))+0.20*SIN(2*PI()*(((Model_Data!A53)+(0))/(0.5*(Inputs!$C$49+Inputs!$C$50))+Inputs!$C$47*0.097)))+0.30*(2*((SIN(((Model_Data!A53)*12.9898+(0)*78.233+Inputs!$C$47*37.719))*43758.5453)-INT((SIN(((Model_Data!A53)*12.9898+(0)*78.233+Inputs!$C$47*37.719))*43758.5453)))-1))))/1000)))*1000/Inputs!$C$12)-Model_Data!F53)</x:f>
        <x:v>182.25030048868985</x:v>
      </x:c>
      <x:c r="L53" s="49"/>
      <x:c r="M53" s="48" t="n">
        <x:f>Model_Data!A53</x:f>
        <x:v>-34.5</x:v>
      </x:c>
      <x:c r="N53" s="48" t="n">
        <x:f>Model_Data!P53</x:f>
        <x:v>258.75780750177796</x:v>
      </x:c>
      <x:c r="O53" s="48" t="n">
        <x:f>AC53</x:f>
        <x:v>320.4340152275108</x:v>
      </x:c>
      <x:c r="P53" s="48" t="n">
        <x:f>Model_Data!Q53</x:f>
        <x:v>38.852523648915614</x:v>
      </x:c>
      <x:c r="Q53" s="48" t="n">
        <x:f>AD53</x:f>
        <x:v>48.11321549962626</x:v>
      </x:c>
      <x:c r="R53" s="49"/>
      <x:c r="S53" s="48" t="n">
        <x:f>Model_Data!A53</x:f>
        <x:v>-34.5</x:v>
      </x:c>
      <x:c r="T53" s="48" t="n">
        <x:f>Model_Data!B53-Inputs!$C$5</x:f>
        <x:v>1.322499999999991</x:v>
      </x:c>
      <x:c r="U53" s="49"/>
      <x:c r="V53" s="48" t="n">
        <x:f>Model_Data!A53</x:f>
        <x:v>-34.5</x:v>
      </x:c>
      <x:c r="W53" s="48" t="n">
        <x:f>(-((((SQRT((Model_Data!A53)^2+Inputs!$C$6^2+((Model_Data!B53)-((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(0.45*SIN(2*PI()*(((Model_Data!A53)/Inputs!$C$49)+Inputs!$C$47*0.137))+0.35*COS(2*PI()*(((Inputs!$C$6)/Inputs!$C$50)+Inputs!$C$47*0.173))+0.20*SIN(2*PI()*(((Model_Data!A53)+(Inputs!$C$6))/(0.5*(Inputs!$C$49+Inputs!$C$50))+Inputs!$C$47*0.097)))+0.30*(2*((SIN(((Model_Data!A53)*12.9898+(Inputs!$C$6)*78.233+Inputs!$C$47*37.719))*43758.5453)-INT((SIN(((Model_Data!A53)*12.9898+(Inputs!$C$6)*78.233+Inputs!$C$47*37.719))*43758.5453)))-1))))/1000)^2))-(((Model_Data!B53)-((Inputs!$C$51*(115*EXP(-(((0)-25)^2)/(4.5^2))+70*EXP(-(((0)+38)^2)/(7^2))*(0.55+0.45*SIN(2*PI()*(Model_Data!A53)/45))+24*SIN(2*PI()*(0)/9+(Model_Data!A53)/18)*EXP(-(((0)+5)^2)/(22^2))+18*SIN(2*PI()*(Model_Data!A53)/70))+Inputs!$C$28*EXP(-(((Model_Data!A53)-Inputs!$C$29)^2)/(2*Inputs!$C$31^2))*EXP(-(((0)-Inputs!$C$30)^2)/(2*Inputs!$C$32^2))+-Inputs!$C$33*EXP(-(((((Model_Data!A53)-Inputs!$C$34)^2)+(((0)-Inputs!$C$35)^2))/(2*Inputs!$C$36^2)))+Inputs!$C$37*(0.55*SIN(2*PI()*(Model_Data!A53)/Inputs!$C$39)+0.35*COS(2*PI()*(0)/Inputs!$C$40)+0.2*SIN(2*PI()*((Model_Data!A53)+(0))/(0.5*(Inputs!$C$39+Inputs!$C$40))))+Inputs!$C$38*SIN(2*PI()*(Model_Data!A53)/Inputs!$C$39)*SIN(2*PI()*(0)/Inputs!$C$40)+-Inputs!$C$41*EXP(-(((0)-Inputs!$C$43)^2)/(2*Inputs!$C$44^2))*EXP(-(((Model_Data!A53)-Inputs!$C$42)^2)/(2*Inputs!$C$45^2))+Inputs!$C$48*(0.70*(0.45*SIN(2*PI()*(((Model_Data!A53)/Inputs!$C$49)+Inputs!$C$47*0.137))+0.35*COS(2*PI()*(((0)/Inputs!$C$50)+Inputs!$C$47*0.173))+0.20*SIN(2*PI()*(((Model_Data!A53)+(0))/(0.5*(Inputs!$C$49+Inputs!$C$50))+Inputs!$C$47*0.097)))+0.30*(2*((SIN(((Model_Data!A53)*12.9898+(0)*78.233+Inputs!$C$47*37.719))*43758.5453)-INT((SIN(((Model_Data!A53)*12.9898+(0)*78.233+Inputs!$C$47*37.719))*43758.5453)))-1))))/1000)))*1000/Inputs!$C$12)-Model_Data!F53))-(-(((SQRT((Model_Data!A53)^2+Inputs!$C$6^2+(Inputs!$C$5-((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(0.45*SIN(2*PI()*(((Model_Data!A53)/Inputs!$C$49)+Inputs!$C$47*0.137))+0.35*COS(2*PI()*(((Inputs!$C$6)/Inputs!$C$50)+Inputs!$C$47*0.173))+0.20*SIN(2*PI()*(((Model_Data!A53)+(Inputs!$C$6))/(0.5*(Inputs!$C$49+Inputs!$C$50))+Inputs!$C$47*0.097)))+0.30*(2*((SIN(((Model_Data!A53)*12.9898+(Inputs!$C$6)*78.233+Inputs!$C$47*37.719))*43758.5453)-INT((SIN(((Model_Data!A53)*12.9898+(Inputs!$C$6)*78.233+Inputs!$C$47*37.719))*43758.5453)))-1))))/1000)^2)-(Inputs!$C$5-((Inputs!$C$51*(115*EXP(-(((0)-25)^2)/(4.5^2))+70*EXP(-(((0)+38)^2)/(7^2))*(0.55+0.45*SIN(2*PI()*(Model_Data!A53)/45))+24*SIN(2*PI()*(0)/9+(Model_Data!A53)/18)*EXP(-(((0)+5)^2)/(22^2))+18*SIN(2*PI()*(Model_Data!A53)/70))+Inputs!$C$28*EXP(-(((Model_Data!A53)-Inputs!$C$29)^2)/(2*Inputs!$C$31^2))*EXP(-(((0)-Inputs!$C$30)^2)/(2*Inputs!$C$32^2))+-Inputs!$C$33*EXP(-(((((Model_Data!A53)-Inputs!$C$34)^2)+(((0)-Inputs!$C$35)^2))/(2*Inputs!$C$36^2)))+Inputs!$C$37*(0.55*SIN(2*PI()*(Model_Data!A53)/Inputs!$C$39)+0.35*COS(2*PI()*(0)/Inputs!$C$40)+0.2*SIN(2*PI()*((Model_Data!A53)+(0))/(0.5*(Inputs!$C$39+Inputs!$C$40))))+Inputs!$C$38*SIN(2*PI()*(Model_Data!A53)/Inputs!$C$39)*SIN(2*PI()*(0)/Inputs!$C$40)+-Inputs!$C$41*EXP(-(((0)-Inputs!$C$43)^2)/(2*Inputs!$C$44^2))*EXP(-(((Model_Data!A53)-Inputs!$C$42)^2)/(2*Inputs!$C$45^2))+Inputs!$C$48*(0.70*(0.45*SIN(2*PI()*(((Model_Data!A53)/Inputs!$C$49)+Inputs!$C$47*0.137))+0.35*COS(2*PI()*(((0)/Inputs!$C$50)+Inputs!$C$47*0.173))+0.20*SIN(2*PI()*(((Model_Data!A53)+(0))/(0.5*(Inputs!$C$49+Inputs!$C$50))+Inputs!$C$47*0.097)))+0.30*(2*((SIN(((Model_Data!A53)*12.9898+(0)*78.233+Inputs!$C$47*37.719))*43758.5453)-INT((SIN(((Model_Data!A53)*12.9898+(0)*78.233+Inputs!$C$47*37.719))*43758.5453)))-1))))/1000))*1000/Inputs!$C$12)-((SQRT((Model_Data!A53)^2+Inputs!$C$6^2+Inputs!$C$5^2)-Inputs!$C$5)*1000/Inputs!$C$12)))</x:f>
        <x:v>0.006529587014256322</x:v>
      </x:c>
      <x:c r="X53" s="48" t="n">
        <x:f>0</x:f>
        <x:v>0</x:v>
      </x:c>
      <x:c r="Y53" s="49"/>
      <x:c r="Z53" s="48" t="n">
        <x:f>Model_Data!A53</x:f>
        <x:v>-34.5</x:v>
      </x:c>
      <x:c r="AA53" s="48" t="n">
        <x:f>SQRT((Model_Data!A53)^2+Inputs!$C$6^2+((Model_Data!B53)-((Inputs!$C$51*(115*EXP(-(((Inputs!$C$6)-25)^2)/(4.5^2))+70*EXP(-(((Inputs!$C$6)+38)^2)/(7^2))*(0.55+0.45*SIN(2*PI()*(Model_Data!A53)/45))+24*SIN(2*PI()*(Inputs!$C$6)/9+(Model_Data!A53)/18)*EXP(-(((Inputs!$C$6)+5)^2)/(22^2))+18*SIN(2*PI()*(Model_Data!A53)/70))+Inputs!$C$28*EXP(-(((Model_Data!A53)-Inputs!$C$29)^2)/(2*Inputs!$C$31^2))*EXP(-(((Inputs!$C$6)-Inputs!$C$30)^2)/(2*Inputs!$C$32^2))+-Inputs!$C$33*EXP(-(((((Model_Data!A53)-Inputs!$C$34)^2)+(((Inputs!$C$6)-Inputs!$C$35)^2))/(2*Inputs!$C$36^2)))+Inputs!$C$37*(0.55*SIN(2*PI()*(Model_Data!A53)/Inputs!$C$39)+0.35*COS(2*PI()*(Inputs!$C$6)/Inputs!$C$40)+0.2*SIN(2*PI()*((Model_Data!A53)+(Inputs!$C$6))/(0.5*(Inputs!$C$39+Inputs!$C$40))))+Inputs!$C$38*SIN(2*PI()*(Model_Data!A53)/Inputs!$C$39)*SIN(2*PI()*(Inputs!$C$6)/Inputs!$C$40)+-Inputs!$C$41*EXP(-(((Inputs!$C$6)-Inputs!$C$43)^2)/(2*Inputs!$C$44^2))*EXP(-(((Model_Data!A53)-Inputs!$C$42)^2)/(2*Inputs!$C$45^2))+Inputs!$C$48*(0.70*(0.45*SIN(2*PI()*(((Model_Data!A53)/Inputs!$C$49)+Inputs!$C$47*0.137))+0.35*COS(2*PI()*(((Inputs!$C$6)/Inputs!$C$50)+Inputs!$C$47*0.173))+0.20*SIN(2*PI()*(((Model_Data!A53)+(Inputs!$C$6))/(0.5*(Inputs!$C$49+Inputs!$C$50))+Inputs!$C$47*0.097)))+0.30*(2*((SIN(((Model_Data!A53)*12.9898+(Inputs!$C$6)*78.233+Inputs!$C$47*37.719))*43758.5453)-INT((SIN(((Model_Data!A53)*12.9898+(Inputs!$C$6)*78.233+Inputs!$C$47*37.719))*43758.5453)))-1))))/1000)^2)</x:f>
        <x:v>403.26320251922317</x:v>
      </x:c>
      <x:c r="AB53" s="48" t="n">
        <x:f>1000*(AA54-AA52)/(Z54-Z52)*Inputs!$C$11</x:f>
        <x:v>-801.0850380687771</x:v>
      </x:c>
      <x:c r="AC53" s="48" t="n">
        <x:f>-2*AB53/Inputs!$C$13</x:f>
        <x:v>320.4340152275108</x:v>
      </x:c>
      <x:c r="AD53" s="48" t="n">
        <x:f>-2*AB53/Inputs!$C$14</x:f>
        <x:v>48.11321549962626</x:v>
      </x:c>
    </x:row>
    <x:row r="54">
      <x:c r="A54" s="48" t="n">
        <x:f>Model_Data!A54</x:f>
        <x:v>-34</x:v>
      </x:c>
      <x:c r="B54" s="48" t="n">
        <x:f>Model_Data!F54</x:f>
        <x:v>1243.2707350015928</x:v>
      </x:c>
      <x:c r="C54" s="48" t="n">
        <x:f>(((SQRT((Model_Data!A54)^2+Inputs!$C$6^2+((Model_Data!B54)-((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(0.45*SIN(2*PI()*(((Model_Data!A54)/Inputs!$C$49)+Inputs!$C$47*0.137))+0.35*COS(2*PI()*(((Inputs!$C$6)/Inputs!$C$50)+Inputs!$C$47*0.173))+0.20*SIN(2*PI()*(((Model_Data!A54)+(Inputs!$C$6))/(0.5*(Inputs!$C$49+Inputs!$C$50))+Inputs!$C$47*0.097)))+0.30*(2*((SIN(((Model_Data!A54)*12.9898+(Inputs!$C$6)*78.233+Inputs!$C$47*37.719))*43758.5453)-INT((SIN(((Model_Data!A54)*12.9898+(Inputs!$C$6)*78.233+Inputs!$C$47*37.719))*43758.5453)))-1))))/1000)^2))-(((Model_Data!B54)-((Inputs!$C$51*(115*EXP(-(((0)-25)^2)/(4.5^2))+70*EXP(-(((0)+38)^2)/(7^2))*(0.55+0.45*SIN(2*PI()*(Model_Data!A54)/45))+24*SIN(2*PI()*(0)/9+(Model_Data!A54)/18)*EXP(-(((0)+5)^2)/(22^2))+18*SIN(2*PI()*(Model_Data!A54)/70))+Inputs!$C$28*EXP(-(((Model_Data!A54)-Inputs!$C$29)^2)/(2*Inputs!$C$31^2))*EXP(-(((0)-Inputs!$C$30)^2)/(2*Inputs!$C$32^2))+-Inputs!$C$33*EXP(-(((((Model_Data!A54)-Inputs!$C$34)^2)+(((0)-Inputs!$C$35)^2))/(2*Inputs!$C$36^2)))+Inputs!$C$37*(0.55*SIN(2*PI()*(Model_Data!A54)/Inputs!$C$39)+0.35*COS(2*PI()*(0)/Inputs!$C$40)+0.2*SIN(2*PI()*((Model_Data!A54)+(0))/(0.5*(Inputs!$C$39+Inputs!$C$40))))+Inputs!$C$38*SIN(2*PI()*(Model_Data!A54)/Inputs!$C$39)*SIN(2*PI()*(0)/Inputs!$C$40)+-Inputs!$C$41*EXP(-(((0)-Inputs!$C$43)^2)/(2*Inputs!$C$44^2))*EXP(-(((Model_Data!A54)-Inputs!$C$42)^2)/(2*Inputs!$C$45^2))+Inputs!$C$48*(0.70*(0.45*SIN(2*PI()*(((Model_Data!A54)/Inputs!$C$49)+Inputs!$C$47*0.137))+0.35*COS(2*PI()*(((0)/Inputs!$C$50)+Inputs!$C$47*0.173))+0.20*SIN(2*PI()*(((Model_Data!A54)+(0))/(0.5*(Inputs!$C$49+Inputs!$C$50))+Inputs!$C$47*0.097)))+0.30*(2*((SIN(((Model_Data!A54)*12.9898+(0)*78.233+Inputs!$C$47*37.719))*43758.5453)-INT((SIN(((Model_Data!A54)*12.9898+(0)*78.233+Inputs!$C$47*37.719))*43758.5453)))-1))))/1000)))*1000/Inputs!$C$12)</x:f>
        <x:v>1064.9399557042912</x:v>
      </x:c>
      <x:c r="D54" s="49"/>
      <x:c r="E54" s="48" t="n">
        <x:f>Model_Data!A54</x:f>
        <x:v>-34</x:v>
      </x:c>
      <x:c r="F54" s="48" t="n">
        <x:f>(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(0.45*SIN(2*PI()*(((Model_Data!A54)/Inputs!$C$49)+Inputs!$C$47*0.137))+0.35*COS(2*PI()*(((Inputs!$C$6)/Inputs!$C$50)+Inputs!$C$47*0.173))+0.20*SIN(2*PI()*(((Model_Data!A54)+(Inputs!$C$6))/(0.5*(Inputs!$C$49+Inputs!$C$50))+Inputs!$C$47*0.097)))+0.30*(2*((SIN(((Model_Data!A54)*12.9898+(Inputs!$C$6)*78.233+Inputs!$C$47*37.719))*43758.5453)-INT((SIN(((Model_Data!A54)*12.9898+(Inputs!$C$6)*78.233+Inputs!$C$47*37.719))*43758.5453)))-1)))</x:f>
        <x:v>319.4152549266823</x:v>
      </x:c>
      <x:c r="G54" s="48" t="n">
        <x:f>(Inputs!$C$51*(115*EXP(-(((0)-25)^2)/(4.5^2))+70*EXP(-(((0)+38)^2)/(7^2))*(0.55+0.45*SIN(2*PI()*(Model_Data!A54)/45))+24*SIN(2*PI()*(0)/9+(Model_Data!A54)/18)*EXP(-(((0)+5)^2)/(22^2))+18*SIN(2*PI()*(Model_Data!A54)/70))+Inputs!$C$28*EXP(-(((Model_Data!A54)-Inputs!$C$29)^2)/(2*Inputs!$C$31^2))*EXP(-(((0)-Inputs!$C$30)^2)/(2*Inputs!$C$32^2))+-Inputs!$C$33*EXP(-(((((Model_Data!A54)-Inputs!$C$34)^2)+(((0)-Inputs!$C$35)^2))/(2*Inputs!$C$36^2)))+Inputs!$C$37*(0.55*SIN(2*PI()*(Model_Data!A54)/Inputs!$C$39)+0.35*COS(2*PI()*(0)/Inputs!$C$40)+0.2*SIN(2*PI()*((Model_Data!A54)+(0))/(0.5*(Inputs!$C$39+Inputs!$C$40))))+Inputs!$C$38*SIN(2*PI()*(Model_Data!A54)/Inputs!$C$39)*SIN(2*PI()*(0)/Inputs!$C$40)+-Inputs!$C$41*EXP(-(((0)-Inputs!$C$43)^2)/(2*Inputs!$C$44^2))*EXP(-(((Model_Data!A54)-Inputs!$C$42)^2)/(2*Inputs!$C$45^2))+Inputs!$C$48*(0.70*(0.45*SIN(2*PI()*(((Model_Data!A54)/Inputs!$C$49)+Inputs!$C$47*0.137))+0.35*COS(2*PI()*(((0)/Inputs!$C$50)+Inputs!$C$47*0.173))+0.20*SIN(2*PI()*(((Model_Data!A54)+(0))/(0.5*(Inputs!$C$49+Inputs!$C$50))+Inputs!$C$47*0.097)))+0.30*(2*((SIN(((Model_Data!A54)*12.9898+(0)*78.233+Inputs!$C$47*37.719))*43758.5453)-INT((SIN(((Model_Data!A54)*12.9898+(0)*78.233+Inputs!$C$47*37.719))*43758.5453)))-1)))</x:f>
        <x:v>0.233219012771956</x:v>
      </x:c>
      <x:c r="H54" s="49"/>
      <x:c r="I54" s="48" t="n">
        <x:f>Model_Data!A54</x:f>
        <x:v>-34</x:v>
      </x:c>
      <x:c r="J54" s="48" t="n">
        <x:f>((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(0.45*SIN(2*PI()*(((Model_Data!A54)/Inputs!$C$49)+Inputs!$C$47*0.137))+0.35*COS(2*PI()*(((Inputs!$C$6)/Inputs!$C$50)+Inputs!$C$47*0.173))+0.20*SIN(2*PI()*(((Model_Data!A54)+(Inputs!$C$6))/(0.5*(Inputs!$C$49+Inputs!$C$50))+Inputs!$C$47*0.097)))+0.30*(2*((SIN(((Model_Data!A54)*12.9898+(Inputs!$C$6)*78.233+Inputs!$C$47*37.719))*43758.5453)-INT((SIN(((Model_Data!A54)*12.9898+(Inputs!$C$6)*78.233+Inputs!$C$47*37.719))*43758.5453)))-1))))-((Inputs!$C$51*(115*EXP(-(((0)-25)^2)/(4.5^2))+70*EXP(-(((0)+38)^2)/(7^2))*(0.55+0.45*SIN(2*PI()*(Model_Data!A54)/45))+24*SIN(2*PI()*(0)/9+(Model_Data!A54)/18)*EXP(-(((0)+5)^2)/(22^2))+18*SIN(2*PI()*(Model_Data!A54)/70))+Inputs!$C$28*EXP(-(((Model_Data!A54)-Inputs!$C$29)^2)/(2*Inputs!$C$31^2))*EXP(-(((0)-Inputs!$C$30)^2)/(2*Inputs!$C$32^2))+-Inputs!$C$33*EXP(-(((((Model_Data!A54)-Inputs!$C$34)^2)+(((0)-Inputs!$C$35)^2))/(2*Inputs!$C$36^2)))+Inputs!$C$37*(0.55*SIN(2*PI()*(Model_Data!A54)/Inputs!$C$39)+0.35*COS(2*PI()*(0)/Inputs!$C$40)+0.2*SIN(2*PI()*((Model_Data!A54)+(0))/(0.5*(Inputs!$C$39+Inputs!$C$40))))+Inputs!$C$38*SIN(2*PI()*(Model_Data!A54)/Inputs!$C$39)*SIN(2*PI()*(0)/Inputs!$C$40)+-Inputs!$C$41*EXP(-(((0)-Inputs!$C$43)^2)/(2*Inputs!$C$44^2))*EXP(-(((Model_Data!A54)-Inputs!$C$42)^2)/(2*Inputs!$C$45^2))+Inputs!$C$48*(0.70*(0.45*SIN(2*PI()*(((Model_Data!A54)/Inputs!$C$49)+Inputs!$C$47*0.137))+0.35*COS(2*PI()*(((0)/Inputs!$C$50)+Inputs!$C$47*0.173))+0.20*SIN(2*PI()*(((Model_Data!A54)+(0))/(0.5*(Inputs!$C$49+Inputs!$C$50))+Inputs!$C$47*0.097)))+0.30*(2*((SIN(((Model_Data!A54)*12.9898+(0)*78.233+Inputs!$C$47*37.719))*43758.5453)-INT((SIN(((Model_Data!A54)*12.9898+(0)*78.233+Inputs!$C$47*37.719))*43758.5453)))-1))))</x:f>
        <x:v>319.18203591391034</x:v>
      </x:c>
      <x:c r="K54" s="48" t="n">
        <x:f>-((((SQRT((Model_Data!A54)^2+Inputs!$C$6^2+((Model_Data!B54)-((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(0.45*SIN(2*PI()*(((Model_Data!A54)/Inputs!$C$49)+Inputs!$C$47*0.137))+0.35*COS(2*PI()*(((Inputs!$C$6)/Inputs!$C$50)+Inputs!$C$47*0.173))+0.20*SIN(2*PI()*(((Model_Data!A54)+(Inputs!$C$6))/(0.5*(Inputs!$C$49+Inputs!$C$50))+Inputs!$C$47*0.097)))+0.30*(2*((SIN(((Model_Data!A54)*12.9898+(Inputs!$C$6)*78.233+Inputs!$C$47*37.719))*43758.5453)-INT((SIN(((Model_Data!A54)*12.9898+(Inputs!$C$6)*78.233+Inputs!$C$47*37.719))*43758.5453)))-1))))/1000)^2))-(((Model_Data!B54)-((Inputs!$C$51*(115*EXP(-(((0)-25)^2)/(4.5^2))+70*EXP(-(((0)+38)^2)/(7^2))*(0.55+0.45*SIN(2*PI()*(Model_Data!A54)/45))+24*SIN(2*PI()*(0)/9+(Model_Data!A54)/18)*EXP(-(((0)+5)^2)/(22^2))+18*SIN(2*PI()*(Model_Data!A54)/70))+Inputs!$C$28*EXP(-(((Model_Data!A54)-Inputs!$C$29)^2)/(2*Inputs!$C$31^2))*EXP(-(((0)-Inputs!$C$30)^2)/(2*Inputs!$C$32^2))+-Inputs!$C$33*EXP(-(((((Model_Data!A54)-Inputs!$C$34)^2)+(((0)-Inputs!$C$35)^2))/(2*Inputs!$C$36^2)))+Inputs!$C$37*(0.55*SIN(2*PI()*(Model_Data!A54)/Inputs!$C$39)+0.35*COS(2*PI()*(0)/Inputs!$C$40)+0.2*SIN(2*PI()*((Model_Data!A54)+(0))/(0.5*(Inputs!$C$39+Inputs!$C$40))))+Inputs!$C$38*SIN(2*PI()*(Model_Data!A54)/Inputs!$C$39)*SIN(2*PI()*(0)/Inputs!$C$40)+-Inputs!$C$41*EXP(-(((0)-Inputs!$C$43)^2)/(2*Inputs!$C$44^2))*EXP(-(((Model_Data!A54)-Inputs!$C$42)^2)/(2*Inputs!$C$45^2))+Inputs!$C$48*(0.70*(0.45*SIN(2*PI()*(((Model_Data!A54)/Inputs!$C$49)+Inputs!$C$47*0.137))+0.35*COS(2*PI()*(((0)/Inputs!$C$50)+Inputs!$C$47*0.173))+0.20*SIN(2*PI()*(((Model_Data!A54)+(0))/(0.5*(Inputs!$C$49+Inputs!$C$50))+Inputs!$C$47*0.097)))+0.30*(2*((SIN(((Model_Data!A54)*12.9898+(0)*78.233+Inputs!$C$47*37.719))*43758.5453)-INT((SIN(((Model_Data!A54)*12.9898+(0)*78.233+Inputs!$C$47*37.719))*43758.5453)))-1))))/1000)))*1000/Inputs!$C$12)-Model_Data!F54)</x:f>
        <x:v>178.33077929730166</x:v>
      </x:c>
      <x:c r="L54" s="49"/>
      <x:c r="M54" s="48" t="n">
        <x:f>Model_Data!A54</x:f>
        <x:v>-34</x:v>
      </x:c>
      <x:c r="N54" s="48" t="n">
        <x:f>Model_Data!P54</x:f>
        <x:v>255.04703052414416</x:v>
      </x:c>
      <x:c r="O54" s="48" t="n">
        <x:f>AC54</x:f>
        <x:v>274.4541560260586</x:v>
      </x:c>
      <x:c r="P54" s="48" t="n">
        <x:f>Model_Data!Q54</x:f>
        <x:v>38.29534992855017</x:v>
      </x:c>
      <x:c r="Q54" s="48" t="n">
        <x:f>AD54</x:f>
        <x:v>41.20933273664544</x:v>
      </x:c>
      <x:c r="R54" s="49"/>
      <x:c r="S54" s="48" t="n">
        <x:f>Model_Data!A54</x:f>
        <x:v>-34</x:v>
      </x:c>
      <x:c r="T54" s="48" t="n">
        <x:f>Model_Data!B54-Inputs!$C$5</x:f>
        <x:v>1.284444444444432</x:v>
      </x:c>
      <x:c r="U54" s="49"/>
      <x:c r="V54" s="48" t="n">
        <x:f>Model_Data!A54</x:f>
        <x:v>-34</x:v>
      </x:c>
      <x:c r="W54" s="48" t="n">
        <x:f>(-((((SQRT((Model_Data!A54)^2+Inputs!$C$6^2+((Model_Data!B54)-((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(0.45*SIN(2*PI()*(((Model_Data!A54)/Inputs!$C$49)+Inputs!$C$47*0.137))+0.35*COS(2*PI()*(((Inputs!$C$6)/Inputs!$C$50)+Inputs!$C$47*0.173))+0.20*SIN(2*PI()*(((Model_Data!A54)+(Inputs!$C$6))/(0.5*(Inputs!$C$49+Inputs!$C$50))+Inputs!$C$47*0.097)))+0.30*(2*((SIN(((Model_Data!A54)*12.9898+(Inputs!$C$6)*78.233+Inputs!$C$47*37.719))*43758.5453)-INT((SIN(((Model_Data!A54)*12.9898+(Inputs!$C$6)*78.233+Inputs!$C$47*37.719))*43758.5453)))-1))))/1000)^2))-(((Model_Data!B54)-((Inputs!$C$51*(115*EXP(-(((0)-25)^2)/(4.5^2))+70*EXP(-(((0)+38)^2)/(7^2))*(0.55+0.45*SIN(2*PI()*(Model_Data!A54)/45))+24*SIN(2*PI()*(0)/9+(Model_Data!A54)/18)*EXP(-(((0)+5)^2)/(22^2))+18*SIN(2*PI()*(Model_Data!A54)/70))+Inputs!$C$28*EXP(-(((Model_Data!A54)-Inputs!$C$29)^2)/(2*Inputs!$C$31^2))*EXP(-(((0)-Inputs!$C$30)^2)/(2*Inputs!$C$32^2))+-Inputs!$C$33*EXP(-(((((Model_Data!A54)-Inputs!$C$34)^2)+(((0)-Inputs!$C$35)^2))/(2*Inputs!$C$36^2)))+Inputs!$C$37*(0.55*SIN(2*PI()*(Model_Data!A54)/Inputs!$C$39)+0.35*COS(2*PI()*(0)/Inputs!$C$40)+0.2*SIN(2*PI()*((Model_Data!A54)+(0))/(0.5*(Inputs!$C$39+Inputs!$C$40))))+Inputs!$C$38*SIN(2*PI()*(Model_Data!A54)/Inputs!$C$39)*SIN(2*PI()*(0)/Inputs!$C$40)+-Inputs!$C$41*EXP(-(((0)-Inputs!$C$43)^2)/(2*Inputs!$C$44^2))*EXP(-(((Model_Data!A54)-Inputs!$C$42)^2)/(2*Inputs!$C$45^2))+Inputs!$C$48*(0.70*(0.45*SIN(2*PI()*(((Model_Data!A54)/Inputs!$C$49)+Inputs!$C$47*0.137))+0.35*COS(2*PI()*(((0)/Inputs!$C$50)+Inputs!$C$47*0.173))+0.20*SIN(2*PI()*(((Model_Data!A54)+(0))/(0.5*(Inputs!$C$49+Inputs!$C$50))+Inputs!$C$47*0.097)))+0.30*(2*((SIN(((Model_Data!A54)*12.9898+(0)*78.233+Inputs!$C$47*37.719))*43758.5453)-INT((SIN(((Model_Data!A54)*12.9898+(0)*78.233+Inputs!$C$47*37.719))*43758.5453)))-1))))/1000)))*1000/Inputs!$C$12)-Model_Data!F54))-(-(((SQRT((Model_Data!A54)^2+Inputs!$C$6^2+(Inputs!$C$5-((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(0.45*SIN(2*PI()*(((Model_Data!A54)/Inputs!$C$49)+Inputs!$C$47*0.137))+0.35*COS(2*PI()*(((Inputs!$C$6)/Inputs!$C$50)+Inputs!$C$47*0.173))+0.20*SIN(2*PI()*(((Model_Data!A54)+(Inputs!$C$6))/(0.5*(Inputs!$C$49+Inputs!$C$50))+Inputs!$C$47*0.097)))+0.30*(2*((SIN(((Model_Data!A54)*12.9898+(Inputs!$C$6)*78.233+Inputs!$C$47*37.719))*43758.5453)-INT((SIN(((Model_Data!A54)*12.9898+(Inputs!$C$6)*78.233+Inputs!$C$47*37.719))*43758.5453)))-1))))/1000)^2)-(Inputs!$C$5-((Inputs!$C$51*(115*EXP(-(((0)-25)^2)/(4.5^2))+70*EXP(-(((0)+38)^2)/(7^2))*(0.55+0.45*SIN(2*PI()*(Model_Data!A54)/45))+24*SIN(2*PI()*(0)/9+(Model_Data!A54)/18)*EXP(-(((0)+5)^2)/(22^2))+18*SIN(2*PI()*(Model_Data!A54)/70))+Inputs!$C$28*EXP(-(((Model_Data!A54)-Inputs!$C$29)^2)/(2*Inputs!$C$31^2))*EXP(-(((0)-Inputs!$C$30)^2)/(2*Inputs!$C$32^2))+-Inputs!$C$33*EXP(-(((((Model_Data!A54)-Inputs!$C$34)^2)+(((0)-Inputs!$C$35)^2))/(2*Inputs!$C$36^2)))+Inputs!$C$37*(0.55*SIN(2*PI()*(Model_Data!A54)/Inputs!$C$39)+0.35*COS(2*PI()*(0)/Inputs!$C$40)+0.2*SIN(2*PI()*((Model_Data!A54)+(0))/(0.5*(Inputs!$C$39+Inputs!$C$40))))+Inputs!$C$38*SIN(2*PI()*(Model_Data!A54)/Inputs!$C$39)*SIN(2*PI()*(0)/Inputs!$C$40)+-Inputs!$C$41*EXP(-(((0)-Inputs!$C$43)^2)/(2*Inputs!$C$44^2))*EXP(-(((Model_Data!A54)-Inputs!$C$42)^2)/(2*Inputs!$C$45^2))+Inputs!$C$48*(0.70*(0.45*SIN(2*PI()*(((Model_Data!A54)/Inputs!$C$49)+Inputs!$C$47*0.137))+0.35*COS(2*PI()*(((0)/Inputs!$C$50)+Inputs!$C$47*0.173))+0.20*SIN(2*PI()*(((Model_Data!A54)+(0))/(0.5*(Inputs!$C$49+Inputs!$C$50))+Inputs!$C$47*0.097)))+0.30*(2*((SIN(((Model_Data!A54)*12.9898+(0)*78.233+Inputs!$C$47*37.719))*43758.5453)-INT((SIN(((Model_Data!A54)*12.9898+(0)*78.233+Inputs!$C$47*37.719))*43758.5453)))-1))))/1000))*1000/Inputs!$C$12)-((SQRT((Model_Data!A54)^2+Inputs!$C$6^2+Inputs!$C$5^2)-Inputs!$C$5)*1000/Inputs!$C$12)))</x:f>
        <x:v>0.006285972886871605</x:v>
      </x:c>
      <x:c r="X54" s="48" t="n">
        <x:f>0</x:f>
        <x:v>0</x:v>
      </x:c>
      <x:c r="Y54" s="49"/>
      <x:c r="Z54" s="48" t="n">
        <x:f>Model_Data!A54</x:f>
        <x:v>-34</x:v>
      </x:c>
      <x:c r="AA54" s="48" t="n">
        <x:f>SQRT((Model_Data!A54)^2+Inputs!$C$6^2+((Model_Data!B54)-((Inputs!$C$51*(115*EXP(-(((Inputs!$C$6)-25)^2)/(4.5^2))+70*EXP(-(((Inputs!$C$6)+38)^2)/(7^2))*(0.55+0.45*SIN(2*PI()*(Model_Data!A54)/45))+24*SIN(2*PI()*(Inputs!$C$6)/9+(Model_Data!A54)/18)*EXP(-(((Inputs!$C$6)+5)^2)/(22^2))+18*SIN(2*PI()*(Model_Data!A54)/70))+Inputs!$C$28*EXP(-(((Model_Data!A54)-Inputs!$C$29)^2)/(2*Inputs!$C$31^2))*EXP(-(((Inputs!$C$6)-Inputs!$C$30)^2)/(2*Inputs!$C$32^2))+-Inputs!$C$33*EXP(-(((((Model_Data!A54)-Inputs!$C$34)^2)+(((Inputs!$C$6)-Inputs!$C$35)^2))/(2*Inputs!$C$36^2)))+Inputs!$C$37*(0.55*SIN(2*PI()*(Model_Data!A54)/Inputs!$C$39)+0.35*COS(2*PI()*(Inputs!$C$6)/Inputs!$C$40)+0.2*SIN(2*PI()*((Model_Data!A54)+(Inputs!$C$6))/(0.5*(Inputs!$C$39+Inputs!$C$40))))+Inputs!$C$38*SIN(2*PI()*(Model_Data!A54)/Inputs!$C$39)*SIN(2*PI()*(Inputs!$C$6)/Inputs!$C$40)+-Inputs!$C$41*EXP(-(((Inputs!$C$6)-Inputs!$C$43)^2)/(2*Inputs!$C$44^2))*EXP(-(((Model_Data!A54)-Inputs!$C$42)^2)/(2*Inputs!$C$45^2))+Inputs!$C$48*(0.70*(0.45*SIN(2*PI()*(((Model_Data!A54)/Inputs!$C$49)+Inputs!$C$47*0.137))+0.35*COS(2*PI()*(((Inputs!$C$6)/Inputs!$C$50)+Inputs!$C$47*0.173))+0.20*SIN(2*PI()*(((Model_Data!A54)+(Inputs!$C$6))/(0.5*(Inputs!$C$49+Inputs!$C$50))+Inputs!$C$47*0.097)))+0.30*(2*((SIN(((Model_Data!A54)*12.9898+(Inputs!$C$6)*78.233+Inputs!$C$47*37.719))*43758.5453)-INT((SIN(((Model_Data!A54)*12.9898+(Inputs!$C$6)*78.233+Inputs!$C$47*37.719))*43758.5453)))-1))))/1000)^2)</x:f>
        <x:v>403.1798043465853</x:v>
      </x:c>
      <x:c r="AB54" s="48" t="n">
        <x:f>1000*(AA55-AA53)/(Z55-Z53)*Inputs!$C$11</x:f>
        <x:v>-686.1353900651466</x:v>
      </x:c>
      <x:c r="AC54" s="48" t="n">
        <x:f>-2*AB54/Inputs!$C$13</x:f>
        <x:v>274.4541560260586</x:v>
      </x:c>
      <x:c r="AD54" s="48" t="n">
        <x:f>-2*AB54/Inputs!$C$14</x:f>
        <x:v>41.20933273664544</x:v>
      </x:c>
    </x:row>
    <x:row r="55">
      <x:c r="A55" s="48" t="n">
        <x:f>Model_Data!A55</x:f>
        <x:v>-33.5</x:v>
      </x:c>
      <x:c r="B55" s="48" t="n">
        <x:f>Model_Data!F55</x:f>
        <x:v>1219.8874954154699</x:v>
      </x:c>
      <x:c r="C55" s="48" t="n">
        <x:f>(((SQRT((Model_Data!A55)^2+Inputs!$C$6^2+((Model_Data!B55)-((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(0.45*SIN(2*PI()*(((Model_Data!A55)/Inputs!$C$49)+Inputs!$C$47*0.137))+0.35*COS(2*PI()*(((Inputs!$C$6)/Inputs!$C$50)+Inputs!$C$47*0.173))+0.20*SIN(2*PI()*(((Model_Data!A55)+(Inputs!$C$6))/(0.5*(Inputs!$C$49+Inputs!$C$50))+Inputs!$C$47*0.097)))+0.30*(2*((SIN(((Model_Data!A55)*12.9898+(Inputs!$C$6)*78.233+Inputs!$C$47*37.719))*43758.5453)-INT((SIN(((Model_Data!A55)*12.9898+(Inputs!$C$6)*78.233+Inputs!$C$47*37.719))*43758.5453)))-1))))/1000)^2))-(((Model_Data!B55)-((Inputs!$C$51*(115*EXP(-(((0)-25)^2)/(4.5^2))+70*EXP(-(((0)+38)^2)/(7^2))*(0.55+0.45*SIN(2*PI()*(Model_Data!A55)/45))+24*SIN(2*PI()*(0)/9+(Model_Data!A55)/18)*EXP(-(((0)+5)^2)/(22^2))+18*SIN(2*PI()*(Model_Data!A55)/70))+Inputs!$C$28*EXP(-(((Model_Data!A55)-Inputs!$C$29)^2)/(2*Inputs!$C$31^2))*EXP(-(((0)-Inputs!$C$30)^2)/(2*Inputs!$C$32^2))+-Inputs!$C$33*EXP(-(((((Model_Data!A55)-Inputs!$C$34)^2)+(((0)-Inputs!$C$35)^2))/(2*Inputs!$C$36^2)))+Inputs!$C$37*(0.55*SIN(2*PI()*(Model_Data!A55)/Inputs!$C$39)+0.35*COS(2*PI()*(0)/Inputs!$C$40)+0.2*SIN(2*PI()*((Model_Data!A55)+(0))/(0.5*(Inputs!$C$39+Inputs!$C$40))))+Inputs!$C$38*SIN(2*PI()*(Model_Data!A55)/Inputs!$C$39)*SIN(2*PI()*(0)/Inputs!$C$40)+-Inputs!$C$41*EXP(-(((0)-Inputs!$C$43)^2)/(2*Inputs!$C$44^2))*EXP(-(((Model_Data!A55)-Inputs!$C$42)^2)/(2*Inputs!$C$45^2))+Inputs!$C$48*(0.70*(0.45*SIN(2*PI()*(((Model_Data!A55)/Inputs!$C$49)+Inputs!$C$47*0.137))+0.35*COS(2*PI()*(((0)/Inputs!$C$50)+Inputs!$C$47*0.173))+0.20*SIN(2*PI()*(((Model_Data!A55)+(0))/(0.5*(Inputs!$C$49+Inputs!$C$50))+Inputs!$C$47*0.097)))+0.30*(2*((SIN(((Model_Data!A55)*12.9898+(0)*78.233+Inputs!$C$47*37.719))*43758.5453)-INT((SIN(((Model_Data!A55)*12.9898+(0)*78.233+Inputs!$C$47*37.719))*43758.5453)))-1))))/1000)))*1000/Inputs!$C$12)</x:f>
        <x:v>1041.1373161965391</x:v>
      </x:c>
      <x:c r="D55" s="49"/>
      <x:c r="E55" s="48" t="n">
        <x:f>Model_Data!A55</x:f>
        <x:v>-33.5</x:v>
      </x:c>
      <x:c r="F55" s="48" t="n">
        <x:f>(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(0.45*SIN(2*PI()*(((Model_Data!A55)/Inputs!$C$49)+Inputs!$C$47*0.137))+0.35*COS(2*PI()*(((Inputs!$C$6)/Inputs!$C$50)+Inputs!$C$47*0.173))+0.20*SIN(2*PI()*(((Model_Data!A55)+(Inputs!$C$6))/(0.5*(Inputs!$C$49+Inputs!$C$50))+Inputs!$C$47*0.097)))+0.30*(2*((SIN(((Model_Data!A55)*12.9898+(Inputs!$C$6)*78.233+Inputs!$C$47*37.719))*43758.5453)-INT((SIN(((Model_Data!A55)*12.9898+(Inputs!$C$6)*78.233+Inputs!$C$47*37.719))*43758.5453)))-1)))</x:f>
        <x:v>328.4448057508986</x:v>
      </x:c>
      <x:c r="G55" s="48" t="n">
        <x:f>(Inputs!$C$51*(115*EXP(-(((0)-25)^2)/(4.5^2))+70*EXP(-(((0)+38)^2)/(7^2))*(0.55+0.45*SIN(2*PI()*(Model_Data!A55)/45))+24*SIN(2*PI()*(0)/9+(Model_Data!A55)/18)*EXP(-(((0)+5)^2)/(22^2))+18*SIN(2*PI()*(Model_Data!A55)/70))+Inputs!$C$28*EXP(-(((Model_Data!A55)-Inputs!$C$29)^2)/(2*Inputs!$C$31^2))*EXP(-(((0)-Inputs!$C$30)^2)/(2*Inputs!$C$32^2))+-Inputs!$C$33*EXP(-(((((Model_Data!A55)-Inputs!$C$34)^2)+(((0)-Inputs!$C$35)^2))/(2*Inputs!$C$36^2)))+Inputs!$C$37*(0.55*SIN(2*PI()*(Model_Data!A55)/Inputs!$C$39)+0.35*COS(2*PI()*(0)/Inputs!$C$40)+0.2*SIN(2*PI()*((Model_Data!A55)+(0))/(0.5*(Inputs!$C$39+Inputs!$C$40))))+Inputs!$C$38*SIN(2*PI()*(Model_Data!A55)/Inputs!$C$39)*SIN(2*PI()*(0)/Inputs!$C$40)+-Inputs!$C$41*EXP(-(((0)-Inputs!$C$43)^2)/(2*Inputs!$C$44^2))*EXP(-(((Model_Data!A55)-Inputs!$C$42)^2)/(2*Inputs!$C$45^2))+Inputs!$C$48*(0.70*(0.45*SIN(2*PI()*(((Model_Data!A55)/Inputs!$C$49)+Inputs!$C$47*0.137))+0.35*COS(2*PI()*(((0)/Inputs!$C$50)+Inputs!$C$47*0.173))+0.20*SIN(2*PI()*(((Model_Data!A55)+(0))/(0.5*(Inputs!$C$49+Inputs!$C$50))+Inputs!$C$47*0.097)))+0.30*(2*((SIN(((Model_Data!A55)*12.9898+(0)*78.233+Inputs!$C$47*37.719))*43758.5453)-INT((SIN(((Model_Data!A55)*12.9898+(0)*78.233+Inputs!$C$47*37.719))*43758.5453)))-1)))</x:f>
        <x:v>8.500195567439437</x:v>
      </x:c>
      <x:c r="H55" s="49"/>
      <x:c r="I55" s="48" t="n">
        <x:f>Model_Data!A55</x:f>
        <x:v>-33.5</x:v>
      </x:c>
      <x:c r="J55" s="48" t="n">
        <x:f>((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(0.45*SIN(2*PI()*(((Model_Data!A55)/Inputs!$C$49)+Inputs!$C$47*0.137))+0.35*COS(2*PI()*(((Inputs!$C$6)/Inputs!$C$50)+Inputs!$C$47*0.173))+0.20*SIN(2*PI()*(((Model_Data!A55)+(Inputs!$C$6))/(0.5*(Inputs!$C$49+Inputs!$C$50))+Inputs!$C$47*0.097)))+0.30*(2*((SIN(((Model_Data!A55)*12.9898+(Inputs!$C$6)*78.233+Inputs!$C$47*37.719))*43758.5453)-INT((SIN(((Model_Data!A55)*12.9898+(Inputs!$C$6)*78.233+Inputs!$C$47*37.719))*43758.5453)))-1))))-((Inputs!$C$51*(115*EXP(-(((0)-25)^2)/(4.5^2))+70*EXP(-(((0)+38)^2)/(7^2))*(0.55+0.45*SIN(2*PI()*(Model_Data!A55)/45))+24*SIN(2*PI()*(0)/9+(Model_Data!A55)/18)*EXP(-(((0)+5)^2)/(22^2))+18*SIN(2*PI()*(Model_Data!A55)/70))+Inputs!$C$28*EXP(-(((Model_Data!A55)-Inputs!$C$29)^2)/(2*Inputs!$C$31^2))*EXP(-(((0)-Inputs!$C$30)^2)/(2*Inputs!$C$32^2))+-Inputs!$C$33*EXP(-(((((Model_Data!A55)-Inputs!$C$34)^2)+(((0)-Inputs!$C$35)^2))/(2*Inputs!$C$36^2)))+Inputs!$C$37*(0.55*SIN(2*PI()*(Model_Data!A55)/Inputs!$C$39)+0.35*COS(2*PI()*(0)/Inputs!$C$40)+0.2*SIN(2*PI()*((Model_Data!A55)+(0))/(0.5*(Inputs!$C$39+Inputs!$C$40))))+Inputs!$C$38*SIN(2*PI()*(Model_Data!A55)/Inputs!$C$39)*SIN(2*PI()*(0)/Inputs!$C$40)+-Inputs!$C$41*EXP(-(((0)-Inputs!$C$43)^2)/(2*Inputs!$C$44^2))*EXP(-(((Model_Data!A55)-Inputs!$C$42)^2)/(2*Inputs!$C$45^2))+Inputs!$C$48*(0.70*(0.45*SIN(2*PI()*(((Model_Data!A55)/Inputs!$C$49)+Inputs!$C$47*0.137))+0.35*COS(2*PI()*(((0)/Inputs!$C$50)+Inputs!$C$47*0.173))+0.20*SIN(2*PI()*(((Model_Data!A55)+(0))/(0.5*(Inputs!$C$49+Inputs!$C$50))+Inputs!$C$47*0.097)))+0.30*(2*((SIN(((Model_Data!A55)*12.9898+(0)*78.233+Inputs!$C$47*37.719))*43758.5453)-INT((SIN(((Model_Data!A55)*12.9898+(0)*78.233+Inputs!$C$47*37.719))*43758.5453)))-1))))</x:f>
        <x:v>319.94461018345913</x:v>
      </x:c>
      <x:c r="K55" s="48" t="n">
        <x:f>-((((SQRT((Model_Data!A55)^2+Inputs!$C$6^2+((Model_Data!B55)-((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(0.45*SIN(2*PI()*(((Model_Data!A55)/Inputs!$C$49)+Inputs!$C$47*0.137))+0.35*COS(2*PI()*(((Inputs!$C$6)/Inputs!$C$50)+Inputs!$C$47*0.173))+0.20*SIN(2*PI()*(((Model_Data!A55)+(Inputs!$C$6))/(0.5*(Inputs!$C$49+Inputs!$C$50))+Inputs!$C$47*0.097)))+0.30*(2*((SIN(((Model_Data!A55)*12.9898+(Inputs!$C$6)*78.233+Inputs!$C$47*37.719))*43758.5453)-INT((SIN(((Model_Data!A55)*12.9898+(Inputs!$C$6)*78.233+Inputs!$C$47*37.719))*43758.5453)))-1))))/1000)^2))-(((Model_Data!B55)-((Inputs!$C$51*(115*EXP(-(((0)-25)^2)/(4.5^2))+70*EXP(-(((0)+38)^2)/(7^2))*(0.55+0.45*SIN(2*PI()*(Model_Data!A55)/45))+24*SIN(2*PI()*(0)/9+(Model_Data!A55)/18)*EXP(-(((0)+5)^2)/(22^2))+18*SIN(2*PI()*(Model_Data!A55)/70))+Inputs!$C$28*EXP(-(((Model_Data!A55)-Inputs!$C$29)^2)/(2*Inputs!$C$31^2))*EXP(-(((0)-Inputs!$C$30)^2)/(2*Inputs!$C$32^2))+-Inputs!$C$33*EXP(-(((((Model_Data!A55)-Inputs!$C$34)^2)+(((0)-Inputs!$C$35)^2))/(2*Inputs!$C$36^2)))+Inputs!$C$37*(0.55*SIN(2*PI()*(Model_Data!A55)/Inputs!$C$39)+0.35*COS(2*PI()*(0)/Inputs!$C$40)+0.2*SIN(2*PI()*((Model_Data!A55)+(0))/(0.5*(Inputs!$C$39+Inputs!$C$40))))+Inputs!$C$38*SIN(2*PI()*(Model_Data!A55)/Inputs!$C$39)*SIN(2*PI()*(0)/Inputs!$C$40)+-Inputs!$C$41*EXP(-(((0)-Inputs!$C$43)^2)/(2*Inputs!$C$44^2))*EXP(-(((Model_Data!A55)-Inputs!$C$42)^2)/(2*Inputs!$C$45^2))+Inputs!$C$48*(0.70*(0.45*SIN(2*PI()*(((Model_Data!A55)/Inputs!$C$49)+Inputs!$C$47*0.137))+0.35*COS(2*PI()*(((0)/Inputs!$C$50)+Inputs!$C$47*0.173))+0.20*SIN(2*PI()*(((Model_Data!A55)+(0))/(0.5*(Inputs!$C$49+Inputs!$C$50))+Inputs!$C$47*0.097)))+0.30*(2*((SIN(((Model_Data!A55)*12.9898+(0)*78.233+Inputs!$C$47*37.719))*43758.5453)-INT((SIN(((Model_Data!A55)*12.9898+(0)*78.233+Inputs!$C$47*37.719))*43758.5453)))-1))))/1000)))*1000/Inputs!$C$12)-Model_Data!F55)</x:f>
        <x:v>178.75017921893073</x:v>
      </x:c>
      <x:c r="L55" s="49"/>
      <x:c r="M55" s="48" t="n">
        <x:f>Model_Data!A55</x:f>
        <x:v>-33.5</x:v>
      </x:c>
      <x:c r="N55" s="48" t="n">
        <x:f>Model_Data!P55</x:f>
        <x:v>251.33455343294068</x:v>
      </x:c>
      <x:c r="O55" s="48" t="n">
        <x:f>AC55</x:f>
        <x:v>287.4733000461674</x:v>
      </x:c>
      <x:c r="P55" s="48" t="n">
        <x:f>Model_Data!Q55</x:f>
        <x:v>37.73792093587698</x:v>
      </x:c>
      <x:c r="Q55" s="48" t="n">
        <x:f>AD55</x:f>
        <x:v>43.16415916609121</x:v>
      </x:c>
      <x:c r="R55" s="49"/>
      <x:c r="S55" s="48" t="n">
        <x:f>Model_Data!A55</x:f>
        <x:v>-33.5</x:v>
      </x:c>
      <x:c r="T55" s="48" t="n">
        <x:f>Model_Data!B55-Inputs!$C$5</x:f>
        <x:v>1.2469444444444662</x:v>
      </x:c>
      <x:c r="U55" s="49"/>
      <x:c r="V55" s="48" t="n">
        <x:f>Model_Data!A55</x:f>
        <x:v>-33.5</x:v>
      </x:c>
      <x:c r="W55" s="48" t="n">
        <x:f>(-((((SQRT((Model_Data!A55)^2+Inputs!$C$6^2+((Model_Data!B55)-((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(0.45*SIN(2*PI()*(((Model_Data!A55)/Inputs!$C$49)+Inputs!$C$47*0.137))+0.35*COS(2*PI()*(((Inputs!$C$6)/Inputs!$C$50)+Inputs!$C$47*0.173))+0.20*SIN(2*PI()*(((Model_Data!A55)+(Inputs!$C$6))/(0.5*(Inputs!$C$49+Inputs!$C$50))+Inputs!$C$47*0.097)))+0.30*(2*((SIN(((Model_Data!A55)*12.9898+(Inputs!$C$6)*78.233+Inputs!$C$47*37.719))*43758.5453)-INT((SIN(((Model_Data!A55)*12.9898+(Inputs!$C$6)*78.233+Inputs!$C$47*37.719))*43758.5453)))-1))))/1000)^2))-(((Model_Data!B55)-((Inputs!$C$51*(115*EXP(-(((0)-25)^2)/(4.5^2))+70*EXP(-(((0)+38)^2)/(7^2))*(0.55+0.45*SIN(2*PI()*(Model_Data!A55)/45))+24*SIN(2*PI()*(0)/9+(Model_Data!A55)/18)*EXP(-(((0)+5)^2)/(22^2))+18*SIN(2*PI()*(Model_Data!A55)/70))+Inputs!$C$28*EXP(-(((Model_Data!A55)-Inputs!$C$29)^2)/(2*Inputs!$C$31^2))*EXP(-(((0)-Inputs!$C$30)^2)/(2*Inputs!$C$32^2))+-Inputs!$C$33*EXP(-(((((Model_Data!A55)-Inputs!$C$34)^2)+(((0)-Inputs!$C$35)^2))/(2*Inputs!$C$36^2)))+Inputs!$C$37*(0.55*SIN(2*PI()*(Model_Data!A55)/Inputs!$C$39)+0.35*COS(2*PI()*(0)/Inputs!$C$40)+0.2*SIN(2*PI()*((Model_Data!A55)+(0))/(0.5*(Inputs!$C$39+Inputs!$C$40))))+Inputs!$C$38*SIN(2*PI()*(Model_Data!A55)/Inputs!$C$39)*SIN(2*PI()*(0)/Inputs!$C$40)+-Inputs!$C$41*EXP(-(((0)-Inputs!$C$43)^2)/(2*Inputs!$C$44^2))*EXP(-(((Model_Data!A55)-Inputs!$C$42)^2)/(2*Inputs!$C$45^2))+Inputs!$C$48*(0.70*(0.45*SIN(2*PI()*(((Model_Data!A55)/Inputs!$C$49)+Inputs!$C$47*0.137))+0.35*COS(2*PI()*(((0)/Inputs!$C$50)+Inputs!$C$47*0.173))+0.20*SIN(2*PI()*(((Model_Data!A55)+(0))/(0.5*(Inputs!$C$49+Inputs!$C$50))+Inputs!$C$47*0.097)))+0.30*(2*((SIN(((Model_Data!A55)*12.9898+(0)*78.233+Inputs!$C$47*37.719))*43758.5453)-INT((SIN(((Model_Data!A55)*12.9898+(0)*78.233+Inputs!$C$47*37.719))*43758.5453)))-1))))/1000)))*1000/Inputs!$C$12)-Model_Data!F55))-(-(((SQRT((Model_Data!A55)^2+Inputs!$C$6^2+(Inputs!$C$5-((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(0.45*SIN(2*PI()*(((Model_Data!A55)/Inputs!$C$49)+Inputs!$C$47*0.137))+0.35*COS(2*PI()*(((Inputs!$C$6)/Inputs!$C$50)+Inputs!$C$47*0.173))+0.20*SIN(2*PI()*(((Model_Data!A55)+(Inputs!$C$6))/(0.5*(Inputs!$C$49+Inputs!$C$50))+Inputs!$C$47*0.097)))+0.30*(2*((SIN(((Model_Data!A55)*12.9898+(Inputs!$C$6)*78.233+Inputs!$C$47*37.719))*43758.5453)-INT((SIN(((Model_Data!A55)*12.9898+(Inputs!$C$6)*78.233+Inputs!$C$47*37.719))*43758.5453)))-1))))/1000)^2)-(Inputs!$C$5-((Inputs!$C$51*(115*EXP(-(((0)-25)^2)/(4.5^2))+70*EXP(-(((0)+38)^2)/(7^2))*(0.55+0.45*SIN(2*PI()*(Model_Data!A55)/45))+24*SIN(2*PI()*(0)/9+(Model_Data!A55)/18)*EXP(-(((0)+5)^2)/(22^2))+18*SIN(2*PI()*(Model_Data!A55)/70))+Inputs!$C$28*EXP(-(((Model_Data!A55)-Inputs!$C$29)^2)/(2*Inputs!$C$31^2))*EXP(-(((0)-Inputs!$C$30)^2)/(2*Inputs!$C$32^2))+-Inputs!$C$33*EXP(-(((((Model_Data!A55)-Inputs!$C$34)^2)+(((0)-Inputs!$C$35)^2))/(2*Inputs!$C$36^2)))+Inputs!$C$37*(0.55*SIN(2*PI()*(Model_Data!A55)/Inputs!$C$39)+0.35*COS(2*PI()*(0)/Inputs!$C$40)+0.2*SIN(2*PI()*((Model_Data!A55)+(0))/(0.5*(Inputs!$C$39+Inputs!$C$40))))+Inputs!$C$38*SIN(2*PI()*(Model_Data!A55)/Inputs!$C$39)*SIN(2*PI()*(0)/Inputs!$C$40)+-Inputs!$C$41*EXP(-(((0)-Inputs!$C$43)^2)/(2*Inputs!$C$44^2))*EXP(-(((Model_Data!A55)-Inputs!$C$42)^2)/(2*Inputs!$C$45^2))+Inputs!$C$48*(0.70*(0.45*SIN(2*PI()*(((Model_Data!A55)/Inputs!$C$49)+Inputs!$C$47*0.137))+0.35*COS(2*PI()*(((0)/Inputs!$C$50)+Inputs!$C$47*0.173))+0.20*SIN(2*PI()*(((Model_Data!A55)+(0))/(0.5*(Inputs!$C$49+Inputs!$C$50))+Inputs!$C$47*0.097)))+0.30*(2*((SIN(((Model_Data!A55)*12.9898+(0)*78.233+Inputs!$C$47*37.719))*43758.5453)-INT((SIN(((Model_Data!A55)*12.9898+(0)*78.233+Inputs!$C$47*37.719))*43758.5453)))-1))))/1000))*1000/Inputs!$C$12)-((SQRT((Model_Data!A55)^2+Inputs!$C$6^2+Inputs!$C$5^2)-Inputs!$C$5)*1000/Inputs!$C$12)))</x:f>
        <x:v>0.006159032622463201</x:v>
      </x:c>
      <x:c r="X55" s="48" t="n">
        <x:f>0</x:f>
        <x:v>0</x:v>
      </x:c>
      <x:c r="Y55" s="49"/>
      <x:c r="Z55" s="48" t="n">
        <x:f>Model_Data!A55</x:f>
        <x:v>-33.5</x:v>
      </x:c>
      <x:c r="AA55" s="48" t="n">
        <x:f>SQRT((Model_Data!A55)^2+Inputs!$C$6^2+((Model_Data!B55)-((Inputs!$C$51*(115*EXP(-(((Inputs!$C$6)-25)^2)/(4.5^2))+70*EXP(-(((Inputs!$C$6)+38)^2)/(7^2))*(0.55+0.45*SIN(2*PI()*(Model_Data!A55)/45))+24*SIN(2*PI()*(Inputs!$C$6)/9+(Model_Data!A55)/18)*EXP(-(((Inputs!$C$6)+5)^2)/(22^2))+18*SIN(2*PI()*(Model_Data!A55)/70))+Inputs!$C$28*EXP(-(((Model_Data!A55)-Inputs!$C$29)^2)/(2*Inputs!$C$31^2))*EXP(-(((Inputs!$C$6)-Inputs!$C$30)^2)/(2*Inputs!$C$32^2))+-Inputs!$C$33*EXP(-(((((Model_Data!A55)-Inputs!$C$34)^2)+(((Inputs!$C$6)-Inputs!$C$35)^2))/(2*Inputs!$C$36^2)))+Inputs!$C$37*(0.55*SIN(2*PI()*(Model_Data!A55)/Inputs!$C$39)+0.35*COS(2*PI()*(Inputs!$C$6)/Inputs!$C$40)+0.2*SIN(2*PI()*((Model_Data!A55)+(Inputs!$C$6))/(0.5*(Inputs!$C$39+Inputs!$C$40))))+Inputs!$C$38*SIN(2*PI()*(Model_Data!A55)/Inputs!$C$39)*SIN(2*PI()*(Inputs!$C$6)/Inputs!$C$40)+-Inputs!$C$41*EXP(-(((Inputs!$C$6)-Inputs!$C$43)^2)/(2*Inputs!$C$44^2))*EXP(-(((Model_Data!A55)-Inputs!$C$42)^2)/(2*Inputs!$C$45^2))+Inputs!$C$48*(0.70*(0.45*SIN(2*PI()*(((Model_Data!A55)/Inputs!$C$49)+Inputs!$C$47*0.137))+0.35*COS(2*PI()*(((Inputs!$C$6)/Inputs!$C$50)+Inputs!$C$47*0.173))+0.20*SIN(2*PI()*(((Model_Data!A55)+(Inputs!$C$6))/(0.5*(Inputs!$C$49+Inputs!$C$50))+Inputs!$C$47*0.097)))+0.30*(2*((SIN(((Model_Data!A55)*12.9898+(Inputs!$C$6)*78.233+Inputs!$C$47*37.719))*43758.5453)-INT((SIN(((Model_Data!A55)*12.9898+(Inputs!$C$6)*78.233+Inputs!$C$47*37.719))*43758.5453)))-1))))/1000)^2)</x:f>
        <x:v>403.0916686717069</x:v>
      </x:c>
      <x:c r="AB55" s="48" t="n">
        <x:f>1000*(AA56-AA54)/(Z56-Z54)*Inputs!$C$11</x:f>
        <x:v>-718.6832501154186</x:v>
      </x:c>
      <x:c r="AC55" s="48" t="n">
        <x:f>-2*AB55/Inputs!$C$13</x:f>
        <x:v>287.4733000461674</x:v>
      </x:c>
      <x:c r="AD55" s="48" t="n">
        <x:f>-2*AB55/Inputs!$C$14</x:f>
        <x:v>43.16415916609121</x:v>
      </x:c>
    </x:row>
    <x:row r="56">
      <x:c r="A56" s="48" t="n">
        <x:f>Model_Data!A56</x:f>
        <x:v>-33</x:v>
      </x:c>
      <x:c r="B56" s="48" t="n">
        <x:f>Model_Data!F56</x:f>
        <x:v>1196.8440626483268</x:v>
      </x:c>
      <x:c r="C56" s="48" t="n">
        <x:f>(((SQRT((Model_Data!A56)^2+Inputs!$C$6^2+((Model_Data!B56)-((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(0.45*SIN(2*PI()*(((Model_Data!A56)/Inputs!$C$49)+Inputs!$C$47*0.137))+0.35*COS(2*PI()*(((Inputs!$C$6)/Inputs!$C$50)+Inputs!$C$47*0.173))+0.20*SIN(2*PI()*(((Model_Data!A56)+(Inputs!$C$6))/(0.5*(Inputs!$C$49+Inputs!$C$50))+Inputs!$C$47*0.097)))+0.30*(2*((SIN(((Model_Data!A56)*12.9898+(Inputs!$C$6)*78.233+Inputs!$C$47*37.719))*43758.5453)-INT((SIN(((Model_Data!A56)*12.9898+(Inputs!$C$6)*78.233+Inputs!$C$47*37.719))*43758.5453)))-1))))/1000)^2))-(((Model_Data!B56)-((Inputs!$C$51*(115*EXP(-(((0)-25)^2)/(4.5^2))+70*EXP(-(((0)+38)^2)/(7^2))*(0.55+0.45*SIN(2*PI()*(Model_Data!A56)/45))+24*SIN(2*PI()*(0)/9+(Model_Data!A56)/18)*EXP(-(((0)+5)^2)/(22^2))+18*SIN(2*PI()*(Model_Data!A56)/70))+Inputs!$C$28*EXP(-(((Model_Data!A56)-Inputs!$C$29)^2)/(2*Inputs!$C$31^2))*EXP(-(((0)-Inputs!$C$30)^2)/(2*Inputs!$C$32^2))+-Inputs!$C$33*EXP(-(((((Model_Data!A56)-Inputs!$C$34)^2)+(((0)-Inputs!$C$35)^2))/(2*Inputs!$C$36^2)))+Inputs!$C$37*(0.55*SIN(2*PI()*(Model_Data!A56)/Inputs!$C$39)+0.35*COS(2*PI()*(0)/Inputs!$C$40)+0.2*SIN(2*PI()*((Model_Data!A56)+(0))/(0.5*(Inputs!$C$39+Inputs!$C$40))))+Inputs!$C$38*SIN(2*PI()*(Model_Data!A56)/Inputs!$C$39)*SIN(2*PI()*(0)/Inputs!$C$40)+-Inputs!$C$41*EXP(-(((0)-Inputs!$C$43)^2)/(2*Inputs!$C$44^2))*EXP(-(((Model_Data!A56)-Inputs!$C$42)^2)/(2*Inputs!$C$45^2))+Inputs!$C$48*(0.70*(0.45*SIN(2*PI()*(((Model_Data!A56)/Inputs!$C$49)+Inputs!$C$47*0.137))+0.35*COS(2*PI()*(((0)/Inputs!$C$50)+Inputs!$C$47*0.173))+0.20*SIN(2*PI()*(((Model_Data!A56)+(0))/(0.5*(Inputs!$C$49+Inputs!$C$50))+Inputs!$C$47*0.097)))+0.30*(2*((SIN(((Model_Data!A56)*12.9898+(0)*78.233+Inputs!$C$47*37.719))*43758.5453)-INT((SIN(((Model_Data!A56)*12.9898+(0)*78.233+Inputs!$C$47*37.719))*43758.5453)))-1))))/1000)))*1000/Inputs!$C$12)</x:f>
        <x:v>1012.9317453223404</x:v>
      </x:c>
      <x:c r="D56" s="49"/>
      <x:c r="E56" s="48" t="n">
        <x:f>Model_Data!A56</x:f>
        <x:v>-33</x:v>
      </x:c>
      <x:c r="F56" s="48" t="n">
        <x:f>(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(0.45*SIN(2*PI()*(((Model_Data!A56)/Inputs!$C$49)+Inputs!$C$47*0.137))+0.35*COS(2*PI()*(((Inputs!$C$6)/Inputs!$C$50)+Inputs!$C$47*0.173))+0.20*SIN(2*PI()*(((Model_Data!A56)+(Inputs!$C$6))/(0.5*(Inputs!$C$49+Inputs!$C$50))+Inputs!$C$47*0.097)))+0.30*(2*((SIN(((Model_Data!A56)*12.9898+(Inputs!$C$6)*78.233+Inputs!$C$47*37.719))*43758.5453)-INT((SIN(((Model_Data!A56)*12.9898+(Inputs!$C$6)*78.233+Inputs!$C$47*37.719))*43758.5453)))-1)))</x:f>
        <x:v>342.0571204684842</x:v>
      </x:c>
      <x:c r="G56" s="48" t="n">
        <x:f>(Inputs!$C$51*(115*EXP(-(((0)-25)^2)/(4.5^2))+70*EXP(-(((0)+38)^2)/(7^2))*(0.55+0.45*SIN(2*PI()*(Model_Data!A56)/45))+24*SIN(2*PI()*(0)/9+(Model_Data!A56)/18)*EXP(-(((0)+5)^2)/(22^2))+18*SIN(2*PI()*(Model_Data!A56)/70))+Inputs!$C$28*EXP(-(((Model_Data!A56)-Inputs!$C$29)^2)/(2*Inputs!$C$31^2))*EXP(-(((0)-Inputs!$C$30)^2)/(2*Inputs!$C$32^2))+-Inputs!$C$33*EXP(-(((((Model_Data!A56)-Inputs!$C$34)^2)+(((0)-Inputs!$C$35)^2))/(2*Inputs!$C$36^2)))+Inputs!$C$37*(0.55*SIN(2*PI()*(Model_Data!A56)/Inputs!$C$39)+0.35*COS(2*PI()*(0)/Inputs!$C$40)+0.2*SIN(2*PI()*((Model_Data!A56)+(0))/(0.5*(Inputs!$C$39+Inputs!$C$40))))+Inputs!$C$38*SIN(2*PI()*(Model_Data!A56)/Inputs!$C$39)*SIN(2*PI()*(0)/Inputs!$C$40)+-Inputs!$C$41*EXP(-(((0)-Inputs!$C$43)^2)/(2*Inputs!$C$44^2))*EXP(-(((Model_Data!A56)-Inputs!$C$42)^2)/(2*Inputs!$C$45^2))+Inputs!$C$48*(0.70*(0.45*SIN(2*PI()*(((Model_Data!A56)/Inputs!$C$49)+Inputs!$C$47*0.137))+0.35*COS(2*PI()*(((0)/Inputs!$C$50)+Inputs!$C$47*0.173))+0.20*SIN(2*PI()*(((Model_Data!A56)+(0))/(0.5*(Inputs!$C$49+Inputs!$C$50))+Inputs!$C$47*0.097)))+0.30*(2*((SIN(((Model_Data!A56)*12.9898+(0)*78.233+Inputs!$C$47*37.719))*43758.5453)-INT((SIN(((Model_Data!A56)*12.9898+(0)*78.233+Inputs!$C$47*37.719))*43758.5453)))-1)))</x:f>
        <x:v>12.884972617306985</x:v>
      </x:c>
      <x:c r="H56" s="49"/>
      <x:c r="I56" s="48" t="n">
        <x:f>Model_Data!A56</x:f>
        <x:v>-33</x:v>
      </x:c>
      <x:c r="J56" s="48" t="n">
        <x:f>((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(0.45*SIN(2*PI()*(((Model_Data!A56)/Inputs!$C$49)+Inputs!$C$47*0.137))+0.35*COS(2*PI()*(((Inputs!$C$6)/Inputs!$C$50)+Inputs!$C$47*0.173))+0.20*SIN(2*PI()*(((Model_Data!A56)+(Inputs!$C$6))/(0.5*(Inputs!$C$49+Inputs!$C$50))+Inputs!$C$47*0.097)))+0.30*(2*((SIN(((Model_Data!A56)*12.9898+(Inputs!$C$6)*78.233+Inputs!$C$47*37.719))*43758.5453)-INT((SIN(((Model_Data!A56)*12.9898+(Inputs!$C$6)*78.233+Inputs!$C$47*37.719))*43758.5453)))-1))))-((Inputs!$C$51*(115*EXP(-(((0)-25)^2)/(4.5^2))+70*EXP(-(((0)+38)^2)/(7^2))*(0.55+0.45*SIN(2*PI()*(Model_Data!A56)/45))+24*SIN(2*PI()*(0)/9+(Model_Data!A56)/18)*EXP(-(((0)+5)^2)/(22^2))+18*SIN(2*PI()*(Model_Data!A56)/70))+Inputs!$C$28*EXP(-(((Model_Data!A56)-Inputs!$C$29)^2)/(2*Inputs!$C$31^2))*EXP(-(((0)-Inputs!$C$30)^2)/(2*Inputs!$C$32^2))+-Inputs!$C$33*EXP(-(((((Model_Data!A56)-Inputs!$C$34)^2)+(((0)-Inputs!$C$35)^2))/(2*Inputs!$C$36^2)))+Inputs!$C$37*(0.55*SIN(2*PI()*(Model_Data!A56)/Inputs!$C$39)+0.35*COS(2*PI()*(0)/Inputs!$C$40)+0.2*SIN(2*PI()*((Model_Data!A56)+(0))/(0.5*(Inputs!$C$39+Inputs!$C$40))))+Inputs!$C$38*SIN(2*PI()*(Model_Data!A56)/Inputs!$C$39)*SIN(2*PI()*(0)/Inputs!$C$40)+-Inputs!$C$41*EXP(-(((0)-Inputs!$C$43)^2)/(2*Inputs!$C$44^2))*EXP(-(((Model_Data!A56)-Inputs!$C$42)^2)/(2*Inputs!$C$45^2))+Inputs!$C$48*(0.70*(0.45*SIN(2*PI()*(((Model_Data!A56)/Inputs!$C$49)+Inputs!$C$47*0.137))+0.35*COS(2*PI()*(((0)/Inputs!$C$50)+Inputs!$C$47*0.173))+0.20*SIN(2*PI()*(((Model_Data!A56)+(0))/(0.5*(Inputs!$C$49+Inputs!$C$50))+Inputs!$C$47*0.097)))+0.30*(2*((SIN(((Model_Data!A56)*12.9898+(0)*78.233+Inputs!$C$47*37.719))*43758.5453)-INT((SIN(((Model_Data!A56)*12.9898+(0)*78.233+Inputs!$C$47*37.719))*43758.5453)))-1))))</x:f>
        <x:v>329.1721478511772</x:v>
      </x:c>
      <x:c r="K56" s="48" t="n">
        <x:f>-((((SQRT((Model_Data!A56)^2+Inputs!$C$6^2+((Model_Data!B56)-((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(0.45*SIN(2*PI()*(((Model_Data!A56)/Inputs!$C$49)+Inputs!$C$47*0.137))+0.35*COS(2*PI()*(((Inputs!$C$6)/Inputs!$C$50)+Inputs!$C$47*0.173))+0.20*SIN(2*PI()*(((Model_Data!A56)+(Inputs!$C$6))/(0.5*(Inputs!$C$49+Inputs!$C$50))+Inputs!$C$47*0.097)))+0.30*(2*((SIN(((Model_Data!A56)*12.9898+(Inputs!$C$6)*78.233+Inputs!$C$47*37.719))*43758.5453)-INT((SIN(((Model_Data!A56)*12.9898+(Inputs!$C$6)*78.233+Inputs!$C$47*37.719))*43758.5453)))-1))))/1000)^2))-(((Model_Data!B56)-((Inputs!$C$51*(115*EXP(-(((0)-25)^2)/(4.5^2))+70*EXP(-(((0)+38)^2)/(7^2))*(0.55+0.45*SIN(2*PI()*(Model_Data!A56)/45))+24*SIN(2*PI()*(0)/9+(Model_Data!A56)/18)*EXP(-(((0)+5)^2)/(22^2))+18*SIN(2*PI()*(Model_Data!A56)/70))+Inputs!$C$28*EXP(-(((Model_Data!A56)-Inputs!$C$29)^2)/(2*Inputs!$C$31^2))*EXP(-(((0)-Inputs!$C$30)^2)/(2*Inputs!$C$32^2))+-Inputs!$C$33*EXP(-(((((Model_Data!A56)-Inputs!$C$34)^2)+(((0)-Inputs!$C$35)^2))/(2*Inputs!$C$36^2)))+Inputs!$C$37*(0.55*SIN(2*PI()*(Model_Data!A56)/Inputs!$C$39)+0.35*COS(2*PI()*(0)/Inputs!$C$40)+0.2*SIN(2*PI()*((Model_Data!A56)+(0))/(0.5*(Inputs!$C$39+Inputs!$C$40))))+Inputs!$C$38*SIN(2*PI()*(Model_Data!A56)/Inputs!$C$39)*SIN(2*PI()*(0)/Inputs!$C$40)+-Inputs!$C$41*EXP(-(((0)-Inputs!$C$43)^2)/(2*Inputs!$C$44^2))*EXP(-(((Model_Data!A56)-Inputs!$C$42)^2)/(2*Inputs!$C$45^2))+Inputs!$C$48*(0.70*(0.45*SIN(2*PI()*(((Model_Data!A56)/Inputs!$C$49)+Inputs!$C$47*0.137))+0.35*COS(2*PI()*(((0)/Inputs!$C$50)+Inputs!$C$47*0.173))+0.20*SIN(2*PI()*(((Model_Data!A56)+(0))/(0.5*(Inputs!$C$49+Inputs!$C$50))+Inputs!$C$47*0.097)))+0.30*(2*((SIN(((Model_Data!A56)*12.9898+(0)*78.233+Inputs!$C$47*37.719))*43758.5453)-INT((SIN(((Model_Data!A56)*12.9898+(0)*78.233+Inputs!$C$47*37.719))*43758.5453)))-1))))/1000)))*1000/Inputs!$C$12)-Model_Data!F56)</x:f>
        <x:v>183.91231732598646</x:v>
      </x:c>
      <x:c r="L56" s="49"/>
      <x:c r="M56" s="48" t="n">
        <x:f>Model_Data!A56</x:f>
        <x:v>-33</x:v>
      </x:c>
      <x:c r="N56" s="48" t="n">
        <x:f>Model_Data!P56</x:f>
        <x:v>247.62039958551682</x:v>
      </x:c>
      <x:c r="O56" s="48" t="n">
        <x:f>AC56</x:f>
        <x:v>283.49622463410924</x:v>
      </x:c>
      <x:c r="P56" s="48" t="n">
        <x:f>Model_Data!Q56</x:f>
        <x:v>37.18024017800553</x:v>
      </x:c>
      <x:c r="Q56" s="48" t="n">
        <x:f>AD56</x:f>
        <x:v>42.567000695812204</x:v>
      </x:c>
      <x:c r="R56" s="49"/>
      <x:c r="S56" s="48" t="n">
        <x:f>Model_Data!A56</x:f>
        <x:v>-33</x:v>
      </x:c>
      <x:c r="T56" s="48" t="n">
        <x:f>Model_Data!B56-Inputs!$C$5</x:f>
        <x:v>1.2099999999999795</x:v>
      </x:c>
      <x:c r="U56" s="49"/>
      <x:c r="V56" s="48" t="n">
        <x:f>Model_Data!A56</x:f>
        <x:v>-33</x:v>
      </x:c>
      <x:c r="W56" s="48" t="n">
        <x:f>(-((((SQRT((Model_Data!A56)^2+Inputs!$C$6^2+((Model_Data!B56)-((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(0.45*SIN(2*PI()*(((Model_Data!A56)/Inputs!$C$49)+Inputs!$C$47*0.137))+0.35*COS(2*PI()*(((Inputs!$C$6)/Inputs!$C$50)+Inputs!$C$47*0.173))+0.20*SIN(2*PI()*(((Model_Data!A56)+(Inputs!$C$6))/(0.5*(Inputs!$C$49+Inputs!$C$50))+Inputs!$C$47*0.097)))+0.30*(2*((SIN(((Model_Data!A56)*12.9898+(Inputs!$C$6)*78.233+Inputs!$C$47*37.719))*43758.5453)-INT((SIN(((Model_Data!A56)*12.9898+(Inputs!$C$6)*78.233+Inputs!$C$47*37.719))*43758.5453)))-1))))/1000)^2))-(((Model_Data!B56)-((Inputs!$C$51*(115*EXP(-(((0)-25)^2)/(4.5^2))+70*EXP(-(((0)+38)^2)/(7^2))*(0.55+0.45*SIN(2*PI()*(Model_Data!A56)/45))+24*SIN(2*PI()*(0)/9+(Model_Data!A56)/18)*EXP(-(((0)+5)^2)/(22^2))+18*SIN(2*PI()*(Model_Data!A56)/70))+Inputs!$C$28*EXP(-(((Model_Data!A56)-Inputs!$C$29)^2)/(2*Inputs!$C$31^2))*EXP(-(((0)-Inputs!$C$30)^2)/(2*Inputs!$C$32^2))+-Inputs!$C$33*EXP(-(((((Model_Data!A56)-Inputs!$C$34)^2)+(((0)-Inputs!$C$35)^2))/(2*Inputs!$C$36^2)))+Inputs!$C$37*(0.55*SIN(2*PI()*(Model_Data!A56)/Inputs!$C$39)+0.35*COS(2*PI()*(0)/Inputs!$C$40)+0.2*SIN(2*PI()*((Model_Data!A56)+(0))/(0.5*(Inputs!$C$39+Inputs!$C$40))))+Inputs!$C$38*SIN(2*PI()*(Model_Data!A56)/Inputs!$C$39)*SIN(2*PI()*(0)/Inputs!$C$40)+-Inputs!$C$41*EXP(-(((0)-Inputs!$C$43)^2)/(2*Inputs!$C$44^2))*EXP(-(((Model_Data!A56)-Inputs!$C$42)^2)/(2*Inputs!$C$45^2))+Inputs!$C$48*(0.70*(0.45*SIN(2*PI()*(((Model_Data!A56)/Inputs!$C$49)+Inputs!$C$47*0.137))+0.35*COS(2*PI()*(((0)/Inputs!$C$50)+Inputs!$C$47*0.173))+0.20*SIN(2*PI()*(((Model_Data!A56)+(0))/(0.5*(Inputs!$C$49+Inputs!$C$50))+Inputs!$C$47*0.097)))+0.30*(2*((SIN(((Model_Data!A56)*12.9898+(0)*78.233+Inputs!$C$47*37.719))*43758.5453)-INT((SIN(((Model_Data!A56)*12.9898+(0)*78.233+Inputs!$C$47*37.719))*43758.5453)))-1))))/1000)))*1000/Inputs!$C$12)-Model_Data!F56))-(-(((SQRT((Model_Data!A56)^2+Inputs!$C$6^2+(Inputs!$C$5-((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(0.45*SIN(2*PI()*(((Model_Data!A56)/Inputs!$C$49)+Inputs!$C$47*0.137))+0.35*COS(2*PI()*(((Inputs!$C$6)/Inputs!$C$50)+Inputs!$C$47*0.173))+0.20*SIN(2*PI()*(((Model_Data!A56)+(Inputs!$C$6))/(0.5*(Inputs!$C$49+Inputs!$C$50))+Inputs!$C$47*0.097)))+0.30*(2*((SIN(((Model_Data!A56)*12.9898+(Inputs!$C$6)*78.233+Inputs!$C$47*37.719))*43758.5453)-INT((SIN(((Model_Data!A56)*12.9898+(Inputs!$C$6)*78.233+Inputs!$C$47*37.719))*43758.5453)))-1))))/1000)^2)-(Inputs!$C$5-((Inputs!$C$51*(115*EXP(-(((0)-25)^2)/(4.5^2))+70*EXP(-(((0)+38)^2)/(7^2))*(0.55+0.45*SIN(2*PI()*(Model_Data!A56)/45))+24*SIN(2*PI()*(0)/9+(Model_Data!A56)/18)*EXP(-(((0)+5)^2)/(22^2))+18*SIN(2*PI()*(Model_Data!A56)/70))+Inputs!$C$28*EXP(-(((Model_Data!A56)-Inputs!$C$29)^2)/(2*Inputs!$C$31^2))*EXP(-(((0)-Inputs!$C$30)^2)/(2*Inputs!$C$32^2))+-Inputs!$C$33*EXP(-(((((Model_Data!A56)-Inputs!$C$34)^2)+(((0)-Inputs!$C$35)^2))/(2*Inputs!$C$36^2)))+Inputs!$C$37*(0.55*SIN(2*PI()*(Model_Data!A56)/Inputs!$C$39)+0.35*COS(2*PI()*(0)/Inputs!$C$40)+0.2*SIN(2*PI()*((Model_Data!A56)+(0))/(0.5*(Inputs!$C$39+Inputs!$C$40))))+Inputs!$C$38*SIN(2*PI()*(Model_Data!A56)/Inputs!$C$39)*SIN(2*PI()*(0)/Inputs!$C$40)+-Inputs!$C$41*EXP(-(((0)-Inputs!$C$43)^2)/(2*Inputs!$C$44^2))*EXP(-(((Model_Data!A56)-Inputs!$C$42)^2)/(2*Inputs!$C$45^2))+Inputs!$C$48*(0.70*(0.45*SIN(2*PI()*(((Model_Data!A56)/Inputs!$C$49)+Inputs!$C$47*0.137))+0.35*COS(2*PI()*(((0)/Inputs!$C$50)+Inputs!$C$47*0.173))+0.20*SIN(2*PI()*(((Model_Data!A56)+(0))/(0.5*(Inputs!$C$49+Inputs!$C$50))+Inputs!$C$47*0.097)))+0.30*(2*((SIN(((Model_Data!A56)*12.9898+(0)*78.233+Inputs!$C$47*37.719))*43758.5453)-INT((SIN(((Model_Data!A56)*12.9898+(0)*78.233+Inputs!$C$47*37.719))*43758.5453)))-1))))/1000))*1000/Inputs!$C$12)-((SQRT((Model_Data!A56)^2+Inputs!$C$6^2+Inputs!$C$5^2)-Inputs!$C$5)*1000/Inputs!$C$12)))</x:f>
        <x:v>0.0061088248107807885</x:v>
      </x:c>
      <x:c r="X56" s="48" t="n">
        <x:f>0</x:f>
        <x:v>0</x:v>
      </x:c>
      <x:c r="Y56" s="49"/>
      <x:c r="Z56" s="48" t="n">
        <x:f>Model_Data!A56</x:f>
        <x:v>-33</x:v>
      </x:c>
      <x:c r="AA56" s="48" t="n">
        <x:f>SQRT((Model_Data!A56)^2+Inputs!$C$6^2+((Model_Data!B56)-((Inputs!$C$51*(115*EXP(-(((Inputs!$C$6)-25)^2)/(4.5^2))+70*EXP(-(((Inputs!$C$6)+38)^2)/(7^2))*(0.55+0.45*SIN(2*PI()*(Model_Data!A56)/45))+24*SIN(2*PI()*(Inputs!$C$6)/9+(Model_Data!A56)/18)*EXP(-(((Inputs!$C$6)+5)^2)/(22^2))+18*SIN(2*PI()*(Model_Data!A56)/70))+Inputs!$C$28*EXP(-(((Model_Data!A56)-Inputs!$C$29)^2)/(2*Inputs!$C$31^2))*EXP(-(((Inputs!$C$6)-Inputs!$C$30)^2)/(2*Inputs!$C$32^2))+-Inputs!$C$33*EXP(-(((((Model_Data!A56)-Inputs!$C$34)^2)+(((Inputs!$C$6)-Inputs!$C$35)^2))/(2*Inputs!$C$36^2)))+Inputs!$C$37*(0.55*SIN(2*PI()*(Model_Data!A56)/Inputs!$C$39)+0.35*COS(2*PI()*(Inputs!$C$6)/Inputs!$C$40)+0.2*SIN(2*PI()*((Model_Data!A56)+(Inputs!$C$6))/(0.5*(Inputs!$C$39+Inputs!$C$40))))+Inputs!$C$38*SIN(2*PI()*(Model_Data!A56)/Inputs!$C$39)*SIN(2*PI()*(Inputs!$C$6)/Inputs!$C$40)+-Inputs!$C$41*EXP(-(((Inputs!$C$6)-Inputs!$C$43)^2)/(2*Inputs!$C$44^2))*EXP(-(((Model_Data!A56)-Inputs!$C$42)^2)/(2*Inputs!$C$45^2))+Inputs!$C$48*(0.70*(0.45*SIN(2*PI()*(((Model_Data!A56)/Inputs!$C$49)+Inputs!$C$47*0.137))+0.35*COS(2*PI()*(((Inputs!$C$6)/Inputs!$C$50)+Inputs!$C$47*0.173))+0.20*SIN(2*PI()*(((Model_Data!A56)+(Inputs!$C$6))/(0.5*(Inputs!$C$49+Inputs!$C$50))+Inputs!$C$47*0.097)))+0.30*(2*((SIN(((Model_Data!A56)*12.9898+(Inputs!$C$6)*78.233+Inputs!$C$47*37.719))*43758.5453)-INT((SIN(((Model_Data!A56)*12.9898+(Inputs!$C$6)*78.233+Inputs!$C$47*37.719))*43758.5453)))-1))))/1000)^2)</x:f>
        <x:v>403.00013353405643</x:v>
      </x:c>
      <x:c r="AB56" s="48" t="n">
        <x:f>1000*(AA57-AA55)/(Z57-Z55)*Inputs!$C$11</x:f>
        <x:v>-708.7405615852731</x:v>
      </x:c>
      <x:c r="AC56" s="48" t="n">
        <x:f>-2*AB56/Inputs!$C$13</x:f>
        <x:v>283.49622463410924</x:v>
      </x:c>
      <x:c r="AD56" s="48" t="n">
        <x:f>-2*AB56/Inputs!$C$14</x:f>
        <x:v>42.567000695812204</x:v>
      </x:c>
    </x:row>
    <x:row r="57">
      <x:c r="A57" s="48" t="n">
        <x:f>Model_Data!A57</x:f>
        <x:v>-32.5</x:v>
      </x:c>
      <x:c r="B57" s="48" t="n">
        <x:f>Model_Data!F57</x:f>
        <x:v>1174.1407290190098</x:v>
      </x:c>
      <x:c r="C57" s="48" t="n">
        <x:f>(((SQRT((Model_Data!A57)^2+Inputs!$C$6^2+((Model_Data!B57)-((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(0.45*SIN(2*PI()*(((Model_Data!A57)/Inputs!$C$49)+Inputs!$C$47*0.137))+0.35*COS(2*PI()*(((Inputs!$C$6)/Inputs!$C$50)+Inputs!$C$47*0.173))+0.20*SIN(2*PI()*(((Model_Data!A57)+(Inputs!$C$6))/(0.5*(Inputs!$C$49+Inputs!$C$50))+Inputs!$C$47*0.097)))+0.30*(2*((SIN(((Model_Data!A57)*12.9898+(Inputs!$C$6)*78.233+Inputs!$C$47*37.719))*43758.5453)-INT((SIN(((Model_Data!A57)*12.9898+(Inputs!$C$6)*78.233+Inputs!$C$47*37.719))*43758.5453)))-1))))/1000)^2))-(((Model_Data!B57)-((Inputs!$C$51*(115*EXP(-(((0)-25)^2)/(4.5^2))+70*EXP(-(((0)+38)^2)/(7^2))*(0.55+0.45*SIN(2*PI()*(Model_Data!A57)/45))+24*SIN(2*PI()*(0)/9+(Model_Data!A57)/18)*EXP(-(((0)+5)^2)/(22^2))+18*SIN(2*PI()*(Model_Data!A57)/70))+Inputs!$C$28*EXP(-(((Model_Data!A57)-Inputs!$C$29)^2)/(2*Inputs!$C$31^2))*EXP(-(((0)-Inputs!$C$30)^2)/(2*Inputs!$C$32^2))+-Inputs!$C$33*EXP(-(((((Model_Data!A57)-Inputs!$C$34)^2)+(((0)-Inputs!$C$35)^2))/(2*Inputs!$C$36^2)))+Inputs!$C$37*(0.55*SIN(2*PI()*(Model_Data!A57)/Inputs!$C$39)+0.35*COS(2*PI()*(0)/Inputs!$C$40)+0.2*SIN(2*PI()*((Model_Data!A57)+(0))/(0.5*(Inputs!$C$39+Inputs!$C$40))))+Inputs!$C$38*SIN(2*PI()*(Model_Data!A57)/Inputs!$C$39)*SIN(2*PI()*(0)/Inputs!$C$40)+-Inputs!$C$41*EXP(-(((0)-Inputs!$C$43)^2)/(2*Inputs!$C$44^2))*EXP(-(((Model_Data!A57)-Inputs!$C$42)^2)/(2*Inputs!$C$45^2))+Inputs!$C$48*(0.70*(0.45*SIN(2*PI()*(((Model_Data!A57)/Inputs!$C$49)+Inputs!$C$47*0.137))+0.35*COS(2*PI()*(((0)/Inputs!$C$50)+Inputs!$C$47*0.173))+0.20*SIN(2*PI()*(((Model_Data!A57)+(0))/(0.5*(Inputs!$C$49+Inputs!$C$50))+Inputs!$C$47*0.097)))+0.30*(2*((SIN(((Model_Data!A57)*12.9898+(0)*78.233+Inputs!$C$47*37.719))*43758.5453)-INT((SIN(((Model_Data!A57)*12.9898+(0)*78.233+Inputs!$C$47*37.719))*43758.5453)))-1))))/1000)))*1000/Inputs!$C$12)</x:f>
        <x:v>985.9940039128493</x:v>
      </x:c>
      <x:c r="D57" s="49"/>
      <x:c r="E57" s="48" t="n">
        <x:f>Model_Data!A57</x:f>
        <x:v>-32.5</x:v>
      </x:c>
      <x:c r="F57" s="48" t="n">
        <x:f>(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(0.45*SIN(2*PI()*(((Model_Data!A57)/Inputs!$C$49)+Inputs!$C$47*0.137))+0.35*COS(2*PI()*(((Inputs!$C$6)/Inputs!$C$50)+Inputs!$C$47*0.173))+0.20*SIN(2*PI()*(((Model_Data!A57)+(Inputs!$C$6))/(0.5*(Inputs!$C$49+Inputs!$C$50))+Inputs!$C$47*0.097)))+0.30*(2*((SIN(((Model_Data!A57)*12.9898+(Inputs!$C$6)*78.233+Inputs!$C$47*37.719))*43758.5453)-INT((SIN(((Model_Data!A57)*12.9898+(Inputs!$C$6)*78.233+Inputs!$C$47*37.719))*43758.5453)))-1)))</x:f>
        <x:v>350.9183412247295</x:v>
      </x:c>
      <x:c r="G57" s="48" t="n">
        <x:f>(Inputs!$C$51*(115*EXP(-(((0)-25)^2)/(4.5^2))+70*EXP(-(((0)+38)^2)/(7^2))*(0.55+0.45*SIN(2*PI()*(Model_Data!A57)/45))+24*SIN(2*PI()*(0)/9+(Model_Data!A57)/18)*EXP(-(((0)+5)^2)/(22^2))+18*SIN(2*PI()*(Model_Data!A57)/70))+Inputs!$C$28*EXP(-(((Model_Data!A57)-Inputs!$C$29)^2)/(2*Inputs!$C$31^2))*EXP(-(((0)-Inputs!$C$30)^2)/(2*Inputs!$C$32^2))+-Inputs!$C$33*EXP(-(((((Model_Data!A57)-Inputs!$C$34)^2)+(((0)-Inputs!$C$35)^2))/(2*Inputs!$C$36^2)))+Inputs!$C$37*(0.55*SIN(2*PI()*(Model_Data!A57)/Inputs!$C$39)+0.35*COS(2*PI()*(0)/Inputs!$C$40)+0.2*SIN(2*PI()*((Model_Data!A57)+(0))/(0.5*(Inputs!$C$39+Inputs!$C$40))))+Inputs!$C$38*SIN(2*PI()*(Model_Data!A57)/Inputs!$C$39)*SIN(2*PI()*(0)/Inputs!$C$40)+-Inputs!$C$41*EXP(-(((0)-Inputs!$C$43)^2)/(2*Inputs!$C$44^2))*EXP(-(((Model_Data!A57)-Inputs!$C$42)^2)/(2*Inputs!$C$45^2))+Inputs!$C$48*(0.70*(0.45*SIN(2*PI()*(((Model_Data!A57)/Inputs!$C$49)+Inputs!$C$47*0.137))+0.35*COS(2*PI()*(((0)/Inputs!$C$50)+Inputs!$C$47*0.173))+0.20*SIN(2*PI()*(((Model_Data!A57)+(0))/(0.5*(Inputs!$C$49+Inputs!$C$50))+Inputs!$C$47*0.097)))+0.30*(2*((SIN(((Model_Data!A57)*12.9898+(0)*78.233+Inputs!$C$47*37.719))*43758.5453)-INT((SIN(((Model_Data!A57)*12.9898+(0)*78.233+Inputs!$C$47*37.719))*43758.5453)))-1)))</x:f>
        <x:v>14.196906765365963</x:v>
      </x:c>
      <x:c r="H57" s="49"/>
      <x:c r="I57" s="48" t="n">
        <x:f>Model_Data!A57</x:f>
        <x:v>-32.5</x:v>
      </x:c>
      <x:c r="J57" s="48" t="n">
        <x:f>((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(0.45*SIN(2*PI()*(((Model_Data!A57)/Inputs!$C$49)+Inputs!$C$47*0.137))+0.35*COS(2*PI()*(((Inputs!$C$6)/Inputs!$C$50)+Inputs!$C$47*0.173))+0.20*SIN(2*PI()*(((Model_Data!A57)+(Inputs!$C$6))/(0.5*(Inputs!$C$49+Inputs!$C$50))+Inputs!$C$47*0.097)))+0.30*(2*((SIN(((Model_Data!A57)*12.9898+(Inputs!$C$6)*78.233+Inputs!$C$47*37.719))*43758.5453)-INT((SIN(((Model_Data!A57)*12.9898+(Inputs!$C$6)*78.233+Inputs!$C$47*37.719))*43758.5453)))-1))))-((Inputs!$C$51*(115*EXP(-(((0)-25)^2)/(4.5^2))+70*EXP(-(((0)+38)^2)/(7^2))*(0.55+0.45*SIN(2*PI()*(Model_Data!A57)/45))+24*SIN(2*PI()*(0)/9+(Model_Data!A57)/18)*EXP(-(((0)+5)^2)/(22^2))+18*SIN(2*PI()*(Model_Data!A57)/70))+Inputs!$C$28*EXP(-(((Model_Data!A57)-Inputs!$C$29)^2)/(2*Inputs!$C$31^2))*EXP(-(((0)-Inputs!$C$30)^2)/(2*Inputs!$C$32^2))+-Inputs!$C$33*EXP(-(((((Model_Data!A57)-Inputs!$C$34)^2)+(((0)-Inputs!$C$35)^2))/(2*Inputs!$C$36^2)))+Inputs!$C$37*(0.55*SIN(2*PI()*(Model_Data!A57)/Inputs!$C$39)+0.35*COS(2*PI()*(0)/Inputs!$C$40)+0.2*SIN(2*PI()*((Model_Data!A57)+(0))/(0.5*(Inputs!$C$39+Inputs!$C$40))))+Inputs!$C$38*SIN(2*PI()*(Model_Data!A57)/Inputs!$C$39)*SIN(2*PI()*(0)/Inputs!$C$40)+-Inputs!$C$41*EXP(-(((0)-Inputs!$C$43)^2)/(2*Inputs!$C$44^2))*EXP(-(((Model_Data!A57)-Inputs!$C$42)^2)/(2*Inputs!$C$45^2))+Inputs!$C$48*(0.70*(0.45*SIN(2*PI()*(((Model_Data!A57)/Inputs!$C$49)+Inputs!$C$47*0.137))+0.35*COS(2*PI()*(((0)/Inputs!$C$50)+Inputs!$C$47*0.173))+0.20*SIN(2*PI()*(((Model_Data!A57)+(0))/(0.5*(Inputs!$C$49+Inputs!$C$50))+Inputs!$C$47*0.097)))+0.30*(2*((SIN(((Model_Data!A57)*12.9898+(0)*78.233+Inputs!$C$47*37.719))*43758.5453)-INT((SIN(((Model_Data!A57)*12.9898+(0)*78.233+Inputs!$C$47*37.719))*43758.5453)))-1))))</x:f>
        <x:v>336.72143445936354</x:v>
      </x:c>
      <x:c r="K57" s="48" t="n">
        <x:f>-((((SQRT((Model_Data!A57)^2+Inputs!$C$6^2+((Model_Data!B57)-((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(0.45*SIN(2*PI()*(((Model_Data!A57)/Inputs!$C$49)+Inputs!$C$47*0.137))+0.35*COS(2*PI()*(((Inputs!$C$6)/Inputs!$C$50)+Inputs!$C$47*0.173))+0.20*SIN(2*PI()*(((Model_Data!A57)+(Inputs!$C$6))/(0.5*(Inputs!$C$49+Inputs!$C$50))+Inputs!$C$47*0.097)))+0.30*(2*((SIN(((Model_Data!A57)*12.9898+(Inputs!$C$6)*78.233+Inputs!$C$47*37.719))*43758.5453)-INT((SIN(((Model_Data!A57)*12.9898+(Inputs!$C$6)*78.233+Inputs!$C$47*37.719))*43758.5453)))-1))))/1000)^2))-(((Model_Data!B57)-((Inputs!$C$51*(115*EXP(-(((0)-25)^2)/(4.5^2))+70*EXP(-(((0)+38)^2)/(7^2))*(0.55+0.45*SIN(2*PI()*(Model_Data!A57)/45))+24*SIN(2*PI()*(0)/9+(Model_Data!A57)/18)*EXP(-(((0)+5)^2)/(22^2))+18*SIN(2*PI()*(Model_Data!A57)/70))+Inputs!$C$28*EXP(-(((Model_Data!A57)-Inputs!$C$29)^2)/(2*Inputs!$C$31^2))*EXP(-(((0)-Inputs!$C$30)^2)/(2*Inputs!$C$32^2))+-Inputs!$C$33*EXP(-(((((Model_Data!A57)-Inputs!$C$34)^2)+(((0)-Inputs!$C$35)^2))/(2*Inputs!$C$36^2)))+Inputs!$C$37*(0.55*SIN(2*PI()*(Model_Data!A57)/Inputs!$C$39)+0.35*COS(2*PI()*(0)/Inputs!$C$40)+0.2*SIN(2*PI()*((Model_Data!A57)+(0))/(0.5*(Inputs!$C$39+Inputs!$C$40))))+Inputs!$C$38*SIN(2*PI()*(Model_Data!A57)/Inputs!$C$39)*SIN(2*PI()*(0)/Inputs!$C$40)+-Inputs!$C$41*EXP(-(((0)-Inputs!$C$43)^2)/(2*Inputs!$C$44^2))*EXP(-(((Model_Data!A57)-Inputs!$C$42)^2)/(2*Inputs!$C$45^2))+Inputs!$C$48*(0.70*(0.45*SIN(2*PI()*(((Model_Data!A57)/Inputs!$C$49)+Inputs!$C$47*0.137))+0.35*COS(2*PI()*(((0)/Inputs!$C$50)+Inputs!$C$47*0.173))+0.20*SIN(2*PI()*(((Model_Data!A57)+(0))/(0.5*(Inputs!$C$49+Inputs!$C$50))+Inputs!$C$47*0.097)))+0.30*(2*((SIN(((Model_Data!A57)*12.9898+(0)*78.233+Inputs!$C$47*37.719))*43758.5453)-INT((SIN(((Model_Data!A57)*12.9898+(0)*78.233+Inputs!$C$47*37.719))*43758.5453)))-1))))/1000)))*1000/Inputs!$C$12)-Model_Data!F57)</x:f>
        <x:v>188.1467251061605</x:v>
      </x:c>
      <x:c r="L57" s="49"/>
      <x:c r="M57" s="48" t="n">
        <x:f>Model_Data!A57</x:f>
        <x:v>-32.5</x:v>
      </x:c>
      <x:c r="N57" s="48" t="n">
        <x:f>Model_Data!P57</x:f>
        <x:v>243.9045924102238</x:v>
      </x:c>
      <x:c r="O57" s="48" t="n">
        <x:f>AC57</x:f>
        <x:v>242.19700942894633</x:v>
      </x:c>
      <x:c r="P57" s="48" t="n">
        <x:f>Model_Data!Q57</x:f>
        <x:v>36.62231117270628</x:v>
      </x:c>
      <x:c r="Q57" s="48" t="n">
        <x:f>AD57</x:f>
        <x:v>36.36591733167363</x:v>
      </x:c>
      <x:c r="R57" s="49"/>
      <x:c r="S57" s="48" t="n">
        <x:f>Model_Data!A57</x:f>
        <x:v>-32.5</x:v>
      </x:c>
      <x:c r="T57" s="48" t="n">
        <x:f>Model_Data!B57-Inputs!$C$5</x:f>
        <x:v>1.1736111111110858</x:v>
      </x:c>
      <x:c r="U57" s="49"/>
      <x:c r="V57" s="48" t="n">
        <x:f>Model_Data!A57</x:f>
        <x:v>-32.5</x:v>
      </x:c>
      <x:c r="W57" s="48" t="n">
        <x:f>(-((((SQRT((Model_Data!A57)^2+Inputs!$C$6^2+((Model_Data!B57)-((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(0.45*SIN(2*PI()*(((Model_Data!A57)/Inputs!$C$49)+Inputs!$C$47*0.137))+0.35*COS(2*PI()*(((Inputs!$C$6)/Inputs!$C$50)+Inputs!$C$47*0.173))+0.20*SIN(2*PI()*(((Model_Data!A57)+(Inputs!$C$6))/(0.5*(Inputs!$C$49+Inputs!$C$50))+Inputs!$C$47*0.097)))+0.30*(2*((SIN(((Model_Data!A57)*12.9898+(Inputs!$C$6)*78.233+Inputs!$C$47*37.719))*43758.5453)-INT((SIN(((Model_Data!A57)*12.9898+(Inputs!$C$6)*78.233+Inputs!$C$47*37.719))*43758.5453)))-1))))/1000)^2))-(((Model_Data!B57)-((Inputs!$C$51*(115*EXP(-(((0)-25)^2)/(4.5^2))+70*EXP(-(((0)+38)^2)/(7^2))*(0.55+0.45*SIN(2*PI()*(Model_Data!A57)/45))+24*SIN(2*PI()*(0)/9+(Model_Data!A57)/18)*EXP(-(((0)+5)^2)/(22^2))+18*SIN(2*PI()*(Model_Data!A57)/70))+Inputs!$C$28*EXP(-(((Model_Data!A57)-Inputs!$C$29)^2)/(2*Inputs!$C$31^2))*EXP(-(((0)-Inputs!$C$30)^2)/(2*Inputs!$C$32^2))+-Inputs!$C$33*EXP(-(((((Model_Data!A57)-Inputs!$C$34)^2)+(((0)-Inputs!$C$35)^2))/(2*Inputs!$C$36^2)))+Inputs!$C$37*(0.55*SIN(2*PI()*(Model_Data!A57)/Inputs!$C$39)+0.35*COS(2*PI()*(0)/Inputs!$C$40)+0.2*SIN(2*PI()*((Model_Data!A57)+(0))/(0.5*(Inputs!$C$39+Inputs!$C$40))))+Inputs!$C$38*SIN(2*PI()*(Model_Data!A57)/Inputs!$C$39)*SIN(2*PI()*(0)/Inputs!$C$40)+-Inputs!$C$41*EXP(-(((0)-Inputs!$C$43)^2)/(2*Inputs!$C$44^2))*EXP(-(((Model_Data!A57)-Inputs!$C$42)^2)/(2*Inputs!$C$45^2))+Inputs!$C$48*(0.70*(0.45*SIN(2*PI()*(((Model_Data!A57)/Inputs!$C$49)+Inputs!$C$47*0.137))+0.35*COS(2*PI()*(((0)/Inputs!$C$50)+Inputs!$C$47*0.173))+0.20*SIN(2*PI()*(((Model_Data!A57)+(0))/(0.5*(Inputs!$C$49+Inputs!$C$50))+Inputs!$C$47*0.097)))+0.30*(2*((SIN(((Model_Data!A57)*12.9898+(0)*78.233+Inputs!$C$47*37.719))*43758.5453)-INT((SIN(((Model_Data!A57)*12.9898+(0)*78.233+Inputs!$C$47*37.719))*43758.5453)))-1))))/1000)))*1000/Inputs!$C$12)-Model_Data!F57))-(-(((SQRT((Model_Data!A57)^2+Inputs!$C$6^2+(Inputs!$C$5-((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(0.45*SIN(2*PI()*(((Model_Data!A57)/Inputs!$C$49)+Inputs!$C$47*0.137))+0.35*COS(2*PI()*(((Inputs!$C$6)/Inputs!$C$50)+Inputs!$C$47*0.173))+0.20*SIN(2*PI()*(((Model_Data!A57)+(Inputs!$C$6))/(0.5*(Inputs!$C$49+Inputs!$C$50))+Inputs!$C$47*0.097)))+0.30*(2*((SIN(((Model_Data!A57)*12.9898+(Inputs!$C$6)*78.233+Inputs!$C$47*37.719))*43758.5453)-INT((SIN(((Model_Data!A57)*12.9898+(Inputs!$C$6)*78.233+Inputs!$C$47*37.719))*43758.5453)))-1))))/1000)^2)-(Inputs!$C$5-((Inputs!$C$51*(115*EXP(-(((0)-25)^2)/(4.5^2))+70*EXP(-(((0)+38)^2)/(7^2))*(0.55+0.45*SIN(2*PI()*(Model_Data!A57)/45))+24*SIN(2*PI()*(0)/9+(Model_Data!A57)/18)*EXP(-(((0)+5)^2)/(22^2))+18*SIN(2*PI()*(Model_Data!A57)/70))+Inputs!$C$28*EXP(-(((Model_Data!A57)-Inputs!$C$29)^2)/(2*Inputs!$C$31^2))*EXP(-(((0)-Inputs!$C$30)^2)/(2*Inputs!$C$32^2))+-Inputs!$C$33*EXP(-(((((Model_Data!A57)-Inputs!$C$34)^2)+(((0)-Inputs!$C$35)^2))/(2*Inputs!$C$36^2)))+Inputs!$C$37*(0.55*SIN(2*PI()*(Model_Data!A57)/Inputs!$C$39)+0.35*COS(2*PI()*(0)/Inputs!$C$40)+0.2*SIN(2*PI()*((Model_Data!A57)+(0))/(0.5*(Inputs!$C$39+Inputs!$C$40))))+Inputs!$C$38*SIN(2*PI()*(Model_Data!A57)/Inputs!$C$39)*SIN(2*PI()*(0)/Inputs!$C$40)+-Inputs!$C$41*EXP(-(((0)-Inputs!$C$43)^2)/(2*Inputs!$C$44^2))*EXP(-(((Model_Data!A57)-Inputs!$C$42)^2)/(2*Inputs!$C$45^2))+Inputs!$C$48*(0.70*(0.45*SIN(2*PI()*(((Model_Data!A57)/Inputs!$C$49)+Inputs!$C$47*0.137))+0.35*COS(2*PI()*(((0)/Inputs!$C$50)+Inputs!$C$47*0.173))+0.20*SIN(2*PI()*(((Model_Data!A57)+(0))/(0.5*(Inputs!$C$49+Inputs!$C$50))+Inputs!$C$47*0.097)))+0.30*(2*((SIN(((Model_Data!A57)*12.9898+(0)*78.233+Inputs!$C$47*37.719))*43758.5453)-INT((SIN(((Model_Data!A57)*12.9898+(0)*78.233+Inputs!$C$47*37.719))*43758.5453)))-1))))/1000))*1000/Inputs!$C$12)-((SQRT((Model_Data!A57)^2+Inputs!$C$6^2+Inputs!$C$5^2)-Inputs!$C$5)*1000/Inputs!$C$12)))</x:f>
        <x:v>0.005965266245652856</x:v>
      </x:c>
      <x:c r="X57" s="48" t="n">
        <x:f>0</x:f>
        <x:v>0</x:v>
      </x:c>
      <x:c r="Y57" s="49"/>
      <x:c r="Z57" s="48" t="n">
        <x:f>Model_Data!A57</x:f>
        <x:v>-32.5</x:v>
      </x:c>
      <x:c r="AA57" s="48" t="n">
        <x:f>SQRT((Model_Data!A57)^2+Inputs!$C$6^2+((Model_Data!B57)-((Inputs!$C$51*(115*EXP(-(((Inputs!$C$6)-25)^2)/(4.5^2))+70*EXP(-(((Inputs!$C$6)+38)^2)/(7^2))*(0.55+0.45*SIN(2*PI()*(Model_Data!A57)/45))+24*SIN(2*PI()*(Inputs!$C$6)/9+(Model_Data!A57)/18)*EXP(-(((Inputs!$C$6)+5)^2)/(22^2))+18*SIN(2*PI()*(Model_Data!A57)/70))+Inputs!$C$28*EXP(-(((Model_Data!A57)-Inputs!$C$29)^2)/(2*Inputs!$C$31^2))*EXP(-(((Inputs!$C$6)-Inputs!$C$30)^2)/(2*Inputs!$C$32^2))+-Inputs!$C$33*EXP(-(((((Model_Data!A57)-Inputs!$C$34)^2)+(((Inputs!$C$6)-Inputs!$C$35)^2))/(2*Inputs!$C$36^2)))+Inputs!$C$37*(0.55*SIN(2*PI()*(Model_Data!A57)/Inputs!$C$39)+0.35*COS(2*PI()*(Inputs!$C$6)/Inputs!$C$40)+0.2*SIN(2*PI()*((Model_Data!A57)+(Inputs!$C$6))/(0.5*(Inputs!$C$39+Inputs!$C$40))))+Inputs!$C$38*SIN(2*PI()*(Model_Data!A57)/Inputs!$C$39)*SIN(2*PI()*(Inputs!$C$6)/Inputs!$C$40)+-Inputs!$C$41*EXP(-(((Inputs!$C$6)-Inputs!$C$43)^2)/(2*Inputs!$C$44^2))*EXP(-(((Model_Data!A57)-Inputs!$C$42)^2)/(2*Inputs!$C$45^2))+Inputs!$C$48*(0.70*(0.45*SIN(2*PI()*(((Model_Data!A57)/Inputs!$C$49)+Inputs!$C$47*0.137))+0.35*COS(2*PI()*(((Inputs!$C$6)/Inputs!$C$50)+Inputs!$C$47*0.173))+0.20*SIN(2*PI()*(((Model_Data!A57)+(Inputs!$C$6))/(0.5*(Inputs!$C$49+Inputs!$C$50))+Inputs!$C$47*0.097)))+0.30*(2*((SIN(((Model_Data!A57)*12.9898+(Inputs!$C$6)*78.233+Inputs!$C$47*37.719))*43758.5453)-INT((SIN(((Model_Data!A57)*12.9898+(Inputs!$C$6)*78.233+Inputs!$C$47*37.719))*43758.5453)))-1))))/1000)^2)</x:f>
        <x:v>402.91448353131057</x:v>
      </x:c>
      <x:c r="AB57" s="48" t="n">
        <x:f>1000*(AA58-AA56)/(Z58-Z56)*Inputs!$C$11</x:f>
        <x:v>-605.4925235723658</x:v>
      </x:c>
      <x:c r="AC57" s="48" t="n">
        <x:f>-2*AB57/Inputs!$C$13</x:f>
        <x:v>242.19700942894633</x:v>
      </x:c>
      <x:c r="AD57" s="48" t="n">
        <x:f>-2*AB57/Inputs!$C$14</x:f>
        <x:v>36.36591733167363</x:v>
      </x:c>
    </x:row>
    <x:row r="58">
      <x:c r="A58" s="48" t="n">
        <x:f>Model_Data!A58</x:f>
        <x:v>-32</x:v>
      </x:c>
      <x:c r="B58" s="48" t="n">
        <x:f>Model_Data!F58</x:f>
        <x:v>1151.7777827269733</x:v>
      </x:c>
      <x:c r="C58" s="48" t="n">
        <x:f>(((SQRT((Model_Data!A58)^2+Inputs!$C$6^2+((Model_Data!B58)-((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(0.45*SIN(2*PI()*(((Model_Data!A58)/Inputs!$C$49)+Inputs!$C$47*0.137))+0.35*COS(2*PI()*(((Inputs!$C$6)/Inputs!$C$50)+Inputs!$C$47*0.173))+0.20*SIN(2*PI()*(((Model_Data!A58)+(Inputs!$C$6))/(0.5*(Inputs!$C$49+Inputs!$C$50))+Inputs!$C$47*0.097)))+0.30*(2*((SIN(((Model_Data!A58)*12.9898+(Inputs!$C$6)*78.233+Inputs!$C$47*37.719))*43758.5453)-INT((SIN(((Model_Data!A58)*12.9898+(Inputs!$C$6)*78.233+Inputs!$C$47*37.719))*43758.5453)))-1))))/1000)^2))-(((Model_Data!B58)-((Inputs!$C$51*(115*EXP(-(((0)-25)^2)/(4.5^2))+70*EXP(-(((0)+38)^2)/(7^2))*(0.55+0.45*SIN(2*PI()*(Model_Data!A58)/45))+24*SIN(2*PI()*(0)/9+(Model_Data!A58)/18)*EXP(-(((0)+5)^2)/(22^2))+18*SIN(2*PI()*(Model_Data!A58)/70))+Inputs!$C$28*EXP(-(((Model_Data!A58)-Inputs!$C$29)^2)/(2*Inputs!$C$31^2))*EXP(-(((0)-Inputs!$C$30)^2)/(2*Inputs!$C$32^2))+-Inputs!$C$33*EXP(-(((((Model_Data!A58)-Inputs!$C$34)^2)+(((0)-Inputs!$C$35)^2))/(2*Inputs!$C$36^2)))+Inputs!$C$37*(0.55*SIN(2*PI()*(Model_Data!A58)/Inputs!$C$39)+0.35*COS(2*PI()*(0)/Inputs!$C$40)+0.2*SIN(2*PI()*((Model_Data!A58)+(0))/(0.5*(Inputs!$C$39+Inputs!$C$40))))+Inputs!$C$38*SIN(2*PI()*(Model_Data!A58)/Inputs!$C$39)*SIN(2*PI()*(0)/Inputs!$C$40)+-Inputs!$C$41*EXP(-(((0)-Inputs!$C$43)^2)/(2*Inputs!$C$44^2))*EXP(-(((Model_Data!A58)-Inputs!$C$42)^2)/(2*Inputs!$C$45^2))+Inputs!$C$48*(0.70*(0.45*SIN(2*PI()*(((Model_Data!A58)/Inputs!$C$49)+Inputs!$C$47*0.137))+0.35*COS(2*PI()*(((0)/Inputs!$C$50)+Inputs!$C$47*0.173))+0.20*SIN(2*PI()*(((Model_Data!A58)+(0))/(0.5*(Inputs!$C$49+Inputs!$C$50))+Inputs!$C$47*0.097)))+0.30*(2*((SIN(((Model_Data!A58)*12.9898+(0)*78.233+Inputs!$C$47*37.719))*43758.5453)-INT((SIN(((Model_Data!A58)*12.9898+(0)*78.233+Inputs!$C$47*37.719))*43758.5453)))-1))))/1000)))*1000/Inputs!$C$12)</x:f>
        <x:v>964.4457595683615</x:v>
      </x:c>
      <x:c r="D58" s="49"/>
      <x:c r="E58" s="48" t="n">
        <x:f>Model_Data!A58</x:f>
        <x:v>-32</x:v>
      </x:c>
      <x:c r="F58" s="48" t="n">
        <x:f>(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(0.45*SIN(2*PI()*(((Model_Data!A58)/Inputs!$C$49)+Inputs!$C$47*0.137))+0.35*COS(2*PI()*(((Inputs!$C$6)/Inputs!$C$50)+Inputs!$C$47*0.173))+0.20*SIN(2*PI()*(((Model_Data!A58)+(Inputs!$C$6))/(0.5*(Inputs!$C$49+Inputs!$C$50))+Inputs!$C$47*0.097)))+0.30*(2*((SIN(((Model_Data!A58)*12.9898+(Inputs!$C$6)*78.233+Inputs!$C$47*37.719))*43758.5453)-INT((SIN(((Model_Data!A58)*12.9898+(Inputs!$C$6)*78.233+Inputs!$C$47*37.719))*43758.5453)))-1)))</x:f>
        <x:v>340.91681406553505</x:v>
      </x:c>
      <x:c r="G58" s="48" t="n">
        <x:f>(Inputs!$C$51*(115*EXP(-(((0)-25)^2)/(4.5^2))+70*EXP(-(((0)+38)^2)/(7^2))*(0.55+0.45*SIN(2*PI()*(Model_Data!A58)/45))+24*SIN(2*PI()*(0)/9+(Model_Data!A58)/18)*EXP(-(((0)+5)^2)/(22^2))+18*SIN(2*PI()*(Model_Data!A58)/70))+Inputs!$C$28*EXP(-(((Model_Data!A58)-Inputs!$C$29)^2)/(2*Inputs!$C$31^2))*EXP(-(((0)-Inputs!$C$30)^2)/(2*Inputs!$C$32^2))+-Inputs!$C$33*EXP(-(((((Model_Data!A58)-Inputs!$C$34)^2)+(((0)-Inputs!$C$35)^2))/(2*Inputs!$C$36^2)))+Inputs!$C$37*(0.55*SIN(2*PI()*(Model_Data!A58)/Inputs!$C$39)+0.35*COS(2*PI()*(0)/Inputs!$C$40)+0.2*SIN(2*PI()*((Model_Data!A58)+(0))/(0.5*(Inputs!$C$39+Inputs!$C$40))))+Inputs!$C$38*SIN(2*PI()*(Model_Data!A58)/Inputs!$C$39)*SIN(2*PI()*(0)/Inputs!$C$40)+-Inputs!$C$41*EXP(-(((0)-Inputs!$C$43)^2)/(2*Inputs!$C$44^2))*EXP(-(((Model_Data!A58)-Inputs!$C$42)^2)/(2*Inputs!$C$45^2))+Inputs!$C$48*(0.70*(0.45*SIN(2*PI()*(((Model_Data!A58)/Inputs!$C$49)+Inputs!$C$47*0.137))+0.35*COS(2*PI()*(((0)/Inputs!$C$50)+Inputs!$C$47*0.173))+0.20*SIN(2*PI()*(((Model_Data!A58)+(0))/(0.5*(Inputs!$C$49+Inputs!$C$50))+Inputs!$C$47*0.097)))+0.30*(2*((SIN(((Model_Data!A58)*12.9898+(0)*78.233+Inputs!$C$47*37.719))*43758.5453)-INT((SIN(((Model_Data!A58)*12.9898+(0)*78.233+Inputs!$C$47*37.719))*43758.5453)))-1)))</x:f>
        <x:v>5.730826646134426</x:v>
      </x:c>
      <x:c r="H58" s="49"/>
      <x:c r="I58" s="48" t="n">
        <x:f>Model_Data!A58</x:f>
        <x:v>-32</x:v>
      </x:c>
      <x:c r="J58" s="48" t="n">
        <x:f>((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(0.45*SIN(2*PI()*(((Model_Data!A58)/Inputs!$C$49)+Inputs!$C$47*0.137))+0.35*COS(2*PI()*(((Inputs!$C$6)/Inputs!$C$50)+Inputs!$C$47*0.173))+0.20*SIN(2*PI()*(((Model_Data!A58)+(Inputs!$C$6))/(0.5*(Inputs!$C$49+Inputs!$C$50))+Inputs!$C$47*0.097)))+0.30*(2*((SIN(((Model_Data!A58)*12.9898+(Inputs!$C$6)*78.233+Inputs!$C$47*37.719))*43758.5453)-INT((SIN(((Model_Data!A58)*12.9898+(Inputs!$C$6)*78.233+Inputs!$C$47*37.719))*43758.5453)))-1))))-((Inputs!$C$51*(115*EXP(-(((0)-25)^2)/(4.5^2))+70*EXP(-(((0)+38)^2)/(7^2))*(0.55+0.45*SIN(2*PI()*(Model_Data!A58)/45))+24*SIN(2*PI()*(0)/9+(Model_Data!A58)/18)*EXP(-(((0)+5)^2)/(22^2))+18*SIN(2*PI()*(Model_Data!A58)/70))+Inputs!$C$28*EXP(-(((Model_Data!A58)-Inputs!$C$29)^2)/(2*Inputs!$C$31^2))*EXP(-(((0)-Inputs!$C$30)^2)/(2*Inputs!$C$32^2))+-Inputs!$C$33*EXP(-(((((Model_Data!A58)-Inputs!$C$34)^2)+(((0)-Inputs!$C$35)^2))/(2*Inputs!$C$36^2)))+Inputs!$C$37*(0.55*SIN(2*PI()*(Model_Data!A58)/Inputs!$C$39)+0.35*COS(2*PI()*(0)/Inputs!$C$40)+0.2*SIN(2*PI()*((Model_Data!A58)+(0))/(0.5*(Inputs!$C$39+Inputs!$C$40))))+Inputs!$C$38*SIN(2*PI()*(Model_Data!A58)/Inputs!$C$39)*SIN(2*PI()*(0)/Inputs!$C$40)+-Inputs!$C$41*EXP(-(((0)-Inputs!$C$43)^2)/(2*Inputs!$C$44^2))*EXP(-(((Model_Data!A58)-Inputs!$C$42)^2)/(2*Inputs!$C$45^2))+Inputs!$C$48*(0.70*(0.45*SIN(2*PI()*(((Model_Data!A58)/Inputs!$C$49)+Inputs!$C$47*0.137))+0.35*COS(2*PI()*(((0)/Inputs!$C$50)+Inputs!$C$47*0.173))+0.20*SIN(2*PI()*(((Model_Data!A58)+(0))/(0.5*(Inputs!$C$49+Inputs!$C$50))+Inputs!$C$47*0.097)))+0.30*(2*((SIN(((Model_Data!A58)*12.9898+(0)*78.233+Inputs!$C$47*37.719))*43758.5453)-INT((SIN(((Model_Data!A58)*12.9898+(0)*78.233+Inputs!$C$47*37.719))*43758.5453)))-1))))</x:f>
        <x:v>335.18598741940065</x:v>
      </x:c>
      <x:c r="K58" s="48" t="n">
        <x:f>-((((SQRT((Model_Data!A58)^2+Inputs!$C$6^2+((Model_Data!B58)-((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(0.45*SIN(2*PI()*(((Model_Data!A58)/Inputs!$C$49)+Inputs!$C$47*0.137))+0.35*COS(2*PI()*(((Inputs!$C$6)/Inputs!$C$50)+Inputs!$C$47*0.173))+0.20*SIN(2*PI()*(((Model_Data!A58)+(Inputs!$C$6))/(0.5*(Inputs!$C$49+Inputs!$C$50))+Inputs!$C$47*0.097)))+0.30*(2*((SIN(((Model_Data!A58)*12.9898+(Inputs!$C$6)*78.233+Inputs!$C$47*37.719))*43758.5453)-INT((SIN(((Model_Data!A58)*12.9898+(Inputs!$C$6)*78.233+Inputs!$C$47*37.719))*43758.5453)))-1))))/1000)^2))-(((Model_Data!B58)-((Inputs!$C$51*(115*EXP(-(((0)-25)^2)/(4.5^2))+70*EXP(-(((0)+38)^2)/(7^2))*(0.55+0.45*SIN(2*PI()*(Model_Data!A58)/45))+24*SIN(2*PI()*(0)/9+(Model_Data!A58)/18)*EXP(-(((0)+5)^2)/(22^2))+18*SIN(2*PI()*(Model_Data!A58)/70))+Inputs!$C$28*EXP(-(((Model_Data!A58)-Inputs!$C$29)^2)/(2*Inputs!$C$31^2))*EXP(-(((0)-Inputs!$C$30)^2)/(2*Inputs!$C$32^2))+-Inputs!$C$33*EXP(-(((((Model_Data!A58)-Inputs!$C$34)^2)+(((0)-Inputs!$C$35)^2))/(2*Inputs!$C$36^2)))+Inputs!$C$37*(0.55*SIN(2*PI()*(Model_Data!A58)/Inputs!$C$39)+0.35*COS(2*PI()*(0)/Inputs!$C$40)+0.2*SIN(2*PI()*((Model_Data!A58)+(0))/(0.5*(Inputs!$C$39+Inputs!$C$40))))+Inputs!$C$38*SIN(2*PI()*(Model_Data!A58)/Inputs!$C$39)*SIN(2*PI()*(0)/Inputs!$C$40)+-Inputs!$C$41*EXP(-(((0)-Inputs!$C$43)^2)/(2*Inputs!$C$44^2))*EXP(-(((Model_Data!A58)-Inputs!$C$42)^2)/(2*Inputs!$C$45^2))+Inputs!$C$48*(0.70*(0.45*SIN(2*PI()*(((Model_Data!A58)/Inputs!$C$49)+Inputs!$C$47*0.137))+0.35*COS(2*PI()*(((0)/Inputs!$C$50)+Inputs!$C$47*0.173))+0.20*SIN(2*PI()*(((Model_Data!A58)+(0))/(0.5*(Inputs!$C$49+Inputs!$C$50))+Inputs!$C$47*0.097)))+0.30*(2*((SIN(((Model_Data!A58)*12.9898+(0)*78.233+Inputs!$C$47*37.719))*43758.5453)-INT((SIN(((Model_Data!A58)*12.9898+(0)*78.233+Inputs!$C$47*37.719))*43758.5453)))-1))))/1000)))*1000/Inputs!$C$12)-Model_Data!F58)</x:f>
        <x:v>187.33202315861183</x:v>
      </x:c>
      <x:c r="L58" s="49"/>
      <x:c r="M58" s="48" t="n">
        <x:f>Model_Data!A58</x:f>
        <x:v>-32</x:v>
      </x:c>
      <x:c r="N58" s="48" t="n">
        <x:f>Model_Data!P58</x:f>
        <x:v>240.18715540550747</x:v>
      </x:c>
      <x:c r="O58" s="48" t="n">
        <x:f>AC58</x:f>
        <x:v>247.03626042373799</x:v>
      </x:c>
      <x:c r="P58" s="48" t="n">
        <x:f>Model_Data!Q58</x:f>
        <x:v>36.0641374482744</x:v>
      </x:c>
      <x:c r="Q58" s="48" t="n">
        <x:f>AD58</x:f>
        <x:v>37.092531595155855</x:v>
      </x:c>
      <x:c r="R58" s="49"/>
      <x:c r="S58" s="48" t="n">
        <x:f>Model_Data!A58</x:f>
        <x:v>-32</x:v>
      </x:c>
      <x:c r="T58" s="48" t="n">
        <x:f>Model_Data!B58-Inputs!$C$5</x:f>
        <x:v>1.137777777777785</x:v>
      </x:c>
      <x:c r="U58" s="49"/>
      <x:c r="V58" s="48" t="n">
        <x:f>Model_Data!A58</x:f>
        <x:v>-32</x:v>
      </x:c>
      <x:c r="W58" s="48" t="n">
        <x:f>(-((((SQRT((Model_Data!A58)^2+Inputs!$C$6^2+((Model_Data!B58)-((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(0.45*SIN(2*PI()*(((Model_Data!A58)/Inputs!$C$49)+Inputs!$C$47*0.137))+0.35*COS(2*PI()*(((Inputs!$C$6)/Inputs!$C$50)+Inputs!$C$47*0.173))+0.20*SIN(2*PI()*(((Model_Data!A58)+(Inputs!$C$6))/(0.5*(Inputs!$C$49+Inputs!$C$50))+Inputs!$C$47*0.097)))+0.30*(2*((SIN(((Model_Data!A58)*12.9898+(Inputs!$C$6)*78.233+Inputs!$C$47*37.719))*43758.5453)-INT((SIN(((Model_Data!A58)*12.9898+(Inputs!$C$6)*78.233+Inputs!$C$47*37.719))*43758.5453)))-1))))/1000)^2))-(((Model_Data!B58)-((Inputs!$C$51*(115*EXP(-(((0)-25)^2)/(4.5^2))+70*EXP(-(((0)+38)^2)/(7^2))*(0.55+0.45*SIN(2*PI()*(Model_Data!A58)/45))+24*SIN(2*PI()*(0)/9+(Model_Data!A58)/18)*EXP(-(((0)+5)^2)/(22^2))+18*SIN(2*PI()*(Model_Data!A58)/70))+Inputs!$C$28*EXP(-(((Model_Data!A58)-Inputs!$C$29)^2)/(2*Inputs!$C$31^2))*EXP(-(((0)-Inputs!$C$30)^2)/(2*Inputs!$C$32^2))+-Inputs!$C$33*EXP(-(((((Model_Data!A58)-Inputs!$C$34)^2)+(((0)-Inputs!$C$35)^2))/(2*Inputs!$C$36^2)))+Inputs!$C$37*(0.55*SIN(2*PI()*(Model_Data!A58)/Inputs!$C$39)+0.35*COS(2*PI()*(0)/Inputs!$C$40)+0.2*SIN(2*PI()*((Model_Data!A58)+(0))/(0.5*(Inputs!$C$39+Inputs!$C$40))))+Inputs!$C$38*SIN(2*PI()*(Model_Data!A58)/Inputs!$C$39)*SIN(2*PI()*(0)/Inputs!$C$40)+-Inputs!$C$41*EXP(-(((0)-Inputs!$C$43)^2)/(2*Inputs!$C$44^2))*EXP(-(((Model_Data!A58)-Inputs!$C$42)^2)/(2*Inputs!$C$45^2))+Inputs!$C$48*(0.70*(0.45*SIN(2*PI()*(((Model_Data!A58)/Inputs!$C$49)+Inputs!$C$47*0.137))+0.35*COS(2*PI()*(((0)/Inputs!$C$50)+Inputs!$C$47*0.173))+0.20*SIN(2*PI()*(((Model_Data!A58)+(0))/(0.5*(Inputs!$C$49+Inputs!$C$50))+Inputs!$C$47*0.097)))+0.30*(2*((SIN(((Model_Data!A58)*12.9898+(0)*78.233+Inputs!$C$47*37.719))*43758.5453)-INT((SIN(((Model_Data!A58)*12.9898+(0)*78.233+Inputs!$C$47*37.719))*43758.5453)))-1))))/1000)))*1000/Inputs!$C$12)-Model_Data!F58))-(-(((SQRT((Model_Data!A58)^2+Inputs!$C$6^2+(Inputs!$C$5-((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(0.45*SIN(2*PI()*(((Model_Data!A58)/Inputs!$C$49)+Inputs!$C$47*0.137))+0.35*COS(2*PI()*(((Inputs!$C$6)/Inputs!$C$50)+Inputs!$C$47*0.173))+0.20*SIN(2*PI()*(((Model_Data!A58)+(Inputs!$C$6))/(0.5*(Inputs!$C$49+Inputs!$C$50))+Inputs!$C$47*0.097)))+0.30*(2*((SIN(((Model_Data!A58)*12.9898+(Inputs!$C$6)*78.233+Inputs!$C$47*37.719))*43758.5453)-INT((SIN(((Model_Data!A58)*12.9898+(Inputs!$C$6)*78.233+Inputs!$C$47*37.719))*43758.5453)))-1))))/1000)^2)-(Inputs!$C$5-((Inputs!$C$51*(115*EXP(-(((0)-25)^2)/(4.5^2))+70*EXP(-(((0)+38)^2)/(7^2))*(0.55+0.45*SIN(2*PI()*(Model_Data!A58)/45))+24*SIN(2*PI()*(0)/9+(Model_Data!A58)/18)*EXP(-(((0)+5)^2)/(22^2))+18*SIN(2*PI()*(Model_Data!A58)/70))+Inputs!$C$28*EXP(-(((Model_Data!A58)-Inputs!$C$29)^2)/(2*Inputs!$C$31^2))*EXP(-(((0)-Inputs!$C$30)^2)/(2*Inputs!$C$32^2))+-Inputs!$C$33*EXP(-(((((Model_Data!A58)-Inputs!$C$34)^2)+(((0)-Inputs!$C$35)^2))/(2*Inputs!$C$36^2)))+Inputs!$C$37*(0.55*SIN(2*PI()*(Model_Data!A58)/Inputs!$C$39)+0.35*COS(2*PI()*(0)/Inputs!$C$40)+0.2*SIN(2*PI()*((Model_Data!A58)+(0))/(0.5*(Inputs!$C$39+Inputs!$C$40))))+Inputs!$C$38*SIN(2*PI()*(Model_Data!A58)/Inputs!$C$39)*SIN(2*PI()*(0)/Inputs!$C$40)+-Inputs!$C$41*EXP(-(((0)-Inputs!$C$43)^2)/(2*Inputs!$C$44^2))*EXP(-(((Model_Data!A58)-Inputs!$C$42)^2)/(2*Inputs!$C$45^2))+Inputs!$C$48*(0.70*(0.45*SIN(2*PI()*(((Model_Data!A58)/Inputs!$C$49)+Inputs!$C$47*0.137))+0.35*COS(2*PI()*(((0)/Inputs!$C$50)+Inputs!$C$47*0.173))+0.20*SIN(2*PI()*(((Model_Data!A58)+(0))/(0.5*(Inputs!$C$49+Inputs!$C$50))+Inputs!$C$47*0.097)))+0.30*(2*((SIN(((Model_Data!A58)*12.9898+(0)*78.233+Inputs!$C$47*37.719))*43758.5453)-INT((SIN(((Model_Data!A58)*12.9898+(0)*78.233+Inputs!$C$47*37.719))*43758.5453)))-1))))/1000))*1000/Inputs!$C$12)-((SQRT((Model_Data!A58)^2+Inputs!$C$6^2+Inputs!$C$5^2)-Inputs!$C$5)*1000/Inputs!$C$12)))</x:f>
        <x:v>0.005512707494062852</x:v>
      </x:c>
      <x:c r="X58" s="48" t="n">
        <x:f>0</x:f>
        <x:v>0</x:v>
      </x:c>
      <x:c r="Y58" s="49"/>
      <x:c r="Z58" s="48" t="n">
        <x:f>Model_Data!A58</x:f>
        <x:v>-32</x:v>
      </x:c>
      <x:c r="AA58" s="48" t="n">
        <x:f>SQRT((Model_Data!A58)^2+Inputs!$C$6^2+((Model_Data!B58)-((Inputs!$C$51*(115*EXP(-(((Inputs!$C$6)-25)^2)/(4.5^2))+70*EXP(-(((Inputs!$C$6)+38)^2)/(7^2))*(0.55+0.45*SIN(2*PI()*(Model_Data!A58)/45))+24*SIN(2*PI()*(Inputs!$C$6)/9+(Model_Data!A58)/18)*EXP(-(((Inputs!$C$6)+5)^2)/(22^2))+18*SIN(2*PI()*(Model_Data!A58)/70))+Inputs!$C$28*EXP(-(((Model_Data!A58)-Inputs!$C$29)^2)/(2*Inputs!$C$31^2))*EXP(-(((Inputs!$C$6)-Inputs!$C$30)^2)/(2*Inputs!$C$32^2))+-Inputs!$C$33*EXP(-(((((Model_Data!A58)-Inputs!$C$34)^2)+(((Inputs!$C$6)-Inputs!$C$35)^2))/(2*Inputs!$C$36^2)))+Inputs!$C$37*(0.55*SIN(2*PI()*(Model_Data!A58)/Inputs!$C$39)+0.35*COS(2*PI()*(Inputs!$C$6)/Inputs!$C$40)+0.2*SIN(2*PI()*((Model_Data!A58)+(Inputs!$C$6))/(0.5*(Inputs!$C$39+Inputs!$C$40))))+Inputs!$C$38*SIN(2*PI()*(Model_Data!A58)/Inputs!$C$39)*SIN(2*PI()*(Inputs!$C$6)/Inputs!$C$40)+-Inputs!$C$41*EXP(-(((Inputs!$C$6)-Inputs!$C$43)^2)/(2*Inputs!$C$44^2))*EXP(-(((Model_Data!A58)-Inputs!$C$42)^2)/(2*Inputs!$C$45^2))+Inputs!$C$48*(0.70*(0.45*SIN(2*PI()*(((Model_Data!A58)/Inputs!$C$49)+Inputs!$C$47*0.137))+0.35*COS(2*PI()*(((Inputs!$C$6)/Inputs!$C$50)+Inputs!$C$47*0.173))+0.20*SIN(2*PI()*(((Model_Data!A58)+(Inputs!$C$6))/(0.5*(Inputs!$C$49+Inputs!$C$50))+Inputs!$C$47*0.097)))+0.30*(2*((SIN(((Model_Data!A58)*12.9898+(Inputs!$C$6)*78.233+Inputs!$C$47*37.719))*43758.5453)-INT((SIN(((Model_Data!A58)*12.9898+(Inputs!$C$6)*78.233+Inputs!$C$47*37.719))*43758.5453)))-1))))/1000)^2)</x:f>
        <x:v>402.84876040316334</x:v>
      </x:c>
      <x:c r="AB58" s="48" t="n">
        <x:f>1000*(AA59-AA57)/(Z59-Z57)*Inputs!$C$11</x:f>
        <x:v>-617.590651059345</x:v>
      </x:c>
      <x:c r="AC58" s="48" t="n">
        <x:f>-2*AB58/Inputs!$C$13</x:f>
        <x:v>247.03626042373799</x:v>
      </x:c>
      <x:c r="AD58" s="48" t="n">
        <x:f>-2*AB58/Inputs!$C$14</x:f>
        <x:v>37.092531595155855</x:v>
      </x:c>
    </x:row>
    <x:row r="59">
      <x:c r="A59" s="48" t="n">
        <x:f>Model_Data!A59</x:f>
        <x:v>-31.5</x:v>
      </x:c>
      <x:c r="B59" s="48" t="n">
        <x:f>Model_Data!F59</x:f>
        <x:v>1129.7555078402418</x:v>
      </x:c>
      <x:c r="C59" s="48" t="n">
        <x:f>(((SQRT((Model_Data!A59)^2+Inputs!$C$6^2+((Model_Data!B59)-((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(0.45*SIN(2*PI()*(((Model_Data!A59)/Inputs!$C$49)+Inputs!$C$47*0.137))+0.35*COS(2*PI()*(((Inputs!$C$6)/Inputs!$C$50)+Inputs!$C$47*0.173))+0.20*SIN(2*PI()*(((Model_Data!A59)+(Inputs!$C$6))/(0.5*(Inputs!$C$49+Inputs!$C$50))+Inputs!$C$47*0.097)))+0.30*(2*((SIN(((Model_Data!A59)*12.9898+(Inputs!$C$6)*78.233+Inputs!$C$47*37.719))*43758.5453)-INT((SIN(((Model_Data!A59)*12.9898+(Inputs!$C$6)*78.233+Inputs!$C$47*37.719))*43758.5453)))-1))))/1000)^2))-(((Model_Data!B59)-((Inputs!$C$51*(115*EXP(-(((0)-25)^2)/(4.5^2))+70*EXP(-(((0)+38)^2)/(7^2))*(0.55+0.45*SIN(2*PI()*(Model_Data!A59)/45))+24*SIN(2*PI()*(0)/9+(Model_Data!A59)/18)*EXP(-(((0)+5)^2)/(22^2))+18*SIN(2*PI()*(Model_Data!A59)/70))+Inputs!$C$28*EXP(-(((Model_Data!A59)-Inputs!$C$29)^2)/(2*Inputs!$C$31^2))*EXP(-(((0)-Inputs!$C$30)^2)/(2*Inputs!$C$32^2))+-Inputs!$C$33*EXP(-(((((Model_Data!A59)-Inputs!$C$34)^2)+(((0)-Inputs!$C$35)^2))/(2*Inputs!$C$36^2)))+Inputs!$C$37*(0.55*SIN(2*PI()*(Model_Data!A59)/Inputs!$C$39)+0.35*COS(2*PI()*(0)/Inputs!$C$40)+0.2*SIN(2*PI()*((Model_Data!A59)+(0))/(0.5*(Inputs!$C$39+Inputs!$C$40))))+Inputs!$C$38*SIN(2*PI()*(Model_Data!A59)/Inputs!$C$39)*SIN(2*PI()*(0)/Inputs!$C$40)+-Inputs!$C$41*EXP(-(((0)-Inputs!$C$43)^2)/(2*Inputs!$C$44^2))*EXP(-(((Model_Data!A59)-Inputs!$C$42)^2)/(2*Inputs!$C$45^2))+Inputs!$C$48*(0.70*(0.45*SIN(2*PI()*(((Model_Data!A59)/Inputs!$C$49)+Inputs!$C$47*0.137))+0.35*COS(2*PI()*(((0)/Inputs!$C$50)+Inputs!$C$47*0.173))+0.20*SIN(2*PI()*(((Model_Data!A59)+(0))/(0.5*(Inputs!$C$49+Inputs!$C$50))+Inputs!$C$47*0.097)))+0.30*(2*((SIN(((Model_Data!A59)*12.9898+(0)*78.233+Inputs!$C$47*37.719))*43758.5453)-INT((SIN(((Model_Data!A59)*12.9898+(0)*78.233+Inputs!$C$47*37.719))*43758.5453)))-1))))/1000)))*1000/Inputs!$C$12)</x:f>
        <x:v>936.4503852029986</x:v>
      </x:c>
      <x:c r="D59" s="49"/>
      <x:c r="E59" s="48" t="n">
        <x:f>Model_Data!A59</x:f>
        <x:v>-31.5</x:v>
      </x:c>
      <x:c r="F59" s="48" t="n">
        <x:f>(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(0.45*SIN(2*PI()*(((Model_Data!A59)/Inputs!$C$49)+Inputs!$C$47*0.137))+0.35*COS(2*PI()*(((Inputs!$C$6)/Inputs!$C$50)+Inputs!$C$47*0.173))+0.20*SIN(2*PI()*(((Model_Data!A59)+(Inputs!$C$6))/(0.5*(Inputs!$C$49+Inputs!$C$50))+Inputs!$C$47*0.097)))+0.30*(2*((SIN(((Model_Data!A59)*12.9898+(Inputs!$C$6)*78.233+Inputs!$C$47*37.719))*43758.5453)-INT((SIN(((Model_Data!A59)*12.9898+(Inputs!$C$6)*78.233+Inputs!$C$47*37.719))*43758.5453)))-1)))</x:f>
        <x:v>355.15219987006986</x:v>
      </x:c>
      <x:c r="G59" s="48" t="n">
        <x:f>(Inputs!$C$51*(115*EXP(-(((0)-25)^2)/(4.5^2))+70*EXP(-(((0)+38)^2)/(7^2))*(0.55+0.45*SIN(2*PI()*(Model_Data!A59)/45))+24*SIN(2*PI()*(0)/9+(Model_Data!A59)/18)*EXP(-(((0)+5)^2)/(22^2))+18*SIN(2*PI()*(Model_Data!A59)/70))+Inputs!$C$28*EXP(-(((Model_Data!A59)-Inputs!$C$29)^2)/(2*Inputs!$C$31^2))*EXP(-(((0)-Inputs!$C$30)^2)/(2*Inputs!$C$32^2))+-Inputs!$C$33*EXP(-(((((Model_Data!A59)-Inputs!$C$34)^2)+(((0)-Inputs!$C$35)^2))/(2*Inputs!$C$36^2)))+Inputs!$C$37*(0.55*SIN(2*PI()*(Model_Data!A59)/Inputs!$C$39)+0.35*COS(2*PI()*(0)/Inputs!$C$40)+0.2*SIN(2*PI()*((Model_Data!A59)+(0))/(0.5*(Inputs!$C$39+Inputs!$C$40))))+Inputs!$C$38*SIN(2*PI()*(Model_Data!A59)/Inputs!$C$39)*SIN(2*PI()*(0)/Inputs!$C$40)+-Inputs!$C$41*EXP(-(((0)-Inputs!$C$43)^2)/(2*Inputs!$C$44^2))*EXP(-(((Model_Data!A59)-Inputs!$C$42)^2)/(2*Inputs!$C$45^2))+Inputs!$C$48*(0.70*(0.45*SIN(2*PI()*(((Model_Data!A59)/Inputs!$C$49)+Inputs!$C$47*0.137))+0.35*COS(2*PI()*(((0)/Inputs!$C$50)+Inputs!$C$47*0.173))+0.20*SIN(2*PI()*(((Model_Data!A59)+(0))/(0.5*(Inputs!$C$49+Inputs!$C$50))+Inputs!$C$47*0.097)))+0.30*(2*((SIN(((Model_Data!A59)*12.9898+(0)*78.233+Inputs!$C$47*37.719))*43758.5453)-INT((SIN(((Model_Data!A59)*12.9898+(0)*78.233+Inputs!$C$47*37.719))*43758.5453)))-1)))</x:f>
        <x:v>9.295817115602365</x:v>
      </x:c>
      <x:c r="H59" s="49"/>
      <x:c r="I59" s="48" t="n">
        <x:f>Model_Data!A59</x:f>
        <x:v>-31.5</x:v>
      </x:c>
      <x:c r="J59" s="48" t="n">
        <x:f>((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(0.45*SIN(2*PI()*(((Model_Data!A59)/Inputs!$C$49)+Inputs!$C$47*0.137))+0.35*COS(2*PI()*(((Inputs!$C$6)/Inputs!$C$50)+Inputs!$C$47*0.173))+0.20*SIN(2*PI()*(((Model_Data!A59)+(Inputs!$C$6))/(0.5*(Inputs!$C$49+Inputs!$C$50))+Inputs!$C$47*0.097)))+0.30*(2*((SIN(((Model_Data!A59)*12.9898+(Inputs!$C$6)*78.233+Inputs!$C$47*37.719))*43758.5453)-INT((SIN(((Model_Data!A59)*12.9898+(Inputs!$C$6)*78.233+Inputs!$C$47*37.719))*43758.5453)))-1))))-((Inputs!$C$51*(115*EXP(-(((0)-25)^2)/(4.5^2))+70*EXP(-(((0)+38)^2)/(7^2))*(0.55+0.45*SIN(2*PI()*(Model_Data!A59)/45))+24*SIN(2*PI()*(0)/9+(Model_Data!A59)/18)*EXP(-(((0)+5)^2)/(22^2))+18*SIN(2*PI()*(Model_Data!A59)/70))+Inputs!$C$28*EXP(-(((Model_Data!A59)-Inputs!$C$29)^2)/(2*Inputs!$C$31^2))*EXP(-(((0)-Inputs!$C$30)^2)/(2*Inputs!$C$32^2))+-Inputs!$C$33*EXP(-(((((Model_Data!A59)-Inputs!$C$34)^2)+(((0)-Inputs!$C$35)^2))/(2*Inputs!$C$36^2)))+Inputs!$C$37*(0.55*SIN(2*PI()*(Model_Data!A59)/Inputs!$C$39)+0.35*COS(2*PI()*(0)/Inputs!$C$40)+0.2*SIN(2*PI()*((Model_Data!A59)+(0))/(0.5*(Inputs!$C$39+Inputs!$C$40))))+Inputs!$C$38*SIN(2*PI()*(Model_Data!A59)/Inputs!$C$39)*SIN(2*PI()*(0)/Inputs!$C$40)+-Inputs!$C$41*EXP(-(((0)-Inputs!$C$43)^2)/(2*Inputs!$C$44^2))*EXP(-(((Model_Data!A59)-Inputs!$C$42)^2)/(2*Inputs!$C$45^2))+Inputs!$C$48*(0.70*(0.45*SIN(2*PI()*(((Model_Data!A59)/Inputs!$C$49)+Inputs!$C$47*0.137))+0.35*COS(2*PI()*(((0)/Inputs!$C$50)+Inputs!$C$47*0.173))+0.20*SIN(2*PI()*(((Model_Data!A59)+(0))/(0.5*(Inputs!$C$49+Inputs!$C$50))+Inputs!$C$47*0.097)))+0.30*(2*((SIN(((Model_Data!A59)*12.9898+(0)*78.233+Inputs!$C$47*37.719))*43758.5453)-INT((SIN(((Model_Data!A59)*12.9898+(0)*78.233+Inputs!$C$47*37.719))*43758.5453)))-1))))</x:f>
        <x:v>345.8563827544675</x:v>
      </x:c>
      <x:c r="K59" s="48" t="n">
        <x:f>-((((SQRT((Model_Data!A59)^2+Inputs!$C$6^2+((Model_Data!B59)-((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(0.45*SIN(2*PI()*(((Model_Data!A59)/Inputs!$C$49)+Inputs!$C$47*0.137))+0.35*COS(2*PI()*(((Inputs!$C$6)/Inputs!$C$50)+Inputs!$C$47*0.173))+0.20*SIN(2*PI()*(((Model_Data!A59)+(Inputs!$C$6))/(0.5*(Inputs!$C$49+Inputs!$C$50))+Inputs!$C$47*0.097)))+0.30*(2*((SIN(((Model_Data!A59)*12.9898+(Inputs!$C$6)*78.233+Inputs!$C$47*37.719))*43758.5453)-INT((SIN(((Model_Data!A59)*12.9898+(Inputs!$C$6)*78.233+Inputs!$C$47*37.719))*43758.5453)))-1))))/1000)^2))-(((Model_Data!B59)-((Inputs!$C$51*(115*EXP(-(((0)-25)^2)/(4.5^2))+70*EXP(-(((0)+38)^2)/(7^2))*(0.55+0.45*SIN(2*PI()*(Model_Data!A59)/45))+24*SIN(2*PI()*(0)/9+(Model_Data!A59)/18)*EXP(-(((0)+5)^2)/(22^2))+18*SIN(2*PI()*(Model_Data!A59)/70))+Inputs!$C$28*EXP(-(((Model_Data!A59)-Inputs!$C$29)^2)/(2*Inputs!$C$31^2))*EXP(-(((0)-Inputs!$C$30)^2)/(2*Inputs!$C$32^2))+-Inputs!$C$33*EXP(-(((((Model_Data!A59)-Inputs!$C$34)^2)+(((0)-Inputs!$C$35)^2))/(2*Inputs!$C$36^2)))+Inputs!$C$37*(0.55*SIN(2*PI()*(Model_Data!A59)/Inputs!$C$39)+0.35*COS(2*PI()*(0)/Inputs!$C$40)+0.2*SIN(2*PI()*((Model_Data!A59)+(0))/(0.5*(Inputs!$C$39+Inputs!$C$40))))+Inputs!$C$38*SIN(2*PI()*(Model_Data!A59)/Inputs!$C$39)*SIN(2*PI()*(0)/Inputs!$C$40)+-Inputs!$C$41*EXP(-(((0)-Inputs!$C$43)^2)/(2*Inputs!$C$44^2))*EXP(-(((Model_Data!A59)-Inputs!$C$42)^2)/(2*Inputs!$C$45^2))+Inputs!$C$48*(0.70*(0.45*SIN(2*PI()*(((Model_Data!A59)/Inputs!$C$49)+Inputs!$C$47*0.137))+0.35*COS(2*PI()*(((0)/Inputs!$C$50)+Inputs!$C$47*0.173))+0.20*SIN(2*PI()*(((Model_Data!A59)+(0))/(0.5*(Inputs!$C$49+Inputs!$C$50))+Inputs!$C$47*0.097)))+0.30*(2*((SIN(((Model_Data!A59)*12.9898+(0)*78.233+Inputs!$C$47*37.719))*43758.5453)-INT((SIN(((Model_Data!A59)*12.9898+(0)*78.233+Inputs!$C$47*37.719))*43758.5453)))-1))))/1000)))*1000/Inputs!$C$12)-Model_Data!F59)</x:f>
        <x:v>193.30512263724313</x:v>
      </x:c>
      <x:c r="L59" s="49"/>
      <x:c r="M59" s="48" t="n">
        <x:f>Model_Data!A59</x:f>
        <x:v>-31.5</x:v>
      </x:c>
      <x:c r="N59" s="48" t="n">
        <x:f>Model_Data!P59</x:f>
        <x:v>236.46811213899355</x:v>
      </x:c>
      <x:c r="O59" s="48" t="n">
        <x:f>AC59</x:f>
        <x:v>256.2260923920803</x:v>
      </x:c>
      <x:c r="P59" s="48" t="n">
        <x:f>Model_Data!Q59</x:f>
        <x:v>35.50572254339243</x:v>
      </x:c>
      <x:c r="Q59" s="48" t="n">
        <x:f>AD59</x:f>
        <x:v>38.47238624505711</x:v>
      </x:c>
      <x:c r="R59" s="49"/>
      <x:c r="S59" s="48" t="n">
        <x:f>Model_Data!A59</x:f>
        <x:v>-31.5</x:v>
      </x:c>
      <x:c r="T59" s="48" t="n">
        <x:f>Model_Data!B59-Inputs!$C$5</x:f>
        <x:v>1.1025000000000205</x:v>
      </x:c>
      <x:c r="U59" s="49"/>
      <x:c r="V59" s="48" t="n">
        <x:f>Model_Data!A59</x:f>
        <x:v>-31.5</x:v>
      </x:c>
      <x:c r="W59" s="48" t="n">
        <x:f>(-((((SQRT((Model_Data!A59)^2+Inputs!$C$6^2+((Model_Data!B59)-((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(0.45*SIN(2*PI()*(((Model_Data!A59)/Inputs!$C$49)+Inputs!$C$47*0.137))+0.35*COS(2*PI()*(((Inputs!$C$6)/Inputs!$C$50)+Inputs!$C$47*0.173))+0.20*SIN(2*PI()*(((Model_Data!A59)+(Inputs!$C$6))/(0.5*(Inputs!$C$49+Inputs!$C$50))+Inputs!$C$47*0.097)))+0.30*(2*((SIN(((Model_Data!A59)*12.9898+(Inputs!$C$6)*78.233+Inputs!$C$47*37.719))*43758.5453)-INT((SIN(((Model_Data!A59)*12.9898+(Inputs!$C$6)*78.233+Inputs!$C$47*37.719))*43758.5453)))-1))))/1000)^2))-(((Model_Data!B59)-((Inputs!$C$51*(115*EXP(-(((0)-25)^2)/(4.5^2))+70*EXP(-(((0)+38)^2)/(7^2))*(0.55+0.45*SIN(2*PI()*(Model_Data!A59)/45))+24*SIN(2*PI()*(0)/9+(Model_Data!A59)/18)*EXP(-(((0)+5)^2)/(22^2))+18*SIN(2*PI()*(Model_Data!A59)/70))+Inputs!$C$28*EXP(-(((Model_Data!A59)-Inputs!$C$29)^2)/(2*Inputs!$C$31^2))*EXP(-(((0)-Inputs!$C$30)^2)/(2*Inputs!$C$32^2))+-Inputs!$C$33*EXP(-(((((Model_Data!A59)-Inputs!$C$34)^2)+(((0)-Inputs!$C$35)^2))/(2*Inputs!$C$36^2)))+Inputs!$C$37*(0.55*SIN(2*PI()*(Model_Data!A59)/Inputs!$C$39)+0.35*COS(2*PI()*(0)/Inputs!$C$40)+0.2*SIN(2*PI()*((Model_Data!A59)+(0))/(0.5*(Inputs!$C$39+Inputs!$C$40))))+Inputs!$C$38*SIN(2*PI()*(Model_Data!A59)/Inputs!$C$39)*SIN(2*PI()*(0)/Inputs!$C$40)+-Inputs!$C$41*EXP(-(((0)-Inputs!$C$43)^2)/(2*Inputs!$C$44^2))*EXP(-(((Model_Data!A59)-Inputs!$C$42)^2)/(2*Inputs!$C$45^2))+Inputs!$C$48*(0.70*(0.45*SIN(2*PI()*(((Model_Data!A59)/Inputs!$C$49)+Inputs!$C$47*0.137))+0.35*COS(2*PI()*(((0)/Inputs!$C$50)+Inputs!$C$47*0.173))+0.20*SIN(2*PI()*(((Model_Data!A59)+(0))/(0.5*(Inputs!$C$49+Inputs!$C$50))+Inputs!$C$47*0.097)))+0.30*(2*((SIN(((Model_Data!A59)*12.9898+(0)*78.233+Inputs!$C$47*37.719))*43758.5453)-INT((SIN(((Model_Data!A59)*12.9898+(0)*78.233+Inputs!$C$47*37.719))*43758.5453)))-1))))/1000)))*1000/Inputs!$C$12)-Model_Data!F59))-(-(((SQRT((Model_Data!A59)^2+Inputs!$C$6^2+(Inputs!$C$5-((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(0.45*SIN(2*PI()*(((Model_Data!A59)/Inputs!$C$49)+Inputs!$C$47*0.137))+0.35*COS(2*PI()*(((Inputs!$C$6)/Inputs!$C$50)+Inputs!$C$47*0.173))+0.20*SIN(2*PI()*(((Model_Data!A59)+(Inputs!$C$6))/(0.5*(Inputs!$C$49+Inputs!$C$50))+Inputs!$C$47*0.097)))+0.30*(2*((SIN(((Model_Data!A59)*12.9898+(Inputs!$C$6)*78.233+Inputs!$C$47*37.719))*43758.5453)-INT((SIN(((Model_Data!A59)*12.9898+(Inputs!$C$6)*78.233+Inputs!$C$47*37.719))*43758.5453)))-1))))/1000)^2)-(Inputs!$C$5-((Inputs!$C$51*(115*EXP(-(((0)-25)^2)/(4.5^2))+70*EXP(-(((0)+38)^2)/(7^2))*(0.55+0.45*SIN(2*PI()*(Model_Data!A59)/45))+24*SIN(2*PI()*(0)/9+(Model_Data!A59)/18)*EXP(-(((0)+5)^2)/(22^2))+18*SIN(2*PI()*(Model_Data!A59)/70))+Inputs!$C$28*EXP(-(((Model_Data!A59)-Inputs!$C$29)^2)/(2*Inputs!$C$31^2))*EXP(-(((0)-Inputs!$C$30)^2)/(2*Inputs!$C$32^2))+-Inputs!$C$33*EXP(-(((((Model_Data!A59)-Inputs!$C$34)^2)+(((0)-Inputs!$C$35)^2))/(2*Inputs!$C$36^2)))+Inputs!$C$37*(0.55*SIN(2*PI()*(Model_Data!A59)/Inputs!$C$39)+0.35*COS(2*PI()*(0)/Inputs!$C$40)+0.2*SIN(2*PI()*((Model_Data!A59)+(0))/(0.5*(Inputs!$C$39+Inputs!$C$40))))+Inputs!$C$38*SIN(2*PI()*(Model_Data!A59)/Inputs!$C$39)*SIN(2*PI()*(0)/Inputs!$C$40)+-Inputs!$C$41*EXP(-(((0)-Inputs!$C$43)^2)/(2*Inputs!$C$44^2))*EXP(-(((Model_Data!A59)-Inputs!$C$42)^2)/(2*Inputs!$C$45^2))+Inputs!$C$48*(0.70*(0.45*SIN(2*PI()*(((Model_Data!A59)/Inputs!$C$49)+Inputs!$C$47*0.137))+0.35*COS(2*PI()*(((0)/Inputs!$C$50)+Inputs!$C$47*0.173))+0.20*SIN(2*PI()*(((Model_Data!A59)+(0))/(0.5*(Inputs!$C$49+Inputs!$C$50))+Inputs!$C$47*0.097)))+0.30*(2*((SIN(((Model_Data!A59)*12.9898+(0)*78.233+Inputs!$C$47*37.719))*43758.5453)-INT((SIN(((Model_Data!A59)*12.9898+(0)*78.233+Inputs!$C$47*37.719))*43758.5453)))-1))))/1000))*1000/Inputs!$C$12)-((SQRT((Model_Data!A59)^2+Inputs!$C$6^2+Inputs!$C$5^2)-Inputs!$C$5)*1000/Inputs!$C$12)))</x:f>
        <x:v>0.005460294508679908</x:v>
      </x:c>
      <x:c r="X59" s="48" t="n">
        <x:f>0</x:f>
        <x:v>0</x:v>
      </x:c>
      <x:c r="Y59" s="49"/>
      <x:c r="Z59" s="48" t="n">
        <x:f>Model_Data!A59</x:f>
        <x:v>-31.5</x:v>
      </x:c>
      <x:c r="AA59" s="48" t="n">
        <x:f>SQRT((Model_Data!A59)^2+Inputs!$C$6^2+((Model_Data!B59)-((Inputs!$C$51*(115*EXP(-(((Inputs!$C$6)-25)^2)/(4.5^2))+70*EXP(-(((Inputs!$C$6)+38)^2)/(7^2))*(0.55+0.45*SIN(2*PI()*(Model_Data!A59)/45))+24*SIN(2*PI()*(Inputs!$C$6)/9+(Model_Data!A59)/18)*EXP(-(((Inputs!$C$6)+5)^2)/(22^2))+18*SIN(2*PI()*(Model_Data!A59)/70))+Inputs!$C$28*EXP(-(((Model_Data!A59)-Inputs!$C$29)^2)/(2*Inputs!$C$31^2))*EXP(-(((Inputs!$C$6)-Inputs!$C$30)^2)/(2*Inputs!$C$32^2))+-Inputs!$C$33*EXP(-(((((Model_Data!A59)-Inputs!$C$34)^2)+(((Inputs!$C$6)-Inputs!$C$35)^2))/(2*Inputs!$C$36^2)))+Inputs!$C$37*(0.55*SIN(2*PI()*(Model_Data!A59)/Inputs!$C$39)+0.35*COS(2*PI()*(Inputs!$C$6)/Inputs!$C$40)+0.2*SIN(2*PI()*((Model_Data!A59)+(Inputs!$C$6))/(0.5*(Inputs!$C$39+Inputs!$C$40))))+Inputs!$C$38*SIN(2*PI()*(Model_Data!A59)/Inputs!$C$39)*SIN(2*PI()*(Inputs!$C$6)/Inputs!$C$40)+-Inputs!$C$41*EXP(-(((Inputs!$C$6)-Inputs!$C$43)^2)/(2*Inputs!$C$44^2))*EXP(-(((Model_Data!A59)-Inputs!$C$42)^2)/(2*Inputs!$C$45^2))+Inputs!$C$48*(0.70*(0.45*SIN(2*PI()*(((Model_Data!A59)/Inputs!$C$49)+Inputs!$C$47*0.137))+0.35*COS(2*PI()*(((Inputs!$C$6)/Inputs!$C$50)+Inputs!$C$47*0.173))+0.20*SIN(2*PI()*(((Model_Data!A59)+(Inputs!$C$6))/(0.5*(Inputs!$C$49+Inputs!$C$50))+Inputs!$C$47*0.097)))+0.30*(2*((SIN(((Model_Data!A59)*12.9898+(Inputs!$C$6)*78.233+Inputs!$C$47*37.719))*43758.5453)-INT((SIN(((Model_Data!A59)*12.9898+(Inputs!$C$6)*78.233+Inputs!$C$47*37.719))*43758.5453)))-1))))/1000)^2)</x:f>
        <x:v>402.76008586854573</x:v>
      </x:c>
      <x:c r="AB59" s="48" t="n">
        <x:f>1000*(AA60-AA58)/(Z60-Z58)*Inputs!$C$11</x:f>
        <x:v>-640.5652309802008</x:v>
      </x:c>
      <x:c r="AC59" s="48" t="n">
        <x:f>-2*AB59/Inputs!$C$13</x:f>
        <x:v>256.2260923920803</x:v>
      </x:c>
      <x:c r="AD59" s="48" t="n">
        <x:f>-2*AB59/Inputs!$C$14</x:f>
        <x:v>38.47238624505711</x:v>
      </x:c>
    </x:row>
    <x:row r="60">
      <x:c r="A60" s="48" t="n">
        <x:f>Model_Data!A60</x:f>
        <x:v>-31</x:v>
      </x:c>
      <x:c r="B60" s="48" t="n">
        <x:f>Model_Data!F60</x:f>
        <x:v>1108.0741842832733</x:v>
      </x:c>
      <x:c r="C60" s="48" t="n">
        <x:f>(((SQRT((Model_Data!A60)^2+Inputs!$C$6^2+((Model_Data!B60)-((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(0.45*SIN(2*PI()*(((Model_Data!A60)/Inputs!$C$49)+Inputs!$C$47*0.137))+0.35*COS(2*PI()*(((Inputs!$C$6)/Inputs!$C$50)+Inputs!$C$47*0.173))+0.20*SIN(2*PI()*(((Model_Data!A60)+(Inputs!$C$6))/(0.5*(Inputs!$C$49+Inputs!$C$50))+Inputs!$C$47*0.097)))+0.30*(2*((SIN(((Model_Data!A60)*12.9898+(Inputs!$C$6)*78.233+Inputs!$C$47*37.719))*43758.5453)-INT((SIN(((Model_Data!A60)*12.9898+(Inputs!$C$6)*78.233+Inputs!$C$47*37.719))*43758.5453)))-1))))/1000)^2))-(((Model_Data!B60)-((Inputs!$C$51*(115*EXP(-(((0)-25)^2)/(4.5^2))+70*EXP(-(((0)+38)^2)/(7^2))*(0.55+0.45*SIN(2*PI()*(Model_Data!A60)/45))+24*SIN(2*PI()*(0)/9+(Model_Data!A60)/18)*EXP(-(((0)+5)^2)/(22^2))+18*SIN(2*PI()*(Model_Data!A60)/70))+Inputs!$C$28*EXP(-(((Model_Data!A60)-Inputs!$C$29)^2)/(2*Inputs!$C$31^2))*EXP(-(((0)-Inputs!$C$30)^2)/(2*Inputs!$C$32^2))+-Inputs!$C$33*EXP(-(((((Model_Data!A60)-Inputs!$C$34)^2)+(((0)-Inputs!$C$35)^2))/(2*Inputs!$C$36^2)))+Inputs!$C$37*(0.55*SIN(2*PI()*(Model_Data!A60)/Inputs!$C$39)+0.35*COS(2*PI()*(0)/Inputs!$C$40)+0.2*SIN(2*PI()*((Model_Data!A60)+(0))/(0.5*(Inputs!$C$39+Inputs!$C$40))))+Inputs!$C$38*SIN(2*PI()*(Model_Data!A60)/Inputs!$C$39)*SIN(2*PI()*(0)/Inputs!$C$40)+-Inputs!$C$41*EXP(-(((0)-Inputs!$C$43)^2)/(2*Inputs!$C$44^2))*EXP(-(((Model_Data!A60)-Inputs!$C$42)^2)/(2*Inputs!$C$45^2))+Inputs!$C$48*(0.70*(0.45*SIN(2*PI()*(((Model_Data!A60)/Inputs!$C$49)+Inputs!$C$47*0.137))+0.35*COS(2*PI()*(((0)/Inputs!$C$50)+Inputs!$C$47*0.173))+0.20*SIN(2*PI()*(((Model_Data!A60)+(0))/(0.5*(Inputs!$C$49+Inputs!$C$50))+Inputs!$C$47*0.097)))+0.30*(2*((SIN(((Model_Data!A60)*12.9898+(0)*78.233+Inputs!$C$47*37.719))*43758.5453)-INT((SIN(((Model_Data!A60)*12.9898+(0)*78.233+Inputs!$C$47*37.719))*43758.5453)))-1))))/1000)))*1000/Inputs!$C$12)</x:f>
        <x:v>903.1751320028907</x:v>
      </x:c>
      <x:c r="D60" s="49"/>
      <x:c r="E60" s="48" t="n">
        <x:f>Model_Data!A60</x:f>
        <x:v>-31</x:v>
      </x:c>
      <x:c r="F60" s="48" t="n">
        <x:f>(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(0.45*SIN(2*PI()*(((Model_Data!A60)/Inputs!$C$49)+Inputs!$C$47*0.137))+0.35*COS(2*PI()*(((Inputs!$C$6)/Inputs!$C$50)+Inputs!$C$47*0.173))+0.20*SIN(2*PI()*(((Model_Data!A60)+(Inputs!$C$6))/(0.5*(Inputs!$C$49+Inputs!$C$50))+Inputs!$C$47*0.097)))+0.30*(2*((SIN(((Model_Data!A60)*12.9898+(Inputs!$C$6)*78.233+Inputs!$C$47*37.719))*43758.5453)-INT((SIN(((Model_Data!A60)*12.9898+(Inputs!$C$6)*78.233+Inputs!$C$47*37.719))*43758.5453)))-1)))</x:f>
        <x:v>353.2610093246909</x:v>
      </x:c>
      <x:c r="G60" s="48" t="n">
        <x:f>(Inputs!$C$51*(115*EXP(-(((0)-25)^2)/(4.5^2))+70*EXP(-(((0)+38)^2)/(7^2))*(0.55+0.45*SIN(2*PI()*(Model_Data!A60)/45))+24*SIN(2*PI()*(0)/9+(Model_Data!A60)/18)*EXP(-(((0)+5)^2)/(22^2))+18*SIN(2*PI()*(Model_Data!A60)/70))+Inputs!$C$28*EXP(-(((Model_Data!A60)-Inputs!$C$29)^2)/(2*Inputs!$C$31^2))*EXP(-(((0)-Inputs!$C$30)^2)/(2*Inputs!$C$32^2))+-Inputs!$C$33*EXP(-(((((Model_Data!A60)-Inputs!$C$34)^2)+(((0)-Inputs!$C$35)^2))/(2*Inputs!$C$36^2)))+Inputs!$C$37*(0.55*SIN(2*PI()*(Model_Data!A60)/Inputs!$C$39)+0.35*COS(2*PI()*(0)/Inputs!$C$40)+0.2*SIN(2*PI()*((Model_Data!A60)+(0))/(0.5*(Inputs!$C$39+Inputs!$C$40))))+Inputs!$C$38*SIN(2*PI()*(Model_Data!A60)/Inputs!$C$39)*SIN(2*PI()*(0)/Inputs!$C$40)+-Inputs!$C$41*EXP(-(((0)-Inputs!$C$43)^2)/(2*Inputs!$C$44^2))*EXP(-(((Model_Data!A60)-Inputs!$C$42)^2)/(2*Inputs!$C$45^2))+Inputs!$C$48*(0.70*(0.45*SIN(2*PI()*(((Model_Data!A60)/Inputs!$C$49)+Inputs!$C$47*0.137))+0.35*COS(2*PI()*(((0)/Inputs!$C$50)+Inputs!$C$47*0.173))+0.20*SIN(2*PI()*(((Model_Data!A60)+(0))/(0.5*(Inputs!$C$49+Inputs!$C$50))+Inputs!$C$47*0.097)))+0.30*(2*((SIN(((Model_Data!A60)*12.9898+(0)*78.233+Inputs!$C$47*37.719))*43758.5453)-INT((SIN(((Model_Data!A60)*12.9898+(0)*78.233+Inputs!$C$47*37.719))*43758.5453)))-1)))</x:f>
        <x:v>-13.189582675327635</x:v>
      </x:c>
      <x:c r="H60" s="49"/>
      <x:c r="I60" s="48" t="n">
        <x:f>Model_Data!A60</x:f>
        <x:v>-31</x:v>
      </x:c>
      <x:c r="J60" s="48" t="n">
        <x:f>((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(0.45*SIN(2*PI()*(((Model_Data!A60)/Inputs!$C$49)+Inputs!$C$47*0.137))+0.35*COS(2*PI()*(((Inputs!$C$6)/Inputs!$C$50)+Inputs!$C$47*0.173))+0.20*SIN(2*PI()*(((Model_Data!A60)+(Inputs!$C$6))/(0.5*(Inputs!$C$49+Inputs!$C$50))+Inputs!$C$47*0.097)))+0.30*(2*((SIN(((Model_Data!A60)*12.9898+(Inputs!$C$6)*78.233+Inputs!$C$47*37.719))*43758.5453)-INT((SIN(((Model_Data!A60)*12.9898+(Inputs!$C$6)*78.233+Inputs!$C$47*37.719))*43758.5453)))-1))))-((Inputs!$C$51*(115*EXP(-(((0)-25)^2)/(4.5^2))+70*EXP(-(((0)+38)^2)/(7^2))*(0.55+0.45*SIN(2*PI()*(Model_Data!A60)/45))+24*SIN(2*PI()*(0)/9+(Model_Data!A60)/18)*EXP(-(((0)+5)^2)/(22^2))+18*SIN(2*PI()*(Model_Data!A60)/70))+Inputs!$C$28*EXP(-(((Model_Data!A60)-Inputs!$C$29)^2)/(2*Inputs!$C$31^2))*EXP(-(((0)-Inputs!$C$30)^2)/(2*Inputs!$C$32^2))+-Inputs!$C$33*EXP(-(((((Model_Data!A60)-Inputs!$C$34)^2)+(((0)-Inputs!$C$35)^2))/(2*Inputs!$C$36^2)))+Inputs!$C$37*(0.55*SIN(2*PI()*(Model_Data!A60)/Inputs!$C$39)+0.35*COS(2*PI()*(0)/Inputs!$C$40)+0.2*SIN(2*PI()*((Model_Data!A60)+(0))/(0.5*(Inputs!$C$39+Inputs!$C$40))))+Inputs!$C$38*SIN(2*PI()*(Model_Data!A60)/Inputs!$C$39)*SIN(2*PI()*(0)/Inputs!$C$40)+-Inputs!$C$41*EXP(-(((0)-Inputs!$C$43)^2)/(2*Inputs!$C$44^2))*EXP(-(((Model_Data!A60)-Inputs!$C$42)^2)/(2*Inputs!$C$45^2))+Inputs!$C$48*(0.70*(0.45*SIN(2*PI()*(((Model_Data!A60)/Inputs!$C$49)+Inputs!$C$47*0.137))+0.35*COS(2*PI()*(((0)/Inputs!$C$50)+Inputs!$C$47*0.173))+0.20*SIN(2*PI()*(((Model_Data!A60)+(0))/(0.5*(Inputs!$C$49+Inputs!$C$50))+Inputs!$C$47*0.097)))+0.30*(2*((SIN(((Model_Data!A60)*12.9898+(0)*78.233+Inputs!$C$47*37.719))*43758.5453)-INT((SIN(((Model_Data!A60)*12.9898+(0)*78.233+Inputs!$C$47*37.719))*43758.5453)))-1))))</x:f>
        <x:v>366.45059200001856</x:v>
      </x:c>
      <x:c r="K60" s="48" t="n">
        <x:f>-((((SQRT((Model_Data!A60)^2+Inputs!$C$6^2+((Model_Data!B60)-((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(0.45*SIN(2*PI()*(((Model_Data!A60)/Inputs!$C$49)+Inputs!$C$47*0.137))+0.35*COS(2*PI()*(((Inputs!$C$6)/Inputs!$C$50)+Inputs!$C$47*0.173))+0.20*SIN(2*PI()*(((Model_Data!A60)+(Inputs!$C$6))/(0.5*(Inputs!$C$49+Inputs!$C$50))+Inputs!$C$47*0.097)))+0.30*(2*((SIN(((Model_Data!A60)*12.9898+(Inputs!$C$6)*78.233+Inputs!$C$47*37.719))*43758.5453)-INT((SIN(((Model_Data!A60)*12.9898+(Inputs!$C$6)*78.233+Inputs!$C$47*37.719))*43758.5453)))-1))))/1000)^2))-(((Model_Data!B60)-((Inputs!$C$51*(115*EXP(-(((0)-25)^2)/(4.5^2))+70*EXP(-(((0)+38)^2)/(7^2))*(0.55+0.45*SIN(2*PI()*(Model_Data!A60)/45))+24*SIN(2*PI()*(0)/9+(Model_Data!A60)/18)*EXP(-(((0)+5)^2)/(22^2))+18*SIN(2*PI()*(Model_Data!A60)/70))+Inputs!$C$28*EXP(-(((Model_Data!A60)-Inputs!$C$29)^2)/(2*Inputs!$C$31^2))*EXP(-(((0)-Inputs!$C$30)^2)/(2*Inputs!$C$32^2))+-Inputs!$C$33*EXP(-(((((Model_Data!A60)-Inputs!$C$34)^2)+(((0)-Inputs!$C$35)^2))/(2*Inputs!$C$36^2)))+Inputs!$C$37*(0.55*SIN(2*PI()*(Model_Data!A60)/Inputs!$C$39)+0.35*COS(2*PI()*(0)/Inputs!$C$40)+0.2*SIN(2*PI()*((Model_Data!A60)+(0))/(0.5*(Inputs!$C$39+Inputs!$C$40))))+Inputs!$C$38*SIN(2*PI()*(Model_Data!A60)/Inputs!$C$39)*SIN(2*PI()*(0)/Inputs!$C$40)+-Inputs!$C$41*EXP(-(((0)-Inputs!$C$43)^2)/(2*Inputs!$C$44^2))*EXP(-(((Model_Data!A60)-Inputs!$C$42)^2)/(2*Inputs!$C$45^2))+Inputs!$C$48*(0.70*(0.45*SIN(2*PI()*(((Model_Data!A60)/Inputs!$C$49)+Inputs!$C$47*0.137))+0.35*COS(2*PI()*(((0)/Inputs!$C$50)+Inputs!$C$47*0.173))+0.20*SIN(2*PI()*(((Model_Data!A60)+(0))/(0.5*(Inputs!$C$49+Inputs!$C$50))+Inputs!$C$47*0.097)))+0.30*(2*((SIN(((Model_Data!A60)*12.9898+(0)*78.233+Inputs!$C$47*37.719))*43758.5453)-INT((SIN(((Model_Data!A60)*12.9898+(0)*78.233+Inputs!$C$47*37.719))*43758.5453)))-1))))/1000)))*1000/Inputs!$C$12)-Model_Data!F60)</x:f>
        <x:v>204.89905228038265</x:v>
      </x:c>
      <x:c r="L60" s="49"/>
      <x:c r="M60" s="48" t="n">
        <x:f>Model_Data!A60</x:f>
        <x:v>-31</x:v>
      </x:c>
      <x:c r="N60" s="48" t="n">
        <x:f>Model_Data!P60</x:f>
        <x:v>232.74748624656678</x:v>
      </x:c>
      <x:c r="O60" s="48" t="n">
        <x:f>AC60</x:f>
        <x:v>206.58911870077645</x:v>
      </x:c>
      <x:c r="P60" s="48" t="n">
        <x:f>Model_Data!Q60</x:f>
        <x:v>34.94707000699201</x:v>
      </x:c>
      <x:c r="Q60" s="48" t="n">
        <x:f>AD60</x:f>
        <x:v>31.01938719230878</x:v>
      </x:c>
      <x:c r="R60" s="49"/>
      <x:c r="S60" s="48" t="n">
        <x:f>Model_Data!A60</x:f>
        <x:v>-31</x:v>
      </x:c>
      <x:c r="T60" s="48" t="n">
        <x:f>Model_Data!B60-Inputs!$C$5</x:f>
        <x:v>1.067777777777792</x:v>
      </x:c>
      <x:c r="U60" s="49"/>
      <x:c r="V60" s="48" t="n">
        <x:f>Model_Data!A60</x:f>
        <x:v>-31</x:v>
      </x:c>
      <x:c r="W60" s="48" t="n">
        <x:f>(-((((SQRT((Model_Data!A60)^2+Inputs!$C$6^2+((Model_Data!B60)-((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(0.45*SIN(2*PI()*(((Model_Data!A60)/Inputs!$C$49)+Inputs!$C$47*0.137))+0.35*COS(2*PI()*(((Inputs!$C$6)/Inputs!$C$50)+Inputs!$C$47*0.173))+0.20*SIN(2*PI()*(((Model_Data!A60)+(Inputs!$C$6))/(0.5*(Inputs!$C$49+Inputs!$C$50))+Inputs!$C$47*0.097)))+0.30*(2*((SIN(((Model_Data!A60)*12.9898+(Inputs!$C$6)*78.233+Inputs!$C$47*37.719))*43758.5453)-INT((SIN(((Model_Data!A60)*12.9898+(Inputs!$C$6)*78.233+Inputs!$C$47*37.719))*43758.5453)))-1))))/1000)^2))-(((Model_Data!B60)-((Inputs!$C$51*(115*EXP(-(((0)-25)^2)/(4.5^2))+70*EXP(-(((0)+38)^2)/(7^2))*(0.55+0.45*SIN(2*PI()*(Model_Data!A60)/45))+24*SIN(2*PI()*(0)/9+(Model_Data!A60)/18)*EXP(-(((0)+5)^2)/(22^2))+18*SIN(2*PI()*(Model_Data!A60)/70))+Inputs!$C$28*EXP(-(((Model_Data!A60)-Inputs!$C$29)^2)/(2*Inputs!$C$31^2))*EXP(-(((0)-Inputs!$C$30)^2)/(2*Inputs!$C$32^2))+-Inputs!$C$33*EXP(-(((((Model_Data!A60)-Inputs!$C$34)^2)+(((0)-Inputs!$C$35)^2))/(2*Inputs!$C$36^2)))+Inputs!$C$37*(0.55*SIN(2*PI()*(Model_Data!A60)/Inputs!$C$39)+0.35*COS(2*PI()*(0)/Inputs!$C$40)+0.2*SIN(2*PI()*((Model_Data!A60)+(0))/(0.5*(Inputs!$C$39+Inputs!$C$40))))+Inputs!$C$38*SIN(2*PI()*(Model_Data!A60)/Inputs!$C$39)*SIN(2*PI()*(0)/Inputs!$C$40)+-Inputs!$C$41*EXP(-(((0)-Inputs!$C$43)^2)/(2*Inputs!$C$44^2))*EXP(-(((Model_Data!A60)-Inputs!$C$42)^2)/(2*Inputs!$C$45^2))+Inputs!$C$48*(0.70*(0.45*SIN(2*PI()*(((Model_Data!A60)/Inputs!$C$49)+Inputs!$C$47*0.137))+0.35*COS(2*PI()*(((0)/Inputs!$C$50)+Inputs!$C$47*0.173))+0.20*SIN(2*PI()*(((Model_Data!A60)+(0))/(0.5*(Inputs!$C$49+Inputs!$C$50))+Inputs!$C$47*0.097)))+0.30*(2*((SIN(((Model_Data!A60)*12.9898+(0)*78.233+Inputs!$C$47*37.719))*43758.5453)-INT((SIN(((Model_Data!A60)*12.9898+(0)*78.233+Inputs!$C$47*37.719))*43758.5453)))-1))))/1000)))*1000/Inputs!$C$12)-Model_Data!F60))-(-(((SQRT((Model_Data!A60)^2+Inputs!$C$6^2+(Inputs!$C$5-((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(0.45*SIN(2*PI()*(((Model_Data!A60)/Inputs!$C$49)+Inputs!$C$47*0.137))+0.35*COS(2*PI()*(((Inputs!$C$6)/Inputs!$C$50)+Inputs!$C$47*0.173))+0.20*SIN(2*PI()*(((Model_Data!A60)+(Inputs!$C$6))/(0.5*(Inputs!$C$49+Inputs!$C$50))+Inputs!$C$47*0.097)))+0.30*(2*((SIN(((Model_Data!A60)*12.9898+(Inputs!$C$6)*78.233+Inputs!$C$47*37.719))*43758.5453)-INT((SIN(((Model_Data!A60)*12.9898+(Inputs!$C$6)*78.233+Inputs!$C$47*37.719))*43758.5453)))-1))))/1000)^2)-(Inputs!$C$5-((Inputs!$C$51*(115*EXP(-(((0)-25)^2)/(4.5^2))+70*EXP(-(((0)+38)^2)/(7^2))*(0.55+0.45*SIN(2*PI()*(Model_Data!A60)/45))+24*SIN(2*PI()*(0)/9+(Model_Data!A60)/18)*EXP(-(((0)+5)^2)/(22^2))+18*SIN(2*PI()*(Model_Data!A60)/70))+Inputs!$C$28*EXP(-(((Model_Data!A60)-Inputs!$C$29)^2)/(2*Inputs!$C$31^2))*EXP(-(((0)-Inputs!$C$30)^2)/(2*Inputs!$C$32^2))+-Inputs!$C$33*EXP(-(((((Model_Data!A60)-Inputs!$C$34)^2)+(((0)-Inputs!$C$35)^2))/(2*Inputs!$C$36^2)))+Inputs!$C$37*(0.55*SIN(2*PI()*(Model_Data!A60)/Inputs!$C$39)+0.35*COS(2*PI()*(0)/Inputs!$C$40)+0.2*SIN(2*PI()*((Model_Data!A60)+(0))/(0.5*(Inputs!$C$39+Inputs!$C$40))))+Inputs!$C$38*SIN(2*PI()*(Model_Data!A60)/Inputs!$C$39)*SIN(2*PI()*(0)/Inputs!$C$40)+-Inputs!$C$41*EXP(-(((0)-Inputs!$C$43)^2)/(2*Inputs!$C$44^2))*EXP(-(((Model_Data!A60)-Inputs!$C$42)^2)/(2*Inputs!$C$45^2))+Inputs!$C$48*(0.70*(0.45*SIN(2*PI()*(((Model_Data!A60)/Inputs!$C$49)+Inputs!$C$47*0.137))+0.35*COS(2*PI()*(((0)/Inputs!$C$50)+Inputs!$C$47*0.173))+0.20*SIN(2*PI()*(((Model_Data!A60)+(0))/(0.5*(Inputs!$C$49+Inputs!$C$50))+Inputs!$C$47*0.097)))+0.30*(2*((SIN(((Model_Data!A60)*12.9898+(0)*78.233+Inputs!$C$47*37.719))*43758.5453)-INT((SIN(((Model_Data!A60)*12.9898+(0)*78.233+Inputs!$C$47*37.719))*43758.5453)))-1))))/1000))*1000/Inputs!$C$12)-((SQRT((Model_Data!A60)^2+Inputs!$C$6^2+Inputs!$C$5^2)-Inputs!$C$5)*1000/Inputs!$C$12)))</x:f>
        <x:v>0.005160646437957439</x:v>
      </x:c>
      <x:c r="X60" s="48" t="n">
        <x:f>0</x:f>
        <x:v>0</x:v>
      </x:c>
      <x:c r="Y60" s="49"/>
      <x:c r="Z60" s="48" t="n">
        <x:f>Model_Data!A60</x:f>
        <x:v>-31</x:v>
      </x:c>
      <x:c r="AA60" s="48" t="n">
        <x:f>SQRT((Model_Data!A60)^2+Inputs!$C$6^2+((Model_Data!B60)-((Inputs!$C$51*(115*EXP(-(((Inputs!$C$6)-25)^2)/(4.5^2))+70*EXP(-(((Inputs!$C$6)+38)^2)/(7^2))*(0.55+0.45*SIN(2*PI()*(Model_Data!A60)/45))+24*SIN(2*PI()*(Inputs!$C$6)/9+(Model_Data!A60)/18)*EXP(-(((Inputs!$C$6)+5)^2)/(22^2))+18*SIN(2*PI()*(Model_Data!A60)/70))+Inputs!$C$28*EXP(-(((Model_Data!A60)-Inputs!$C$29)^2)/(2*Inputs!$C$31^2))*EXP(-(((Inputs!$C$6)-Inputs!$C$30)^2)/(2*Inputs!$C$32^2))+-Inputs!$C$33*EXP(-(((((Model_Data!A60)-Inputs!$C$34)^2)+(((Inputs!$C$6)-Inputs!$C$35)^2))/(2*Inputs!$C$36^2)))+Inputs!$C$37*(0.55*SIN(2*PI()*(Model_Data!A60)/Inputs!$C$39)+0.35*COS(2*PI()*(Inputs!$C$6)/Inputs!$C$40)+0.2*SIN(2*PI()*((Model_Data!A60)+(Inputs!$C$6))/(0.5*(Inputs!$C$39+Inputs!$C$40))))+Inputs!$C$38*SIN(2*PI()*(Model_Data!A60)/Inputs!$C$39)*SIN(2*PI()*(Inputs!$C$6)/Inputs!$C$40)+-Inputs!$C$41*EXP(-(((Inputs!$C$6)-Inputs!$C$43)^2)/(2*Inputs!$C$44^2))*EXP(-(((Model_Data!A60)-Inputs!$C$42)^2)/(2*Inputs!$C$45^2))+Inputs!$C$48*(0.70*(0.45*SIN(2*PI()*(((Model_Data!A60)/Inputs!$C$49)+Inputs!$C$47*0.137))+0.35*COS(2*PI()*(((Inputs!$C$6)/Inputs!$C$50)+Inputs!$C$47*0.173))+0.20*SIN(2*PI()*(((Model_Data!A60)+(Inputs!$C$6))/(0.5*(Inputs!$C$49+Inputs!$C$50))+Inputs!$C$47*0.097)))+0.30*(2*((SIN(((Model_Data!A60)*12.9898+(Inputs!$C$6)*78.233+Inputs!$C$47*37.719))*43758.5453)-INT((SIN(((Model_Data!A60)*12.9898+(Inputs!$C$6)*78.233+Inputs!$C$47*37.719))*43758.5453)))-1))))/1000)^2)</x:f>
        <x:v>402.6886190954183</x:v>
      </x:c>
      <x:c r="AB60" s="48" t="n">
        <x:f>1000*(AA61-AA59)/(Z61-Z59)*Inputs!$C$11</x:f>
        <x:v>-516.4727967519411</x:v>
      </x:c>
      <x:c r="AC60" s="48" t="n">
        <x:f>-2*AB60/Inputs!$C$13</x:f>
        <x:v>206.58911870077645</x:v>
      </x:c>
      <x:c r="AD60" s="48" t="n">
        <x:f>-2*AB60/Inputs!$C$14</x:f>
        <x:v>31.01938719230878</x:v>
      </x:c>
    </x:row>
    <x:row r="61">
      <x:c r="A61" s="48" t="n">
        <x:f>Model_Data!A61</x:f>
        <x:v>-30.5</x:v>
      </x:c>
      <x:c r="B61" s="48" t="n">
        <x:f>Model_Data!F61</x:f>
        <x:v>1086.7340878249845</x:v>
      </x:c>
      <x:c r="C61" s="48" t="n">
        <x:f>(((SQRT((Model_Data!A61)^2+Inputs!$C$6^2+((Model_Data!B61)-((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(0.45*SIN(2*PI()*(((Model_Data!A61)/Inputs!$C$49)+Inputs!$C$47*0.137))+0.35*COS(2*PI()*(((Inputs!$C$6)/Inputs!$C$50)+Inputs!$C$47*0.173))+0.20*SIN(2*PI()*(((Model_Data!A61)+(Inputs!$C$6))/(0.5*(Inputs!$C$49+Inputs!$C$50))+Inputs!$C$47*0.097)))+0.30*(2*((SIN(((Model_Data!A61)*12.9898+(Inputs!$C$6)*78.233+Inputs!$C$47*37.719))*43758.5453)-INT((SIN(((Model_Data!A61)*12.9898+(Inputs!$C$6)*78.233+Inputs!$C$47*37.719))*43758.5453)))-1))))/1000)^2))-(((Model_Data!B61)-((Inputs!$C$51*(115*EXP(-(((0)-25)^2)/(4.5^2))+70*EXP(-(((0)+38)^2)/(7^2))*(0.55+0.45*SIN(2*PI()*(Model_Data!A61)/45))+24*SIN(2*PI()*(0)/9+(Model_Data!A61)/18)*EXP(-(((0)+5)^2)/(22^2))+18*SIN(2*PI()*(Model_Data!A61)/70))+Inputs!$C$28*EXP(-(((Model_Data!A61)-Inputs!$C$29)^2)/(2*Inputs!$C$31^2))*EXP(-(((0)-Inputs!$C$30)^2)/(2*Inputs!$C$32^2))+-Inputs!$C$33*EXP(-(((((Model_Data!A61)-Inputs!$C$34)^2)+(((0)-Inputs!$C$35)^2))/(2*Inputs!$C$36^2)))+Inputs!$C$37*(0.55*SIN(2*PI()*(Model_Data!A61)/Inputs!$C$39)+0.35*COS(2*PI()*(0)/Inputs!$C$40)+0.2*SIN(2*PI()*((Model_Data!A61)+(0))/(0.5*(Inputs!$C$39+Inputs!$C$40))))+Inputs!$C$38*SIN(2*PI()*(Model_Data!A61)/Inputs!$C$39)*SIN(2*PI()*(0)/Inputs!$C$40)+-Inputs!$C$41*EXP(-(((0)-Inputs!$C$43)^2)/(2*Inputs!$C$44^2))*EXP(-(((Model_Data!A61)-Inputs!$C$42)^2)/(2*Inputs!$C$45^2))+Inputs!$C$48*(0.70*(0.45*SIN(2*PI()*(((Model_Data!A61)/Inputs!$C$49)+Inputs!$C$47*0.137))+0.35*COS(2*PI()*(((0)/Inputs!$C$50)+Inputs!$C$47*0.173))+0.20*SIN(2*PI()*(((Model_Data!A61)+(0))/(0.5*(Inputs!$C$49+Inputs!$C$50))+Inputs!$C$47*0.097)))+0.30*(2*((SIN(((Model_Data!A61)*12.9898+(0)*78.233+Inputs!$C$47*37.719))*43758.5453)-INT((SIN(((Model_Data!A61)*12.9898+(0)*78.233+Inputs!$C$47*37.719))*43758.5453)))-1))))/1000)))*1000/Inputs!$C$12)</x:f>
        <x:v>893.1962023645771</x:v>
      </x:c>
      <x:c r="D61" s="49"/>
      <x:c r="E61" s="48" t="n">
        <x:f>Model_Data!A61</x:f>
        <x:v>-30.5</x:v>
      </x:c>
      <x:c r="F61" s="48" t="n">
        <x:f>(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(0.45*SIN(2*PI()*(((Model_Data!A61)/Inputs!$C$49)+Inputs!$C$47*0.137))+0.35*COS(2*PI()*(((Inputs!$C$6)/Inputs!$C$50)+Inputs!$C$47*0.173))+0.20*SIN(2*PI()*(((Model_Data!A61)+(Inputs!$C$6))/(0.5*(Inputs!$C$49+Inputs!$C$50))+Inputs!$C$47*0.097)))+0.30*(2*((SIN(((Model_Data!A61)*12.9898+(Inputs!$C$6)*78.233+Inputs!$C$47*37.719))*43758.5453)-INT((SIN(((Model_Data!A61)*12.9898+(Inputs!$C$6)*78.233+Inputs!$C$47*37.719))*43758.5453)))-1)))</x:f>
        <x:v>338.6571544092517</x:v>
      </x:c>
      <x:c r="G61" s="48" t="n">
        <x:f>(Inputs!$C$51*(115*EXP(-(((0)-25)^2)/(4.5^2))+70*EXP(-(((0)+38)^2)/(7^2))*(0.55+0.45*SIN(2*PI()*(Model_Data!A61)/45))+24*SIN(2*PI()*(0)/9+(Model_Data!A61)/18)*EXP(-(((0)+5)^2)/(22^2))+18*SIN(2*PI()*(Model_Data!A61)/70))+Inputs!$C$28*EXP(-(((Model_Data!A61)-Inputs!$C$29)^2)/(2*Inputs!$C$31^2))*EXP(-(((0)-Inputs!$C$30)^2)/(2*Inputs!$C$32^2))+-Inputs!$C$33*EXP(-(((((Model_Data!A61)-Inputs!$C$34)^2)+(((0)-Inputs!$C$35)^2))/(2*Inputs!$C$36^2)))+Inputs!$C$37*(0.55*SIN(2*PI()*(Model_Data!A61)/Inputs!$C$39)+0.35*COS(2*PI()*(0)/Inputs!$C$40)+0.2*SIN(2*PI()*((Model_Data!A61)+(0))/(0.5*(Inputs!$C$39+Inputs!$C$40))))+Inputs!$C$38*SIN(2*PI()*(Model_Data!A61)/Inputs!$C$39)*SIN(2*PI()*(0)/Inputs!$C$40)+-Inputs!$C$41*EXP(-(((0)-Inputs!$C$43)^2)/(2*Inputs!$C$44^2))*EXP(-(((Model_Data!A61)-Inputs!$C$42)^2)/(2*Inputs!$C$45^2))+Inputs!$C$48*(0.70*(0.45*SIN(2*PI()*(((Model_Data!A61)/Inputs!$C$49)+Inputs!$C$47*0.137))+0.35*COS(2*PI()*(((0)/Inputs!$C$50)+Inputs!$C$47*0.173))+0.20*SIN(2*PI()*(((Model_Data!A61)+(0))/(0.5*(Inputs!$C$49+Inputs!$C$50))+Inputs!$C$47*0.097)))+0.30*(2*((SIN(((Model_Data!A61)*12.9898+(0)*78.233+Inputs!$C$47*37.719))*43758.5453)-INT((SIN(((Model_Data!A61)*12.9898+(0)*78.233+Inputs!$C$47*37.719))*43758.5453)))-1)))</x:f>
        <x:v>-7.467318037700602</x:v>
      </x:c>
      <x:c r="H61" s="49"/>
      <x:c r="I61" s="48" t="n">
        <x:f>Model_Data!A61</x:f>
        <x:v>-30.5</x:v>
      </x:c>
      <x:c r="J61" s="48" t="n">
        <x:f>((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(0.45*SIN(2*PI()*(((Model_Data!A61)/Inputs!$C$49)+Inputs!$C$47*0.137))+0.35*COS(2*PI()*(((Inputs!$C$6)/Inputs!$C$50)+Inputs!$C$47*0.173))+0.20*SIN(2*PI()*(((Model_Data!A61)+(Inputs!$C$6))/(0.5*(Inputs!$C$49+Inputs!$C$50))+Inputs!$C$47*0.097)))+0.30*(2*((SIN(((Model_Data!A61)*12.9898+(Inputs!$C$6)*78.233+Inputs!$C$47*37.719))*43758.5453)-INT((SIN(((Model_Data!A61)*12.9898+(Inputs!$C$6)*78.233+Inputs!$C$47*37.719))*43758.5453)))-1))))-((Inputs!$C$51*(115*EXP(-(((0)-25)^2)/(4.5^2))+70*EXP(-(((0)+38)^2)/(7^2))*(0.55+0.45*SIN(2*PI()*(Model_Data!A61)/45))+24*SIN(2*PI()*(0)/9+(Model_Data!A61)/18)*EXP(-(((0)+5)^2)/(22^2))+18*SIN(2*PI()*(Model_Data!A61)/70))+Inputs!$C$28*EXP(-(((Model_Data!A61)-Inputs!$C$29)^2)/(2*Inputs!$C$31^2))*EXP(-(((0)-Inputs!$C$30)^2)/(2*Inputs!$C$32^2))+-Inputs!$C$33*EXP(-(((((Model_Data!A61)-Inputs!$C$34)^2)+(((0)-Inputs!$C$35)^2))/(2*Inputs!$C$36^2)))+Inputs!$C$37*(0.55*SIN(2*PI()*(Model_Data!A61)/Inputs!$C$39)+0.35*COS(2*PI()*(0)/Inputs!$C$40)+0.2*SIN(2*PI()*((Model_Data!A61)+(0))/(0.5*(Inputs!$C$39+Inputs!$C$40))))+Inputs!$C$38*SIN(2*PI()*(Model_Data!A61)/Inputs!$C$39)*SIN(2*PI()*(0)/Inputs!$C$40)+-Inputs!$C$41*EXP(-(((0)-Inputs!$C$43)^2)/(2*Inputs!$C$44^2))*EXP(-(((Model_Data!A61)-Inputs!$C$42)^2)/(2*Inputs!$C$45^2))+Inputs!$C$48*(0.70*(0.45*SIN(2*PI()*(((Model_Data!A61)/Inputs!$C$49)+Inputs!$C$47*0.137))+0.35*COS(2*PI()*(((0)/Inputs!$C$50)+Inputs!$C$47*0.173))+0.20*SIN(2*PI()*(((Model_Data!A61)+(0))/(0.5*(Inputs!$C$49+Inputs!$C$50))+Inputs!$C$47*0.097)))+0.30*(2*((SIN(((Model_Data!A61)*12.9898+(0)*78.233+Inputs!$C$47*37.719))*43758.5453)-INT((SIN(((Model_Data!A61)*12.9898+(0)*78.233+Inputs!$C$47*37.719))*43758.5453)))-1))))</x:f>
        <x:v>346.12447244695227</x:v>
      </x:c>
      <x:c r="K61" s="48" t="n">
        <x:f>-((((SQRT((Model_Data!A61)^2+Inputs!$C$6^2+((Model_Data!B61)-((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(0.45*SIN(2*PI()*(((Model_Data!A61)/Inputs!$C$49)+Inputs!$C$47*0.137))+0.35*COS(2*PI()*(((Inputs!$C$6)/Inputs!$C$50)+Inputs!$C$47*0.173))+0.20*SIN(2*PI()*(((Model_Data!A61)+(Inputs!$C$6))/(0.5*(Inputs!$C$49+Inputs!$C$50))+Inputs!$C$47*0.097)))+0.30*(2*((SIN(((Model_Data!A61)*12.9898+(Inputs!$C$6)*78.233+Inputs!$C$47*37.719))*43758.5453)-INT((SIN(((Model_Data!A61)*12.9898+(Inputs!$C$6)*78.233+Inputs!$C$47*37.719))*43758.5453)))-1))))/1000)^2))-(((Model_Data!B61)-((Inputs!$C$51*(115*EXP(-(((0)-25)^2)/(4.5^2))+70*EXP(-(((0)+38)^2)/(7^2))*(0.55+0.45*SIN(2*PI()*(Model_Data!A61)/45))+24*SIN(2*PI()*(0)/9+(Model_Data!A61)/18)*EXP(-(((0)+5)^2)/(22^2))+18*SIN(2*PI()*(Model_Data!A61)/70))+Inputs!$C$28*EXP(-(((Model_Data!A61)-Inputs!$C$29)^2)/(2*Inputs!$C$31^2))*EXP(-(((0)-Inputs!$C$30)^2)/(2*Inputs!$C$32^2))+-Inputs!$C$33*EXP(-(((((Model_Data!A61)-Inputs!$C$34)^2)+(((0)-Inputs!$C$35)^2))/(2*Inputs!$C$36^2)))+Inputs!$C$37*(0.55*SIN(2*PI()*(Model_Data!A61)/Inputs!$C$39)+0.35*COS(2*PI()*(0)/Inputs!$C$40)+0.2*SIN(2*PI()*((Model_Data!A61)+(0))/(0.5*(Inputs!$C$39+Inputs!$C$40))))+Inputs!$C$38*SIN(2*PI()*(Model_Data!A61)/Inputs!$C$39)*SIN(2*PI()*(0)/Inputs!$C$40)+-Inputs!$C$41*EXP(-(((0)-Inputs!$C$43)^2)/(2*Inputs!$C$44^2))*EXP(-(((Model_Data!A61)-Inputs!$C$42)^2)/(2*Inputs!$C$45^2))+Inputs!$C$48*(0.70*(0.45*SIN(2*PI()*(((Model_Data!A61)/Inputs!$C$49)+Inputs!$C$47*0.137))+0.35*COS(2*PI()*(((0)/Inputs!$C$50)+Inputs!$C$47*0.173))+0.20*SIN(2*PI()*(((Model_Data!A61)+(0))/(0.5*(Inputs!$C$49+Inputs!$C$50))+Inputs!$C$47*0.097)))+0.30*(2*((SIN(((Model_Data!A61)*12.9898+(0)*78.233+Inputs!$C$47*37.719))*43758.5453)-INT((SIN(((Model_Data!A61)*12.9898+(0)*78.233+Inputs!$C$47*37.719))*43758.5453)))-1))))/1000)))*1000/Inputs!$C$12)-Model_Data!F61)</x:f>
        <x:v>193.53788546040744</x:v>
      </x:c>
      <x:c r="L61" s="49"/>
      <x:c r="M61" s="48" t="n">
        <x:f>Model_Data!A61</x:f>
        <x:v>-30.5</x:v>
      </x:c>
      <x:c r="N61" s="48" t="n">
        <x:f>Model_Data!P61</x:f>
        <x:v>229.02530143144403</x:v>
      </x:c>
      <x:c r="O61" s="48" t="n">
        <x:f>AC61</x:f>
        <x:v>203.19747059711517</x:v>
      </x:c>
      <x:c r="P61" s="48" t="n">
        <x:f>Model_Data!Q61</x:f>
        <x:v>34.38818339811473</x:v>
      </x:c>
      <x:c r="Q61" s="48" t="n">
        <x:f>AD61</x:f>
        <x:v>30.510130720287567</x:v>
      </x:c>
      <x:c r="R61" s="49"/>
      <x:c r="S61" s="48" t="n">
        <x:f>Model_Data!A61</x:f>
        <x:v>-30.5</x:v>
      </x:c>
      <x:c r="T61" s="48" t="n">
        <x:f>Model_Data!B61-Inputs!$C$5</x:f>
        <x:v>1.0336111111110995</x:v>
      </x:c>
      <x:c r="U61" s="49"/>
      <x:c r="V61" s="48" t="n">
        <x:f>Model_Data!A61</x:f>
        <x:v>-30.5</x:v>
      </x:c>
      <x:c r="W61" s="48" t="n">
        <x:f>(-((((SQRT((Model_Data!A61)^2+Inputs!$C$6^2+((Model_Data!B61)-((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(0.45*SIN(2*PI()*(((Model_Data!A61)/Inputs!$C$49)+Inputs!$C$47*0.137))+0.35*COS(2*PI()*(((Inputs!$C$6)/Inputs!$C$50)+Inputs!$C$47*0.173))+0.20*SIN(2*PI()*(((Model_Data!A61)+(Inputs!$C$6))/(0.5*(Inputs!$C$49+Inputs!$C$50))+Inputs!$C$47*0.097)))+0.30*(2*((SIN(((Model_Data!A61)*12.9898+(Inputs!$C$6)*78.233+Inputs!$C$47*37.719))*43758.5453)-INT((SIN(((Model_Data!A61)*12.9898+(Inputs!$C$6)*78.233+Inputs!$C$47*37.719))*43758.5453)))-1))))/1000)^2))-(((Model_Data!B61)-((Inputs!$C$51*(115*EXP(-(((0)-25)^2)/(4.5^2))+70*EXP(-(((0)+38)^2)/(7^2))*(0.55+0.45*SIN(2*PI()*(Model_Data!A61)/45))+24*SIN(2*PI()*(0)/9+(Model_Data!A61)/18)*EXP(-(((0)+5)^2)/(22^2))+18*SIN(2*PI()*(Model_Data!A61)/70))+Inputs!$C$28*EXP(-(((Model_Data!A61)-Inputs!$C$29)^2)/(2*Inputs!$C$31^2))*EXP(-(((0)-Inputs!$C$30)^2)/(2*Inputs!$C$32^2))+-Inputs!$C$33*EXP(-(((((Model_Data!A61)-Inputs!$C$34)^2)+(((0)-Inputs!$C$35)^2))/(2*Inputs!$C$36^2)))+Inputs!$C$37*(0.55*SIN(2*PI()*(Model_Data!A61)/Inputs!$C$39)+0.35*COS(2*PI()*(0)/Inputs!$C$40)+0.2*SIN(2*PI()*((Model_Data!A61)+(0))/(0.5*(Inputs!$C$39+Inputs!$C$40))))+Inputs!$C$38*SIN(2*PI()*(Model_Data!A61)/Inputs!$C$39)*SIN(2*PI()*(0)/Inputs!$C$40)+-Inputs!$C$41*EXP(-(((0)-Inputs!$C$43)^2)/(2*Inputs!$C$44^2))*EXP(-(((Model_Data!A61)-Inputs!$C$42)^2)/(2*Inputs!$C$45^2))+Inputs!$C$48*(0.70*(0.45*SIN(2*PI()*(((Model_Data!A61)/Inputs!$C$49)+Inputs!$C$47*0.137))+0.35*COS(2*PI()*(((0)/Inputs!$C$50)+Inputs!$C$47*0.173))+0.20*SIN(2*PI()*(((Model_Data!A61)+(0))/(0.5*(Inputs!$C$49+Inputs!$C$50))+Inputs!$C$47*0.097)))+0.30*(2*((SIN(((Model_Data!A61)*12.9898+(0)*78.233+Inputs!$C$47*37.719))*43758.5453)-INT((SIN(((Model_Data!A61)*12.9898+(0)*78.233+Inputs!$C$47*37.719))*43758.5453)))-1))))/1000)))*1000/Inputs!$C$12)-Model_Data!F61))-(-(((SQRT((Model_Data!A61)^2+Inputs!$C$6^2+(Inputs!$C$5-((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(0.45*SIN(2*PI()*(((Model_Data!A61)/Inputs!$C$49)+Inputs!$C$47*0.137))+0.35*COS(2*PI()*(((Inputs!$C$6)/Inputs!$C$50)+Inputs!$C$47*0.173))+0.20*SIN(2*PI()*(((Model_Data!A61)+(Inputs!$C$6))/(0.5*(Inputs!$C$49+Inputs!$C$50))+Inputs!$C$47*0.097)))+0.30*(2*((SIN(((Model_Data!A61)*12.9898+(Inputs!$C$6)*78.233+Inputs!$C$47*37.719))*43758.5453)-INT((SIN(((Model_Data!A61)*12.9898+(Inputs!$C$6)*78.233+Inputs!$C$47*37.719))*43758.5453)))-1))))/1000)^2)-(Inputs!$C$5-((Inputs!$C$51*(115*EXP(-(((0)-25)^2)/(4.5^2))+70*EXP(-(((0)+38)^2)/(7^2))*(0.55+0.45*SIN(2*PI()*(Model_Data!A61)/45))+24*SIN(2*PI()*(0)/9+(Model_Data!A61)/18)*EXP(-(((0)+5)^2)/(22^2))+18*SIN(2*PI()*(Model_Data!A61)/70))+Inputs!$C$28*EXP(-(((Model_Data!A61)-Inputs!$C$29)^2)/(2*Inputs!$C$31^2))*EXP(-(((0)-Inputs!$C$30)^2)/(2*Inputs!$C$32^2))+-Inputs!$C$33*EXP(-(((((Model_Data!A61)-Inputs!$C$34)^2)+(((0)-Inputs!$C$35)^2))/(2*Inputs!$C$36^2)))+Inputs!$C$37*(0.55*SIN(2*PI()*(Model_Data!A61)/Inputs!$C$39)+0.35*COS(2*PI()*(0)/Inputs!$C$40)+0.2*SIN(2*PI()*((Model_Data!A61)+(0))/(0.5*(Inputs!$C$39+Inputs!$C$40))))+Inputs!$C$38*SIN(2*PI()*(Model_Data!A61)/Inputs!$C$39)*SIN(2*PI()*(0)/Inputs!$C$40)+-Inputs!$C$41*EXP(-(((0)-Inputs!$C$43)^2)/(2*Inputs!$C$44^2))*EXP(-(((Model_Data!A61)-Inputs!$C$42)^2)/(2*Inputs!$C$45^2))+Inputs!$C$48*(0.70*(0.45*SIN(2*PI()*(((Model_Data!A61)/Inputs!$C$49)+Inputs!$C$47*0.137))+0.35*COS(2*PI()*(((0)/Inputs!$C$50)+Inputs!$C$47*0.173))+0.20*SIN(2*PI()*(((Model_Data!A61)+(0))/(0.5*(Inputs!$C$49+Inputs!$C$50))+Inputs!$C$47*0.097)))+0.30*(2*((SIN(((Model_Data!A61)*12.9898+(0)*78.233+Inputs!$C$47*37.719))*43758.5453)-INT((SIN(((Model_Data!A61)*12.9898+(0)*78.233+Inputs!$C$47*37.719))*43758.5453)))-1))))/1000))*1000/Inputs!$C$12)-((SQRT((Model_Data!A61)^2+Inputs!$C$6^2+Inputs!$C$5^2)-Inputs!$C$5)*1000/Inputs!$C$12)))</x:f>
        <x:v>0.004697828471421417</x:v>
      </x:c>
      <x:c r="X61" s="48" t="n">
        <x:f>0</x:f>
        <x:v>0</x:v>
      </x:c>
      <x:c r="Y61" s="49"/>
      <x:c r="Z61" s="48" t="n">
        <x:f>Model_Data!A61</x:f>
        <x:v>-30.5</x:v>
      </x:c>
      <x:c r="AA61" s="48" t="n">
        <x:f>SQRT((Model_Data!A61)^2+Inputs!$C$6^2+((Model_Data!B61)-((Inputs!$C$51*(115*EXP(-(((Inputs!$C$6)-25)^2)/(4.5^2))+70*EXP(-(((Inputs!$C$6)+38)^2)/(7^2))*(0.55+0.45*SIN(2*PI()*(Model_Data!A61)/45))+24*SIN(2*PI()*(Inputs!$C$6)/9+(Model_Data!A61)/18)*EXP(-(((Inputs!$C$6)+5)^2)/(22^2))+18*SIN(2*PI()*(Model_Data!A61)/70))+Inputs!$C$28*EXP(-(((Model_Data!A61)-Inputs!$C$29)^2)/(2*Inputs!$C$31^2))*EXP(-(((Inputs!$C$6)-Inputs!$C$30)^2)/(2*Inputs!$C$32^2))+-Inputs!$C$33*EXP(-(((((Model_Data!A61)-Inputs!$C$34)^2)+(((Inputs!$C$6)-Inputs!$C$35)^2))/(2*Inputs!$C$36^2)))+Inputs!$C$37*(0.55*SIN(2*PI()*(Model_Data!A61)/Inputs!$C$39)+0.35*COS(2*PI()*(Inputs!$C$6)/Inputs!$C$40)+0.2*SIN(2*PI()*((Model_Data!A61)+(Inputs!$C$6))/(0.5*(Inputs!$C$39+Inputs!$C$40))))+Inputs!$C$38*SIN(2*PI()*(Model_Data!A61)/Inputs!$C$39)*SIN(2*PI()*(Inputs!$C$6)/Inputs!$C$40)+-Inputs!$C$41*EXP(-(((Inputs!$C$6)-Inputs!$C$43)^2)/(2*Inputs!$C$44^2))*EXP(-(((Model_Data!A61)-Inputs!$C$42)^2)/(2*Inputs!$C$45^2))+Inputs!$C$48*(0.70*(0.45*SIN(2*PI()*(((Model_Data!A61)/Inputs!$C$49)+Inputs!$C$47*0.137))+0.35*COS(2*PI()*(((Inputs!$C$6)/Inputs!$C$50)+Inputs!$C$47*0.173))+0.20*SIN(2*PI()*(((Model_Data!A61)+(Inputs!$C$6))/(0.5*(Inputs!$C$49+Inputs!$C$50))+Inputs!$C$47*0.097)))+0.30*(2*((SIN(((Model_Data!A61)*12.9898+(Inputs!$C$6)*78.233+Inputs!$C$47*37.719))*43758.5453)-INT((SIN(((Model_Data!A61)*12.9898+(Inputs!$C$6)*78.233+Inputs!$C$47*37.719))*43758.5453)))-1))))/1000)^2)</x:f>
        <x:v>402.63096766935774</x:v>
      </x:c>
      <x:c r="AB61" s="48" t="n">
        <x:f>1000*(AA62-AA60)/(Z62-Z60)*Inputs!$C$11</x:f>
        <x:v>-507.9936764927879</x:v>
      </x:c>
      <x:c r="AC61" s="48" t="n">
        <x:f>-2*AB61/Inputs!$C$13</x:f>
        <x:v>203.19747059711517</x:v>
      </x:c>
      <x:c r="AD61" s="48" t="n">
        <x:f>-2*AB61/Inputs!$C$14</x:f>
        <x:v>30.510130720287567</x:v>
      </x:c>
    </x:row>
    <x:row r="62">
      <x:c r="A62" s="48" t="n">
        <x:f>Model_Data!A62</x:f>
        <x:v>-30</x:v>
      </x:c>
      <x:c r="B62" s="48" t="n">
        <x:f>Model_Data!F62</x:f>
        <x:v>1065.7354900670628</x:v>
      </x:c>
      <x:c r="C62" s="48" t="n">
        <x:f>(((SQRT((Model_Data!A62)^2+Inputs!$C$6^2+((Model_Data!B62)-((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(0.45*SIN(2*PI()*(((Model_Data!A62)/Inputs!$C$49)+Inputs!$C$47*0.137))+0.35*COS(2*PI()*(((Inputs!$C$6)/Inputs!$C$50)+Inputs!$C$47*0.173))+0.20*SIN(2*PI()*(((Model_Data!A62)+(Inputs!$C$6))/(0.5*(Inputs!$C$49+Inputs!$C$50))+Inputs!$C$47*0.097)))+0.30*(2*((SIN(((Model_Data!A62)*12.9898+(Inputs!$C$6)*78.233+Inputs!$C$47*37.719))*43758.5453)-INT((SIN(((Model_Data!A62)*12.9898+(Inputs!$C$6)*78.233+Inputs!$C$47*37.719))*43758.5453)))-1))))/1000)^2))-(((Model_Data!B62)-((Inputs!$C$51*(115*EXP(-(((0)-25)^2)/(4.5^2))+70*EXP(-(((0)+38)^2)/(7^2))*(0.55+0.45*SIN(2*PI()*(Model_Data!A62)/45))+24*SIN(2*PI()*(0)/9+(Model_Data!A62)/18)*EXP(-(((0)+5)^2)/(22^2))+18*SIN(2*PI()*(Model_Data!A62)/70))+Inputs!$C$28*EXP(-(((Model_Data!A62)-Inputs!$C$29)^2)/(2*Inputs!$C$31^2))*EXP(-(((0)-Inputs!$C$30)^2)/(2*Inputs!$C$32^2))+-Inputs!$C$33*EXP(-(((((Model_Data!A62)-Inputs!$C$34)^2)+(((0)-Inputs!$C$35)^2))/(2*Inputs!$C$36^2)))+Inputs!$C$37*(0.55*SIN(2*PI()*(Model_Data!A62)/Inputs!$C$39)+0.35*COS(2*PI()*(0)/Inputs!$C$40)+0.2*SIN(2*PI()*((Model_Data!A62)+(0))/(0.5*(Inputs!$C$39+Inputs!$C$40))))+Inputs!$C$38*SIN(2*PI()*(Model_Data!A62)/Inputs!$C$39)*SIN(2*PI()*(0)/Inputs!$C$40)+-Inputs!$C$41*EXP(-(((0)-Inputs!$C$43)^2)/(2*Inputs!$C$44^2))*EXP(-(((Model_Data!A62)-Inputs!$C$42)^2)/(2*Inputs!$C$45^2))+Inputs!$C$48*(0.70*(0.45*SIN(2*PI()*(((Model_Data!A62)/Inputs!$C$49)+Inputs!$C$47*0.137))+0.35*COS(2*PI()*(((0)/Inputs!$C$50)+Inputs!$C$47*0.173))+0.20*SIN(2*PI()*(((Model_Data!A62)+(0))/(0.5*(Inputs!$C$49+Inputs!$C$50))+Inputs!$C$47*0.097)))+0.30*(2*((SIN(((Model_Data!A62)*12.9898+(0)*78.233+Inputs!$C$47*37.719))*43758.5453)-INT((SIN(((Model_Data!A62)*12.9898+(0)*78.233+Inputs!$C$47*37.719))*43758.5453)))-1))))/1000)))*1000/Inputs!$C$12)</x:f>
        <x:v>867.47340587719</x:v>
      </x:c>
      <x:c r="D62" s="49"/>
      <x:c r="E62" s="48" t="n">
        <x:f>Model_Data!A62</x:f>
        <x:v>-30</x:v>
      </x:c>
      <x:c r="F62" s="48" t="n">
        <x:f>(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(0.45*SIN(2*PI()*(((Model_Data!A62)/Inputs!$C$49)+Inputs!$C$47*0.137))+0.35*COS(2*PI()*(((Inputs!$C$6)/Inputs!$C$50)+Inputs!$C$47*0.173))+0.20*SIN(2*PI()*(((Model_Data!A62)+(Inputs!$C$6))/(0.5*(Inputs!$C$49+Inputs!$C$50))+Inputs!$C$47*0.097)))+0.30*(2*((SIN(((Model_Data!A62)*12.9898+(Inputs!$C$6)*78.233+Inputs!$C$47*37.719))*43758.5453)-INT((SIN(((Model_Data!A62)*12.9898+(Inputs!$C$6)*78.233+Inputs!$C$47*37.719))*43758.5453)))-1)))</x:f>
        <x:v>336.97644838088075</x:v>
      </x:c>
      <x:c r="G62" s="48" t="n">
        <x:f>(Inputs!$C$51*(115*EXP(-(((0)-25)^2)/(4.5^2))+70*EXP(-(((0)+38)^2)/(7^2))*(0.55+0.45*SIN(2*PI()*(Model_Data!A62)/45))+24*SIN(2*PI()*(0)/9+(Model_Data!A62)/18)*EXP(-(((0)+5)^2)/(22^2))+18*SIN(2*PI()*(Model_Data!A62)/70))+Inputs!$C$28*EXP(-(((Model_Data!A62)-Inputs!$C$29)^2)/(2*Inputs!$C$31^2))*EXP(-(((0)-Inputs!$C$30)^2)/(2*Inputs!$C$32^2))+-Inputs!$C$33*EXP(-(((((Model_Data!A62)-Inputs!$C$34)^2)+(((0)-Inputs!$C$35)^2))/(2*Inputs!$C$36^2)))+Inputs!$C$37*(0.55*SIN(2*PI()*(Model_Data!A62)/Inputs!$C$39)+0.35*COS(2*PI()*(0)/Inputs!$C$40)+0.2*SIN(2*PI()*((Model_Data!A62)+(0))/(0.5*(Inputs!$C$39+Inputs!$C$40))))+Inputs!$C$38*SIN(2*PI()*(Model_Data!A62)/Inputs!$C$39)*SIN(2*PI()*(0)/Inputs!$C$40)+-Inputs!$C$41*EXP(-(((0)-Inputs!$C$43)^2)/(2*Inputs!$C$44^2))*EXP(-(((Model_Data!A62)-Inputs!$C$42)^2)/(2*Inputs!$C$45^2))+Inputs!$C$48*(0.70*(0.45*SIN(2*PI()*(((Model_Data!A62)/Inputs!$C$49)+Inputs!$C$47*0.137))+0.35*COS(2*PI()*(((0)/Inputs!$C$50)+Inputs!$C$47*0.173))+0.20*SIN(2*PI()*(((Model_Data!A62)+(0))/(0.5*(Inputs!$C$49+Inputs!$C$50))+Inputs!$C$47*0.097)))+0.30*(2*((SIN(((Model_Data!A62)*12.9898+(0)*78.233+Inputs!$C$47*37.719))*43758.5453)-INT((SIN(((Model_Data!A62)*12.9898+(0)*78.233+Inputs!$C$47*37.719))*43758.5453)))-1)))</x:f>
        <x:v>-17.51801383367469</x:v>
      </x:c>
      <x:c r="H62" s="49"/>
      <x:c r="I62" s="48" t="n">
        <x:f>Model_Data!A62</x:f>
        <x:v>-30</x:v>
      </x:c>
      <x:c r="J62" s="48" t="n">
        <x:f>((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(0.45*SIN(2*PI()*(((Model_Data!A62)/Inputs!$C$49)+Inputs!$C$47*0.137))+0.35*COS(2*PI()*(((Inputs!$C$6)/Inputs!$C$50)+Inputs!$C$47*0.173))+0.20*SIN(2*PI()*(((Model_Data!A62)+(Inputs!$C$6))/(0.5*(Inputs!$C$49+Inputs!$C$50))+Inputs!$C$47*0.097)))+0.30*(2*((SIN(((Model_Data!A62)*12.9898+(Inputs!$C$6)*78.233+Inputs!$C$47*37.719))*43758.5453)-INT((SIN(((Model_Data!A62)*12.9898+(Inputs!$C$6)*78.233+Inputs!$C$47*37.719))*43758.5453)))-1))))-((Inputs!$C$51*(115*EXP(-(((0)-25)^2)/(4.5^2))+70*EXP(-(((0)+38)^2)/(7^2))*(0.55+0.45*SIN(2*PI()*(Model_Data!A62)/45))+24*SIN(2*PI()*(0)/9+(Model_Data!A62)/18)*EXP(-(((0)+5)^2)/(22^2))+18*SIN(2*PI()*(Model_Data!A62)/70))+Inputs!$C$28*EXP(-(((Model_Data!A62)-Inputs!$C$29)^2)/(2*Inputs!$C$31^2))*EXP(-(((0)-Inputs!$C$30)^2)/(2*Inputs!$C$32^2))+-Inputs!$C$33*EXP(-(((((Model_Data!A62)-Inputs!$C$34)^2)+(((0)-Inputs!$C$35)^2))/(2*Inputs!$C$36^2)))+Inputs!$C$37*(0.55*SIN(2*PI()*(Model_Data!A62)/Inputs!$C$39)+0.35*COS(2*PI()*(0)/Inputs!$C$40)+0.2*SIN(2*PI()*((Model_Data!A62)+(0))/(0.5*(Inputs!$C$39+Inputs!$C$40))))+Inputs!$C$38*SIN(2*PI()*(Model_Data!A62)/Inputs!$C$39)*SIN(2*PI()*(0)/Inputs!$C$40)+-Inputs!$C$41*EXP(-(((0)-Inputs!$C$43)^2)/(2*Inputs!$C$44^2))*EXP(-(((Model_Data!A62)-Inputs!$C$42)^2)/(2*Inputs!$C$45^2))+Inputs!$C$48*(0.70*(0.45*SIN(2*PI()*(((Model_Data!A62)/Inputs!$C$49)+Inputs!$C$47*0.137))+0.35*COS(2*PI()*(((0)/Inputs!$C$50)+Inputs!$C$47*0.173))+0.20*SIN(2*PI()*(((Model_Data!A62)+(0))/(0.5*(Inputs!$C$49+Inputs!$C$50))+Inputs!$C$47*0.097)))+0.30*(2*((SIN(((Model_Data!A62)*12.9898+(0)*78.233+Inputs!$C$47*37.719))*43758.5453)-INT((SIN(((Model_Data!A62)*12.9898+(0)*78.233+Inputs!$C$47*37.719))*43758.5453)))-1))))</x:f>
        <x:v>354.4944622145554</x:v>
      </x:c>
      <x:c r="K62" s="48" t="n">
        <x:f>-((((SQRT((Model_Data!A62)^2+Inputs!$C$6^2+((Model_Data!B62)-((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(0.45*SIN(2*PI()*(((Model_Data!A62)/Inputs!$C$49)+Inputs!$C$47*0.137))+0.35*COS(2*PI()*(((Inputs!$C$6)/Inputs!$C$50)+Inputs!$C$47*0.173))+0.20*SIN(2*PI()*(((Model_Data!A62)+(Inputs!$C$6))/(0.5*(Inputs!$C$49+Inputs!$C$50))+Inputs!$C$47*0.097)))+0.30*(2*((SIN(((Model_Data!A62)*12.9898+(Inputs!$C$6)*78.233+Inputs!$C$47*37.719))*43758.5453)-INT((SIN(((Model_Data!A62)*12.9898+(Inputs!$C$6)*78.233+Inputs!$C$47*37.719))*43758.5453)))-1))))/1000)^2))-(((Model_Data!B62)-((Inputs!$C$51*(115*EXP(-(((0)-25)^2)/(4.5^2))+70*EXP(-(((0)+38)^2)/(7^2))*(0.55+0.45*SIN(2*PI()*(Model_Data!A62)/45))+24*SIN(2*PI()*(0)/9+(Model_Data!A62)/18)*EXP(-(((0)+5)^2)/(22^2))+18*SIN(2*PI()*(Model_Data!A62)/70))+Inputs!$C$28*EXP(-(((Model_Data!A62)-Inputs!$C$29)^2)/(2*Inputs!$C$31^2))*EXP(-(((0)-Inputs!$C$30)^2)/(2*Inputs!$C$32^2))+-Inputs!$C$33*EXP(-(((((Model_Data!A62)-Inputs!$C$34)^2)+(((0)-Inputs!$C$35)^2))/(2*Inputs!$C$36^2)))+Inputs!$C$37*(0.55*SIN(2*PI()*(Model_Data!A62)/Inputs!$C$39)+0.35*COS(2*PI()*(0)/Inputs!$C$40)+0.2*SIN(2*PI()*((Model_Data!A62)+(0))/(0.5*(Inputs!$C$39+Inputs!$C$40))))+Inputs!$C$38*SIN(2*PI()*(Model_Data!A62)/Inputs!$C$39)*SIN(2*PI()*(0)/Inputs!$C$40)+-Inputs!$C$41*EXP(-(((0)-Inputs!$C$43)^2)/(2*Inputs!$C$44^2))*EXP(-(((Model_Data!A62)-Inputs!$C$42)^2)/(2*Inputs!$C$45^2))+Inputs!$C$48*(0.70*(0.45*SIN(2*PI()*(((Model_Data!A62)/Inputs!$C$49)+Inputs!$C$47*0.137))+0.35*COS(2*PI()*(((0)/Inputs!$C$50)+Inputs!$C$47*0.173))+0.20*SIN(2*PI()*(((Model_Data!A62)+(0))/(0.5*(Inputs!$C$49+Inputs!$C$50))+Inputs!$C$47*0.097)))+0.30*(2*((SIN(((Model_Data!A62)*12.9898+(0)*78.233+Inputs!$C$47*37.719))*43758.5453)-INT((SIN(((Model_Data!A62)*12.9898+(0)*78.233+Inputs!$C$47*37.719))*43758.5453)))-1))))/1000)))*1000/Inputs!$C$12)-Model_Data!F62)</x:f>
        <x:v>198.26208418987278</x:v>
      </x:c>
      <x:c r="L62" s="49"/>
      <x:c r="M62" s="48" t="n">
        <x:f>Model_Data!A62</x:f>
        <x:v>-30</x:v>
      </x:c>
      <x:c r="N62" s="48" t="n">
        <x:f>Model_Data!P62</x:f>
        <x:v>225.30158146324067</x:v>
      </x:c>
      <x:c r="O62" s="48" t="n">
        <x:f>AC62</x:f>
        <x:v>205.63635574180807</x:v>
      </x:c>
      <x:c r="P62" s="48" t="n">
        <x:f>Model_Data!Q62</x:f>
        <x:v>33.82906628577187</x:v>
      </x:c>
      <x:c r="Q62" s="48" t="n">
        <x:f>AD62</x:f>
        <x:v>30.876329690962176</x:v>
      </x:c>
      <x:c r="R62" s="49"/>
      <x:c r="S62" s="48" t="n">
        <x:f>Model_Data!A62</x:f>
        <x:v>-30</x:v>
      </x:c>
      <x:c r="T62" s="48" t="n">
        <x:f>Model_Data!B62-Inputs!$C$5</x:f>
        <x:v>1</x:v>
      </x:c>
      <x:c r="U62" s="49"/>
      <x:c r="V62" s="48" t="n">
        <x:f>Model_Data!A62</x:f>
        <x:v>-30</x:v>
      </x:c>
      <x:c r="W62" s="48" t="n">
        <x:f>(-((((SQRT((Model_Data!A62)^2+Inputs!$C$6^2+((Model_Data!B62)-((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(0.45*SIN(2*PI()*(((Model_Data!A62)/Inputs!$C$49)+Inputs!$C$47*0.137))+0.35*COS(2*PI()*(((Inputs!$C$6)/Inputs!$C$50)+Inputs!$C$47*0.173))+0.20*SIN(2*PI()*(((Model_Data!A62)+(Inputs!$C$6))/(0.5*(Inputs!$C$49+Inputs!$C$50))+Inputs!$C$47*0.097)))+0.30*(2*((SIN(((Model_Data!A62)*12.9898+(Inputs!$C$6)*78.233+Inputs!$C$47*37.719))*43758.5453)-INT((SIN(((Model_Data!A62)*12.9898+(Inputs!$C$6)*78.233+Inputs!$C$47*37.719))*43758.5453)))-1))))/1000)^2))-(((Model_Data!B62)-((Inputs!$C$51*(115*EXP(-(((0)-25)^2)/(4.5^2))+70*EXP(-(((0)+38)^2)/(7^2))*(0.55+0.45*SIN(2*PI()*(Model_Data!A62)/45))+24*SIN(2*PI()*(0)/9+(Model_Data!A62)/18)*EXP(-(((0)+5)^2)/(22^2))+18*SIN(2*PI()*(Model_Data!A62)/70))+Inputs!$C$28*EXP(-(((Model_Data!A62)-Inputs!$C$29)^2)/(2*Inputs!$C$31^2))*EXP(-(((0)-Inputs!$C$30)^2)/(2*Inputs!$C$32^2))+-Inputs!$C$33*EXP(-(((((Model_Data!A62)-Inputs!$C$34)^2)+(((0)-Inputs!$C$35)^2))/(2*Inputs!$C$36^2)))+Inputs!$C$37*(0.55*SIN(2*PI()*(Model_Data!A62)/Inputs!$C$39)+0.35*COS(2*PI()*(0)/Inputs!$C$40)+0.2*SIN(2*PI()*((Model_Data!A62)+(0))/(0.5*(Inputs!$C$39+Inputs!$C$40))))+Inputs!$C$38*SIN(2*PI()*(Model_Data!A62)/Inputs!$C$39)*SIN(2*PI()*(0)/Inputs!$C$40)+-Inputs!$C$41*EXP(-(((0)-Inputs!$C$43)^2)/(2*Inputs!$C$44^2))*EXP(-(((Model_Data!A62)-Inputs!$C$42)^2)/(2*Inputs!$C$45^2))+Inputs!$C$48*(0.70*(0.45*SIN(2*PI()*(((Model_Data!A62)/Inputs!$C$49)+Inputs!$C$47*0.137))+0.35*COS(2*PI()*(((0)/Inputs!$C$50)+Inputs!$C$47*0.173))+0.20*SIN(2*PI()*(((Model_Data!A62)+(0))/(0.5*(Inputs!$C$49+Inputs!$C$50))+Inputs!$C$47*0.097)))+0.30*(2*((SIN(((Model_Data!A62)*12.9898+(0)*78.233+Inputs!$C$47*37.719))*43758.5453)-INT((SIN(((Model_Data!A62)*12.9898+(0)*78.233+Inputs!$C$47*37.719))*43758.5453)))-1))))/1000)))*1000/Inputs!$C$12)-Model_Data!F62))-(-(((SQRT((Model_Data!A62)^2+Inputs!$C$6^2+(Inputs!$C$5-((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(0.45*SIN(2*PI()*(((Model_Data!A62)/Inputs!$C$49)+Inputs!$C$47*0.137))+0.35*COS(2*PI()*(((Inputs!$C$6)/Inputs!$C$50)+Inputs!$C$47*0.173))+0.20*SIN(2*PI()*(((Model_Data!A62)+(Inputs!$C$6))/(0.5*(Inputs!$C$49+Inputs!$C$50))+Inputs!$C$47*0.097)))+0.30*(2*((SIN(((Model_Data!A62)*12.9898+(Inputs!$C$6)*78.233+Inputs!$C$47*37.719))*43758.5453)-INT((SIN(((Model_Data!A62)*12.9898+(Inputs!$C$6)*78.233+Inputs!$C$47*37.719))*43758.5453)))-1))))/1000)^2)-(Inputs!$C$5-((Inputs!$C$51*(115*EXP(-(((0)-25)^2)/(4.5^2))+70*EXP(-(((0)+38)^2)/(7^2))*(0.55+0.45*SIN(2*PI()*(Model_Data!A62)/45))+24*SIN(2*PI()*(0)/9+(Model_Data!A62)/18)*EXP(-(((0)+5)^2)/(22^2))+18*SIN(2*PI()*(Model_Data!A62)/70))+Inputs!$C$28*EXP(-(((Model_Data!A62)-Inputs!$C$29)^2)/(2*Inputs!$C$31^2))*EXP(-(((0)-Inputs!$C$30)^2)/(2*Inputs!$C$32^2))+-Inputs!$C$33*EXP(-(((((Model_Data!A62)-Inputs!$C$34)^2)+(((0)-Inputs!$C$35)^2))/(2*Inputs!$C$36^2)))+Inputs!$C$37*(0.55*SIN(2*PI()*(Model_Data!A62)/Inputs!$C$39)+0.35*COS(2*PI()*(0)/Inputs!$C$40)+0.2*SIN(2*PI()*((Model_Data!A62)+(0))/(0.5*(Inputs!$C$39+Inputs!$C$40))))+Inputs!$C$38*SIN(2*PI()*(Model_Data!A62)/Inputs!$C$39)*SIN(2*PI()*(0)/Inputs!$C$40)+-Inputs!$C$41*EXP(-(((0)-Inputs!$C$43)^2)/(2*Inputs!$C$44^2))*EXP(-(((Model_Data!A62)-Inputs!$C$42)^2)/(2*Inputs!$C$45^2))+Inputs!$C$48*(0.70*(0.45*SIN(2*PI()*(((Model_Data!A62)/Inputs!$C$49)+Inputs!$C$47*0.137))+0.35*COS(2*PI()*(((0)/Inputs!$C$50)+Inputs!$C$47*0.173))+0.20*SIN(2*PI()*(((Model_Data!A62)+(0))/(0.5*(Inputs!$C$49+Inputs!$C$50))+Inputs!$C$47*0.097)))+0.30*(2*((SIN(((Model_Data!A62)*12.9898+(0)*78.233+Inputs!$C$47*37.719))*43758.5453)-INT((SIN(((Model_Data!A62)*12.9898+(0)*78.233+Inputs!$C$47*37.719))*43758.5453)))-1))))/1000))*1000/Inputs!$C$12)-((SQRT((Model_Data!A62)^2+Inputs!$C$6^2+Inputs!$C$5^2)-Inputs!$C$5)*1000/Inputs!$C$12)))</x:f>
        <x:v>0.0044363118602177565</x:v>
      </x:c>
      <x:c r="X62" s="48" t="n">
        <x:f>0</x:f>
        <x:v>0</x:v>
      </x:c>
      <x:c r="Y62" s="49"/>
      <x:c r="Z62" s="48" t="n">
        <x:f>Model_Data!A62</x:f>
        <x:v>-30</x:v>
      </x:c>
      <x:c r="AA62" s="48" t="n">
        <x:f>SQRT((Model_Data!A62)^2+Inputs!$C$6^2+((Model_Data!B62)-((Inputs!$C$51*(115*EXP(-(((Inputs!$C$6)-25)^2)/(4.5^2))+70*EXP(-(((Inputs!$C$6)+38)^2)/(7^2))*(0.55+0.45*SIN(2*PI()*(Model_Data!A62)/45))+24*SIN(2*PI()*(Inputs!$C$6)/9+(Model_Data!A62)/18)*EXP(-(((Inputs!$C$6)+5)^2)/(22^2))+18*SIN(2*PI()*(Model_Data!A62)/70))+Inputs!$C$28*EXP(-(((Model_Data!A62)-Inputs!$C$29)^2)/(2*Inputs!$C$31^2))*EXP(-(((Inputs!$C$6)-Inputs!$C$30)^2)/(2*Inputs!$C$32^2))+-Inputs!$C$33*EXP(-(((((Model_Data!A62)-Inputs!$C$34)^2)+(((Inputs!$C$6)-Inputs!$C$35)^2))/(2*Inputs!$C$36^2)))+Inputs!$C$37*(0.55*SIN(2*PI()*(Model_Data!A62)/Inputs!$C$39)+0.35*COS(2*PI()*(Inputs!$C$6)/Inputs!$C$40)+0.2*SIN(2*PI()*((Model_Data!A62)+(Inputs!$C$6))/(0.5*(Inputs!$C$39+Inputs!$C$40))))+Inputs!$C$38*SIN(2*PI()*(Model_Data!A62)/Inputs!$C$39)*SIN(2*PI()*(Inputs!$C$6)/Inputs!$C$40)+-Inputs!$C$41*EXP(-(((Inputs!$C$6)-Inputs!$C$43)^2)/(2*Inputs!$C$44^2))*EXP(-(((Model_Data!A62)-Inputs!$C$42)^2)/(2*Inputs!$C$45^2))+Inputs!$C$48*(0.70*(0.45*SIN(2*PI()*(((Model_Data!A62)/Inputs!$C$49)+Inputs!$C$47*0.137))+0.35*COS(2*PI()*(((Inputs!$C$6)/Inputs!$C$50)+Inputs!$C$47*0.173))+0.20*SIN(2*PI()*(((Model_Data!A62)+(Inputs!$C$6))/(0.5*(Inputs!$C$49+Inputs!$C$50))+Inputs!$C$47*0.097)))+0.30*(2*((SIN(((Model_Data!A62)*12.9898+(Inputs!$C$6)*78.233+Inputs!$C$47*37.719))*43758.5453)-INT((SIN(((Model_Data!A62)*12.9898+(Inputs!$C$6)*78.233+Inputs!$C$47*37.719))*43758.5453)))-1))))/1000)^2)</x:f>
        <x:v>402.5616206762951</x:v>
      </x:c>
      <x:c r="AB62" s="48" t="n">
        <x:f>1000*(AA63-AA61)/(Z63-Z61)*Inputs!$C$11</x:f>
        <x:v>-514.0908893545202</x:v>
      </x:c>
      <x:c r="AC62" s="48" t="n">
        <x:f>-2*AB62/Inputs!$C$13</x:f>
        <x:v>205.63635574180807</x:v>
      </x:c>
      <x:c r="AD62" s="48" t="n">
        <x:f>-2*AB62/Inputs!$C$14</x:f>
        <x:v>30.876329690962176</x:v>
      </x:c>
    </x:row>
    <x:row r="63">
      <x:c r="A63" s="48" t="n">
        <x:f>Model_Data!A63</x:f>
        <x:v>-29.5</x:v>
      </x:c>
      <x:c r="B63" s="48" t="n">
        <x:f>Model_Data!F63</x:f>
        <x:v>1045.0786584324383</x:v>
      </x:c>
      <x:c r="C63" s="48" t="n">
        <x:f>(((SQRT((Model_Data!A63)^2+Inputs!$C$6^2+((Model_Data!B63)-((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(0.45*SIN(2*PI()*(((Model_Data!A63)/Inputs!$C$49)+Inputs!$C$47*0.137))+0.35*COS(2*PI()*(((Inputs!$C$6)/Inputs!$C$50)+Inputs!$C$47*0.173))+0.20*SIN(2*PI()*(((Model_Data!A63)+(Inputs!$C$6))/(0.5*(Inputs!$C$49+Inputs!$C$50))+Inputs!$C$47*0.097)))+0.30*(2*((SIN(((Model_Data!A63)*12.9898+(Inputs!$C$6)*78.233+Inputs!$C$47*37.719))*43758.5453)-INT((SIN(((Model_Data!A63)*12.9898+(Inputs!$C$6)*78.233+Inputs!$C$47*37.719))*43758.5453)))-1))))/1000)^2))-(((Model_Data!B63)-((Inputs!$C$51*(115*EXP(-(((0)-25)^2)/(4.5^2))+70*EXP(-(((0)+38)^2)/(7^2))*(0.55+0.45*SIN(2*PI()*(Model_Data!A63)/45))+24*SIN(2*PI()*(0)/9+(Model_Data!A63)/18)*EXP(-(((0)+5)^2)/(22^2))+18*SIN(2*PI()*(Model_Data!A63)/70))+Inputs!$C$28*EXP(-(((Model_Data!A63)-Inputs!$C$29)^2)/(2*Inputs!$C$31^2))*EXP(-(((0)-Inputs!$C$30)^2)/(2*Inputs!$C$32^2))+-Inputs!$C$33*EXP(-(((((Model_Data!A63)-Inputs!$C$34)^2)+(((0)-Inputs!$C$35)^2))/(2*Inputs!$C$36^2)))+Inputs!$C$37*(0.55*SIN(2*PI()*(Model_Data!A63)/Inputs!$C$39)+0.35*COS(2*PI()*(0)/Inputs!$C$40)+0.2*SIN(2*PI()*((Model_Data!A63)+(0))/(0.5*(Inputs!$C$39+Inputs!$C$40))))+Inputs!$C$38*SIN(2*PI()*(Model_Data!A63)/Inputs!$C$39)*SIN(2*PI()*(0)/Inputs!$C$40)+-Inputs!$C$41*EXP(-(((0)-Inputs!$C$43)^2)/(2*Inputs!$C$44^2))*EXP(-(((Model_Data!A63)-Inputs!$C$42)^2)/(2*Inputs!$C$45^2))+Inputs!$C$48*(0.70*(0.45*SIN(2*PI()*(((Model_Data!A63)/Inputs!$C$49)+Inputs!$C$47*0.137))+0.35*COS(2*PI()*(((0)/Inputs!$C$50)+Inputs!$C$47*0.173))+0.20*SIN(2*PI()*(((Model_Data!A63)+(0))/(0.5*(Inputs!$C$49+Inputs!$C$50))+Inputs!$C$47*0.097)))+0.30*(2*((SIN(((Model_Data!A63)*12.9898+(0)*78.233+Inputs!$C$47*37.719))*43758.5453)-INT((SIN(((Model_Data!A63)*12.9898+(0)*78.233+Inputs!$C$47*37.719))*43758.5453)))-1))))/1000)))*1000/Inputs!$C$12)</x:f>
        <x:v>842.3216990319759</x:v>
      </x:c>
      <x:c r="D63" s="49"/>
      <x:c r="E63" s="48" t="n">
        <x:f>Model_Data!A63</x:f>
        <x:v>-29.5</x:v>
      </x:c>
      <x:c r="F63" s="48" t="n">
        <x:f>(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(0.45*SIN(2*PI()*(((Model_Data!A63)/Inputs!$C$49)+Inputs!$C$47*0.137))+0.35*COS(2*PI()*(((Inputs!$C$6)/Inputs!$C$50)+Inputs!$C$47*0.173))+0.20*SIN(2*PI()*(((Model_Data!A63)+(Inputs!$C$6))/(0.5*(Inputs!$C$49+Inputs!$C$50))+Inputs!$C$47*0.097)))+0.30*(2*((SIN(((Model_Data!A63)*12.9898+(Inputs!$C$6)*78.233+Inputs!$C$47*37.719))*43758.5453)-INT((SIN(((Model_Data!A63)*12.9898+(Inputs!$C$6)*78.233+Inputs!$C$47*37.719))*43758.5453)))-1)))</x:f>
        <x:v>326.24732503276135</x:v>
      </x:c>
      <x:c r="G63" s="48" t="n">
        <x:f>(Inputs!$C$51*(115*EXP(-(((0)-25)^2)/(4.5^2))+70*EXP(-(((0)+38)^2)/(7^2))*(0.55+0.45*SIN(2*PI()*(Model_Data!A63)/45))+24*SIN(2*PI()*(0)/9+(Model_Data!A63)/18)*EXP(-(((0)+5)^2)/(22^2))+18*SIN(2*PI()*(Model_Data!A63)/70))+Inputs!$C$28*EXP(-(((Model_Data!A63)-Inputs!$C$29)^2)/(2*Inputs!$C$31^2))*EXP(-(((0)-Inputs!$C$30)^2)/(2*Inputs!$C$32^2))+-Inputs!$C$33*EXP(-(((((Model_Data!A63)-Inputs!$C$34)^2)+(((0)-Inputs!$C$35)^2))/(2*Inputs!$C$36^2)))+Inputs!$C$37*(0.55*SIN(2*PI()*(Model_Data!A63)/Inputs!$C$39)+0.35*COS(2*PI()*(0)/Inputs!$C$40)+0.2*SIN(2*PI()*((Model_Data!A63)+(0))/(0.5*(Inputs!$C$39+Inputs!$C$40))))+Inputs!$C$38*SIN(2*PI()*(Model_Data!A63)/Inputs!$C$39)*SIN(2*PI()*(0)/Inputs!$C$40)+-Inputs!$C$41*EXP(-(((0)-Inputs!$C$43)^2)/(2*Inputs!$C$44^2))*EXP(-(((Model_Data!A63)-Inputs!$C$42)^2)/(2*Inputs!$C$45^2))+Inputs!$C$48*(0.70*(0.45*SIN(2*PI()*(((Model_Data!A63)/Inputs!$C$49)+Inputs!$C$47*0.137))+0.35*COS(2*PI()*(((0)/Inputs!$C$50)+Inputs!$C$47*0.173))+0.20*SIN(2*PI()*(((Model_Data!A63)+(0))/(0.5*(Inputs!$C$49+Inputs!$C$50))+Inputs!$C$47*0.097)))+0.30*(2*((SIN(((Model_Data!A63)*12.9898+(0)*78.233+Inputs!$C$47*37.719))*43758.5453)-INT((SIN(((Model_Data!A63)*12.9898+(0)*78.233+Inputs!$C$47*37.719))*43758.5453)))-1)))</x:f>
        <x:v>-36.167878297776255</x:v>
      </x:c>
      <x:c r="H63" s="49"/>
      <x:c r="I63" s="48" t="n">
        <x:f>Model_Data!A63</x:f>
        <x:v>-29.5</x:v>
      </x:c>
      <x:c r="J63" s="48" t="n">
        <x:f>((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(0.45*SIN(2*PI()*(((Model_Data!A63)/Inputs!$C$49)+Inputs!$C$47*0.137))+0.35*COS(2*PI()*(((Inputs!$C$6)/Inputs!$C$50)+Inputs!$C$47*0.173))+0.20*SIN(2*PI()*(((Model_Data!A63)+(Inputs!$C$6))/(0.5*(Inputs!$C$49+Inputs!$C$50))+Inputs!$C$47*0.097)))+0.30*(2*((SIN(((Model_Data!A63)*12.9898+(Inputs!$C$6)*78.233+Inputs!$C$47*37.719))*43758.5453)-INT((SIN(((Model_Data!A63)*12.9898+(Inputs!$C$6)*78.233+Inputs!$C$47*37.719))*43758.5453)))-1))))-((Inputs!$C$51*(115*EXP(-(((0)-25)^2)/(4.5^2))+70*EXP(-(((0)+38)^2)/(7^2))*(0.55+0.45*SIN(2*PI()*(Model_Data!A63)/45))+24*SIN(2*PI()*(0)/9+(Model_Data!A63)/18)*EXP(-(((0)+5)^2)/(22^2))+18*SIN(2*PI()*(Model_Data!A63)/70))+Inputs!$C$28*EXP(-(((Model_Data!A63)-Inputs!$C$29)^2)/(2*Inputs!$C$31^2))*EXP(-(((0)-Inputs!$C$30)^2)/(2*Inputs!$C$32^2))+-Inputs!$C$33*EXP(-(((((Model_Data!A63)-Inputs!$C$34)^2)+(((0)-Inputs!$C$35)^2))/(2*Inputs!$C$36^2)))+Inputs!$C$37*(0.55*SIN(2*PI()*(Model_Data!A63)/Inputs!$C$39)+0.35*COS(2*PI()*(0)/Inputs!$C$40)+0.2*SIN(2*PI()*((Model_Data!A63)+(0))/(0.5*(Inputs!$C$39+Inputs!$C$40))))+Inputs!$C$38*SIN(2*PI()*(Model_Data!A63)/Inputs!$C$39)*SIN(2*PI()*(0)/Inputs!$C$40)+-Inputs!$C$41*EXP(-(((0)-Inputs!$C$43)^2)/(2*Inputs!$C$44^2))*EXP(-(((Model_Data!A63)-Inputs!$C$42)^2)/(2*Inputs!$C$45^2))+Inputs!$C$48*(0.70*(0.45*SIN(2*PI()*(((Model_Data!A63)/Inputs!$C$49)+Inputs!$C$47*0.137))+0.35*COS(2*PI()*(((0)/Inputs!$C$50)+Inputs!$C$47*0.173))+0.20*SIN(2*PI()*(((Model_Data!A63)+(0))/(0.5*(Inputs!$C$49+Inputs!$C$50))+Inputs!$C$47*0.097)))+0.30*(2*((SIN(((Model_Data!A63)*12.9898+(0)*78.233+Inputs!$C$47*37.719))*43758.5453)-INT((SIN(((Model_Data!A63)*12.9898+(0)*78.233+Inputs!$C$47*37.719))*43758.5453)))-1))))</x:f>
        <x:v>362.4152033305376</x:v>
      </x:c>
      <x:c r="K63" s="48" t="n">
        <x:f>-((((SQRT((Model_Data!A63)^2+Inputs!$C$6^2+((Model_Data!B63)-((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(0.45*SIN(2*PI()*(((Model_Data!A63)/Inputs!$C$49)+Inputs!$C$47*0.137))+0.35*COS(2*PI()*(((Inputs!$C$6)/Inputs!$C$50)+Inputs!$C$47*0.173))+0.20*SIN(2*PI()*(((Model_Data!A63)+(Inputs!$C$6))/(0.5*(Inputs!$C$49+Inputs!$C$50))+Inputs!$C$47*0.097)))+0.30*(2*((SIN(((Model_Data!A63)*12.9898+(Inputs!$C$6)*78.233+Inputs!$C$47*37.719))*43758.5453)-INT((SIN(((Model_Data!A63)*12.9898+(Inputs!$C$6)*78.233+Inputs!$C$47*37.719))*43758.5453)))-1))))/1000)^2))-(((Model_Data!B63)-((Inputs!$C$51*(115*EXP(-(((0)-25)^2)/(4.5^2))+70*EXP(-(((0)+38)^2)/(7^2))*(0.55+0.45*SIN(2*PI()*(Model_Data!A63)/45))+24*SIN(2*PI()*(0)/9+(Model_Data!A63)/18)*EXP(-(((0)+5)^2)/(22^2))+18*SIN(2*PI()*(Model_Data!A63)/70))+Inputs!$C$28*EXP(-(((Model_Data!A63)-Inputs!$C$29)^2)/(2*Inputs!$C$31^2))*EXP(-(((0)-Inputs!$C$30)^2)/(2*Inputs!$C$32^2))+-Inputs!$C$33*EXP(-(((((Model_Data!A63)-Inputs!$C$34)^2)+(((0)-Inputs!$C$35)^2))/(2*Inputs!$C$36^2)))+Inputs!$C$37*(0.55*SIN(2*PI()*(Model_Data!A63)/Inputs!$C$39)+0.35*COS(2*PI()*(0)/Inputs!$C$40)+0.2*SIN(2*PI()*((Model_Data!A63)+(0))/(0.5*(Inputs!$C$39+Inputs!$C$40))))+Inputs!$C$38*SIN(2*PI()*(Model_Data!A63)/Inputs!$C$39)*SIN(2*PI()*(0)/Inputs!$C$40)+-Inputs!$C$41*EXP(-(((0)-Inputs!$C$43)^2)/(2*Inputs!$C$44^2))*EXP(-(((Model_Data!A63)-Inputs!$C$42)^2)/(2*Inputs!$C$45^2))+Inputs!$C$48*(0.70*(0.45*SIN(2*PI()*(((Model_Data!A63)/Inputs!$C$49)+Inputs!$C$47*0.137))+0.35*COS(2*PI()*(((0)/Inputs!$C$50)+Inputs!$C$47*0.173))+0.20*SIN(2*PI()*(((Model_Data!A63)+(0))/(0.5*(Inputs!$C$49+Inputs!$C$50))+Inputs!$C$47*0.097)))+0.30*(2*((SIN(((Model_Data!A63)*12.9898+(0)*78.233+Inputs!$C$47*37.719))*43758.5453)-INT((SIN(((Model_Data!A63)*12.9898+(0)*78.233+Inputs!$C$47*37.719))*43758.5453)))-1))))/1000)))*1000/Inputs!$C$12)-Model_Data!F63)</x:f>
        <x:v>202.7569594004624</x:v>
      </x:c>
      <x:c r="L63" s="49"/>
      <x:c r="M63" s="48" t="n">
        <x:f>Model_Data!A63</x:f>
        <x:v>-29.5</x:v>
      </x:c>
      <x:c r="N63" s="48" t="n">
        <x:f>Model_Data!P63</x:f>
        <x:v>221.57635017703063</x:v>
      </x:c>
      <x:c r="O63" s="48" t="n">
        <x:f>AC63</x:f>
        <x:v>213.5514079834138</x:v>
      </x:c>
      <x:c r="P63" s="48" t="n">
        <x:f>Model_Data!Q63</x:f>
        <x:v>33.269722248803404</x:v>
      </x:c>
      <x:c r="Q63" s="48" t="n">
        <x:f>AD63</x:f>
        <x:v>32.06477597348556</x:v>
      </x:c>
      <x:c r="R63" s="49"/>
      <x:c r="S63" s="48" t="n">
        <x:f>Model_Data!A63</x:f>
        <x:v>-29.5</x:v>
      </x:c>
      <x:c r="T63" s="48" t="n">
        <x:f>Model_Data!B63-Inputs!$C$5</x:f>
        <x:v>0.9669444444444366</x:v>
      </x:c>
      <x:c r="U63" s="49"/>
      <x:c r="V63" s="48" t="n">
        <x:f>Model_Data!A63</x:f>
        <x:v>-29.5</x:v>
      </x:c>
      <x:c r="W63" s="48" t="n">
        <x:f>(-((((SQRT((Model_Data!A63)^2+Inputs!$C$6^2+((Model_Data!B63)-((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(0.45*SIN(2*PI()*(((Model_Data!A63)/Inputs!$C$49)+Inputs!$C$47*0.137))+0.35*COS(2*PI()*(((Inputs!$C$6)/Inputs!$C$50)+Inputs!$C$47*0.173))+0.20*SIN(2*PI()*(((Model_Data!A63)+(Inputs!$C$6))/(0.5*(Inputs!$C$49+Inputs!$C$50))+Inputs!$C$47*0.097)))+0.30*(2*((SIN(((Model_Data!A63)*12.9898+(Inputs!$C$6)*78.233+Inputs!$C$47*37.719))*43758.5453)-INT((SIN(((Model_Data!A63)*12.9898+(Inputs!$C$6)*78.233+Inputs!$C$47*37.719))*43758.5453)))-1))))/1000)^2))-(((Model_Data!B63)-((Inputs!$C$51*(115*EXP(-(((0)-25)^2)/(4.5^2))+70*EXP(-(((0)+38)^2)/(7^2))*(0.55+0.45*SIN(2*PI()*(Model_Data!A63)/45))+24*SIN(2*PI()*(0)/9+(Model_Data!A63)/18)*EXP(-(((0)+5)^2)/(22^2))+18*SIN(2*PI()*(Model_Data!A63)/70))+Inputs!$C$28*EXP(-(((Model_Data!A63)-Inputs!$C$29)^2)/(2*Inputs!$C$31^2))*EXP(-(((0)-Inputs!$C$30)^2)/(2*Inputs!$C$32^2))+-Inputs!$C$33*EXP(-(((((Model_Data!A63)-Inputs!$C$34)^2)+(((0)-Inputs!$C$35)^2))/(2*Inputs!$C$36^2)))+Inputs!$C$37*(0.55*SIN(2*PI()*(Model_Data!A63)/Inputs!$C$39)+0.35*COS(2*PI()*(0)/Inputs!$C$40)+0.2*SIN(2*PI()*((Model_Data!A63)+(0))/(0.5*(Inputs!$C$39+Inputs!$C$40))))+Inputs!$C$38*SIN(2*PI()*(Model_Data!A63)/Inputs!$C$39)*SIN(2*PI()*(0)/Inputs!$C$40)+-Inputs!$C$41*EXP(-(((0)-Inputs!$C$43)^2)/(2*Inputs!$C$44^2))*EXP(-(((Model_Data!A63)-Inputs!$C$42)^2)/(2*Inputs!$C$45^2))+Inputs!$C$48*(0.70*(0.45*SIN(2*PI()*(((Model_Data!A63)/Inputs!$C$49)+Inputs!$C$47*0.137))+0.35*COS(2*PI()*(((0)/Inputs!$C$50)+Inputs!$C$47*0.173))+0.20*SIN(2*PI()*(((Model_Data!A63)+(0))/(0.5*(Inputs!$C$49+Inputs!$C$50))+Inputs!$C$47*0.097)))+0.30*(2*((SIN(((Model_Data!A63)*12.9898+(0)*78.233+Inputs!$C$47*37.719))*43758.5453)-INT((SIN(((Model_Data!A63)*12.9898+(0)*78.233+Inputs!$C$47*37.719))*43758.5453)))-1))))/1000)))*1000/Inputs!$C$12)-Model_Data!F63))-(-(((SQRT((Model_Data!A63)^2+Inputs!$C$6^2+(Inputs!$C$5-((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(0.45*SIN(2*PI()*(((Model_Data!A63)/Inputs!$C$49)+Inputs!$C$47*0.137))+0.35*COS(2*PI()*(((Inputs!$C$6)/Inputs!$C$50)+Inputs!$C$47*0.173))+0.20*SIN(2*PI()*(((Model_Data!A63)+(Inputs!$C$6))/(0.5*(Inputs!$C$49+Inputs!$C$50))+Inputs!$C$47*0.097)))+0.30*(2*((SIN(((Model_Data!A63)*12.9898+(Inputs!$C$6)*78.233+Inputs!$C$47*37.719))*43758.5453)-INT((SIN(((Model_Data!A63)*12.9898+(Inputs!$C$6)*78.233+Inputs!$C$47*37.719))*43758.5453)))-1))))/1000)^2)-(Inputs!$C$5-((Inputs!$C$51*(115*EXP(-(((0)-25)^2)/(4.5^2))+70*EXP(-(((0)+38)^2)/(7^2))*(0.55+0.45*SIN(2*PI()*(Model_Data!A63)/45))+24*SIN(2*PI()*(0)/9+(Model_Data!A63)/18)*EXP(-(((0)+5)^2)/(22^2))+18*SIN(2*PI()*(Model_Data!A63)/70))+Inputs!$C$28*EXP(-(((Model_Data!A63)-Inputs!$C$29)^2)/(2*Inputs!$C$31^2))*EXP(-(((0)-Inputs!$C$30)^2)/(2*Inputs!$C$32^2))+-Inputs!$C$33*EXP(-(((((Model_Data!A63)-Inputs!$C$34)^2)+(((0)-Inputs!$C$35)^2))/(2*Inputs!$C$36^2)))+Inputs!$C$37*(0.55*SIN(2*PI()*(Model_Data!A63)/Inputs!$C$39)+0.35*COS(2*PI()*(0)/Inputs!$C$40)+0.2*SIN(2*PI()*((Model_Data!A63)+(0))/(0.5*(Inputs!$C$39+Inputs!$C$40))))+Inputs!$C$38*SIN(2*PI()*(Model_Data!A63)/Inputs!$C$39)*SIN(2*PI()*(0)/Inputs!$C$40)+-Inputs!$C$41*EXP(-(((0)-Inputs!$C$43)^2)/(2*Inputs!$C$44^2))*EXP(-(((Model_Data!A63)-Inputs!$C$42)^2)/(2*Inputs!$C$45^2))+Inputs!$C$48*(0.70*(0.45*SIN(2*PI()*(((Model_Data!A63)/Inputs!$C$49)+Inputs!$C$47*0.137))+0.35*COS(2*PI()*(((0)/Inputs!$C$50)+Inputs!$C$47*0.173))+0.20*SIN(2*PI()*(((Model_Data!A63)+(0))/(0.5*(Inputs!$C$49+Inputs!$C$50))+Inputs!$C$47*0.097)))+0.30*(2*((SIN(((Model_Data!A63)*12.9898+(0)*78.233+Inputs!$C$47*37.719))*43758.5453)-INT((SIN(((Model_Data!A63)*12.9898+(0)*78.233+Inputs!$C$47*37.719))*43758.5453)))-1))))/1000))*1000/Inputs!$C$12)-((SQRT((Model_Data!A63)^2+Inputs!$C$6^2+Inputs!$C$5^2)-Inputs!$C$5)*1000/Inputs!$C$12)))</x:f>
        <x:v>0.004073527644777641</x:v>
      </x:c>
      <x:c r="X63" s="48" t="n">
        <x:f>0</x:f>
        <x:v>0</x:v>
      </x:c>
      <x:c r="Y63" s="49"/>
      <x:c r="Z63" s="48" t="n">
        <x:f>Model_Data!A63</x:f>
        <x:v>-29.5</x:v>
      </x:c>
      <x:c r="AA63" s="48" t="n">
        <x:f>SQRT((Model_Data!A63)^2+Inputs!$C$6^2+((Model_Data!B63)-((Inputs!$C$51*(115*EXP(-(((Inputs!$C$6)-25)^2)/(4.5^2))+70*EXP(-(((Inputs!$C$6)+38)^2)/(7^2))*(0.55+0.45*SIN(2*PI()*(Model_Data!A63)/45))+24*SIN(2*PI()*(Inputs!$C$6)/9+(Model_Data!A63)/18)*EXP(-(((Inputs!$C$6)+5)^2)/(22^2))+18*SIN(2*PI()*(Model_Data!A63)/70))+Inputs!$C$28*EXP(-(((Model_Data!A63)-Inputs!$C$29)^2)/(2*Inputs!$C$31^2))*EXP(-(((Inputs!$C$6)-Inputs!$C$30)^2)/(2*Inputs!$C$32^2))+-Inputs!$C$33*EXP(-(((((Model_Data!A63)-Inputs!$C$34)^2)+(((Inputs!$C$6)-Inputs!$C$35)^2))/(2*Inputs!$C$36^2)))+Inputs!$C$37*(0.55*SIN(2*PI()*(Model_Data!A63)/Inputs!$C$39)+0.35*COS(2*PI()*(Inputs!$C$6)/Inputs!$C$40)+0.2*SIN(2*PI()*((Model_Data!A63)+(Inputs!$C$6))/(0.5*(Inputs!$C$39+Inputs!$C$40))))+Inputs!$C$38*SIN(2*PI()*(Model_Data!A63)/Inputs!$C$39)*SIN(2*PI()*(Inputs!$C$6)/Inputs!$C$40)+-Inputs!$C$41*EXP(-(((Inputs!$C$6)-Inputs!$C$43)^2)/(2*Inputs!$C$44^2))*EXP(-(((Model_Data!A63)-Inputs!$C$42)^2)/(2*Inputs!$C$45^2))+Inputs!$C$48*(0.70*(0.45*SIN(2*PI()*(((Model_Data!A63)/Inputs!$C$49)+Inputs!$C$47*0.137))+0.35*COS(2*PI()*(((Inputs!$C$6)/Inputs!$C$50)+Inputs!$C$47*0.173))+0.20*SIN(2*PI()*(((Model_Data!A63)+(Inputs!$C$6))/(0.5*(Inputs!$C$49+Inputs!$C$50))+Inputs!$C$47*0.097)))+0.30*(2*((SIN(((Model_Data!A63)*12.9898+(Inputs!$C$6)*78.233+Inputs!$C$47*37.719))*43758.5453)-INT((SIN(((Model_Data!A63)*12.9898+(Inputs!$C$6)*78.233+Inputs!$C$47*37.719))*43758.5453)))-1))))/1000)^2)</x:f>
        <x:v>402.5024449470191</x:v>
      </x:c>
      <x:c r="AB63" s="48" t="n">
        <x:f>1000*(AA64-AA62)/(Z64-Z62)*Inputs!$C$11</x:f>
        <x:v>-533.8785199585345</x:v>
      </x:c>
      <x:c r="AC63" s="48" t="n">
        <x:f>-2*AB63/Inputs!$C$13</x:f>
        <x:v>213.5514079834138</x:v>
      </x:c>
      <x:c r="AD63" s="48" t="n">
        <x:f>-2*AB63/Inputs!$C$14</x:f>
        <x:v>32.06477597348556</x:v>
      </x:c>
    </x:row>
    <x:row r="64">
      <x:c r="A64" s="48" t="n">
        <x:f>Model_Data!A64</x:f>
        <x:v>-29</x:v>
      </x:c>
      <x:c r="B64" s="48" t="n">
        <x:f>Model_Data!F64</x:f>
        <x:v>1024.763856153882</x:v>
      </x:c>
      <x:c r="C64" s="48" t="n">
        <x:f>(((SQRT((Model_Data!A64)^2+Inputs!$C$6^2+((Model_Data!B64)-((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(0.45*SIN(2*PI()*(((Model_Data!A64)/Inputs!$C$49)+Inputs!$C$47*0.137))+0.35*COS(2*PI()*(((Inputs!$C$6)/Inputs!$C$50)+Inputs!$C$47*0.173))+0.20*SIN(2*PI()*(((Model_Data!A64)+(Inputs!$C$6))/(0.5*(Inputs!$C$49+Inputs!$C$50))+Inputs!$C$47*0.097)))+0.30*(2*((SIN(((Model_Data!A64)*12.9898+(Inputs!$C$6)*78.233+Inputs!$C$47*37.719))*43758.5453)-INT((SIN(((Model_Data!A64)*12.9898+(Inputs!$C$6)*78.233+Inputs!$C$47*37.719))*43758.5453)))-1))))/1000)^2))-(((Model_Data!B64)-((Inputs!$C$51*(115*EXP(-(((0)-25)^2)/(4.5^2))+70*EXP(-(((0)+38)^2)/(7^2))*(0.55+0.45*SIN(2*PI()*(Model_Data!A64)/45))+24*SIN(2*PI()*(0)/9+(Model_Data!A64)/18)*EXP(-(((0)+5)^2)/(22^2))+18*SIN(2*PI()*(Model_Data!A64)/70))+Inputs!$C$28*EXP(-(((Model_Data!A64)-Inputs!$C$29)^2)/(2*Inputs!$C$31^2))*EXP(-(((0)-Inputs!$C$30)^2)/(2*Inputs!$C$32^2))+-Inputs!$C$33*EXP(-(((((Model_Data!A64)-Inputs!$C$34)^2)+(((0)-Inputs!$C$35)^2))/(2*Inputs!$C$36^2)))+Inputs!$C$37*(0.55*SIN(2*PI()*(Model_Data!A64)/Inputs!$C$39)+0.35*COS(2*PI()*(0)/Inputs!$C$40)+0.2*SIN(2*PI()*((Model_Data!A64)+(0))/(0.5*(Inputs!$C$39+Inputs!$C$40))))+Inputs!$C$38*SIN(2*PI()*(Model_Data!A64)/Inputs!$C$39)*SIN(2*PI()*(0)/Inputs!$C$40)+-Inputs!$C$41*EXP(-(((0)-Inputs!$C$43)^2)/(2*Inputs!$C$44^2))*EXP(-(((Model_Data!A64)-Inputs!$C$42)^2)/(2*Inputs!$C$45^2))+Inputs!$C$48*(0.70*(0.45*SIN(2*PI()*(((Model_Data!A64)/Inputs!$C$49)+Inputs!$C$47*0.137))+0.35*COS(2*PI()*(((0)/Inputs!$C$50)+Inputs!$C$47*0.173))+0.20*SIN(2*PI()*(((Model_Data!A64)+(0))/(0.5*(Inputs!$C$49+Inputs!$C$50))+Inputs!$C$47*0.097)))+0.30*(2*((SIN(((Model_Data!A64)*12.9898+(0)*78.233+Inputs!$C$47*37.719))*43758.5453)-INT((SIN(((Model_Data!A64)*12.9898+(0)*78.233+Inputs!$C$47*37.719))*43758.5453)))-1))))/1000)))*1000/Inputs!$C$12)</x:f>
        <x:v>826.3161685983079</x:v>
      </x:c>
      <x:c r="D64" s="49"/>
      <x:c r="E64" s="48" t="n">
        <x:f>Model_Data!A64</x:f>
        <x:v>-29</x:v>
      </x:c>
      <x:c r="F64" s="48" t="n">
        <x:f>(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(0.45*SIN(2*PI()*(((Model_Data!A64)/Inputs!$C$49)+Inputs!$C$47*0.137))+0.35*COS(2*PI()*(((Inputs!$C$6)/Inputs!$C$50)+Inputs!$C$47*0.173))+0.20*SIN(2*PI()*(((Model_Data!A64)+(Inputs!$C$6))/(0.5*(Inputs!$C$49+Inputs!$C$50))+Inputs!$C$47*0.097)))+0.30*(2*((SIN(((Model_Data!A64)*12.9898+(Inputs!$C$6)*78.233+Inputs!$C$47*37.719))*43758.5453)-INT((SIN(((Model_Data!A64)*12.9898+(Inputs!$C$6)*78.233+Inputs!$C$47*37.719))*43758.5453)))-1)))</x:f>
        <x:v>331.8773601232655</x:v>
      </x:c>
      <x:c r="G64" s="48" t="n">
        <x:f>(Inputs!$C$51*(115*EXP(-(((0)-25)^2)/(4.5^2))+70*EXP(-(((0)+38)^2)/(7^2))*(0.55+0.45*SIN(2*PI()*(Model_Data!A64)/45))+24*SIN(2*PI()*(0)/9+(Model_Data!A64)/18)*EXP(-(((0)+5)^2)/(22^2))+18*SIN(2*PI()*(Model_Data!A64)/70))+Inputs!$C$28*EXP(-(((Model_Data!A64)-Inputs!$C$29)^2)/(2*Inputs!$C$31^2))*EXP(-(((0)-Inputs!$C$30)^2)/(2*Inputs!$C$32^2))+-Inputs!$C$33*EXP(-(((((Model_Data!A64)-Inputs!$C$34)^2)+(((0)-Inputs!$C$35)^2))/(2*Inputs!$C$36^2)))+Inputs!$C$37*(0.55*SIN(2*PI()*(Model_Data!A64)/Inputs!$C$39)+0.35*COS(2*PI()*(0)/Inputs!$C$40)+0.2*SIN(2*PI()*((Model_Data!A64)+(0))/(0.5*(Inputs!$C$39+Inputs!$C$40))))+Inputs!$C$38*SIN(2*PI()*(Model_Data!A64)/Inputs!$C$39)*SIN(2*PI()*(0)/Inputs!$C$40)+-Inputs!$C$41*EXP(-(((0)-Inputs!$C$43)^2)/(2*Inputs!$C$44^2))*EXP(-(((Model_Data!A64)-Inputs!$C$42)^2)/(2*Inputs!$C$45^2))+Inputs!$C$48*(0.70*(0.45*SIN(2*PI()*(((Model_Data!A64)/Inputs!$C$49)+Inputs!$C$47*0.137))+0.35*COS(2*PI()*(((0)/Inputs!$C$50)+Inputs!$C$47*0.173))+0.20*SIN(2*PI()*(((Model_Data!A64)+(0))/(0.5*(Inputs!$C$49+Inputs!$C$50))+Inputs!$C$47*0.097)))+0.30*(2*((SIN(((Model_Data!A64)*12.9898+(0)*78.233+Inputs!$C$47*37.719))*43758.5453)-INT((SIN(((Model_Data!A64)*12.9898+(0)*78.233+Inputs!$C$47*37.719))*43758.5453)))-1)))</x:f>
        <x:v>-22.86382175599607</x:v>
      </x:c>
      <x:c r="H64" s="49"/>
      <x:c r="I64" s="48" t="n">
        <x:f>Model_Data!A64</x:f>
        <x:v>-29</x:v>
      </x:c>
      <x:c r="J64" s="48" t="n">
        <x:f>((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(0.45*SIN(2*PI()*(((Model_Data!A64)/Inputs!$C$49)+Inputs!$C$47*0.137))+0.35*COS(2*PI()*(((Inputs!$C$6)/Inputs!$C$50)+Inputs!$C$47*0.173))+0.20*SIN(2*PI()*(((Model_Data!A64)+(Inputs!$C$6))/(0.5*(Inputs!$C$49+Inputs!$C$50))+Inputs!$C$47*0.097)))+0.30*(2*((SIN(((Model_Data!A64)*12.9898+(Inputs!$C$6)*78.233+Inputs!$C$47*37.719))*43758.5453)-INT((SIN(((Model_Data!A64)*12.9898+(Inputs!$C$6)*78.233+Inputs!$C$47*37.719))*43758.5453)))-1))))-((Inputs!$C$51*(115*EXP(-(((0)-25)^2)/(4.5^2))+70*EXP(-(((0)+38)^2)/(7^2))*(0.55+0.45*SIN(2*PI()*(Model_Data!A64)/45))+24*SIN(2*PI()*(0)/9+(Model_Data!A64)/18)*EXP(-(((0)+5)^2)/(22^2))+18*SIN(2*PI()*(Model_Data!A64)/70))+Inputs!$C$28*EXP(-(((Model_Data!A64)-Inputs!$C$29)^2)/(2*Inputs!$C$31^2))*EXP(-(((0)-Inputs!$C$30)^2)/(2*Inputs!$C$32^2))+-Inputs!$C$33*EXP(-(((((Model_Data!A64)-Inputs!$C$34)^2)+(((0)-Inputs!$C$35)^2))/(2*Inputs!$C$36^2)))+Inputs!$C$37*(0.55*SIN(2*PI()*(Model_Data!A64)/Inputs!$C$39)+0.35*COS(2*PI()*(0)/Inputs!$C$40)+0.2*SIN(2*PI()*((Model_Data!A64)+(0))/(0.5*(Inputs!$C$39+Inputs!$C$40))))+Inputs!$C$38*SIN(2*PI()*(Model_Data!A64)/Inputs!$C$39)*SIN(2*PI()*(0)/Inputs!$C$40)+-Inputs!$C$41*EXP(-(((0)-Inputs!$C$43)^2)/(2*Inputs!$C$44^2))*EXP(-(((Model_Data!A64)-Inputs!$C$42)^2)/(2*Inputs!$C$45^2))+Inputs!$C$48*(0.70*(0.45*SIN(2*PI()*(((Model_Data!A64)/Inputs!$C$49)+Inputs!$C$47*0.137))+0.35*COS(2*PI()*(((0)/Inputs!$C$50)+Inputs!$C$47*0.173))+0.20*SIN(2*PI()*(((Model_Data!A64)+(0))/(0.5*(Inputs!$C$49+Inputs!$C$50))+Inputs!$C$47*0.097)))+0.30*(2*((SIN(((Model_Data!A64)*12.9898+(0)*78.233+Inputs!$C$47*37.719))*43758.5453)-INT((SIN(((Model_Data!A64)*12.9898+(0)*78.233+Inputs!$C$47*37.719))*43758.5453)))-1))))</x:f>
        <x:v>354.74118187926155</x:v>
      </x:c>
      <x:c r="K64" s="48" t="n">
        <x:f>-((((SQRT((Model_Data!A64)^2+Inputs!$C$6^2+((Model_Data!B64)-((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(0.45*SIN(2*PI()*(((Model_Data!A64)/Inputs!$C$49)+Inputs!$C$47*0.137))+0.35*COS(2*PI()*(((Inputs!$C$6)/Inputs!$C$50)+Inputs!$C$47*0.173))+0.20*SIN(2*PI()*(((Model_Data!A64)+(Inputs!$C$6))/(0.5*(Inputs!$C$49+Inputs!$C$50))+Inputs!$C$47*0.097)))+0.30*(2*((SIN(((Model_Data!A64)*12.9898+(Inputs!$C$6)*78.233+Inputs!$C$47*37.719))*43758.5453)-INT((SIN(((Model_Data!A64)*12.9898+(Inputs!$C$6)*78.233+Inputs!$C$47*37.719))*43758.5453)))-1))))/1000)^2))-(((Model_Data!B64)-((Inputs!$C$51*(115*EXP(-(((0)-25)^2)/(4.5^2))+70*EXP(-(((0)+38)^2)/(7^2))*(0.55+0.45*SIN(2*PI()*(Model_Data!A64)/45))+24*SIN(2*PI()*(0)/9+(Model_Data!A64)/18)*EXP(-(((0)+5)^2)/(22^2))+18*SIN(2*PI()*(Model_Data!A64)/70))+Inputs!$C$28*EXP(-(((Model_Data!A64)-Inputs!$C$29)^2)/(2*Inputs!$C$31^2))*EXP(-(((0)-Inputs!$C$30)^2)/(2*Inputs!$C$32^2))+-Inputs!$C$33*EXP(-(((((Model_Data!A64)-Inputs!$C$34)^2)+(((0)-Inputs!$C$35)^2))/(2*Inputs!$C$36^2)))+Inputs!$C$37*(0.55*SIN(2*PI()*(Model_Data!A64)/Inputs!$C$39)+0.35*COS(2*PI()*(0)/Inputs!$C$40)+0.2*SIN(2*PI()*((Model_Data!A64)+(0))/(0.5*(Inputs!$C$39+Inputs!$C$40))))+Inputs!$C$38*SIN(2*PI()*(Model_Data!A64)/Inputs!$C$39)*SIN(2*PI()*(0)/Inputs!$C$40)+-Inputs!$C$41*EXP(-(((0)-Inputs!$C$43)^2)/(2*Inputs!$C$44^2))*EXP(-(((Model_Data!A64)-Inputs!$C$42)^2)/(2*Inputs!$C$45^2))+Inputs!$C$48*(0.70*(0.45*SIN(2*PI()*(((Model_Data!A64)/Inputs!$C$49)+Inputs!$C$47*0.137))+0.35*COS(2*PI()*(((0)/Inputs!$C$50)+Inputs!$C$47*0.173))+0.20*SIN(2*PI()*(((Model_Data!A64)+(0))/(0.5*(Inputs!$C$49+Inputs!$C$50))+Inputs!$C$47*0.097)))+0.30*(2*((SIN(((Model_Data!A64)*12.9898+(0)*78.233+Inputs!$C$47*37.719))*43758.5453)-INT((SIN(((Model_Data!A64)*12.9898+(0)*78.233+Inputs!$C$47*37.719))*43758.5453)))-1))))/1000)))*1000/Inputs!$C$12)-Model_Data!F64)</x:f>
        <x:v>198.44768755557413</x:v>
      </x:c>
      <x:c r="L64" s="49"/>
      <x:c r="M64" s="48" t="n">
        <x:f>Model_Data!A64</x:f>
        <x:v>-29</x:v>
      </x:c>
      <x:c r="N64" s="48" t="n">
        <x:f>Model_Data!P64</x:f>
        <x:v>217.849631472401</x:v>
      </x:c>
      <x:c r="O64" s="48" t="n">
        <x:f>AC64</x:f>
        <x:v>192.4477545989248</x:v>
      </x:c>
      <x:c r="P64" s="48" t="n">
        <x:f>Model_Data!Q64</x:f>
        <x:v>32.71015487573589</x:v>
      </x:c>
      <x:c r="Q64" s="48" t="n">
        <x:f>AD64</x:f>
        <x:v>28.89605924908781</x:v>
      </x:c>
      <x:c r="R64" s="49"/>
      <x:c r="S64" s="48" t="n">
        <x:f>Model_Data!A64</x:f>
        <x:v>-29</x:v>
      </x:c>
      <x:c r="T64" s="48" t="n">
        <x:f>Model_Data!B64-Inputs!$C$5</x:f>
        <x:v>0.9344444444444662</x:v>
      </x:c>
      <x:c r="U64" s="49"/>
      <x:c r="V64" s="48" t="n">
        <x:f>Model_Data!A64</x:f>
        <x:v>-29</x:v>
      </x:c>
      <x:c r="W64" s="48" t="n">
        <x:f>(-((((SQRT((Model_Data!A64)^2+Inputs!$C$6^2+((Model_Data!B64)-((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(0.45*SIN(2*PI()*(((Model_Data!A64)/Inputs!$C$49)+Inputs!$C$47*0.137))+0.35*COS(2*PI()*(((Inputs!$C$6)/Inputs!$C$50)+Inputs!$C$47*0.173))+0.20*SIN(2*PI()*(((Model_Data!A64)+(Inputs!$C$6))/(0.5*(Inputs!$C$49+Inputs!$C$50))+Inputs!$C$47*0.097)))+0.30*(2*((SIN(((Model_Data!A64)*12.9898+(Inputs!$C$6)*78.233+Inputs!$C$47*37.719))*43758.5453)-INT((SIN(((Model_Data!A64)*12.9898+(Inputs!$C$6)*78.233+Inputs!$C$47*37.719))*43758.5453)))-1))))/1000)^2))-(((Model_Data!B64)-((Inputs!$C$51*(115*EXP(-(((0)-25)^2)/(4.5^2))+70*EXP(-(((0)+38)^2)/(7^2))*(0.55+0.45*SIN(2*PI()*(Model_Data!A64)/45))+24*SIN(2*PI()*(0)/9+(Model_Data!A64)/18)*EXP(-(((0)+5)^2)/(22^2))+18*SIN(2*PI()*(Model_Data!A64)/70))+Inputs!$C$28*EXP(-(((Model_Data!A64)-Inputs!$C$29)^2)/(2*Inputs!$C$31^2))*EXP(-(((0)-Inputs!$C$30)^2)/(2*Inputs!$C$32^2))+-Inputs!$C$33*EXP(-(((((Model_Data!A64)-Inputs!$C$34)^2)+(((0)-Inputs!$C$35)^2))/(2*Inputs!$C$36^2)))+Inputs!$C$37*(0.55*SIN(2*PI()*(Model_Data!A64)/Inputs!$C$39)+0.35*COS(2*PI()*(0)/Inputs!$C$40)+0.2*SIN(2*PI()*((Model_Data!A64)+(0))/(0.5*(Inputs!$C$39+Inputs!$C$40))))+Inputs!$C$38*SIN(2*PI()*(Model_Data!A64)/Inputs!$C$39)*SIN(2*PI()*(0)/Inputs!$C$40)+-Inputs!$C$41*EXP(-(((0)-Inputs!$C$43)^2)/(2*Inputs!$C$44^2))*EXP(-(((Model_Data!A64)-Inputs!$C$42)^2)/(2*Inputs!$C$45^2))+Inputs!$C$48*(0.70*(0.45*SIN(2*PI()*(((Model_Data!A64)/Inputs!$C$49)+Inputs!$C$47*0.137))+0.35*COS(2*PI()*(((0)/Inputs!$C$50)+Inputs!$C$47*0.173))+0.20*SIN(2*PI()*(((Model_Data!A64)+(0))/(0.5*(Inputs!$C$49+Inputs!$C$50))+Inputs!$C$47*0.097)))+0.30*(2*((SIN(((Model_Data!A64)*12.9898+(0)*78.233+Inputs!$C$47*37.719))*43758.5453)-INT((SIN(((Model_Data!A64)*12.9898+(0)*78.233+Inputs!$C$47*37.719))*43758.5453)))-1))))/1000)))*1000/Inputs!$C$12)-Model_Data!F64))-(-(((SQRT((Model_Data!A64)^2+Inputs!$C$6^2+(Inputs!$C$5-((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(0.45*SIN(2*PI()*(((Model_Data!A64)/Inputs!$C$49)+Inputs!$C$47*0.137))+0.35*COS(2*PI()*(((Inputs!$C$6)/Inputs!$C$50)+Inputs!$C$47*0.173))+0.20*SIN(2*PI()*(((Model_Data!A64)+(Inputs!$C$6))/(0.5*(Inputs!$C$49+Inputs!$C$50))+Inputs!$C$47*0.097)))+0.30*(2*((SIN(((Model_Data!A64)*12.9898+(Inputs!$C$6)*78.233+Inputs!$C$47*37.719))*43758.5453)-INT((SIN(((Model_Data!A64)*12.9898+(Inputs!$C$6)*78.233+Inputs!$C$47*37.719))*43758.5453)))-1))))/1000)^2)-(Inputs!$C$5-((Inputs!$C$51*(115*EXP(-(((0)-25)^2)/(4.5^2))+70*EXP(-(((0)+38)^2)/(7^2))*(0.55+0.45*SIN(2*PI()*(Model_Data!A64)/45))+24*SIN(2*PI()*(0)/9+(Model_Data!A64)/18)*EXP(-(((0)+5)^2)/(22^2))+18*SIN(2*PI()*(Model_Data!A64)/70))+Inputs!$C$28*EXP(-(((Model_Data!A64)-Inputs!$C$29)^2)/(2*Inputs!$C$31^2))*EXP(-(((0)-Inputs!$C$30)^2)/(2*Inputs!$C$32^2))+-Inputs!$C$33*EXP(-(((((Model_Data!A64)-Inputs!$C$34)^2)+(((0)-Inputs!$C$35)^2))/(2*Inputs!$C$36^2)))+Inputs!$C$37*(0.55*SIN(2*PI()*(Model_Data!A64)/Inputs!$C$39)+0.35*COS(2*PI()*(0)/Inputs!$C$40)+0.2*SIN(2*PI()*((Model_Data!A64)+(0))/(0.5*(Inputs!$C$39+Inputs!$C$40))))+Inputs!$C$38*SIN(2*PI()*(Model_Data!A64)/Inputs!$C$39)*SIN(2*PI()*(0)/Inputs!$C$40)+-Inputs!$C$41*EXP(-(((0)-Inputs!$C$43)^2)/(2*Inputs!$C$44^2))*EXP(-(((Model_Data!A64)-Inputs!$C$42)^2)/(2*Inputs!$C$45^2))+Inputs!$C$48*(0.70*(0.45*SIN(2*PI()*(((Model_Data!A64)/Inputs!$C$49)+Inputs!$C$47*0.137))+0.35*COS(2*PI()*(((0)/Inputs!$C$50)+Inputs!$C$47*0.173))+0.20*SIN(2*PI()*(((Model_Data!A64)+(0))/(0.5*(Inputs!$C$49+Inputs!$C$50))+Inputs!$C$47*0.097)))+0.30*(2*((SIN(((Model_Data!A64)*12.9898+(0)*78.233+Inputs!$C$47*37.719))*43758.5453)-INT((SIN(((Model_Data!A64)*12.9898+(0)*78.233+Inputs!$C$47*37.719))*43758.5453)))-1))))/1000))*1000/Inputs!$C$12)-((SQRT((Model_Data!A64)^2+Inputs!$C$6^2+Inputs!$C$5^2)-Inputs!$C$5)*1000/Inputs!$C$12)))</x:f>
        <x:v>0.003927830010297839</x:v>
      </x:c>
      <x:c r="X64" s="48" t="n">
        <x:f>0</x:f>
        <x:v>0</x:v>
      </x:c>
      <x:c r="Y64" s="49"/>
      <x:c r="Z64" s="48" t="n">
        <x:f>Model_Data!A64</x:f>
        <x:v>-29</x:v>
      </x:c>
      <x:c r="AA64" s="48" t="n">
        <x:f>SQRT((Model_Data!A64)^2+Inputs!$C$6^2+((Model_Data!B64)-((Inputs!$C$51*(115*EXP(-(((Inputs!$C$6)-25)^2)/(4.5^2))+70*EXP(-(((Inputs!$C$6)+38)^2)/(7^2))*(0.55+0.45*SIN(2*PI()*(Model_Data!A64)/45))+24*SIN(2*PI()*(Inputs!$C$6)/9+(Model_Data!A64)/18)*EXP(-(((Inputs!$C$6)+5)^2)/(22^2))+18*SIN(2*PI()*(Model_Data!A64)/70))+Inputs!$C$28*EXP(-(((Model_Data!A64)-Inputs!$C$29)^2)/(2*Inputs!$C$31^2))*EXP(-(((Inputs!$C$6)-Inputs!$C$30)^2)/(2*Inputs!$C$32^2))+-Inputs!$C$33*EXP(-(((((Model_Data!A64)-Inputs!$C$34)^2)+(((Inputs!$C$6)-Inputs!$C$35)^2))/(2*Inputs!$C$36^2)))+Inputs!$C$37*(0.55*SIN(2*PI()*(Model_Data!A64)/Inputs!$C$39)+0.35*COS(2*PI()*(Inputs!$C$6)/Inputs!$C$40)+0.2*SIN(2*PI()*((Model_Data!A64)+(Inputs!$C$6))/(0.5*(Inputs!$C$39+Inputs!$C$40))))+Inputs!$C$38*SIN(2*PI()*(Model_Data!A64)/Inputs!$C$39)*SIN(2*PI()*(Inputs!$C$6)/Inputs!$C$40)+-Inputs!$C$41*EXP(-(((Inputs!$C$6)-Inputs!$C$43)^2)/(2*Inputs!$C$44^2))*EXP(-(((Model_Data!A64)-Inputs!$C$42)^2)/(2*Inputs!$C$45^2))+Inputs!$C$48*(0.70*(0.45*SIN(2*PI()*(((Model_Data!A64)/Inputs!$C$49)+Inputs!$C$47*0.137))+0.35*COS(2*PI()*(((Inputs!$C$6)/Inputs!$C$50)+Inputs!$C$47*0.173))+0.20*SIN(2*PI()*(((Model_Data!A64)+(Inputs!$C$6))/(0.5*(Inputs!$C$49+Inputs!$C$50))+Inputs!$C$47*0.097)))+0.30*(2*((SIN(((Model_Data!A64)*12.9898+(Inputs!$C$6)*78.233+Inputs!$C$47*37.719))*43758.5453)-INT((SIN(((Model_Data!A64)*12.9898+(Inputs!$C$6)*78.233+Inputs!$C$47*37.719))*43758.5453)))-1))))/1000)^2)</x:f>
        <x:v>402.42815104630546</x:v>
      </x:c>
      <x:c r="AB64" s="48" t="n">
        <x:f>1000*(AA65-AA63)/(Z65-Z63)*Inputs!$C$11</x:f>
        <x:v>-481.119386497312</x:v>
      </x:c>
      <x:c r="AC64" s="48" t="n">
        <x:f>-2*AB64/Inputs!$C$13</x:f>
        <x:v>192.4477545989248</x:v>
      </x:c>
      <x:c r="AD64" s="48" t="n">
        <x:f>-2*AB64/Inputs!$C$14</x:f>
        <x:v>28.89605924908781</x:v>
      </x:c>
    </x:row>
    <x:row r="65">
      <x:c r="A65" s="48" t="n">
        <x:f>Model_Data!A65</x:f>
        <x:v>-28.5</x:v>
      </x:c>
      <x:c r="B65" s="48" t="n">
        <x:f>Model_Data!F65</x:f>
        <x:v>1004.7913422626065</x:v>
      </x:c>
      <x:c r="C65" s="48" t="n">
        <x:f>(((SQRT((Model_Data!A65)^2+Inputs!$C$6^2+((Model_Data!B65)-((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(0.45*SIN(2*PI()*(((Model_Data!A65)/Inputs!$C$49)+Inputs!$C$47*0.137))+0.35*COS(2*PI()*(((Inputs!$C$6)/Inputs!$C$50)+Inputs!$C$47*0.173))+0.20*SIN(2*PI()*(((Model_Data!A65)+(Inputs!$C$6))/(0.5*(Inputs!$C$49+Inputs!$C$50))+Inputs!$C$47*0.097)))+0.30*(2*((SIN(((Model_Data!A65)*12.9898+(Inputs!$C$6)*78.233+Inputs!$C$47*37.719))*43758.5453)-INT((SIN(((Model_Data!A65)*12.9898+(Inputs!$C$6)*78.233+Inputs!$C$47*37.719))*43758.5453)))-1))))/1000)^2))-(((Model_Data!B65)-((Inputs!$C$51*(115*EXP(-(((0)-25)^2)/(4.5^2))+70*EXP(-(((0)+38)^2)/(7^2))*(0.55+0.45*SIN(2*PI()*(Model_Data!A65)/45))+24*SIN(2*PI()*(0)/9+(Model_Data!A65)/18)*EXP(-(((0)+5)^2)/(22^2))+18*SIN(2*PI()*(Model_Data!A65)/70))+Inputs!$C$28*EXP(-(((Model_Data!A65)-Inputs!$C$29)^2)/(2*Inputs!$C$31^2))*EXP(-(((0)-Inputs!$C$30)^2)/(2*Inputs!$C$32^2))+-Inputs!$C$33*EXP(-(((((Model_Data!A65)-Inputs!$C$34)^2)+(((0)-Inputs!$C$35)^2))/(2*Inputs!$C$36^2)))+Inputs!$C$37*(0.55*SIN(2*PI()*(Model_Data!A65)/Inputs!$C$39)+0.35*COS(2*PI()*(0)/Inputs!$C$40)+0.2*SIN(2*PI()*((Model_Data!A65)+(0))/(0.5*(Inputs!$C$39+Inputs!$C$40))))+Inputs!$C$38*SIN(2*PI()*(Model_Data!A65)/Inputs!$C$39)*SIN(2*PI()*(0)/Inputs!$C$40)+-Inputs!$C$41*EXP(-(((0)-Inputs!$C$43)^2)/(2*Inputs!$C$44^2))*EXP(-(((Model_Data!A65)-Inputs!$C$42)^2)/(2*Inputs!$C$45^2))+Inputs!$C$48*(0.70*(0.45*SIN(2*PI()*(((Model_Data!A65)/Inputs!$C$49)+Inputs!$C$47*0.137))+0.35*COS(2*PI()*(((0)/Inputs!$C$50)+Inputs!$C$47*0.173))+0.20*SIN(2*PI()*(((Model_Data!A65)+(0))/(0.5*(Inputs!$C$49+Inputs!$C$50))+Inputs!$C$47*0.097)))+0.30*(2*((SIN(((Model_Data!A65)*12.9898+(0)*78.233+Inputs!$C$47*37.719))*43758.5453)-INT((SIN(((Model_Data!A65)*12.9898+(0)*78.233+Inputs!$C$47*37.719))*43758.5453)))-1))))/1000)))*1000/Inputs!$C$12)</x:f>
        <x:v>814.5695089182752</x:v>
      </x:c>
      <x:c r="D65" s="49"/>
      <x:c r="E65" s="48" t="n">
        <x:f>Model_Data!A65</x:f>
        <x:v>-28.5</x:v>
      </x:c>
      <x:c r="F65" s="48" t="n">
        <x:f>(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(0.45*SIN(2*PI()*(((Model_Data!A65)/Inputs!$C$49)+Inputs!$C$47*0.137))+0.35*COS(2*PI()*(((Inputs!$C$6)/Inputs!$C$50)+Inputs!$C$47*0.173))+0.20*SIN(2*PI()*(((Model_Data!A65)+(Inputs!$C$6))/(0.5*(Inputs!$C$49+Inputs!$C$50))+Inputs!$C$47*0.097)))+0.30*(2*((SIN(((Model_Data!A65)*12.9898+(Inputs!$C$6)*78.233+Inputs!$C$47*37.719))*43758.5453)-INT((SIN(((Model_Data!A65)*12.9898+(Inputs!$C$6)*78.233+Inputs!$C$47*37.719))*43758.5453)))-1)))</x:f>
        <x:v>310.24247262167495</x:v>
      </x:c>
      <x:c r="G65" s="48" t="n">
        <x:f>(Inputs!$C$51*(115*EXP(-(((0)-25)^2)/(4.5^2))+70*EXP(-(((0)+38)^2)/(7^2))*(0.55+0.45*SIN(2*PI()*(Model_Data!A65)/45))+24*SIN(2*PI()*(0)/9+(Model_Data!A65)/18)*EXP(-(((0)+5)^2)/(22^2))+18*SIN(2*PI()*(Model_Data!A65)/70))+Inputs!$C$28*EXP(-(((Model_Data!A65)-Inputs!$C$29)^2)/(2*Inputs!$C$31^2))*EXP(-(((0)-Inputs!$C$30)^2)/(2*Inputs!$C$32^2))+-Inputs!$C$33*EXP(-(((((Model_Data!A65)-Inputs!$C$34)^2)+(((0)-Inputs!$C$35)^2))/(2*Inputs!$C$36^2)))+Inputs!$C$37*(0.55*SIN(2*PI()*(Model_Data!A65)/Inputs!$C$39)+0.35*COS(2*PI()*(0)/Inputs!$C$40)+0.2*SIN(2*PI()*((Model_Data!A65)+(0))/(0.5*(Inputs!$C$39+Inputs!$C$40))))+Inputs!$C$38*SIN(2*PI()*(Model_Data!A65)/Inputs!$C$39)*SIN(2*PI()*(0)/Inputs!$C$40)+-Inputs!$C$41*EXP(-(((0)-Inputs!$C$43)^2)/(2*Inputs!$C$44^2))*EXP(-(((Model_Data!A65)-Inputs!$C$42)^2)/(2*Inputs!$C$45^2))+Inputs!$C$48*(0.70*(0.45*SIN(2*PI()*(((Model_Data!A65)/Inputs!$C$49)+Inputs!$C$47*0.137))+0.35*COS(2*PI()*(((0)/Inputs!$C$50)+Inputs!$C$47*0.173))+0.20*SIN(2*PI()*(((Model_Data!A65)+(0))/(0.5*(Inputs!$C$49+Inputs!$C$50))+Inputs!$C$47*0.097)))+0.30*(2*((SIN(((Model_Data!A65)*12.9898+(0)*78.233+Inputs!$C$47*37.719))*43758.5453)-INT((SIN(((Model_Data!A65)*12.9898+(0)*78.233+Inputs!$C$47*37.719))*43758.5453)))-1)))</x:f>
        <x:v>-29.731374520275047</x:v>
      </x:c>
      <x:c r="H65" s="49"/>
      <x:c r="I65" s="48" t="n">
        <x:f>Model_Data!A65</x:f>
        <x:v>-28.5</x:v>
      </x:c>
      <x:c r="J65" s="48" t="n">
        <x:f>((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(0.45*SIN(2*PI()*(((Model_Data!A65)/Inputs!$C$49)+Inputs!$C$47*0.137))+0.35*COS(2*PI()*(((Inputs!$C$6)/Inputs!$C$50)+Inputs!$C$47*0.173))+0.20*SIN(2*PI()*(((Model_Data!A65)+(Inputs!$C$6))/(0.5*(Inputs!$C$49+Inputs!$C$50))+Inputs!$C$47*0.097)))+0.30*(2*((SIN(((Model_Data!A65)*12.9898+(Inputs!$C$6)*78.233+Inputs!$C$47*37.719))*43758.5453)-INT((SIN(((Model_Data!A65)*12.9898+(Inputs!$C$6)*78.233+Inputs!$C$47*37.719))*43758.5453)))-1))))-((Inputs!$C$51*(115*EXP(-(((0)-25)^2)/(4.5^2))+70*EXP(-(((0)+38)^2)/(7^2))*(0.55+0.45*SIN(2*PI()*(Model_Data!A65)/45))+24*SIN(2*PI()*(0)/9+(Model_Data!A65)/18)*EXP(-(((0)+5)^2)/(22^2))+18*SIN(2*PI()*(Model_Data!A65)/70))+Inputs!$C$28*EXP(-(((Model_Data!A65)-Inputs!$C$29)^2)/(2*Inputs!$C$31^2))*EXP(-(((0)-Inputs!$C$30)^2)/(2*Inputs!$C$32^2))+-Inputs!$C$33*EXP(-(((((Model_Data!A65)-Inputs!$C$34)^2)+(((0)-Inputs!$C$35)^2))/(2*Inputs!$C$36^2)))+Inputs!$C$37*(0.55*SIN(2*PI()*(Model_Data!A65)/Inputs!$C$39)+0.35*COS(2*PI()*(0)/Inputs!$C$40)+0.2*SIN(2*PI()*((Model_Data!A65)+(0))/(0.5*(Inputs!$C$39+Inputs!$C$40))))+Inputs!$C$38*SIN(2*PI()*(Model_Data!A65)/Inputs!$C$39)*SIN(2*PI()*(0)/Inputs!$C$40)+-Inputs!$C$41*EXP(-(((0)-Inputs!$C$43)^2)/(2*Inputs!$C$44^2))*EXP(-(((Model_Data!A65)-Inputs!$C$42)^2)/(2*Inputs!$C$45^2))+Inputs!$C$48*(0.70*(0.45*SIN(2*PI()*(((Model_Data!A65)/Inputs!$C$49)+Inputs!$C$47*0.137))+0.35*COS(2*PI()*(((0)/Inputs!$C$50)+Inputs!$C$47*0.173))+0.20*SIN(2*PI()*(((Model_Data!A65)+(0))/(0.5*(Inputs!$C$49+Inputs!$C$50))+Inputs!$C$47*0.097)))+0.30*(2*((SIN(((Model_Data!A65)*12.9898+(0)*78.233+Inputs!$C$47*37.719))*43758.5453)-INT((SIN(((Model_Data!A65)*12.9898+(0)*78.233+Inputs!$C$47*37.719))*43758.5453)))-1))))</x:f>
        <x:v>339.97384714195</x:v>
      </x:c>
      <x:c r="K65" s="48" t="n">
        <x:f>-((((SQRT((Model_Data!A65)^2+Inputs!$C$6^2+((Model_Data!B65)-((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(0.45*SIN(2*PI()*(((Model_Data!A65)/Inputs!$C$49)+Inputs!$C$47*0.137))+0.35*COS(2*PI()*(((Inputs!$C$6)/Inputs!$C$50)+Inputs!$C$47*0.173))+0.20*SIN(2*PI()*(((Model_Data!A65)+(Inputs!$C$6))/(0.5*(Inputs!$C$49+Inputs!$C$50))+Inputs!$C$47*0.097)))+0.30*(2*((SIN(((Model_Data!A65)*12.9898+(Inputs!$C$6)*78.233+Inputs!$C$47*37.719))*43758.5453)-INT((SIN(((Model_Data!A65)*12.9898+(Inputs!$C$6)*78.233+Inputs!$C$47*37.719))*43758.5453)))-1))))/1000)^2))-(((Model_Data!B65)-((Inputs!$C$51*(115*EXP(-(((0)-25)^2)/(4.5^2))+70*EXP(-(((0)+38)^2)/(7^2))*(0.55+0.45*SIN(2*PI()*(Model_Data!A65)/45))+24*SIN(2*PI()*(0)/9+(Model_Data!A65)/18)*EXP(-(((0)+5)^2)/(22^2))+18*SIN(2*PI()*(Model_Data!A65)/70))+Inputs!$C$28*EXP(-(((Model_Data!A65)-Inputs!$C$29)^2)/(2*Inputs!$C$31^2))*EXP(-(((0)-Inputs!$C$30)^2)/(2*Inputs!$C$32^2))+-Inputs!$C$33*EXP(-(((((Model_Data!A65)-Inputs!$C$34)^2)+(((0)-Inputs!$C$35)^2))/(2*Inputs!$C$36^2)))+Inputs!$C$37*(0.55*SIN(2*PI()*(Model_Data!A65)/Inputs!$C$39)+0.35*COS(2*PI()*(0)/Inputs!$C$40)+0.2*SIN(2*PI()*((Model_Data!A65)+(0))/(0.5*(Inputs!$C$39+Inputs!$C$40))))+Inputs!$C$38*SIN(2*PI()*(Model_Data!A65)/Inputs!$C$39)*SIN(2*PI()*(0)/Inputs!$C$40)+-Inputs!$C$41*EXP(-(((0)-Inputs!$C$43)^2)/(2*Inputs!$C$44^2))*EXP(-(((Model_Data!A65)-Inputs!$C$42)^2)/(2*Inputs!$C$45^2))+Inputs!$C$48*(0.70*(0.45*SIN(2*PI()*(((Model_Data!A65)/Inputs!$C$49)+Inputs!$C$47*0.137))+0.35*COS(2*PI()*(((0)/Inputs!$C$50)+Inputs!$C$47*0.173))+0.20*SIN(2*PI()*(((Model_Data!A65)+(0))/(0.5*(Inputs!$C$49+Inputs!$C$50))+Inputs!$C$47*0.097)))+0.30*(2*((SIN(((Model_Data!A65)*12.9898+(0)*78.233+Inputs!$C$47*37.719))*43758.5453)-INT((SIN(((Model_Data!A65)*12.9898+(0)*78.233+Inputs!$C$47*37.719))*43758.5453)))-1))))/1000)))*1000/Inputs!$C$12)-Model_Data!F65)</x:f>
        <x:v>190.22183334433123</x:v>
      </x:c>
      <x:c r="L65" s="49"/>
      <x:c r="M65" s="48" t="n">
        <x:f>Model_Data!A65</x:f>
        <x:v>-28.5</x:v>
      </x:c>
      <x:c r="N65" s="48" t="n">
        <x:f>Model_Data!P65</x:f>
        <x:v>214.12144931249978</x:v>
      </x:c>
      <x:c r="O65" s="48" t="n">
        <x:f>AC65</x:f>
        <x:v>184.59254696226708</x:v>
      </x:c>
      <x:c r="P65" s="48" t="n">
        <x:f>Model_Data!Q65</x:f>
        <x:v>32.15036776463961</x:v>
      </x:c>
      <x:c r="Q65" s="48" t="n">
        <x:f>AD65</x:f>
        <x:v>27.716598642983048</x:v>
      </x:c>
      <x:c r="R65" s="49"/>
      <x:c r="S65" s="48" t="n">
        <x:f>Model_Data!A65</x:f>
        <x:v>-28.5</x:v>
      </x:c>
      <x:c r="T65" s="48" t="n">
        <x:f>Model_Data!B65-Inputs!$C$5</x:f>
        <x:v>0.902499999999975</x:v>
      </x:c>
      <x:c r="U65" s="49"/>
      <x:c r="V65" s="48" t="n">
        <x:f>Model_Data!A65</x:f>
        <x:v>-28.5</x:v>
      </x:c>
      <x:c r="W65" s="48" t="n">
        <x:f>(-((((SQRT((Model_Data!A65)^2+Inputs!$C$6^2+((Model_Data!B65)-((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(0.45*SIN(2*PI()*(((Model_Data!A65)/Inputs!$C$49)+Inputs!$C$47*0.137))+0.35*COS(2*PI()*(((Inputs!$C$6)/Inputs!$C$50)+Inputs!$C$47*0.173))+0.20*SIN(2*PI()*(((Model_Data!A65)+(Inputs!$C$6))/(0.5*(Inputs!$C$49+Inputs!$C$50))+Inputs!$C$47*0.097)))+0.30*(2*((SIN(((Model_Data!A65)*12.9898+(Inputs!$C$6)*78.233+Inputs!$C$47*37.719))*43758.5453)-INT((SIN(((Model_Data!A65)*12.9898+(Inputs!$C$6)*78.233+Inputs!$C$47*37.719))*43758.5453)))-1))))/1000)^2))-(((Model_Data!B65)-((Inputs!$C$51*(115*EXP(-(((0)-25)^2)/(4.5^2))+70*EXP(-(((0)+38)^2)/(7^2))*(0.55+0.45*SIN(2*PI()*(Model_Data!A65)/45))+24*SIN(2*PI()*(0)/9+(Model_Data!A65)/18)*EXP(-(((0)+5)^2)/(22^2))+18*SIN(2*PI()*(Model_Data!A65)/70))+Inputs!$C$28*EXP(-(((Model_Data!A65)-Inputs!$C$29)^2)/(2*Inputs!$C$31^2))*EXP(-(((0)-Inputs!$C$30)^2)/(2*Inputs!$C$32^2))+-Inputs!$C$33*EXP(-(((((Model_Data!A65)-Inputs!$C$34)^2)+(((0)-Inputs!$C$35)^2))/(2*Inputs!$C$36^2)))+Inputs!$C$37*(0.55*SIN(2*PI()*(Model_Data!A65)/Inputs!$C$39)+0.35*COS(2*PI()*(0)/Inputs!$C$40)+0.2*SIN(2*PI()*((Model_Data!A65)+(0))/(0.5*(Inputs!$C$39+Inputs!$C$40))))+Inputs!$C$38*SIN(2*PI()*(Model_Data!A65)/Inputs!$C$39)*SIN(2*PI()*(0)/Inputs!$C$40)+-Inputs!$C$41*EXP(-(((0)-Inputs!$C$43)^2)/(2*Inputs!$C$44^2))*EXP(-(((Model_Data!A65)-Inputs!$C$42)^2)/(2*Inputs!$C$45^2))+Inputs!$C$48*(0.70*(0.45*SIN(2*PI()*(((Model_Data!A65)/Inputs!$C$49)+Inputs!$C$47*0.137))+0.35*COS(2*PI()*(((0)/Inputs!$C$50)+Inputs!$C$47*0.173))+0.20*SIN(2*PI()*(((Model_Data!A65)+(0))/(0.5*(Inputs!$C$49+Inputs!$C$50))+Inputs!$C$47*0.097)))+0.30*(2*((SIN(((Model_Data!A65)*12.9898+(0)*78.233+Inputs!$C$47*37.719))*43758.5453)-INT((SIN(((Model_Data!A65)*12.9898+(0)*78.233+Inputs!$C$47*37.719))*43758.5453)))-1))))/1000)))*1000/Inputs!$C$12)-Model_Data!F65))-(-(((SQRT((Model_Data!A65)^2+Inputs!$C$6^2+(Inputs!$C$5-((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(0.45*SIN(2*PI()*(((Model_Data!A65)/Inputs!$C$49)+Inputs!$C$47*0.137))+0.35*COS(2*PI()*(((Inputs!$C$6)/Inputs!$C$50)+Inputs!$C$47*0.173))+0.20*SIN(2*PI()*(((Model_Data!A65)+(Inputs!$C$6))/(0.5*(Inputs!$C$49+Inputs!$C$50))+Inputs!$C$47*0.097)))+0.30*(2*((SIN(((Model_Data!A65)*12.9898+(Inputs!$C$6)*78.233+Inputs!$C$47*37.719))*43758.5453)-INT((SIN(((Model_Data!A65)*12.9898+(Inputs!$C$6)*78.233+Inputs!$C$47*37.719))*43758.5453)))-1))))/1000)^2)-(Inputs!$C$5-((Inputs!$C$51*(115*EXP(-(((0)-25)^2)/(4.5^2))+70*EXP(-(((0)+38)^2)/(7^2))*(0.55+0.45*SIN(2*PI()*(Model_Data!A65)/45))+24*SIN(2*PI()*(0)/9+(Model_Data!A65)/18)*EXP(-(((0)+5)^2)/(22^2))+18*SIN(2*PI()*(Model_Data!A65)/70))+Inputs!$C$28*EXP(-(((Model_Data!A65)-Inputs!$C$29)^2)/(2*Inputs!$C$31^2))*EXP(-(((0)-Inputs!$C$30)^2)/(2*Inputs!$C$32^2))+-Inputs!$C$33*EXP(-(((((Model_Data!A65)-Inputs!$C$34)^2)+(((0)-Inputs!$C$35)^2))/(2*Inputs!$C$36^2)))+Inputs!$C$37*(0.55*SIN(2*PI()*(Model_Data!A65)/Inputs!$C$39)+0.35*COS(2*PI()*(0)/Inputs!$C$40)+0.2*SIN(2*PI()*((Model_Data!A65)+(0))/(0.5*(Inputs!$C$39+Inputs!$C$40))))+Inputs!$C$38*SIN(2*PI()*(Model_Data!A65)/Inputs!$C$39)*SIN(2*PI()*(0)/Inputs!$C$40)+-Inputs!$C$41*EXP(-(((0)-Inputs!$C$43)^2)/(2*Inputs!$C$44^2))*EXP(-(((Model_Data!A65)-Inputs!$C$42)^2)/(2*Inputs!$C$45^2))+Inputs!$C$48*(0.70*(0.45*SIN(2*PI()*(((Model_Data!A65)/Inputs!$C$49)+Inputs!$C$47*0.137))+0.35*COS(2*PI()*(((0)/Inputs!$C$50)+Inputs!$C$47*0.173))+0.20*SIN(2*PI()*(((Model_Data!A65)+(0))/(0.5*(Inputs!$C$49+Inputs!$C$50))+Inputs!$C$47*0.097)))+0.30*(2*((SIN(((Model_Data!A65)*12.9898+(0)*78.233+Inputs!$C$47*37.719))*43758.5453)-INT((SIN(((Model_Data!A65)*12.9898+(0)*78.233+Inputs!$C$47*37.719))*43758.5453)))-1))))/1000))*1000/Inputs!$C$12)-((SQRT((Model_Data!A65)^2+Inputs!$C$6^2+Inputs!$C$5^2)-Inputs!$C$5)*1000/Inputs!$C$12)))</x:f>
        <x:v>0.0034777690799501215</x:v>
      </x:c>
      <x:c r="X65" s="48" t="n">
        <x:f>0</x:f>
        <x:v>0</x:v>
      </x:c>
      <x:c r="Y65" s="49"/>
      <x:c r="Z65" s="48" t="n">
        <x:f>Model_Data!A65</x:f>
        <x:v>-28.5</x:v>
      </x:c>
      <x:c r="AA65" s="48" t="n">
        <x:f>SQRT((Model_Data!A65)^2+Inputs!$C$6^2+((Model_Data!B65)-((Inputs!$C$51*(115*EXP(-(((Inputs!$C$6)-25)^2)/(4.5^2))+70*EXP(-(((Inputs!$C$6)+38)^2)/(7^2))*(0.55+0.45*SIN(2*PI()*(Model_Data!A65)/45))+24*SIN(2*PI()*(Inputs!$C$6)/9+(Model_Data!A65)/18)*EXP(-(((Inputs!$C$6)+5)^2)/(22^2))+18*SIN(2*PI()*(Model_Data!A65)/70))+Inputs!$C$28*EXP(-(((Model_Data!A65)-Inputs!$C$29)^2)/(2*Inputs!$C$31^2))*EXP(-(((Inputs!$C$6)-Inputs!$C$30)^2)/(2*Inputs!$C$32^2))+-Inputs!$C$33*EXP(-(((((Model_Data!A65)-Inputs!$C$34)^2)+(((Inputs!$C$6)-Inputs!$C$35)^2))/(2*Inputs!$C$36^2)))+Inputs!$C$37*(0.55*SIN(2*PI()*(Model_Data!A65)/Inputs!$C$39)+0.35*COS(2*PI()*(Inputs!$C$6)/Inputs!$C$40)+0.2*SIN(2*PI()*((Model_Data!A65)+(Inputs!$C$6))/(0.5*(Inputs!$C$39+Inputs!$C$40))))+Inputs!$C$38*SIN(2*PI()*(Model_Data!A65)/Inputs!$C$39)*SIN(2*PI()*(Inputs!$C$6)/Inputs!$C$40)+-Inputs!$C$41*EXP(-(((Inputs!$C$6)-Inputs!$C$43)^2)/(2*Inputs!$C$44^2))*EXP(-(((Model_Data!A65)-Inputs!$C$42)^2)/(2*Inputs!$C$45^2))+Inputs!$C$48*(0.70*(0.45*SIN(2*PI()*(((Model_Data!A65)/Inputs!$C$49)+Inputs!$C$47*0.137))+0.35*COS(2*PI()*(((Inputs!$C$6)/Inputs!$C$50)+Inputs!$C$47*0.173))+0.20*SIN(2*PI()*(((Model_Data!A65)+(Inputs!$C$6))/(0.5*(Inputs!$C$49+Inputs!$C$50))+Inputs!$C$47*0.097)))+0.30*(2*((SIN(((Model_Data!A65)*12.9898+(Inputs!$C$6)*78.233+Inputs!$C$47*37.719))*43758.5453)-INT((SIN(((Model_Data!A65)*12.9898+(Inputs!$C$6)*78.233+Inputs!$C$47*37.719))*43758.5453)))-1))))/1000)^2)</x:f>
        <x:v>402.3821651003948</x:v>
      </x:c>
      <x:c r="AB65" s="48" t="n">
        <x:f>1000*(AA66-AA64)/(Z66-Z64)*Inputs!$C$11</x:f>
        <x:v>-461.4813674056677</x:v>
      </x:c>
      <x:c r="AC65" s="48" t="n">
        <x:f>-2*AB65/Inputs!$C$13</x:f>
        <x:v>184.59254696226708</x:v>
      </x:c>
      <x:c r="AD65" s="48" t="n">
        <x:f>-2*AB65/Inputs!$C$14</x:f>
        <x:v>27.716598642983048</x:v>
      </x:c>
    </x:row>
    <x:row r="66">
      <x:c r="A66" s="48" t="n">
        <x:f>Model_Data!A66</x:f>
        <x:v>-28</x:v>
      </x:c>
      <x:c r="B66" s="48" t="n">
        <x:f>Model_Data!F66</x:f>
        <x:v>985.1613715773758</x:v>
      </x:c>
      <x:c r="C66" s="48" t="n">
        <x:f>(((SQRT((Model_Data!A66)^2+Inputs!$C$6^2+((Model_Data!B66)-((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(0.45*SIN(2*PI()*(((Model_Data!A66)/Inputs!$C$49)+Inputs!$C$47*0.137))+0.35*COS(2*PI()*(((Inputs!$C$6)/Inputs!$C$50)+Inputs!$C$47*0.173))+0.20*SIN(2*PI()*(((Model_Data!A66)+(Inputs!$C$6))/(0.5*(Inputs!$C$49+Inputs!$C$50))+Inputs!$C$47*0.097)))+0.30*(2*((SIN(((Model_Data!A66)*12.9898+(Inputs!$C$6)*78.233+Inputs!$C$47*37.719))*43758.5453)-INT((SIN(((Model_Data!A66)*12.9898+(Inputs!$C$6)*78.233+Inputs!$C$47*37.719))*43758.5453)))-1))))/1000)^2))-(((Model_Data!B66)-((Inputs!$C$51*(115*EXP(-(((0)-25)^2)/(4.5^2))+70*EXP(-(((0)+38)^2)/(7^2))*(0.55+0.45*SIN(2*PI()*(Model_Data!A66)/45))+24*SIN(2*PI()*(0)/9+(Model_Data!A66)/18)*EXP(-(((0)+5)^2)/(22^2))+18*SIN(2*PI()*(Model_Data!A66)/70))+Inputs!$C$28*EXP(-(((Model_Data!A66)-Inputs!$C$29)^2)/(2*Inputs!$C$31^2))*EXP(-(((0)-Inputs!$C$30)^2)/(2*Inputs!$C$32^2))+-Inputs!$C$33*EXP(-(((((Model_Data!A66)-Inputs!$C$34)^2)+(((0)-Inputs!$C$35)^2))/(2*Inputs!$C$36^2)))+Inputs!$C$37*(0.55*SIN(2*PI()*(Model_Data!A66)/Inputs!$C$39)+0.35*COS(2*PI()*(0)/Inputs!$C$40)+0.2*SIN(2*PI()*((Model_Data!A66)+(0))/(0.5*(Inputs!$C$39+Inputs!$C$40))))+Inputs!$C$38*SIN(2*PI()*(Model_Data!A66)/Inputs!$C$39)*SIN(2*PI()*(0)/Inputs!$C$40)+-Inputs!$C$41*EXP(-(((0)-Inputs!$C$43)^2)/(2*Inputs!$C$44^2))*EXP(-(((Model_Data!A66)-Inputs!$C$42)^2)/(2*Inputs!$C$45^2))+Inputs!$C$48*(0.70*(0.45*SIN(2*PI()*(((Model_Data!A66)/Inputs!$C$49)+Inputs!$C$47*0.137))+0.35*COS(2*PI()*(((0)/Inputs!$C$50)+Inputs!$C$47*0.173))+0.20*SIN(2*PI()*(((Model_Data!A66)+(0))/(0.5*(Inputs!$C$49+Inputs!$C$50))+Inputs!$C$47*0.097)))+0.30*(2*((SIN(((Model_Data!A66)*12.9898+(0)*78.233+Inputs!$C$47*37.719))*43758.5453)-INT((SIN(((Model_Data!A66)*12.9898+(0)*78.233+Inputs!$C$47*37.719))*43758.5453)))-1))))/1000)))*1000/Inputs!$C$12)</x:f>
        <x:v>780.1416152055411</x:v>
      </x:c>
      <x:c r="D66" s="49"/>
      <x:c r="E66" s="48" t="n">
        <x:f>Model_Data!A66</x:f>
        <x:v>-28</x:v>
      </x:c>
      <x:c r="F66" s="48" t="n">
        <x:f>(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(0.45*SIN(2*PI()*(((Model_Data!A66)/Inputs!$C$49)+Inputs!$C$47*0.137))+0.35*COS(2*PI()*(((Inputs!$C$6)/Inputs!$C$50)+Inputs!$C$47*0.173))+0.20*SIN(2*PI()*(((Model_Data!A66)+(Inputs!$C$6))/(0.5*(Inputs!$C$49+Inputs!$C$50))+Inputs!$C$47*0.097)))+0.30*(2*((SIN(((Model_Data!A66)*12.9898+(Inputs!$C$6)*78.233+Inputs!$C$47*37.719))*43758.5453)-INT((SIN(((Model_Data!A66)*12.9898+(Inputs!$C$6)*78.233+Inputs!$C$47*37.719))*43758.5453)))-1)))</x:f>
        <x:v>313.2831784265769</x:v>
      </x:c>
      <x:c r="G66" s="48" t="n">
        <x:f>(Inputs!$C$51*(115*EXP(-(((0)-25)^2)/(4.5^2))+70*EXP(-(((0)+38)^2)/(7^2))*(0.55+0.45*SIN(2*PI()*(Model_Data!A66)/45))+24*SIN(2*PI()*(0)/9+(Model_Data!A66)/18)*EXP(-(((0)+5)^2)/(22^2))+18*SIN(2*PI()*(Model_Data!A66)/70))+Inputs!$C$28*EXP(-(((Model_Data!A66)-Inputs!$C$29)^2)/(2*Inputs!$C$31^2))*EXP(-(((0)-Inputs!$C$30)^2)/(2*Inputs!$C$32^2))+-Inputs!$C$33*EXP(-(((((Model_Data!A66)-Inputs!$C$34)^2)+(((0)-Inputs!$C$35)^2))/(2*Inputs!$C$36^2)))+Inputs!$C$37*(0.55*SIN(2*PI()*(Model_Data!A66)/Inputs!$C$39)+0.35*COS(2*PI()*(0)/Inputs!$C$40)+0.2*SIN(2*PI()*((Model_Data!A66)+(0))/(0.5*(Inputs!$C$39+Inputs!$C$40))))+Inputs!$C$38*SIN(2*PI()*(Model_Data!A66)/Inputs!$C$39)*SIN(2*PI()*(0)/Inputs!$C$40)+-Inputs!$C$41*EXP(-(((0)-Inputs!$C$43)^2)/(2*Inputs!$C$44^2))*EXP(-(((Model_Data!A66)-Inputs!$C$42)^2)/(2*Inputs!$C$45^2))+Inputs!$C$48*(0.70*(0.45*SIN(2*PI()*(((Model_Data!A66)/Inputs!$C$49)+Inputs!$C$47*0.137))+0.35*COS(2*PI()*(((0)/Inputs!$C$50)+Inputs!$C$47*0.173))+0.20*SIN(2*PI()*(((Model_Data!A66)+(0))/(0.5*(Inputs!$C$49+Inputs!$C$50))+Inputs!$C$47*0.097)))+0.30*(2*((SIN(((Model_Data!A66)*12.9898+(0)*78.233+Inputs!$C$47*37.719))*43758.5453)-INT((SIN(((Model_Data!A66)*12.9898+(0)*78.233+Inputs!$C$47*37.719))*43758.5453)))-1)))</x:f>
        <x:v>-53.01751827704016</x:v>
      </x:c>
      <x:c r="H66" s="49"/>
      <x:c r="I66" s="48" t="n">
        <x:f>Model_Data!A66</x:f>
        <x:v>-28</x:v>
      </x:c>
      <x:c r="J66" s="48" t="n">
        <x:f>((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(0.45*SIN(2*PI()*(((Model_Data!A66)/Inputs!$C$49)+Inputs!$C$47*0.137))+0.35*COS(2*PI()*(((Inputs!$C$6)/Inputs!$C$50)+Inputs!$C$47*0.173))+0.20*SIN(2*PI()*(((Model_Data!A66)+(Inputs!$C$6))/(0.5*(Inputs!$C$49+Inputs!$C$50))+Inputs!$C$47*0.097)))+0.30*(2*((SIN(((Model_Data!A66)*12.9898+(Inputs!$C$6)*78.233+Inputs!$C$47*37.719))*43758.5453)-INT((SIN(((Model_Data!A66)*12.9898+(Inputs!$C$6)*78.233+Inputs!$C$47*37.719))*43758.5453)))-1))))-((Inputs!$C$51*(115*EXP(-(((0)-25)^2)/(4.5^2))+70*EXP(-(((0)+38)^2)/(7^2))*(0.55+0.45*SIN(2*PI()*(Model_Data!A66)/45))+24*SIN(2*PI()*(0)/9+(Model_Data!A66)/18)*EXP(-(((0)+5)^2)/(22^2))+18*SIN(2*PI()*(Model_Data!A66)/70))+Inputs!$C$28*EXP(-(((Model_Data!A66)-Inputs!$C$29)^2)/(2*Inputs!$C$31^2))*EXP(-(((0)-Inputs!$C$30)^2)/(2*Inputs!$C$32^2))+-Inputs!$C$33*EXP(-(((((Model_Data!A66)-Inputs!$C$34)^2)+(((0)-Inputs!$C$35)^2))/(2*Inputs!$C$36^2)))+Inputs!$C$37*(0.55*SIN(2*PI()*(Model_Data!A66)/Inputs!$C$39)+0.35*COS(2*PI()*(0)/Inputs!$C$40)+0.2*SIN(2*PI()*((Model_Data!A66)+(0))/(0.5*(Inputs!$C$39+Inputs!$C$40))))+Inputs!$C$38*SIN(2*PI()*(Model_Data!A66)/Inputs!$C$39)*SIN(2*PI()*(0)/Inputs!$C$40)+-Inputs!$C$41*EXP(-(((0)-Inputs!$C$43)^2)/(2*Inputs!$C$44^2))*EXP(-(((Model_Data!A66)-Inputs!$C$42)^2)/(2*Inputs!$C$45^2))+Inputs!$C$48*(0.70*(0.45*SIN(2*PI()*(((Model_Data!A66)/Inputs!$C$49)+Inputs!$C$47*0.137))+0.35*COS(2*PI()*(((0)/Inputs!$C$50)+Inputs!$C$47*0.173))+0.20*SIN(2*PI()*(((Model_Data!A66)+(0))/(0.5*(Inputs!$C$49+Inputs!$C$50))+Inputs!$C$47*0.097)))+0.30*(2*((SIN(((Model_Data!A66)*12.9898+(0)*78.233+Inputs!$C$47*37.719))*43758.5453)-INT((SIN(((Model_Data!A66)*12.9898+(0)*78.233+Inputs!$C$47*37.719))*43758.5453)))-1))))</x:f>
        <x:v>366.30069670361706</x:v>
      </x:c>
      <x:c r="K66" s="48" t="n">
        <x:f>-((((SQRT((Model_Data!A66)^2+Inputs!$C$6^2+((Model_Data!B66)-((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(0.45*SIN(2*PI()*(((Model_Data!A66)/Inputs!$C$49)+Inputs!$C$47*0.137))+0.35*COS(2*PI()*(((Inputs!$C$6)/Inputs!$C$50)+Inputs!$C$47*0.173))+0.20*SIN(2*PI()*(((Model_Data!A66)+(Inputs!$C$6))/(0.5*(Inputs!$C$49+Inputs!$C$50))+Inputs!$C$47*0.097)))+0.30*(2*((SIN(((Model_Data!A66)*12.9898+(Inputs!$C$6)*78.233+Inputs!$C$47*37.719))*43758.5453)-INT((SIN(((Model_Data!A66)*12.9898+(Inputs!$C$6)*78.233+Inputs!$C$47*37.719))*43758.5453)))-1))))/1000)^2))-(((Model_Data!B66)-((Inputs!$C$51*(115*EXP(-(((0)-25)^2)/(4.5^2))+70*EXP(-(((0)+38)^2)/(7^2))*(0.55+0.45*SIN(2*PI()*(Model_Data!A66)/45))+24*SIN(2*PI()*(0)/9+(Model_Data!A66)/18)*EXP(-(((0)+5)^2)/(22^2))+18*SIN(2*PI()*(Model_Data!A66)/70))+Inputs!$C$28*EXP(-(((Model_Data!A66)-Inputs!$C$29)^2)/(2*Inputs!$C$31^2))*EXP(-(((0)-Inputs!$C$30)^2)/(2*Inputs!$C$32^2))+-Inputs!$C$33*EXP(-(((((Model_Data!A66)-Inputs!$C$34)^2)+(((0)-Inputs!$C$35)^2))/(2*Inputs!$C$36^2)))+Inputs!$C$37*(0.55*SIN(2*PI()*(Model_Data!A66)/Inputs!$C$39)+0.35*COS(2*PI()*(0)/Inputs!$C$40)+0.2*SIN(2*PI()*((Model_Data!A66)+(0))/(0.5*(Inputs!$C$39+Inputs!$C$40))))+Inputs!$C$38*SIN(2*PI()*(Model_Data!A66)/Inputs!$C$39)*SIN(2*PI()*(0)/Inputs!$C$40)+-Inputs!$C$41*EXP(-(((0)-Inputs!$C$43)^2)/(2*Inputs!$C$44^2))*EXP(-(((Model_Data!A66)-Inputs!$C$42)^2)/(2*Inputs!$C$45^2))+Inputs!$C$48*(0.70*(0.45*SIN(2*PI()*(((Model_Data!A66)/Inputs!$C$49)+Inputs!$C$47*0.137))+0.35*COS(2*PI()*(((0)/Inputs!$C$50)+Inputs!$C$47*0.173))+0.20*SIN(2*PI()*(((Model_Data!A66)+(0))/(0.5*(Inputs!$C$49+Inputs!$C$50))+Inputs!$C$47*0.097)))+0.30*(2*((SIN(((Model_Data!A66)*12.9898+(0)*78.233+Inputs!$C$47*37.719))*43758.5453)-INT((SIN(((Model_Data!A66)*12.9898+(0)*78.233+Inputs!$C$47*37.719))*43758.5453)))-1))))/1000)))*1000/Inputs!$C$12)-Model_Data!F66)</x:f>
        <x:v>205.01975637183466</x:v>
      </x:c>
      <x:c r="L66" s="49"/>
      <x:c r="M66" s="48" t="n">
        <x:f>Model_Data!A66</x:f>
        <x:v>-28</x:v>
      </x:c>
      <x:c r="N66" s="48" t="n">
        <x:f>Model_Data!P66</x:f>
        <x:v>210.39182772307828</x:v>
      </x:c>
      <x:c r="O66" s="48" t="n">
        <x:f>AC66</x:f>
        <x:v>189.1301118605952</x:v>
      </x:c>
      <x:c r="P66" s="48" t="n">
        <x:f>Model_Data!Q66</x:f>
        <x:v>31.59036452298473</x:v>
      </x:c>
      <x:c r="Q66" s="48" t="n">
        <x:f>AD66</x:f>
        <x:v>28.397914693783065</x:v>
      </x:c>
      <x:c r="R66" s="49"/>
      <x:c r="S66" s="48" t="n">
        <x:f>Model_Data!A66</x:f>
        <x:v>-28</x:v>
      </x:c>
      <x:c r="T66" s="48" t="n">
        <x:f>Model_Data!B66-Inputs!$C$5</x:f>
        <x:v>0.8711111111111336</x:v>
      </x:c>
      <x:c r="U66" s="49"/>
      <x:c r="V66" s="48" t="n">
        <x:f>Model_Data!A66</x:f>
        <x:v>-28</x:v>
      </x:c>
      <x:c r="W66" s="48" t="n">
        <x:f>(-((((SQRT((Model_Data!A66)^2+Inputs!$C$6^2+((Model_Data!B66)-((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(0.45*SIN(2*PI()*(((Model_Data!A66)/Inputs!$C$49)+Inputs!$C$47*0.137))+0.35*COS(2*PI()*(((Inputs!$C$6)/Inputs!$C$50)+Inputs!$C$47*0.173))+0.20*SIN(2*PI()*(((Model_Data!A66)+(Inputs!$C$6))/(0.5*(Inputs!$C$49+Inputs!$C$50))+Inputs!$C$47*0.097)))+0.30*(2*((SIN(((Model_Data!A66)*12.9898+(Inputs!$C$6)*78.233+Inputs!$C$47*37.719))*43758.5453)-INT((SIN(((Model_Data!A66)*12.9898+(Inputs!$C$6)*78.233+Inputs!$C$47*37.719))*43758.5453)))-1))))/1000)^2))-(((Model_Data!B66)-((Inputs!$C$51*(115*EXP(-(((0)-25)^2)/(4.5^2))+70*EXP(-(((0)+38)^2)/(7^2))*(0.55+0.45*SIN(2*PI()*(Model_Data!A66)/45))+24*SIN(2*PI()*(0)/9+(Model_Data!A66)/18)*EXP(-(((0)+5)^2)/(22^2))+18*SIN(2*PI()*(Model_Data!A66)/70))+Inputs!$C$28*EXP(-(((Model_Data!A66)-Inputs!$C$29)^2)/(2*Inputs!$C$31^2))*EXP(-(((0)-Inputs!$C$30)^2)/(2*Inputs!$C$32^2))+-Inputs!$C$33*EXP(-(((((Model_Data!A66)-Inputs!$C$34)^2)+(((0)-Inputs!$C$35)^2))/(2*Inputs!$C$36^2)))+Inputs!$C$37*(0.55*SIN(2*PI()*(Model_Data!A66)/Inputs!$C$39)+0.35*COS(2*PI()*(0)/Inputs!$C$40)+0.2*SIN(2*PI()*((Model_Data!A66)+(0))/(0.5*(Inputs!$C$39+Inputs!$C$40))))+Inputs!$C$38*SIN(2*PI()*(Model_Data!A66)/Inputs!$C$39)*SIN(2*PI()*(0)/Inputs!$C$40)+-Inputs!$C$41*EXP(-(((0)-Inputs!$C$43)^2)/(2*Inputs!$C$44^2))*EXP(-(((Model_Data!A66)-Inputs!$C$42)^2)/(2*Inputs!$C$45^2))+Inputs!$C$48*(0.70*(0.45*SIN(2*PI()*(((Model_Data!A66)/Inputs!$C$49)+Inputs!$C$47*0.137))+0.35*COS(2*PI()*(((0)/Inputs!$C$50)+Inputs!$C$47*0.173))+0.20*SIN(2*PI()*(((Model_Data!A66)+(0))/(0.5*(Inputs!$C$49+Inputs!$C$50))+Inputs!$C$47*0.097)))+0.30*(2*((SIN(((Model_Data!A66)*12.9898+(0)*78.233+Inputs!$C$47*37.719))*43758.5453)-INT((SIN(((Model_Data!A66)*12.9898+(0)*78.233+Inputs!$C$47*37.719))*43758.5453)))-1))))/1000)))*1000/Inputs!$C$12)-Model_Data!F66))-(-(((SQRT((Model_Data!A66)^2+Inputs!$C$6^2+(Inputs!$C$5-((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(0.45*SIN(2*PI()*(((Model_Data!A66)/Inputs!$C$49)+Inputs!$C$47*0.137))+0.35*COS(2*PI()*(((Inputs!$C$6)/Inputs!$C$50)+Inputs!$C$47*0.173))+0.20*SIN(2*PI()*(((Model_Data!A66)+(Inputs!$C$6))/(0.5*(Inputs!$C$49+Inputs!$C$50))+Inputs!$C$47*0.097)))+0.30*(2*((SIN(((Model_Data!A66)*12.9898+(Inputs!$C$6)*78.233+Inputs!$C$47*37.719))*43758.5453)-INT((SIN(((Model_Data!A66)*12.9898+(Inputs!$C$6)*78.233+Inputs!$C$47*37.719))*43758.5453)))-1))))/1000)^2)-(Inputs!$C$5-((Inputs!$C$51*(115*EXP(-(((0)-25)^2)/(4.5^2))+70*EXP(-(((0)+38)^2)/(7^2))*(0.55+0.45*SIN(2*PI()*(Model_Data!A66)/45))+24*SIN(2*PI()*(0)/9+(Model_Data!A66)/18)*EXP(-(((0)+5)^2)/(22^2))+18*SIN(2*PI()*(Model_Data!A66)/70))+Inputs!$C$28*EXP(-(((Model_Data!A66)-Inputs!$C$29)^2)/(2*Inputs!$C$31^2))*EXP(-(((0)-Inputs!$C$30)^2)/(2*Inputs!$C$32^2))+-Inputs!$C$33*EXP(-(((((Model_Data!A66)-Inputs!$C$34)^2)+(((0)-Inputs!$C$35)^2))/(2*Inputs!$C$36^2)))+Inputs!$C$37*(0.55*SIN(2*PI()*(Model_Data!A66)/Inputs!$C$39)+0.35*COS(2*PI()*(0)/Inputs!$C$40)+0.2*SIN(2*PI()*((Model_Data!A66)+(0))/(0.5*(Inputs!$C$39+Inputs!$C$40))))+Inputs!$C$38*SIN(2*PI()*(Model_Data!A66)/Inputs!$C$39)*SIN(2*PI()*(0)/Inputs!$C$40)+-Inputs!$C$41*EXP(-(((0)-Inputs!$C$43)^2)/(2*Inputs!$C$44^2))*EXP(-(((Model_Data!A66)-Inputs!$C$42)^2)/(2*Inputs!$C$45^2))+Inputs!$C$48*(0.70*(0.45*SIN(2*PI()*(((Model_Data!A66)/Inputs!$C$49)+Inputs!$C$47*0.137))+0.35*COS(2*PI()*(((0)/Inputs!$C$50)+Inputs!$C$47*0.173))+0.20*SIN(2*PI()*(((Model_Data!A66)+(0))/(0.5*(Inputs!$C$49+Inputs!$C$50))+Inputs!$C$47*0.097)))+0.30*(2*((SIN(((Model_Data!A66)*12.9898+(0)*78.233+Inputs!$C$47*37.719))*43758.5453)-INT((SIN(((Model_Data!A66)*12.9898+(0)*78.233+Inputs!$C$47*37.719))*43758.5453)))-1))))/1000))*1000/Inputs!$C$12)-((SQRT((Model_Data!A66)^2+Inputs!$C$6^2+Inputs!$C$5^2)-Inputs!$C$5)*1000/Inputs!$C$12)))</x:f>
        <x:v>0.003324381808624821</x:v>
      </x:c>
      <x:c r="X66" s="48" t="n">
        <x:f>0</x:f>
        <x:v>0</x:v>
      </x:c>
      <x:c r="Y66" s="49"/>
      <x:c r="Z66" s="48" t="n">
        <x:f>Model_Data!A66</x:f>
        <x:v>-28</x:v>
      </x:c>
      <x:c r="AA66" s="48" t="n">
        <x:f>SQRT((Model_Data!A66)^2+Inputs!$C$6^2+((Model_Data!B66)-((Inputs!$C$51*(115*EXP(-(((Inputs!$C$6)-25)^2)/(4.5^2))+70*EXP(-(((Inputs!$C$6)+38)^2)/(7^2))*(0.55+0.45*SIN(2*PI()*(Model_Data!A66)/45))+24*SIN(2*PI()*(Inputs!$C$6)/9+(Model_Data!A66)/18)*EXP(-(((Inputs!$C$6)+5)^2)/(22^2))+18*SIN(2*PI()*(Model_Data!A66)/70))+Inputs!$C$28*EXP(-(((Model_Data!A66)-Inputs!$C$29)^2)/(2*Inputs!$C$31^2))*EXP(-(((Inputs!$C$6)-Inputs!$C$30)^2)/(2*Inputs!$C$32^2))+-Inputs!$C$33*EXP(-(((((Model_Data!A66)-Inputs!$C$34)^2)+(((Inputs!$C$6)-Inputs!$C$35)^2))/(2*Inputs!$C$36^2)))+Inputs!$C$37*(0.55*SIN(2*PI()*(Model_Data!A66)/Inputs!$C$39)+0.35*COS(2*PI()*(Inputs!$C$6)/Inputs!$C$40)+0.2*SIN(2*PI()*((Model_Data!A66)+(Inputs!$C$6))/(0.5*(Inputs!$C$39+Inputs!$C$40))))+Inputs!$C$38*SIN(2*PI()*(Model_Data!A66)/Inputs!$C$39)*SIN(2*PI()*(Inputs!$C$6)/Inputs!$C$40)+-Inputs!$C$41*EXP(-(((Inputs!$C$6)-Inputs!$C$43)^2)/(2*Inputs!$C$44^2))*EXP(-(((Model_Data!A66)-Inputs!$C$42)^2)/(2*Inputs!$C$45^2))+Inputs!$C$48*(0.70*(0.45*SIN(2*PI()*(((Model_Data!A66)/Inputs!$C$49)+Inputs!$C$47*0.137))+0.35*COS(2*PI()*(((Inputs!$C$6)/Inputs!$C$50)+Inputs!$C$47*0.173))+0.20*SIN(2*PI()*(((Model_Data!A66)+(Inputs!$C$6))/(0.5*(Inputs!$C$49+Inputs!$C$50))+Inputs!$C$47*0.097)))+0.30*(2*((SIN(((Model_Data!A66)*12.9898+(Inputs!$C$6)*78.233+Inputs!$C$47*37.719))*43758.5453)-INT((SIN(((Model_Data!A66)*12.9898+(Inputs!$C$6)*78.233+Inputs!$C$47*37.719))*43758.5453)))-1))))/1000)^2)</x:f>
        <x:v>402.31278070445404</x:v>
      </x:c>
      <x:c r="AB66" s="48" t="n">
        <x:f>1000*(AA67-AA65)/(Z67-Z65)*Inputs!$C$11</x:f>
        <x:v>-472.825279651488</x:v>
      </x:c>
      <x:c r="AC66" s="48" t="n">
        <x:f>-2*AB66/Inputs!$C$13</x:f>
        <x:v>189.1301118605952</x:v>
      </x:c>
      <x:c r="AD66" s="48" t="n">
        <x:f>-2*AB66/Inputs!$C$14</x:f>
        <x:v>28.397914693783065</x:v>
      </x:c>
    </x:row>
    <x:row r="67">
      <x:c r="A67" s="48" t="n">
        <x:f>Model_Data!A67</x:f>
        <x:v>-27.5</x:v>
      </x:c>
      <x:c r="B67" s="48" t="n">
        <x:f>Model_Data!F67</x:f>
        <x:v>965.8741946934875</x:v>
      </x:c>
      <x:c r="C67" s="48" t="n">
        <x:f>(((SQRT((Model_Data!A67)^2+Inputs!$C$6^2+((Model_Data!B67)-((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(0.45*SIN(2*PI()*(((Model_Data!A67)/Inputs!$C$49)+Inputs!$C$47*0.137))+0.35*COS(2*PI()*(((Inputs!$C$6)/Inputs!$C$50)+Inputs!$C$47*0.173))+0.20*SIN(2*PI()*(((Model_Data!A67)+(Inputs!$C$6))/(0.5*(Inputs!$C$49+Inputs!$C$50))+Inputs!$C$47*0.097)))+0.30*(2*((SIN(((Model_Data!A67)*12.9898+(Inputs!$C$6)*78.233+Inputs!$C$47*37.719))*43758.5453)-INT((SIN(((Model_Data!A67)*12.9898+(Inputs!$C$6)*78.233+Inputs!$C$47*37.719))*43758.5453)))-1))))/1000)^2))-(((Model_Data!B67)-((Inputs!$C$51*(115*EXP(-(((0)-25)^2)/(4.5^2))+70*EXP(-(((0)+38)^2)/(7^2))*(0.55+0.45*SIN(2*PI()*(Model_Data!A67)/45))+24*SIN(2*PI()*(0)/9+(Model_Data!A67)/18)*EXP(-(((0)+5)^2)/(22^2))+18*SIN(2*PI()*(Model_Data!A67)/70))+Inputs!$C$28*EXP(-(((Model_Data!A67)-Inputs!$C$29)^2)/(2*Inputs!$C$31^2))*EXP(-(((0)-Inputs!$C$30)^2)/(2*Inputs!$C$32^2))+-Inputs!$C$33*EXP(-(((((Model_Data!A67)-Inputs!$C$34)^2)+(((0)-Inputs!$C$35)^2))/(2*Inputs!$C$36^2)))+Inputs!$C$37*(0.55*SIN(2*PI()*(Model_Data!A67)/Inputs!$C$39)+0.35*COS(2*PI()*(0)/Inputs!$C$40)+0.2*SIN(2*PI()*((Model_Data!A67)+(0))/(0.5*(Inputs!$C$39+Inputs!$C$40))))+Inputs!$C$38*SIN(2*PI()*(Model_Data!A67)/Inputs!$C$39)*SIN(2*PI()*(0)/Inputs!$C$40)+-Inputs!$C$41*EXP(-(((0)-Inputs!$C$43)^2)/(2*Inputs!$C$44^2))*EXP(-(((Model_Data!A67)-Inputs!$C$42)^2)/(2*Inputs!$C$45^2))+Inputs!$C$48*(0.70*(0.45*SIN(2*PI()*(((Model_Data!A67)/Inputs!$C$49)+Inputs!$C$47*0.137))+0.35*COS(2*PI()*(((0)/Inputs!$C$50)+Inputs!$C$47*0.173))+0.20*SIN(2*PI()*(((Model_Data!A67)+(0))/(0.5*(Inputs!$C$49+Inputs!$C$50))+Inputs!$C$47*0.097)))+0.30*(2*((SIN(((Model_Data!A67)*12.9898+(0)*78.233+Inputs!$C$47*37.719))*43758.5453)-INT((SIN(((Model_Data!A67)*12.9898+(0)*78.233+Inputs!$C$47*37.719))*43758.5453)))-1))))/1000)))*1000/Inputs!$C$12)</x:f>
        <x:v>764.4156835703669</x:v>
      </x:c>
      <x:c r="D67" s="49"/>
      <x:c r="E67" s="48" t="n">
        <x:f>Model_Data!A67</x:f>
        <x:v>-27.5</x:v>
      </x:c>
      <x:c r="F67" s="48" t="n">
        <x:f>(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(0.45*SIN(2*PI()*(((Model_Data!A67)/Inputs!$C$49)+Inputs!$C$47*0.137))+0.35*COS(2*PI()*(((Inputs!$C$6)/Inputs!$C$50)+Inputs!$C$47*0.173))+0.20*SIN(2*PI()*(((Model_Data!A67)+(Inputs!$C$6))/(0.5*(Inputs!$C$49+Inputs!$C$50))+Inputs!$C$47*0.097)))+0.30*(2*((SIN(((Model_Data!A67)*12.9898+(Inputs!$C$6)*78.233+Inputs!$C$47*37.719))*43758.5453)-INT((SIN(((Model_Data!A67)*12.9898+(Inputs!$C$6)*78.233+Inputs!$C$47*37.719))*43758.5453)))-1)))</x:f>
        <x:v>296.8437612590685</x:v>
      </x:c>
      <x:c r="G67" s="48" t="n">
        <x:f>(Inputs!$C$51*(115*EXP(-(((0)-25)^2)/(4.5^2))+70*EXP(-(((0)+38)^2)/(7^2))*(0.55+0.45*SIN(2*PI()*(Model_Data!A67)/45))+24*SIN(2*PI()*(0)/9+(Model_Data!A67)/18)*EXP(-(((0)+5)^2)/(22^2))+18*SIN(2*PI()*(Model_Data!A67)/70))+Inputs!$C$28*EXP(-(((Model_Data!A67)-Inputs!$C$29)^2)/(2*Inputs!$C$31^2))*EXP(-(((0)-Inputs!$C$30)^2)/(2*Inputs!$C$32^2))+-Inputs!$C$33*EXP(-(((((Model_Data!A67)-Inputs!$C$34)^2)+(((0)-Inputs!$C$35)^2))/(2*Inputs!$C$36^2)))+Inputs!$C$37*(0.55*SIN(2*PI()*(Model_Data!A67)/Inputs!$C$39)+0.35*COS(2*PI()*(0)/Inputs!$C$40)+0.2*SIN(2*PI()*((Model_Data!A67)+(0))/(0.5*(Inputs!$C$39+Inputs!$C$40))))+Inputs!$C$38*SIN(2*PI()*(Model_Data!A67)/Inputs!$C$39)*SIN(2*PI()*(0)/Inputs!$C$40)+-Inputs!$C$41*EXP(-(((0)-Inputs!$C$43)^2)/(2*Inputs!$C$44^2))*EXP(-(((Model_Data!A67)-Inputs!$C$42)^2)/(2*Inputs!$C$45^2))+Inputs!$C$48*(0.70*(0.45*SIN(2*PI()*(((Model_Data!A67)/Inputs!$C$49)+Inputs!$C$47*0.137))+0.35*COS(2*PI()*(((0)/Inputs!$C$50)+Inputs!$C$47*0.173))+0.20*SIN(2*PI()*(((Model_Data!A67)+(0))/(0.5*(Inputs!$C$49+Inputs!$C$50))+Inputs!$C$47*0.097)))+0.30*(2*((SIN(((Model_Data!A67)*12.9898+(0)*78.233+Inputs!$C$47*37.719))*43758.5453)-INT((SIN(((Model_Data!A67)*12.9898+(0)*78.233+Inputs!$C$47*37.719))*43758.5453)))-1)))</x:f>
        <x:v>-63.02108594889231</x:v>
      </x:c>
      <x:c r="H67" s="49"/>
      <x:c r="I67" s="48" t="n">
        <x:f>Model_Data!A67</x:f>
        <x:v>-27.5</x:v>
      </x:c>
      <x:c r="J67" s="48" t="n">
        <x:f>((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(0.45*SIN(2*PI()*(((Model_Data!A67)/Inputs!$C$49)+Inputs!$C$47*0.137))+0.35*COS(2*PI()*(((Inputs!$C$6)/Inputs!$C$50)+Inputs!$C$47*0.173))+0.20*SIN(2*PI()*(((Model_Data!A67)+(Inputs!$C$6))/(0.5*(Inputs!$C$49+Inputs!$C$50))+Inputs!$C$47*0.097)))+0.30*(2*((SIN(((Model_Data!A67)*12.9898+(Inputs!$C$6)*78.233+Inputs!$C$47*37.719))*43758.5453)-INT((SIN(((Model_Data!A67)*12.9898+(Inputs!$C$6)*78.233+Inputs!$C$47*37.719))*43758.5453)))-1))))-((Inputs!$C$51*(115*EXP(-(((0)-25)^2)/(4.5^2))+70*EXP(-(((0)+38)^2)/(7^2))*(0.55+0.45*SIN(2*PI()*(Model_Data!A67)/45))+24*SIN(2*PI()*(0)/9+(Model_Data!A67)/18)*EXP(-(((0)+5)^2)/(22^2))+18*SIN(2*PI()*(Model_Data!A67)/70))+Inputs!$C$28*EXP(-(((Model_Data!A67)-Inputs!$C$29)^2)/(2*Inputs!$C$31^2))*EXP(-(((0)-Inputs!$C$30)^2)/(2*Inputs!$C$32^2))+-Inputs!$C$33*EXP(-(((((Model_Data!A67)-Inputs!$C$34)^2)+(((0)-Inputs!$C$35)^2))/(2*Inputs!$C$36^2)))+Inputs!$C$37*(0.55*SIN(2*PI()*(Model_Data!A67)/Inputs!$C$39)+0.35*COS(2*PI()*(0)/Inputs!$C$40)+0.2*SIN(2*PI()*((Model_Data!A67)+(0))/(0.5*(Inputs!$C$39+Inputs!$C$40))))+Inputs!$C$38*SIN(2*PI()*(Model_Data!A67)/Inputs!$C$39)*SIN(2*PI()*(0)/Inputs!$C$40)+-Inputs!$C$41*EXP(-(((0)-Inputs!$C$43)^2)/(2*Inputs!$C$44^2))*EXP(-(((Model_Data!A67)-Inputs!$C$42)^2)/(2*Inputs!$C$45^2))+Inputs!$C$48*(0.70*(0.45*SIN(2*PI()*(((Model_Data!A67)/Inputs!$C$49)+Inputs!$C$47*0.137))+0.35*COS(2*PI()*(((0)/Inputs!$C$50)+Inputs!$C$47*0.173))+0.20*SIN(2*PI()*(((Model_Data!A67)+(0))/(0.5*(Inputs!$C$49+Inputs!$C$50))+Inputs!$C$47*0.097)))+0.30*(2*((SIN(((Model_Data!A67)*12.9898+(0)*78.233+Inputs!$C$47*37.719))*43758.5453)-INT((SIN(((Model_Data!A67)*12.9898+(0)*78.233+Inputs!$C$47*37.719))*43758.5453)))-1))))</x:f>
        <x:v>359.86484720796085</x:v>
      </x:c>
      <x:c r="K67" s="48" t="n">
        <x:f>-((((SQRT((Model_Data!A67)^2+Inputs!$C$6^2+((Model_Data!B67)-((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(0.45*SIN(2*PI()*(((Model_Data!A67)/Inputs!$C$49)+Inputs!$C$47*0.137))+0.35*COS(2*PI()*(((Inputs!$C$6)/Inputs!$C$50)+Inputs!$C$47*0.173))+0.20*SIN(2*PI()*(((Model_Data!A67)+(Inputs!$C$6))/(0.5*(Inputs!$C$49+Inputs!$C$50))+Inputs!$C$47*0.097)))+0.30*(2*((SIN(((Model_Data!A67)*12.9898+(Inputs!$C$6)*78.233+Inputs!$C$47*37.719))*43758.5453)-INT((SIN(((Model_Data!A67)*12.9898+(Inputs!$C$6)*78.233+Inputs!$C$47*37.719))*43758.5453)))-1))))/1000)^2))-(((Model_Data!B67)-((Inputs!$C$51*(115*EXP(-(((0)-25)^2)/(4.5^2))+70*EXP(-(((0)+38)^2)/(7^2))*(0.55+0.45*SIN(2*PI()*(Model_Data!A67)/45))+24*SIN(2*PI()*(0)/9+(Model_Data!A67)/18)*EXP(-(((0)+5)^2)/(22^2))+18*SIN(2*PI()*(Model_Data!A67)/70))+Inputs!$C$28*EXP(-(((Model_Data!A67)-Inputs!$C$29)^2)/(2*Inputs!$C$31^2))*EXP(-(((0)-Inputs!$C$30)^2)/(2*Inputs!$C$32^2))+-Inputs!$C$33*EXP(-(((((Model_Data!A67)-Inputs!$C$34)^2)+(((0)-Inputs!$C$35)^2))/(2*Inputs!$C$36^2)))+Inputs!$C$37*(0.55*SIN(2*PI()*(Model_Data!A67)/Inputs!$C$39)+0.35*COS(2*PI()*(0)/Inputs!$C$40)+0.2*SIN(2*PI()*((Model_Data!A67)+(0))/(0.5*(Inputs!$C$39+Inputs!$C$40))))+Inputs!$C$38*SIN(2*PI()*(Model_Data!A67)/Inputs!$C$39)*SIN(2*PI()*(0)/Inputs!$C$40)+-Inputs!$C$41*EXP(-(((0)-Inputs!$C$43)^2)/(2*Inputs!$C$44^2))*EXP(-(((Model_Data!A67)-Inputs!$C$42)^2)/(2*Inputs!$C$45^2))+Inputs!$C$48*(0.70*(0.45*SIN(2*PI()*(((Model_Data!A67)/Inputs!$C$49)+Inputs!$C$47*0.137))+0.35*COS(2*PI()*(((0)/Inputs!$C$50)+Inputs!$C$47*0.173))+0.20*SIN(2*PI()*(((Model_Data!A67)+(0))/(0.5*(Inputs!$C$49+Inputs!$C$50))+Inputs!$C$47*0.097)))+0.30*(2*((SIN(((Model_Data!A67)*12.9898+(0)*78.233+Inputs!$C$47*37.719))*43758.5453)-INT((SIN(((Model_Data!A67)*12.9898+(0)*78.233+Inputs!$C$47*37.719))*43758.5453)))-1))))/1000)))*1000/Inputs!$C$12)-Model_Data!F67)</x:f>
        <x:v>201.45851112312062</x:v>
      </x:c>
      <x:c r="L67" s="49"/>
      <x:c r="M67" s="48" t="n">
        <x:f>Model_Data!A67</x:f>
        <x:v>-27.5</x:v>
      </x:c>
      <x:c r="N67" s="48" t="n">
        <x:f>Model_Data!P67</x:f>
        <x:v>206.66079079152723</x:v>
      </x:c>
      <x:c r="O67" s="48" t="n">
        <x:f>AC67</x:f>
        <x:v>168.59986845938693</x:v>
      </x:c>
      <x:c r="P67" s="48" t="n">
        <x:f>Model_Data!Q67</x:f>
        <x:v>31.030148767496584</x:v>
      </x:c>
      <x:c r="Q67" s="48" t="n">
        <x:f>AD67</x:f>
        <x:v>25.315295564472514</x:v>
      </x:c>
      <x:c r="R67" s="49"/>
      <x:c r="S67" s="48" t="n">
        <x:f>Model_Data!A67</x:f>
        <x:v>-27.5</x:v>
      </x:c>
      <x:c r="T67" s="48" t="n">
        <x:f>Model_Data!B67-Inputs!$C$5</x:f>
        <x:v>0.8402777777777715</x:v>
      </x:c>
      <x:c r="U67" s="49"/>
      <x:c r="V67" s="48" t="n">
        <x:f>Model_Data!A67</x:f>
        <x:v>-27.5</x:v>
      </x:c>
      <x:c r="W67" s="48" t="n">
        <x:f>(-((((SQRT((Model_Data!A67)^2+Inputs!$C$6^2+((Model_Data!B67)-((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(0.45*SIN(2*PI()*(((Model_Data!A67)/Inputs!$C$49)+Inputs!$C$47*0.137))+0.35*COS(2*PI()*(((Inputs!$C$6)/Inputs!$C$50)+Inputs!$C$47*0.173))+0.20*SIN(2*PI()*(((Model_Data!A67)+(Inputs!$C$6))/(0.5*(Inputs!$C$49+Inputs!$C$50))+Inputs!$C$47*0.097)))+0.30*(2*((SIN(((Model_Data!A67)*12.9898+(Inputs!$C$6)*78.233+Inputs!$C$47*37.719))*43758.5453)-INT((SIN(((Model_Data!A67)*12.9898+(Inputs!$C$6)*78.233+Inputs!$C$47*37.719))*43758.5453)))-1))))/1000)^2))-(((Model_Data!B67)-((Inputs!$C$51*(115*EXP(-(((0)-25)^2)/(4.5^2))+70*EXP(-(((0)+38)^2)/(7^2))*(0.55+0.45*SIN(2*PI()*(Model_Data!A67)/45))+24*SIN(2*PI()*(0)/9+(Model_Data!A67)/18)*EXP(-(((0)+5)^2)/(22^2))+18*SIN(2*PI()*(Model_Data!A67)/70))+Inputs!$C$28*EXP(-(((Model_Data!A67)-Inputs!$C$29)^2)/(2*Inputs!$C$31^2))*EXP(-(((0)-Inputs!$C$30)^2)/(2*Inputs!$C$32^2))+-Inputs!$C$33*EXP(-(((((Model_Data!A67)-Inputs!$C$34)^2)+(((0)-Inputs!$C$35)^2))/(2*Inputs!$C$36^2)))+Inputs!$C$37*(0.55*SIN(2*PI()*(Model_Data!A67)/Inputs!$C$39)+0.35*COS(2*PI()*(0)/Inputs!$C$40)+0.2*SIN(2*PI()*((Model_Data!A67)+(0))/(0.5*(Inputs!$C$39+Inputs!$C$40))))+Inputs!$C$38*SIN(2*PI()*(Model_Data!A67)/Inputs!$C$39)*SIN(2*PI()*(0)/Inputs!$C$40)+-Inputs!$C$41*EXP(-(((0)-Inputs!$C$43)^2)/(2*Inputs!$C$44^2))*EXP(-(((Model_Data!A67)-Inputs!$C$42)^2)/(2*Inputs!$C$45^2))+Inputs!$C$48*(0.70*(0.45*SIN(2*PI()*(((Model_Data!A67)/Inputs!$C$49)+Inputs!$C$47*0.137))+0.35*COS(2*PI()*(((0)/Inputs!$C$50)+Inputs!$C$47*0.173))+0.20*SIN(2*PI()*(((Model_Data!A67)+(0))/(0.5*(Inputs!$C$49+Inputs!$C$50))+Inputs!$C$47*0.097)))+0.30*(2*((SIN(((Model_Data!A67)*12.9898+(0)*78.233+Inputs!$C$47*37.719))*43758.5453)-INT((SIN(((Model_Data!A67)*12.9898+(0)*78.233+Inputs!$C$47*37.719))*43758.5453)))-1))))/1000)))*1000/Inputs!$C$12)-Model_Data!F67))-(-(((SQRT((Model_Data!A67)^2+Inputs!$C$6^2+(Inputs!$C$5-((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(0.45*SIN(2*PI()*(((Model_Data!A67)/Inputs!$C$49)+Inputs!$C$47*0.137))+0.35*COS(2*PI()*(((Inputs!$C$6)/Inputs!$C$50)+Inputs!$C$47*0.173))+0.20*SIN(2*PI()*(((Model_Data!A67)+(Inputs!$C$6))/(0.5*(Inputs!$C$49+Inputs!$C$50))+Inputs!$C$47*0.097)))+0.30*(2*((SIN(((Model_Data!A67)*12.9898+(Inputs!$C$6)*78.233+Inputs!$C$47*37.719))*43758.5453)-INT((SIN(((Model_Data!A67)*12.9898+(Inputs!$C$6)*78.233+Inputs!$C$47*37.719))*43758.5453)))-1))))/1000)^2)-(Inputs!$C$5-((Inputs!$C$51*(115*EXP(-(((0)-25)^2)/(4.5^2))+70*EXP(-(((0)+38)^2)/(7^2))*(0.55+0.45*SIN(2*PI()*(Model_Data!A67)/45))+24*SIN(2*PI()*(0)/9+(Model_Data!A67)/18)*EXP(-(((0)+5)^2)/(22^2))+18*SIN(2*PI()*(Model_Data!A67)/70))+Inputs!$C$28*EXP(-(((Model_Data!A67)-Inputs!$C$29)^2)/(2*Inputs!$C$31^2))*EXP(-(((0)-Inputs!$C$30)^2)/(2*Inputs!$C$32^2))+-Inputs!$C$33*EXP(-(((((Model_Data!A67)-Inputs!$C$34)^2)+(((0)-Inputs!$C$35)^2))/(2*Inputs!$C$36^2)))+Inputs!$C$37*(0.55*SIN(2*PI()*(Model_Data!A67)/Inputs!$C$39)+0.35*COS(2*PI()*(0)/Inputs!$C$40)+0.2*SIN(2*PI()*((Model_Data!A67)+(0))/(0.5*(Inputs!$C$39+Inputs!$C$40))))+Inputs!$C$38*SIN(2*PI()*(Model_Data!A67)/Inputs!$C$39)*SIN(2*PI()*(0)/Inputs!$C$40)+-Inputs!$C$41*EXP(-(((0)-Inputs!$C$43)^2)/(2*Inputs!$C$44^2))*EXP(-(((Model_Data!A67)-Inputs!$C$42)^2)/(2*Inputs!$C$45^2))+Inputs!$C$48*(0.70*(0.45*SIN(2*PI()*(((Model_Data!A67)/Inputs!$C$49)+Inputs!$C$47*0.137))+0.35*COS(2*PI()*(((0)/Inputs!$C$50)+Inputs!$C$47*0.173))+0.20*SIN(2*PI()*(((Model_Data!A67)+(0))/(0.5*(Inputs!$C$49+Inputs!$C$50))+Inputs!$C$47*0.097)))+0.30*(2*((SIN(((Model_Data!A67)*12.9898+(0)*78.233+Inputs!$C$47*37.719))*43758.5453)-INT((SIN(((Model_Data!A67)*12.9898+(0)*78.233+Inputs!$C$47*37.719))*43758.5453)))-1))))/1000))*1000/Inputs!$C$12)-((SQRT((Model_Data!A67)^2+Inputs!$C$6^2+Inputs!$C$5^2)-Inputs!$C$5)*1000/Inputs!$C$12)))</x:f>
        <x:v>0.0029795272525916516</x:v>
      </x:c>
      <x:c r="X67" s="48" t="n">
        <x:f>0</x:f>
        <x:v>0</x:v>
      </x:c>
      <x:c r="Y67" s="49"/>
      <x:c r="Z67" s="48" t="n">
        <x:f>Model_Data!A67</x:f>
        <x:v>-27.5</x:v>
      </x:c>
      <x:c r="AA67" s="48" t="n">
        <x:f>SQRT((Model_Data!A67)^2+Inputs!$C$6^2+((Model_Data!B67)-((Inputs!$C$51*(115*EXP(-(((Inputs!$C$6)-25)^2)/(4.5^2))+70*EXP(-(((Inputs!$C$6)+38)^2)/(7^2))*(0.55+0.45*SIN(2*PI()*(Model_Data!A67)/45))+24*SIN(2*PI()*(Inputs!$C$6)/9+(Model_Data!A67)/18)*EXP(-(((Inputs!$C$6)+5)^2)/(22^2))+18*SIN(2*PI()*(Model_Data!A67)/70))+Inputs!$C$28*EXP(-(((Model_Data!A67)-Inputs!$C$29)^2)/(2*Inputs!$C$31^2))*EXP(-(((Inputs!$C$6)-Inputs!$C$30)^2)/(2*Inputs!$C$32^2))+-Inputs!$C$33*EXP(-(((((Model_Data!A67)-Inputs!$C$34)^2)+(((Inputs!$C$6)-Inputs!$C$35)^2))/(2*Inputs!$C$36^2)))+Inputs!$C$37*(0.55*SIN(2*PI()*(Model_Data!A67)/Inputs!$C$39)+0.35*COS(2*PI()*(Inputs!$C$6)/Inputs!$C$40)+0.2*SIN(2*PI()*((Model_Data!A67)+(Inputs!$C$6))/(0.5*(Inputs!$C$39+Inputs!$C$40))))+Inputs!$C$38*SIN(2*PI()*(Model_Data!A67)/Inputs!$C$39)*SIN(2*PI()*(Inputs!$C$6)/Inputs!$C$40)+-Inputs!$C$41*EXP(-(((Inputs!$C$6)-Inputs!$C$43)^2)/(2*Inputs!$C$44^2))*EXP(-(((Model_Data!A67)-Inputs!$C$42)^2)/(2*Inputs!$C$45^2))+Inputs!$C$48*(0.70*(0.45*SIN(2*PI()*(((Model_Data!A67)/Inputs!$C$49)+Inputs!$C$47*0.137))+0.35*COS(2*PI()*(((Inputs!$C$6)/Inputs!$C$50)+Inputs!$C$47*0.173))+0.20*SIN(2*PI()*(((Model_Data!A67)+(Inputs!$C$6))/(0.5*(Inputs!$C$49+Inputs!$C$50))+Inputs!$C$47*0.097)))+0.30*(2*((SIN(((Model_Data!A67)*12.9898+(Inputs!$C$6)*78.233+Inputs!$C$47*37.719))*43758.5453)-INT((SIN(((Model_Data!A67)*12.9898+(Inputs!$C$6)*78.233+Inputs!$C$47*37.719))*43758.5453)))-1))))/1000)^2)</x:f>
        <x:v>402.2639587804819</x:v>
      </x:c>
      <x:c r="AB67" s="48" t="n">
        <x:f>1000*(AA68-AA66)/(Z68-Z66)*Inputs!$C$11</x:f>
        <x:v>-421.4996711484673</x:v>
      </x:c>
      <x:c r="AC67" s="48" t="n">
        <x:f>-2*AB67/Inputs!$C$13</x:f>
        <x:v>168.59986845938693</x:v>
      </x:c>
      <x:c r="AD67" s="48" t="n">
        <x:f>-2*AB67/Inputs!$C$14</x:f>
        <x:v>25.315295564472514</x:v>
      </x:c>
    </x:row>
    <x:row r="68">
      <x:c r="A68" s="48" t="n">
        <x:f>Model_Data!A68</x:f>
        <x:v>-27</x:v>
      </x:c>
      <x:c r="B68" s="48" t="n">
        <x:f>Model_Data!F68</x:f>
        <x:v>946.9300579721395</x:v>
      </x:c>
      <x:c r="C68" s="48" t="n">
        <x:f>(((SQRT((Model_Data!A68)^2+Inputs!$C$6^2+((Model_Data!B68)-((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(0.45*SIN(2*PI()*(((Model_Data!A68)/Inputs!$C$49)+Inputs!$C$47*0.137))+0.35*COS(2*PI()*(((Inputs!$C$6)/Inputs!$C$50)+Inputs!$C$47*0.173))+0.20*SIN(2*PI()*(((Model_Data!A68)+(Inputs!$C$6))/(0.5*(Inputs!$C$49+Inputs!$C$50))+Inputs!$C$47*0.097)))+0.30*(2*((SIN(((Model_Data!A68)*12.9898+(Inputs!$C$6)*78.233+Inputs!$C$47*37.719))*43758.5453)-INT((SIN(((Model_Data!A68)*12.9898+(Inputs!$C$6)*78.233+Inputs!$C$47*37.719))*43758.5453)))-1))))/1000)^2))-(((Model_Data!B68)-((Inputs!$C$51*(115*EXP(-(((0)-25)^2)/(4.5^2))+70*EXP(-(((0)+38)^2)/(7^2))*(0.55+0.45*SIN(2*PI()*(Model_Data!A68)/45))+24*SIN(2*PI()*(0)/9+(Model_Data!A68)/18)*EXP(-(((0)+5)^2)/(22^2))+18*SIN(2*PI()*(Model_Data!A68)/70))+Inputs!$C$28*EXP(-(((Model_Data!A68)-Inputs!$C$29)^2)/(2*Inputs!$C$31^2))*EXP(-(((0)-Inputs!$C$30)^2)/(2*Inputs!$C$32^2))+-Inputs!$C$33*EXP(-(((((Model_Data!A68)-Inputs!$C$34)^2)+(((0)-Inputs!$C$35)^2))/(2*Inputs!$C$36^2)))+Inputs!$C$37*(0.55*SIN(2*PI()*(Model_Data!A68)/Inputs!$C$39)+0.35*COS(2*PI()*(0)/Inputs!$C$40)+0.2*SIN(2*PI()*((Model_Data!A68)+(0))/(0.5*(Inputs!$C$39+Inputs!$C$40))))+Inputs!$C$38*SIN(2*PI()*(Model_Data!A68)/Inputs!$C$39)*SIN(2*PI()*(0)/Inputs!$C$40)+-Inputs!$C$41*EXP(-(((0)-Inputs!$C$43)^2)/(2*Inputs!$C$44^2))*EXP(-(((Model_Data!A68)-Inputs!$C$42)^2)/(2*Inputs!$C$45^2))+Inputs!$C$48*(0.70*(0.45*SIN(2*PI()*(((Model_Data!A68)/Inputs!$C$49)+Inputs!$C$47*0.137))+0.35*COS(2*PI()*(((0)/Inputs!$C$50)+Inputs!$C$47*0.173))+0.20*SIN(2*PI()*(((Model_Data!A68)+(0))/(0.5*(Inputs!$C$49+Inputs!$C$50))+Inputs!$C$47*0.097)))+0.30*(2*((SIN(((Model_Data!A68)*12.9898+(0)*78.233+Inputs!$C$47*37.719))*43758.5453)-INT((SIN(((Model_Data!A68)*12.9898+(0)*78.233+Inputs!$C$47*37.719))*43758.5453)))-1))))/1000)))*1000/Inputs!$C$12)</x:f>
        <x:v>745.918116507195</x:v>
      </x:c>
      <x:c r="D68" s="49"/>
      <x:c r="E68" s="48" t="n">
        <x:f>Model_Data!A68</x:f>
        <x:v>-27</x:v>
      </x:c>
      <x:c r="F68" s="48" t="n">
        <x:f>(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(0.45*SIN(2*PI()*(((Model_Data!A68)/Inputs!$C$49)+Inputs!$C$47*0.137))+0.35*COS(2*PI()*(((Inputs!$C$6)/Inputs!$C$50)+Inputs!$C$47*0.173))+0.20*SIN(2*PI()*(((Model_Data!A68)+(Inputs!$C$6))/(0.5*(Inputs!$C$49+Inputs!$C$50))+Inputs!$C$47*0.097)))+0.30*(2*((SIN(((Model_Data!A68)*12.9898+(Inputs!$C$6)*78.233+Inputs!$C$47*37.719))*43758.5453)-INT((SIN(((Model_Data!A68)*12.9898+(Inputs!$C$6)*78.233+Inputs!$C$47*37.719))*43758.5453)))-1)))</x:f>
        <x:v>289.34226854097847</x:v>
      </x:c>
      <x:c r="G68" s="48" t="n">
        <x:f>(Inputs!$C$51*(115*EXP(-(((0)-25)^2)/(4.5^2))+70*EXP(-(((0)+38)^2)/(7^2))*(0.55+0.45*SIN(2*PI()*(Model_Data!A68)/45))+24*SIN(2*PI()*(0)/9+(Model_Data!A68)/18)*EXP(-(((0)+5)^2)/(22^2))+18*SIN(2*PI()*(Model_Data!A68)/70))+Inputs!$C$28*EXP(-(((Model_Data!A68)-Inputs!$C$29)^2)/(2*Inputs!$C$31^2))*EXP(-(((0)-Inputs!$C$30)^2)/(2*Inputs!$C$32^2))+-Inputs!$C$33*EXP(-(((((Model_Data!A68)-Inputs!$C$34)^2)+(((0)-Inputs!$C$35)^2))/(2*Inputs!$C$36^2)))+Inputs!$C$37*(0.55*SIN(2*PI()*(Model_Data!A68)/Inputs!$C$39)+0.35*COS(2*PI()*(0)/Inputs!$C$40)+0.2*SIN(2*PI()*((Model_Data!A68)+(0))/(0.5*(Inputs!$C$39+Inputs!$C$40))))+Inputs!$C$38*SIN(2*PI()*(Model_Data!A68)/Inputs!$C$39)*SIN(2*PI()*(0)/Inputs!$C$40)+-Inputs!$C$41*EXP(-(((0)-Inputs!$C$43)^2)/(2*Inputs!$C$44^2))*EXP(-(((Model_Data!A68)-Inputs!$C$42)^2)/(2*Inputs!$C$45^2))+Inputs!$C$48*(0.70*(0.45*SIN(2*PI()*(((Model_Data!A68)/Inputs!$C$49)+Inputs!$C$47*0.137))+0.35*COS(2*PI()*(((0)/Inputs!$C$50)+Inputs!$C$47*0.173))+0.20*SIN(2*PI()*(((Model_Data!A68)+(0))/(0.5*(Inputs!$C$49+Inputs!$C$50))+Inputs!$C$47*0.097)))+0.30*(2*((SIN(((Model_Data!A68)*12.9898+(0)*78.233+Inputs!$C$47*37.719))*43758.5453)-INT((SIN(((Model_Data!A68)*12.9898+(0)*78.233+Inputs!$C$47*37.719))*43758.5453)))-1)))</x:f>
        <x:v>-69.67153928411518</x:v>
      </x:c>
      <x:c r="H68" s="49"/>
      <x:c r="I68" s="48" t="n">
        <x:f>Model_Data!A68</x:f>
        <x:v>-27</x:v>
      </x:c>
      <x:c r="J68" s="48" t="n">
        <x:f>((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(0.45*SIN(2*PI()*(((Model_Data!A68)/Inputs!$C$49)+Inputs!$C$47*0.137))+0.35*COS(2*PI()*(((Inputs!$C$6)/Inputs!$C$50)+Inputs!$C$47*0.173))+0.20*SIN(2*PI()*(((Model_Data!A68)+(Inputs!$C$6))/(0.5*(Inputs!$C$49+Inputs!$C$50))+Inputs!$C$47*0.097)))+0.30*(2*((SIN(((Model_Data!A68)*12.9898+(Inputs!$C$6)*78.233+Inputs!$C$47*37.719))*43758.5453)-INT((SIN(((Model_Data!A68)*12.9898+(Inputs!$C$6)*78.233+Inputs!$C$47*37.719))*43758.5453)))-1))))-((Inputs!$C$51*(115*EXP(-(((0)-25)^2)/(4.5^2))+70*EXP(-(((0)+38)^2)/(7^2))*(0.55+0.45*SIN(2*PI()*(Model_Data!A68)/45))+24*SIN(2*PI()*(0)/9+(Model_Data!A68)/18)*EXP(-(((0)+5)^2)/(22^2))+18*SIN(2*PI()*(Model_Data!A68)/70))+Inputs!$C$28*EXP(-(((Model_Data!A68)-Inputs!$C$29)^2)/(2*Inputs!$C$31^2))*EXP(-(((0)-Inputs!$C$30)^2)/(2*Inputs!$C$32^2))+-Inputs!$C$33*EXP(-(((((Model_Data!A68)-Inputs!$C$34)^2)+(((0)-Inputs!$C$35)^2))/(2*Inputs!$C$36^2)))+Inputs!$C$37*(0.55*SIN(2*PI()*(Model_Data!A68)/Inputs!$C$39)+0.35*COS(2*PI()*(0)/Inputs!$C$40)+0.2*SIN(2*PI()*((Model_Data!A68)+(0))/(0.5*(Inputs!$C$39+Inputs!$C$40))))+Inputs!$C$38*SIN(2*PI()*(Model_Data!A68)/Inputs!$C$39)*SIN(2*PI()*(0)/Inputs!$C$40)+-Inputs!$C$41*EXP(-(((0)-Inputs!$C$43)^2)/(2*Inputs!$C$44^2))*EXP(-(((Model_Data!A68)-Inputs!$C$42)^2)/(2*Inputs!$C$45^2))+Inputs!$C$48*(0.70*(0.45*SIN(2*PI()*(((Model_Data!A68)/Inputs!$C$49)+Inputs!$C$47*0.137))+0.35*COS(2*PI()*(((0)/Inputs!$C$50)+Inputs!$C$47*0.173))+0.20*SIN(2*PI()*(((Model_Data!A68)+(0))/(0.5*(Inputs!$C$49+Inputs!$C$50))+Inputs!$C$47*0.097)))+0.30*(2*((SIN(((Model_Data!A68)*12.9898+(0)*78.233+Inputs!$C$47*37.719))*43758.5453)-INT((SIN(((Model_Data!A68)*12.9898+(0)*78.233+Inputs!$C$47*37.719))*43758.5453)))-1))))</x:f>
        <x:v>359.01380782509364</x:v>
      </x:c>
      <x:c r="K68" s="48" t="n">
        <x:f>-((((SQRT((Model_Data!A68)^2+Inputs!$C$6^2+((Model_Data!B68)-((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(0.45*SIN(2*PI()*(((Model_Data!A68)/Inputs!$C$49)+Inputs!$C$47*0.137))+0.35*COS(2*PI()*(((Inputs!$C$6)/Inputs!$C$50)+Inputs!$C$47*0.173))+0.20*SIN(2*PI()*(((Model_Data!A68)+(Inputs!$C$6))/(0.5*(Inputs!$C$49+Inputs!$C$50))+Inputs!$C$47*0.097)))+0.30*(2*((SIN(((Model_Data!A68)*12.9898+(Inputs!$C$6)*78.233+Inputs!$C$47*37.719))*43758.5453)-INT((SIN(((Model_Data!A68)*12.9898+(Inputs!$C$6)*78.233+Inputs!$C$47*37.719))*43758.5453)))-1))))/1000)^2))-(((Model_Data!B68)-((Inputs!$C$51*(115*EXP(-(((0)-25)^2)/(4.5^2))+70*EXP(-(((0)+38)^2)/(7^2))*(0.55+0.45*SIN(2*PI()*(Model_Data!A68)/45))+24*SIN(2*PI()*(0)/9+(Model_Data!A68)/18)*EXP(-(((0)+5)^2)/(22^2))+18*SIN(2*PI()*(Model_Data!A68)/70))+Inputs!$C$28*EXP(-(((Model_Data!A68)-Inputs!$C$29)^2)/(2*Inputs!$C$31^2))*EXP(-(((0)-Inputs!$C$30)^2)/(2*Inputs!$C$32^2))+-Inputs!$C$33*EXP(-(((((Model_Data!A68)-Inputs!$C$34)^2)+(((0)-Inputs!$C$35)^2))/(2*Inputs!$C$36^2)))+Inputs!$C$37*(0.55*SIN(2*PI()*(Model_Data!A68)/Inputs!$C$39)+0.35*COS(2*PI()*(0)/Inputs!$C$40)+0.2*SIN(2*PI()*((Model_Data!A68)+(0))/(0.5*(Inputs!$C$39+Inputs!$C$40))))+Inputs!$C$38*SIN(2*PI()*(Model_Data!A68)/Inputs!$C$39)*SIN(2*PI()*(0)/Inputs!$C$40)+-Inputs!$C$41*EXP(-(((0)-Inputs!$C$43)^2)/(2*Inputs!$C$44^2))*EXP(-(((Model_Data!A68)-Inputs!$C$42)^2)/(2*Inputs!$C$45^2))+Inputs!$C$48*(0.70*(0.45*SIN(2*PI()*(((Model_Data!A68)/Inputs!$C$49)+Inputs!$C$47*0.137))+0.35*COS(2*PI()*(((0)/Inputs!$C$50)+Inputs!$C$47*0.173))+0.20*SIN(2*PI()*(((Model_Data!A68)+(0))/(0.5*(Inputs!$C$49+Inputs!$C$50))+Inputs!$C$47*0.097)))+0.30*(2*((SIN(((Model_Data!A68)*12.9898+(0)*78.233+Inputs!$C$47*37.719))*43758.5453)-INT((SIN(((Model_Data!A68)*12.9898+(0)*78.233+Inputs!$C$47*37.719))*43758.5453)))-1))))/1000)))*1000/Inputs!$C$12)-Model_Data!F68)</x:f>
        <x:v>201.01194146494447</x:v>
      </x:c>
      <x:c r="L68" s="49"/>
      <x:c r="M68" s="48" t="n">
        <x:f>Model_Data!A68</x:f>
        <x:v>-27</x:v>
      </x:c>
      <x:c r="N68" s="48" t="n">
        <x:f>Model_Data!P68</x:f>
        <x:v>202.92836266590731</x:v>
      </x:c>
      <x:c r="O68" s="48" t="n">
        <x:f>AC68</x:f>
        <x:v>192.99339721819706</x:v>
      </x:c>
      <x:c r="P68" s="48" t="n">
        <x:f>Model_Data!Q68</x:f>
        <x:v>30.46972412401011</x:v>
      </x:c>
      <x:c r="Q68" s="48" t="n">
        <x:f>AD68</x:f>
        <x:v>28.977987570299863</x:v>
      </x:c>
      <x:c r="R68" s="49"/>
      <x:c r="S68" s="48" t="n">
        <x:f>Model_Data!A68</x:f>
        <x:v>-27</x:v>
      </x:c>
      <x:c r="T68" s="48" t="n">
        <x:f>Model_Data!B68-Inputs!$C$5</x:f>
        <x:v>0.8100000000000023</x:v>
      </x:c>
      <x:c r="U68" s="49"/>
      <x:c r="V68" s="48" t="n">
        <x:f>Model_Data!A68</x:f>
        <x:v>-27</x:v>
      </x:c>
      <x:c r="W68" s="48" t="n">
        <x:f>(-((((SQRT((Model_Data!A68)^2+Inputs!$C$6^2+((Model_Data!B68)-((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(0.45*SIN(2*PI()*(((Model_Data!A68)/Inputs!$C$49)+Inputs!$C$47*0.137))+0.35*COS(2*PI()*(((Inputs!$C$6)/Inputs!$C$50)+Inputs!$C$47*0.173))+0.20*SIN(2*PI()*(((Model_Data!A68)+(Inputs!$C$6))/(0.5*(Inputs!$C$49+Inputs!$C$50))+Inputs!$C$47*0.097)))+0.30*(2*((SIN(((Model_Data!A68)*12.9898+(Inputs!$C$6)*78.233+Inputs!$C$47*37.719))*43758.5453)-INT((SIN(((Model_Data!A68)*12.9898+(Inputs!$C$6)*78.233+Inputs!$C$47*37.719))*43758.5453)))-1))))/1000)^2))-(((Model_Data!B68)-((Inputs!$C$51*(115*EXP(-(((0)-25)^2)/(4.5^2))+70*EXP(-(((0)+38)^2)/(7^2))*(0.55+0.45*SIN(2*PI()*(Model_Data!A68)/45))+24*SIN(2*PI()*(0)/9+(Model_Data!A68)/18)*EXP(-(((0)+5)^2)/(22^2))+18*SIN(2*PI()*(Model_Data!A68)/70))+Inputs!$C$28*EXP(-(((Model_Data!A68)-Inputs!$C$29)^2)/(2*Inputs!$C$31^2))*EXP(-(((0)-Inputs!$C$30)^2)/(2*Inputs!$C$32^2))+-Inputs!$C$33*EXP(-(((((Model_Data!A68)-Inputs!$C$34)^2)+(((0)-Inputs!$C$35)^2))/(2*Inputs!$C$36^2)))+Inputs!$C$37*(0.55*SIN(2*PI()*(Model_Data!A68)/Inputs!$C$39)+0.35*COS(2*PI()*(0)/Inputs!$C$40)+0.2*SIN(2*PI()*((Model_Data!A68)+(0))/(0.5*(Inputs!$C$39+Inputs!$C$40))))+Inputs!$C$38*SIN(2*PI()*(Model_Data!A68)/Inputs!$C$39)*SIN(2*PI()*(0)/Inputs!$C$40)+-Inputs!$C$41*EXP(-(((0)-Inputs!$C$43)^2)/(2*Inputs!$C$44^2))*EXP(-(((Model_Data!A68)-Inputs!$C$42)^2)/(2*Inputs!$C$45^2))+Inputs!$C$48*(0.70*(0.45*SIN(2*PI()*(((Model_Data!A68)/Inputs!$C$49)+Inputs!$C$47*0.137))+0.35*COS(2*PI()*(((0)/Inputs!$C$50)+Inputs!$C$47*0.173))+0.20*SIN(2*PI()*(((Model_Data!A68)+(0))/(0.5*(Inputs!$C$49+Inputs!$C$50))+Inputs!$C$47*0.097)))+0.30*(2*((SIN(((Model_Data!A68)*12.9898+(0)*78.233+Inputs!$C$47*37.719))*43758.5453)-INT((SIN(((Model_Data!A68)*12.9898+(0)*78.233+Inputs!$C$47*37.719))*43758.5453)))-1))))/1000)))*1000/Inputs!$C$12)-Model_Data!F68))-(-(((SQRT((Model_Data!A68)^2+Inputs!$C$6^2+(Inputs!$C$5-((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(0.45*SIN(2*PI()*(((Model_Data!A68)/Inputs!$C$49)+Inputs!$C$47*0.137))+0.35*COS(2*PI()*(((Inputs!$C$6)/Inputs!$C$50)+Inputs!$C$47*0.173))+0.20*SIN(2*PI()*(((Model_Data!A68)+(Inputs!$C$6))/(0.5*(Inputs!$C$49+Inputs!$C$50))+Inputs!$C$47*0.097)))+0.30*(2*((SIN(((Model_Data!A68)*12.9898+(Inputs!$C$6)*78.233+Inputs!$C$47*37.719))*43758.5453)-INT((SIN(((Model_Data!A68)*12.9898+(Inputs!$C$6)*78.233+Inputs!$C$47*37.719))*43758.5453)))-1))))/1000)^2)-(Inputs!$C$5-((Inputs!$C$51*(115*EXP(-(((0)-25)^2)/(4.5^2))+70*EXP(-(((0)+38)^2)/(7^2))*(0.55+0.45*SIN(2*PI()*(Model_Data!A68)/45))+24*SIN(2*PI()*(0)/9+(Model_Data!A68)/18)*EXP(-(((0)+5)^2)/(22^2))+18*SIN(2*PI()*(Model_Data!A68)/70))+Inputs!$C$28*EXP(-(((Model_Data!A68)-Inputs!$C$29)^2)/(2*Inputs!$C$31^2))*EXP(-(((0)-Inputs!$C$30)^2)/(2*Inputs!$C$32^2))+-Inputs!$C$33*EXP(-(((((Model_Data!A68)-Inputs!$C$34)^2)+(((0)-Inputs!$C$35)^2))/(2*Inputs!$C$36^2)))+Inputs!$C$37*(0.55*SIN(2*PI()*(Model_Data!A68)/Inputs!$C$39)+0.35*COS(2*PI()*(0)/Inputs!$C$40)+0.2*SIN(2*PI()*((Model_Data!A68)+(0))/(0.5*(Inputs!$C$39+Inputs!$C$40))))+Inputs!$C$38*SIN(2*PI()*(Model_Data!A68)/Inputs!$C$39)*SIN(2*PI()*(0)/Inputs!$C$40)+-Inputs!$C$41*EXP(-(((0)-Inputs!$C$43)^2)/(2*Inputs!$C$44^2))*EXP(-(((Model_Data!A68)-Inputs!$C$42)^2)/(2*Inputs!$C$45^2))+Inputs!$C$48*(0.70*(0.45*SIN(2*PI()*(((Model_Data!A68)/Inputs!$C$49)+Inputs!$C$47*0.137))+0.35*COS(2*PI()*(((0)/Inputs!$C$50)+Inputs!$C$47*0.173))+0.20*SIN(2*PI()*(((Model_Data!A68)+(0))/(0.5*(Inputs!$C$49+Inputs!$C$50))+Inputs!$C$47*0.097)))+0.30*(2*((SIN(((Model_Data!A68)*12.9898+(0)*78.233+Inputs!$C$47*37.719))*43758.5453)-INT((SIN(((Model_Data!A68)*12.9898+(0)*78.233+Inputs!$C$47*37.719))*43758.5453)))-1))))/1000))*1000/Inputs!$C$12)-((SQRT((Model_Data!A68)^2+Inputs!$C$6^2+Inputs!$C$5^2)-Inputs!$C$5)*1000/Inputs!$C$12)))</x:f>
        <x:v>0.0027452783336912034</x:v>
      </x:c>
      <x:c r="X68" s="48" t="n">
        <x:f>0</x:f>
        <x:v>0</x:v>
      </x:c>
      <x:c r="Y68" s="49"/>
      <x:c r="Z68" s="48" t="n">
        <x:f>Model_Data!A68</x:f>
        <x:v>-27</x:v>
      </x:c>
      <x:c r="AA68" s="48" t="n">
        <x:f>SQRT((Model_Data!A68)^2+Inputs!$C$6^2+((Model_Data!B68)-((Inputs!$C$51*(115*EXP(-(((Inputs!$C$6)-25)^2)/(4.5^2))+70*EXP(-(((Inputs!$C$6)+38)^2)/(7^2))*(0.55+0.45*SIN(2*PI()*(Model_Data!A68)/45))+24*SIN(2*PI()*(Inputs!$C$6)/9+(Model_Data!A68)/18)*EXP(-(((Inputs!$C$6)+5)^2)/(22^2))+18*SIN(2*PI()*(Model_Data!A68)/70))+Inputs!$C$28*EXP(-(((Model_Data!A68)-Inputs!$C$29)^2)/(2*Inputs!$C$31^2))*EXP(-(((Inputs!$C$6)-Inputs!$C$30)^2)/(2*Inputs!$C$32^2))+-Inputs!$C$33*EXP(-(((((Model_Data!A68)-Inputs!$C$34)^2)+(((Inputs!$C$6)-Inputs!$C$35)^2))/(2*Inputs!$C$36^2)))+Inputs!$C$37*(0.55*SIN(2*PI()*(Model_Data!A68)/Inputs!$C$39)+0.35*COS(2*PI()*(Inputs!$C$6)/Inputs!$C$40)+0.2*SIN(2*PI()*((Model_Data!A68)+(Inputs!$C$6))/(0.5*(Inputs!$C$39+Inputs!$C$40))))+Inputs!$C$38*SIN(2*PI()*(Model_Data!A68)/Inputs!$C$39)*SIN(2*PI()*(Inputs!$C$6)/Inputs!$C$40)+-Inputs!$C$41*EXP(-(((Inputs!$C$6)-Inputs!$C$43)^2)/(2*Inputs!$C$44^2))*EXP(-(((Model_Data!A68)-Inputs!$C$42)^2)/(2*Inputs!$C$45^2))+Inputs!$C$48*(0.70*(0.45*SIN(2*PI()*(((Model_Data!A68)/Inputs!$C$49)+Inputs!$C$47*0.137))+0.35*COS(2*PI()*(((Inputs!$C$6)/Inputs!$C$50)+Inputs!$C$47*0.173))+0.20*SIN(2*PI()*(((Model_Data!A68)+(Inputs!$C$6))/(0.5*(Inputs!$C$49+Inputs!$C$50))+Inputs!$C$47*0.097)))+0.30*(2*((SIN(((Model_Data!A68)*12.9898+(Inputs!$C$6)*78.233+Inputs!$C$47*37.719))*43758.5453)-INT((SIN(((Model_Data!A68)*12.9898+(Inputs!$C$6)*78.233+Inputs!$C$47*37.719))*43758.5453)))-1))))/1000)^2)</x:f>
        <x:v>402.2074057866669</x:v>
      </x:c>
      <x:c r="AB68" s="48" t="n">
        <x:f>1000*(AA69-AA67)/(Z69-Z67)*Inputs!$C$11</x:f>
        <x:v>-482.48349304549265</x:v>
      </x:c>
      <x:c r="AC68" s="48" t="n">
        <x:f>-2*AB68/Inputs!$C$13</x:f>
        <x:v>192.99339721819706</x:v>
      </x:c>
      <x:c r="AD68" s="48" t="n">
        <x:f>-2*AB68/Inputs!$C$14</x:f>
        <x:v>28.977987570299863</x:v>
      </x:c>
    </x:row>
    <x:row r="69">
      <x:c r="A69" s="48" t="n">
        <x:f>Model_Data!A69</x:f>
        <x:v>-26.5</x:v>
      </x:c>
      <x:c r="B69" s="48" t="n">
        <x:f>Model_Data!F69</x:f>
        <x:v>928.3292035296988</x:v>
      </x:c>
      <x:c r="C69" s="48" t="n">
        <x:f>(((SQRT((Model_Data!A69)^2+Inputs!$C$6^2+((Model_Data!B69)-((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(0.45*SIN(2*PI()*(((Model_Data!A69)/Inputs!$C$49)+Inputs!$C$47*0.137))+0.35*COS(2*PI()*(((Inputs!$C$6)/Inputs!$C$50)+Inputs!$C$47*0.173))+0.20*SIN(2*PI()*(((Model_Data!A69)+(Inputs!$C$6))/(0.5*(Inputs!$C$49+Inputs!$C$50))+Inputs!$C$47*0.097)))+0.30*(2*((SIN(((Model_Data!A69)*12.9898+(Inputs!$C$6)*78.233+Inputs!$C$47*37.719))*43758.5453)-INT((SIN(((Model_Data!A69)*12.9898+(Inputs!$C$6)*78.233+Inputs!$C$47*37.719))*43758.5453)))-1))))/1000)^2))-(((Model_Data!B69)-((Inputs!$C$51*(115*EXP(-(((0)-25)^2)/(4.5^2))+70*EXP(-(((0)+38)^2)/(7^2))*(0.55+0.45*SIN(2*PI()*(Model_Data!A69)/45))+24*SIN(2*PI()*(0)/9+(Model_Data!A69)/18)*EXP(-(((0)+5)^2)/(22^2))+18*SIN(2*PI()*(Model_Data!A69)/70))+Inputs!$C$28*EXP(-(((Model_Data!A69)-Inputs!$C$29)^2)/(2*Inputs!$C$31^2))*EXP(-(((0)-Inputs!$C$30)^2)/(2*Inputs!$C$32^2))+-Inputs!$C$33*EXP(-(((((Model_Data!A69)-Inputs!$C$34)^2)+(((0)-Inputs!$C$35)^2))/(2*Inputs!$C$36^2)))+Inputs!$C$37*(0.55*SIN(2*PI()*(Model_Data!A69)/Inputs!$C$39)+0.35*COS(2*PI()*(0)/Inputs!$C$40)+0.2*SIN(2*PI()*((Model_Data!A69)+(0))/(0.5*(Inputs!$C$39+Inputs!$C$40))))+Inputs!$C$38*SIN(2*PI()*(Model_Data!A69)/Inputs!$C$39)*SIN(2*PI()*(0)/Inputs!$C$40)+-Inputs!$C$41*EXP(-(((0)-Inputs!$C$43)^2)/(2*Inputs!$C$44^2))*EXP(-(((Model_Data!A69)-Inputs!$C$42)^2)/(2*Inputs!$C$45^2))+Inputs!$C$48*(0.70*(0.45*SIN(2*PI()*(((Model_Data!A69)/Inputs!$C$49)+Inputs!$C$47*0.137))+0.35*COS(2*PI()*(((0)/Inputs!$C$50)+Inputs!$C$47*0.173))+0.20*SIN(2*PI()*(((Model_Data!A69)+(0))/(0.5*(Inputs!$C$49+Inputs!$C$50))+Inputs!$C$47*0.097)))+0.30*(2*((SIN(((Model_Data!A69)*12.9898+(0)*78.233+Inputs!$C$47*37.719))*43758.5453)-INT((SIN(((Model_Data!A69)*12.9898+(0)*78.233+Inputs!$C$47*37.719))*43758.5453)))-1))))/1000)))*1000/Inputs!$C$12)</x:f>
        <x:v>721.876803041638</x:v>
      </x:c>
      <x:c r="D69" s="49"/>
      <x:c r="E69" s="48" t="n">
        <x:f>Model_Data!A69</x:f>
        <x:v>-26.5</x:v>
      </x:c>
      <x:c r="F69" s="48" t="n">
        <x:f>(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(0.45*SIN(2*PI()*(((Model_Data!A69)/Inputs!$C$49)+Inputs!$C$47*0.137))+0.35*COS(2*PI()*(((Inputs!$C$6)/Inputs!$C$50)+Inputs!$C$47*0.173))+0.20*SIN(2*PI()*(((Model_Data!A69)+(Inputs!$C$6))/(0.5*(Inputs!$C$49+Inputs!$C$50))+Inputs!$C$47*0.097)))+0.30*(2*((SIN(((Model_Data!A69)*12.9898+(Inputs!$C$6)*78.233+Inputs!$C$47*37.719))*43758.5453)-INT((SIN(((Model_Data!A69)*12.9898+(Inputs!$C$6)*78.233+Inputs!$C$47*37.719))*43758.5453)))-1)))</x:f>
        <x:v>290.55977847508683</x:v>
      </x:c>
      <x:c r="G69" s="48" t="n">
        <x:f>(Inputs!$C$51*(115*EXP(-(((0)-25)^2)/(4.5^2))+70*EXP(-(((0)+38)^2)/(7^2))*(0.55+0.45*SIN(2*PI()*(Model_Data!A69)/45))+24*SIN(2*PI()*(0)/9+(Model_Data!A69)/18)*EXP(-(((0)+5)^2)/(22^2))+18*SIN(2*PI()*(Model_Data!A69)/70))+Inputs!$C$28*EXP(-(((Model_Data!A69)-Inputs!$C$29)^2)/(2*Inputs!$C$31^2))*EXP(-(((0)-Inputs!$C$30)^2)/(2*Inputs!$C$32^2))+-Inputs!$C$33*EXP(-(((((Model_Data!A69)-Inputs!$C$34)^2)+(((0)-Inputs!$C$35)^2))/(2*Inputs!$C$36^2)))+Inputs!$C$37*(0.55*SIN(2*PI()*(Model_Data!A69)/Inputs!$C$39)+0.35*COS(2*PI()*(0)/Inputs!$C$40)+0.2*SIN(2*PI()*((Model_Data!A69)+(0))/(0.5*(Inputs!$C$39+Inputs!$C$40))))+Inputs!$C$38*SIN(2*PI()*(Model_Data!A69)/Inputs!$C$39)*SIN(2*PI()*(0)/Inputs!$C$40)+-Inputs!$C$41*EXP(-(((0)-Inputs!$C$43)^2)/(2*Inputs!$C$44^2))*EXP(-(((Model_Data!A69)-Inputs!$C$42)^2)/(2*Inputs!$C$45^2))+Inputs!$C$48*(0.70*(0.45*SIN(2*PI()*(((Model_Data!A69)/Inputs!$C$49)+Inputs!$C$47*0.137))+0.35*COS(2*PI()*(((0)/Inputs!$C$50)+Inputs!$C$47*0.173))+0.20*SIN(2*PI()*(((Model_Data!A69)+(0))/(0.5*(Inputs!$C$49+Inputs!$C$50))+Inputs!$C$47*0.097)))+0.30*(2*((SIN(((Model_Data!A69)*12.9898+(0)*78.233+Inputs!$C$47*37.719))*43758.5453)-INT((SIN(((Model_Data!A69)*12.9898+(0)*78.233+Inputs!$C$47*37.719))*43758.5453)))-1)))</x:f>
        <x:v>-78.11942002863731</x:v>
      </x:c>
      <x:c r="H69" s="49"/>
      <x:c r="I69" s="48" t="n">
        <x:f>Model_Data!A69</x:f>
        <x:v>-26.5</x:v>
      </x:c>
      <x:c r="J69" s="48" t="n">
        <x:f>((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(0.45*SIN(2*PI()*(((Model_Data!A69)/Inputs!$C$49)+Inputs!$C$47*0.137))+0.35*COS(2*PI()*(((Inputs!$C$6)/Inputs!$C$50)+Inputs!$C$47*0.173))+0.20*SIN(2*PI()*(((Model_Data!A69)+(Inputs!$C$6))/(0.5*(Inputs!$C$49+Inputs!$C$50))+Inputs!$C$47*0.097)))+0.30*(2*((SIN(((Model_Data!A69)*12.9898+(Inputs!$C$6)*78.233+Inputs!$C$47*37.719))*43758.5453)-INT((SIN(((Model_Data!A69)*12.9898+(Inputs!$C$6)*78.233+Inputs!$C$47*37.719))*43758.5453)))-1))))-((Inputs!$C$51*(115*EXP(-(((0)-25)^2)/(4.5^2))+70*EXP(-(((0)+38)^2)/(7^2))*(0.55+0.45*SIN(2*PI()*(Model_Data!A69)/45))+24*SIN(2*PI()*(0)/9+(Model_Data!A69)/18)*EXP(-(((0)+5)^2)/(22^2))+18*SIN(2*PI()*(Model_Data!A69)/70))+Inputs!$C$28*EXP(-(((Model_Data!A69)-Inputs!$C$29)^2)/(2*Inputs!$C$31^2))*EXP(-(((0)-Inputs!$C$30)^2)/(2*Inputs!$C$32^2))+-Inputs!$C$33*EXP(-(((((Model_Data!A69)-Inputs!$C$34)^2)+(((0)-Inputs!$C$35)^2))/(2*Inputs!$C$36^2)))+Inputs!$C$37*(0.55*SIN(2*PI()*(Model_Data!A69)/Inputs!$C$39)+0.35*COS(2*PI()*(0)/Inputs!$C$40)+0.2*SIN(2*PI()*((Model_Data!A69)+(0))/(0.5*(Inputs!$C$39+Inputs!$C$40))))+Inputs!$C$38*SIN(2*PI()*(Model_Data!A69)/Inputs!$C$39)*SIN(2*PI()*(0)/Inputs!$C$40)+-Inputs!$C$41*EXP(-(((0)-Inputs!$C$43)^2)/(2*Inputs!$C$44^2))*EXP(-(((Model_Data!A69)-Inputs!$C$42)^2)/(2*Inputs!$C$45^2))+Inputs!$C$48*(0.70*(0.45*SIN(2*PI()*(((Model_Data!A69)/Inputs!$C$49)+Inputs!$C$47*0.137))+0.35*COS(2*PI()*(((0)/Inputs!$C$50)+Inputs!$C$47*0.173))+0.20*SIN(2*PI()*(((Model_Data!A69)+(0))/(0.5*(Inputs!$C$49+Inputs!$C$50))+Inputs!$C$47*0.097)))+0.30*(2*((SIN(((Model_Data!A69)*12.9898+(0)*78.233+Inputs!$C$47*37.719))*43758.5453)-INT((SIN(((Model_Data!A69)*12.9898+(0)*78.233+Inputs!$C$47*37.719))*43758.5453)))-1))))</x:f>
        <x:v>368.67919850372414</x:v>
      </x:c>
      <x:c r="K69" s="48" t="n">
        <x:f>-((((SQRT((Model_Data!A69)^2+Inputs!$C$6^2+((Model_Data!B69)-((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(0.45*SIN(2*PI()*(((Model_Data!A69)/Inputs!$C$49)+Inputs!$C$47*0.137))+0.35*COS(2*PI()*(((Inputs!$C$6)/Inputs!$C$50)+Inputs!$C$47*0.173))+0.20*SIN(2*PI()*(((Model_Data!A69)+(Inputs!$C$6))/(0.5*(Inputs!$C$49+Inputs!$C$50))+Inputs!$C$47*0.097)))+0.30*(2*((SIN(((Model_Data!A69)*12.9898+(Inputs!$C$6)*78.233+Inputs!$C$47*37.719))*43758.5453)-INT((SIN(((Model_Data!A69)*12.9898+(Inputs!$C$6)*78.233+Inputs!$C$47*37.719))*43758.5453)))-1))))/1000)^2))-(((Model_Data!B69)-((Inputs!$C$51*(115*EXP(-(((0)-25)^2)/(4.5^2))+70*EXP(-(((0)+38)^2)/(7^2))*(0.55+0.45*SIN(2*PI()*(Model_Data!A69)/45))+24*SIN(2*PI()*(0)/9+(Model_Data!A69)/18)*EXP(-(((0)+5)^2)/(22^2))+18*SIN(2*PI()*(Model_Data!A69)/70))+Inputs!$C$28*EXP(-(((Model_Data!A69)-Inputs!$C$29)^2)/(2*Inputs!$C$31^2))*EXP(-(((0)-Inputs!$C$30)^2)/(2*Inputs!$C$32^2))+-Inputs!$C$33*EXP(-(((((Model_Data!A69)-Inputs!$C$34)^2)+(((0)-Inputs!$C$35)^2))/(2*Inputs!$C$36^2)))+Inputs!$C$37*(0.55*SIN(2*PI()*(Model_Data!A69)/Inputs!$C$39)+0.35*COS(2*PI()*(0)/Inputs!$C$40)+0.2*SIN(2*PI()*((Model_Data!A69)+(0))/(0.5*(Inputs!$C$39+Inputs!$C$40))))+Inputs!$C$38*SIN(2*PI()*(Model_Data!A69)/Inputs!$C$39)*SIN(2*PI()*(0)/Inputs!$C$40)+-Inputs!$C$41*EXP(-(((0)-Inputs!$C$43)^2)/(2*Inputs!$C$44^2))*EXP(-(((Model_Data!A69)-Inputs!$C$42)^2)/(2*Inputs!$C$45^2))+Inputs!$C$48*(0.70*(0.45*SIN(2*PI()*(((Model_Data!A69)/Inputs!$C$49)+Inputs!$C$47*0.137))+0.35*COS(2*PI()*(((0)/Inputs!$C$50)+Inputs!$C$47*0.173))+0.20*SIN(2*PI()*(((Model_Data!A69)+(0))/(0.5*(Inputs!$C$49+Inputs!$C$50))+Inputs!$C$47*0.097)))+0.30*(2*((SIN(((Model_Data!A69)*12.9898+(0)*78.233+Inputs!$C$47*37.719))*43758.5453)-INT((SIN(((Model_Data!A69)*12.9898+(0)*78.233+Inputs!$C$47*37.719))*43758.5453)))-1))))/1000)))*1000/Inputs!$C$12)-Model_Data!F69)</x:f>
        <x:v>206.4524004880608</x:v>
      </x:c>
      <x:c r="L69" s="49"/>
      <x:c r="M69" s="48" t="n">
        <x:f>Model_Data!A69</x:f>
        <x:v>-26.5</x:v>
      </x:c>
      <x:c r="N69" s="48" t="n">
        <x:f>Model_Data!P69</x:f>
        <x:v>199.1945675539738</x:v>
      </x:c>
      <x:c r="O69" s="48" t="n">
        <x:f>AC69</x:f>
        <x:v>171.2248206721597</x:v>
      </x:c>
      <x:c r="P69" s="48" t="n">
        <x:f>Model_Data!Q69</x:f>
        <x:v>29.909094227323397</x:v>
      </x:c>
      <x:c r="Q69" s="48" t="n">
        <x:f>AD69</x:f>
        <x:v>25.709432533357315</x:v>
      </x:c>
      <x:c r="R69" s="49"/>
      <x:c r="S69" s="48" t="n">
        <x:f>Model_Data!A69</x:f>
        <x:v>-26.5</x:v>
      </x:c>
      <x:c r="T69" s="48" t="n">
        <x:f>Model_Data!B69-Inputs!$C$5</x:f>
        <x:v>0.7802777777777692</x:v>
      </x:c>
      <x:c r="U69" s="49"/>
      <x:c r="V69" s="48" t="n">
        <x:f>Model_Data!A69</x:f>
        <x:v>-26.5</x:v>
      </x:c>
      <x:c r="W69" s="48" t="n">
        <x:f>(-((((SQRT((Model_Data!A69)^2+Inputs!$C$6^2+((Model_Data!B69)-((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(0.45*SIN(2*PI()*(((Model_Data!A69)/Inputs!$C$49)+Inputs!$C$47*0.137))+0.35*COS(2*PI()*(((Inputs!$C$6)/Inputs!$C$50)+Inputs!$C$47*0.173))+0.20*SIN(2*PI()*(((Model_Data!A69)+(Inputs!$C$6))/(0.5*(Inputs!$C$49+Inputs!$C$50))+Inputs!$C$47*0.097)))+0.30*(2*((SIN(((Model_Data!A69)*12.9898+(Inputs!$C$6)*78.233+Inputs!$C$47*37.719))*43758.5453)-INT((SIN(((Model_Data!A69)*12.9898+(Inputs!$C$6)*78.233+Inputs!$C$47*37.719))*43758.5453)))-1))))/1000)^2))-(((Model_Data!B69)-((Inputs!$C$51*(115*EXP(-(((0)-25)^2)/(4.5^2))+70*EXP(-(((0)+38)^2)/(7^2))*(0.55+0.45*SIN(2*PI()*(Model_Data!A69)/45))+24*SIN(2*PI()*(0)/9+(Model_Data!A69)/18)*EXP(-(((0)+5)^2)/(22^2))+18*SIN(2*PI()*(Model_Data!A69)/70))+Inputs!$C$28*EXP(-(((Model_Data!A69)-Inputs!$C$29)^2)/(2*Inputs!$C$31^2))*EXP(-(((0)-Inputs!$C$30)^2)/(2*Inputs!$C$32^2))+-Inputs!$C$33*EXP(-(((((Model_Data!A69)-Inputs!$C$34)^2)+(((0)-Inputs!$C$35)^2))/(2*Inputs!$C$36^2)))+Inputs!$C$37*(0.55*SIN(2*PI()*(Model_Data!A69)/Inputs!$C$39)+0.35*COS(2*PI()*(0)/Inputs!$C$40)+0.2*SIN(2*PI()*((Model_Data!A69)+(0))/(0.5*(Inputs!$C$39+Inputs!$C$40))))+Inputs!$C$38*SIN(2*PI()*(Model_Data!A69)/Inputs!$C$39)*SIN(2*PI()*(0)/Inputs!$C$40)+-Inputs!$C$41*EXP(-(((0)-Inputs!$C$43)^2)/(2*Inputs!$C$44^2))*EXP(-(((Model_Data!A69)-Inputs!$C$42)^2)/(2*Inputs!$C$45^2))+Inputs!$C$48*(0.70*(0.45*SIN(2*PI()*(((Model_Data!A69)/Inputs!$C$49)+Inputs!$C$47*0.137))+0.35*COS(2*PI()*(((0)/Inputs!$C$50)+Inputs!$C$47*0.173))+0.20*SIN(2*PI()*(((Model_Data!A69)+(0))/(0.5*(Inputs!$C$49+Inputs!$C$50))+Inputs!$C$47*0.097)))+0.30*(2*((SIN(((Model_Data!A69)*12.9898+(0)*78.233+Inputs!$C$47*37.719))*43758.5453)-INT((SIN(((Model_Data!A69)*12.9898+(0)*78.233+Inputs!$C$47*37.719))*43758.5453)))-1))))/1000)))*1000/Inputs!$C$12)-Model_Data!F69))-(-(((SQRT((Model_Data!A69)^2+Inputs!$C$6^2+(Inputs!$C$5-((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(0.45*SIN(2*PI()*(((Model_Data!A69)/Inputs!$C$49)+Inputs!$C$47*0.137))+0.35*COS(2*PI()*(((Inputs!$C$6)/Inputs!$C$50)+Inputs!$C$47*0.173))+0.20*SIN(2*PI()*(((Model_Data!A69)+(Inputs!$C$6))/(0.5*(Inputs!$C$49+Inputs!$C$50))+Inputs!$C$47*0.097)))+0.30*(2*((SIN(((Model_Data!A69)*12.9898+(Inputs!$C$6)*78.233+Inputs!$C$47*37.719))*43758.5453)-INT((SIN(((Model_Data!A69)*12.9898+(Inputs!$C$6)*78.233+Inputs!$C$47*37.719))*43758.5453)))-1))))/1000)^2)-(Inputs!$C$5-((Inputs!$C$51*(115*EXP(-(((0)-25)^2)/(4.5^2))+70*EXP(-(((0)+38)^2)/(7^2))*(0.55+0.45*SIN(2*PI()*(Model_Data!A69)/45))+24*SIN(2*PI()*(0)/9+(Model_Data!A69)/18)*EXP(-(((0)+5)^2)/(22^2))+18*SIN(2*PI()*(Model_Data!A69)/70))+Inputs!$C$28*EXP(-(((Model_Data!A69)-Inputs!$C$29)^2)/(2*Inputs!$C$31^2))*EXP(-(((0)-Inputs!$C$30)^2)/(2*Inputs!$C$32^2))+-Inputs!$C$33*EXP(-(((((Model_Data!A69)-Inputs!$C$34)^2)+(((0)-Inputs!$C$35)^2))/(2*Inputs!$C$36^2)))+Inputs!$C$37*(0.55*SIN(2*PI()*(Model_Data!A69)/Inputs!$C$39)+0.35*COS(2*PI()*(0)/Inputs!$C$40)+0.2*SIN(2*PI()*((Model_Data!A69)+(0))/(0.5*(Inputs!$C$39+Inputs!$C$40))))+Inputs!$C$38*SIN(2*PI()*(Model_Data!A69)/Inputs!$C$39)*SIN(2*PI()*(0)/Inputs!$C$40)+-Inputs!$C$41*EXP(-(((0)-Inputs!$C$43)^2)/(2*Inputs!$C$44^2))*EXP(-(((Model_Data!A69)-Inputs!$C$42)^2)/(2*Inputs!$C$45^2))+Inputs!$C$48*(0.70*(0.45*SIN(2*PI()*(((Model_Data!A69)/Inputs!$C$49)+Inputs!$C$47*0.137))+0.35*COS(2*PI()*(((0)/Inputs!$C$50)+Inputs!$C$47*0.173))+0.20*SIN(2*PI()*(((Model_Data!A69)+(0))/(0.5*(Inputs!$C$49+Inputs!$C$50))+Inputs!$C$47*0.097)))+0.30*(2*((SIN(((Model_Data!A69)*12.9898+(0)*78.233+Inputs!$C$47*37.719))*43758.5453)-INT((SIN(((Model_Data!A69)*12.9898+(0)*78.233+Inputs!$C$47*37.719))*43758.5453)))-1))))/1000))*1000/Inputs!$C$12)-((SQRT((Model_Data!A69)^2+Inputs!$C$6^2+Inputs!$C$5^2)-Inputs!$C$5)*1000/Inputs!$C$12)))</x:f>
        <x:v>0.002604150239676528</x:v>
      </x:c>
      <x:c r="X69" s="48" t="n">
        <x:f>0</x:f>
        <x:v>0</x:v>
      </x:c>
      <x:c r="Y69" s="49"/>
      <x:c r="Z69" s="48" t="n">
        <x:f>Model_Data!A69</x:f>
        <x:v>-26.5</x:v>
      </x:c>
      <x:c r="AA69" s="48" t="n">
        <x:f>SQRT((Model_Data!A69)^2+Inputs!$C$6^2+((Model_Data!B69)-((Inputs!$C$51*(115*EXP(-(((Inputs!$C$6)-25)^2)/(4.5^2))+70*EXP(-(((Inputs!$C$6)+38)^2)/(7^2))*(0.55+0.45*SIN(2*PI()*(Model_Data!A69)/45))+24*SIN(2*PI()*(Inputs!$C$6)/9+(Model_Data!A69)/18)*EXP(-(((Inputs!$C$6)+5)^2)/(22^2))+18*SIN(2*PI()*(Model_Data!A69)/70))+Inputs!$C$28*EXP(-(((Model_Data!A69)-Inputs!$C$29)^2)/(2*Inputs!$C$31^2))*EXP(-(((Inputs!$C$6)-Inputs!$C$30)^2)/(2*Inputs!$C$32^2))+-Inputs!$C$33*EXP(-(((((Model_Data!A69)-Inputs!$C$34)^2)+(((Inputs!$C$6)-Inputs!$C$35)^2))/(2*Inputs!$C$36^2)))+Inputs!$C$37*(0.55*SIN(2*PI()*(Model_Data!A69)/Inputs!$C$39)+0.35*COS(2*PI()*(Inputs!$C$6)/Inputs!$C$40)+0.2*SIN(2*PI()*((Model_Data!A69)+(Inputs!$C$6))/(0.5*(Inputs!$C$39+Inputs!$C$40))))+Inputs!$C$38*SIN(2*PI()*(Model_Data!A69)/Inputs!$C$39)*SIN(2*PI()*(Inputs!$C$6)/Inputs!$C$40)+-Inputs!$C$41*EXP(-(((Inputs!$C$6)-Inputs!$C$43)^2)/(2*Inputs!$C$44^2))*EXP(-(((Model_Data!A69)-Inputs!$C$42)^2)/(2*Inputs!$C$45^2))+Inputs!$C$48*(0.70*(0.45*SIN(2*PI()*(((Model_Data!A69)/Inputs!$C$49)+Inputs!$C$47*0.137))+0.35*COS(2*PI()*(((Inputs!$C$6)/Inputs!$C$50)+Inputs!$C$47*0.173))+0.20*SIN(2*PI()*(((Model_Data!A69)+(Inputs!$C$6))/(0.5*(Inputs!$C$49+Inputs!$C$50))+Inputs!$C$47*0.097)))+0.30*(2*((SIN(((Model_Data!A69)*12.9898+(Inputs!$C$6)*78.233+Inputs!$C$47*37.719))*43758.5453)-INT((SIN(((Model_Data!A69)*12.9898+(Inputs!$C$6)*78.233+Inputs!$C$47*37.719))*43758.5453)))-1))))/1000)^2)</x:f>
        <x:v>402.14333790722054</x:v>
      </x:c>
      <x:c r="AB69" s="48" t="n">
        <x:f>1000*(AA70-AA68)/(Z70-Z68)*Inputs!$C$11</x:f>
        <x:v>-428.06205168039924</x:v>
      </x:c>
      <x:c r="AC69" s="48" t="n">
        <x:f>-2*AB69/Inputs!$C$13</x:f>
        <x:v>171.2248206721597</x:v>
      </x:c>
      <x:c r="AD69" s="48" t="n">
        <x:f>-2*AB69/Inputs!$C$14</x:f>
        <x:v>25.709432533357315</x:v>
      </x:c>
    </x:row>
    <x:row r="70">
      <x:c r="A70" s="48" t="n">
        <x:f>Model_Data!A70</x:f>
        <x:v>-26</x:v>
      </x:c>
      <x:c r="B70" s="48" t="n">
        <x:f>Model_Data!F70</x:f>
        <x:v>910.071869227484</x:v>
      </x:c>
      <x:c r="C70" s="48" t="n">
        <x:f>(((SQRT((Model_Data!A70)^2+Inputs!$C$6^2+((Model_Data!B70)-((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(0.45*SIN(2*PI()*(((Model_Data!A70)/Inputs!$C$49)+Inputs!$C$47*0.137))+0.35*COS(2*PI()*(((Inputs!$C$6)/Inputs!$C$50)+Inputs!$C$47*0.173))+0.20*SIN(2*PI()*(((Model_Data!A70)+(Inputs!$C$6))/(0.5*(Inputs!$C$49+Inputs!$C$50))+Inputs!$C$47*0.097)))+0.30*(2*((SIN(((Model_Data!A70)*12.9898+(Inputs!$C$6)*78.233+Inputs!$C$47*37.719))*43758.5453)-INT((SIN(((Model_Data!A70)*12.9898+(Inputs!$C$6)*78.233+Inputs!$C$47*37.719))*43758.5453)))-1))))/1000)^2))-(((Model_Data!B70)-((Inputs!$C$51*(115*EXP(-(((0)-25)^2)/(4.5^2))+70*EXP(-(((0)+38)^2)/(7^2))*(0.55+0.45*SIN(2*PI()*(Model_Data!A70)/45))+24*SIN(2*PI()*(0)/9+(Model_Data!A70)/18)*EXP(-(((0)+5)^2)/(22^2))+18*SIN(2*PI()*(Model_Data!A70)/70))+Inputs!$C$28*EXP(-(((Model_Data!A70)-Inputs!$C$29)^2)/(2*Inputs!$C$31^2))*EXP(-(((0)-Inputs!$C$30)^2)/(2*Inputs!$C$32^2))+-Inputs!$C$33*EXP(-(((((Model_Data!A70)-Inputs!$C$34)^2)+(((0)-Inputs!$C$35)^2))/(2*Inputs!$C$36^2)))+Inputs!$C$37*(0.55*SIN(2*PI()*(Model_Data!A70)/Inputs!$C$39)+0.35*COS(2*PI()*(0)/Inputs!$C$40)+0.2*SIN(2*PI()*((Model_Data!A70)+(0))/(0.5*(Inputs!$C$39+Inputs!$C$40))))+Inputs!$C$38*SIN(2*PI()*(Model_Data!A70)/Inputs!$C$39)*SIN(2*PI()*(0)/Inputs!$C$40)+-Inputs!$C$41*EXP(-(((0)-Inputs!$C$43)^2)/(2*Inputs!$C$44^2))*EXP(-(((Model_Data!A70)-Inputs!$C$42)^2)/(2*Inputs!$C$45^2))+Inputs!$C$48*(0.70*(0.45*SIN(2*PI()*(((Model_Data!A70)/Inputs!$C$49)+Inputs!$C$47*0.137))+0.35*COS(2*PI()*(((0)/Inputs!$C$50)+Inputs!$C$47*0.173))+0.20*SIN(2*PI()*(((Model_Data!A70)+(0))/(0.5*(Inputs!$C$49+Inputs!$C$50))+Inputs!$C$47*0.097)))+0.30*(2*((SIN(((Model_Data!A70)*12.9898+(0)*78.233+Inputs!$C$47*37.719))*43758.5453)-INT((SIN(((Model_Data!A70)*12.9898+(0)*78.233+Inputs!$C$47*37.719))*43758.5453)))-1))))/1000)))*1000/Inputs!$C$12)</x:f>
        <x:v>711.8571169752194</x:v>
      </x:c>
      <x:c r="D70" s="49"/>
      <x:c r="E70" s="48" t="n">
        <x:f>Model_Data!A70</x:f>
        <x:v>-26</x:v>
      </x:c>
      <x:c r="F70" s="48" t="n">
        <x:f>(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(0.45*SIN(2*PI()*(((Model_Data!A70)/Inputs!$C$49)+Inputs!$C$47*0.137))+0.35*COS(2*PI()*(((Inputs!$C$6)/Inputs!$C$50)+Inputs!$C$47*0.173))+0.20*SIN(2*PI()*(((Model_Data!A70)+(Inputs!$C$6))/(0.5*(Inputs!$C$49+Inputs!$C$50))+Inputs!$C$47*0.097)))+0.30*(2*((SIN(((Model_Data!A70)*12.9898+(Inputs!$C$6)*78.233+Inputs!$C$47*37.719))*43758.5453)-INT((SIN(((Model_Data!A70)*12.9898+(Inputs!$C$6)*78.233+Inputs!$C$47*37.719))*43758.5453)))-1)))</x:f>
        <x:v>271.74352983421755</x:v>
      </x:c>
      <x:c r="G70" s="48" t="n">
        <x:f>(Inputs!$C$51*(115*EXP(-(((0)-25)^2)/(4.5^2))+70*EXP(-(((0)+38)^2)/(7^2))*(0.55+0.45*SIN(2*PI()*(Model_Data!A70)/45))+24*SIN(2*PI()*(0)/9+(Model_Data!A70)/18)*EXP(-(((0)+5)^2)/(22^2))+18*SIN(2*PI()*(Model_Data!A70)/70))+Inputs!$C$28*EXP(-(((Model_Data!A70)-Inputs!$C$29)^2)/(2*Inputs!$C$31^2))*EXP(-(((0)-Inputs!$C$30)^2)/(2*Inputs!$C$32^2))+-Inputs!$C$33*EXP(-(((((Model_Data!A70)-Inputs!$C$34)^2)+(((0)-Inputs!$C$35)^2))/(2*Inputs!$C$36^2)))+Inputs!$C$37*(0.55*SIN(2*PI()*(Model_Data!A70)/Inputs!$C$39)+0.35*COS(2*PI()*(0)/Inputs!$C$40)+0.2*SIN(2*PI()*((Model_Data!A70)+(0))/(0.5*(Inputs!$C$39+Inputs!$C$40))))+Inputs!$C$38*SIN(2*PI()*(Model_Data!A70)/Inputs!$C$39)*SIN(2*PI()*(0)/Inputs!$C$40)+-Inputs!$C$41*EXP(-(((0)-Inputs!$C$43)^2)/(2*Inputs!$C$44^2))*EXP(-(((Model_Data!A70)-Inputs!$C$42)^2)/(2*Inputs!$C$45^2))+Inputs!$C$48*(0.70*(0.45*SIN(2*PI()*(((Model_Data!A70)/Inputs!$C$49)+Inputs!$C$47*0.137))+0.35*COS(2*PI()*(((0)/Inputs!$C$50)+Inputs!$C$47*0.173))+0.20*SIN(2*PI()*(((Model_Data!A70)+(0))/(0.5*(Inputs!$C$49+Inputs!$C$50))+Inputs!$C$47*0.097)))+0.30*(2*((SIN(((Model_Data!A70)*12.9898+(0)*78.233+Inputs!$C$47*37.719))*43758.5453)-INT((SIN(((Model_Data!A70)*12.9898+(0)*78.233+Inputs!$C$47*37.719))*43758.5453)))-1)))</x:f>
        <x:v>-82.17349441978894</x:v>
      </x:c>
      <x:c r="H70" s="49"/>
      <x:c r="I70" s="48" t="n">
        <x:f>Model_Data!A70</x:f>
        <x:v>-26</x:v>
      </x:c>
      <x:c r="J70" s="48" t="n">
        <x:f>((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(0.45*SIN(2*PI()*(((Model_Data!A70)/Inputs!$C$49)+Inputs!$C$47*0.137))+0.35*COS(2*PI()*(((Inputs!$C$6)/Inputs!$C$50)+Inputs!$C$47*0.173))+0.20*SIN(2*PI()*(((Model_Data!A70)+(Inputs!$C$6))/(0.5*(Inputs!$C$49+Inputs!$C$50))+Inputs!$C$47*0.097)))+0.30*(2*((SIN(((Model_Data!A70)*12.9898+(Inputs!$C$6)*78.233+Inputs!$C$47*37.719))*43758.5453)-INT((SIN(((Model_Data!A70)*12.9898+(Inputs!$C$6)*78.233+Inputs!$C$47*37.719))*43758.5453)))-1))))-((Inputs!$C$51*(115*EXP(-(((0)-25)^2)/(4.5^2))+70*EXP(-(((0)+38)^2)/(7^2))*(0.55+0.45*SIN(2*PI()*(Model_Data!A70)/45))+24*SIN(2*PI()*(0)/9+(Model_Data!A70)/18)*EXP(-(((0)+5)^2)/(22^2))+18*SIN(2*PI()*(Model_Data!A70)/70))+Inputs!$C$28*EXP(-(((Model_Data!A70)-Inputs!$C$29)^2)/(2*Inputs!$C$31^2))*EXP(-(((0)-Inputs!$C$30)^2)/(2*Inputs!$C$32^2))+-Inputs!$C$33*EXP(-(((((Model_Data!A70)-Inputs!$C$34)^2)+(((0)-Inputs!$C$35)^2))/(2*Inputs!$C$36^2)))+Inputs!$C$37*(0.55*SIN(2*PI()*(Model_Data!A70)/Inputs!$C$39)+0.35*COS(2*PI()*(0)/Inputs!$C$40)+0.2*SIN(2*PI()*((Model_Data!A70)+(0))/(0.5*(Inputs!$C$39+Inputs!$C$40))))+Inputs!$C$38*SIN(2*PI()*(Model_Data!A70)/Inputs!$C$39)*SIN(2*PI()*(0)/Inputs!$C$40)+-Inputs!$C$41*EXP(-(((0)-Inputs!$C$43)^2)/(2*Inputs!$C$44^2))*EXP(-(((Model_Data!A70)-Inputs!$C$42)^2)/(2*Inputs!$C$45^2))+Inputs!$C$48*(0.70*(0.45*SIN(2*PI()*(((Model_Data!A70)/Inputs!$C$49)+Inputs!$C$47*0.137))+0.35*COS(2*PI()*(((0)/Inputs!$C$50)+Inputs!$C$47*0.173))+0.20*SIN(2*PI()*(((Model_Data!A70)+(0))/(0.5*(Inputs!$C$49+Inputs!$C$50))+Inputs!$C$47*0.097)))+0.30*(2*((SIN(((Model_Data!A70)*12.9898+(0)*78.233+Inputs!$C$47*37.719))*43758.5453)-INT((SIN(((Model_Data!A70)*12.9898+(0)*78.233+Inputs!$C$47*37.719))*43758.5453)))-1))))</x:f>
        <x:v>353.9170242540065</x:v>
      </x:c>
      <x:c r="K70" s="48" t="n">
        <x:f>-((((SQRT((Model_Data!A70)^2+Inputs!$C$6^2+((Model_Data!B70)-((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(0.45*SIN(2*PI()*(((Model_Data!A70)/Inputs!$C$49)+Inputs!$C$47*0.137))+0.35*COS(2*PI()*(((Inputs!$C$6)/Inputs!$C$50)+Inputs!$C$47*0.173))+0.20*SIN(2*PI()*(((Model_Data!A70)+(Inputs!$C$6))/(0.5*(Inputs!$C$49+Inputs!$C$50))+Inputs!$C$47*0.097)))+0.30*(2*((SIN(((Model_Data!A70)*12.9898+(Inputs!$C$6)*78.233+Inputs!$C$47*37.719))*43758.5453)-INT((SIN(((Model_Data!A70)*12.9898+(Inputs!$C$6)*78.233+Inputs!$C$47*37.719))*43758.5453)))-1))))/1000)^2))-(((Model_Data!B70)-((Inputs!$C$51*(115*EXP(-(((0)-25)^2)/(4.5^2))+70*EXP(-(((0)+38)^2)/(7^2))*(0.55+0.45*SIN(2*PI()*(Model_Data!A70)/45))+24*SIN(2*PI()*(0)/9+(Model_Data!A70)/18)*EXP(-(((0)+5)^2)/(22^2))+18*SIN(2*PI()*(Model_Data!A70)/70))+Inputs!$C$28*EXP(-(((Model_Data!A70)-Inputs!$C$29)^2)/(2*Inputs!$C$31^2))*EXP(-(((0)-Inputs!$C$30)^2)/(2*Inputs!$C$32^2))+-Inputs!$C$33*EXP(-(((((Model_Data!A70)-Inputs!$C$34)^2)+(((0)-Inputs!$C$35)^2))/(2*Inputs!$C$36^2)))+Inputs!$C$37*(0.55*SIN(2*PI()*(Model_Data!A70)/Inputs!$C$39)+0.35*COS(2*PI()*(0)/Inputs!$C$40)+0.2*SIN(2*PI()*((Model_Data!A70)+(0))/(0.5*(Inputs!$C$39+Inputs!$C$40))))+Inputs!$C$38*SIN(2*PI()*(Model_Data!A70)/Inputs!$C$39)*SIN(2*PI()*(0)/Inputs!$C$40)+-Inputs!$C$41*EXP(-(((0)-Inputs!$C$43)^2)/(2*Inputs!$C$44^2))*EXP(-(((Model_Data!A70)-Inputs!$C$42)^2)/(2*Inputs!$C$45^2))+Inputs!$C$48*(0.70*(0.45*SIN(2*PI()*(((Model_Data!A70)/Inputs!$C$49)+Inputs!$C$47*0.137))+0.35*COS(2*PI()*(((0)/Inputs!$C$50)+Inputs!$C$47*0.173))+0.20*SIN(2*PI()*(((Model_Data!A70)+(0))/(0.5*(Inputs!$C$49+Inputs!$C$50))+Inputs!$C$47*0.097)))+0.30*(2*((SIN(((Model_Data!A70)*12.9898+(0)*78.233+Inputs!$C$47*37.719))*43758.5453)-INT((SIN(((Model_Data!A70)*12.9898+(0)*78.233+Inputs!$C$47*37.719))*43758.5453)))-1))))/1000)))*1000/Inputs!$C$12)-Model_Data!F70)</x:f>
        <x:v>198.2147522522646</x:v>
      </x:c>
      <x:c r="L70" s="49"/>
      <x:c r="M70" s="48" t="n">
        <x:f>Model_Data!A70</x:f>
        <x:v>-26</x:v>
      </x:c>
      <x:c r="N70" s="48" t="n">
        <x:f>Model_Data!P70</x:f>
        <x:v>195.4594297221957</x:v>
      </x:c>
      <x:c r="O70" s="48" t="n">
        <x:f>AC70</x:f>
        <x:v>165.51300571572938</x:v>
      </x:c>
      <x:c r="P70" s="48" t="n">
        <x:f>Model_Data!Q70</x:f>
        <x:v>29.348262721050407</x:v>
      </x:c>
      <x:c r="Q70" s="48" t="n">
        <x:f>AD70</x:f>
        <x:v>24.851802660019427</x:v>
      </x:c>
      <x:c r="R70" s="49"/>
      <x:c r="S70" s="48" t="n">
        <x:f>Model_Data!A70</x:f>
        <x:v>-26</x:v>
      </x:c>
      <x:c r="T70" s="48" t="n">
        <x:f>Model_Data!B70-Inputs!$C$5</x:f>
        <x:v>0.751111111111129</x:v>
      </x:c>
      <x:c r="U70" s="49"/>
      <x:c r="V70" s="48" t="n">
        <x:f>Model_Data!A70</x:f>
        <x:v>-26</x:v>
      </x:c>
      <x:c r="W70" s="48" t="n">
        <x:f>(-((((SQRT((Model_Data!A70)^2+Inputs!$C$6^2+((Model_Data!B70)-((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(0.45*SIN(2*PI()*(((Model_Data!A70)/Inputs!$C$49)+Inputs!$C$47*0.137))+0.35*COS(2*PI()*(((Inputs!$C$6)/Inputs!$C$50)+Inputs!$C$47*0.173))+0.20*SIN(2*PI()*(((Model_Data!A70)+(Inputs!$C$6))/(0.5*(Inputs!$C$49+Inputs!$C$50))+Inputs!$C$47*0.097)))+0.30*(2*((SIN(((Model_Data!A70)*12.9898+(Inputs!$C$6)*78.233+Inputs!$C$47*37.719))*43758.5453)-INT((SIN(((Model_Data!A70)*12.9898+(Inputs!$C$6)*78.233+Inputs!$C$47*37.719))*43758.5453)))-1))))/1000)^2))-(((Model_Data!B70)-((Inputs!$C$51*(115*EXP(-(((0)-25)^2)/(4.5^2))+70*EXP(-(((0)+38)^2)/(7^2))*(0.55+0.45*SIN(2*PI()*(Model_Data!A70)/45))+24*SIN(2*PI()*(0)/9+(Model_Data!A70)/18)*EXP(-(((0)+5)^2)/(22^2))+18*SIN(2*PI()*(Model_Data!A70)/70))+Inputs!$C$28*EXP(-(((Model_Data!A70)-Inputs!$C$29)^2)/(2*Inputs!$C$31^2))*EXP(-(((0)-Inputs!$C$30)^2)/(2*Inputs!$C$32^2))+-Inputs!$C$33*EXP(-(((((Model_Data!A70)-Inputs!$C$34)^2)+(((0)-Inputs!$C$35)^2))/(2*Inputs!$C$36^2)))+Inputs!$C$37*(0.55*SIN(2*PI()*(Model_Data!A70)/Inputs!$C$39)+0.35*COS(2*PI()*(0)/Inputs!$C$40)+0.2*SIN(2*PI()*((Model_Data!A70)+(0))/(0.5*(Inputs!$C$39+Inputs!$C$40))))+Inputs!$C$38*SIN(2*PI()*(Model_Data!A70)/Inputs!$C$39)*SIN(2*PI()*(0)/Inputs!$C$40)+-Inputs!$C$41*EXP(-(((0)-Inputs!$C$43)^2)/(2*Inputs!$C$44^2))*EXP(-(((Model_Data!A70)-Inputs!$C$42)^2)/(2*Inputs!$C$45^2))+Inputs!$C$48*(0.70*(0.45*SIN(2*PI()*(((Model_Data!A70)/Inputs!$C$49)+Inputs!$C$47*0.137))+0.35*COS(2*PI()*(((0)/Inputs!$C$50)+Inputs!$C$47*0.173))+0.20*SIN(2*PI()*(((Model_Data!A70)+(0))/(0.5*(Inputs!$C$49+Inputs!$C$50))+Inputs!$C$47*0.097)))+0.30*(2*((SIN(((Model_Data!A70)*12.9898+(0)*78.233+Inputs!$C$47*37.719))*43758.5453)-INT((SIN(((Model_Data!A70)*12.9898+(0)*78.233+Inputs!$C$47*37.719))*43758.5453)))-1))))/1000)))*1000/Inputs!$C$12)-Model_Data!F70))-(-(((SQRT((Model_Data!A70)^2+Inputs!$C$6^2+(Inputs!$C$5-((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(0.45*SIN(2*PI()*(((Model_Data!A70)/Inputs!$C$49)+Inputs!$C$47*0.137))+0.35*COS(2*PI()*(((Inputs!$C$6)/Inputs!$C$50)+Inputs!$C$47*0.173))+0.20*SIN(2*PI()*(((Model_Data!A70)+(Inputs!$C$6))/(0.5*(Inputs!$C$49+Inputs!$C$50))+Inputs!$C$47*0.097)))+0.30*(2*((SIN(((Model_Data!A70)*12.9898+(Inputs!$C$6)*78.233+Inputs!$C$47*37.719))*43758.5453)-INT((SIN(((Model_Data!A70)*12.9898+(Inputs!$C$6)*78.233+Inputs!$C$47*37.719))*43758.5453)))-1))))/1000)^2)-(Inputs!$C$5-((Inputs!$C$51*(115*EXP(-(((0)-25)^2)/(4.5^2))+70*EXP(-(((0)+38)^2)/(7^2))*(0.55+0.45*SIN(2*PI()*(Model_Data!A70)/45))+24*SIN(2*PI()*(0)/9+(Model_Data!A70)/18)*EXP(-(((0)+5)^2)/(22^2))+18*SIN(2*PI()*(Model_Data!A70)/70))+Inputs!$C$28*EXP(-(((Model_Data!A70)-Inputs!$C$29)^2)/(2*Inputs!$C$31^2))*EXP(-(((0)-Inputs!$C$30)^2)/(2*Inputs!$C$32^2))+-Inputs!$C$33*EXP(-(((((Model_Data!A70)-Inputs!$C$34)^2)+(((0)-Inputs!$C$35)^2))/(2*Inputs!$C$36^2)))+Inputs!$C$37*(0.55*SIN(2*PI()*(Model_Data!A70)/Inputs!$C$39)+0.35*COS(2*PI()*(0)/Inputs!$C$40)+0.2*SIN(2*PI()*((Model_Data!A70)+(0))/(0.5*(Inputs!$C$39+Inputs!$C$40))))+Inputs!$C$38*SIN(2*PI()*(Model_Data!A70)/Inputs!$C$39)*SIN(2*PI()*(0)/Inputs!$C$40)+-Inputs!$C$41*EXP(-(((0)-Inputs!$C$43)^2)/(2*Inputs!$C$44^2))*EXP(-(((Model_Data!A70)-Inputs!$C$42)^2)/(2*Inputs!$C$45^2))+Inputs!$C$48*(0.70*(0.45*SIN(2*PI()*(((Model_Data!A70)/Inputs!$C$49)+Inputs!$C$47*0.137))+0.35*COS(2*PI()*(((0)/Inputs!$C$50)+Inputs!$C$47*0.173))+0.20*SIN(2*PI()*(((Model_Data!A70)+(0))/(0.5*(Inputs!$C$49+Inputs!$C$50))+Inputs!$C$47*0.097)))+0.30*(2*((SIN(((Model_Data!A70)*12.9898+(0)*78.233+Inputs!$C$47*37.719))*43758.5453)-INT((SIN(((Model_Data!A70)*12.9898+(0)*78.233+Inputs!$C$47*37.719))*43758.5453)))-1))))/1000))*1000/Inputs!$C$12)-((SQRT((Model_Data!A70)^2+Inputs!$C$6^2+Inputs!$C$5^2)-Inputs!$C$5)*1000/Inputs!$C$12)))</x:f>
        <x:v>0.002298750221939372</x:v>
      </x:c>
      <x:c r="X70" s="48" t="n">
        <x:f>0</x:f>
        <x:v>0</x:v>
      </x:c>
      <x:c r="Y70" s="49"/>
      <x:c r="Z70" s="48" t="n">
        <x:f>Model_Data!A70</x:f>
        <x:v>-26</x:v>
      </x:c>
      <x:c r="AA70" s="48" t="n">
        <x:f>SQRT((Model_Data!A70)^2+Inputs!$C$6^2+((Model_Data!B70)-((Inputs!$C$51*(115*EXP(-(((Inputs!$C$6)-25)^2)/(4.5^2))+70*EXP(-(((Inputs!$C$6)+38)^2)/(7^2))*(0.55+0.45*SIN(2*PI()*(Model_Data!A70)/45))+24*SIN(2*PI()*(Inputs!$C$6)/9+(Model_Data!A70)/18)*EXP(-(((Inputs!$C$6)+5)^2)/(22^2))+18*SIN(2*PI()*(Model_Data!A70)/70))+Inputs!$C$28*EXP(-(((Model_Data!A70)-Inputs!$C$29)^2)/(2*Inputs!$C$31^2))*EXP(-(((Inputs!$C$6)-Inputs!$C$30)^2)/(2*Inputs!$C$32^2))+-Inputs!$C$33*EXP(-(((((Model_Data!A70)-Inputs!$C$34)^2)+(((Inputs!$C$6)-Inputs!$C$35)^2))/(2*Inputs!$C$36^2)))+Inputs!$C$37*(0.55*SIN(2*PI()*(Model_Data!A70)/Inputs!$C$39)+0.35*COS(2*PI()*(Inputs!$C$6)/Inputs!$C$40)+0.2*SIN(2*PI()*((Model_Data!A70)+(Inputs!$C$6))/(0.5*(Inputs!$C$39+Inputs!$C$40))))+Inputs!$C$38*SIN(2*PI()*(Model_Data!A70)/Inputs!$C$39)*SIN(2*PI()*(Inputs!$C$6)/Inputs!$C$40)+-Inputs!$C$41*EXP(-(((Inputs!$C$6)-Inputs!$C$43)^2)/(2*Inputs!$C$44^2))*EXP(-(((Model_Data!A70)-Inputs!$C$42)^2)/(2*Inputs!$C$45^2))+Inputs!$C$48*(0.70*(0.45*SIN(2*PI()*(((Model_Data!A70)/Inputs!$C$49)+Inputs!$C$47*0.137))+0.35*COS(2*PI()*(((Inputs!$C$6)/Inputs!$C$50)+Inputs!$C$47*0.173))+0.20*SIN(2*PI()*(((Model_Data!A70)+(Inputs!$C$6))/(0.5*(Inputs!$C$49+Inputs!$C$50))+Inputs!$C$47*0.097)))+0.30*(2*((SIN(((Model_Data!A70)*12.9898+(Inputs!$C$6)*78.233+Inputs!$C$47*37.719))*43758.5453)-INT((SIN(((Model_Data!A70)*12.9898+(Inputs!$C$6)*78.233+Inputs!$C$47*37.719))*43758.5453)))-1))))/1000)^2)</x:f>
        <x:v>402.1003902737468</x:v>
      </x:c>
      <x:c r="AB70" s="48" t="n">
        <x:f>1000*(AA71-AA69)/(Z71-Z69)*Inputs!$C$11</x:f>
        <x:v>-413.78251428932344</x:v>
      </x:c>
      <x:c r="AC70" s="48" t="n">
        <x:f>-2*AB70/Inputs!$C$13</x:f>
        <x:v>165.51300571572938</x:v>
      </x:c>
      <x:c r="AD70" s="48" t="n">
        <x:f>-2*AB70/Inputs!$C$14</x:f>
        <x:v>24.851802660019427</x:v>
      </x:c>
    </x:row>
    <x:row r="71">
      <x:c r="A71" s="48" t="n">
        <x:f>Model_Data!A71</x:f>
        <x:v>-25.5</x:v>
      </x:c>
      <x:c r="B71" s="48" t="n">
        <x:f>Model_Data!F71</x:f>
        <x:v>892.1582886614168</x:v>
      </x:c>
      <x:c r="C71" s="48" t="n">
        <x:f>(((SQRT((Model_Data!A71)^2+Inputs!$C$6^2+((Model_Data!B71)-((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(0.45*SIN(2*PI()*(((Model_Data!A71)/Inputs!$C$49)+Inputs!$C$47*0.137))+0.35*COS(2*PI()*(((Inputs!$C$6)/Inputs!$C$50)+Inputs!$C$47*0.173))+0.20*SIN(2*PI()*(((Model_Data!A71)+(Inputs!$C$6))/(0.5*(Inputs!$C$49+Inputs!$C$50))+Inputs!$C$47*0.097)))+0.30*(2*((SIN(((Model_Data!A71)*12.9898+(Inputs!$C$6)*78.233+Inputs!$C$47*37.719))*43758.5453)-INT((SIN(((Model_Data!A71)*12.9898+(Inputs!$C$6)*78.233+Inputs!$C$47*37.719))*43758.5453)))-1))))/1000)^2))-(((Model_Data!B71)-((Inputs!$C$51*(115*EXP(-(((0)-25)^2)/(4.5^2))+70*EXP(-(((0)+38)^2)/(7^2))*(0.55+0.45*SIN(2*PI()*(Model_Data!A71)/45))+24*SIN(2*PI()*(0)/9+(Model_Data!A71)/18)*EXP(-(((0)+5)^2)/(22^2))+18*SIN(2*PI()*(Model_Data!A71)/70))+Inputs!$C$28*EXP(-(((Model_Data!A71)-Inputs!$C$29)^2)/(2*Inputs!$C$31^2))*EXP(-(((0)-Inputs!$C$30)^2)/(2*Inputs!$C$32^2))+-Inputs!$C$33*EXP(-(((((Model_Data!A71)-Inputs!$C$34)^2)+(((0)-Inputs!$C$35)^2))/(2*Inputs!$C$36^2)))+Inputs!$C$37*(0.55*SIN(2*PI()*(Model_Data!A71)/Inputs!$C$39)+0.35*COS(2*PI()*(0)/Inputs!$C$40)+0.2*SIN(2*PI()*((Model_Data!A71)+(0))/(0.5*(Inputs!$C$39+Inputs!$C$40))))+Inputs!$C$38*SIN(2*PI()*(Model_Data!A71)/Inputs!$C$39)*SIN(2*PI()*(0)/Inputs!$C$40)+-Inputs!$C$41*EXP(-(((0)-Inputs!$C$43)^2)/(2*Inputs!$C$44^2))*EXP(-(((Model_Data!A71)-Inputs!$C$42)^2)/(2*Inputs!$C$45^2))+Inputs!$C$48*(0.70*(0.45*SIN(2*PI()*(((Model_Data!A71)/Inputs!$C$49)+Inputs!$C$47*0.137))+0.35*COS(2*PI()*(((0)/Inputs!$C$50)+Inputs!$C$47*0.173))+0.20*SIN(2*PI()*(((Model_Data!A71)+(0))/(0.5*(Inputs!$C$49+Inputs!$C$50))+Inputs!$C$47*0.097)))+0.30*(2*((SIN(((Model_Data!A71)*12.9898+(0)*78.233+Inputs!$C$47*37.719))*43758.5453)-INT((SIN(((Model_Data!A71)*12.9898+(0)*78.233+Inputs!$C$47*37.719))*43758.5453)))-1))))/1000)))*1000/Inputs!$C$12)</x:f>
        <x:v>681.5023267578136</x:v>
      </x:c>
      <x:c r="D71" s="49"/>
      <x:c r="E71" s="48" t="n">
        <x:f>Model_Data!A71</x:f>
        <x:v>-25.5</x:v>
      </x:c>
      <x:c r="F71" s="48" t="n">
        <x:f>(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(0.45*SIN(2*PI()*(((Model_Data!A71)/Inputs!$C$49)+Inputs!$C$47*0.137))+0.35*COS(2*PI()*(((Inputs!$C$6)/Inputs!$C$50)+Inputs!$C$47*0.173))+0.20*SIN(2*PI()*(((Model_Data!A71)+(Inputs!$C$6))/(0.5*(Inputs!$C$49+Inputs!$C$50))+Inputs!$C$47*0.097)))+0.30*(2*((SIN(((Model_Data!A71)*12.9898+(Inputs!$C$6)*78.233+Inputs!$C$47*37.719))*43758.5453)-INT((SIN(((Model_Data!A71)*12.9898+(Inputs!$C$6)*78.233+Inputs!$C$47*37.719))*43758.5453)))-1)))</x:f>
        <x:v>271.72277085410076</x:v>
      </x:c>
      <x:c r="G71" s="48" t="n">
        <x:f>(Inputs!$C$51*(115*EXP(-(((0)-25)^2)/(4.5^2))+70*EXP(-(((0)+38)^2)/(7^2))*(0.55+0.45*SIN(2*PI()*(Model_Data!A71)/45))+24*SIN(2*PI()*(0)/9+(Model_Data!A71)/18)*EXP(-(((0)+5)^2)/(22^2))+18*SIN(2*PI()*(Model_Data!A71)/70))+Inputs!$C$28*EXP(-(((Model_Data!A71)-Inputs!$C$29)^2)/(2*Inputs!$C$31^2))*EXP(-(((0)-Inputs!$C$30)^2)/(2*Inputs!$C$32^2))+-Inputs!$C$33*EXP(-(((((Model_Data!A71)-Inputs!$C$34)^2)+(((0)-Inputs!$C$35)^2))/(2*Inputs!$C$36^2)))+Inputs!$C$37*(0.55*SIN(2*PI()*(Model_Data!A71)/Inputs!$C$39)+0.35*COS(2*PI()*(0)/Inputs!$C$40)+0.2*SIN(2*PI()*((Model_Data!A71)+(0))/(0.5*(Inputs!$C$39+Inputs!$C$40))))+Inputs!$C$38*SIN(2*PI()*(Model_Data!A71)/Inputs!$C$39)*SIN(2*PI()*(0)/Inputs!$C$40)+-Inputs!$C$41*EXP(-(((0)-Inputs!$C$43)^2)/(2*Inputs!$C$44^2))*EXP(-(((Model_Data!A71)-Inputs!$C$42)^2)/(2*Inputs!$C$45^2))+Inputs!$C$48*(0.70*(0.45*SIN(2*PI()*(((Model_Data!A71)/Inputs!$C$49)+Inputs!$C$47*0.137))+0.35*COS(2*PI()*(((0)/Inputs!$C$50)+Inputs!$C$47*0.173))+0.20*SIN(2*PI()*(((Model_Data!A71)+(0))/(0.5*(Inputs!$C$49+Inputs!$C$50))+Inputs!$C$47*0.097)))+0.30*(2*((SIN(((Model_Data!A71)*12.9898+(0)*78.233+Inputs!$C$47*37.719))*43758.5453)-INT((SIN(((Model_Data!A71)*12.9898+(0)*78.233+Inputs!$C$47*37.719))*43758.5453)))-1)))</x:f>
        <x:v>-104.31813701930129</x:v>
      </x:c>
      <x:c r="H71" s="49"/>
      <x:c r="I71" s="48" t="n">
        <x:f>Model_Data!A71</x:f>
        <x:v>-25.5</x:v>
      </x:c>
      <x:c r="J71" s="48" t="n">
        <x:f>((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(0.45*SIN(2*PI()*(((Model_Data!A71)/Inputs!$C$49)+Inputs!$C$47*0.137))+0.35*COS(2*PI()*(((Inputs!$C$6)/Inputs!$C$50)+Inputs!$C$47*0.173))+0.20*SIN(2*PI()*(((Model_Data!A71)+(Inputs!$C$6))/(0.5*(Inputs!$C$49+Inputs!$C$50))+Inputs!$C$47*0.097)))+0.30*(2*((SIN(((Model_Data!A71)*12.9898+(Inputs!$C$6)*78.233+Inputs!$C$47*37.719))*43758.5453)-INT((SIN(((Model_Data!A71)*12.9898+(Inputs!$C$6)*78.233+Inputs!$C$47*37.719))*43758.5453)))-1))))-((Inputs!$C$51*(115*EXP(-(((0)-25)^2)/(4.5^2))+70*EXP(-(((0)+38)^2)/(7^2))*(0.55+0.45*SIN(2*PI()*(Model_Data!A71)/45))+24*SIN(2*PI()*(0)/9+(Model_Data!A71)/18)*EXP(-(((0)+5)^2)/(22^2))+18*SIN(2*PI()*(Model_Data!A71)/70))+Inputs!$C$28*EXP(-(((Model_Data!A71)-Inputs!$C$29)^2)/(2*Inputs!$C$31^2))*EXP(-(((0)-Inputs!$C$30)^2)/(2*Inputs!$C$32^2))+-Inputs!$C$33*EXP(-(((((Model_Data!A71)-Inputs!$C$34)^2)+(((0)-Inputs!$C$35)^2))/(2*Inputs!$C$36^2)))+Inputs!$C$37*(0.55*SIN(2*PI()*(Model_Data!A71)/Inputs!$C$39)+0.35*COS(2*PI()*(0)/Inputs!$C$40)+0.2*SIN(2*PI()*((Model_Data!A71)+(0))/(0.5*(Inputs!$C$39+Inputs!$C$40))))+Inputs!$C$38*SIN(2*PI()*(Model_Data!A71)/Inputs!$C$39)*SIN(2*PI()*(0)/Inputs!$C$40)+-Inputs!$C$41*EXP(-(((0)-Inputs!$C$43)^2)/(2*Inputs!$C$44^2))*EXP(-(((Model_Data!A71)-Inputs!$C$42)^2)/(2*Inputs!$C$45^2))+Inputs!$C$48*(0.70*(0.45*SIN(2*PI()*(((Model_Data!A71)/Inputs!$C$49)+Inputs!$C$47*0.137))+0.35*COS(2*PI()*(((0)/Inputs!$C$50)+Inputs!$C$47*0.173))+0.20*SIN(2*PI()*(((Model_Data!A71)+(0))/(0.5*(Inputs!$C$49+Inputs!$C$50))+Inputs!$C$47*0.097)))+0.30*(2*((SIN(((Model_Data!A71)*12.9898+(0)*78.233+Inputs!$C$47*37.719))*43758.5453)-INT((SIN(((Model_Data!A71)*12.9898+(0)*78.233+Inputs!$C$47*37.719))*43758.5453)))-1))))</x:f>
        <x:v>376.04090787340203</x:v>
      </x:c>
      <x:c r="K71" s="48" t="n">
        <x:f>-((((SQRT((Model_Data!A71)^2+Inputs!$C$6^2+((Model_Data!B71)-((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(0.45*SIN(2*PI()*(((Model_Data!A71)/Inputs!$C$49)+Inputs!$C$47*0.137))+0.35*COS(2*PI()*(((Inputs!$C$6)/Inputs!$C$50)+Inputs!$C$47*0.173))+0.20*SIN(2*PI()*(((Model_Data!A71)+(Inputs!$C$6))/(0.5*(Inputs!$C$49+Inputs!$C$50))+Inputs!$C$47*0.097)))+0.30*(2*((SIN(((Model_Data!A71)*12.9898+(Inputs!$C$6)*78.233+Inputs!$C$47*37.719))*43758.5453)-INT((SIN(((Model_Data!A71)*12.9898+(Inputs!$C$6)*78.233+Inputs!$C$47*37.719))*43758.5453)))-1))))/1000)^2))-(((Model_Data!B71)-((Inputs!$C$51*(115*EXP(-(((0)-25)^2)/(4.5^2))+70*EXP(-(((0)+38)^2)/(7^2))*(0.55+0.45*SIN(2*PI()*(Model_Data!A71)/45))+24*SIN(2*PI()*(0)/9+(Model_Data!A71)/18)*EXP(-(((0)+5)^2)/(22^2))+18*SIN(2*PI()*(Model_Data!A71)/70))+Inputs!$C$28*EXP(-(((Model_Data!A71)-Inputs!$C$29)^2)/(2*Inputs!$C$31^2))*EXP(-(((0)-Inputs!$C$30)^2)/(2*Inputs!$C$32^2))+-Inputs!$C$33*EXP(-(((((Model_Data!A71)-Inputs!$C$34)^2)+(((0)-Inputs!$C$35)^2))/(2*Inputs!$C$36^2)))+Inputs!$C$37*(0.55*SIN(2*PI()*(Model_Data!A71)/Inputs!$C$39)+0.35*COS(2*PI()*(0)/Inputs!$C$40)+0.2*SIN(2*PI()*((Model_Data!A71)+(0))/(0.5*(Inputs!$C$39+Inputs!$C$40))))+Inputs!$C$38*SIN(2*PI()*(Model_Data!A71)/Inputs!$C$39)*SIN(2*PI()*(0)/Inputs!$C$40)+-Inputs!$C$41*EXP(-(((0)-Inputs!$C$43)^2)/(2*Inputs!$C$44^2))*EXP(-(((Model_Data!A71)-Inputs!$C$42)^2)/(2*Inputs!$C$45^2))+Inputs!$C$48*(0.70*(0.45*SIN(2*PI()*(((Model_Data!A71)/Inputs!$C$49)+Inputs!$C$47*0.137))+0.35*COS(2*PI()*(((0)/Inputs!$C$50)+Inputs!$C$47*0.173))+0.20*SIN(2*PI()*(((Model_Data!A71)+(0))/(0.5*(Inputs!$C$49+Inputs!$C$50))+Inputs!$C$47*0.097)))+0.30*(2*((SIN(((Model_Data!A71)*12.9898+(0)*78.233+Inputs!$C$47*37.719))*43758.5453)-INT((SIN(((Model_Data!A71)*12.9898+(0)*78.233+Inputs!$C$47*37.719))*43758.5453)))-1))))/1000)))*1000/Inputs!$C$12)-Model_Data!F71)</x:f>
        <x:v>210.65596190360316</x:v>
      </x:c>
      <x:c r="L71" s="49"/>
      <x:c r="M71" s="48" t="n">
        <x:f>Model_Data!A71</x:f>
        <x:v>-25.5</x:v>
      </x:c>
      <x:c r="N71" s="48" t="n">
        <x:f>Model_Data!P71</x:f>
        <x:v>191.72297349476912</x:v>
      </x:c>
      <x:c r="O71" s="48" t="n">
        <x:f>AC71</x:f>
        <x:v>173.50624958571643</x:v>
      </x:c>
      <x:c r="P71" s="48" t="n">
        <x:f>Model_Data!Q71</x:f>
        <x:v>28.787233257472842</x:v>
      </x:c>
      <x:c r="Q71" s="48" t="n">
        <x:f>AD71</x:f>
        <x:v>26.051989427284752</x:v>
      </x:c>
      <x:c r="R71" s="49"/>
      <x:c r="S71" s="48" t="n">
        <x:f>Model_Data!A71</x:f>
        <x:v>-25.5</x:v>
      </x:c>
      <x:c r="T71" s="48" t="n">
        <x:f>Model_Data!B71-Inputs!$C$5</x:f>
        <x:v>0.722500000000025</x:v>
      </x:c>
      <x:c r="U71" s="49"/>
      <x:c r="V71" s="48" t="n">
        <x:f>Model_Data!A71</x:f>
        <x:v>-25.5</x:v>
      </x:c>
      <x:c r="W71" s="48" t="n">
        <x:f>(-((((SQRT((Model_Data!A71)^2+Inputs!$C$6^2+((Model_Data!B71)-((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(0.45*SIN(2*PI()*(((Model_Data!A71)/Inputs!$C$49)+Inputs!$C$47*0.137))+0.35*COS(2*PI()*(((Inputs!$C$6)/Inputs!$C$50)+Inputs!$C$47*0.173))+0.20*SIN(2*PI()*(((Model_Data!A71)+(Inputs!$C$6))/(0.5*(Inputs!$C$49+Inputs!$C$50))+Inputs!$C$47*0.097)))+0.30*(2*((SIN(((Model_Data!A71)*12.9898+(Inputs!$C$6)*78.233+Inputs!$C$47*37.719))*43758.5453)-INT((SIN(((Model_Data!A71)*12.9898+(Inputs!$C$6)*78.233+Inputs!$C$47*37.719))*43758.5453)))-1))))/1000)^2))-(((Model_Data!B71)-((Inputs!$C$51*(115*EXP(-(((0)-25)^2)/(4.5^2))+70*EXP(-(((0)+38)^2)/(7^2))*(0.55+0.45*SIN(2*PI()*(Model_Data!A71)/45))+24*SIN(2*PI()*(0)/9+(Model_Data!A71)/18)*EXP(-(((0)+5)^2)/(22^2))+18*SIN(2*PI()*(Model_Data!A71)/70))+Inputs!$C$28*EXP(-(((Model_Data!A71)-Inputs!$C$29)^2)/(2*Inputs!$C$31^2))*EXP(-(((0)-Inputs!$C$30)^2)/(2*Inputs!$C$32^2))+-Inputs!$C$33*EXP(-(((((Model_Data!A71)-Inputs!$C$34)^2)+(((0)-Inputs!$C$35)^2))/(2*Inputs!$C$36^2)))+Inputs!$C$37*(0.55*SIN(2*PI()*(Model_Data!A71)/Inputs!$C$39)+0.35*COS(2*PI()*(0)/Inputs!$C$40)+0.2*SIN(2*PI()*((Model_Data!A71)+(0))/(0.5*(Inputs!$C$39+Inputs!$C$40))))+Inputs!$C$38*SIN(2*PI()*(Model_Data!A71)/Inputs!$C$39)*SIN(2*PI()*(0)/Inputs!$C$40)+-Inputs!$C$41*EXP(-(((0)-Inputs!$C$43)^2)/(2*Inputs!$C$44^2))*EXP(-(((Model_Data!A71)-Inputs!$C$42)^2)/(2*Inputs!$C$45^2))+Inputs!$C$48*(0.70*(0.45*SIN(2*PI()*(((Model_Data!A71)/Inputs!$C$49)+Inputs!$C$47*0.137))+0.35*COS(2*PI()*(((0)/Inputs!$C$50)+Inputs!$C$47*0.173))+0.20*SIN(2*PI()*(((Model_Data!A71)+(0))/(0.5*(Inputs!$C$49+Inputs!$C$50))+Inputs!$C$47*0.097)))+0.30*(2*((SIN(((Model_Data!A71)*12.9898+(0)*78.233+Inputs!$C$47*37.719))*43758.5453)-INT((SIN(((Model_Data!A71)*12.9898+(0)*78.233+Inputs!$C$47*37.719))*43758.5453)))-1))))/1000)))*1000/Inputs!$C$12)-Model_Data!F71))-(-(((SQRT((Model_Data!A71)^2+Inputs!$C$6^2+(Inputs!$C$5-((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(0.45*SIN(2*PI()*(((Model_Data!A71)/Inputs!$C$49)+Inputs!$C$47*0.137))+0.35*COS(2*PI()*(((Inputs!$C$6)/Inputs!$C$50)+Inputs!$C$47*0.173))+0.20*SIN(2*PI()*(((Model_Data!A71)+(Inputs!$C$6))/(0.5*(Inputs!$C$49+Inputs!$C$50))+Inputs!$C$47*0.097)))+0.30*(2*((SIN(((Model_Data!A71)*12.9898+(Inputs!$C$6)*78.233+Inputs!$C$47*37.719))*43758.5453)-INT((SIN(((Model_Data!A71)*12.9898+(Inputs!$C$6)*78.233+Inputs!$C$47*37.719))*43758.5453)))-1))))/1000)^2)-(Inputs!$C$5-((Inputs!$C$51*(115*EXP(-(((0)-25)^2)/(4.5^2))+70*EXP(-(((0)+38)^2)/(7^2))*(0.55+0.45*SIN(2*PI()*(Model_Data!A71)/45))+24*SIN(2*PI()*(0)/9+(Model_Data!A71)/18)*EXP(-(((0)+5)^2)/(22^2))+18*SIN(2*PI()*(Model_Data!A71)/70))+Inputs!$C$28*EXP(-(((Model_Data!A71)-Inputs!$C$29)^2)/(2*Inputs!$C$31^2))*EXP(-(((0)-Inputs!$C$30)^2)/(2*Inputs!$C$32^2))+-Inputs!$C$33*EXP(-(((((Model_Data!A71)-Inputs!$C$34)^2)+(((0)-Inputs!$C$35)^2))/(2*Inputs!$C$36^2)))+Inputs!$C$37*(0.55*SIN(2*PI()*(Model_Data!A71)/Inputs!$C$39)+0.35*COS(2*PI()*(0)/Inputs!$C$40)+0.2*SIN(2*PI()*((Model_Data!A71)+(0))/(0.5*(Inputs!$C$39+Inputs!$C$40))))+Inputs!$C$38*SIN(2*PI()*(Model_Data!A71)/Inputs!$C$39)*SIN(2*PI()*(0)/Inputs!$C$40)+-Inputs!$C$41*EXP(-(((0)-Inputs!$C$43)^2)/(2*Inputs!$C$44^2))*EXP(-(((Model_Data!A71)-Inputs!$C$42)^2)/(2*Inputs!$C$45^2))+Inputs!$C$48*(0.70*(0.45*SIN(2*PI()*(((Model_Data!A71)/Inputs!$C$49)+Inputs!$C$47*0.137))+0.35*COS(2*PI()*(((0)/Inputs!$C$50)+Inputs!$C$47*0.173))+0.20*SIN(2*PI()*(((Model_Data!A71)+(0))/(0.5*(Inputs!$C$49+Inputs!$C$50))+Inputs!$C$47*0.097)))+0.30*(2*((SIN(((Model_Data!A71)*12.9898+(0)*78.233+Inputs!$C$47*37.719))*43758.5453)-INT((SIN(((Model_Data!A71)*12.9898+(0)*78.233+Inputs!$C$47*37.719))*43758.5453)))-1))))/1000))*1000/Inputs!$C$12)-((SQRT((Model_Data!A71)^2+Inputs!$C$6^2+Inputs!$C$5^2)-Inputs!$C$5)*1000/Inputs!$C$12)))</x:f>
        <x:v>0.0021680050574559573</x:v>
      </x:c>
      <x:c r="X71" s="48" t="n">
        <x:f>0</x:f>
        <x:v>0</x:v>
      </x:c>
      <x:c r="Y71" s="49"/>
      <x:c r="Z71" s="48" t="n">
        <x:f>Model_Data!A71</x:f>
        <x:v>-25.5</x:v>
      </x:c>
      <x:c r="AA71" s="48" t="n">
        <x:f>SQRT((Model_Data!A71)^2+Inputs!$C$6^2+((Model_Data!B71)-((Inputs!$C$51*(115*EXP(-(((Inputs!$C$6)-25)^2)/(4.5^2))+70*EXP(-(((Inputs!$C$6)+38)^2)/(7^2))*(0.55+0.45*SIN(2*PI()*(Model_Data!A71)/45))+24*SIN(2*PI()*(Inputs!$C$6)/9+(Model_Data!A71)/18)*EXP(-(((Inputs!$C$6)+5)^2)/(22^2))+18*SIN(2*PI()*(Model_Data!A71)/70))+Inputs!$C$28*EXP(-(((Model_Data!A71)-Inputs!$C$29)^2)/(2*Inputs!$C$31^2))*EXP(-(((Inputs!$C$6)-Inputs!$C$30)^2)/(2*Inputs!$C$32^2))+-Inputs!$C$33*EXP(-(((((Model_Data!A71)-Inputs!$C$34)^2)+(((Inputs!$C$6)-Inputs!$C$35)^2))/(2*Inputs!$C$36^2)))+Inputs!$C$37*(0.55*SIN(2*PI()*(Model_Data!A71)/Inputs!$C$39)+0.35*COS(2*PI()*(Inputs!$C$6)/Inputs!$C$40)+0.2*SIN(2*PI()*((Model_Data!A71)+(Inputs!$C$6))/(0.5*(Inputs!$C$39+Inputs!$C$40))))+Inputs!$C$38*SIN(2*PI()*(Model_Data!A71)/Inputs!$C$39)*SIN(2*PI()*(Inputs!$C$6)/Inputs!$C$40)+-Inputs!$C$41*EXP(-(((Inputs!$C$6)-Inputs!$C$43)^2)/(2*Inputs!$C$44^2))*EXP(-(((Model_Data!A71)-Inputs!$C$42)^2)/(2*Inputs!$C$45^2))+Inputs!$C$48*(0.70*(0.45*SIN(2*PI()*(((Model_Data!A71)/Inputs!$C$49)+Inputs!$C$47*0.137))+0.35*COS(2*PI()*(((Inputs!$C$6)/Inputs!$C$50)+Inputs!$C$47*0.173))+0.20*SIN(2*PI()*(((Model_Data!A71)+(Inputs!$C$6))/(0.5*(Inputs!$C$49+Inputs!$C$50))+Inputs!$C$47*0.097)))+0.30*(2*((SIN(((Model_Data!A71)*12.9898+(Inputs!$C$6)*78.233+Inputs!$C$47*37.719))*43758.5453)-INT((SIN(((Model_Data!A71)*12.9898+(Inputs!$C$6)*78.233+Inputs!$C$47*37.719))*43758.5453)))-1))))/1000)^2)</x:f>
        <x:v>402.0398922786482</x:v>
      </x:c>
      <x:c r="AB71" s="48" t="n">
        <x:f>1000*(AA72-AA70)/(Z72-Z70)*Inputs!$C$11</x:f>
        <x:v>-433.7656239642911</x:v>
      </x:c>
      <x:c r="AC71" s="48" t="n">
        <x:f>-2*AB71/Inputs!$C$13</x:f>
        <x:v>173.50624958571643</x:v>
      </x:c>
      <x:c r="AD71" s="48" t="n">
        <x:f>-2*AB71/Inputs!$C$14</x:f>
        <x:v>26.051989427284752</x:v>
      </x:c>
    </x:row>
    <x:row r="72">
      <x:c r="A72" s="48" t="n">
        <x:f>Model_Data!A72</x:f>
        <x:v>-25</x:v>
      </x:c>
      <x:c r="B72" s="48" t="n">
        <x:f>Model_Data!F72</x:f>
        <x:v>874.588691152092</x:v>
      </x:c>
      <x:c r="C72" s="48" t="n">
        <x:f>(((SQRT((Model_Data!A72)^2+Inputs!$C$6^2+((Model_Data!B72)-((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(0.45*SIN(2*PI()*(((Model_Data!A72)/Inputs!$C$49)+Inputs!$C$47*0.137))+0.35*COS(2*PI()*(((Inputs!$C$6)/Inputs!$C$50)+Inputs!$C$47*0.173))+0.20*SIN(2*PI()*(((Model_Data!A72)+(Inputs!$C$6))/(0.5*(Inputs!$C$49+Inputs!$C$50))+Inputs!$C$47*0.097)))+0.30*(2*((SIN(((Model_Data!A72)*12.9898+(Inputs!$C$6)*78.233+Inputs!$C$47*37.719))*43758.5453)-INT((SIN(((Model_Data!A72)*12.9898+(Inputs!$C$6)*78.233+Inputs!$C$47*37.719))*43758.5453)))-1))))/1000)^2))-(((Model_Data!B72)-((Inputs!$C$51*(115*EXP(-(((0)-25)^2)/(4.5^2))+70*EXP(-(((0)+38)^2)/(7^2))*(0.55+0.45*SIN(2*PI()*(Model_Data!A72)/45))+24*SIN(2*PI()*(0)/9+(Model_Data!A72)/18)*EXP(-(((0)+5)^2)/(22^2))+18*SIN(2*PI()*(Model_Data!A72)/70))+Inputs!$C$28*EXP(-(((Model_Data!A72)-Inputs!$C$29)^2)/(2*Inputs!$C$31^2))*EXP(-(((0)-Inputs!$C$30)^2)/(2*Inputs!$C$32^2))+-Inputs!$C$33*EXP(-(((((Model_Data!A72)-Inputs!$C$34)^2)+(((0)-Inputs!$C$35)^2))/(2*Inputs!$C$36^2)))+Inputs!$C$37*(0.55*SIN(2*PI()*(Model_Data!A72)/Inputs!$C$39)+0.35*COS(2*PI()*(0)/Inputs!$C$40)+0.2*SIN(2*PI()*((Model_Data!A72)+(0))/(0.5*(Inputs!$C$39+Inputs!$C$40))))+Inputs!$C$38*SIN(2*PI()*(Model_Data!A72)/Inputs!$C$39)*SIN(2*PI()*(0)/Inputs!$C$40)+-Inputs!$C$41*EXP(-(((0)-Inputs!$C$43)^2)/(2*Inputs!$C$44^2))*EXP(-(((Model_Data!A72)-Inputs!$C$42)^2)/(2*Inputs!$C$45^2))+Inputs!$C$48*(0.70*(0.45*SIN(2*PI()*(((Model_Data!A72)/Inputs!$C$49)+Inputs!$C$47*0.137))+0.35*COS(2*PI()*(((0)/Inputs!$C$50)+Inputs!$C$47*0.173))+0.20*SIN(2*PI()*(((Model_Data!A72)+(0))/(0.5*(Inputs!$C$49+Inputs!$C$50))+Inputs!$C$47*0.097)))+0.30*(2*((SIN(((Model_Data!A72)*12.9898+(0)*78.233+Inputs!$C$47*37.719))*43758.5453)-INT((SIN(((Model_Data!A72)*12.9898+(0)*78.233+Inputs!$C$47*37.719))*43758.5453)))-1))))/1000)))*1000/Inputs!$C$12)</x:f>
        <x:v>674.1300266447956</x:v>
      </x:c>
      <x:c r="D72" s="49"/>
      <x:c r="E72" s="48" t="n">
        <x:f>Model_Data!A72</x:f>
        <x:v>-25</x:v>
      </x:c>
      <x:c r="F72" s="48" t="n">
        <x:f>(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(0.45*SIN(2*PI()*(((Model_Data!A72)/Inputs!$C$49)+Inputs!$C$47*0.137))+0.35*COS(2*PI()*(((Inputs!$C$6)/Inputs!$C$50)+Inputs!$C$47*0.173))+0.20*SIN(2*PI()*(((Model_Data!A72)+(Inputs!$C$6))/(0.5*(Inputs!$C$49+Inputs!$C$50))+Inputs!$C$47*0.097)))+0.30*(2*((SIN(((Model_Data!A72)*12.9898+(Inputs!$C$6)*78.233+Inputs!$C$47*37.719))*43758.5453)-INT((SIN(((Model_Data!A72)*12.9898+(Inputs!$C$6)*78.233+Inputs!$C$47*37.719))*43758.5453)))-1)))</x:f>
        <x:v>260.2713841318971</x:v>
      </x:c>
      <x:c r="G72" s="48" t="n">
        <x:f>(Inputs!$C$51*(115*EXP(-(((0)-25)^2)/(4.5^2))+70*EXP(-(((0)+38)^2)/(7^2))*(0.55+0.45*SIN(2*PI()*(Model_Data!A72)/45))+24*SIN(2*PI()*(0)/9+(Model_Data!A72)/18)*EXP(-(((0)+5)^2)/(22^2))+18*SIN(2*PI()*(Model_Data!A72)/70))+Inputs!$C$28*EXP(-(((Model_Data!A72)-Inputs!$C$29)^2)/(2*Inputs!$C$31^2))*EXP(-(((0)-Inputs!$C$30)^2)/(2*Inputs!$C$32^2))+-Inputs!$C$33*EXP(-(((((Model_Data!A72)-Inputs!$C$34)^2)+(((0)-Inputs!$C$35)^2))/(2*Inputs!$C$36^2)))+Inputs!$C$37*(0.55*SIN(2*PI()*(Model_Data!A72)/Inputs!$C$39)+0.35*COS(2*PI()*(0)/Inputs!$C$40)+0.2*SIN(2*PI()*((Model_Data!A72)+(0))/(0.5*(Inputs!$C$39+Inputs!$C$40))))+Inputs!$C$38*SIN(2*PI()*(Model_Data!A72)/Inputs!$C$39)*SIN(2*PI()*(0)/Inputs!$C$40)+-Inputs!$C$41*EXP(-(((0)-Inputs!$C$43)^2)/(2*Inputs!$C$44^2))*EXP(-(((Model_Data!A72)-Inputs!$C$42)^2)/(2*Inputs!$C$45^2))+Inputs!$C$48*(0.70*(0.45*SIN(2*PI()*(((Model_Data!A72)/Inputs!$C$49)+Inputs!$C$47*0.137))+0.35*COS(2*PI()*(((0)/Inputs!$C$50)+Inputs!$C$47*0.173))+0.20*SIN(2*PI()*(((Model_Data!A72)+(0))/(0.5*(Inputs!$C$49+Inputs!$C$50))+Inputs!$C$47*0.097)))+0.30*(2*((SIN(((Model_Data!A72)*12.9898+(0)*78.233+Inputs!$C$47*37.719))*43758.5453)-INT((SIN(((Model_Data!A72)*12.9898+(0)*78.233+Inputs!$C$47*37.719))*43758.5453)))-1)))</x:f>
        <x:v>-97.55297588358108</x:v>
      </x:c>
      <x:c r="H72" s="49"/>
      <x:c r="I72" s="48" t="n">
        <x:f>Model_Data!A72</x:f>
        <x:v>-25</x:v>
      </x:c>
      <x:c r="J72" s="48" t="n">
        <x:f>((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(0.45*SIN(2*PI()*(((Model_Data!A72)/Inputs!$C$49)+Inputs!$C$47*0.137))+0.35*COS(2*PI()*(((Inputs!$C$6)/Inputs!$C$50)+Inputs!$C$47*0.173))+0.20*SIN(2*PI()*(((Model_Data!A72)+(Inputs!$C$6))/(0.5*(Inputs!$C$49+Inputs!$C$50))+Inputs!$C$47*0.097)))+0.30*(2*((SIN(((Model_Data!A72)*12.9898+(Inputs!$C$6)*78.233+Inputs!$C$47*37.719))*43758.5453)-INT((SIN(((Model_Data!A72)*12.9898+(Inputs!$C$6)*78.233+Inputs!$C$47*37.719))*43758.5453)))-1))))-((Inputs!$C$51*(115*EXP(-(((0)-25)^2)/(4.5^2))+70*EXP(-(((0)+38)^2)/(7^2))*(0.55+0.45*SIN(2*PI()*(Model_Data!A72)/45))+24*SIN(2*PI()*(0)/9+(Model_Data!A72)/18)*EXP(-(((0)+5)^2)/(22^2))+18*SIN(2*PI()*(Model_Data!A72)/70))+Inputs!$C$28*EXP(-(((Model_Data!A72)-Inputs!$C$29)^2)/(2*Inputs!$C$31^2))*EXP(-(((0)-Inputs!$C$30)^2)/(2*Inputs!$C$32^2))+-Inputs!$C$33*EXP(-(((((Model_Data!A72)-Inputs!$C$34)^2)+(((0)-Inputs!$C$35)^2))/(2*Inputs!$C$36^2)))+Inputs!$C$37*(0.55*SIN(2*PI()*(Model_Data!A72)/Inputs!$C$39)+0.35*COS(2*PI()*(0)/Inputs!$C$40)+0.2*SIN(2*PI()*((Model_Data!A72)+(0))/(0.5*(Inputs!$C$39+Inputs!$C$40))))+Inputs!$C$38*SIN(2*PI()*(Model_Data!A72)/Inputs!$C$39)*SIN(2*PI()*(0)/Inputs!$C$40)+-Inputs!$C$41*EXP(-(((0)-Inputs!$C$43)^2)/(2*Inputs!$C$44^2))*EXP(-(((Model_Data!A72)-Inputs!$C$42)^2)/(2*Inputs!$C$45^2))+Inputs!$C$48*(0.70*(0.45*SIN(2*PI()*(((Model_Data!A72)/Inputs!$C$49)+Inputs!$C$47*0.137))+0.35*COS(2*PI()*(((0)/Inputs!$C$50)+Inputs!$C$47*0.173))+0.20*SIN(2*PI()*(((Model_Data!A72)+(0))/(0.5*(Inputs!$C$49+Inputs!$C$50))+Inputs!$C$47*0.097)))+0.30*(2*((SIN(((Model_Data!A72)*12.9898+(0)*78.233+Inputs!$C$47*37.719))*43758.5453)-INT((SIN(((Model_Data!A72)*12.9898+(0)*78.233+Inputs!$C$47*37.719))*43758.5453)))-1))))</x:f>
        <x:v>357.8243600154782</x:v>
      </x:c>
      <x:c r="K72" s="48" t="n">
        <x:f>-((((SQRT((Model_Data!A72)^2+Inputs!$C$6^2+((Model_Data!B72)-((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(0.45*SIN(2*PI()*(((Model_Data!A72)/Inputs!$C$49)+Inputs!$C$47*0.137))+0.35*COS(2*PI()*(((Inputs!$C$6)/Inputs!$C$50)+Inputs!$C$47*0.173))+0.20*SIN(2*PI()*(((Model_Data!A72)+(Inputs!$C$6))/(0.5*(Inputs!$C$49+Inputs!$C$50))+Inputs!$C$47*0.097)))+0.30*(2*((SIN(((Model_Data!A72)*12.9898+(Inputs!$C$6)*78.233+Inputs!$C$47*37.719))*43758.5453)-INT((SIN(((Model_Data!A72)*12.9898+(Inputs!$C$6)*78.233+Inputs!$C$47*37.719))*43758.5453)))-1))))/1000)^2))-(((Model_Data!B72)-((Inputs!$C$51*(115*EXP(-(((0)-25)^2)/(4.5^2))+70*EXP(-(((0)+38)^2)/(7^2))*(0.55+0.45*SIN(2*PI()*(Model_Data!A72)/45))+24*SIN(2*PI()*(0)/9+(Model_Data!A72)/18)*EXP(-(((0)+5)^2)/(22^2))+18*SIN(2*PI()*(Model_Data!A72)/70))+Inputs!$C$28*EXP(-(((Model_Data!A72)-Inputs!$C$29)^2)/(2*Inputs!$C$31^2))*EXP(-(((0)-Inputs!$C$30)^2)/(2*Inputs!$C$32^2))+-Inputs!$C$33*EXP(-(((((Model_Data!A72)-Inputs!$C$34)^2)+(((0)-Inputs!$C$35)^2))/(2*Inputs!$C$36^2)))+Inputs!$C$37*(0.55*SIN(2*PI()*(Model_Data!A72)/Inputs!$C$39)+0.35*COS(2*PI()*(0)/Inputs!$C$40)+0.2*SIN(2*PI()*((Model_Data!A72)+(0))/(0.5*(Inputs!$C$39+Inputs!$C$40))))+Inputs!$C$38*SIN(2*PI()*(Model_Data!A72)/Inputs!$C$39)*SIN(2*PI()*(0)/Inputs!$C$40)+-Inputs!$C$41*EXP(-(((0)-Inputs!$C$43)^2)/(2*Inputs!$C$44^2))*EXP(-(((Model_Data!A72)-Inputs!$C$42)^2)/(2*Inputs!$C$45^2))+Inputs!$C$48*(0.70*(0.45*SIN(2*PI()*(((Model_Data!A72)/Inputs!$C$49)+Inputs!$C$47*0.137))+0.35*COS(2*PI()*(((0)/Inputs!$C$50)+Inputs!$C$47*0.173))+0.20*SIN(2*PI()*(((Model_Data!A72)+(0))/(0.5*(Inputs!$C$49+Inputs!$C$50))+Inputs!$C$47*0.097)))+0.30*(2*((SIN(((Model_Data!A72)*12.9898+(0)*78.233+Inputs!$C$47*37.719))*43758.5453)-INT((SIN(((Model_Data!A72)*12.9898+(0)*78.233+Inputs!$C$47*37.719))*43758.5453)))-1))))/1000)))*1000/Inputs!$C$12)-Model_Data!F72)</x:f>
        <x:v>200.45866450729636</x:v>
      </x:c>
      <x:c r="L72" s="49"/>
      <x:c r="M72" s="48" t="n">
        <x:f>Model_Data!A72</x:f>
        <x:v>-25</x:v>
      </x:c>
      <x:c r="N72" s="48" t="n">
        <x:f>Model_Data!P72</x:f>
        <x:v>187.98522325262562</x:v>
      </x:c>
      <x:c r="O72" s="48" t="n">
        <x:f>AC72</x:f>
        <x:v>195.65588342966294</x:v>
      </x:c>
      <x:c r="P72" s="48" t="n">
        <x:f>Model_Data!Q72</x:f>
        <x:v>28.226009497391235</x:v>
      </x:c>
      <x:c r="Q72" s="48" t="n">
        <x:f>AD72</x:f>
        <x:v>29.377760274724167</x:v>
      </x:c>
      <x:c r="R72" s="49"/>
      <x:c r="S72" s="48" t="n">
        <x:f>Model_Data!A72</x:f>
        <x:v>-25</x:v>
      </x:c>
      <x:c r="T72" s="48" t="n">
        <x:f>Model_Data!B72-Inputs!$C$5</x:f>
        <x:v>0.6944444444444571</x:v>
      </x:c>
      <x:c r="U72" s="49"/>
      <x:c r="V72" s="48" t="n">
        <x:f>Model_Data!A72</x:f>
        <x:v>-25</x:v>
      </x:c>
      <x:c r="W72" s="48" t="n">
        <x:f>(-((((SQRT((Model_Data!A72)^2+Inputs!$C$6^2+((Model_Data!B72)-((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(0.45*SIN(2*PI()*(((Model_Data!A72)/Inputs!$C$49)+Inputs!$C$47*0.137))+0.35*COS(2*PI()*(((Inputs!$C$6)/Inputs!$C$50)+Inputs!$C$47*0.173))+0.20*SIN(2*PI()*(((Model_Data!A72)+(Inputs!$C$6))/(0.5*(Inputs!$C$49+Inputs!$C$50))+Inputs!$C$47*0.097)))+0.30*(2*((SIN(((Model_Data!A72)*12.9898+(Inputs!$C$6)*78.233+Inputs!$C$47*37.719))*43758.5453)-INT((SIN(((Model_Data!A72)*12.9898+(Inputs!$C$6)*78.233+Inputs!$C$47*37.719))*43758.5453)))-1))))/1000)^2))-(((Model_Data!B72)-((Inputs!$C$51*(115*EXP(-(((0)-25)^2)/(4.5^2))+70*EXP(-(((0)+38)^2)/(7^2))*(0.55+0.45*SIN(2*PI()*(Model_Data!A72)/45))+24*SIN(2*PI()*(0)/9+(Model_Data!A72)/18)*EXP(-(((0)+5)^2)/(22^2))+18*SIN(2*PI()*(Model_Data!A72)/70))+Inputs!$C$28*EXP(-(((Model_Data!A72)-Inputs!$C$29)^2)/(2*Inputs!$C$31^2))*EXP(-(((0)-Inputs!$C$30)^2)/(2*Inputs!$C$32^2))+-Inputs!$C$33*EXP(-(((((Model_Data!A72)-Inputs!$C$34)^2)+(((0)-Inputs!$C$35)^2))/(2*Inputs!$C$36^2)))+Inputs!$C$37*(0.55*SIN(2*PI()*(Model_Data!A72)/Inputs!$C$39)+0.35*COS(2*PI()*(0)/Inputs!$C$40)+0.2*SIN(2*PI()*((Model_Data!A72)+(0))/(0.5*(Inputs!$C$39+Inputs!$C$40))))+Inputs!$C$38*SIN(2*PI()*(Model_Data!A72)/Inputs!$C$39)*SIN(2*PI()*(0)/Inputs!$C$40)+-Inputs!$C$41*EXP(-(((0)-Inputs!$C$43)^2)/(2*Inputs!$C$44^2))*EXP(-(((Model_Data!A72)-Inputs!$C$42)^2)/(2*Inputs!$C$45^2))+Inputs!$C$48*(0.70*(0.45*SIN(2*PI()*(((Model_Data!A72)/Inputs!$C$49)+Inputs!$C$47*0.137))+0.35*COS(2*PI()*(((0)/Inputs!$C$50)+Inputs!$C$47*0.173))+0.20*SIN(2*PI()*(((Model_Data!A72)+(0))/(0.5*(Inputs!$C$49+Inputs!$C$50))+Inputs!$C$47*0.097)))+0.30*(2*((SIN(((Model_Data!A72)*12.9898+(0)*78.233+Inputs!$C$47*37.719))*43758.5453)-INT((SIN(((Model_Data!A72)*12.9898+(0)*78.233+Inputs!$C$47*37.719))*43758.5453)))-1))))/1000)))*1000/Inputs!$C$12)-Model_Data!F72))-(-(((SQRT((Model_Data!A72)^2+Inputs!$C$6^2+(Inputs!$C$5-((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(0.45*SIN(2*PI()*(((Model_Data!A72)/Inputs!$C$49)+Inputs!$C$47*0.137))+0.35*COS(2*PI()*(((Inputs!$C$6)/Inputs!$C$50)+Inputs!$C$47*0.173))+0.20*SIN(2*PI()*(((Model_Data!A72)+(Inputs!$C$6))/(0.5*(Inputs!$C$49+Inputs!$C$50))+Inputs!$C$47*0.097)))+0.30*(2*((SIN(((Model_Data!A72)*12.9898+(Inputs!$C$6)*78.233+Inputs!$C$47*37.719))*43758.5453)-INT((SIN(((Model_Data!A72)*12.9898+(Inputs!$C$6)*78.233+Inputs!$C$47*37.719))*43758.5453)))-1))))/1000)^2)-(Inputs!$C$5-((Inputs!$C$51*(115*EXP(-(((0)-25)^2)/(4.5^2))+70*EXP(-(((0)+38)^2)/(7^2))*(0.55+0.45*SIN(2*PI()*(Model_Data!A72)/45))+24*SIN(2*PI()*(0)/9+(Model_Data!A72)/18)*EXP(-(((0)+5)^2)/(22^2))+18*SIN(2*PI()*(Model_Data!A72)/70))+Inputs!$C$28*EXP(-(((Model_Data!A72)-Inputs!$C$29)^2)/(2*Inputs!$C$31^2))*EXP(-(((0)-Inputs!$C$30)^2)/(2*Inputs!$C$32^2))+-Inputs!$C$33*EXP(-(((((Model_Data!A72)-Inputs!$C$34)^2)+(((0)-Inputs!$C$35)^2))/(2*Inputs!$C$36^2)))+Inputs!$C$37*(0.55*SIN(2*PI()*(Model_Data!A72)/Inputs!$C$39)+0.35*COS(2*PI()*(0)/Inputs!$C$40)+0.2*SIN(2*PI()*((Model_Data!A72)+(0))/(0.5*(Inputs!$C$39+Inputs!$C$40))))+Inputs!$C$38*SIN(2*PI()*(Model_Data!A72)/Inputs!$C$39)*SIN(2*PI()*(0)/Inputs!$C$40)+-Inputs!$C$41*EXP(-(((0)-Inputs!$C$43)^2)/(2*Inputs!$C$44^2))*EXP(-(((Model_Data!A72)-Inputs!$C$42)^2)/(2*Inputs!$C$45^2))+Inputs!$C$48*(0.70*(0.45*SIN(2*PI()*(((Model_Data!A72)/Inputs!$C$49)+Inputs!$C$47*0.137))+0.35*COS(2*PI()*(((0)/Inputs!$C$50)+Inputs!$C$47*0.173))+0.20*SIN(2*PI()*(((Model_Data!A72)+(0))/(0.5*(Inputs!$C$49+Inputs!$C$50))+Inputs!$C$47*0.097)))+0.30*(2*((SIN(((Model_Data!A72)*12.9898+(0)*78.233+Inputs!$C$47*37.719))*43758.5453)-INT((SIN(((Model_Data!A72)*12.9898+(0)*78.233+Inputs!$C$47*37.719))*43758.5453)))-1))))/1000))*1000/Inputs!$C$12)-((SQRT((Model_Data!A72)^2+Inputs!$C$6^2+Inputs!$C$5^2)-Inputs!$C$5)*1000/Inputs!$C$12)))</x:f>
        <x:v>0.00195705785267819</x:v>
      </x:c>
      <x:c r="X72" s="48" t="n">
        <x:f>0</x:f>
        <x:v>0</x:v>
      </x:c>
      <x:c r="Y72" s="49"/>
      <x:c r="Z72" s="48" t="n">
        <x:f>Model_Data!A72</x:f>
        <x:v>-25</x:v>
      </x:c>
      <x:c r="AA72" s="48" t="n">
        <x:f>SQRT((Model_Data!A72)^2+Inputs!$C$6^2+((Model_Data!B72)-((Inputs!$C$51*(115*EXP(-(((Inputs!$C$6)-25)^2)/(4.5^2))+70*EXP(-(((Inputs!$C$6)+38)^2)/(7^2))*(0.55+0.45*SIN(2*PI()*(Model_Data!A72)/45))+24*SIN(2*PI()*(Inputs!$C$6)/9+(Model_Data!A72)/18)*EXP(-(((Inputs!$C$6)+5)^2)/(22^2))+18*SIN(2*PI()*(Model_Data!A72)/70))+Inputs!$C$28*EXP(-(((Model_Data!A72)-Inputs!$C$29)^2)/(2*Inputs!$C$31^2))*EXP(-(((Inputs!$C$6)-Inputs!$C$30)^2)/(2*Inputs!$C$32^2))+-Inputs!$C$33*EXP(-(((((Model_Data!A72)-Inputs!$C$34)^2)+(((Inputs!$C$6)-Inputs!$C$35)^2))/(2*Inputs!$C$36^2)))+Inputs!$C$37*(0.55*SIN(2*PI()*(Model_Data!A72)/Inputs!$C$39)+0.35*COS(2*PI()*(Inputs!$C$6)/Inputs!$C$40)+0.2*SIN(2*PI()*((Model_Data!A72)+(Inputs!$C$6))/(0.5*(Inputs!$C$39+Inputs!$C$40))))+Inputs!$C$38*SIN(2*PI()*(Model_Data!A72)/Inputs!$C$39)*SIN(2*PI()*(Inputs!$C$6)/Inputs!$C$40)+-Inputs!$C$41*EXP(-(((Inputs!$C$6)-Inputs!$C$43)^2)/(2*Inputs!$C$44^2))*EXP(-(((Model_Data!A72)-Inputs!$C$42)^2)/(2*Inputs!$C$45^2))+Inputs!$C$48*(0.70*(0.45*SIN(2*PI()*(((Model_Data!A72)/Inputs!$C$49)+Inputs!$C$47*0.137))+0.35*COS(2*PI()*(((Inputs!$C$6)/Inputs!$C$50)+Inputs!$C$47*0.173))+0.20*SIN(2*PI()*(((Model_Data!A72)+(Inputs!$C$6))/(0.5*(Inputs!$C$49+Inputs!$C$50))+Inputs!$C$47*0.097)))+0.30*(2*((SIN(((Model_Data!A72)*12.9898+(Inputs!$C$6)*78.233+Inputs!$C$47*37.719))*43758.5453)-INT((SIN(((Model_Data!A72)*12.9898+(Inputs!$C$6)*78.233+Inputs!$C$47*37.719))*43758.5453)))-1))))/1000)^2)</x:f>
        <x:v>401.99194886775575</x:v>
      </x:c>
      <x:c r="AB72" s="48" t="n">
        <x:f>1000*(AA73-AA71)/(Z73-Z71)*Inputs!$C$11</x:f>
        <x:v>-489.13970857415734</x:v>
      </x:c>
      <x:c r="AC72" s="48" t="n">
        <x:f>-2*AB72/Inputs!$C$13</x:f>
        <x:v>195.65588342966294</x:v>
      </x:c>
      <x:c r="AD72" s="48" t="n">
        <x:f>-2*AB72/Inputs!$C$14</x:f>
        <x:v>29.377760274724167</x:v>
      </x:c>
    </x:row>
    <x:row r="73">
      <x:c r="A73" s="48" t="n">
        <x:f>Model_Data!A73</x:f>
        <x:v>-24.5</x:v>
      </x:c>
      <x:c r="B73" s="48" t="n">
        <x:f>Model_Data!F73</x:f>
        <x:v>857.3633017347807</x:v>
      </x:c>
      <x:c r="C73" s="48" t="n">
        <x:f>(((SQRT((Model_Data!A73)^2+Inputs!$C$6^2+((Model_Data!B73)-((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(0.45*SIN(2*PI()*(((Model_Data!A73)/Inputs!$C$49)+Inputs!$C$47*0.137))+0.35*COS(2*PI()*(((Inputs!$C$6)/Inputs!$C$50)+Inputs!$C$47*0.173))+0.20*SIN(2*PI()*(((Model_Data!A73)+(Inputs!$C$6))/(0.5*(Inputs!$C$49+Inputs!$C$50))+Inputs!$C$47*0.097)))+0.30*(2*((SIN(((Model_Data!A73)*12.9898+(Inputs!$C$6)*78.233+Inputs!$C$47*37.719))*43758.5453)-INT((SIN(((Model_Data!A73)*12.9898+(Inputs!$C$6)*78.233+Inputs!$C$47*37.719))*43758.5453)))-1))))/1000)^2))-(((Model_Data!B73)-((Inputs!$C$51*(115*EXP(-(((0)-25)^2)/(4.5^2))+70*EXP(-(((0)+38)^2)/(7^2))*(0.55+0.45*SIN(2*PI()*(Model_Data!A73)/45))+24*SIN(2*PI()*(0)/9+(Model_Data!A73)/18)*EXP(-(((0)+5)^2)/(22^2))+18*SIN(2*PI()*(Model_Data!A73)/70))+Inputs!$C$28*EXP(-(((Model_Data!A73)-Inputs!$C$29)^2)/(2*Inputs!$C$31^2))*EXP(-(((0)-Inputs!$C$30)^2)/(2*Inputs!$C$32^2))+-Inputs!$C$33*EXP(-(((((Model_Data!A73)-Inputs!$C$34)^2)+(((0)-Inputs!$C$35)^2))/(2*Inputs!$C$36^2)))+Inputs!$C$37*(0.55*SIN(2*PI()*(Model_Data!A73)/Inputs!$C$39)+0.35*COS(2*PI()*(0)/Inputs!$C$40)+0.2*SIN(2*PI()*((Model_Data!A73)+(0))/(0.5*(Inputs!$C$39+Inputs!$C$40))))+Inputs!$C$38*SIN(2*PI()*(Model_Data!A73)/Inputs!$C$39)*SIN(2*PI()*(0)/Inputs!$C$40)+-Inputs!$C$41*EXP(-(((0)-Inputs!$C$43)^2)/(2*Inputs!$C$44^2))*EXP(-(((Model_Data!A73)-Inputs!$C$42)^2)/(2*Inputs!$C$45^2))+Inputs!$C$48*(0.70*(0.45*SIN(2*PI()*(((Model_Data!A73)/Inputs!$C$49)+Inputs!$C$47*0.137))+0.35*COS(2*PI()*(((0)/Inputs!$C$50)+Inputs!$C$47*0.173))+0.20*SIN(2*PI()*(((Model_Data!A73)+(0))/(0.5*(Inputs!$C$49+Inputs!$C$50))+Inputs!$C$47*0.097)))+0.30*(2*((SIN(((Model_Data!A73)*12.9898+(0)*78.233+Inputs!$C$47*37.719))*43758.5453)-INT((SIN(((Model_Data!A73)*12.9898+(0)*78.233+Inputs!$C$47*37.719))*43758.5453)))-1))))/1000)))*1000/Inputs!$C$12)</x:f>
        <x:v>638.7904935623287</x:v>
      </x:c>
      <x:c r="D73" s="49"/>
      <x:c r="E73" s="48" t="n">
        <x:f>Model_Data!A73</x:f>
        <x:v>-24.5</x:v>
      </x:c>
      <x:c r="F73" s="48" t="n">
        <x:f>(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(0.45*SIN(2*PI()*(((Model_Data!A73)/Inputs!$C$49)+Inputs!$C$47*0.137))+0.35*COS(2*PI()*(((Inputs!$C$6)/Inputs!$C$50)+Inputs!$C$47*0.173))+0.20*SIN(2*PI()*(((Model_Data!A73)+(Inputs!$C$6))/(0.5*(Inputs!$C$49+Inputs!$C$50))+Inputs!$C$47*0.097)))+0.30*(2*((SIN(((Model_Data!A73)*12.9898+(Inputs!$C$6)*78.233+Inputs!$C$47*37.719))*43758.5453)-INT((SIN(((Model_Data!A73)*12.9898+(Inputs!$C$6)*78.233+Inputs!$C$47*37.719))*43758.5453)))-1)))</x:f>
        <x:v>276.49363528949897</x:v>
      </x:c>
      <x:c r="G73" s="48" t="n">
        <x:f>(Inputs!$C$51*(115*EXP(-(((0)-25)^2)/(4.5^2))+70*EXP(-(((0)+38)^2)/(7^2))*(0.55+0.45*SIN(2*PI()*(Model_Data!A73)/45))+24*SIN(2*PI()*(0)/9+(Model_Data!A73)/18)*EXP(-(((0)+5)^2)/(22^2))+18*SIN(2*PI()*(Model_Data!A73)/70))+Inputs!$C$28*EXP(-(((Model_Data!A73)-Inputs!$C$29)^2)/(2*Inputs!$C$31^2))*EXP(-(((0)-Inputs!$C$30)^2)/(2*Inputs!$C$32^2))+-Inputs!$C$33*EXP(-(((((Model_Data!A73)-Inputs!$C$34)^2)+(((0)-Inputs!$C$35)^2))/(2*Inputs!$C$36^2)))+Inputs!$C$37*(0.55*SIN(2*PI()*(Model_Data!A73)/Inputs!$C$39)+0.35*COS(2*PI()*(0)/Inputs!$C$40)+0.2*SIN(2*PI()*((Model_Data!A73)+(0))/(0.5*(Inputs!$C$39+Inputs!$C$40))))+Inputs!$C$38*SIN(2*PI()*(Model_Data!A73)/Inputs!$C$39)*SIN(2*PI()*(0)/Inputs!$C$40)+-Inputs!$C$41*EXP(-(((0)-Inputs!$C$43)^2)/(2*Inputs!$C$44^2))*EXP(-(((Model_Data!A73)-Inputs!$C$42)^2)/(2*Inputs!$C$45^2))+Inputs!$C$48*(0.70*(0.45*SIN(2*PI()*(((Model_Data!A73)/Inputs!$C$49)+Inputs!$C$47*0.137))+0.35*COS(2*PI()*(((0)/Inputs!$C$50)+Inputs!$C$47*0.173))+0.20*SIN(2*PI()*(((Model_Data!A73)+(0))/(0.5*(Inputs!$C$49+Inputs!$C$50))+Inputs!$C$47*0.097)))+0.30*(2*((SIN(((Model_Data!A73)*12.9898+(0)*78.233+Inputs!$C$47*37.719))*43758.5453)-INT((SIN(((Model_Data!A73)*12.9898+(0)*78.233+Inputs!$C$47*37.719))*43758.5453)))-1)))</x:f>
        <x:v>-113.61582851930044</x:v>
      </x:c>
      <x:c r="H73" s="49"/>
      <x:c r="I73" s="48" t="n">
        <x:f>Model_Data!A73</x:f>
        <x:v>-24.5</x:v>
      </x:c>
      <x:c r="J73" s="48" t="n">
        <x:f>((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(0.45*SIN(2*PI()*(((Model_Data!A73)/Inputs!$C$49)+Inputs!$C$47*0.137))+0.35*COS(2*PI()*(((Inputs!$C$6)/Inputs!$C$50)+Inputs!$C$47*0.173))+0.20*SIN(2*PI()*(((Model_Data!A73)+(Inputs!$C$6))/(0.5*(Inputs!$C$49+Inputs!$C$50))+Inputs!$C$47*0.097)))+0.30*(2*((SIN(((Model_Data!A73)*12.9898+(Inputs!$C$6)*78.233+Inputs!$C$47*37.719))*43758.5453)-INT((SIN(((Model_Data!A73)*12.9898+(Inputs!$C$6)*78.233+Inputs!$C$47*37.719))*43758.5453)))-1))))-((Inputs!$C$51*(115*EXP(-(((0)-25)^2)/(4.5^2))+70*EXP(-(((0)+38)^2)/(7^2))*(0.55+0.45*SIN(2*PI()*(Model_Data!A73)/45))+24*SIN(2*PI()*(0)/9+(Model_Data!A73)/18)*EXP(-(((0)+5)^2)/(22^2))+18*SIN(2*PI()*(Model_Data!A73)/70))+Inputs!$C$28*EXP(-(((Model_Data!A73)-Inputs!$C$29)^2)/(2*Inputs!$C$31^2))*EXP(-(((0)-Inputs!$C$30)^2)/(2*Inputs!$C$32^2))+-Inputs!$C$33*EXP(-(((((Model_Data!A73)-Inputs!$C$34)^2)+(((0)-Inputs!$C$35)^2))/(2*Inputs!$C$36^2)))+Inputs!$C$37*(0.55*SIN(2*PI()*(Model_Data!A73)/Inputs!$C$39)+0.35*COS(2*PI()*(0)/Inputs!$C$40)+0.2*SIN(2*PI()*((Model_Data!A73)+(0))/(0.5*(Inputs!$C$39+Inputs!$C$40))))+Inputs!$C$38*SIN(2*PI()*(Model_Data!A73)/Inputs!$C$39)*SIN(2*PI()*(0)/Inputs!$C$40)+-Inputs!$C$41*EXP(-(((0)-Inputs!$C$43)^2)/(2*Inputs!$C$44^2))*EXP(-(((Model_Data!A73)-Inputs!$C$42)^2)/(2*Inputs!$C$45^2))+Inputs!$C$48*(0.70*(0.45*SIN(2*PI()*(((Model_Data!A73)/Inputs!$C$49)+Inputs!$C$47*0.137))+0.35*COS(2*PI()*(((0)/Inputs!$C$50)+Inputs!$C$47*0.173))+0.20*SIN(2*PI()*(((Model_Data!A73)+(0))/(0.5*(Inputs!$C$49+Inputs!$C$50))+Inputs!$C$47*0.097)))+0.30*(2*((SIN(((Model_Data!A73)*12.9898+(0)*78.233+Inputs!$C$47*37.719))*43758.5453)-INT((SIN(((Model_Data!A73)*12.9898+(0)*78.233+Inputs!$C$47*37.719))*43758.5453)))-1))))</x:f>
        <x:v>390.10946380879943</x:v>
      </x:c>
      <x:c r="K73" s="48" t="n">
        <x:f>-((((SQRT((Model_Data!A73)^2+Inputs!$C$6^2+((Model_Data!B73)-((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(0.45*SIN(2*PI()*(((Model_Data!A73)/Inputs!$C$49)+Inputs!$C$47*0.137))+0.35*COS(2*PI()*(((Inputs!$C$6)/Inputs!$C$50)+Inputs!$C$47*0.173))+0.20*SIN(2*PI()*(((Model_Data!A73)+(Inputs!$C$6))/(0.5*(Inputs!$C$49+Inputs!$C$50))+Inputs!$C$47*0.097)))+0.30*(2*((SIN(((Model_Data!A73)*12.9898+(Inputs!$C$6)*78.233+Inputs!$C$47*37.719))*43758.5453)-INT((SIN(((Model_Data!A73)*12.9898+(Inputs!$C$6)*78.233+Inputs!$C$47*37.719))*43758.5453)))-1))))/1000)^2))-(((Model_Data!B73)-((Inputs!$C$51*(115*EXP(-(((0)-25)^2)/(4.5^2))+70*EXP(-(((0)+38)^2)/(7^2))*(0.55+0.45*SIN(2*PI()*(Model_Data!A73)/45))+24*SIN(2*PI()*(0)/9+(Model_Data!A73)/18)*EXP(-(((0)+5)^2)/(22^2))+18*SIN(2*PI()*(Model_Data!A73)/70))+Inputs!$C$28*EXP(-(((Model_Data!A73)-Inputs!$C$29)^2)/(2*Inputs!$C$31^2))*EXP(-(((0)-Inputs!$C$30)^2)/(2*Inputs!$C$32^2))+-Inputs!$C$33*EXP(-(((((Model_Data!A73)-Inputs!$C$34)^2)+(((0)-Inputs!$C$35)^2))/(2*Inputs!$C$36^2)))+Inputs!$C$37*(0.55*SIN(2*PI()*(Model_Data!A73)/Inputs!$C$39)+0.35*COS(2*PI()*(0)/Inputs!$C$40)+0.2*SIN(2*PI()*((Model_Data!A73)+(0))/(0.5*(Inputs!$C$39+Inputs!$C$40))))+Inputs!$C$38*SIN(2*PI()*(Model_Data!A73)/Inputs!$C$39)*SIN(2*PI()*(0)/Inputs!$C$40)+-Inputs!$C$41*EXP(-(((0)-Inputs!$C$43)^2)/(2*Inputs!$C$44^2))*EXP(-(((Model_Data!A73)-Inputs!$C$42)^2)/(2*Inputs!$C$45^2))+Inputs!$C$48*(0.70*(0.45*SIN(2*PI()*(((Model_Data!A73)/Inputs!$C$49)+Inputs!$C$47*0.137))+0.35*COS(2*PI()*(((0)/Inputs!$C$50)+Inputs!$C$47*0.173))+0.20*SIN(2*PI()*(((Model_Data!A73)+(0))/(0.5*(Inputs!$C$49+Inputs!$C$50))+Inputs!$C$47*0.097)))+0.30*(2*((SIN(((Model_Data!A73)*12.9898+(0)*78.233+Inputs!$C$47*37.719))*43758.5453)-INT((SIN(((Model_Data!A73)*12.9898+(0)*78.233+Inputs!$C$47*37.719))*43758.5453)))-1))))/1000)))*1000/Inputs!$C$12)-Model_Data!F73)</x:f>
        <x:v>218.57280817245203</x:v>
      </x:c>
      <x:c r="L73" s="49"/>
      <x:c r="M73" s="48" t="n">
        <x:f>Model_Data!A73</x:f>
        <x:v>-24.5</x:v>
      </x:c>
      <x:c r="N73" s="48" t="n">
        <x:f>Model_Data!P73</x:f>
        <x:v>184.2462034324345</x:v>
      </x:c>
      <x:c r="O73" s="48" t="n">
        <x:f>AC73</x:f>
        <x:v>197.55139251892615</x:v>
      </x:c>
      <x:c r="P73" s="48" t="n">
        <x:f>Model_Data!Q73</x:f>
        <x:v>27.664595109975153</x:v>
      </x:c>
      <x:c r="Q73" s="48" t="n">
        <x:f>AD73</x:f>
        <x:v>29.662371249088014</x:v>
      </x:c>
      <x:c r="R73" s="49"/>
      <x:c r="S73" s="48" t="n">
        <x:f>Model_Data!A73</x:f>
        <x:v>-24.5</x:v>
      </x:c>
      <x:c r="T73" s="48" t="n">
        <x:f>Model_Data!B73-Inputs!$C$5</x:f>
        <x:v>0.6669444444444252</x:v>
      </x:c>
      <x:c r="U73" s="49"/>
      <x:c r="V73" s="48" t="n">
        <x:f>Model_Data!A73</x:f>
        <x:v>-24.5</x:v>
      </x:c>
      <x:c r="W73" s="48" t="n">
        <x:f>(-((((SQRT((Model_Data!A73)^2+Inputs!$C$6^2+((Model_Data!B73)-((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(0.45*SIN(2*PI()*(((Model_Data!A73)/Inputs!$C$49)+Inputs!$C$47*0.137))+0.35*COS(2*PI()*(((Inputs!$C$6)/Inputs!$C$50)+Inputs!$C$47*0.173))+0.20*SIN(2*PI()*(((Model_Data!A73)+(Inputs!$C$6))/(0.5*(Inputs!$C$49+Inputs!$C$50))+Inputs!$C$47*0.097)))+0.30*(2*((SIN(((Model_Data!A73)*12.9898+(Inputs!$C$6)*78.233+Inputs!$C$47*37.719))*43758.5453)-INT((SIN(((Model_Data!A73)*12.9898+(Inputs!$C$6)*78.233+Inputs!$C$47*37.719))*43758.5453)))-1))))/1000)^2))-(((Model_Data!B73)-((Inputs!$C$51*(115*EXP(-(((0)-25)^2)/(4.5^2))+70*EXP(-(((0)+38)^2)/(7^2))*(0.55+0.45*SIN(2*PI()*(Model_Data!A73)/45))+24*SIN(2*PI()*(0)/9+(Model_Data!A73)/18)*EXP(-(((0)+5)^2)/(22^2))+18*SIN(2*PI()*(Model_Data!A73)/70))+Inputs!$C$28*EXP(-(((Model_Data!A73)-Inputs!$C$29)^2)/(2*Inputs!$C$31^2))*EXP(-(((0)-Inputs!$C$30)^2)/(2*Inputs!$C$32^2))+-Inputs!$C$33*EXP(-(((((Model_Data!A73)-Inputs!$C$34)^2)+(((0)-Inputs!$C$35)^2))/(2*Inputs!$C$36^2)))+Inputs!$C$37*(0.55*SIN(2*PI()*(Model_Data!A73)/Inputs!$C$39)+0.35*COS(2*PI()*(0)/Inputs!$C$40)+0.2*SIN(2*PI()*((Model_Data!A73)+(0))/(0.5*(Inputs!$C$39+Inputs!$C$40))))+Inputs!$C$38*SIN(2*PI()*(Model_Data!A73)/Inputs!$C$39)*SIN(2*PI()*(0)/Inputs!$C$40)+-Inputs!$C$41*EXP(-(((0)-Inputs!$C$43)^2)/(2*Inputs!$C$44^2))*EXP(-(((Model_Data!A73)-Inputs!$C$42)^2)/(2*Inputs!$C$45^2))+Inputs!$C$48*(0.70*(0.45*SIN(2*PI()*(((Model_Data!A73)/Inputs!$C$49)+Inputs!$C$47*0.137))+0.35*COS(2*PI()*(((0)/Inputs!$C$50)+Inputs!$C$47*0.173))+0.20*SIN(2*PI()*(((Model_Data!A73)+(0))/(0.5*(Inputs!$C$49+Inputs!$C$50))+Inputs!$C$47*0.097)))+0.30*(2*((SIN(((Model_Data!A73)*12.9898+(0)*78.233+Inputs!$C$47*37.719))*43758.5453)-INT((SIN(((Model_Data!A73)*12.9898+(0)*78.233+Inputs!$C$47*37.719))*43758.5453)))-1))))/1000)))*1000/Inputs!$C$12)-Model_Data!F73))-(-(((SQRT((Model_Data!A73)^2+Inputs!$C$6^2+(Inputs!$C$5-((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(0.45*SIN(2*PI()*(((Model_Data!A73)/Inputs!$C$49)+Inputs!$C$47*0.137))+0.35*COS(2*PI()*(((Inputs!$C$6)/Inputs!$C$50)+Inputs!$C$47*0.173))+0.20*SIN(2*PI()*(((Model_Data!A73)+(Inputs!$C$6))/(0.5*(Inputs!$C$49+Inputs!$C$50))+Inputs!$C$47*0.097)))+0.30*(2*((SIN(((Model_Data!A73)*12.9898+(Inputs!$C$6)*78.233+Inputs!$C$47*37.719))*43758.5453)-INT((SIN(((Model_Data!A73)*12.9898+(Inputs!$C$6)*78.233+Inputs!$C$47*37.719))*43758.5453)))-1))))/1000)^2)-(Inputs!$C$5-((Inputs!$C$51*(115*EXP(-(((0)-25)^2)/(4.5^2))+70*EXP(-(((0)+38)^2)/(7^2))*(0.55+0.45*SIN(2*PI()*(Model_Data!A73)/45))+24*SIN(2*PI()*(0)/9+(Model_Data!A73)/18)*EXP(-(((0)+5)^2)/(22^2))+18*SIN(2*PI()*(Model_Data!A73)/70))+Inputs!$C$28*EXP(-(((Model_Data!A73)-Inputs!$C$29)^2)/(2*Inputs!$C$31^2))*EXP(-(((0)-Inputs!$C$30)^2)/(2*Inputs!$C$32^2))+-Inputs!$C$33*EXP(-(((((Model_Data!A73)-Inputs!$C$34)^2)+(((0)-Inputs!$C$35)^2))/(2*Inputs!$C$36^2)))+Inputs!$C$37*(0.55*SIN(2*PI()*(Model_Data!A73)/Inputs!$C$39)+0.35*COS(2*PI()*(0)/Inputs!$C$40)+0.2*SIN(2*PI()*((Model_Data!A73)+(0))/(0.5*(Inputs!$C$39+Inputs!$C$40))))+Inputs!$C$38*SIN(2*PI()*(Model_Data!A73)/Inputs!$C$39)*SIN(2*PI()*(0)/Inputs!$C$40)+-Inputs!$C$41*EXP(-(((0)-Inputs!$C$43)^2)/(2*Inputs!$C$44^2))*EXP(-(((Model_Data!A73)-Inputs!$C$42)^2)/(2*Inputs!$C$45^2))+Inputs!$C$48*(0.70*(0.45*SIN(2*PI()*(((Model_Data!A73)/Inputs!$C$49)+Inputs!$C$47*0.137))+0.35*COS(2*PI()*(((0)/Inputs!$C$50)+Inputs!$C$47*0.173))+0.20*SIN(2*PI()*(((Model_Data!A73)+(0))/(0.5*(Inputs!$C$49+Inputs!$C$50))+Inputs!$C$47*0.097)))+0.30*(2*((SIN(((Model_Data!A73)*12.9898+(0)*78.233+Inputs!$C$47*37.719))*43758.5453)-INT((SIN(((Model_Data!A73)*12.9898+(0)*78.233+Inputs!$C$47*37.719))*43758.5453)))-1))))/1000))*1000/Inputs!$C$12)-((SQRT((Model_Data!A73)^2+Inputs!$C$6^2+Inputs!$C$5^2)-Inputs!$C$5)*1000/Inputs!$C$12)))</x:f>
        <x:v>0.00195794148044115</x:v>
      </x:c>
      <x:c r="X73" s="48" t="n">
        <x:f>0</x:f>
        <x:v>0</x:v>
      </x:c>
      <x:c r="Y73" s="49"/>
      <x:c r="Z73" s="48" t="n">
        <x:f>Model_Data!A73</x:f>
        <x:v>-24.5</x:v>
      </x:c>
      <x:c r="AA73" s="48" t="n">
        <x:f>SQRT((Model_Data!A73)^2+Inputs!$C$6^2+((Model_Data!B73)-((Inputs!$C$51*(115*EXP(-(((Inputs!$C$6)-25)^2)/(4.5^2))+70*EXP(-(((Inputs!$C$6)+38)^2)/(7^2))*(0.55+0.45*SIN(2*PI()*(Model_Data!A73)/45))+24*SIN(2*PI()*(Inputs!$C$6)/9+(Model_Data!A73)/18)*EXP(-(((Inputs!$C$6)+5)^2)/(22^2))+18*SIN(2*PI()*(Model_Data!A73)/70))+Inputs!$C$28*EXP(-(((Model_Data!A73)-Inputs!$C$29)^2)/(2*Inputs!$C$31^2))*EXP(-(((Inputs!$C$6)-Inputs!$C$30)^2)/(2*Inputs!$C$32^2))+-Inputs!$C$33*EXP(-(((((Model_Data!A73)-Inputs!$C$34)^2)+(((Inputs!$C$6)-Inputs!$C$35)^2))/(2*Inputs!$C$36^2)))+Inputs!$C$37*(0.55*SIN(2*PI()*(Model_Data!A73)/Inputs!$C$39)+0.35*COS(2*PI()*(Inputs!$C$6)/Inputs!$C$40)+0.2*SIN(2*PI()*((Model_Data!A73)+(Inputs!$C$6))/(0.5*(Inputs!$C$39+Inputs!$C$40))))+Inputs!$C$38*SIN(2*PI()*(Model_Data!A73)/Inputs!$C$39)*SIN(2*PI()*(Inputs!$C$6)/Inputs!$C$40)+-Inputs!$C$41*EXP(-(((Inputs!$C$6)-Inputs!$C$43)^2)/(2*Inputs!$C$44^2))*EXP(-(((Model_Data!A73)-Inputs!$C$42)^2)/(2*Inputs!$C$45^2))+Inputs!$C$48*(0.70*(0.45*SIN(2*PI()*(((Model_Data!A73)/Inputs!$C$49)+Inputs!$C$47*0.137))+0.35*COS(2*PI()*(((Inputs!$C$6)/Inputs!$C$50)+Inputs!$C$47*0.173))+0.20*SIN(2*PI()*(((Model_Data!A73)+(Inputs!$C$6))/(0.5*(Inputs!$C$49+Inputs!$C$50))+Inputs!$C$47*0.097)))+0.30*(2*((SIN(((Model_Data!A73)*12.9898+(Inputs!$C$6)*78.233+Inputs!$C$47*37.719))*43758.5453)-INT((SIN(((Model_Data!A73)*12.9898+(Inputs!$C$6)*78.233+Inputs!$C$47*37.719))*43758.5453)))-1))))/1000)^2)</x:f>
        <x:v>401.91760735150467</x:v>
      </x:c>
      <x:c r="AB73" s="48" t="n">
        <x:f>1000*(AA74-AA72)/(Z74-Z72)*Inputs!$C$11</x:f>
        <x:v>-493.8784812973154</x:v>
      </x:c>
      <x:c r="AC73" s="48" t="n">
        <x:f>-2*AB73/Inputs!$C$13</x:f>
        <x:v>197.55139251892615</x:v>
      </x:c>
      <x:c r="AD73" s="48" t="n">
        <x:f>-2*AB73/Inputs!$C$14</x:f>
        <x:v>29.662371249088014</x:v>
      </x:c>
    </x:row>
    <x:row r="74">
      <x:c r="A74" s="48" t="n">
        <x:f>Model_Data!A74</x:f>
        <x:v>-24</x:v>
      </x:c>
      <x:c r="B74" s="48" t="n">
        <x:f>Model_Data!F74</x:f>
        <x:v>840.482341149787</x:v>
      </x:c>
      <x:c r="C74" s="48" t="n">
        <x:f>(((SQRT((Model_Data!A74)^2+Inputs!$C$6^2+((Model_Data!B74)-((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(0.45*SIN(2*PI()*(((Model_Data!A74)/Inputs!$C$49)+Inputs!$C$47*0.137))+0.35*COS(2*PI()*(((Inputs!$C$6)/Inputs!$C$50)+Inputs!$C$47*0.173))+0.20*SIN(2*PI()*(((Model_Data!A74)+(Inputs!$C$6))/(0.5*(Inputs!$C$49+Inputs!$C$50))+Inputs!$C$47*0.097)))+0.30*(2*((SIN(((Model_Data!A74)*12.9898+(Inputs!$C$6)*78.233+Inputs!$C$47*37.719))*43758.5453)-INT((SIN(((Model_Data!A74)*12.9898+(Inputs!$C$6)*78.233+Inputs!$C$47*37.719))*43758.5453)))-1))))/1000)^2))-(((Model_Data!B74)-((Inputs!$C$51*(115*EXP(-(((0)-25)^2)/(4.5^2))+70*EXP(-(((0)+38)^2)/(7^2))*(0.55+0.45*SIN(2*PI()*(Model_Data!A74)/45))+24*SIN(2*PI()*(0)/9+(Model_Data!A74)/18)*EXP(-(((0)+5)^2)/(22^2))+18*SIN(2*PI()*(Model_Data!A74)/70))+Inputs!$C$28*EXP(-(((Model_Data!A74)-Inputs!$C$29)^2)/(2*Inputs!$C$31^2))*EXP(-(((0)-Inputs!$C$30)^2)/(2*Inputs!$C$32^2))+-Inputs!$C$33*EXP(-(((((Model_Data!A74)-Inputs!$C$34)^2)+(((0)-Inputs!$C$35)^2))/(2*Inputs!$C$36^2)))+Inputs!$C$37*(0.55*SIN(2*PI()*(Model_Data!A74)/Inputs!$C$39)+0.35*COS(2*PI()*(0)/Inputs!$C$40)+0.2*SIN(2*PI()*((Model_Data!A74)+(0))/(0.5*(Inputs!$C$39+Inputs!$C$40))))+Inputs!$C$38*SIN(2*PI()*(Model_Data!A74)/Inputs!$C$39)*SIN(2*PI()*(0)/Inputs!$C$40)+-Inputs!$C$41*EXP(-(((0)-Inputs!$C$43)^2)/(2*Inputs!$C$44^2))*EXP(-(((Model_Data!A74)-Inputs!$C$42)^2)/(2*Inputs!$C$45^2))+Inputs!$C$48*(0.70*(0.45*SIN(2*PI()*(((Model_Data!A74)/Inputs!$C$49)+Inputs!$C$47*0.137))+0.35*COS(2*PI()*(((0)/Inputs!$C$50)+Inputs!$C$47*0.173))+0.20*SIN(2*PI()*(((Model_Data!A74)+(0))/(0.5*(Inputs!$C$49+Inputs!$C$50))+Inputs!$C$47*0.097)))+0.30*(2*((SIN(((Model_Data!A74)*12.9898+(0)*78.233+Inputs!$C$47*37.719))*43758.5453)-INT((SIN(((Model_Data!A74)*12.9898+(0)*78.233+Inputs!$C$47*37.719))*43758.5453)))-1))))/1000)))*1000/Inputs!$C$12)</x:f>
        <x:v>627.5228710810705</x:v>
      </x:c>
      <x:c r="D74" s="49"/>
      <x:c r="E74" s="48" t="n">
        <x:f>Model_Data!A74</x:f>
        <x:v>-24</x:v>
      </x:c>
      <x:c r="F74" s="48" t="n">
        <x:f>(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(0.45*SIN(2*PI()*(((Model_Data!A74)/Inputs!$C$49)+Inputs!$C$47*0.137))+0.35*COS(2*PI()*(((Inputs!$C$6)/Inputs!$C$50)+Inputs!$C$47*0.173))+0.20*SIN(2*PI()*(((Model_Data!A74)+(Inputs!$C$6))/(0.5*(Inputs!$C$49+Inputs!$C$50))+Inputs!$C$47*0.097)))+0.30*(2*((SIN(((Model_Data!A74)*12.9898+(Inputs!$C$6)*78.233+Inputs!$C$47*37.719))*43758.5453)-INT((SIN(((Model_Data!A74)*12.9898+(Inputs!$C$6)*78.233+Inputs!$C$47*37.719))*43758.5453)))-1)))</x:f>
        <x:v>268.5791759815676</x:v>
      </x:c>
      <x:c r="G74" s="48" t="n">
        <x:f>(Inputs!$C$51*(115*EXP(-(((0)-25)^2)/(4.5^2))+70*EXP(-(((0)+38)^2)/(7^2))*(0.55+0.45*SIN(2*PI()*(Model_Data!A74)/45))+24*SIN(2*PI()*(0)/9+(Model_Data!A74)/18)*EXP(-(((0)+5)^2)/(22^2))+18*SIN(2*PI()*(Model_Data!A74)/70))+Inputs!$C$28*EXP(-(((Model_Data!A74)-Inputs!$C$29)^2)/(2*Inputs!$C$31^2))*EXP(-(((0)-Inputs!$C$30)^2)/(2*Inputs!$C$32^2))+-Inputs!$C$33*EXP(-(((((Model_Data!A74)-Inputs!$C$34)^2)+(((0)-Inputs!$C$35)^2))/(2*Inputs!$C$36^2)))+Inputs!$C$37*(0.55*SIN(2*PI()*(Model_Data!A74)/Inputs!$C$39)+0.35*COS(2*PI()*(0)/Inputs!$C$40)+0.2*SIN(2*PI()*((Model_Data!A74)+(0))/(0.5*(Inputs!$C$39+Inputs!$C$40))))+Inputs!$C$38*SIN(2*PI()*(Model_Data!A74)/Inputs!$C$39)*SIN(2*PI()*(0)/Inputs!$C$40)+-Inputs!$C$41*EXP(-(((0)-Inputs!$C$43)^2)/(2*Inputs!$C$44^2))*EXP(-(((Model_Data!A74)-Inputs!$C$42)^2)/(2*Inputs!$C$45^2))+Inputs!$C$48*(0.70*(0.45*SIN(2*PI()*(((Model_Data!A74)/Inputs!$C$49)+Inputs!$C$47*0.137))+0.35*COS(2*PI()*(((0)/Inputs!$C$50)+Inputs!$C$47*0.173))+0.20*SIN(2*PI()*(((Model_Data!A74)+(0))/(0.5*(Inputs!$C$49+Inputs!$C$50))+Inputs!$C$47*0.097)))+0.30*(2*((SIN(((Model_Data!A74)*12.9898+(0)*78.233+Inputs!$C$47*37.719))*43758.5453)-INT((SIN(((Model_Data!A74)*12.9898+(0)*78.233+Inputs!$C$47*37.719))*43758.5453)))-1)))</x:f>
        <x:v>-111.48853690711687</x:v>
      </x:c>
      <x:c r="H74" s="49"/>
      <x:c r="I74" s="48" t="n">
        <x:f>Model_Data!A74</x:f>
        <x:v>-24</x:v>
      </x:c>
      <x:c r="J74" s="48" t="n">
        <x:f>((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(0.45*SIN(2*PI()*(((Model_Data!A74)/Inputs!$C$49)+Inputs!$C$47*0.137))+0.35*COS(2*PI()*(((Inputs!$C$6)/Inputs!$C$50)+Inputs!$C$47*0.173))+0.20*SIN(2*PI()*(((Model_Data!A74)+(Inputs!$C$6))/(0.5*(Inputs!$C$49+Inputs!$C$50))+Inputs!$C$47*0.097)))+0.30*(2*((SIN(((Model_Data!A74)*12.9898+(Inputs!$C$6)*78.233+Inputs!$C$47*37.719))*43758.5453)-INT((SIN(((Model_Data!A74)*12.9898+(Inputs!$C$6)*78.233+Inputs!$C$47*37.719))*43758.5453)))-1))))-((Inputs!$C$51*(115*EXP(-(((0)-25)^2)/(4.5^2))+70*EXP(-(((0)+38)^2)/(7^2))*(0.55+0.45*SIN(2*PI()*(Model_Data!A74)/45))+24*SIN(2*PI()*(0)/9+(Model_Data!A74)/18)*EXP(-(((0)+5)^2)/(22^2))+18*SIN(2*PI()*(Model_Data!A74)/70))+Inputs!$C$28*EXP(-(((Model_Data!A74)-Inputs!$C$29)^2)/(2*Inputs!$C$31^2))*EXP(-(((0)-Inputs!$C$30)^2)/(2*Inputs!$C$32^2))+-Inputs!$C$33*EXP(-(((((Model_Data!A74)-Inputs!$C$34)^2)+(((0)-Inputs!$C$35)^2))/(2*Inputs!$C$36^2)))+Inputs!$C$37*(0.55*SIN(2*PI()*(Model_Data!A74)/Inputs!$C$39)+0.35*COS(2*PI()*(0)/Inputs!$C$40)+0.2*SIN(2*PI()*((Model_Data!A74)+(0))/(0.5*(Inputs!$C$39+Inputs!$C$40))))+Inputs!$C$38*SIN(2*PI()*(Model_Data!A74)/Inputs!$C$39)*SIN(2*PI()*(0)/Inputs!$C$40)+-Inputs!$C$41*EXP(-(((0)-Inputs!$C$43)^2)/(2*Inputs!$C$44^2))*EXP(-(((Model_Data!A74)-Inputs!$C$42)^2)/(2*Inputs!$C$45^2))+Inputs!$C$48*(0.70*(0.45*SIN(2*PI()*(((Model_Data!A74)/Inputs!$C$49)+Inputs!$C$47*0.137))+0.35*COS(2*PI()*(((0)/Inputs!$C$50)+Inputs!$C$47*0.173))+0.20*SIN(2*PI()*(((Model_Data!A74)+(0))/(0.5*(Inputs!$C$49+Inputs!$C$50))+Inputs!$C$47*0.097)))+0.30*(2*((SIN(((Model_Data!A74)*12.9898+(0)*78.233+Inputs!$C$47*37.719))*43758.5453)-INT((SIN(((Model_Data!A74)*12.9898+(0)*78.233+Inputs!$C$47*37.719))*43758.5453)))-1))))</x:f>
        <x:v>380.06771288868447</x:v>
      </x:c>
      <x:c r="K74" s="48" t="n">
        <x:f>-((((SQRT((Model_Data!A74)^2+Inputs!$C$6^2+((Model_Data!B74)-((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(0.45*SIN(2*PI()*(((Model_Data!A74)/Inputs!$C$49)+Inputs!$C$47*0.137))+0.35*COS(2*PI()*(((Inputs!$C$6)/Inputs!$C$50)+Inputs!$C$47*0.173))+0.20*SIN(2*PI()*(((Model_Data!A74)+(Inputs!$C$6))/(0.5*(Inputs!$C$49+Inputs!$C$50))+Inputs!$C$47*0.097)))+0.30*(2*((SIN(((Model_Data!A74)*12.9898+(Inputs!$C$6)*78.233+Inputs!$C$47*37.719))*43758.5453)-INT((SIN(((Model_Data!A74)*12.9898+(Inputs!$C$6)*78.233+Inputs!$C$47*37.719))*43758.5453)))-1))))/1000)^2))-(((Model_Data!B74)-((Inputs!$C$51*(115*EXP(-(((0)-25)^2)/(4.5^2))+70*EXP(-(((0)+38)^2)/(7^2))*(0.55+0.45*SIN(2*PI()*(Model_Data!A74)/45))+24*SIN(2*PI()*(0)/9+(Model_Data!A74)/18)*EXP(-(((0)+5)^2)/(22^2))+18*SIN(2*PI()*(Model_Data!A74)/70))+Inputs!$C$28*EXP(-(((Model_Data!A74)-Inputs!$C$29)^2)/(2*Inputs!$C$31^2))*EXP(-(((0)-Inputs!$C$30)^2)/(2*Inputs!$C$32^2))+-Inputs!$C$33*EXP(-(((((Model_Data!A74)-Inputs!$C$34)^2)+(((0)-Inputs!$C$35)^2))/(2*Inputs!$C$36^2)))+Inputs!$C$37*(0.55*SIN(2*PI()*(Model_Data!A74)/Inputs!$C$39)+0.35*COS(2*PI()*(0)/Inputs!$C$40)+0.2*SIN(2*PI()*((Model_Data!A74)+(0))/(0.5*(Inputs!$C$39+Inputs!$C$40))))+Inputs!$C$38*SIN(2*PI()*(Model_Data!A74)/Inputs!$C$39)*SIN(2*PI()*(0)/Inputs!$C$40)+-Inputs!$C$41*EXP(-(((0)-Inputs!$C$43)^2)/(2*Inputs!$C$44^2))*EXP(-(((Model_Data!A74)-Inputs!$C$42)^2)/(2*Inputs!$C$45^2))+Inputs!$C$48*(0.70*(0.45*SIN(2*PI()*(((Model_Data!A74)/Inputs!$C$49)+Inputs!$C$47*0.137))+0.35*COS(2*PI()*(((0)/Inputs!$C$50)+Inputs!$C$47*0.173))+0.20*SIN(2*PI()*(((Model_Data!A74)+(0))/(0.5*(Inputs!$C$49+Inputs!$C$50))+Inputs!$C$47*0.097)))+0.30*(2*((SIN(((Model_Data!A74)*12.9898+(0)*78.233+Inputs!$C$47*37.719))*43758.5453)-INT((SIN(((Model_Data!A74)*12.9898+(0)*78.233+Inputs!$C$47*37.719))*43758.5453)))-1))))/1000)))*1000/Inputs!$C$12)-Model_Data!F74)</x:f>
        <x:v>212.95947006871643</x:v>
      </x:c>
      <x:c r="L74" s="49"/>
      <x:c r="M74" s="48" t="n">
        <x:f>Model_Data!A74</x:f>
        <x:v>-24</x:v>
      </x:c>
      <x:c r="N74" s="48" t="n">
        <x:f>Model_Data!P74</x:f>
        <x:v>180.5059385256004</x:v>
      </x:c>
      <x:c r="O74" s="48" t="n">
        <x:f>AC74</x:f>
        <x:v>176.49125140796968</x:v>
      </x:c>
      <x:c r="P74" s="48" t="n">
        <x:f>Model_Data!Q74</x:f>
        <x:v>27.102993772612678</x:v>
      </x:c>
      <x:c r="Q74" s="48" t="n">
        <x:f>AD74</x:f>
        <x:v>26.50018789909455</x:v>
      </x:c>
      <x:c r="R74" s="49"/>
      <x:c r="S74" s="48" t="n">
        <x:f>Model_Data!A74</x:f>
        <x:v>-24</x:v>
      </x:c>
      <x:c r="T74" s="48" t="n">
        <x:f>Model_Data!B74-Inputs!$C$5</x:f>
        <x:v>0.6399999999999864</x:v>
      </x:c>
      <x:c r="U74" s="49"/>
      <x:c r="V74" s="48" t="n">
        <x:f>Model_Data!A74</x:f>
        <x:v>-24</x:v>
      </x:c>
      <x:c r="W74" s="48" t="n">
        <x:f>(-((((SQRT((Model_Data!A74)^2+Inputs!$C$6^2+((Model_Data!B74)-((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(0.45*SIN(2*PI()*(((Model_Data!A74)/Inputs!$C$49)+Inputs!$C$47*0.137))+0.35*COS(2*PI()*(((Inputs!$C$6)/Inputs!$C$50)+Inputs!$C$47*0.173))+0.20*SIN(2*PI()*(((Model_Data!A74)+(Inputs!$C$6))/(0.5*(Inputs!$C$49+Inputs!$C$50))+Inputs!$C$47*0.097)))+0.30*(2*((SIN(((Model_Data!A74)*12.9898+(Inputs!$C$6)*78.233+Inputs!$C$47*37.719))*43758.5453)-INT((SIN(((Model_Data!A74)*12.9898+(Inputs!$C$6)*78.233+Inputs!$C$47*37.719))*43758.5453)))-1))))/1000)^2))-(((Model_Data!B74)-((Inputs!$C$51*(115*EXP(-(((0)-25)^2)/(4.5^2))+70*EXP(-(((0)+38)^2)/(7^2))*(0.55+0.45*SIN(2*PI()*(Model_Data!A74)/45))+24*SIN(2*PI()*(0)/9+(Model_Data!A74)/18)*EXP(-(((0)+5)^2)/(22^2))+18*SIN(2*PI()*(Model_Data!A74)/70))+Inputs!$C$28*EXP(-(((Model_Data!A74)-Inputs!$C$29)^2)/(2*Inputs!$C$31^2))*EXP(-(((0)-Inputs!$C$30)^2)/(2*Inputs!$C$32^2))+-Inputs!$C$33*EXP(-(((((Model_Data!A74)-Inputs!$C$34)^2)+(((0)-Inputs!$C$35)^2))/(2*Inputs!$C$36^2)))+Inputs!$C$37*(0.55*SIN(2*PI()*(Model_Data!A74)/Inputs!$C$39)+0.35*COS(2*PI()*(0)/Inputs!$C$40)+0.2*SIN(2*PI()*((Model_Data!A74)+(0))/(0.5*(Inputs!$C$39+Inputs!$C$40))))+Inputs!$C$38*SIN(2*PI()*(Model_Data!A74)/Inputs!$C$39)*SIN(2*PI()*(0)/Inputs!$C$40)+-Inputs!$C$41*EXP(-(((0)-Inputs!$C$43)^2)/(2*Inputs!$C$44^2))*EXP(-(((Model_Data!A74)-Inputs!$C$42)^2)/(2*Inputs!$C$45^2))+Inputs!$C$48*(0.70*(0.45*SIN(2*PI()*(((Model_Data!A74)/Inputs!$C$49)+Inputs!$C$47*0.137))+0.35*COS(2*PI()*(((0)/Inputs!$C$50)+Inputs!$C$47*0.173))+0.20*SIN(2*PI()*(((Model_Data!A74)+(0))/(0.5*(Inputs!$C$49+Inputs!$C$50))+Inputs!$C$47*0.097)))+0.30*(2*((SIN(((Model_Data!A74)*12.9898+(0)*78.233+Inputs!$C$47*37.719))*43758.5453)-INT((SIN(((Model_Data!A74)*12.9898+(0)*78.233+Inputs!$C$47*37.719))*43758.5453)))-1))))/1000)))*1000/Inputs!$C$12)-Model_Data!F74))-(-(((SQRT((Model_Data!A74)^2+Inputs!$C$6^2+(Inputs!$C$5-((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(0.45*SIN(2*PI()*(((Model_Data!A74)/Inputs!$C$49)+Inputs!$C$47*0.137))+0.35*COS(2*PI()*(((Inputs!$C$6)/Inputs!$C$50)+Inputs!$C$47*0.173))+0.20*SIN(2*PI()*(((Model_Data!A74)+(Inputs!$C$6))/(0.5*(Inputs!$C$49+Inputs!$C$50))+Inputs!$C$47*0.097)))+0.30*(2*((SIN(((Model_Data!A74)*12.9898+(Inputs!$C$6)*78.233+Inputs!$C$47*37.719))*43758.5453)-INT((SIN(((Model_Data!A74)*12.9898+(Inputs!$C$6)*78.233+Inputs!$C$47*37.719))*43758.5453)))-1))))/1000)^2)-(Inputs!$C$5-((Inputs!$C$51*(115*EXP(-(((0)-25)^2)/(4.5^2))+70*EXP(-(((0)+38)^2)/(7^2))*(0.55+0.45*SIN(2*PI()*(Model_Data!A74)/45))+24*SIN(2*PI()*(0)/9+(Model_Data!A74)/18)*EXP(-(((0)+5)^2)/(22^2))+18*SIN(2*PI()*(Model_Data!A74)/70))+Inputs!$C$28*EXP(-(((Model_Data!A74)-Inputs!$C$29)^2)/(2*Inputs!$C$31^2))*EXP(-(((0)-Inputs!$C$30)^2)/(2*Inputs!$C$32^2))+-Inputs!$C$33*EXP(-(((((Model_Data!A74)-Inputs!$C$34)^2)+(((0)-Inputs!$C$35)^2))/(2*Inputs!$C$36^2)))+Inputs!$C$37*(0.55*SIN(2*PI()*(Model_Data!A74)/Inputs!$C$39)+0.35*COS(2*PI()*(0)/Inputs!$C$40)+0.2*SIN(2*PI()*((Model_Data!A74)+(0))/(0.5*(Inputs!$C$39+Inputs!$C$40))))+Inputs!$C$38*SIN(2*PI()*(Model_Data!A74)/Inputs!$C$39)*SIN(2*PI()*(0)/Inputs!$C$40)+-Inputs!$C$41*EXP(-(((0)-Inputs!$C$43)^2)/(2*Inputs!$C$44^2))*EXP(-(((Model_Data!A74)-Inputs!$C$42)^2)/(2*Inputs!$C$45^2))+Inputs!$C$48*(0.70*(0.45*SIN(2*PI()*(((Model_Data!A74)/Inputs!$C$49)+Inputs!$C$47*0.137))+0.35*COS(2*PI()*(((0)/Inputs!$C$50)+Inputs!$C$47*0.173))+0.20*SIN(2*PI()*(((Model_Data!A74)+(0))/(0.5*(Inputs!$C$49+Inputs!$C$50))+Inputs!$C$47*0.097)))+0.30*(2*((SIN(((Model_Data!A74)*12.9898+(0)*78.233+Inputs!$C$47*37.719))*43758.5453)-INT((SIN(((Model_Data!A74)*12.9898+(0)*78.233+Inputs!$C$47*37.719))*43758.5453)))-1))))/1000))*1000/Inputs!$C$12)-((SQRT((Model_Data!A74)^2+Inputs!$C$6^2+Inputs!$C$5^2)-Inputs!$C$5)*1000/Inputs!$C$12)))</x:f>
        <x:v>0.0017894687319994773</x:v>
      </x:c>
      <x:c r="X74" s="48" t="n">
        <x:f>0</x:f>
        <x:v>0</x:v>
      </x:c>
      <x:c r="Y74" s="49"/>
      <x:c r="Z74" s="48" t="n">
        <x:f>Model_Data!A74</x:f>
        <x:v>-24</x:v>
      </x:c>
      <x:c r="AA74" s="48" t="n">
        <x:f>SQRT((Model_Data!A74)^2+Inputs!$C$6^2+((Model_Data!B74)-((Inputs!$C$51*(115*EXP(-(((Inputs!$C$6)-25)^2)/(4.5^2))+70*EXP(-(((Inputs!$C$6)+38)^2)/(7^2))*(0.55+0.45*SIN(2*PI()*(Model_Data!A74)/45))+24*SIN(2*PI()*(Inputs!$C$6)/9+(Model_Data!A74)/18)*EXP(-(((Inputs!$C$6)+5)^2)/(22^2))+18*SIN(2*PI()*(Model_Data!A74)/70))+Inputs!$C$28*EXP(-(((Model_Data!A74)-Inputs!$C$29)^2)/(2*Inputs!$C$31^2))*EXP(-(((Inputs!$C$6)-Inputs!$C$30)^2)/(2*Inputs!$C$32^2))+-Inputs!$C$33*EXP(-(((((Model_Data!A74)-Inputs!$C$34)^2)+(((Inputs!$C$6)-Inputs!$C$35)^2))/(2*Inputs!$C$36^2)))+Inputs!$C$37*(0.55*SIN(2*PI()*(Model_Data!A74)/Inputs!$C$39)+0.35*COS(2*PI()*(Inputs!$C$6)/Inputs!$C$40)+0.2*SIN(2*PI()*((Model_Data!A74)+(Inputs!$C$6))/(0.5*(Inputs!$C$39+Inputs!$C$40))))+Inputs!$C$38*SIN(2*PI()*(Model_Data!A74)/Inputs!$C$39)*SIN(2*PI()*(Inputs!$C$6)/Inputs!$C$40)+-Inputs!$C$41*EXP(-(((Inputs!$C$6)-Inputs!$C$43)^2)/(2*Inputs!$C$44^2))*EXP(-(((Model_Data!A74)-Inputs!$C$42)^2)/(2*Inputs!$C$45^2))+Inputs!$C$48*(0.70*(0.45*SIN(2*PI()*(((Model_Data!A74)/Inputs!$C$49)+Inputs!$C$47*0.137))+0.35*COS(2*PI()*(((Inputs!$C$6)/Inputs!$C$50)+Inputs!$C$47*0.173))+0.20*SIN(2*PI()*(((Model_Data!A74)+(Inputs!$C$6))/(0.5*(Inputs!$C$49+Inputs!$C$50))+Inputs!$C$47*0.097)))+0.30*(2*((SIN(((Model_Data!A74)*12.9898+(Inputs!$C$6)*78.233+Inputs!$C$47*37.719))*43758.5453)-INT((SIN(((Model_Data!A74)*12.9898+(Inputs!$C$6)*78.233+Inputs!$C$47*37.719))*43758.5453)))-1))))/1000)^2)</x:f>
        <x:v>401.8684792474314</x:v>
      </x:c>
      <x:c r="AB74" s="48" t="n">
        <x:f>1000*(AA75-AA73)/(Z75-Z73)*Inputs!$C$11</x:f>
        <x:v>-441.2281285199242</x:v>
      </x:c>
      <x:c r="AC74" s="48" t="n">
        <x:f>-2*AB74/Inputs!$C$13</x:f>
        <x:v>176.49125140796968</x:v>
      </x:c>
      <x:c r="AD74" s="48" t="n">
        <x:f>-2*AB74/Inputs!$C$14</x:f>
        <x:v>26.50018789909455</x:v>
      </x:c>
    </x:row>
    <x:row r="75">
      <x:c r="A75" s="48" t="n">
        <x:f>Model_Data!A75</x:f>
        <x:v>-23.5</x:v>
      </x:c>
      <x:c r="B75" s="48" t="n">
        <x:f>Model_Data!F75</x:f>
        <x:v>823.9460258329628</x:v>
      </x:c>
      <x:c r="C75" s="48" t="n">
        <x:f>(((SQRT((Model_Data!A75)^2+Inputs!$C$6^2+((Model_Data!B75)-((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(0.45*SIN(2*PI()*(((Model_Data!A75)/Inputs!$C$49)+Inputs!$C$47*0.137))+0.35*COS(2*PI()*(((Inputs!$C$6)/Inputs!$C$50)+Inputs!$C$47*0.173))+0.20*SIN(2*PI()*(((Model_Data!A75)+(Inputs!$C$6))/(0.5*(Inputs!$C$49+Inputs!$C$50))+Inputs!$C$47*0.097)))+0.30*(2*((SIN(((Model_Data!A75)*12.9898+(Inputs!$C$6)*78.233+Inputs!$C$47*37.719))*43758.5453)-INT((SIN(((Model_Data!A75)*12.9898+(Inputs!$C$6)*78.233+Inputs!$C$47*37.719))*43758.5453)))-1))))/1000)^2))-(((Model_Data!B75)-((Inputs!$C$51*(115*EXP(-(((0)-25)^2)/(4.5^2))+70*EXP(-(((0)+38)^2)/(7^2))*(0.55+0.45*SIN(2*PI()*(Model_Data!A75)/45))+24*SIN(2*PI()*(0)/9+(Model_Data!A75)/18)*EXP(-(((0)+5)^2)/(22^2))+18*SIN(2*PI()*(Model_Data!A75)/70))+Inputs!$C$28*EXP(-(((Model_Data!A75)-Inputs!$C$29)^2)/(2*Inputs!$C$31^2))*EXP(-(((0)-Inputs!$C$30)^2)/(2*Inputs!$C$32^2))+-Inputs!$C$33*EXP(-(((((Model_Data!A75)-Inputs!$C$34)^2)+(((0)-Inputs!$C$35)^2))/(2*Inputs!$C$36^2)))+Inputs!$C$37*(0.55*SIN(2*PI()*(Model_Data!A75)/Inputs!$C$39)+0.35*COS(2*PI()*(0)/Inputs!$C$40)+0.2*SIN(2*PI()*((Model_Data!A75)+(0))/(0.5*(Inputs!$C$39+Inputs!$C$40))))+Inputs!$C$38*SIN(2*PI()*(Model_Data!A75)/Inputs!$C$39)*SIN(2*PI()*(0)/Inputs!$C$40)+-Inputs!$C$41*EXP(-(((0)-Inputs!$C$43)^2)/(2*Inputs!$C$44^2))*EXP(-(((Model_Data!A75)-Inputs!$C$42)^2)/(2*Inputs!$C$45^2))+Inputs!$C$48*(0.70*(0.45*SIN(2*PI()*(((Model_Data!A75)/Inputs!$C$49)+Inputs!$C$47*0.137))+0.35*COS(2*PI()*(((0)/Inputs!$C$50)+Inputs!$C$47*0.173))+0.20*SIN(2*PI()*(((Model_Data!A75)+(0))/(0.5*(Inputs!$C$49+Inputs!$C$50))+Inputs!$C$47*0.097)))+0.30*(2*((SIN(((Model_Data!A75)*12.9898+(0)*78.233+Inputs!$C$47*37.719))*43758.5453)-INT((SIN(((Model_Data!A75)*12.9898+(0)*78.233+Inputs!$C$47*37.719))*43758.5453)))-1))))/1000)))*1000/Inputs!$C$12)</x:f>
        <x:v>600.0211125377184</x:v>
      </x:c>
      <x:c r="D75" s="49"/>
      <x:c r="E75" s="48" t="n">
        <x:f>Model_Data!A75</x:f>
        <x:v>-23.5</x:v>
      </x:c>
      <x:c r="F75" s="48" t="n">
        <x:f>(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(0.45*SIN(2*PI()*(((Model_Data!A75)/Inputs!$C$49)+Inputs!$C$47*0.137))+0.35*COS(2*PI()*(((Inputs!$C$6)/Inputs!$C$50)+Inputs!$C$47*0.173))+0.20*SIN(2*PI()*(((Model_Data!A75)+(Inputs!$C$6))/(0.5*(Inputs!$C$49+Inputs!$C$50))+Inputs!$C$47*0.097)))+0.30*(2*((SIN(((Model_Data!A75)*12.9898+(Inputs!$C$6)*78.233+Inputs!$C$47*37.719))*43758.5453)-INT((SIN(((Model_Data!A75)*12.9898+(Inputs!$C$6)*78.233+Inputs!$C$47*37.719))*43758.5453)))-1)))</x:f>
        <x:v>273.93459884711217</x:v>
      </x:c>
      <x:c r="G75" s="48" t="n">
        <x:f>(Inputs!$C$51*(115*EXP(-(((0)-25)^2)/(4.5^2))+70*EXP(-(((0)+38)^2)/(7^2))*(0.55+0.45*SIN(2*PI()*(Model_Data!A75)/45))+24*SIN(2*PI()*(0)/9+(Model_Data!A75)/18)*EXP(-(((0)+5)^2)/(22^2))+18*SIN(2*PI()*(Model_Data!A75)/70))+Inputs!$C$28*EXP(-(((Model_Data!A75)-Inputs!$C$29)^2)/(2*Inputs!$C$31^2))*EXP(-(((0)-Inputs!$C$30)^2)/(2*Inputs!$C$32^2))+-Inputs!$C$33*EXP(-(((((Model_Data!A75)-Inputs!$C$34)^2)+(((0)-Inputs!$C$35)^2))/(2*Inputs!$C$36^2)))+Inputs!$C$37*(0.55*SIN(2*PI()*(Model_Data!A75)/Inputs!$C$39)+0.35*COS(2*PI()*(0)/Inputs!$C$40)+0.2*SIN(2*PI()*((Model_Data!A75)+(0))/(0.5*(Inputs!$C$39+Inputs!$C$40))))+Inputs!$C$38*SIN(2*PI()*(Model_Data!A75)/Inputs!$C$39)*SIN(2*PI()*(0)/Inputs!$C$40)+-Inputs!$C$41*EXP(-(((0)-Inputs!$C$43)^2)/(2*Inputs!$C$44^2))*EXP(-(((Model_Data!A75)-Inputs!$C$42)^2)/(2*Inputs!$C$45^2))+Inputs!$C$48*(0.70*(0.45*SIN(2*PI()*(((Model_Data!A75)/Inputs!$C$49)+Inputs!$C$47*0.137))+0.35*COS(2*PI()*(((0)/Inputs!$C$50)+Inputs!$C$47*0.173))+0.20*SIN(2*PI()*(((Model_Data!A75)+(0))/(0.5*(Inputs!$C$49+Inputs!$C$50))+Inputs!$C$47*0.097)))+0.30*(2*((SIN(((Model_Data!A75)*12.9898+(0)*78.233+Inputs!$C$47*37.719))*43758.5453)-INT((SIN(((Model_Data!A75)*12.9898+(0)*78.233+Inputs!$C$47*37.719))*43758.5453)))-1)))</x:f>
        <x:v>-125.65162794647964</x:v>
      </x:c>
      <x:c r="H75" s="49"/>
      <x:c r="I75" s="48" t="n">
        <x:f>Model_Data!A75</x:f>
        <x:v>-23.5</x:v>
      </x:c>
      <x:c r="J75" s="48" t="n">
        <x:f>((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(0.45*SIN(2*PI()*(((Model_Data!A75)/Inputs!$C$49)+Inputs!$C$47*0.137))+0.35*COS(2*PI()*(((Inputs!$C$6)/Inputs!$C$50)+Inputs!$C$47*0.173))+0.20*SIN(2*PI()*(((Model_Data!A75)+(Inputs!$C$6))/(0.5*(Inputs!$C$49+Inputs!$C$50))+Inputs!$C$47*0.097)))+0.30*(2*((SIN(((Model_Data!A75)*12.9898+(Inputs!$C$6)*78.233+Inputs!$C$47*37.719))*43758.5453)-INT((SIN(((Model_Data!A75)*12.9898+(Inputs!$C$6)*78.233+Inputs!$C$47*37.719))*43758.5453)))-1))))-((Inputs!$C$51*(115*EXP(-(((0)-25)^2)/(4.5^2))+70*EXP(-(((0)+38)^2)/(7^2))*(0.55+0.45*SIN(2*PI()*(Model_Data!A75)/45))+24*SIN(2*PI()*(0)/9+(Model_Data!A75)/18)*EXP(-(((0)+5)^2)/(22^2))+18*SIN(2*PI()*(Model_Data!A75)/70))+Inputs!$C$28*EXP(-(((Model_Data!A75)-Inputs!$C$29)^2)/(2*Inputs!$C$31^2))*EXP(-(((0)-Inputs!$C$30)^2)/(2*Inputs!$C$32^2))+-Inputs!$C$33*EXP(-(((((Model_Data!A75)-Inputs!$C$34)^2)+(((0)-Inputs!$C$35)^2))/(2*Inputs!$C$36^2)))+Inputs!$C$37*(0.55*SIN(2*PI()*(Model_Data!A75)/Inputs!$C$39)+0.35*COS(2*PI()*(0)/Inputs!$C$40)+0.2*SIN(2*PI()*((Model_Data!A75)+(0))/(0.5*(Inputs!$C$39+Inputs!$C$40))))+Inputs!$C$38*SIN(2*PI()*(Model_Data!A75)/Inputs!$C$39)*SIN(2*PI()*(0)/Inputs!$C$40)+-Inputs!$C$41*EXP(-(((0)-Inputs!$C$43)^2)/(2*Inputs!$C$44^2))*EXP(-(((Model_Data!A75)-Inputs!$C$42)^2)/(2*Inputs!$C$45^2))+Inputs!$C$48*(0.70*(0.45*SIN(2*PI()*(((Model_Data!A75)/Inputs!$C$49)+Inputs!$C$47*0.137))+0.35*COS(2*PI()*(((0)/Inputs!$C$50)+Inputs!$C$47*0.173))+0.20*SIN(2*PI()*(((Model_Data!A75)+(0))/(0.5*(Inputs!$C$49+Inputs!$C$50))+Inputs!$C$47*0.097)))+0.30*(2*((SIN(((Model_Data!A75)*12.9898+(0)*78.233+Inputs!$C$47*37.719))*43758.5453)-INT((SIN(((Model_Data!A75)*12.9898+(0)*78.233+Inputs!$C$47*37.719))*43758.5453)))-1))))</x:f>
        <x:v>399.5862267935918</x:v>
      </x:c>
      <x:c r="K75" s="48" t="n">
        <x:f>-((((SQRT((Model_Data!A75)^2+Inputs!$C$6^2+((Model_Data!B75)-((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(0.45*SIN(2*PI()*(((Model_Data!A75)/Inputs!$C$49)+Inputs!$C$47*0.137))+0.35*COS(2*PI()*(((Inputs!$C$6)/Inputs!$C$50)+Inputs!$C$47*0.173))+0.20*SIN(2*PI()*(((Model_Data!A75)+(Inputs!$C$6))/(0.5*(Inputs!$C$49+Inputs!$C$50))+Inputs!$C$47*0.097)))+0.30*(2*((SIN(((Model_Data!A75)*12.9898+(Inputs!$C$6)*78.233+Inputs!$C$47*37.719))*43758.5453)-INT((SIN(((Model_Data!A75)*12.9898+(Inputs!$C$6)*78.233+Inputs!$C$47*37.719))*43758.5453)))-1))))/1000)^2))-(((Model_Data!B75)-((Inputs!$C$51*(115*EXP(-(((0)-25)^2)/(4.5^2))+70*EXP(-(((0)+38)^2)/(7^2))*(0.55+0.45*SIN(2*PI()*(Model_Data!A75)/45))+24*SIN(2*PI()*(0)/9+(Model_Data!A75)/18)*EXP(-(((0)+5)^2)/(22^2))+18*SIN(2*PI()*(Model_Data!A75)/70))+Inputs!$C$28*EXP(-(((Model_Data!A75)-Inputs!$C$29)^2)/(2*Inputs!$C$31^2))*EXP(-(((0)-Inputs!$C$30)^2)/(2*Inputs!$C$32^2))+-Inputs!$C$33*EXP(-(((((Model_Data!A75)-Inputs!$C$34)^2)+(((0)-Inputs!$C$35)^2))/(2*Inputs!$C$36^2)))+Inputs!$C$37*(0.55*SIN(2*PI()*(Model_Data!A75)/Inputs!$C$39)+0.35*COS(2*PI()*(0)/Inputs!$C$40)+0.2*SIN(2*PI()*((Model_Data!A75)+(0))/(0.5*(Inputs!$C$39+Inputs!$C$40))))+Inputs!$C$38*SIN(2*PI()*(Model_Data!A75)/Inputs!$C$39)*SIN(2*PI()*(0)/Inputs!$C$40)+-Inputs!$C$41*EXP(-(((0)-Inputs!$C$43)^2)/(2*Inputs!$C$44^2))*EXP(-(((Model_Data!A75)-Inputs!$C$42)^2)/(2*Inputs!$C$45^2))+Inputs!$C$48*(0.70*(0.45*SIN(2*PI()*(((Model_Data!A75)/Inputs!$C$49)+Inputs!$C$47*0.137))+0.35*COS(2*PI()*(((0)/Inputs!$C$50)+Inputs!$C$47*0.173))+0.20*SIN(2*PI()*(((Model_Data!A75)+(0))/(0.5*(Inputs!$C$49+Inputs!$C$50))+Inputs!$C$47*0.097)))+0.30*(2*((SIN(((Model_Data!A75)*12.9898+(0)*78.233+Inputs!$C$47*37.719))*43758.5453)-INT((SIN(((Model_Data!A75)*12.9898+(0)*78.233+Inputs!$C$47*37.719))*43758.5453)))-1))))/1000)))*1000/Inputs!$C$12)-Model_Data!F75)</x:f>
        <x:v>223.92491329524444</x:v>
      </x:c>
      <x:c r="L75" s="49"/>
      <x:c r="M75" s="48" t="n">
        <x:f>Model_Data!A75</x:f>
        <x:v>-23.5</x:v>
      </x:c>
      <x:c r="N75" s="48" t="n">
        <x:f>Model_Data!P75</x:f>
        <x:v>176.76445307725538</x:v>
      </x:c>
      <x:c r="O75" s="48" t="n">
        <x:f>AC75</x:f>
        <x:v>194.3259677502283</x:v>
      </x:c>
      <x:c r="P75" s="48" t="n">
        <x:f>Model_Data!Q75</x:f>
        <x:v>26.54120917075907</x:v>
      </x:c>
      <x:c r="Q75" s="48" t="n">
        <x:f>AD75</x:f>
        <x:v>29.178073235770018</x:v>
      </x:c>
      <x:c r="R75" s="49"/>
      <x:c r="S75" s="48" t="n">
        <x:f>Model_Data!A75</x:f>
        <x:v>-23.5</x:v>
      </x:c>
      <x:c r="T75" s="48" t="n">
        <x:f>Model_Data!B75-Inputs!$C$5</x:f>
        <x:v>0.6136111111110836</x:v>
      </x:c>
      <x:c r="U75" s="49"/>
      <x:c r="V75" s="48" t="n">
        <x:f>Model_Data!A75</x:f>
        <x:v>-23.5</x:v>
      </x:c>
      <x:c r="W75" s="48" t="n">
        <x:f>(-((((SQRT((Model_Data!A75)^2+Inputs!$C$6^2+((Model_Data!B75)-((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(0.45*SIN(2*PI()*(((Model_Data!A75)/Inputs!$C$49)+Inputs!$C$47*0.137))+0.35*COS(2*PI()*(((Inputs!$C$6)/Inputs!$C$50)+Inputs!$C$47*0.173))+0.20*SIN(2*PI()*(((Model_Data!A75)+(Inputs!$C$6))/(0.5*(Inputs!$C$49+Inputs!$C$50))+Inputs!$C$47*0.097)))+0.30*(2*((SIN(((Model_Data!A75)*12.9898+(Inputs!$C$6)*78.233+Inputs!$C$47*37.719))*43758.5453)-INT((SIN(((Model_Data!A75)*12.9898+(Inputs!$C$6)*78.233+Inputs!$C$47*37.719))*43758.5453)))-1))))/1000)^2))-(((Model_Data!B75)-((Inputs!$C$51*(115*EXP(-(((0)-25)^2)/(4.5^2))+70*EXP(-(((0)+38)^2)/(7^2))*(0.55+0.45*SIN(2*PI()*(Model_Data!A75)/45))+24*SIN(2*PI()*(0)/9+(Model_Data!A75)/18)*EXP(-(((0)+5)^2)/(22^2))+18*SIN(2*PI()*(Model_Data!A75)/70))+Inputs!$C$28*EXP(-(((Model_Data!A75)-Inputs!$C$29)^2)/(2*Inputs!$C$31^2))*EXP(-(((0)-Inputs!$C$30)^2)/(2*Inputs!$C$32^2))+-Inputs!$C$33*EXP(-(((((Model_Data!A75)-Inputs!$C$34)^2)+(((0)-Inputs!$C$35)^2))/(2*Inputs!$C$36^2)))+Inputs!$C$37*(0.55*SIN(2*PI()*(Model_Data!A75)/Inputs!$C$39)+0.35*COS(2*PI()*(0)/Inputs!$C$40)+0.2*SIN(2*PI()*((Model_Data!A75)+(0))/(0.5*(Inputs!$C$39+Inputs!$C$40))))+Inputs!$C$38*SIN(2*PI()*(Model_Data!A75)/Inputs!$C$39)*SIN(2*PI()*(0)/Inputs!$C$40)+-Inputs!$C$41*EXP(-(((0)-Inputs!$C$43)^2)/(2*Inputs!$C$44^2))*EXP(-(((Model_Data!A75)-Inputs!$C$42)^2)/(2*Inputs!$C$45^2))+Inputs!$C$48*(0.70*(0.45*SIN(2*PI()*(((Model_Data!A75)/Inputs!$C$49)+Inputs!$C$47*0.137))+0.35*COS(2*PI()*(((0)/Inputs!$C$50)+Inputs!$C$47*0.173))+0.20*SIN(2*PI()*(((Model_Data!A75)+(0))/(0.5*(Inputs!$C$49+Inputs!$C$50))+Inputs!$C$47*0.097)))+0.30*(2*((SIN(((Model_Data!A75)*12.9898+(0)*78.233+Inputs!$C$47*37.719))*43758.5453)-INT((SIN(((Model_Data!A75)*12.9898+(0)*78.233+Inputs!$C$47*37.719))*43758.5453)))-1))))/1000)))*1000/Inputs!$C$12)-Model_Data!F75))-(-(((SQRT((Model_Data!A75)^2+Inputs!$C$6^2+(Inputs!$C$5-((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(0.45*SIN(2*PI()*(((Model_Data!A75)/Inputs!$C$49)+Inputs!$C$47*0.137))+0.35*COS(2*PI()*(((Inputs!$C$6)/Inputs!$C$50)+Inputs!$C$47*0.173))+0.20*SIN(2*PI()*(((Model_Data!A75)+(Inputs!$C$6))/(0.5*(Inputs!$C$49+Inputs!$C$50))+Inputs!$C$47*0.097)))+0.30*(2*((SIN(((Model_Data!A75)*12.9898+(Inputs!$C$6)*78.233+Inputs!$C$47*37.719))*43758.5453)-INT((SIN(((Model_Data!A75)*12.9898+(Inputs!$C$6)*78.233+Inputs!$C$47*37.719))*43758.5453)))-1))))/1000)^2)-(Inputs!$C$5-((Inputs!$C$51*(115*EXP(-(((0)-25)^2)/(4.5^2))+70*EXP(-(((0)+38)^2)/(7^2))*(0.55+0.45*SIN(2*PI()*(Model_Data!A75)/45))+24*SIN(2*PI()*(0)/9+(Model_Data!A75)/18)*EXP(-(((0)+5)^2)/(22^2))+18*SIN(2*PI()*(Model_Data!A75)/70))+Inputs!$C$28*EXP(-(((Model_Data!A75)-Inputs!$C$29)^2)/(2*Inputs!$C$31^2))*EXP(-(((0)-Inputs!$C$30)^2)/(2*Inputs!$C$32^2))+-Inputs!$C$33*EXP(-(((((Model_Data!A75)-Inputs!$C$34)^2)+(((0)-Inputs!$C$35)^2))/(2*Inputs!$C$36^2)))+Inputs!$C$37*(0.55*SIN(2*PI()*(Model_Data!A75)/Inputs!$C$39)+0.35*COS(2*PI()*(0)/Inputs!$C$40)+0.2*SIN(2*PI()*((Model_Data!A75)+(0))/(0.5*(Inputs!$C$39+Inputs!$C$40))))+Inputs!$C$38*SIN(2*PI()*(Model_Data!A75)/Inputs!$C$39)*SIN(2*PI()*(0)/Inputs!$C$40)+-Inputs!$C$41*EXP(-(((0)-Inputs!$C$43)^2)/(2*Inputs!$C$44^2))*EXP(-(((Model_Data!A75)-Inputs!$C$42)^2)/(2*Inputs!$C$45^2))+Inputs!$C$48*(0.70*(0.45*SIN(2*PI()*(((Model_Data!A75)/Inputs!$C$49)+Inputs!$C$47*0.137))+0.35*COS(2*PI()*(((0)/Inputs!$C$50)+Inputs!$C$47*0.173))+0.20*SIN(2*PI()*(((Model_Data!A75)+(0))/(0.5*(Inputs!$C$49+Inputs!$C$50))+Inputs!$C$47*0.097)))+0.30*(2*((SIN(((Model_Data!A75)*12.9898+(0)*78.233+Inputs!$C$47*37.719))*43758.5453)-INT((SIN(((Model_Data!A75)*12.9898+(0)*78.233+Inputs!$C$47*37.719))*43758.5453)))-1))))/1000))*1000/Inputs!$C$12)-((SQRT((Model_Data!A75)^2+Inputs!$C$6^2+Inputs!$C$5^2)-Inputs!$C$5)*1000/Inputs!$C$12)))</x:f>
        <x:v>0.0017158714179004164</x:v>
      </x:c>
      <x:c r="X75" s="48" t="n">
        <x:f>0</x:f>
        <x:v>0</x:v>
      </x:c>
      <x:c r="Y75" s="49"/>
      <x:c r="Z75" s="48" t="n">
        <x:f>Model_Data!A75</x:f>
        <x:v>-23.5</x:v>
      </x:c>
      <x:c r="AA75" s="48" t="n">
        <x:f>SQRT((Model_Data!A75)^2+Inputs!$C$6^2+((Model_Data!B75)-((Inputs!$C$51*(115*EXP(-(((Inputs!$C$6)-25)^2)/(4.5^2))+70*EXP(-(((Inputs!$C$6)+38)^2)/(7^2))*(0.55+0.45*SIN(2*PI()*(Model_Data!A75)/45))+24*SIN(2*PI()*(Inputs!$C$6)/9+(Model_Data!A75)/18)*EXP(-(((Inputs!$C$6)+5)^2)/(22^2))+18*SIN(2*PI()*(Model_Data!A75)/70))+Inputs!$C$28*EXP(-(((Model_Data!A75)-Inputs!$C$29)^2)/(2*Inputs!$C$31^2))*EXP(-(((Inputs!$C$6)-Inputs!$C$30)^2)/(2*Inputs!$C$32^2))+-Inputs!$C$33*EXP(-(((((Model_Data!A75)-Inputs!$C$34)^2)+(((Inputs!$C$6)-Inputs!$C$35)^2))/(2*Inputs!$C$36^2)))+Inputs!$C$37*(0.55*SIN(2*PI()*(Model_Data!A75)/Inputs!$C$39)+0.35*COS(2*PI()*(Inputs!$C$6)/Inputs!$C$40)+0.2*SIN(2*PI()*((Model_Data!A75)+(Inputs!$C$6))/(0.5*(Inputs!$C$39+Inputs!$C$40))))+Inputs!$C$38*SIN(2*PI()*(Model_Data!A75)/Inputs!$C$39)*SIN(2*PI()*(Inputs!$C$6)/Inputs!$C$40)+-Inputs!$C$41*EXP(-(((Inputs!$C$6)-Inputs!$C$43)^2)/(2*Inputs!$C$44^2))*EXP(-(((Model_Data!A75)-Inputs!$C$42)^2)/(2*Inputs!$C$45^2))+Inputs!$C$48*(0.70*(0.45*SIN(2*PI()*(((Model_Data!A75)/Inputs!$C$49)+Inputs!$C$47*0.137))+0.35*COS(2*PI()*(((Inputs!$C$6)/Inputs!$C$50)+Inputs!$C$47*0.173))+0.20*SIN(2*PI()*(((Model_Data!A75)+(Inputs!$C$6))/(0.5*(Inputs!$C$49+Inputs!$C$50))+Inputs!$C$47*0.097)))+0.30*(2*((SIN(((Model_Data!A75)*12.9898+(Inputs!$C$6)*78.233+Inputs!$C$47*37.719))*43758.5453)-INT((SIN(((Model_Data!A75)*12.9898+(Inputs!$C$6)*78.233+Inputs!$C$47*37.719))*43758.5453)))-1))))/1000)^2)</x:f>
        <x:v>401.8073003193747</x:v>
      </x:c>
      <x:c r="AB75" s="48" t="n">
        <x:f>1000*(AA76-AA74)/(Z76-Z74)*Inputs!$C$11</x:f>
        <x:v>-485.81491937557075</x:v>
      </x:c>
      <x:c r="AC75" s="48" t="n">
        <x:f>-2*AB75/Inputs!$C$13</x:f>
        <x:v>194.3259677502283</x:v>
      </x:c>
      <x:c r="AD75" s="48" t="n">
        <x:f>-2*AB75/Inputs!$C$14</x:f>
        <x:v>29.178073235770018</x:v>
      </x:c>
    </x:row>
    <x:row r="76">
      <x:c r="A76" s="48" t="n">
        <x:f>Model_Data!A76</x:f>
        <x:v>-23</x:v>
      </x:c>
      <x:c r="B76" s="48" t="n">
        <x:f>Model_Data!F76</x:f>
        <x:v>807.7545679062877</x:v>
      </x:c>
      <x:c r="C76" s="48" t="n">
        <x:f>(((SQRT((Model_Data!A76)^2+Inputs!$C$6^2+((Model_Data!B76)-((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(0.45*SIN(2*PI()*(((Model_Data!A76)/Inputs!$C$49)+Inputs!$C$47*0.137))+0.35*COS(2*PI()*(((Inputs!$C$6)/Inputs!$C$50)+Inputs!$C$47*0.173))+0.20*SIN(2*PI()*(((Model_Data!A76)+(Inputs!$C$6))/(0.5*(Inputs!$C$49+Inputs!$C$50))+Inputs!$C$47*0.097)))+0.30*(2*((SIN(((Model_Data!A76)*12.9898+(Inputs!$C$6)*78.233+Inputs!$C$47*37.719))*43758.5453)-INT((SIN(((Model_Data!A76)*12.9898+(Inputs!$C$6)*78.233+Inputs!$C$47*37.719))*43758.5453)))-1))))/1000)^2))-(((Model_Data!B76)-((Inputs!$C$51*(115*EXP(-(((0)-25)^2)/(4.5^2))+70*EXP(-(((0)+38)^2)/(7^2))*(0.55+0.45*SIN(2*PI()*(Model_Data!A76)/45))+24*SIN(2*PI()*(0)/9+(Model_Data!A76)/18)*EXP(-(((0)+5)^2)/(22^2))+18*SIN(2*PI()*(Model_Data!A76)/70))+Inputs!$C$28*EXP(-(((Model_Data!A76)-Inputs!$C$29)^2)/(2*Inputs!$C$31^2))*EXP(-(((0)-Inputs!$C$30)^2)/(2*Inputs!$C$32^2))+-Inputs!$C$33*EXP(-(((((Model_Data!A76)-Inputs!$C$34)^2)+(((0)-Inputs!$C$35)^2))/(2*Inputs!$C$36^2)))+Inputs!$C$37*(0.55*SIN(2*PI()*(Model_Data!A76)/Inputs!$C$39)+0.35*COS(2*PI()*(0)/Inputs!$C$40)+0.2*SIN(2*PI()*((Model_Data!A76)+(0))/(0.5*(Inputs!$C$39+Inputs!$C$40))))+Inputs!$C$38*SIN(2*PI()*(Model_Data!A76)/Inputs!$C$39)*SIN(2*PI()*(0)/Inputs!$C$40)+-Inputs!$C$41*EXP(-(((0)-Inputs!$C$43)^2)/(2*Inputs!$C$44^2))*EXP(-(((Model_Data!A76)-Inputs!$C$42)^2)/(2*Inputs!$C$45^2))+Inputs!$C$48*(0.70*(0.45*SIN(2*PI()*(((Model_Data!A76)/Inputs!$C$49)+Inputs!$C$47*0.137))+0.35*COS(2*PI()*(((0)/Inputs!$C$50)+Inputs!$C$47*0.173))+0.20*SIN(2*PI()*(((Model_Data!A76)+(0))/(0.5*(Inputs!$C$49+Inputs!$C$50))+Inputs!$C$47*0.097)))+0.30*(2*((SIN(((Model_Data!A76)*12.9898+(0)*78.233+Inputs!$C$47*37.719))*43758.5453)-INT((SIN(((Model_Data!A76)*12.9898+(0)*78.233+Inputs!$C$47*37.719))*43758.5453)))-1))))/1000)))*1000/Inputs!$C$12)</x:f>
        <x:v>576.7988482961264</x:v>
      </x:c>
      <x:c r="D76" s="49"/>
      <x:c r="E76" s="48" t="n">
        <x:f>Model_Data!A76</x:f>
        <x:v>-23</x:v>
      </x:c>
      <x:c r="F76" s="48" t="n">
        <x:f>(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(0.45*SIN(2*PI()*(((Model_Data!A76)/Inputs!$C$49)+Inputs!$C$47*0.137))+0.35*COS(2*PI()*(((Inputs!$C$6)/Inputs!$C$50)+Inputs!$C$47*0.173))+0.20*SIN(2*PI()*(((Model_Data!A76)+(Inputs!$C$6))/(0.5*(Inputs!$C$49+Inputs!$C$50))+Inputs!$C$47*0.097)))+0.30*(2*((SIN(((Model_Data!A76)*12.9898+(Inputs!$C$6)*78.233+Inputs!$C$47*37.719))*43758.5453)-INT((SIN(((Model_Data!A76)*12.9898+(Inputs!$C$6)*78.233+Inputs!$C$47*37.719))*43758.5453)))-1)))</x:f>
        <x:v>279.55588840773</x:v>
      </x:c>
      <x:c r="G76" s="48" t="n">
        <x:f>(Inputs!$C$51*(115*EXP(-(((0)-25)^2)/(4.5^2))+70*EXP(-(((0)+38)^2)/(7^2))*(0.55+0.45*SIN(2*PI()*(Model_Data!A76)/45))+24*SIN(2*PI()*(0)/9+(Model_Data!A76)/18)*EXP(-(((0)+5)^2)/(22^2))+18*SIN(2*PI()*(Model_Data!A76)/70))+Inputs!$C$28*EXP(-(((Model_Data!A76)-Inputs!$C$29)^2)/(2*Inputs!$C$31^2))*EXP(-(((0)-Inputs!$C$30)^2)/(2*Inputs!$C$32^2))+-Inputs!$C$33*EXP(-(((((Model_Data!A76)-Inputs!$C$34)^2)+(((0)-Inputs!$C$35)^2))/(2*Inputs!$C$36^2)))+Inputs!$C$37*(0.55*SIN(2*PI()*(Model_Data!A76)/Inputs!$C$39)+0.35*COS(2*PI()*(0)/Inputs!$C$40)+0.2*SIN(2*PI()*((Model_Data!A76)+(0))/(0.5*(Inputs!$C$39+Inputs!$C$40))))+Inputs!$C$38*SIN(2*PI()*(Model_Data!A76)/Inputs!$C$39)*SIN(2*PI()*(0)/Inputs!$C$40)+-Inputs!$C$41*EXP(-(((0)-Inputs!$C$43)^2)/(2*Inputs!$C$44^2))*EXP(-(((Model_Data!A76)-Inputs!$C$42)^2)/(2*Inputs!$C$45^2))+Inputs!$C$48*(0.70*(0.45*SIN(2*PI()*(((Model_Data!A76)/Inputs!$C$49)+Inputs!$C$47*0.137))+0.35*COS(2*PI()*(((0)/Inputs!$C$50)+Inputs!$C$47*0.173))+0.20*SIN(2*PI()*(((Model_Data!A76)+(0))/(0.5*(Inputs!$C$49+Inputs!$C$50))+Inputs!$C$47*0.097)))+0.30*(2*((SIN(((Model_Data!A76)*12.9898+(0)*78.233+Inputs!$C$47*37.719))*43758.5453)-INT((SIN(((Model_Data!A76)*12.9898+(0)*78.233+Inputs!$C$47*37.719))*43758.5453)))-1)))</x:f>
        <x:v>-132.5457898426781</x:v>
      </x:c>
      <x:c r="H76" s="49"/>
      <x:c r="I76" s="48" t="n">
        <x:f>Model_Data!A76</x:f>
        <x:v>-23</x:v>
      </x:c>
      <x:c r="J76" s="48" t="n">
        <x:f>((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(0.45*SIN(2*PI()*(((Model_Data!A76)/Inputs!$C$49)+Inputs!$C$47*0.137))+0.35*COS(2*PI()*(((Inputs!$C$6)/Inputs!$C$50)+Inputs!$C$47*0.173))+0.20*SIN(2*PI()*(((Model_Data!A76)+(Inputs!$C$6))/(0.5*(Inputs!$C$49+Inputs!$C$50))+Inputs!$C$47*0.097)))+0.30*(2*((SIN(((Model_Data!A76)*12.9898+(Inputs!$C$6)*78.233+Inputs!$C$47*37.719))*43758.5453)-INT((SIN(((Model_Data!A76)*12.9898+(Inputs!$C$6)*78.233+Inputs!$C$47*37.719))*43758.5453)))-1))))-((Inputs!$C$51*(115*EXP(-(((0)-25)^2)/(4.5^2))+70*EXP(-(((0)+38)^2)/(7^2))*(0.55+0.45*SIN(2*PI()*(Model_Data!A76)/45))+24*SIN(2*PI()*(0)/9+(Model_Data!A76)/18)*EXP(-(((0)+5)^2)/(22^2))+18*SIN(2*PI()*(Model_Data!A76)/70))+Inputs!$C$28*EXP(-(((Model_Data!A76)-Inputs!$C$29)^2)/(2*Inputs!$C$31^2))*EXP(-(((0)-Inputs!$C$30)^2)/(2*Inputs!$C$32^2))+-Inputs!$C$33*EXP(-(((((Model_Data!A76)-Inputs!$C$34)^2)+(((0)-Inputs!$C$35)^2))/(2*Inputs!$C$36^2)))+Inputs!$C$37*(0.55*SIN(2*PI()*(Model_Data!A76)/Inputs!$C$39)+0.35*COS(2*PI()*(0)/Inputs!$C$40)+0.2*SIN(2*PI()*((Model_Data!A76)+(0))/(0.5*(Inputs!$C$39+Inputs!$C$40))))+Inputs!$C$38*SIN(2*PI()*(Model_Data!A76)/Inputs!$C$39)*SIN(2*PI()*(0)/Inputs!$C$40)+-Inputs!$C$41*EXP(-(((0)-Inputs!$C$43)^2)/(2*Inputs!$C$44^2))*EXP(-(((Model_Data!A76)-Inputs!$C$42)^2)/(2*Inputs!$C$45^2))+Inputs!$C$48*(0.70*(0.45*SIN(2*PI()*(((Model_Data!A76)/Inputs!$C$49)+Inputs!$C$47*0.137))+0.35*COS(2*PI()*(((0)/Inputs!$C$50)+Inputs!$C$47*0.173))+0.20*SIN(2*PI()*(((Model_Data!A76)+(0))/(0.5*(Inputs!$C$49+Inputs!$C$50))+Inputs!$C$47*0.097)))+0.30*(2*((SIN(((Model_Data!A76)*12.9898+(0)*78.233+Inputs!$C$47*37.719))*43758.5453)-INT((SIN(((Model_Data!A76)*12.9898+(0)*78.233+Inputs!$C$47*37.719))*43758.5453)))-1))))</x:f>
        <x:v>412.1016782504081</x:v>
      </x:c>
      <x:c r="K76" s="48" t="n">
        <x:f>-((((SQRT((Model_Data!A76)^2+Inputs!$C$6^2+((Model_Data!B76)-((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(0.45*SIN(2*PI()*(((Model_Data!A76)/Inputs!$C$49)+Inputs!$C$47*0.137))+0.35*COS(2*PI()*(((Inputs!$C$6)/Inputs!$C$50)+Inputs!$C$47*0.173))+0.20*SIN(2*PI()*(((Model_Data!A76)+(Inputs!$C$6))/(0.5*(Inputs!$C$49+Inputs!$C$50))+Inputs!$C$47*0.097)))+0.30*(2*((SIN(((Model_Data!A76)*12.9898+(Inputs!$C$6)*78.233+Inputs!$C$47*37.719))*43758.5453)-INT((SIN(((Model_Data!A76)*12.9898+(Inputs!$C$6)*78.233+Inputs!$C$47*37.719))*43758.5453)))-1))))/1000)^2))-(((Model_Data!B76)-((Inputs!$C$51*(115*EXP(-(((0)-25)^2)/(4.5^2))+70*EXP(-(((0)+38)^2)/(7^2))*(0.55+0.45*SIN(2*PI()*(Model_Data!A76)/45))+24*SIN(2*PI()*(0)/9+(Model_Data!A76)/18)*EXP(-(((0)+5)^2)/(22^2))+18*SIN(2*PI()*(Model_Data!A76)/70))+Inputs!$C$28*EXP(-(((Model_Data!A76)-Inputs!$C$29)^2)/(2*Inputs!$C$31^2))*EXP(-(((0)-Inputs!$C$30)^2)/(2*Inputs!$C$32^2))+-Inputs!$C$33*EXP(-(((((Model_Data!A76)-Inputs!$C$34)^2)+(((0)-Inputs!$C$35)^2))/(2*Inputs!$C$36^2)))+Inputs!$C$37*(0.55*SIN(2*PI()*(Model_Data!A76)/Inputs!$C$39)+0.35*COS(2*PI()*(0)/Inputs!$C$40)+0.2*SIN(2*PI()*((Model_Data!A76)+(0))/(0.5*(Inputs!$C$39+Inputs!$C$40))))+Inputs!$C$38*SIN(2*PI()*(Model_Data!A76)/Inputs!$C$39)*SIN(2*PI()*(0)/Inputs!$C$40)+-Inputs!$C$41*EXP(-(((0)-Inputs!$C$43)^2)/(2*Inputs!$C$44^2))*EXP(-(((Model_Data!A76)-Inputs!$C$42)^2)/(2*Inputs!$C$45^2))+Inputs!$C$48*(0.70*(0.45*SIN(2*PI()*(((Model_Data!A76)/Inputs!$C$49)+Inputs!$C$47*0.137))+0.35*COS(2*PI()*(((0)/Inputs!$C$50)+Inputs!$C$47*0.173))+0.20*SIN(2*PI()*(((Model_Data!A76)+(0))/(0.5*(Inputs!$C$49+Inputs!$C$50))+Inputs!$C$47*0.097)))+0.30*(2*((SIN(((Model_Data!A76)*12.9898+(0)*78.233+Inputs!$C$47*37.719))*43758.5453)-INT((SIN(((Model_Data!A76)*12.9898+(0)*78.233+Inputs!$C$47*37.719))*43758.5453)))-1))))/1000)))*1000/Inputs!$C$12)-Model_Data!F76)</x:f>
        <x:v>230.95571961016128</x:v>
      </x:c>
      <x:c r="L76" s="49"/>
      <x:c r="M76" s="48" t="n">
        <x:f>Model_Data!A76</x:f>
        <x:v>-23</x:v>
      </x:c>
      <x:c r="N76" s="48" t="n">
        <x:f>Model_Data!P76</x:f>
        <x:v>173.02177168524585</x:v>
      </x:c>
      <x:c r="O76" s="48" t="n">
        <x:f>AC76</x:f>
        <x:v>193.43527354676553</x:v>
      </x:c>
      <x:c r="P76" s="48" t="n">
        <x:f>Model_Data!Q76</x:f>
        <x:v>25.979244997784665</x:v>
      </x:c>
      <x:c r="Q76" s="48" t="n">
        <x:f>AD76</x:f>
        <x:v>29.044335367382214</x:v>
      </x:c>
      <x:c r="R76" s="49"/>
      <x:c r="S76" s="48" t="n">
        <x:f>Model_Data!A76</x:f>
        <x:v>-23</x:v>
      </x:c>
      <x:c r="T76" s="48" t="n">
        <x:f>Model_Data!B76-Inputs!$C$5</x:f>
        <x:v>0.5877777777777737</x:v>
      </x:c>
      <x:c r="U76" s="49"/>
      <x:c r="V76" s="48" t="n">
        <x:f>Model_Data!A76</x:f>
        <x:v>-23</x:v>
      </x:c>
      <x:c r="W76" s="48" t="n">
        <x:f>(-((((SQRT((Model_Data!A76)^2+Inputs!$C$6^2+((Model_Data!B76)-((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(0.45*SIN(2*PI()*(((Model_Data!A76)/Inputs!$C$49)+Inputs!$C$47*0.137))+0.35*COS(2*PI()*(((Inputs!$C$6)/Inputs!$C$50)+Inputs!$C$47*0.173))+0.20*SIN(2*PI()*(((Model_Data!A76)+(Inputs!$C$6))/(0.5*(Inputs!$C$49+Inputs!$C$50))+Inputs!$C$47*0.097)))+0.30*(2*((SIN(((Model_Data!A76)*12.9898+(Inputs!$C$6)*78.233+Inputs!$C$47*37.719))*43758.5453)-INT((SIN(((Model_Data!A76)*12.9898+(Inputs!$C$6)*78.233+Inputs!$C$47*37.719))*43758.5453)))-1))))/1000)^2))-(((Model_Data!B76)-((Inputs!$C$51*(115*EXP(-(((0)-25)^2)/(4.5^2))+70*EXP(-(((0)+38)^2)/(7^2))*(0.55+0.45*SIN(2*PI()*(Model_Data!A76)/45))+24*SIN(2*PI()*(0)/9+(Model_Data!A76)/18)*EXP(-(((0)+5)^2)/(22^2))+18*SIN(2*PI()*(Model_Data!A76)/70))+Inputs!$C$28*EXP(-(((Model_Data!A76)-Inputs!$C$29)^2)/(2*Inputs!$C$31^2))*EXP(-(((0)-Inputs!$C$30)^2)/(2*Inputs!$C$32^2))+-Inputs!$C$33*EXP(-(((((Model_Data!A76)-Inputs!$C$34)^2)+(((0)-Inputs!$C$35)^2))/(2*Inputs!$C$36^2)))+Inputs!$C$37*(0.55*SIN(2*PI()*(Model_Data!A76)/Inputs!$C$39)+0.35*COS(2*PI()*(0)/Inputs!$C$40)+0.2*SIN(2*PI()*((Model_Data!A76)+(0))/(0.5*(Inputs!$C$39+Inputs!$C$40))))+Inputs!$C$38*SIN(2*PI()*(Model_Data!A76)/Inputs!$C$39)*SIN(2*PI()*(0)/Inputs!$C$40)+-Inputs!$C$41*EXP(-(((0)-Inputs!$C$43)^2)/(2*Inputs!$C$44^2))*EXP(-(((Model_Data!A76)-Inputs!$C$42)^2)/(2*Inputs!$C$45^2))+Inputs!$C$48*(0.70*(0.45*SIN(2*PI()*(((Model_Data!A76)/Inputs!$C$49)+Inputs!$C$47*0.137))+0.35*COS(2*PI()*(((0)/Inputs!$C$50)+Inputs!$C$47*0.173))+0.20*SIN(2*PI()*(((Model_Data!A76)+(0))/(0.5*(Inputs!$C$49+Inputs!$C$50))+Inputs!$C$47*0.097)))+0.30*(2*((SIN(((Model_Data!A76)*12.9898+(0)*78.233+Inputs!$C$47*37.719))*43758.5453)-INT((SIN(((Model_Data!A76)*12.9898+(0)*78.233+Inputs!$C$47*37.719))*43758.5453)))-1))))/1000)))*1000/Inputs!$C$12)-Model_Data!F76))-(-(((SQRT((Model_Data!A76)^2+Inputs!$C$6^2+(Inputs!$C$5-((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(0.45*SIN(2*PI()*(((Model_Data!A76)/Inputs!$C$49)+Inputs!$C$47*0.137))+0.35*COS(2*PI()*(((Inputs!$C$6)/Inputs!$C$50)+Inputs!$C$47*0.173))+0.20*SIN(2*PI()*(((Model_Data!A76)+(Inputs!$C$6))/(0.5*(Inputs!$C$49+Inputs!$C$50))+Inputs!$C$47*0.097)))+0.30*(2*((SIN(((Model_Data!A76)*12.9898+(Inputs!$C$6)*78.233+Inputs!$C$47*37.719))*43758.5453)-INT((SIN(((Model_Data!A76)*12.9898+(Inputs!$C$6)*78.233+Inputs!$C$47*37.719))*43758.5453)))-1))))/1000)^2)-(Inputs!$C$5-((Inputs!$C$51*(115*EXP(-(((0)-25)^2)/(4.5^2))+70*EXP(-(((0)+38)^2)/(7^2))*(0.55+0.45*SIN(2*PI()*(Model_Data!A76)/45))+24*SIN(2*PI()*(0)/9+(Model_Data!A76)/18)*EXP(-(((0)+5)^2)/(22^2))+18*SIN(2*PI()*(Model_Data!A76)/70))+Inputs!$C$28*EXP(-(((Model_Data!A76)-Inputs!$C$29)^2)/(2*Inputs!$C$31^2))*EXP(-(((0)-Inputs!$C$30)^2)/(2*Inputs!$C$32^2))+-Inputs!$C$33*EXP(-(((((Model_Data!A76)-Inputs!$C$34)^2)+(((0)-Inputs!$C$35)^2))/(2*Inputs!$C$36^2)))+Inputs!$C$37*(0.55*SIN(2*PI()*(Model_Data!A76)/Inputs!$C$39)+0.35*COS(2*PI()*(0)/Inputs!$C$40)+0.2*SIN(2*PI()*((Model_Data!A76)+(0))/(0.5*(Inputs!$C$39+Inputs!$C$40))))+Inputs!$C$38*SIN(2*PI()*(Model_Data!A76)/Inputs!$C$39)*SIN(2*PI()*(0)/Inputs!$C$40)+-Inputs!$C$41*EXP(-(((0)-Inputs!$C$43)^2)/(2*Inputs!$C$44^2))*EXP(-(((Model_Data!A76)-Inputs!$C$42)^2)/(2*Inputs!$C$45^2))+Inputs!$C$48*(0.70*(0.45*SIN(2*PI()*(((Model_Data!A76)/Inputs!$C$49)+Inputs!$C$47*0.137))+0.35*COS(2*PI()*(((0)/Inputs!$C$50)+Inputs!$C$47*0.173))+0.20*SIN(2*PI()*(((Model_Data!A76)+(0))/(0.5*(Inputs!$C$49+Inputs!$C$50))+Inputs!$C$47*0.097)))+0.30*(2*((SIN(((Model_Data!A76)*12.9898+(0)*78.233+Inputs!$C$47*37.719))*43758.5453)-INT((SIN(((Model_Data!A76)*12.9898+(0)*78.233+Inputs!$C$47*37.719))*43758.5453)))-1))))/1000))*1000/Inputs!$C$12)-((SQRT((Model_Data!A76)^2+Inputs!$C$6^2+Inputs!$C$5^2)-Inputs!$C$5)*1000/Inputs!$C$12)))</x:f>
        <x:v>0.0016447816652771508</x:v>
      </x:c>
      <x:c r="X76" s="48" t="n">
        <x:f>0</x:f>
        <x:v>0</x:v>
      </x:c>
      <x:c r="Y76" s="49"/>
      <x:c r="Z76" s="48" t="n">
        <x:f>Model_Data!A76</x:f>
        <x:v>-23</x:v>
      </x:c>
      <x:c r="AA76" s="48" t="n">
        <x:f>SQRT((Model_Data!A76)^2+Inputs!$C$6^2+((Model_Data!B76)-((Inputs!$C$51*(115*EXP(-(((Inputs!$C$6)-25)^2)/(4.5^2))+70*EXP(-(((Inputs!$C$6)+38)^2)/(7^2))*(0.55+0.45*SIN(2*PI()*(Model_Data!A76)/45))+24*SIN(2*PI()*(Inputs!$C$6)/9+(Model_Data!A76)/18)*EXP(-(((Inputs!$C$6)+5)^2)/(22^2))+18*SIN(2*PI()*(Model_Data!A76)/70))+Inputs!$C$28*EXP(-(((Model_Data!A76)-Inputs!$C$29)^2)/(2*Inputs!$C$31^2))*EXP(-(((Inputs!$C$6)-Inputs!$C$30)^2)/(2*Inputs!$C$32^2))+-Inputs!$C$33*EXP(-(((((Model_Data!A76)-Inputs!$C$34)^2)+(((Inputs!$C$6)-Inputs!$C$35)^2))/(2*Inputs!$C$36^2)))+Inputs!$C$37*(0.55*SIN(2*PI()*(Model_Data!A76)/Inputs!$C$39)+0.35*COS(2*PI()*(Inputs!$C$6)/Inputs!$C$40)+0.2*SIN(2*PI()*((Model_Data!A76)+(Inputs!$C$6))/(0.5*(Inputs!$C$39+Inputs!$C$40))))+Inputs!$C$38*SIN(2*PI()*(Model_Data!A76)/Inputs!$C$39)*SIN(2*PI()*(Inputs!$C$6)/Inputs!$C$40)+-Inputs!$C$41*EXP(-(((Inputs!$C$6)-Inputs!$C$43)^2)/(2*Inputs!$C$44^2))*EXP(-(((Model_Data!A76)-Inputs!$C$42)^2)/(2*Inputs!$C$45^2))+Inputs!$C$48*(0.70*(0.45*SIN(2*PI()*(((Model_Data!A76)/Inputs!$C$49)+Inputs!$C$47*0.137))+0.35*COS(2*PI()*(((Inputs!$C$6)/Inputs!$C$50)+Inputs!$C$47*0.173))+0.20*SIN(2*PI()*(((Model_Data!A76)+(Inputs!$C$6))/(0.5*(Inputs!$C$49+Inputs!$C$50))+Inputs!$C$47*0.097)))+0.30*(2*((SIN(((Model_Data!A76)*12.9898+(Inputs!$C$6)*78.233+Inputs!$C$47*37.719))*43758.5453)-INT((SIN(((Model_Data!A76)*12.9898+(Inputs!$C$6)*78.233+Inputs!$C$47*37.719))*43758.5453)))-1))))/1000)^2)</x:f>
        <x:v>401.74702551758753</x:v>
      </x:c>
      <x:c r="AB76" s="48" t="n">
        <x:f>1000*(AA77-AA75)/(Z77-Z75)*Inputs!$C$11</x:f>
        <x:v>-483.5881838669138</x:v>
      </x:c>
      <x:c r="AC76" s="48" t="n">
        <x:f>-2*AB76/Inputs!$C$13</x:f>
        <x:v>193.43527354676553</x:v>
      </x:c>
      <x:c r="AD76" s="48" t="n">
        <x:f>-2*AB76/Inputs!$C$14</x:f>
        <x:v>29.044335367382214</x:v>
      </x:c>
    </x:row>
    <x:row r="77">
      <x:c r="A77" s="48" t="n">
        <x:f>Model_Data!A77</x:f>
        <x:v>-22.5</x:v>
      </x:c>
      <x:c r="B77" s="48" t="n">
        <x:f>Model_Data!F77</x:f>
        <x:v>791.9081751687987</x:v>
      </x:c>
      <x:c r="C77" s="48" t="n">
        <x:f>(((SQRT((Model_Data!A77)^2+Inputs!$C$6^2+((Model_Data!B77)-((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(0.45*SIN(2*PI()*(((Model_Data!A77)/Inputs!$C$49)+Inputs!$C$47*0.137))+0.35*COS(2*PI()*(((Inputs!$C$6)/Inputs!$C$50)+Inputs!$C$47*0.173))+0.20*SIN(2*PI()*(((Model_Data!A77)+(Inputs!$C$6))/(0.5*(Inputs!$C$49+Inputs!$C$50))+Inputs!$C$47*0.097)))+0.30*(2*((SIN(((Model_Data!A77)*12.9898+(Inputs!$C$6)*78.233+Inputs!$C$47*37.719))*43758.5453)-INT((SIN(((Model_Data!A77)*12.9898+(Inputs!$C$6)*78.233+Inputs!$C$47*37.719))*43758.5453)))-1))))/1000)^2))-(((Model_Data!B77)-((Inputs!$C$51*(115*EXP(-(((0)-25)^2)/(4.5^2))+70*EXP(-(((0)+38)^2)/(7^2))*(0.55+0.45*SIN(2*PI()*(Model_Data!A77)/45))+24*SIN(2*PI()*(0)/9+(Model_Data!A77)/18)*EXP(-(((0)+5)^2)/(22^2))+18*SIN(2*PI()*(Model_Data!A77)/70))+Inputs!$C$28*EXP(-(((Model_Data!A77)-Inputs!$C$29)^2)/(2*Inputs!$C$31^2))*EXP(-(((0)-Inputs!$C$30)^2)/(2*Inputs!$C$32^2))+-Inputs!$C$33*EXP(-(((((Model_Data!A77)-Inputs!$C$34)^2)+(((0)-Inputs!$C$35)^2))/(2*Inputs!$C$36^2)))+Inputs!$C$37*(0.55*SIN(2*PI()*(Model_Data!A77)/Inputs!$C$39)+0.35*COS(2*PI()*(0)/Inputs!$C$40)+0.2*SIN(2*PI()*((Model_Data!A77)+(0))/(0.5*(Inputs!$C$39+Inputs!$C$40))))+Inputs!$C$38*SIN(2*PI()*(Model_Data!A77)/Inputs!$C$39)*SIN(2*PI()*(0)/Inputs!$C$40)+-Inputs!$C$41*EXP(-(((0)-Inputs!$C$43)^2)/(2*Inputs!$C$44^2))*EXP(-(((Model_Data!A77)-Inputs!$C$42)^2)/(2*Inputs!$C$45^2))+Inputs!$C$48*(0.70*(0.45*SIN(2*PI()*(((Model_Data!A77)/Inputs!$C$49)+Inputs!$C$47*0.137))+0.35*COS(2*PI()*(((0)/Inputs!$C$50)+Inputs!$C$47*0.173))+0.20*SIN(2*PI()*(((Model_Data!A77)+(0))/(0.5*(Inputs!$C$49+Inputs!$C$50))+Inputs!$C$47*0.097)))+0.30*(2*((SIN(((Model_Data!A77)*12.9898+(0)*78.233+Inputs!$C$47*37.719))*43758.5453)-INT((SIN(((Model_Data!A77)*12.9898+(0)*78.233+Inputs!$C$47*37.719))*43758.5453)))-1))))/1000)))*1000/Inputs!$C$12)</x:f>
        <x:v>553.7125431031741</x:v>
      </x:c>
      <x:c r="D77" s="49"/>
      <x:c r="E77" s="48" t="n">
        <x:f>Model_Data!A77</x:f>
        <x:v>-22.5</x:v>
      </x:c>
      <x:c r="F77" s="48" t="n">
        <x:f>(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(0.45*SIN(2*PI()*(((Model_Data!A77)/Inputs!$C$49)+Inputs!$C$47*0.137))+0.35*COS(2*PI()*(((Inputs!$C$6)/Inputs!$C$50)+Inputs!$C$47*0.173))+0.20*SIN(2*PI()*(((Model_Data!A77)+(Inputs!$C$6))/(0.5*(Inputs!$C$49+Inputs!$C$50))+Inputs!$C$47*0.097)))+0.30*(2*((SIN(((Model_Data!A77)*12.9898+(Inputs!$C$6)*78.233+Inputs!$C$47*37.719))*43758.5453)-INT((SIN(((Model_Data!A77)*12.9898+(Inputs!$C$6)*78.233+Inputs!$C$47*37.719))*43758.5453)))-1)))</x:f>
        <x:v>286.69936407981004</x:v>
      </x:c>
      <x:c r="G77" s="48" t="n">
        <x:f>(Inputs!$C$51*(115*EXP(-(((0)-25)^2)/(4.5^2))+70*EXP(-(((0)+38)^2)/(7^2))*(0.55+0.45*SIN(2*PI()*(Model_Data!A77)/45))+24*SIN(2*PI()*(0)/9+(Model_Data!A77)/18)*EXP(-(((0)+5)^2)/(22^2))+18*SIN(2*PI()*(Model_Data!A77)/70))+Inputs!$C$28*EXP(-(((Model_Data!A77)-Inputs!$C$29)^2)/(2*Inputs!$C$31^2))*EXP(-(((0)-Inputs!$C$30)^2)/(2*Inputs!$C$32^2))+-Inputs!$C$33*EXP(-(((((Model_Data!A77)-Inputs!$C$34)^2)+(((0)-Inputs!$C$35)^2))/(2*Inputs!$C$36^2)))+Inputs!$C$37*(0.55*SIN(2*PI()*(Model_Data!A77)/Inputs!$C$39)+0.35*COS(2*PI()*(0)/Inputs!$C$40)+0.2*SIN(2*PI()*((Model_Data!A77)+(0))/(0.5*(Inputs!$C$39+Inputs!$C$40))))+Inputs!$C$38*SIN(2*PI()*(Model_Data!A77)/Inputs!$C$39)*SIN(2*PI()*(0)/Inputs!$C$40)+-Inputs!$C$41*EXP(-(((0)-Inputs!$C$43)^2)/(2*Inputs!$C$44^2))*EXP(-(((Model_Data!A77)-Inputs!$C$42)^2)/(2*Inputs!$C$45^2))+Inputs!$C$48*(0.70*(0.45*SIN(2*PI()*(((Model_Data!A77)/Inputs!$C$49)+Inputs!$C$47*0.137))+0.35*COS(2*PI()*(((0)/Inputs!$C$50)+Inputs!$C$47*0.173))+0.20*SIN(2*PI()*(((Model_Data!A77)+(0))/(0.5*(Inputs!$C$49+Inputs!$C$50))+Inputs!$C$47*0.097)))+0.30*(2*((SIN(((Model_Data!A77)*12.9898+(0)*78.233+Inputs!$C$47*37.719))*43758.5453)-INT((SIN(((Model_Data!A77)*12.9898+(0)*78.233+Inputs!$C$47*37.719))*43758.5453)))-1)))</x:f>
        <x:v>-138.29494668428998</x:v>
      </x:c>
      <x:c r="H77" s="49"/>
      <x:c r="I77" s="48" t="n">
        <x:f>Model_Data!A77</x:f>
        <x:v>-22.5</x:v>
      </x:c>
      <x:c r="J77" s="48" t="n">
        <x:f>((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(0.45*SIN(2*PI()*(((Model_Data!A77)/Inputs!$C$49)+Inputs!$C$47*0.137))+0.35*COS(2*PI()*(((Inputs!$C$6)/Inputs!$C$50)+Inputs!$C$47*0.173))+0.20*SIN(2*PI()*(((Model_Data!A77)+(Inputs!$C$6))/(0.5*(Inputs!$C$49+Inputs!$C$50))+Inputs!$C$47*0.097)))+0.30*(2*((SIN(((Model_Data!A77)*12.9898+(Inputs!$C$6)*78.233+Inputs!$C$47*37.719))*43758.5453)-INT((SIN(((Model_Data!A77)*12.9898+(Inputs!$C$6)*78.233+Inputs!$C$47*37.719))*43758.5453)))-1))))-((Inputs!$C$51*(115*EXP(-(((0)-25)^2)/(4.5^2))+70*EXP(-(((0)+38)^2)/(7^2))*(0.55+0.45*SIN(2*PI()*(Model_Data!A77)/45))+24*SIN(2*PI()*(0)/9+(Model_Data!A77)/18)*EXP(-(((0)+5)^2)/(22^2))+18*SIN(2*PI()*(Model_Data!A77)/70))+Inputs!$C$28*EXP(-(((Model_Data!A77)-Inputs!$C$29)^2)/(2*Inputs!$C$31^2))*EXP(-(((0)-Inputs!$C$30)^2)/(2*Inputs!$C$32^2))+-Inputs!$C$33*EXP(-(((((Model_Data!A77)-Inputs!$C$34)^2)+(((0)-Inputs!$C$35)^2))/(2*Inputs!$C$36^2)))+Inputs!$C$37*(0.55*SIN(2*PI()*(Model_Data!A77)/Inputs!$C$39)+0.35*COS(2*PI()*(0)/Inputs!$C$40)+0.2*SIN(2*PI()*((Model_Data!A77)+(0))/(0.5*(Inputs!$C$39+Inputs!$C$40))))+Inputs!$C$38*SIN(2*PI()*(Model_Data!A77)/Inputs!$C$39)*SIN(2*PI()*(0)/Inputs!$C$40)+-Inputs!$C$41*EXP(-(((0)-Inputs!$C$43)^2)/(2*Inputs!$C$44^2))*EXP(-(((Model_Data!A77)-Inputs!$C$42)^2)/(2*Inputs!$C$45^2))+Inputs!$C$48*(0.70*(0.45*SIN(2*PI()*(((Model_Data!A77)/Inputs!$C$49)+Inputs!$C$47*0.137))+0.35*COS(2*PI()*(((0)/Inputs!$C$50)+Inputs!$C$47*0.173))+0.20*SIN(2*PI()*(((Model_Data!A77)+(0))/(0.5*(Inputs!$C$49+Inputs!$C$50))+Inputs!$C$47*0.097)))+0.30*(2*((SIN(((Model_Data!A77)*12.9898+(0)*78.233+Inputs!$C$47*37.719))*43758.5453)-INT((SIN(((Model_Data!A77)*12.9898+(0)*78.233+Inputs!$C$47*37.719))*43758.5453)))-1))))</x:f>
        <x:v>424.9943107641</x:v>
      </x:c>
      <x:c r="K77" s="48" t="n">
        <x:f>-((((SQRT((Model_Data!A77)^2+Inputs!$C$6^2+((Model_Data!B77)-((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(0.45*SIN(2*PI()*(((Model_Data!A77)/Inputs!$C$49)+Inputs!$C$47*0.137))+0.35*COS(2*PI()*(((Inputs!$C$6)/Inputs!$C$50)+Inputs!$C$47*0.173))+0.20*SIN(2*PI()*(((Model_Data!A77)+(Inputs!$C$6))/(0.5*(Inputs!$C$49+Inputs!$C$50))+Inputs!$C$47*0.097)))+0.30*(2*((SIN(((Model_Data!A77)*12.9898+(Inputs!$C$6)*78.233+Inputs!$C$47*37.719))*43758.5453)-INT((SIN(((Model_Data!A77)*12.9898+(Inputs!$C$6)*78.233+Inputs!$C$47*37.719))*43758.5453)))-1))))/1000)^2))-(((Model_Data!B77)-((Inputs!$C$51*(115*EXP(-(((0)-25)^2)/(4.5^2))+70*EXP(-(((0)+38)^2)/(7^2))*(0.55+0.45*SIN(2*PI()*(Model_Data!A77)/45))+24*SIN(2*PI()*(0)/9+(Model_Data!A77)/18)*EXP(-(((0)+5)^2)/(22^2))+18*SIN(2*PI()*(Model_Data!A77)/70))+Inputs!$C$28*EXP(-(((Model_Data!A77)-Inputs!$C$29)^2)/(2*Inputs!$C$31^2))*EXP(-(((0)-Inputs!$C$30)^2)/(2*Inputs!$C$32^2))+-Inputs!$C$33*EXP(-(((((Model_Data!A77)-Inputs!$C$34)^2)+(((0)-Inputs!$C$35)^2))/(2*Inputs!$C$36^2)))+Inputs!$C$37*(0.55*SIN(2*PI()*(Model_Data!A77)/Inputs!$C$39)+0.35*COS(2*PI()*(0)/Inputs!$C$40)+0.2*SIN(2*PI()*((Model_Data!A77)+(0))/(0.5*(Inputs!$C$39+Inputs!$C$40))))+Inputs!$C$38*SIN(2*PI()*(Model_Data!A77)/Inputs!$C$39)*SIN(2*PI()*(0)/Inputs!$C$40)+-Inputs!$C$41*EXP(-(((0)-Inputs!$C$43)^2)/(2*Inputs!$C$44^2))*EXP(-(((Model_Data!A77)-Inputs!$C$42)^2)/(2*Inputs!$C$45^2))+Inputs!$C$48*(0.70*(0.45*SIN(2*PI()*(((Model_Data!A77)/Inputs!$C$49)+Inputs!$C$47*0.137))+0.35*COS(2*PI()*(((0)/Inputs!$C$50)+Inputs!$C$47*0.173))+0.20*SIN(2*PI()*(((Model_Data!A77)+(0))/(0.5*(Inputs!$C$49+Inputs!$C$50))+Inputs!$C$47*0.097)))+0.30*(2*((SIN(((Model_Data!A77)*12.9898+(0)*78.233+Inputs!$C$47*37.719))*43758.5453)-INT((SIN(((Model_Data!A77)*12.9898+(0)*78.233+Inputs!$C$47*37.719))*43758.5453)))-1))))/1000)))*1000/Inputs!$C$12)-Model_Data!F77)</x:f>
        <x:v>238.19563206562464</x:v>
      </x:c>
      <x:c r="L77" s="49"/>
      <x:c r="M77" s="48" t="n">
        <x:f>Model_Data!A77</x:f>
        <x:v>-22.5</x:v>
      </x:c>
      <x:c r="N77" s="48" t="n">
        <x:f>Model_Data!P77</x:f>
        <x:v>169.27791899911472</x:v>
      </x:c>
      <x:c r="O77" s="48" t="n">
        <x:f>AC77</x:f>
        <x:v>228.41900845887722</x:v>
      </x:c>
      <x:c r="P77" s="48" t="n">
        <x:f>Model_Data!Q77</x:f>
        <x:v>25.417104954822033</x:v>
      </x:c>
      <x:c r="Q77" s="48" t="n">
        <x:f>AD77</x:f>
        <x:v>34.297148417248835</x:v>
      </x:c>
      <x:c r="R77" s="49"/>
      <x:c r="S77" s="48" t="n">
        <x:f>Model_Data!A77</x:f>
        <x:v>-22.5</x:v>
      </x:c>
      <x:c r="T77" s="48" t="n">
        <x:f>Model_Data!B77-Inputs!$C$5</x:f>
        <x:v>0.5625</x:v>
      </x:c>
      <x:c r="U77" s="49"/>
      <x:c r="V77" s="48" t="n">
        <x:f>Model_Data!A77</x:f>
        <x:v>-22.5</x:v>
      </x:c>
      <x:c r="W77" s="48" t="n">
        <x:f>(-((((SQRT((Model_Data!A77)^2+Inputs!$C$6^2+((Model_Data!B77)-((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(0.45*SIN(2*PI()*(((Model_Data!A77)/Inputs!$C$49)+Inputs!$C$47*0.137))+0.35*COS(2*PI()*(((Inputs!$C$6)/Inputs!$C$50)+Inputs!$C$47*0.173))+0.20*SIN(2*PI()*(((Model_Data!A77)+(Inputs!$C$6))/(0.5*(Inputs!$C$49+Inputs!$C$50))+Inputs!$C$47*0.097)))+0.30*(2*((SIN(((Model_Data!A77)*12.9898+(Inputs!$C$6)*78.233+Inputs!$C$47*37.719))*43758.5453)-INT((SIN(((Model_Data!A77)*12.9898+(Inputs!$C$6)*78.233+Inputs!$C$47*37.719))*43758.5453)))-1))))/1000)^2))-(((Model_Data!B77)-((Inputs!$C$51*(115*EXP(-(((0)-25)^2)/(4.5^2))+70*EXP(-(((0)+38)^2)/(7^2))*(0.55+0.45*SIN(2*PI()*(Model_Data!A77)/45))+24*SIN(2*PI()*(0)/9+(Model_Data!A77)/18)*EXP(-(((0)+5)^2)/(22^2))+18*SIN(2*PI()*(Model_Data!A77)/70))+Inputs!$C$28*EXP(-(((Model_Data!A77)-Inputs!$C$29)^2)/(2*Inputs!$C$31^2))*EXP(-(((0)-Inputs!$C$30)^2)/(2*Inputs!$C$32^2))+-Inputs!$C$33*EXP(-(((((Model_Data!A77)-Inputs!$C$34)^2)+(((0)-Inputs!$C$35)^2))/(2*Inputs!$C$36^2)))+Inputs!$C$37*(0.55*SIN(2*PI()*(Model_Data!A77)/Inputs!$C$39)+0.35*COS(2*PI()*(0)/Inputs!$C$40)+0.2*SIN(2*PI()*((Model_Data!A77)+(0))/(0.5*(Inputs!$C$39+Inputs!$C$40))))+Inputs!$C$38*SIN(2*PI()*(Model_Data!A77)/Inputs!$C$39)*SIN(2*PI()*(0)/Inputs!$C$40)+-Inputs!$C$41*EXP(-(((0)-Inputs!$C$43)^2)/(2*Inputs!$C$44^2))*EXP(-(((Model_Data!A77)-Inputs!$C$42)^2)/(2*Inputs!$C$45^2))+Inputs!$C$48*(0.70*(0.45*SIN(2*PI()*(((Model_Data!A77)/Inputs!$C$49)+Inputs!$C$47*0.137))+0.35*COS(2*PI()*(((0)/Inputs!$C$50)+Inputs!$C$47*0.173))+0.20*SIN(2*PI()*(((Model_Data!A77)+(0))/(0.5*(Inputs!$C$49+Inputs!$C$50))+Inputs!$C$47*0.097)))+0.30*(2*((SIN(((Model_Data!A77)*12.9898+(0)*78.233+Inputs!$C$47*37.719))*43758.5453)-INT((SIN(((Model_Data!A77)*12.9898+(0)*78.233+Inputs!$C$47*37.719))*43758.5453)))-1))))/1000)))*1000/Inputs!$C$12)-Model_Data!F77))-(-(((SQRT((Model_Data!A77)^2+Inputs!$C$6^2+(Inputs!$C$5-((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(0.45*SIN(2*PI()*(((Model_Data!A77)/Inputs!$C$49)+Inputs!$C$47*0.137))+0.35*COS(2*PI()*(((Inputs!$C$6)/Inputs!$C$50)+Inputs!$C$47*0.173))+0.20*SIN(2*PI()*(((Model_Data!A77)+(Inputs!$C$6))/(0.5*(Inputs!$C$49+Inputs!$C$50))+Inputs!$C$47*0.097)))+0.30*(2*((SIN(((Model_Data!A77)*12.9898+(Inputs!$C$6)*78.233+Inputs!$C$47*37.719))*43758.5453)-INT((SIN(((Model_Data!A77)*12.9898+(Inputs!$C$6)*78.233+Inputs!$C$47*37.719))*43758.5453)))-1))))/1000)^2)-(Inputs!$C$5-((Inputs!$C$51*(115*EXP(-(((0)-25)^2)/(4.5^2))+70*EXP(-(((0)+38)^2)/(7^2))*(0.55+0.45*SIN(2*PI()*(Model_Data!A77)/45))+24*SIN(2*PI()*(0)/9+(Model_Data!A77)/18)*EXP(-(((0)+5)^2)/(22^2))+18*SIN(2*PI()*(Model_Data!A77)/70))+Inputs!$C$28*EXP(-(((Model_Data!A77)-Inputs!$C$29)^2)/(2*Inputs!$C$31^2))*EXP(-(((0)-Inputs!$C$30)^2)/(2*Inputs!$C$32^2))+-Inputs!$C$33*EXP(-(((((Model_Data!A77)-Inputs!$C$34)^2)+(((0)-Inputs!$C$35)^2))/(2*Inputs!$C$36^2)))+Inputs!$C$37*(0.55*SIN(2*PI()*(Model_Data!A77)/Inputs!$C$39)+0.35*COS(2*PI()*(0)/Inputs!$C$40)+0.2*SIN(2*PI()*((Model_Data!A77)+(0))/(0.5*(Inputs!$C$39+Inputs!$C$40))))+Inputs!$C$38*SIN(2*PI()*(Model_Data!A77)/Inputs!$C$39)*SIN(2*PI()*(0)/Inputs!$C$40)+-Inputs!$C$41*EXP(-(((0)-Inputs!$C$43)^2)/(2*Inputs!$C$44^2))*EXP(-(((Model_Data!A77)-Inputs!$C$42)^2)/(2*Inputs!$C$45^2))+Inputs!$C$48*(0.70*(0.45*SIN(2*PI()*(((Model_Data!A77)/Inputs!$C$49)+Inputs!$C$47*0.137))+0.35*COS(2*PI()*(((0)/Inputs!$C$50)+Inputs!$C$47*0.173))+0.20*SIN(2*PI()*(((Model_Data!A77)+(0))/(0.5*(Inputs!$C$49+Inputs!$C$50))+Inputs!$C$47*0.097)))+0.30*(2*((SIN(((Model_Data!A77)*12.9898+(0)*78.233+Inputs!$C$47*37.719))*43758.5453)-INT((SIN(((Model_Data!A77)*12.9898+(0)*78.233+Inputs!$C$47*37.719))*43758.5453)))-1))))/1000))*1000/Inputs!$C$12)-((SQRT((Model_Data!A77)^2+Inputs!$C$6^2+Inputs!$C$5^2)-Inputs!$C$5)*1000/Inputs!$C$12)))</x:f>
        <x:v>0.0015829703231702297</x:v>
      </x:c>
      <x:c r="X77" s="48" t="n">
        <x:f>0</x:f>
        <x:v>0</x:v>
      </x:c>
      <x:c r="Y77" s="49"/>
      <x:c r="Z77" s="48" t="n">
        <x:f>Model_Data!A77</x:f>
        <x:v>-22.5</x:v>
      </x:c>
      <x:c r="AA77" s="48" t="n">
        <x:f>SQRT((Model_Data!A77)^2+Inputs!$C$6^2+((Model_Data!B77)-((Inputs!$C$51*(115*EXP(-(((Inputs!$C$6)-25)^2)/(4.5^2))+70*EXP(-(((Inputs!$C$6)+38)^2)/(7^2))*(0.55+0.45*SIN(2*PI()*(Model_Data!A77)/45))+24*SIN(2*PI()*(Inputs!$C$6)/9+(Model_Data!A77)/18)*EXP(-(((Inputs!$C$6)+5)^2)/(22^2))+18*SIN(2*PI()*(Model_Data!A77)/70))+Inputs!$C$28*EXP(-(((Model_Data!A77)-Inputs!$C$29)^2)/(2*Inputs!$C$31^2))*EXP(-(((Inputs!$C$6)-Inputs!$C$30)^2)/(2*Inputs!$C$32^2))+-Inputs!$C$33*EXP(-(((((Model_Data!A77)-Inputs!$C$34)^2)+(((Inputs!$C$6)-Inputs!$C$35)^2))/(2*Inputs!$C$36^2)))+Inputs!$C$37*(0.55*SIN(2*PI()*(Model_Data!A77)/Inputs!$C$39)+0.35*COS(2*PI()*(Inputs!$C$6)/Inputs!$C$40)+0.2*SIN(2*PI()*((Model_Data!A77)+(Inputs!$C$6))/(0.5*(Inputs!$C$39+Inputs!$C$40))))+Inputs!$C$38*SIN(2*PI()*(Model_Data!A77)/Inputs!$C$39)*SIN(2*PI()*(Inputs!$C$6)/Inputs!$C$40)+-Inputs!$C$41*EXP(-(((Inputs!$C$6)-Inputs!$C$43)^2)/(2*Inputs!$C$44^2))*EXP(-(((Model_Data!A77)-Inputs!$C$42)^2)/(2*Inputs!$C$45^2))+Inputs!$C$48*(0.70*(0.45*SIN(2*PI()*(((Model_Data!A77)/Inputs!$C$49)+Inputs!$C$47*0.137))+0.35*COS(2*PI()*(((Inputs!$C$6)/Inputs!$C$50)+Inputs!$C$47*0.173))+0.20*SIN(2*PI()*(((Model_Data!A77)+(Inputs!$C$6))/(0.5*(Inputs!$C$49+Inputs!$C$50))+Inputs!$C$47*0.097)))+0.30*(2*((SIN(((Model_Data!A77)*12.9898+(Inputs!$C$6)*78.233+Inputs!$C$47*37.719))*43758.5453)-INT((SIN(((Model_Data!A77)*12.9898+(Inputs!$C$6)*78.233+Inputs!$C$47*37.719))*43758.5453)))-1))))/1000)^2)</x:f>
        <x:v>401.68640327340796</x:v>
      </x:c>
      <x:c r="AB77" s="48" t="n">
        <x:f>1000*(AA78-AA76)/(Z78-Z76)*Inputs!$C$11</x:f>
        <x:v>-571.047521147193</x:v>
      </x:c>
      <x:c r="AC77" s="48" t="n">
        <x:f>-2*AB77/Inputs!$C$13</x:f>
        <x:v>228.41900845887722</x:v>
      </x:c>
      <x:c r="AD77" s="48" t="n">
        <x:f>-2*AB77/Inputs!$C$14</x:f>
        <x:v>34.297148417248835</x:v>
      </x:c>
    </x:row>
    <x:row r="78">
      <x:c r="A78" s="48" t="n">
        <x:f>Model_Data!A78</x:f>
        <x:v>-22</x:v>
      </x:c>
      <x:c r="B78" s="48" t="n">
        <x:f>Model_Data!F78</x:f>
        <x:v>776.4070510875223</x:v>
      </x:c>
      <x:c r="C78" s="48" t="n">
        <x:f>(((SQRT((Model_Data!A78)^2+Inputs!$C$6^2+((Model_Data!B78)-((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(0.45*SIN(2*PI()*(((Model_Data!A78)/Inputs!$C$49)+Inputs!$C$47*0.137))+0.35*COS(2*PI()*(((Inputs!$C$6)/Inputs!$C$50)+Inputs!$C$47*0.173))+0.20*SIN(2*PI()*(((Model_Data!A78)+(Inputs!$C$6))/(0.5*(Inputs!$C$49+Inputs!$C$50))+Inputs!$C$47*0.097)))+0.30*(2*((SIN(((Model_Data!A78)*12.9898+(Inputs!$C$6)*78.233+Inputs!$C$47*37.719))*43758.5453)-INT((SIN(((Model_Data!A78)*12.9898+(Inputs!$C$6)*78.233+Inputs!$C$47*37.719))*43758.5453)))-1))))/1000)^2))-(((Model_Data!B78)-((Inputs!$C$51*(115*EXP(-(((0)-25)^2)/(4.5^2))+70*EXP(-(((0)+38)^2)/(7^2))*(0.55+0.45*SIN(2*PI()*(Model_Data!A78)/45))+24*SIN(2*PI()*(0)/9+(Model_Data!A78)/18)*EXP(-(((0)+5)^2)/(22^2))+18*SIN(2*PI()*(Model_Data!A78)/70))+Inputs!$C$28*EXP(-(((Model_Data!A78)-Inputs!$C$29)^2)/(2*Inputs!$C$31^2))*EXP(-(((0)-Inputs!$C$30)^2)/(2*Inputs!$C$32^2))+-Inputs!$C$33*EXP(-(((((Model_Data!A78)-Inputs!$C$34)^2)+(((0)-Inputs!$C$35)^2))/(2*Inputs!$C$36^2)))+Inputs!$C$37*(0.55*SIN(2*PI()*(Model_Data!A78)/Inputs!$C$39)+0.35*COS(2*PI()*(0)/Inputs!$C$40)+0.2*SIN(2*PI()*((Model_Data!A78)+(0))/(0.5*(Inputs!$C$39+Inputs!$C$40))))+Inputs!$C$38*SIN(2*PI()*(Model_Data!A78)/Inputs!$C$39)*SIN(2*PI()*(0)/Inputs!$C$40)+-Inputs!$C$41*EXP(-(((0)-Inputs!$C$43)^2)/(2*Inputs!$C$44^2))*EXP(-(((Model_Data!A78)-Inputs!$C$42)^2)/(2*Inputs!$C$45^2))+Inputs!$C$48*(0.70*(0.45*SIN(2*PI()*(((Model_Data!A78)/Inputs!$C$49)+Inputs!$C$47*0.137))+0.35*COS(2*PI()*(((0)/Inputs!$C$50)+Inputs!$C$47*0.173))+0.20*SIN(2*PI()*(((Model_Data!A78)+(0))/(0.5*(Inputs!$C$49+Inputs!$C$50))+Inputs!$C$47*0.097)))+0.30*(2*((SIN(((Model_Data!A78)*12.9898+(0)*78.233+Inputs!$C$47*37.719))*43758.5453)-INT((SIN(((Model_Data!A78)*12.9898+(0)*78.233+Inputs!$C$47*37.719))*43758.5453)))-1))))/1000)))*1000/Inputs!$C$12)</x:f>
        <x:v>518.1947366169976</x:v>
      </x:c>
      <x:c r="D78" s="49"/>
      <x:c r="E78" s="48" t="n">
        <x:f>Model_Data!A78</x:f>
        <x:v>-22</x:v>
      </x:c>
      <x:c r="F78" s="48" t="n">
        <x:f>(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(0.45*SIN(2*PI()*(((Model_Data!A78)/Inputs!$C$49)+Inputs!$C$47*0.137))+0.35*COS(2*PI()*(((Inputs!$C$6)/Inputs!$C$50)+Inputs!$C$47*0.173))+0.20*SIN(2*PI()*(((Model_Data!A78)+(Inputs!$C$6))/(0.5*(Inputs!$C$49+Inputs!$C$50))+Inputs!$C$47*0.097)))+0.30*(2*((SIN(((Model_Data!A78)*12.9898+(Inputs!$C$6)*78.233+Inputs!$C$47*37.719))*43758.5453)-INT((SIN(((Model_Data!A78)*12.9898+(Inputs!$C$6)*78.233+Inputs!$C$47*37.719))*43758.5453)))-1)))</x:f>
        <x:v>316.60820817766927</x:v>
      </x:c>
      <x:c r="G78" s="48" t="n">
        <x:f>(Inputs!$C$51*(115*EXP(-(((0)-25)^2)/(4.5^2))+70*EXP(-(((0)+38)^2)/(7^2))*(0.55+0.45*SIN(2*PI()*(Model_Data!A78)/45))+24*SIN(2*PI()*(0)/9+(Model_Data!A78)/18)*EXP(-(((0)+5)^2)/(22^2))+18*SIN(2*PI()*(Model_Data!A78)/70))+Inputs!$C$28*EXP(-(((Model_Data!A78)-Inputs!$C$29)^2)/(2*Inputs!$C$31^2))*EXP(-(((0)-Inputs!$C$30)^2)/(2*Inputs!$C$32^2))+-Inputs!$C$33*EXP(-(((((Model_Data!A78)-Inputs!$C$34)^2)+(((0)-Inputs!$C$35)^2))/(2*Inputs!$C$36^2)))+Inputs!$C$37*(0.55*SIN(2*PI()*(Model_Data!A78)/Inputs!$C$39)+0.35*COS(2*PI()*(0)/Inputs!$C$40)+0.2*SIN(2*PI()*((Model_Data!A78)+(0))/(0.5*(Inputs!$C$39+Inputs!$C$40))))+Inputs!$C$38*SIN(2*PI()*(Model_Data!A78)/Inputs!$C$39)*SIN(2*PI()*(0)/Inputs!$C$40)+-Inputs!$C$41*EXP(-(((0)-Inputs!$C$43)^2)/(2*Inputs!$C$44^2))*EXP(-(((Model_Data!A78)-Inputs!$C$42)^2)/(2*Inputs!$C$45^2))+Inputs!$C$48*(0.70*(0.45*SIN(2*PI()*(((Model_Data!A78)/Inputs!$C$49)+Inputs!$C$47*0.137))+0.35*COS(2*PI()*(((0)/Inputs!$C$50)+Inputs!$C$47*0.173))+0.20*SIN(2*PI()*(((Model_Data!A78)+(0))/(0.5*(Inputs!$C$49+Inputs!$C$50))+Inputs!$C$47*0.097)))+0.30*(2*((SIN(((Model_Data!A78)*12.9898+(0)*78.233+Inputs!$C$47*37.719))*43758.5453)-INT((SIN(((Model_Data!A78)*12.9898+(0)*78.233+Inputs!$C$47*37.719))*43758.5453)))-1)))</x:f>
        <x:v>-144.0992283446906</x:v>
      </x:c>
      <x:c r="H78" s="49"/>
      <x:c r="I78" s="48" t="n">
        <x:f>Model_Data!A78</x:f>
        <x:v>-22</x:v>
      </x:c>
      <x:c r="J78" s="48" t="n">
        <x:f>((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(0.45*SIN(2*PI()*(((Model_Data!A78)/Inputs!$C$49)+Inputs!$C$47*0.137))+0.35*COS(2*PI()*(((Inputs!$C$6)/Inputs!$C$50)+Inputs!$C$47*0.173))+0.20*SIN(2*PI()*(((Model_Data!A78)+(Inputs!$C$6))/(0.5*(Inputs!$C$49+Inputs!$C$50))+Inputs!$C$47*0.097)))+0.30*(2*((SIN(((Model_Data!A78)*12.9898+(Inputs!$C$6)*78.233+Inputs!$C$47*37.719))*43758.5453)-INT((SIN(((Model_Data!A78)*12.9898+(Inputs!$C$6)*78.233+Inputs!$C$47*37.719))*43758.5453)))-1))))-((Inputs!$C$51*(115*EXP(-(((0)-25)^2)/(4.5^2))+70*EXP(-(((0)+38)^2)/(7^2))*(0.55+0.45*SIN(2*PI()*(Model_Data!A78)/45))+24*SIN(2*PI()*(0)/9+(Model_Data!A78)/18)*EXP(-(((0)+5)^2)/(22^2))+18*SIN(2*PI()*(Model_Data!A78)/70))+Inputs!$C$28*EXP(-(((Model_Data!A78)-Inputs!$C$29)^2)/(2*Inputs!$C$31^2))*EXP(-(((0)-Inputs!$C$30)^2)/(2*Inputs!$C$32^2))+-Inputs!$C$33*EXP(-(((((Model_Data!A78)-Inputs!$C$34)^2)+(((0)-Inputs!$C$35)^2))/(2*Inputs!$C$36^2)))+Inputs!$C$37*(0.55*SIN(2*PI()*(Model_Data!A78)/Inputs!$C$39)+0.35*COS(2*PI()*(0)/Inputs!$C$40)+0.2*SIN(2*PI()*((Model_Data!A78)+(0))/(0.5*(Inputs!$C$39+Inputs!$C$40))))+Inputs!$C$38*SIN(2*PI()*(Model_Data!A78)/Inputs!$C$39)*SIN(2*PI()*(0)/Inputs!$C$40)+-Inputs!$C$41*EXP(-(((0)-Inputs!$C$43)^2)/(2*Inputs!$C$44^2))*EXP(-(((Model_Data!A78)-Inputs!$C$42)^2)/(2*Inputs!$C$45^2))+Inputs!$C$48*(0.70*(0.45*SIN(2*PI()*(((Model_Data!A78)/Inputs!$C$49)+Inputs!$C$47*0.137))+0.35*COS(2*PI()*(((0)/Inputs!$C$50)+Inputs!$C$47*0.173))+0.20*SIN(2*PI()*(((Model_Data!A78)+(0))/(0.5*(Inputs!$C$49+Inputs!$C$50))+Inputs!$C$47*0.097)))+0.30*(2*((SIN(((Model_Data!A78)*12.9898+(0)*78.233+Inputs!$C$47*37.719))*43758.5453)-INT((SIN(((Model_Data!A78)*12.9898+(0)*78.233+Inputs!$C$47*37.719))*43758.5453)))-1))))</x:f>
        <x:v>460.7074365223599</x:v>
      </x:c>
      <x:c r="K78" s="48" t="n">
        <x:f>-((((SQRT((Model_Data!A78)^2+Inputs!$C$6^2+((Model_Data!B78)-((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(0.45*SIN(2*PI()*(((Model_Data!A78)/Inputs!$C$49)+Inputs!$C$47*0.137))+0.35*COS(2*PI()*(((Inputs!$C$6)/Inputs!$C$50)+Inputs!$C$47*0.173))+0.20*SIN(2*PI()*(((Model_Data!A78)+(Inputs!$C$6))/(0.5*(Inputs!$C$49+Inputs!$C$50))+Inputs!$C$47*0.097)))+0.30*(2*((SIN(((Model_Data!A78)*12.9898+(Inputs!$C$6)*78.233+Inputs!$C$47*37.719))*43758.5453)-INT((SIN(((Model_Data!A78)*12.9898+(Inputs!$C$6)*78.233+Inputs!$C$47*37.719))*43758.5453)))-1))))/1000)^2))-(((Model_Data!B78)-((Inputs!$C$51*(115*EXP(-(((0)-25)^2)/(4.5^2))+70*EXP(-(((0)+38)^2)/(7^2))*(0.55+0.45*SIN(2*PI()*(Model_Data!A78)/45))+24*SIN(2*PI()*(0)/9+(Model_Data!A78)/18)*EXP(-(((0)+5)^2)/(22^2))+18*SIN(2*PI()*(Model_Data!A78)/70))+Inputs!$C$28*EXP(-(((Model_Data!A78)-Inputs!$C$29)^2)/(2*Inputs!$C$31^2))*EXP(-(((0)-Inputs!$C$30)^2)/(2*Inputs!$C$32^2))+-Inputs!$C$33*EXP(-(((((Model_Data!A78)-Inputs!$C$34)^2)+(((0)-Inputs!$C$35)^2))/(2*Inputs!$C$36^2)))+Inputs!$C$37*(0.55*SIN(2*PI()*(Model_Data!A78)/Inputs!$C$39)+0.35*COS(2*PI()*(0)/Inputs!$C$40)+0.2*SIN(2*PI()*((Model_Data!A78)+(0))/(0.5*(Inputs!$C$39+Inputs!$C$40))))+Inputs!$C$38*SIN(2*PI()*(Model_Data!A78)/Inputs!$C$39)*SIN(2*PI()*(0)/Inputs!$C$40)+-Inputs!$C$41*EXP(-(((0)-Inputs!$C$43)^2)/(2*Inputs!$C$44^2))*EXP(-(((Model_Data!A78)-Inputs!$C$42)^2)/(2*Inputs!$C$45^2))+Inputs!$C$48*(0.70*(0.45*SIN(2*PI()*(((Model_Data!A78)/Inputs!$C$49)+Inputs!$C$47*0.137))+0.35*COS(2*PI()*(((0)/Inputs!$C$50)+Inputs!$C$47*0.173))+0.20*SIN(2*PI()*(((Model_Data!A78)+(0))/(0.5*(Inputs!$C$49+Inputs!$C$50))+Inputs!$C$47*0.097)))+0.30*(2*((SIN(((Model_Data!A78)*12.9898+(0)*78.233+Inputs!$C$47*37.719))*43758.5453)-INT((SIN(((Model_Data!A78)*12.9898+(0)*78.233+Inputs!$C$47*37.719))*43758.5453)))-1))))/1000)))*1000/Inputs!$C$12)-Model_Data!F78)</x:f>
        <x:v>258.2123144705247</x:v>
      </x:c>
      <x:c r="L78" s="49"/>
      <x:c r="M78" s="48" t="n">
        <x:f>Model_Data!A78</x:f>
        <x:v>-22</x:v>
      </x:c>
      <x:c r="N78" s="48" t="n">
        <x:f>Model_Data!P78</x:f>
        <x:v>165.5329197190784</x:v>
      </x:c>
      <x:c r="O78" s="48" t="n">
        <x:f>AC78</x:f>
        <x:v>238.5476349872988</x:v>
      </x:c>
      <x:c r="P78" s="48" t="n">
        <x:f>Model_Data!Q78</x:f>
        <x:v>24.854792750612372</x:v>
      </x:c>
      <x:c r="Q78" s="48" t="n">
        <x:f>AD78</x:f>
        <x:v>35.81796321130613</x:v>
      </x:c>
      <x:c r="R78" s="49"/>
      <x:c r="S78" s="48" t="n">
        <x:f>Model_Data!A78</x:f>
        <x:v>-22</x:v>
      </x:c>
      <x:c r="T78" s="48" t="n">
        <x:f>Model_Data!B78-Inputs!$C$5</x:f>
        <x:v>0.5377777777777624</x:v>
      </x:c>
      <x:c r="U78" s="49"/>
      <x:c r="V78" s="48" t="n">
        <x:f>Model_Data!A78</x:f>
        <x:v>-22</x:v>
      </x:c>
      <x:c r="W78" s="48" t="n">
        <x:f>(-((((SQRT((Model_Data!A78)^2+Inputs!$C$6^2+((Model_Data!B78)-((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(0.45*SIN(2*PI()*(((Model_Data!A78)/Inputs!$C$49)+Inputs!$C$47*0.137))+0.35*COS(2*PI()*(((Inputs!$C$6)/Inputs!$C$50)+Inputs!$C$47*0.173))+0.20*SIN(2*PI()*(((Model_Data!A78)+(Inputs!$C$6))/(0.5*(Inputs!$C$49+Inputs!$C$50))+Inputs!$C$47*0.097)))+0.30*(2*((SIN(((Model_Data!A78)*12.9898+(Inputs!$C$6)*78.233+Inputs!$C$47*37.719))*43758.5453)-INT((SIN(((Model_Data!A78)*12.9898+(Inputs!$C$6)*78.233+Inputs!$C$47*37.719))*43758.5453)))-1))))/1000)^2))-(((Model_Data!B78)-((Inputs!$C$51*(115*EXP(-(((0)-25)^2)/(4.5^2))+70*EXP(-(((0)+38)^2)/(7^2))*(0.55+0.45*SIN(2*PI()*(Model_Data!A78)/45))+24*SIN(2*PI()*(0)/9+(Model_Data!A78)/18)*EXP(-(((0)+5)^2)/(22^2))+18*SIN(2*PI()*(Model_Data!A78)/70))+Inputs!$C$28*EXP(-(((Model_Data!A78)-Inputs!$C$29)^2)/(2*Inputs!$C$31^2))*EXP(-(((0)-Inputs!$C$30)^2)/(2*Inputs!$C$32^2))+-Inputs!$C$33*EXP(-(((((Model_Data!A78)-Inputs!$C$34)^2)+(((0)-Inputs!$C$35)^2))/(2*Inputs!$C$36^2)))+Inputs!$C$37*(0.55*SIN(2*PI()*(Model_Data!A78)/Inputs!$C$39)+0.35*COS(2*PI()*(0)/Inputs!$C$40)+0.2*SIN(2*PI()*((Model_Data!A78)+(0))/(0.5*(Inputs!$C$39+Inputs!$C$40))))+Inputs!$C$38*SIN(2*PI()*(Model_Data!A78)/Inputs!$C$39)*SIN(2*PI()*(0)/Inputs!$C$40)+-Inputs!$C$41*EXP(-(((0)-Inputs!$C$43)^2)/(2*Inputs!$C$44^2))*EXP(-(((Model_Data!A78)-Inputs!$C$42)^2)/(2*Inputs!$C$45^2))+Inputs!$C$48*(0.70*(0.45*SIN(2*PI()*(((Model_Data!A78)/Inputs!$C$49)+Inputs!$C$47*0.137))+0.35*COS(2*PI()*(((0)/Inputs!$C$50)+Inputs!$C$47*0.173))+0.20*SIN(2*PI()*(((Model_Data!A78)+(0))/(0.5*(Inputs!$C$49+Inputs!$C$50))+Inputs!$C$47*0.097)))+0.30*(2*((SIN(((Model_Data!A78)*12.9898+(0)*78.233+Inputs!$C$47*37.719))*43758.5453)-INT((SIN(((Model_Data!A78)*12.9898+(0)*78.233+Inputs!$C$47*37.719))*43758.5453)))-1))))/1000)))*1000/Inputs!$C$12)-Model_Data!F78))-(-(((SQRT((Model_Data!A78)^2+Inputs!$C$6^2+(Inputs!$C$5-((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(0.45*SIN(2*PI()*(((Model_Data!A78)/Inputs!$C$49)+Inputs!$C$47*0.137))+0.35*COS(2*PI()*(((Inputs!$C$6)/Inputs!$C$50)+Inputs!$C$47*0.173))+0.20*SIN(2*PI()*(((Model_Data!A78)+(Inputs!$C$6))/(0.5*(Inputs!$C$49+Inputs!$C$50))+Inputs!$C$47*0.097)))+0.30*(2*((SIN(((Model_Data!A78)*12.9898+(Inputs!$C$6)*78.233+Inputs!$C$47*37.719))*43758.5453)-INT((SIN(((Model_Data!A78)*12.9898+(Inputs!$C$6)*78.233+Inputs!$C$47*37.719))*43758.5453)))-1))))/1000)^2)-(Inputs!$C$5-((Inputs!$C$51*(115*EXP(-(((0)-25)^2)/(4.5^2))+70*EXP(-(((0)+38)^2)/(7^2))*(0.55+0.45*SIN(2*PI()*(Model_Data!A78)/45))+24*SIN(2*PI()*(0)/9+(Model_Data!A78)/18)*EXP(-(((0)+5)^2)/(22^2))+18*SIN(2*PI()*(Model_Data!A78)/70))+Inputs!$C$28*EXP(-(((Model_Data!A78)-Inputs!$C$29)^2)/(2*Inputs!$C$31^2))*EXP(-(((0)-Inputs!$C$30)^2)/(2*Inputs!$C$32^2))+-Inputs!$C$33*EXP(-(((((Model_Data!A78)-Inputs!$C$34)^2)+(((0)-Inputs!$C$35)^2))/(2*Inputs!$C$36^2)))+Inputs!$C$37*(0.55*SIN(2*PI()*(Model_Data!A78)/Inputs!$C$39)+0.35*COS(2*PI()*(0)/Inputs!$C$40)+0.2*SIN(2*PI()*((Model_Data!A78)+(0))/(0.5*(Inputs!$C$39+Inputs!$C$40))))+Inputs!$C$38*SIN(2*PI()*(Model_Data!A78)/Inputs!$C$39)*SIN(2*PI()*(0)/Inputs!$C$40)+-Inputs!$C$41*EXP(-(((0)-Inputs!$C$43)^2)/(2*Inputs!$C$44^2))*EXP(-(((Model_Data!A78)-Inputs!$C$42)^2)/(2*Inputs!$C$45^2))+Inputs!$C$48*(0.70*(0.45*SIN(2*PI()*(((Model_Data!A78)/Inputs!$C$49)+Inputs!$C$47*0.137))+0.35*COS(2*PI()*(((0)/Inputs!$C$50)+Inputs!$C$47*0.173))+0.20*SIN(2*PI()*(((Model_Data!A78)+(0))/(0.5*(Inputs!$C$49+Inputs!$C$50))+Inputs!$C$47*0.097)))+0.30*(2*((SIN(((Model_Data!A78)*12.9898+(0)*78.233+Inputs!$C$47*37.719))*43758.5453)-INT((SIN(((Model_Data!A78)*12.9898+(0)*78.233+Inputs!$C$47*37.719))*43758.5453)))-1))))/1000))*1000/Inputs!$C$12)-((SQRT((Model_Data!A78)^2+Inputs!$C$6^2+Inputs!$C$5^2)-Inputs!$C$5)*1000/Inputs!$C$12)))</x:f>
        <x:v>0.0016390783861197633</x:v>
      </x:c>
      <x:c r="X78" s="48" t="n">
        <x:f>0</x:f>
        <x:v>0</x:v>
      </x:c>
      <x:c r="Y78" s="49"/>
      <x:c r="Z78" s="48" t="n">
        <x:f>Model_Data!A78</x:f>
        <x:v>-22</x:v>
      </x:c>
      <x:c r="AA78" s="48" t="n">
        <x:f>SQRT((Model_Data!A78)^2+Inputs!$C$6^2+((Model_Data!B78)-((Inputs!$C$51*(115*EXP(-(((Inputs!$C$6)-25)^2)/(4.5^2))+70*EXP(-(((Inputs!$C$6)+38)^2)/(7^2))*(0.55+0.45*SIN(2*PI()*(Model_Data!A78)/45))+24*SIN(2*PI()*(Inputs!$C$6)/9+(Model_Data!A78)/18)*EXP(-(((Inputs!$C$6)+5)^2)/(22^2))+18*SIN(2*PI()*(Model_Data!A78)/70))+Inputs!$C$28*EXP(-(((Model_Data!A78)-Inputs!$C$29)^2)/(2*Inputs!$C$31^2))*EXP(-(((Inputs!$C$6)-Inputs!$C$30)^2)/(2*Inputs!$C$32^2))+-Inputs!$C$33*EXP(-(((((Model_Data!A78)-Inputs!$C$34)^2)+(((Inputs!$C$6)-Inputs!$C$35)^2))/(2*Inputs!$C$36^2)))+Inputs!$C$37*(0.55*SIN(2*PI()*(Model_Data!A78)/Inputs!$C$39)+0.35*COS(2*PI()*(Inputs!$C$6)/Inputs!$C$40)+0.2*SIN(2*PI()*((Model_Data!A78)+(Inputs!$C$6))/(0.5*(Inputs!$C$39+Inputs!$C$40))))+Inputs!$C$38*SIN(2*PI()*(Model_Data!A78)/Inputs!$C$39)*SIN(2*PI()*(Inputs!$C$6)/Inputs!$C$40)+-Inputs!$C$41*EXP(-(((Inputs!$C$6)-Inputs!$C$43)^2)/(2*Inputs!$C$44^2))*EXP(-(((Model_Data!A78)-Inputs!$C$42)^2)/(2*Inputs!$C$45^2))+Inputs!$C$48*(0.70*(0.45*SIN(2*PI()*(((Model_Data!A78)/Inputs!$C$49)+Inputs!$C$47*0.137))+0.35*COS(2*PI()*(((Inputs!$C$6)/Inputs!$C$50)+Inputs!$C$47*0.173))+0.20*SIN(2*PI()*(((Model_Data!A78)+(Inputs!$C$6))/(0.5*(Inputs!$C$49+Inputs!$C$50))+Inputs!$C$47*0.097)))+0.30*(2*((SIN(((Model_Data!A78)*12.9898+(Inputs!$C$6)*78.233+Inputs!$C$47*37.719))*43758.5453)-INT((SIN(((Model_Data!A78)*12.9898+(Inputs!$C$6)*78.233+Inputs!$C$47*37.719))*43758.5453)))-1))))/1000)^2)</x:f>
        <x:v>401.60426363730073</x:v>
      </x:c>
      <x:c r="AB78" s="48" t="n">
        <x:f>1000*(AA79-AA77)/(Z79-Z77)*Inputs!$C$11</x:f>
        <x:v>-596.369087468247</x:v>
      </x:c>
      <x:c r="AC78" s="48" t="n">
        <x:f>-2*AB78/Inputs!$C$13</x:f>
        <x:v>238.5476349872988</x:v>
      </x:c>
      <x:c r="AD78" s="48" t="n">
        <x:f>-2*AB78/Inputs!$C$14</x:f>
        <x:v>35.81796321130613</x:v>
      </x:c>
    </x:row>
    <x:row r="79">
      <x:c r="A79" s="48" t="n">
        <x:f>Model_Data!A79</x:f>
        <x:v>-21.5</x:v>
      </x:c>
      <x:c r="B79" s="48" t="n">
        <x:f>Model_Data!F79</x:f>
        <x:v>761.2513947886907</x:v>
      </x:c>
      <x:c r="C79" s="48" t="n">
        <x:f>(((SQRT((Model_Data!A79)^2+Inputs!$C$6^2+((Model_Data!B79)-((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(0.45*SIN(2*PI()*(((Model_Data!A79)/Inputs!$C$49)+Inputs!$C$47*0.137))+0.35*COS(2*PI()*(((Inputs!$C$6)/Inputs!$C$50)+Inputs!$C$47*0.173))+0.20*SIN(2*PI()*(((Model_Data!A79)+(Inputs!$C$6))/(0.5*(Inputs!$C$49+Inputs!$C$50))+Inputs!$C$47*0.097)))+0.30*(2*((SIN(((Model_Data!A79)*12.9898+(Inputs!$C$6)*78.233+Inputs!$C$47*37.719))*43758.5453)-INT((SIN(((Model_Data!A79)*12.9898+(Inputs!$C$6)*78.233+Inputs!$C$47*37.719))*43758.5453)))-1))))/1000)^2))-(((Model_Data!B79)-((Inputs!$C$51*(115*EXP(-(((0)-25)^2)/(4.5^2))+70*EXP(-(((0)+38)^2)/(7^2))*(0.55+0.45*SIN(2*PI()*(Model_Data!A79)/45))+24*SIN(2*PI()*(0)/9+(Model_Data!A79)/18)*EXP(-(((0)+5)^2)/(22^2))+18*SIN(2*PI()*(Model_Data!A79)/70))+Inputs!$C$28*EXP(-(((Model_Data!A79)-Inputs!$C$29)^2)/(2*Inputs!$C$31^2))*EXP(-(((0)-Inputs!$C$30)^2)/(2*Inputs!$C$32^2))+-Inputs!$C$33*EXP(-(((((Model_Data!A79)-Inputs!$C$34)^2)+(((0)-Inputs!$C$35)^2))/(2*Inputs!$C$36^2)))+Inputs!$C$37*(0.55*SIN(2*PI()*(Model_Data!A79)/Inputs!$C$39)+0.35*COS(2*PI()*(0)/Inputs!$C$40)+0.2*SIN(2*PI()*((Model_Data!A79)+(0))/(0.5*(Inputs!$C$39+Inputs!$C$40))))+Inputs!$C$38*SIN(2*PI()*(Model_Data!A79)/Inputs!$C$39)*SIN(2*PI()*(0)/Inputs!$C$40)+-Inputs!$C$41*EXP(-(((0)-Inputs!$C$43)^2)/(2*Inputs!$C$44^2))*EXP(-(((Model_Data!A79)-Inputs!$C$42)^2)/(2*Inputs!$C$45^2))+Inputs!$C$48*(0.70*(0.45*SIN(2*PI()*(((Model_Data!A79)/Inputs!$C$49)+Inputs!$C$47*0.137))+0.35*COS(2*PI()*(((0)/Inputs!$C$50)+Inputs!$C$47*0.173))+0.20*SIN(2*PI()*(((Model_Data!A79)+(0))/(0.5*(Inputs!$C$49+Inputs!$C$50))+Inputs!$C$47*0.097)))+0.30*(2*((SIN(((Model_Data!A79)*12.9898+(0)*78.233+Inputs!$C$47*37.719))*43758.5453)-INT((SIN(((Model_Data!A79)*12.9898+(0)*78.233+Inputs!$C$47*37.719))*43758.5453)))-1))))/1000)))*1000/Inputs!$C$12)</x:f>
        <x:v>486.9468215037762</x:v>
      </x:c>
      <x:c r="D79" s="49"/>
      <x:c r="E79" s="48" t="n">
        <x:f>Model_Data!A79</x:f>
        <x:v>-21.5</x:v>
      </x:c>
      <x:c r="F79" s="48" t="n">
        <x:f>(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(0.45*SIN(2*PI()*(((Model_Data!A79)/Inputs!$C$49)+Inputs!$C$47*0.137))+0.35*COS(2*PI()*(((Inputs!$C$6)/Inputs!$C$50)+Inputs!$C$47*0.173))+0.20*SIN(2*PI()*(((Model_Data!A79)+(Inputs!$C$6))/(0.5*(Inputs!$C$49+Inputs!$C$50))+Inputs!$C$47*0.097)))+0.30*(2*((SIN(((Model_Data!A79)*12.9898+(Inputs!$C$6)*78.233+Inputs!$C$47*37.719))*43758.5453)-INT((SIN(((Model_Data!A79)*12.9898+(Inputs!$C$6)*78.233+Inputs!$C$47*37.719))*43758.5453)))-1)))</x:f>
        <x:v>332.44947759769417</x:v>
      </x:c>
      <x:c r="G79" s="48" t="n">
        <x:f>(Inputs!$C$51*(115*EXP(-(((0)-25)^2)/(4.5^2))+70*EXP(-(((0)+38)^2)/(7^2))*(0.55+0.45*SIN(2*PI()*(Model_Data!A79)/45))+24*SIN(2*PI()*(0)/9+(Model_Data!A79)/18)*EXP(-(((0)+5)^2)/(22^2))+18*SIN(2*PI()*(Model_Data!A79)/70))+Inputs!$C$28*EXP(-(((Model_Data!A79)-Inputs!$C$29)^2)/(2*Inputs!$C$31^2))*EXP(-(((0)-Inputs!$C$30)^2)/(2*Inputs!$C$32^2))+-Inputs!$C$33*EXP(-(((((Model_Data!A79)-Inputs!$C$34)^2)+(((0)-Inputs!$C$35)^2))/(2*Inputs!$C$36^2)))+Inputs!$C$37*(0.55*SIN(2*PI()*(Model_Data!A79)/Inputs!$C$39)+0.35*COS(2*PI()*(0)/Inputs!$C$40)+0.2*SIN(2*PI()*((Model_Data!A79)+(0))/(0.5*(Inputs!$C$39+Inputs!$C$40))))+Inputs!$C$38*SIN(2*PI()*(Model_Data!A79)/Inputs!$C$39)*SIN(2*PI()*(0)/Inputs!$C$40)+-Inputs!$C$41*EXP(-(((0)-Inputs!$C$43)^2)/(2*Inputs!$C$44^2))*EXP(-(((Model_Data!A79)-Inputs!$C$42)^2)/(2*Inputs!$C$45^2))+Inputs!$C$48*(0.70*(0.45*SIN(2*PI()*(((Model_Data!A79)/Inputs!$C$49)+Inputs!$C$47*0.137))+0.35*COS(2*PI()*(((0)/Inputs!$C$50)+Inputs!$C$47*0.173))+0.20*SIN(2*PI()*(((Model_Data!A79)+(0))/(0.5*(Inputs!$C$49+Inputs!$C$50))+Inputs!$C$47*0.097)))+0.30*(2*((SIN(((Model_Data!A79)*12.9898+(0)*78.233+Inputs!$C$47*37.719))*43758.5453)-INT((SIN(((Model_Data!A79)*12.9898+(0)*78.233+Inputs!$C$47*37.719))*43758.5453)))-1)))</x:f>
        <x:v>-156.9345481530768</x:v>
      </x:c>
      <x:c r="H79" s="49"/>
      <x:c r="I79" s="48" t="n">
        <x:f>Model_Data!A79</x:f>
        <x:v>-21.5</x:v>
      </x:c>
      <x:c r="J79" s="48" t="n">
        <x:f>((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(0.45*SIN(2*PI()*(((Model_Data!A79)/Inputs!$C$49)+Inputs!$C$47*0.137))+0.35*COS(2*PI()*(((Inputs!$C$6)/Inputs!$C$50)+Inputs!$C$47*0.173))+0.20*SIN(2*PI()*(((Model_Data!A79)+(Inputs!$C$6))/(0.5*(Inputs!$C$49+Inputs!$C$50))+Inputs!$C$47*0.097)))+0.30*(2*((SIN(((Model_Data!A79)*12.9898+(Inputs!$C$6)*78.233+Inputs!$C$47*37.719))*43758.5453)-INT((SIN(((Model_Data!A79)*12.9898+(Inputs!$C$6)*78.233+Inputs!$C$47*37.719))*43758.5453)))-1))))-((Inputs!$C$51*(115*EXP(-(((0)-25)^2)/(4.5^2))+70*EXP(-(((0)+38)^2)/(7^2))*(0.55+0.45*SIN(2*PI()*(Model_Data!A79)/45))+24*SIN(2*PI()*(0)/9+(Model_Data!A79)/18)*EXP(-(((0)+5)^2)/(22^2))+18*SIN(2*PI()*(Model_Data!A79)/70))+Inputs!$C$28*EXP(-(((Model_Data!A79)-Inputs!$C$29)^2)/(2*Inputs!$C$31^2))*EXP(-(((0)-Inputs!$C$30)^2)/(2*Inputs!$C$32^2))+-Inputs!$C$33*EXP(-(((((Model_Data!A79)-Inputs!$C$34)^2)+(((0)-Inputs!$C$35)^2))/(2*Inputs!$C$36^2)))+Inputs!$C$37*(0.55*SIN(2*PI()*(Model_Data!A79)/Inputs!$C$39)+0.35*COS(2*PI()*(0)/Inputs!$C$40)+0.2*SIN(2*PI()*((Model_Data!A79)+(0))/(0.5*(Inputs!$C$39+Inputs!$C$40))))+Inputs!$C$38*SIN(2*PI()*(Model_Data!A79)/Inputs!$C$39)*SIN(2*PI()*(0)/Inputs!$C$40)+-Inputs!$C$41*EXP(-(((0)-Inputs!$C$43)^2)/(2*Inputs!$C$44^2))*EXP(-(((Model_Data!A79)-Inputs!$C$42)^2)/(2*Inputs!$C$45^2))+Inputs!$C$48*(0.70*(0.45*SIN(2*PI()*(((Model_Data!A79)/Inputs!$C$49)+Inputs!$C$47*0.137))+0.35*COS(2*PI()*(((0)/Inputs!$C$50)+Inputs!$C$47*0.173))+0.20*SIN(2*PI()*(((Model_Data!A79)+(0))/(0.5*(Inputs!$C$49+Inputs!$C$50))+Inputs!$C$47*0.097)))+0.30*(2*((SIN(((Model_Data!A79)*12.9898+(0)*78.233+Inputs!$C$47*37.719))*43758.5453)-INT((SIN(((Model_Data!A79)*12.9898+(0)*78.233+Inputs!$C$47*37.719))*43758.5453)))-1))))</x:f>
        <x:v>489.384025750771</x:v>
      </x:c>
      <x:c r="K79" s="48" t="n">
        <x:f>-((((SQRT((Model_Data!A79)^2+Inputs!$C$6^2+((Model_Data!B79)-((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(0.45*SIN(2*PI()*(((Model_Data!A79)/Inputs!$C$49)+Inputs!$C$47*0.137))+0.35*COS(2*PI()*(((Inputs!$C$6)/Inputs!$C$50)+Inputs!$C$47*0.173))+0.20*SIN(2*PI()*(((Model_Data!A79)+(Inputs!$C$6))/(0.5*(Inputs!$C$49+Inputs!$C$50))+Inputs!$C$47*0.097)))+0.30*(2*((SIN(((Model_Data!A79)*12.9898+(Inputs!$C$6)*78.233+Inputs!$C$47*37.719))*43758.5453)-INT((SIN(((Model_Data!A79)*12.9898+(Inputs!$C$6)*78.233+Inputs!$C$47*37.719))*43758.5453)))-1))))/1000)^2))-(((Model_Data!B79)-((Inputs!$C$51*(115*EXP(-(((0)-25)^2)/(4.5^2))+70*EXP(-(((0)+38)^2)/(7^2))*(0.55+0.45*SIN(2*PI()*(Model_Data!A79)/45))+24*SIN(2*PI()*(0)/9+(Model_Data!A79)/18)*EXP(-(((0)+5)^2)/(22^2))+18*SIN(2*PI()*(Model_Data!A79)/70))+Inputs!$C$28*EXP(-(((Model_Data!A79)-Inputs!$C$29)^2)/(2*Inputs!$C$31^2))*EXP(-(((0)-Inputs!$C$30)^2)/(2*Inputs!$C$32^2))+-Inputs!$C$33*EXP(-(((((Model_Data!A79)-Inputs!$C$34)^2)+(((0)-Inputs!$C$35)^2))/(2*Inputs!$C$36^2)))+Inputs!$C$37*(0.55*SIN(2*PI()*(Model_Data!A79)/Inputs!$C$39)+0.35*COS(2*PI()*(0)/Inputs!$C$40)+0.2*SIN(2*PI()*((Model_Data!A79)+(0))/(0.5*(Inputs!$C$39+Inputs!$C$40))))+Inputs!$C$38*SIN(2*PI()*(Model_Data!A79)/Inputs!$C$39)*SIN(2*PI()*(0)/Inputs!$C$40)+-Inputs!$C$41*EXP(-(((0)-Inputs!$C$43)^2)/(2*Inputs!$C$44^2))*EXP(-(((Model_Data!A79)-Inputs!$C$42)^2)/(2*Inputs!$C$45^2))+Inputs!$C$48*(0.70*(0.45*SIN(2*PI()*(((Model_Data!A79)/Inputs!$C$49)+Inputs!$C$47*0.137))+0.35*COS(2*PI()*(((0)/Inputs!$C$50)+Inputs!$C$47*0.173))+0.20*SIN(2*PI()*(((Model_Data!A79)+(0))/(0.5*(Inputs!$C$49+Inputs!$C$50))+Inputs!$C$47*0.097)))+0.30*(2*((SIN(((Model_Data!A79)*12.9898+(0)*78.233+Inputs!$C$47*37.719))*43758.5453)-INT((SIN(((Model_Data!A79)*12.9898+(0)*78.233+Inputs!$C$47*37.719))*43758.5453)))-1))))/1000)))*1000/Inputs!$C$12)-Model_Data!F79)</x:f>
        <x:v>274.3045732849145</x:v>
      </x:c>
      <x:c r="L79" s="49"/>
      <x:c r="M79" s="48" t="n">
        <x:f>Model_Data!A79</x:f>
        <x:v>-21.5</x:v>
      </x:c>
      <x:c r="N79" s="48" t="n">
        <x:f>Model_Data!P79</x:f>
        <x:v>161.78679859499886</x:v>
      </x:c>
      <x:c r="O79" s="48" t="n">
        <x:f>AC79</x:f>
        <x:v>163.94240570289185</x:v>
      </x:c>
      <x:c r="P79" s="48" t="n">
        <x:f>Model_Data!Q79</x:f>
        <x:v>24.29231210135118</x:v>
      </x:c>
      <x:c r="Q79" s="48" t="n">
        <x:f>AD79</x:f>
        <x:v>24.615976832266046</x:v>
      </x:c>
      <x:c r="R79" s="49"/>
      <x:c r="S79" s="48" t="n">
        <x:f>Model_Data!A79</x:f>
        <x:v>-21.5</x:v>
      </x:c>
      <x:c r="T79" s="48" t="n">
        <x:f>Model_Data!B79-Inputs!$C$5</x:f>
        <x:v>0.5136111111111177</x:v>
      </x:c>
      <x:c r="U79" s="49"/>
      <x:c r="V79" s="48" t="n">
        <x:f>Model_Data!A79</x:f>
        <x:v>-21.5</x:v>
      </x:c>
      <x:c r="W79" s="48" t="n">
        <x:f>(-((((SQRT((Model_Data!A79)^2+Inputs!$C$6^2+((Model_Data!B79)-((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(0.45*SIN(2*PI()*(((Model_Data!A79)/Inputs!$C$49)+Inputs!$C$47*0.137))+0.35*COS(2*PI()*(((Inputs!$C$6)/Inputs!$C$50)+Inputs!$C$47*0.173))+0.20*SIN(2*PI()*(((Model_Data!A79)+(Inputs!$C$6))/(0.5*(Inputs!$C$49+Inputs!$C$50))+Inputs!$C$47*0.097)))+0.30*(2*((SIN(((Model_Data!A79)*12.9898+(Inputs!$C$6)*78.233+Inputs!$C$47*37.719))*43758.5453)-INT((SIN(((Model_Data!A79)*12.9898+(Inputs!$C$6)*78.233+Inputs!$C$47*37.719))*43758.5453)))-1))))/1000)^2))-(((Model_Data!B79)-((Inputs!$C$51*(115*EXP(-(((0)-25)^2)/(4.5^2))+70*EXP(-(((0)+38)^2)/(7^2))*(0.55+0.45*SIN(2*PI()*(Model_Data!A79)/45))+24*SIN(2*PI()*(0)/9+(Model_Data!A79)/18)*EXP(-(((0)+5)^2)/(22^2))+18*SIN(2*PI()*(Model_Data!A79)/70))+Inputs!$C$28*EXP(-(((Model_Data!A79)-Inputs!$C$29)^2)/(2*Inputs!$C$31^2))*EXP(-(((0)-Inputs!$C$30)^2)/(2*Inputs!$C$32^2))+-Inputs!$C$33*EXP(-(((((Model_Data!A79)-Inputs!$C$34)^2)+(((0)-Inputs!$C$35)^2))/(2*Inputs!$C$36^2)))+Inputs!$C$37*(0.55*SIN(2*PI()*(Model_Data!A79)/Inputs!$C$39)+0.35*COS(2*PI()*(0)/Inputs!$C$40)+0.2*SIN(2*PI()*((Model_Data!A79)+(0))/(0.5*(Inputs!$C$39+Inputs!$C$40))))+Inputs!$C$38*SIN(2*PI()*(Model_Data!A79)/Inputs!$C$39)*SIN(2*PI()*(0)/Inputs!$C$40)+-Inputs!$C$41*EXP(-(((0)-Inputs!$C$43)^2)/(2*Inputs!$C$44^2))*EXP(-(((Model_Data!A79)-Inputs!$C$42)^2)/(2*Inputs!$C$45^2))+Inputs!$C$48*(0.70*(0.45*SIN(2*PI()*(((Model_Data!A79)/Inputs!$C$49)+Inputs!$C$47*0.137))+0.35*COS(2*PI()*(((0)/Inputs!$C$50)+Inputs!$C$47*0.173))+0.20*SIN(2*PI()*(((Model_Data!A79)+(0))/(0.5*(Inputs!$C$49+Inputs!$C$50))+Inputs!$C$47*0.097)))+0.30*(2*((SIN(((Model_Data!A79)*12.9898+(0)*78.233+Inputs!$C$47*37.719))*43758.5453)-INT((SIN(((Model_Data!A79)*12.9898+(0)*78.233+Inputs!$C$47*37.719))*43758.5453)))-1))))/1000)))*1000/Inputs!$C$12)-Model_Data!F79))-(-(((SQRT((Model_Data!A79)^2+Inputs!$C$6^2+(Inputs!$C$5-((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(0.45*SIN(2*PI()*(((Model_Data!A79)/Inputs!$C$49)+Inputs!$C$47*0.137))+0.35*COS(2*PI()*(((Inputs!$C$6)/Inputs!$C$50)+Inputs!$C$47*0.173))+0.20*SIN(2*PI()*(((Model_Data!A79)+(Inputs!$C$6))/(0.5*(Inputs!$C$49+Inputs!$C$50))+Inputs!$C$47*0.097)))+0.30*(2*((SIN(((Model_Data!A79)*12.9898+(Inputs!$C$6)*78.233+Inputs!$C$47*37.719))*43758.5453)-INT((SIN(((Model_Data!A79)*12.9898+(Inputs!$C$6)*78.233+Inputs!$C$47*37.719))*43758.5453)))-1))))/1000)^2)-(Inputs!$C$5-((Inputs!$C$51*(115*EXP(-(((0)-25)^2)/(4.5^2))+70*EXP(-(((0)+38)^2)/(7^2))*(0.55+0.45*SIN(2*PI()*(Model_Data!A79)/45))+24*SIN(2*PI()*(0)/9+(Model_Data!A79)/18)*EXP(-(((0)+5)^2)/(22^2))+18*SIN(2*PI()*(Model_Data!A79)/70))+Inputs!$C$28*EXP(-(((Model_Data!A79)-Inputs!$C$29)^2)/(2*Inputs!$C$31^2))*EXP(-(((0)-Inputs!$C$30)^2)/(2*Inputs!$C$32^2))+-Inputs!$C$33*EXP(-(((((Model_Data!A79)-Inputs!$C$34)^2)+(((0)-Inputs!$C$35)^2))/(2*Inputs!$C$36^2)))+Inputs!$C$37*(0.55*SIN(2*PI()*(Model_Data!A79)/Inputs!$C$39)+0.35*COS(2*PI()*(0)/Inputs!$C$40)+0.2*SIN(2*PI()*((Model_Data!A79)+(0))/(0.5*(Inputs!$C$39+Inputs!$C$40))))+Inputs!$C$38*SIN(2*PI()*(Model_Data!A79)/Inputs!$C$39)*SIN(2*PI()*(0)/Inputs!$C$40)+-Inputs!$C$41*EXP(-(((0)-Inputs!$C$43)^2)/(2*Inputs!$C$44^2))*EXP(-(((Model_Data!A79)-Inputs!$C$42)^2)/(2*Inputs!$C$45^2))+Inputs!$C$48*(0.70*(0.45*SIN(2*PI()*(((Model_Data!A79)/Inputs!$C$49)+Inputs!$C$47*0.137))+0.35*COS(2*PI()*(((0)/Inputs!$C$50)+Inputs!$C$47*0.173))+0.20*SIN(2*PI()*(((Model_Data!A79)+(0))/(0.5*(Inputs!$C$49+Inputs!$C$50))+Inputs!$C$47*0.097)))+0.30*(2*((SIN(((Model_Data!A79)*12.9898+(0)*78.233+Inputs!$C$47*37.719))*43758.5453)-INT((SIN(((Model_Data!A79)*12.9898+(0)*78.233+Inputs!$C$47*37.719))*43758.5453)))-1))))/1000))*1000/Inputs!$C$12)-((SQRT((Model_Data!A79)^2+Inputs!$C$6^2+Inputs!$C$5^2)-Inputs!$C$5)*1000/Inputs!$C$12)))</x:f>
        <x:v>0.001612074888043935</x:v>
      </x:c>
      <x:c r="X79" s="48" t="n">
        <x:f>0</x:f>
        <x:v>0</x:v>
      </x:c>
      <x:c r="Y79" s="49"/>
      <x:c r="Z79" s="48" t="n">
        <x:f>Model_Data!A79</x:f>
        <x:v>-21.5</x:v>
      </x:c>
      <x:c r="AA79" s="48" t="n">
        <x:f>SQRT((Model_Data!A79)^2+Inputs!$C$6^2+((Model_Data!B79)-((Inputs!$C$51*(115*EXP(-(((Inputs!$C$6)-25)^2)/(4.5^2))+70*EXP(-(((Inputs!$C$6)+38)^2)/(7^2))*(0.55+0.45*SIN(2*PI()*(Model_Data!A79)/45))+24*SIN(2*PI()*(Inputs!$C$6)/9+(Model_Data!A79)/18)*EXP(-(((Inputs!$C$6)+5)^2)/(22^2))+18*SIN(2*PI()*(Model_Data!A79)/70))+Inputs!$C$28*EXP(-(((Model_Data!A79)-Inputs!$C$29)^2)/(2*Inputs!$C$31^2))*EXP(-(((Inputs!$C$6)-Inputs!$C$30)^2)/(2*Inputs!$C$32^2))+-Inputs!$C$33*EXP(-(((((Model_Data!A79)-Inputs!$C$34)^2)+(((Inputs!$C$6)-Inputs!$C$35)^2))/(2*Inputs!$C$36^2)))+Inputs!$C$37*(0.55*SIN(2*PI()*(Model_Data!A79)/Inputs!$C$39)+0.35*COS(2*PI()*(Inputs!$C$6)/Inputs!$C$40)+0.2*SIN(2*PI()*((Model_Data!A79)+(Inputs!$C$6))/(0.5*(Inputs!$C$39+Inputs!$C$40))))+Inputs!$C$38*SIN(2*PI()*(Model_Data!A79)/Inputs!$C$39)*SIN(2*PI()*(Inputs!$C$6)/Inputs!$C$40)+-Inputs!$C$41*EXP(-(((Inputs!$C$6)-Inputs!$C$43)^2)/(2*Inputs!$C$44^2))*EXP(-(((Model_Data!A79)-Inputs!$C$42)^2)/(2*Inputs!$C$45^2))+Inputs!$C$48*(0.70*(0.45*SIN(2*PI()*(((Model_Data!A79)/Inputs!$C$49)+Inputs!$C$47*0.137))+0.35*COS(2*PI()*(((Inputs!$C$6)/Inputs!$C$50)+Inputs!$C$47*0.173))+0.20*SIN(2*PI()*(((Model_Data!A79)+(Inputs!$C$6))/(0.5*(Inputs!$C$49+Inputs!$C$50))+Inputs!$C$47*0.097)))+0.30*(2*((SIN(((Model_Data!A79)*12.9898+(Inputs!$C$6)*78.233+Inputs!$C$47*37.719))*43758.5453)-INT((SIN(((Model_Data!A79)*12.9898+(Inputs!$C$6)*78.233+Inputs!$C$47*37.719))*43758.5453)))-1))))/1000)^2)</x:f>
        <x:v>401.5373110015409</x:v>
      </x:c>
      <x:c r="AB79" s="48" t="n">
        <x:f>1000*(AA80-AA78)/(Z80-Z78)*Inputs!$C$11</x:f>
        <x:v>-409.8560142572296</x:v>
      </x:c>
      <x:c r="AC79" s="48" t="n">
        <x:f>-2*AB79/Inputs!$C$13</x:f>
        <x:v>163.94240570289185</x:v>
      </x:c>
      <x:c r="AD79" s="48" t="n">
        <x:f>-2*AB79/Inputs!$C$14</x:f>
        <x:v>24.615976832266046</x:v>
      </x:c>
    </x:row>
    <x:row r="80">
      <x:c r="A80" s="48" t="n">
        <x:f>Model_Data!A80</x:f>
        <x:v>-21</x:v>
      </x:c>
      <x:c r="B80" s="48" t="n">
        <x:f>Model_Data!F80</x:f>
        <x:v>746.441401049121</x:v>
      </x:c>
      <x:c r="C80" s="48" t="n">
        <x:f>(((SQRT((Model_Data!A80)^2+Inputs!$C$6^2+((Model_Data!B80)-((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(0.45*SIN(2*PI()*(((Model_Data!A80)/Inputs!$C$49)+Inputs!$C$47*0.137))+0.35*COS(2*PI()*(((Inputs!$C$6)/Inputs!$C$50)+Inputs!$C$47*0.173))+0.20*SIN(2*PI()*(((Model_Data!A80)+(Inputs!$C$6))/(0.5*(Inputs!$C$49+Inputs!$C$50))+Inputs!$C$47*0.097)))+0.30*(2*((SIN(((Model_Data!A80)*12.9898+(Inputs!$C$6)*78.233+Inputs!$C$47*37.719))*43758.5453)-INT((SIN(((Model_Data!A80)*12.9898+(Inputs!$C$6)*78.233+Inputs!$C$47*37.719))*43758.5453)))-1))))/1000)^2))-(((Model_Data!B80)-((Inputs!$C$51*(115*EXP(-(((0)-25)^2)/(4.5^2))+70*EXP(-(((0)+38)^2)/(7^2))*(0.55+0.45*SIN(2*PI()*(Model_Data!A80)/45))+24*SIN(2*PI()*(0)/9+(Model_Data!A80)/18)*EXP(-(((0)+5)^2)/(22^2))+18*SIN(2*PI()*(Model_Data!A80)/70))+Inputs!$C$28*EXP(-(((Model_Data!A80)-Inputs!$C$29)^2)/(2*Inputs!$C$31^2))*EXP(-(((0)-Inputs!$C$30)^2)/(2*Inputs!$C$32^2))+-Inputs!$C$33*EXP(-(((((Model_Data!A80)-Inputs!$C$34)^2)+(((0)-Inputs!$C$35)^2))/(2*Inputs!$C$36^2)))+Inputs!$C$37*(0.55*SIN(2*PI()*(Model_Data!A80)/Inputs!$C$39)+0.35*COS(2*PI()*(0)/Inputs!$C$40)+0.2*SIN(2*PI()*((Model_Data!A80)+(0))/(0.5*(Inputs!$C$39+Inputs!$C$40))))+Inputs!$C$38*SIN(2*PI()*(Model_Data!A80)/Inputs!$C$39)*SIN(2*PI()*(0)/Inputs!$C$40)+-Inputs!$C$41*EXP(-(((0)-Inputs!$C$43)^2)/(2*Inputs!$C$44^2))*EXP(-(((Model_Data!A80)-Inputs!$C$42)^2)/(2*Inputs!$C$45^2))+Inputs!$C$48*(0.70*(0.45*SIN(2*PI()*(((Model_Data!A80)/Inputs!$C$49)+Inputs!$C$47*0.137))+0.35*COS(2*PI()*(((0)/Inputs!$C$50)+Inputs!$C$47*0.173))+0.20*SIN(2*PI()*(((Model_Data!A80)+(0))/(0.5*(Inputs!$C$49+Inputs!$C$50))+Inputs!$C$47*0.097)))+0.30*(2*((SIN(((Model_Data!A80)*12.9898+(0)*78.233+Inputs!$C$47*37.719))*43758.5453)-INT((SIN(((Model_Data!A80)*12.9898+(0)*78.233+Inputs!$C$47*37.719))*43758.5453)))-1))))/1000)))*1000/Inputs!$C$12)</x:f>
        <x:v>488.4391482103579</x:v>
      </x:c>
      <x:c r="D80" s="49"/>
      <x:c r="E80" s="48" t="n">
        <x:f>Model_Data!A80</x:f>
        <x:v>-21</x:v>
      </x:c>
      <x:c r="F80" s="48" t="n">
        <x:f>(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(0.45*SIN(2*PI()*(((Model_Data!A80)/Inputs!$C$49)+Inputs!$C$47*0.137))+0.35*COS(2*PI()*(((Inputs!$C$6)/Inputs!$C$50)+Inputs!$C$47*0.173))+0.20*SIN(2*PI()*(((Model_Data!A80)+(Inputs!$C$6))/(0.5*(Inputs!$C$49+Inputs!$C$50))+Inputs!$C$47*0.097)))+0.30*(2*((SIN(((Model_Data!A80)*12.9898+(Inputs!$C$6)*78.233+Inputs!$C$47*37.719))*43758.5453)-INT((SIN(((Model_Data!A80)*12.9898+(Inputs!$C$6)*78.233+Inputs!$C$47*37.719))*43758.5453)))-1)))</x:f>
        <x:v>317.91812880175183</x:v>
      </x:c>
      <x:c r="G80" s="48" t="n">
        <x:f>(Inputs!$C$51*(115*EXP(-(((0)-25)^2)/(4.5^2))+70*EXP(-(((0)+38)^2)/(7^2))*(0.55+0.45*SIN(2*PI()*(Model_Data!A80)/45))+24*SIN(2*PI()*(0)/9+(Model_Data!A80)/18)*EXP(-(((0)+5)^2)/(22^2))+18*SIN(2*PI()*(Model_Data!A80)/70))+Inputs!$C$28*EXP(-(((Model_Data!A80)-Inputs!$C$29)^2)/(2*Inputs!$C$31^2))*EXP(-(((0)-Inputs!$C$30)^2)/(2*Inputs!$C$32^2))+-Inputs!$C$33*EXP(-(((((Model_Data!A80)-Inputs!$C$34)^2)+(((0)-Inputs!$C$35)^2))/(2*Inputs!$C$36^2)))+Inputs!$C$37*(0.55*SIN(2*PI()*(Model_Data!A80)/Inputs!$C$39)+0.35*COS(2*PI()*(0)/Inputs!$C$40)+0.2*SIN(2*PI()*((Model_Data!A80)+(0))/(0.5*(Inputs!$C$39+Inputs!$C$40))))+Inputs!$C$38*SIN(2*PI()*(Model_Data!A80)/Inputs!$C$39)*SIN(2*PI()*(0)/Inputs!$C$40)+-Inputs!$C$41*EXP(-(((0)-Inputs!$C$43)^2)/(2*Inputs!$C$44^2))*EXP(-(((Model_Data!A80)-Inputs!$C$42)^2)/(2*Inputs!$C$45^2))+Inputs!$C$48*(0.70*(0.45*SIN(2*PI()*(((Model_Data!A80)/Inputs!$C$49)+Inputs!$C$47*0.137))+0.35*COS(2*PI()*(((0)/Inputs!$C$50)+Inputs!$C$47*0.173))+0.20*SIN(2*PI()*(((Model_Data!A80)+(0))/(0.5*(Inputs!$C$49+Inputs!$C$50))+Inputs!$C$47*0.097)))+0.30*(2*((SIN(((Model_Data!A80)*12.9898+(0)*78.233+Inputs!$C$47*37.719))*43758.5453)-INT((SIN(((Model_Data!A80)*12.9898+(0)*78.233+Inputs!$C$47*37.719))*43758.5453)))-1)))</x:f>
        <x:v>-142.37794992196604</x:v>
      </x:c>
      <x:c r="H80" s="49"/>
      <x:c r="I80" s="48" t="n">
        <x:f>Model_Data!A80</x:f>
        <x:v>-21</x:v>
      </x:c>
      <x:c r="J80" s="48" t="n">
        <x:f>((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(0.45*SIN(2*PI()*(((Model_Data!A80)/Inputs!$C$49)+Inputs!$C$47*0.137))+0.35*COS(2*PI()*(((Inputs!$C$6)/Inputs!$C$50)+Inputs!$C$47*0.173))+0.20*SIN(2*PI()*(((Model_Data!A80)+(Inputs!$C$6))/(0.5*(Inputs!$C$49+Inputs!$C$50))+Inputs!$C$47*0.097)))+0.30*(2*((SIN(((Model_Data!A80)*12.9898+(Inputs!$C$6)*78.233+Inputs!$C$47*37.719))*43758.5453)-INT((SIN(((Model_Data!A80)*12.9898+(Inputs!$C$6)*78.233+Inputs!$C$47*37.719))*43758.5453)))-1))))-((Inputs!$C$51*(115*EXP(-(((0)-25)^2)/(4.5^2))+70*EXP(-(((0)+38)^2)/(7^2))*(0.55+0.45*SIN(2*PI()*(Model_Data!A80)/45))+24*SIN(2*PI()*(0)/9+(Model_Data!A80)/18)*EXP(-(((0)+5)^2)/(22^2))+18*SIN(2*PI()*(Model_Data!A80)/70))+Inputs!$C$28*EXP(-(((Model_Data!A80)-Inputs!$C$29)^2)/(2*Inputs!$C$31^2))*EXP(-(((0)-Inputs!$C$30)^2)/(2*Inputs!$C$32^2))+-Inputs!$C$33*EXP(-(((((Model_Data!A80)-Inputs!$C$34)^2)+(((0)-Inputs!$C$35)^2))/(2*Inputs!$C$36^2)))+Inputs!$C$37*(0.55*SIN(2*PI()*(Model_Data!A80)/Inputs!$C$39)+0.35*COS(2*PI()*(0)/Inputs!$C$40)+0.2*SIN(2*PI()*((Model_Data!A80)+(0))/(0.5*(Inputs!$C$39+Inputs!$C$40))))+Inputs!$C$38*SIN(2*PI()*(Model_Data!A80)/Inputs!$C$39)*SIN(2*PI()*(0)/Inputs!$C$40)+-Inputs!$C$41*EXP(-(((0)-Inputs!$C$43)^2)/(2*Inputs!$C$44^2))*EXP(-(((Model_Data!A80)-Inputs!$C$42)^2)/(2*Inputs!$C$45^2))+Inputs!$C$48*(0.70*(0.45*SIN(2*PI()*(((Model_Data!A80)/Inputs!$C$49)+Inputs!$C$47*0.137))+0.35*COS(2*PI()*(((0)/Inputs!$C$50)+Inputs!$C$47*0.173))+0.20*SIN(2*PI()*(((Model_Data!A80)+(0))/(0.5*(Inputs!$C$49+Inputs!$C$50))+Inputs!$C$47*0.097)))+0.30*(2*((SIN(((Model_Data!A80)*12.9898+(0)*78.233+Inputs!$C$47*37.719))*43758.5453)-INT((SIN(((Model_Data!A80)*12.9898+(0)*78.233+Inputs!$C$47*37.719))*43758.5453)))-1))))</x:f>
        <x:v>460.29607872371787</x:v>
      </x:c>
      <x:c r="K80" s="48" t="n">
        <x:f>-((((SQRT((Model_Data!A80)^2+Inputs!$C$6^2+((Model_Data!B80)-((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(0.45*SIN(2*PI()*(((Model_Data!A80)/Inputs!$C$49)+Inputs!$C$47*0.137))+0.35*COS(2*PI()*(((Inputs!$C$6)/Inputs!$C$50)+Inputs!$C$47*0.173))+0.20*SIN(2*PI()*(((Model_Data!A80)+(Inputs!$C$6))/(0.5*(Inputs!$C$49+Inputs!$C$50))+Inputs!$C$47*0.097)))+0.30*(2*((SIN(((Model_Data!A80)*12.9898+(Inputs!$C$6)*78.233+Inputs!$C$47*37.719))*43758.5453)-INT((SIN(((Model_Data!A80)*12.9898+(Inputs!$C$6)*78.233+Inputs!$C$47*37.719))*43758.5453)))-1))))/1000)^2))-(((Model_Data!B80)-((Inputs!$C$51*(115*EXP(-(((0)-25)^2)/(4.5^2))+70*EXP(-(((0)+38)^2)/(7^2))*(0.55+0.45*SIN(2*PI()*(Model_Data!A80)/45))+24*SIN(2*PI()*(0)/9+(Model_Data!A80)/18)*EXP(-(((0)+5)^2)/(22^2))+18*SIN(2*PI()*(Model_Data!A80)/70))+Inputs!$C$28*EXP(-(((Model_Data!A80)-Inputs!$C$29)^2)/(2*Inputs!$C$31^2))*EXP(-(((0)-Inputs!$C$30)^2)/(2*Inputs!$C$32^2))+-Inputs!$C$33*EXP(-(((((Model_Data!A80)-Inputs!$C$34)^2)+(((0)-Inputs!$C$35)^2))/(2*Inputs!$C$36^2)))+Inputs!$C$37*(0.55*SIN(2*PI()*(Model_Data!A80)/Inputs!$C$39)+0.35*COS(2*PI()*(0)/Inputs!$C$40)+0.2*SIN(2*PI()*((Model_Data!A80)+(0))/(0.5*(Inputs!$C$39+Inputs!$C$40))))+Inputs!$C$38*SIN(2*PI()*(Model_Data!A80)/Inputs!$C$39)*SIN(2*PI()*(0)/Inputs!$C$40)+-Inputs!$C$41*EXP(-(((0)-Inputs!$C$43)^2)/(2*Inputs!$C$44^2))*EXP(-(((Model_Data!A80)-Inputs!$C$42)^2)/(2*Inputs!$C$45^2))+Inputs!$C$48*(0.70*(0.45*SIN(2*PI()*(((Model_Data!A80)/Inputs!$C$49)+Inputs!$C$47*0.137))+0.35*COS(2*PI()*(((0)/Inputs!$C$50)+Inputs!$C$47*0.173))+0.20*SIN(2*PI()*(((Model_Data!A80)+(0))/(0.5*(Inputs!$C$49+Inputs!$C$50))+Inputs!$C$47*0.097)))+0.30*(2*((SIN(((Model_Data!A80)*12.9898+(0)*78.233+Inputs!$C$47*37.719))*43758.5453)-INT((SIN(((Model_Data!A80)*12.9898+(0)*78.233+Inputs!$C$47*37.719))*43758.5453)))-1))))/1000)))*1000/Inputs!$C$12)-Model_Data!F80)</x:f>
        <x:v>258.0022528387631</x:v>
      </x:c>
      <x:c r="L80" s="49"/>
      <x:c r="M80" s="48" t="n">
        <x:f>Model_Data!A80</x:f>
        <x:v>-21</x:v>
      </x:c>
      <x:c r="N80" s="48" t="n">
        <x:f>Model_Data!P80</x:f>
        <x:v>158.03958042535135</x:v>
      </x:c>
      <x:c r="O80" s="48" t="n">
        <x:f>AC80</x:f>
        <x:v>175.53981596211088</x:v>
      </x:c>
      <x:c r="P80" s="48" t="n">
        <x:f>Model_Data!Q80</x:f>
        <x:v>23.729666730533236</x:v>
      </x:c>
      <x:c r="Q80" s="48" t="n">
        <x:f>AD80</x:f>
        <x:v>26.357329724040675</x:v>
      </x:c>
      <x:c r="R80" s="49"/>
      <x:c r="S80" s="48" t="n">
        <x:f>Model_Data!A80</x:f>
        <x:v>-21</x:v>
      </x:c>
      <x:c r="T80" s="48" t="n">
        <x:f>Model_Data!B80-Inputs!$C$5</x:f>
        <x:v>0.4900000000000091</x:v>
      </x:c>
      <x:c r="U80" s="49"/>
      <x:c r="V80" s="48" t="n">
        <x:f>Model_Data!A80</x:f>
        <x:v>-21</x:v>
      </x:c>
      <x:c r="W80" s="48" t="n">
        <x:f>(-((((SQRT((Model_Data!A80)^2+Inputs!$C$6^2+((Model_Data!B80)-((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(0.45*SIN(2*PI()*(((Model_Data!A80)/Inputs!$C$49)+Inputs!$C$47*0.137))+0.35*COS(2*PI()*(((Inputs!$C$6)/Inputs!$C$50)+Inputs!$C$47*0.173))+0.20*SIN(2*PI()*(((Model_Data!A80)+(Inputs!$C$6))/(0.5*(Inputs!$C$49+Inputs!$C$50))+Inputs!$C$47*0.097)))+0.30*(2*((SIN(((Model_Data!A80)*12.9898+(Inputs!$C$6)*78.233+Inputs!$C$47*37.719))*43758.5453)-INT((SIN(((Model_Data!A80)*12.9898+(Inputs!$C$6)*78.233+Inputs!$C$47*37.719))*43758.5453)))-1))))/1000)^2))-(((Model_Data!B80)-((Inputs!$C$51*(115*EXP(-(((0)-25)^2)/(4.5^2))+70*EXP(-(((0)+38)^2)/(7^2))*(0.55+0.45*SIN(2*PI()*(Model_Data!A80)/45))+24*SIN(2*PI()*(0)/9+(Model_Data!A80)/18)*EXP(-(((0)+5)^2)/(22^2))+18*SIN(2*PI()*(Model_Data!A80)/70))+Inputs!$C$28*EXP(-(((Model_Data!A80)-Inputs!$C$29)^2)/(2*Inputs!$C$31^2))*EXP(-(((0)-Inputs!$C$30)^2)/(2*Inputs!$C$32^2))+-Inputs!$C$33*EXP(-(((((Model_Data!A80)-Inputs!$C$34)^2)+(((0)-Inputs!$C$35)^2))/(2*Inputs!$C$36^2)))+Inputs!$C$37*(0.55*SIN(2*PI()*(Model_Data!A80)/Inputs!$C$39)+0.35*COS(2*PI()*(0)/Inputs!$C$40)+0.2*SIN(2*PI()*((Model_Data!A80)+(0))/(0.5*(Inputs!$C$39+Inputs!$C$40))))+Inputs!$C$38*SIN(2*PI()*(Model_Data!A80)/Inputs!$C$39)*SIN(2*PI()*(0)/Inputs!$C$40)+-Inputs!$C$41*EXP(-(((0)-Inputs!$C$43)^2)/(2*Inputs!$C$44^2))*EXP(-(((Model_Data!A80)-Inputs!$C$42)^2)/(2*Inputs!$C$45^2))+Inputs!$C$48*(0.70*(0.45*SIN(2*PI()*(((Model_Data!A80)/Inputs!$C$49)+Inputs!$C$47*0.137))+0.35*COS(2*PI()*(((0)/Inputs!$C$50)+Inputs!$C$47*0.173))+0.20*SIN(2*PI()*(((Model_Data!A80)+(0))/(0.5*(Inputs!$C$49+Inputs!$C$50))+Inputs!$C$47*0.097)))+0.30*(2*((SIN(((Model_Data!A80)*12.9898+(0)*78.233+Inputs!$C$47*37.719))*43758.5453)-INT((SIN(((Model_Data!A80)*12.9898+(0)*78.233+Inputs!$C$47*37.719))*43758.5453)))-1))))/1000)))*1000/Inputs!$C$12)-Model_Data!F80))-(-(((SQRT((Model_Data!A80)^2+Inputs!$C$6^2+(Inputs!$C$5-((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(0.45*SIN(2*PI()*(((Model_Data!A80)/Inputs!$C$49)+Inputs!$C$47*0.137))+0.35*COS(2*PI()*(((Inputs!$C$6)/Inputs!$C$50)+Inputs!$C$47*0.173))+0.20*SIN(2*PI()*(((Model_Data!A80)+(Inputs!$C$6))/(0.5*(Inputs!$C$49+Inputs!$C$50))+Inputs!$C$47*0.097)))+0.30*(2*((SIN(((Model_Data!A80)*12.9898+(Inputs!$C$6)*78.233+Inputs!$C$47*37.719))*43758.5453)-INT((SIN(((Model_Data!A80)*12.9898+(Inputs!$C$6)*78.233+Inputs!$C$47*37.719))*43758.5453)))-1))))/1000)^2)-(Inputs!$C$5-((Inputs!$C$51*(115*EXP(-(((0)-25)^2)/(4.5^2))+70*EXP(-(((0)+38)^2)/(7^2))*(0.55+0.45*SIN(2*PI()*(Model_Data!A80)/45))+24*SIN(2*PI()*(0)/9+(Model_Data!A80)/18)*EXP(-(((0)+5)^2)/(22^2))+18*SIN(2*PI()*(Model_Data!A80)/70))+Inputs!$C$28*EXP(-(((Model_Data!A80)-Inputs!$C$29)^2)/(2*Inputs!$C$31^2))*EXP(-(((0)-Inputs!$C$30)^2)/(2*Inputs!$C$32^2))+-Inputs!$C$33*EXP(-(((((Model_Data!A80)-Inputs!$C$34)^2)+(((0)-Inputs!$C$35)^2))/(2*Inputs!$C$36^2)))+Inputs!$C$37*(0.55*SIN(2*PI()*(Model_Data!A80)/Inputs!$C$39)+0.35*COS(2*PI()*(0)/Inputs!$C$40)+0.2*SIN(2*PI()*((Model_Data!A80)+(0))/(0.5*(Inputs!$C$39+Inputs!$C$40))))+Inputs!$C$38*SIN(2*PI()*(Model_Data!A80)/Inputs!$C$39)*SIN(2*PI()*(0)/Inputs!$C$40)+-Inputs!$C$41*EXP(-(((0)-Inputs!$C$43)^2)/(2*Inputs!$C$44^2))*EXP(-(((Model_Data!A80)-Inputs!$C$42)^2)/(2*Inputs!$C$45^2))+Inputs!$C$48*(0.70*(0.45*SIN(2*PI()*(((Model_Data!A80)/Inputs!$C$49)+Inputs!$C$47*0.137))+0.35*COS(2*PI()*(((0)/Inputs!$C$50)+Inputs!$C$47*0.173))+0.20*SIN(2*PI()*(((Model_Data!A80)+(0))/(0.5*(Inputs!$C$49+Inputs!$C$50))+Inputs!$C$47*0.097)))+0.30*(2*((SIN(((Model_Data!A80)*12.9898+(0)*78.233+Inputs!$C$47*37.719))*43758.5453)-INT((SIN(((Model_Data!A80)*12.9898+(0)*78.233+Inputs!$C$47*37.719))*43758.5453)))-1))))/1000))*1000/Inputs!$C$12)-((SQRT((Model_Data!A80)^2+Inputs!$C$6^2+Inputs!$C$5^2)-Inputs!$C$5)*1000/Inputs!$C$12)))</x:f>
        <x:v>0.0014423306993194274</x:v>
      </x:c>
      <x:c r="X80" s="48" t="n">
        <x:f>0</x:f>
        <x:v>0</x:v>
      </x:c>
      <x:c r="Y80" s="49"/>
      <x:c r="Z80" s="48" t="n">
        <x:f>Model_Data!A80</x:f>
        <x:v>-21</x:v>
      </x:c>
      <x:c r="AA80" s="48" t="n">
        <x:f>SQRT((Model_Data!A80)^2+Inputs!$C$6^2+((Model_Data!B80)-((Inputs!$C$51*(115*EXP(-(((Inputs!$C$6)-25)^2)/(4.5^2))+70*EXP(-(((Inputs!$C$6)+38)^2)/(7^2))*(0.55+0.45*SIN(2*PI()*(Model_Data!A80)/45))+24*SIN(2*PI()*(Inputs!$C$6)/9+(Model_Data!A80)/18)*EXP(-(((Inputs!$C$6)+5)^2)/(22^2))+18*SIN(2*PI()*(Model_Data!A80)/70))+Inputs!$C$28*EXP(-(((Model_Data!A80)-Inputs!$C$29)^2)/(2*Inputs!$C$31^2))*EXP(-(((Inputs!$C$6)-Inputs!$C$30)^2)/(2*Inputs!$C$32^2))+-Inputs!$C$33*EXP(-(((((Model_Data!A80)-Inputs!$C$34)^2)+(((Inputs!$C$6)-Inputs!$C$35)^2))/(2*Inputs!$C$36^2)))+Inputs!$C$37*(0.55*SIN(2*PI()*(Model_Data!A80)/Inputs!$C$39)+0.35*COS(2*PI()*(Inputs!$C$6)/Inputs!$C$40)+0.2*SIN(2*PI()*((Model_Data!A80)+(Inputs!$C$6))/(0.5*(Inputs!$C$39+Inputs!$C$40))))+Inputs!$C$38*SIN(2*PI()*(Model_Data!A80)/Inputs!$C$39)*SIN(2*PI()*(Inputs!$C$6)/Inputs!$C$40)+-Inputs!$C$41*EXP(-(((Inputs!$C$6)-Inputs!$C$43)^2)/(2*Inputs!$C$44^2))*EXP(-(((Model_Data!A80)-Inputs!$C$42)^2)/(2*Inputs!$C$45^2))+Inputs!$C$48*(0.70*(0.45*SIN(2*PI()*(((Model_Data!A80)/Inputs!$C$49)+Inputs!$C$47*0.137))+0.35*COS(2*PI()*(((Inputs!$C$6)/Inputs!$C$50)+Inputs!$C$47*0.173))+0.20*SIN(2*PI()*(((Model_Data!A80)+(Inputs!$C$6))/(0.5*(Inputs!$C$49+Inputs!$C$50))+Inputs!$C$47*0.097)))+0.30*(2*((SIN(((Model_Data!A80)*12.9898+(Inputs!$C$6)*78.233+Inputs!$C$47*37.719))*43758.5453)-INT((SIN(((Model_Data!A80)*12.9898+(Inputs!$C$6)*78.233+Inputs!$C$47*37.719))*43758.5453)))-1))))/1000)^2)</x:f>
        <x:v>401.5017996337364</x:v>
      </x:c>
      <x:c r="AB80" s="48" t="n">
        <x:f>1000*(AA81-AA79)/(Z81-Z79)*Inputs!$C$11</x:f>
        <x:v>-438.8495399052772</x:v>
      </x:c>
      <x:c r="AC80" s="48" t="n">
        <x:f>-2*AB80/Inputs!$C$13</x:f>
        <x:v>175.53981596211088</x:v>
      </x:c>
      <x:c r="AD80" s="48" t="n">
        <x:f>-2*AB80/Inputs!$C$14</x:f>
        <x:v>26.357329724040675</x:v>
      </x:c>
    </x:row>
    <x:row r="81">
      <x:c r="A81" s="48" t="n">
        <x:f>Model_Data!A81</x:f>
        <x:v>-20.5</x:v>
      </x:c>
      <x:c r="B81" s="48" t="n">
        <x:f>Model_Data!F81</x:f>
        <x:v>731.9772602878156</x:v>
      </x:c>
      <x:c r="C81" s="48" t="n">
        <x:f>(((SQRT((Model_Data!A81)^2+Inputs!$C$6^2+((Model_Data!B81)-((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(0.45*SIN(2*PI()*(((Model_Data!A81)/Inputs!$C$49)+Inputs!$C$47*0.137))+0.35*COS(2*PI()*(((Inputs!$C$6)/Inputs!$C$50)+Inputs!$C$47*0.173))+0.20*SIN(2*PI()*(((Model_Data!A81)+(Inputs!$C$6))/(0.5*(Inputs!$C$49+Inputs!$C$50))+Inputs!$C$47*0.097)))+0.30*(2*((SIN(((Model_Data!A81)*12.9898+(Inputs!$C$6)*78.233+Inputs!$C$47*37.719))*43758.5453)-INT((SIN(((Model_Data!A81)*12.9898+(Inputs!$C$6)*78.233+Inputs!$C$47*37.719))*43758.5453)))-1))))/1000)^2))-(((Model_Data!B81)-((Inputs!$C$51*(115*EXP(-(((0)-25)^2)/(4.5^2))+70*EXP(-(((0)+38)^2)/(7^2))*(0.55+0.45*SIN(2*PI()*(Model_Data!A81)/45))+24*SIN(2*PI()*(0)/9+(Model_Data!A81)/18)*EXP(-(((0)+5)^2)/(22^2))+18*SIN(2*PI()*(Model_Data!A81)/70))+Inputs!$C$28*EXP(-(((Model_Data!A81)-Inputs!$C$29)^2)/(2*Inputs!$C$31^2))*EXP(-(((0)-Inputs!$C$30)^2)/(2*Inputs!$C$32^2))+-Inputs!$C$33*EXP(-(((((Model_Data!A81)-Inputs!$C$34)^2)+(((0)-Inputs!$C$35)^2))/(2*Inputs!$C$36^2)))+Inputs!$C$37*(0.55*SIN(2*PI()*(Model_Data!A81)/Inputs!$C$39)+0.35*COS(2*PI()*(0)/Inputs!$C$40)+0.2*SIN(2*PI()*((Model_Data!A81)+(0))/(0.5*(Inputs!$C$39+Inputs!$C$40))))+Inputs!$C$38*SIN(2*PI()*(Model_Data!A81)/Inputs!$C$39)*SIN(2*PI()*(0)/Inputs!$C$40)+-Inputs!$C$41*EXP(-(((0)-Inputs!$C$43)^2)/(2*Inputs!$C$44^2))*EXP(-(((Model_Data!A81)-Inputs!$C$42)^2)/(2*Inputs!$C$45^2))+Inputs!$C$48*(0.70*(0.45*SIN(2*PI()*(((Model_Data!A81)/Inputs!$C$49)+Inputs!$C$47*0.137))+0.35*COS(2*PI()*(((0)/Inputs!$C$50)+Inputs!$C$47*0.173))+0.20*SIN(2*PI()*(((Model_Data!A81)+(0))/(0.5*(Inputs!$C$49+Inputs!$C$50))+Inputs!$C$47*0.097)))+0.30*(2*((SIN(((Model_Data!A81)*12.9898+(0)*78.233+Inputs!$C$47*37.719))*43758.5453)-INT((SIN(((Model_Data!A81)*12.9898+(0)*78.233+Inputs!$C$47*37.719))*43758.5453)))-1))))/1000)))*1000/Inputs!$C$12)</x:f>
        <x:v>460.73219494622134</x:v>
      </x:c>
      <x:c r="D81" s="49"/>
      <x:c r="E81" s="48" t="n">
        <x:f>Model_Data!A81</x:f>
        <x:v>-20.5</x:v>
      </x:c>
      <x:c r="F81" s="48" t="n">
        <x:f>(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(0.45*SIN(2*PI()*(((Model_Data!A81)/Inputs!$C$49)+Inputs!$C$47*0.137))+0.35*COS(2*PI()*(((Inputs!$C$6)/Inputs!$C$50)+Inputs!$C$47*0.173))+0.20*SIN(2*PI()*(((Model_Data!A81)+(Inputs!$C$6))/(0.5*(Inputs!$C$49+Inputs!$C$50))+Inputs!$C$47*0.097)))+0.30*(2*((SIN(((Model_Data!A81)*12.9898+(Inputs!$C$6)*78.233+Inputs!$C$47*37.719))*43758.5453)-INT((SIN(((Model_Data!A81)*12.9898+(Inputs!$C$6)*78.233+Inputs!$C$47*37.719))*43758.5453)))-1)))</x:f>
        <x:v>343.37986587370784</x:v>
      </x:c>
      <x:c r="G81" s="48" t="n">
        <x:f>(Inputs!$C$51*(115*EXP(-(((0)-25)^2)/(4.5^2))+70*EXP(-(((0)+38)^2)/(7^2))*(0.55+0.45*SIN(2*PI()*(Model_Data!A81)/45))+24*SIN(2*PI()*(0)/9+(Model_Data!A81)/18)*EXP(-(((0)+5)^2)/(22^2))+18*SIN(2*PI()*(Model_Data!A81)/70))+Inputs!$C$28*EXP(-(((Model_Data!A81)-Inputs!$C$29)^2)/(2*Inputs!$C$31^2))*EXP(-(((0)-Inputs!$C$30)^2)/(2*Inputs!$C$32^2))+-Inputs!$C$33*EXP(-(((((Model_Data!A81)-Inputs!$C$34)^2)+(((0)-Inputs!$C$35)^2))/(2*Inputs!$C$36^2)))+Inputs!$C$37*(0.55*SIN(2*PI()*(Model_Data!A81)/Inputs!$C$39)+0.35*COS(2*PI()*(0)/Inputs!$C$40)+0.2*SIN(2*PI()*((Model_Data!A81)+(0))/(0.5*(Inputs!$C$39+Inputs!$C$40))))+Inputs!$C$38*SIN(2*PI()*(Model_Data!A81)/Inputs!$C$39)*SIN(2*PI()*(0)/Inputs!$C$40)+-Inputs!$C$41*EXP(-(((0)-Inputs!$C$43)^2)/(2*Inputs!$C$44^2))*EXP(-(((Model_Data!A81)-Inputs!$C$42)^2)/(2*Inputs!$C$45^2))+Inputs!$C$48*(0.70*(0.45*SIN(2*PI()*(((Model_Data!A81)/Inputs!$C$49)+Inputs!$C$47*0.137))+0.35*COS(2*PI()*(((0)/Inputs!$C$50)+Inputs!$C$47*0.173))+0.20*SIN(2*PI()*(((Model_Data!A81)+(0))/(0.5*(Inputs!$C$49+Inputs!$C$50))+Inputs!$C$47*0.097)))+0.30*(2*((SIN(((Model_Data!A81)*12.9898+(0)*78.233+Inputs!$C$47*37.719))*43758.5453)-INT((SIN(((Model_Data!A81)*12.9898+(0)*78.233+Inputs!$C$47*37.719))*43758.5453)))-1)))</x:f>
        <x:v>-140.5508651158499</x:v>
      </x:c>
      <x:c r="H81" s="49"/>
      <x:c r="I81" s="48" t="n">
        <x:f>Model_Data!A81</x:f>
        <x:v>-20.5</x:v>
      </x:c>
      <x:c r="J81" s="48" t="n">
        <x:f>((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(0.45*SIN(2*PI()*(((Model_Data!A81)/Inputs!$C$49)+Inputs!$C$47*0.137))+0.35*COS(2*PI()*(((Inputs!$C$6)/Inputs!$C$50)+Inputs!$C$47*0.173))+0.20*SIN(2*PI()*(((Model_Data!A81)+(Inputs!$C$6))/(0.5*(Inputs!$C$49+Inputs!$C$50))+Inputs!$C$47*0.097)))+0.30*(2*((SIN(((Model_Data!A81)*12.9898+(Inputs!$C$6)*78.233+Inputs!$C$47*37.719))*43758.5453)-INT((SIN(((Model_Data!A81)*12.9898+(Inputs!$C$6)*78.233+Inputs!$C$47*37.719))*43758.5453)))-1))))-((Inputs!$C$51*(115*EXP(-(((0)-25)^2)/(4.5^2))+70*EXP(-(((0)+38)^2)/(7^2))*(0.55+0.45*SIN(2*PI()*(Model_Data!A81)/45))+24*SIN(2*PI()*(0)/9+(Model_Data!A81)/18)*EXP(-(((0)+5)^2)/(22^2))+18*SIN(2*PI()*(Model_Data!A81)/70))+Inputs!$C$28*EXP(-(((Model_Data!A81)-Inputs!$C$29)^2)/(2*Inputs!$C$31^2))*EXP(-(((0)-Inputs!$C$30)^2)/(2*Inputs!$C$32^2))+-Inputs!$C$33*EXP(-(((((Model_Data!A81)-Inputs!$C$34)^2)+(((0)-Inputs!$C$35)^2))/(2*Inputs!$C$36^2)))+Inputs!$C$37*(0.55*SIN(2*PI()*(Model_Data!A81)/Inputs!$C$39)+0.35*COS(2*PI()*(0)/Inputs!$C$40)+0.2*SIN(2*PI()*((Model_Data!A81)+(0))/(0.5*(Inputs!$C$39+Inputs!$C$40))))+Inputs!$C$38*SIN(2*PI()*(Model_Data!A81)/Inputs!$C$39)*SIN(2*PI()*(0)/Inputs!$C$40)+-Inputs!$C$41*EXP(-(((0)-Inputs!$C$43)^2)/(2*Inputs!$C$44^2))*EXP(-(((Model_Data!A81)-Inputs!$C$42)^2)/(2*Inputs!$C$45^2))+Inputs!$C$48*(0.70*(0.45*SIN(2*PI()*(((Model_Data!A81)/Inputs!$C$49)+Inputs!$C$47*0.137))+0.35*COS(2*PI()*(((0)/Inputs!$C$50)+Inputs!$C$47*0.173))+0.20*SIN(2*PI()*(((Model_Data!A81)+(0))/(0.5*(Inputs!$C$49+Inputs!$C$50))+Inputs!$C$47*0.097)))+0.30*(2*((SIN(((Model_Data!A81)*12.9898+(0)*78.233+Inputs!$C$47*37.719))*43758.5453)-INT((SIN(((Model_Data!A81)*12.9898+(0)*78.233+Inputs!$C$47*37.719))*43758.5453)))-1))))</x:f>
        <x:v>483.93073098955773</x:v>
      </x:c>
      <x:c r="K81" s="48" t="n">
        <x:f>-((((SQRT((Model_Data!A81)^2+Inputs!$C$6^2+((Model_Data!B81)-((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(0.45*SIN(2*PI()*(((Model_Data!A81)/Inputs!$C$49)+Inputs!$C$47*0.137))+0.35*COS(2*PI()*(((Inputs!$C$6)/Inputs!$C$50)+Inputs!$C$47*0.173))+0.20*SIN(2*PI()*(((Model_Data!A81)+(Inputs!$C$6))/(0.5*(Inputs!$C$49+Inputs!$C$50))+Inputs!$C$47*0.097)))+0.30*(2*((SIN(((Model_Data!A81)*12.9898+(Inputs!$C$6)*78.233+Inputs!$C$47*37.719))*43758.5453)-INT((SIN(((Model_Data!A81)*12.9898+(Inputs!$C$6)*78.233+Inputs!$C$47*37.719))*43758.5453)))-1))))/1000)^2))-(((Model_Data!B81)-((Inputs!$C$51*(115*EXP(-(((0)-25)^2)/(4.5^2))+70*EXP(-(((0)+38)^2)/(7^2))*(0.55+0.45*SIN(2*PI()*(Model_Data!A81)/45))+24*SIN(2*PI()*(0)/9+(Model_Data!A81)/18)*EXP(-(((0)+5)^2)/(22^2))+18*SIN(2*PI()*(Model_Data!A81)/70))+Inputs!$C$28*EXP(-(((Model_Data!A81)-Inputs!$C$29)^2)/(2*Inputs!$C$31^2))*EXP(-(((0)-Inputs!$C$30)^2)/(2*Inputs!$C$32^2))+-Inputs!$C$33*EXP(-(((((Model_Data!A81)-Inputs!$C$34)^2)+(((0)-Inputs!$C$35)^2))/(2*Inputs!$C$36^2)))+Inputs!$C$37*(0.55*SIN(2*PI()*(Model_Data!A81)/Inputs!$C$39)+0.35*COS(2*PI()*(0)/Inputs!$C$40)+0.2*SIN(2*PI()*((Model_Data!A81)+(0))/(0.5*(Inputs!$C$39+Inputs!$C$40))))+Inputs!$C$38*SIN(2*PI()*(Model_Data!A81)/Inputs!$C$39)*SIN(2*PI()*(0)/Inputs!$C$40)+-Inputs!$C$41*EXP(-(((0)-Inputs!$C$43)^2)/(2*Inputs!$C$44^2))*EXP(-(((Model_Data!A81)-Inputs!$C$42)^2)/(2*Inputs!$C$45^2))+Inputs!$C$48*(0.70*(0.45*SIN(2*PI()*(((Model_Data!A81)/Inputs!$C$49)+Inputs!$C$47*0.137))+0.35*COS(2*PI()*(((0)/Inputs!$C$50)+Inputs!$C$47*0.173))+0.20*SIN(2*PI()*(((Model_Data!A81)+(0))/(0.5*(Inputs!$C$49+Inputs!$C$50))+Inputs!$C$47*0.097)))+0.30*(2*((SIN(((Model_Data!A81)*12.9898+(0)*78.233+Inputs!$C$47*37.719))*43758.5453)-INT((SIN(((Model_Data!A81)*12.9898+(0)*78.233+Inputs!$C$47*37.719))*43758.5453)))-1))))/1000)))*1000/Inputs!$C$12)-Model_Data!F81)</x:f>
        <x:v>271.2450653415943</x:v>
      </x:c>
      <x:c r="L81" s="49"/>
      <x:c r="M81" s="48" t="n">
        <x:f>Model_Data!A81</x:f>
        <x:v>-20.5</x:v>
      </x:c>
      <x:c r="N81" s="48" t="n">
        <x:f>Model_Data!P81</x:f>
        <x:v>154.291290056187</x:v>
      </x:c>
      <x:c r="O81" s="48" t="n">
        <x:f>AC81</x:f>
        <x:v>186.6362925949943</x:v>
      </x:c>
      <x:c r="P81" s="48" t="n">
        <x:f>Model_Data!Q81</x:f>
        <x:v>23.166860368796847</x:v>
      </x:c>
      <x:c r="Q81" s="48" t="n">
        <x:f>AD81</x:f>
        <x:v>28.023467356605753</x:v>
      </x:c>
      <x:c r="R81" s="49"/>
      <x:c r="S81" s="48" t="n">
        <x:f>Model_Data!A81</x:f>
        <x:v>-20.5</x:v>
      </x:c>
      <x:c r="T81" s="48" t="n">
        <x:f>Model_Data!B81-Inputs!$C$5</x:f>
        <x:v>0.4669444444444366</x:v>
      </x:c>
      <x:c r="U81" s="49"/>
      <x:c r="V81" s="48" t="n">
        <x:f>Model_Data!A81</x:f>
        <x:v>-20.5</x:v>
      </x:c>
      <x:c r="W81" s="48" t="n">
        <x:f>(-((((SQRT((Model_Data!A81)^2+Inputs!$C$6^2+((Model_Data!B81)-((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(0.45*SIN(2*PI()*(((Model_Data!A81)/Inputs!$C$49)+Inputs!$C$47*0.137))+0.35*COS(2*PI()*(((Inputs!$C$6)/Inputs!$C$50)+Inputs!$C$47*0.173))+0.20*SIN(2*PI()*(((Model_Data!A81)+(Inputs!$C$6))/(0.5*(Inputs!$C$49+Inputs!$C$50))+Inputs!$C$47*0.097)))+0.30*(2*((SIN(((Model_Data!A81)*12.9898+(Inputs!$C$6)*78.233+Inputs!$C$47*37.719))*43758.5453)-INT((SIN(((Model_Data!A81)*12.9898+(Inputs!$C$6)*78.233+Inputs!$C$47*37.719))*43758.5453)))-1))))/1000)^2))-(((Model_Data!B81)-((Inputs!$C$51*(115*EXP(-(((0)-25)^2)/(4.5^2))+70*EXP(-(((0)+38)^2)/(7^2))*(0.55+0.45*SIN(2*PI()*(Model_Data!A81)/45))+24*SIN(2*PI()*(0)/9+(Model_Data!A81)/18)*EXP(-(((0)+5)^2)/(22^2))+18*SIN(2*PI()*(Model_Data!A81)/70))+Inputs!$C$28*EXP(-(((Model_Data!A81)-Inputs!$C$29)^2)/(2*Inputs!$C$31^2))*EXP(-(((0)-Inputs!$C$30)^2)/(2*Inputs!$C$32^2))+-Inputs!$C$33*EXP(-(((((Model_Data!A81)-Inputs!$C$34)^2)+(((0)-Inputs!$C$35)^2))/(2*Inputs!$C$36^2)))+Inputs!$C$37*(0.55*SIN(2*PI()*(Model_Data!A81)/Inputs!$C$39)+0.35*COS(2*PI()*(0)/Inputs!$C$40)+0.2*SIN(2*PI()*((Model_Data!A81)+(0))/(0.5*(Inputs!$C$39+Inputs!$C$40))))+Inputs!$C$38*SIN(2*PI()*(Model_Data!A81)/Inputs!$C$39)*SIN(2*PI()*(0)/Inputs!$C$40)+-Inputs!$C$41*EXP(-(((0)-Inputs!$C$43)^2)/(2*Inputs!$C$44^2))*EXP(-(((Model_Data!A81)-Inputs!$C$42)^2)/(2*Inputs!$C$45^2))+Inputs!$C$48*(0.70*(0.45*SIN(2*PI()*(((Model_Data!A81)/Inputs!$C$49)+Inputs!$C$47*0.137))+0.35*COS(2*PI()*(((0)/Inputs!$C$50)+Inputs!$C$47*0.173))+0.20*SIN(2*PI()*(((Model_Data!A81)+(0))/(0.5*(Inputs!$C$49+Inputs!$C$50))+Inputs!$C$47*0.097)))+0.30*(2*((SIN(((Model_Data!A81)*12.9898+(0)*78.233+Inputs!$C$47*37.719))*43758.5453)-INT((SIN(((Model_Data!A81)*12.9898+(0)*78.233+Inputs!$C$47*37.719))*43758.5453)))-1))))/1000)))*1000/Inputs!$C$12)-Model_Data!F81))-(-(((SQRT((Model_Data!A81)^2+Inputs!$C$6^2+(Inputs!$C$5-((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(0.45*SIN(2*PI()*(((Model_Data!A81)/Inputs!$C$49)+Inputs!$C$47*0.137))+0.35*COS(2*PI()*(((Inputs!$C$6)/Inputs!$C$50)+Inputs!$C$47*0.173))+0.20*SIN(2*PI()*(((Model_Data!A81)+(Inputs!$C$6))/(0.5*(Inputs!$C$49+Inputs!$C$50))+Inputs!$C$47*0.097)))+0.30*(2*((SIN(((Model_Data!A81)*12.9898+(Inputs!$C$6)*78.233+Inputs!$C$47*37.719))*43758.5453)-INT((SIN(((Model_Data!A81)*12.9898+(Inputs!$C$6)*78.233+Inputs!$C$47*37.719))*43758.5453)))-1))))/1000)^2)-(Inputs!$C$5-((Inputs!$C$51*(115*EXP(-(((0)-25)^2)/(4.5^2))+70*EXP(-(((0)+38)^2)/(7^2))*(0.55+0.45*SIN(2*PI()*(Model_Data!A81)/45))+24*SIN(2*PI()*(0)/9+(Model_Data!A81)/18)*EXP(-(((0)+5)^2)/(22^2))+18*SIN(2*PI()*(Model_Data!A81)/70))+Inputs!$C$28*EXP(-(((Model_Data!A81)-Inputs!$C$29)^2)/(2*Inputs!$C$31^2))*EXP(-(((0)-Inputs!$C$30)^2)/(2*Inputs!$C$32^2))+-Inputs!$C$33*EXP(-(((((Model_Data!A81)-Inputs!$C$34)^2)+(((0)-Inputs!$C$35)^2))/(2*Inputs!$C$36^2)))+Inputs!$C$37*(0.55*SIN(2*PI()*(Model_Data!A81)/Inputs!$C$39)+0.35*COS(2*PI()*(0)/Inputs!$C$40)+0.2*SIN(2*PI()*((Model_Data!A81)+(0))/(0.5*(Inputs!$C$39+Inputs!$C$40))))+Inputs!$C$38*SIN(2*PI()*(Model_Data!A81)/Inputs!$C$39)*SIN(2*PI()*(0)/Inputs!$C$40)+-Inputs!$C$41*EXP(-(((0)-Inputs!$C$43)^2)/(2*Inputs!$C$44^2))*EXP(-(((Model_Data!A81)-Inputs!$C$42)^2)/(2*Inputs!$C$45^2))+Inputs!$C$48*(0.70*(0.45*SIN(2*PI()*(((Model_Data!A81)/Inputs!$C$49)+Inputs!$C$47*0.137))+0.35*COS(2*PI()*(((0)/Inputs!$C$50)+Inputs!$C$47*0.173))+0.20*SIN(2*PI()*(((Model_Data!A81)+(0))/(0.5*(Inputs!$C$49+Inputs!$C$50))+Inputs!$C$47*0.097)))+0.30*(2*((SIN(((Model_Data!A81)*12.9898+(0)*78.233+Inputs!$C$47*37.719))*43758.5453)-INT((SIN(((Model_Data!A81)*12.9898+(0)*78.233+Inputs!$C$47*37.719))*43758.5453)))-1))))/1000))*1000/Inputs!$C$12)-((SQRT((Model_Data!A81)^2+Inputs!$C$6^2+Inputs!$C$5^2)-Inputs!$C$5)*1000/Inputs!$C$12)))</x:f>
        <x:v>0.0014561927653744533</x:v>
      </x:c>
      <x:c r="X81" s="48" t="n">
        <x:f>0</x:f>
        <x:v>0</x:v>
      </x:c>
      <x:c r="Y81" s="49"/>
      <x:c r="Z81" s="48" t="n">
        <x:f>Model_Data!A81</x:f>
        <x:v>-20.5</x:v>
      </x:c>
      <x:c r="AA81" s="48" t="n">
        <x:f>SQRT((Model_Data!A81)^2+Inputs!$C$6^2+((Model_Data!B81)-((Inputs!$C$51*(115*EXP(-(((Inputs!$C$6)-25)^2)/(4.5^2))+70*EXP(-(((Inputs!$C$6)+38)^2)/(7^2))*(0.55+0.45*SIN(2*PI()*(Model_Data!A81)/45))+24*SIN(2*PI()*(Inputs!$C$6)/9+(Model_Data!A81)/18)*EXP(-(((Inputs!$C$6)+5)^2)/(22^2))+18*SIN(2*PI()*(Model_Data!A81)/70))+Inputs!$C$28*EXP(-(((Model_Data!A81)-Inputs!$C$29)^2)/(2*Inputs!$C$31^2))*EXP(-(((Inputs!$C$6)-Inputs!$C$30)^2)/(2*Inputs!$C$32^2))+-Inputs!$C$33*EXP(-(((((Model_Data!A81)-Inputs!$C$34)^2)+(((Inputs!$C$6)-Inputs!$C$35)^2))/(2*Inputs!$C$36^2)))+Inputs!$C$37*(0.55*SIN(2*PI()*(Model_Data!A81)/Inputs!$C$39)+0.35*COS(2*PI()*(Inputs!$C$6)/Inputs!$C$40)+0.2*SIN(2*PI()*((Model_Data!A81)+(Inputs!$C$6))/(0.5*(Inputs!$C$39+Inputs!$C$40))))+Inputs!$C$38*SIN(2*PI()*(Model_Data!A81)/Inputs!$C$39)*SIN(2*PI()*(Inputs!$C$6)/Inputs!$C$40)+-Inputs!$C$41*EXP(-(((Inputs!$C$6)-Inputs!$C$43)^2)/(2*Inputs!$C$44^2))*EXP(-(((Model_Data!A81)-Inputs!$C$42)^2)/(2*Inputs!$C$45^2))+Inputs!$C$48*(0.70*(0.45*SIN(2*PI()*(((Model_Data!A81)/Inputs!$C$49)+Inputs!$C$47*0.137))+0.35*COS(2*PI()*(((Inputs!$C$6)/Inputs!$C$50)+Inputs!$C$47*0.173))+0.20*SIN(2*PI()*(((Model_Data!A81)+(Inputs!$C$6))/(0.5*(Inputs!$C$49+Inputs!$C$50))+Inputs!$C$47*0.097)))+0.30*(2*((SIN(((Model_Data!A81)*12.9898+(Inputs!$C$6)*78.233+Inputs!$C$47*37.719))*43758.5453)-INT((SIN(((Model_Data!A81)*12.9898+(Inputs!$C$6)*78.233+Inputs!$C$47*37.719))*43758.5453)))-1))))/1000)^2)</x:f>
        <x:v>401.4275986165646</x:v>
      </x:c>
      <x:c r="AB81" s="48" t="n">
        <x:f>1000*(AA82-AA80)/(Z82-Z80)*Inputs!$C$11</x:f>
        <x:v>-466.59073148748575</x:v>
      </x:c>
      <x:c r="AC81" s="48" t="n">
        <x:f>-2*AB81/Inputs!$C$13</x:f>
        <x:v>186.6362925949943</x:v>
      </x:c>
      <x:c r="AD81" s="48" t="n">
        <x:f>-2*AB81/Inputs!$C$14</x:f>
        <x:v>28.023467356605753</x:v>
      </x:c>
    </x:row>
    <x:row r="82">
      <x:c r="A82" s="48" t="n">
        <x:f>Model_Data!A82</x:f>
        <x:v>-20</x:v>
      </x:c>
      <x:c r="B82" s="48" t="n">
        <x:f>Model_Data!F82</x:f>
        <x:v>717.8591585575956</x:v>
      </x:c>
      <x:c r="C82" s="48" t="n">
        <x:f>(((SQRT((Model_Data!A82)^2+Inputs!$C$6^2+((Model_Data!B82)-((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(0.45*SIN(2*PI()*(((Model_Data!A82)/Inputs!$C$49)+Inputs!$C$47*0.137))+0.35*COS(2*PI()*(((Inputs!$C$6)/Inputs!$C$50)+Inputs!$C$47*0.173))+0.20*SIN(2*PI()*(((Model_Data!A82)+(Inputs!$C$6))/(0.5*(Inputs!$C$49+Inputs!$C$50))+Inputs!$C$47*0.097)))+0.30*(2*((SIN(((Model_Data!A82)*12.9898+(Inputs!$C$6)*78.233+Inputs!$C$47*37.719))*43758.5453)-INT((SIN(((Model_Data!A82)*12.9898+(Inputs!$C$6)*78.233+Inputs!$C$47*37.719))*43758.5453)))-1))))/1000)^2))-(((Model_Data!B82)-((Inputs!$C$51*(115*EXP(-(((0)-25)^2)/(4.5^2))+70*EXP(-(((0)+38)^2)/(7^2))*(0.55+0.45*SIN(2*PI()*(Model_Data!A82)/45))+24*SIN(2*PI()*(0)/9+(Model_Data!A82)/18)*EXP(-(((0)+5)^2)/(22^2))+18*SIN(2*PI()*(Model_Data!A82)/70))+Inputs!$C$28*EXP(-(((Model_Data!A82)-Inputs!$C$29)^2)/(2*Inputs!$C$31^2))*EXP(-(((0)-Inputs!$C$30)^2)/(2*Inputs!$C$32^2))+-Inputs!$C$33*EXP(-(((((Model_Data!A82)-Inputs!$C$34)^2)+(((0)-Inputs!$C$35)^2))/(2*Inputs!$C$36^2)))+Inputs!$C$37*(0.55*SIN(2*PI()*(Model_Data!A82)/Inputs!$C$39)+0.35*COS(2*PI()*(0)/Inputs!$C$40)+0.2*SIN(2*PI()*((Model_Data!A82)+(0))/(0.5*(Inputs!$C$39+Inputs!$C$40))))+Inputs!$C$38*SIN(2*PI()*(Model_Data!A82)/Inputs!$C$39)*SIN(2*PI()*(0)/Inputs!$C$40)+-Inputs!$C$41*EXP(-(((0)-Inputs!$C$43)^2)/(2*Inputs!$C$44^2))*EXP(-(((Model_Data!A82)-Inputs!$C$42)^2)/(2*Inputs!$C$45^2))+Inputs!$C$48*(0.70*(0.45*SIN(2*PI()*(((Model_Data!A82)/Inputs!$C$49)+Inputs!$C$47*0.137))+0.35*COS(2*PI()*(((0)/Inputs!$C$50)+Inputs!$C$47*0.173))+0.20*SIN(2*PI()*(((Model_Data!A82)+(0))/(0.5*(Inputs!$C$49+Inputs!$C$50))+Inputs!$C$47*0.097)))+0.30*(2*((SIN(((Model_Data!A82)*12.9898+(0)*78.233+Inputs!$C$47*37.719))*43758.5453)-INT((SIN(((Model_Data!A82)*12.9898+(0)*78.233+Inputs!$C$47*37.719))*43758.5453)))-1))))/1000)))*1000/Inputs!$C$12)</x:f>
        <x:v>446.28049693754195</x:v>
      </x:c>
      <x:c r="D82" s="49"/>
      <x:c r="E82" s="48" t="n">
        <x:f>Model_Data!A82</x:f>
        <x:v>-20</x:v>
      </x:c>
      <x:c r="F82" s="48" t="n">
        <x:f>(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(0.45*SIN(2*PI()*(((Model_Data!A82)/Inputs!$C$49)+Inputs!$C$47*0.137))+0.35*COS(2*PI()*(((Inputs!$C$6)/Inputs!$C$50)+Inputs!$C$47*0.173))+0.20*SIN(2*PI()*(((Model_Data!A82)+(Inputs!$C$6))/(0.5*(Inputs!$C$49+Inputs!$C$50))+Inputs!$C$47*0.097)))+0.30*(2*((SIN(((Model_Data!A82)*12.9898+(Inputs!$C$6)*78.233+Inputs!$C$47*37.719))*43758.5453)-INT((SIN(((Model_Data!A82)*12.9898+(Inputs!$C$6)*78.233+Inputs!$C$47*37.719))*43758.5453)))-1)))</x:f>
        <x:v>338.15830709992554</x:v>
      </x:c>
      <x:c r="G82" s="48" t="n">
        <x:f>(Inputs!$C$51*(115*EXP(-(((0)-25)^2)/(4.5^2))+70*EXP(-(((0)+38)^2)/(7^2))*(0.55+0.45*SIN(2*PI()*(Model_Data!A82)/45))+24*SIN(2*PI()*(0)/9+(Model_Data!A82)/18)*EXP(-(((0)+5)^2)/(22^2))+18*SIN(2*PI()*(Model_Data!A82)/70))+Inputs!$C$28*EXP(-(((Model_Data!A82)-Inputs!$C$29)^2)/(2*Inputs!$C$31^2))*EXP(-(((0)-Inputs!$C$30)^2)/(2*Inputs!$C$32^2))+-Inputs!$C$33*EXP(-(((((Model_Data!A82)-Inputs!$C$34)^2)+(((0)-Inputs!$C$35)^2))/(2*Inputs!$C$36^2)))+Inputs!$C$37*(0.55*SIN(2*PI()*(Model_Data!A82)/Inputs!$C$39)+0.35*COS(2*PI()*(0)/Inputs!$C$40)+0.2*SIN(2*PI()*((Model_Data!A82)+(0))/(0.5*(Inputs!$C$39+Inputs!$C$40))))+Inputs!$C$38*SIN(2*PI()*(Model_Data!A82)/Inputs!$C$39)*SIN(2*PI()*(0)/Inputs!$C$40)+-Inputs!$C$41*EXP(-(((0)-Inputs!$C$43)^2)/(2*Inputs!$C$44^2))*EXP(-(((Model_Data!A82)-Inputs!$C$42)^2)/(2*Inputs!$C$45^2))+Inputs!$C$48*(0.70*(0.45*SIN(2*PI()*(((Model_Data!A82)/Inputs!$C$49)+Inputs!$C$47*0.137))+0.35*COS(2*PI()*(((0)/Inputs!$C$50)+Inputs!$C$47*0.173))+0.20*SIN(2*PI()*(((Model_Data!A82)+(0))/(0.5*(Inputs!$C$49+Inputs!$C$50))+Inputs!$C$47*0.097)))+0.30*(2*((SIN(((Model_Data!A82)*12.9898+(0)*78.233+Inputs!$C$47*37.719))*43758.5453)-INT((SIN(((Model_Data!A82)*12.9898+(0)*78.233+Inputs!$C$47*37.719))*43758.5453)))-1)))</x:f>
        <x:v>-146.32822187126578</x:v>
      </x:c>
      <x:c r="H82" s="49"/>
      <x:c r="I82" s="48" t="n">
        <x:f>Model_Data!A82</x:f>
        <x:v>-20</x:v>
      </x:c>
      <x:c r="J82" s="48" t="n">
        <x:f>((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(0.45*SIN(2*PI()*(((Model_Data!A82)/Inputs!$C$49)+Inputs!$C$47*0.137))+0.35*COS(2*PI()*(((Inputs!$C$6)/Inputs!$C$50)+Inputs!$C$47*0.173))+0.20*SIN(2*PI()*(((Model_Data!A82)+(Inputs!$C$6))/(0.5*(Inputs!$C$49+Inputs!$C$50))+Inputs!$C$47*0.097)))+0.30*(2*((SIN(((Model_Data!A82)*12.9898+(Inputs!$C$6)*78.233+Inputs!$C$47*37.719))*43758.5453)-INT((SIN(((Model_Data!A82)*12.9898+(Inputs!$C$6)*78.233+Inputs!$C$47*37.719))*43758.5453)))-1))))-((Inputs!$C$51*(115*EXP(-(((0)-25)^2)/(4.5^2))+70*EXP(-(((0)+38)^2)/(7^2))*(0.55+0.45*SIN(2*PI()*(Model_Data!A82)/45))+24*SIN(2*PI()*(0)/9+(Model_Data!A82)/18)*EXP(-(((0)+5)^2)/(22^2))+18*SIN(2*PI()*(Model_Data!A82)/70))+Inputs!$C$28*EXP(-(((Model_Data!A82)-Inputs!$C$29)^2)/(2*Inputs!$C$31^2))*EXP(-(((0)-Inputs!$C$30)^2)/(2*Inputs!$C$32^2))+-Inputs!$C$33*EXP(-(((((Model_Data!A82)-Inputs!$C$34)^2)+(((0)-Inputs!$C$35)^2))/(2*Inputs!$C$36^2)))+Inputs!$C$37*(0.55*SIN(2*PI()*(Model_Data!A82)/Inputs!$C$39)+0.35*COS(2*PI()*(0)/Inputs!$C$40)+0.2*SIN(2*PI()*((Model_Data!A82)+(0))/(0.5*(Inputs!$C$39+Inputs!$C$40))))+Inputs!$C$38*SIN(2*PI()*(Model_Data!A82)/Inputs!$C$39)*SIN(2*PI()*(0)/Inputs!$C$40)+-Inputs!$C$41*EXP(-(((0)-Inputs!$C$43)^2)/(2*Inputs!$C$44^2))*EXP(-(((Model_Data!A82)-Inputs!$C$42)^2)/(2*Inputs!$C$45^2))+Inputs!$C$48*(0.70*(0.45*SIN(2*PI()*(((Model_Data!A82)/Inputs!$C$49)+Inputs!$C$47*0.137))+0.35*COS(2*PI()*(((0)/Inputs!$C$50)+Inputs!$C$47*0.173))+0.20*SIN(2*PI()*(((Model_Data!A82)+(0))/(0.5*(Inputs!$C$49+Inputs!$C$50))+Inputs!$C$47*0.097)))+0.30*(2*((SIN(((Model_Data!A82)*12.9898+(0)*78.233+Inputs!$C$47*37.719))*43758.5453)-INT((SIN(((Model_Data!A82)*12.9898+(0)*78.233+Inputs!$C$47*37.719))*43758.5453)))-1))))</x:f>
        <x:v>484.4865289711913</x:v>
      </x:c>
      <x:c r="K82" s="48" t="n">
        <x:f>-((((SQRT((Model_Data!A82)^2+Inputs!$C$6^2+((Model_Data!B82)-((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(0.45*SIN(2*PI()*(((Model_Data!A82)/Inputs!$C$49)+Inputs!$C$47*0.137))+0.35*COS(2*PI()*(((Inputs!$C$6)/Inputs!$C$50)+Inputs!$C$47*0.173))+0.20*SIN(2*PI()*(((Model_Data!A82)+(Inputs!$C$6))/(0.5*(Inputs!$C$49+Inputs!$C$50))+Inputs!$C$47*0.097)))+0.30*(2*((SIN(((Model_Data!A82)*12.9898+(Inputs!$C$6)*78.233+Inputs!$C$47*37.719))*43758.5453)-INT((SIN(((Model_Data!A82)*12.9898+(Inputs!$C$6)*78.233+Inputs!$C$47*37.719))*43758.5453)))-1))))/1000)^2))-(((Model_Data!B82)-((Inputs!$C$51*(115*EXP(-(((0)-25)^2)/(4.5^2))+70*EXP(-(((0)+38)^2)/(7^2))*(0.55+0.45*SIN(2*PI()*(Model_Data!A82)/45))+24*SIN(2*PI()*(0)/9+(Model_Data!A82)/18)*EXP(-(((0)+5)^2)/(22^2))+18*SIN(2*PI()*(Model_Data!A82)/70))+Inputs!$C$28*EXP(-(((Model_Data!A82)-Inputs!$C$29)^2)/(2*Inputs!$C$31^2))*EXP(-(((0)-Inputs!$C$30)^2)/(2*Inputs!$C$32^2))+-Inputs!$C$33*EXP(-(((((Model_Data!A82)-Inputs!$C$34)^2)+(((0)-Inputs!$C$35)^2))/(2*Inputs!$C$36^2)))+Inputs!$C$37*(0.55*SIN(2*PI()*(Model_Data!A82)/Inputs!$C$39)+0.35*COS(2*PI()*(0)/Inputs!$C$40)+0.2*SIN(2*PI()*((Model_Data!A82)+(0))/(0.5*(Inputs!$C$39+Inputs!$C$40))))+Inputs!$C$38*SIN(2*PI()*(Model_Data!A82)/Inputs!$C$39)*SIN(2*PI()*(0)/Inputs!$C$40)+-Inputs!$C$41*EXP(-(((0)-Inputs!$C$43)^2)/(2*Inputs!$C$44^2))*EXP(-(((Model_Data!A82)-Inputs!$C$42)^2)/(2*Inputs!$C$45^2))+Inputs!$C$48*(0.70*(0.45*SIN(2*PI()*(((Model_Data!A82)/Inputs!$C$49)+Inputs!$C$47*0.137))+0.35*COS(2*PI()*(((0)/Inputs!$C$50)+Inputs!$C$47*0.173))+0.20*SIN(2*PI()*(((Model_Data!A82)+(0))/(0.5*(Inputs!$C$49+Inputs!$C$50))+Inputs!$C$47*0.097)))+0.30*(2*((SIN(((Model_Data!A82)*12.9898+(0)*78.233+Inputs!$C$47*37.719))*43758.5453)-INT((SIN(((Model_Data!A82)*12.9898+(0)*78.233+Inputs!$C$47*37.719))*43758.5453)))-1))))/1000)))*1000/Inputs!$C$12)-Model_Data!F82)</x:f>
        <x:v>271.57866162005365</x:v>
      </x:c>
      <x:c r="L82" s="49"/>
      <x:c r="M82" s="48" t="n">
        <x:f>Model_Data!A82</x:f>
        <x:v>-20</x:v>
      </x:c>
      <x:c r="N82" s="48" t="n">
        <x:f>Model_Data!P82</x:f>
        <x:v>150.54195238009106</x:v>
      </x:c>
      <x:c r="O82" s="48" t="n">
        <x:f>AC82</x:f>
        <x:v>183.20261364715407</x:v>
      </x:c>
      <x:c r="P82" s="48" t="n">
        <x:f>Model_Data!Q82</x:f>
        <x:v>22.60389675376743</x:v>
      </x:c>
      <x:c r="Q82" s="48" t="n">
        <x:f>AD82</x:f>
        <x:v>27.50789994702013</x:v>
      </x:c>
      <x:c r="R82" s="49"/>
      <x:c r="S82" s="48" t="n">
        <x:f>Model_Data!A82</x:f>
        <x:v>-20</x:v>
      </x:c>
      <x:c r="T82" s="48" t="n">
        <x:f>Model_Data!B82-Inputs!$C$5</x:f>
        <x:v>0.4444444444444571</x:v>
      </x:c>
      <x:c r="U82" s="49"/>
      <x:c r="V82" s="48" t="n">
        <x:f>Model_Data!A82</x:f>
        <x:v>-20</x:v>
      </x:c>
      <x:c r="W82" s="48" t="n">
        <x:f>(-((((SQRT((Model_Data!A82)^2+Inputs!$C$6^2+((Model_Data!B82)-((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(0.45*SIN(2*PI()*(((Model_Data!A82)/Inputs!$C$49)+Inputs!$C$47*0.137))+0.35*COS(2*PI()*(((Inputs!$C$6)/Inputs!$C$50)+Inputs!$C$47*0.173))+0.20*SIN(2*PI()*(((Model_Data!A82)+(Inputs!$C$6))/(0.5*(Inputs!$C$49+Inputs!$C$50))+Inputs!$C$47*0.097)))+0.30*(2*((SIN(((Model_Data!A82)*12.9898+(Inputs!$C$6)*78.233+Inputs!$C$47*37.719))*43758.5453)-INT((SIN(((Model_Data!A82)*12.9898+(Inputs!$C$6)*78.233+Inputs!$C$47*37.719))*43758.5453)))-1))))/1000)^2))-(((Model_Data!B82)-((Inputs!$C$51*(115*EXP(-(((0)-25)^2)/(4.5^2))+70*EXP(-(((0)+38)^2)/(7^2))*(0.55+0.45*SIN(2*PI()*(Model_Data!A82)/45))+24*SIN(2*PI()*(0)/9+(Model_Data!A82)/18)*EXP(-(((0)+5)^2)/(22^2))+18*SIN(2*PI()*(Model_Data!A82)/70))+Inputs!$C$28*EXP(-(((Model_Data!A82)-Inputs!$C$29)^2)/(2*Inputs!$C$31^2))*EXP(-(((0)-Inputs!$C$30)^2)/(2*Inputs!$C$32^2))+-Inputs!$C$33*EXP(-(((((Model_Data!A82)-Inputs!$C$34)^2)+(((0)-Inputs!$C$35)^2))/(2*Inputs!$C$36^2)))+Inputs!$C$37*(0.55*SIN(2*PI()*(Model_Data!A82)/Inputs!$C$39)+0.35*COS(2*PI()*(0)/Inputs!$C$40)+0.2*SIN(2*PI()*((Model_Data!A82)+(0))/(0.5*(Inputs!$C$39+Inputs!$C$40))))+Inputs!$C$38*SIN(2*PI()*(Model_Data!A82)/Inputs!$C$39)*SIN(2*PI()*(0)/Inputs!$C$40)+-Inputs!$C$41*EXP(-(((0)-Inputs!$C$43)^2)/(2*Inputs!$C$44^2))*EXP(-(((Model_Data!A82)-Inputs!$C$42)^2)/(2*Inputs!$C$45^2))+Inputs!$C$48*(0.70*(0.45*SIN(2*PI()*(((Model_Data!A82)/Inputs!$C$49)+Inputs!$C$47*0.137))+0.35*COS(2*PI()*(((0)/Inputs!$C$50)+Inputs!$C$47*0.173))+0.20*SIN(2*PI()*(((Model_Data!A82)+(0))/(0.5*(Inputs!$C$49+Inputs!$C$50))+Inputs!$C$47*0.097)))+0.30*(2*((SIN(((Model_Data!A82)*12.9898+(0)*78.233+Inputs!$C$47*37.719))*43758.5453)-INT((SIN(((Model_Data!A82)*12.9898+(0)*78.233+Inputs!$C$47*37.719))*43758.5453)))-1))))/1000)))*1000/Inputs!$C$12)-Model_Data!F82))-(-(((SQRT((Model_Data!A82)^2+Inputs!$C$6^2+(Inputs!$C$5-((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(0.45*SIN(2*PI()*(((Model_Data!A82)/Inputs!$C$49)+Inputs!$C$47*0.137))+0.35*COS(2*PI()*(((Inputs!$C$6)/Inputs!$C$50)+Inputs!$C$47*0.173))+0.20*SIN(2*PI()*(((Model_Data!A82)+(Inputs!$C$6))/(0.5*(Inputs!$C$49+Inputs!$C$50))+Inputs!$C$47*0.097)))+0.30*(2*((SIN(((Model_Data!A82)*12.9898+(Inputs!$C$6)*78.233+Inputs!$C$47*37.719))*43758.5453)-INT((SIN(((Model_Data!A82)*12.9898+(Inputs!$C$6)*78.233+Inputs!$C$47*37.719))*43758.5453)))-1))))/1000)^2)-(Inputs!$C$5-((Inputs!$C$51*(115*EXP(-(((0)-25)^2)/(4.5^2))+70*EXP(-(((0)+38)^2)/(7^2))*(0.55+0.45*SIN(2*PI()*(Model_Data!A82)/45))+24*SIN(2*PI()*(0)/9+(Model_Data!A82)/18)*EXP(-(((0)+5)^2)/(22^2))+18*SIN(2*PI()*(Model_Data!A82)/70))+Inputs!$C$28*EXP(-(((Model_Data!A82)-Inputs!$C$29)^2)/(2*Inputs!$C$31^2))*EXP(-(((0)-Inputs!$C$30)^2)/(2*Inputs!$C$32^2))+-Inputs!$C$33*EXP(-(((((Model_Data!A82)-Inputs!$C$34)^2)+(((0)-Inputs!$C$35)^2))/(2*Inputs!$C$36^2)))+Inputs!$C$37*(0.55*SIN(2*PI()*(Model_Data!A82)/Inputs!$C$39)+0.35*COS(2*PI()*(0)/Inputs!$C$40)+0.2*SIN(2*PI()*((Model_Data!A82)+(0))/(0.5*(Inputs!$C$39+Inputs!$C$40))))+Inputs!$C$38*SIN(2*PI()*(Model_Data!A82)/Inputs!$C$39)*SIN(2*PI()*(0)/Inputs!$C$40)+-Inputs!$C$41*EXP(-(((0)-Inputs!$C$43)^2)/(2*Inputs!$C$44^2))*EXP(-(((Model_Data!A82)-Inputs!$C$42)^2)/(2*Inputs!$C$45^2))+Inputs!$C$48*(0.70*(0.45*SIN(2*PI()*(((Model_Data!A82)/Inputs!$C$49)+Inputs!$C$47*0.137))+0.35*COS(2*PI()*(((0)/Inputs!$C$50)+Inputs!$C$47*0.173))+0.20*SIN(2*PI()*(((Model_Data!A82)+(0))/(0.5*(Inputs!$C$49+Inputs!$C$50))+Inputs!$C$47*0.097)))+0.30*(2*((SIN(((Model_Data!A82)*12.9898+(0)*78.233+Inputs!$C$47*37.719))*43758.5453)-INT((SIN(((Model_Data!A82)*12.9898+(0)*78.233+Inputs!$C$47*37.719))*43758.5453)))-1))))/1000))*1000/Inputs!$C$12)-((SQRT((Model_Data!A82)^2+Inputs!$C$6^2+Inputs!$C$5^2)-Inputs!$C$5)*1000/Inputs!$C$12)))</x:f>
        <x:v>0.0013388436785817248</x:v>
      </x:c>
      <x:c r="X82" s="48" t="n">
        <x:f>0</x:f>
        <x:v>0</x:v>
      </x:c>
      <x:c r="Y82" s="49"/>
      <x:c r="Z82" s="48" t="n">
        <x:f>Model_Data!A82</x:f>
        <x:v>-20</x:v>
      </x:c>
      <x:c r="AA82" s="48" t="n">
        <x:f>SQRT((Model_Data!A82)^2+Inputs!$C$6^2+((Model_Data!B82)-((Inputs!$C$51*(115*EXP(-(((Inputs!$C$6)-25)^2)/(4.5^2))+70*EXP(-(((Inputs!$C$6)+38)^2)/(7^2))*(0.55+0.45*SIN(2*PI()*(Model_Data!A82)/45))+24*SIN(2*PI()*(Inputs!$C$6)/9+(Model_Data!A82)/18)*EXP(-(((Inputs!$C$6)+5)^2)/(22^2))+18*SIN(2*PI()*(Model_Data!A82)/70))+Inputs!$C$28*EXP(-(((Model_Data!A82)-Inputs!$C$29)^2)/(2*Inputs!$C$31^2))*EXP(-(((Inputs!$C$6)-Inputs!$C$30)^2)/(2*Inputs!$C$32^2))+-Inputs!$C$33*EXP(-(((((Model_Data!A82)-Inputs!$C$34)^2)+(((Inputs!$C$6)-Inputs!$C$35)^2))/(2*Inputs!$C$36^2)))+Inputs!$C$37*(0.55*SIN(2*PI()*(Model_Data!A82)/Inputs!$C$39)+0.35*COS(2*PI()*(Inputs!$C$6)/Inputs!$C$40)+0.2*SIN(2*PI()*((Model_Data!A82)+(Inputs!$C$6))/(0.5*(Inputs!$C$39+Inputs!$C$40))))+Inputs!$C$38*SIN(2*PI()*(Model_Data!A82)/Inputs!$C$39)*SIN(2*PI()*(Inputs!$C$6)/Inputs!$C$40)+-Inputs!$C$41*EXP(-(((Inputs!$C$6)-Inputs!$C$43)^2)/(2*Inputs!$C$44^2))*EXP(-(((Model_Data!A82)-Inputs!$C$42)^2)/(2*Inputs!$C$45^2))+Inputs!$C$48*(0.70*(0.45*SIN(2*PI()*(((Model_Data!A82)/Inputs!$C$49)+Inputs!$C$47*0.137))+0.35*COS(2*PI()*(((Inputs!$C$6)/Inputs!$C$50)+Inputs!$C$47*0.173))+0.20*SIN(2*PI()*(((Model_Data!A82)+(Inputs!$C$6))/(0.5*(Inputs!$C$49+Inputs!$C$50))+Inputs!$C$47*0.097)))+0.30*(2*((SIN(((Model_Data!A82)*12.9898+(Inputs!$C$6)*78.233+Inputs!$C$47*37.719))*43758.5453)-INT((SIN(((Model_Data!A82)*12.9898+(Inputs!$C$6)*78.233+Inputs!$C$47*37.719))*43758.5453)))-1))))/1000)^2)</x:f>
        <x:v>401.38515195086455</x:v>
      </x:c>
      <x:c r="AB82" s="48" t="n">
        <x:f>1000*(AA83-AA81)/(Z83-Z81)*Inputs!$C$11</x:f>
        <x:v>-458.00653411788517</x:v>
      </x:c>
      <x:c r="AC82" s="48" t="n">
        <x:f>-2*AB82/Inputs!$C$13</x:f>
        <x:v>183.20261364715407</x:v>
      </x:c>
      <x:c r="AD82" s="48" t="n">
        <x:f>-2*AB82/Inputs!$C$14</x:f>
        <x:v>27.50789994702013</x:v>
      </x:c>
    </x:row>
    <x:row r="83">
      <x:c r="A83" s="48" t="n">
        <x:f>Model_Data!A83</x:f>
        <x:v>-19.5</x:v>
      </x:c>
      <x:c r="B83" s="48" t="n">
        <x:f>Model_Data!F83</x:f>
        <x:v>704.0872775371171</x:v>
      </x:c>
      <x:c r="C83" s="48" t="n">
        <x:f>(((SQRT((Model_Data!A83)^2+Inputs!$C$6^2+((Model_Data!B83)-((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(0.45*SIN(2*PI()*(((Model_Data!A83)/Inputs!$C$49)+Inputs!$C$47*0.137))+0.35*COS(2*PI()*(((Inputs!$C$6)/Inputs!$C$50)+Inputs!$C$47*0.173))+0.20*SIN(2*PI()*(((Model_Data!A83)+(Inputs!$C$6))/(0.5*(Inputs!$C$49+Inputs!$C$50))+Inputs!$C$47*0.097)))+0.30*(2*((SIN(((Model_Data!A83)*12.9898+(Inputs!$C$6)*78.233+Inputs!$C$47*37.719))*43758.5453)-INT((SIN(((Model_Data!A83)*12.9898+(Inputs!$C$6)*78.233+Inputs!$C$47*37.719))*43758.5453)))-1))))/1000)^2))-(((Model_Data!B83)-((Inputs!$C$51*(115*EXP(-(((0)-25)^2)/(4.5^2))+70*EXP(-(((0)+38)^2)/(7^2))*(0.55+0.45*SIN(2*PI()*(Model_Data!A83)/45))+24*SIN(2*PI()*(0)/9+(Model_Data!A83)/18)*EXP(-(((0)+5)^2)/(22^2))+18*SIN(2*PI()*(Model_Data!A83)/70))+Inputs!$C$28*EXP(-(((Model_Data!A83)-Inputs!$C$29)^2)/(2*Inputs!$C$31^2))*EXP(-(((0)-Inputs!$C$30)^2)/(2*Inputs!$C$32^2))+-Inputs!$C$33*EXP(-(((((Model_Data!A83)-Inputs!$C$34)^2)+(((0)-Inputs!$C$35)^2))/(2*Inputs!$C$36^2)))+Inputs!$C$37*(0.55*SIN(2*PI()*(Model_Data!A83)/Inputs!$C$39)+0.35*COS(2*PI()*(0)/Inputs!$C$40)+0.2*SIN(2*PI()*((Model_Data!A83)+(0))/(0.5*(Inputs!$C$39+Inputs!$C$40))))+Inputs!$C$38*SIN(2*PI()*(Model_Data!A83)/Inputs!$C$39)*SIN(2*PI()*(0)/Inputs!$C$40)+-Inputs!$C$41*EXP(-(((0)-Inputs!$C$43)^2)/(2*Inputs!$C$44^2))*EXP(-(((Model_Data!A83)-Inputs!$C$42)^2)/(2*Inputs!$C$45^2))+Inputs!$C$48*(0.70*(0.45*SIN(2*PI()*(((Model_Data!A83)/Inputs!$C$49)+Inputs!$C$47*0.137))+0.35*COS(2*PI()*(((0)/Inputs!$C$50)+Inputs!$C$47*0.173))+0.20*SIN(2*PI()*(((Model_Data!A83)+(0))/(0.5*(Inputs!$C$49+Inputs!$C$50))+Inputs!$C$47*0.097)))+0.30*(2*((SIN(((Model_Data!A83)*12.9898+(0)*78.233+Inputs!$C$47*37.719))*43758.5453)-INT((SIN(((Model_Data!A83)*12.9898+(0)*78.233+Inputs!$C$47*37.719))*43758.5453)))-1))))/1000)))*1000/Inputs!$C$12)</x:f>
        <x:v>421.65654208228835</x:v>
      </x:c>
      <x:c r="D83" s="49"/>
      <x:c r="E83" s="48" t="n">
        <x:f>Model_Data!A83</x:f>
        <x:v>-19.5</x:v>
      </x:c>
      <x:c r="F83" s="48" t="n">
        <x:f>(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(0.45*SIN(2*PI()*(((Model_Data!A83)/Inputs!$C$49)+Inputs!$C$47*0.137))+0.35*COS(2*PI()*(((Inputs!$C$6)/Inputs!$C$50)+Inputs!$C$47*0.173))+0.20*SIN(2*PI()*(((Model_Data!A83)+(Inputs!$C$6))/(0.5*(Inputs!$C$49+Inputs!$C$50))+Inputs!$C$47*0.097)))+0.30*(2*((SIN(((Model_Data!A83)*12.9898+(Inputs!$C$6)*78.233+Inputs!$C$47*37.719))*43758.5453)-INT((SIN(((Model_Data!A83)*12.9898+(Inputs!$C$6)*78.233+Inputs!$C$47*37.719))*43758.5453)))-1)))</x:f>
        <x:v>363.81454233496186</x:v>
      </x:c>
      <x:c r="G83" s="48" t="n">
        <x:f>(Inputs!$C$51*(115*EXP(-(((0)-25)^2)/(4.5^2))+70*EXP(-(((0)+38)^2)/(7^2))*(0.55+0.45*SIN(2*PI()*(Model_Data!A83)/45))+24*SIN(2*PI()*(0)/9+(Model_Data!A83)/18)*EXP(-(((0)+5)^2)/(22^2))+18*SIN(2*PI()*(Model_Data!A83)/70))+Inputs!$C$28*EXP(-(((Model_Data!A83)-Inputs!$C$29)^2)/(2*Inputs!$C$31^2))*EXP(-(((0)-Inputs!$C$30)^2)/(2*Inputs!$C$32^2))+-Inputs!$C$33*EXP(-(((((Model_Data!A83)-Inputs!$C$34)^2)+(((0)-Inputs!$C$35)^2))/(2*Inputs!$C$36^2)))+Inputs!$C$37*(0.55*SIN(2*PI()*(Model_Data!A83)/Inputs!$C$39)+0.35*COS(2*PI()*(0)/Inputs!$C$40)+0.2*SIN(2*PI()*((Model_Data!A83)+(0))/(0.5*(Inputs!$C$39+Inputs!$C$40))))+Inputs!$C$38*SIN(2*PI()*(Model_Data!A83)/Inputs!$C$39)*SIN(2*PI()*(0)/Inputs!$C$40)+-Inputs!$C$41*EXP(-(((0)-Inputs!$C$43)^2)/(2*Inputs!$C$44^2))*EXP(-(((Model_Data!A83)-Inputs!$C$42)^2)/(2*Inputs!$C$45^2))+Inputs!$C$48*(0.70*(0.45*SIN(2*PI()*(((Model_Data!A83)/Inputs!$C$49)+Inputs!$C$47*0.137))+0.35*COS(2*PI()*(((0)/Inputs!$C$50)+Inputs!$C$47*0.173))+0.20*SIN(2*PI()*(((Model_Data!A83)+(0))/(0.5*(Inputs!$C$49+Inputs!$C$50))+Inputs!$C$47*0.097)))+0.30*(2*((SIN(((Model_Data!A83)*12.9898+(0)*78.233+Inputs!$C$47*37.719))*43758.5453)-INT((SIN(((Model_Data!A83)*12.9898+(0)*78.233+Inputs!$C$47*37.719))*43758.5453)))-1)))</x:f>
        <x:v>-140.0483381286437</x:v>
      </x:c>
      <x:c r="H83" s="49"/>
      <x:c r="I83" s="48" t="n">
        <x:f>Model_Data!A83</x:f>
        <x:v>-19.5</x:v>
      </x:c>
      <x:c r="J83" s="48" t="n">
        <x:f>((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(0.45*SIN(2*PI()*(((Model_Data!A83)/Inputs!$C$49)+Inputs!$C$47*0.137))+0.35*COS(2*PI()*(((Inputs!$C$6)/Inputs!$C$50)+Inputs!$C$47*0.173))+0.20*SIN(2*PI()*(((Model_Data!A83)+(Inputs!$C$6))/(0.5*(Inputs!$C$49+Inputs!$C$50))+Inputs!$C$47*0.097)))+0.30*(2*((SIN(((Model_Data!A83)*12.9898+(Inputs!$C$6)*78.233+Inputs!$C$47*37.719))*43758.5453)-INT((SIN(((Model_Data!A83)*12.9898+(Inputs!$C$6)*78.233+Inputs!$C$47*37.719))*43758.5453)))-1))))-((Inputs!$C$51*(115*EXP(-(((0)-25)^2)/(4.5^2))+70*EXP(-(((0)+38)^2)/(7^2))*(0.55+0.45*SIN(2*PI()*(Model_Data!A83)/45))+24*SIN(2*PI()*(0)/9+(Model_Data!A83)/18)*EXP(-(((0)+5)^2)/(22^2))+18*SIN(2*PI()*(Model_Data!A83)/70))+Inputs!$C$28*EXP(-(((Model_Data!A83)-Inputs!$C$29)^2)/(2*Inputs!$C$31^2))*EXP(-(((0)-Inputs!$C$30)^2)/(2*Inputs!$C$32^2))+-Inputs!$C$33*EXP(-(((((Model_Data!A83)-Inputs!$C$34)^2)+(((0)-Inputs!$C$35)^2))/(2*Inputs!$C$36^2)))+Inputs!$C$37*(0.55*SIN(2*PI()*(Model_Data!A83)/Inputs!$C$39)+0.35*COS(2*PI()*(0)/Inputs!$C$40)+0.2*SIN(2*PI()*((Model_Data!A83)+(0))/(0.5*(Inputs!$C$39+Inputs!$C$40))))+Inputs!$C$38*SIN(2*PI()*(Model_Data!A83)/Inputs!$C$39)*SIN(2*PI()*(0)/Inputs!$C$40)+-Inputs!$C$41*EXP(-(((0)-Inputs!$C$43)^2)/(2*Inputs!$C$44^2))*EXP(-(((Model_Data!A83)-Inputs!$C$42)^2)/(2*Inputs!$C$45^2))+Inputs!$C$48*(0.70*(0.45*SIN(2*PI()*(((Model_Data!A83)/Inputs!$C$49)+Inputs!$C$47*0.137))+0.35*COS(2*PI()*(((0)/Inputs!$C$50)+Inputs!$C$47*0.173))+0.20*SIN(2*PI()*(((Model_Data!A83)+(0))/(0.5*(Inputs!$C$49+Inputs!$C$50))+Inputs!$C$47*0.097)))+0.30*(2*((SIN(((Model_Data!A83)*12.9898+(0)*78.233+Inputs!$C$47*37.719))*43758.5453)-INT((SIN(((Model_Data!A83)*12.9898+(0)*78.233+Inputs!$C$47*37.719))*43758.5453)))-1))))</x:f>
        <x:v>503.86288046360556</x:v>
      </x:c>
      <x:c r="K83" s="48" t="n">
        <x:f>-((((SQRT((Model_Data!A83)^2+Inputs!$C$6^2+((Model_Data!B83)-((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(0.45*SIN(2*PI()*(((Model_Data!A83)/Inputs!$C$49)+Inputs!$C$47*0.137))+0.35*COS(2*PI()*(((Inputs!$C$6)/Inputs!$C$50)+Inputs!$C$47*0.173))+0.20*SIN(2*PI()*(((Model_Data!A83)+(Inputs!$C$6))/(0.5*(Inputs!$C$49+Inputs!$C$50))+Inputs!$C$47*0.097)))+0.30*(2*((SIN(((Model_Data!A83)*12.9898+(Inputs!$C$6)*78.233+Inputs!$C$47*37.719))*43758.5453)-INT((SIN(((Model_Data!A83)*12.9898+(Inputs!$C$6)*78.233+Inputs!$C$47*37.719))*43758.5453)))-1))))/1000)^2))-(((Model_Data!B83)-((Inputs!$C$51*(115*EXP(-(((0)-25)^2)/(4.5^2))+70*EXP(-(((0)+38)^2)/(7^2))*(0.55+0.45*SIN(2*PI()*(Model_Data!A83)/45))+24*SIN(2*PI()*(0)/9+(Model_Data!A83)/18)*EXP(-(((0)+5)^2)/(22^2))+18*SIN(2*PI()*(Model_Data!A83)/70))+Inputs!$C$28*EXP(-(((Model_Data!A83)-Inputs!$C$29)^2)/(2*Inputs!$C$31^2))*EXP(-(((0)-Inputs!$C$30)^2)/(2*Inputs!$C$32^2))+-Inputs!$C$33*EXP(-(((((Model_Data!A83)-Inputs!$C$34)^2)+(((0)-Inputs!$C$35)^2))/(2*Inputs!$C$36^2)))+Inputs!$C$37*(0.55*SIN(2*PI()*(Model_Data!A83)/Inputs!$C$39)+0.35*COS(2*PI()*(0)/Inputs!$C$40)+0.2*SIN(2*PI()*((Model_Data!A83)+(0))/(0.5*(Inputs!$C$39+Inputs!$C$40))))+Inputs!$C$38*SIN(2*PI()*(Model_Data!A83)/Inputs!$C$39)*SIN(2*PI()*(0)/Inputs!$C$40)+-Inputs!$C$41*EXP(-(((0)-Inputs!$C$43)^2)/(2*Inputs!$C$44^2))*EXP(-(((Model_Data!A83)-Inputs!$C$42)^2)/(2*Inputs!$C$45^2))+Inputs!$C$48*(0.70*(0.45*SIN(2*PI()*(((Model_Data!A83)/Inputs!$C$49)+Inputs!$C$47*0.137))+0.35*COS(2*PI()*(((0)/Inputs!$C$50)+Inputs!$C$47*0.173))+0.20*SIN(2*PI()*(((Model_Data!A83)+(0))/(0.5*(Inputs!$C$49+Inputs!$C$50))+Inputs!$C$47*0.097)))+0.30*(2*((SIN(((Model_Data!A83)*12.9898+(0)*78.233+Inputs!$C$47*37.719))*43758.5453)-INT((SIN(((Model_Data!A83)*12.9898+(0)*78.233+Inputs!$C$47*37.719))*43758.5453)))-1))))/1000)))*1000/Inputs!$C$12)-Model_Data!F83)</x:f>
        <x:v>282.4307354548287</x:v>
      </x:c>
      <x:c r="L83" s="49"/>
      <x:c r="M83" s="48" t="n">
        <x:f>Model_Data!A83</x:f>
        <x:v>-19.5</x:v>
      </x:c>
      <x:c r="N83" s="48" t="n">
        <x:f>Model_Data!P83</x:f>
        <x:v>146.79159233513664</x:v>
      </x:c>
      <x:c r="O83" s="48" t="n">
        <x:f>AC83</x:f>
        <x:v>199.53924205165094</x:v>
      </x:c>
      <x:c r="P83" s="48" t="n">
        <x:f>Model_Data!Q83</x:f>
        <x:v>22.0407796299004</x:v>
      </x:c>
      <x:c r="Q83" s="48" t="n">
        <x:f>AD83</x:f>
        <x:v>29.960847154902545</x:v>
      </x:c>
      <x:c r="R83" s="49"/>
      <x:c r="S83" s="48" t="n">
        <x:f>Model_Data!A83</x:f>
        <x:v>-19.5</x:v>
      </x:c>
      <x:c r="T83" s="48" t="n">
        <x:f>Model_Data!B83-Inputs!$C$5</x:f>
        <x:v>0.42250000000001364</x:v>
      </x:c>
      <x:c r="U83" s="49"/>
      <x:c r="V83" s="48" t="n">
        <x:f>Model_Data!A83</x:f>
        <x:v>-19.5</x:v>
      </x:c>
      <x:c r="W83" s="48" t="n">
        <x:f>(-((((SQRT((Model_Data!A83)^2+Inputs!$C$6^2+((Model_Data!B83)-((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(0.45*SIN(2*PI()*(((Model_Data!A83)/Inputs!$C$49)+Inputs!$C$47*0.137))+0.35*COS(2*PI()*(((Inputs!$C$6)/Inputs!$C$50)+Inputs!$C$47*0.173))+0.20*SIN(2*PI()*(((Model_Data!A83)+(Inputs!$C$6))/(0.5*(Inputs!$C$49+Inputs!$C$50))+Inputs!$C$47*0.097)))+0.30*(2*((SIN(((Model_Data!A83)*12.9898+(Inputs!$C$6)*78.233+Inputs!$C$47*37.719))*43758.5453)-INT((SIN(((Model_Data!A83)*12.9898+(Inputs!$C$6)*78.233+Inputs!$C$47*37.719))*43758.5453)))-1))))/1000)^2))-(((Model_Data!B83)-((Inputs!$C$51*(115*EXP(-(((0)-25)^2)/(4.5^2))+70*EXP(-(((0)+38)^2)/(7^2))*(0.55+0.45*SIN(2*PI()*(Model_Data!A83)/45))+24*SIN(2*PI()*(0)/9+(Model_Data!A83)/18)*EXP(-(((0)+5)^2)/(22^2))+18*SIN(2*PI()*(Model_Data!A83)/70))+Inputs!$C$28*EXP(-(((Model_Data!A83)-Inputs!$C$29)^2)/(2*Inputs!$C$31^2))*EXP(-(((0)-Inputs!$C$30)^2)/(2*Inputs!$C$32^2))+-Inputs!$C$33*EXP(-(((((Model_Data!A83)-Inputs!$C$34)^2)+(((0)-Inputs!$C$35)^2))/(2*Inputs!$C$36^2)))+Inputs!$C$37*(0.55*SIN(2*PI()*(Model_Data!A83)/Inputs!$C$39)+0.35*COS(2*PI()*(0)/Inputs!$C$40)+0.2*SIN(2*PI()*((Model_Data!A83)+(0))/(0.5*(Inputs!$C$39+Inputs!$C$40))))+Inputs!$C$38*SIN(2*PI()*(Model_Data!A83)/Inputs!$C$39)*SIN(2*PI()*(0)/Inputs!$C$40)+-Inputs!$C$41*EXP(-(((0)-Inputs!$C$43)^2)/(2*Inputs!$C$44^2))*EXP(-(((Model_Data!A83)-Inputs!$C$42)^2)/(2*Inputs!$C$45^2))+Inputs!$C$48*(0.70*(0.45*SIN(2*PI()*(((Model_Data!A83)/Inputs!$C$49)+Inputs!$C$47*0.137))+0.35*COS(2*PI()*(((0)/Inputs!$C$50)+Inputs!$C$47*0.173))+0.20*SIN(2*PI()*(((Model_Data!A83)+(0))/(0.5*(Inputs!$C$49+Inputs!$C$50))+Inputs!$C$47*0.097)))+0.30*(2*((SIN(((Model_Data!A83)*12.9898+(0)*78.233+Inputs!$C$47*37.719))*43758.5453)-INT((SIN(((Model_Data!A83)*12.9898+(0)*78.233+Inputs!$C$47*37.719))*43758.5453)))-1))))/1000)))*1000/Inputs!$C$12)-Model_Data!F83))-(-(((SQRT((Model_Data!A83)^2+Inputs!$C$6^2+(Inputs!$C$5-((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(0.45*SIN(2*PI()*(((Model_Data!A83)/Inputs!$C$49)+Inputs!$C$47*0.137))+0.35*COS(2*PI()*(((Inputs!$C$6)/Inputs!$C$50)+Inputs!$C$47*0.173))+0.20*SIN(2*PI()*(((Model_Data!A83)+(Inputs!$C$6))/(0.5*(Inputs!$C$49+Inputs!$C$50))+Inputs!$C$47*0.097)))+0.30*(2*((SIN(((Model_Data!A83)*12.9898+(Inputs!$C$6)*78.233+Inputs!$C$47*37.719))*43758.5453)-INT((SIN(((Model_Data!A83)*12.9898+(Inputs!$C$6)*78.233+Inputs!$C$47*37.719))*43758.5453)))-1))))/1000)^2)-(Inputs!$C$5-((Inputs!$C$51*(115*EXP(-(((0)-25)^2)/(4.5^2))+70*EXP(-(((0)+38)^2)/(7^2))*(0.55+0.45*SIN(2*PI()*(Model_Data!A83)/45))+24*SIN(2*PI()*(0)/9+(Model_Data!A83)/18)*EXP(-(((0)+5)^2)/(22^2))+18*SIN(2*PI()*(Model_Data!A83)/70))+Inputs!$C$28*EXP(-(((Model_Data!A83)-Inputs!$C$29)^2)/(2*Inputs!$C$31^2))*EXP(-(((0)-Inputs!$C$30)^2)/(2*Inputs!$C$32^2))+-Inputs!$C$33*EXP(-(((((Model_Data!A83)-Inputs!$C$34)^2)+(((0)-Inputs!$C$35)^2))/(2*Inputs!$C$36^2)))+Inputs!$C$37*(0.55*SIN(2*PI()*(Model_Data!A83)/Inputs!$C$39)+0.35*COS(2*PI()*(0)/Inputs!$C$40)+0.2*SIN(2*PI()*((Model_Data!A83)+(0))/(0.5*(Inputs!$C$39+Inputs!$C$40))))+Inputs!$C$38*SIN(2*PI()*(Model_Data!A83)/Inputs!$C$39)*SIN(2*PI()*(0)/Inputs!$C$40)+-Inputs!$C$41*EXP(-(((0)-Inputs!$C$43)^2)/(2*Inputs!$C$44^2))*EXP(-(((Model_Data!A83)-Inputs!$C$42)^2)/(2*Inputs!$C$45^2))+Inputs!$C$48*(0.70*(0.45*SIN(2*PI()*(((Model_Data!A83)/Inputs!$C$49)+Inputs!$C$47*0.137))+0.35*COS(2*PI()*(((0)/Inputs!$C$50)+Inputs!$C$47*0.173))+0.20*SIN(2*PI()*(((Model_Data!A83)+(0))/(0.5*(Inputs!$C$49+Inputs!$C$50))+Inputs!$C$47*0.097)))+0.30*(2*((SIN(((Model_Data!A83)*12.9898+(0)*78.233+Inputs!$C$47*37.719))*43758.5453)-INT((SIN(((Model_Data!A83)*12.9898+(0)*78.233+Inputs!$C$47*37.719))*43758.5453)))-1))))/1000))*1000/Inputs!$C$12)-((SQRT((Model_Data!A83)^2+Inputs!$C$6^2+Inputs!$C$5^2)-Inputs!$C$5)*1000/Inputs!$C$12)))</x:f>
        <x:v>0.0013434027443963714</x:v>
      </x:c>
      <x:c r="X83" s="48" t="n">
        <x:f>0</x:f>
        <x:v>0</x:v>
      </x:c>
      <x:c r="Y83" s="49"/>
      <x:c r="Z83" s="48" t="n">
        <x:f>Model_Data!A83</x:f>
        <x:v>-19.5</x:v>
      </x:c>
      <x:c r="AA83" s="48" t="n">
        <x:f>SQRT((Model_Data!A83)^2+Inputs!$C$6^2+((Model_Data!B83)-((Inputs!$C$51*(115*EXP(-(((Inputs!$C$6)-25)^2)/(4.5^2))+70*EXP(-(((Inputs!$C$6)+38)^2)/(7^2))*(0.55+0.45*SIN(2*PI()*(Model_Data!A83)/45))+24*SIN(2*PI()*(Inputs!$C$6)/9+(Model_Data!A83)/18)*EXP(-(((Inputs!$C$6)+5)^2)/(22^2))+18*SIN(2*PI()*(Model_Data!A83)/70))+Inputs!$C$28*EXP(-(((Model_Data!A83)-Inputs!$C$29)^2)/(2*Inputs!$C$31^2))*EXP(-(((Inputs!$C$6)-Inputs!$C$30)^2)/(2*Inputs!$C$32^2))+-Inputs!$C$33*EXP(-(((((Model_Data!A83)-Inputs!$C$34)^2)+(((Inputs!$C$6)-Inputs!$C$35)^2))/(2*Inputs!$C$36^2)))+Inputs!$C$37*(0.55*SIN(2*PI()*(Model_Data!A83)/Inputs!$C$39)+0.35*COS(2*PI()*(Inputs!$C$6)/Inputs!$C$40)+0.2*SIN(2*PI()*((Model_Data!A83)+(Inputs!$C$6))/(0.5*(Inputs!$C$39+Inputs!$C$40))))+Inputs!$C$38*SIN(2*PI()*(Model_Data!A83)/Inputs!$C$39)*SIN(2*PI()*(Inputs!$C$6)/Inputs!$C$40)+-Inputs!$C$41*EXP(-(((Inputs!$C$6)-Inputs!$C$43)^2)/(2*Inputs!$C$44^2))*EXP(-(((Model_Data!A83)-Inputs!$C$42)^2)/(2*Inputs!$C$45^2))+Inputs!$C$48*(0.70*(0.45*SIN(2*PI()*(((Model_Data!A83)/Inputs!$C$49)+Inputs!$C$47*0.137))+0.35*COS(2*PI()*(((Inputs!$C$6)/Inputs!$C$50)+Inputs!$C$47*0.173))+0.20*SIN(2*PI()*(((Model_Data!A83)+(Inputs!$C$6))/(0.5*(Inputs!$C$49+Inputs!$C$50))+Inputs!$C$47*0.097)))+0.30*(2*((SIN(((Model_Data!A83)*12.9898+(Inputs!$C$6)*78.233+Inputs!$C$47*37.719))*43758.5453)-INT((SIN(((Model_Data!A83)*12.9898+(Inputs!$C$6)*78.233+Inputs!$C$47*37.719))*43758.5453)))-1))))/1000)^2)</x:f>
        <x:v>401.3130969830351</x:v>
      </x:c>
      <x:c r="AB83" s="48" t="n">
        <x:f>1000*(AA84-AA82)/(Z84-Z82)*Inputs!$C$11</x:f>
        <x:v>-498.84810512912736</x:v>
      </x:c>
      <x:c r="AC83" s="48" t="n">
        <x:f>-2*AB83/Inputs!$C$13</x:f>
        <x:v>199.53924205165094</x:v>
      </x:c>
      <x:c r="AD83" s="48" t="n">
        <x:f>-2*AB83/Inputs!$C$14</x:f>
        <x:v>29.960847154902545</x:v>
      </x:c>
    </x:row>
    <x:row r="84">
      <x:c r="A84" s="48" t="n">
        <x:f>Model_Data!A84</x:f>
        <x:v>-19</x:v>
      </x:c>
      <x:c r="B84" s="48" t="n">
        <x:f>Model_Data!F84</x:f>
        <x:v>690.6617945229834</x:v>
      </x:c>
      <x:c r="C84" s="48" t="n">
        <x:f>(((SQRT((Model_Data!A84)^2+Inputs!$C$6^2+((Model_Data!B84)-((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(0.45*SIN(2*PI()*(((Model_Data!A84)/Inputs!$C$49)+Inputs!$C$47*0.137))+0.35*COS(2*PI()*(((Inputs!$C$6)/Inputs!$C$50)+Inputs!$C$47*0.173))+0.20*SIN(2*PI()*(((Model_Data!A84)+(Inputs!$C$6))/(0.5*(Inputs!$C$49+Inputs!$C$50))+Inputs!$C$47*0.097)))+0.30*(2*((SIN(((Model_Data!A84)*12.9898+(Inputs!$C$6)*78.233+Inputs!$C$47*37.719))*43758.5453)-INT((SIN(((Model_Data!A84)*12.9898+(Inputs!$C$6)*78.233+Inputs!$C$47*37.719))*43758.5453)))-1))))/1000)^2))-(((Model_Data!B84)-((Inputs!$C$51*(115*EXP(-(((0)-25)^2)/(4.5^2))+70*EXP(-(((0)+38)^2)/(7^2))*(0.55+0.45*SIN(2*PI()*(Model_Data!A84)/45))+24*SIN(2*PI()*(0)/9+(Model_Data!A84)/18)*EXP(-(((0)+5)^2)/(22^2))+18*SIN(2*PI()*(Model_Data!A84)/70))+Inputs!$C$28*EXP(-(((Model_Data!A84)-Inputs!$C$29)^2)/(2*Inputs!$C$31^2))*EXP(-(((0)-Inputs!$C$30)^2)/(2*Inputs!$C$32^2))+-Inputs!$C$33*EXP(-(((((Model_Data!A84)-Inputs!$C$34)^2)+(((0)-Inputs!$C$35)^2))/(2*Inputs!$C$36^2)))+Inputs!$C$37*(0.55*SIN(2*PI()*(Model_Data!A84)/Inputs!$C$39)+0.35*COS(2*PI()*(0)/Inputs!$C$40)+0.2*SIN(2*PI()*((Model_Data!A84)+(0))/(0.5*(Inputs!$C$39+Inputs!$C$40))))+Inputs!$C$38*SIN(2*PI()*(Model_Data!A84)/Inputs!$C$39)*SIN(2*PI()*(0)/Inputs!$C$40)+-Inputs!$C$41*EXP(-(((0)-Inputs!$C$43)^2)/(2*Inputs!$C$44^2))*EXP(-(((Model_Data!A84)-Inputs!$C$42)^2)/(2*Inputs!$C$45^2))+Inputs!$C$48*(0.70*(0.45*SIN(2*PI()*(((Model_Data!A84)/Inputs!$C$49)+Inputs!$C$47*0.137))+0.35*COS(2*PI()*(((0)/Inputs!$C$50)+Inputs!$C$47*0.173))+0.20*SIN(2*PI()*(((Model_Data!A84)+(0))/(0.5*(Inputs!$C$49+Inputs!$C$50))+Inputs!$C$47*0.097)))+0.30*(2*((SIN(((Model_Data!A84)*12.9898+(0)*78.233+Inputs!$C$47*37.719))*43758.5453)-INT((SIN(((Model_Data!A84)*12.9898+(0)*78.233+Inputs!$C$47*37.719))*43758.5453)))-1))))/1000)))*1000/Inputs!$C$12)</x:f>
        <x:v>401.3737586355707</x:v>
      </x:c>
      <x:c r="D84" s="49"/>
      <x:c r="E84" s="48" t="n">
        <x:f>Model_Data!A84</x:f>
        <x:v>-19</x:v>
      </x:c>
      <x:c r="F84" s="48" t="n">
        <x:f>(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(0.45*SIN(2*PI()*(((Model_Data!A84)/Inputs!$C$49)+Inputs!$C$47*0.137))+0.35*COS(2*PI()*(((Inputs!$C$6)/Inputs!$C$50)+Inputs!$C$47*0.173))+0.20*SIN(2*PI()*(((Model_Data!A84)+(Inputs!$C$6))/(0.5*(Inputs!$C$49+Inputs!$C$50))+Inputs!$C$47*0.097)))+0.30*(2*((SIN(((Model_Data!A84)*12.9898+(Inputs!$C$6)*78.233+Inputs!$C$47*37.719))*43758.5453)-INT((SIN(((Model_Data!A84)*12.9898+(Inputs!$C$6)*78.233+Inputs!$C$47*37.719))*43758.5453)))-1)))</x:f>
        <x:v>371.18641988344854</x:v>
      </x:c>
      <x:c r="G84" s="48" t="n">
        <x:f>(Inputs!$C$51*(115*EXP(-(((0)-25)^2)/(4.5^2))+70*EXP(-(((0)+38)^2)/(7^2))*(0.55+0.45*SIN(2*PI()*(Model_Data!A84)/45))+24*SIN(2*PI()*(0)/9+(Model_Data!A84)/18)*EXP(-(((0)+5)^2)/(22^2))+18*SIN(2*PI()*(Model_Data!A84)/70))+Inputs!$C$28*EXP(-(((Model_Data!A84)-Inputs!$C$29)^2)/(2*Inputs!$C$31^2))*EXP(-(((0)-Inputs!$C$30)^2)/(2*Inputs!$C$32^2))+-Inputs!$C$33*EXP(-(((((Model_Data!A84)-Inputs!$C$34)^2)+(((0)-Inputs!$C$35)^2))/(2*Inputs!$C$36^2)))+Inputs!$C$37*(0.55*SIN(2*PI()*(Model_Data!A84)/Inputs!$C$39)+0.35*COS(2*PI()*(0)/Inputs!$C$40)+0.2*SIN(2*PI()*((Model_Data!A84)+(0))/(0.5*(Inputs!$C$39+Inputs!$C$40))))+Inputs!$C$38*SIN(2*PI()*(Model_Data!A84)/Inputs!$C$39)*SIN(2*PI()*(0)/Inputs!$C$40)+-Inputs!$C$41*EXP(-(((0)-Inputs!$C$43)^2)/(2*Inputs!$C$44^2))*EXP(-(((Model_Data!A84)-Inputs!$C$42)^2)/(2*Inputs!$C$45^2))+Inputs!$C$48*(0.70*(0.45*SIN(2*PI()*(((Model_Data!A84)/Inputs!$C$49)+Inputs!$C$47*0.137))+0.35*COS(2*PI()*(((0)/Inputs!$C$50)+Inputs!$C$47*0.173))+0.20*SIN(2*PI()*(((Model_Data!A84)+(0))/(0.5*(Inputs!$C$49+Inputs!$C$50))+Inputs!$C$47*0.097)))+0.30*(2*((SIN(((Model_Data!A84)*12.9898+(0)*78.233+Inputs!$C$47*37.719))*43758.5453)-INT((SIN(((Model_Data!A84)*12.9898+(0)*78.233+Inputs!$C$47*37.719))*43758.5453)))-1)))</x:f>
        <x:v>-144.88352309984418</x:v>
      </x:c>
      <x:c r="H84" s="49"/>
      <x:c r="I84" s="48" t="n">
        <x:f>Model_Data!A84</x:f>
        <x:v>-19</x:v>
      </x:c>
      <x:c r="J84" s="48" t="n">
        <x:f>((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(0.45*SIN(2*PI()*(((Model_Data!A84)/Inputs!$C$49)+Inputs!$C$47*0.137))+0.35*COS(2*PI()*(((Inputs!$C$6)/Inputs!$C$50)+Inputs!$C$47*0.173))+0.20*SIN(2*PI()*(((Model_Data!A84)+(Inputs!$C$6))/(0.5*(Inputs!$C$49+Inputs!$C$50))+Inputs!$C$47*0.097)))+0.30*(2*((SIN(((Model_Data!A84)*12.9898+(Inputs!$C$6)*78.233+Inputs!$C$47*37.719))*43758.5453)-INT((SIN(((Model_Data!A84)*12.9898+(Inputs!$C$6)*78.233+Inputs!$C$47*37.719))*43758.5453)))-1))))-((Inputs!$C$51*(115*EXP(-(((0)-25)^2)/(4.5^2))+70*EXP(-(((0)+38)^2)/(7^2))*(0.55+0.45*SIN(2*PI()*(Model_Data!A84)/45))+24*SIN(2*PI()*(0)/9+(Model_Data!A84)/18)*EXP(-(((0)+5)^2)/(22^2))+18*SIN(2*PI()*(Model_Data!A84)/70))+Inputs!$C$28*EXP(-(((Model_Data!A84)-Inputs!$C$29)^2)/(2*Inputs!$C$31^2))*EXP(-(((0)-Inputs!$C$30)^2)/(2*Inputs!$C$32^2))+-Inputs!$C$33*EXP(-(((((Model_Data!A84)-Inputs!$C$34)^2)+(((0)-Inputs!$C$35)^2))/(2*Inputs!$C$36^2)))+Inputs!$C$37*(0.55*SIN(2*PI()*(Model_Data!A84)/Inputs!$C$39)+0.35*COS(2*PI()*(0)/Inputs!$C$40)+0.2*SIN(2*PI()*((Model_Data!A84)+(0))/(0.5*(Inputs!$C$39+Inputs!$C$40))))+Inputs!$C$38*SIN(2*PI()*(Model_Data!A84)/Inputs!$C$39)*SIN(2*PI()*(0)/Inputs!$C$40)+-Inputs!$C$41*EXP(-(((0)-Inputs!$C$43)^2)/(2*Inputs!$C$44^2))*EXP(-(((Model_Data!A84)-Inputs!$C$42)^2)/(2*Inputs!$C$45^2))+Inputs!$C$48*(0.70*(0.45*SIN(2*PI()*(((Model_Data!A84)/Inputs!$C$49)+Inputs!$C$47*0.137))+0.35*COS(2*PI()*(((0)/Inputs!$C$50)+Inputs!$C$47*0.173))+0.20*SIN(2*PI()*(((Model_Data!A84)+(0))/(0.5*(Inputs!$C$49+Inputs!$C$50))+Inputs!$C$47*0.097)))+0.30*(2*((SIN(((Model_Data!A84)*12.9898+(0)*78.233+Inputs!$C$47*37.719))*43758.5453)-INT((SIN(((Model_Data!A84)*12.9898+(0)*78.233+Inputs!$C$47*37.719))*43758.5453)))-1))))</x:f>
        <x:v>516.0699429832928</x:v>
      </x:c>
      <x:c r="K84" s="48" t="n">
        <x:f>-((((SQRT((Model_Data!A84)^2+Inputs!$C$6^2+((Model_Data!B84)-((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(0.45*SIN(2*PI()*(((Model_Data!A84)/Inputs!$C$49)+Inputs!$C$47*0.137))+0.35*COS(2*PI()*(((Inputs!$C$6)/Inputs!$C$50)+Inputs!$C$47*0.173))+0.20*SIN(2*PI()*(((Model_Data!A84)+(Inputs!$C$6))/(0.5*(Inputs!$C$49+Inputs!$C$50))+Inputs!$C$47*0.097)))+0.30*(2*((SIN(((Model_Data!A84)*12.9898+(Inputs!$C$6)*78.233+Inputs!$C$47*37.719))*43758.5453)-INT((SIN(((Model_Data!A84)*12.9898+(Inputs!$C$6)*78.233+Inputs!$C$47*37.719))*43758.5453)))-1))))/1000)^2))-(((Model_Data!B84)-((Inputs!$C$51*(115*EXP(-(((0)-25)^2)/(4.5^2))+70*EXP(-(((0)+38)^2)/(7^2))*(0.55+0.45*SIN(2*PI()*(Model_Data!A84)/45))+24*SIN(2*PI()*(0)/9+(Model_Data!A84)/18)*EXP(-(((0)+5)^2)/(22^2))+18*SIN(2*PI()*(Model_Data!A84)/70))+Inputs!$C$28*EXP(-(((Model_Data!A84)-Inputs!$C$29)^2)/(2*Inputs!$C$31^2))*EXP(-(((0)-Inputs!$C$30)^2)/(2*Inputs!$C$32^2))+-Inputs!$C$33*EXP(-(((((Model_Data!A84)-Inputs!$C$34)^2)+(((0)-Inputs!$C$35)^2))/(2*Inputs!$C$36^2)))+Inputs!$C$37*(0.55*SIN(2*PI()*(Model_Data!A84)/Inputs!$C$39)+0.35*COS(2*PI()*(0)/Inputs!$C$40)+0.2*SIN(2*PI()*((Model_Data!A84)+(0))/(0.5*(Inputs!$C$39+Inputs!$C$40))))+Inputs!$C$38*SIN(2*PI()*(Model_Data!A84)/Inputs!$C$39)*SIN(2*PI()*(0)/Inputs!$C$40)+-Inputs!$C$41*EXP(-(((0)-Inputs!$C$43)^2)/(2*Inputs!$C$44^2))*EXP(-(((Model_Data!A84)-Inputs!$C$42)^2)/(2*Inputs!$C$45^2))+Inputs!$C$48*(0.70*(0.45*SIN(2*PI()*(((Model_Data!A84)/Inputs!$C$49)+Inputs!$C$47*0.137))+0.35*COS(2*PI()*(((0)/Inputs!$C$50)+Inputs!$C$47*0.173))+0.20*SIN(2*PI()*(((Model_Data!A84)+(0))/(0.5*(Inputs!$C$49+Inputs!$C$50))+Inputs!$C$47*0.097)))+0.30*(2*((SIN(((Model_Data!A84)*12.9898+(0)*78.233+Inputs!$C$47*37.719))*43758.5453)-INT((SIN(((Model_Data!A84)*12.9898+(0)*78.233+Inputs!$C$47*37.719))*43758.5453)))-1))))/1000)))*1000/Inputs!$C$12)-Model_Data!F84)</x:f>
        <x:v>289.2880358874127</x:v>
      </x:c>
      <x:c r="L84" s="49"/>
      <x:c r="M84" s="48" t="n">
        <x:f>Model_Data!A84</x:f>
        <x:v>-19</x:v>
      </x:c>
      <x:c r="N84" s="48" t="n">
        <x:f>Model_Data!P84</x:f>
        <x:v>143.04023490383426</x:v>
      </x:c>
      <x:c r="O84" s="48" t="n">
        <x:f>AC84</x:f>
        <x:v>146.09732442650056</x:v>
      </x:c>
      <x:c r="P84" s="48" t="n">
        <x:f>Model_Data!Q84</x:f>
        <x:v>21.477512748323466</x:v>
      </x:c>
      <x:c r="Q84" s="48" t="n">
        <x:f>AD84</x:f>
        <x:v>21.936535199174262</x:v>
      </x:c>
      <x:c r="R84" s="49"/>
      <x:c r="S84" s="48" t="n">
        <x:f>Model_Data!A84</x:f>
        <x:v>-19</x:v>
      </x:c>
      <x:c r="T84" s="48" t="n">
        <x:f>Model_Data!B84-Inputs!$C$5</x:f>
        <x:v>0.4011111111111063</x:v>
      </x:c>
      <x:c r="U84" s="49"/>
      <x:c r="V84" s="48" t="n">
        <x:f>Model_Data!A84</x:f>
        <x:v>-19</x:v>
      </x:c>
      <x:c r="W84" s="48" t="n">
        <x:f>(-((((SQRT((Model_Data!A84)^2+Inputs!$C$6^2+((Model_Data!B84)-((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(0.45*SIN(2*PI()*(((Model_Data!A84)/Inputs!$C$49)+Inputs!$C$47*0.137))+0.35*COS(2*PI()*(((Inputs!$C$6)/Inputs!$C$50)+Inputs!$C$47*0.173))+0.20*SIN(2*PI()*(((Model_Data!A84)+(Inputs!$C$6))/(0.5*(Inputs!$C$49+Inputs!$C$50))+Inputs!$C$47*0.097)))+0.30*(2*((SIN(((Model_Data!A84)*12.9898+(Inputs!$C$6)*78.233+Inputs!$C$47*37.719))*43758.5453)-INT((SIN(((Model_Data!A84)*12.9898+(Inputs!$C$6)*78.233+Inputs!$C$47*37.719))*43758.5453)))-1))))/1000)^2))-(((Model_Data!B84)-((Inputs!$C$51*(115*EXP(-(((0)-25)^2)/(4.5^2))+70*EXP(-(((0)+38)^2)/(7^2))*(0.55+0.45*SIN(2*PI()*(Model_Data!A84)/45))+24*SIN(2*PI()*(0)/9+(Model_Data!A84)/18)*EXP(-(((0)+5)^2)/(22^2))+18*SIN(2*PI()*(Model_Data!A84)/70))+Inputs!$C$28*EXP(-(((Model_Data!A84)-Inputs!$C$29)^2)/(2*Inputs!$C$31^2))*EXP(-(((0)-Inputs!$C$30)^2)/(2*Inputs!$C$32^2))+-Inputs!$C$33*EXP(-(((((Model_Data!A84)-Inputs!$C$34)^2)+(((0)-Inputs!$C$35)^2))/(2*Inputs!$C$36^2)))+Inputs!$C$37*(0.55*SIN(2*PI()*(Model_Data!A84)/Inputs!$C$39)+0.35*COS(2*PI()*(0)/Inputs!$C$40)+0.2*SIN(2*PI()*((Model_Data!A84)+(0))/(0.5*(Inputs!$C$39+Inputs!$C$40))))+Inputs!$C$38*SIN(2*PI()*(Model_Data!A84)/Inputs!$C$39)*SIN(2*PI()*(0)/Inputs!$C$40)+-Inputs!$C$41*EXP(-(((0)-Inputs!$C$43)^2)/(2*Inputs!$C$44^2))*EXP(-(((Model_Data!A84)-Inputs!$C$42)^2)/(2*Inputs!$C$45^2))+Inputs!$C$48*(0.70*(0.45*SIN(2*PI()*(((Model_Data!A84)/Inputs!$C$49)+Inputs!$C$47*0.137))+0.35*COS(2*PI()*(((0)/Inputs!$C$50)+Inputs!$C$47*0.173))+0.20*SIN(2*PI()*(((Model_Data!A84)+(0))/(0.5*(Inputs!$C$49+Inputs!$C$50))+Inputs!$C$47*0.097)))+0.30*(2*((SIN(((Model_Data!A84)*12.9898+(0)*78.233+Inputs!$C$47*37.719))*43758.5453)-INT((SIN(((Model_Data!A84)*12.9898+(0)*78.233+Inputs!$C$47*37.719))*43758.5453)))-1))))/1000)))*1000/Inputs!$C$12)-Model_Data!F84))-(-(((SQRT((Model_Data!A84)^2+Inputs!$C$6^2+(Inputs!$C$5-((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(0.45*SIN(2*PI()*(((Model_Data!A84)/Inputs!$C$49)+Inputs!$C$47*0.137))+0.35*COS(2*PI()*(((Inputs!$C$6)/Inputs!$C$50)+Inputs!$C$47*0.173))+0.20*SIN(2*PI()*(((Model_Data!A84)+(Inputs!$C$6))/(0.5*(Inputs!$C$49+Inputs!$C$50))+Inputs!$C$47*0.097)))+0.30*(2*((SIN(((Model_Data!A84)*12.9898+(Inputs!$C$6)*78.233+Inputs!$C$47*37.719))*43758.5453)-INT((SIN(((Model_Data!A84)*12.9898+(Inputs!$C$6)*78.233+Inputs!$C$47*37.719))*43758.5453)))-1))))/1000)^2)-(Inputs!$C$5-((Inputs!$C$51*(115*EXP(-(((0)-25)^2)/(4.5^2))+70*EXP(-(((0)+38)^2)/(7^2))*(0.55+0.45*SIN(2*PI()*(Model_Data!A84)/45))+24*SIN(2*PI()*(0)/9+(Model_Data!A84)/18)*EXP(-(((0)+5)^2)/(22^2))+18*SIN(2*PI()*(Model_Data!A84)/70))+Inputs!$C$28*EXP(-(((Model_Data!A84)-Inputs!$C$29)^2)/(2*Inputs!$C$31^2))*EXP(-(((0)-Inputs!$C$30)^2)/(2*Inputs!$C$32^2))+-Inputs!$C$33*EXP(-(((((Model_Data!A84)-Inputs!$C$34)^2)+(((0)-Inputs!$C$35)^2))/(2*Inputs!$C$36^2)))+Inputs!$C$37*(0.55*SIN(2*PI()*(Model_Data!A84)/Inputs!$C$39)+0.35*COS(2*PI()*(0)/Inputs!$C$40)+0.2*SIN(2*PI()*((Model_Data!A84)+(0))/(0.5*(Inputs!$C$39+Inputs!$C$40))))+Inputs!$C$38*SIN(2*PI()*(Model_Data!A84)/Inputs!$C$39)*SIN(2*PI()*(0)/Inputs!$C$40)+-Inputs!$C$41*EXP(-(((0)-Inputs!$C$43)^2)/(2*Inputs!$C$44^2))*EXP(-(((Model_Data!A84)-Inputs!$C$42)^2)/(2*Inputs!$C$45^2))+Inputs!$C$48*(0.70*(0.45*SIN(2*PI()*(((Model_Data!A84)/Inputs!$C$49)+Inputs!$C$47*0.137))+0.35*COS(2*PI()*(((0)/Inputs!$C$50)+Inputs!$C$47*0.173))+0.20*SIN(2*PI()*(((Model_Data!A84)+(0))/(0.5*(Inputs!$C$49+Inputs!$C$50))+Inputs!$C$47*0.097)))+0.30*(2*((SIN(((Model_Data!A84)*12.9898+(0)*78.233+Inputs!$C$47*37.719))*43758.5453)-INT((SIN(((Model_Data!A84)*12.9898+(0)*78.233+Inputs!$C$47*37.719))*43758.5453)))-1))))/1000))*1000/Inputs!$C$12)-((SQRT((Model_Data!A84)^2+Inputs!$C$6^2+Inputs!$C$5^2)-Inputs!$C$5)*1000/Inputs!$C$12)))</x:f>
        <x:v>0.0012766841866778122</x:v>
      </x:c>
      <x:c r="X84" s="48" t="n">
        <x:f>0</x:f>
        <x:v>0</x:v>
      </x:c>
      <x:c r="Y84" s="49"/>
      <x:c r="Z84" s="48" t="n">
        <x:f>Model_Data!A84</x:f>
        <x:v>-19</x:v>
      </x:c>
      <x:c r="AA84" s="48" t="n">
        <x:f>SQRT((Model_Data!A84)^2+Inputs!$C$6^2+((Model_Data!B84)-((Inputs!$C$51*(115*EXP(-(((Inputs!$C$6)-25)^2)/(4.5^2))+70*EXP(-(((Inputs!$C$6)+38)^2)/(7^2))*(0.55+0.45*SIN(2*PI()*(Model_Data!A84)/45))+24*SIN(2*PI()*(Inputs!$C$6)/9+(Model_Data!A84)/18)*EXP(-(((Inputs!$C$6)+5)^2)/(22^2))+18*SIN(2*PI()*(Model_Data!A84)/70))+Inputs!$C$28*EXP(-(((Model_Data!A84)-Inputs!$C$29)^2)/(2*Inputs!$C$31^2))*EXP(-(((Inputs!$C$6)-Inputs!$C$30)^2)/(2*Inputs!$C$32^2))+-Inputs!$C$33*EXP(-(((((Model_Data!A84)-Inputs!$C$34)^2)+(((Inputs!$C$6)-Inputs!$C$35)^2))/(2*Inputs!$C$36^2)))+Inputs!$C$37*(0.55*SIN(2*PI()*(Model_Data!A84)/Inputs!$C$39)+0.35*COS(2*PI()*(Inputs!$C$6)/Inputs!$C$40)+0.2*SIN(2*PI()*((Model_Data!A84)+(Inputs!$C$6))/(0.5*(Inputs!$C$39+Inputs!$C$40))))+Inputs!$C$38*SIN(2*PI()*(Model_Data!A84)/Inputs!$C$39)*SIN(2*PI()*(Inputs!$C$6)/Inputs!$C$40)+-Inputs!$C$41*EXP(-(((Inputs!$C$6)-Inputs!$C$43)^2)/(2*Inputs!$C$44^2))*EXP(-(((Model_Data!A84)-Inputs!$C$42)^2)/(2*Inputs!$C$45^2))+Inputs!$C$48*(0.70*(0.45*SIN(2*PI()*(((Model_Data!A84)/Inputs!$C$49)+Inputs!$C$47*0.137))+0.35*COS(2*PI()*(((Inputs!$C$6)/Inputs!$C$50)+Inputs!$C$47*0.173))+0.20*SIN(2*PI()*(((Model_Data!A84)+(Inputs!$C$6))/(0.5*(Inputs!$C$49+Inputs!$C$50))+Inputs!$C$47*0.097)))+0.30*(2*((SIN(((Model_Data!A84)*12.9898+(Inputs!$C$6)*78.233+Inputs!$C$47*37.719))*43758.5453)-INT((SIN(((Model_Data!A84)*12.9898+(Inputs!$C$6)*78.233+Inputs!$C$47*37.719))*43758.5453)))-1))))/1000)^2)</x:f>
        <x:v>401.2604399245823</x:v>
      </x:c>
      <x:c r="AB84" s="48" t="n">
        <x:f>1000*(AA85-AA83)/(Z85-Z83)*Inputs!$C$11</x:f>
        <x:v>-365.2433110662514</x:v>
      </x:c>
      <x:c r="AC84" s="48" t="n">
        <x:f>-2*AB84/Inputs!$C$13</x:f>
        <x:v>146.09732442650056</x:v>
      </x:c>
      <x:c r="AD84" s="48" t="n">
        <x:f>-2*AB84/Inputs!$C$14</x:f>
        <x:v>21.936535199174262</x:v>
      </x:c>
    </x:row>
    <x:row r="85">
      <x:c r="A85" s="48" t="n">
        <x:f>Model_Data!A85</x:f>
        <x:v>-18.5</x:v>
      </x:c>
      <x:c r="B85" s="48" t="n">
        <x:f>Model_Data!F85</x:f>
        <x:v>677.5828824219851</x:v>
      </x:c>
      <x:c r="C85" s="48" t="n">
        <x:f>(((SQRT((Model_Data!A85)^2+Inputs!$C$6^2+((Model_Data!B85)-((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(0.45*SIN(2*PI()*(((Model_Data!A85)/Inputs!$C$49)+Inputs!$C$47*0.137))+0.35*COS(2*PI()*(((Inputs!$C$6)/Inputs!$C$50)+Inputs!$C$47*0.173))+0.20*SIN(2*PI()*(((Model_Data!A85)+(Inputs!$C$6))/(0.5*(Inputs!$C$49+Inputs!$C$50))+Inputs!$C$47*0.097)))+0.30*(2*((SIN(((Model_Data!A85)*12.9898+(Inputs!$C$6)*78.233+Inputs!$C$47*37.719))*43758.5453)-INT((SIN(((Model_Data!A85)*12.9898+(Inputs!$C$6)*78.233+Inputs!$C$47*37.719))*43758.5453)))-1))))/1000)^2))-(((Model_Data!B85)-((Inputs!$C$51*(115*EXP(-(((0)-25)^2)/(4.5^2))+70*EXP(-(((0)+38)^2)/(7^2))*(0.55+0.45*SIN(2*PI()*(Model_Data!A85)/45))+24*SIN(2*PI()*(0)/9+(Model_Data!A85)/18)*EXP(-(((0)+5)^2)/(22^2))+18*SIN(2*PI()*(Model_Data!A85)/70))+Inputs!$C$28*EXP(-(((Model_Data!A85)-Inputs!$C$29)^2)/(2*Inputs!$C$31^2))*EXP(-(((0)-Inputs!$C$30)^2)/(2*Inputs!$C$32^2))+-Inputs!$C$33*EXP(-(((((Model_Data!A85)-Inputs!$C$34)^2)+(((0)-Inputs!$C$35)^2))/(2*Inputs!$C$36^2)))+Inputs!$C$37*(0.55*SIN(2*PI()*(Model_Data!A85)/Inputs!$C$39)+0.35*COS(2*PI()*(0)/Inputs!$C$40)+0.2*SIN(2*PI()*((Model_Data!A85)+(0))/(0.5*(Inputs!$C$39+Inputs!$C$40))))+Inputs!$C$38*SIN(2*PI()*(Model_Data!A85)/Inputs!$C$39)*SIN(2*PI()*(0)/Inputs!$C$40)+-Inputs!$C$41*EXP(-(((0)-Inputs!$C$43)^2)/(2*Inputs!$C$44^2))*EXP(-(((Model_Data!A85)-Inputs!$C$42)^2)/(2*Inputs!$C$45^2))+Inputs!$C$48*(0.70*(0.45*SIN(2*PI()*(((Model_Data!A85)/Inputs!$C$49)+Inputs!$C$47*0.137))+0.35*COS(2*PI()*(((0)/Inputs!$C$50)+Inputs!$C$47*0.173))+0.20*SIN(2*PI()*(((Model_Data!A85)+(0))/(0.5*(Inputs!$C$49+Inputs!$C$50))+Inputs!$C$47*0.097)))+0.30*(2*((SIN(((Model_Data!A85)*12.9898+(0)*78.233+Inputs!$C$47*37.719))*43758.5453)-INT((SIN(((Model_Data!A85)*12.9898+(0)*78.233+Inputs!$C$47*37.719))*43758.5453)))-1))))/1000)))*1000/Inputs!$C$12)</x:f>
        <x:v>395.98017521694</x:v>
      </x:c>
      <x:c r="D85" s="49"/>
      <x:c r="E85" s="48" t="n">
        <x:f>Model_Data!A85</x:f>
        <x:v>-18.5</x:v>
      </x:c>
      <x:c r="F85" s="48" t="n">
        <x:f>(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(0.45*SIN(2*PI()*(((Model_Data!A85)/Inputs!$C$49)+Inputs!$C$47*0.137))+0.35*COS(2*PI()*(((Inputs!$C$6)/Inputs!$C$50)+Inputs!$C$47*0.173))+0.20*SIN(2*PI()*(((Model_Data!A85)+(Inputs!$C$6))/(0.5*(Inputs!$C$49+Inputs!$C$50))+Inputs!$C$47*0.097)))+0.30*(2*((SIN(((Model_Data!A85)*12.9898+(Inputs!$C$6)*78.233+Inputs!$C$47*37.719))*43758.5453)-INT((SIN(((Model_Data!A85)*12.9898+(Inputs!$C$6)*78.233+Inputs!$C$47*37.719))*43758.5453)))-1)))</x:f>
        <x:v>365.6884368087795</x:v>
      </x:c>
      <x:c r="G85" s="48" t="n">
        <x:f>(Inputs!$C$51*(115*EXP(-(((0)-25)^2)/(4.5^2))+70*EXP(-(((0)+38)^2)/(7^2))*(0.55+0.45*SIN(2*PI()*(Model_Data!A85)/45))+24*SIN(2*PI()*(0)/9+(Model_Data!A85)/18)*EXP(-(((0)+5)^2)/(22^2))+18*SIN(2*PI()*(Model_Data!A85)/70))+Inputs!$C$28*EXP(-(((Model_Data!A85)-Inputs!$C$29)^2)/(2*Inputs!$C$31^2))*EXP(-(((0)-Inputs!$C$30)^2)/(2*Inputs!$C$32^2))+-Inputs!$C$33*EXP(-(((((Model_Data!A85)-Inputs!$C$34)^2)+(((0)-Inputs!$C$35)^2))/(2*Inputs!$C$36^2)))+Inputs!$C$37*(0.55*SIN(2*PI()*(Model_Data!A85)/Inputs!$C$39)+0.35*COS(2*PI()*(0)/Inputs!$C$40)+0.2*SIN(2*PI()*((Model_Data!A85)+(0))/(0.5*(Inputs!$C$39+Inputs!$C$40))))+Inputs!$C$38*SIN(2*PI()*(Model_Data!A85)/Inputs!$C$39)*SIN(2*PI()*(0)/Inputs!$C$40)+-Inputs!$C$41*EXP(-(((0)-Inputs!$C$43)^2)/(2*Inputs!$C$44^2))*EXP(-(((Model_Data!A85)-Inputs!$C$42)^2)/(2*Inputs!$C$45^2))+Inputs!$C$48*(0.70*(0.45*SIN(2*PI()*(((Model_Data!A85)/Inputs!$C$49)+Inputs!$C$47*0.137))+0.35*COS(2*PI()*(((0)/Inputs!$C$50)+Inputs!$C$47*0.173))+0.20*SIN(2*PI()*(((Model_Data!A85)+(0))/(0.5*(Inputs!$C$49+Inputs!$C$50))+Inputs!$C$47*0.097)))+0.30*(2*((SIN(((Model_Data!A85)*12.9898+(0)*78.233+Inputs!$C$47*37.719))*43758.5453)-INT((SIN(((Model_Data!A85)*12.9898+(0)*78.233+Inputs!$C$47*37.719))*43758.5453)))-1)))</x:f>
        <x:v>-136.66366560462208</x:v>
      </x:c>
      <x:c r="H85" s="49"/>
      <x:c r="I85" s="48" t="n">
        <x:f>Model_Data!A85</x:f>
        <x:v>-18.5</x:v>
      </x:c>
      <x:c r="J85" s="48" t="n">
        <x:f>((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(0.45*SIN(2*PI()*(((Model_Data!A85)/Inputs!$C$49)+Inputs!$C$47*0.137))+0.35*COS(2*PI()*(((Inputs!$C$6)/Inputs!$C$50)+Inputs!$C$47*0.173))+0.20*SIN(2*PI()*(((Model_Data!A85)+(Inputs!$C$6))/(0.5*(Inputs!$C$49+Inputs!$C$50))+Inputs!$C$47*0.097)))+0.30*(2*((SIN(((Model_Data!A85)*12.9898+(Inputs!$C$6)*78.233+Inputs!$C$47*37.719))*43758.5453)-INT((SIN(((Model_Data!A85)*12.9898+(Inputs!$C$6)*78.233+Inputs!$C$47*37.719))*43758.5453)))-1))))-((Inputs!$C$51*(115*EXP(-(((0)-25)^2)/(4.5^2))+70*EXP(-(((0)+38)^2)/(7^2))*(0.55+0.45*SIN(2*PI()*(Model_Data!A85)/45))+24*SIN(2*PI()*(0)/9+(Model_Data!A85)/18)*EXP(-(((0)+5)^2)/(22^2))+18*SIN(2*PI()*(Model_Data!A85)/70))+Inputs!$C$28*EXP(-(((Model_Data!A85)-Inputs!$C$29)^2)/(2*Inputs!$C$31^2))*EXP(-(((0)-Inputs!$C$30)^2)/(2*Inputs!$C$32^2))+-Inputs!$C$33*EXP(-(((((Model_Data!A85)-Inputs!$C$34)^2)+(((0)-Inputs!$C$35)^2))/(2*Inputs!$C$36^2)))+Inputs!$C$37*(0.55*SIN(2*PI()*(Model_Data!A85)/Inputs!$C$39)+0.35*COS(2*PI()*(0)/Inputs!$C$40)+0.2*SIN(2*PI()*((Model_Data!A85)+(0))/(0.5*(Inputs!$C$39+Inputs!$C$40))))+Inputs!$C$38*SIN(2*PI()*(Model_Data!A85)/Inputs!$C$39)*SIN(2*PI()*(0)/Inputs!$C$40)+-Inputs!$C$41*EXP(-(((0)-Inputs!$C$43)^2)/(2*Inputs!$C$44^2))*EXP(-(((Model_Data!A85)-Inputs!$C$42)^2)/(2*Inputs!$C$45^2))+Inputs!$C$48*(0.70*(0.45*SIN(2*PI()*(((Model_Data!A85)/Inputs!$C$49)+Inputs!$C$47*0.137))+0.35*COS(2*PI()*(((0)/Inputs!$C$50)+Inputs!$C$47*0.173))+0.20*SIN(2*PI()*(((Model_Data!A85)+(0))/(0.5*(Inputs!$C$49+Inputs!$C$50))+Inputs!$C$47*0.097)))+0.30*(2*((SIN(((Model_Data!A85)*12.9898+(0)*78.233+Inputs!$C$47*37.719))*43758.5453)-INT((SIN(((Model_Data!A85)*12.9898+(0)*78.233+Inputs!$C$47*37.719))*43758.5453)))-1))))</x:f>
        <x:v>502.35210241340155</x:v>
      </x:c>
      <x:c r="K85" s="48" t="n">
        <x:f>-((((SQRT((Model_Data!A85)^2+Inputs!$C$6^2+((Model_Data!B85)-((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(0.45*SIN(2*PI()*(((Model_Data!A85)/Inputs!$C$49)+Inputs!$C$47*0.137))+0.35*COS(2*PI()*(((Inputs!$C$6)/Inputs!$C$50)+Inputs!$C$47*0.173))+0.20*SIN(2*PI()*(((Model_Data!A85)+(Inputs!$C$6))/(0.5*(Inputs!$C$49+Inputs!$C$50))+Inputs!$C$47*0.097)))+0.30*(2*((SIN(((Model_Data!A85)*12.9898+(Inputs!$C$6)*78.233+Inputs!$C$47*37.719))*43758.5453)-INT((SIN(((Model_Data!A85)*12.9898+(Inputs!$C$6)*78.233+Inputs!$C$47*37.719))*43758.5453)))-1))))/1000)^2))-(((Model_Data!B85)-((Inputs!$C$51*(115*EXP(-(((0)-25)^2)/(4.5^2))+70*EXP(-(((0)+38)^2)/(7^2))*(0.55+0.45*SIN(2*PI()*(Model_Data!A85)/45))+24*SIN(2*PI()*(0)/9+(Model_Data!A85)/18)*EXP(-(((0)+5)^2)/(22^2))+18*SIN(2*PI()*(Model_Data!A85)/70))+Inputs!$C$28*EXP(-(((Model_Data!A85)-Inputs!$C$29)^2)/(2*Inputs!$C$31^2))*EXP(-(((0)-Inputs!$C$30)^2)/(2*Inputs!$C$32^2))+-Inputs!$C$33*EXP(-(((((Model_Data!A85)-Inputs!$C$34)^2)+(((0)-Inputs!$C$35)^2))/(2*Inputs!$C$36^2)))+Inputs!$C$37*(0.55*SIN(2*PI()*(Model_Data!A85)/Inputs!$C$39)+0.35*COS(2*PI()*(0)/Inputs!$C$40)+0.2*SIN(2*PI()*((Model_Data!A85)+(0))/(0.5*(Inputs!$C$39+Inputs!$C$40))))+Inputs!$C$38*SIN(2*PI()*(Model_Data!A85)/Inputs!$C$39)*SIN(2*PI()*(0)/Inputs!$C$40)+-Inputs!$C$41*EXP(-(((0)-Inputs!$C$43)^2)/(2*Inputs!$C$44^2))*EXP(-(((Model_Data!A85)-Inputs!$C$42)^2)/(2*Inputs!$C$45^2))+Inputs!$C$48*(0.70*(0.45*SIN(2*PI()*(((Model_Data!A85)/Inputs!$C$49)+Inputs!$C$47*0.137))+0.35*COS(2*PI()*(((0)/Inputs!$C$50)+Inputs!$C$47*0.173))+0.20*SIN(2*PI()*(((Model_Data!A85)+(0))/(0.5*(Inputs!$C$49+Inputs!$C$50))+Inputs!$C$47*0.097)))+0.30*(2*((SIN(((Model_Data!A85)*12.9898+(0)*78.233+Inputs!$C$47*37.719))*43758.5453)-INT((SIN(((Model_Data!A85)*12.9898+(0)*78.233+Inputs!$C$47*37.719))*43758.5453)))-1))))/1000)))*1000/Inputs!$C$12)-Model_Data!F85)</x:f>
        <x:v>281.60270720504514</x:v>
      </x:c>
      <x:c r="L85" s="49"/>
      <x:c r="M85" s="48" t="n">
        <x:f>Model_Data!A85</x:f>
        <x:v>-18.5</x:v>
      </x:c>
      <x:c r="N85" s="48" t="n">
        <x:f>Model_Data!P85</x:f>
        <x:v>139.28790511207666</x:v>
      </x:c>
      <x:c r="O85" s="48" t="n">
        <x:f>AC85</x:f>
        <x:v>172.5939444128926</x:v>
      </x:c>
      <x:c r="P85" s="48" t="n">
        <x:f>Model_Data!Q85</x:f>
        <x:v>20.914099866678182</x:v>
      </x:c>
      <x:c r="Q85" s="48" t="n">
        <x:f>AD85</x:f>
        <x:v>25.915006668602494</x:v>
      </x:c>
      <x:c r="R85" s="49"/>
      <x:c r="S85" s="48" t="n">
        <x:f>Model_Data!A85</x:f>
        <x:v>-18.5</x:v>
      </x:c>
      <x:c r="T85" s="48" t="n">
        <x:f>Model_Data!B85-Inputs!$C$5</x:f>
        <x:v>0.3802777777777919</x:v>
      </x:c>
      <x:c r="U85" s="49"/>
      <x:c r="V85" s="48" t="n">
        <x:f>Model_Data!A85</x:f>
        <x:v>-18.5</x:v>
      </x:c>
      <x:c r="W85" s="48" t="n">
        <x:f>(-((((SQRT((Model_Data!A85)^2+Inputs!$C$6^2+((Model_Data!B85)-((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(0.45*SIN(2*PI()*(((Model_Data!A85)/Inputs!$C$49)+Inputs!$C$47*0.137))+0.35*COS(2*PI()*(((Inputs!$C$6)/Inputs!$C$50)+Inputs!$C$47*0.173))+0.20*SIN(2*PI()*(((Model_Data!A85)+(Inputs!$C$6))/(0.5*(Inputs!$C$49+Inputs!$C$50))+Inputs!$C$47*0.097)))+0.30*(2*((SIN(((Model_Data!A85)*12.9898+(Inputs!$C$6)*78.233+Inputs!$C$47*37.719))*43758.5453)-INT((SIN(((Model_Data!A85)*12.9898+(Inputs!$C$6)*78.233+Inputs!$C$47*37.719))*43758.5453)))-1))))/1000)^2))-(((Model_Data!B85)-((Inputs!$C$51*(115*EXP(-(((0)-25)^2)/(4.5^2))+70*EXP(-(((0)+38)^2)/(7^2))*(0.55+0.45*SIN(2*PI()*(Model_Data!A85)/45))+24*SIN(2*PI()*(0)/9+(Model_Data!A85)/18)*EXP(-(((0)+5)^2)/(22^2))+18*SIN(2*PI()*(Model_Data!A85)/70))+Inputs!$C$28*EXP(-(((Model_Data!A85)-Inputs!$C$29)^2)/(2*Inputs!$C$31^2))*EXP(-(((0)-Inputs!$C$30)^2)/(2*Inputs!$C$32^2))+-Inputs!$C$33*EXP(-(((((Model_Data!A85)-Inputs!$C$34)^2)+(((0)-Inputs!$C$35)^2))/(2*Inputs!$C$36^2)))+Inputs!$C$37*(0.55*SIN(2*PI()*(Model_Data!A85)/Inputs!$C$39)+0.35*COS(2*PI()*(0)/Inputs!$C$40)+0.2*SIN(2*PI()*((Model_Data!A85)+(0))/(0.5*(Inputs!$C$39+Inputs!$C$40))))+Inputs!$C$38*SIN(2*PI()*(Model_Data!A85)/Inputs!$C$39)*SIN(2*PI()*(0)/Inputs!$C$40)+-Inputs!$C$41*EXP(-(((0)-Inputs!$C$43)^2)/(2*Inputs!$C$44^2))*EXP(-(((Model_Data!A85)-Inputs!$C$42)^2)/(2*Inputs!$C$45^2))+Inputs!$C$48*(0.70*(0.45*SIN(2*PI()*(((Model_Data!A85)/Inputs!$C$49)+Inputs!$C$47*0.137))+0.35*COS(2*PI()*(((0)/Inputs!$C$50)+Inputs!$C$47*0.173))+0.20*SIN(2*PI()*(((Model_Data!A85)+(0))/(0.5*(Inputs!$C$49+Inputs!$C$50))+Inputs!$C$47*0.097)))+0.30*(2*((SIN(((Model_Data!A85)*12.9898+(0)*78.233+Inputs!$C$47*37.719))*43758.5453)-INT((SIN(((Model_Data!A85)*12.9898+(0)*78.233+Inputs!$C$47*37.719))*43758.5453)))-1))))/1000)))*1000/Inputs!$C$12)-Model_Data!F85))-(-(((SQRT((Model_Data!A85)^2+Inputs!$C$6^2+(Inputs!$C$5-((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(0.45*SIN(2*PI()*(((Model_Data!A85)/Inputs!$C$49)+Inputs!$C$47*0.137))+0.35*COS(2*PI()*(((Inputs!$C$6)/Inputs!$C$50)+Inputs!$C$47*0.173))+0.20*SIN(2*PI()*(((Model_Data!A85)+(Inputs!$C$6))/(0.5*(Inputs!$C$49+Inputs!$C$50))+Inputs!$C$47*0.097)))+0.30*(2*((SIN(((Model_Data!A85)*12.9898+(Inputs!$C$6)*78.233+Inputs!$C$47*37.719))*43758.5453)-INT((SIN(((Model_Data!A85)*12.9898+(Inputs!$C$6)*78.233+Inputs!$C$47*37.719))*43758.5453)))-1))))/1000)^2)-(Inputs!$C$5-((Inputs!$C$51*(115*EXP(-(((0)-25)^2)/(4.5^2))+70*EXP(-(((0)+38)^2)/(7^2))*(0.55+0.45*SIN(2*PI()*(Model_Data!A85)/45))+24*SIN(2*PI()*(0)/9+(Model_Data!A85)/18)*EXP(-(((0)+5)^2)/(22^2))+18*SIN(2*PI()*(Model_Data!A85)/70))+Inputs!$C$28*EXP(-(((Model_Data!A85)-Inputs!$C$29)^2)/(2*Inputs!$C$31^2))*EXP(-(((0)-Inputs!$C$30)^2)/(2*Inputs!$C$32^2))+-Inputs!$C$33*EXP(-(((((Model_Data!A85)-Inputs!$C$34)^2)+(((0)-Inputs!$C$35)^2))/(2*Inputs!$C$36^2)))+Inputs!$C$37*(0.55*SIN(2*PI()*(Model_Data!A85)/Inputs!$C$39)+0.35*COS(2*PI()*(0)/Inputs!$C$40)+0.2*SIN(2*PI()*((Model_Data!A85)+(0))/(0.5*(Inputs!$C$39+Inputs!$C$40))))+Inputs!$C$38*SIN(2*PI()*(Model_Data!A85)/Inputs!$C$39)*SIN(2*PI()*(0)/Inputs!$C$40)+-Inputs!$C$41*EXP(-(((0)-Inputs!$C$43)^2)/(2*Inputs!$C$44^2))*EXP(-(((Model_Data!A85)-Inputs!$C$42)^2)/(2*Inputs!$C$45^2))+Inputs!$C$48*(0.70*(0.45*SIN(2*PI()*(((Model_Data!A85)/Inputs!$C$49)+Inputs!$C$47*0.137))+0.35*COS(2*PI()*(((0)/Inputs!$C$50)+Inputs!$C$47*0.173))+0.20*SIN(2*PI()*(((Model_Data!A85)+(0))/(0.5*(Inputs!$C$49+Inputs!$C$50))+Inputs!$C$47*0.097)))+0.30*(2*((SIN(((Model_Data!A85)*12.9898+(0)*78.233+Inputs!$C$47*37.719))*43758.5453)-INT((SIN(((Model_Data!A85)*12.9898+(0)*78.233+Inputs!$C$47*37.719))*43758.5453)))-1))))/1000))*1000/Inputs!$C$12)-((SQRT((Model_Data!A85)^2+Inputs!$C$6^2+Inputs!$C$5^2)-Inputs!$C$5)*1000/Inputs!$C$12)))</x:f>
        <x:v>0.0011700418452278427</x:v>
      </x:c>
      <x:c r="X85" s="48" t="n">
        <x:f>0</x:f>
        <x:v>0</x:v>
      </x:c>
      <x:c r="Y85" s="49"/>
      <x:c r="Z85" s="48" t="n">
        <x:f>Model_Data!A85</x:f>
        <x:v>-18.5</x:v>
      </x:c>
      <x:c r="AA85" s="48" t="n">
        <x:f>SQRT((Model_Data!A85)^2+Inputs!$C$6^2+((Model_Data!B85)-((Inputs!$C$51*(115*EXP(-(((Inputs!$C$6)-25)^2)/(4.5^2))+70*EXP(-(((Inputs!$C$6)+38)^2)/(7^2))*(0.55+0.45*SIN(2*PI()*(Model_Data!A85)/45))+24*SIN(2*PI()*(Inputs!$C$6)/9+(Model_Data!A85)/18)*EXP(-(((Inputs!$C$6)+5)^2)/(22^2))+18*SIN(2*PI()*(Model_Data!A85)/70))+Inputs!$C$28*EXP(-(((Model_Data!A85)-Inputs!$C$29)^2)/(2*Inputs!$C$31^2))*EXP(-(((Inputs!$C$6)-Inputs!$C$30)^2)/(2*Inputs!$C$32^2))+-Inputs!$C$33*EXP(-(((((Model_Data!A85)-Inputs!$C$34)^2)+(((Inputs!$C$6)-Inputs!$C$35)^2))/(2*Inputs!$C$36^2)))+Inputs!$C$37*(0.55*SIN(2*PI()*(Model_Data!A85)/Inputs!$C$39)+0.35*COS(2*PI()*(Inputs!$C$6)/Inputs!$C$40)+0.2*SIN(2*PI()*((Model_Data!A85)+(Inputs!$C$6))/(0.5*(Inputs!$C$39+Inputs!$C$40))))+Inputs!$C$38*SIN(2*PI()*(Model_Data!A85)/Inputs!$C$39)*SIN(2*PI()*(Inputs!$C$6)/Inputs!$C$40)+-Inputs!$C$41*EXP(-(((Inputs!$C$6)-Inputs!$C$43)^2)/(2*Inputs!$C$44^2))*EXP(-(((Model_Data!A85)-Inputs!$C$42)^2)/(2*Inputs!$C$45^2))+Inputs!$C$48*(0.70*(0.45*SIN(2*PI()*(((Model_Data!A85)/Inputs!$C$49)+Inputs!$C$47*0.137))+0.35*COS(2*PI()*(((Inputs!$C$6)/Inputs!$C$50)+Inputs!$C$47*0.173))+0.20*SIN(2*PI()*(((Model_Data!A85)+(Inputs!$C$6))/(0.5*(Inputs!$C$49+Inputs!$C$50))+Inputs!$C$47*0.097)))+0.30*(2*((SIN(((Model_Data!A85)*12.9898+(Inputs!$C$6)*78.233+Inputs!$C$47*37.719))*43758.5453)-INT((SIN(((Model_Data!A85)*12.9898+(Inputs!$C$6)*78.233+Inputs!$C$47*37.719))*43758.5453)))-1))))/1000)^2)</x:f>
        <x:v>401.22178615526855</x:v>
      </x:c>
      <x:c r="AB85" s="48" t="n">
        <x:f>1000*(AA86-AA84)/(Z86-Z84)*Inputs!$C$11</x:f>
        <x:v>-431.4848610322315</x:v>
      </x:c>
      <x:c r="AC85" s="48" t="n">
        <x:f>-2*AB85/Inputs!$C$13</x:f>
        <x:v>172.5939444128926</x:v>
      </x:c>
      <x:c r="AD85" s="48" t="n">
        <x:f>-2*AB85/Inputs!$C$14</x:f>
        <x:v>25.915006668602494</x:v>
      </x:c>
    </x:row>
    <x:row r="86">
      <x:c r="A86" s="48" t="n">
        <x:f>Model_Data!A86</x:f>
        <x:v>-18</x:v>
      </x:c>
      <x:c r="B86" s="48" t="n">
        <x:f>Model_Data!F86</x:f>
        <x:v>664.8507097434994</x:v>
      </x:c>
      <x:c r="C86" s="48" t="n">
        <x:f>(((SQRT((Model_Data!A86)^2+Inputs!$C$6^2+((Model_Data!B86)-((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(0.45*SIN(2*PI()*(((Model_Data!A86)/Inputs!$C$49)+Inputs!$C$47*0.137))+0.35*COS(2*PI()*(((Inputs!$C$6)/Inputs!$C$50)+Inputs!$C$47*0.173))+0.20*SIN(2*PI()*(((Model_Data!A86)+(Inputs!$C$6))/(0.5*(Inputs!$C$49+Inputs!$C$50))+Inputs!$C$47*0.097)))+0.30*(2*((SIN(((Model_Data!A86)*12.9898+(Inputs!$C$6)*78.233+Inputs!$C$47*37.719))*43758.5453)-INT((SIN(((Model_Data!A86)*12.9898+(Inputs!$C$6)*78.233+Inputs!$C$47*37.719))*43758.5453)))-1))))/1000)^2))-(((Model_Data!B86)-((Inputs!$C$51*(115*EXP(-(((0)-25)^2)/(4.5^2))+70*EXP(-(((0)+38)^2)/(7^2))*(0.55+0.45*SIN(2*PI()*(Model_Data!A86)/45))+24*SIN(2*PI()*(0)/9+(Model_Data!A86)/18)*EXP(-(((0)+5)^2)/(22^2))+18*SIN(2*PI()*(Model_Data!A86)/70))+Inputs!$C$28*EXP(-(((Model_Data!A86)-Inputs!$C$29)^2)/(2*Inputs!$C$31^2))*EXP(-(((0)-Inputs!$C$30)^2)/(2*Inputs!$C$32^2))+-Inputs!$C$33*EXP(-(((((Model_Data!A86)-Inputs!$C$34)^2)+(((0)-Inputs!$C$35)^2))/(2*Inputs!$C$36^2)))+Inputs!$C$37*(0.55*SIN(2*PI()*(Model_Data!A86)/Inputs!$C$39)+0.35*COS(2*PI()*(0)/Inputs!$C$40)+0.2*SIN(2*PI()*((Model_Data!A86)+(0))/(0.5*(Inputs!$C$39+Inputs!$C$40))))+Inputs!$C$38*SIN(2*PI()*(Model_Data!A86)/Inputs!$C$39)*SIN(2*PI()*(0)/Inputs!$C$40)+-Inputs!$C$41*EXP(-(((0)-Inputs!$C$43)^2)/(2*Inputs!$C$44^2))*EXP(-(((Model_Data!A86)-Inputs!$C$42)^2)/(2*Inputs!$C$45^2))+Inputs!$C$48*(0.70*(0.45*SIN(2*PI()*(((Model_Data!A86)/Inputs!$C$49)+Inputs!$C$47*0.137))+0.35*COS(2*PI()*(((0)/Inputs!$C$50)+Inputs!$C$47*0.173))+0.20*SIN(2*PI()*(((Model_Data!A86)+(0))/(0.5*(Inputs!$C$49+Inputs!$C$50))+Inputs!$C$47*0.097)))+0.30*(2*((SIN(((Model_Data!A86)*12.9898+(0)*78.233+Inputs!$C$47*37.719))*43758.5453)-INT((SIN(((Model_Data!A86)*12.9898+(0)*78.233+Inputs!$C$47*37.719))*43758.5453)))-1))))/1000)))*1000/Inputs!$C$12)</x:f>
        <x:v>361.4865789602442</x:v>
      </x:c>
      <x:c r="D86" s="49"/>
      <x:c r="E86" s="48" t="n">
        <x:f>Model_Data!A86</x:f>
        <x:v>-18</x:v>
      </x:c>
      <x:c r="F86" s="48" t="n">
        <x:f>(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(0.45*SIN(2*PI()*(((Model_Data!A86)/Inputs!$C$49)+Inputs!$C$47*0.137))+0.35*COS(2*PI()*(((Inputs!$C$6)/Inputs!$C$50)+Inputs!$C$47*0.173))+0.20*SIN(2*PI()*(((Model_Data!A86)+(Inputs!$C$6))/(0.5*(Inputs!$C$49+Inputs!$C$50))+Inputs!$C$47*0.097)))+0.30*(2*((SIN(((Model_Data!A86)*12.9898+(Inputs!$C$6)*78.233+Inputs!$C$47*37.719))*43758.5453)-INT((SIN(((Model_Data!A86)*12.9898+(Inputs!$C$6)*78.233+Inputs!$C$47*37.719))*43758.5453)))-1)))</x:f>
        <x:v>392.0220541536099</x:v>
      </x:c>
      <x:c r="G86" s="48" t="n">
        <x:f>(Inputs!$C$51*(115*EXP(-(((0)-25)^2)/(4.5^2))+70*EXP(-(((0)+38)^2)/(7^2))*(0.55+0.45*SIN(2*PI()*(Model_Data!A86)/45))+24*SIN(2*PI()*(0)/9+(Model_Data!A86)/18)*EXP(-(((0)+5)^2)/(22^2))+18*SIN(2*PI()*(Model_Data!A86)/70))+Inputs!$C$28*EXP(-(((Model_Data!A86)-Inputs!$C$29)^2)/(2*Inputs!$C$31^2))*EXP(-(((0)-Inputs!$C$30)^2)/(2*Inputs!$C$32^2))+-Inputs!$C$33*EXP(-(((((Model_Data!A86)-Inputs!$C$34)^2)+(((0)-Inputs!$C$35)^2))/(2*Inputs!$C$36^2)))+Inputs!$C$37*(0.55*SIN(2*PI()*(Model_Data!A86)/Inputs!$C$39)+0.35*COS(2*PI()*(0)/Inputs!$C$40)+0.2*SIN(2*PI()*((Model_Data!A86)+(0))/(0.5*(Inputs!$C$39+Inputs!$C$40))))+Inputs!$C$38*SIN(2*PI()*(Model_Data!A86)/Inputs!$C$39)*SIN(2*PI()*(0)/Inputs!$C$40)+-Inputs!$C$41*EXP(-(((0)-Inputs!$C$43)^2)/(2*Inputs!$C$44^2))*EXP(-(((Model_Data!A86)-Inputs!$C$42)^2)/(2*Inputs!$C$45^2))+Inputs!$C$48*(0.70*(0.45*SIN(2*PI()*(((Model_Data!A86)/Inputs!$C$49)+Inputs!$C$47*0.137))+0.35*COS(2*PI()*(((0)/Inputs!$C$50)+Inputs!$C$47*0.173))+0.20*SIN(2*PI()*(((Model_Data!A86)+(0))/(0.5*(Inputs!$C$49+Inputs!$C$50))+Inputs!$C$47*0.097)))+0.30*(2*((SIN(((Model_Data!A86)*12.9898+(0)*78.233+Inputs!$C$47*37.719))*43758.5453)-INT((SIN(((Model_Data!A86)*12.9898+(0)*78.233+Inputs!$C$47*37.719))*43758.5453)))-1)))</x:f>
        <x:v>-149.12259877495586</x:v>
      </x:c>
      <x:c r="H86" s="49"/>
      <x:c r="I86" s="48" t="n">
        <x:f>Model_Data!A86</x:f>
        <x:v>-18</x:v>
      </x:c>
      <x:c r="J86" s="48" t="n">
        <x:f>((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(0.45*SIN(2*PI()*(((Model_Data!A86)/Inputs!$C$49)+Inputs!$C$47*0.137))+0.35*COS(2*PI()*(((Inputs!$C$6)/Inputs!$C$50)+Inputs!$C$47*0.173))+0.20*SIN(2*PI()*(((Model_Data!A86)+(Inputs!$C$6))/(0.5*(Inputs!$C$49+Inputs!$C$50))+Inputs!$C$47*0.097)))+0.30*(2*((SIN(((Model_Data!A86)*12.9898+(Inputs!$C$6)*78.233+Inputs!$C$47*37.719))*43758.5453)-INT((SIN(((Model_Data!A86)*12.9898+(Inputs!$C$6)*78.233+Inputs!$C$47*37.719))*43758.5453)))-1))))-((Inputs!$C$51*(115*EXP(-(((0)-25)^2)/(4.5^2))+70*EXP(-(((0)+38)^2)/(7^2))*(0.55+0.45*SIN(2*PI()*(Model_Data!A86)/45))+24*SIN(2*PI()*(0)/9+(Model_Data!A86)/18)*EXP(-(((0)+5)^2)/(22^2))+18*SIN(2*PI()*(Model_Data!A86)/70))+Inputs!$C$28*EXP(-(((Model_Data!A86)-Inputs!$C$29)^2)/(2*Inputs!$C$31^2))*EXP(-(((0)-Inputs!$C$30)^2)/(2*Inputs!$C$32^2))+-Inputs!$C$33*EXP(-(((((Model_Data!A86)-Inputs!$C$34)^2)+(((0)-Inputs!$C$35)^2))/(2*Inputs!$C$36^2)))+Inputs!$C$37*(0.55*SIN(2*PI()*(Model_Data!A86)/Inputs!$C$39)+0.35*COS(2*PI()*(0)/Inputs!$C$40)+0.2*SIN(2*PI()*((Model_Data!A86)+(0))/(0.5*(Inputs!$C$39+Inputs!$C$40))))+Inputs!$C$38*SIN(2*PI()*(Model_Data!A86)/Inputs!$C$39)*SIN(2*PI()*(0)/Inputs!$C$40)+-Inputs!$C$41*EXP(-(((0)-Inputs!$C$43)^2)/(2*Inputs!$C$44^2))*EXP(-(((Model_Data!A86)-Inputs!$C$42)^2)/(2*Inputs!$C$45^2))+Inputs!$C$48*(0.70*(0.45*SIN(2*PI()*(((Model_Data!A86)/Inputs!$C$49)+Inputs!$C$47*0.137))+0.35*COS(2*PI()*(((0)/Inputs!$C$50)+Inputs!$C$47*0.173))+0.20*SIN(2*PI()*(((Model_Data!A86)+(0))/(0.5*(Inputs!$C$49+Inputs!$C$50))+Inputs!$C$47*0.097)))+0.30*(2*((SIN(((Model_Data!A86)*12.9898+(0)*78.233+Inputs!$C$47*37.719))*43758.5453)-INT((SIN(((Model_Data!A86)*12.9898+(0)*78.233+Inputs!$C$47*37.719))*43758.5453)))-1))))</x:f>
        <x:v>541.1446529285657</x:v>
      </x:c>
      <x:c r="K86" s="48" t="n">
        <x:f>-((((SQRT((Model_Data!A86)^2+Inputs!$C$6^2+((Model_Data!B86)-((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(0.45*SIN(2*PI()*(((Model_Data!A86)/Inputs!$C$49)+Inputs!$C$47*0.137))+0.35*COS(2*PI()*(((Inputs!$C$6)/Inputs!$C$50)+Inputs!$C$47*0.173))+0.20*SIN(2*PI()*(((Model_Data!A86)+(Inputs!$C$6))/(0.5*(Inputs!$C$49+Inputs!$C$50))+Inputs!$C$47*0.097)))+0.30*(2*((SIN(((Model_Data!A86)*12.9898+(Inputs!$C$6)*78.233+Inputs!$C$47*37.719))*43758.5453)-INT((SIN(((Model_Data!A86)*12.9898+(Inputs!$C$6)*78.233+Inputs!$C$47*37.719))*43758.5453)))-1))))/1000)^2))-(((Model_Data!B86)-((Inputs!$C$51*(115*EXP(-(((0)-25)^2)/(4.5^2))+70*EXP(-(((0)+38)^2)/(7^2))*(0.55+0.45*SIN(2*PI()*(Model_Data!A86)/45))+24*SIN(2*PI()*(0)/9+(Model_Data!A86)/18)*EXP(-(((0)+5)^2)/(22^2))+18*SIN(2*PI()*(Model_Data!A86)/70))+Inputs!$C$28*EXP(-(((Model_Data!A86)-Inputs!$C$29)^2)/(2*Inputs!$C$31^2))*EXP(-(((0)-Inputs!$C$30)^2)/(2*Inputs!$C$32^2))+-Inputs!$C$33*EXP(-(((((Model_Data!A86)-Inputs!$C$34)^2)+(((0)-Inputs!$C$35)^2))/(2*Inputs!$C$36^2)))+Inputs!$C$37*(0.55*SIN(2*PI()*(Model_Data!A86)/Inputs!$C$39)+0.35*COS(2*PI()*(0)/Inputs!$C$40)+0.2*SIN(2*PI()*((Model_Data!A86)+(0))/(0.5*(Inputs!$C$39+Inputs!$C$40))))+Inputs!$C$38*SIN(2*PI()*(Model_Data!A86)/Inputs!$C$39)*SIN(2*PI()*(0)/Inputs!$C$40)+-Inputs!$C$41*EXP(-(((0)-Inputs!$C$43)^2)/(2*Inputs!$C$44^2))*EXP(-(((Model_Data!A86)-Inputs!$C$42)^2)/(2*Inputs!$C$45^2))+Inputs!$C$48*(0.70*(0.45*SIN(2*PI()*(((Model_Data!A86)/Inputs!$C$49)+Inputs!$C$47*0.137))+0.35*COS(2*PI()*(((0)/Inputs!$C$50)+Inputs!$C$47*0.173))+0.20*SIN(2*PI()*(((Model_Data!A86)+(0))/(0.5*(Inputs!$C$49+Inputs!$C$50))+Inputs!$C$47*0.097)))+0.30*(2*((SIN(((Model_Data!A86)*12.9898+(0)*78.233+Inputs!$C$47*37.719))*43758.5453)-INT((SIN(((Model_Data!A86)*12.9898+(0)*78.233+Inputs!$C$47*37.719))*43758.5453)))-1))))/1000)))*1000/Inputs!$C$12)-Model_Data!F86)</x:f>
        <x:v>303.3641307832552</x:v>
      </x:c>
      <x:c r="L86" s="49"/>
      <x:c r="M86" s="48" t="n">
        <x:f>Model_Data!A86</x:f>
        <x:v>-18</x:v>
      </x:c>
      <x:c r="N86" s="48" t="n">
        <x:f>Model_Data!P86</x:f>
        <x:v>135.5346280280799</x:v>
      </x:c>
      <x:c r="O86" s="48" t="n">
        <x:f>AC86</x:f>
        <x:v>185.6658499720652</x:v>
      </x:c>
      <x:c r="P86" s="48" t="n">
        <x:f>Model_Data!Q86</x:f>
        <x:v>20.350544748960946</x:v>
      </x:c>
      <x:c r="Q86" s="48" t="n">
        <x:f>AD86</x:f>
        <x:v>27.87775525106084</x:v>
      </x:c>
      <x:c r="R86" s="49"/>
      <x:c r="S86" s="48" t="n">
        <x:f>Model_Data!A86</x:f>
        <x:v>-18</x:v>
      </x:c>
      <x:c r="T86" s="48" t="n">
        <x:f>Model_Data!B86-Inputs!$C$5</x:f>
        <x:v>0.36000000000001364</x:v>
      </x:c>
      <x:c r="U86" s="49"/>
      <x:c r="V86" s="48" t="n">
        <x:f>Model_Data!A86</x:f>
        <x:v>-18</x:v>
      </x:c>
      <x:c r="W86" s="48" t="n">
        <x:f>(-((((SQRT((Model_Data!A86)^2+Inputs!$C$6^2+((Model_Data!B86)-((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(0.45*SIN(2*PI()*(((Model_Data!A86)/Inputs!$C$49)+Inputs!$C$47*0.137))+0.35*COS(2*PI()*(((Inputs!$C$6)/Inputs!$C$50)+Inputs!$C$47*0.173))+0.20*SIN(2*PI()*(((Model_Data!A86)+(Inputs!$C$6))/(0.5*(Inputs!$C$49+Inputs!$C$50))+Inputs!$C$47*0.097)))+0.30*(2*((SIN(((Model_Data!A86)*12.9898+(Inputs!$C$6)*78.233+Inputs!$C$47*37.719))*43758.5453)-INT((SIN(((Model_Data!A86)*12.9898+(Inputs!$C$6)*78.233+Inputs!$C$47*37.719))*43758.5453)))-1))))/1000)^2))-(((Model_Data!B86)-((Inputs!$C$51*(115*EXP(-(((0)-25)^2)/(4.5^2))+70*EXP(-(((0)+38)^2)/(7^2))*(0.55+0.45*SIN(2*PI()*(Model_Data!A86)/45))+24*SIN(2*PI()*(0)/9+(Model_Data!A86)/18)*EXP(-(((0)+5)^2)/(22^2))+18*SIN(2*PI()*(Model_Data!A86)/70))+Inputs!$C$28*EXP(-(((Model_Data!A86)-Inputs!$C$29)^2)/(2*Inputs!$C$31^2))*EXP(-(((0)-Inputs!$C$30)^2)/(2*Inputs!$C$32^2))+-Inputs!$C$33*EXP(-(((((Model_Data!A86)-Inputs!$C$34)^2)+(((0)-Inputs!$C$35)^2))/(2*Inputs!$C$36^2)))+Inputs!$C$37*(0.55*SIN(2*PI()*(Model_Data!A86)/Inputs!$C$39)+0.35*COS(2*PI()*(0)/Inputs!$C$40)+0.2*SIN(2*PI()*((Model_Data!A86)+(0))/(0.5*(Inputs!$C$39+Inputs!$C$40))))+Inputs!$C$38*SIN(2*PI()*(Model_Data!A86)/Inputs!$C$39)*SIN(2*PI()*(0)/Inputs!$C$40)+-Inputs!$C$41*EXP(-(((0)-Inputs!$C$43)^2)/(2*Inputs!$C$44^2))*EXP(-(((Model_Data!A86)-Inputs!$C$42)^2)/(2*Inputs!$C$45^2))+Inputs!$C$48*(0.70*(0.45*SIN(2*PI()*(((Model_Data!A86)/Inputs!$C$49)+Inputs!$C$47*0.137))+0.35*COS(2*PI()*(((0)/Inputs!$C$50)+Inputs!$C$47*0.173))+0.20*SIN(2*PI()*(((Model_Data!A86)+(0))/(0.5*(Inputs!$C$49+Inputs!$C$50))+Inputs!$C$47*0.097)))+0.30*(2*((SIN(((Model_Data!A86)*12.9898+(0)*78.233+Inputs!$C$47*37.719))*43758.5453)-INT((SIN(((Model_Data!A86)*12.9898+(0)*78.233+Inputs!$C$47*37.719))*43758.5453)))-1))))/1000)))*1000/Inputs!$C$12)-Model_Data!F86))-(-(((SQRT((Model_Data!A86)^2+Inputs!$C$6^2+(Inputs!$C$5-((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(0.45*SIN(2*PI()*(((Model_Data!A86)/Inputs!$C$49)+Inputs!$C$47*0.137))+0.35*COS(2*PI()*(((Inputs!$C$6)/Inputs!$C$50)+Inputs!$C$47*0.173))+0.20*SIN(2*PI()*(((Model_Data!A86)+(Inputs!$C$6))/(0.5*(Inputs!$C$49+Inputs!$C$50))+Inputs!$C$47*0.097)))+0.30*(2*((SIN(((Model_Data!A86)*12.9898+(Inputs!$C$6)*78.233+Inputs!$C$47*37.719))*43758.5453)-INT((SIN(((Model_Data!A86)*12.9898+(Inputs!$C$6)*78.233+Inputs!$C$47*37.719))*43758.5453)))-1))))/1000)^2)-(Inputs!$C$5-((Inputs!$C$51*(115*EXP(-(((0)-25)^2)/(4.5^2))+70*EXP(-(((0)+38)^2)/(7^2))*(0.55+0.45*SIN(2*PI()*(Model_Data!A86)/45))+24*SIN(2*PI()*(0)/9+(Model_Data!A86)/18)*EXP(-(((0)+5)^2)/(22^2))+18*SIN(2*PI()*(Model_Data!A86)/70))+Inputs!$C$28*EXP(-(((Model_Data!A86)-Inputs!$C$29)^2)/(2*Inputs!$C$31^2))*EXP(-(((0)-Inputs!$C$30)^2)/(2*Inputs!$C$32^2))+-Inputs!$C$33*EXP(-(((((Model_Data!A86)-Inputs!$C$34)^2)+(((0)-Inputs!$C$35)^2))/(2*Inputs!$C$36^2)))+Inputs!$C$37*(0.55*SIN(2*PI()*(Model_Data!A86)/Inputs!$C$39)+0.35*COS(2*PI()*(0)/Inputs!$C$40)+0.2*SIN(2*PI()*((Model_Data!A86)+(0))/(0.5*(Inputs!$C$39+Inputs!$C$40))))+Inputs!$C$38*SIN(2*PI()*(Model_Data!A86)/Inputs!$C$39)*SIN(2*PI()*(0)/Inputs!$C$40)+-Inputs!$C$41*EXP(-(((0)-Inputs!$C$43)^2)/(2*Inputs!$C$44^2))*EXP(-(((Model_Data!A86)-Inputs!$C$42)^2)/(2*Inputs!$C$45^2))+Inputs!$C$48*(0.70*(0.45*SIN(2*PI()*(((Model_Data!A86)/Inputs!$C$49)+Inputs!$C$47*0.137))+0.35*COS(2*PI()*(((0)/Inputs!$C$50)+Inputs!$C$47*0.173))+0.20*SIN(2*PI()*(((Model_Data!A86)+(0))/(0.5*(Inputs!$C$49+Inputs!$C$50))+Inputs!$C$47*0.097)))+0.30*(2*((SIN(((Model_Data!A86)*12.9898+(0)*78.233+Inputs!$C$47*37.719))*43758.5453)-INT((SIN(((Model_Data!A86)*12.9898+(0)*78.233+Inputs!$C$47*37.719))*43758.5453)))-1))))/1000))*1000/Inputs!$C$12)-((SQRT((Model_Data!A86)^2+Inputs!$C$6^2+Inputs!$C$5^2)-Inputs!$C$5)*1000/Inputs!$C$12)))</x:f>
        <x:v>0.0011654107351546372</x:v>
      </x:c>
      <x:c r="X86" s="48" t="n">
        <x:f>0</x:f>
        <x:v>0</x:v>
      </x:c>
      <x:c r="Y86" s="49"/>
      <x:c r="Z86" s="48" t="n">
        <x:f>Model_Data!A86</x:f>
        <x:v>-18</x:v>
      </x:c>
      <x:c r="AA86" s="48" t="n">
        <x:f>SQRT((Model_Data!A86)^2+Inputs!$C$6^2+((Model_Data!B86)-((Inputs!$C$51*(115*EXP(-(((Inputs!$C$6)-25)^2)/(4.5^2))+70*EXP(-(((Inputs!$C$6)+38)^2)/(7^2))*(0.55+0.45*SIN(2*PI()*(Model_Data!A86)/45))+24*SIN(2*PI()*(Inputs!$C$6)/9+(Model_Data!A86)/18)*EXP(-(((Inputs!$C$6)+5)^2)/(22^2))+18*SIN(2*PI()*(Model_Data!A86)/70))+Inputs!$C$28*EXP(-(((Model_Data!A86)-Inputs!$C$29)^2)/(2*Inputs!$C$31^2))*EXP(-(((Inputs!$C$6)-Inputs!$C$30)^2)/(2*Inputs!$C$32^2))+-Inputs!$C$33*EXP(-(((((Model_Data!A86)-Inputs!$C$34)^2)+(((Inputs!$C$6)-Inputs!$C$35)^2))/(2*Inputs!$C$36^2)))+Inputs!$C$37*(0.55*SIN(2*PI()*(Model_Data!A86)/Inputs!$C$39)+0.35*COS(2*PI()*(Inputs!$C$6)/Inputs!$C$40)+0.2*SIN(2*PI()*((Model_Data!A86)+(Inputs!$C$6))/(0.5*(Inputs!$C$39+Inputs!$C$40))))+Inputs!$C$38*SIN(2*PI()*(Model_Data!A86)/Inputs!$C$39)*SIN(2*PI()*(Inputs!$C$6)/Inputs!$C$40)+-Inputs!$C$41*EXP(-(((Inputs!$C$6)-Inputs!$C$43)^2)/(2*Inputs!$C$44^2))*EXP(-(((Model_Data!A86)-Inputs!$C$42)^2)/(2*Inputs!$C$45^2))+Inputs!$C$48*(0.70*(0.45*SIN(2*PI()*(((Model_Data!A86)/Inputs!$C$49)+Inputs!$C$47*0.137))+0.35*COS(2*PI()*(((Inputs!$C$6)/Inputs!$C$50)+Inputs!$C$47*0.173))+0.20*SIN(2*PI()*(((Model_Data!A86)+(Inputs!$C$6))/(0.5*(Inputs!$C$49+Inputs!$C$50))+Inputs!$C$47*0.097)))+0.30*(2*((SIN(((Model_Data!A86)*12.9898+(Inputs!$C$6)*78.233+Inputs!$C$47*37.719))*43758.5453)-INT((SIN(((Model_Data!A86)*12.9898+(Inputs!$C$6)*78.233+Inputs!$C$47*37.719))*43758.5453)))-1))))/1000)^2)</x:f>
        <x:v>401.1525687093242</x:v>
      </x:c>
      <x:c r="AB86" s="48" t="n">
        <x:f>1000*(AA87-AA85)/(Z87-Z85)*Inputs!$C$11</x:f>
        <x:v>-464.164624930163</x:v>
      </x:c>
      <x:c r="AC86" s="48" t="n">
        <x:f>-2*AB86/Inputs!$C$13</x:f>
        <x:v>185.6658499720652</x:v>
      </x:c>
      <x:c r="AD86" s="48" t="n">
        <x:f>-2*AB86/Inputs!$C$14</x:f>
        <x:v>27.87775525106084</x:v>
      </x:c>
    </x:row>
    <x:row r="87">
      <x:c r="A87" s="48" t="n">
        <x:f>Model_Data!A87</x:f>
        <x:v>-17.5</x:v>
      </x:c>
      <x:c r="B87" s="48" t="n">
        <x:f>Model_Data!F87</x:f>
        <x:v>652.4654405923689</x:v>
      </x:c>
      <x:c r="C87" s="48" t="n">
        <x:f>(((SQRT((Model_Data!A87)^2+Inputs!$C$6^2+((Model_Data!B87)-((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(0.45*SIN(2*PI()*(((Model_Data!A87)/Inputs!$C$49)+Inputs!$C$47*0.137))+0.35*COS(2*PI()*(((Inputs!$C$6)/Inputs!$C$50)+Inputs!$C$47*0.173))+0.20*SIN(2*PI()*(((Model_Data!A87)+(Inputs!$C$6))/(0.5*(Inputs!$C$49+Inputs!$C$50))+Inputs!$C$47*0.097)))+0.30*(2*((SIN(((Model_Data!A87)*12.9898+(Inputs!$C$6)*78.233+Inputs!$C$47*37.719))*43758.5453)-INT((SIN(((Model_Data!A87)*12.9898+(Inputs!$C$6)*78.233+Inputs!$C$47*37.719))*43758.5453)))-1))))/1000)^2))-(((Model_Data!B87)-((Inputs!$C$51*(115*EXP(-(((0)-25)^2)/(4.5^2))+70*EXP(-(((0)+38)^2)/(7^2))*(0.55+0.45*SIN(2*PI()*(Model_Data!A87)/45))+24*SIN(2*PI()*(0)/9+(Model_Data!A87)/18)*EXP(-(((0)+5)^2)/(22^2))+18*SIN(2*PI()*(Model_Data!A87)/70))+Inputs!$C$28*EXP(-(((Model_Data!A87)-Inputs!$C$29)^2)/(2*Inputs!$C$31^2))*EXP(-(((0)-Inputs!$C$30)^2)/(2*Inputs!$C$32^2))+-Inputs!$C$33*EXP(-(((((Model_Data!A87)-Inputs!$C$34)^2)+(((0)-Inputs!$C$35)^2))/(2*Inputs!$C$36^2)))+Inputs!$C$37*(0.55*SIN(2*PI()*(Model_Data!A87)/Inputs!$C$39)+0.35*COS(2*PI()*(0)/Inputs!$C$40)+0.2*SIN(2*PI()*((Model_Data!A87)+(0))/(0.5*(Inputs!$C$39+Inputs!$C$40))))+Inputs!$C$38*SIN(2*PI()*(Model_Data!A87)/Inputs!$C$39)*SIN(2*PI()*(0)/Inputs!$C$40)+-Inputs!$C$41*EXP(-(((0)-Inputs!$C$43)^2)/(2*Inputs!$C$44^2))*EXP(-(((Model_Data!A87)-Inputs!$C$42)^2)/(2*Inputs!$C$45^2))+Inputs!$C$48*(0.70*(0.45*SIN(2*PI()*(((Model_Data!A87)/Inputs!$C$49)+Inputs!$C$47*0.137))+0.35*COS(2*PI()*(((0)/Inputs!$C$50)+Inputs!$C$47*0.173))+0.20*SIN(2*PI()*(((Model_Data!A87)+(0))/(0.5*(Inputs!$C$49+Inputs!$C$50))+Inputs!$C$47*0.097)))+0.30*(2*((SIN(((Model_Data!A87)*12.9898+(0)*78.233+Inputs!$C$47*37.719))*43758.5453)-INT((SIN(((Model_Data!A87)*12.9898+(0)*78.233+Inputs!$C$47*37.719))*43758.5453)))-1))))/1000)))*1000/Inputs!$C$12)</x:f>
        <x:v>351.9067925736224</x:v>
      </x:c>
      <x:c r="D87" s="49"/>
      <x:c r="E87" s="48" t="n">
        <x:f>Model_Data!A87</x:f>
        <x:v>-17.5</x:v>
      </x:c>
      <x:c r="F87" s="48" t="n">
        <x:f>(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(0.45*SIN(2*PI()*(((Model_Data!A87)/Inputs!$C$49)+Inputs!$C$47*0.137))+0.35*COS(2*PI()*(((Inputs!$C$6)/Inputs!$C$50)+Inputs!$C$47*0.173))+0.20*SIN(2*PI()*(((Model_Data!A87)+(Inputs!$C$6))/(0.5*(Inputs!$C$49+Inputs!$C$50))+Inputs!$C$47*0.097)))+0.30*(2*((SIN(((Model_Data!A87)*12.9898+(Inputs!$C$6)*78.233+Inputs!$C$47*37.719))*43758.5453)-INT((SIN(((Model_Data!A87)*12.9898+(Inputs!$C$6)*78.233+Inputs!$C$47*37.719))*43758.5453)))-1)))</x:f>
        <x:v>397.07097057156574</x:v>
      </x:c>
      <x:c r="G87" s="48" t="n">
        <x:f>(Inputs!$C$51*(115*EXP(-(((0)-25)^2)/(4.5^2))+70*EXP(-(((0)+38)^2)/(7^2))*(0.55+0.45*SIN(2*PI()*(Model_Data!A87)/45))+24*SIN(2*PI()*(0)/9+(Model_Data!A87)/18)*EXP(-(((0)+5)^2)/(22^2))+18*SIN(2*PI()*(Model_Data!A87)/70))+Inputs!$C$28*EXP(-(((Model_Data!A87)-Inputs!$C$29)^2)/(2*Inputs!$C$31^2))*EXP(-(((0)-Inputs!$C$30)^2)/(2*Inputs!$C$32^2))+-Inputs!$C$33*EXP(-(((((Model_Data!A87)-Inputs!$C$34)^2)+(((0)-Inputs!$C$35)^2))/(2*Inputs!$C$36^2)))+Inputs!$C$37*(0.55*SIN(2*PI()*(Model_Data!A87)/Inputs!$C$39)+0.35*COS(2*PI()*(0)/Inputs!$C$40)+0.2*SIN(2*PI()*((Model_Data!A87)+(0))/(0.5*(Inputs!$C$39+Inputs!$C$40))))+Inputs!$C$38*SIN(2*PI()*(Model_Data!A87)/Inputs!$C$39)*SIN(2*PI()*(0)/Inputs!$C$40)+-Inputs!$C$41*EXP(-(((0)-Inputs!$C$43)^2)/(2*Inputs!$C$44^2))*EXP(-(((Model_Data!A87)-Inputs!$C$42)^2)/(2*Inputs!$C$45^2))+Inputs!$C$48*(0.70*(0.45*SIN(2*PI()*(((Model_Data!A87)/Inputs!$C$49)+Inputs!$C$47*0.137))+0.35*COS(2*PI()*(((0)/Inputs!$C$50)+Inputs!$C$47*0.173))+0.20*SIN(2*PI()*(((Model_Data!A87)+(0))/(0.5*(Inputs!$C$49+Inputs!$C$50))+Inputs!$C$47*0.097)))+0.30*(2*((SIN(((Model_Data!A87)*12.9898+(0)*78.233+Inputs!$C$47*37.719))*43758.5453)-INT((SIN(((Model_Data!A87)*12.9898+(0)*78.233+Inputs!$C$47*37.719))*43758.5453)))-1)))</x:f>
        <x:v>-139.0731304771746</x:v>
      </x:c>
      <x:c r="H87" s="49"/>
      <x:c r="I87" s="48" t="n">
        <x:f>Model_Data!A87</x:f>
        <x:v>-17.5</x:v>
      </x:c>
      <x:c r="J87" s="48" t="n">
        <x:f>((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(0.45*SIN(2*PI()*(((Model_Data!A87)/Inputs!$C$49)+Inputs!$C$47*0.137))+0.35*COS(2*PI()*(((Inputs!$C$6)/Inputs!$C$50)+Inputs!$C$47*0.173))+0.20*SIN(2*PI()*(((Model_Data!A87)+(Inputs!$C$6))/(0.5*(Inputs!$C$49+Inputs!$C$50))+Inputs!$C$47*0.097)))+0.30*(2*((SIN(((Model_Data!A87)*12.9898+(Inputs!$C$6)*78.233+Inputs!$C$47*37.719))*43758.5453)-INT((SIN(((Model_Data!A87)*12.9898+(Inputs!$C$6)*78.233+Inputs!$C$47*37.719))*43758.5453)))-1))))-((Inputs!$C$51*(115*EXP(-(((0)-25)^2)/(4.5^2))+70*EXP(-(((0)+38)^2)/(7^2))*(0.55+0.45*SIN(2*PI()*(Model_Data!A87)/45))+24*SIN(2*PI()*(0)/9+(Model_Data!A87)/18)*EXP(-(((0)+5)^2)/(22^2))+18*SIN(2*PI()*(Model_Data!A87)/70))+Inputs!$C$28*EXP(-(((Model_Data!A87)-Inputs!$C$29)^2)/(2*Inputs!$C$31^2))*EXP(-(((0)-Inputs!$C$30)^2)/(2*Inputs!$C$32^2))+-Inputs!$C$33*EXP(-(((((Model_Data!A87)-Inputs!$C$34)^2)+(((0)-Inputs!$C$35)^2))/(2*Inputs!$C$36^2)))+Inputs!$C$37*(0.55*SIN(2*PI()*(Model_Data!A87)/Inputs!$C$39)+0.35*COS(2*PI()*(0)/Inputs!$C$40)+0.2*SIN(2*PI()*((Model_Data!A87)+(0))/(0.5*(Inputs!$C$39+Inputs!$C$40))))+Inputs!$C$38*SIN(2*PI()*(Model_Data!A87)/Inputs!$C$39)*SIN(2*PI()*(0)/Inputs!$C$40)+-Inputs!$C$41*EXP(-(((0)-Inputs!$C$43)^2)/(2*Inputs!$C$44^2))*EXP(-(((Model_Data!A87)-Inputs!$C$42)^2)/(2*Inputs!$C$45^2))+Inputs!$C$48*(0.70*(0.45*SIN(2*PI()*(((Model_Data!A87)/Inputs!$C$49)+Inputs!$C$47*0.137))+0.35*COS(2*PI()*(((0)/Inputs!$C$50)+Inputs!$C$47*0.173))+0.20*SIN(2*PI()*(((Model_Data!A87)+(0))/(0.5*(Inputs!$C$49+Inputs!$C$50))+Inputs!$C$47*0.097)))+0.30*(2*((SIN(((Model_Data!A87)*12.9898+(0)*78.233+Inputs!$C$47*37.719))*43758.5453)-INT((SIN(((Model_Data!A87)*12.9898+(0)*78.233+Inputs!$C$47*37.719))*43758.5453)))-1))))</x:f>
        <x:v>536.1441010487404</x:v>
      </x:c>
      <x:c r="K87" s="48" t="n">
        <x:f>-((((SQRT((Model_Data!A87)^2+Inputs!$C$6^2+((Model_Data!B87)-((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(0.45*SIN(2*PI()*(((Model_Data!A87)/Inputs!$C$49)+Inputs!$C$47*0.137))+0.35*COS(2*PI()*(((Inputs!$C$6)/Inputs!$C$50)+Inputs!$C$47*0.173))+0.20*SIN(2*PI()*(((Model_Data!A87)+(Inputs!$C$6))/(0.5*(Inputs!$C$49+Inputs!$C$50))+Inputs!$C$47*0.097)))+0.30*(2*((SIN(((Model_Data!A87)*12.9898+(Inputs!$C$6)*78.233+Inputs!$C$47*37.719))*43758.5453)-INT((SIN(((Model_Data!A87)*12.9898+(Inputs!$C$6)*78.233+Inputs!$C$47*37.719))*43758.5453)))-1))))/1000)^2))-(((Model_Data!B87)-((Inputs!$C$51*(115*EXP(-(((0)-25)^2)/(4.5^2))+70*EXP(-(((0)+38)^2)/(7^2))*(0.55+0.45*SIN(2*PI()*(Model_Data!A87)/45))+24*SIN(2*PI()*(0)/9+(Model_Data!A87)/18)*EXP(-(((0)+5)^2)/(22^2))+18*SIN(2*PI()*(Model_Data!A87)/70))+Inputs!$C$28*EXP(-(((Model_Data!A87)-Inputs!$C$29)^2)/(2*Inputs!$C$31^2))*EXP(-(((0)-Inputs!$C$30)^2)/(2*Inputs!$C$32^2))+-Inputs!$C$33*EXP(-(((((Model_Data!A87)-Inputs!$C$34)^2)+(((0)-Inputs!$C$35)^2))/(2*Inputs!$C$36^2)))+Inputs!$C$37*(0.55*SIN(2*PI()*(Model_Data!A87)/Inputs!$C$39)+0.35*COS(2*PI()*(0)/Inputs!$C$40)+0.2*SIN(2*PI()*((Model_Data!A87)+(0))/(0.5*(Inputs!$C$39+Inputs!$C$40))))+Inputs!$C$38*SIN(2*PI()*(Model_Data!A87)/Inputs!$C$39)*SIN(2*PI()*(0)/Inputs!$C$40)+-Inputs!$C$41*EXP(-(((0)-Inputs!$C$43)^2)/(2*Inputs!$C$44^2))*EXP(-(((Model_Data!A87)-Inputs!$C$42)^2)/(2*Inputs!$C$45^2))+Inputs!$C$48*(0.70*(0.45*SIN(2*PI()*(((Model_Data!A87)/Inputs!$C$49)+Inputs!$C$47*0.137))+0.35*COS(2*PI()*(((0)/Inputs!$C$50)+Inputs!$C$47*0.173))+0.20*SIN(2*PI()*(((Model_Data!A87)+(0))/(0.5*(Inputs!$C$49+Inputs!$C$50))+Inputs!$C$47*0.097)))+0.30*(2*((SIN(((Model_Data!A87)*12.9898+(0)*78.233+Inputs!$C$47*37.719))*43758.5453)-INT((SIN(((Model_Data!A87)*12.9898+(0)*78.233+Inputs!$C$47*37.719))*43758.5453)))-1))))/1000)))*1000/Inputs!$C$12)-Model_Data!F87)</x:f>
        <x:v>300.55864801874645</x:v>
      </x:c>
      <x:c r="L87" s="49"/>
      <x:c r="M87" s="48" t="n">
        <x:f>Model_Data!A87</x:f>
        <x:v>-17.5</x:v>
      </x:c>
      <x:c r="N87" s="48" t="n">
        <x:f>Model_Data!P87</x:f>
        <x:v>131.78042876132014</x:v>
      </x:c>
      <x:c r="O87" s="48" t="n">
        <x:f>AC87</x:f>
        <x:v>114.85803941759514</x:v>
      </x:c>
      <x:c r="P87" s="48" t="n">
        <x:f>Model_Data!Q87</x:f>
        <x:v>19.786851165363387</x:v>
      </x:c>
      <x:c r="Q87" s="48" t="n">
        <x:f>AD87</x:f>
        <x:v>17.245951864503777</x:v>
      </x:c>
      <x:c r="R87" s="49"/>
      <x:c r="S87" s="48" t="n">
        <x:f>Model_Data!A87</x:f>
        <x:v>-17.5</x:v>
      </x:c>
      <x:c r="T87" s="48" t="n">
        <x:f>Model_Data!B87-Inputs!$C$5</x:f>
        <x:v>0.34027777777777146</x:v>
      </x:c>
      <x:c r="U87" s="49"/>
      <x:c r="V87" s="48" t="n">
        <x:f>Model_Data!A87</x:f>
        <x:v>-17.5</x:v>
      </x:c>
      <x:c r="W87" s="48" t="n">
        <x:f>(-((((SQRT((Model_Data!A87)^2+Inputs!$C$6^2+((Model_Data!B87)-((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(0.45*SIN(2*PI()*(((Model_Data!A87)/Inputs!$C$49)+Inputs!$C$47*0.137))+0.35*COS(2*PI()*(((Inputs!$C$6)/Inputs!$C$50)+Inputs!$C$47*0.173))+0.20*SIN(2*PI()*(((Model_Data!A87)+(Inputs!$C$6))/(0.5*(Inputs!$C$49+Inputs!$C$50))+Inputs!$C$47*0.097)))+0.30*(2*((SIN(((Model_Data!A87)*12.9898+(Inputs!$C$6)*78.233+Inputs!$C$47*37.719))*43758.5453)-INT((SIN(((Model_Data!A87)*12.9898+(Inputs!$C$6)*78.233+Inputs!$C$47*37.719))*43758.5453)))-1))))/1000)^2))-(((Model_Data!B87)-((Inputs!$C$51*(115*EXP(-(((0)-25)^2)/(4.5^2))+70*EXP(-(((0)+38)^2)/(7^2))*(0.55+0.45*SIN(2*PI()*(Model_Data!A87)/45))+24*SIN(2*PI()*(0)/9+(Model_Data!A87)/18)*EXP(-(((0)+5)^2)/(22^2))+18*SIN(2*PI()*(Model_Data!A87)/70))+Inputs!$C$28*EXP(-(((Model_Data!A87)-Inputs!$C$29)^2)/(2*Inputs!$C$31^2))*EXP(-(((0)-Inputs!$C$30)^2)/(2*Inputs!$C$32^2))+-Inputs!$C$33*EXP(-(((((Model_Data!A87)-Inputs!$C$34)^2)+(((0)-Inputs!$C$35)^2))/(2*Inputs!$C$36^2)))+Inputs!$C$37*(0.55*SIN(2*PI()*(Model_Data!A87)/Inputs!$C$39)+0.35*COS(2*PI()*(0)/Inputs!$C$40)+0.2*SIN(2*PI()*((Model_Data!A87)+(0))/(0.5*(Inputs!$C$39+Inputs!$C$40))))+Inputs!$C$38*SIN(2*PI()*(Model_Data!A87)/Inputs!$C$39)*SIN(2*PI()*(0)/Inputs!$C$40)+-Inputs!$C$41*EXP(-(((0)-Inputs!$C$43)^2)/(2*Inputs!$C$44^2))*EXP(-(((Model_Data!A87)-Inputs!$C$42)^2)/(2*Inputs!$C$45^2))+Inputs!$C$48*(0.70*(0.45*SIN(2*PI()*(((Model_Data!A87)/Inputs!$C$49)+Inputs!$C$47*0.137))+0.35*COS(2*PI()*(((0)/Inputs!$C$50)+Inputs!$C$47*0.173))+0.20*SIN(2*PI()*(((Model_Data!A87)+(0))/(0.5*(Inputs!$C$49+Inputs!$C$50))+Inputs!$C$47*0.097)))+0.30*(2*((SIN(((Model_Data!A87)*12.9898+(0)*78.233+Inputs!$C$47*37.719))*43758.5453)-INT((SIN(((Model_Data!A87)*12.9898+(0)*78.233+Inputs!$C$47*37.719))*43758.5453)))-1))))/1000)))*1000/Inputs!$C$12)-Model_Data!F87))-(-(((SQRT((Model_Data!A87)^2+Inputs!$C$6^2+(Inputs!$C$5-((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(0.45*SIN(2*PI()*(((Model_Data!A87)/Inputs!$C$49)+Inputs!$C$47*0.137))+0.35*COS(2*PI()*(((Inputs!$C$6)/Inputs!$C$50)+Inputs!$C$47*0.173))+0.20*SIN(2*PI()*(((Model_Data!A87)+(Inputs!$C$6))/(0.5*(Inputs!$C$49+Inputs!$C$50))+Inputs!$C$47*0.097)))+0.30*(2*((SIN(((Model_Data!A87)*12.9898+(Inputs!$C$6)*78.233+Inputs!$C$47*37.719))*43758.5453)-INT((SIN(((Model_Data!A87)*12.9898+(Inputs!$C$6)*78.233+Inputs!$C$47*37.719))*43758.5453)))-1))))/1000)^2)-(Inputs!$C$5-((Inputs!$C$51*(115*EXP(-(((0)-25)^2)/(4.5^2))+70*EXP(-(((0)+38)^2)/(7^2))*(0.55+0.45*SIN(2*PI()*(Model_Data!A87)/45))+24*SIN(2*PI()*(0)/9+(Model_Data!A87)/18)*EXP(-(((0)+5)^2)/(22^2))+18*SIN(2*PI()*(Model_Data!A87)/70))+Inputs!$C$28*EXP(-(((Model_Data!A87)-Inputs!$C$29)^2)/(2*Inputs!$C$31^2))*EXP(-(((0)-Inputs!$C$30)^2)/(2*Inputs!$C$32^2))+-Inputs!$C$33*EXP(-(((((Model_Data!A87)-Inputs!$C$34)^2)+(((0)-Inputs!$C$35)^2))/(2*Inputs!$C$36^2)))+Inputs!$C$37*(0.55*SIN(2*PI()*(Model_Data!A87)/Inputs!$C$39)+0.35*COS(2*PI()*(0)/Inputs!$C$40)+0.2*SIN(2*PI()*((Model_Data!A87)+(0))/(0.5*(Inputs!$C$39+Inputs!$C$40))))+Inputs!$C$38*SIN(2*PI()*(Model_Data!A87)/Inputs!$C$39)*SIN(2*PI()*(0)/Inputs!$C$40)+-Inputs!$C$41*EXP(-(((0)-Inputs!$C$43)^2)/(2*Inputs!$C$44^2))*EXP(-(((Model_Data!A87)-Inputs!$C$42)^2)/(2*Inputs!$C$45^2))+Inputs!$C$48*(0.70*(0.45*SIN(2*PI()*(((Model_Data!A87)/Inputs!$C$49)+Inputs!$C$47*0.137))+0.35*COS(2*PI()*(((0)/Inputs!$C$50)+Inputs!$C$47*0.173))+0.20*SIN(2*PI()*(((Model_Data!A87)+(0))/(0.5*(Inputs!$C$49+Inputs!$C$50))+Inputs!$C$47*0.097)))+0.30*(2*((SIN(((Model_Data!A87)*12.9898+(0)*78.233+Inputs!$C$47*37.719))*43758.5453)-INT((SIN(((Model_Data!A87)*12.9898+(0)*78.233+Inputs!$C$47*37.719))*43758.5453)))-1))))/1000))*1000/Inputs!$C$12)-((SQRT((Model_Data!A87)^2+Inputs!$C$6^2+Inputs!$C$5^2)-Inputs!$C$5)*1000/Inputs!$C$12)))</x:f>
        <x:v>0.0010951655223152557</x:v>
      </x:c>
      <x:c r="X87" s="48" t="n">
        <x:f>0</x:f>
        <x:v>0</x:v>
      </x:c>
      <x:c r="Y87" s="49"/>
      <x:c r="Z87" s="48" t="n">
        <x:f>Model_Data!A87</x:f>
        <x:v>-17.5</x:v>
      </x:c>
      <x:c r="AA87" s="48" t="n">
        <x:f>SQRT((Model_Data!A87)^2+Inputs!$C$6^2+((Model_Data!B87)-((Inputs!$C$51*(115*EXP(-(((Inputs!$C$6)-25)^2)/(4.5^2))+70*EXP(-(((Inputs!$C$6)+38)^2)/(7^2))*(0.55+0.45*SIN(2*PI()*(Model_Data!A87)/45))+24*SIN(2*PI()*(Inputs!$C$6)/9+(Model_Data!A87)/18)*EXP(-(((Inputs!$C$6)+5)^2)/(22^2))+18*SIN(2*PI()*(Model_Data!A87)/70))+Inputs!$C$28*EXP(-(((Model_Data!A87)-Inputs!$C$29)^2)/(2*Inputs!$C$31^2))*EXP(-(((Inputs!$C$6)-Inputs!$C$30)^2)/(2*Inputs!$C$32^2))+-Inputs!$C$33*EXP(-(((((Model_Data!A87)-Inputs!$C$34)^2)+(((Inputs!$C$6)-Inputs!$C$35)^2))/(2*Inputs!$C$36^2)))+Inputs!$C$37*(0.55*SIN(2*PI()*(Model_Data!A87)/Inputs!$C$39)+0.35*COS(2*PI()*(Inputs!$C$6)/Inputs!$C$40)+0.2*SIN(2*PI()*((Model_Data!A87)+(Inputs!$C$6))/(0.5*(Inputs!$C$39+Inputs!$C$40))))+Inputs!$C$38*SIN(2*PI()*(Model_Data!A87)/Inputs!$C$39)*SIN(2*PI()*(Inputs!$C$6)/Inputs!$C$40)+-Inputs!$C$41*EXP(-(((Inputs!$C$6)-Inputs!$C$43)^2)/(2*Inputs!$C$44^2))*EXP(-(((Model_Data!A87)-Inputs!$C$42)^2)/(2*Inputs!$C$45^2))+Inputs!$C$48*(0.70*(0.45*SIN(2*PI()*(((Model_Data!A87)/Inputs!$C$49)+Inputs!$C$47*0.137))+0.35*COS(2*PI()*(((Inputs!$C$6)/Inputs!$C$50)+Inputs!$C$47*0.173))+0.20*SIN(2*PI()*(((Model_Data!A87)+(Inputs!$C$6))/(0.5*(Inputs!$C$49+Inputs!$C$50))+Inputs!$C$47*0.097)))+0.30*(2*((SIN(((Model_Data!A87)*12.9898+(Inputs!$C$6)*78.233+Inputs!$C$47*37.719))*43758.5453)-INT((SIN(((Model_Data!A87)*12.9898+(Inputs!$C$6)*78.233+Inputs!$C$47*37.719))*43758.5453)))-1))))/1000)^2)</x:f>
        <x:v>401.105744999036</x:v>
      </x:c>
      <x:c r="AB87" s="48" t="n">
        <x:f>1000*(AA88-AA86)/(Z88-Z86)*Inputs!$C$11</x:f>
        <x:v>-287.14509854398784</x:v>
      </x:c>
      <x:c r="AC87" s="48" t="n">
        <x:f>-2*AB87/Inputs!$C$13</x:f>
        <x:v>114.85803941759514</x:v>
      </x:c>
      <x:c r="AD87" s="48" t="n">
        <x:f>-2*AB87/Inputs!$C$14</x:f>
        <x:v>17.245951864503777</x:v>
      </x:c>
    </x:row>
    <x:row r="88">
      <x:c r="A88" s="48" t="n">
        <x:f>Model_Data!A88</x:f>
        <x:v>-17</x:v>
      </x:c>
      <x:c r="B88" s="48" t="n">
        <x:f>Model_Data!F88</x:f>
        <x:v>640.4272346615566</x:v>
      </x:c>
      <x:c r="C88" s="48" t="n">
        <x:f>(((SQRT((Model_Data!A88)^2+Inputs!$C$6^2+((Model_Data!B88)-((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(0.45*SIN(2*PI()*(((Model_Data!A88)/Inputs!$C$49)+Inputs!$C$47*0.137))+0.35*COS(2*PI()*(((Inputs!$C$6)/Inputs!$C$50)+Inputs!$C$47*0.173))+0.20*SIN(2*PI()*(((Model_Data!A88)+(Inputs!$C$6))/(0.5*(Inputs!$C$49+Inputs!$C$50))+Inputs!$C$47*0.097)))+0.30*(2*((SIN(((Model_Data!A88)*12.9898+(Inputs!$C$6)*78.233+Inputs!$C$47*37.719))*43758.5453)-INT((SIN(((Model_Data!A88)*12.9898+(Inputs!$C$6)*78.233+Inputs!$C$47*37.719))*43758.5453)))-1))))/1000)^2))-(((Model_Data!B88)-((Inputs!$C$51*(115*EXP(-(((0)-25)^2)/(4.5^2))+70*EXP(-(((0)+38)^2)/(7^2))*(0.55+0.45*SIN(2*PI()*(Model_Data!A88)/45))+24*SIN(2*PI()*(0)/9+(Model_Data!A88)/18)*EXP(-(((0)+5)^2)/(22^2))+18*SIN(2*PI()*(Model_Data!A88)/70))+Inputs!$C$28*EXP(-(((Model_Data!A88)-Inputs!$C$29)^2)/(2*Inputs!$C$31^2))*EXP(-(((0)-Inputs!$C$30)^2)/(2*Inputs!$C$32^2))+-Inputs!$C$33*EXP(-(((((Model_Data!A88)-Inputs!$C$34)^2)+(((0)-Inputs!$C$35)^2))/(2*Inputs!$C$36^2)))+Inputs!$C$37*(0.55*SIN(2*PI()*(Model_Data!A88)/Inputs!$C$39)+0.35*COS(2*PI()*(0)/Inputs!$C$40)+0.2*SIN(2*PI()*((Model_Data!A88)+(0))/(0.5*(Inputs!$C$39+Inputs!$C$40))))+Inputs!$C$38*SIN(2*PI()*(Model_Data!A88)/Inputs!$C$39)*SIN(2*PI()*(0)/Inputs!$C$40)+-Inputs!$C$41*EXP(-(((0)-Inputs!$C$43)^2)/(2*Inputs!$C$44^2))*EXP(-(((Model_Data!A88)-Inputs!$C$42)^2)/(2*Inputs!$C$45^2))+Inputs!$C$48*(0.70*(0.45*SIN(2*PI()*(((Model_Data!A88)/Inputs!$C$49)+Inputs!$C$47*0.137))+0.35*COS(2*PI()*(((0)/Inputs!$C$50)+Inputs!$C$47*0.173))+0.20*SIN(2*PI()*(((Model_Data!A88)+(0))/(0.5*(Inputs!$C$49+Inputs!$C$50))+Inputs!$C$47*0.097)))+0.30*(2*((SIN(((Model_Data!A88)*12.9898+(0)*78.233+Inputs!$C$47*37.719))*43758.5453)-INT((SIN(((Model_Data!A88)*12.9898+(0)*78.233+Inputs!$C$47*37.719))*43758.5453)))-1))))/1000)))*1000/Inputs!$C$12)</x:f>
        <x:v>356.1587497633004</x:v>
      </x:c>
      <x:c r="D88" s="49"/>
      <x:c r="E88" s="48" t="n">
        <x:f>Model_Data!A88</x:f>
        <x:v>-17</x:v>
      </x:c>
      <x:c r="F88" s="48" t="n">
        <x:f>(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(0.45*SIN(2*PI()*(((Model_Data!A88)/Inputs!$C$49)+Inputs!$C$47*0.137))+0.35*COS(2*PI()*(((Inputs!$C$6)/Inputs!$C$50)+Inputs!$C$47*0.173))+0.20*SIN(2*PI()*(((Model_Data!A88)+(Inputs!$C$6))/(0.5*(Inputs!$C$49+Inputs!$C$50))+Inputs!$C$47*0.097)))+0.30*(2*((SIN(((Model_Data!A88)*12.9898+(Inputs!$C$6)*78.233+Inputs!$C$47*37.719))*43758.5453)-INT((SIN(((Model_Data!A88)*12.9898+(Inputs!$C$6)*78.233+Inputs!$C$47*37.719))*43758.5453)))-1)))</x:f>
        <x:v>381.37310246850825</x:v>
      </x:c>
      <x:c r="G88" s="48" t="n">
        <x:f>(Inputs!$C$51*(115*EXP(-(((0)-25)^2)/(4.5^2))+70*EXP(-(((0)+38)^2)/(7^2))*(0.55+0.45*SIN(2*PI()*(Model_Data!A88)/45))+24*SIN(2*PI()*(0)/9+(Model_Data!A88)/18)*EXP(-(((0)+5)^2)/(22^2))+18*SIN(2*PI()*(Model_Data!A88)/70))+Inputs!$C$28*EXP(-(((Model_Data!A88)-Inputs!$C$29)^2)/(2*Inputs!$C$31^2))*EXP(-(((0)-Inputs!$C$30)^2)/(2*Inputs!$C$32^2))+-Inputs!$C$33*EXP(-(((((Model_Data!A88)-Inputs!$C$34)^2)+(((0)-Inputs!$C$35)^2))/(2*Inputs!$C$36^2)))+Inputs!$C$37*(0.55*SIN(2*PI()*(Model_Data!A88)/Inputs!$C$39)+0.35*COS(2*PI()*(0)/Inputs!$C$40)+0.2*SIN(2*PI()*((Model_Data!A88)+(0))/(0.5*(Inputs!$C$39+Inputs!$C$40))))+Inputs!$C$38*SIN(2*PI()*(Model_Data!A88)/Inputs!$C$39)*SIN(2*PI()*(0)/Inputs!$C$40)+-Inputs!$C$41*EXP(-(((0)-Inputs!$C$43)^2)/(2*Inputs!$C$44^2))*EXP(-(((Model_Data!A88)-Inputs!$C$42)^2)/(2*Inputs!$C$45^2))+Inputs!$C$48*(0.70*(0.45*SIN(2*PI()*(((Model_Data!A88)/Inputs!$C$49)+Inputs!$C$47*0.137))+0.35*COS(2*PI()*(((0)/Inputs!$C$50)+Inputs!$C$47*0.173))+0.20*SIN(2*PI()*(((Model_Data!A88)+(0))/(0.5*(Inputs!$C$49+Inputs!$C$50))+Inputs!$C$47*0.097)))+0.30*(2*((SIN(((Model_Data!A88)*12.9898+(0)*78.233+Inputs!$C$47*37.719))*43758.5453)-INT((SIN(((Model_Data!A88)*12.9898+(0)*78.233+Inputs!$C$47*37.719))*43758.5453)))-1)))</x:f>
        <x:v>-125.70874899839603</x:v>
      </x:c>
      <x:c r="H88" s="49"/>
      <x:c r="I88" s="48" t="n">
        <x:f>Model_Data!A88</x:f>
        <x:v>-17</x:v>
      </x:c>
      <x:c r="J88" s="48" t="n">
        <x:f>((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(0.45*SIN(2*PI()*(((Model_Data!A88)/Inputs!$C$49)+Inputs!$C$47*0.137))+0.35*COS(2*PI()*(((Inputs!$C$6)/Inputs!$C$50)+Inputs!$C$47*0.173))+0.20*SIN(2*PI()*(((Model_Data!A88)+(Inputs!$C$6))/(0.5*(Inputs!$C$49+Inputs!$C$50))+Inputs!$C$47*0.097)))+0.30*(2*((SIN(((Model_Data!A88)*12.9898+(Inputs!$C$6)*78.233+Inputs!$C$47*37.719))*43758.5453)-INT((SIN(((Model_Data!A88)*12.9898+(Inputs!$C$6)*78.233+Inputs!$C$47*37.719))*43758.5453)))-1))))-((Inputs!$C$51*(115*EXP(-(((0)-25)^2)/(4.5^2))+70*EXP(-(((0)+38)^2)/(7^2))*(0.55+0.45*SIN(2*PI()*(Model_Data!A88)/45))+24*SIN(2*PI()*(0)/9+(Model_Data!A88)/18)*EXP(-(((0)+5)^2)/(22^2))+18*SIN(2*PI()*(Model_Data!A88)/70))+Inputs!$C$28*EXP(-(((Model_Data!A88)-Inputs!$C$29)^2)/(2*Inputs!$C$31^2))*EXP(-(((0)-Inputs!$C$30)^2)/(2*Inputs!$C$32^2))+-Inputs!$C$33*EXP(-(((((Model_Data!A88)-Inputs!$C$34)^2)+(((0)-Inputs!$C$35)^2))/(2*Inputs!$C$36^2)))+Inputs!$C$37*(0.55*SIN(2*PI()*(Model_Data!A88)/Inputs!$C$39)+0.35*COS(2*PI()*(0)/Inputs!$C$40)+0.2*SIN(2*PI()*((Model_Data!A88)+(0))/(0.5*(Inputs!$C$39+Inputs!$C$40))))+Inputs!$C$38*SIN(2*PI()*(Model_Data!A88)/Inputs!$C$39)*SIN(2*PI()*(0)/Inputs!$C$40)+-Inputs!$C$41*EXP(-(((0)-Inputs!$C$43)^2)/(2*Inputs!$C$44^2))*EXP(-(((Model_Data!A88)-Inputs!$C$42)^2)/(2*Inputs!$C$45^2))+Inputs!$C$48*(0.70*(0.45*SIN(2*PI()*(((Model_Data!A88)/Inputs!$C$49)+Inputs!$C$47*0.137))+0.35*COS(2*PI()*(((0)/Inputs!$C$50)+Inputs!$C$47*0.173))+0.20*SIN(2*PI()*(((Model_Data!A88)+(0))/(0.5*(Inputs!$C$49+Inputs!$C$50))+Inputs!$C$47*0.097)))+0.30*(2*((SIN(((Model_Data!A88)*12.9898+(0)*78.233+Inputs!$C$47*37.719))*43758.5453)-INT((SIN(((Model_Data!A88)*12.9898+(0)*78.233+Inputs!$C$47*37.719))*43758.5453)))-1))))</x:f>
        <x:v>507.08185146690425</x:v>
      </x:c>
      <x:c r="K88" s="48" t="n">
        <x:f>-((((SQRT((Model_Data!A88)^2+Inputs!$C$6^2+((Model_Data!B88)-((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(0.45*SIN(2*PI()*(((Model_Data!A88)/Inputs!$C$49)+Inputs!$C$47*0.137))+0.35*COS(2*PI()*(((Inputs!$C$6)/Inputs!$C$50)+Inputs!$C$47*0.173))+0.20*SIN(2*PI()*(((Model_Data!A88)+(Inputs!$C$6))/(0.5*(Inputs!$C$49+Inputs!$C$50))+Inputs!$C$47*0.097)))+0.30*(2*((SIN(((Model_Data!A88)*12.9898+(Inputs!$C$6)*78.233+Inputs!$C$47*37.719))*43758.5453)-INT((SIN(((Model_Data!A88)*12.9898+(Inputs!$C$6)*78.233+Inputs!$C$47*37.719))*43758.5453)))-1))))/1000)^2))-(((Model_Data!B88)-((Inputs!$C$51*(115*EXP(-(((0)-25)^2)/(4.5^2))+70*EXP(-(((0)+38)^2)/(7^2))*(0.55+0.45*SIN(2*PI()*(Model_Data!A88)/45))+24*SIN(2*PI()*(0)/9+(Model_Data!A88)/18)*EXP(-(((0)+5)^2)/(22^2))+18*SIN(2*PI()*(Model_Data!A88)/70))+Inputs!$C$28*EXP(-(((Model_Data!A88)-Inputs!$C$29)^2)/(2*Inputs!$C$31^2))*EXP(-(((0)-Inputs!$C$30)^2)/(2*Inputs!$C$32^2))+-Inputs!$C$33*EXP(-(((((Model_Data!A88)-Inputs!$C$34)^2)+(((0)-Inputs!$C$35)^2))/(2*Inputs!$C$36^2)))+Inputs!$C$37*(0.55*SIN(2*PI()*(Model_Data!A88)/Inputs!$C$39)+0.35*COS(2*PI()*(0)/Inputs!$C$40)+0.2*SIN(2*PI()*((Model_Data!A88)+(0))/(0.5*(Inputs!$C$39+Inputs!$C$40))))+Inputs!$C$38*SIN(2*PI()*(Model_Data!A88)/Inputs!$C$39)*SIN(2*PI()*(0)/Inputs!$C$40)+-Inputs!$C$41*EXP(-(((0)-Inputs!$C$43)^2)/(2*Inputs!$C$44^2))*EXP(-(((Model_Data!A88)-Inputs!$C$42)^2)/(2*Inputs!$C$45^2))+Inputs!$C$48*(0.70*(0.45*SIN(2*PI()*(((Model_Data!A88)/Inputs!$C$49)+Inputs!$C$47*0.137))+0.35*COS(2*PI()*(((0)/Inputs!$C$50)+Inputs!$C$47*0.173))+0.20*SIN(2*PI()*(((Model_Data!A88)+(0))/(0.5*(Inputs!$C$49+Inputs!$C$50))+Inputs!$C$47*0.097)))+0.30*(2*((SIN(((Model_Data!A88)*12.9898+(0)*78.233+Inputs!$C$47*37.719))*43758.5453)-INT((SIN(((Model_Data!A88)*12.9898+(0)*78.233+Inputs!$C$47*37.719))*43758.5453)))-1))))/1000)))*1000/Inputs!$C$12)-Model_Data!F88)</x:f>
        <x:v>284.26848489825613</x:v>
      </x:c>
      <x:c r="L88" s="49"/>
      <x:c r="M88" s="48" t="n">
        <x:f>Model_Data!A88</x:f>
        <x:v>-17</x:v>
      </x:c>
      <x:c r="N88" s="48" t="n">
        <x:f>Model_Data!P88</x:f>
        <x:v>128.02533246146646</x:v>
      </x:c>
      <x:c r="O88" s="48" t="n">
        <x:f>AC88</x:f>
        <x:v>112.25152310571502</x:v>
      </x:c>
      <x:c r="P88" s="48" t="n">
        <x:f>Model_Data!Q88</x:f>
        <x:v>19.223022892112084</x:v>
      </x:c>
      <x:c r="Q88" s="48" t="n">
        <x:f>AD88</x:f>
        <x:v>16.85458304890616</x:v>
      </x:c>
      <x:c r="R88" s="49"/>
      <x:c r="S88" s="48" t="n">
        <x:f>Model_Data!A88</x:f>
        <x:v>-17</x:v>
      </x:c>
      <x:c r="T88" s="48" t="n">
        <x:f>Model_Data!B88-Inputs!$C$5</x:f>
        <x:v>0.3211111111111222</x:v>
      </x:c>
      <x:c r="U88" s="49"/>
      <x:c r="V88" s="48" t="n">
        <x:f>Model_Data!A88</x:f>
        <x:v>-17</x:v>
      </x:c>
      <x:c r="W88" s="48" t="n">
        <x:f>(-((((SQRT((Model_Data!A88)^2+Inputs!$C$6^2+((Model_Data!B88)-((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(0.45*SIN(2*PI()*(((Model_Data!A88)/Inputs!$C$49)+Inputs!$C$47*0.137))+0.35*COS(2*PI()*(((Inputs!$C$6)/Inputs!$C$50)+Inputs!$C$47*0.173))+0.20*SIN(2*PI()*(((Model_Data!A88)+(Inputs!$C$6))/(0.5*(Inputs!$C$49+Inputs!$C$50))+Inputs!$C$47*0.097)))+0.30*(2*((SIN(((Model_Data!A88)*12.9898+(Inputs!$C$6)*78.233+Inputs!$C$47*37.719))*43758.5453)-INT((SIN(((Model_Data!A88)*12.9898+(Inputs!$C$6)*78.233+Inputs!$C$47*37.719))*43758.5453)))-1))))/1000)^2))-(((Model_Data!B88)-((Inputs!$C$51*(115*EXP(-(((0)-25)^2)/(4.5^2))+70*EXP(-(((0)+38)^2)/(7^2))*(0.55+0.45*SIN(2*PI()*(Model_Data!A88)/45))+24*SIN(2*PI()*(0)/9+(Model_Data!A88)/18)*EXP(-(((0)+5)^2)/(22^2))+18*SIN(2*PI()*(Model_Data!A88)/70))+Inputs!$C$28*EXP(-(((Model_Data!A88)-Inputs!$C$29)^2)/(2*Inputs!$C$31^2))*EXP(-(((0)-Inputs!$C$30)^2)/(2*Inputs!$C$32^2))+-Inputs!$C$33*EXP(-(((((Model_Data!A88)-Inputs!$C$34)^2)+(((0)-Inputs!$C$35)^2))/(2*Inputs!$C$36^2)))+Inputs!$C$37*(0.55*SIN(2*PI()*(Model_Data!A88)/Inputs!$C$39)+0.35*COS(2*PI()*(0)/Inputs!$C$40)+0.2*SIN(2*PI()*((Model_Data!A88)+(0))/(0.5*(Inputs!$C$39+Inputs!$C$40))))+Inputs!$C$38*SIN(2*PI()*(Model_Data!A88)/Inputs!$C$39)*SIN(2*PI()*(0)/Inputs!$C$40)+-Inputs!$C$41*EXP(-(((0)-Inputs!$C$43)^2)/(2*Inputs!$C$44^2))*EXP(-(((Model_Data!A88)-Inputs!$C$42)^2)/(2*Inputs!$C$45^2))+Inputs!$C$48*(0.70*(0.45*SIN(2*PI()*(((Model_Data!A88)/Inputs!$C$49)+Inputs!$C$47*0.137))+0.35*COS(2*PI()*(((0)/Inputs!$C$50)+Inputs!$C$47*0.173))+0.20*SIN(2*PI()*(((Model_Data!A88)+(0))/(0.5*(Inputs!$C$49+Inputs!$C$50))+Inputs!$C$47*0.097)))+0.30*(2*((SIN(((Model_Data!A88)*12.9898+(0)*78.233+Inputs!$C$47*37.719))*43758.5453)-INT((SIN(((Model_Data!A88)*12.9898+(0)*78.233+Inputs!$C$47*37.719))*43758.5453)))-1))))/1000)))*1000/Inputs!$C$12)-Model_Data!F88))-(-(((SQRT((Model_Data!A88)^2+Inputs!$C$6^2+(Inputs!$C$5-((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(0.45*SIN(2*PI()*(((Model_Data!A88)/Inputs!$C$49)+Inputs!$C$47*0.137))+0.35*COS(2*PI()*(((Inputs!$C$6)/Inputs!$C$50)+Inputs!$C$47*0.173))+0.20*SIN(2*PI()*(((Model_Data!A88)+(Inputs!$C$6))/(0.5*(Inputs!$C$49+Inputs!$C$50))+Inputs!$C$47*0.097)))+0.30*(2*((SIN(((Model_Data!A88)*12.9898+(Inputs!$C$6)*78.233+Inputs!$C$47*37.719))*43758.5453)-INT((SIN(((Model_Data!A88)*12.9898+(Inputs!$C$6)*78.233+Inputs!$C$47*37.719))*43758.5453)))-1))))/1000)^2)-(Inputs!$C$5-((Inputs!$C$51*(115*EXP(-(((0)-25)^2)/(4.5^2))+70*EXP(-(((0)+38)^2)/(7^2))*(0.55+0.45*SIN(2*PI()*(Model_Data!A88)/45))+24*SIN(2*PI()*(0)/9+(Model_Data!A88)/18)*EXP(-(((0)+5)^2)/(22^2))+18*SIN(2*PI()*(Model_Data!A88)/70))+Inputs!$C$28*EXP(-(((Model_Data!A88)-Inputs!$C$29)^2)/(2*Inputs!$C$31^2))*EXP(-(((0)-Inputs!$C$30)^2)/(2*Inputs!$C$32^2))+-Inputs!$C$33*EXP(-(((((Model_Data!A88)-Inputs!$C$34)^2)+(((0)-Inputs!$C$35)^2))/(2*Inputs!$C$36^2)))+Inputs!$C$37*(0.55*SIN(2*PI()*(Model_Data!A88)/Inputs!$C$39)+0.35*COS(2*PI()*(0)/Inputs!$C$40)+0.2*SIN(2*PI()*((Model_Data!A88)+(0))/(0.5*(Inputs!$C$39+Inputs!$C$40))))+Inputs!$C$38*SIN(2*PI()*(Model_Data!A88)/Inputs!$C$39)*SIN(2*PI()*(0)/Inputs!$C$40)+-Inputs!$C$41*EXP(-(((0)-Inputs!$C$43)^2)/(2*Inputs!$C$44^2))*EXP(-(((Model_Data!A88)-Inputs!$C$42)^2)/(2*Inputs!$C$45^2))+Inputs!$C$48*(0.70*(0.45*SIN(2*PI()*(((Model_Data!A88)/Inputs!$C$49)+Inputs!$C$47*0.137))+0.35*COS(2*PI()*(((0)/Inputs!$C$50)+Inputs!$C$47*0.173))+0.20*SIN(2*PI()*(((Model_Data!A88)+(0))/(0.5*(Inputs!$C$49+Inputs!$C$50))+Inputs!$C$47*0.097)))+0.30*(2*((SIN(((Model_Data!A88)*12.9898+(0)*78.233+Inputs!$C$47*37.719))*43758.5453)-INT((SIN(((Model_Data!A88)*12.9898+(0)*78.233+Inputs!$C$47*37.719))*43758.5453)))-1))))/1000))*1000/Inputs!$C$12)-((SQRT((Model_Data!A88)^2+Inputs!$C$6^2+Inputs!$C$5^2)-Inputs!$C$5)*1000/Inputs!$C$12)))</x:f>
        <x:v>0.0009744033395691076</x:v>
      </x:c>
      <x:c r="X88" s="48" t="n">
        <x:f>0</x:f>
        <x:v>0</x:v>
      </x:c>
      <x:c r="Y88" s="49"/>
      <x:c r="Z88" s="48" t="n">
        <x:f>Model_Data!A88</x:f>
        <x:v>-17</x:v>
      </x:c>
      <x:c r="AA88" s="48" t="n">
        <x:f>SQRT((Model_Data!A88)^2+Inputs!$C$6^2+((Model_Data!B88)-((Inputs!$C$51*(115*EXP(-(((Inputs!$C$6)-25)^2)/(4.5^2))+70*EXP(-(((Inputs!$C$6)+38)^2)/(7^2))*(0.55+0.45*SIN(2*PI()*(Model_Data!A88)/45))+24*SIN(2*PI()*(Inputs!$C$6)/9+(Model_Data!A88)/18)*EXP(-(((Inputs!$C$6)+5)^2)/(22^2))+18*SIN(2*PI()*(Model_Data!A88)/70))+Inputs!$C$28*EXP(-(((Model_Data!A88)-Inputs!$C$29)^2)/(2*Inputs!$C$31^2))*EXP(-(((Inputs!$C$6)-Inputs!$C$30)^2)/(2*Inputs!$C$32^2))+-Inputs!$C$33*EXP(-(((((Model_Data!A88)-Inputs!$C$34)^2)+(((Inputs!$C$6)-Inputs!$C$35)^2))/(2*Inputs!$C$36^2)))+Inputs!$C$37*(0.55*SIN(2*PI()*(Model_Data!A88)/Inputs!$C$39)+0.35*COS(2*PI()*(Inputs!$C$6)/Inputs!$C$40)+0.2*SIN(2*PI()*((Model_Data!A88)+(Inputs!$C$6))/(0.5*(Inputs!$C$39+Inputs!$C$40))))+Inputs!$C$38*SIN(2*PI()*(Model_Data!A88)/Inputs!$C$39)*SIN(2*PI()*(Inputs!$C$6)/Inputs!$C$40)+-Inputs!$C$41*EXP(-(((Inputs!$C$6)-Inputs!$C$43)^2)/(2*Inputs!$C$44^2))*EXP(-(((Model_Data!A88)-Inputs!$C$42)^2)/(2*Inputs!$C$45^2))+Inputs!$C$48*(0.70*(0.45*SIN(2*PI()*(((Model_Data!A88)/Inputs!$C$49)+Inputs!$C$47*0.137))+0.35*COS(2*PI()*(((Inputs!$C$6)/Inputs!$C$50)+Inputs!$C$47*0.173))+0.20*SIN(2*PI()*(((Model_Data!A88)+(Inputs!$C$6))/(0.5*(Inputs!$C$49+Inputs!$C$50))+Inputs!$C$47*0.097)))+0.30*(2*((SIN(((Model_Data!A88)*12.9898+(Inputs!$C$6)*78.233+Inputs!$C$47*37.719))*43758.5453)-INT((SIN(((Model_Data!A88)*12.9898+(Inputs!$C$6)*78.233+Inputs!$C$47*37.719))*43758.5453)))-1))))/1000)^2)</x:f>
        <x:v>401.0807824346882</x:v>
      </x:c>
      <x:c r="AB88" s="48" t="n">
        <x:f>1000*(AA89-AA87)/(Z89-Z87)*Inputs!$C$11</x:f>
        <x:v>-280.62880776428756</x:v>
      </x:c>
      <x:c r="AC88" s="48" t="n">
        <x:f>-2*AB88/Inputs!$C$13</x:f>
        <x:v>112.25152310571502</x:v>
      </x:c>
      <x:c r="AD88" s="48" t="n">
        <x:f>-2*AB88/Inputs!$C$14</x:f>
        <x:v>16.85458304890616</x:v>
      </x:c>
    </x:row>
    <x:row r="89">
      <x:c r="A89" s="48" t="n">
        <x:f>Model_Data!A89</x:f>
        <x:v>-16.5</x:v>
      </x:c>
      <x:c r="B89" s="48" t="n">
        <x:f>Model_Data!F89</x:f>
        <x:v>628.7362472252798</x:v>
      </x:c>
      <x:c r="C89" s="48" t="n">
        <x:f>(((SQRT((Model_Data!A89)^2+Inputs!$C$6^2+((Model_Data!B89)-((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(0.45*SIN(2*PI()*(((Model_Data!A89)/Inputs!$C$49)+Inputs!$C$47*0.137))+0.35*COS(2*PI()*(((Inputs!$C$6)/Inputs!$C$50)+Inputs!$C$47*0.173))+0.20*SIN(2*PI()*(((Model_Data!A89)+(Inputs!$C$6))/(0.5*(Inputs!$C$49+Inputs!$C$50))+Inputs!$C$47*0.097)))+0.30*(2*((SIN(((Model_Data!A89)*12.9898+(Inputs!$C$6)*78.233+Inputs!$C$47*37.719))*43758.5453)-INT((SIN(((Model_Data!A89)*12.9898+(Inputs!$C$6)*78.233+Inputs!$C$47*37.719))*43758.5453)))-1))))/1000)^2))-(((Model_Data!B89)-((Inputs!$C$51*(115*EXP(-(((0)-25)^2)/(4.5^2))+70*EXP(-(((0)+38)^2)/(7^2))*(0.55+0.45*SIN(2*PI()*(Model_Data!A89)/45))+24*SIN(2*PI()*(0)/9+(Model_Data!A89)/18)*EXP(-(((0)+5)^2)/(22^2))+18*SIN(2*PI()*(Model_Data!A89)/70))+Inputs!$C$28*EXP(-(((Model_Data!A89)-Inputs!$C$29)^2)/(2*Inputs!$C$31^2))*EXP(-(((0)-Inputs!$C$30)^2)/(2*Inputs!$C$32^2))+-Inputs!$C$33*EXP(-(((((Model_Data!A89)-Inputs!$C$34)^2)+(((0)-Inputs!$C$35)^2))/(2*Inputs!$C$36^2)))+Inputs!$C$37*(0.55*SIN(2*PI()*(Model_Data!A89)/Inputs!$C$39)+0.35*COS(2*PI()*(0)/Inputs!$C$40)+0.2*SIN(2*PI()*((Model_Data!A89)+(0))/(0.5*(Inputs!$C$39+Inputs!$C$40))))+Inputs!$C$38*SIN(2*PI()*(Model_Data!A89)/Inputs!$C$39)*SIN(2*PI()*(0)/Inputs!$C$40)+-Inputs!$C$41*EXP(-(((0)-Inputs!$C$43)^2)/(2*Inputs!$C$44^2))*EXP(-(((Model_Data!A89)-Inputs!$C$42)^2)/(2*Inputs!$C$45^2))+Inputs!$C$48*(0.70*(0.45*SIN(2*PI()*(((Model_Data!A89)/Inputs!$C$49)+Inputs!$C$47*0.137))+0.35*COS(2*PI()*(((0)/Inputs!$C$50)+Inputs!$C$47*0.173))+0.20*SIN(2*PI()*(((Model_Data!A89)+(0))/(0.5*(Inputs!$C$49+Inputs!$C$50))+Inputs!$C$47*0.097)))+0.30*(2*((SIN(((Model_Data!A89)*12.9898+(0)*78.233+Inputs!$C$47*37.719))*43758.5453)-INT((SIN(((Model_Data!A89)*12.9898+(0)*78.233+Inputs!$C$47*37.719))*43758.5453)))-1))))/1000)))*1000/Inputs!$C$12)</x:f>
        <x:v>342.25796827109826</x:v>
      </x:c>
      <x:c r="D89" s="49"/>
      <x:c r="E89" s="48" t="n">
        <x:f>Model_Data!A89</x:f>
        <x:v>-16.5</x:v>
      </x:c>
      <x:c r="F89" s="48" t="n">
        <x:f>(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(0.45*SIN(2*PI()*(((Model_Data!A89)/Inputs!$C$49)+Inputs!$C$47*0.137))+0.35*COS(2*PI()*(((Inputs!$C$6)/Inputs!$C$50)+Inputs!$C$47*0.173))+0.20*SIN(2*PI()*(((Model_Data!A89)+(Inputs!$C$6))/(0.5*(Inputs!$C$49+Inputs!$C$50))+Inputs!$C$47*0.097)))+0.30*(2*((SIN(((Model_Data!A89)*12.9898+(Inputs!$C$6)*78.233+Inputs!$C$47*37.719))*43758.5453)-INT((SIN(((Model_Data!A89)*12.9898+(Inputs!$C$6)*78.233+Inputs!$C$47*37.719))*43758.5453)))-1)))</x:f>
        <x:v>387.1431058674635</x:v>
      </x:c>
      <x:c r="G89" s="48" t="n">
        <x:f>(Inputs!$C$51*(115*EXP(-(((0)-25)^2)/(4.5^2))+70*EXP(-(((0)+38)^2)/(7^2))*(0.55+0.45*SIN(2*PI()*(Model_Data!A89)/45))+24*SIN(2*PI()*(0)/9+(Model_Data!A89)/18)*EXP(-(((0)+5)^2)/(22^2))+18*SIN(2*PI()*(Model_Data!A89)/70))+Inputs!$C$28*EXP(-(((Model_Data!A89)-Inputs!$C$29)^2)/(2*Inputs!$C$31^2))*EXP(-(((0)-Inputs!$C$30)^2)/(2*Inputs!$C$32^2))+-Inputs!$C$33*EXP(-(((((Model_Data!A89)-Inputs!$C$34)^2)+(((0)-Inputs!$C$35)^2))/(2*Inputs!$C$36^2)))+Inputs!$C$37*(0.55*SIN(2*PI()*(Model_Data!A89)/Inputs!$C$39)+0.35*COS(2*PI()*(0)/Inputs!$C$40)+0.2*SIN(2*PI()*((Model_Data!A89)+(0))/(0.5*(Inputs!$C$39+Inputs!$C$40))))+Inputs!$C$38*SIN(2*PI()*(Model_Data!A89)/Inputs!$C$39)*SIN(2*PI()*(0)/Inputs!$C$40)+-Inputs!$C$41*EXP(-(((0)-Inputs!$C$43)^2)/(2*Inputs!$C$44^2))*EXP(-(((Model_Data!A89)-Inputs!$C$42)^2)/(2*Inputs!$C$45^2))+Inputs!$C$48*(0.70*(0.45*SIN(2*PI()*(((Model_Data!A89)/Inputs!$C$49)+Inputs!$C$47*0.137))+0.35*COS(2*PI()*(((0)/Inputs!$C$50)+Inputs!$C$47*0.173))+0.20*SIN(2*PI()*(((Model_Data!A89)+(0))/(0.5*(Inputs!$C$49+Inputs!$C$50))+Inputs!$C$47*0.097)))+0.30*(2*((SIN(((Model_Data!A89)*12.9898+(0)*78.233+Inputs!$C$47*37.719))*43758.5453)-INT((SIN(((Model_Data!A89)*12.9898+(0)*78.233+Inputs!$C$47*37.719))*43758.5453)))-1)))</x:f>
        <x:v>-123.86861357235706</x:v>
      </x:c>
      <x:c r="H89" s="49"/>
      <x:c r="I89" s="48" t="n">
        <x:f>Model_Data!A89</x:f>
        <x:v>-16.5</x:v>
      </x:c>
      <x:c r="J89" s="48" t="n">
        <x:f>((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(0.45*SIN(2*PI()*(((Model_Data!A89)/Inputs!$C$49)+Inputs!$C$47*0.137))+0.35*COS(2*PI()*(((Inputs!$C$6)/Inputs!$C$50)+Inputs!$C$47*0.173))+0.20*SIN(2*PI()*(((Model_Data!A89)+(Inputs!$C$6))/(0.5*(Inputs!$C$49+Inputs!$C$50))+Inputs!$C$47*0.097)))+0.30*(2*((SIN(((Model_Data!A89)*12.9898+(Inputs!$C$6)*78.233+Inputs!$C$47*37.719))*43758.5453)-INT((SIN(((Model_Data!A89)*12.9898+(Inputs!$C$6)*78.233+Inputs!$C$47*37.719))*43758.5453)))-1))))-((Inputs!$C$51*(115*EXP(-(((0)-25)^2)/(4.5^2))+70*EXP(-(((0)+38)^2)/(7^2))*(0.55+0.45*SIN(2*PI()*(Model_Data!A89)/45))+24*SIN(2*PI()*(0)/9+(Model_Data!A89)/18)*EXP(-(((0)+5)^2)/(22^2))+18*SIN(2*PI()*(Model_Data!A89)/70))+Inputs!$C$28*EXP(-(((Model_Data!A89)-Inputs!$C$29)^2)/(2*Inputs!$C$31^2))*EXP(-(((0)-Inputs!$C$30)^2)/(2*Inputs!$C$32^2))+-Inputs!$C$33*EXP(-(((((Model_Data!A89)-Inputs!$C$34)^2)+(((0)-Inputs!$C$35)^2))/(2*Inputs!$C$36^2)))+Inputs!$C$37*(0.55*SIN(2*PI()*(Model_Data!A89)/Inputs!$C$39)+0.35*COS(2*PI()*(0)/Inputs!$C$40)+0.2*SIN(2*PI()*((Model_Data!A89)+(0))/(0.5*(Inputs!$C$39+Inputs!$C$40))))+Inputs!$C$38*SIN(2*PI()*(Model_Data!A89)/Inputs!$C$39)*SIN(2*PI()*(0)/Inputs!$C$40)+-Inputs!$C$41*EXP(-(((0)-Inputs!$C$43)^2)/(2*Inputs!$C$44^2))*EXP(-(((Model_Data!A89)-Inputs!$C$42)^2)/(2*Inputs!$C$45^2))+Inputs!$C$48*(0.70*(0.45*SIN(2*PI()*(((Model_Data!A89)/Inputs!$C$49)+Inputs!$C$47*0.137))+0.35*COS(2*PI()*(((0)/Inputs!$C$50)+Inputs!$C$47*0.173))+0.20*SIN(2*PI()*(((Model_Data!A89)+(0))/(0.5*(Inputs!$C$49+Inputs!$C$50))+Inputs!$C$47*0.097)))+0.30*(2*((SIN(((Model_Data!A89)*12.9898+(0)*78.233+Inputs!$C$47*37.719))*43758.5453)-INT((SIN(((Model_Data!A89)*12.9898+(0)*78.233+Inputs!$C$47*37.719))*43758.5453)))-1))))</x:f>
        <x:v>511.0117194398205</x:v>
      </x:c>
      <x:c r="K89" s="48" t="n">
        <x:f>-((((SQRT((Model_Data!A89)^2+Inputs!$C$6^2+((Model_Data!B89)-((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(0.45*SIN(2*PI()*(((Model_Data!A89)/Inputs!$C$49)+Inputs!$C$47*0.137))+0.35*COS(2*PI()*(((Inputs!$C$6)/Inputs!$C$50)+Inputs!$C$47*0.173))+0.20*SIN(2*PI()*(((Model_Data!A89)+(Inputs!$C$6))/(0.5*(Inputs!$C$49+Inputs!$C$50))+Inputs!$C$47*0.097)))+0.30*(2*((SIN(((Model_Data!A89)*12.9898+(Inputs!$C$6)*78.233+Inputs!$C$47*37.719))*43758.5453)-INT((SIN(((Model_Data!A89)*12.9898+(Inputs!$C$6)*78.233+Inputs!$C$47*37.719))*43758.5453)))-1))))/1000)^2))-(((Model_Data!B89)-((Inputs!$C$51*(115*EXP(-(((0)-25)^2)/(4.5^2))+70*EXP(-(((0)+38)^2)/(7^2))*(0.55+0.45*SIN(2*PI()*(Model_Data!A89)/45))+24*SIN(2*PI()*(0)/9+(Model_Data!A89)/18)*EXP(-(((0)+5)^2)/(22^2))+18*SIN(2*PI()*(Model_Data!A89)/70))+Inputs!$C$28*EXP(-(((Model_Data!A89)-Inputs!$C$29)^2)/(2*Inputs!$C$31^2))*EXP(-(((0)-Inputs!$C$30)^2)/(2*Inputs!$C$32^2))+-Inputs!$C$33*EXP(-(((((Model_Data!A89)-Inputs!$C$34)^2)+(((0)-Inputs!$C$35)^2))/(2*Inputs!$C$36^2)))+Inputs!$C$37*(0.55*SIN(2*PI()*(Model_Data!A89)/Inputs!$C$39)+0.35*COS(2*PI()*(0)/Inputs!$C$40)+0.2*SIN(2*PI()*((Model_Data!A89)+(0))/(0.5*(Inputs!$C$39+Inputs!$C$40))))+Inputs!$C$38*SIN(2*PI()*(Model_Data!A89)/Inputs!$C$39)*SIN(2*PI()*(0)/Inputs!$C$40)+-Inputs!$C$41*EXP(-(((0)-Inputs!$C$43)^2)/(2*Inputs!$C$44^2))*EXP(-(((Model_Data!A89)-Inputs!$C$42)^2)/(2*Inputs!$C$45^2))+Inputs!$C$48*(0.70*(0.45*SIN(2*PI()*(((Model_Data!A89)/Inputs!$C$49)+Inputs!$C$47*0.137))+0.35*COS(2*PI()*(((0)/Inputs!$C$50)+Inputs!$C$47*0.173))+0.20*SIN(2*PI()*(((Model_Data!A89)+(0))/(0.5*(Inputs!$C$49+Inputs!$C$50))+Inputs!$C$47*0.097)))+0.30*(2*((SIN(((Model_Data!A89)*12.9898+(0)*78.233+Inputs!$C$47*37.719))*43758.5453)-INT((SIN(((Model_Data!A89)*12.9898+(0)*78.233+Inputs!$C$47*37.719))*43758.5453)))-1))))/1000)))*1000/Inputs!$C$12)-Model_Data!F89)</x:f>
        <x:v>286.4782789541816</x:v>
      </x:c>
      <x:c r="L89" s="49"/>
      <x:c r="M89" s="48" t="n">
        <x:f>Model_Data!A89</x:f>
        <x:v>-16.5</x:v>
      </x:c>
      <x:c r="N89" s="48" t="n">
        <x:f>Model_Data!P89</x:f>
        <x:v>124.26936431730996</x:v>
      </x:c>
      <x:c r="O89" s="48" t="n">
        <x:f>AC89</x:f>
        <x:v>175.26717893979367</x:v>
      </x:c>
      <x:c r="P89" s="48" t="n">
        <x:f>Model_Data!Q89</x:f>
        <x:v>18.659063711307805</x:v>
      </x:c>
      <x:c r="Q89" s="48" t="n">
        <x:f>AD89</x:f>
        <x:v>26.316393234203254</x:v>
      </x:c>
      <x:c r="R89" s="49"/>
      <x:c r="S89" s="48" t="n">
        <x:f>Model_Data!A89</x:f>
        <x:v>-16.5</x:v>
      </x:c>
      <x:c r="T89" s="48" t="n">
        <x:f>Model_Data!B89-Inputs!$C$5</x:f>
        <x:v>0.3025000000000091</x:v>
      </x:c>
      <x:c r="U89" s="49"/>
      <x:c r="V89" s="48" t="n">
        <x:f>Model_Data!A89</x:f>
        <x:v>-16.5</x:v>
      </x:c>
      <x:c r="W89" s="48" t="n">
        <x:f>(-((((SQRT((Model_Data!A89)^2+Inputs!$C$6^2+((Model_Data!B89)-((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(0.45*SIN(2*PI()*(((Model_Data!A89)/Inputs!$C$49)+Inputs!$C$47*0.137))+0.35*COS(2*PI()*(((Inputs!$C$6)/Inputs!$C$50)+Inputs!$C$47*0.173))+0.20*SIN(2*PI()*(((Model_Data!A89)+(Inputs!$C$6))/(0.5*(Inputs!$C$49+Inputs!$C$50))+Inputs!$C$47*0.097)))+0.30*(2*((SIN(((Model_Data!A89)*12.9898+(Inputs!$C$6)*78.233+Inputs!$C$47*37.719))*43758.5453)-INT((SIN(((Model_Data!A89)*12.9898+(Inputs!$C$6)*78.233+Inputs!$C$47*37.719))*43758.5453)))-1))))/1000)^2))-(((Model_Data!B89)-((Inputs!$C$51*(115*EXP(-(((0)-25)^2)/(4.5^2))+70*EXP(-(((0)+38)^2)/(7^2))*(0.55+0.45*SIN(2*PI()*(Model_Data!A89)/45))+24*SIN(2*PI()*(0)/9+(Model_Data!A89)/18)*EXP(-(((0)+5)^2)/(22^2))+18*SIN(2*PI()*(Model_Data!A89)/70))+Inputs!$C$28*EXP(-(((Model_Data!A89)-Inputs!$C$29)^2)/(2*Inputs!$C$31^2))*EXP(-(((0)-Inputs!$C$30)^2)/(2*Inputs!$C$32^2))+-Inputs!$C$33*EXP(-(((((Model_Data!A89)-Inputs!$C$34)^2)+(((0)-Inputs!$C$35)^2))/(2*Inputs!$C$36^2)))+Inputs!$C$37*(0.55*SIN(2*PI()*(Model_Data!A89)/Inputs!$C$39)+0.35*COS(2*PI()*(0)/Inputs!$C$40)+0.2*SIN(2*PI()*((Model_Data!A89)+(0))/(0.5*(Inputs!$C$39+Inputs!$C$40))))+Inputs!$C$38*SIN(2*PI()*(Model_Data!A89)/Inputs!$C$39)*SIN(2*PI()*(0)/Inputs!$C$40)+-Inputs!$C$41*EXP(-(((0)-Inputs!$C$43)^2)/(2*Inputs!$C$44^2))*EXP(-(((Model_Data!A89)-Inputs!$C$42)^2)/(2*Inputs!$C$45^2))+Inputs!$C$48*(0.70*(0.45*SIN(2*PI()*(((Model_Data!A89)/Inputs!$C$49)+Inputs!$C$47*0.137))+0.35*COS(2*PI()*(((0)/Inputs!$C$50)+Inputs!$C$47*0.173))+0.20*SIN(2*PI()*(((Model_Data!A89)+(0))/(0.5*(Inputs!$C$49+Inputs!$C$50))+Inputs!$C$47*0.097)))+0.30*(2*((SIN(((Model_Data!A89)*12.9898+(0)*78.233+Inputs!$C$47*37.719))*43758.5453)-INT((SIN(((Model_Data!A89)*12.9898+(0)*78.233+Inputs!$C$47*37.719))*43758.5453)))-1))))/1000)))*1000/Inputs!$C$12)-Model_Data!F89))-(-(((SQRT((Model_Data!A89)^2+Inputs!$C$6^2+(Inputs!$C$5-((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(0.45*SIN(2*PI()*(((Model_Data!A89)/Inputs!$C$49)+Inputs!$C$47*0.137))+0.35*COS(2*PI()*(((Inputs!$C$6)/Inputs!$C$50)+Inputs!$C$47*0.173))+0.20*SIN(2*PI()*(((Model_Data!A89)+(Inputs!$C$6))/(0.5*(Inputs!$C$49+Inputs!$C$50))+Inputs!$C$47*0.097)))+0.30*(2*((SIN(((Model_Data!A89)*12.9898+(Inputs!$C$6)*78.233+Inputs!$C$47*37.719))*43758.5453)-INT((SIN(((Model_Data!A89)*12.9898+(Inputs!$C$6)*78.233+Inputs!$C$47*37.719))*43758.5453)))-1))))/1000)^2)-(Inputs!$C$5-((Inputs!$C$51*(115*EXP(-(((0)-25)^2)/(4.5^2))+70*EXP(-(((0)+38)^2)/(7^2))*(0.55+0.45*SIN(2*PI()*(Model_Data!A89)/45))+24*SIN(2*PI()*(0)/9+(Model_Data!A89)/18)*EXP(-(((0)+5)^2)/(22^2))+18*SIN(2*PI()*(Model_Data!A89)/70))+Inputs!$C$28*EXP(-(((Model_Data!A89)-Inputs!$C$29)^2)/(2*Inputs!$C$31^2))*EXP(-(((0)-Inputs!$C$30)^2)/(2*Inputs!$C$32^2))+-Inputs!$C$33*EXP(-(((((Model_Data!A89)-Inputs!$C$34)^2)+(((0)-Inputs!$C$35)^2))/(2*Inputs!$C$36^2)))+Inputs!$C$37*(0.55*SIN(2*PI()*(Model_Data!A89)/Inputs!$C$39)+0.35*COS(2*PI()*(0)/Inputs!$C$40)+0.2*SIN(2*PI()*((Model_Data!A89)+(0))/(0.5*(Inputs!$C$39+Inputs!$C$40))))+Inputs!$C$38*SIN(2*PI()*(Model_Data!A89)/Inputs!$C$39)*SIN(2*PI()*(0)/Inputs!$C$40)+-Inputs!$C$41*EXP(-(((0)-Inputs!$C$43)^2)/(2*Inputs!$C$44^2))*EXP(-(((Model_Data!A89)-Inputs!$C$42)^2)/(2*Inputs!$C$45^2))+Inputs!$C$48*(0.70*(0.45*SIN(2*PI()*(((Model_Data!A89)/Inputs!$C$49)+Inputs!$C$47*0.137))+0.35*COS(2*PI()*(((0)/Inputs!$C$50)+Inputs!$C$47*0.173))+0.20*SIN(2*PI()*(((Model_Data!A89)+(0))/(0.5*(Inputs!$C$49+Inputs!$C$50))+Inputs!$C$47*0.097)))+0.30*(2*((SIN(((Model_Data!A89)*12.9898+(0)*78.233+Inputs!$C$47*37.719))*43758.5453)-INT((SIN(((Model_Data!A89)*12.9898+(0)*78.233+Inputs!$C$47*37.719))*43758.5453)))-1))))/1000))*1000/Inputs!$C$12)-((SQRT((Model_Data!A89)^2+Inputs!$C$6^2+Inputs!$C$5^2)-Inputs!$C$5)*1000/Inputs!$C$12)))</x:f>
        <x:v>0.0009149657850571202</x:v>
      </x:c>
      <x:c r="X89" s="48" t="n">
        <x:f>0</x:f>
        <x:v>0</x:v>
      </x:c>
      <x:c r="Y89" s="49"/>
      <x:c r="Z89" s="48" t="n">
        <x:f>Model_Data!A89</x:f>
        <x:v>-16.5</x:v>
      </x:c>
      <x:c r="AA89" s="48" t="n">
        <x:f>SQRT((Model_Data!A89)^2+Inputs!$C$6^2+((Model_Data!B89)-((Inputs!$C$51*(115*EXP(-(((Inputs!$C$6)-25)^2)/(4.5^2))+70*EXP(-(((Inputs!$C$6)+38)^2)/(7^2))*(0.55+0.45*SIN(2*PI()*(Model_Data!A89)/45))+24*SIN(2*PI()*(Inputs!$C$6)/9+(Model_Data!A89)/18)*EXP(-(((Inputs!$C$6)+5)^2)/(22^2))+18*SIN(2*PI()*(Model_Data!A89)/70))+Inputs!$C$28*EXP(-(((Model_Data!A89)-Inputs!$C$29)^2)/(2*Inputs!$C$31^2))*EXP(-(((Inputs!$C$6)-Inputs!$C$30)^2)/(2*Inputs!$C$32^2))+-Inputs!$C$33*EXP(-(((((Model_Data!A89)-Inputs!$C$34)^2)+(((Inputs!$C$6)-Inputs!$C$35)^2))/(2*Inputs!$C$36^2)))+Inputs!$C$37*(0.55*SIN(2*PI()*(Model_Data!A89)/Inputs!$C$39)+0.35*COS(2*PI()*(Inputs!$C$6)/Inputs!$C$40)+0.2*SIN(2*PI()*((Model_Data!A89)+(Inputs!$C$6))/(0.5*(Inputs!$C$39+Inputs!$C$40))))+Inputs!$C$38*SIN(2*PI()*(Model_Data!A89)/Inputs!$C$39)*SIN(2*PI()*(Inputs!$C$6)/Inputs!$C$40)+-Inputs!$C$41*EXP(-(((Inputs!$C$6)-Inputs!$C$43)^2)/(2*Inputs!$C$44^2))*EXP(-(((Model_Data!A89)-Inputs!$C$42)^2)/(2*Inputs!$C$45^2))+Inputs!$C$48*(0.70*(0.45*SIN(2*PI()*(((Model_Data!A89)/Inputs!$C$49)+Inputs!$C$47*0.137))+0.35*COS(2*PI()*(((Inputs!$C$6)/Inputs!$C$50)+Inputs!$C$47*0.173))+0.20*SIN(2*PI()*(((Model_Data!A89)+(Inputs!$C$6))/(0.5*(Inputs!$C$49+Inputs!$C$50))+Inputs!$C$47*0.097)))+0.30*(2*((SIN(((Model_Data!A89)*12.9898+(Inputs!$C$6)*78.233+Inputs!$C$47*37.719))*43758.5453)-INT((SIN(((Model_Data!A89)*12.9898+(Inputs!$C$6)*78.233+Inputs!$C$47*37.719))*43758.5453)))-1))))/1000)^2)</x:f>
        <x:v>401.03558779709493</x:v>
      </x:c>
      <x:c r="AB89" s="48" t="n">
        <x:f>1000*(AA90-AA88)/(Z90-Z88)*Inputs!$C$11</x:f>
        <x:v>-438.16794734948417</x:v>
      </x:c>
      <x:c r="AC89" s="48" t="n">
        <x:f>-2*AB89/Inputs!$C$13</x:f>
        <x:v>175.26717893979367</x:v>
      </x:c>
      <x:c r="AD89" s="48" t="n">
        <x:f>-2*AB89/Inputs!$C$14</x:f>
        <x:v>26.316393234203254</x:v>
      </x:c>
    </x:row>
    <x:row r="90">
      <x:c r="A90" s="48" t="n">
        <x:f>Model_Data!A90</x:f>
        <x:v>-16</x:v>
      </x:c>
      <x:c r="B90" s="48" t="n">
        <x:f>Model_Data!F90</x:f>
        <x:v>617.3926291322086</x:v>
      </x:c>
      <x:c r="C90" s="48" t="n">
        <x:f>(((SQRT((Model_Data!A90)^2+Inputs!$C$6^2+((Model_Data!B90)-((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(0.45*SIN(2*PI()*(((Model_Data!A90)/Inputs!$C$49)+Inputs!$C$47*0.137))+0.35*COS(2*PI()*(((Inputs!$C$6)/Inputs!$C$50)+Inputs!$C$47*0.173))+0.20*SIN(2*PI()*(((Model_Data!A90)+(Inputs!$C$6))/(0.5*(Inputs!$C$49+Inputs!$C$50))+Inputs!$C$47*0.097)))+0.30*(2*((SIN(((Model_Data!A90)*12.9898+(Inputs!$C$6)*78.233+Inputs!$C$47*37.719))*43758.5453)-INT((SIN(((Model_Data!A90)*12.9898+(Inputs!$C$6)*78.233+Inputs!$C$47*37.719))*43758.5453)))-1))))/1000)^2))-(((Model_Data!B90)-((Inputs!$C$51*(115*EXP(-(((0)-25)^2)/(4.5^2))+70*EXP(-(((0)+38)^2)/(7^2))*(0.55+0.45*SIN(2*PI()*(Model_Data!A90)/45))+24*SIN(2*PI()*(0)/9+(Model_Data!A90)/18)*EXP(-(((0)+5)^2)/(22^2))+18*SIN(2*PI()*(Model_Data!A90)/70))+Inputs!$C$28*EXP(-(((Model_Data!A90)-Inputs!$C$29)^2)/(2*Inputs!$C$31^2))*EXP(-(((0)-Inputs!$C$30)^2)/(2*Inputs!$C$32^2))+-Inputs!$C$33*EXP(-(((((Model_Data!A90)-Inputs!$C$34)^2)+(((0)-Inputs!$C$35)^2))/(2*Inputs!$C$36^2)))+Inputs!$C$37*(0.55*SIN(2*PI()*(Model_Data!A90)/Inputs!$C$39)+0.35*COS(2*PI()*(0)/Inputs!$C$40)+0.2*SIN(2*PI()*((Model_Data!A90)+(0))/(0.5*(Inputs!$C$39+Inputs!$C$40))))+Inputs!$C$38*SIN(2*PI()*(Model_Data!A90)/Inputs!$C$39)*SIN(2*PI()*(0)/Inputs!$C$40)+-Inputs!$C$41*EXP(-(((0)-Inputs!$C$43)^2)/(2*Inputs!$C$44^2))*EXP(-(((Model_Data!A90)-Inputs!$C$42)^2)/(2*Inputs!$C$45^2))+Inputs!$C$48*(0.70*(0.45*SIN(2*PI()*(((Model_Data!A90)/Inputs!$C$49)+Inputs!$C$47*0.137))+0.35*COS(2*PI()*(((0)/Inputs!$C$50)+Inputs!$C$47*0.173))+0.20*SIN(2*PI()*(((Model_Data!A90)+(0))/(0.5*(Inputs!$C$49+Inputs!$C$50))+Inputs!$C$47*0.097)))+0.30*(2*((SIN(((Model_Data!A90)*12.9898+(0)*78.233+Inputs!$C$47*37.719))*43758.5453)-INT((SIN(((Model_Data!A90)*12.9898+(0)*78.233+Inputs!$C$47*37.719))*43758.5453)))-1))))/1000)))*1000/Inputs!$C$12)</x:f>
        <x:v>331.07619631573726</x:v>
      </x:c>
      <x:c r="D90" s="49"/>
      <x:c r="E90" s="48" t="n">
        <x:f>Model_Data!A90</x:f>
        <x:v>-16</x:v>
      </x:c>
      <x:c r="F90" s="48" t="n">
        <x:f>(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(0.45*SIN(2*PI()*(((Model_Data!A90)/Inputs!$C$49)+Inputs!$C$47*0.137))+0.35*COS(2*PI()*(((Inputs!$C$6)/Inputs!$C$50)+Inputs!$C$47*0.173))+0.20*SIN(2*PI()*(((Model_Data!A90)+(Inputs!$C$6))/(0.5*(Inputs!$C$49+Inputs!$C$50))+Inputs!$C$47*0.097)))+0.30*(2*((SIN(((Model_Data!A90)*12.9898+(Inputs!$C$6)*78.233+Inputs!$C$47*37.719))*43758.5453)-INT((SIN(((Model_Data!A90)*12.9898+(Inputs!$C$6)*78.233+Inputs!$C$47*37.719))*43758.5453)))-1)))</x:f>
        <x:v>413.2956148642764</x:v>
      </x:c>
      <x:c r="G90" s="48" t="n">
        <x:f>(Inputs!$C$51*(115*EXP(-(((0)-25)^2)/(4.5^2))+70*EXP(-(((0)+38)^2)/(7^2))*(0.55+0.45*SIN(2*PI()*(Model_Data!A90)/45))+24*SIN(2*PI()*(0)/9+(Model_Data!A90)/18)*EXP(-(((0)+5)^2)/(22^2))+18*SIN(2*PI()*(Model_Data!A90)/70))+Inputs!$C$28*EXP(-(((Model_Data!A90)-Inputs!$C$29)^2)/(2*Inputs!$C$31^2))*EXP(-(((0)-Inputs!$C$30)^2)/(2*Inputs!$C$32^2))+-Inputs!$C$33*EXP(-(((((Model_Data!A90)-Inputs!$C$34)^2)+(((0)-Inputs!$C$35)^2))/(2*Inputs!$C$36^2)))+Inputs!$C$37*(0.55*SIN(2*PI()*(Model_Data!A90)/Inputs!$C$39)+0.35*COS(2*PI()*(0)/Inputs!$C$40)+0.2*SIN(2*PI()*((Model_Data!A90)+(0))/(0.5*(Inputs!$C$39+Inputs!$C$40))))+Inputs!$C$38*SIN(2*PI()*(Model_Data!A90)/Inputs!$C$39)*SIN(2*PI()*(0)/Inputs!$C$40)+-Inputs!$C$41*EXP(-(((0)-Inputs!$C$43)^2)/(2*Inputs!$C$44^2))*EXP(-(((Model_Data!A90)-Inputs!$C$42)^2)/(2*Inputs!$C$45^2))+Inputs!$C$48*(0.70*(0.45*SIN(2*PI()*(((Model_Data!A90)/Inputs!$C$49)+Inputs!$C$47*0.137))+0.35*COS(2*PI()*(((0)/Inputs!$C$50)+Inputs!$C$47*0.173))+0.20*SIN(2*PI()*(((Model_Data!A90)+(0))/(0.5*(Inputs!$C$49+Inputs!$C$50))+Inputs!$C$47*0.097)))+0.30*(2*((SIN(((Model_Data!A90)*12.9898+(0)*78.233+Inputs!$C$47*37.719))*43758.5453)-INT((SIN(((Model_Data!A90)*12.9898+(0)*78.233+Inputs!$C$47*37.719))*43758.5453)))-1)))</x:f>
        <x:v>-97.48037396441562</x:v>
      </x:c>
      <x:c r="H90" s="49"/>
      <x:c r="I90" s="48" t="n">
        <x:f>Model_Data!A90</x:f>
        <x:v>-16</x:v>
      </x:c>
      <x:c r="J90" s="48" t="n">
        <x:f>((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(0.45*SIN(2*PI()*(((Model_Data!A90)/Inputs!$C$49)+Inputs!$C$47*0.137))+0.35*COS(2*PI()*(((Inputs!$C$6)/Inputs!$C$50)+Inputs!$C$47*0.173))+0.20*SIN(2*PI()*(((Model_Data!A90)+(Inputs!$C$6))/(0.5*(Inputs!$C$49+Inputs!$C$50))+Inputs!$C$47*0.097)))+0.30*(2*((SIN(((Model_Data!A90)*12.9898+(Inputs!$C$6)*78.233+Inputs!$C$47*37.719))*43758.5453)-INT((SIN(((Model_Data!A90)*12.9898+(Inputs!$C$6)*78.233+Inputs!$C$47*37.719))*43758.5453)))-1))))-((Inputs!$C$51*(115*EXP(-(((0)-25)^2)/(4.5^2))+70*EXP(-(((0)+38)^2)/(7^2))*(0.55+0.45*SIN(2*PI()*(Model_Data!A90)/45))+24*SIN(2*PI()*(0)/9+(Model_Data!A90)/18)*EXP(-(((0)+5)^2)/(22^2))+18*SIN(2*PI()*(Model_Data!A90)/70))+Inputs!$C$28*EXP(-(((Model_Data!A90)-Inputs!$C$29)^2)/(2*Inputs!$C$31^2))*EXP(-(((0)-Inputs!$C$30)^2)/(2*Inputs!$C$32^2))+-Inputs!$C$33*EXP(-(((((Model_Data!A90)-Inputs!$C$34)^2)+(((0)-Inputs!$C$35)^2))/(2*Inputs!$C$36^2)))+Inputs!$C$37*(0.55*SIN(2*PI()*(Model_Data!A90)/Inputs!$C$39)+0.35*COS(2*PI()*(0)/Inputs!$C$40)+0.2*SIN(2*PI()*((Model_Data!A90)+(0))/(0.5*(Inputs!$C$39+Inputs!$C$40))))+Inputs!$C$38*SIN(2*PI()*(Model_Data!A90)/Inputs!$C$39)*SIN(2*PI()*(0)/Inputs!$C$40)+-Inputs!$C$41*EXP(-(((0)-Inputs!$C$43)^2)/(2*Inputs!$C$44^2))*EXP(-(((Model_Data!A90)-Inputs!$C$42)^2)/(2*Inputs!$C$45^2))+Inputs!$C$48*(0.70*(0.45*SIN(2*PI()*(((Model_Data!A90)/Inputs!$C$49)+Inputs!$C$47*0.137))+0.35*COS(2*PI()*(((0)/Inputs!$C$50)+Inputs!$C$47*0.173))+0.20*SIN(2*PI()*(((Model_Data!A90)+(0))/(0.5*(Inputs!$C$49+Inputs!$C$50))+Inputs!$C$47*0.097)))+0.30*(2*((SIN(((Model_Data!A90)*12.9898+(0)*78.233+Inputs!$C$47*37.719))*43758.5453)-INT((SIN(((Model_Data!A90)*12.9898+(0)*78.233+Inputs!$C$47*37.719))*43758.5453)))-1))))</x:f>
        <x:v>510.775988828692</x:v>
      </x:c>
      <x:c r="K90" s="48" t="n">
        <x:f>-((((SQRT((Model_Data!A90)^2+Inputs!$C$6^2+((Model_Data!B90)-((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(0.45*SIN(2*PI()*(((Model_Data!A90)/Inputs!$C$49)+Inputs!$C$47*0.137))+0.35*COS(2*PI()*(((Inputs!$C$6)/Inputs!$C$50)+Inputs!$C$47*0.173))+0.20*SIN(2*PI()*(((Model_Data!A90)+(Inputs!$C$6))/(0.5*(Inputs!$C$49+Inputs!$C$50))+Inputs!$C$47*0.097)))+0.30*(2*((SIN(((Model_Data!A90)*12.9898+(Inputs!$C$6)*78.233+Inputs!$C$47*37.719))*43758.5453)-INT((SIN(((Model_Data!A90)*12.9898+(Inputs!$C$6)*78.233+Inputs!$C$47*37.719))*43758.5453)))-1))))/1000)^2))-(((Model_Data!B90)-((Inputs!$C$51*(115*EXP(-(((0)-25)^2)/(4.5^2))+70*EXP(-(((0)+38)^2)/(7^2))*(0.55+0.45*SIN(2*PI()*(Model_Data!A90)/45))+24*SIN(2*PI()*(0)/9+(Model_Data!A90)/18)*EXP(-(((0)+5)^2)/(22^2))+18*SIN(2*PI()*(Model_Data!A90)/70))+Inputs!$C$28*EXP(-(((Model_Data!A90)-Inputs!$C$29)^2)/(2*Inputs!$C$31^2))*EXP(-(((0)-Inputs!$C$30)^2)/(2*Inputs!$C$32^2))+-Inputs!$C$33*EXP(-(((((Model_Data!A90)-Inputs!$C$34)^2)+(((0)-Inputs!$C$35)^2))/(2*Inputs!$C$36^2)))+Inputs!$C$37*(0.55*SIN(2*PI()*(Model_Data!A90)/Inputs!$C$39)+0.35*COS(2*PI()*(0)/Inputs!$C$40)+0.2*SIN(2*PI()*((Model_Data!A90)+(0))/(0.5*(Inputs!$C$39+Inputs!$C$40))))+Inputs!$C$38*SIN(2*PI()*(Model_Data!A90)/Inputs!$C$39)*SIN(2*PI()*(0)/Inputs!$C$40)+-Inputs!$C$41*EXP(-(((0)-Inputs!$C$43)^2)/(2*Inputs!$C$44^2))*EXP(-(((Model_Data!A90)-Inputs!$C$42)^2)/(2*Inputs!$C$45^2))+Inputs!$C$48*(0.70*(0.45*SIN(2*PI()*(((Model_Data!A90)/Inputs!$C$49)+Inputs!$C$47*0.137))+0.35*COS(2*PI()*(((0)/Inputs!$C$50)+Inputs!$C$47*0.173))+0.20*SIN(2*PI()*(((Model_Data!A90)+(0))/(0.5*(Inputs!$C$49+Inputs!$C$50))+Inputs!$C$47*0.097)))+0.30*(2*((SIN(((Model_Data!A90)*12.9898+(0)*78.233+Inputs!$C$47*37.719))*43758.5453)-INT((SIN(((Model_Data!A90)*12.9898+(0)*78.233+Inputs!$C$47*37.719))*43758.5453)))-1))))/1000)))*1000/Inputs!$C$12)-Model_Data!F90)</x:f>
        <x:v>286.3164328164714</x:v>
      </x:c>
      <x:c r="L90" s="49"/>
      <x:c r="M90" s="48" t="n">
        <x:f>Model_Data!A90</x:f>
        <x:v>-16</x:v>
      </x:c>
      <x:c r="N90" s="48" t="n">
        <x:f>Model_Data!P90</x:f>
        <x:v>120.5125495556886</x:v>
      </x:c>
      <x:c r="O90" s="48" t="n">
        <x:f>AC90</x:f>
        <x:v>149.3537428842501</x:v>
      </x:c>
      <x:c r="P90" s="48" t="n">
        <x:f>Model_Data!Q90</x:f>
        <x:v>18.094977410764052</x:v>
      </x:c>
      <x:c r="Q90" s="48" t="n">
        <x:f>AD90</x:f>
        <x:v>22.425486919557073</x:v>
      </x:c>
      <x:c r="R90" s="49"/>
      <x:c r="S90" s="48" t="n">
        <x:f>Model_Data!A90</x:f>
        <x:v>-16</x:v>
      </x:c>
      <x:c r="T90" s="48" t="n">
        <x:f>Model_Data!B90-Inputs!$C$5</x:f>
        <x:v>0.28444444444443207</x:v>
      </x:c>
      <x:c r="U90" s="49"/>
      <x:c r="V90" s="48" t="n">
        <x:f>Model_Data!A90</x:f>
        <x:v>-16</x:v>
      </x:c>
      <x:c r="W90" s="48" t="n">
        <x:f>(-((((SQRT((Model_Data!A90)^2+Inputs!$C$6^2+((Model_Data!B90)-((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(0.45*SIN(2*PI()*(((Model_Data!A90)/Inputs!$C$49)+Inputs!$C$47*0.137))+0.35*COS(2*PI()*(((Inputs!$C$6)/Inputs!$C$50)+Inputs!$C$47*0.173))+0.20*SIN(2*PI()*(((Model_Data!A90)+(Inputs!$C$6))/(0.5*(Inputs!$C$49+Inputs!$C$50))+Inputs!$C$47*0.097)))+0.30*(2*((SIN(((Model_Data!A90)*12.9898+(Inputs!$C$6)*78.233+Inputs!$C$47*37.719))*43758.5453)-INT((SIN(((Model_Data!A90)*12.9898+(Inputs!$C$6)*78.233+Inputs!$C$47*37.719))*43758.5453)))-1))))/1000)^2))-(((Model_Data!B90)-((Inputs!$C$51*(115*EXP(-(((0)-25)^2)/(4.5^2))+70*EXP(-(((0)+38)^2)/(7^2))*(0.55+0.45*SIN(2*PI()*(Model_Data!A90)/45))+24*SIN(2*PI()*(0)/9+(Model_Data!A90)/18)*EXP(-(((0)+5)^2)/(22^2))+18*SIN(2*PI()*(Model_Data!A90)/70))+Inputs!$C$28*EXP(-(((Model_Data!A90)-Inputs!$C$29)^2)/(2*Inputs!$C$31^2))*EXP(-(((0)-Inputs!$C$30)^2)/(2*Inputs!$C$32^2))+-Inputs!$C$33*EXP(-(((((Model_Data!A90)-Inputs!$C$34)^2)+(((0)-Inputs!$C$35)^2))/(2*Inputs!$C$36^2)))+Inputs!$C$37*(0.55*SIN(2*PI()*(Model_Data!A90)/Inputs!$C$39)+0.35*COS(2*PI()*(0)/Inputs!$C$40)+0.2*SIN(2*PI()*((Model_Data!A90)+(0))/(0.5*(Inputs!$C$39+Inputs!$C$40))))+Inputs!$C$38*SIN(2*PI()*(Model_Data!A90)/Inputs!$C$39)*SIN(2*PI()*(0)/Inputs!$C$40)+-Inputs!$C$41*EXP(-(((0)-Inputs!$C$43)^2)/(2*Inputs!$C$44^2))*EXP(-(((Model_Data!A90)-Inputs!$C$42)^2)/(2*Inputs!$C$45^2))+Inputs!$C$48*(0.70*(0.45*SIN(2*PI()*(((Model_Data!A90)/Inputs!$C$49)+Inputs!$C$47*0.137))+0.35*COS(2*PI()*(((0)/Inputs!$C$50)+Inputs!$C$47*0.173))+0.20*SIN(2*PI()*(((Model_Data!A90)+(0))/(0.5*(Inputs!$C$49+Inputs!$C$50))+Inputs!$C$47*0.097)))+0.30*(2*((SIN(((Model_Data!A90)*12.9898+(0)*78.233+Inputs!$C$47*37.719))*43758.5453)-INT((SIN(((Model_Data!A90)*12.9898+(0)*78.233+Inputs!$C$47*37.719))*43758.5453)))-1))))/1000)))*1000/Inputs!$C$12)-Model_Data!F90))-(-(((SQRT((Model_Data!A90)^2+Inputs!$C$6^2+(Inputs!$C$5-((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(0.45*SIN(2*PI()*(((Model_Data!A90)/Inputs!$C$49)+Inputs!$C$47*0.137))+0.35*COS(2*PI()*(((Inputs!$C$6)/Inputs!$C$50)+Inputs!$C$47*0.173))+0.20*SIN(2*PI()*(((Model_Data!A90)+(Inputs!$C$6))/(0.5*(Inputs!$C$49+Inputs!$C$50))+Inputs!$C$47*0.097)))+0.30*(2*((SIN(((Model_Data!A90)*12.9898+(Inputs!$C$6)*78.233+Inputs!$C$47*37.719))*43758.5453)-INT((SIN(((Model_Data!A90)*12.9898+(Inputs!$C$6)*78.233+Inputs!$C$47*37.719))*43758.5453)))-1))))/1000)^2)-(Inputs!$C$5-((Inputs!$C$51*(115*EXP(-(((0)-25)^2)/(4.5^2))+70*EXP(-(((0)+38)^2)/(7^2))*(0.55+0.45*SIN(2*PI()*(Model_Data!A90)/45))+24*SIN(2*PI()*(0)/9+(Model_Data!A90)/18)*EXP(-(((0)+5)^2)/(22^2))+18*SIN(2*PI()*(Model_Data!A90)/70))+Inputs!$C$28*EXP(-(((Model_Data!A90)-Inputs!$C$29)^2)/(2*Inputs!$C$31^2))*EXP(-(((0)-Inputs!$C$30)^2)/(2*Inputs!$C$32^2))+-Inputs!$C$33*EXP(-(((((Model_Data!A90)-Inputs!$C$34)^2)+(((0)-Inputs!$C$35)^2))/(2*Inputs!$C$36^2)))+Inputs!$C$37*(0.55*SIN(2*PI()*(Model_Data!A90)/Inputs!$C$39)+0.35*COS(2*PI()*(0)/Inputs!$C$40)+0.2*SIN(2*PI()*((Model_Data!A90)+(0))/(0.5*(Inputs!$C$39+Inputs!$C$40))))+Inputs!$C$38*SIN(2*PI()*(Model_Data!A90)/Inputs!$C$39)*SIN(2*PI()*(0)/Inputs!$C$40)+-Inputs!$C$41*EXP(-(((0)-Inputs!$C$43)^2)/(2*Inputs!$C$44^2))*EXP(-(((Model_Data!A90)-Inputs!$C$42)^2)/(2*Inputs!$C$45^2))+Inputs!$C$48*(0.70*(0.45*SIN(2*PI()*(((Model_Data!A90)/Inputs!$C$49)+Inputs!$C$47*0.137))+0.35*COS(2*PI()*(((0)/Inputs!$C$50)+Inputs!$C$47*0.173))+0.20*SIN(2*PI()*(((Model_Data!A90)+(0))/(0.5*(Inputs!$C$49+Inputs!$C$50))+Inputs!$C$47*0.097)))+0.30*(2*((SIN(((Model_Data!A90)*12.9898+(0)*78.233+Inputs!$C$47*37.719))*43758.5453)-INT((SIN(((Model_Data!A90)*12.9898+(0)*78.233+Inputs!$C$47*37.719))*43758.5453)))-1))))/1000))*1000/Inputs!$C$12)-((SQRT((Model_Data!A90)^2+Inputs!$C$6^2+Inputs!$C$5^2)-Inputs!$C$5)*1000/Inputs!$C$12)))</x:f>
        <x:v>0.000902123643129471</x:v>
      </x:c>
      <x:c r="X90" s="48" t="n">
        <x:f>0</x:f>
        <x:v>0</x:v>
      </x:c>
      <x:c r="Y90" s="49"/>
      <x:c r="Z90" s="48" t="n">
        <x:f>Model_Data!A90</x:f>
        <x:v>-16</x:v>
      </x:c>
      <x:c r="AA90" s="48" t="n">
        <x:f>SQRT((Model_Data!A90)^2+Inputs!$C$6^2+((Model_Data!B90)-((Inputs!$C$51*(115*EXP(-(((Inputs!$C$6)-25)^2)/(4.5^2))+70*EXP(-(((Inputs!$C$6)+38)^2)/(7^2))*(0.55+0.45*SIN(2*PI()*(Model_Data!A90)/45))+24*SIN(2*PI()*(Inputs!$C$6)/9+(Model_Data!A90)/18)*EXP(-(((Inputs!$C$6)+5)^2)/(22^2))+18*SIN(2*PI()*(Model_Data!A90)/70))+Inputs!$C$28*EXP(-(((Model_Data!A90)-Inputs!$C$29)^2)/(2*Inputs!$C$31^2))*EXP(-(((Inputs!$C$6)-Inputs!$C$30)^2)/(2*Inputs!$C$32^2))+-Inputs!$C$33*EXP(-(((((Model_Data!A90)-Inputs!$C$34)^2)+(((Inputs!$C$6)-Inputs!$C$35)^2))/(2*Inputs!$C$36^2)))+Inputs!$C$37*(0.55*SIN(2*PI()*(Model_Data!A90)/Inputs!$C$39)+0.35*COS(2*PI()*(Inputs!$C$6)/Inputs!$C$40)+0.2*SIN(2*PI()*((Model_Data!A90)+(Inputs!$C$6))/(0.5*(Inputs!$C$39+Inputs!$C$40))))+Inputs!$C$38*SIN(2*PI()*(Model_Data!A90)/Inputs!$C$39)*SIN(2*PI()*(Inputs!$C$6)/Inputs!$C$40)+-Inputs!$C$41*EXP(-(((Inputs!$C$6)-Inputs!$C$43)^2)/(2*Inputs!$C$44^2))*EXP(-(((Model_Data!A90)-Inputs!$C$42)^2)/(2*Inputs!$C$45^2))+Inputs!$C$48*(0.70*(0.45*SIN(2*PI()*(((Model_Data!A90)/Inputs!$C$49)+Inputs!$C$47*0.137))+0.35*COS(2*PI()*(((Inputs!$C$6)/Inputs!$C$50)+Inputs!$C$47*0.173))+0.20*SIN(2*PI()*(((Model_Data!A90)+(Inputs!$C$6))/(0.5*(Inputs!$C$49+Inputs!$C$50))+Inputs!$C$47*0.097)))+0.30*(2*((SIN(((Model_Data!A90)*12.9898+(Inputs!$C$6)*78.233+Inputs!$C$47*37.719))*43758.5453)-INT((SIN(((Model_Data!A90)*12.9898+(Inputs!$C$6)*78.233+Inputs!$C$47*37.719))*43758.5453)))-1))))/1000)^2)</x:f>
        <x:v>400.97124044785085</x:v>
      </x:c>
      <x:c r="AB90" s="48" t="n">
        <x:f>1000*(AA91-AA89)/(Z91-Z89)*Inputs!$C$11</x:f>
        <x:v>-373.38435721062524</x:v>
      </x:c>
      <x:c r="AC90" s="48" t="n">
        <x:f>-2*AB90/Inputs!$C$13</x:f>
        <x:v>149.3537428842501</x:v>
      </x:c>
      <x:c r="AD90" s="48" t="n">
        <x:f>-2*AB90/Inputs!$C$14</x:f>
        <x:v>22.425486919557073</x:v>
      </x:c>
    </x:row>
    <x:row r="91">
      <x:c r="A91" s="48" t="n">
        <x:f>Model_Data!A91</x:f>
        <x:v>-15.5</x:v>
      </x:c>
      <x:c r="B91" s="48" t="n">
        <x:f>Model_Data!F91</x:f>
        <x:v>606.3965267989187</x:v>
      </x:c>
      <x:c r="C91" s="48" t="n">
        <x:f>(((SQRT((Model_Data!A91)^2+Inputs!$C$6^2+((Model_Data!B91)-((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(0.45*SIN(2*PI()*(((Model_Data!A91)/Inputs!$C$49)+Inputs!$C$47*0.137))+0.35*COS(2*PI()*(((Inputs!$C$6)/Inputs!$C$50)+Inputs!$C$47*0.173))+0.20*SIN(2*PI()*(((Model_Data!A91)+(Inputs!$C$6))/(0.5*(Inputs!$C$49+Inputs!$C$50))+Inputs!$C$47*0.097)))+0.30*(2*((SIN(((Model_Data!A91)*12.9898+(Inputs!$C$6)*78.233+Inputs!$C$47*37.719))*43758.5453)-INT((SIN(((Model_Data!A91)*12.9898+(Inputs!$C$6)*78.233+Inputs!$C$47*37.719))*43758.5453)))-1))))/1000)^2))-(((Model_Data!B91)-((Inputs!$C$51*(115*EXP(-(((0)-25)^2)/(4.5^2))+70*EXP(-(((0)+38)^2)/(7^2))*(0.55+0.45*SIN(2*PI()*(Model_Data!A91)/45))+24*SIN(2*PI()*(0)/9+(Model_Data!A91)/18)*EXP(-(((0)+5)^2)/(22^2))+18*SIN(2*PI()*(Model_Data!A91)/70))+Inputs!$C$28*EXP(-(((Model_Data!A91)-Inputs!$C$29)^2)/(2*Inputs!$C$31^2))*EXP(-(((0)-Inputs!$C$30)^2)/(2*Inputs!$C$32^2))+-Inputs!$C$33*EXP(-(((((Model_Data!A91)-Inputs!$C$34)^2)+(((0)-Inputs!$C$35)^2))/(2*Inputs!$C$36^2)))+Inputs!$C$37*(0.55*SIN(2*PI()*(Model_Data!A91)/Inputs!$C$39)+0.35*COS(2*PI()*(0)/Inputs!$C$40)+0.2*SIN(2*PI()*((Model_Data!A91)+(0))/(0.5*(Inputs!$C$39+Inputs!$C$40))))+Inputs!$C$38*SIN(2*PI()*(Model_Data!A91)/Inputs!$C$39)*SIN(2*PI()*(0)/Inputs!$C$40)+-Inputs!$C$41*EXP(-(((0)-Inputs!$C$43)^2)/(2*Inputs!$C$44^2))*EXP(-(((Model_Data!A91)-Inputs!$C$42)^2)/(2*Inputs!$C$45^2))+Inputs!$C$48*(0.70*(0.45*SIN(2*PI()*(((Model_Data!A91)/Inputs!$C$49)+Inputs!$C$47*0.137))+0.35*COS(2*PI()*(((0)/Inputs!$C$50)+Inputs!$C$47*0.173))+0.20*SIN(2*PI()*(((Model_Data!A91)+(0))/(0.5*(Inputs!$C$49+Inputs!$C$50))+Inputs!$C$47*0.097)))+0.30*(2*((SIN(((Model_Data!A91)*12.9898+(0)*78.233+Inputs!$C$47*37.719))*43758.5453)-INT((SIN(((Model_Data!A91)*12.9898+(0)*78.233+Inputs!$C$47*37.719))*43758.5453)))-1))))/1000)))*1000/Inputs!$C$12)</x:f>
        <x:v>317.966367206256</x:v>
      </x:c>
      <x:c r="D91" s="49"/>
      <x:c r="E91" s="48" t="n">
        <x:f>Model_Data!A91</x:f>
        <x:v>-15.5</x:v>
      </x:c>
      <x:c r="F91" s="48" t="n">
        <x:f>(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(0.45*SIN(2*PI()*(((Model_Data!A91)/Inputs!$C$49)+Inputs!$C$47*0.137))+0.35*COS(2*PI()*(((Inputs!$C$6)/Inputs!$C$50)+Inputs!$C$47*0.173))+0.20*SIN(2*PI()*(((Model_Data!A91)+(Inputs!$C$6))/(0.5*(Inputs!$C$49+Inputs!$C$50))+Inputs!$C$47*0.097)))+0.30*(2*((SIN(((Model_Data!A91)*12.9898+(Inputs!$C$6)*78.233+Inputs!$C$47*37.719))*43758.5453)-INT((SIN(((Model_Data!A91)*12.9898+(Inputs!$C$6)*78.233+Inputs!$C$47*37.719))*43758.5453)))-1)))</x:f>
        <x:v>405.1793484681727</x:v>
      </x:c>
      <x:c r="G91" s="48" t="n">
        <x:f>(Inputs!$C$51*(115*EXP(-(((0)-25)^2)/(4.5^2))+70*EXP(-(((0)+38)^2)/(7^2))*(0.55+0.45*SIN(2*PI()*(Model_Data!A91)/45))+24*SIN(2*PI()*(0)/9+(Model_Data!A91)/18)*EXP(-(((0)+5)^2)/(22^2))+18*SIN(2*PI()*(Model_Data!A91)/70))+Inputs!$C$28*EXP(-(((Model_Data!A91)-Inputs!$C$29)^2)/(2*Inputs!$C$31^2))*EXP(-(((0)-Inputs!$C$30)^2)/(2*Inputs!$C$32^2))+-Inputs!$C$33*EXP(-(((((Model_Data!A91)-Inputs!$C$34)^2)+(((0)-Inputs!$C$35)^2))/(2*Inputs!$C$36^2)))+Inputs!$C$37*(0.55*SIN(2*PI()*(Model_Data!A91)/Inputs!$C$39)+0.35*COS(2*PI()*(0)/Inputs!$C$40)+0.2*SIN(2*PI()*((Model_Data!A91)+(0))/(0.5*(Inputs!$C$39+Inputs!$C$40))))+Inputs!$C$38*SIN(2*PI()*(Model_Data!A91)/Inputs!$C$39)*SIN(2*PI()*(0)/Inputs!$C$40)+-Inputs!$C$41*EXP(-(((0)-Inputs!$C$43)^2)/(2*Inputs!$C$44^2))*EXP(-(((Model_Data!A91)-Inputs!$C$42)^2)/(2*Inputs!$C$45^2))+Inputs!$C$48*(0.70*(0.45*SIN(2*PI()*(((Model_Data!A91)/Inputs!$C$49)+Inputs!$C$47*0.137))+0.35*COS(2*PI()*(((0)/Inputs!$C$50)+Inputs!$C$47*0.173))+0.20*SIN(2*PI()*(((Model_Data!A91)+(0))/(0.5*(Inputs!$C$49+Inputs!$C$50))+Inputs!$C$47*0.097)))+0.30*(2*((SIN(((Model_Data!A91)*12.9898+(0)*78.233+Inputs!$C$47*37.719))*43758.5453)-INT((SIN(((Model_Data!A91)*12.9898+(0)*78.233+Inputs!$C$47*37.719))*43758.5453)))-1)))</x:f>
        <x:v>-109.31712972071381</x:v>
      </x:c>
      <x:c r="H91" s="49"/>
      <x:c r="I91" s="48" t="n">
        <x:f>Model_Data!A91</x:f>
        <x:v>-15.5</x:v>
      </x:c>
      <x:c r="J91" s="48" t="n">
        <x:f>((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(0.45*SIN(2*PI()*(((Model_Data!A91)/Inputs!$C$49)+Inputs!$C$47*0.137))+0.35*COS(2*PI()*(((Inputs!$C$6)/Inputs!$C$50)+Inputs!$C$47*0.173))+0.20*SIN(2*PI()*(((Model_Data!A91)+(Inputs!$C$6))/(0.5*(Inputs!$C$49+Inputs!$C$50))+Inputs!$C$47*0.097)))+0.30*(2*((SIN(((Model_Data!A91)*12.9898+(Inputs!$C$6)*78.233+Inputs!$C$47*37.719))*43758.5453)-INT((SIN(((Model_Data!A91)*12.9898+(Inputs!$C$6)*78.233+Inputs!$C$47*37.719))*43758.5453)))-1))))-((Inputs!$C$51*(115*EXP(-(((0)-25)^2)/(4.5^2))+70*EXP(-(((0)+38)^2)/(7^2))*(0.55+0.45*SIN(2*PI()*(Model_Data!A91)/45))+24*SIN(2*PI()*(0)/9+(Model_Data!A91)/18)*EXP(-(((0)+5)^2)/(22^2))+18*SIN(2*PI()*(Model_Data!A91)/70))+Inputs!$C$28*EXP(-(((Model_Data!A91)-Inputs!$C$29)^2)/(2*Inputs!$C$31^2))*EXP(-(((0)-Inputs!$C$30)^2)/(2*Inputs!$C$32^2))+-Inputs!$C$33*EXP(-(((((Model_Data!A91)-Inputs!$C$34)^2)+(((0)-Inputs!$C$35)^2))/(2*Inputs!$C$36^2)))+Inputs!$C$37*(0.55*SIN(2*PI()*(Model_Data!A91)/Inputs!$C$39)+0.35*COS(2*PI()*(0)/Inputs!$C$40)+0.2*SIN(2*PI()*((Model_Data!A91)+(0))/(0.5*(Inputs!$C$39+Inputs!$C$40))))+Inputs!$C$38*SIN(2*PI()*(Model_Data!A91)/Inputs!$C$39)*SIN(2*PI()*(0)/Inputs!$C$40)+-Inputs!$C$41*EXP(-(((0)-Inputs!$C$43)^2)/(2*Inputs!$C$44^2))*EXP(-(((Model_Data!A91)-Inputs!$C$42)^2)/(2*Inputs!$C$45^2))+Inputs!$C$48*(0.70*(0.45*SIN(2*PI()*(((Model_Data!A91)/Inputs!$C$49)+Inputs!$C$47*0.137))+0.35*COS(2*PI()*(((0)/Inputs!$C$50)+Inputs!$C$47*0.173))+0.20*SIN(2*PI()*(((Model_Data!A91)+(0))/(0.5*(Inputs!$C$49+Inputs!$C$50))+Inputs!$C$47*0.097)))+0.30*(2*((SIN(((Model_Data!A91)*12.9898+(0)*78.233+Inputs!$C$47*37.719))*43758.5453)-INT((SIN(((Model_Data!A91)*12.9898+(0)*78.233+Inputs!$C$47*37.719))*43758.5453)))-1))))</x:f>
        <x:v>514.4964781888865</x:v>
      </x:c>
      <x:c r="K91" s="48" t="n">
        <x:f>-((((SQRT((Model_Data!A91)^2+Inputs!$C$6^2+((Model_Data!B91)-((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(0.45*SIN(2*PI()*(((Model_Data!A91)/Inputs!$C$49)+Inputs!$C$47*0.137))+0.35*COS(2*PI()*(((Inputs!$C$6)/Inputs!$C$50)+Inputs!$C$47*0.173))+0.20*SIN(2*PI()*(((Model_Data!A91)+(Inputs!$C$6))/(0.5*(Inputs!$C$49+Inputs!$C$50))+Inputs!$C$47*0.097)))+0.30*(2*((SIN(((Model_Data!A91)*12.9898+(Inputs!$C$6)*78.233+Inputs!$C$47*37.719))*43758.5453)-INT((SIN(((Model_Data!A91)*12.9898+(Inputs!$C$6)*78.233+Inputs!$C$47*37.719))*43758.5453)))-1))))/1000)^2))-(((Model_Data!B91)-((Inputs!$C$51*(115*EXP(-(((0)-25)^2)/(4.5^2))+70*EXP(-(((0)+38)^2)/(7^2))*(0.55+0.45*SIN(2*PI()*(Model_Data!A91)/45))+24*SIN(2*PI()*(0)/9+(Model_Data!A91)/18)*EXP(-(((0)+5)^2)/(22^2))+18*SIN(2*PI()*(Model_Data!A91)/70))+Inputs!$C$28*EXP(-(((Model_Data!A91)-Inputs!$C$29)^2)/(2*Inputs!$C$31^2))*EXP(-(((0)-Inputs!$C$30)^2)/(2*Inputs!$C$32^2))+-Inputs!$C$33*EXP(-(((((Model_Data!A91)-Inputs!$C$34)^2)+(((0)-Inputs!$C$35)^2))/(2*Inputs!$C$36^2)))+Inputs!$C$37*(0.55*SIN(2*PI()*(Model_Data!A91)/Inputs!$C$39)+0.35*COS(2*PI()*(0)/Inputs!$C$40)+0.2*SIN(2*PI()*((Model_Data!A91)+(0))/(0.5*(Inputs!$C$39+Inputs!$C$40))))+Inputs!$C$38*SIN(2*PI()*(Model_Data!A91)/Inputs!$C$39)*SIN(2*PI()*(0)/Inputs!$C$40)+-Inputs!$C$41*EXP(-(((0)-Inputs!$C$43)^2)/(2*Inputs!$C$44^2))*EXP(-(((Model_Data!A91)-Inputs!$C$42)^2)/(2*Inputs!$C$45^2))+Inputs!$C$48*(0.70*(0.45*SIN(2*PI()*(((Model_Data!A91)/Inputs!$C$49)+Inputs!$C$47*0.137))+0.35*COS(2*PI()*(((0)/Inputs!$C$50)+Inputs!$C$47*0.173))+0.20*SIN(2*PI()*(((Model_Data!A91)+(0))/(0.5*(Inputs!$C$49+Inputs!$C$50))+Inputs!$C$47*0.097)))+0.30*(2*((SIN(((Model_Data!A91)*12.9898+(0)*78.233+Inputs!$C$47*37.719))*43758.5453)-INT((SIN(((Model_Data!A91)*12.9898+(0)*78.233+Inputs!$C$47*37.719))*43758.5453)))-1))))/1000)))*1000/Inputs!$C$12)-Model_Data!F91)</x:f>
        <x:v>288.4301595926627</x:v>
      </x:c>
      <x:c r="L91" s="49"/>
      <x:c r="M91" s="48" t="n">
        <x:f>Model_Data!A91</x:f>
        <x:v>-15.5</x:v>
      </x:c>
      <x:c r="N91" s="48" t="n">
        <x:f>Model_Data!P91</x:f>
        <x:v>116.754913440409</x:v>
      </x:c>
      <x:c r="O91" s="48" t="n">
        <x:f>AC91</x:f>
        <x:v>122.13927358234287</x:v>
      </x:c>
      <x:c r="P91" s="48" t="n">
        <x:f>Model_Data!Q91</x:f>
        <x:v>17.530767783845196</x:v>
      </x:c>
      <x:c r="Q91" s="48" t="n">
        <x:f>AD91</x:f>
        <x:v>18.33923026761905</x:v>
      </x:c>
      <x:c r="R91" s="49"/>
      <x:c r="S91" s="48" t="n">
        <x:f>Model_Data!A91</x:f>
        <x:v>-15.5</x:v>
      </x:c>
      <x:c r="T91" s="48" t="n">
        <x:f>Model_Data!B91-Inputs!$C$5</x:f>
        <x:v>0.266944444444448</x:v>
      </x:c>
      <x:c r="U91" s="49"/>
      <x:c r="V91" s="48" t="n">
        <x:f>Model_Data!A91</x:f>
        <x:v>-15.5</x:v>
      </x:c>
      <x:c r="W91" s="48" t="n">
        <x:f>(-((((SQRT((Model_Data!A91)^2+Inputs!$C$6^2+((Model_Data!B91)-((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(0.45*SIN(2*PI()*(((Model_Data!A91)/Inputs!$C$49)+Inputs!$C$47*0.137))+0.35*COS(2*PI()*(((Inputs!$C$6)/Inputs!$C$50)+Inputs!$C$47*0.173))+0.20*SIN(2*PI()*(((Model_Data!A91)+(Inputs!$C$6))/(0.5*(Inputs!$C$49+Inputs!$C$50))+Inputs!$C$47*0.097)))+0.30*(2*((SIN(((Model_Data!A91)*12.9898+(Inputs!$C$6)*78.233+Inputs!$C$47*37.719))*43758.5453)-INT((SIN(((Model_Data!A91)*12.9898+(Inputs!$C$6)*78.233+Inputs!$C$47*37.719))*43758.5453)))-1))))/1000)^2))-(((Model_Data!B91)-((Inputs!$C$51*(115*EXP(-(((0)-25)^2)/(4.5^2))+70*EXP(-(((0)+38)^2)/(7^2))*(0.55+0.45*SIN(2*PI()*(Model_Data!A91)/45))+24*SIN(2*PI()*(0)/9+(Model_Data!A91)/18)*EXP(-(((0)+5)^2)/(22^2))+18*SIN(2*PI()*(Model_Data!A91)/70))+Inputs!$C$28*EXP(-(((Model_Data!A91)-Inputs!$C$29)^2)/(2*Inputs!$C$31^2))*EXP(-(((0)-Inputs!$C$30)^2)/(2*Inputs!$C$32^2))+-Inputs!$C$33*EXP(-(((((Model_Data!A91)-Inputs!$C$34)^2)+(((0)-Inputs!$C$35)^2))/(2*Inputs!$C$36^2)))+Inputs!$C$37*(0.55*SIN(2*PI()*(Model_Data!A91)/Inputs!$C$39)+0.35*COS(2*PI()*(0)/Inputs!$C$40)+0.2*SIN(2*PI()*((Model_Data!A91)+(0))/(0.5*(Inputs!$C$39+Inputs!$C$40))))+Inputs!$C$38*SIN(2*PI()*(Model_Data!A91)/Inputs!$C$39)*SIN(2*PI()*(0)/Inputs!$C$40)+-Inputs!$C$41*EXP(-(((0)-Inputs!$C$43)^2)/(2*Inputs!$C$44^2))*EXP(-(((Model_Data!A91)-Inputs!$C$42)^2)/(2*Inputs!$C$45^2))+Inputs!$C$48*(0.70*(0.45*SIN(2*PI()*(((Model_Data!A91)/Inputs!$C$49)+Inputs!$C$47*0.137))+0.35*COS(2*PI()*(((0)/Inputs!$C$50)+Inputs!$C$47*0.173))+0.20*SIN(2*PI()*(((Model_Data!A91)+(0))/(0.5*(Inputs!$C$49+Inputs!$C$50))+Inputs!$C$47*0.097)))+0.30*(2*((SIN(((Model_Data!A91)*12.9898+(0)*78.233+Inputs!$C$47*37.719))*43758.5453)-INT((SIN(((Model_Data!A91)*12.9898+(0)*78.233+Inputs!$C$47*37.719))*43758.5453)))-1))))/1000)))*1000/Inputs!$C$12)-Model_Data!F91))-(-(((SQRT((Model_Data!A91)^2+Inputs!$C$6^2+(Inputs!$C$5-((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(0.45*SIN(2*PI()*(((Model_Data!A91)/Inputs!$C$49)+Inputs!$C$47*0.137))+0.35*COS(2*PI()*(((Inputs!$C$6)/Inputs!$C$50)+Inputs!$C$47*0.173))+0.20*SIN(2*PI()*(((Model_Data!A91)+(Inputs!$C$6))/(0.5*(Inputs!$C$49+Inputs!$C$50))+Inputs!$C$47*0.097)))+0.30*(2*((SIN(((Model_Data!A91)*12.9898+(Inputs!$C$6)*78.233+Inputs!$C$47*37.719))*43758.5453)-INT((SIN(((Model_Data!A91)*12.9898+(Inputs!$C$6)*78.233+Inputs!$C$47*37.719))*43758.5453)))-1))))/1000)^2)-(Inputs!$C$5-((Inputs!$C$51*(115*EXP(-(((0)-25)^2)/(4.5^2))+70*EXP(-(((0)+38)^2)/(7^2))*(0.55+0.45*SIN(2*PI()*(Model_Data!A91)/45))+24*SIN(2*PI()*(0)/9+(Model_Data!A91)/18)*EXP(-(((0)+5)^2)/(22^2))+18*SIN(2*PI()*(Model_Data!A91)/70))+Inputs!$C$28*EXP(-(((Model_Data!A91)-Inputs!$C$29)^2)/(2*Inputs!$C$31^2))*EXP(-(((0)-Inputs!$C$30)^2)/(2*Inputs!$C$32^2))+-Inputs!$C$33*EXP(-(((((Model_Data!A91)-Inputs!$C$34)^2)+(((0)-Inputs!$C$35)^2))/(2*Inputs!$C$36^2)))+Inputs!$C$37*(0.55*SIN(2*PI()*(Model_Data!A91)/Inputs!$C$39)+0.35*COS(2*PI()*(0)/Inputs!$C$40)+0.2*SIN(2*PI()*((Model_Data!A91)+(0))/(0.5*(Inputs!$C$39+Inputs!$C$40))))+Inputs!$C$38*SIN(2*PI()*(Model_Data!A91)/Inputs!$C$39)*SIN(2*PI()*(0)/Inputs!$C$40)+-Inputs!$C$41*EXP(-(((0)-Inputs!$C$43)^2)/(2*Inputs!$C$44^2))*EXP(-(((Model_Data!A91)-Inputs!$C$42)^2)/(2*Inputs!$C$45^2))+Inputs!$C$48*(0.70*(0.45*SIN(2*PI()*(((Model_Data!A91)/Inputs!$C$49)+Inputs!$C$47*0.137))+0.35*COS(2*PI()*(((0)/Inputs!$C$50)+Inputs!$C$47*0.173))+0.20*SIN(2*PI()*(((Model_Data!A91)+(0))/(0.5*(Inputs!$C$49+Inputs!$C$50))+Inputs!$C$47*0.097)))+0.30*(2*((SIN(((Model_Data!A91)*12.9898+(0)*78.233+Inputs!$C$47*37.719))*43758.5453)-INT((SIN(((Model_Data!A91)*12.9898+(0)*78.233+Inputs!$C$47*37.719))*43758.5453)))-1))))/1000))*1000/Inputs!$C$12)-((SQRT((Model_Data!A91)^2+Inputs!$C$6^2+Inputs!$C$5^2)-Inputs!$C$5)*1000/Inputs!$C$12)))</x:f>
        <x:v>0.0008153061148163943</x:v>
      </x:c>
      <x:c r="X91" s="48" t="n">
        <x:f>0</x:f>
        <x:v>0</x:v>
      </x:c>
      <x:c r="Y91" s="49"/>
      <x:c r="Z91" s="48" t="n">
        <x:f>Model_Data!A91</x:f>
        <x:v>-15.5</x:v>
      </x:c>
      <x:c r="AA91" s="48" t="n">
        <x:f>SQRT((Model_Data!A91)^2+Inputs!$C$6^2+((Model_Data!B91)-((Inputs!$C$51*(115*EXP(-(((Inputs!$C$6)-25)^2)/(4.5^2))+70*EXP(-(((Inputs!$C$6)+38)^2)/(7^2))*(0.55+0.45*SIN(2*PI()*(Model_Data!A91)/45))+24*SIN(2*PI()*(Inputs!$C$6)/9+(Model_Data!A91)/18)*EXP(-(((Inputs!$C$6)+5)^2)/(22^2))+18*SIN(2*PI()*(Model_Data!A91)/70))+Inputs!$C$28*EXP(-(((Model_Data!A91)-Inputs!$C$29)^2)/(2*Inputs!$C$31^2))*EXP(-(((Inputs!$C$6)-Inputs!$C$30)^2)/(2*Inputs!$C$32^2))+-Inputs!$C$33*EXP(-(((((Model_Data!A91)-Inputs!$C$34)^2)+(((Inputs!$C$6)-Inputs!$C$35)^2))/(2*Inputs!$C$36^2)))+Inputs!$C$37*(0.55*SIN(2*PI()*(Model_Data!A91)/Inputs!$C$39)+0.35*COS(2*PI()*(Inputs!$C$6)/Inputs!$C$40)+0.2*SIN(2*PI()*((Model_Data!A91)+(Inputs!$C$6))/(0.5*(Inputs!$C$39+Inputs!$C$40))))+Inputs!$C$38*SIN(2*PI()*(Model_Data!A91)/Inputs!$C$39)*SIN(2*PI()*(Inputs!$C$6)/Inputs!$C$40)+-Inputs!$C$41*EXP(-(((Inputs!$C$6)-Inputs!$C$43)^2)/(2*Inputs!$C$44^2))*EXP(-(((Model_Data!A91)-Inputs!$C$42)^2)/(2*Inputs!$C$45^2))+Inputs!$C$48*(0.70*(0.45*SIN(2*PI()*(((Model_Data!A91)/Inputs!$C$49)+Inputs!$C$47*0.137))+0.35*COS(2*PI()*(((Inputs!$C$6)/Inputs!$C$50)+Inputs!$C$47*0.173))+0.20*SIN(2*PI()*(((Model_Data!A91)+(Inputs!$C$6))/(0.5*(Inputs!$C$49+Inputs!$C$50))+Inputs!$C$47*0.097)))+0.30*(2*((SIN(((Model_Data!A91)*12.9898+(Inputs!$C$6)*78.233+Inputs!$C$47*37.719))*43758.5453)-INT((SIN(((Model_Data!A91)*12.9898+(Inputs!$C$6)*78.233+Inputs!$C$47*37.719))*43758.5453)))-1))))/1000)^2)</x:f>
        <x:v>400.9422417077923</x:v>
      </x:c>
      <x:c r="AB91" s="48" t="n">
        <x:f>1000*(AA92-AA90)/(Z92-Z90)*Inputs!$C$11</x:f>
        <x:v>-305.34818395585717</x:v>
      </x:c>
      <x:c r="AC91" s="48" t="n">
        <x:f>-2*AB91/Inputs!$C$13</x:f>
        <x:v>122.13927358234287</x:v>
      </x:c>
      <x:c r="AD91" s="48" t="n">
        <x:f>-2*AB91/Inputs!$C$14</x:f>
        <x:v>18.33923026761905</x:v>
      </x:c>
    </x:row>
    <x:row r="92">
      <x:c r="A92" s="48" t="n">
        <x:f>Model_Data!A92</x:f>
        <x:v>-15</x:v>
      </x:c>
      <x:c r="B92" s="48" t="n">
        <x:f>Model_Data!F92</x:f>
        <x:v>595.7480822033449</x:v>
      </x:c>
      <x:c r="C92" s="48" t="n">
        <x:f>(((SQRT((Model_Data!A92)^2+Inputs!$C$6^2+((Model_Data!B92)-((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(0.45*SIN(2*PI()*(((Model_Data!A92)/Inputs!$C$49)+Inputs!$C$47*0.137))+0.35*COS(2*PI()*(((Inputs!$C$6)/Inputs!$C$50)+Inputs!$C$47*0.173))+0.20*SIN(2*PI()*(((Model_Data!A92)+(Inputs!$C$6))/(0.5*(Inputs!$C$49+Inputs!$C$50))+Inputs!$C$47*0.097)))+0.30*(2*((SIN(((Model_Data!A92)*12.9898+(Inputs!$C$6)*78.233+Inputs!$C$47*37.719))*43758.5453)-INT((SIN(((Model_Data!A92)*12.9898+(Inputs!$C$6)*78.233+Inputs!$C$47*37.719))*43758.5453)))-1))))/1000)^2))-(((Model_Data!B92)-((Inputs!$C$51*(115*EXP(-(((0)-25)^2)/(4.5^2))+70*EXP(-(((0)+38)^2)/(7^2))*(0.55+0.45*SIN(2*PI()*(Model_Data!A92)/45))+24*SIN(2*PI()*(0)/9+(Model_Data!A92)/18)*EXP(-(((0)+5)^2)/(22^2))+18*SIN(2*PI()*(Model_Data!A92)/70))+Inputs!$C$28*EXP(-(((Model_Data!A92)-Inputs!$C$29)^2)/(2*Inputs!$C$31^2))*EXP(-(((0)-Inputs!$C$30)^2)/(2*Inputs!$C$32^2))+-Inputs!$C$33*EXP(-(((((Model_Data!A92)-Inputs!$C$34)^2)+(((0)-Inputs!$C$35)^2))/(2*Inputs!$C$36^2)))+Inputs!$C$37*(0.55*SIN(2*PI()*(Model_Data!A92)/Inputs!$C$39)+0.35*COS(2*PI()*(0)/Inputs!$C$40)+0.2*SIN(2*PI()*((Model_Data!A92)+(0))/(0.5*(Inputs!$C$39+Inputs!$C$40))))+Inputs!$C$38*SIN(2*PI()*(Model_Data!A92)/Inputs!$C$39)*SIN(2*PI()*(0)/Inputs!$C$40)+-Inputs!$C$41*EXP(-(((0)-Inputs!$C$43)^2)/(2*Inputs!$C$44^2))*EXP(-(((Model_Data!A92)-Inputs!$C$42)^2)/(2*Inputs!$C$45^2))+Inputs!$C$48*(0.70*(0.45*SIN(2*PI()*(((Model_Data!A92)/Inputs!$C$49)+Inputs!$C$47*0.137))+0.35*COS(2*PI()*(((0)/Inputs!$C$50)+Inputs!$C$47*0.173))+0.20*SIN(2*PI()*(((Model_Data!A92)+(0))/(0.5*(Inputs!$C$49+Inputs!$C$50))+Inputs!$C$47*0.097)))+0.30*(2*((SIN(((Model_Data!A92)*12.9898+(0)*78.233+Inputs!$C$47*37.719))*43758.5453)-INT((SIN(((Model_Data!A92)*12.9898+(0)*78.233+Inputs!$C$47*37.719))*43758.5453)))-1))))/1000)))*1000/Inputs!$C$12)</x:f>
        <x:v>311.4652206923775</x:v>
      </x:c>
      <x:c r="D92" s="49"/>
      <x:c r="E92" s="48" t="n">
        <x:f>Model_Data!A92</x:f>
        <x:v>-15</x:v>
      </x:c>
      <x:c r="F92" s="48" t="n">
        <x:f>(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(0.45*SIN(2*PI()*(((Model_Data!A92)/Inputs!$C$49)+Inputs!$C$47*0.137))+0.35*COS(2*PI()*(((Inputs!$C$6)/Inputs!$C$50)+Inputs!$C$47*0.173))+0.20*SIN(2*PI()*(((Model_Data!A92)+(Inputs!$C$6))/(0.5*(Inputs!$C$49+Inputs!$C$50))+Inputs!$C$47*0.097)))+0.30*(2*((SIN(((Model_Data!A92)*12.9898+(Inputs!$C$6)*78.233+Inputs!$C$47*37.719))*43758.5453)-INT((SIN(((Model_Data!A92)*12.9898+(Inputs!$C$6)*78.233+Inputs!$C$47*37.719))*43758.5453)))-1)))</x:f>
        <x:v>416.63024006091615</x:v>
      </x:c>
      <x:c r="G92" s="48" t="n">
        <x:f>(Inputs!$C$51*(115*EXP(-(((0)-25)^2)/(4.5^2))+70*EXP(-(((0)+38)^2)/(7^2))*(0.55+0.45*SIN(2*PI()*(Model_Data!A92)/45))+24*SIN(2*PI()*(0)/9+(Model_Data!A92)/18)*EXP(-(((0)+5)^2)/(22^2))+18*SIN(2*PI()*(Model_Data!A92)/70))+Inputs!$C$28*EXP(-(((Model_Data!A92)-Inputs!$C$29)^2)/(2*Inputs!$C$31^2))*EXP(-(((0)-Inputs!$C$30)^2)/(2*Inputs!$C$32^2))+-Inputs!$C$33*EXP(-(((((Model_Data!A92)-Inputs!$C$34)^2)+(((0)-Inputs!$C$35)^2))/(2*Inputs!$C$36^2)))+Inputs!$C$37*(0.55*SIN(2*PI()*(Model_Data!A92)/Inputs!$C$39)+0.35*COS(2*PI()*(0)/Inputs!$C$40)+0.2*SIN(2*PI()*((Model_Data!A92)+(0))/(0.5*(Inputs!$C$39+Inputs!$C$40))))+Inputs!$C$38*SIN(2*PI()*(Model_Data!A92)/Inputs!$C$39)*SIN(2*PI()*(0)/Inputs!$C$40)+-Inputs!$C$41*EXP(-(((0)-Inputs!$C$43)^2)/(2*Inputs!$C$44^2))*EXP(-(((Model_Data!A92)-Inputs!$C$42)^2)/(2*Inputs!$C$45^2))+Inputs!$C$48*(0.70*(0.45*SIN(2*PI()*(((Model_Data!A92)/Inputs!$C$49)+Inputs!$C$47*0.137))+0.35*COS(2*PI()*(((0)/Inputs!$C$50)+Inputs!$C$47*0.173))+0.20*SIN(2*PI()*(((Model_Data!A92)+(0))/(0.5*(Inputs!$C$49+Inputs!$C$50))+Inputs!$C$47*0.097)))+0.30*(2*((SIN(((Model_Data!A92)*12.9898+(0)*78.233+Inputs!$C$47*37.719))*43758.5453)-INT((SIN(((Model_Data!A92)*12.9898+(0)*78.233+Inputs!$C$47*37.719))*43758.5453)))-1)))</x:f>
        <x:v>-90.49530902944495</x:v>
      </x:c>
      <x:c r="H92" s="49"/>
      <x:c r="I92" s="48" t="n">
        <x:f>Model_Data!A92</x:f>
        <x:v>-15</x:v>
      </x:c>
      <x:c r="J92" s="48" t="n">
        <x:f>((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(0.45*SIN(2*PI()*(((Model_Data!A92)/Inputs!$C$49)+Inputs!$C$47*0.137))+0.35*COS(2*PI()*(((Inputs!$C$6)/Inputs!$C$50)+Inputs!$C$47*0.173))+0.20*SIN(2*PI()*(((Model_Data!A92)+(Inputs!$C$6))/(0.5*(Inputs!$C$49+Inputs!$C$50))+Inputs!$C$47*0.097)))+0.30*(2*((SIN(((Model_Data!A92)*12.9898+(Inputs!$C$6)*78.233+Inputs!$C$47*37.719))*43758.5453)-INT((SIN(((Model_Data!A92)*12.9898+(Inputs!$C$6)*78.233+Inputs!$C$47*37.719))*43758.5453)))-1))))-((Inputs!$C$51*(115*EXP(-(((0)-25)^2)/(4.5^2))+70*EXP(-(((0)+38)^2)/(7^2))*(0.55+0.45*SIN(2*PI()*(Model_Data!A92)/45))+24*SIN(2*PI()*(0)/9+(Model_Data!A92)/18)*EXP(-(((0)+5)^2)/(22^2))+18*SIN(2*PI()*(Model_Data!A92)/70))+Inputs!$C$28*EXP(-(((Model_Data!A92)-Inputs!$C$29)^2)/(2*Inputs!$C$31^2))*EXP(-(((0)-Inputs!$C$30)^2)/(2*Inputs!$C$32^2))+-Inputs!$C$33*EXP(-(((((Model_Data!A92)-Inputs!$C$34)^2)+(((0)-Inputs!$C$35)^2))/(2*Inputs!$C$36^2)))+Inputs!$C$37*(0.55*SIN(2*PI()*(Model_Data!A92)/Inputs!$C$39)+0.35*COS(2*PI()*(0)/Inputs!$C$40)+0.2*SIN(2*PI()*((Model_Data!A92)+(0))/(0.5*(Inputs!$C$39+Inputs!$C$40))))+Inputs!$C$38*SIN(2*PI()*(Model_Data!A92)/Inputs!$C$39)*SIN(2*PI()*(0)/Inputs!$C$40)+-Inputs!$C$41*EXP(-(((0)-Inputs!$C$43)^2)/(2*Inputs!$C$44^2))*EXP(-(((Model_Data!A92)-Inputs!$C$42)^2)/(2*Inputs!$C$45^2))+Inputs!$C$48*(0.70*(0.45*SIN(2*PI()*(((Model_Data!A92)/Inputs!$C$49)+Inputs!$C$47*0.137))+0.35*COS(2*PI()*(((0)/Inputs!$C$50)+Inputs!$C$47*0.173))+0.20*SIN(2*PI()*(((Model_Data!A92)+(0))/(0.5*(Inputs!$C$49+Inputs!$C$50))+Inputs!$C$47*0.097)))+0.30*(2*((SIN(((Model_Data!A92)*12.9898+(0)*78.233+Inputs!$C$47*37.719))*43758.5453)-INT((SIN(((Model_Data!A92)*12.9898+(0)*78.233+Inputs!$C$47*37.719))*43758.5453)))-1))))</x:f>
        <x:v>507.1255490903611</x:v>
      </x:c>
      <x:c r="K92" s="48" t="n">
        <x:f>-((((SQRT((Model_Data!A92)^2+Inputs!$C$6^2+((Model_Data!B92)-((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(0.45*SIN(2*PI()*(((Model_Data!A92)/Inputs!$C$49)+Inputs!$C$47*0.137))+0.35*COS(2*PI()*(((Inputs!$C$6)/Inputs!$C$50)+Inputs!$C$47*0.173))+0.20*SIN(2*PI()*(((Model_Data!A92)+(Inputs!$C$6))/(0.5*(Inputs!$C$49+Inputs!$C$50))+Inputs!$C$47*0.097)))+0.30*(2*((SIN(((Model_Data!A92)*12.9898+(Inputs!$C$6)*78.233+Inputs!$C$47*37.719))*43758.5453)-INT((SIN(((Model_Data!A92)*12.9898+(Inputs!$C$6)*78.233+Inputs!$C$47*37.719))*43758.5453)))-1))))/1000)^2))-(((Model_Data!B92)-((Inputs!$C$51*(115*EXP(-(((0)-25)^2)/(4.5^2))+70*EXP(-(((0)+38)^2)/(7^2))*(0.55+0.45*SIN(2*PI()*(Model_Data!A92)/45))+24*SIN(2*PI()*(0)/9+(Model_Data!A92)/18)*EXP(-(((0)+5)^2)/(22^2))+18*SIN(2*PI()*(Model_Data!A92)/70))+Inputs!$C$28*EXP(-(((Model_Data!A92)-Inputs!$C$29)^2)/(2*Inputs!$C$31^2))*EXP(-(((0)-Inputs!$C$30)^2)/(2*Inputs!$C$32^2))+-Inputs!$C$33*EXP(-(((((Model_Data!A92)-Inputs!$C$34)^2)+(((0)-Inputs!$C$35)^2))/(2*Inputs!$C$36^2)))+Inputs!$C$37*(0.55*SIN(2*PI()*(Model_Data!A92)/Inputs!$C$39)+0.35*COS(2*PI()*(0)/Inputs!$C$40)+0.2*SIN(2*PI()*((Model_Data!A92)+(0))/(0.5*(Inputs!$C$39+Inputs!$C$40))))+Inputs!$C$38*SIN(2*PI()*(Model_Data!A92)/Inputs!$C$39)*SIN(2*PI()*(0)/Inputs!$C$40)+-Inputs!$C$41*EXP(-(((0)-Inputs!$C$43)^2)/(2*Inputs!$C$44^2))*EXP(-(((Model_Data!A92)-Inputs!$C$42)^2)/(2*Inputs!$C$45^2))+Inputs!$C$48*(0.70*(0.45*SIN(2*PI()*(((Model_Data!A92)/Inputs!$C$49)+Inputs!$C$47*0.137))+0.35*COS(2*PI()*(((0)/Inputs!$C$50)+Inputs!$C$47*0.173))+0.20*SIN(2*PI()*(((Model_Data!A92)+(0))/(0.5*(Inputs!$C$49+Inputs!$C$50))+Inputs!$C$47*0.097)))+0.30*(2*((SIN(((Model_Data!A92)*12.9898+(0)*78.233+Inputs!$C$47*37.719))*43758.5453)-INT((SIN(((Model_Data!A92)*12.9898+(0)*78.233+Inputs!$C$47*37.719))*43758.5453)))-1))))/1000)))*1000/Inputs!$C$12)-Model_Data!F92)</x:f>
        <x:v>284.2828615109674</x:v>
      </x:c>
      <x:c r="L92" s="49"/>
      <x:c r="M92" s="48" t="n">
        <x:f>Model_Data!A92</x:f>
        <x:v>-15</x:v>
      </x:c>
      <x:c r="N92" s="48" t="n">
        <x:f>Model_Data!P92</x:f>
        <x:v>112.99648127116424</x:v>
      </x:c>
      <x:c r="O92" s="48" t="n">
        <x:f>AC92</x:f>
        <x:v>145.18753774073048</x:v>
      </x:c>
      <x:c r="P92" s="48" t="n">
        <x:f>Model_Data!Q92</x:f>
        <x:v>16.966438629303944</x:v>
      </x:c>
      <x:c r="Q92" s="48" t="n">
        <x:f>AD92</x:f>
        <x:v>21.799930591701276</x:v>
      </x:c>
      <x:c r="R92" s="49"/>
      <x:c r="S92" s="48" t="n">
        <x:f>Model_Data!A92</x:f>
        <x:v>-15</x:v>
      </x:c>
      <x:c r="T92" s="48" t="n">
        <x:f>Model_Data!B92-Inputs!$C$5</x:f>
        <x:v>0.25</x:v>
      </x:c>
      <x:c r="U92" s="49"/>
      <x:c r="V92" s="48" t="n">
        <x:f>Model_Data!A92</x:f>
        <x:v>-15</x:v>
      </x:c>
      <x:c r="W92" s="48" t="n">
        <x:f>(-((((SQRT((Model_Data!A92)^2+Inputs!$C$6^2+((Model_Data!B92)-((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(0.45*SIN(2*PI()*(((Model_Data!A92)/Inputs!$C$49)+Inputs!$C$47*0.137))+0.35*COS(2*PI()*(((Inputs!$C$6)/Inputs!$C$50)+Inputs!$C$47*0.173))+0.20*SIN(2*PI()*(((Model_Data!A92)+(Inputs!$C$6))/(0.5*(Inputs!$C$49+Inputs!$C$50))+Inputs!$C$47*0.097)))+0.30*(2*((SIN(((Model_Data!A92)*12.9898+(Inputs!$C$6)*78.233+Inputs!$C$47*37.719))*43758.5453)-INT((SIN(((Model_Data!A92)*12.9898+(Inputs!$C$6)*78.233+Inputs!$C$47*37.719))*43758.5453)))-1))))/1000)^2))-(((Model_Data!B92)-((Inputs!$C$51*(115*EXP(-(((0)-25)^2)/(4.5^2))+70*EXP(-(((0)+38)^2)/(7^2))*(0.55+0.45*SIN(2*PI()*(Model_Data!A92)/45))+24*SIN(2*PI()*(0)/9+(Model_Data!A92)/18)*EXP(-(((0)+5)^2)/(22^2))+18*SIN(2*PI()*(Model_Data!A92)/70))+Inputs!$C$28*EXP(-(((Model_Data!A92)-Inputs!$C$29)^2)/(2*Inputs!$C$31^2))*EXP(-(((0)-Inputs!$C$30)^2)/(2*Inputs!$C$32^2))+-Inputs!$C$33*EXP(-(((((Model_Data!A92)-Inputs!$C$34)^2)+(((0)-Inputs!$C$35)^2))/(2*Inputs!$C$36^2)))+Inputs!$C$37*(0.55*SIN(2*PI()*(Model_Data!A92)/Inputs!$C$39)+0.35*COS(2*PI()*(0)/Inputs!$C$40)+0.2*SIN(2*PI()*((Model_Data!A92)+(0))/(0.5*(Inputs!$C$39+Inputs!$C$40))))+Inputs!$C$38*SIN(2*PI()*(Model_Data!A92)/Inputs!$C$39)*SIN(2*PI()*(0)/Inputs!$C$40)+-Inputs!$C$41*EXP(-(((0)-Inputs!$C$43)^2)/(2*Inputs!$C$44^2))*EXP(-(((Model_Data!A92)-Inputs!$C$42)^2)/(2*Inputs!$C$45^2))+Inputs!$C$48*(0.70*(0.45*SIN(2*PI()*(((Model_Data!A92)/Inputs!$C$49)+Inputs!$C$47*0.137))+0.35*COS(2*PI()*(((0)/Inputs!$C$50)+Inputs!$C$47*0.173))+0.20*SIN(2*PI()*(((Model_Data!A92)+(0))/(0.5*(Inputs!$C$49+Inputs!$C$50))+Inputs!$C$47*0.097)))+0.30*(2*((SIN(((Model_Data!A92)*12.9898+(0)*78.233+Inputs!$C$47*37.719))*43758.5453)-INT((SIN(((Model_Data!A92)*12.9898+(0)*78.233+Inputs!$C$47*37.719))*43758.5453)))-1))))/1000)))*1000/Inputs!$C$12)-Model_Data!F92))-(-(((SQRT((Model_Data!A92)^2+Inputs!$C$6^2+(Inputs!$C$5-((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(0.45*SIN(2*PI()*(((Model_Data!A92)/Inputs!$C$49)+Inputs!$C$47*0.137))+0.35*COS(2*PI()*(((Inputs!$C$6)/Inputs!$C$50)+Inputs!$C$47*0.173))+0.20*SIN(2*PI()*(((Model_Data!A92)+(Inputs!$C$6))/(0.5*(Inputs!$C$49+Inputs!$C$50))+Inputs!$C$47*0.097)))+0.30*(2*((SIN(((Model_Data!A92)*12.9898+(Inputs!$C$6)*78.233+Inputs!$C$47*37.719))*43758.5453)-INT((SIN(((Model_Data!A92)*12.9898+(Inputs!$C$6)*78.233+Inputs!$C$47*37.719))*43758.5453)))-1))))/1000)^2)-(Inputs!$C$5-((Inputs!$C$51*(115*EXP(-(((0)-25)^2)/(4.5^2))+70*EXP(-(((0)+38)^2)/(7^2))*(0.55+0.45*SIN(2*PI()*(Model_Data!A92)/45))+24*SIN(2*PI()*(0)/9+(Model_Data!A92)/18)*EXP(-(((0)+5)^2)/(22^2))+18*SIN(2*PI()*(Model_Data!A92)/70))+Inputs!$C$28*EXP(-(((Model_Data!A92)-Inputs!$C$29)^2)/(2*Inputs!$C$31^2))*EXP(-(((0)-Inputs!$C$30)^2)/(2*Inputs!$C$32^2))+-Inputs!$C$33*EXP(-(((((Model_Data!A92)-Inputs!$C$34)^2)+(((0)-Inputs!$C$35)^2))/(2*Inputs!$C$36^2)))+Inputs!$C$37*(0.55*SIN(2*PI()*(Model_Data!A92)/Inputs!$C$39)+0.35*COS(2*PI()*(0)/Inputs!$C$40)+0.2*SIN(2*PI()*((Model_Data!A92)+(0))/(0.5*(Inputs!$C$39+Inputs!$C$40))))+Inputs!$C$38*SIN(2*PI()*(Model_Data!A92)/Inputs!$C$39)*SIN(2*PI()*(0)/Inputs!$C$40)+-Inputs!$C$41*EXP(-(((0)-Inputs!$C$43)^2)/(2*Inputs!$C$44^2))*EXP(-(((Model_Data!A92)-Inputs!$C$42)^2)/(2*Inputs!$C$45^2))+Inputs!$C$48*(0.70*(0.45*SIN(2*PI()*(((Model_Data!A92)/Inputs!$C$49)+Inputs!$C$47*0.137))+0.35*COS(2*PI()*(((0)/Inputs!$C$50)+Inputs!$C$47*0.173))+0.20*SIN(2*PI()*(((Model_Data!A92)+(0))/(0.5*(Inputs!$C$49+Inputs!$C$50))+Inputs!$C$47*0.097)))+0.30*(2*((SIN(((Model_Data!A92)*12.9898+(0)*78.233+Inputs!$C$47*37.719))*43758.5453)-INT((SIN(((Model_Data!A92)*12.9898+(0)*78.233+Inputs!$C$47*37.719))*43758.5453)))-1))))/1000))*1000/Inputs!$C$12)-((SQRT((Model_Data!A92)^2+Inputs!$C$6^2+Inputs!$C$5^2)-Inputs!$C$5)*1000/Inputs!$C$12)))</x:f>
        <x:v>0.0007714866088690542</x:v>
      </x:c>
      <x:c r="X92" s="48" t="n">
        <x:f>0</x:f>
        <x:v>0</x:v>
      </x:c>
      <x:c r="Y92" s="49"/>
      <x:c r="Z92" s="48" t="n">
        <x:f>Model_Data!A92</x:f>
        <x:v>-15</x:v>
      </x:c>
      <x:c r="AA92" s="48" t="n">
        <x:f>SQRT((Model_Data!A92)^2+Inputs!$C$6^2+((Model_Data!B92)-((Inputs!$C$51*(115*EXP(-(((Inputs!$C$6)-25)^2)/(4.5^2))+70*EXP(-(((Inputs!$C$6)+38)^2)/(7^2))*(0.55+0.45*SIN(2*PI()*(Model_Data!A92)/45))+24*SIN(2*PI()*(Inputs!$C$6)/9+(Model_Data!A92)/18)*EXP(-(((Inputs!$C$6)+5)^2)/(22^2))+18*SIN(2*PI()*(Model_Data!A92)/70))+Inputs!$C$28*EXP(-(((Model_Data!A92)-Inputs!$C$29)^2)/(2*Inputs!$C$31^2))*EXP(-(((Inputs!$C$6)-Inputs!$C$30)^2)/(2*Inputs!$C$32^2))+-Inputs!$C$33*EXP(-(((((Model_Data!A92)-Inputs!$C$34)^2)+(((Inputs!$C$6)-Inputs!$C$35)^2))/(2*Inputs!$C$36^2)))+Inputs!$C$37*(0.55*SIN(2*PI()*(Model_Data!A92)/Inputs!$C$39)+0.35*COS(2*PI()*(Inputs!$C$6)/Inputs!$C$40)+0.2*SIN(2*PI()*((Model_Data!A92)+(Inputs!$C$6))/(0.5*(Inputs!$C$39+Inputs!$C$40))))+Inputs!$C$38*SIN(2*PI()*(Model_Data!A92)/Inputs!$C$39)*SIN(2*PI()*(Inputs!$C$6)/Inputs!$C$40)+-Inputs!$C$41*EXP(-(((Inputs!$C$6)-Inputs!$C$43)^2)/(2*Inputs!$C$44^2))*EXP(-(((Model_Data!A92)-Inputs!$C$42)^2)/(2*Inputs!$C$45^2))+Inputs!$C$48*(0.70*(0.45*SIN(2*PI()*(((Model_Data!A92)/Inputs!$C$49)+Inputs!$C$47*0.137))+0.35*COS(2*PI()*(((Inputs!$C$6)/Inputs!$C$50)+Inputs!$C$47*0.173))+0.20*SIN(2*PI()*(((Model_Data!A92)+(Inputs!$C$6))/(0.5*(Inputs!$C$49+Inputs!$C$50))+Inputs!$C$47*0.097)))+0.30*(2*((SIN(((Model_Data!A92)*12.9898+(Inputs!$C$6)*78.233+Inputs!$C$47*37.719))*43758.5453)-INT((SIN(((Model_Data!A92)*12.9898+(Inputs!$C$6)*78.233+Inputs!$C$47*37.719))*43758.5453)))-1))))/1000)^2)</x:f>
        <x:v>400.8949034018619</x:v>
      </x:c>
      <x:c r="AB92" s="48" t="n">
        <x:f>1000*(AA93-AA91)/(Z93-Z91)*Inputs!$C$11</x:f>
        <x:v>-362.9688443518262</x:v>
      </x:c>
      <x:c r="AC92" s="48" t="n">
        <x:f>-2*AB92/Inputs!$C$13</x:f>
        <x:v>145.18753774073048</x:v>
      </x:c>
      <x:c r="AD92" s="48" t="n">
        <x:f>-2*AB92/Inputs!$C$14</x:f>
        <x:v>21.799930591701276</x:v>
      </x:c>
    </x:row>
    <x:row r="93">
      <x:c r="A93" s="48" t="n">
        <x:f>Model_Data!A93</x:f>
        <x:v>-14.5</x:v>
      </x:c>
      <x:c r="B93" s="48" t="n">
        <x:f>Model_Data!F93</x:f>
        <x:v>585.4474328788419</x:v>
      </x:c>
      <x:c r="C93" s="48" t="n">
        <x:f>(((SQRT((Model_Data!A93)^2+Inputs!$C$6^2+((Model_Data!B93)-((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(0.45*SIN(2*PI()*(((Model_Data!A93)/Inputs!$C$49)+Inputs!$C$47*0.137))+0.35*COS(2*PI()*(((Inputs!$C$6)/Inputs!$C$50)+Inputs!$C$47*0.173))+0.20*SIN(2*PI()*(((Model_Data!A93)+(Inputs!$C$6))/(0.5*(Inputs!$C$49+Inputs!$C$50))+Inputs!$C$47*0.097)))+0.30*(2*((SIN(((Model_Data!A93)*12.9898+(Inputs!$C$6)*78.233+Inputs!$C$47*37.719))*43758.5453)-INT((SIN(((Model_Data!A93)*12.9898+(Inputs!$C$6)*78.233+Inputs!$C$47*37.719))*43758.5453)))-1))))/1000)^2))-(((Model_Data!B93)-((Inputs!$C$51*(115*EXP(-(((0)-25)^2)/(4.5^2))+70*EXP(-(((0)+38)^2)/(7^2))*(0.55+0.45*SIN(2*PI()*(Model_Data!A93)/45))+24*SIN(2*PI()*(0)/9+(Model_Data!A93)/18)*EXP(-(((0)+5)^2)/(22^2))+18*SIN(2*PI()*(Model_Data!A93)/70))+Inputs!$C$28*EXP(-(((Model_Data!A93)-Inputs!$C$29)^2)/(2*Inputs!$C$31^2))*EXP(-(((0)-Inputs!$C$30)^2)/(2*Inputs!$C$32^2))+-Inputs!$C$33*EXP(-(((((Model_Data!A93)-Inputs!$C$34)^2)+(((0)-Inputs!$C$35)^2))/(2*Inputs!$C$36^2)))+Inputs!$C$37*(0.55*SIN(2*PI()*(Model_Data!A93)/Inputs!$C$39)+0.35*COS(2*PI()*(0)/Inputs!$C$40)+0.2*SIN(2*PI()*((Model_Data!A93)+(0))/(0.5*(Inputs!$C$39+Inputs!$C$40))))+Inputs!$C$38*SIN(2*PI()*(Model_Data!A93)/Inputs!$C$39)*SIN(2*PI()*(0)/Inputs!$C$40)+-Inputs!$C$41*EXP(-(((0)-Inputs!$C$43)^2)/(2*Inputs!$C$44^2))*EXP(-(((Model_Data!A93)-Inputs!$C$42)^2)/(2*Inputs!$C$45^2))+Inputs!$C$48*(0.70*(0.45*SIN(2*PI()*(((Model_Data!A93)/Inputs!$C$49)+Inputs!$C$47*0.137))+0.35*COS(2*PI()*(((0)/Inputs!$C$50)+Inputs!$C$47*0.173))+0.20*SIN(2*PI()*(((Model_Data!A93)+(0))/(0.5*(Inputs!$C$49+Inputs!$C$50))+Inputs!$C$47*0.097)))+0.30*(2*((SIN(((Model_Data!A93)*12.9898+(0)*78.233+Inputs!$C$47*37.719))*43758.5453)-INT((SIN(((Model_Data!A93)*12.9898+(0)*78.233+Inputs!$C$47*37.719))*43758.5453)))-1))))/1000)))*1000/Inputs!$C$12)</x:f>
        <x:v>298.44713526204083</x:v>
      </x:c>
      <x:c r="D93" s="49"/>
      <x:c r="E93" s="48" t="n">
        <x:f>Model_Data!A93</x:f>
        <x:v>-14.5</x:v>
      </x:c>
      <x:c r="F93" s="48" t="n">
        <x:f>(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(0.45*SIN(2*PI()*(((Model_Data!A93)/Inputs!$C$49)+Inputs!$C$47*0.137))+0.35*COS(2*PI()*(((Inputs!$C$6)/Inputs!$C$50)+Inputs!$C$47*0.173))+0.20*SIN(2*PI()*(((Model_Data!A93)+(Inputs!$C$6))/(0.5*(Inputs!$C$49+Inputs!$C$50))+Inputs!$C$47*0.097)))+0.30*(2*((SIN(((Model_Data!A93)*12.9898+(Inputs!$C$6)*78.233+Inputs!$C$47*37.719))*43758.5453)-INT((SIN(((Model_Data!A93)*12.9898+(Inputs!$C$6)*78.233+Inputs!$C$47*37.719))*43758.5453)))-1)))</x:f>
        <x:v>425.31373753688456</x:v>
      </x:c>
      <x:c r="G93" s="48" t="n">
        <x:f>(Inputs!$C$51*(115*EXP(-(((0)-25)^2)/(4.5^2))+70*EXP(-(((0)+38)^2)/(7^2))*(0.55+0.45*SIN(2*PI()*(Model_Data!A93)/45))+24*SIN(2*PI()*(0)/9+(Model_Data!A93)/18)*EXP(-(((0)+5)^2)/(22^2))+18*SIN(2*PI()*(Model_Data!A93)/70))+Inputs!$C$28*EXP(-(((Model_Data!A93)-Inputs!$C$29)^2)/(2*Inputs!$C$31^2))*EXP(-(((0)-Inputs!$C$30)^2)/(2*Inputs!$C$32^2))+-Inputs!$C$33*EXP(-(((((Model_Data!A93)-Inputs!$C$34)^2)+(((0)-Inputs!$C$35)^2))/(2*Inputs!$C$36^2)))+Inputs!$C$37*(0.55*SIN(2*PI()*(Model_Data!A93)/Inputs!$C$39)+0.35*COS(2*PI()*(0)/Inputs!$C$40)+0.2*SIN(2*PI()*((Model_Data!A93)+(0))/(0.5*(Inputs!$C$39+Inputs!$C$40))))+Inputs!$C$38*SIN(2*PI()*(Model_Data!A93)/Inputs!$C$39)*SIN(2*PI()*(0)/Inputs!$C$40)+-Inputs!$C$41*EXP(-(((0)-Inputs!$C$43)^2)/(2*Inputs!$C$44^2))*EXP(-(((Model_Data!A93)-Inputs!$C$42)^2)/(2*Inputs!$C$45^2))+Inputs!$C$48*(0.70*(0.45*SIN(2*PI()*(((Model_Data!A93)/Inputs!$C$49)+Inputs!$C$47*0.137))+0.35*COS(2*PI()*(((0)/Inputs!$C$50)+Inputs!$C$47*0.173))+0.20*SIN(2*PI()*(((Model_Data!A93)+(0))/(0.5*(Inputs!$C$49+Inputs!$C$50))+Inputs!$C$47*0.097)))+0.30*(2*((SIN(((Model_Data!A93)*12.9898+(0)*78.233+Inputs!$C$47*37.719))*43758.5453)-INT((SIN(((Model_Data!A93)*12.9898+(0)*78.233+Inputs!$C$47*37.719))*43758.5453)))-1)))</x:f>
        <x:v>-86.65248482679937</x:v>
      </x:c>
      <x:c r="H93" s="49"/>
      <x:c r="I93" s="48" t="n">
        <x:f>Model_Data!A93</x:f>
        <x:v>-14.5</x:v>
      </x:c>
      <x:c r="J93" s="48" t="n">
        <x:f>((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(0.45*SIN(2*PI()*(((Model_Data!A93)/Inputs!$C$49)+Inputs!$C$47*0.137))+0.35*COS(2*PI()*(((Inputs!$C$6)/Inputs!$C$50)+Inputs!$C$47*0.173))+0.20*SIN(2*PI()*(((Model_Data!A93)+(Inputs!$C$6))/(0.5*(Inputs!$C$49+Inputs!$C$50))+Inputs!$C$47*0.097)))+0.30*(2*((SIN(((Model_Data!A93)*12.9898+(Inputs!$C$6)*78.233+Inputs!$C$47*37.719))*43758.5453)-INT((SIN(((Model_Data!A93)*12.9898+(Inputs!$C$6)*78.233+Inputs!$C$47*37.719))*43758.5453)))-1))))-((Inputs!$C$51*(115*EXP(-(((0)-25)^2)/(4.5^2))+70*EXP(-(((0)+38)^2)/(7^2))*(0.55+0.45*SIN(2*PI()*(Model_Data!A93)/45))+24*SIN(2*PI()*(0)/9+(Model_Data!A93)/18)*EXP(-(((0)+5)^2)/(22^2))+18*SIN(2*PI()*(Model_Data!A93)/70))+Inputs!$C$28*EXP(-(((Model_Data!A93)-Inputs!$C$29)^2)/(2*Inputs!$C$31^2))*EXP(-(((0)-Inputs!$C$30)^2)/(2*Inputs!$C$32^2))+-Inputs!$C$33*EXP(-(((((Model_Data!A93)-Inputs!$C$34)^2)+(((0)-Inputs!$C$35)^2))/(2*Inputs!$C$36^2)))+Inputs!$C$37*(0.55*SIN(2*PI()*(Model_Data!A93)/Inputs!$C$39)+0.35*COS(2*PI()*(0)/Inputs!$C$40)+0.2*SIN(2*PI()*((Model_Data!A93)+(0))/(0.5*(Inputs!$C$39+Inputs!$C$40))))+Inputs!$C$38*SIN(2*PI()*(Model_Data!A93)/Inputs!$C$39)*SIN(2*PI()*(0)/Inputs!$C$40)+-Inputs!$C$41*EXP(-(((0)-Inputs!$C$43)^2)/(2*Inputs!$C$44^2))*EXP(-(((Model_Data!A93)-Inputs!$C$42)^2)/(2*Inputs!$C$45^2))+Inputs!$C$48*(0.70*(0.45*SIN(2*PI()*(((Model_Data!A93)/Inputs!$C$49)+Inputs!$C$47*0.137))+0.35*COS(2*PI()*(((0)/Inputs!$C$50)+Inputs!$C$47*0.173))+0.20*SIN(2*PI()*(((Model_Data!A93)+(0))/(0.5*(Inputs!$C$49+Inputs!$C$50))+Inputs!$C$47*0.097)))+0.30*(2*((SIN(((Model_Data!A93)*12.9898+(0)*78.233+Inputs!$C$47*37.719))*43758.5453)-INT((SIN(((Model_Data!A93)*12.9898+(0)*78.233+Inputs!$C$47*37.719))*43758.5453)))-1))))</x:f>
        <x:v>511.9662223636839</x:v>
      </x:c>
      <x:c r="K93" s="48" t="n">
        <x:f>-((((SQRT((Model_Data!A93)^2+Inputs!$C$6^2+((Model_Data!B93)-((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(0.45*SIN(2*PI()*(((Model_Data!A93)/Inputs!$C$49)+Inputs!$C$47*0.137))+0.35*COS(2*PI()*(((Inputs!$C$6)/Inputs!$C$50)+Inputs!$C$47*0.173))+0.20*SIN(2*PI()*(((Model_Data!A93)+(Inputs!$C$6))/(0.5*(Inputs!$C$49+Inputs!$C$50))+Inputs!$C$47*0.097)))+0.30*(2*((SIN(((Model_Data!A93)*12.9898+(Inputs!$C$6)*78.233+Inputs!$C$47*37.719))*43758.5453)-INT((SIN(((Model_Data!A93)*12.9898+(Inputs!$C$6)*78.233+Inputs!$C$47*37.719))*43758.5453)))-1))))/1000)^2))-(((Model_Data!B93)-((Inputs!$C$51*(115*EXP(-(((0)-25)^2)/(4.5^2))+70*EXP(-(((0)+38)^2)/(7^2))*(0.55+0.45*SIN(2*PI()*(Model_Data!A93)/45))+24*SIN(2*PI()*(0)/9+(Model_Data!A93)/18)*EXP(-(((0)+5)^2)/(22^2))+18*SIN(2*PI()*(Model_Data!A93)/70))+Inputs!$C$28*EXP(-(((Model_Data!A93)-Inputs!$C$29)^2)/(2*Inputs!$C$31^2))*EXP(-(((0)-Inputs!$C$30)^2)/(2*Inputs!$C$32^2))+-Inputs!$C$33*EXP(-(((((Model_Data!A93)-Inputs!$C$34)^2)+(((0)-Inputs!$C$35)^2))/(2*Inputs!$C$36^2)))+Inputs!$C$37*(0.55*SIN(2*PI()*(Model_Data!A93)/Inputs!$C$39)+0.35*COS(2*PI()*(0)/Inputs!$C$40)+0.2*SIN(2*PI()*((Model_Data!A93)+(0))/(0.5*(Inputs!$C$39+Inputs!$C$40))))+Inputs!$C$38*SIN(2*PI()*(Model_Data!A93)/Inputs!$C$39)*SIN(2*PI()*(0)/Inputs!$C$40)+-Inputs!$C$41*EXP(-(((0)-Inputs!$C$43)^2)/(2*Inputs!$C$44^2))*EXP(-(((Model_Data!A93)-Inputs!$C$42)^2)/(2*Inputs!$C$45^2))+Inputs!$C$48*(0.70*(0.45*SIN(2*PI()*(((Model_Data!A93)/Inputs!$C$49)+Inputs!$C$47*0.137))+0.35*COS(2*PI()*(((0)/Inputs!$C$50)+Inputs!$C$47*0.173))+0.20*SIN(2*PI()*(((Model_Data!A93)+(0))/(0.5*(Inputs!$C$49+Inputs!$C$50))+Inputs!$C$47*0.097)))+0.30*(2*((SIN(((Model_Data!A93)*12.9898+(0)*78.233+Inputs!$C$47*37.719))*43758.5453)-INT((SIN(((Model_Data!A93)*12.9898+(0)*78.233+Inputs!$C$47*37.719))*43758.5453)))-1))))/1000)))*1000/Inputs!$C$12)-Model_Data!F93)</x:f>
        <x:v>287.0002976168011</x:v>
      </x:c>
      <x:c r="L93" s="49"/>
      <x:c r="M93" s="48" t="n">
        <x:f>Model_Data!A93</x:f>
        <x:v>-14.5</x:v>
      </x:c>
      <x:c r="N93" s="48" t="n">
        <x:f>Model_Data!P93</x:f>
        <x:v>109.23727838244822</x:v>
      </x:c>
      <x:c r="O93" s="48" t="n">
        <x:f>AC93</x:f>
        <x:v>116.20286074248725</x:v>
      </x:c>
      <x:c r="P93" s="48" t="n">
        <x:f>Model_Data!Q93</x:f>
        <x:v>16.401993751118354</x:v>
      </x:c>
      <x:c r="Q93" s="48" t="n">
        <x:f>AD93</x:f>
        <x:v>17.44787698836145</x:v>
      </x:c>
      <x:c r="R93" s="49"/>
      <x:c r="S93" s="48" t="n">
        <x:f>Model_Data!A93</x:f>
        <x:v>-14.5</x:v>
      </x:c>
      <x:c r="T93" s="48" t="n">
        <x:f>Model_Data!B93-Inputs!$C$5</x:f>
        <x:v>0.23361111111108812</x:v>
      </x:c>
      <x:c r="U93" s="49"/>
      <x:c r="V93" s="48" t="n">
        <x:f>Model_Data!A93</x:f>
        <x:v>-14.5</x:v>
      </x:c>
      <x:c r="W93" s="48" t="n">
        <x:f>(-((((SQRT((Model_Data!A93)^2+Inputs!$C$6^2+((Model_Data!B93)-((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(0.45*SIN(2*PI()*(((Model_Data!A93)/Inputs!$C$49)+Inputs!$C$47*0.137))+0.35*COS(2*PI()*(((Inputs!$C$6)/Inputs!$C$50)+Inputs!$C$47*0.173))+0.20*SIN(2*PI()*(((Model_Data!A93)+(Inputs!$C$6))/(0.5*(Inputs!$C$49+Inputs!$C$50))+Inputs!$C$47*0.097)))+0.30*(2*((SIN(((Model_Data!A93)*12.9898+(Inputs!$C$6)*78.233+Inputs!$C$47*37.719))*43758.5453)-INT((SIN(((Model_Data!A93)*12.9898+(Inputs!$C$6)*78.233+Inputs!$C$47*37.719))*43758.5453)))-1))))/1000)^2))-(((Model_Data!B93)-((Inputs!$C$51*(115*EXP(-(((0)-25)^2)/(4.5^2))+70*EXP(-(((0)+38)^2)/(7^2))*(0.55+0.45*SIN(2*PI()*(Model_Data!A93)/45))+24*SIN(2*PI()*(0)/9+(Model_Data!A93)/18)*EXP(-(((0)+5)^2)/(22^2))+18*SIN(2*PI()*(Model_Data!A93)/70))+Inputs!$C$28*EXP(-(((Model_Data!A93)-Inputs!$C$29)^2)/(2*Inputs!$C$31^2))*EXP(-(((0)-Inputs!$C$30)^2)/(2*Inputs!$C$32^2))+-Inputs!$C$33*EXP(-(((((Model_Data!A93)-Inputs!$C$34)^2)+(((0)-Inputs!$C$35)^2))/(2*Inputs!$C$36^2)))+Inputs!$C$37*(0.55*SIN(2*PI()*(Model_Data!A93)/Inputs!$C$39)+0.35*COS(2*PI()*(0)/Inputs!$C$40)+0.2*SIN(2*PI()*((Model_Data!A93)+(0))/(0.5*(Inputs!$C$39+Inputs!$C$40))))+Inputs!$C$38*SIN(2*PI()*(Model_Data!A93)/Inputs!$C$39)*SIN(2*PI()*(0)/Inputs!$C$40)+-Inputs!$C$41*EXP(-(((0)-Inputs!$C$43)^2)/(2*Inputs!$C$44^2))*EXP(-(((Model_Data!A93)-Inputs!$C$42)^2)/(2*Inputs!$C$45^2))+Inputs!$C$48*(0.70*(0.45*SIN(2*PI()*(((Model_Data!A93)/Inputs!$C$49)+Inputs!$C$47*0.137))+0.35*COS(2*PI()*(((0)/Inputs!$C$50)+Inputs!$C$47*0.173))+0.20*SIN(2*PI()*(((Model_Data!A93)+(0))/(0.5*(Inputs!$C$49+Inputs!$C$50))+Inputs!$C$47*0.097)))+0.30*(2*((SIN(((Model_Data!A93)*12.9898+(0)*78.233+Inputs!$C$47*37.719))*43758.5453)-INT((SIN(((Model_Data!A93)*12.9898+(0)*78.233+Inputs!$C$47*37.719))*43758.5453)))-1))))/1000)))*1000/Inputs!$C$12)-Model_Data!F93))-(-(((SQRT((Model_Data!A93)^2+Inputs!$C$6^2+(Inputs!$C$5-((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(0.45*SIN(2*PI()*(((Model_Data!A93)/Inputs!$C$49)+Inputs!$C$47*0.137))+0.35*COS(2*PI()*(((Inputs!$C$6)/Inputs!$C$50)+Inputs!$C$47*0.173))+0.20*SIN(2*PI()*(((Model_Data!A93)+(Inputs!$C$6))/(0.5*(Inputs!$C$49+Inputs!$C$50))+Inputs!$C$47*0.097)))+0.30*(2*((SIN(((Model_Data!A93)*12.9898+(Inputs!$C$6)*78.233+Inputs!$C$47*37.719))*43758.5453)-INT((SIN(((Model_Data!A93)*12.9898+(Inputs!$C$6)*78.233+Inputs!$C$47*37.719))*43758.5453)))-1))))/1000)^2)-(Inputs!$C$5-((Inputs!$C$51*(115*EXP(-(((0)-25)^2)/(4.5^2))+70*EXP(-(((0)+38)^2)/(7^2))*(0.55+0.45*SIN(2*PI()*(Model_Data!A93)/45))+24*SIN(2*PI()*(0)/9+(Model_Data!A93)/18)*EXP(-(((0)+5)^2)/(22^2))+18*SIN(2*PI()*(Model_Data!A93)/70))+Inputs!$C$28*EXP(-(((Model_Data!A93)-Inputs!$C$29)^2)/(2*Inputs!$C$31^2))*EXP(-(((0)-Inputs!$C$30)^2)/(2*Inputs!$C$32^2))+-Inputs!$C$33*EXP(-(((((Model_Data!A93)-Inputs!$C$34)^2)+(((0)-Inputs!$C$35)^2))/(2*Inputs!$C$36^2)))+Inputs!$C$37*(0.55*SIN(2*PI()*(Model_Data!A93)/Inputs!$C$39)+0.35*COS(2*PI()*(0)/Inputs!$C$40)+0.2*SIN(2*PI()*((Model_Data!A93)+(0))/(0.5*(Inputs!$C$39+Inputs!$C$40))))+Inputs!$C$38*SIN(2*PI()*(Model_Data!A93)/Inputs!$C$39)*SIN(2*PI()*(0)/Inputs!$C$40)+-Inputs!$C$41*EXP(-(((0)-Inputs!$C$43)^2)/(2*Inputs!$C$44^2))*EXP(-(((Model_Data!A93)-Inputs!$C$42)^2)/(2*Inputs!$C$45^2))+Inputs!$C$48*(0.70*(0.45*SIN(2*PI()*(((Model_Data!A93)/Inputs!$C$49)+Inputs!$C$47*0.137))+0.35*COS(2*PI()*(((0)/Inputs!$C$50)+Inputs!$C$47*0.173))+0.20*SIN(2*PI()*(((Model_Data!A93)+(0))/(0.5*(Inputs!$C$49+Inputs!$C$50))+Inputs!$C$47*0.097)))+0.30*(2*((SIN(((Model_Data!A93)*12.9898+(0)*78.233+Inputs!$C$47*37.719))*43758.5453)-INT((SIN(((Model_Data!A93)*12.9898+(0)*78.233+Inputs!$C$47*37.719))*43758.5453)))-1))))/1000))*1000/Inputs!$C$12)-((SQRT((Model_Data!A93)^2+Inputs!$C$6^2+Inputs!$C$5^2)-Inputs!$C$5)*1000/Inputs!$C$12)))</x:f>
        <x:v>0.0007233333352587579</x:v>
      </x:c>
      <x:c r="X93" s="48" t="n">
        <x:f>0</x:f>
        <x:v>0</x:v>
      </x:c>
      <x:c r="Y93" s="49"/>
      <x:c r="Z93" s="48" t="n">
        <x:f>Model_Data!A93</x:f>
        <x:v>-14.5</x:v>
      </x:c>
      <x:c r="AA93" s="48" t="n">
        <x:f>SQRT((Model_Data!A93)^2+Inputs!$C$6^2+((Model_Data!B93)-((Inputs!$C$51*(115*EXP(-(((Inputs!$C$6)-25)^2)/(4.5^2))+70*EXP(-(((Inputs!$C$6)+38)^2)/(7^2))*(0.55+0.45*SIN(2*PI()*(Model_Data!A93)/45))+24*SIN(2*PI()*(Inputs!$C$6)/9+(Model_Data!A93)/18)*EXP(-(((Inputs!$C$6)+5)^2)/(22^2))+18*SIN(2*PI()*(Model_Data!A93)/70))+Inputs!$C$28*EXP(-(((Model_Data!A93)-Inputs!$C$29)^2)/(2*Inputs!$C$31^2))*EXP(-(((Inputs!$C$6)-Inputs!$C$30)^2)/(2*Inputs!$C$32^2))+-Inputs!$C$33*EXP(-(((((Model_Data!A93)-Inputs!$C$34)^2)+(((Inputs!$C$6)-Inputs!$C$35)^2))/(2*Inputs!$C$36^2)))+Inputs!$C$37*(0.55*SIN(2*PI()*(Model_Data!A93)/Inputs!$C$39)+0.35*COS(2*PI()*(Inputs!$C$6)/Inputs!$C$40)+0.2*SIN(2*PI()*((Model_Data!A93)+(Inputs!$C$6))/(0.5*(Inputs!$C$39+Inputs!$C$40))))+Inputs!$C$38*SIN(2*PI()*(Model_Data!A93)/Inputs!$C$39)*SIN(2*PI()*(Inputs!$C$6)/Inputs!$C$40)+-Inputs!$C$41*EXP(-(((Inputs!$C$6)-Inputs!$C$43)^2)/(2*Inputs!$C$44^2))*EXP(-(((Model_Data!A93)-Inputs!$C$42)^2)/(2*Inputs!$C$45^2))+Inputs!$C$48*(0.70*(0.45*SIN(2*PI()*(((Model_Data!A93)/Inputs!$C$49)+Inputs!$C$47*0.137))+0.35*COS(2*PI()*(((Inputs!$C$6)/Inputs!$C$50)+Inputs!$C$47*0.173))+0.20*SIN(2*PI()*(((Model_Data!A93)+(Inputs!$C$6))/(0.5*(Inputs!$C$49+Inputs!$C$50))+Inputs!$C$47*0.097)))+0.30*(2*((SIN(((Model_Data!A93)*12.9898+(Inputs!$C$6)*78.233+Inputs!$C$47*37.719))*43758.5453)-INT((SIN(((Model_Data!A93)*12.9898+(Inputs!$C$6)*78.233+Inputs!$C$47*37.719))*43758.5453)))-1))))/1000)^2)</x:f>
        <x:v>400.8514994967043</x:v>
      </x:c>
      <x:c r="AB93" s="48" t="n">
        <x:f>1000*(AA94-AA92)/(Z94-Z92)*Inputs!$C$11</x:f>
        <x:v>-290.5071518562181</x:v>
      </x:c>
      <x:c r="AC93" s="48" t="n">
        <x:f>-2*AB93/Inputs!$C$13</x:f>
        <x:v>116.20286074248725</x:v>
      </x:c>
      <x:c r="AD93" s="48" t="n">
        <x:f>-2*AB93/Inputs!$C$14</x:f>
        <x:v>17.44787698836145</x:v>
      </x:c>
    </x:row>
    <x:row r="94">
      <x:c r="A94" s="48" t="n">
        <x:f>Model_Data!A94</x:f>
        <x:v>-14</x:v>
      </x:c>
      <x:c r="B94" s="48" t="n">
        <x:f>Model_Data!F94</x:f>
        <x:v>575.4947119078927</x:v>
      </x:c>
      <x:c r="C94" s="48" t="n">
        <x:f>(((SQRT((Model_Data!A94)^2+Inputs!$C$6^2+((Model_Data!B94)-((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(0.45*SIN(2*PI()*(((Model_Data!A94)/Inputs!$C$49)+Inputs!$C$47*0.137))+0.35*COS(2*PI()*(((Inputs!$C$6)/Inputs!$C$50)+Inputs!$C$47*0.173))+0.20*SIN(2*PI()*(((Model_Data!A94)+(Inputs!$C$6))/(0.5*(Inputs!$C$49+Inputs!$C$50))+Inputs!$C$47*0.097)))+0.30*(2*((SIN(((Model_Data!A94)*12.9898+(Inputs!$C$6)*78.233+Inputs!$C$47*37.719))*43758.5453)-INT((SIN(((Model_Data!A94)*12.9898+(Inputs!$C$6)*78.233+Inputs!$C$47*37.719))*43758.5453)))-1))))/1000)^2))-(((Model_Data!B94)-((Inputs!$C$51*(115*EXP(-(((0)-25)^2)/(4.5^2))+70*EXP(-(((0)+38)^2)/(7^2))*(0.55+0.45*SIN(2*PI()*(Model_Data!A94)/45))+24*SIN(2*PI()*(0)/9+(Model_Data!A94)/18)*EXP(-(((0)+5)^2)/(22^2))+18*SIN(2*PI()*(Model_Data!A94)/70))+Inputs!$C$28*EXP(-(((Model_Data!A94)-Inputs!$C$29)^2)/(2*Inputs!$C$31^2))*EXP(-(((0)-Inputs!$C$30)^2)/(2*Inputs!$C$32^2))+-Inputs!$C$33*EXP(-(((((Model_Data!A94)-Inputs!$C$34)^2)+(((0)-Inputs!$C$35)^2))/(2*Inputs!$C$36^2)))+Inputs!$C$37*(0.55*SIN(2*PI()*(Model_Data!A94)/Inputs!$C$39)+0.35*COS(2*PI()*(0)/Inputs!$C$40)+0.2*SIN(2*PI()*((Model_Data!A94)+(0))/(0.5*(Inputs!$C$39+Inputs!$C$40))))+Inputs!$C$38*SIN(2*PI()*(Model_Data!A94)/Inputs!$C$39)*SIN(2*PI()*(0)/Inputs!$C$40)+-Inputs!$C$41*EXP(-(((0)-Inputs!$C$43)^2)/(2*Inputs!$C$44^2))*EXP(-(((Model_Data!A94)-Inputs!$C$42)^2)/(2*Inputs!$C$45^2))+Inputs!$C$48*(0.70*(0.45*SIN(2*PI()*(((Model_Data!A94)/Inputs!$C$49)+Inputs!$C$47*0.137))+0.35*COS(2*PI()*(((0)/Inputs!$C$50)+Inputs!$C$47*0.173))+0.20*SIN(2*PI()*(((Model_Data!A94)+(0))/(0.5*(Inputs!$C$49+Inputs!$C$50))+Inputs!$C$47*0.097)))+0.30*(2*((SIN(((Model_Data!A94)*12.9898+(0)*78.233+Inputs!$C$47*37.719))*43758.5453)-INT((SIN(((Model_Data!A94)*12.9898+(0)*78.233+Inputs!$C$47*37.719))*43758.5453)))-1))))/1000)))*1000/Inputs!$C$12)</x:f>
        <x:v>292.2094738981253</x:v>
      </x:c>
      <x:c r="D94" s="49"/>
      <x:c r="E94" s="48" t="n">
        <x:f>Model_Data!A94</x:f>
        <x:v>-14</x:v>
      </x:c>
      <x:c r="F94" s="48" t="n">
        <x:f>(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(0.45*SIN(2*PI()*(((Model_Data!A94)/Inputs!$C$49)+Inputs!$C$47*0.137))+0.35*COS(2*PI()*(((Inputs!$C$6)/Inputs!$C$50)+Inputs!$C$47*0.173))+0.20*SIN(2*PI()*(((Model_Data!A94)+(Inputs!$C$6))/(0.5*(Inputs!$C$49+Inputs!$C$50))+Inputs!$C$47*0.097)))+0.30*(2*((SIN(((Model_Data!A94)*12.9898+(Inputs!$C$6)*78.233+Inputs!$C$47*37.719))*43758.5453)-INT((SIN(((Model_Data!A94)*12.9898+(Inputs!$C$6)*78.233+Inputs!$C$47*37.719))*43758.5453)))-1)))</x:f>
        <x:v>420.9575928892744</x:v>
      </x:c>
      <x:c r="G94" s="48" t="n">
        <x:f>(Inputs!$C$51*(115*EXP(-(((0)-25)^2)/(4.5^2))+70*EXP(-(((0)+38)^2)/(7^2))*(0.55+0.45*SIN(2*PI()*(Model_Data!A94)/45))+24*SIN(2*PI()*(0)/9+(Model_Data!A94)/18)*EXP(-(((0)+5)^2)/(22^2))+18*SIN(2*PI()*(Model_Data!A94)/70))+Inputs!$C$28*EXP(-(((Model_Data!A94)-Inputs!$C$29)^2)/(2*Inputs!$C$31^2))*EXP(-(((0)-Inputs!$C$30)^2)/(2*Inputs!$C$32^2))+-Inputs!$C$33*EXP(-(((((Model_Data!A94)-Inputs!$C$34)^2)+(((0)-Inputs!$C$35)^2))/(2*Inputs!$C$36^2)))+Inputs!$C$37*(0.55*SIN(2*PI()*(Model_Data!A94)/Inputs!$C$39)+0.35*COS(2*PI()*(0)/Inputs!$C$40)+0.2*SIN(2*PI()*((Model_Data!A94)+(0))/(0.5*(Inputs!$C$39+Inputs!$C$40))))+Inputs!$C$38*SIN(2*PI()*(Model_Data!A94)/Inputs!$C$39)*SIN(2*PI()*(0)/Inputs!$C$40)+-Inputs!$C$41*EXP(-(((0)-Inputs!$C$43)^2)/(2*Inputs!$C$44^2))*EXP(-(((Model_Data!A94)-Inputs!$C$42)^2)/(2*Inputs!$C$45^2))+Inputs!$C$48*(0.70*(0.45*SIN(2*PI()*(((Model_Data!A94)/Inputs!$C$49)+Inputs!$C$47*0.137))+0.35*COS(2*PI()*(((0)/Inputs!$C$50)+Inputs!$C$47*0.173))+0.20*SIN(2*PI()*(((Model_Data!A94)+(0))/(0.5*(Inputs!$C$49+Inputs!$C$50))+Inputs!$C$47*0.097)))+0.30*(2*((SIN(((Model_Data!A94)*12.9898+(0)*78.233+Inputs!$C$47*37.719))*43758.5453)-INT((SIN(((Model_Data!A94)*12.9898+(0)*78.233+Inputs!$C$47*37.719))*43758.5453)))-1)))</x:f>
        <x:v>-84.36597258140502</x:v>
      </x:c>
      <x:c r="H94" s="49"/>
      <x:c r="I94" s="48" t="n">
        <x:f>Model_Data!A94</x:f>
        <x:v>-14</x:v>
      </x:c>
      <x:c r="J94" s="48" t="n">
        <x:f>((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(0.45*SIN(2*PI()*(((Model_Data!A94)/Inputs!$C$49)+Inputs!$C$47*0.137))+0.35*COS(2*PI()*(((Inputs!$C$6)/Inputs!$C$50)+Inputs!$C$47*0.173))+0.20*SIN(2*PI()*(((Model_Data!A94)+(Inputs!$C$6))/(0.5*(Inputs!$C$49+Inputs!$C$50))+Inputs!$C$47*0.097)))+0.30*(2*((SIN(((Model_Data!A94)*12.9898+(Inputs!$C$6)*78.233+Inputs!$C$47*37.719))*43758.5453)-INT((SIN(((Model_Data!A94)*12.9898+(Inputs!$C$6)*78.233+Inputs!$C$47*37.719))*43758.5453)))-1))))-((Inputs!$C$51*(115*EXP(-(((0)-25)^2)/(4.5^2))+70*EXP(-(((0)+38)^2)/(7^2))*(0.55+0.45*SIN(2*PI()*(Model_Data!A94)/45))+24*SIN(2*PI()*(0)/9+(Model_Data!A94)/18)*EXP(-(((0)+5)^2)/(22^2))+18*SIN(2*PI()*(Model_Data!A94)/70))+Inputs!$C$28*EXP(-(((Model_Data!A94)-Inputs!$C$29)^2)/(2*Inputs!$C$31^2))*EXP(-(((0)-Inputs!$C$30)^2)/(2*Inputs!$C$32^2))+-Inputs!$C$33*EXP(-(((((Model_Data!A94)-Inputs!$C$34)^2)+(((0)-Inputs!$C$35)^2))/(2*Inputs!$C$36^2)))+Inputs!$C$37*(0.55*SIN(2*PI()*(Model_Data!A94)/Inputs!$C$39)+0.35*COS(2*PI()*(0)/Inputs!$C$40)+0.2*SIN(2*PI()*((Model_Data!A94)+(0))/(0.5*(Inputs!$C$39+Inputs!$C$40))))+Inputs!$C$38*SIN(2*PI()*(Model_Data!A94)/Inputs!$C$39)*SIN(2*PI()*(0)/Inputs!$C$40)+-Inputs!$C$41*EXP(-(((0)-Inputs!$C$43)^2)/(2*Inputs!$C$44^2))*EXP(-(((Model_Data!A94)-Inputs!$C$42)^2)/(2*Inputs!$C$45^2))+Inputs!$C$48*(0.70*(0.45*SIN(2*PI()*(((Model_Data!A94)/Inputs!$C$49)+Inputs!$C$47*0.137))+0.35*COS(2*PI()*(((0)/Inputs!$C$50)+Inputs!$C$47*0.173))+0.20*SIN(2*PI()*(((Model_Data!A94)+(0))/(0.5*(Inputs!$C$49+Inputs!$C$50))+Inputs!$C$47*0.097)))+0.30*(2*((SIN(((Model_Data!A94)*12.9898+(0)*78.233+Inputs!$C$47*37.719))*43758.5453)-INT((SIN(((Model_Data!A94)*12.9898+(0)*78.233+Inputs!$C$47*37.719))*43758.5453)))-1))))</x:f>
        <x:v>505.3235654706794</x:v>
      </x:c>
      <x:c r="K94" s="48" t="n">
        <x:f>-((((SQRT((Model_Data!A94)^2+Inputs!$C$6^2+((Model_Data!B94)-((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(0.45*SIN(2*PI()*(((Model_Data!A94)/Inputs!$C$49)+Inputs!$C$47*0.137))+0.35*COS(2*PI()*(((Inputs!$C$6)/Inputs!$C$50)+Inputs!$C$47*0.173))+0.20*SIN(2*PI()*(((Model_Data!A94)+(Inputs!$C$6))/(0.5*(Inputs!$C$49+Inputs!$C$50))+Inputs!$C$47*0.097)))+0.30*(2*((SIN(((Model_Data!A94)*12.9898+(Inputs!$C$6)*78.233+Inputs!$C$47*37.719))*43758.5453)-INT((SIN(((Model_Data!A94)*12.9898+(Inputs!$C$6)*78.233+Inputs!$C$47*37.719))*43758.5453)))-1))))/1000)^2))-(((Model_Data!B94)-((Inputs!$C$51*(115*EXP(-(((0)-25)^2)/(4.5^2))+70*EXP(-(((0)+38)^2)/(7^2))*(0.55+0.45*SIN(2*PI()*(Model_Data!A94)/45))+24*SIN(2*PI()*(0)/9+(Model_Data!A94)/18)*EXP(-(((0)+5)^2)/(22^2))+18*SIN(2*PI()*(Model_Data!A94)/70))+Inputs!$C$28*EXP(-(((Model_Data!A94)-Inputs!$C$29)^2)/(2*Inputs!$C$31^2))*EXP(-(((0)-Inputs!$C$30)^2)/(2*Inputs!$C$32^2))+-Inputs!$C$33*EXP(-(((((Model_Data!A94)-Inputs!$C$34)^2)+(((0)-Inputs!$C$35)^2))/(2*Inputs!$C$36^2)))+Inputs!$C$37*(0.55*SIN(2*PI()*(Model_Data!A94)/Inputs!$C$39)+0.35*COS(2*PI()*(0)/Inputs!$C$40)+0.2*SIN(2*PI()*((Model_Data!A94)+(0))/(0.5*(Inputs!$C$39+Inputs!$C$40))))+Inputs!$C$38*SIN(2*PI()*(Model_Data!A94)/Inputs!$C$39)*SIN(2*PI()*(0)/Inputs!$C$40)+-Inputs!$C$41*EXP(-(((0)-Inputs!$C$43)^2)/(2*Inputs!$C$44^2))*EXP(-(((Model_Data!A94)-Inputs!$C$42)^2)/(2*Inputs!$C$45^2))+Inputs!$C$48*(0.70*(0.45*SIN(2*PI()*(((Model_Data!A94)/Inputs!$C$49)+Inputs!$C$47*0.137))+0.35*COS(2*PI()*(((0)/Inputs!$C$50)+Inputs!$C$47*0.173))+0.20*SIN(2*PI()*(((Model_Data!A94)+(0))/(0.5*(Inputs!$C$49+Inputs!$C$50))+Inputs!$C$47*0.097)))+0.30*(2*((SIN(((Model_Data!A94)*12.9898+(0)*78.233+Inputs!$C$47*37.719))*43758.5453)-INT((SIN(((Model_Data!A94)*12.9898+(0)*78.233+Inputs!$C$47*37.719))*43758.5453)))-1))))/1000)))*1000/Inputs!$C$12)-Model_Data!F94)</x:f>
        <x:v>283.2852380097674</x:v>
      </x:c>
      <x:c r="L94" s="49"/>
      <x:c r="M94" s="48" t="n">
        <x:f>Model_Data!A94</x:f>
        <x:v>-14</x:v>
      </x:c>
      <x:c r="N94" s="48" t="n">
        <x:f>Model_Data!P94</x:f>
        <x:v>105.47733014246676</x:v>
      </x:c>
      <x:c r="O94" s="48" t="n">
        <x:f>AC94</x:f>
        <x:v>95.09241734904208</x:v>
      </x:c>
      <x:c r="P94" s="48" t="n">
        <x:f>Model_Data!Q94</x:f>
        <x:v>15.837436958328343</x:v>
      </x:c>
      <x:c r="Q94" s="48" t="n">
        <x:f>AD94</x:f>
        <x:v>14.278140743099412</x:v>
      </x:c>
      <x:c r="R94" s="49"/>
      <x:c r="S94" s="48" t="n">
        <x:f>Model_Data!A94</x:f>
        <x:v>-14</x:v>
      </x:c>
      <x:c r="T94" s="48" t="n">
        <x:f>Model_Data!B94-Inputs!$C$5</x:f>
        <x:v>0.2177777777777692</x:v>
      </x:c>
      <x:c r="U94" s="49"/>
      <x:c r="V94" s="48" t="n">
        <x:f>Model_Data!A94</x:f>
        <x:v>-14</x:v>
      </x:c>
      <x:c r="W94" s="48" t="n">
        <x:f>(-((((SQRT((Model_Data!A94)^2+Inputs!$C$6^2+((Model_Data!B94)-((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(0.45*SIN(2*PI()*(((Model_Data!A94)/Inputs!$C$49)+Inputs!$C$47*0.137))+0.35*COS(2*PI()*(((Inputs!$C$6)/Inputs!$C$50)+Inputs!$C$47*0.173))+0.20*SIN(2*PI()*(((Model_Data!A94)+(Inputs!$C$6))/(0.5*(Inputs!$C$49+Inputs!$C$50))+Inputs!$C$47*0.097)))+0.30*(2*((SIN(((Model_Data!A94)*12.9898+(Inputs!$C$6)*78.233+Inputs!$C$47*37.719))*43758.5453)-INT((SIN(((Model_Data!A94)*12.9898+(Inputs!$C$6)*78.233+Inputs!$C$47*37.719))*43758.5453)))-1))))/1000)^2))-(((Model_Data!B94)-((Inputs!$C$51*(115*EXP(-(((0)-25)^2)/(4.5^2))+70*EXP(-(((0)+38)^2)/(7^2))*(0.55+0.45*SIN(2*PI()*(Model_Data!A94)/45))+24*SIN(2*PI()*(0)/9+(Model_Data!A94)/18)*EXP(-(((0)+5)^2)/(22^2))+18*SIN(2*PI()*(Model_Data!A94)/70))+Inputs!$C$28*EXP(-(((Model_Data!A94)-Inputs!$C$29)^2)/(2*Inputs!$C$31^2))*EXP(-(((0)-Inputs!$C$30)^2)/(2*Inputs!$C$32^2))+-Inputs!$C$33*EXP(-(((((Model_Data!A94)-Inputs!$C$34)^2)+(((0)-Inputs!$C$35)^2))/(2*Inputs!$C$36^2)))+Inputs!$C$37*(0.55*SIN(2*PI()*(Model_Data!A94)/Inputs!$C$39)+0.35*COS(2*PI()*(0)/Inputs!$C$40)+0.2*SIN(2*PI()*((Model_Data!A94)+(0))/(0.5*(Inputs!$C$39+Inputs!$C$40))))+Inputs!$C$38*SIN(2*PI()*(Model_Data!A94)/Inputs!$C$39)*SIN(2*PI()*(0)/Inputs!$C$40)+-Inputs!$C$41*EXP(-(((0)-Inputs!$C$43)^2)/(2*Inputs!$C$44^2))*EXP(-(((Model_Data!A94)-Inputs!$C$42)^2)/(2*Inputs!$C$45^2))+Inputs!$C$48*(0.70*(0.45*SIN(2*PI()*(((Model_Data!A94)/Inputs!$C$49)+Inputs!$C$47*0.137))+0.35*COS(2*PI()*(((0)/Inputs!$C$50)+Inputs!$C$47*0.173))+0.20*SIN(2*PI()*(((Model_Data!A94)+(0))/(0.5*(Inputs!$C$49+Inputs!$C$50))+Inputs!$C$47*0.097)))+0.30*(2*((SIN(((Model_Data!A94)*12.9898+(0)*78.233+Inputs!$C$47*37.719))*43758.5453)-INT((SIN(((Model_Data!A94)*12.9898+(0)*78.233+Inputs!$C$47*37.719))*43758.5453)))-1))))/1000)))*1000/Inputs!$C$12)-Model_Data!F94))-(-(((SQRT((Model_Data!A94)^2+Inputs!$C$6^2+(Inputs!$C$5-((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(0.45*SIN(2*PI()*(((Model_Data!A94)/Inputs!$C$49)+Inputs!$C$47*0.137))+0.35*COS(2*PI()*(((Inputs!$C$6)/Inputs!$C$50)+Inputs!$C$47*0.173))+0.20*SIN(2*PI()*(((Model_Data!A94)+(Inputs!$C$6))/(0.5*(Inputs!$C$49+Inputs!$C$50))+Inputs!$C$47*0.097)))+0.30*(2*((SIN(((Model_Data!A94)*12.9898+(Inputs!$C$6)*78.233+Inputs!$C$47*37.719))*43758.5453)-INT((SIN(((Model_Data!A94)*12.9898+(Inputs!$C$6)*78.233+Inputs!$C$47*37.719))*43758.5453)))-1))))/1000)^2)-(Inputs!$C$5-((Inputs!$C$51*(115*EXP(-(((0)-25)^2)/(4.5^2))+70*EXP(-(((0)+38)^2)/(7^2))*(0.55+0.45*SIN(2*PI()*(Model_Data!A94)/45))+24*SIN(2*PI()*(0)/9+(Model_Data!A94)/18)*EXP(-(((0)+5)^2)/(22^2))+18*SIN(2*PI()*(Model_Data!A94)/70))+Inputs!$C$28*EXP(-(((Model_Data!A94)-Inputs!$C$29)^2)/(2*Inputs!$C$31^2))*EXP(-(((0)-Inputs!$C$30)^2)/(2*Inputs!$C$32^2))+-Inputs!$C$33*EXP(-(((((Model_Data!A94)-Inputs!$C$34)^2)+(((0)-Inputs!$C$35)^2))/(2*Inputs!$C$36^2)))+Inputs!$C$37*(0.55*SIN(2*PI()*(Model_Data!A94)/Inputs!$C$39)+0.35*COS(2*PI()*(0)/Inputs!$C$40)+0.2*SIN(2*PI()*((Model_Data!A94)+(0))/(0.5*(Inputs!$C$39+Inputs!$C$40))))+Inputs!$C$38*SIN(2*PI()*(Model_Data!A94)/Inputs!$C$39)*SIN(2*PI()*(0)/Inputs!$C$40)+-Inputs!$C$41*EXP(-(((0)-Inputs!$C$43)^2)/(2*Inputs!$C$44^2))*EXP(-(((Model_Data!A94)-Inputs!$C$42)^2)/(2*Inputs!$C$45^2))+Inputs!$C$48*(0.70*(0.45*SIN(2*PI()*(((Model_Data!A94)/Inputs!$C$49)+Inputs!$C$47*0.137))+0.35*COS(2*PI()*(((0)/Inputs!$C$50)+Inputs!$C$47*0.173))+0.20*SIN(2*PI()*(((Model_Data!A94)+(0))/(0.5*(Inputs!$C$49+Inputs!$C$50))+Inputs!$C$47*0.097)))+0.30*(2*((SIN(((Model_Data!A94)*12.9898+(0)*78.233+Inputs!$C$47*37.719))*43758.5453)-INT((SIN(((Model_Data!A94)*12.9898+(0)*78.233+Inputs!$C$47*37.719))*43758.5453)))-1))))/1000))*1000/Inputs!$C$12)-((SQRT((Model_Data!A94)^2+Inputs!$C$6^2+Inputs!$C$5^2)-Inputs!$C$5)*1000/Inputs!$C$12)))</x:f>
        <x:v>0.0006561309059520681</x:v>
      </x:c>
      <x:c r="X94" s="48" t="n">
        <x:f>0</x:f>
        <x:v>0</x:v>
      </x:c>
      <x:c r="Y94" s="49"/>
      <x:c r="Z94" s="48" t="n">
        <x:f>Model_Data!A94</x:f>
        <x:v>-14</x:v>
      </x:c>
      <x:c r="AA94" s="48" t="n">
        <x:f>SQRT((Model_Data!A94)^2+Inputs!$C$6^2+((Model_Data!B94)-((Inputs!$C$51*(115*EXP(-(((Inputs!$C$6)-25)^2)/(4.5^2))+70*EXP(-(((Inputs!$C$6)+38)^2)/(7^2))*(0.55+0.45*SIN(2*PI()*(Model_Data!A94)/45))+24*SIN(2*PI()*(Inputs!$C$6)/9+(Model_Data!A94)/18)*EXP(-(((Inputs!$C$6)+5)^2)/(22^2))+18*SIN(2*PI()*(Model_Data!A94)/70))+Inputs!$C$28*EXP(-(((Model_Data!A94)-Inputs!$C$29)^2)/(2*Inputs!$C$31^2))*EXP(-(((Inputs!$C$6)-Inputs!$C$30)^2)/(2*Inputs!$C$32^2))+-Inputs!$C$33*EXP(-(((((Model_Data!A94)-Inputs!$C$34)^2)+(((Inputs!$C$6)-Inputs!$C$35)^2))/(2*Inputs!$C$36^2)))+Inputs!$C$37*(0.55*SIN(2*PI()*(Model_Data!A94)/Inputs!$C$39)+0.35*COS(2*PI()*(Inputs!$C$6)/Inputs!$C$40)+0.2*SIN(2*PI()*((Model_Data!A94)+(Inputs!$C$6))/(0.5*(Inputs!$C$39+Inputs!$C$40))))+Inputs!$C$38*SIN(2*PI()*(Model_Data!A94)/Inputs!$C$39)*SIN(2*PI()*(Inputs!$C$6)/Inputs!$C$40)+-Inputs!$C$41*EXP(-(((Inputs!$C$6)-Inputs!$C$43)^2)/(2*Inputs!$C$44^2))*EXP(-(((Model_Data!A94)-Inputs!$C$42)^2)/(2*Inputs!$C$45^2))+Inputs!$C$48*(0.70*(0.45*SIN(2*PI()*(((Model_Data!A94)/Inputs!$C$49)+Inputs!$C$47*0.137))+0.35*COS(2*PI()*(((Inputs!$C$6)/Inputs!$C$50)+Inputs!$C$47*0.173))+0.20*SIN(2*PI()*(((Model_Data!A94)+(Inputs!$C$6))/(0.5*(Inputs!$C$49+Inputs!$C$50))+Inputs!$C$47*0.097)))+0.30*(2*((SIN(((Model_Data!A94)*12.9898+(Inputs!$C$6)*78.233+Inputs!$C$47*37.719))*43758.5453)-INT((SIN(((Model_Data!A94)*12.9898+(Inputs!$C$6)*78.233+Inputs!$C$47*37.719))*43758.5453)))-1))))/1000)^2)</x:f>
        <x:v>400.8222766138978</x:v>
      </x:c>
      <x:c r="AB94" s="48" t="n">
        <x:f>1000*(AA95-AA93)/(Z95-Z93)*Inputs!$C$11</x:f>
        <x:v>-237.7310433726052</x:v>
      </x:c>
      <x:c r="AC94" s="48" t="n">
        <x:f>-2*AB94/Inputs!$C$13</x:f>
        <x:v>95.09241734904208</x:v>
      </x:c>
      <x:c r="AD94" s="48" t="n">
        <x:f>-2*AB94/Inputs!$C$14</x:f>
        <x:v>14.278140743099412</x:v>
      </x:c>
    </x:row>
    <x:row r="95">
      <x:c r="A95" s="48" t="n">
        <x:f>Model_Data!A95</x:f>
        <x:v>-13.5</x:v>
      </x:c>
      <x:c r="B95" s="48" t="n">
        <x:f>Model_Data!F95</x:f>
        <x:v>565.8900479164877</x:v>
      </x:c>
      <x:c r="C95" s="48" t="n">
        <x:f>(((SQRT((Model_Data!A95)^2+Inputs!$C$6^2+((Model_Data!B95)-((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(0.45*SIN(2*PI()*(((Model_Data!A95)/Inputs!$C$49)+Inputs!$C$47*0.137))+0.35*COS(2*PI()*(((Inputs!$C$6)/Inputs!$C$50)+Inputs!$C$47*0.173))+0.20*SIN(2*PI()*(((Model_Data!A95)+(Inputs!$C$6))/(0.5*(Inputs!$C$49+Inputs!$C$50))+Inputs!$C$47*0.097)))+0.30*(2*((SIN(((Model_Data!A95)*12.9898+(Inputs!$C$6)*78.233+Inputs!$C$47*37.719))*43758.5453)-INT((SIN(((Model_Data!A95)*12.9898+(Inputs!$C$6)*78.233+Inputs!$C$47*37.719))*43758.5453)))-1))))/1000)^2))-(((Model_Data!B95)-((Inputs!$C$51*(115*EXP(-(((0)-25)^2)/(4.5^2))+70*EXP(-(((0)+38)^2)/(7^2))*(0.55+0.45*SIN(2*PI()*(Model_Data!A95)/45))+24*SIN(2*PI()*(0)/9+(Model_Data!A95)/18)*EXP(-(((0)+5)^2)/(22^2))+18*SIN(2*PI()*(Model_Data!A95)/70))+Inputs!$C$28*EXP(-(((Model_Data!A95)-Inputs!$C$29)^2)/(2*Inputs!$C$31^2))*EXP(-(((0)-Inputs!$C$30)^2)/(2*Inputs!$C$32^2))+-Inputs!$C$33*EXP(-(((((Model_Data!A95)-Inputs!$C$34)^2)+(((0)-Inputs!$C$35)^2))/(2*Inputs!$C$36^2)))+Inputs!$C$37*(0.55*SIN(2*PI()*(Model_Data!A95)/Inputs!$C$39)+0.35*COS(2*PI()*(0)/Inputs!$C$40)+0.2*SIN(2*PI()*((Model_Data!A95)+(0))/(0.5*(Inputs!$C$39+Inputs!$C$40))))+Inputs!$C$38*SIN(2*PI()*(Model_Data!A95)/Inputs!$C$39)*SIN(2*PI()*(0)/Inputs!$C$40)+-Inputs!$C$41*EXP(-(((0)-Inputs!$C$43)^2)/(2*Inputs!$C$44^2))*EXP(-(((Model_Data!A95)-Inputs!$C$42)^2)/(2*Inputs!$C$45^2))+Inputs!$C$48*(0.70*(0.45*SIN(2*PI()*(((Model_Data!A95)/Inputs!$C$49)+Inputs!$C$47*0.137))+0.35*COS(2*PI()*(((0)/Inputs!$C$50)+Inputs!$C$47*0.173))+0.20*SIN(2*PI()*(((Model_Data!A95)+(0))/(0.5*(Inputs!$C$49+Inputs!$C$50))+Inputs!$C$47*0.097)))+0.30*(2*((SIN(((Model_Data!A95)*12.9898+(0)*78.233+Inputs!$C$47*37.719))*43758.5453)-INT((SIN(((Model_Data!A95)*12.9898+(0)*78.233+Inputs!$C$47*37.719))*43758.5453)))-1))))/1000)))*1000/Inputs!$C$12)</x:f>
        <x:v>296.9295960267611</x:v>
      </x:c>
      <x:c r="D95" s="49"/>
      <x:c r="E95" s="48" t="n">
        <x:f>Model_Data!A95</x:f>
        <x:v>-13.5</x:v>
      </x:c>
      <x:c r="F95" s="48" t="n">
        <x:f>(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(0.45*SIN(2*PI()*(((Model_Data!A95)/Inputs!$C$49)+Inputs!$C$47*0.137))+0.35*COS(2*PI()*(((Inputs!$C$6)/Inputs!$C$50)+Inputs!$C$47*0.173))+0.20*SIN(2*PI()*(((Model_Data!A95)+(Inputs!$C$6))/(0.5*(Inputs!$C$49+Inputs!$C$50))+Inputs!$C$47*0.097)))+0.30*(2*((SIN(((Model_Data!A95)*12.9898+(Inputs!$C$6)*78.233+Inputs!$C$47*37.719))*43758.5453)-INT((SIN(((Model_Data!A95)*12.9898+(Inputs!$C$6)*78.233+Inputs!$C$47*37.719))*43758.5453)))-1)))</x:f>
        <x:v>418.7700178970381</x:v>
      </x:c>
      <x:c r="G95" s="48" t="n">
        <x:f>(Inputs!$C$51*(115*EXP(-(((0)-25)^2)/(4.5^2))+70*EXP(-(((0)+38)^2)/(7^2))*(0.55+0.45*SIN(2*PI()*(Model_Data!A95)/45))+24*SIN(2*PI()*(0)/9+(Model_Data!A95)/18)*EXP(-(((0)+5)^2)/(22^2))+18*SIN(2*PI()*(Model_Data!A95)/70))+Inputs!$C$28*EXP(-(((Model_Data!A95)-Inputs!$C$29)^2)/(2*Inputs!$C$31^2))*EXP(-(((0)-Inputs!$C$30)^2)/(2*Inputs!$C$32^2))+-Inputs!$C$33*EXP(-(((((Model_Data!A95)-Inputs!$C$34)^2)+(((0)-Inputs!$C$35)^2))/(2*Inputs!$C$36^2)))+Inputs!$C$37*(0.55*SIN(2*PI()*(Model_Data!A95)/Inputs!$C$39)+0.35*COS(2*PI()*(0)/Inputs!$C$40)+0.2*SIN(2*PI()*((Model_Data!A95)+(0))/(0.5*(Inputs!$C$39+Inputs!$C$40))))+Inputs!$C$38*SIN(2*PI()*(Model_Data!A95)/Inputs!$C$39)*SIN(2*PI()*(0)/Inputs!$C$40)+-Inputs!$C$41*EXP(-(((0)-Inputs!$C$43)^2)/(2*Inputs!$C$44^2))*EXP(-(((Model_Data!A95)-Inputs!$C$42)^2)/(2*Inputs!$C$45^2))+Inputs!$C$48*(0.70*(0.45*SIN(2*PI()*(((Model_Data!A95)/Inputs!$C$49)+Inputs!$C$47*0.137))+0.35*COS(2*PI()*(((0)/Inputs!$C$50)+Inputs!$C$47*0.173))+0.20*SIN(2*PI()*(((Model_Data!A95)+(0))/(0.5*(Inputs!$C$49+Inputs!$C$50))+Inputs!$C$47*0.097)))+0.30*(2*((SIN(((Model_Data!A95)*12.9898+(0)*78.233+Inputs!$C$47*37.719))*43758.5453)-INT((SIN(((Model_Data!A95)*12.9898+(0)*78.233+Inputs!$C$47*37.719))*43758.5453)))-1)))</x:f>
        <x:v>-61.03205493353448</x:v>
      </x:c>
      <x:c r="H95" s="49"/>
      <x:c r="I95" s="48" t="n">
        <x:f>Model_Data!A95</x:f>
        <x:v>-13.5</x:v>
      </x:c>
      <x:c r="J95" s="48" t="n">
        <x:f>((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(0.45*SIN(2*PI()*(((Model_Data!A95)/Inputs!$C$49)+Inputs!$C$47*0.137))+0.35*COS(2*PI()*(((Inputs!$C$6)/Inputs!$C$50)+Inputs!$C$47*0.173))+0.20*SIN(2*PI()*(((Model_Data!A95)+(Inputs!$C$6))/(0.5*(Inputs!$C$49+Inputs!$C$50))+Inputs!$C$47*0.097)))+0.30*(2*((SIN(((Model_Data!A95)*12.9898+(Inputs!$C$6)*78.233+Inputs!$C$47*37.719))*43758.5453)-INT((SIN(((Model_Data!A95)*12.9898+(Inputs!$C$6)*78.233+Inputs!$C$47*37.719))*43758.5453)))-1))))-((Inputs!$C$51*(115*EXP(-(((0)-25)^2)/(4.5^2))+70*EXP(-(((0)+38)^2)/(7^2))*(0.55+0.45*SIN(2*PI()*(Model_Data!A95)/45))+24*SIN(2*PI()*(0)/9+(Model_Data!A95)/18)*EXP(-(((0)+5)^2)/(22^2))+18*SIN(2*PI()*(Model_Data!A95)/70))+Inputs!$C$28*EXP(-(((Model_Data!A95)-Inputs!$C$29)^2)/(2*Inputs!$C$31^2))*EXP(-(((0)-Inputs!$C$30)^2)/(2*Inputs!$C$32^2))+-Inputs!$C$33*EXP(-(((((Model_Data!A95)-Inputs!$C$34)^2)+(((0)-Inputs!$C$35)^2))/(2*Inputs!$C$36^2)))+Inputs!$C$37*(0.55*SIN(2*PI()*(Model_Data!A95)/Inputs!$C$39)+0.35*COS(2*PI()*(0)/Inputs!$C$40)+0.2*SIN(2*PI()*((Model_Data!A95)+(0))/(0.5*(Inputs!$C$39+Inputs!$C$40))))+Inputs!$C$38*SIN(2*PI()*(Model_Data!A95)/Inputs!$C$39)*SIN(2*PI()*(0)/Inputs!$C$40)+-Inputs!$C$41*EXP(-(((0)-Inputs!$C$43)^2)/(2*Inputs!$C$44^2))*EXP(-(((Model_Data!A95)-Inputs!$C$42)^2)/(2*Inputs!$C$45^2))+Inputs!$C$48*(0.70*(0.45*SIN(2*PI()*(((Model_Data!A95)/Inputs!$C$49)+Inputs!$C$47*0.137))+0.35*COS(2*PI()*(((0)/Inputs!$C$50)+Inputs!$C$47*0.173))+0.20*SIN(2*PI()*(((Model_Data!A95)+(0))/(0.5*(Inputs!$C$49+Inputs!$C$50))+Inputs!$C$47*0.097)))+0.30*(2*((SIN(((Model_Data!A95)*12.9898+(0)*78.233+Inputs!$C$47*37.719))*43758.5453)-INT((SIN(((Model_Data!A95)*12.9898+(0)*78.233+Inputs!$C$47*37.719))*43758.5453)))-1))))</x:f>
        <x:v>479.80207283057257</x:v>
      </x:c>
      <x:c r="K95" s="48" t="n">
        <x:f>-((((SQRT((Model_Data!A95)^2+Inputs!$C$6^2+((Model_Data!B95)-((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(0.45*SIN(2*PI()*(((Model_Data!A95)/Inputs!$C$49)+Inputs!$C$47*0.137))+0.35*COS(2*PI()*(((Inputs!$C$6)/Inputs!$C$50)+Inputs!$C$47*0.173))+0.20*SIN(2*PI()*(((Model_Data!A95)+(Inputs!$C$6))/(0.5*(Inputs!$C$49+Inputs!$C$50))+Inputs!$C$47*0.097)))+0.30*(2*((SIN(((Model_Data!A95)*12.9898+(Inputs!$C$6)*78.233+Inputs!$C$47*37.719))*43758.5453)-INT((SIN(((Model_Data!A95)*12.9898+(Inputs!$C$6)*78.233+Inputs!$C$47*37.719))*43758.5453)))-1))))/1000)^2))-(((Model_Data!B95)-((Inputs!$C$51*(115*EXP(-(((0)-25)^2)/(4.5^2))+70*EXP(-(((0)+38)^2)/(7^2))*(0.55+0.45*SIN(2*PI()*(Model_Data!A95)/45))+24*SIN(2*PI()*(0)/9+(Model_Data!A95)/18)*EXP(-(((0)+5)^2)/(22^2))+18*SIN(2*PI()*(Model_Data!A95)/70))+Inputs!$C$28*EXP(-(((Model_Data!A95)-Inputs!$C$29)^2)/(2*Inputs!$C$31^2))*EXP(-(((0)-Inputs!$C$30)^2)/(2*Inputs!$C$32^2))+-Inputs!$C$33*EXP(-(((((Model_Data!A95)-Inputs!$C$34)^2)+(((0)-Inputs!$C$35)^2))/(2*Inputs!$C$36^2)))+Inputs!$C$37*(0.55*SIN(2*PI()*(Model_Data!A95)/Inputs!$C$39)+0.35*COS(2*PI()*(0)/Inputs!$C$40)+0.2*SIN(2*PI()*((Model_Data!A95)+(0))/(0.5*(Inputs!$C$39+Inputs!$C$40))))+Inputs!$C$38*SIN(2*PI()*(Model_Data!A95)/Inputs!$C$39)*SIN(2*PI()*(0)/Inputs!$C$40)+-Inputs!$C$41*EXP(-(((0)-Inputs!$C$43)^2)/(2*Inputs!$C$44^2))*EXP(-(((Model_Data!A95)-Inputs!$C$42)^2)/(2*Inputs!$C$45^2))+Inputs!$C$48*(0.70*(0.45*SIN(2*PI()*(((Model_Data!A95)/Inputs!$C$49)+Inputs!$C$47*0.137))+0.35*COS(2*PI()*(((0)/Inputs!$C$50)+Inputs!$C$47*0.173))+0.20*SIN(2*PI()*(((Model_Data!A95)+(0))/(0.5*(Inputs!$C$49+Inputs!$C$50))+Inputs!$C$47*0.097)))+0.30*(2*((SIN(((Model_Data!A95)*12.9898+(0)*78.233+Inputs!$C$47*37.719))*43758.5453)-INT((SIN(((Model_Data!A95)*12.9898+(0)*78.233+Inputs!$C$47*37.719))*43758.5453)))-1))))/1000)))*1000/Inputs!$C$12)-Model_Data!F95)</x:f>
        <x:v>268.9604518897266</x:v>
      </x:c>
      <x:c r="L95" s="49"/>
      <x:c r="M95" s="48" t="n">
        <x:f>Model_Data!A95</x:f>
        <x:v>-13.5</x:v>
      </x:c>
      <x:c r="N95" s="48" t="n">
        <x:f>Model_Data!P95</x:f>
        <x:v>101.71666195204531</x:v>
      </x:c>
      <x:c r="O95" s="48" t="n">
        <x:f>AC95</x:f>
        <x:v>120.80843143576203</x:v>
      </x:c>
      <x:c r="P95" s="48" t="n">
        <x:f>Model_Data!Q95</x:f>
        <x:v>15.27277206487167</x:v>
      </x:c>
      <x:c r="Q95" s="48" t="n">
        <x:f>AD95</x:f>
        <x:v>18.13940411948379</x:v>
      </x:c>
      <x:c r="R95" s="49"/>
      <x:c r="S95" s="48" t="n">
        <x:f>Model_Data!A95</x:f>
        <x:v>-13.5</x:v>
      </x:c>
      <x:c r="T95" s="48" t="n">
        <x:f>Model_Data!B95-Inputs!$C$5</x:f>
        <x:v>0.20249999999998636</x:v>
      </x:c>
      <x:c r="U95" s="49"/>
      <x:c r="V95" s="48" t="n">
        <x:f>Model_Data!A95</x:f>
        <x:v>-13.5</x:v>
      </x:c>
      <x:c r="W95" s="48" t="n">
        <x:f>(-((((SQRT((Model_Data!A95)^2+Inputs!$C$6^2+((Model_Data!B95)-((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(0.45*SIN(2*PI()*(((Model_Data!A95)/Inputs!$C$49)+Inputs!$C$47*0.137))+0.35*COS(2*PI()*(((Inputs!$C$6)/Inputs!$C$50)+Inputs!$C$47*0.173))+0.20*SIN(2*PI()*(((Model_Data!A95)+(Inputs!$C$6))/(0.5*(Inputs!$C$49+Inputs!$C$50))+Inputs!$C$47*0.097)))+0.30*(2*((SIN(((Model_Data!A95)*12.9898+(Inputs!$C$6)*78.233+Inputs!$C$47*37.719))*43758.5453)-INT((SIN(((Model_Data!A95)*12.9898+(Inputs!$C$6)*78.233+Inputs!$C$47*37.719))*43758.5453)))-1))))/1000)^2))-(((Model_Data!B95)-((Inputs!$C$51*(115*EXP(-(((0)-25)^2)/(4.5^2))+70*EXP(-(((0)+38)^2)/(7^2))*(0.55+0.45*SIN(2*PI()*(Model_Data!A95)/45))+24*SIN(2*PI()*(0)/9+(Model_Data!A95)/18)*EXP(-(((0)+5)^2)/(22^2))+18*SIN(2*PI()*(Model_Data!A95)/70))+Inputs!$C$28*EXP(-(((Model_Data!A95)-Inputs!$C$29)^2)/(2*Inputs!$C$31^2))*EXP(-(((0)-Inputs!$C$30)^2)/(2*Inputs!$C$32^2))+-Inputs!$C$33*EXP(-(((((Model_Data!A95)-Inputs!$C$34)^2)+(((0)-Inputs!$C$35)^2))/(2*Inputs!$C$36^2)))+Inputs!$C$37*(0.55*SIN(2*PI()*(Model_Data!A95)/Inputs!$C$39)+0.35*COS(2*PI()*(0)/Inputs!$C$40)+0.2*SIN(2*PI()*((Model_Data!A95)+(0))/(0.5*(Inputs!$C$39+Inputs!$C$40))))+Inputs!$C$38*SIN(2*PI()*(Model_Data!A95)/Inputs!$C$39)*SIN(2*PI()*(0)/Inputs!$C$40)+-Inputs!$C$41*EXP(-(((0)-Inputs!$C$43)^2)/(2*Inputs!$C$44^2))*EXP(-(((Model_Data!A95)-Inputs!$C$42)^2)/(2*Inputs!$C$45^2))+Inputs!$C$48*(0.70*(0.45*SIN(2*PI()*(((Model_Data!A95)/Inputs!$C$49)+Inputs!$C$47*0.137))+0.35*COS(2*PI()*(((0)/Inputs!$C$50)+Inputs!$C$47*0.173))+0.20*SIN(2*PI()*(((Model_Data!A95)+(0))/(0.5*(Inputs!$C$49+Inputs!$C$50))+Inputs!$C$47*0.097)))+0.30*(2*((SIN(((Model_Data!A95)*12.9898+(0)*78.233+Inputs!$C$47*37.719))*43758.5453)-INT((SIN(((Model_Data!A95)*12.9898+(0)*78.233+Inputs!$C$47*37.719))*43758.5453)))-1))))/1000)))*1000/Inputs!$C$12)-Model_Data!F95))-(-(((SQRT((Model_Data!A95)^2+Inputs!$C$6^2+(Inputs!$C$5-((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(0.45*SIN(2*PI()*(((Model_Data!A95)/Inputs!$C$49)+Inputs!$C$47*0.137))+0.35*COS(2*PI()*(((Inputs!$C$6)/Inputs!$C$50)+Inputs!$C$47*0.173))+0.20*SIN(2*PI()*(((Model_Data!A95)+(Inputs!$C$6))/(0.5*(Inputs!$C$49+Inputs!$C$50))+Inputs!$C$47*0.097)))+0.30*(2*((SIN(((Model_Data!A95)*12.9898+(Inputs!$C$6)*78.233+Inputs!$C$47*37.719))*43758.5453)-INT((SIN(((Model_Data!A95)*12.9898+(Inputs!$C$6)*78.233+Inputs!$C$47*37.719))*43758.5453)))-1))))/1000)^2)-(Inputs!$C$5-((Inputs!$C$51*(115*EXP(-(((0)-25)^2)/(4.5^2))+70*EXP(-(((0)+38)^2)/(7^2))*(0.55+0.45*SIN(2*PI()*(Model_Data!A95)/45))+24*SIN(2*PI()*(0)/9+(Model_Data!A95)/18)*EXP(-(((0)+5)^2)/(22^2))+18*SIN(2*PI()*(Model_Data!A95)/70))+Inputs!$C$28*EXP(-(((Model_Data!A95)-Inputs!$C$29)^2)/(2*Inputs!$C$31^2))*EXP(-(((0)-Inputs!$C$30)^2)/(2*Inputs!$C$32^2))+-Inputs!$C$33*EXP(-(((((Model_Data!A95)-Inputs!$C$34)^2)+(((0)-Inputs!$C$35)^2))/(2*Inputs!$C$36^2)))+Inputs!$C$37*(0.55*SIN(2*PI()*(Model_Data!A95)/Inputs!$C$39)+0.35*COS(2*PI()*(0)/Inputs!$C$40)+0.2*SIN(2*PI()*((Model_Data!A95)+(0))/(0.5*(Inputs!$C$39+Inputs!$C$40))))+Inputs!$C$38*SIN(2*PI()*(Model_Data!A95)/Inputs!$C$39)*SIN(2*PI()*(0)/Inputs!$C$40)+-Inputs!$C$41*EXP(-(((0)-Inputs!$C$43)^2)/(2*Inputs!$C$44^2))*EXP(-(((Model_Data!A95)-Inputs!$C$42)^2)/(2*Inputs!$C$45^2))+Inputs!$C$48*(0.70*(0.45*SIN(2*PI()*(((Model_Data!A95)/Inputs!$C$49)+Inputs!$C$47*0.137))+0.35*COS(2*PI()*(((0)/Inputs!$C$50)+Inputs!$C$47*0.173))+0.20*SIN(2*PI()*(((Model_Data!A95)+(0))/(0.5*(Inputs!$C$49+Inputs!$C$50))+Inputs!$C$47*0.097)))+0.30*(2*((SIN(((Model_Data!A95)*12.9898+(0)*78.233+Inputs!$C$47*37.719))*43758.5453)-INT((SIN(((Model_Data!A95)*12.9898+(0)*78.233+Inputs!$C$47*37.719))*43758.5453)))-1))))/1000))*1000/Inputs!$C$12)-((SQRT((Model_Data!A95)^2+Inputs!$C$6^2+Inputs!$C$5^2)-Inputs!$C$5)*1000/Inputs!$C$12)))</x:f>
        <x:v>0.0005968717694031511</x:v>
      </x:c>
      <x:c r="X95" s="48" t="n">
        <x:f>0</x:f>
        <x:v>0</x:v>
      </x:c>
      <x:c r="Y95" s="49"/>
      <x:c r="Z95" s="48" t="n">
        <x:f>Model_Data!A95</x:f>
        <x:v>-13.5</x:v>
      </x:c>
      <x:c r="AA95" s="48" t="n">
        <x:f>SQRT((Model_Data!A95)^2+Inputs!$C$6^2+((Model_Data!B95)-((Inputs!$C$51*(115*EXP(-(((Inputs!$C$6)-25)^2)/(4.5^2))+70*EXP(-(((Inputs!$C$6)+38)^2)/(7^2))*(0.55+0.45*SIN(2*PI()*(Model_Data!A95)/45))+24*SIN(2*PI()*(Inputs!$C$6)/9+(Model_Data!A95)/18)*EXP(-(((Inputs!$C$6)+5)^2)/(22^2))+18*SIN(2*PI()*(Model_Data!A95)/70))+Inputs!$C$28*EXP(-(((Model_Data!A95)-Inputs!$C$29)^2)/(2*Inputs!$C$31^2))*EXP(-(((Inputs!$C$6)-Inputs!$C$30)^2)/(2*Inputs!$C$32^2))+-Inputs!$C$33*EXP(-(((((Model_Data!A95)-Inputs!$C$34)^2)+(((Inputs!$C$6)-Inputs!$C$35)^2))/(2*Inputs!$C$36^2)))+Inputs!$C$37*(0.55*SIN(2*PI()*(Model_Data!A95)/Inputs!$C$39)+0.35*COS(2*PI()*(Inputs!$C$6)/Inputs!$C$40)+0.2*SIN(2*PI()*((Model_Data!A95)+(Inputs!$C$6))/(0.5*(Inputs!$C$39+Inputs!$C$40))))+Inputs!$C$38*SIN(2*PI()*(Model_Data!A95)/Inputs!$C$39)*SIN(2*PI()*(Inputs!$C$6)/Inputs!$C$40)+-Inputs!$C$41*EXP(-(((Inputs!$C$6)-Inputs!$C$43)^2)/(2*Inputs!$C$44^2))*EXP(-(((Model_Data!A95)-Inputs!$C$42)^2)/(2*Inputs!$C$45^2))+Inputs!$C$48*(0.70*(0.45*SIN(2*PI()*(((Model_Data!A95)/Inputs!$C$49)+Inputs!$C$47*0.137))+0.35*COS(2*PI()*(((Inputs!$C$6)/Inputs!$C$50)+Inputs!$C$47*0.173))+0.20*SIN(2*PI()*(((Model_Data!A95)+(Inputs!$C$6))/(0.5*(Inputs!$C$49+Inputs!$C$50))+Inputs!$C$47*0.097)))+0.30*(2*((SIN(((Model_Data!A95)*12.9898+(Inputs!$C$6)*78.233+Inputs!$C$47*37.719))*43758.5453)-INT((SIN(((Model_Data!A95)*12.9898+(Inputs!$C$6)*78.233+Inputs!$C$47*37.719))*43758.5453)))-1))))/1000)^2)</x:f>
        <x:v>400.79206673586117</x:v>
      </x:c>
      <x:c r="AB95" s="48" t="n">
        <x:f>1000*(AA96-AA94)/(Z96-Z94)*Inputs!$C$11</x:f>
        <x:v>-302.0210785894051</x:v>
      </x:c>
      <x:c r="AC95" s="48" t="n">
        <x:f>-2*AB95/Inputs!$C$13</x:f>
        <x:v>120.80843143576203</x:v>
      </x:c>
      <x:c r="AD95" s="48" t="n">
        <x:f>-2*AB95/Inputs!$C$14</x:f>
        <x:v>18.13940411948379</x:v>
      </x:c>
    </x:row>
    <x:row r="96">
      <x:c r="A96" s="48" t="n">
        <x:f>Model_Data!A96</x:f>
        <x:v>-13</x:v>
      </x:c>
      <x:c r="B96" s="48" t="n">
        <x:f>Model_Data!F96</x:f>
        <x:v>556.6335650683776</x:v>
      </x:c>
      <x:c r="C96" s="48" t="n">
        <x:f>(((SQRT((Model_Data!A96)^2+Inputs!$C$6^2+((Model_Data!B96)-((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(0.45*SIN(2*PI()*(((Model_Data!A96)/Inputs!$C$49)+Inputs!$C$47*0.137))+0.35*COS(2*PI()*(((Inputs!$C$6)/Inputs!$C$50)+Inputs!$C$47*0.173))+0.20*SIN(2*PI()*(((Model_Data!A96)+(Inputs!$C$6))/(0.5*(Inputs!$C$49+Inputs!$C$50))+Inputs!$C$47*0.097)))+0.30*(2*((SIN(((Model_Data!A96)*12.9898+(Inputs!$C$6)*78.233+Inputs!$C$47*37.719))*43758.5453)-INT((SIN(((Model_Data!A96)*12.9898+(Inputs!$C$6)*78.233+Inputs!$C$47*37.719))*43758.5453)))-1))))/1000)^2))-(((Model_Data!B96)-((Inputs!$C$51*(115*EXP(-(((0)-25)^2)/(4.5^2))+70*EXP(-(((0)+38)^2)/(7^2))*(0.55+0.45*SIN(2*PI()*(Model_Data!A96)/45))+24*SIN(2*PI()*(0)/9+(Model_Data!A96)/18)*EXP(-(((0)+5)^2)/(22^2))+18*SIN(2*PI()*(Model_Data!A96)/70))+Inputs!$C$28*EXP(-(((Model_Data!A96)-Inputs!$C$29)^2)/(2*Inputs!$C$31^2))*EXP(-(((0)-Inputs!$C$30)^2)/(2*Inputs!$C$32^2))+-Inputs!$C$33*EXP(-(((((Model_Data!A96)-Inputs!$C$34)^2)+(((0)-Inputs!$C$35)^2))/(2*Inputs!$C$36^2)))+Inputs!$C$37*(0.55*SIN(2*PI()*(Model_Data!A96)/Inputs!$C$39)+0.35*COS(2*PI()*(0)/Inputs!$C$40)+0.2*SIN(2*PI()*((Model_Data!A96)+(0))/(0.5*(Inputs!$C$39+Inputs!$C$40))))+Inputs!$C$38*SIN(2*PI()*(Model_Data!A96)/Inputs!$C$39)*SIN(2*PI()*(0)/Inputs!$C$40)+-Inputs!$C$41*EXP(-(((0)-Inputs!$C$43)^2)/(2*Inputs!$C$44^2))*EXP(-(((Model_Data!A96)-Inputs!$C$42)^2)/(2*Inputs!$C$45^2))+Inputs!$C$48*(0.70*(0.45*SIN(2*PI()*(((Model_Data!A96)/Inputs!$C$49)+Inputs!$C$47*0.137))+0.35*COS(2*PI()*(((0)/Inputs!$C$50)+Inputs!$C$47*0.173))+0.20*SIN(2*PI()*(((Model_Data!A96)+(0))/(0.5*(Inputs!$C$49+Inputs!$C$50))+Inputs!$C$47*0.097)))+0.30*(2*((SIN(((Model_Data!A96)*12.9898+(0)*78.233+Inputs!$C$47*37.719))*43758.5453)-INT((SIN(((Model_Data!A96)*12.9898+(0)*78.233+Inputs!$C$47*37.719))*43758.5453)))-1))))/1000)))*1000/Inputs!$C$12)</x:f>
        <x:v>278.0343436226753</x:v>
      </x:c>
      <x:c r="D96" s="49"/>
      <x:c r="E96" s="48" t="n">
        <x:f>Model_Data!A96</x:f>
        <x:v>-13</x:v>
      </x:c>
      <x:c r="F96" s="48" t="n">
        <x:f>(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(0.45*SIN(2*PI()*(((Model_Data!A96)/Inputs!$C$49)+Inputs!$C$47*0.137))+0.35*COS(2*PI()*(((Inputs!$C$6)/Inputs!$C$50)+Inputs!$C$47*0.173))+0.20*SIN(2*PI()*(((Model_Data!A96)+(Inputs!$C$6))/(0.5*(Inputs!$C$49+Inputs!$C$50))+Inputs!$C$47*0.097)))+0.30*(2*((SIN(((Model_Data!A96)*12.9898+(Inputs!$C$6)*78.233+Inputs!$C$47*37.719))*43758.5453)-INT((SIN(((Model_Data!A96)*12.9898+(Inputs!$C$6)*78.233+Inputs!$C$47*37.719))*43758.5453)))-1)))</x:f>
        <x:v>432.8844458249992</x:v>
      </x:c>
      <x:c r="G96" s="48" t="n">
        <x:f>(Inputs!$C$51*(115*EXP(-(((0)-25)^2)/(4.5^2))+70*EXP(-(((0)+38)^2)/(7^2))*(0.55+0.45*SIN(2*PI()*(Model_Data!A96)/45))+24*SIN(2*PI()*(0)/9+(Model_Data!A96)/18)*EXP(-(((0)+5)^2)/(22^2))+18*SIN(2*PI()*(Model_Data!A96)/70))+Inputs!$C$28*EXP(-(((Model_Data!A96)-Inputs!$C$29)^2)/(2*Inputs!$C$31^2))*EXP(-(((0)-Inputs!$C$30)^2)/(2*Inputs!$C$32^2))+-Inputs!$C$33*EXP(-(((((Model_Data!A96)-Inputs!$C$34)^2)+(((0)-Inputs!$C$35)^2))/(2*Inputs!$C$36^2)))+Inputs!$C$37*(0.55*SIN(2*PI()*(Model_Data!A96)/Inputs!$C$39)+0.35*COS(2*PI()*(0)/Inputs!$C$40)+0.2*SIN(2*PI()*((Model_Data!A96)+(0))/(0.5*(Inputs!$C$39+Inputs!$C$40))))+Inputs!$C$38*SIN(2*PI()*(Model_Data!A96)/Inputs!$C$39)*SIN(2*PI()*(0)/Inputs!$C$40)+-Inputs!$C$41*EXP(-(((0)-Inputs!$C$43)^2)/(2*Inputs!$C$44^2))*EXP(-(((Model_Data!A96)-Inputs!$C$42)^2)/(2*Inputs!$C$45^2))+Inputs!$C$48*(0.70*(0.45*SIN(2*PI()*(((Model_Data!A96)/Inputs!$C$49)+Inputs!$C$47*0.137))+0.35*COS(2*PI()*(((0)/Inputs!$C$50)+Inputs!$C$47*0.173))+0.20*SIN(2*PI()*(((Model_Data!A96)+(0))/(0.5*(Inputs!$C$49+Inputs!$C$50))+Inputs!$C$47*0.097)))+0.30*(2*((SIN(((Model_Data!A96)*12.9898+(0)*78.233+Inputs!$C$47*37.719))*43758.5453)-INT((SIN(((Model_Data!A96)*12.9898+(0)*78.233+Inputs!$C$47*37.719))*43758.5453)))-1)))</x:f>
        <x:v>-64.09243482429542</x:v>
      </x:c>
      <x:c r="H96" s="49"/>
      <x:c r="I96" s="48" t="n">
        <x:f>Model_Data!A96</x:f>
        <x:v>-13</x:v>
      </x:c>
      <x:c r="J96" s="48" t="n">
        <x:f>((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(0.45*SIN(2*PI()*(((Model_Data!A96)/Inputs!$C$49)+Inputs!$C$47*0.137))+0.35*COS(2*PI()*(((Inputs!$C$6)/Inputs!$C$50)+Inputs!$C$47*0.173))+0.20*SIN(2*PI()*(((Model_Data!A96)+(Inputs!$C$6))/(0.5*(Inputs!$C$49+Inputs!$C$50))+Inputs!$C$47*0.097)))+0.30*(2*((SIN(((Model_Data!A96)*12.9898+(Inputs!$C$6)*78.233+Inputs!$C$47*37.719))*43758.5453)-INT((SIN(((Model_Data!A96)*12.9898+(Inputs!$C$6)*78.233+Inputs!$C$47*37.719))*43758.5453)))-1))))-((Inputs!$C$51*(115*EXP(-(((0)-25)^2)/(4.5^2))+70*EXP(-(((0)+38)^2)/(7^2))*(0.55+0.45*SIN(2*PI()*(Model_Data!A96)/45))+24*SIN(2*PI()*(0)/9+(Model_Data!A96)/18)*EXP(-(((0)+5)^2)/(22^2))+18*SIN(2*PI()*(Model_Data!A96)/70))+Inputs!$C$28*EXP(-(((Model_Data!A96)-Inputs!$C$29)^2)/(2*Inputs!$C$31^2))*EXP(-(((0)-Inputs!$C$30)^2)/(2*Inputs!$C$32^2))+-Inputs!$C$33*EXP(-(((((Model_Data!A96)-Inputs!$C$34)^2)+(((0)-Inputs!$C$35)^2))/(2*Inputs!$C$36^2)))+Inputs!$C$37*(0.55*SIN(2*PI()*(Model_Data!A96)/Inputs!$C$39)+0.35*COS(2*PI()*(0)/Inputs!$C$40)+0.2*SIN(2*PI()*((Model_Data!A96)+(0))/(0.5*(Inputs!$C$39+Inputs!$C$40))))+Inputs!$C$38*SIN(2*PI()*(Model_Data!A96)/Inputs!$C$39)*SIN(2*PI()*(0)/Inputs!$C$40)+-Inputs!$C$41*EXP(-(((0)-Inputs!$C$43)^2)/(2*Inputs!$C$44^2))*EXP(-(((Model_Data!A96)-Inputs!$C$42)^2)/(2*Inputs!$C$45^2))+Inputs!$C$48*(0.70*(0.45*SIN(2*PI()*(((Model_Data!A96)/Inputs!$C$49)+Inputs!$C$47*0.137))+0.35*COS(2*PI()*(((0)/Inputs!$C$50)+Inputs!$C$47*0.173))+0.20*SIN(2*PI()*(((Model_Data!A96)+(0))/(0.5*(Inputs!$C$49+Inputs!$C$50))+Inputs!$C$47*0.097)))+0.30*(2*((SIN(((Model_Data!A96)*12.9898+(0)*78.233+Inputs!$C$47*37.719))*43758.5453)-INT((SIN(((Model_Data!A96)*12.9898+(0)*78.233+Inputs!$C$47*37.719))*43758.5453)))-1))))</x:f>
        <x:v>496.9768806492946</x:v>
      </x:c>
      <x:c r="K96" s="48" t="n">
        <x:f>-((((SQRT((Model_Data!A96)^2+Inputs!$C$6^2+((Model_Data!B96)-((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(0.45*SIN(2*PI()*(((Model_Data!A96)/Inputs!$C$49)+Inputs!$C$47*0.137))+0.35*COS(2*PI()*(((Inputs!$C$6)/Inputs!$C$50)+Inputs!$C$47*0.173))+0.20*SIN(2*PI()*(((Model_Data!A96)+(Inputs!$C$6))/(0.5*(Inputs!$C$49+Inputs!$C$50))+Inputs!$C$47*0.097)))+0.30*(2*((SIN(((Model_Data!A96)*12.9898+(Inputs!$C$6)*78.233+Inputs!$C$47*37.719))*43758.5453)-INT((SIN(((Model_Data!A96)*12.9898+(Inputs!$C$6)*78.233+Inputs!$C$47*37.719))*43758.5453)))-1))))/1000)^2))-(((Model_Data!B96)-((Inputs!$C$51*(115*EXP(-(((0)-25)^2)/(4.5^2))+70*EXP(-(((0)+38)^2)/(7^2))*(0.55+0.45*SIN(2*PI()*(Model_Data!A96)/45))+24*SIN(2*PI()*(0)/9+(Model_Data!A96)/18)*EXP(-(((0)+5)^2)/(22^2))+18*SIN(2*PI()*(Model_Data!A96)/70))+Inputs!$C$28*EXP(-(((Model_Data!A96)-Inputs!$C$29)^2)/(2*Inputs!$C$31^2))*EXP(-(((0)-Inputs!$C$30)^2)/(2*Inputs!$C$32^2))+-Inputs!$C$33*EXP(-(((((Model_Data!A96)-Inputs!$C$34)^2)+(((0)-Inputs!$C$35)^2))/(2*Inputs!$C$36^2)))+Inputs!$C$37*(0.55*SIN(2*PI()*(Model_Data!A96)/Inputs!$C$39)+0.35*COS(2*PI()*(0)/Inputs!$C$40)+0.2*SIN(2*PI()*((Model_Data!A96)+(0))/(0.5*(Inputs!$C$39+Inputs!$C$40))))+Inputs!$C$38*SIN(2*PI()*(Model_Data!A96)/Inputs!$C$39)*SIN(2*PI()*(0)/Inputs!$C$40)+-Inputs!$C$41*EXP(-(((0)-Inputs!$C$43)^2)/(2*Inputs!$C$44^2))*EXP(-(((Model_Data!A96)-Inputs!$C$42)^2)/(2*Inputs!$C$45^2))+Inputs!$C$48*(0.70*(0.45*SIN(2*PI()*(((Model_Data!A96)/Inputs!$C$49)+Inputs!$C$47*0.137))+0.35*COS(2*PI()*(((0)/Inputs!$C$50)+Inputs!$C$47*0.173))+0.20*SIN(2*PI()*(((Model_Data!A96)+(0))/(0.5*(Inputs!$C$49+Inputs!$C$50))+Inputs!$C$47*0.097)))+0.30*(2*((SIN(((Model_Data!A96)*12.9898+(0)*78.233+Inputs!$C$47*37.719))*43758.5453)-INT((SIN(((Model_Data!A96)*12.9898+(0)*78.233+Inputs!$C$47*37.719))*43758.5453)))-1))))/1000)))*1000/Inputs!$C$12)-Model_Data!F96)</x:f>
        <x:v>278.5992214457023</x:v>
      </x:c>
      <x:c r="L96" s="49"/>
      <x:c r="M96" s="48" t="n">
        <x:f>Model_Data!A96</x:f>
        <x:v>-13</x:v>
      </x:c>
      <x:c r="N96" s="48" t="n">
        <x:f>Model_Data!P96</x:f>
        <x:v>97.9552992435336</x:v>
      </x:c>
      <x:c r="O96" s="48" t="n">
        <x:f>AC96</x:f>
        <x:v>146.04897473391247</x:v>
      </x:c>
      <x:c r="P96" s="48" t="n">
        <x:f>Model_Data!Q96</x:f>
        <x:v>14.708002889419461</x:v>
      </x:c>
      <x:c r="Q96" s="48" t="n">
        <x:f>AD96</x:f>
        <x:v>21.929275485572447</x:v>
      </x:c>
      <x:c r="R96" s="49"/>
      <x:c r="S96" s="48" t="n">
        <x:f>Model_Data!A96</x:f>
        <x:v>-13</x:v>
      </x:c>
      <x:c r="T96" s="48" t="n">
        <x:f>Model_Data!B96-Inputs!$C$5</x:f>
        <x:v>0.18777777777779647</x:v>
      </x:c>
      <x:c r="U96" s="49"/>
      <x:c r="V96" s="48" t="n">
        <x:f>Model_Data!A96</x:f>
        <x:v>-13</x:v>
      </x:c>
      <x:c r="W96" s="48" t="n">
        <x:f>(-((((SQRT((Model_Data!A96)^2+Inputs!$C$6^2+((Model_Data!B96)-((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(0.45*SIN(2*PI()*(((Model_Data!A96)/Inputs!$C$49)+Inputs!$C$47*0.137))+0.35*COS(2*PI()*(((Inputs!$C$6)/Inputs!$C$50)+Inputs!$C$47*0.173))+0.20*SIN(2*PI()*(((Model_Data!A96)+(Inputs!$C$6))/(0.5*(Inputs!$C$49+Inputs!$C$50))+Inputs!$C$47*0.097)))+0.30*(2*((SIN(((Model_Data!A96)*12.9898+(Inputs!$C$6)*78.233+Inputs!$C$47*37.719))*43758.5453)-INT((SIN(((Model_Data!A96)*12.9898+(Inputs!$C$6)*78.233+Inputs!$C$47*37.719))*43758.5453)))-1))))/1000)^2))-(((Model_Data!B96)-((Inputs!$C$51*(115*EXP(-(((0)-25)^2)/(4.5^2))+70*EXP(-(((0)+38)^2)/(7^2))*(0.55+0.45*SIN(2*PI()*(Model_Data!A96)/45))+24*SIN(2*PI()*(0)/9+(Model_Data!A96)/18)*EXP(-(((0)+5)^2)/(22^2))+18*SIN(2*PI()*(Model_Data!A96)/70))+Inputs!$C$28*EXP(-(((Model_Data!A96)-Inputs!$C$29)^2)/(2*Inputs!$C$31^2))*EXP(-(((0)-Inputs!$C$30)^2)/(2*Inputs!$C$32^2))+-Inputs!$C$33*EXP(-(((((Model_Data!A96)-Inputs!$C$34)^2)+(((0)-Inputs!$C$35)^2))/(2*Inputs!$C$36^2)))+Inputs!$C$37*(0.55*SIN(2*PI()*(Model_Data!A96)/Inputs!$C$39)+0.35*COS(2*PI()*(0)/Inputs!$C$40)+0.2*SIN(2*PI()*((Model_Data!A96)+(0))/(0.5*(Inputs!$C$39+Inputs!$C$40))))+Inputs!$C$38*SIN(2*PI()*(Model_Data!A96)/Inputs!$C$39)*SIN(2*PI()*(0)/Inputs!$C$40)+-Inputs!$C$41*EXP(-(((0)-Inputs!$C$43)^2)/(2*Inputs!$C$44^2))*EXP(-(((Model_Data!A96)-Inputs!$C$42)^2)/(2*Inputs!$C$45^2))+Inputs!$C$48*(0.70*(0.45*SIN(2*PI()*(((Model_Data!A96)/Inputs!$C$49)+Inputs!$C$47*0.137))+0.35*COS(2*PI()*(((0)/Inputs!$C$50)+Inputs!$C$47*0.173))+0.20*SIN(2*PI()*(((Model_Data!A96)+(0))/(0.5*(Inputs!$C$49+Inputs!$C$50))+Inputs!$C$47*0.097)))+0.30*(2*((SIN(((Model_Data!A96)*12.9898+(0)*78.233+Inputs!$C$47*37.719))*43758.5453)-INT((SIN(((Model_Data!A96)*12.9898+(0)*78.233+Inputs!$C$47*37.719))*43758.5453)))-1))))/1000)))*1000/Inputs!$C$12)-Model_Data!F96))-(-(((SQRT((Model_Data!A96)^2+Inputs!$C$6^2+(Inputs!$C$5-((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(0.45*SIN(2*PI()*(((Model_Data!A96)/Inputs!$C$49)+Inputs!$C$47*0.137))+0.35*COS(2*PI()*(((Inputs!$C$6)/Inputs!$C$50)+Inputs!$C$47*0.173))+0.20*SIN(2*PI()*(((Model_Data!A96)+(Inputs!$C$6))/(0.5*(Inputs!$C$49+Inputs!$C$50))+Inputs!$C$47*0.097)))+0.30*(2*((SIN(((Model_Data!A96)*12.9898+(Inputs!$C$6)*78.233+Inputs!$C$47*37.719))*43758.5453)-INT((SIN(((Model_Data!A96)*12.9898+(Inputs!$C$6)*78.233+Inputs!$C$47*37.719))*43758.5453)))-1))))/1000)^2)-(Inputs!$C$5-((Inputs!$C$51*(115*EXP(-(((0)-25)^2)/(4.5^2))+70*EXP(-(((0)+38)^2)/(7^2))*(0.55+0.45*SIN(2*PI()*(Model_Data!A96)/45))+24*SIN(2*PI()*(0)/9+(Model_Data!A96)/18)*EXP(-(((0)+5)^2)/(22^2))+18*SIN(2*PI()*(Model_Data!A96)/70))+Inputs!$C$28*EXP(-(((Model_Data!A96)-Inputs!$C$29)^2)/(2*Inputs!$C$31^2))*EXP(-(((0)-Inputs!$C$30)^2)/(2*Inputs!$C$32^2))+-Inputs!$C$33*EXP(-(((((Model_Data!A96)-Inputs!$C$34)^2)+(((0)-Inputs!$C$35)^2))/(2*Inputs!$C$36^2)))+Inputs!$C$37*(0.55*SIN(2*PI()*(Model_Data!A96)/Inputs!$C$39)+0.35*COS(2*PI()*(0)/Inputs!$C$40)+0.2*SIN(2*PI()*((Model_Data!A96)+(0))/(0.5*(Inputs!$C$39+Inputs!$C$40))))+Inputs!$C$38*SIN(2*PI()*(Model_Data!A96)/Inputs!$C$39)*SIN(2*PI()*(0)/Inputs!$C$40)+-Inputs!$C$41*EXP(-(((0)-Inputs!$C$43)^2)/(2*Inputs!$C$44^2))*EXP(-(((Model_Data!A96)-Inputs!$C$42)^2)/(2*Inputs!$C$45^2))+Inputs!$C$48*(0.70*(0.45*SIN(2*PI()*(((Model_Data!A96)/Inputs!$C$49)+Inputs!$C$47*0.137))+0.35*COS(2*PI()*(((0)/Inputs!$C$50)+Inputs!$C$47*0.173))+0.20*SIN(2*PI()*(((Model_Data!A96)+(0))/(0.5*(Inputs!$C$49+Inputs!$C$50))+Inputs!$C$47*0.097)))+0.30*(2*((SIN(((Model_Data!A96)*12.9898+(0)*78.233+Inputs!$C$47*37.719))*43758.5453)-INT((SIN(((Model_Data!A96)*12.9898+(0)*78.233+Inputs!$C$47*37.719))*43758.5453)))-1))))/1000))*1000/Inputs!$C$12)-((SQRT((Model_Data!A96)^2+Inputs!$C$6^2+Inputs!$C$5^2)-Inputs!$C$5)*1000/Inputs!$C$12)))</x:f>
        <x:v>0.0005628718046182257</x:v>
      </x:c>
      <x:c r="X96" s="48" t="n">
        <x:f>0</x:f>
        <x:v>0</x:v>
      </x:c>
      <x:c r="Y96" s="49"/>
      <x:c r="Z96" s="48" t="n">
        <x:f>Model_Data!A96</x:f>
        <x:v>-13</x:v>
      </x:c>
      <x:c r="AA96" s="48" t="n">
        <x:f>SQRT((Model_Data!A96)^2+Inputs!$C$6^2+((Model_Data!B96)-((Inputs!$C$51*(115*EXP(-(((Inputs!$C$6)-25)^2)/(4.5^2))+70*EXP(-(((Inputs!$C$6)+38)^2)/(7^2))*(0.55+0.45*SIN(2*PI()*(Model_Data!A96)/45))+24*SIN(2*PI()*(Inputs!$C$6)/9+(Model_Data!A96)/18)*EXP(-(((Inputs!$C$6)+5)^2)/(22^2))+18*SIN(2*PI()*(Model_Data!A96)/70))+Inputs!$C$28*EXP(-(((Model_Data!A96)-Inputs!$C$29)^2)/(2*Inputs!$C$31^2))*EXP(-(((Inputs!$C$6)-Inputs!$C$30)^2)/(2*Inputs!$C$32^2))+-Inputs!$C$33*EXP(-(((((Model_Data!A96)-Inputs!$C$34)^2)+(((Inputs!$C$6)-Inputs!$C$35)^2))/(2*Inputs!$C$36^2)))+Inputs!$C$37*(0.55*SIN(2*PI()*(Model_Data!A96)/Inputs!$C$39)+0.35*COS(2*PI()*(Inputs!$C$6)/Inputs!$C$40)+0.2*SIN(2*PI()*((Model_Data!A96)+(Inputs!$C$6))/(0.5*(Inputs!$C$39+Inputs!$C$40))))+Inputs!$C$38*SIN(2*PI()*(Model_Data!A96)/Inputs!$C$39)*SIN(2*PI()*(Inputs!$C$6)/Inputs!$C$40)+-Inputs!$C$41*EXP(-(((Inputs!$C$6)-Inputs!$C$43)^2)/(2*Inputs!$C$44^2))*EXP(-(((Model_Data!A96)-Inputs!$C$42)^2)/(2*Inputs!$C$45^2))+Inputs!$C$48*(0.70*(0.45*SIN(2*PI()*(((Model_Data!A96)/Inputs!$C$49)+Inputs!$C$47*0.137))+0.35*COS(2*PI()*(((Inputs!$C$6)/Inputs!$C$50)+Inputs!$C$47*0.173))+0.20*SIN(2*PI()*(((Model_Data!A96)+(Inputs!$C$6))/(0.5*(Inputs!$C$49+Inputs!$C$50))+Inputs!$C$47*0.097)))+0.30*(2*((SIN(((Model_Data!A96)*12.9898+(Inputs!$C$6)*78.233+Inputs!$C$47*37.719))*43758.5453)-INT((SIN(((Model_Data!A96)*12.9898+(Inputs!$C$6)*78.233+Inputs!$C$47*37.719))*43758.5453)))-1))))/1000)^2)</x:f>
        <x:v>400.7467713442505</x:v>
      </x:c>
      <x:c r="AB96" s="48" t="n">
        <x:f>1000*(AA97-AA95)/(Z97-Z95)*Inputs!$C$11</x:f>
        <x:v>-365.1224368347812</x:v>
      </x:c>
      <x:c r="AC96" s="48" t="n">
        <x:f>-2*AB96/Inputs!$C$13</x:f>
        <x:v>146.04897473391247</x:v>
      </x:c>
      <x:c r="AD96" s="48" t="n">
        <x:f>-2*AB96/Inputs!$C$14</x:f>
        <x:v>21.929275485572447</x:v>
      </x:c>
    </x:row>
    <x:row r="97">
      <x:c r="A97" s="48" t="n">
        <x:f>Model_Data!A97</x:f>
        <x:v>-12.5</x:v>
      </x:c>
      <x:c r="B97" s="48" t="n">
        <x:f>Model_Data!F97</x:f>
        <x:v>547.7253830597713</x:v>
      </x:c>
      <x:c r="C97" s="48" t="n">
        <x:f>(((SQRT((Model_Data!A97)^2+Inputs!$C$6^2+((Model_Data!B97)-((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(0.45*SIN(2*PI()*(((Model_Data!A97)/Inputs!$C$49)+Inputs!$C$47*0.137))+0.35*COS(2*PI()*(((Inputs!$C$6)/Inputs!$C$50)+Inputs!$C$47*0.173))+0.20*SIN(2*PI()*(((Model_Data!A97)+(Inputs!$C$6))/(0.5*(Inputs!$C$49+Inputs!$C$50))+Inputs!$C$47*0.097)))+0.30*(2*((SIN(((Model_Data!A97)*12.9898+(Inputs!$C$6)*78.233+Inputs!$C$47*37.719))*43758.5453)-INT((SIN(((Model_Data!A97)*12.9898+(Inputs!$C$6)*78.233+Inputs!$C$47*37.719))*43758.5453)))-1))))/1000)^2))-(((Model_Data!B97)-((Inputs!$C$51*(115*EXP(-(((0)-25)^2)/(4.5^2))+70*EXP(-(((0)+38)^2)/(7^2))*(0.55+0.45*SIN(2*PI()*(Model_Data!A97)/45))+24*SIN(2*PI()*(0)/9+(Model_Data!A97)/18)*EXP(-(((0)+5)^2)/(22^2))+18*SIN(2*PI()*(Model_Data!A97)/70))+Inputs!$C$28*EXP(-(((Model_Data!A97)-Inputs!$C$29)^2)/(2*Inputs!$C$31^2))*EXP(-(((0)-Inputs!$C$30)^2)/(2*Inputs!$C$32^2))+-Inputs!$C$33*EXP(-(((((Model_Data!A97)-Inputs!$C$34)^2)+(((0)-Inputs!$C$35)^2))/(2*Inputs!$C$36^2)))+Inputs!$C$37*(0.55*SIN(2*PI()*(Model_Data!A97)/Inputs!$C$39)+0.35*COS(2*PI()*(0)/Inputs!$C$40)+0.2*SIN(2*PI()*((Model_Data!A97)+(0))/(0.5*(Inputs!$C$39+Inputs!$C$40))))+Inputs!$C$38*SIN(2*PI()*(Model_Data!A97)/Inputs!$C$39)*SIN(2*PI()*(0)/Inputs!$C$40)+-Inputs!$C$41*EXP(-(((0)-Inputs!$C$43)^2)/(2*Inputs!$C$44^2))*EXP(-(((Model_Data!A97)-Inputs!$C$42)^2)/(2*Inputs!$C$45^2))+Inputs!$C$48*(0.70*(0.45*SIN(2*PI()*(((Model_Data!A97)/Inputs!$C$49)+Inputs!$C$47*0.137))+0.35*COS(2*PI()*(((0)/Inputs!$C$50)+Inputs!$C$47*0.173))+0.20*SIN(2*PI()*(((Model_Data!A97)+(0))/(0.5*(Inputs!$C$49+Inputs!$C$50))+Inputs!$C$47*0.097)))+0.30*(2*((SIN(((Model_Data!A97)*12.9898+(0)*78.233+Inputs!$C$47*37.719))*43758.5453)-INT((SIN(((Model_Data!A97)*12.9898+(0)*78.233+Inputs!$C$47*37.719))*43758.5453)))-1))))/1000)))*1000/Inputs!$C$12)</x:f>
        <x:v>256.7365692472235</x:v>
      </x:c>
      <x:c r="D97" s="49"/>
      <x:c r="E97" s="48" t="n">
        <x:f>Model_Data!A97</x:f>
        <x:v>-12.5</x:v>
      </x:c>
      <x:c r="F97" s="48" t="n">
        <x:f>(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(0.45*SIN(2*PI()*(((Model_Data!A97)/Inputs!$C$49)+Inputs!$C$47*0.137))+0.35*COS(2*PI()*(((Inputs!$C$6)/Inputs!$C$50)+Inputs!$C$47*0.173))+0.20*SIN(2*PI()*(((Model_Data!A97)+(Inputs!$C$6))/(0.5*(Inputs!$C$49+Inputs!$C$50))+Inputs!$C$47*0.097)))+0.30*(2*((SIN(((Model_Data!A97)*12.9898+(Inputs!$C$6)*78.233+Inputs!$C$47*37.719))*43758.5453)-INT((SIN(((Model_Data!A97)*12.9898+(Inputs!$C$6)*78.233+Inputs!$C$47*37.719))*43758.5453)))-1)))</x:f>
        <x:v>448.8683161255995</x:v>
      </x:c>
      <x:c r="G97" s="48" t="n">
        <x:f>(Inputs!$C$51*(115*EXP(-(((0)-25)^2)/(4.5^2))+70*EXP(-(((0)+38)^2)/(7^2))*(0.55+0.45*SIN(2*PI()*(Model_Data!A97)/45))+24*SIN(2*PI()*(0)/9+(Model_Data!A97)/18)*EXP(-(((0)+5)^2)/(22^2))+18*SIN(2*PI()*(Model_Data!A97)/70))+Inputs!$C$28*EXP(-(((Model_Data!A97)-Inputs!$C$29)^2)/(2*Inputs!$C$31^2))*EXP(-(((0)-Inputs!$C$30)^2)/(2*Inputs!$C$32^2))+-Inputs!$C$33*EXP(-(((((Model_Data!A97)-Inputs!$C$34)^2)+(((0)-Inputs!$C$35)^2))/(2*Inputs!$C$36^2)))+Inputs!$C$37*(0.55*SIN(2*PI()*(Model_Data!A97)/Inputs!$C$39)+0.35*COS(2*PI()*(0)/Inputs!$C$40)+0.2*SIN(2*PI()*((Model_Data!A97)+(0))/(0.5*(Inputs!$C$39+Inputs!$C$40))))+Inputs!$C$38*SIN(2*PI()*(Model_Data!A97)/Inputs!$C$39)*SIN(2*PI()*(0)/Inputs!$C$40)+-Inputs!$C$41*EXP(-(((0)-Inputs!$C$43)^2)/(2*Inputs!$C$44^2))*EXP(-(((Model_Data!A97)-Inputs!$C$42)^2)/(2*Inputs!$C$45^2))+Inputs!$C$48*(0.70*(0.45*SIN(2*PI()*(((Model_Data!A97)/Inputs!$C$49)+Inputs!$C$47*0.137))+0.35*COS(2*PI()*(((0)/Inputs!$C$50)+Inputs!$C$47*0.173))+0.20*SIN(2*PI()*(((Model_Data!A97)+(0))/(0.5*(Inputs!$C$49+Inputs!$C$50))+Inputs!$C$47*0.097)))+0.30*(2*((SIN(((Model_Data!A97)*12.9898+(0)*78.233+Inputs!$C$47*37.719))*43758.5453)-INT((SIN(((Model_Data!A97)*12.9898+(0)*78.233+Inputs!$C$47*37.719))*43758.5453)))-1)))</x:f>
        <x:v>-70.18392228131138</x:v>
      </x:c>
      <x:c r="H97" s="49"/>
      <x:c r="I97" s="48" t="n">
        <x:f>Model_Data!A97</x:f>
        <x:v>-12.5</x:v>
      </x:c>
      <x:c r="J97" s="48" t="n">
        <x:f>((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(0.45*SIN(2*PI()*(((Model_Data!A97)/Inputs!$C$49)+Inputs!$C$47*0.137))+0.35*COS(2*PI()*(((Inputs!$C$6)/Inputs!$C$50)+Inputs!$C$47*0.173))+0.20*SIN(2*PI()*(((Model_Data!A97)+(Inputs!$C$6))/(0.5*(Inputs!$C$49+Inputs!$C$50))+Inputs!$C$47*0.097)))+0.30*(2*((SIN(((Model_Data!A97)*12.9898+(Inputs!$C$6)*78.233+Inputs!$C$47*37.719))*43758.5453)-INT((SIN(((Model_Data!A97)*12.9898+(Inputs!$C$6)*78.233+Inputs!$C$47*37.719))*43758.5453)))-1))))-((Inputs!$C$51*(115*EXP(-(((0)-25)^2)/(4.5^2))+70*EXP(-(((0)+38)^2)/(7^2))*(0.55+0.45*SIN(2*PI()*(Model_Data!A97)/45))+24*SIN(2*PI()*(0)/9+(Model_Data!A97)/18)*EXP(-(((0)+5)^2)/(22^2))+18*SIN(2*PI()*(Model_Data!A97)/70))+Inputs!$C$28*EXP(-(((Model_Data!A97)-Inputs!$C$29)^2)/(2*Inputs!$C$31^2))*EXP(-(((0)-Inputs!$C$30)^2)/(2*Inputs!$C$32^2))+-Inputs!$C$33*EXP(-(((((Model_Data!A97)-Inputs!$C$34)^2)+(((0)-Inputs!$C$35)^2))/(2*Inputs!$C$36^2)))+Inputs!$C$37*(0.55*SIN(2*PI()*(Model_Data!A97)/Inputs!$C$39)+0.35*COS(2*PI()*(0)/Inputs!$C$40)+0.2*SIN(2*PI()*((Model_Data!A97)+(0))/(0.5*(Inputs!$C$39+Inputs!$C$40))))+Inputs!$C$38*SIN(2*PI()*(Model_Data!A97)/Inputs!$C$39)*SIN(2*PI()*(0)/Inputs!$C$40)+-Inputs!$C$41*EXP(-(((0)-Inputs!$C$43)^2)/(2*Inputs!$C$44^2))*EXP(-(((Model_Data!A97)-Inputs!$C$42)^2)/(2*Inputs!$C$45^2))+Inputs!$C$48*(0.70*(0.45*SIN(2*PI()*(((Model_Data!A97)/Inputs!$C$49)+Inputs!$C$47*0.137))+0.35*COS(2*PI()*(((0)/Inputs!$C$50)+Inputs!$C$47*0.173))+0.20*SIN(2*PI()*(((Model_Data!A97)+(0))/(0.5*(Inputs!$C$49+Inputs!$C$50))+Inputs!$C$47*0.097)))+0.30*(2*((SIN(((Model_Data!A97)*12.9898+(0)*78.233+Inputs!$C$47*37.719))*43758.5453)-INT((SIN(((Model_Data!A97)*12.9898+(0)*78.233+Inputs!$C$47*37.719))*43758.5453)))-1))))</x:f>
        <x:v>519.0522384069109</x:v>
      </x:c>
      <x:c r="K97" s="48" t="n">
        <x:f>-((((SQRT((Model_Data!A97)^2+Inputs!$C$6^2+((Model_Data!B97)-((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(0.45*SIN(2*PI()*(((Model_Data!A97)/Inputs!$C$49)+Inputs!$C$47*0.137))+0.35*COS(2*PI()*(((Inputs!$C$6)/Inputs!$C$50)+Inputs!$C$47*0.173))+0.20*SIN(2*PI()*(((Model_Data!A97)+(Inputs!$C$6))/(0.5*(Inputs!$C$49+Inputs!$C$50))+Inputs!$C$47*0.097)))+0.30*(2*((SIN(((Model_Data!A97)*12.9898+(Inputs!$C$6)*78.233+Inputs!$C$47*37.719))*43758.5453)-INT((SIN(((Model_Data!A97)*12.9898+(Inputs!$C$6)*78.233+Inputs!$C$47*37.719))*43758.5453)))-1))))/1000)^2))-(((Model_Data!B97)-((Inputs!$C$51*(115*EXP(-(((0)-25)^2)/(4.5^2))+70*EXP(-(((0)+38)^2)/(7^2))*(0.55+0.45*SIN(2*PI()*(Model_Data!A97)/45))+24*SIN(2*PI()*(0)/9+(Model_Data!A97)/18)*EXP(-(((0)+5)^2)/(22^2))+18*SIN(2*PI()*(Model_Data!A97)/70))+Inputs!$C$28*EXP(-(((Model_Data!A97)-Inputs!$C$29)^2)/(2*Inputs!$C$31^2))*EXP(-(((0)-Inputs!$C$30)^2)/(2*Inputs!$C$32^2))+-Inputs!$C$33*EXP(-(((((Model_Data!A97)-Inputs!$C$34)^2)+(((0)-Inputs!$C$35)^2))/(2*Inputs!$C$36^2)))+Inputs!$C$37*(0.55*SIN(2*PI()*(Model_Data!A97)/Inputs!$C$39)+0.35*COS(2*PI()*(0)/Inputs!$C$40)+0.2*SIN(2*PI()*((Model_Data!A97)+(0))/(0.5*(Inputs!$C$39+Inputs!$C$40))))+Inputs!$C$38*SIN(2*PI()*(Model_Data!A97)/Inputs!$C$39)*SIN(2*PI()*(0)/Inputs!$C$40)+-Inputs!$C$41*EXP(-(((0)-Inputs!$C$43)^2)/(2*Inputs!$C$44^2))*EXP(-(((Model_Data!A97)-Inputs!$C$42)^2)/(2*Inputs!$C$45^2))+Inputs!$C$48*(0.70*(0.45*SIN(2*PI()*(((Model_Data!A97)/Inputs!$C$49)+Inputs!$C$47*0.137))+0.35*COS(2*PI()*(((0)/Inputs!$C$50)+Inputs!$C$47*0.173))+0.20*SIN(2*PI()*(((Model_Data!A97)+(0))/(0.5*(Inputs!$C$49+Inputs!$C$50))+Inputs!$C$47*0.097)))+0.30*(2*((SIN(((Model_Data!A97)*12.9898+(0)*78.233+Inputs!$C$47*37.719))*43758.5453)-INT((SIN(((Model_Data!A97)*12.9898+(0)*78.233+Inputs!$C$47*37.719))*43758.5453)))-1))))/1000)))*1000/Inputs!$C$12)-Model_Data!F97)</x:f>
        <x:v>290.9888138125478</x:v>
      </x:c>
      <x:c r="L97" s="49"/>
      <x:c r="M97" s="48" t="n">
        <x:f>Model_Data!A97</x:f>
        <x:v>-12.5</x:v>
      </x:c>
      <x:c r="N97" s="48" t="n">
        <x:f>Model_Data!P97</x:f>
        <x:v>94.19326747970709</x:v>
      </x:c>
      <x:c r="O97" s="48" t="n">
        <x:f>AC97</x:f>
        <x:v>102.39898585268747</x:v>
      </x:c>
      <x:c r="P97" s="48" t="n">
        <x:f>Model_Data!Q97</x:f>
        <x:v>14.143133255211277</x:v>
      </x:c>
      <x:c r="Q97" s="48" t="n">
        <x:f>AD97</x:f>
        <x:v>15.375223101004126</x:v>
      </x:c>
      <x:c r="R97" s="49"/>
      <x:c r="S97" s="48" t="n">
        <x:f>Model_Data!A97</x:f>
        <x:v>-12.5</x:v>
      </x:c>
      <x:c r="T97" s="48" t="n">
        <x:f>Model_Data!B97-Inputs!$C$5</x:f>
        <x:v>0.17361111111108585</x:v>
      </x:c>
      <x:c r="U97" s="49"/>
      <x:c r="V97" s="48" t="n">
        <x:f>Model_Data!A97</x:f>
        <x:v>-12.5</x:v>
      </x:c>
      <x:c r="W97" s="48" t="n">
        <x:f>(-((((SQRT((Model_Data!A97)^2+Inputs!$C$6^2+((Model_Data!B97)-((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(0.45*SIN(2*PI()*(((Model_Data!A97)/Inputs!$C$49)+Inputs!$C$47*0.137))+0.35*COS(2*PI()*(((Inputs!$C$6)/Inputs!$C$50)+Inputs!$C$47*0.173))+0.20*SIN(2*PI()*(((Model_Data!A97)+(Inputs!$C$6))/(0.5*(Inputs!$C$49+Inputs!$C$50))+Inputs!$C$47*0.097)))+0.30*(2*((SIN(((Model_Data!A97)*12.9898+(Inputs!$C$6)*78.233+Inputs!$C$47*37.719))*43758.5453)-INT((SIN(((Model_Data!A97)*12.9898+(Inputs!$C$6)*78.233+Inputs!$C$47*37.719))*43758.5453)))-1))))/1000)^2))-(((Model_Data!B97)-((Inputs!$C$51*(115*EXP(-(((0)-25)^2)/(4.5^2))+70*EXP(-(((0)+38)^2)/(7^2))*(0.55+0.45*SIN(2*PI()*(Model_Data!A97)/45))+24*SIN(2*PI()*(0)/9+(Model_Data!A97)/18)*EXP(-(((0)+5)^2)/(22^2))+18*SIN(2*PI()*(Model_Data!A97)/70))+Inputs!$C$28*EXP(-(((Model_Data!A97)-Inputs!$C$29)^2)/(2*Inputs!$C$31^2))*EXP(-(((0)-Inputs!$C$30)^2)/(2*Inputs!$C$32^2))+-Inputs!$C$33*EXP(-(((((Model_Data!A97)-Inputs!$C$34)^2)+(((0)-Inputs!$C$35)^2))/(2*Inputs!$C$36^2)))+Inputs!$C$37*(0.55*SIN(2*PI()*(Model_Data!A97)/Inputs!$C$39)+0.35*COS(2*PI()*(0)/Inputs!$C$40)+0.2*SIN(2*PI()*((Model_Data!A97)+(0))/(0.5*(Inputs!$C$39+Inputs!$C$40))))+Inputs!$C$38*SIN(2*PI()*(Model_Data!A97)/Inputs!$C$39)*SIN(2*PI()*(0)/Inputs!$C$40)+-Inputs!$C$41*EXP(-(((0)-Inputs!$C$43)^2)/(2*Inputs!$C$44^2))*EXP(-(((Model_Data!A97)-Inputs!$C$42)^2)/(2*Inputs!$C$45^2))+Inputs!$C$48*(0.70*(0.45*SIN(2*PI()*(((Model_Data!A97)/Inputs!$C$49)+Inputs!$C$47*0.137))+0.35*COS(2*PI()*(((0)/Inputs!$C$50)+Inputs!$C$47*0.173))+0.20*SIN(2*PI()*(((Model_Data!A97)+(0))/(0.5*(Inputs!$C$49+Inputs!$C$50))+Inputs!$C$47*0.097)))+0.30*(2*((SIN(((Model_Data!A97)*12.9898+(0)*78.233+Inputs!$C$47*37.719))*43758.5453)-INT((SIN(((Model_Data!A97)*12.9898+(0)*78.233+Inputs!$C$47*37.719))*43758.5453)))-1))))/1000)))*1000/Inputs!$C$12)-Model_Data!F97))-(-(((SQRT((Model_Data!A97)^2+Inputs!$C$6^2+(Inputs!$C$5-((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(0.45*SIN(2*PI()*(((Model_Data!A97)/Inputs!$C$49)+Inputs!$C$47*0.137))+0.35*COS(2*PI()*(((Inputs!$C$6)/Inputs!$C$50)+Inputs!$C$47*0.173))+0.20*SIN(2*PI()*(((Model_Data!A97)+(Inputs!$C$6))/(0.5*(Inputs!$C$49+Inputs!$C$50))+Inputs!$C$47*0.097)))+0.30*(2*((SIN(((Model_Data!A97)*12.9898+(Inputs!$C$6)*78.233+Inputs!$C$47*37.719))*43758.5453)-INT((SIN(((Model_Data!A97)*12.9898+(Inputs!$C$6)*78.233+Inputs!$C$47*37.719))*43758.5453)))-1))))/1000)^2)-(Inputs!$C$5-((Inputs!$C$51*(115*EXP(-(((0)-25)^2)/(4.5^2))+70*EXP(-(((0)+38)^2)/(7^2))*(0.55+0.45*SIN(2*PI()*(Model_Data!A97)/45))+24*SIN(2*PI()*(0)/9+(Model_Data!A97)/18)*EXP(-(((0)+5)^2)/(22^2))+18*SIN(2*PI()*(Model_Data!A97)/70))+Inputs!$C$28*EXP(-(((Model_Data!A97)-Inputs!$C$29)^2)/(2*Inputs!$C$31^2))*EXP(-(((0)-Inputs!$C$30)^2)/(2*Inputs!$C$32^2))+-Inputs!$C$33*EXP(-(((((Model_Data!A97)-Inputs!$C$34)^2)+(((0)-Inputs!$C$35)^2))/(2*Inputs!$C$36^2)))+Inputs!$C$37*(0.55*SIN(2*PI()*(Model_Data!A97)/Inputs!$C$39)+0.35*COS(2*PI()*(0)/Inputs!$C$40)+0.2*SIN(2*PI()*((Model_Data!A97)+(0))/(0.5*(Inputs!$C$39+Inputs!$C$40))))+Inputs!$C$38*SIN(2*PI()*(Model_Data!A97)/Inputs!$C$39)*SIN(2*PI()*(0)/Inputs!$C$40)+-Inputs!$C$41*EXP(-(((0)-Inputs!$C$43)^2)/(2*Inputs!$C$44^2))*EXP(-(((Model_Data!A97)-Inputs!$C$42)^2)/(2*Inputs!$C$45^2))+Inputs!$C$48*(0.70*(0.45*SIN(2*PI()*(((Model_Data!A97)/Inputs!$C$49)+Inputs!$C$47*0.137))+0.35*COS(2*PI()*(((0)/Inputs!$C$50)+Inputs!$C$47*0.173))+0.20*SIN(2*PI()*(((Model_Data!A97)+(0))/(0.5*(Inputs!$C$49+Inputs!$C$50))+Inputs!$C$47*0.097)))+0.30*(2*((SIN(((Model_Data!A97)*12.9898+(0)*78.233+Inputs!$C$47*37.719))*43758.5453)-INT((SIN(((Model_Data!A97)*12.9898+(0)*78.233+Inputs!$C$47*37.719))*43758.5453)))-1))))/1000))*1000/Inputs!$C$12)-((SQRT((Model_Data!A97)^2+Inputs!$C$6^2+Inputs!$C$5^2)-Inputs!$C$5)*1000/Inputs!$C$12)))</x:f>
        <x:v>0.0005310799510311881</x:v>
      </x:c>
      <x:c r="X97" s="48" t="n">
        <x:f>0</x:f>
        <x:v>0</x:v>
      </x:c>
      <x:c r="Y97" s="49"/>
      <x:c r="Z97" s="48" t="n">
        <x:f>Model_Data!A97</x:f>
        <x:v>-12.5</x:v>
      </x:c>
      <x:c r="AA97" s="48" t="n">
        <x:f>SQRT((Model_Data!A97)^2+Inputs!$C$6^2+((Model_Data!B97)-((Inputs!$C$51*(115*EXP(-(((Inputs!$C$6)-25)^2)/(4.5^2))+70*EXP(-(((Inputs!$C$6)+38)^2)/(7^2))*(0.55+0.45*SIN(2*PI()*(Model_Data!A97)/45))+24*SIN(2*PI()*(Inputs!$C$6)/9+(Model_Data!A97)/18)*EXP(-(((Inputs!$C$6)+5)^2)/(22^2))+18*SIN(2*PI()*(Model_Data!A97)/70))+Inputs!$C$28*EXP(-(((Model_Data!A97)-Inputs!$C$29)^2)/(2*Inputs!$C$31^2))*EXP(-(((Inputs!$C$6)-Inputs!$C$30)^2)/(2*Inputs!$C$32^2))+-Inputs!$C$33*EXP(-(((((Model_Data!A97)-Inputs!$C$34)^2)+(((Inputs!$C$6)-Inputs!$C$35)^2))/(2*Inputs!$C$36^2)))+Inputs!$C$37*(0.55*SIN(2*PI()*(Model_Data!A97)/Inputs!$C$39)+0.35*COS(2*PI()*(Inputs!$C$6)/Inputs!$C$40)+0.2*SIN(2*PI()*((Model_Data!A97)+(Inputs!$C$6))/(0.5*(Inputs!$C$39+Inputs!$C$40))))+Inputs!$C$38*SIN(2*PI()*(Model_Data!A97)/Inputs!$C$39)*SIN(2*PI()*(Inputs!$C$6)/Inputs!$C$40)+-Inputs!$C$41*EXP(-(((Inputs!$C$6)-Inputs!$C$43)^2)/(2*Inputs!$C$44^2))*EXP(-(((Model_Data!A97)-Inputs!$C$42)^2)/(2*Inputs!$C$45^2))+Inputs!$C$48*(0.70*(0.45*SIN(2*PI()*(((Model_Data!A97)/Inputs!$C$49)+Inputs!$C$47*0.137))+0.35*COS(2*PI()*(((Inputs!$C$6)/Inputs!$C$50)+Inputs!$C$47*0.173))+0.20*SIN(2*PI()*(((Model_Data!A97)+(Inputs!$C$6))/(0.5*(Inputs!$C$49+Inputs!$C$50))+Inputs!$C$47*0.097)))+0.30*(2*((SIN(((Model_Data!A97)*12.9898+(Inputs!$C$6)*78.233+Inputs!$C$47*37.719))*43758.5453)-INT((SIN(((Model_Data!A97)*12.9898+(Inputs!$C$6)*78.233+Inputs!$C$47*37.719))*43758.5453)))-1))))/1000)^2)</x:f>
        <x:v>400.7007861266525</x:v>
      </x:c>
      <x:c r="AB97" s="48" t="n">
        <x:f>1000*(AA98-AA96)/(Z98-Z96)*Inputs!$C$11</x:f>
        <x:v>-255.99746463171869</x:v>
      </x:c>
      <x:c r="AC97" s="48" t="n">
        <x:f>-2*AB97/Inputs!$C$13</x:f>
        <x:v>102.39898585268747</x:v>
      </x:c>
      <x:c r="AD97" s="48" t="n">
        <x:f>-2*AB97/Inputs!$C$14</x:f>
        <x:v>15.375223101004126</x:v>
      </x:c>
    </x:row>
    <x:row r="98">
      <x:c r="A98" s="48" t="n">
        <x:f>Model_Data!A98</x:f>
        <x:v>-12</x:v>
      </x:c>
      <x:c r="B98" s="48" t="n">
        <x:f>Model_Data!F98</x:f>
        <x:v>539.1656171138436</x:v>
      </x:c>
      <x:c r="C98" s="48" t="n">
        <x:f>(((SQRT((Model_Data!A98)^2+Inputs!$C$6^2+((Model_Data!B98)-((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(0.45*SIN(2*PI()*(((Model_Data!A98)/Inputs!$C$49)+Inputs!$C$47*0.137))+0.35*COS(2*PI()*(((Inputs!$C$6)/Inputs!$C$50)+Inputs!$C$47*0.173))+0.20*SIN(2*PI()*(((Model_Data!A98)+(Inputs!$C$6))/(0.5*(Inputs!$C$49+Inputs!$C$50))+Inputs!$C$47*0.097)))+0.30*(2*((SIN(((Model_Data!A98)*12.9898+(Inputs!$C$6)*78.233+Inputs!$C$47*37.719))*43758.5453)-INT((SIN(((Model_Data!A98)*12.9898+(Inputs!$C$6)*78.233+Inputs!$C$47*37.719))*43758.5453)))-1))))/1000)^2))-(((Model_Data!B98)-((Inputs!$C$51*(115*EXP(-(((0)-25)^2)/(4.5^2))+70*EXP(-(((0)+38)^2)/(7^2))*(0.55+0.45*SIN(2*PI()*(Model_Data!A98)/45))+24*SIN(2*PI()*(0)/9+(Model_Data!A98)/18)*EXP(-(((0)+5)^2)/(22^2))+18*SIN(2*PI()*(Model_Data!A98)/70))+Inputs!$C$28*EXP(-(((Model_Data!A98)-Inputs!$C$29)^2)/(2*Inputs!$C$31^2))*EXP(-(((0)-Inputs!$C$30)^2)/(2*Inputs!$C$32^2))+-Inputs!$C$33*EXP(-(((((Model_Data!A98)-Inputs!$C$34)^2)+(((0)-Inputs!$C$35)^2))/(2*Inputs!$C$36^2)))+Inputs!$C$37*(0.55*SIN(2*PI()*(Model_Data!A98)/Inputs!$C$39)+0.35*COS(2*PI()*(0)/Inputs!$C$40)+0.2*SIN(2*PI()*((Model_Data!A98)+(0))/(0.5*(Inputs!$C$39+Inputs!$C$40))))+Inputs!$C$38*SIN(2*PI()*(Model_Data!A98)/Inputs!$C$39)*SIN(2*PI()*(0)/Inputs!$C$40)+-Inputs!$C$41*EXP(-(((0)-Inputs!$C$43)^2)/(2*Inputs!$C$44^2))*EXP(-(((Model_Data!A98)-Inputs!$C$42)^2)/(2*Inputs!$C$45^2))+Inputs!$C$48*(0.70*(0.45*SIN(2*PI()*(((Model_Data!A98)/Inputs!$C$49)+Inputs!$C$47*0.137))+0.35*COS(2*PI()*(((0)/Inputs!$C$50)+Inputs!$C$47*0.173))+0.20*SIN(2*PI()*(((Model_Data!A98)+(0))/(0.5*(Inputs!$C$49+Inputs!$C$50))+Inputs!$C$47*0.097)))+0.30*(2*((SIN(((Model_Data!A98)*12.9898+(0)*78.233+Inputs!$C$47*37.719))*43758.5453)-INT((SIN(((Model_Data!A98)*12.9898+(0)*78.233+Inputs!$C$47*37.719))*43758.5453)))-1))))/1000)))*1000/Inputs!$C$12)</x:f>
        <x:v>266.9741755971444</x:v>
      </x:c>
      <x:c r="D98" s="49"/>
      <x:c r="E98" s="48" t="n">
        <x:f>Model_Data!A98</x:f>
        <x:v>-12</x:v>
      </x:c>
      <x:c r="F98" s="48" t="n">
        <x:f>(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(0.45*SIN(2*PI()*(((Model_Data!A98)/Inputs!$C$49)+Inputs!$C$47*0.137))+0.35*COS(2*PI()*(((Inputs!$C$6)/Inputs!$C$50)+Inputs!$C$47*0.173))+0.20*SIN(2*PI()*(((Model_Data!A98)+(Inputs!$C$6))/(0.5*(Inputs!$C$49+Inputs!$C$50))+Inputs!$C$47*0.097)))+0.30*(2*((SIN(((Model_Data!A98)*12.9898+(Inputs!$C$6)*78.233+Inputs!$C$47*37.719))*43758.5453)-INT((SIN(((Model_Data!A98)*12.9898+(Inputs!$C$6)*78.233+Inputs!$C$47*37.719))*43758.5453)))-1)))</x:f>
        <x:v>437.9918993099811</x:v>
      </x:c>
      <x:c r="G98" s="48" t="n">
        <x:f>(Inputs!$C$51*(115*EXP(-(((0)-25)^2)/(4.5^2))+70*EXP(-(((0)+38)^2)/(7^2))*(0.55+0.45*SIN(2*PI()*(Model_Data!A98)/45))+24*SIN(2*PI()*(0)/9+(Model_Data!A98)/18)*EXP(-(((0)+5)^2)/(22^2))+18*SIN(2*PI()*(Model_Data!A98)/70))+Inputs!$C$28*EXP(-(((Model_Data!A98)-Inputs!$C$29)^2)/(2*Inputs!$C$31^2))*EXP(-(((0)-Inputs!$C$30)^2)/(2*Inputs!$C$32^2))+-Inputs!$C$33*EXP(-(((((Model_Data!A98)-Inputs!$C$34)^2)+(((0)-Inputs!$C$35)^2))/(2*Inputs!$C$36^2)))+Inputs!$C$37*(0.55*SIN(2*PI()*(Model_Data!A98)/Inputs!$C$39)+0.35*COS(2*PI()*(0)/Inputs!$C$40)+0.2*SIN(2*PI()*((Model_Data!A98)+(0))/(0.5*(Inputs!$C$39+Inputs!$C$40))))+Inputs!$C$38*SIN(2*PI()*(Model_Data!A98)/Inputs!$C$39)*SIN(2*PI()*(0)/Inputs!$C$40)+-Inputs!$C$41*EXP(-(((0)-Inputs!$C$43)^2)/(2*Inputs!$C$44^2))*EXP(-(((Model_Data!A98)-Inputs!$C$42)^2)/(2*Inputs!$C$45^2))+Inputs!$C$48*(0.70*(0.45*SIN(2*PI()*(((Model_Data!A98)/Inputs!$C$49)+Inputs!$C$47*0.137))+0.35*COS(2*PI()*(((0)/Inputs!$C$50)+Inputs!$C$47*0.173))+0.20*SIN(2*PI()*(((Model_Data!A98)+(0))/(0.5*(Inputs!$C$49+Inputs!$C$50))+Inputs!$C$47*0.097)))+0.30*(2*((SIN(((Model_Data!A98)*12.9898+(0)*78.233+Inputs!$C$47*37.719))*43758.5453)-INT((SIN(((Model_Data!A98)*12.9898+(0)*78.233+Inputs!$C$47*37.719))*43758.5453)))-1)))</x:f>
        <x:v>-47.55794552962975</x:v>
      </x:c>
      <x:c r="H98" s="49"/>
      <x:c r="I98" s="48" t="n">
        <x:f>Model_Data!A98</x:f>
        <x:v>-12</x:v>
      </x:c>
      <x:c r="J98" s="48" t="n">
        <x:f>((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(0.45*SIN(2*PI()*(((Model_Data!A98)/Inputs!$C$49)+Inputs!$C$47*0.137))+0.35*COS(2*PI()*(((Inputs!$C$6)/Inputs!$C$50)+Inputs!$C$47*0.173))+0.20*SIN(2*PI()*(((Model_Data!A98)+(Inputs!$C$6))/(0.5*(Inputs!$C$49+Inputs!$C$50))+Inputs!$C$47*0.097)))+0.30*(2*((SIN(((Model_Data!A98)*12.9898+(Inputs!$C$6)*78.233+Inputs!$C$47*37.719))*43758.5453)-INT((SIN(((Model_Data!A98)*12.9898+(Inputs!$C$6)*78.233+Inputs!$C$47*37.719))*43758.5453)))-1))))-((Inputs!$C$51*(115*EXP(-(((0)-25)^2)/(4.5^2))+70*EXP(-(((0)+38)^2)/(7^2))*(0.55+0.45*SIN(2*PI()*(Model_Data!A98)/45))+24*SIN(2*PI()*(0)/9+(Model_Data!A98)/18)*EXP(-(((0)+5)^2)/(22^2))+18*SIN(2*PI()*(Model_Data!A98)/70))+Inputs!$C$28*EXP(-(((Model_Data!A98)-Inputs!$C$29)^2)/(2*Inputs!$C$31^2))*EXP(-(((0)-Inputs!$C$30)^2)/(2*Inputs!$C$32^2))+-Inputs!$C$33*EXP(-(((((Model_Data!A98)-Inputs!$C$34)^2)+(((0)-Inputs!$C$35)^2))/(2*Inputs!$C$36^2)))+Inputs!$C$37*(0.55*SIN(2*PI()*(Model_Data!A98)/Inputs!$C$39)+0.35*COS(2*PI()*(0)/Inputs!$C$40)+0.2*SIN(2*PI()*((Model_Data!A98)+(0))/(0.5*(Inputs!$C$39+Inputs!$C$40))))+Inputs!$C$38*SIN(2*PI()*(Model_Data!A98)/Inputs!$C$39)*SIN(2*PI()*(0)/Inputs!$C$40)+-Inputs!$C$41*EXP(-(((0)-Inputs!$C$43)^2)/(2*Inputs!$C$44^2))*EXP(-(((Model_Data!A98)-Inputs!$C$42)^2)/(2*Inputs!$C$45^2))+Inputs!$C$48*(0.70*(0.45*SIN(2*PI()*(((Model_Data!A98)/Inputs!$C$49)+Inputs!$C$47*0.137))+0.35*COS(2*PI()*(((0)/Inputs!$C$50)+Inputs!$C$47*0.173))+0.20*SIN(2*PI()*(((Model_Data!A98)+(0))/(0.5*(Inputs!$C$49+Inputs!$C$50))+Inputs!$C$47*0.097)))+0.30*(2*((SIN(((Model_Data!A98)*12.9898+(0)*78.233+Inputs!$C$47*37.719))*43758.5453)-INT((SIN(((Model_Data!A98)*12.9898+(0)*78.233+Inputs!$C$47*37.719))*43758.5453)))-1))))</x:f>
        <x:v>485.54984483961084</x:v>
      </x:c>
      <x:c r="K98" s="48" t="n">
        <x:f>-((((SQRT((Model_Data!A98)^2+Inputs!$C$6^2+((Model_Data!B98)-((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(0.45*SIN(2*PI()*(((Model_Data!A98)/Inputs!$C$49)+Inputs!$C$47*0.137))+0.35*COS(2*PI()*(((Inputs!$C$6)/Inputs!$C$50)+Inputs!$C$47*0.173))+0.20*SIN(2*PI()*(((Model_Data!A98)+(Inputs!$C$6))/(0.5*(Inputs!$C$49+Inputs!$C$50))+Inputs!$C$47*0.097)))+0.30*(2*((SIN(((Model_Data!A98)*12.9898+(Inputs!$C$6)*78.233+Inputs!$C$47*37.719))*43758.5453)-INT((SIN(((Model_Data!A98)*12.9898+(Inputs!$C$6)*78.233+Inputs!$C$47*37.719))*43758.5453)))-1))))/1000)^2))-(((Model_Data!B98)-((Inputs!$C$51*(115*EXP(-(((0)-25)^2)/(4.5^2))+70*EXP(-(((0)+38)^2)/(7^2))*(0.55+0.45*SIN(2*PI()*(Model_Data!A98)/45))+24*SIN(2*PI()*(0)/9+(Model_Data!A98)/18)*EXP(-(((0)+5)^2)/(22^2))+18*SIN(2*PI()*(Model_Data!A98)/70))+Inputs!$C$28*EXP(-(((Model_Data!A98)-Inputs!$C$29)^2)/(2*Inputs!$C$31^2))*EXP(-(((0)-Inputs!$C$30)^2)/(2*Inputs!$C$32^2))+-Inputs!$C$33*EXP(-(((((Model_Data!A98)-Inputs!$C$34)^2)+(((0)-Inputs!$C$35)^2))/(2*Inputs!$C$36^2)))+Inputs!$C$37*(0.55*SIN(2*PI()*(Model_Data!A98)/Inputs!$C$39)+0.35*COS(2*PI()*(0)/Inputs!$C$40)+0.2*SIN(2*PI()*((Model_Data!A98)+(0))/(0.5*(Inputs!$C$39+Inputs!$C$40))))+Inputs!$C$38*SIN(2*PI()*(Model_Data!A98)/Inputs!$C$39)*SIN(2*PI()*(0)/Inputs!$C$40)+-Inputs!$C$41*EXP(-(((0)-Inputs!$C$43)^2)/(2*Inputs!$C$44^2))*EXP(-(((Model_Data!A98)-Inputs!$C$42)^2)/(2*Inputs!$C$45^2))+Inputs!$C$48*(0.70*(0.45*SIN(2*PI()*(((Model_Data!A98)/Inputs!$C$49)+Inputs!$C$47*0.137))+0.35*COS(2*PI()*(((0)/Inputs!$C$50)+Inputs!$C$47*0.173))+0.20*SIN(2*PI()*(((Model_Data!A98)+(0))/(0.5*(Inputs!$C$49+Inputs!$C$50))+Inputs!$C$47*0.097)))+0.30*(2*((SIN(((Model_Data!A98)*12.9898+(0)*78.233+Inputs!$C$47*37.719))*43758.5453)-INT((SIN(((Model_Data!A98)*12.9898+(0)*78.233+Inputs!$C$47*37.719))*43758.5453)))-1))))/1000)))*1000/Inputs!$C$12)-Model_Data!F98)</x:f>
        <x:v>272.19144151669923</x:v>
      </x:c>
      <x:c r="L98" s="49"/>
      <x:c r="M98" s="48" t="n">
        <x:f>Model_Data!A98</x:f>
        <x:v>-12</x:v>
      </x:c>
      <x:c r="N98" s="48" t="n">
        <x:f>Model_Data!P98</x:f>
        <x:v>90.43059215266564</x:v>
      </x:c>
      <x:c r="O98" s="48" t="n">
        <x:f>AC98</x:f>
        <x:v>106.51392889330964</x:v>
      </x:c>
      <x:c r="P98" s="48" t="n">
        <x:f>Model_Data!Q98</x:f>
        <x:v>13.578166989889736</x:v>
      </x:c>
      <x:c r="Q98" s="48" t="n">
        <x:f>AD98</x:f>
        <x:v>15.99308241641286</x:v>
      </x:c>
      <x:c r="R98" s="49"/>
      <x:c r="S98" s="48" t="n">
        <x:f>Model_Data!A98</x:f>
        <x:v>-12</x:v>
      </x:c>
      <x:c r="T98" s="48" t="n">
        <x:f>Model_Data!B98-Inputs!$C$5</x:f>
        <x:v>0.160000000000025</x:v>
      </x:c>
      <x:c r="U98" s="49"/>
      <x:c r="V98" s="48" t="n">
        <x:f>Model_Data!A98</x:f>
        <x:v>-12</x:v>
      </x:c>
      <x:c r="W98" s="48" t="n">
        <x:f>(-((((SQRT((Model_Data!A98)^2+Inputs!$C$6^2+((Model_Data!B98)-((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(0.45*SIN(2*PI()*(((Model_Data!A98)/Inputs!$C$49)+Inputs!$C$47*0.137))+0.35*COS(2*PI()*(((Inputs!$C$6)/Inputs!$C$50)+Inputs!$C$47*0.173))+0.20*SIN(2*PI()*(((Model_Data!A98)+(Inputs!$C$6))/(0.5*(Inputs!$C$49+Inputs!$C$50))+Inputs!$C$47*0.097)))+0.30*(2*((SIN(((Model_Data!A98)*12.9898+(Inputs!$C$6)*78.233+Inputs!$C$47*37.719))*43758.5453)-INT((SIN(((Model_Data!A98)*12.9898+(Inputs!$C$6)*78.233+Inputs!$C$47*37.719))*43758.5453)))-1))))/1000)^2))-(((Model_Data!B98)-((Inputs!$C$51*(115*EXP(-(((0)-25)^2)/(4.5^2))+70*EXP(-(((0)+38)^2)/(7^2))*(0.55+0.45*SIN(2*PI()*(Model_Data!A98)/45))+24*SIN(2*PI()*(0)/9+(Model_Data!A98)/18)*EXP(-(((0)+5)^2)/(22^2))+18*SIN(2*PI()*(Model_Data!A98)/70))+Inputs!$C$28*EXP(-(((Model_Data!A98)-Inputs!$C$29)^2)/(2*Inputs!$C$31^2))*EXP(-(((0)-Inputs!$C$30)^2)/(2*Inputs!$C$32^2))+-Inputs!$C$33*EXP(-(((((Model_Data!A98)-Inputs!$C$34)^2)+(((0)-Inputs!$C$35)^2))/(2*Inputs!$C$36^2)))+Inputs!$C$37*(0.55*SIN(2*PI()*(Model_Data!A98)/Inputs!$C$39)+0.35*COS(2*PI()*(0)/Inputs!$C$40)+0.2*SIN(2*PI()*((Model_Data!A98)+(0))/(0.5*(Inputs!$C$39+Inputs!$C$40))))+Inputs!$C$38*SIN(2*PI()*(Model_Data!A98)/Inputs!$C$39)*SIN(2*PI()*(0)/Inputs!$C$40)+-Inputs!$C$41*EXP(-(((0)-Inputs!$C$43)^2)/(2*Inputs!$C$44^2))*EXP(-(((Model_Data!A98)-Inputs!$C$42)^2)/(2*Inputs!$C$45^2))+Inputs!$C$48*(0.70*(0.45*SIN(2*PI()*(((Model_Data!A98)/Inputs!$C$49)+Inputs!$C$47*0.137))+0.35*COS(2*PI()*(((0)/Inputs!$C$50)+Inputs!$C$47*0.173))+0.20*SIN(2*PI()*(((Model_Data!A98)+(0))/(0.5*(Inputs!$C$49+Inputs!$C$50))+Inputs!$C$47*0.097)))+0.30*(2*((SIN(((Model_Data!A98)*12.9898+(0)*78.233+Inputs!$C$47*37.719))*43758.5453)-INT((SIN(((Model_Data!A98)*12.9898+(0)*78.233+Inputs!$C$47*37.719))*43758.5453)))-1))))/1000)))*1000/Inputs!$C$12)-Model_Data!F98))-(-(((SQRT((Model_Data!A98)^2+Inputs!$C$6^2+(Inputs!$C$5-((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(0.45*SIN(2*PI()*(((Model_Data!A98)/Inputs!$C$49)+Inputs!$C$47*0.137))+0.35*COS(2*PI()*(((Inputs!$C$6)/Inputs!$C$50)+Inputs!$C$47*0.173))+0.20*SIN(2*PI()*(((Model_Data!A98)+(Inputs!$C$6))/(0.5*(Inputs!$C$49+Inputs!$C$50))+Inputs!$C$47*0.097)))+0.30*(2*((SIN(((Model_Data!A98)*12.9898+(Inputs!$C$6)*78.233+Inputs!$C$47*37.719))*43758.5453)-INT((SIN(((Model_Data!A98)*12.9898+(Inputs!$C$6)*78.233+Inputs!$C$47*37.719))*43758.5453)))-1))))/1000)^2)-(Inputs!$C$5-((Inputs!$C$51*(115*EXP(-(((0)-25)^2)/(4.5^2))+70*EXP(-(((0)+38)^2)/(7^2))*(0.55+0.45*SIN(2*PI()*(Model_Data!A98)/45))+24*SIN(2*PI()*(0)/9+(Model_Data!A98)/18)*EXP(-(((0)+5)^2)/(22^2))+18*SIN(2*PI()*(Model_Data!A98)/70))+Inputs!$C$28*EXP(-(((Model_Data!A98)-Inputs!$C$29)^2)/(2*Inputs!$C$31^2))*EXP(-(((0)-Inputs!$C$30)^2)/(2*Inputs!$C$32^2))+-Inputs!$C$33*EXP(-(((((Model_Data!A98)-Inputs!$C$34)^2)+(((0)-Inputs!$C$35)^2))/(2*Inputs!$C$36^2)))+Inputs!$C$37*(0.55*SIN(2*PI()*(Model_Data!A98)/Inputs!$C$39)+0.35*COS(2*PI()*(0)/Inputs!$C$40)+0.2*SIN(2*PI()*((Model_Data!A98)+(0))/(0.5*(Inputs!$C$39+Inputs!$C$40))))+Inputs!$C$38*SIN(2*PI()*(Model_Data!A98)/Inputs!$C$39)*SIN(2*PI()*(0)/Inputs!$C$40)+-Inputs!$C$41*EXP(-(((0)-Inputs!$C$43)^2)/(2*Inputs!$C$44^2))*EXP(-(((Model_Data!A98)-Inputs!$C$42)^2)/(2*Inputs!$C$45^2))+Inputs!$C$48*(0.70*(0.45*SIN(2*PI()*(((Model_Data!A98)/Inputs!$C$49)+Inputs!$C$47*0.137))+0.35*COS(2*PI()*(((0)/Inputs!$C$50)+Inputs!$C$47*0.173))+0.20*SIN(2*PI()*(((Model_Data!A98)+(0))/(0.5*(Inputs!$C$49+Inputs!$C$50))+Inputs!$C$47*0.097)))+0.30*(2*((SIN(((Model_Data!A98)*12.9898+(0)*78.233+Inputs!$C$47*37.719))*43758.5453)-INT((SIN(((Model_Data!A98)*12.9898+(0)*78.233+Inputs!$C$47*37.719))*43758.5453)))-1))))/1000))*1000/Inputs!$C$12)-((SQRT((Model_Data!A98)^2+Inputs!$C$6^2+Inputs!$C$5^2)-Inputs!$C$5)*1000/Inputs!$C$12)))</x:f>
        <x:v>0.00047015373758085843</x:v>
      </x:c>
      <x:c r="X98" s="48" t="n">
        <x:f>0</x:f>
        <x:v>0</x:v>
      </x:c>
      <x:c r="Y98" s="49"/>
      <x:c r="Z98" s="48" t="n">
        <x:f>Model_Data!A98</x:f>
        <x:v>-12</x:v>
      </x:c>
      <x:c r="AA98" s="48" t="n">
        <x:f>SQRT((Model_Data!A98)^2+Inputs!$C$6^2+((Model_Data!B98)-((Inputs!$C$51*(115*EXP(-(((Inputs!$C$6)-25)^2)/(4.5^2))+70*EXP(-(((Inputs!$C$6)+38)^2)/(7^2))*(0.55+0.45*SIN(2*PI()*(Model_Data!A98)/45))+24*SIN(2*PI()*(Inputs!$C$6)/9+(Model_Data!A98)/18)*EXP(-(((Inputs!$C$6)+5)^2)/(22^2))+18*SIN(2*PI()*(Model_Data!A98)/70))+Inputs!$C$28*EXP(-(((Model_Data!A98)-Inputs!$C$29)^2)/(2*Inputs!$C$31^2))*EXP(-(((Inputs!$C$6)-Inputs!$C$30)^2)/(2*Inputs!$C$32^2))+-Inputs!$C$33*EXP(-(((((Model_Data!A98)-Inputs!$C$34)^2)+(((Inputs!$C$6)-Inputs!$C$35)^2))/(2*Inputs!$C$36^2)))+Inputs!$C$37*(0.55*SIN(2*PI()*(Model_Data!A98)/Inputs!$C$39)+0.35*COS(2*PI()*(Inputs!$C$6)/Inputs!$C$40)+0.2*SIN(2*PI()*((Model_Data!A98)+(Inputs!$C$6))/(0.5*(Inputs!$C$39+Inputs!$C$40))))+Inputs!$C$38*SIN(2*PI()*(Model_Data!A98)/Inputs!$C$39)*SIN(2*PI()*(Inputs!$C$6)/Inputs!$C$40)+-Inputs!$C$41*EXP(-(((Inputs!$C$6)-Inputs!$C$43)^2)/(2*Inputs!$C$44^2))*EXP(-(((Model_Data!A98)-Inputs!$C$42)^2)/(2*Inputs!$C$45^2))+Inputs!$C$48*(0.70*(0.45*SIN(2*PI()*(((Model_Data!A98)/Inputs!$C$49)+Inputs!$C$47*0.137))+0.35*COS(2*PI()*(((Inputs!$C$6)/Inputs!$C$50)+Inputs!$C$47*0.173))+0.20*SIN(2*PI()*(((Model_Data!A98)+(Inputs!$C$6))/(0.5*(Inputs!$C$49+Inputs!$C$50))+Inputs!$C$47*0.097)))+0.30*(2*((SIN(((Model_Data!A98)*12.9898+(Inputs!$C$6)*78.233+Inputs!$C$47*37.719))*43758.5453)-INT((SIN(((Model_Data!A98)*12.9898+(Inputs!$C$6)*78.233+Inputs!$C$47*37.719))*43758.5453)))-1))))/1000)^2)</x:f>
        <x:v>400.68277197809255</x:v>
      </x:c>
      <x:c r="AB98" s="48" t="n">
        <x:f>1000*(AA99-AA97)/(Z99-Z97)*Inputs!$C$11</x:f>
        <x:v>-266.2848222332741</x:v>
      </x:c>
      <x:c r="AC98" s="48" t="n">
        <x:f>-2*AB98/Inputs!$C$13</x:f>
        <x:v>106.51392889330964</x:v>
      </x:c>
      <x:c r="AD98" s="48" t="n">
        <x:f>-2*AB98/Inputs!$C$14</x:f>
        <x:v>15.99308241641286</x:v>
      </x:c>
    </x:row>
    <x:row r="99">
      <x:c r="A99" s="48" t="n">
        <x:f>Model_Data!A99</x:f>
        <x:v>-11.5</x:v>
      </x:c>
      <x:c r="B99" s="48" t="n">
        <x:f>Model_Data!F99</x:f>
        <x:v>530.9543779759451</x:v>
      </x:c>
      <x:c r="C99" s="48" t="n">
        <x:f>(((SQRT((Model_Data!A99)^2+Inputs!$C$6^2+((Model_Data!B99)-((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(0.45*SIN(2*PI()*(((Model_Data!A99)/Inputs!$C$49)+Inputs!$C$47*0.137))+0.35*COS(2*PI()*(((Inputs!$C$6)/Inputs!$C$50)+Inputs!$C$47*0.173))+0.20*SIN(2*PI()*(((Model_Data!A99)+(Inputs!$C$6))/(0.5*(Inputs!$C$49+Inputs!$C$50))+Inputs!$C$47*0.097)))+0.30*(2*((SIN(((Model_Data!A99)*12.9898+(Inputs!$C$6)*78.233+Inputs!$C$47*37.719))*43758.5453)-INT((SIN(((Model_Data!A99)*12.9898+(Inputs!$C$6)*78.233+Inputs!$C$47*37.719))*43758.5453)))-1))))/1000)^2))-(((Model_Data!B99)-((Inputs!$C$51*(115*EXP(-(((0)-25)^2)/(4.5^2))+70*EXP(-(((0)+38)^2)/(7^2))*(0.55+0.45*SIN(2*PI()*(Model_Data!A99)/45))+24*SIN(2*PI()*(0)/9+(Model_Data!A99)/18)*EXP(-(((0)+5)^2)/(22^2))+18*SIN(2*PI()*(Model_Data!A99)/70))+Inputs!$C$28*EXP(-(((Model_Data!A99)-Inputs!$C$29)^2)/(2*Inputs!$C$31^2))*EXP(-(((0)-Inputs!$C$30)^2)/(2*Inputs!$C$32^2))+-Inputs!$C$33*EXP(-(((((Model_Data!A99)-Inputs!$C$34)^2)+(((0)-Inputs!$C$35)^2))/(2*Inputs!$C$36^2)))+Inputs!$C$37*(0.55*SIN(2*PI()*(Model_Data!A99)/Inputs!$C$39)+0.35*COS(2*PI()*(0)/Inputs!$C$40)+0.2*SIN(2*PI()*((Model_Data!A99)+(0))/(0.5*(Inputs!$C$39+Inputs!$C$40))))+Inputs!$C$38*SIN(2*PI()*(Model_Data!A99)/Inputs!$C$39)*SIN(2*PI()*(0)/Inputs!$C$40)+-Inputs!$C$41*EXP(-(((0)-Inputs!$C$43)^2)/(2*Inputs!$C$44^2))*EXP(-(((Model_Data!A99)-Inputs!$C$42)^2)/(2*Inputs!$C$45^2))+Inputs!$C$48*(0.70*(0.45*SIN(2*PI()*(((Model_Data!A99)/Inputs!$C$49)+Inputs!$C$47*0.137))+0.35*COS(2*PI()*(((0)/Inputs!$C$50)+Inputs!$C$47*0.173))+0.20*SIN(2*PI()*(((Model_Data!A99)+(0))/(0.5*(Inputs!$C$49+Inputs!$C$50))+Inputs!$C$47*0.097)))+0.30*(2*((SIN(((Model_Data!A99)*12.9898+(0)*78.233+Inputs!$C$47*37.719))*43758.5453)-INT((SIN(((Model_Data!A99)*12.9898+(0)*78.233+Inputs!$C$47*37.719))*43758.5453)))-1))))/1000)))*1000/Inputs!$C$12)</x:f>
        <x:v>246.7430722102688</x:v>
      </x:c>
      <x:c r="D99" s="49"/>
      <x:c r="E99" s="48" t="n">
        <x:f>Model_Data!A99</x:f>
        <x:v>-11.5</x:v>
      </x:c>
      <x:c r="F99" s="48" t="n">
        <x:f>(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(0.45*SIN(2*PI()*(((Model_Data!A99)/Inputs!$C$49)+Inputs!$C$47*0.137))+0.35*COS(2*PI()*(((Inputs!$C$6)/Inputs!$C$50)+Inputs!$C$47*0.173))+0.20*SIN(2*PI()*(((Model_Data!A99)+(Inputs!$C$6))/(0.5*(Inputs!$C$49+Inputs!$C$50))+Inputs!$C$47*0.097)))+0.30*(2*((SIN(((Model_Data!A99)*12.9898+(Inputs!$C$6)*78.233+Inputs!$C$47*37.719))*43758.5453)-INT((SIN(((Model_Data!A99)*12.9898+(Inputs!$C$6)*78.233+Inputs!$C$47*37.719))*43758.5453)))-1)))</x:f>
        <x:v>458.910891472728</x:v>
      </x:c>
      <x:c r="G99" s="48" t="n">
        <x:f>(Inputs!$C$51*(115*EXP(-(((0)-25)^2)/(4.5^2))+70*EXP(-(((0)+38)^2)/(7^2))*(0.55+0.45*SIN(2*PI()*(Model_Data!A99)/45))+24*SIN(2*PI()*(0)/9+(Model_Data!A99)/18)*EXP(-(((0)+5)^2)/(22^2))+18*SIN(2*PI()*(Model_Data!A99)/70))+Inputs!$C$28*EXP(-(((Model_Data!A99)-Inputs!$C$29)^2)/(2*Inputs!$C$31^2))*EXP(-(((0)-Inputs!$C$30)^2)/(2*Inputs!$C$32^2))+-Inputs!$C$33*EXP(-(((((Model_Data!A99)-Inputs!$C$34)^2)+(((0)-Inputs!$C$35)^2))/(2*Inputs!$C$36^2)))+Inputs!$C$37*(0.55*SIN(2*PI()*(Model_Data!A99)/Inputs!$C$39)+0.35*COS(2*PI()*(0)/Inputs!$C$40)+0.2*SIN(2*PI()*((Model_Data!A99)+(0))/(0.5*(Inputs!$C$39+Inputs!$C$40))))+Inputs!$C$38*SIN(2*PI()*(Model_Data!A99)/Inputs!$C$39)*SIN(2*PI()*(0)/Inputs!$C$40)+-Inputs!$C$41*EXP(-(((0)-Inputs!$C$43)^2)/(2*Inputs!$C$44^2))*EXP(-(((Model_Data!A99)-Inputs!$C$42)^2)/(2*Inputs!$C$45^2))+Inputs!$C$48*(0.70*(0.45*SIN(2*PI()*(((Model_Data!A99)/Inputs!$C$49)+Inputs!$C$47*0.137))+0.35*COS(2*PI()*(((0)/Inputs!$C$50)+Inputs!$C$47*0.173))+0.20*SIN(2*PI()*(((Model_Data!A99)+(0))/(0.5*(Inputs!$C$49+Inputs!$C$50))+Inputs!$C$47*0.097)))+0.30*(2*((SIN(((Model_Data!A99)*12.9898+(0)*78.233+Inputs!$C$47*37.719))*43758.5453)-INT((SIN(((Model_Data!A99)*12.9898+(0)*78.233+Inputs!$C$47*37.719))*43758.5453)))-1)))</x:f>
        <x:v>-48.06780811544866</x:v>
      </x:c>
      <x:c r="H99" s="49"/>
      <x:c r="I99" s="48" t="n">
        <x:f>Model_Data!A99</x:f>
        <x:v>-11.5</x:v>
      </x:c>
      <x:c r="J99" s="48" t="n">
        <x:f>((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(0.45*SIN(2*PI()*(((Model_Data!A99)/Inputs!$C$49)+Inputs!$C$47*0.137))+0.35*COS(2*PI()*(((Inputs!$C$6)/Inputs!$C$50)+Inputs!$C$47*0.173))+0.20*SIN(2*PI()*(((Model_Data!A99)+(Inputs!$C$6))/(0.5*(Inputs!$C$49+Inputs!$C$50))+Inputs!$C$47*0.097)))+0.30*(2*((SIN(((Model_Data!A99)*12.9898+(Inputs!$C$6)*78.233+Inputs!$C$47*37.719))*43758.5453)-INT((SIN(((Model_Data!A99)*12.9898+(Inputs!$C$6)*78.233+Inputs!$C$47*37.719))*43758.5453)))-1))))-((Inputs!$C$51*(115*EXP(-(((0)-25)^2)/(4.5^2))+70*EXP(-(((0)+38)^2)/(7^2))*(0.55+0.45*SIN(2*PI()*(Model_Data!A99)/45))+24*SIN(2*PI()*(0)/9+(Model_Data!A99)/18)*EXP(-(((0)+5)^2)/(22^2))+18*SIN(2*PI()*(Model_Data!A99)/70))+Inputs!$C$28*EXP(-(((Model_Data!A99)-Inputs!$C$29)^2)/(2*Inputs!$C$31^2))*EXP(-(((0)-Inputs!$C$30)^2)/(2*Inputs!$C$32^2))+-Inputs!$C$33*EXP(-(((((Model_Data!A99)-Inputs!$C$34)^2)+(((0)-Inputs!$C$35)^2))/(2*Inputs!$C$36^2)))+Inputs!$C$37*(0.55*SIN(2*PI()*(Model_Data!A99)/Inputs!$C$39)+0.35*COS(2*PI()*(0)/Inputs!$C$40)+0.2*SIN(2*PI()*((Model_Data!A99)+(0))/(0.5*(Inputs!$C$39+Inputs!$C$40))))+Inputs!$C$38*SIN(2*PI()*(Model_Data!A99)/Inputs!$C$39)*SIN(2*PI()*(0)/Inputs!$C$40)+-Inputs!$C$41*EXP(-(((0)-Inputs!$C$43)^2)/(2*Inputs!$C$44^2))*EXP(-(((Model_Data!A99)-Inputs!$C$42)^2)/(2*Inputs!$C$45^2))+Inputs!$C$48*(0.70*(0.45*SIN(2*PI()*(((Model_Data!A99)/Inputs!$C$49)+Inputs!$C$47*0.137))+0.35*COS(2*PI()*(((0)/Inputs!$C$50)+Inputs!$C$47*0.173))+0.20*SIN(2*PI()*(((Model_Data!A99)+(0))/(0.5*(Inputs!$C$49+Inputs!$C$50))+Inputs!$C$47*0.097)))+0.30*(2*((SIN(((Model_Data!A99)*12.9898+(0)*78.233+Inputs!$C$47*37.719))*43758.5453)-INT((SIN(((Model_Data!A99)*12.9898+(0)*78.233+Inputs!$C$47*37.719))*43758.5453)))-1))))</x:f>
        <x:v>506.97869958817665</x:v>
      </x:c>
      <x:c r="K99" s="48" t="n">
        <x:f>-((((SQRT((Model_Data!A99)^2+Inputs!$C$6^2+((Model_Data!B99)-((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(0.45*SIN(2*PI()*(((Model_Data!A99)/Inputs!$C$49)+Inputs!$C$47*0.137))+0.35*COS(2*PI()*(((Inputs!$C$6)/Inputs!$C$50)+Inputs!$C$47*0.173))+0.20*SIN(2*PI()*(((Model_Data!A99)+(Inputs!$C$6))/(0.5*(Inputs!$C$49+Inputs!$C$50))+Inputs!$C$47*0.097)))+0.30*(2*((SIN(((Model_Data!A99)*12.9898+(Inputs!$C$6)*78.233+Inputs!$C$47*37.719))*43758.5453)-INT((SIN(((Model_Data!A99)*12.9898+(Inputs!$C$6)*78.233+Inputs!$C$47*37.719))*43758.5453)))-1))))/1000)^2))-(((Model_Data!B99)-((Inputs!$C$51*(115*EXP(-(((0)-25)^2)/(4.5^2))+70*EXP(-(((0)+38)^2)/(7^2))*(0.55+0.45*SIN(2*PI()*(Model_Data!A99)/45))+24*SIN(2*PI()*(0)/9+(Model_Data!A99)/18)*EXP(-(((0)+5)^2)/(22^2))+18*SIN(2*PI()*(Model_Data!A99)/70))+Inputs!$C$28*EXP(-(((Model_Data!A99)-Inputs!$C$29)^2)/(2*Inputs!$C$31^2))*EXP(-(((0)-Inputs!$C$30)^2)/(2*Inputs!$C$32^2))+-Inputs!$C$33*EXP(-(((((Model_Data!A99)-Inputs!$C$34)^2)+(((0)-Inputs!$C$35)^2))/(2*Inputs!$C$36^2)))+Inputs!$C$37*(0.55*SIN(2*PI()*(Model_Data!A99)/Inputs!$C$39)+0.35*COS(2*PI()*(0)/Inputs!$C$40)+0.2*SIN(2*PI()*((Model_Data!A99)+(0))/(0.5*(Inputs!$C$39+Inputs!$C$40))))+Inputs!$C$38*SIN(2*PI()*(Model_Data!A99)/Inputs!$C$39)*SIN(2*PI()*(0)/Inputs!$C$40)+-Inputs!$C$41*EXP(-(((0)-Inputs!$C$43)^2)/(2*Inputs!$C$44^2))*EXP(-(((Model_Data!A99)-Inputs!$C$42)^2)/(2*Inputs!$C$45^2))+Inputs!$C$48*(0.70*(0.45*SIN(2*PI()*(((Model_Data!A99)/Inputs!$C$49)+Inputs!$C$47*0.137))+0.35*COS(2*PI()*(((0)/Inputs!$C$50)+Inputs!$C$47*0.173))+0.20*SIN(2*PI()*(((Model_Data!A99)+(0))/(0.5*(Inputs!$C$49+Inputs!$C$50))+Inputs!$C$47*0.097)))+0.30*(2*((SIN(((Model_Data!A99)*12.9898+(0)*78.233+Inputs!$C$47*37.719))*43758.5453)-INT((SIN(((Model_Data!A99)*12.9898+(0)*78.233+Inputs!$C$47*37.719))*43758.5453)))-1))))/1000)))*1000/Inputs!$C$12)-Model_Data!F99)</x:f>
        <x:v>284.21130576567634</x:v>
      </x:c>
      <x:c r="L99" s="49"/>
      <x:c r="M99" s="48" t="n">
        <x:f>Model_Data!A99</x:f>
        <x:v>-11.5</x:v>
      </x:c>
      <x:c r="N99" s="48" t="n">
        <x:f>Model_Data!P99</x:f>
        <x:v>86.66729878272902</x:v>
      </x:c>
      <x:c r="O99" s="48" t="n">
        <x:f>AC99</x:f>
        <x:v>125.9045868481735</x:v>
      </x:c>
      <x:c r="P99" s="48" t="n">
        <x:f>Model_Data!Q99</x:f>
        <x:v>13.013107925334689</x:v>
      </x:c>
      <x:c r="Q99" s="48" t="n">
        <x:f>AD99</x:f>
        <x:v>18.90459261984587</x:v>
      </x:c>
      <x:c r="R99" s="49"/>
      <x:c r="S99" s="48" t="n">
        <x:f>Model_Data!A99</x:f>
        <x:v>-11.5</x:v>
      </x:c>
      <x:c r="T99" s="48" t="n">
        <x:f>Model_Data!B99-Inputs!$C$5</x:f>
        <x:v>0.14694444444444343</x:v>
      </x:c>
      <x:c r="U99" s="49"/>
      <x:c r="V99" s="48" t="n">
        <x:f>Model_Data!A99</x:f>
        <x:v>-11.5</x:v>
      </x:c>
      <x:c r="W99" s="48" t="n">
        <x:f>(-((((SQRT((Model_Data!A99)^2+Inputs!$C$6^2+((Model_Data!B99)-((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(0.45*SIN(2*PI()*(((Model_Data!A99)/Inputs!$C$49)+Inputs!$C$47*0.137))+0.35*COS(2*PI()*(((Inputs!$C$6)/Inputs!$C$50)+Inputs!$C$47*0.173))+0.20*SIN(2*PI()*(((Model_Data!A99)+(Inputs!$C$6))/(0.5*(Inputs!$C$49+Inputs!$C$50))+Inputs!$C$47*0.097)))+0.30*(2*((SIN(((Model_Data!A99)*12.9898+(Inputs!$C$6)*78.233+Inputs!$C$47*37.719))*43758.5453)-INT((SIN(((Model_Data!A99)*12.9898+(Inputs!$C$6)*78.233+Inputs!$C$47*37.719))*43758.5453)))-1))))/1000)^2))-(((Model_Data!B99)-((Inputs!$C$51*(115*EXP(-(((0)-25)^2)/(4.5^2))+70*EXP(-(((0)+38)^2)/(7^2))*(0.55+0.45*SIN(2*PI()*(Model_Data!A99)/45))+24*SIN(2*PI()*(0)/9+(Model_Data!A99)/18)*EXP(-(((0)+5)^2)/(22^2))+18*SIN(2*PI()*(Model_Data!A99)/70))+Inputs!$C$28*EXP(-(((Model_Data!A99)-Inputs!$C$29)^2)/(2*Inputs!$C$31^2))*EXP(-(((0)-Inputs!$C$30)^2)/(2*Inputs!$C$32^2))+-Inputs!$C$33*EXP(-(((((Model_Data!A99)-Inputs!$C$34)^2)+(((0)-Inputs!$C$35)^2))/(2*Inputs!$C$36^2)))+Inputs!$C$37*(0.55*SIN(2*PI()*(Model_Data!A99)/Inputs!$C$39)+0.35*COS(2*PI()*(0)/Inputs!$C$40)+0.2*SIN(2*PI()*((Model_Data!A99)+(0))/(0.5*(Inputs!$C$39+Inputs!$C$40))))+Inputs!$C$38*SIN(2*PI()*(Model_Data!A99)/Inputs!$C$39)*SIN(2*PI()*(0)/Inputs!$C$40)+-Inputs!$C$41*EXP(-(((0)-Inputs!$C$43)^2)/(2*Inputs!$C$44^2))*EXP(-(((Model_Data!A99)-Inputs!$C$42)^2)/(2*Inputs!$C$45^2))+Inputs!$C$48*(0.70*(0.45*SIN(2*PI()*(((Model_Data!A99)/Inputs!$C$49)+Inputs!$C$47*0.137))+0.35*COS(2*PI()*(((0)/Inputs!$C$50)+Inputs!$C$47*0.173))+0.20*SIN(2*PI()*(((Model_Data!A99)+(0))/(0.5*(Inputs!$C$49+Inputs!$C$50))+Inputs!$C$47*0.097)))+0.30*(2*((SIN(((Model_Data!A99)*12.9898+(0)*78.233+Inputs!$C$47*37.719))*43758.5453)-INT((SIN(((Model_Data!A99)*12.9898+(0)*78.233+Inputs!$C$47*37.719))*43758.5453)))-1))))/1000)))*1000/Inputs!$C$12)-Model_Data!F99))-(-(((SQRT((Model_Data!A99)^2+Inputs!$C$6^2+(Inputs!$C$5-((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(0.45*SIN(2*PI()*(((Model_Data!A99)/Inputs!$C$49)+Inputs!$C$47*0.137))+0.35*COS(2*PI()*(((Inputs!$C$6)/Inputs!$C$50)+Inputs!$C$47*0.173))+0.20*SIN(2*PI()*(((Model_Data!A99)+(Inputs!$C$6))/(0.5*(Inputs!$C$49+Inputs!$C$50))+Inputs!$C$47*0.097)))+0.30*(2*((SIN(((Model_Data!A99)*12.9898+(Inputs!$C$6)*78.233+Inputs!$C$47*37.719))*43758.5453)-INT((SIN(((Model_Data!A99)*12.9898+(Inputs!$C$6)*78.233+Inputs!$C$47*37.719))*43758.5453)))-1))))/1000)^2)-(Inputs!$C$5-((Inputs!$C$51*(115*EXP(-(((0)-25)^2)/(4.5^2))+70*EXP(-(((0)+38)^2)/(7^2))*(0.55+0.45*SIN(2*PI()*(Model_Data!A99)/45))+24*SIN(2*PI()*(0)/9+(Model_Data!A99)/18)*EXP(-(((0)+5)^2)/(22^2))+18*SIN(2*PI()*(Model_Data!A99)/70))+Inputs!$C$28*EXP(-(((Model_Data!A99)-Inputs!$C$29)^2)/(2*Inputs!$C$31^2))*EXP(-(((0)-Inputs!$C$30)^2)/(2*Inputs!$C$32^2))+-Inputs!$C$33*EXP(-(((((Model_Data!A99)-Inputs!$C$34)^2)+(((0)-Inputs!$C$35)^2))/(2*Inputs!$C$36^2)))+Inputs!$C$37*(0.55*SIN(2*PI()*(Model_Data!A99)/Inputs!$C$39)+0.35*COS(2*PI()*(0)/Inputs!$C$40)+0.2*SIN(2*PI()*((Model_Data!A99)+(0))/(0.5*(Inputs!$C$39+Inputs!$C$40))))+Inputs!$C$38*SIN(2*PI()*(Model_Data!A99)/Inputs!$C$39)*SIN(2*PI()*(0)/Inputs!$C$40)+-Inputs!$C$41*EXP(-(((0)-Inputs!$C$43)^2)/(2*Inputs!$C$44^2))*EXP(-(((Model_Data!A99)-Inputs!$C$42)^2)/(2*Inputs!$C$45^2))+Inputs!$C$48*(0.70*(0.45*SIN(2*PI()*(((Model_Data!A99)/Inputs!$C$49)+Inputs!$C$47*0.137))+0.35*COS(2*PI()*(((0)/Inputs!$C$50)+Inputs!$C$47*0.173))+0.20*SIN(2*PI()*(((Model_Data!A99)+(0))/(0.5*(Inputs!$C$49+Inputs!$C$50))+Inputs!$C$47*0.097)))+0.30*(2*((SIN(((Model_Data!A99)*12.9898+(0)*78.233+Inputs!$C$47*37.719))*43758.5453)-INT((SIN(((Model_Data!A99)*12.9898+(0)*78.233+Inputs!$C$47*37.719))*43758.5453)))-1))))/1000))*1000/Inputs!$C$12)-((SQRT((Model_Data!A99)^2+Inputs!$C$6^2+Inputs!$C$5^2)-Inputs!$C$5)*1000/Inputs!$C$12)))</x:f>
        <x:v>0.0004456060349298241</x:v>
      </x:c>
      <x:c r="X99" s="48" t="n">
        <x:f>0</x:f>
        <x:v>0</x:v>
      </x:c>
      <x:c r="Y99" s="49"/>
      <x:c r="Z99" s="48" t="n">
        <x:f>Model_Data!A99</x:f>
        <x:v>-11.5</x:v>
      </x:c>
      <x:c r="AA99" s="48" t="n">
        <x:f>SQRT((Model_Data!A99)^2+Inputs!$C$6^2+((Model_Data!B99)-((Inputs!$C$51*(115*EXP(-(((Inputs!$C$6)-25)^2)/(4.5^2))+70*EXP(-(((Inputs!$C$6)+38)^2)/(7^2))*(0.55+0.45*SIN(2*PI()*(Model_Data!A99)/45))+24*SIN(2*PI()*(Inputs!$C$6)/9+(Model_Data!A99)/18)*EXP(-(((Inputs!$C$6)+5)^2)/(22^2))+18*SIN(2*PI()*(Model_Data!A99)/70))+Inputs!$C$28*EXP(-(((Model_Data!A99)-Inputs!$C$29)^2)/(2*Inputs!$C$31^2))*EXP(-(((Inputs!$C$6)-Inputs!$C$30)^2)/(2*Inputs!$C$32^2))+-Inputs!$C$33*EXP(-(((((Model_Data!A99)-Inputs!$C$34)^2)+(((Inputs!$C$6)-Inputs!$C$35)^2))/(2*Inputs!$C$36^2)))+Inputs!$C$37*(0.55*SIN(2*PI()*(Model_Data!A99)/Inputs!$C$39)+0.35*COS(2*PI()*(Inputs!$C$6)/Inputs!$C$40)+0.2*SIN(2*PI()*((Model_Data!A99)+(Inputs!$C$6))/(0.5*(Inputs!$C$39+Inputs!$C$40))))+Inputs!$C$38*SIN(2*PI()*(Model_Data!A99)/Inputs!$C$39)*SIN(2*PI()*(Inputs!$C$6)/Inputs!$C$40)+-Inputs!$C$41*EXP(-(((Inputs!$C$6)-Inputs!$C$43)^2)/(2*Inputs!$C$44^2))*EXP(-(((Model_Data!A99)-Inputs!$C$42)^2)/(2*Inputs!$C$45^2))+Inputs!$C$48*(0.70*(0.45*SIN(2*PI()*(((Model_Data!A99)/Inputs!$C$49)+Inputs!$C$47*0.137))+0.35*COS(2*PI()*(((Inputs!$C$6)/Inputs!$C$50)+Inputs!$C$47*0.173))+0.20*SIN(2*PI()*(((Model_Data!A99)+(Inputs!$C$6))/(0.5*(Inputs!$C$49+Inputs!$C$50))+Inputs!$C$47*0.097)))+0.30*(2*((SIN(((Model_Data!A99)*12.9898+(Inputs!$C$6)*78.233+Inputs!$C$47*37.719))*43758.5453)-INT((SIN(((Model_Data!A99)*12.9898+(Inputs!$C$6)*78.233+Inputs!$C$47*37.719))*43758.5453)))-1))))/1000)^2)</x:f>
        <x:v>400.63421492109416</x:v>
      </x:c>
      <x:c r="AB99" s="48" t="n">
        <x:f>1000*(AA100-AA98)/(Z100-Z98)*Inputs!$C$11</x:f>
        <x:v>-314.76146712043374</x:v>
      </x:c>
      <x:c r="AC99" s="48" t="n">
        <x:f>-2*AB99/Inputs!$C$13</x:f>
        <x:v>125.9045868481735</x:v>
      </x:c>
      <x:c r="AD99" s="48" t="n">
        <x:f>-2*AB99/Inputs!$C$14</x:f>
        <x:v>18.90459261984587</x:v>
      </x:c>
    </x:row>
    <x:row r="100">
      <x:c r="A100" s="48" t="n">
        <x:f>Model_Data!A100</x:f>
        <x:v>-11</x:v>
      </x:c>
      <x:c r="B100" s="48" t="n">
        <x:f>Model_Data!F100</x:f>
        <x:v>523.09177190862</x:v>
      </x:c>
      <x:c r="C100" s="48" t="n">
        <x:f>(((SQRT((Model_Data!A100)^2+Inputs!$C$6^2+((Model_Data!B100)-((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(0.45*SIN(2*PI()*(((Model_Data!A100)/Inputs!$C$49)+Inputs!$C$47*0.137))+0.35*COS(2*PI()*(((Inputs!$C$6)/Inputs!$C$50)+Inputs!$C$47*0.173))+0.20*SIN(2*PI()*(((Model_Data!A100)+(Inputs!$C$6))/(0.5*(Inputs!$C$49+Inputs!$C$50))+Inputs!$C$47*0.097)))+0.30*(2*((SIN(((Model_Data!A100)*12.9898+(Inputs!$C$6)*78.233+Inputs!$C$47*37.719))*43758.5453)-INT((SIN(((Model_Data!A100)*12.9898+(Inputs!$C$6)*78.233+Inputs!$C$47*37.719))*43758.5453)))-1))))/1000)^2))-(((Model_Data!B100)-((Inputs!$C$51*(115*EXP(-(((0)-25)^2)/(4.5^2))+70*EXP(-(((0)+38)^2)/(7^2))*(0.55+0.45*SIN(2*PI()*(Model_Data!A100)/45))+24*SIN(2*PI()*(0)/9+(Model_Data!A100)/18)*EXP(-(((0)+5)^2)/(22^2))+18*SIN(2*PI()*(Model_Data!A100)/70))+Inputs!$C$28*EXP(-(((Model_Data!A100)-Inputs!$C$29)^2)/(2*Inputs!$C$31^2))*EXP(-(((0)-Inputs!$C$30)^2)/(2*Inputs!$C$32^2))+-Inputs!$C$33*EXP(-(((((Model_Data!A100)-Inputs!$C$34)^2)+(((0)-Inputs!$C$35)^2))/(2*Inputs!$C$36^2)))+Inputs!$C$37*(0.55*SIN(2*PI()*(Model_Data!A100)/Inputs!$C$39)+0.35*COS(2*PI()*(0)/Inputs!$C$40)+0.2*SIN(2*PI()*((Model_Data!A100)+(0))/(0.5*(Inputs!$C$39+Inputs!$C$40))))+Inputs!$C$38*SIN(2*PI()*(Model_Data!A100)/Inputs!$C$39)*SIN(2*PI()*(0)/Inputs!$C$40)+-Inputs!$C$41*EXP(-(((0)-Inputs!$C$43)^2)/(2*Inputs!$C$44^2))*EXP(-(((Model_Data!A100)-Inputs!$C$42)^2)/(2*Inputs!$C$45^2))+Inputs!$C$48*(0.70*(0.45*SIN(2*PI()*(((Model_Data!A100)/Inputs!$C$49)+Inputs!$C$47*0.137))+0.35*COS(2*PI()*(((0)/Inputs!$C$50)+Inputs!$C$47*0.173))+0.20*SIN(2*PI()*(((Model_Data!A100)+(0))/(0.5*(Inputs!$C$49+Inputs!$C$50))+Inputs!$C$47*0.097)))+0.30*(2*((SIN(((Model_Data!A100)*12.9898+(0)*78.233+Inputs!$C$47*37.719))*43758.5453)-INT((SIN(((Model_Data!A100)*12.9898+(0)*78.233+Inputs!$C$47*37.719))*43758.5453)))-1))))/1000)))*1000/Inputs!$C$12)</x:f>
        <x:v>239.5209726374519</x:v>
      </x:c>
      <x:c r="D100" s="49"/>
      <x:c r="E100" s="48" t="n">
        <x:f>Model_Data!A100</x:f>
        <x:v>-11</x:v>
      </x:c>
      <x:c r="F100" s="48" t="n">
        <x:f>(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(0.45*SIN(2*PI()*(((Model_Data!A100)/Inputs!$C$49)+Inputs!$C$47*0.137))+0.35*COS(2*PI()*(((Inputs!$C$6)/Inputs!$C$50)+Inputs!$C$47*0.173))+0.20*SIN(2*PI()*(((Model_Data!A100)+(Inputs!$C$6))/(0.5*(Inputs!$C$49+Inputs!$C$50))+Inputs!$C$47*0.097)))+0.30*(2*((SIN(((Model_Data!A100)*12.9898+(Inputs!$C$6)*78.233+Inputs!$C$47*37.719))*43758.5453)-INT((SIN(((Model_Data!A100)*12.9898+(Inputs!$C$6)*78.233+Inputs!$C$47*37.719))*43758.5453)))-1)))</x:f>
        <x:v>462.5412492822977</x:v>
      </x:c>
      <x:c r="G100" s="48" t="n">
        <x:f>(Inputs!$C$51*(115*EXP(-(((0)-25)^2)/(4.5^2))+70*EXP(-(((0)+38)^2)/(7^2))*(0.55+0.45*SIN(2*PI()*(Model_Data!A100)/45))+24*SIN(2*PI()*(0)/9+(Model_Data!A100)/18)*EXP(-(((0)+5)^2)/(22^2))+18*SIN(2*PI()*(Model_Data!A100)/70))+Inputs!$C$28*EXP(-(((Model_Data!A100)-Inputs!$C$29)^2)/(2*Inputs!$C$31^2))*EXP(-(((0)-Inputs!$C$30)^2)/(2*Inputs!$C$32^2))+-Inputs!$C$33*EXP(-(((((Model_Data!A100)-Inputs!$C$34)^2)+(((0)-Inputs!$C$35)^2))/(2*Inputs!$C$36^2)))+Inputs!$C$37*(0.55*SIN(2*PI()*(Model_Data!A100)/Inputs!$C$39)+0.35*COS(2*PI()*(0)/Inputs!$C$40)+0.2*SIN(2*PI()*((Model_Data!A100)+(0))/(0.5*(Inputs!$C$39+Inputs!$C$40))))+Inputs!$C$38*SIN(2*PI()*(Model_Data!A100)/Inputs!$C$39)*SIN(2*PI()*(0)/Inputs!$C$40)+-Inputs!$C$41*EXP(-(((0)-Inputs!$C$43)^2)/(2*Inputs!$C$44^2))*EXP(-(((Model_Data!A100)-Inputs!$C$42)^2)/(2*Inputs!$C$45^2))+Inputs!$C$48*(0.70*(0.45*SIN(2*PI()*(((Model_Data!A100)/Inputs!$C$49)+Inputs!$C$47*0.137))+0.35*COS(2*PI()*(((0)/Inputs!$C$50)+Inputs!$C$47*0.173))+0.20*SIN(2*PI()*(((Model_Data!A100)+(0))/(0.5*(Inputs!$C$49+Inputs!$C$50))+Inputs!$C$47*0.097)))+0.30*(2*((SIN(((Model_Data!A100)*12.9898+(0)*78.233+Inputs!$C$47*37.719))*43758.5453)-INT((SIN(((Model_Data!A100)*12.9898+(0)*78.233+Inputs!$C$47*37.719))*43758.5453)))-1)))</x:f>
        <x:v>-43.28983557333215</x:v>
      </x:c>
      <x:c r="H100" s="49"/>
      <x:c r="I100" s="48" t="n">
        <x:f>Model_Data!A100</x:f>
        <x:v>-11</x:v>
      </x:c>
      <x:c r="J100" s="48" t="n">
        <x:f>((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(0.45*SIN(2*PI()*(((Model_Data!A100)/Inputs!$C$49)+Inputs!$C$47*0.137))+0.35*COS(2*PI()*(((Inputs!$C$6)/Inputs!$C$50)+Inputs!$C$47*0.173))+0.20*SIN(2*PI()*(((Model_Data!A100)+(Inputs!$C$6))/(0.5*(Inputs!$C$49+Inputs!$C$50))+Inputs!$C$47*0.097)))+0.30*(2*((SIN(((Model_Data!A100)*12.9898+(Inputs!$C$6)*78.233+Inputs!$C$47*37.719))*43758.5453)-INT((SIN(((Model_Data!A100)*12.9898+(Inputs!$C$6)*78.233+Inputs!$C$47*37.719))*43758.5453)))-1))))-((Inputs!$C$51*(115*EXP(-(((0)-25)^2)/(4.5^2))+70*EXP(-(((0)+38)^2)/(7^2))*(0.55+0.45*SIN(2*PI()*(Model_Data!A100)/45))+24*SIN(2*PI()*(0)/9+(Model_Data!A100)/18)*EXP(-(((0)+5)^2)/(22^2))+18*SIN(2*PI()*(Model_Data!A100)/70))+Inputs!$C$28*EXP(-(((Model_Data!A100)-Inputs!$C$29)^2)/(2*Inputs!$C$31^2))*EXP(-(((0)-Inputs!$C$30)^2)/(2*Inputs!$C$32^2))+-Inputs!$C$33*EXP(-(((((Model_Data!A100)-Inputs!$C$34)^2)+(((0)-Inputs!$C$35)^2))/(2*Inputs!$C$36^2)))+Inputs!$C$37*(0.55*SIN(2*PI()*(Model_Data!A100)/Inputs!$C$39)+0.35*COS(2*PI()*(0)/Inputs!$C$40)+0.2*SIN(2*PI()*((Model_Data!A100)+(0))/(0.5*(Inputs!$C$39+Inputs!$C$40))))+Inputs!$C$38*SIN(2*PI()*(Model_Data!A100)/Inputs!$C$39)*SIN(2*PI()*(0)/Inputs!$C$40)+-Inputs!$C$41*EXP(-(((0)-Inputs!$C$43)^2)/(2*Inputs!$C$44^2))*EXP(-(((Model_Data!A100)-Inputs!$C$42)^2)/(2*Inputs!$C$45^2))+Inputs!$C$48*(0.70*(0.45*SIN(2*PI()*(((Model_Data!A100)/Inputs!$C$49)+Inputs!$C$47*0.137))+0.35*COS(2*PI()*(((0)/Inputs!$C$50)+Inputs!$C$47*0.173))+0.20*SIN(2*PI()*(((Model_Data!A100)+(0))/(0.5*(Inputs!$C$49+Inputs!$C$50))+Inputs!$C$47*0.097)))+0.30*(2*((SIN(((Model_Data!A100)*12.9898+(0)*78.233+Inputs!$C$47*37.719))*43758.5453)-INT((SIN(((Model_Data!A100)*12.9898+(0)*78.233+Inputs!$C$47*37.719))*43758.5453)))-1))))</x:f>
        <x:v>505.83108485562985</x:v>
      </x:c>
      <x:c r="K100" s="48" t="n">
        <x:f>-((((SQRT((Model_Data!A100)^2+Inputs!$C$6^2+((Model_Data!B100)-((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(0.45*SIN(2*PI()*(((Model_Data!A100)/Inputs!$C$49)+Inputs!$C$47*0.137))+0.35*COS(2*PI()*(((Inputs!$C$6)/Inputs!$C$50)+Inputs!$C$47*0.173))+0.20*SIN(2*PI()*(((Model_Data!A100)+(Inputs!$C$6))/(0.5*(Inputs!$C$49+Inputs!$C$50))+Inputs!$C$47*0.097)))+0.30*(2*((SIN(((Model_Data!A100)*12.9898+(Inputs!$C$6)*78.233+Inputs!$C$47*37.719))*43758.5453)-INT((SIN(((Model_Data!A100)*12.9898+(Inputs!$C$6)*78.233+Inputs!$C$47*37.719))*43758.5453)))-1))))/1000)^2))-(((Model_Data!B100)-((Inputs!$C$51*(115*EXP(-(((0)-25)^2)/(4.5^2))+70*EXP(-(((0)+38)^2)/(7^2))*(0.55+0.45*SIN(2*PI()*(Model_Data!A100)/45))+24*SIN(2*PI()*(0)/9+(Model_Data!A100)/18)*EXP(-(((0)+5)^2)/(22^2))+18*SIN(2*PI()*(Model_Data!A100)/70))+Inputs!$C$28*EXP(-(((Model_Data!A100)-Inputs!$C$29)^2)/(2*Inputs!$C$31^2))*EXP(-(((0)-Inputs!$C$30)^2)/(2*Inputs!$C$32^2))+-Inputs!$C$33*EXP(-(((((Model_Data!A100)-Inputs!$C$34)^2)+(((0)-Inputs!$C$35)^2))/(2*Inputs!$C$36^2)))+Inputs!$C$37*(0.55*SIN(2*PI()*(Model_Data!A100)/Inputs!$C$39)+0.35*COS(2*PI()*(0)/Inputs!$C$40)+0.2*SIN(2*PI()*((Model_Data!A100)+(0))/(0.5*(Inputs!$C$39+Inputs!$C$40))))+Inputs!$C$38*SIN(2*PI()*(Model_Data!A100)/Inputs!$C$39)*SIN(2*PI()*(0)/Inputs!$C$40)+-Inputs!$C$41*EXP(-(((0)-Inputs!$C$43)^2)/(2*Inputs!$C$44^2))*EXP(-(((Model_Data!A100)-Inputs!$C$42)^2)/(2*Inputs!$C$45^2))+Inputs!$C$48*(0.70*(0.45*SIN(2*PI()*(((Model_Data!A100)/Inputs!$C$49)+Inputs!$C$47*0.137))+0.35*COS(2*PI()*(((0)/Inputs!$C$50)+Inputs!$C$47*0.173))+0.20*SIN(2*PI()*(((Model_Data!A100)+(0))/(0.5*(Inputs!$C$49+Inputs!$C$50))+Inputs!$C$47*0.097)))+0.30*(2*((SIN(((Model_Data!A100)*12.9898+(0)*78.233+Inputs!$C$47*37.719))*43758.5453)-INT((SIN(((Model_Data!A100)*12.9898+(0)*78.233+Inputs!$C$47*37.719))*43758.5453)))-1))))/1000)))*1000/Inputs!$C$12)-Model_Data!F100)</x:f>
        <x:v>283.5707992711681</x:v>
      </x:c>
      <x:c r="L100" s="49"/>
      <x:c r="M100" s="48" t="n">
        <x:f>Model_Data!A100</x:f>
        <x:v>-11</x:v>
      </x:c>
      <x:c r="N100" s="48" t="n">
        <x:f>Model_Data!P100</x:f>
        <x:v>82.90341291733004</x:v>
      </x:c>
      <x:c r="O100" s="48" t="n">
        <x:f>AC100</x:f>
        <x:v>100.81737923310357</x:v>
      </x:c>
      <x:c r="P100" s="48" t="n">
        <x:f>Model_Data!Q100</x:f>
        <x:v>12.447959897497006</x:v>
      </x:c>
      <x:c r="Q100" s="48" t="n">
        <x:f>AD100</x:f>
        <x:v>15.137744629595131</x:v>
      </x:c>
      <x:c r="R100" s="49"/>
      <x:c r="S100" s="48" t="n">
        <x:f>Model_Data!A100</x:f>
        <x:v>-11</x:v>
      </x:c>
      <x:c r="T100" s="48" t="n">
        <x:f>Model_Data!B100-Inputs!$C$5</x:f>
        <x:v>0.1344444444444548</x:v>
      </x:c>
      <x:c r="U100" s="49"/>
      <x:c r="V100" s="48" t="n">
        <x:f>Model_Data!A100</x:f>
        <x:v>-11</x:v>
      </x:c>
      <x:c r="W100" s="48" t="n">
        <x:f>(-((((SQRT((Model_Data!A100)^2+Inputs!$C$6^2+((Model_Data!B100)-((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(0.45*SIN(2*PI()*(((Model_Data!A100)/Inputs!$C$49)+Inputs!$C$47*0.137))+0.35*COS(2*PI()*(((Inputs!$C$6)/Inputs!$C$50)+Inputs!$C$47*0.173))+0.20*SIN(2*PI()*(((Model_Data!A100)+(Inputs!$C$6))/(0.5*(Inputs!$C$49+Inputs!$C$50))+Inputs!$C$47*0.097)))+0.30*(2*((SIN(((Model_Data!A100)*12.9898+(Inputs!$C$6)*78.233+Inputs!$C$47*37.719))*43758.5453)-INT((SIN(((Model_Data!A100)*12.9898+(Inputs!$C$6)*78.233+Inputs!$C$47*37.719))*43758.5453)))-1))))/1000)^2))-(((Model_Data!B100)-((Inputs!$C$51*(115*EXP(-(((0)-25)^2)/(4.5^2))+70*EXP(-(((0)+38)^2)/(7^2))*(0.55+0.45*SIN(2*PI()*(Model_Data!A100)/45))+24*SIN(2*PI()*(0)/9+(Model_Data!A100)/18)*EXP(-(((0)+5)^2)/(22^2))+18*SIN(2*PI()*(Model_Data!A100)/70))+Inputs!$C$28*EXP(-(((Model_Data!A100)-Inputs!$C$29)^2)/(2*Inputs!$C$31^2))*EXP(-(((0)-Inputs!$C$30)^2)/(2*Inputs!$C$32^2))+-Inputs!$C$33*EXP(-(((((Model_Data!A100)-Inputs!$C$34)^2)+(((0)-Inputs!$C$35)^2))/(2*Inputs!$C$36^2)))+Inputs!$C$37*(0.55*SIN(2*PI()*(Model_Data!A100)/Inputs!$C$39)+0.35*COS(2*PI()*(0)/Inputs!$C$40)+0.2*SIN(2*PI()*((Model_Data!A100)+(0))/(0.5*(Inputs!$C$39+Inputs!$C$40))))+Inputs!$C$38*SIN(2*PI()*(Model_Data!A100)/Inputs!$C$39)*SIN(2*PI()*(0)/Inputs!$C$40)+-Inputs!$C$41*EXP(-(((0)-Inputs!$C$43)^2)/(2*Inputs!$C$44^2))*EXP(-(((Model_Data!A100)-Inputs!$C$42)^2)/(2*Inputs!$C$45^2))+Inputs!$C$48*(0.70*(0.45*SIN(2*PI()*(((Model_Data!A100)/Inputs!$C$49)+Inputs!$C$47*0.137))+0.35*COS(2*PI()*(((0)/Inputs!$C$50)+Inputs!$C$47*0.173))+0.20*SIN(2*PI()*(((Model_Data!A100)+(0))/(0.5*(Inputs!$C$49+Inputs!$C$50))+Inputs!$C$47*0.097)))+0.30*(2*((SIN(((Model_Data!A100)*12.9898+(0)*78.233+Inputs!$C$47*37.719))*43758.5453)-INT((SIN(((Model_Data!A100)*12.9898+(0)*78.233+Inputs!$C$47*37.719))*43758.5453)))-1))))/1000)))*1000/Inputs!$C$12)-Model_Data!F100))-(-(((SQRT((Model_Data!A100)^2+Inputs!$C$6^2+(Inputs!$C$5-((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(0.45*SIN(2*PI()*(((Model_Data!A100)/Inputs!$C$49)+Inputs!$C$47*0.137))+0.35*COS(2*PI()*(((Inputs!$C$6)/Inputs!$C$50)+Inputs!$C$47*0.173))+0.20*SIN(2*PI()*(((Model_Data!A100)+(Inputs!$C$6))/(0.5*(Inputs!$C$49+Inputs!$C$50))+Inputs!$C$47*0.097)))+0.30*(2*((SIN(((Model_Data!A100)*12.9898+(Inputs!$C$6)*78.233+Inputs!$C$47*37.719))*43758.5453)-INT((SIN(((Model_Data!A100)*12.9898+(Inputs!$C$6)*78.233+Inputs!$C$47*37.719))*43758.5453)))-1))))/1000)^2)-(Inputs!$C$5-((Inputs!$C$51*(115*EXP(-(((0)-25)^2)/(4.5^2))+70*EXP(-(((0)+38)^2)/(7^2))*(0.55+0.45*SIN(2*PI()*(Model_Data!A100)/45))+24*SIN(2*PI()*(0)/9+(Model_Data!A100)/18)*EXP(-(((0)+5)^2)/(22^2))+18*SIN(2*PI()*(Model_Data!A100)/70))+Inputs!$C$28*EXP(-(((Model_Data!A100)-Inputs!$C$29)^2)/(2*Inputs!$C$31^2))*EXP(-(((0)-Inputs!$C$30)^2)/(2*Inputs!$C$32^2))+-Inputs!$C$33*EXP(-(((((Model_Data!A100)-Inputs!$C$34)^2)+(((0)-Inputs!$C$35)^2))/(2*Inputs!$C$36^2)))+Inputs!$C$37*(0.55*SIN(2*PI()*(Model_Data!A100)/Inputs!$C$39)+0.35*COS(2*PI()*(0)/Inputs!$C$40)+0.2*SIN(2*PI()*((Model_Data!A100)+(0))/(0.5*(Inputs!$C$39+Inputs!$C$40))))+Inputs!$C$38*SIN(2*PI()*(Model_Data!A100)/Inputs!$C$39)*SIN(2*PI()*(0)/Inputs!$C$40)+-Inputs!$C$41*EXP(-(((0)-Inputs!$C$43)^2)/(2*Inputs!$C$44^2))*EXP(-(((Model_Data!A100)-Inputs!$C$42)^2)/(2*Inputs!$C$45^2))+Inputs!$C$48*(0.70*(0.45*SIN(2*PI()*(((Model_Data!A100)/Inputs!$C$49)+Inputs!$C$47*0.137))+0.35*COS(2*PI()*(((0)/Inputs!$C$50)+Inputs!$C$47*0.173))+0.20*SIN(2*PI()*(((Model_Data!A100)+(0))/(0.5*(Inputs!$C$49+Inputs!$C$50))+Inputs!$C$47*0.097)))+0.30*(2*((SIN(((Model_Data!A100)*12.9898+(0)*78.233+Inputs!$C$47*37.719))*43758.5453)-INT((SIN(((Model_Data!A100)*12.9898+(0)*78.233+Inputs!$C$47*37.719))*43758.5453)))-1))))/1000))*1000/Inputs!$C$12)-((SQRT((Model_Data!A100)^2+Inputs!$C$6^2+Inputs!$C$5^2)-Inputs!$C$5)*1000/Inputs!$C$12)))</x:f>
        <x:v>0.00040488730564902653</x:v>
      </x:c>
      <x:c r="X100" s="48" t="n">
        <x:f>0</x:f>
        <x:v>0</x:v>
      </x:c>
      <x:c r="Y100" s="49"/>
      <x:c r="Z100" s="48" t="n">
        <x:f>Model_Data!A100</x:f>
        <x:v>-11</x:v>
      </x:c>
      <x:c r="AA100" s="48" t="n">
        <x:f>SQRT((Model_Data!A100)^2+Inputs!$C$6^2+((Model_Data!B100)-((Inputs!$C$51*(115*EXP(-(((Inputs!$C$6)-25)^2)/(4.5^2))+70*EXP(-(((Inputs!$C$6)+38)^2)/(7^2))*(0.55+0.45*SIN(2*PI()*(Model_Data!A100)/45))+24*SIN(2*PI()*(Inputs!$C$6)/9+(Model_Data!A100)/18)*EXP(-(((Inputs!$C$6)+5)^2)/(22^2))+18*SIN(2*PI()*(Model_Data!A100)/70))+Inputs!$C$28*EXP(-(((Model_Data!A100)-Inputs!$C$29)^2)/(2*Inputs!$C$31^2))*EXP(-(((Inputs!$C$6)-Inputs!$C$30)^2)/(2*Inputs!$C$32^2))+-Inputs!$C$33*EXP(-(((((Model_Data!A100)-Inputs!$C$34)^2)+(((Inputs!$C$6)-Inputs!$C$35)^2))/(2*Inputs!$C$36^2)))+Inputs!$C$37*(0.55*SIN(2*PI()*(Model_Data!A100)/Inputs!$C$39)+0.35*COS(2*PI()*(Inputs!$C$6)/Inputs!$C$40)+0.2*SIN(2*PI()*((Model_Data!A100)+(Inputs!$C$6))/(0.5*(Inputs!$C$39+Inputs!$C$40))))+Inputs!$C$38*SIN(2*PI()*(Model_Data!A100)/Inputs!$C$39)*SIN(2*PI()*(Inputs!$C$6)/Inputs!$C$40)+-Inputs!$C$41*EXP(-(((Inputs!$C$6)-Inputs!$C$43)^2)/(2*Inputs!$C$44^2))*EXP(-(((Model_Data!A100)-Inputs!$C$42)^2)/(2*Inputs!$C$45^2))+Inputs!$C$48*(0.70*(0.45*SIN(2*PI()*(((Model_Data!A100)/Inputs!$C$49)+Inputs!$C$47*0.137))+0.35*COS(2*PI()*(((Inputs!$C$6)/Inputs!$C$50)+Inputs!$C$47*0.173))+0.20*SIN(2*PI()*(((Model_Data!A100)+(Inputs!$C$6))/(0.5*(Inputs!$C$49+Inputs!$C$50))+Inputs!$C$47*0.097)))+0.30*(2*((SIN(((Model_Data!A100)*12.9898+(Inputs!$C$6)*78.233+Inputs!$C$47*37.719))*43758.5453)-INT((SIN(((Model_Data!A100)*12.9898+(Inputs!$C$6)*78.233+Inputs!$C$47*37.719))*43758.5453)))-1))))/1000)^2)</x:f>
        <x:v>400.60408161131244</x:v>
      </x:c>
      <x:c r="AB100" s="48" t="n">
        <x:f>1000*(AA101-AA99)/(Z101-Z99)*Inputs!$C$11</x:f>
        <x:v>-252.0434480827589</x:v>
      </x:c>
      <x:c r="AC100" s="48" t="n">
        <x:f>-2*AB100/Inputs!$C$13</x:f>
        <x:v>100.81737923310357</x:v>
      </x:c>
      <x:c r="AD100" s="48" t="n">
        <x:f>-2*AB100/Inputs!$C$14</x:f>
        <x:v>15.137744629595131</x:v>
      </x:c>
    </x:row>
    <x:row r="101">
      <x:c r="A101" s="48" t="n">
        <x:f>Model_Data!A101</x:f>
        <x:v>-10.5</x:v>
      </x:c>
      <x:c r="B101" s="48" t="n">
        <x:f>Model_Data!F101</x:f>
        <x:v>515.5779006869442</x:v>
      </x:c>
      <x:c r="C101" s="48" t="n">
        <x:f>(((SQRT((Model_Data!A101)^2+Inputs!$C$6^2+((Model_Data!B101)-((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(0.45*SIN(2*PI()*(((Model_Data!A101)/Inputs!$C$49)+Inputs!$C$47*0.137))+0.35*COS(2*PI()*(((Inputs!$C$6)/Inputs!$C$50)+Inputs!$C$47*0.173))+0.20*SIN(2*PI()*(((Model_Data!A101)+(Inputs!$C$6))/(0.5*(Inputs!$C$49+Inputs!$C$50))+Inputs!$C$47*0.097)))+0.30*(2*((SIN(((Model_Data!A101)*12.9898+(Inputs!$C$6)*78.233+Inputs!$C$47*37.719))*43758.5453)-INT((SIN(((Model_Data!A101)*12.9898+(Inputs!$C$6)*78.233+Inputs!$C$47*37.719))*43758.5453)))-1))))/1000)^2))-(((Model_Data!B101)-((Inputs!$C$51*(115*EXP(-(((0)-25)^2)/(4.5^2))+70*EXP(-(((0)+38)^2)/(7^2))*(0.55+0.45*SIN(2*PI()*(Model_Data!A101)/45))+24*SIN(2*PI()*(0)/9+(Model_Data!A101)/18)*EXP(-(((0)+5)^2)/(22^2))+18*SIN(2*PI()*(Model_Data!A101)/70))+Inputs!$C$28*EXP(-(((Model_Data!A101)-Inputs!$C$29)^2)/(2*Inputs!$C$31^2))*EXP(-(((0)-Inputs!$C$30)^2)/(2*Inputs!$C$32^2))+-Inputs!$C$33*EXP(-(((((Model_Data!A101)-Inputs!$C$34)^2)+(((0)-Inputs!$C$35)^2))/(2*Inputs!$C$36^2)))+Inputs!$C$37*(0.55*SIN(2*PI()*(Model_Data!A101)/Inputs!$C$39)+0.35*COS(2*PI()*(0)/Inputs!$C$40)+0.2*SIN(2*PI()*((Model_Data!A101)+(0))/(0.5*(Inputs!$C$39+Inputs!$C$40))))+Inputs!$C$38*SIN(2*PI()*(Model_Data!A101)/Inputs!$C$39)*SIN(2*PI()*(0)/Inputs!$C$40)+-Inputs!$C$41*EXP(-(((0)-Inputs!$C$43)^2)/(2*Inputs!$C$44^2))*EXP(-(((Model_Data!A101)-Inputs!$C$42)^2)/(2*Inputs!$C$45^2))+Inputs!$C$48*(0.70*(0.45*SIN(2*PI()*(((Model_Data!A101)/Inputs!$C$49)+Inputs!$C$47*0.137))+0.35*COS(2*PI()*(((0)/Inputs!$C$50)+Inputs!$C$47*0.173))+0.20*SIN(2*PI()*(((Model_Data!A101)+(0))/(0.5*(Inputs!$C$49+Inputs!$C$50))+Inputs!$C$47*0.097)))+0.30*(2*((SIN(((Model_Data!A101)*12.9898+(0)*78.233+Inputs!$C$47*37.719))*43758.5453)-INT((SIN(((Model_Data!A101)*12.9898+(0)*78.233+Inputs!$C$47*37.719))*43758.5453)))-1))))/1000)))*1000/Inputs!$C$12)</x:f>
        <x:v>222.81333957128768</x:v>
      </x:c>
      <x:c r="D101" s="49"/>
      <x:c r="E101" s="48" t="n">
        <x:f>Model_Data!A101</x:f>
        <x:v>-10.5</x:v>
      </x:c>
      <x:c r="F101" s="48" t="n">
        <x:f>(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(0.45*SIN(2*PI()*(((Model_Data!A101)/Inputs!$C$49)+Inputs!$C$47*0.137))+0.35*COS(2*PI()*(((Inputs!$C$6)/Inputs!$C$50)+Inputs!$C$47*0.173))+0.20*SIN(2*PI()*(((Model_Data!A101)+(Inputs!$C$6))/(0.5*(Inputs!$C$49+Inputs!$C$50))+Inputs!$C$47*0.097)))+0.30*(2*((SIN(((Model_Data!A101)*12.9898+(Inputs!$C$6)*78.233+Inputs!$C$47*37.719))*43758.5453)-INT((SIN(((Model_Data!A101)*12.9898+(Inputs!$C$6)*78.233+Inputs!$C$47*37.719))*43758.5453)))-1)))</x:f>
        <x:v>470.10163194835394</x:v>
      </x:c>
      <x:c r="G101" s="48" t="n">
        <x:f>(Inputs!$C$51*(115*EXP(-(((0)-25)^2)/(4.5^2))+70*EXP(-(((0)+38)^2)/(7^2))*(0.55+0.45*SIN(2*PI()*(Model_Data!A101)/45))+24*SIN(2*PI()*(0)/9+(Model_Data!A101)/18)*EXP(-(((0)+5)^2)/(22^2))+18*SIN(2*PI()*(Model_Data!A101)/70))+Inputs!$C$28*EXP(-(((Model_Data!A101)-Inputs!$C$29)^2)/(2*Inputs!$C$31^2))*EXP(-(((0)-Inputs!$C$30)^2)/(2*Inputs!$C$32^2))+-Inputs!$C$33*EXP(-(((((Model_Data!A101)-Inputs!$C$34)^2)+(((0)-Inputs!$C$35)^2))/(2*Inputs!$C$36^2)))+Inputs!$C$37*(0.55*SIN(2*PI()*(Model_Data!A101)/Inputs!$C$39)+0.35*COS(2*PI()*(0)/Inputs!$C$40)+0.2*SIN(2*PI()*((Model_Data!A101)+(0))/(0.5*(Inputs!$C$39+Inputs!$C$40))))+Inputs!$C$38*SIN(2*PI()*(Model_Data!A101)/Inputs!$C$39)*SIN(2*PI()*(0)/Inputs!$C$40)+-Inputs!$C$41*EXP(-(((0)-Inputs!$C$43)^2)/(2*Inputs!$C$44^2))*EXP(-(((Model_Data!A101)-Inputs!$C$42)^2)/(2*Inputs!$C$45^2))+Inputs!$C$48*(0.70*(0.45*SIN(2*PI()*(((Model_Data!A101)/Inputs!$C$49)+Inputs!$C$47*0.137))+0.35*COS(2*PI()*(((0)/Inputs!$C$50)+Inputs!$C$47*0.173))+0.20*SIN(2*PI()*(((Model_Data!A101)+(0))/(0.5*(Inputs!$C$49+Inputs!$C$50))+Inputs!$C$47*0.097)))+0.30*(2*((SIN(((Model_Data!A101)*12.9898+(0)*78.233+Inputs!$C$47*37.719))*43758.5453)-INT((SIN(((Model_Data!A101)*12.9898+(0)*78.233+Inputs!$C$47*37.719))*43758.5453)))-1)))</x:f>
        <x:v>-52.09631463655199</x:v>
      </x:c>
      <x:c r="H101" s="49"/>
      <x:c r="I101" s="48" t="n">
        <x:f>Model_Data!A101</x:f>
        <x:v>-10.5</x:v>
      </x:c>
      <x:c r="J101" s="48" t="n">
        <x:f>((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(0.45*SIN(2*PI()*(((Model_Data!A101)/Inputs!$C$49)+Inputs!$C$47*0.137))+0.35*COS(2*PI()*(((Inputs!$C$6)/Inputs!$C$50)+Inputs!$C$47*0.173))+0.20*SIN(2*PI()*(((Model_Data!A101)+(Inputs!$C$6))/(0.5*(Inputs!$C$49+Inputs!$C$50))+Inputs!$C$47*0.097)))+0.30*(2*((SIN(((Model_Data!A101)*12.9898+(Inputs!$C$6)*78.233+Inputs!$C$47*37.719))*43758.5453)-INT((SIN(((Model_Data!A101)*12.9898+(Inputs!$C$6)*78.233+Inputs!$C$47*37.719))*43758.5453)))-1))))-((Inputs!$C$51*(115*EXP(-(((0)-25)^2)/(4.5^2))+70*EXP(-(((0)+38)^2)/(7^2))*(0.55+0.45*SIN(2*PI()*(Model_Data!A101)/45))+24*SIN(2*PI()*(0)/9+(Model_Data!A101)/18)*EXP(-(((0)+5)^2)/(22^2))+18*SIN(2*PI()*(Model_Data!A101)/70))+Inputs!$C$28*EXP(-(((Model_Data!A101)-Inputs!$C$29)^2)/(2*Inputs!$C$31^2))*EXP(-(((0)-Inputs!$C$30)^2)/(2*Inputs!$C$32^2))+-Inputs!$C$33*EXP(-(((((Model_Data!A101)-Inputs!$C$34)^2)+(((0)-Inputs!$C$35)^2))/(2*Inputs!$C$36^2)))+Inputs!$C$37*(0.55*SIN(2*PI()*(Model_Data!A101)/Inputs!$C$39)+0.35*COS(2*PI()*(0)/Inputs!$C$40)+0.2*SIN(2*PI()*((Model_Data!A101)+(0))/(0.5*(Inputs!$C$39+Inputs!$C$40))))+Inputs!$C$38*SIN(2*PI()*(Model_Data!A101)/Inputs!$C$39)*SIN(2*PI()*(0)/Inputs!$C$40)+-Inputs!$C$41*EXP(-(((0)-Inputs!$C$43)^2)/(2*Inputs!$C$44^2))*EXP(-(((Model_Data!A101)-Inputs!$C$42)^2)/(2*Inputs!$C$45^2))+Inputs!$C$48*(0.70*(0.45*SIN(2*PI()*(((Model_Data!A101)/Inputs!$C$49)+Inputs!$C$47*0.137))+0.35*COS(2*PI()*(((0)/Inputs!$C$50)+Inputs!$C$47*0.173))+0.20*SIN(2*PI()*(((Model_Data!A101)+(0))/(0.5*(Inputs!$C$49+Inputs!$C$50))+Inputs!$C$47*0.097)))+0.30*(2*((SIN(((Model_Data!A101)*12.9898+(0)*78.233+Inputs!$C$47*37.719))*43758.5453)-INT((SIN(((Model_Data!A101)*12.9898+(0)*78.233+Inputs!$C$47*37.719))*43758.5453)))-1))))</x:f>
        <x:v>522.1979465849059</x:v>
      </x:c>
      <x:c r="K101" s="48" t="n">
        <x:f>-((((SQRT((Model_Data!A101)^2+Inputs!$C$6^2+((Model_Data!B101)-((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(0.45*SIN(2*PI()*(((Model_Data!A101)/Inputs!$C$49)+Inputs!$C$47*0.137))+0.35*COS(2*PI()*(((Inputs!$C$6)/Inputs!$C$50)+Inputs!$C$47*0.173))+0.20*SIN(2*PI()*(((Model_Data!A101)+(Inputs!$C$6))/(0.5*(Inputs!$C$49+Inputs!$C$50))+Inputs!$C$47*0.097)))+0.30*(2*((SIN(((Model_Data!A101)*12.9898+(Inputs!$C$6)*78.233+Inputs!$C$47*37.719))*43758.5453)-INT((SIN(((Model_Data!A101)*12.9898+(Inputs!$C$6)*78.233+Inputs!$C$47*37.719))*43758.5453)))-1))))/1000)^2))-(((Model_Data!B101)-((Inputs!$C$51*(115*EXP(-(((0)-25)^2)/(4.5^2))+70*EXP(-(((0)+38)^2)/(7^2))*(0.55+0.45*SIN(2*PI()*(Model_Data!A101)/45))+24*SIN(2*PI()*(0)/9+(Model_Data!A101)/18)*EXP(-(((0)+5)^2)/(22^2))+18*SIN(2*PI()*(Model_Data!A101)/70))+Inputs!$C$28*EXP(-(((Model_Data!A101)-Inputs!$C$29)^2)/(2*Inputs!$C$31^2))*EXP(-(((0)-Inputs!$C$30)^2)/(2*Inputs!$C$32^2))+-Inputs!$C$33*EXP(-(((((Model_Data!A101)-Inputs!$C$34)^2)+(((0)-Inputs!$C$35)^2))/(2*Inputs!$C$36^2)))+Inputs!$C$37*(0.55*SIN(2*PI()*(Model_Data!A101)/Inputs!$C$39)+0.35*COS(2*PI()*(0)/Inputs!$C$40)+0.2*SIN(2*PI()*((Model_Data!A101)+(0))/(0.5*(Inputs!$C$39+Inputs!$C$40))))+Inputs!$C$38*SIN(2*PI()*(Model_Data!A101)/Inputs!$C$39)*SIN(2*PI()*(0)/Inputs!$C$40)+-Inputs!$C$41*EXP(-(((0)-Inputs!$C$43)^2)/(2*Inputs!$C$44^2))*EXP(-(((Model_Data!A101)-Inputs!$C$42)^2)/(2*Inputs!$C$45^2))+Inputs!$C$48*(0.70*(0.45*SIN(2*PI()*(((Model_Data!A101)/Inputs!$C$49)+Inputs!$C$47*0.137))+0.35*COS(2*PI()*(((0)/Inputs!$C$50)+Inputs!$C$47*0.173))+0.20*SIN(2*PI()*(((Model_Data!A101)+(0))/(0.5*(Inputs!$C$49+Inputs!$C$50))+Inputs!$C$47*0.097)))+0.30*(2*((SIN(((Model_Data!A101)*12.9898+(0)*78.233+Inputs!$C$47*37.719))*43758.5453)-INT((SIN(((Model_Data!A101)*12.9898+(0)*78.233+Inputs!$C$47*37.719))*43758.5453)))-1))))/1000)))*1000/Inputs!$C$12)-Model_Data!F101)</x:f>
        <x:v>292.76456111565653</x:v>
      </x:c>
      <x:c r="L101" s="49"/>
      <x:c r="M101" s="48" t="n">
        <x:f>Model_Data!A101</x:f>
        <x:v>-10.5</x:v>
      </x:c>
      <x:c r="N101" s="48" t="n">
        <x:f>Model_Data!P101</x:f>
        <x:v>79.13896012990475</x:v>
      </x:c>
      <x:c r="O101" s="48" t="n">
        <x:f>AC101</x:f>
        <x:v>93.51163407354761</x:v>
      </x:c>
      <x:c r="P101" s="48" t="n">
        <x:f>Model_Data!Q101</x:f>
        <x:v>11.882726746231945</x:v>
      </x:c>
      <x:c r="Q101" s="48" t="n">
        <x:f>AD101</x:f>
        <x:v>14.040785896929073</x:v>
      </x:c>
      <x:c r="R101" s="49"/>
      <x:c r="S101" s="48" t="n">
        <x:f>Model_Data!A101</x:f>
        <x:v>-10.5</x:v>
      </x:c>
      <x:c r="T101" s="48" t="n">
        <x:f>Model_Data!B101-Inputs!$C$5</x:f>
        <x:v>0.12250000000000227</x:v>
      </x:c>
      <x:c r="U101" s="49"/>
      <x:c r="V101" s="48" t="n">
        <x:f>Model_Data!A101</x:f>
        <x:v>-10.5</x:v>
      </x:c>
      <x:c r="W101" s="48" t="n">
        <x:f>(-((((SQRT((Model_Data!A101)^2+Inputs!$C$6^2+((Model_Data!B101)-((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(0.45*SIN(2*PI()*(((Model_Data!A101)/Inputs!$C$49)+Inputs!$C$47*0.137))+0.35*COS(2*PI()*(((Inputs!$C$6)/Inputs!$C$50)+Inputs!$C$47*0.173))+0.20*SIN(2*PI()*(((Model_Data!A101)+(Inputs!$C$6))/(0.5*(Inputs!$C$49+Inputs!$C$50))+Inputs!$C$47*0.097)))+0.30*(2*((SIN(((Model_Data!A101)*12.9898+(Inputs!$C$6)*78.233+Inputs!$C$47*37.719))*43758.5453)-INT((SIN(((Model_Data!A101)*12.9898+(Inputs!$C$6)*78.233+Inputs!$C$47*37.719))*43758.5453)))-1))))/1000)^2))-(((Model_Data!B101)-((Inputs!$C$51*(115*EXP(-(((0)-25)^2)/(4.5^2))+70*EXP(-(((0)+38)^2)/(7^2))*(0.55+0.45*SIN(2*PI()*(Model_Data!A101)/45))+24*SIN(2*PI()*(0)/9+(Model_Data!A101)/18)*EXP(-(((0)+5)^2)/(22^2))+18*SIN(2*PI()*(Model_Data!A101)/70))+Inputs!$C$28*EXP(-(((Model_Data!A101)-Inputs!$C$29)^2)/(2*Inputs!$C$31^2))*EXP(-(((0)-Inputs!$C$30)^2)/(2*Inputs!$C$32^2))+-Inputs!$C$33*EXP(-(((((Model_Data!A101)-Inputs!$C$34)^2)+(((0)-Inputs!$C$35)^2))/(2*Inputs!$C$36^2)))+Inputs!$C$37*(0.55*SIN(2*PI()*(Model_Data!A101)/Inputs!$C$39)+0.35*COS(2*PI()*(0)/Inputs!$C$40)+0.2*SIN(2*PI()*((Model_Data!A101)+(0))/(0.5*(Inputs!$C$39+Inputs!$C$40))))+Inputs!$C$38*SIN(2*PI()*(Model_Data!A101)/Inputs!$C$39)*SIN(2*PI()*(0)/Inputs!$C$40)+-Inputs!$C$41*EXP(-(((0)-Inputs!$C$43)^2)/(2*Inputs!$C$44^2))*EXP(-(((Model_Data!A101)-Inputs!$C$42)^2)/(2*Inputs!$C$45^2))+Inputs!$C$48*(0.70*(0.45*SIN(2*PI()*(((Model_Data!A101)/Inputs!$C$49)+Inputs!$C$47*0.137))+0.35*COS(2*PI()*(((0)/Inputs!$C$50)+Inputs!$C$47*0.173))+0.20*SIN(2*PI()*(((Model_Data!A101)+(0))/(0.5*(Inputs!$C$49+Inputs!$C$50))+Inputs!$C$47*0.097)))+0.30*(2*((SIN(((Model_Data!A101)*12.9898+(0)*78.233+Inputs!$C$47*37.719))*43758.5453)-INT((SIN(((Model_Data!A101)*12.9898+(0)*78.233+Inputs!$C$47*37.719))*43758.5453)))-1))))/1000)))*1000/Inputs!$C$12)-Model_Data!F101))-(-(((SQRT((Model_Data!A101)^2+Inputs!$C$6^2+(Inputs!$C$5-((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(0.45*SIN(2*PI()*(((Model_Data!A101)/Inputs!$C$49)+Inputs!$C$47*0.137))+0.35*COS(2*PI()*(((Inputs!$C$6)/Inputs!$C$50)+Inputs!$C$47*0.173))+0.20*SIN(2*PI()*(((Model_Data!A101)+(Inputs!$C$6))/(0.5*(Inputs!$C$49+Inputs!$C$50))+Inputs!$C$47*0.097)))+0.30*(2*((SIN(((Model_Data!A101)*12.9898+(Inputs!$C$6)*78.233+Inputs!$C$47*37.719))*43758.5453)-INT((SIN(((Model_Data!A101)*12.9898+(Inputs!$C$6)*78.233+Inputs!$C$47*37.719))*43758.5453)))-1))))/1000)^2)-(Inputs!$C$5-((Inputs!$C$51*(115*EXP(-(((0)-25)^2)/(4.5^2))+70*EXP(-(((0)+38)^2)/(7^2))*(0.55+0.45*SIN(2*PI()*(Model_Data!A101)/45))+24*SIN(2*PI()*(0)/9+(Model_Data!A101)/18)*EXP(-(((0)+5)^2)/(22^2))+18*SIN(2*PI()*(Model_Data!A101)/70))+Inputs!$C$28*EXP(-(((Model_Data!A101)-Inputs!$C$29)^2)/(2*Inputs!$C$31^2))*EXP(-(((0)-Inputs!$C$30)^2)/(2*Inputs!$C$32^2))+-Inputs!$C$33*EXP(-(((((Model_Data!A101)-Inputs!$C$34)^2)+(((0)-Inputs!$C$35)^2))/(2*Inputs!$C$36^2)))+Inputs!$C$37*(0.55*SIN(2*PI()*(Model_Data!A101)/Inputs!$C$39)+0.35*COS(2*PI()*(0)/Inputs!$C$40)+0.2*SIN(2*PI()*((Model_Data!A101)+(0))/(0.5*(Inputs!$C$39+Inputs!$C$40))))+Inputs!$C$38*SIN(2*PI()*(Model_Data!A101)/Inputs!$C$39)*SIN(2*PI()*(0)/Inputs!$C$40)+-Inputs!$C$41*EXP(-(((0)-Inputs!$C$43)^2)/(2*Inputs!$C$44^2))*EXP(-(((Model_Data!A101)-Inputs!$C$42)^2)/(2*Inputs!$C$45^2))+Inputs!$C$48*(0.70*(0.45*SIN(2*PI()*(((Model_Data!A101)/Inputs!$C$49)+Inputs!$C$47*0.137))+0.35*COS(2*PI()*(((0)/Inputs!$C$50)+Inputs!$C$47*0.173))+0.20*SIN(2*PI()*(((Model_Data!A101)+(0))/(0.5*(Inputs!$C$49+Inputs!$C$50))+Inputs!$C$47*0.097)))+0.30*(2*((SIN(((Model_Data!A101)*12.9898+(0)*78.233+Inputs!$C$47*37.719))*43758.5453)-INT((SIN(((Model_Data!A101)*12.9898+(0)*78.233+Inputs!$C$47*37.719))*43758.5453)))-1))))/1000))*1000/Inputs!$C$12)-((SQRT((Model_Data!A101)^2+Inputs!$C$6^2+Inputs!$C$5^2)-Inputs!$C$5)*1000/Inputs!$C$12)))</x:f>
        <x:v>0.0003696069587704187</x:v>
      </x:c>
      <x:c r="X101" s="48" t="n">
        <x:f>0</x:f>
        <x:v>0</x:v>
      </x:c>
      <x:c r="Y101" s="49"/>
      <x:c r="Z101" s="48" t="n">
        <x:f>Model_Data!A101</x:f>
        <x:v>-10.5</x:v>
      </x:c>
      <x:c r="AA101" s="48" t="n">
        <x:f>SQRT((Model_Data!A101)^2+Inputs!$C$6^2+((Model_Data!B101)-((Inputs!$C$51*(115*EXP(-(((Inputs!$C$6)-25)^2)/(4.5^2))+70*EXP(-(((Inputs!$C$6)+38)^2)/(7^2))*(0.55+0.45*SIN(2*PI()*(Model_Data!A101)/45))+24*SIN(2*PI()*(Inputs!$C$6)/9+(Model_Data!A101)/18)*EXP(-(((Inputs!$C$6)+5)^2)/(22^2))+18*SIN(2*PI()*(Model_Data!A101)/70))+Inputs!$C$28*EXP(-(((Model_Data!A101)-Inputs!$C$29)^2)/(2*Inputs!$C$31^2))*EXP(-(((Inputs!$C$6)-Inputs!$C$30)^2)/(2*Inputs!$C$32^2))+-Inputs!$C$33*EXP(-(((((Model_Data!A101)-Inputs!$C$34)^2)+(((Inputs!$C$6)-Inputs!$C$35)^2))/(2*Inputs!$C$36^2)))+Inputs!$C$37*(0.55*SIN(2*PI()*(Model_Data!A101)/Inputs!$C$39)+0.35*COS(2*PI()*(Inputs!$C$6)/Inputs!$C$40)+0.2*SIN(2*PI()*((Model_Data!A101)+(Inputs!$C$6))/(0.5*(Inputs!$C$39+Inputs!$C$40))))+Inputs!$C$38*SIN(2*PI()*(Model_Data!A101)/Inputs!$C$39)*SIN(2*PI()*(Inputs!$C$6)/Inputs!$C$40)+-Inputs!$C$41*EXP(-(((Inputs!$C$6)-Inputs!$C$43)^2)/(2*Inputs!$C$44^2))*EXP(-(((Model_Data!A101)-Inputs!$C$42)^2)/(2*Inputs!$C$45^2))+Inputs!$C$48*(0.70*(0.45*SIN(2*PI()*(((Model_Data!A101)/Inputs!$C$49)+Inputs!$C$47*0.137))+0.35*COS(2*PI()*(((Inputs!$C$6)/Inputs!$C$50)+Inputs!$C$47*0.173))+0.20*SIN(2*PI()*(((Model_Data!A101)+(Inputs!$C$6))/(0.5*(Inputs!$C$49+Inputs!$C$50))+Inputs!$C$47*0.097)))+0.30*(2*((SIN(((Model_Data!A101)*12.9898+(Inputs!$C$6)*78.233+Inputs!$C$47*37.719))*43758.5453)-INT((SIN(((Model_Data!A101)*12.9898+(Inputs!$C$6)*78.233+Inputs!$C$47*37.719))*43758.5453)))-1))))/1000)^2)</x:f>
        <x:v>400.57120405907347</x:v>
      </x:c>
      <x:c r="AB101" s="48" t="n">
        <x:f>1000*(AA102-AA100)/(Z102-Z100)*Inputs!$C$11</x:f>
        <x:v>-233.77908518386903</x:v>
      </x:c>
      <x:c r="AC101" s="48" t="n">
        <x:f>-2*AB101/Inputs!$C$13</x:f>
        <x:v>93.51163407354761</x:v>
      </x:c>
      <x:c r="AD101" s="48" t="n">
        <x:f>-2*AB101/Inputs!$C$14</x:f>
        <x:v>14.040785896929073</x:v>
      </x:c>
    </x:row>
    <x:row r="102">
      <x:c r="A102" s="48" t="n">
        <x:f>Model_Data!A102</x:f>
        <x:v>-10</x:v>
      </x:c>
      <x:c r="B102" s="48" t="n">
        <x:f>Model_Data!F102</x:f>
        <x:v>508.41286159408577</x:v>
      </x:c>
      <x:c r="C102" s="48" t="n">
        <x:f>(((SQRT((Model_Data!A102)^2+Inputs!$C$6^2+((Model_Data!B102)-((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(0.45*SIN(2*PI()*(((Model_Data!A102)/Inputs!$C$49)+Inputs!$C$47*0.137))+0.35*COS(2*PI()*(((Inputs!$C$6)/Inputs!$C$50)+Inputs!$C$47*0.173))+0.20*SIN(2*PI()*(((Model_Data!A102)+(Inputs!$C$6))/(0.5*(Inputs!$C$49+Inputs!$C$50))+Inputs!$C$47*0.097)))+0.30*(2*((SIN(((Model_Data!A102)*12.9898+(Inputs!$C$6)*78.233+Inputs!$C$47*37.719))*43758.5453)-INT((SIN(((Model_Data!A102)*12.9898+(Inputs!$C$6)*78.233+Inputs!$C$47*37.719))*43758.5453)))-1))))/1000)^2))-(((Model_Data!B102)-((Inputs!$C$51*(115*EXP(-(((0)-25)^2)/(4.5^2))+70*EXP(-(((0)+38)^2)/(7^2))*(0.55+0.45*SIN(2*PI()*(Model_Data!A102)/45))+24*SIN(2*PI()*(0)/9+(Model_Data!A102)/18)*EXP(-(((0)+5)^2)/(22^2))+18*SIN(2*PI()*(Model_Data!A102)/70))+Inputs!$C$28*EXP(-(((Model_Data!A102)-Inputs!$C$29)^2)/(2*Inputs!$C$31^2))*EXP(-(((0)-Inputs!$C$30)^2)/(2*Inputs!$C$32^2))+-Inputs!$C$33*EXP(-(((((Model_Data!A102)-Inputs!$C$34)^2)+(((0)-Inputs!$C$35)^2))/(2*Inputs!$C$36^2)))+Inputs!$C$37*(0.55*SIN(2*PI()*(Model_Data!A102)/Inputs!$C$39)+0.35*COS(2*PI()*(0)/Inputs!$C$40)+0.2*SIN(2*PI()*((Model_Data!A102)+(0))/(0.5*(Inputs!$C$39+Inputs!$C$40))))+Inputs!$C$38*SIN(2*PI()*(Model_Data!A102)/Inputs!$C$39)*SIN(2*PI()*(0)/Inputs!$C$40)+-Inputs!$C$41*EXP(-(((0)-Inputs!$C$43)^2)/(2*Inputs!$C$44^2))*EXP(-(((Model_Data!A102)-Inputs!$C$42)^2)/(2*Inputs!$C$45^2))+Inputs!$C$48*(0.70*(0.45*SIN(2*PI()*(((Model_Data!A102)/Inputs!$C$49)+Inputs!$C$47*0.137))+0.35*COS(2*PI()*(((0)/Inputs!$C$50)+Inputs!$C$47*0.173))+0.20*SIN(2*PI()*(((Model_Data!A102)+(0))/(0.5*(Inputs!$C$49+Inputs!$C$50))+Inputs!$C$47*0.097)))+0.30*(2*((SIN(((Model_Data!A102)*12.9898+(0)*78.233+Inputs!$C$47*37.719))*43758.5453)-INT((SIN(((Model_Data!A102)*12.9898+(0)*78.233+Inputs!$C$47*37.719))*43758.5453)))-1))))/1000)))*1000/Inputs!$C$12)</x:f>
        <x:v>216.34977381139058</x:v>
      </x:c>
      <x:c r="D102" s="49"/>
      <x:c r="E102" s="48" t="n">
        <x:f>Model_Data!A102</x:f>
        <x:v>-10</x:v>
      </x:c>
      <x:c r="F102" s="48" t="n">
        <x:f>(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(0.45*SIN(2*PI()*(((Model_Data!A102)/Inputs!$C$49)+Inputs!$C$47*0.137))+0.35*COS(2*PI()*(((Inputs!$C$6)/Inputs!$C$50)+Inputs!$C$47*0.173))+0.20*SIN(2*PI()*(((Model_Data!A102)+(Inputs!$C$6))/(0.5*(Inputs!$C$49+Inputs!$C$50))+Inputs!$C$47*0.097)))+0.30*(2*((SIN(((Model_Data!A102)*12.9898+(Inputs!$C$6)*78.233+Inputs!$C$47*37.719))*43758.5453)-INT((SIN(((Model_Data!A102)*12.9898+(Inputs!$C$6)*78.233+Inputs!$C$47*37.719))*43758.5453)))-1)))</x:f>
        <x:v>471.5144848829251</x:v>
      </x:c>
      <x:c r="G102" s="48" t="n">
        <x:f>(Inputs!$C$51*(115*EXP(-(((0)-25)^2)/(4.5^2))+70*EXP(-(((0)+38)^2)/(7^2))*(0.55+0.45*SIN(2*PI()*(Model_Data!A102)/45))+24*SIN(2*PI()*(0)/9+(Model_Data!A102)/18)*EXP(-(((0)+5)^2)/(22^2))+18*SIN(2*PI()*(Model_Data!A102)/70))+Inputs!$C$28*EXP(-(((Model_Data!A102)-Inputs!$C$29)^2)/(2*Inputs!$C$31^2))*EXP(-(((0)-Inputs!$C$30)^2)/(2*Inputs!$C$32^2))+-Inputs!$C$33*EXP(-(((((Model_Data!A102)-Inputs!$C$34)^2)+(((0)-Inputs!$C$35)^2))/(2*Inputs!$C$36^2)))+Inputs!$C$37*(0.55*SIN(2*PI()*(Model_Data!A102)/Inputs!$C$39)+0.35*COS(2*PI()*(0)/Inputs!$C$40)+0.2*SIN(2*PI()*((Model_Data!A102)+(0))/(0.5*(Inputs!$C$39+Inputs!$C$40))))+Inputs!$C$38*SIN(2*PI()*(Model_Data!A102)/Inputs!$C$39)*SIN(2*PI()*(0)/Inputs!$C$40)+-Inputs!$C$41*EXP(-(((0)-Inputs!$C$43)^2)/(2*Inputs!$C$44^2))*EXP(-(((Model_Data!A102)-Inputs!$C$42)^2)/(2*Inputs!$C$45^2))+Inputs!$C$48*(0.70*(0.45*SIN(2*PI()*(((Model_Data!A102)/Inputs!$C$49)+Inputs!$C$47*0.137))+0.35*COS(2*PI()*(((0)/Inputs!$C$50)+Inputs!$C$47*0.173))+0.20*SIN(2*PI()*(((Model_Data!A102)+(0))/(0.5*(Inputs!$C$49+Inputs!$C$50))+Inputs!$C$47*0.097)))+0.30*(2*((SIN(((Model_Data!A102)*12.9898+(0)*78.233+Inputs!$C$47*37.719))*43758.5453)-INT((SIN(((Model_Data!A102)*12.9898+(0)*78.233+Inputs!$C$47*37.719))*43758.5453)))-1)))</x:f>
        <x:v>-49.423131521111884</x:v>
      </x:c>
      <x:c r="H102" s="49"/>
      <x:c r="I102" s="48" t="n">
        <x:f>Model_Data!A102</x:f>
        <x:v>-10</x:v>
      </x:c>
      <x:c r="J102" s="48" t="n">
        <x:f>((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(0.45*SIN(2*PI()*(((Model_Data!A102)/Inputs!$C$49)+Inputs!$C$47*0.137))+0.35*COS(2*PI()*(((Inputs!$C$6)/Inputs!$C$50)+Inputs!$C$47*0.173))+0.20*SIN(2*PI()*(((Model_Data!A102)+(Inputs!$C$6))/(0.5*(Inputs!$C$49+Inputs!$C$50))+Inputs!$C$47*0.097)))+0.30*(2*((SIN(((Model_Data!A102)*12.9898+(Inputs!$C$6)*78.233+Inputs!$C$47*37.719))*43758.5453)-INT((SIN(((Model_Data!A102)*12.9898+(Inputs!$C$6)*78.233+Inputs!$C$47*37.719))*43758.5453)))-1))))-((Inputs!$C$51*(115*EXP(-(((0)-25)^2)/(4.5^2))+70*EXP(-(((0)+38)^2)/(7^2))*(0.55+0.45*SIN(2*PI()*(Model_Data!A102)/45))+24*SIN(2*PI()*(0)/9+(Model_Data!A102)/18)*EXP(-(((0)+5)^2)/(22^2))+18*SIN(2*PI()*(Model_Data!A102)/70))+Inputs!$C$28*EXP(-(((Model_Data!A102)-Inputs!$C$29)^2)/(2*Inputs!$C$31^2))*EXP(-(((0)-Inputs!$C$30)^2)/(2*Inputs!$C$32^2))+-Inputs!$C$33*EXP(-(((((Model_Data!A102)-Inputs!$C$34)^2)+(((0)-Inputs!$C$35)^2))/(2*Inputs!$C$36^2)))+Inputs!$C$37*(0.55*SIN(2*PI()*(Model_Data!A102)/Inputs!$C$39)+0.35*COS(2*PI()*(0)/Inputs!$C$40)+0.2*SIN(2*PI()*((Model_Data!A102)+(0))/(0.5*(Inputs!$C$39+Inputs!$C$40))))+Inputs!$C$38*SIN(2*PI()*(Model_Data!A102)/Inputs!$C$39)*SIN(2*PI()*(0)/Inputs!$C$40)+-Inputs!$C$41*EXP(-(((0)-Inputs!$C$43)^2)/(2*Inputs!$C$44^2))*EXP(-(((Model_Data!A102)-Inputs!$C$42)^2)/(2*Inputs!$C$45^2))+Inputs!$C$48*(0.70*(0.45*SIN(2*PI()*(((Model_Data!A102)/Inputs!$C$49)+Inputs!$C$47*0.137))+0.35*COS(2*PI()*(((0)/Inputs!$C$50)+Inputs!$C$47*0.173))+0.20*SIN(2*PI()*(((Model_Data!A102)+(0))/(0.5*(Inputs!$C$49+Inputs!$C$50))+Inputs!$C$47*0.097)))+0.30*(2*((SIN(((Model_Data!A102)*12.9898+(0)*78.233+Inputs!$C$47*37.719))*43758.5453)-INT((SIN(((Model_Data!A102)*12.9898+(0)*78.233+Inputs!$C$47*37.719))*43758.5453)))-1))))</x:f>
        <x:v>520.937616404037</x:v>
      </x:c>
      <x:c r="K102" s="48" t="n">
        <x:f>-((((SQRT((Model_Data!A102)^2+Inputs!$C$6^2+((Model_Data!B102)-((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(0.45*SIN(2*PI()*(((Model_Data!A102)/Inputs!$C$49)+Inputs!$C$47*0.137))+0.35*COS(2*PI()*(((Inputs!$C$6)/Inputs!$C$50)+Inputs!$C$47*0.173))+0.20*SIN(2*PI()*(((Model_Data!A102)+(Inputs!$C$6))/(0.5*(Inputs!$C$49+Inputs!$C$50))+Inputs!$C$47*0.097)))+0.30*(2*((SIN(((Model_Data!A102)*12.9898+(Inputs!$C$6)*78.233+Inputs!$C$47*37.719))*43758.5453)-INT((SIN(((Model_Data!A102)*12.9898+(Inputs!$C$6)*78.233+Inputs!$C$47*37.719))*43758.5453)))-1))))/1000)^2))-(((Model_Data!B102)-((Inputs!$C$51*(115*EXP(-(((0)-25)^2)/(4.5^2))+70*EXP(-(((0)+38)^2)/(7^2))*(0.55+0.45*SIN(2*PI()*(Model_Data!A102)/45))+24*SIN(2*PI()*(0)/9+(Model_Data!A102)/18)*EXP(-(((0)+5)^2)/(22^2))+18*SIN(2*PI()*(Model_Data!A102)/70))+Inputs!$C$28*EXP(-(((Model_Data!A102)-Inputs!$C$29)^2)/(2*Inputs!$C$31^2))*EXP(-(((0)-Inputs!$C$30)^2)/(2*Inputs!$C$32^2))+-Inputs!$C$33*EXP(-(((((Model_Data!A102)-Inputs!$C$34)^2)+(((0)-Inputs!$C$35)^2))/(2*Inputs!$C$36^2)))+Inputs!$C$37*(0.55*SIN(2*PI()*(Model_Data!A102)/Inputs!$C$39)+0.35*COS(2*PI()*(0)/Inputs!$C$40)+0.2*SIN(2*PI()*((Model_Data!A102)+(0))/(0.5*(Inputs!$C$39+Inputs!$C$40))))+Inputs!$C$38*SIN(2*PI()*(Model_Data!A102)/Inputs!$C$39)*SIN(2*PI()*(0)/Inputs!$C$40)+-Inputs!$C$41*EXP(-(((0)-Inputs!$C$43)^2)/(2*Inputs!$C$44^2))*EXP(-(((Model_Data!A102)-Inputs!$C$42)^2)/(2*Inputs!$C$45^2))+Inputs!$C$48*(0.70*(0.45*SIN(2*PI()*(((Model_Data!A102)/Inputs!$C$49)+Inputs!$C$47*0.137))+0.35*COS(2*PI()*(((0)/Inputs!$C$50)+Inputs!$C$47*0.173))+0.20*SIN(2*PI()*(((Model_Data!A102)+(0))/(0.5*(Inputs!$C$49+Inputs!$C$50))+Inputs!$C$47*0.097)))+0.30*(2*((SIN(((Model_Data!A102)*12.9898+(0)*78.233+Inputs!$C$47*37.719))*43758.5453)-INT((SIN(((Model_Data!A102)*12.9898+(0)*78.233+Inputs!$C$47*37.719))*43758.5453)))-1))))/1000)))*1000/Inputs!$C$12)-Model_Data!F102)</x:f>
        <x:v>292.0630877826952</x:v>
      </x:c>
      <x:c r="L102" s="49"/>
      <x:c r="M102" s="48" t="n">
        <x:f>Model_Data!A102</x:f>
        <x:v>-10</x:v>
      </x:c>
      <x:c r="N102" s="48" t="n">
        <x:f>Model_Data!P102</x:f>
        <x:v>75.37396601878024</x:v>
      </x:c>
      <x:c r="O102" s="48" t="n">
        <x:f>AC102</x:f>
        <x:v>76.18660597217968</x:v>
      </x:c>
      <x:c r="P102" s="48" t="n">
        <x:f>Model_Data!Q102</x:f>
        <x:v>11.317412315132168</x:v>
      </x:c>
      <x:c r="Q102" s="48" t="n">
        <x:f>AD102</x:f>
        <x:v>11.439430326153106</x:v>
      </x:c>
      <x:c r="R102" s="49"/>
      <x:c r="S102" s="48" t="n">
        <x:f>Model_Data!A102</x:f>
        <x:v>-10</x:v>
      </x:c>
      <x:c r="T102" s="48" t="n">
        <x:f>Model_Data!B102-Inputs!$C$5</x:f>
        <x:v>0.11111111111108585</x:v>
      </x:c>
      <x:c r="U102" s="49"/>
      <x:c r="V102" s="48" t="n">
        <x:f>Model_Data!A102</x:f>
        <x:v>-10</x:v>
      </x:c>
      <x:c r="W102" s="48" t="n">
        <x:f>(-((((SQRT((Model_Data!A102)^2+Inputs!$C$6^2+((Model_Data!B102)-((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(0.45*SIN(2*PI()*(((Model_Data!A102)/Inputs!$C$49)+Inputs!$C$47*0.137))+0.35*COS(2*PI()*(((Inputs!$C$6)/Inputs!$C$50)+Inputs!$C$47*0.173))+0.20*SIN(2*PI()*(((Model_Data!A102)+(Inputs!$C$6))/(0.5*(Inputs!$C$49+Inputs!$C$50))+Inputs!$C$47*0.097)))+0.30*(2*((SIN(((Model_Data!A102)*12.9898+(Inputs!$C$6)*78.233+Inputs!$C$47*37.719))*43758.5453)-INT((SIN(((Model_Data!A102)*12.9898+(Inputs!$C$6)*78.233+Inputs!$C$47*37.719))*43758.5453)))-1))))/1000)^2))-(((Model_Data!B102)-((Inputs!$C$51*(115*EXP(-(((0)-25)^2)/(4.5^2))+70*EXP(-(((0)+38)^2)/(7^2))*(0.55+0.45*SIN(2*PI()*(Model_Data!A102)/45))+24*SIN(2*PI()*(0)/9+(Model_Data!A102)/18)*EXP(-(((0)+5)^2)/(22^2))+18*SIN(2*PI()*(Model_Data!A102)/70))+Inputs!$C$28*EXP(-(((Model_Data!A102)-Inputs!$C$29)^2)/(2*Inputs!$C$31^2))*EXP(-(((0)-Inputs!$C$30)^2)/(2*Inputs!$C$32^2))+-Inputs!$C$33*EXP(-(((((Model_Data!A102)-Inputs!$C$34)^2)+(((0)-Inputs!$C$35)^2))/(2*Inputs!$C$36^2)))+Inputs!$C$37*(0.55*SIN(2*PI()*(Model_Data!A102)/Inputs!$C$39)+0.35*COS(2*PI()*(0)/Inputs!$C$40)+0.2*SIN(2*PI()*((Model_Data!A102)+(0))/(0.5*(Inputs!$C$39+Inputs!$C$40))))+Inputs!$C$38*SIN(2*PI()*(Model_Data!A102)/Inputs!$C$39)*SIN(2*PI()*(0)/Inputs!$C$40)+-Inputs!$C$41*EXP(-(((0)-Inputs!$C$43)^2)/(2*Inputs!$C$44^2))*EXP(-(((Model_Data!A102)-Inputs!$C$42)^2)/(2*Inputs!$C$45^2))+Inputs!$C$48*(0.70*(0.45*SIN(2*PI()*(((Model_Data!A102)/Inputs!$C$49)+Inputs!$C$47*0.137))+0.35*COS(2*PI()*(((0)/Inputs!$C$50)+Inputs!$C$47*0.173))+0.20*SIN(2*PI()*(((Model_Data!A102)+(0))/(0.5*(Inputs!$C$49+Inputs!$C$50))+Inputs!$C$47*0.097)))+0.30*(2*((SIN(((Model_Data!A102)*12.9898+(0)*78.233+Inputs!$C$47*37.719))*43758.5453)-INT((SIN(((Model_Data!A102)*12.9898+(0)*78.233+Inputs!$C$47*37.719))*43758.5453)))-1))))/1000)))*1000/Inputs!$C$12)-Model_Data!F102))-(-(((SQRT((Model_Data!A102)^2+Inputs!$C$6^2+(Inputs!$C$5-((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(0.45*SIN(2*PI()*(((Model_Data!A102)/Inputs!$C$49)+Inputs!$C$47*0.137))+0.35*COS(2*PI()*(((Inputs!$C$6)/Inputs!$C$50)+Inputs!$C$47*0.173))+0.20*SIN(2*PI()*(((Model_Data!A102)+(Inputs!$C$6))/(0.5*(Inputs!$C$49+Inputs!$C$50))+Inputs!$C$47*0.097)))+0.30*(2*((SIN(((Model_Data!A102)*12.9898+(Inputs!$C$6)*78.233+Inputs!$C$47*37.719))*43758.5453)-INT((SIN(((Model_Data!A102)*12.9898+(Inputs!$C$6)*78.233+Inputs!$C$47*37.719))*43758.5453)))-1))))/1000)^2)-(Inputs!$C$5-((Inputs!$C$51*(115*EXP(-(((0)-25)^2)/(4.5^2))+70*EXP(-(((0)+38)^2)/(7^2))*(0.55+0.45*SIN(2*PI()*(Model_Data!A102)/45))+24*SIN(2*PI()*(0)/9+(Model_Data!A102)/18)*EXP(-(((0)+5)^2)/(22^2))+18*SIN(2*PI()*(Model_Data!A102)/70))+Inputs!$C$28*EXP(-(((Model_Data!A102)-Inputs!$C$29)^2)/(2*Inputs!$C$31^2))*EXP(-(((0)-Inputs!$C$30)^2)/(2*Inputs!$C$32^2))+-Inputs!$C$33*EXP(-(((((Model_Data!A102)-Inputs!$C$34)^2)+(((0)-Inputs!$C$35)^2))/(2*Inputs!$C$36^2)))+Inputs!$C$37*(0.55*SIN(2*PI()*(Model_Data!A102)/Inputs!$C$39)+0.35*COS(2*PI()*(0)/Inputs!$C$40)+0.2*SIN(2*PI()*((Model_Data!A102)+(0))/(0.5*(Inputs!$C$39+Inputs!$C$40))))+Inputs!$C$38*SIN(2*PI()*(Model_Data!A102)/Inputs!$C$39)*SIN(2*PI()*(0)/Inputs!$C$40)+-Inputs!$C$41*EXP(-(((0)-Inputs!$C$43)^2)/(2*Inputs!$C$44^2))*EXP(-(((Model_Data!A102)-Inputs!$C$42)^2)/(2*Inputs!$C$45^2))+Inputs!$C$48*(0.70*(0.45*SIN(2*PI()*(((Model_Data!A102)/Inputs!$C$49)+Inputs!$C$47*0.137))+0.35*COS(2*PI()*(((0)/Inputs!$C$50)+Inputs!$C$47*0.173))+0.20*SIN(2*PI()*(((Model_Data!A102)+(0))/(0.5*(Inputs!$C$49+Inputs!$C$50))+Inputs!$C$47*0.097)))+0.30*(2*((SIN(((Model_Data!A102)*12.9898+(0)*78.233+Inputs!$C$47*37.719))*43758.5453)-INT((SIN(((Model_Data!A102)*12.9898+(0)*78.233+Inputs!$C$47*37.719))*43758.5453)))-1))))/1000))*1000/Inputs!$C$12)-((SQRT((Model_Data!A102)^2+Inputs!$C$6^2+Inputs!$C$5^2)-Inputs!$C$5)*1000/Inputs!$C$12)))</x:f>
        <x:v>0.00033161192345687596</x:v>
      </x:c>
      <x:c r="X102" s="48" t="n">
        <x:f>0</x:f>
        <x:v>0</x:v>
      </x:c>
      <x:c r="Y102" s="49"/>
      <x:c r="Z102" s="48" t="n">
        <x:f>Model_Data!A102</x:f>
        <x:v>-10</x:v>
      </x:c>
      <x:c r="AA102" s="48" t="n">
        <x:f>SQRT((Model_Data!A102)^2+Inputs!$C$6^2+((Model_Data!B102)-((Inputs!$C$51*(115*EXP(-(((Inputs!$C$6)-25)^2)/(4.5^2))+70*EXP(-(((Inputs!$C$6)+38)^2)/(7^2))*(0.55+0.45*SIN(2*PI()*(Model_Data!A102)/45))+24*SIN(2*PI()*(Inputs!$C$6)/9+(Model_Data!A102)/18)*EXP(-(((Inputs!$C$6)+5)^2)/(22^2))+18*SIN(2*PI()*(Model_Data!A102)/70))+Inputs!$C$28*EXP(-(((Model_Data!A102)-Inputs!$C$29)^2)/(2*Inputs!$C$31^2))*EXP(-(((Inputs!$C$6)-Inputs!$C$30)^2)/(2*Inputs!$C$32^2))+-Inputs!$C$33*EXP(-(((((Model_Data!A102)-Inputs!$C$34)^2)+(((Inputs!$C$6)-Inputs!$C$35)^2))/(2*Inputs!$C$36^2)))+Inputs!$C$37*(0.55*SIN(2*PI()*(Model_Data!A102)/Inputs!$C$39)+0.35*COS(2*PI()*(Inputs!$C$6)/Inputs!$C$40)+0.2*SIN(2*PI()*((Model_Data!A102)+(Inputs!$C$6))/(0.5*(Inputs!$C$39+Inputs!$C$40))))+Inputs!$C$38*SIN(2*PI()*(Model_Data!A102)/Inputs!$C$39)*SIN(2*PI()*(Inputs!$C$6)/Inputs!$C$40)+-Inputs!$C$41*EXP(-(((Inputs!$C$6)-Inputs!$C$43)^2)/(2*Inputs!$C$44^2))*EXP(-(((Model_Data!A102)-Inputs!$C$42)^2)/(2*Inputs!$C$45^2))+Inputs!$C$48*(0.70*(0.45*SIN(2*PI()*(((Model_Data!A102)/Inputs!$C$49)+Inputs!$C$47*0.137))+0.35*COS(2*PI()*(((Inputs!$C$6)/Inputs!$C$50)+Inputs!$C$47*0.173))+0.20*SIN(2*PI()*(((Model_Data!A102)+(Inputs!$C$6))/(0.5*(Inputs!$C$49+Inputs!$C$50))+Inputs!$C$47*0.097)))+0.30*(2*((SIN(((Model_Data!A102)*12.9898+(Inputs!$C$6)*78.233+Inputs!$C$47*37.719))*43758.5453)-INT((SIN(((Model_Data!A102)*12.9898+(Inputs!$C$6)*78.233+Inputs!$C$47*37.719))*43758.5453)))-1))))/1000)^2)</x:f>
        <x:v>400.54563684001647</x:v>
      </x:c>
      <x:c r="AB102" s="48" t="n">
        <x:f>1000*(AA103-AA101)/(Z103-Z101)*Inputs!$C$11</x:f>
        <x:v>-190.4665149304492</x:v>
      </x:c>
      <x:c r="AC102" s="48" t="n">
        <x:f>-2*AB102/Inputs!$C$13</x:f>
        <x:v>76.18660597217968</x:v>
      </x:c>
      <x:c r="AD102" s="48" t="n">
        <x:f>-2*AB102/Inputs!$C$14</x:f>
        <x:v>11.439430326153106</x:v>
      </x:c>
    </x:row>
    <x:row r="103">
      <x:c r="A103" s="48" t="n">
        <x:f>Model_Data!A103</x:f>
        <x:v>-9.5</x:v>
      </x:c>
      <x:c r="B103" s="48" t="n">
        <x:f>Model_Data!F103</x:f>
        <x:v>501.5967474169945</x:v>
      </x:c>
      <x:c r="C103" s="48" t="n">
        <x:f>(((SQRT((Model_Data!A103)^2+Inputs!$C$6^2+((Model_Data!B103)-((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(0.45*SIN(2*PI()*(((Model_Data!A103)/Inputs!$C$49)+Inputs!$C$47*0.137))+0.35*COS(2*PI()*(((Inputs!$C$6)/Inputs!$C$50)+Inputs!$C$47*0.173))+0.20*SIN(2*PI()*(((Model_Data!A103)+(Inputs!$C$6))/(0.5*(Inputs!$C$49+Inputs!$C$50))+Inputs!$C$47*0.097)))+0.30*(2*((SIN(((Model_Data!A103)*12.9898+(Inputs!$C$6)*78.233+Inputs!$C$47*37.719))*43758.5453)-INT((SIN(((Model_Data!A103)*12.9898+(Inputs!$C$6)*78.233+Inputs!$C$47*37.719))*43758.5453)))-1))))/1000)^2))-(((Model_Data!B103)-((Inputs!$C$51*(115*EXP(-(((0)-25)^2)/(4.5^2))+70*EXP(-(((0)+38)^2)/(7^2))*(0.55+0.45*SIN(2*PI()*(Model_Data!A103)/45))+24*SIN(2*PI()*(0)/9+(Model_Data!A103)/18)*EXP(-(((0)+5)^2)/(22^2))+18*SIN(2*PI()*(Model_Data!A103)/70))+Inputs!$C$28*EXP(-(((Model_Data!A103)-Inputs!$C$29)^2)/(2*Inputs!$C$31^2))*EXP(-(((0)-Inputs!$C$30)^2)/(2*Inputs!$C$32^2))+-Inputs!$C$33*EXP(-(((((Model_Data!A103)-Inputs!$C$34)^2)+(((0)-Inputs!$C$35)^2))/(2*Inputs!$C$36^2)))+Inputs!$C$37*(0.55*SIN(2*PI()*(Model_Data!A103)/Inputs!$C$39)+0.35*COS(2*PI()*(0)/Inputs!$C$40)+0.2*SIN(2*PI()*((Model_Data!A103)+(0))/(0.5*(Inputs!$C$39+Inputs!$C$40))))+Inputs!$C$38*SIN(2*PI()*(Model_Data!A103)/Inputs!$C$39)*SIN(2*PI()*(0)/Inputs!$C$40)+-Inputs!$C$41*EXP(-(((0)-Inputs!$C$43)^2)/(2*Inputs!$C$44^2))*EXP(-(((Model_Data!A103)-Inputs!$C$42)^2)/(2*Inputs!$C$45^2))+Inputs!$C$48*(0.70*(0.45*SIN(2*PI()*(((Model_Data!A103)/Inputs!$C$49)+Inputs!$C$47*0.137))+0.35*COS(2*PI()*(((0)/Inputs!$C$50)+Inputs!$C$47*0.173))+0.20*SIN(2*PI()*(((Model_Data!A103)+(0))/(0.5*(Inputs!$C$49+Inputs!$C$50))+Inputs!$C$47*0.097)))+0.30*(2*((SIN(((Model_Data!A103)*12.9898+(0)*78.233+Inputs!$C$47*37.719))*43758.5453)-INT((SIN(((Model_Data!A103)*12.9898+(0)*78.233+Inputs!$C$47*37.719))*43758.5453)))-1))))/1000)))*1000/Inputs!$C$12)</x:f>
        <x:v>219.68095201573766</x:v>
      </x:c>
      <x:c r="D103" s="49"/>
      <x:c r="E103" s="48" t="n">
        <x:f>Model_Data!A103</x:f>
        <x:v>-9.5</x:v>
      </x:c>
      <x:c r="F103" s="48" t="n">
        <x:f>(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(0.45*SIN(2*PI()*(((Model_Data!A103)/Inputs!$C$49)+Inputs!$C$47*0.137))+0.35*COS(2*PI()*(((Inputs!$C$6)/Inputs!$C$50)+Inputs!$C$47*0.173))+0.20*SIN(2*PI()*(((Model_Data!A103)+(Inputs!$C$6))/(0.5*(Inputs!$C$49+Inputs!$C$50))+Inputs!$C$47*0.097)))+0.30*(2*((SIN(((Model_Data!A103)*12.9898+(Inputs!$C$6)*78.233+Inputs!$C$47*37.719))*43758.5453)-INT((SIN(((Model_Data!A103)*12.9898+(Inputs!$C$6)*78.233+Inputs!$C$47*37.719))*43758.5453)))-1)))</x:f>
        <x:v>470.5815738170562</x:v>
      </x:c>
      <x:c r="G103" s="48" t="n">
        <x:f>(Inputs!$C$51*(115*EXP(-(((0)-25)^2)/(4.5^2))+70*EXP(-(((0)+38)^2)/(7^2))*(0.55+0.45*SIN(2*PI()*(Model_Data!A103)/45))+24*SIN(2*PI()*(0)/9+(Model_Data!A103)/18)*EXP(-(((0)+5)^2)/(22^2))+18*SIN(2*PI()*(Model_Data!A103)/70))+Inputs!$C$28*EXP(-(((Model_Data!A103)-Inputs!$C$29)^2)/(2*Inputs!$C$31^2))*EXP(-(((0)-Inputs!$C$30)^2)/(2*Inputs!$C$32^2))+-Inputs!$C$33*EXP(-(((((Model_Data!A103)-Inputs!$C$34)^2)+(((0)-Inputs!$C$35)^2))/(2*Inputs!$C$36^2)))+Inputs!$C$37*(0.55*SIN(2*PI()*(Model_Data!A103)/Inputs!$C$39)+0.35*COS(2*PI()*(0)/Inputs!$C$40)+0.2*SIN(2*PI()*((Model_Data!A103)+(0))/(0.5*(Inputs!$C$39+Inputs!$C$40))))+Inputs!$C$38*SIN(2*PI()*(Model_Data!A103)/Inputs!$C$39)*SIN(2*PI()*(0)/Inputs!$C$40)+-Inputs!$C$41*EXP(-(((0)-Inputs!$C$43)^2)/(2*Inputs!$C$44^2))*EXP(-(((Model_Data!A103)-Inputs!$C$42)^2)/(2*Inputs!$C$45^2))+Inputs!$C$48*(0.70*(0.45*SIN(2*PI()*(((Model_Data!A103)/Inputs!$C$49)+Inputs!$C$47*0.137))+0.35*COS(2*PI()*(((0)/Inputs!$C$50)+Inputs!$C$47*0.173))+0.20*SIN(2*PI()*(((Model_Data!A103)+(0))/(0.5*(Inputs!$C$49+Inputs!$C$50))+Inputs!$C$47*0.097)))+0.30*(2*((SIN(((Model_Data!A103)*12.9898+(0)*78.233+Inputs!$C$47*37.719))*43758.5453)-INT((SIN(((Model_Data!A103)*12.9898+(0)*78.233+Inputs!$C$47*37.719))*43758.5453)))-1)))</x:f>
        <x:v>-32.277557975083496</x:v>
      </x:c>
      <x:c r="H103" s="49"/>
      <x:c r="I103" s="48" t="n">
        <x:f>Model_Data!A103</x:f>
        <x:v>-9.5</x:v>
      </x:c>
      <x:c r="J103" s="48" t="n">
        <x:f>((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(0.45*SIN(2*PI()*(((Model_Data!A103)/Inputs!$C$49)+Inputs!$C$47*0.137))+0.35*COS(2*PI()*(((Inputs!$C$6)/Inputs!$C$50)+Inputs!$C$47*0.173))+0.20*SIN(2*PI()*(((Model_Data!A103)+(Inputs!$C$6))/(0.5*(Inputs!$C$49+Inputs!$C$50))+Inputs!$C$47*0.097)))+0.30*(2*((SIN(((Model_Data!A103)*12.9898+(Inputs!$C$6)*78.233+Inputs!$C$47*37.719))*43758.5453)-INT((SIN(((Model_Data!A103)*12.9898+(Inputs!$C$6)*78.233+Inputs!$C$47*37.719))*43758.5453)))-1))))-((Inputs!$C$51*(115*EXP(-(((0)-25)^2)/(4.5^2))+70*EXP(-(((0)+38)^2)/(7^2))*(0.55+0.45*SIN(2*PI()*(Model_Data!A103)/45))+24*SIN(2*PI()*(0)/9+(Model_Data!A103)/18)*EXP(-(((0)+5)^2)/(22^2))+18*SIN(2*PI()*(Model_Data!A103)/70))+Inputs!$C$28*EXP(-(((Model_Data!A103)-Inputs!$C$29)^2)/(2*Inputs!$C$31^2))*EXP(-(((0)-Inputs!$C$30)^2)/(2*Inputs!$C$32^2))+-Inputs!$C$33*EXP(-(((((Model_Data!A103)-Inputs!$C$34)^2)+(((0)-Inputs!$C$35)^2))/(2*Inputs!$C$36^2)))+Inputs!$C$37*(0.55*SIN(2*PI()*(Model_Data!A103)/Inputs!$C$39)+0.35*COS(2*PI()*(0)/Inputs!$C$40)+0.2*SIN(2*PI()*((Model_Data!A103)+(0))/(0.5*(Inputs!$C$39+Inputs!$C$40))))+Inputs!$C$38*SIN(2*PI()*(Model_Data!A103)/Inputs!$C$39)*SIN(2*PI()*(0)/Inputs!$C$40)+-Inputs!$C$41*EXP(-(((0)-Inputs!$C$43)^2)/(2*Inputs!$C$44^2))*EXP(-(((Model_Data!A103)-Inputs!$C$42)^2)/(2*Inputs!$C$45^2))+Inputs!$C$48*(0.70*(0.45*SIN(2*PI()*(((Model_Data!A103)/Inputs!$C$49)+Inputs!$C$47*0.137))+0.35*COS(2*PI()*(((0)/Inputs!$C$50)+Inputs!$C$47*0.173))+0.20*SIN(2*PI()*(((Model_Data!A103)+(0))/(0.5*(Inputs!$C$49+Inputs!$C$50))+Inputs!$C$47*0.097)))+0.30*(2*((SIN(((Model_Data!A103)*12.9898+(0)*78.233+Inputs!$C$47*37.719))*43758.5453)-INT((SIN(((Model_Data!A103)*12.9898+(0)*78.233+Inputs!$C$47*37.719))*43758.5453)))-1))))</x:f>
        <x:v>502.8591317921397</x:v>
      </x:c>
      <x:c r="K103" s="48" t="n">
        <x:f>-((((SQRT((Model_Data!A103)^2+Inputs!$C$6^2+((Model_Data!B103)-((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(0.45*SIN(2*PI()*(((Model_Data!A103)/Inputs!$C$49)+Inputs!$C$47*0.137))+0.35*COS(2*PI()*(((Inputs!$C$6)/Inputs!$C$50)+Inputs!$C$47*0.173))+0.20*SIN(2*PI()*(((Model_Data!A103)+(Inputs!$C$6))/(0.5*(Inputs!$C$49+Inputs!$C$50))+Inputs!$C$47*0.097)))+0.30*(2*((SIN(((Model_Data!A103)*12.9898+(Inputs!$C$6)*78.233+Inputs!$C$47*37.719))*43758.5453)-INT((SIN(((Model_Data!A103)*12.9898+(Inputs!$C$6)*78.233+Inputs!$C$47*37.719))*43758.5453)))-1))))/1000)^2))-(((Model_Data!B103)-((Inputs!$C$51*(115*EXP(-(((0)-25)^2)/(4.5^2))+70*EXP(-(((0)+38)^2)/(7^2))*(0.55+0.45*SIN(2*PI()*(Model_Data!A103)/45))+24*SIN(2*PI()*(0)/9+(Model_Data!A103)/18)*EXP(-(((0)+5)^2)/(22^2))+18*SIN(2*PI()*(Model_Data!A103)/70))+Inputs!$C$28*EXP(-(((Model_Data!A103)-Inputs!$C$29)^2)/(2*Inputs!$C$31^2))*EXP(-(((0)-Inputs!$C$30)^2)/(2*Inputs!$C$32^2))+-Inputs!$C$33*EXP(-(((((Model_Data!A103)-Inputs!$C$34)^2)+(((0)-Inputs!$C$35)^2))/(2*Inputs!$C$36^2)))+Inputs!$C$37*(0.55*SIN(2*PI()*(Model_Data!A103)/Inputs!$C$39)+0.35*COS(2*PI()*(0)/Inputs!$C$40)+0.2*SIN(2*PI()*((Model_Data!A103)+(0))/(0.5*(Inputs!$C$39+Inputs!$C$40))))+Inputs!$C$38*SIN(2*PI()*(Model_Data!A103)/Inputs!$C$39)*SIN(2*PI()*(0)/Inputs!$C$40)+-Inputs!$C$41*EXP(-(((0)-Inputs!$C$43)^2)/(2*Inputs!$C$44^2))*EXP(-(((Model_Data!A103)-Inputs!$C$42)^2)/(2*Inputs!$C$45^2))+Inputs!$C$48*(0.70*(0.45*SIN(2*PI()*(((Model_Data!A103)/Inputs!$C$49)+Inputs!$C$47*0.137))+0.35*COS(2*PI()*(((0)/Inputs!$C$50)+Inputs!$C$47*0.173))+0.20*SIN(2*PI()*(((Model_Data!A103)+(0))/(0.5*(Inputs!$C$49+Inputs!$C$50))+Inputs!$C$47*0.097)))+0.30*(2*((SIN(((Model_Data!A103)*12.9898+(0)*78.233+Inputs!$C$47*37.719))*43758.5453)-INT((SIN(((Model_Data!A103)*12.9898+(0)*78.233+Inputs!$C$47*37.719))*43758.5453)))-1))))/1000)))*1000/Inputs!$C$12)-Model_Data!F103)</x:f>
        <x:v>281.91579540125684</x:v>
      </x:c>
      <x:c r="L103" s="49"/>
      <x:c r="M103" s="48" t="n">
        <x:f>Model_Data!A103</x:f>
        <x:v>-9.5</x:v>
      </x:c>
      <x:c r="N103" s="48" t="n">
        <x:f>Model_Data!P103</x:f>
        <x:v>71.60845620605997</x:v>
      </x:c>
      <x:c r="O103" s="48" t="n">
        <x:f>AC103</x:f>
        <x:v>86.18671156818891</x:v>
      </x:c>
      <x:c r="P103" s="48" t="n">
        <x:f>Model_Data!Q103</x:f>
        <x:v>10.752020451360357</x:v>
      </x:c>
      <x:c r="Q103" s="48" t="n">
        <x:f>AD103</x:f>
        <x:v>12.940947682911249</x:v>
      </x:c>
      <x:c r="R103" s="49"/>
      <x:c r="S103" s="48" t="n">
        <x:f>Model_Data!A103</x:f>
        <x:v>-9.5</x:v>
      </x:c>
      <x:c r="T103" s="48" t="n">
        <x:f>Model_Data!B103-Inputs!$C$5</x:f>
        <x:v>0.10027777777776237</x:v>
      </x:c>
      <x:c r="U103" s="49"/>
      <x:c r="V103" s="48" t="n">
        <x:f>Model_Data!A103</x:f>
        <x:v>-9.5</x:v>
      </x:c>
      <x:c r="W103" s="48" t="n">
        <x:f>(-((((SQRT((Model_Data!A103)^2+Inputs!$C$6^2+((Model_Data!B103)-((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(0.45*SIN(2*PI()*(((Model_Data!A103)/Inputs!$C$49)+Inputs!$C$47*0.137))+0.35*COS(2*PI()*(((Inputs!$C$6)/Inputs!$C$50)+Inputs!$C$47*0.173))+0.20*SIN(2*PI()*(((Model_Data!A103)+(Inputs!$C$6))/(0.5*(Inputs!$C$49+Inputs!$C$50))+Inputs!$C$47*0.097)))+0.30*(2*((SIN(((Model_Data!A103)*12.9898+(Inputs!$C$6)*78.233+Inputs!$C$47*37.719))*43758.5453)-INT((SIN(((Model_Data!A103)*12.9898+(Inputs!$C$6)*78.233+Inputs!$C$47*37.719))*43758.5453)))-1))))/1000)^2))-(((Model_Data!B103)-((Inputs!$C$51*(115*EXP(-(((0)-25)^2)/(4.5^2))+70*EXP(-(((0)+38)^2)/(7^2))*(0.55+0.45*SIN(2*PI()*(Model_Data!A103)/45))+24*SIN(2*PI()*(0)/9+(Model_Data!A103)/18)*EXP(-(((0)+5)^2)/(22^2))+18*SIN(2*PI()*(Model_Data!A103)/70))+Inputs!$C$28*EXP(-(((Model_Data!A103)-Inputs!$C$29)^2)/(2*Inputs!$C$31^2))*EXP(-(((0)-Inputs!$C$30)^2)/(2*Inputs!$C$32^2))+-Inputs!$C$33*EXP(-(((((Model_Data!A103)-Inputs!$C$34)^2)+(((0)-Inputs!$C$35)^2))/(2*Inputs!$C$36^2)))+Inputs!$C$37*(0.55*SIN(2*PI()*(Model_Data!A103)/Inputs!$C$39)+0.35*COS(2*PI()*(0)/Inputs!$C$40)+0.2*SIN(2*PI()*((Model_Data!A103)+(0))/(0.5*(Inputs!$C$39+Inputs!$C$40))))+Inputs!$C$38*SIN(2*PI()*(Model_Data!A103)/Inputs!$C$39)*SIN(2*PI()*(0)/Inputs!$C$40)+-Inputs!$C$41*EXP(-(((0)-Inputs!$C$43)^2)/(2*Inputs!$C$44^2))*EXP(-(((Model_Data!A103)-Inputs!$C$42)^2)/(2*Inputs!$C$45^2))+Inputs!$C$48*(0.70*(0.45*SIN(2*PI()*(((Model_Data!A103)/Inputs!$C$49)+Inputs!$C$47*0.137))+0.35*COS(2*PI()*(((0)/Inputs!$C$50)+Inputs!$C$47*0.173))+0.20*SIN(2*PI()*(((Model_Data!A103)+(0))/(0.5*(Inputs!$C$49+Inputs!$C$50))+Inputs!$C$47*0.097)))+0.30*(2*((SIN(((Model_Data!A103)*12.9898+(0)*78.233+Inputs!$C$47*37.719))*43758.5453)-INT((SIN(((Model_Data!A103)*12.9898+(0)*78.233+Inputs!$C$47*37.719))*43758.5453)))-1))))/1000)))*1000/Inputs!$C$12)-Model_Data!F103))-(-(((SQRT((Model_Data!A103)^2+Inputs!$C$6^2+(Inputs!$C$5-((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(0.45*SIN(2*PI()*(((Model_Data!A103)/Inputs!$C$49)+Inputs!$C$47*0.137))+0.35*COS(2*PI()*(((Inputs!$C$6)/Inputs!$C$50)+Inputs!$C$47*0.173))+0.20*SIN(2*PI()*(((Model_Data!A103)+(Inputs!$C$6))/(0.5*(Inputs!$C$49+Inputs!$C$50))+Inputs!$C$47*0.097)))+0.30*(2*((SIN(((Model_Data!A103)*12.9898+(Inputs!$C$6)*78.233+Inputs!$C$47*37.719))*43758.5453)-INT((SIN(((Model_Data!A103)*12.9898+(Inputs!$C$6)*78.233+Inputs!$C$47*37.719))*43758.5453)))-1))))/1000)^2)-(Inputs!$C$5-((Inputs!$C$51*(115*EXP(-(((0)-25)^2)/(4.5^2))+70*EXP(-(((0)+38)^2)/(7^2))*(0.55+0.45*SIN(2*PI()*(Model_Data!A103)/45))+24*SIN(2*PI()*(0)/9+(Model_Data!A103)/18)*EXP(-(((0)+5)^2)/(22^2))+18*SIN(2*PI()*(Model_Data!A103)/70))+Inputs!$C$28*EXP(-(((Model_Data!A103)-Inputs!$C$29)^2)/(2*Inputs!$C$31^2))*EXP(-(((0)-Inputs!$C$30)^2)/(2*Inputs!$C$32^2))+-Inputs!$C$33*EXP(-(((((Model_Data!A103)-Inputs!$C$34)^2)+(((0)-Inputs!$C$35)^2))/(2*Inputs!$C$36^2)))+Inputs!$C$37*(0.55*SIN(2*PI()*(Model_Data!A103)/Inputs!$C$39)+0.35*COS(2*PI()*(0)/Inputs!$C$40)+0.2*SIN(2*PI()*((Model_Data!A103)+(0))/(0.5*(Inputs!$C$39+Inputs!$C$40))))+Inputs!$C$38*SIN(2*PI()*(Model_Data!A103)/Inputs!$C$39)*SIN(2*PI()*(0)/Inputs!$C$40)+-Inputs!$C$41*EXP(-(((0)-Inputs!$C$43)^2)/(2*Inputs!$C$44^2))*EXP(-(((Model_Data!A103)-Inputs!$C$42)^2)/(2*Inputs!$C$45^2))+Inputs!$C$48*(0.70*(0.45*SIN(2*PI()*(((Model_Data!A103)/Inputs!$C$49)+Inputs!$C$47*0.137))+0.35*COS(2*PI()*(((0)/Inputs!$C$50)+Inputs!$C$47*0.173))+0.20*SIN(2*PI()*(((Model_Data!A103)+(0))/(0.5*(Inputs!$C$49+Inputs!$C$50))+Inputs!$C$47*0.097)))+0.30*(2*((SIN(((Model_Data!A103)*12.9898+(0)*78.233+Inputs!$C$47*37.719))*43758.5453)-INT((SIN(((Model_Data!A103)*12.9898+(0)*78.233+Inputs!$C$47*37.719))*43758.5453)))-1))))/1000))*1000/Inputs!$C$12)-((SQRT((Model_Data!A103)^2+Inputs!$C$6^2+Inputs!$C$5^2)-Inputs!$C$5)*1000/Inputs!$C$12)))</x:f>
        <x:v>0.0002947085372397851</x:v>
      </x:c>
      <x:c r="X103" s="48" t="n">
        <x:f>0</x:f>
        <x:v>0</x:v>
      </x:c>
      <x:c r="Y103" s="49"/>
      <x:c r="Z103" s="48" t="n">
        <x:f>Model_Data!A103</x:f>
        <x:v>-9.5</x:v>
      </x:c>
      <x:c r="AA103" s="48" t="n">
        <x:f>SQRT((Model_Data!A103)^2+Inputs!$C$6^2+((Model_Data!B103)-((Inputs!$C$51*(115*EXP(-(((Inputs!$C$6)-25)^2)/(4.5^2))+70*EXP(-(((Inputs!$C$6)+38)^2)/(7^2))*(0.55+0.45*SIN(2*PI()*(Model_Data!A103)/45))+24*SIN(2*PI()*(Inputs!$C$6)/9+(Model_Data!A103)/18)*EXP(-(((Inputs!$C$6)+5)^2)/(22^2))+18*SIN(2*PI()*(Model_Data!A103)/70))+Inputs!$C$28*EXP(-(((Model_Data!A103)-Inputs!$C$29)^2)/(2*Inputs!$C$31^2))*EXP(-(((Inputs!$C$6)-Inputs!$C$30)^2)/(2*Inputs!$C$32^2))+-Inputs!$C$33*EXP(-(((((Model_Data!A103)-Inputs!$C$34)^2)+(((Inputs!$C$6)-Inputs!$C$35)^2))/(2*Inputs!$C$36^2)))+Inputs!$C$37*(0.55*SIN(2*PI()*(Model_Data!A103)/Inputs!$C$39)+0.35*COS(2*PI()*(Inputs!$C$6)/Inputs!$C$40)+0.2*SIN(2*PI()*((Model_Data!A103)+(Inputs!$C$6))/(0.5*(Inputs!$C$39+Inputs!$C$40))))+Inputs!$C$38*SIN(2*PI()*(Model_Data!A103)/Inputs!$C$39)*SIN(2*PI()*(Inputs!$C$6)/Inputs!$C$40)+-Inputs!$C$41*EXP(-(((Inputs!$C$6)-Inputs!$C$43)^2)/(2*Inputs!$C$44^2))*EXP(-(((Model_Data!A103)-Inputs!$C$42)^2)/(2*Inputs!$C$45^2))+Inputs!$C$48*(0.70*(0.45*SIN(2*PI()*(((Model_Data!A103)/Inputs!$C$49)+Inputs!$C$47*0.137))+0.35*COS(2*PI()*(((Inputs!$C$6)/Inputs!$C$50)+Inputs!$C$47*0.173))+0.20*SIN(2*PI()*(((Model_Data!A103)+(Inputs!$C$6))/(0.5*(Inputs!$C$49+Inputs!$C$50))+Inputs!$C$47*0.097)))+0.30*(2*((SIN(((Model_Data!A103)*12.9898+(Inputs!$C$6)*78.233+Inputs!$C$47*37.719))*43758.5453)-INT((SIN(((Model_Data!A103)*12.9898+(Inputs!$C$6)*78.233+Inputs!$C$47*37.719))*43758.5453)))-1))))/1000)^2)</x:f>
        <x:v>400.52358743034085</x:v>
      </x:c>
      <x:c r="AB103" s="48" t="n">
        <x:f>1000*(AA104-AA102)/(Z104-Z102)*Inputs!$C$11</x:f>
        <x:v>-215.46677892047228</x:v>
      </x:c>
      <x:c r="AC103" s="48" t="n">
        <x:f>-2*AB103/Inputs!$C$13</x:f>
        <x:v>86.18671156818891</x:v>
      </x:c>
      <x:c r="AD103" s="48" t="n">
        <x:f>-2*AB103/Inputs!$C$14</x:f>
        <x:v>12.940947682911249</x:v>
      </x:c>
    </x:row>
    <x:row r="104">
      <x:c r="A104" s="48" t="n">
        <x:f>Model_Data!A104</x:f>
        <x:v>-9</x:v>
      </x:c>
      <x:c r="B104" s="48" t="n">
        <x:f>Model_Data!F104</x:f>
        <x:v>495.1296464423777</x:v>
      </x:c>
      <x:c r="C104" s="48" t="n">
        <x:f>(((SQRT((Model_Data!A104)^2+Inputs!$C$6^2+((Model_Data!B104)-((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(0.45*SIN(2*PI()*(((Model_Data!A104)/Inputs!$C$49)+Inputs!$C$47*0.137))+0.35*COS(2*PI()*(((Inputs!$C$6)/Inputs!$C$50)+Inputs!$C$47*0.173))+0.20*SIN(2*PI()*(((Model_Data!A104)+(Inputs!$C$6))/(0.5*(Inputs!$C$49+Inputs!$C$50))+Inputs!$C$47*0.097)))+0.30*(2*((SIN(((Model_Data!A104)*12.9898+(Inputs!$C$6)*78.233+Inputs!$C$47*37.719))*43758.5453)-INT((SIN(((Model_Data!A104)*12.9898+(Inputs!$C$6)*78.233+Inputs!$C$47*37.719))*43758.5453)))-1))))/1000)^2))-(((Model_Data!B104)-((Inputs!$C$51*(115*EXP(-(((0)-25)^2)/(4.5^2))+70*EXP(-(((0)+38)^2)/(7^2))*(0.55+0.45*SIN(2*PI()*(Model_Data!A104)/45))+24*SIN(2*PI()*(0)/9+(Model_Data!A104)/18)*EXP(-(((0)+5)^2)/(22^2))+18*SIN(2*PI()*(Model_Data!A104)/70))+Inputs!$C$28*EXP(-(((Model_Data!A104)-Inputs!$C$29)^2)/(2*Inputs!$C$31^2))*EXP(-(((0)-Inputs!$C$30)^2)/(2*Inputs!$C$32^2))+-Inputs!$C$33*EXP(-(((((Model_Data!A104)-Inputs!$C$34)^2)+(((0)-Inputs!$C$35)^2))/(2*Inputs!$C$36^2)))+Inputs!$C$37*(0.55*SIN(2*PI()*(Model_Data!A104)/Inputs!$C$39)+0.35*COS(2*PI()*(0)/Inputs!$C$40)+0.2*SIN(2*PI()*((Model_Data!A104)+(0))/(0.5*(Inputs!$C$39+Inputs!$C$40))))+Inputs!$C$38*SIN(2*PI()*(Model_Data!A104)/Inputs!$C$39)*SIN(2*PI()*(0)/Inputs!$C$40)+-Inputs!$C$41*EXP(-(((0)-Inputs!$C$43)^2)/(2*Inputs!$C$44^2))*EXP(-(((Model_Data!A104)-Inputs!$C$42)^2)/(2*Inputs!$C$45^2))+Inputs!$C$48*(0.70*(0.45*SIN(2*PI()*(((Model_Data!A104)/Inputs!$C$49)+Inputs!$C$47*0.137))+0.35*COS(2*PI()*(((0)/Inputs!$C$50)+Inputs!$C$47*0.173))+0.20*SIN(2*PI()*(((Model_Data!A104)+(0))/(0.5*(Inputs!$C$49+Inputs!$C$50))+Inputs!$C$47*0.097)))+0.30*(2*((SIN(((Model_Data!A104)*12.9898+(0)*78.233+Inputs!$C$47*37.719))*43758.5453)-INT((SIN(((Model_Data!A104)*12.9898+(0)*78.233+Inputs!$C$47*37.719))*43758.5453)))-1))))/1000)))*1000/Inputs!$C$12)</x:f>
        <x:v>199.07228676851793</x:v>
      </x:c>
      <x:c r="D104" s="49"/>
      <x:c r="E104" s="48" t="n">
        <x:f>Model_Data!A104</x:f>
        <x:v>-9</x:v>
      </x:c>
      <x:c r="F104" s="48" t="n">
        <x:f>(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(0.45*SIN(2*PI()*(((Model_Data!A104)/Inputs!$C$49)+Inputs!$C$47*0.137))+0.35*COS(2*PI()*(((Inputs!$C$6)/Inputs!$C$50)+Inputs!$C$47*0.173))+0.20*SIN(2*PI()*(((Model_Data!A104)+(Inputs!$C$6))/(0.5*(Inputs!$C$49+Inputs!$C$50))+Inputs!$C$47*0.097)))+0.30*(2*((SIN(((Model_Data!A104)*12.9898+(Inputs!$C$6)*78.233+Inputs!$C$47*37.719))*43758.5453)-INT((SIN(((Model_Data!A104)*12.9898+(Inputs!$C$6)*78.233+Inputs!$C$47*37.719))*43758.5453)))-1)))</x:f>
        <x:v>480.618285675218</x:v>
      </x:c>
      <x:c r="G104" s="48" t="n">
        <x:f>(Inputs!$C$51*(115*EXP(-(((0)-25)^2)/(4.5^2))+70*EXP(-(((0)+38)^2)/(7^2))*(0.55+0.45*SIN(2*PI()*(Model_Data!A104)/45))+24*SIN(2*PI()*(0)/9+(Model_Data!A104)/18)*EXP(-(((0)+5)^2)/(22^2))+18*SIN(2*PI()*(Model_Data!A104)/70))+Inputs!$C$28*EXP(-(((Model_Data!A104)-Inputs!$C$29)^2)/(2*Inputs!$C$31^2))*EXP(-(((0)-Inputs!$C$30)^2)/(2*Inputs!$C$32^2))+-Inputs!$C$33*EXP(-(((((Model_Data!A104)-Inputs!$C$34)^2)+(((0)-Inputs!$C$35)^2))/(2*Inputs!$C$36^2)))+Inputs!$C$37*(0.55*SIN(2*PI()*(Model_Data!A104)/Inputs!$C$39)+0.35*COS(2*PI()*(0)/Inputs!$C$40)+0.2*SIN(2*PI()*((Model_Data!A104)+(0))/(0.5*(Inputs!$C$39+Inputs!$C$40))))+Inputs!$C$38*SIN(2*PI()*(Model_Data!A104)/Inputs!$C$39)*SIN(2*PI()*(0)/Inputs!$C$40)+-Inputs!$C$41*EXP(-(((0)-Inputs!$C$43)^2)/(2*Inputs!$C$44^2))*EXP(-(((Model_Data!A104)-Inputs!$C$42)^2)/(2*Inputs!$C$45^2))+Inputs!$C$48*(0.70*(0.45*SIN(2*PI()*(((Model_Data!A104)/Inputs!$C$49)+Inputs!$C$47*0.137))+0.35*COS(2*PI()*(((0)/Inputs!$C$50)+Inputs!$C$47*0.173))+0.20*SIN(2*PI()*(((Model_Data!A104)+(0))/(0.5*(Inputs!$C$49+Inputs!$C$50))+Inputs!$C$47*0.097)))+0.30*(2*((SIN(((Model_Data!A104)*12.9898+(0)*78.233+Inputs!$C$47*37.719))*43758.5453)-INT((SIN(((Model_Data!A104)*12.9898+(0)*78.233+Inputs!$C$47*37.719))*43758.5453)))-1)))</x:f>
        <x:v>-47.4214748383975</x:v>
      </x:c>
      <x:c r="H104" s="49"/>
      <x:c r="I104" s="48" t="n">
        <x:f>Model_Data!A104</x:f>
        <x:v>-9</x:v>
      </x:c>
      <x:c r="J104" s="48" t="n">
        <x:f>((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(0.45*SIN(2*PI()*(((Model_Data!A104)/Inputs!$C$49)+Inputs!$C$47*0.137))+0.35*COS(2*PI()*(((Inputs!$C$6)/Inputs!$C$50)+Inputs!$C$47*0.173))+0.20*SIN(2*PI()*(((Model_Data!A104)+(Inputs!$C$6))/(0.5*(Inputs!$C$49+Inputs!$C$50))+Inputs!$C$47*0.097)))+0.30*(2*((SIN(((Model_Data!A104)*12.9898+(Inputs!$C$6)*78.233+Inputs!$C$47*37.719))*43758.5453)-INT((SIN(((Model_Data!A104)*12.9898+(Inputs!$C$6)*78.233+Inputs!$C$47*37.719))*43758.5453)))-1))))-((Inputs!$C$51*(115*EXP(-(((0)-25)^2)/(4.5^2))+70*EXP(-(((0)+38)^2)/(7^2))*(0.55+0.45*SIN(2*PI()*(Model_Data!A104)/45))+24*SIN(2*PI()*(0)/9+(Model_Data!A104)/18)*EXP(-(((0)+5)^2)/(22^2))+18*SIN(2*PI()*(Model_Data!A104)/70))+Inputs!$C$28*EXP(-(((Model_Data!A104)-Inputs!$C$29)^2)/(2*Inputs!$C$31^2))*EXP(-(((0)-Inputs!$C$30)^2)/(2*Inputs!$C$32^2))+-Inputs!$C$33*EXP(-(((((Model_Data!A104)-Inputs!$C$34)^2)+(((0)-Inputs!$C$35)^2))/(2*Inputs!$C$36^2)))+Inputs!$C$37*(0.55*SIN(2*PI()*(Model_Data!A104)/Inputs!$C$39)+0.35*COS(2*PI()*(0)/Inputs!$C$40)+0.2*SIN(2*PI()*((Model_Data!A104)+(0))/(0.5*(Inputs!$C$39+Inputs!$C$40))))+Inputs!$C$38*SIN(2*PI()*(Model_Data!A104)/Inputs!$C$39)*SIN(2*PI()*(0)/Inputs!$C$40)+-Inputs!$C$41*EXP(-(((0)-Inputs!$C$43)^2)/(2*Inputs!$C$44^2))*EXP(-(((Model_Data!A104)-Inputs!$C$42)^2)/(2*Inputs!$C$45^2))+Inputs!$C$48*(0.70*(0.45*SIN(2*PI()*(((Model_Data!A104)/Inputs!$C$49)+Inputs!$C$47*0.137))+0.35*COS(2*PI()*(((0)/Inputs!$C$50)+Inputs!$C$47*0.173))+0.20*SIN(2*PI()*(((Model_Data!A104)+(0))/(0.5*(Inputs!$C$49+Inputs!$C$50))+Inputs!$C$47*0.097)))+0.30*(2*((SIN(((Model_Data!A104)*12.9898+(0)*78.233+Inputs!$C$47*37.719))*43758.5453)-INT((SIN(((Model_Data!A104)*12.9898+(0)*78.233+Inputs!$C$47*37.719))*43758.5453)))-1))))</x:f>
        <x:v>528.0397605136154</x:v>
      </x:c>
      <x:c r="K104" s="48" t="n">
        <x:f>-((((SQRT((Model_Data!A104)^2+Inputs!$C$6^2+((Model_Data!B104)-((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(0.45*SIN(2*PI()*(((Model_Data!A104)/Inputs!$C$49)+Inputs!$C$47*0.137))+0.35*COS(2*PI()*(((Inputs!$C$6)/Inputs!$C$50)+Inputs!$C$47*0.173))+0.20*SIN(2*PI()*(((Model_Data!A104)+(Inputs!$C$6))/(0.5*(Inputs!$C$49+Inputs!$C$50))+Inputs!$C$47*0.097)))+0.30*(2*((SIN(((Model_Data!A104)*12.9898+(Inputs!$C$6)*78.233+Inputs!$C$47*37.719))*43758.5453)-INT((SIN(((Model_Data!A104)*12.9898+(Inputs!$C$6)*78.233+Inputs!$C$47*37.719))*43758.5453)))-1))))/1000)^2))-(((Model_Data!B104)-((Inputs!$C$51*(115*EXP(-(((0)-25)^2)/(4.5^2))+70*EXP(-(((0)+38)^2)/(7^2))*(0.55+0.45*SIN(2*PI()*(Model_Data!A104)/45))+24*SIN(2*PI()*(0)/9+(Model_Data!A104)/18)*EXP(-(((0)+5)^2)/(22^2))+18*SIN(2*PI()*(Model_Data!A104)/70))+Inputs!$C$28*EXP(-(((Model_Data!A104)-Inputs!$C$29)^2)/(2*Inputs!$C$31^2))*EXP(-(((0)-Inputs!$C$30)^2)/(2*Inputs!$C$32^2))+-Inputs!$C$33*EXP(-(((((Model_Data!A104)-Inputs!$C$34)^2)+(((0)-Inputs!$C$35)^2))/(2*Inputs!$C$36^2)))+Inputs!$C$37*(0.55*SIN(2*PI()*(Model_Data!A104)/Inputs!$C$39)+0.35*COS(2*PI()*(0)/Inputs!$C$40)+0.2*SIN(2*PI()*((Model_Data!A104)+(0))/(0.5*(Inputs!$C$39+Inputs!$C$40))))+Inputs!$C$38*SIN(2*PI()*(Model_Data!A104)/Inputs!$C$39)*SIN(2*PI()*(0)/Inputs!$C$40)+-Inputs!$C$41*EXP(-(((0)-Inputs!$C$43)^2)/(2*Inputs!$C$44^2))*EXP(-(((Model_Data!A104)-Inputs!$C$42)^2)/(2*Inputs!$C$45^2))+Inputs!$C$48*(0.70*(0.45*SIN(2*PI()*(((Model_Data!A104)/Inputs!$C$49)+Inputs!$C$47*0.137))+0.35*COS(2*PI()*(((0)/Inputs!$C$50)+Inputs!$C$47*0.173))+0.20*SIN(2*PI()*(((Model_Data!A104)+(0))/(0.5*(Inputs!$C$49+Inputs!$C$50))+Inputs!$C$47*0.097)))+0.30*(2*((SIN(((Model_Data!A104)*12.9898+(0)*78.233+Inputs!$C$47*37.719))*43758.5453)-INT((SIN(((Model_Data!A104)*12.9898+(0)*78.233+Inputs!$C$47*37.719))*43758.5453)))-1))))/1000)))*1000/Inputs!$C$12)-Model_Data!F104)</x:f>
        <x:v>296.05735967385976</x:v>
      </x:c>
      <x:c r="L104" s="49"/>
      <x:c r="M104" s="48" t="n">
        <x:f>Model_Data!A104</x:f>
        <x:v>-9</x:v>
      </x:c>
      <x:c r="N104" s="48" t="n">
        <x:f>Model_Data!P104</x:f>
        <x:v>67.84245633650673</x:v>
      </x:c>
      <x:c r="O104" s="48" t="n">
        <x:f>AC104</x:f>
        <x:v>51.98145651929735</x:v>
      </x:c>
      <x:c r="P104" s="48" t="n">
        <x:f>Model_Data!Q104</x:f>
        <x:v>10.186555005481491</x:v>
      </x:c>
      <x:c r="Q104" s="48" t="n">
        <x:f>AD104</x:f>
        <x:v>7.805023501396</x:v>
      </x:c>
      <x:c r="R104" s="49"/>
      <x:c r="S104" s="48" t="n">
        <x:f>Model_Data!A104</x:f>
        <x:v>-9</x:v>
      </x:c>
      <x:c r="T104" s="48" t="n">
        <x:f>Model_Data!B104-Inputs!$C$5</x:f>
        <x:v>0.08999999999997499</x:v>
      </x:c>
      <x:c r="U104" s="49"/>
      <x:c r="V104" s="48" t="n">
        <x:f>Model_Data!A104</x:f>
        <x:v>-9</x:v>
      </x:c>
      <x:c r="W104" s="48" t="n">
        <x:f>(-((((SQRT((Model_Data!A104)^2+Inputs!$C$6^2+((Model_Data!B104)-((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(0.45*SIN(2*PI()*(((Model_Data!A104)/Inputs!$C$49)+Inputs!$C$47*0.137))+0.35*COS(2*PI()*(((Inputs!$C$6)/Inputs!$C$50)+Inputs!$C$47*0.173))+0.20*SIN(2*PI()*(((Model_Data!A104)+(Inputs!$C$6))/(0.5*(Inputs!$C$49+Inputs!$C$50))+Inputs!$C$47*0.097)))+0.30*(2*((SIN(((Model_Data!A104)*12.9898+(Inputs!$C$6)*78.233+Inputs!$C$47*37.719))*43758.5453)-INT((SIN(((Model_Data!A104)*12.9898+(Inputs!$C$6)*78.233+Inputs!$C$47*37.719))*43758.5453)))-1))))/1000)^2))-(((Model_Data!B104)-((Inputs!$C$51*(115*EXP(-(((0)-25)^2)/(4.5^2))+70*EXP(-(((0)+38)^2)/(7^2))*(0.55+0.45*SIN(2*PI()*(Model_Data!A104)/45))+24*SIN(2*PI()*(0)/9+(Model_Data!A104)/18)*EXP(-(((0)+5)^2)/(22^2))+18*SIN(2*PI()*(Model_Data!A104)/70))+Inputs!$C$28*EXP(-(((Model_Data!A104)-Inputs!$C$29)^2)/(2*Inputs!$C$31^2))*EXP(-(((0)-Inputs!$C$30)^2)/(2*Inputs!$C$32^2))+-Inputs!$C$33*EXP(-(((((Model_Data!A104)-Inputs!$C$34)^2)+(((0)-Inputs!$C$35)^2))/(2*Inputs!$C$36^2)))+Inputs!$C$37*(0.55*SIN(2*PI()*(Model_Data!A104)/Inputs!$C$39)+0.35*COS(2*PI()*(0)/Inputs!$C$40)+0.2*SIN(2*PI()*((Model_Data!A104)+(0))/(0.5*(Inputs!$C$39+Inputs!$C$40))))+Inputs!$C$38*SIN(2*PI()*(Model_Data!A104)/Inputs!$C$39)*SIN(2*PI()*(0)/Inputs!$C$40)+-Inputs!$C$41*EXP(-(((0)-Inputs!$C$43)^2)/(2*Inputs!$C$44^2))*EXP(-(((Model_Data!A104)-Inputs!$C$42)^2)/(2*Inputs!$C$45^2))+Inputs!$C$48*(0.70*(0.45*SIN(2*PI()*(((Model_Data!A104)/Inputs!$C$49)+Inputs!$C$47*0.137))+0.35*COS(2*PI()*(((0)/Inputs!$C$50)+Inputs!$C$47*0.173))+0.20*SIN(2*PI()*(((Model_Data!A104)+(0))/(0.5*(Inputs!$C$49+Inputs!$C$50))+Inputs!$C$47*0.097)))+0.30*(2*((SIN(((Model_Data!A104)*12.9898+(0)*78.233+Inputs!$C$47*37.719))*43758.5453)-INT((SIN(((Model_Data!A104)*12.9898+(0)*78.233+Inputs!$C$47*37.719))*43758.5453)))-1))))/1000)))*1000/Inputs!$C$12)-Model_Data!F104))-(-(((SQRT((Model_Data!A104)^2+Inputs!$C$6^2+(Inputs!$C$5-((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(0.45*SIN(2*PI()*(((Model_Data!A104)/Inputs!$C$49)+Inputs!$C$47*0.137))+0.35*COS(2*PI()*(((Inputs!$C$6)/Inputs!$C$50)+Inputs!$C$47*0.173))+0.20*SIN(2*PI()*(((Model_Data!A104)+(Inputs!$C$6))/(0.5*(Inputs!$C$49+Inputs!$C$50))+Inputs!$C$47*0.097)))+0.30*(2*((SIN(((Model_Data!A104)*12.9898+(Inputs!$C$6)*78.233+Inputs!$C$47*37.719))*43758.5453)-INT((SIN(((Model_Data!A104)*12.9898+(Inputs!$C$6)*78.233+Inputs!$C$47*37.719))*43758.5453)))-1))))/1000)^2)-(Inputs!$C$5-((Inputs!$C$51*(115*EXP(-(((0)-25)^2)/(4.5^2))+70*EXP(-(((0)+38)^2)/(7^2))*(0.55+0.45*SIN(2*PI()*(Model_Data!A104)/45))+24*SIN(2*PI()*(0)/9+(Model_Data!A104)/18)*EXP(-(((0)+5)^2)/(22^2))+18*SIN(2*PI()*(Model_Data!A104)/70))+Inputs!$C$28*EXP(-(((Model_Data!A104)-Inputs!$C$29)^2)/(2*Inputs!$C$31^2))*EXP(-(((0)-Inputs!$C$30)^2)/(2*Inputs!$C$32^2))+-Inputs!$C$33*EXP(-(((((Model_Data!A104)-Inputs!$C$34)^2)+(((0)-Inputs!$C$35)^2))/(2*Inputs!$C$36^2)))+Inputs!$C$37*(0.55*SIN(2*PI()*(Model_Data!A104)/Inputs!$C$39)+0.35*COS(2*PI()*(0)/Inputs!$C$40)+0.2*SIN(2*PI()*((Model_Data!A104)+(0))/(0.5*(Inputs!$C$39+Inputs!$C$40))))+Inputs!$C$38*SIN(2*PI()*(Model_Data!A104)/Inputs!$C$39)*SIN(2*PI()*(0)/Inputs!$C$40)+-Inputs!$C$41*EXP(-(((0)-Inputs!$C$43)^2)/(2*Inputs!$C$44^2))*EXP(-(((Model_Data!A104)-Inputs!$C$42)^2)/(2*Inputs!$C$45^2))+Inputs!$C$48*(0.70*(0.45*SIN(2*PI()*(((Model_Data!A104)/Inputs!$C$49)+Inputs!$C$47*0.137))+0.35*COS(2*PI()*(((0)/Inputs!$C$50)+Inputs!$C$47*0.173))+0.20*SIN(2*PI()*(((Model_Data!A104)+(0))/(0.5*(Inputs!$C$49+Inputs!$C$50))+Inputs!$C$47*0.097)))+0.30*(2*((SIN(((Model_Data!A104)*12.9898+(0)*78.233+Inputs!$C$47*37.719))*43758.5453)-INT((SIN(((Model_Data!A104)*12.9898+(0)*78.233+Inputs!$C$47*37.719))*43758.5453)))-1))))/1000))*1000/Inputs!$C$12)-((SQRT((Model_Data!A104)^2+Inputs!$C$6^2+Inputs!$C$5^2)-Inputs!$C$5)*1000/Inputs!$C$12)))</x:f>
        <x:v>0.00026669396083889296</x:v>
      </x:c>
      <x:c r="X104" s="48" t="n">
        <x:f>0</x:f>
        <x:v>0</x:v>
      </x:c>
      <x:c r="Y104" s="49"/>
      <x:c r="Z104" s="48" t="n">
        <x:f>Model_Data!A104</x:f>
        <x:v>-9</x:v>
      </x:c>
      <x:c r="AA104" s="48" t="n">
        <x:f>SQRT((Model_Data!A104)^2+Inputs!$C$6^2+((Model_Data!B104)-((Inputs!$C$51*(115*EXP(-(((Inputs!$C$6)-25)^2)/(4.5^2))+70*EXP(-(((Inputs!$C$6)+38)^2)/(7^2))*(0.55+0.45*SIN(2*PI()*(Model_Data!A104)/45))+24*SIN(2*PI()*(Inputs!$C$6)/9+(Model_Data!A104)/18)*EXP(-(((Inputs!$C$6)+5)^2)/(22^2))+18*SIN(2*PI()*(Model_Data!A104)/70))+Inputs!$C$28*EXP(-(((Model_Data!A104)-Inputs!$C$29)^2)/(2*Inputs!$C$31^2))*EXP(-(((Inputs!$C$6)-Inputs!$C$30)^2)/(2*Inputs!$C$32^2))+-Inputs!$C$33*EXP(-(((((Model_Data!A104)-Inputs!$C$34)^2)+(((Inputs!$C$6)-Inputs!$C$35)^2))/(2*Inputs!$C$36^2)))+Inputs!$C$37*(0.55*SIN(2*PI()*(Model_Data!A104)/Inputs!$C$39)+0.35*COS(2*PI()*(Inputs!$C$6)/Inputs!$C$40)+0.2*SIN(2*PI()*((Model_Data!A104)+(Inputs!$C$6))/(0.5*(Inputs!$C$39+Inputs!$C$40))))+Inputs!$C$38*SIN(2*PI()*(Model_Data!A104)/Inputs!$C$39)*SIN(2*PI()*(Inputs!$C$6)/Inputs!$C$40)+-Inputs!$C$41*EXP(-(((Inputs!$C$6)-Inputs!$C$43)^2)/(2*Inputs!$C$44^2))*EXP(-(((Model_Data!A104)-Inputs!$C$42)^2)/(2*Inputs!$C$45^2))+Inputs!$C$48*(0.70*(0.45*SIN(2*PI()*(((Model_Data!A104)/Inputs!$C$49)+Inputs!$C$47*0.137))+0.35*COS(2*PI()*(((Inputs!$C$6)/Inputs!$C$50)+Inputs!$C$47*0.173))+0.20*SIN(2*PI()*(((Model_Data!A104)+(Inputs!$C$6))/(0.5*(Inputs!$C$49+Inputs!$C$50))+Inputs!$C$47*0.097)))+0.30*(2*((SIN(((Model_Data!A104)*12.9898+(Inputs!$C$6)*78.233+Inputs!$C$47*37.719))*43758.5453)-INT((SIN(((Model_Data!A104)*12.9898+(Inputs!$C$6)*78.233+Inputs!$C$47*37.719))*43758.5453)))-1))))/1000)^2)</x:f>
        <x:v>400.49177014528635</x:v>
      </x:c>
      <x:c r="AB104" s="48" t="n">
        <x:f>1000*(AA105-AA103)/(Z105-Z103)*Inputs!$C$11</x:f>
        <x:v>-129.95364129824338</x:v>
      </x:c>
      <x:c r="AC104" s="48" t="n">
        <x:f>-2*AB104/Inputs!$C$13</x:f>
        <x:v>51.98145651929735</x:v>
      </x:c>
      <x:c r="AD104" s="48" t="n">
        <x:f>-2*AB104/Inputs!$C$14</x:f>
        <x:v>7.805023501396</x:v>
      </x:c>
    </x:row>
    <x:row r="105">
      <x:c r="A105" s="48" t="n">
        <x:f>Model_Data!A105</x:f>
        <x:v>-8.5</x:v>
      </x:c>
      <x:c r="B105" s="48" t="n">
        <x:f>Model_Data!F105</x:f>
        <x:v>489.01164245280415</x:v>
      </x:c>
      <x:c r="C105" s="48" t="n">
        <x:f>(((SQRT((Model_Data!A105)^2+Inputs!$C$6^2+((Model_Data!B105)-((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(0.45*SIN(2*PI()*(((Model_Data!A105)/Inputs!$C$49)+Inputs!$C$47*0.137))+0.35*COS(2*PI()*(((Inputs!$C$6)/Inputs!$C$50)+Inputs!$C$47*0.173))+0.20*SIN(2*PI()*(((Model_Data!A105)+(Inputs!$C$6))/(0.5*(Inputs!$C$49+Inputs!$C$50))+Inputs!$C$47*0.097)))+0.30*(2*((SIN(((Model_Data!A105)*12.9898+(Inputs!$C$6)*78.233+Inputs!$C$47*37.719))*43758.5453)-INT((SIN(((Model_Data!A105)*12.9898+(Inputs!$C$6)*78.233+Inputs!$C$47*37.719))*43758.5453)))-1))))/1000)^2))-(((Model_Data!B105)-((Inputs!$C$51*(115*EXP(-(((0)-25)^2)/(4.5^2))+70*EXP(-(((0)+38)^2)/(7^2))*(0.55+0.45*SIN(2*PI()*(Model_Data!A105)/45))+24*SIN(2*PI()*(0)/9+(Model_Data!A105)/18)*EXP(-(((0)+5)^2)/(22^2))+18*SIN(2*PI()*(Model_Data!A105)/70))+Inputs!$C$28*EXP(-(((Model_Data!A105)-Inputs!$C$29)^2)/(2*Inputs!$C$31^2))*EXP(-(((0)-Inputs!$C$30)^2)/(2*Inputs!$C$32^2))+-Inputs!$C$33*EXP(-(((((Model_Data!A105)-Inputs!$C$34)^2)+(((0)-Inputs!$C$35)^2))/(2*Inputs!$C$36^2)))+Inputs!$C$37*(0.55*SIN(2*PI()*(Model_Data!A105)/Inputs!$C$39)+0.35*COS(2*PI()*(0)/Inputs!$C$40)+0.2*SIN(2*PI()*((Model_Data!A105)+(0))/(0.5*(Inputs!$C$39+Inputs!$C$40))))+Inputs!$C$38*SIN(2*PI()*(Model_Data!A105)/Inputs!$C$39)*SIN(2*PI()*(0)/Inputs!$C$40)+-Inputs!$C$41*EXP(-(((0)-Inputs!$C$43)^2)/(2*Inputs!$C$44^2))*EXP(-(((Model_Data!A105)-Inputs!$C$42)^2)/(2*Inputs!$C$45^2))+Inputs!$C$48*(0.70*(0.45*SIN(2*PI()*(((Model_Data!A105)/Inputs!$C$49)+Inputs!$C$47*0.137))+0.35*COS(2*PI()*(((0)/Inputs!$C$50)+Inputs!$C$47*0.173))+0.20*SIN(2*PI()*(((Model_Data!A105)+(0))/(0.5*(Inputs!$C$49+Inputs!$C$50))+Inputs!$C$47*0.097)))+0.30*(2*((SIN(((Model_Data!A105)*12.9898+(0)*78.233+Inputs!$C$47*37.719))*43758.5453)-INT((SIN(((Model_Data!A105)*12.9898+(0)*78.233+Inputs!$C$47*37.719))*43758.5453)))-1))))/1000)))*1000/Inputs!$C$12)</x:f>
        <x:v>196.05220188026033</x:v>
      </x:c>
      <x:c r="D105" s="49"/>
      <x:c r="E105" s="48" t="n">
        <x:f>Model_Data!A105</x:f>
        <x:v>-8.5</x:v>
      </x:c>
      <x:c r="F105" s="48" t="n">
        <x:f>(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(0.45*SIN(2*PI()*(((Model_Data!A105)/Inputs!$C$49)+Inputs!$C$47*0.137))+0.35*COS(2*PI()*(((Inputs!$C$6)/Inputs!$C$50)+Inputs!$C$47*0.173))+0.20*SIN(2*PI()*(((Model_Data!A105)+(Inputs!$C$6))/(0.5*(Inputs!$C$49+Inputs!$C$50))+Inputs!$C$47*0.097)))+0.30*(2*((SIN(((Model_Data!A105)*12.9898+(Inputs!$C$6)*78.233+Inputs!$C$47*37.719))*43758.5453)-INT((SIN(((Model_Data!A105)*12.9898+(Inputs!$C$6)*78.233+Inputs!$C$47*37.719))*43758.5453)))-1)))</x:f>
        <x:v>460.6206107904381</x:v>
      </x:c>
      <x:c r="G105" s="48" t="n">
        <x:f>(Inputs!$C$51*(115*EXP(-(((0)-25)^2)/(4.5^2))+70*EXP(-(((0)+38)^2)/(7^2))*(0.55+0.45*SIN(2*PI()*(Model_Data!A105)/45))+24*SIN(2*PI()*(0)/9+(Model_Data!A105)/18)*EXP(-(((0)+5)^2)/(22^2))+18*SIN(2*PI()*(Model_Data!A105)/70))+Inputs!$C$28*EXP(-(((Model_Data!A105)-Inputs!$C$29)^2)/(2*Inputs!$C$31^2))*EXP(-(((0)-Inputs!$C$30)^2)/(2*Inputs!$C$32^2))+-Inputs!$C$33*EXP(-(((((Model_Data!A105)-Inputs!$C$34)^2)+(((0)-Inputs!$C$35)^2))/(2*Inputs!$C$36^2)))+Inputs!$C$37*(0.55*SIN(2*PI()*(Model_Data!A105)/Inputs!$C$39)+0.35*COS(2*PI()*(0)/Inputs!$C$40)+0.2*SIN(2*PI()*((Model_Data!A105)+(0))/(0.5*(Inputs!$C$39+Inputs!$C$40))))+Inputs!$C$38*SIN(2*PI()*(Model_Data!A105)/Inputs!$C$39)*SIN(2*PI()*(0)/Inputs!$C$40)+-Inputs!$C$41*EXP(-(((0)-Inputs!$C$43)^2)/(2*Inputs!$C$44^2))*EXP(-(((Model_Data!A105)-Inputs!$C$42)^2)/(2*Inputs!$C$45^2))+Inputs!$C$48*(0.70*(0.45*SIN(2*PI()*(((Model_Data!A105)/Inputs!$C$49)+Inputs!$C$47*0.137))+0.35*COS(2*PI()*(((0)/Inputs!$C$50)+Inputs!$C$47*0.173))+0.20*SIN(2*PI()*(((Model_Data!A105)+(0))/(0.5*(Inputs!$C$49+Inputs!$C$50))+Inputs!$C$47*0.097)))+0.30*(2*((SIN(((Model_Data!A105)*12.9898+(0)*78.233+Inputs!$C$47*37.719))*43758.5453)-INT((SIN(((Model_Data!A105)*12.9898+(0)*78.233+Inputs!$C$47*37.719))*43758.5453)))-1)))</x:f>
        <x:v>-61.84832289166857</x:v>
      </x:c>
      <x:c r="H105" s="49"/>
      <x:c r="I105" s="48" t="n">
        <x:f>Model_Data!A105</x:f>
        <x:v>-8.5</x:v>
      </x:c>
      <x:c r="J105" s="48" t="n">
        <x:f>((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(0.45*SIN(2*PI()*(((Model_Data!A105)/Inputs!$C$49)+Inputs!$C$47*0.137))+0.35*COS(2*PI()*(((Inputs!$C$6)/Inputs!$C$50)+Inputs!$C$47*0.173))+0.20*SIN(2*PI()*(((Model_Data!A105)+(Inputs!$C$6))/(0.5*(Inputs!$C$49+Inputs!$C$50))+Inputs!$C$47*0.097)))+0.30*(2*((SIN(((Model_Data!A105)*12.9898+(Inputs!$C$6)*78.233+Inputs!$C$47*37.719))*43758.5453)-INT((SIN(((Model_Data!A105)*12.9898+(Inputs!$C$6)*78.233+Inputs!$C$47*37.719))*43758.5453)))-1))))-((Inputs!$C$51*(115*EXP(-(((0)-25)^2)/(4.5^2))+70*EXP(-(((0)+38)^2)/(7^2))*(0.55+0.45*SIN(2*PI()*(Model_Data!A105)/45))+24*SIN(2*PI()*(0)/9+(Model_Data!A105)/18)*EXP(-(((0)+5)^2)/(22^2))+18*SIN(2*PI()*(Model_Data!A105)/70))+Inputs!$C$28*EXP(-(((Model_Data!A105)-Inputs!$C$29)^2)/(2*Inputs!$C$31^2))*EXP(-(((0)-Inputs!$C$30)^2)/(2*Inputs!$C$32^2))+-Inputs!$C$33*EXP(-(((((Model_Data!A105)-Inputs!$C$34)^2)+(((0)-Inputs!$C$35)^2))/(2*Inputs!$C$36^2)))+Inputs!$C$37*(0.55*SIN(2*PI()*(Model_Data!A105)/Inputs!$C$39)+0.35*COS(2*PI()*(0)/Inputs!$C$40)+0.2*SIN(2*PI()*((Model_Data!A105)+(0))/(0.5*(Inputs!$C$39+Inputs!$C$40))))+Inputs!$C$38*SIN(2*PI()*(Model_Data!A105)/Inputs!$C$39)*SIN(2*PI()*(0)/Inputs!$C$40)+-Inputs!$C$41*EXP(-(((0)-Inputs!$C$43)^2)/(2*Inputs!$C$44^2))*EXP(-(((Model_Data!A105)-Inputs!$C$42)^2)/(2*Inputs!$C$45^2))+Inputs!$C$48*(0.70*(0.45*SIN(2*PI()*(((Model_Data!A105)/Inputs!$C$49)+Inputs!$C$47*0.137))+0.35*COS(2*PI()*(((0)/Inputs!$C$50)+Inputs!$C$47*0.173))+0.20*SIN(2*PI()*(((Model_Data!A105)+(0))/(0.5*(Inputs!$C$49+Inputs!$C$50))+Inputs!$C$47*0.097)))+0.30*(2*((SIN(((Model_Data!A105)*12.9898+(0)*78.233+Inputs!$C$47*37.719))*43758.5453)-INT((SIN(((Model_Data!A105)*12.9898+(0)*78.233+Inputs!$C$47*37.719))*43758.5453)))-1))))</x:f>
        <x:v>522.4689336821067</x:v>
      </x:c>
      <x:c r="K105" s="48" t="n">
        <x:f>-((((SQRT((Model_Data!A105)^2+Inputs!$C$6^2+((Model_Data!B105)-((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(0.45*SIN(2*PI()*(((Model_Data!A105)/Inputs!$C$49)+Inputs!$C$47*0.137))+0.35*COS(2*PI()*(((Inputs!$C$6)/Inputs!$C$50)+Inputs!$C$47*0.173))+0.20*SIN(2*PI()*(((Model_Data!A105)+(Inputs!$C$6))/(0.5*(Inputs!$C$49+Inputs!$C$50))+Inputs!$C$47*0.097)))+0.30*(2*((SIN(((Model_Data!A105)*12.9898+(Inputs!$C$6)*78.233+Inputs!$C$47*37.719))*43758.5453)-INT((SIN(((Model_Data!A105)*12.9898+(Inputs!$C$6)*78.233+Inputs!$C$47*37.719))*43758.5453)))-1))))/1000)^2))-(((Model_Data!B105)-((Inputs!$C$51*(115*EXP(-(((0)-25)^2)/(4.5^2))+70*EXP(-(((0)+38)^2)/(7^2))*(0.55+0.45*SIN(2*PI()*(Model_Data!A105)/45))+24*SIN(2*PI()*(0)/9+(Model_Data!A105)/18)*EXP(-(((0)+5)^2)/(22^2))+18*SIN(2*PI()*(Model_Data!A105)/70))+Inputs!$C$28*EXP(-(((Model_Data!A105)-Inputs!$C$29)^2)/(2*Inputs!$C$31^2))*EXP(-(((0)-Inputs!$C$30)^2)/(2*Inputs!$C$32^2))+-Inputs!$C$33*EXP(-(((((Model_Data!A105)-Inputs!$C$34)^2)+(((0)-Inputs!$C$35)^2))/(2*Inputs!$C$36^2)))+Inputs!$C$37*(0.55*SIN(2*PI()*(Model_Data!A105)/Inputs!$C$39)+0.35*COS(2*PI()*(0)/Inputs!$C$40)+0.2*SIN(2*PI()*((Model_Data!A105)+(0))/(0.5*(Inputs!$C$39+Inputs!$C$40))))+Inputs!$C$38*SIN(2*PI()*(Model_Data!A105)/Inputs!$C$39)*SIN(2*PI()*(0)/Inputs!$C$40)+-Inputs!$C$41*EXP(-(((0)-Inputs!$C$43)^2)/(2*Inputs!$C$44^2))*EXP(-(((Model_Data!A105)-Inputs!$C$42)^2)/(2*Inputs!$C$45^2))+Inputs!$C$48*(0.70*(0.45*SIN(2*PI()*(((Model_Data!A105)/Inputs!$C$49)+Inputs!$C$47*0.137))+0.35*COS(2*PI()*(((0)/Inputs!$C$50)+Inputs!$C$47*0.173))+0.20*SIN(2*PI()*(((Model_Data!A105)+(0))/(0.5*(Inputs!$C$49+Inputs!$C$50))+Inputs!$C$47*0.097)))+0.30*(2*((SIN(((Model_Data!A105)*12.9898+(0)*78.233+Inputs!$C$47*37.719))*43758.5453)-INT((SIN(((Model_Data!A105)*12.9898+(0)*78.233+Inputs!$C$47*37.719))*43758.5453)))-1))))/1000)))*1000/Inputs!$C$12)-Model_Data!F105)</x:f>
        <x:v>292.9594405725438</x:v>
      </x:c>
      <x:c r="L105" s="49"/>
      <x:c r="M105" s="48" t="n">
        <x:f>Model_Data!A105</x:f>
        <x:v>-8.5</x:v>
      </x:c>
      <x:c r="N105" s="48" t="n">
        <x:f>Model_Data!P105</x:f>
        <x:v>64.07599207642345</x:v>
      </x:c>
      <x:c r="O105" s="48" t="n">
        <x:f>AC105</x:f>
        <x:v>56.20963989631491</x:v>
      </x:c>
      <x:c r="P105" s="48" t="n">
        <x:f>Model_Data!Q105</x:f>
        <x:v>9.621019831294813</x:v>
      </x:c>
      <x:c r="Q105" s="48" t="n">
        <x:f>AD105</x:f>
        <x:v>8.439885870317555</x:v>
      </x:c>
      <x:c r="R105" s="49"/>
      <x:c r="S105" s="48" t="n">
        <x:f>Model_Data!A105</x:f>
        <x:v>-8.5</x:v>
      </x:c>
      <x:c r="T105" s="48" t="n">
        <x:f>Model_Data!B105-Inputs!$C$5</x:f>
        <x:v>0.08027777777778056</x:v>
      </x:c>
      <x:c r="U105" s="49"/>
      <x:c r="V105" s="48" t="n">
        <x:f>Model_Data!A105</x:f>
        <x:v>-8.5</x:v>
      </x:c>
      <x:c r="W105" s="48" t="n">
        <x:f>(-((((SQRT((Model_Data!A105)^2+Inputs!$C$6^2+((Model_Data!B105)-((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(0.45*SIN(2*PI()*(((Model_Data!A105)/Inputs!$C$49)+Inputs!$C$47*0.137))+0.35*COS(2*PI()*(((Inputs!$C$6)/Inputs!$C$50)+Inputs!$C$47*0.173))+0.20*SIN(2*PI()*(((Model_Data!A105)+(Inputs!$C$6))/(0.5*(Inputs!$C$49+Inputs!$C$50))+Inputs!$C$47*0.097)))+0.30*(2*((SIN(((Model_Data!A105)*12.9898+(Inputs!$C$6)*78.233+Inputs!$C$47*37.719))*43758.5453)-INT((SIN(((Model_Data!A105)*12.9898+(Inputs!$C$6)*78.233+Inputs!$C$47*37.719))*43758.5453)))-1))))/1000)^2))-(((Model_Data!B105)-((Inputs!$C$51*(115*EXP(-(((0)-25)^2)/(4.5^2))+70*EXP(-(((0)+38)^2)/(7^2))*(0.55+0.45*SIN(2*PI()*(Model_Data!A105)/45))+24*SIN(2*PI()*(0)/9+(Model_Data!A105)/18)*EXP(-(((0)+5)^2)/(22^2))+18*SIN(2*PI()*(Model_Data!A105)/70))+Inputs!$C$28*EXP(-(((Model_Data!A105)-Inputs!$C$29)^2)/(2*Inputs!$C$31^2))*EXP(-(((0)-Inputs!$C$30)^2)/(2*Inputs!$C$32^2))+-Inputs!$C$33*EXP(-(((((Model_Data!A105)-Inputs!$C$34)^2)+(((0)-Inputs!$C$35)^2))/(2*Inputs!$C$36^2)))+Inputs!$C$37*(0.55*SIN(2*PI()*(Model_Data!A105)/Inputs!$C$39)+0.35*COS(2*PI()*(0)/Inputs!$C$40)+0.2*SIN(2*PI()*((Model_Data!A105)+(0))/(0.5*(Inputs!$C$39+Inputs!$C$40))))+Inputs!$C$38*SIN(2*PI()*(Model_Data!A105)/Inputs!$C$39)*SIN(2*PI()*(0)/Inputs!$C$40)+-Inputs!$C$41*EXP(-(((0)-Inputs!$C$43)^2)/(2*Inputs!$C$44^2))*EXP(-(((Model_Data!A105)-Inputs!$C$42)^2)/(2*Inputs!$C$45^2))+Inputs!$C$48*(0.70*(0.45*SIN(2*PI()*(((Model_Data!A105)/Inputs!$C$49)+Inputs!$C$47*0.137))+0.35*COS(2*PI()*(((0)/Inputs!$C$50)+Inputs!$C$47*0.173))+0.20*SIN(2*PI()*(((Model_Data!A105)+(0))/(0.5*(Inputs!$C$49+Inputs!$C$50))+Inputs!$C$47*0.097)))+0.30*(2*((SIN(((Model_Data!A105)*12.9898+(0)*78.233+Inputs!$C$47*37.719))*43758.5453)-INT((SIN(((Model_Data!A105)*12.9898+(0)*78.233+Inputs!$C$47*37.719))*43758.5453)))-1))))/1000)))*1000/Inputs!$C$12)-Model_Data!F105))-(-(((SQRT((Model_Data!A105)^2+Inputs!$C$6^2+(Inputs!$C$5-((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(0.45*SIN(2*PI()*(((Model_Data!A105)/Inputs!$C$49)+Inputs!$C$47*0.137))+0.35*COS(2*PI()*(((Inputs!$C$6)/Inputs!$C$50)+Inputs!$C$47*0.173))+0.20*SIN(2*PI()*(((Model_Data!A105)+(Inputs!$C$6))/(0.5*(Inputs!$C$49+Inputs!$C$50))+Inputs!$C$47*0.097)))+0.30*(2*((SIN(((Model_Data!A105)*12.9898+(Inputs!$C$6)*78.233+Inputs!$C$47*37.719))*43758.5453)-INT((SIN(((Model_Data!A105)*12.9898+(Inputs!$C$6)*78.233+Inputs!$C$47*37.719))*43758.5453)))-1))))/1000)^2)-(Inputs!$C$5-((Inputs!$C$51*(115*EXP(-(((0)-25)^2)/(4.5^2))+70*EXP(-(((0)+38)^2)/(7^2))*(0.55+0.45*SIN(2*PI()*(Model_Data!A105)/45))+24*SIN(2*PI()*(0)/9+(Model_Data!A105)/18)*EXP(-(((0)+5)^2)/(22^2))+18*SIN(2*PI()*(Model_Data!A105)/70))+Inputs!$C$28*EXP(-(((Model_Data!A105)-Inputs!$C$29)^2)/(2*Inputs!$C$31^2))*EXP(-(((0)-Inputs!$C$30)^2)/(2*Inputs!$C$32^2))+-Inputs!$C$33*EXP(-(((((Model_Data!A105)-Inputs!$C$34)^2)+(((0)-Inputs!$C$35)^2))/(2*Inputs!$C$36^2)))+Inputs!$C$37*(0.55*SIN(2*PI()*(Model_Data!A105)/Inputs!$C$39)+0.35*COS(2*PI()*(0)/Inputs!$C$40)+0.2*SIN(2*PI()*((Model_Data!A105)+(0))/(0.5*(Inputs!$C$39+Inputs!$C$40))))+Inputs!$C$38*SIN(2*PI()*(Model_Data!A105)/Inputs!$C$39)*SIN(2*PI()*(0)/Inputs!$C$40)+-Inputs!$C$41*EXP(-(((0)-Inputs!$C$43)^2)/(2*Inputs!$C$44^2))*EXP(-(((Model_Data!A105)-Inputs!$C$42)^2)/(2*Inputs!$C$45^2))+Inputs!$C$48*(0.70*(0.45*SIN(2*PI()*(((Model_Data!A105)/Inputs!$C$49)+Inputs!$C$47*0.137))+0.35*COS(2*PI()*(((0)/Inputs!$C$50)+Inputs!$C$47*0.173))+0.20*SIN(2*PI()*(((Model_Data!A105)+(0))/(0.5*(Inputs!$C$49+Inputs!$C$50))+Inputs!$C$47*0.097)))+0.30*(2*((SIN(((Model_Data!A105)*12.9898+(0)*78.233+Inputs!$C$47*37.719))*43758.5453)-INT((SIN(((Model_Data!A105)*12.9898+(0)*78.233+Inputs!$C$47*37.719))*43758.5453)))-1))))/1000))*1000/Inputs!$C$12)-((SQRT((Model_Data!A105)^2+Inputs!$C$6^2+Inputs!$C$5^2)-Inputs!$C$5)*1000/Inputs!$C$12)))</x:f>
        <x:v>0.0002251706416700472</x:v>
      </x:c>
      <x:c r="X105" s="48" t="n">
        <x:f>0</x:f>
        <x:v>0</x:v>
      </x:c>
      <x:c r="Y105" s="49"/>
      <x:c r="Z105" s="48" t="n">
        <x:f>Model_Data!A105</x:f>
        <x:v>-8.5</x:v>
      </x:c>
      <x:c r="AA105" s="48" t="n">
        <x:f>SQRT((Model_Data!A105)^2+Inputs!$C$6^2+((Model_Data!B105)-((Inputs!$C$51*(115*EXP(-(((Inputs!$C$6)-25)^2)/(4.5^2))+70*EXP(-(((Inputs!$C$6)+38)^2)/(7^2))*(0.55+0.45*SIN(2*PI()*(Model_Data!A105)/45))+24*SIN(2*PI()*(Inputs!$C$6)/9+(Model_Data!A105)/18)*EXP(-(((Inputs!$C$6)+5)^2)/(22^2))+18*SIN(2*PI()*(Model_Data!A105)/70))+Inputs!$C$28*EXP(-(((Model_Data!A105)-Inputs!$C$29)^2)/(2*Inputs!$C$31^2))*EXP(-(((Inputs!$C$6)-Inputs!$C$30)^2)/(2*Inputs!$C$32^2))+-Inputs!$C$33*EXP(-(((((Model_Data!A105)-Inputs!$C$34)^2)+(((Inputs!$C$6)-Inputs!$C$35)^2))/(2*Inputs!$C$36^2)))+Inputs!$C$37*(0.55*SIN(2*PI()*(Model_Data!A105)/Inputs!$C$39)+0.35*COS(2*PI()*(Inputs!$C$6)/Inputs!$C$40)+0.2*SIN(2*PI()*((Model_Data!A105)+(Inputs!$C$6))/(0.5*(Inputs!$C$39+Inputs!$C$40))))+Inputs!$C$38*SIN(2*PI()*(Model_Data!A105)/Inputs!$C$39)*SIN(2*PI()*(Inputs!$C$6)/Inputs!$C$40)+-Inputs!$C$41*EXP(-(((Inputs!$C$6)-Inputs!$C$43)^2)/(2*Inputs!$C$44^2))*EXP(-(((Model_Data!A105)-Inputs!$C$42)^2)/(2*Inputs!$C$45^2))+Inputs!$C$48*(0.70*(0.45*SIN(2*PI()*(((Model_Data!A105)/Inputs!$C$49)+Inputs!$C$47*0.137))+0.35*COS(2*PI()*(((Inputs!$C$6)/Inputs!$C$50)+Inputs!$C$47*0.173))+0.20*SIN(2*PI()*(((Model_Data!A105)+(Inputs!$C$6))/(0.5*(Inputs!$C$49+Inputs!$C$50))+Inputs!$C$47*0.097)))+0.30*(2*((SIN(((Model_Data!A105)*12.9898+(Inputs!$C$6)*78.233+Inputs!$C$47*37.719))*43758.5453)-INT((SIN(((Model_Data!A105)*12.9898+(Inputs!$C$6)*78.233+Inputs!$C$47*37.719))*43758.5453)))-1))))/1000)^2)</x:f>
        <x:v>400.4910990200163</x:v>
      </x:c>
      <x:c r="AB105" s="48" t="n">
        <x:f>1000*(AA106-AA104)/(Z106-Z104)*Inputs!$C$11</x:f>
        <x:v>-140.52409974078728</x:v>
      </x:c>
      <x:c r="AC105" s="48" t="n">
        <x:f>-2*AB105/Inputs!$C$13</x:f>
        <x:v>56.20963989631491</x:v>
      </x:c>
      <x:c r="AD105" s="48" t="n">
        <x:f>-2*AB105/Inputs!$C$14</x:f>
        <x:v>8.439885870317555</x:v>
      </x:c>
    </x:row>
    <x:row r="106">
      <x:c r="A106" s="48" t="n">
        <x:f>Model_Data!A106</x:f>
        <x:v>-8</x:v>
      </x:c>
      <x:c r="B106" s="48" t="n">
        <x:f>Model_Data!F106</x:f>
        <x:v>483.24281472300015</x:v>
      </x:c>
      <x:c r="C106" s="48" t="n">
        <x:f>(((SQRT((Model_Data!A106)^2+Inputs!$C$6^2+((Model_Data!B106)-((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(0.45*SIN(2*PI()*(((Model_Data!A106)/Inputs!$C$49)+Inputs!$C$47*0.137))+0.35*COS(2*PI()*(((Inputs!$C$6)/Inputs!$C$50)+Inputs!$C$47*0.173))+0.20*SIN(2*PI()*(((Model_Data!A106)+(Inputs!$C$6))/(0.5*(Inputs!$C$49+Inputs!$C$50))+Inputs!$C$47*0.097)))+0.30*(2*((SIN(((Model_Data!A106)*12.9898+(Inputs!$C$6)*78.233+Inputs!$C$47*37.719))*43758.5453)-INT((SIN(((Model_Data!A106)*12.9898+(Inputs!$C$6)*78.233+Inputs!$C$47*37.719))*43758.5453)))-1))))/1000)^2))-(((Model_Data!B106)-((Inputs!$C$51*(115*EXP(-(((0)-25)^2)/(4.5^2))+70*EXP(-(((0)+38)^2)/(7^2))*(0.55+0.45*SIN(2*PI()*(Model_Data!A106)/45))+24*SIN(2*PI()*(0)/9+(Model_Data!A106)/18)*EXP(-(((0)+5)^2)/(22^2))+18*SIN(2*PI()*(Model_Data!A106)/70))+Inputs!$C$28*EXP(-(((Model_Data!A106)-Inputs!$C$29)^2)/(2*Inputs!$C$31^2))*EXP(-(((0)-Inputs!$C$30)^2)/(2*Inputs!$C$32^2))+-Inputs!$C$33*EXP(-(((((Model_Data!A106)-Inputs!$C$34)^2)+(((0)-Inputs!$C$35)^2))/(2*Inputs!$C$36^2)))+Inputs!$C$37*(0.55*SIN(2*PI()*(Model_Data!A106)/Inputs!$C$39)+0.35*COS(2*PI()*(0)/Inputs!$C$40)+0.2*SIN(2*PI()*((Model_Data!A106)+(0))/(0.5*(Inputs!$C$39+Inputs!$C$40))))+Inputs!$C$38*SIN(2*PI()*(Model_Data!A106)/Inputs!$C$39)*SIN(2*PI()*(0)/Inputs!$C$40)+-Inputs!$C$41*EXP(-(((0)-Inputs!$C$43)^2)/(2*Inputs!$C$44^2))*EXP(-(((Model_Data!A106)-Inputs!$C$42)^2)/(2*Inputs!$C$45^2))+Inputs!$C$48*(0.70*(0.45*SIN(2*PI()*(((Model_Data!A106)/Inputs!$C$49)+Inputs!$C$47*0.137))+0.35*COS(2*PI()*(((0)/Inputs!$C$50)+Inputs!$C$47*0.173))+0.20*SIN(2*PI()*(((Model_Data!A106)+(0))/(0.5*(Inputs!$C$49+Inputs!$C$50))+Inputs!$C$47*0.097)))+0.30*(2*((SIN(((Model_Data!A106)*12.9898+(0)*78.233+Inputs!$C$47*37.719))*43758.5453)-INT((SIN(((Model_Data!A106)*12.9898+(0)*78.233+Inputs!$C$47*37.719))*43758.5453)))-1))))/1000)))*1000/Inputs!$C$12)</x:f>
        <x:v>194.4870862189099</x:v>
      </x:c>
      <x:c r="D106" s="49"/>
      <x:c r="E106" s="48" t="n">
        <x:f>Model_Data!A106</x:f>
        <x:v>-8</x:v>
      </x:c>
      <x:c r="F106" s="48" t="n">
        <x:f>(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(0.45*SIN(2*PI()*(((Model_Data!A106)/Inputs!$C$49)+Inputs!$C$47*0.137))+0.35*COS(2*PI()*(((Inputs!$C$6)/Inputs!$C$50)+Inputs!$C$47*0.173))+0.20*SIN(2*PI()*(((Model_Data!A106)+(Inputs!$C$6))/(0.5*(Inputs!$C$49+Inputs!$C$50))+Inputs!$C$47*0.097)))+0.30*(2*((SIN(((Model_Data!A106)*12.9898+(Inputs!$C$6)*78.233+Inputs!$C$47*37.719))*43758.5453)-INT((SIN(((Model_Data!A106)*12.9898+(Inputs!$C$6)*78.233+Inputs!$C$47*37.719))*43758.5453)))-1)))</x:f>
        <x:v>475.6659223963138</x:v>
      </x:c>
      <x:c r="G106" s="48" t="n">
        <x:f>(Inputs!$C$51*(115*EXP(-(((0)-25)^2)/(4.5^2))+70*EXP(-(((0)+38)^2)/(7^2))*(0.55+0.45*SIN(2*PI()*(Model_Data!A106)/45))+24*SIN(2*PI()*(0)/9+(Model_Data!A106)/18)*EXP(-(((0)+5)^2)/(22^2))+18*SIN(2*PI()*(Model_Data!A106)/70))+Inputs!$C$28*EXP(-(((Model_Data!A106)-Inputs!$C$29)^2)/(2*Inputs!$C$31^2))*EXP(-(((0)-Inputs!$C$30)^2)/(2*Inputs!$C$32^2))+-Inputs!$C$33*EXP(-(((((Model_Data!A106)-Inputs!$C$34)^2)+(((0)-Inputs!$C$35)^2))/(2*Inputs!$C$36^2)))+Inputs!$C$37*(0.55*SIN(2*PI()*(Model_Data!A106)/Inputs!$C$39)+0.35*COS(2*PI()*(0)/Inputs!$C$40)+0.2*SIN(2*PI()*((Model_Data!A106)+(0))/(0.5*(Inputs!$C$39+Inputs!$C$40))))+Inputs!$C$38*SIN(2*PI()*(Model_Data!A106)/Inputs!$C$39)*SIN(2*PI()*(0)/Inputs!$C$40)+-Inputs!$C$41*EXP(-(((0)-Inputs!$C$43)^2)/(2*Inputs!$C$44^2))*EXP(-(((Model_Data!A106)-Inputs!$C$42)^2)/(2*Inputs!$C$45^2))+Inputs!$C$48*(0.70*(0.45*SIN(2*PI()*(((Model_Data!A106)/Inputs!$C$49)+Inputs!$C$47*0.137))+0.35*COS(2*PI()*(((0)/Inputs!$C$50)+Inputs!$C$47*0.173))+0.20*SIN(2*PI()*(((Model_Data!A106)+(0))/(0.5*(Inputs!$C$49+Inputs!$C$50))+Inputs!$C$47*0.097)))+0.30*(2*((SIN(((Model_Data!A106)*12.9898+(0)*78.233+Inputs!$C$47*37.719))*43758.5453)-INT((SIN(((Model_Data!A106)*12.9898+(0)*78.233+Inputs!$C$47*37.719))*43758.5453)))-1)))</x:f>
        <x:v>-39.34099577037003</x:v>
      </x:c>
      <x:c r="H106" s="49"/>
      <x:c r="I106" s="48" t="n">
        <x:f>Model_Data!A106</x:f>
        <x:v>-8</x:v>
      </x:c>
      <x:c r="J106" s="48" t="n">
        <x:f>((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(0.45*SIN(2*PI()*(((Model_Data!A106)/Inputs!$C$49)+Inputs!$C$47*0.137))+0.35*COS(2*PI()*(((Inputs!$C$6)/Inputs!$C$50)+Inputs!$C$47*0.173))+0.20*SIN(2*PI()*(((Model_Data!A106)+(Inputs!$C$6))/(0.5*(Inputs!$C$49+Inputs!$C$50))+Inputs!$C$47*0.097)))+0.30*(2*((SIN(((Model_Data!A106)*12.9898+(Inputs!$C$6)*78.233+Inputs!$C$47*37.719))*43758.5453)-INT((SIN(((Model_Data!A106)*12.9898+(Inputs!$C$6)*78.233+Inputs!$C$47*37.719))*43758.5453)))-1))))-((Inputs!$C$51*(115*EXP(-(((0)-25)^2)/(4.5^2))+70*EXP(-(((0)+38)^2)/(7^2))*(0.55+0.45*SIN(2*PI()*(Model_Data!A106)/45))+24*SIN(2*PI()*(0)/9+(Model_Data!A106)/18)*EXP(-(((0)+5)^2)/(22^2))+18*SIN(2*PI()*(Model_Data!A106)/70))+Inputs!$C$28*EXP(-(((Model_Data!A106)-Inputs!$C$29)^2)/(2*Inputs!$C$31^2))*EXP(-(((0)-Inputs!$C$30)^2)/(2*Inputs!$C$32^2))+-Inputs!$C$33*EXP(-(((((Model_Data!A106)-Inputs!$C$34)^2)+(((0)-Inputs!$C$35)^2))/(2*Inputs!$C$36^2)))+Inputs!$C$37*(0.55*SIN(2*PI()*(Model_Data!A106)/Inputs!$C$39)+0.35*COS(2*PI()*(0)/Inputs!$C$40)+0.2*SIN(2*PI()*((Model_Data!A106)+(0))/(0.5*(Inputs!$C$39+Inputs!$C$40))))+Inputs!$C$38*SIN(2*PI()*(Model_Data!A106)/Inputs!$C$39)*SIN(2*PI()*(0)/Inputs!$C$40)+-Inputs!$C$41*EXP(-(((0)-Inputs!$C$43)^2)/(2*Inputs!$C$44^2))*EXP(-(((Model_Data!A106)-Inputs!$C$42)^2)/(2*Inputs!$C$45^2))+Inputs!$C$48*(0.70*(0.45*SIN(2*PI()*(((Model_Data!A106)/Inputs!$C$49)+Inputs!$C$47*0.137))+0.35*COS(2*PI()*(((0)/Inputs!$C$50)+Inputs!$C$47*0.173))+0.20*SIN(2*PI()*(((Model_Data!A106)+(0))/(0.5*(Inputs!$C$49+Inputs!$C$50))+Inputs!$C$47*0.097)))+0.30*(2*((SIN(((Model_Data!A106)*12.9898+(0)*78.233+Inputs!$C$47*37.719))*43758.5453)-INT((SIN(((Model_Data!A106)*12.9898+(0)*78.233+Inputs!$C$47*37.719))*43758.5453)))-1))))</x:f>
        <x:v>515.0069181666838</x:v>
      </x:c>
      <x:c r="K106" s="48" t="n">
        <x:f>-((((SQRT((Model_Data!A106)^2+Inputs!$C$6^2+((Model_Data!B106)-((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(0.45*SIN(2*PI()*(((Model_Data!A106)/Inputs!$C$49)+Inputs!$C$47*0.137))+0.35*COS(2*PI()*(((Inputs!$C$6)/Inputs!$C$50)+Inputs!$C$47*0.173))+0.20*SIN(2*PI()*(((Model_Data!A106)+(Inputs!$C$6))/(0.5*(Inputs!$C$49+Inputs!$C$50))+Inputs!$C$47*0.097)))+0.30*(2*((SIN(((Model_Data!A106)*12.9898+(Inputs!$C$6)*78.233+Inputs!$C$47*37.719))*43758.5453)-INT((SIN(((Model_Data!A106)*12.9898+(Inputs!$C$6)*78.233+Inputs!$C$47*37.719))*43758.5453)))-1))))/1000)^2))-(((Model_Data!B106)-((Inputs!$C$51*(115*EXP(-(((0)-25)^2)/(4.5^2))+70*EXP(-(((0)+38)^2)/(7^2))*(0.55+0.45*SIN(2*PI()*(Model_Data!A106)/45))+24*SIN(2*PI()*(0)/9+(Model_Data!A106)/18)*EXP(-(((0)+5)^2)/(22^2))+18*SIN(2*PI()*(Model_Data!A106)/70))+Inputs!$C$28*EXP(-(((Model_Data!A106)-Inputs!$C$29)^2)/(2*Inputs!$C$31^2))*EXP(-(((0)-Inputs!$C$30)^2)/(2*Inputs!$C$32^2))+-Inputs!$C$33*EXP(-(((((Model_Data!A106)-Inputs!$C$34)^2)+(((0)-Inputs!$C$35)^2))/(2*Inputs!$C$36^2)))+Inputs!$C$37*(0.55*SIN(2*PI()*(Model_Data!A106)/Inputs!$C$39)+0.35*COS(2*PI()*(0)/Inputs!$C$40)+0.2*SIN(2*PI()*((Model_Data!A106)+(0))/(0.5*(Inputs!$C$39+Inputs!$C$40))))+Inputs!$C$38*SIN(2*PI()*(Model_Data!A106)/Inputs!$C$39)*SIN(2*PI()*(0)/Inputs!$C$40)+-Inputs!$C$41*EXP(-(((0)-Inputs!$C$43)^2)/(2*Inputs!$C$44^2))*EXP(-(((Model_Data!A106)-Inputs!$C$42)^2)/(2*Inputs!$C$45^2))+Inputs!$C$48*(0.70*(0.45*SIN(2*PI()*(((Model_Data!A106)/Inputs!$C$49)+Inputs!$C$47*0.137))+0.35*COS(2*PI()*(((0)/Inputs!$C$50)+Inputs!$C$47*0.173))+0.20*SIN(2*PI()*(((Model_Data!A106)+(0))/(0.5*(Inputs!$C$49+Inputs!$C$50))+Inputs!$C$47*0.097)))+0.30*(2*((SIN(((Model_Data!A106)*12.9898+(0)*78.233+Inputs!$C$47*37.719))*43758.5453)-INT((SIN(((Model_Data!A106)*12.9898+(0)*78.233+Inputs!$C$47*37.719))*43758.5453)))-1))))/1000)))*1000/Inputs!$C$12)-Model_Data!F106)</x:f>
        <x:v>288.75572850409026</x:v>
      </x:c>
      <x:c r="L106" s="49"/>
      <x:c r="M106" s="48" t="n">
        <x:f>Model_Data!A106</x:f>
        <x:v>-8</x:v>
      </x:c>
      <x:c r="N106" s="48" t="n">
        <x:f>Model_Data!P106</x:f>
        <x:v>60.30908911253194</x:v>
      </x:c>
      <x:c r="O106" s="48" t="n">
        <x:f>AC106</x:f>
        <x:v>75.74228717767255</x:v>
      </x:c>
      <x:c r="P106" s="48" t="n">
        <x:f>Model_Data!Q106</x:f>
        <x:v>9.055418785665458</x:v>
      </x:c>
      <x:c r="Q106" s="48" t="n">
        <x:f>AD106</x:f>
        <x:v>11.372715792443326</x:v>
      </x:c>
      <x:c r="R106" s="49"/>
      <x:c r="S106" s="48" t="n">
        <x:f>Model_Data!A106</x:f>
        <x:v>-8</x:v>
      </x:c>
      <x:c r="T106" s="48" t="n">
        <x:f>Model_Data!B106-Inputs!$C$5</x:f>
        <x:v>0.07111111111112223</x:v>
      </x:c>
      <x:c r="U106" s="49"/>
      <x:c r="V106" s="48" t="n">
        <x:f>Model_Data!A106</x:f>
        <x:v>-8</x:v>
      </x:c>
      <x:c r="W106" s="48" t="n">
        <x:f>(-((((SQRT((Model_Data!A106)^2+Inputs!$C$6^2+((Model_Data!B106)-((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(0.45*SIN(2*PI()*(((Model_Data!A106)/Inputs!$C$49)+Inputs!$C$47*0.137))+0.35*COS(2*PI()*(((Inputs!$C$6)/Inputs!$C$50)+Inputs!$C$47*0.173))+0.20*SIN(2*PI()*(((Model_Data!A106)+(Inputs!$C$6))/(0.5*(Inputs!$C$49+Inputs!$C$50))+Inputs!$C$47*0.097)))+0.30*(2*((SIN(((Model_Data!A106)*12.9898+(Inputs!$C$6)*78.233+Inputs!$C$47*37.719))*43758.5453)-INT((SIN(((Model_Data!A106)*12.9898+(Inputs!$C$6)*78.233+Inputs!$C$47*37.719))*43758.5453)))-1))))/1000)^2))-(((Model_Data!B106)-((Inputs!$C$51*(115*EXP(-(((0)-25)^2)/(4.5^2))+70*EXP(-(((0)+38)^2)/(7^2))*(0.55+0.45*SIN(2*PI()*(Model_Data!A106)/45))+24*SIN(2*PI()*(0)/9+(Model_Data!A106)/18)*EXP(-(((0)+5)^2)/(22^2))+18*SIN(2*PI()*(Model_Data!A106)/70))+Inputs!$C$28*EXP(-(((Model_Data!A106)-Inputs!$C$29)^2)/(2*Inputs!$C$31^2))*EXP(-(((0)-Inputs!$C$30)^2)/(2*Inputs!$C$32^2))+-Inputs!$C$33*EXP(-(((((Model_Data!A106)-Inputs!$C$34)^2)+(((0)-Inputs!$C$35)^2))/(2*Inputs!$C$36^2)))+Inputs!$C$37*(0.55*SIN(2*PI()*(Model_Data!A106)/Inputs!$C$39)+0.35*COS(2*PI()*(0)/Inputs!$C$40)+0.2*SIN(2*PI()*((Model_Data!A106)+(0))/(0.5*(Inputs!$C$39+Inputs!$C$40))))+Inputs!$C$38*SIN(2*PI()*(Model_Data!A106)/Inputs!$C$39)*SIN(2*PI()*(0)/Inputs!$C$40)+-Inputs!$C$41*EXP(-(((0)-Inputs!$C$43)^2)/(2*Inputs!$C$44^2))*EXP(-(((Model_Data!A106)-Inputs!$C$42)^2)/(2*Inputs!$C$45^2))+Inputs!$C$48*(0.70*(0.45*SIN(2*PI()*(((Model_Data!A106)/Inputs!$C$49)+Inputs!$C$47*0.137))+0.35*COS(2*PI()*(((0)/Inputs!$C$50)+Inputs!$C$47*0.173))+0.20*SIN(2*PI()*(((Model_Data!A106)+(0))/(0.5*(Inputs!$C$49+Inputs!$C$50))+Inputs!$C$47*0.097)))+0.30*(2*((SIN(((Model_Data!A106)*12.9898+(0)*78.233+Inputs!$C$47*37.719))*43758.5453)-INT((SIN(((Model_Data!A106)*12.9898+(0)*78.233+Inputs!$C$47*37.719))*43758.5453)))-1))))/1000)))*1000/Inputs!$C$12)-Model_Data!F106))-(-(((SQRT((Model_Data!A106)^2+Inputs!$C$6^2+(Inputs!$C$5-((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(0.45*SIN(2*PI()*(((Model_Data!A106)/Inputs!$C$49)+Inputs!$C$47*0.137))+0.35*COS(2*PI()*(((Inputs!$C$6)/Inputs!$C$50)+Inputs!$C$47*0.173))+0.20*SIN(2*PI()*(((Model_Data!A106)+(Inputs!$C$6))/(0.5*(Inputs!$C$49+Inputs!$C$50))+Inputs!$C$47*0.097)))+0.30*(2*((SIN(((Model_Data!A106)*12.9898+(Inputs!$C$6)*78.233+Inputs!$C$47*37.719))*43758.5453)-INT((SIN(((Model_Data!A106)*12.9898+(Inputs!$C$6)*78.233+Inputs!$C$47*37.719))*43758.5453)))-1))))/1000)^2)-(Inputs!$C$5-((Inputs!$C$51*(115*EXP(-(((0)-25)^2)/(4.5^2))+70*EXP(-(((0)+38)^2)/(7^2))*(0.55+0.45*SIN(2*PI()*(Model_Data!A106)/45))+24*SIN(2*PI()*(0)/9+(Model_Data!A106)/18)*EXP(-(((0)+5)^2)/(22^2))+18*SIN(2*PI()*(Model_Data!A106)/70))+Inputs!$C$28*EXP(-(((Model_Data!A106)-Inputs!$C$29)^2)/(2*Inputs!$C$31^2))*EXP(-(((0)-Inputs!$C$30)^2)/(2*Inputs!$C$32^2))+-Inputs!$C$33*EXP(-(((((Model_Data!A106)-Inputs!$C$34)^2)+(((0)-Inputs!$C$35)^2))/(2*Inputs!$C$36^2)))+Inputs!$C$37*(0.55*SIN(2*PI()*(Model_Data!A106)/Inputs!$C$39)+0.35*COS(2*PI()*(0)/Inputs!$C$40)+0.2*SIN(2*PI()*((Model_Data!A106)+(0))/(0.5*(Inputs!$C$39+Inputs!$C$40))))+Inputs!$C$38*SIN(2*PI()*(Model_Data!A106)/Inputs!$C$39)*SIN(2*PI()*(0)/Inputs!$C$40)+-Inputs!$C$41*EXP(-(((0)-Inputs!$C$43)^2)/(2*Inputs!$C$44^2))*EXP(-(((Model_Data!A106)-Inputs!$C$42)^2)/(2*Inputs!$C$45^2))+Inputs!$C$48*(0.70*(0.45*SIN(2*PI()*(((Model_Data!A106)/Inputs!$C$49)+Inputs!$C$47*0.137))+0.35*COS(2*PI()*(((0)/Inputs!$C$50)+Inputs!$C$47*0.173))+0.20*SIN(2*PI()*(((Model_Data!A106)+(0))/(0.5*(Inputs!$C$49+Inputs!$C$50))+Inputs!$C$47*0.097)))+0.30*(2*((SIN(((Model_Data!A106)*12.9898+(0)*78.233+Inputs!$C$47*37.719))*43758.5453)-INT((SIN(((Model_Data!A106)*12.9898+(0)*78.233+Inputs!$C$47*37.719))*43758.5453)))-1))))/1000))*1000/Inputs!$C$12)-((SQRT((Model_Data!A106)^2+Inputs!$C$6^2+Inputs!$C$5^2)-Inputs!$C$5)*1000/Inputs!$C$12)))</x:f>
        <x:v>0.00020357103670676224</x:v>
      </x:c>
      <x:c r="X106" s="48" t="n">
        <x:f>0</x:f>
        <x:v>0</x:v>
      </x:c>
      <x:c r="Y106" s="49"/>
      <x:c r="Z106" s="48" t="n">
        <x:f>Model_Data!A106</x:f>
        <x:v>-8</x:v>
      </x:c>
      <x:c r="AA106" s="48" t="n">
        <x:f>SQRT((Model_Data!A106)^2+Inputs!$C$6^2+((Model_Data!B106)-((Inputs!$C$51*(115*EXP(-(((Inputs!$C$6)-25)^2)/(4.5^2))+70*EXP(-(((Inputs!$C$6)+38)^2)/(7^2))*(0.55+0.45*SIN(2*PI()*(Model_Data!A106)/45))+24*SIN(2*PI()*(Inputs!$C$6)/9+(Model_Data!A106)/18)*EXP(-(((Inputs!$C$6)+5)^2)/(22^2))+18*SIN(2*PI()*(Model_Data!A106)/70))+Inputs!$C$28*EXP(-(((Model_Data!A106)-Inputs!$C$29)^2)/(2*Inputs!$C$31^2))*EXP(-(((Inputs!$C$6)-Inputs!$C$30)^2)/(2*Inputs!$C$32^2))+-Inputs!$C$33*EXP(-(((((Model_Data!A106)-Inputs!$C$34)^2)+(((Inputs!$C$6)-Inputs!$C$35)^2))/(2*Inputs!$C$36^2)))+Inputs!$C$37*(0.55*SIN(2*PI()*(Model_Data!A106)/Inputs!$C$39)+0.35*COS(2*PI()*(Inputs!$C$6)/Inputs!$C$40)+0.2*SIN(2*PI()*((Model_Data!A106)+(Inputs!$C$6))/(0.5*(Inputs!$C$39+Inputs!$C$40))))+Inputs!$C$38*SIN(2*PI()*(Model_Data!A106)/Inputs!$C$39)*SIN(2*PI()*(Inputs!$C$6)/Inputs!$C$40)+-Inputs!$C$41*EXP(-(((Inputs!$C$6)-Inputs!$C$43)^2)/(2*Inputs!$C$44^2))*EXP(-(((Model_Data!A106)-Inputs!$C$42)^2)/(2*Inputs!$C$45^2))+Inputs!$C$48*(0.70*(0.45*SIN(2*PI()*(((Model_Data!A106)/Inputs!$C$49)+Inputs!$C$47*0.137))+0.35*COS(2*PI()*(((Inputs!$C$6)/Inputs!$C$50)+Inputs!$C$47*0.173))+0.20*SIN(2*PI()*(((Model_Data!A106)+(Inputs!$C$6))/(0.5*(Inputs!$C$49+Inputs!$C$50))+Inputs!$C$47*0.097)))+0.30*(2*((SIN(((Model_Data!A106)*12.9898+(Inputs!$C$6)*78.233+Inputs!$C$47*37.719))*43758.5453)-INT((SIN(((Model_Data!A106)*12.9898+(Inputs!$C$6)*78.233+Inputs!$C$47*37.719))*43758.5453)))-1))))/1000)^2)</x:f>
        <x:v>400.45663912035116</x:v>
      </x:c>
      <x:c r="AB106" s="48" t="n">
        <x:f>1000*(AA107-AA105)/(Z107-Z105)*Inputs!$C$11</x:f>
        <x:v>-189.35571794418138</x:v>
      </x:c>
      <x:c r="AC106" s="48" t="n">
        <x:f>-2*AB106/Inputs!$C$13</x:f>
        <x:v>75.74228717767255</x:v>
      </x:c>
      <x:c r="AD106" s="48" t="n">
        <x:f>-2*AB106/Inputs!$C$14</x:f>
        <x:v>11.372715792443326</x:v>
      </x:c>
    </x:row>
    <x:row r="107">
      <x:c r="A107" s="48" t="n">
        <x:f>Model_Data!A107</x:f>
        <x:v>-7.5</x:v>
      </x:c>
      <x:c r="B107" s="48" t="n">
        <x:f>Model_Data!F107</x:f>
        <x:v>477.82323801636795</x:v>
      </x:c>
      <x:c r="C107" s="48" t="n">
        <x:f>(((SQRT((Model_Data!A107)^2+Inputs!$C$6^2+((Model_Data!B107)-((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(0.45*SIN(2*PI()*(((Model_Data!A107)/Inputs!$C$49)+Inputs!$C$47*0.137))+0.35*COS(2*PI()*(((Inputs!$C$6)/Inputs!$C$50)+Inputs!$C$47*0.173))+0.20*SIN(2*PI()*(((Model_Data!A107)+(Inputs!$C$6))/(0.5*(Inputs!$C$49+Inputs!$C$50))+Inputs!$C$47*0.097)))+0.30*(2*((SIN(((Model_Data!A107)*12.9898+(Inputs!$C$6)*78.233+Inputs!$C$47*37.719))*43758.5453)-INT((SIN(((Model_Data!A107)*12.9898+(Inputs!$C$6)*78.233+Inputs!$C$47*37.719))*43758.5453)))-1))))/1000)^2))-(((Model_Data!B107)-((Inputs!$C$51*(115*EXP(-(((0)-25)^2)/(4.5^2))+70*EXP(-(((0)+38)^2)/(7^2))*(0.55+0.45*SIN(2*PI()*(Model_Data!A107)/45))+24*SIN(2*PI()*(0)/9+(Model_Data!A107)/18)*EXP(-(((0)+5)^2)/(22^2))+18*SIN(2*PI()*(Model_Data!A107)/70))+Inputs!$C$28*EXP(-(((Model_Data!A107)-Inputs!$C$29)^2)/(2*Inputs!$C$31^2))*EXP(-(((0)-Inputs!$C$30)^2)/(2*Inputs!$C$32^2))+-Inputs!$C$33*EXP(-(((((Model_Data!A107)-Inputs!$C$34)^2)+(((0)-Inputs!$C$35)^2))/(2*Inputs!$C$36^2)))+Inputs!$C$37*(0.55*SIN(2*PI()*(Model_Data!A107)/Inputs!$C$39)+0.35*COS(2*PI()*(0)/Inputs!$C$40)+0.2*SIN(2*PI()*((Model_Data!A107)+(0))/(0.5*(Inputs!$C$39+Inputs!$C$40))))+Inputs!$C$38*SIN(2*PI()*(Model_Data!A107)/Inputs!$C$39)*SIN(2*PI()*(0)/Inputs!$C$40)+-Inputs!$C$41*EXP(-(((0)-Inputs!$C$43)^2)/(2*Inputs!$C$44^2))*EXP(-(((Model_Data!A107)-Inputs!$C$42)^2)/(2*Inputs!$C$45^2))+Inputs!$C$48*(0.70*(0.45*SIN(2*PI()*(((Model_Data!A107)/Inputs!$C$49)+Inputs!$C$47*0.137))+0.35*COS(2*PI()*(((0)/Inputs!$C$50)+Inputs!$C$47*0.173))+0.20*SIN(2*PI()*(((Model_Data!A107)+(0))/(0.5*(Inputs!$C$49+Inputs!$C$50))+Inputs!$C$47*0.097)))+0.30*(2*((SIN(((Model_Data!A107)*12.9898+(0)*78.233+Inputs!$C$47*37.719))*43758.5453)-INT((SIN(((Model_Data!A107)*12.9898+(0)*78.233+Inputs!$C$47*37.719))*43758.5453)))-1))))/1000)))*1000/Inputs!$C$12)</x:f>
        <x:v>189.90802195427415</x:v>
      </x:c>
      <x:c r="D107" s="49"/>
      <x:c r="E107" s="48" t="n">
        <x:f>Model_Data!A107</x:f>
        <x:v>-7.5</x:v>
      </x:c>
      <x:c r="F107" s="48" t="n">
        <x:f>(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(0.45*SIN(2*PI()*(((Model_Data!A107)/Inputs!$C$49)+Inputs!$C$47*0.137))+0.35*COS(2*PI()*(((Inputs!$C$6)/Inputs!$C$50)+Inputs!$C$47*0.173))+0.20*SIN(2*PI()*(((Model_Data!A107)+(Inputs!$C$6))/(0.5*(Inputs!$C$49+Inputs!$C$50))+Inputs!$C$47*0.097)))+0.30*(2*((SIN(((Model_Data!A107)*12.9898+(Inputs!$C$6)*78.233+Inputs!$C$47*37.719))*43758.5453)-INT((SIN(((Model_Data!A107)*12.9898+(Inputs!$C$6)*78.233+Inputs!$C$47*37.719))*43758.5453)))-1)))</x:f>
        <x:v>470.2640951439132</x:v>
      </x:c>
      <x:c r="G107" s="48" t="n">
        <x:f>(Inputs!$C$51*(115*EXP(-(((0)-25)^2)/(4.5^2))+70*EXP(-(((0)+38)^2)/(7^2))*(0.55+0.45*SIN(2*PI()*(Model_Data!A107)/45))+24*SIN(2*PI()*(0)/9+(Model_Data!A107)/18)*EXP(-(((0)+5)^2)/(22^2))+18*SIN(2*PI()*(Model_Data!A107)/70))+Inputs!$C$28*EXP(-(((Model_Data!A107)-Inputs!$C$29)^2)/(2*Inputs!$C$31^2))*EXP(-(((0)-Inputs!$C$30)^2)/(2*Inputs!$C$32^2))+-Inputs!$C$33*EXP(-(((((Model_Data!A107)-Inputs!$C$34)^2)+(((0)-Inputs!$C$35)^2))/(2*Inputs!$C$36^2)))+Inputs!$C$37*(0.55*SIN(2*PI()*(Model_Data!A107)/Inputs!$C$39)+0.35*COS(2*PI()*(0)/Inputs!$C$40)+0.2*SIN(2*PI()*((Model_Data!A107)+(0))/(0.5*(Inputs!$C$39+Inputs!$C$40))))+Inputs!$C$38*SIN(2*PI()*(Model_Data!A107)/Inputs!$C$39)*SIN(2*PI()*(0)/Inputs!$C$40)+-Inputs!$C$41*EXP(-(((0)-Inputs!$C$43)^2)/(2*Inputs!$C$44^2))*EXP(-(((Model_Data!A107)-Inputs!$C$42)^2)/(2*Inputs!$C$45^2))+Inputs!$C$48*(0.70*(0.45*SIN(2*PI()*(((Model_Data!A107)/Inputs!$C$49)+Inputs!$C$47*0.137))+0.35*COS(2*PI()*(((0)/Inputs!$C$50)+Inputs!$C$47*0.173))+0.20*SIN(2*PI()*(((Model_Data!A107)+(0))/(0.5*(Inputs!$C$49+Inputs!$C$50))+Inputs!$C$47*0.097)))+0.30*(2*((SIN(((Model_Data!A107)*12.9898+(0)*78.233+Inputs!$C$47*37.719))*43758.5453)-INT((SIN(((Model_Data!A107)*12.9898+(0)*78.233+Inputs!$C$47*37.719))*43758.5453)))-1)))</x:f>
        <x:v>-43.22381145165265</x:v>
      </x:c>
      <x:c r="H107" s="49"/>
      <x:c r="I107" s="48" t="n">
        <x:f>Model_Data!A107</x:f>
        <x:v>-7.5</x:v>
      </x:c>
      <x:c r="J107" s="48" t="n">
        <x:f>((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(0.45*SIN(2*PI()*(((Model_Data!A107)/Inputs!$C$49)+Inputs!$C$47*0.137))+0.35*COS(2*PI()*(((Inputs!$C$6)/Inputs!$C$50)+Inputs!$C$47*0.173))+0.20*SIN(2*PI()*(((Model_Data!A107)+(Inputs!$C$6))/(0.5*(Inputs!$C$49+Inputs!$C$50))+Inputs!$C$47*0.097)))+0.30*(2*((SIN(((Model_Data!A107)*12.9898+(Inputs!$C$6)*78.233+Inputs!$C$47*37.719))*43758.5453)-INT((SIN(((Model_Data!A107)*12.9898+(Inputs!$C$6)*78.233+Inputs!$C$47*37.719))*43758.5453)))-1))))-((Inputs!$C$51*(115*EXP(-(((0)-25)^2)/(4.5^2))+70*EXP(-(((0)+38)^2)/(7^2))*(0.55+0.45*SIN(2*PI()*(Model_Data!A107)/45))+24*SIN(2*PI()*(0)/9+(Model_Data!A107)/18)*EXP(-(((0)+5)^2)/(22^2))+18*SIN(2*PI()*(Model_Data!A107)/70))+Inputs!$C$28*EXP(-(((Model_Data!A107)-Inputs!$C$29)^2)/(2*Inputs!$C$31^2))*EXP(-(((0)-Inputs!$C$30)^2)/(2*Inputs!$C$32^2))+-Inputs!$C$33*EXP(-(((((Model_Data!A107)-Inputs!$C$34)^2)+(((0)-Inputs!$C$35)^2))/(2*Inputs!$C$36^2)))+Inputs!$C$37*(0.55*SIN(2*PI()*(Model_Data!A107)/Inputs!$C$39)+0.35*COS(2*PI()*(0)/Inputs!$C$40)+0.2*SIN(2*PI()*((Model_Data!A107)+(0))/(0.5*(Inputs!$C$39+Inputs!$C$40))))+Inputs!$C$38*SIN(2*PI()*(Model_Data!A107)/Inputs!$C$39)*SIN(2*PI()*(0)/Inputs!$C$40)+-Inputs!$C$41*EXP(-(((0)-Inputs!$C$43)^2)/(2*Inputs!$C$44^2))*EXP(-(((Model_Data!A107)-Inputs!$C$42)^2)/(2*Inputs!$C$45^2))+Inputs!$C$48*(0.70*(0.45*SIN(2*PI()*(((Model_Data!A107)/Inputs!$C$49)+Inputs!$C$47*0.137))+0.35*COS(2*PI()*(((0)/Inputs!$C$50)+Inputs!$C$47*0.173))+0.20*SIN(2*PI()*(((Model_Data!A107)+(0))/(0.5*(Inputs!$C$49+Inputs!$C$50))+Inputs!$C$47*0.097)))+0.30*(2*((SIN(((Model_Data!A107)*12.9898+(0)*78.233+Inputs!$C$47*37.719))*43758.5453)-INT((SIN(((Model_Data!A107)*12.9898+(0)*78.233+Inputs!$C$47*37.719))*43758.5453)))-1))))</x:f>
        <x:v>513.4879065955658</x:v>
      </x:c>
      <x:c r="K107" s="48" t="n">
        <x:f>-((((SQRT((Model_Data!A107)^2+Inputs!$C$6^2+((Model_Data!B107)-((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(0.45*SIN(2*PI()*(((Model_Data!A107)/Inputs!$C$49)+Inputs!$C$47*0.137))+0.35*COS(2*PI()*(((Inputs!$C$6)/Inputs!$C$50)+Inputs!$C$47*0.173))+0.20*SIN(2*PI()*(((Model_Data!A107)+(Inputs!$C$6))/(0.5*(Inputs!$C$49+Inputs!$C$50))+Inputs!$C$47*0.097)))+0.30*(2*((SIN(((Model_Data!A107)*12.9898+(Inputs!$C$6)*78.233+Inputs!$C$47*37.719))*43758.5453)-INT((SIN(((Model_Data!A107)*12.9898+(Inputs!$C$6)*78.233+Inputs!$C$47*37.719))*43758.5453)))-1))))/1000)^2))-(((Model_Data!B107)-((Inputs!$C$51*(115*EXP(-(((0)-25)^2)/(4.5^2))+70*EXP(-(((0)+38)^2)/(7^2))*(0.55+0.45*SIN(2*PI()*(Model_Data!A107)/45))+24*SIN(2*PI()*(0)/9+(Model_Data!A107)/18)*EXP(-(((0)+5)^2)/(22^2))+18*SIN(2*PI()*(Model_Data!A107)/70))+Inputs!$C$28*EXP(-(((Model_Data!A107)-Inputs!$C$29)^2)/(2*Inputs!$C$31^2))*EXP(-(((0)-Inputs!$C$30)^2)/(2*Inputs!$C$32^2))+-Inputs!$C$33*EXP(-(((((Model_Data!A107)-Inputs!$C$34)^2)+(((0)-Inputs!$C$35)^2))/(2*Inputs!$C$36^2)))+Inputs!$C$37*(0.55*SIN(2*PI()*(Model_Data!A107)/Inputs!$C$39)+0.35*COS(2*PI()*(0)/Inputs!$C$40)+0.2*SIN(2*PI()*((Model_Data!A107)+(0))/(0.5*(Inputs!$C$39+Inputs!$C$40))))+Inputs!$C$38*SIN(2*PI()*(Model_Data!A107)/Inputs!$C$39)*SIN(2*PI()*(0)/Inputs!$C$40)+-Inputs!$C$41*EXP(-(((0)-Inputs!$C$43)^2)/(2*Inputs!$C$44^2))*EXP(-(((Model_Data!A107)-Inputs!$C$42)^2)/(2*Inputs!$C$45^2))+Inputs!$C$48*(0.70*(0.45*SIN(2*PI()*(((Model_Data!A107)/Inputs!$C$49)+Inputs!$C$47*0.137))+0.35*COS(2*PI()*(((0)/Inputs!$C$50)+Inputs!$C$47*0.173))+0.20*SIN(2*PI()*(((Model_Data!A107)+(0))/(0.5*(Inputs!$C$49+Inputs!$C$50))+Inputs!$C$47*0.097)))+0.30*(2*((SIN(((Model_Data!A107)*12.9898+(0)*78.233+Inputs!$C$47*37.719))*43758.5453)-INT((SIN(((Model_Data!A107)*12.9898+(0)*78.233+Inputs!$C$47*37.719))*43758.5453)))-1))))/1000)))*1000/Inputs!$C$12)-Model_Data!F107)</x:f>
        <x:v>287.9152160620938</x:v>
      </x:c>
      <x:c r="L107" s="49"/>
      <x:c r="M107" s="48" t="n">
        <x:f>Model_Data!A107</x:f>
        <x:v>-7.5</x:v>
      </x:c>
      <x:c r="N107" s="48" t="n">
        <x:f>Model_Data!P107</x:f>
        <x:v>56.54177315084945</x:v>
      </x:c>
      <x:c r="O107" s="48" t="n">
        <x:f>AC107</x:f>
        <x:v>4.3530116269721475</x:v>
      </x:c>
      <x:c r="P107" s="48" t="n">
        <x:f>Model_Data!Q107</x:f>
        <x:v>8.489755728355775</x:v>
      </x:c>
      <x:c r="Q107" s="48" t="n">
        <x:f>AD107</x:f>
        <x:v>0.6536053493952174</x:v>
      </x:c>
      <x:c r="R107" s="49"/>
      <x:c r="S107" s="48" t="n">
        <x:f>Model_Data!A107</x:f>
        <x:v>-7.5</x:v>
      </x:c>
      <x:c r="T107" s="48" t="n">
        <x:f>Model_Data!B107-Inputs!$C$5</x:f>
        <x:v>0.0625</x:v>
      </x:c>
      <x:c r="U107" s="49"/>
      <x:c r="V107" s="48" t="n">
        <x:f>Model_Data!A107</x:f>
        <x:v>-7.5</x:v>
      </x:c>
      <x:c r="W107" s="48" t="n">
        <x:f>(-((((SQRT((Model_Data!A107)^2+Inputs!$C$6^2+((Model_Data!B107)-((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(0.45*SIN(2*PI()*(((Model_Data!A107)/Inputs!$C$49)+Inputs!$C$47*0.137))+0.35*COS(2*PI()*(((Inputs!$C$6)/Inputs!$C$50)+Inputs!$C$47*0.173))+0.20*SIN(2*PI()*(((Model_Data!A107)+(Inputs!$C$6))/(0.5*(Inputs!$C$49+Inputs!$C$50))+Inputs!$C$47*0.097)))+0.30*(2*((SIN(((Model_Data!A107)*12.9898+(Inputs!$C$6)*78.233+Inputs!$C$47*37.719))*43758.5453)-INT((SIN(((Model_Data!A107)*12.9898+(Inputs!$C$6)*78.233+Inputs!$C$47*37.719))*43758.5453)))-1))))/1000)^2))-(((Model_Data!B107)-((Inputs!$C$51*(115*EXP(-(((0)-25)^2)/(4.5^2))+70*EXP(-(((0)+38)^2)/(7^2))*(0.55+0.45*SIN(2*PI()*(Model_Data!A107)/45))+24*SIN(2*PI()*(0)/9+(Model_Data!A107)/18)*EXP(-(((0)+5)^2)/(22^2))+18*SIN(2*PI()*(Model_Data!A107)/70))+Inputs!$C$28*EXP(-(((Model_Data!A107)-Inputs!$C$29)^2)/(2*Inputs!$C$31^2))*EXP(-(((0)-Inputs!$C$30)^2)/(2*Inputs!$C$32^2))+-Inputs!$C$33*EXP(-(((((Model_Data!A107)-Inputs!$C$34)^2)+(((0)-Inputs!$C$35)^2))/(2*Inputs!$C$36^2)))+Inputs!$C$37*(0.55*SIN(2*PI()*(Model_Data!A107)/Inputs!$C$39)+0.35*COS(2*PI()*(0)/Inputs!$C$40)+0.2*SIN(2*PI()*((Model_Data!A107)+(0))/(0.5*(Inputs!$C$39+Inputs!$C$40))))+Inputs!$C$38*SIN(2*PI()*(Model_Data!A107)/Inputs!$C$39)*SIN(2*PI()*(0)/Inputs!$C$40)+-Inputs!$C$41*EXP(-(((0)-Inputs!$C$43)^2)/(2*Inputs!$C$44^2))*EXP(-(((Model_Data!A107)-Inputs!$C$42)^2)/(2*Inputs!$C$45^2))+Inputs!$C$48*(0.70*(0.45*SIN(2*PI()*(((Model_Data!A107)/Inputs!$C$49)+Inputs!$C$47*0.137))+0.35*COS(2*PI()*(((0)/Inputs!$C$50)+Inputs!$C$47*0.173))+0.20*SIN(2*PI()*(((Model_Data!A107)+(0))/(0.5*(Inputs!$C$49+Inputs!$C$50))+Inputs!$C$47*0.097)))+0.30*(2*((SIN(((Model_Data!A107)*12.9898+(0)*78.233+Inputs!$C$47*37.719))*43758.5453)-INT((SIN(((Model_Data!A107)*12.9898+(0)*78.233+Inputs!$C$47*37.719))*43758.5453)))-1))))/1000)))*1000/Inputs!$C$12)-Model_Data!F107))-(-(((SQRT((Model_Data!A107)^2+Inputs!$C$6^2+(Inputs!$C$5-((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(0.45*SIN(2*PI()*(((Model_Data!A107)/Inputs!$C$49)+Inputs!$C$47*0.137))+0.35*COS(2*PI()*(((Inputs!$C$6)/Inputs!$C$50)+Inputs!$C$47*0.173))+0.20*SIN(2*PI()*(((Model_Data!A107)+(Inputs!$C$6))/(0.5*(Inputs!$C$49+Inputs!$C$50))+Inputs!$C$47*0.097)))+0.30*(2*((SIN(((Model_Data!A107)*12.9898+(Inputs!$C$6)*78.233+Inputs!$C$47*37.719))*43758.5453)-INT((SIN(((Model_Data!A107)*12.9898+(Inputs!$C$6)*78.233+Inputs!$C$47*37.719))*43758.5453)))-1))))/1000)^2)-(Inputs!$C$5-((Inputs!$C$51*(115*EXP(-(((0)-25)^2)/(4.5^2))+70*EXP(-(((0)+38)^2)/(7^2))*(0.55+0.45*SIN(2*PI()*(Model_Data!A107)/45))+24*SIN(2*PI()*(0)/9+(Model_Data!A107)/18)*EXP(-(((0)+5)^2)/(22^2))+18*SIN(2*PI()*(Model_Data!A107)/70))+Inputs!$C$28*EXP(-(((Model_Data!A107)-Inputs!$C$29)^2)/(2*Inputs!$C$31^2))*EXP(-(((0)-Inputs!$C$30)^2)/(2*Inputs!$C$32^2))+-Inputs!$C$33*EXP(-(((((Model_Data!A107)-Inputs!$C$34)^2)+(((0)-Inputs!$C$35)^2))/(2*Inputs!$C$36^2)))+Inputs!$C$37*(0.55*SIN(2*PI()*(Model_Data!A107)/Inputs!$C$39)+0.35*COS(2*PI()*(0)/Inputs!$C$40)+0.2*SIN(2*PI()*((Model_Data!A107)+(0))/(0.5*(Inputs!$C$39+Inputs!$C$40))))+Inputs!$C$38*SIN(2*PI()*(Model_Data!A107)/Inputs!$C$39)*SIN(2*PI()*(0)/Inputs!$C$40)+-Inputs!$C$41*EXP(-(((0)-Inputs!$C$43)^2)/(2*Inputs!$C$44^2))*EXP(-(((Model_Data!A107)-Inputs!$C$42)^2)/(2*Inputs!$C$45^2))+Inputs!$C$48*(0.70*(0.45*SIN(2*PI()*(((Model_Data!A107)/Inputs!$C$49)+Inputs!$C$47*0.137))+0.35*COS(2*PI()*(((0)/Inputs!$C$50)+Inputs!$C$47*0.173))+0.20*SIN(2*PI()*(((Model_Data!A107)+(0))/(0.5*(Inputs!$C$49+Inputs!$C$50))+Inputs!$C$47*0.097)))+0.30*(2*((SIN(((Model_Data!A107)*12.9898+(0)*78.233+Inputs!$C$47*37.719))*43758.5453)-INT((SIN(((Model_Data!A107)*12.9898+(0)*78.233+Inputs!$C$47*37.719))*43758.5453)))-1))))/1000))*1000/Inputs!$C$12)-((SQRT((Model_Data!A107)^2+Inputs!$C$6^2+Inputs!$C$5^2)-Inputs!$C$5)*1000/Inputs!$C$12)))</x:f>
        <x:v>0.0001749130757389139</x:v>
      </x:c>
      <x:c r="X107" s="48" t="n">
        <x:f>0</x:f>
        <x:v>0</x:v>
      </x:c>
      <x:c r="Y107" s="49"/>
      <x:c r="Z107" s="48" t="n">
        <x:f>Model_Data!A107</x:f>
        <x:v>-7.5</x:v>
      </x:c>
      <x:c r="AA107" s="48" t="n">
        <x:f>SQRT((Model_Data!A107)^2+Inputs!$C$6^2+((Model_Data!B107)-((Inputs!$C$51*(115*EXP(-(((Inputs!$C$6)-25)^2)/(4.5^2))+70*EXP(-(((Inputs!$C$6)+38)^2)/(7^2))*(0.55+0.45*SIN(2*PI()*(Model_Data!A107)/45))+24*SIN(2*PI()*(Inputs!$C$6)/9+(Model_Data!A107)/18)*EXP(-(((Inputs!$C$6)+5)^2)/(22^2))+18*SIN(2*PI()*(Model_Data!A107)/70))+Inputs!$C$28*EXP(-(((Model_Data!A107)-Inputs!$C$29)^2)/(2*Inputs!$C$31^2))*EXP(-(((Inputs!$C$6)-Inputs!$C$30)^2)/(2*Inputs!$C$32^2))+-Inputs!$C$33*EXP(-(((((Model_Data!A107)-Inputs!$C$34)^2)+(((Inputs!$C$6)-Inputs!$C$35)^2))/(2*Inputs!$C$36^2)))+Inputs!$C$37*(0.55*SIN(2*PI()*(Model_Data!A107)/Inputs!$C$39)+0.35*COS(2*PI()*(Inputs!$C$6)/Inputs!$C$40)+0.2*SIN(2*PI()*((Model_Data!A107)+(Inputs!$C$6))/(0.5*(Inputs!$C$39+Inputs!$C$40))))+Inputs!$C$38*SIN(2*PI()*(Model_Data!A107)/Inputs!$C$39)*SIN(2*PI()*(Inputs!$C$6)/Inputs!$C$40)+-Inputs!$C$41*EXP(-(((Inputs!$C$6)-Inputs!$C$43)^2)/(2*Inputs!$C$44^2))*EXP(-(((Model_Data!A107)-Inputs!$C$42)^2)/(2*Inputs!$C$45^2))+Inputs!$C$48*(0.70*(0.45*SIN(2*PI()*(((Model_Data!A107)/Inputs!$C$49)+Inputs!$C$47*0.137))+0.35*COS(2*PI()*(((Inputs!$C$6)/Inputs!$C$50)+Inputs!$C$47*0.173))+0.20*SIN(2*PI()*(((Model_Data!A107)+(Inputs!$C$6))/(0.5*(Inputs!$C$49+Inputs!$C$50))+Inputs!$C$47*0.097)))+0.30*(2*((SIN(((Model_Data!A107)*12.9898+(Inputs!$C$6)*78.233+Inputs!$C$47*37.719))*43758.5453)-INT((SIN(((Model_Data!A107)*12.9898+(Inputs!$C$6)*78.233+Inputs!$C$47*37.719))*43758.5453)))-1))))/1000)^2)</x:f>
        <x:v>400.44376009053025</x:v>
      </x:c>
      <x:c r="AB107" s="48" t="n">
        <x:f>1000*(AA108-AA106)/(Z108-Z106)*Inputs!$C$11</x:f>
        <x:v>-10.882529067430369</x:v>
      </x:c>
      <x:c r="AC107" s="48" t="n">
        <x:f>-2*AB107/Inputs!$C$13</x:f>
        <x:v>4.3530116269721475</x:v>
      </x:c>
      <x:c r="AD107" s="48" t="n">
        <x:f>-2*AB107/Inputs!$C$14</x:f>
        <x:v>0.6536053493952174</x:v>
      </x:c>
    </x:row>
    <x:row r="108">
      <x:c r="A108" s="48" t="n">
        <x:f>Model_Data!A108</x:f>
        <x:v>-7</x:v>
      </x:c>
      <x:c r="B108" s="48" t="n">
        <x:f>Model_Data!F108</x:f>
        <x:v>472.7529825816653</x:v>
      </x:c>
      <x:c r="C108" s="48" t="n">
        <x:f>(((SQRT((Model_Data!A108)^2+Inputs!$C$6^2+((Model_Data!B108)-((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(0.45*SIN(2*PI()*(((Model_Data!A108)/Inputs!$C$49)+Inputs!$C$47*0.137))+0.35*COS(2*PI()*(((Inputs!$C$6)/Inputs!$C$50)+Inputs!$C$47*0.173))+0.20*SIN(2*PI()*(((Model_Data!A108)+(Inputs!$C$6))/(0.5*(Inputs!$C$49+Inputs!$C$50))+Inputs!$C$47*0.097)))+0.30*(2*((SIN(((Model_Data!A108)*12.9898+(Inputs!$C$6)*78.233+Inputs!$C$47*37.719))*43758.5453)-INT((SIN(((Model_Data!A108)*12.9898+(Inputs!$C$6)*78.233+Inputs!$C$47*37.719))*43758.5453)))-1))))/1000)^2))-(((Model_Data!B108)-((Inputs!$C$51*(115*EXP(-(((0)-25)^2)/(4.5^2))+70*EXP(-(((0)+38)^2)/(7^2))*(0.55+0.45*SIN(2*PI()*(Model_Data!A108)/45))+24*SIN(2*PI()*(0)/9+(Model_Data!A108)/18)*EXP(-(((0)+5)^2)/(22^2))+18*SIN(2*PI()*(Model_Data!A108)/70))+Inputs!$C$28*EXP(-(((Model_Data!A108)-Inputs!$C$29)^2)/(2*Inputs!$C$31^2))*EXP(-(((0)-Inputs!$C$30)^2)/(2*Inputs!$C$32^2))+-Inputs!$C$33*EXP(-(((((Model_Data!A108)-Inputs!$C$34)^2)+(((0)-Inputs!$C$35)^2))/(2*Inputs!$C$36^2)))+Inputs!$C$37*(0.55*SIN(2*PI()*(Model_Data!A108)/Inputs!$C$39)+0.35*COS(2*PI()*(0)/Inputs!$C$40)+0.2*SIN(2*PI()*((Model_Data!A108)+(0))/(0.5*(Inputs!$C$39+Inputs!$C$40))))+Inputs!$C$38*SIN(2*PI()*(Model_Data!A108)/Inputs!$C$39)*SIN(2*PI()*(0)/Inputs!$C$40)+-Inputs!$C$41*EXP(-(((0)-Inputs!$C$43)^2)/(2*Inputs!$C$44^2))*EXP(-(((Model_Data!A108)-Inputs!$C$42)^2)/(2*Inputs!$C$45^2))+Inputs!$C$48*(0.70*(0.45*SIN(2*PI()*(((Model_Data!A108)/Inputs!$C$49)+Inputs!$C$47*0.137))+0.35*COS(2*PI()*(((0)/Inputs!$C$50)+Inputs!$C$47*0.173))+0.20*SIN(2*PI()*(((Model_Data!A108)+(0))/(0.5*(Inputs!$C$49+Inputs!$C$50))+Inputs!$C$47*0.097)))+0.30*(2*((SIN(((Model_Data!A108)*12.9898+(0)*78.233+Inputs!$C$47*37.719))*43758.5453)-INT((SIN(((Model_Data!A108)*12.9898+(0)*78.233+Inputs!$C$47*37.719))*43758.5453)))-1))))/1000)))*1000/Inputs!$C$12)</x:f>
        <x:v>197.4312941163607</x:v>
      </x:c>
      <x:c r="D108" s="49"/>
      <x:c r="E108" s="48" t="n">
        <x:f>Model_Data!A108</x:f>
        <x:v>-7</x:v>
      </x:c>
      <x:c r="F108" s="48" t="n">
        <x:f>(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(0.45*SIN(2*PI()*(((Model_Data!A108)/Inputs!$C$49)+Inputs!$C$47*0.137))+0.35*COS(2*PI()*(((Inputs!$C$6)/Inputs!$C$50)+Inputs!$C$47*0.173))+0.20*SIN(2*PI()*(((Model_Data!A108)+(Inputs!$C$6))/(0.5*(Inputs!$C$49+Inputs!$C$50))+Inputs!$C$47*0.097)))+0.30*(2*((SIN(((Model_Data!A108)*12.9898+(Inputs!$C$6)*78.233+Inputs!$C$47*37.719))*43758.5453)-INT((SIN(((Model_Data!A108)*12.9898+(Inputs!$C$6)*78.233+Inputs!$C$47*37.719))*43758.5453)))-1)))</x:f>
        <x:v>442.95708145426426</x:v>
      </x:c>
      <x:c r="G108" s="48" t="n">
        <x:f>(Inputs!$C$51*(115*EXP(-(((0)-25)^2)/(4.5^2))+70*EXP(-(((0)+38)^2)/(7^2))*(0.55+0.45*SIN(2*PI()*(Model_Data!A108)/45))+24*SIN(2*PI()*(0)/9+(Model_Data!A108)/18)*EXP(-(((0)+5)^2)/(22^2))+18*SIN(2*PI()*(Model_Data!A108)/70))+Inputs!$C$28*EXP(-(((Model_Data!A108)-Inputs!$C$29)^2)/(2*Inputs!$C$31^2))*EXP(-(((0)-Inputs!$C$30)^2)/(2*Inputs!$C$32^2))+-Inputs!$C$33*EXP(-(((((Model_Data!A108)-Inputs!$C$34)^2)+(((0)-Inputs!$C$35)^2))/(2*Inputs!$C$36^2)))+Inputs!$C$37*(0.55*SIN(2*PI()*(Model_Data!A108)/Inputs!$C$39)+0.35*COS(2*PI()*(0)/Inputs!$C$40)+0.2*SIN(2*PI()*((Model_Data!A108)+(0))/(0.5*(Inputs!$C$39+Inputs!$C$40))))+Inputs!$C$38*SIN(2*PI()*(Model_Data!A108)/Inputs!$C$39)*SIN(2*PI()*(0)/Inputs!$C$40)+-Inputs!$C$41*EXP(-(((0)-Inputs!$C$43)^2)/(2*Inputs!$C$44^2))*EXP(-(((Model_Data!A108)-Inputs!$C$42)^2)/(2*Inputs!$C$45^2))+Inputs!$C$48*(0.70*(0.45*SIN(2*PI()*(((Model_Data!A108)/Inputs!$C$49)+Inputs!$C$47*0.137))+0.35*COS(2*PI()*(((0)/Inputs!$C$50)+Inputs!$C$47*0.173))+0.20*SIN(2*PI()*(((Model_Data!A108)+(0))/(0.5*(Inputs!$C$49+Inputs!$C$50))+Inputs!$C$47*0.097)))+0.30*(2*((SIN(((Model_Data!A108)*12.9898+(0)*78.233+Inputs!$C$47*37.719))*43758.5453)-INT((SIN(((Model_Data!A108)*12.9898+(0)*78.233+Inputs!$C$47*37.719))*43758.5453)))-1)))</x:f>
        <x:v>-48.04634011268098</x:v>
      </x:c>
      <x:c r="H108" s="49"/>
      <x:c r="I108" s="48" t="n">
        <x:f>Model_Data!A108</x:f>
        <x:v>-7</x:v>
      </x:c>
      <x:c r="J108" s="48" t="n">
        <x:f>((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(0.45*SIN(2*PI()*(((Model_Data!A108)/Inputs!$C$49)+Inputs!$C$47*0.137))+0.35*COS(2*PI()*(((Inputs!$C$6)/Inputs!$C$50)+Inputs!$C$47*0.173))+0.20*SIN(2*PI()*(((Model_Data!A108)+(Inputs!$C$6))/(0.5*(Inputs!$C$49+Inputs!$C$50))+Inputs!$C$47*0.097)))+0.30*(2*((SIN(((Model_Data!A108)*12.9898+(Inputs!$C$6)*78.233+Inputs!$C$47*37.719))*43758.5453)-INT((SIN(((Model_Data!A108)*12.9898+(Inputs!$C$6)*78.233+Inputs!$C$47*37.719))*43758.5453)))-1))))-((Inputs!$C$51*(115*EXP(-(((0)-25)^2)/(4.5^2))+70*EXP(-(((0)+38)^2)/(7^2))*(0.55+0.45*SIN(2*PI()*(Model_Data!A108)/45))+24*SIN(2*PI()*(0)/9+(Model_Data!A108)/18)*EXP(-(((0)+5)^2)/(22^2))+18*SIN(2*PI()*(Model_Data!A108)/70))+Inputs!$C$28*EXP(-(((Model_Data!A108)-Inputs!$C$29)^2)/(2*Inputs!$C$31^2))*EXP(-(((0)-Inputs!$C$30)^2)/(2*Inputs!$C$32^2))+-Inputs!$C$33*EXP(-(((((Model_Data!A108)-Inputs!$C$34)^2)+(((0)-Inputs!$C$35)^2))/(2*Inputs!$C$36^2)))+Inputs!$C$37*(0.55*SIN(2*PI()*(Model_Data!A108)/Inputs!$C$39)+0.35*COS(2*PI()*(0)/Inputs!$C$40)+0.2*SIN(2*PI()*((Model_Data!A108)+(0))/(0.5*(Inputs!$C$39+Inputs!$C$40))))+Inputs!$C$38*SIN(2*PI()*(Model_Data!A108)/Inputs!$C$39)*SIN(2*PI()*(0)/Inputs!$C$40)+-Inputs!$C$41*EXP(-(((0)-Inputs!$C$43)^2)/(2*Inputs!$C$44^2))*EXP(-(((Model_Data!A108)-Inputs!$C$42)^2)/(2*Inputs!$C$45^2))+Inputs!$C$48*(0.70*(0.45*SIN(2*PI()*(((Model_Data!A108)/Inputs!$C$49)+Inputs!$C$47*0.137))+0.35*COS(2*PI()*(((0)/Inputs!$C$50)+Inputs!$C$47*0.173))+0.20*SIN(2*PI()*(((Model_Data!A108)+(0))/(0.5*(Inputs!$C$49+Inputs!$C$50))+Inputs!$C$47*0.097)))+0.30*(2*((SIN(((Model_Data!A108)*12.9898+(0)*78.233+Inputs!$C$47*37.719))*43758.5453)-INT((SIN(((Model_Data!A108)*12.9898+(0)*78.233+Inputs!$C$47*37.719))*43758.5453)))-1))))</x:f>
        <x:v>491.00342156694524</x:v>
      </x:c>
      <x:c r="K108" s="48" t="n">
        <x:f>-((((SQRT((Model_Data!A108)^2+Inputs!$C$6^2+((Model_Data!B108)-((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(0.45*SIN(2*PI()*(((Model_Data!A108)/Inputs!$C$49)+Inputs!$C$47*0.137))+0.35*COS(2*PI()*(((Inputs!$C$6)/Inputs!$C$50)+Inputs!$C$47*0.173))+0.20*SIN(2*PI()*(((Model_Data!A108)+(Inputs!$C$6))/(0.5*(Inputs!$C$49+Inputs!$C$50))+Inputs!$C$47*0.097)))+0.30*(2*((SIN(((Model_Data!A108)*12.9898+(Inputs!$C$6)*78.233+Inputs!$C$47*37.719))*43758.5453)-INT((SIN(((Model_Data!A108)*12.9898+(Inputs!$C$6)*78.233+Inputs!$C$47*37.719))*43758.5453)))-1))))/1000)^2))-(((Model_Data!B108)-((Inputs!$C$51*(115*EXP(-(((0)-25)^2)/(4.5^2))+70*EXP(-(((0)+38)^2)/(7^2))*(0.55+0.45*SIN(2*PI()*(Model_Data!A108)/45))+24*SIN(2*PI()*(0)/9+(Model_Data!A108)/18)*EXP(-(((0)+5)^2)/(22^2))+18*SIN(2*PI()*(Model_Data!A108)/70))+Inputs!$C$28*EXP(-(((Model_Data!A108)-Inputs!$C$29)^2)/(2*Inputs!$C$31^2))*EXP(-(((0)-Inputs!$C$30)^2)/(2*Inputs!$C$32^2))+-Inputs!$C$33*EXP(-(((((Model_Data!A108)-Inputs!$C$34)^2)+(((0)-Inputs!$C$35)^2))/(2*Inputs!$C$36^2)))+Inputs!$C$37*(0.55*SIN(2*PI()*(Model_Data!A108)/Inputs!$C$39)+0.35*COS(2*PI()*(0)/Inputs!$C$40)+0.2*SIN(2*PI()*((Model_Data!A108)+(0))/(0.5*(Inputs!$C$39+Inputs!$C$40))))+Inputs!$C$38*SIN(2*PI()*(Model_Data!A108)/Inputs!$C$39)*SIN(2*PI()*(0)/Inputs!$C$40)+-Inputs!$C$41*EXP(-(((0)-Inputs!$C$43)^2)/(2*Inputs!$C$44^2))*EXP(-(((Model_Data!A108)-Inputs!$C$42)^2)/(2*Inputs!$C$45^2))+Inputs!$C$48*(0.70*(0.45*SIN(2*PI()*(((Model_Data!A108)/Inputs!$C$49)+Inputs!$C$47*0.137))+0.35*COS(2*PI()*(((0)/Inputs!$C$50)+Inputs!$C$47*0.173))+0.20*SIN(2*PI()*(((Model_Data!A108)+(0))/(0.5*(Inputs!$C$49+Inputs!$C$50))+Inputs!$C$47*0.097)))+0.30*(2*((SIN(((Model_Data!A108)*12.9898+(0)*78.233+Inputs!$C$47*37.719))*43758.5453)-INT((SIN(((Model_Data!A108)*12.9898+(0)*78.233+Inputs!$C$47*37.719))*43758.5453)))-1))))/1000)))*1000/Inputs!$C$12)-Model_Data!F108)</x:f>
        <x:v>275.32168846530465</x:v>
      </x:c>
      <x:c r="L108" s="49"/>
      <x:c r="M108" s="48" t="n">
        <x:f>Model_Data!A108</x:f>
        <x:v>-7</x:v>
      </x:c>
      <x:c r="N108" s="48" t="n">
        <x:f>Model_Data!P108</x:f>
        <x:v>52.77406991556359</x:v>
      </x:c>
      <x:c r="O108" s="48" t="n">
        <x:f>AC108</x:f>
        <x:v>29.728324004281603</x:v>
      </x:c>
      <x:c r="P108" s="48" t="n">
        <x:f>Model_Data!Q108</x:f>
        <x:v>7.924034521856395</x:v>
      </x:c>
      <x:c r="Q108" s="48" t="n">
        <x:f>AD108</x:f>
        <x:v>4.463712312955196</x:v>
      </x:c>
      <x:c r="R108" s="49"/>
      <x:c r="S108" s="48" t="n">
        <x:f>Model_Data!A108</x:f>
        <x:v>-7</x:v>
      </x:c>
      <x:c r="T108" s="48" t="n">
        <x:f>Model_Data!B108-Inputs!$C$5</x:f>
        <x:v>0.05444444444447072</x:v>
      </x:c>
      <x:c r="U108" s="49"/>
      <x:c r="V108" s="48" t="n">
        <x:f>Model_Data!A108</x:f>
        <x:v>-7</x:v>
      </x:c>
      <x:c r="W108" s="48" t="n">
        <x:f>(-((((SQRT((Model_Data!A108)^2+Inputs!$C$6^2+((Model_Data!B108)-((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(0.45*SIN(2*PI()*(((Model_Data!A108)/Inputs!$C$49)+Inputs!$C$47*0.137))+0.35*COS(2*PI()*(((Inputs!$C$6)/Inputs!$C$50)+Inputs!$C$47*0.173))+0.20*SIN(2*PI()*(((Model_Data!A108)+(Inputs!$C$6))/(0.5*(Inputs!$C$49+Inputs!$C$50))+Inputs!$C$47*0.097)))+0.30*(2*((SIN(((Model_Data!A108)*12.9898+(Inputs!$C$6)*78.233+Inputs!$C$47*37.719))*43758.5453)-INT((SIN(((Model_Data!A108)*12.9898+(Inputs!$C$6)*78.233+Inputs!$C$47*37.719))*43758.5453)))-1))))/1000)^2))-(((Model_Data!B108)-((Inputs!$C$51*(115*EXP(-(((0)-25)^2)/(4.5^2))+70*EXP(-(((0)+38)^2)/(7^2))*(0.55+0.45*SIN(2*PI()*(Model_Data!A108)/45))+24*SIN(2*PI()*(0)/9+(Model_Data!A108)/18)*EXP(-(((0)+5)^2)/(22^2))+18*SIN(2*PI()*(Model_Data!A108)/70))+Inputs!$C$28*EXP(-(((Model_Data!A108)-Inputs!$C$29)^2)/(2*Inputs!$C$31^2))*EXP(-(((0)-Inputs!$C$30)^2)/(2*Inputs!$C$32^2))+-Inputs!$C$33*EXP(-(((((Model_Data!A108)-Inputs!$C$34)^2)+(((0)-Inputs!$C$35)^2))/(2*Inputs!$C$36^2)))+Inputs!$C$37*(0.55*SIN(2*PI()*(Model_Data!A108)/Inputs!$C$39)+0.35*COS(2*PI()*(0)/Inputs!$C$40)+0.2*SIN(2*PI()*((Model_Data!A108)+(0))/(0.5*(Inputs!$C$39+Inputs!$C$40))))+Inputs!$C$38*SIN(2*PI()*(Model_Data!A108)/Inputs!$C$39)*SIN(2*PI()*(0)/Inputs!$C$40)+-Inputs!$C$41*EXP(-(((0)-Inputs!$C$43)^2)/(2*Inputs!$C$44^2))*EXP(-(((Model_Data!A108)-Inputs!$C$42)^2)/(2*Inputs!$C$45^2))+Inputs!$C$48*(0.70*(0.45*SIN(2*PI()*(((Model_Data!A108)/Inputs!$C$49)+Inputs!$C$47*0.137))+0.35*COS(2*PI()*(((0)/Inputs!$C$50)+Inputs!$C$47*0.173))+0.20*SIN(2*PI()*(((Model_Data!A108)+(0))/(0.5*(Inputs!$C$49+Inputs!$C$50))+Inputs!$C$47*0.097)))+0.30*(2*((SIN(((Model_Data!A108)*12.9898+(0)*78.233+Inputs!$C$47*37.719))*43758.5453)-INT((SIN(((Model_Data!A108)*12.9898+(0)*78.233+Inputs!$C$47*37.719))*43758.5453)))-1))))/1000)))*1000/Inputs!$C$12)-Model_Data!F108))-(-(((SQRT((Model_Data!A108)^2+Inputs!$C$6^2+(Inputs!$C$5-((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(0.45*SIN(2*PI()*(((Model_Data!A108)/Inputs!$C$49)+Inputs!$C$47*0.137))+0.35*COS(2*PI()*(((Inputs!$C$6)/Inputs!$C$50)+Inputs!$C$47*0.173))+0.20*SIN(2*PI()*(((Model_Data!A108)+(Inputs!$C$6))/(0.5*(Inputs!$C$49+Inputs!$C$50))+Inputs!$C$47*0.097)))+0.30*(2*((SIN(((Model_Data!A108)*12.9898+(Inputs!$C$6)*78.233+Inputs!$C$47*37.719))*43758.5453)-INT((SIN(((Model_Data!A108)*12.9898+(Inputs!$C$6)*78.233+Inputs!$C$47*37.719))*43758.5453)))-1))))/1000)^2)-(Inputs!$C$5-((Inputs!$C$51*(115*EXP(-(((0)-25)^2)/(4.5^2))+70*EXP(-(((0)+38)^2)/(7^2))*(0.55+0.45*SIN(2*PI()*(Model_Data!A108)/45))+24*SIN(2*PI()*(0)/9+(Model_Data!A108)/18)*EXP(-(((0)+5)^2)/(22^2))+18*SIN(2*PI()*(Model_Data!A108)/70))+Inputs!$C$28*EXP(-(((Model_Data!A108)-Inputs!$C$29)^2)/(2*Inputs!$C$31^2))*EXP(-(((0)-Inputs!$C$30)^2)/(2*Inputs!$C$32^2))+-Inputs!$C$33*EXP(-(((((Model_Data!A108)-Inputs!$C$34)^2)+(((0)-Inputs!$C$35)^2))/(2*Inputs!$C$36^2)))+Inputs!$C$37*(0.55*SIN(2*PI()*(Model_Data!A108)/Inputs!$C$39)+0.35*COS(2*PI()*(0)/Inputs!$C$40)+0.2*SIN(2*PI()*((Model_Data!A108)+(0))/(0.5*(Inputs!$C$39+Inputs!$C$40))))+Inputs!$C$38*SIN(2*PI()*(Model_Data!A108)/Inputs!$C$39)*SIN(2*PI()*(0)/Inputs!$C$40)+-Inputs!$C$41*EXP(-(((0)-Inputs!$C$43)^2)/(2*Inputs!$C$44^2))*EXP(-(((Model_Data!A108)-Inputs!$C$42)^2)/(2*Inputs!$C$45^2))+Inputs!$C$48*(0.70*(0.45*SIN(2*PI()*(((Model_Data!A108)/Inputs!$C$49)+Inputs!$C$47*0.137))+0.35*COS(2*PI()*(((0)/Inputs!$C$50)+Inputs!$C$47*0.173))+0.20*SIN(2*PI()*(((Model_Data!A108)+(0))/(0.5*(Inputs!$C$49+Inputs!$C$50))+Inputs!$C$47*0.097)))+0.30*(2*((SIN(((Model_Data!A108)*12.9898+(0)*78.233+Inputs!$C$47*37.719))*43758.5453)-INT((SIN(((Model_Data!A108)*12.9898+(0)*78.233+Inputs!$C$47*37.719))*43758.5453)))-1))))/1000))*1000/Inputs!$C$12)-((SQRT((Model_Data!A108)^2+Inputs!$C$6^2+Inputs!$C$5^2)-Inputs!$C$5)*1000/Inputs!$C$12)))</x:f>
        <x:v>0.00014199307196349764</x:v>
      </x:c>
      <x:c r="X108" s="48" t="n">
        <x:f>0</x:f>
        <x:v>0</x:v>
      </x:c>
      <x:c r="Y108" s="49"/>
      <x:c r="Z108" s="48" t="n">
        <x:f>Model_Data!A108</x:f>
        <x:v>-7</x:v>
      </x:c>
      <x:c r="AA108" s="48" t="n">
        <x:f>SQRT((Model_Data!A108)^2+Inputs!$C$6^2+((Model_Data!B108)-((Inputs!$C$51*(115*EXP(-(((Inputs!$C$6)-25)^2)/(4.5^2))+70*EXP(-(((Inputs!$C$6)+38)^2)/(7^2))*(0.55+0.45*SIN(2*PI()*(Model_Data!A108)/45))+24*SIN(2*PI()*(Inputs!$C$6)/9+(Model_Data!A108)/18)*EXP(-(((Inputs!$C$6)+5)^2)/(22^2))+18*SIN(2*PI()*(Model_Data!A108)/70))+Inputs!$C$28*EXP(-(((Model_Data!A108)-Inputs!$C$29)^2)/(2*Inputs!$C$31^2))*EXP(-(((Inputs!$C$6)-Inputs!$C$30)^2)/(2*Inputs!$C$32^2))+-Inputs!$C$33*EXP(-(((((Model_Data!A108)-Inputs!$C$34)^2)+(((Inputs!$C$6)-Inputs!$C$35)^2))/(2*Inputs!$C$36^2)))+Inputs!$C$37*(0.55*SIN(2*PI()*(Model_Data!A108)/Inputs!$C$39)+0.35*COS(2*PI()*(Inputs!$C$6)/Inputs!$C$40)+0.2*SIN(2*PI()*((Model_Data!A108)+(Inputs!$C$6))/(0.5*(Inputs!$C$39+Inputs!$C$40))))+Inputs!$C$38*SIN(2*PI()*(Model_Data!A108)/Inputs!$C$39)*SIN(2*PI()*(Inputs!$C$6)/Inputs!$C$40)+-Inputs!$C$41*EXP(-(((Inputs!$C$6)-Inputs!$C$43)^2)/(2*Inputs!$C$44^2))*EXP(-(((Model_Data!A108)-Inputs!$C$42)^2)/(2*Inputs!$C$45^2))+Inputs!$C$48*(0.70*(0.45*SIN(2*PI()*(((Model_Data!A108)/Inputs!$C$49)+Inputs!$C$47*0.137))+0.35*COS(2*PI()*(((Inputs!$C$6)/Inputs!$C$50)+Inputs!$C$47*0.173))+0.20*SIN(2*PI()*(((Model_Data!A108)+(Inputs!$C$6))/(0.5*(Inputs!$C$49+Inputs!$C$50))+Inputs!$C$47*0.097)))+0.30*(2*((SIN(((Model_Data!A108)*12.9898+(Inputs!$C$6)*78.233+Inputs!$C$47*37.719))*43758.5453)-INT((SIN(((Model_Data!A108)*12.9898+(Inputs!$C$6)*78.233+Inputs!$C$47*37.719))*43758.5453)))-1))))/1000)^2)</x:f>
        <x:v>400.4539184880843</x:v>
      </x:c>
      <x:c r="AB108" s="48" t="n">
        <x:f>1000*(AA109-AA107)/(Z109-Z107)*Inputs!$C$11</x:f>
        <x:v>-74.32081001070401</x:v>
      </x:c>
      <x:c r="AC108" s="48" t="n">
        <x:f>-2*AB108/Inputs!$C$13</x:f>
        <x:v>29.728324004281603</x:v>
      </x:c>
      <x:c r="AD108" s="48" t="n">
        <x:f>-2*AB108/Inputs!$C$14</x:f>
        <x:v>4.463712312955196</x:v>
      </x:c>
    </x:row>
    <x:row r="109">
      <x:c r="A109" s="48" t="n">
        <x:f>Model_Data!A109</x:f>
        <x:v>-6.5</x:v>
      </x:c>
      <x:c r="B109" s="48" t="n">
        <x:f>Model_Data!F109</x:f>
        <x:v>468.03211415006706</x:v>
      </x:c>
      <x:c r="C109" s="48" t="n">
        <x:f>(((SQRT((Model_Data!A109)^2+Inputs!$C$6^2+((Model_Data!B109)-((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(0.45*SIN(2*PI()*(((Model_Data!A109)/Inputs!$C$49)+Inputs!$C$47*0.137))+0.35*COS(2*PI()*(((Inputs!$C$6)/Inputs!$C$50)+Inputs!$C$47*0.173))+0.20*SIN(2*PI()*(((Model_Data!A109)+(Inputs!$C$6))/(0.5*(Inputs!$C$49+Inputs!$C$50))+Inputs!$C$47*0.097)))+0.30*(2*((SIN(((Model_Data!A109)*12.9898+(Inputs!$C$6)*78.233+Inputs!$C$47*37.719))*43758.5453)-INT((SIN(((Model_Data!A109)*12.9898+(Inputs!$C$6)*78.233+Inputs!$C$47*37.719))*43758.5453)))-1))))/1000)^2))-(((Model_Data!B109)-((Inputs!$C$51*(115*EXP(-(((0)-25)^2)/(4.5^2))+70*EXP(-(((0)+38)^2)/(7^2))*(0.55+0.45*SIN(2*PI()*(Model_Data!A109)/45))+24*SIN(2*PI()*(0)/9+(Model_Data!A109)/18)*EXP(-(((0)+5)^2)/(22^2))+18*SIN(2*PI()*(Model_Data!A109)/70))+Inputs!$C$28*EXP(-(((Model_Data!A109)-Inputs!$C$29)^2)/(2*Inputs!$C$31^2))*EXP(-(((0)-Inputs!$C$30)^2)/(2*Inputs!$C$32^2))+-Inputs!$C$33*EXP(-(((((Model_Data!A109)-Inputs!$C$34)^2)+(((0)-Inputs!$C$35)^2))/(2*Inputs!$C$36^2)))+Inputs!$C$37*(0.55*SIN(2*PI()*(Model_Data!A109)/Inputs!$C$39)+0.35*COS(2*PI()*(0)/Inputs!$C$40)+0.2*SIN(2*PI()*((Model_Data!A109)+(0))/(0.5*(Inputs!$C$39+Inputs!$C$40))))+Inputs!$C$38*SIN(2*PI()*(Model_Data!A109)/Inputs!$C$39)*SIN(2*PI()*(0)/Inputs!$C$40)+-Inputs!$C$41*EXP(-(((0)-Inputs!$C$43)^2)/(2*Inputs!$C$44^2))*EXP(-(((Model_Data!A109)-Inputs!$C$42)^2)/(2*Inputs!$C$45^2))+Inputs!$C$48*(0.70*(0.45*SIN(2*PI()*(((Model_Data!A109)/Inputs!$C$49)+Inputs!$C$47*0.137))+0.35*COS(2*PI()*(((0)/Inputs!$C$50)+Inputs!$C$47*0.173))+0.20*SIN(2*PI()*(((Model_Data!A109)+(0))/(0.5*(Inputs!$C$49+Inputs!$C$50))+Inputs!$C$47*0.097)))+0.30*(2*((SIN(((Model_Data!A109)*12.9898+(0)*78.233+Inputs!$C$47*37.719))*43758.5453)-INT((SIN(((Model_Data!A109)*12.9898+(0)*78.233+Inputs!$C$47*37.719))*43758.5453)))-1))))/1000)))*1000/Inputs!$C$12)</x:f>
        <x:v>179.0837864761537</x:v>
      </x:c>
      <x:c r="D109" s="49"/>
      <x:c r="E109" s="48" t="n">
        <x:f>Model_Data!A109</x:f>
        <x:v>-6.5</x:v>
      </x:c>
      <x:c r="F109" s="48" t="n">
        <x:f>(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(0.45*SIN(2*PI()*(((Model_Data!A109)/Inputs!$C$49)+Inputs!$C$47*0.137))+0.35*COS(2*PI()*(((Inputs!$C$6)/Inputs!$C$50)+Inputs!$C$47*0.173))+0.20*SIN(2*PI()*(((Model_Data!A109)+(Inputs!$C$6))/(0.5*(Inputs!$C$49+Inputs!$C$50))+Inputs!$C$47*0.097)))+0.30*(2*((SIN(((Model_Data!A109)*12.9898+(Inputs!$C$6)*78.233+Inputs!$C$47*37.719))*43758.5453)-INT((SIN(((Model_Data!A109)*12.9898+(Inputs!$C$6)*78.233+Inputs!$C$47*37.719))*43758.5453)))-1)))</x:f>
        <x:v>455.8100478474453</x:v>
      </x:c>
      <x:c r="G109" s="48" t="n">
        <x:f>(Inputs!$C$51*(115*EXP(-(((0)-25)^2)/(4.5^2))+70*EXP(-(((0)+38)^2)/(7^2))*(0.55+0.45*SIN(2*PI()*(Model_Data!A109)/45))+24*SIN(2*PI()*(0)/9+(Model_Data!A109)/18)*EXP(-(((0)+5)^2)/(22^2))+18*SIN(2*PI()*(Model_Data!A109)/70))+Inputs!$C$28*EXP(-(((Model_Data!A109)-Inputs!$C$29)^2)/(2*Inputs!$C$31^2))*EXP(-(((0)-Inputs!$C$30)^2)/(2*Inputs!$C$32^2))+-Inputs!$C$33*EXP(-(((((Model_Data!A109)-Inputs!$C$34)^2)+(((0)-Inputs!$C$35)^2))/(2*Inputs!$C$36^2)))+Inputs!$C$37*(0.55*SIN(2*PI()*(Model_Data!A109)/Inputs!$C$39)+0.35*COS(2*PI()*(0)/Inputs!$C$40)+0.2*SIN(2*PI()*((Model_Data!A109)+(0))/(0.5*(Inputs!$C$39+Inputs!$C$40))))+Inputs!$C$38*SIN(2*PI()*(Model_Data!A109)/Inputs!$C$39)*SIN(2*PI()*(0)/Inputs!$C$40)+-Inputs!$C$41*EXP(-(((0)-Inputs!$C$43)^2)/(2*Inputs!$C$44^2))*EXP(-(((Model_Data!A109)-Inputs!$C$42)^2)/(2*Inputs!$C$45^2))+Inputs!$C$48*(0.70*(0.45*SIN(2*PI()*(((Model_Data!A109)/Inputs!$C$49)+Inputs!$C$47*0.137))+0.35*COS(2*PI()*(((0)/Inputs!$C$50)+Inputs!$C$47*0.173))+0.20*SIN(2*PI()*(((Model_Data!A109)+(0))/(0.5*(Inputs!$C$49+Inputs!$C$50))+Inputs!$C$47*0.097)))+0.30*(2*((SIN(((Model_Data!A109)*12.9898+(0)*78.233+Inputs!$C$47*37.719))*43758.5453)-INT((SIN(((Model_Data!A109)*12.9898+(0)*78.233+Inputs!$C$47*37.719))*43758.5453)))-1)))</x:f>
        <x:v>-59.466303655605586</x:v>
      </x:c>
      <x:c r="H109" s="49"/>
      <x:c r="I109" s="48" t="n">
        <x:f>Model_Data!A109</x:f>
        <x:v>-6.5</x:v>
      </x:c>
      <x:c r="J109" s="48" t="n">
        <x:f>((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(0.45*SIN(2*PI()*(((Model_Data!A109)/Inputs!$C$49)+Inputs!$C$47*0.137))+0.35*COS(2*PI()*(((Inputs!$C$6)/Inputs!$C$50)+Inputs!$C$47*0.173))+0.20*SIN(2*PI()*(((Model_Data!A109)+(Inputs!$C$6))/(0.5*(Inputs!$C$49+Inputs!$C$50))+Inputs!$C$47*0.097)))+0.30*(2*((SIN(((Model_Data!A109)*12.9898+(Inputs!$C$6)*78.233+Inputs!$C$47*37.719))*43758.5453)-INT((SIN(((Model_Data!A109)*12.9898+(Inputs!$C$6)*78.233+Inputs!$C$47*37.719))*43758.5453)))-1))))-((Inputs!$C$51*(115*EXP(-(((0)-25)^2)/(4.5^2))+70*EXP(-(((0)+38)^2)/(7^2))*(0.55+0.45*SIN(2*PI()*(Model_Data!A109)/45))+24*SIN(2*PI()*(0)/9+(Model_Data!A109)/18)*EXP(-(((0)+5)^2)/(22^2))+18*SIN(2*PI()*(Model_Data!A109)/70))+Inputs!$C$28*EXP(-(((Model_Data!A109)-Inputs!$C$29)^2)/(2*Inputs!$C$31^2))*EXP(-(((0)-Inputs!$C$30)^2)/(2*Inputs!$C$32^2))+-Inputs!$C$33*EXP(-(((((Model_Data!A109)-Inputs!$C$34)^2)+(((0)-Inputs!$C$35)^2))/(2*Inputs!$C$36^2)))+Inputs!$C$37*(0.55*SIN(2*PI()*(Model_Data!A109)/Inputs!$C$39)+0.35*COS(2*PI()*(0)/Inputs!$C$40)+0.2*SIN(2*PI()*((Model_Data!A109)+(0))/(0.5*(Inputs!$C$39+Inputs!$C$40))))+Inputs!$C$38*SIN(2*PI()*(Model_Data!A109)/Inputs!$C$39)*SIN(2*PI()*(0)/Inputs!$C$40)+-Inputs!$C$41*EXP(-(((0)-Inputs!$C$43)^2)/(2*Inputs!$C$44^2))*EXP(-(((Model_Data!A109)-Inputs!$C$42)^2)/(2*Inputs!$C$45^2))+Inputs!$C$48*(0.70*(0.45*SIN(2*PI()*(((Model_Data!A109)/Inputs!$C$49)+Inputs!$C$47*0.137))+0.35*COS(2*PI()*(((0)/Inputs!$C$50)+Inputs!$C$47*0.173))+0.20*SIN(2*PI()*(((Model_Data!A109)+(0))/(0.5*(Inputs!$C$49+Inputs!$C$50))+Inputs!$C$47*0.097)))+0.30*(2*((SIN(((Model_Data!A109)*12.9898+(0)*78.233+Inputs!$C$47*37.719))*43758.5453)-INT((SIN(((Model_Data!A109)*12.9898+(0)*78.233+Inputs!$C$47*37.719))*43758.5453)))-1))))</x:f>
        <x:v>515.2763515030508</x:v>
      </x:c>
      <x:c r="K109" s="48" t="n">
        <x:f>-((((SQRT((Model_Data!A109)^2+Inputs!$C$6^2+((Model_Data!B109)-((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(0.45*SIN(2*PI()*(((Model_Data!A109)/Inputs!$C$49)+Inputs!$C$47*0.137))+0.35*COS(2*PI()*(((Inputs!$C$6)/Inputs!$C$50)+Inputs!$C$47*0.173))+0.20*SIN(2*PI()*(((Model_Data!A109)+(Inputs!$C$6))/(0.5*(Inputs!$C$49+Inputs!$C$50))+Inputs!$C$47*0.097)))+0.30*(2*((SIN(((Model_Data!A109)*12.9898+(Inputs!$C$6)*78.233+Inputs!$C$47*37.719))*43758.5453)-INT((SIN(((Model_Data!A109)*12.9898+(Inputs!$C$6)*78.233+Inputs!$C$47*37.719))*43758.5453)))-1))))/1000)^2))-(((Model_Data!B109)-((Inputs!$C$51*(115*EXP(-(((0)-25)^2)/(4.5^2))+70*EXP(-(((0)+38)^2)/(7^2))*(0.55+0.45*SIN(2*PI()*(Model_Data!A109)/45))+24*SIN(2*PI()*(0)/9+(Model_Data!A109)/18)*EXP(-(((0)+5)^2)/(22^2))+18*SIN(2*PI()*(Model_Data!A109)/70))+Inputs!$C$28*EXP(-(((Model_Data!A109)-Inputs!$C$29)^2)/(2*Inputs!$C$31^2))*EXP(-(((0)-Inputs!$C$30)^2)/(2*Inputs!$C$32^2))+-Inputs!$C$33*EXP(-(((((Model_Data!A109)-Inputs!$C$34)^2)+(((0)-Inputs!$C$35)^2))/(2*Inputs!$C$36^2)))+Inputs!$C$37*(0.55*SIN(2*PI()*(Model_Data!A109)/Inputs!$C$39)+0.35*COS(2*PI()*(0)/Inputs!$C$40)+0.2*SIN(2*PI()*((Model_Data!A109)+(0))/(0.5*(Inputs!$C$39+Inputs!$C$40))))+Inputs!$C$38*SIN(2*PI()*(Model_Data!A109)/Inputs!$C$39)*SIN(2*PI()*(0)/Inputs!$C$40)+-Inputs!$C$41*EXP(-(((0)-Inputs!$C$43)^2)/(2*Inputs!$C$44^2))*EXP(-(((Model_Data!A109)-Inputs!$C$42)^2)/(2*Inputs!$C$45^2))+Inputs!$C$48*(0.70*(0.45*SIN(2*PI()*(((Model_Data!A109)/Inputs!$C$49)+Inputs!$C$47*0.137))+0.35*COS(2*PI()*(((0)/Inputs!$C$50)+Inputs!$C$47*0.173))+0.20*SIN(2*PI()*(((Model_Data!A109)+(0))/(0.5*(Inputs!$C$49+Inputs!$C$50))+Inputs!$C$47*0.097)))+0.30*(2*((SIN(((Model_Data!A109)*12.9898+(0)*78.233+Inputs!$C$47*37.719))*43758.5453)-INT((SIN(((Model_Data!A109)*12.9898+(0)*78.233+Inputs!$C$47*37.719))*43758.5453)))-1))))/1000)))*1000/Inputs!$C$12)-Model_Data!F109)</x:f>
        <x:v>288.94832767391335</x:v>
      </x:c>
      <x:c r="L109" s="49"/>
      <x:c r="M109" s="48" t="n">
        <x:f>Model_Data!A109</x:f>
        <x:v>-6.5</x:v>
      </x:c>
      <x:c r="N109" s="48" t="n">
        <x:f>Model_Data!P109</x:f>
        <x:v>49.00600514790521</x:v>
      </x:c>
      <x:c r="O109" s="48" t="n">
        <x:f>AC109</x:f>
        <x:v>56.69282373273745</x:v>
      </x:c>
      <x:c r="P109" s="48" t="n">
        <x:f>Model_Data!Q109</x:f>
        <x:v>7.358259031217</x:v>
      </x:c>
      <x:c r="Q109" s="48" t="n">
        <x:f>AD109</x:f>
        <x:v>8.512435995906525</x:v>
      </x:c>
      <x:c r="R109" s="49"/>
      <x:c r="S109" s="48" t="n">
        <x:f>Model_Data!A109</x:f>
        <x:v>-6.5</x:v>
      </x:c>
      <x:c r="T109" s="48" t="n">
        <x:f>Model_Data!B109-Inputs!$C$5</x:f>
        <x:v>0.046944444444420697</x:v>
      </x:c>
      <x:c r="U109" s="49"/>
      <x:c r="V109" s="48" t="n">
        <x:f>Model_Data!A109</x:f>
        <x:v>-6.5</x:v>
      </x:c>
      <x:c r="W109" s="48" t="n">
        <x:f>(-((((SQRT((Model_Data!A109)^2+Inputs!$C$6^2+((Model_Data!B109)-((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(0.45*SIN(2*PI()*(((Model_Data!A109)/Inputs!$C$49)+Inputs!$C$47*0.137))+0.35*COS(2*PI()*(((Inputs!$C$6)/Inputs!$C$50)+Inputs!$C$47*0.173))+0.20*SIN(2*PI()*(((Model_Data!A109)+(Inputs!$C$6))/(0.5*(Inputs!$C$49+Inputs!$C$50))+Inputs!$C$47*0.097)))+0.30*(2*((SIN(((Model_Data!A109)*12.9898+(Inputs!$C$6)*78.233+Inputs!$C$47*37.719))*43758.5453)-INT((SIN(((Model_Data!A109)*12.9898+(Inputs!$C$6)*78.233+Inputs!$C$47*37.719))*43758.5453)))-1))))/1000)^2))-(((Model_Data!B109)-((Inputs!$C$51*(115*EXP(-(((0)-25)^2)/(4.5^2))+70*EXP(-(((0)+38)^2)/(7^2))*(0.55+0.45*SIN(2*PI()*(Model_Data!A109)/45))+24*SIN(2*PI()*(0)/9+(Model_Data!A109)/18)*EXP(-(((0)+5)^2)/(22^2))+18*SIN(2*PI()*(Model_Data!A109)/70))+Inputs!$C$28*EXP(-(((Model_Data!A109)-Inputs!$C$29)^2)/(2*Inputs!$C$31^2))*EXP(-(((0)-Inputs!$C$30)^2)/(2*Inputs!$C$32^2))+-Inputs!$C$33*EXP(-(((((Model_Data!A109)-Inputs!$C$34)^2)+(((0)-Inputs!$C$35)^2))/(2*Inputs!$C$36^2)))+Inputs!$C$37*(0.55*SIN(2*PI()*(Model_Data!A109)/Inputs!$C$39)+0.35*COS(2*PI()*(0)/Inputs!$C$40)+0.2*SIN(2*PI()*((Model_Data!A109)+(0))/(0.5*(Inputs!$C$39+Inputs!$C$40))))+Inputs!$C$38*SIN(2*PI()*(Model_Data!A109)/Inputs!$C$39)*SIN(2*PI()*(0)/Inputs!$C$40)+-Inputs!$C$41*EXP(-(((0)-Inputs!$C$43)^2)/(2*Inputs!$C$44^2))*EXP(-(((Model_Data!A109)-Inputs!$C$42)^2)/(2*Inputs!$C$45^2))+Inputs!$C$48*(0.70*(0.45*SIN(2*PI()*(((Model_Data!A109)/Inputs!$C$49)+Inputs!$C$47*0.137))+0.35*COS(2*PI()*(((0)/Inputs!$C$50)+Inputs!$C$47*0.173))+0.20*SIN(2*PI()*(((Model_Data!A109)+(0))/(0.5*(Inputs!$C$49+Inputs!$C$50))+Inputs!$C$47*0.097)))+0.30*(2*((SIN(((Model_Data!A109)*12.9898+(0)*78.233+Inputs!$C$47*37.719))*43758.5453)-INT((SIN(((Model_Data!A109)*12.9898+(0)*78.233+Inputs!$C$47*37.719))*43758.5453)))-1))))/1000)))*1000/Inputs!$C$12)-Model_Data!F109))-(-(((SQRT((Model_Data!A109)^2+Inputs!$C$6^2+(Inputs!$C$5-((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(0.45*SIN(2*PI()*(((Model_Data!A109)/Inputs!$C$49)+Inputs!$C$47*0.137))+0.35*COS(2*PI()*(((Inputs!$C$6)/Inputs!$C$50)+Inputs!$C$47*0.173))+0.20*SIN(2*PI()*(((Model_Data!A109)+(Inputs!$C$6))/(0.5*(Inputs!$C$49+Inputs!$C$50))+Inputs!$C$47*0.097)))+0.30*(2*((SIN(((Model_Data!A109)*12.9898+(Inputs!$C$6)*78.233+Inputs!$C$47*37.719))*43758.5453)-INT((SIN(((Model_Data!A109)*12.9898+(Inputs!$C$6)*78.233+Inputs!$C$47*37.719))*43758.5453)))-1))))/1000)^2)-(Inputs!$C$5-((Inputs!$C$51*(115*EXP(-(((0)-25)^2)/(4.5^2))+70*EXP(-(((0)+38)^2)/(7^2))*(0.55+0.45*SIN(2*PI()*(Model_Data!A109)/45))+24*SIN(2*PI()*(0)/9+(Model_Data!A109)/18)*EXP(-(((0)+5)^2)/(22^2))+18*SIN(2*PI()*(Model_Data!A109)/70))+Inputs!$C$28*EXP(-(((Model_Data!A109)-Inputs!$C$29)^2)/(2*Inputs!$C$31^2))*EXP(-(((0)-Inputs!$C$30)^2)/(2*Inputs!$C$32^2))+-Inputs!$C$33*EXP(-(((((Model_Data!A109)-Inputs!$C$34)^2)+(((0)-Inputs!$C$35)^2))/(2*Inputs!$C$36^2)))+Inputs!$C$37*(0.55*SIN(2*PI()*(Model_Data!A109)/Inputs!$C$39)+0.35*COS(2*PI()*(0)/Inputs!$C$40)+0.2*SIN(2*PI()*((Model_Data!A109)+(0))/(0.5*(Inputs!$C$39+Inputs!$C$40))))+Inputs!$C$38*SIN(2*PI()*(Model_Data!A109)/Inputs!$C$39)*SIN(2*PI()*(0)/Inputs!$C$40)+-Inputs!$C$41*EXP(-(((0)-Inputs!$C$43)^2)/(2*Inputs!$C$44^2))*EXP(-(((Model_Data!A109)-Inputs!$C$42)^2)/(2*Inputs!$C$45^2))+Inputs!$C$48*(0.70*(0.45*SIN(2*PI()*(((Model_Data!A109)/Inputs!$C$49)+Inputs!$C$47*0.137))+0.35*COS(2*PI()*(((0)/Inputs!$C$50)+Inputs!$C$47*0.173))+0.20*SIN(2*PI()*(((Model_Data!A109)+(0))/(0.5*(Inputs!$C$49+Inputs!$C$50))+Inputs!$C$47*0.097)))+0.30*(2*((SIN(((Model_Data!A109)*12.9898+(0)*78.233+Inputs!$C$47*37.719))*43758.5453)-INT((SIN(((Model_Data!A109)*12.9898+(0)*78.233+Inputs!$C$47*37.719))*43758.5453)))-1))))/1000))*1000/Inputs!$C$12)-((SQRT((Model_Data!A109)^2+Inputs!$C$6^2+Inputs!$C$5^2)-Inputs!$C$5)*1000/Inputs!$C$12)))</x:f>
        <x:v>0.00012474099861492505</x:v>
      </x:c>
      <x:c r="X109" s="48" t="n">
        <x:f>0</x:f>
        <x:v>0</x:v>
      </x:c>
      <x:c r="Y109" s="49"/>
      <x:c r="Z109" s="48" t="n">
        <x:f>Model_Data!A109</x:f>
        <x:v>-6.5</x:v>
      </x:c>
      <x:c r="AA109" s="48" t="n">
        <x:f>SQRT((Model_Data!A109)^2+Inputs!$C$6^2+((Model_Data!B109)-((Inputs!$C$51*(115*EXP(-(((Inputs!$C$6)-25)^2)/(4.5^2))+70*EXP(-(((Inputs!$C$6)+38)^2)/(7^2))*(0.55+0.45*SIN(2*PI()*(Model_Data!A109)/45))+24*SIN(2*PI()*(Inputs!$C$6)/9+(Model_Data!A109)/18)*EXP(-(((Inputs!$C$6)+5)^2)/(22^2))+18*SIN(2*PI()*(Model_Data!A109)/70))+Inputs!$C$28*EXP(-(((Model_Data!A109)-Inputs!$C$29)^2)/(2*Inputs!$C$31^2))*EXP(-(((Inputs!$C$6)-Inputs!$C$30)^2)/(2*Inputs!$C$32^2))+-Inputs!$C$33*EXP(-(((((Model_Data!A109)-Inputs!$C$34)^2)+(((Inputs!$C$6)-Inputs!$C$35)^2))/(2*Inputs!$C$36^2)))+Inputs!$C$37*(0.55*SIN(2*PI()*(Model_Data!A109)/Inputs!$C$39)+0.35*COS(2*PI()*(Inputs!$C$6)/Inputs!$C$40)+0.2*SIN(2*PI()*((Model_Data!A109)+(Inputs!$C$6))/(0.5*(Inputs!$C$39+Inputs!$C$40))))+Inputs!$C$38*SIN(2*PI()*(Model_Data!A109)/Inputs!$C$39)*SIN(2*PI()*(Inputs!$C$6)/Inputs!$C$40)+-Inputs!$C$41*EXP(-(((Inputs!$C$6)-Inputs!$C$43)^2)/(2*Inputs!$C$44^2))*EXP(-(((Model_Data!A109)-Inputs!$C$42)^2)/(2*Inputs!$C$45^2))+Inputs!$C$48*(0.70*(0.45*SIN(2*PI()*(((Model_Data!A109)/Inputs!$C$49)+Inputs!$C$47*0.137))+0.35*COS(2*PI()*(((Inputs!$C$6)/Inputs!$C$50)+Inputs!$C$47*0.173))+0.20*SIN(2*PI()*(((Model_Data!A109)+(Inputs!$C$6))/(0.5*(Inputs!$C$49+Inputs!$C$50))+Inputs!$C$47*0.097)))+0.30*(2*((SIN(((Model_Data!A109)*12.9898+(Inputs!$C$6)*78.233+Inputs!$C$47*37.719))*43758.5453)-INT((SIN(((Model_Data!A109)*12.9898+(Inputs!$C$6)*78.233+Inputs!$C$47*37.719))*43758.5453)))-1))))/1000)^2)</x:f>
        <x:v>400.42517988802757</x:v>
      </x:c>
      <x:c r="AB109" s="48" t="n">
        <x:f>1000*(AA110-AA108)/(Z110-Z108)*Inputs!$C$11</x:f>
        <x:v>-141.73205933184363</x:v>
      </x:c>
      <x:c r="AC109" s="48" t="n">
        <x:f>-2*AB109/Inputs!$C$13</x:f>
        <x:v>56.69282373273745</x:v>
      </x:c>
      <x:c r="AD109" s="48" t="n">
        <x:f>-2*AB109/Inputs!$C$14</x:f>
        <x:v>8.512435995906525</x:v>
      </x:c>
    </x:row>
    <x:row r="110">
      <x:c r="A110" s="48" t="n">
        <x:f>Model_Data!A110</x:f>
        <x:v>-6</x:v>
      </x:c>
      <x:c r="B110" s="48" t="n">
        <x:f>Model_Data!F110</x:f>
        <x:v>463.6606939320355</x:v>
      </x:c>
      <x:c r="C110" s="48" t="n">
        <x:f>(((SQRT((Model_Data!A110)^2+Inputs!$C$6^2+((Model_Data!B110)-((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(0.45*SIN(2*PI()*(((Model_Data!A110)/Inputs!$C$49)+Inputs!$C$47*0.137))+0.35*COS(2*PI()*(((Inputs!$C$6)/Inputs!$C$50)+Inputs!$C$47*0.173))+0.20*SIN(2*PI()*(((Model_Data!A110)+(Inputs!$C$6))/(0.5*(Inputs!$C$49+Inputs!$C$50))+Inputs!$C$47*0.097)))+0.30*(2*((SIN(((Model_Data!A110)*12.9898+(Inputs!$C$6)*78.233+Inputs!$C$47*37.719))*43758.5453)-INT((SIN(((Model_Data!A110)*12.9898+(Inputs!$C$6)*78.233+Inputs!$C$47*37.719))*43758.5453)))-1))))/1000)^2))-(((Model_Data!B110)-((Inputs!$C$51*(115*EXP(-(((0)-25)^2)/(4.5^2))+70*EXP(-(((0)+38)^2)/(7^2))*(0.55+0.45*SIN(2*PI()*(Model_Data!A110)/45))+24*SIN(2*PI()*(0)/9+(Model_Data!A110)/18)*EXP(-(((0)+5)^2)/(22^2))+18*SIN(2*PI()*(Model_Data!A110)/70))+Inputs!$C$28*EXP(-(((Model_Data!A110)-Inputs!$C$29)^2)/(2*Inputs!$C$31^2))*EXP(-(((0)-Inputs!$C$30)^2)/(2*Inputs!$C$32^2))+-Inputs!$C$33*EXP(-(((((Model_Data!A110)-Inputs!$C$34)^2)+(((0)-Inputs!$C$35)^2))/(2*Inputs!$C$36^2)))+Inputs!$C$37*(0.55*SIN(2*PI()*(Model_Data!A110)/Inputs!$C$39)+0.35*COS(2*PI()*(0)/Inputs!$C$40)+0.2*SIN(2*PI()*((Model_Data!A110)+(0))/(0.5*(Inputs!$C$39+Inputs!$C$40))))+Inputs!$C$38*SIN(2*PI()*(Model_Data!A110)/Inputs!$C$39)*SIN(2*PI()*(0)/Inputs!$C$40)+-Inputs!$C$41*EXP(-(((0)-Inputs!$C$43)^2)/(2*Inputs!$C$44^2))*EXP(-(((Model_Data!A110)-Inputs!$C$42)^2)/(2*Inputs!$C$45^2))+Inputs!$C$48*(0.70*(0.45*SIN(2*PI()*(((Model_Data!A110)/Inputs!$C$49)+Inputs!$C$47*0.137))+0.35*COS(2*PI()*(((0)/Inputs!$C$50)+Inputs!$C$47*0.173))+0.20*SIN(2*PI()*(((Model_Data!A110)+(0))/(0.5*(Inputs!$C$49+Inputs!$C$50))+Inputs!$C$47*0.097)))+0.30*(2*((SIN(((Model_Data!A110)*12.9898+(0)*78.233+Inputs!$C$47*37.719))*43758.5453)-INT((SIN(((Model_Data!A110)*12.9898+(0)*78.233+Inputs!$C$47*37.719))*43758.5453)))-1))))/1000)))*1000/Inputs!$C$12)</x:f>
        <x:v>178.3072066800652</x:v>
      </x:c>
      <x:c r="D110" s="49"/>
      <x:c r="E110" s="48" t="n">
        <x:f>Model_Data!A110</x:f>
        <x:v>-6</x:v>
      </x:c>
      <x:c r="F110" s="48" t="n">
        <x:f>(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(0.45*SIN(2*PI()*(((Model_Data!A110)/Inputs!$C$49)+Inputs!$C$47*0.137))+0.35*COS(2*PI()*(((Inputs!$C$6)/Inputs!$C$50)+Inputs!$C$47*0.173))+0.20*SIN(2*PI()*(((Model_Data!A110)+(Inputs!$C$6))/(0.5*(Inputs!$C$49+Inputs!$C$50))+Inputs!$C$47*0.097)))+0.30*(2*((SIN(((Model_Data!A110)*12.9898+(Inputs!$C$6)*78.233+Inputs!$C$47*37.719))*43758.5453)-INT((SIN(((Model_Data!A110)*12.9898+(Inputs!$C$6)*78.233+Inputs!$C$47*37.719))*43758.5453)))-1)))</x:f>
        <x:v>447.7534427220802</x:v>
      </x:c>
      <x:c r="G110" s="48" t="n">
        <x:f>(Inputs!$C$51*(115*EXP(-(((0)-25)^2)/(4.5^2))+70*EXP(-(((0)+38)^2)/(7^2))*(0.55+0.45*SIN(2*PI()*(Model_Data!A110)/45))+24*SIN(2*PI()*(0)/9+(Model_Data!A110)/18)*EXP(-(((0)+5)^2)/(22^2))+18*SIN(2*PI()*(Model_Data!A110)/70))+Inputs!$C$28*EXP(-(((Model_Data!A110)-Inputs!$C$29)^2)/(2*Inputs!$C$31^2))*EXP(-(((0)-Inputs!$C$30)^2)/(2*Inputs!$C$32^2))+-Inputs!$C$33*EXP(-(((((Model_Data!A110)-Inputs!$C$34)^2)+(((0)-Inputs!$C$35)^2))/(2*Inputs!$C$36^2)))+Inputs!$C$37*(0.55*SIN(2*PI()*(Model_Data!A110)/Inputs!$C$39)+0.35*COS(2*PI()*(0)/Inputs!$C$40)+0.2*SIN(2*PI()*((Model_Data!A110)+(0))/(0.5*(Inputs!$C$39+Inputs!$C$40))))+Inputs!$C$38*SIN(2*PI()*(Model_Data!A110)/Inputs!$C$39)*SIN(2*PI()*(0)/Inputs!$C$40)+-Inputs!$C$41*EXP(-(((0)-Inputs!$C$43)^2)/(2*Inputs!$C$44^2))*EXP(-(((Model_Data!A110)-Inputs!$C$42)^2)/(2*Inputs!$C$45^2))+Inputs!$C$48*(0.70*(0.45*SIN(2*PI()*(((Model_Data!A110)/Inputs!$C$49)+Inputs!$C$47*0.137))+0.35*COS(2*PI()*(((0)/Inputs!$C$50)+Inputs!$C$47*0.173))+0.20*SIN(2*PI()*(((Model_Data!A110)+(0))/(0.5*(Inputs!$C$49+Inputs!$C$50))+Inputs!$C$47*0.097)))+0.30*(2*((SIN(((Model_Data!A110)*12.9898+(0)*78.233+Inputs!$C$47*37.719))*43758.5453)-INT((SIN(((Model_Data!A110)*12.9898+(0)*78.233+Inputs!$C$47*37.719))*43758.5453)))-1)))</x:f>
        <x:v>-61.0986453608147</x:v>
      </x:c>
      <x:c r="H110" s="49"/>
      <x:c r="I110" s="48" t="n">
        <x:f>Model_Data!A110</x:f>
        <x:v>-6</x:v>
      </x:c>
      <x:c r="J110" s="48" t="n">
        <x:f>((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(0.45*SIN(2*PI()*(((Model_Data!A110)/Inputs!$C$49)+Inputs!$C$47*0.137))+0.35*COS(2*PI()*(((Inputs!$C$6)/Inputs!$C$50)+Inputs!$C$47*0.173))+0.20*SIN(2*PI()*(((Model_Data!A110)+(Inputs!$C$6))/(0.5*(Inputs!$C$49+Inputs!$C$50))+Inputs!$C$47*0.097)))+0.30*(2*((SIN(((Model_Data!A110)*12.9898+(Inputs!$C$6)*78.233+Inputs!$C$47*37.719))*43758.5453)-INT((SIN(((Model_Data!A110)*12.9898+(Inputs!$C$6)*78.233+Inputs!$C$47*37.719))*43758.5453)))-1))))-((Inputs!$C$51*(115*EXP(-(((0)-25)^2)/(4.5^2))+70*EXP(-(((0)+38)^2)/(7^2))*(0.55+0.45*SIN(2*PI()*(Model_Data!A110)/45))+24*SIN(2*PI()*(0)/9+(Model_Data!A110)/18)*EXP(-(((0)+5)^2)/(22^2))+18*SIN(2*PI()*(Model_Data!A110)/70))+Inputs!$C$28*EXP(-(((Model_Data!A110)-Inputs!$C$29)^2)/(2*Inputs!$C$31^2))*EXP(-(((0)-Inputs!$C$30)^2)/(2*Inputs!$C$32^2))+-Inputs!$C$33*EXP(-(((((Model_Data!A110)-Inputs!$C$34)^2)+(((0)-Inputs!$C$35)^2))/(2*Inputs!$C$36^2)))+Inputs!$C$37*(0.55*SIN(2*PI()*(Model_Data!A110)/Inputs!$C$39)+0.35*COS(2*PI()*(0)/Inputs!$C$40)+0.2*SIN(2*PI()*((Model_Data!A110)+(0))/(0.5*(Inputs!$C$39+Inputs!$C$40))))+Inputs!$C$38*SIN(2*PI()*(Model_Data!A110)/Inputs!$C$39)*SIN(2*PI()*(0)/Inputs!$C$40)+-Inputs!$C$41*EXP(-(((0)-Inputs!$C$43)^2)/(2*Inputs!$C$44^2))*EXP(-(((Model_Data!A110)-Inputs!$C$42)^2)/(2*Inputs!$C$45^2))+Inputs!$C$48*(0.70*(0.45*SIN(2*PI()*(((Model_Data!A110)/Inputs!$C$49)+Inputs!$C$47*0.137))+0.35*COS(2*PI()*(((0)/Inputs!$C$50)+Inputs!$C$47*0.173))+0.20*SIN(2*PI()*(((Model_Data!A110)+(0))/(0.5*(Inputs!$C$49+Inputs!$C$50))+Inputs!$C$47*0.097)))+0.30*(2*((SIN(((Model_Data!A110)*12.9898+(0)*78.233+Inputs!$C$47*37.719))*43758.5453)-INT((SIN(((Model_Data!A110)*12.9898+(0)*78.233+Inputs!$C$47*37.719))*43758.5453)))-1))))</x:f>
        <x:v>508.8520880828949</x:v>
      </x:c>
      <x:c r="K110" s="48" t="n">
        <x:f>-((((SQRT((Model_Data!A110)^2+Inputs!$C$6^2+((Model_Data!B110)-((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(0.45*SIN(2*PI()*(((Model_Data!A110)/Inputs!$C$49)+Inputs!$C$47*0.137))+0.35*COS(2*PI()*(((Inputs!$C$6)/Inputs!$C$50)+Inputs!$C$47*0.173))+0.20*SIN(2*PI()*(((Model_Data!A110)+(Inputs!$C$6))/(0.5*(Inputs!$C$49+Inputs!$C$50))+Inputs!$C$47*0.097)))+0.30*(2*((SIN(((Model_Data!A110)*12.9898+(Inputs!$C$6)*78.233+Inputs!$C$47*37.719))*43758.5453)-INT((SIN(((Model_Data!A110)*12.9898+(Inputs!$C$6)*78.233+Inputs!$C$47*37.719))*43758.5453)))-1))))/1000)^2))-(((Model_Data!B110)-((Inputs!$C$51*(115*EXP(-(((0)-25)^2)/(4.5^2))+70*EXP(-(((0)+38)^2)/(7^2))*(0.55+0.45*SIN(2*PI()*(Model_Data!A110)/45))+24*SIN(2*PI()*(0)/9+(Model_Data!A110)/18)*EXP(-(((0)+5)^2)/(22^2))+18*SIN(2*PI()*(Model_Data!A110)/70))+Inputs!$C$28*EXP(-(((Model_Data!A110)-Inputs!$C$29)^2)/(2*Inputs!$C$31^2))*EXP(-(((0)-Inputs!$C$30)^2)/(2*Inputs!$C$32^2))+-Inputs!$C$33*EXP(-(((((Model_Data!A110)-Inputs!$C$34)^2)+(((0)-Inputs!$C$35)^2))/(2*Inputs!$C$36^2)))+Inputs!$C$37*(0.55*SIN(2*PI()*(Model_Data!A110)/Inputs!$C$39)+0.35*COS(2*PI()*(0)/Inputs!$C$40)+0.2*SIN(2*PI()*((Model_Data!A110)+(0))/(0.5*(Inputs!$C$39+Inputs!$C$40))))+Inputs!$C$38*SIN(2*PI()*(Model_Data!A110)/Inputs!$C$39)*SIN(2*PI()*(0)/Inputs!$C$40)+-Inputs!$C$41*EXP(-(((0)-Inputs!$C$43)^2)/(2*Inputs!$C$44^2))*EXP(-(((Model_Data!A110)-Inputs!$C$42)^2)/(2*Inputs!$C$45^2))+Inputs!$C$48*(0.70*(0.45*SIN(2*PI()*(((Model_Data!A110)/Inputs!$C$49)+Inputs!$C$47*0.137))+0.35*COS(2*PI()*(((0)/Inputs!$C$50)+Inputs!$C$47*0.173))+0.20*SIN(2*PI()*(((Model_Data!A110)+(0))/(0.5*(Inputs!$C$49+Inputs!$C$50))+Inputs!$C$47*0.097)))+0.30*(2*((SIN(((Model_Data!A110)*12.9898+(0)*78.233+Inputs!$C$47*37.719))*43758.5453)-INT((SIN(((Model_Data!A110)*12.9898+(0)*78.233+Inputs!$C$47*37.719))*43758.5453)))-1))))/1000)))*1000/Inputs!$C$12)-Model_Data!F110)</x:f>
        <x:v>285.35348725197025</x:v>
      </x:c>
      <x:c r="L110" s="49"/>
      <x:c r="M110" s="48" t="n">
        <x:f>Model_Data!A110</x:f>
        <x:v>-6</x:v>
      </x:c>
      <x:c r="N110" s="48" t="n">
        <x:f>Model_Data!P110</x:f>
        <x:v>45.23760460501987</x:v>
      </x:c>
      <x:c r="O110" s="48" t="n">
        <x:f>AC110</x:f>
        <x:v>15.600638162050018</x:v>
      </x:c>
      <x:c r="P110" s="48" t="n">
        <x:f>Model_Data!Q110</x:f>
        <x:v>6.792433123876858</x:v>
      </x:c>
      <x:c r="Q110" s="48" t="n">
        <x:f>AD110</x:f>
        <x:v>2.342438162469973</x:v>
      </x:c>
      <x:c r="R110" s="49"/>
      <x:c r="S110" s="48" t="n">
        <x:f>Model_Data!A110</x:f>
        <x:v>-6</x:v>
      </x:c>
      <x:c r="T110" s="48" t="n">
        <x:f>Model_Data!B110-Inputs!$C$5</x:f>
        <x:v>0.040000000000020464</x:v>
      </x:c>
      <x:c r="U110" s="49"/>
      <x:c r="V110" s="48" t="n">
        <x:f>Model_Data!A110</x:f>
        <x:v>-6</x:v>
      </x:c>
      <x:c r="W110" s="48" t="n">
        <x:f>(-((((SQRT((Model_Data!A110)^2+Inputs!$C$6^2+((Model_Data!B110)-((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(0.45*SIN(2*PI()*(((Model_Data!A110)/Inputs!$C$49)+Inputs!$C$47*0.137))+0.35*COS(2*PI()*(((Inputs!$C$6)/Inputs!$C$50)+Inputs!$C$47*0.173))+0.20*SIN(2*PI()*(((Model_Data!A110)+(Inputs!$C$6))/(0.5*(Inputs!$C$49+Inputs!$C$50))+Inputs!$C$47*0.097)))+0.30*(2*((SIN(((Model_Data!A110)*12.9898+(Inputs!$C$6)*78.233+Inputs!$C$47*37.719))*43758.5453)-INT((SIN(((Model_Data!A110)*12.9898+(Inputs!$C$6)*78.233+Inputs!$C$47*37.719))*43758.5453)))-1))))/1000)^2))-(((Model_Data!B110)-((Inputs!$C$51*(115*EXP(-(((0)-25)^2)/(4.5^2))+70*EXP(-(((0)+38)^2)/(7^2))*(0.55+0.45*SIN(2*PI()*(Model_Data!A110)/45))+24*SIN(2*PI()*(0)/9+(Model_Data!A110)/18)*EXP(-(((0)+5)^2)/(22^2))+18*SIN(2*PI()*(Model_Data!A110)/70))+Inputs!$C$28*EXP(-(((Model_Data!A110)-Inputs!$C$29)^2)/(2*Inputs!$C$31^2))*EXP(-(((0)-Inputs!$C$30)^2)/(2*Inputs!$C$32^2))+-Inputs!$C$33*EXP(-(((((Model_Data!A110)-Inputs!$C$34)^2)+(((0)-Inputs!$C$35)^2))/(2*Inputs!$C$36^2)))+Inputs!$C$37*(0.55*SIN(2*PI()*(Model_Data!A110)/Inputs!$C$39)+0.35*COS(2*PI()*(0)/Inputs!$C$40)+0.2*SIN(2*PI()*((Model_Data!A110)+(0))/(0.5*(Inputs!$C$39+Inputs!$C$40))))+Inputs!$C$38*SIN(2*PI()*(Model_Data!A110)/Inputs!$C$39)*SIN(2*PI()*(0)/Inputs!$C$40)+-Inputs!$C$41*EXP(-(((0)-Inputs!$C$43)^2)/(2*Inputs!$C$44^2))*EXP(-(((Model_Data!A110)-Inputs!$C$42)^2)/(2*Inputs!$C$45^2))+Inputs!$C$48*(0.70*(0.45*SIN(2*PI()*(((Model_Data!A110)/Inputs!$C$49)+Inputs!$C$47*0.137))+0.35*COS(2*PI()*(((0)/Inputs!$C$50)+Inputs!$C$47*0.173))+0.20*SIN(2*PI()*(((Model_Data!A110)+(0))/(0.5*(Inputs!$C$49+Inputs!$C$50))+Inputs!$C$47*0.097)))+0.30*(2*((SIN(((Model_Data!A110)*12.9898+(0)*78.233+Inputs!$C$47*37.719))*43758.5453)-INT((SIN(((Model_Data!A110)*12.9898+(0)*78.233+Inputs!$C$47*37.719))*43758.5453)))-1))))/1000)))*1000/Inputs!$C$12)-Model_Data!F110))-(-(((SQRT((Model_Data!A110)^2+Inputs!$C$6^2+(Inputs!$C$5-((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(0.45*SIN(2*PI()*(((Model_Data!A110)/Inputs!$C$49)+Inputs!$C$47*0.137))+0.35*COS(2*PI()*(((Inputs!$C$6)/Inputs!$C$50)+Inputs!$C$47*0.173))+0.20*SIN(2*PI()*(((Model_Data!A110)+(Inputs!$C$6))/(0.5*(Inputs!$C$49+Inputs!$C$50))+Inputs!$C$47*0.097)))+0.30*(2*((SIN(((Model_Data!A110)*12.9898+(Inputs!$C$6)*78.233+Inputs!$C$47*37.719))*43758.5453)-INT((SIN(((Model_Data!A110)*12.9898+(Inputs!$C$6)*78.233+Inputs!$C$47*37.719))*43758.5453)))-1))))/1000)^2)-(Inputs!$C$5-((Inputs!$C$51*(115*EXP(-(((0)-25)^2)/(4.5^2))+70*EXP(-(((0)+38)^2)/(7^2))*(0.55+0.45*SIN(2*PI()*(Model_Data!A110)/45))+24*SIN(2*PI()*(0)/9+(Model_Data!A110)/18)*EXP(-(((0)+5)^2)/(22^2))+18*SIN(2*PI()*(Model_Data!A110)/70))+Inputs!$C$28*EXP(-(((Model_Data!A110)-Inputs!$C$29)^2)/(2*Inputs!$C$31^2))*EXP(-(((0)-Inputs!$C$30)^2)/(2*Inputs!$C$32^2))+-Inputs!$C$33*EXP(-(((((Model_Data!A110)-Inputs!$C$34)^2)+(((0)-Inputs!$C$35)^2))/(2*Inputs!$C$36^2)))+Inputs!$C$37*(0.55*SIN(2*PI()*(Model_Data!A110)/Inputs!$C$39)+0.35*COS(2*PI()*(0)/Inputs!$C$40)+0.2*SIN(2*PI()*((Model_Data!A110)+(0))/(0.5*(Inputs!$C$39+Inputs!$C$40))))+Inputs!$C$38*SIN(2*PI()*(Model_Data!A110)/Inputs!$C$39)*SIN(2*PI()*(0)/Inputs!$C$40)+-Inputs!$C$41*EXP(-(((0)-Inputs!$C$43)^2)/(2*Inputs!$C$44^2))*EXP(-(((Model_Data!A110)-Inputs!$C$42)^2)/(2*Inputs!$C$45^2))+Inputs!$C$48*(0.70*(0.45*SIN(2*PI()*(((Model_Data!A110)/Inputs!$C$49)+Inputs!$C$47*0.137))+0.35*COS(2*PI()*(((0)/Inputs!$C$50)+Inputs!$C$47*0.173))+0.20*SIN(2*PI()*(((Model_Data!A110)+(0))/(0.5*(Inputs!$C$49+Inputs!$C$50))+Inputs!$C$47*0.097)))+0.30*(2*((SIN(((Model_Data!A110)*12.9898+(0)*78.233+Inputs!$C$47*37.719))*43758.5453)-INT((SIN(((Model_Data!A110)*12.9898+(0)*78.233+Inputs!$C$47*37.719))*43758.5453)))-1))))/1000))*1000/Inputs!$C$12)-((SQRT((Model_Data!A110)^2+Inputs!$C$6^2+Inputs!$C$5^2)-Inputs!$C$5)*1000/Inputs!$C$12)))</x:f>
        <x:v>0.00010343710698634823</x:v>
      </x:c>
      <x:c r="X110" s="48" t="n">
        <x:f>0</x:f>
        <x:v>0</x:v>
      </x:c>
      <x:c r="Y110" s="49"/>
      <x:c r="Z110" s="48" t="n">
        <x:f>Model_Data!A110</x:f>
        <x:v>-6</x:v>
      </x:c>
      <x:c r="AA110" s="48" t="n">
        <x:f>SQRT((Model_Data!A110)^2+Inputs!$C$6^2+((Model_Data!B110)-((Inputs!$C$51*(115*EXP(-(((Inputs!$C$6)-25)^2)/(4.5^2))+70*EXP(-(((Inputs!$C$6)+38)^2)/(7^2))*(0.55+0.45*SIN(2*PI()*(Model_Data!A110)/45))+24*SIN(2*PI()*(Inputs!$C$6)/9+(Model_Data!A110)/18)*EXP(-(((Inputs!$C$6)+5)^2)/(22^2))+18*SIN(2*PI()*(Model_Data!A110)/70))+Inputs!$C$28*EXP(-(((Model_Data!A110)-Inputs!$C$29)^2)/(2*Inputs!$C$31^2))*EXP(-(((Inputs!$C$6)-Inputs!$C$30)^2)/(2*Inputs!$C$32^2))+-Inputs!$C$33*EXP(-(((((Model_Data!A110)-Inputs!$C$34)^2)+(((Inputs!$C$6)-Inputs!$C$35)^2))/(2*Inputs!$C$36^2)))+Inputs!$C$37*(0.55*SIN(2*PI()*(Model_Data!A110)/Inputs!$C$39)+0.35*COS(2*PI()*(Inputs!$C$6)/Inputs!$C$40)+0.2*SIN(2*PI()*((Model_Data!A110)+(Inputs!$C$6))/(0.5*(Inputs!$C$39+Inputs!$C$40))))+Inputs!$C$38*SIN(2*PI()*(Model_Data!A110)/Inputs!$C$39)*SIN(2*PI()*(Inputs!$C$6)/Inputs!$C$40)+-Inputs!$C$41*EXP(-(((Inputs!$C$6)-Inputs!$C$43)^2)/(2*Inputs!$C$44^2))*EXP(-(((Model_Data!A110)-Inputs!$C$42)^2)/(2*Inputs!$C$45^2))+Inputs!$C$48*(0.70*(0.45*SIN(2*PI()*(((Model_Data!A110)/Inputs!$C$49)+Inputs!$C$47*0.137))+0.35*COS(2*PI()*(((Inputs!$C$6)/Inputs!$C$50)+Inputs!$C$47*0.173))+0.20*SIN(2*PI()*(((Model_Data!A110)+(Inputs!$C$6))/(0.5*(Inputs!$C$49+Inputs!$C$50))+Inputs!$C$47*0.097)))+0.30*(2*((SIN(((Model_Data!A110)*12.9898+(Inputs!$C$6)*78.233+Inputs!$C$47*37.719))*43758.5453)-INT((SIN(((Model_Data!A110)*12.9898+(Inputs!$C$6)*78.233+Inputs!$C$47*37.719))*43758.5453)))-1))))/1000)^2)</x:f>
        <x:v>400.41848547325134</x:v>
      </x:c>
      <x:c r="AB110" s="48" t="n">
        <x:f>1000*(AA111-AA109)/(Z111-Z109)*Inputs!$C$11</x:f>
        <x:v>-39.001595405125045</x:v>
      </x:c>
      <x:c r="AC110" s="48" t="n">
        <x:f>-2*AB110/Inputs!$C$13</x:f>
        <x:v>15.600638162050018</x:v>
      </x:c>
      <x:c r="AD110" s="48" t="n">
        <x:f>-2*AB110/Inputs!$C$14</x:f>
        <x:v>2.342438162469973</x:v>
      </x:c>
    </x:row>
    <x:row r="111">
      <x:c r="A111" s="48" t="n">
        <x:f>Model_Data!A111</x:f>
        <x:v>-5.5</x:v>
      </x:c>
      <x:c r="B111" s="48" t="n">
        <x:f>Model_Data!F111</x:f>
        <x:v>459.63877861482985</x:v>
      </x:c>
      <x:c r="C111" s="48" t="n">
        <x:f>(((SQRT((Model_Data!A111)^2+Inputs!$C$6^2+((Model_Data!B111)-((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(0.45*SIN(2*PI()*(((Model_Data!A111)/Inputs!$C$49)+Inputs!$C$47*0.137))+0.35*COS(2*PI()*(((Inputs!$C$6)/Inputs!$C$50)+Inputs!$C$47*0.173))+0.20*SIN(2*PI()*(((Model_Data!A111)+(Inputs!$C$6))/(0.5*(Inputs!$C$49+Inputs!$C$50))+Inputs!$C$47*0.097)))+0.30*(2*((SIN(((Model_Data!A111)*12.9898+(Inputs!$C$6)*78.233+Inputs!$C$47*37.719))*43758.5453)-INT((SIN(((Model_Data!A111)*12.9898+(Inputs!$C$6)*78.233+Inputs!$C$47*37.719))*43758.5453)))-1))))/1000)^2))-(((Model_Data!B111)-((Inputs!$C$51*(115*EXP(-(((0)-25)^2)/(4.5^2))+70*EXP(-(((0)+38)^2)/(7^2))*(0.55+0.45*SIN(2*PI()*(Model_Data!A111)/45))+24*SIN(2*PI()*(0)/9+(Model_Data!A111)/18)*EXP(-(((0)+5)^2)/(22^2))+18*SIN(2*PI()*(Model_Data!A111)/70))+Inputs!$C$28*EXP(-(((Model_Data!A111)-Inputs!$C$29)^2)/(2*Inputs!$C$31^2))*EXP(-(((0)-Inputs!$C$30)^2)/(2*Inputs!$C$32^2))+-Inputs!$C$33*EXP(-(((((Model_Data!A111)-Inputs!$C$34)^2)+(((0)-Inputs!$C$35)^2))/(2*Inputs!$C$36^2)))+Inputs!$C$37*(0.55*SIN(2*PI()*(Model_Data!A111)/Inputs!$C$39)+0.35*COS(2*PI()*(0)/Inputs!$C$40)+0.2*SIN(2*PI()*((Model_Data!A111)+(0))/(0.5*(Inputs!$C$39+Inputs!$C$40))))+Inputs!$C$38*SIN(2*PI()*(Model_Data!A111)/Inputs!$C$39)*SIN(2*PI()*(0)/Inputs!$C$40)+-Inputs!$C$41*EXP(-(((0)-Inputs!$C$43)^2)/(2*Inputs!$C$44^2))*EXP(-(((Model_Data!A111)-Inputs!$C$42)^2)/(2*Inputs!$C$45^2))+Inputs!$C$48*(0.70*(0.45*SIN(2*PI()*(((Model_Data!A111)/Inputs!$C$49)+Inputs!$C$47*0.137))+0.35*COS(2*PI()*(((0)/Inputs!$C$50)+Inputs!$C$47*0.173))+0.20*SIN(2*PI()*(((Model_Data!A111)+(0))/(0.5*(Inputs!$C$49+Inputs!$C$50))+Inputs!$C$47*0.097)))+0.30*(2*((SIN(((Model_Data!A111)*12.9898+(0)*78.233+Inputs!$C$47*37.719))*43758.5453)-INT((SIN(((Model_Data!A111)*12.9898+(0)*78.233+Inputs!$C$47*37.719))*43758.5453)))-1))))/1000)))*1000/Inputs!$C$12)</x:f>
        <x:v>178.77968186463463</x:v>
      </x:c>
      <x:c r="D111" s="49"/>
      <x:c r="E111" s="48" t="n">
        <x:f>Model_Data!A111</x:f>
        <x:v>-5.5</x:v>
      </x:c>
      <x:c r="F111" s="48" t="n">
        <x:f>(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(0.45*SIN(2*PI()*(((Model_Data!A111)/Inputs!$C$49)+Inputs!$C$47*0.137))+0.35*COS(2*PI()*(((Inputs!$C$6)/Inputs!$C$50)+Inputs!$C$47*0.173))+0.20*SIN(2*PI()*(((Model_Data!A111)+(Inputs!$C$6))/(0.5*(Inputs!$C$49+Inputs!$C$50))+Inputs!$C$47*0.097)))+0.30*(2*((SIN(((Model_Data!A111)*12.9898+(Inputs!$C$6)*78.233+Inputs!$C$47*37.719))*43758.5453)-INT((SIN(((Model_Data!A111)*12.9898+(Inputs!$C$6)*78.233+Inputs!$C$47*37.719))*43758.5453)))-1)))</x:f>
        <x:v>437.23203216912464</x:v>
      </x:c>
      <x:c r="G111" s="48" t="n">
        <x:f>(Inputs!$C$51*(115*EXP(-(((0)-25)^2)/(4.5^2))+70*EXP(-(((0)+38)^2)/(7^2))*(0.55+0.45*SIN(2*PI()*(Model_Data!A111)/45))+24*SIN(2*PI()*(0)/9+(Model_Data!A111)/18)*EXP(-(((0)+5)^2)/(22^2))+18*SIN(2*PI()*(Model_Data!A111)/70))+Inputs!$C$28*EXP(-(((Model_Data!A111)-Inputs!$C$29)^2)/(2*Inputs!$C$31^2))*EXP(-(((0)-Inputs!$C$30)^2)/(2*Inputs!$C$32^2))+-Inputs!$C$33*EXP(-(((((Model_Data!A111)-Inputs!$C$34)^2)+(((0)-Inputs!$C$35)^2))/(2*Inputs!$C$36^2)))+Inputs!$C$37*(0.55*SIN(2*PI()*(Model_Data!A111)/Inputs!$C$39)+0.35*COS(2*PI()*(0)/Inputs!$C$40)+0.2*SIN(2*PI()*((Model_Data!A111)+(0))/(0.5*(Inputs!$C$39+Inputs!$C$40))))+Inputs!$C$38*SIN(2*PI()*(Model_Data!A111)/Inputs!$C$39)*SIN(2*PI()*(0)/Inputs!$C$40)+-Inputs!$C$41*EXP(-(((0)-Inputs!$C$43)^2)/(2*Inputs!$C$44^2))*EXP(-(((Model_Data!A111)-Inputs!$C$42)^2)/(2*Inputs!$C$45^2))+Inputs!$C$48*(0.70*(0.45*SIN(2*PI()*(((Model_Data!A111)/Inputs!$C$49)+Inputs!$C$47*0.137))+0.35*COS(2*PI()*(((0)/Inputs!$C$50)+Inputs!$C$47*0.173))+0.20*SIN(2*PI()*(((Model_Data!A111)+(0))/(0.5*(Inputs!$C$49+Inputs!$C$50))+Inputs!$C$47*0.097)))+0.30*(2*((SIN(((Model_Data!A111)*12.9898+(0)*78.233+Inputs!$C$47*37.719))*43758.5453)-INT((SIN(((Model_Data!A111)*12.9898+(0)*78.233+Inputs!$C$47*37.719))*43758.5453)))-1)))</x:f>
        <x:v>-63.59054434613801</x:v>
      </x:c>
      <x:c r="H111" s="49"/>
      <x:c r="I111" s="48" t="n">
        <x:f>Model_Data!A111</x:f>
        <x:v>-5.5</x:v>
      </x:c>
      <x:c r="J111" s="48" t="n">
        <x:f>((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(0.45*SIN(2*PI()*(((Model_Data!A111)/Inputs!$C$49)+Inputs!$C$47*0.137))+0.35*COS(2*PI()*(((Inputs!$C$6)/Inputs!$C$50)+Inputs!$C$47*0.173))+0.20*SIN(2*PI()*(((Model_Data!A111)+(Inputs!$C$6))/(0.5*(Inputs!$C$49+Inputs!$C$50))+Inputs!$C$47*0.097)))+0.30*(2*((SIN(((Model_Data!A111)*12.9898+(Inputs!$C$6)*78.233+Inputs!$C$47*37.719))*43758.5453)-INT((SIN(((Model_Data!A111)*12.9898+(Inputs!$C$6)*78.233+Inputs!$C$47*37.719))*43758.5453)))-1))))-((Inputs!$C$51*(115*EXP(-(((0)-25)^2)/(4.5^2))+70*EXP(-(((0)+38)^2)/(7^2))*(0.55+0.45*SIN(2*PI()*(Model_Data!A111)/45))+24*SIN(2*PI()*(0)/9+(Model_Data!A111)/18)*EXP(-(((0)+5)^2)/(22^2))+18*SIN(2*PI()*(Model_Data!A111)/70))+Inputs!$C$28*EXP(-(((Model_Data!A111)-Inputs!$C$29)^2)/(2*Inputs!$C$31^2))*EXP(-(((0)-Inputs!$C$30)^2)/(2*Inputs!$C$32^2))+-Inputs!$C$33*EXP(-(((((Model_Data!A111)-Inputs!$C$34)^2)+(((0)-Inputs!$C$35)^2))/(2*Inputs!$C$36^2)))+Inputs!$C$37*(0.55*SIN(2*PI()*(Model_Data!A111)/Inputs!$C$39)+0.35*COS(2*PI()*(0)/Inputs!$C$40)+0.2*SIN(2*PI()*((Model_Data!A111)+(0))/(0.5*(Inputs!$C$39+Inputs!$C$40))))+Inputs!$C$38*SIN(2*PI()*(Model_Data!A111)/Inputs!$C$39)*SIN(2*PI()*(0)/Inputs!$C$40)+-Inputs!$C$41*EXP(-(((0)-Inputs!$C$43)^2)/(2*Inputs!$C$44^2))*EXP(-(((Model_Data!A111)-Inputs!$C$42)^2)/(2*Inputs!$C$45^2))+Inputs!$C$48*(0.70*(0.45*SIN(2*PI()*(((Model_Data!A111)/Inputs!$C$49)+Inputs!$C$47*0.137))+0.35*COS(2*PI()*(((0)/Inputs!$C$50)+Inputs!$C$47*0.173))+0.20*SIN(2*PI()*(((Model_Data!A111)+(0))/(0.5*(Inputs!$C$49+Inputs!$C$50))+Inputs!$C$47*0.097)))+0.30*(2*((SIN(((Model_Data!A111)*12.9898+(0)*78.233+Inputs!$C$47*37.719))*43758.5453)-INT((SIN(((Model_Data!A111)*12.9898+(0)*78.233+Inputs!$C$47*37.719))*43758.5453)))-1))))</x:f>
        <x:v>500.82257651526265</x:v>
      </x:c>
      <x:c r="K111" s="48" t="n">
        <x:f>-((((SQRT((Model_Data!A111)^2+Inputs!$C$6^2+((Model_Data!B111)-((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(0.45*SIN(2*PI()*(((Model_Data!A111)/Inputs!$C$49)+Inputs!$C$47*0.137))+0.35*COS(2*PI()*(((Inputs!$C$6)/Inputs!$C$50)+Inputs!$C$47*0.173))+0.20*SIN(2*PI()*(((Model_Data!A111)+(Inputs!$C$6))/(0.5*(Inputs!$C$49+Inputs!$C$50))+Inputs!$C$47*0.097)))+0.30*(2*((SIN(((Model_Data!A111)*12.9898+(Inputs!$C$6)*78.233+Inputs!$C$47*37.719))*43758.5453)-INT((SIN(((Model_Data!A111)*12.9898+(Inputs!$C$6)*78.233+Inputs!$C$47*37.719))*43758.5453)))-1))))/1000)^2))-(((Model_Data!B111)-((Inputs!$C$51*(115*EXP(-(((0)-25)^2)/(4.5^2))+70*EXP(-(((0)+38)^2)/(7^2))*(0.55+0.45*SIN(2*PI()*(Model_Data!A111)/45))+24*SIN(2*PI()*(0)/9+(Model_Data!A111)/18)*EXP(-(((0)+5)^2)/(22^2))+18*SIN(2*PI()*(Model_Data!A111)/70))+Inputs!$C$28*EXP(-(((Model_Data!A111)-Inputs!$C$29)^2)/(2*Inputs!$C$31^2))*EXP(-(((0)-Inputs!$C$30)^2)/(2*Inputs!$C$32^2))+-Inputs!$C$33*EXP(-(((((Model_Data!A111)-Inputs!$C$34)^2)+(((0)-Inputs!$C$35)^2))/(2*Inputs!$C$36^2)))+Inputs!$C$37*(0.55*SIN(2*PI()*(Model_Data!A111)/Inputs!$C$39)+0.35*COS(2*PI()*(0)/Inputs!$C$40)+0.2*SIN(2*PI()*((Model_Data!A111)+(0))/(0.5*(Inputs!$C$39+Inputs!$C$40))))+Inputs!$C$38*SIN(2*PI()*(Model_Data!A111)/Inputs!$C$39)*SIN(2*PI()*(0)/Inputs!$C$40)+-Inputs!$C$41*EXP(-(((0)-Inputs!$C$43)^2)/(2*Inputs!$C$44^2))*EXP(-(((Model_Data!A111)-Inputs!$C$42)^2)/(2*Inputs!$C$45^2))+Inputs!$C$48*(0.70*(0.45*SIN(2*PI()*(((Model_Data!A111)/Inputs!$C$49)+Inputs!$C$47*0.137))+0.35*COS(2*PI()*(((0)/Inputs!$C$50)+Inputs!$C$47*0.173))+0.20*SIN(2*PI()*(((Model_Data!A111)+(0))/(0.5*(Inputs!$C$49+Inputs!$C$50))+Inputs!$C$47*0.097)))+0.30*(2*((SIN(((Model_Data!A111)*12.9898+(0)*78.233+Inputs!$C$47*37.719))*43758.5453)-INT((SIN(((Model_Data!A111)*12.9898+(0)*78.233+Inputs!$C$47*37.719))*43758.5453)))-1))))/1000)))*1000/Inputs!$C$12)-Model_Data!F111)</x:f>
        <x:v>280.85909675019525</x:v>
      </x:c>
      <x:c r="L111" s="49"/>
      <x:c r="M111" s="48" t="n">
        <x:f>Model_Data!A111</x:f>
        <x:v>-5.5</x:v>
      </x:c>
      <x:c r="N111" s="48" t="n">
        <x:f>Model_Data!P111</x:f>
        <x:v>41.46889405883751</x:v>
      </x:c>
      <x:c r="O111" s="48" t="n">
        <x:f>AC111</x:f>
        <x:v>7.548927649258985</x:v>
      </x:c>
      <x:c r="P111" s="48" t="n">
        <x:f>Model_Data!Q111</x:f>
        <x:v>6.2265606694951225</x:v>
      </x:c>
      <x:c r="Q111" s="48" t="n">
        <x:f>AD111</x:f>
        <x:v>1.1334726200088567</x:v>
      </x:c>
      <x:c r="R111" s="49"/>
      <x:c r="S111" s="48" t="n">
        <x:f>Model_Data!A111</x:f>
        <x:v>-5.5</x:v>
      </x:c>
      <x:c r="T111" s="48" t="n">
        <x:f>Model_Data!B111-Inputs!$C$5</x:f>
        <x:v>0.03361111111109949</x:v>
      </x:c>
      <x:c r="U111" s="49"/>
      <x:c r="V111" s="48" t="n">
        <x:f>Model_Data!A111</x:f>
        <x:v>-5.5</x:v>
      </x:c>
      <x:c r="W111" s="48" t="n">
        <x:f>(-((((SQRT((Model_Data!A111)^2+Inputs!$C$6^2+((Model_Data!B111)-((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(0.45*SIN(2*PI()*(((Model_Data!A111)/Inputs!$C$49)+Inputs!$C$47*0.137))+0.35*COS(2*PI()*(((Inputs!$C$6)/Inputs!$C$50)+Inputs!$C$47*0.173))+0.20*SIN(2*PI()*(((Model_Data!A111)+(Inputs!$C$6))/(0.5*(Inputs!$C$49+Inputs!$C$50))+Inputs!$C$47*0.097)))+0.30*(2*((SIN(((Model_Data!A111)*12.9898+(Inputs!$C$6)*78.233+Inputs!$C$47*37.719))*43758.5453)-INT((SIN(((Model_Data!A111)*12.9898+(Inputs!$C$6)*78.233+Inputs!$C$47*37.719))*43758.5453)))-1))))/1000)^2))-(((Model_Data!B111)-((Inputs!$C$51*(115*EXP(-(((0)-25)^2)/(4.5^2))+70*EXP(-(((0)+38)^2)/(7^2))*(0.55+0.45*SIN(2*PI()*(Model_Data!A111)/45))+24*SIN(2*PI()*(0)/9+(Model_Data!A111)/18)*EXP(-(((0)+5)^2)/(22^2))+18*SIN(2*PI()*(Model_Data!A111)/70))+Inputs!$C$28*EXP(-(((Model_Data!A111)-Inputs!$C$29)^2)/(2*Inputs!$C$31^2))*EXP(-(((0)-Inputs!$C$30)^2)/(2*Inputs!$C$32^2))+-Inputs!$C$33*EXP(-(((((Model_Data!A111)-Inputs!$C$34)^2)+(((0)-Inputs!$C$35)^2))/(2*Inputs!$C$36^2)))+Inputs!$C$37*(0.55*SIN(2*PI()*(Model_Data!A111)/Inputs!$C$39)+0.35*COS(2*PI()*(0)/Inputs!$C$40)+0.2*SIN(2*PI()*((Model_Data!A111)+(0))/(0.5*(Inputs!$C$39+Inputs!$C$40))))+Inputs!$C$38*SIN(2*PI()*(Model_Data!A111)/Inputs!$C$39)*SIN(2*PI()*(0)/Inputs!$C$40)+-Inputs!$C$41*EXP(-(((0)-Inputs!$C$43)^2)/(2*Inputs!$C$44^2))*EXP(-(((Model_Data!A111)-Inputs!$C$42)^2)/(2*Inputs!$C$45^2))+Inputs!$C$48*(0.70*(0.45*SIN(2*PI()*(((Model_Data!A111)/Inputs!$C$49)+Inputs!$C$47*0.137))+0.35*COS(2*PI()*(((0)/Inputs!$C$50)+Inputs!$C$47*0.173))+0.20*SIN(2*PI()*(((Model_Data!A111)+(0))/(0.5*(Inputs!$C$49+Inputs!$C$50))+Inputs!$C$47*0.097)))+0.30*(2*((SIN(((Model_Data!A111)*12.9898+(0)*78.233+Inputs!$C$47*37.719))*43758.5453)-INT((SIN(((Model_Data!A111)*12.9898+(0)*78.233+Inputs!$C$47*37.719))*43758.5453)))-1))))/1000)))*1000/Inputs!$C$12)-Model_Data!F111))-(-(((SQRT((Model_Data!A111)^2+Inputs!$C$6^2+(Inputs!$C$5-((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(0.45*SIN(2*PI()*(((Model_Data!A111)/Inputs!$C$49)+Inputs!$C$47*0.137))+0.35*COS(2*PI()*(((Inputs!$C$6)/Inputs!$C$50)+Inputs!$C$47*0.173))+0.20*SIN(2*PI()*(((Model_Data!A111)+(Inputs!$C$6))/(0.5*(Inputs!$C$49+Inputs!$C$50))+Inputs!$C$47*0.097)))+0.30*(2*((SIN(((Model_Data!A111)*12.9898+(Inputs!$C$6)*78.233+Inputs!$C$47*37.719))*43758.5453)-INT((SIN(((Model_Data!A111)*12.9898+(Inputs!$C$6)*78.233+Inputs!$C$47*37.719))*43758.5453)))-1))))/1000)^2)-(Inputs!$C$5-((Inputs!$C$51*(115*EXP(-(((0)-25)^2)/(4.5^2))+70*EXP(-(((0)+38)^2)/(7^2))*(0.55+0.45*SIN(2*PI()*(Model_Data!A111)/45))+24*SIN(2*PI()*(0)/9+(Model_Data!A111)/18)*EXP(-(((0)+5)^2)/(22^2))+18*SIN(2*PI()*(Model_Data!A111)/70))+Inputs!$C$28*EXP(-(((Model_Data!A111)-Inputs!$C$29)^2)/(2*Inputs!$C$31^2))*EXP(-(((0)-Inputs!$C$30)^2)/(2*Inputs!$C$32^2))+-Inputs!$C$33*EXP(-(((((Model_Data!A111)-Inputs!$C$34)^2)+(((0)-Inputs!$C$35)^2))/(2*Inputs!$C$36^2)))+Inputs!$C$37*(0.55*SIN(2*PI()*(Model_Data!A111)/Inputs!$C$39)+0.35*COS(2*PI()*(0)/Inputs!$C$40)+0.2*SIN(2*PI()*((Model_Data!A111)+(0))/(0.5*(Inputs!$C$39+Inputs!$C$40))))+Inputs!$C$38*SIN(2*PI()*(Model_Data!A111)/Inputs!$C$39)*SIN(2*PI()*(0)/Inputs!$C$40)+-Inputs!$C$41*EXP(-(((0)-Inputs!$C$43)^2)/(2*Inputs!$C$44^2))*EXP(-(((Model_Data!A111)-Inputs!$C$42)^2)/(2*Inputs!$C$45^2))+Inputs!$C$48*(0.70*(0.45*SIN(2*PI()*(((Model_Data!A111)/Inputs!$C$49)+Inputs!$C$47*0.137))+0.35*COS(2*PI()*(((0)/Inputs!$C$50)+Inputs!$C$47*0.173))+0.20*SIN(2*PI()*(((Model_Data!A111)+(0))/(0.5*(Inputs!$C$49+Inputs!$C$50))+Inputs!$C$47*0.097)))+0.30*(2*((SIN(((Model_Data!A111)*12.9898+(0)*78.233+Inputs!$C$47*37.719))*43758.5453)-INT((SIN(((Model_Data!A111)*12.9898+(0)*78.233+Inputs!$C$47*37.719))*43758.5453)))-1))))/1000))*1000/Inputs!$C$12)-((SQRT((Model_Data!A111)^2+Inputs!$C$6^2+Inputs!$C$5^2)-Inputs!$C$5)*1000/Inputs!$C$12)))</x:f>
        <x:v>0.00008413847899646498</x:v>
      </x:c>
      <x:c r="X111" s="48" t="n">
        <x:f>0</x:f>
        <x:v>0</x:v>
      </x:c>
      <x:c r="Y111" s="49"/>
      <x:c r="Z111" s="48" t="n">
        <x:f>Model_Data!A111</x:f>
        <x:v>-5.5</x:v>
      </x:c>
      <x:c r="AA111" s="48" t="n">
        <x:f>SQRT((Model_Data!A111)^2+Inputs!$C$6^2+((Model_Data!B111)-((Inputs!$C$51*(115*EXP(-(((Inputs!$C$6)-25)^2)/(4.5^2))+70*EXP(-(((Inputs!$C$6)+38)^2)/(7^2))*(0.55+0.45*SIN(2*PI()*(Model_Data!A111)/45))+24*SIN(2*PI()*(Inputs!$C$6)/9+(Model_Data!A111)/18)*EXP(-(((Inputs!$C$6)+5)^2)/(22^2))+18*SIN(2*PI()*(Model_Data!A111)/70))+Inputs!$C$28*EXP(-(((Model_Data!A111)-Inputs!$C$29)^2)/(2*Inputs!$C$31^2))*EXP(-(((Inputs!$C$6)-Inputs!$C$30)^2)/(2*Inputs!$C$32^2))+-Inputs!$C$33*EXP(-(((((Model_Data!A111)-Inputs!$C$34)^2)+(((Inputs!$C$6)-Inputs!$C$35)^2))/(2*Inputs!$C$36^2)))+Inputs!$C$37*(0.55*SIN(2*PI()*(Model_Data!A111)/Inputs!$C$39)+0.35*COS(2*PI()*(Inputs!$C$6)/Inputs!$C$40)+0.2*SIN(2*PI()*((Model_Data!A111)+(Inputs!$C$6))/(0.5*(Inputs!$C$39+Inputs!$C$40))))+Inputs!$C$38*SIN(2*PI()*(Model_Data!A111)/Inputs!$C$39)*SIN(2*PI()*(Inputs!$C$6)/Inputs!$C$40)+-Inputs!$C$41*EXP(-(((Inputs!$C$6)-Inputs!$C$43)^2)/(2*Inputs!$C$44^2))*EXP(-(((Model_Data!A111)-Inputs!$C$42)^2)/(2*Inputs!$C$45^2))+Inputs!$C$48*(0.70*(0.45*SIN(2*PI()*(((Model_Data!A111)/Inputs!$C$49)+Inputs!$C$47*0.137))+0.35*COS(2*PI()*(((Inputs!$C$6)/Inputs!$C$50)+Inputs!$C$47*0.173))+0.20*SIN(2*PI()*(((Model_Data!A111)+(Inputs!$C$6))/(0.5*(Inputs!$C$49+Inputs!$C$50))+Inputs!$C$47*0.097)))+0.30*(2*((SIN(((Model_Data!A111)*12.9898+(Inputs!$C$6)*78.233+Inputs!$C$47*37.719))*43758.5453)-INT((SIN(((Model_Data!A111)*12.9898+(Inputs!$C$6)*78.233+Inputs!$C$47*37.719))*43758.5453)))-1))))/1000)^2)</x:f>
        <x:v>400.4154294891763</x:v>
      </x:c>
      <x:c r="AB111" s="48" t="n">
        <x:f>1000*(AA112-AA110)/(Z112-Z110)*Inputs!$C$11</x:f>
        <x:v>-18.872319123147463</x:v>
      </x:c>
      <x:c r="AC111" s="48" t="n">
        <x:f>-2*AB111/Inputs!$C$13</x:f>
        <x:v>7.548927649258985</x:v>
      </x:c>
      <x:c r="AD111" s="48" t="n">
        <x:f>-2*AB111/Inputs!$C$14</x:f>
        <x:v>1.1334726200088567</x:v>
      </x:c>
    </x:row>
    <x:row r="112">
      <x:c r="A112" s="48" t="n">
        <x:f>Model_Data!A112</x:f>
        <x:v>-5</x:v>
      </x:c>
      <x:c r="B112" s="48" t="n">
        <x:f>Model_Data!F112</x:f>
        <x:v>455.9664203598553</x:v>
      </x:c>
      <x:c r="C112" s="48" t="n">
        <x:f>(((SQRT((Model_Data!A112)^2+Inputs!$C$6^2+((Model_Data!B112)-((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(0.45*SIN(2*PI()*(((Model_Data!A112)/Inputs!$C$49)+Inputs!$C$47*0.137))+0.35*COS(2*PI()*(((Inputs!$C$6)/Inputs!$C$50)+Inputs!$C$47*0.173))+0.20*SIN(2*PI()*(((Model_Data!A112)+(Inputs!$C$6))/(0.5*(Inputs!$C$49+Inputs!$C$50))+Inputs!$C$47*0.097)))+0.30*(2*((SIN(((Model_Data!A112)*12.9898+(Inputs!$C$6)*78.233+Inputs!$C$47*37.719))*43758.5453)-INT((SIN(((Model_Data!A112)*12.9898+(Inputs!$C$6)*78.233+Inputs!$C$47*37.719))*43758.5453)))-1))))/1000)^2))-(((Model_Data!B112)-((Inputs!$C$51*(115*EXP(-(((0)-25)^2)/(4.5^2))+70*EXP(-(((0)+38)^2)/(7^2))*(0.55+0.45*SIN(2*PI()*(Model_Data!A112)/45))+24*SIN(2*PI()*(0)/9+(Model_Data!A112)/18)*EXP(-(((0)+5)^2)/(22^2))+18*SIN(2*PI()*(Model_Data!A112)/70))+Inputs!$C$28*EXP(-(((Model_Data!A112)-Inputs!$C$29)^2)/(2*Inputs!$C$31^2))*EXP(-(((0)-Inputs!$C$30)^2)/(2*Inputs!$C$32^2))+-Inputs!$C$33*EXP(-(((((Model_Data!A112)-Inputs!$C$34)^2)+(((0)-Inputs!$C$35)^2))/(2*Inputs!$C$36^2)))+Inputs!$C$37*(0.55*SIN(2*PI()*(Model_Data!A112)/Inputs!$C$39)+0.35*COS(2*PI()*(0)/Inputs!$C$40)+0.2*SIN(2*PI()*((Model_Data!A112)+(0))/(0.5*(Inputs!$C$39+Inputs!$C$40))))+Inputs!$C$38*SIN(2*PI()*(Model_Data!A112)/Inputs!$C$39)*SIN(2*PI()*(0)/Inputs!$C$40)+-Inputs!$C$41*EXP(-(((0)-Inputs!$C$43)^2)/(2*Inputs!$C$44^2))*EXP(-(((Model_Data!A112)-Inputs!$C$42)^2)/(2*Inputs!$C$45^2))+Inputs!$C$48*(0.70*(0.45*SIN(2*PI()*(((Model_Data!A112)/Inputs!$C$49)+Inputs!$C$47*0.137))+0.35*COS(2*PI()*(((0)/Inputs!$C$50)+Inputs!$C$47*0.173))+0.20*SIN(2*PI()*(((Model_Data!A112)+(0))/(0.5*(Inputs!$C$49+Inputs!$C$50))+Inputs!$C$47*0.097)))+0.30*(2*((SIN(((Model_Data!A112)*12.9898+(0)*78.233+Inputs!$C$47*37.719))*43758.5453)-INT((SIN(((Model_Data!A112)*12.9898+(0)*78.233+Inputs!$C$47*37.719))*43758.5453)))-1))))/1000)))*1000/Inputs!$C$12)</x:f>
        <x:v>175.474163614936</x:v>
      </x:c>
      <x:c r="D112" s="49"/>
      <x:c r="E112" s="48" t="n">
        <x:f>Model_Data!A112</x:f>
        <x:v>-5</x:v>
      </x:c>
      <x:c r="F112" s="48" t="n">
        <x:f>(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(0.45*SIN(2*PI()*(((Model_Data!A112)/Inputs!$C$49)+Inputs!$C$47*0.137))+0.35*COS(2*PI()*(((Inputs!$C$6)/Inputs!$C$50)+Inputs!$C$47*0.173))+0.20*SIN(2*PI()*(((Model_Data!A112)+(Inputs!$C$6))/(0.5*(Inputs!$C$49+Inputs!$C$50))+Inputs!$C$47*0.097)))+0.30*(2*((SIN(((Model_Data!A112)*12.9898+(Inputs!$C$6)*78.233+Inputs!$C$47*37.719))*43758.5453)-INT((SIN(((Model_Data!A112)*12.9898+(Inputs!$C$6)*78.233+Inputs!$C$47*37.719))*43758.5453)))-1)))</x:f>
        <x:v>426.4950993655156</x:v>
      </x:c>
      <x:c r="G112" s="48" t="n">
        <x:f>(Inputs!$C$51*(115*EXP(-(((0)-25)^2)/(4.5^2))+70*EXP(-(((0)+38)^2)/(7^2))*(0.55+0.45*SIN(2*PI()*(Model_Data!A112)/45))+24*SIN(2*PI()*(0)/9+(Model_Data!A112)/18)*EXP(-(((0)+5)^2)/(22^2))+18*SIN(2*PI()*(Model_Data!A112)/70))+Inputs!$C$28*EXP(-(((Model_Data!A112)-Inputs!$C$29)^2)/(2*Inputs!$C$31^2))*EXP(-(((0)-Inputs!$C$30)^2)/(2*Inputs!$C$32^2))+-Inputs!$C$33*EXP(-(((((Model_Data!A112)-Inputs!$C$34)^2)+(((0)-Inputs!$C$35)^2))/(2*Inputs!$C$36^2)))+Inputs!$C$37*(0.55*SIN(2*PI()*(Model_Data!A112)/Inputs!$C$39)+0.35*COS(2*PI()*(0)/Inputs!$C$40)+0.2*SIN(2*PI()*((Model_Data!A112)+(0))/(0.5*(Inputs!$C$39+Inputs!$C$40))))+Inputs!$C$38*SIN(2*PI()*(Model_Data!A112)/Inputs!$C$39)*SIN(2*PI()*(0)/Inputs!$C$40)+-Inputs!$C$41*EXP(-(((0)-Inputs!$C$43)^2)/(2*Inputs!$C$44^2))*EXP(-(((Model_Data!A112)-Inputs!$C$42)^2)/(2*Inputs!$C$45^2))+Inputs!$C$48*(0.70*(0.45*SIN(2*PI()*(((Model_Data!A112)/Inputs!$C$49)+Inputs!$C$47*0.137))+0.35*COS(2*PI()*(((0)/Inputs!$C$50)+Inputs!$C$47*0.173))+0.20*SIN(2*PI()*(((Model_Data!A112)+(0))/(0.5*(Inputs!$C$49+Inputs!$C$50))+Inputs!$C$47*0.097)))+0.30*(2*((SIN(((Model_Data!A112)*12.9898+(0)*78.233+Inputs!$C$47*37.719))*43758.5453)-INT((SIN(((Model_Data!A112)*12.9898+(0)*78.233+Inputs!$C$47*37.719))*43758.5453)))-1)))</x:f>
        <x:v>-73.64560445817172</x:v>
      </x:c>
      <x:c r="H112" s="49"/>
      <x:c r="I112" s="48" t="n">
        <x:f>Model_Data!A112</x:f>
        <x:v>-5</x:v>
      </x:c>
      <x:c r="J112" s="48" t="n">
        <x:f>((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(0.45*SIN(2*PI()*(((Model_Data!A112)/Inputs!$C$49)+Inputs!$C$47*0.137))+0.35*COS(2*PI()*(((Inputs!$C$6)/Inputs!$C$50)+Inputs!$C$47*0.173))+0.20*SIN(2*PI()*(((Model_Data!A112)+(Inputs!$C$6))/(0.5*(Inputs!$C$49+Inputs!$C$50))+Inputs!$C$47*0.097)))+0.30*(2*((SIN(((Model_Data!A112)*12.9898+(Inputs!$C$6)*78.233+Inputs!$C$47*37.719))*43758.5453)-INT((SIN(((Model_Data!A112)*12.9898+(Inputs!$C$6)*78.233+Inputs!$C$47*37.719))*43758.5453)))-1))))-((Inputs!$C$51*(115*EXP(-(((0)-25)^2)/(4.5^2))+70*EXP(-(((0)+38)^2)/(7^2))*(0.55+0.45*SIN(2*PI()*(Model_Data!A112)/45))+24*SIN(2*PI()*(0)/9+(Model_Data!A112)/18)*EXP(-(((0)+5)^2)/(22^2))+18*SIN(2*PI()*(Model_Data!A112)/70))+Inputs!$C$28*EXP(-(((Model_Data!A112)-Inputs!$C$29)^2)/(2*Inputs!$C$31^2))*EXP(-(((0)-Inputs!$C$30)^2)/(2*Inputs!$C$32^2))+-Inputs!$C$33*EXP(-(((((Model_Data!A112)-Inputs!$C$34)^2)+(((0)-Inputs!$C$35)^2))/(2*Inputs!$C$36^2)))+Inputs!$C$37*(0.55*SIN(2*PI()*(Model_Data!A112)/Inputs!$C$39)+0.35*COS(2*PI()*(0)/Inputs!$C$40)+0.2*SIN(2*PI()*((Model_Data!A112)+(0))/(0.5*(Inputs!$C$39+Inputs!$C$40))))+Inputs!$C$38*SIN(2*PI()*(Model_Data!A112)/Inputs!$C$39)*SIN(2*PI()*(0)/Inputs!$C$40)+-Inputs!$C$41*EXP(-(((0)-Inputs!$C$43)^2)/(2*Inputs!$C$44^2))*EXP(-(((Model_Data!A112)-Inputs!$C$42)^2)/(2*Inputs!$C$45^2))+Inputs!$C$48*(0.70*(0.45*SIN(2*PI()*(((Model_Data!A112)/Inputs!$C$49)+Inputs!$C$47*0.137))+0.35*COS(2*PI()*(((0)/Inputs!$C$50)+Inputs!$C$47*0.173))+0.20*SIN(2*PI()*(((Model_Data!A112)+(0))/(0.5*(Inputs!$C$49+Inputs!$C$50))+Inputs!$C$47*0.097)))+0.30*(2*((SIN(((Model_Data!A112)*12.9898+(0)*78.233+Inputs!$C$47*37.719))*43758.5453)-INT((SIN(((Model_Data!A112)*12.9898+(0)*78.233+Inputs!$C$47*37.719))*43758.5453)))-1))))</x:f>
        <x:v>500.1407038236873</x:v>
      </x:c>
      <x:c r="K112" s="48" t="n">
        <x:f>-((((SQRT((Model_Data!A112)^2+Inputs!$C$6^2+((Model_Data!B112)-((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(0.45*SIN(2*PI()*(((Model_Data!A112)/Inputs!$C$49)+Inputs!$C$47*0.137))+0.35*COS(2*PI()*(((Inputs!$C$6)/Inputs!$C$50)+Inputs!$C$47*0.173))+0.20*SIN(2*PI()*(((Model_Data!A112)+(Inputs!$C$6))/(0.5*(Inputs!$C$49+Inputs!$C$50))+Inputs!$C$47*0.097)))+0.30*(2*((SIN(((Model_Data!A112)*12.9898+(Inputs!$C$6)*78.233+Inputs!$C$47*37.719))*43758.5453)-INT((SIN(((Model_Data!A112)*12.9898+(Inputs!$C$6)*78.233+Inputs!$C$47*37.719))*43758.5453)))-1))))/1000)^2))-(((Model_Data!B112)-((Inputs!$C$51*(115*EXP(-(((0)-25)^2)/(4.5^2))+70*EXP(-(((0)+38)^2)/(7^2))*(0.55+0.45*SIN(2*PI()*(Model_Data!A112)/45))+24*SIN(2*PI()*(0)/9+(Model_Data!A112)/18)*EXP(-(((0)+5)^2)/(22^2))+18*SIN(2*PI()*(Model_Data!A112)/70))+Inputs!$C$28*EXP(-(((Model_Data!A112)-Inputs!$C$29)^2)/(2*Inputs!$C$31^2))*EXP(-(((0)-Inputs!$C$30)^2)/(2*Inputs!$C$32^2))+-Inputs!$C$33*EXP(-(((((Model_Data!A112)-Inputs!$C$34)^2)+(((0)-Inputs!$C$35)^2))/(2*Inputs!$C$36^2)))+Inputs!$C$37*(0.55*SIN(2*PI()*(Model_Data!A112)/Inputs!$C$39)+0.35*COS(2*PI()*(0)/Inputs!$C$40)+0.2*SIN(2*PI()*((Model_Data!A112)+(0))/(0.5*(Inputs!$C$39+Inputs!$C$40))))+Inputs!$C$38*SIN(2*PI()*(Model_Data!A112)/Inputs!$C$39)*SIN(2*PI()*(0)/Inputs!$C$40)+-Inputs!$C$41*EXP(-(((0)-Inputs!$C$43)^2)/(2*Inputs!$C$44^2))*EXP(-(((Model_Data!A112)-Inputs!$C$42)^2)/(2*Inputs!$C$45^2))+Inputs!$C$48*(0.70*(0.45*SIN(2*PI()*(((Model_Data!A112)/Inputs!$C$49)+Inputs!$C$47*0.137))+0.35*COS(2*PI()*(((0)/Inputs!$C$50)+Inputs!$C$47*0.173))+0.20*SIN(2*PI()*(((Model_Data!A112)+(0))/(0.5*(Inputs!$C$49+Inputs!$C$50))+Inputs!$C$47*0.097)))+0.30*(2*((SIN(((Model_Data!A112)*12.9898+(0)*78.233+Inputs!$C$47*37.719))*43758.5453)-INT((SIN(((Model_Data!A112)*12.9898+(0)*78.233+Inputs!$C$47*37.719))*43758.5453)))-1))))/1000)))*1000/Inputs!$C$12)-Model_Data!F112)</x:f>
        <x:v>280.4922567449193</x:v>
      </x:c>
      <x:c r="L112" s="49"/>
      <x:c r="M112" s="48" t="n">
        <x:f>Model_Data!A112</x:f>
        <x:v>-5</x:v>
      </x:c>
      <x:c r="N112" s="48" t="n">
        <x:f>Model_Data!P112</x:f>
        <x:v>37.699899294940856</x:v>
      </x:c>
      <x:c r="O112" s="48" t="n">
        <x:f>AC112</x:f>
        <x:v>15.484250027293456</x:v>
      </x:c>
      <x:c r="P112" s="48" t="n">
        <x:f>Model_Data!Q112</x:f>
        <x:v>5.6606455397809095</x:v>
      </x:c>
      <x:c r="Q112" s="48" t="n">
        <x:f>AD112</x:f>
        <x:v>2.3249624665605793</x:v>
      </x:c>
      <x:c r="R112" s="49"/>
      <x:c r="S112" s="48" t="n">
        <x:f>Model_Data!A112</x:f>
        <x:v>-5</x:v>
      </x:c>
      <x:c r="T112" s="48" t="n">
        <x:f>Model_Data!B112-Inputs!$C$5</x:f>
        <x:v>0.027777777777771462</x:v>
      </x:c>
      <x:c r="U112" s="49"/>
      <x:c r="V112" s="48" t="n">
        <x:f>Model_Data!A112</x:f>
        <x:v>-5</x:v>
      </x:c>
      <x:c r="W112" s="48" t="n">
        <x:f>(-((((SQRT((Model_Data!A112)^2+Inputs!$C$6^2+((Model_Data!B112)-((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(0.45*SIN(2*PI()*(((Model_Data!A112)/Inputs!$C$49)+Inputs!$C$47*0.137))+0.35*COS(2*PI()*(((Inputs!$C$6)/Inputs!$C$50)+Inputs!$C$47*0.173))+0.20*SIN(2*PI()*(((Model_Data!A112)+(Inputs!$C$6))/(0.5*(Inputs!$C$49+Inputs!$C$50))+Inputs!$C$47*0.097)))+0.30*(2*((SIN(((Model_Data!A112)*12.9898+(Inputs!$C$6)*78.233+Inputs!$C$47*37.719))*43758.5453)-INT((SIN(((Model_Data!A112)*12.9898+(Inputs!$C$6)*78.233+Inputs!$C$47*37.719))*43758.5453)))-1))))/1000)^2))-(((Model_Data!B112)-((Inputs!$C$51*(115*EXP(-(((0)-25)^2)/(4.5^2))+70*EXP(-(((0)+38)^2)/(7^2))*(0.55+0.45*SIN(2*PI()*(Model_Data!A112)/45))+24*SIN(2*PI()*(0)/9+(Model_Data!A112)/18)*EXP(-(((0)+5)^2)/(22^2))+18*SIN(2*PI()*(Model_Data!A112)/70))+Inputs!$C$28*EXP(-(((Model_Data!A112)-Inputs!$C$29)^2)/(2*Inputs!$C$31^2))*EXP(-(((0)-Inputs!$C$30)^2)/(2*Inputs!$C$32^2))+-Inputs!$C$33*EXP(-(((((Model_Data!A112)-Inputs!$C$34)^2)+(((0)-Inputs!$C$35)^2))/(2*Inputs!$C$36^2)))+Inputs!$C$37*(0.55*SIN(2*PI()*(Model_Data!A112)/Inputs!$C$39)+0.35*COS(2*PI()*(0)/Inputs!$C$40)+0.2*SIN(2*PI()*((Model_Data!A112)+(0))/(0.5*(Inputs!$C$39+Inputs!$C$40))))+Inputs!$C$38*SIN(2*PI()*(Model_Data!A112)/Inputs!$C$39)*SIN(2*PI()*(0)/Inputs!$C$40)+-Inputs!$C$41*EXP(-(((0)-Inputs!$C$43)^2)/(2*Inputs!$C$44^2))*EXP(-(((Model_Data!A112)-Inputs!$C$42)^2)/(2*Inputs!$C$45^2))+Inputs!$C$48*(0.70*(0.45*SIN(2*PI()*(((Model_Data!A112)/Inputs!$C$49)+Inputs!$C$47*0.137))+0.35*COS(2*PI()*(((0)/Inputs!$C$50)+Inputs!$C$47*0.173))+0.20*SIN(2*PI()*(((Model_Data!A112)+(0))/(0.5*(Inputs!$C$49+Inputs!$C$50))+Inputs!$C$47*0.097)))+0.30*(2*((SIN(((Model_Data!A112)*12.9898+(0)*78.233+Inputs!$C$47*37.719))*43758.5453)-INT((SIN(((Model_Data!A112)*12.9898+(0)*78.233+Inputs!$C$47*37.719))*43758.5453)))-1))))/1000)))*1000/Inputs!$C$12)-Model_Data!F112))-(-(((SQRT((Model_Data!A112)^2+Inputs!$C$6^2+(Inputs!$C$5-((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(0.45*SIN(2*PI()*(((Model_Data!A112)/Inputs!$C$49)+Inputs!$C$47*0.137))+0.35*COS(2*PI()*(((Inputs!$C$6)/Inputs!$C$50)+Inputs!$C$47*0.173))+0.20*SIN(2*PI()*(((Model_Data!A112)+(Inputs!$C$6))/(0.5*(Inputs!$C$49+Inputs!$C$50))+Inputs!$C$47*0.097)))+0.30*(2*((SIN(((Model_Data!A112)*12.9898+(Inputs!$C$6)*78.233+Inputs!$C$47*37.719))*43758.5453)-INT((SIN(((Model_Data!A112)*12.9898+(Inputs!$C$6)*78.233+Inputs!$C$47*37.719))*43758.5453)))-1))))/1000)^2)-(Inputs!$C$5-((Inputs!$C$51*(115*EXP(-(((0)-25)^2)/(4.5^2))+70*EXP(-(((0)+38)^2)/(7^2))*(0.55+0.45*SIN(2*PI()*(Model_Data!A112)/45))+24*SIN(2*PI()*(0)/9+(Model_Data!A112)/18)*EXP(-(((0)+5)^2)/(22^2))+18*SIN(2*PI()*(Model_Data!A112)/70))+Inputs!$C$28*EXP(-(((Model_Data!A112)-Inputs!$C$29)^2)/(2*Inputs!$C$31^2))*EXP(-(((0)-Inputs!$C$30)^2)/(2*Inputs!$C$32^2))+-Inputs!$C$33*EXP(-(((((Model_Data!A112)-Inputs!$C$34)^2)+(((0)-Inputs!$C$35)^2))/(2*Inputs!$C$36^2)))+Inputs!$C$37*(0.55*SIN(2*PI()*(Model_Data!A112)/Inputs!$C$39)+0.35*COS(2*PI()*(0)/Inputs!$C$40)+0.2*SIN(2*PI()*((Model_Data!A112)+(0))/(0.5*(Inputs!$C$39+Inputs!$C$40))))+Inputs!$C$38*SIN(2*PI()*(Model_Data!A112)/Inputs!$C$39)*SIN(2*PI()*(0)/Inputs!$C$40)+-Inputs!$C$41*EXP(-(((0)-Inputs!$C$43)^2)/(2*Inputs!$C$44^2))*EXP(-(((Model_Data!A112)-Inputs!$C$42)^2)/(2*Inputs!$C$45^2))+Inputs!$C$48*(0.70*(0.45*SIN(2*PI()*(((Model_Data!A112)/Inputs!$C$49)+Inputs!$C$47*0.137))+0.35*COS(2*PI()*(((0)/Inputs!$C$50)+Inputs!$C$47*0.173))+0.20*SIN(2*PI()*(((Model_Data!A112)+(0))/(0.5*(Inputs!$C$49+Inputs!$C$50))+Inputs!$C$47*0.097)))+0.30*(2*((SIN(((Model_Data!A112)*12.9898+(0)*78.233+Inputs!$C$47*37.719))*43758.5453)-INT((SIN(((Model_Data!A112)*12.9898+(0)*78.233+Inputs!$C$47*37.719))*43758.5453)))-1))))/1000))*1000/Inputs!$C$12)-((SQRT((Model_Data!A112)^2+Inputs!$C$6^2+Inputs!$C$5^2)-Inputs!$C$5)*1000/Inputs!$C$12)))</x:f>
        <x:v>0.00006728696001800927</x:v>
      </x:c>
      <x:c r="X112" s="48" t="n">
        <x:f>0</x:f>
        <x:v>0</x:v>
      </x:c>
      <x:c r="Y112" s="49"/>
      <x:c r="Z112" s="48" t="n">
        <x:f>Model_Data!A112</x:f>
        <x:v>-5</x:v>
      </x:c>
      <x:c r="AA112" s="48" t="n">
        <x:f>SQRT((Model_Data!A112)^2+Inputs!$C$6^2+((Model_Data!B112)-((Inputs!$C$51*(115*EXP(-(((Inputs!$C$6)-25)^2)/(4.5^2))+70*EXP(-(((Inputs!$C$6)+38)^2)/(7^2))*(0.55+0.45*SIN(2*PI()*(Model_Data!A112)/45))+24*SIN(2*PI()*(Inputs!$C$6)/9+(Model_Data!A112)/18)*EXP(-(((Inputs!$C$6)+5)^2)/(22^2))+18*SIN(2*PI()*(Model_Data!A112)/70))+Inputs!$C$28*EXP(-(((Model_Data!A112)-Inputs!$C$29)^2)/(2*Inputs!$C$31^2))*EXP(-(((Inputs!$C$6)-Inputs!$C$30)^2)/(2*Inputs!$C$32^2))+-Inputs!$C$33*EXP(-(((((Model_Data!A112)-Inputs!$C$34)^2)+(((Inputs!$C$6)-Inputs!$C$35)^2))/(2*Inputs!$C$36^2)))+Inputs!$C$37*(0.55*SIN(2*PI()*(Model_Data!A112)/Inputs!$C$39)+0.35*COS(2*PI()*(Inputs!$C$6)/Inputs!$C$40)+0.2*SIN(2*PI()*((Model_Data!A112)+(Inputs!$C$6))/(0.5*(Inputs!$C$39+Inputs!$C$40))))+Inputs!$C$38*SIN(2*PI()*(Model_Data!A112)/Inputs!$C$39)*SIN(2*PI()*(Inputs!$C$6)/Inputs!$C$40)+-Inputs!$C$41*EXP(-(((Inputs!$C$6)-Inputs!$C$43)^2)/(2*Inputs!$C$44^2))*EXP(-(((Model_Data!A112)-Inputs!$C$42)^2)/(2*Inputs!$C$45^2))+Inputs!$C$48*(0.70*(0.45*SIN(2*PI()*(((Model_Data!A112)/Inputs!$C$49)+Inputs!$C$47*0.137))+0.35*COS(2*PI()*(((Inputs!$C$6)/Inputs!$C$50)+Inputs!$C$47*0.173))+0.20*SIN(2*PI()*(((Model_Data!A112)+(Inputs!$C$6))/(0.5*(Inputs!$C$49+Inputs!$C$50))+Inputs!$C$47*0.097)))+0.30*(2*((SIN(((Model_Data!A112)*12.9898+(Inputs!$C$6)*78.233+Inputs!$C$47*37.719))*43758.5453)-INT((SIN(((Model_Data!A112)*12.9898+(Inputs!$C$6)*78.233+Inputs!$C$47*37.719))*43758.5453)))-1))))/1000)^2)</x:f>
        <x:v>400.41376739347055</x:v>
      </x:c>
      <x:c r="AB112" s="48" t="n">
        <x:f>1000*(AA113-AA111)/(Z113-Z111)*Inputs!$C$11</x:f>
        <x:v>-38.71062506823364</x:v>
      </x:c>
      <x:c r="AC112" s="48" t="n">
        <x:f>-2*AB112/Inputs!$C$13</x:f>
        <x:v>15.484250027293456</x:v>
      </x:c>
      <x:c r="AD112" s="48" t="n">
        <x:f>-2*AB112/Inputs!$C$14</x:f>
        <x:v>2.3249624665605793</x:v>
      </x:c>
    </x:row>
    <x:row r="113">
      <x:c r="A113" s="48" t="n">
        <x:f>Model_Data!A113</x:f>
        <x:v>-4.5</x:v>
      </x:c>
      <x:c r="B113" s="48" t="n">
        <x:f>Model_Data!F113</x:f>
        <x:v>452.64366680049187</x:v>
      </x:c>
      <x:c r="C113" s="48" t="n">
        <x:f>(((SQRT((Model_Data!A113)^2+Inputs!$C$6^2+((Model_Data!B113)-((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(0.45*SIN(2*PI()*(((Model_Data!A113)/Inputs!$C$49)+Inputs!$C$47*0.137))+0.35*COS(2*PI()*(((Inputs!$C$6)/Inputs!$C$50)+Inputs!$C$47*0.173))+0.20*SIN(2*PI()*(((Model_Data!A113)+(Inputs!$C$6))/(0.5*(Inputs!$C$49+Inputs!$C$50))+Inputs!$C$47*0.097)))+0.30*(2*((SIN(((Model_Data!A113)*12.9898+(Inputs!$C$6)*78.233+Inputs!$C$47*37.719))*43758.5453)-INT((SIN(((Model_Data!A113)*12.9898+(Inputs!$C$6)*78.233+Inputs!$C$47*37.719))*43758.5453)))-1))))/1000)^2))-(((Model_Data!B113)-((Inputs!$C$51*(115*EXP(-(((0)-25)^2)/(4.5^2))+70*EXP(-(((0)+38)^2)/(7^2))*(0.55+0.45*SIN(2*PI()*(Model_Data!A113)/45))+24*SIN(2*PI()*(0)/9+(Model_Data!A113)/18)*EXP(-(((0)+5)^2)/(22^2))+18*SIN(2*PI()*(Model_Data!A113)/70))+Inputs!$C$28*EXP(-(((Model_Data!A113)-Inputs!$C$29)^2)/(2*Inputs!$C$31^2))*EXP(-(((0)-Inputs!$C$30)^2)/(2*Inputs!$C$32^2))+-Inputs!$C$33*EXP(-(((((Model_Data!A113)-Inputs!$C$34)^2)+(((0)-Inputs!$C$35)^2))/(2*Inputs!$C$36^2)))+Inputs!$C$37*(0.55*SIN(2*PI()*(Model_Data!A113)/Inputs!$C$39)+0.35*COS(2*PI()*(0)/Inputs!$C$40)+0.2*SIN(2*PI()*((Model_Data!A113)+(0))/(0.5*(Inputs!$C$39+Inputs!$C$40))))+Inputs!$C$38*SIN(2*PI()*(Model_Data!A113)/Inputs!$C$39)*SIN(2*PI()*(0)/Inputs!$C$40)+-Inputs!$C$41*EXP(-(((0)-Inputs!$C$43)^2)/(2*Inputs!$C$44^2))*EXP(-(((Model_Data!A113)-Inputs!$C$42)^2)/(2*Inputs!$C$45^2))+Inputs!$C$48*(0.70*(0.45*SIN(2*PI()*(((Model_Data!A113)/Inputs!$C$49)+Inputs!$C$47*0.137))+0.35*COS(2*PI()*(((0)/Inputs!$C$50)+Inputs!$C$47*0.173))+0.20*SIN(2*PI()*(((Model_Data!A113)+(0))/(0.5*(Inputs!$C$49+Inputs!$C$50))+Inputs!$C$47*0.097)))+0.30*(2*((SIN(((Model_Data!A113)*12.9898+(0)*78.233+Inputs!$C$47*37.719))*43758.5453)-INT((SIN(((Model_Data!A113)*12.9898+(0)*78.233+Inputs!$C$47*37.719))*43758.5453)))-1))))/1000)))*1000/Inputs!$C$12)</x:f>
        <x:v>174.2485854086244</x:v>
      </x:c>
      <x:c r="D113" s="49"/>
      <x:c r="E113" s="48" t="n">
        <x:f>Model_Data!A113</x:f>
        <x:v>-4.5</x:v>
      </x:c>
      <x:c r="F113" s="48" t="n">
        <x:f>(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(0.45*SIN(2*PI()*(((Model_Data!A113)/Inputs!$C$49)+Inputs!$C$47*0.137))+0.35*COS(2*PI()*(((Inputs!$C$6)/Inputs!$C$50)+Inputs!$C$47*0.173))+0.20*SIN(2*PI()*(((Model_Data!A113)+(Inputs!$C$6))/(0.5*(Inputs!$C$49+Inputs!$C$50))+Inputs!$C$47*0.097)))+0.30*(2*((SIN(((Model_Data!A113)*12.9898+(Inputs!$C$6)*78.233+Inputs!$C$47*37.719))*43758.5453)-INT((SIN(((Model_Data!A113)*12.9898+(Inputs!$C$6)*78.233+Inputs!$C$47*37.719))*43758.5453)))-1)))</x:f>
        <x:v>423.30568039510905</x:v>
      </x:c>
      <x:c r="G113" s="48" t="n">
        <x:f>(Inputs!$C$51*(115*EXP(-(((0)-25)^2)/(4.5^2))+70*EXP(-(((0)+38)^2)/(7^2))*(0.55+0.45*SIN(2*PI()*(Model_Data!A113)/45))+24*SIN(2*PI()*(0)/9+(Model_Data!A113)/18)*EXP(-(((0)+5)^2)/(22^2))+18*SIN(2*PI()*(Model_Data!A113)/70))+Inputs!$C$28*EXP(-(((Model_Data!A113)-Inputs!$C$29)^2)/(2*Inputs!$C$31^2))*EXP(-(((0)-Inputs!$C$30)^2)/(2*Inputs!$C$32^2))+-Inputs!$C$33*EXP(-(((((Model_Data!A113)-Inputs!$C$34)^2)+(((0)-Inputs!$C$35)^2))/(2*Inputs!$C$36^2)))+Inputs!$C$37*(0.55*SIN(2*PI()*(Model_Data!A113)/Inputs!$C$39)+0.35*COS(2*PI()*(0)/Inputs!$C$40)+0.2*SIN(2*PI()*((Model_Data!A113)+(0))/(0.5*(Inputs!$C$39+Inputs!$C$40))))+Inputs!$C$38*SIN(2*PI()*(Model_Data!A113)/Inputs!$C$39)*SIN(2*PI()*(0)/Inputs!$C$40)+-Inputs!$C$41*EXP(-(((0)-Inputs!$C$43)^2)/(2*Inputs!$C$44^2))*EXP(-(((Model_Data!A113)-Inputs!$C$42)^2)/(2*Inputs!$C$45^2))+Inputs!$C$48*(0.70*(0.45*SIN(2*PI()*(((Model_Data!A113)/Inputs!$C$49)+Inputs!$C$47*0.137))+0.35*COS(2*PI()*(((0)/Inputs!$C$50)+Inputs!$C$47*0.173))+0.20*SIN(2*PI()*(((Model_Data!A113)+(0))/(0.5*(Inputs!$C$49+Inputs!$C$50))+Inputs!$C$47*0.097)))+0.30*(2*((SIN(((Model_Data!A113)*12.9898+(0)*78.233+Inputs!$C$47*37.719))*43758.5453)-INT((SIN(((Model_Data!A113)*12.9898+(0)*78.233+Inputs!$C$47*37.719))*43758.5453)))-1)))</x:f>
        <x:v>-73.08935088189128</x:v>
      </x:c>
      <x:c r="H113" s="49"/>
      <x:c r="I113" s="48" t="n">
        <x:f>Model_Data!A113</x:f>
        <x:v>-4.5</x:v>
      </x:c>
      <x:c r="J113" s="48" t="n">
        <x:f>((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(0.45*SIN(2*PI()*(((Model_Data!A113)/Inputs!$C$49)+Inputs!$C$47*0.137))+0.35*COS(2*PI()*(((Inputs!$C$6)/Inputs!$C$50)+Inputs!$C$47*0.173))+0.20*SIN(2*PI()*(((Model_Data!A113)+(Inputs!$C$6))/(0.5*(Inputs!$C$49+Inputs!$C$50))+Inputs!$C$47*0.097)))+0.30*(2*((SIN(((Model_Data!A113)*12.9898+(Inputs!$C$6)*78.233+Inputs!$C$47*37.719))*43758.5453)-INT((SIN(((Model_Data!A113)*12.9898+(Inputs!$C$6)*78.233+Inputs!$C$47*37.719))*43758.5453)))-1))))-((Inputs!$C$51*(115*EXP(-(((0)-25)^2)/(4.5^2))+70*EXP(-(((0)+38)^2)/(7^2))*(0.55+0.45*SIN(2*PI()*(Model_Data!A113)/45))+24*SIN(2*PI()*(0)/9+(Model_Data!A113)/18)*EXP(-(((0)+5)^2)/(22^2))+18*SIN(2*PI()*(Model_Data!A113)/70))+Inputs!$C$28*EXP(-(((Model_Data!A113)-Inputs!$C$29)^2)/(2*Inputs!$C$31^2))*EXP(-(((0)-Inputs!$C$30)^2)/(2*Inputs!$C$32^2))+-Inputs!$C$33*EXP(-(((((Model_Data!A113)-Inputs!$C$34)^2)+(((0)-Inputs!$C$35)^2))/(2*Inputs!$C$36^2)))+Inputs!$C$37*(0.55*SIN(2*PI()*(Model_Data!A113)/Inputs!$C$39)+0.35*COS(2*PI()*(0)/Inputs!$C$40)+0.2*SIN(2*PI()*((Model_Data!A113)+(0))/(0.5*(Inputs!$C$39+Inputs!$C$40))))+Inputs!$C$38*SIN(2*PI()*(Model_Data!A113)/Inputs!$C$39)*SIN(2*PI()*(0)/Inputs!$C$40)+-Inputs!$C$41*EXP(-(((0)-Inputs!$C$43)^2)/(2*Inputs!$C$44^2))*EXP(-(((Model_Data!A113)-Inputs!$C$42)^2)/(2*Inputs!$C$45^2))+Inputs!$C$48*(0.70*(0.45*SIN(2*PI()*(((Model_Data!A113)/Inputs!$C$49)+Inputs!$C$47*0.137))+0.35*COS(2*PI()*(((0)/Inputs!$C$50)+Inputs!$C$47*0.173))+0.20*SIN(2*PI()*(((Model_Data!A113)+(0))/(0.5*(Inputs!$C$49+Inputs!$C$50))+Inputs!$C$47*0.097)))+0.30*(2*((SIN(((Model_Data!A113)*12.9898+(0)*78.233+Inputs!$C$47*37.719))*43758.5453)-INT((SIN(((Model_Data!A113)*12.9898+(0)*78.233+Inputs!$C$47*37.719))*43758.5453)))-1))))</x:f>
        <x:v>496.3950312770003</x:v>
      </x:c>
      <x:c r="K113" s="48" t="n">
        <x:f>-((((SQRT((Model_Data!A113)^2+Inputs!$C$6^2+((Model_Data!B113)-((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(0.45*SIN(2*PI()*(((Model_Data!A113)/Inputs!$C$49)+Inputs!$C$47*0.137))+0.35*COS(2*PI()*(((Inputs!$C$6)/Inputs!$C$50)+Inputs!$C$47*0.173))+0.20*SIN(2*PI()*(((Model_Data!A113)+(Inputs!$C$6))/(0.5*(Inputs!$C$49+Inputs!$C$50))+Inputs!$C$47*0.097)))+0.30*(2*((SIN(((Model_Data!A113)*12.9898+(Inputs!$C$6)*78.233+Inputs!$C$47*37.719))*43758.5453)-INT((SIN(((Model_Data!A113)*12.9898+(Inputs!$C$6)*78.233+Inputs!$C$47*37.719))*43758.5453)))-1))))/1000)^2))-(((Model_Data!B113)-((Inputs!$C$51*(115*EXP(-(((0)-25)^2)/(4.5^2))+70*EXP(-(((0)+38)^2)/(7^2))*(0.55+0.45*SIN(2*PI()*(Model_Data!A113)/45))+24*SIN(2*PI()*(0)/9+(Model_Data!A113)/18)*EXP(-(((0)+5)^2)/(22^2))+18*SIN(2*PI()*(Model_Data!A113)/70))+Inputs!$C$28*EXP(-(((Model_Data!A113)-Inputs!$C$29)^2)/(2*Inputs!$C$31^2))*EXP(-(((0)-Inputs!$C$30)^2)/(2*Inputs!$C$32^2))+-Inputs!$C$33*EXP(-(((((Model_Data!A113)-Inputs!$C$34)^2)+(((0)-Inputs!$C$35)^2))/(2*Inputs!$C$36^2)))+Inputs!$C$37*(0.55*SIN(2*PI()*(Model_Data!A113)/Inputs!$C$39)+0.35*COS(2*PI()*(0)/Inputs!$C$40)+0.2*SIN(2*PI()*((Model_Data!A113)+(0))/(0.5*(Inputs!$C$39+Inputs!$C$40))))+Inputs!$C$38*SIN(2*PI()*(Model_Data!A113)/Inputs!$C$39)*SIN(2*PI()*(0)/Inputs!$C$40)+-Inputs!$C$41*EXP(-(((0)-Inputs!$C$43)^2)/(2*Inputs!$C$44^2))*EXP(-(((Model_Data!A113)-Inputs!$C$42)^2)/(2*Inputs!$C$45^2))+Inputs!$C$48*(0.70*(0.45*SIN(2*PI()*(((Model_Data!A113)/Inputs!$C$49)+Inputs!$C$47*0.137))+0.35*COS(2*PI()*(((0)/Inputs!$C$50)+Inputs!$C$47*0.173))+0.20*SIN(2*PI()*(((Model_Data!A113)+(0))/(0.5*(Inputs!$C$49+Inputs!$C$50))+Inputs!$C$47*0.097)))+0.30*(2*((SIN(((Model_Data!A113)*12.9898+(0)*78.233+Inputs!$C$47*37.719))*43758.5453)-INT((SIN(((Model_Data!A113)*12.9898+(0)*78.233+Inputs!$C$47*37.719))*43758.5453)))-1))))/1000)))*1000/Inputs!$C$12)-Model_Data!F113)</x:f>
        <x:v>278.3950813918675</x:v>
      </x:c>
      <x:c r="L113" s="49"/>
      <x:c r="M113" s="48" t="n">
        <x:f>Model_Data!A113</x:f>
        <x:v>-4.5</x:v>
      </x:c>
      <x:c r="N113" s="48" t="n">
        <x:f>Model_Data!P113</x:f>
        <x:v>33.930646111432324</x:v>
      </x:c>
      <x:c r="O113" s="48" t="n">
        <x:f>AC113</x:f>
        <x:v>33.18260750520494</x:v>
      </x:c>
      <x:c r="P113" s="48" t="n">
        <x:f>Model_Data!Q113</x:f>
        <x:v>5.094691608323172</x:v>
      </x:c>
      <x:c r="Q113" s="48" t="n">
        <x:f>AD113</x:f>
        <x:v>4.982373499280022</x:v>
      </x:c>
      <x:c r="R113" s="49"/>
      <x:c r="S113" s="48" t="n">
        <x:f>Model_Data!A113</x:f>
        <x:v>-4.5</x:v>
      </x:c>
      <x:c r="T113" s="48" t="n">
        <x:f>Model_Data!B113-Inputs!$C$5</x:f>
        <x:v>0.022499999999979536</x:v>
      </x:c>
      <x:c r="U113" s="49"/>
      <x:c r="V113" s="48" t="n">
        <x:f>Model_Data!A113</x:f>
        <x:v>-4.5</x:v>
      </x:c>
      <x:c r="W113" s="48" t="n">
        <x:f>(-((((SQRT((Model_Data!A113)^2+Inputs!$C$6^2+((Model_Data!B113)-((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(0.45*SIN(2*PI()*(((Model_Data!A113)/Inputs!$C$49)+Inputs!$C$47*0.137))+0.35*COS(2*PI()*(((Inputs!$C$6)/Inputs!$C$50)+Inputs!$C$47*0.173))+0.20*SIN(2*PI()*(((Model_Data!A113)+(Inputs!$C$6))/(0.5*(Inputs!$C$49+Inputs!$C$50))+Inputs!$C$47*0.097)))+0.30*(2*((SIN(((Model_Data!A113)*12.9898+(Inputs!$C$6)*78.233+Inputs!$C$47*37.719))*43758.5453)-INT((SIN(((Model_Data!A113)*12.9898+(Inputs!$C$6)*78.233+Inputs!$C$47*37.719))*43758.5453)))-1))))/1000)^2))-(((Model_Data!B113)-((Inputs!$C$51*(115*EXP(-(((0)-25)^2)/(4.5^2))+70*EXP(-(((0)+38)^2)/(7^2))*(0.55+0.45*SIN(2*PI()*(Model_Data!A113)/45))+24*SIN(2*PI()*(0)/9+(Model_Data!A113)/18)*EXP(-(((0)+5)^2)/(22^2))+18*SIN(2*PI()*(Model_Data!A113)/70))+Inputs!$C$28*EXP(-(((Model_Data!A113)-Inputs!$C$29)^2)/(2*Inputs!$C$31^2))*EXP(-(((0)-Inputs!$C$30)^2)/(2*Inputs!$C$32^2))+-Inputs!$C$33*EXP(-(((((Model_Data!A113)-Inputs!$C$34)^2)+(((0)-Inputs!$C$35)^2))/(2*Inputs!$C$36^2)))+Inputs!$C$37*(0.55*SIN(2*PI()*(Model_Data!A113)/Inputs!$C$39)+0.35*COS(2*PI()*(0)/Inputs!$C$40)+0.2*SIN(2*PI()*((Model_Data!A113)+(0))/(0.5*(Inputs!$C$39+Inputs!$C$40))))+Inputs!$C$38*SIN(2*PI()*(Model_Data!A113)/Inputs!$C$39)*SIN(2*PI()*(0)/Inputs!$C$40)+-Inputs!$C$41*EXP(-(((0)-Inputs!$C$43)^2)/(2*Inputs!$C$44^2))*EXP(-(((Model_Data!A113)-Inputs!$C$42)^2)/(2*Inputs!$C$45^2))+Inputs!$C$48*(0.70*(0.45*SIN(2*PI()*(((Model_Data!A113)/Inputs!$C$49)+Inputs!$C$47*0.137))+0.35*COS(2*PI()*(((0)/Inputs!$C$50)+Inputs!$C$47*0.173))+0.20*SIN(2*PI()*(((Model_Data!A113)+(0))/(0.5*(Inputs!$C$49+Inputs!$C$50))+Inputs!$C$47*0.097)))+0.30*(2*((SIN(((Model_Data!A113)*12.9898+(0)*78.233+Inputs!$C$47*37.719))*43758.5453)-INT((SIN(((Model_Data!A113)*12.9898+(0)*78.233+Inputs!$C$47*37.719))*43758.5453)))-1))))/1000)))*1000/Inputs!$C$12)-Model_Data!F113))-(-(((SQRT((Model_Data!A113)^2+Inputs!$C$6^2+(Inputs!$C$5-((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(0.45*SIN(2*PI()*(((Model_Data!A113)/Inputs!$C$49)+Inputs!$C$47*0.137))+0.35*COS(2*PI()*(((Inputs!$C$6)/Inputs!$C$50)+Inputs!$C$47*0.173))+0.20*SIN(2*PI()*(((Model_Data!A113)+(Inputs!$C$6))/(0.5*(Inputs!$C$49+Inputs!$C$50))+Inputs!$C$47*0.097)))+0.30*(2*((SIN(((Model_Data!A113)*12.9898+(Inputs!$C$6)*78.233+Inputs!$C$47*37.719))*43758.5453)-INT((SIN(((Model_Data!A113)*12.9898+(Inputs!$C$6)*78.233+Inputs!$C$47*37.719))*43758.5453)))-1))))/1000)^2)-(Inputs!$C$5-((Inputs!$C$51*(115*EXP(-(((0)-25)^2)/(4.5^2))+70*EXP(-(((0)+38)^2)/(7^2))*(0.55+0.45*SIN(2*PI()*(Model_Data!A113)/45))+24*SIN(2*PI()*(0)/9+(Model_Data!A113)/18)*EXP(-(((0)+5)^2)/(22^2))+18*SIN(2*PI()*(Model_Data!A113)/70))+Inputs!$C$28*EXP(-(((Model_Data!A113)-Inputs!$C$29)^2)/(2*Inputs!$C$31^2))*EXP(-(((0)-Inputs!$C$30)^2)/(2*Inputs!$C$32^2))+-Inputs!$C$33*EXP(-(((((Model_Data!A113)-Inputs!$C$34)^2)+(((0)-Inputs!$C$35)^2))/(2*Inputs!$C$36^2)))+Inputs!$C$37*(0.55*SIN(2*PI()*(Model_Data!A113)/Inputs!$C$39)+0.35*COS(2*PI()*(0)/Inputs!$C$40)+0.2*SIN(2*PI()*((Model_Data!A113)+(0))/(0.5*(Inputs!$C$39+Inputs!$C$40))))+Inputs!$C$38*SIN(2*PI()*(Model_Data!A113)/Inputs!$C$39)*SIN(2*PI()*(0)/Inputs!$C$40)+-Inputs!$C$41*EXP(-(((0)-Inputs!$C$43)^2)/(2*Inputs!$C$44^2))*EXP(-(((Model_Data!A113)-Inputs!$C$42)^2)/(2*Inputs!$C$45^2))+Inputs!$C$48*(0.70*(0.45*SIN(2*PI()*(((Model_Data!A113)/Inputs!$C$49)+Inputs!$C$47*0.137))+0.35*COS(2*PI()*(((0)/Inputs!$C$50)+Inputs!$C$47*0.173))+0.20*SIN(2*PI()*(((Model_Data!A113)+(0))/(0.5*(Inputs!$C$49+Inputs!$C$50))+Inputs!$C$47*0.097)))+0.30*(2*((SIN(((Model_Data!A113)*12.9898+(0)*78.233+Inputs!$C$47*37.719))*43758.5453)-INT((SIN(((Model_Data!A113)*12.9898+(0)*78.233+Inputs!$C$47*37.719))*43758.5453)))-1))))/1000))*1000/Inputs!$C$12)-((SQRT((Model_Data!A113)^2+Inputs!$C$6^2+Inputs!$C$5^2)-Inputs!$C$5)*1000/Inputs!$C$12)))</x:f>
        <x:v>0.00005370237295210245</x:v>
      </x:c>
      <x:c r="X113" s="48" t="n">
        <x:f>0</x:f>
        <x:v>0</x:v>
      </x:c>
      <x:c r="Y113" s="49"/>
      <x:c r="Z113" s="48" t="n">
        <x:f>Model_Data!A113</x:f>
        <x:v>-4.5</x:v>
      </x:c>
      <x:c r="AA113" s="48" t="n">
        <x:f>SQRT((Model_Data!A113)^2+Inputs!$C$6^2+((Model_Data!B113)-((Inputs!$C$51*(115*EXP(-(((Inputs!$C$6)-25)^2)/(4.5^2))+70*EXP(-(((Inputs!$C$6)+38)^2)/(7^2))*(0.55+0.45*SIN(2*PI()*(Model_Data!A113)/45))+24*SIN(2*PI()*(Inputs!$C$6)/9+(Model_Data!A113)/18)*EXP(-(((Inputs!$C$6)+5)^2)/(22^2))+18*SIN(2*PI()*(Model_Data!A113)/70))+Inputs!$C$28*EXP(-(((Model_Data!A113)-Inputs!$C$29)^2)/(2*Inputs!$C$31^2))*EXP(-(((Inputs!$C$6)-Inputs!$C$30)^2)/(2*Inputs!$C$32^2))+-Inputs!$C$33*EXP(-(((((Model_Data!A113)-Inputs!$C$34)^2)+(((Inputs!$C$6)-Inputs!$C$35)^2))/(2*Inputs!$C$36^2)))+Inputs!$C$37*(0.55*SIN(2*PI()*(Model_Data!A113)/Inputs!$C$39)+0.35*COS(2*PI()*(Inputs!$C$6)/Inputs!$C$40)+0.2*SIN(2*PI()*((Model_Data!A113)+(Inputs!$C$6))/(0.5*(Inputs!$C$39+Inputs!$C$40))))+Inputs!$C$38*SIN(2*PI()*(Model_Data!A113)/Inputs!$C$39)*SIN(2*PI()*(Inputs!$C$6)/Inputs!$C$40)+-Inputs!$C$41*EXP(-(((Inputs!$C$6)-Inputs!$C$43)^2)/(2*Inputs!$C$44^2))*EXP(-(((Model_Data!A113)-Inputs!$C$42)^2)/(2*Inputs!$C$45^2))+Inputs!$C$48*(0.70*(0.45*SIN(2*PI()*(((Model_Data!A113)/Inputs!$C$49)+Inputs!$C$47*0.137))+0.35*COS(2*PI()*(((Inputs!$C$6)/Inputs!$C$50)+Inputs!$C$47*0.173))+0.20*SIN(2*PI()*(((Model_Data!A113)+(Inputs!$C$6))/(0.5*(Inputs!$C$49+Inputs!$C$50))+Inputs!$C$47*0.097)))+0.30*(2*((SIN(((Model_Data!A113)*12.9898+(Inputs!$C$6)*78.233+Inputs!$C$47*37.719))*43758.5453)-INT((SIN(((Model_Data!A113)*12.9898+(Inputs!$C$6)*78.233+Inputs!$C$47*37.719))*43758.5453)))-1))))/1000)^2)</x:f>
        <x:v>400.40575183290923</x:v>
      </x:c>
      <x:c r="AB113" s="48" t="n">
        <x:f>1000*(AA114-AA112)/(Z114-Z112)*Inputs!$C$11</x:f>
        <x:v>-82.95651876301235</x:v>
      </x:c>
      <x:c r="AC113" s="48" t="n">
        <x:f>-2*AB113/Inputs!$C$13</x:f>
        <x:v>33.18260750520494</x:v>
      </x:c>
      <x:c r="AD113" s="48" t="n">
        <x:f>-2*AB113/Inputs!$C$14</x:f>
        <x:v>4.982373499280022</x:v>
      </x:c>
    </x:row>
    <x:row r="114">
      <x:c r="A114" s="48" t="n">
        <x:f>Model_Data!A114</x:f>
        <x:v>-4</x:v>
      </x:c>
      <x:c r="B114" s="48" t="n">
        <x:f>Model_Data!F114</x:f>
        <x:v>449.67056103995435</x:v>
      </x:c>
      <x:c r="C114" s="48" t="n">
        <x:f>(((SQRT((Model_Data!A114)^2+Inputs!$C$6^2+((Model_Data!B114)-((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(0.45*SIN(2*PI()*(((Model_Data!A114)/Inputs!$C$49)+Inputs!$C$47*0.137))+0.35*COS(2*PI()*(((Inputs!$C$6)/Inputs!$C$50)+Inputs!$C$47*0.173))+0.20*SIN(2*PI()*(((Model_Data!A114)+(Inputs!$C$6))/(0.5*(Inputs!$C$49+Inputs!$C$50))+Inputs!$C$47*0.097)))+0.30*(2*((SIN(((Model_Data!A114)*12.9898+(Inputs!$C$6)*78.233+Inputs!$C$47*37.719))*43758.5453)-INT((SIN(((Model_Data!A114)*12.9898+(Inputs!$C$6)*78.233+Inputs!$C$47*37.719))*43758.5453)))-1))))/1000)^2))-(((Model_Data!B114)-((Inputs!$C$51*(115*EXP(-(((0)-25)^2)/(4.5^2))+70*EXP(-(((0)+38)^2)/(7^2))*(0.55+0.45*SIN(2*PI()*(Model_Data!A114)/45))+24*SIN(2*PI()*(0)/9+(Model_Data!A114)/18)*EXP(-(((0)+5)^2)/(22^2))+18*SIN(2*PI()*(Model_Data!A114)/70))+Inputs!$C$28*EXP(-(((Model_Data!A114)-Inputs!$C$29)^2)/(2*Inputs!$C$31^2))*EXP(-(((0)-Inputs!$C$30)^2)/(2*Inputs!$C$32^2))+-Inputs!$C$33*EXP(-(((((Model_Data!A114)-Inputs!$C$34)^2)+(((0)-Inputs!$C$35)^2))/(2*Inputs!$C$36^2)))+Inputs!$C$37*(0.55*SIN(2*PI()*(Model_Data!A114)/Inputs!$C$39)+0.35*COS(2*PI()*(0)/Inputs!$C$40)+0.2*SIN(2*PI()*((Model_Data!A114)+(0))/(0.5*(Inputs!$C$39+Inputs!$C$40))))+Inputs!$C$38*SIN(2*PI()*(Model_Data!A114)/Inputs!$C$39)*SIN(2*PI()*(0)/Inputs!$C$40)+-Inputs!$C$41*EXP(-(((0)-Inputs!$C$43)^2)/(2*Inputs!$C$44^2))*EXP(-(((Model_Data!A114)-Inputs!$C$42)^2)/(2*Inputs!$C$45^2))+Inputs!$C$48*(0.70*(0.45*SIN(2*PI()*(((Model_Data!A114)/Inputs!$C$49)+Inputs!$C$47*0.137))+0.35*COS(2*PI()*(((0)/Inputs!$C$50)+Inputs!$C$47*0.173))+0.20*SIN(2*PI()*(((Model_Data!A114)+(0))/(0.5*(Inputs!$C$49+Inputs!$C$50))+Inputs!$C$47*0.097)))+0.30*(2*((SIN(((Model_Data!A114)*12.9898+(0)*78.233+Inputs!$C$47*37.719))*43758.5453)-INT((SIN(((Model_Data!A114)*12.9898+(0)*78.233+Inputs!$C$47*37.719))*43758.5453)))-1))))/1000)))*1000/Inputs!$C$12)</x:f>
        <x:v>169.10885113846876</x:v>
      </x:c>
      <x:c r="D114" s="49"/>
      <x:c r="E114" s="48" t="n">
        <x:f>Model_Data!A114</x:f>
        <x:v>-4</x:v>
      </x:c>
      <x:c r="F114" s="48" t="n">
        <x:f>(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(0.45*SIN(2*PI()*(((Model_Data!A114)/Inputs!$C$49)+Inputs!$C$47*0.137))+0.35*COS(2*PI()*(((Inputs!$C$6)/Inputs!$C$50)+Inputs!$C$47*0.173))+0.20*SIN(2*PI()*(((Model_Data!A114)+(Inputs!$C$6))/(0.5*(Inputs!$C$49+Inputs!$C$50))+Inputs!$C$47*0.097)))+0.30*(2*((SIN(((Model_Data!A114)*12.9898+(Inputs!$C$6)*78.233+Inputs!$C$47*37.719))*43758.5453)-INT((SIN(((Model_Data!A114)*12.9898+(Inputs!$C$6)*78.233+Inputs!$C$47*37.719))*43758.5453)))-1)))</x:f>
        <x:v>426.0147467563934</x:v>
      </x:c>
      <x:c r="G114" s="48" t="n">
        <x:f>(Inputs!$C$51*(115*EXP(-(((0)-25)^2)/(4.5^2))+70*EXP(-(((0)+38)^2)/(7^2))*(0.55+0.45*SIN(2*PI()*(Model_Data!A114)/45))+24*SIN(2*PI()*(0)/9+(Model_Data!A114)/18)*EXP(-(((0)+5)^2)/(22^2))+18*SIN(2*PI()*(Model_Data!A114)/70))+Inputs!$C$28*EXP(-(((Model_Data!A114)-Inputs!$C$29)^2)/(2*Inputs!$C$31^2))*EXP(-(((0)-Inputs!$C$30)^2)/(2*Inputs!$C$32^2))+-Inputs!$C$33*EXP(-(((((Model_Data!A114)-Inputs!$C$34)^2)+(((0)-Inputs!$C$35)^2))/(2*Inputs!$C$36^2)))+Inputs!$C$37*(0.55*SIN(2*PI()*(Model_Data!A114)/Inputs!$C$39)+0.35*COS(2*PI()*(0)/Inputs!$C$40)+0.2*SIN(2*PI()*((Model_Data!A114)+(0))/(0.5*(Inputs!$C$39+Inputs!$C$40))))+Inputs!$C$38*SIN(2*PI()*(Model_Data!A114)/Inputs!$C$39)*SIN(2*PI()*(0)/Inputs!$C$40)+-Inputs!$C$41*EXP(-(((0)-Inputs!$C$43)^2)/(2*Inputs!$C$44^2))*EXP(-(((Model_Data!A114)-Inputs!$C$42)^2)/(2*Inputs!$C$45^2))+Inputs!$C$48*(0.70*(0.45*SIN(2*PI()*(((Model_Data!A114)/Inputs!$C$49)+Inputs!$C$47*0.137))+0.35*COS(2*PI()*(((0)/Inputs!$C$50)+Inputs!$C$47*0.173))+0.20*SIN(2*PI()*(((Model_Data!A114)+(0))/(0.5*(Inputs!$C$49+Inputs!$C$50))+Inputs!$C$47*0.097)))+0.30*(2*((SIN(((Model_Data!A114)*12.9898+(0)*78.233+Inputs!$C$47*37.719))*43758.5453)-INT((SIN(((Model_Data!A114)*12.9898+(0)*78.233+Inputs!$C$47*37.719))*43758.5453)))-1)))</x:f>
        <x:v>-74.23673097551541</x:v>
      </x:c>
      <x:c r="H114" s="49"/>
      <x:c r="I114" s="48" t="n">
        <x:f>Model_Data!A114</x:f>
        <x:v>-4</x:v>
      </x:c>
      <x:c r="J114" s="48" t="n">
        <x:f>((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(0.45*SIN(2*PI()*(((Model_Data!A114)/Inputs!$C$49)+Inputs!$C$47*0.137))+0.35*COS(2*PI()*(((Inputs!$C$6)/Inputs!$C$50)+Inputs!$C$47*0.173))+0.20*SIN(2*PI()*(((Model_Data!A114)+(Inputs!$C$6))/(0.5*(Inputs!$C$49+Inputs!$C$50))+Inputs!$C$47*0.097)))+0.30*(2*((SIN(((Model_Data!A114)*12.9898+(Inputs!$C$6)*78.233+Inputs!$C$47*37.719))*43758.5453)-INT((SIN(((Model_Data!A114)*12.9898+(Inputs!$C$6)*78.233+Inputs!$C$47*37.719))*43758.5453)))-1))))-((Inputs!$C$51*(115*EXP(-(((0)-25)^2)/(4.5^2))+70*EXP(-(((0)+38)^2)/(7^2))*(0.55+0.45*SIN(2*PI()*(Model_Data!A114)/45))+24*SIN(2*PI()*(0)/9+(Model_Data!A114)/18)*EXP(-(((0)+5)^2)/(22^2))+18*SIN(2*PI()*(Model_Data!A114)/70))+Inputs!$C$28*EXP(-(((Model_Data!A114)-Inputs!$C$29)^2)/(2*Inputs!$C$31^2))*EXP(-(((0)-Inputs!$C$30)^2)/(2*Inputs!$C$32^2))+-Inputs!$C$33*EXP(-(((((Model_Data!A114)-Inputs!$C$34)^2)+(((0)-Inputs!$C$35)^2))/(2*Inputs!$C$36^2)))+Inputs!$C$37*(0.55*SIN(2*PI()*(Model_Data!A114)/Inputs!$C$39)+0.35*COS(2*PI()*(0)/Inputs!$C$40)+0.2*SIN(2*PI()*((Model_Data!A114)+(0))/(0.5*(Inputs!$C$39+Inputs!$C$40))))+Inputs!$C$38*SIN(2*PI()*(Model_Data!A114)/Inputs!$C$39)*SIN(2*PI()*(0)/Inputs!$C$40)+-Inputs!$C$41*EXP(-(((0)-Inputs!$C$43)^2)/(2*Inputs!$C$44^2))*EXP(-(((Model_Data!A114)-Inputs!$C$42)^2)/(2*Inputs!$C$45^2))+Inputs!$C$48*(0.70*(0.45*SIN(2*PI()*(((Model_Data!A114)/Inputs!$C$49)+Inputs!$C$47*0.137))+0.35*COS(2*PI()*(((0)/Inputs!$C$50)+Inputs!$C$47*0.173))+0.20*SIN(2*PI()*(((Model_Data!A114)+(0))/(0.5*(Inputs!$C$49+Inputs!$C$50))+Inputs!$C$47*0.097)))+0.30*(2*((SIN(((Model_Data!A114)*12.9898+(0)*78.233+Inputs!$C$47*37.719))*43758.5453)-INT((SIN(((Model_Data!A114)*12.9898+(0)*78.233+Inputs!$C$47*37.719))*43758.5453)))-1))))</x:f>
        <x:v>500.2514777319088</x:v>
      </x:c>
      <x:c r="K114" s="48" t="n">
        <x:f>-((((SQRT((Model_Data!A114)^2+Inputs!$C$6^2+((Model_Data!B114)-((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(0.45*SIN(2*PI()*(((Model_Data!A114)/Inputs!$C$49)+Inputs!$C$47*0.137))+0.35*COS(2*PI()*(((Inputs!$C$6)/Inputs!$C$50)+Inputs!$C$47*0.173))+0.20*SIN(2*PI()*(((Model_Data!A114)+(Inputs!$C$6))/(0.5*(Inputs!$C$49+Inputs!$C$50))+Inputs!$C$47*0.097)))+0.30*(2*((SIN(((Model_Data!A114)*12.9898+(Inputs!$C$6)*78.233+Inputs!$C$47*37.719))*43758.5453)-INT((SIN(((Model_Data!A114)*12.9898+(Inputs!$C$6)*78.233+Inputs!$C$47*37.719))*43758.5453)))-1))))/1000)^2))-(((Model_Data!B114)-((Inputs!$C$51*(115*EXP(-(((0)-25)^2)/(4.5^2))+70*EXP(-(((0)+38)^2)/(7^2))*(0.55+0.45*SIN(2*PI()*(Model_Data!A114)/45))+24*SIN(2*PI()*(0)/9+(Model_Data!A114)/18)*EXP(-(((0)+5)^2)/(22^2))+18*SIN(2*PI()*(Model_Data!A114)/70))+Inputs!$C$28*EXP(-(((Model_Data!A114)-Inputs!$C$29)^2)/(2*Inputs!$C$31^2))*EXP(-(((0)-Inputs!$C$30)^2)/(2*Inputs!$C$32^2))+-Inputs!$C$33*EXP(-(((((Model_Data!A114)-Inputs!$C$34)^2)+(((0)-Inputs!$C$35)^2))/(2*Inputs!$C$36^2)))+Inputs!$C$37*(0.55*SIN(2*PI()*(Model_Data!A114)/Inputs!$C$39)+0.35*COS(2*PI()*(0)/Inputs!$C$40)+0.2*SIN(2*PI()*((Model_Data!A114)+(0))/(0.5*(Inputs!$C$39+Inputs!$C$40))))+Inputs!$C$38*SIN(2*PI()*(Model_Data!A114)/Inputs!$C$39)*SIN(2*PI()*(0)/Inputs!$C$40)+-Inputs!$C$41*EXP(-(((0)-Inputs!$C$43)^2)/(2*Inputs!$C$44^2))*EXP(-(((Model_Data!A114)-Inputs!$C$42)^2)/(2*Inputs!$C$45^2))+Inputs!$C$48*(0.70*(0.45*SIN(2*PI()*(((Model_Data!A114)/Inputs!$C$49)+Inputs!$C$47*0.137))+0.35*COS(2*PI()*(((0)/Inputs!$C$50)+Inputs!$C$47*0.173))+0.20*SIN(2*PI()*(((Model_Data!A114)+(0))/(0.5*(Inputs!$C$49+Inputs!$C$50))+Inputs!$C$47*0.097)))+0.30*(2*((SIN(((Model_Data!A114)*12.9898+(0)*78.233+Inputs!$C$47*37.719))*43758.5453)-INT((SIN(((Model_Data!A114)*12.9898+(0)*78.233+Inputs!$C$47*37.719))*43758.5453)))-1))))/1000)))*1000/Inputs!$C$12)-Model_Data!F114)</x:f>
        <x:v>280.5617099014856</x:v>
      </x:c>
      <x:c r="L114" s="49"/>
      <x:c r="M114" s="48" t="n">
        <x:f>Model_Data!A114</x:f>
        <x:v>-4</x:v>
      </x:c>
      <x:c r="N114" s="48" t="n">
        <x:f>Model_Data!P114</x:f>
        <x:v>30.161160317799876</x:v>
      </x:c>
      <x:c r="O114" s="48" t="n">
        <x:f>AC114</x:f>
        <x:v>0.8912828051506949</x:v>
      </x:c>
      <x:c r="P114" s="48" t="n">
        <x:f>Model_Data!Q114</x:f>
        <x:v>4.528702750420402</x:v>
      </x:c>
      <x:c r="Q114" s="48" t="n">
        <x:f>AD114</x:f>
        <x:v>0.13382624701962387</x:v>
      </x:c>
      <x:c r="R114" s="49"/>
      <x:c r="S114" s="48" t="n">
        <x:f>Model_Data!A114</x:f>
        <x:v>-4</x:v>
      </x:c>
      <x:c r="T114" s="48" t="n">
        <x:f>Model_Data!B114-Inputs!$C$5</x:f>
        <x:v>0.017777777777780557</x:v>
      </x:c>
      <x:c r="U114" s="49"/>
      <x:c r="V114" s="48" t="n">
        <x:f>Model_Data!A114</x:f>
        <x:v>-4</x:v>
      </x:c>
      <x:c r="W114" s="48" t="n">
        <x:f>(-((((SQRT((Model_Data!A114)^2+Inputs!$C$6^2+((Model_Data!B114)-((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(0.45*SIN(2*PI()*(((Model_Data!A114)/Inputs!$C$49)+Inputs!$C$47*0.137))+0.35*COS(2*PI()*(((Inputs!$C$6)/Inputs!$C$50)+Inputs!$C$47*0.173))+0.20*SIN(2*PI()*(((Model_Data!A114)+(Inputs!$C$6))/(0.5*(Inputs!$C$49+Inputs!$C$50))+Inputs!$C$47*0.097)))+0.30*(2*((SIN(((Model_Data!A114)*12.9898+(Inputs!$C$6)*78.233+Inputs!$C$47*37.719))*43758.5453)-INT((SIN(((Model_Data!A114)*12.9898+(Inputs!$C$6)*78.233+Inputs!$C$47*37.719))*43758.5453)))-1))))/1000)^2))-(((Model_Data!B114)-((Inputs!$C$51*(115*EXP(-(((0)-25)^2)/(4.5^2))+70*EXP(-(((0)+38)^2)/(7^2))*(0.55+0.45*SIN(2*PI()*(Model_Data!A114)/45))+24*SIN(2*PI()*(0)/9+(Model_Data!A114)/18)*EXP(-(((0)+5)^2)/(22^2))+18*SIN(2*PI()*(Model_Data!A114)/70))+Inputs!$C$28*EXP(-(((Model_Data!A114)-Inputs!$C$29)^2)/(2*Inputs!$C$31^2))*EXP(-(((0)-Inputs!$C$30)^2)/(2*Inputs!$C$32^2))+-Inputs!$C$33*EXP(-(((((Model_Data!A114)-Inputs!$C$34)^2)+(((0)-Inputs!$C$35)^2))/(2*Inputs!$C$36^2)))+Inputs!$C$37*(0.55*SIN(2*PI()*(Model_Data!A114)/Inputs!$C$39)+0.35*COS(2*PI()*(0)/Inputs!$C$40)+0.2*SIN(2*PI()*((Model_Data!A114)+(0))/(0.5*(Inputs!$C$39+Inputs!$C$40))))+Inputs!$C$38*SIN(2*PI()*(Model_Data!A114)/Inputs!$C$39)*SIN(2*PI()*(0)/Inputs!$C$40)+-Inputs!$C$41*EXP(-(((0)-Inputs!$C$43)^2)/(2*Inputs!$C$44^2))*EXP(-(((Model_Data!A114)-Inputs!$C$42)^2)/(2*Inputs!$C$45^2))+Inputs!$C$48*(0.70*(0.45*SIN(2*PI()*(((Model_Data!A114)/Inputs!$C$49)+Inputs!$C$47*0.137))+0.35*COS(2*PI()*(((0)/Inputs!$C$50)+Inputs!$C$47*0.173))+0.20*SIN(2*PI()*(((Model_Data!A114)+(0))/(0.5*(Inputs!$C$49+Inputs!$C$50))+Inputs!$C$47*0.097)))+0.30*(2*((SIN(((Model_Data!A114)*12.9898+(0)*78.233+Inputs!$C$47*37.719))*43758.5453)-INT((SIN(((Model_Data!A114)*12.9898+(0)*78.233+Inputs!$C$47*37.719))*43758.5453)))-1))))/1000)))*1000/Inputs!$C$12)-Model_Data!F114))-(-(((SQRT((Model_Data!A114)^2+Inputs!$C$6^2+(Inputs!$C$5-((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(0.45*SIN(2*PI()*(((Model_Data!A114)/Inputs!$C$49)+Inputs!$C$47*0.137))+0.35*COS(2*PI()*(((Inputs!$C$6)/Inputs!$C$50)+Inputs!$C$47*0.173))+0.20*SIN(2*PI()*(((Model_Data!A114)+(Inputs!$C$6))/(0.5*(Inputs!$C$49+Inputs!$C$50))+Inputs!$C$47*0.097)))+0.30*(2*((SIN(((Model_Data!A114)*12.9898+(Inputs!$C$6)*78.233+Inputs!$C$47*37.719))*43758.5453)-INT((SIN(((Model_Data!A114)*12.9898+(Inputs!$C$6)*78.233+Inputs!$C$47*37.719))*43758.5453)))-1))))/1000)^2)-(Inputs!$C$5-((Inputs!$C$51*(115*EXP(-(((0)-25)^2)/(4.5^2))+70*EXP(-(((0)+38)^2)/(7^2))*(0.55+0.45*SIN(2*PI()*(Model_Data!A114)/45))+24*SIN(2*PI()*(0)/9+(Model_Data!A114)/18)*EXP(-(((0)+5)^2)/(22^2))+18*SIN(2*PI()*(Model_Data!A114)/70))+Inputs!$C$28*EXP(-(((Model_Data!A114)-Inputs!$C$29)^2)/(2*Inputs!$C$31^2))*EXP(-(((0)-Inputs!$C$30)^2)/(2*Inputs!$C$32^2))+-Inputs!$C$33*EXP(-(((((Model_Data!A114)-Inputs!$C$34)^2)+(((0)-Inputs!$C$35)^2))/(2*Inputs!$C$36^2)))+Inputs!$C$37*(0.55*SIN(2*PI()*(Model_Data!A114)/Inputs!$C$39)+0.35*COS(2*PI()*(0)/Inputs!$C$40)+0.2*SIN(2*PI()*((Model_Data!A114)+(0))/(0.5*(Inputs!$C$39+Inputs!$C$40))))+Inputs!$C$38*SIN(2*PI()*(Model_Data!A114)/Inputs!$C$39)*SIN(2*PI()*(0)/Inputs!$C$40)+-Inputs!$C$41*EXP(-(((0)-Inputs!$C$43)^2)/(2*Inputs!$C$44^2))*EXP(-(((Model_Data!A114)-Inputs!$C$42)^2)/(2*Inputs!$C$45^2))+Inputs!$C$48*(0.70*(0.45*SIN(2*PI()*(((Model_Data!A114)/Inputs!$C$49)+Inputs!$C$47*0.137))+0.35*COS(2*PI()*(((0)/Inputs!$C$50)+Inputs!$C$47*0.173))+0.20*SIN(2*PI()*(((Model_Data!A114)+(0))/(0.5*(Inputs!$C$49+Inputs!$C$50))+Inputs!$C$47*0.097)))+0.30*(2*((SIN(((Model_Data!A114)*12.9898+(0)*78.233+Inputs!$C$47*37.719))*43758.5453)-INT((SIN(((Model_Data!A114)*12.9898+(0)*78.233+Inputs!$C$47*37.719))*43758.5453)))-1))))/1000))*1000/Inputs!$C$12)-((SQRT((Model_Data!A114)^2+Inputs!$C$6^2+Inputs!$C$5^2)-Inputs!$C$5)*1000/Inputs!$C$12)))</x:f>
        <x:v>0.00004242460670411674</x:v>
      </x:c>
      <x:c r="X114" s="48" t="n">
        <x:f>0</x:f>
        <x:v>0</x:v>
      </x:c>
      <x:c r="Y114" s="49"/>
      <x:c r="Z114" s="48" t="n">
        <x:f>Model_Data!A114</x:f>
        <x:v>-4</x:v>
      </x:c>
      <x:c r="AA114" s="48" t="n">
        <x:f>SQRT((Model_Data!A114)^2+Inputs!$C$6^2+((Model_Data!B114)-((Inputs!$C$51*(115*EXP(-(((Inputs!$C$6)-25)^2)/(4.5^2))+70*EXP(-(((Inputs!$C$6)+38)^2)/(7^2))*(0.55+0.45*SIN(2*PI()*(Model_Data!A114)/45))+24*SIN(2*PI()*(Inputs!$C$6)/9+(Model_Data!A114)/18)*EXP(-(((Inputs!$C$6)+5)^2)/(22^2))+18*SIN(2*PI()*(Model_Data!A114)/70))+Inputs!$C$28*EXP(-(((Model_Data!A114)-Inputs!$C$29)^2)/(2*Inputs!$C$31^2))*EXP(-(((Inputs!$C$6)-Inputs!$C$30)^2)/(2*Inputs!$C$32^2))+-Inputs!$C$33*EXP(-(((((Model_Data!A114)-Inputs!$C$34)^2)+(((Inputs!$C$6)-Inputs!$C$35)^2))/(2*Inputs!$C$36^2)))+Inputs!$C$37*(0.55*SIN(2*PI()*(Model_Data!A114)/Inputs!$C$39)+0.35*COS(2*PI()*(Inputs!$C$6)/Inputs!$C$40)+0.2*SIN(2*PI()*((Model_Data!A114)+(Inputs!$C$6))/(0.5*(Inputs!$C$39+Inputs!$C$40))))+Inputs!$C$38*SIN(2*PI()*(Model_Data!A114)/Inputs!$C$39)*SIN(2*PI()*(Inputs!$C$6)/Inputs!$C$40)+-Inputs!$C$41*EXP(-(((Inputs!$C$6)-Inputs!$C$43)^2)/(2*Inputs!$C$44^2))*EXP(-(((Model_Data!A114)-Inputs!$C$42)^2)/(2*Inputs!$C$45^2))+Inputs!$C$48*(0.70*(0.45*SIN(2*PI()*(((Model_Data!A114)/Inputs!$C$49)+Inputs!$C$47*0.137))+0.35*COS(2*PI()*(((Inputs!$C$6)/Inputs!$C$50)+Inputs!$C$47*0.173))+0.20*SIN(2*PI()*(((Model_Data!A114)+(Inputs!$C$6))/(0.5*(Inputs!$C$49+Inputs!$C$50))+Inputs!$C$47*0.097)))+0.30*(2*((SIN(((Model_Data!A114)*12.9898+(Inputs!$C$6)*78.233+Inputs!$C$47*37.719))*43758.5453)-INT((SIN(((Model_Data!A114)*12.9898+(Inputs!$C$6)*78.233+Inputs!$C$47*37.719))*43758.5453)))-1))))/1000)^2)</x:f>
        <x:v>400.3930282637798</x:v>
      </x:c>
      <x:c r="AB114" s="48" t="n">
        <x:f>1000*(AA115-AA113)/(Z115-Z113)*Inputs!$C$11</x:f>
        <x:v>-2.2282070128767373</x:v>
      </x:c>
      <x:c r="AC114" s="48" t="n">
        <x:f>-2*AB114/Inputs!$C$13</x:f>
        <x:v>0.8912828051506949</x:v>
      </x:c>
      <x:c r="AD114" s="48" t="n">
        <x:f>-2*AB114/Inputs!$C$14</x:f>
        <x:v>0.13382624701962387</x:v>
      </x:c>
    </x:row>
    <x:row r="115">
      <x:c r="A115" s="48" t="n">
        <x:f>Model_Data!A115</x:f>
        <x:v>-3.5</x:v>
      </x:c>
      <x:c r="B115" s="48" t="n">
        <x:f>Model_Data!F115</x:f>
        <x:v>447.0471416493446</x:v>
      </x:c>
      <x:c r="C115" s="48" t="n">
        <x:f>(((SQRT((Model_Data!A115)^2+Inputs!$C$6^2+((Model_Data!B115)-((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(0.45*SIN(2*PI()*(((Model_Data!A115)/Inputs!$C$49)+Inputs!$C$47*0.137))+0.35*COS(2*PI()*(((Inputs!$C$6)/Inputs!$C$50)+Inputs!$C$47*0.173))+0.20*SIN(2*PI()*(((Model_Data!A115)+(Inputs!$C$6))/(0.5*(Inputs!$C$49+Inputs!$C$50))+Inputs!$C$47*0.097)))+0.30*(2*((SIN(((Model_Data!A115)*12.9898+(Inputs!$C$6)*78.233+Inputs!$C$47*37.719))*43758.5453)-INT((SIN(((Model_Data!A115)*12.9898+(Inputs!$C$6)*78.233+Inputs!$C$47*37.719))*43758.5453)))-1))))/1000)^2))-(((Model_Data!B115)-((Inputs!$C$51*(115*EXP(-(((0)-25)^2)/(4.5^2))+70*EXP(-(((0)+38)^2)/(7^2))*(0.55+0.45*SIN(2*PI()*(Model_Data!A115)/45))+24*SIN(2*PI()*(0)/9+(Model_Data!A115)/18)*EXP(-(((0)+5)^2)/(22^2))+18*SIN(2*PI()*(Model_Data!A115)/70))+Inputs!$C$28*EXP(-(((Model_Data!A115)-Inputs!$C$29)^2)/(2*Inputs!$C$31^2))*EXP(-(((0)-Inputs!$C$30)^2)/(2*Inputs!$C$32^2))+-Inputs!$C$33*EXP(-(((((Model_Data!A115)-Inputs!$C$34)^2)+(((0)-Inputs!$C$35)^2))/(2*Inputs!$C$36^2)))+Inputs!$C$37*(0.55*SIN(2*PI()*(Model_Data!A115)/Inputs!$C$39)+0.35*COS(2*PI()*(0)/Inputs!$C$40)+0.2*SIN(2*PI()*((Model_Data!A115)+(0))/(0.5*(Inputs!$C$39+Inputs!$C$40))))+Inputs!$C$38*SIN(2*PI()*(Model_Data!A115)/Inputs!$C$39)*SIN(2*PI()*(0)/Inputs!$C$40)+-Inputs!$C$41*EXP(-(((0)-Inputs!$C$43)^2)/(2*Inputs!$C$44^2))*EXP(-(((Model_Data!A115)-Inputs!$C$42)^2)/(2*Inputs!$C$45^2))+Inputs!$C$48*(0.70*(0.45*SIN(2*PI()*(((Model_Data!A115)/Inputs!$C$49)+Inputs!$C$47*0.137))+0.35*COS(2*PI()*(((0)/Inputs!$C$50)+Inputs!$C$47*0.173))+0.20*SIN(2*PI()*(((Model_Data!A115)+(0))/(0.5*(Inputs!$C$49+Inputs!$C$50))+Inputs!$C$47*0.097)))+0.30*(2*((SIN(((Model_Data!A115)*12.9898+(0)*78.233+Inputs!$C$47*37.719))*43758.5453)-INT((SIN(((Model_Data!A115)*12.9898+(0)*78.233+Inputs!$C$47*37.719))*43758.5453)))-1))))/1000)))*1000/Inputs!$C$12)</x:f>
        <x:v>175.8059561523986</x:v>
      </x:c>
      <x:c r="D115" s="49"/>
      <x:c r="E115" s="48" t="n">
        <x:f>Model_Data!A115</x:f>
        <x:v>-3.5</x:v>
      </x:c>
      <x:c r="F115" s="48" t="n">
        <x:f>(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(0.45*SIN(2*PI()*(((Model_Data!A115)/Inputs!$C$49)+Inputs!$C$47*0.137))+0.35*COS(2*PI()*(((Inputs!$C$6)/Inputs!$C$50)+Inputs!$C$47*0.173))+0.20*SIN(2*PI()*(((Model_Data!A115)+(Inputs!$C$6))/(0.5*(Inputs!$C$49+Inputs!$C$50))+Inputs!$C$47*0.097)))+0.30*(2*((SIN(((Model_Data!A115)*12.9898+(Inputs!$C$6)*78.233+Inputs!$C$47*37.719))*43758.5453)-INT((SIN(((Model_Data!A115)*12.9898+(Inputs!$C$6)*78.233+Inputs!$C$47*37.719))*43758.5453)))-1)))</x:f>
        <x:v>404.9650488225026</x:v>
      </x:c>
      <x:c r="G115" s="48" t="n">
        <x:f>(Inputs!$C$51*(115*EXP(-(((0)-25)^2)/(4.5^2))+70*EXP(-(((0)+38)^2)/(7^2))*(0.55+0.45*SIN(2*PI()*(Model_Data!A115)/45))+24*SIN(2*PI()*(0)/9+(Model_Data!A115)/18)*EXP(-(((0)+5)^2)/(22^2))+18*SIN(2*PI()*(Model_Data!A115)/70))+Inputs!$C$28*EXP(-(((Model_Data!A115)-Inputs!$C$29)^2)/(2*Inputs!$C$31^2))*EXP(-(((0)-Inputs!$C$30)^2)/(2*Inputs!$C$32^2))+-Inputs!$C$33*EXP(-(((((Model_Data!A115)-Inputs!$C$34)^2)+(((0)-Inputs!$C$35)^2))/(2*Inputs!$C$36^2)))+Inputs!$C$37*(0.55*SIN(2*PI()*(Model_Data!A115)/Inputs!$C$39)+0.35*COS(2*PI()*(0)/Inputs!$C$40)+0.2*SIN(2*PI()*((Model_Data!A115)+(0))/(0.5*(Inputs!$C$39+Inputs!$C$40))))+Inputs!$C$38*SIN(2*PI()*(Model_Data!A115)/Inputs!$C$39)*SIN(2*PI()*(0)/Inputs!$C$40)+-Inputs!$C$41*EXP(-(((0)-Inputs!$C$43)^2)/(2*Inputs!$C$44^2))*EXP(-(((Model_Data!A115)-Inputs!$C$42)^2)/(2*Inputs!$C$45^2))+Inputs!$C$48*(0.70*(0.45*SIN(2*PI()*(((Model_Data!A115)/Inputs!$C$49)+Inputs!$C$47*0.137))+0.35*COS(2*PI()*(((0)/Inputs!$C$50)+Inputs!$C$47*0.173))+0.20*SIN(2*PI()*(((Model_Data!A115)+(0))/(0.5*(Inputs!$C$49+Inputs!$C$50))+Inputs!$C$47*0.097)))+0.30*(2*((SIN(((Model_Data!A115)*12.9898+(0)*78.233+Inputs!$C$47*37.719))*43758.5453)-INT((SIN(((Model_Data!A115)*12.9898+(0)*78.233+Inputs!$C$47*37.719))*43758.5453)))-1)))</x:f>
        <x:v>-78.64906809360804</x:v>
      </x:c>
      <x:c r="H115" s="49"/>
      <x:c r="I115" s="48" t="n">
        <x:f>Model_Data!A115</x:f>
        <x:v>-3.5</x:v>
      </x:c>
      <x:c r="J115" s="48" t="n">
        <x:f>((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(0.45*SIN(2*PI()*(((Model_Data!A115)/Inputs!$C$49)+Inputs!$C$47*0.137))+0.35*COS(2*PI()*(((Inputs!$C$6)/Inputs!$C$50)+Inputs!$C$47*0.173))+0.20*SIN(2*PI()*(((Model_Data!A115)+(Inputs!$C$6))/(0.5*(Inputs!$C$49+Inputs!$C$50))+Inputs!$C$47*0.097)))+0.30*(2*((SIN(((Model_Data!A115)*12.9898+(Inputs!$C$6)*78.233+Inputs!$C$47*37.719))*43758.5453)-INT((SIN(((Model_Data!A115)*12.9898+(Inputs!$C$6)*78.233+Inputs!$C$47*37.719))*43758.5453)))-1))))-((Inputs!$C$51*(115*EXP(-(((0)-25)^2)/(4.5^2))+70*EXP(-(((0)+38)^2)/(7^2))*(0.55+0.45*SIN(2*PI()*(Model_Data!A115)/45))+24*SIN(2*PI()*(0)/9+(Model_Data!A115)/18)*EXP(-(((0)+5)^2)/(22^2))+18*SIN(2*PI()*(Model_Data!A115)/70))+Inputs!$C$28*EXP(-(((Model_Data!A115)-Inputs!$C$29)^2)/(2*Inputs!$C$31^2))*EXP(-(((0)-Inputs!$C$30)^2)/(2*Inputs!$C$32^2))+-Inputs!$C$33*EXP(-(((((Model_Data!A115)-Inputs!$C$34)^2)+(((0)-Inputs!$C$35)^2))/(2*Inputs!$C$36^2)))+Inputs!$C$37*(0.55*SIN(2*PI()*(Model_Data!A115)/Inputs!$C$39)+0.35*COS(2*PI()*(0)/Inputs!$C$40)+0.2*SIN(2*PI()*((Model_Data!A115)+(0))/(0.5*(Inputs!$C$39+Inputs!$C$40))))+Inputs!$C$38*SIN(2*PI()*(Model_Data!A115)/Inputs!$C$39)*SIN(2*PI()*(0)/Inputs!$C$40)+-Inputs!$C$41*EXP(-(((0)-Inputs!$C$43)^2)/(2*Inputs!$C$44^2))*EXP(-(((Model_Data!A115)-Inputs!$C$42)^2)/(2*Inputs!$C$45^2))+Inputs!$C$48*(0.70*(0.45*SIN(2*PI()*(((Model_Data!A115)/Inputs!$C$49)+Inputs!$C$47*0.137))+0.35*COS(2*PI()*(((0)/Inputs!$C$50)+Inputs!$C$47*0.173))+0.20*SIN(2*PI()*(((Model_Data!A115)+(0))/(0.5*(Inputs!$C$49+Inputs!$C$50))+Inputs!$C$47*0.097)))+0.30*(2*((SIN(((Model_Data!A115)*12.9898+(0)*78.233+Inputs!$C$47*37.719))*43758.5453)-INT((SIN(((Model_Data!A115)*12.9898+(0)*78.233+Inputs!$C$47*37.719))*43758.5453)))-1))))</x:f>
        <x:v>483.6141169161106</x:v>
      </x:c>
      <x:c r="K115" s="48" t="n">
        <x:f>-((((SQRT((Model_Data!A115)^2+Inputs!$C$6^2+((Model_Data!B115)-((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(0.45*SIN(2*PI()*(((Model_Data!A115)/Inputs!$C$49)+Inputs!$C$47*0.137))+0.35*COS(2*PI()*(((Inputs!$C$6)/Inputs!$C$50)+Inputs!$C$47*0.173))+0.20*SIN(2*PI()*(((Model_Data!A115)+(Inputs!$C$6))/(0.5*(Inputs!$C$49+Inputs!$C$50))+Inputs!$C$47*0.097)))+0.30*(2*((SIN(((Model_Data!A115)*12.9898+(Inputs!$C$6)*78.233+Inputs!$C$47*37.719))*43758.5453)-INT((SIN(((Model_Data!A115)*12.9898+(Inputs!$C$6)*78.233+Inputs!$C$47*37.719))*43758.5453)))-1))))/1000)^2))-(((Model_Data!B115)-((Inputs!$C$51*(115*EXP(-(((0)-25)^2)/(4.5^2))+70*EXP(-(((0)+38)^2)/(7^2))*(0.55+0.45*SIN(2*PI()*(Model_Data!A115)/45))+24*SIN(2*PI()*(0)/9+(Model_Data!A115)/18)*EXP(-(((0)+5)^2)/(22^2))+18*SIN(2*PI()*(Model_Data!A115)/70))+Inputs!$C$28*EXP(-(((Model_Data!A115)-Inputs!$C$29)^2)/(2*Inputs!$C$31^2))*EXP(-(((0)-Inputs!$C$30)^2)/(2*Inputs!$C$32^2))+-Inputs!$C$33*EXP(-(((((Model_Data!A115)-Inputs!$C$34)^2)+(((0)-Inputs!$C$35)^2))/(2*Inputs!$C$36^2)))+Inputs!$C$37*(0.55*SIN(2*PI()*(Model_Data!A115)/Inputs!$C$39)+0.35*COS(2*PI()*(0)/Inputs!$C$40)+0.2*SIN(2*PI()*((Model_Data!A115)+(0))/(0.5*(Inputs!$C$39+Inputs!$C$40))))+Inputs!$C$38*SIN(2*PI()*(Model_Data!A115)/Inputs!$C$39)*SIN(2*PI()*(0)/Inputs!$C$40)+-Inputs!$C$41*EXP(-(((0)-Inputs!$C$43)^2)/(2*Inputs!$C$44^2))*EXP(-(((Model_Data!A115)-Inputs!$C$42)^2)/(2*Inputs!$C$45^2))+Inputs!$C$48*(0.70*(0.45*SIN(2*PI()*(((Model_Data!A115)/Inputs!$C$49)+Inputs!$C$47*0.137))+0.35*COS(2*PI()*(((0)/Inputs!$C$50)+Inputs!$C$47*0.173))+0.20*SIN(2*PI()*(((Model_Data!A115)+(0))/(0.5*(Inputs!$C$49+Inputs!$C$50))+Inputs!$C$47*0.097)))+0.30*(2*((SIN(((Model_Data!A115)*12.9898+(0)*78.233+Inputs!$C$47*37.719))*43758.5453)-INT((SIN(((Model_Data!A115)*12.9898+(0)*78.233+Inputs!$C$47*37.719))*43758.5453)))-1))))/1000)))*1000/Inputs!$C$12)-Model_Data!F115)</x:f>
        <x:v>271.241185496946</x:v>
      </x:c>
      <x:c r="L115" s="49"/>
      <x:c r="M115" s="48" t="n">
        <x:f>Model_Data!A115</x:f>
        <x:v>-3.5</x:v>
      </x:c>
      <x:c r="N115" s="48" t="n">
        <x:f>Model_Data!P115</x:f>
        <x:v>26.391467733781575</x:v>
      </x:c>
      <x:c r="O115" s="48" t="n">
        <x:f>AC115</x:f>
        <x:v>17.03707963188208</x:v>
      </x:c>
      <x:c r="P115" s="48" t="n">
        <x:f>Model_Data!Q115</x:f>
        <x:v>3.962682842910147</x:v>
      </x:c>
      <x:c r="Q115" s="48" t="n">
        <x:f>AD115</x:f>
        <x:v>2.5581200648471594</x:v>
      </x:c>
      <x:c r="R115" s="49"/>
      <x:c r="S115" s="48" t="n">
        <x:f>Model_Data!A115</x:f>
        <x:v>-3.5</x:v>
      </x:c>
      <x:c r="T115" s="48" t="n">
        <x:f>Model_Data!B115-Inputs!$C$5</x:f>
        <x:v>0.01361111111111768</x:v>
      </x:c>
      <x:c r="U115" s="49"/>
      <x:c r="V115" s="48" t="n">
        <x:f>Model_Data!A115</x:f>
        <x:v>-3.5</x:v>
      </x:c>
      <x:c r="W115" s="48" t="n">
        <x:f>(-((((SQRT((Model_Data!A115)^2+Inputs!$C$6^2+((Model_Data!B115)-((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(0.45*SIN(2*PI()*(((Model_Data!A115)/Inputs!$C$49)+Inputs!$C$47*0.137))+0.35*COS(2*PI()*(((Inputs!$C$6)/Inputs!$C$50)+Inputs!$C$47*0.173))+0.20*SIN(2*PI()*(((Model_Data!A115)+(Inputs!$C$6))/(0.5*(Inputs!$C$49+Inputs!$C$50))+Inputs!$C$47*0.097)))+0.30*(2*((SIN(((Model_Data!A115)*12.9898+(Inputs!$C$6)*78.233+Inputs!$C$47*37.719))*43758.5453)-INT((SIN(((Model_Data!A115)*12.9898+(Inputs!$C$6)*78.233+Inputs!$C$47*37.719))*43758.5453)))-1))))/1000)^2))-(((Model_Data!B115)-((Inputs!$C$51*(115*EXP(-(((0)-25)^2)/(4.5^2))+70*EXP(-(((0)+38)^2)/(7^2))*(0.55+0.45*SIN(2*PI()*(Model_Data!A115)/45))+24*SIN(2*PI()*(0)/9+(Model_Data!A115)/18)*EXP(-(((0)+5)^2)/(22^2))+18*SIN(2*PI()*(Model_Data!A115)/70))+Inputs!$C$28*EXP(-(((Model_Data!A115)-Inputs!$C$29)^2)/(2*Inputs!$C$31^2))*EXP(-(((0)-Inputs!$C$30)^2)/(2*Inputs!$C$32^2))+-Inputs!$C$33*EXP(-(((((Model_Data!A115)-Inputs!$C$34)^2)+(((0)-Inputs!$C$35)^2))/(2*Inputs!$C$36^2)))+Inputs!$C$37*(0.55*SIN(2*PI()*(Model_Data!A115)/Inputs!$C$39)+0.35*COS(2*PI()*(0)/Inputs!$C$40)+0.2*SIN(2*PI()*((Model_Data!A115)+(0))/(0.5*(Inputs!$C$39+Inputs!$C$40))))+Inputs!$C$38*SIN(2*PI()*(Model_Data!A115)/Inputs!$C$39)*SIN(2*PI()*(0)/Inputs!$C$40)+-Inputs!$C$41*EXP(-(((0)-Inputs!$C$43)^2)/(2*Inputs!$C$44^2))*EXP(-(((Model_Data!A115)-Inputs!$C$42)^2)/(2*Inputs!$C$45^2))+Inputs!$C$48*(0.70*(0.45*SIN(2*PI()*(((Model_Data!A115)/Inputs!$C$49)+Inputs!$C$47*0.137))+0.35*COS(2*PI()*(((0)/Inputs!$C$50)+Inputs!$C$47*0.173))+0.20*SIN(2*PI()*(((Model_Data!A115)+(0))/(0.5*(Inputs!$C$49+Inputs!$C$50))+Inputs!$C$47*0.097)))+0.30*(2*((SIN(((Model_Data!A115)*12.9898+(0)*78.233+Inputs!$C$47*37.719))*43758.5453)-INT((SIN(((Model_Data!A115)*12.9898+(0)*78.233+Inputs!$C$47*37.719))*43758.5453)))-1))))/1000)))*1000/Inputs!$C$12)-Model_Data!F115))-(-(((SQRT((Model_Data!A115)^2+Inputs!$C$6^2+(Inputs!$C$5-((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(0.45*SIN(2*PI()*(((Model_Data!A115)/Inputs!$C$49)+Inputs!$C$47*0.137))+0.35*COS(2*PI()*(((Inputs!$C$6)/Inputs!$C$50)+Inputs!$C$47*0.173))+0.20*SIN(2*PI()*(((Model_Data!A115)+(Inputs!$C$6))/(0.5*(Inputs!$C$49+Inputs!$C$50))+Inputs!$C$47*0.097)))+0.30*(2*((SIN(((Model_Data!A115)*12.9898+(Inputs!$C$6)*78.233+Inputs!$C$47*37.719))*43758.5453)-INT((SIN(((Model_Data!A115)*12.9898+(Inputs!$C$6)*78.233+Inputs!$C$47*37.719))*43758.5453)))-1))))/1000)^2)-(Inputs!$C$5-((Inputs!$C$51*(115*EXP(-(((0)-25)^2)/(4.5^2))+70*EXP(-(((0)+38)^2)/(7^2))*(0.55+0.45*SIN(2*PI()*(Model_Data!A115)/45))+24*SIN(2*PI()*(0)/9+(Model_Data!A115)/18)*EXP(-(((0)+5)^2)/(22^2))+18*SIN(2*PI()*(Model_Data!A115)/70))+Inputs!$C$28*EXP(-(((Model_Data!A115)-Inputs!$C$29)^2)/(2*Inputs!$C$31^2))*EXP(-(((0)-Inputs!$C$30)^2)/(2*Inputs!$C$32^2))+-Inputs!$C$33*EXP(-(((((Model_Data!A115)-Inputs!$C$34)^2)+(((0)-Inputs!$C$35)^2))/(2*Inputs!$C$36^2)))+Inputs!$C$37*(0.55*SIN(2*PI()*(Model_Data!A115)/Inputs!$C$39)+0.35*COS(2*PI()*(0)/Inputs!$C$40)+0.2*SIN(2*PI()*((Model_Data!A115)+(0))/(0.5*(Inputs!$C$39+Inputs!$C$40))))+Inputs!$C$38*SIN(2*PI()*(Model_Data!A115)/Inputs!$C$39)*SIN(2*PI()*(0)/Inputs!$C$40)+-Inputs!$C$41*EXP(-(((0)-Inputs!$C$43)^2)/(2*Inputs!$C$44^2))*EXP(-(((Model_Data!A115)-Inputs!$C$42)^2)/(2*Inputs!$C$45^2))+Inputs!$C$48*(0.70*(0.45*SIN(2*PI()*(((Model_Data!A115)/Inputs!$C$49)+Inputs!$C$47*0.137))+0.35*COS(2*PI()*(((0)/Inputs!$C$50)+Inputs!$C$47*0.173))+0.20*SIN(2*PI()*(((Model_Data!A115)+(0))/(0.5*(Inputs!$C$49+Inputs!$C$50))+Inputs!$C$47*0.097)))+0.30*(2*((SIN(((Model_Data!A115)*12.9898+(0)*78.233+Inputs!$C$47*37.719))*43758.5453)-INT((SIN(((Model_Data!A115)*12.9898+(0)*78.233+Inputs!$C$47*37.719))*43758.5453)))-1))))/1000))*1000/Inputs!$C$12)-((SQRT((Model_Data!A115)^2+Inputs!$C$6^2+Inputs!$C$5^2)-Inputs!$C$5)*1000/Inputs!$C$12)))</x:f>
        <x:v>0.00003069490327334279</x:v>
      </x:c>
      <x:c r="X115" s="48" t="n">
        <x:f>0</x:f>
        <x:v>0</x:v>
      </x:c>
      <x:c r="Y115" s="49"/>
      <x:c r="Z115" s="48" t="n">
        <x:f>Model_Data!A115</x:f>
        <x:v>-3.5</x:v>
      </x:c>
      <x:c r="AA115" s="48" t="n">
        <x:f>SQRT((Model_Data!A115)^2+Inputs!$C$6^2+((Model_Data!B115)-((Inputs!$C$51*(115*EXP(-(((Inputs!$C$6)-25)^2)/(4.5^2))+70*EXP(-(((Inputs!$C$6)+38)^2)/(7^2))*(0.55+0.45*SIN(2*PI()*(Model_Data!A115)/45))+24*SIN(2*PI()*(Inputs!$C$6)/9+(Model_Data!A115)/18)*EXP(-(((Inputs!$C$6)+5)^2)/(22^2))+18*SIN(2*PI()*(Model_Data!A115)/70))+Inputs!$C$28*EXP(-(((Model_Data!A115)-Inputs!$C$29)^2)/(2*Inputs!$C$31^2))*EXP(-(((Inputs!$C$6)-Inputs!$C$30)^2)/(2*Inputs!$C$32^2))+-Inputs!$C$33*EXP(-(((((Model_Data!A115)-Inputs!$C$34)^2)+(((Inputs!$C$6)-Inputs!$C$35)^2))/(2*Inputs!$C$36^2)))+Inputs!$C$37*(0.55*SIN(2*PI()*(Model_Data!A115)/Inputs!$C$39)+0.35*COS(2*PI()*(Inputs!$C$6)/Inputs!$C$40)+0.2*SIN(2*PI()*((Model_Data!A115)+(Inputs!$C$6))/(0.5*(Inputs!$C$39+Inputs!$C$40))))+Inputs!$C$38*SIN(2*PI()*(Model_Data!A115)/Inputs!$C$39)*SIN(2*PI()*(Inputs!$C$6)/Inputs!$C$40)+-Inputs!$C$41*EXP(-(((Inputs!$C$6)-Inputs!$C$43)^2)/(2*Inputs!$C$44^2))*EXP(-(((Model_Data!A115)-Inputs!$C$42)^2)/(2*Inputs!$C$45^2))+Inputs!$C$48*(0.70*(0.45*SIN(2*PI()*(((Model_Data!A115)/Inputs!$C$49)+Inputs!$C$47*0.137))+0.35*COS(2*PI()*(((Inputs!$C$6)/Inputs!$C$50)+Inputs!$C$47*0.173))+0.20*SIN(2*PI()*(((Model_Data!A115)+(Inputs!$C$6))/(0.5*(Inputs!$C$49+Inputs!$C$50))+Inputs!$C$47*0.097)))+0.30*(2*((SIN(((Model_Data!A115)*12.9898+(Inputs!$C$6)*78.233+Inputs!$C$47*37.719))*43758.5453)-INT((SIN(((Model_Data!A115)*12.9898+(Inputs!$C$6)*78.233+Inputs!$C$47*37.719))*43758.5453)))-1))))/1000)^2)</x:f>
        <x:v>400.405194781156</x:v>
      </x:c>
      <x:c r="AB115" s="48" t="n">
        <x:f>1000*(AA116-AA114)/(Z116-Z114)*Inputs!$C$11</x:f>
        <x:v>-42.5926990797052</x:v>
      </x:c>
      <x:c r="AC115" s="48" t="n">
        <x:f>-2*AB115/Inputs!$C$13</x:f>
        <x:v>17.03707963188208</x:v>
      </x:c>
      <x:c r="AD115" s="48" t="n">
        <x:f>-2*AB115/Inputs!$C$14</x:f>
        <x:v>2.5581200648471594</x:v>
      </x:c>
    </x:row>
    <x:row r="116">
      <x:c r="A116" s="48" t="n">
        <x:f>Model_Data!A116</x:f>
        <x:v>-3</x:v>
      </x:c>
      <x:c r="B116" s="48" t="n">
        <x:f>Model_Data!F116</x:f>
        <x:v>444.77344266602285</x:v>
      </x:c>
      <x:c r="C116" s="48" t="n">
        <x:f>(((SQRT((Model_Data!A116)^2+Inputs!$C$6^2+((Model_Data!B116)-((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(0.45*SIN(2*PI()*(((Model_Data!A116)/Inputs!$C$49)+Inputs!$C$47*0.137))+0.35*COS(2*PI()*(((Inputs!$C$6)/Inputs!$C$50)+Inputs!$C$47*0.173))+0.20*SIN(2*PI()*(((Model_Data!A116)+(Inputs!$C$6))/(0.5*(Inputs!$C$49+Inputs!$C$50))+Inputs!$C$47*0.097)))+0.30*(2*((SIN(((Model_Data!A116)*12.9898+(Inputs!$C$6)*78.233+Inputs!$C$47*37.719))*43758.5453)-INT((SIN(((Model_Data!A116)*12.9898+(Inputs!$C$6)*78.233+Inputs!$C$47*37.719))*43758.5453)))-1))))/1000)^2))-(((Model_Data!B116)-((Inputs!$C$51*(115*EXP(-(((0)-25)^2)/(4.5^2))+70*EXP(-(((0)+38)^2)/(7^2))*(0.55+0.45*SIN(2*PI()*(Model_Data!A116)/45))+24*SIN(2*PI()*(0)/9+(Model_Data!A116)/18)*EXP(-(((0)+5)^2)/(22^2))+18*SIN(2*PI()*(Model_Data!A116)/70))+Inputs!$C$28*EXP(-(((Model_Data!A116)-Inputs!$C$29)^2)/(2*Inputs!$C$31^2))*EXP(-(((0)-Inputs!$C$30)^2)/(2*Inputs!$C$32^2))+-Inputs!$C$33*EXP(-(((((Model_Data!A116)-Inputs!$C$34)^2)+(((0)-Inputs!$C$35)^2))/(2*Inputs!$C$36^2)))+Inputs!$C$37*(0.55*SIN(2*PI()*(Model_Data!A116)/Inputs!$C$39)+0.35*COS(2*PI()*(0)/Inputs!$C$40)+0.2*SIN(2*PI()*((Model_Data!A116)+(0))/(0.5*(Inputs!$C$39+Inputs!$C$40))))+Inputs!$C$38*SIN(2*PI()*(Model_Data!A116)/Inputs!$C$39)*SIN(2*PI()*(0)/Inputs!$C$40)+-Inputs!$C$41*EXP(-(((0)-Inputs!$C$43)^2)/(2*Inputs!$C$44^2))*EXP(-(((Model_Data!A116)-Inputs!$C$42)^2)/(2*Inputs!$C$45^2))+Inputs!$C$48*(0.70*(0.45*SIN(2*PI()*(((Model_Data!A116)/Inputs!$C$49)+Inputs!$C$47*0.137))+0.35*COS(2*PI()*(((0)/Inputs!$C$50)+Inputs!$C$47*0.173))+0.20*SIN(2*PI()*(((Model_Data!A116)+(0))/(0.5*(Inputs!$C$49+Inputs!$C$50))+Inputs!$C$47*0.097)))+0.30*(2*((SIN(((Model_Data!A116)*12.9898+(0)*78.233+Inputs!$C$47*37.719))*43758.5453)-INT((SIN(((Model_Data!A116)*12.9898+(0)*78.233+Inputs!$C$47*37.719))*43758.5453)))-1))))/1000)))*1000/Inputs!$C$12)</x:f>
        <x:v>171.17871439059914</x:v>
      </x:c>
      <x:c r="D116" s="49"/>
      <x:c r="E116" s="48" t="n">
        <x:f>Model_Data!A116</x:f>
        <x:v>-3</x:v>
      </x:c>
      <x:c r="F116" s="48" t="n">
        <x:f>(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(0.45*SIN(2*PI()*(((Model_Data!A116)/Inputs!$C$49)+Inputs!$C$47*0.137))+0.35*COS(2*PI()*(((Inputs!$C$6)/Inputs!$C$50)+Inputs!$C$47*0.173))+0.20*SIN(2*PI()*(((Model_Data!A116)+(Inputs!$C$6))/(0.5*(Inputs!$C$49+Inputs!$C$50))+Inputs!$C$47*0.097)))+0.30*(2*((SIN(((Model_Data!A116)*12.9898+(Inputs!$C$6)*78.233+Inputs!$C$47*37.719))*43758.5453)-INT((SIN(((Model_Data!A116)*12.9898+(Inputs!$C$6)*78.233+Inputs!$C$47*37.719))*43758.5453)))-1)))</x:f>
        <x:v>420.14741895617453</x:v>
      </x:c>
      <x:c r="G116" s="48" t="n">
        <x:f>(Inputs!$C$51*(115*EXP(-(((0)-25)^2)/(4.5^2))+70*EXP(-(((0)+38)^2)/(7^2))*(0.55+0.45*SIN(2*PI()*(Model_Data!A116)/45))+24*SIN(2*PI()*(0)/9+(Model_Data!A116)/18)*EXP(-(((0)+5)^2)/(22^2))+18*SIN(2*PI()*(Model_Data!A116)/70))+Inputs!$C$28*EXP(-(((Model_Data!A116)-Inputs!$C$29)^2)/(2*Inputs!$C$31^2))*EXP(-(((0)-Inputs!$C$30)^2)/(2*Inputs!$C$32^2))+-Inputs!$C$33*EXP(-(((((Model_Data!A116)-Inputs!$C$34)^2)+(((0)-Inputs!$C$35)^2))/(2*Inputs!$C$36^2)))+Inputs!$C$37*(0.55*SIN(2*PI()*(Model_Data!A116)/Inputs!$C$39)+0.35*COS(2*PI()*(0)/Inputs!$C$40)+0.2*SIN(2*PI()*((Model_Data!A116)+(0))/(0.5*(Inputs!$C$39+Inputs!$C$40))))+Inputs!$C$38*SIN(2*PI()*(Model_Data!A116)/Inputs!$C$39)*SIN(2*PI()*(0)/Inputs!$C$40)+-Inputs!$C$41*EXP(-(((0)-Inputs!$C$43)^2)/(2*Inputs!$C$44^2))*EXP(-(((Model_Data!A116)-Inputs!$C$42)^2)/(2*Inputs!$C$45^2))+Inputs!$C$48*(0.70*(0.45*SIN(2*PI()*(((Model_Data!A116)/Inputs!$C$49)+Inputs!$C$47*0.137))+0.35*COS(2*PI()*(((0)/Inputs!$C$50)+Inputs!$C$47*0.173))+0.20*SIN(2*PI()*(((Model_Data!A116)+(0))/(0.5*(Inputs!$C$49+Inputs!$C$50))+Inputs!$C$47*0.097)))+0.30*(2*((SIN(((Model_Data!A116)*12.9898+(0)*78.233+Inputs!$C$47*37.719))*43758.5453)-INT((SIN(((Model_Data!A116)*12.9898+(0)*78.233+Inputs!$C$47*37.719))*43758.5453)))-1)))</x:f>
        <x:v>-67.68197739460362</x:v>
      </x:c>
      <x:c r="H116" s="49"/>
      <x:c r="I116" s="48" t="n">
        <x:f>Model_Data!A116</x:f>
        <x:v>-3</x:v>
      </x:c>
      <x:c r="J116" s="48" t="n">
        <x:f>((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(0.45*SIN(2*PI()*(((Model_Data!A116)/Inputs!$C$49)+Inputs!$C$47*0.137))+0.35*COS(2*PI()*(((Inputs!$C$6)/Inputs!$C$50)+Inputs!$C$47*0.173))+0.20*SIN(2*PI()*(((Model_Data!A116)+(Inputs!$C$6))/(0.5*(Inputs!$C$49+Inputs!$C$50))+Inputs!$C$47*0.097)))+0.30*(2*((SIN(((Model_Data!A116)*12.9898+(Inputs!$C$6)*78.233+Inputs!$C$47*37.719))*43758.5453)-INT((SIN(((Model_Data!A116)*12.9898+(Inputs!$C$6)*78.233+Inputs!$C$47*37.719))*43758.5453)))-1))))-((Inputs!$C$51*(115*EXP(-(((0)-25)^2)/(4.5^2))+70*EXP(-(((0)+38)^2)/(7^2))*(0.55+0.45*SIN(2*PI()*(Model_Data!A116)/45))+24*SIN(2*PI()*(0)/9+(Model_Data!A116)/18)*EXP(-(((0)+5)^2)/(22^2))+18*SIN(2*PI()*(Model_Data!A116)/70))+Inputs!$C$28*EXP(-(((Model_Data!A116)-Inputs!$C$29)^2)/(2*Inputs!$C$31^2))*EXP(-(((0)-Inputs!$C$30)^2)/(2*Inputs!$C$32^2))+-Inputs!$C$33*EXP(-(((((Model_Data!A116)-Inputs!$C$34)^2)+(((0)-Inputs!$C$35)^2))/(2*Inputs!$C$36^2)))+Inputs!$C$37*(0.55*SIN(2*PI()*(Model_Data!A116)/Inputs!$C$39)+0.35*COS(2*PI()*(0)/Inputs!$C$40)+0.2*SIN(2*PI()*((Model_Data!A116)+(0))/(0.5*(Inputs!$C$39+Inputs!$C$40))))+Inputs!$C$38*SIN(2*PI()*(Model_Data!A116)/Inputs!$C$39)*SIN(2*PI()*(0)/Inputs!$C$40)+-Inputs!$C$41*EXP(-(((0)-Inputs!$C$43)^2)/(2*Inputs!$C$44^2))*EXP(-(((Model_Data!A116)-Inputs!$C$42)^2)/(2*Inputs!$C$45^2))+Inputs!$C$48*(0.70*(0.45*SIN(2*PI()*(((Model_Data!A116)/Inputs!$C$49)+Inputs!$C$47*0.137))+0.35*COS(2*PI()*(((0)/Inputs!$C$50)+Inputs!$C$47*0.173))+0.20*SIN(2*PI()*(((Model_Data!A116)+(0))/(0.5*(Inputs!$C$49+Inputs!$C$50))+Inputs!$C$47*0.097)))+0.30*(2*((SIN(((Model_Data!A116)*12.9898+(0)*78.233+Inputs!$C$47*37.719))*43758.5453)-INT((SIN(((Model_Data!A116)*12.9898+(0)*78.233+Inputs!$C$47*37.719))*43758.5453)))-1))))</x:f>
        <x:v>487.82939635077815</x:v>
      </x:c>
      <x:c r="K116" s="48" t="n">
        <x:f>-((((SQRT((Model_Data!A116)^2+Inputs!$C$6^2+((Model_Data!B116)-((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(0.45*SIN(2*PI()*(((Model_Data!A116)/Inputs!$C$49)+Inputs!$C$47*0.137))+0.35*COS(2*PI()*(((Inputs!$C$6)/Inputs!$C$50)+Inputs!$C$47*0.173))+0.20*SIN(2*PI()*(((Model_Data!A116)+(Inputs!$C$6))/(0.5*(Inputs!$C$49+Inputs!$C$50))+Inputs!$C$47*0.097)))+0.30*(2*((SIN(((Model_Data!A116)*12.9898+(Inputs!$C$6)*78.233+Inputs!$C$47*37.719))*43758.5453)-INT((SIN(((Model_Data!A116)*12.9898+(Inputs!$C$6)*78.233+Inputs!$C$47*37.719))*43758.5453)))-1))))/1000)^2))-(((Model_Data!B116)-((Inputs!$C$51*(115*EXP(-(((0)-25)^2)/(4.5^2))+70*EXP(-(((0)+38)^2)/(7^2))*(0.55+0.45*SIN(2*PI()*(Model_Data!A116)/45))+24*SIN(2*PI()*(0)/9+(Model_Data!A116)/18)*EXP(-(((0)+5)^2)/(22^2))+18*SIN(2*PI()*(Model_Data!A116)/70))+Inputs!$C$28*EXP(-(((Model_Data!A116)-Inputs!$C$29)^2)/(2*Inputs!$C$31^2))*EXP(-(((0)-Inputs!$C$30)^2)/(2*Inputs!$C$32^2))+-Inputs!$C$33*EXP(-(((((Model_Data!A116)-Inputs!$C$34)^2)+(((0)-Inputs!$C$35)^2))/(2*Inputs!$C$36^2)))+Inputs!$C$37*(0.55*SIN(2*PI()*(Model_Data!A116)/Inputs!$C$39)+0.35*COS(2*PI()*(0)/Inputs!$C$40)+0.2*SIN(2*PI()*((Model_Data!A116)+(0))/(0.5*(Inputs!$C$39+Inputs!$C$40))))+Inputs!$C$38*SIN(2*PI()*(Model_Data!A116)/Inputs!$C$39)*SIN(2*PI()*(0)/Inputs!$C$40)+-Inputs!$C$41*EXP(-(((0)-Inputs!$C$43)^2)/(2*Inputs!$C$44^2))*EXP(-(((Model_Data!A116)-Inputs!$C$42)^2)/(2*Inputs!$C$45^2))+Inputs!$C$48*(0.70*(0.45*SIN(2*PI()*(((Model_Data!A116)/Inputs!$C$49)+Inputs!$C$47*0.137))+0.35*COS(2*PI()*(((0)/Inputs!$C$50)+Inputs!$C$47*0.173))+0.20*SIN(2*PI()*(((Model_Data!A116)+(0))/(0.5*(Inputs!$C$49+Inputs!$C$50))+Inputs!$C$47*0.097)))+0.30*(2*((SIN(((Model_Data!A116)*12.9898+(0)*78.233+Inputs!$C$47*37.719))*43758.5453)-INT((SIN(((Model_Data!A116)*12.9898+(0)*78.233+Inputs!$C$47*37.719))*43758.5453)))-1))))/1000)))*1000/Inputs!$C$12)-Model_Data!F116)</x:f>
        <x:v>273.5947282754237</x:v>
      </x:c>
      <x:c r="L116" s="49"/>
      <x:c r="M116" s="48" t="n">
        <x:f>Model_Data!A116</x:f>
        <x:v>-3</x:v>
      </x:c>
      <x:c r="N116" s="48" t="n">
        <x:f>Model_Data!P116</x:f>
        <x:v>22.6215941882293</x:v>
      </x:c>
      <x:c r="O116" s="48" t="n">
        <x:f>AC116</x:f>
        <x:v>48.20103514712173</x:v>
      </x:c>
      <x:c r="P116" s="48" t="n">
        <x:f>Model_Data!Q116</x:f>
        <x:v>3.3966357639983933</x:v>
      </x:c>
      <x:c r="Q116" s="48" t="n">
        <x:f>AD116</x:f>
        <x:v>7.237392664732993</x:v>
      </x:c>
      <x:c r="R116" s="49"/>
      <x:c r="S116" s="48" t="n">
        <x:f>Model_Data!A116</x:f>
        <x:v>-3</x:v>
      </x:c>
      <x:c r="T116" s="48" t="n">
        <x:f>Model_Data!B116-Inputs!$C$5</x:f>
        <x:v>0.009999999999990905</x:v>
      </x:c>
      <x:c r="U116" s="49"/>
      <x:c r="V116" s="48" t="n">
        <x:f>Model_Data!A116</x:f>
        <x:v>-3</x:v>
      </x:c>
      <x:c r="W116" s="48" t="n">
        <x:f>(-((((SQRT((Model_Data!A116)^2+Inputs!$C$6^2+((Model_Data!B116)-((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(0.45*SIN(2*PI()*(((Model_Data!A116)/Inputs!$C$49)+Inputs!$C$47*0.137))+0.35*COS(2*PI()*(((Inputs!$C$6)/Inputs!$C$50)+Inputs!$C$47*0.173))+0.20*SIN(2*PI()*(((Model_Data!A116)+(Inputs!$C$6))/(0.5*(Inputs!$C$49+Inputs!$C$50))+Inputs!$C$47*0.097)))+0.30*(2*((SIN(((Model_Data!A116)*12.9898+(Inputs!$C$6)*78.233+Inputs!$C$47*37.719))*43758.5453)-INT((SIN(((Model_Data!A116)*12.9898+(Inputs!$C$6)*78.233+Inputs!$C$47*37.719))*43758.5453)))-1))))/1000)^2))-(((Model_Data!B116)-((Inputs!$C$51*(115*EXP(-(((0)-25)^2)/(4.5^2))+70*EXP(-(((0)+38)^2)/(7^2))*(0.55+0.45*SIN(2*PI()*(Model_Data!A116)/45))+24*SIN(2*PI()*(0)/9+(Model_Data!A116)/18)*EXP(-(((0)+5)^2)/(22^2))+18*SIN(2*PI()*(Model_Data!A116)/70))+Inputs!$C$28*EXP(-(((Model_Data!A116)-Inputs!$C$29)^2)/(2*Inputs!$C$31^2))*EXP(-(((0)-Inputs!$C$30)^2)/(2*Inputs!$C$32^2))+-Inputs!$C$33*EXP(-(((((Model_Data!A116)-Inputs!$C$34)^2)+(((0)-Inputs!$C$35)^2))/(2*Inputs!$C$36^2)))+Inputs!$C$37*(0.55*SIN(2*PI()*(Model_Data!A116)/Inputs!$C$39)+0.35*COS(2*PI()*(0)/Inputs!$C$40)+0.2*SIN(2*PI()*((Model_Data!A116)+(0))/(0.5*(Inputs!$C$39+Inputs!$C$40))))+Inputs!$C$38*SIN(2*PI()*(Model_Data!A116)/Inputs!$C$39)*SIN(2*PI()*(0)/Inputs!$C$40)+-Inputs!$C$41*EXP(-(((0)-Inputs!$C$43)^2)/(2*Inputs!$C$44^2))*EXP(-(((Model_Data!A116)-Inputs!$C$42)^2)/(2*Inputs!$C$45^2))+Inputs!$C$48*(0.70*(0.45*SIN(2*PI()*(((Model_Data!A116)/Inputs!$C$49)+Inputs!$C$47*0.137))+0.35*COS(2*PI()*(((0)/Inputs!$C$50)+Inputs!$C$47*0.173))+0.20*SIN(2*PI()*(((Model_Data!A116)+(0))/(0.5*(Inputs!$C$49+Inputs!$C$50))+Inputs!$C$47*0.097)))+0.30*(2*((SIN(((Model_Data!A116)*12.9898+(0)*78.233+Inputs!$C$47*37.719))*43758.5453)-INT((SIN(((Model_Data!A116)*12.9898+(0)*78.233+Inputs!$C$47*37.719))*43758.5453)))-1))))/1000)))*1000/Inputs!$C$12)-Model_Data!F116))-(-(((SQRT((Model_Data!A116)^2+Inputs!$C$6^2+(Inputs!$C$5-((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(0.45*SIN(2*PI()*(((Model_Data!A116)/Inputs!$C$49)+Inputs!$C$47*0.137))+0.35*COS(2*PI()*(((Inputs!$C$6)/Inputs!$C$50)+Inputs!$C$47*0.173))+0.20*SIN(2*PI()*(((Model_Data!A116)+(Inputs!$C$6))/(0.5*(Inputs!$C$49+Inputs!$C$50))+Inputs!$C$47*0.097)))+0.30*(2*((SIN(((Model_Data!A116)*12.9898+(Inputs!$C$6)*78.233+Inputs!$C$47*37.719))*43758.5453)-INT((SIN(((Model_Data!A116)*12.9898+(Inputs!$C$6)*78.233+Inputs!$C$47*37.719))*43758.5453)))-1))))/1000)^2)-(Inputs!$C$5-((Inputs!$C$51*(115*EXP(-(((0)-25)^2)/(4.5^2))+70*EXP(-(((0)+38)^2)/(7^2))*(0.55+0.45*SIN(2*PI()*(Model_Data!A116)/45))+24*SIN(2*PI()*(0)/9+(Model_Data!A116)/18)*EXP(-(((0)+5)^2)/(22^2))+18*SIN(2*PI()*(Model_Data!A116)/70))+Inputs!$C$28*EXP(-(((Model_Data!A116)-Inputs!$C$29)^2)/(2*Inputs!$C$31^2))*EXP(-(((0)-Inputs!$C$30)^2)/(2*Inputs!$C$32^2))+-Inputs!$C$33*EXP(-(((((Model_Data!A116)-Inputs!$C$34)^2)+(((0)-Inputs!$C$35)^2))/(2*Inputs!$C$36^2)))+Inputs!$C$37*(0.55*SIN(2*PI()*(Model_Data!A116)/Inputs!$C$39)+0.35*COS(2*PI()*(0)/Inputs!$C$40)+0.2*SIN(2*PI()*((Model_Data!A116)+(0))/(0.5*(Inputs!$C$39+Inputs!$C$40))))+Inputs!$C$38*SIN(2*PI()*(Model_Data!A116)/Inputs!$C$39)*SIN(2*PI()*(0)/Inputs!$C$40)+-Inputs!$C$41*EXP(-(((0)-Inputs!$C$43)^2)/(2*Inputs!$C$44^2))*EXP(-(((Model_Data!A116)-Inputs!$C$42)^2)/(2*Inputs!$C$45^2))+Inputs!$C$48*(0.70*(0.45*SIN(2*PI()*(((Model_Data!A116)/Inputs!$C$49)+Inputs!$C$47*0.137))+0.35*COS(2*PI()*(((0)/Inputs!$C$50)+Inputs!$C$47*0.173))+0.20*SIN(2*PI()*(((Model_Data!A116)+(0))/(0.5*(Inputs!$C$49+Inputs!$C$50))+Inputs!$C$47*0.097)))+0.30*(2*((SIN(((Model_Data!A116)*12.9898+(0)*78.233+Inputs!$C$47*37.719))*43758.5453)-INT((SIN(((Model_Data!A116)*12.9898+(0)*78.233+Inputs!$C$47*37.719))*43758.5453)))-1))))/1000))*1000/Inputs!$C$12)-((SQRT((Model_Data!A116)^2+Inputs!$C$6^2+Inputs!$C$5^2)-Inputs!$C$5)*1000/Inputs!$C$12)))</x:f>
        <x:v>0.000023279838956113963</x:v>
      </x:c>
      <x:c r="X116" s="48" t="n">
        <x:f>0</x:f>
        <x:v>0</x:v>
      </x:c>
      <x:c r="Y116" s="49"/>
      <x:c r="Z116" s="48" t="n">
        <x:f>Model_Data!A116</x:f>
        <x:v>-3</x:v>
      </x:c>
      <x:c r="AA116" s="48" t="n">
        <x:f>SQRT((Model_Data!A116)^2+Inputs!$C$6^2+((Model_Data!B116)-((Inputs!$C$51*(115*EXP(-(((Inputs!$C$6)-25)^2)/(4.5^2))+70*EXP(-(((Inputs!$C$6)+38)^2)/(7^2))*(0.55+0.45*SIN(2*PI()*(Model_Data!A116)/45))+24*SIN(2*PI()*(Inputs!$C$6)/9+(Model_Data!A116)/18)*EXP(-(((Inputs!$C$6)+5)^2)/(22^2))+18*SIN(2*PI()*(Model_Data!A116)/70))+Inputs!$C$28*EXP(-(((Model_Data!A116)-Inputs!$C$29)^2)/(2*Inputs!$C$31^2))*EXP(-(((Inputs!$C$6)-Inputs!$C$30)^2)/(2*Inputs!$C$32^2))+-Inputs!$C$33*EXP(-(((((Model_Data!A116)-Inputs!$C$34)^2)+(((Inputs!$C$6)-Inputs!$C$35)^2))/(2*Inputs!$C$36^2)))+Inputs!$C$37*(0.55*SIN(2*PI()*(Model_Data!A116)/Inputs!$C$39)+0.35*COS(2*PI()*(Inputs!$C$6)/Inputs!$C$40)+0.2*SIN(2*PI()*((Model_Data!A116)+(Inputs!$C$6))/(0.5*(Inputs!$C$39+Inputs!$C$40))))+Inputs!$C$38*SIN(2*PI()*(Model_Data!A116)/Inputs!$C$39)*SIN(2*PI()*(Inputs!$C$6)/Inputs!$C$40)+-Inputs!$C$41*EXP(-(((Inputs!$C$6)-Inputs!$C$43)^2)/(2*Inputs!$C$44^2))*EXP(-(((Model_Data!A116)-Inputs!$C$42)^2)/(2*Inputs!$C$45^2))+Inputs!$C$48*(0.70*(0.45*SIN(2*PI()*(((Model_Data!A116)/Inputs!$C$49)+Inputs!$C$47*0.137))+0.35*COS(2*PI()*(((Inputs!$C$6)/Inputs!$C$50)+Inputs!$C$47*0.173))+0.20*SIN(2*PI()*(((Model_Data!A116)+(Inputs!$C$6))/(0.5*(Inputs!$C$49+Inputs!$C$50))+Inputs!$C$47*0.097)))+0.30*(2*((SIN(((Model_Data!A116)*12.9898+(Inputs!$C$6)*78.233+Inputs!$C$47*37.719))*43758.5453)-INT((SIN(((Model_Data!A116)*12.9898+(Inputs!$C$6)*78.233+Inputs!$C$47*37.719))*43758.5453)))-1))))/1000)^2)</x:f>
        <x:v>400.38238008900987</x:v>
      </x:c>
      <x:c r="AB116" s="48" t="n">
        <x:f>1000*(AA117-AA115)/(Z117-Z115)*Inputs!$C$11</x:f>
        <x:v>-120.50258786780432</x:v>
      </x:c>
      <x:c r="AC116" s="48" t="n">
        <x:f>-2*AB116/Inputs!$C$13</x:f>
        <x:v>48.20103514712173</x:v>
      </x:c>
      <x:c r="AD116" s="48" t="n">
        <x:f>-2*AB116/Inputs!$C$14</x:f>
        <x:v>7.237392664732993</x:v>
      </x:c>
    </x:row>
    <x:row r="117">
      <x:c r="A117" s="48" t="n">
        <x:f>Model_Data!A117</x:f>
        <x:v>-2.5</x:v>
      </x:c>
      <x:c r="B117" s="48" t="n">
        <x:f>Model_Data!F117</x:f>
        <x:v>442.849493591979</x:v>
      </x:c>
      <x:c r="C117" s="48" t="n">
        <x:f>(((SQRT((Model_Data!A117)^2+Inputs!$C$6^2+((Model_Data!B117)-((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(0.45*SIN(2*PI()*(((Model_Data!A117)/Inputs!$C$49)+Inputs!$C$47*0.137))+0.35*COS(2*PI()*(((Inputs!$C$6)/Inputs!$C$50)+Inputs!$C$47*0.173))+0.20*SIN(2*PI()*(((Model_Data!A117)+(Inputs!$C$6))/(0.5*(Inputs!$C$49+Inputs!$C$50))+Inputs!$C$47*0.097)))+0.30*(2*((SIN(((Model_Data!A117)*12.9898+(Inputs!$C$6)*78.233+Inputs!$C$47*37.719))*43758.5453)-INT((SIN(((Model_Data!A117)*12.9898+(Inputs!$C$6)*78.233+Inputs!$C$47*37.719))*43758.5453)))-1))))/1000)^2))-(((Model_Data!B117)-((Inputs!$C$51*(115*EXP(-(((0)-25)^2)/(4.5^2))+70*EXP(-(((0)+38)^2)/(7^2))*(0.55+0.45*SIN(2*PI()*(Model_Data!A117)/45))+24*SIN(2*PI()*(0)/9+(Model_Data!A117)/18)*EXP(-(((0)+5)^2)/(22^2))+18*SIN(2*PI()*(Model_Data!A117)/70))+Inputs!$C$28*EXP(-(((Model_Data!A117)-Inputs!$C$29)^2)/(2*Inputs!$C$31^2))*EXP(-(((0)-Inputs!$C$30)^2)/(2*Inputs!$C$32^2))+-Inputs!$C$33*EXP(-(((((Model_Data!A117)-Inputs!$C$34)^2)+(((0)-Inputs!$C$35)^2))/(2*Inputs!$C$36^2)))+Inputs!$C$37*(0.55*SIN(2*PI()*(Model_Data!A117)/Inputs!$C$39)+0.35*COS(2*PI()*(0)/Inputs!$C$40)+0.2*SIN(2*PI()*((Model_Data!A117)+(0))/(0.5*(Inputs!$C$39+Inputs!$C$40))))+Inputs!$C$38*SIN(2*PI()*(Model_Data!A117)/Inputs!$C$39)*SIN(2*PI()*(0)/Inputs!$C$40)+-Inputs!$C$41*EXP(-(((0)-Inputs!$C$43)^2)/(2*Inputs!$C$44^2))*EXP(-(((Model_Data!A117)-Inputs!$C$42)^2)/(2*Inputs!$C$45^2))+Inputs!$C$48*(0.70*(0.45*SIN(2*PI()*(((Model_Data!A117)/Inputs!$C$49)+Inputs!$C$47*0.137))+0.35*COS(2*PI()*(((0)/Inputs!$C$50)+Inputs!$C$47*0.173))+0.20*SIN(2*PI()*(((Model_Data!A117)+(0))/(0.5*(Inputs!$C$49+Inputs!$C$50))+Inputs!$C$47*0.097)))+0.30*(2*((SIN(((Model_Data!A117)*12.9898+(0)*78.233+Inputs!$C$47*37.719))*43758.5453)-INT((SIN(((Model_Data!A117)*12.9898+(0)*78.233+Inputs!$C$47*37.719))*43758.5453)))-1))))/1000)))*1000/Inputs!$C$12)</x:f>
        <x:v>178.8147172955027</x:v>
      </x:c>
      <x:c r="D117" s="49"/>
      <x:c r="E117" s="48" t="n">
        <x:f>Model_Data!A117</x:f>
        <x:v>-2.5</x:v>
      </x:c>
      <x:c r="F117" s="48" t="n">
        <x:f>(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(0.45*SIN(2*PI()*(((Model_Data!A117)/Inputs!$C$49)+Inputs!$C$47*0.137))+0.35*COS(2*PI()*(((Inputs!$C$6)/Inputs!$C$50)+Inputs!$C$47*0.173))+0.20*SIN(2*PI()*(((Model_Data!A117)+(Inputs!$C$6))/(0.5*(Inputs!$C$49+Inputs!$C$50))+Inputs!$C$47*0.097)))+0.30*(2*((SIN(((Model_Data!A117)*12.9898+(Inputs!$C$6)*78.233+Inputs!$C$47*37.719))*43758.5453)-INT((SIN(((Model_Data!A117)*12.9898+(Inputs!$C$6)*78.233+Inputs!$C$47*37.719))*43758.5453)))-1)))</x:f>
        <x:v>420.97624209793275</x:v>
      </x:c>
      <x:c r="G117" s="48" t="n">
        <x:f>(Inputs!$C$51*(115*EXP(-(((0)-25)^2)/(4.5^2))+70*EXP(-(((0)+38)^2)/(7^2))*(0.55+0.45*SIN(2*PI()*(Model_Data!A117)/45))+24*SIN(2*PI()*(0)/9+(Model_Data!A117)/18)*EXP(-(((0)+5)^2)/(22^2))+18*SIN(2*PI()*(Model_Data!A117)/70))+Inputs!$C$28*EXP(-(((Model_Data!A117)-Inputs!$C$29)^2)/(2*Inputs!$C$31^2))*EXP(-(((0)-Inputs!$C$30)^2)/(2*Inputs!$C$32^2))+-Inputs!$C$33*EXP(-(((((Model_Data!A117)-Inputs!$C$34)^2)+(((0)-Inputs!$C$35)^2))/(2*Inputs!$C$36^2)))+Inputs!$C$37*(0.55*SIN(2*PI()*(Model_Data!A117)/Inputs!$C$39)+0.35*COS(2*PI()*(0)/Inputs!$C$40)+0.2*SIN(2*PI()*((Model_Data!A117)+(0))/(0.5*(Inputs!$C$39+Inputs!$C$40))))+Inputs!$C$38*SIN(2*PI()*(Model_Data!A117)/Inputs!$C$39)*SIN(2*PI()*(0)/Inputs!$C$40)+-Inputs!$C$41*EXP(-(((0)-Inputs!$C$43)^2)/(2*Inputs!$C$44^2))*EXP(-(((Model_Data!A117)-Inputs!$C$42)^2)/(2*Inputs!$C$45^2))+Inputs!$C$48*(0.70*(0.45*SIN(2*PI()*(((Model_Data!A117)/Inputs!$C$49)+Inputs!$C$47*0.137))+0.35*COS(2*PI()*(((0)/Inputs!$C$50)+Inputs!$C$47*0.173))+0.20*SIN(2*PI()*(((Model_Data!A117)+(0))/(0.5*(Inputs!$C$49+Inputs!$C$50))+Inputs!$C$47*0.097)))+0.30*(2*((SIN(((Model_Data!A117)*12.9898+(0)*78.233+Inputs!$C$47*37.719))*43758.5453)-INT((SIN(((Model_Data!A117)*12.9898+(0)*78.233+Inputs!$C$47*37.719))*43758.5453)))-1)))</x:f>
        <x:v>-49.83449295863612</x:v>
      </x:c>
      <x:c r="H117" s="49"/>
      <x:c r="I117" s="48" t="n">
        <x:f>Model_Data!A117</x:f>
        <x:v>-2.5</x:v>
      </x:c>
      <x:c r="J117" s="48" t="n">
        <x:f>((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(0.45*SIN(2*PI()*(((Model_Data!A117)/Inputs!$C$49)+Inputs!$C$47*0.137))+0.35*COS(2*PI()*(((Inputs!$C$6)/Inputs!$C$50)+Inputs!$C$47*0.173))+0.20*SIN(2*PI()*(((Model_Data!A117)+(Inputs!$C$6))/(0.5*(Inputs!$C$49+Inputs!$C$50))+Inputs!$C$47*0.097)))+0.30*(2*((SIN(((Model_Data!A117)*12.9898+(Inputs!$C$6)*78.233+Inputs!$C$47*37.719))*43758.5453)-INT((SIN(((Model_Data!A117)*12.9898+(Inputs!$C$6)*78.233+Inputs!$C$47*37.719))*43758.5453)))-1))))-((Inputs!$C$51*(115*EXP(-(((0)-25)^2)/(4.5^2))+70*EXP(-(((0)+38)^2)/(7^2))*(0.55+0.45*SIN(2*PI()*(Model_Data!A117)/45))+24*SIN(2*PI()*(0)/9+(Model_Data!A117)/18)*EXP(-(((0)+5)^2)/(22^2))+18*SIN(2*PI()*(Model_Data!A117)/70))+Inputs!$C$28*EXP(-(((Model_Data!A117)-Inputs!$C$29)^2)/(2*Inputs!$C$31^2))*EXP(-(((0)-Inputs!$C$30)^2)/(2*Inputs!$C$32^2))+-Inputs!$C$33*EXP(-(((((Model_Data!A117)-Inputs!$C$34)^2)+(((0)-Inputs!$C$35)^2))/(2*Inputs!$C$36^2)))+Inputs!$C$37*(0.55*SIN(2*PI()*(Model_Data!A117)/Inputs!$C$39)+0.35*COS(2*PI()*(0)/Inputs!$C$40)+0.2*SIN(2*PI()*((Model_Data!A117)+(0))/(0.5*(Inputs!$C$39+Inputs!$C$40))))+Inputs!$C$38*SIN(2*PI()*(Model_Data!A117)/Inputs!$C$39)*SIN(2*PI()*(0)/Inputs!$C$40)+-Inputs!$C$41*EXP(-(((0)-Inputs!$C$43)^2)/(2*Inputs!$C$44^2))*EXP(-(((Model_Data!A117)-Inputs!$C$42)^2)/(2*Inputs!$C$45^2))+Inputs!$C$48*(0.70*(0.45*SIN(2*PI()*(((Model_Data!A117)/Inputs!$C$49)+Inputs!$C$47*0.137))+0.35*COS(2*PI()*(((0)/Inputs!$C$50)+Inputs!$C$47*0.173))+0.20*SIN(2*PI()*(((Model_Data!A117)+(0))/(0.5*(Inputs!$C$49+Inputs!$C$50))+Inputs!$C$47*0.097)))+0.30*(2*((SIN(((Model_Data!A117)*12.9898+(0)*78.233+Inputs!$C$47*37.719))*43758.5453)-INT((SIN(((Model_Data!A117)*12.9898+(0)*78.233+Inputs!$C$47*37.719))*43758.5453)))-1))))</x:f>
        <x:v>470.8107350565689</x:v>
      </x:c>
      <x:c r="K117" s="48" t="n">
        <x:f>-((((SQRT((Model_Data!A117)^2+Inputs!$C$6^2+((Model_Data!B117)-((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(0.45*SIN(2*PI()*(((Model_Data!A117)/Inputs!$C$49)+Inputs!$C$47*0.137))+0.35*COS(2*PI()*(((Inputs!$C$6)/Inputs!$C$50)+Inputs!$C$47*0.173))+0.20*SIN(2*PI()*(((Model_Data!A117)+(Inputs!$C$6))/(0.5*(Inputs!$C$49+Inputs!$C$50))+Inputs!$C$47*0.097)))+0.30*(2*((SIN(((Model_Data!A117)*12.9898+(Inputs!$C$6)*78.233+Inputs!$C$47*37.719))*43758.5453)-INT((SIN(((Model_Data!A117)*12.9898+(Inputs!$C$6)*78.233+Inputs!$C$47*37.719))*43758.5453)))-1))))/1000)^2))-(((Model_Data!B117)-((Inputs!$C$51*(115*EXP(-(((0)-25)^2)/(4.5^2))+70*EXP(-(((0)+38)^2)/(7^2))*(0.55+0.45*SIN(2*PI()*(Model_Data!A117)/45))+24*SIN(2*PI()*(0)/9+(Model_Data!A117)/18)*EXP(-(((0)+5)^2)/(22^2))+18*SIN(2*PI()*(Model_Data!A117)/70))+Inputs!$C$28*EXP(-(((Model_Data!A117)-Inputs!$C$29)^2)/(2*Inputs!$C$31^2))*EXP(-(((0)-Inputs!$C$30)^2)/(2*Inputs!$C$32^2))+-Inputs!$C$33*EXP(-(((((Model_Data!A117)-Inputs!$C$34)^2)+(((0)-Inputs!$C$35)^2))/(2*Inputs!$C$36^2)))+Inputs!$C$37*(0.55*SIN(2*PI()*(Model_Data!A117)/Inputs!$C$39)+0.35*COS(2*PI()*(0)/Inputs!$C$40)+0.2*SIN(2*PI()*((Model_Data!A117)+(0))/(0.5*(Inputs!$C$39+Inputs!$C$40))))+Inputs!$C$38*SIN(2*PI()*(Model_Data!A117)/Inputs!$C$39)*SIN(2*PI()*(0)/Inputs!$C$40)+-Inputs!$C$41*EXP(-(((0)-Inputs!$C$43)^2)/(2*Inputs!$C$44^2))*EXP(-(((Model_Data!A117)-Inputs!$C$42)^2)/(2*Inputs!$C$45^2))+Inputs!$C$48*(0.70*(0.45*SIN(2*PI()*(((Model_Data!A117)/Inputs!$C$49)+Inputs!$C$47*0.137))+0.35*COS(2*PI()*(((0)/Inputs!$C$50)+Inputs!$C$47*0.173))+0.20*SIN(2*PI()*(((Model_Data!A117)+(0))/(0.5*(Inputs!$C$49+Inputs!$C$50))+Inputs!$C$47*0.097)))+0.30*(2*((SIN(((Model_Data!A117)*12.9898+(0)*78.233+Inputs!$C$47*37.719))*43758.5453)-INT((SIN(((Model_Data!A117)*12.9898+(0)*78.233+Inputs!$C$47*37.719))*43758.5453)))-1))))/1000)))*1000/Inputs!$C$12)-Model_Data!F117)</x:f>
        <x:v>264.0347762964763</x:v>
      </x:c>
      <x:c r="L117" s="49"/>
      <x:c r="M117" s="48" t="n">
        <x:f>Model_Data!A117</x:f>
        <x:v>-2.5</x:v>
      </x:c>
      <x:c r="N117" s="48" t="n">
        <x:f>Model_Data!P117</x:f>
        <x:v>18.851565517971398</x:v>
      </x:c>
      <x:c r="O117" s="48" t="n">
        <x:f>AC117</x:f>
        <x:v>44.149140922672814</x:v>
      </x:c>
      <x:c r="P117" s="48" t="n">
        <x:f>Model_Data!Q117</x:f>
        <x:v>2.830565393088799</x:v>
      </x:c>
      <x:c r="Q117" s="48" t="n">
        <x:f>AD117</x:f>
        <x:v>6.629000138539462</x:v>
      </x:c>
      <x:c r="R117" s="49"/>
      <x:c r="S117" s="48" t="n">
        <x:f>Model_Data!A117</x:f>
        <x:v>-2.5</x:v>
      </x:c>
      <x:c r="T117" s="48" t="n">
        <x:f>Model_Data!B117-Inputs!$C$5</x:f>
        <x:v>0.006944444444457076</x:v>
      </x:c>
      <x:c r="U117" s="49"/>
      <x:c r="V117" s="48" t="n">
        <x:f>Model_Data!A117</x:f>
        <x:v>-2.5</x:v>
      </x:c>
      <x:c r="W117" s="48" t="n">
        <x:f>(-((((SQRT((Model_Data!A117)^2+Inputs!$C$6^2+((Model_Data!B117)-((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(0.45*SIN(2*PI()*(((Model_Data!A117)/Inputs!$C$49)+Inputs!$C$47*0.137))+0.35*COS(2*PI()*(((Inputs!$C$6)/Inputs!$C$50)+Inputs!$C$47*0.173))+0.20*SIN(2*PI()*(((Model_Data!A117)+(Inputs!$C$6))/(0.5*(Inputs!$C$49+Inputs!$C$50))+Inputs!$C$47*0.097)))+0.30*(2*((SIN(((Model_Data!A117)*12.9898+(Inputs!$C$6)*78.233+Inputs!$C$47*37.719))*43758.5453)-INT((SIN(((Model_Data!A117)*12.9898+(Inputs!$C$6)*78.233+Inputs!$C$47*37.719))*43758.5453)))-1))))/1000)^2))-(((Model_Data!B117)-((Inputs!$C$51*(115*EXP(-(((0)-25)^2)/(4.5^2))+70*EXP(-(((0)+38)^2)/(7^2))*(0.55+0.45*SIN(2*PI()*(Model_Data!A117)/45))+24*SIN(2*PI()*(0)/9+(Model_Data!A117)/18)*EXP(-(((0)+5)^2)/(22^2))+18*SIN(2*PI()*(Model_Data!A117)/70))+Inputs!$C$28*EXP(-(((Model_Data!A117)-Inputs!$C$29)^2)/(2*Inputs!$C$31^2))*EXP(-(((0)-Inputs!$C$30)^2)/(2*Inputs!$C$32^2))+-Inputs!$C$33*EXP(-(((((Model_Data!A117)-Inputs!$C$34)^2)+(((0)-Inputs!$C$35)^2))/(2*Inputs!$C$36^2)))+Inputs!$C$37*(0.55*SIN(2*PI()*(Model_Data!A117)/Inputs!$C$39)+0.35*COS(2*PI()*(0)/Inputs!$C$40)+0.2*SIN(2*PI()*((Model_Data!A117)+(0))/(0.5*(Inputs!$C$39+Inputs!$C$40))))+Inputs!$C$38*SIN(2*PI()*(Model_Data!A117)/Inputs!$C$39)*SIN(2*PI()*(0)/Inputs!$C$40)+-Inputs!$C$41*EXP(-(((0)-Inputs!$C$43)^2)/(2*Inputs!$C$44^2))*EXP(-(((Model_Data!A117)-Inputs!$C$42)^2)/(2*Inputs!$C$45^2))+Inputs!$C$48*(0.70*(0.45*SIN(2*PI()*(((Model_Data!A117)/Inputs!$C$49)+Inputs!$C$47*0.137))+0.35*COS(2*PI()*(((0)/Inputs!$C$50)+Inputs!$C$47*0.173))+0.20*SIN(2*PI()*(((Model_Data!A117)+(0))/(0.5*(Inputs!$C$49+Inputs!$C$50))+Inputs!$C$47*0.097)))+0.30*(2*((SIN(((Model_Data!A117)*12.9898+(0)*78.233+Inputs!$C$47*37.719))*43758.5453)-INT((SIN(((Model_Data!A117)*12.9898+(0)*78.233+Inputs!$C$47*37.719))*43758.5453)))-1))))/1000)))*1000/Inputs!$C$12)-Model_Data!F117))-(-(((SQRT((Model_Data!A117)^2+Inputs!$C$6^2+(Inputs!$C$5-((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(0.45*SIN(2*PI()*(((Model_Data!A117)/Inputs!$C$49)+Inputs!$C$47*0.137))+0.35*COS(2*PI()*(((Inputs!$C$6)/Inputs!$C$50)+Inputs!$C$47*0.173))+0.20*SIN(2*PI()*(((Model_Data!A117)+(Inputs!$C$6))/(0.5*(Inputs!$C$49+Inputs!$C$50))+Inputs!$C$47*0.097)))+0.30*(2*((SIN(((Model_Data!A117)*12.9898+(Inputs!$C$6)*78.233+Inputs!$C$47*37.719))*43758.5453)-INT((SIN(((Model_Data!A117)*12.9898+(Inputs!$C$6)*78.233+Inputs!$C$47*37.719))*43758.5453)))-1))))/1000)^2)-(Inputs!$C$5-((Inputs!$C$51*(115*EXP(-(((0)-25)^2)/(4.5^2))+70*EXP(-(((0)+38)^2)/(7^2))*(0.55+0.45*SIN(2*PI()*(Model_Data!A117)/45))+24*SIN(2*PI()*(0)/9+(Model_Data!A117)/18)*EXP(-(((0)+5)^2)/(22^2))+18*SIN(2*PI()*(Model_Data!A117)/70))+Inputs!$C$28*EXP(-(((Model_Data!A117)-Inputs!$C$29)^2)/(2*Inputs!$C$31^2))*EXP(-(((0)-Inputs!$C$30)^2)/(2*Inputs!$C$32^2))+-Inputs!$C$33*EXP(-(((((Model_Data!A117)-Inputs!$C$34)^2)+(((0)-Inputs!$C$35)^2))/(2*Inputs!$C$36^2)))+Inputs!$C$37*(0.55*SIN(2*PI()*(Model_Data!A117)/Inputs!$C$39)+0.35*COS(2*PI()*(0)/Inputs!$C$40)+0.2*SIN(2*PI()*((Model_Data!A117)+(0))/(0.5*(Inputs!$C$39+Inputs!$C$40))))+Inputs!$C$38*SIN(2*PI()*(Model_Data!A117)/Inputs!$C$39)*SIN(2*PI()*(0)/Inputs!$C$40)+-Inputs!$C$41*EXP(-(((0)-Inputs!$C$43)^2)/(2*Inputs!$C$44^2))*EXP(-(((Model_Data!A117)-Inputs!$C$42)^2)/(2*Inputs!$C$45^2))+Inputs!$C$48*(0.70*(0.45*SIN(2*PI()*(((Model_Data!A117)/Inputs!$C$49)+Inputs!$C$47*0.137))+0.35*COS(2*PI()*(((0)/Inputs!$C$50)+Inputs!$C$47*0.173))+0.20*SIN(2*PI()*(((Model_Data!A117)+(0))/(0.5*(Inputs!$C$49+Inputs!$C$50))+Inputs!$C$47*0.097)))+0.30*(2*((SIN(((Model_Data!A117)*12.9898+(0)*78.233+Inputs!$C$47*37.719))*43758.5453)-INT((SIN(((Model_Data!A117)*12.9898+(0)*78.233+Inputs!$C$47*37.719))*43758.5453)))-1))))/1000))*1000/Inputs!$C$12)-((SQRT((Model_Data!A117)^2+Inputs!$C$6^2+Inputs!$C$5^2)-Inputs!$C$5)*1000/Inputs!$C$12)))</x:f>
        <x:v>0.000016128873028264934</x:v>
      </x:c>
      <x:c r="X117" s="48" t="n">
        <x:f>0</x:f>
        <x:v>0</x:v>
      </x:c>
      <x:c r="Y117" s="49"/>
      <x:c r="Z117" s="48" t="n">
        <x:f>Model_Data!A117</x:f>
        <x:v>-2.5</x:v>
      </x:c>
      <x:c r="AA117" s="48" t="n">
        <x:f>SQRT((Model_Data!A117)^2+Inputs!$C$6^2+((Model_Data!B117)-((Inputs!$C$51*(115*EXP(-(((Inputs!$C$6)-25)^2)/(4.5^2))+70*EXP(-(((Inputs!$C$6)+38)^2)/(7^2))*(0.55+0.45*SIN(2*PI()*(Model_Data!A117)/45))+24*SIN(2*PI()*(Inputs!$C$6)/9+(Model_Data!A117)/18)*EXP(-(((Inputs!$C$6)+5)^2)/(22^2))+18*SIN(2*PI()*(Model_Data!A117)/70))+Inputs!$C$28*EXP(-(((Model_Data!A117)-Inputs!$C$29)^2)/(2*Inputs!$C$31^2))*EXP(-(((Inputs!$C$6)-Inputs!$C$30)^2)/(2*Inputs!$C$32^2))+-Inputs!$C$33*EXP(-(((((Model_Data!A117)-Inputs!$C$34)^2)+(((Inputs!$C$6)-Inputs!$C$35)^2))/(2*Inputs!$C$36^2)))+Inputs!$C$37*(0.55*SIN(2*PI()*(Model_Data!A117)/Inputs!$C$39)+0.35*COS(2*PI()*(Inputs!$C$6)/Inputs!$C$40)+0.2*SIN(2*PI()*((Model_Data!A117)+(Inputs!$C$6))/(0.5*(Inputs!$C$39+Inputs!$C$40))))+Inputs!$C$38*SIN(2*PI()*(Model_Data!A117)/Inputs!$C$39)*SIN(2*PI()*(Inputs!$C$6)/Inputs!$C$40)+-Inputs!$C$41*EXP(-(((Inputs!$C$6)-Inputs!$C$43)^2)/(2*Inputs!$C$44^2))*EXP(-(((Model_Data!A117)-Inputs!$C$42)^2)/(2*Inputs!$C$45^2))+Inputs!$C$48*(0.70*(0.45*SIN(2*PI()*(((Model_Data!A117)/Inputs!$C$49)+Inputs!$C$47*0.137))+0.35*COS(2*PI()*(((Inputs!$C$6)/Inputs!$C$50)+Inputs!$C$47*0.173))+0.20*SIN(2*PI()*(((Model_Data!A117)+(Inputs!$C$6))/(0.5*(Inputs!$C$49+Inputs!$C$50))+Inputs!$C$47*0.097)))+0.30*(2*((SIN(((Model_Data!A117)*12.9898+(Inputs!$C$6)*78.233+Inputs!$C$47*37.719))*43758.5453)-INT((SIN(((Model_Data!A117)*12.9898+(Inputs!$C$6)*78.233+Inputs!$C$47*37.719))*43758.5453)))-1))))/1000)^2)</x:f>
        <x:v>400.37506913418906</x:v>
      </x:c>
      <x:c r="AB117" s="48" t="n">
        <x:f>1000*(AA118-AA116)/(Z118-Z116)*Inputs!$C$11</x:f>
        <x:v>-110.37285230668203</x:v>
      </x:c>
      <x:c r="AC117" s="48" t="n">
        <x:f>-2*AB117/Inputs!$C$13</x:f>
        <x:v>44.149140922672814</x:v>
      </x:c>
      <x:c r="AD117" s="48" t="n">
        <x:f>-2*AB117/Inputs!$C$14</x:f>
        <x:v>6.629000138539462</x:v>
      </x:c>
    </x:row>
    <x:row r="118">
      <x:c r="A118" s="48" t="n">
        <x:f>Model_Data!A118</x:f>
        <x:v>-2</x:v>
      </x:c>
      <x:c r="B118" s="48" t="n">
        <x:f>Model_Data!F118</x:f>
        <x:v>441.2753193927467</x:v>
      </x:c>
      <x:c r="C118" s="48" t="n">
        <x:f>(((SQRT((Model_Data!A118)^2+Inputs!$C$6^2+((Model_Data!B118)-((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(0.45*SIN(2*PI()*(((Model_Data!A118)/Inputs!$C$49)+Inputs!$C$47*0.137))+0.35*COS(2*PI()*(((Inputs!$C$6)/Inputs!$C$50)+Inputs!$C$47*0.173))+0.20*SIN(2*PI()*(((Model_Data!A118)+(Inputs!$C$6))/(0.5*(Inputs!$C$49+Inputs!$C$50))+Inputs!$C$47*0.097)))+0.30*(2*((SIN(((Model_Data!A118)*12.9898+(Inputs!$C$6)*78.233+Inputs!$C$47*37.719))*43758.5453)-INT((SIN(((Model_Data!A118)*12.9898+(Inputs!$C$6)*78.233+Inputs!$C$47*37.719))*43758.5453)))-1))))/1000)^2))-(((Model_Data!B118)-((Inputs!$C$51*(115*EXP(-(((0)-25)^2)/(4.5^2))+70*EXP(-(((0)+38)^2)/(7^2))*(0.55+0.45*SIN(2*PI()*(Model_Data!A118)/45))+24*SIN(2*PI()*(0)/9+(Model_Data!A118)/18)*EXP(-(((0)+5)^2)/(22^2))+18*SIN(2*PI()*(Model_Data!A118)/70))+Inputs!$C$28*EXP(-(((Model_Data!A118)-Inputs!$C$29)^2)/(2*Inputs!$C$31^2))*EXP(-(((0)-Inputs!$C$30)^2)/(2*Inputs!$C$32^2))+-Inputs!$C$33*EXP(-(((((Model_Data!A118)-Inputs!$C$34)^2)+(((0)-Inputs!$C$35)^2))/(2*Inputs!$C$36^2)))+Inputs!$C$37*(0.55*SIN(2*PI()*(Model_Data!A118)/Inputs!$C$39)+0.35*COS(2*PI()*(0)/Inputs!$C$40)+0.2*SIN(2*PI()*((Model_Data!A118)+(0))/(0.5*(Inputs!$C$39+Inputs!$C$40))))+Inputs!$C$38*SIN(2*PI()*(Model_Data!A118)/Inputs!$C$39)*SIN(2*PI()*(0)/Inputs!$C$40)+-Inputs!$C$41*EXP(-(((0)-Inputs!$C$43)^2)/(2*Inputs!$C$44^2))*EXP(-(((Model_Data!A118)-Inputs!$C$42)^2)/(2*Inputs!$C$45^2))+Inputs!$C$48*(0.70*(0.45*SIN(2*PI()*(((Model_Data!A118)/Inputs!$C$49)+Inputs!$C$47*0.137))+0.35*COS(2*PI()*(((0)/Inputs!$C$50)+Inputs!$C$47*0.173))+0.20*SIN(2*PI()*(((Model_Data!A118)+(0))/(0.5*(Inputs!$C$49+Inputs!$C$50))+Inputs!$C$47*0.097)))+0.30*(2*((SIN(((Model_Data!A118)*12.9898+(0)*78.233+Inputs!$C$47*37.719))*43758.5453)-INT((SIN(((Model_Data!A118)*12.9898+(0)*78.233+Inputs!$C$47*37.719))*43758.5453)))-1))))/1000)))*1000/Inputs!$C$12)</x:f>
        <x:v>163.3343547935643</x:v>
      </x:c>
      <x:c r="D118" s="49"/>
      <x:c r="E118" s="48" t="n">
        <x:f>Model_Data!A118</x:f>
        <x:v>-2</x:v>
      </x:c>
      <x:c r="F118" s="48" t="n">
        <x:f>(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(0.45*SIN(2*PI()*(((Model_Data!A118)/Inputs!$C$49)+Inputs!$C$47*0.137))+0.35*COS(2*PI()*(((Inputs!$C$6)/Inputs!$C$50)+Inputs!$C$47*0.173))+0.20*SIN(2*PI()*(((Model_Data!A118)+(Inputs!$C$6))/(0.5*(Inputs!$C$49+Inputs!$C$50))+Inputs!$C$47*0.097)))+0.30*(2*((SIN(((Model_Data!A118)*12.9898+(Inputs!$C$6)*78.233+Inputs!$C$47*37.719))*43758.5453)-INT((SIN(((Model_Data!A118)*12.9898+(Inputs!$C$6)*78.233+Inputs!$C$47*37.719))*43758.5453)))-1)))</x:f>
        <x:v>435.98300826713626</x:v>
      </x:c>
      <x:c r="G118" s="48" t="n">
        <x:f>(Inputs!$C$51*(115*EXP(-(((0)-25)^2)/(4.5^2))+70*EXP(-(((0)+38)^2)/(7^2))*(0.55+0.45*SIN(2*PI()*(Model_Data!A118)/45))+24*SIN(2*PI()*(0)/9+(Model_Data!A118)/18)*EXP(-(((0)+5)^2)/(22^2))+18*SIN(2*PI()*(Model_Data!A118)/70))+Inputs!$C$28*EXP(-(((Model_Data!A118)-Inputs!$C$29)^2)/(2*Inputs!$C$31^2))*EXP(-(((0)-Inputs!$C$30)^2)/(2*Inputs!$C$32^2))+-Inputs!$C$33*EXP(-(((((Model_Data!A118)-Inputs!$C$34)^2)+(((0)-Inputs!$C$35)^2))/(2*Inputs!$C$36^2)))+Inputs!$C$37*(0.55*SIN(2*PI()*(Model_Data!A118)/Inputs!$C$39)+0.35*COS(2*PI()*(0)/Inputs!$C$40)+0.2*SIN(2*PI()*((Model_Data!A118)+(0))/(0.5*(Inputs!$C$39+Inputs!$C$40))))+Inputs!$C$38*SIN(2*PI()*(Model_Data!A118)/Inputs!$C$39)*SIN(2*PI()*(0)/Inputs!$C$40)+-Inputs!$C$41*EXP(-(((0)-Inputs!$C$43)^2)/(2*Inputs!$C$44^2))*EXP(-(((Model_Data!A118)-Inputs!$C$42)^2)/(2*Inputs!$C$45^2))+Inputs!$C$48*(0.70*(0.45*SIN(2*PI()*(((Model_Data!A118)/Inputs!$C$49)+Inputs!$C$47*0.137))+0.35*COS(2*PI()*(((0)/Inputs!$C$50)+Inputs!$C$47*0.173))+0.20*SIN(2*PI()*(((Model_Data!A118)+(0))/(0.5*(Inputs!$C$49+Inputs!$C$50))+Inputs!$C$47*0.097)))+0.30*(2*((SIN(((Model_Data!A118)*12.9898+(0)*78.233+Inputs!$C$47*37.719))*43758.5453)-INT((SIN(((Model_Data!A118)*12.9898+(0)*78.233+Inputs!$C$47*37.719))*43758.5453)))-1)))</x:f>
        <x:v>-59.60727995622125</x:v>
      </x:c>
      <x:c r="H118" s="49"/>
      <x:c r="I118" s="48" t="n">
        <x:f>Model_Data!A118</x:f>
        <x:v>-2</x:v>
      </x:c>
      <x:c r="J118" s="48" t="n">
        <x:f>((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(0.45*SIN(2*PI()*(((Model_Data!A118)/Inputs!$C$49)+Inputs!$C$47*0.137))+0.35*COS(2*PI()*(((Inputs!$C$6)/Inputs!$C$50)+Inputs!$C$47*0.173))+0.20*SIN(2*PI()*(((Model_Data!A118)+(Inputs!$C$6))/(0.5*(Inputs!$C$49+Inputs!$C$50))+Inputs!$C$47*0.097)))+0.30*(2*((SIN(((Model_Data!A118)*12.9898+(Inputs!$C$6)*78.233+Inputs!$C$47*37.719))*43758.5453)-INT((SIN(((Model_Data!A118)*12.9898+(Inputs!$C$6)*78.233+Inputs!$C$47*37.719))*43758.5453)))-1))))-((Inputs!$C$51*(115*EXP(-(((0)-25)^2)/(4.5^2))+70*EXP(-(((0)+38)^2)/(7^2))*(0.55+0.45*SIN(2*PI()*(Model_Data!A118)/45))+24*SIN(2*PI()*(0)/9+(Model_Data!A118)/18)*EXP(-(((0)+5)^2)/(22^2))+18*SIN(2*PI()*(Model_Data!A118)/70))+Inputs!$C$28*EXP(-(((Model_Data!A118)-Inputs!$C$29)^2)/(2*Inputs!$C$31^2))*EXP(-(((0)-Inputs!$C$30)^2)/(2*Inputs!$C$32^2))+-Inputs!$C$33*EXP(-(((((Model_Data!A118)-Inputs!$C$34)^2)+(((0)-Inputs!$C$35)^2))/(2*Inputs!$C$36^2)))+Inputs!$C$37*(0.55*SIN(2*PI()*(Model_Data!A118)/Inputs!$C$39)+0.35*COS(2*PI()*(0)/Inputs!$C$40)+0.2*SIN(2*PI()*((Model_Data!A118)+(0))/(0.5*(Inputs!$C$39+Inputs!$C$40))))+Inputs!$C$38*SIN(2*PI()*(Model_Data!A118)/Inputs!$C$39)*SIN(2*PI()*(0)/Inputs!$C$40)+-Inputs!$C$41*EXP(-(((0)-Inputs!$C$43)^2)/(2*Inputs!$C$44^2))*EXP(-(((Model_Data!A118)-Inputs!$C$42)^2)/(2*Inputs!$C$45^2))+Inputs!$C$48*(0.70*(0.45*SIN(2*PI()*(((Model_Data!A118)/Inputs!$C$49)+Inputs!$C$47*0.137))+0.35*COS(2*PI()*(((0)/Inputs!$C$50)+Inputs!$C$47*0.173))+0.20*SIN(2*PI()*(((Model_Data!A118)+(0))/(0.5*(Inputs!$C$49+Inputs!$C$50))+Inputs!$C$47*0.097)))+0.30*(2*((SIN(((Model_Data!A118)*12.9898+(0)*78.233+Inputs!$C$47*37.719))*43758.5453)-INT((SIN(((Model_Data!A118)*12.9898+(0)*78.233+Inputs!$C$47*37.719))*43758.5453)))-1))))</x:f>
        <x:v>495.5902882233575</x:v>
      </x:c>
      <x:c r="K118" s="48" t="n">
        <x:f>-((((SQRT((Model_Data!A118)^2+Inputs!$C$6^2+((Model_Data!B118)-((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(0.45*SIN(2*PI()*(((Model_Data!A118)/Inputs!$C$49)+Inputs!$C$47*0.137))+0.35*COS(2*PI()*(((Inputs!$C$6)/Inputs!$C$50)+Inputs!$C$47*0.173))+0.20*SIN(2*PI()*(((Model_Data!A118)+(Inputs!$C$6))/(0.5*(Inputs!$C$49+Inputs!$C$50))+Inputs!$C$47*0.097)))+0.30*(2*((SIN(((Model_Data!A118)*12.9898+(Inputs!$C$6)*78.233+Inputs!$C$47*37.719))*43758.5453)-INT((SIN(((Model_Data!A118)*12.9898+(Inputs!$C$6)*78.233+Inputs!$C$47*37.719))*43758.5453)))-1))))/1000)^2))-(((Model_Data!B118)-((Inputs!$C$51*(115*EXP(-(((0)-25)^2)/(4.5^2))+70*EXP(-(((0)+38)^2)/(7^2))*(0.55+0.45*SIN(2*PI()*(Model_Data!A118)/45))+24*SIN(2*PI()*(0)/9+(Model_Data!A118)/18)*EXP(-(((0)+5)^2)/(22^2))+18*SIN(2*PI()*(Model_Data!A118)/70))+Inputs!$C$28*EXP(-(((Model_Data!A118)-Inputs!$C$29)^2)/(2*Inputs!$C$31^2))*EXP(-(((0)-Inputs!$C$30)^2)/(2*Inputs!$C$32^2))+-Inputs!$C$33*EXP(-(((((Model_Data!A118)-Inputs!$C$34)^2)+(((0)-Inputs!$C$35)^2))/(2*Inputs!$C$36^2)))+Inputs!$C$37*(0.55*SIN(2*PI()*(Model_Data!A118)/Inputs!$C$39)+0.35*COS(2*PI()*(0)/Inputs!$C$40)+0.2*SIN(2*PI()*((Model_Data!A118)+(0))/(0.5*(Inputs!$C$39+Inputs!$C$40))))+Inputs!$C$38*SIN(2*PI()*(Model_Data!A118)/Inputs!$C$39)*SIN(2*PI()*(0)/Inputs!$C$40)+-Inputs!$C$41*EXP(-(((0)-Inputs!$C$43)^2)/(2*Inputs!$C$44^2))*EXP(-(((Model_Data!A118)-Inputs!$C$42)^2)/(2*Inputs!$C$45^2))+Inputs!$C$48*(0.70*(0.45*SIN(2*PI()*(((Model_Data!A118)/Inputs!$C$49)+Inputs!$C$47*0.137))+0.35*COS(2*PI()*(((0)/Inputs!$C$50)+Inputs!$C$47*0.173))+0.20*SIN(2*PI()*(((Model_Data!A118)+(0))/(0.5*(Inputs!$C$49+Inputs!$C$50))+Inputs!$C$47*0.097)))+0.30*(2*((SIN(((Model_Data!A118)*12.9898+(0)*78.233+Inputs!$C$47*37.719))*43758.5453)-INT((SIN(((Model_Data!A118)*12.9898+(0)*78.233+Inputs!$C$47*37.719))*43758.5453)))-1))))/1000)))*1000/Inputs!$C$12)-Model_Data!F118)</x:f>
        <x:v>277.9409645991824</x:v>
      </x:c>
      <x:c r="L118" s="49"/>
      <x:c r="M118" s="48" t="n">
        <x:f>Model_Data!A118</x:f>
        <x:v>-2</x:v>
      </x:c>
      <x:c r="N118" s="48" t="n">
        <x:f>Model_Data!P118</x:f>
        <x:v>15.081407566674704</x:v>
      </x:c>
      <x:c r="O118" s="48" t="n">
        <x:f>AC118</x:f>
        <x:v>31.265300358791137</x:v>
      </x:c>
      <x:c r="P118" s="48" t="n">
        <x:f>Model_Data!Q118</x:f>
        <x:v>2.2644756106118176</x:v>
      </x:c>
      <x:c r="Q118" s="48" t="n">
        <x:f>AD118</x:f>
        <x:v>4.694489543362033</x:v>
      </x:c>
      <x:c r="R118" s="49"/>
      <x:c r="S118" s="48" t="n">
        <x:f>Model_Data!A118</x:f>
        <x:v>-2</x:v>
      </x:c>
      <x:c r="T118" s="48" t="n">
        <x:f>Model_Data!B118-Inputs!$C$5</x:f>
        <x:v>0.00444444444445935</x:v>
      </x:c>
      <x:c r="U118" s="49"/>
      <x:c r="V118" s="48" t="n">
        <x:f>Model_Data!A118</x:f>
        <x:v>-2</x:v>
      </x:c>
      <x:c r="W118" s="48" t="n">
        <x:f>(-((((SQRT((Model_Data!A118)^2+Inputs!$C$6^2+((Model_Data!B118)-((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(0.45*SIN(2*PI()*(((Model_Data!A118)/Inputs!$C$49)+Inputs!$C$47*0.137))+0.35*COS(2*PI()*(((Inputs!$C$6)/Inputs!$C$50)+Inputs!$C$47*0.173))+0.20*SIN(2*PI()*(((Model_Data!A118)+(Inputs!$C$6))/(0.5*(Inputs!$C$49+Inputs!$C$50))+Inputs!$C$47*0.097)))+0.30*(2*((SIN(((Model_Data!A118)*12.9898+(Inputs!$C$6)*78.233+Inputs!$C$47*37.719))*43758.5453)-INT((SIN(((Model_Data!A118)*12.9898+(Inputs!$C$6)*78.233+Inputs!$C$47*37.719))*43758.5453)))-1))))/1000)^2))-(((Model_Data!B118)-((Inputs!$C$51*(115*EXP(-(((0)-25)^2)/(4.5^2))+70*EXP(-(((0)+38)^2)/(7^2))*(0.55+0.45*SIN(2*PI()*(Model_Data!A118)/45))+24*SIN(2*PI()*(0)/9+(Model_Data!A118)/18)*EXP(-(((0)+5)^2)/(22^2))+18*SIN(2*PI()*(Model_Data!A118)/70))+Inputs!$C$28*EXP(-(((Model_Data!A118)-Inputs!$C$29)^2)/(2*Inputs!$C$31^2))*EXP(-(((0)-Inputs!$C$30)^2)/(2*Inputs!$C$32^2))+-Inputs!$C$33*EXP(-(((((Model_Data!A118)-Inputs!$C$34)^2)+(((0)-Inputs!$C$35)^2))/(2*Inputs!$C$36^2)))+Inputs!$C$37*(0.55*SIN(2*PI()*(Model_Data!A118)/Inputs!$C$39)+0.35*COS(2*PI()*(0)/Inputs!$C$40)+0.2*SIN(2*PI()*((Model_Data!A118)+(0))/(0.5*(Inputs!$C$39+Inputs!$C$40))))+Inputs!$C$38*SIN(2*PI()*(Model_Data!A118)/Inputs!$C$39)*SIN(2*PI()*(0)/Inputs!$C$40)+-Inputs!$C$41*EXP(-(((0)-Inputs!$C$43)^2)/(2*Inputs!$C$44^2))*EXP(-(((Model_Data!A118)-Inputs!$C$42)^2)/(2*Inputs!$C$45^2))+Inputs!$C$48*(0.70*(0.45*SIN(2*PI()*(((Model_Data!A118)/Inputs!$C$49)+Inputs!$C$47*0.137))+0.35*COS(2*PI()*(((0)/Inputs!$C$50)+Inputs!$C$47*0.173))+0.20*SIN(2*PI()*(((Model_Data!A118)+(0))/(0.5*(Inputs!$C$49+Inputs!$C$50))+Inputs!$C$47*0.097)))+0.30*(2*((SIN(((Model_Data!A118)*12.9898+(0)*78.233+Inputs!$C$47*37.719))*43758.5453)-INT((SIN(((Model_Data!A118)*12.9898+(0)*78.233+Inputs!$C$47*37.719))*43758.5453)))-1))))/1000)))*1000/Inputs!$C$12)-Model_Data!F118))-(-(((SQRT((Model_Data!A118)^2+Inputs!$C$6^2+(Inputs!$C$5-((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(0.45*SIN(2*PI()*(((Model_Data!A118)/Inputs!$C$49)+Inputs!$C$47*0.137))+0.35*COS(2*PI()*(((Inputs!$C$6)/Inputs!$C$50)+Inputs!$C$47*0.173))+0.20*SIN(2*PI()*(((Model_Data!A118)+(Inputs!$C$6))/(0.5*(Inputs!$C$49+Inputs!$C$50))+Inputs!$C$47*0.097)))+0.30*(2*((SIN(((Model_Data!A118)*12.9898+(Inputs!$C$6)*78.233+Inputs!$C$47*37.719))*43758.5453)-INT((SIN(((Model_Data!A118)*12.9898+(Inputs!$C$6)*78.233+Inputs!$C$47*37.719))*43758.5453)))-1))))/1000)^2)-(Inputs!$C$5-((Inputs!$C$51*(115*EXP(-(((0)-25)^2)/(4.5^2))+70*EXP(-(((0)+38)^2)/(7^2))*(0.55+0.45*SIN(2*PI()*(Model_Data!A118)/45))+24*SIN(2*PI()*(0)/9+(Model_Data!A118)/18)*EXP(-(((0)+5)^2)/(22^2))+18*SIN(2*PI()*(Model_Data!A118)/70))+Inputs!$C$28*EXP(-(((Model_Data!A118)-Inputs!$C$29)^2)/(2*Inputs!$C$31^2))*EXP(-(((0)-Inputs!$C$30)^2)/(2*Inputs!$C$32^2))+-Inputs!$C$33*EXP(-(((((Model_Data!A118)-Inputs!$C$34)^2)+(((0)-Inputs!$C$35)^2))/(2*Inputs!$C$36^2)))+Inputs!$C$37*(0.55*SIN(2*PI()*(Model_Data!A118)/Inputs!$C$39)+0.35*COS(2*PI()*(0)/Inputs!$C$40)+0.2*SIN(2*PI()*((Model_Data!A118)+(0))/(0.5*(Inputs!$C$39+Inputs!$C$40))))+Inputs!$C$38*SIN(2*PI()*(Model_Data!A118)/Inputs!$C$39)*SIN(2*PI()*(0)/Inputs!$C$40)+-Inputs!$C$41*EXP(-(((0)-Inputs!$C$43)^2)/(2*Inputs!$C$44^2))*EXP(-(((Model_Data!A118)-Inputs!$C$42)^2)/(2*Inputs!$C$45^2))+Inputs!$C$48*(0.70*(0.45*SIN(2*PI()*(((Model_Data!A118)/Inputs!$C$49)+Inputs!$C$47*0.137))+0.35*COS(2*PI()*(((0)/Inputs!$C$50)+Inputs!$C$47*0.173))+0.20*SIN(2*PI()*(((Model_Data!A118)+(0))/(0.5*(Inputs!$C$49+Inputs!$C$50))+Inputs!$C$47*0.097)))+0.30*(2*((SIN(((Model_Data!A118)*12.9898+(0)*78.233+Inputs!$C$47*37.719))*43758.5453)-INT((SIN(((Model_Data!A118)*12.9898+(0)*78.233+Inputs!$C$47*37.719))*43758.5453)))-1))))/1000))*1000/Inputs!$C$12)-((SQRT((Model_Data!A118)^2+Inputs!$C$6^2+Inputs!$C$5^2)-Inputs!$C$5)*1000/Inputs!$C$12)))</x:f>
        <x:v>0.000010653255003489903</x:v>
      </x:c>
      <x:c r="X118" s="48" t="n">
        <x:f>0</x:f>
        <x:v>0</x:v>
      </x:c>
      <x:c r="Y118" s="49"/>
      <x:c r="Z118" s="48" t="n">
        <x:f>Model_Data!A118</x:f>
        <x:v>-2</x:v>
      </x:c>
      <x:c r="AA118" s="48" t="n">
        <x:f>SQRT((Model_Data!A118)^2+Inputs!$C$6^2+((Model_Data!B118)-((Inputs!$C$51*(115*EXP(-(((Inputs!$C$6)-25)^2)/(4.5^2))+70*EXP(-(((Inputs!$C$6)+38)^2)/(7^2))*(0.55+0.45*SIN(2*PI()*(Model_Data!A118)/45))+24*SIN(2*PI()*(Inputs!$C$6)/9+(Model_Data!A118)/18)*EXP(-(((Inputs!$C$6)+5)^2)/(22^2))+18*SIN(2*PI()*(Model_Data!A118)/70))+Inputs!$C$28*EXP(-(((Model_Data!A118)-Inputs!$C$29)^2)/(2*Inputs!$C$31^2))*EXP(-(((Inputs!$C$6)-Inputs!$C$30)^2)/(2*Inputs!$C$32^2))+-Inputs!$C$33*EXP(-(((((Model_Data!A118)-Inputs!$C$34)^2)+(((Inputs!$C$6)-Inputs!$C$35)^2))/(2*Inputs!$C$36^2)))+Inputs!$C$37*(0.55*SIN(2*PI()*(Model_Data!A118)/Inputs!$C$39)+0.35*COS(2*PI()*(Inputs!$C$6)/Inputs!$C$40)+0.2*SIN(2*PI()*((Model_Data!A118)+(Inputs!$C$6))/(0.5*(Inputs!$C$39+Inputs!$C$40))))+Inputs!$C$38*SIN(2*PI()*(Model_Data!A118)/Inputs!$C$39)*SIN(2*PI()*(Inputs!$C$6)/Inputs!$C$40)+-Inputs!$C$41*EXP(-(((Inputs!$C$6)-Inputs!$C$43)^2)/(2*Inputs!$C$44^2))*EXP(-(((Model_Data!A118)-Inputs!$C$42)^2)/(2*Inputs!$C$45^2))+Inputs!$C$48*(0.70*(0.45*SIN(2*PI()*(((Model_Data!A118)/Inputs!$C$49)+Inputs!$C$47*0.137))+0.35*COS(2*PI()*(((Inputs!$C$6)/Inputs!$C$50)+Inputs!$C$47*0.173))+0.20*SIN(2*PI()*(((Model_Data!A118)+(Inputs!$C$6))/(0.5*(Inputs!$C$49+Inputs!$C$50))+Inputs!$C$47*0.097)))+0.30*(2*((SIN(((Model_Data!A118)*12.9898+(Inputs!$C$6)*78.233+Inputs!$C$47*37.719))*43758.5453)-INT((SIN(((Model_Data!A118)*12.9898+(Inputs!$C$6)*78.233+Inputs!$C$47*37.719))*43758.5453)))-1))))/1000)^2)</x:f>
        <x:v>400.3547868759332</x:v>
      </x:c>
      <x:c r="AB118" s="48" t="n">
        <x:f>1000*(AA119-AA117)/(Z119-Z117)*Inputs!$C$11</x:f>
        <x:v>-78.16325089697784</x:v>
      </x:c>
      <x:c r="AC118" s="48" t="n">
        <x:f>-2*AB118/Inputs!$C$13</x:f>
        <x:v>31.265300358791137</x:v>
      </x:c>
      <x:c r="AD118" s="48" t="n">
        <x:f>-2*AB118/Inputs!$C$14</x:f>
        <x:v>4.694489543362033</x:v>
      </x:c>
    </x:row>
    <x:row r="119">
      <x:c r="A119" s="48" t="n">
        <x:f>Model_Data!A119</x:f>
        <x:v>-1.5</x:v>
      </x:c>
      <x:c r="B119" s="48" t="n">
        <x:f>Model_Data!F119</x:f>
        <x:v>440.0509404961583</x:v>
      </x:c>
      <x:c r="C119" s="48" t="n">
        <x:f>(((SQRT((Model_Data!A119)^2+Inputs!$C$6^2+((Model_Data!B119)-((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(0.45*SIN(2*PI()*(((Model_Data!A119)/Inputs!$C$49)+Inputs!$C$47*0.137))+0.35*COS(2*PI()*(((Inputs!$C$6)/Inputs!$C$50)+Inputs!$C$47*0.173))+0.20*SIN(2*PI()*(((Model_Data!A119)+(Inputs!$C$6))/(0.5*(Inputs!$C$49+Inputs!$C$50))+Inputs!$C$47*0.097)))+0.30*(2*((SIN(((Model_Data!A119)*12.9898+(Inputs!$C$6)*78.233+Inputs!$C$47*37.719))*43758.5453)-INT((SIN(((Model_Data!A119)*12.9898+(Inputs!$C$6)*78.233+Inputs!$C$47*37.719))*43758.5453)))-1))))/1000)^2))-(((Model_Data!B119)-((Inputs!$C$51*(115*EXP(-(((0)-25)^2)/(4.5^2))+70*EXP(-(((0)+38)^2)/(7^2))*(0.55+0.45*SIN(2*PI()*(Model_Data!A119)/45))+24*SIN(2*PI()*(0)/9+(Model_Data!A119)/18)*EXP(-(((0)+5)^2)/(22^2))+18*SIN(2*PI()*(Model_Data!A119)/70))+Inputs!$C$28*EXP(-(((Model_Data!A119)-Inputs!$C$29)^2)/(2*Inputs!$C$31^2))*EXP(-(((0)-Inputs!$C$30)^2)/(2*Inputs!$C$32^2))+-Inputs!$C$33*EXP(-(((((Model_Data!A119)-Inputs!$C$34)^2)+(((0)-Inputs!$C$35)^2))/(2*Inputs!$C$36^2)))+Inputs!$C$37*(0.55*SIN(2*PI()*(Model_Data!A119)/Inputs!$C$39)+0.35*COS(2*PI()*(0)/Inputs!$C$40)+0.2*SIN(2*PI()*((Model_Data!A119)+(0))/(0.5*(Inputs!$C$39+Inputs!$C$40))))+Inputs!$C$38*SIN(2*PI()*(Model_Data!A119)/Inputs!$C$39)*SIN(2*PI()*(0)/Inputs!$C$40)+-Inputs!$C$41*EXP(-(((0)-Inputs!$C$43)^2)/(2*Inputs!$C$44^2))*EXP(-(((Model_Data!A119)-Inputs!$C$42)^2)/(2*Inputs!$C$45^2))+Inputs!$C$48*(0.70*(0.45*SIN(2*PI()*(((Model_Data!A119)/Inputs!$C$49)+Inputs!$C$47*0.137))+0.35*COS(2*PI()*(((0)/Inputs!$C$50)+Inputs!$C$47*0.173))+0.20*SIN(2*PI()*(((Model_Data!A119)+(0))/(0.5*(Inputs!$C$49+Inputs!$C$50))+Inputs!$C$47*0.097)))+0.30*(2*((SIN(((Model_Data!A119)*12.9898+(0)*78.233+Inputs!$C$47*37.719))*43758.5453)-INT((SIN(((Model_Data!A119)*12.9898+(0)*78.233+Inputs!$C$47*37.719))*43758.5453)))-1))))/1000)))*1000/Inputs!$C$12)</x:f>
        <x:v>179.1425681725999</x:v>
      </x:c>
      <x:c r="D119" s="49"/>
      <x:c r="E119" s="48" t="n">
        <x:f>Model_Data!A119</x:f>
        <x:v>-1.5</x:v>
      </x:c>
      <x:c r="F119" s="48" t="n">
        <x:f>(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(0.45*SIN(2*PI()*(((Model_Data!A119)/Inputs!$C$49)+Inputs!$C$47*0.137))+0.35*COS(2*PI()*(((Inputs!$C$6)/Inputs!$C$50)+Inputs!$C$47*0.173))+0.20*SIN(2*PI()*(((Model_Data!A119)+(Inputs!$C$6))/(0.5*(Inputs!$C$49+Inputs!$C$50))+Inputs!$C$47*0.097)))+0.30*(2*((SIN(((Model_Data!A119)*12.9898+(Inputs!$C$6)*78.233+Inputs!$C$47*37.719))*43758.5453)-INT((SIN(((Model_Data!A119)*12.9898+(Inputs!$C$6)*78.233+Inputs!$C$47*37.719))*43758.5453)))-1)))</x:f>
        <x:v>431.10580672292525</x:v>
      </x:c>
      <x:c r="G119" s="48" t="n">
        <x:f>(Inputs!$C$51*(115*EXP(-(((0)-25)^2)/(4.5^2))+70*EXP(-(((0)+38)^2)/(7^2))*(0.55+0.45*SIN(2*PI()*(Model_Data!A119)/45))+24*SIN(2*PI()*(0)/9+(Model_Data!A119)/18)*EXP(-(((0)+5)^2)/(22^2))+18*SIN(2*PI()*(Model_Data!A119)/70))+Inputs!$C$28*EXP(-(((Model_Data!A119)-Inputs!$C$29)^2)/(2*Inputs!$C$31^2))*EXP(-(((0)-Inputs!$C$30)^2)/(2*Inputs!$C$32^2))+-Inputs!$C$33*EXP(-(((((Model_Data!A119)-Inputs!$C$34)^2)+(((0)-Inputs!$C$35)^2))/(2*Inputs!$C$36^2)))+Inputs!$C$37*(0.55*SIN(2*PI()*(Model_Data!A119)/Inputs!$C$39)+0.35*COS(2*PI()*(0)/Inputs!$C$40)+0.2*SIN(2*PI()*((Model_Data!A119)+(0))/(0.5*(Inputs!$C$39+Inputs!$C$40))))+Inputs!$C$38*SIN(2*PI()*(Model_Data!A119)/Inputs!$C$39)*SIN(2*PI()*(0)/Inputs!$C$40)+-Inputs!$C$41*EXP(-(((0)-Inputs!$C$43)^2)/(2*Inputs!$C$44^2))*EXP(-(((Model_Data!A119)-Inputs!$C$42)^2)/(2*Inputs!$C$45^2))+Inputs!$C$48*(0.70*(0.45*SIN(2*PI()*(((Model_Data!A119)/Inputs!$C$49)+Inputs!$C$47*0.137))+0.35*COS(2*PI()*(((0)/Inputs!$C$50)+Inputs!$C$47*0.173))+0.20*SIN(2*PI()*(((Model_Data!A119)+(0))/(0.5*(Inputs!$C$49+Inputs!$C$50))+Inputs!$C$47*0.097)))+0.30*(2*((SIN(((Model_Data!A119)*12.9898+(0)*78.233+Inputs!$C$47*37.719))*43758.5453)-INT((SIN(((Model_Data!A119)*12.9898+(0)*78.233+Inputs!$C$47*37.719))*43758.5453)))-1)))</x:f>
        <x:v>-34.15455011761312</x:v>
      </x:c>
      <x:c r="H119" s="49"/>
      <x:c r="I119" s="48" t="n">
        <x:f>Model_Data!A119</x:f>
        <x:v>-1.5</x:v>
      </x:c>
      <x:c r="J119" s="48" t="n">
        <x:f>((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(0.45*SIN(2*PI()*(((Model_Data!A119)/Inputs!$C$49)+Inputs!$C$47*0.137))+0.35*COS(2*PI()*(((Inputs!$C$6)/Inputs!$C$50)+Inputs!$C$47*0.173))+0.20*SIN(2*PI()*(((Model_Data!A119)+(Inputs!$C$6))/(0.5*(Inputs!$C$49+Inputs!$C$50))+Inputs!$C$47*0.097)))+0.30*(2*((SIN(((Model_Data!A119)*12.9898+(Inputs!$C$6)*78.233+Inputs!$C$47*37.719))*43758.5453)-INT((SIN(((Model_Data!A119)*12.9898+(Inputs!$C$6)*78.233+Inputs!$C$47*37.719))*43758.5453)))-1))))-((Inputs!$C$51*(115*EXP(-(((0)-25)^2)/(4.5^2))+70*EXP(-(((0)+38)^2)/(7^2))*(0.55+0.45*SIN(2*PI()*(Model_Data!A119)/45))+24*SIN(2*PI()*(0)/9+(Model_Data!A119)/18)*EXP(-(((0)+5)^2)/(22^2))+18*SIN(2*PI()*(Model_Data!A119)/70))+Inputs!$C$28*EXP(-(((Model_Data!A119)-Inputs!$C$29)^2)/(2*Inputs!$C$31^2))*EXP(-(((0)-Inputs!$C$30)^2)/(2*Inputs!$C$32^2))+-Inputs!$C$33*EXP(-(((((Model_Data!A119)-Inputs!$C$34)^2)+(((0)-Inputs!$C$35)^2))/(2*Inputs!$C$36^2)))+Inputs!$C$37*(0.55*SIN(2*PI()*(Model_Data!A119)/Inputs!$C$39)+0.35*COS(2*PI()*(0)/Inputs!$C$40)+0.2*SIN(2*PI()*((Model_Data!A119)+(0))/(0.5*(Inputs!$C$39+Inputs!$C$40))))+Inputs!$C$38*SIN(2*PI()*(Model_Data!A119)/Inputs!$C$39)*SIN(2*PI()*(0)/Inputs!$C$40)+-Inputs!$C$41*EXP(-(((0)-Inputs!$C$43)^2)/(2*Inputs!$C$44^2))*EXP(-(((Model_Data!A119)-Inputs!$C$42)^2)/(2*Inputs!$C$45^2))+Inputs!$C$48*(0.70*(0.45*SIN(2*PI()*(((Model_Data!A119)/Inputs!$C$49)+Inputs!$C$47*0.137))+0.35*COS(2*PI()*(((0)/Inputs!$C$50)+Inputs!$C$47*0.173))+0.20*SIN(2*PI()*(((Model_Data!A119)+(0))/(0.5*(Inputs!$C$49+Inputs!$C$50))+Inputs!$C$47*0.097)))+0.30*(2*((SIN(((Model_Data!A119)*12.9898+(0)*78.233+Inputs!$C$47*37.719))*43758.5453)-INT((SIN(((Model_Data!A119)*12.9898+(0)*78.233+Inputs!$C$47*37.719))*43758.5453)))-1))))</x:f>
        <x:v>465.26035684053835</x:v>
      </x:c>
      <x:c r="K119" s="48" t="n">
        <x:f>-((((SQRT((Model_Data!A119)^2+Inputs!$C$6^2+((Model_Data!B119)-((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(0.45*SIN(2*PI()*(((Model_Data!A119)/Inputs!$C$49)+Inputs!$C$47*0.137))+0.35*COS(2*PI()*(((Inputs!$C$6)/Inputs!$C$50)+Inputs!$C$47*0.173))+0.20*SIN(2*PI()*(((Model_Data!A119)+(Inputs!$C$6))/(0.5*(Inputs!$C$49+Inputs!$C$50))+Inputs!$C$47*0.097)))+0.30*(2*((SIN(((Model_Data!A119)*12.9898+(Inputs!$C$6)*78.233+Inputs!$C$47*37.719))*43758.5453)-INT((SIN(((Model_Data!A119)*12.9898+(Inputs!$C$6)*78.233+Inputs!$C$47*37.719))*43758.5453)))-1))))/1000)^2))-(((Model_Data!B119)-((Inputs!$C$51*(115*EXP(-(((0)-25)^2)/(4.5^2))+70*EXP(-(((0)+38)^2)/(7^2))*(0.55+0.45*SIN(2*PI()*(Model_Data!A119)/45))+24*SIN(2*PI()*(0)/9+(Model_Data!A119)/18)*EXP(-(((0)+5)^2)/(22^2))+18*SIN(2*PI()*(Model_Data!A119)/70))+Inputs!$C$28*EXP(-(((Model_Data!A119)-Inputs!$C$29)^2)/(2*Inputs!$C$31^2))*EXP(-(((0)-Inputs!$C$30)^2)/(2*Inputs!$C$32^2))+-Inputs!$C$33*EXP(-(((((Model_Data!A119)-Inputs!$C$34)^2)+(((0)-Inputs!$C$35)^2))/(2*Inputs!$C$36^2)))+Inputs!$C$37*(0.55*SIN(2*PI()*(Model_Data!A119)/Inputs!$C$39)+0.35*COS(2*PI()*(0)/Inputs!$C$40)+0.2*SIN(2*PI()*((Model_Data!A119)+(0))/(0.5*(Inputs!$C$39+Inputs!$C$40))))+Inputs!$C$38*SIN(2*PI()*(Model_Data!A119)/Inputs!$C$39)*SIN(2*PI()*(0)/Inputs!$C$40)+-Inputs!$C$41*EXP(-(((0)-Inputs!$C$43)^2)/(2*Inputs!$C$44^2))*EXP(-(((Model_Data!A119)-Inputs!$C$42)^2)/(2*Inputs!$C$45^2))+Inputs!$C$48*(0.70*(0.45*SIN(2*PI()*(((Model_Data!A119)/Inputs!$C$49)+Inputs!$C$47*0.137))+0.35*COS(2*PI()*(((0)/Inputs!$C$50)+Inputs!$C$47*0.173))+0.20*SIN(2*PI()*(((Model_Data!A119)+(0))/(0.5*(Inputs!$C$49+Inputs!$C$50))+Inputs!$C$47*0.097)))+0.30*(2*((SIN(((Model_Data!A119)*12.9898+(0)*78.233+Inputs!$C$47*37.719))*43758.5453)-INT((SIN(((Model_Data!A119)*12.9898+(0)*78.233+Inputs!$C$47*37.719))*43758.5453)))-1))))/1000)))*1000/Inputs!$C$12)-Model_Data!F119)</x:f>
        <x:v>260.9083723235584</x:v>
      </x:c>
      <x:c r="L119" s="49"/>
      <x:c r="M119" s="48" t="n">
        <x:f>Model_Data!A119</x:f>
        <x:v>-1.5</x:v>
      </x:c>
      <x:c r="N119" s="48" t="n">
        <x:f>Model_Data!P119</x:f>
        <x:v>11.311146183705798</x:v>
      </x:c>
      <x:c r="O119" s="48" t="n">
        <x:f>AC119</x:f>
        <x:v>19.320188167421293</x:v>
      </x:c>
      <x:c r="P119" s="48" t="n">
        <x:f>Model_Data!Q119</x:f>
        <x:v>1.6983702978537236</x:v>
      </x:c>
      <x:c r="Q119" s="48" t="n">
        <x:f>AD119</x:f>
        <x:v>2.9009291542674616</x:v>
      </x:c>
      <x:c r="R119" s="49"/>
      <x:c r="S119" s="48" t="n">
        <x:f>Model_Data!A119</x:f>
        <x:v>-1.5</x:v>
      </x:c>
      <x:c r="T119" s="48" t="n">
        <x:f>Model_Data!B119-Inputs!$C$5</x:f>
        <x:v>0.0024999999999977263</x:v>
      </x:c>
      <x:c r="U119" s="49"/>
      <x:c r="V119" s="48" t="n">
        <x:f>Model_Data!A119</x:f>
        <x:v>-1.5</x:v>
      </x:c>
      <x:c r="W119" s="48" t="n">
        <x:f>(-((((SQRT((Model_Data!A119)^2+Inputs!$C$6^2+((Model_Data!B119)-((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(0.45*SIN(2*PI()*(((Model_Data!A119)/Inputs!$C$49)+Inputs!$C$47*0.137))+0.35*COS(2*PI()*(((Inputs!$C$6)/Inputs!$C$50)+Inputs!$C$47*0.173))+0.20*SIN(2*PI()*(((Model_Data!A119)+(Inputs!$C$6))/(0.5*(Inputs!$C$49+Inputs!$C$50))+Inputs!$C$47*0.097)))+0.30*(2*((SIN(((Model_Data!A119)*12.9898+(Inputs!$C$6)*78.233+Inputs!$C$47*37.719))*43758.5453)-INT((SIN(((Model_Data!A119)*12.9898+(Inputs!$C$6)*78.233+Inputs!$C$47*37.719))*43758.5453)))-1))))/1000)^2))-(((Model_Data!B119)-((Inputs!$C$51*(115*EXP(-(((0)-25)^2)/(4.5^2))+70*EXP(-(((0)+38)^2)/(7^2))*(0.55+0.45*SIN(2*PI()*(Model_Data!A119)/45))+24*SIN(2*PI()*(0)/9+(Model_Data!A119)/18)*EXP(-(((0)+5)^2)/(22^2))+18*SIN(2*PI()*(Model_Data!A119)/70))+Inputs!$C$28*EXP(-(((Model_Data!A119)-Inputs!$C$29)^2)/(2*Inputs!$C$31^2))*EXP(-(((0)-Inputs!$C$30)^2)/(2*Inputs!$C$32^2))+-Inputs!$C$33*EXP(-(((((Model_Data!A119)-Inputs!$C$34)^2)+(((0)-Inputs!$C$35)^2))/(2*Inputs!$C$36^2)))+Inputs!$C$37*(0.55*SIN(2*PI()*(Model_Data!A119)/Inputs!$C$39)+0.35*COS(2*PI()*(0)/Inputs!$C$40)+0.2*SIN(2*PI()*((Model_Data!A119)+(0))/(0.5*(Inputs!$C$39+Inputs!$C$40))))+Inputs!$C$38*SIN(2*PI()*(Model_Data!A119)/Inputs!$C$39)*SIN(2*PI()*(0)/Inputs!$C$40)+-Inputs!$C$41*EXP(-(((0)-Inputs!$C$43)^2)/(2*Inputs!$C$44^2))*EXP(-(((Model_Data!A119)-Inputs!$C$42)^2)/(2*Inputs!$C$45^2))+Inputs!$C$48*(0.70*(0.45*SIN(2*PI()*(((Model_Data!A119)/Inputs!$C$49)+Inputs!$C$47*0.137))+0.35*COS(2*PI()*(((0)/Inputs!$C$50)+Inputs!$C$47*0.173))+0.20*SIN(2*PI()*(((Model_Data!A119)+(0))/(0.5*(Inputs!$C$49+Inputs!$C$50))+Inputs!$C$47*0.097)))+0.30*(2*((SIN(((Model_Data!A119)*12.9898+(0)*78.233+Inputs!$C$47*37.719))*43758.5453)-INT((SIN(((Model_Data!A119)*12.9898+(0)*78.233+Inputs!$C$47*37.719))*43758.5453)))-1))))/1000)))*1000/Inputs!$C$12)-Model_Data!F119))-(-(((SQRT((Model_Data!A119)^2+Inputs!$C$6^2+(Inputs!$C$5-((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(0.45*SIN(2*PI()*(((Model_Data!A119)/Inputs!$C$49)+Inputs!$C$47*0.137))+0.35*COS(2*PI()*(((Inputs!$C$6)/Inputs!$C$50)+Inputs!$C$47*0.173))+0.20*SIN(2*PI()*(((Model_Data!A119)+(Inputs!$C$6))/(0.5*(Inputs!$C$49+Inputs!$C$50))+Inputs!$C$47*0.097)))+0.30*(2*((SIN(((Model_Data!A119)*12.9898+(Inputs!$C$6)*78.233+Inputs!$C$47*37.719))*43758.5453)-INT((SIN(((Model_Data!A119)*12.9898+(Inputs!$C$6)*78.233+Inputs!$C$47*37.719))*43758.5453)))-1))))/1000)^2)-(Inputs!$C$5-((Inputs!$C$51*(115*EXP(-(((0)-25)^2)/(4.5^2))+70*EXP(-(((0)+38)^2)/(7^2))*(0.55+0.45*SIN(2*PI()*(Model_Data!A119)/45))+24*SIN(2*PI()*(0)/9+(Model_Data!A119)/18)*EXP(-(((0)+5)^2)/(22^2))+18*SIN(2*PI()*(Model_Data!A119)/70))+Inputs!$C$28*EXP(-(((Model_Data!A119)-Inputs!$C$29)^2)/(2*Inputs!$C$31^2))*EXP(-(((0)-Inputs!$C$30)^2)/(2*Inputs!$C$32^2))+-Inputs!$C$33*EXP(-(((((Model_Data!A119)-Inputs!$C$34)^2)+(((0)-Inputs!$C$35)^2))/(2*Inputs!$C$36^2)))+Inputs!$C$37*(0.55*SIN(2*PI()*(Model_Data!A119)/Inputs!$C$39)+0.35*COS(2*PI()*(0)/Inputs!$C$40)+0.2*SIN(2*PI()*((Model_Data!A119)+(0))/(0.5*(Inputs!$C$39+Inputs!$C$40))))+Inputs!$C$38*SIN(2*PI()*(Model_Data!A119)/Inputs!$C$39)*SIN(2*PI()*(0)/Inputs!$C$40)+-Inputs!$C$41*EXP(-(((0)-Inputs!$C$43)^2)/(2*Inputs!$C$44^2))*EXP(-(((Model_Data!A119)-Inputs!$C$42)^2)/(2*Inputs!$C$45^2))+Inputs!$C$48*(0.70*(0.45*SIN(2*PI()*(((Model_Data!A119)/Inputs!$C$49)+Inputs!$C$47*0.137))+0.35*COS(2*PI()*(((0)/Inputs!$C$50)+Inputs!$C$47*0.173))+0.20*SIN(2*PI()*(((Model_Data!A119)+(0))/(0.5*(Inputs!$C$49+Inputs!$C$50))+Inputs!$C$47*0.097)))+0.30*(2*((SIN(((Model_Data!A119)*12.9898+(0)*78.233+Inputs!$C$47*37.719))*43758.5453)-INT((SIN(((Model_Data!A119)*12.9898+(0)*78.233+Inputs!$C$47*37.719))*43758.5453)))-1))))/1000))*1000/Inputs!$C$12)-((SQRT((Model_Data!A119)^2+Inputs!$C$6^2+Inputs!$C$5^2)-Inputs!$C$5)*1000/Inputs!$C$12)))</x:f>
        <x:v>0.0000059089692285851925</x:v>
      </x:c>
      <x:c r="X119" s="48" t="n">
        <x:f>0</x:f>
        <x:v>0</x:v>
      </x:c>
      <x:c r="Y119" s="49"/>
      <x:c r="Z119" s="48" t="n">
        <x:f>Model_Data!A119</x:f>
        <x:v>-1.5</x:v>
      </x:c>
      <x:c r="AA119" s="48" t="n">
        <x:f>SQRT((Model_Data!A119)^2+Inputs!$C$6^2+((Model_Data!B119)-((Inputs!$C$51*(115*EXP(-(((Inputs!$C$6)-25)^2)/(4.5^2))+70*EXP(-(((Inputs!$C$6)+38)^2)/(7^2))*(0.55+0.45*SIN(2*PI()*(Model_Data!A119)/45))+24*SIN(2*PI()*(Inputs!$C$6)/9+(Model_Data!A119)/18)*EXP(-(((Inputs!$C$6)+5)^2)/(22^2))+18*SIN(2*PI()*(Model_Data!A119)/70))+Inputs!$C$28*EXP(-(((Model_Data!A119)-Inputs!$C$29)^2)/(2*Inputs!$C$31^2))*EXP(-(((Inputs!$C$6)-Inputs!$C$30)^2)/(2*Inputs!$C$32^2))+-Inputs!$C$33*EXP(-(((((Model_Data!A119)-Inputs!$C$34)^2)+(((Inputs!$C$6)-Inputs!$C$35)^2))/(2*Inputs!$C$36^2)))+Inputs!$C$37*(0.55*SIN(2*PI()*(Model_Data!A119)/Inputs!$C$39)+0.35*COS(2*PI()*(Inputs!$C$6)/Inputs!$C$40)+0.2*SIN(2*PI()*((Model_Data!A119)+(Inputs!$C$6))/(0.5*(Inputs!$C$39+Inputs!$C$40))))+Inputs!$C$38*SIN(2*PI()*(Model_Data!A119)/Inputs!$C$39)*SIN(2*PI()*(Inputs!$C$6)/Inputs!$C$40)+-Inputs!$C$41*EXP(-(((Inputs!$C$6)-Inputs!$C$43)^2)/(2*Inputs!$C$44^2))*EXP(-(((Model_Data!A119)-Inputs!$C$42)^2)/(2*Inputs!$C$45^2))+Inputs!$C$48*(0.70*(0.45*SIN(2*PI()*(((Model_Data!A119)/Inputs!$C$49)+Inputs!$C$47*0.137))+0.35*COS(2*PI()*(((Inputs!$C$6)/Inputs!$C$50)+Inputs!$C$47*0.173))+0.20*SIN(2*PI()*(((Model_Data!A119)+(Inputs!$C$6))/(0.5*(Inputs!$C$49+Inputs!$C$50))+Inputs!$C$47*0.097)))+0.30*(2*((SIN(((Model_Data!A119)*12.9898+(Inputs!$C$6)*78.233+Inputs!$C$47*37.719))*43758.5453)-INT((SIN(((Model_Data!A119)*12.9898+(Inputs!$C$6)*78.233+Inputs!$C$47*37.719))*43758.5453)))-1))))/1000)^2)</x:f>
        <x:v>400.3555283214648</x:v>
      </x:c>
      <x:c r="AB119" s="48" t="n">
        <x:f>1000*(AA120-AA118)/(Z120-Z118)*Inputs!$C$11</x:f>
        <x:v>-48.30047041855323</x:v>
      </x:c>
      <x:c r="AC119" s="48" t="n">
        <x:f>-2*AB119/Inputs!$C$13</x:f>
        <x:v>19.320188167421293</x:v>
      </x:c>
      <x:c r="AD119" s="48" t="n">
        <x:f>-2*AB119/Inputs!$C$14</x:f>
        <x:v>2.9009291542674616</x:v>
      </x:c>
    </x:row>
    <x:row r="120">
      <x:c r="A120" s="48" t="n">
        <x:f>Model_Data!A120</x:f>
        <x:v>-1</x:v>
      </x:c>
      <x:c r="B120" s="48" t="n">
        <x:f>Model_Data!F120</x:f>
        <x:v>439.1763727913863</x:v>
      </x:c>
      <x:c r="C120" s="48" t="n">
        <x:f>(((SQRT((Model_Data!A120)^2+Inputs!$C$6^2+((Model_Data!B120)-((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(0.45*SIN(2*PI()*(((Model_Data!A120)/Inputs!$C$49)+Inputs!$C$47*0.137))+0.35*COS(2*PI()*(((Inputs!$C$6)/Inputs!$C$50)+Inputs!$C$47*0.173))+0.20*SIN(2*PI()*(((Model_Data!A120)+(Inputs!$C$6))/(0.5*(Inputs!$C$49+Inputs!$C$50))+Inputs!$C$47*0.097)))+0.30*(2*((SIN(((Model_Data!A120)*12.9898+(Inputs!$C$6)*78.233+Inputs!$C$47*37.719))*43758.5453)-INT((SIN(((Model_Data!A120)*12.9898+(Inputs!$C$6)*78.233+Inputs!$C$47*37.719))*43758.5453)))-1))))/1000)^2))-(((Model_Data!B120)-((Inputs!$C$51*(115*EXP(-(((0)-25)^2)/(4.5^2))+70*EXP(-(((0)+38)^2)/(7^2))*(0.55+0.45*SIN(2*PI()*(Model_Data!A120)/45))+24*SIN(2*PI()*(0)/9+(Model_Data!A120)/18)*EXP(-(((0)+5)^2)/(22^2))+18*SIN(2*PI()*(Model_Data!A120)/70))+Inputs!$C$28*EXP(-(((Model_Data!A120)-Inputs!$C$29)^2)/(2*Inputs!$C$31^2))*EXP(-(((0)-Inputs!$C$30)^2)/(2*Inputs!$C$32^2))+-Inputs!$C$33*EXP(-(((((Model_Data!A120)-Inputs!$C$34)^2)+(((0)-Inputs!$C$35)^2))/(2*Inputs!$C$36^2)))+Inputs!$C$37*(0.55*SIN(2*PI()*(Model_Data!A120)/Inputs!$C$39)+0.35*COS(2*PI()*(0)/Inputs!$C$40)+0.2*SIN(2*PI()*((Model_Data!A120)+(0))/(0.5*(Inputs!$C$39+Inputs!$C$40))))+Inputs!$C$38*SIN(2*PI()*(Model_Data!A120)/Inputs!$C$39)*SIN(2*PI()*(0)/Inputs!$C$40)+-Inputs!$C$41*EXP(-(((0)-Inputs!$C$43)^2)/(2*Inputs!$C$44^2))*EXP(-(((Model_Data!A120)-Inputs!$C$42)^2)/(2*Inputs!$C$45^2))+Inputs!$C$48*(0.70*(0.45*SIN(2*PI()*(((Model_Data!A120)/Inputs!$C$49)+Inputs!$C$47*0.137))+0.35*COS(2*PI()*(((0)/Inputs!$C$50)+Inputs!$C$47*0.173))+0.20*SIN(2*PI()*(((Model_Data!A120)+(0))/(0.5*(Inputs!$C$49+Inputs!$C$50))+Inputs!$C$47*0.097)))+0.30*(2*((SIN(((Model_Data!A120)*12.9898+(0)*78.233+Inputs!$C$47*37.719))*43758.5453)-INT((SIN(((Model_Data!A120)*12.9898+(0)*78.233+Inputs!$C$47*37.719))*43758.5453)))-1))))/1000)))*1000/Inputs!$C$12)</x:f>
        <x:v>170.41283951091066</x:v>
      </x:c>
      <x:c r="D120" s="49"/>
      <x:c r="E120" s="48" t="n">
        <x:f>Model_Data!A120</x:f>
        <x:v>-1</x:v>
      </x:c>
      <x:c r="F120" s="48" t="n">
        <x:f>(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(0.45*SIN(2*PI()*(((Model_Data!A120)/Inputs!$C$49)+Inputs!$C$47*0.137))+0.35*COS(2*PI()*(((Inputs!$C$6)/Inputs!$C$50)+Inputs!$C$47*0.173))+0.20*SIN(2*PI()*(((Model_Data!A120)+(Inputs!$C$6))/(0.5*(Inputs!$C$49+Inputs!$C$50))+Inputs!$C$47*0.097)))+0.30*(2*((SIN(((Model_Data!A120)*12.9898+(Inputs!$C$6)*78.233+Inputs!$C$47*37.719))*43758.5453)-INT((SIN(((Model_Data!A120)*12.9898+(Inputs!$C$6)*78.233+Inputs!$C$47*37.719))*43758.5453)))-1)))</x:f>
        <x:v>440.9944102420088</x:v>
      </x:c>
      <x:c r="G120" s="48" t="n">
        <x:f>(Inputs!$C$51*(115*EXP(-(((0)-25)^2)/(4.5^2))+70*EXP(-(((0)+38)^2)/(7^2))*(0.55+0.45*SIN(2*PI()*(Model_Data!A120)/45))+24*SIN(2*PI()*(0)/9+(Model_Data!A120)/18)*EXP(-(((0)+5)^2)/(22^2))+18*SIN(2*PI()*(Model_Data!A120)/70))+Inputs!$C$28*EXP(-(((Model_Data!A120)-Inputs!$C$29)^2)/(2*Inputs!$C$31^2))*EXP(-(((0)-Inputs!$C$30)^2)/(2*Inputs!$C$32^2))+-Inputs!$C$33*EXP(-(((((Model_Data!A120)-Inputs!$C$34)^2)+(((0)-Inputs!$C$35)^2))/(2*Inputs!$C$36^2)))+Inputs!$C$37*(0.55*SIN(2*PI()*(Model_Data!A120)/Inputs!$C$39)+0.35*COS(2*PI()*(0)/Inputs!$C$40)+0.2*SIN(2*PI()*((Model_Data!A120)+(0))/(0.5*(Inputs!$C$39+Inputs!$C$40))))+Inputs!$C$38*SIN(2*PI()*(Model_Data!A120)/Inputs!$C$39)*SIN(2*PI()*(0)/Inputs!$C$40)+-Inputs!$C$41*EXP(-(((0)-Inputs!$C$43)^2)/(2*Inputs!$C$44^2))*EXP(-(((Model_Data!A120)-Inputs!$C$42)^2)/(2*Inputs!$C$45^2))+Inputs!$C$48*(0.70*(0.45*SIN(2*PI()*(((Model_Data!A120)/Inputs!$C$49)+Inputs!$C$47*0.137))+0.35*COS(2*PI()*(((0)/Inputs!$C$50)+Inputs!$C$47*0.173))+0.20*SIN(2*PI()*(((Model_Data!A120)+(0))/(0.5*(Inputs!$C$49+Inputs!$C$50))+Inputs!$C$47*0.097)))+0.30*(2*((SIN(((Model_Data!A120)*12.9898+(0)*78.233+Inputs!$C$47*37.719))*43758.5453)-INT((SIN(((Model_Data!A120)*12.9898+(0)*78.233+Inputs!$C$47*37.719))*43758.5453)))-1)))</x:f>
        <x:v>-38.26579288799343</x:v>
      </x:c>
      <x:c r="H120" s="49"/>
      <x:c r="I120" s="48" t="n">
        <x:f>Model_Data!A120</x:f>
        <x:v>-1</x:v>
      </x:c>
      <x:c r="J120" s="48" t="n">
        <x:f>((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(0.45*SIN(2*PI()*(((Model_Data!A120)/Inputs!$C$49)+Inputs!$C$47*0.137))+0.35*COS(2*PI()*(((Inputs!$C$6)/Inputs!$C$50)+Inputs!$C$47*0.173))+0.20*SIN(2*PI()*(((Model_Data!A120)+(Inputs!$C$6))/(0.5*(Inputs!$C$49+Inputs!$C$50))+Inputs!$C$47*0.097)))+0.30*(2*((SIN(((Model_Data!A120)*12.9898+(Inputs!$C$6)*78.233+Inputs!$C$47*37.719))*43758.5453)-INT((SIN(((Model_Data!A120)*12.9898+(Inputs!$C$6)*78.233+Inputs!$C$47*37.719))*43758.5453)))-1))))-((Inputs!$C$51*(115*EXP(-(((0)-25)^2)/(4.5^2))+70*EXP(-(((0)+38)^2)/(7^2))*(0.55+0.45*SIN(2*PI()*(Model_Data!A120)/45))+24*SIN(2*PI()*(0)/9+(Model_Data!A120)/18)*EXP(-(((0)+5)^2)/(22^2))+18*SIN(2*PI()*(Model_Data!A120)/70))+Inputs!$C$28*EXP(-(((Model_Data!A120)-Inputs!$C$29)^2)/(2*Inputs!$C$31^2))*EXP(-(((0)-Inputs!$C$30)^2)/(2*Inputs!$C$32^2))+-Inputs!$C$33*EXP(-(((((Model_Data!A120)-Inputs!$C$34)^2)+(((0)-Inputs!$C$35)^2))/(2*Inputs!$C$36^2)))+Inputs!$C$37*(0.55*SIN(2*PI()*(Model_Data!A120)/Inputs!$C$39)+0.35*COS(2*PI()*(0)/Inputs!$C$40)+0.2*SIN(2*PI()*((Model_Data!A120)+(0))/(0.5*(Inputs!$C$39+Inputs!$C$40))))+Inputs!$C$38*SIN(2*PI()*(Model_Data!A120)/Inputs!$C$39)*SIN(2*PI()*(0)/Inputs!$C$40)+-Inputs!$C$41*EXP(-(((0)-Inputs!$C$43)^2)/(2*Inputs!$C$44^2))*EXP(-(((Model_Data!A120)-Inputs!$C$42)^2)/(2*Inputs!$C$45^2))+Inputs!$C$48*(0.70*(0.45*SIN(2*PI()*(((Model_Data!A120)/Inputs!$C$49)+Inputs!$C$47*0.137))+0.35*COS(2*PI()*(((0)/Inputs!$C$50)+Inputs!$C$47*0.173))+0.20*SIN(2*PI()*(((Model_Data!A120)+(0))/(0.5*(Inputs!$C$49+Inputs!$C$50))+Inputs!$C$47*0.097)))+0.30*(2*((SIN(((Model_Data!A120)*12.9898+(0)*78.233+Inputs!$C$47*37.719))*43758.5453)-INT((SIN(((Model_Data!A120)*12.9898+(0)*78.233+Inputs!$C$47*37.719))*43758.5453)))-1))))</x:f>
        <x:v>479.26020313000225</x:v>
      </x:c>
      <x:c r="K120" s="48" t="n">
        <x:f>-((((SQRT((Model_Data!A120)^2+Inputs!$C$6^2+((Model_Data!B120)-((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(0.45*SIN(2*PI()*(((Model_Data!A120)/Inputs!$C$49)+Inputs!$C$47*0.137))+0.35*COS(2*PI()*(((Inputs!$C$6)/Inputs!$C$50)+Inputs!$C$47*0.173))+0.20*SIN(2*PI()*(((Model_Data!A120)+(Inputs!$C$6))/(0.5*(Inputs!$C$49+Inputs!$C$50))+Inputs!$C$47*0.097)))+0.30*(2*((SIN(((Model_Data!A120)*12.9898+(Inputs!$C$6)*78.233+Inputs!$C$47*37.719))*43758.5453)-INT((SIN(((Model_Data!A120)*12.9898+(Inputs!$C$6)*78.233+Inputs!$C$47*37.719))*43758.5453)))-1))))/1000)^2))-(((Model_Data!B120)-((Inputs!$C$51*(115*EXP(-(((0)-25)^2)/(4.5^2))+70*EXP(-(((0)+38)^2)/(7^2))*(0.55+0.45*SIN(2*PI()*(Model_Data!A120)/45))+24*SIN(2*PI()*(0)/9+(Model_Data!A120)/18)*EXP(-(((0)+5)^2)/(22^2))+18*SIN(2*PI()*(Model_Data!A120)/70))+Inputs!$C$28*EXP(-(((Model_Data!A120)-Inputs!$C$29)^2)/(2*Inputs!$C$31^2))*EXP(-(((0)-Inputs!$C$30)^2)/(2*Inputs!$C$32^2))+-Inputs!$C$33*EXP(-(((((Model_Data!A120)-Inputs!$C$34)^2)+(((0)-Inputs!$C$35)^2))/(2*Inputs!$C$36^2)))+Inputs!$C$37*(0.55*SIN(2*PI()*(Model_Data!A120)/Inputs!$C$39)+0.35*COS(2*PI()*(0)/Inputs!$C$40)+0.2*SIN(2*PI()*((Model_Data!A120)+(0))/(0.5*(Inputs!$C$39+Inputs!$C$40))))+Inputs!$C$38*SIN(2*PI()*(Model_Data!A120)/Inputs!$C$39)*SIN(2*PI()*(0)/Inputs!$C$40)+-Inputs!$C$41*EXP(-(((0)-Inputs!$C$43)^2)/(2*Inputs!$C$44^2))*EXP(-(((Model_Data!A120)-Inputs!$C$42)^2)/(2*Inputs!$C$45^2))+Inputs!$C$48*(0.70*(0.45*SIN(2*PI()*(((Model_Data!A120)/Inputs!$C$49)+Inputs!$C$47*0.137))+0.35*COS(2*PI()*(((0)/Inputs!$C$50)+Inputs!$C$47*0.173))+0.20*SIN(2*PI()*(((Model_Data!A120)+(0))/(0.5*(Inputs!$C$49+Inputs!$C$50))+Inputs!$C$47*0.097)))+0.30*(2*((SIN(((Model_Data!A120)*12.9898+(0)*78.233+Inputs!$C$47*37.719))*43758.5453)-INT((SIN(((Model_Data!A120)*12.9898+(0)*78.233+Inputs!$C$47*37.719))*43758.5453)))-1))))/1000)))*1000/Inputs!$C$12)-Model_Data!F120)</x:f>
        <x:v>268.76353328047566</x:v>
      </x:c>
      <x:c r="L120" s="49"/>
      <x:c r="M120" s="48" t="n">
        <x:f>Model_Data!A120</x:f>
        <x:v>-1</x:v>
      </x:c>
      <x:c r="N120" s="48" t="n">
        <x:f>Model_Data!P120</x:f>
        <x:v>7.540807222991734</x:v>
      </x:c>
      <x:c r="O120" s="48" t="n">
        <x:f>AC120</x:f>
        <x:v>76.41350647127183</x:v>
      </x:c>
      <x:c r="P120" s="48" t="n">
        <x:f>Model_Data!Q120</x:f>
        <x:v>1.1322533367855456</x:v>
      </x:c>
      <x:c r="Q120" s="48" t="n">
        <x:f>AD120</x:f>
        <x:v>11.473499470160936</x:v>
      </x:c>
      <x:c r="R120" s="49"/>
      <x:c r="S120" s="48" t="n">
        <x:f>Model_Data!A120</x:f>
        <x:v>-1</x:v>
      </x:c>
      <x:c r="T120" s="48" t="n">
        <x:f>Model_Data!B120-Inputs!$C$5</x:f>
        <x:v>0.0011111111111290484</x:v>
      </x:c>
      <x:c r="U120" s="49"/>
      <x:c r="V120" s="48" t="n">
        <x:f>Model_Data!A120</x:f>
        <x:v>-1</x:v>
      </x:c>
      <x:c r="W120" s="48" t="n">
        <x:f>(-((((SQRT((Model_Data!A120)^2+Inputs!$C$6^2+((Model_Data!B120)-((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(0.45*SIN(2*PI()*(((Model_Data!A120)/Inputs!$C$49)+Inputs!$C$47*0.137))+0.35*COS(2*PI()*(((Inputs!$C$6)/Inputs!$C$50)+Inputs!$C$47*0.173))+0.20*SIN(2*PI()*(((Model_Data!A120)+(Inputs!$C$6))/(0.5*(Inputs!$C$49+Inputs!$C$50))+Inputs!$C$47*0.097)))+0.30*(2*((SIN(((Model_Data!A120)*12.9898+(Inputs!$C$6)*78.233+Inputs!$C$47*37.719))*43758.5453)-INT((SIN(((Model_Data!A120)*12.9898+(Inputs!$C$6)*78.233+Inputs!$C$47*37.719))*43758.5453)))-1))))/1000)^2))-(((Model_Data!B120)-((Inputs!$C$51*(115*EXP(-(((0)-25)^2)/(4.5^2))+70*EXP(-(((0)+38)^2)/(7^2))*(0.55+0.45*SIN(2*PI()*(Model_Data!A120)/45))+24*SIN(2*PI()*(0)/9+(Model_Data!A120)/18)*EXP(-(((0)+5)^2)/(22^2))+18*SIN(2*PI()*(Model_Data!A120)/70))+Inputs!$C$28*EXP(-(((Model_Data!A120)-Inputs!$C$29)^2)/(2*Inputs!$C$31^2))*EXP(-(((0)-Inputs!$C$30)^2)/(2*Inputs!$C$32^2))+-Inputs!$C$33*EXP(-(((((Model_Data!A120)-Inputs!$C$34)^2)+(((0)-Inputs!$C$35)^2))/(2*Inputs!$C$36^2)))+Inputs!$C$37*(0.55*SIN(2*PI()*(Model_Data!A120)/Inputs!$C$39)+0.35*COS(2*PI()*(0)/Inputs!$C$40)+0.2*SIN(2*PI()*((Model_Data!A120)+(0))/(0.5*(Inputs!$C$39+Inputs!$C$40))))+Inputs!$C$38*SIN(2*PI()*(Model_Data!A120)/Inputs!$C$39)*SIN(2*PI()*(0)/Inputs!$C$40)+-Inputs!$C$41*EXP(-(((0)-Inputs!$C$43)^2)/(2*Inputs!$C$44^2))*EXP(-(((Model_Data!A120)-Inputs!$C$42)^2)/(2*Inputs!$C$45^2))+Inputs!$C$48*(0.70*(0.45*SIN(2*PI()*(((Model_Data!A120)/Inputs!$C$49)+Inputs!$C$47*0.137))+0.35*COS(2*PI()*(((0)/Inputs!$C$50)+Inputs!$C$47*0.173))+0.20*SIN(2*PI()*(((Model_Data!A120)+(0))/(0.5*(Inputs!$C$49+Inputs!$C$50))+Inputs!$C$47*0.097)))+0.30*(2*((SIN(((Model_Data!A120)*12.9898+(0)*78.233+Inputs!$C$47*37.719))*43758.5453)-INT((SIN(((Model_Data!A120)*12.9898+(0)*78.233+Inputs!$C$47*37.719))*43758.5453)))-1))))/1000)))*1000/Inputs!$C$12)-Model_Data!F120))-(-(((SQRT((Model_Data!A120)^2+Inputs!$C$6^2+(Inputs!$C$5-((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(0.45*SIN(2*PI()*(((Model_Data!A120)/Inputs!$C$49)+Inputs!$C$47*0.137))+0.35*COS(2*PI()*(((Inputs!$C$6)/Inputs!$C$50)+Inputs!$C$47*0.173))+0.20*SIN(2*PI()*(((Model_Data!A120)+(Inputs!$C$6))/(0.5*(Inputs!$C$49+Inputs!$C$50))+Inputs!$C$47*0.097)))+0.30*(2*((SIN(((Model_Data!A120)*12.9898+(Inputs!$C$6)*78.233+Inputs!$C$47*37.719))*43758.5453)-INT((SIN(((Model_Data!A120)*12.9898+(Inputs!$C$6)*78.233+Inputs!$C$47*37.719))*43758.5453)))-1))))/1000)^2)-(Inputs!$C$5-((Inputs!$C$51*(115*EXP(-(((0)-25)^2)/(4.5^2))+70*EXP(-(((0)+38)^2)/(7^2))*(0.55+0.45*SIN(2*PI()*(Model_Data!A120)/45))+24*SIN(2*PI()*(0)/9+(Model_Data!A120)/18)*EXP(-(((0)+5)^2)/(22^2))+18*SIN(2*PI()*(Model_Data!A120)/70))+Inputs!$C$28*EXP(-(((Model_Data!A120)-Inputs!$C$29)^2)/(2*Inputs!$C$31^2))*EXP(-(((0)-Inputs!$C$30)^2)/(2*Inputs!$C$32^2))+-Inputs!$C$33*EXP(-(((((Model_Data!A120)-Inputs!$C$34)^2)+(((0)-Inputs!$C$35)^2))/(2*Inputs!$C$36^2)))+Inputs!$C$37*(0.55*SIN(2*PI()*(Model_Data!A120)/Inputs!$C$39)+0.35*COS(2*PI()*(0)/Inputs!$C$40)+0.2*SIN(2*PI()*((Model_Data!A120)+(0))/(0.5*(Inputs!$C$39+Inputs!$C$40))))+Inputs!$C$38*SIN(2*PI()*(Model_Data!A120)/Inputs!$C$39)*SIN(2*PI()*(0)/Inputs!$C$40)+-Inputs!$C$41*EXP(-(((0)-Inputs!$C$43)^2)/(2*Inputs!$C$44^2))*EXP(-(((Model_Data!A120)-Inputs!$C$42)^2)/(2*Inputs!$C$45^2))+Inputs!$C$48*(0.70*(0.45*SIN(2*PI()*(((Model_Data!A120)/Inputs!$C$49)+Inputs!$C$47*0.137))+0.35*COS(2*PI()*(((0)/Inputs!$C$50)+Inputs!$C$47*0.173))+0.20*SIN(2*PI()*(((Model_Data!A120)+(0))/(0.5*(Inputs!$C$49+Inputs!$C$50))+Inputs!$C$47*0.097)))+0.30*(2*((SIN(((Model_Data!A120)*12.9898+(0)*78.233+Inputs!$C$47*37.719))*43758.5453)-INT((SIN(((Model_Data!A120)*12.9898+(0)*78.233+Inputs!$C$47*37.719))*43758.5453)))-1))))/1000))*1000/Inputs!$C$12)-((SQRT((Model_Data!A120)^2+Inputs!$C$6^2+Inputs!$C$5^2)-Inputs!$C$5)*1000/Inputs!$C$12)))</x:f>
        <x:v>0.000002681252965430758</x:v>
      </x:c>
      <x:c r="X120" s="48" t="n">
        <x:f>0</x:f>
        <x:v>0</x:v>
      </x:c>
      <x:c r="Y120" s="49"/>
      <x:c r="Z120" s="48" t="n">
        <x:f>Model_Data!A120</x:f>
        <x:v>-1</x:v>
      </x:c>
      <x:c r="AA120" s="48" t="n">
        <x:f>SQRT((Model_Data!A120)^2+Inputs!$C$6^2+((Model_Data!B120)-((Inputs!$C$51*(115*EXP(-(((Inputs!$C$6)-25)^2)/(4.5^2))+70*EXP(-(((Inputs!$C$6)+38)^2)/(7^2))*(0.55+0.45*SIN(2*PI()*(Model_Data!A120)/45))+24*SIN(2*PI()*(Inputs!$C$6)/9+(Model_Data!A120)/18)*EXP(-(((Inputs!$C$6)+5)^2)/(22^2))+18*SIN(2*PI()*(Model_Data!A120)/70))+Inputs!$C$28*EXP(-(((Model_Data!A120)-Inputs!$C$29)^2)/(2*Inputs!$C$31^2))*EXP(-(((Inputs!$C$6)-Inputs!$C$30)^2)/(2*Inputs!$C$32^2))+-Inputs!$C$33*EXP(-(((((Model_Data!A120)-Inputs!$C$34)^2)+(((Inputs!$C$6)-Inputs!$C$35)^2))/(2*Inputs!$C$36^2)))+Inputs!$C$37*(0.55*SIN(2*PI()*(Model_Data!A120)/Inputs!$C$39)+0.35*COS(2*PI()*(Inputs!$C$6)/Inputs!$C$40)+0.2*SIN(2*PI()*((Model_Data!A120)+(Inputs!$C$6))/(0.5*(Inputs!$C$39+Inputs!$C$40))))+Inputs!$C$38*SIN(2*PI()*(Model_Data!A120)/Inputs!$C$39)*SIN(2*PI()*(Inputs!$C$6)/Inputs!$C$40)+-Inputs!$C$41*EXP(-(((Inputs!$C$6)-Inputs!$C$43)^2)/(2*Inputs!$C$44^2))*EXP(-(((Model_Data!A120)-Inputs!$C$42)^2)/(2*Inputs!$C$45^2))+Inputs!$C$48*(0.70*(0.45*SIN(2*PI()*(((Model_Data!A120)/Inputs!$C$49)+Inputs!$C$47*0.137))+0.35*COS(2*PI()*(((Inputs!$C$6)/Inputs!$C$50)+Inputs!$C$47*0.173))+0.20*SIN(2*PI()*(((Model_Data!A120)+(Inputs!$C$6))/(0.5*(Inputs!$C$49+Inputs!$C$50))+Inputs!$C$47*0.097)))+0.30*(2*((SIN(((Model_Data!A120)*12.9898+(Inputs!$C$6)*78.233+Inputs!$C$47*37.719))*43758.5453)-INT((SIN(((Model_Data!A120)*12.9898+(Inputs!$C$6)*78.233+Inputs!$C$47*37.719))*43758.5453)))-1))))/1000)^2)</x:f>
        <x:v>400.34271175832856</x:v>
      </x:c>
      <x:c r="AB120" s="48" t="n">
        <x:f>1000*(AA121-AA119)/(Z121-Z119)*Inputs!$C$11</x:f>
        <x:v>-191.03376617817958</x:v>
      </x:c>
      <x:c r="AC120" s="48" t="n">
        <x:f>-2*AB120/Inputs!$C$13</x:f>
        <x:v>76.41350647127183</x:v>
      </x:c>
      <x:c r="AD120" s="48" t="n">
        <x:f>-2*AB120/Inputs!$C$14</x:f>
        <x:v>11.473499470160936</x:v>
      </x:c>
    </x:row>
    <x:row r="121">
      <x:c r="A121" s="48" t="n">
        <x:f>Model_Data!A121</x:f>
        <x:v>-0.5</x:v>
      </x:c>
      <x:c r="B121" s="48" t="n">
        <x:f>Model_Data!F121</x:f>
        <x:v>438.65162762840095</x:v>
      </x:c>
      <x:c r="C121" s="48" t="n">
        <x:f>(((SQRT((Model_Data!A121)^2+Inputs!$C$6^2+((Model_Data!B121)-((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(0.45*SIN(2*PI()*(((Model_Data!A121)/Inputs!$C$49)+Inputs!$C$47*0.137))+0.35*COS(2*PI()*(((Inputs!$C$6)/Inputs!$C$50)+Inputs!$C$47*0.173))+0.20*SIN(2*PI()*(((Model_Data!A121)+(Inputs!$C$6))/(0.5*(Inputs!$C$49+Inputs!$C$50))+Inputs!$C$47*0.097)))+0.30*(2*((SIN(((Model_Data!A121)*12.9898+(Inputs!$C$6)*78.233+Inputs!$C$47*37.719))*43758.5453)-INT((SIN(((Model_Data!A121)*12.9898+(Inputs!$C$6)*78.233+Inputs!$C$47*37.719))*43758.5453)))-1))))/1000)^2))-(((Model_Data!B121)-((Inputs!$C$51*(115*EXP(-(((0)-25)^2)/(4.5^2))+70*EXP(-(((0)+38)^2)/(7^2))*(0.55+0.45*SIN(2*PI()*(Model_Data!A121)/45))+24*SIN(2*PI()*(0)/9+(Model_Data!A121)/18)*EXP(-(((0)+5)^2)/(22^2))+18*SIN(2*PI()*(Model_Data!A121)/70))+Inputs!$C$28*EXP(-(((Model_Data!A121)-Inputs!$C$29)^2)/(2*Inputs!$C$31^2))*EXP(-(((0)-Inputs!$C$30)^2)/(2*Inputs!$C$32^2))+-Inputs!$C$33*EXP(-(((((Model_Data!A121)-Inputs!$C$34)^2)+(((0)-Inputs!$C$35)^2))/(2*Inputs!$C$36^2)))+Inputs!$C$37*(0.55*SIN(2*PI()*(Model_Data!A121)/Inputs!$C$39)+0.35*COS(2*PI()*(0)/Inputs!$C$40)+0.2*SIN(2*PI()*((Model_Data!A121)+(0))/(0.5*(Inputs!$C$39+Inputs!$C$40))))+Inputs!$C$38*SIN(2*PI()*(Model_Data!A121)/Inputs!$C$39)*SIN(2*PI()*(0)/Inputs!$C$40)+-Inputs!$C$41*EXP(-(((0)-Inputs!$C$43)^2)/(2*Inputs!$C$44^2))*EXP(-(((Model_Data!A121)-Inputs!$C$42)^2)/(2*Inputs!$C$45^2))+Inputs!$C$48*(0.70*(0.45*SIN(2*PI()*(((Model_Data!A121)/Inputs!$C$49)+Inputs!$C$47*0.137))+0.35*COS(2*PI()*(((0)/Inputs!$C$50)+Inputs!$C$47*0.173))+0.20*SIN(2*PI()*(((Model_Data!A121)+(0))/(0.5*(Inputs!$C$49+Inputs!$C$50))+Inputs!$C$47*0.097)))+0.30*(2*((SIN(((Model_Data!A121)*12.9898+(0)*78.233+Inputs!$C$47*37.719))*43758.5453)-INT((SIN(((Model_Data!A121)*12.9898+(0)*78.233+Inputs!$C$47*37.719))*43758.5453)))-1))))/1000)))*1000/Inputs!$C$12)</x:f>
        <x:v>163.78779435225613</x:v>
      </x:c>
      <x:c r="D121" s="49"/>
      <x:c r="E121" s="48" t="n">
        <x:f>Model_Data!A121</x:f>
        <x:v>-0.5</x:v>
      </x:c>
      <x:c r="F121" s="48" t="n">
        <x:f>(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(0.45*SIN(2*PI()*(((Model_Data!A121)/Inputs!$C$49)+Inputs!$C$47*0.137))+0.35*COS(2*PI()*(((Inputs!$C$6)/Inputs!$C$50)+Inputs!$C$47*0.173))+0.20*SIN(2*PI()*(((Model_Data!A121)+(Inputs!$C$6))/(0.5*(Inputs!$C$49+Inputs!$C$50))+Inputs!$C$47*0.097)))+0.30*(2*((SIN(((Model_Data!A121)*12.9898+(Inputs!$C$6)*78.233+Inputs!$C$47*37.719))*43758.5453)-INT((SIN(((Model_Data!A121)*12.9898+(Inputs!$C$6)*78.233+Inputs!$C$47*37.719))*43758.5453)))-1)))</x:f>
        <x:v>474.23278667183286</x:v>
      </x:c>
      <x:c r="G121" s="48" t="n">
        <x:f>(Inputs!$C$51*(115*EXP(-(((0)-25)^2)/(4.5^2))+70*EXP(-(((0)+38)^2)/(7^2))*(0.55+0.45*SIN(2*PI()*(Model_Data!A121)/45))+24*SIN(2*PI()*(0)/9+(Model_Data!A121)/18)*EXP(-(((0)+5)^2)/(22^2))+18*SIN(2*PI()*(Model_Data!A121)/70))+Inputs!$C$28*EXP(-(((Model_Data!A121)-Inputs!$C$29)^2)/(2*Inputs!$C$31^2))*EXP(-(((0)-Inputs!$C$30)^2)/(2*Inputs!$C$32^2))+-Inputs!$C$33*EXP(-(((((Model_Data!A121)-Inputs!$C$34)^2)+(((0)-Inputs!$C$35)^2))/(2*Inputs!$C$36^2)))+Inputs!$C$37*(0.55*SIN(2*PI()*(Model_Data!A121)/Inputs!$C$39)+0.35*COS(2*PI()*(0)/Inputs!$C$40)+0.2*SIN(2*PI()*((Model_Data!A121)+(0))/(0.5*(Inputs!$C$39+Inputs!$C$40))))+Inputs!$C$38*SIN(2*PI()*(Model_Data!A121)/Inputs!$C$39)*SIN(2*PI()*(0)/Inputs!$C$40)+-Inputs!$C$41*EXP(-(((0)-Inputs!$C$43)^2)/(2*Inputs!$C$44^2))*EXP(-(((Model_Data!A121)-Inputs!$C$42)^2)/(2*Inputs!$C$45^2))+Inputs!$C$48*(0.70*(0.45*SIN(2*PI()*(((Model_Data!A121)/Inputs!$C$49)+Inputs!$C$47*0.137))+0.35*COS(2*PI()*(((0)/Inputs!$C$50)+Inputs!$C$47*0.173))+0.20*SIN(2*PI()*(((Model_Data!A121)+(0))/(0.5*(Inputs!$C$49+Inputs!$C$50))+Inputs!$C$47*0.097)))+0.30*(2*((SIN(((Model_Data!A121)*12.9898+(0)*78.233+Inputs!$C$47*37.719))*43758.5453)-INT((SIN(((Model_Data!A121)*12.9898+(0)*78.233+Inputs!$C$47*37.719))*43758.5453)))-1)))</x:f>
        <x:v>-15.949828195457984</x:v>
      </x:c>
      <x:c r="H121" s="49"/>
      <x:c r="I121" s="48" t="n">
        <x:f>Model_Data!A121</x:f>
        <x:v>-0.5</x:v>
      </x:c>
      <x:c r="J121" s="48" t="n">
        <x:f>((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(0.45*SIN(2*PI()*(((Model_Data!A121)/Inputs!$C$49)+Inputs!$C$47*0.137))+0.35*COS(2*PI()*(((Inputs!$C$6)/Inputs!$C$50)+Inputs!$C$47*0.173))+0.20*SIN(2*PI()*(((Model_Data!A121)+(Inputs!$C$6))/(0.5*(Inputs!$C$49+Inputs!$C$50))+Inputs!$C$47*0.097)))+0.30*(2*((SIN(((Model_Data!A121)*12.9898+(Inputs!$C$6)*78.233+Inputs!$C$47*37.719))*43758.5453)-INT((SIN(((Model_Data!A121)*12.9898+(Inputs!$C$6)*78.233+Inputs!$C$47*37.719))*43758.5453)))-1))))-((Inputs!$C$51*(115*EXP(-(((0)-25)^2)/(4.5^2))+70*EXP(-(((0)+38)^2)/(7^2))*(0.55+0.45*SIN(2*PI()*(Model_Data!A121)/45))+24*SIN(2*PI()*(0)/9+(Model_Data!A121)/18)*EXP(-(((0)+5)^2)/(22^2))+18*SIN(2*PI()*(Model_Data!A121)/70))+Inputs!$C$28*EXP(-(((Model_Data!A121)-Inputs!$C$29)^2)/(2*Inputs!$C$31^2))*EXP(-(((0)-Inputs!$C$30)^2)/(2*Inputs!$C$32^2))+-Inputs!$C$33*EXP(-(((((Model_Data!A121)-Inputs!$C$34)^2)+(((0)-Inputs!$C$35)^2))/(2*Inputs!$C$36^2)))+Inputs!$C$37*(0.55*SIN(2*PI()*(Model_Data!A121)/Inputs!$C$39)+0.35*COS(2*PI()*(0)/Inputs!$C$40)+0.2*SIN(2*PI()*((Model_Data!A121)+(0))/(0.5*(Inputs!$C$39+Inputs!$C$40))))+Inputs!$C$38*SIN(2*PI()*(Model_Data!A121)/Inputs!$C$39)*SIN(2*PI()*(0)/Inputs!$C$40)+-Inputs!$C$41*EXP(-(((0)-Inputs!$C$43)^2)/(2*Inputs!$C$44^2))*EXP(-(((Model_Data!A121)-Inputs!$C$42)^2)/(2*Inputs!$C$45^2))+Inputs!$C$48*(0.70*(0.45*SIN(2*PI()*(((Model_Data!A121)/Inputs!$C$49)+Inputs!$C$47*0.137))+0.35*COS(2*PI()*(((0)/Inputs!$C$50)+Inputs!$C$47*0.173))+0.20*SIN(2*PI()*(((Model_Data!A121)+(0))/(0.5*(Inputs!$C$49+Inputs!$C$50))+Inputs!$C$47*0.097)))+0.30*(2*((SIN(((Model_Data!A121)*12.9898+(0)*78.233+Inputs!$C$47*37.719))*43758.5453)-INT((SIN(((Model_Data!A121)*12.9898+(0)*78.233+Inputs!$C$47*37.719))*43758.5453)))-1))))</x:f>
        <x:v>490.18261486729085</x:v>
      </x:c>
      <x:c r="K121" s="48" t="n">
        <x:f>-((((SQRT((Model_Data!A121)^2+Inputs!$C$6^2+((Model_Data!B121)-((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(0.45*SIN(2*PI()*(((Model_Data!A121)/Inputs!$C$49)+Inputs!$C$47*0.137))+0.35*COS(2*PI()*(((Inputs!$C$6)/Inputs!$C$50)+Inputs!$C$47*0.173))+0.20*SIN(2*PI()*(((Model_Data!A121)+(Inputs!$C$6))/(0.5*(Inputs!$C$49+Inputs!$C$50))+Inputs!$C$47*0.097)))+0.30*(2*((SIN(((Model_Data!A121)*12.9898+(Inputs!$C$6)*78.233+Inputs!$C$47*37.719))*43758.5453)-INT((SIN(((Model_Data!A121)*12.9898+(Inputs!$C$6)*78.233+Inputs!$C$47*37.719))*43758.5453)))-1))))/1000)^2))-(((Model_Data!B121)-((Inputs!$C$51*(115*EXP(-(((0)-25)^2)/(4.5^2))+70*EXP(-(((0)+38)^2)/(7^2))*(0.55+0.45*SIN(2*PI()*(Model_Data!A121)/45))+24*SIN(2*PI()*(0)/9+(Model_Data!A121)/18)*EXP(-(((0)+5)^2)/(22^2))+18*SIN(2*PI()*(Model_Data!A121)/70))+Inputs!$C$28*EXP(-(((Model_Data!A121)-Inputs!$C$29)^2)/(2*Inputs!$C$31^2))*EXP(-(((0)-Inputs!$C$30)^2)/(2*Inputs!$C$32^2))+-Inputs!$C$33*EXP(-(((((Model_Data!A121)-Inputs!$C$34)^2)+(((0)-Inputs!$C$35)^2))/(2*Inputs!$C$36^2)))+Inputs!$C$37*(0.55*SIN(2*PI()*(Model_Data!A121)/Inputs!$C$39)+0.35*COS(2*PI()*(0)/Inputs!$C$40)+0.2*SIN(2*PI()*((Model_Data!A121)+(0))/(0.5*(Inputs!$C$39+Inputs!$C$40))))+Inputs!$C$38*SIN(2*PI()*(Model_Data!A121)/Inputs!$C$39)*SIN(2*PI()*(0)/Inputs!$C$40)+-Inputs!$C$41*EXP(-(((0)-Inputs!$C$43)^2)/(2*Inputs!$C$44^2))*EXP(-(((Model_Data!A121)-Inputs!$C$42)^2)/(2*Inputs!$C$45^2))+Inputs!$C$48*(0.70*(0.45*SIN(2*PI()*(((Model_Data!A121)/Inputs!$C$49)+Inputs!$C$47*0.137))+0.35*COS(2*PI()*(((0)/Inputs!$C$50)+Inputs!$C$47*0.173))+0.20*SIN(2*PI()*(((Model_Data!A121)+(0))/(0.5*(Inputs!$C$49+Inputs!$C$50))+Inputs!$C$47*0.097)))+0.30*(2*((SIN(((Model_Data!A121)*12.9898+(0)*78.233+Inputs!$C$47*37.719))*43758.5453)-INT((SIN(((Model_Data!A121)*12.9898+(0)*78.233+Inputs!$C$47*37.719))*43758.5453)))-1))))/1000)))*1000/Inputs!$C$12)-Model_Data!F121)</x:f>
        <x:v>274.8638332761448</x:v>
      </x:c>
      <x:c r="L121" s="49"/>
      <x:c r="M121" s="48" t="n">
        <x:f>Model_Data!A121</x:f>
        <x:v>-0.5</x:v>
      </x:c>
      <x:c r="N121" s="48" t="n">
        <x:f>Model_Data!P121</x:f>
        <x:v>3.7704165418803064</x:v>
      </x:c>
      <x:c r="O121" s="48" t="n">
        <x:f>AC121</x:f>
        <x:v>66.77517309235554</x:v>
      </x:c>
      <x:c r="P121" s="48" t="n">
        <x:f>Model_Data!Q121</x:f>
        <x:v>0.5661286098919379</x:v>
      </x:c>
      <x:c r="Q121" s="48" t="n">
        <x:f>AD121</x:f>
        <x:v>10.026302266119451</x:v>
      </x:c>
      <x:c r="R121" s="49"/>
      <x:c r="S121" s="48" t="n">
        <x:f>Model_Data!A121</x:f>
        <x:v>-0.5</x:v>
      </x:c>
      <x:c r="T121" s="48" t="n">
        <x:f>Model_Data!B121-Inputs!$C$5</x:f>
        <x:v>0.00027777777779647295</x:v>
      </x:c>
      <x:c r="U121" s="49"/>
      <x:c r="V121" s="48" t="n">
        <x:f>Model_Data!A121</x:f>
        <x:v>-0.5</x:v>
      </x:c>
      <x:c r="W121" s="48" t="n">
        <x:f>(-((((SQRT((Model_Data!A121)^2+Inputs!$C$6^2+((Model_Data!B121)-((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(0.45*SIN(2*PI()*(((Model_Data!A121)/Inputs!$C$49)+Inputs!$C$47*0.137))+0.35*COS(2*PI()*(((Inputs!$C$6)/Inputs!$C$50)+Inputs!$C$47*0.173))+0.20*SIN(2*PI()*(((Model_Data!A121)+(Inputs!$C$6))/(0.5*(Inputs!$C$49+Inputs!$C$50))+Inputs!$C$47*0.097)))+0.30*(2*((SIN(((Model_Data!A121)*12.9898+(Inputs!$C$6)*78.233+Inputs!$C$47*37.719))*43758.5453)-INT((SIN(((Model_Data!A121)*12.9898+(Inputs!$C$6)*78.233+Inputs!$C$47*37.719))*43758.5453)))-1))))/1000)^2))-(((Model_Data!B121)-((Inputs!$C$51*(115*EXP(-(((0)-25)^2)/(4.5^2))+70*EXP(-(((0)+38)^2)/(7^2))*(0.55+0.45*SIN(2*PI()*(Model_Data!A121)/45))+24*SIN(2*PI()*(0)/9+(Model_Data!A121)/18)*EXP(-(((0)+5)^2)/(22^2))+18*SIN(2*PI()*(Model_Data!A121)/70))+Inputs!$C$28*EXP(-(((Model_Data!A121)-Inputs!$C$29)^2)/(2*Inputs!$C$31^2))*EXP(-(((0)-Inputs!$C$30)^2)/(2*Inputs!$C$32^2))+-Inputs!$C$33*EXP(-(((((Model_Data!A121)-Inputs!$C$34)^2)+(((0)-Inputs!$C$35)^2))/(2*Inputs!$C$36^2)))+Inputs!$C$37*(0.55*SIN(2*PI()*(Model_Data!A121)/Inputs!$C$39)+0.35*COS(2*PI()*(0)/Inputs!$C$40)+0.2*SIN(2*PI()*((Model_Data!A121)+(0))/(0.5*(Inputs!$C$39+Inputs!$C$40))))+Inputs!$C$38*SIN(2*PI()*(Model_Data!A121)/Inputs!$C$39)*SIN(2*PI()*(0)/Inputs!$C$40)+-Inputs!$C$41*EXP(-(((0)-Inputs!$C$43)^2)/(2*Inputs!$C$44^2))*EXP(-(((Model_Data!A121)-Inputs!$C$42)^2)/(2*Inputs!$C$45^2))+Inputs!$C$48*(0.70*(0.45*SIN(2*PI()*(((Model_Data!A121)/Inputs!$C$49)+Inputs!$C$47*0.137))+0.35*COS(2*PI()*(((0)/Inputs!$C$50)+Inputs!$C$47*0.173))+0.20*SIN(2*PI()*(((Model_Data!A121)+(0))/(0.5*(Inputs!$C$49+Inputs!$C$50))+Inputs!$C$47*0.097)))+0.30*(2*((SIN(((Model_Data!A121)*12.9898+(0)*78.233+Inputs!$C$47*37.719))*43758.5453)-INT((SIN(((Model_Data!A121)*12.9898+(0)*78.233+Inputs!$C$47*37.719))*43758.5453)))-1))))/1000)))*1000/Inputs!$C$12)-Model_Data!F121))-(-(((SQRT((Model_Data!A121)^2+Inputs!$C$6^2+(Inputs!$C$5-((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(0.45*SIN(2*PI()*(((Model_Data!A121)/Inputs!$C$49)+Inputs!$C$47*0.137))+0.35*COS(2*PI()*(((Inputs!$C$6)/Inputs!$C$50)+Inputs!$C$47*0.173))+0.20*SIN(2*PI()*(((Model_Data!A121)+(Inputs!$C$6))/(0.5*(Inputs!$C$49+Inputs!$C$50))+Inputs!$C$47*0.097)))+0.30*(2*((SIN(((Model_Data!A121)*12.9898+(Inputs!$C$6)*78.233+Inputs!$C$47*37.719))*43758.5453)-INT((SIN(((Model_Data!A121)*12.9898+(Inputs!$C$6)*78.233+Inputs!$C$47*37.719))*43758.5453)))-1))))/1000)^2)-(Inputs!$C$5-((Inputs!$C$51*(115*EXP(-(((0)-25)^2)/(4.5^2))+70*EXP(-(((0)+38)^2)/(7^2))*(0.55+0.45*SIN(2*PI()*(Model_Data!A121)/45))+24*SIN(2*PI()*(0)/9+(Model_Data!A121)/18)*EXP(-(((0)+5)^2)/(22^2))+18*SIN(2*PI()*(Model_Data!A121)/70))+Inputs!$C$28*EXP(-(((Model_Data!A121)-Inputs!$C$29)^2)/(2*Inputs!$C$31^2))*EXP(-(((0)-Inputs!$C$30)^2)/(2*Inputs!$C$32^2))+-Inputs!$C$33*EXP(-(((((Model_Data!A121)-Inputs!$C$34)^2)+(((0)-Inputs!$C$35)^2))/(2*Inputs!$C$36^2)))+Inputs!$C$37*(0.55*SIN(2*PI()*(Model_Data!A121)/Inputs!$C$39)+0.35*COS(2*PI()*(0)/Inputs!$C$40)+0.2*SIN(2*PI()*((Model_Data!A121)+(0))/(0.5*(Inputs!$C$39+Inputs!$C$40))))+Inputs!$C$38*SIN(2*PI()*(Model_Data!A121)/Inputs!$C$39)*SIN(2*PI()*(0)/Inputs!$C$40)+-Inputs!$C$41*EXP(-(((0)-Inputs!$C$43)^2)/(2*Inputs!$C$44^2))*EXP(-(((Model_Data!A121)-Inputs!$C$42)^2)/(2*Inputs!$C$45^2))+Inputs!$C$48*(0.70*(0.45*SIN(2*PI()*(((Model_Data!A121)/Inputs!$C$49)+Inputs!$C$47*0.137))+0.35*COS(2*PI()*(((0)/Inputs!$C$50)+Inputs!$C$47*0.173))+0.20*SIN(2*PI()*(((Model_Data!A121)+(0))/(0.5*(Inputs!$C$49+Inputs!$C$50))+Inputs!$C$47*0.097)))+0.30*(2*((SIN(((Model_Data!A121)*12.9898+(0)*78.233+Inputs!$C$47*37.719))*43758.5453)-INT((SIN(((Model_Data!A121)*12.9898+(0)*78.233+Inputs!$C$47*37.719))*43758.5453)))-1))))/1000))*1000/Inputs!$C$12)-((SQRT((Model_Data!A121)^2+Inputs!$C$6^2+Inputs!$C$5^2)-Inputs!$C$5)*1000/Inputs!$C$12)))</x:f>
        <x:v>7.200592335721012e-7</x:v>
      </x:c>
      <x:c r="X121" s="48" t="n">
        <x:f>0</x:f>
        <x:v>0</x:v>
      </x:c>
      <x:c r="Y121" s="49"/>
      <x:c r="Z121" s="48" t="n">
        <x:f>Model_Data!A121</x:f>
        <x:v>-0.5</x:v>
      </x:c>
      <x:c r="AA121" s="48" t="n">
        <x:f>SQRT((Model_Data!A121)^2+Inputs!$C$6^2+((Model_Data!B121)-((Inputs!$C$51*(115*EXP(-(((Inputs!$C$6)-25)^2)/(4.5^2))+70*EXP(-(((Inputs!$C$6)+38)^2)/(7^2))*(0.55+0.45*SIN(2*PI()*(Model_Data!A121)/45))+24*SIN(2*PI()*(Inputs!$C$6)/9+(Model_Data!A121)/18)*EXP(-(((Inputs!$C$6)+5)^2)/(22^2))+18*SIN(2*PI()*(Model_Data!A121)/70))+Inputs!$C$28*EXP(-(((Model_Data!A121)-Inputs!$C$29)^2)/(2*Inputs!$C$31^2))*EXP(-(((Inputs!$C$6)-Inputs!$C$30)^2)/(2*Inputs!$C$32^2))+-Inputs!$C$33*EXP(-(((((Model_Data!A121)-Inputs!$C$34)^2)+(((Inputs!$C$6)-Inputs!$C$35)^2))/(2*Inputs!$C$36^2)))+Inputs!$C$37*(0.55*SIN(2*PI()*(Model_Data!A121)/Inputs!$C$39)+0.35*COS(2*PI()*(Inputs!$C$6)/Inputs!$C$40)+0.2*SIN(2*PI()*((Model_Data!A121)+(Inputs!$C$6))/(0.5*(Inputs!$C$39+Inputs!$C$40))))+Inputs!$C$38*SIN(2*PI()*(Model_Data!A121)/Inputs!$C$39)*SIN(2*PI()*(Inputs!$C$6)/Inputs!$C$40)+-Inputs!$C$41*EXP(-(((Inputs!$C$6)-Inputs!$C$43)^2)/(2*Inputs!$C$44^2))*EXP(-(((Model_Data!A121)-Inputs!$C$42)^2)/(2*Inputs!$C$45^2))+Inputs!$C$48*(0.70*(0.45*SIN(2*PI()*(((Model_Data!A121)/Inputs!$C$49)+Inputs!$C$47*0.137))+0.35*COS(2*PI()*(((Inputs!$C$6)/Inputs!$C$50)+Inputs!$C$47*0.173))+0.20*SIN(2*PI()*(((Model_Data!A121)+(Inputs!$C$6))/(0.5*(Inputs!$C$49+Inputs!$C$50))+Inputs!$C$47*0.097)))+0.30*(2*((SIN(((Model_Data!A121)*12.9898+(Inputs!$C$6)*78.233+Inputs!$C$47*37.719))*43758.5453)-INT((SIN(((Model_Data!A121)*12.9898+(Inputs!$C$6)*78.233+Inputs!$C$47*37.719))*43758.5453)))-1))))/1000)^2)</x:f>
        <x:v>400.3077698799203</x:v>
      </x:c>
      <x:c r="AB121" s="48" t="n">
        <x:f>1000*(AA122-AA120)/(Z122-Z120)*Inputs!$C$11</x:f>
        <x:v>-166.93793273088886</x:v>
      </x:c>
      <x:c r="AC121" s="48" t="n">
        <x:f>-2*AB121/Inputs!$C$13</x:f>
        <x:v>66.77517309235554</x:v>
      </x:c>
      <x:c r="AD121" s="48" t="n">
        <x:f>-2*AB121/Inputs!$C$14</x:f>
        <x:v>10.026302266119451</x:v>
      </x:c>
    </x:row>
    <x:row r="122">
      <x:c r="A122" s="48" t="n">
        <x:f>Model_Data!A122</x:f>
        <x:v>0</x:v>
      </x:c>
      <x:c r="B122" s="48" t="n">
        <x:f>Model_Data!F122</x:f>
        <x:v>438.4767118173631</x:v>
      </x:c>
      <x:c r="C122" s="48" t="n">
        <x:f>(((SQRT((Model_Data!A122)^2+Inputs!$C$6^2+((Model_Data!B122)-((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(0.45*SIN(2*PI()*(((Model_Data!A122)/Inputs!$C$49)+Inputs!$C$47*0.137))+0.35*COS(2*PI()*(((Inputs!$C$6)/Inputs!$C$50)+Inputs!$C$47*0.173))+0.20*SIN(2*PI()*(((Model_Data!A122)+(Inputs!$C$6))/(0.5*(Inputs!$C$49+Inputs!$C$50))+Inputs!$C$47*0.097)))+0.30*(2*((SIN(((Model_Data!A122)*12.9898+(Inputs!$C$6)*78.233+Inputs!$C$47*37.719))*43758.5453)-INT((SIN(((Model_Data!A122)*12.9898+(Inputs!$C$6)*78.233+Inputs!$C$47*37.719))*43758.5453)))-1))))/1000)^2))-(((Model_Data!B122)-((Inputs!$C$51*(115*EXP(-(((0)-25)^2)/(4.5^2))+70*EXP(-(((0)+38)^2)/(7^2))*(0.55+0.45*SIN(2*PI()*(Model_Data!A122)/45))+24*SIN(2*PI()*(0)/9+(Model_Data!A122)/18)*EXP(-(((0)+5)^2)/(22^2))+18*SIN(2*PI()*(Model_Data!A122)/70))+Inputs!$C$28*EXP(-(((Model_Data!A122)-Inputs!$C$29)^2)/(2*Inputs!$C$31^2))*EXP(-(((0)-Inputs!$C$30)^2)/(2*Inputs!$C$32^2))+-Inputs!$C$33*EXP(-(((((Model_Data!A122)-Inputs!$C$34)^2)+(((0)-Inputs!$C$35)^2))/(2*Inputs!$C$36^2)))+Inputs!$C$37*(0.55*SIN(2*PI()*(Model_Data!A122)/Inputs!$C$39)+0.35*COS(2*PI()*(0)/Inputs!$C$40)+0.2*SIN(2*PI()*((Model_Data!A122)+(0))/(0.5*(Inputs!$C$39+Inputs!$C$40))))+Inputs!$C$38*SIN(2*PI()*(Model_Data!A122)/Inputs!$C$39)*SIN(2*PI()*(0)/Inputs!$C$40)+-Inputs!$C$41*EXP(-(((0)-Inputs!$C$43)^2)/(2*Inputs!$C$44^2))*EXP(-(((Model_Data!A122)-Inputs!$C$42)^2)/(2*Inputs!$C$45^2))+Inputs!$C$48*(0.70*(0.45*SIN(2*PI()*(((Model_Data!A122)/Inputs!$C$49)+Inputs!$C$47*0.137))+0.35*COS(2*PI()*(((0)/Inputs!$C$50)+Inputs!$C$47*0.173))+0.20*SIN(2*PI()*(((Model_Data!A122)+(0))/(0.5*(Inputs!$C$49+Inputs!$C$50))+Inputs!$C$47*0.097)))+0.30*(2*((SIN(((Model_Data!A122)*12.9898+(0)*78.233+Inputs!$C$47*37.719))*43758.5453)-INT((SIN(((Model_Data!A122)*12.9898+(0)*78.233+Inputs!$C$47*37.719))*43758.5453)))-1))))/1000)))*1000/Inputs!$C$12)</x:f>
        <x:v>166.3085099767989</x:v>
      </x:c>
      <x:c r="D122" s="49"/>
      <x:c r="E122" s="48" t="n">
        <x:f>Model_Data!A122</x:f>
        <x:v>0</x:v>
      </x:c>
      <x:c r="F122" s="48" t="n">
        <x:f>(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(0.45*SIN(2*PI()*(((Model_Data!A122)/Inputs!$C$49)+Inputs!$C$47*0.137))+0.35*COS(2*PI()*(((Inputs!$C$6)/Inputs!$C$50)+Inputs!$C$47*0.173))+0.20*SIN(2*PI()*(((Model_Data!A122)+(Inputs!$C$6))/(0.5*(Inputs!$C$49+Inputs!$C$50))+Inputs!$C$47*0.097)))+0.30*(2*((SIN(((Model_Data!A122)*12.9898+(Inputs!$C$6)*78.233+Inputs!$C$47*37.719))*43758.5453)-INT((SIN(((Model_Data!A122)*12.9898+(Inputs!$C$6)*78.233+Inputs!$C$47*37.719))*43758.5453)))-1)))</x:f>
        <x:v>480.44802858922253</x:v>
      </x:c>
      <x:c r="G122" s="48" t="n">
        <x:f>(Inputs!$C$51*(115*EXP(-(((0)-25)^2)/(4.5^2))+70*EXP(-(((0)+38)^2)/(7^2))*(0.55+0.45*SIN(2*PI()*(Model_Data!A122)/45))+24*SIN(2*PI()*(0)/9+(Model_Data!A122)/18)*EXP(-(((0)+5)^2)/(22^2))+18*SIN(2*PI()*(Model_Data!A122)/70))+Inputs!$C$28*EXP(-(((Model_Data!A122)-Inputs!$C$29)^2)/(2*Inputs!$C$31^2))*EXP(-(((0)-Inputs!$C$30)^2)/(2*Inputs!$C$32^2))+-Inputs!$C$33*EXP(-(((((Model_Data!A122)-Inputs!$C$34)^2)+(((0)-Inputs!$C$35)^2))/(2*Inputs!$C$36^2)))+Inputs!$C$37*(0.55*SIN(2*PI()*(Model_Data!A122)/Inputs!$C$39)+0.35*COS(2*PI()*(0)/Inputs!$C$40)+0.2*SIN(2*PI()*((Model_Data!A122)+(0))/(0.5*(Inputs!$C$39+Inputs!$C$40))))+Inputs!$C$38*SIN(2*PI()*(Model_Data!A122)/Inputs!$C$39)*SIN(2*PI()*(0)/Inputs!$C$40)+-Inputs!$C$41*EXP(-(((0)-Inputs!$C$43)^2)/(2*Inputs!$C$44^2))*EXP(-(((Model_Data!A122)-Inputs!$C$42)^2)/(2*Inputs!$C$45^2))+Inputs!$C$48*(0.70*(0.45*SIN(2*PI()*(((Model_Data!A122)/Inputs!$C$49)+Inputs!$C$47*0.137))+0.35*COS(2*PI()*(((0)/Inputs!$C$50)+Inputs!$C$47*0.173))+0.20*SIN(2*PI()*(((Model_Data!A122)+(0))/(0.5*(Inputs!$C$49+Inputs!$C$50))+Inputs!$C$47*0.097)))+0.30*(2*((SIN(((Model_Data!A122)*12.9898+(0)*78.233+Inputs!$C$47*37.719))*43758.5453)-INT((SIN(((Model_Data!A122)*12.9898+(0)*78.233+Inputs!$C$47*37.719))*43758.5453)))-1)))</x:f>
        <x:v>-4.948127387128106</x:v>
      </x:c>
      <x:c r="H122" s="49"/>
      <x:c r="I122" s="48" t="n">
        <x:f>Model_Data!A122</x:f>
        <x:v>0</x:v>
      </x:c>
      <x:c r="J122" s="48" t="n">
        <x:f>((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(0.45*SIN(2*PI()*(((Model_Data!A122)/Inputs!$C$49)+Inputs!$C$47*0.137))+0.35*COS(2*PI()*(((Inputs!$C$6)/Inputs!$C$50)+Inputs!$C$47*0.173))+0.20*SIN(2*PI()*(((Model_Data!A122)+(Inputs!$C$6))/(0.5*(Inputs!$C$49+Inputs!$C$50))+Inputs!$C$47*0.097)))+0.30*(2*((SIN(((Model_Data!A122)*12.9898+(Inputs!$C$6)*78.233+Inputs!$C$47*37.719))*43758.5453)-INT((SIN(((Model_Data!A122)*12.9898+(Inputs!$C$6)*78.233+Inputs!$C$47*37.719))*43758.5453)))-1))))-((Inputs!$C$51*(115*EXP(-(((0)-25)^2)/(4.5^2))+70*EXP(-(((0)+38)^2)/(7^2))*(0.55+0.45*SIN(2*PI()*(Model_Data!A122)/45))+24*SIN(2*PI()*(0)/9+(Model_Data!A122)/18)*EXP(-(((0)+5)^2)/(22^2))+18*SIN(2*PI()*(Model_Data!A122)/70))+Inputs!$C$28*EXP(-(((Model_Data!A122)-Inputs!$C$29)^2)/(2*Inputs!$C$31^2))*EXP(-(((0)-Inputs!$C$30)^2)/(2*Inputs!$C$32^2))+-Inputs!$C$33*EXP(-(((((Model_Data!A122)-Inputs!$C$34)^2)+(((0)-Inputs!$C$35)^2))/(2*Inputs!$C$36^2)))+Inputs!$C$37*(0.55*SIN(2*PI()*(Model_Data!A122)/Inputs!$C$39)+0.35*COS(2*PI()*(0)/Inputs!$C$40)+0.2*SIN(2*PI()*((Model_Data!A122)+(0))/(0.5*(Inputs!$C$39+Inputs!$C$40))))+Inputs!$C$38*SIN(2*PI()*(Model_Data!A122)/Inputs!$C$39)*SIN(2*PI()*(0)/Inputs!$C$40)+-Inputs!$C$41*EXP(-(((0)-Inputs!$C$43)^2)/(2*Inputs!$C$44^2))*EXP(-(((Model_Data!A122)-Inputs!$C$42)^2)/(2*Inputs!$C$45^2))+Inputs!$C$48*(0.70*(0.45*SIN(2*PI()*(((Model_Data!A122)/Inputs!$C$49)+Inputs!$C$47*0.137))+0.35*COS(2*PI()*(((0)/Inputs!$C$50)+Inputs!$C$47*0.173))+0.20*SIN(2*PI()*(((Model_Data!A122)+(0))/(0.5*(Inputs!$C$49+Inputs!$C$50))+Inputs!$C$47*0.097)))+0.30*(2*((SIN(((Model_Data!A122)*12.9898+(0)*78.233+Inputs!$C$47*37.719))*43758.5453)-INT((SIN(((Model_Data!A122)*12.9898+(0)*78.233+Inputs!$C$47*37.719))*43758.5453)))-1))))</x:f>
        <x:v>485.39615597635066</x:v>
      </x:c>
      <x:c r="K122" s="48" t="n">
        <x:f>-((((SQRT((Model_Data!A122)^2+Inputs!$C$6^2+((Model_Data!B122)-((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(0.45*SIN(2*PI()*(((Model_Data!A122)/Inputs!$C$49)+Inputs!$C$47*0.137))+0.35*COS(2*PI()*(((Inputs!$C$6)/Inputs!$C$50)+Inputs!$C$47*0.173))+0.20*SIN(2*PI()*(((Model_Data!A122)+(Inputs!$C$6))/(0.5*(Inputs!$C$49+Inputs!$C$50))+Inputs!$C$47*0.097)))+0.30*(2*((SIN(((Model_Data!A122)*12.9898+(Inputs!$C$6)*78.233+Inputs!$C$47*37.719))*43758.5453)-INT((SIN(((Model_Data!A122)*12.9898+(Inputs!$C$6)*78.233+Inputs!$C$47*37.719))*43758.5453)))-1))))/1000)^2))-(((Model_Data!B122)-((Inputs!$C$51*(115*EXP(-(((0)-25)^2)/(4.5^2))+70*EXP(-(((0)+38)^2)/(7^2))*(0.55+0.45*SIN(2*PI()*(Model_Data!A122)/45))+24*SIN(2*PI()*(0)/9+(Model_Data!A122)/18)*EXP(-(((0)+5)^2)/(22^2))+18*SIN(2*PI()*(Model_Data!A122)/70))+Inputs!$C$28*EXP(-(((Model_Data!A122)-Inputs!$C$29)^2)/(2*Inputs!$C$31^2))*EXP(-(((0)-Inputs!$C$30)^2)/(2*Inputs!$C$32^2))+-Inputs!$C$33*EXP(-(((((Model_Data!A122)-Inputs!$C$34)^2)+(((0)-Inputs!$C$35)^2))/(2*Inputs!$C$36^2)))+Inputs!$C$37*(0.55*SIN(2*PI()*(Model_Data!A122)/Inputs!$C$39)+0.35*COS(2*PI()*(0)/Inputs!$C$40)+0.2*SIN(2*PI()*((Model_Data!A122)+(0))/(0.5*(Inputs!$C$39+Inputs!$C$40))))+Inputs!$C$38*SIN(2*PI()*(Model_Data!A122)/Inputs!$C$39)*SIN(2*PI()*(0)/Inputs!$C$40)+-Inputs!$C$41*EXP(-(((0)-Inputs!$C$43)^2)/(2*Inputs!$C$44^2))*EXP(-(((Model_Data!A122)-Inputs!$C$42)^2)/(2*Inputs!$C$45^2))+Inputs!$C$48*(0.70*(0.45*SIN(2*PI()*(((Model_Data!A122)/Inputs!$C$49)+Inputs!$C$47*0.137))+0.35*COS(2*PI()*(((0)/Inputs!$C$50)+Inputs!$C$47*0.173))+0.20*SIN(2*PI()*(((Model_Data!A122)+(0))/(0.5*(Inputs!$C$49+Inputs!$C$50))+Inputs!$C$47*0.097)))+0.30*(2*((SIN(((Model_Data!A122)*12.9898+(0)*78.233+Inputs!$C$47*37.719))*43758.5453)-INT((SIN(((Model_Data!A122)*12.9898+(0)*78.233+Inputs!$C$47*37.719))*43758.5453)))-1))))/1000)))*1000/Inputs!$C$12)-Model_Data!F122)</x:f>
        <x:v>272.16820184056417</x:v>
      </x:c>
      <x:c r="L122" s="49"/>
      <x:c r="M122" s="48" t="n">
        <x:f>Model_Data!A122</x:f>
        <x:v>0</x:v>
      </x:c>
      <x:c r="N122" s="48" t="n">
        <x:f>Model_Data!P122</x:f>
        <x:v>0</x:v>
      </x:c>
      <x:c r="O122" s="48" t="n">
        <x:f>AC122</x:f>
        <x:v>13.593233626670553</x:v>
      </x:c>
      <x:c r="P122" s="48" t="n">
        <x:f>Model_Data!Q122</x:f>
        <x:v>0</x:v>
      </x:c>
      <x:c r="Q122" s="48" t="n">
        <x:f>AD122</x:f>
        <x:v>2.0410260700706537</x:v>
      </x:c>
      <x:c r="R122" s="49"/>
      <x:c r="S122" s="48" t="n">
        <x:f>Model_Data!A122</x:f>
        <x:v>0</x:v>
      </x:c>
      <x:c r="T122" s="48" t="n">
        <x:f>Model_Data!B122-Inputs!$C$5</x:f>
        <x:v>0</x:v>
      </x:c>
      <x:c r="U122" s="49"/>
      <x:c r="V122" s="48" t="n">
        <x:f>Model_Data!A122</x:f>
        <x:v>0</x:v>
      </x:c>
      <x:c r="W122" s="48" t="n">
        <x:f>(-((((SQRT((Model_Data!A122)^2+Inputs!$C$6^2+((Model_Data!B122)-((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(0.45*SIN(2*PI()*(((Model_Data!A122)/Inputs!$C$49)+Inputs!$C$47*0.137))+0.35*COS(2*PI()*(((Inputs!$C$6)/Inputs!$C$50)+Inputs!$C$47*0.173))+0.20*SIN(2*PI()*(((Model_Data!A122)+(Inputs!$C$6))/(0.5*(Inputs!$C$49+Inputs!$C$50))+Inputs!$C$47*0.097)))+0.30*(2*((SIN(((Model_Data!A122)*12.9898+(Inputs!$C$6)*78.233+Inputs!$C$47*37.719))*43758.5453)-INT((SIN(((Model_Data!A122)*12.9898+(Inputs!$C$6)*78.233+Inputs!$C$47*37.719))*43758.5453)))-1))))/1000)^2))-(((Model_Data!B122)-((Inputs!$C$51*(115*EXP(-(((0)-25)^2)/(4.5^2))+70*EXP(-(((0)+38)^2)/(7^2))*(0.55+0.45*SIN(2*PI()*(Model_Data!A122)/45))+24*SIN(2*PI()*(0)/9+(Model_Data!A122)/18)*EXP(-(((0)+5)^2)/(22^2))+18*SIN(2*PI()*(Model_Data!A122)/70))+Inputs!$C$28*EXP(-(((Model_Data!A122)-Inputs!$C$29)^2)/(2*Inputs!$C$31^2))*EXP(-(((0)-Inputs!$C$30)^2)/(2*Inputs!$C$32^2))+-Inputs!$C$33*EXP(-(((((Model_Data!A122)-Inputs!$C$34)^2)+(((0)-Inputs!$C$35)^2))/(2*Inputs!$C$36^2)))+Inputs!$C$37*(0.55*SIN(2*PI()*(Model_Data!A122)/Inputs!$C$39)+0.35*COS(2*PI()*(0)/Inputs!$C$40)+0.2*SIN(2*PI()*((Model_Data!A122)+(0))/(0.5*(Inputs!$C$39+Inputs!$C$40))))+Inputs!$C$38*SIN(2*PI()*(Model_Data!A122)/Inputs!$C$39)*SIN(2*PI()*(0)/Inputs!$C$40)+-Inputs!$C$41*EXP(-(((0)-Inputs!$C$43)^2)/(2*Inputs!$C$44^2))*EXP(-(((Model_Data!A122)-Inputs!$C$42)^2)/(2*Inputs!$C$45^2))+Inputs!$C$48*(0.70*(0.45*SIN(2*PI()*(((Model_Data!A122)/Inputs!$C$49)+Inputs!$C$47*0.137))+0.35*COS(2*PI()*(((0)/Inputs!$C$50)+Inputs!$C$47*0.173))+0.20*SIN(2*PI()*(((Model_Data!A122)+(0))/(0.5*(Inputs!$C$49+Inputs!$C$50))+Inputs!$C$47*0.097)))+0.30*(2*((SIN(((Model_Data!A122)*12.9898+(0)*78.233+Inputs!$C$47*37.719))*43758.5453)-INT((SIN(((Model_Data!A122)*12.9898+(0)*78.233+Inputs!$C$47*37.719))*43758.5453)))-1))))/1000)))*1000/Inputs!$C$12)-Model_Data!F122))-(-(((SQRT((Model_Data!A122)^2+Inputs!$C$6^2+(Inputs!$C$5-((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(0.45*SIN(2*PI()*(((Model_Data!A122)/Inputs!$C$49)+Inputs!$C$47*0.137))+0.35*COS(2*PI()*(((Inputs!$C$6)/Inputs!$C$50)+Inputs!$C$47*0.173))+0.20*SIN(2*PI()*(((Model_Data!A122)+(Inputs!$C$6))/(0.5*(Inputs!$C$49+Inputs!$C$50))+Inputs!$C$47*0.097)))+0.30*(2*((SIN(((Model_Data!A122)*12.9898+(Inputs!$C$6)*78.233+Inputs!$C$47*37.719))*43758.5453)-INT((SIN(((Model_Data!A122)*12.9898+(Inputs!$C$6)*78.233+Inputs!$C$47*37.719))*43758.5453)))-1))))/1000)^2)-(Inputs!$C$5-((Inputs!$C$51*(115*EXP(-(((0)-25)^2)/(4.5^2))+70*EXP(-(((0)+38)^2)/(7^2))*(0.55+0.45*SIN(2*PI()*(Model_Data!A122)/45))+24*SIN(2*PI()*(0)/9+(Model_Data!A122)/18)*EXP(-(((0)+5)^2)/(22^2))+18*SIN(2*PI()*(Model_Data!A122)/70))+Inputs!$C$28*EXP(-(((Model_Data!A122)-Inputs!$C$29)^2)/(2*Inputs!$C$31^2))*EXP(-(((0)-Inputs!$C$30)^2)/(2*Inputs!$C$32^2))+-Inputs!$C$33*EXP(-(((((Model_Data!A122)-Inputs!$C$34)^2)+(((0)-Inputs!$C$35)^2))/(2*Inputs!$C$36^2)))+Inputs!$C$37*(0.55*SIN(2*PI()*(Model_Data!A122)/Inputs!$C$39)+0.35*COS(2*PI()*(0)/Inputs!$C$40)+0.2*SIN(2*PI()*((Model_Data!A122)+(0))/(0.5*(Inputs!$C$39+Inputs!$C$40))))+Inputs!$C$38*SIN(2*PI()*(Model_Data!A122)/Inputs!$C$39)*SIN(2*PI()*(0)/Inputs!$C$40)+-Inputs!$C$41*EXP(-(((0)-Inputs!$C$43)^2)/(2*Inputs!$C$44^2))*EXP(-(((Model_Data!A122)-Inputs!$C$42)^2)/(2*Inputs!$C$45^2))+Inputs!$C$48*(0.70*(0.45*SIN(2*PI()*(((Model_Data!A122)/Inputs!$C$49)+Inputs!$C$47*0.137))+0.35*COS(2*PI()*(((0)/Inputs!$C$50)+Inputs!$C$47*0.173))+0.20*SIN(2*PI()*(((Model_Data!A122)+(0))/(0.5*(Inputs!$C$49+Inputs!$C$50))+Inputs!$C$47*0.097)))+0.30*(2*((SIN(((Model_Data!A122)*12.9898+(0)*78.233+Inputs!$C$47*37.719))*43758.5453)-INT((SIN(((Model_Data!A122)*12.9898+(0)*78.233+Inputs!$C$47*37.719))*43758.5453)))-1))))/1000))*1000/Inputs!$C$12)-((SQRT((Model_Data!A122)^2+Inputs!$C$6^2+Inputs!$C$5^2)-Inputs!$C$5)*1000/Inputs!$C$12)))</x:f>
        <x:v>0</x:v>
      </x:c>
      <x:c r="X122" s="48" t="n">
        <x:f>0</x:f>
        <x:v>0</x:v>
      </x:c>
      <x:c r="Y122" s="49"/>
      <x:c r="Z122" s="48" t="n">
        <x:f>Model_Data!A122</x:f>
        <x:v>0</x:v>
      </x:c>
      <x:c r="AA122" s="48" t="n">
        <x:f>SQRT((Model_Data!A122)^2+Inputs!$C$6^2+((Model_Data!B122)-((Inputs!$C$51*(115*EXP(-(((Inputs!$C$6)-25)^2)/(4.5^2))+70*EXP(-(((Inputs!$C$6)+38)^2)/(7^2))*(0.55+0.45*SIN(2*PI()*(Model_Data!A122)/45))+24*SIN(2*PI()*(Inputs!$C$6)/9+(Model_Data!A122)/18)*EXP(-(((Inputs!$C$6)+5)^2)/(22^2))+18*SIN(2*PI()*(Model_Data!A122)/70))+Inputs!$C$28*EXP(-(((Model_Data!A122)-Inputs!$C$29)^2)/(2*Inputs!$C$31^2))*EXP(-(((Inputs!$C$6)-Inputs!$C$30)^2)/(2*Inputs!$C$32^2))+-Inputs!$C$33*EXP(-(((((Model_Data!A122)-Inputs!$C$34)^2)+(((Inputs!$C$6)-Inputs!$C$35)^2))/(2*Inputs!$C$36^2)))+Inputs!$C$37*(0.55*SIN(2*PI()*(Model_Data!A122)/Inputs!$C$39)+0.35*COS(2*PI()*(Inputs!$C$6)/Inputs!$C$40)+0.2*SIN(2*PI()*((Model_Data!A122)+(Inputs!$C$6))/(0.5*(Inputs!$C$39+Inputs!$C$40))))+Inputs!$C$38*SIN(2*PI()*(Model_Data!A122)/Inputs!$C$39)*SIN(2*PI()*(Inputs!$C$6)/Inputs!$C$40)+-Inputs!$C$41*EXP(-(((Inputs!$C$6)-Inputs!$C$43)^2)/(2*Inputs!$C$44^2))*EXP(-(((Model_Data!A122)-Inputs!$C$42)^2)/(2*Inputs!$C$45^2))+Inputs!$C$48*(0.70*(0.45*SIN(2*PI()*(((Model_Data!A122)/Inputs!$C$49)+Inputs!$C$47*0.137))+0.35*COS(2*PI()*(((Inputs!$C$6)/Inputs!$C$50)+Inputs!$C$47*0.173))+0.20*SIN(2*PI()*(((Model_Data!A122)+(Inputs!$C$6))/(0.5*(Inputs!$C$49+Inputs!$C$50))+Inputs!$C$47*0.097)))+0.30*(2*((SIN(((Model_Data!A122)*12.9898+(Inputs!$C$6)*78.233+Inputs!$C$47*37.719))*43758.5453)-INT((SIN(((Model_Data!A122)*12.9898+(Inputs!$C$6)*78.233+Inputs!$C$47*37.719))*43758.5453)))-1))))/1000)^2)</x:f>
        <x:v>400.30097727514584</x:v>
      </x:c>
      <x:c r="AB122" s="48" t="n">
        <x:f>1000*(AA123-AA121)/(Z123-Z121)*Inputs!$C$11</x:f>
        <x:v>-33.98308406667638</x:v>
      </x:c>
      <x:c r="AC122" s="48" t="n">
        <x:f>-2*AB122/Inputs!$C$13</x:f>
        <x:v>13.593233626670553</x:v>
      </x:c>
      <x:c r="AD122" s="48" t="n">
        <x:f>-2*AB122/Inputs!$C$14</x:f>
        <x:v>2.0410260700706537</x:v>
      </x:c>
    </x:row>
    <x:row r="123">
      <x:c r="A123" s="48" t="n">
        <x:f>Model_Data!A123</x:f>
        <x:v>0.5</x:v>
      </x:c>
      <x:c r="B123" s="48" t="n">
        <x:f>Model_Data!F123</x:f>
        <x:v>438.65162762840095</x:v>
      </x:c>
      <x:c r="C123" s="48" t="n">
        <x:f>(((SQRT((Model_Data!A123)^2+Inputs!$C$6^2+((Model_Data!B123)-((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(0.45*SIN(2*PI()*(((Model_Data!A123)/Inputs!$C$49)+Inputs!$C$47*0.137))+0.35*COS(2*PI()*(((Inputs!$C$6)/Inputs!$C$50)+Inputs!$C$47*0.173))+0.20*SIN(2*PI()*(((Model_Data!A123)+(Inputs!$C$6))/(0.5*(Inputs!$C$49+Inputs!$C$50))+Inputs!$C$47*0.097)))+0.30*(2*((SIN(((Model_Data!A123)*12.9898+(Inputs!$C$6)*78.233+Inputs!$C$47*37.719))*43758.5453)-INT((SIN(((Model_Data!A123)*12.9898+(Inputs!$C$6)*78.233+Inputs!$C$47*37.719))*43758.5453)))-1))))/1000)^2))-(((Model_Data!B123)-((Inputs!$C$51*(115*EXP(-(((0)-25)^2)/(4.5^2))+70*EXP(-(((0)+38)^2)/(7^2))*(0.55+0.45*SIN(2*PI()*(Model_Data!A123)/45))+24*SIN(2*PI()*(0)/9+(Model_Data!A123)/18)*EXP(-(((0)+5)^2)/(22^2))+18*SIN(2*PI()*(Model_Data!A123)/70))+Inputs!$C$28*EXP(-(((Model_Data!A123)-Inputs!$C$29)^2)/(2*Inputs!$C$31^2))*EXP(-(((0)-Inputs!$C$30)^2)/(2*Inputs!$C$32^2))+-Inputs!$C$33*EXP(-(((((Model_Data!A123)-Inputs!$C$34)^2)+(((0)-Inputs!$C$35)^2))/(2*Inputs!$C$36^2)))+Inputs!$C$37*(0.55*SIN(2*PI()*(Model_Data!A123)/Inputs!$C$39)+0.35*COS(2*PI()*(0)/Inputs!$C$40)+0.2*SIN(2*PI()*((Model_Data!A123)+(0))/(0.5*(Inputs!$C$39+Inputs!$C$40))))+Inputs!$C$38*SIN(2*PI()*(Model_Data!A123)/Inputs!$C$39)*SIN(2*PI()*(0)/Inputs!$C$40)+-Inputs!$C$41*EXP(-(((0)-Inputs!$C$43)^2)/(2*Inputs!$C$44^2))*EXP(-(((Model_Data!A123)-Inputs!$C$42)^2)/(2*Inputs!$C$45^2))+Inputs!$C$48*(0.70*(0.45*SIN(2*PI()*(((Model_Data!A123)/Inputs!$C$49)+Inputs!$C$47*0.137))+0.35*COS(2*PI()*(((0)/Inputs!$C$50)+Inputs!$C$47*0.173))+0.20*SIN(2*PI()*(((Model_Data!A123)+(0))/(0.5*(Inputs!$C$49+Inputs!$C$50))+Inputs!$C$47*0.097)))+0.30*(2*((SIN(((Model_Data!A123)*12.9898+(0)*78.233+Inputs!$C$47*37.719))*43758.5453)-INT((SIN(((Model_Data!A123)*12.9898+(0)*78.233+Inputs!$C$47*37.719))*43758.5453)))-1))))/1000)))*1000/Inputs!$C$12)</x:f>
        <x:v>169.24488778546458</x:v>
      </x:c>
      <x:c r="D123" s="49"/>
      <x:c r="E123" s="48" t="n">
        <x:f>Model_Data!A123</x:f>
        <x:v>0.5</x:v>
      </x:c>
      <x:c r="F123" s="48" t="n">
        <x:f>(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(0.45*SIN(2*PI()*(((Model_Data!A123)/Inputs!$C$49)+Inputs!$C$47*0.137))+0.35*COS(2*PI()*(((Inputs!$C$6)/Inputs!$C$50)+Inputs!$C$47*0.173))+0.20*SIN(2*PI()*(((Model_Data!A123)+(Inputs!$C$6))/(0.5*(Inputs!$C$49+Inputs!$C$50))+Inputs!$C$47*0.097)))+0.30*(2*((SIN(((Model_Data!A123)*12.9898+(Inputs!$C$6)*78.233+Inputs!$C$47*37.719))*43758.5453)-INT((SIN(((Model_Data!A123)*12.9898+(Inputs!$C$6)*78.233+Inputs!$C$47*37.719))*43758.5453)))-1)))</x:f>
        <x:v>482.7451811280071</x:v>
      </x:c>
      <x:c r="G123" s="48" t="n">
        <x:f>(Inputs!$C$51*(115*EXP(-(((0)-25)^2)/(4.5^2))+70*EXP(-(((0)+38)^2)/(7^2))*(0.55+0.45*SIN(2*PI()*(Model_Data!A123)/45))+24*SIN(2*PI()*(0)/9+(Model_Data!A123)/18)*EXP(-(((0)+5)^2)/(22^2))+18*SIN(2*PI()*(Model_Data!A123)/70))+Inputs!$C$28*EXP(-(((Model_Data!A123)-Inputs!$C$29)^2)/(2*Inputs!$C$31^2))*EXP(-(((0)-Inputs!$C$30)^2)/(2*Inputs!$C$32^2))+-Inputs!$C$33*EXP(-(((((Model_Data!A123)-Inputs!$C$34)^2)+(((0)-Inputs!$C$35)^2))/(2*Inputs!$C$36^2)))+Inputs!$C$37*(0.55*SIN(2*PI()*(Model_Data!A123)/Inputs!$C$39)+0.35*COS(2*PI()*(0)/Inputs!$C$40)+0.2*SIN(2*PI()*((Model_Data!A123)+(0))/(0.5*(Inputs!$C$39+Inputs!$C$40))))+Inputs!$C$38*SIN(2*PI()*(Model_Data!A123)/Inputs!$C$39)*SIN(2*PI()*(0)/Inputs!$C$40)+-Inputs!$C$41*EXP(-(((0)-Inputs!$C$43)^2)/(2*Inputs!$C$44^2))*EXP(-(((Model_Data!A123)-Inputs!$C$42)^2)/(2*Inputs!$C$45^2))+Inputs!$C$48*(0.70*(0.45*SIN(2*PI()*(((Model_Data!A123)/Inputs!$C$49)+Inputs!$C$47*0.137))+0.35*COS(2*PI()*(((0)/Inputs!$C$50)+Inputs!$C$47*0.173))+0.20*SIN(2*PI()*(((Model_Data!A123)+(0))/(0.5*(Inputs!$C$49+Inputs!$C$50))+Inputs!$C$47*0.097)))+0.30*(2*((SIN(((Model_Data!A123)*12.9898+(0)*78.233+Inputs!$C$47*37.719))*43758.5453)-INT((SIN(((Model_Data!A123)*12.9898+(0)*78.233+Inputs!$C$47*37.719))*43758.5453)))-1)))</x:f>
        <x:v>2.259569132321303</x:v>
      </x:c>
      <x:c r="H123" s="49"/>
      <x:c r="I123" s="48" t="n">
        <x:f>Model_Data!A123</x:f>
        <x:v>0.5</x:v>
      </x:c>
      <x:c r="J123" s="48" t="n">
        <x:f>((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(0.45*SIN(2*PI()*(((Model_Data!A123)/Inputs!$C$49)+Inputs!$C$47*0.137))+0.35*COS(2*PI()*(((Inputs!$C$6)/Inputs!$C$50)+Inputs!$C$47*0.173))+0.20*SIN(2*PI()*(((Model_Data!A123)+(Inputs!$C$6))/(0.5*(Inputs!$C$49+Inputs!$C$50))+Inputs!$C$47*0.097)))+0.30*(2*((SIN(((Model_Data!A123)*12.9898+(Inputs!$C$6)*78.233+Inputs!$C$47*37.719))*43758.5453)-INT((SIN(((Model_Data!A123)*12.9898+(Inputs!$C$6)*78.233+Inputs!$C$47*37.719))*43758.5453)))-1))))-((Inputs!$C$51*(115*EXP(-(((0)-25)^2)/(4.5^2))+70*EXP(-(((0)+38)^2)/(7^2))*(0.55+0.45*SIN(2*PI()*(Model_Data!A123)/45))+24*SIN(2*PI()*(0)/9+(Model_Data!A123)/18)*EXP(-(((0)+5)^2)/(22^2))+18*SIN(2*PI()*(Model_Data!A123)/70))+Inputs!$C$28*EXP(-(((Model_Data!A123)-Inputs!$C$29)^2)/(2*Inputs!$C$31^2))*EXP(-(((0)-Inputs!$C$30)^2)/(2*Inputs!$C$32^2))+-Inputs!$C$33*EXP(-(((((Model_Data!A123)-Inputs!$C$34)^2)+(((0)-Inputs!$C$35)^2))/(2*Inputs!$C$36^2)))+Inputs!$C$37*(0.55*SIN(2*PI()*(Model_Data!A123)/Inputs!$C$39)+0.35*COS(2*PI()*(0)/Inputs!$C$40)+0.2*SIN(2*PI()*((Model_Data!A123)+(0))/(0.5*(Inputs!$C$39+Inputs!$C$40))))+Inputs!$C$38*SIN(2*PI()*(Model_Data!A123)/Inputs!$C$39)*SIN(2*PI()*(0)/Inputs!$C$40)+-Inputs!$C$41*EXP(-(((0)-Inputs!$C$43)^2)/(2*Inputs!$C$44^2))*EXP(-(((Model_Data!A123)-Inputs!$C$42)^2)/(2*Inputs!$C$45^2))+Inputs!$C$48*(0.70*(0.45*SIN(2*PI()*(((Model_Data!A123)/Inputs!$C$49)+Inputs!$C$47*0.137))+0.35*COS(2*PI()*(((0)/Inputs!$C$50)+Inputs!$C$47*0.173))+0.20*SIN(2*PI()*(((Model_Data!A123)+(0))/(0.5*(Inputs!$C$49+Inputs!$C$50))+Inputs!$C$47*0.097)))+0.30*(2*((SIN(((Model_Data!A123)*12.9898+(0)*78.233+Inputs!$C$47*37.719))*43758.5453)-INT((SIN(((Model_Data!A123)*12.9898+(0)*78.233+Inputs!$C$47*37.719))*43758.5453)))-1))))</x:f>
        <x:v>480.4856119956858</x:v>
      </x:c>
      <x:c r="K123" s="48" t="n">
        <x:f>-((((SQRT((Model_Data!A123)^2+Inputs!$C$6^2+((Model_Data!B123)-((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(0.45*SIN(2*PI()*(((Model_Data!A123)/Inputs!$C$49)+Inputs!$C$47*0.137))+0.35*COS(2*PI()*(((Inputs!$C$6)/Inputs!$C$50)+Inputs!$C$47*0.173))+0.20*SIN(2*PI()*(((Model_Data!A123)+(Inputs!$C$6))/(0.5*(Inputs!$C$49+Inputs!$C$50))+Inputs!$C$47*0.097)))+0.30*(2*((SIN(((Model_Data!A123)*12.9898+(Inputs!$C$6)*78.233+Inputs!$C$47*37.719))*43758.5453)-INT((SIN(((Model_Data!A123)*12.9898+(Inputs!$C$6)*78.233+Inputs!$C$47*37.719))*43758.5453)))-1))))/1000)^2))-(((Model_Data!B123)-((Inputs!$C$51*(115*EXP(-(((0)-25)^2)/(4.5^2))+70*EXP(-(((0)+38)^2)/(7^2))*(0.55+0.45*SIN(2*PI()*(Model_Data!A123)/45))+24*SIN(2*PI()*(0)/9+(Model_Data!A123)/18)*EXP(-(((0)+5)^2)/(22^2))+18*SIN(2*PI()*(Model_Data!A123)/70))+Inputs!$C$28*EXP(-(((Model_Data!A123)-Inputs!$C$29)^2)/(2*Inputs!$C$31^2))*EXP(-(((0)-Inputs!$C$30)^2)/(2*Inputs!$C$32^2))+-Inputs!$C$33*EXP(-(((((Model_Data!A123)-Inputs!$C$34)^2)+(((0)-Inputs!$C$35)^2))/(2*Inputs!$C$36^2)))+Inputs!$C$37*(0.55*SIN(2*PI()*(Model_Data!A123)/Inputs!$C$39)+0.35*COS(2*PI()*(0)/Inputs!$C$40)+0.2*SIN(2*PI()*((Model_Data!A123)+(0))/(0.5*(Inputs!$C$39+Inputs!$C$40))))+Inputs!$C$38*SIN(2*PI()*(Model_Data!A123)/Inputs!$C$39)*SIN(2*PI()*(0)/Inputs!$C$40)+-Inputs!$C$41*EXP(-(((0)-Inputs!$C$43)^2)/(2*Inputs!$C$44^2))*EXP(-(((Model_Data!A123)-Inputs!$C$42)^2)/(2*Inputs!$C$45^2))+Inputs!$C$48*(0.70*(0.45*SIN(2*PI()*(((Model_Data!A123)/Inputs!$C$49)+Inputs!$C$47*0.137))+0.35*COS(2*PI()*(((0)/Inputs!$C$50)+Inputs!$C$47*0.173))+0.20*SIN(2*PI()*(((Model_Data!A123)+(0))/(0.5*(Inputs!$C$49+Inputs!$C$50))+Inputs!$C$47*0.097)))+0.30*(2*((SIN(((Model_Data!A123)*12.9898+(0)*78.233+Inputs!$C$47*37.719))*43758.5453)-INT((SIN(((Model_Data!A123)*12.9898+(0)*78.233+Inputs!$C$47*37.719))*43758.5453)))-1))))/1000)))*1000/Inputs!$C$12)-Model_Data!F123)</x:f>
        <x:v>269.40673984293636</x:v>
      </x:c>
      <x:c r="L123" s="49"/>
      <x:c r="M123" s="48" t="n">
        <x:f>Model_Data!A123</x:f>
        <x:v>0.5</x:v>
      </x:c>
      <x:c r="N123" s="48" t="n">
        <x:f>Model_Data!P123</x:f>
        <x:v>-3.7704165418803064</x:v>
      </x:c>
      <x:c r="O123" s="48" t="n">
        <x:f>AC123</x:f>
        <x:v>23.587402612974984</x:v>
      </x:c>
      <x:c r="P123" s="48" t="n">
        <x:f>Model_Data!Q123</x:f>
        <x:v>-0.5661286098919379</x:v>
      </x:c>
      <x:c r="Q123" s="48" t="n">
        <x:f>AD123</x:f>
        <x:v>3.541652043990238</x:v>
      </x:c>
      <x:c r="R123" s="49"/>
      <x:c r="S123" s="48" t="n">
        <x:f>Model_Data!A123</x:f>
        <x:v>0.5</x:v>
      </x:c>
      <x:c r="T123" s="48" t="n">
        <x:f>Model_Data!B123-Inputs!$C$5</x:f>
        <x:v>0.00027777777779647295</x:v>
      </x:c>
      <x:c r="U123" s="49"/>
      <x:c r="V123" s="48" t="n">
        <x:f>Model_Data!A123</x:f>
        <x:v>0.5</x:v>
      </x:c>
      <x:c r="W123" s="48" t="n">
        <x:f>(-((((SQRT((Model_Data!A123)^2+Inputs!$C$6^2+((Model_Data!B123)-((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(0.45*SIN(2*PI()*(((Model_Data!A123)/Inputs!$C$49)+Inputs!$C$47*0.137))+0.35*COS(2*PI()*(((Inputs!$C$6)/Inputs!$C$50)+Inputs!$C$47*0.173))+0.20*SIN(2*PI()*(((Model_Data!A123)+(Inputs!$C$6))/(0.5*(Inputs!$C$49+Inputs!$C$50))+Inputs!$C$47*0.097)))+0.30*(2*((SIN(((Model_Data!A123)*12.9898+(Inputs!$C$6)*78.233+Inputs!$C$47*37.719))*43758.5453)-INT((SIN(((Model_Data!A123)*12.9898+(Inputs!$C$6)*78.233+Inputs!$C$47*37.719))*43758.5453)))-1))))/1000)^2))-(((Model_Data!B123)-((Inputs!$C$51*(115*EXP(-(((0)-25)^2)/(4.5^2))+70*EXP(-(((0)+38)^2)/(7^2))*(0.55+0.45*SIN(2*PI()*(Model_Data!A123)/45))+24*SIN(2*PI()*(0)/9+(Model_Data!A123)/18)*EXP(-(((0)+5)^2)/(22^2))+18*SIN(2*PI()*(Model_Data!A123)/70))+Inputs!$C$28*EXP(-(((Model_Data!A123)-Inputs!$C$29)^2)/(2*Inputs!$C$31^2))*EXP(-(((0)-Inputs!$C$30)^2)/(2*Inputs!$C$32^2))+-Inputs!$C$33*EXP(-(((((Model_Data!A123)-Inputs!$C$34)^2)+(((0)-Inputs!$C$35)^2))/(2*Inputs!$C$36^2)))+Inputs!$C$37*(0.55*SIN(2*PI()*(Model_Data!A123)/Inputs!$C$39)+0.35*COS(2*PI()*(0)/Inputs!$C$40)+0.2*SIN(2*PI()*((Model_Data!A123)+(0))/(0.5*(Inputs!$C$39+Inputs!$C$40))))+Inputs!$C$38*SIN(2*PI()*(Model_Data!A123)/Inputs!$C$39)*SIN(2*PI()*(0)/Inputs!$C$40)+-Inputs!$C$41*EXP(-(((0)-Inputs!$C$43)^2)/(2*Inputs!$C$44^2))*EXP(-(((Model_Data!A123)-Inputs!$C$42)^2)/(2*Inputs!$C$45^2))+Inputs!$C$48*(0.70*(0.45*SIN(2*PI()*(((Model_Data!A123)/Inputs!$C$49)+Inputs!$C$47*0.137))+0.35*COS(2*PI()*(((0)/Inputs!$C$50)+Inputs!$C$47*0.173))+0.20*SIN(2*PI()*(((Model_Data!A123)+(0))/(0.5*(Inputs!$C$49+Inputs!$C$50))+Inputs!$C$47*0.097)))+0.30*(2*((SIN(((Model_Data!A123)*12.9898+(0)*78.233+Inputs!$C$47*37.719))*43758.5453)-INT((SIN(((Model_Data!A123)*12.9898+(0)*78.233+Inputs!$C$47*37.719))*43758.5453)))-1))))/1000)))*1000/Inputs!$C$12)-Model_Data!F123))-(-(((SQRT((Model_Data!A123)^2+Inputs!$C$6^2+(Inputs!$C$5-((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(0.45*SIN(2*PI()*(((Model_Data!A123)/Inputs!$C$49)+Inputs!$C$47*0.137))+0.35*COS(2*PI()*(((Inputs!$C$6)/Inputs!$C$50)+Inputs!$C$47*0.173))+0.20*SIN(2*PI()*(((Model_Data!A123)+(Inputs!$C$6))/(0.5*(Inputs!$C$49+Inputs!$C$50))+Inputs!$C$47*0.097)))+0.30*(2*((SIN(((Model_Data!A123)*12.9898+(Inputs!$C$6)*78.233+Inputs!$C$47*37.719))*43758.5453)-INT((SIN(((Model_Data!A123)*12.9898+(Inputs!$C$6)*78.233+Inputs!$C$47*37.719))*43758.5453)))-1))))/1000)^2)-(Inputs!$C$5-((Inputs!$C$51*(115*EXP(-(((0)-25)^2)/(4.5^2))+70*EXP(-(((0)+38)^2)/(7^2))*(0.55+0.45*SIN(2*PI()*(Model_Data!A123)/45))+24*SIN(2*PI()*(0)/9+(Model_Data!A123)/18)*EXP(-(((0)+5)^2)/(22^2))+18*SIN(2*PI()*(Model_Data!A123)/70))+Inputs!$C$28*EXP(-(((Model_Data!A123)-Inputs!$C$29)^2)/(2*Inputs!$C$31^2))*EXP(-(((0)-Inputs!$C$30)^2)/(2*Inputs!$C$32^2))+-Inputs!$C$33*EXP(-(((((Model_Data!A123)-Inputs!$C$34)^2)+(((0)-Inputs!$C$35)^2))/(2*Inputs!$C$36^2)))+Inputs!$C$37*(0.55*SIN(2*PI()*(Model_Data!A123)/Inputs!$C$39)+0.35*COS(2*PI()*(0)/Inputs!$C$40)+0.2*SIN(2*PI()*((Model_Data!A123)+(0))/(0.5*(Inputs!$C$39+Inputs!$C$40))))+Inputs!$C$38*SIN(2*PI()*(Model_Data!A123)/Inputs!$C$39)*SIN(2*PI()*(0)/Inputs!$C$40)+-Inputs!$C$41*EXP(-(((0)-Inputs!$C$43)^2)/(2*Inputs!$C$44^2))*EXP(-(((Model_Data!A123)-Inputs!$C$42)^2)/(2*Inputs!$C$45^2))+Inputs!$C$48*(0.70*(0.45*SIN(2*PI()*(((Model_Data!A123)/Inputs!$C$49)+Inputs!$C$47*0.137))+0.35*COS(2*PI()*(((0)/Inputs!$C$50)+Inputs!$C$47*0.173))+0.20*SIN(2*PI()*(((Model_Data!A123)+(0))/(0.5*(Inputs!$C$49+Inputs!$C$50))+Inputs!$C$47*0.097)))+0.30*(2*((SIN(((Model_Data!A123)*12.9898+(0)*78.233+Inputs!$C$47*37.719))*43758.5453)-INT((SIN(((Model_Data!A123)*12.9898+(0)*78.233+Inputs!$C$47*37.719))*43758.5453)))-1))))/1000))*1000/Inputs!$C$12)-((SQRT((Model_Data!A123)^2+Inputs!$C$6^2+Inputs!$C$5^2)-Inputs!$C$5)*1000/Inputs!$C$12)))</x:f>
        <x:v>7.330246489800629e-7</x:v>
      </x:c>
      <x:c r="X123" s="48" t="n">
        <x:f>0</x:f>
        <x:v>0</x:v>
      </x:c>
      <x:c r="Y123" s="49"/>
      <x:c r="Z123" s="48" t="n">
        <x:f>Model_Data!A123</x:f>
        <x:v>0.5</x:v>
      </x:c>
      <x:c r="AA123" s="48" t="n">
        <x:f>SQRT((Model_Data!A123)^2+Inputs!$C$6^2+((Model_Data!B123)-((Inputs!$C$51*(115*EXP(-(((Inputs!$C$6)-25)^2)/(4.5^2))+70*EXP(-(((Inputs!$C$6)+38)^2)/(7^2))*(0.55+0.45*SIN(2*PI()*(Model_Data!A123)/45))+24*SIN(2*PI()*(Inputs!$C$6)/9+(Model_Data!A123)/18)*EXP(-(((Inputs!$C$6)+5)^2)/(22^2))+18*SIN(2*PI()*(Model_Data!A123)/70))+Inputs!$C$28*EXP(-(((Model_Data!A123)-Inputs!$C$29)^2)/(2*Inputs!$C$31^2))*EXP(-(((Inputs!$C$6)-Inputs!$C$30)^2)/(2*Inputs!$C$32^2))+-Inputs!$C$33*EXP(-(((((Model_Data!A123)-Inputs!$C$34)^2)+(((Inputs!$C$6)-Inputs!$C$35)^2))/(2*Inputs!$C$36^2)))+Inputs!$C$37*(0.55*SIN(2*PI()*(Model_Data!A123)/Inputs!$C$39)+0.35*COS(2*PI()*(Inputs!$C$6)/Inputs!$C$40)+0.2*SIN(2*PI()*((Model_Data!A123)+(Inputs!$C$6))/(0.5*(Inputs!$C$39+Inputs!$C$40))))+Inputs!$C$38*SIN(2*PI()*(Model_Data!A123)/Inputs!$C$39)*SIN(2*PI()*(Inputs!$C$6)/Inputs!$C$40)+-Inputs!$C$41*EXP(-(((Inputs!$C$6)-Inputs!$C$43)^2)/(2*Inputs!$C$44^2))*EXP(-(((Model_Data!A123)-Inputs!$C$42)^2)/(2*Inputs!$C$45^2))+Inputs!$C$48*(0.70*(0.45*SIN(2*PI()*(((Model_Data!A123)/Inputs!$C$49)+Inputs!$C$47*0.137))+0.35*COS(2*PI()*(((Inputs!$C$6)/Inputs!$C$50)+Inputs!$C$47*0.173))+0.20*SIN(2*PI()*(((Model_Data!A123)+(Inputs!$C$6))/(0.5*(Inputs!$C$49+Inputs!$C$50))+Inputs!$C$47*0.097)))+0.30*(2*((SIN(((Model_Data!A123)*12.9898+(Inputs!$C$6)*78.233+Inputs!$C$47*37.719))*43758.5453)-INT((SIN(((Model_Data!A123)*12.9898+(Inputs!$C$6)*78.233+Inputs!$C$47*37.719))*43758.5453)))-1))))/1000)^2)</x:f>
        <x:v>400.2992741089036</x:v>
      </x:c>
      <x:c r="AB123" s="48" t="n">
        <x:f>1000*(AA124-AA122)/(Z124-Z122)*Inputs!$C$11</x:f>
        <x:v>-58.96850653243746</x:v>
      </x:c>
      <x:c r="AC123" s="48" t="n">
        <x:f>-2*AB123/Inputs!$C$13</x:f>
        <x:v>23.587402612974984</x:v>
      </x:c>
      <x:c r="AD123" s="48" t="n">
        <x:f>-2*AB123/Inputs!$C$14</x:f>
        <x:v>3.541652043990238</x:v>
      </x:c>
    </x:row>
    <x:row r="124">
      <x:c r="A124" s="48" t="n">
        <x:f>Model_Data!A124</x:f>
        <x:v>1</x:v>
      </x:c>
      <x:c r="B124" s="48" t="n">
        <x:f>Model_Data!F124</x:f>
        <x:v>439.1763727913863</x:v>
      </x:c>
      <x:c r="C124" s="48" t="n">
        <x:f>(((SQRT((Model_Data!A124)^2+Inputs!$C$6^2+((Model_Data!B124)-((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(0.45*SIN(2*PI()*(((Model_Data!A124)/Inputs!$C$49)+Inputs!$C$47*0.137))+0.35*COS(2*PI()*(((Inputs!$C$6)/Inputs!$C$50)+Inputs!$C$47*0.173))+0.20*SIN(2*PI()*(((Model_Data!A124)+(Inputs!$C$6))/(0.5*(Inputs!$C$49+Inputs!$C$50))+Inputs!$C$47*0.097)))+0.30*(2*((SIN(((Model_Data!A124)*12.9898+(Inputs!$C$6)*78.233+Inputs!$C$47*37.719))*43758.5453)-INT((SIN(((Model_Data!A124)*12.9898+(Inputs!$C$6)*78.233+Inputs!$C$47*37.719))*43758.5453)))-1))))/1000)^2))-(((Model_Data!B124)-((Inputs!$C$51*(115*EXP(-(((0)-25)^2)/(4.5^2))+70*EXP(-(((0)+38)^2)/(7^2))*(0.55+0.45*SIN(2*PI()*(Model_Data!A124)/45))+24*SIN(2*PI()*(0)/9+(Model_Data!A124)/18)*EXP(-(((0)+5)^2)/(22^2))+18*SIN(2*PI()*(Model_Data!A124)/70))+Inputs!$C$28*EXP(-(((Model_Data!A124)-Inputs!$C$29)^2)/(2*Inputs!$C$31^2))*EXP(-(((0)-Inputs!$C$30)^2)/(2*Inputs!$C$32^2))+-Inputs!$C$33*EXP(-(((((Model_Data!A124)-Inputs!$C$34)^2)+(((0)-Inputs!$C$35)^2))/(2*Inputs!$C$36^2)))+Inputs!$C$37*(0.55*SIN(2*PI()*(Model_Data!A124)/Inputs!$C$39)+0.35*COS(2*PI()*(0)/Inputs!$C$40)+0.2*SIN(2*PI()*((Model_Data!A124)+(0))/(0.5*(Inputs!$C$39+Inputs!$C$40))))+Inputs!$C$38*SIN(2*PI()*(Model_Data!A124)/Inputs!$C$39)*SIN(2*PI()*(0)/Inputs!$C$40)+-Inputs!$C$41*EXP(-(((0)-Inputs!$C$43)^2)/(2*Inputs!$C$44^2))*EXP(-(((Model_Data!A124)-Inputs!$C$42)^2)/(2*Inputs!$C$45^2))+Inputs!$C$48*(0.70*(0.45*SIN(2*PI()*(((Model_Data!A124)/Inputs!$C$49)+Inputs!$C$47*0.137))+0.35*COS(2*PI()*(((0)/Inputs!$C$50)+Inputs!$C$47*0.173))+0.20*SIN(2*PI()*(((Model_Data!A124)+(0))/(0.5*(Inputs!$C$49+Inputs!$C$50))+Inputs!$C$47*0.097)))+0.30*(2*((SIN(((Model_Data!A124)*12.9898+(0)*78.233+Inputs!$C$47*37.719))*43758.5453)-INT((SIN(((Model_Data!A124)*12.9898+(0)*78.233+Inputs!$C$47*37.719))*43758.5453)))-1))))/1000)))*1000/Inputs!$C$12)</x:f>
        <x:v>184.38229417015694</x:v>
      </x:c>
      <x:c r="D124" s="49"/>
      <x:c r="E124" s="48" t="n">
        <x:f>Model_Data!A124</x:f>
        <x:v>1</x:v>
      </x:c>
      <x:c r="F124" s="48" t="n">
        <x:f>(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(0.45*SIN(2*PI()*(((Model_Data!A124)/Inputs!$C$49)+Inputs!$C$47*0.137))+0.35*COS(2*PI()*(((Inputs!$C$6)/Inputs!$C$50)+Inputs!$C$47*0.173))+0.20*SIN(2*PI()*(((Model_Data!A124)+(Inputs!$C$6))/(0.5*(Inputs!$C$49+Inputs!$C$50))+Inputs!$C$47*0.097)))+0.30*(2*((SIN(((Model_Data!A124)*12.9898+(Inputs!$C$6)*78.233+Inputs!$C$47*37.719))*43758.5453)-INT((SIN(((Model_Data!A124)*12.9898+(Inputs!$C$6)*78.233+Inputs!$C$47*37.719))*43758.5453)))-1)))</x:f>
        <x:v>497.58165314697214</x:v>
      </x:c>
      <x:c r="G124" s="48" t="n">
        <x:f>(Inputs!$C$51*(115*EXP(-(((0)-25)^2)/(4.5^2))+70*EXP(-(((0)+38)^2)/(7^2))*(0.55+0.45*SIN(2*PI()*(Model_Data!A124)/45))+24*SIN(2*PI()*(0)/9+(Model_Data!A124)/18)*EXP(-(((0)+5)^2)/(22^2))+18*SIN(2*PI()*(Model_Data!A124)/70))+Inputs!$C$28*EXP(-(((Model_Data!A124)-Inputs!$C$29)^2)/(2*Inputs!$C$31^2))*EXP(-(((0)-Inputs!$C$30)^2)/(2*Inputs!$C$32^2))+-Inputs!$C$33*EXP(-(((((Model_Data!A124)-Inputs!$C$34)^2)+(((0)-Inputs!$C$35)^2))/(2*Inputs!$C$36^2)))+Inputs!$C$37*(0.55*SIN(2*PI()*(Model_Data!A124)/Inputs!$C$39)+0.35*COS(2*PI()*(0)/Inputs!$C$40)+0.2*SIN(2*PI()*((Model_Data!A124)+(0))/(0.5*(Inputs!$C$39+Inputs!$C$40))))+Inputs!$C$38*SIN(2*PI()*(Model_Data!A124)/Inputs!$C$39)*SIN(2*PI()*(0)/Inputs!$C$40)+-Inputs!$C$41*EXP(-(((0)-Inputs!$C$43)^2)/(2*Inputs!$C$44^2))*EXP(-(((Model_Data!A124)-Inputs!$C$42)^2)/(2*Inputs!$C$45^2))+Inputs!$C$48*(0.70*(0.45*SIN(2*PI()*(((Model_Data!A124)/Inputs!$C$49)+Inputs!$C$47*0.137))+0.35*COS(2*PI()*(((0)/Inputs!$C$50)+Inputs!$C$47*0.173))+0.20*SIN(2*PI()*(((Model_Data!A124)+(0))/(0.5*(Inputs!$C$49+Inputs!$C$50))+Inputs!$C$47*0.097)))+0.30*(2*((SIN(((Model_Data!A124)*12.9898+(0)*78.233+Inputs!$C$47*37.719))*43758.5453)-INT((SIN(((Model_Data!A124)*12.9898+(0)*78.233+Inputs!$C$47*37.719))*43758.5453)))-1)))</x:f>
        <x:v>43.07644622126787</x:v>
      </x:c>
      <x:c r="H124" s="49"/>
      <x:c r="I124" s="48" t="n">
        <x:f>Model_Data!A124</x:f>
        <x:v>1</x:v>
      </x:c>
      <x:c r="J124" s="48" t="n">
        <x:f>((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(0.45*SIN(2*PI()*(((Model_Data!A124)/Inputs!$C$49)+Inputs!$C$47*0.137))+0.35*COS(2*PI()*(((Inputs!$C$6)/Inputs!$C$50)+Inputs!$C$47*0.173))+0.20*SIN(2*PI()*(((Model_Data!A124)+(Inputs!$C$6))/(0.5*(Inputs!$C$49+Inputs!$C$50))+Inputs!$C$47*0.097)))+0.30*(2*((SIN(((Model_Data!A124)*12.9898+(Inputs!$C$6)*78.233+Inputs!$C$47*37.719))*43758.5453)-INT((SIN(((Model_Data!A124)*12.9898+(Inputs!$C$6)*78.233+Inputs!$C$47*37.719))*43758.5453)))-1))))-((Inputs!$C$51*(115*EXP(-(((0)-25)^2)/(4.5^2))+70*EXP(-(((0)+38)^2)/(7^2))*(0.55+0.45*SIN(2*PI()*(Model_Data!A124)/45))+24*SIN(2*PI()*(0)/9+(Model_Data!A124)/18)*EXP(-(((0)+5)^2)/(22^2))+18*SIN(2*PI()*(Model_Data!A124)/70))+Inputs!$C$28*EXP(-(((Model_Data!A124)-Inputs!$C$29)^2)/(2*Inputs!$C$31^2))*EXP(-(((0)-Inputs!$C$30)^2)/(2*Inputs!$C$32^2))+-Inputs!$C$33*EXP(-(((((Model_Data!A124)-Inputs!$C$34)^2)+(((0)-Inputs!$C$35)^2))/(2*Inputs!$C$36^2)))+Inputs!$C$37*(0.55*SIN(2*PI()*(Model_Data!A124)/Inputs!$C$39)+0.35*COS(2*PI()*(0)/Inputs!$C$40)+0.2*SIN(2*PI()*((Model_Data!A124)+(0))/(0.5*(Inputs!$C$39+Inputs!$C$40))))+Inputs!$C$38*SIN(2*PI()*(Model_Data!A124)/Inputs!$C$39)*SIN(2*PI()*(0)/Inputs!$C$40)+-Inputs!$C$41*EXP(-(((0)-Inputs!$C$43)^2)/(2*Inputs!$C$44^2))*EXP(-(((Model_Data!A124)-Inputs!$C$42)^2)/(2*Inputs!$C$45^2))+Inputs!$C$48*(0.70*(0.45*SIN(2*PI()*(((Model_Data!A124)/Inputs!$C$49)+Inputs!$C$47*0.137))+0.35*COS(2*PI()*(((0)/Inputs!$C$50)+Inputs!$C$47*0.173))+0.20*SIN(2*PI()*(((Model_Data!A124)+(0))/(0.5*(Inputs!$C$49+Inputs!$C$50))+Inputs!$C$47*0.097)))+0.30*(2*((SIN(((Model_Data!A124)*12.9898+(0)*78.233+Inputs!$C$47*37.719))*43758.5453)-INT((SIN(((Model_Data!A124)*12.9898+(0)*78.233+Inputs!$C$47*37.719))*43758.5453)))-1))))</x:f>
        <x:v>454.5052069257043</x:v>
      </x:c>
      <x:c r="K124" s="48" t="n">
        <x:f>-((((SQRT((Model_Data!A124)^2+Inputs!$C$6^2+((Model_Data!B124)-((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(0.45*SIN(2*PI()*(((Model_Data!A124)/Inputs!$C$49)+Inputs!$C$47*0.137))+0.35*COS(2*PI()*(((Inputs!$C$6)/Inputs!$C$50)+Inputs!$C$47*0.173))+0.20*SIN(2*PI()*(((Model_Data!A124)+(Inputs!$C$6))/(0.5*(Inputs!$C$49+Inputs!$C$50))+Inputs!$C$47*0.097)))+0.30*(2*((SIN(((Model_Data!A124)*12.9898+(Inputs!$C$6)*78.233+Inputs!$C$47*37.719))*43758.5453)-INT((SIN(((Model_Data!A124)*12.9898+(Inputs!$C$6)*78.233+Inputs!$C$47*37.719))*43758.5453)))-1))))/1000)^2))-(((Model_Data!B124)-((Inputs!$C$51*(115*EXP(-(((0)-25)^2)/(4.5^2))+70*EXP(-(((0)+38)^2)/(7^2))*(0.55+0.45*SIN(2*PI()*(Model_Data!A124)/45))+24*SIN(2*PI()*(0)/9+(Model_Data!A124)/18)*EXP(-(((0)+5)^2)/(22^2))+18*SIN(2*PI()*(Model_Data!A124)/70))+Inputs!$C$28*EXP(-(((Model_Data!A124)-Inputs!$C$29)^2)/(2*Inputs!$C$31^2))*EXP(-(((0)-Inputs!$C$30)^2)/(2*Inputs!$C$32^2))+-Inputs!$C$33*EXP(-(((((Model_Data!A124)-Inputs!$C$34)^2)+(((0)-Inputs!$C$35)^2))/(2*Inputs!$C$36^2)))+Inputs!$C$37*(0.55*SIN(2*PI()*(Model_Data!A124)/Inputs!$C$39)+0.35*COS(2*PI()*(0)/Inputs!$C$40)+0.2*SIN(2*PI()*((Model_Data!A124)+(0))/(0.5*(Inputs!$C$39+Inputs!$C$40))))+Inputs!$C$38*SIN(2*PI()*(Model_Data!A124)/Inputs!$C$39)*SIN(2*PI()*(0)/Inputs!$C$40)+-Inputs!$C$41*EXP(-(((0)-Inputs!$C$43)^2)/(2*Inputs!$C$44^2))*EXP(-(((Model_Data!A124)-Inputs!$C$42)^2)/(2*Inputs!$C$45^2))+Inputs!$C$48*(0.70*(0.45*SIN(2*PI()*(((Model_Data!A124)/Inputs!$C$49)+Inputs!$C$47*0.137))+0.35*COS(2*PI()*(((0)/Inputs!$C$50)+Inputs!$C$47*0.173))+0.20*SIN(2*PI()*(((Model_Data!A124)+(0))/(0.5*(Inputs!$C$49+Inputs!$C$50))+Inputs!$C$47*0.097)))+0.30*(2*((SIN(((Model_Data!A124)*12.9898+(0)*78.233+Inputs!$C$47*37.719))*43758.5453)-INT((SIN(((Model_Data!A124)*12.9898+(0)*78.233+Inputs!$C$47*37.719))*43758.5453)))-1))))/1000)))*1000/Inputs!$C$12)-Model_Data!F124)</x:f>
        <x:v>254.79407862122937</x:v>
      </x:c>
      <x:c r="L124" s="49"/>
      <x:c r="M124" s="48" t="n">
        <x:f>Model_Data!A124</x:f>
        <x:v>1</x:v>
      </x:c>
      <x:c r="N124" s="48" t="n">
        <x:f>Model_Data!P124</x:f>
        <x:v>-7.540807222991734</x:v>
      </x:c>
      <x:c r="O124" s="48" t="n">
        <x:f>AC124</x:f>
        <x:v>46.9377509082733</x:v>
      </x:c>
      <x:c r="P124" s="48" t="n">
        <x:f>Model_Data!Q124</x:f>
        <x:v>-1.1322533367855456</x:v>
      </x:c>
      <x:c r="Q124" s="48" t="n">
        <x:f>AD124</x:f>
        <x:v>7.047710346587583</x:v>
      </x:c>
      <x:c r="R124" s="49"/>
      <x:c r="S124" s="48" t="n">
        <x:f>Model_Data!A124</x:f>
        <x:v>1</x:v>
      </x:c>
      <x:c r="T124" s="48" t="n">
        <x:f>Model_Data!B124-Inputs!$C$5</x:f>
        <x:v>0.0011111111111290484</x:v>
      </x:c>
      <x:c r="U124" s="49"/>
      <x:c r="V124" s="48" t="n">
        <x:f>Model_Data!A124</x:f>
        <x:v>1</x:v>
      </x:c>
      <x:c r="W124" s="48" t="n">
        <x:f>(-((((SQRT((Model_Data!A124)^2+Inputs!$C$6^2+((Model_Data!B124)-((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(0.45*SIN(2*PI()*(((Model_Data!A124)/Inputs!$C$49)+Inputs!$C$47*0.137))+0.35*COS(2*PI()*(((Inputs!$C$6)/Inputs!$C$50)+Inputs!$C$47*0.173))+0.20*SIN(2*PI()*(((Model_Data!A124)+(Inputs!$C$6))/(0.5*(Inputs!$C$49+Inputs!$C$50))+Inputs!$C$47*0.097)))+0.30*(2*((SIN(((Model_Data!A124)*12.9898+(Inputs!$C$6)*78.233+Inputs!$C$47*37.719))*43758.5453)-INT((SIN(((Model_Data!A124)*12.9898+(Inputs!$C$6)*78.233+Inputs!$C$47*37.719))*43758.5453)))-1))))/1000)^2))-(((Model_Data!B124)-((Inputs!$C$51*(115*EXP(-(((0)-25)^2)/(4.5^2))+70*EXP(-(((0)+38)^2)/(7^2))*(0.55+0.45*SIN(2*PI()*(Model_Data!A124)/45))+24*SIN(2*PI()*(0)/9+(Model_Data!A124)/18)*EXP(-(((0)+5)^2)/(22^2))+18*SIN(2*PI()*(Model_Data!A124)/70))+Inputs!$C$28*EXP(-(((Model_Data!A124)-Inputs!$C$29)^2)/(2*Inputs!$C$31^2))*EXP(-(((0)-Inputs!$C$30)^2)/(2*Inputs!$C$32^2))+-Inputs!$C$33*EXP(-(((((Model_Data!A124)-Inputs!$C$34)^2)+(((0)-Inputs!$C$35)^2))/(2*Inputs!$C$36^2)))+Inputs!$C$37*(0.55*SIN(2*PI()*(Model_Data!A124)/Inputs!$C$39)+0.35*COS(2*PI()*(0)/Inputs!$C$40)+0.2*SIN(2*PI()*((Model_Data!A124)+(0))/(0.5*(Inputs!$C$39+Inputs!$C$40))))+Inputs!$C$38*SIN(2*PI()*(Model_Data!A124)/Inputs!$C$39)*SIN(2*PI()*(0)/Inputs!$C$40)+-Inputs!$C$41*EXP(-(((0)-Inputs!$C$43)^2)/(2*Inputs!$C$44^2))*EXP(-(((Model_Data!A124)-Inputs!$C$42)^2)/(2*Inputs!$C$45^2))+Inputs!$C$48*(0.70*(0.45*SIN(2*PI()*(((Model_Data!A124)/Inputs!$C$49)+Inputs!$C$47*0.137))+0.35*COS(2*PI()*(((0)/Inputs!$C$50)+Inputs!$C$47*0.173))+0.20*SIN(2*PI()*(((Model_Data!A124)+(0))/(0.5*(Inputs!$C$49+Inputs!$C$50))+Inputs!$C$47*0.097)))+0.30*(2*((SIN(((Model_Data!A124)*12.9898+(0)*78.233+Inputs!$C$47*37.719))*43758.5453)-INT((SIN(((Model_Data!A124)*12.9898+(0)*78.233+Inputs!$C$47*37.719))*43758.5453)))-1))))/1000)))*1000/Inputs!$C$12)-Model_Data!F124))-(-(((SQRT((Model_Data!A124)^2+Inputs!$C$6^2+(Inputs!$C$5-((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(0.45*SIN(2*PI()*(((Model_Data!A124)/Inputs!$C$49)+Inputs!$C$47*0.137))+0.35*COS(2*PI()*(((Inputs!$C$6)/Inputs!$C$50)+Inputs!$C$47*0.173))+0.20*SIN(2*PI()*(((Model_Data!A124)+(Inputs!$C$6))/(0.5*(Inputs!$C$49+Inputs!$C$50))+Inputs!$C$47*0.097)))+0.30*(2*((SIN(((Model_Data!A124)*12.9898+(Inputs!$C$6)*78.233+Inputs!$C$47*37.719))*43758.5453)-INT((SIN(((Model_Data!A124)*12.9898+(Inputs!$C$6)*78.233+Inputs!$C$47*37.719))*43758.5453)))-1))))/1000)^2)-(Inputs!$C$5-((Inputs!$C$51*(115*EXP(-(((0)-25)^2)/(4.5^2))+70*EXP(-(((0)+38)^2)/(7^2))*(0.55+0.45*SIN(2*PI()*(Model_Data!A124)/45))+24*SIN(2*PI()*(0)/9+(Model_Data!A124)/18)*EXP(-(((0)+5)^2)/(22^2))+18*SIN(2*PI()*(Model_Data!A124)/70))+Inputs!$C$28*EXP(-(((Model_Data!A124)-Inputs!$C$29)^2)/(2*Inputs!$C$31^2))*EXP(-(((0)-Inputs!$C$30)^2)/(2*Inputs!$C$32^2))+-Inputs!$C$33*EXP(-(((((Model_Data!A124)-Inputs!$C$34)^2)+(((0)-Inputs!$C$35)^2))/(2*Inputs!$C$36^2)))+Inputs!$C$37*(0.55*SIN(2*PI()*(Model_Data!A124)/Inputs!$C$39)+0.35*COS(2*PI()*(0)/Inputs!$C$40)+0.2*SIN(2*PI()*((Model_Data!A124)+(0))/(0.5*(Inputs!$C$39+Inputs!$C$40))))+Inputs!$C$38*SIN(2*PI()*(Model_Data!A124)/Inputs!$C$39)*SIN(2*PI()*(0)/Inputs!$C$40)+-Inputs!$C$41*EXP(-(((0)-Inputs!$C$43)^2)/(2*Inputs!$C$44^2))*EXP(-(((Model_Data!A124)-Inputs!$C$42)^2)/(2*Inputs!$C$45^2))+Inputs!$C$48*(0.70*(0.45*SIN(2*PI()*(((Model_Data!A124)/Inputs!$C$49)+Inputs!$C$47*0.137))+0.35*COS(2*PI()*(((0)/Inputs!$C$50)+Inputs!$C$47*0.173))+0.20*SIN(2*PI()*(((Model_Data!A124)+(0))/(0.5*(Inputs!$C$49+Inputs!$C$50))+Inputs!$C$47*0.097)))+0.30*(2*((SIN(((Model_Data!A124)*12.9898+(0)*78.233+Inputs!$C$47*37.719))*43758.5453)-INT((SIN(((Model_Data!A124)*12.9898+(0)*78.233+Inputs!$C$47*37.719))*43758.5453)))-1))))/1000))*1000/Inputs!$C$12)-((SQRT((Model_Data!A124)^2+Inputs!$C$6^2+Inputs!$C$5^2)-Inputs!$C$5)*1000/Inputs!$C$12)))</x:f>
        <x:v>0.000003025890180197166</x:v>
      </x:c>
      <x:c r="X124" s="48" t="n">
        <x:f>0</x:f>
        <x:v>0</x:v>
      </x:c>
      <x:c r="Y124" s="49"/>
      <x:c r="Z124" s="48" t="n">
        <x:f>Model_Data!A124</x:f>
        <x:v>1</x:v>
      </x:c>
      <x:c r="AA124" s="48" t="n">
        <x:f>SQRT((Model_Data!A124)^2+Inputs!$C$6^2+((Model_Data!B124)-((Inputs!$C$51*(115*EXP(-(((Inputs!$C$6)-25)^2)/(4.5^2))+70*EXP(-(((Inputs!$C$6)+38)^2)/(7^2))*(0.55+0.45*SIN(2*PI()*(Model_Data!A124)/45))+24*SIN(2*PI()*(Inputs!$C$6)/9+(Model_Data!A124)/18)*EXP(-(((Inputs!$C$6)+5)^2)/(22^2))+18*SIN(2*PI()*(Model_Data!A124)/70))+Inputs!$C$28*EXP(-(((Model_Data!A124)-Inputs!$C$29)^2)/(2*Inputs!$C$31^2))*EXP(-(((Inputs!$C$6)-Inputs!$C$30)^2)/(2*Inputs!$C$32^2))+-Inputs!$C$33*EXP(-(((((Model_Data!A124)-Inputs!$C$34)^2)+(((Inputs!$C$6)-Inputs!$C$35)^2))/(2*Inputs!$C$36^2)))+Inputs!$C$37*(0.55*SIN(2*PI()*(Model_Data!A124)/Inputs!$C$39)+0.35*COS(2*PI()*(Inputs!$C$6)/Inputs!$C$40)+0.2*SIN(2*PI()*((Model_Data!A124)+(Inputs!$C$6))/(0.5*(Inputs!$C$39+Inputs!$C$40))))+Inputs!$C$38*SIN(2*PI()*(Model_Data!A124)/Inputs!$C$39)*SIN(2*PI()*(Inputs!$C$6)/Inputs!$C$40)+-Inputs!$C$41*EXP(-(((Inputs!$C$6)-Inputs!$C$43)^2)/(2*Inputs!$C$44^2))*EXP(-(((Model_Data!A124)-Inputs!$C$42)^2)/(2*Inputs!$C$45^2))+Inputs!$C$48*(0.70*(0.45*SIN(2*PI()*(((Model_Data!A124)/Inputs!$C$49)+Inputs!$C$47*0.137))+0.35*COS(2*PI()*(((Inputs!$C$6)/Inputs!$C$50)+Inputs!$C$47*0.173))+0.20*SIN(2*PI()*(((Model_Data!A124)+(Inputs!$C$6))/(0.5*(Inputs!$C$49+Inputs!$C$50))+Inputs!$C$47*0.097)))+0.30*(2*((SIN(((Model_Data!A124)*12.9898+(Inputs!$C$6)*78.233+Inputs!$C$47*37.719))*43758.5453)-INT((SIN(((Model_Data!A124)*12.9898+(Inputs!$C$6)*78.233+Inputs!$C$47*37.719))*43758.5453)))-1))))/1000)^2)</x:f>
        <x:v>400.28623514851273</x:v>
      </x:c>
      <x:c r="AB124" s="48" t="n">
        <x:f>1000*(AA125-AA123)/(Z125-Z123)*Inputs!$C$11</x:f>
        <x:v>-117.34437727068325</x:v>
      </x:c>
      <x:c r="AC124" s="48" t="n">
        <x:f>-2*AB124/Inputs!$C$13</x:f>
        <x:v>46.9377509082733</x:v>
      </x:c>
      <x:c r="AD124" s="48" t="n">
        <x:f>-2*AB124/Inputs!$C$14</x:f>
        <x:v>7.047710346587583</x:v>
      </x:c>
    </x:row>
    <x:row r="125">
      <x:c r="A125" s="48" t="n">
        <x:f>Model_Data!A125</x:f>
        <x:v>1.5</x:v>
      </x:c>
      <x:c r="B125" s="48" t="n">
        <x:f>Model_Data!F125</x:f>
        <x:v>440.0509404961583</x:v>
      </x:c>
      <x:c r="C125" s="48" t="n">
        <x:f>(((SQRT((Model_Data!A125)^2+Inputs!$C$6^2+((Model_Data!B125)-((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(0.45*SIN(2*PI()*(((Model_Data!A125)/Inputs!$C$49)+Inputs!$C$47*0.137))+0.35*COS(2*PI()*(((Inputs!$C$6)/Inputs!$C$50)+Inputs!$C$47*0.173))+0.20*SIN(2*PI()*(((Model_Data!A125)+(Inputs!$C$6))/(0.5*(Inputs!$C$49+Inputs!$C$50))+Inputs!$C$47*0.097)))+0.30*(2*((SIN(((Model_Data!A125)*12.9898+(Inputs!$C$6)*78.233+Inputs!$C$47*37.719))*43758.5453)-INT((SIN(((Model_Data!A125)*12.9898+(Inputs!$C$6)*78.233+Inputs!$C$47*37.719))*43758.5453)))-1))))/1000)^2))-(((Model_Data!B125)-((Inputs!$C$51*(115*EXP(-(((0)-25)^2)/(4.5^2))+70*EXP(-(((0)+38)^2)/(7^2))*(0.55+0.45*SIN(2*PI()*(Model_Data!A125)/45))+24*SIN(2*PI()*(0)/9+(Model_Data!A125)/18)*EXP(-(((0)+5)^2)/(22^2))+18*SIN(2*PI()*(Model_Data!A125)/70))+Inputs!$C$28*EXP(-(((Model_Data!A125)-Inputs!$C$29)^2)/(2*Inputs!$C$31^2))*EXP(-(((0)-Inputs!$C$30)^2)/(2*Inputs!$C$32^2))+-Inputs!$C$33*EXP(-(((((Model_Data!A125)-Inputs!$C$34)^2)+(((0)-Inputs!$C$35)^2))/(2*Inputs!$C$36^2)))+Inputs!$C$37*(0.55*SIN(2*PI()*(Model_Data!A125)/Inputs!$C$39)+0.35*COS(2*PI()*(0)/Inputs!$C$40)+0.2*SIN(2*PI()*((Model_Data!A125)+(0))/(0.5*(Inputs!$C$39+Inputs!$C$40))))+Inputs!$C$38*SIN(2*PI()*(Model_Data!A125)/Inputs!$C$39)*SIN(2*PI()*(0)/Inputs!$C$40)+-Inputs!$C$41*EXP(-(((0)-Inputs!$C$43)^2)/(2*Inputs!$C$44^2))*EXP(-(((Model_Data!A125)-Inputs!$C$42)^2)/(2*Inputs!$C$45^2))+Inputs!$C$48*(0.70*(0.45*SIN(2*PI()*(((Model_Data!A125)/Inputs!$C$49)+Inputs!$C$47*0.137))+0.35*COS(2*PI()*(((0)/Inputs!$C$50)+Inputs!$C$47*0.173))+0.20*SIN(2*PI()*(((Model_Data!A125)+(0))/(0.5*(Inputs!$C$49+Inputs!$C$50))+Inputs!$C$47*0.097)))+0.30*(2*((SIN(((Model_Data!A125)*12.9898+(0)*78.233+Inputs!$C$47*37.719))*43758.5453)-INT((SIN(((Model_Data!A125)*12.9898+(0)*78.233+Inputs!$C$47*37.719))*43758.5453)))-1))))/1000)))*1000/Inputs!$C$12)</x:f>
        <x:v>176.54661203058427</x:v>
      </x:c>
      <x:c r="D125" s="49"/>
      <x:c r="E125" s="48" t="n">
        <x:f>Model_Data!A125</x:f>
        <x:v>1.5</x:v>
      </x:c>
      <x:c r="F125" s="48" t="n">
        <x:f>(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(0.45*SIN(2*PI()*(((Model_Data!A125)/Inputs!$C$49)+Inputs!$C$47*0.137))+0.35*COS(2*PI()*(((Inputs!$C$6)/Inputs!$C$50)+Inputs!$C$47*0.173))+0.20*SIN(2*PI()*(((Model_Data!A125)+(Inputs!$C$6))/(0.5*(Inputs!$C$49+Inputs!$C$50))+Inputs!$C$47*0.097)))+0.30*(2*((SIN(((Model_Data!A125)*12.9898+(Inputs!$C$6)*78.233+Inputs!$C$47*37.719))*43758.5453)-INT((SIN(((Model_Data!A125)*12.9898+(Inputs!$C$6)*78.233+Inputs!$C$47*37.719))*43758.5453)))-1)))</x:f>
        <x:v>516.864115303311</x:v>
      </x:c>
      <x:c r="G125" s="48" t="n">
        <x:f>(Inputs!$C$51*(115*EXP(-(((0)-25)^2)/(4.5^2))+70*EXP(-(((0)+38)^2)/(7^2))*(0.55+0.45*SIN(2*PI()*(Model_Data!A125)/45))+24*SIN(2*PI()*(0)/9+(Model_Data!A125)/18)*EXP(-(((0)+5)^2)/(22^2))+18*SIN(2*PI()*(Model_Data!A125)/70))+Inputs!$C$28*EXP(-(((Model_Data!A125)-Inputs!$C$29)^2)/(2*Inputs!$C$31^2))*EXP(-(((0)-Inputs!$C$30)^2)/(2*Inputs!$C$32^2))+-Inputs!$C$33*EXP(-(((((Model_Data!A125)-Inputs!$C$34)^2)+(((0)-Inputs!$C$35)^2))/(2*Inputs!$C$36^2)))+Inputs!$C$37*(0.55*SIN(2*PI()*(Model_Data!A125)/Inputs!$C$39)+0.35*COS(2*PI()*(0)/Inputs!$C$40)+0.2*SIN(2*PI()*((Model_Data!A125)+(0))/(0.5*(Inputs!$C$39+Inputs!$C$40))))+Inputs!$C$38*SIN(2*PI()*(Model_Data!A125)/Inputs!$C$39)*SIN(2*PI()*(0)/Inputs!$C$40)+-Inputs!$C$41*EXP(-(((0)-Inputs!$C$43)^2)/(2*Inputs!$C$44^2))*EXP(-(((Model_Data!A125)-Inputs!$C$42)^2)/(2*Inputs!$C$45^2))+Inputs!$C$48*(0.70*(0.45*SIN(2*PI()*(((Model_Data!A125)/Inputs!$C$49)+Inputs!$C$47*0.137))+0.35*COS(2*PI()*(((0)/Inputs!$C$50)+Inputs!$C$47*0.173))+0.20*SIN(2*PI()*(((Model_Data!A125)+(0))/(0.5*(Inputs!$C$49+Inputs!$C$50))+Inputs!$C$47*0.097)))+0.30*(2*((SIN(((Model_Data!A125)*12.9898+(0)*78.233+Inputs!$C$47*37.719))*43758.5453)-INT((SIN(((Model_Data!A125)*12.9898+(0)*78.233+Inputs!$C$47*37.719))*43758.5453)))-1)))</x:f>
        <x:v>46.8149548284789</x:v>
      </x:c>
      <x:c r="H125" s="49"/>
      <x:c r="I125" s="48" t="n">
        <x:f>Model_Data!A125</x:f>
        <x:v>1.5</x:v>
      </x:c>
      <x:c r="J125" s="48" t="n">
        <x:f>((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(0.45*SIN(2*PI()*(((Model_Data!A125)/Inputs!$C$49)+Inputs!$C$47*0.137))+0.35*COS(2*PI()*(((Inputs!$C$6)/Inputs!$C$50)+Inputs!$C$47*0.173))+0.20*SIN(2*PI()*(((Model_Data!A125)+(Inputs!$C$6))/(0.5*(Inputs!$C$49+Inputs!$C$50))+Inputs!$C$47*0.097)))+0.30*(2*((SIN(((Model_Data!A125)*12.9898+(Inputs!$C$6)*78.233+Inputs!$C$47*37.719))*43758.5453)-INT((SIN(((Model_Data!A125)*12.9898+(Inputs!$C$6)*78.233+Inputs!$C$47*37.719))*43758.5453)))-1))))-((Inputs!$C$51*(115*EXP(-(((0)-25)^2)/(4.5^2))+70*EXP(-(((0)+38)^2)/(7^2))*(0.55+0.45*SIN(2*PI()*(Model_Data!A125)/45))+24*SIN(2*PI()*(0)/9+(Model_Data!A125)/18)*EXP(-(((0)+5)^2)/(22^2))+18*SIN(2*PI()*(Model_Data!A125)/70))+Inputs!$C$28*EXP(-(((Model_Data!A125)-Inputs!$C$29)^2)/(2*Inputs!$C$31^2))*EXP(-(((0)-Inputs!$C$30)^2)/(2*Inputs!$C$32^2))+-Inputs!$C$33*EXP(-(((((Model_Data!A125)-Inputs!$C$34)^2)+(((0)-Inputs!$C$35)^2))/(2*Inputs!$C$36^2)))+Inputs!$C$37*(0.55*SIN(2*PI()*(Model_Data!A125)/Inputs!$C$39)+0.35*COS(2*PI()*(0)/Inputs!$C$40)+0.2*SIN(2*PI()*((Model_Data!A125)+(0))/(0.5*(Inputs!$C$39+Inputs!$C$40))))+Inputs!$C$38*SIN(2*PI()*(Model_Data!A125)/Inputs!$C$39)*SIN(2*PI()*(0)/Inputs!$C$40)+-Inputs!$C$41*EXP(-(((0)-Inputs!$C$43)^2)/(2*Inputs!$C$44^2))*EXP(-(((Model_Data!A125)-Inputs!$C$42)^2)/(2*Inputs!$C$45^2))+Inputs!$C$48*(0.70*(0.45*SIN(2*PI()*(((Model_Data!A125)/Inputs!$C$49)+Inputs!$C$47*0.137))+0.35*COS(2*PI()*(((0)/Inputs!$C$50)+Inputs!$C$47*0.173))+0.20*SIN(2*PI()*(((Model_Data!A125)+(0))/(0.5*(Inputs!$C$49+Inputs!$C$50))+Inputs!$C$47*0.097)))+0.30*(2*((SIN(((Model_Data!A125)*12.9898+(0)*78.233+Inputs!$C$47*37.719))*43758.5453)-INT((SIN(((Model_Data!A125)*12.9898+(0)*78.233+Inputs!$C$47*37.719))*43758.5453)))-1))))</x:f>
        <x:v>470.0491604748321</x:v>
      </x:c>
      <x:c r="K125" s="48" t="n">
        <x:f>-((((SQRT((Model_Data!A125)^2+Inputs!$C$6^2+((Model_Data!B125)-((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(0.45*SIN(2*PI()*(((Model_Data!A125)/Inputs!$C$49)+Inputs!$C$47*0.137))+0.35*COS(2*PI()*(((Inputs!$C$6)/Inputs!$C$50)+Inputs!$C$47*0.173))+0.20*SIN(2*PI()*(((Model_Data!A125)+(Inputs!$C$6))/(0.5*(Inputs!$C$49+Inputs!$C$50))+Inputs!$C$47*0.097)))+0.30*(2*((SIN(((Model_Data!A125)*12.9898+(Inputs!$C$6)*78.233+Inputs!$C$47*37.719))*43758.5453)-INT((SIN(((Model_Data!A125)*12.9898+(Inputs!$C$6)*78.233+Inputs!$C$47*37.719))*43758.5453)))-1))))/1000)^2))-(((Model_Data!B125)-((Inputs!$C$51*(115*EXP(-(((0)-25)^2)/(4.5^2))+70*EXP(-(((0)+38)^2)/(7^2))*(0.55+0.45*SIN(2*PI()*(Model_Data!A125)/45))+24*SIN(2*PI()*(0)/9+(Model_Data!A125)/18)*EXP(-(((0)+5)^2)/(22^2))+18*SIN(2*PI()*(Model_Data!A125)/70))+Inputs!$C$28*EXP(-(((Model_Data!A125)-Inputs!$C$29)^2)/(2*Inputs!$C$31^2))*EXP(-(((0)-Inputs!$C$30)^2)/(2*Inputs!$C$32^2))+-Inputs!$C$33*EXP(-(((((Model_Data!A125)-Inputs!$C$34)^2)+(((0)-Inputs!$C$35)^2))/(2*Inputs!$C$36^2)))+Inputs!$C$37*(0.55*SIN(2*PI()*(Model_Data!A125)/Inputs!$C$39)+0.35*COS(2*PI()*(0)/Inputs!$C$40)+0.2*SIN(2*PI()*((Model_Data!A125)+(0))/(0.5*(Inputs!$C$39+Inputs!$C$40))))+Inputs!$C$38*SIN(2*PI()*(Model_Data!A125)/Inputs!$C$39)*SIN(2*PI()*(0)/Inputs!$C$40)+-Inputs!$C$41*EXP(-(((0)-Inputs!$C$43)^2)/(2*Inputs!$C$44^2))*EXP(-(((Model_Data!A125)-Inputs!$C$42)^2)/(2*Inputs!$C$45^2))+Inputs!$C$48*(0.70*(0.45*SIN(2*PI()*(((Model_Data!A125)/Inputs!$C$49)+Inputs!$C$47*0.137))+0.35*COS(2*PI()*(((0)/Inputs!$C$50)+Inputs!$C$47*0.173))+0.20*SIN(2*PI()*(((Model_Data!A125)+(0))/(0.5*(Inputs!$C$49+Inputs!$C$50))+Inputs!$C$47*0.097)))+0.30*(2*((SIN(((Model_Data!A125)*12.9898+(0)*78.233+Inputs!$C$47*37.719))*43758.5453)-INT((SIN(((Model_Data!A125)*12.9898+(0)*78.233+Inputs!$C$47*37.719))*43758.5453)))-1))))/1000)))*1000/Inputs!$C$12)-Model_Data!F125)</x:f>
        <x:v>263.5043284655741</x:v>
      </x:c>
      <x:c r="L125" s="49"/>
      <x:c r="M125" s="48" t="n">
        <x:f>Model_Data!A125</x:f>
        <x:v>1.5</x:v>
      </x:c>
      <x:c r="N125" s="48" t="n">
        <x:f>Model_Data!P125</x:f>
        <x:v>-11.311146183705798</x:v>
      </x:c>
      <x:c r="O125" s="48" t="n">
        <x:f>AC125</x:f>
        <x:v>47.645109832774324</x:v>
      </x:c>
      <x:c r="P125" s="48" t="n">
        <x:f>Model_Data!Q125</x:f>
        <x:v>-1.6983702978537236</x:v>
      </x:c>
      <x:c r="Q125" s="48" t="n">
        <x:f>AD125</x:f>
        <x:v>7.15392039531146</x:v>
      </x:c>
      <x:c r="R125" s="49"/>
      <x:c r="S125" s="48" t="n">
        <x:f>Model_Data!A125</x:f>
        <x:v>1.5</x:v>
      </x:c>
      <x:c r="T125" s="48" t="n">
        <x:f>Model_Data!B125-Inputs!$C$5</x:f>
        <x:v>0.0024999999999977263</x:v>
      </x:c>
      <x:c r="U125" s="49"/>
      <x:c r="V125" s="48" t="n">
        <x:f>Model_Data!A125</x:f>
        <x:v>1.5</x:v>
      </x:c>
      <x:c r="W125" s="48" t="n">
        <x:f>(-((((SQRT((Model_Data!A125)^2+Inputs!$C$6^2+((Model_Data!B125)-((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(0.45*SIN(2*PI()*(((Model_Data!A125)/Inputs!$C$49)+Inputs!$C$47*0.137))+0.35*COS(2*PI()*(((Inputs!$C$6)/Inputs!$C$50)+Inputs!$C$47*0.173))+0.20*SIN(2*PI()*(((Model_Data!A125)+(Inputs!$C$6))/(0.5*(Inputs!$C$49+Inputs!$C$50))+Inputs!$C$47*0.097)))+0.30*(2*((SIN(((Model_Data!A125)*12.9898+(Inputs!$C$6)*78.233+Inputs!$C$47*37.719))*43758.5453)-INT((SIN(((Model_Data!A125)*12.9898+(Inputs!$C$6)*78.233+Inputs!$C$47*37.719))*43758.5453)))-1))))/1000)^2))-(((Model_Data!B125)-((Inputs!$C$51*(115*EXP(-(((0)-25)^2)/(4.5^2))+70*EXP(-(((0)+38)^2)/(7^2))*(0.55+0.45*SIN(2*PI()*(Model_Data!A125)/45))+24*SIN(2*PI()*(0)/9+(Model_Data!A125)/18)*EXP(-(((0)+5)^2)/(22^2))+18*SIN(2*PI()*(Model_Data!A125)/70))+Inputs!$C$28*EXP(-(((Model_Data!A125)-Inputs!$C$29)^2)/(2*Inputs!$C$31^2))*EXP(-(((0)-Inputs!$C$30)^2)/(2*Inputs!$C$32^2))+-Inputs!$C$33*EXP(-(((((Model_Data!A125)-Inputs!$C$34)^2)+(((0)-Inputs!$C$35)^2))/(2*Inputs!$C$36^2)))+Inputs!$C$37*(0.55*SIN(2*PI()*(Model_Data!A125)/Inputs!$C$39)+0.35*COS(2*PI()*(0)/Inputs!$C$40)+0.2*SIN(2*PI()*((Model_Data!A125)+(0))/(0.5*(Inputs!$C$39+Inputs!$C$40))))+Inputs!$C$38*SIN(2*PI()*(Model_Data!A125)/Inputs!$C$39)*SIN(2*PI()*(0)/Inputs!$C$40)+-Inputs!$C$41*EXP(-(((0)-Inputs!$C$43)^2)/(2*Inputs!$C$44^2))*EXP(-(((Model_Data!A125)-Inputs!$C$42)^2)/(2*Inputs!$C$45^2))+Inputs!$C$48*(0.70*(0.45*SIN(2*PI()*(((Model_Data!A125)/Inputs!$C$49)+Inputs!$C$47*0.137))+0.35*COS(2*PI()*(((0)/Inputs!$C$50)+Inputs!$C$47*0.173))+0.20*SIN(2*PI()*(((Model_Data!A125)+(0))/(0.5*(Inputs!$C$49+Inputs!$C$50))+Inputs!$C$47*0.097)))+0.30*(2*((SIN(((Model_Data!A125)*12.9898+(0)*78.233+Inputs!$C$47*37.719))*43758.5453)-INT((SIN(((Model_Data!A125)*12.9898+(0)*78.233+Inputs!$C$47*37.719))*43758.5453)))-1))))/1000)))*1000/Inputs!$C$12)-Model_Data!F125))-(-(((SQRT((Model_Data!A125)^2+Inputs!$C$6^2+(Inputs!$C$5-((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(0.45*SIN(2*PI()*(((Model_Data!A125)/Inputs!$C$49)+Inputs!$C$47*0.137))+0.35*COS(2*PI()*(((Inputs!$C$6)/Inputs!$C$50)+Inputs!$C$47*0.173))+0.20*SIN(2*PI()*(((Model_Data!A125)+(Inputs!$C$6))/(0.5*(Inputs!$C$49+Inputs!$C$50))+Inputs!$C$47*0.097)))+0.30*(2*((SIN(((Model_Data!A125)*12.9898+(Inputs!$C$6)*78.233+Inputs!$C$47*37.719))*43758.5453)-INT((SIN(((Model_Data!A125)*12.9898+(Inputs!$C$6)*78.233+Inputs!$C$47*37.719))*43758.5453)))-1))))/1000)^2)-(Inputs!$C$5-((Inputs!$C$51*(115*EXP(-(((0)-25)^2)/(4.5^2))+70*EXP(-(((0)+38)^2)/(7^2))*(0.55+0.45*SIN(2*PI()*(Model_Data!A125)/45))+24*SIN(2*PI()*(0)/9+(Model_Data!A125)/18)*EXP(-(((0)+5)^2)/(22^2))+18*SIN(2*PI()*(Model_Data!A125)/70))+Inputs!$C$28*EXP(-(((Model_Data!A125)-Inputs!$C$29)^2)/(2*Inputs!$C$31^2))*EXP(-(((0)-Inputs!$C$30)^2)/(2*Inputs!$C$32^2))+-Inputs!$C$33*EXP(-(((((Model_Data!A125)-Inputs!$C$34)^2)+(((0)-Inputs!$C$35)^2))/(2*Inputs!$C$36^2)))+Inputs!$C$37*(0.55*SIN(2*PI()*(Model_Data!A125)/Inputs!$C$39)+0.35*COS(2*PI()*(0)/Inputs!$C$40)+0.2*SIN(2*PI()*((Model_Data!A125)+(0))/(0.5*(Inputs!$C$39+Inputs!$C$40))))+Inputs!$C$38*SIN(2*PI()*(Model_Data!A125)/Inputs!$C$39)*SIN(2*PI()*(0)/Inputs!$C$40)+-Inputs!$C$41*EXP(-(((0)-Inputs!$C$43)^2)/(2*Inputs!$C$44^2))*EXP(-(((Model_Data!A125)-Inputs!$C$42)^2)/(2*Inputs!$C$45^2))+Inputs!$C$48*(0.70*(0.45*SIN(2*PI()*(((Model_Data!A125)/Inputs!$C$49)+Inputs!$C$47*0.137))+0.35*COS(2*PI()*(((0)/Inputs!$C$50)+Inputs!$C$47*0.173))+0.20*SIN(2*PI()*(((Model_Data!A125)+(0))/(0.5*(Inputs!$C$49+Inputs!$C$50))+Inputs!$C$47*0.097)))+0.30*(2*((SIN(((Model_Data!A125)*12.9898+(0)*78.233+Inputs!$C$47*37.719))*43758.5453)-INT((SIN(((Model_Data!A125)*12.9898+(0)*78.233+Inputs!$C$47*37.719))*43758.5453)))-1))))/1000))*1000/Inputs!$C$12)-((SQRT((Model_Data!A125)^2+Inputs!$C$6^2+Inputs!$C$5^2)-Inputs!$C$5)*1000/Inputs!$C$12)))</x:f>
        <x:v>0.000007086681875989598</x:v>
      </x:c>
      <x:c r="X125" s="48" t="n">
        <x:f>0</x:f>
        <x:v>0</x:v>
      </x:c>
      <x:c r="Y125" s="49"/>
      <x:c r="Z125" s="48" t="n">
        <x:f>Model_Data!A125</x:f>
        <x:v>1.5</x:v>
      </x:c>
      <x:c r="AA125" s="48" t="n">
        <x:f>SQRT((Model_Data!A125)^2+Inputs!$C$6^2+((Model_Data!B125)-((Inputs!$C$51*(115*EXP(-(((Inputs!$C$6)-25)^2)/(4.5^2))+70*EXP(-(((Inputs!$C$6)+38)^2)/(7^2))*(0.55+0.45*SIN(2*PI()*(Model_Data!A125)/45))+24*SIN(2*PI()*(Inputs!$C$6)/9+(Model_Data!A125)/18)*EXP(-(((Inputs!$C$6)+5)^2)/(22^2))+18*SIN(2*PI()*(Model_Data!A125)/70))+Inputs!$C$28*EXP(-(((Model_Data!A125)-Inputs!$C$29)^2)/(2*Inputs!$C$31^2))*EXP(-(((Inputs!$C$6)-Inputs!$C$30)^2)/(2*Inputs!$C$32^2))+-Inputs!$C$33*EXP(-(((((Model_Data!A125)-Inputs!$C$34)^2)+(((Inputs!$C$6)-Inputs!$C$35)^2))/(2*Inputs!$C$36^2)))+Inputs!$C$37*(0.55*SIN(2*PI()*(Model_Data!A125)/Inputs!$C$39)+0.35*COS(2*PI()*(Inputs!$C$6)/Inputs!$C$40)+0.2*SIN(2*PI()*((Model_Data!A125)+(Inputs!$C$6))/(0.5*(Inputs!$C$39+Inputs!$C$40))))+Inputs!$C$38*SIN(2*PI()*(Model_Data!A125)/Inputs!$C$39)*SIN(2*PI()*(Inputs!$C$6)/Inputs!$C$40)+-Inputs!$C$41*EXP(-(((Inputs!$C$6)-Inputs!$C$43)^2)/(2*Inputs!$C$44^2))*EXP(-(((Model_Data!A125)-Inputs!$C$42)^2)/(2*Inputs!$C$45^2))+Inputs!$C$48*(0.70*(0.45*SIN(2*PI()*(((Model_Data!A125)/Inputs!$C$49)+Inputs!$C$47*0.137))+0.35*COS(2*PI()*(((Inputs!$C$6)/Inputs!$C$50)+Inputs!$C$47*0.173))+0.20*SIN(2*PI()*(((Model_Data!A125)+(Inputs!$C$6))/(0.5*(Inputs!$C$49+Inputs!$C$50))+Inputs!$C$47*0.097)))+0.30*(2*((SIN(((Model_Data!A125)*12.9898+(Inputs!$C$6)*78.233+Inputs!$C$47*37.719))*43758.5453)-INT((SIN(((Model_Data!A125)*12.9898+(Inputs!$C$6)*78.233+Inputs!$C$47*37.719))*43758.5453)))-1))))/1000)^2)</x:f>
        <x:v>400.26993801458593</x:v>
      </x:c>
      <x:c r="AB125" s="48" t="n">
        <x:f>1000*(AA126-AA124)/(Z126-Z124)*Inputs!$C$11</x:f>
        <x:v>-119.11277458193581</x:v>
      </x:c>
      <x:c r="AC125" s="48" t="n">
        <x:f>-2*AB125/Inputs!$C$13</x:f>
        <x:v>47.645109832774324</x:v>
      </x:c>
      <x:c r="AD125" s="48" t="n">
        <x:f>-2*AB125/Inputs!$C$14</x:f>
        <x:v>7.15392039531146</x:v>
      </x:c>
    </x:row>
    <x:row r="126">
      <x:c r="A126" s="48" t="n">
        <x:f>Model_Data!A126</x:f>
        <x:v>2</x:v>
      </x:c>
      <x:c r="B126" s="48" t="n">
        <x:f>Model_Data!F126</x:f>
        <x:v>441.2753193927467</x:v>
      </x:c>
      <x:c r="C126" s="48" t="n">
        <x:f>(((SQRT((Model_Data!A126)^2+Inputs!$C$6^2+((Model_Data!B126)-((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(0.45*SIN(2*PI()*(((Model_Data!A126)/Inputs!$C$49)+Inputs!$C$47*0.137))+0.35*COS(2*PI()*(((Inputs!$C$6)/Inputs!$C$50)+Inputs!$C$47*0.173))+0.20*SIN(2*PI()*(((Model_Data!A126)+(Inputs!$C$6))/(0.5*(Inputs!$C$49+Inputs!$C$50))+Inputs!$C$47*0.097)))+0.30*(2*((SIN(((Model_Data!A126)*12.9898+(Inputs!$C$6)*78.233+Inputs!$C$47*37.719))*43758.5453)-INT((SIN(((Model_Data!A126)*12.9898+(Inputs!$C$6)*78.233+Inputs!$C$47*37.719))*43758.5453)))-1))))/1000)^2))-(((Model_Data!B126)-((Inputs!$C$51*(115*EXP(-(((0)-25)^2)/(4.5^2))+70*EXP(-(((0)+38)^2)/(7^2))*(0.55+0.45*SIN(2*PI()*(Model_Data!A126)/45))+24*SIN(2*PI()*(0)/9+(Model_Data!A126)/18)*EXP(-(((0)+5)^2)/(22^2))+18*SIN(2*PI()*(Model_Data!A126)/70))+Inputs!$C$28*EXP(-(((Model_Data!A126)-Inputs!$C$29)^2)/(2*Inputs!$C$31^2))*EXP(-(((0)-Inputs!$C$30)^2)/(2*Inputs!$C$32^2))+-Inputs!$C$33*EXP(-(((((Model_Data!A126)-Inputs!$C$34)^2)+(((0)-Inputs!$C$35)^2))/(2*Inputs!$C$36^2)))+Inputs!$C$37*(0.55*SIN(2*PI()*(Model_Data!A126)/Inputs!$C$39)+0.35*COS(2*PI()*(0)/Inputs!$C$40)+0.2*SIN(2*PI()*((Model_Data!A126)+(0))/(0.5*(Inputs!$C$39+Inputs!$C$40))))+Inputs!$C$38*SIN(2*PI()*(Model_Data!A126)/Inputs!$C$39)*SIN(2*PI()*(0)/Inputs!$C$40)+-Inputs!$C$41*EXP(-(((0)-Inputs!$C$43)^2)/(2*Inputs!$C$44^2))*EXP(-(((Model_Data!A126)-Inputs!$C$42)^2)/(2*Inputs!$C$45^2))+Inputs!$C$48*(0.70*(0.45*SIN(2*PI()*(((Model_Data!A126)/Inputs!$C$49)+Inputs!$C$47*0.137))+0.35*COS(2*PI()*(((0)/Inputs!$C$50)+Inputs!$C$47*0.173))+0.20*SIN(2*PI()*(((Model_Data!A126)+(0))/(0.5*(Inputs!$C$49+Inputs!$C$50))+Inputs!$C$47*0.097)))+0.30*(2*((SIN(((Model_Data!A126)*12.9898+(0)*78.233+Inputs!$C$47*37.719))*43758.5453)-INT((SIN(((Model_Data!A126)*12.9898+(0)*78.233+Inputs!$C$47*37.719))*43758.5453)))-1))))/1000)))*1000/Inputs!$C$12)</x:f>
        <x:v>178.41049905954287</x:v>
      </x:c>
      <x:c r="D126" s="49"/>
      <x:c r="E126" s="48" t="n">
        <x:f>Model_Data!A126</x:f>
        <x:v>2</x:v>
      </x:c>
      <x:c r="F126" s="48" t="n">
        <x:f>(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(0.45*SIN(2*PI()*(((Model_Data!A126)/Inputs!$C$49)+Inputs!$C$47*0.137))+0.35*COS(2*PI()*(((Inputs!$C$6)/Inputs!$C$50)+Inputs!$C$47*0.173))+0.20*SIN(2*PI()*(((Model_Data!A126)+(Inputs!$C$6))/(0.5*(Inputs!$C$49+Inputs!$C$50))+Inputs!$C$47*0.097)))+0.30*(2*((SIN(((Model_Data!A126)*12.9898+(Inputs!$C$6)*78.233+Inputs!$C$47*37.719))*43758.5453)-INT((SIN(((Model_Data!A126)*12.9898+(Inputs!$C$6)*78.233+Inputs!$C$47*37.719))*43758.5453)))-1)))</x:f>
        <x:v>534.5064840723982</x:v>
      </x:c>
      <x:c r="G126" s="48" t="n">
        <x:f>(Inputs!$C$51*(115*EXP(-(((0)-25)^2)/(4.5^2))+70*EXP(-(((0)+38)^2)/(7^2))*(0.55+0.45*SIN(2*PI()*(Model_Data!A126)/45))+24*SIN(2*PI()*(0)/9+(Model_Data!A126)/18)*EXP(-(((0)+5)^2)/(22^2))+18*SIN(2*PI()*(Model_Data!A126)/70))+Inputs!$C$28*EXP(-(((Model_Data!A126)-Inputs!$C$29)^2)/(2*Inputs!$C$31^2))*EXP(-(((0)-Inputs!$C$30)^2)/(2*Inputs!$C$32^2))+-Inputs!$C$33*EXP(-(((((Model_Data!A126)-Inputs!$C$34)^2)+(((0)-Inputs!$C$35)^2))/(2*Inputs!$C$36^2)))+Inputs!$C$37*(0.55*SIN(2*PI()*(Model_Data!A126)/Inputs!$C$39)+0.35*COS(2*PI()*(0)/Inputs!$C$40)+0.2*SIN(2*PI()*((Model_Data!A126)+(0))/(0.5*(Inputs!$C$39+Inputs!$C$40))))+Inputs!$C$38*SIN(2*PI()*(Model_Data!A126)/Inputs!$C$39)*SIN(2*PI()*(0)/Inputs!$C$40)+-Inputs!$C$41*EXP(-(((0)-Inputs!$C$43)^2)/(2*Inputs!$C$44^2))*EXP(-(((Model_Data!A126)-Inputs!$C$42)^2)/(2*Inputs!$C$45^2))+Inputs!$C$48*(0.70*(0.45*SIN(2*PI()*(((Model_Data!A126)/Inputs!$C$49)+Inputs!$C$47*0.137))+0.35*COS(2*PI()*(((0)/Inputs!$C$50)+Inputs!$C$47*0.173))+0.20*SIN(2*PI()*(((Model_Data!A126)+(0))/(0.5*(Inputs!$C$49+Inputs!$C$50))+Inputs!$C$47*0.097)))+0.30*(2*((SIN(((Model_Data!A126)*12.9898+(0)*78.233+Inputs!$C$47*37.719))*43758.5453)-INT((SIN(((Model_Data!A126)*12.9898+(0)*78.233+Inputs!$C$47*37.719))*43758.5453)))-1)))</x:f>
        <x:v>65.55817790320465</x:v>
      </x:c>
      <x:c r="H126" s="49"/>
      <x:c r="I126" s="48" t="n">
        <x:f>Model_Data!A126</x:f>
        <x:v>2</x:v>
      </x:c>
      <x:c r="J126" s="48" t="n">
        <x:f>((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(0.45*SIN(2*PI()*(((Model_Data!A126)/Inputs!$C$49)+Inputs!$C$47*0.137))+0.35*COS(2*PI()*(((Inputs!$C$6)/Inputs!$C$50)+Inputs!$C$47*0.173))+0.20*SIN(2*PI()*(((Model_Data!A126)+(Inputs!$C$6))/(0.5*(Inputs!$C$49+Inputs!$C$50))+Inputs!$C$47*0.097)))+0.30*(2*((SIN(((Model_Data!A126)*12.9898+(Inputs!$C$6)*78.233+Inputs!$C$47*37.719))*43758.5453)-INT((SIN(((Model_Data!A126)*12.9898+(Inputs!$C$6)*78.233+Inputs!$C$47*37.719))*43758.5453)))-1))))-((Inputs!$C$51*(115*EXP(-(((0)-25)^2)/(4.5^2))+70*EXP(-(((0)+38)^2)/(7^2))*(0.55+0.45*SIN(2*PI()*(Model_Data!A126)/45))+24*SIN(2*PI()*(0)/9+(Model_Data!A126)/18)*EXP(-(((0)+5)^2)/(22^2))+18*SIN(2*PI()*(Model_Data!A126)/70))+Inputs!$C$28*EXP(-(((Model_Data!A126)-Inputs!$C$29)^2)/(2*Inputs!$C$31^2))*EXP(-(((0)-Inputs!$C$30)^2)/(2*Inputs!$C$32^2))+-Inputs!$C$33*EXP(-(((((Model_Data!A126)-Inputs!$C$34)^2)+(((0)-Inputs!$C$35)^2))/(2*Inputs!$C$36^2)))+Inputs!$C$37*(0.55*SIN(2*PI()*(Model_Data!A126)/Inputs!$C$39)+0.35*COS(2*PI()*(0)/Inputs!$C$40)+0.2*SIN(2*PI()*((Model_Data!A126)+(0))/(0.5*(Inputs!$C$39+Inputs!$C$40))))+Inputs!$C$38*SIN(2*PI()*(Model_Data!A126)/Inputs!$C$39)*SIN(2*PI()*(0)/Inputs!$C$40)+-Inputs!$C$41*EXP(-(((0)-Inputs!$C$43)^2)/(2*Inputs!$C$44^2))*EXP(-(((Model_Data!A126)-Inputs!$C$42)^2)/(2*Inputs!$C$45^2))+Inputs!$C$48*(0.70*(0.45*SIN(2*PI()*(((Model_Data!A126)/Inputs!$C$49)+Inputs!$C$47*0.137))+0.35*COS(2*PI()*(((0)/Inputs!$C$50)+Inputs!$C$47*0.173))+0.20*SIN(2*PI()*(((Model_Data!A126)+(0))/(0.5*(Inputs!$C$49+Inputs!$C$50))+Inputs!$C$47*0.097)))+0.30*(2*((SIN(((Model_Data!A126)*12.9898+(0)*78.233+Inputs!$C$47*37.719))*43758.5453)-INT((SIN(((Model_Data!A126)*12.9898+(0)*78.233+Inputs!$C$47*37.719))*43758.5453)))-1))))</x:f>
        <x:v>468.94830616919353</x:v>
      </x:c>
      <x:c r="K126" s="48" t="n">
        <x:f>-((((SQRT((Model_Data!A126)^2+Inputs!$C$6^2+((Model_Data!B126)-((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(0.45*SIN(2*PI()*(((Model_Data!A126)/Inputs!$C$49)+Inputs!$C$47*0.137))+0.35*COS(2*PI()*(((Inputs!$C$6)/Inputs!$C$50)+Inputs!$C$47*0.173))+0.20*SIN(2*PI()*(((Model_Data!A126)+(Inputs!$C$6))/(0.5*(Inputs!$C$49+Inputs!$C$50))+Inputs!$C$47*0.097)))+0.30*(2*((SIN(((Model_Data!A126)*12.9898+(Inputs!$C$6)*78.233+Inputs!$C$47*37.719))*43758.5453)-INT((SIN(((Model_Data!A126)*12.9898+(Inputs!$C$6)*78.233+Inputs!$C$47*37.719))*43758.5453)))-1))))/1000)^2))-(((Model_Data!B126)-((Inputs!$C$51*(115*EXP(-(((0)-25)^2)/(4.5^2))+70*EXP(-(((0)+38)^2)/(7^2))*(0.55+0.45*SIN(2*PI()*(Model_Data!A126)/45))+24*SIN(2*PI()*(0)/9+(Model_Data!A126)/18)*EXP(-(((0)+5)^2)/(22^2))+18*SIN(2*PI()*(Model_Data!A126)/70))+Inputs!$C$28*EXP(-(((Model_Data!A126)-Inputs!$C$29)^2)/(2*Inputs!$C$31^2))*EXP(-(((0)-Inputs!$C$30)^2)/(2*Inputs!$C$32^2))+-Inputs!$C$33*EXP(-(((((Model_Data!A126)-Inputs!$C$34)^2)+(((0)-Inputs!$C$35)^2))/(2*Inputs!$C$36^2)))+Inputs!$C$37*(0.55*SIN(2*PI()*(Model_Data!A126)/Inputs!$C$39)+0.35*COS(2*PI()*(0)/Inputs!$C$40)+0.2*SIN(2*PI()*((Model_Data!A126)+(0))/(0.5*(Inputs!$C$39+Inputs!$C$40))))+Inputs!$C$38*SIN(2*PI()*(Model_Data!A126)/Inputs!$C$39)*SIN(2*PI()*(0)/Inputs!$C$40)+-Inputs!$C$41*EXP(-(((0)-Inputs!$C$43)^2)/(2*Inputs!$C$44^2))*EXP(-(((Model_Data!A126)-Inputs!$C$42)^2)/(2*Inputs!$C$45^2))+Inputs!$C$48*(0.70*(0.45*SIN(2*PI()*(((Model_Data!A126)/Inputs!$C$49)+Inputs!$C$47*0.137))+0.35*COS(2*PI()*(((0)/Inputs!$C$50)+Inputs!$C$47*0.173))+0.20*SIN(2*PI()*(((Model_Data!A126)+(0))/(0.5*(Inputs!$C$49+Inputs!$C$50))+Inputs!$C$47*0.097)))+0.30*(2*((SIN(((Model_Data!A126)*12.9898+(0)*78.233+Inputs!$C$47*37.719))*43758.5453)-INT((SIN(((Model_Data!A126)*12.9898+(0)*78.233+Inputs!$C$47*37.719))*43758.5453)))-1))))/1000)))*1000/Inputs!$C$12)-Model_Data!F126)</x:f>
        <x:v>262.86482033320385</x:v>
      </x:c>
      <x:c r="L126" s="49"/>
      <x:c r="M126" s="48" t="n">
        <x:f>Model_Data!A126</x:f>
        <x:v>2</x:v>
      </x:c>
      <x:c r="N126" s="48" t="n">
        <x:f>Model_Data!P126</x:f>
        <x:v>-15.081407566674704</x:v>
      </x:c>
      <x:c r="O126" s="48" t="n">
        <x:f>AC126</x:f>
        <x:v>37.391373886748624</x:v>
      </x:c>
      <x:c r="P126" s="48" t="n">
        <x:f>Model_Data!Q126</x:f>
        <x:v>-2.2644756106118176</x:v>
      </x:c>
      <x:c r="Q126" s="48" t="n">
        <x:f>AD126</x:f>
        <x:v>5.61432040341571</x:v>
      </x:c>
      <x:c r="R126" s="49"/>
      <x:c r="S126" s="48" t="n">
        <x:f>Model_Data!A126</x:f>
        <x:v>2</x:v>
      </x:c>
      <x:c r="T126" s="48" t="n">
        <x:f>Model_Data!B126-Inputs!$C$5</x:f>
        <x:v>0.00444444444445935</x:v>
      </x:c>
      <x:c r="U126" s="49"/>
      <x:c r="V126" s="48" t="n">
        <x:f>Model_Data!A126</x:f>
        <x:v>2</x:v>
      </x:c>
      <x:c r="W126" s="48" t="n">
        <x:f>(-((((SQRT((Model_Data!A126)^2+Inputs!$C$6^2+((Model_Data!B126)-((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(0.45*SIN(2*PI()*(((Model_Data!A126)/Inputs!$C$49)+Inputs!$C$47*0.137))+0.35*COS(2*PI()*(((Inputs!$C$6)/Inputs!$C$50)+Inputs!$C$47*0.173))+0.20*SIN(2*PI()*(((Model_Data!A126)+(Inputs!$C$6))/(0.5*(Inputs!$C$49+Inputs!$C$50))+Inputs!$C$47*0.097)))+0.30*(2*((SIN(((Model_Data!A126)*12.9898+(Inputs!$C$6)*78.233+Inputs!$C$47*37.719))*43758.5453)-INT((SIN(((Model_Data!A126)*12.9898+(Inputs!$C$6)*78.233+Inputs!$C$47*37.719))*43758.5453)))-1))))/1000)^2))-(((Model_Data!B126)-((Inputs!$C$51*(115*EXP(-(((0)-25)^2)/(4.5^2))+70*EXP(-(((0)+38)^2)/(7^2))*(0.55+0.45*SIN(2*PI()*(Model_Data!A126)/45))+24*SIN(2*PI()*(0)/9+(Model_Data!A126)/18)*EXP(-(((0)+5)^2)/(22^2))+18*SIN(2*PI()*(Model_Data!A126)/70))+Inputs!$C$28*EXP(-(((Model_Data!A126)-Inputs!$C$29)^2)/(2*Inputs!$C$31^2))*EXP(-(((0)-Inputs!$C$30)^2)/(2*Inputs!$C$32^2))+-Inputs!$C$33*EXP(-(((((Model_Data!A126)-Inputs!$C$34)^2)+(((0)-Inputs!$C$35)^2))/(2*Inputs!$C$36^2)))+Inputs!$C$37*(0.55*SIN(2*PI()*(Model_Data!A126)/Inputs!$C$39)+0.35*COS(2*PI()*(0)/Inputs!$C$40)+0.2*SIN(2*PI()*((Model_Data!A126)+(0))/(0.5*(Inputs!$C$39+Inputs!$C$40))))+Inputs!$C$38*SIN(2*PI()*(Model_Data!A126)/Inputs!$C$39)*SIN(2*PI()*(0)/Inputs!$C$40)+-Inputs!$C$41*EXP(-(((0)-Inputs!$C$43)^2)/(2*Inputs!$C$44^2))*EXP(-(((Model_Data!A126)-Inputs!$C$42)^2)/(2*Inputs!$C$45^2))+Inputs!$C$48*(0.70*(0.45*SIN(2*PI()*(((Model_Data!A126)/Inputs!$C$49)+Inputs!$C$47*0.137))+0.35*COS(2*PI()*(((0)/Inputs!$C$50)+Inputs!$C$47*0.173))+0.20*SIN(2*PI()*(((Model_Data!A126)+(0))/(0.5*(Inputs!$C$49+Inputs!$C$50))+Inputs!$C$47*0.097)))+0.30*(2*((SIN(((Model_Data!A126)*12.9898+(0)*78.233+Inputs!$C$47*37.719))*43758.5453)-INT((SIN(((Model_Data!A126)*12.9898+(0)*78.233+Inputs!$C$47*37.719))*43758.5453)))-1))))/1000)))*1000/Inputs!$C$12)-Model_Data!F126))-(-(((SQRT((Model_Data!A126)^2+Inputs!$C$6^2+(Inputs!$C$5-((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(0.45*SIN(2*PI()*(((Model_Data!A126)/Inputs!$C$49)+Inputs!$C$47*0.137))+0.35*COS(2*PI()*(((Inputs!$C$6)/Inputs!$C$50)+Inputs!$C$47*0.173))+0.20*SIN(2*PI()*(((Model_Data!A126)+(Inputs!$C$6))/(0.5*(Inputs!$C$49+Inputs!$C$50))+Inputs!$C$47*0.097)))+0.30*(2*((SIN(((Model_Data!A126)*12.9898+(Inputs!$C$6)*78.233+Inputs!$C$47*37.719))*43758.5453)-INT((SIN(((Model_Data!A126)*12.9898+(Inputs!$C$6)*78.233+Inputs!$C$47*37.719))*43758.5453)))-1))))/1000)^2)-(Inputs!$C$5-((Inputs!$C$51*(115*EXP(-(((0)-25)^2)/(4.5^2))+70*EXP(-(((0)+38)^2)/(7^2))*(0.55+0.45*SIN(2*PI()*(Model_Data!A126)/45))+24*SIN(2*PI()*(0)/9+(Model_Data!A126)/18)*EXP(-(((0)+5)^2)/(22^2))+18*SIN(2*PI()*(Model_Data!A126)/70))+Inputs!$C$28*EXP(-(((Model_Data!A126)-Inputs!$C$29)^2)/(2*Inputs!$C$31^2))*EXP(-(((0)-Inputs!$C$30)^2)/(2*Inputs!$C$32^2))+-Inputs!$C$33*EXP(-(((((Model_Data!A126)-Inputs!$C$34)^2)+(((0)-Inputs!$C$35)^2))/(2*Inputs!$C$36^2)))+Inputs!$C$37*(0.55*SIN(2*PI()*(Model_Data!A126)/Inputs!$C$39)+0.35*COS(2*PI()*(0)/Inputs!$C$40)+0.2*SIN(2*PI()*((Model_Data!A126)+(0))/(0.5*(Inputs!$C$39+Inputs!$C$40))))+Inputs!$C$38*SIN(2*PI()*(Model_Data!A126)/Inputs!$C$39)*SIN(2*PI()*(0)/Inputs!$C$40)+-Inputs!$C$41*EXP(-(((0)-Inputs!$C$43)^2)/(2*Inputs!$C$44^2))*EXP(-(((Model_Data!A126)-Inputs!$C$42)^2)/(2*Inputs!$C$45^2))+Inputs!$C$48*(0.70*(0.45*SIN(2*PI()*(((Model_Data!A126)/Inputs!$C$49)+Inputs!$C$47*0.137))+0.35*COS(2*PI()*(((0)/Inputs!$C$50)+Inputs!$C$47*0.173))+0.20*SIN(2*PI()*(((Model_Data!A126)+(0))/(0.5*(Inputs!$C$49+Inputs!$C$50))+Inputs!$C$47*0.097)))+0.30*(2*((SIN(((Model_Data!A126)*12.9898+(0)*78.233+Inputs!$C$47*37.719))*43758.5453)-INT((SIN(((Model_Data!A126)*12.9898+(0)*78.233+Inputs!$C$47*37.719))*43758.5453)))-1))))/1000))*1000/Inputs!$C$12)-((SQRT((Model_Data!A126)^2+Inputs!$C$6^2+Inputs!$C$5^2)-Inputs!$C$5)*1000/Inputs!$C$12)))</x:f>
        <x:v>0.000013065491771158122</x:v>
      </x:c>
      <x:c r="X126" s="48" t="n">
        <x:f>0</x:f>
        <x:v>0</x:v>
      </x:c>
      <x:c r="Y126" s="49"/>
      <x:c r="Z126" s="48" t="n">
        <x:f>Model_Data!A126</x:f>
        <x:v>2</x:v>
      </x:c>
      <x:c r="AA126" s="48" t="n">
        <x:f>SQRT((Model_Data!A126)^2+Inputs!$C$6^2+((Model_Data!B126)-((Inputs!$C$51*(115*EXP(-(((Inputs!$C$6)-25)^2)/(4.5^2))+70*EXP(-(((Inputs!$C$6)+38)^2)/(7^2))*(0.55+0.45*SIN(2*PI()*(Model_Data!A126)/45))+24*SIN(2*PI()*(Inputs!$C$6)/9+(Model_Data!A126)/18)*EXP(-(((Inputs!$C$6)+5)^2)/(22^2))+18*SIN(2*PI()*(Model_Data!A126)/70))+Inputs!$C$28*EXP(-(((Model_Data!A126)-Inputs!$C$29)^2)/(2*Inputs!$C$31^2))*EXP(-(((Inputs!$C$6)-Inputs!$C$30)^2)/(2*Inputs!$C$32^2))+-Inputs!$C$33*EXP(-(((((Model_Data!A126)-Inputs!$C$34)^2)+(((Inputs!$C$6)-Inputs!$C$35)^2))/(2*Inputs!$C$36^2)))+Inputs!$C$37*(0.55*SIN(2*PI()*(Model_Data!A126)/Inputs!$C$39)+0.35*COS(2*PI()*(Inputs!$C$6)/Inputs!$C$40)+0.2*SIN(2*PI()*((Model_Data!A126)+(Inputs!$C$6))/(0.5*(Inputs!$C$39+Inputs!$C$40))))+Inputs!$C$38*SIN(2*PI()*(Model_Data!A126)/Inputs!$C$39)*SIN(2*PI()*(Inputs!$C$6)/Inputs!$C$40)+-Inputs!$C$41*EXP(-(((Inputs!$C$6)-Inputs!$C$43)^2)/(2*Inputs!$C$44^2))*EXP(-(((Model_Data!A126)-Inputs!$C$42)^2)/(2*Inputs!$C$45^2))+Inputs!$C$48*(0.70*(0.45*SIN(2*PI()*(((Model_Data!A126)/Inputs!$C$49)+Inputs!$C$47*0.137))+0.35*COS(2*PI()*(((Inputs!$C$6)/Inputs!$C$50)+Inputs!$C$47*0.173))+0.20*SIN(2*PI()*(((Model_Data!A126)+(Inputs!$C$6))/(0.5*(Inputs!$C$49+Inputs!$C$50))+Inputs!$C$47*0.097)))+0.30*(2*((SIN(((Model_Data!A126)*12.9898+(Inputs!$C$6)*78.233+Inputs!$C$47*37.719))*43758.5453)-INT((SIN(((Model_Data!A126)*12.9898+(Inputs!$C$6)*78.233+Inputs!$C$47*37.719))*43758.5453)))-1))))/1000)^2)</x:f>
        <x:v>400.25645695486725</x:v>
      </x:c>
      <x:c r="AB126" s="48" t="n">
        <x:f>1000*(AA127-AA125)/(Z127-Z125)*Inputs!$C$11</x:f>
        <x:v>-93.47843471687156</x:v>
      </x:c>
      <x:c r="AC126" s="48" t="n">
        <x:f>-2*AB126/Inputs!$C$13</x:f>
        <x:v>37.391373886748624</x:v>
      </x:c>
      <x:c r="AD126" s="48" t="n">
        <x:f>-2*AB126/Inputs!$C$14</x:f>
        <x:v>5.61432040341571</x:v>
      </x:c>
    </x:row>
    <x:row r="127">
      <x:c r="A127" s="48" t="n">
        <x:f>Model_Data!A127</x:f>
        <x:v>2.5</x:v>
      </x:c>
      <x:c r="B127" s="48" t="n">
        <x:f>Model_Data!F127</x:f>
        <x:v>442.849493591979</x:v>
      </x:c>
      <x:c r="C127" s="48" t="n">
        <x:f>(((SQRT((Model_Data!A127)^2+Inputs!$C$6^2+((Model_Data!B127)-((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(0.45*SIN(2*PI()*(((Model_Data!A127)/Inputs!$C$49)+Inputs!$C$47*0.137))+0.35*COS(2*PI()*(((Inputs!$C$6)/Inputs!$C$50)+Inputs!$C$47*0.173))+0.20*SIN(2*PI()*(((Model_Data!A127)+(Inputs!$C$6))/(0.5*(Inputs!$C$49+Inputs!$C$50))+Inputs!$C$47*0.097)))+0.30*(2*((SIN(((Model_Data!A127)*12.9898+(Inputs!$C$6)*78.233+Inputs!$C$47*37.719))*43758.5453)-INT((SIN(((Model_Data!A127)*12.9898+(Inputs!$C$6)*78.233+Inputs!$C$47*37.719))*43758.5453)))-1))))/1000)^2))-(((Model_Data!B127)-((Inputs!$C$51*(115*EXP(-(((0)-25)^2)/(4.5^2))+70*EXP(-(((0)+38)^2)/(7^2))*(0.55+0.45*SIN(2*PI()*(Model_Data!A127)/45))+24*SIN(2*PI()*(0)/9+(Model_Data!A127)/18)*EXP(-(((0)+5)^2)/(22^2))+18*SIN(2*PI()*(Model_Data!A127)/70))+Inputs!$C$28*EXP(-(((Model_Data!A127)-Inputs!$C$29)^2)/(2*Inputs!$C$31^2))*EXP(-(((0)-Inputs!$C$30)^2)/(2*Inputs!$C$32^2))+-Inputs!$C$33*EXP(-(((((Model_Data!A127)-Inputs!$C$34)^2)+(((0)-Inputs!$C$35)^2))/(2*Inputs!$C$36^2)))+Inputs!$C$37*(0.55*SIN(2*PI()*(Model_Data!A127)/Inputs!$C$39)+0.35*COS(2*PI()*(0)/Inputs!$C$40)+0.2*SIN(2*PI()*((Model_Data!A127)+(0))/(0.5*(Inputs!$C$39+Inputs!$C$40))))+Inputs!$C$38*SIN(2*PI()*(Model_Data!A127)/Inputs!$C$39)*SIN(2*PI()*(0)/Inputs!$C$40)+-Inputs!$C$41*EXP(-(((0)-Inputs!$C$43)^2)/(2*Inputs!$C$44^2))*EXP(-(((Model_Data!A127)-Inputs!$C$42)^2)/(2*Inputs!$C$45^2))+Inputs!$C$48*(0.70*(0.45*SIN(2*PI()*(((Model_Data!A127)/Inputs!$C$49)+Inputs!$C$47*0.137))+0.35*COS(2*PI()*(((0)/Inputs!$C$50)+Inputs!$C$47*0.173))+0.20*SIN(2*PI()*(((Model_Data!A127)+(0))/(0.5*(Inputs!$C$49+Inputs!$C$50))+Inputs!$C$47*0.097)))+0.30*(2*((SIN(((Model_Data!A127)*12.9898+(0)*78.233+Inputs!$C$47*37.719))*43758.5453)-INT((SIN(((Model_Data!A127)*12.9898+(0)*78.233+Inputs!$C$47*37.719))*43758.5453)))-1))))/1000)))*1000/Inputs!$C$12)</x:f>
        <x:v>174.45216016222716</x:v>
      </x:c>
      <x:c r="D127" s="49"/>
      <x:c r="E127" s="48" t="n">
        <x:f>Model_Data!A127</x:f>
        <x:v>2.5</x:v>
      </x:c>
      <x:c r="F127" s="48" t="n">
        <x:f>(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(0.45*SIN(2*PI()*(((Model_Data!A127)/Inputs!$C$49)+Inputs!$C$47*0.137))+0.35*COS(2*PI()*(((Inputs!$C$6)/Inputs!$C$50)+Inputs!$C$47*0.173))+0.20*SIN(2*PI()*(((Model_Data!A127)+(Inputs!$C$6))/(0.5*(Inputs!$C$49+Inputs!$C$50))+Inputs!$C$47*0.097)))+0.30*(2*((SIN(((Model_Data!A127)*12.9898+(Inputs!$C$6)*78.233+Inputs!$C$47*37.719))*43758.5453)-INT((SIN(((Model_Data!A127)*12.9898+(Inputs!$C$6)*78.233+Inputs!$C$47*37.719))*43758.5453)))-1)))</x:f>
        <x:v>549.7308148691991</x:v>
      </x:c>
      <x:c r="G127" s="48" t="n">
        <x:f>(Inputs!$C$51*(115*EXP(-(((0)-25)^2)/(4.5^2))+70*EXP(-(((0)+38)^2)/(7^2))*(0.55+0.45*SIN(2*PI()*(Model_Data!A127)/45))+24*SIN(2*PI()*(0)/9+(Model_Data!A127)/18)*EXP(-(((0)+5)^2)/(22^2))+18*SIN(2*PI()*(Model_Data!A127)/70))+Inputs!$C$28*EXP(-(((Model_Data!A127)-Inputs!$C$29)^2)/(2*Inputs!$C$31^2))*EXP(-(((0)-Inputs!$C$30)^2)/(2*Inputs!$C$32^2))+-Inputs!$C$33*EXP(-(((((Model_Data!A127)-Inputs!$C$34)^2)+(((0)-Inputs!$C$35)^2))/(2*Inputs!$C$36^2)))+Inputs!$C$37*(0.55*SIN(2*PI()*(Model_Data!A127)/Inputs!$C$39)+0.35*COS(2*PI()*(0)/Inputs!$C$40)+0.2*SIN(2*PI()*((Model_Data!A127)+(0))/(0.5*(Inputs!$C$39+Inputs!$C$40))))+Inputs!$C$38*SIN(2*PI()*(Model_Data!A127)/Inputs!$C$39)*SIN(2*PI()*(0)/Inputs!$C$40)+-Inputs!$C$41*EXP(-(((0)-Inputs!$C$43)^2)/(2*Inputs!$C$44^2))*EXP(-(((Model_Data!A127)-Inputs!$C$42)^2)/(2*Inputs!$C$45^2))+Inputs!$C$48*(0.70*(0.45*SIN(2*PI()*(((Model_Data!A127)/Inputs!$C$49)+Inputs!$C$47*0.137))+0.35*COS(2*PI()*(((0)/Inputs!$C$50)+Inputs!$C$47*0.173))+0.20*SIN(2*PI()*(((Model_Data!A127)+(0))/(0.5*(Inputs!$C$49+Inputs!$C$50))+Inputs!$C$47*0.097)))+0.30*(2*((SIN(((Model_Data!A127)*12.9898+(0)*78.233+Inputs!$C$47*37.719))*43758.5453)-INT((SIN(((Model_Data!A127)*12.9898+(0)*78.233+Inputs!$C$47*37.719))*43758.5453)))-1)))</x:f>
        <x:v>70.90088362648228</x:v>
      </x:c>
      <x:c r="H127" s="49"/>
      <x:c r="I127" s="48" t="n">
        <x:f>Model_Data!A127</x:f>
        <x:v>2.5</x:v>
      </x:c>
      <x:c r="J127" s="48" t="n">
        <x:f>((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(0.45*SIN(2*PI()*(((Model_Data!A127)/Inputs!$C$49)+Inputs!$C$47*0.137))+0.35*COS(2*PI()*(((Inputs!$C$6)/Inputs!$C$50)+Inputs!$C$47*0.173))+0.20*SIN(2*PI()*(((Model_Data!A127)+(Inputs!$C$6))/(0.5*(Inputs!$C$49+Inputs!$C$50))+Inputs!$C$47*0.097)))+0.30*(2*((SIN(((Model_Data!A127)*12.9898+(Inputs!$C$6)*78.233+Inputs!$C$47*37.719))*43758.5453)-INT((SIN(((Model_Data!A127)*12.9898+(Inputs!$C$6)*78.233+Inputs!$C$47*37.719))*43758.5453)))-1))))-((Inputs!$C$51*(115*EXP(-(((0)-25)^2)/(4.5^2))+70*EXP(-(((0)+38)^2)/(7^2))*(0.55+0.45*SIN(2*PI()*(Model_Data!A127)/45))+24*SIN(2*PI()*(0)/9+(Model_Data!A127)/18)*EXP(-(((0)+5)^2)/(22^2))+18*SIN(2*PI()*(Model_Data!A127)/70))+Inputs!$C$28*EXP(-(((Model_Data!A127)-Inputs!$C$29)^2)/(2*Inputs!$C$31^2))*EXP(-(((0)-Inputs!$C$30)^2)/(2*Inputs!$C$32^2))+-Inputs!$C$33*EXP(-(((((Model_Data!A127)-Inputs!$C$34)^2)+(((0)-Inputs!$C$35)^2))/(2*Inputs!$C$36^2)))+Inputs!$C$37*(0.55*SIN(2*PI()*(Model_Data!A127)/Inputs!$C$39)+0.35*COS(2*PI()*(0)/Inputs!$C$40)+0.2*SIN(2*PI()*((Model_Data!A127)+(0))/(0.5*(Inputs!$C$39+Inputs!$C$40))))+Inputs!$C$38*SIN(2*PI()*(Model_Data!A127)/Inputs!$C$39)*SIN(2*PI()*(0)/Inputs!$C$40)+-Inputs!$C$41*EXP(-(((0)-Inputs!$C$43)^2)/(2*Inputs!$C$44^2))*EXP(-(((Model_Data!A127)-Inputs!$C$42)^2)/(2*Inputs!$C$45^2))+Inputs!$C$48*(0.70*(0.45*SIN(2*PI()*(((Model_Data!A127)/Inputs!$C$49)+Inputs!$C$47*0.137))+0.35*COS(2*PI()*(((0)/Inputs!$C$50)+Inputs!$C$47*0.173))+0.20*SIN(2*PI()*(((Model_Data!A127)+(0))/(0.5*(Inputs!$C$49+Inputs!$C$50))+Inputs!$C$47*0.097)))+0.30*(2*((SIN(((Model_Data!A127)*12.9898+(0)*78.233+Inputs!$C$47*37.719))*43758.5453)-INT((SIN(((Model_Data!A127)*12.9898+(0)*78.233+Inputs!$C$47*37.719))*43758.5453)))-1))))</x:f>
        <x:v>478.82993124271684</x:v>
      </x:c>
      <x:c r="K127" s="48" t="n">
        <x:f>-((((SQRT((Model_Data!A127)^2+Inputs!$C$6^2+((Model_Data!B127)-((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(0.45*SIN(2*PI()*(((Model_Data!A127)/Inputs!$C$49)+Inputs!$C$47*0.137))+0.35*COS(2*PI()*(((Inputs!$C$6)/Inputs!$C$50)+Inputs!$C$47*0.173))+0.20*SIN(2*PI()*(((Model_Data!A127)+(Inputs!$C$6))/(0.5*(Inputs!$C$49+Inputs!$C$50))+Inputs!$C$47*0.097)))+0.30*(2*((SIN(((Model_Data!A127)*12.9898+(Inputs!$C$6)*78.233+Inputs!$C$47*37.719))*43758.5453)-INT((SIN(((Model_Data!A127)*12.9898+(Inputs!$C$6)*78.233+Inputs!$C$47*37.719))*43758.5453)))-1))))/1000)^2))-(((Model_Data!B127)-((Inputs!$C$51*(115*EXP(-(((0)-25)^2)/(4.5^2))+70*EXP(-(((0)+38)^2)/(7^2))*(0.55+0.45*SIN(2*PI()*(Model_Data!A127)/45))+24*SIN(2*PI()*(0)/9+(Model_Data!A127)/18)*EXP(-(((0)+5)^2)/(22^2))+18*SIN(2*PI()*(Model_Data!A127)/70))+Inputs!$C$28*EXP(-(((Model_Data!A127)-Inputs!$C$29)^2)/(2*Inputs!$C$31^2))*EXP(-(((0)-Inputs!$C$30)^2)/(2*Inputs!$C$32^2))+-Inputs!$C$33*EXP(-(((((Model_Data!A127)-Inputs!$C$34)^2)+(((0)-Inputs!$C$35)^2))/(2*Inputs!$C$36^2)))+Inputs!$C$37*(0.55*SIN(2*PI()*(Model_Data!A127)/Inputs!$C$39)+0.35*COS(2*PI()*(0)/Inputs!$C$40)+0.2*SIN(2*PI()*((Model_Data!A127)+(0))/(0.5*(Inputs!$C$39+Inputs!$C$40))))+Inputs!$C$38*SIN(2*PI()*(Model_Data!A127)/Inputs!$C$39)*SIN(2*PI()*(0)/Inputs!$C$40)+-Inputs!$C$41*EXP(-(((0)-Inputs!$C$43)^2)/(2*Inputs!$C$44^2))*EXP(-(((Model_Data!A127)-Inputs!$C$42)^2)/(2*Inputs!$C$45^2))+Inputs!$C$48*(0.70*(0.45*SIN(2*PI()*(((Model_Data!A127)/Inputs!$C$49)+Inputs!$C$47*0.137))+0.35*COS(2*PI()*(((0)/Inputs!$C$50)+Inputs!$C$47*0.173))+0.20*SIN(2*PI()*(((Model_Data!A127)+(0))/(0.5*(Inputs!$C$49+Inputs!$C$50))+Inputs!$C$47*0.097)))+0.30*(2*((SIN(((Model_Data!A127)*12.9898+(0)*78.233+Inputs!$C$47*37.719))*43758.5453)-INT((SIN(((Model_Data!A127)*12.9898+(0)*78.233+Inputs!$C$47*37.719))*43758.5453)))-1))))/1000)))*1000/Inputs!$C$12)-Model_Data!F127)</x:f>
        <x:v>268.3973334297518</x:v>
      </x:c>
      <x:c r="L127" s="49"/>
      <x:c r="M127" s="48" t="n">
        <x:f>Model_Data!A127</x:f>
        <x:v>2.5</x:v>
      </x:c>
      <x:c r="N127" s="48" t="n">
        <x:f>Model_Data!P127</x:f>
        <x:v>-18.851565517971398</x:v>
      </x:c>
      <x:c r="O127" s="48" t="n">
        <x:f>AC127</x:f>
        <x:v>-15.13361089537284</x:v>
      </x:c>
      <x:c r="P127" s="48" t="n">
        <x:f>Model_Data!Q127</x:f>
        <x:v>-2.830565393088799</x:v>
      </x:c>
      <x:c r="Q127" s="48" t="n">
        <x:f>AD127</x:f>
        <x:v>-2.2723139482541805</x:v>
      </x:c>
      <x:c r="R127" s="49"/>
      <x:c r="S127" s="48" t="n">
        <x:f>Model_Data!A127</x:f>
        <x:v>2.5</x:v>
      </x:c>
      <x:c r="T127" s="48" t="n">
        <x:f>Model_Data!B127-Inputs!$C$5</x:f>
        <x:v>0.006944444444457076</x:v>
      </x:c>
      <x:c r="U127" s="49"/>
      <x:c r="V127" s="48" t="n">
        <x:f>Model_Data!A127</x:f>
        <x:v>2.5</x:v>
      </x:c>
      <x:c r="W127" s="48" t="n">
        <x:f>(-((((SQRT((Model_Data!A127)^2+Inputs!$C$6^2+((Model_Data!B127)-((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(0.45*SIN(2*PI()*(((Model_Data!A127)/Inputs!$C$49)+Inputs!$C$47*0.137))+0.35*COS(2*PI()*(((Inputs!$C$6)/Inputs!$C$50)+Inputs!$C$47*0.173))+0.20*SIN(2*PI()*(((Model_Data!A127)+(Inputs!$C$6))/(0.5*(Inputs!$C$49+Inputs!$C$50))+Inputs!$C$47*0.097)))+0.30*(2*((SIN(((Model_Data!A127)*12.9898+(Inputs!$C$6)*78.233+Inputs!$C$47*37.719))*43758.5453)-INT((SIN(((Model_Data!A127)*12.9898+(Inputs!$C$6)*78.233+Inputs!$C$47*37.719))*43758.5453)))-1))))/1000)^2))-(((Model_Data!B127)-((Inputs!$C$51*(115*EXP(-(((0)-25)^2)/(4.5^2))+70*EXP(-(((0)+38)^2)/(7^2))*(0.55+0.45*SIN(2*PI()*(Model_Data!A127)/45))+24*SIN(2*PI()*(0)/9+(Model_Data!A127)/18)*EXP(-(((0)+5)^2)/(22^2))+18*SIN(2*PI()*(Model_Data!A127)/70))+Inputs!$C$28*EXP(-(((Model_Data!A127)-Inputs!$C$29)^2)/(2*Inputs!$C$31^2))*EXP(-(((0)-Inputs!$C$30)^2)/(2*Inputs!$C$32^2))+-Inputs!$C$33*EXP(-(((((Model_Data!A127)-Inputs!$C$34)^2)+(((0)-Inputs!$C$35)^2))/(2*Inputs!$C$36^2)))+Inputs!$C$37*(0.55*SIN(2*PI()*(Model_Data!A127)/Inputs!$C$39)+0.35*COS(2*PI()*(0)/Inputs!$C$40)+0.2*SIN(2*PI()*((Model_Data!A127)+(0))/(0.5*(Inputs!$C$39+Inputs!$C$40))))+Inputs!$C$38*SIN(2*PI()*(Model_Data!A127)/Inputs!$C$39)*SIN(2*PI()*(0)/Inputs!$C$40)+-Inputs!$C$41*EXP(-(((0)-Inputs!$C$43)^2)/(2*Inputs!$C$44^2))*EXP(-(((Model_Data!A127)-Inputs!$C$42)^2)/(2*Inputs!$C$45^2))+Inputs!$C$48*(0.70*(0.45*SIN(2*PI()*(((Model_Data!A127)/Inputs!$C$49)+Inputs!$C$47*0.137))+0.35*COS(2*PI()*(((0)/Inputs!$C$50)+Inputs!$C$47*0.173))+0.20*SIN(2*PI()*(((Model_Data!A127)+(0))/(0.5*(Inputs!$C$49+Inputs!$C$50))+Inputs!$C$47*0.097)))+0.30*(2*((SIN(((Model_Data!A127)*12.9898+(0)*78.233+Inputs!$C$47*37.719))*43758.5453)-INT((SIN(((Model_Data!A127)*12.9898+(0)*78.233+Inputs!$C$47*37.719))*43758.5453)))-1))))/1000)))*1000/Inputs!$C$12)-Model_Data!F127))-(-(((SQRT((Model_Data!A127)^2+Inputs!$C$6^2+(Inputs!$C$5-((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(0.45*SIN(2*PI()*(((Model_Data!A127)/Inputs!$C$49)+Inputs!$C$47*0.137))+0.35*COS(2*PI()*(((Inputs!$C$6)/Inputs!$C$50)+Inputs!$C$47*0.173))+0.20*SIN(2*PI()*(((Model_Data!A127)+(Inputs!$C$6))/(0.5*(Inputs!$C$49+Inputs!$C$50))+Inputs!$C$47*0.097)))+0.30*(2*((SIN(((Model_Data!A127)*12.9898+(Inputs!$C$6)*78.233+Inputs!$C$47*37.719))*43758.5453)-INT((SIN(((Model_Data!A127)*12.9898+(Inputs!$C$6)*78.233+Inputs!$C$47*37.719))*43758.5453)))-1))))/1000)^2)-(Inputs!$C$5-((Inputs!$C$51*(115*EXP(-(((0)-25)^2)/(4.5^2))+70*EXP(-(((0)+38)^2)/(7^2))*(0.55+0.45*SIN(2*PI()*(Model_Data!A127)/45))+24*SIN(2*PI()*(0)/9+(Model_Data!A127)/18)*EXP(-(((0)+5)^2)/(22^2))+18*SIN(2*PI()*(Model_Data!A127)/70))+Inputs!$C$28*EXP(-(((Model_Data!A127)-Inputs!$C$29)^2)/(2*Inputs!$C$31^2))*EXP(-(((0)-Inputs!$C$30)^2)/(2*Inputs!$C$32^2))+-Inputs!$C$33*EXP(-(((((Model_Data!A127)-Inputs!$C$34)^2)+(((0)-Inputs!$C$35)^2))/(2*Inputs!$C$36^2)))+Inputs!$C$37*(0.55*SIN(2*PI()*(Model_Data!A127)/Inputs!$C$39)+0.35*COS(2*PI()*(0)/Inputs!$C$40)+0.2*SIN(2*PI()*((Model_Data!A127)+(0))/(0.5*(Inputs!$C$39+Inputs!$C$40))))+Inputs!$C$38*SIN(2*PI()*(Model_Data!A127)/Inputs!$C$39)*SIN(2*PI()*(0)/Inputs!$C$40)+-Inputs!$C$41*EXP(-(((0)-Inputs!$C$43)^2)/(2*Inputs!$C$44^2))*EXP(-(((Model_Data!A127)-Inputs!$C$42)^2)/(2*Inputs!$C$45^2))+Inputs!$C$48*(0.70*(0.45*SIN(2*PI()*(((Model_Data!A127)/Inputs!$C$49)+Inputs!$C$47*0.137))+0.35*COS(2*PI()*(((0)/Inputs!$C$50)+Inputs!$C$47*0.173))+0.20*SIN(2*PI()*(((Model_Data!A127)+(0))/(0.5*(Inputs!$C$49+Inputs!$C$50))+Inputs!$C$47*0.097)))+0.30*(2*((SIN(((Model_Data!A127)*12.9898+(0)*78.233+Inputs!$C$47*37.719))*43758.5453)-INT((SIN(((Model_Data!A127)*12.9898+(0)*78.233+Inputs!$C$47*37.719))*43758.5453)))-1))))/1000))*1000/Inputs!$C$12)-((SQRT((Model_Data!A127)^2+Inputs!$C$6^2+Inputs!$C$5^2)-Inputs!$C$5)*1000/Inputs!$C$12)))</x:f>
        <x:v>0.00002107195115286231</x:v>
      </x:c>
      <x:c r="X127" s="48" t="n">
        <x:f>0</x:f>
        <x:v>0</x:v>
      </x:c>
      <x:c r="Y127" s="49"/>
      <x:c r="Z127" s="48" t="n">
        <x:f>Model_Data!A127</x:f>
        <x:v>2.5</x:v>
      </x:c>
      <x:c r="AA127" s="48" t="n">
        <x:f>SQRT((Model_Data!A127)^2+Inputs!$C$6^2+((Model_Data!B127)-((Inputs!$C$51*(115*EXP(-(((Inputs!$C$6)-25)^2)/(4.5^2))+70*EXP(-(((Inputs!$C$6)+38)^2)/(7^2))*(0.55+0.45*SIN(2*PI()*(Model_Data!A127)/45))+24*SIN(2*PI()*(Inputs!$C$6)/9+(Model_Data!A127)/18)*EXP(-(((Inputs!$C$6)+5)^2)/(22^2))+18*SIN(2*PI()*(Model_Data!A127)/70))+Inputs!$C$28*EXP(-(((Model_Data!A127)-Inputs!$C$29)^2)/(2*Inputs!$C$31^2))*EXP(-(((Inputs!$C$6)-Inputs!$C$30)^2)/(2*Inputs!$C$32^2))+-Inputs!$C$33*EXP(-(((((Model_Data!A127)-Inputs!$C$34)^2)+(((Inputs!$C$6)-Inputs!$C$35)^2))/(2*Inputs!$C$36^2)))+Inputs!$C$37*(0.55*SIN(2*PI()*(Model_Data!A127)/Inputs!$C$39)+0.35*COS(2*PI()*(Inputs!$C$6)/Inputs!$C$40)+0.2*SIN(2*PI()*((Model_Data!A127)+(Inputs!$C$6))/(0.5*(Inputs!$C$39+Inputs!$C$40))))+Inputs!$C$38*SIN(2*PI()*(Model_Data!A127)/Inputs!$C$39)*SIN(2*PI()*(Inputs!$C$6)/Inputs!$C$40)+-Inputs!$C$41*EXP(-(((Inputs!$C$6)-Inputs!$C$43)^2)/(2*Inputs!$C$44^2))*EXP(-(((Model_Data!A127)-Inputs!$C$42)^2)/(2*Inputs!$C$45^2))+Inputs!$C$48*(0.70*(0.45*SIN(2*PI()*(((Model_Data!A127)/Inputs!$C$49)+Inputs!$C$47*0.137))+0.35*COS(2*PI()*(((Inputs!$C$6)/Inputs!$C$50)+Inputs!$C$47*0.173))+0.20*SIN(2*PI()*(((Model_Data!A127)+(Inputs!$C$6))/(0.5*(Inputs!$C$49+Inputs!$C$50))+Inputs!$C$47*0.097)))+0.30*(2*((SIN(((Model_Data!A127)*12.9898+(Inputs!$C$6)*78.233+Inputs!$C$47*37.719))*43758.5453)-INT((SIN(((Model_Data!A127)*12.9898+(Inputs!$C$6)*78.233+Inputs!$C$47*37.719))*43758.5453)))-1))))/1000)^2)</x:f>
        <x:v>400.2465684059067</x:v>
      </x:c>
      <x:c r="AB127" s="48" t="n">
        <x:f>1000*(AA128-AA126)/(Z128-Z126)*Inputs!$C$11</x:f>
        <x:v>37.8340272384321</x:v>
      </x:c>
      <x:c r="AC127" s="48" t="n">
        <x:f>-2*AB127/Inputs!$C$13</x:f>
        <x:v>-15.13361089537284</x:v>
      </x:c>
      <x:c r="AD127" s="48" t="n">
        <x:f>-2*AB127/Inputs!$C$14</x:f>
        <x:v>-2.2723139482541805</x:v>
      </x:c>
    </x:row>
    <x:row r="128">
      <x:c r="A128" s="48" t="n">
        <x:f>Model_Data!A128</x:f>
        <x:v>3</x:v>
      </x:c>
      <x:c r="B128" s="48" t="n">
        <x:f>Model_Data!F128</x:f>
        <x:v>444.77344266602285</x:v>
      </x:c>
      <x:c r="C128" s="48" t="n">
        <x:f>(((SQRT((Model_Data!A128)^2+Inputs!$C$6^2+((Model_Data!B128)-((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(0.45*SIN(2*PI()*(((Model_Data!A128)/Inputs!$C$49)+Inputs!$C$47*0.137))+0.35*COS(2*PI()*(((Inputs!$C$6)/Inputs!$C$50)+Inputs!$C$47*0.173))+0.20*SIN(2*PI()*(((Model_Data!A128)+(Inputs!$C$6))/(0.5*(Inputs!$C$49+Inputs!$C$50))+Inputs!$C$47*0.097)))+0.30*(2*((SIN(((Model_Data!A128)*12.9898+(Inputs!$C$6)*78.233+Inputs!$C$47*37.719))*43758.5453)-INT((SIN(((Model_Data!A128)*12.9898+(Inputs!$C$6)*78.233+Inputs!$C$47*37.719))*43758.5453)))-1))))/1000)^2))-(((Model_Data!B128)-((Inputs!$C$51*(115*EXP(-(((0)-25)^2)/(4.5^2))+70*EXP(-(((0)+38)^2)/(7^2))*(0.55+0.45*SIN(2*PI()*(Model_Data!A128)/45))+24*SIN(2*PI()*(0)/9+(Model_Data!A128)/18)*EXP(-(((0)+5)^2)/(22^2))+18*SIN(2*PI()*(Model_Data!A128)/70))+Inputs!$C$28*EXP(-(((Model_Data!A128)-Inputs!$C$29)^2)/(2*Inputs!$C$31^2))*EXP(-(((0)-Inputs!$C$30)^2)/(2*Inputs!$C$32^2))+-Inputs!$C$33*EXP(-(((((Model_Data!A128)-Inputs!$C$34)^2)+(((0)-Inputs!$C$35)^2))/(2*Inputs!$C$36^2)))+Inputs!$C$37*(0.55*SIN(2*PI()*(Model_Data!A128)/Inputs!$C$39)+0.35*COS(2*PI()*(0)/Inputs!$C$40)+0.2*SIN(2*PI()*((Model_Data!A128)+(0))/(0.5*(Inputs!$C$39+Inputs!$C$40))))+Inputs!$C$38*SIN(2*PI()*(Model_Data!A128)/Inputs!$C$39)*SIN(2*PI()*(0)/Inputs!$C$40)+-Inputs!$C$41*EXP(-(((0)-Inputs!$C$43)^2)/(2*Inputs!$C$44^2))*EXP(-(((Model_Data!A128)-Inputs!$C$42)^2)/(2*Inputs!$C$45^2))+Inputs!$C$48*(0.70*(0.45*SIN(2*PI()*(((Model_Data!A128)/Inputs!$C$49)+Inputs!$C$47*0.137))+0.35*COS(2*PI()*(((0)/Inputs!$C$50)+Inputs!$C$47*0.173))+0.20*SIN(2*PI()*(((Model_Data!A128)+(0))/(0.5*(Inputs!$C$49+Inputs!$C$50))+Inputs!$C$47*0.097)))+0.30*(2*((SIN(((Model_Data!A128)*12.9898+(0)*78.233+Inputs!$C$47*37.719))*43758.5453)-INT((SIN(((Model_Data!A128)*12.9898+(0)*78.233+Inputs!$C$47*37.719))*43758.5453)))-1))))/1000)))*1000/Inputs!$C$12)</x:f>
        <x:v>189.9080491804196</x:v>
      </x:c>
      <x:c r="D128" s="49"/>
      <x:c r="E128" s="48" t="n">
        <x:f>Model_Data!A128</x:f>
        <x:v>3</x:v>
      </x:c>
      <x:c r="F128" s="48" t="n">
        <x:f>(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(0.45*SIN(2*PI()*(((Model_Data!A128)/Inputs!$C$49)+Inputs!$C$47*0.137))+0.35*COS(2*PI()*(((Inputs!$C$6)/Inputs!$C$50)+Inputs!$C$47*0.173))+0.20*SIN(2*PI()*(((Model_Data!A128)+(Inputs!$C$6))/(0.5*(Inputs!$C$49+Inputs!$C$50))+Inputs!$C$47*0.097)))+0.30*(2*((SIN(((Model_Data!A128)*12.9898+(Inputs!$C$6)*78.233+Inputs!$C$47*37.719))*43758.5453)-INT((SIN(((Model_Data!A128)*12.9898+(Inputs!$C$6)*78.233+Inputs!$C$47*37.719))*43758.5453)))-1)))</x:f>
        <x:v>536.8431041026216</x:v>
      </x:c>
      <x:c r="G128" s="48" t="n">
        <x:f>(Inputs!$C$51*(115*EXP(-(((0)-25)^2)/(4.5^2))+70*EXP(-(((0)+38)^2)/(7^2))*(0.55+0.45*SIN(2*PI()*(Model_Data!A128)/45))+24*SIN(2*PI()*(0)/9+(Model_Data!A128)/18)*EXP(-(((0)+5)^2)/(22^2))+18*SIN(2*PI()*(Model_Data!A128)/70))+Inputs!$C$28*EXP(-(((Model_Data!A128)-Inputs!$C$29)^2)/(2*Inputs!$C$31^2))*EXP(-(((0)-Inputs!$C$30)^2)/(2*Inputs!$C$32^2))+-Inputs!$C$33*EXP(-(((((Model_Data!A128)-Inputs!$C$34)^2)+(((0)-Inputs!$C$35)^2))/(2*Inputs!$C$36^2)))+Inputs!$C$37*(0.55*SIN(2*PI()*(Model_Data!A128)/Inputs!$C$39)+0.35*COS(2*PI()*(0)/Inputs!$C$40)+0.2*SIN(2*PI()*((Model_Data!A128)+(0))/(0.5*(Inputs!$C$39+Inputs!$C$40))))+Inputs!$C$38*SIN(2*PI()*(Model_Data!A128)/Inputs!$C$39)*SIN(2*PI()*(0)/Inputs!$C$40)+-Inputs!$C$41*EXP(-(((0)-Inputs!$C$43)^2)/(2*Inputs!$C$44^2))*EXP(-(((Model_Data!A128)-Inputs!$C$42)^2)/(2*Inputs!$C$45^2))+Inputs!$C$48*(0.70*(0.45*SIN(2*PI()*(((Model_Data!A128)/Inputs!$C$49)+Inputs!$C$47*0.137))+0.35*COS(2*PI()*(((0)/Inputs!$C$50)+Inputs!$C$47*0.173))+0.20*SIN(2*PI()*(((Model_Data!A128)+(0))/(0.5*(Inputs!$C$49+Inputs!$C$50))+Inputs!$C$47*0.097)))+0.30*(2*((SIN(((Model_Data!A128)*12.9898+(0)*78.233+Inputs!$C$47*37.719))*43758.5453)-INT((SIN(((Model_Data!A128)*12.9898+(0)*78.233+Inputs!$C$47*37.719))*43758.5453)))-1)))</x:f>
        <x:v>82.12086586426281</x:v>
      </x:c>
      <x:c r="H128" s="49"/>
      <x:c r="I128" s="48" t="n">
        <x:f>Model_Data!A128</x:f>
        <x:v>3</x:v>
      </x:c>
      <x:c r="J128" s="48" t="n">
        <x:f>((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(0.45*SIN(2*PI()*(((Model_Data!A128)/Inputs!$C$49)+Inputs!$C$47*0.137))+0.35*COS(2*PI()*(((Inputs!$C$6)/Inputs!$C$50)+Inputs!$C$47*0.173))+0.20*SIN(2*PI()*(((Model_Data!A128)+(Inputs!$C$6))/(0.5*(Inputs!$C$49+Inputs!$C$50))+Inputs!$C$47*0.097)))+0.30*(2*((SIN(((Model_Data!A128)*12.9898+(Inputs!$C$6)*78.233+Inputs!$C$47*37.719))*43758.5453)-INT((SIN(((Model_Data!A128)*12.9898+(Inputs!$C$6)*78.233+Inputs!$C$47*37.719))*43758.5453)))-1))))-((Inputs!$C$51*(115*EXP(-(((0)-25)^2)/(4.5^2))+70*EXP(-(((0)+38)^2)/(7^2))*(0.55+0.45*SIN(2*PI()*(Model_Data!A128)/45))+24*SIN(2*PI()*(0)/9+(Model_Data!A128)/18)*EXP(-(((0)+5)^2)/(22^2))+18*SIN(2*PI()*(Model_Data!A128)/70))+Inputs!$C$28*EXP(-(((Model_Data!A128)-Inputs!$C$29)^2)/(2*Inputs!$C$31^2))*EXP(-(((0)-Inputs!$C$30)^2)/(2*Inputs!$C$32^2))+-Inputs!$C$33*EXP(-(((((Model_Data!A128)-Inputs!$C$34)^2)+(((0)-Inputs!$C$35)^2))/(2*Inputs!$C$36^2)))+Inputs!$C$37*(0.55*SIN(2*PI()*(Model_Data!A128)/Inputs!$C$39)+0.35*COS(2*PI()*(0)/Inputs!$C$40)+0.2*SIN(2*PI()*((Model_Data!A128)+(0))/(0.5*(Inputs!$C$39+Inputs!$C$40))))+Inputs!$C$38*SIN(2*PI()*(Model_Data!A128)/Inputs!$C$39)*SIN(2*PI()*(0)/Inputs!$C$40)+-Inputs!$C$41*EXP(-(((0)-Inputs!$C$43)^2)/(2*Inputs!$C$44^2))*EXP(-(((Model_Data!A128)-Inputs!$C$42)^2)/(2*Inputs!$C$45^2))+Inputs!$C$48*(0.70*(0.45*SIN(2*PI()*(((Model_Data!A128)/Inputs!$C$49)+Inputs!$C$47*0.137))+0.35*COS(2*PI()*(((0)/Inputs!$C$50)+Inputs!$C$47*0.173))+0.20*SIN(2*PI()*(((Model_Data!A128)+(0))/(0.5*(Inputs!$C$49+Inputs!$C$50))+Inputs!$C$47*0.097)))+0.30*(2*((SIN(((Model_Data!A128)*12.9898+(0)*78.233+Inputs!$C$47*37.719))*43758.5453)-INT((SIN(((Model_Data!A128)*12.9898+(0)*78.233+Inputs!$C$47*37.719))*43758.5453)))-1))))</x:f>
        <x:v>454.72223823835884</x:v>
      </x:c>
      <x:c r="K128" s="48" t="n">
        <x:f>-((((SQRT((Model_Data!A128)^2+Inputs!$C$6^2+((Model_Data!B128)-((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(0.45*SIN(2*PI()*(((Model_Data!A128)/Inputs!$C$49)+Inputs!$C$47*0.137))+0.35*COS(2*PI()*(((Inputs!$C$6)/Inputs!$C$50)+Inputs!$C$47*0.173))+0.20*SIN(2*PI()*(((Model_Data!A128)+(Inputs!$C$6))/(0.5*(Inputs!$C$49+Inputs!$C$50))+Inputs!$C$47*0.097)))+0.30*(2*((SIN(((Model_Data!A128)*12.9898+(Inputs!$C$6)*78.233+Inputs!$C$47*37.719))*43758.5453)-INT((SIN(((Model_Data!A128)*12.9898+(Inputs!$C$6)*78.233+Inputs!$C$47*37.719))*43758.5453)))-1))))/1000)^2))-(((Model_Data!B128)-((Inputs!$C$51*(115*EXP(-(((0)-25)^2)/(4.5^2))+70*EXP(-(((0)+38)^2)/(7^2))*(0.55+0.45*SIN(2*PI()*(Model_Data!A128)/45))+24*SIN(2*PI()*(0)/9+(Model_Data!A128)/18)*EXP(-(((0)+5)^2)/(22^2))+18*SIN(2*PI()*(Model_Data!A128)/70))+Inputs!$C$28*EXP(-(((Model_Data!A128)-Inputs!$C$29)^2)/(2*Inputs!$C$31^2))*EXP(-(((0)-Inputs!$C$30)^2)/(2*Inputs!$C$32^2))+-Inputs!$C$33*EXP(-(((((Model_Data!A128)-Inputs!$C$34)^2)+(((0)-Inputs!$C$35)^2))/(2*Inputs!$C$36^2)))+Inputs!$C$37*(0.55*SIN(2*PI()*(Model_Data!A128)/Inputs!$C$39)+0.35*COS(2*PI()*(0)/Inputs!$C$40)+0.2*SIN(2*PI()*((Model_Data!A128)+(0))/(0.5*(Inputs!$C$39+Inputs!$C$40))))+Inputs!$C$38*SIN(2*PI()*(Model_Data!A128)/Inputs!$C$39)*SIN(2*PI()*(0)/Inputs!$C$40)+-Inputs!$C$41*EXP(-(((0)-Inputs!$C$43)^2)/(2*Inputs!$C$44^2))*EXP(-(((Model_Data!A128)-Inputs!$C$42)^2)/(2*Inputs!$C$45^2))+Inputs!$C$48*(0.70*(0.45*SIN(2*PI()*(((Model_Data!A128)/Inputs!$C$49)+Inputs!$C$47*0.137))+0.35*COS(2*PI()*(((0)/Inputs!$C$50)+Inputs!$C$47*0.173))+0.20*SIN(2*PI()*(((Model_Data!A128)+(0))/(0.5*(Inputs!$C$49+Inputs!$C$50))+Inputs!$C$47*0.097)))+0.30*(2*((SIN(((Model_Data!A128)*12.9898+(0)*78.233+Inputs!$C$47*37.719))*43758.5453)-INT((SIN(((Model_Data!A128)*12.9898+(0)*78.233+Inputs!$C$47*37.719))*43758.5453)))-1))))/1000)))*1000/Inputs!$C$12)-Model_Data!F128)</x:f>
        <x:v>254.86539348560325</x:v>
      </x:c>
      <x:c r="L128" s="49"/>
      <x:c r="M128" s="48" t="n">
        <x:f>Model_Data!A128</x:f>
        <x:v>3</x:v>
      </x:c>
      <x:c r="N128" s="48" t="n">
        <x:f>Model_Data!P128</x:f>
        <x:v>-22.6215941882293</x:v>
      </x:c>
      <x:c r="O128" s="48" t="n">
        <x:f>AC128</x:f>
        <x:v>-1.5788080891070422</x:v>
      </x:c>
      <x:c r="P128" s="48" t="n">
        <x:f>Model_Data!Q128</x:f>
        <x:v>-3.3966357639983933</x:v>
      </x:c>
      <x:c r="Q128" s="48" t="n">
        <x:f>AD128</x:f>
        <x:v>-0.23705827163769405</x:v>
      </x:c>
      <x:c r="R128" s="49"/>
      <x:c r="S128" s="48" t="n">
        <x:f>Model_Data!A128</x:f>
        <x:v>3</x:v>
      </x:c>
      <x:c r="T128" s="48" t="n">
        <x:f>Model_Data!B128-Inputs!$C$5</x:f>
        <x:v>0.009999999999990905</x:v>
      </x:c>
      <x:c r="U128" s="49"/>
      <x:c r="V128" s="48" t="n">
        <x:f>Model_Data!A128</x:f>
        <x:v>3</x:v>
      </x:c>
      <x:c r="W128" s="48" t="n">
        <x:f>(-((((SQRT((Model_Data!A128)^2+Inputs!$C$6^2+((Model_Data!B128)-((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(0.45*SIN(2*PI()*(((Model_Data!A128)/Inputs!$C$49)+Inputs!$C$47*0.137))+0.35*COS(2*PI()*(((Inputs!$C$6)/Inputs!$C$50)+Inputs!$C$47*0.173))+0.20*SIN(2*PI()*(((Model_Data!A128)+(Inputs!$C$6))/(0.5*(Inputs!$C$49+Inputs!$C$50))+Inputs!$C$47*0.097)))+0.30*(2*((SIN(((Model_Data!A128)*12.9898+(Inputs!$C$6)*78.233+Inputs!$C$47*37.719))*43758.5453)-INT((SIN(((Model_Data!A128)*12.9898+(Inputs!$C$6)*78.233+Inputs!$C$47*37.719))*43758.5453)))-1))))/1000)^2))-(((Model_Data!B128)-((Inputs!$C$51*(115*EXP(-(((0)-25)^2)/(4.5^2))+70*EXP(-(((0)+38)^2)/(7^2))*(0.55+0.45*SIN(2*PI()*(Model_Data!A128)/45))+24*SIN(2*PI()*(0)/9+(Model_Data!A128)/18)*EXP(-(((0)+5)^2)/(22^2))+18*SIN(2*PI()*(Model_Data!A128)/70))+Inputs!$C$28*EXP(-(((Model_Data!A128)-Inputs!$C$29)^2)/(2*Inputs!$C$31^2))*EXP(-(((0)-Inputs!$C$30)^2)/(2*Inputs!$C$32^2))+-Inputs!$C$33*EXP(-(((((Model_Data!A128)-Inputs!$C$34)^2)+(((0)-Inputs!$C$35)^2))/(2*Inputs!$C$36^2)))+Inputs!$C$37*(0.55*SIN(2*PI()*(Model_Data!A128)/Inputs!$C$39)+0.35*COS(2*PI()*(0)/Inputs!$C$40)+0.2*SIN(2*PI()*((Model_Data!A128)+(0))/(0.5*(Inputs!$C$39+Inputs!$C$40))))+Inputs!$C$38*SIN(2*PI()*(Model_Data!A128)/Inputs!$C$39)*SIN(2*PI()*(0)/Inputs!$C$40)+-Inputs!$C$41*EXP(-(((0)-Inputs!$C$43)^2)/(2*Inputs!$C$44^2))*EXP(-(((Model_Data!A128)-Inputs!$C$42)^2)/(2*Inputs!$C$45^2))+Inputs!$C$48*(0.70*(0.45*SIN(2*PI()*(((Model_Data!A128)/Inputs!$C$49)+Inputs!$C$47*0.137))+0.35*COS(2*PI()*(((0)/Inputs!$C$50)+Inputs!$C$47*0.173))+0.20*SIN(2*PI()*(((Model_Data!A128)+(0))/(0.5*(Inputs!$C$49+Inputs!$C$50))+Inputs!$C$47*0.097)))+0.30*(2*((SIN(((Model_Data!A128)*12.9898+(0)*78.233+Inputs!$C$47*37.719))*43758.5453)-INT((SIN(((Model_Data!A128)*12.9898+(0)*78.233+Inputs!$C$47*37.719))*43758.5453)))-1))))/1000)))*1000/Inputs!$C$12)-Model_Data!F128))-(-(((SQRT((Model_Data!A128)^2+Inputs!$C$6^2+(Inputs!$C$5-((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(0.45*SIN(2*PI()*(((Model_Data!A128)/Inputs!$C$49)+Inputs!$C$47*0.137))+0.35*COS(2*PI()*(((Inputs!$C$6)/Inputs!$C$50)+Inputs!$C$47*0.173))+0.20*SIN(2*PI()*(((Model_Data!A128)+(Inputs!$C$6))/(0.5*(Inputs!$C$49+Inputs!$C$50))+Inputs!$C$47*0.097)))+0.30*(2*((SIN(((Model_Data!A128)*12.9898+(Inputs!$C$6)*78.233+Inputs!$C$47*37.719))*43758.5453)-INT((SIN(((Model_Data!A128)*12.9898+(Inputs!$C$6)*78.233+Inputs!$C$47*37.719))*43758.5453)))-1))))/1000)^2)-(Inputs!$C$5-((Inputs!$C$51*(115*EXP(-(((0)-25)^2)/(4.5^2))+70*EXP(-(((0)+38)^2)/(7^2))*(0.55+0.45*SIN(2*PI()*(Model_Data!A128)/45))+24*SIN(2*PI()*(0)/9+(Model_Data!A128)/18)*EXP(-(((0)+5)^2)/(22^2))+18*SIN(2*PI()*(Model_Data!A128)/70))+Inputs!$C$28*EXP(-(((Model_Data!A128)-Inputs!$C$29)^2)/(2*Inputs!$C$31^2))*EXP(-(((0)-Inputs!$C$30)^2)/(2*Inputs!$C$32^2))+-Inputs!$C$33*EXP(-(((((Model_Data!A128)-Inputs!$C$34)^2)+(((0)-Inputs!$C$35)^2))/(2*Inputs!$C$36^2)))+Inputs!$C$37*(0.55*SIN(2*PI()*(Model_Data!A128)/Inputs!$C$39)+0.35*COS(2*PI()*(0)/Inputs!$C$40)+0.2*SIN(2*PI()*((Model_Data!A128)+(0))/(0.5*(Inputs!$C$39+Inputs!$C$40))))+Inputs!$C$38*SIN(2*PI()*(Model_Data!A128)/Inputs!$C$39)*SIN(2*PI()*(0)/Inputs!$C$40)+-Inputs!$C$41*EXP(-(((0)-Inputs!$C$43)^2)/(2*Inputs!$C$44^2))*EXP(-(((Model_Data!A128)-Inputs!$C$42)^2)/(2*Inputs!$C$45^2))+Inputs!$C$48*(0.70*(0.45*SIN(2*PI()*(((Model_Data!A128)/Inputs!$C$49)+Inputs!$C$47*0.137))+0.35*COS(2*PI()*(((0)/Inputs!$C$50)+Inputs!$C$47*0.173))+0.20*SIN(2*PI()*(((Model_Data!A128)+(0))/(0.5*(Inputs!$C$49+Inputs!$C$50))+Inputs!$C$47*0.097)))+0.30*(2*((SIN(((Model_Data!A128)*12.9898+(0)*78.233+Inputs!$C$47*37.719))*43758.5453)-INT((SIN(((Model_Data!A128)*12.9898+(0)*78.233+Inputs!$C$47*37.719))*43758.5453)))-1))))/1000))*1000/Inputs!$C$12)-((SQRT((Model_Data!A128)^2+Inputs!$C$6^2+Inputs!$C$5^2)-Inputs!$C$5)*1000/Inputs!$C$12)))</x:f>
        <x:v>0.000029758807130519926</x:v>
      </x:c>
      <x:c r="X128" s="48" t="n">
        <x:f>0</x:f>
        <x:v>0</x:v>
      </x:c>
      <x:c r="Y128" s="49"/>
      <x:c r="Z128" s="48" t="n">
        <x:f>Model_Data!A128</x:f>
        <x:v>3</x:v>
      </x:c>
      <x:c r="AA128" s="48" t="n">
        <x:f>SQRT((Model_Data!A128)^2+Inputs!$C$6^2+((Model_Data!B128)-((Inputs!$C$51*(115*EXP(-(((Inputs!$C$6)-25)^2)/(4.5^2))+70*EXP(-(((Inputs!$C$6)+38)^2)/(7^2))*(0.55+0.45*SIN(2*PI()*(Model_Data!A128)/45))+24*SIN(2*PI()*(Inputs!$C$6)/9+(Model_Data!A128)/18)*EXP(-(((Inputs!$C$6)+5)^2)/(22^2))+18*SIN(2*PI()*(Model_Data!A128)/70))+Inputs!$C$28*EXP(-(((Model_Data!A128)-Inputs!$C$29)^2)/(2*Inputs!$C$31^2))*EXP(-(((Inputs!$C$6)-Inputs!$C$30)^2)/(2*Inputs!$C$32^2))+-Inputs!$C$33*EXP(-(((((Model_Data!A128)-Inputs!$C$34)^2)+(((Inputs!$C$6)-Inputs!$C$35)^2))/(2*Inputs!$C$36^2)))+Inputs!$C$37*(0.55*SIN(2*PI()*(Model_Data!A128)/Inputs!$C$39)+0.35*COS(2*PI()*(Inputs!$C$6)/Inputs!$C$40)+0.2*SIN(2*PI()*((Model_Data!A128)+(Inputs!$C$6))/(0.5*(Inputs!$C$39+Inputs!$C$40))))+Inputs!$C$38*SIN(2*PI()*(Model_Data!A128)/Inputs!$C$39)*SIN(2*PI()*(Inputs!$C$6)/Inputs!$C$40)+-Inputs!$C$41*EXP(-(((Inputs!$C$6)-Inputs!$C$43)^2)/(2*Inputs!$C$44^2))*EXP(-(((Model_Data!A128)-Inputs!$C$42)^2)/(2*Inputs!$C$45^2))+Inputs!$C$48*(0.70*(0.45*SIN(2*PI()*(((Model_Data!A128)/Inputs!$C$49)+Inputs!$C$47*0.137))+0.35*COS(2*PI()*(((Inputs!$C$6)/Inputs!$C$50)+Inputs!$C$47*0.173))+0.20*SIN(2*PI()*(((Model_Data!A128)+(Inputs!$C$6))/(0.5*(Inputs!$C$49+Inputs!$C$50))+Inputs!$C$47*0.097)))+0.30*(2*((SIN(((Model_Data!A128)*12.9898+(Inputs!$C$6)*78.233+Inputs!$C$47*37.719))*43758.5453)-INT((SIN(((Model_Data!A128)*12.9898+(Inputs!$C$6)*78.233+Inputs!$C$47*37.719))*43758.5453)))-1))))/1000)^2)</x:f>
        <x:v>400.26591546167685</x:v>
      </x:c>
      <x:c r="AB128" s="48" t="n">
        <x:f>1000*(AA129-AA127)/(Z129-Z127)*Inputs!$C$11</x:f>
        <x:v>3.9470202227676054</x:v>
      </x:c>
      <x:c r="AC128" s="48" t="n">
        <x:f>-2*AB128/Inputs!$C$13</x:f>
        <x:v>-1.5788080891070422</x:v>
      </x:c>
      <x:c r="AD128" s="48" t="n">
        <x:f>-2*AB128/Inputs!$C$14</x:f>
        <x:v>-0.23705827163769405</x:v>
      </x:c>
    </x:row>
    <x:row r="129">
      <x:c r="A129" s="48" t="n">
        <x:f>Model_Data!A129</x:f>
        <x:v>3.5</x:v>
      </x:c>
      <x:c r="B129" s="48" t="n">
        <x:f>Model_Data!F129</x:f>
        <x:v>447.0471416493446</x:v>
      </x:c>
      <x:c r="C129" s="48" t="n">
        <x:f>(((SQRT((Model_Data!A129)^2+Inputs!$C$6^2+((Model_Data!B129)-((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(0.45*SIN(2*PI()*(((Model_Data!A129)/Inputs!$C$49)+Inputs!$C$47*0.137))+0.35*COS(2*PI()*(((Inputs!$C$6)/Inputs!$C$50)+Inputs!$C$47*0.173))+0.20*SIN(2*PI()*(((Model_Data!A129)+(Inputs!$C$6))/(0.5*(Inputs!$C$49+Inputs!$C$50))+Inputs!$C$47*0.097)))+0.30*(2*((SIN(((Model_Data!A129)*12.9898+(Inputs!$C$6)*78.233+Inputs!$C$47*37.719))*43758.5453)-INT((SIN(((Model_Data!A129)*12.9898+(Inputs!$C$6)*78.233+Inputs!$C$47*37.719))*43758.5453)))-1))))/1000)^2))-(((Model_Data!B129)-((Inputs!$C$51*(115*EXP(-(((0)-25)^2)/(4.5^2))+70*EXP(-(((0)+38)^2)/(7^2))*(0.55+0.45*SIN(2*PI()*(Model_Data!A129)/45))+24*SIN(2*PI()*(0)/9+(Model_Data!A129)/18)*EXP(-(((0)+5)^2)/(22^2))+18*SIN(2*PI()*(Model_Data!A129)/70))+Inputs!$C$28*EXP(-(((Model_Data!A129)-Inputs!$C$29)^2)/(2*Inputs!$C$31^2))*EXP(-(((0)-Inputs!$C$30)^2)/(2*Inputs!$C$32^2))+-Inputs!$C$33*EXP(-(((((Model_Data!A129)-Inputs!$C$34)^2)+(((0)-Inputs!$C$35)^2))/(2*Inputs!$C$36^2)))+Inputs!$C$37*(0.55*SIN(2*PI()*(Model_Data!A129)/Inputs!$C$39)+0.35*COS(2*PI()*(0)/Inputs!$C$40)+0.2*SIN(2*PI()*((Model_Data!A129)+(0))/(0.5*(Inputs!$C$39+Inputs!$C$40))))+Inputs!$C$38*SIN(2*PI()*(Model_Data!A129)/Inputs!$C$39)*SIN(2*PI()*(0)/Inputs!$C$40)+-Inputs!$C$41*EXP(-(((0)-Inputs!$C$43)^2)/(2*Inputs!$C$44^2))*EXP(-(((Model_Data!A129)-Inputs!$C$42)^2)/(2*Inputs!$C$45^2))+Inputs!$C$48*(0.70*(0.45*SIN(2*PI()*(((Model_Data!A129)/Inputs!$C$49)+Inputs!$C$47*0.137))+0.35*COS(2*PI()*(((0)/Inputs!$C$50)+Inputs!$C$47*0.173))+0.20*SIN(2*PI()*(((Model_Data!A129)+(0))/(0.5*(Inputs!$C$49+Inputs!$C$50))+Inputs!$C$47*0.097)))+0.30*(2*((SIN(((Model_Data!A129)*12.9898+(0)*78.233+Inputs!$C$47*37.719))*43758.5453)-INT((SIN(((Model_Data!A129)*12.9898+(0)*78.233+Inputs!$C$47*37.719))*43758.5453)))-1))))/1000)))*1000/Inputs!$C$12)</x:f>
        <x:v>186.83169276245192</x:v>
      </x:c>
      <x:c r="D129" s="49"/>
      <x:c r="E129" s="48" t="n">
        <x:f>Model_Data!A129</x:f>
        <x:v>3.5</x:v>
      </x:c>
      <x:c r="F129" s="48" t="n">
        <x:f>(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(0.45*SIN(2*PI()*(((Model_Data!A129)/Inputs!$C$49)+Inputs!$C$47*0.137))+0.35*COS(2*PI()*(((Inputs!$C$6)/Inputs!$C$50)+Inputs!$C$47*0.173))+0.20*SIN(2*PI()*(((Model_Data!A129)+(Inputs!$C$6))/(0.5*(Inputs!$C$49+Inputs!$C$50))+Inputs!$C$47*0.097)))+0.30*(2*((SIN(((Model_Data!A129)*12.9898+(Inputs!$C$6)*78.233+Inputs!$C$47*37.719))*43758.5453)-INT((SIN(((Model_Data!A129)*12.9898+(Inputs!$C$6)*78.233+Inputs!$C$47*37.719))*43758.5453)))-1)))</x:f>
        <x:v>562.919019674553</x:v>
      </x:c>
      <x:c r="G129" s="48" t="n">
        <x:f>(Inputs!$C$51*(115*EXP(-(((0)-25)^2)/(4.5^2))+70*EXP(-(((0)+38)^2)/(7^2))*(0.55+0.45*SIN(2*PI()*(Model_Data!A129)/45))+24*SIN(2*PI()*(0)/9+(Model_Data!A129)/18)*EXP(-(((0)+5)^2)/(22^2))+18*SIN(2*PI()*(Model_Data!A129)/70))+Inputs!$C$28*EXP(-(((Model_Data!A129)-Inputs!$C$29)^2)/(2*Inputs!$C$31^2))*EXP(-(((0)-Inputs!$C$30)^2)/(2*Inputs!$C$32^2))+-Inputs!$C$33*EXP(-(((((Model_Data!A129)-Inputs!$C$34)^2)+(((0)-Inputs!$C$35)^2))/(2*Inputs!$C$36^2)))+Inputs!$C$37*(0.55*SIN(2*PI()*(Model_Data!A129)/Inputs!$C$39)+0.35*COS(2*PI()*(0)/Inputs!$C$40)+0.2*SIN(2*PI()*((Model_Data!A129)+(0))/(0.5*(Inputs!$C$39+Inputs!$C$40))))+Inputs!$C$38*SIN(2*PI()*(Model_Data!A129)/Inputs!$C$39)*SIN(2*PI()*(0)/Inputs!$C$40)+-Inputs!$C$41*EXP(-(((0)-Inputs!$C$43)^2)/(2*Inputs!$C$44^2))*EXP(-(((Model_Data!A129)-Inputs!$C$42)^2)/(2*Inputs!$C$45^2))+Inputs!$C$48*(0.70*(0.45*SIN(2*PI()*(((Model_Data!A129)/Inputs!$C$49)+Inputs!$C$47*0.137))+0.35*COS(2*PI()*(((0)/Inputs!$C$50)+Inputs!$C$47*0.173))+0.20*SIN(2*PI()*(((Model_Data!A129)+(0))/(0.5*(Inputs!$C$49+Inputs!$C$50))+Inputs!$C$47*0.097)))+0.30*(2*((SIN(((Model_Data!A129)*12.9898+(0)*78.233+Inputs!$C$47*37.719))*43758.5453)-INT((SIN(((Model_Data!A129)*12.9898+(0)*78.233+Inputs!$C$47*37.719))*43758.5453)))-1)))</x:f>
        <x:v>98.61636326587373</x:v>
      </x:c>
      <x:c r="H129" s="49"/>
      <x:c r="I129" s="48" t="n">
        <x:f>Model_Data!A129</x:f>
        <x:v>3.5</x:v>
      </x:c>
      <x:c r="J129" s="48" t="n">
        <x:f>((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(0.45*SIN(2*PI()*(((Model_Data!A129)/Inputs!$C$49)+Inputs!$C$47*0.137))+0.35*COS(2*PI()*(((Inputs!$C$6)/Inputs!$C$50)+Inputs!$C$47*0.173))+0.20*SIN(2*PI()*(((Model_Data!A129)+(Inputs!$C$6))/(0.5*(Inputs!$C$49+Inputs!$C$50))+Inputs!$C$47*0.097)))+0.30*(2*((SIN(((Model_Data!A129)*12.9898+(Inputs!$C$6)*78.233+Inputs!$C$47*37.719))*43758.5453)-INT((SIN(((Model_Data!A129)*12.9898+(Inputs!$C$6)*78.233+Inputs!$C$47*37.719))*43758.5453)))-1))))-((Inputs!$C$51*(115*EXP(-(((0)-25)^2)/(4.5^2))+70*EXP(-(((0)+38)^2)/(7^2))*(0.55+0.45*SIN(2*PI()*(Model_Data!A129)/45))+24*SIN(2*PI()*(0)/9+(Model_Data!A129)/18)*EXP(-(((0)+5)^2)/(22^2))+18*SIN(2*PI()*(Model_Data!A129)/70))+Inputs!$C$28*EXP(-(((Model_Data!A129)-Inputs!$C$29)^2)/(2*Inputs!$C$31^2))*EXP(-(((0)-Inputs!$C$30)^2)/(2*Inputs!$C$32^2))+-Inputs!$C$33*EXP(-(((((Model_Data!A129)-Inputs!$C$34)^2)+(((0)-Inputs!$C$35)^2))/(2*Inputs!$C$36^2)))+Inputs!$C$37*(0.55*SIN(2*PI()*(Model_Data!A129)/Inputs!$C$39)+0.35*COS(2*PI()*(0)/Inputs!$C$40)+0.2*SIN(2*PI()*((Model_Data!A129)+(0))/(0.5*(Inputs!$C$39+Inputs!$C$40))))+Inputs!$C$38*SIN(2*PI()*(Model_Data!A129)/Inputs!$C$39)*SIN(2*PI()*(0)/Inputs!$C$40)+-Inputs!$C$41*EXP(-(((0)-Inputs!$C$43)^2)/(2*Inputs!$C$44^2))*EXP(-(((Model_Data!A129)-Inputs!$C$42)^2)/(2*Inputs!$C$45^2))+Inputs!$C$48*(0.70*(0.45*SIN(2*PI()*(((Model_Data!A129)/Inputs!$C$49)+Inputs!$C$47*0.137))+0.35*COS(2*PI()*(((0)/Inputs!$C$50)+Inputs!$C$47*0.173))+0.20*SIN(2*PI()*(((Model_Data!A129)+(0))/(0.5*(Inputs!$C$49+Inputs!$C$50))+Inputs!$C$47*0.097)))+0.30*(2*((SIN(((Model_Data!A129)*12.9898+(0)*78.233+Inputs!$C$47*37.719))*43758.5453)-INT((SIN(((Model_Data!A129)*12.9898+(0)*78.233+Inputs!$C$47*37.719))*43758.5453)))-1))))</x:f>
        <x:v>464.30265640867935</x:v>
      </x:c>
      <x:c r="K129" s="48" t="n">
        <x:f>-((((SQRT((Model_Data!A129)^2+Inputs!$C$6^2+((Model_Data!B129)-((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(0.45*SIN(2*PI()*(((Model_Data!A129)/Inputs!$C$49)+Inputs!$C$47*0.137))+0.35*COS(2*PI()*(((Inputs!$C$6)/Inputs!$C$50)+Inputs!$C$47*0.173))+0.20*SIN(2*PI()*(((Model_Data!A129)+(Inputs!$C$6))/(0.5*(Inputs!$C$49+Inputs!$C$50))+Inputs!$C$47*0.097)))+0.30*(2*((SIN(((Model_Data!A129)*12.9898+(Inputs!$C$6)*78.233+Inputs!$C$47*37.719))*43758.5453)-INT((SIN(((Model_Data!A129)*12.9898+(Inputs!$C$6)*78.233+Inputs!$C$47*37.719))*43758.5453)))-1))))/1000)^2))-(((Model_Data!B129)-((Inputs!$C$51*(115*EXP(-(((0)-25)^2)/(4.5^2))+70*EXP(-(((0)+38)^2)/(7^2))*(0.55+0.45*SIN(2*PI()*(Model_Data!A129)/45))+24*SIN(2*PI()*(0)/9+(Model_Data!A129)/18)*EXP(-(((0)+5)^2)/(22^2))+18*SIN(2*PI()*(Model_Data!A129)/70))+Inputs!$C$28*EXP(-(((Model_Data!A129)-Inputs!$C$29)^2)/(2*Inputs!$C$31^2))*EXP(-(((0)-Inputs!$C$30)^2)/(2*Inputs!$C$32^2))+-Inputs!$C$33*EXP(-(((((Model_Data!A129)-Inputs!$C$34)^2)+(((0)-Inputs!$C$35)^2))/(2*Inputs!$C$36^2)))+Inputs!$C$37*(0.55*SIN(2*PI()*(Model_Data!A129)/Inputs!$C$39)+0.35*COS(2*PI()*(0)/Inputs!$C$40)+0.2*SIN(2*PI()*((Model_Data!A129)+(0))/(0.5*(Inputs!$C$39+Inputs!$C$40))))+Inputs!$C$38*SIN(2*PI()*(Model_Data!A129)/Inputs!$C$39)*SIN(2*PI()*(0)/Inputs!$C$40)+-Inputs!$C$41*EXP(-(((0)-Inputs!$C$43)^2)/(2*Inputs!$C$44^2))*EXP(-(((Model_Data!A129)-Inputs!$C$42)^2)/(2*Inputs!$C$45^2))+Inputs!$C$48*(0.70*(0.45*SIN(2*PI()*(((Model_Data!A129)/Inputs!$C$49)+Inputs!$C$47*0.137))+0.35*COS(2*PI()*(((0)/Inputs!$C$50)+Inputs!$C$47*0.173))+0.20*SIN(2*PI()*(((Model_Data!A129)+(0))/(0.5*(Inputs!$C$49+Inputs!$C$50))+Inputs!$C$47*0.097)))+0.30*(2*((SIN(((Model_Data!A129)*12.9898+(0)*78.233+Inputs!$C$47*37.719))*43758.5453)-INT((SIN(((Model_Data!A129)*12.9898+(0)*78.233+Inputs!$C$47*37.719))*43758.5453)))-1))))/1000)))*1000/Inputs!$C$12)-Model_Data!F129)</x:f>
        <x:v>260.21544888689266</x:v>
      </x:c>
      <x:c r="L129" s="49"/>
      <x:c r="M129" s="48" t="n">
        <x:f>Model_Data!A129</x:f>
        <x:v>3.5</x:v>
      </x:c>
      <x:c r="N129" s="48" t="n">
        <x:f>Model_Data!P129</x:f>
        <x:v>-26.391467733781575</x:v>
      </x:c>
      <x:c r="O129" s="48" t="n">
        <x:f>AC129</x:f>
        <x:v>13.233049425798526</x:v>
      </x:c>
      <x:c r="P129" s="48" t="n">
        <x:f>Model_Data!Q129</x:f>
        <x:v>-3.962682842910147</x:v>
      </x:c>
      <x:c r="Q129" s="48" t="n">
        <x:f>AD129</x:f>
        <x:v>1.986944358228007</x:v>
      </x:c>
      <x:c r="R129" s="49"/>
      <x:c r="S129" s="48" t="n">
        <x:f>Model_Data!A129</x:f>
        <x:v>3.5</x:v>
      </x:c>
      <x:c r="T129" s="48" t="n">
        <x:f>Model_Data!B129-Inputs!$C$5</x:f>
        <x:v>0.01361111111111768</x:v>
      </x:c>
      <x:c r="U129" s="49"/>
      <x:c r="V129" s="48" t="n">
        <x:f>Model_Data!A129</x:f>
        <x:v>3.5</x:v>
      </x:c>
      <x:c r="W129" s="48" t="n">
        <x:f>(-((((SQRT((Model_Data!A129)^2+Inputs!$C$6^2+((Model_Data!B129)-((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(0.45*SIN(2*PI()*(((Model_Data!A129)/Inputs!$C$49)+Inputs!$C$47*0.137))+0.35*COS(2*PI()*(((Inputs!$C$6)/Inputs!$C$50)+Inputs!$C$47*0.173))+0.20*SIN(2*PI()*(((Model_Data!A129)+(Inputs!$C$6))/(0.5*(Inputs!$C$49+Inputs!$C$50))+Inputs!$C$47*0.097)))+0.30*(2*((SIN(((Model_Data!A129)*12.9898+(Inputs!$C$6)*78.233+Inputs!$C$47*37.719))*43758.5453)-INT((SIN(((Model_Data!A129)*12.9898+(Inputs!$C$6)*78.233+Inputs!$C$47*37.719))*43758.5453)))-1))))/1000)^2))-(((Model_Data!B129)-((Inputs!$C$51*(115*EXP(-(((0)-25)^2)/(4.5^2))+70*EXP(-(((0)+38)^2)/(7^2))*(0.55+0.45*SIN(2*PI()*(Model_Data!A129)/45))+24*SIN(2*PI()*(0)/9+(Model_Data!A129)/18)*EXP(-(((0)+5)^2)/(22^2))+18*SIN(2*PI()*(Model_Data!A129)/70))+Inputs!$C$28*EXP(-(((Model_Data!A129)-Inputs!$C$29)^2)/(2*Inputs!$C$31^2))*EXP(-(((0)-Inputs!$C$30)^2)/(2*Inputs!$C$32^2))+-Inputs!$C$33*EXP(-(((((Model_Data!A129)-Inputs!$C$34)^2)+(((0)-Inputs!$C$35)^2))/(2*Inputs!$C$36^2)))+Inputs!$C$37*(0.55*SIN(2*PI()*(Model_Data!A129)/Inputs!$C$39)+0.35*COS(2*PI()*(0)/Inputs!$C$40)+0.2*SIN(2*PI()*((Model_Data!A129)+(0))/(0.5*(Inputs!$C$39+Inputs!$C$40))))+Inputs!$C$38*SIN(2*PI()*(Model_Data!A129)/Inputs!$C$39)*SIN(2*PI()*(0)/Inputs!$C$40)+-Inputs!$C$41*EXP(-(((0)-Inputs!$C$43)^2)/(2*Inputs!$C$44^2))*EXP(-(((Model_Data!A129)-Inputs!$C$42)^2)/(2*Inputs!$C$45^2))+Inputs!$C$48*(0.70*(0.45*SIN(2*PI()*(((Model_Data!A129)/Inputs!$C$49)+Inputs!$C$47*0.137))+0.35*COS(2*PI()*(((0)/Inputs!$C$50)+Inputs!$C$47*0.173))+0.20*SIN(2*PI()*(((Model_Data!A129)+(0))/(0.5*(Inputs!$C$49+Inputs!$C$50))+Inputs!$C$47*0.097)))+0.30*(2*((SIN(((Model_Data!A129)*12.9898+(0)*78.233+Inputs!$C$47*37.719))*43758.5453)-INT((SIN(((Model_Data!A129)*12.9898+(0)*78.233+Inputs!$C$47*37.719))*43758.5453)))-1))))/1000)))*1000/Inputs!$C$12)-Model_Data!F129))-(-(((SQRT((Model_Data!A129)^2+Inputs!$C$6^2+(Inputs!$C$5-((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(0.45*SIN(2*PI()*(((Model_Data!A129)/Inputs!$C$49)+Inputs!$C$47*0.137))+0.35*COS(2*PI()*(((Inputs!$C$6)/Inputs!$C$50)+Inputs!$C$47*0.173))+0.20*SIN(2*PI()*(((Model_Data!A129)+(Inputs!$C$6))/(0.5*(Inputs!$C$49+Inputs!$C$50))+Inputs!$C$47*0.097)))+0.30*(2*((SIN(((Model_Data!A129)*12.9898+(Inputs!$C$6)*78.233+Inputs!$C$47*37.719))*43758.5453)-INT((SIN(((Model_Data!A129)*12.9898+(Inputs!$C$6)*78.233+Inputs!$C$47*37.719))*43758.5453)))-1))))/1000)^2)-(Inputs!$C$5-((Inputs!$C$51*(115*EXP(-(((0)-25)^2)/(4.5^2))+70*EXP(-(((0)+38)^2)/(7^2))*(0.55+0.45*SIN(2*PI()*(Model_Data!A129)/45))+24*SIN(2*PI()*(0)/9+(Model_Data!A129)/18)*EXP(-(((0)+5)^2)/(22^2))+18*SIN(2*PI()*(Model_Data!A129)/70))+Inputs!$C$28*EXP(-(((Model_Data!A129)-Inputs!$C$29)^2)/(2*Inputs!$C$31^2))*EXP(-(((0)-Inputs!$C$30)^2)/(2*Inputs!$C$32^2))+-Inputs!$C$33*EXP(-(((((Model_Data!A129)-Inputs!$C$34)^2)+(((0)-Inputs!$C$35)^2))/(2*Inputs!$C$36^2)))+Inputs!$C$37*(0.55*SIN(2*PI()*(Model_Data!A129)/Inputs!$C$39)+0.35*COS(2*PI()*(0)/Inputs!$C$40)+0.2*SIN(2*PI()*((Model_Data!A129)+(0))/(0.5*(Inputs!$C$39+Inputs!$C$40))))+Inputs!$C$38*SIN(2*PI()*(Model_Data!A129)/Inputs!$C$39)*SIN(2*PI()*(0)/Inputs!$C$40)+-Inputs!$C$41*EXP(-(((0)-Inputs!$C$43)^2)/(2*Inputs!$C$44^2))*EXP(-(((Model_Data!A129)-Inputs!$C$42)^2)/(2*Inputs!$C$45^2))+Inputs!$C$48*(0.70*(0.45*SIN(2*PI()*(((Model_Data!A129)/Inputs!$C$49)+Inputs!$C$47*0.137))+0.35*COS(2*PI()*(((0)/Inputs!$C$50)+Inputs!$C$47*0.173))+0.20*SIN(2*PI()*(((Model_Data!A129)+(0))/(0.5*(Inputs!$C$49+Inputs!$C$50))+Inputs!$C$47*0.097)))+0.30*(2*((SIN(((Model_Data!A129)*12.9898+(0)*78.233+Inputs!$C$47*37.719))*43758.5453)-INT((SIN(((Model_Data!A129)*12.9898+(0)*78.233+Inputs!$C$47*37.719))*43758.5453)))-1))))/1000))*1000/Inputs!$C$12)-((SQRT((Model_Data!A129)^2+Inputs!$C$6^2+Inputs!$C$5^2)-Inputs!$C$5)*1000/Inputs!$C$12)))</x:f>
        <x:v>0.00004269250518973422</x:v>
      </x:c>
      <x:c r="X129" s="48" t="n">
        <x:f>0</x:f>
        <x:v>0</x:v>
      </x:c>
      <x:c r="Y129" s="49"/>
      <x:c r="Z129" s="48" t="n">
        <x:f>Model_Data!A129</x:f>
        <x:v>3.5</x:v>
      </x:c>
      <x:c r="AA129" s="48" t="n">
        <x:f>SQRT((Model_Data!A129)^2+Inputs!$C$6^2+((Model_Data!B129)-((Inputs!$C$51*(115*EXP(-(((Inputs!$C$6)-25)^2)/(4.5^2))+70*EXP(-(((Inputs!$C$6)+38)^2)/(7^2))*(0.55+0.45*SIN(2*PI()*(Model_Data!A129)/45))+24*SIN(2*PI()*(Inputs!$C$6)/9+(Model_Data!A129)/18)*EXP(-(((Inputs!$C$6)+5)^2)/(22^2))+18*SIN(2*PI()*(Model_Data!A129)/70))+Inputs!$C$28*EXP(-(((Model_Data!A129)-Inputs!$C$29)^2)/(2*Inputs!$C$31^2))*EXP(-(((Inputs!$C$6)-Inputs!$C$30)^2)/(2*Inputs!$C$32^2))+-Inputs!$C$33*EXP(-(((((Model_Data!A129)-Inputs!$C$34)^2)+(((Inputs!$C$6)-Inputs!$C$35)^2))/(2*Inputs!$C$36^2)))+Inputs!$C$37*(0.55*SIN(2*PI()*(Model_Data!A129)/Inputs!$C$39)+0.35*COS(2*PI()*(Inputs!$C$6)/Inputs!$C$40)+0.2*SIN(2*PI()*((Model_Data!A129)+(Inputs!$C$6))/(0.5*(Inputs!$C$39+Inputs!$C$40))))+Inputs!$C$38*SIN(2*PI()*(Model_Data!A129)/Inputs!$C$39)*SIN(2*PI()*(Inputs!$C$6)/Inputs!$C$40)+-Inputs!$C$41*EXP(-(((Inputs!$C$6)-Inputs!$C$43)^2)/(2*Inputs!$C$44^2))*EXP(-(((Model_Data!A129)-Inputs!$C$42)^2)/(2*Inputs!$C$45^2))+Inputs!$C$48*(0.70*(0.45*SIN(2*PI()*(((Model_Data!A129)/Inputs!$C$49)+Inputs!$C$47*0.137))+0.35*COS(2*PI()*(((Inputs!$C$6)/Inputs!$C$50)+Inputs!$C$47*0.173))+0.20*SIN(2*PI()*(((Model_Data!A129)+(Inputs!$C$6))/(0.5*(Inputs!$C$49+Inputs!$C$50))+Inputs!$C$47*0.097)))+0.30*(2*((SIN(((Model_Data!A129)*12.9898+(Inputs!$C$6)*78.233+Inputs!$C$47*37.719))*43758.5453)-INT((SIN(((Model_Data!A129)*12.9898+(Inputs!$C$6)*78.233+Inputs!$C$47*37.719))*43758.5453)))-1))))/1000)^2)</x:f>
        <x:v>400.2475551609624</x:v>
      </x:c>
      <x:c r="AB129" s="48" t="n">
        <x:f>1000*(AA130-AA128)/(Z130-Z128)*Inputs!$C$11</x:f>
        <x:v>-33.082623564496316</x:v>
      </x:c>
      <x:c r="AC129" s="48" t="n">
        <x:f>-2*AB129/Inputs!$C$13</x:f>
        <x:v>13.233049425798526</x:v>
      </x:c>
      <x:c r="AD129" s="48" t="n">
        <x:f>-2*AB129/Inputs!$C$14</x:f>
        <x:v>1.986944358228007</x:v>
      </x:c>
    </x:row>
    <x:row r="130">
      <x:c r="A130" s="48" t="n">
        <x:f>Model_Data!A130</x:f>
        <x:v>4</x:v>
      </x:c>
      <x:c r="B130" s="48" t="n">
        <x:f>Model_Data!F130</x:f>
        <x:v>449.67056103995435</x:v>
      </x:c>
      <x:c r="C130" s="48" t="n">
        <x:f>(((SQRT((Model_Data!A130)^2+Inputs!$C$6^2+((Model_Data!B130)-((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(0.45*SIN(2*PI()*(((Model_Data!A130)/Inputs!$C$49)+Inputs!$C$47*0.137))+0.35*COS(2*PI()*(((Inputs!$C$6)/Inputs!$C$50)+Inputs!$C$47*0.173))+0.20*SIN(2*PI()*(((Model_Data!A130)+(Inputs!$C$6))/(0.5*(Inputs!$C$49+Inputs!$C$50))+Inputs!$C$47*0.097)))+0.30*(2*((SIN(((Model_Data!A130)*12.9898+(Inputs!$C$6)*78.233+Inputs!$C$47*37.719))*43758.5453)-INT((SIN(((Model_Data!A130)*12.9898+(Inputs!$C$6)*78.233+Inputs!$C$47*37.719))*43758.5453)))-1))))/1000)^2))-(((Model_Data!B130)-((Inputs!$C$51*(115*EXP(-(((0)-25)^2)/(4.5^2))+70*EXP(-(((0)+38)^2)/(7^2))*(0.55+0.45*SIN(2*PI()*(Model_Data!A130)/45))+24*SIN(2*PI()*(0)/9+(Model_Data!A130)/18)*EXP(-(((0)+5)^2)/(22^2))+18*SIN(2*PI()*(Model_Data!A130)/70))+Inputs!$C$28*EXP(-(((Model_Data!A130)-Inputs!$C$29)^2)/(2*Inputs!$C$31^2))*EXP(-(((0)-Inputs!$C$30)^2)/(2*Inputs!$C$32^2))+-Inputs!$C$33*EXP(-(((((Model_Data!A130)-Inputs!$C$34)^2)+(((0)-Inputs!$C$35)^2))/(2*Inputs!$C$36^2)))+Inputs!$C$37*(0.55*SIN(2*PI()*(Model_Data!A130)/Inputs!$C$39)+0.35*COS(2*PI()*(0)/Inputs!$C$40)+0.2*SIN(2*PI()*((Model_Data!A130)+(0))/(0.5*(Inputs!$C$39+Inputs!$C$40))))+Inputs!$C$38*SIN(2*PI()*(Model_Data!A130)/Inputs!$C$39)*SIN(2*PI()*(0)/Inputs!$C$40)+-Inputs!$C$41*EXP(-(((0)-Inputs!$C$43)^2)/(2*Inputs!$C$44^2))*EXP(-(((Model_Data!A130)-Inputs!$C$42)^2)/(2*Inputs!$C$45^2))+Inputs!$C$48*(0.70*(0.45*SIN(2*PI()*(((Model_Data!A130)/Inputs!$C$49)+Inputs!$C$47*0.137))+0.35*COS(2*PI()*(((0)/Inputs!$C$50)+Inputs!$C$47*0.173))+0.20*SIN(2*PI()*(((Model_Data!A130)+(0))/(0.5*(Inputs!$C$49+Inputs!$C$50))+Inputs!$C$47*0.097)))+0.30*(2*((SIN(((Model_Data!A130)*12.9898+(0)*78.233+Inputs!$C$47*37.719))*43758.5453)-INT((SIN(((Model_Data!A130)*12.9898+(0)*78.233+Inputs!$C$47*37.719))*43758.5453)))-1))))/1000)))*1000/Inputs!$C$12)</x:f>
        <x:v>188.89333795688128</x:v>
      </x:c>
      <x:c r="D130" s="49"/>
      <x:c r="E130" s="48" t="n">
        <x:f>Model_Data!A130</x:f>
        <x:v>4</x:v>
      </x:c>
      <x:c r="F130" s="48" t="n">
        <x:f>(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(0.45*SIN(2*PI()*(((Model_Data!A130)/Inputs!$C$49)+Inputs!$C$47*0.137))+0.35*COS(2*PI()*(((Inputs!$C$6)/Inputs!$C$50)+Inputs!$C$47*0.173))+0.20*SIN(2*PI()*(((Model_Data!A130)+(Inputs!$C$6))/(0.5*(Inputs!$C$49+Inputs!$C$50))+Inputs!$C$47*0.097)))+0.30*(2*((SIN(((Model_Data!A130)*12.9898+(Inputs!$C$6)*78.233+Inputs!$C$47*37.719))*43758.5453)-INT((SIN(((Model_Data!A130)*12.9898+(Inputs!$C$6)*78.233+Inputs!$C$47*37.719))*43758.5453)))-1)))</x:f>
        <x:v>561.6697690573507</x:v>
      </x:c>
      <x:c r="G130" s="48" t="n">
        <x:f>(Inputs!$C$51*(115*EXP(-(((0)-25)^2)/(4.5^2))+70*EXP(-(((0)+38)^2)/(7^2))*(0.55+0.45*SIN(2*PI()*(Model_Data!A130)/45))+24*SIN(2*PI()*(0)/9+(Model_Data!A130)/18)*EXP(-(((0)+5)^2)/(22^2))+18*SIN(2*PI()*(Model_Data!A130)/70))+Inputs!$C$28*EXP(-(((Model_Data!A130)-Inputs!$C$29)^2)/(2*Inputs!$C$31^2))*EXP(-(((0)-Inputs!$C$30)^2)/(2*Inputs!$C$32^2))+-Inputs!$C$33*EXP(-(((((Model_Data!A130)-Inputs!$C$34)^2)+(((0)-Inputs!$C$35)^2))/(2*Inputs!$C$36^2)))+Inputs!$C$37*(0.55*SIN(2*PI()*(Model_Data!A130)/Inputs!$C$39)+0.35*COS(2*PI()*(0)/Inputs!$C$40)+0.2*SIN(2*PI()*((Model_Data!A130)+(0))/(0.5*(Inputs!$C$39+Inputs!$C$40))))+Inputs!$C$38*SIN(2*PI()*(Model_Data!A130)/Inputs!$C$39)*SIN(2*PI()*(0)/Inputs!$C$40)+-Inputs!$C$41*EXP(-(((0)-Inputs!$C$43)^2)/(2*Inputs!$C$44^2))*EXP(-(((Model_Data!A130)-Inputs!$C$42)^2)/(2*Inputs!$C$45^2))+Inputs!$C$48*(0.70*(0.45*SIN(2*PI()*(((Model_Data!A130)/Inputs!$C$49)+Inputs!$C$47*0.137))+0.35*COS(2*PI()*(((0)/Inputs!$C$50)+Inputs!$C$47*0.173))+0.20*SIN(2*PI()*(((Model_Data!A130)+(0))/(0.5*(Inputs!$C$49+Inputs!$C$50))+Inputs!$C$47*0.097)))+0.30*(2*((SIN(((Model_Data!A130)*12.9898+(0)*78.233+Inputs!$C$47*37.719))*43758.5453)-INT((SIN(((Model_Data!A130)*12.9898+(0)*78.233+Inputs!$C$47*37.719))*43758.5453)))-1)))</x:f>
        <x:v>96.36311355528144</x:v>
      </x:c>
      <x:c r="H130" s="49"/>
      <x:c r="I130" s="48" t="n">
        <x:f>Model_Data!A130</x:f>
        <x:v>4</x:v>
      </x:c>
      <x:c r="J130" s="48" t="n">
        <x:f>((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(0.45*SIN(2*PI()*(((Model_Data!A130)/Inputs!$C$49)+Inputs!$C$47*0.137))+0.35*COS(2*PI()*(((Inputs!$C$6)/Inputs!$C$50)+Inputs!$C$47*0.173))+0.20*SIN(2*PI()*(((Model_Data!A130)+(Inputs!$C$6))/(0.5*(Inputs!$C$49+Inputs!$C$50))+Inputs!$C$47*0.097)))+0.30*(2*((SIN(((Model_Data!A130)*12.9898+(Inputs!$C$6)*78.233+Inputs!$C$47*37.719))*43758.5453)-INT((SIN(((Model_Data!A130)*12.9898+(Inputs!$C$6)*78.233+Inputs!$C$47*37.719))*43758.5453)))-1))))-((Inputs!$C$51*(115*EXP(-(((0)-25)^2)/(4.5^2))+70*EXP(-(((0)+38)^2)/(7^2))*(0.55+0.45*SIN(2*PI()*(Model_Data!A130)/45))+24*SIN(2*PI()*(0)/9+(Model_Data!A130)/18)*EXP(-(((0)+5)^2)/(22^2))+18*SIN(2*PI()*(Model_Data!A130)/70))+Inputs!$C$28*EXP(-(((Model_Data!A130)-Inputs!$C$29)^2)/(2*Inputs!$C$31^2))*EXP(-(((0)-Inputs!$C$30)^2)/(2*Inputs!$C$32^2))+-Inputs!$C$33*EXP(-(((((Model_Data!A130)-Inputs!$C$34)^2)+(((0)-Inputs!$C$35)^2))/(2*Inputs!$C$36^2)))+Inputs!$C$37*(0.55*SIN(2*PI()*(Model_Data!A130)/Inputs!$C$39)+0.35*COS(2*PI()*(0)/Inputs!$C$40)+0.2*SIN(2*PI()*((Model_Data!A130)+(0))/(0.5*(Inputs!$C$39+Inputs!$C$40))))+Inputs!$C$38*SIN(2*PI()*(Model_Data!A130)/Inputs!$C$39)*SIN(2*PI()*(0)/Inputs!$C$40)+-Inputs!$C$41*EXP(-(((0)-Inputs!$C$43)^2)/(2*Inputs!$C$44^2))*EXP(-(((Model_Data!A130)-Inputs!$C$42)^2)/(2*Inputs!$C$45^2))+Inputs!$C$48*(0.70*(0.45*SIN(2*PI()*(((Model_Data!A130)/Inputs!$C$49)+Inputs!$C$47*0.137))+0.35*COS(2*PI()*(((0)/Inputs!$C$50)+Inputs!$C$47*0.173))+0.20*SIN(2*PI()*(((Model_Data!A130)+(0))/(0.5*(Inputs!$C$49+Inputs!$C$50))+Inputs!$C$47*0.097)))+0.30*(2*((SIN(((Model_Data!A130)*12.9898+(0)*78.233+Inputs!$C$47*37.719))*43758.5453)-INT((SIN(((Model_Data!A130)*12.9898+(0)*78.233+Inputs!$C$47*37.719))*43758.5453)))-1))))</x:f>
        <x:v>465.30665550206925</x:v>
      </x:c>
      <x:c r="K130" s="48" t="n">
        <x:f>-((((SQRT((Model_Data!A130)^2+Inputs!$C$6^2+((Model_Data!B130)-((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(0.45*SIN(2*PI()*(((Model_Data!A130)/Inputs!$C$49)+Inputs!$C$47*0.137))+0.35*COS(2*PI()*(((Inputs!$C$6)/Inputs!$C$50)+Inputs!$C$47*0.173))+0.20*SIN(2*PI()*(((Model_Data!A130)+(Inputs!$C$6))/(0.5*(Inputs!$C$49+Inputs!$C$50))+Inputs!$C$47*0.097)))+0.30*(2*((SIN(((Model_Data!A130)*12.9898+(Inputs!$C$6)*78.233+Inputs!$C$47*37.719))*43758.5453)-INT((SIN(((Model_Data!A130)*12.9898+(Inputs!$C$6)*78.233+Inputs!$C$47*37.719))*43758.5453)))-1))))/1000)^2))-(((Model_Data!B130)-((Inputs!$C$51*(115*EXP(-(((0)-25)^2)/(4.5^2))+70*EXP(-(((0)+38)^2)/(7^2))*(0.55+0.45*SIN(2*PI()*(Model_Data!A130)/45))+24*SIN(2*PI()*(0)/9+(Model_Data!A130)/18)*EXP(-(((0)+5)^2)/(22^2))+18*SIN(2*PI()*(Model_Data!A130)/70))+Inputs!$C$28*EXP(-(((Model_Data!A130)-Inputs!$C$29)^2)/(2*Inputs!$C$31^2))*EXP(-(((0)-Inputs!$C$30)^2)/(2*Inputs!$C$32^2))+-Inputs!$C$33*EXP(-(((((Model_Data!A130)-Inputs!$C$34)^2)+(((0)-Inputs!$C$35)^2))/(2*Inputs!$C$36^2)))+Inputs!$C$37*(0.55*SIN(2*PI()*(Model_Data!A130)/Inputs!$C$39)+0.35*COS(2*PI()*(0)/Inputs!$C$40)+0.2*SIN(2*PI()*((Model_Data!A130)+(0))/(0.5*(Inputs!$C$39+Inputs!$C$40))))+Inputs!$C$38*SIN(2*PI()*(Model_Data!A130)/Inputs!$C$39)*SIN(2*PI()*(0)/Inputs!$C$40)+-Inputs!$C$41*EXP(-(((0)-Inputs!$C$43)^2)/(2*Inputs!$C$44^2))*EXP(-(((Model_Data!A130)-Inputs!$C$42)^2)/(2*Inputs!$C$45^2))+Inputs!$C$48*(0.70*(0.45*SIN(2*PI()*(((Model_Data!A130)/Inputs!$C$49)+Inputs!$C$47*0.137))+0.35*COS(2*PI()*(((0)/Inputs!$C$50)+Inputs!$C$47*0.173))+0.20*SIN(2*PI()*(((Model_Data!A130)+(0))/(0.5*(Inputs!$C$49+Inputs!$C$50))+Inputs!$C$47*0.097)))+0.30*(2*((SIN(((Model_Data!A130)*12.9898+(0)*78.233+Inputs!$C$47*37.719))*43758.5453)-INT((SIN(((Model_Data!A130)*12.9898+(0)*78.233+Inputs!$C$47*37.719))*43758.5453)))-1))))/1000)))*1000/Inputs!$C$12)-Model_Data!F130)</x:f>
        <x:v>260.77722308307307</x:v>
      </x:c>
      <x:c r="L130" s="49"/>
      <x:c r="M130" s="48" t="n">
        <x:f>Model_Data!A130</x:f>
        <x:v>4</x:v>
      </x:c>
      <x:c r="N130" s="48" t="n">
        <x:f>Model_Data!P130</x:f>
        <x:v>-30.161160317799876</x:v>
      </x:c>
      <x:c r="O130" s="48" t="n">
        <x:f>AC130</x:f>
        <x:v>-21.04253103616429</x:v>
      </x:c>
      <x:c r="P130" s="48" t="n">
        <x:f>Model_Data!Q130</x:f>
        <x:v>-4.528702750420402</x:v>
      </x:c>
      <x:c r="Q130" s="48" t="n">
        <x:f>AD130</x:f>
        <x:v>-3.1595391946192635</x:v>
      </x:c>
      <x:c r="R130" s="49"/>
      <x:c r="S130" s="48" t="n">
        <x:f>Model_Data!A130</x:f>
        <x:v>4</x:v>
      </x:c>
      <x:c r="T130" s="48" t="n">
        <x:f>Model_Data!B130-Inputs!$C$5</x:f>
        <x:v>0.017777777777780557</x:v>
      </x:c>
      <x:c r="U130" s="49"/>
      <x:c r="V130" s="48" t="n">
        <x:f>Model_Data!A130</x:f>
        <x:v>4</x:v>
      </x:c>
      <x:c r="W130" s="48" t="n">
        <x:f>(-((((SQRT((Model_Data!A130)^2+Inputs!$C$6^2+((Model_Data!B130)-((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(0.45*SIN(2*PI()*(((Model_Data!A130)/Inputs!$C$49)+Inputs!$C$47*0.137))+0.35*COS(2*PI()*(((Inputs!$C$6)/Inputs!$C$50)+Inputs!$C$47*0.173))+0.20*SIN(2*PI()*(((Model_Data!A130)+(Inputs!$C$6))/(0.5*(Inputs!$C$49+Inputs!$C$50))+Inputs!$C$47*0.097)))+0.30*(2*((SIN(((Model_Data!A130)*12.9898+(Inputs!$C$6)*78.233+Inputs!$C$47*37.719))*43758.5453)-INT((SIN(((Model_Data!A130)*12.9898+(Inputs!$C$6)*78.233+Inputs!$C$47*37.719))*43758.5453)))-1))))/1000)^2))-(((Model_Data!B130)-((Inputs!$C$51*(115*EXP(-(((0)-25)^2)/(4.5^2))+70*EXP(-(((0)+38)^2)/(7^2))*(0.55+0.45*SIN(2*PI()*(Model_Data!A130)/45))+24*SIN(2*PI()*(0)/9+(Model_Data!A130)/18)*EXP(-(((0)+5)^2)/(22^2))+18*SIN(2*PI()*(Model_Data!A130)/70))+Inputs!$C$28*EXP(-(((Model_Data!A130)-Inputs!$C$29)^2)/(2*Inputs!$C$31^2))*EXP(-(((0)-Inputs!$C$30)^2)/(2*Inputs!$C$32^2))+-Inputs!$C$33*EXP(-(((((Model_Data!A130)-Inputs!$C$34)^2)+(((0)-Inputs!$C$35)^2))/(2*Inputs!$C$36^2)))+Inputs!$C$37*(0.55*SIN(2*PI()*(Model_Data!A130)/Inputs!$C$39)+0.35*COS(2*PI()*(0)/Inputs!$C$40)+0.2*SIN(2*PI()*((Model_Data!A130)+(0))/(0.5*(Inputs!$C$39+Inputs!$C$40))))+Inputs!$C$38*SIN(2*PI()*(Model_Data!A130)/Inputs!$C$39)*SIN(2*PI()*(0)/Inputs!$C$40)+-Inputs!$C$41*EXP(-(((0)-Inputs!$C$43)^2)/(2*Inputs!$C$44^2))*EXP(-(((Model_Data!A130)-Inputs!$C$42)^2)/(2*Inputs!$C$45^2))+Inputs!$C$48*(0.70*(0.45*SIN(2*PI()*(((Model_Data!A130)/Inputs!$C$49)+Inputs!$C$47*0.137))+0.35*COS(2*PI()*(((0)/Inputs!$C$50)+Inputs!$C$47*0.173))+0.20*SIN(2*PI()*(((Model_Data!A130)+(0))/(0.5*(Inputs!$C$49+Inputs!$C$50))+Inputs!$C$47*0.097)))+0.30*(2*((SIN(((Model_Data!A130)*12.9898+(0)*78.233+Inputs!$C$47*37.719))*43758.5453)-INT((SIN(((Model_Data!A130)*12.9898+(0)*78.233+Inputs!$C$47*37.719))*43758.5453)))-1))))/1000)))*1000/Inputs!$C$12)-Model_Data!F130))-(-(((SQRT((Model_Data!A130)^2+Inputs!$C$6^2+(Inputs!$C$5-((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(0.45*SIN(2*PI()*(((Model_Data!A130)/Inputs!$C$49)+Inputs!$C$47*0.137))+0.35*COS(2*PI()*(((Inputs!$C$6)/Inputs!$C$50)+Inputs!$C$47*0.173))+0.20*SIN(2*PI()*(((Model_Data!A130)+(Inputs!$C$6))/(0.5*(Inputs!$C$49+Inputs!$C$50))+Inputs!$C$47*0.097)))+0.30*(2*((SIN(((Model_Data!A130)*12.9898+(Inputs!$C$6)*78.233+Inputs!$C$47*37.719))*43758.5453)-INT((SIN(((Model_Data!A130)*12.9898+(Inputs!$C$6)*78.233+Inputs!$C$47*37.719))*43758.5453)))-1))))/1000)^2)-(Inputs!$C$5-((Inputs!$C$51*(115*EXP(-(((0)-25)^2)/(4.5^2))+70*EXP(-(((0)+38)^2)/(7^2))*(0.55+0.45*SIN(2*PI()*(Model_Data!A130)/45))+24*SIN(2*PI()*(0)/9+(Model_Data!A130)/18)*EXP(-(((0)+5)^2)/(22^2))+18*SIN(2*PI()*(Model_Data!A130)/70))+Inputs!$C$28*EXP(-(((Model_Data!A130)-Inputs!$C$29)^2)/(2*Inputs!$C$31^2))*EXP(-(((0)-Inputs!$C$30)^2)/(2*Inputs!$C$32^2))+-Inputs!$C$33*EXP(-(((((Model_Data!A130)-Inputs!$C$34)^2)+(((0)-Inputs!$C$35)^2))/(2*Inputs!$C$36^2)))+Inputs!$C$37*(0.55*SIN(2*PI()*(Model_Data!A130)/Inputs!$C$39)+0.35*COS(2*PI()*(0)/Inputs!$C$40)+0.2*SIN(2*PI()*((Model_Data!A130)+(0))/(0.5*(Inputs!$C$39+Inputs!$C$40))))+Inputs!$C$38*SIN(2*PI()*(Model_Data!A130)/Inputs!$C$39)*SIN(2*PI()*(0)/Inputs!$C$40)+-Inputs!$C$41*EXP(-(((0)-Inputs!$C$43)^2)/(2*Inputs!$C$44^2))*EXP(-(((Model_Data!A130)-Inputs!$C$42)^2)/(2*Inputs!$C$45^2))+Inputs!$C$48*(0.70*(0.45*SIN(2*PI()*(((Model_Data!A130)/Inputs!$C$49)+Inputs!$C$47*0.137))+0.35*COS(2*PI()*(((0)/Inputs!$C$50)+Inputs!$C$47*0.173))+0.20*SIN(2*PI()*(((Model_Data!A130)+(0))/(0.5*(Inputs!$C$49+Inputs!$C$50))+Inputs!$C$47*0.097)))+0.30*(2*((SIN(((Model_Data!A130)*12.9898+(0)*78.233+Inputs!$C$47*37.719))*43758.5453)-INT((SIN(((Model_Data!A130)*12.9898+(0)*78.233+Inputs!$C$47*37.719))*43758.5453)))-1))))/1000))*1000/Inputs!$C$12)-((SQRT((Model_Data!A130)^2+Inputs!$C$6^2+Inputs!$C$5^2)-Inputs!$C$5)*1000/Inputs!$C$12)))</x:f>
        <x:v>0.00005596218625214533</x:v>
      </x:c>
      <x:c r="X130" s="48" t="n">
        <x:f>0</x:f>
        <x:v>0</x:v>
      </x:c>
      <x:c r="Y130" s="49"/>
      <x:c r="Z130" s="48" t="n">
        <x:f>Model_Data!A130</x:f>
        <x:v>4</x:v>
      </x:c>
      <x:c r="AA130" s="48" t="n">
        <x:f>SQRT((Model_Data!A130)^2+Inputs!$C$6^2+((Model_Data!B130)-((Inputs!$C$51*(115*EXP(-(((Inputs!$C$6)-25)^2)/(4.5^2))+70*EXP(-(((Inputs!$C$6)+38)^2)/(7^2))*(0.55+0.45*SIN(2*PI()*(Model_Data!A130)/45))+24*SIN(2*PI()*(Inputs!$C$6)/9+(Model_Data!A130)/18)*EXP(-(((Inputs!$C$6)+5)^2)/(22^2))+18*SIN(2*PI()*(Model_Data!A130)/70))+Inputs!$C$28*EXP(-(((Model_Data!A130)-Inputs!$C$29)^2)/(2*Inputs!$C$31^2))*EXP(-(((Inputs!$C$6)-Inputs!$C$30)^2)/(2*Inputs!$C$32^2))+-Inputs!$C$33*EXP(-(((((Model_Data!A130)-Inputs!$C$34)^2)+(((Inputs!$C$6)-Inputs!$C$35)^2))/(2*Inputs!$C$36^2)))+Inputs!$C$37*(0.55*SIN(2*PI()*(Model_Data!A130)/Inputs!$C$39)+0.35*COS(2*PI()*(Inputs!$C$6)/Inputs!$C$40)+0.2*SIN(2*PI()*((Model_Data!A130)+(Inputs!$C$6))/(0.5*(Inputs!$C$39+Inputs!$C$40))))+Inputs!$C$38*SIN(2*PI()*(Model_Data!A130)/Inputs!$C$39)*SIN(2*PI()*(Inputs!$C$6)/Inputs!$C$40)+-Inputs!$C$41*EXP(-(((Inputs!$C$6)-Inputs!$C$43)^2)/(2*Inputs!$C$44^2))*EXP(-(((Model_Data!A130)-Inputs!$C$42)^2)/(2*Inputs!$C$45^2))+Inputs!$C$48*(0.70*(0.45*SIN(2*PI()*(((Model_Data!A130)/Inputs!$C$49)+Inputs!$C$47*0.137))+0.35*COS(2*PI()*(((Inputs!$C$6)/Inputs!$C$50)+Inputs!$C$47*0.173))+0.20*SIN(2*PI()*(((Model_Data!A130)+(Inputs!$C$6))/(0.5*(Inputs!$C$49+Inputs!$C$50))+Inputs!$C$47*0.097)))+0.30*(2*((SIN(((Model_Data!A130)*12.9898+(Inputs!$C$6)*78.233+Inputs!$C$47*37.719))*43758.5453)-INT((SIN(((Model_Data!A130)*12.9898+(Inputs!$C$6)*78.233+Inputs!$C$47*37.719))*43758.5453)))-1))))/1000)^2)</x:f>
        <x:v>400.25764480578573</x:v>
      </x:c>
      <x:c r="AB130" s="48" t="n">
        <x:f>1000*(AA131-AA129)/(Z131-Z129)*Inputs!$C$11</x:f>
        <x:v>52.60632759041073</x:v>
      </x:c>
      <x:c r="AC130" s="48" t="n">
        <x:f>-2*AB130/Inputs!$C$13</x:f>
        <x:v>-21.04253103616429</x:v>
      </x:c>
      <x:c r="AD130" s="48" t="n">
        <x:f>-2*AB130/Inputs!$C$14</x:f>
        <x:v>-3.1595391946192635</x:v>
      </x:c>
    </x:row>
    <x:row r="131">
      <x:c r="A131" s="48" t="n">
        <x:f>Model_Data!A131</x:f>
        <x:v>4.5</x:v>
      </x:c>
      <x:c r="B131" s="48" t="n">
        <x:f>Model_Data!F131</x:f>
        <x:v>452.64366680049187</x:v>
      </x:c>
      <x:c r="C131" s="48" t="n">
        <x:f>(((SQRT((Model_Data!A131)^2+Inputs!$C$6^2+((Model_Data!B131)-((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(0.45*SIN(2*PI()*(((Model_Data!A131)/Inputs!$C$49)+Inputs!$C$47*0.137))+0.35*COS(2*PI()*(((Inputs!$C$6)/Inputs!$C$50)+Inputs!$C$47*0.173))+0.20*SIN(2*PI()*(((Model_Data!A131)+(Inputs!$C$6))/(0.5*(Inputs!$C$49+Inputs!$C$50))+Inputs!$C$47*0.097)))+0.30*(2*((SIN(((Model_Data!A131)*12.9898+(Inputs!$C$6)*78.233+Inputs!$C$47*37.719))*43758.5453)-INT((SIN(((Model_Data!A131)*12.9898+(Inputs!$C$6)*78.233+Inputs!$C$47*37.719))*43758.5453)))-1))))/1000)^2))-(((Model_Data!B131)-((Inputs!$C$51*(115*EXP(-(((0)-25)^2)/(4.5^2))+70*EXP(-(((0)+38)^2)/(7^2))*(0.55+0.45*SIN(2*PI()*(Model_Data!A131)/45))+24*SIN(2*PI()*(0)/9+(Model_Data!A131)/18)*EXP(-(((0)+5)^2)/(22^2))+18*SIN(2*PI()*(Model_Data!A131)/70))+Inputs!$C$28*EXP(-(((Model_Data!A131)-Inputs!$C$29)^2)/(2*Inputs!$C$31^2))*EXP(-(((0)-Inputs!$C$30)^2)/(2*Inputs!$C$32^2))+-Inputs!$C$33*EXP(-(((((Model_Data!A131)-Inputs!$C$34)^2)+(((0)-Inputs!$C$35)^2))/(2*Inputs!$C$36^2)))+Inputs!$C$37*(0.55*SIN(2*PI()*(Model_Data!A131)/Inputs!$C$39)+0.35*COS(2*PI()*(0)/Inputs!$C$40)+0.2*SIN(2*PI()*((Model_Data!A131)+(0))/(0.5*(Inputs!$C$39+Inputs!$C$40))))+Inputs!$C$38*SIN(2*PI()*(Model_Data!A131)/Inputs!$C$39)*SIN(2*PI()*(0)/Inputs!$C$40)+-Inputs!$C$41*EXP(-(((0)-Inputs!$C$43)^2)/(2*Inputs!$C$44^2))*EXP(-(((Model_Data!A131)-Inputs!$C$42)^2)/(2*Inputs!$C$45^2))+Inputs!$C$48*(0.70*(0.45*SIN(2*PI()*(((Model_Data!A131)/Inputs!$C$49)+Inputs!$C$47*0.137))+0.35*COS(2*PI()*(((0)/Inputs!$C$50)+Inputs!$C$47*0.173))+0.20*SIN(2*PI()*(((Model_Data!A131)+(0))/(0.5*(Inputs!$C$49+Inputs!$C$50))+Inputs!$C$47*0.097)))+0.30*(2*((SIN(((Model_Data!A131)*12.9898+(0)*78.233+Inputs!$C$47*37.719))*43758.5453)-INT((SIN(((Model_Data!A131)*12.9898+(0)*78.233+Inputs!$C$47*37.719))*43758.5453)))-1))))/1000)))*1000/Inputs!$C$12)</x:f>
        <x:v>180.18355548736565</x:v>
      </x:c>
      <x:c r="D131" s="49"/>
      <x:c r="E131" s="48" t="n">
        <x:f>Model_Data!A131</x:f>
        <x:v>4.5</x:v>
      </x:c>
      <x:c r="F131" s="48" t="n">
        <x:f>(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(0.45*SIN(2*PI()*(((Model_Data!A131)/Inputs!$C$49)+Inputs!$C$47*0.137))+0.35*COS(2*PI()*(((Inputs!$C$6)/Inputs!$C$50)+Inputs!$C$47*0.173))+0.20*SIN(2*PI()*(((Model_Data!A131)+(Inputs!$C$6))/(0.5*(Inputs!$C$49+Inputs!$C$50))+Inputs!$C$47*0.097)))+0.30*(2*((SIN(((Model_Data!A131)*12.9898+(Inputs!$C$6)*78.233+Inputs!$C$47*37.719))*43758.5453)-INT((SIN(((Model_Data!A131)*12.9898+(Inputs!$C$6)*78.233+Inputs!$C$47*37.719))*43758.5453)))-1)))</x:f>
        <x:v>568.6436382247327</x:v>
      </x:c>
      <x:c r="G131" s="48" t="n">
        <x:f>(Inputs!$C$51*(115*EXP(-(((0)-25)^2)/(4.5^2))+70*EXP(-(((0)+38)^2)/(7^2))*(0.55+0.45*SIN(2*PI()*(Model_Data!A131)/45))+24*SIN(2*PI()*(0)/9+(Model_Data!A131)/18)*EXP(-(((0)+5)^2)/(22^2))+18*SIN(2*PI()*(Model_Data!A131)/70))+Inputs!$C$28*EXP(-(((Model_Data!A131)-Inputs!$C$29)^2)/(2*Inputs!$C$31^2))*EXP(-(((0)-Inputs!$C$30)^2)/(2*Inputs!$C$32^2))+-Inputs!$C$33*EXP(-(((((Model_Data!A131)-Inputs!$C$34)^2)+(((0)-Inputs!$C$35)^2))/(2*Inputs!$C$36^2)))+Inputs!$C$37*(0.55*SIN(2*PI()*(Model_Data!A131)/Inputs!$C$39)+0.35*COS(2*PI()*(0)/Inputs!$C$40)+0.2*SIN(2*PI()*((Model_Data!A131)+(0))/(0.5*(Inputs!$C$39+Inputs!$C$40))))+Inputs!$C$38*SIN(2*PI()*(Model_Data!A131)/Inputs!$C$39)*SIN(2*PI()*(0)/Inputs!$C$40)+-Inputs!$C$41*EXP(-(((0)-Inputs!$C$43)^2)/(2*Inputs!$C$44^2))*EXP(-(((Model_Data!A131)-Inputs!$C$42)^2)/(2*Inputs!$C$45^2))+Inputs!$C$48*(0.70*(0.45*SIN(2*PI()*(((Model_Data!A131)/Inputs!$C$49)+Inputs!$C$47*0.137))+0.35*COS(2*PI()*(((0)/Inputs!$C$50)+Inputs!$C$47*0.173))+0.20*SIN(2*PI()*(((Model_Data!A131)+(0))/(0.5*(Inputs!$C$49+Inputs!$C$50))+Inputs!$C$47*0.097)))+0.30*(2*((SIN(((Model_Data!A131)*12.9898+(0)*78.233+Inputs!$C$47*37.719))*43758.5453)-INT((SIN(((Model_Data!A131)*12.9898+(0)*78.233+Inputs!$C$47*37.719))*43758.5453)))-1)))</x:f>
        <x:v>82.51998590748882</x:v>
      </x:c>
      <x:c r="H131" s="49"/>
      <x:c r="I131" s="48" t="n">
        <x:f>Model_Data!A131</x:f>
        <x:v>4.5</x:v>
      </x:c>
      <x:c r="J131" s="48" t="n">
        <x:f>((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(0.45*SIN(2*PI()*(((Model_Data!A131)/Inputs!$C$49)+Inputs!$C$47*0.137))+0.35*COS(2*PI()*(((Inputs!$C$6)/Inputs!$C$50)+Inputs!$C$47*0.173))+0.20*SIN(2*PI()*(((Model_Data!A131)+(Inputs!$C$6))/(0.5*(Inputs!$C$49+Inputs!$C$50))+Inputs!$C$47*0.097)))+0.30*(2*((SIN(((Model_Data!A131)*12.9898+(Inputs!$C$6)*78.233+Inputs!$C$47*37.719))*43758.5453)-INT((SIN(((Model_Data!A131)*12.9898+(Inputs!$C$6)*78.233+Inputs!$C$47*37.719))*43758.5453)))-1))))-((Inputs!$C$51*(115*EXP(-(((0)-25)^2)/(4.5^2))+70*EXP(-(((0)+38)^2)/(7^2))*(0.55+0.45*SIN(2*PI()*(Model_Data!A131)/45))+24*SIN(2*PI()*(0)/9+(Model_Data!A131)/18)*EXP(-(((0)+5)^2)/(22^2))+18*SIN(2*PI()*(Model_Data!A131)/70))+Inputs!$C$28*EXP(-(((Model_Data!A131)-Inputs!$C$29)^2)/(2*Inputs!$C$31^2))*EXP(-(((0)-Inputs!$C$30)^2)/(2*Inputs!$C$32^2))+-Inputs!$C$33*EXP(-(((((Model_Data!A131)-Inputs!$C$34)^2)+(((0)-Inputs!$C$35)^2))/(2*Inputs!$C$36^2)))+Inputs!$C$37*(0.55*SIN(2*PI()*(Model_Data!A131)/Inputs!$C$39)+0.35*COS(2*PI()*(0)/Inputs!$C$40)+0.2*SIN(2*PI()*((Model_Data!A131)+(0))/(0.5*(Inputs!$C$39+Inputs!$C$40))))+Inputs!$C$38*SIN(2*PI()*(Model_Data!A131)/Inputs!$C$39)*SIN(2*PI()*(0)/Inputs!$C$40)+-Inputs!$C$41*EXP(-(((0)-Inputs!$C$43)^2)/(2*Inputs!$C$44^2))*EXP(-(((Model_Data!A131)-Inputs!$C$42)^2)/(2*Inputs!$C$45^2))+Inputs!$C$48*(0.70*(0.45*SIN(2*PI()*(((Model_Data!A131)/Inputs!$C$49)+Inputs!$C$47*0.137))+0.35*COS(2*PI()*(((0)/Inputs!$C$50)+Inputs!$C$47*0.173))+0.20*SIN(2*PI()*(((Model_Data!A131)+(0))/(0.5*(Inputs!$C$49+Inputs!$C$50))+Inputs!$C$47*0.097)))+0.30*(2*((SIN(((Model_Data!A131)*12.9898+(0)*78.233+Inputs!$C$47*37.719))*43758.5453)-INT((SIN(((Model_Data!A131)*12.9898+(0)*78.233+Inputs!$C$47*37.719))*43758.5453)))-1))))</x:f>
        <x:v>486.1236523172439</x:v>
      </x:c>
      <x:c r="K131" s="48" t="n">
        <x:f>-((((SQRT((Model_Data!A131)^2+Inputs!$C$6^2+((Model_Data!B131)-((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(0.45*SIN(2*PI()*(((Model_Data!A131)/Inputs!$C$49)+Inputs!$C$47*0.137))+0.35*COS(2*PI()*(((Inputs!$C$6)/Inputs!$C$50)+Inputs!$C$47*0.173))+0.20*SIN(2*PI()*(((Model_Data!A131)+(Inputs!$C$6))/(0.5*(Inputs!$C$49+Inputs!$C$50))+Inputs!$C$47*0.097)))+0.30*(2*((SIN(((Model_Data!A131)*12.9898+(Inputs!$C$6)*78.233+Inputs!$C$47*37.719))*43758.5453)-INT((SIN(((Model_Data!A131)*12.9898+(Inputs!$C$6)*78.233+Inputs!$C$47*37.719))*43758.5453)))-1))))/1000)^2))-(((Model_Data!B131)-((Inputs!$C$51*(115*EXP(-(((0)-25)^2)/(4.5^2))+70*EXP(-(((0)+38)^2)/(7^2))*(0.55+0.45*SIN(2*PI()*(Model_Data!A131)/45))+24*SIN(2*PI()*(0)/9+(Model_Data!A131)/18)*EXP(-(((0)+5)^2)/(22^2))+18*SIN(2*PI()*(Model_Data!A131)/70))+Inputs!$C$28*EXP(-(((Model_Data!A131)-Inputs!$C$29)^2)/(2*Inputs!$C$31^2))*EXP(-(((0)-Inputs!$C$30)^2)/(2*Inputs!$C$32^2))+-Inputs!$C$33*EXP(-(((((Model_Data!A131)-Inputs!$C$34)^2)+(((0)-Inputs!$C$35)^2))/(2*Inputs!$C$36^2)))+Inputs!$C$37*(0.55*SIN(2*PI()*(Model_Data!A131)/Inputs!$C$39)+0.35*COS(2*PI()*(0)/Inputs!$C$40)+0.2*SIN(2*PI()*((Model_Data!A131)+(0))/(0.5*(Inputs!$C$39+Inputs!$C$40))))+Inputs!$C$38*SIN(2*PI()*(Model_Data!A131)/Inputs!$C$39)*SIN(2*PI()*(0)/Inputs!$C$40)+-Inputs!$C$41*EXP(-(((0)-Inputs!$C$43)^2)/(2*Inputs!$C$44^2))*EXP(-(((Model_Data!A131)-Inputs!$C$42)^2)/(2*Inputs!$C$45^2))+Inputs!$C$48*(0.70*(0.45*SIN(2*PI()*(((Model_Data!A131)/Inputs!$C$49)+Inputs!$C$47*0.137))+0.35*COS(2*PI()*(((0)/Inputs!$C$50)+Inputs!$C$47*0.173))+0.20*SIN(2*PI()*(((Model_Data!A131)+(0))/(0.5*(Inputs!$C$49+Inputs!$C$50))+Inputs!$C$47*0.097)))+0.30*(2*((SIN(((Model_Data!A131)*12.9898+(0)*78.233+Inputs!$C$47*37.719))*43758.5453)-INT((SIN(((Model_Data!A131)*12.9898+(0)*78.233+Inputs!$C$47*37.719))*43758.5453)))-1))))/1000)))*1000/Inputs!$C$12)-Model_Data!F131)</x:f>
        <x:v>272.4601113131262</x:v>
      </x:c>
      <x:c r="L131" s="49"/>
      <x:c r="M131" s="48" t="n">
        <x:f>Model_Data!A131</x:f>
        <x:v>4.5</x:v>
      </x:c>
      <x:c r="N131" s="48" t="n">
        <x:f>Model_Data!P131</x:f>
        <x:v>-33.930646111432324</x:v>
      </x:c>
      <x:c r="O131" s="48" t="n">
        <x:f>AC131</x:f>
        <x:v>-54.48203357245802</x:v>
      </x:c>
      <x:c r="P131" s="48" t="n">
        <x:f>Model_Data!Q131</x:f>
        <x:v>-5.094691608323172</x:v>
      </x:c>
      <x:c r="Q131" s="48" t="n">
        <x:f>AD131</x:f>
        <x:v>-8.180485521390095</x:v>
      </x:c>
      <x:c r="R131" s="49"/>
      <x:c r="S131" s="48" t="n">
        <x:f>Model_Data!A131</x:f>
        <x:v>4.5</x:v>
      </x:c>
      <x:c r="T131" s="48" t="n">
        <x:f>Model_Data!B131-Inputs!$C$5</x:f>
        <x:v>0.022499999999979536</x:v>
      </x:c>
      <x:c r="U131" s="49"/>
      <x:c r="V131" s="48" t="n">
        <x:f>Model_Data!A131</x:f>
        <x:v>4.5</x:v>
      </x:c>
      <x:c r="W131" s="48" t="n">
        <x:f>(-((((SQRT((Model_Data!A131)^2+Inputs!$C$6^2+((Model_Data!B131)-((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(0.45*SIN(2*PI()*(((Model_Data!A131)/Inputs!$C$49)+Inputs!$C$47*0.137))+0.35*COS(2*PI()*(((Inputs!$C$6)/Inputs!$C$50)+Inputs!$C$47*0.173))+0.20*SIN(2*PI()*(((Model_Data!A131)+(Inputs!$C$6))/(0.5*(Inputs!$C$49+Inputs!$C$50))+Inputs!$C$47*0.097)))+0.30*(2*((SIN(((Model_Data!A131)*12.9898+(Inputs!$C$6)*78.233+Inputs!$C$47*37.719))*43758.5453)-INT((SIN(((Model_Data!A131)*12.9898+(Inputs!$C$6)*78.233+Inputs!$C$47*37.719))*43758.5453)))-1))))/1000)^2))-(((Model_Data!B131)-((Inputs!$C$51*(115*EXP(-(((0)-25)^2)/(4.5^2))+70*EXP(-(((0)+38)^2)/(7^2))*(0.55+0.45*SIN(2*PI()*(Model_Data!A131)/45))+24*SIN(2*PI()*(0)/9+(Model_Data!A131)/18)*EXP(-(((0)+5)^2)/(22^2))+18*SIN(2*PI()*(Model_Data!A131)/70))+Inputs!$C$28*EXP(-(((Model_Data!A131)-Inputs!$C$29)^2)/(2*Inputs!$C$31^2))*EXP(-(((0)-Inputs!$C$30)^2)/(2*Inputs!$C$32^2))+-Inputs!$C$33*EXP(-(((((Model_Data!A131)-Inputs!$C$34)^2)+(((0)-Inputs!$C$35)^2))/(2*Inputs!$C$36^2)))+Inputs!$C$37*(0.55*SIN(2*PI()*(Model_Data!A131)/Inputs!$C$39)+0.35*COS(2*PI()*(0)/Inputs!$C$40)+0.2*SIN(2*PI()*((Model_Data!A131)+(0))/(0.5*(Inputs!$C$39+Inputs!$C$40))))+Inputs!$C$38*SIN(2*PI()*(Model_Data!A131)/Inputs!$C$39)*SIN(2*PI()*(0)/Inputs!$C$40)+-Inputs!$C$41*EXP(-(((0)-Inputs!$C$43)^2)/(2*Inputs!$C$44^2))*EXP(-(((Model_Data!A131)-Inputs!$C$42)^2)/(2*Inputs!$C$45^2))+Inputs!$C$48*(0.70*(0.45*SIN(2*PI()*(((Model_Data!A131)/Inputs!$C$49)+Inputs!$C$47*0.137))+0.35*COS(2*PI()*(((0)/Inputs!$C$50)+Inputs!$C$47*0.173))+0.20*SIN(2*PI()*(((Model_Data!A131)+(0))/(0.5*(Inputs!$C$49+Inputs!$C$50))+Inputs!$C$47*0.097)))+0.30*(2*((SIN(((Model_Data!A131)*12.9898+(0)*78.233+Inputs!$C$47*37.719))*43758.5453)-INT((SIN(((Model_Data!A131)*12.9898+(0)*78.233+Inputs!$C$47*37.719))*43758.5453)))-1))))/1000)))*1000/Inputs!$C$12)-Model_Data!F131))-(-(((SQRT((Model_Data!A131)^2+Inputs!$C$6^2+(Inputs!$C$5-((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(0.45*SIN(2*PI()*(((Model_Data!A131)/Inputs!$C$49)+Inputs!$C$47*0.137))+0.35*COS(2*PI()*(((Inputs!$C$6)/Inputs!$C$50)+Inputs!$C$47*0.173))+0.20*SIN(2*PI()*(((Model_Data!A131)+(Inputs!$C$6))/(0.5*(Inputs!$C$49+Inputs!$C$50))+Inputs!$C$47*0.097)))+0.30*(2*((SIN(((Model_Data!A131)*12.9898+(Inputs!$C$6)*78.233+Inputs!$C$47*37.719))*43758.5453)-INT((SIN(((Model_Data!A131)*12.9898+(Inputs!$C$6)*78.233+Inputs!$C$47*37.719))*43758.5453)))-1))))/1000)^2)-(Inputs!$C$5-((Inputs!$C$51*(115*EXP(-(((0)-25)^2)/(4.5^2))+70*EXP(-(((0)+38)^2)/(7^2))*(0.55+0.45*SIN(2*PI()*(Model_Data!A131)/45))+24*SIN(2*PI()*(0)/9+(Model_Data!A131)/18)*EXP(-(((0)+5)^2)/(22^2))+18*SIN(2*PI()*(Model_Data!A131)/70))+Inputs!$C$28*EXP(-(((Model_Data!A131)-Inputs!$C$29)^2)/(2*Inputs!$C$31^2))*EXP(-(((0)-Inputs!$C$30)^2)/(2*Inputs!$C$32^2))+-Inputs!$C$33*EXP(-(((((Model_Data!A131)-Inputs!$C$34)^2)+(((0)-Inputs!$C$35)^2))/(2*Inputs!$C$36^2)))+Inputs!$C$37*(0.55*SIN(2*PI()*(Model_Data!A131)/Inputs!$C$39)+0.35*COS(2*PI()*(0)/Inputs!$C$40)+0.2*SIN(2*PI()*((Model_Data!A131)+(0))/(0.5*(Inputs!$C$39+Inputs!$C$40))))+Inputs!$C$38*SIN(2*PI()*(Model_Data!A131)/Inputs!$C$39)*SIN(2*PI()*(0)/Inputs!$C$40)+-Inputs!$C$41*EXP(-(((0)-Inputs!$C$43)^2)/(2*Inputs!$C$44^2))*EXP(-(((Model_Data!A131)-Inputs!$C$42)^2)/(2*Inputs!$C$45^2))+Inputs!$C$48*(0.70*(0.45*SIN(2*PI()*(((Model_Data!A131)/Inputs!$C$49)+Inputs!$C$47*0.137))+0.35*COS(2*PI()*(((0)/Inputs!$C$50)+Inputs!$C$47*0.173))+0.20*SIN(2*PI()*(((Model_Data!A131)+(0))/(0.5*(Inputs!$C$49+Inputs!$C$50))+Inputs!$C$47*0.097)))+0.30*(2*((SIN(((Model_Data!A131)*12.9898+(0)*78.233+Inputs!$C$47*37.719))*43758.5453)-INT((SIN(((Model_Data!A131)*12.9898+(0)*78.233+Inputs!$C$47*37.719))*43758.5453)))-1))))/1000))*1000/Inputs!$C$12)-((SQRT((Model_Data!A131)^2+Inputs!$C$6^2+Inputs!$C$5^2)-Inputs!$C$5)*1000/Inputs!$C$12)))</x:f>
        <x:v>0.00007217974138029604</x:v>
      </x:c>
      <x:c r="X131" s="48" t="n">
        <x:f>0</x:f>
        <x:v>0</x:v>
      </x:c>
      <x:c r="Y131" s="49"/>
      <x:c r="Z131" s="48" t="n">
        <x:f>Model_Data!A131</x:f>
        <x:v>4.5</x:v>
      </x:c>
      <x:c r="AA131" s="48" t="n">
        <x:f>SQRT((Model_Data!A131)^2+Inputs!$C$6^2+((Model_Data!B131)-((Inputs!$C$51*(115*EXP(-(((Inputs!$C$6)-25)^2)/(4.5^2))+70*EXP(-(((Inputs!$C$6)+38)^2)/(7^2))*(0.55+0.45*SIN(2*PI()*(Model_Data!A131)/45))+24*SIN(2*PI()*(Inputs!$C$6)/9+(Model_Data!A131)/18)*EXP(-(((Inputs!$C$6)+5)^2)/(22^2))+18*SIN(2*PI()*(Model_Data!A131)/70))+Inputs!$C$28*EXP(-(((Model_Data!A131)-Inputs!$C$29)^2)/(2*Inputs!$C$31^2))*EXP(-(((Inputs!$C$6)-Inputs!$C$30)^2)/(2*Inputs!$C$32^2))+-Inputs!$C$33*EXP(-(((((Model_Data!A131)-Inputs!$C$34)^2)+(((Inputs!$C$6)-Inputs!$C$35)^2))/(2*Inputs!$C$36^2)))+Inputs!$C$37*(0.55*SIN(2*PI()*(Model_Data!A131)/Inputs!$C$39)+0.35*COS(2*PI()*(Inputs!$C$6)/Inputs!$C$40)+0.2*SIN(2*PI()*((Model_Data!A131)+(Inputs!$C$6))/(0.5*(Inputs!$C$39+Inputs!$C$40))))+Inputs!$C$38*SIN(2*PI()*(Model_Data!A131)/Inputs!$C$39)*SIN(2*PI()*(Inputs!$C$6)/Inputs!$C$40)+-Inputs!$C$41*EXP(-(((Inputs!$C$6)-Inputs!$C$43)^2)/(2*Inputs!$C$44^2))*EXP(-(((Model_Data!A131)-Inputs!$C$42)^2)/(2*Inputs!$C$45^2))+Inputs!$C$48*(0.70*(0.45*SIN(2*PI()*(((Model_Data!A131)/Inputs!$C$49)+Inputs!$C$47*0.137))+0.35*COS(2*PI()*(((Inputs!$C$6)/Inputs!$C$50)+Inputs!$C$47*0.173))+0.20*SIN(2*PI()*(((Model_Data!A131)+(Inputs!$C$6))/(0.5*(Inputs!$C$49+Inputs!$C$50))+Inputs!$C$47*0.097)))+0.30*(2*((SIN(((Model_Data!A131)*12.9898+(Inputs!$C$6)*78.233+Inputs!$C$47*37.719))*43758.5453)-INT((SIN(((Model_Data!A131)*12.9898+(Inputs!$C$6)*78.233+Inputs!$C$47*37.719))*43758.5453)))-1))))/1000)^2)</x:f>
        <x:v>400.26070674286</x:v>
      </x:c>
      <x:c r="AB131" s="48" t="n">
        <x:f>1000*(AA132-AA130)/(Z132-Z130)*Inputs!$C$11</x:f>
        <x:v>136.20508393114505</x:v>
      </x:c>
      <x:c r="AC131" s="48" t="n">
        <x:f>-2*AB131/Inputs!$C$13</x:f>
        <x:v>-54.48203357245802</x:v>
      </x:c>
      <x:c r="AD131" s="48" t="n">
        <x:f>-2*AB131/Inputs!$C$14</x:f>
        <x:v>-8.180485521390095</x:v>
      </x:c>
    </x:row>
    <x:row r="132">
      <x:c r="A132" s="48" t="n">
        <x:f>Model_Data!A132</x:f>
        <x:v>5</x:v>
      </x:c>
      <x:c r="B132" s="48" t="n">
        <x:f>Model_Data!F132</x:f>
        <x:v>455.9664203598553</x:v>
      </x:c>
      <x:c r="C132" s="48" t="n">
        <x:f>(((SQRT((Model_Data!A132)^2+Inputs!$C$6^2+((Model_Data!B132)-((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(0.45*SIN(2*PI()*(((Model_Data!A132)/Inputs!$C$49)+Inputs!$C$47*0.137))+0.35*COS(2*PI()*(((Inputs!$C$6)/Inputs!$C$50)+Inputs!$C$47*0.173))+0.20*SIN(2*PI()*(((Model_Data!A132)+(Inputs!$C$6))/(0.5*(Inputs!$C$49+Inputs!$C$50))+Inputs!$C$47*0.097)))+0.30*(2*((SIN(((Model_Data!A132)*12.9898+(Inputs!$C$6)*78.233+Inputs!$C$47*37.719))*43758.5453)-INT((SIN(((Model_Data!A132)*12.9898+(Inputs!$C$6)*78.233+Inputs!$C$47*37.719))*43758.5453)))-1))))/1000)^2))-(((Model_Data!B132)-((Inputs!$C$51*(115*EXP(-(((0)-25)^2)/(4.5^2))+70*EXP(-(((0)+38)^2)/(7^2))*(0.55+0.45*SIN(2*PI()*(Model_Data!A132)/45))+24*SIN(2*PI()*(0)/9+(Model_Data!A132)/18)*EXP(-(((0)+5)^2)/(22^2))+18*SIN(2*PI()*(Model_Data!A132)/70))+Inputs!$C$28*EXP(-(((Model_Data!A132)-Inputs!$C$29)^2)/(2*Inputs!$C$31^2))*EXP(-(((0)-Inputs!$C$30)^2)/(2*Inputs!$C$32^2))+-Inputs!$C$33*EXP(-(((((Model_Data!A132)-Inputs!$C$34)^2)+(((0)-Inputs!$C$35)^2))/(2*Inputs!$C$36^2)))+Inputs!$C$37*(0.55*SIN(2*PI()*(Model_Data!A132)/Inputs!$C$39)+0.35*COS(2*PI()*(0)/Inputs!$C$40)+0.2*SIN(2*PI()*((Model_Data!A132)+(0))/(0.5*(Inputs!$C$39+Inputs!$C$40))))+Inputs!$C$38*SIN(2*PI()*(Model_Data!A132)/Inputs!$C$39)*SIN(2*PI()*(0)/Inputs!$C$40)+-Inputs!$C$41*EXP(-(((0)-Inputs!$C$43)^2)/(2*Inputs!$C$44^2))*EXP(-(((Model_Data!A132)-Inputs!$C$42)^2)/(2*Inputs!$C$45^2))+Inputs!$C$48*(0.70*(0.45*SIN(2*PI()*(((Model_Data!A132)/Inputs!$C$49)+Inputs!$C$47*0.137))+0.35*COS(2*PI()*(((0)/Inputs!$C$50)+Inputs!$C$47*0.173))+0.20*SIN(2*PI()*(((Model_Data!A132)+(0))/(0.5*(Inputs!$C$49+Inputs!$C$50))+Inputs!$C$47*0.097)))+0.30*(2*((SIN(((Model_Data!A132)*12.9898+(0)*78.233+Inputs!$C$47*37.719))*43758.5453)-INT((SIN(((Model_Data!A132)*12.9898+(0)*78.233+Inputs!$C$47*37.719))*43758.5453)))-1))))/1000)))*1000/Inputs!$C$12)</x:f>
        <x:v>203.85846207696642</x:v>
      </x:c>
      <x:c r="D132" s="49"/>
      <x:c r="E132" s="48" t="n">
        <x:f>Model_Data!A132</x:f>
        <x:v>5</x:v>
      </x:c>
      <x:c r="F132" s="48" t="n">
        <x:f>(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(0.45*SIN(2*PI()*(((Model_Data!A132)/Inputs!$C$49)+Inputs!$C$47*0.137))+0.35*COS(2*PI()*(((Inputs!$C$6)/Inputs!$C$50)+Inputs!$C$47*0.173))+0.20*SIN(2*PI()*(((Model_Data!A132)+(Inputs!$C$6))/(0.5*(Inputs!$C$49+Inputs!$C$50))+Inputs!$C$47*0.097)))+0.30*(2*((SIN(((Model_Data!A132)*12.9898+(Inputs!$C$6)*78.233+Inputs!$C$47*37.719))*43758.5453)-INT((SIN(((Model_Data!A132)*12.9898+(Inputs!$C$6)*78.233+Inputs!$C$47*37.719))*43758.5453)))-1)))</x:f>
        <x:v>548.8146920903409</x:v>
      </x:c>
      <x:c r="G132" s="48" t="n">
        <x:f>(Inputs!$C$51*(115*EXP(-(((0)-25)^2)/(4.5^2))+70*EXP(-(((0)+38)^2)/(7^2))*(0.55+0.45*SIN(2*PI()*(Model_Data!A132)/45))+24*SIN(2*PI()*(0)/9+(Model_Data!A132)/18)*EXP(-(((0)+5)^2)/(22^2))+18*SIN(2*PI()*(Model_Data!A132)/70))+Inputs!$C$28*EXP(-(((Model_Data!A132)-Inputs!$C$29)^2)/(2*Inputs!$C$31^2))*EXP(-(((0)-Inputs!$C$30)^2)/(2*Inputs!$C$32^2))+-Inputs!$C$33*EXP(-(((((Model_Data!A132)-Inputs!$C$34)^2)+(((0)-Inputs!$C$35)^2))/(2*Inputs!$C$36^2)))+Inputs!$C$37*(0.55*SIN(2*PI()*(Model_Data!A132)/Inputs!$C$39)+0.35*COS(2*PI()*(0)/Inputs!$C$40)+0.2*SIN(2*PI()*((Model_Data!A132)+(0))/(0.5*(Inputs!$C$39+Inputs!$C$40))))+Inputs!$C$38*SIN(2*PI()*(Model_Data!A132)/Inputs!$C$39)*SIN(2*PI()*(0)/Inputs!$C$40)+-Inputs!$C$41*EXP(-(((0)-Inputs!$C$43)^2)/(2*Inputs!$C$44^2))*EXP(-(((Model_Data!A132)-Inputs!$C$42)^2)/(2*Inputs!$C$45^2))+Inputs!$C$48*(0.70*(0.45*SIN(2*PI()*(((Model_Data!A132)/Inputs!$C$49)+Inputs!$C$47*0.137))+0.35*COS(2*PI()*(((0)/Inputs!$C$50)+Inputs!$C$47*0.173))+0.20*SIN(2*PI()*(((Model_Data!A132)+(0))/(0.5*(Inputs!$C$49+Inputs!$C$50))+Inputs!$C$47*0.097)))+0.30*(2*((SIN(((Model_Data!A132)*12.9898+(0)*78.233+Inputs!$C$47*37.719))*43758.5453)-INT((SIN(((Model_Data!A132)*12.9898+(0)*78.233+Inputs!$C$47*37.719))*43758.5453)))-1)))</x:f>
        <x:v>98.94976350623145</x:v>
      </x:c>
      <x:c r="H132" s="49"/>
      <x:c r="I132" s="48" t="n">
        <x:f>Model_Data!A132</x:f>
        <x:v>5</x:v>
      </x:c>
      <x:c r="J132" s="48" t="n">
        <x:f>((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(0.45*SIN(2*PI()*(((Model_Data!A132)/Inputs!$C$49)+Inputs!$C$47*0.137))+0.35*COS(2*PI()*(((Inputs!$C$6)/Inputs!$C$50)+Inputs!$C$47*0.173))+0.20*SIN(2*PI()*(((Model_Data!A132)+(Inputs!$C$6))/(0.5*(Inputs!$C$49+Inputs!$C$50))+Inputs!$C$47*0.097)))+0.30*(2*((SIN(((Model_Data!A132)*12.9898+(Inputs!$C$6)*78.233+Inputs!$C$47*37.719))*43758.5453)-INT((SIN(((Model_Data!A132)*12.9898+(Inputs!$C$6)*78.233+Inputs!$C$47*37.719))*43758.5453)))-1))))-((Inputs!$C$51*(115*EXP(-(((0)-25)^2)/(4.5^2))+70*EXP(-(((0)+38)^2)/(7^2))*(0.55+0.45*SIN(2*PI()*(Model_Data!A132)/45))+24*SIN(2*PI()*(0)/9+(Model_Data!A132)/18)*EXP(-(((0)+5)^2)/(22^2))+18*SIN(2*PI()*(Model_Data!A132)/70))+Inputs!$C$28*EXP(-(((Model_Data!A132)-Inputs!$C$29)^2)/(2*Inputs!$C$31^2))*EXP(-(((0)-Inputs!$C$30)^2)/(2*Inputs!$C$32^2))+-Inputs!$C$33*EXP(-(((((Model_Data!A132)-Inputs!$C$34)^2)+(((0)-Inputs!$C$35)^2))/(2*Inputs!$C$36^2)))+Inputs!$C$37*(0.55*SIN(2*PI()*(Model_Data!A132)/Inputs!$C$39)+0.35*COS(2*PI()*(0)/Inputs!$C$40)+0.2*SIN(2*PI()*((Model_Data!A132)+(0))/(0.5*(Inputs!$C$39+Inputs!$C$40))))+Inputs!$C$38*SIN(2*PI()*(Model_Data!A132)/Inputs!$C$39)*SIN(2*PI()*(0)/Inputs!$C$40)+-Inputs!$C$41*EXP(-(((0)-Inputs!$C$43)^2)/(2*Inputs!$C$44^2))*EXP(-(((Model_Data!A132)-Inputs!$C$42)^2)/(2*Inputs!$C$45^2))+Inputs!$C$48*(0.70*(0.45*SIN(2*PI()*(((Model_Data!A132)/Inputs!$C$49)+Inputs!$C$47*0.137))+0.35*COS(2*PI()*(((0)/Inputs!$C$50)+Inputs!$C$47*0.173))+0.20*SIN(2*PI()*(((Model_Data!A132)+(0))/(0.5*(Inputs!$C$49+Inputs!$C$50))+Inputs!$C$47*0.097)))+0.30*(2*((SIN(((Model_Data!A132)*12.9898+(0)*78.233+Inputs!$C$47*37.719))*43758.5453)-INT((SIN(((Model_Data!A132)*12.9898+(0)*78.233+Inputs!$C$47*37.719))*43758.5453)))-1))))</x:f>
        <x:v>449.8649285841095</x:v>
      </x:c>
      <x:c r="K132" s="48" t="n">
        <x:f>-((((SQRT((Model_Data!A132)^2+Inputs!$C$6^2+((Model_Data!B132)-((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(0.45*SIN(2*PI()*(((Model_Data!A132)/Inputs!$C$49)+Inputs!$C$47*0.137))+0.35*COS(2*PI()*(((Inputs!$C$6)/Inputs!$C$50)+Inputs!$C$47*0.173))+0.20*SIN(2*PI()*(((Model_Data!A132)+(Inputs!$C$6))/(0.5*(Inputs!$C$49+Inputs!$C$50))+Inputs!$C$47*0.097)))+0.30*(2*((SIN(((Model_Data!A132)*12.9898+(Inputs!$C$6)*78.233+Inputs!$C$47*37.719))*43758.5453)-INT((SIN(((Model_Data!A132)*12.9898+(Inputs!$C$6)*78.233+Inputs!$C$47*37.719))*43758.5453)))-1))))/1000)^2))-(((Model_Data!B132)-((Inputs!$C$51*(115*EXP(-(((0)-25)^2)/(4.5^2))+70*EXP(-(((0)+38)^2)/(7^2))*(0.55+0.45*SIN(2*PI()*(Model_Data!A132)/45))+24*SIN(2*PI()*(0)/9+(Model_Data!A132)/18)*EXP(-(((0)+5)^2)/(22^2))+18*SIN(2*PI()*(Model_Data!A132)/70))+Inputs!$C$28*EXP(-(((Model_Data!A132)-Inputs!$C$29)^2)/(2*Inputs!$C$31^2))*EXP(-(((0)-Inputs!$C$30)^2)/(2*Inputs!$C$32^2))+-Inputs!$C$33*EXP(-(((((Model_Data!A132)-Inputs!$C$34)^2)+(((0)-Inputs!$C$35)^2))/(2*Inputs!$C$36^2)))+Inputs!$C$37*(0.55*SIN(2*PI()*(Model_Data!A132)/Inputs!$C$39)+0.35*COS(2*PI()*(0)/Inputs!$C$40)+0.2*SIN(2*PI()*((Model_Data!A132)+(0))/(0.5*(Inputs!$C$39+Inputs!$C$40))))+Inputs!$C$38*SIN(2*PI()*(Model_Data!A132)/Inputs!$C$39)*SIN(2*PI()*(0)/Inputs!$C$40)+-Inputs!$C$41*EXP(-(((0)-Inputs!$C$43)^2)/(2*Inputs!$C$44^2))*EXP(-(((Model_Data!A132)-Inputs!$C$42)^2)/(2*Inputs!$C$45^2))+Inputs!$C$48*(0.70*(0.45*SIN(2*PI()*(((Model_Data!A132)/Inputs!$C$49)+Inputs!$C$47*0.137))+0.35*COS(2*PI()*(((0)/Inputs!$C$50)+Inputs!$C$47*0.173))+0.20*SIN(2*PI()*(((Model_Data!A132)+(0))/(0.5*(Inputs!$C$49+Inputs!$C$50))+Inputs!$C$47*0.097)))+0.30*(2*((SIN(((Model_Data!A132)*12.9898+(0)*78.233+Inputs!$C$47*37.719))*43758.5453)-INT((SIN(((Model_Data!A132)*12.9898+(0)*78.233+Inputs!$C$47*37.719))*43758.5453)))-1))))/1000)))*1000/Inputs!$C$12)-Model_Data!F132)</x:f>
        <x:v>252.1079582828889</x:v>
      </x:c>
      <x:c r="L132" s="49"/>
      <x:c r="M132" s="48" t="n">
        <x:f>Model_Data!A132</x:f>
        <x:v>5</x:v>
      </x:c>
      <x:c r="N132" s="48" t="n">
        <x:f>Model_Data!P132</x:f>
        <x:v>-37.699899294940856</x:v>
      </x:c>
      <x:c r="O132" s="48" t="n">
        <x:f>AC132</x:f>
        <x:v>-84.22844705801253</x:v>
      </x:c>
      <x:c r="P132" s="48" t="n">
        <x:f>Model_Data!Q132</x:f>
        <x:v>-5.6606455397809095</x:v>
      </x:c>
      <x:c r="Q132" s="48" t="n">
        <x:f>AD132</x:f>
        <x:v>-12.646913972674556</x:v>
      </x:c>
      <x:c r="R132" s="49"/>
      <x:c r="S132" s="48" t="n">
        <x:f>Model_Data!A132</x:f>
        <x:v>5</x:v>
      </x:c>
      <x:c r="T132" s="48" t="n">
        <x:f>Model_Data!B132-Inputs!$C$5</x:f>
        <x:v>0.027777777777771462</x:v>
      </x:c>
      <x:c r="U132" s="49"/>
      <x:c r="V132" s="48" t="n">
        <x:f>Model_Data!A132</x:f>
        <x:v>5</x:v>
      </x:c>
      <x:c r="W132" s="48" t="n">
        <x:f>(-((((SQRT((Model_Data!A132)^2+Inputs!$C$6^2+((Model_Data!B132)-((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(0.45*SIN(2*PI()*(((Model_Data!A132)/Inputs!$C$49)+Inputs!$C$47*0.137))+0.35*COS(2*PI()*(((Inputs!$C$6)/Inputs!$C$50)+Inputs!$C$47*0.173))+0.20*SIN(2*PI()*(((Model_Data!A132)+(Inputs!$C$6))/(0.5*(Inputs!$C$49+Inputs!$C$50))+Inputs!$C$47*0.097)))+0.30*(2*((SIN(((Model_Data!A132)*12.9898+(Inputs!$C$6)*78.233+Inputs!$C$47*37.719))*43758.5453)-INT((SIN(((Model_Data!A132)*12.9898+(Inputs!$C$6)*78.233+Inputs!$C$47*37.719))*43758.5453)))-1))))/1000)^2))-(((Model_Data!B132)-((Inputs!$C$51*(115*EXP(-(((0)-25)^2)/(4.5^2))+70*EXP(-(((0)+38)^2)/(7^2))*(0.55+0.45*SIN(2*PI()*(Model_Data!A132)/45))+24*SIN(2*PI()*(0)/9+(Model_Data!A132)/18)*EXP(-(((0)+5)^2)/(22^2))+18*SIN(2*PI()*(Model_Data!A132)/70))+Inputs!$C$28*EXP(-(((Model_Data!A132)-Inputs!$C$29)^2)/(2*Inputs!$C$31^2))*EXP(-(((0)-Inputs!$C$30)^2)/(2*Inputs!$C$32^2))+-Inputs!$C$33*EXP(-(((((Model_Data!A132)-Inputs!$C$34)^2)+(((0)-Inputs!$C$35)^2))/(2*Inputs!$C$36^2)))+Inputs!$C$37*(0.55*SIN(2*PI()*(Model_Data!A132)/Inputs!$C$39)+0.35*COS(2*PI()*(0)/Inputs!$C$40)+0.2*SIN(2*PI()*((Model_Data!A132)+(0))/(0.5*(Inputs!$C$39+Inputs!$C$40))))+Inputs!$C$38*SIN(2*PI()*(Model_Data!A132)/Inputs!$C$39)*SIN(2*PI()*(0)/Inputs!$C$40)+-Inputs!$C$41*EXP(-(((0)-Inputs!$C$43)^2)/(2*Inputs!$C$44^2))*EXP(-(((Model_Data!A132)-Inputs!$C$42)^2)/(2*Inputs!$C$45^2))+Inputs!$C$48*(0.70*(0.45*SIN(2*PI()*(((Model_Data!A132)/Inputs!$C$49)+Inputs!$C$47*0.137))+0.35*COS(2*PI()*(((0)/Inputs!$C$50)+Inputs!$C$47*0.173))+0.20*SIN(2*PI()*(((Model_Data!A132)+(0))/(0.5*(Inputs!$C$49+Inputs!$C$50))+Inputs!$C$47*0.097)))+0.30*(2*((SIN(((Model_Data!A132)*12.9898+(0)*78.233+Inputs!$C$47*37.719))*43758.5453)-INT((SIN(((Model_Data!A132)*12.9898+(0)*78.233+Inputs!$C$47*37.719))*43758.5453)))-1))))/1000)))*1000/Inputs!$C$12)-Model_Data!F132))-(-(((SQRT((Model_Data!A132)^2+Inputs!$C$6^2+(Inputs!$C$5-((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(0.45*SIN(2*PI()*(((Model_Data!A132)/Inputs!$C$49)+Inputs!$C$47*0.137))+0.35*COS(2*PI()*(((Inputs!$C$6)/Inputs!$C$50)+Inputs!$C$47*0.173))+0.20*SIN(2*PI()*(((Model_Data!A132)+(Inputs!$C$6))/(0.5*(Inputs!$C$49+Inputs!$C$50))+Inputs!$C$47*0.097)))+0.30*(2*((SIN(((Model_Data!A132)*12.9898+(Inputs!$C$6)*78.233+Inputs!$C$47*37.719))*43758.5453)-INT((SIN(((Model_Data!A132)*12.9898+(Inputs!$C$6)*78.233+Inputs!$C$47*37.719))*43758.5453)))-1))))/1000)^2)-(Inputs!$C$5-((Inputs!$C$51*(115*EXP(-(((0)-25)^2)/(4.5^2))+70*EXP(-(((0)+38)^2)/(7^2))*(0.55+0.45*SIN(2*PI()*(Model_Data!A132)/45))+24*SIN(2*PI()*(0)/9+(Model_Data!A132)/18)*EXP(-(((0)+5)^2)/(22^2))+18*SIN(2*PI()*(Model_Data!A132)/70))+Inputs!$C$28*EXP(-(((Model_Data!A132)-Inputs!$C$29)^2)/(2*Inputs!$C$31^2))*EXP(-(((0)-Inputs!$C$30)^2)/(2*Inputs!$C$32^2))+-Inputs!$C$33*EXP(-(((((Model_Data!A132)-Inputs!$C$34)^2)+(((0)-Inputs!$C$35)^2))/(2*Inputs!$C$36^2)))+Inputs!$C$37*(0.55*SIN(2*PI()*(Model_Data!A132)/Inputs!$C$39)+0.35*COS(2*PI()*(0)/Inputs!$C$40)+0.2*SIN(2*PI()*((Model_Data!A132)+(0))/(0.5*(Inputs!$C$39+Inputs!$C$40))))+Inputs!$C$38*SIN(2*PI()*(Model_Data!A132)/Inputs!$C$39)*SIN(2*PI()*(0)/Inputs!$C$40)+-Inputs!$C$41*EXP(-(((0)-Inputs!$C$43)^2)/(2*Inputs!$C$44^2))*EXP(-(((Model_Data!A132)-Inputs!$C$42)^2)/(2*Inputs!$C$45^2))+Inputs!$C$48*(0.70*(0.45*SIN(2*PI()*(((Model_Data!A132)/Inputs!$C$49)+Inputs!$C$47*0.137))+0.35*COS(2*PI()*(((0)/Inputs!$C$50)+Inputs!$C$47*0.173))+0.20*SIN(2*PI()*(((Model_Data!A132)+(0))/(0.5*(Inputs!$C$49+Inputs!$C$50))+Inputs!$C$47*0.097)))+0.30*(2*((SIN(((Model_Data!A132)*12.9898+(0)*78.233+Inputs!$C$47*37.719))*43758.5453)-INT((SIN(((Model_Data!A132)*12.9898+(0)*78.233+Inputs!$C$47*37.719))*43758.5453)))-1))))/1000))*1000/Inputs!$C$12)-((SQRT((Model_Data!A132)^2+Inputs!$C$6^2+Inputs!$C$5^2)-Inputs!$C$5)*1000/Inputs!$C$12)))</x:f>
        <x:v>0.0000866246120665437</x:v>
      </x:c>
      <x:c r="X132" s="48" t="n">
        <x:f>0</x:f>
        <x:v>0</x:v>
      </x:c>
      <x:c r="Y132" s="49"/>
      <x:c r="Z132" s="48" t="n">
        <x:f>Model_Data!A132</x:f>
        <x:v>5</x:v>
      </x:c>
      <x:c r="AA132" s="48" t="n">
        <x:f>SQRT((Model_Data!A132)^2+Inputs!$C$6^2+((Model_Data!B132)-((Inputs!$C$51*(115*EXP(-(((Inputs!$C$6)-25)^2)/(4.5^2))+70*EXP(-(((Inputs!$C$6)+38)^2)/(7^2))*(0.55+0.45*SIN(2*PI()*(Model_Data!A132)/45))+24*SIN(2*PI()*(Inputs!$C$6)/9+(Model_Data!A132)/18)*EXP(-(((Inputs!$C$6)+5)^2)/(22^2))+18*SIN(2*PI()*(Model_Data!A132)/70))+Inputs!$C$28*EXP(-(((Model_Data!A132)-Inputs!$C$29)^2)/(2*Inputs!$C$31^2))*EXP(-(((Inputs!$C$6)-Inputs!$C$30)^2)/(2*Inputs!$C$32^2))+-Inputs!$C$33*EXP(-(((((Model_Data!A132)-Inputs!$C$34)^2)+(((Inputs!$C$6)-Inputs!$C$35)^2))/(2*Inputs!$C$36^2)))+Inputs!$C$37*(0.55*SIN(2*PI()*(Model_Data!A132)/Inputs!$C$39)+0.35*COS(2*PI()*(Inputs!$C$6)/Inputs!$C$40)+0.2*SIN(2*PI()*((Model_Data!A132)+(Inputs!$C$6))/(0.5*(Inputs!$C$39+Inputs!$C$40))))+Inputs!$C$38*SIN(2*PI()*(Model_Data!A132)/Inputs!$C$39)*SIN(2*PI()*(Inputs!$C$6)/Inputs!$C$40)+-Inputs!$C$41*EXP(-(((Inputs!$C$6)-Inputs!$C$43)^2)/(2*Inputs!$C$44^2))*EXP(-(((Model_Data!A132)-Inputs!$C$42)^2)/(2*Inputs!$C$45^2))+Inputs!$C$48*(0.70*(0.45*SIN(2*PI()*(((Model_Data!A132)/Inputs!$C$49)+Inputs!$C$47*0.137))+0.35*COS(2*PI()*(((Inputs!$C$6)/Inputs!$C$50)+Inputs!$C$47*0.173))+0.20*SIN(2*PI()*(((Model_Data!A132)+(Inputs!$C$6))/(0.5*(Inputs!$C$49+Inputs!$C$50))+Inputs!$C$47*0.097)))+0.30*(2*((SIN(((Model_Data!A132)*12.9898+(Inputs!$C$6)*78.233+Inputs!$C$47*37.719))*43758.5453)-INT((SIN(((Model_Data!A132)*12.9898+(Inputs!$C$6)*78.233+Inputs!$C$47*37.719))*43758.5453)))-1))))/1000)^2)</x:f>
        <x:v>400.2916960767685</x:v>
      </x:c>
      <x:c r="AB132" s="48" t="n">
        <x:f>1000*(AA133-AA131)/(Z133-Z131)*Inputs!$C$11</x:f>
        <x:v>210.57111764503134</x:v>
      </x:c>
      <x:c r="AC132" s="48" t="n">
        <x:f>-2*AB132/Inputs!$C$13</x:f>
        <x:v>-84.22844705801253</x:v>
      </x:c>
      <x:c r="AD132" s="48" t="n">
        <x:f>-2*AB132/Inputs!$C$14</x:f>
        <x:v>-12.646913972674556</x:v>
      </x:c>
    </x:row>
    <x:row r="133">
      <x:c r="A133" s="48" t="n">
        <x:f>Model_Data!A133</x:f>
        <x:v>5.5</x:v>
      </x:c>
      <x:c r="B133" s="48" t="n">
        <x:f>Model_Data!F133</x:f>
        <x:v>459.63877861482985</x:v>
      </x:c>
      <x:c r="C133" s="48" t="n">
        <x:f>(((SQRT((Model_Data!A133)^2+Inputs!$C$6^2+((Model_Data!B133)-((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(0.45*SIN(2*PI()*(((Model_Data!A133)/Inputs!$C$49)+Inputs!$C$47*0.137))+0.35*COS(2*PI()*(((Inputs!$C$6)/Inputs!$C$50)+Inputs!$C$47*0.173))+0.20*SIN(2*PI()*(((Model_Data!A133)+(Inputs!$C$6))/(0.5*(Inputs!$C$49+Inputs!$C$50))+Inputs!$C$47*0.097)))+0.30*(2*((SIN(((Model_Data!A133)*12.9898+(Inputs!$C$6)*78.233+Inputs!$C$47*37.719))*43758.5453)-INT((SIN(((Model_Data!A133)*12.9898+(Inputs!$C$6)*78.233+Inputs!$C$47*37.719))*43758.5453)))-1))))/1000)^2))-(((Model_Data!B133)-((Inputs!$C$51*(115*EXP(-(((0)-25)^2)/(4.5^2))+70*EXP(-(((0)+38)^2)/(7^2))*(0.55+0.45*SIN(2*PI()*(Model_Data!A133)/45))+24*SIN(2*PI()*(0)/9+(Model_Data!A133)/18)*EXP(-(((0)+5)^2)/(22^2))+18*SIN(2*PI()*(Model_Data!A133)/70))+Inputs!$C$28*EXP(-(((Model_Data!A133)-Inputs!$C$29)^2)/(2*Inputs!$C$31^2))*EXP(-(((0)-Inputs!$C$30)^2)/(2*Inputs!$C$32^2))+-Inputs!$C$33*EXP(-(((((Model_Data!A133)-Inputs!$C$34)^2)+(((0)-Inputs!$C$35)^2))/(2*Inputs!$C$36^2)))+Inputs!$C$37*(0.55*SIN(2*PI()*(Model_Data!A133)/Inputs!$C$39)+0.35*COS(2*PI()*(0)/Inputs!$C$40)+0.2*SIN(2*PI()*((Model_Data!A133)+(0))/(0.5*(Inputs!$C$39+Inputs!$C$40))))+Inputs!$C$38*SIN(2*PI()*(Model_Data!A133)/Inputs!$C$39)*SIN(2*PI()*(0)/Inputs!$C$40)+-Inputs!$C$41*EXP(-(((0)-Inputs!$C$43)^2)/(2*Inputs!$C$44^2))*EXP(-(((Model_Data!A133)-Inputs!$C$42)^2)/(2*Inputs!$C$45^2))+Inputs!$C$48*(0.70*(0.45*SIN(2*PI()*(((Model_Data!A133)/Inputs!$C$49)+Inputs!$C$47*0.137))+0.35*COS(2*PI()*(((0)/Inputs!$C$50)+Inputs!$C$47*0.173))+0.20*SIN(2*PI()*(((Model_Data!A133)+(0))/(0.5*(Inputs!$C$49+Inputs!$C$50))+Inputs!$C$47*0.097)))+0.30*(2*((SIN(((Model_Data!A133)*12.9898+(0)*78.233+Inputs!$C$47*37.719))*43758.5453)-INT((SIN(((Model_Data!A133)*12.9898+(0)*78.233+Inputs!$C$47*37.719))*43758.5453)))-1))))/1000)))*1000/Inputs!$C$12)</x:f>
        <x:v>211.7150722684717</x:v>
      </x:c>
      <x:c r="D133" s="49"/>
      <x:c r="E133" s="48" t="n">
        <x:f>Model_Data!A133</x:f>
        <x:v>5.5</x:v>
      </x:c>
      <x:c r="F133" s="48" t="n">
        <x:f>(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(0.45*SIN(2*PI()*(((Model_Data!A133)/Inputs!$C$49)+Inputs!$C$47*0.137))+0.35*COS(2*PI()*(((Inputs!$C$6)/Inputs!$C$50)+Inputs!$C$47*0.173))+0.20*SIN(2*PI()*(((Model_Data!A133)+(Inputs!$C$6))/(0.5*(Inputs!$C$49+Inputs!$C$50))+Inputs!$C$47*0.097)))+0.30*(2*((SIN(((Model_Data!A133)*12.9898+(Inputs!$C$6)*78.233+Inputs!$C$47*37.719))*43758.5453)-INT((SIN(((Model_Data!A133)*12.9898+(Inputs!$C$6)*78.233+Inputs!$C$47*37.719))*43758.5453)))-1)))</x:f>
        <x:v>539.5212853164131</x:v>
      </x:c>
      <x:c r="G133" s="48" t="n">
        <x:f>(Inputs!$C$51*(115*EXP(-(((0)-25)^2)/(4.5^2))+70*EXP(-(((0)+38)^2)/(7^2))*(0.55+0.45*SIN(2*PI()*(Model_Data!A133)/45))+24*SIN(2*PI()*(0)/9+(Model_Data!A133)/18)*EXP(-(((0)+5)^2)/(22^2))+18*SIN(2*PI()*(Model_Data!A133)/70))+Inputs!$C$28*EXP(-(((Model_Data!A133)-Inputs!$C$29)^2)/(2*Inputs!$C$31^2))*EXP(-(((0)-Inputs!$C$30)^2)/(2*Inputs!$C$32^2))+-Inputs!$C$33*EXP(-(((((Model_Data!A133)-Inputs!$C$34)^2)+(((0)-Inputs!$C$35)^2))/(2*Inputs!$C$36^2)))+Inputs!$C$37*(0.55*SIN(2*PI()*(Model_Data!A133)/Inputs!$C$39)+0.35*COS(2*PI()*(0)/Inputs!$C$40)+0.2*SIN(2*PI()*((Model_Data!A133)+(0))/(0.5*(Inputs!$C$39+Inputs!$C$40))))+Inputs!$C$38*SIN(2*PI()*(Model_Data!A133)/Inputs!$C$39)*SIN(2*PI()*(0)/Inputs!$C$40)+-Inputs!$C$41*EXP(-(((0)-Inputs!$C$43)^2)/(2*Inputs!$C$44^2))*EXP(-(((Model_Data!A133)-Inputs!$C$42)^2)/(2*Inputs!$C$45^2))+Inputs!$C$48*(0.70*(0.45*SIN(2*PI()*(((Model_Data!A133)/Inputs!$C$49)+Inputs!$C$47*0.137))+0.35*COS(2*PI()*(((0)/Inputs!$C$50)+Inputs!$C$47*0.173))+0.20*SIN(2*PI()*(((Model_Data!A133)+(0))/(0.5*(Inputs!$C$49+Inputs!$C$50))+Inputs!$C$47*0.097)))+0.30*(2*((SIN(((Model_Data!A133)*12.9898+(0)*78.233+Inputs!$C$47*37.719))*43758.5453)-INT((SIN(((Model_Data!A133)*12.9898+(0)*78.233+Inputs!$C$47*37.719))*43758.5453)))-1)))</x:f>
        <x:v>97.11441747768895</x:v>
      </x:c>
      <x:c r="H133" s="49"/>
      <x:c r="I133" s="48" t="n">
        <x:f>Model_Data!A133</x:f>
        <x:v>5.5</x:v>
      </x:c>
      <x:c r="J133" s="48" t="n">
        <x:f>((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(0.45*SIN(2*PI()*(((Model_Data!A133)/Inputs!$C$49)+Inputs!$C$47*0.137))+0.35*COS(2*PI()*(((Inputs!$C$6)/Inputs!$C$50)+Inputs!$C$47*0.173))+0.20*SIN(2*PI()*(((Model_Data!A133)+(Inputs!$C$6))/(0.5*(Inputs!$C$49+Inputs!$C$50))+Inputs!$C$47*0.097)))+0.30*(2*((SIN(((Model_Data!A133)*12.9898+(Inputs!$C$6)*78.233+Inputs!$C$47*37.719))*43758.5453)-INT((SIN(((Model_Data!A133)*12.9898+(Inputs!$C$6)*78.233+Inputs!$C$47*37.719))*43758.5453)))-1))))-((Inputs!$C$51*(115*EXP(-(((0)-25)^2)/(4.5^2))+70*EXP(-(((0)+38)^2)/(7^2))*(0.55+0.45*SIN(2*PI()*(Model_Data!A133)/45))+24*SIN(2*PI()*(0)/9+(Model_Data!A133)/18)*EXP(-(((0)+5)^2)/(22^2))+18*SIN(2*PI()*(Model_Data!A133)/70))+Inputs!$C$28*EXP(-(((Model_Data!A133)-Inputs!$C$29)^2)/(2*Inputs!$C$31^2))*EXP(-(((0)-Inputs!$C$30)^2)/(2*Inputs!$C$32^2))+-Inputs!$C$33*EXP(-(((((Model_Data!A133)-Inputs!$C$34)^2)+(((0)-Inputs!$C$35)^2))/(2*Inputs!$C$36^2)))+Inputs!$C$37*(0.55*SIN(2*PI()*(Model_Data!A133)/Inputs!$C$39)+0.35*COS(2*PI()*(0)/Inputs!$C$40)+0.2*SIN(2*PI()*((Model_Data!A133)+(0))/(0.5*(Inputs!$C$39+Inputs!$C$40))))+Inputs!$C$38*SIN(2*PI()*(Model_Data!A133)/Inputs!$C$39)*SIN(2*PI()*(0)/Inputs!$C$40)+-Inputs!$C$41*EXP(-(((0)-Inputs!$C$43)^2)/(2*Inputs!$C$44^2))*EXP(-(((Model_Data!A133)-Inputs!$C$42)^2)/(2*Inputs!$C$45^2))+Inputs!$C$48*(0.70*(0.45*SIN(2*PI()*(((Model_Data!A133)/Inputs!$C$49)+Inputs!$C$47*0.137))+0.35*COS(2*PI()*(((0)/Inputs!$C$50)+Inputs!$C$47*0.173))+0.20*SIN(2*PI()*(((Model_Data!A133)+(0))/(0.5*(Inputs!$C$49+Inputs!$C$50))+Inputs!$C$47*0.097)))+0.30*(2*((SIN(((Model_Data!A133)*12.9898+(0)*78.233+Inputs!$C$47*37.719))*43758.5453)-INT((SIN(((Model_Data!A133)*12.9898+(0)*78.233+Inputs!$C$47*37.719))*43758.5453)))-1))))</x:f>
        <x:v>442.40686783872417</x:v>
      </x:c>
      <x:c r="K133" s="48" t="n">
        <x:f>-((((SQRT((Model_Data!A133)^2+Inputs!$C$6^2+((Model_Data!B133)-((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(0.45*SIN(2*PI()*(((Model_Data!A133)/Inputs!$C$49)+Inputs!$C$47*0.137))+0.35*COS(2*PI()*(((Inputs!$C$6)/Inputs!$C$50)+Inputs!$C$47*0.173))+0.20*SIN(2*PI()*(((Model_Data!A133)+(Inputs!$C$6))/(0.5*(Inputs!$C$49+Inputs!$C$50))+Inputs!$C$47*0.097)))+0.30*(2*((SIN(((Model_Data!A133)*12.9898+(Inputs!$C$6)*78.233+Inputs!$C$47*37.719))*43758.5453)-INT((SIN(((Model_Data!A133)*12.9898+(Inputs!$C$6)*78.233+Inputs!$C$47*37.719))*43758.5453)))-1))))/1000)^2))-(((Model_Data!B133)-((Inputs!$C$51*(115*EXP(-(((0)-25)^2)/(4.5^2))+70*EXP(-(((0)+38)^2)/(7^2))*(0.55+0.45*SIN(2*PI()*(Model_Data!A133)/45))+24*SIN(2*PI()*(0)/9+(Model_Data!A133)/18)*EXP(-(((0)+5)^2)/(22^2))+18*SIN(2*PI()*(Model_Data!A133)/70))+Inputs!$C$28*EXP(-(((Model_Data!A133)-Inputs!$C$29)^2)/(2*Inputs!$C$31^2))*EXP(-(((0)-Inputs!$C$30)^2)/(2*Inputs!$C$32^2))+-Inputs!$C$33*EXP(-(((((Model_Data!A133)-Inputs!$C$34)^2)+(((0)-Inputs!$C$35)^2))/(2*Inputs!$C$36^2)))+Inputs!$C$37*(0.55*SIN(2*PI()*(Model_Data!A133)/Inputs!$C$39)+0.35*COS(2*PI()*(0)/Inputs!$C$40)+0.2*SIN(2*PI()*((Model_Data!A133)+(0))/(0.5*(Inputs!$C$39+Inputs!$C$40))))+Inputs!$C$38*SIN(2*PI()*(Model_Data!A133)/Inputs!$C$39)*SIN(2*PI()*(0)/Inputs!$C$40)+-Inputs!$C$41*EXP(-(((0)-Inputs!$C$43)^2)/(2*Inputs!$C$44^2))*EXP(-(((Model_Data!A133)-Inputs!$C$42)^2)/(2*Inputs!$C$45^2))+Inputs!$C$48*(0.70*(0.45*SIN(2*PI()*(((Model_Data!A133)/Inputs!$C$49)+Inputs!$C$47*0.137))+0.35*COS(2*PI()*(((0)/Inputs!$C$50)+Inputs!$C$47*0.173))+0.20*SIN(2*PI()*(((Model_Data!A133)+(0))/(0.5*(Inputs!$C$49+Inputs!$C$50))+Inputs!$C$47*0.097)))+0.30*(2*((SIN(((Model_Data!A133)*12.9898+(0)*78.233+Inputs!$C$47*37.719))*43758.5453)-INT((SIN(((Model_Data!A133)*12.9898+(0)*78.233+Inputs!$C$47*37.719))*43758.5453)))-1))))/1000)))*1000/Inputs!$C$12)-Model_Data!F133)</x:f>
        <x:v>247.92370634635816</x:v>
      </x:c>
      <x:c r="L133" s="49"/>
      <x:c r="M133" s="48" t="n">
        <x:f>Model_Data!A133</x:f>
        <x:v>5.5</x:v>
      </x:c>
      <x:c r="N133" s="48" t="n">
        <x:f>Model_Data!P133</x:f>
        <x:v>-41.46889405883751</x:v>
      </x:c>
      <x:c r="O133" s="48" t="n">
        <x:f>AC133</x:f>
        <x:v>-65.64503070458159</x:v>
      </x:c>
      <x:c r="P133" s="48" t="n">
        <x:f>Model_Data!Q133</x:f>
        <x:v>-6.2265606694951225</x:v>
      </x:c>
      <x:c r="Q133" s="48" t="n">
        <x:f>AD133</x:f>
        <x:v>-9.856611216904144</x:v>
      </x:c>
      <x:c r="R133" s="49"/>
      <x:c r="S133" s="48" t="n">
        <x:f>Model_Data!A133</x:f>
        <x:v>5.5</x:v>
      </x:c>
      <x:c r="T133" s="48" t="n">
        <x:f>Model_Data!B133-Inputs!$C$5</x:f>
        <x:v>0.03361111111109949</x:v>
      </x:c>
      <x:c r="U133" s="49"/>
      <x:c r="V133" s="48" t="n">
        <x:f>Model_Data!A133</x:f>
        <x:v>5.5</x:v>
      </x:c>
      <x:c r="W133" s="48" t="n">
        <x:f>(-((((SQRT((Model_Data!A133)^2+Inputs!$C$6^2+((Model_Data!B133)-((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(0.45*SIN(2*PI()*(((Model_Data!A133)/Inputs!$C$49)+Inputs!$C$47*0.137))+0.35*COS(2*PI()*(((Inputs!$C$6)/Inputs!$C$50)+Inputs!$C$47*0.173))+0.20*SIN(2*PI()*(((Model_Data!A133)+(Inputs!$C$6))/(0.5*(Inputs!$C$49+Inputs!$C$50))+Inputs!$C$47*0.097)))+0.30*(2*((SIN(((Model_Data!A133)*12.9898+(Inputs!$C$6)*78.233+Inputs!$C$47*37.719))*43758.5453)-INT((SIN(((Model_Data!A133)*12.9898+(Inputs!$C$6)*78.233+Inputs!$C$47*37.719))*43758.5453)))-1))))/1000)^2))-(((Model_Data!B133)-((Inputs!$C$51*(115*EXP(-(((0)-25)^2)/(4.5^2))+70*EXP(-(((0)+38)^2)/(7^2))*(0.55+0.45*SIN(2*PI()*(Model_Data!A133)/45))+24*SIN(2*PI()*(0)/9+(Model_Data!A133)/18)*EXP(-(((0)+5)^2)/(22^2))+18*SIN(2*PI()*(Model_Data!A133)/70))+Inputs!$C$28*EXP(-(((Model_Data!A133)-Inputs!$C$29)^2)/(2*Inputs!$C$31^2))*EXP(-(((0)-Inputs!$C$30)^2)/(2*Inputs!$C$32^2))+-Inputs!$C$33*EXP(-(((((Model_Data!A133)-Inputs!$C$34)^2)+(((0)-Inputs!$C$35)^2))/(2*Inputs!$C$36^2)))+Inputs!$C$37*(0.55*SIN(2*PI()*(Model_Data!A133)/Inputs!$C$39)+0.35*COS(2*PI()*(0)/Inputs!$C$40)+0.2*SIN(2*PI()*((Model_Data!A133)+(0))/(0.5*(Inputs!$C$39+Inputs!$C$40))))+Inputs!$C$38*SIN(2*PI()*(Model_Data!A133)/Inputs!$C$39)*SIN(2*PI()*(0)/Inputs!$C$40)+-Inputs!$C$41*EXP(-(((0)-Inputs!$C$43)^2)/(2*Inputs!$C$44^2))*EXP(-(((Model_Data!A133)-Inputs!$C$42)^2)/(2*Inputs!$C$45^2))+Inputs!$C$48*(0.70*(0.45*SIN(2*PI()*(((Model_Data!A133)/Inputs!$C$49)+Inputs!$C$47*0.137))+0.35*COS(2*PI()*(((0)/Inputs!$C$50)+Inputs!$C$47*0.173))+0.20*SIN(2*PI()*(((Model_Data!A133)+(0))/(0.5*(Inputs!$C$49+Inputs!$C$50))+Inputs!$C$47*0.097)))+0.30*(2*((SIN(((Model_Data!A133)*12.9898+(0)*78.233+Inputs!$C$47*37.719))*43758.5453)-INT((SIN(((Model_Data!A133)*12.9898+(0)*78.233+Inputs!$C$47*37.719))*43758.5453)))-1))))/1000)))*1000/Inputs!$C$12)-Model_Data!F133))-(-(((SQRT((Model_Data!A133)^2+Inputs!$C$6^2+(Inputs!$C$5-((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(0.45*SIN(2*PI()*(((Model_Data!A133)/Inputs!$C$49)+Inputs!$C$47*0.137))+0.35*COS(2*PI()*(((Inputs!$C$6)/Inputs!$C$50)+Inputs!$C$47*0.173))+0.20*SIN(2*PI()*(((Model_Data!A133)+(Inputs!$C$6))/(0.5*(Inputs!$C$49+Inputs!$C$50))+Inputs!$C$47*0.097)))+0.30*(2*((SIN(((Model_Data!A133)*12.9898+(Inputs!$C$6)*78.233+Inputs!$C$47*37.719))*43758.5453)-INT((SIN(((Model_Data!A133)*12.9898+(Inputs!$C$6)*78.233+Inputs!$C$47*37.719))*43758.5453)))-1))))/1000)^2)-(Inputs!$C$5-((Inputs!$C$51*(115*EXP(-(((0)-25)^2)/(4.5^2))+70*EXP(-(((0)+38)^2)/(7^2))*(0.55+0.45*SIN(2*PI()*(Model_Data!A133)/45))+24*SIN(2*PI()*(0)/9+(Model_Data!A133)/18)*EXP(-(((0)+5)^2)/(22^2))+18*SIN(2*PI()*(Model_Data!A133)/70))+Inputs!$C$28*EXP(-(((Model_Data!A133)-Inputs!$C$29)^2)/(2*Inputs!$C$31^2))*EXP(-(((0)-Inputs!$C$30)^2)/(2*Inputs!$C$32^2))+-Inputs!$C$33*EXP(-(((((Model_Data!A133)-Inputs!$C$34)^2)+(((0)-Inputs!$C$35)^2))/(2*Inputs!$C$36^2)))+Inputs!$C$37*(0.55*SIN(2*PI()*(Model_Data!A133)/Inputs!$C$39)+0.35*COS(2*PI()*(0)/Inputs!$C$40)+0.2*SIN(2*PI()*((Model_Data!A133)+(0))/(0.5*(Inputs!$C$39+Inputs!$C$40))))+Inputs!$C$38*SIN(2*PI()*(Model_Data!A133)/Inputs!$C$39)*SIN(2*PI()*(0)/Inputs!$C$40)+-Inputs!$C$41*EXP(-(((0)-Inputs!$C$43)^2)/(2*Inputs!$C$44^2))*EXP(-(((Model_Data!A133)-Inputs!$C$42)^2)/(2*Inputs!$C$45^2))+Inputs!$C$48*(0.70*(0.45*SIN(2*PI()*(((Model_Data!A133)/Inputs!$C$49)+Inputs!$C$47*0.137))+0.35*COS(2*PI()*(((0)/Inputs!$C$50)+Inputs!$C$47*0.173))+0.20*SIN(2*PI()*(((Model_Data!A133)+(0))/(0.5*(Inputs!$C$49+Inputs!$C$50))+Inputs!$C$47*0.097)))+0.30*(2*((SIN(((Model_Data!A133)*12.9898+(0)*78.233+Inputs!$C$47*37.719))*43758.5453)-INT((SIN(((Model_Data!A133)*12.9898+(0)*78.233+Inputs!$C$47*37.719))*43758.5453)))-1))))/1000))*1000/Inputs!$C$12)-((SQRT((Model_Data!A133)^2+Inputs!$C$6^2+Inputs!$C$5^2)-Inputs!$C$5)*1000/Inputs!$C$12)))</x:f>
        <x:v>0.00010386218727376217</x:v>
      </x:c>
      <x:c r="X133" s="48" t="n">
        <x:f>0</x:f>
        <x:v>0</x:v>
      </x:c>
      <x:c r="Y133" s="49"/>
      <x:c r="Z133" s="48" t="n">
        <x:f>Model_Data!A133</x:f>
        <x:v>5.5</x:v>
      </x:c>
      <x:c r="AA133" s="48" t="n">
        <x:f>SQRT((Model_Data!A133)^2+Inputs!$C$6^2+((Model_Data!B133)-((Inputs!$C$51*(115*EXP(-(((Inputs!$C$6)-25)^2)/(4.5^2))+70*EXP(-(((Inputs!$C$6)+38)^2)/(7^2))*(0.55+0.45*SIN(2*PI()*(Model_Data!A133)/45))+24*SIN(2*PI()*(Inputs!$C$6)/9+(Model_Data!A133)/18)*EXP(-(((Inputs!$C$6)+5)^2)/(22^2))+18*SIN(2*PI()*(Model_Data!A133)/70))+Inputs!$C$28*EXP(-(((Model_Data!A133)-Inputs!$C$29)^2)/(2*Inputs!$C$31^2))*EXP(-(((Inputs!$C$6)-Inputs!$C$30)^2)/(2*Inputs!$C$32^2))+-Inputs!$C$33*EXP(-(((((Model_Data!A133)-Inputs!$C$34)^2)+(((Inputs!$C$6)-Inputs!$C$35)^2))/(2*Inputs!$C$36^2)))+Inputs!$C$37*(0.55*SIN(2*PI()*(Model_Data!A133)/Inputs!$C$39)+0.35*COS(2*PI()*(Inputs!$C$6)/Inputs!$C$40)+0.2*SIN(2*PI()*((Model_Data!A133)+(Inputs!$C$6))/(0.5*(Inputs!$C$39+Inputs!$C$40))))+Inputs!$C$38*SIN(2*PI()*(Model_Data!A133)/Inputs!$C$39)*SIN(2*PI()*(Inputs!$C$6)/Inputs!$C$40)+-Inputs!$C$41*EXP(-(((Inputs!$C$6)-Inputs!$C$43)^2)/(2*Inputs!$C$44^2))*EXP(-(((Model_Data!A133)-Inputs!$C$42)^2)/(2*Inputs!$C$45^2))+Inputs!$C$48*(0.70*(0.45*SIN(2*PI()*(((Model_Data!A133)/Inputs!$C$49)+Inputs!$C$47*0.137))+0.35*COS(2*PI()*(((Inputs!$C$6)/Inputs!$C$50)+Inputs!$C$47*0.173))+0.20*SIN(2*PI()*(((Model_Data!A133)+(Inputs!$C$6))/(0.5*(Inputs!$C$49+Inputs!$C$50))+Inputs!$C$47*0.097)))+0.30*(2*((SIN(((Model_Data!A133)*12.9898+(Inputs!$C$6)*78.233+Inputs!$C$47*37.719))*43758.5453)-INT((SIN(((Model_Data!A133)*12.9898+(Inputs!$C$6)*78.233+Inputs!$C$47*37.719))*43758.5453)))-1))))/1000)^2)</x:f>
        <x:v>400.31334952227127</x:v>
      </x:c>
      <x:c r="AB133" s="48" t="n">
        <x:f>1000*(AA134-AA132)/(Z134-Z132)*Inputs!$C$11</x:f>
        <x:v>164.11257676145397</x:v>
      </x:c>
      <x:c r="AC133" s="48" t="n">
        <x:f>-2*AB133/Inputs!$C$13</x:f>
        <x:v>-65.64503070458159</x:v>
      </x:c>
      <x:c r="AD133" s="48" t="n">
        <x:f>-2*AB133/Inputs!$C$14</x:f>
        <x:v>-9.856611216904144</x:v>
      </x:c>
    </x:row>
    <x:row r="134">
      <x:c r="A134" s="48" t="n">
        <x:f>Model_Data!A134</x:f>
        <x:v>6</x:v>
      </x:c>
      <x:c r="B134" s="48" t="n">
        <x:f>Model_Data!F134</x:f>
        <x:v>463.6606939320355</x:v>
      </x:c>
      <x:c r="C134" s="48" t="n">
        <x:f>(((SQRT((Model_Data!A134)^2+Inputs!$C$6^2+((Model_Data!B134)-((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(0.45*SIN(2*PI()*(((Model_Data!A134)/Inputs!$C$49)+Inputs!$C$47*0.137))+0.35*COS(2*PI()*(((Inputs!$C$6)/Inputs!$C$50)+Inputs!$C$47*0.173))+0.20*SIN(2*PI()*(((Model_Data!A134)+(Inputs!$C$6))/(0.5*(Inputs!$C$49+Inputs!$C$50))+Inputs!$C$47*0.097)))+0.30*(2*((SIN(((Model_Data!A134)*12.9898+(Inputs!$C$6)*78.233+Inputs!$C$47*37.719))*43758.5453)-INT((SIN(((Model_Data!A134)*12.9898+(Inputs!$C$6)*78.233+Inputs!$C$47*37.719))*43758.5453)))-1))))/1000)^2))-(((Model_Data!B134)-((Inputs!$C$51*(115*EXP(-(((0)-25)^2)/(4.5^2))+70*EXP(-(((0)+38)^2)/(7^2))*(0.55+0.45*SIN(2*PI()*(Model_Data!A134)/45))+24*SIN(2*PI()*(0)/9+(Model_Data!A134)/18)*EXP(-(((0)+5)^2)/(22^2))+18*SIN(2*PI()*(Model_Data!A134)/70))+Inputs!$C$28*EXP(-(((Model_Data!A134)-Inputs!$C$29)^2)/(2*Inputs!$C$31^2))*EXP(-(((0)-Inputs!$C$30)^2)/(2*Inputs!$C$32^2))+-Inputs!$C$33*EXP(-(((((Model_Data!A134)-Inputs!$C$34)^2)+(((0)-Inputs!$C$35)^2))/(2*Inputs!$C$36^2)))+Inputs!$C$37*(0.55*SIN(2*PI()*(Model_Data!A134)/Inputs!$C$39)+0.35*COS(2*PI()*(0)/Inputs!$C$40)+0.2*SIN(2*PI()*((Model_Data!A134)+(0))/(0.5*(Inputs!$C$39+Inputs!$C$40))))+Inputs!$C$38*SIN(2*PI()*(Model_Data!A134)/Inputs!$C$39)*SIN(2*PI()*(0)/Inputs!$C$40)+-Inputs!$C$41*EXP(-(((0)-Inputs!$C$43)^2)/(2*Inputs!$C$44^2))*EXP(-(((Model_Data!A134)-Inputs!$C$42)^2)/(2*Inputs!$C$45^2))+Inputs!$C$48*(0.70*(0.45*SIN(2*PI()*(((Model_Data!A134)/Inputs!$C$49)+Inputs!$C$47*0.137))+0.35*COS(2*PI()*(((0)/Inputs!$C$50)+Inputs!$C$47*0.173))+0.20*SIN(2*PI()*(((Model_Data!A134)+(0))/(0.5*(Inputs!$C$49+Inputs!$C$50))+Inputs!$C$47*0.097)))+0.30*(2*((SIN(((Model_Data!A134)*12.9898+(0)*78.233+Inputs!$C$47*37.719))*43758.5453)-INT((SIN(((Model_Data!A134)*12.9898+(0)*78.233+Inputs!$C$47*37.719))*43758.5453)))-1))))/1000)))*1000/Inputs!$C$12)</x:f>
        <x:v>203.970097999026</x:v>
      </x:c>
      <x:c r="D134" s="49"/>
      <x:c r="E134" s="48" t="n">
        <x:f>Model_Data!A134</x:f>
        <x:v>6</x:v>
      </x:c>
      <x:c r="F134" s="48" t="n">
        <x:f>(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(0.45*SIN(2*PI()*(((Model_Data!A134)/Inputs!$C$49)+Inputs!$C$47*0.137))+0.35*COS(2*PI()*(((Inputs!$C$6)/Inputs!$C$50)+Inputs!$C$47*0.173))+0.20*SIN(2*PI()*(((Model_Data!A134)+(Inputs!$C$6))/(0.5*(Inputs!$C$49+Inputs!$C$50))+Inputs!$C$47*0.097)))+0.30*(2*((SIN(((Model_Data!A134)*12.9898+(Inputs!$C$6)*78.233+Inputs!$C$47*37.719))*43758.5453)-INT((SIN(((Model_Data!A134)*12.9898+(Inputs!$C$6)*78.233+Inputs!$C$47*37.719))*43758.5453)))-1)))</x:f>
        <x:v>533.6920620973987</x:v>
      </x:c>
      <x:c r="G134" s="48" t="n">
        <x:f>(Inputs!$C$51*(115*EXP(-(((0)-25)^2)/(4.5^2))+70*EXP(-(((0)+38)^2)/(7^2))*(0.55+0.45*SIN(2*PI()*(Model_Data!A134)/45))+24*SIN(2*PI()*(0)/9+(Model_Data!A134)/18)*EXP(-(((0)+5)^2)/(22^2))+18*SIN(2*PI()*(Model_Data!A134)/70))+Inputs!$C$28*EXP(-(((Model_Data!A134)-Inputs!$C$29)^2)/(2*Inputs!$C$31^2))*EXP(-(((0)-Inputs!$C$30)^2)/(2*Inputs!$C$32^2))+-Inputs!$C$33*EXP(-(((((Model_Data!A134)-Inputs!$C$34)^2)+(((0)-Inputs!$C$35)^2))/(2*Inputs!$C$36^2)))+Inputs!$C$37*(0.55*SIN(2*PI()*(Model_Data!A134)/Inputs!$C$39)+0.35*COS(2*PI()*(0)/Inputs!$C$40)+0.2*SIN(2*PI()*((Model_Data!A134)+(0))/(0.5*(Inputs!$C$39+Inputs!$C$40))))+Inputs!$C$38*SIN(2*PI()*(Model_Data!A134)/Inputs!$C$39)*SIN(2*PI()*(0)/Inputs!$C$40)+-Inputs!$C$41*EXP(-(((0)-Inputs!$C$43)^2)/(2*Inputs!$C$44^2))*EXP(-(((Model_Data!A134)-Inputs!$C$42)^2)/(2*Inputs!$C$45^2))+Inputs!$C$48*(0.70*(0.45*SIN(2*PI()*(((Model_Data!A134)/Inputs!$C$49)+Inputs!$C$47*0.137))+0.35*COS(2*PI()*(((0)/Inputs!$C$50)+Inputs!$C$47*0.173))+0.20*SIN(2*PI()*(((Model_Data!A134)+(0))/(0.5*(Inputs!$C$49+Inputs!$C$50))+Inputs!$C$47*0.097)))+0.30*(2*((SIN(((Model_Data!A134)*12.9898+(0)*78.233+Inputs!$C$47*37.719))*43758.5453)-INT((SIN(((Model_Data!A134)*12.9898+(0)*78.233+Inputs!$C$47*37.719))*43758.5453)))-1)))</x:f>
        <x:v>70.34255347941284</x:v>
      </x:c>
      <x:c r="H134" s="49"/>
      <x:c r="I134" s="48" t="n">
        <x:f>Model_Data!A134</x:f>
        <x:v>6</x:v>
      </x:c>
      <x:c r="J134" s="48" t="n">
        <x:f>((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(0.45*SIN(2*PI()*(((Model_Data!A134)/Inputs!$C$49)+Inputs!$C$47*0.137))+0.35*COS(2*PI()*(((Inputs!$C$6)/Inputs!$C$50)+Inputs!$C$47*0.173))+0.20*SIN(2*PI()*(((Model_Data!A134)+(Inputs!$C$6))/(0.5*(Inputs!$C$49+Inputs!$C$50))+Inputs!$C$47*0.097)))+0.30*(2*((SIN(((Model_Data!A134)*12.9898+(Inputs!$C$6)*78.233+Inputs!$C$47*37.719))*43758.5453)-INT((SIN(((Model_Data!A134)*12.9898+(Inputs!$C$6)*78.233+Inputs!$C$47*37.719))*43758.5453)))-1))))-((Inputs!$C$51*(115*EXP(-(((0)-25)^2)/(4.5^2))+70*EXP(-(((0)+38)^2)/(7^2))*(0.55+0.45*SIN(2*PI()*(Model_Data!A134)/45))+24*SIN(2*PI()*(0)/9+(Model_Data!A134)/18)*EXP(-(((0)+5)^2)/(22^2))+18*SIN(2*PI()*(Model_Data!A134)/70))+Inputs!$C$28*EXP(-(((Model_Data!A134)-Inputs!$C$29)^2)/(2*Inputs!$C$31^2))*EXP(-(((0)-Inputs!$C$30)^2)/(2*Inputs!$C$32^2))+-Inputs!$C$33*EXP(-(((((Model_Data!A134)-Inputs!$C$34)^2)+(((0)-Inputs!$C$35)^2))/(2*Inputs!$C$36^2)))+Inputs!$C$37*(0.55*SIN(2*PI()*(Model_Data!A134)/Inputs!$C$39)+0.35*COS(2*PI()*(0)/Inputs!$C$40)+0.2*SIN(2*PI()*((Model_Data!A134)+(0))/(0.5*(Inputs!$C$39+Inputs!$C$40))))+Inputs!$C$38*SIN(2*PI()*(Model_Data!A134)/Inputs!$C$39)*SIN(2*PI()*(0)/Inputs!$C$40)+-Inputs!$C$41*EXP(-(((0)-Inputs!$C$43)^2)/(2*Inputs!$C$44^2))*EXP(-(((Model_Data!A134)-Inputs!$C$42)^2)/(2*Inputs!$C$45^2))+Inputs!$C$48*(0.70*(0.45*SIN(2*PI()*(((Model_Data!A134)/Inputs!$C$49)+Inputs!$C$47*0.137))+0.35*COS(2*PI()*(((0)/Inputs!$C$50)+Inputs!$C$47*0.173))+0.20*SIN(2*PI()*(((Model_Data!A134)+(0))/(0.5*(Inputs!$C$49+Inputs!$C$50))+Inputs!$C$47*0.097)))+0.30*(2*((SIN(((Model_Data!A134)*12.9898+(0)*78.233+Inputs!$C$47*37.719))*43758.5453)-INT((SIN(((Model_Data!A134)*12.9898+(0)*78.233+Inputs!$C$47*37.719))*43758.5453)))-1))))</x:f>
        <x:v>463.3495086179858</x:v>
      </x:c>
      <x:c r="K134" s="48" t="n">
        <x:f>-((((SQRT((Model_Data!A134)^2+Inputs!$C$6^2+((Model_Data!B134)-((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(0.45*SIN(2*PI()*(((Model_Data!A134)/Inputs!$C$49)+Inputs!$C$47*0.137))+0.35*COS(2*PI()*(((Inputs!$C$6)/Inputs!$C$50)+Inputs!$C$47*0.173))+0.20*SIN(2*PI()*(((Model_Data!A134)+(Inputs!$C$6))/(0.5*(Inputs!$C$49+Inputs!$C$50))+Inputs!$C$47*0.097)))+0.30*(2*((SIN(((Model_Data!A134)*12.9898+(Inputs!$C$6)*78.233+Inputs!$C$47*37.719))*43758.5453)-INT((SIN(((Model_Data!A134)*12.9898+(Inputs!$C$6)*78.233+Inputs!$C$47*37.719))*43758.5453)))-1))))/1000)^2))-(((Model_Data!B134)-((Inputs!$C$51*(115*EXP(-(((0)-25)^2)/(4.5^2))+70*EXP(-(((0)+38)^2)/(7^2))*(0.55+0.45*SIN(2*PI()*(Model_Data!A134)/45))+24*SIN(2*PI()*(0)/9+(Model_Data!A134)/18)*EXP(-(((0)+5)^2)/(22^2))+18*SIN(2*PI()*(Model_Data!A134)/70))+Inputs!$C$28*EXP(-(((Model_Data!A134)-Inputs!$C$29)^2)/(2*Inputs!$C$31^2))*EXP(-(((0)-Inputs!$C$30)^2)/(2*Inputs!$C$32^2))+-Inputs!$C$33*EXP(-(((((Model_Data!A134)-Inputs!$C$34)^2)+(((0)-Inputs!$C$35)^2))/(2*Inputs!$C$36^2)))+Inputs!$C$37*(0.55*SIN(2*PI()*(Model_Data!A134)/Inputs!$C$39)+0.35*COS(2*PI()*(0)/Inputs!$C$40)+0.2*SIN(2*PI()*((Model_Data!A134)+(0))/(0.5*(Inputs!$C$39+Inputs!$C$40))))+Inputs!$C$38*SIN(2*PI()*(Model_Data!A134)/Inputs!$C$39)*SIN(2*PI()*(0)/Inputs!$C$40)+-Inputs!$C$41*EXP(-(((0)-Inputs!$C$43)^2)/(2*Inputs!$C$44^2))*EXP(-(((Model_Data!A134)-Inputs!$C$42)^2)/(2*Inputs!$C$45^2))+Inputs!$C$48*(0.70*(0.45*SIN(2*PI()*(((Model_Data!A134)/Inputs!$C$49)+Inputs!$C$47*0.137))+0.35*COS(2*PI()*(((0)/Inputs!$C$50)+Inputs!$C$47*0.173))+0.20*SIN(2*PI()*(((Model_Data!A134)+(0))/(0.5*(Inputs!$C$49+Inputs!$C$50))+Inputs!$C$47*0.097)))+0.30*(2*((SIN(((Model_Data!A134)*12.9898+(0)*78.233+Inputs!$C$47*37.719))*43758.5453)-INT((SIN(((Model_Data!A134)*12.9898+(0)*78.233+Inputs!$C$47*37.719))*43758.5453)))-1))))/1000)))*1000/Inputs!$C$12)-Model_Data!F134)</x:f>
        <x:v>259.6905959330095</x:v>
      </x:c>
      <x:c r="L134" s="49"/>
      <x:c r="M134" s="48" t="n">
        <x:f>Model_Data!A134</x:f>
        <x:v>6</x:v>
      </x:c>
      <x:c r="N134" s="48" t="n">
        <x:f>Model_Data!P134</x:f>
        <x:v>-45.23760460501987</x:v>
      </x:c>
      <x:c r="O134" s="48" t="n">
        <x:f>AC134</x:f>
        <x:v>-69.37115873324728</x:v>
      </x:c>
      <x:c r="P134" s="48" t="n">
        <x:f>Model_Data!Q134</x:f>
        <x:v>-6.792433123876858</x:v>
      </x:c>
      <x:c r="Q134" s="48" t="n">
        <x:f>AD134</x:f>
        <x:v>-10.41608989988698</x:v>
      </x:c>
      <x:c r="R134" s="49"/>
      <x:c r="S134" s="48" t="n">
        <x:f>Model_Data!A134</x:f>
        <x:v>6</x:v>
      </x:c>
      <x:c r="T134" s="48" t="n">
        <x:f>Model_Data!B134-Inputs!$C$5</x:f>
        <x:v>0.040000000000020464</x:v>
      </x:c>
      <x:c r="U134" s="49"/>
      <x:c r="V134" s="48" t="n">
        <x:f>Model_Data!A134</x:f>
        <x:v>6</x:v>
      </x:c>
      <x:c r="W134" s="48" t="n">
        <x:f>(-((((SQRT((Model_Data!A134)^2+Inputs!$C$6^2+((Model_Data!B134)-((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(0.45*SIN(2*PI()*(((Model_Data!A134)/Inputs!$C$49)+Inputs!$C$47*0.137))+0.35*COS(2*PI()*(((Inputs!$C$6)/Inputs!$C$50)+Inputs!$C$47*0.173))+0.20*SIN(2*PI()*(((Model_Data!A134)+(Inputs!$C$6))/(0.5*(Inputs!$C$49+Inputs!$C$50))+Inputs!$C$47*0.097)))+0.30*(2*((SIN(((Model_Data!A134)*12.9898+(Inputs!$C$6)*78.233+Inputs!$C$47*37.719))*43758.5453)-INT((SIN(((Model_Data!A134)*12.9898+(Inputs!$C$6)*78.233+Inputs!$C$47*37.719))*43758.5453)))-1))))/1000)^2))-(((Model_Data!B134)-((Inputs!$C$51*(115*EXP(-(((0)-25)^2)/(4.5^2))+70*EXP(-(((0)+38)^2)/(7^2))*(0.55+0.45*SIN(2*PI()*(Model_Data!A134)/45))+24*SIN(2*PI()*(0)/9+(Model_Data!A134)/18)*EXP(-(((0)+5)^2)/(22^2))+18*SIN(2*PI()*(Model_Data!A134)/70))+Inputs!$C$28*EXP(-(((Model_Data!A134)-Inputs!$C$29)^2)/(2*Inputs!$C$31^2))*EXP(-(((0)-Inputs!$C$30)^2)/(2*Inputs!$C$32^2))+-Inputs!$C$33*EXP(-(((((Model_Data!A134)-Inputs!$C$34)^2)+(((0)-Inputs!$C$35)^2))/(2*Inputs!$C$36^2)))+Inputs!$C$37*(0.55*SIN(2*PI()*(Model_Data!A134)/Inputs!$C$39)+0.35*COS(2*PI()*(0)/Inputs!$C$40)+0.2*SIN(2*PI()*((Model_Data!A134)+(0))/(0.5*(Inputs!$C$39+Inputs!$C$40))))+Inputs!$C$38*SIN(2*PI()*(Model_Data!A134)/Inputs!$C$39)*SIN(2*PI()*(0)/Inputs!$C$40)+-Inputs!$C$41*EXP(-(((0)-Inputs!$C$43)^2)/(2*Inputs!$C$44^2))*EXP(-(((Model_Data!A134)-Inputs!$C$42)^2)/(2*Inputs!$C$45^2))+Inputs!$C$48*(0.70*(0.45*SIN(2*PI()*(((Model_Data!A134)/Inputs!$C$49)+Inputs!$C$47*0.137))+0.35*COS(2*PI()*(((0)/Inputs!$C$50)+Inputs!$C$47*0.173))+0.20*SIN(2*PI()*(((Model_Data!A134)+(0))/(0.5*(Inputs!$C$49+Inputs!$C$50))+Inputs!$C$47*0.097)))+0.30*(2*((SIN(((Model_Data!A134)*12.9898+(0)*78.233+Inputs!$C$47*37.719))*43758.5453)-INT((SIN(((Model_Data!A134)*12.9898+(0)*78.233+Inputs!$C$47*37.719))*43758.5453)))-1))))/1000)))*1000/Inputs!$C$12)-Model_Data!F134))-(-(((SQRT((Model_Data!A134)^2+Inputs!$C$6^2+(Inputs!$C$5-((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(0.45*SIN(2*PI()*(((Model_Data!A134)/Inputs!$C$49)+Inputs!$C$47*0.137))+0.35*COS(2*PI()*(((Inputs!$C$6)/Inputs!$C$50)+Inputs!$C$47*0.173))+0.20*SIN(2*PI()*(((Model_Data!A134)+(Inputs!$C$6))/(0.5*(Inputs!$C$49+Inputs!$C$50))+Inputs!$C$47*0.097)))+0.30*(2*((SIN(((Model_Data!A134)*12.9898+(Inputs!$C$6)*78.233+Inputs!$C$47*37.719))*43758.5453)-INT((SIN(((Model_Data!A134)*12.9898+(Inputs!$C$6)*78.233+Inputs!$C$47*37.719))*43758.5453)))-1))))/1000)^2)-(Inputs!$C$5-((Inputs!$C$51*(115*EXP(-(((0)-25)^2)/(4.5^2))+70*EXP(-(((0)+38)^2)/(7^2))*(0.55+0.45*SIN(2*PI()*(Model_Data!A134)/45))+24*SIN(2*PI()*(0)/9+(Model_Data!A134)/18)*EXP(-(((0)+5)^2)/(22^2))+18*SIN(2*PI()*(Model_Data!A134)/70))+Inputs!$C$28*EXP(-(((Model_Data!A134)-Inputs!$C$29)^2)/(2*Inputs!$C$31^2))*EXP(-(((0)-Inputs!$C$30)^2)/(2*Inputs!$C$32^2))+-Inputs!$C$33*EXP(-(((((Model_Data!A134)-Inputs!$C$34)^2)+(((0)-Inputs!$C$35)^2))/(2*Inputs!$C$36^2)))+Inputs!$C$37*(0.55*SIN(2*PI()*(Model_Data!A134)/Inputs!$C$39)+0.35*COS(2*PI()*(0)/Inputs!$C$40)+0.2*SIN(2*PI()*((Model_Data!A134)+(0))/(0.5*(Inputs!$C$39+Inputs!$C$40))))+Inputs!$C$38*SIN(2*PI()*(Model_Data!A134)/Inputs!$C$39)*SIN(2*PI()*(0)/Inputs!$C$40)+-Inputs!$C$41*EXP(-(((0)-Inputs!$C$43)^2)/(2*Inputs!$C$44^2))*EXP(-(((Model_Data!A134)-Inputs!$C$42)^2)/(2*Inputs!$C$45^2))+Inputs!$C$48*(0.70*(0.45*SIN(2*PI()*(((Model_Data!A134)/Inputs!$C$49)+Inputs!$C$47*0.137))+0.35*COS(2*PI()*(((0)/Inputs!$C$50)+Inputs!$C$47*0.173))+0.20*SIN(2*PI()*(((Model_Data!A134)+(0))/(0.5*(Inputs!$C$49+Inputs!$C$50))+Inputs!$C$47*0.097)))+0.30*(2*((SIN(((Model_Data!A134)*12.9898+(0)*78.233+Inputs!$C$47*37.719))*43758.5453)-INT((SIN(((Model_Data!A134)*12.9898+(0)*78.233+Inputs!$C$47*37.719))*43758.5453)))-1))))/1000))*1000/Inputs!$C$12)-((SQRT((Model_Data!A134)^2+Inputs!$C$6^2+Inputs!$C$5^2)-Inputs!$C$5)*1000/Inputs!$C$12)))</x:f>
        <x:v>0.0001233297169846992</x:v>
      </x:c>
      <x:c r="X134" s="48" t="n">
        <x:f>0</x:f>
        <x:v>0</x:v>
      </x:c>
      <x:c r="Y134" s="49"/>
      <x:c r="Z134" s="48" t="n">
        <x:f>Model_Data!A134</x:f>
        <x:v>6</x:v>
      </x:c>
      <x:c r="AA134" s="48" t="n">
        <x:f>SQRT((Model_Data!A134)^2+Inputs!$C$6^2+((Model_Data!B134)-((Inputs!$C$51*(115*EXP(-(((Inputs!$C$6)-25)^2)/(4.5^2))+70*EXP(-(((Inputs!$C$6)+38)^2)/(7^2))*(0.55+0.45*SIN(2*PI()*(Model_Data!A134)/45))+24*SIN(2*PI()*(Inputs!$C$6)/9+(Model_Data!A134)/18)*EXP(-(((Inputs!$C$6)+5)^2)/(22^2))+18*SIN(2*PI()*(Model_Data!A134)/70))+Inputs!$C$28*EXP(-(((Model_Data!A134)-Inputs!$C$29)^2)/(2*Inputs!$C$31^2))*EXP(-(((Inputs!$C$6)-Inputs!$C$30)^2)/(2*Inputs!$C$32^2))+-Inputs!$C$33*EXP(-(((((Model_Data!A134)-Inputs!$C$34)^2)+(((Inputs!$C$6)-Inputs!$C$35)^2))/(2*Inputs!$C$36^2)))+Inputs!$C$37*(0.55*SIN(2*PI()*(Model_Data!A134)/Inputs!$C$39)+0.35*COS(2*PI()*(Inputs!$C$6)/Inputs!$C$40)+0.2*SIN(2*PI()*((Model_Data!A134)+(Inputs!$C$6))/(0.5*(Inputs!$C$39+Inputs!$C$40))))+Inputs!$C$38*SIN(2*PI()*(Model_Data!A134)/Inputs!$C$39)*SIN(2*PI()*(Inputs!$C$6)/Inputs!$C$40)+-Inputs!$C$41*EXP(-(((Inputs!$C$6)-Inputs!$C$43)^2)/(2*Inputs!$C$44^2))*EXP(-(((Model_Data!A134)-Inputs!$C$42)^2)/(2*Inputs!$C$45^2))+Inputs!$C$48*(0.70*(0.45*SIN(2*PI()*(((Model_Data!A134)/Inputs!$C$49)+Inputs!$C$47*0.137))+0.35*COS(2*PI()*(((Inputs!$C$6)/Inputs!$C$50)+Inputs!$C$47*0.173))+0.20*SIN(2*PI()*(((Model_Data!A134)+(Inputs!$C$6))/(0.5*(Inputs!$C$49+Inputs!$C$50))+Inputs!$C$47*0.097)))+0.30*(2*((SIN(((Model_Data!A134)*12.9898+(Inputs!$C$6)*78.233+Inputs!$C$47*37.719))*43758.5453)-INT((SIN(((Model_Data!A134)*12.9898+(Inputs!$C$6)*78.233+Inputs!$C$47*37.719))*43758.5453)))-1))))/1000)^2)</x:f>
        <x:v>400.3327242209589</x:v>
      </x:c>
      <x:c r="AB134" s="48" t="n">
        <x:f>1000*(AA135-AA133)/(Z135-Z133)*Inputs!$C$11</x:f>
        <x:v>173.4278968331182</x:v>
      </x:c>
      <x:c r="AC134" s="48" t="n">
        <x:f>-2*AB134/Inputs!$C$13</x:f>
        <x:v>-69.37115873324728</x:v>
      </x:c>
      <x:c r="AD134" s="48" t="n">
        <x:f>-2*AB134/Inputs!$C$14</x:f>
        <x:v>-10.41608989988698</x:v>
      </x:c>
    </x:row>
    <x:row r="135">
      <x:c r="A135" s="48" t="n">
        <x:f>Model_Data!A135</x:f>
        <x:v>6.5</x:v>
      </x:c>
      <x:c r="B135" s="48" t="n">
        <x:f>Model_Data!F135</x:f>
        <x:v>468.03211415006706</x:v>
      </x:c>
      <x:c r="C135" s="48" t="n">
        <x:f>(((SQRT((Model_Data!A135)^2+Inputs!$C$6^2+((Model_Data!B135)-((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(0.45*SIN(2*PI()*(((Model_Data!A135)/Inputs!$C$49)+Inputs!$C$47*0.137))+0.35*COS(2*PI()*(((Inputs!$C$6)/Inputs!$C$50)+Inputs!$C$47*0.173))+0.20*SIN(2*PI()*(((Model_Data!A135)+(Inputs!$C$6))/(0.5*(Inputs!$C$49+Inputs!$C$50))+Inputs!$C$47*0.097)))+0.30*(2*((SIN(((Model_Data!A135)*12.9898+(Inputs!$C$6)*78.233+Inputs!$C$47*37.719))*43758.5453)-INT((SIN(((Model_Data!A135)*12.9898+(Inputs!$C$6)*78.233+Inputs!$C$47*37.719))*43758.5453)))-1))))/1000)^2))-(((Model_Data!B135)-((Inputs!$C$51*(115*EXP(-(((0)-25)^2)/(4.5^2))+70*EXP(-(((0)+38)^2)/(7^2))*(0.55+0.45*SIN(2*PI()*(Model_Data!A135)/45))+24*SIN(2*PI()*(0)/9+(Model_Data!A135)/18)*EXP(-(((0)+5)^2)/(22^2))+18*SIN(2*PI()*(Model_Data!A135)/70))+Inputs!$C$28*EXP(-(((Model_Data!A135)-Inputs!$C$29)^2)/(2*Inputs!$C$31^2))*EXP(-(((0)-Inputs!$C$30)^2)/(2*Inputs!$C$32^2))+-Inputs!$C$33*EXP(-(((((Model_Data!A135)-Inputs!$C$34)^2)+(((0)-Inputs!$C$35)^2))/(2*Inputs!$C$36^2)))+Inputs!$C$37*(0.55*SIN(2*PI()*(Model_Data!A135)/Inputs!$C$39)+0.35*COS(2*PI()*(0)/Inputs!$C$40)+0.2*SIN(2*PI()*((Model_Data!A135)+(0))/(0.5*(Inputs!$C$39+Inputs!$C$40))))+Inputs!$C$38*SIN(2*PI()*(Model_Data!A135)/Inputs!$C$39)*SIN(2*PI()*(0)/Inputs!$C$40)+-Inputs!$C$41*EXP(-(((0)-Inputs!$C$43)^2)/(2*Inputs!$C$44^2))*EXP(-(((Model_Data!A135)-Inputs!$C$42)^2)/(2*Inputs!$C$45^2))+Inputs!$C$48*(0.70*(0.45*SIN(2*PI()*(((Model_Data!A135)/Inputs!$C$49)+Inputs!$C$47*0.137))+0.35*COS(2*PI()*(((0)/Inputs!$C$50)+Inputs!$C$47*0.173))+0.20*SIN(2*PI()*(((Model_Data!A135)+(0))/(0.5*(Inputs!$C$49+Inputs!$C$50))+Inputs!$C$47*0.097)))+0.30*(2*((SIN(((Model_Data!A135)*12.9898+(0)*78.233+Inputs!$C$47*37.719))*43758.5453)-INT((SIN(((Model_Data!A135)*12.9898+(0)*78.233+Inputs!$C$47*37.719))*43758.5453)))-1))))/1000)))*1000/Inputs!$C$12)</x:f>
        <x:v>217.64606901296006</x:v>
      </x:c>
      <x:c r="D135" s="49"/>
      <x:c r="E135" s="48" t="n">
        <x:f>Model_Data!A135</x:f>
        <x:v>6.5</x:v>
      </x:c>
      <x:c r="F135" s="48" t="n">
        <x:f>(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(0.45*SIN(2*PI()*(((Model_Data!A135)/Inputs!$C$49)+Inputs!$C$47*0.137))+0.35*COS(2*PI()*(((Inputs!$C$6)/Inputs!$C$50)+Inputs!$C$47*0.173))+0.20*SIN(2*PI()*(((Model_Data!A135)+(Inputs!$C$6))/(0.5*(Inputs!$C$49+Inputs!$C$50))+Inputs!$C$47*0.097)))+0.30*(2*((SIN(((Model_Data!A135)*12.9898+(Inputs!$C$6)*78.233+Inputs!$C$47*37.719))*43758.5453)-INT((SIN(((Model_Data!A135)*12.9898+(Inputs!$C$6)*78.233+Inputs!$C$47*37.719))*43758.5453)))-1)))</x:f>
        <x:v>524.4263848132822</x:v>
      </x:c>
      <x:c r="G135" s="48" t="n">
        <x:f>(Inputs!$C$51*(115*EXP(-(((0)-25)^2)/(4.5^2))+70*EXP(-(((0)+38)^2)/(7^2))*(0.55+0.45*SIN(2*PI()*(Model_Data!A135)/45))+24*SIN(2*PI()*(0)/9+(Model_Data!A135)/18)*EXP(-(((0)+5)^2)/(22^2))+18*SIN(2*PI()*(Model_Data!A135)/70))+Inputs!$C$28*EXP(-(((Model_Data!A135)-Inputs!$C$29)^2)/(2*Inputs!$C$31^2))*EXP(-(((0)-Inputs!$C$30)^2)/(2*Inputs!$C$32^2))+-Inputs!$C$33*EXP(-(((((Model_Data!A135)-Inputs!$C$34)^2)+(((0)-Inputs!$C$35)^2))/(2*Inputs!$C$36^2)))+Inputs!$C$37*(0.55*SIN(2*PI()*(Model_Data!A135)/Inputs!$C$39)+0.35*COS(2*PI()*(0)/Inputs!$C$40)+0.2*SIN(2*PI()*((Model_Data!A135)+(0))/(0.5*(Inputs!$C$39+Inputs!$C$40))))+Inputs!$C$38*SIN(2*PI()*(Model_Data!A135)/Inputs!$C$39)*SIN(2*PI()*(0)/Inputs!$C$40)+-Inputs!$C$41*EXP(-(((0)-Inputs!$C$43)^2)/(2*Inputs!$C$44^2))*EXP(-(((Model_Data!A135)-Inputs!$C$42)^2)/(2*Inputs!$C$45^2))+Inputs!$C$48*(0.70*(0.45*SIN(2*PI()*(((Model_Data!A135)/Inputs!$C$49)+Inputs!$C$47*0.137))+0.35*COS(2*PI()*(((0)/Inputs!$C$50)+Inputs!$C$47*0.173))+0.20*SIN(2*PI()*(((Model_Data!A135)+(0))/(0.5*(Inputs!$C$49+Inputs!$C$50))+Inputs!$C$47*0.097)))+0.30*(2*((SIN(((Model_Data!A135)*12.9898+(0)*78.233+Inputs!$C$47*37.719))*43758.5453)-INT((SIN(((Model_Data!A135)*12.9898+(0)*78.233+Inputs!$C$47*37.719))*43758.5453)))-1)))</x:f>
        <x:v>77.64795080795966</x:v>
      </x:c>
      <x:c r="H135" s="49"/>
      <x:c r="I135" s="48" t="n">
        <x:f>Model_Data!A135</x:f>
        <x:v>6.5</x:v>
      </x:c>
      <x:c r="J135" s="48" t="n">
        <x:f>((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(0.45*SIN(2*PI()*(((Model_Data!A135)/Inputs!$C$49)+Inputs!$C$47*0.137))+0.35*COS(2*PI()*(((Inputs!$C$6)/Inputs!$C$50)+Inputs!$C$47*0.173))+0.20*SIN(2*PI()*(((Model_Data!A135)+(Inputs!$C$6))/(0.5*(Inputs!$C$49+Inputs!$C$50))+Inputs!$C$47*0.097)))+0.30*(2*((SIN(((Model_Data!A135)*12.9898+(Inputs!$C$6)*78.233+Inputs!$C$47*37.719))*43758.5453)-INT((SIN(((Model_Data!A135)*12.9898+(Inputs!$C$6)*78.233+Inputs!$C$47*37.719))*43758.5453)))-1))))-((Inputs!$C$51*(115*EXP(-(((0)-25)^2)/(4.5^2))+70*EXP(-(((0)+38)^2)/(7^2))*(0.55+0.45*SIN(2*PI()*(Model_Data!A135)/45))+24*SIN(2*PI()*(0)/9+(Model_Data!A135)/18)*EXP(-(((0)+5)^2)/(22^2))+18*SIN(2*PI()*(Model_Data!A135)/70))+Inputs!$C$28*EXP(-(((Model_Data!A135)-Inputs!$C$29)^2)/(2*Inputs!$C$31^2))*EXP(-(((0)-Inputs!$C$30)^2)/(2*Inputs!$C$32^2))+-Inputs!$C$33*EXP(-(((((Model_Data!A135)-Inputs!$C$34)^2)+(((0)-Inputs!$C$35)^2))/(2*Inputs!$C$36^2)))+Inputs!$C$37*(0.55*SIN(2*PI()*(Model_Data!A135)/Inputs!$C$39)+0.35*COS(2*PI()*(0)/Inputs!$C$40)+0.2*SIN(2*PI()*((Model_Data!A135)+(0))/(0.5*(Inputs!$C$39+Inputs!$C$40))))+Inputs!$C$38*SIN(2*PI()*(Model_Data!A135)/Inputs!$C$39)*SIN(2*PI()*(0)/Inputs!$C$40)+-Inputs!$C$41*EXP(-(((0)-Inputs!$C$43)^2)/(2*Inputs!$C$44^2))*EXP(-(((Model_Data!A135)-Inputs!$C$42)^2)/(2*Inputs!$C$45^2))+Inputs!$C$48*(0.70*(0.45*SIN(2*PI()*(((Model_Data!A135)/Inputs!$C$49)+Inputs!$C$47*0.137))+0.35*COS(2*PI()*(((0)/Inputs!$C$50)+Inputs!$C$47*0.173))+0.20*SIN(2*PI()*(((Model_Data!A135)+(0))/(0.5*(Inputs!$C$49+Inputs!$C$50))+Inputs!$C$47*0.097)))+0.30*(2*((SIN(((Model_Data!A135)*12.9898+(0)*78.233+Inputs!$C$47*37.719))*43758.5453)-INT((SIN(((Model_Data!A135)*12.9898+(0)*78.233+Inputs!$C$47*37.719))*43758.5453)))-1))))</x:f>
        <x:v>446.77843400532254</x:v>
      </x:c>
      <x:c r="K135" s="48" t="n">
        <x:f>-((((SQRT((Model_Data!A135)^2+Inputs!$C$6^2+((Model_Data!B135)-((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(0.45*SIN(2*PI()*(((Model_Data!A135)/Inputs!$C$49)+Inputs!$C$47*0.137))+0.35*COS(2*PI()*(((Inputs!$C$6)/Inputs!$C$50)+Inputs!$C$47*0.173))+0.20*SIN(2*PI()*(((Model_Data!A135)+(Inputs!$C$6))/(0.5*(Inputs!$C$49+Inputs!$C$50))+Inputs!$C$47*0.097)))+0.30*(2*((SIN(((Model_Data!A135)*12.9898+(Inputs!$C$6)*78.233+Inputs!$C$47*37.719))*43758.5453)-INT((SIN(((Model_Data!A135)*12.9898+(Inputs!$C$6)*78.233+Inputs!$C$47*37.719))*43758.5453)))-1))))/1000)^2))-(((Model_Data!B135)-((Inputs!$C$51*(115*EXP(-(((0)-25)^2)/(4.5^2))+70*EXP(-(((0)+38)^2)/(7^2))*(0.55+0.45*SIN(2*PI()*(Model_Data!A135)/45))+24*SIN(2*PI()*(0)/9+(Model_Data!A135)/18)*EXP(-(((0)+5)^2)/(22^2))+18*SIN(2*PI()*(Model_Data!A135)/70))+Inputs!$C$28*EXP(-(((Model_Data!A135)-Inputs!$C$29)^2)/(2*Inputs!$C$31^2))*EXP(-(((0)-Inputs!$C$30)^2)/(2*Inputs!$C$32^2))+-Inputs!$C$33*EXP(-(((((Model_Data!A135)-Inputs!$C$34)^2)+(((0)-Inputs!$C$35)^2))/(2*Inputs!$C$36^2)))+Inputs!$C$37*(0.55*SIN(2*PI()*(Model_Data!A135)/Inputs!$C$39)+0.35*COS(2*PI()*(0)/Inputs!$C$40)+0.2*SIN(2*PI()*((Model_Data!A135)+(0))/(0.5*(Inputs!$C$39+Inputs!$C$40))))+Inputs!$C$38*SIN(2*PI()*(Model_Data!A135)/Inputs!$C$39)*SIN(2*PI()*(0)/Inputs!$C$40)+-Inputs!$C$41*EXP(-(((0)-Inputs!$C$43)^2)/(2*Inputs!$C$44^2))*EXP(-(((Model_Data!A135)-Inputs!$C$42)^2)/(2*Inputs!$C$45^2))+Inputs!$C$48*(0.70*(0.45*SIN(2*PI()*(((Model_Data!A135)/Inputs!$C$49)+Inputs!$C$47*0.137))+0.35*COS(2*PI()*(((0)/Inputs!$C$50)+Inputs!$C$47*0.173))+0.20*SIN(2*PI()*(((Model_Data!A135)+(0))/(0.5*(Inputs!$C$49+Inputs!$C$50))+Inputs!$C$47*0.097)))+0.30*(2*((SIN(((Model_Data!A135)*12.9898+(0)*78.233+Inputs!$C$47*37.719))*43758.5453)-INT((SIN(((Model_Data!A135)*12.9898+(0)*78.233+Inputs!$C$47*37.719))*43758.5453)))-1))))/1000)))*1000/Inputs!$C$12)-Model_Data!F135)</x:f>
        <x:v>250.386045137107</x:v>
      </x:c>
      <x:c r="L135" s="49"/>
      <x:c r="M135" s="48" t="n">
        <x:f>Model_Data!A135</x:f>
        <x:v>6.5</x:v>
      </x:c>
      <x:c r="N135" s="48" t="n">
        <x:f>Model_Data!P135</x:f>
        <x:v>-49.00600514790521</x:v>
      </x:c>
      <x:c r="O135" s="48" t="n">
        <x:f>AC135</x:f>
        <x:v>-47.89751148537107</x:v>
      </x:c>
      <x:c r="P135" s="48" t="n">
        <x:f>Model_Data!Q135</x:f>
        <x:v>-7.358259031217</x:v>
      </x:c>
      <x:c r="Q135" s="48" t="n">
        <x:f>AD135</x:f>
        <x:v>-7.191818541347008</x:v>
      </x:c>
      <x:c r="R135" s="49"/>
      <x:c r="S135" s="48" t="n">
        <x:f>Model_Data!A135</x:f>
        <x:v>6.5</x:v>
      </x:c>
      <x:c r="T135" s="48" t="n">
        <x:f>Model_Data!B135-Inputs!$C$5</x:f>
        <x:v>0.046944444444420697</x:v>
      </x:c>
      <x:c r="U135" s="49"/>
      <x:c r="V135" s="48" t="n">
        <x:f>Model_Data!A135</x:f>
        <x:v>6.5</x:v>
      </x:c>
      <x:c r="W135" s="48" t="n">
        <x:f>(-((((SQRT((Model_Data!A135)^2+Inputs!$C$6^2+((Model_Data!B135)-((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(0.45*SIN(2*PI()*(((Model_Data!A135)/Inputs!$C$49)+Inputs!$C$47*0.137))+0.35*COS(2*PI()*(((Inputs!$C$6)/Inputs!$C$50)+Inputs!$C$47*0.173))+0.20*SIN(2*PI()*(((Model_Data!A135)+(Inputs!$C$6))/(0.5*(Inputs!$C$49+Inputs!$C$50))+Inputs!$C$47*0.097)))+0.30*(2*((SIN(((Model_Data!A135)*12.9898+(Inputs!$C$6)*78.233+Inputs!$C$47*37.719))*43758.5453)-INT((SIN(((Model_Data!A135)*12.9898+(Inputs!$C$6)*78.233+Inputs!$C$47*37.719))*43758.5453)))-1))))/1000)^2))-(((Model_Data!B135)-((Inputs!$C$51*(115*EXP(-(((0)-25)^2)/(4.5^2))+70*EXP(-(((0)+38)^2)/(7^2))*(0.55+0.45*SIN(2*PI()*(Model_Data!A135)/45))+24*SIN(2*PI()*(0)/9+(Model_Data!A135)/18)*EXP(-(((0)+5)^2)/(22^2))+18*SIN(2*PI()*(Model_Data!A135)/70))+Inputs!$C$28*EXP(-(((Model_Data!A135)-Inputs!$C$29)^2)/(2*Inputs!$C$31^2))*EXP(-(((0)-Inputs!$C$30)^2)/(2*Inputs!$C$32^2))+-Inputs!$C$33*EXP(-(((((Model_Data!A135)-Inputs!$C$34)^2)+(((0)-Inputs!$C$35)^2))/(2*Inputs!$C$36^2)))+Inputs!$C$37*(0.55*SIN(2*PI()*(Model_Data!A135)/Inputs!$C$39)+0.35*COS(2*PI()*(0)/Inputs!$C$40)+0.2*SIN(2*PI()*((Model_Data!A135)+(0))/(0.5*(Inputs!$C$39+Inputs!$C$40))))+Inputs!$C$38*SIN(2*PI()*(Model_Data!A135)/Inputs!$C$39)*SIN(2*PI()*(0)/Inputs!$C$40)+-Inputs!$C$41*EXP(-(((0)-Inputs!$C$43)^2)/(2*Inputs!$C$44^2))*EXP(-(((Model_Data!A135)-Inputs!$C$42)^2)/(2*Inputs!$C$45^2))+Inputs!$C$48*(0.70*(0.45*SIN(2*PI()*(((Model_Data!A135)/Inputs!$C$49)+Inputs!$C$47*0.137))+0.35*COS(2*PI()*(((0)/Inputs!$C$50)+Inputs!$C$47*0.173))+0.20*SIN(2*PI()*(((Model_Data!A135)+(0))/(0.5*(Inputs!$C$49+Inputs!$C$50))+Inputs!$C$47*0.097)))+0.30*(2*((SIN(((Model_Data!A135)*12.9898+(0)*78.233+Inputs!$C$47*37.719))*43758.5453)-INT((SIN(((Model_Data!A135)*12.9898+(0)*78.233+Inputs!$C$47*37.719))*43758.5453)))-1))))/1000)))*1000/Inputs!$C$12)-Model_Data!F135))-(-(((SQRT((Model_Data!A135)^2+Inputs!$C$6^2+(Inputs!$C$5-((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(0.45*SIN(2*PI()*(((Model_Data!A135)/Inputs!$C$49)+Inputs!$C$47*0.137))+0.35*COS(2*PI()*(((Inputs!$C$6)/Inputs!$C$50)+Inputs!$C$47*0.173))+0.20*SIN(2*PI()*(((Model_Data!A135)+(Inputs!$C$6))/(0.5*(Inputs!$C$49+Inputs!$C$50))+Inputs!$C$47*0.097)))+0.30*(2*((SIN(((Model_Data!A135)*12.9898+(Inputs!$C$6)*78.233+Inputs!$C$47*37.719))*43758.5453)-INT((SIN(((Model_Data!A135)*12.9898+(Inputs!$C$6)*78.233+Inputs!$C$47*37.719))*43758.5453)))-1))))/1000)^2)-(Inputs!$C$5-((Inputs!$C$51*(115*EXP(-(((0)-25)^2)/(4.5^2))+70*EXP(-(((0)+38)^2)/(7^2))*(0.55+0.45*SIN(2*PI()*(Model_Data!A135)/45))+24*SIN(2*PI()*(0)/9+(Model_Data!A135)/18)*EXP(-(((0)+5)^2)/(22^2))+18*SIN(2*PI()*(Model_Data!A135)/70))+Inputs!$C$28*EXP(-(((Model_Data!A135)-Inputs!$C$29)^2)/(2*Inputs!$C$31^2))*EXP(-(((0)-Inputs!$C$30)^2)/(2*Inputs!$C$32^2))+-Inputs!$C$33*EXP(-(((((Model_Data!A135)-Inputs!$C$34)^2)+(((0)-Inputs!$C$35)^2))/(2*Inputs!$C$36^2)))+Inputs!$C$37*(0.55*SIN(2*PI()*(Model_Data!A135)/Inputs!$C$39)+0.35*COS(2*PI()*(0)/Inputs!$C$40)+0.2*SIN(2*PI()*((Model_Data!A135)+(0))/(0.5*(Inputs!$C$39+Inputs!$C$40))))+Inputs!$C$38*SIN(2*PI()*(Model_Data!A135)/Inputs!$C$39)*SIN(2*PI()*(0)/Inputs!$C$40)+-Inputs!$C$41*EXP(-(((0)-Inputs!$C$43)^2)/(2*Inputs!$C$44^2))*EXP(-(((Model_Data!A135)-Inputs!$C$42)^2)/(2*Inputs!$C$45^2))+Inputs!$C$48*(0.70*(0.45*SIN(2*PI()*(((Model_Data!A135)/Inputs!$C$49)+Inputs!$C$47*0.137))+0.35*COS(2*PI()*(((0)/Inputs!$C$50)+Inputs!$C$47*0.173))+0.20*SIN(2*PI()*(((Model_Data!A135)+(0))/(0.5*(Inputs!$C$49+Inputs!$C$50))+Inputs!$C$47*0.097)))+0.30*(2*((SIN(((Model_Data!A135)*12.9898+(0)*78.233+Inputs!$C$47*37.719))*43758.5453)-INT((SIN(((Model_Data!A135)*12.9898+(0)*78.233+Inputs!$C$47*37.719))*43758.5453)))-1))))/1000))*1000/Inputs!$C$12)-((SQRT((Model_Data!A135)^2+Inputs!$C$6^2+Inputs!$C$5^2)-Inputs!$C$5)*1000/Inputs!$C$12)))</x:f>
        <x:v>0.00014355597863868752</x:v>
      </x:c>
      <x:c r="X135" s="48" t="n">
        <x:f>0</x:f>
        <x:v>0</x:v>
      </x:c>
      <x:c r="Y135" s="49"/>
      <x:c r="Z135" s="48" t="n">
        <x:f>Model_Data!A135</x:f>
        <x:v>6.5</x:v>
      </x:c>
      <x:c r="AA135" s="48" t="n">
        <x:f>SQRT((Model_Data!A135)^2+Inputs!$C$6^2+((Model_Data!B135)-((Inputs!$C$51*(115*EXP(-(((Inputs!$C$6)-25)^2)/(4.5^2))+70*EXP(-(((Inputs!$C$6)+38)^2)/(7^2))*(0.55+0.45*SIN(2*PI()*(Model_Data!A135)/45))+24*SIN(2*PI()*(Inputs!$C$6)/9+(Model_Data!A135)/18)*EXP(-(((Inputs!$C$6)+5)^2)/(22^2))+18*SIN(2*PI()*(Model_Data!A135)/70))+Inputs!$C$28*EXP(-(((Model_Data!A135)-Inputs!$C$29)^2)/(2*Inputs!$C$31^2))*EXP(-(((Inputs!$C$6)-Inputs!$C$30)^2)/(2*Inputs!$C$32^2))+-Inputs!$C$33*EXP(-(((((Model_Data!A135)-Inputs!$C$34)^2)+(((Inputs!$C$6)-Inputs!$C$35)^2))/(2*Inputs!$C$36^2)))+Inputs!$C$37*(0.55*SIN(2*PI()*(Model_Data!A135)/Inputs!$C$39)+0.35*COS(2*PI()*(Inputs!$C$6)/Inputs!$C$40)+0.2*SIN(2*PI()*((Model_Data!A135)+(Inputs!$C$6))/(0.5*(Inputs!$C$39+Inputs!$C$40))))+Inputs!$C$38*SIN(2*PI()*(Model_Data!A135)/Inputs!$C$39)*SIN(2*PI()*(Inputs!$C$6)/Inputs!$C$40)+-Inputs!$C$41*EXP(-(((Inputs!$C$6)-Inputs!$C$43)^2)/(2*Inputs!$C$44^2))*EXP(-(((Model_Data!A135)-Inputs!$C$42)^2)/(2*Inputs!$C$45^2))+Inputs!$C$48*(0.70*(0.45*SIN(2*PI()*(((Model_Data!A135)/Inputs!$C$49)+Inputs!$C$47*0.137))+0.35*COS(2*PI()*(((Inputs!$C$6)/Inputs!$C$50)+Inputs!$C$47*0.173))+0.20*SIN(2*PI()*(((Model_Data!A135)+(Inputs!$C$6))/(0.5*(Inputs!$C$49+Inputs!$C$50))+Inputs!$C$47*0.097)))+0.30*(2*((SIN(((Model_Data!A135)*12.9898+(Inputs!$C$6)*78.233+Inputs!$C$47*37.719))*43758.5453)-INT((SIN(((Model_Data!A135)*12.9898+(Inputs!$C$6)*78.233+Inputs!$C$47*37.719))*43758.5453)))-1))))/1000)^2)</x:f>
        <x:v>400.35670649647955</x:v>
      </x:c>
      <x:c r="AB135" s="48" t="n">
        <x:f>1000*(AA136-AA134)/(Z136-Z134)*Inputs!$C$11</x:f>
        <x:v>119.74377871342767</x:v>
      </x:c>
      <x:c r="AC135" s="48" t="n">
        <x:f>-2*AB135/Inputs!$C$13</x:f>
        <x:v>-47.89751148537107</x:v>
      </x:c>
      <x:c r="AD135" s="48" t="n">
        <x:f>-2*AB135/Inputs!$C$14</x:f>
        <x:v>-7.191818541347008</x:v>
      </x:c>
    </x:row>
    <x:row r="136">
      <x:c r="A136" s="48" t="n">
        <x:f>Model_Data!A136</x:f>
        <x:v>7</x:v>
      </x:c>
      <x:c r="B136" s="48" t="n">
        <x:f>Model_Data!F136</x:f>
        <x:v>472.7529825816653</x:v>
      </x:c>
      <x:c r="C136" s="48" t="n">
        <x:f>(((SQRT((Model_Data!A136)^2+Inputs!$C$6^2+((Model_Data!B136)-((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(0.45*SIN(2*PI()*(((Model_Data!A136)/Inputs!$C$49)+Inputs!$C$47*0.137))+0.35*COS(2*PI()*(((Inputs!$C$6)/Inputs!$C$50)+Inputs!$C$47*0.173))+0.20*SIN(2*PI()*(((Model_Data!A136)+(Inputs!$C$6))/(0.5*(Inputs!$C$49+Inputs!$C$50))+Inputs!$C$47*0.097)))+0.30*(2*((SIN(((Model_Data!A136)*12.9898+(Inputs!$C$6)*78.233+Inputs!$C$47*37.719))*43758.5453)-INT((SIN(((Model_Data!A136)*12.9898+(Inputs!$C$6)*78.233+Inputs!$C$47*37.719))*43758.5453)))-1))))/1000)^2))-(((Model_Data!B136)-((Inputs!$C$51*(115*EXP(-(((0)-25)^2)/(4.5^2))+70*EXP(-(((0)+38)^2)/(7^2))*(0.55+0.45*SIN(2*PI()*(Model_Data!A136)/45))+24*SIN(2*PI()*(0)/9+(Model_Data!A136)/18)*EXP(-(((0)+5)^2)/(22^2))+18*SIN(2*PI()*(Model_Data!A136)/70))+Inputs!$C$28*EXP(-(((Model_Data!A136)-Inputs!$C$29)^2)/(2*Inputs!$C$31^2))*EXP(-(((0)-Inputs!$C$30)^2)/(2*Inputs!$C$32^2))+-Inputs!$C$33*EXP(-(((((Model_Data!A136)-Inputs!$C$34)^2)+(((0)-Inputs!$C$35)^2))/(2*Inputs!$C$36^2)))+Inputs!$C$37*(0.55*SIN(2*PI()*(Model_Data!A136)/Inputs!$C$39)+0.35*COS(2*PI()*(0)/Inputs!$C$40)+0.2*SIN(2*PI()*((Model_Data!A136)+(0))/(0.5*(Inputs!$C$39+Inputs!$C$40))))+Inputs!$C$38*SIN(2*PI()*(Model_Data!A136)/Inputs!$C$39)*SIN(2*PI()*(0)/Inputs!$C$40)+-Inputs!$C$41*EXP(-(((0)-Inputs!$C$43)^2)/(2*Inputs!$C$44^2))*EXP(-(((Model_Data!A136)-Inputs!$C$42)^2)/(2*Inputs!$C$45^2))+Inputs!$C$48*(0.70*(0.45*SIN(2*PI()*(((Model_Data!A136)/Inputs!$C$49)+Inputs!$C$47*0.137))+0.35*COS(2*PI()*(((0)/Inputs!$C$50)+Inputs!$C$47*0.173))+0.20*SIN(2*PI()*(((Model_Data!A136)+(0))/(0.5*(Inputs!$C$49+Inputs!$C$50))+Inputs!$C$47*0.097)))+0.30*(2*((SIN(((Model_Data!A136)*12.9898+(0)*78.233+Inputs!$C$47*37.719))*43758.5453)-INT((SIN(((Model_Data!A136)*12.9898+(0)*78.233+Inputs!$C$47*37.719))*43758.5453)))-1))))/1000)))*1000/Inputs!$C$12)</x:f>
        <x:v>210.74788263585043</x:v>
      </x:c>
      <x:c r="D136" s="49"/>
      <x:c r="E136" s="48" t="n">
        <x:f>Model_Data!A136</x:f>
        <x:v>7</x:v>
      </x:c>
      <x:c r="F136" s="48" t="n">
        <x:f>(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(0.45*SIN(2*PI()*(((Model_Data!A136)/Inputs!$C$49)+Inputs!$C$47*0.137))+0.35*COS(2*PI()*(((Inputs!$C$6)/Inputs!$C$50)+Inputs!$C$47*0.173))+0.20*SIN(2*PI()*(((Model_Data!A136)+(Inputs!$C$6))/(0.5*(Inputs!$C$49+Inputs!$C$50))+Inputs!$C$47*0.097)))+0.30*(2*((SIN(((Model_Data!A136)*12.9898+(Inputs!$C$6)*78.233+Inputs!$C$47*37.719))*43758.5453)-INT((SIN(((Model_Data!A136)*12.9898+(Inputs!$C$6)*78.233+Inputs!$C$47*37.719))*43758.5453)))-1)))</x:f>
        <x:v>534.4078318791427</x:v>
      </x:c>
      <x:c r="G136" s="48" t="n">
        <x:f>(Inputs!$C$51*(115*EXP(-(((0)-25)^2)/(4.5^2))+70*EXP(-(((0)+38)^2)/(7^2))*(0.55+0.45*SIN(2*PI()*(Model_Data!A136)/45))+24*SIN(2*PI()*(0)/9+(Model_Data!A136)/18)*EXP(-(((0)+5)^2)/(22^2))+18*SIN(2*PI()*(Model_Data!A136)/70))+Inputs!$C$28*EXP(-(((Model_Data!A136)-Inputs!$C$29)^2)/(2*Inputs!$C$31^2))*EXP(-(((0)-Inputs!$C$30)^2)/(2*Inputs!$C$32^2))+-Inputs!$C$33*EXP(-(((((Model_Data!A136)-Inputs!$C$34)^2)+(((0)-Inputs!$C$35)^2))/(2*Inputs!$C$36^2)))+Inputs!$C$37*(0.55*SIN(2*PI()*(Model_Data!A136)/Inputs!$C$39)+0.35*COS(2*PI()*(0)/Inputs!$C$40)+0.2*SIN(2*PI()*((Model_Data!A136)+(0))/(0.5*(Inputs!$C$39+Inputs!$C$40))))+Inputs!$C$38*SIN(2*PI()*(Model_Data!A136)/Inputs!$C$39)*SIN(2*PI()*(0)/Inputs!$C$40)+-Inputs!$C$41*EXP(-(((0)-Inputs!$C$43)^2)/(2*Inputs!$C$44^2))*EXP(-(((Model_Data!A136)-Inputs!$C$42)^2)/(2*Inputs!$C$45^2))+Inputs!$C$48*(0.70*(0.45*SIN(2*PI()*(((Model_Data!A136)/Inputs!$C$49)+Inputs!$C$47*0.137))+0.35*COS(2*PI()*(((0)/Inputs!$C$50)+Inputs!$C$47*0.173))+0.20*SIN(2*PI()*(((Model_Data!A136)+(0))/(0.5*(Inputs!$C$49+Inputs!$C$50))+Inputs!$C$47*0.097)))+0.30*(2*((SIN(((Model_Data!A136)*12.9898+(0)*78.233+Inputs!$C$47*37.719))*43758.5453)-INT((SIN(((Model_Data!A136)*12.9898+(0)*78.233+Inputs!$C$47*37.719))*43758.5453)))-1)))</x:f>
        <x:v>66.91550989906084</x:v>
      </x:c>
      <x:c r="H136" s="49"/>
      <x:c r="I136" s="48" t="n">
        <x:f>Model_Data!A136</x:f>
        <x:v>7</x:v>
      </x:c>
      <x:c r="J136" s="48" t="n">
        <x:f>((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(0.45*SIN(2*PI()*(((Model_Data!A136)/Inputs!$C$49)+Inputs!$C$47*0.137))+0.35*COS(2*PI()*(((Inputs!$C$6)/Inputs!$C$50)+Inputs!$C$47*0.173))+0.20*SIN(2*PI()*(((Model_Data!A136)+(Inputs!$C$6))/(0.5*(Inputs!$C$49+Inputs!$C$50))+Inputs!$C$47*0.097)))+0.30*(2*((SIN(((Model_Data!A136)*12.9898+(Inputs!$C$6)*78.233+Inputs!$C$47*37.719))*43758.5453)-INT((SIN(((Model_Data!A136)*12.9898+(Inputs!$C$6)*78.233+Inputs!$C$47*37.719))*43758.5453)))-1))))-((Inputs!$C$51*(115*EXP(-(((0)-25)^2)/(4.5^2))+70*EXP(-(((0)+38)^2)/(7^2))*(0.55+0.45*SIN(2*PI()*(Model_Data!A136)/45))+24*SIN(2*PI()*(0)/9+(Model_Data!A136)/18)*EXP(-(((0)+5)^2)/(22^2))+18*SIN(2*PI()*(Model_Data!A136)/70))+Inputs!$C$28*EXP(-(((Model_Data!A136)-Inputs!$C$29)^2)/(2*Inputs!$C$31^2))*EXP(-(((0)-Inputs!$C$30)^2)/(2*Inputs!$C$32^2))+-Inputs!$C$33*EXP(-(((((Model_Data!A136)-Inputs!$C$34)^2)+(((0)-Inputs!$C$35)^2))/(2*Inputs!$C$36^2)))+Inputs!$C$37*(0.55*SIN(2*PI()*(Model_Data!A136)/Inputs!$C$39)+0.35*COS(2*PI()*(0)/Inputs!$C$40)+0.2*SIN(2*PI()*((Model_Data!A136)+(0))/(0.5*(Inputs!$C$39+Inputs!$C$40))))+Inputs!$C$38*SIN(2*PI()*(Model_Data!A136)/Inputs!$C$39)*SIN(2*PI()*(0)/Inputs!$C$40)+-Inputs!$C$41*EXP(-(((0)-Inputs!$C$43)^2)/(2*Inputs!$C$44^2))*EXP(-(((Model_Data!A136)-Inputs!$C$42)^2)/(2*Inputs!$C$45^2))+Inputs!$C$48*(0.70*(0.45*SIN(2*PI()*(((Model_Data!A136)/Inputs!$C$49)+Inputs!$C$47*0.137))+0.35*COS(2*PI()*(((0)/Inputs!$C$50)+Inputs!$C$47*0.173))+0.20*SIN(2*PI()*(((Model_Data!A136)+(0))/(0.5*(Inputs!$C$49+Inputs!$C$50))+Inputs!$C$47*0.097)))+0.30*(2*((SIN(((Model_Data!A136)*12.9898+(0)*78.233+Inputs!$C$47*37.719))*43758.5453)-INT((SIN(((Model_Data!A136)*12.9898+(0)*78.233+Inputs!$C$47*37.719))*43758.5453)))-1))))</x:f>
        <x:v>467.49232198008184</x:v>
      </x:c>
      <x:c r="K136" s="48" t="n">
        <x:f>-((((SQRT((Model_Data!A136)^2+Inputs!$C$6^2+((Model_Data!B136)-((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(0.45*SIN(2*PI()*(((Model_Data!A136)/Inputs!$C$49)+Inputs!$C$47*0.137))+0.35*COS(2*PI()*(((Inputs!$C$6)/Inputs!$C$50)+Inputs!$C$47*0.173))+0.20*SIN(2*PI()*(((Model_Data!A136)+(Inputs!$C$6))/(0.5*(Inputs!$C$49+Inputs!$C$50))+Inputs!$C$47*0.097)))+0.30*(2*((SIN(((Model_Data!A136)*12.9898+(Inputs!$C$6)*78.233+Inputs!$C$47*37.719))*43758.5453)-INT((SIN(((Model_Data!A136)*12.9898+(Inputs!$C$6)*78.233+Inputs!$C$47*37.719))*43758.5453)))-1))))/1000)^2))-(((Model_Data!B136)-((Inputs!$C$51*(115*EXP(-(((0)-25)^2)/(4.5^2))+70*EXP(-(((0)+38)^2)/(7^2))*(0.55+0.45*SIN(2*PI()*(Model_Data!A136)/45))+24*SIN(2*PI()*(0)/9+(Model_Data!A136)/18)*EXP(-(((0)+5)^2)/(22^2))+18*SIN(2*PI()*(Model_Data!A136)/70))+Inputs!$C$28*EXP(-(((Model_Data!A136)-Inputs!$C$29)^2)/(2*Inputs!$C$31^2))*EXP(-(((0)-Inputs!$C$30)^2)/(2*Inputs!$C$32^2))+-Inputs!$C$33*EXP(-(((((Model_Data!A136)-Inputs!$C$34)^2)+(((0)-Inputs!$C$35)^2))/(2*Inputs!$C$36^2)))+Inputs!$C$37*(0.55*SIN(2*PI()*(Model_Data!A136)/Inputs!$C$39)+0.35*COS(2*PI()*(0)/Inputs!$C$40)+0.2*SIN(2*PI()*((Model_Data!A136)+(0))/(0.5*(Inputs!$C$39+Inputs!$C$40))))+Inputs!$C$38*SIN(2*PI()*(Model_Data!A136)/Inputs!$C$39)*SIN(2*PI()*(0)/Inputs!$C$40)+-Inputs!$C$41*EXP(-(((0)-Inputs!$C$43)^2)/(2*Inputs!$C$44^2))*EXP(-(((Model_Data!A136)-Inputs!$C$42)^2)/(2*Inputs!$C$45^2))+Inputs!$C$48*(0.70*(0.45*SIN(2*PI()*(((Model_Data!A136)/Inputs!$C$49)+Inputs!$C$47*0.137))+0.35*COS(2*PI()*(((0)/Inputs!$C$50)+Inputs!$C$47*0.173))+0.20*SIN(2*PI()*(((Model_Data!A136)+(0))/(0.5*(Inputs!$C$49+Inputs!$C$50))+Inputs!$C$47*0.097)))+0.30*(2*((SIN(((Model_Data!A136)*12.9898+(0)*78.233+Inputs!$C$47*37.719))*43758.5453)-INT((SIN(((Model_Data!A136)*12.9898+(0)*78.233+Inputs!$C$47*37.719))*43758.5453)))-1))))/1000)))*1000/Inputs!$C$12)-Model_Data!F136)</x:f>
        <x:v>262.0050999458149</x:v>
      </x:c>
      <x:c r="L136" s="49"/>
      <x:c r="M136" s="48" t="n">
        <x:f>Model_Data!A136</x:f>
        <x:v>7</x:v>
      </x:c>
      <x:c r="N136" s="48" t="n">
        <x:f>Model_Data!P136</x:f>
        <x:v>-52.77406991556359</x:v>
      </x:c>
      <x:c r="O136" s="48" t="n">
        <x:f>AC136</x:f>
        <x:v>-86.2472526280726</x:v>
      </x:c>
      <x:c r="P136" s="48" t="n">
        <x:f>Model_Data!Q136</x:f>
        <x:v>-7.924034521856395</x:v>
      </x:c>
      <x:c r="Q136" s="48" t="n">
        <x:f>AD136</x:f>
        <x:v>-12.950037932143035</x:v>
      </x:c>
      <x:c r="R136" s="49"/>
      <x:c r="S136" s="48" t="n">
        <x:f>Model_Data!A136</x:f>
        <x:v>7</x:v>
      </x:c>
      <x:c r="T136" s="48" t="n">
        <x:f>Model_Data!B136-Inputs!$C$5</x:f>
        <x:v>0.05444444444447072</x:v>
      </x:c>
      <x:c r="U136" s="49"/>
      <x:c r="V136" s="48" t="n">
        <x:f>Model_Data!A136</x:f>
        <x:v>7</x:v>
      </x:c>
      <x:c r="W136" s="48" t="n">
        <x:f>(-((((SQRT((Model_Data!A136)^2+Inputs!$C$6^2+((Model_Data!B136)-((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(0.45*SIN(2*PI()*(((Model_Data!A136)/Inputs!$C$49)+Inputs!$C$47*0.137))+0.35*COS(2*PI()*(((Inputs!$C$6)/Inputs!$C$50)+Inputs!$C$47*0.173))+0.20*SIN(2*PI()*(((Model_Data!A136)+(Inputs!$C$6))/(0.5*(Inputs!$C$49+Inputs!$C$50))+Inputs!$C$47*0.097)))+0.30*(2*((SIN(((Model_Data!A136)*12.9898+(Inputs!$C$6)*78.233+Inputs!$C$47*37.719))*43758.5453)-INT((SIN(((Model_Data!A136)*12.9898+(Inputs!$C$6)*78.233+Inputs!$C$47*37.719))*43758.5453)))-1))))/1000)^2))-(((Model_Data!B136)-((Inputs!$C$51*(115*EXP(-(((0)-25)^2)/(4.5^2))+70*EXP(-(((0)+38)^2)/(7^2))*(0.55+0.45*SIN(2*PI()*(Model_Data!A136)/45))+24*SIN(2*PI()*(0)/9+(Model_Data!A136)/18)*EXP(-(((0)+5)^2)/(22^2))+18*SIN(2*PI()*(Model_Data!A136)/70))+Inputs!$C$28*EXP(-(((Model_Data!A136)-Inputs!$C$29)^2)/(2*Inputs!$C$31^2))*EXP(-(((0)-Inputs!$C$30)^2)/(2*Inputs!$C$32^2))+-Inputs!$C$33*EXP(-(((((Model_Data!A136)-Inputs!$C$34)^2)+(((0)-Inputs!$C$35)^2))/(2*Inputs!$C$36^2)))+Inputs!$C$37*(0.55*SIN(2*PI()*(Model_Data!A136)/Inputs!$C$39)+0.35*COS(2*PI()*(0)/Inputs!$C$40)+0.2*SIN(2*PI()*((Model_Data!A136)+(0))/(0.5*(Inputs!$C$39+Inputs!$C$40))))+Inputs!$C$38*SIN(2*PI()*(Model_Data!A136)/Inputs!$C$39)*SIN(2*PI()*(0)/Inputs!$C$40)+-Inputs!$C$41*EXP(-(((0)-Inputs!$C$43)^2)/(2*Inputs!$C$44^2))*EXP(-(((Model_Data!A136)-Inputs!$C$42)^2)/(2*Inputs!$C$45^2))+Inputs!$C$48*(0.70*(0.45*SIN(2*PI()*(((Model_Data!A136)/Inputs!$C$49)+Inputs!$C$47*0.137))+0.35*COS(2*PI()*(((0)/Inputs!$C$50)+Inputs!$C$47*0.173))+0.20*SIN(2*PI()*(((Model_Data!A136)+(0))/(0.5*(Inputs!$C$49+Inputs!$C$50))+Inputs!$C$47*0.097)))+0.30*(2*((SIN(((Model_Data!A136)*12.9898+(0)*78.233+Inputs!$C$47*37.719))*43758.5453)-INT((SIN(((Model_Data!A136)*12.9898+(0)*78.233+Inputs!$C$47*37.719))*43758.5453)))-1))))/1000)))*1000/Inputs!$C$12)-Model_Data!F136))-(-(((SQRT((Model_Data!A136)^2+Inputs!$C$6^2+(Inputs!$C$5-((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(0.45*SIN(2*PI()*(((Model_Data!A136)/Inputs!$C$49)+Inputs!$C$47*0.137))+0.35*COS(2*PI()*(((Inputs!$C$6)/Inputs!$C$50)+Inputs!$C$47*0.173))+0.20*SIN(2*PI()*(((Model_Data!A136)+(Inputs!$C$6))/(0.5*(Inputs!$C$49+Inputs!$C$50))+Inputs!$C$47*0.097)))+0.30*(2*((SIN(((Model_Data!A136)*12.9898+(Inputs!$C$6)*78.233+Inputs!$C$47*37.719))*43758.5453)-INT((SIN(((Model_Data!A136)*12.9898+(Inputs!$C$6)*78.233+Inputs!$C$47*37.719))*43758.5453)))-1))))/1000)^2)-(Inputs!$C$5-((Inputs!$C$51*(115*EXP(-(((0)-25)^2)/(4.5^2))+70*EXP(-(((0)+38)^2)/(7^2))*(0.55+0.45*SIN(2*PI()*(Model_Data!A136)/45))+24*SIN(2*PI()*(0)/9+(Model_Data!A136)/18)*EXP(-(((0)+5)^2)/(22^2))+18*SIN(2*PI()*(Model_Data!A136)/70))+Inputs!$C$28*EXP(-(((Model_Data!A136)-Inputs!$C$29)^2)/(2*Inputs!$C$31^2))*EXP(-(((0)-Inputs!$C$30)^2)/(2*Inputs!$C$32^2))+-Inputs!$C$33*EXP(-(((((Model_Data!A136)-Inputs!$C$34)^2)+(((0)-Inputs!$C$35)^2))/(2*Inputs!$C$36^2)))+Inputs!$C$37*(0.55*SIN(2*PI()*(Model_Data!A136)/Inputs!$C$39)+0.35*COS(2*PI()*(0)/Inputs!$C$40)+0.2*SIN(2*PI()*((Model_Data!A136)+(0))/(0.5*(Inputs!$C$39+Inputs!$C$40))))+Inputs!$C$38*SIN(2*PI()*(Model_Data!A136)/Inputs!$C$39)*SIN(2*PI()*(0)/Inputs!$C$40)+-Inputs!$C$41*EXP(-(((0)-Inputs!$C$43)^2)/(2*Inputs!$C$44^2))*EXP(-(((Model_Data!A136)-Inputs!$C$42)^2)/(2*Inputs!$C$45^2))+Inputs!$C$48*(0.70*(0.45*SIN(2*PI()*(((Model_Data!A136)/Inputs!$C$49)+Inputs!$C$47*0.137))+0.35*COS(2*PI()*(((0)/Inputs!$C$50)+Inputs!$C$47*0.173))+0.20*SIN(2*PI()*(((Model_Data!A136)+(0))/(0.5*(Inputs!$C$49+Inputs!$C$50))+Inputs!$C$47*0.097)))+0.30*(2*((SIN(((Model_Data!A136)*12.9898+(0)*78.233+Inputs!$C$47*37.719))*43758.5453)-INT((SIN(((Model_Data!A136)*12.9898+(0)*78.233+Inputs!$C$47*37.719))*43758.5453)))-1))))/1000))*1000/Inputs!$C$12)-((SQRT((Model_Data!A136)^2+Inputs!$C$6^2+Inputs!$C$5^2)-Inputs!$C$5)*1000/Inputs!$C$12)))</x:f>
        <x:v>0.00017136687671381878</x:v>
      </x:c>
      <x:c r="X136" s="48" t="n">
        <x:f>0</x:f>
        <x:v>0</x:v>
      </x:c>
      <x:c r="Y136" s="49"/>
      <x:c r="Z136" s="48" t="n">
        <x:f>Model_Data!A136</x:f>
        <x:v>7</x:v>
      </x:c>
      <x:c r="AA136" s="48" t="n">
        <x:f>SQRT((Model_Data!A136)^2+Inputs!$C$6^2+((Model_Data!B136)-((Inputs!$C$51*(115*EXP(-(((Inputs!$C$6)-25)^2)/(4.5^2))+70*EXP(-(((Inputs!$C$6)+38)^2)/(7^2))*(0.55+0.45*SIN(2*PI()*(Model_Data!A136)/45))+24*SIN(2*PI()*(Inputs!$C$6)/9+(Model_Data!A136)/18)*EXP(-(((Inputs!$C$6)+5)^2)/(22^2))+18*SIN(2*PI()*(Model_Data!A136)/70))+Inputs!$C$28*EXP(-(((Model_Data!A136)-Inputs!$C$29)^2)/(2*Inputs!$C$31^2))*EXP(-(((Inputs!$C$6)-Inputs!$C$30)^2)/(2*Inputs!$C$32^2))+-Inputs!$C$33*EXP(-(((((Model_Data!A136)-Inputs!$C$34)^2)+(((Inputs!$C$6)-Inputs!$C$35)^2))/(2*Inputs!$C$36^2)))+Inputs!$C$37*(0.55*SIN(2*PI()*(Model_Data!A136)/Inputs!$C$39)+0.35*COS(2*PI()*(Inputs!$C$6)/Inputs!$C$40)+0.2*SIN(2*PI()*((Model_Data!A136)+(Inputs!$C$6))/(0.5*(Inputs!$C$39+Inputs!$C$40))))+Inputs!$C$38*SIN(2*PI()*(Model_Data!A136)/Inputs!$C$39)*SIN(2*PI()*(Inputs!$C$6)/Inputs!$C$40)+-Inputs!$C$41*EXP(-(((Inputs!$C$6)-Inputs!$C$43)^2)/(2*Inputs!$C$44^2))*EXP(-(((Model_Data!A136)-Inputs!$C$42)^2)/(2*Inputs!$C$45^2))+Inputs!$C$48*(0.70*(0.45*SIN(2*PI()*(((Model_Data!A136)/Inputs!$C$49)+Inputs!$C$47*0.137))+0.35*COS(2*PI()*(((Inputs!$C$6)/Inputs!$C$50)+Inputs!$C$47*0.173))+0.20*SIN(2*PI()*(((Model_Data!A136)+(Inputs!$C$6))/(0.5*(Inputs!$C$49+Inputs!$C$50))+Inputs!$C$47*0.097)))+0.30*(2*((SIN(((Model_Data!A136)*12.9898+(Inputs!$C$6)*78.233+Inputs!$C$47*37.719))*43758.5453)-INT((SIN(((Model_Data!A136)*12.9898+(Inputs!$C$6)*78.233+Inputs!$C$47*37.719))*43758.5453)))-1))))/1000)^2)</x:f>
        <x:v>400.36266016563724</x:v>
      </x:c>
      <x:c r="AB136" s="48" t="n">
        <x:f>1000*(AA137-AA135)/(Z137-Z135)*Inputs!$C$11</x:f>
        <x:v>215.6181315701815</x:v>
      </x:c>
      <x:c r="AC136" s="48" t="n">
        <x:f>-2*AB136/Inputs!$C$13</x:f>
        <x:v>-86.2472526280726</x:v>
      </x:c>
      <x:c r="AD136" s="48" t="n">
        <x:f>-2*AB136/Inputs!$C$14</x:f>
        <x:v>-12.950037932143035</x:v>
      </x:c>
    </x:row>
    <x:row r="137">
      <x:c r="A137" s="48" t="n">
        <x:f>Model_Data!A137</x:f>
        <x:v>7.5</x:v>
      </x:c>
      <x:c r="B137" s="48" t="n">
        <x:f>Model_Data!F137</x:f>
        <x:v>477.82323801636795</x:v>
      </x:c>
      <x:c r="C137" s="48" t="n">
        <x:f>(((SQRT((Model_Data!A137)^2+Inputs!$C$6^2+((Model_Data!B137)-((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(0.45*SIN(2*PI()*(((Model_Data!A137)/Inputs!$C$49)+Inputs!$C$47*0.137))+0.35*COS(2*PI()*(((Inputs!$C$6)/Inputs!$C$50)+Inputs!$C$47*0.173))+0.20*SIN(2*PI()*(((Model_Data!A137)+(Inputs!$C$6))/(0.5*(Inputs!$C$49+Inputs!$C$50))+Inputs!$C$47*0.097)))+0.30*(2*((SIN(((Model_Data!A137)*12.9898+(Inputs!$C$6)*78.233+Inputs!$C$47*37.719))*43758.5453)-INT((SIN(((Model_Data!A137)*12.9898+(Inputs!$C$6)*78.233+Inputs!$C$47*37.719))*43758.5453)))-1))))/1000)^2))-(((Model_Data!B137)-((Inputs!$C$51*(115*EXP(-(((0)-25)^2)/(4.5^2))+70*EXP(-(((0)+38)^2)/(7^2))*(0.55+0.45*SIN(2*PI()*(Model_Data!A137)/45))+24*SIN(2*PI()*(0)/9+(Model_Data!A137)/18)*EXP(-(((0)+5)^2)/(22^2))+18*SIN(2*PI()*(Model_Data!A137)/70))+Inputs!$C$28*EXP(-(((Model_Data!A137)-Inputs!$C$29)^2)/(2*Inputs!$C$31^2))*EXP(-(((0)-Inputs!$C$30)^2)/(2*Inputs!$C$32^2))+-Inputs!$C$33*EXP(-(((((Model_Data!A137)-Inputs!$C$34)^2)+(((0)-Inputs!$C$35)^2))/(2*Inputs!$C$36^2)))+Inputs!$C$37*(0.55*SIN(2*PI()*(Model_Data!A137)/Inputs!$C$39)+0.35*COS(2*PI()*(0)/Inputs!$C$40)+0.2*SIN(2*PI()*((Model_Data!A137)+(0))/(0.5*(Inputs!$C$39+Inputs!$C$40))))+Inputs!$C$38*SIN(2*PI()*(Model_Data!A137)/Inputs!$C$39)*SIN(2*PI()*(0)/Inputs!$C$40)+-Inputs!$C$41*EXP(-(((0)-Inputs!$C$43)^2)/(2*Inputs!$C$44^2))*EXP(-(((Model_Data!A137)-Inputs!$C$42)^2)/(2*Inputs!$C$45^2))+Inputs!$C$48*(0.70*(0.45*SIN(2*PI()*(((Model_Data!A137)/Inputs!$C$49)+Inputs!$C$47*0.137))+0.35*COS(2*PI()*(((0)/Inputs!$C$50)+Inputs!$C$47*0.173))+0.20*SIN(2*PI()*(((Model_Data!A137)+(0))/(0.5*(Inputs!$C$49+Inputs!$C$50))+Inputs!$C$47*0.097)))+0.30*(2*((SIN(((Model_Data!A137)*12.9898+(0)*78.233+Inputs!$C$47*37.719))*43758.5453)-INT((SIN(((Model_Data!A137)*12.9898+(0)*78.233+Inputs!$C$47*37.719))*43758.5453)))-1))))/1000)))*1000/Inputs!$C$12)</x:f>
        <x:v>227.14217236462835</x:v>
      </x:c>
      <x:c r="D137" s="49"/>
      <x:c r="E137" s="48" t="n">
        <x:f>Model_Data!A137</x:f>
        <x:v>7.5</x:v>
      </x:c>
      <x:c r="F137" s="48" t="n">
        <x:f>(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(0.45*SIN(2*PI()*(((Model_Data!A137)/Inputs!$C$49)+Inputs!$C$47*0.137))+0.35*COS(2*PI()*(((Inputs!$C$6)/Inputs!$C$50)+Inputs!$C$47*0.173))+0.20*SIN(2*PI()*(((Model_Data!A137)+(Inputs!$C$6))/(0.5*(Inputs!$C$49+Inputs!$C$50))+Inputs!$C$47*0.097)))+0.30*(2*((SIN(((Model_Data!A137)*12.9898+(Inputs!$C$6)*78.233+Inputs!$C$47*37.719))*43758.5453)-INT((SIN(((Model_Data!A137)*12.9898+(Inputs!$C$6)*78.233+Inputs!$C$47*37.719))*43758.5453)))-1)))</x:f>
        <x:v>503.48380224840304</x:v>
      </x:c>
      <x:c r="G137" s="48" t="n">
        <x:f>(Inputs!$C$51*(115*EXP(-(((0)-25)^2)/(4.5^2))+70*EXP(-(((0)+38)^2)/(7^2))*(0.55+0.45*SIN(2*PI()*(Model_Data!A137)/45))+24*SIN(2*PI()*(0)/9+(Model_Data!A137)/18)*EXP(-(((0)+5)^2)/(22^2))+18*SIN(2*PI()*(Model_Data!A137)/70))+Inputs!$C$28*EXP(-(((Model_Data!A137)-Inputs!$C$29)^2)/(2*Inputs!$C$31^2))*EXP(-(((0)-Inputs!$C$30)^2)/(2*Inputs!$C$32^2))+-Inputs!$C$33*EXP(-(((((Model_Data!A137)-Inputs!$C$34)^2)+(((0)-Inputs!$C$35)^2))/(2*Inputs!$C$36^2)))+Inputs!$C$37*(0.55*SIN(2*PI()*(Model_Data!A137)/Inputs!$C$39)+0.35*COS(2*PI()*(0)/Inputs!$C$40)+0.2*SIN(2*PI()*((Model_Data!A137)+(0))/(0.5*(Inputs!$C$39+Inputs!$C$40))))+Inputs!$C$38*SIN(2*PI()*(Model_Data!A137)/Inputs!$C$39)*SIN(2*PI()*(0)/Inputs!$C$40)+-Inputs!$C$41*EXP(-(((0)-Inputs!$C$43)^2)/(2*Inputs!$C$44^2))*EXP(-(((Model_Data!A137)-Inputs!$C$42)^2)/(2*Inputs!$C$45^2))+Inputs!$C$48*(0.70*(0.45*SIN(2*PI()*(((Model_Data!A137)/Inputs!$C$49)+Inputs!$C$47*0.137))+0.35*COS(2*PI()*(((0)/Inputs!$C$50)+Inputs!$C$47*0.173))+0.20*SIN(2*PI()*(((Model_Data!A137)+(0))/(0.5*(Inputs!$C$49+Inputs!$C$50))+Inputs!$C$47*0.097)))+0.30*(2*((SIN(((Model_Data!A137)*12.9898+(0)*78.233+Inputs!$C$47*37.719))*43758.5453)-INT((SIN(((Model_Data!A137)*12.9898+(0)*78.233+Inputs!$C$47*37.719))*43758.5453)))-1)))</x:f>
        <x:v>56.202037436945574</x:v>
      </x:c>
      <x:c r="H137" s="49"/>
      <x:c r="I137" s="48" t="n">
        <x:f>Model_Data!A137</x:f>
        <x:v>7.5</x:v>
      </x:c>
      <x:c r="J137" s="48" t="n">
        <x:f>((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(0.45*SIN(2*PI()*(((Model_Data!A137)/Inputs!$C$49)+Inputs!$C$47*0.137))+0.35*COS(2*PI()*(((Inputs!$C$6)/Inputs!$C$50)+Inputs!$C$47*0.173))+0.20*SIN(2*PI()*(((Model_Data!A137)+(Inputs!$C$6))/(0.5*(Inputs!$C$49+Inputs!$C$50))+Inputs!$C$47*0.097)))+0.30*(2*((SIN(((Model_Data!A137)*12.9898+(Inputs!$C$6)*78.233+Inputs!$C$47*37.719))*43758.5453)-INT((SIN(((Model_Data!A137)*12.9898+(Inputs!$C$6)*78.233+Inputs!$C$47*37.719))*43758.5453)))-1))))-((Inputs!$C$51*(115*EXP(-(((0)-25)^2)/(4.5^2))+70*EXP(-(((0)+38)^2)/(7^2))*(0.55+0.45*SIN(2*PI()*(Model_Data!A137)/45))+24*SIN(2*PI()*(0)/9+(Model_Data!A137)/18)*EXP(-(((0)+5)^2)/(22^2))+18*SIN(2*PI()*(Model_Data!A137)/70))+Inputs!$C$28*EXP(-(((Model_Data!A137)-Inputs!$C$29)^2)/(2*Inputs!$C$31^2))*EXP(-(((0)-Inputs!$C$30)^2)/(2*Inputs!$C$32^2))+-Inputs!$C$33*EXP(-(((((Model_Data!A137)-Inputs!$C$34)^2)+(((0)-Inputs!$C$35)^2))/(2*Inputs!$C$36^2)))+Inputs!$C$37*(0.55*SIN(2*PI()*(Model_Data!A137)/Inputs!$C$39)+0.35*COS(2*PI()*(0)/Inputs!$C$40)+0.2*SIN(2*PI()*((Model_Data!A137)+(0))/(0.5*(Inputs!$C$39+Inputs!$C$40))))+Inputs!$C$38*SIN(2*PI()*(Model_Data!A137)/Inputs!$C$39)*SIN(2*PI()*(0)/Inputs!$C$40)+-Inputs!$C$41*EXP(-(((0)-Inputs!$C$43)^2)/(2*Inputs!$C$44^2))*EXP(-(((Model_Data!A137)-Inputs!$C$42)^2)/(2*Inputs!$C$45^2))+Inputs!$C$48*(0.70*(0.45*SIN(2*PI()*(((Model_Data!A137)/Inputs!$C$49)+Inputs!$C$47*0.137))+0.35*COS(2*PI()*(((0)/Inputs!$C$50)+Inputs!$C$47*0.173))+0.20*SIN(2*PI()*(((Model_Data!A137)+(0))/(0.5*(Inputs!$C$49+Inputs!$C$50))+Inputs!$C$47*0.097)))+0.30*(2*((SIN(((Model_Data!A137)*12.9898+(0)*78.233+Inputs!$C$47*37.719))*43758.5453)-INT((SIN(((Model_Data!A137)*12.9898+(0)*78.233+Inputs!$C$47*37.719))*43758.5453)))-1))))</x:f>
        <x:v>447.2817648114575</x:v>
      </x:c>
      <x:c r="K137" s="48" t="n">
        <x:f>-((((SQRT((Model_Data!A137)^2+Inputs!$C$6^2+((Model_Data!B137)-((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(0.45*SIN(2*PI()*(((Model_Data!A137)/Inputs!$C$49)+Inputs!$C$47*0.137))+0.35*COS(2*PI()*(((Inputs!$C$6)/Inputs!$C$50)+Inputs!$C$47*0.173))+0.20*SIN(2*PI()*(((Model_Data!A137)+(Inputs!$C$6))/(0.5*(Inputs!$C$49+Inputs!$C$50))+Inputs!$C$47*0.097)))+0.30*(2*((SIN(((Model_Data!A137)*12.9898+(Inputs!$C$6)*78.233+Inputs!$C$47*37.719))*43758.5453)-INT((SIN(((Model_Data!A137)*12.9898+(Inputs!$C$6)*78.233+Inputs!$C$47*37.719))*43758.5453)))-1))))/1000)^2))-(((Model_Data!B137)-((Inputs!$C$51*(115*EXP(-(((0)-25)^2)/(4.5^2))+70*EXP(-(((0)+38)^2)/(7^2))*(0.55+0.45*SIN(2*PI()*(Model_Data!A137)/45))+24*SIN(2*PI()*(0)/9+(Model_Data!A137)/18)*EXP(-(((0)+5)^2)/(22^2))+18*SIN(2*PI()*(Model_Data!A137)/70))+Inputs!$C$28*EXP(-(((Model_Data!A137)-Inputs!$C$29)^2)/(2*Inputs!$C$31^2))*EXP(-(((0)-Inputs!$C$30)^2)/(2*Inputs!$C$32^2))+-Inputs!$C$33*EXP(-(((((Model_Data!A137)-Inputs!$C$34)^2)+(((0)-Inputs!$C$35)^2))/(2*Inputs!$C$36^2)))+Inputs!$C$37*(0.55*SIN(2*PI()*(Model_Data!A137)/Inputs!$C$39)+0.35*COS(2*PI()*(0)/Inputs!$C$40)+0.2*SIN(2*PI()*((Model_Data!A137)+(0))/(0.5*(Inputs!$C$39+Inputs!$C$40))))+Inputs!$C$38*SIN(2*PI()*(Model_Data!A137)/Inputs!$C$39)*SIN(2*PI()*(0)/Inputs!$C$40)+-Inputs!$C$41*EXP(-(((0)-Inputs!$C$43)^2)/(2*Inputs!$C$44^2))*EXP(-(((Model_Data!A137)-Inputs!$C$42)^2)/(2*Inputs!$C$45^2))+Inputs!$C$48*(0.70*(0.45*SIN(2*PI()*(((Model_Data!A137)/Inputs!$C$49)+Inputs!$C$47*0.137))+0.35*COS(2*PI()*(((0)/Inputs!$C$50)+Inputs!$C$47*0.173))+0.20*SIN(2*PI()*(((Model_Data!A137)+(0))/(0.5*(Inputs!$C$49+Inputs!$C$50))+Inputs!$C$47*0.097)))+0.30*(2*((SIN(((Model_Data!A137)*12.9898+(0)*78.233+Inputs!$C$47*37.719))*43758.5453)-INT((SIN(((Model_Data!A137)*12.9898+(0)*78.233+Inputs!$C$47*37.719))*43758.5453)))-1))))/1000)))*1000/Inputs!$C$12)-Model_Data!F137)</x:f>
        <x:v>250.6810656517396</x:v>
      </x:c>
      <x:c r="L137" s="49"/>
      <x:c r="M137" s="48" t="n">
        <x:f>Model_Data!A137</x:f>
        <x:v>7.5</x:v>
      </x:c>
      <x:c r="N137" s="48" t="n">
        <x:f>Model_Data!P137</x:f>
        <x:v>-56.54177315084945</x:v>
      </x:c>
      <x:c r="O137" s="48" t="n">
        <x:f>AC137</x:f>
        <x:v>-115.94366835051915</x:v>
      </x:c>
      <x:c r="P137" s="48" t="n">
        <x:f>Model_Data!Q137</x:f>
        <x:v>-8.489755728355775</x:v>
      </x:c>
      <x:c r="Q137" s="48" t="n">
        <x:f>AD137</x:f>
        <x:v>-17.408959211789664</x:v>
      </x:c>
      <x:c r="R137" s="49"/>
      <x:c r="S137" s="48" t="n">
        <x:f>Model_Data!A137</x:f>
        <x:v>7.5</x:v>
      </x:c>
      <x:c r="T137" s="48" t="n">
        <x:f>Model_Data!B137-Inputs!$C$5</x:f>
        <x:v>0.0625</x:v>
      </x:c>
      <x:c r="U137" s="49"/>
      <x:c r="V137" s="48" t="n">
        <x:f>Model_Data!A137</x:f>
        <x:v>7.5</x:v>
      </x:c>
      <x:c r="W137" s="48" t="n">
        <x:f>(-((((SQRT((Model_Data!A137)^2+Inputs!$C$6^2+((Model_Data!B137)-((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(0.45*SIN(2*PI()*(((Model_Data!A137)/Inputs!$C$49)+Inputs!$C$47*0.137))+0.35*COS(2*PI()*(((Inputs!$C$6)/Inputs!$C$50)+Inputs!$C$47*0.173))+0.20*SIN(2*PI()*(((Model_Data!A137)+(Inputs!$C$6))/(0.5*(Inputs!$C$49+Inputs!$C$50))+Inputs!$C$47*0.097)))+0.30*(2*((SIN(((Model_Data!A137)*12.9898+(Inputs!$C$6)*78.233+Inputs!$C$47*37.719))*43758.5453)-INT((SIN(((Model_Data!A137)*12.9898+(Inputs!$C$6)*78.233+Inputs!$C$47*37.719))*43758.5453)))-1))))/1000)^2))-(((Model_Data!B137)-((Inputs!$C$51*(115*EXP(-(((0)-25)^2)/(4.5^2))+70*EXP(-(((0)+38)^2)/(7^2))*(0.55+0.45*SIN(2*PI()*(Model_Data!A137)/45))+24*SIN(2*PI()*(0)/9+(Model_Data!A137)/18)*EXP(-(((0)+5)^2)/(22^2))+18*SIN(2*PI()*(Model_Data!A137)/70))+Inputs!$C$28*EXP(-(((Model_Data!A137)-Inputs!$C$29)^2)/(2*Inputs!$C$31^2))*EXP(-(((0)-Inputs!$C$30)^2)/(2*Inputs!$C$32^2))+-Inputs!$C$33*EXP(-(((((Model_Data!A137)-Inputs!$C$34)^2)+(((0)-Inputs!$C$35)^2))/(2*Inputs!$C$36^2)))+Inputs!$C$37*(0.55*SIN(2*PI()*(Model_Data!A137)/Inputs!$C$39)+0.35*COS(2*PI()*(0)/Inputs!$C$40)+0.2*SIN(2*PI()*((Model_Data!A137)+(0))/(0.5*(Inputs!$C$39+Inputs!$C$40))))+Inputs!$C$38*SIN(2*PI()*(Model_Data!A137)/Inputs!$C$39)*SIN(2*PI()*(0)/Inputs!$C$40)+-Inputs!$C$41*EXP(-(((0)-Inputs!$C$43)^2)/(2*Inputs!$C$44^2))*EXP(-(((Model_Data!A137)-Inputs!$C$42)^2)/(2*Inputs!$C$45^2))+Inputs!$C$48*(0.70*(0.45*SIN(2*PI()*(((Model_Data!A137)/Inputs!$C$49)+Inputs!$C$47*0.137))+0.35*COS(2*PI()*(((0)/Inputs!$C$50)+Inputs!$C$47*0.173))+0.20*SIN(2*PI()*(((Model_Data!A137)+(0))/(0.5*(Inputs!$C$49+Inputs!$C$50))+Inputs!$C$47*0.097)))+0.30*(2*((SIN(((Model_Data!A137)*12.9898+(0)*78.233+Inputs!$C$47*37.719))*43758.5453)-INT((SIN(((Model_Data!A137)*12.9898+(0)*78.233+Inputs!$C$47*37.719))*43758.5453)))-1))))/1000)))*1000/Inputs!$C$12)-Model_Data!F137))-(-(((SQRT((Model_Data!A137)^2+Inputs!$C$6^2+(Inputs!$C$5-((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(0.45*SIN(2*PI()*(((Model_Data!A137)/Inputs!$C$49)+Inputs!$C$47*0.137))+0.35*COS(2*PI()*(((Inputs!$C$6)/Inputs!$C$50)+Inputs!$C$47*0.173))+0.20*SIN(2*PI()*(((Model_Data!A137)+(Inputs!$C$6))/(0.5*(Inputs!$C$49+Inputs!$C$50))+Inputs!$C$47*0.097)))+0.30*(2*((SIN(((Model_Data!A137)*12.9898+(Inputs!$C$6)*78.233+Inputs!$C$47*37.719))*43758.5453)-INT((SIN(((Model_Data!A137)*12.9898+(Inputs!$C$6)*78.233+Inputs!$C$47*37.719))*43758.5453)))-1))))/1000)^2)-(Inputs!$C$5-((Inputs!$C$51*(115*EXP(-(((0)-25)^2)/(4.5^2))+70*EXP(-(((0)+38)^2)/(7^2))*(0.55+0.45*SIN(2*PI()*(Model_Data!A137)/45))+24*SIN(2*PI()*(0)/9+(Model_Data!A137)/18)*EXP(-(((0)+5)^2)/(22^2))+18*SIN(2*PI()*(Model_Data!A137)/70))+Inputs!$C$28*EXP(-(((Model_Data!A137)-Inputs!$C$29)^2)/(2*Inputs!$C$31^2))*EXP(-(((0)-Inputs!$C$30)^2)/(2*Inputs!$C$32^2))+-Inputs!$C$33*EXP(-(((((Model_Data!A137)-Inputs!$C$34)^2)+(((0)-Inputs!$C$35)^2))/(2*Inputs!$C$36^2)))+Inputs!$C$37*(0.55*SIN(2*PI()*(Model_Data!A137)/Inputs!$C$39)+0.35*COS(2*PI()*(0)/Inputs!$C$40)+0.2*SIN(2*PI()*((Model_Data!A137)+(0))/(0.5*(Inputs!$C$39+Inputs!$C$40))))+Inputs!$C$38*SIN(2*PI()*(Model_Data!A137)/Inputs!$C$39)*SIN(2*PI()*(0)/Inputs!$C$40)+-Inputs!$C$41*EXP(-(((0)-Inputs!$C$43)^2)/(2*Inputs!$C$44^2))*EXP(-(((Model_Data!A137)-Inputs!$C$42)^2)/(2*Inputs!$C$45^2))+Inputs!$C$48*(0.70*(0.45*SIN(2*PI()*(((Model_Data!A137)/Inputs!$C$49)+Inputs!$C$47*0.137))+0.35*COS(2*PI()*(((0)/Inputs!$C$50)+Inputs!$C$47*0.173))+0.20*SIN(2*PI()*(((Model_Data!A137)+(0))/(0.5*(Inputs!$C$49+Inputs!$C$50))+Inputs!$C$47*0.097)))+0.30*(2*((SIN(((Model_Data!A137)*12.9898+(0)*78.233+Inputs!$C$47*37.719))*43758.5453)-INT((SIN(((Model_Data!A137)*12.9898+(0)*78.233+Inputs!$C$47*37.719))*43758.5453)))-1))))/1000))*1000/Inputs!$C$12)-((SQRT((Model_Data!A137)^2+Inputs!$C$6^2+Inputs!$C$5^2)-Inputs!$C$5)*1000/Inputs!$C$12)))</x:f>
        <x:v>0.00018729229498148925</x:v>
      </x:c>
      <x:c r="X137" s="48" t="n">
        <x:f>0</x:f>
        <x:v>0</x:v>
      </x:c>
      <x:c r="Y137" s="49"/>
      <x:c r="Z137" s="48" t="n">
        <x:f>Model_Data!A137</x:f>
        <x:v>7.5</x:v>
      </x:c>
      <x:c r="AA137" s="48" t="n">
        <x:f>SQRT((Model_Data!A137)^2+Inputs!$C$6^2+((Model_Data!B137)-((Inputs!$C$51*(115*EXP(-(((Inputs!$C$6)-25)^2)/(4.5^2))+70*EXP(-(((Inputs!$C$6)+38)^2)/(7^2))*(0.55+0.45*SIN(2*PI()*(Model_Data!A137)/45))+24*SIN(2*PI()*(Inputs!$C$6)/9+(Model_Data!A137)/18)*EXP(-(((Inputs!$C$6)+5)^2)/(22^2))+18*SIN(2*PI()*(Model_Data!A137)/70))+Inputs!$C$28*EXP(-(((Model_Data!A137)-Inputs!$C$29)^2)/(2*Inputs!$C$31^2))*EXP(-(((Inputs!$C$6)-Inputs!$C$30)^2)/(2*Inputs!$C$32^2))+-Inputs!$C$33*EXP(-(((((Model_Data!A137)-Inputs!$C$34)^2)+(((Inputs!$C$6)-Inputs!$C$35)^2))/(2*Inputs!$C$36^2)))+Inputs!$C$37*(0.55*SIN(2*PI()*(Model_Data!A137)/Inputs!$C$39)+0.35*COS(2*PI()*(Inputs!$C$6)/Inputs!$C$40)+0.2*SIN(2*PI()*((Model_Data!A137)+(Inputs!$C$6))/(0.5*(Inputs!$C$39+Inputs!$C$40))))+Inputs!$C$38*SIN(2*PI()*(Model_Data!A137)/Inputs!$C$39)*SIN(2*PI()*(Inputs!$C$6)/Inputs!$C$40)+-Inputs!$C$41*EXP(-(((Inputs!$C$6)-Inputs!$C$43)^2)/(2*Inputs!$C$44^2))*EXP(-(((Model_Data!A137)-Inputs!$C$42)^2)/(2*Inputs!$C$45^2))+Inputs!$C$48*(0.70*(0.45*SIN(2*PI()*(((Model_Data!A137)/Inputs!$C$49)+Inputs!$C$47*0.137))+0.35*COS(2*PI()*(((Inputs!$C$6)/Inputs!$C$50)+Inputs!$C$47*0.173))+0.20*SIN(2*PI()*(((Model_Data!A137)+(Inputs!$C$6))/(0.5*(Inputs!$C$49+Inputs!$C$50))+Inputs!$C$47*0.097)))+0.30*(2*((SIN(((Model_Data!A137)*12.9898+(Inputs!$C$6)*78.233+Inputs!$C$47*37.719))*43758.5453)-INT((SIN(((Model_Data!A137)*12.9898+(Inputs!$C$6)*78.233+Inputs!$C$47*37.719))*43758.5453)))-1))))/1000)^2)</x:f>
        <x:v>400.4106110293721</x:v>
      </x:c>
      <x:c r="AB137" s="48" t="n">
        <x:f>1000*(AA138-AA136)/(Z138-Z136)*Inputs!$C$11</x:f>
        <x:v>289.85917087629787</x:v>
      </x:c>
      <x:c r="AC137" s="48" t="n">
        <x:f>-2*AB137/Inputs!$C$13</x:f>
        <x:v>-115.94366835051915</x:v>
      </x:c>
      <x:c r="AD137" s="48" t="n">
        <x:f>-2*AB137/Inputs!$C$14</x:f>
        <x:v>-17.408959211789664</x:v>
      </x:c>
    </x:row>
    <x:row r="138">
      <x:c r="A138" s="48" t="n">
        <x:f>Model_Data!A138</x:f>
        <x:v>8</x:v>
      </x:c>
      <x:c r="B138" s="48" t="n">
        <x:f>Model_Data!F138</x:f>
        <x:v>483.24281472300015</x:v>
      </x:c>
      <x:c r="C138" s="48" t="n">
        <x:f>(((SQRT((Model_Data!A138)^2+Inputs!$C$6^2+((Model_Data!B138)-((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(0.45*SIN(2*PI()*(((Model_Data!A138)/Inputs!$C$49)+Inputs!$C$47*0.137))+0.35*COS(2*PI()*(((Inputs!$C$6)/Inputs!$C$50)+Inputs!$C$47*0.173))+0.20*SIN(2*PI()*(((Model_Data!A138)+(Inputs!$C$6))/(0.5*(Inputs!$C$49+Inputs!$C$50))+Inputs!$C$47*0.097)))+0.30*(2*((SIN(((Model_Data!A138)*12.9898+(Inputs!$C$6)*78.233+Inputs!$C$47*37.719))*43758.5453)-INT((SIN(((Model_Data!A138)*12.9898+(Inputs!$C$6)*78.233+Inputs!$C$47*37.719))*43758.5453)))-1))))/1000)^2))-(((Model_Data!B138)-((Inputs!$C$51*(115*EXP(-(((0)-25)^2)/(4.5^2))+70*EXP(-(((0)+38)^2)/(7^2))*(0.55+0.45*SIN(2*PI()*(Model_Data!A138)/45))+24*SIN(2*PI()*(0)/9+(Model_Data!A138)/18)*EXP(-(((0)+5)^2)/(22^2))+18*SIN(2*PI()*(Model_Data!A138)/70))+Inputs!$C$28*EXP(-(((Model_Data!A138)-Inputs!$C$29)^2)/(2*Inputs!$C$31^2))*EXP(-(((0)-Inputs!$C$30)^2)/(2*Inputs!$C$32^2))+-Inputs!$C$33*EXP(-(((((Model_Data!A138)-Inputs!$C$34)^2)+(((0)-Inputs!$C$35)^2))/(2*Inputs!$C$36^2)))+Inputs!$C$37*(0.55*SIN(2*PI()*(Model_Data!A138)/Inputs!$C$39)+0.35*COS(2*PI()*(0)/Inputs!$C$40)+0.2*SIN(2*PI()*((Model_Data!A138)+(0))/(0.5*(Inputs!$C$39+Inputs!$C$40))))+Inputs!$C$38*SIN(2*PI()*(Model_Data!A138)/Inputs!$C$39)*SIN(2*PI()*(0)/Inputs!$C$40)+-Inputs!$C$41*EXP(-(((0)-Inputs!$C$43)^2)/(2*Inputs!$C$44^2))*EXP(-(((Model_Data!A138)-Inputs!$C$42)^2)/(2*Inputs!$C$45^2))+Inputs!$C$48*(0.70*(0.45*SIN(2*PI()*(((Model_Data!A138)/Inputs!$C$49)+Inputs!$C$47*0.137))+0.35*COS(2*PI()*(((0)/Inputs!$C$50)+Inputs!$C$47*0.173))+0.20*SIN(2*PI()*(((Model_Data!A138)+(0))/(0.5*(Inputs!$C$49+Inputs!$C$50))+Inputs!$C$47*0.097)))+0.30*(2*((SIN(((Model_Data!A138)*12.9898+(0)*78.233+Inputs!$C$47*37.719))*43758.5453)-INT((SIN(((Model_Data!A138)*12.9898+(0)*78.233+Inputs!$C$47*37.719))*43758.5453)))-1))))/1000)))*1000/Inputs!$C$12)</x:f>
        <x:v>230.34104062202678</x:v>
      </x:c>
      <x:c r="D138" s="49"/>
      <x:c r="E138" s="48" t="n">
        <x:f>Model_Data!A138</x:f>
        <x:v>8</x:v>
      </x:c>
      <x:c r="F138" s="48" t="n">
        <x:f>(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(0.45*SIN(2*PI()*(((Model_Data!A138)/Inputs!$C$49)+Inputs!$C$47*0.137))+0.35*COS(2*PI()*(((Inputs!$C$6)/Inputs!$C$50)+Inputs!$C$47*0.173))+0.20*SIN(2*PI()*(((Model_Data!A138)+(Inputs!$C$6))/(0.5*(Inputs!$C$49+Inputs!$C$50))+Inputs!$C$47*0.097)))+0.30*(2*((SIN(((Model_Data!A138)*12.9898+(Inputs!$C$6)*78.233+Inputs!$C$47*37.719))*43758.5453)-INT((SIN(((Model_Data!A138)*12.9898+(Inputs!$C$6)*78.233+Inputs!$C$47*37.719))*43758.5453)))-1)))</x:f>
        <x:v>497.2264534493298</x:v>
      </x:c>
      <x:c r="G138" s="48" t="n">
        <x:f>(Inputs!$C$51*(115*EXP(-(((0)-25)^2)/(4.5^2))+70*EXP(-(((0)+38)^2)/(7^2))*(0.55+0.45*SIN(2*PI()*(Model_Data!A138)/45))+24*SIN(2*PI()*(0)/9+(Model_Data!A138)/18)*EXP(-(((0)+5)^2)/(22^2))+18*SIN(2*PI()*(Model_Data!A138)/70))+Inputs!$C$28*EXP(-(((Model_Data!A138)-Inputs!$C$29)^2)/(2*Inputs!$C$31^2))*EXP(-(((0)-Inputs!$C$30)^2)/(2*Inputs!$C$32^2))+-Inputs!$C$33*EXP(-(((((Model_Data!A138)-Inputs!$C$34)^2)+(((0)-Inputs!$C$35)^2))/(2*Inputs!$C$36^2)))+Inputs!$C$37*(0.55*SIN(2*PI()*(Model_Data!A138)/Inputs!$C$39)+0.35*COS(2*PI()*(0)/Inputs!$C$40)+0.2*SIN(2*PI()*((Model_Data!A138)+(0))/(0.5*(Inputs!$C$39+Inputs!$C$40))))+Inputs!$C$38*SIN(2*PI()*(Model_Data!A138)/Inputs!$C$39)*SIN(2*PI()*(0)/Inputs!$C$40)+-Inputs!$C$41*EXP(-(((0)-Inputs!$C$43)^2)/(2*Inputs!$C$44^2))*EXP(-(((Model_Data!A138)-Inputs!$C$42)^2)/(2*Inputs!$C$45^2))+Inputs!$C$48*(0.70*(0.45*SIN(2*PI()*(((Model_Data!A138)/Inputs!$C$49)+Inputs!$C$47*0.137))+0.35*COS(2*PI()*(((0)/Inputs!$C$50)+Inputs!$C$47*0.173))+0.20*SIN(2*PI()*(((Model_Data!A138)+(0))/(0.5*(Inputs!$C$49+Inputs!$C$50))+Inputs!$C$47*0.097)))+0.30*(2*((SIN(((Model_Data!A138)*12.9898+(0)*78.233+Inputs!$C$47*37.719))*43758.5453)-INT((SIN(((Model_Data!A138)*12.9898+(0)*78.233+Inputs!$C$47*37.719))*43758.5453)))-1)))</x:f>
        <x:v>45.99320506201067</x:v>
      </x:c>
      <x:c r="H138" s="49"/>
      <x:c r="I138" s="48" t="n">
        <x:f>Model_Data!A138</x:f>
        <x:v>8</x:v>
      </x:c>
      <x:c r="J138" s="48" t="n">
        <x:f>((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(0.45*SIN(2*PI()*(((Model_Data!A138)/Inputs!$C$49)+Inputs!$C$47*0.137))+0.35*COS(2*PI()*(((Inputs!$C$6)/Inputs!$C$50)+Inputs!$C$47*0.173))+0.20*SIN(2*PI()*(((Model_Data!A138)+(Inputs!$C$6))/(0.5*(Inputs!$C$49+Inputs!$C$50))+Inputs!$C$47*0.097)))+0.30*(2*((SIN(((Model_Data!A138)*12.9898+(Inputs!$C$6)*78.233+Inputs!$C$47*37.719))*43758.5453)-INT((SIN(((Model_Data!A138)*12.9898+(Inputs!$C$6)*78.233+Inputs!$C$47*37.719))*43758.5453)))-1))))-((Inputs!$C$51*(115*EXP(-(((0)-25)^2)/(4.5^2))+70*EXP(-(((0)+38)^2)/(7^2))*(0.55+0.45*SIN(2*PI()*(Model_Data!A138)/45))+24*SIN(2*PI()*(0)/9+(Model_Data!A138)/18)*EXP(-(((0)+5)^2)/(22^2))+18*SIN(2*PI()*(Model_Data!A138)/70))+Inputs!$C$28*EXP(-(((Model_Data!A138)-Inputs!$C$29)^2)/(2*Inputs!$C$31^2))*EXP(-(((0)-Inputs!$C$30)^2)/(2*Inputs!$C$32^2))+-Inputs!$C$33*EXP(-(((((Model_Data!A138)-Inputs!$C$34)^2)+(((0)-Inputs!$C$35)^2))/(2*Inputs!$C$36^2)))+Inputs!$C$37*(0.55*SIN(2*PI()*(Model_Data!A138)/Inputs!$C$39)+0.35*COS(2*PI()*(0)/Inputs!$C$40)+0.2*SIN(2*PI()*((Model_Data!A138)+(0))/(0.5*(Inputs!$C$39+Inputs!$C$40))))+Inputs!$C$38*SIN(2*PI()*(Model_Data!A138)/Inputs!$C$39)*SIN(2*PI()*(0)/Inputs!$C$40)+-Inputs!$C$41*EXP(-(((0)-Inputs!$C$43)^2)/(2*Inputs!$C$44^2))*EXP(-(((Model_Data!A138)-Inputs!$C$42)^2)/(2*Inputs!$C$45^2))+Inputs!$C$48*(0.70*(0.45*SIN(2*PI()*(((Model_Data!A138)/Inputs!$C$49)+Inputs!$C$47*0.137))+0.35*COS(2*PI()*(((0)/Inputs!$C$50)+Inputs!$C$47*0.173))+0.20*SIN(2*PI()*(((Model_Data!A138)+(0))/(0.5*(Inputs!$C$49+Inputs!$C$50))+Inputs!$C$47*0.097)))+0.30*(2*((SIN(((Model_Data!A138)*12.9898+(0)*78.233+Inputs!$C$47*37.719))*43758.5453)-INT((SIN(((Model_Data!A138)*12.9898+(0)*78.233+Inputs!$C$47*37.719))*43758.5453)))-1))))</x:f>
        <x:v>451.2332483873192</x:v>
      </x:c>
      <x:c r="K138" s="48" t="n">
        <x:f>-((((SQRT((Model_Data!A138)^2+Inputs!$C$6^2+((Model_Data!B138)-((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(0.45*SIN(2*PI()*(((Model_Data!A138)/Inputs!$C$49)+Inputs!$C$47*0.137))+0.35*COS(2*PI()*(((Inputs!$C$6)/Inputs!$C$50)+Inputs!$C$47*0.173))+0.20*SIN(2*PI()*(((Model_Data!A138)+(Inputs!$C$6))/(0.5*(Inputs!$C$49+Inputs!$C$50))+Inputs!$C$47*0.097)))+0.30*(2*((SIN(((Model_Data!A138)*12.9898+(Inputs!$C$6)*78.233+Inputs!$C$47*37.719))*43758.5453)-INT((SIN(((Model_Data!A138)*12.9898+(Inputs!$C$6)*78.233+Inputs!$C$47*37.719))*43758.5453)))-1))))/1000)^2))-(((Model_Data!B138)-((Inputs!$C$51*(115*EXP(-(((0)-25)^2)/(4.5^2))+70*EXP(-(((0)+38)^2)/(7^2))*(0.55+0.45*SIN(2*PI()*(Model_Data!A138)/45))+24*SIN(2*PI()*(0)/9+(Model_Data!A138)/18)*EXP(-(((0)+5)^2)/(22^2))+18*SIN(2*PI()*(Model_Data!A138)/70))+Inputs!$C$28*EXP(-(((Model_Data!A138)-Inputs!$C$29)^2)/(2*Inputs!$C$31^2))*EXP(-(((0)-Inputs!$C$30)^2)/(2*Inputs!$C$32^2))+-Inputs!$C$33*EXP(-(((((Model_Data!A138)-Inputs!$C$34)^2)+(((0)-Inputs!$C$35)^2))/(2*Inputs!$C$36^2)))+Inputs!$C$37*(0.55*SIN(2*PI()*(Model_Data!A138)/Inputs!$C$39)+0.35*COS(2*PI()*(0)/Inputs!$C$40)+0.2*SIN(2*PI()*((Model_Data!A138)+(0))/(0.5*(Inputs!$C$39+Inputs!$C$40))))+Inputs!$C$38*SIN(2*PI()*(Model_Data!A138)/Inputs!$C$39)*SIN(2*PI()*(0)/Inputs!$C$40)+-Inputs!$C$41*EXP(-(((0)-Inputs!$C$43)^2)/(2*Inputs!$C$44^2))*EXP(-(((Model_Data!A138)-Inputs!$C$42)^2)/(2*Inputs!$C$45^2))+Inputs!$C$48*(0.70*(0.45*SIN(2*PI()*(((Model_Data!A138)/Inputs!$C$49)+Inputs!$C$47*0.137))+0.35*COS(2*PI()*(((0)/Inputs!$C$50)+Inputs!$C$47*0.173))+0.20*SIN(2*PI()*(((Model_Data!A138)+(0))/(0.5*(Inputs!$C$49+Inputs!$C$50))+Inputs!$C$47*0.097)))+0.30*(2*((SIN(((Model_Data!A138)*12.9898+(0)*78.233+Inputs!$C$47*37.719))*43758.5453)-INT((SIN(((Model_Data!A138)*12.9898+(0)*78.233+Inputs!$C$47*37.719))*43758.5453)))-1))))/1000)))*1000/Inputs!$C$12)-Model_Data!F138)</x:f>
        <x:v>252.90177410097337</x:v>
      </x:c>
      <x:c r="L138" s="49"/>
      <x:c r="M138" s="48" t="n">
        <x:f>Model_Data!A138</x:f>
        <x:v>8</x:v>
      </x:c>
      <x:c r="N138" s="48" t="n">
        <x:f>Model_Data!P138</x:f>
        <x:v>-60.30908911253194</x:v>
      </x:c>
      <x:c r="O138" s="48" t="n">
        <x:f>AC138</x:f>
        <x:v>-98.47669348164345</x:v>
      </x:c>
      <x:c r="P138" s="48" t="n">
        <x:f>Model_Data!Q138</x:f>
        <x:v>-9.055418785665458</x:v>
      </x:c>
      <x:c r="Q138" s="48" t="n">
        <x:f>AD138</x:f>
        <x:v>-14.786290312559078</x:v>
      </x:c>
      <x:c r="R138" s="49"/>
      <x:c r="S138" s="48" t="n">
        <x:f>Model_Data!A138</x:f>
        <x:v>8</x:v>
      </x:c>
      <x:c r="T138" s="48" t="n">
        <x:f>Model_Data!B138-Inputs!$C$5</x:f>
        <x:v>0.07111111111112223</x:v>
      </x:c>
      <x:c r="U138" s="49"/>
      <x:c r="V138" s="48" t="n">
        <x:f>Model_Data!A138</x:f>
        <x:v>8</x:v>
      </x:c>
      <x:c r="W138" s="48" t="n">
        <x:f>(-((((SQRT((Model_Data!A138)^2+Inputs!$C$6^2+((Model_Data!B138)-((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(0.45*SIN(2*PI()*(((Model_Data!A138)/Inputs!$C$49)+Inputs!$C$47*0.137))+0.35*COS(2*PI()*(((Inputs!$C$6)/Inputs!$C$50)+Inputs!$C$47*0.173))+0.20*SIN(2*PI()*(((Model_Data!A138)+(Inputs!$C$6))/(0.5*(Inputs!$C$49+Inputs!$C$50))+Inputs!$C$47*0.097)))+0.30*(2*((SIN(((Model_Data!A138)*12.9898+(Inputs!$C$6)*78.233+Inputs!$C$47*37.719))*43758.5453)-INT((SIN(((Model_Data!A138)*12.9898+(Inputs!$C$6)*78.233+Inputs!$C$47*37.719))*43758.5453)))-1))))/1000)^2))-(((Model_Data!B138)-((Inputs!$C$51*(115*EXP(-(((0)-25)^2)/(4.5^2))+70*EXP(-(((0)+38)^2)/(7^2))*(0.55+0.45*SIN(2*PI()*(Model_Data!A138)/45))+24*SIN(2*PI()*(0)/9+(Model_Data!A138)/18)*EXP(-(((0)+5)^2)/(22^2))+18*SIN(2*PI()*(Model_Data!A138)/70))+Inputs!$C$28*EXP(-(((Model_Data!A138)-Inputs!$C$29)^2)/(2*Inputs!$C$31^2))*EXP(-(((0)-Inputs!$C$30)^2)/(2*Inputs!$C$32^2))+-Inputs!$C$33*EXP(-(((((Model_Data!A138)-Inputs!$C$34)^2)+(((0)-Inputs!$C$35)^2))/(2*Inputs!$C$36^2)))+Inputs!$C$37*(0.55*SIN(2*PI()*(Model_Data!A138)/Inputs!$C$39)+0.35*COS(2*PI()*(0)/Inputs!$C$40)+0.2*SIN(2*PI()*((Model_Data!A138)+(0))/(0.5*(Inputs!$C$39+Inputs!$C$40))))+Inputs!$C$38*SIN(2*PI()*(Model_Data!A138)/Inputs!$C$39)*SIN(2*PI()*(0)/Inputs!$C$40)+-Inputs!$C$41*EXP(-(((0)-Inputs!$C$43)^2)/(2*Inputs!$C$44^2))*EXP(-(((Model_Data!A138)-Inputs!$C$42)^2)/(2*Inputs!$C$45^2))+Inputs!$C$48*(0.70*(0.45*SIN(2*PI()*(((Model_Data!A138)/Inputs!$C$49)+Inputs!$C$47*0.137))+0.35*COS(2*PI()*(((0)/Inputs!$C$50)+Inputs!$C$47*0.173))+0.20*SIN(2*PI()*(((Model_Data!A138)+(0))/(0.5*(Inputs!$C$49+Inputs!$C$50))+Inputs!$C$47*0.097)))+0.30*(2*((SIN(((Model_Data!A138)*12.9898+(0)*78.233+Inputs!$C$47*37.719))*43758.5453)-INT((SIN(((Model_Data!A138)*12.9898+(0)*78.233+Inputs!$C$47*37.719))*43758.5453)))-1))))/1000)))*1000/Inputs!$C$12)-Model_Data!F138))-(-(((SQRT((Model_Data!A138)^2+Inputs!$C$6^2+(Inputs!$C$5-((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(0.45*SIN(2*PI()*(((Model_Data!A138)/Inputs!$C$49)+Inputs!$C$47*0.137))+0.35*COS(2*PI()*(((Inputs!$C$6)/Inputs!$C$50)+Inputs!$C$47*0.173))+0.20*SIN(2*PI()*(((Model_Data!A138)+(Inputs!$C$6))/(0.5*(Inputs!$C$49+Inputs!$C$50))+Inputs!$C$47*0.097)))+0.30*(2*((SIN(((Model_Data!A138)*12.9898+(Inputs!$C$6)*78.233+Inputs!$C$47*37.719))*43758.5453)-INT((SIN(((Model_Data!A138)*12.9898+(Inputs!$C$6)*78.233+Inputs!$C$47*37.719))*43758.5453)))-1))))/1000)^2)-(Inputs!$C$5-((Inputs!$C$51*(115*EXP(-(((0)-25)^2)/(4.5^2))+70*EXP(-(((0)+38)^2)/(7^2))*(0.55+0.45*SIN(2*PI()*(Model_Data!A138)/45))+24*SIN(2*PI()*(0)/9+(Model_Data!A138)/18)*EXP(-(((0)+5)^2)/(22^2))+18*SIN(2*PI()*(Model_Data!A138)/70))+Inputs!$C$28*EXP(-(((Model_Data!A138)-Inputs!$C$29)^2)/(2*Inputs!$C$31^2))*EXP(-(((0)-Inputs!$C$30)^2)/(2*Inputs!$C$32^2))+-Inputs!$C$33*EXP(-(((((Model_Data!A138)-Inputs!$C$34)^2)+(((0)-Inputs!$C$35)^2))/(2*Inputs!$C$36^2)))+Inputs!$C$37*(0.55*SIN(2*PI()*(Model_Data!A138)/Inputs!$C$39)+0.35*COS(2*PI()*(0)/Inputs!$C$40)+0.2*SIN(2*PI()*((Model_Data!A138)+(0))/(0.5*(Inputs!$C$39+Inputs!$C$40))))+Inputs!$C$38*SIN(2*PI()*(Model_Data!A138)/Inputs!$C$39)*SIN(2*PI()*(0)/Inputs!$C$40)+-Inputs!$C$41*EXP(-(((0)-Inputs!$C$43)^2)/(2*Inputs!$C$44^2))*EXP(-(((Model_Data!A138)-Inputs!$C$42)^2)/(2*Inputs!$C$45^2))+Inputs!$C$48*(0.70*(0.45*SIN(2*PI()*(((Model_Data!A138)/Inputs!$C$49)+Inputs!$C$47*0.137))+0.35*COS(2*PI()*(((0)/Inputs!$C$50)+Inputs!$C$47*0.173))+0.20*SIN(2*PI()*(((Model_Data!A138)+(0))/(0.5*(Inputs!$C$49+Inputs!$C$50))+Inputs!$C$47*0.097)))+0.30*(2*((SIN(((Model_Data!A138)*12.9898+(0)*78.233+Inputs!$C$47*37.719))*43758.5453)-INT((SIN(((Model_Data!A138)*12.9898+(0)*78.233+Inputs!$C$47*37.719))*43758.5453)))-1))))/1000))*1000/Inputs!$C$12)-((SQRT((Model_Data!A138)^2+Inputs!$C$6^2+Inputs!$C$5^2)-Inputs!$C$5)*1000/Inputs!$C$12)))</x:f>
        <x:v>0.00021281543720874652</x:v>
      </x:c>
      <x:c r="X138" s="48" t="n">
        <x:f>0</x:f>
        <x:v>0</x:v>
      </x:c>
      <x:c r="Y138" s="49"/>
      <x:c r="Z138" s="48" t="n">
        <x:f>Model_Data!A138</x:f>
        <x:v>8</x:v>
      </x:c>
      <x:c r="AA138" s="48" t="n">
        <x:f>SQRT((Model_Data!A138)^2+Inputs!$C$6^2+((Model_Data!B138)-((Inputs!$C$51*(115*EXP(-(((Inputs!$C$6)-25)^2)/(4.5^2))+70*EXP(-(((Inputs!$C$6)+38)^2)/(7^2))*(0.55+0.45*SIN(2*PI()*(Model_Data!A138)/45))+24*SIN(2*PI()*(Inputs!$C$6)/9+(Model_Data!A138)/18)*EXP(-(((Inputs!$C$6)+5)^2)/(22^2))+18*SIN(2*PI()*(Model_Data!A138)/70))+Inputs!$C$28*EXP(-(((Model_Data!A138)-Inputs!$C$29)^2)/(2*Inputs!$C$31^2))*EXP(-(((Inputs!$C$6)-Inputs!$C$30)^2)/(2*Inputs!$C$32^2))+-Inputs!$C$33*EXP(-(((((Model_Data!A138)-Inputs!$C$34)^2)+(((Inputs!$C$6)-Inputs!$C$35)^2))/(2*Inputs!$C$36^2)))+Inputs!$C$37*(0.55*SIN(2*PI()*(Model_Data!A138)/Inputs!$C$39)+0.35*COS(2*PI()*(Inputs!$C$6)/Inputs!$C$40)+0.2*SIN(2*PI()*((Model_Data!A138)+(Inputs!$C$6))/(0.5*(Inputs!$C$39+Inputs!$C$40))))+Inputs!$C$38*SIN(2*PI()*(Model_Data!A138)/Inputs!$C$39)*SIN(2*PI()*(Inputs!$C$6)/Inputs!$C$40)+-Inputs!$C$41*EXP(-(((Inputs!$C$6)-Inputs!$C$43)^2)/(2*Inputs!$C$44^2))*EXP(-(((Model_Data!A138)-Inputs!$C$42)^2)/(2*Inputs!$C$45^2))+Inputs!$C$48*(0.70*(0.45*SIN(2*PI()*(((Model_Data!A138)/Inputs!$C$49)+Inputs!$C$47*0.137))+0.35*COS(2*PI()*(((Inputs!$C$6)/Inputs!$C$50)+Inputs!$C$47*0.173))+0.20*SIN(2*PI()*(((Model_Data!A138)+(Inputs!$C$6))/(0.5*(Inputs!$C$49+Inputs!$C$50))+Inputs!$C$47*0.097)))+0.30*(2*((SIN(((Model_Data!A138)*12.9898+(Inputs!$C$6)*78.233+Inputs!$C$47*37.719))*43758.5453)-INT((SIN(((Model_Data!A138)*12.9898+(Inputs!$C$6)*78.233+Inputs!$C$47*37.719))*43758.5453)))-1))))/1000)^2)</x:f>
        <x:v>400.4351249583563</x:v>
      </x:c>
      <x:c r="AB138" s="48" t="n">
        <x:f>1000*(AA139-AA137)/(Z139-Z137)*Inputs!$C$11</x:f>
        <x:v>246.19173370410863</x:v>
      </x:c>
      <x:c r="AC138" s="48" t="n">
        <x:f>-2*AB138/Inputs!$C$13</x:f>
        <x:v>-98.47669348164345</x:v>
      </x:c>
      <x:c r="AD138" s="48" t="n">
        <x:f>-2*AB138/Inputs!$C$14</x:f>
        <x:v>-14.786290312559078</x:v>
      </x:c>
    </x:row>
    <x:row r="139">
      <x:c r="A139" s="48" t="n">
        <x:f>Model_Data!A139</x:f>
        <x:v>8.5</x:v>
      </x:c>
      <x:c r="B139" s="48" t="n">
        <x:f>Model_Data!F139</x:f>
        <x:v>489.01164245280415</x:v>
      </x:c>
      <x:c r="C139" s="48" t="n">
        <x:f>(((SQRT((Model_Data!A139)^2+Inputs!$C$6^2+((Model_Data!B139)-((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(0.45*SIN(2*PI()*(((Model_Data!A139)/Inputs!$C$49)+Inputs!$C$47*0.137))+0.35*COS(2*PI()*(((Inputs!$C$6)/Inputs!$C$50)+Inputs!$C$47*0.173))+0.20*SIN(2*PI()*(((Model_Data!A139)+(Inputs!$C$6))/(0.5*(Inputs!$C$49+Inputs!$C$50))+Inputs!$C$47*0.097)))+0.30*(2*((SIN(((Model_Data!A139)*12.9898+(Inputs!$C$6)*78.233+Inputs!$C$47*37.719))*43758.5453)-INT((SIN(((Model_Data!A139)*12.9898+(Inputs!$C$6)*78.233+Inputs!$C$47*37.719))*43758.5453)))-1))))/1000)^2))-(((Model_Data!B139)-((Inputs!$C$51*(115*EXP(-(((0)-25)^2)/(4.5^2))+70*EXP(-(((0)+38)^2)/(7^2))*(0.55+0.45*SIN(2*PI()*(Model_Data!A139)/45))+24*SIN(2*PI()*(0)/9+(Model_Data!A139)/18)*EXP(-(((0)+5)^2)/(22^2))+18*SIN(2*PI()*(Model_Data!A139)/70))+Inputs!$C$28*EXP(-(((Model_Data!A139)-Inputs!$C$29)^2)/(2*Inputs!$C$31^2))*EXP(-(((0)-Inputs!$C$30)^2)/(2*Inputs!$C$32^2))+-Inputs!$C$33*EXP(-(((((Model_Data!A139)-Inputs!$C$34)^2)+(((0)-Inputs!$C$35)^2))/(2*Inputs!$C$36^2)))+Inputs!$C$37*(0.55*SIN(2*PI()*(Model_Data!A139)/Inputs!$C$39)+0.35*COS(2*PI()*(0)/Inputs!$C$40)+0.2*SIN(2*PI()*((Model_Data!A139)+(0))/(0.5*(Inputs!$C$39+Inputs!$C$40))))+Inputs!$C$38*SIN(2*PI()*(Model_Data!A139)/Inputs!$C$39)*SIN(2*PI()*(0)/Inputs!$C$40)+-Inputs!$C$41*EXP(-(((0)-Inputs!$C$43)^2)/(2*Inputs!$C$44^2))*EXP(-(((Model_Data!A139)-Inputs!$C$42)^2)/(2*Inputs!$C$45^2))+Inputs!$C$48*(0.70*(0.45*SIN(2*PI()*(((Model_Data!A139)/Inputs!$C$49)+Inputs!$C$47*0.137))+0.35*COS(2*PI()*(((0)/Inputs!$C$50)+Inputs!$C$47*0.173))+0.20*SIN(2*PI()*(((Model_Data!A139)+(0))/(0.5*(Inputs!$C$49+Inputs!$C$50))+Inputs!$C$47*0.097)))+0.30*(2*((SIN(((Model_Data!A139)*12.9898+(0)*78.233+Inputs!$C$47*37.719))*43758.5453)-INT((SIN(((Model_Data!A139)*12.9898+(0)*78.233+Inputs!$C$47*37.719))*43758.5453)))-1))))/1000)))*1000/Inputs!$C$12)</x:f>
        <x:v>240.05752422528678</x:v>
      </x:c>
      <x:c r="D139" s="49"/>
      <x:c r="E139" s="48" t="n">
        <x:f>Model_Data!A139</x:f>
        <x:v>8.5</x:v>
      </x:c>
      <x:c r="F139" s="48" t="n">
        <x:f>(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(0.45*SIN(2*PI()*(((Model_Data!A139)/Inputs!$C$49)+Inputs!$C$47*0.137))+0.35*COS(2*PI()*(((Inputs!$C$6)/Inputs!$C$50)+Inputs!$C$47*0.173))+0.20*SIN(2*PI()*(((Model_Data!A139)+(Inputs!$C$6))/(0.5*(Inputs!$C$49+Inputs!$C$50))+Inputs!$C$47*0.097)))+0.30*(2*((SIN(((Model_Data!A139)*12.9898+(Inputs!$C$6)*78.233+Inputs!$C$47*37.719))*43758.5453)-INT((SIN(((Model_Data!A139)*12.9898+(Inputs!$C$6)*78.233+Inputs!$C$47*37.719))*43758.5453)))-1)))</x:f>
        <x:v>479.6019721372586</x:v>
      </x:c>
      <x:c r="G139" s="48" t="n">
        <x:f>(Inputs!$C$51*(115*EXP(-(((0)-25)^2)/(4.5^2))+70*EXP(-(((0)+38)^2)/(7^2))*(0.55+0.45*SIN(2*PI()*(Model_Data!A139)/45))+24*SIN(2*PI()*(0)/9+(Model_Data!A139)/18)*EXP(-(((0)+5)^2)/(22^2))+18*SIN(2*PI()*(Model_Data!A139)/70))+Inputs!$C$28*EXP(-(((Model_Data!A139)-Inputs!$C$29)^2)/(2*Inputs!$C$31^2))*EXP(-(((0)-Inputs!$C$30)^2)/(2*Inputs!$C$32^2))+-Inputs!$C$33*EXP(-(((((Model_Data!A139)-Inputs!$C$34)^2)+(((0)-Inputs!$C$35)^2))/(2*Inputs!$C$36^2)))+Inputs!$C$37*(0.55*SIN(2*PI()*(Model_Data!A139)/Inputs!$C$39)+0.35*COS(2*PI()*(0)/Inputs!$C$40)+0.2*SIN(2*PI()*((Model_Data!A139)+(0))/(0.5*(Inputs!$C$39+Inputs!$C$40))))+Inputs!$C$38*SIN(2*PI()*(Model_Data!A139)/Inputs!$C$39)*SIN(2*PI()*(0)/Inputs!$C$40)+-Inputs!$C$41*EXP(-(((0)-Inputs!$C$43)^2)/(2*Inputs!$C$44^2))*EXP(-(((Model_Data!A139)-Inputs!$C$42)^2)/(2*Inputs!$C$45^2))+Inputs!$C$48*(0.70*(0.45*SIN(2*PI()*(((Model_Data!A139)/Inputs!$C$49)+Inputs!$C$47*0.137))+0.35*COS(2*PI()*(((0)/Inputs!$C$50)+Inputs!$C$47*0.173))+0.20*SIN(2*PI()*(((Model_Data!A139)+(0))/(0.5*(Inputs!$C$49+Inputs!$C$50))+Inputs!$C$47*0.097)))+0.30*(2*((SIN(((Model_Data!A139)*12.9898+(0)*78.233+Inputs!$C$47*37.719))*43758.5453)-INT((SIN(((Model_Data!A139)*12.9898+(0)*78.233+Inputs!$C$47*37.719))*43758.5453)))-1)))</x:f>
        <x:v>35.42120810065494</x:v>
      </x:c>
      <x:c r="H139" s="49"/>
      <x:c r="I139" s="48" t="n">
        <x:f>Model_Data!A139</x:f>
        <x:v>8.5</x:v>
      </x:c>
      <x:c r="J139" s="48" t="n">
        <x:f>((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(0.45*SIN(2*PI()*(((Model_Data!A139)/Inputs!$C$49)+Inputs!$C$47*0.137))+0.35*COS(2*PI()*(((Inputs!$C$6)/Inputs!$C$50)+Inputs!$C$47*0.173))+0.20*SIN(2*PI()*(((Model_Data!A139)+(Inputs!$C$6))/(0.5*(Inputs!$C$49+Inputs!$C$50))+Inputs!$C$47*0.097)))+0.30*(2*((SIN(((Model_Data!A139)*12.9898+(Inputs!$C$6)*78.233+Inputs!$C$47*37.719))*43758.5453)-INT((SIN(((Model_Data!A139)*12.9898+(Inputs!$C$6)*78.233+Inputs!$C$47*37.719))*43758.5453)))-1))))-((Inputs!$C$51*(115*EXP(-(((0)-25)^2)/(4.5^2))+70*EXP(-(((0)+38)^2)/(7^2))*(0.55+0.45*SIN(2*PI()*(Model_Data!A139)/45))+24*SIN(2*PI()*(0)/9+(Model_Data!A139)/18)*EXP(-(((0)+5)^2)/(22^2))+18*SIN(2*PI()*(Model_Data!A139)/70))+Inputs!$C$28*EXP(-(((Model_Data!A139)-Inputs!$C$29)^2)/(2*Inputs!$C$31^2))*EXP(-(((0)-Inputs!$C$30)^2)/(2*Inputs!$C$32^2))+-Inputs!$C$33*EXP(-(((((Model_Data!A139)-Inputs!$C$34)^2)+(((0)-Inputs!$C$35)^2))/(2*Inputs!$C$36^2)))+Inputs!$C$37*(0.55*SIN(2*PI()*(Model_Data!A139)/Inputs!$C$39)+0.35*COS(2*PI()*(0)/Inputs!$C$40)+0.2*SIN(2*PI()*((Model_Data!A139)+(0))/(0.5*(Inputs!$C$39+Inputs!$C$40))))+Inputs!$C$38*SIN(2*PI()*(Model_Data!A139)/Inputs!$C$39)*SIN(2*PI()*(0)/Inputs!$C$40)+-Inputs!$C$41*EXP(-(((0)-Inputs!$C$43)^2)/(2*Inputs!$C$44^2))*EXP(-(((Model_Data!A139)-Inputs!$C$42)^2)/(2*Inputs!$C$45^2))+Inputs!$C$48*(0.70*(0.45*SIN(2*PI()*(((Model_Data!A139)/Inputs!$C$49)+Inputs!$C$47*0.137))+0.35*COS(2*PI()*(((0)/Inputs!$C$50)+Inputs!$C$47*0.173))+0.20*SIN(2*PI()*(((Model_Data!A139)+(0))/(0.5*(Inputs!$C$49+Inputs!$C$50))+Inputs!$C$47*0.097)))+0.30*(2*((SIN(((Model_Data!A139)*12.9898+(0)*78.233+Inputs!$C$47*37.719))*43758.5453)-INT((SIN(((Model_Data!A139)*12.9898+(0)*78.233+Inputs!$C$47*37.719))*43758.5453)))-1))))</x:f>
        <x:v>444.18076403660365</x:v>
      </x:c>
      <x:c r="K139" s="48" t="n">
        <x:f>-((((SQRT((Model_Data!A139)^2+Inputs!$C$6^2+((Model_Data!B139)-((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(0.45*SIN(2*PI()*(((Model_Data!A139)/Inputs!$C$49)+Inputs!$C$47*0.137))+0.35*COS(2*PI()*(((Inputs!$C$6)/Inputs!$C$50)+Inputs!$C$47*0.173))+0.20*SIN(2*PI()*(((Model_Data!A139)+(Inputs!$C$6))/(0.5*(Inputs!$C$49+Inputs!$C$50))+Inputs!$C$47*0.097)))+0.30*(2*((SIN(((Model_Data!A139)*12.9898+(Inputs!$C$6)*78.233+Inputs!$C$47*37.719))*43758.5453)-INT((SIN(((Model_Data!A139)*12.9898+(Inputs!$C$6)*78.233+Inputs!$C$47*37.719))*43758.5453)))-1))))/1000)^2))-(((Model_Data!B139)-((Inputs!$C$51*(115*EXP(-(((0)-25)^2)/(4.5^2))+70*EXP(-(((0)+38)^2)/(7^2))*(0.55+0.45*SIN(2*PI()*(Model_Data!A139)/45))+24*SIN(2*PI()*(0)/9+(Model_Data!A139)/18)*EXP(-(((0)+5)^2)/(22^2))+18*SIN(2*PI()*(Model_Data!A139)/70))+Inputs!$C$28*EXP(-(((Model_Data!A139)-Inputs!$C$29)^2)/(2*Inputs!$C$31^2))*EXP(-(((0)-Inputs!$C$30)^2)/(2*Inputs!$C$32^2))+-Inputs!$C$33*EXP(-(((((Model_Data!A139)-Inputs!$C$34)^2)+(((0)-Inputs!$C$35)^2))/(2*Inputs!$C$36^2)))+Inputs!$C$37*(0.55*SIN(2*PI()*(Model_Data!A139)/Inputs!$C$39)+0.35*COS(2*PI()*(0)/Inputs!$C$40)+0.2*SIN(2*PI()*((Model_Data!A139)+(0))/(0.5*(Inputs!$C$39+Inputs!$C$40))))+Inputs!$C$38*SIN(2*PI()*(Model_Data!A139)/Inputs!$C$39)*SIN(2*PI()*(0)/Inputs!$C$40)+-Inputs!$C$41*EXP(-(((0)-Inputs!$C$43)^2)/(2*Inputs!$C$44^2))*EXP(-(((Model_Data!A139)-Inputs!$C$42)^2)/(2*Inputs!$C$45^2))+Inputs!$C$48*(0.70*(0.45*SIN(2*PI()*(((Model_Data!A139)/Inputs!$C$49)+Inputs!$C$47*0.137))+0.35*COS(2*PI()*(((0)/Inputs!$C$50)+Inputs!$C$47*0.173))+0.20*SIN(2*PI()*(((Model_Data!A139)+(0))/(0.5*(Inputs!$C$49+Inputs!$C$50))+Inputs!$C$47*0.097)))+0.30*(2*((SIN(((Model_Data!A139)*12.9898+(0)*78.233+Inputs!$C$47*37.719))*43758.5453)-INT((SIN(((Model_Data!A139)*12.9898+(0)*78.233+Inputs!$C$47*37.719))*43758.5453)))-1))))/1000)))*1000/Inputs!$C$12)-Model_Data!F139)</x:f>
        <x:v>248.95411822751737</x:v>
      </x:c>
      <x:c r="L139" s="49"/>
      <x:c r="M139" s="48" t="n">
        <x:f>Model_Data!A139</x:f>
        <x:v>8.5</x:v>
      </x:c>
      <x:c r="N139" s="48" t="n">
        <x:f>Model_Data!P139</x:f>
        <x:v>-64.07599207642345</x:v>
      </x:c>
      <x:c r="O139" s="48" t="n">
        <x:f>AC139</x:f>
        <x:v>-89.66229075467709</x:v>
      </x:c>
      <x:c r="P139" s="48" t="n">
        <x:f>Model_Data!Q139</x:f>
        <x:v>-9.621019831294813</x:v>
      </x:c>
      <x:c r="Q139" s="48" t="n">
        <x:f>AD139</x:f>
        <x:v>-13.462806419621186</x:v>
      </x:c>
      <x:c r="R139" s="49"/>
      <x:c r="S139" s="48" t="n">
        <x:f>Model_Data!A139</x:f>
        <x:v>8.5</x:v>
      </x:c>
      <x:c r="T139" s="48" t="n">
        <x:f>Model_Data!B139-Inputs!$C$5</x:f>
        <x:v>0.08027777777778056</x:v>
      </x:c>
      <x:c r="U139" s="49"/>
      <x:c r="V139" s="48" t="n">
        <x:f>Model_Data!A139</x:f>
        <x:v>8.5</x:v>
      </x:c>
      <x:c r="W139" s="48" t="n">
        <x:f>(-((((SQRT((Model_Data!A139)^2+Inputs!$C$6^2+((Model_Data!B139)-((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(0.45*SIN(2*PI()*(((Model_Data!A139)/Inputs!$C$49)+Inputs!$C$47*0.137))+0.35*COS(2*PI()*(((Inputs!$C$6)/Inputs!$C$50)+Inputs!$C$47*0.173))+0.20*SIN(2*PI()*(((Model_Data!A139)+(Inputs!$C$6))/(0.5*(Inputs!$C$49+Inputs!$C$50))+Inputs!$C$47*0.097)))+0.30*(2*((SIN(((Model_Data!A139)*12.9898+(Inputs!$C$6)*78.233+Inputs!$C$47*37.719))*43758.5453)-INT((SIN(((Model_Data!A139)*12.9898+(Inputs!$C$6)*78.233+Inputs!$C$47*37.719))*43758.5453)))-1))))/1000)^2))-(((Model_Data!B139)-((Inputs!$C$51*(115*EXP(-(((0)-25)^2)/(4.5^2))+70*EXP(-(((0)+38)^2)/(7^2))*(0.55+0.45*SIN(2*PI()*(Model_Data!A139)/45))+24*SIN(2*PI()*(0)/9+(Model_Data!A139)/18)*EXP(-(((0)+5)^2)/(22^2))+18*SIN(2*PI()*(Model_Data!A139)/70))+Inputs!$C$28*EXP(-(((Model_Data!A139)-Inputs!$C$29)^2)/(2*Inputs!$C$31^2))*EXP(-(((0)-Inputs!$C$30)^2)/(2*Inputs!$C$32^2))+-Inputs!$C$33*EXP(-(((((Model_Data!A139)-Inputs!$C$34)^2)+(((0)-Inputs!$C$35)^2))/(2*Inputs!$C$36^2)))+Inputs!$C$37*(0.55*SIN(2*PI()*(Model_Data!A139)/Inputs!$C$39)+0.35*COS(2*PI()*(0)/Inputs!$C$40)+0.2*SIN(2*PI()*((Model_Data!A139)+(0))/(0.5*(Inputs!$C$39+Inputs!$C$40))))+Inputs!$C$38*SIN(2*PI()*(Model_Data!A139)/Inputs!$C$39)*SIN(2*PI()*(0)/Inputs!$C$40)+-Inputs!$C$41*EXP(-(((0)-Inputs!$C$43)^2)/(2*Inputs!$C$44^2))*EXP(-(((Model_Data!A139)-Inputs!$C$42)^2)/(2*Inputs!$C$45^2))+Inputs!$C$48*(0.70*(0.45*SIN(2*PI()*(((Model_Data!A139)/Inputs!$C$49)+Inputs!$C$47*0.137))+0.35*COS(2*PI()*(((0)/Inputs!$C$50)+Inputs!$C$47*0.173))+0.20*SIN(2*PI()*(((Model_Data!A139)+(0))/(0.5*(Inputs!$C$49+Inputs!$C$50))+Inputs!$C$47*0.097)))+0.30*(2*((SIN(((Model_Data!A139)*12.9898+(0)*78.233+Inputs!$C$47*37.719))*43758.5453)-INT((SIN(((Model_Data!A139)*12.9898+(0)*78.233+Inputs!$C$47*37.719))*43758.5453)))-1))))/1000)))*1000/Inputs!$C$12)-Model_Data!F139))-(-(((SQRT((Model_Data!A139)^2+Inputs!$C$6^2+(Inputs!$C$5-((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(0.45*SIN(2*PI()*(((Model_Data!A139)/Inputs!$C$49)+Inputs!$C$47*0.137))+0.35*COS(2*PI()*(((Inputs!$C$6)/Inputs!$C$50)+Inputs!$C$47*0.173))+0.20*SIN(2*PI()*(((Model_Data!A139)+(Inputs!$C$6))/(0.5*(Inputs!$C$49+Inputs!$C$50))+Inputs!$C$47*0.097)))+0.30*(2*((SIN(((Model_Data!A139)*12.9898+(Inputs!$C$6)*78.233+Inputs!$C$47*37.719))*43758.5453)-INT((SIN(((Model_Data!A139)*12.9898+(Inputs!$C$6)*78.233+Inputs!$C$47*37.719))*43758.5453)))-1))))/1000)^2)-(Inputs!$C$5-((Inputs!$C$51*(115*EXP(-(((0)-25)^2)/(4.5^2))+70*EXP(-(((0)+38)^2)/(7^2))*(0.55+0.45*SIN(2*PI()*(Model_Data!A139)/45))+24*SIN(2*PI()*(0)/9+(Model_Data!A139)/18)*EXP(-(((0)+5)^2)/(22^2))+18*SIN(2*PI()*(Model_Data!A139)/70))+Inputs!$C$28*EXP(-(((Model_Data!A139)-Inputs!$C$29)^2)/(2*Inputs!$C$31^2))*EXP(-(((0)-Inputs!$C$30)^2)/(2*Inputs!$C$32^2))+-Inputs!$C$33*EXP(-(((((Model_Data!A139)-Inputs!$C$34)^2)+(((0)-Inputs!$C$35)^2))/(2*Inputs!$C$36^2)))+Inputs!$C$37*(0.55*SIN(2*PI()*(Model_Data!A139)/Inputs!$C$39)+0.35*COS(2*PI()*(0)/Inputs!$C$40)+0.2*SIN(2*PI()*((Model_Data!A139)+(0))/(0.5*(Inputs!$C$39+Inputs!$C$40))))+Inputs!$C$38*SIN(2*PI()*(Model_Data!A139)/Inputs!$C$39)*SIN(2*PI()*(0)/Inputs!$C$40)+-Inputs!$C$41*EXP(-(((0)-Inputs!$C$43)^2)/(2*Inputs!$C$44^2))*EXP(-(((Model_Data!A139)-Inputs!$C$42)^2)/(2*Inputs!$C$45^2))+Inputs!$C$48*(0.70*(0.45*SIN(2*PI()*(((Model_Data!A139)/Inputs!$C$49)+Inputs!$C$47*0.137))+0.35*COS(2*PI()*(((0)/Inputs!$C$50)+Inputs!$C$47*0.173))+0.20*SIN(2*PI()*(((Model_Data!A139)+(0))/(0.5*(Inputs!$C$49+Inputs!$C$50))+Inputs!$C$47*0.097)))+0.30*(2*((SIN(((Model_Data!A139)*12.9898+(0)*78.233+Inputs!$C$47*37.719))*43758.5453)-INT((SIN(((Model_Data!A139)*12.9898+(0)*78.233+Inputs!$C$47*37.719))*43758.5453)))-1))))/1000))*1000/Inputs!$C$12)-((SQRT((Model_Data!A139)^2+Inputs!$C$6^2+Inputs!$C$5^2)-Inputs!$C$5)*1000/Inputs!$C$12)))</x:f>
        <x:v>0.0002344661373570034</x:v>
      </x:c>
      <x:c r="X139" s="48" t="n">
        <x:f>0</x:f>
        <x:v>0</x:v>
      </x:c>
      <x:c r="Y139" s="49"/>
      <x:c r="Z139" s="48" t="n">
        <x:f>Model_Data!A139</x:f>
        <x:v>8.5</x:v>
      </x:c>
      <x:c r="AA139" s="48" t="n">
        <x:f>SQRT((Model_Data!A139)^2+Inputs!$C$6^2+((Model_Data!B139)-((Inputs!$C$51*(115*EXP(-(((Inputs!$C$6)-25)^2)/(4.5^2))+70*EXP(-(((Inputs!$C$6)+38)^2)/(7^2))*(0.55+0.45*SIN(2*PI()*(Model_Data!A139)/45))+24*SIN(2*PI()*(Inputs!$C$6)/9+(Model_Data!A139)/18)*EXP(-(((Inputs!$C$6)+5)^2)/(22^2))+18*SIN(2*PI()*(Model_Data!A139)/70))+Inputs!$C$28*EXP(-(((Model_Data!A139)-Inputs!$C$29)^2)/(2*Inputs!$C$31^2))*EXP(-(((Inputs!$C$6)-Inputs!$C$30)^2)/(2*Inputs!$C$32^2))+-Inputs!$C$33*EXP(-(((((Model_Data!A139)-Inputs!$C$34)^2)+(((Inputs!$C$6)-Inputs!$C$35)^2))/(2*Inputs!$C$36^2)))+Inputs!$C$37*(0.55*SIN(2*PI()*(Model_Data!A139)/Inputs!$C$39)+0.35*COS(2*PI()*(Inputs!$C$6)/Inputs!$C$40)+0.2*SIN(2*PI()*((Model_Data!A139)+(Inputs!$C$6))/(0.5*(Inputs!$C$39+Inputs!$C$40))))+Inputs!$C$38*SIN(2*PI()*(Model_Data!A139)/Inputs!$C$39)*SIN(2*PI()*(Inputs!$C$6)/Inputs!$C$40)+-Inputs!$C$41*EXP(-(((Inputs!$C$6)-Inputs!$C$43)^2)/(2*Inputs!$C$44^2))*EXP(-(((Model_Data!A139)-Inputs!$C$42)^2)/(2*Inputs!$C$45^2))+Inputs!$C$48*(0.70*(0.45*SIN(2*PI()*(((Model_Data!A139)/Inputs!$C$49)+Inputs!$C$47*0.137))+0.35*COS(2*PI()*(((Inputs!$C$6)/Inputs!$C$50)+Inputs!$C$47*0.173))+0.20*SIN(2*PI()*(((Model_Data!A139)+(Inputs!$C$6))/(0.5*(Inputs!$C$49+Inputs!$C$50))+Inputs!$C$47*0.097)))+0.30*(2*((SIN(((Model_Data!A139)*12.9898+(Inputs!$C$6)*78.233+Inputs!$C$47*37.719))*43758.5453)-INT((SIN(((Model_Data!A139)*12.9898+(Inputs!$C$6)*78.233+Inputs!$C$47*37.719))*43758.5453)))-1))))/1000)^2)</x:f>
        <x:v>400.4721589627981</x:v>
      </x:c>
      <x:c r="AB139" s="48" t="n">
        <x:f>1000*(AA140-AA138)/(Z140-Z138)*Inputs!$C$11</x:f>
        <x:v>224.15572688669272</x:v>
      </x:c>
      <x:c r="AC139" s="48" t="n">
        <x:f>-2*AB139/Inputs!$C$13</x:f>
        <x:v>-89.66229075467709</x:v>
      </x:c>
      <x:c r="AD139" s="48" t="n">
        <x:f>-2*AB139/Inputs!$C$14</x:f>
        <x:v>-13.462806419621186</x:v>
      </x:c>
    </x:row>
    <x:row r="140">
      <x:c r="A140" s="48" t="n">
        <x:f>Model_Data!A140</x:f>
        <x:v>9</x:v>
      </x:c>
      <x:c r="B140" s="48" t="n">
        <x:f>Model_Data!F140</x:f>
        <x:v>495.1296464423777</x:v>
      </x:c>
      <x:c r="C140" s="48" t="n">
        <x:f>(((SQRT((Model_Data!A140)^2+Inputs!$C$6^2+((Model_Data!B140)-((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(0.45*SIN(2*PI()*(((Model_Data!A140)/Inputs!$C$49)+Inputs!$C$47*0.137))+0.35*COS(2*PI()*(((Inputs!$C$6)/Inputs!$C$50)+Inputs!$C$47*0.173))+0.20*SIN(2*PI()*(((Model_Data!A140)+(Inputs!$C$6))/(0.5*(Inputs!$C$49+Inputs!$C$50))+Inputs!$C$47*0.097)))+0.30*(2*((SIN(((Model_Data!A140)*12.9898+(Inputs!$C$6)*78.233+Inputs!$C$47*37.719))*43758.5453)-INT((SIN(((Model_Data!A140)*12.9898+(Inputs!$C$6)*78.233+Inputs!$C$47*37.719))*43758.5453)))-1))))/1000)^2))-(((Model_Data!B140)-((Inputs!$C$51*(115*EXP(-(((0)-25)^2)/(4.5^2))+70*EXP(-(((0)+38)^2)/(7^2))*(0.55+0.45*SIN(2*PI()*(Model_Data!A140)/45))+24*SIN(2*PI()*(0)/9+(Model_Data!A140)/18)*EXP(-(((0)+5)^2)/(22^2))+18*SIN(2*PI()*(Model_Data!A140)/70))+Inputs!$C$28*EXP(-(((Model_Data!A140)-Inputs!$C$29)^2)/(2*Inputs!$C$31^2))*EXP(-(((0)-Inputs!$C$30)^2)/(2*Inputs!$C$32^2))+-Inputs!$C$33*EXP(-(((((Model_Data!A140)-Inputs!$C$34)^2)+(((0)-Inputs!$C$35)^2))/(2*Inputs!$C$36^2)))+Inputs!$C$37*(0.55*SIN(2*PI()*(Model_Data!A140)/Inputs!$C$39)+0.35*COS(2*PI()*(0)/Inputs!$C$40)+0.2*SIN(2*PI()*((Model_Data!A140)+(0))/(0.5*(Inputs!$C$39+Inputs!$C$40))))+Inputs!$C$38*SIN(2*PI()*(Model_Data!A140)/Inputs!$C$39)*SIN(2*PI()*(0)/Inputs!$C$40)+-Inputs!$C$41*EXP(-(((0)-Inputs!$C$43)^2)/(2*Inputs!$C$44^2))*EXP(-(((Model_Data!A140)-Inputs!$C$42)^2)/(2*Inputs!$C$45^2))+Inputs!$C$48*(0.70*(0.45*SIN(2*PI()*(((Model_Data!A140)/Inputs!$C$49)+Inputs!$C$47*0.137))+0.35*COS(2*PI()*(((0)/Inputs!$C$50)+Inputs!$C$47*0.173))+0.20*SIN(2*PI()*(((Model_Data!A140)+(0))/(0.5*(Inputs!$C$49+Inputs!$C$50))+Inputs!$C$47*0.097)))+0.30*(2*((SIN(((Model_Data!A140)*12.9898+(0)*78.233+Inputs!$C$47*37.719))*43758.5453)-INT((SIN(((Model_Data!A140)*12.9898+(0)*78.233+Inputs!$C$47*37.719))*43758.5453)))-1))))/1000)))*1000/Inputs!$C$12)</x:f>
        <x:v>242.0179998872233</x:v>
      </x:c>
      <x:c r="D140" s="49"/>
      <x:c r="E140" s="48" t="n">
        <x:f>Model_Data!A140</x:f>
        <x:v>9</x:v>
      </x:c>
      <x:c r="F140" s="48" t="n">
        <x:f>(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(0.45*SIN(2*PI()*(((Model_Data!A140)/Inputs!$C$49)+Inputs!$C$47*0.137))+0.35*COS(2*PI()*(((Inputs!$C$6)/Inputs!$C$50)+Inputs!$C$47*0.173))+0.20*SIN(2*PI()*(((Model_Data!A140)+(Inputs!$C$6))/(0.5*(Inputs!$C$49+Inputs!$C$50))+Inputs!$C$47*0.097)))+0.30*(2*((SIN(((Model_Data!A140)*12.9898+(Inputs!$C$6)*78.233+Inputs!$C$47*37.719))*43758.5453)-INT((SIN(((Model_Data!A140)*12.9898+(Inputs!$C$6)*78.233+Inputs!$C$47*37.719))*43758.5453)))-1)))</x:f>
        <x:v>481.22587957439987</x:v>
      </x:c>
      <x:c r="G140" s="48" t="n">
        <x:f>(Inputs!$C$51*(115*EXP(-(((0)-25)^2)/(4.5^2))+70*EXP(-(((0)+38)^2)/(7^2))*(0.55+0.45*SIN(2*PI()*(Model_Data!A140)/45))+24*SIN(2*PI()*(0)/9+(Model_Data!A140)/18)*EXP(-(((0)+5)^2)/(22^2))+18*SIN(2*PI()*(Model_Data!A140)/70))+Inputs!$C$28*EXP(-(((Model_Data!A140)-Inputs!$C$29)^2)/(2*Inputs!$C$31^2))*EXP(-(((0)-Inputs!$C$30)^2)/(2*Inputs!$C$32^2))+-Inputs!$C$33*EXP(-(((((Model_Data!A140)-Inputs!$C$34)^2)+(((0)-Inputs!$C$35)^2))/(2*Inputs!$C$36^2)))+Inputs!$C$37*(0.55*SIN(2*PI()*(Model_Data!A140)/Inputs!$C$39)+0.35*COS(2*PI()*(0)/Inputs!$C$40)+0.2*SIN(2*PI()*((Model_Data!A140)+(0))/(0.5*(Inputs!$C$39+Inputs!$C$40))))+Inputs!$C$38*SIN(2*PI()*(Model_Data!A140)/Inputs!$C$39)*SIN(2*PI()*(0)/Inputs!$C$40)+-Inputs!$C$41*EXP(-(((0)-Inputs!$C$43)^2)/(2*Inputs!$C$44^2))*EXP(-(((Model_Data!A140)-Inputs!$C$42)^2)/(2*Inputs!$C$45^2))+Inputs!$C$48*(0.70*(0.45*SIN(2*PI()*(((Model_Data!A140)/Inputs!$C$49)+Inputs!$C$47*0.137))+0.35*COS(2*PI()*(((0)/Inputs!$C$50)+Inputs!$C$47*0.173))+0.20*SIN(2*PI()*(((Model_Data!A140)+(0))/(0.5*(Inputs!$C$49+Inputs!$C$50))+Inputs!$C$47*0.097)))+0.30*(2*((SIN(((Model_Data!A140)*12.9898+(0)*78.233+Inputs!$C$47*37.719))*43758.5453)-INT((SIN(((Model_Data!A140)*12.9898+(0)*78.233+Inputs!$C$47*37.719))*43758.5453)))-1)))</x:f>
        <x:v>29.628149721243545</x:v>
      </x:c>
      <x:c r="H140" s="49"/>
      <x:c r="I140" s="48" t="n">
        <x:f>Model_Data!A140</x:f>
        <x:v>9</x:v>
      </x:c>
      <x:c r="J140" s="48" t="n">
        <x:f>((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(0.45*SIN(2*PI()*(((Model_Data!A140)/Inputs!$C$49)+Inputs!$C$47*0.137))+0.35*COS(2*PI()*(((Inputs!$C$6)/Inputs!$C$50)+Inputs!$C$47*0.173))+0.20*SIN(2*PI()*(((Model_Data!A140)+(Inputs!$C$6))/(0.5*(Inputs!$C$49+Inputs!$C$50))+Inputs!$C$47*0.097)))+0.30*(2*((SIN(((Model_Data!A140)*12.9898+(Inputs!$C$6)*78.233+Inputs!$C$47*37.719))*43758.5453)-INT((SIN(((Model_Data!A140)*12.9898+(Inputs!$C$6)*78.233+Inputs!$C$47*37.719))*43758.5453)))-1))))-((Inputs!$C$51*(115*EXP(-(((0)-25)^2)/(4.5^2))+70*EXP(-(((0)+38)^2)/(7^2))*(0.55+0.45*SIN(2*PI()*(Model_Data!A140)/45))+24*SIN(2*PI()*(0)/9+(Model_Data!A140)/18)*EXP(-(((0)+5)^2)/(22^2))+18*SIN(2*PI()*(Model_Data!A140)/70))+Inputs!$C$28*EXP(-(((Model_Data!A140)-Inputs!$C$29)^2)/(2*Inputs!$C$31^2))*EXP(-(((0)-Inputs!$C$30)^2)/(2*Inputs!$C$32^2))+-Inputs!$C$33*EXP(-(((((Model_Data!A140)-Inputs!$C$34)^2)+(((0)-Inputs!$C$35)^2))/(2*Inputs!$C$36^2)))+Inputs!$C$37*(0.55*SIN(2*PI()*(Model_Data!A140)/Inputs!$C$39)+0.35*COS(2*PI()*(0)/Inputs!$C$40)+0.2*SIN(2*PI()*((Model_Data!A140)+(0))/(0.5*(Inputs!$C$39+Inputs!$C$40))))+Inputs!$C$38*SIN(2*PI()*(Model_Data!A140)/Inputs!$C$39)*SIN(2*PI()*(0)/Inputs!$C$40)+-Inputs!$C$41*EXP(-(((0)-Inputs!$C$43)^2)/(2*Inputs!$C$44^2))*EXP(-(((Model_Data!A140)-Inputs!$C$42)^2)/(2*Inputs!$C$45^2))+Inputs!$C$48*(0.70*(0.45*SIN(2*PI()*(((Model_Data!A140)/Inputs!$C$49)+Inputs!$C$47*0.137))+0.35*COS(2*PI()*(((0)/Inputs!$C$50)+Inputs!$C$47*0.173))+0.20*SIN(2*PI()*(((Model_Data!A140)+(0))/(0.5*(Inputs!$C$49+Inputs!$C$50))+Inputs!$C$47*0.097)))+0.30*(2*((SIN(((Model_Data!A140)*12.9898+(0)*78.233+Inputs!$C$47*37.719))*43758.5453)-INT((SIN(((Model_Data!A140)*12.9898+(0)*78.233+Inputs!$C$47*37.719))*43758.5453)))-1))))</x:f>
        <x:v>451.59772985315635</x:v>
      </x:c>
      <x:c r="K140" s="48" t="n">
        <x:f>-((((SQRT((Model_Data!A140)^2+Inputs!$C$6^2+((Model_Data!B140)-((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(0.45*SIN(2*PI()*(((Model_Data!A140)/Inputs!$C$49)+Inputs!$C$47*0.137))+0.35*COS(2*PI()*(((Inputs!$C$6)/Inputs!$C$50)+Inputs!$C$47*0.173))+0.20*SIN(2*PI()*(((Model_Data!A140)+(Inputs!$C$6))/(0.5*(Inputs!$C$49+Inputs!$C$50))+Inputs!$C$47*0.097)))+0.30*(2*((SIN(((Model_Data!A140)*12.9898+(Inputs!$C$6)*78.233+Inputs!$C$47*37.719))*43758.5453)-INT((SIN(((Model_Data!A140)*12.9898+(Inputs!$C$6)*78.233+Inputs!$C$47*37.719))*43758.5453)))-1))))/1000)^2))-(((Model_Data!B140)-((Inputs!$C$51*(115*EXP(-(((0)-25)^2)/(4.5^2))+70*EXP(-(((0)+38)^2)/(7^2))*(0.55+0.45*SIN(2*PI()*(Model_Data!A140)/45))+24*SIN(2*PI()*(0)/9+(Model_Data!A140)/18)*EXP(-(((0)+5)^2)/(22^2))+18*SIN(2*PI()*(Model_Data!A140)/70))+Inputs!$C$28*EXP(-(((Model_Data!A140)-Inputs!$C$29)^2)/(2*Inputs!$C$31^2))*EXP(-(((0)-Inputs!$C$30)^2)/(2*Inputs!$C$32^2))+-Inputs!$C$33*EXP(-(((((Model_Data!A140)-Inputs!$C$34)^2)+(((0)-Inputs!$C$35)^2))/(2*Inputs!$C$36^2)))+Inputs!$C$37*(0.55*SIN(2*PI()*(Model_Data!A140)/Inputs!$C$39)+0.35*COS(2*PI()*(0)/Inputs!$C$40)+0.2*SIN(2*PI()*((Model_Data!A140)+(0))/(0.5*(Inputs!$C$39+Inputs!$C$40))))+Inputs!$C$38*SIN(2*PI()*(Model_Data!A140)/Inputs!$C$39)*SIN(2*PI()*(0)/Inputs!$C$40)+-Inputs!$C$41*EXP(-(((0)-Inputs!$C$43)^2)/(2*Inputs!$C$44^2))*EXP(-(((Model_Data!A140)-Inputs!$C$42)^2)/(2*Inputs!$C$45^2))+Inputs!$C$48*(0.70*(0.45*SIN(2*PI()*(((Model_Data!A140)/Inputs!$C$49)+Inputs!$C$47*0.137))+0.35*COS(2*PI()*(((0)/Inputs!$C$50)+Inputs!$C$47*0.173))+0.20*SIN(2*PI()*(((Model_Data!A140)+(0))/(0.5*(Inputs!$C$49+Inputs!$C$50))+Inputs!$C$47*0.097)))+0.30*(2*((SIN(((Model_Data!A140)*12.9898+(0)*78.233+Inputs!$C$47*37.719))*43758.5453)-INT((SIN(((Model_Data!A140)*12.9898+(0)*78.233+Inputs!$C$47*37.719))*43758.5453)))-1))))/1000)))*1000/Inputs!$C$12)-Model_Data!F140)</x:f>
        <x:v>253.11164655515438</x:v>
      </x:c>
      <x:c r="L140" s="49"/>
      <x:c r="M140" s="48" t="n">
        <x:f>Model_Data!A140</x:f>
        <x:v>9</x:v>
      </x:c>
      <x:c r="N140" s="48" t="n">
        <x:f>Model_Data!P140</x:f>
        <x:v>-67.84245633650673</x:v>
      </x:c>
      <x:c r="O140" s="48" t="n">
        <x:f>AC140</x:f>
        <x:v>-69.99655675572285</x:v>
      </x:c>
      <x:c r="P140" s="48" t="n">
        <x:f>Model_Data!Q140</x:f>
        <x:v>-10.186555005481491</x:v>
      </x:c>
      <x:c r="Q140" s="48" t="n">
        <x:f>AD140</x:f>
        <x:v>-10.509993506865294</x:v>
      </x:c>
      <x:c r="R140" s="49"/>
      <x:c r="S140" s="48" t="n">
        <x:f>Model_Data!A140</x:f>
        <x:v>9</x:v>
      </x:c>
      <x:c r="T140" s="48" t="n">
        <x:f>Model_Data!B140-Inputs!$C$5</x:f>
        <x:v>0.08999999999997499</x:v>
      </x:c>
      <x:c r="U140" s="49"/>
      <x:c r="V140" s="48" t="n">
        <x:f>Model_Data!A140</x:f>
        <x:v>9</x:v>
      </x:c>
      <x:c r="W140" s="48" t="n">
        <x:f>(-((((SQRT((Model_Data!A140)^2+Inputs!$C$6^2+((Model_Data!B140)-((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(0.45*SIN(2*PI()*(((Model_Data!A140)/Inputs!$C$49)+Inputs!$C$47*0.137))+0.35*COS(2*PI()*(((Inputs!$C$6)/Inputs!$C$50)+Inputs!$C$47*0.173))+0.20*SIN(2*PI()*(((Model_Data!A140)+(Inputs!$C$6))/(0.5*(Inputs!$C$49+Inputs!$C$50))+Inputs!$C$47*0.097)))+0.30*(2*((SIN(((Model_Data!A140)*12.9898+(Inputs!$C$6)*78.233+Inputs!$C$47*37.719))*43758.5453)-INT((SIN(((Model_Data!A140)*12.9898+(Inputs!$C$6)*78.233+Inputs!$C$47*37.719))*43758.5453)))-1))))/1000)^2))-(((Model_Data!B140)-((Inputs!$C$51*(115*EXP(-(((0)-25)^2)/(4.5^2))+70*EXP(-(((0)+38)^2)/(7^2))*(0.55+0.45*SIN(2*PI()*(Model_Data!A140)/45))+24*SIN(2*PI()*(0)/9+(Model_Data!A140)/18)*EXP(-(((0)+5)^2)/(22^2))+18*SIN(2*PI()*(Model_Data!A140)/70))+Inputs!$C$28*EXP(-(((Model_Data!A140)-Inputs!$C$29)^2)/(2*Inputs!$C$31^2))*EXP(-(((0)-Inputs!$C$30)^2)/(2*Inputs!$C$32^2))+-Inputs!$C$33*EXP(-(((((Model_Data!A140)-Inputs!$C$34)^2)+(((0)-Inputs!$C$35)^2))/(2*Inputs!$C$36^2)))+Inputs!$C$37*(0.55*SIN(2*PI()*(Model_Data!A140)/Inputs!$C$39)+0.35*COS(2*PI()*(0)/Inputs!$C$40)+0.2*SIN(2*PI()*((Model_Data!A140)+(0))/(0.5*(Inputs!$C$39+Inputs!$C$40))))+Inputs!$C$38*SIN(2*PI()*(Model_Data!A140)/Inputs!$C$39)*SIN(2*PI()*(0)/Inputs!$C$40)+-Inputs!$C$41*EXP(-(((0)-Inputs!$C$43)^2)/(2*Inputs!$C$44^2))*EXP(-(((Model_Data!A140)-Inputs!$C$42)^2)/(2*Inputs!$C$45^2))+Inputs!$C$48*(0.70*(0.45*SIN(2*PI()*(((Model_Data!A140)/Inputs!$C$49)+Inputs!$C$47*0.137))+0.35*COS(2*PI()*(((0)/Inputs!$C$50)+Inputs!$C$47*0.173))+0.20*SIN(2*PI()*(((Model_Data!A140)+(0))/(0.5*(Inputs!$C$49+Inputs!$C$50))+Inputs!$C$47*0.097)))+0.30*(2*((SIN(((Model_Data!A140)*12.9898+(0)*78.233+Inputs!$C$47*37.719))*43758.5453)-INT((SIN(((Model_Data!A140)*12.9898+(0)*78.233+Inputs!$C$47*37.719))*43758.5453)))-1))))/1000)))*1000/Inputs!$C$12)-Model_Data!F140))-(-(((SQRT((Model_Data!A140)^2+Inputs!$C$6^2+(Inputs!$C$5-((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(0.45*SIN(2*PI()*(((Model_Data!A140)/Inputs!$C$49)+Inputs!$C$47*0.137))+0.35*COS(2*PI()*(((Inputs!$C$6)/Inputs!$C$50)+Inputs!$C$47*0.173))+0.20*SIN(2*PI()*(((Model_Data!A140)+(Inputs!$C$6))/(0.5*(Inputs!$C$49+Inputs!$C$50))+Inputs!$C$47*0.097)))+0.30*(2*((SIN(((Model_Data!A140)*12.9898+(Inputs!$C$6)*78.233+Inputs!$C$47*37.719))*43758.5453)-INT((SIN(((Model_Data!A140)*12.9898+(Inputs!$C$6)*78.233+Inputs!$C$47*37.719))*43758.5453)))-1))))/1000)^2)-(Inputs!$C$5-((Inputs!$C$51*(115*EXP(-(((0)-25)^2)/(4.5^2))+70*EXP(-(((0)+38)^2)/(7^2))*(0.55+0.45*SIN(2*PI()*(Model_Data!A140)/45))+24*SIN(2*PI()*(0)/9+(Model_Data!A140)/18)*EXP(-(((0)+5)^2)/(22^2))+18*SIN(2*PI()*(Model_Data!A140)/70))+Inputs!$C$28*EXP(-(((Model_Data!A140)-Inputs!$C$29)^2)/(2*Inputs!$C$31^2))*EXP(-(((0)-Inputs!$C$30)^2)/(2*Inputs!$C$32^2))+-Inputs!$C$33*EXP(-(((((Model_Data!A140)-Inputs!$C$34)^2)+(((0)-Inputs!$C$35)^2))/(2*Inputs!$C$36^2)))+Inputs!$C$37*(0.55*SIN(2*PI()*(Model_Data!A140)/Inputs!$C$39)+0.35*COS(2*PI()*(0)/Inputs!$C$40)+0.2*SIN(2*PI()*((Model_Data!A140)+(0))/(0.5*(Inputs!$C$39+Inputs!$C$40))))+Inputs!$C$38*SIN(2*PI()*(Model_Data!A140)/Inputs!$C$39)*SIN(2*PI()*(0)/Inputs!$C$40)+-Inputs!$C$41*EXP(-(((0)-Inputs!$C$43)^2)/(2*Inputs!$C$44^2))*EXP(-(((Model_Data!A140)-Inputs!$C$42)^2)/(2*Inputs!$C$45^2))+Inputs!$C$48*(0.70*(0.45*SIN(2*PI()*(((Model_Data!A140)/Inputs!$C$49)+Inputs!$C$47*0.137))+0.35*COS(2*PI()*(((0)/Inputs!$C$50)+Inputs!$C$47*0.173))+0.20*SIN(2*PI()*(((Model_Data!A140)+(0))/(0.5*(Inputs!$C$49+Inputs!$C$50))+Inputs!$C$47*0.097)))+0.30*(2*((SIN(((Model_Data!A140)*12.9898+(0)*78.233+Inputs!$C$47*37.719))*43758.5453)-INT((SIN(((Model_Data!A140)*12.9898+(0)*78.233+Inputs!$C$47*37.719))*43758.5453)))-1))))/1000))*1000/Inputs!$C$12)-((SQRT((Model_Data!A140)^2+Inputs!$C$6^2+Inputs!$C$5^2)-Inputs!$C$5)*1000/Inputs!$C$12)))</x:f>
        <x:v>0.00026703170016162403</x:v>
      </x:c>
      <x:c r="X140" s="48" t="n">
        <x:f>0</x:f>
        <x:v>0</x:v>
      </x:c>
      <x:c r="Y140" s="49"/>
      <x:c r="Z140" s="48" t="n">
        <x:f>Model_Data!A140</x:f>
        <x:v>9</x:v>
      </x:c>
      <x:c r="AA140" s="48" t="n">
        <x:f>SQRT((Model_Data!A140)^2+Inputs!$C$6^2+((Model_Data!B140)-((Inputs!$C$51*(115*EXP(-(((Inputs!$C$6)-25)^2)/(4.5^2))+70*EXP(-(((Inputs!$C$6)+38)^2)/(7^2))*(0.55+0.45*SIN(2*PI()*(Model_Data!A140)/45))+24*SIN(2*PI()*(Inputs!$C$6)/9+(Model_Data!A140)/18)*EXP(-(((Inputs!$C$6)+5)^2)/(22^2))+18*SIN(2*PI()*(Model_Data!A140)/70))+Inputs!$C$28*EXP(-(((Model_Data!A140)-Inputs!$C$29)^2)/(2*Inputs!$C$31^2))*EXP(-(((Inputs!$C$6)-Inputs!$C$30)^2)/(2*Inputs!$C$32^2))+-Inputs!$C$33*EXP(-(((((Model_Data!A140)-Inputs!$C$34)^2)+(((Inputs!$C$6)-Inputs!$C$35)^2))/(2*Inputs!$C$36^2)))+Inputs!$C$37*(0.55*SIN(2*PI()*(Model_Data!A140)/Inputs!$C$39)+0.35*COS(2*PI()*(Inputs!$C$6)/Inputs!$C$40)+0.2*SIN(2*PI()*((Model_Data!A140)+(Inputs!$C$6))/(0.5*(Inputs!$C$39+Inputs!$C$40))))+Inputs!$C$38*SIN(2*PI()*(Model_Data!A140)/Inputs!$C$39)*SIN(2*PI()*(Inputs!$C$6)/Inputs!$C$40)+-Inputs!$C$41*EXP(-(((Inputs!$C$6)-Inputs!$C$43)^2)/(2*Inputs!$C$44^2))*EXP(-(((Model_Data!A140)-Inputs!$C$42)^2)/(2*Inputs!$C$45^2))+Inputs!$C$48*(0.70*(0.45*SIN(2*PI()*(((Model_Data!A140)/Inputs!$C$49)+Inputs!$C$47*0.137))+0.35*COS(2*PI()*(((Inputs!$C$6)/Inputs!$C$50)+Inputs!$C$47*0.173))+0.20*SIN(2*PI()*(((Model_Data!A140)+(Inputs!$C$6))/(0.5*(Inputs!$C$49+Inputs!$C$50))+Inputs!$C$47*0.097)))+0.30*(2*((SIN(((Model_Data!A140)*12.9898+(Inputs!$C$6)*78.233+Inputs!$C$47*37.719))*43758.5453)-INT((SIN(((Model_Data!A140)*12.9898+(Inputs!$C$6)*78.233+Inputs!$C$47*37.719))*43758.5453)))-1))))/1000)^2)</x:f>
        <x:v>400.491163890078</x:v>
      </x:c>
      <x:c r="AB140" s="48" t="n">
        <x:f>1000*(AA141-AA139)/(Z141-Z139)*Inputs!$C$11</x:f>
        <x:v>174.99139188930712</x:v>
      </x:c>
      <x:c r="AC140" s="48" t="n">
        <x:f>-2*AB140/Inputs!$C$13</x:f>
        <x:v>-69.99655675572285</x:v>
      </x:c>
      <x:c r="AD140" s="48" t="n">
        <x:f>-2*AB140/Inputs!$C$14</x:f>
        <x:v>-10.509993506865294</x:v>
      </x:c>
    </x:row>
    <x:row r="141">
      <x:c r="A141" s="48" t="n">
        <x:f>Model_Data!A141</x:f>
        <x:v>9.5</x:v>
      </x:c>
      <x:c r="B141" s="48" t="n">
        <x:f>Model_Data!F141</x:f>
        <x:v>501.5967474169945</x:v>
      </x:c>
      <x:c r="C141" s="48" t="n">
        <x:f>(((SQRT((Model_Data!A141)^2+Inputs!$C$6^2+((Model_Data!B141)-((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(0.45*SIN(2*PI()*(((Model_Data!A141)/Inputs!$C$49)+Inputs!$C$47*0.137))+0.35*COS(2*PI()*(((Inputs!$C$6)/Inputs!$C$50)+Inputs!$C$47*0.173))+0.20*SIN(2*PI()*(((Model_Data!A141)+(Inputs!$C$6))/(0.5*(Inputs!$C$49+Inputs!$C$50))+Inputs!$C$47*0.097)))+0.30*(2*((SIN(((Model_Data!A141)*12.9898+(Inputs!$C$6)*78.233+Inputs!$C$47*37.719))*43758.5453)-INT((SIN(((Model_Data!A141)*12.9898+(Inputs!$C$6)*78.233+Inputs!$C$47*37.719))*43758.5453)))-1))))/1000)^2))-(((Model_Data!B141)-((Inputs!$C$51*(115*EXP(-(((0)-25)^2)/(4.5^2))+70*EXP(-(((0)+38)^2)/(7^2))*(0.55+0.45*SIN(2*PI()*(Model_Data!A141)/45))+24*SIN(2*PI()*(0)/9+(Model_Data!A141)/18)*EXP(-(((0)+5)^2)/(22^2))+18*SIN(2*PI()*(Model_Data!A141)/70))+Inputs!$C$28*EXP(-(((Model_Data!A141)-Inputs!$C$29)^2)/(2*Inputs!$C$31^2))*EXP(-(((0)-Inputs!$C$30)^2)/(2*Inputs!$C$32^2))+-Inputs!$C$33*EXP(-(((((Model_Data!A141)-Inputs!$C$34)^2)+(((0)-Inputs!$C$35)^2))/(2*Inputs!$C$36^2)))+Inputs!$C$37*(0.55*SIN(2*PI()*(Model_Data!A141)/Inputs!$C$39)+0.35*COS(2*PI()*(0)/Inputs!$C$40)+0.2*SIN(2*PI()*((Model_Data!A141)+(0))/(0.5*(Inputs!$C$39+Inputs!$C$40))))+Inputs!$C$38*SIN(2*PI()*(Model_Data!A141)/Inputs!$C$39)*SIN(2*PI()*(0)/Inputs!$C$40)+-Inputs!$C$41*EXP(-(((0)-Inputs!$C$43)^2)/(2*Inputs!$C$44^2))*EXP(-(((Model_Data!A141)-Inputs!$C$42)^2)/(2*Inputs!$C$45^2))+Inputs!$C$48*(0.70*(0.45*SIN(2*PI()*(((Model_Data!A141)/Inputs!$C$49)+Inputs!$C$47*0.137))+0.35*COS(2*PI()*(((0)/Inputs!$C$50)+Inputs!$C$47*0.173))+0.20*SIN(2*PI()*(((Model_Data!A141)+(0))/(0.5*(Inputs!$C$49+Inputs!$C$50))+Inputs!$C$47*0.097)))+0.30*(2*((SIN(((Model_Data!A141)*12.9898+(0)*78.233+Inputs!$C$47*37.719))*43758.5453)-INT((SIN(((Model_Data!A141)*12.9898+(0)*78.233+Inputs!$C$47*37.719))*43758.5453)))-1))))/1000)))*1000/Inputs!$C$12)</x:f>
        <x:v>236.67357304006006</x:v>
      </x:c>
      <x:c r="D141" s="49"/>
      <x:c r="E141" s="48" t="n">
        <x:f>Model_Data!A141</x:f>
        <x:v>9.5</x:v>
      </x:c>
      <x:c r="F141" s="48" t="n">
        <x:f>(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(0.45*SIN(2*PI()*(((Model_Data!A141)/Inputs!$C$49)+Inputs!$C$47*0.137))+0.35*COS(2*PI()*(((Inputs!$C$6)/Inputs!$C$50)+Inputs!$C$47*0.173))+0.20*SIN(2*PI()*(((Model_Data!A141)+(Inputs!$C$6))/(0.5*(Inputs!$C$49+Inputs!$C$50))+Inputs!$C$47*0.097)))+0.30*(2*((SIN(((Model_Data!A141)*12.9898+(Inputs!$C$6)*78.233+Inputs!$C$47*37.719))*43758.5453)-INT((SIN(((Model_Data!A141)*12.9898+(Inputs!$C$6)*78.233+Inputs!$C$47*37.719))*43758.5453)))-1)))</x:f>
        <x:v>478.27937371872196</x:v>
      </x:c>
      <x:c r="G141" s="48" t="n">
        <x:f>(Inputs!$C$51*(115*EXP(-(((0)-25)^2)/(4.5^2))+70*EXP(-(((0)+38)^2)/(7^2))*(0.55+0.45*SIN(2*PI()*(Model_Data!A141)/45))+24*SIN(2*PI()*(0)/9+(Model_Data!A141)/18)*EXP(-(((0)+5)^2)/(22^2))+18*SIN(2*PI()*(Model_Data!A141)/70))+Inputs!$C$28*EXP(-(((Model_Data!A141)-Inputs!$C$29)^2)/(2*Inputs!$C$31^2))*EXP(-(((0)-Inputs!$C$30)^2)/(2*Inputs!$C$32^2))+-Inputs!$C$33*EXP(-(((((Model_Data!A141)-Inputs!$C$34)^2)+(((0)-Inputs!$C$35)^2))/(2*Inputs!$C$36^2)))+Inputs!$C$37*(0.55*SIN(2*PI()*(Model_Data!A141)/Inputs!$C$39)+0.35*COS(2*PI()*(0)/Inputs!$C$40)+0.2*SIN(2*PI()*((Model_Data!A141)+(0))/(0.5*(Inputs!$C$39+Inputs!$C$40))))+Inputs!$C$38*SIN(2*PI()*(Model_Data!A141)/Inputs!$C$39)*SIN(2*PI()*(0)/Inputs!$C$40)+-Inputs!$C$41*EXP(-(((0)-Inputs!$C$43)^2)/(2*Inputs!$C$44^2))*EXP(-(((Model_Data!A141)-Inputs!$C$42)^2)/(2*Inputs!$C$45^2))+Inputs!$C$48*(0.70*(0.45*SIN(2*PI()*(((Model_Data!A141)/Inputs!$C$49)+Inputs!$C$47*0.137))+0.35*COS(2*PI()*(((0)/Inputs!$C$50)+Inputs!$C$47*0.173))+0.20*SIN(2*PI()*(((Model_Data!A141)+(0))/(0.5*(Inputs!$C$49+Inputs!$C$50))+Inputs!$C$47*0.097)))+0.30*(2*((SIN(((Model_Data!A141)*12.9898+(0)*78.233+Inputs!$C$47*37.719))*43758.5453)-INT((SIN(((Model_Data!A141)*12.9898+(0)*78.233+Inputs!$C$47*37.719))*43758.5453)))-1)))</x:f>
        <x:v>5.649927018638348</x:v>
      </x:c>
      <x:c r="H141" s="49"/>
      <x:c r="I141" s="48" t="n">
        <x:f>Model_Data!A141</x:f>
        <x:v>9.5</x:v>
      </x:c>
      <x:c r="J141" s="48" t="n">
        <x:f>((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(0.45*SIN(2*PI()*(((Model_Data!A141)/Inputs!$C$49)+Inputs!$C$47*0.137))+0.35*COS(2*PI()*(((Inputs!$C$6)/Inputs!$C$50)+Inputs!$C$47*0.173))+0.20*SIN(2*PI()*(((Model_Data!A141)+(Inputs!$C$6))/(0.5*(Inputs!$C$49+Inputs!$C$50))+Inputs!$C$47*0.097)))+0.30*(2*((SIN(((Model_Data!A141)*12.9898+(Inputs!$C$6)*78.233+Inputs!$C$47*37.719))*43758.5453)-INT((SIN(((Model_Data!A141)*12.9898+(Inputs!$C$6)*78.233+Inputs!$C$47*37.719))*43758.5453)))-1))))-((Inputs!$C$51*(115*EXP(-(((0)-25)^2)/(4.5^2))+70*EXP(-(((0)+38)^2)/(7^2))*(0.55+0.45*SIN(2*PI()*(Model_Data!A141)/45))+24*SIN(2*PI()*(0)/9+(Model_Data!A141)/18)*EXP(-(((0)+5)^2)/(22^2))+18*SIN(2*PI()*(Model_Data!A141)/70))+Inputs!$C$28*EXP(-(((Model_Data!A141)-Inputs!$C$29)^2)/(2*Inputs!$C$31^2))*EXP(-(((0)-Inputs!$C$30)^2)/(2*Inputs!$C$32^2))+-Inputs!$C$33*EXP(-(((((Model_Data!A141)-Inputs!$C$34)^2)+(((0)-Inputs!$C$35)^2))/(2*Inputs!$C$36^2)))+Inputs!$C$37*(0.55*SIN(2*PI()*(Model_Data!A141)/Inputs!$C$39)+0.35*COS(2*PI()*(0)/Inputs!$C$40)+0.2*SIN(2*PI()*((Model_Data!A141)+(0))/(0.5*(Inputs!$C$39+Inputs!$C$40))))+Inputs!$C$38*SIN(2*PI()*(Model_Data!A141)/Inputs!$C$39)*SIN(2*PI()*(0)/Inputs!$C$40)+-Inputs!$C$41*EXP(-(((0)-Inputs!$C$43)^2)/(2*Inputs!$C$44^2))*EXP(-(((Model_Data!A141)-Inputs!$C$42)^2)/(2*Inputs!$C$45^2))+Inputs!$C$48*(0.70*(0.45*SIN(2*PI()*(((Model_Data!A141)/Inputs!$C$49)+Inputs!$C$47*0.137))+0.35*COS(2*PI()*(((0)/Inputs!$C$50)+Inputs!$C$47*0.173))+0.20*SIN(2*PI()*(((Model_Data!A141)+(0))/(0.5*(Inputs!$C$49+Inputs!$C$50))+Inputs!$C$47*0.097)))+0.30*(2*((SIN(((Model_Data!A141)*12.9898+(0)*78.233+Inputs!$C$47*37.719))*43758.5453)-INT((SIN(((Model_Data!A141)*12.9898+(0)*78.233+Inputs!$C$47*37.719))*43758.5453)))-1))))</x:f>
        <x:v>472.62944670008363</x:v>
      </x:c>
      <x:c r="K141" s="48" t="n">
        <x:f>-((((SQRT((Model_Data!A141)^2+Inputs!$C$6^2+((Model_Data!B141)-((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(0.45*SIN(2*PI()*(((Model_Data!A141)/Inputs!$C$49)+Inputs!$C$47*0.137))+0.35*COS(2*PI()*(((Inputs!$C$6)/Inputs!$C$50)+Inputs!$C$47*0.173))+0.20*SIN(2*PI()*(((Model_Data!A141)+(Inputs!$C$6))/(0.5*(Inputs!$C$49+Inputs!$C$50))+Inputs!$C$47*0.097)))+0.30*(2*((SIN(((Model_Data!A141)*12.9898+(Inputs!$C$6)*78.233+Inputs!$C$47*37.719))*43758.5453)-INT((SIN(((Model_Data!A141)*12.9898+(Inputs!$C$6)*78.233+Inputs!$C$47*37.719))*43758.5453)))-1))))/1000)^2))-(((Model_Data!B141)-((Inputs!$C$51*(115*EXP(-(((0)-25)^2)/(4.5^2))+70*EXP(-(((0)+38)^2)/(7^2))*(0.55+0.45*SIN(2*PI()*(Model_Data!A141)/45))+24*SIN(2*PI()*(0)/9+(Model_Data!A141)/18)*EXP(-(((0)+5)^2)/(22^2))+18*SIN(2*PI()*(Model_Data!A141)/70))+Inputs!$C$28*EXP(-(((Model_Data!A141)-Inputs!$C$29)^2)/(2*Inputs!$C$31^2))*EXP(-(((0)-Inputs!$C$30)^2)/(2*Inputs!$C$32^2))+-Inputs!$C$33*EXP(-(((((Model_Data!A141)-Inputs!$C$34)^2)+(((0)-Inputs!$C$35)^2))/(2*Inputs!$C$36^2)))+Inputs!$C$37*(0.55*SIN(2*PI()*(Model_Data!A141)/Inputs!$C$39)+0.35*COS(2*PI()*(0)/Inputs!$C$40)+0.2*SIN(2*PI()*((Model_Data!A141)+(0))/(0.5*(Inputs!$C$39+Inputs!$C$40))))+Inputs!$C$38*SIN(2*PI()*(Model_Data!A141)/Inputs!$C$39)*SIN(2*PI()*(0)/Inputs!$C$40)+-Inputs!$C$41*EXP(-(((0)-Inputs!$C$43)^2)/(2*Inputs!$C$44^2))*EXP(-(((Model_Data!A141)-Inputs!$C$42)^2)/(2*Inputs!$C$45^2))+Inputs!$C$48*(0.70*(0.45*SIN(2*PI()*(((Model_Data!A141)/Inputs!$C$49)+Inputs!$C$47*0.137))+0.35*COS(2*PI()*(((0)/Inputs!$C$50)+Inputs!$C$47*0.173))+0.20*SIN(2*PI()*(((Model_Data!A141)+(0))/(0.5*(Inputs!$C$49+Inputs!$C$50))+Inputs!$C$47*0.097)))+0.30*(2*((SIN(((Model_Data!A141)*12.9898+(0)*78.233+Inputs!$C$47*37.719))*43758.5453)-INT((SIN(((Model_Data!A141)*12.9898+(0)*78.233+Inputs!$C$47*37.719))*43758.5453)))-1))))/1000)))*1000/Inputs!$C$12)-Model_Data!F141)</x:f>
        <x:v>264.9231743769344</x:v>
      </x:c>
      <x:c r="L141" s="49"/>
      <x:c r="M141" s="48" t="n">
        <x:f>Model_Data!A141</x:f>
        <x:v>9.5</x:v>
      </x:c>
      <x:c r="N141" s="48" t="n">
        <x:f>Model_Data!P141</x:f>
        <x:v>-71.60845620605997</x:v>
      </x:c>
      <x:c r="O141" s="48" t="n">
        <x:f>AC141</x:f>
        <x:v>-114.79372015628542</x:v>
      </x:c>
      <x:c r="P141" s="48" t="n">
        <x:f>Model_Data!Q141</x:f>
        <x:v>-10.752020451360357</x:v>
      </x:c>
      <x:c r="Q141" s="48" t="n">
        <x:f>AD141</x:f>
        <x:v>-17.236294317760574</x:v>
      </x:c>
      <x:c r="R141" s="49"/>
      <x:c r="S141" s="48" t="n">
        <x:f>Model_Data!A141</x:f>
        <x:v>9.5</x:v>
      </x:c>
      <x:c r="T141" s="48" t="n">
        <x:f>Model_Data!B141-Inputs!$C$5</x:f>
        <x:v>0.10027777777776237</x:v>
      </x:c>
      <x:c r="U141" s="49"/>
      <x:c r="V141" s="48" t="n">
        <x:f>Model_Data!A141</x:f>
        <x:v>9.5</x:v>
      </x:c>
      <x:c r="W141" s="48" t="n">
        <x:f>(-((((SQRT((Model_Data!A141)^2+Inputs!$C$6^2+((Model_Data!B141)-((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(0.45*SIN(2*PI()*(((Model_Data!A141)/Inputs!$C$49)+Inputs!$C$47*0.137))+0.35*COS(2*PI()*(((Inputs!$C$6)/Inputs!$C$50)+Inputs!$C$47*0.173))+0.20*SIN(2*PI()*(((Model_Data!A141)+(Inputs!$C$6))/(0.5*(Inputs!$C$49+Inputs!$C$50))+Inputs!$C$47*0.097)))+0.30*(2*((SIN(((Model_Data!A141)*12.9898+(Inputs!$C$6)*78.233+Inputs!$C$47*37.719))*43758.5453)-INT((SIN(((Model_Data!A141)*12.9898+(Inputs!$C$6)*78.233+Inputs!$C$47*37.719))*43758.5453)))-1))))/1000)^2))-(((Model_Data!B141)-((Inputs!$C$51*(115*EXP(-(((0)-25)^2)/(4.5^2))+70*EXP(-(((0)+38)^2)/(7^2))*(0.55+0.45*SIN(2*PI()*(Model_Data!A141)/45))+24*SIN(2*PI()*(0)/9+(Model_Data!A141)/18)*EXP(-(((0)+5)^2)/(22^2))+18*SIN(2*PI()*(Model_Data!A141)/70))+Inputs!$C$28*EXP(-(((Model_Data!A141)-Inputs!$C$29)^2)/(2*Inputs!$C$31^2))*EXP(-(((0)-Inputs!$C$30)^2)/(2*Inputs!$C$32^2))+-Inputs!$C$33*EXP(-(((((Model_Data!A141)-Inputs!$C$34)^2)+(((0)-Inputs!$C$35)^2))/(2*Inputs!$C$36^2)))+Inputs!$C$37*(0.55*SIN(2*PI()*(Model_Data!A141)/Inputs!$C$39)+0.35*COS(2*PI()*(0)/Inputs!$C$40)+0.2*SIN(2*PI()*((Model_Data!A141)+(0))/(0.5*(Inputs!$C$39+Inputs!$C$40))))+Inputs!$C$38*SIN(2*PI()*(Model_Data!A141)/Inputs!$C$39)*SIN(2*PI()*(0)/Inputs!$C$40)+-Inputs!$C$41*EXP(-(((0)-Inputs!$C$43)^2)/(2*Inputs!$C$44^2))*EXP(-(((Model_Data!A141)-Inputs!$C$42)^2)/(2*Inputs!$C$45^2))+Inputs!$C$48*(0.70*(0.45*SIN(2*PI()*(((Model_Data!A141)/Inputs!$C$49)+Inputs!$C$47*0.137))+0.35*COS(2*PI()*(((0)/Inputs!$C$50)+Inputs!$C$47*0.173))+0.20*SIN(2*PI()*(((Model_Data!A141)+(0))/(0.5*(Inputs!$C$49+Inputs!$C$50))+Inputs!$C$47*0.097)))+0.30*(2*((SIN(((Model_Data!A141)*12.9898+(0)*78.233+Inputs!$C$47*37.719))*43758.5453)-INT((SIN(((Model_Data!A141)*12.9898+(0)*78.233+Inputs!$C$47*37.719))*43758.5453)))-1))))/1000)))*1000/Inputs!$C$12)-Model_Data!F141))-(-(((SQRT((Model_Data!A141)^2+Inputs!$C$6^2+(Inputs!$C$5-((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(0.45*SIN(2*PI()*(((Model_Data!A141)/Inputs!$C$49)+Inputs!$C$47*0.137))+0.35*COS(2*PI()*(((Inputs!$C$6)/Inputs!$C$50)+Inputs!$C$47*0.173))+0.20*SIN(2*PI()*(((Model_Data!A141)+(Inputs!$C$6))/(0.5*(Inputs!$C$49+Inputs!$C$50))+Inputs!$C$47*0.097)))+0.30*(2*((SIN(((Model_Data!A141)*12.9898+(Inputs!$C$6)*78.233+Inputs!$C$47*37.719))*43758.5453)-INT((SIN(((Model_Data!A141)*12.9898+(Inputs!$C$6)*78.233+Inputs!$C$47*37.719))*43758.5453)))-1))))/1000)^2)-(Inputs!$C$5-((Inputs!$C$51*(115*EXP(-(((0)-25)^2)/(4.5^2))+70*EXP(-(((0)+38)^2)/(7^2))*(0.55+0.45*SIN(2*PI()*(Model_Data!A141)/45))+24*SIN(2*PI()*(0)/9+(Model_Data!A141)/18)*EXP(-(((0)+5)^2)/(22^2))+18*SIN(2*PI()*(Model_Data!A141)/70))+Inputs!$C$28*EXP(-(((Model_Data!A141)-Inputs!$C$29)^2)/(2*Inputs!$C$31^2))*EXP(-(((0)-Inputs!$C$30)^2)/(2*Inputs!$C$32^2))+-Inputs!$C$33*EXP(-(((((Model_Data!A141)-Inputs!$C$34)^2)+(((0)-Inputs!$C$35)^2))/(2*Inputs!$C$36^2)))+Inputs!$C$37*(0.55*SIN(2*PI()*(Model_Data!A141)/Inputs!$C$39)+0.35*COS(2*PI()*(0)/Inputs!$C$40)+0.2*SIN(2*PI()*((Model_Data!A141)+(0))/(0.5*(Inputs!$C$39+Inputs!$C$40))))+Inputs!$C$38*SIN(2*PI()*(Model_Data!A141)/Inputs!$C$39)*SIN(2*PI()*(0)/Inputs!$C$40)+-Inputs!$C$41*EXP(-(((0)-Inputs!$C$43)^2)/(2*Inputs!$C$44^2))*EXP(-(((Model_Data!A141)-Inputs!$C$42)^2)/(2*Inputs!$C$45^2))+Inputs!$C$48*(0.70*(0.45*SIN(2*PI()*(((Model_Data!A141)/Inputs!$C$49)+Inputs!$C$47*0.137))+0.35*COS(2*PI()*(((0)/Inputs!$C$50)+Inputs!$C$47*0.173))+0.20*SIN(2*PI()*(((Model_Data!A141)+(0))/(0.5*(Inputs!$C$49+Inputs!$C$50))+Inputs!$C$47*0.097)))+0.30*(2*((SIN(((Model_Data!A141)*12.9898+(0)*78.233+Inputs!$C$47*37.719))*43758.5453)-INT((SIN(((Model_Data!A141)*12.9898+(0)*78.233+Inputs!$C$47*37.719))*43758.5453)))-1))))/1000))*1000/Inputs!$C$12)-((SQRT((Model_Data!A141)^2+Inputs!$C$6^2+Inputs!$C$5^2)-Inputs!$C$5)*1000/Inputs!$C$12)))</x:f>
        <x:v>0.00029953799241866363</x:v>
      </x:c>
      <x:c r="X141" s="48" t="n">
        <x:f>0</x:f>
        <x:v>0</x:v>
      </x:c>
      <x:c r="Y141" s="49"/>
      <x:c r="Z141" s="48" t="n">
        <x:f>Model_Data!A141</x:f>
        <x:v>9.5</x:v>
      </x:c>
      <x:c r="AA141" s="48" t="n">
        <x:f>SQRT((Model_Data!A141)^2+Inputs!$C$6^2+((Model_Data!B141)-((Inputs!$C$51*(115*EXP(-(((Inputs!$C$6)-25)^2)/(4.5^2))+70*EXP(-(((Inputs!$C$6)+38)^2)/(7^2))*(0.55+0.45*SIN(2*PI()*(Model_Data!A141)/45))+24*SIN(2*PI()*(Inputs!$C$6)/9+(Model_Data!A141)/18)*EXP(-(((Inputs!$C$6)+5)^2)/(22^2))+18*SIN(2*PI()*(Model_Data!A141)/70))+Inputs!$C$28*EXP(-(((Model_Data!A141)-Inputs!$C$29)^2)/(2*Inputs!$C$31^2))*EXP(-(((Inputs!$C$6)-Inputs!$C$30)^2)/(2*Inputs!$C$32^2))+-Inputs!$C$33*EXP(-(((((Model_Data!A141)-Inputs!$C$34)^2)+(((Inputs!$C$6)-Inputs!$C$35)^2))/(2*Inputs!$C$36^2)))+Inputs!$C$37*(0.55*SIN(2*PI()*(Model_Data!A141)/Inputs!$C$39)+0.35*COS(2*PI()*(Inputs!$C$6)/Inputs!$C$40)+0.2*SIN(2*PI()*((Model_Data!A141)+(Inputs!$C$6))/(0.5*(Inputs!$C$39+Inputs!$C$40))))+Inputs!$C$38*SIN(2*PI()*(Model_Data!A141)/Inputs!$C$39)*SIN(2*PI()*(Inputs!$C$6)/Inputs!$C$40)+-Inputs!$C$41*EXP(-(((Inputs!$C$6)-Inputs!$C$43)^2)/(2*Inputs!$C$44^2))*EXP(-(((Model_Data!A141)-Inputs!$C$42)^2)/(2*Inputs!$C$45^2))+Inputs!$C$48*(0.70*(0.45*SIN(2*PI()*(((Model_Data!A141)/Inputs!$C$49)+Inputs!$C$47*0.137))+0.35*COS(2*PI()*(((Inputs!$C$6)/Inputs!$C$50)+Inputs!$C$47*0.173))+0.20*SIN(2*PI()*(((Model_Data!A141)+(Inputs!$C$6))/(0.5*(Inputs!$C$49+Inputs!$C$50))+Inputs!$C$47*0.097)))+0.30*(2*((SIN(((Model_Data!A141)*12.9898+(Inputs!$C$6)*78.233+Inputs!$C$47*37.719))*43758.5453)-INT((SIN(((Model_Data!A141)*12.9898+(Inputs!$C$6)*78.233+Inputs!$C$47*37.719))*43758.5453)))-1))))/1000)^2)</x:f>
        <x:v>400.51590681077045</x:v>
      </x:c>
      <x:c r="AB141" s="48" t="n">
        <x:f>1000*(AA142-AA140)/(Z142-Z140)*Inputs!$C$11</x:f>
        <x:v>286.98430039071354</x:v>
      </x:c>
      <x:c r="AC141" s="48" t="n">
        <x:f>-2*AB141/Inputs!$C$13</x:f>
        <x:v>-114.79372015628542</x:v>
      </x:c>
      <x:c r="AD141" s="48" t="n">
        <x:f>-2*AB141/Inputs!$C$14</x:f>
        <x:v>-17.236294317760574</x:v>
      </x:c>
    </x:row>
    <x:row r="142">
      <x:c r="A142" s="48" t="n">
        <x:f>Model_Data!A142</x:f>
        <x:v>10</x:v>
      </x:c>
      <x:c r="B142" s="48" t="n">
        <x:f>Model_Data!F142</x:f>
        <x:v>508.41286159408577</x:v>
      </x:c>
      <x:c r="C142" s="48" t="n">
        <x:f>(((SQRT((Model_Data!A142)^2+Inputs!$C$6^2+((Model_Data!B142)-((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(0.45*SIN(2*PI()*(((Model_Data!A142)/Inputs!$C$49)+Inputs!$C$47*0.137))+0.35*COS(2*PI()*(((Inputs!$C$6)/Inputs!$C$50)+Inputs!$C$47*0.173))+0.20*SIN(2*PI()*(((Model_Data!A142)+(Inputs!$C$6))/(0.5*(Inputs!$C$49+Inputs!$C$50))+Inputs!$C$47*0.097)))+0.30*(2*((SIN(((Model_Data!A142)*12.9898+(Inputs!$C$6)*78.233+Inputs!$C$47*37.719))*43758.5453)-INT((SIN(((Model_Data!A142)*12.9898+(Inputs!$C$6)*78.233+Inputs!$C$47*37.719))*43758.5453)))-1))))/1000)^2))-(((Model_Data!B142)-((Inputs!$C$51*(115*EXP(-(((0)-25)^2)/(4.5^2))+70*EXP(-(((0)+38)^2)/(7^2))*(0.55+0.45*SIN(2*PI()*(Model_Data!A142)/45))+24*SIN(2*PI()*(0)/9+(Model_Data!A142)/18)*EXP(-(((0)+5)^2)/(22^2))+18*SIN(2*PI()*(Model_Data!A142)/70))+Inputs!$C$28*EXP(-(((Model_Data!A142)-Inputs!$C$29)^2)/(2*Inputs!$C$31^2))*EXP(-(((0)-Inputs!$C$30)^2)/(2*Inputs!$C$32^2))+-Inputs!$C$33*EXP(-(((((Model_Data!A142)-Inputs!$C$34)^2)+(((0)-Inputs!$C$35)^2))/(2*Inputs!$C$36^2)))+Inputs!$C$37*(0.55*SIN(2*PI()*(Model_Data!A142)/Inputs!$C$39)+0.35*COS(2*PI()*(0)/Inputs!$C$40)+0.2*SIN(2*PI()*((Model_Data!A142)+(0))/(0.5*(Inputs!$C$39+Inputs!$C$40))))+Inputs!$C$38*SIN(2*PI()*(Model_Data!A142)/Inputs!$C$39)*SIN(2*PI()*(0)/Inputs!$C$40)+-Inputs!$C$41*EXP(-(((0)-Inputs!$C$43)^2)/(2*Inputs!$C$44^2))*EXP(-(((Model_Data!A142)-Inputs!$C$42)^2)/(2*Inputs!$C$45^2))+Inputs!$C$48*(0.70*(0.45*SIN(2*PI()*(((Model_Data!A142)/Inputs!$C$49)+Inputs!$C$47*0.137))+0.35*COS(2*PI()*(((0)/Inputs!$C$50)+Inputs!$C$47*0.173))+0.20*SIN(2*PI()*(((Model_Data!A142)+(0))/(0.5*(Inputs!$C$49+Inputs!$C$50))+Inputs!$C$47*0.097)))+0.30*(2*((SIN(((Model_Data!A142)*12.9898+(0)*78.233+Inputs!$C$47*37.719))*43758.5453)-INT((SIN(((Model_Data!A142)*12.9898+(0)*78.233+Inputs!$C$47*37.719))*43758.5453)))-1))))/1000)))*1000/Inputs!$C$12)</x:f>
        <x:v>249.0052878912276</x:v>
      </x:c>
      <x:c r="D142" s="49"/>
      <x:c r="E142" s="48" t="n">
        <x:f>Model_Data!A142</x:f>
        <x:v>10</x:v>
      </x:c>
      <x:c r="F142" s="48" t="n">
        <x:f>(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(0.45*SIN(2*PI()*(((Model_Data!A142)/Inputs!$C$49)+Inputs!$C$47*0.137))+0.35*COS(2*PI()*(((Inputs!$C$6)/Inputs!$C$50)+Inputs!$C$47*0.173))+0.20*SIN(2*PI()*(((Model_Data!A142)+(Inputs!$C$6))/(0.5*(Inputs!$C$49+Inputs!$C$50))+Inputs!$C$47*0.097)))+0.30*(2*((SIN(((Model_Data!A142)*12.9898+(Inputs!$C$6)*78.233+Inputs!$C$47*37.719))*43758.5453)-INT((SIN(((Model_Data!A142)*12.9898+(Inputs!$C$6)*78.233+Inputs!$C$47*37.719))*43758.5453)))-1)))</x:f>
        <x:v>454.2022007690729</x:v>
      </x:c>
      <x:c r="G142" s="48" t="n">
        <x:f>(Inputs!$C$51*(115*EXP(-(((0)-25)^2)/(4.5^2))+70*EXP(-(((0)+38)^2)/(7^2))*(0.55+0.45*SIN(2*PI()*(Model_Data!A142)/45))+24*SIN(2*PI()*(0)/9+(Model_Data!A142)/18)*EXP(-(((0)+5)^2)/(22^2))+18*SIN(2*PI()*(Model_Data!A142)/70))+Inputs!$C$28*EXP(-(((Model_Data!A142)-Inputs!$C$29)^2)/(2*Inputs!$C$31^2))*EXP(-(((0)-Inputs!$C$30)^2)/(2*Inputs!$C$32^2))+-Inputs!$C$33*EXP(-(((((Model_Data!A142)-Inputs!$C$34)^2)+(((0)-Inputs!$C$35)^2))/(2*Inputs!$C$36^2)))+Inputs!$C$37*(0.55*SIN(2*PI()*(Model_Data!A142)/Inputs!$C$39)+0.35*COS(2*PI()*(0)/Inputs!$C$40)+0.2*SIN(2*PI()*((Model_Data!A142)+(0))/(0.5*(Inputs!$C$39+Inputs!$C$40))))+Inputs!$C$38*SIN(2*PI()*(Model_Data!A142)/Inputs!$C$39)*SIN(2*PI()*(0)/Inputs!$C$40)+-Inputs!$C$41*EXP(-(((0)-Inputs!$C$43)^2)/(2*Inputs!$C$44^2))*EXP(-(((Model_Data!A142)-Inputs!$C$42)^2)/(2*Inputs!$C$45^2))+Inputs!$C$48*(0.70*(0.45*SIN(2*PI()*(((Model_Data!A142)/Inputs!$C$49)+Inputs!$C$47*0.137))+0.35*COS(2*PI()*(((0)/Inputs!$C$50)+Inputs!$C$47*0.173))+0.20*SIN(2*PI()*(((Model_Data!A142)+(0))/(0.5*(Inputs!$C$49+Inputs!$C$50))+Inputs!$C$47*0.097)))+0.30*(2*((SIN(((Model_Data!A142)*12.9898+(0)*78.233+Inputs!$C$47*37.719))*43758.5453)-INT((SIN(((Model_Data!A142)*12.9898+(0)*78.233+Inputs!$C$47*37.719))*43758.5453)))-1)))</x:f>
        <x:v>-8.569441618173819</x:v>
      </x:c>
      <x:c r="H142" s="49"/>
      <x:c r="I142" s="48" t="n">
        <x:f>Model_Data!A142</x:f>
        <x:v>10</x:v>
      </x:c>
      <x:c r="J142" s="48" t="n">
        <x:f>((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(0.45*SIN(2*PI()*(((Model_Data!A142)/Inputs!$C$49)+Inputs!$C$47*0.137))+0.35*COS(2*PI()*(((Inputs!$C$6)/Inputs!$C$50)+Inputs!$C$47*0.173))+0.20*SIN(2*PI()*(((Model_Data!A142)+(Inputs!$C$6))/(0.5*(Inputs!$C$49+Inputs!$C$50))+Inputs!$C$47*0.097)))+0.30*(2*((SIN(((Model_Data!A142)*12.9898+(Inputs!$C$6)*78.233+Inputs!$C$47*37.719))*43758.5453)-INT((SIN(((Model_Data!A142)*12.9898+(Inputs!$C$6)*78.233+Inputs!$C$47*37.719))*43758.5453)))-1))))-((Inputs!$C$51*(115*EXP(-(((0)-25)^2)/(4.5^2))+70*EXP(-(((0)+38)^2)/(7^2))*(0.55+0.45*SIN(2*PI()*(Model_Data!A142)/45))+24*SIN(2*PI()*(0)/9+(Model_Data!A142)/18)*EXP(-(((0)+5)^2)/(22^2))+18*SIN(2*PI()*(Model_Data!A142)/70))+Inputs!$C$28*EXP(-(((Model_Data!A142)-Inputs!$C$29)^2)/(2*Inputs!$C$31^2))*EXP(-(((0)-Inputs!$C$30)^2)/(2*Inputs!$C$32^2))+-Inputs!$C$33*EXP(-(((((Model_Data!A142)-Inputs!$C$34)^2)+(((0)-Inputs!$C$35)^2))/(2*Inputs!$C$36^2)))+Inputs!$C$37*(0.55*SIN(2*PI()*(Model_Data!A142)/Inputs!$C$39)+0.35*COS(2*PI()*(0)/Inputs!$C$40)+0.2*SIN(2*PI()*((Model_Data!A142)+(0))/(0.5*(Inputs!$C$39+Inputs!$C$40))))+Inputs!$C$38*SIN(2*PI()*(Model_Data!A142)/Inputs!$C$39)*SIN(2*PI()*(0)/Inputs!$C$40)+-Inputs!$C$41*EXP(-(((0)-Inputs!$C$43)^2)/(2*Inputs!$C$44^2))*EXP(-(((Model_Data!A142)-Inputs!$C$42)^2)/(2*Inputs!$C$45^2))+Inputs!$C$48*(0.70*(0.45*SIN(2*PI()*(((Model_Data!A142)/Inputs!$C$49)+Inputs!$C$47*0.137))+0.35*COS(2*PI()*(((0)/Inputs!$C$50)+Inputs!$C$47*0.173))+0.20*SIN(2*PI()*(((Model_Data!A142)+(0))/(0.5*(Inputs!$C$49+Inputs!$C$50))+Inputs!$C$47*0.097)))+0.30*(2*((SIN(((Model_Data!A142)*12.9898+(0)*78.233+Inputs!$C$47*37.719))*43758.5453)-INT((SIN(((Model_Data!A142)*12.9898+(0)*78.233+Inputs!$C$47*37.719))*43758.5453)))-1))))</x:f>
        <x:v>462.7716423872467</x:v>
      </x:c>
      <x:c r="K142" s="48" t="n">
        <x:f>-((((SQRT((Model_Data!A142)^2+Inputs!$C$6^2+((Model_Data!B142)-((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(0.45*SIN(2*PI()*(((Model_Data!A142)/Inputs!$C$49)+Inputs!$C$47*0.137))+0.35*COS(2*PI()*(((Inputs!$C$6)/Inputs!$C$50)+Inputs!$C$47*0.173))+0.20*SIN(2*PI()*(((Model_Data!A142)+(Inputs!$C$6))/(0.5*(Inputs!$C$49+Inputs!$C$50))+Inputs!$C$47*0.097)))+0.30*(2*((SIN(((Model_Data!A142)*12.9898+(Inputs!$C$6)*78.233+Inputs!$C$47*37.719))*43758.5453)-INT((SIN(((Model_Data!A142)*12.9898+(Inputs!$C$6)*78.233+Inputs!$C$47*37.719))*43758.5453)))-1))))/1000)^2))-(((Model_Data!B142)-((Inputs!$C$51*(115*EXP(-(((0)-25)^2)/(4.5^2))+70*EXP(-(((0)+38)^2)/(7^2))*(0.55+0.45*SIN(2*PI()*(Model_Data!A142)/45))+24*SIN(2*PI()*(0)/9+(Model_Data!A142)/18)*EXP(-(((0)+5)^2)/(22^2))+18*SIN(2*PI()*(Model_Data!A142)/70))+Inputs!$C$28*EXP(-(((Model_Data!A142)-Inputs!$C$29)^2)/(2*Inputs!$C$31^2))*EXP(-(((0)-Inputs!$C$30)^2)/(2*Inputs!$C$32^2))+-Inputs!$C$33*EXP(-(((((Model_Data!A142)-Inputs!$C$34)^2)+(((0)-Inputs!$C$35)^2))/(2*Inputs!$C$36^2)))+Inputs!$C$37*(0.55*SIN(2*PI()*(Model_Data!A142)/Inputs!$C$39)+0.35*COS(2*PI()*(0)/Inputs!$C$40)+0.2*SIN(2*PI()*((Model_Data!A142)+(0))/(0.5*(Inputs!$C$39+Inputs!$C$40))))+Inputs!$C$38*SIN(2*PI()*(Model_Data!A142)/Inputs!$C$39)*SIN(2*PI()*(0)/Inputs!$C$40)+-Inputs!$C$41*EXP(-(((0)-Inputs!$C$43)^2)/(2*Inputs!$C$44^2))*EXP(-(((Model_Data!A142)-Inputs!$C$42)^2)/(2*Inputs!$C$45^2))+Inputs!$C$48*(0.70*(0.45*SIN(2*PI()*(((Model_Data!A142)/Inputs!$C$49)+Inputs!$C$47*0.137))+0.35*COS(2*PI()*(((0)/Inputs!$C$50)+Inputs!$C$47*0.173))+0.20*SIN(2*PI()*(((Model_Data!A142)+(0))/(0.5*(Inputs!$C$49+Inputs!$C$50))+Inputs!$C$47*0.097)))+0.30*(2*((SIN(((Model_Data!A142)*12.9898+(0)*78.233+Inputs!$C$47*37.719))*43758.5453)-INT((SIN(((Model_Data!A142)*12.9898+(0)*78.233+Inputs!$C$47*37.719))*43758.5453)))-1))))/1000)))*1000/Inputs!$C$12)-Model_Data!F142)</x:f>
        <x:v>259.40757370285814</x:v>
      </x:c>
      <x:c r="L142" s="49"/>
      <x:c r="M142" s="48" t="n">
        <x:f>Model_Data!A142</x:f>
        <x:v>10</x:v>
      </x:c>
      <x:c r="N142" s="48" t="n">
        <x:f>Model_Data!P142</x:f>
        <x:v>-75.37396601878024</x:v>
      </x:c>
      <x:c r="O142" s="48" t="n">
        <x:f>AC142</x:f>
        <x:v>-139.81921457298085</x:v>
      </x:c>
      <x:c r="P142" s="48" t="n">
        <x:f>Model_Data!Q142</x:f>
        <x:v>-11.317412315132168</x:v>
      </x:c>
      <x:c r="Q142" s="48" t="n">
        <x:f>AD142</x:f>
        <x:v>-20.99387606200914</x:v>
      </x:c>
      <x:c r="R142" s="49"/>
      <x:c r="S142" s="48" t="n">
        <x:f>Model_Data!A142</x:f>
        <x:v>10</x:v>
      </x:c>
      <x:c r="T142" s="48" t="n">
        <x:f>Model_Data!B142-Inputs!$C$5</x:f>
        <x:v>0.11111111111108585</x:v>
      </x:c>
      <x:c r="U142" s="49"/>
      <x:c r="V142" s="48" t="n">
        <x:f>Model_Data!A142</x:f>
        <x:v>10</x:v>
      </x:c>
      <x:c r="W142" s="48" t="n">
        <x:f>(-((((SQRT((Model_Data!A142)^2+Inputs!$C$6^2+((Model_Data!B142)-((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(0.45*SIN(2*PI()*(((Model_Data!A142)/Inputs!$C$49)+Inputs!$C$47*0.137))+0.35*COS(2*PI()*(((Inputs!$C$6)/Inputs!$C$50)+Inputs!$C$47*0.173))+0.20*SIN(2*PI()*(((Model_Data!A142)+(Inputs!$C$6))/(0.5*(Inputs!$C$49+Inputs!$C$50))+Inputs!$C$47*0.097)))+0.30*(2*((SIN(((Model_Data!A142)*12.9898+(Inputs!$C$6)*78.233+Inputs!$C$47*37.719))*43758.5453)-INT((SIN(((Model_Data!A142)*12.9898+(Inputs!$C$6)*78.233+Inputs!$C$47*37.719))*43758.5453)))-1))))/1000)^2))-(((Model_Data!B142)-((Inputs!$C$51*(115*EXP(-(((0)-25)^2)/(4.5^2))+70*EXP(-(((0)+38)^2)/(7^2))*(0.55+0.45*SIN(2*PI()*(Model_Data!A142)/45))+24*SIN(2*PI()*(0)/9+(Model_Data!A142)/18)*EXP(-(((0)+5)^2)/(22^2))+18*SIN(2*PI()*(Model_Data!A142)/70))+Inputs!$C$28*EXP(-(((Model_Data!A142)-Inputs!$C$29)^2)/(2*Inputs!$C$31^2))*EXP(-(((0)-Inputs!$C$30)^2)/(2*Inputs!$C$32^2))+-Inputs!$C$33*EXP(-(((((Model_Data!A142)-Inputs!$C$34)^2)+(((0)-Inputs!$C$35)^2))/(2*Inputs!$C$36^2)))+Inputs!$C$37*(0.55*SIN(2*PI()*(Model_Data!A142)/Inputs!$C$39)+0.35*COS(2*PI()*(0)/Inputs!$C$40)+0.2*SIN(2*PI()*((Model_Data!A142)+(0))/(0.5*(Inputs!$C$39+Inputs!$C$40))))+Inputs!$C$38*SIN(2*PI()*(Model_Data!A142)/Inputs!$C$39)*SIN(2*PI()*(0)/Inputs!$C$40)+-Inputs!$C$41*EXP(-(((0)-Inputs!$C$43)^2)/(2*Inputs!$C$44^2))*EXP(-(((Model_Data!A142)-Inputs!$C$42)^2)/(2*Inputs!$C$45^2))+Inputs!$C$48*(0.70*(0.45*SIN(2*PI()*(((Model_Data!A142)/Inputs!$C$49)+Inputs!$C$47*0.137))+0.35*COS(2*PI()*(((0)/Inputs!$C$50)+Inputs!$C$47*0.173))+0.20*SIN(2*PI()*(((Model_Data!A142)+(0))/(0.5*(Inputs!$C$49+Inputs!$C$50))+Inputs!$C$47*0.097)))+0.30*(2*((SIN(((Model_Data!A142)*12.9898+(0)*78.233+Inputs!$C$47*37.719))*43758.5453)-INT((SIN(((Model_Data!A142)*12.9898+(0)*78.233+Inputs!$C$47*37.719))*43758.5453)))-1))))/1000)))*1000/Inputs!$C$12)-Model_Data!F142))-(-(((SQRT((Model_Data!A142)^2+Inputs!$C$6^2+(Inputs!$C$5-((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(0.45*SIN(2*PI()*(((Model_Data!A142)/Inputs!$C$49)+Inputs!$C$47*0.137))+0.35*COS(2*PI()*(((Inputs!$C$6)/Inputs!$C$50)+Inputs!$C$47*0.173))+0.20*SIN(2*PI()*(((Model_Data!A142)+(Inputs!$C$6))/(0.5*(Inputs!$C$49+Inputs!$C$50))+Inputs!$C$47*0.097)))+0.30*(2*((SIN(((Model_Data!A142)*12.9898+(Inputs!$C$6)*78.233+Inputs!$C$47*37.719))*43758.5453)-INT((SIN(((Model_Data!A142)*12.9898+(Inputs!$C$6)*78.233+Inputs!$C$47*37.719))*43758.5453)))-1))))/1000)^2)-(Inputs!$C$5-((Inputs!$C$51*(115*EXP(-(((0)-25)^2)/(4.5^2))+70*EXP(-(((0)+38)^2)/(7^2))*(0.55+0.45*SIN(2*PI()*(Model_Data!A142)/45))+24*SIN(2*PI()*(0)/9+(Model_Data!A142)/18)*EXP(-(((0)+5)^2)/(22^2))+18*SIN(2*PI()*(Model_Data!A142)/70))+Inputs!$C$28*EXP(-(((Model_Data!A142)-Inputs!$C$29)^2)/(2*Inputs!$C$31^2))*EXP(-(((0)-Inputs!$C$30)^2)/(2*Inputs!$C$32^2))+-Inputs!$C$33*EXP(-(((((Model_Data!A142)-Inputs!$C$34)^2)+(((0)-Inputs!$C$35)^2))/(2*Inputs!$C$36^2)))+Inputs!$C$37*(0.55*SIN(2*PI()*(Model_Data!A142)/Inputs!$C$39)+0.35*COS(2*PI()*(0)/Inputs!$C$40)+0.2*SIN(2*PI()*((Model_Data!A142)+(0))/(0.5*(Inputs!$C$39+Inputs!$C$40))))+Inputs!$C$38*SIN(2*PI()*(Model_Data!A142)/Inputs!$C$39)*SIN(2*PI()*(0)/Inputs!$C$40)+-Inputs!$C$41*EXP(-(((0)-Inputs!$C$43)^2)/(2*Inputs!$C$44^2))*EXP(-(((Model_Data!A142)-Inputs!$C$42)^2)/(2*Inputs!$C$45^2))+Inputs!$C$48*(0.70*(0.45*SIN(2*PI()*(((Model_Data!A142)/Inputs!$C$49)+Inputs!$C$47*0.137))+0.35*COS(2*PI()*(((0)/Inputs!$C$50)+Inputs!$C$47*0.173))+0.20*SIN(2*PI()*(((Model_Data!A142)+(0))/(0.5*(Inputs!$C$49+Inputs!$C$50))+Inputs!$C$47*0.097)))+0.30*(2*((SIN(((Model_Data!A142)*12.9898+(0)*78.233+Inputs!$C$47*37.719))*43758.5453)-INT((SIN(((Model_Data!A142)*12.9898+(0)*78.233+Inputs!$C$47*37.719))*43758.5453)))-1))))/1000))*1000/Inputs!$C$12)-((SQRT((Model_Data!A142)^2+Inputs!$C$6^2+Inputs!$C$5^2)-Inputs!$C$5)*1000/Inputs!$C$12)))</x:f>
        <x:v>0.00031941565697479746</x:v>
      </x:c>
      <x:c r="X142" s="48" t="n">
        <x:f>0</x:f>
        <x:v>0</x:v>
      </x:c>
      <x:c r="Y142" s="49"/>
      <x:c r="Z142" s="48" t="n">
        <x:f>Model_Data!A142</x:f>
        <x:v>10</x:v>
      </x:c>
      <x:c r="AA142" s="48" t="n">
        <x:f>SQRT((Model_Data!A142)^2+Inputs!$C$6^2+((Model_Data!B142)-((Inputs!$C$51*(115*EXP(-(((Inputs!$C$6)-25)^2)/(4.5^2))+70*EXP(-(((Inputs!$C$6)+38)^2)/(7^2))*(0.55+0.45*SIN(2*PI()*(Model_Data!A142)/45))+24*SIN(2*PI()*(Inputs!$C$6)/9+(Model_Data!A142)/18)*EXP(-(((Inputs!$C$6)+5)^2)/(22^2))+18*SIN(2*PI()*(Model_Data!A142)/70))+Inputs!$C$28*EXP(-(((Model_Data!A142)-Inputs!$C$29)^2)/(2*Inputs!$C$31^2))*EXP(-(((Inputs!$C$6)-Inputs!$C$30)^2)/(2*Inputs!$C$32^2))+-Inputs!$C$33*EXP(-(((((Model_Data!A142)-Inputs!$C$34)^2)+(((Inputs!$C$6)-Inputs!$C$35)^2))/(2*Inputs!$C$36^2)))+Inputs!$C$37*(0.55*SIN(2*PI()*(Model_Data!A142)/Inputs!$C$39)+0.35*COS(2*PI()*(Inputs!$C$6)/Inputs!$C$40)+0.2*SIN(2*PI()*((Model_Data!A142)+(Inputs!$C$6))/(0.5*(Inputs!$C$39+Inputs!$C$40))))+Inputs!$C$38*SIN(2*PI()*(Model_Data!A142)/Inputs!$C$39)*SIN(2*PI()*(Inputs!$C$6)/Inputs!$C$40)+-Inputs!$C$41*EXP(-(((Inputs!$C$6)-Inputs!$C$43)^2)/(2*Inputs!$C$44^2))*EXP(-(((Model_Data!A142)-Inputs!$C$42)^2)/(2*Inputs!$C$45^2))+Inputs!$C$48*(0.70*(0.45*SIN(2*PI()*(((Model_Data!A142)/Inputs!$C$49)+Inputs!$C$47*0.137))+0.35*COS(2*PI()*(((Inputs!$C$6)/Inputs!$C$50)+Inputs!$C$47*0.173))+0.20*SIN(2*PI()*(((Model_Data!A142)+(Inputs!$C$6))/(0.5*(Inputs!$C$49+Inputs!$C$50))+Inputs!$C$47*0.097)))+0.30*(2*((SIN(((Model_Data!A142)*12.9898+(Inputs!$C$6)*78.233+Inputs!$C$47*37.719))*43758.5453)-INT((SIN(((Model_Data!A142)*12.9898+(Inputs!$C$6)*78.233+Inputs!$C$47*37.719))*43758.5453)))-1))))/1000)^2)</x:f>
        <x:v>400.56290996517566</x:v>
      </x:c>
      <x:c r="AB142" s="48" t="n">
        <x:f>1000*(AA143-AA141)/(Z143-Z141)*Inputs!$C$11</x:f>
        <x:v>349.54803643245214</x:v>
      </x:c>
      <x:c r="AC142" s="48" t="n">
        <x:f>-2*AB142/Inputs!$C$13</x:f>
        <x:v>-139.81921457298085</x:v>
      </x:c>
      <x:c r="AD142" s="48" t="n">
        <x:f>-2*AB142/Inputs!$C$14</x:f>
        <x:v>-20.99387606200914</x:v>
      </x:c>
    </x:row>
    <x:row r="143">
      <x:c r="A143" s="48" t="n">
        <x:f>Model_Data!A143</x:f>
        <x:v>10.5</x:v>
      </x:c>
      <x:c r="B143" s="48" t="n">
        <x:f>Model_Data!F143</x:f>
        <x:v>515.5779006869442</x:v>
      </x:c>
      <x:c r="C143" s="48" t="n">
        <x:f>(((SQRT((Model_Data!A143)^2+Inputs!$C$6^2+((Model_Data!B143)-((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(0.45*SIN(2*PI()*(((Model_Data!A143)/Inputs!$C$49)+Inputs!$C$47*0.137))+0.35*COS(2*PI()*(((Inputs!$C$6)/Inputs!$C$50)+Inputs!$C$47*0.173))+0.20*SIN(2*PI()*(((Model_Data!A143)+(Inputs!$C$6))/(0.5*(Inputs!$C$49+Inputs!$C$50))+Inputs!$C$47*0.097)))+0.30*(2*((SIN(((Model_Data!A143)*12.9898+(Inputs!$C$6)*78.233+Inputs!$C$47*37.719))*43758.5453)-INT((SIN(((Model_Data!A143)*12.9898+(Inputs!$C$6)*78.233+Inputs!$C$47*37.719))*43758.5453)))-1))))/1000)^2))-(((Model_Data!B143)-((Inputs!$C$51*(115*EXP(-(((0)-25)^2)/(4.5^2))+70*EXP(-(((0)+38)^2)/(7^2))*(0.55+0.45*SIN(2*PI()*(Model_Data!A143)/45))+24*SIN(2*PI()*(0)/9+(Model_Data!A143)/18)*EXP(-(((0)+5)^2)/(22^2))+18*SIN(2*PI()*(Model_Data!A143)/70))+Inputs!$C$28*EXP(-(((Model_Data!A143)-Inputs!$C$29)^2)/(2*Inputs!$C$31^2))*EXP(-(((0)-Inputs!$C$30)^2)/(2*Inputs!$C$32^2))+-Inputs!$C$33*EXP(-(((((Model_Data!A143)-Inputs!$C$34)^2)+(((0)-Inputs!$C$35)^2))/(2*Inputs!$C$36^2)))+Inputs!$C$37*(0.55*SIN(2*PI()*(Model_Data!A143)/Inputs!$C$39)+0.35*COS(2*PI()*(0)/Inputs!$C$40)+0.2*SIN(2*PI()*((Model_Data!A143)+(0))/(0.5*(Inputs!$C$39+Inputs!$C$40))))+Inputs!$C$38*SIN(2*PI()*(Model_Data!A143)/Inputs!$C$39)*SIN(2*PI()*(0)/Inputs!$C$40)+-Inputs!$C$41*EXP(-(((0)-Inputs!$C$43)^2)/(2*Inputs!$C$44^2))*EXP(-(((Model_Data!A143)-Inputs!$C$42)^2)/(2*Inputs!$C$45^2))+Inputs!$C$48*(0.70*(0.45*SIN(2*PI()*(((Model_Data!A143)/Inputs!$C$49)+Inputs!$C$47*0.137))+0.35*COS(2*PI()*(((0)/Inputs!$C$50)+Inputs!$C$47*0.173))+0.20*SIN(2*PI()*(((Model_Data!A143)+(0))/(0.5*(Inputs!$C$49+Inputs!$C$50))+Inputs!$C$47*0.097)))+0.30*(2*((SIN(((Model_Data!A143)*12.9898+(0)*78.233+Inputs!$C$47*37.719))*43758.5453)-INT((SIN(((Model_Data!A143)*12.9898+(0)*78.233+Inputs!$C$47*37.719))*43758.5453)))-1))))/1000)))*1000/Inputs!$C$12)</x:f>
        <x:v>272.88208443052827</x:v>
      </x:c>
      <x:c r="D143" s="49"/>
      <x:c r="E143" s="48" t="n">
        <x:f>Model_Data!A143</x:f>
        <x:v>10.5</x:v>
      </x:c>
      <x:c r="F143" s="48" t="n">
        <x:f>(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(0.45*SIN(2*PI()*(((Model_Data!A143)/Inputs!$C$49)+Inputs!$C$47*0.137))+0.35*COS(2*PI()*(((Inputs!$C$6)/Inputs!$C$50)+Inputs!$C$47*0.173))+0.20*SIN(2*PI()*(((Model_Data!A143)+(Inputs!$C$6))/(0.5*(Inputs!$C$49+Inputs!$C$50))+Inputs!$C$47*0.097)))+0.30*(2*((SIN(((Model_Data!A143)*12.9898+(Inputs!$C$6)*78.233+Inputs!$C$47*37.719))*43758.5453)-INT((SIN(((Model_Data!A143)*12.9898+(Inputs!$C$6)*78.233+Inputs!$C$47*37.719))*43758.5453)))-1)))</x:f>
        <x:v>437.9381023255588</x:v>
      </x:c>
      <x:c r="G143" s="48" t="n">
        <x:f>(Inputs!$C$51*(115*EXP(-(((0)-25)^2)/(4.5^2))+70*EXP(-(((0)+38)^2)/(7^2))*(0.55+0.45*SIN(2*PI()*(Model_Data!A143)/45))+24*SIN(2*PI()*(0)/9+(Model_Data!A143)/18)*EXP(-(((0)+5)^2)/(22^2))+18*SIN(2*PI()*(Model_Data!A143)/70))+Inputs!$C$28*EXP(-(((Model_Data!A143)-Inputs!$C$29)^2)/(2*Inputs!$C$31^2))*EXP(-(((0)-Inputs!$C$30)^2)/(2*Inputs!$C$32^2))+-Inputs!$C$33*EXP(-(((((Model_Data!A143)-Inputs!$C$34)^2)+(((0)-Inputs!$C$35)^2))/(2*Inputs!$C$36^2)))+Inputs!$C$37*(0.55*SIN(2*PI()*(Model_Data!A143)/Inputs!$C$39)+0.35*COS(2*PI()*(0)/Inputs!$C$40)+0.2*SIN(2*PI()*((Model_Data!A143)+(0))/(0.5*(Inputs!$C$39+Inputs!$C$40))))+Inputs!$C$38*SIN(2*PI()*(Model_Data!A143)/Inputs!$C$39)*SIN(2*PI()*(0)/Inputs!$C$40)+-Inputs!$C$41*EXP(-(((0)-Inputs!$C$43)^2)/(2*Inputs!$C$44^2))*EXP(-(((Model_Data!A143)-Inputs!$C$42)^2)/(2*Inputs!$C$45^2))+Inputs!$C$48*(0.70*(0.45*SIN(2*PI()*(((Model_Data!A143)/Inputs!$C$49)+Inputs!$C$47*0.137))+0.35*COS(2*PI()*(((0)/Inputs!$C$50)+Inputs!$C$47*0.173))+0.20*SIN(2*PI()*(((Model_Data!A143)+(0))/(0.5*(Inputs!$C$49+Inputs!$C$50))+Inputs!$C$47*0.097)))+0.30*(2*((SIN(((Model_Data!A143)*12.9898+(0)*78.233+Inputs!$C$47*37.719))*43758.5453)-INT((SIN(((Model_Data!A143)*12.9898+(0)*78.233+Inputs!$C$47*37.719))*43758.5453)))-1)))</x:f>
        <x:v>4.936290407774814</x:v>
      </x:c>
      <x:c r="H143" s="49"/>
      <x:c r="I143" s="48" t="n">
        <x:f>Model_Data!A143</x:f>
        <x:v>10.5</x:v>
      </x:c>
      <x:c r="J143" s="48" t="n">
        <x:f>((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(0.45*SIN(2*PI()*(((Model_Data!A143)/Inputs!$C$49)+Inputs!$C$47*0.137))+0.35*COS(2*PI()*(((Inputs!$C$6)/Inputs!$C$50)+Inputs!$C$47*0.173))+0.20*SIN(2*PI()*(((Model_Data!A143)+(Inputs!$C$6))/(0.5*(Inputs!$C$49+Inputs!$C$50))+Inputs!$C$47*0.097)))+0.30*(2*((SIN(((Model_Data!A143)*12.9898+(Inputs!$C$6)*78.233+Inputs!$C$47*37.719))*43758.5453)-INT((SIN(((Model_Data!A143)*12.9898+(Inputs!$C$6)*78.233+Inputs!$C$47*37.719))*43758.5453)))-1))))-((Inputs!$C$51*(115*EXP(-(((0)-25)^2)/(4.5^2))+70*EXP(-(((0)+38)^2)/(7^2))*(0.55+0.45*SIN(2*PI()*(Model_Data!A143)/45))+24*SIN(2*PI()*(0)/9+(Model_Data!A143)/18)*EXP(-(((0)+5)^2)/(22^2))+18*SIN(2*PI()*(Model_Data!A143)/70))+Inputs!$C$28*EXP(-(((Model_Data!A143)-Inputs!$C$29)^2)/(2*Inputs!$C$31^2))*EXP(-(((0)-Inputs!$C$30)^2)/(2*Inputs!$C$32^2))+-Inputs!$C$33*EXP(-(((((Model_Data!A143)-Inputs!$C$34)^2)+(((0)-Inputs!$C$35)^2))/(2*Inputs!$C$36^2)))+Inputs!$C$37*(0.55*SIN(2*PI()*(Model_Data!A143)/Inputs!$C$39)+0.35*COS(2*PI()*(0)/Inputs!$C$40)+0.2*SIN(2*PI()*((Model_Data!A143)+(0))/(0.5*(Inputs!$C$39+Inputs!$C$40))))+Inputs!$C$38*SIN(2*PI()*(Model_Data!A143)/Inputs!$C$39)*SIN(2*PI()*(0)/Inputs!$C$40)+-Inputs!$C$41*EXP(-(((0)-Inputs!$C$43)^2)/(2*Inputs!$C$44^2))*EXP(-(((Model_Data!A143)-Inputs!$C$42)^2)/(2*Inputs!$C$45^2))+Inputs!$C$48*(0.70*(0.45*SIN(2*PI()*(((Model_Data!A143)/Inputs!$C$49)+Inputs!$C$47*0.137))+0.35*COS(2*PI()*(((0)/Inputs!$C$50)+Inputs!$C$47*0.173))+0.20*SIN(2*PI()*(((Model_Data!A143)+(0))/(0.5*(Inputs!$C$49+Inputs!$C$50))+Inputs!$C$47*0.097)))+0.30*(2*((SIN(((Model_Data!A143)*12.9898+(0)*78.233+Inputs!$C$47*37.719))*43758.5453)-INT((SIN(((Model_Data!A143)*12.9898+(0)*78.233+Inputs!$C$47*37.719))*43758.5453)))-1))))</x:f>
        <x:v>433.001811917784</x:v>
      </x:c>
      <x:c r="K143" s="48" t="n">
        <x:f>-((((SQRT((Model_Data!A143)^2+Inputs!$C$6^2+((Model_Data!B143)-((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(0.45*SIN(2*PI()*(((Model_Data!A143)/Inputs!$C$49)+Inputs!$C$47*0.137))+0.35*COS(2*PI()*(((Inputs!$C$6)/Inputs!$C$50)+Inputs!$C$47*0.173))+0.20*SIN(2*PI()*(((Model_Data!A143)+(Inputs!$C$6))/(0.5*(Inputs!$C$49+Inputs!$C$50))+Inputs!$C$47*0.097)))+0.30*(2*((SIN(((Model_Data!A143)*12.9898+(Inputs!$C$6)*78.233+Inputs!$C$47*37.719))*43758.5453)-INT((SIN(((Model_Data!A143)*12.9898+(Inputs!$C$6)*78.233+Inputs!$C$47*37.719))*43758.5453)))-1))))/1000)^2))-(((Model_Data!B143)-((Inputs!$C$51*(115*EXP(-(((0)-25)^2)/(4.5^2))+70*EXP(-(((0)+38)^2)/(7^2))*(0.55+0.45*SIN(2*PI()*(Model_Data!A143)/45))+24*SIN(2*PI()*(0)/9+(Model_Data!A143)/18)*EXP(-(((0)+5)^2)/(22^2))+18*SIN(2*PI()*(Model_Data!A143)/70))+Inputs!$C$28*EXP(-(((Model_Data!A143)-Inputs!$C$29)^2)/(2*Inputs!$C$31^2))*EXP(-(((0)-Inputs!$C$30)^2)/(2*Inputs!$C$32^2))+-Inputs!$C$33*EXP(-(((((Model_Data!A143)-Inputs!$C$34)^2)+(((0)-Inputs!$C$35)^2))/(2*Inputs!$C$36^2)))+Inputs!$C$37*(0.55*SIN(2*PI()*(Model_Data!A143)/Inputs!$C$39)+0.35*COS(2*PI()*(0)/Inputs!$C$40)+0.2*SIN(2*PI()*((Model_Data!A143)+(0))/(0.5*(Inputs!$C$39+Inputs!$C$40))))+Inputs!$C$38*SIN(2*PI()*(Model_Data!A143)/Inputs!$C$39)*SIN(2*PI()*(0)/Inputs!$C$40)+-Inputs!$C$41*EXP(-(((0)-Inputs!$C$43)^2)/(2*Inputs!$C$44^2))*EXP(-(((Model_Data!A143)-Inputs!$C$42)^2)/(2*Inputs!$C$45^2))+Inputs!$C$48*(0.70*(0.45*SIN(2*PI()*(((Model_Data!A143)/Inputs!$C$49)+Inputs!$C$47*0.137))+0.35*COS(2*PI()*(((0)/Inputs!$C$50)+Inputs!$C$47*0.173))+0.20*SIN(2*PI()*(((Model_Data!A143)+(0))/(0.5*(Inputs!$C$49+Inputs!$C$50))+Inputs!$C$47*0.097)))+0.30*(2*((SIN(((Model_Data!A143)*12.9898+(0)*78.233+Inputs!$C$47*37.719))*43758.5453)-INT((SIN(((Model_Data!A143)*12.9898+(0)*78.233+Inputs!$C$47*37.719))*43758.5453)))-1))))/1000)))*1000/Inputs!$C$12)-Model_Data!F143)</x:f>
        <x:v>242.69581625641592</x:v>
      </x:c>
      <x:c r="L143" s="49"/>
      <x:c r="M143" s="48" t="n">
        <x:f>Model_Data!A143</x:f>
        <x:v>10.5</x:v>
      </x:c>
      <x:c r="N143" s="48" t="n">
        <x:f>Model_Data!P143</x:f>
        <x:v>-79.13896012990475</x:v>
      </x:c>
      <x:c r="O143" s="48" t="n">
        <x:f>AC143</x:f>
        <x:v>-93.97332698399623</x:v>
      </x:c>
      <x:c r="P143" s="48" t="n">
        <x:f>Model_Data!Q143</x:f>
        <x:v>-11.882726746231945</x:v>
      </x:c>
      <x:c r="Q143" s="48" t="n">
        <x:f>AD143</x:f>
        <x:v>-14.110109156756192</x:v>
      </x:c>
      <x:c r="R143" s="49"/>
      <x:c r="S143" s="48" t="n">
        <x:f>Model_Data!A143</x:f>
        <x:v>10.5</x:v>
      </x:c>
      <x:c r="T143" s="48" t="n">
        <x:f>Model_Data!B143-Inputs!$C$5</x:f>
        <x:v>0.12250000000000227</x:v>
      </x:c>
      <x:c r="U143" s="49"/>
      <x:c r="V143" s="48" t="n">
        <x:f>Model_Data!A143</x:f>
        <x:v>10.5</x:v>
      </x:c>
      <x:c r="W143" s="48" t="n">
        <x:f>(-((((SQRT((Model_Data!A143)^2+Inputs!$C$6^2+((Model_Data!B143)-((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(0.45*SIN(2*PI()*(((Model_Data!A143)/Inputs!$C$49)+Inputs!$C$47*0.137))+0.35*COS(2*PI()*(((Inputs!$C$6)/Inputs!$C$50)+Inputs!$C$47*0.173))+0.20*SIN(2*PI()*(((Model_Data!A143)+(Inputs!$C$6))/(0.5*(Inputs!$C$49+Inputs!$C$50))+Inputs!$C$47*0.097)))+0.30*(2*((SIN(((Model_Data!A143)*12.9898+(Inputs!$C$6)*78.233+Inputs!$C$47*37.719))*43758.5453)-INT((SIN(((Model_Data!A143)*12.9898+(Inputs!$C$6)*78.233+Inputs!$C$47*37.719))*43758.5453)))-1))))/1000)^2))-(((Model_Data!B143)-((Inputs!$C$51*(115*EXP(-(((0)-25)^2)/(4.5^2))+70*EXP(-(((0)+38)^2)/(7^2))*(0.55+0.45*SIN(2*PI()*(Model_Data!A143)/45))+24*SIN(2*PI()*(0)/9+(Model_Data!A143)/18)*EXP(-(((0)+5)^2)/(22^2))+18*SIN(2*PI()*(Model_Data!A143)/70))+Inputs!$C$28*EXP(-(((Model_Data!A143)-Inputs!$C$29)^2)/(2*Inputs!$C$31^2))*EXP(-(((0)-Inputs!$C$30)^2)/(2*Inputs!$C$32^2))+-Inputs!$C$33*EXP(-(((((Model_Data!A143)-Inputs!$C$34)^2)+(((0)-Inputs!$C$35)^2))/(2*Inputs!$C$36^2)))+Inputs!$C$37*(0.55*SIN(2*PI()*(Model_Data!A143)/Inputs!$C$39)+0.35*COS(2*PI()*(0)/Inputs!$C$40)+0.2*SIN(2*PI()*((Model_Data!A143)+(0))/(0.5*(Inputs!$C$39+Inputs!$C$40))))+Inputs!$C$38*SIN(2*PI()*(Model_Data!A143)/Inputs!$C$39)*SIN(2*PI()*(0)/Inputs!$C$40)+-Inputs!$C$41*EXP(-(((0)-Inputs!$C$43)^2)/(2*Inputs!$C$44^2))*EXP(-(((Model_Data!A143)-Inputs!$C$42)^2)/(2*Inputs!$C$45^2))+Inputs!$C$48*(0.70*(0.45*SIN(2*PI()*(((Model_Data!A143)/Inputs!$C$49)+Inputs!$C$47*0.137))+0.35*COS(2*PI()*(((0)/Inputs!$C$50)+Inputs!$C$47*0.173))+0.20*SIN(2*PI()*(((Model_Data!A143)+(0))/(0.5*(Inputs!$C$49+Inputs!$C$50))+Inputs!$C$47*0.097)))+0.30*(2*((SIN(((Model_Data!A143)*12.9898+(0)*78.233+Inputs!$C$47*37.719))*43758.5453)-INT((SIN(((Model_Data!A143)*12.9898+(0)*78.233+Inputs!$C$47*37.719))*43758.5453)))-1))))/1000)))*1000/Inputs!$C$12)-Model_Data!F143))-(-(((SQRT((Model_Data!A143)^2+Inputs!$C$6^2+(Inputs!$C$5-((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(0.45*SIN(2*PI()*(((Model_Data!A143)/Inputs!$C$49)+Inputs!$C$47*0.137))+0.35*COS(2*PI()*(((Inputs!$C$6)/Inputs!$C$50)+Inputs!$C$47*0.173))+0.20*SIN(2*PI()*(((Model_Data!A143)+(Inputs!$C$6))/(0.5*(Inputs!$C$49+Inputs!$C$50))+Inputs!$C$47*0.097)))+0.30*(2*((SIN(((Model_Data!A143)*12.9898+(Inputs!$C$6)*78.233+Inputs!$C$47*37.719))*43758.5453)-INT((SIN(((Model_Data!A143)*12.9898+(Inputs!$C$6)*78.233+Inputs!$C$47*37.719))*43758.5453)))-1))))/1000)^2)-(Inputs!$C$5-((Inputs!$C$51*(115*EXP(-(((0)-25)^2)/(4.5^2))+70*EXP(-(((0)+38)^2)/(7^2))*(0.55+0.45*SIN(2*PI()*(Model_Data!A143)/45))+24*SIN(2*PI()*(0)/9+(Model_Data!A143)/18)*EXP(-(((0)+5)^2)/(22^2))+18*SIN(2*PI()*(Model_Data!A143)/70))+Inputs!$C$28*EXP(-(((Model_Data!A143)-Inputs!$C$29)^2)/(2*Inputs!$C$31^2))*EXP(-(((0)-Inputs!$C$30)^2)/(2*Inputs!$C$32^2))+-Inputs!$C$33*EXP(-(((((Model_Data!A143)-Inputs!$C$34)^2)+(((0)-Inputs!$C$35)^2))/(2*Inputs!$C$36^2)))+Inputs!$C$37*(0.55*SIN(2*PI()*(Model_Data!A143)/Inputs!$C$39)+0.35*COS(2*PI()*(0)/Inputs!$C$40)+0.2*SIN(2*PI()*((Model_Data!A143)+(0))/(0.5*(Inputs!$C$39+Inputs!$C$40))))+Inputs!$C$38*SIN(2*PI()*(Model_Data!A143)/Inputs!$C$39)*SIN(2*PI()*(0)/Inputs!$C$40)+-Inputs!$C$41*EXP(-(((0)-Inputs!$C$43)^2)/(2*Inputs!$C$44^2))*EXP(-(((Model_Data!A143)-Inputs!$C$42)^2)/(2*Inputs!$C$45^2))+Inputs!$C$48*(0.70*(0.45*SIN(2*PI()*(((Model_Data!A143)/Inputs!$C$49)+Inputs!$C$47*0.137))+0.35*COS(2*PI()*(((0)/Inputs!$C$50)+Inputs!$C$47*0.173))+0.20*SIN(2*PI()*(((Model_Data!A143)+(0))/(0.5*(Inputs!$C$49+Inputs!$C$50))+Inputs!$C$47*0.097)))+0.30*(2*((SIN(((Model_Data!A143)*12.9898+(0)*78.233+Inputs!$C$47*37.719))*43758.5453)-INT((SIN(((Model_Data!A143)*12.9898+(0)*78.233+Inputs!$C$47*37.719))*43758.5453)))-1))))/1000))*1000/Inputs!$C$12)-((SQRT((Model_Data!A143)^2+Inputs!$C$6^2+Inputs!$C$5^2)-Inputs!$C$5)*1000/Inputs!$C$12)))</x:f>
        <x:v>0.00034427769099920624</x:v>
      </x:c>
      <x:c r="X143" s="48" t="n">
        <x:f>0</x:f>
        <x:v>0</x:v>
      </x:c>
      <x:c r="Y143" s="49"/>
      <x:c r="Z143" s="48" t="n">
        <x:f>Model_Data!A143</x:f>
        <x:v>10.5</x:v>
      </x:c>
      <x:c r="AA143" s="48" t="n">
        <x:f>SQRT((Model_Data!A143)^2+Inputs!$C$6^2+((Model_Data!B143)-((Inputs!$C$51*(115*EXP(-(((Inputs!$C$6)-25)^2)/(4.5^2))+70*EXP(-(((Inputs!$C$6)+38)^2)/(7^2))*(0.55+0.45*SIN(2*PI()*(Model_Data!A143)/45))+24*SIN(2*PI()*(Inputs!$C$6)/9+(Model_Data!A143)/18)*EXP(-(((Inputs!$C$6)+5)^2)/(22^2))+18*SIN(2*PI()*(Model_Data!A143)/70))+Inputs!$C$28*EXP(-(((Model_Data!A143)-Inputs!$C$29)^2)/(2*Inputs!$C$31^2))*EXP(-(((Inputs!$C$6)-Inputs!$C$30)^2)/(2*Inputs!$C$32^2))+-Inputs!$C$33*EXP(-(((((Model_Data!A143)-Inputs!$C$34)^2)+(((Inputs!$C$6)-Inputs!$C$35)^2))/(2*Inputs!$C$36^2)))+Inputs!$C$37*(0.55*SIN(2*PI()*(Model_Data!A143)/Inputs!$C$39)+0.35*COS(2*PI()*(Inputs!$C$6)/Inputs!$C$40)+0.2*SIN(2*PI()*((Model_Data!A143)+(Inputs!$C$6))/(0.5*(Inputs!$C$39+Inputs!$C$40))))+Inputs!$C$38*SIN(2*PI()*(Model_Data!A143)/Inputs!$C$39)*SIN(2*PI()*(Inputs!$C$6)/Inputs!$C$40)+-Inputs!$C$41*EXP(-(((Inputs!$C$6)-Inputs!$C$43)^2)/(2*Inputs!$C$44^2))*EXP(-(((Model_Data!A143)-Inputs!$C$42)^2)/(2*Inputs!$C$45^2))+Inputs!$C$48*(0.70*(0.45*SIN(2*PI()*(((Model_Data!A143)/Inputs!$C$49)+Inputs!$C$47*0.137))+0.35*COS(2*PI()*(((Inputs!$C$6)/Inputs!$C$50)+Inputs!$C$47*0.173))+0.20*SIN(2*PI()*(((Model_Data!A143)+(Inputs!$C$6))/(0.5*(Inputs!$C$49+Inputs!$C$50))+Inputs!$C$47*0.097)))+0.30*(2*((SIN(((Model_Data!A143)*12.9898+(Inputs!$C$6)*78.233+Inputs!$C$47*37.719))*43758.5453)-INT((SIN(((Model_Data!A143)*12.9898+(Inputs!$C$6)*78.233+Inputs!$C$47*37.719))*43758.5453)))-1))))/1000)^2)</x:f>
        <x:v>400.60329381987856</x:v>
      </x:c>
      <x:c r="AB143" s="48" t="n">
        <x:f>1000*(AA144-AA142)/(Z144-Z142)*Inputs!$C$11</x:f>
        <x:v>234.93331745999058</x:v>
      </x:c>
      <x:c r="AC143" s="48" t="n">
        <x:f>-2*AB143/Inputs!$C$13</x:f>
        <x:v>-93.97332698399623</x:v>
      </x:c>
      <x:c r="AD143" s="48" t="n">
        <x:f>-2*AB143/Inputs!$C$14</x:f>
        <x:v>-14.110109156756192</x:v>
      </x:c>
    </x:row>
    <x:row r="144">
      <x:c r="A144" s="48" t="n">
        <x:f>Model_Data!A144</x:f>
        <x:v>11</x:v>
      </x:c>
      <x:c r="B144" s="48" t="n">
        <x:f>Model_Data!F144</x:f>
        <x:v>523.09177190862</x:v>
      </x:c>
      <x:c r="C144" s="48" t="n">
        <x:f>(((SQRT((Model_Data!A144)^2+Inputs!$C$6^2+((Model_Data!B144)-((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(0.45*SIN(2*PI()*(((Model_Data!A144)/Inputs!$C$49)+Inputs!$C$47*0.137))+0.35*COS(2*PI()*(((Inputs!$C$6)/Inputs!$C$50)+Inputs!$C$47*0.173))+0.20*SIN(2*PI()*(((Model_Data!A144)+(Inputs!$C$6))/(0.5*(Inputs!$C$49+Inputs!$C$50))+Inputs!$C$47*0.097)))+0.30*(2*((SIN(((Model_Data!A144)*12.9898+(Inputs!$C$6)*78.233+Inputs!$C$47*37.719))*43758.5453)-INT((SIN(((Model_Data!A144)*12.9898+(Inputs!$C$6)*78.233+Inputs!$C$47*37.719))*43758.5453)))-1))))/1000)^2))-(((Model_Data!B144)-((Inputs!$C$51*(115*EXP(-(((0)-25)^2)/(4.5^2))+70*EXP(-(((0)+38)^2)/(7^2))*(0.55+0.45*SIN(2*PI()*(Model_Data!A144)/45))+24*SIN(2*PI()*(0)/9+(Model_Data!A144)/18)*EXP(-(((0)+5)^2)/(22^2))+18*SIN(2*PI()*(Model_Data!A144)/70))+Inputs!$C$28*EXP(-(((Model_Data!A144)-Inputs!$C$29)^2)/(2*Inputs!$C$31^2))*EXP(-(((0)-Inputs!$C$30)^2)/(2*Inputs!$C$32^2))+-Inputs!$C$33*EXP(-(((((Model_Data!A144)-Inputs!$C$34)^2)+(((0)-Inputs!$C$35)^2))/(2*Inputs!$C$36^2)))+Inputs!$C$37*(0.55*SIN(2*PI()*(Model_Data!A144)/Inputs!$C$39)+0.35*COS(2*PI()*(0)/Inputs!$C$40)+0.2*SIN(2*PI()*((Model_Data!A144)+(0))/(0.5*(Inputs!$C$39+Inputs!$C$40))))+Inputs!$C$38*SIN(2*PI()*(Model_Data!A144)/Inputs!$C$39)*SIN(2*PI()*(0)/Inputs!$C$40)+-Inputs!$C$41*EXP(-(((0)-Inputs!$C$43)^2)/(2*Inputs!$C$44^2))*EXP(-(((Model_Data!A144)-Inputs!$C$42)^2)/(2*Inputs!$C$45^2))+Inputs!$C$48*(0.70*(0.45*SIN(2*PI()*(((Model_Data!A144)/Inputs!$C$49)+Inputs!$C$47*0.137))+0.35*COS(2*PI()*(((0)/Inputs!$C$50)+Inputs!$C$47*0.173))+0.20*SIN(2*PI()*(((Model_Data!A144)+(0))/(0.5*(Inputs!$C$49+Inputs!$C$50))+Inputs!$C$47*0.097)))+0.30*(2*((SIN(((Model_Data!A144)*12.9898+(0)*78.233+Inputs!$C$47*37.719))*43758.5453)-INT((SIN(((Model_Data!A144)*12.9898+(0)*78.233+Inputs!$C$47*37.719))*43758.5453)))-1))))/1000)))*1000/Inputs!$C$12)</x:f>
        <x:v>274.7973134464164</x:v>
      </x:c>
      <x:c r="D144" s="49"/>
      <x:c r="E144" s="48" t="n">
        <x:f>Model_Data!A144</x:f>
        <x:v>11</x:v>
      </x:c>
      <x:c r="F144" s="48" t="n">
        <x:f>(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(0.45*SIN(2*PI()*(((Model_Data!A144)/Inputs!$C$49)+Inputs!$C$47*0.137))+0.35*COS(2*PI()*(((Inputs!$C$6)/Inputs!$C$50)+Inputs!$C$47*0.173))+0.20*SIN(2*PI()*(((Model_Data!A144)+(Inputs!$C$6))/(0.5*(Inputs!$C$49+Inputs!$C$50))+Inputs!$C$47*0.097)))+0.30*(2*((SIN(((Model_Data!A144)*12.9898+(Inputs!$C$6)*78.233+Inputs!$C$47*37.719))*43758.5453)-INT((SIN(((Model_Data!A144)*12.9898+(Inputs!$C$6)*78.233+Inputs!$C$47*37.719))*43758.5453)))-1)))</x:f>
        <x:v>444.9386077034983</x:v>
      </x:c>
      <x:c r="G144" s="48" t="n">
        <x:f>(Inputs!$C$51*(115*EXP(-(((0)-25)^2)/(4.5^2))+70*EXP(-(((0)+38)^2)/(7^2))*(0.55+0.45*SIN(2*PI()*(Model_Data!A144)/45))+24*SIN(2*PI()*(0)/9+(Model_Data!A144)/18)*EXP(-(((0)+5)^2)/(22^2))+18*SIN(2*PI()*(Model_Data!A144)/70))+Inputs!$C$28*EXP(-(((Model_Data!A144)-Inputs!$C$29)^2)/(2*Inputs!$C$31^2))*EXP(-(((0)-Inputs!$C$30)^2)/(2*Inputs!$C$32^2))+-Inputs!$C$33*EXP(-(((((Model_Data!A144)-Inputs!$C$34)^2)+(((0)-Inputs!$C$35)^2))/(2*Inputs!$C$36^2)))+Inputs!$C$37*(0.55*SIN(2*PI()*(Model_Data!A144)/Inputs!$C$39)+0.35*COS(2*PI()*(0)/Inputs!$C$40)+0.2*SIN(2*PI()*((Model_Data!A144)+(0))/(0.5*(Inputs!$C$39+Inputs!$C$40))))+Inputs!$C$38*SIN(2*PI()*(Model_Data!A144)/Inputs!$C$39)*SIN(2*PI()*(0)/Inputs!$C$40)+-Inputs!$C$41*EXP(-(((0)-Inputs!$C$43)^2)/(2*Inputs!$C$44^2))*EXP(-(((Model_Data!A144)-Inputs!$C$42)^2)/(2*Inputs!$C$45^2))+Inputs!$C$48*(0.70*(0.45*SIN(2*PI()*(((Model_Data!A144)/Inputs!$C$49)+Inputs!$C$47*0.137))+0.35*COS(2*PI()*(((0)/Inputs!$C$50)+Inputs!$C$47*0.173))+0.20*SIN(2*PI()*(((Model_Data!A144)+(0))/(0.5*(Inputs!$C$49+Inputs!$C$50))+Inputs!$C$47*0.097)))+0.30*(2*((SIN(((Model_Data!A144)*12.9898+(0)*78.233+Inputs!$C$47*37.719))*43758.5453)-INT((SIN(((Model_Data!A144)*12.9898+(0)*78.233+Inputs!$C$47*37.719))*43758.5453)))-1)))</x:f>
        <x:v>1.9403678384373038</x:v>
      </x:c>
      <x:c r="H144" s="49"/>
      <x:c r="I144" s="48" t="n">
        <x:f>Model_Data!A144</x:f>
        <x:v>11</x:v>
      </x:c>
      <x:c r="J144" s="48" t="n">
        <x:f>((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(0.45*SIN(2*PI()*(((Model_Data!A144)/Inputs!$C$49)+Inputs!$C$47*0.137))+0.35*COS(2*PI()*(((Inputs!$C$6)/Inputs!$C$50)+Inputs!$C$47*0.173))+0.20*SIN(2*PI()*(((Model_Data!A144)+(Inputs!$C$6))/(0.5*(Inputs!$C$49+Inputs!$C$50))+Inputs!$C$47*0.097)))+0.30*(2*((SIN(((Model_Data!A144)*12.9898+(Inputs!$C$6)*78.233+Inputs!$C$47*37.719))*43758.5453)-INT((SIN(((Model_Data!A144)*12.9898+(Inputs!$C$6)*78.233+Inputs!$C$47*37.719))*43758.5453)))-1))))-((Inputs!$C$51*(115*EXP(-(((0)-25)^2)/(4.5^2))+70*EXP(-(((0)+38)^2)/(7^2))*(0.55+0.45*SIN(2*PI()*(Model_Data!A144)/45))+24*SIN(2*PI()*(0)/9+(Model_Data!A144)/18)*EXP(-(((0)+5)^2)/(22^2))+18*SIN(2*PI()*(Model_Data!A144)/70))+Inputs!$C$28*EXP(-(((Model_Data!A144)-Inputs!$C$29)^2)/(2*Inputs!$C$31^2))*EXP(-(((0)-Inputs!$C$30)^2)/(2*Inputs!$C$32^2))+-Inputs!$C$33*EXP(-(((((Model_Data!A144)-Inputs!$C$34)^2)+(((0)-Inputs!$C$35)^2))/(2*Inputs!$C$36^2)))+Inputs!$C$37*(0.55*SIN(2*PI()*(Model_Data!A144)/Inputs!$C$39)+0.35*COS(2*PI()*(0)/Inputs!$C$40)+0.2*SIN(2*PI()*((Model_Data!A144)+(0))/(0.5*(Inputs!$C$39+Inputs!$C$40))))+Inputs!$C$38*SIN(2*PI()*(Model_Data!A144)/Inputs!$C$39)*SIN(2*PI()*(0)/Inputs!$C$40)+-Inputs!$C$41*EXP(-(((0)-Inputs!$C$43)^2)/(2*Inputs!$C$44^2))*EXP(-(((Model_Data!A144)-Inputs!$C$42)^2)/(2*Inputs!$C$45^2))+Inputs!$C$48*(0.70*(0.45*SIN(2*PI()*(((Model_Data!A144)/Inputs!$C$49)+Inputs!$C$47*0.137))+0.35*COS(2*PI()*(((0)/Inputs!$C$50)+Inputs!$C$47*0.173))+0.20*SIN(2*PI()*(((Model_Data!A144)+(0))/(0.5*(Inputs!$C$49+Inputs!$C$50))+Inputs!$C$47*0.097)))+0.30*(2*((SIN(((Model_Data!A144)*12.9898+(0)*78.233+Inputs!$C$47*37.719))*43758.5453)-INT((SIN(((Model_Data!A144)*12.9898+(0)*78.233+Inputs!$C$47*37.719))*43758.5453)))-1))))</x:f>
        <x:v>442.998239865061</x:v>
      </x:c>
      <x:c r="K144" s="48" t="n">
        <x:f>-((((SQRT((Model_Data!A144)^2+Inputs!$C$6^2+((Model_Data!B144)-((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(0.45*SIN(2*PI()*(((Model_Data!A144)/Inputs!$C$49)+Inputs!$C$47*0.137))+0.35*COS(2*PI()*(((Inputs!$C$6)/Inputs!$C$50)+Inputs!$C$47*0.173))+0.20*SIN(2*PI()*(((Model_Data!A144)+(Inputs!$C$6))/(0.5*(Inputs!$C$49+Inputs!$C$50))+Inputs!$C$47*0.097)))+0.30*(2*((SIN(((Model_Data!A144)*12.9898+(Inputs!$C$6)*78.233+Inputs!$C$47*37.719))*43758.5453)-INT((SIN(((Model_Data!A144)*12.9898+(Inputs!$C$6)*78.233+Inputs!$C$47*37.719))*43758.5453)))-1))))/1000)^2))-(((Model_Data!B144)-((Inputs!$C$51*(115*EXP(-(((0)-25)^2)/(4.5^2))+70*EXP(-(((0)+38)^2)/(7^2))*(0.55+0.45*SIN(2*PI()*(Model_Data!A144)/45))+24*SIN(2*PI()*(0)/9+(Model_Data!A144)/18)*EXP(-(((0)+5)^2)/(22^2))+18*SIN(2*PI()*(Model_Data!A144)/70))+Inputs!$C$28*EXP(-(((Model_Data!A144)-Inputs!$C$29)^2)/(2*Inputs!$C$31^2))*EXP(-(((0)-Inputs!$C$30)^2)/(2*Inputs!$C$32^2))+-Inputs!$C$33*EXP(-(((((Model_Data!A144)-Inputs!$C$34)^2)+(((0)-Inputs!$C$35)^2))/(2*Inputs!$C$36^2)))+Inputs!$C$37*(0.55*SIN(2*PI()*(Model_Data!A144)/Inputs!$C$39)+0.35*COS(2*PI()*(0)/Inputs!$C$40)+0.2*SIN(2*PI()*((Model_Data!A144)+(0))/(0.5*(Inputs!$C$39+Inputs!$C$40))))+Inputs!$C$38*SIN(2*PI()*(Model_Data!A144)/Inputs!$C$39)*SIN(2*PI()*(0)/Inputs!$C$40)+-Inputs!$C$41*EXP(-(((0)-Inputs!$C$43)^2)/(2*Inputs!$C$44^2))*EXP(-(((Model_Data!A144)-Inputs!$C$42)^2)/(2*Inputs!$C$45^2))+Inputs!$C$48*(0.70*(0.45*SIN(2*PI()*(((Model_Data!A144)/Inputs!$C$49)+Inputs!$C$47*0.137))+0.35*COS(2*PI()*(((0)/Inputs!$C$50)+Inputs!$C$47*0.173))+0.20*SIN(2*PI()*(((Model_Data!A144)+(0))/(0.5*(Inputs!$C$49+Inputs!$C$50))+Inputs!$C$47*0.097)))+0.30*(2*((SIN(((Model_Data!A144)*12.9898+(0)*78.233+Inputs!$C$47*37.719))*43758.5453)-INT((SIN(((Model_Data!A144)*12.9898+(0)*78.233+Inputs!$C$47*37.719))*43758.5453)))-1))))/1000)))*1000/Inputs!$C$12)-Model_Data!F144)</x:f>
        <x:v>248.29445846220358</x:v>
      </x:c>
      <x:c r="L144" s="49"/>
      <x:c r="M144" s="48" t="n">
        <x:f>Model_Data!A144</x:f>
        <x:v>11</x:v>
      </x:c>
      <x:c r="N144" s="48" t="n">
        <x:f>Model_Data!P144</x:f>
        <x:v>-82.90341291733004</x:v>
      </x:c>
      <x:c r="O144" s="48" t="n">
        <x:f>AC144</x:f>
        <x:v>-88.52725629822089</x:v>
      </x:c>
      <x:c r="P144" s="48" t="n">
        <x:f>Model_Data!Q144</x:f>
        <x:v>-12.447959897497006</x:v>
      </x:c>
      <x:c r="Q144" s="48" t="n">
        <x:f>AD144</x:f>
        <x:v>-13.292380825558693</x:v>
      </x:c>
      <x:c r="R144" s="49"/>
      <x:c r="S144" s="48" t="n">
        <x:f>Model_Data!A144</x:f>
        <x:v>11</x:v>
      </x:c>
      <x:c r="T144" s="48" t="n">
        <x:f>Model_Data!B144-Inputs!$C$5</x:f>
        <x:v>0.1344444444444548</x:v>
      </x:c>
      <x:c r="U144" s="49"/>
      <x:c r="V144" s="48" t="n">
        <x:f>Model_Data!A144</x:f>
        <x:v>11</x:v>
      </x:c>
      <x:c r="W144" s="48" t="n">
        <x:f>(-((((SQRT((Model_Data!A144)^2+Inputs!$C$6^2+((Model_Data!B144)-((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(0.45*SIN(2*PI()*(((Model_Data!A144)/Inputs!$C$49)+Inputs!$C$47*0.137))+0.35*COS(2*PI()*(((Inputs!$C$6)/Inputs!$C$50)+Inputs!$C$47*0.173))+0.20*SIN(2*PI()*(((Model_Data!A144)+(Inputs!$C$6))/(0.5*(Inputs!$C$49+Inputs!$C$50))+Inputs!$C$47*0.097)))+0.30*(2*((SIN(((Model_Data!A144)*12.9898+(Inputs!$C$6)*78.233+Inputs!$C$47*37.719))*43758.5453)-INT((SIN(((Model_Data!A144)*12.9898+(Inputs!$C$6)*78.233+Inputs!$C$47*37.719))*43758.5453)))-1))))/1000)^2))-(((Model_Data!B144)-((Inputs!$C$51*(115*EXP(-(((0)-25)^2)/(4.5^2))+70*EXP(-(((0)+38)^2)/(7^2))*(0.55+0.45*SIN(2*PI()*(Model_Data!A144)/45))+24*SIN(2*PI()*(0)/9+(Model_Data!A144)/18)*EXP(-(((0)+5)^2)/(22^2))+18*SIN(2*PI()*(Model_Data!A144)/70))+Inputs!$C$28*EXP(-(((Model_Data!A144)-Inputs!$C$29)^2)/(2*Inputs!$C$31^2))*EXP(-(((0)-Inputs!$C$30)^2)/(2*Inputs!$C$32^2))+-Inputs!$C$33*EXP(-(((((Model_Data!A144)-Inputs!$C$34)^2)+(((0)-Inputs!$C$35)^2))/(2*Inputs!$C$36^2)))+Inputs!$C$37*(0.55*SIN(2*PI()*(Model_Data!A144)/Inputs!$C$39)+0.35*COS(2*PI()*(0)/Inputs!$C$40)+0.2*SIN(2*PI()*((Model_Data!A144)+(0))/(0.5*(Inputs!$C$39+Inputs!$C$40))))+Inputs!$C$38*SIN(2*PI()*(Model_Data!A144)/Inputs!$C$39)*SIN(2*PI()*(0)/Inputs!$C$40)+-Inputs!$C$41*EXP(-(((0)-Inputs!$C$43)^2)/(2*Inputs!$C$44^2))*EXP(-(((Model_Data!A144)-Inputs!$C$42)^2)/(2*Inputs!$C$45^2))+Inputs!$C$48*(0.70*(0.45*SIN(2*PI()*(((Model_Data!A144)/Inputs!$C$49)+Inputs!$C$47*0.137))+0.35*COS(2*PI()*(((0)/Inputs!$C$50)+Inputs!$C$47*0.173))+0.20*SIN(2*PI()*(((Model_Data!A144)+(0))/(0.5*(Inputs!$C$49+Inputs!$C$50))+Inputs!$C$47*0.097)))+0.30*(2*((SIN(((Model_Data!A144)*12.9898+(0)*78.233+Inputs!$C$47*37.719))*43758.5453)-INT((SIN(((Model_Data!A144)*12.9898+(0)*78.233+Inputs!$C$47*37.719))*43758.5453)))-1))))/1000)))*1000/Inputs!$C$12)-Model_Data!F144))-(-(((SQRT((Model_Data!A144)^2+Inputs!$C$6^2+(Inputs!$C$5-((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(0.45*SIN(2*PI()*(((Model_Data!A144)/Inputs!$C$49)+Inputs!$C$47*0.137))+0.35*COS(2*PI()*(((Inputs!$C$6)/Inputs!$C$50)+Inputs!$C$47*0.173))+0.20*SIN(2*PI()*(((Model_Data!A144)+(Inputs!$C$6))/(0.5*(Inputs!$C$49+Inputs!$C$50))+Inputs!$C$47*0.097)))+0.30*(2*((SIN(((Model_Data!A144)*12.9898+(Inputs!$C$6)*78.233+Inputs!$C$47*37.719))*43758.5453)-INT((SIN(((Model_Data!A144)*12.9898+(Inputs!$C$6)*78.233+Inputs!$C$47*37.719))*43758.5453)))-1))))/1000)^2)-(Inputs!$C$5-((Inputs!$C$51*(115*EXP(-(((0)-25)^2)/(4.5^2))+70*EXP(-(((0)+38)^2)/(7^2))*(0.55+0.45*SIN(2*PI()*(Model_Data!A144)/45))+24*SIN(2*PI()*(0)/9+(Model_Data!A144)/18)*EXP(-(((0)+5)^2)/(22^2))+18*SIN(2*PI()*(Model_Data!A144)/70))+Inputs!$C$28*EXP(-(((Model_Data!A144)-Inputs!$C$29)^2)/(2*Inputs!$C$31^2))*EXP(-(((0)-Inputs!$C$30)^2)/(2*Inputs!$C$32^2))+-Inputs!$C$33*EXP(-(((((Model_Data!A144)-Inputs!$C$34)^2)+(((0)-Inputs!$C$35)^2))/(2*Inputs!$C$36^2)))+Inputs!$C$37*(0.55*SIN(2*PI()*(Model_Data!A144)/Inputs!$C$39)+0.35*COS(2*PI()*(0)/Inputs!$C$40)+0.2*SIN(2*PI()*((Model_Data!A144)+(0))/(0.5*(Inputs!$C$39+Inputs!$C$40))))+Inputs!$C$38*SIN(2*PI()*(Model_Data!A144)/Inputs!$C$39)*SIN(2*PI()*(0)/Inputs!$C$40)+-Inputs!$C$41*EXP(-(((0)-Inputs!$C$43)^2)/(2*Inputs!$C$44^2))*EXP(-(((Model_Data!A144)-Inputs!$C$42)^2)/(2*Inputs!$C$45^2))+Inputs!$C$48*(0.70*(0.45*SIN(2*PI()*(((Model_Data!A144)/Inputs!$C$49)+Inputs!$C$47*0.137))+0.35*COS(2*PI()*(((0)/Inputs!$C$50)+Inputs!$C$47*0.173))+0.20*SIN(2*PI()*(((Model_Data!A144)+(0))/(0.5*(Inputs!$C$49+Inputs!$C$50))+Inputs!$C$47*0.097)))+0.30*(2*((SIN(((Model_Data!A144)*12.9898+(0)*78.233+Inputs!$C$47*37.719))*43758.5453)-INT((SIN(((Model_Data!A144)*12.9898+(0)*78.233+Inputs!$C$47*37.719))*43758.5453)))-1))))/1000))*1000/Inputs!$C$12)-((SQRT((Model_Data!A144)^2+Inputs!$C$6^2+Inputs!$C$5^2)-Inputs!$C$5)*1000/Inputs!$C$12)))</x:f>
        <x:v>0.0003894531678270141</x:v>
      </x:c>
      <x:c r="X144" s="48" t="n">
        <x:f>0</x:f>
        <x:v>0</x:v>
      </x:c>
      <x:c r="Y144" s="49"/>
      <x:c r="Z144" s="48" t="n">
        <x:f>Model_Data!A144</x:f>
        <x:v>11</x:v>
      </x:c>
      <x:c r="AA144" s="48" t="n">
        <x:f>SQRT((Model_Data!A144)^2+Inputs!$C$6^2+((Model_Data!B144)-((Inputs!$C$51*(115*EXP(-(((Inputs!$C$6)-25)^2)/(4.5^2))+70*EXP(-(((Inputs!$C$6)+38)^2)/(7^2))*(0.55+0.45*SIN(2*PI()*(Model_Data!A144)/45))+24*SIN(2*PI()*(Inputs!$C$6)/9+(Model_Data!A144)/18)*EXP(-(((Inputs!$C$6)+5)^2)/(22^2))+18*SIN(2*PI()*(Model_Data!A144)/70))+Inputs!$C$28*EXP(-(((Model_Data!A144)-Inputs!$C$29)^2)/(2*Inputs!$C$31^2))*EXP(-(((Inputs!$C$6)-Inputs!$C$30)^2)/(2*Inputs!$C$32^2))+-Inputs!$C$33*EXP(-(((((Model_Data!A144)-Inputs!$C$34)^2)+(((Inputs!$C$6)-Inputs!$C$35)^2))/(2*Inputs!$C$36^2)))+Inputs!$C$37*(0.55*SIN(2*PI()*(Model_Data!A144)/Inputs!$C$39)+0.35*COS(2*PI()*(Inputs!$C$6)/Inputs!$C$40)+0.2*SIN(2*PI()*((Model_Data!A144)+(Inputs!$C$6))/(0.5*(Inputs!$C$39+Inputs!$C$40))))+Inputs!$C$38*SIN(2*PI()*(Model_Data!A144)/Inputs!$C$39)*SIN(2*PI()*(Inputs!$C$6)/Inputs!$C$40)+-Inputs!$C$41*EXP(-(((Inputs!$C$6)-Inputs!$C$43)^2)/(2*Inputs!$C$44^2))*EXP(-(((Model_Data!A144)-Inputs!$C$42)^2)/(2*Inputs!$C$45^2))+Inputs!$C$48*(0.70*(0.45*SIN(2*PI()*(((Model_Data!A144)/Inputs!$C$49)+Inputs!$C$47*0.137))+0.35*COS(2*PI()*(((Inputs!$C$6)/Inputs!$C$50)+Inputs!$C$47*0.173))+0.20*SIN(2*PI()*(((Model_Data!A144)+(Inputs!$C$6))/(0.5*(Inputs!$C$49+Inputs!$C$50))+Inputs!$C$47*0.097)))+0.30*(2*((SIN(((Model_Data!A144)*12.9898+(Inputs!$C$6)*78.233+Inputs!$C$47*37.719))*43758.5453)-INT((SIN(((Model_Data!A144)*12.9898+(Inputs!$C$6)*78.233+Inputs!$C$47*37.719))*43758.5453)))-1))))/1000)^2)</x:f>
        <x:v>400.62164329454066</x:v>
      </x:c>
      <x:c r="AB144" s="48" t="n">
        <x:f>1000*(AA145-AA143)/(Z145-Z143)*Inputs!$C$11</x:f>
        <x:v>221.31814074555223</x:v>
      </x:c>
      <x:c r="AC144" s="48" t="n">
        <x:f>-2*AB144/Inputs!$C$13</x:f>
        <x:v>-88.52725629822089</x:v>
      </x:c>
      <x:c r="AD144" s="48" t="n">
        <x:f>-2*AB144/Inputs!$C$14</x:f>
        <x:v>-13.292380825558693</x:v>
      </x:c>
    </x:row>
    <x:row r="145">
      <x:c r="A145" s="48" t="n">
        <x:f>Model_Data!A145</x:f>
        <x:v>11.5</x:v>
      </x:c>
      <x:c r="B145" s="48" t="n">
        <x:f>Model_Data!F145</x:f>
        <x:v>530.9543779759451</x:v>
      </x:c>
      <x:c r="C145" s="48" t="n">
        <x:f>(((SQRT((Model_Data!A145)^2+Inputs!$C$6^2+((Model_Data!B145)-((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(0.45*SIN(2*PI()*(((Model_Data!A145)/Inputs!$C$49)+Inputs!$C$47*0.137))+0.35*COS(2*PI()*(((Inputs!$C$6)/Inputs!$C$50)+Inputs!$C$47*0.173))+0.20*SIN(2*PI()*(((Model_Data!A145)+(Inputs!$C$6))/(0.5*(Inputs!$C$49+Inputs!$C$50))+Inputs!$C$47*0.097)))+0.30*(2*((SIN(((Model_Data!A145)*12.9898+(Inputs!$C$6)*78.233+Inputs!$C$47*37.719))*43758.5453)-INT((SIN(((Model_Data!A145)*12.9898+(Inputs!$C$6)*78.233+Inputs!$C$47*37.719))*43758.5453)))-1))))/1000)^2))-(((Model_Data!B145)-((Inputs!$C$51*(115*EXP(-(((0)-25)^2)/(4.5^2))+70*EXP(-(((0)+38)^2)/(7^2))*(0.55+0.45*SIN(2*PI()*(Model_Data!A145)/45))+24*SIN(2*PI()*(0)/9+(Model_Data!A145)/18)*EXP(-(((0)+5)^2)/(22^2))+18*SIN(2*PI()*(Model_Data!A145)/70))+Inputs!$C$28*EXP(-(((Model_Data!A145)-Inputs!$C$29)^2)/(2*Inputs!$C$31^2))*EXP(-(((0)-Inputs!$C$30)^2)/(2*Inputs!$C$32^2))+-Inputs!$C$33*EXP(-(((((Model_Data!A145)-Inputs!$C$34)^2)+(((0)-Inputs!$C$35)^2))/(2*Inputs!$C$36^2)))+Inputs!$C$37*(0.55*SIN(2*PI()*(Model_Data!A145)/Inputs!$C$39)+0.35*COS(2*PI()*(0)/Inputs!$C$40)+0.2*SIN(2*PI()*((Model_Data!A145)+(0))/(0.5*(Inputs!$C$39+Inputs!$C$40))))+Inputs!$C$38*SIN(2*PI()*(Model_Data!A145)/Inputs!$C$39)*SIN(2*PI()*(0)/Inputs!$C$40)+-Inputs!$C$41*EXP(-(((0)-Inputs!$C$43)^2)/(2*Inputs!$C$44^2))*EXP(-(((Model_Data!A145)-Inputs!$C$42)^2)/(2*Inputs!$C$45^2))+Inputs!$C$48*(0.70*(0.45*SIN(2*PI()*(((Model_Data!A145)/Inputs!$C$49)+Inputs!$C$47*0.137))+0.35*COS(2*PI()*(((0)/Inputs!$C$50)+Inputs!$C$47*0.173))+0.20*SIN(2*PI()*(((Model_Data!A145)+(0))/(0.5*(Inputs!$C$49+Inputs!$C$50))+Inputs!$C$47*0.097)))+0.30*(2*((SIN(((Model_Data!A145)*12.9898+(0)*78.233+Inputs!$C$47*37.719))*43758.5453)-INT((SIN(((Model_Data!A145)*12.9898+(0)*78.233+Inputs!$C$47*37.719))*43758.5453)))-1))))/1000)))*1000/Inputs!$C$12)</x:f>
        <x:v>289.73243556423273</x:v>
      </x:c>
      <x:c r="D145" s="49"/>
      <x:c r="E145" s="48" t="n">
        <x:f>Model_Data!A145</x:f>
        <x:v>11.5</x:v>
      </x:c>
      <x:c r="F145" s="48" t="n">
        <x:f>(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(0.45*SIN(2*PI()*(((Model_Data!A145)/Inputs!$C$49)+Inputs!$C$47*0.137))+0.35*COS(2*PI()*(((Inputs!$C$6)/Inputs!$C$50)+Inputs!$C$47*0.173))+0.20*SIN(2*PI()*(((Model_Data!A145)+(Inputs!$C$6))/(0.5*(Inputs!$C$49+Inputs!$C$50))+Inputs!$C$47*0.097)))+0.30*(2*((SIN(((Model_Data!A145)*12.9898+(Inputs!$C$6)*78.233+Inputs!$C$47*37.719))*43758.5453)-INT((SIN(((Model_Data!A145)*12.9898+(Inputs!$C$6)*78.233+Inputs!$C$47*37.719))*43758.5453)))-1)))</x:f>
        <x:v>434.44467895572086</x:v>
      </x:c>
      <x:c r="G145" s="48" t="n">
        <x:f>(Inputs!$C$51*(115*EXP(-(((0)-25)^2)/(4.5^2))+70*EXP(-(((0)+38)^2)/(7^2))*(0.55+0.45*SIN(2*PI()*(Model_Data!A145)/45))+24*SIN(2*PI()*(0)/9+(Model_Data!A145)/18)*EXP(-(((0)+5)^2)/(22^2))+18*SIN(2*PI()*(Model_Data!A145)/70))+Inputs!$C$28*EXP(-(((Model_Data!A145)-Inputs!$C$29)^2)/(2*Inputs!$C$31^2))*EXP(-(((0)-Inputs!$C$30)^2)/(2*Inputs!$C$32^2))+-Inputs!$C$33*EXP(-(((((Model_Data!A145)-Inputs!$C$34)^2)+(((0)-Inputs!$C$35)^2))/(2*Inputs!$C$36^2)))+Inputs!$C$37*(0.55*SIN(2*PI()*(Model_Data!A145)/Inputs!$C$39)+0.35*COS(2*PI()*(0)/Inputs!$C$40)+0.2*SIN(2*PI()*((Model_Data!A145)+(0))/(0.5*(Inputs!$C$39+Inputs!$C$40))))+Inputs!$C$38*SIN(2*PI()*(Model_Data!A145)/Inputs!$C$39)*SIN(2*PI()*(0)/Inputs!$C$40)+-Inputs!$C$41*EXP(-(((0)-Inputs!$C$43)^2)/(2*Inputs!$C$44^2))*EXP(-(((Model_Data!A145)-Inputs!$C$42)^2)/(2*Inputs!$C$45^2))+Inputs!$C$48*(0.70*(0.45*SIN(2*PI()*(((Model_Data!A145)/Inputs!$C$49)+Inputs!$C$47*0.137))+0.35*COS(2*PI()*(((0)/Inputs!$C$50)+Inputs!$C$47*0.173))+0.20*SIN(2*PI()*(((Model_Data!A145)+(0))/(0.5*(Inputs!$C$49+Inputs!$C$50))+Inputs!$C$47*0.097)))+0.30*(2*((SIN(((Model_Data!A145)*12.9898+(0)*78.233+Inputs!$C$47*37.719))*43758.5453)-INT((SIN(((Model_Data!A145)*12.9898+(0)*78.233+Inputs!$C$47*37.719))*43758.5453)))-1)))</x:f>
        <x:v>4.044824683821267</x:v>
      </x:c>
      <x:c r="H145" s="49"/>
      <x:c r="I145" s="48" t="n">
        <x:f>Model_Data!A145</x:f>
        <x:v>11.5</x:v>
      </x:c>
      <x:c r="J145" s="48" t="n">
        <x:f>((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(0.45*SIN(2*PI()*(((Model_Data!A145)/Inputs!$C$49)+Inputs!$C$47*0.137))+0.35*COS(2*PI()*(((Inputs!$C$6)/Inputs!$C$50)+Inputs!$C$47*0.173))+0.20*SIN(2*PI()*(((Model_Data!A145)+(Inputs!$C$6))/(0.5*(Inputs!$C$49+Inputs!$C$50))+Inputs!$C$47*0.097)))+0.30*(2*((SIN(((Model_Data!A145)*12.9898+(Inputs!$C$6)*78.233+Inputs!$C$47*37.719))*43758.5453)-INT((SIN(((Model_Data!A145)*12.9898+(Inputs!$C$6)*78.233+Inputs!$C$47*37.719))*43758.5453)))-1))))-((Inputs!$C$51*(115*EXP(-(((0)-25)^2)/(4.5^2))+70*EXP(-(((0)+38)^2)/(7^2))*(0.55+0.45*SIN(2*PI()*(Model_Data!A145)/45))+24*SIN(2*PI()*(0)/9+(Model_Data!A145)/18)*EXP(-(((0)+5)^2)/(22^2))+18*SIN(2*PI()*(Model_Data!A145)/70))+Inputs!$C$28*EXP(-(((Model_Data!A145)-Inputs!$C$29)^2)/(2*Inputs!$C$31^2))*EXP(-(((0)-Inputs!$C$30)^2)/(2*Inputs!$C$32^2))+-Inputs!$C$33*EXP(-(((((Model_Data!A145)-Inputs!$C$34)^2)+(((0)-Inputs!$C$35)^2))/(2*Inputs!$C$36^2)))+Inputs!$C$37*(0.55*SIN(2*PI()*(Model_Data!A145)/Inputs!$C$39)+0.35*COS(2*PI()*(0)/Inputs!$C$40)+0.2*SIN(2*PI()*((Model_Data!A145)+(0))/(0.5*(Inputs!$C$39+Inputs!$C$40))))+Inputs!$C$38*SIN(2*PI()*(Model_Data!A145)/Inputs!$C$39)*SIN(2*PI()*(0)/Inputs!$C$40)+-Inputs!$C$41*EXP(-(((0)-Inputs!$C$43)^2)/(2*Inputs!$C$44^2))*EXP(-(((Model_Data!A145)-Inputs!$C$42)^2)/(2*Inputs!$C$45^2))+Inputs!$C$48*(0.70*(0.45*SIN(2*PI()*(((Model_Data!A145)/Inputs!$C$49)+Inputs!$C$47*0.137))+0.35*COS(2*PI()*(((0)/Inputs!$C$50)+Inputs!$C$47*0.173))+0.20*SIN(2*PI()*(((Model_Data!A145)+(0))/(0.5*(Inputs!$C$49+Inputs!$C$50))+Inputs!$C$47*0.097)))+0.30*(2*((SIN(((Model_Data!A145)*12.9898+(0)*78.233+Inputs!$C$47*37.719))*43758.5453)-INT((SIN(((Model_Data!A145)*12.9898+(0)*78.233+Inputs!$C$47*37.719))*43758.5453)))-1))))</x:f>
        <x:v>430.3998542718996</x:v>
      </x:c>
      <x:c r="K145" s="48" t="n">
        <x:f>-((((SQRT((Model_Data!A145)^2+Inputs!$C$6^2+((Model_Data!B145)-((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(0.45*SIN(2*PI()*(((Model_Data!A145)/Inputs!$C$49)+Inputs!$C$47*0.137))+0.35*COS(2*PI()*(((Inputs!$C$6)/Inputs!$C$50)+Inputs!$C$47*0.173))+0.20*SIN(2*PI()*(((Model_Data!A145)+(Inputs!$C$6))/(0.5*(Inputs!$C$49+Inputs!$C$50))+Inputs!$C$47*0.097)))+0.30*(2*((SIN(((Model_Data!A145)*12.9898+(Inputs!$C$6)*78.233+Inputs!$C$47*37.719))*43758.5453)-INT((SIN(((Model_Data!A145)*12.9898+(Inputs!$C$6)*78.233+Inputs!$C$47*37.719))*43758.5453)))-1))))/1000)^2))-(((Model_Data!B145)-((Inputs!$C$51*(115*EXP(-(((0)-25)^2)/(4.5^2))+70*EXP(-(((0)+38)^2)/(7^2))*(0.55+0.45*SIN(2*PI()*(Model_Data!A145)/45))+24*SIN(2*PI()*(0)/9+(Model_Data!A145)/18)*EXP(-(((0)+5)^2)/(22^2))+18*SIN(2*PI()*(Model_Data!A145)/70))+Inputs!$C$28*EXP(-(((Model_Data!A145)-Inputs!$C$29)^2)/(2*Inputs!$C$31^2))*EXP(-(((0)-Inputs!$C$30)^2)/(2*Inputs!$C$32^2))+-Inputs!$C$33*EXP(-(((((Model_Data!A145)-Inputs!$C$34)^2)+(((0)-Inputs!$C$35)^2))/(2*Inputs!$C$36^2)))+Inputs!$C$37*(0.55*SIN(2*PI()*(Model_Data!A145)/Inputs!$C$39)+0.35*COS(2*PI()*(0)/Inputs!$C$40)+0.2*SIN(2*PI()*((Model_Data!A145)+(0))/(0.5*(Inputs!$C$39+Inputs!$C$40))))+Inputs!$C$38*SIN(2*PI()*(Model_Data!A145)/Inputs!$C$39)*SIN(2*PI()*(0)/Inputs!$C$40)+-Inputs!$C$41*EXP(-(((0)-Inputs!$C$43)^2)/(2*Inputs!$C$44^2))*EXP(-(((Model_Data!A145)-Inputs!$C$42)^2)/(2*Inputs!$C$45^2))+Inputs!$C$48*(0.70*(0.45*SIN(2*PI()*(((Model_Data!A145)/Inputs!$C$49)+Inputs!$C$47*0.137))+0.35*COS(2*PI()*(((0)/Inputs!$C$50)+Inputs!$C$47*0.173))+0.20*SIN(2*PI()*(((Model_Data!A145)+(0))/(0.5*(Inputs!$C$49+Inputs!$C$50))+Inputs!$C$47*0.097)))+0.30*(2*((SIN(((Model_Data!A145)*12.9898+(0)*78.233+Inputs!$C$47*37.719))*43758.5453)-INT((SIN(((Model_Data!A145)*12.9898+(0)*78.233+Inputs!$C$47*37.719))*43758.5453)))-1))))/1000)))*1000/Inputs!$C$12)-Model_Data!F145)</x:f>
        <x:v>241.2219424117124</x:v>
      </x:c>
      <x:c r="L145" s="49"/>
      <x:c r="M145" s="48" t="n">
        <x:f>Model_Data!A145</x:f>
        <x:v>11.5</x:v>
      </x:c>
      <x:c r="N145" s="48" t="n">
        <x:f>Model_Data!P145</x:f>
        <x:v>-86.66729878272902</x:v>
      </x:c>
      <x:c r="O145" s="48" t="n">
        <x:f>AC145</x:f>
        <x:v>-121.99284967791755</x:v>
      </x:c>
      <x:c r="P145" s="48" t="n">
        <x:f>Model_Data!Q145</x:f>
        <x:v>-13.013107925334689</x:v>
      </x:c>
      <x:c r="Q145" s="48" t="n">
        <x:f>AD145</x:f>
        <x:v>-18.31724469638402</x:v>
      </x:c>
      <x:c r="R145" s="49"/>
      <x:c r="S145" s="48" t="n">
        <x:f>Model_Data!A145</x:f>
        <x:v>11.5</x:v>
      </x:c>
      <x:c r="T145" s="48" t="n">
        <x:f>Model_Data!B145-Inputs!$C$5</x:f>
        <x:v>0.14694444444444343</x:v>
      </x:c>
      <x:c r="U145" s="49"/>
      <x:c r="V145" s="48" t="n">
        <x:f>Model_Data!A145</x:f>
        <x:v>11.5</x:v>
      </x:c>
      <x:c r="W145" s="48" t="n">
        <x:f>(-((((SQRT((Model_Data!A145)^2+Inputs!$C$6^2+((Model_Data!B145)-((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(0.45*SIN(2*PI()*(((Model_Data!A145)/Inputs!$C$49)+Inputs!$C$47*0.137))+0.35*COS(2*PI()*(((Inputs!$C$6)/Inputs!$C$50)+Inputs!$C$47*0.173))+0.20*SIN(2*PI()*(((Model_Data!A145)+(Inputs!$C$6))/(0.5*(Inputs!$C$49+Inputs!$C$50))+Inputs!$C$47*0.097)))+0.30*(2*((SIN(((Model_Data!A145)*12.9898+(Inputs!$C$6)*78.233+Inputs!$C$47*37.719))*43758.5453)-INT((SIN(((Model_Data!A145)*12.9898+(Inputs!$C$6)*78.233+Inputs!$C$47*37.719))*43758.5453)))-1))))/1000)^2))-(((Model_Data!B145)-((Inputs!$C$51*(115*EXP(-(((0)-25)^2)/(4.5^2))+70*EXP(-(((0)+38)^2)/(7^2))*(0.55+0.45*SIN(2*PI()*(Model_Data!A145)/45))+24*SIN(2*PI()*(0)/9+(Model_Data!A145)/18)*EXP(-(((0)+5)^2)/(22^2))+18*SIN(2*PI()*(Model_Data!A145)/70))+Inputs!$C$28*EXP(-(((Model_Data!A145)-Inputs!$C$29)^2)/(2*Inputs!$C$31^2))*EXP(-(((0)-Inputs!$C$30)^2)/(2*Inputs!$C$32^2))+-Inputs!$C$33*EXP(-(((((Model_Data!A145)-Inputs!$C$34)^2)+(((0)-Inputs!$C$35)^2))/(2*Inputs!$C$36^2)))+Inputs!$C$37*(0.55*SIN(2*PI()*(Model_Data!A145)/Inputs!$C$39)+0.35*COS(2*PI()*(0)/Inputs!$C$40)+0.2*SIN(2*PI()*((Model_Data!A145)+(0))/(0.5*(Inputs!$C$39+Inputs!$C$40))))+Inputs!$C$38*SIN(2*PI()*(Model_Data!A145)/Inputs!$C$39)*SIN(2*PI()*(0)/Inputs!$C$40)+-Inputs!$C$41*EXP(-(((0)-Inputs!$C$43)^2)/(2*Inputs!$C$44^2))*EXP(-(((Model_Data!A145)-Inputs!$C$42)^2)/(2*Inputs!$C$45^2))+Inputs!$C$48*(0.70*(0.45*SIN(2*PI()*(((Model_Data!A145)/Inputs!$C$49)+Inputs!$C$47*0.137))+0.35*COS(2*PI()*(((0)/Inputs!$C$50)+Inputs!$C$47*0.173))+0.20*SIN(2*PI()*(((Model_Data!A145)+(0))/(0.5*(Inputs!$C$49+Inputs!$C$50))+Inputs!$C$47*0.097)))+0.30*(2*((SIN(((Model_Data!A145)*12.9898+(0)*78.233+Inputs!$C$47*37.719))*43758.5453)-INT((SIN(((Model_Data!A145)*12.9898+(0)*78.233+Inputs!$C$47*37.719))*43758.5453)))-1))))/1000)))*1000/Inputs!$C$12)-Model_Data!F145))-(-(((SQRT((Model_Data!A145)^2+Inputs!$C$6^2+(Inputs!$C$5-((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(0.45*SIN(2*PI()*(((Model_Data!A145)/Inputs!$C$49)+Inputs!$C$47*0.137))+0.35*COS(2*PI()*(((Inputs!$C$6)/Inputs!$C$50)+Inputs!$C$47*0.173))+0.20*SIN(2*PI()*(((Model_Data!A145)+(Inputs!$C$6))/(0.5*(Inputs!$C$49+Inputs!$C$50))+Inputs!$C$47*0.097)))+0.30*(2*((SIN(((Model_Data!A145)*12.9898+(Inputs!$C$6)*78.233+Inputs!$C$47*37.719))*43758.5453)-INT((SIN(((Model_Data!A145)*12.9898+(Inputs!$C$6)*78.233+Inputs!$C$47*37.719))*43758.5453)))-1))))/1000)^2)-(Inputs!$C$5-((Inputs!$C$51*(115*EXP(-(((0)-25)^2)/(4.5^2))+70*EXP(-(((0)+38)^2)/(7^2))*(0.55+0.45*SIN(2*PI()*(Model_Data!A145)/45))+24*SIN(2*PI()*(0)/9+(Model_Data!A145)/18)*EXP(-(((0)+5)^2)/(22^2))+18*SIN(2*PI()*(Model_Data!A145)/70))+Inputs!$C$28*EXP(-(((Model_Data!A145)-Inputs!$C$29)^2)/(2*Inputs!$C$31^2))*EXP(-(((0)-Inputs!$C$30)^2)/(2*Inputs!$C$32^2))+-Inputs!$C$33*EXP(-(((((Model_Data!A145)-Inputs!$C$34)^2)+(((0)-Inputs!$C$35)^2))/(2*Inputs!$C$36^2)))+Inputs!$C$37*(0.55*SIN(2*PI()*(Model_Data!A145)/Inputs!$C$39)+0.35*COS(2*PI()*(0)/Inputs!$C$40)+0.2*SIN(2*PI()*((Model_Data!A145)+(0))/(0.5*(Inputs!$C$39+Inputs!$C$40))))+Inputs!$C$38*SIN(2*PI()*(Model_Data!A145)/Inputs!$C$39)*SIN(2*PI()*(0)/Inputs!$C$40)+-Inputs!$C$41*EXP(-(((0)-Inputs!$C$43)^2)/(2*Inputs!$C$44^2))*EXP(-(((Model_Data!A145)-Inputs!$C$42)^2)/(2*Inputs!$C$45^2))+Inputs!$C$48*(0.70*(0.45*SIN(2*PI()*(((Model_Data!A145)/Inputs!$C$49)+Inputs!$C$47*0.137))+0.35*COS(2*PI()*(((0)/Inputs!$C$50)+Inputs!$C$47*0.173))+0.20*SIN(2*PI()*(((Model_Data!A145)+(0))/(0.5*(Inputs!$C$49+Inputs!$C$50))+Inputs!$C$47*0.097)))+0.30*(2*((SIN(((Model_Data!A145)*12.9898+(0)*78.233+Inputs!$C$47*37.719))*43758.5453)-INT((SIN(((Model_Data!A145)*12.9898+(0)*78.233+Inputs!$C$47*37.719))*43758.5453)))-1))))/1000))*1000/Inputs!$C$12)-((SQRT((Model_Data!A145)^2+Inputs!$C$6^2+Inputs!$C$5^2)-Inputs!$C$5)*1000/Inputs!$C$12)))</x:f>
        <x:v>0.00042181061337487336</x:v>
      </x:c>
      <x:c r="X145" s="48" t="n">
        <x:f>0</x:f>
        <x:v>0</x:v>
      </x:c>
      <x:c r="Y145" s="49"/>
      <x:c r="Z145" s="48" t="n">
        <x:f>Model_Data!A145</x:f>
        <x:v>11.5</x:v>
      </x:c>
      <x:c r="AA145" s="48" t="n">
        <x:f>SQRT((Model_Data!A145)^2+Inputs!$C$6^2+((Model_Data!B145)-((Inputs!$C$51*(115*EXP(-(((Inputs!$C$6)-25)^2)/(4.5^2))+70*EXP(-(((Inputs!$C$6)+38)^2)/(7^2))*(0.55+0.45*SIN(2*PI()*(Model_Data!A145)/45))+24*SIN(2*PI()*(Inputs!$C$6)/9+(Model_Data!A145)/18)*EXP(-(((Inputs!$C$6)+5)^2)/(22^2))+18*SIN(2*PI()*(Model_Data!A145)/70))+Inputs!$C$28*EXP(-(((Model_Data!A145)-Inputs!$C$29)^2)/(2*Inputs!$C$31^2))*EXP(-(((Inputs!$C$6)-Inputs!$C$30)^2)/(2*Inputs!$C$32^2))+-Inputs!$C$33*EXP(-(((((Model_Data!A145)-Inputs!$C$34)^2)+(((Inputs!$C$6)-Inputs!$C$35)^2))/(2*Inputs!$C$36^2)))+Inputs!$C$37*(0.55*SIN(2*PI()*(Model_Data!A145)/Inputs!$C$39)+0.35*COS(2*PI()*(Inputs!$C$6)/Inputs!$C$40)+0.2*SIN(2*PI()*((Model_Data!A145)+(Inputs!$C$6))/(0.5*(Inputs!$C$39+Inputs!$C$40))))+Inputs!$C$38*SIN(2*PI()*(Model_Data!A145)/Inputs!$C$39)*SIN(2*PI()*(Inputs!$C$6)/Inputs!$C$40)+-Inputs!$C$41*EXP(-(((Inputs!$C$6)-Inputs!$C$43)^2)/(2*Inputs!$C$44^2))*EXP(-(((Model_Data!A145)-Inputs!$C$42)^2)/(2*Inputs!$C$45^2))+Inputs!$C$48*(0.70*(0.45*SIN(2*PI()*(((Model_Data!A145)/Inputs!$C$49)+Inputs!$C$47*0.137))+0.35*COS(2*PI()*(((Inputs!$C$6)/Inputs!$C$50)+Inputs!$C$47*0.173))+0.20*SIN(2*PI()*(((Model_Data!A145)+(Inputs!$C$6))/(0.5*(Inputs!$C$49+Inputs!$C$50))+Inputs!$C$47*0.097)))+0.30*(2*((SIN(((Model_Data!A145)*12.9898+(Inputs!$C$6)*78.233+Inputs!$C$47*37.719))*43758.5453)-INT((SIN(((Model_Data!A145)*12.9898+(Inputs!$C$6)*78.233+Inputs!$C$47*37.719))*43758.5453)))-1))))/1000)^2)</x:f>
        <x:v>400.65862335506495</x:v>
      </x:c>
      <x:c r="AB145" s="48" t="n">
        <x:f>1000*(AA146-AA144)/(Z146-Z144)*Inputs!$C$11</x:f>
        <x:v>304.98212419479387</x:v>
      </x:c>
      <x:c r="AC145" s="48" t="n">
        <x:f>-2*AB145/Inputs!$C$13</x:f>
        <x:v>-121.99284967791755</x:v>
      </x:c>
      <x:c r="AD145" s="48" t="n">
        <x:f>-2*AB145/Inputs!$C$14</x:f>
        <x:v>-18.31724469638402</x:v>
      </x:c>
    </x:row>
    <x:row r="146">
      <x:c r="A146" s="48" t="n">
        <x:f>Model_Data!A146</x:f>
        <x:v>12</x:v>
      </x:c>
      <x:c r="B146" s="48" t="n">
        <x:f>Model_Data!F146</x:f>
        <x:v>539.1656171138436</x:v>
      </x:c>
      <x:c r="C146" s="48" t="n">
        <x:f>(((SQRT((Model_Data!A146)^2+Inputs!$C$6^2+((Model_Data!B146)-((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(0.45*SIN(2*PI()*(((Model_Data!A146)/Inputs!$C$49)+Inputs!$C$47*0.137))+0.35*COS(2*PI()*(((Inputs!$C$6)/Inputs!$C$50)+Inputs!$C$47*0.173))+0.20*SIN(2*PI()*(((Model_Data!A146)+(Inputs!$C$6))/(0.5*(Inputs!$C$49+Inputs!$C$50))+Inputs!$C$47*0.097)))+0.30*(2*((SIN(((Model_Data!A146)*12.9898+(Inputs!$C$6)*78.233+Inputs!$C$47*37.719))*43758.5453)-INT((SIN(((Model_Data!A146)*12.9898+(Inputs!$C$6)*78.233+Inputs!$C$47*37.719))*43758.5453)))-1))))/1000)^2))-(((Model_Data!B146)-((Inputs!$C$51*(115*EXP(-(((0)-25)^2)/(4.5^2))+70*EXP(-(((0)+38)^2)/(7^2))*(0.55+0.45*SIN(2*PI()*(Model_Data!A146)/45))+24*SIN(2*PI()*(0)/9+(Model_Data!A146)/18)*EXP(-(((0)+5)^2)/(22^2))+18*SIN(2*PI()*(Model_Data!A146)/70))+Inputs!$C$28*EXP(-(((Model_Data!A146)-Inputs!$C$29)^2)/(2*Inputs!$C$31^2))*EXP(-(((0)-Inputs!$C$30)^2)/(2*Inputs!$C$32^2))+-Inputs!$C$33*EXP(-(((((Model_Data!A146)-Inputs!$C$34)^2)+(((0)-Inputs!$C$35)^2))/(2*Inputs!$C$36^2)))+Inputs!$C$37*(0.55*SIN(2*PI()*(Model_Data!A146)/Inputs!$C$39)+0.35*COS(2*PI()*(0)/Inputs!$C$40)+0.2*SIN(2*PI()*((Model_Data!A146)+(0))/(0.5*(Inputs!$C$39+Inputs!$C$40))))+Inputs!$C$38*SIN(2*PI()*(Model_Data!A146)/Inputs!$C$39)*SIN(2*PI()*(0)/Inputs!$C$40)+-Inputs!$C$41*EXP(-(((0)-Inputs!$C$43)^2)/(2*Inputs!$C$44^2))*EXP(-(((Model_Data!A146)-Inputs!$C$42)^2)/(2*Inputs!$C$45^2))+Inputs!$C$48*(0.70*(0.45*SIN(2*PI()*(((Model_Data!A146)/Inputs!$C$49)+Inputs!$C$47*0.137))+0.35*COS(2*PI()*(((0)/Inputs!$C$50)+Inputs!$C$47*0.173))+0.20*SIN(2*PI()*(((Model_Data!A146)+(0))/(0.5*(Inputs!$C$49+Inputs!$C$50))+Inputs!$C$47*0.097)))+0.30*(2*((SIN(((Model_Data!A146)*12.9898+(0)*78.233+Inputs!$C$47*37.719))*43758.5453)-INT((SIN(((Model_Data!A146)*12.9898+(0)*78.233+Inputs!$C$47*37.719))*43758.5453)))-1))))/1000)))*1000/Inputs!$C$12)</x:f>
        <x:v>306.1588299974676</x:v>
      </x:c>
      <x:c r="D146" s="49"/>
      <x:c r="E146" s="48" t="n">
        <x:f>Model_Data!A146</x:f>
        <x:v>12</x:v>
      </x:c>
      <x:c r="F146" s="48" t="n">
        <x:f>(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(0.45*SIN(2*PI()*(((Model_Data!A146)/Inputs!$C$49)+Inputs!$C$47*0.137))+0.35*COS(2*PI()*(((Inputs!$C$6)/Inputs!$C$50)+Inputs!$C$47*0.173))+0.20*SIN(2*PI()*(((Model_Data!A146)+(Inputs!$C$6))/(0.5*(Inputs!$C$49+Inputs!$C$50))+Inputs!$C$47*0.097)))+0.30*(2*((SIN(((Model_Data!A146)*12.9898+(Inputs!$C$6)*78.233+Inputs!$C$47*37.719))*43758.5453)-INT((SIN(((Model_Data!A146)*12.9898+(Inputs!$C$6)*78.233+Inputs!$C$47*37.719))*43758.5453)))-1)))</x:f>
        <x:v>422.8387186345762</x:v>
      </x:c>
      <x:c r="G146" s="48" t="n">
        <x:f>(Inputs!$C$51*(115*EXP(-(((0)-25)^2)/(4.5^2))+70*EXP(-(((0)+38)^2)/(7^2))*(0.55+0.45*SIN(2*PI()*(Model_Data!A146)/45))+24*SIN(2*PI()*(0)/9+(Model_Data!A146)/18)*EXP(-(((0)+5)^2)/(22^2))+18*SIN(2*PI()*(Model_Data!A146)/70))+Inputs!$C$28*EXP(-(((Model_Data!A146)-Inputs!$C$29)^2)/(2*Inputs!$C$31^2))*EXP(-(((0)-Inputs!$C$30)^2)/(2*Inputs!$C$32^2))+-Inputs!$C$33*EXP(-(((((Model_Data!A146)-Inputs!$C$34)^2)+(((0)-Inputs!$C$35)^2))/(2*Inputs!$C$36^2)))+Inputs!$C$37*(0.55*SIN(2*PI()*(Model_Data!A146)/Inputs!$C$39)+0.35*COS(2*PI()*(0)/Inputs!$C$40)+0.2*SIN(2*PI()*((Model_Data!A146)+(0))/(0.5*(Inputs!$C$39+Inputs!$C$40))))+Inputs!$C$38*SIN(2*PI()*(Model_Data!A146)/Inputs!$C$39)*SIN(2*PI()*(0)/Inputs!$C$40)+-Inputs!$C$41*EXP(-(((0)-Inputs!$C$43)^2)/(2*Inputs!$C$44^2))*EXP(-(((Model_Data!A146)-Inputs!$C$42)^2)/(2*Inputs!$C$45^2))+Inputs!$C$48*(0.70*(0.45*SIN(2*PI()*(((Model_Data!A146)/Inputs!$C$49)+Inputs!$C$47*0.137))+0.35*COS(2*PI()*(((0)/Inputs!$C$50)+Inputs!$C$47*0.173))+0.20*SIN(2*PI()*(((Model_Data!A146)+(0))/(0.5*(Inputs!$C$49+Inputs!$C$50))+Inputs!$C$47*0.097)))+0.30*(2*((SIN(((Model_Data!A146)*12.9898+(0)*78.233+Inputs!$C$47*37.719))*43758.5453)-INT((SIN(((Model_Data!A146)*12.9898+(0)*78.233+Inputs!$C$47*37.719))*43758.5453)))-1)))</x:f>
        <x:v>7.0738918061296845</x:v>
      </x:c>
      <x:c r="H146" s="49"/>
      <x:c r="I146" s="48" t="n">
        <x:f>Model_Data!A146</x:f>
        <x:v>12</x:v>
      </x:c>
      <x:c r="J146" s="48" t="n">
        <x:f>((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(0.45*SIN(2*PI()*(((Model_Data!A146)/Inputs!$C$49)+Inputs!$C$47*0.137))+0.35*COS(2*PI()*(((Inputs!$C$6)/Inputs!$C$50)+Inputs!$C$47*0.173))+0.20*SIN(2*PI()*(((Model_Data!A146)+(Inputs!$C$6))/(0.5*(Inputs!$C$49+Inputs!$C$50))+Inputs!$C$47*0.097)))+0.30*(2*((SIN(((Model_Data!A146)*12.9898+(Inputs!$C$6)*78.233+Inputs!$C$47*37.719))*43758.5453)-INT((SIN(((Model_Data!A146)*12.9898+(Inputs!$C$6)*78.233+Inputs!$C$47*37.719))*43758.5453)))-1))))-((Inputs!$C$51*(115*EXP(-(((0)-25)^2)/(4.5^2))+70*EXP(-(((0)+38)^2)/(7^2))*(0.55+0.45*SIN(2*PI()*(Model_Data!A146)/45))+24*SIN(2*PI()*(0)/9+(Model_Data!A146)/18)*EXP(-(((0)+5)^2)/(22^2))+18*SIN(2*PI()*(Model_Data!A146)/70))+Inputs!$C$28*EXP(-(((Model_Data!A146)-Inputs!$C$29)^2)/(2*Inputs!$C$31^2))*EXP(-(((0)-Inputs!$C$30)^2)/(2*Inputs!$C$32^2))+-Inputs!$C$33*EXP(-(((((Model_Data!A146)-Inputs!$C$34)^2)+(((0)-Inputs!$C$35)^2))/(2*Inputs!$C$36^2)))+Inputs!$C$37*(0.55*SIN(2*PI()*(Model_Data!A146)/Inputs!$C$39)+0.35*COS(2*PI()*(0)/Inputs!$C$40)+0.2*SIN(2*PI()*((Model_Data!A146)+(0))/(0.5*(Inputs!$C$39+Inputs!$C$40))))+Inputs!$C$38*SIN(2*PI()*(Model_Data!A146)/Inputs!$C$39)*SIN(2*PI()*(0)/Inputs!$C$40)+-Inputs!$C$41*EXP(-(((0)-Inputs!$C$43)^2)/(2*Inputs!$C$44^2))*EXP(-(((Model_Data!A146)-Inputs!$C$42)^2)/(2*Inputs!$C$45^2))+Inputs!$C$48*(0.70*(0.45*SIN(2*PI()*(((Model_Data!A146)/Inputs!$C$49)+Inputs!$C$47*0.137))+0.35*COS(2*PI()*(((0)/Inputs!$C$50)+Inputs!$C$47*0.173))+0.20*SIN(2*PI()*(((Model_Data!A146)+(0))/(0.5*(Inputs!$C$49+Inputs!$C$50))+Inputs!$C$47*0.097)))+0.30*(2*((SIN(((Model_Data!A146)*12.9898+(0)*78.233+Inputs!$C$47*37.719))*43758.5453)-INT((SIN(((Model_Data!A146)*12.9898+(0)*78.233+Inputs!$C$47*37.719))*43758.5453)))-1))))</x:f>
        <x:v>415.76482682844653</x:v>
      </x:c>
      <x:c r="K146" s="48" t="n">
        <x:f>-((((SQRT((Model_Data!A146)^2+Inputs!$C$6^2+((Model_Data!B146)-((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(0.45*SIN(2*PI()*(((Model_Data!A146)/Inputs!$C$49)+Inputs!$C$47*0.137))+0.35*COS(2*PI()*(((Inputs!$C$6)/Inputs!$C$50)+Inputs!$C$47*0.173))+0.20*SIN(2*PI()*(((Model_Data!A146)+(Inputs!$C$6))/(0.5*(Inputs!$C$49+Inputs!$C$50))+Inputs!$C$47*0.097)))+0.30*(2*((SIN(((Model_Data!A146)*12.9898+(Inputs!$C$6)*78.233+Inputs!$C$47*37.719))*43758.5453)-INT((SIN(((Model_Data!A146)*12.9898+(Inputs!$C$6)*78.233+Inputs!$C$47*37.719))*43758.5453)))-1))))/1000)^2))-(((Model_Data!B146)-((Inputs!$C$51*(115*EXP(-(((0)-25)^2)/(4.5^2))+70*EXP(-(((0)+38)^2)/(7^2))*(0.55+0.45*SIN(2*PI()*(Model_Data!A146)/45))+24*SIN(2*PI()*(0)/9+(Model_Data!A146)/18)*EXP(-(((0)+5)^2)/(22^2))+18*SIN(2*PI()*(Model_Data!A146)/70))+Inputs!$C$28*EXP(-(((Model_Data!A146)-Inputs!$C$29)^2)/(2*Inputs!$C$31^2))*EXP(-(((0)-Inputs!$C$30)^2)/(2*Inputs!$C$32^2))+-Inputs!$C$33*EXP(-(((((Model_Data!A146)-Inputs!$C$34)^2)+(((0)-Inputs!$C$35)^2))/(2*Inputs!$C$36^2)))+Inputs!$C$37*(0.55*SIN(2*PI()*(Model_Data!A146)/Inputs!$C$39)+0.35*COS(2*PI()*(0)/Inputs!$C$40)+0.2*SIN(2*PI()*((Model_Data!A146)+(0))/(0.5*(Inputs!$C$39+Inputs!$C$40))))+Inputs!$C$38*SIN(2*PI()*(Model_Data!A146)/Inputs!$C$39)*SIN(2*PI()*(0)/Inputs!$C$40)+-Inputs!$C$41*EXP(-(((0)-Inputs!$C$43)^2)/(2*Inputs!$C$44^2))*EXP(-(((Model_Data!A146)-Inputs!$C$42)^2)/(2*Inputs!$C$45^2))+Inputs!$C$48*(0.70*(0.45*SIN(2*PI()*(((Model_Data!A146)/Inputs!$C$49)+Inputs!$C$47*0.137))+0.35*COS(2*PI()*(((0)/Inputs!$C$50)+Inputs!$C$47*0.173))+0.20*SIN(2*PI()*(((Model_Data!A146)+(0))/(0.5*(Inputs!$C$49+Inputs!$C$50))+Inputs!$C$47*0.097)))+0.30*(2*((SIN(((Model_Data!A146)*12.9898+(0)*78.233+Inputs!$C$47*37.719))*43758.5453)-INT((SIN(((Model_Data!A146)*12.9898+(0)*78.233+Inputs!$C$47*37.719))*43758.5453)))-1))))/1000)))*1000/Inputs!$C$12)-Model_Data!F146)</x:f>
        <x:v>233.00678711637602</x:v>
      </x:c>
      <x:c r="L146" s="49"/>
      <x:c r="M146" s="48" t="n">
        <x:f>Model_Data!A146</x:f>
        <x:v>12</x:v>
      </x:c>
      <x:c r="N146" s="48" t="n">
        <x:f>Model_Data!P146</x:f>
        <x:v>-90.43059215266564</x:v>
      </x:c>
      <x:c r="O146" s="48" t="n">
        <x:f>AC146</x:f>
        <x:v>-90.9935037437208</x:v>
      </x:c>
      <x:c r="P146" s="48" t="n">
        <x:f>Model_Data!Q146</x:f>
        <x:v>-13.578166989889736</x:v>
      </x:c>
      <x:c r="Q146" s="48" t="n">
        <x:f>AD146</x:f>
        <x:v>-13.662688249807928</x:v>
      </x:c>
      <x:c r="R146" s="49"/>
      <x:c r="S146" s="48" t="n">
        <x:f>Model_Data!A146</x:f>
        <x:v>12</x:v>
      </x:c>
      <x:c r="T146" s="48" t="n">
        <x:f>Model_Data!B146-Inputs!$C$5</x:f>
        <x:v>0.160000000000025</x:v>
      </x:c>
      <x:c r="U146" s="49"/>
      <x:c r="V146" s="48" t="n">
        <x:f>Model_Data!A146</x:f>
        <x:v>12</x:v>
      </x:c>
      <x:c r="W146" s="48" t="n">
        <x:f>(-((((SQRT((Model_Data!A146)^2+Inputs!$C$6^2+((Model_Data!B146)-((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(0.45*SIN(2*PI()*(((Model_Data!A146)/Inputs!$C$49)+Inputs!$C$47*0.137))+0.35*COS(2*PI()*(((Inputs!$C$6)/Inputs!$C$50)+Inputs!$C$47*0.173))+0.20*SIN(2*PI()*(((Model_Data!A146)+(Inputs!$C$6))/(0.5*(Inputs!$C$49+Inputs!$C$50))+Inputs!$C$47*0.097)))+0.30*(2*((SIN(((Model_Data!A146)*12.9898+(Inputs!$C$6)*78.233+Inputs!$C$47*37.719))*43758.5453)-INT((SIN(((Model_Data!A146)*12.9898+(Inputs!$C$6)*78.233+Inputs!$C$47*37.719))*43758.5453)))-1))))/1000)^2))-(((Model_Data!B146)-((Inputs!$C$51*(115*EXP(-(((0)-25)^2)/(4.5^2))+70*EXP(-(((0)+38)^2)/(7^2))*(0.55+0.45*SIN(2*PI()*(Model_Data!A146)/45))+24*SIN(2*PI()*(0)/9+(Model_Data!A146)/18)*EXP(-(((0)+5)^2)/(22^2))+18*SIN(2*PI()*(Model_Data!A146)/70))+Inputs!$C$28*EXP(-(((Model_Data!A146)-Inputs!$C$29)^2)/(2*Inputs!$C$31^2))*EXP(-(((0)-Inputs!$C$30)^2)/(2*Inputs!$C$32^2))+-Inputs!$C$33*EXP(-(((((Model_Data!A146)-Inputs!$C$34)^2)+(((0)-Inputs!$C$35)^2))/(2*Inputs!$C$36^2)))+Inputs!$C$37*(0.55*SIN(2*PI()*(Model_Data!A146)/Inputs!$C$39)+0.35*COS(2*PI()*(0)/Inputs!$C$40)+0.2*SIN(2*PI()*((Model_Data!A146)+(0))/(0.5*(Inputs!$C$39+Inputs!$C$40))))+Inputs!$C$38*SIN(2*PI()*(Model_Data!A146)/Inputs!$C$39)*SIN(2*PI()*(0)/Inputs!$C$40)+-Inputs!$C$41*EXP(-(((0)-Inputs!$C$43)^2)/(2*Inputs!$C$44^2))*EXP(-(((Model_Data!A146)-Inputs!$C$42)^2)/(2*Inputs!$C$45^2))+Inputs!$C$48*(0.70*(0.45*SIN(2*PI()*(((Model_Data!A146)/Inputs!$C$49)+Inputs!$C$47*0.137))+0.35*COS(2*PI()*(((0)/Inputs!$C$50)+Inputs!$C$47*0.173))+0.20*SIN(2*PI()*(((Model_Data!A146)+(0))/(0.5*(Inputs!$C$49+Inputs!$C$50))+Inputs!$C$47*0.097)))+0.30*(2*((SIN(((Model_Data!A146)*12.9898+(0)*78.233+Inputs!$C$47*37.719))*43758.5453)-INT((SIN(((Model_Data!A146)*12.9898+(0)*78.233+Inputs!$C$47*37.719))*43758.5453)))-1))))/1000)))*1000/Inputs!$C$12)-Model_Data!F146))-(-(((SQRT((Model_Data!A146)^2+Inputs!$C$6^2+(Inputs!$C$5-((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(0.45*SIN(2*PI()*(((Model_Data!A146)/Inputs!$C$49)+Inputs!$C$47*0.137))+0.35*COS(2*PI()*(((Inputs!$C$6)/Inputs!$C$50)+Inputs!$C$47*0.173))+0.20*SIN(2*PI()*(((Model_Data!A146)+(Inputs!$C$6))/(0.5*(Inputs!$C$49+Inputs!$C$50))+Inputs!$C$47*0.097)))+0.30*(2*((SIN(((Model_Data!A146)*12.9898+(Inputs!$C$6)*78.233+Inputs!$C$47*37.719))*43758.5453)-INT((SIN(((Model_Data!A146)*12.9898+(Inputs!$C$6)*78.233+Inputs!$C$47*37.719))*43758.5453)))-1))))/1000)^2)-(Inputs!$C$5-((Inputs!$C$51*(115*EXP(-(((0)-25)^2)/(4.5^2))+70*EXP(-(((0)+38)^2)/(7^2))*(0.55+0.45*SIN(2*PI()*(Model_Data!A146)/45))+24*SIN(2*PI()*(0)/9+(Model_Data!A146)/18)*EXP(-(((0)+5)^2)/(22^2))+18*SIN(2*PI()*(Model_Data!A146)/70))+Inputs!$C$28*EXP(-(((Model_Data!A146)-Inputs!$C$29)^2)/(2*Inputs!$C$31^2))*EXP(-(((0)-Inputs!$C$30)^2)/(2*Inputs!$C$32^2))+-Inputs!$C$33*EXP(-(((((Model_Data!A146)-Inputs!$C$34)^2)+(((0)-Inputs!$C$35)^2))/(2*Inputs!$C$36^2)))+Inputs!$C$37*(0.55*SIN(2*PI()*(Model_Data!A146)/Inputs!$C$39)+0.35*COS(2*PI()*(0)/Inputs!$C$40)+0.2*SIN(2*PI()*((Model_Data!A146)+(0))/(0.5*(Inputs!$C$39+Inputs!$C$40))))+Inputs!$C$38*SIN(2*PI()*(Model_Data!A146)/Inputs!$C$39)*SIN(2*PI()*(0)/Inputs!$C$40)+-Inputs!$C$41*EXP(-(((0)-Inputs!$C$43)^2)/(2*Inputs!$C$44^2))*EXP(-(((Model_Data!A146)-Inputs!$C$42)^2)/(2*Inputs!$C$45^2))+Inputs!$C$48*(0.70*(0.45*SIN(2*PI()*(((Model_Data!A146)/Inputs!$C$49)+Inputs!$C$47*0.137))+0.35*COS(2*PI()*(((0)/Inputs!$C$50)+Inputs!$C$47*0.173))+0.20*SIN(2*PI()*(((Model_Data!A146)+(0))/(0.5*(Inputs!$C$49+Inputs!$C$50))+Inputs!$C$47*0.097)))+0.30*(2*((SIN(((Model_Data!A146)*12.9898+(0)*78.233+Inputs!$C$47*37.719))*43758.5453)-INT((SIN(((Model_Data!A146)*12.9898+(0)*78.233+Inputs!$C$47*37.719))*43758.5453)))-1))))/1000))*1000/Inputs!$C$12)-((SQRT((Model_Data!A146)^2+Inputs!$C$6^2+Inputs!$C$5^2)-Inputs!$C$5)*1000/Inputs!$C$12)))</x:f>
        <x:v>0.0004538621262781817</x:v>
      </x:c>
      <x:c r="X146" s="48" t="n">
        <x:f>0</x:f>
        <x:v>0</x:v>
      </x:c>
      <x:c r="Y146" s="49"/>
      <x:c r="Z146" s="48" t="n">
        <x:f>Model_Data!A146</x:f>
        <x:v>12</x:v>
      </x:c>
      <x:c r="AA146" s="48" t="n">
        <x:f>SQRT((Model_Data!A146)^2+Inputs!$C$6^2+((Model_Data!B146)-((Inputs!$C$51*(115*EXP(-(((Inputs!$C$6)-25)^2)/(4.5^2))+70*EXP(-(((Inputs!$C$6)+38)^2)/(7^2))*(0.55+0.45*SIN(2*PI()*(Model_Data!A146)/45))+24*SIN(2*PI()*(Inputs!$C$6)/9+(Model_Data!A146)/18)*EXP(-(((Inputs!$C$6)+5)^2)/(22^2))+18*SIN(2*PI()*(Model_Data!A146)/70))+Inputs!$C$28*EXP(-(((Model_Data!A146)-Inputs!$C$29)^2)/(2*Inputs!$C$31^2))*EXP(-(((Inputs!$C$6)-Inputs!$C$30)^2)/(2*Inputs!$C$32^2))+-Inputs!$C$33*EXP(-(((((Model_Data!A146)-Inputs!$C$34)^2)+(((Inputs!$C$6)-Inputs!$C$35)^2))/(2*Inputs!$C$36^2)))+Inputs!$C$37*(0.55*SIN(2*PI()*(Model_Data!A146)/Inputs!$C$39)+0.35*COS(2*PI()*(Inputs!$C$6)/Inputs!$C$40)+0.2*SIN(2*PI()*((Model_Data!A146)+(Inputs!$C$6))/(0.5*(Inputs!$C$39+Inputs!$C$40))))+Inputs!$C$38*SIN(2*PI()*(Model_Data!A146)/Inputs!$C$39)*SIN(2*PI()*(Inputs!$C$6)/Inputs!$C$40)+-Inputs!$C$41*EXP(-(((Inputs!$C$6)-Inputs!$C$43)^2)/(2*Inputs!$C$44^2))*EXP(-(((Model_Data!A146)-Inputs!$C$42)^2)/(2*Inputs!$C$45^2))+Inputs!$C$48*(0.70*(0.45*SIN(2*PI()*(((Model_Data!A146)/Inputs!$C$49)+Inputs!$C$47*0.137))+0.35*COS(2*PI()*(((Inputs!$C$6)/Inputs!$C$50)+Inputs!$C$47*0.173))+0.20*SIN(2*PI()*(((Model_Data!A146)+(Inputs!$C$6))/(0.5*(Inputs!$C$49+Inputs!$C$50))+Inputs!$C$47*0.097)))+0.30*(2*((SIN(((Model_Data!A146)*12.9898+(Inputs!$C$6)*78.233+Inputs!$C$47*37.719))*43758.5453)-INT((SIN(((Model_Data!A146)*12.9898+(Inputs!$C$6)*78.233+Inputs!$C$47*37.719))*43758.5453)))-1))))/1000)^2)</x:f>
        <x:v>400.69788882558936</x:v>
      </x:c>
      <x:c r="AB146" s="48" t="n">
        <x:f>1000*(AA147-AA145)/(Z147-Z145)*Inputs!$C$11</x:f>
        <x:v>227.48375935930198</x:v>
      </x:c>
      <x:c r="AC146" s="48" t="n">
        <x:f>-2*AB146/Inputs!$C$13</x:f>
        <x:v>-90.9935037437208</x:v>
      </x:c>
      <x:c r="AD146" s="48" t="n">
        <x:f>-2*AB146/Inputs!$C$14</x:f>
        <x:v>-13.662688249807928</x:v>
      </x:c>
    </x:row>
    <x:row r="147">
      <x:c r="A147" s="48" t="n">
        <x:f>Model_Data!A147</x:f>
        <x:v>12.5</x:v>
      </x:c>
      <x:c r="B147" s="48" t="n">
        <x:f>Model_Data!F147</x:f>
        <x:v>547.7253830597713</x:v>
      </x:c>
      <x:c r="C147" s="48" t="n">
        <x:f>(((SQRT((Model_Data!A147)^2+Inputs!$C$6^2+((Model_Data!B147)-((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(0.45*SIN(2*PI()*(((Model_Data!A147)/Inputs!$C$49)+Inputs!$C$47*0.137))+0.35*COS(2*PI()*(((Inputs!$C$6)/Inputs!$C$50)+Inputs!$C$47*0.173))+0.20*SIN(2*PI()*(((Model_Data!A147)+(Inputs!$C$6))/(0.5*(Inputs!$C$49+Inputs!$C$50))+Inputs!$C$47*0.097)))+0.30*(2*((SIN(((Model_Data!A147)*12.9898+(Inputs!$C$6)*78.233+Inputs!$C$47*37.719))*43758.5453)-INT((SIN(((Model_Data!A147)*12.9898+(Inputs!$C$6)*78.233+Inputs!$C$47*37.719))*43758.5453)))-1))))/1000)^2))-(((Model_Data!B147)-((Inputs!$C$51*(115*EXP(-(((0)-25)^2)/(4.5^2))+70*EXP(-(((0)+38)^2)/(7^2))*(0.55+0.45*SIN(2*PI()*(Model_Data!A147)/45))+24*SIN(2*PI()*(0)/9+(Model_Data!A147)/18)*EXP(-(((0)+5)^2)/(22^2))+18*SIN(2*PI()*(Model_Data!A147)/70))+Inputs!$C$28*EXP(-(((Model_Data!A147)-Inputs!$C$29)^2)/(2*Inputs!$C$31^2))*EXP(-(((0)-Inputs!$C$30)^2)/(2*Inputs!$C$32^2))+-Inputs!$C$33*EXP(-(((((Model_Data!A147)-Inputs!$C$34)^2)+(((0)-Inputs!$C$35)^2))/(2*Inputs!$C$36^2)))+Inputs!$C$37*(0.55*SIN(2*PI()*(Model_Data!A147)/Inputs!$C$39)+0.35*COS(2*PI()*(0)/Inputs!$C$40)+0.2*SIN(2*PI()*((Model_Data!A147)+(0))/(0.5*(Inputs!$C$39+Inputs!$C$40))))+Inputs!$C$38*SIN(2*PI()*(Model_Data!A147)/Inputs!$C$39)*SIN(2*PI()*(0)/Inputs!$C$40)+-Inputs!$C$41*EXP(-(((0)-Inputs!$C$43)^2)/(2*Inputs!$C$44^2))*EXP(-(((Model_Data!A147)-Inputs!$C$42)^2)/(2*Inputs!$C$45^2))+Inputs!$C$48*(0.70*(0.45*SIN(2*PI()*(((Model_Data!A147)/Inputs!$C$49)+Inputs!$C$47*0.137))+0.35*COS(2*PI()*(((0)/Inputs!$C$50)+Inputs!$C$47*0.173))+0.20*SIN(2*PI()*(((Model_Data!A147)+(0))/(0.5*(Inputs!$C$49+Inputs!$C$50))+Inputs!$C$47*0.097)))+0.30*(2*((SIN(((Model_Data!A147)*12.9898+(0)*78.233+Inputs!$C$47*37.719))*43758.5453)-INT((SIN(((Model_Data!A147)*12.9898+(0)*78.233+Inputs!$C$47*37.719))*43758.5453)))-1))))/1000)))*1000/Inputs!$C$12)</x:f>
        <x:v>301.23355596528876</x:v>
      </x:c>
      <x:c r="D147" s="49"/>
      <x:c r="E147" s="48" t="n">
        <x:f>Model_Data!A147</x:f>
        <x:v>12.5</x:v>
      </x:c>
      <x:c r="F147" s="48" t="n">
        <x:f>(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(0.45*SIN(2*PI()*(((Model_Data!A147)/Inputs!$C$49)+Inputs!$C$47*0.137))+0.35*COS(2*PI()*(((Inputs!$C$6)/Inputs!$C$50)+Inputs!$C$47*0.173))+0.20*SIN(2*PI()*(((Model_Data!A147)+(Inputs!$C$6))/(0.5*(Inputs!$C$49+Inputs!$C$50))+Inputs!$C$47*0.097)))+0.30*(2*((SIN(((Model_Data!A147)*12.9898+(Inputs!$C$6)*78.233+Inputs!$C$47*37.719))*43758.5453)-INT((SIN(((Model_Data!A147)*12.9898+(Inputs!$C$6)*78.233+Inputs!$C$47*37.719))*43758.5453)))-1)))</x:f>
        <x:v>434.12423495839124</x:v>
      </x:c>
      <x:c r="G147" s="48" t="n">
        <x:f>(Inputs!$C$51*(115*EXP(-(((0)-25)^2)/(4.5^2))+70*EXP(-(((0)+38)^2)/(7^2))*(0.55+0.45*SIN(2*PI()*(Model_Data!A147)/45))+24*SIN(2*PI()*(0)/9+(Model_Data!A147)/18)*EXP(-(((0)+5)^2)/(22^2))+18*SIN(2*PI()*(Model_Data!A147)/70))+Inputs!$C$28*EXP(-(((Model_Data!A147)-Inputs!$C$29)^2)/(2*Inputs!$C$31^2))*EXP(-(((0)-Inputs!$C$30)^2)/(2*Inputs!$C$32^2))+-Inputs!$C$33*EXP(-(((((Model_Data!A147)-Inputs!$C$34)^2)+(((0)-Inputs!$C$35)^2))/(2*Inputs!$C$36^2)))+Inputs!$C$37*(0.55*SIN(2*PI()*(Model_Data!A147)/Inputs!$C$39)+0.35*COS(2*PI()*(0)/Inputs!$C$40)+0.2*SIN(2*PI()*((Model_Data!A147)+(0))/(0.5*(Inputs!$C$39+Inputs!$C$40))))+Inputs!$C$38*SIN(2*PI()*(Model_Data!A147)/Inputs!$C$39)*SIN(2*PI()*(0)/Inputs!$C$40)+-Inputs!$C$41*EXP(-(((0)-Inputs!$C$43)^2)/(2*Inputs!$C$44^2))*EXP(-(((Model_Data!A147)-Inputs!$C$42)^2)/(2*Inputs!$C$45^2))+Inputs!$C$48*(0.70*(0.45*SIN(2*PI()*(((Model_Data!A147)/Inputs!$C$49)+Inputs!$C$47*0.137))+0.35*COS(2*PI()*(((0)/Inputs!$C$50)+Inputs!$C$47*0.173))+0.20*SIN(2*PI()*(((Model_Data!A147)+(0))/(0.5*(Inputs!$C$49+Inputs!$C$50))+Inputs!$C$47*0.097)))+0.30*(2*((SIN(((Model_Data!A147)*12.9898+(0)*78.233+Inputs!$C$47*37.719))*43758.5453)-INT((SIN(((Model_Data!A147)*12.9898+(0)*78.233+Inputs!$C$47*37.719))*43758.5453)))-1)))</x:f>
        <x:v>-5.687454175445142</x:v>
      </x:c>
      <x:c r="H147" s="49"/>
      <x:c r="I147" s="48" t="n">
        <x:f>Model_Data!A147</x:f>
        <x:v>12.5</x:v>
      </x:c>
      <x:c r="J147" s="48" t="n">
        <x:f>((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(0.45*SIN(2*PI()*(((Model_Data!A147)/Inputs!$C$49)+Inputs!$C$47*0.137))+0.35*COS(2*PI()*(((Inputs!$C$6)/Inputs!$C$50)+Inputs!$C$47*0.173))+0.20*SIN(2*PI()*(((Model_Data!A147)+(Inputs!$C$6))/(0.5*(Inputs!$C$49+Inputs!$C$50))+Inputs!$C$47*0.097)))+0.30*(2*((SIN(((Model_Data!A147)*12.9898+(Inputs!$C$6)*78.233+Inputs!$C$47*37.719))*43758.5453)-INT((SIN(((Model_Data!A147)*12.9898+(Inputs!$C$6)*78.233+Inputs!$C$47*37.719))*43758.5453)))-1))))-((Inputs!$C$51*(115*EXP(-(((0)-25)^2)/(4.5^2))+70*EXP(-(((0)+38)^2)/(7^2))*(0.55+0.45*SIN(2*PI()*(Model_Data!A147)/45))+24*SIN(2*PI()*(0)/9+(Model_Data!A147)/18)*EXP(-(((0)+5)^2)/(22^2))+18*SIN(2*PI()*(Model_Data!A147)/70))+Inputs!$C$28*EXP(-(((Model_Data!A147)-Inputs!$C$29)^2)/(2*Inputs!$C$31^2))*EXP(-(((0)-Inputs!$C$30)^2)/(2*Inputs!$C$32^2))+-Inputs!$C$33*EXP(-(((((Model_Data!A147)-Inputs!$C$34)^2)+(((0)-Inputs!$C$35)^2))/(2*Inputs!$C$36^2)))+Inputs!$C$37*(0.55*SIN(2*PI()*(Model_Data!A147)/Inputs!$C$39)+0.35*COS(2*PI()*(0)/Inputs!$C$40)+0.2*SIN(2*PI()*((Model_Data!A147)+(0))/(0.5*(Inputs!$C$39+Inputs!$C$40))))+Inputs!$C$38*SIN(2*PI()*(Model_Data!A147)/Inputs!$C$39)*SIN(2*PI()*(0)/Inputs!$C$40)+-Inputs!$C$41*EXP(-(((0)-Inputs!$C$43)^2)/(2*Inputs!$C$44^2))*EXP(-(((Model_Data!A147)-Inputs!$C$42)^2)/(2*Inputs!$C$45^2))+Inputs!$C$48*(0.70*(0.45*SIN(2*PI()*(((Model_Data!A147)/Inputs!$C$49)+Inputs!$C$47*0.137))+0.35*COS(2*PI()*(((0)/Inputs!$C$50)+Inputs!$C$47*0.173))+0.20*SIN(2*PI()*(((Model_Data!A147)+(0))/(0.5*(Inputs!$C$49+Inputs!$C$50))+Inputs!$C$47*0.097)))+0.30*(2*((SIN(((Model_Data!A147)*12.9898+(0)*78.233+Inputs!$C$47*37.719))*43758.5453)-INT((SIN(((Model_Data!A147)*12.9898+(0)*78.233+Inputs!$C$47*37.719))*43758.5453)))-1))))</x:f>
        <x:v>439.8116891338364</x:v>
      </x:c>
      <x:c r="K147" s="48" t="n">
        <x:f>-((((SQRT((Model_Data!A147)^2+Inputs!$C$6^2+((Model_Data!B147)-((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(0.45*SIN(2*PI()*(((Model_Data!A147)/Inputs!$C$49)+Inputs!$C$47*0.137))+0.35*COS(2*PI()*(((Inputs!$C$6)/Inputs!$C$50)+Inputs!$C$47*0.173))+0.20*SIN(2*PI()*(((Model_Data!A147)+(Inputs!$C$6))/(0.5*(Inputs!$C$49+Inputs!$C$50))+Inputs!$C$47*0.097)))+0.30*(2*((SIN(((Model_Data!A147)*12.9898+(Inputs!$C$6)*78.233+Inputs!$C$47*37.719))*43758.5453)-INT((SIN(((Model_Data!A147)*12.9898+(Inputs!$C$6)*78.233+Inputs!$C$47*37.719))*43758.5453)))-1))))/1000)^2))-(((Model_Data!B147)-((Inputs!$C$51*(115*EXP(-(((0)-25)^2)/(4.5^2))+70*EXP(-(((0)+38)^2)/(7^2))*(0.55+0.45*SIN(2*PI()*(Model_Data!A147)/45))+24*SIN(2*PI()*(0)/9+(Model_Data!A147)/18)*EXP(-(((0)+5)^2)/(22^2))+18*SIN(2*PI()*(Model_Data!A147)/70))+Inputs!$C$28*EXP(-(((Model_Data!A147)-Inputs!$C$29)^2)/(2*Inputs!$C$31^2))*EXP(-(((0)-Inputs!$C$30)^2)/(2*Inputs!$C$32^2))+-Inputs!$C$33*EXP(-(((((Model_Data!A147)-Inputs!$C$34)^2)+(((0)-Inputs!$C$35)^2))/(2*Inputs!$C$36^2)))+Inputs!$C$37*(0.55*SIN(2*PI()*(Model_Data!A147)/Inputs!$C$39)+0.35*COS(2*PI()*(0)/Inputs!$C$40)+0.2*SIN(2*PI()*((Model_Data!A147)+(0))/(0.5*(Inputs!$C$39+Inputs!$C$40))))+Inputs!$C$38*SIN(2*PI()*(Model_Data!A147)/Inputs!$C$39)*SIN(2*PI()*(0)/Inputs!$C$40)+-Inputs!$C$41*EXP(-(((0)-Inputs!$C$43)^2)/(2*Inputs!$C$44^2))*EXP(-(((Model_Data!A147)-Inputs!$C$42)^2)/(2*Inputs!$C$45^2))+Inputs!$C$48*(0.70*(0.45*SIN(2*PI()*(((Model_Data!A147)/Inputs!$C$49)+Inputs!$C$47*0.137))+0.35*COS(2*PI()*(((0)/Inputs!$C$50)+Inputs!$C$47*0.173))+0.20*SIN(2*PI()*(((Model_Data!A147)+(0))/(0.5*(Inputs!$C$49+Inputs!$C$50))+Inputs!$C$47*0.097)))+0.30*(2*((SIN(((Model_Data!A147)*12.9898+(0)*78.233+Inputs!$C$47*37.719))*43758.5453)-INT((SIN(((Model_Data!A147)*12.9898+(0)*78.233+Inputs!$C$47*37.719))*43758.5453)))-1))))/1000)))*1000/Inputs!$C$12)-Model_Data!F147)</x:f>
        <x:v>246.49182709448252</x:v>
      </x:c>
      <x:c r="L147" s="49"/>
      <x:c r="M147" s="48" t="n">
        <x:f>Model_Data!A147</x:f>
        <x:v>12.5</x:v>
      </x:c>
      <x:c r="N147" s="48" t="n">
        <x:f>Model_Data!P147</x:f>
        <x:v>-94.19326747970709</x:v>
      </x:c>
      <x:c r="O147" s="48" t="n">
        <x:f>AC147</x:f>
        <x:v>-84.6747891691848</x:v>
      </x:c>
      <x:c r="P147" s="48" t="n">
        <x:f>Model_Data!Q147</x:f>
        <x:v>-14.143133255211277</x:v>
      </x:c>
      <x:c r="Q147" s="48" t="n">
        <x:f>AD147</x:f>
        <x:v>-12.713932307685408</x:v>
      </x:c>
      <x:c r="R147" s="49"/>
      <x:c r="S147" s="48" t="n">
        <x:f>Model_Data!A147</x:f>
        <x:v>12.5</x:v>
      </x:c>
      <x:c r="T147" s="48" t="n">
        <x:f>Model_Data!B147-Inputs!$C$5</x:f>
        <x:v>0.17361111111108585</x:v>
      </x:c>
      <x:c r="U147" s="49"/>
      <x:c r="V147" s="48" t="n">
        <x:f>Model_Data!A147</x:f>
        <x:v>12.5</x:v>
      </x:c>
      <x:c r="W147" s="48" t="n">
        <x:f>(-((((SQRT((Model_Data!A147)^2+Inputs!$C$6^2+((Model_Data!B147)-((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(0.45*SIN(2*PI()*(((Model_Data!A147)/Inputs!$C$49)+Inputs!$C$47*0.137))+0.35*COS(2*PI()*(((Inputs!$C$6)/Inputs!$C$50)+Inputs!$C$47*0.173))+0.20*SIN(2*PI()*(((Model_Data!A147)+(Inputs!$C$6))/(0.5*(Inputs!$C$49+Inputs!$C$50))+Inputs!$C$47*0.097)))+0.30*(2*((SIN(((Model_Data!A147)*12.9898+(Inputs!$C$6)*78.233+Inputs!$C$47*37.719))*43758.5453)-INT((SIN(((Model_Data!A147)*12.9898+(Inputs!$C$6)*78.233+Inputs!$C$47*37.719))*43758.5453)))-1))))/1000)^2))-(((Model_Data!B147)-((Inputs!$C$51*(115*EXP(-(((0)-25)^2)/(4.5^2))+70*EXP(-(((0)+38)^2)/(7^2))*(0.55+0.45*SIN(2*PI()*(Model_Data!A147)/45))+24*SIN(2*PI()*(0)/9+(Model_Data!A147)/18)*EXP(-(((0)+5)^2)/(22^2))+18*SIN(2*PI()*(Model_Data!A147)/70))+Inputs!$C$28*EXP(-(((Model_Data!A147)-Inputs!$C$29)^2)/(2*Inputs!$C$31^2))*EXP(-(((0)-Inputs!$C$30)^2)/(2*Inputs!$C$32^2))+-Inputs!$C$33*EXP(-(((((Model_Data!A147)-Inputs!$C$34)^2)+(((0)-Inputs!$C$35)^2))/(2*Inputs!$C$36^2)))+Inputs!$C$37*(0.55*SIN(2*PI()*(Model_Data!A147)/Inputs!$C$39)+0.35*COS(2*PI()*(0)/Inputs!$C$40)+0.2*SIN(2*PI()*((Model_Data!A147)+(0))/(0.5*(Inputs!$C$39+Inputs!$C$40))))+Inputs!$C$38*SIN(2*PI()*(Model_Data!A147)/Inputs!$C$39)*SIN(2*PI()*(0)/Inputs!$C$40)+-Inputs!$C$41*EXP(-(((0)-Inputs!$C$43)^2)/(2*Inputs!$C$44^2))*EXP(-(((Model_Data!A147)-Inputs!$C$42)^2)/(2*Inputs!$C$45^2))+Inputs!$C$48*(0.70*(0.45*SIN(2*PI()*(((Model_Data!A147)/Inputs!$C$49)+Inputs!$C$47*0.137))+0.35*COS(2*PI()*(((0)/Inputs!$C$50)+Inputs!$C$47*0.173))+0.20*SIN(2*PI()*(((Model_Data!A147)+(0))/(0.5*(Inputs!$C$49+Inputs!$C$50))+Inputs!$C$47*0.097)))+0.30*(2*((SIN(((Model_Data!A147)*12.9898+(0)*78.233+Inputs!$C$47*37.719))*43758.5453)-INT((SIN(((Model_Data!A147)*12.9898+(0)*78.233+Inputs!$C$47*37.719))*43758.5453)))-1))))/1000)))*1000/Inputs!$C$12)-Model_Data!F147))-(-(((SQRT((Model_Data!A147)^2+Inputs!$C$6^2+(Inputs!$C$5-((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(0.45*SIN(2*PI()*(((Model_Data!A147)/Inputs!$C$49)+Inputs!$C$47*0.137))+0.35*COS(2*PI()*(((Inputs!$C$6)/Inputs!$C$50)+Inputs!$C$47*0.173))+0.20*SIN(2*PI()*(((Model_Data!A147)+(Inputs!$C$6))/(0.5*(Inputs!$C$49+Inputs!$C$50))+Inputs!$C$47*0.097)))+0.30*(2*((SIN(((Model_Data!A147)*12.9898+(Inputs!$C$6)*78.233+Inputs!$C$47*37.719))*43758.5453)-INT((SIN(((Model_Data!A147)*12.9898+(Inputs!$C$6)*78.233+Inputs!$C$47*37.719))*43758.5453)))-1))))/1000)^2)-(Inputs!$C$5-((Inputs!$C$51*(115*EXP(-(((0)-25)^2)/(4.5^2))+70*EXP(-(((0)+38)^2)/(7^2))*(0.55+0.45*SIN(2*PI()*(Model_Data!A147)/45))+24*SIN(2*PI()*(0)/9+(Model_Data!A147)/18)*EXP(-(((0)+5)^2)/(22^2))+18*SIN(2*PI()*(Model_Data!A147)/70))+Inputs!$C$28*EXP(-(((Model_Data!A147)-Inputs!$C$29)^2)/(2*Inputs!$C$31^2))*EXP(-(((0)-Inputs!$C$30)^2)/(2*Inputs!$C$32^2))+-Inputs!$C$33*EXP(-(((((Model_Data!A147)-Inputs!$C$34)^2)+(((0)-Inputs!$C$35)^2))/(2*Inputs!$C$36^2)))+Inputs!$C$37*(0.55*SIN(2*PI()*(Model_Data!A147)/Inputs!$C$39)+0.35*COS(2*PI()*(0)/Inputs!$C$40)+0.2*SIN(2*PI()*((Model_Data!A147)+(0))/(0.5*(Inputs!$C$39+Inputs!$C$40))))+Inputs!$C$38*SIN(2*PI()*(Model_Data!A147)/Inputs!$C$39)*SIN(2*PI()*(0)/Inputs!$C$40)+-Inputs!$C$41*EXP(-(((0)-Inputs!$C$43)^2)/(2*Inputs!$C$44^2))*EXP(-(((Model_Data!A147)-Inputs!$C$42)^2)/(2*Inputs!$C$45^2))+Inputs!$C$48*(0.70*(0.45*SIN(2*PI()*(((Model_Data!A147)/Inputs!$C$49)+Inputs!$C$47*0.137))+0.35*COS(2*PI()*(((0)/Inputs!$C$50)+Inputs!$C$47*0.173))+0.20*SIN(2*PI()*(((Model_Data!A147)+(0))/(0.5*(Inputs!$C$49+Inputs!$C$50))+Inputs!$C$47*0.097)))+0.30*(2*((SIN(((Model_Data!A147)*12.9898+(0)*78.233+Inputs!$C$47*37.719))*43758.5453)-INT((SIN(((Model_Data!A147)*12.9898+(0)*78.233+Inputs!$C$47*37.719))*43758.5453)))-1))))/1000))*1000/Inputs!$C$12)-((SQRT((Model_Data!A147)^2+Inputs!$C$6^2+Inputs!$C$5^2)-Inputs!$C$5)*1000/Inputs!$C$12)))</x:f>
        <x:v>0.0005136071463311964</x:v>
      </x:c>
      <x:c r="X147" s="48" t="n">
        <x:f>0</x:f>
        <x:v>0</x:v>
      </x:c>
      <x:c r="Y147" s="49"/>
      <x:c r="Z147" s="48" t="n">
        <x:f>Model_Data!A147</x:f>
        <x:v>12.5</x:v>
      </x:c>
      <x:c r="AA147" s="48" t="n">
        <x:f>SQRT((Model_Data!A147)^2+Inputs!$C$6^2+((Model_Data!B147)-((Inputs!$C$51*(115*EXP(-(((Inputs!$C$6)-25)^2)/(4.5^2))+70*EXP(-(((Inputs!$C$6)+38)^2)/(7^2))*(0.55+0.45*SIN(2*PI()*(Model_Data!A147)/45))+24*SIN(2*PI()*(Inputs!$C$6)/9+(Model_Data!A147)/18)*EXP(-(((Inputs!$C$6)+5)^2)/(22^2))+18*SIN(2*PI()*(Model_Data!A147)/70))+Inputs!$C$28*EXP(-(((Model_Data!A147)-Inputs!$C$29)^2)/(2*Inputs!$C$31^2))*EXP(-(((Inputs!$C$6)-Inputs!$C$30)^2)/(2*Inputs!$C$32^2))+-Inputs!$C$33*EXP(-(((((Model_Data!A147)-Inputs!$C$34)^2)+(((Inputs!$C$6)-Inputs!$C$35)^2))/(2*Inputs!$C$36^2)))+Inputs!$C$37*(0.55*SIN(2*PI()*(Model_Data!A147)/Inputs!$C$39)+0.35*COS(2*PI()*(Inputs!$C$6)/Inputs!$C$40)+0.2*SIN(2*PI()*((Model_Data!A147)+(Inputs!$C$6))/(0.5*(Inputs!$C$39+Inputs!$C$40))))+Inputs!$C$38*SIN(2*PI()*(Model_Data!A147)/Inputs!$C$39)*SIN(2*PI()*(Inputs!$C$6)/Inputs!$C$40)+-Inputs!$C$41*EXP(-(((Inputs!$C$6)-Inputs!$C$43)^2)/(2*Inputs!$C$44^2))*EXP(-(((Model_Data!A147)-Inputs!$C$42)^2)/(2*Inputs!$C$45^2))+Inputs!$C$48*(0.70*(0.45*SIN(2*PI()*(((Model_Data!A147)/Inputs!$C$49)+Inputs!$C$47*0.137))+0.35*COS(2*PI()*(((Inputs!$C$6)/Inputs!$C$50)+Inputs!$C$47*0.173))+0.20*SIN(2*PI()*(((Model_Data!A147)+(Inputs!$C$6))/(0.5*(Inputs!$C$49+Inputs!$C$50))+Inputs!$C$47*0.097)))+0.30*(2*((SIN(((Model_Data!A147)*12.9898+(Inputs!$C$6)*78.233+Inputs!$C$47*37.719))*43758.5453)-INT((SIN(((Model_Data!A147)*12.9898+(Inputs!$C$6)*78.233+Inputs!$C$47*37.719))*43758.5453)))-1))))/1000)^2)</x:f>
        <x:v>400.7154942949048</x:v>
      </x:c>
      <x:c r="AB147" s="48" t="n">
        <x:f>1000*(AA148-AA146)/(Z148-Z146)*Inputs!$C$11</x:f>
        <x:v>211.686972922962</x:v>
      </x:c>
      <x:c r="AC147" s="48" t="n">
        <x:f>-2*AB147/Inputs!$C$13</x:f>
        <x:v>-84.6747891691848</x:v>
      </x:c>
      <x:c r="AD147" s="48" t="n">
        <x:f>-2*AB147/Inputs!$C$14</x:f>
        <x:v>-12.713932307685408</x:v>
      </x:c>
    </x:row>
    <x:row r="148">
      <x:c r="A148" s="48" t="n">
        <x:f>Model_Data!A148</x:f>
        <x:v>13</x:v>
      </x:c>
      <x:c r="B148" s="48" t="n">
        <x:f>Model_Data!F148</x:f>
        <x:v>556.6335650683776</x:v>
      </x:c>
      <x:c r="C148" s="48" t="n">
        <x:f>(((SQRT((Model_Data!A148)^2+Inputs!$C$6^2+((Model_Data!B148)-((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(0.45*SIN(2*PI()*(((Model_Data!A148)/Inputs!$C$49)+Inputs!$C$47*0.137))+0.35*COS(2*PI()*(((Inputs!$C$6)/Inputs!$C$50)+Inputs!$C$47*0.173))+0.20*SIN(2*PI()*(((Model_Data!A148)+(Inputs!$C$6))/(0.5*(Inputs!$C$49+Inputs!$C$50))+Inputs!$C$47*0.097)))+0.30*(2*((SIN(((Model_Data!A148)*12.9898+(Inputs!$C$6)*78.233+Inputs!$C$47*37.719))*43758.5453)-INT((SIN(((Model_Data!A148)*12.9898+(Inputs!$C$6)*78.233+Inputs!$C$47*37.719))*43758.5453)))-1))))/1000)^2))-(((Model_Data!B148)-((Inputs!$C$51*(115*EXP(-(((0)-25)^2)/(4.5^2))+70*EXP(-(((0)+38)^2)/(7^2))*(0.55+0.45*SIN(2*PI()*(Model_Data!A148)/45))+24*SIN(2*PI()*(0)/9+(Model_Data!A148)/18)*EXP(-(((0)+5)^2)/(22^2))+18*SIN(2*PI()*(Model_Data!A148)/70))+Inputs!$C$28*EXP(-(((Model_Data!A148)-Inputs!$C$29)^2)/(2*Inputs!$C$31^2))*EXP(-(((0)-Inputs!$C$30)^2)/(2*Inputs!$C$32^2))+-Inputs!$C$33*EXP(-(((((Model_Data!A148)-Inputs!$C$34)^2)+(((0)-Inputs!$C$35)^2))/(2*Inputs!$C$36^2)))+Inputs!$C$37*(0.55*SIN(2*PI()*(Model_Data!A148)/Inputs!$C$39)+0.35*COS(2*PI()*(0)/Inputs!$C$40)+0.2*SIN(2*PI()*((Model_Data!A148)+(0))/(0.5*(Inputs!$C$39+Inputs!$C$40))))+Inputs!$C$38*SIN(2*PI()*(Model_Data!A148)/Inputs!$C$39)*SIN(2*PI()*(0)/Inputs!$C$40)+-Inputs!$C$41*EXP(-(((0)-Inputs!$C$43)^2)/(2*Inputs!$C$44^2))*EXP(-(((Model_Data!A148)-Inputs!$C$42)^2)/(2*Inputs!$C$45^2))+Inputs!$C$48*(0.70*(0.45*SIN(2*PI()*(((Model_Data!A148)/Inputs!$C$49)+Inputs!$C$47*0.137))+0.35*COS(2*PI()*(((0)/Inputs!$C$50)+Inputs!$C$47*0.173))+0.20*SIN(2*PI()*(((Model_Data!A148)+(0))/(0.5*(Inputs!$C$49+Inputs!$C$50))+Inputs!$C$47*0.097)))+0.30*(2*((SIN(((Model_Data!A148)*12.9898+(0)*78.233+Inputs!$C$47*37.719))*43758.5453)-INT((SIN(((Model_Data!A148)*12.9898+(0)*78.233+Inputs!$C$47*37.719))*43758.5453)))-1))))/1000)))*1000/Inputs!$C$12)</x:f>
        <x:v>314.27769667175835</x:v>
      </x:c>
      <x:c r="D148" s="49"/>
      <x:c r="E148" s="48" t="n">
        <x:f>Model_Data!A148</x:f>
        <x:v>13</x:v>
      </x:c>
      <x:c r="F148" s="48" t="n">
        <x:f>(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(0.45*SIN(2*PI()*(((Model_Data!A148)/Inputs!$C$49)+Inputs!$C$47*0.137))+0.35*COS(2*PI()*(((Inputs!$C$6)/Inputs!$C$50)+Inputs!$C$47*0.173))+0.20*SIN(2*PI()*(((Model_Data!A148)+(Inputs!$C$6))/(0.5*(Inputs!$C$49+Inputs!$C$50))+Inputs!$C$47*0.097)))+0.30*(2*((SIN(((Model_Data!A148)*12.9898+(Inputs!$C$6)*78.233+Inputs!$C$47*37.719))*43758.5453)-INT((SIN(((Model_Data!A148)*12.9898+(Inputs!$C$6)*78.233+Inputs!$C$47*37.719))*43758.5453)))-1)))</x:f>
        <x:v>428.8351991704085</x:v>
      </x:c>
      <x:c r="G148" s="48" t="n">
        <x:f>(Inputs!$C$51*(115*EXP(-(((0)-25)^2)/(4.5^2))+70*EXP(-(((0)+38)^2)/(7^2))*(0.55+0.45*SIN(2*PI()*(Model_Data!A148)/45))+24*SIN(2*PI()*(0)/9+(Model_Data!A148)/18)*EXP(-(((0)+5)^2)/(22^2))+18*SIN(2*PI()*(Model_Data!A148)/70))+Inputs!$C$28*EXP(-(((Model_Data!A148)-Inputs!$C$29)^2)/(2*Inputs!$C$31^2))*EXP(-(((0)-Inputs!$C$30)^2)/(2*Inputs!$C$32^2))+-Inputs!$C$33*EXP(-(((((Model_Data!A148)-Inputs!$C$34)^2)+(((0)-Inputs!$C$35)^2))/(2*Inputs!$C$36^2)))+Inputs!$C$37*(0.55*SIN(2*PI()*(Model_Data!A148)/Inputs!$C$39)+0.35*COS(2*PI()*(0)/Inputs!$C$40)+0.2*SIN(2*PI()*((Model_Data!A148)+(0))/(0.5*(Inputs!$C$39+Inputs!$C$40))))+Inputs!$C$38*SIN(2*PI()*(Model_Data!A148)/Inputs!$C$39)*SIN(2*PI()*(0)/Inputs!$C$40)+-Inputs!$C$41*EXP(-(((0)-Inputs!$C$43)^2)/(2*Inputs!$C$44^2))*EXP(-(((Model_Data!A148)-Inputs!$C$42)^2)/(2*Inputs!$C$45^2))+Inputs!$C$48*(0.70*(0.45*SIN(2*PI()*(((Model_Data!A148)/Inputs!$C$49)+Inputs!$C$47*0.137))+0.35*COS(2*PI()*(((0)/Inputs!$C$50)+Inputs!$C$47*0.173))+0.20*SIN(2*PI()*(((Model_Data!A148)+(0))/(0.5*(Inputs!$C$49+Inputs!$C$50))+Inputs!$C$47*0.097)))+0.30*(2*((SIN(((Model_Data!A148)*12.9898+(0)*78.233+Inputs!$C$47*37.719))*43758.5453)-INT((SIN(((Model_Data!A148)*12.9898+(0)*78.233+Inputs!$C$47*37.719))*43758.5453)))-1)))</x:f>
        <x:v>-3.618490966575764</x:v>
      </x:c>
      <x:c r="H148" s="49"/>
      <x:c r="I148" s="48" t="n">
        <x:f>Model_Data!A148</x:f>
        <x:v>13</x:v>
      </x:c>
      <x:c r="J148" s="48" t="n">
        <x:f>((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(0.45*SIN(2*PI()*(((Model_Data!A148)/Inputs!$C$49)+Inputs!$C$47*0.137))+0.35*COS(2*PI()*(((Inputs!$C$6)/Inputs!$C$50)+Inputs!$C$47*0.173))+0.20*SIN(2*PI()*(((Model_Data!A148)+(Inputs!$C$6))/(0.5*(Inputs!$C$49+Inputs!$C$50))+Inputs!$C$47*0.097)))+0.30*(2*((SIN(((Model_Data!A148)*12.9898+(Inputs!$C$6)*78.233+Inputs!$C$47*37.719))*43758.5453)-INT((SIN(((Model_Data!A148)*12.9898+(Inputs!$C$6)*78.233+Inputs!$C$47*37.719))*43758.5453)))-1))))-((Inputs!$C$51*(115*EXP(-(((0)-25)^2)/(4.5^2))+70*EXP(-(((0)+38)^2)/(7^2))*(0.55+0.45*SIN(2*PI()*(Model_Data!A148)/45))+24*SIN(2*PI()*(0)/9+(Model_Data!A148)/18)*EXP(-(((0)+5)^2)/(22^2))+18*SIN(2*PI()*(Model_Data!A148)/70))+Inputs!$C$28*EXP(-(((Model_Data!A148)-Inputs!$C$29)^2)/(2*Inputs!$C$31^2))*EXP(-(((0)-Inputs!$C$30)^2)/(2*Inputs!$C$32^2))+-Inputs!$C$33*EXP(-(((((Model_Data!A148)-Inputs!$C$34)^2)+(((0)-Inputs!$C$35)^2))/(2*Inputs!$C$36^2)))+Inputs!$C$37*(0.55*SIN(2*PI()*(Model_Data!A148)/Inputs!$C$39)+0.35*COS(2*PI()*(0)/Inputs!$C$40)+0.2*SIN(2*PI()*((Model_Data!A148)+(0))/(0.5*(Inputs!$C$39+Inputs!$C$40))))+Inputs!$C$38*SIN(2*PI()*(Model_Data!A148)/Inputs!$C$39)*SIN(2*PI()*(0)/Inputs!$C$40)+-Inputs!$C$41*EXP(-(((0)-Inputs!$C$43)^2)/(2*Inputs!$C$44^2))*EXP(-(((Model_Data!A148)-Inputs!$C$42)^2)/(2*Inputs!$C$45^2))+Inputs!$C$48*(0.70*(0.45*SIN(2*PI()*(((Model_Data!A148)/Inputs!$C$49)+Inputs!$C$47*0.137))+0.35*COS(2*PI()*(((0)/Inputs!$C$50)+Inputs!$C$47*0.173))+0.20*SIN(2*PI()*(((Model_Data!A148)+(0))/(0.5*(Inputs!$C$49+Inputs!$C$50))+Inputs!$C$47*0.097)))+0.30*(2*((SIN(((Model_Data!A148)*12.9898+(0)*78.233+Inputs!$C$47*37.719))*43758.5453)-INT((SIN(((Model_Data!A148)*12.9898+(0)*78.233+Inputs!$C$47*37.719))*43758.5453)))-1))))</x:f>
        <x:v>432.4536901369843</x:v>
      </x:c>
      <x:c r="K148" s="48" t="n">
        <x:f>-((((SQRT((Model_Data!A148)^2+Inputs!$C$6^2+((Model_Data!B148)-((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(0.45*SIN(2*PI()*(((Model_Data!A148)/Inputs!$C$49)+Inputs!$C$47*0.137))+0.35*COS(2*PI()*(((Inputs!$C$6)/Inputs!$C$50)+Inputs!$C$47*0.173))+0.20*SIN(2*PI()*(((Model_Data!A148)+(Inputs!$C$6))/(0.5*(Inputs!$C$49+Inputs!$C$50))+Inputs!$C$47*0.097)))+0.30*(2*((SIN(((Model_Data!A148)*12.9898+(Inputs!$C$6)*78.233+Inputs!$C$47*37.719))*43758.5453)-INT((SIN(((Model_Data!A148)*12.9898+(Inputs!$C$6)*78.233+Inputs!$C$47*37.719))*43758.5453)))-1))))/1000)^2))-(((Model_Data!B148)-((Inputs!$C$51*(115*EXP(-(((0)-25)^2)/(4.5^2))+70*EXP(-(((0)+38)^2)/(7^2))*(0.55+0.45*SIN(2*PI()*(Model_Data!A148)/45))+24*SIN(2*PI()*(0)/9+(Model_Data!A148)/18)*EXP(-(((0)+5)^2)/(22^2))+18*SIN(2*PI()*(Model_Data!A148)/70))+Inputs!$C$28*EXP(-(((Model_Data!A148)-Inputs!$C$29)^2)/(2*Inputs!$C$31^2))*EXP(-(((0)-Inputs!$C$30)^2)/(2*Inputs!$C$32^2))+-Inputs!$C$33*EXP(-(((((Model_Data!A148)-Inputs!$C$34)^2)+(((0)-Inputs!$C$35)^2))/(2*Inputs!$C$36^2)))+Inputs!$C$37*(0.55*SIN(2*PI()*(Model_Data!A148)/Inputs!$C$39)+0.35*COS(2*PI()*(0)/Inputs!$C$40)+0.2*SIN(2*PI()*((Model_Data!A148)+(0))/(0.5*(Inputs!$C$39+Inputs!$C$40))))+Inputs!$C$38*SIN(2*PI()*(Model_Data!A148)/Inputs!$C$39)*SIN(2*PI()*(0)/Inputs!$C$40)+-Inputs!$C$41*EXP(-(((0)-Inputs!$C$43)^2)/(2*Inputs!$C$44^2))*EXP(-(((Model_Data!A148)-Inputs!$C$42)^2)/(2*Inputs!$C$45^2))+Inputs!$C$48*(0.70*(0.45*SIN(2*PI()*(((Model_Data!A148)/Inputs!$C$49)+Inputs!$C$47*0.137))+0.35*COS(2*PI()*(((0)/Inputs!$C$50)+Inputs!$C$47*0.173))+0.20*SIN(2*PI()*(((Model_Data!A148)+(0))/(0.5*(Inputs!$C$49+Inputs!$C$50))+Inputs!$C$47*0.097)))+0.30*(2*((SIN(((Model_Data!A148)*12.9898+(0)*78.233+Inputs!$C$47*37.719))*43758.5453)-INT((SIN(((Model_Data!A148)*12.9898+(0)*78.233+Inputs!$C$47*37.719))*43758.5453)))-1))))/1000)))*1000/Inputs!$C$12)-Model_Data!F148)</x:f>
        <x:v>242.35586839661926</x:v>
      </x:c>
      <x:c r="L148" s="49"/>
      <x:c r="M148" s="48" t="n">
        <x:f>Model_Data!A148</x:f>
        <x:v>13</x:v>
      </x:c>
      <x:c r="N148" s="48" t="n">
        <x:f>Model_Data!P148</x:f>
        <x:v>-97.9552992435336</x:v>
      </x:c>
      <x:c r="O148" s="48" t="n">
        <x:f>AC148</x:f>
        <x:v>-138.3540801694835</x:v>
      </x:c>
      <x:c r="P148" s="48" t="n">
        <x:f>Model_Data!Q148</x:f>
        <x:v>-14.708002889419461</x:v>
      </x:c>
      <x:c r="Q148" s="48" t="n">
        <x:f>AD148</x:f>
        <x:v>-20.77388591133386</x:v>
      </x:c>
      <x:c r="R148" s="49"/>
      <x:c r="S148" s="48" t="n">
        <x:f>Model_Data!A148</x:f>
        <x:v>13</x:v>
      </x:c>
      <x:c r="T148" s="48" t="n">
        <x:f>Model_Data!B148-Inputs!$C$5</x:f>
        <x:v>0.18777777777779647</x:v>
      </x:c>
      <x:c r="U148" s="49"/>
      <x:c r="V148" s="48" t="n">
        <x:f>Model_Data!A148</x:f>
        <x:v>13</x:v>
      </x:c>
      <x:c r="W148" s="48" t="n">
        <x:f>(-((((SQRT((Model_Data!A148)^2+Inputs!$C$6^2+((Model_Data!B148)-((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(0.45*SIN(2*PI()*(((Model_Data!A148)/Inputs!$C$49)+Inputs!$C$47*0.137))+0.35*COS(2*PI()*(((Inputs!$C$6)/Inputs!$C$50)+Inputs!$C$47*0.173))+0.20*SIN(2*PI()*(((Model_Data!A148)+(Inputs!$C$6))/(0.5*(Inputs!$C$49+Inputs!$C$50))+Inputs!$C$47*0.097)))+0.30*(2*((SIN(((Model_Data!A148)*12.9898+(Inputs!$C$6)*78.233+Inputs!$C$47*37.719))*43758.5453)-INT((SIN(((Model_Data!A148)*12.9898+(Inputs!$C$6)*78.233+Inputs!$C$47*37.719))*43758.5453)))-1))))/1000)^2))-(((Model_Data!B148)-((Inputs!$C$51*(115*EXP(-(((0)-25)^2)/(4.5^2))+70*EXP(-(((0)+38)^2)/(7^2))*(0.55+0.45*SIN(2*PI()*(Model_Data!A148)/45))+24*SIN(2*PI()*(0)/9+(Model_Data!A148)/18)*EXP(-(((0)+5)^2)/(22^2))+18*SIN(2*PI()*(Model_Data!A148)/70))+Inputs!$C$28*EXP(-(((Model_Data!A148)-Inputs!$C$29)^2)/(2*Inputs!$C$31^2))*EXP(-(((0)-Inputs!$C$30)^2)/(2*Inputs!$C$32^2))+-Inputs!$C$33*EXP(-(((((Model_Data!A148)-Inputs!$C$34)^2)+(((0)-Inputs!$C$35)^2))/(2*Inputs!$C$36^2)))+Inputs!$C$37*(0.55*SIN(2*PI()*(Model_Data!A148)/Inputs!$C$39)+0.35*COS(2*PI()*(0)/Inputs!$C$40)+0.2*SIN(2*PI()*((Model_Data!A148)+(0))/(0.5*(Inputs!$C$39+Inputs!$C$40))))+Inputs!$C$38*SIN(2*PI()*(Model_Data!A148)/Inputs!$C$39)*SIN(2*PI()*(0)/Inputs!$C$40)+-Inputs!$C$41*EXP(-(((0)-Inputs!$C$43)^2)/(2*Inputs!$C$44^2))*EXP(-(((Model_Data!A148)-Inputs!$C$42)^2)/(2*Inputs!$C$45^2))+Inputs!$C$48*(0.70*(0.45*SIN(2*PI()*(((Model_Data!A148)/Inputs!$C$49)+Inputs!$C$47*0.137))+0.35*COS(2*PI()*(((0)/Inputs!$C$50)+Inputs!$C$47*0.173))+0.20*SIN(2*PI()*(((Model_Data!A148)+(0))/(0.5*(Inputs!$C$49+Inputs!$C$50))+Inputs!$C$47*0.097)))+0.30*(2*((SIN(((Model_Data!A148)*12.9898+(0)*78.233+Inputs!$C$47*37.719))*43758.5453)-INT((SIN(((Model_Data!A148)*12.9898+(0)*78.233+Inputs!$C$47*37.719))*43758.5453)))-1))))/1000)))*1000/Inputs!$C$12)-Model_Data!F148))-(-(((SQRT((Model_Data!A148)^2+Inputs!$C$6^2+(Inputs!$C$5-((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(0.45*SIN(2*PI()*(((Model_Data!A148)/Inputs!$C$49)+Inputs!$C$47*0.137))+0.35*COS(2*PI()*(((Inputs!$C$6)/Inputs!$C$50)+Inputs!$C$47*0.173))+0.20*SIN(2*PI()*(((Model_Data!A148)+(Inputs!$C$6))/(0.5*(Inputs!$C$49+Inputs!$C$50))+Inputs!$C$47*0.097)))+0.30*(2*((SIN(((Model_Data!A148)*12.9898+(Inputs!$C$6)*78.233+Inputs!$C$47*37.719))*43758.5453)-INT((SIN(((Model_Data!A148)*12.9898+(Inputs!$C$6)*78.233+Inputs!$C$47*37.719))*43758.5453)))-1))))/1000)^2)-(Inputs!$C$5-((Inputs!$C$51*(115*EXP(-(((0)-25)^2)/(4.5^2))+70*EXP(-(((0)+38)^2)/(7^2))*(0.55+0.45*SIN(2*PI()*(Model_Data!A148)/45))+24*SIN(2*PI()*(0)/9+(Model_Data!A148)/18)*EXP(-(((0)+5)^2)/(22^2))+18*SIN(2*PI()*(Model_Data!A148)/70))+Inputs!$C$28*EXP(-(((Model_Data!A148)-Inputs!$C$29)^2)/(2*Inputs!$C$31^2))*EXP(-(((0)-Inputs!$C$30)^2)/(2*Inputs!$C$32^2))+-Inputs!$C$33*EXP(-(((((Model_Data!A148)-Inputs!$C$34)^2)+(((0)-Inputs!$C$35)^2))/(2*Inputs!$C$36^2)))+Inputs!$C$37*(0.55*SIN(2*PI()*(Model_Data!A148)/Inputs!$C$39)+0.35*COS(2*PI()*(0)/Inputs!$C$40)+0.2*SIN(2*PI()*((Model_Data!A148)+(0))/(0.5*(Inputs!$C$39+Inputs!$C$40))))+Inputs!$C$38*SIN(2*PI()*(Model_Data!A148)/Inputs!$C$39)*SIN(2*PI()*(0)/Inputs!$C$40)+-Inputs!$C$41*EXP(-(((0)-Inputs!$C$43)^2)/(2*Inputs!$C$44^2))*EXP(-(((Model_Data!A148)-Inputs!$C$42)^2)/(2*Inputs!$C$45^2))+Inputs!$C$48*(0.70*(0.45*SIN(2*PI()*(((Model_Data!A148)/Inputs!$C$49)+Inputs!$C$47*0.137))+0.35*COS(2*PI()*(((0)/Inputs!$C$50)+Inputs!$C$47*0.173))+0.20*SIN(2*PI()*(((Model_Data!A148)+(0))/(0.5*(Inputs!$C$49+Inputs!$C$50))+Inputs!$C$47*0.097)))+0.30*(2*((SIN(((Model_Data!A148)*12.9898+(0)*78.233+Inputs!$C$47*37.719))*43758.5453)-INT((SIN(((Model_Data!A148)*12.9898+(0)*78.233+Inputs!$C$47*37.719))*43758.5453)))-1))))/1000))*1000/Inputs!$C$12)-((SQRT((Model_Data!A148)^2+Inputs!$C$6^2+Inputs!$C$5^2)-Inputs!$C$5)*1000/Inputs!$C$12)))</x:f>
        <x:v>0.000557598172406415</x:v>
      </x:c>
      <x:c r="X148" s="48" t="n">
        <x:f>0</x:f>
        <x:v>0</x:v>
      </x:c>
      <x:c r="Y148" s="49"/>
      <x:c r="Z148" s="48" t="n">
        <x:f>Model_Data!A148</x:f>
        <x:v>13</x:v>
      </x:c>
      <x:c r="AA148" s="48" t="n">
        <x:f>SQRT((Model_Data!A148)^2+Inputs!$C$6^2+((Model_Data!B148)-((Inputs!$C$51*(115*EXP(-(((Inputs!$C$6)-25)^2)/(4.5^2))+70*EXP(-(((Inputs!$C$6)+38)^2)/(7^2))*(0.55+0.45*SIN(2*PI()*(Model_Data!A148)/45))+24*SIN(2*PI()*(Inputs!$C$6)/9+(Model_Data!A148)/18)*EXP(-(((Inputs!$C$6)+5)^2)/(22^2))+18*SIN(2*PI()*(Model_Data!A148)/70))+Inputs!$C$28*EXP(-(((Model_Data!A148)-Inputs!$C$29)^2)/(2*Inputs!$C$31^2))*EXP(-(((Inputs!$C$6)-Inputs!$C$30)^2)/(2*Inputs!$C$32^2))+-Inputs!$C$33*EXP(-(((((Model_Data!A148)-Inputs!$C$34)^2)+(((Inputs!$C$6)-Inputs!$C$35)^2))/(2*Inputs!$C$36^2)))+Inputs!$C$37*(0.55*SIN(2*PI()*(Model_Data!A148)/Inputs!$C$39)+0.35*COS(2*PI()*(Inputs!$C$6)/Inputs!$C$40)+0.2*SIN(2*PI()*((Model_Data!A148)+(Inputs!$C$6))/(0.5*(Inputs!$C$39+Inputs!$C$40))))+Inputs!$C$38*SIN(2*PI()*(Model_Data!A148)/Inputs!$C$39)*SIN(2*PI()*(Inputs!$C$6)/Inputs!$C$40)+-Inputs!$C$41*EXP(-(((Inputs!$C$6)-Inputs!$C$43)^2)/(2*Inputs!$C$44^2))*EXP(-(((Model_Data!A148)-Inputs!$C$42)^2)/(2*Inputs!$C$45^2))+Inputs!$C$48*(0.70*(0.45*SIN(2*PI()*(((Model_Data!A148)/Inputs!$C$49)+Inputs!$C$47*0.137))+0.35*COS(2*PI()*(((Inputs!$C$6)/Inputs!$C$50)+Inputs!$C$47*0.173))+0.20*SIN(2*PI()*(((Model_Data!A148)+(Inputs!$C$6))/(0.5*(Inputs!$C$49+Inputs!$C$50))+Inputs!$C$47*0.097)))+0.30*(2*((SIN(((Model_Data!A148)*12.9898+(Inputs!$C$6)*78.233+Inputs!$C$47*37.719))*43758.5453)-INT((SIN(((Model_Data!A148)*12.9898+(Inputs!$C$6)*78.233+Inputs!$C$47*37.719))*43758.5453)))-1))))/1000)^2)</x:f>
        <x:v>400.7508105688201</x:v>
      </x:c>
      <x:c r="AB148" s="48" t="n">
        <x:f>1000*(AA149-AA147)/(Z149-Z147)*Inputs!$C$11</x:f>
        <x:v>345.88520042370874</x:v>
      </x:c>
      <x:c r="AC148" s="48" t="n">
        <x:f>-2*AB148/Inputs!$C$13</x:f>
        <x:v>-138.3540801694835</x:v>
      </x:c>
      <x:c r="AD148" s="48" t="n">
        <x:f>-2*AB148/Inputs!$C$14</x:f>
        <x:v>-20.77388591133386</x:v>
      </x:c>
    </x:row>
    <x:row r="149">
      <x:c r="A149" s="48" t="n">
        <x:f>Model_Data!A149</x:f>
        <x:v>13.5</x:v>
      </x:c>
      <x:c r="B149" s="48" t="n">
        <x:f>Model_Data!F149</x:f>
        <x:v>565.8900479164877</x:v>
      </x:c>
      <x:c r="C149" s="48" t="n">
        <x:f>(((SQRT((Model_Data!A149)^2+Inputs!$C$6^2+((Model_Data!B149)-((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(0.45*SIN(2*PI()*(((Model_Data!A149)/Inputs!$C$49)+Inputs!$C$47*0.137))+0.35*COS(2*PI()*(((Inputs!$C$6)/Inputs!$C$50)+Inputs!$C$47*0.173))+0.20*SIN(2*PI()*(((Model_Data!A149)+(Inputs!$C$6))/(0.5*(Inputs!$C$49+Inputs!$C$50))+Inputs!$C$47*0.097)))+0.30*(2*((SIN(((Model_Data!A149)*12.9898+(Inputs!$C$6)*78.233+Inputs!$C$47*37.719))*43758.5453)-INT((SIN(((Model_Data!A149)*12.9898+(Inputs!$C$6)*78.233+Inputs!$C$47*37.719))*43758.5453)))-1))))/1000)^2))-(((Model_Data!B149)-((Inputs!$C$51*(115*EXP(-(((0)-25)^2)/(4.5^2))+70*EXP(-(((0)+38)^2)/(7^2))*(0.55+0.45*SIN(2*PI()*(Model_Data!A149)/45))+24*SIN(2*PI()*(0)/9+(Model_Data!A149)/18)*EXP(-(((0)+5)^2)/(22^2))+18*SIN(2*PI()*(Model_Data!A149)/70))+Inputs!$C$28*EXP(-(((Model_Data!A149)-Inputs!$C$29)^2)/(2*Inputs!$C$31^2))*EXP(-(((0)-Inputs!$C$30)^2)/(2*Inputs!$C$32^2))+-Inputs!$C$33*EXP(-(((((Model_Data!A149)-Inputs!$C$34)^2)+(((0)-Inputs!$C$35)^2))/(2*Inputs!$C$36^2)))+Inputs!$C$37*(0.55*SIN(2*PI()*(Model_Data!A149)/Inputs!$C$39)+0.35*COS(2*PI()*(0)/Inputs!$C$40)+0.2*SIN(2*PI()*((Model_Data!A149)+(0))/(0.5*(Inputs!$C$39+Inputs!$C$40))))+Inputs!$C$38*SIN(2*PI()*(Model_Data!A149)/Inputs!$C$39)*SIN(2*PI()*(0)/Inputs!$C$40)+-Inputs!$C$41*EXP(-(((0)-Inputs!$C$43)^2)/(2*Inputs!$C$44^2))*EXP(-(((Model_Data!A149)-Inputs!$C$42)^2)/(2*Inputs!$C$45^2))+Inputs!$C$48*(0.70*(0.45*SIN(2*PI()*(((Model_Data!A149)/Inputs!$C$49)+Inputs!$C$47*0.137))+0.35*COS(2*PI()*(((0)/Inputs!$C$50)+Inputs!$C$47*0.173))+0.20*SIN(2*PI()*(((Model_Data!A149)+(0))/(0.5*(Inputs!$C$49+Inputs!$C$50))+Inputs!$C$47*0.097)))+0.30*(2*((SIN(((Model_Data!A149)*12.9898+(0)*78.233+Inputs!$C$47*37.719))*43758.5453)-INT((SIN(((Model_Data!A149)*12.9898+(0)*78.233+Inputs!$C$47*37.719))*43758.5453)))-1))))/1000)))*1000/Inputs!$C$12)</x:f>
        <x:v>336.80413277299897</x:v>
      </x:c>
      <x:c r="D149" s="49"/>
      <x:c r="E149" s="48" t="n">
        <x:f>Model_Data!A149</x:f>
        <x:v>13.5</x:v>
      </x:c>
      <x:c r="F149" s="48" t="n">
        <x:f>(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(0.45*SIN(2*PI()*(((Model_Data!A149)/Inputs!$C$49)+Inputs!$C$47*0.137))+0.35*COS(2*PI()*(((Inputs!$C$6)/Inputs!$C$50)+Inputs!$C$47*0.173))+0.20*SIN(2*PI()*(((Model_Data!A149)+(Inputs!$C$6))/(0.5*(Inputs!$C$49+Inputs!$C$50))+Inputs!$C$47*0.097)))+0.30*(2*((SIN(((Model_Data!A149)*12.9898+(Inputs!$C$6)*78.233+Inputs!$C$47*37.719))*43758.5453)-INT((SIN(((Model_Data!A149)*12.9898+(Inputs!$C$6)*78.233+Inputs!$C$47*37.719))*43758.5453)))-1)))</x:f>
        <x:v>408.84619240872695</x:v>
      </x:c>
      <x:c r="G149" s="48" t="n">
        <x:f>(Inputs!$C$51*(115*EXP(-(((0)-25)^2)/(4.5^2))+70*EXP(-(((0)+38)^2)/(7^2))*(0.55+0.45*SIN(2*PI()*(Model_Data!A149)/45))+24*SIN(2*PI()*(0)/9+(Model_Data!A149)/18)*EXP(-(((0)+5)^2)/(22^2))+18*SIN(2*PI()*(Model_Data!A149)/70))+Inputs!$C$28*EXP(-(((Model_Data!A149)-Inputs!$C$29)^2)/(2*Inputs!$C$31^2))*EXP(-(((0)-Inputs!$C$30)^2)/(2*Inputs!$C$32^2))+-Inputs!$C$33*EXP(-(((((Model_Data!A149)-Inputs!$C$34)^2)+(((0)-Inputs!$C$35)^2))/(2*Inputs!$C$36^2)))+Inputs!$C$37*(0.55*SIN(2*PI()*(Model_Data!A149)/Inputs!$C$39)+0.35*COS(2*PI()*(0)/Inputs!$C$40)+0.2*SIN(2*PI()*((Model_Data!A149)+(0))/(0.5*(Inputs!$C$39+Inputs!$C$40))))+Inputs!$C$38*SIN(2*PI()*(Model_Data!A149)/Inputs!$C$39)*SIN(2*PI()*(0)/Inputs!$C$40)+-Inputs!$C$41*EXP(-(((0)-Inputs!$C$43)^2)/(2*Inputs!$C$44^2))*EXP(-(((Model_Data!A149)-Inputs!$C$42)^2)/(2*Inputs!$C$45^2))+Inputs!$C$48*(0.70*(0.45*SIN(2*PI()*(((Model_Data!A149)/Inputs!$C$49)+Inputs!$C$47*0.137))+0.35*COS(2*PI()*(((0)/Inputs!$C$50)+Inputs!$C$47*0.173))+0.20*SIN(2*PI()*(((Model_Data!A149)+(0))/(0.5*(Inputs!$C$49+Inputs!$C$50))+Inputs!$C$47*0.097)))+0.30*(2*((SIN(((Model_Data!A149)*12.9898+(0)*78.233+Inputs!$C$47*37.719))*43758.5453)-INT((SIN(((Model_Data!A149)*12.9898+(0)*78.233+Inputs!$C$47*37.719))*43758.5453)))-1)))</x:f>
        <x:v>0.04576132524433074</x:v>
      </x:c>
      <x:c r="H149" s="49"/>
      <x:c r="I149" s="48" t="n">
        <x:f>Model_Data!A149</x:f>
        <x:v>13.5</x:v>
      </x:c>
      <x:c r="J149" s="48" t="n">
        <x:f>((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(0.45*SIN(2*PI()*(((Model_Data!A149)/Inputs!$C$49)+Inputs!$C$47*0.137))+0.35*COS(2*PI()*(((Inputs!$C$6)/Inputs!$C$50)+Inputs!$C$47*0.173))+0.20*SIN(2*PI()*(((Model_Data!A149)+(Inputs!$C$6))/(0.5*(Inputs!$C$49+Inputs!$C$50))+Inputs!$C$47*0.097)))+0.30*(2*((SIN(((Model_Data!A149)*12.9898+(Inputs!$C$6)*78.233+Inputs!$C$47*37.719))*43758.5453)-INT((SIN(((Model_Data!A149)*12.9898+(Inputs!$C$6)*78.233+Inputs!$C$47*37.719))*43758.5453)))-1))))-((Inputs!$C$51*(115*EXP(-(((0)-25)^2)/(4.5^2))+70*EXP(-(((0)+38)^2)/(7^2))*(0.55+0.45*SIN(2*PI()*(Model_Data!A149)/45))+24*SIN(2*PI()*(0)/9+(Model_Data!A149)/18)*EXP(-(((0)+5)^2)/(22^2))+18*SIN(2*PI()*(Model_Data!A149)/70))+Inputs!$C$28*EXP(-(((Model_Data!A149)-Inputs!$C$29)^2)/(2*Inputs!$C$31^2))*EXP(-(((0)-Inputs!$C$30)^2)/(2*Inputs!$C$32^2))+-Inputs!$C$33*EXP(-(((((Model_Data!A149)-Inputs!$C$34)^2)+(((0)-Inputs!$C$35)^2))/(2*Inputs!$C$36^2)))+Inputs!$C$37*(0.55*SIN(2*PI()*(Model_Data!A149)/Inputs!$C$39)+0.35*COS(2*PI()*(0)/Inputs!$C$40)+0.2*SIN(2*PI()*((Model_Data!A149)+(0))/(0.5*(Inputs!$C$39+Inputs!$C$40))))+Inputs!$C$38*SIN(2*PI()*(Model_Data!A149)/Inputs!$C$39)*SIN(2*PI()*(0)/Inputs!$C$40)+-Inputs!$C$41*EXP(-(((0)-Inputs!$C$43)^2)/(2*Inputs!$C$44^2))*EXP(-(((Model_Data!A149)-Inputs!$C$42)^2)/(2*Inputs!$C$45^2))+Inputs!$C$48*(0.70*(0.45*SIN(2*PI()*(((Model_Data!A149)/Inputs!$C$49)+Inputs!$C$47*0.137))+0.35*COS(2*PI()*(((0)/Inputs!$C$50)+Inputs!$C$47*0.173))+0.20*SIN(2*PI()*(((Model_Data!A149)+(0))/(0.5*(Inputs!$C$49+Inputs!$C$50))+Inputs!$C$47*0.097)))+0.30*(2*((SIN(((Model_Data!A149)*12.9898+(0)*78.233+Inputs!$C$47*37.719))*43758.5453)-INT((SIN(((Model_Data!A149)*12.9898+(0)*78.233+Inputs!$C$47*37.719))*43758.5453)))-1))))</x:f>
        <x:v>408.80043108348264</x:v>
      </x:c>
      <x:c r="K149" s="48" t="n">
        <x:f>-((((SQRT((Model_Data!A149)^2+Inputs!$C$6^2+((Model_Data!B149)-((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(0.45*SIN(2*PI()*(((Model_Data!A149)/Inputs!$C$49)+Inputs!$C$47*0.137))+0.35*COS(2*PI()*(((Inputs!$C$6)/Inputs!$C$50)+Inputs!$C$47*0.173))+0.20*SIN(2*PI()*(((Model_Data!A149)+(Inputs!$C$6))/(0.5*(Inputs!$C$49+Inputs!$C$50))+Inputs!$C$47*0.097)))+0.30*(2*((SIN(((Model_Data!A149)*12.9898+(Inputs!$C$6)*78.233+Inputs!$C$47*37.719))*43758.5453)-INT((SIN(((Model_Data!A149)*12.9898+(Inputs!$C$6)*78.233+Inputs!$C$47*37.719))*43758.5453)))-1))))/1000)^2))-(((Model_Data!B149)-((Inputs!$C$51*(115*EXP(-(((0)-25)^2)/(4.5^2))+70*EXP(-(((0)+38)^2)/(7^2))*(0.55+0.45*SIN(2*PI()*(Model_Data!A149)/45))+24*SIN(2*PI()*(0)/9+(Model_Data!A149)/18)*EXP(-(((0)+5)^2)/(22^2))+18*SIN(2*PI()*(Model_Data!A149)/70))+Inputs!$C$28*EXP(-(((Model_Data!A149)-Inputs!$C$29)^2)/(2*Inputs!$C$31^2))*EXP(-(((0)-Inputs!$C$30)^2)/(2*Inputs!$C$32^2))+-Inputs!$C$33*EXP(-(((((Model_Data!A149)-Inputs!$C$34)^2)+(((0)-Inputs!$C$35)^2))/(2*Inputs!$C$36^2)))+Inputs!$C$37*(0.55*SIN(2*PI()*(Model_Data!A149)/Inputs!$C$39)+0.35*COS(2*PI()*(0)/Inputs!$C$40)+0.2*SIN(2*PI()*((Model_Data!A149)+(0))/(0.5*(Inputs!$C$39+Inputs!$C$40))))+Inputs!$C$38*SIN(2*PI()*(Model_Data!A149)/Inputs!$C$39)*SIN(2*PI()*(0)/Inputs!$C$40)+-Inputs!$C$41*EXP(-(((0)-Inputs!$C$43)^2)/(2*Inputs!$C$44^2))*EXP(-(((Model_Data!A149)-Inputs!$C$42)^2)/(2*Inputs!$C$45^2))+Inputs!$C$48*(0.70*(0.45*SIN(2*PI()*(((Model_Data!A149)/Inputs!$C$49)+Inputs!$C$47*0.137))+0.35*COS(2*PI()*(((0)/Inputs!$C$50)+Inputs!$C$47*0.173))+0.20*SIN(2*PI()*(((Model_Data!A149)+(0))/(0.5*(Inputs!$C$49+Inputs!$C$50))+Inputs!$C$47*0.097)))+0.30*(2*((SIN(((Model_Data!A149)*12.9898+(0)*78.233+Inputs!$C$47*37.719))*43758.5453)-INT((SIN(((Model_Data!A149)*12.9898+(0)*78.233+Inputs!$C$47*37.719))*43758.5453)))-1))))/1000)))*1000/Inputs!$C$12)-Model_Data!F149)</x:f>
        <x:v>229.0859151434887</x:v>
      </x:c>
      <x:c r="L149" s="49"/>
      <x:c r="M149" s="48" t="n">
        <x:f>Model_Data!A149</x:f>
        <x:v>13.5</x:v>
      </x:c>
      <x:c r="N149" s="48" t="n">
        <x:f>Model_Data!P149</x:f>
        <x:v>-101.71666195204531</x:v>
      </x:c>
      <x:c r="O149" s="48" t="n">
        <x:f>AC149</x:f>
        <x:v>-127.76180874298007</x:v>
      </x:c>
      <x:c r="P149" s="48" t="n">
        <x:f>Model_Data!Q149</x:f>
        <x:v>-15.27277206487167</x:v>
      </x:c>
      <x:c r="Q149" s="48" t="n">
        <x:f>AD149</x:f>
        <x:v>-19.183454766213224</x:v>
      </x:c>
      <x:c r="R149" s="49"/>
      <x:c r="S149" s="48" t="n">
        <x:f>Model_Data!A149</x:f>
        <x:v>13.5</x:v>
      </x:c>
      <x:c r="T149" s="48" t="n">
        <x:f>Model_Data!B149-Inputs!$C$5</x:f>
        <x:v>0.20249999999998636</x:v>
      </x:c>
      <x:c r="U149" s="49"/>
      <x:c r="V149" s="48" t="n">
        <x:f>Model_Data!A149</x:f>
        <x:v>13.5</x:v>
      </x:c>
      <x:c r="W149" s="48" t="n">
        <x:f>(-((((SQRT((Model_Data!A149)^2+Inputs!$C$6^2+((Model_Data!B149)-((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(0.45*SIN(2*PI()*(((Model_Data!A149)/Inputs!$C$49)+Inputs!$C$47*0.137))+0.35*COS(2*PI()*(((Inputs!$C$6)/Inputs!$C$50)+Inputs!$C$47*0.173))+0.20*SIN(2*PI()*(((Model_Data!A149)+(Inputs!$C$6))/(0.5*(Inputs!$C$49+Inputs!$C$50))+Inputs!$C$47*0.097)))+0.30*(2*((SIN(((Model_Data!A149)*12.9898+(Inputs!$C$6)*78.233+Inputs!$C$47*37.719))*43758.5453)-INT((SIN(((Model_Data!A149)*12.9898+(Inputs!$C$6)*78.233+Inputs!$C$47*37.719))*43758.5453)))-1))))/1000)^2))-(((Model_Data!B149)-((Inputs!$C$51*(115*EXP(-(((0)-25)^2)/(4.5^2))+70*EXP(-(((0)+38)^2)/(7^2))*(0.55+0.45*SIN(2*PI()*(Model_Data!A149)/45))+24*SIN(2*PI()*(0)/9+(Model_Data!A149)/18)*EXP(-(((0)+5)^2)/(22^2))+18*SIN(2*PI()*(Model_Data!A149)/70))+Inputs!$C$28*EXP(-(((Model_Data!A149)-Inputs!$C$29)^2)/(2*Inputs!$C$31^2))*EXP(-(((0)-Inputs!$C$30)^2)/(2*Inputs!$C$32^2))+-Inputs!$C$33*EXP(-(((((Model_Data!A149)-Inputs!$C$34)^2)+(((0)-Inputs!$C$35)^2))/(2*Inputs!$C$36^2)))+Inputs!$C$37*(0.55*SIN(2*PI()*(Model_Data!A149)/Inputs!$C$39)+0.35*COS(2*PI()*(0)/Inputs!$C$40)+0.2*SIN(2*PI()*((Model_Data!A149)+(0))/(0.5*(Inputs!$C$39+Inputs!$C$40))))+Inputs!$C$38*SIN(2*PI()*(Model_Data!A149)/Inputs!$C$39)*SIN(2*PI()*(0)/Inputs!$C$40)+-Inputs!$C$41*EXP(-(((0)-Inputs!$C$43)^2)/(2*Inputs!$C$44^2))*EXP(-(((Model_Data!A149)-Inputs!$C$42)^2)/(2*Inputs!$C$45^2))+Inputs!$C$48*(0.70*(0.45*SIN(2*PI()*(((Model_Data!A149)/Inputs!$C$49)+Inputs!$C$47*0.137))+0.35*COS(2*PI()*(((0)/Inputs!$C$50)+Inputs!$C$47*0.173))+0.20*SIN(2*PI()*(((Model_Data!A149)+(0))/(0.5*(Inputs!$C$49+Inputs!$C$50))+Inputs!$C$47*0.097)))+0.30*(2*((SIN(((Model_Data!A149)*12.9898+(0)*78.233+Inputs!$C$47*37.719))*43758.5453)-INT((SIN(((Model_Data!A149)*12.9898+(0)*78.233+Inputs!$C$47*37.719))*43758.5453)))-1))))/1000)))*1000/Inputs!$C$12)-Model_Data!F149))-(-(((SQRT((Model_Data!A149)^2+Inputs!$C$6^2+(Inputs!$C$5-((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(0.45*SIN(2*PI()*(((Model_Data!A149)/Inputs!$C$49)+Inputs!$C$47*0.137))+0.35*COS(2*PI()*(((Inputs!$C$6)/Inputs!$C$50)+Inputs!$C$47*0.173))+0.20*SIN(2*PI()*(((Model_Data!A149)+(Inputs!$C$6))/(0.5*(Inputs!$C$49+Inputs!$C$50))+Inputs!$C$47*0.097)))+0.30*(2*((SIN(((Model_Data!A149)*12.9898+(Inputs!$C$6)*78.233+Inputs!$C$47*37.719))*43758.5453)-INT((SIN(((Model_Data!A149)*12.9898+(Inputs!$C$6)*78.233+Inputs!$C$47*37.719))*43758.5453)))-1))))/1000)^2)-(Inputs!$C$5-((Inputs!$C$51*(115*EXP(-(((0)-25)^2)/(4.5^2))+70*EXP(-(((0)+38)^2)/(7^2))*(0.55+0.45*SIN(2*PI()*(Model_Data!A149)/45))+24*SIN(2*PI()*(0)/9+(Model_Data!A149)/18)*EXP(-(((0)+5)^2)/(22^2))+18*SIN(2*PI()*(Model_Data!A149)/70))+Inputs!$C$28*EXP(-(((Model_Data!A149)-Inputs!$C$29)^2)/(2*Inputs!$C$31^2))*EXP(-(((0)-Inputs!$C$30)^2)/(2*Inputs!$C$32^2))+-Inputs!$C$33*EXP(-(((((Model_Data!A149)-Inputs!$C$34)^2)+(((0)-Inputs!$C$35)^2))/(2*Inputs!$C$36^2)))+Inputs!$C$37*(0.55*SIN(2*PI()*(Model_Data!A149)/Inputs!$C$39)+0.35*COS(2*PI()*(0)/Inputs!$C$40)+0.2*SIN(2*PI()*((Model_Data!A149)+(0))/(0.5*(Inputs!$C$39+Inputs!$C$40))))+Inputs!$C$38*SIN(2*PI()*(Model_Data!A149)/Inputs!$C$39)*SIN(2*PI()*(0)/Inputs!$C$40)+-Inputs!$C$41*EXP(-(((0)-Inputs!$C$43)^2)/(2*Inputs!$C$44^2))*EXP(-(((Model_Data!A149)-Inputs!$C$42)^2)/(2*Inputs!$C$45^2))+Inputs!$C$48*(0.70*(0.45*SIN(2*PI()*(((Model_Data!A149)/Inputs!$C$49)+Inputs!$C$47*0.137))+0.35*COS(2*PI()*(((0)/Inputs!$C$50)+Inputs!$C$47*0.173))+0.20*SIN(2*PI()*(((Model_Data!A149)+(0))/(0.5*(Inputs!$C$49+Inputs!$C$50))+Inputs!$C$47*0.097)))+0.30*(2*((SIN(((Model_Data!A149)*12.9898+(0)*78.233+Inputs!$C$47*37.719))*43758.5453)-INT((SIN(((Model_Data!A149)*12.9898+(0)*78.233+Inputs!$C$47*37.719))*43758.5453)))-1))))/1000))*1000/Inputs!$C$12)-((SQRT((Model_Data!A149)^2+Inputs!$C$6^2+Inputs!$C$5^2)-Inputs!$C$5)*1000/Inputs!$C$12)))</x:f>
        <x:v>0.0005827057507303834</x:v>
      </x:c>
      <x:c r="X149" s="48" t="n">
        <x:f>0</x:f>
        <x:v>0</x:v>
      </x:c>
      <x:c r="Y149" s="49"/>
      <x:c r="Z149" s="48" t="n">
        <x:f>Model_Data!A149</x:f>
        <x:v>13.5</x:v>
      </x:c>
      <x:c r="AA149" s="48" t="n">
        <x:f>SQRT((Model_Data!A149)^2+Inputs!$C$6^2+((Model_Data!B149)-((Inputs!$C$51*(115*EXP(-(((Inputs!$C$6)-25)^2)/(4.5^2))+70*EXP(-(((Inputs!$C$6)+38)^2)/(7^2))*(0.55+0.45*SIN(2*PI()*(Model_Data!A149)/45))+24*SIN(2*PI()*(Inputs!$C$6)/9+(Model_Data!A149)/18)*EXP(-(((Inputs!$C$6)+5)^2)/(22^2))+18*SIN(2*PI()*(Model_Data!A149)/70))+Inputs!$C$28*EXP(-(((Model_Data!A149)-Inputs!$C$29)^2)/(2*Inputs!$C$31^2))*EXP(-(((Inputs!$C$6)-Inputs!$C$30)^2)/(2*Inputs!$C$32^2))+-Inputs!$C$33*EXP(-(((((Model_Data!A149)-Inputs!$C$34)^2)+(((Inputs!$C$6)-Inputs!$C$35)^2))/(2*Inputs!$C$36^2)))+Inputs!$C$37*(0.55*SIN(2*PI()*(Model_Data!A149)/Inputs!$C$39)+0.35*COS(2*PI()*(Inputs!$C$6)/Inputs!$C$40)+0.2*SIN(2*PI()*((Model_Data!A149)+(Inputs!$C$6))/(0.5*(Inputs!$C$39+Inputs!$C$40))))+Inputs!$C$38*SIN(2*PI()*(Model_Data!A149)/Inputs!$C$39)*SIN(2*PI()*(Inputs!$C$6)/Inputs!$C$40)+-Inputs!$C$41*EXP(-(((Inputs!$C$6)-Inputs!$C$43)^2)/(2*Inputs!$C$44^2))*EXP(-(((Model_Data!A149)-Inputs!$C$42)^2)/(2*Inputs!$C$45^2))+Inputs!$C$48*(0.70*(0.45*SIN(2*PI()*(((Model_Data!A149)/Inputs!$C$49)+Inputs!$C$47*0.137))+0.35*COS(2*PI()*(((Inputs!$C$6)/Inputs!$C$50)+Inputs!$C$47*0.173))+0.20*SIN(2*PI()*(((Model_Data!A149)+(Inputs!$C$6))/(0.5*(Inputs!$C$49+Inputs!$C$50))+Inputs!$C$47*0.097)))+0.30*(2*((SIN(((Model_Data!A149)*12.9898+(Inputs!$C$6)*78.233+Inputs!$C$47*37.719))*43758.5453)-INT((SIN(((Model_Data!A149)*12.9898+(Inputs!$C$6)*78.233+Inputs!$C$47*37.719))*43758.5453)))-1))))/1000)^2)</x:f>
        <x:v>400.8019655950107</x:v>
      </x:c>
      <x:c r="AB149" s="48" t="n">
        <x:f>1000*(AA150-AA148)/(Z150-Z148)*Inputs!$C$11</x:f>
        <x:v>319.40452185745016</x:v>
      </x:c>
      <x:c r="AC149" s="48" t="n">
        <x:f>-2*AB149/Inputs!$C$13</x:f>
        <x:v>-127.76180874298007</x:v>
      </x:c>
      <x:c r="AD149" s="48" t="n">
        <x:f>-2*AB149/Inputs!$C$14</x:f>
        <x:v>-19.183454766213224</x:v>
      </x:c>
    </x:row>
    <x:row r="150">
      <x:c r="A150" s="48" t="n">
        <x:f>Model_Data!A150</x:f>
        <x:v>14</x:v>
      </x:c>
      <x:c r="B150" s="48" t="n">
        <x:f>Model_Data!F150</x:f>
        <x:v>575.4947119078927</x:v>
      </x:c>
      <x:c r="C150" s="48" t="n">
        <x:f>(((SQRT((Model_Data!A150)^2+Inputs!$C$6^2+((Model_Data!B150)-((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(0.45*SIN(2*PI()*(((Model_Data!A150)/Inputs!$C$49)+Inputs!$C$47*0.137))+0.35*COS(2*PI()*(((Inputs!$C$6)/Inputs!$C$50)+Inputs!$C$47*0.173))+0.20*SIN(2*PI()*(((Model_Data!A150)+(Inputs!$C$6))/(0.5*(Inputs!$C$49+Inputs!$C$50))+Inputs!$C$47*0.097)))+0.30*(2*((SIN(((Model_Data!A150)*12.9898+(Inputs!$C$6)*78.233+Inputs!$C$47*37.719))*43758.5453)-INT((SIN(((Model_Data!A150)*12.9898+(Inputs!$C$6)*78.233+Inputs!$C$47*37.719))*43758.5453)))-1))))/1000)^2))-(((Model_Data!B150)-((Inputs!$C$51*(115*EXP(-(((0)-25)^2)/(4.5^2))+70*EXP(-(((0)+38)^2)/(7^2))*(0.55+0.45*SIN(2*PI()*(Model_Data!A150)/45))+24*SIN(2*PI()*(0)/9+(Model_Data!A150)/18)*EXP(-(((0)+5)^2)/(22^2))+18*SIN(2*PI()*(Model_Data!A150)/70))+Inputs!$C$28*EXP(-(((Model_Data!A150)-Inputs!$C$29)^2)/(2*Inputs!$C$31^2))*EXP(-(((0)-Inputs!$C$30)^2)/(2*Inputs!$C$32^2))+-Inputs!$C$33*EXP(-(((((Model_Data!A150)-Inputs!$C$34)^2)+(((0)-Inputs!$C$35)^2))/(2*Inputs!$C$36^2)))+Inputs!$C$37*(0.55*SIN(2*PI()*(Model_Data!A150)/Inputs!$C$39)+0.35*COS(2*PI()*(0)/Inputs!$C$40)+0.2*SIN(2*PI()*((Model_Data!A150)+(0))/(0.5*(Inputs!$C$39+Inputs!$C$40))))+Inputs!$C$38*SIN(2*PI()*(Model_Data!A150)/Inputs!$C$39)*SIN(2*PI()*(0)/Inputs!$C$40)+-Inputs!$C$41*EXP(-(((0)-Inputs!$C$43)^2)/(2*Inputs!$C$44^2))*EXP(-(((Model_Data!A150)-Inputs!$C$42)^2)/(2*Inputs!$C$45^2))+Inputs!$C$48*(0.70*(0.45*SIN(2*PI()*(((Model_Data!A150)/Inputs!$C$49)+Inputs!$C$47*0.137))+0.35*COS(2*PI()*(((0)/Inputs!$C$50)+Inputs!$C$47*0.173))+0.20*SIN(2*PI()*(((Model_Data!A150)+(0))/(0.5*(Inputs!$C$49+Inputs!$C$50))+Inputs!$C$47*0.097)))+0.30*(2*((SIN(((Model_Data!A150)*12.9898+(0)*78.233+Inputs!$C$47*37.719))*43758.5453)-INT((SIN(((Model_Data!A150)*12.9898+(0)*78.233+Inputs!$C$47*37.719))*43758.5453)))-1))))/1000)))*1000/Inputs!$C$12)</x:f>
        <x:v>353.9505509555253</x:v>
      </x:c>
      <x:c r="D150" s="49"/>
      <x:c r="E150" s="48" t="n">
        <x:f>Model_Data!A150</x:f>
        <x:v>14</x:v>
      </x:c>
      <x:c r="F150" s="48" t="n">
        <x:f>(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(0.45*SIN(2*PI()*(((Model_Data!A150)/Inputs!$C$49)+Inputs!$C$47*0.137))+0.35*COS(2*PI()*(((Inputs!$C$6)/Inputs!$C$50)+Inputs!$C$47*0.173))+0.20*SIN(2*PI()*(((Model_Data!A150)+(Inputs!$C$6))/(0.5*(Inputs!$C$49+Inputs!$C$50))+Inputs!$C$47*0.097)))+0.30*(2*((SIN(((Model_Data!A150)*12.9898+(Inputs!$C$6)*78.233+Inputs!$C$47*37.719))*43758.5453)-INT((SIN(((Model_Data!A150)*12.9898+(Inputs!$C$6)*78.233+Inputs!$C$47*37.719))*43758.5453)))-1)))</x:f>
        <x:v>412.55100068044544</x:v>
      </x:c>
      <x:c r="G150" s="48" t="n">
        <x:f>(Inputs!$C$51*(115*EXP(-(((0)-25)^2)/(4.5^2))+70*EXP(-(((0)+38)^2)/(7^2))*(0.55+0.45*SIN(2*PI()*(Model_Data!A150)/45))+24*SIN(2*PI()*(0)/9+(Model_Data!A150)/18)*EXP(-(((0)+5)^2)/(22^2))+18*SIN(2*PI()*(Model_Data!A150)/70))+Inputs!$C$28*EXP(-(((Model_Data!A150)-Inputs!$C$29)^2)/(2*Inputs!$C$31^2))*EXP(-(((0)-Inputs!$C$30)^2)/(2*Inputs!$C$32^2))+-Inputs!$C$33*EXP(-(((((Model_Data!A150)-Inputs!$C$34)^2)+(((0)-Inputs!$C$35)^2))/(2*Inputs!$C$36^2)))+Inputs!$C$37*(0.55*SIN(2*PI()*(Model_Data!A150)/Inputs!$C$39)+0.35*COS(2*PI()*(0)/Inputs!$C$40)+0.2*SIN(2*PI()*((Model_Data!A150)+(0))/(0.5*(Inputs!$C$39+Inputs!$C$40))))+Inputs!$C$38*SIN(2*PI()*(Model_Data!A150)/Inputs!$C$39)*SIN(2*PI()*(0)/Inputs!$C$40)+-Inputs!$C$41*EXP(-(((0)-Inputs!$C$43)^2)/(2*Inputs!$C$44^2))*EXP(-(((Model_Data!A150)-Inputs!$C$42)^2)/(2*Inputs!$C$45^2))+Inputs!$C$48*(0.70*(0.45*SIN(2*PI()*(((Model_Data!A150)/Inputs!$C$49)+Inputs!$C$47*0.137))+0.35*COS(2*PI()*(((0)/Inputs!$C$50)+Inputs!$C$47*0.173))+0.20*SIN(2*PI()*(((Model_Data!A150)+(0))/(0.5*(Inputs!$C$49+Inputs!$C$50))+Inputs!$C$47*0.097)))+0.30*(2*((SIN(((Model_Data!A150)*12.9898+(0)*78.233+Inputs!$C$47*37.719))*43758.5453)-INT((SIN(((Model_Data!A150)*12.9898+(0)*78.233+Inputs!$C$47*37.719))*43758.5453)))-1)))</x:f>
        <x:v>17.14805919414721</x:v>
      </x:c>
      <x:c r="H150" s="49"/>
      <x:c r="I150" s="48" t="n">
        <x:f>Model_Data!A150</x:f>
        <x:v>14</x:v>
      </x:c>
      <x:c r="J150" s="48" t="n">
        <x:f>((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(0.45*SIN(2*PI()*(((Model_Data!A150)/Inputs!$C$49)+Inputs!$C$47*0.137))+0.35*COS(2*PI()*(((Inputs!$C$6)/Inputs!$C$50)+Inputs!$C$47*0.173))+0.20*SIN(2*PI()*(((Model_Data!A150)+(Inputs!$C$6))/(0.5*(Inputs!$C$49+Inputs!$C$50))+Inputs!$C$47*0.097)))+0.30*(2*((SIN(((Model_Data!A150)*12.9898+(Inputs!$C$6)*78.233+Inputs!$C$47*37.719))*43758.5453)-INT((SIN(((Model_Data!A150)*12.9898+(Inputs!$C$6)*78.233+Inputs!$C$47*37.719))*43758.5453)))-1))))-((Inputs!$C$51*(115*EXP(-(((0)-25)^2)/(4.5^2))+70*EXP(-(((0)+38)^2)/(7^2))*(0.55+0.45*SIN(2*PI()*(Model_Data!A150)/45))+24*SIN(2*PI()*(0)/9+(Model_Data!A150)/18)*EXP(-(((0)+5)^2)/(22^2))+18*SIN(2*PI()*(Model_Data!A150)/70))+Inputs!$C$28*EXP(-(((Model_Data!A150)-Inputs!$C$29)^2)/(2*Inputs!$C$31^2))*EXP(-(((0)-Inputs!$C$30)^2)/(2*Inputs!$C$32^2))+-Inputs!$C$33*EXP(-(((((Model_Data!A150)-Inputs!$C$34)^2)+(((0)-Inputs!$C$35)^2))/(2*Inputs!$C$36^2)))+Inputs!$C$37*(0.55*SIN(2*PI()*(Model_Data!A150)/Inputs!$C$39)+0.35*COS(2*PI()*(0)/Inputs!$C$40)+0.2*SIN(2*PI()*((Model_Data!A150)+(0))/(0.5*(Inputs!$C$39+Inputs!$C$40))))+Inputs!$C$38*SIN(2*PI()*(Model_Data!A150)/Inputs!$C$39)*SIN(2*PI()*(0)/Inputs!$C$40)+-Inputs!$C$41*EXP(-(((0)-Inputs!$C$43)^2)/(2*Inputs!$C$44^2))*EXP(-(((Model_Data!A150)-Inputs!$C$42)^2)/(2*Inputs!$C$45^2))+Inputs!$C$48*(0.70*(0.45*SIN(2*PI()*(((Model_Data!A150)/Inputs!$C$49)+Inputs!$C$47*0.137))+0.35*COS(2*PI()*(((0)/Inputs!$C$50)+Inputs!$C$47*0.173))+0.20*SIN(2*PI()*(((Model_Data!A150)+(0))/(0.5*(Inputs!$C$49+Inputs!$C$50))+Inputs!$C$47*0.097)))+0.30*(2*((SIN(((Model_Data!A150)*12.9898+(0)*78.233+Inputs!$C$47*37.719))*43758.5453)-INT((SIN(((Model_Data!A150)*12.9898+(0)*78.233+Inputs!$C$47*37.719))*43758.5453)))-1))))</x:f>
        <x:v>395.40294148629823</x:v>
      </x:c>
      <x:c r="K150" s="48" t="n">
        <x:f>-((((SQRT((Model_Data!A150)^2+Inputs!$C$6^2+((Model_Data!B150)-((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(0.45*SIN(2*PI()*(((Model_Data!A150)/Inputs!$C$49)+Inputs!$C$47*0.137))+0.35*COS(2*PI()*(((Inputs!$C$6)/Inputs!$C$50)+Inputs!$C$47*0.173))+0.20*SIN(2*PI()*(((Model_Data!A150)+(Inputs!$C$6))/(0.5*(Inputs!$C$49+Inputs!$C$50))+Inputs!$C$47*0.097)))+0.30*(2*((SIN(((Model_Data!A150)*12.9898+(Inputs!$C$6)*78.233+Inputs!$C$47*37.719))*43758.5453)-INT((SIN(((Model_Data!A150)*12.9898+(Inputs!$C$6)*78.233+Inputs!$C$47*37.719))*43758.5453)))-1))))/1000)^2))-(((Model_Data!B150)-((Inputs!$C$51*(115*EXP(-(((0)-25)^2)/(4.5^2))+70*EXP(-(((0)+38)^2)/(7^2))*(0.55+0.45*SIN(2*PI()*(Model_Data!A150)/45))+24*SIN(2*PI()*(0)/9+(Model_Data!A150)/18)*EXP(-(((0)+5)^2)/(22^2))+18*SIN(2*PI()*(Model_Data!A150)/70))+Inputs!$C$28*EXP(-(((Model_Data!A150)-Inputs!$C$29)^2)/(2*Inputs!$C$31^2))*EXP(-(((0)-Inputs!$C$30)^2)/(2*Inputs!$C$32^2))+-Inputs!$C$33*EXP(-(((((Model_Data!A150)-Inputs!$C$34)^2)+(((0)-Inputs!$C$35)^2))/(2*Inputs!$C$36^2)))+Inputs!$C$37*(0.55*SIN(2*PI()*(Model_Data!A150)/Inputs!$C$39)+0.35*COS(2*PI()*(0)/Inputs!$C$40)+0.2*SIN(2*PI()*((Model_Data!A150)+(0))/(0.5*(Inputs!$C$39+Inputs!$C$40))))+Inputs!$C$38*SIN(2*PI()*(Model_Data!A150)/Inputs!$C$39)*SIN(2*PI()*(0)/Inputs!$C$40)+-Inputs!$C$41*EXP(-(((0)-Inputs!$C$43)^2)/(2*Inputs!$C$44^2))*EXP(-(((Model_Data!A150)-Inputs!$C$42)^2)/(2*Inputs!$C$45^2))+Inputs!$C$48*(0.70*(0.45*SIN(2*PI()*(((Model_Data!A150)/Inputs!$C$49)+Inputs!$C$47*0.137))+0.35*COS(2*PI()*(((0)/Inputs!$C$50)+Inputs!$C$47*0.173))+0.20*SIN(2*PI()*(((Model_Data!A150)+(0))/(0.5*(Inputs!$C$49+Inputs!$C$50))+Inputs!$C$47*0.097)))+0.30*(2*((SIN(((Model_Data!A150)*12.9898+(0)*78.233+Inputs!$C$47*37.719))*43758.5453)-INT((SIN(((Model_Data!A150)*12.9898+(0)*78.233+Inputs!$C$47*37.719))*43758.5453)))-1))))/1000)))*1000/Inputs!$C$12)-Model_Data!F150)</x:f>
        <x:v>221.5441609523674</x:v>
      </x:c>
      <x:c r="L150" s="49"/>
      <x:c r="M150" s="48" t="n">
        <x:f>Model_Data!A150</x:f>
        <x:v>14</x:v>
      </x:c>
      <x:c r="N150" s="48" t="n">
        <x:f>Model_Data!P150</x:f>
        <x:v>-105.47733014246676</x:v>
      </x:c>
      <x:c r="O150" s="48" t="n">
        <x:f>AC150</x:f>
        <x:v>-94.8075966446595</x:v>
      </x:c>
      <x:c r="P150" s="48" t="n">
        <x:f>Model_Data!Q150</x:f>
        <x:v>-15.837436958328343</x:v>
      </x:c>
      <x:c r="Q150" s="48" t="n">
        <x:f>AD150</x:f>
        <x:v>-14.235374871570496</x:v>
      </x:c>
      <x:c r="R150" s="49"/>
      <x:c r="S150" s="48" t="n">
        <x:f>Model_Data!A150</x:f>
        <x:v>14</x:v>
      </x:c>
      <x:c r="T150" s="48" t="n">
        <x:f>Model_Data!B150-Inputs!$C$5</x:f>
        <x:v>0.2177777777777692</x:v>
      </x:c>
      <x:c r="U150" s="49"/>
      <x:c r="V150" s="48" t="n">
        <x:f>Model_Data!A150</x:f>
        <x:v>14</x:v>
      </x:c>
      <x:c r="W150" s="48" t="n">
        <x:f>(-((((SQRT((Model_Data!A150)^2+Inputs!$C$6^2+((Model_Data!B150)-((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(0.45*SIN(2*PI()*(((Model_Data!A150)/Inputs!$C$49)+Inputs!$C$47*0.137))+0.35*COS(2*PI()*(((Inputs!$C$6)/Inputs!$C$50)+Inputs!$C$47*0.173))+0.20*SIN(2*PI()*(((Model_Data!A150)+(Inputs!$C$6))/(0.5*(Inputs!$C$49+Inputs!$C$50))+Inputs!$C$47*0.097)))+0.30*(2*((SIN(((Model_Data!A150)*12.9898+(Inputs!$C$6)*78.233+Inputs!$C$47*37.719))*43758.5453)-INT((SIN(((Model_Data!A150)*12.9898+(Inputs!$C$6)*78.233+Inputs!$C$47*37.719))*43758.5453)))-1))))/1000)^2))-(((Model_Data!B150)-((Inputs!$C$51*(115*EXP(-(((0)-25)^2)/(4.5^2))+70*EXP(-(((0)+38)^2)/(7^2))*(0.55+0.45*SIN(2*PI()*(Model_Data!A150)/45))+24*SIN(2*PI()*(0)/9+(Model_Data!A150)/18)*EXP(-(((0)+5)^2)/(22^2))+18*SIN(2*PI()*(Model_Data!A150)/70))+Inputs!$C$28*EXP(-(((Model_Data!A150)-Inputs!$C$29)^2)/(2*Inputs!$C$31^2))*EXP(-(((0)-Inputs!$C$30)^2)/(2*Inputs!$C$32^2))+-Inputs!$C$33*EXP(-(((((Model_Data!A150)-Inputs!$C$34)^2)+(((0)-Inputs!$C$35)^2))/(2*Inputs!$C$36^2)))+Inputs!$C$37*(0.55*SIN(2*PI()*(Model_Data!A150)/Inputs!$C$39)+0.35*COS(2*PI()*(0)/Inputs!$C$40)+0.2*SIN(2*PI()*((Model_Data!A150)+(0))/(0.5*(Inputs!$C$39+Inputs!$C$40))))+Inputs!$C$38*SIN(2*PI()*(Model_Data!A150)/Inputs!$C$39)*SIN(2*PI()*(0)/Inputs!$C$40)+-Inputs!$C$41*EXP(-(((0)-Inputs!$C$43)^2)/(2*Inputs!$C$44^2))*EXP(-(((Model_Data!A150)-Inputs!$C$42)^2)/(2*Inputs!$C$45^2))+Inputs!$C$48*(0.70*(0.45*SIN(2*PI()*(((Model_Data!A150)/Inputs!$C$49)+Inputs!$C$47*0.137))+0.35*COS(2*PI()*(((0)/Inputs!$C$50)+Inputs!$C$47*0.173))+0.20*SIN(2*PI()*(((Model_Data!A150)+(0))/(0.5*(Inputs!$C$49+Inputs!$C$50))+Inputs!$C$47*0.097)))+0.30*(2*((SIN(((Model_Data!A150)*12.9898+(0)*78.233+Inputs!$C$47*37.719))*43758.5453)-INT((SIN(((Model_Data!A150)*12.9898+(0)*78.233+Inputs!$C$47*37.719))*43758.5453)))-1))))/1000)))*1000/Inputs!$C$12)-Model_Data!F150))-(-(((SQRT((Model_Data!A150)^2+Inputs!$C$6^2+(Inputs!$C$5-((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(0.45*SIN(2*PI()*(((Model_Data!A150)/Inputs!$C$49)+Inputs!$C$47*0.137))+0.35*COS(2*PI()*(((Inputs!$C$6)/Inputs!$C$50)+Inputs!$C$47*0.173))+0.20*SIN(2*PI()*(((Model_Data!A150)+(Inputs!$C$6))/(0.5*(Inputs!$C$49+Inputs!$C$50))+Inputs!$C$47*0.097)))+0.30*(2*((SIN(((Model_Data!A150)*12.9898+(Inputs!$C$6)*78.233+Inputs!$C$47*37.719))*43758.5453)-INT((SIN(((Model_Data!A150)*12.9898+(Inputs!$C$6)*78.233+Inputs!$C$47*37.719))*43758.5453)))-1))))/1000)^2)-(Inputs!$C$5-((Inputs!$C$51*(115*EXP(-(((0)-25)^2)/(4.5^2))+70*EXP(-(((0)+38)^2)/(7^2))*(0.55+0.45*SIN(2*PI()*(Model_Data!A150)/45))+24*SIN(2*PI()*(0)/9+(Model_Data!A150)/18)*EXP(-(((0)+5)^2)/(22^2))+18*SIN(2*PI()*(Model_Data!A150)/70))+Inputs!$C$28*EXP(-(((Model_Data!A150)-Inputs!$C$29)^2)/(2*Inputs!$C$31^2))*EXP(-(((0)-Inputs!$C$30)^2)/(2*Inputs!$C$32^2))+-Inputs!$C$33*EXP(-(((((Model_Data!A150)-Inputs!$C$34)^2)+(((0)-Inputs!$C$35)^2))/(2*Inputs!$C$36^2)))+Inputs!$C$37*(0.55*SIN(2*PI()*(Model_Data!A150)/Inputs!$C$39)+0.35*COS(2*PI()*(0)/Inputs!$C$40)+0.2*SIN(2*PI()*((Model_Data!A150)+(0))/(0.5*(Inputs!$C$39+Inputs!$C$40))))+Inputs!$C$38*SIN(2*PI()*(Model_Data!A150)/Inputs!$C$39)*SIN(2*PI()*(0)/Inputs!$C$40)+-Inputs!$C$41*EXP(-(((0)-Inputs!$C$43)^2)/(2*Inputs!$C$44^2))*EXP(-(((Model_Data!A150)-Inputs!$C$42)^2)/(2*Inputs!$C$45^2))+Inputs!$C$48*(0.70*(0.45*SIN(2*PI()*(((Model_Data!A150)/Inputs!$C$49)+Inputs!$C$47*0.137))+0.35*COS(2*PI()*(((0)/Inputs!$C$50)+Inputs!$C$47*0.173))+0.20*SIN(2*PI()*(((Model_Data!A150)+(0))/(0.5*(Inputs!$C$49+Inputs!$C$50))+Inputs!$C$47*0.097)))+0.30*(2*((SIN(((Model_Data!A150)*12.9898+(0)*78.233+Inputs!$C$47*37.719))*43758.5453)-INT((SIN(((Model_Data!A150)*12.9898+(0)*78.233+Inputs!$C$47*37.719))*43758.5453)))-1))))/1000))*1000/Inputs!$C$12)-((SQRT((Model_Data!A150)^2+Inputs!$C$6^2+Inputs!$C$5^2)-Inputs!$C$5)*1000/Inputs!$C$12)))</x:f>
        <x:v>0.0006430076765582271</x:v>
      </x:c>
      <x:c r="X150" s="48" t="n">
        <x:f>0</x:f>
        <x:v>0</x:v>
      </x:c>
      <x:c r="Y150" s="49"/>
      <x:c r="Z150" s="48" t="n">
        <x:f>Model_Data!A150</x:f>
        <x:v>14</x:v>
      </x:c>
      <x:c r="AA150" s="48" t="n">
        <x:f>SQRT((Model_Data!A150)^2+Inputs!$C$6^2+((Model_Data!B150)-((Inputs!$C$51*(115*EXP(-(((Inputs!$C$6)-25)^2)/(4.5^2))+70*EXP(-(((Inputs!$C$6)+38)^2)/(7^2))*(0.55+0.45*SIN(2*PI()*(Model_Data!A150)/45))+24*SIN(2*PI()*(Inputs!$C$6)/9+(Model_Data!A150)/18)*EXP(-(((Inputs!$C$6)+5)^2)/(22^2))+18*SIN(2*PI()*(Model_Data!A150)/70))+Inputs!$C$28*EXP(-(((Model_Data!A150)-Inputs!$C$29)^2)/(2*Inputs!$C$31^2))*EXP(-(((Inputs!$C$6)-Inputs!$C$30)^2)/(2*Inputs!$C$32^2))+-Inputs!$C$33*EXP(-(((((Model_Data!A150)-Inputs!$C$34)^2)+(((Inputs!$C$6)-Inputs!$C$35)^2))/(2*Inputs!$C$36^2)))+Inputs!$C$37*(0.55*SIN(2*PI()*(Model_Data!A150)/Inputs!$C$39)+0.35*COS(2*PI()*(Inputs!$C$6)/Inputs!$C$40)+0.2*SIN(2*PI()*((Model_Data!A150)+(Inputs!$C$6))/(0.5*(Inputs!$C$39+Inputs!$C$40))))+Inputs!$C$38*SIN(2*PI()*(Model_Data!A150)/Inputs!$C$39)*SIN(2*PI()*(Inputs!$C$6)/Inputs!$C$40)+-Inputs!$C$41*EXP(-(((Inputs!$C$6)-Inputs!$C$43)^2)/(2*Inputs!$C$44^2))*EXP(-(((Model_Data!A150)-Inputs!$C$42)^2)/(2*Inputs!$C$45^2))+Inputs!$C$48*(0.70*(0.45*SIN(2*PI()*(((Model_Data!A150)/Inputs!$C$49)+Inputs!$C$47*0.137))+0.35*COS(2*PI()*(((Inputs!$C$6)/Inputs!$C$50)+Inputs!$C$47*0.173))+0.20*SIN(2*PI()*(((Model_Data!A150)+(Inputs!$C$6))/(0.5*(Inputs!$C$49+Inputs!$C$50))+Inputs!$C$47*0.097)))+0.30*(2*((SIN(((Model_Data!A150)*12.9898+(Inputs!$C$6)*78.233+Inputs!$C$47*37.719))*43758.5453)-INT((SIN(((Model_Data!A150)*12.9898+(Inputs!$C$6)*78.233+Inputs!$C$47*37.719))*43758.5453)))-1))))/1000)^2)</x:f>
        <x:v>400.83066169928446</x:v>
      </x:c>
      <x:c r="AB150" s="48" t="n">
        <x:f>1000*(AA151-AA149)/(Z151-Z149)*Inputs!$C$11</x:f>
        <x:v>237.01899161164874</x:v>
      </x:c>
      <x:c r="AC150" s="48" t="n">
        <x:f>-2*AB150/Inputs!$C$13</x:f>
        <x:v>-94.8075966446595</x:v>
      </x:c>
      <x:c r="AD150" s="48" t="n">
        <x:f>-2*AB150/Inputs!$C$14</x:f>
        <x:v>-14.235374871570496</x:v>
      </x:c>
    </x:row>
    <x:row r="151">
      <x:c r="A151" s="48" t="n">
        <x:f>Model_Data!A151</x:f>
        <x:v>14.5</x:v>
      </x:c>
      <x:c r="B151" s="48" t="n">
        <x:f>Model_Data!F151</x:f>
        <x:v>585.4474328788419</x:v>
      </x:c>
      <x:c r="C151" s="48" t="n">
        <x:f>(((SQRT((Model_Data!A151)^2+Inputs!$C$6^2+((Model_Data!B151)-((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(0.45*SIN(2*PI()*(((Model_Data!A151)/Inputs!$C$49)+Inputs!$C$47*0.137))+0.35*COS(2*PI()*(((Inputs!$C$6)/Inputs!$C$50)+Inputs!$C$47*0.173))+0.20*SIN(2*PI()*(((Model_Data!A151)+(Inputs!$C$6))/(0.5*(Inputs!$C$49+Inputs!$C$50))+Inputs!$C$47*0.097)))+0.30*(2*((SIN(((Model_Data!A151)*12.9898+(Inputs!$C$6)*78.233+Inputs!$C$47*37.719))*43758.5453)-INT((SIN(((Model_Data!A151)*12.9898+(Inputs!$C$6)*78.233+Inputs!$C$47*37.719))*43758.5453)))-1))))/1000)^2))-(((Model_Data!B151)-((Inputs!$C$51*(115*EXP(-(((0)-25)^2)/(4.5^2))+70*EXP(-(((0)+38)^2)/(7^2))*(0.55+0.45*SIN(2*PI()*(Model_Data!A151)/45))+24*SIN(2*PI()*(0)/9+(Model_Data!A151)/18)*EXP(-(((0)+5)^2)/(22^2))+18*SIN(2*PI()*(Model_Data!A151)/70))+Inputs!$C$28*EXP(-(((Model_Data!A151)-Inputs!$C$29)^2)/(2*Inputs!$C$31^2))*EXP(-(((0)-Inputs!$C$30)^2)/(2*Inputs!$C$32^2))+-Inputs!$C$33*EXP(-(((((Model_Data!A151)-Inputs!$C$34)^2)+(((0)-Inputs!$C$35)^2))/(2*Inputs!$C$36^2)))+Inputs!$C$37*(0.55*SIN(2*PI()*(Model_Data!A151)/Inputs!$C$39)+0.35*COS(2*PI()*(0)/Inputs!$C$40)+0.2*SIN(2*PI()*((Model_Data!A151)+(0))/(0.5*(Inputs!$C$39+Inputs!$C$40))))+Inputs!$C$38*SIN(2*PI()*(Model_Data!A151)/Inputs!$C$39)*SIN(2*PI()*(0)/Inputs!$C$40)+-Inputs!$C$41*EXP(-(((0)-Inputs!$C$43)^2)/(2*Inputs!$C$44^2))*EXP(-(((Model_Data!A151)-Inputs!$C$42)^2)/(2*Inputs!$C$45^2))+Inputs!$C$48*(0.70*(0.45*SIN(2*PI()*(((Model_Data!A151)/Inputs!$C$49)+Inputs!$C$47*0.137))+0.35*COS(2*PI()*(((0)/Inputs!$C$50)+Inputs!$C$47*0.173))+0.20*SIN(2*PI()*(((Model_Data!A151)+(0))/(0.5*(Inputs!$C$49+Inputs!$C$50))+Inputs!$C$47*0.097)))+0.30*(2*((SIN(((Model_Data!A151)*12.9898+(0)*78.233+Inputs!$C$47*37.719))*43758.5453)-INT((SIN(((Model_Data!A151)*12.9898+(0)*78.233+Inputs!$C$47*37.719))*43758.5453)))-1))))/1000)))*1000/Inputs!$C$12)</x:f>
        <x:v>367.9408200861126</x:v>
      </x:c>
      <x:c r="D151" s="49"/>
      <x:c r="E151" s="48" t="n">
        <x:f>Model_Data!A151</x:f>
        <x:v>14.5</x:v>
      </x:c>
      <x:c r="F151" s="48" t="n">
        <x:f>(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(0.45*SIN(2*PI()*(((Model_Data!A151)/Inputs!$C$49)+Inputs!$C$47*0.137))+0.35*COS(2*PI()*(((Inputs!$C$6)/Inputs!$C$50)+Inputs!$C$47*0.173))+0.20*SIN(2*PI()*(((Model_Data!A151)+(Inputs!$C$6))/(0.5*(Inputs!$C$49+Inputs!$C$50))+Inputs!$C$47*0.097)))+0.30*(2*((SIN(((Model_Data!A151)*12.9898+(Inputs!$C$6)*78.233+Inputs!$C$47*37.719))*43758.5453)-INT((SIN(((Model_Data!A151)*12.9898+(Inputs!$C$6)*78.233+Inputs!$C$47*37.719))*43758.5453)))-1)))</x:f>
        <x:v>415.5675277705944</x:v>
      </x:c>
      <x:c r="G151" s="48" t="n">
        <x:f>(Inputs!$C$51*(115*EXP(-(((0)-25)^2)/(4.5^2))+70*EXP(-(((0)+38)^2)/(7^2))*(0.55+0.45*SIN(2*PI()*(Model_Data!A151)/45))+24*SIN(2*PI()*(0)/9+(Model_Data!A151)/18)*EXP(-(((0)+5)^2)/(22^2))+18*SIN(2*PI()*(Model_Data!A151)/70))+Inputs!$C$28*EXP(-(((Model_Data!A151)-Inputs!$C$29)^2)/(2*Inputs!$C$31^2))*EXP(-(((0)-Inputs!$C$30)^2)/(2*Inputs!$C$32^2))+-Inputs!$C$33*EXP(-(((((Model_Data!A151)-Inputs!$C$34)^2)+(((0)-Inputs!$C$35)^2))/(2*Inputs!$C$36^2)))+Inputs!$C$37*(0.55*SIN(2*PI()*(Model_Data!A151)/Inputs!$C$39)+0.35*COS(2*PI()*(0)/Inputs!$C$40)+0.2*SIN(2*PI()*((Model_Data!A151)+(0))/(0.5*(Inputs!$C$39+Inputs!$C$40))))+Inputs!$C$38*SIN(2*PI()*(Model_Data!A151)/Inputs!$C$39)*SIN(2*PI()*(0)/Inputs!$C$40)+-Inputs!$C$41*EXP(-(((0)-Inputs!$C$43)^2)/(2*Inputs!$C$44^2))*EXP(-(((Model_Data!A151)-Inputs!$C$42)^2)/(2*Inputs!$C$45^2))+Inputs!$C$48*(0.70*(0.45*SIN(2*PI()*(((Model_Data!A151)/Inputs!$C$49)+Inputs!$C$47*0.137))+0.35*COS(2*PI()*(((0)/Inputs!$C$50)+Inputs!$C$47*0.173))+0.20*SIN(2*PI()*(((Model_Data!A151)+(0))/(0.5*(Inputs!$C$49+Inputs!$C$50))+Inputs!$C$47*0.097)))+0.30*(2*((SIN(((Model_Data!A151)*12.9898+(0)*78.233+Inputs!$C$47*37.719))*43758.5453)-INT((SIN(((Model_Data!A151)*12.9898+(0)*78.233+Inputs!$C$47*37.719))*43758.5453)))-1)))</x:f>
        <x:v>27.325427950737776</x:v>
      </x:c>
      <x:c r="H151" s="49"/>
      <x:c r="I151" s="48" t="n">
        <x:f>Model_Data!A151</x:f>
        <x:v>14.5</x:v>
      </x:c>
      <x:c r="J151" s="48" t="n">
        <x:f>((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(0.45*SIN(2*PI()*(((Model_Data!A151)/Inputs!$C$49)+Inputs!$C$47*0.137))+0.35*COS(2*PI()*(((Inputs!$C$6)/Inputs!$C$50)+Inputs!$C$47*0.173))+0.20*SIN(2*PI()*(((Model_Data!A151)+(Inputs!$C$6))/(0.5*(Inputs!$C$49+Inputs!$C$50))+Inputs!$C$47*0.097)))+0.30*(2*((SIN(((Model_Data!A151)*12.9898+(Inputs!$C$6)*78.233+Inputs!$C$47*37.719))*43758.5453)-INT((SIN(((Model_Data!A151)*12.9898+(Inputs!$C$6)*78.233+Inputs!$C$47*37.719))*43758.5453)))-1))))-((Inputs!$C$51*(115*EXP(-(((0)-25)^2)/(4.5^2))+70*EXP(-(((0)+38)^2)/(7^2))*(0.55+0.45*SIN(2*PI()*(Model_Data!A151)/45))+24*SIN(2*PI()*(0)/9+(Model_Data!A151)/18)*EXP(-(((0)+5)^2)/(22^2))+18*SIN(2*PI()*(Model_Data!A151)/70))+Inputs!$C$28*EXP(-(((Model_Data!A151)-Inputs!$C$29)^2)/(2*Inputs!$C$31^2))*EXP(-(((0)-Inputs!$C$30)^2)/(2*Inputs!$C$32^2))+-Inputs!$C$33*EXP(-(((((Model_Data!A151)-Inputs!$C$34)^2)+(((0)-Inputs!$C$35)^2))/(2*Inputs!$C$36^2)))+Inputs!$C$37*(0.55*SIN(2*PI()*(Model_Data!A151)/Inputs!$C$39)+0.35*COS(2*PI()*(0)/Inputs!$C$40)+0.2*SIN(2*PI()*((Model_Data!A151)+(0))/(0.5*(Inputs!$C$39+Inputs!$C$40))))+Inputs!$C$38*SIN(2*PI()*(Model_Data!A151)/Inputs!$C$39)*SIN(2*PI()*(0)/Inputs!$C$40)+-Inputs!$C$41*EXP(-(((0)-Inputs!$C$43)^2)/(2*Inputs!$C$44^2))*EXP(-(((Model_Data!A151)-Inputs!$C$42)^2)/(2*Inputs!$C$45^2))+Inputs!$C$48*(0.70*(0.45*SIN(2*PI()*(((Model_Data!A151)/Inputs!$C$49)+Inputs!$C$47*0.137))+0.35*COS(2*PI()*(((0)/Inputs!$C$50)+Inputs!$C$47*0.173))+0.20*SIN(2*PI()*(((Model_Data!A151)+(0))/(0.5*(Inputs!$C$49+Inputs!$C$50))+Inputs!$C$47*0.097)))+0.30*(2*((SIN(((Model_Data!A151)*12.9898+(0)*78.233+Inputs!$C$47*37.719))*43758.5453)-INT((SIN(((Model_Data!A151)*12.9898+(0)*78.233+Inputs!$C$47*37.719))*43758.5453)))-1))))</x:f>
        <x:v>388.2420998198566</x:v>
      </x:c>
      <x:c r="K151" s="48" t="n">
        <x:f>-((((SQRT((Model_Data!A151)^2+Inputs!$C$6^2+((Model_Data!B151)-((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(0.45*SIN(2*PI()*(((Model_Data!A151)/Inputs!$C$49)+Inputs!$C$47*0.137))+0.35*COS(2*PI()*(((Inputs!$C$6)/Inputs!$C$50)+Inputs!$C$47*0.173))+0.20*SIN(2*PI()*(((Model_Data!A151)+(Inputs!$C$6))/(0.5*(Inputs!$C$49+Inputs!$C$50))+Inputs!$C$47*0.097)))+0.30*(2*((SIN(((Model_Data!A151)*12.9898+(Inputs!$C$6)*78.233+Inputs!$C$47*37.719))*43758.5453)-INT((SIN(((Model_Data!A151)*12.9898+(Inputs!$C$6)*78.233+Inputs!$C$47*37.719))*43758.5453)))-1))))/1000)^2))-(((Model_Data!B151)-((Inputs!$C$51*(115*EXP(-(((0)-25)^2)/(4.5^2))+70*EXP(-(((0)+38)^2)/(7^2))*(0.55+0.45*SIN(2*PI()*(Model_Data!A151)/45))+24*SIN(2*PI()*(0)/9+(Model_Data!A151)/18)*EXP(-(((0)+5)^2)/(22^2))+18*SIN(2*PI()*(Model_Data!A151)/70))+Inputs!$C$28*EXP(-(((Model_Data!A151)-Inputs!$C$29)^2)/(2*Inputs!$C$31^2))*EXP(-(((0)-Inputs!$C$30)^2)/(2*Inputs!$C$32^2))+-Inputs!$C$33*EXP(-(((((Model_Data!A151)-Inputs!$C$34)^2)+(((0)-Inputs!$C$35)^2))/(2*Inputs!$C$36^2)))+Inputs!$C$37*(0.55*SIN(2*PI()*(Model_Data!A151)/Inputs!$C$39)+0.35*COS(2*PI()*(0)/Inputs!$C$40)+0.2*SIN(2*PI()*((Model_Data!A151)+(0))/(0.5*(Inputs!$C$39+Inputs!$C$40))))+Inputs!$C$38*SIN(2*PI()*(Model_Data!A151)/Inputs!$C$39)*SIN(2*PI()*(0)/Inputs!$C$40)+-Inputs!$C$41*EXP(-(((0)-Inputs!$C$43)^2)/(2*Inputs!$C$44^2))*EXP(-(((Model_Data!A151)-Inputs!$C$42)^2)/(2*Inputs!$C$45^2))+Inputs!$C$48*(0.70*(0.45*SIN(2*PI()*(((Model_Data!A151)/Inputs!$C$49)+Inputs!$C$47*0.137))+0.35*COS(2*PI()*(((0)/Inputs!$C$50)+Inputs!$C$47*0.173))+0.20*SIN(2*PI()*(((Model_Data!A151)+(0))/(0.5*(Inputs!$C$49+Inputs!$C$50))+Inputs!$C$47*0.097)))+0.30*(2*((SIN(((Model_Data!A151)*12.9898+(0)*78.233+Inputs!$C$47*37.719))*43758.5453)-INT((SIN(((Model_Data!A151)*12.9898+(0)*78.233+Inputs!$C$47*37.719))*43758.5453)))-1))))/1000)))*1000/Inputs!$C$12)-Model_Data!F151)</x:f>
        <x:v>217.50661279272936</x:v>
      </x:c>
      <x:c r="L151" s="49"/>
      <x:c r="M151" s="48" t="n">
        <x:f>Model_Data!A151</x:f>
        <x:v>14.5</x:v>
      </x:c>
      <x:c r="N151" s="48" t="n">
        <x:f>Model_Data!P151</x:f>
        <x:v>-109.23727838244822</x:v>
      </x:c>
      <x:c r="O151" s="48" t="n">
        <x:f>AC151</x:f>
        <x:v>-130.3683929762883</x:v>
      </x:c>
      <x:c r="P151" s="48" t="n">
        <x:f>Model_Data!Q151</x:f>
        <x:v>-16.401993751118354</x:v>
      </x:c>
      <x:c r="Q151" s="48" t="n">
        <x:f>AD151</x:f>
        <x:v>-19.57483378022347</x:v>
      </x:c>
      <x:c r="R151" s="49"/>
      <x:c r="S151" s="48" t="n">
        <x:f>Model_Data!A151</x:f>
        <x:v>14.5</x:v>
      </x:c>
      <x:c r="T151" s="48" t="n">
        <x:f>Model_Data!B151-Inputs!$C$5</x:f>
        <x:v>0.23361111111108812</x:v>
      </x:c>
      <x:c r="U151" s="49"/>
      <x:c r="V151" s="48" t="n">
        <x:f>Model_Data!A151</x:f>
        <x:v>14.5</x:v>
      </x:c>
      <x:c r="W151" s="48" t="n">
        <x:f>(-((((SQRT((Model_Data!A151)^2+Inputs!$C$6^2+((Model_Data!B151)-((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(0.45*SIN(2*PI()*(((Model_Data!A151)/Inputs!$C$49)+Inputs!$C$47*0.137))+0.35*COS(2*PI()*(((Inputs!$C$6)/Inputs!$C$50)+Inputs!$C$47*0.173))+0.20*SIN(2*PI()*(((Model_Data!A151)+(Inputs!$C$6))/(0.5*(Inputs!$C$49+Inputs!$C$50))+Inputs!$C$47*0.097)))+0.30*(2*((SIN(((Model_Data!A151)*12.9898+(Inputs!$C$6)*78.233+Inputs!$C$47*37.719))*43758.5453)-INT((SIN(((Model_Data!A151)*12.9898+(Inputs!$C$6)*78.233+Inputs!$C$47*37.719))*43758.5453)))-1))))/1000)^2))-(((Model_Data!B151)-((Inputs!$C$51*(115*EXP(-(((0)-25)^2)/(4.5^2))+70*EXP(-(((0)+38)^2)/(7^2))*(0.55+0.45*SIN(2*PI()*(Model_Data!A151)/45))+24*SIN(2*PI()*(0)/9+(Model_Data!A151)/18)*EXP(-(((0)+5)^2)/(22^2))+18*SIN(2*PI()*(Model_Data!A151)/70))+Inputs!$C$28*EXP(-(((Model_Data!A151)-Inputs!$C$29)^2)/(2*Inputs!$C$31^2))*EXP(-(((0)-Inputs!$C$30)^2)/(2*Inputs!$C$32^2))+-Inputs!$C$33*EXP(-(((((Model_Data!A151)-Inputs!$C$34)^2)+(((0)-Inputs!$C$35)^2))/(2*Inputs!$C$36^2)))+Inputs!$C$37*(0.55*SIN(2*PI()*(Model_Data!A151)/Inputs!$C$39)+0.35*COS(2*PI()*(0)/Inputs!$C$40)+0.2*SIN(2*PI()*((Model_Data!A151)+(0))/(0.5*(Inputs!$C$39+Inputs!$C$40))))+Inputs!$C$38*SIN(2*PI()*(Model_Data!A151)/Inputs!$C$39)*SIN(2*PI()*(0)/Inputs!$C$40)+-Inputs!$C$41*EXP(-(((0)-Inputs!$C$43)^2)/(2*Inputs!$C$44^2))*EXP(-(((Model_Data!A151)-Inputs!$C$42)^2)/(2*Inputs!$C$45^2))+Inputs!$C$48*(0.70*(0.45*SIN(2*PI()*(((Model_Data!A151)/Inputs!$C$49)+Inputs!$C$47*0.137))+0.35*COS(2*PI()*(((0)/Inputs!$C$50)+Inputs!$C$47*0.173))+0.20*SIN(2*PI()*(((Model_Data!A151)+(0))/(0.5*(Inputs!$C$49+Inputs!$C$50))+Inputs!$C$47*0.097)))+0.30*(2*((SIN(((Model_Data!A151)*12.9898+(0)*78.233+Inputs!$C$47*37.719))*43758.5453)-INT((SIN(((Model_Data!A151)*12.9898+(0)*78.233+Inputs!$C$47*37.719))*43758.5453)))-1))))/1000)))*1000/Inputs!$C$12)-Model_Data!F151))-(-(((SQRT((Model_Data!A151)^2+Inputs!$C$6^2+(Inputs!$C$5-((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(0.45*SIN(2*PI()*(((Model_Data!A151)/Inputs!$C$49)+Inputs!$C$47*0.137))+0.35*COS(2*PI()*(((Inputs!$C$6)/Inputs!$C$50)+Inputs!$C$47*0.173))+0.20*SIN(2*PI()*(((Model_Data!A151)+(Inputs!$C$6))/(0.5*(Inputs!$C$49+Inputs!$C$50))+Inputs!$C$47*0.097)))+0.30*(2*((SIN(((Model_Data!A151)*12.9898+(Inputs!$C$6)*78.233+Inputs!$C$47*37.719))*43758.5453)-INT((SIN(((Model_Data!A151)*12.9898+(Inputs!$C$6)*78.233+Inputs!$C$47*37.719))*43758.5453)))-1))))/1000)^2)-(Inputs!$C$5-((Inputs!$C$51*(115*EXP(-(((0)-25)^2)/(4.5^2))+70*EXP(-(((0)+38)^2)/(7^2))*(0.55+0.45*SIN(2*PI()*(Model_Data!A151)/45))+24*SIN(2*PI()*(0)/9+(Model_Data!A151)/18)*EXP(-(((0)+5)^2)/(22^2))+18*SIN(2*PI()*(Model_Data!A151)/70))+Inputs!$C$28*EXP(-(((Model_Data!A151)-Inputs!$C$29)^2)/(2*Inputs!$C$31^2))*EXP(-(((0)-Inputs!$C$30)^2)/(2*Inputs!$C$32^2))+-Inputs!$C$33*EXP(-(((((Model_Data!A151)-Inputs!$C$34)^2)+(((0)-Inputs!$C$35)^2))/(2*Inputs!$C$36^2)))+Inputs!$C$37*(0.55*SIN(2*PI()*(Model_Data!A151)/Inputs!$C$39)+0.35*COS(2*PI()*(0)/Inputs!$C$40)+0.2*SIN(2*PI()*((Model_Data!A151)+(0))/(0.5*(Inputs!$C$39+Inputs!$C$40))))+Inputs!$C$38*SIN(2*PI()*(Model_Data!A151)/Inputs!$C$39)*SIN(2*PI()*(0)/Inputs!$C$40)+-Inputs!$C$41*EXP(-(((0)-Inputs!$C$43)^2)/(2*Inputs!$C$44^2))*EXP(-(((Model_Data!A151)-Inputs!$C$42)^2)/(2*Inputs!$C$45^2))+Inputs!$C$48*(0.70*(0.45*SIN(2*PI()*(((Model_Data!A151)/Inputs!$C$49)+Inputs!$C$47*0.137))+0.35*COS(2*PI()*(((0)/Inputs!$C$50)+Inputs!$C$47*0.173))+0.20*SIN(2*PI()*(((Model_Data!A151)+(0))/(0.5*(Inputs!$C$49+Inputs!$C$50))+Inputs!$C$47*0.097)))+0.30*(2*((SIN(((Model_Data!A151)*12.9898+(0)*78.233+Inputs!$C$47*37.719))*43758.5453)-INT((SIN(((Model_Data!A151)*12.9898+(0)*78.233+Inputs!$C$47*37.719))*43758.5453)))-1))))/1000))*1000/Inputs!$C$12)-((SQRT((Model_Data!A151)^2+Inputs!$C$6^2+Inputs!$C$5^2)-Inputs!$C$5)*1000/Inputs!$C$12)))</x:f>
        <x:v>0.0007067322147236155</x:v>
      </x:c>
      <x:c r="X151" s="48" t="n">
        <x:f>0</x:f>
        <x:v>0</x:v>
      </x:c>
      <x:c r="Y151" s="49"/>
      <x:c r="Z151" s="48" t="n">
        <x:f>Model_Data!A151</x:f>
        <x:v>14.5</x:v>
      </x:c>
      <x:c r="AA151" s="48" t="n">
        <x:f>SQRT((Model_Data!A151)^2+Inputs!$C$6^2+((Model_Data!B151)-((Inputs!$C$51*(115*EXP(-(((Inputs!$C$6)-25)^2)/(4.5^2))+70*EXP(-(((Inputs!$C$6)+38)^2)/(7^2))*(0.55+0.45*SIN(2*PI()*(Model_Data!A151)/45))+24*SIN(2*PI()*(Inputs!$C$6)/9+(Model_Data!A151)/18)*EXP(-(((Inputs!$C$6)+5)^2)/(22^2))+18*SIN(2*PI()*(Model_Data!A151)/70))+Inputs!$C$28*EXP(-(((Model_Data!A151)-Inputs!$C$29)^2)/(2*Inputs!$C$31^2))*EXP(-(((Inputs!$C$6)-Inputs!$C$30)^2)/(2*Inputs!$C$32^2))+-Inputs!$C$33*EXP(-(((((Model_Data!A151)-Inputs!$C$34)^2)+(((Inputs!$C$6)-Inputs!$C$35)^2))/(2*Inputs!$C$36^2)))+Inputs!$C$37*(0.55*SIN(2*PI()*(Model_Data!A151)/Inputs!$C$39)+0.35*COS(2*PI()*(Inputs!$C$6)/Inputs!$C$40)+0.2*SIN(2*PI()*((Model_Data!A151)+(Inputs!$C$6))/(0.5*(Inputs!$C$39+Inputs!$C$40))))+Inputs!$C$38*SIN(2*PI()*(Model_Data!A151)/Inputs!$C$39)*SIN(2*PI()*(Inputs!$C$6)/Inputs!$C$40)+-Inputs!$C$41*EXP(-(((Inputs!$C$6)-Inputs!$C$43)^2)/(2*Inputs!$C$44^2))*EXP(-(((Model_Data!A151)-Inputs!$C$42)^2)/(2*Inputs!$C$45^2))+Inputs!$C$48*(0.70*(0.45*SIN(2*PI()*(((Model_Data!A151)/Inputs!$C$49)+Inputs!$C$47*0.137))+0.35*COS(2*PI()*(((Inputs!$C$6)/Inputs!$C$50)+Inputs!$C$47*0.173))+0.20*SIN(2*PI()*(((Model_Data!A151)+(Inputs!$C$6))/(0.5*(Inputs!$C$49+Inputs!$C$50))+Inputs!$C$47*0.097)))+0.30*(2*((SIN(((Model_Data!A151)*12.9898+(Inputs!$C$6)*78.233+Inputs!$C$47*37.719))*43758.5453)-INT((SIN(((Model_Data!A151)*12.9898+(Inputs!$C$6)*78.233+Inputs!$C$47*37.719))*43758.5453)))-1))))/1000)^2)</x:f>
        <x:v>400.8612203429136</x:v>
      </x:c>
      <x:c r="AB151" s="48" t="n">
        <x:f>1000*(AA152-AA150)/(Z152-Z150)*Inputs!$C$11</x:f>
        <x:v>325.92098244072076</x:v>
      </x:c>
      <x:c r="AC151" s="48" t="n">
        <x:f>-2*AB151/Inputs!$C$13</x:f>
        <x:v>-130.3683929762883</x:v>
      </x:c>
      <x:c r="AD151" s="48" t="n">
        <x:f>-2*AB151/Inputs!$C$14</x:f>
        <x:v>-19.57483378022347</x:v>
      </x:c>
    </x:row>
    <x:row r="152">
      <x:c r="A152" s="48" t="n">
        <x:f>Model_Data!A152</x:f>
        <x:v>15</x:v>
      </x:c>
      <x:c r="B152" s="48" t="n">
        <x:f>Model_Data!F152</x:f>
        <x:v>595.7480822033449</x:v>
      </x:c>
      <x:c r="C152" s="48" t="n">
        <x:f>(((SQRT((Model_Data!A152)^2+Inputs!$C$6^2+((Model_Data!B152)-((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(0.45*SIN(2*PI()*(((Model_Data!A152)/Inputs!$C$49)+Inputs!$C$47*0.137))+0.35*COS(2*PI()*(((Inputs!$C$6)/Inputs!$C$50)+Inputs!$C$47*0.173))+0.20*SIN(2*PI()*(((Model_Data!A152)+(Inputs!$C$6))/(0.5*(Inputs!$C$49+Inputs!$C$50))+Inputs!$C$47*0.097)))+0.30*(2*((SIN(((Model_Data!A152)*12.9898+(Inputs!$C$6)*78.233+Inputs!$C$47*37.719))*43758.5453)-INT((SIN(((Model_Data!A152)*12.9898+(Inputs!$C$6)*78.233+Inputs!$C$47*37.719))*43758.5453)))-1))))/1000)^2))-(((Model_Data!B152)-((Inputs!$C$51*(115*EXP(-(((0)-25)^2)/(4.5^2))+70*EXP(-(((0)+38)^2)/(7^2))*(0.55+0.45*SIN(2*PI()*(Model_Data!A152)/45))+24*SIN(2*PI()*(0)/9+(Model_Data!A152)/18)*EXP(-(((0)+5)^2)/(22^2))+18*SIN(2*PI()*(Model_Data!A152)/70))+Inputs!$C$28*EXP(-(((Model_Data!A152)-Inputs!$C$29)^2)/(2*Inputs!$C$31^2))*EXP(-(((0)-Inputs!$C$30)^2)/(2*Inputs!$C$32^2))+-Inputs!$C$33*EXP(-(((((Model_Data!A152)-Inputs!$C$34)^2)+(((0)-Inputs!$C$35)^2))/(2*Inputs!$C$36^2)))+Inputs!$C$37*(0.55*SIN(2*PI()*(Model_Data!A152)/Inputs!$C$39)+0.35*COS(2*PI()*(0)/Inputs!$C$40)+0.2*SIN(2*PI()*((Model_Data!A152)+(0))/(0.5*(Inputs!$C$39+Inputs!$C$40))))+Inputs!$C$38*SIN(2*PI()*(Model_Data!A152)/Inputs!$C$39)*SIN(2*PI()*(0)/Inputs!$C$40)+-Inputs!$C$41*EXP(-(((0)-Inputs!$C$43)^2)/(2*Inputs!$C$44^2))*EXP(-(((Model_Data!A152)-Inputs!$C$42)^2)/(2*Inputs!$C$45^2))+Inputs!$C$48*(0.70*(0.45*SIN(2*PI()*(((Model_Data!A152)/Inputs!$C$49)+Inputs!$C$47*0.137))+0.35*COS(2*PI()*(((0)/Inputs!$C$50)+Inputs!$C$47*0.173))+0.20*SIN(2*PI()*(((Model_Data!A152)+(0))/(0.5*(Inputs!$C$49+Inputs!$C$50))+Inputs!$C$47*0.097)))+0.30*(2*((SIN(((Model_Data!A152)*12.9898+(0)*78.233+Inputs!$C$47*37.719))*43758.5453)-INT((SIN(((Model_Data!A152)*12.9898+(0)*78.233+Inputs!$C$47*37.719))*43758.5453)))-1))))/1000)))*1000/Inputs!$C$12)</x:f>
        <x:v>397.4746351313373</x:v>
      </x:c>
      <x:c r="D152" s="49"/>
      <x:c r="E152" s="48" t="n">
        <x:f>Model_Data!A152</x:f>
        <x:v>15</x:v>
      </x:c>
      <x:c r="F152" s="48" t="n">
        <x:f>(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(0.45*SIN(2*PI()*(((Model_Data!A152)/Inputs!$C$49)+Inputs!$C$47*0.137))+0.35*COS(2*PI()*(((Inputs!$C$6)/Inputs!$C$50)+Inputs!$C$47*0.173))+0.20*SIN(2*PI()*(((Model_Data!A152)+(Inputs!$C$6))/(0.5*(Inputs!$C$49+Inputs!$C$50))+Inputs!$C$47*0.097)))+0.30*(2*((SIN(((Model_Data!A152)*12.9898+(Inputs!$C$6)*78.233+Inputs!$C$47*37.719))*43758.5453)-INT((SIN(((Model_Data!A152)*12.9898+(Inputs!$C$6)*78.233+Inputs!$C$47*37.719))*43758.5453)))-1)))</x:f>
        <x:v>399.34593170493116</x:v>
      </x:c>
      <x:c r="G152" s="48" t="n">
        <x:f>(Inputs!$C$51*(115*EXP(-(((0)-25)^2)/(4.5^2))+70*EXP(-(((0)+38)^2)/(7^2))*(0.55+0.45*SIN(2*PI()*(Model_Data!A152)/45))+24*SIN(2*PI()*(0)/9+(Model_Data!A152)/18)*EXP(-(((0)+5)^2)/(22^2))+18*SIN(2*PI()*(Model_Data!A152)/70))+Inputs!$C$28*EXP(-(((Model_Data!A152)-Inputs!$C$29)^2)/(2*Inputs!$C$31^2))*EXP(-(((0)-Inputs!$C$30)^2)/(2*Inputs!$C$32^2))+-Inputs!$C$33*EXP(-(((((Model_Data!A152)-Inputs!$C$34)^2)+(((0)-Inputs!$C$35)^2))/(2*Inputs!$C$36^2)))+Inputs!$C$37*(0.55*SIN(2*PI()*(Model_Data!A152)/Inputs!$C$39)+0.35*COS(2*PI()*(0)/Inputs!$C$40)+0.2*SIN(2*PI()*((Model_Data!A152)+(0))/(0.5*(Inputs!$C$39+Inputs!$C$40))))+Inputs!$C$38*SIN(2*PI()*(Model_Data!A152)/Inputs!$C$39)*SIN(2*PI()*(0)/Inputs!$C$40)+-Inputs!$C$41*EXP(-(((0)-Inputs!$C$43)^2)/(2*Inputs!$C$44^2))*EXP(-(((Model_Data!A152)-Inputs!$C$42)^2)/(2*Inputs!$C$45^2))+Inputs!$C$48*(0.70*(0.45*SIN(2*PI()*(((Model_Data!A152)/Inputs!$C$49)+Inputs!$C$47*0.137))+0.35*COS(2*PI()*(((0)/Inputs!$C$50)+Inputs!$C$47*0.173))+0.20*SIN(2*PI()*(((Model_Data!A152)+(0))/(0.5*(Inputs!$C$49+Inputs!$C$50))+Inputs!$C$47*0.097)))+0.30*(2*((SIN(((Model_Data!A152)*12.9898+(0)*78.233+Inputs!$C$47*37.719))*43758.5453)-INT((SIN(((Model_Data!A152)*12.9898+(0)*78.233+Inputs!$C$47*37.719))*43758.5453)))-1)))</x:f>
        <x:v>45.362905639140564</x:v>
      </x:c>
      <x:c r="H152" s="49"/>
      <x:c r="I152" s="48" t="n">
        <x:f>Model_Data!A152</x:f>
        <x:v>15</x:v>
      </x:c>
      <x:c r="J152" s="48" t="n">
        <x:f>((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(0.45*SIN(2*PI()*(((Model_Data!A152)/Inputs!$C$49)+Inputs!$C$47*0.137))+0.35*COS(2*PI()*(((Inputs!$C$6)/Inputs!$C$50)+Inputs!$C$47*0.173))+0.20*SIN(2*PI()*(((Model_Data!A152)+(Inputs!$C$6))/(0.5*(Inputs!$C$49+Inputs!$C$50))+Inputs!$C$47*0.097)))+0.30*(2*((SIN(((Model_Data!A152)*12.9898+(Inputs!$C$6)*78.233+Inputs!$C$47*37.719))*43758.5453)-INT((SIN(((Model_Data!A152)*12.9898+(Inputs!$C$6)*78.233+Inputs!$C$47*37.719))*43758.5453)))-1))))-((Inputs!$C$51*(115*EXP(-(((0)-25)^2)/(4.5^2))+70*EXP(-(((0)+38)^2)/(7^2))*(0.55+0.45*SIN(2*PI()*(Model_Data!A152)/45))+24*SIN(2*PI()*(0)/9+(Model_Data!A152)/18)*EXP(-(((0)+5)^2)/(22^2))+18*SIN(2*PI()*(Model_Data!A152)/70))+Inputs!$C$28*EXP(-(((Model_Data!A152)-Inputs!$C$29)^2)/(2*Inputs!$C$31^2))*EXP(-(((0)-Inputs!$C$30)^2)/(2*Inputs!$C$32^2))+-Inputs!$C$33*EXP(-(((((Model_Data!A152)-Inputs!$C$34)^2)+(((0)-Inputs!$C$35)^2))/(2*Inputs!$C$36^2)))+Inputs!$C$37*(0.55*SIN(2*PI()*(Model_Data!A152)/Inputs!$C$39)+0.35*COS(2*PI()*(0)/Inputs!$C$40)+0.2*SIN(2*PI()*((Model_Data!A152)+(0))/(0.5*(Inputs!$C$39+Inputs!$C$40))))+Inputs!$C$38*SIN(2*PI()*(Model_Data!A152)/Inputs!$C$39)*SIN(2*PI()*(0)/Inputs!$C$40)+-Inputs!$C$41*EXP(-(((0)-Inputs!$C$43)^2)/(2*Inputs!$C$44^2))*EXP(-(((Model_Data!A152)-Inputs!$C$42)^2)/(2*Inputs!$C$45^2))+Inputs!$C$48*(0.70*(0.45*SIN(2*PI()*(((Model_Data!A152)/Inputs!$C$49)+Inputs!$C$47*0.137))+0.35*COS(2*PI()*(((0)/Inputs!$C$50)+Inputs!$C$47*0.173))+0.20*SIN(2*PI()*(((Model_Data!A152)+(0))/(0.5*(Inputs!$C$49+Inputs!$C$50))+Inputs!$C$47*0.097)))+0.30*(2*((SIN(((Model_Data!A152)*12.9898+(0)*78.233+Inputs!$C$47*37.719))*43758.5453)-INT((SIN(((Model_Data!A152)*12.9898+(0)*78.233+Inputs!$C$47*37.719))*43758.5453)))-1))))</x:f>
        <x:v>353.98302606579057</x:v>
      </x:c>
      <x:c r="K152" s="48" t="n">
        <x:f>-((((SQRT((Model_Data!A152)^2+Inputs!$C$6^2+((Model_Data!B152)-((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(0.45*SIN(2*PI()*(((Model_Data!A152)/Inputs!$C$49)+Inputs!$C$47*0.137))+0.35*COS(2*PI()*(((Inputs!$C$6)/Inputs!$C$50)+Inputs!$C$47*0.173))+0.20*SIN(2*PI()*(((Model_Data!A152)+(Inputs!$C$6))/(0.5*(Inputs!$C$49+Inputs!$C$50))+Inputs!$C$47*0.097)))+0.30*(2*((SIN(((Model_Data!A152)*12.9898+(Inputs!$C$6)*78.233+Inputs!$C$47*37.719))*43758.5453)-INT((SIN(((Model_Data!A152)*12.9898+(Inputs!$C$6)*78.233+Inputs!$C$47*37.719))*43758.5453)))-1))))/1000)^2))-(((Model_Data!B152)-((Inputs!$C$51*(115*EXP(-(((0)-25)^2)/(4.5^2))+70*EXP(-(((0)+38)^2)/(7^2))*(0.55+0.45*SIN(2*PI()*(Model_Data!A152)/45))+24*SIN(2*PI()*(0)/9+(Model_Data!A152)/18)*EXP(-(((0)+5)^2)/(22^2))+18*SIN(2*PI()*(Model_Data!A152)/70))+Inputs!$C$28*EXP(-(((Model_Data!A152)-Inputs!$C$29)^2)/(2*Inputs!$C$31^2))*EXP(-(((0)-Inputs!$C$30)^2)/(2*Inputs!$C$32^2))+-Inputs!$C$33*EXP(-(((((Model_Data!A152)-Inputs!$C$34)^2)+(((0)-Inputs!$C$35)^2))/(2*Inputs!$C$36^2)))+Inputs!$C$37*(0.55*SIN(2*PI()*(Model_Data!A152)/Inputs!$C$39)+0.35*COS(2*PI()*(0)/Inputs!$C$40)+0.2*SIN(2*PI()*((Model_Data!A152)+(0))/(0.5*(Inputs!$C$39+Inputs!$C$40))))+Inputs!$C$38*SIN(2*PI()*(Model_Data!A152)/Inputs!$C$39)*SIN(2*PI()*(0)/Inputs!$C$40)+-Inputs!$C$41*EXP(-(((0)-Inputs!$C$43)^2)/(2*Inputs!$C$44^2))*EXP(-(((Model_Data!A152)-Inputs!$C$42)^2)/(2*Inputs!$C$45^2))+Inputs!$C$48*(0.70*(0.45*SIN(2*PI()*(((Model_Data!A152)/Inputs!$C$49)+Inputs!$C$47*0.137))+0.35*COS(2*PI()*(((0)/Inputs!$C$50)+Inputs!$C$47*0.173))+0.20*SIN(2*PI()*(((Model_Data!A152)+(0))/(0.5*(Inputs!$C$49+Inputs!$C$50))+Inputs!$C$47*0.097)))+0.30*(2*((SIN(((Model_Data!A152)*12.9898+(0)*78.233+Inputs!$C$47*37.719))*43758.5453)-INT((SIN(((Model_Data!A152)*12.9898+(0)*78.233+Inputs!$C$47*37.719))*43758.5453)))-1))))/1000)))*1000/Inputs!$C$12)-Model_Data!F152)</x:f>
        <x:v>198.27344707200757</x:v>
      </x:c>
      <x:c r="L152" s="49"/>
      <x:c r="M152" s="48" t="n">
        <x:f>Model_Data!A152</x:f>
        <x:v>15</x:v>
      </x:c>
      <x:c r="N152" s="48" t="n">
        <x:f>Model_Data!P152</x:f>
        <x:v>-112.99648127116424</x:v>
      </x:c>
      <x:c r="O152" s="48" t="n">
        <x:f>AC152</x:f>
        <x:v>-144.89373146916478</x:v>
      </x:c>
      <x:c r="P152" s="48" t="n">
        <x:f>Model_Data!Q152</x:f>
        <x:v>-16.966438629303944</x:v>
      </x:c>
      <x:c r="Q152" s="48" t="n">
        <x:f>AD152</x:f>
        <x:v>-21.755815535910628</x:v>
      </x:c>
      <x:c r="R152" s="49"/>
      <x:c r="S152" s="48" t="n">
        <x:f>Model_Data!A152</x:f>
        <x:v>15</x:v>
      </x:c>
      <x:c r="T152" s="48" t="n">
        <x:f>Model_Data!B152-Inputs!$C$5</x:f>
        <x:v>0.25</x:v>
      </x:c>
      <x:c r="U152" s="49"/>
      <x:c r="V152" s="48" t="n">
        <x:f>Model_Data!A152</x:f>
        <x:v>15</x:v>
      </x:c>
      <x:c r="W152" s="48" t="n">
        <x:f>(-((((SQRT((Model_Data!A152)^2+Inputs!$C$6^2+((Model_Data!B152)-((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(0.45*SIN(2*PI()*(((Model_Data!A152)/Inputs!$C$49)+Inputs!$C$47*0.137))+0.35*COS(2*PI()*(((Inputs!$C$6)/Inputs!$C$50)+Inputs!$C$47*0.173))+0.20*SIN(2*PI()*(((Model_Data!A152)+(Inputs!$C$6))/(0.5*(Inputs!$C$49+Inputs!$C$50))+Inputs!$C$47*0.097)))+0.30*(2*((SIN(((Model_Data!A152)*12.9898+(Inputs!$C$6)*78.233+Inputs!$C$47*37.719))*43758.5453)-INT((SIN(((Model_Data!A152)*12.9898+(Inputs!$C$6)*78.233+Inputs!$C$47*37.719))*43758.5453)))-1))))/1000)^2))-(((Model_Data!B152)-((Inputs!$C$51*(115*EXP(-(((0)-25)^2)/(4.5^2))+70*EXP(-(((0)+38)^2)/(7^2))*(0.55+0.45*SIN(2*PI()*(Model_Data!A152)/45))+24*SIN(2*PI()*(0)/9+(Model_Data!A152)/18)*EXP(-(((0)+5)^2)/(22^2))+18*SIN(2*PI()*(Model_Data!A152)/70))+Inputs!$C$28*EXP(-(((Model_Data!A152)-Inputs!$C$29)^2)/(2*Inputs!$C$31^2))*EXP(-(((0)-Inputs!$C$30)^2)/(2*Inputs!$C$32^2))+-Inputs!$C$33*EXP(-(((((Model_Data!A152)-Inputs!$C$34)^2)+(((0)-Inputs!$C$35)^2))/(2*Inputs!$C$36^2)))+Inputs!$C$37*(0.55*SIN(2*PI()*(Model_Data!A152)/Inputs!$C$39)+0.35*COS(2*PI()*(0)/Inputs!$C$40)+0.2*SIN(2*PI()*((Model_Data!A152)+(0))/(0.5*(Inputs!$C$39+Inputs!$C$40))))+Inputs!$C$38*SIN(2*PI()*(Model_Data!A152)/Inputs!$C$39)*SIN(2*PI()*(0)/Inputs!$C$40)+-Inputs!$C$41*EXP(-(((0)-Inputs!$C$43)^2)/(2*Inputs!$C$44^2))*EXP(-(((Model_Data!A152)-Inputs!$C$42)^2)/(2*Inputs!$C$45^2))+Inputs!$C$48*(0.70*(0.45*SIN(2*PI()*(((Model_Data!A152)/Inputs!$C$49)+Inputs!$C$47*0.137))+0.35*COS(2*PI()*(((0)/Inputs!$C$50)+Inputs!$C$47*0.173))+0.20*SIN(2*PI()*(((Model_Data!A152)+(0))/(0.5*(Inputs!$C$49+Inputs!$C$50))+Inputs!$C$47*0.097)))+0.30*(2*((SIN(((Model_Data!A152)*12.9898+(0)*78.233+Inputs!$C$47*37.719))*43758.5453)-INT((SIN(((Model_Data!A152)*12.9898+(0)*78.233+Inputs!$C$47*37.719))*43758.5453)))-1))))/1000)))*1000/Inputs!$C$12)-Model_Data!F152))-(-(((SQRT((Model_Data!A152)^2+Inputs!$C$6^2+(Inputs!$C$5-((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(0.45*SIN(2*PI()*(((Model_Data!A152)/Inputs!$C$49)+Inputs!$C$47*0.137))+0.35*COS(2*PI()*(((Inputs!$C$6)/Inputs!$C$50)+Inputs!$C$47*0.173))+0.20*SIN(2*PI()*(((Model_Data!A152)+(Inputs!$C$6))/(0.5*(Inputs!$C$49+Inputs!$C$50))+Inputs!$C$47*0.097)))+0.30*(2*((SIN(((Model_Data!A152)*12.9898+(Inputs!$C$6)*78.233+Inputs!$C$47*37.719))*43758.5453)-INT((SIN(((Model_Data!A152)*12.9898+(Inputs!$C$6)*78.233+Inputs!$C$47*37.719))*43758.5453)))-1))))/1000)^2)-(Inputs!$C$5-((Inputs!$C$51*(115*EXP(-(((0)-25)^2)/(4.5^2))+70*EXP(-(((0)+38)^2)/(7^2))*(0.55+0.45*SIN(2*PI()*(Model_Data!A152)/45))+24*SIN(2*PI()*(0)/9+(Model_Data!A152)/18)*EXP(-(((0)+5)^2)/(22^2))+18*SIN(2*PI()*(Model_Data!A152)/70))+Inputs!$C$28*EXP(-(((Model_Data!A152)-Inputs!$C$29)^2)/(2*Inputs!$C$31^2))*EXP(-(((0)-Inputs!$C$30)^2)/(2*Inputs!$C$32^2))+-Inputs!$C$33*EXP(-(((((Model_Data!A152)-Inputs!$C$34)^2)+(((0)-Inputs!$C$35)^2))/(2*Inputs!$C$36^2)))+Inputs!$C$37*(0.55*SIN(2*PI()*(Model_Data!A152)/Inputs!$C$39)+0.35*COS(2*PI()*(0)/Inputs!$C$40)+0.2*SIN(2*PI()*((Model_Data!A152)+(0))/(0.5*(Inputs!$C$39+Inputs!$C$40))))+Inputs!$C$38*SIN(2*PI()*(Model_Data!A152)/Inputs!$C$39)*SIN(2*PI()*(0)/Inputs!$C$40)+-Inputs!$C$41*EXP(-(((0)-Inputs!$C$43)^2)/(2*Inputs!$C$44^2))*EXP(-(((Model_Data!A152)-Inputs!$C$42)^2)/(2*Inputs!$C$45^2))+Inputs!$C$48*(0.70*(0.45*SIN(2*PI()*(((Model_Data!A152)/Inputs!$C$49)+Inputs!$C$47*0.137))+0.35*COS(2*PI()*(((0)/Inputs!$C$50)+Inputs!$C$47*0.173))+0.20*SIN(2*PI()*(((Model_Data!A152)+(0))/(0.5*(Inputs!$C$49+Inputs!$C$50))+Inputs!$C$47*0.097)))+0.30*(2*((SIN(((Model_Data!A152)*12.9898+(0)*78.233+Inputs!$C$47*37.719))*43758.5453)-INT((SIN(((Model_Data!A152)*12.9898+(0)*78.233+Inputs!$C$47*37.719))*43758.5453)))-1))))/1000))*1000/Inputs!$C$12)-((SQRT((Model_Data!A152)^2+Inputs!$C$6^2+Inputs!$C$5^2)-Inputs!$C$5)*1000/Inputs!$C$12)))</x:f>
        <x:v>0.0007394330520469339</x:v>
      </x:c>
      <x:c r="X152" s="48" t="n">
        <x:f>0</x:f>
        <x:v>0</x:v>
      </x:c>
      <x:c r="Y152" s="49"/>
      <x:c r="Z152" s="48" t="n">
        <x:f>Model_Data!A152</x:f>
        <x:v>15</x:v>
      </x:c>
      <x:c r="AA152" s="48" t="n">
        <x:f>SQRT((Model_Data!A152)^2+Inputs!$C$6^2+((Model_Data!B152)-((Inputs!$C$51*(115*EXP(-(((Inputs!$C$6)-25)^2)/(4.5^2))+70*EXP(-(((Inputs!$C$6)+38)^2)/(7^2))*(0.55+0.45*SIN(2*PI()*(Model_Data!A152)/45))+24*SIN(2*PI()*(Inputs!$C$6)/9+(Model_Data!A152)/18)*EXP(-(((Inputs!$C$6)+5)^2)/(22^2))+18*SIN(2*PI()*(Model_Data!A152)/70))+Inputs!$C$28*EXP(-(((Model_Data!A152)-Inputs!$C$29)^2)/(2*Inputs!$C$31^2))*EXP(-(((Inputs!$C$6)-Inputs!$C$30)^2)/(2*Inputs!$C$32^2))+-Inputs!$C$33*EXP(-(((((Model_Data!A152)-Inputs!$C$34)^2)+(((Inputs!$C$6)-Inputs!$C$35)^2))/(2*Inputs!$C$36^2)))+Inputs!$C$37*(0.55*SIN(2*PI()*(Model_Data!A152)/Inputs!$C$39)+0.35*COS(2*PI()*(Inputs!$C$6)/Inputs!$C$40)+0.2*SIN(2*PI()*((Model_Data!A152)+(Inputs!$C$6))/(0.5*(Inputs!$C$39+Inputs!$C$40))))+Inputs!$C$38*SIN(2*PI()*(Model_Data!A152)/Inputs!$C$39)*SIN(2*PI()*(Inputs!$C$6)/Inputs!$C$40)+-Inputs!$C$41*EXP(-(((Inputs!$C$6)-Inputs!$C$43)^2)/(2*Inputs!$C$44^2))*EXP(-(((Model_Data!A152)-Inputs!$C$42)^2)/(2*Inputs!$C$45^2))+Inputs!$C$48*(0.70*(0.45*SIN(2*PI()*(((Model_Data!A152)/Inputs!$C$49)+Inputs!$C$47*0.137))+0.35*COS(2*PI()*(((Inputs!$C$6)/Inputs!$C$50)+Inputs!$C$47*0.173))+0.20*SIN(2*PI()*(((Model_Data!A152)+(Inputs!$C$6))/(0.5*(Inputs!$C$49+Inputs!$C$50))+Inputs!$C$47*0.097)))+0.30*(2*((SIN(((Model_Data!A152)*12.9898+(Inputs!$C$6)*78.233+Inputs!$C$47*37.719))*43758.5453)-INT((SIN(((Model_Data!A152)*12.9898+(Inputs!$C$6)*78.233+Inputs!$C$47*37.719))*43758.5453)))-1))))/1000)^2)</x:f>
        <x:v>400.91214194489464</x:v>
      </x:c>
      <x:c r="AB152" s="48" t="n">
        <x:f>1000*(AA153-AA151)/(Z153-Z151)*Inputs!$C$11</x:f>
        <x:v>362.23432867291194</x:v>
      </x:c>
      <x:c r="AC152" s="48" t="n">
        <x:f>-2*AB152/Inputs!$C$13</x:f>
        <x:v>-144.89373146916478</x:v>
      </x:c>
      <x:c r="AD152" s="48" t="n">
        <x:f>-2*AB152/Inputs!$C$14</x:f>
        <x:v>-21.755815535910628</x:v>
      </x:c>
    </x:row>
    <x:row r="153">
      <x:c r="A153" s="48" t="n">
        <x:f>Model_Data!A153</x:f>
        <x:v>15.5</x:v>
      </x:c>
      <x:c r="B153" s="48" t="n">
        <x:f>Model_Data!F153</x:f>
        <x:v>606.3965267989187</x:v>
      </x:c>
      <x:c r="C153" s="48" t="n">
        <x:f>(((SQRT((Model_Data!A153)^2+Inputs!$C$6^2+((Model_Data!B153)-((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(0.45*SIN(2*PI()*(((Model_Data!A153)/Inputs!$C$49)+Inputs!$C$47*0.137))+0.35*COS(2*PI()*(((Inputs!$C$6)/Inputs!$C$50)+Inputs!$C$47*0.173))+0.20*SIN(2*PI()*(((Model_Data!A153)+(Inputs!$C$6))/(0.5*(Inputs!$C$49+Inputs!$C$50))+Inputs!$C$47*0.097)))+0.30*(2*((SIN(((Model_Data!A153)*12.9898+(Inputs!$C$6)*78.233+Inputs!$C$47*37.719))*43758.5453)-INT((SIN(((Model_Data!A153)*12.9898+(Inputs!$C$6)*78.233+Inputs!$C$47*37.719))*43758.5453)))-1))))/1000)^2))-(((Model_Data!B153)-((Inputs!$C$51*(115*EXP(-(((0)-25)^2)/(4.5^2))+70*EXP(-(((0)+38)^2)/(7^2))*(0.55+0.45*SIN(2*PI()*(Model_Data!A153)/45))+24*SIN(2*PI()*(0)/9+(Model_Data!A153)/18)*EXP(-(((0)+5)^2)/(22^2))+18*SIN(2*PI()*(Model_Data!A153)/70))+Inputs!$C$28*EXP(-(((Model_Data!A153)-Inputs!$C$29)^2)/(2*Inputs!$C$31^2))*EXP(-(((0)-Inputs!$C$30)^2)/(2*Inputs!$C$32^2))+-Inputs!$C$33*EXP(-(((((Model_Data!A153)-Inputs!$C$34)^2)+(((0)-Inputs!$C$35)^2))/(2*Inputs!$C$36^2)))+Inputs!$C$37*(0.55*SIN(2*PI()*(Model_Data!A153)/Inputs!$C$39)+0.35*COS(2*PI()*(0)/Inputs!$C$40)+0.2*SIN(2*PI()*((Model_Data!A153)+(0))/(0.5*(Inputs!$C$39+Inputs!$C$40))))+Inputs!$C$38*SIN(2*PI()*(Model_Data!A153)/Inputs!$C$39)*SIN(2*PI()*(0)/Inputs!$C$40)+-Inputs!$C$41*EXP(-(((0)-Inputs!$C$43)^2)/(2*Inputs!$C$44^2))*EXP(-(((Model_Data!A153)-Inputs!$C$42)^2)/(2*Inputs!$C$45^2))+Inputs!$C$48*(0.70*(0.45*SIN(2*PI()*(((Model_Data!A153)/Inputs!$C$49)+Inputs!$C$47*0.137))+0.35*COS(2*PI()*(((0)/Inputs!$C$50)+Inputs!$C$47*0.173))+0.20*SIN(2*PI()*(((Model_Data!A153)+(0))/(0.5*(Inputs!$C$49+Inputs!$C$50))+Inputs!$C$47*0.097)))+0.30*(2*((SIN(((Model_Data!A153)*12.9898+(0)*78.233+Inputs!$C$47*37.719))*43758.5453)-INT((SIN(((Model_Data!A153)*12.9898+(0)*78.233+Inputs!$C$47*37.719))*43758.5453)))-1))))/1000)))*1000/Inputs!$C$12)</x:f>
        <x:v>412.317224876035</x:v>
      </x:c>
      <x:c r="D153" s="49"/>
      <x:c r="E153" s="48" t="n">
        <x:f>Model_Data!A153</x:f>
        <x:v>15.5</x:v>
      </x:c>
      <x:c r="F153" s="48" t="n">
        <x:f>(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(0.45*SIN(2*PI()*(((Model_Data!A153)/Inputs!$C$49)+Inputs!$C$47*0.137))+0.35*COS(2*PI()*(((Inputs!$C$6)/Inputs!$C$50)+Inputs!$C$47*0.173))+0.20*SIN(2*PI()*(((Model_Data!A153)+(Inputs!$C$6))/(0.5*(Inputs!$C$49+Inputs!$C$50))+Inputs!$C$47*0.097)))+0.30*(2*((SIN(((Model_Data!A153)*12.9898+(Inputs!$C$6)*78.233+Inputs!$C$47*37.719))*43758.5453)-INT((SIN(((Model_Data!A153)*12.9898+(Inputs!$C$6)*78.233+Inputs!$C$47*37.719))*43758.5453)))-1)))</x:f>
        <x:v>395.616361037493</x:v>
      </x:c>
      <x:c r="G153" s="48" t="n">
        <x:f>(Inputs!$C$51*(115*EXP(-(((0)-25)^2)/(4.5^2))+70*EXP(-(((0)+38)^2)/(7^2))*(0.55+0.45*SIN(2*PI()*(Model_Data!A153)/45))+24*SIN(2*PI()*(0)/9+(Model_Data!A153)/18)*EXP(-(((0)+5)^2)/(22^2))+18*SIN(2*PI()*(Model_Data!A153)/70))+Inputs!$C$28*EXP(-(((Model_Data!A153)-Inputs!$C$29)^2)/(2*Inputs!$C$31^2))*EXP(-(((0)-Inputs!$C$30)^2)/(2*Inputs!$C$32^2))+-Inputs!$C$33*EXP(-(((((Model_Data!A153)-Inputs!$C$34)^2)+(((0)-Inputs!$C$35)^2))/(2*Inputs!$C$36^2)))+Inputs!$C$37*(0.55*SIN(2*PI()*(Model_Data!A153)/Inputs!$C$39)+0.35*COS(2*PI()*(0)/Inputs!$C$40)+0.2*SIN(2*PI()*((Model_Data!A153)+(0))/(0.5*(Inputs!$C$39+Inputs!$C$40))))+Inputs!$C$38*SIN(2*PI()*(Model_Data!A153)/Inputs!$C$39)*SIN(2*PI()*(0)/Inputs!$C$40)+-Inputs!$C$41*EXP(-(((0)-Inputs!$C$43)^2)/(2*Inputs!$C$44^2))*EXP(-(((Model_Data!A153)-Inputs!$C$42)^2)/(2*Inputs!$C$45^2))+Inputs!$C$48*(0.70*(0.45*SIN(2*PI()*(((Model_Data!A153)/Inputs!$C$49)+Inputs!$C$47*0.137))+0.35*COS(2*PI()*(((0)/Inputs!$C$50)+Inputs!$C$47*0.173))+0.20*SIN(2*PI()*(((Model_Data!A153)+(0))/(0.5*(Inputs!$C$49+Inputs!$C$50))+Inputs!$C$47*0.097)))+0.30*(2*((SIN(((Model_Data!A153)*12.9898+(0)*78.233+Inputs!$C$47*37.719))*43758.5453)-INT((SIN(((Model_Data!A153)*12.9898+(0)*78.233+Inputs!$C$47*37.719))*43758.5453)))-1)))</x:f>
        <x:v>49.090179641950456</x:v>
      </x:c>
      <x:c r="H153" s="49"/>
      <x:c r="I153" s="48" t="n">
        <x:f>Model_Data!A153</x:f>
        <x:v>15.5</x:v>
      </x:c>
      <x:c r="J153" s="48" t="n">
        <x:f>((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(0.45*SIN(2*PI()*(((Model_Data!A153)/Inputs!$C$49)+Inputs!$C$47*0.137))+0.35*COS(2*PI()*(((Inputs!$C$6)/Inputs!$C$50)+Inputs!$C$47*0.173))+0.20*SIN(2*PI()*(((Model_Data!A153)+(Inputs!$C$6))/(0.5*(Inputs!$C$49+Inputs!$C$50))+Inputs!$C$47*0.097)))+0.30*(2*((SIN(((Model_Data!A153)*12.9898+(Inputs!$C$6)*78.233+Inputs!$C$47*37.719))*43758.5453)-INT((SIN(((Model_Data!A153)*12.9898+(Inputs!$C$6)*78.233+Inputs!$C$47*37.719))*43758.5453)))-1))))-((Inputs!$C$51*(115*EXP(-(((0)-25)^2)/(4.5^2))+70*EXP(-(((0)+38)^2)/(7^2))*(0.55+0.45*SIN(2*PI()*(Model_Data!A153)/45))+24*SIN(2*PI()*(0)/9+(Model_Data!A153)/18)*EXP(-(((0)+5)^2)/(22^2))+18*SIN(2*PI()*(Model_Data!A153)/70))+Inputs!$C$28*EXP(-(((Model_Data!A153)-Inputs!$C$29)^2)/(2*Inputs!$C$31^2))*EXP(-(((0)-Inputs!$C$30)^2)/(2*Inputs!$C$32^2))+-Inputs!$C$33*EXP(-(((((Model_Data!A153)-Inputs!$C$34)^2)+(((0)-Inputs!$C$35)^2))/(2*Inputs!$C$36^2)))+Inputs!$C$37*(0.55*SIN(2*PI()*(Model_Data!A153)/Inputs!$C$39)+0.35*COS(2*PI()*(0)/Inputs!$C$40)+0.2*SIN(2*PI()*((Model_Data!A153)+(0))/(0.5*(Inputs!$C$39+Inputs!$C$40))))+Inputs!$C$38*SIN(2*PI()*(Model_Data!A153)/Inputs!$C$39)*SIN(2*PI()*(0)/Inputs!$C$40)+-Inputs!$C$41*EXP(-(((0)-Inputs!$C$43)^2)/(2*Inputs!$C$44^2))*EXP(-(((Model_Data!A153)-Inputs!$C$42)^2)/(2*Inputs!$C$45^2))+Inputs!$C$48*(0.70*(0.45*SIN(2*PI()*(((Model_Data!A153)/Inputs!$C$49)+Inputs!$C$47*0.137))+0.35*COS(2*PI()*(((0)/Inputs!$C$50)+Inputs!$C$47*0.173))+0.20*SIN(2*PI()*(((Model_Data!A153)+(0))/(0.5*(Inputs!$C$49+Inputs!$C$50))+Inputs!$C$47*0.097)))+0.30*(2*((SIN(((Model_Data!A153)*12.9898+(0)*78.233+Inputs!$C$47*37.719))*43758.5453)-INT((SIN(((Model_Data!A153)*12.9898+(0)*78.233+Inputs!$C$47*37.719))*43758.5453)))-1))))</x:f>
        <x:v>346.52618139554255</x:v>
      </x:c>
      <x:c r="K153" s="48" t="n">
        <x:f>-((((SQRT((Model_Data!A153)^2+Inputs!$C$6^2+((Model_Data!B153)-((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(0.45*SIN(2*PI()*(((Model_Data!A153)/Inputs!$C$49)+Inputs!$C$47*0.137))+0.35*COS(2*PI()*(((Inputs!$C$6)/Inputs!$C$50)+Inputs!$C$47*0.173))+0.20*SIN(2*PI()*(((Model_Data!A153)+(Inputs!$C$6))/(0.5*(Inputs!$C$49+Inputs!$C$50))+Inputs!$C$47*0.097)))+0.30*(2*((SIN(((Model_Data!A153)*12.9898+(Inputs!$C$6)*78.233+Inputs!$C$47*37.719))*43758.5453)-INT((SIN(((Model_Data!A153)*12.9898+(Inputs!$C$6)*78.233+Inputs!$C$47*37.719))*43758.5453)))-1))))/1000)^2))-(((Model_Data!B153)-((Inputs!$C$51*(115*EXP(-(((0)-25)^2)/(4.5^2))+70*EXP(-(((0)+38)^2)/(7^2))*(0.55+0.45*SIN(2*PI()*(Model_Data!A153)/45))+24*SIN(2*PI()*(0)/9+(Model_Data!A153)/18)*EXP(-(((0)+5)^2)/(22^2))+18*SIN(2*PI()*(Model_Data!A153)/70))+Inputs!$C$28*EXP(-(((Model_Data!A153)-Inputs!$C$29)^2)/(2*Inputs!$C$31^2))*EXP(-(((0)-Inputs!$C$30)^2)/(2*Inputs!$C$32^2))+-Inputs!$C$33*EXP(-(((((Model_Data!A153)-Inputs!$C$34)^2)+(((0)-Inputs!$C$35)^2))/(2*Inputs!$C$36^2)))+Inputs!$C$37*(0.55*SIN(2*PI()*(Model_Data!A153)/Inputs!$C$39)+0.35*COS(2*PI()*(0)/Inputs!$C$40)+0.2*SIN(2*PI()*((Model_Data!A153)+(0))/(0.5*(Inputs!$C$39+Inputs!$C$40))))+Inputs!$C$38*SIN(2*PI()*(Model_Data!A153)/Inputs!$C$39)*SIN(2*PI()*(0)/Inputs!$C$40)+-Inputs!$C$41*EXP(-(((0)-Inputs!$C$43)^2)/(2*Inputs!$C$44^2))*EXP(-(((Model_Data!A153)-Inputs!$C$42)^2)/(2*Inputs!$C$45^2))+Inputs!$C$48*(0.70*(0.45*SIN(2*PI()*(((Model_Data!A153)/Inputs!$C$49)+Inputs!$C$47*0.137))+0.35*COS(2*PI()*(((0)/Inputs!$C$50)+Inputs!$C$47*0.173))+0.20*SIN(2*PI()*(((Model_Data!A153)+(0))/(0.5*(Inputs!$C$49+Inputs!$C$50))+Inputs!$C$47*0.097)))+0.30*(2*((SIN(((Model_Data!A153)*12.9898+(0)*78.233+Inputs!$C$47*37.719))*43758.5453)-INT((SIN(((Model_Data!A153)*12.9898+(0)*78.233+Inputs!$C$47*37.719))*43758.5453)))-1))))/1000)))*1000/Inputs!$C$12)-Model_Data!F153)</x:f>
        <x:v>194.07930192288364</x:v>
      </x:c>
      <x:c r="L153" s="49"/>
      <x:c r="M153" s="48" t="n">
        <x:f>Model_Data!A153</x:f>
        <x:v>15.5</x:v>
      </x:c>
      <x:c r="N153" s="48" t="n">
        <x:f>Model_Data!P153</x:f>
        <x:v>-116.754913440409</x:v>
      </x:c>
      <x:c r="O153" s="48" t="n">
        <x:f>AC153</x:f>
        <x:v>-115.27931445725699</x:v>
      </x:c>
      <x:c r="P153" s="48" t="n">
        <x:f>Model_Data!Q153</x:f>
        <x:v>-17.530767783845196</x:v>
      </x:c>
      <x:c r="Q153" s="48" t="n">
        <x:f>AD153</x:f>
        <x:v>-17.309206374963512</x:v>
      </x:c>
      <x:c r="R153" s="49"/>
      <x:c r="S153" s="48" t="n">
        <x:f>Model_Data!A153</x:f>
        <x:v>15.5</x:v>
      </x:c>
      <x:c r="T153" s="48" t="n">
        <x:f>Model_Data!B153-Inputs!$C$5</x:f>
        <x:v>0.266944444444448</x:v>
      </x:c>
      <x:c r="U153" s="49"/>
      <x:c r="V153" s="48" t="n">
        <x:f>Model_Data!A153</x:f>
        <x:v>15.5</x:v>
      </x:c>
      <x:c r="W153" s="48" t="n">
        <x:f>(-((((SQRT((Model_Data!A153)^2+Inputs!$C$6^2+((Model_Data!B153)-((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(0.45*SIN(2*PI()*(((Model_Data!A153)/Inputs!$C$49)+Inputs!$C$47*0.137))+0.35*COS(2*PI()*(((Inputs!$C$6)/Inputs!$C$50)+Inputs!$C$47*0.173))+0.20*SIN(2*PI()*(((Model_Data!A153)+(Inputs!$C$6))/(0.5*(Inputs!$C$49+Inputs!$C$50))+Inputs!$C$47*0.097)))+0.30*(2*((SIN(((Model_Data!A153)*12.9898+(Inputs!$C$6)*78.233+Inputs!$C$47*37.719))*43758.5453)-INT((SIN(((Model_Data!A153)*12.9898+(Inputs!$C$6)*78.233+Inputs!$C$47*37.719))*43758.5453)))-1))))/1000)^2))-(((Model_Data!B153)-((Inputs!$C$51*(115*EXP(-(((0)-25)^2)/(4.5^2))+70*EXP(-(((0)+38)^2)/(7^2))*(0.55+0.45*SIN(2*PI()*(Model_Data!A153)/45))+24*SIN(2*PI()*(0)/9+(Model_Data!A153)/18)*EXP(-(((0)+5)^2)/(22^2))+18*SIN(2*PI()*(Model_Data!A153)/70))+Inputs!$C$28*EXP(-(((Model_Data!A153)-Inputs!$C$29)^2)/(2*Inputs!$C$31^2))*EXP(-(((0)-Inputs!$C$30)^2)/(2*Inputs!$C$32^2))+-Inputs!$C$33*EXP(-(((((Model_Data!A153)-Inputs!$C$34)^2)+(((0)-Inputs!$C$35)^2))/(2*Inputs!$C$36^2)))+Inputs!$C$37*(0.55*SIN(2*PI()*(Model_Data!A153)/Inputs!$C$39)+0.35*COS(2*PI()*(0)/Inputs!$C$40)+0.2*SIN(2*PI()*((Model_Data!A153)+(0))/(0.5*(Inputs!$C$39+Inputs!$C$40))))+Inputs!$C$38*SIN(2*PI()*(Model_Data!A153)/Inputs!$C$39)*SIN(2*PI()*(0)/Inputs!$C$40)+-Inputs!$C$41*EXP(-(((0)-Inputs!$C$43)^2)/(2*Inputs!$C$44^2))*EXP(-(((Model_Data!A153)-Inputs!$C$42)^2)/(2*Inputs!$C$45^2))+Inputs!$C$48*(0.70*(0.45*SIN(2*PI()*(((Model_Data!A153)/Inputs!$C$49)+Inputs!$C$47*0.137))+0.35*COS(2*PI()*(((0)/Inputs!$C$50)+Inputs!$C$47*0.173))+0.20*SIN(2*PI()*(((Model_Data!A153)+(0))/(0.5*(Inputs!$C$49+Inputs!$C$50))+Inputs!$C$47*0.097)))+0.30*(2*((SIN(((Model_Data!A153)*12.9898+(0)*78.233+Inputs!$C$47*37.719))*43758.5453)-INT((SIN(((Model_Data!A153)*12.9898+(0)*78.233+Inputs!$C$47*37.719))*43758.5453)))-1))))/1000)))*1000/Inputs!$C$12)-Model_Data!F153))-(-(((SQRT((Model_Data!A153)^2+Inputs!$C$6^2+(Inputs!$C$5-((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(0.45*SIN(2*PI()*(((Model_Data!A153)/Inputs!$C$49)+Inputs!$C$47*0.137))+0.35*COS(2*PI()*(((Inputs!$C$6)/Inputs!$C$50)+Inputs!$C$47*0.173))+0.20*SIN(2*PI()*(((Model_Data!A153)+(Inputs!$C$6))/(0.5*(Inputs!$C$49+Inputs!$C$50))+Inputs!$C$47*0.097)))+0.30*(2*((SIN(((Model_Data!A153)*12.9898+(Inputs!$C$6)*78.233+Inputs!$C$47*37.719))*43758.5453)-INT((SIN(((Model_Data!A153)*12.9898+(Inputs!$C$6)*78.233+Inputs!$C$47*37.719))*43758.5453)))-1))))/1000)^2)-(Inputs!$C$5-((Inputs!$C$51*(115*EXP(-(((0)-25)^2)/(4.5^2))+70*EXP(-(((0)+38)^2)/(7^2))*(0.55+0.45*SIN(2*PI()*(Model_Data!A153)/45))+24*SIN(2*PI()*(0)/9+(Model_Data!A153)/18)*EXP(-(((0)+5)^2)/(22^2))+18*SIN(2*PI()*(Model_Data!A153)/70))+Inputs!$C$28*EXP(-(((Model_Data!A153)-Inputs!$C$29)^2)/(2*Inputs!$C$31^2))*EXP(-(((0)-Inputs!$C$30)^2)/(2*Inputs!$C$32^2))+-Inputs!$C$33*EXP(-(((((Model_Data!A153)-Inputs!$C$34)^2)+(((0)-Inputs!$C$35)^2))/(2*Inputs!$C$36^2)))+Inputs!$C$37*(0.55*SIN(2*PI()*(Model_Data!A153)/Inputs!$C$39)+0.35*COS(2*PI()*(0)/Inputs!$C$40)+0.2*SIN(2*PI()*((Model_Data!A153)+(0))/(0.5*(Inputs!$C$39+Inputs!$C$40))))+Inputs!$C$38*SIN(2*PI()*(Model_Data!A153)/Inputs!$C$39)*SIN(2*PI()*(0)/Inputs!$C$40)+-Inputs!$C$41*EXP(-(((0)-Inputs!$C$43)^2)/(2*Inputs!$C$44^2))*EXP(-(((Model_Data!A153)-Inputs!$C$42)^2)/(2*Inputs!$C$45^2))+Inputs!$C$48*(0.70*(0.45*SIN(2*PI()*(((Model_Data!A153)/Inputs!$C$49)+Inputs!$C$47*0.137))+0.35*COS(2*PI()*(((0)/Inputs!$C$50)+Inputs!$C$47*0.173))+0.20*SIN(2*PI()*(((Model_Data!A153)+(0))/(0.5*(Inputs!$C$49+Inputs!$C$50))+Inputs!$C$47*0.097)))+0.30*(2*((SIN(((Model_Data!A153)*12.9898+(0)*78.233+Inputs!$C$47*37.719))*43758.5453)-INT((SIN(((Model_Data!A153)*12.9898+(0)*78.233+Inputs!$C$47*37.719))*43758.5453)))-1))))/1000))*1000/Inputs!$C$12)-((SQRT((Model_Data!A153)^2+Inputs!$C$6^2+Inputs!$C$5^2)-Inputs!$C$5)*1000/Inputs!$C$12)))</x:f>
        <x:v>0.0007960349503832731</x:v>
      </x:c>
      <x:c r="X153" s="48" t="n">
        <x:f>0</x:f>
        <x:v>0</x:v>
      </x:c>
      <x:c r="Y153" s="49"/>
      <x:c r="Z153" s="48" t="n">
        <x:f>Model_Data!A153</x:f>
        <x:v>15.5</x:v>
      </x:c>
      <x:c r="AA153" s="48" t="n">
        <x:f>SQRT((Model_Data!A153)^2+Inputs!$C$6^2+((Model_Data!B153)-((Inputs!$C$51*(115*EXP(-(((Inputs!$C$6)-25)^2)/(4.5^2))+70*EXP(-(((Inputs!$C$6)+38)^2)/(7^2))*(0.55+0.45*SIN(2*PI()*(Model_Data!A153)/45))+24*SIN(2*PI()*(Inputs!$C$6)/9+(Model_Data!A153)/18)*EXP(-(((Inputs!$C$6)+5)^2)/(22^2))+18*SIN(2*PI()*(Model_Data!A153)/70))+Inputs!$C$28*EXP(-(((Model_Data!A153)-Inputs!$C$29)^2)/(2*Inputs!$C$31^2))*EXP(-(((Inputs!$C$6)-Inputs!$C$30)^2)/(2*Inputs!$C$32^2))+-Inputs!$C$33*EXP(-(((((Model_Data!A153)-Inputs!$C$34)^2)+(((Inputs!$C$6)-Inputs!$C$35)^2))/(2*Inputs!$C$36^2)))+Inputs!$C$37*(0.55*SIN(2*PI()*(Model_Data!A153)/Inputs!$C$39)+0.35*COS(2*PI()*(Inputs!$C$6)/Inputs!$C$40)+0.2*SIN(2*PI()*((Model_Data!A153)+(Inputs!$C$6))/(0.5*(Inputs!$C$39+Inputs!$C$40))))+Inputs!$C$38*SIN(2*PI()*(Model_Data!A153)/Inputs!$C$39)*SIN(2*PI()*(Inputs!$C$6)/Inputs!$C$40)+-Inputs!$C$41*EXP(-(((Inputs!$C$6)-Inputs!$C$43)^2)/(2*Inputs!$C$44^2))*EXP(-(((Model_Data!A153)-Inputs!$C$42)^2)/(2*Inputs!$C$45^2))+Inputs!$C$48*(0.70*(0.45*SIN(2*PI()*(((Model_Data!A153)/Inputs!$C$49)+Inputs!$C$47*0.137))+0.35*COS(2*PI()*(((Inputs!$C$6)/Inputs!$C$50)+Inputs!$C$47*0.173))+0.20*SIN(2*PI()*(((Model_Data!A153)+(Inputs!$C$6))/(0.5*(Inputs!$C$49+Inputs!$C$50))+Inputs!$C$47*0.097)))+0.30*(2*((SIN(((Model_Data!A153)*12.9898+(Inputs!$C$6)*78.233+Inputs!$C$47*37.719))*43758.5453)-INT((SIN(((Model_Data!A153)*12.9898+(Inputs!$C$6)*78.233+Inputs!$C$47*37.719))*43758.5453)))-1))))/1000)^2)</x:f>
        <x:v>400.95177892508184</x:v>
      </x:c>
      <x:c r="AB153" s="48" t="n">
        <x:f>1000*(AA154-AA152)/(Z154-Z152)*Inputs!$C$11</x:f>
        <x:v>288.19828614314247</x:v>
      </x:c>
      <x:c r="AC153" s="48" t="n">
        <x:f>-2*AB153/Inputs!$C$13</x:f>
        <x:v>-115.27931445725699</x:v>
      </x:c>
      <x:c r="AD153" s="48" t="n">
        <x:f>-2*AB153/Inputs!$C$14</x:f>
        <x:v>-17.309206374963512</x:v>
      </x:c>
    </x:row>
    <x:row r="154">
      <x:c r="A154" s="48" t="n">
        <x:f>Model_Data!A154</x:f>
        <x:v>16</x:v>
      </x:c>
      <x:c r="B154" s="48" t="n">
        <x:f>Model_Data!F154</x:f>
        <x:v>617.3926291322086</x:v>
      </x:c>
      <x:c r="C154" s="48" t="n">
        <x:f>(((SQRT((Model_Data!A154)^2+Inputs!$C$6^2+((Model_Data!B154)-((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(0.45*SIN(2*PI()*(((Model_Data!A154)/Inputs!$C$49)+Inputs!$C$47*0.137))+0.35*COS(2*PI()*(((Inputs!$C$6)/Inputs!$C$50)+Inputs!$C$47*0.173))+0.20*SIN(2*PI()*(((Model_Data!A154)+(Inputs!$C$6))/(0.5*(Inputs!$C$49+Inputs!$C$50))+Inputs!$C$47*0.097)))+0.30*(2*((SIN(((Model_Data!A154)*12.9898+(Inputs!$C$6)*78.233+Inputs!$C$47*37.719))*43758.5453)-INT((SIN(((Model_Data!A154)*12.9898+(Inputs!$C$6)*78.233+Inputs!$C$47*37.719))*43758.5453)))-1))))/1000)^2))-(((Model_Data!B154)-((Inputs!$C$51*(115*EXP(-(((0)-25)^2)/(4.5^2))+70*EXP(-(((0)+38)^2)/(7^2))*(0.55+0.45*SIN(2*PI()*(Model_Data!A154)/45))+24*SIN(2*PI()*(0)/9+(Model_Data!A154)/18)*EXP(-(((0)+5)^2)/(22^2))+18*SIN(2*PI()*(Model_Data!A154)/70))+Inputs!$C$28*EXP(-(((Model_Data!A154)-Inputs!$C$29)^2)/(2*Inputs!$C$31^2))*EXP(-(((0)-Inputs!$C$30)^2)/(2*Inputs!$C$32^2))+-Inputs!$C$33*EXP(-(((((Model_Data!A154)-Inputs!$C$34)^2)+(((0)-Inputs!$C$35)^2))/(2*Inputs!$C$36^2)))+Inputs!$C$37*(0.55*SIN(2*PI()*(Model_Data!A154)/Inputs!$C$39)+0.35*COS(2*PI()*(0)/Inputs!$C$40)+0.2*SIN(2*PI()*((Model_Data!A154)+(0))/(0.5*(Inputs!$C$39+Inputs!$C$40))))+Inputs!$C$38*SIN(2*PI()*(Model_Data!A154)/Inputs!$C$39)*SIN(2*PI()*(0)/Inputs!$C$40)+-Inputs!$C$41*EXP(-(((0)-Inputs!$C$43)^2)/(2*Inputs!$C$44^2))*EXP(-(((Model_Data!A154)-Inputs!$C$42)^2)/(2*Inputs!$C$45^2))+Inputs!$C$48*(0.70*(0.45*SIN(2*PI()*(((Model_Data!A154)/Inputs!$C$49)+Inputs!$C$47*0.137))+0.35*COS(2*PI()*(((0)/Inputs!$C$50)+Inputs!$C$47*0.173))+0.20*SIN(2*PI()*(((Model_Data!A154)+(0))/(0.5*(Inputs!$C$49+Inputs!$C$50))+Inputs!$C$47*0.097)))+0.30*(2*((SIN(((Model_Data!A154)*12.9898+(0)*78.233+Inputs!$C$47*37.719))*43758.5453)-INT((SIN(((Model_Data!A154)*12.9898+(0)*78.233+Inputs!$C$47*37.719))*43758.5453)))-1))))/1000)))*1000/Inputs!$C$12)</x:f>
        <x:v>432.28497754504656</x:v>
      </x:c>
      <x:c r="D154" s="49"/>
      <x:c r="E154" s="48" t="n">
        <x:f>Model_Data!A154</x:f>
        <x:v>16</x:v>
      </x:c>
      <x:c r="F154" s="48" t="n">
        <x:f>(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(0.45*SIN(2*PI()*(((Model_Data!A154)/Inputs!$C$49)+Inputs!$C$47*0.137))+0.35*COS(2*PI()*(((Inputs!$C$6)/Inputs!$C$50)+Inputs!$C$47*0.173))+0.20*SIN(2*PI()*(((Model_Data!A154)+(Inputs!$C$6))/(0.5*(Inputs!$C$49+Inputs!$C$50))+Inputs!$C$47*0.097)))+0.30*(2*((SIN(((Model_Data!A154)*12.9898+(Inputs!$C$6)*78.233+Inputs!$C$47*37.719))*43758.5453)-INT((SIN(((Model_Data!A154)*12.9898+(Inputs!$C$6)*78.233+Inputs!$C$47*37.719))*43758.5453)))-1)))</x:f>
        <x:v>400.30891755789503</x:v>
      </x:c>
      <x:c r="G154" s="48" t="n">
        <x:f>(Inputs!$C$51*(115*EXP(-(((0)-25)^2)/(4.5^2))+70*EXP(-(((0)+38)^2)/(7^2))*(0.55+0.45*SIN(2*PI()*(Model_Data!A154)/45))+24*SIN(2*PI()*(0)/9+(Model_Data!A154)/18)*EXP(-(((0)+5)^2)/(22^2))+18*SIN(2*PI()*(Model_Data!A154)/70))+Inputs!$C$28*EXP(-(((Model_Data!A154)-Inputs!$C$29)^2)/(2*Inputs!$C$31^2))*EXP(-(((0)-Inputs!$C$30)^2)/(2*Inputs!$C$32^2))+-Inputs!$C$33*EXP(-(((((Model_Data!A154)-Inputs!$C$34)^2)+(((0)-Inputs!$C$35)^2))/(2*Inputs!$C$36^2)))+Inputs!$C$37*(0.55*SIN(2*PI()*(Model_Data!A154)/Inputs!$C$39)+0.35*COS(2*PI()*(0)/Inputs!$C$40)+0.2*SIN(2*PI()*((Model_Data!A154)+(0))/(0.5*(Inputs!$C$39+Inputs!$C$40))))+Inputs!$C$38*SIN(2*PI()*(Model_Data!A154)/Inputs!$C$39)*SIN(2*PI()*(0)/Inputs!$C$40)+-Inputs!$C$41*EXP(-(((0)-Inputs!$C$43)^2)/(2*Inputs!$C$44^2))*EXP(-(((Model_Data!A154)-Inputs!$C$42)^2)/(2*Inputs!$C$45^2))+Inputs!$C$48*(0.70*(0.45*SIN(2*PI()*(((Model_Data!A154)/Inputs!$C$49)+Inputs!$C$47*0.137))+0.35*COS(2*PI()*(((0)/Inputs!$C$50)+Inputs!$C$47*0.173))+0.20*SIN(2*PI()*(((Model_Data!A154)+(0))/(0.5*(Inputs!$C$49+Inputs!$C$50))+Inputs!$C$47*0.097)))+0.30*(2*((SIN(((Model_Data!A154)*12.9898+(0)*78.233+Inputs!$C$47*37.719))*43758.5453)-INT((SIN(((Model_Data!A154)*12.9898+(0)*78.233+Inputs!$C$47*37.719))*43758.5453)))-1)))</x:f>
        <x:v>69.7201880441823</x:v>
      </x:c>
      <x:c r="H154" s="49"/>
      <x:c r="I154" s="48" t="n">
        <x:f>Model_Data!A154</x:f>
        <x:v>16</x:v>
      </x:c>
      <x:c r="J154" s="48" t="n">
        <x:f>((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(0.45*SIN(2*PI()*(((Model_Data!A154)/Inputs!$C$49)+Inputs!$C$47*0.137))+0.35*COS(2*PI()*(((Inputs!$C$6)/Inputs!$C$50)+Inputs!$C$47*0.173))+0.20*SIN(2*PI()*(((Model_Data!A154)+(Inputs!$C$6))/(0.5*(Inputs!$C$49+Inputs!$C$50))+Inputs!$C$47*0.097)))+0.30*(2*((SIN(((Model_Data!A154)*12.9898+(Inputs!$C$6)*78.233+Inputs!$C$47*37.719))*43758.5453)-INT((SIN(((Model_Data!A154)*12.9898+(Inputs!$C$6)*78.233+Inputs!$C$47*37.719))*43758.5453)))-1))))-((Inputs!$C$51*(115*EXP(-(((0)-25)^2)/(4.5^2))+70*EXP(-(((0)+38)^2)/(7^2))*(0.55+0.45*SIN(2*PI()*(Model_Data!A154)/45))+24*SIN(2*PI()*(0)/9+(Model_Data!A154)/18)*EXP(-(((0)+5)^2)/(22^2))+18*SIN(2*PI()*(Model_Data!A154)/70))+Inputs!$C$28*EXP(-(((Model_Data!A154)-Inputs!$C$29)^2)/(2*Inputs!$C$31^2))*EXP(-(((0)-Inputs!$C$30)^2)/(2*Inputs!$C$32^2))+-Inputs!$C$33*EXP(-(((((Model_Data!A154)-Inputs!$C$34)^2)+(((0)-Inputs!$C$35)^2))/(2*Inputs!$C$36^2)))+Inputs!$C$37*(0.55*SIN(2*PI()*(Model_Data!A154)/Inputs!$C$39)+0.35*COS(2*PI()*(0)/Inputs!$C$40)+0.2*SIN(2*PI()*((Model_Data!A154)+(0))/(0.5*(Inputs!$C$39+Inputs!$C$40))))+Inputs!$C$38*SIN(2*PI()*(Model_Data!A154)/Inputs!$C$39)*SIN(2*PI()*(0)/Inputs!$C$40)+-Inputs!$C$41*EXP(-(((0)-Inputs!$C$43)^2)/(2*Inputs!$C$44^2))*EXP(-(((Model_Data!A154)-Inputs!$C$42)^2)/(2*Inputs!$C$45^2))+Inputs!$C$48*(0.70*(0.45*SIN(2*PI()*(((Model_Data!A154)/Inputs!$C$49)+Inputs!$C$47*0.137))+0.35*COS(2*PI()*(((0)/Inputs!$C$50)+Inputs!$C$47*0.173))+0.20*SIN(2*PI()*(((Model_Data!A154)+(0))/(0.5*(Inputs!$C$49+Inputs!$C$50))+Inputs!$C$47*0.097)))+0.30*(2*((SIN(((Model_Data!A154)*12.9898+(0)*78.233+Inputs!$C$47*37.719))*43758.5453)-INT((SIN(((Model_Data!A154)*12.9898+(0)*78.233+Inputs!$C$47*37.719))*43758.5453)))-1))))</x:f>
        <x:v>330.58872951371274</x:v>
      </x:c>
      <x:c r="K154" s="48" t="n">
        <x:f>-((((SQRT((Model_Data!A154)^2+Inputs!$C$6^2+((Model_Data!B154)-((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(0.45*SIN(2*PI()*(((Model_Data!A154)/Inputs!$C$49)+Inputs!$C$47*0.137))+0.35*COS(2*PI()*(((Inputs!$C$6)/Inputs!$C$50)+Inputs!$C$47*0.173))+0.20*SIN(2*PI()*(((Model_Data!A154)+(Inputs!$C$6))/(0.5*(Inputs!$C$49+Inputs!$C$50))+Inputs!$C$47*0.097)))+0.30*(2*((SIN(((Model_Data!A154)*12.9898+(Inputs!$C$6)*78.233+Inputs!$C$47*37.719))*43758.5453)-INT((SIN(((Model_Data!A154)*12.9898+(Inputs!$C$6)*78.233+Inputs!$C$47*37.719))*43758.5453)))-1))))/1000)^2))-(((Model_Data!B154)-((Inputs!$C$51*(115*EXP(-(((0)-25)^2)/(4.5^2))+70*EXP(-(((0)+38)^2)/(7^2))*(0.55+0.45*SIN(2*PI()*(Model_Data!A154)/45))+24*SIN(2*PI()*(0)/9+(Model_Data!A154)/18)*EXP(-(((0)+5)^2)/(22^2))+18*SIN(2*PI()*(Model_Data!A154)/70))+Inputs!$C$28*EXP(-(((Model_Data!A154)-Inputs!$C$29)^2)/(2*Inputs!$C$31^2))*EXP(-(((0)-Inputs!$C$30)^2)/(2*Inputs!$C$32^2))+-Inputs!$C$33*EXP(-(((((Model_Data!A154)-Inputs!$C$34)^2)+(((0)-Inputs!$C$35)^2))/(2*Inputs!$C$36^2)))+Inputs!$C$37*(0.55*SIN(2*PI()*(Model_Data!A154)/Inputs!$C$39)+0.35*COS(2*PI()*(0)/Inputs!$C$40)+0.2*SIN(2*PI()*((Model_Data!A154)+(0))/(0.5*(Inputs!$C$39+Inputs!$C$40))))+Inputs!$C$38*SIN(2*PI()*(Model_Data!A154)/Inputs!$C$39)*SIN(2*PI()*(0)/Inputs!$C$40)+-Inputs!$C$41*EXP(-(((0)-Inputs!$C$43)^2)/(2*Inputs!$C$44^2))*EXP(-(((Model_Data!A154)-Inputs!$C$42)^2)/(2*Inputs!$C$45^2))+Inputs!$C$48*(0.70*(0.45*SIN(2*PI()*(((Model_Data!A154)/Inputs!$C$49)+Inputs!$C$47*0.137))+0.35*COS(2*PI()*(((0)/Inputs!$C$50)+Inputs!$C$47*0.173))+0.20*SIN(2*PI()*(((Model_Data!A154)+(0))/(0.5*(Inputs!$C$49+Inputs!$C$50))+Inputs!$C$47*0.097)))+0.30*(2*((SIN(((Model_Data!A154)*12.9898+(0)*78.233+Inputs!$C$47*37.719))*43758.5453)-INT((SIN(((Model_Data!A154)*12.9898+(0)*78.233+Inputs!$C$47*37.719))*43758.5453)))-1))))/1000)))*1000/Inputs!$C$12)-Model_Data!F154)</x:f>
        <x:v>185.10765158716208</x:v>
      </x:c>
      <x:c r="L154" s="49"/>
      <x:c r="M154" s="48" t="n">
        <x:f>Model_Data!A154</x:f>
        <x:v>16</x:v>
      </x:c>
      <x:c r="N154" s="48" t="n">
        <x:f>Model_Data!P154</x:f>
        <x:v>-120.5125495556886</x:v>
      </x:c>
      <x:c r="O154" s="48" t="n">
        <x:f>AC154</x:f>
        <x:v>-103.68549505756164</x:v>
      </x:c>
      <x:c r="P154" s="48" t="n">
        <x:f>Model_Data!Q154</x:f>
        <x:v>-18.094977410764052</x:v>
      </x:c>
      <x:c r="Q154" s="48" t="n">
        <x:f>AD154</x:f>
        <x:v>-15.568392651285533</x:v>
      </x:c>
      <x:c r="R154" s="49"/>
      <x:c r="S154" s="48" t="n">
        <x:f>Model_Data!A154</x:f>
        <x:v>16</x:v>
      </x:c>
      <x:c r="T154" s="48" t="n">
        <x:f>Model_Data!B154-Inputs!$C$5</x:f>
        <x:v>0.28444444444443207</x:v>
      </x:c>
      <x:c r="U154" s="49"/>
      <x:c r="V154" s="48" t="n">
        <x:f>Model_Data!A154</x:f>
        <x:v>16</x:v>
      </x:c>
      <x:c r="W154" s="48" t="n">
        <x:f>(-((((SQRT((Model_Data!A154)^2+Inputs!$C$6^2+((Model_Data!B154)-((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(0.45*SIN(2*PI()*(((Model_Data!A154)/Inputs!$C$49)+Inputs!$C$47*0.137))+0.35*COS(2*PI()*(((Inputs!$C$6)/Inputs!$C$50)+Inputs!$C$47*0.173))+0.20*SIN(2*PI()*(((Model_Data!A154)+(Inputs!$C$6))/(0.5*(Inputs!$C$49+Inputs!$C$50))+Inputs!$C$47*0.097)))+0.30*(2*((SIN(((Model_Data!A154)*12.9898+(Inputs!$C$6)*78.233+Inputs!$C$47*37.719))*43758.5453)-INT((SIN(((Model_Data!A154)*12.9898+(Inputs!$C$6)*78.233+Inputs!$C$47*37.719))*43758.5453)))-1))))/1000)^2))-(((Model_Data!B154)-((Inputs!$C$51*(115*EXP(-(((0)-25)^2)/(4.5^2))+70*EXP(-(((0)+38)^2)/(7^2))*(0.55+0.45*SIN(2*PI()*(Model_Data!A154)/45))+24*SIN(2*PI()*(0)/9+(Model_Data!A154)/18)*EXP(-(((0)+5)^2)/(22^2))+18*SIN(2*PI()*(Model_Data!A154)/70))+Inputs!$C$28*EXP(-(((Model_Data!A154)-Inputs!$C$29)^2)/(2*Inputs!$C$31^2))*EXP(-(((0)-Inputs!$C$30)^2)/(2*Inputs!$C$32^2))+-Inputs!$C$33*EXP(-(((((Model_Data!A154)-Inputs!$C$34)^2)+(((0)-Inputs!$C$35)^2))/(2*Inputs!$C$36^2)))+Inputs!$C$37*(0.55*SIN(2*PI()*(Model_Data!A154)/Inputs!$C$39)+0.35*COS(2*PI()*(0)/Inputs!$C$40)+0.2*SIN(2*PI()*((Model_Data!A154)+(0))/(0.5*(Inputs!$C$39+Inputs!$C$40))))+Inputs!$C$38*SIN(2*PI()*(Model_Data!A154)/Inputs!$C$39)*SIN(2*PI()*(0)/Inputs!$C$40)+-Inputs!$C$41*EXP(-(((0)-Inputs!$C$43)^2)/(2*Inputs!$C$44^2))*EXP(-(((Model_Data!A154)-Inputs!$C$42)^2)/(2*Inputs!$C$45^2))+Inputs!$C$48*(0.70*(0.45*SIN(2*PI()*(((Model_Data!A154)/Inputs!$C$49)+Inputs!$C$47*0.137))+0.35*COS(2*PI()*(((0)/Inputs!$C$50)+Inputs!$C$47*0.173))+0.20*SIN(2*PI()*(((Model_Data!A154)+(0))/(0.5*(Inputs!$C$49+Inputs!$C$50))+Inputs!$C$47*0.097)))+0.30*(2*((SIN(((Model_Data!A154)*12.9898+(0)*78.233+Inputs!$C$47*37.719))*43758.5453)-INT((SIN(((Model_Data!A154)*12.9898+(0)*78.233+Inputs!$C$47*37.719))*43758.5453)))-1))))/1000)))*1000/Inputs!$C$12)-Model_Data!F154))-(-(((SQRT((Model_Data!A154)^2+Inputs!$C$6^2+(Inputs!$C$5-((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(0.45*SIN(2*PI()*(((Model_Data!A154)/Inputs!$C$49)+Inputs!$C$47*0.137))+0.35*COS(2*PI()*(((Inputs!$C$6)/Inputs!$C$50)+Inputs!$C$47*0.173))+0.20*SIN(2*PI()*(((Model_Data!A154)+(Inputs!$C$6))/(0.5*(Inputs!$C$49+Inputs!$C$50))+Inputs!$C$47*0.097)))+0.30*(2*((SIN(((Model_Data!A154)*12.9898+(Inputs!$C$6)*78.233+Inputs!$C$47*37.719))*43758.5453)-INT((SIN(((Model_Data!A154)*12.9898+(Inputs!$C$6)*78.233+Inputs!$C$47*37.719))*43758.5453)))-1))))/1000)^2)-(Inputs!$C$5-((Inputs!$C$51*(115*EXP(-(((0)-25)^2)/(4.5^2))+70*EXP(-(((0)+38)^2)/(7^2))*(0.55+0.45*SIN(2*PI()*(Model_Data!A154)/45))+24*SIN(2*PI()*(0)/9+(Model_Data!A154)/18)*EXP(-(((0)+5)^2)/(22^2))+18*SIN(2*PI()*(Model_Data!A154)/70))+Inputs!$C$28*EXP(-(((Model_Data!A154)-Inputs!$C$29)^2)/(2*Inputs!$C$31^2))*EXP(-(((0)-Inputs!$C$30)^2)/(2*Inputs!$C$32^2))+-Inputs!$C$33*EXP(-(((((Model_Data!A154)-Inputs!$C$34)^2)+(((0)-Inputs!$C$35)^2))/(2*Inputs!$C$36^2)))+Inputs!$C$37*(0.55*SIN(2*PI()*(Model_Data!A154)/Inputs!$C$39)+0.35*COS(2*PI()*(0)/Inputs!$C$40)+0.2*SIN(2*PI()*((Model_Data!A154)+(0))/(0.5*(Inputs!$C$39+Inputs!$C$40))))+Inputs!$C$38*SIN(2*PI()*(Model_Data!A154)/Inputs!$C$39)*SIN(2*PI()*(0)/Inputs!$C$40)+-Inputs!$C$41*EXP(-(((0)-Inputs!$C$43)^2)/(2*Inputs!$C$44^2))*EXP(-(((Model_Data!A154)-Inputs!$C$42)^2)/(2*Inputs!$C$45^2))+Inputs!$C$48*(0.70*(0.45*SIN(2*PI()*(((Model_Data!A154)/Inputs!$C$49)+Inputs!$C$47*0.137))+0.35*COS(2*PI()*(((0)/Inputs!$C$50)+Inputs!$C$47*0.173))+0.20*SIN(2*PI()*(((Model_Data!A154)+(0))/(0.5*(Inputs!$C$49+Inputs!$C$50))+Inputs!$C$47*0.097)))+0.30*(2*((SIN(((Model_Data!A154)*12.9898+(0)*78.233+Inputs!$C$47*37.719))*43758.5453)-INT((SIN(((Model_Data!A154)*12.9898+(0)*78.233+Inputs!$C$47*37.719))*43758.5453)))-1))))/1000))*1000/Inputs!$C$12)-((SQRT((Model_Data!A154)^2+Inputs!$C$6^2+Inputs!$C$5^2)-Inputs!$C$5)*1000/Inputs!$C$12)))</x:f>
        <x:v>0.0008737345069107505</x:v>
      </x:c>
      <x:c r="X154" s="48" t="n">
        <x:f>0</x:f>
        <x:v>0</x:v>
      </x:c>
      <x:c r="Y154" s="49"/>
      <x:c r="Z154" s="48" t="n">
        <x:f>Model_Data!A154</x:f>
        <x:v>16</x:v>
      </x:c>
      <x:c r="AA154" s="48" t="n">
        <x:f>SQRT((Model_Data!A154)^2+Inputs!$C$6^2+((Model_Data!B154)-((Inputs!$C$51*(115*EXP(-(((Inputs!$C$6)-25)^2)/(4.5^2))+70*EXP(-(((Inputs!$C$6)+38)^2)/(7^2))*(0.55+0.45*SIN(2*PI()*(Model_Data!A154)/45))+24*SIN(2*PI()*(Inputs!$C$6)/9+(Model_Data!A154)/18)*EXP(-(((Inputs!$C$6)+5)^2)/(22^2))+18*SIN(2*PI()*(Model_Data!A154)/70))+Inputs!$C$28*EXP(-(((Model_Data!A154)-Inputs!$C$29)^2)/(2*Inputs!$C$31^2))*EXP(-(((Inputs!$C$6)-Inputs!$C$30)^2)/(2*Inputs!$C$32^2))+-Inputs!$C$33*EXP(-(((((Model_Data!A154)-Inputs!$C$34)^2)+(((Inputs!$C$6)-Inputs!$C$35)^2))/(2*Inputs!$C$36^2)))+Inputs!$C$37*(0.55*SIN(2*PI()*(Model_Data!A154)/Inputs!$C$39)+0.35*COS(2*PI()*(Inputs!$C$6)/Inputs!$C$40)+0.2*SIN(2*PI()*((Model_Data!A154)+(Inputs!$C$6))/(0.5*(Inputs!$C$39+Inputs!$C$40))))+Inputs!$C$38*SIN(2*PI()*(Model_Data!A154)/Inputs!$C$39)*SIN(2*PI()*(Inputs!$C$6)/Inputs!$C$40)+-Inputs!$C$41*EXP(-(((Inputs!$C$6)-Inputs!$C$43)^2)/(2*Inputs!$C$44^2))*EXP(-(((Model_Data!A154)-Inputs!$C$42)^2)/(2*Inputs!$C$45^2))+Inputs!$C$48*(0.70*(0.45*SIN(2*PI()*(((Model_Data!A154)/Inputs!$C$49)+Inputs!$C$47*0.137))+0.35*COS(2*PI()*(((Inputs!$C$6)/Inputs!$C$50)+Inputs!$C$47*0.173))+0.20*SIN(2*PI()*(((Model_Data!A154)+(Inputs!$C$6))/(0.5*(Inputs!$C$49+Inputs!$C$50))+Inputs!$C$47*0.097)))+0.30*(2*((SIN(((Model_Data!A154)*12.9898+(Inputs!$C$6)*78.233+Inputs!$C$47*37.719))*43758.5453)-INT((SIN(((Model_Data!A154)*12.9898+(Inputs!$C$6)*78.233+Inputs!$C$47*37.719))*43758.5453)))-1))))/1000)^2)</x:f>
        <x:v>400.9841915164304</x:v>
      </x:c>
      <x:c r="AB154" s="48" t="n">
        <x:f>1000*(AA155-AA153)/(Z155-Z153)*Inputs!$C$11</x:f>
        <x:v>259.2137376439041</x:v>
      </x:c>
      <x:c r="AC154" s="48" t="n">
        <x:f>-2*AB154/Inputs!$C$13</x:f>
        <x:v>-103.68549505756164</x:v>
      </x:c>
      <x:c r="AD154" s="48" t="n">
        <x:f>-2*AB154/Inputs!$C$14</x:f>
        <x:v>-15.568392651285533</x:v>
      </x:c>
    </x:row>
    <x:row r="155">
      <x:c r="A155" s="48" t="n">
        <x:f>Model_Data!A155</x:f>
        <x:v>16.5</x:v>
      </x:c>
      <x:c r="B155" s="48" t="n">
        <x:f>Model_Data!F155</x:f>
        <x:v>628.7362472252798</x:v>
      </x:c>
      <x:c r="C155" s="48" t="n">
        <x:f>(((SQRT((Model_Data!A155)^2+Inputs!$C$6^2+((Model_Data!B155)-((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(0.45*SIN(2*PI()*(((Model_Data!A155)/Inputs!$C$49)+Inputs!$C$47*0.137))+0.35*COS(2*PI()*(((Inputs!$C$6)/Inputs!$C$50)+Inputs!$C$47*0.173))+0.20*SIN(2*PI()*(((Model_Data!A155)+(Inputs!$C$6))/(0.5*(Inputs!$C$49+Inputs!$C$50))+Inputs!$C$47*0.097)))+0.30*(2*((SIN(((Model_Data!A155)*12.9898+(Inputs!$C$6)*78.233+Inputs!$C$47*37.719))*43758.5453)-INT((SIN(((Model_Data!A155)*12.9898+(Inputs!$C$6)*78.233+Inputs!$C$47*37.719))*43758.5453)))-1))))/1000)^2))-(((Model_Data!B155)-((Inputs!$C$51*(115*EXP(-(((0)-25)^2)/(4.5^2))+70*EXP(-(((0)+38)^2)/(7^2))*(0.55+0.45*SIN(2*PI()*(Model_Data!A155)/45))+24*SIN(2*PI()*(0)/9+(Model_Data!A155)/18)*EXP(-(((0)+5)^2)/(22^2))+18*SIN(2*PI()*(Model_Data!A155)/70))+Inputs!$C$28*EXP(-(((Model_Data!A155)-Inputs!$C$29)^2)/(2*Inputs!$C$31^2))*EXP(-(((0)-Inputs!$C$30)^2)/(2*Inputs!$C$32^2))+-Inputs!$C$33*EXP(-(((((Model_Data!A155)-Inputs!$C$34)^2)+(((0)-Inputs!$C$35)^2))/(2*Inputs!$C$36^2)))+Inputs!$C$37*(0.55*SIN(2*PI()*(Model_Data!A155)/Inputs!$C$39)+0.35*COS(2*PI()*(0)/Inputs!$C$40)+0.2*SIN(2*PI()*((Model_Data!A155)+(0))/(0.5*(Inputs!$C$39+Inputs!$C$40))))+Inputs!$C$38*SIN(2*PI()*(Model_Data!A155)/Inputs!$C$39)*SIN(2*PI()*(0)/Inputs!$C$40)+-Inputs!$C$41*EXP(-(((0)-Inputs!$C$43)^2)/(2*Inputs!$C$44^2))*EXP(-(((Model_Data!A155)-Inputs!$C$42)^2)/(2*Inputs!$C$45^2))+Inputs!$C$48*(0.70*(0.45*SIN(2*PI()*(((Model_Data!A155)/Inputs!$C$49)+Inputs!$C$47*0.137))+0.35*COS(2*PI()*(((0)/Inputs!$C$50)+Inputs!$C$47*0.173))+0.20*SIN(2*PI()*(((Model_Data!A155)+(0))/(0.5*(Inputs!$C$49+Inputs!$C$50))+Inputs!$C$47*0.097)))+0.30*(2*((SIN(((Model_Data!A155)*12.9898+(0)*78.233+Inputs!$C$47*37.719))*43758.5453)-INT((SIN(((Model_Data!A155)*12.9898+(0)*78.233+Inputs!$C$47*37.719))*43758.5453)))-1))))/1000)))*1000/Inputs!$C$12)</x:f>
        <x:v>441.3435718549735</x:v>
      </x:c>
      <x:c r="D155" s="49"/>
      <x:c r="E155" s="48" t="n">
        <x:f>Model_Data!A155</x:f>
        <x:v>16.5</x:v>
      </x:c>
      <x:c r="F155" s="48" t="n">
        <x:f>(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(0.45*SIN(2*PI()*(((Model_Data!A155)/Inputs!$C$49)+Inputs!$C$47*0.137))+0.35*COS(2*PI()*(((Inputs!$C$6)/Inputs!$C$50)+Inputs!$C$47*0.173))+0.20*SIN(2*PI()*(((Model_Data!A155)+(Inputs!$C$6))/(0.5*(Inputs!$C$49+Inputs!$C$50))+Inputs!$C$47*0.097)))+0.30*(2*((SIN(((Model_Data!A155)*12.9898+(Inputs!$C$6)*78.233+Inputs!$C$47*37.719))*43758.5453)-INT((SIN(((Model_Data!A155)*12.9898+(Inputs!$C$6)*78.233+Inputs!$C$47*37.719))*43758.5453)))-1)))</x:f>
        <x:v>406.20178346502695</x:v>
      </x:c>
      <x:c r="G155" s="48" t="n">
        <x:f>(Inputs!$C$51*(115*EXP(-(((0)-25)^2)/(4.5^2))+70*EXP(-(((0)+38)^2)/(7^2))*(0.55+0.45*SIN(2*PI()*(Model_Data!A155)/45))+24*SIN(2*PI()*(0)/9+(Model_Data!A155)/18)*EXP(-(((0)+5)^2)/(22^2))+18*SIN(2*PI()*(Model_Data!A155)/70))+Inputs!$C$28*EXP(-(((Model_Data!A155)-Inputs!$C$29)^2)/(2*Inputs!$C$31^2))*EXP(-(((0)-Inputs!$C$30)^2)/(2*Inputs!$C$32^2))+-Inputs!$C$33*EXP(-(((((Model_Data!A155)-Inputs!$C$34)^2)+(((0)-Inputs!$C$35)^2))/(2*Inputs!$C$36^2)))+Inputs!$C$37*(0.55*SIN(2*PI()*(Model_Data!A155)/Inputs!$C$39)+0.35*COS(2*PI()*(0)/Inputs!$C$40)+0.2*SIN(2*PI()*((Model_Data!A155)+(0))/(0.5*(Inputs!$C$39+Inputs!$C$40))))+Inputs!$C$38*SIN(2*PI()*(Model_Data!A155)/Inputs!$C$39)*SIN(2*PI()*(0)/Inputs!$C$40)+-Inputs!$C$41*EXP(-(((0)-Inputs!$C$43)^2)/(2*Inputs!$C$44^2))*EXP(-(((Model_Data!A155)-Inputs!$C$42)^2)/(2*Inputs!$C$45^2))+Inputs!$C$48*(0.70*(0.45*SIN(2*PI()*(((Model_Data!A155)/Inputs!$C$49)+Inputs!$C$47*0.137))+0.35*COS(2*PI()*(((0)/Inputs!$C$50)+Inputs!$C$47*0.173))+0.20*SIN(2*PI()*(((Model_Data!A155)+(0))/(0.5*(Inputs!$C$49+Inputs!$C$50))+Inputs!$C$47*0.097)))+0.30*(2*((SIN(((Model_Data!A155)*12.9898+(0)*78.233+Inputs!$C$47*37.719))*43758.5453)-INT((SIN(((Model_Data!A155)*12.9898+(0)*78.233+Inputs!$C$47*37.719))*43758.5453)))-1)))</x:f>
        <x:v>71.50919840907298</x:v>
      </x:c>
      <x:c r="H155" s="49"/>
      <x:c r="I155" s="48" t="n">
        <x:f>Model_Data!A155</x:f>
        <x:v>16.5</x:v>
      </x:c>
      <x:c r="J155" s="48" t="n">
        <x:f>((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(0.45*SIN(2*PI()*(((Model_Data!A155)/Inputs!$C$49)+Inputs!$C$47*0.137))+0.35*COS(2*PI()*(((Inputs!$C$6)/Inputs!$C$50)+Inputs!$C$47*0.173))+0.20*SIN(2*PI()*(((Model_Data!A155)+(Inputs!$C$6))/(0.5*(Inputs!$C$49+Inputs!$C$50))+Inputs!$C$47*0.097)))+0.30*(2*((SIN(((Model_Data!A155)*12.9898+(Inputs!$C$6)*78.233+Inputs!$C$47*37.719))*43758.5453)-INT((SIN(((Model_Data!A155)*12.9898+(Inputs!$C$6)*78.233+Inputs!$C$47*37.719))*43758.5453)))-1))))-((Inputs!$C$51*(115*EXP(-(((0)-25)^2)/(4.5^2))+70*EXP(-(((0)+38)^2)/(7^2))*(0.55+0.45*SIN(2*PI()*(Model_Data!A155)/45))+24*SIN(2*PI()*(0)/9+(Model_Data!A155)/18)*EXP(-(((0)+5)^2)/(22^2))+18*SIN(2*PI()*(Model_Data!A155)/70))+Inputs!$C$28*EXP(-(((Model_Data!A155)-Inputs!$C$29)^2)/(2*Inputs!$C$31^2))*EXP(-(((0)-Inputs!$C$30)^2)/(2*Inputs!$C$32^2))+-Inputs!$C$33*EXP(-(((((Model_Data!A155)-Inputs!$C$34)^2)+(((0)-Inputs!$C$35)^2))/(2*Inputs!$C$36^2)))+Inputs!$C$37*(0.55*SIN(2*PI()*(Model_Data!A155)/Inputs!$C$39)+0.35*COS(2*PI()*(0)/Inputs!$C$40)+0.2*SIN(2*PI()*((Model_Data!A155)+(0))/(0.5*(Inputs!$C$39+Inputs!$C$40))))+Inputs!$C$38*SIN(2*PI()*(Model_Data!A155)/Inputs!$C$39)*SIN(2*PI()*(0)/Inputs!$C$40)+-Inputs!$C$41*EXP(-(((0)-Inputs!$C$43)^2)/(2*Inputs!$C$44^2))*EXP(-(((Model_Data!A155)-Inputs!$C$42)^2)/(2*Inputs!$C$45^2))+Inputs!$C$48*(0.70*(0.45*SIN(2*PI()*(((Model_Data!A155)/Inputs!$C$49)+Inputs!$C$47*0.137))+0.35*COS(2*PI()*(((0)/Inputs!$C$50)+Inputs!$C$47*0.173))+0.20*SIN(2*PI()*(((Model_Data!A155)+(0))/(0.5*(Inputs!$C$49+Inputs!$C$50))+Inputs!$C$47*0.097)))+0.30*(2*((SIN(((Model_Data!A155)*12.9898+(0)*78.233+Inputs!$C$47*37.719))*43758.5453)-INT((SIN(((Model_Data!A155)*12.9898+(0)*78.233+Inputs!$C$47*37.719))*43758.5453)))-1))))</x:f>
        <x:v>334.69258505595394</x:v>
      </x:c>
      <x:c r="K155" s="48" t="n">
        <x:f>-((((SQRT((Model_Data!A155)^2+Inputs!$C$6^2+((Model_Data!B155)-((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(0.45*SIN(2*PI()*(((Model_Data!A155)/Inputs!$C$49)+Inputs!$C$47*0.137))+0.35*COS(2*PI()*(((Inputs!$C$6)/Inputs!$C$50)+Inputs!$C$47*0.173))+0.20*SIN(2*PI()*(((Model_Data!A155)+(Inputs!$C$6))/(0.5*(Inputs!$C$49+Inputs!$C$50))+Inputs!$C$47*0.097)))+0.30*(2*((SIN(((Model_Data!A155)*12.9898+(Inputs!$C$6)*78.233+Inputs!$C$47*37.719))*43758.5453)-INT((SIN(((Model_Data!A155)*12.9898+(Inputs!$C$6)*78.233+Inputs!$C$47*37.719))*43758.5453)))-1))))/1000)^2))-(((Model_Data!B155)-((Inputs!$C$51*(115*EXP(-(((0)-25)^2)/(4.5^2))+70*EXP(-(((0)+38)^2)/(7^2))*(0.55+0.45*SIN(2*PI()*(Model_Data!A155)/45))+24*SIN(2*PI()*(0)/9+(Model_Data!A155)/18)*EXP(-(((0)+5)^2)/(22^2))+18*SIN(2*PI()*(Model_Data!A155)/70))+Inputs!$C$28*EXP(-(((Model_Data!A155)-Inputs!$C$29)^2)/(2*Inputs!$C$31^2))*EXP(-(((0)-Inputs!$C$30)^2)/(2*Inputs!$C$32^2))+-Inputs!$C$33*EXP(-(((((Model_Data!A155)-Inputs!$C$34)^2)+(((0)-Inputs!$C$35)^2))/(2*Inputs!$C$36^2)))+Inputs!$C$37*(0.55*SIN(2*PI()*(Model_Data!A155)/Inputs!$C$39)+0.35*COS(2*PI()*(0)/Inputs!$C$40)+0.2*SIN(2*PI()*((Model_Data!A155)+(0))/(0.5*(Inputs!$C$39+Inputs!$C$40))))+Inputs!$C$38*SIN(2*PI()*(Model_Data!A155)/Inputs!$C$39)*SIN(2*PI()*(0)/Inputs!$C$40)+-Inputs!$C$41*EXP(-(((0)-Inputs!$C$43)^2)/(2*Inputs!$C$44^2))*EXP(-(((Model_Data!A155)-Inputs!$C$42)^2)/(2*Inputs!$C$45^2))+Inputs!$C$48*(0.70*(0.45*SIN(2*PI()*(((Model_Data!A155)/Inputs!$C$49)+Inputs!$C$47*0.137))+0.35*COS(2*PI()*(((0)/Inputs!$C$50)+Inputs!$C$47*0.173))+0.20*SIN(2*PI()*(((Model_Data!A155)+(0))/(0.5*(Inputs!$C$49+Inputs!$C$50))+Inputs!$C$47*0.097)))+0.30*(2*((SIN(((Model_Data!A155)*12.9898+(0)*78.233+Inputs!$C$47*37.719))*43758.5453)-INT((SIN(((Model_Data!A155)*12.9898+(0)*78.233+Inputs!$C$47*37.719))*43758.5453)))-1))))/1000)))*1000/Inputs!$C$12)-Model_Data!F155)</x:f>
        <x:v>187.39267537030634</x:v>
      </x:c>
      <x:c r="L155" s="49"/>
      <x:c r="M155" s="48" t="n">
        <x:f>Model_Data!A155</x:f>
        <x:v>16.5</x:v>
      </x:c>
      <x:c r="N155" s="48" t="n">
        <x:f>Model_Data!P155</x:f>
        <x:v>-124.26936431730996</x:v>
      </x:c>
      <x:c r="O155" s="48" t="n">
        <x:f>AC155</x:f>
        <x:v>-120.20464053593969</x:v>
      </x:c>
      <x:c r="P155" s="48" t="n">
        <x:f>Model_Data!Q155</x:f>
        <x:v>-18.659063711307805</x:v>
      </x:c>
      <x:c r="Q155" s="48" t="n">
        <x:f>AD155</x:f>
        <x:v>-18.048744825216172</x:v>
      </x:c>
      <x:c r="R155" s="49"/>
      <x:c r="S155" s="48" t="n">
        <x:f>Model_Data!A155</x:f>
        <x:v>16.5</x:v>
      </x:c>
      <x:c r="T155" s="48" t="n">
        <x:f>Model_Data!B155-Inputs!$C$5</x:f>
        <x:v>0.3025000000000091</x:v>
      </x:c>
      <x:c r="U155" s="49"/>
      <x:c r="V155" s="48" t="n">
        <x:f>Model_Data!A155</x:f>
        <x:v>16.5</x:v>
      </x:c>
      <x:c r="W155" s="48" t="n">
        <x:f>(-((((SQRT((Model_Data!A155)^2+Inputs!$C$6^2+((Model_Data!B155)-((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(0.45*SIN(2*PI()*(((Model_Data!A155)/Inputs!$C$49)+Inputs!$C$47*0.137))+0.35*COS(2*PI()*(((Inputs!$C$6)/Inputs!$C$50)+Inputs!$C$47*0.173))+0.20*SIN(2*PI()*(((Model_Data!A155)+(Inputs!$C$6))/(0.5*(Inputs!$C$49+Inputs!$C$50))+Inputs!$C$47*0.097)))+0.30*(2*((SIN(((Model_Data!A155)*12.9898+(Inputs!$C$6)*78.233+Inputs!$C$47*37.719))*43758.5453)-INT((SIN(((Model_Data!A155)*12.9898+(Inputs!$C$6)*78.233+Inputs!$C$47*37.719))*43758.5453)))-1))))/1000)^2))-(((Model_Data!B155)-((Inputs!$C$51*(115*EXP(-(((0)-25)^2)/(4.5^2))+70*EXP(-(((0)+38)^2)/(7^2))*(0.55+0.45*SIN(2*PI()*(Model_Data!A155)/45))+24*SIN(2*PI()*(0)/9+(Model_Data!A155)/18)*EXP(-(((0)+5)^2)/(22^2))+18*SIN(2*PI()*(Model_Data!A155)/70))+Inputs!$C$28*EXP(-(((Model_Data!A155)-Inputs!$C$29)^2)/(2*Inputs!$C$31^2))*EXP(-(((0)-Inputs!$C$30)^2)/(2*Inputs!$C$32^2))+-Inputs!$C$33*EXP(-(((((Model_Data!A155)-Inputs!$C$34)^2)+(((0)-Inputs!$C$35)^2))/(2*Inputs!$C$36^2)))+Inputs!$C$37*(0.55*SIN(2*PI()*(Model_Data!A155)/Inputs!$C$39)+0.35*COS(2*PI()*(0)/Inputs!$C$40)+0.2*SIN(2*PI()*((Model_Data!A155)+(0))/(0.5*(Inputs!$C$39+Inputs!$C$40))))+Inputs!$C$38*SIN(2*PI()*(Model_Data!A155)/Inputs!$C$39)*SIN(2*PI()*(0)/Inputs!$C$40)+-Inputs!$C$41*EXP(-(((0)-Inputs!$C$43)^2)/(2*Inputs!$C$44^2))*EXP(-(((Model_Data!A155)-Inputs!$C$42)^2)/(2*Inputs!$C$45^2))+Inputs!$C$48*(0.70*(0.45*SIN(2*PI()*(((Model_Data!A155)/Inputs!$C$49)+Inputs!$C$47*0.137))+0.35*COS(2*PI()*(((0)/Inputs!$C$50)+Inputs!$C$47*0.173))+0.20*SIN(2*PI()*(((Model_Data!A155)+(0))/(0.5*(Inputs!$C$49+Inputs!$C$50))+Inputs!$C$47*0.097)))+0.30*(2*((SIN(((Model_Data!A155)*12.9898+(0)*78.233+Inputs!$C$47*37.719))*43758.5453)-INT((SIN(((Model_Data!A155)*12.9898+(0)*78.233+Inputs!$C$47*37.719))*43758.5453)))-1))))/1000)))*1000/Inputs!$C$12)-Model_Data!F155))-(-(((SQRT((Model_Data!A155)^2+Inputs!$C$6^2+(Inputs!$C$5-((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(0.45*SIN(2*PI()*(((Model_Data!A155)/Inputs!$C$49)+Inputs!$C$47*0.137))+0.35*COS(2*PI()*(((Inputs!$C$6)/Inputs!$C$50)+Inputs!$C$47*0.173))+0.20*SIN(2*PI()*(((Model_Data!A155)+(Inputs!$C$6))/(0.5*(Inputs!$C$49+Inputs!$C$50))+Inputs!$C$47*0.097)))+0.30*(2*((SIN(((Model_Data!A155)*12.9898+(Inputs!$C$6)*78.233+Inputs!$C$47*37.719))*43758.5453)-INT((SIN(((Model_Data!A155)*12.9898+(Inputs!$C$6)*78.233+Inputs!$C$47*37.719))*43758.5453)))-1))))/1000)^2)-(Inputs!$C$5-((Inputs!$C$51*(115*EXP(-(((0)-25)^2)/(4.5^2))+70*EXP(-(((0)+38)^2)/(7^2))*(0.55+0.45*SIN(2*PI()*(Model_Data!A155)/45))+24*SIN(2*PI()*(0)/9+(Model_Data!A155)/18)*EXP(-(((0)+5)^2)/(22^2))+18*SIN(2*PI()*(Model_Data!A155)/70))+Inputs!$C$28*EXP(-(((Model_Data!A155)-Inputs!$C$29)^2)/(2*Inputs!$C$31^2))*EXP(-(((0)-Inputs!$C$30)^2)/(2*Inputs!$C$32^2))+-Inputs!$C$33*EXP(-(((((Model_Data!A155)-Inputs!$C$34)^2)+(((0)-Inputs!$C$35)^2))/(2*Inputs!$C$36^2)))+Inputs!$C$37*(0.55*SIN(2*PI()*(Model_Data!A155)/Inputs!$C$39)+0.35*COS(2*PI()*(0)/Inputs!$C$40)+0.2*SIN(2*PI()*((Model_Data!A155)+(0))/(0.5*(Inputs!$C$39+Inputs!$C$40))))+Inputs!$C$38*SIN(2*PI()*(Model_Data!A155)/Inputs!$C$39)*SIN(2*PI()*(0)/Inputs!$C$40)+-Inputs!$C$41*EXP(-(((0)-Inputs!$C$43)^2)/(2*Inputs!$C$44^2))*EXP(-(((Model_Data!A155)-Inputs!$C$42)^2)/(2*Inputs!$C$45^2))+Inputs!$C$48*(0.70*(0.45*SIN(2*PI()*(((Model_Data!A155)/Inputs!$C$49)+Inputs!$C$47*0.137))+0.35*COS(2*PI()*(((0)/Inputs!$C$50)+Inputs!$C$47*0.173))+0.20*SIN(2*PI()*(((Model_Data!A155)+(0))/(0.5*(Inputs!$C$49+Inputs!$C$50))+Inputs!$C$47*0.097)))+0.30*(2*((SIN(((Model_Data!A155)*12.9898+(0)*78.233+Inputs!$C$47*37.719))*43758.5453)-INT((SIN(((Model_Data!A155)*12.9898+(0)*78.233+Inputs!$C$47*37.719))*43758.5453)))-1))))/1000))*1000/Inputs!$C$12)-((SQRT((Model_Data!A155)^2+Inputs!$C$6^2+Inputs!$C$5^2)-Inputs!$C$5)*1000/Inputs!$C$12)))</x:f>
        <x:v>0.0009600769458302238</x:v>
      </x:c>
      <x:c r="X155" s="48" t="n">
        <x:f>0</x:f>
        <x:v>0</x:v>
      </x:c>
      <x:c r="Y155" s="49"/>
      <x:c r="Z155" s="48" t="n">
        <x:f>Model_Data!A155</x:f>
        <x:v>16.5</x:v>
      </x:c>
      <x:c r="AA155" s="48" t="n">
        <x:f>SQRT((Model_Data!A155)^2+Inputs!$C$6^2+((Model_Data!B155)-((Inputs!$C$51*(115*EXP(-(((Inputs!$C$6)-25)^2)/(4.5^2))+70*EXP(-(((Inputs!$C$6)+38)^2)/(7^2))*(0.55+0.45*SIN(2*PI()*(Model_Data!A155)/45))+24*SIN(2*PI()*(Inputs!$C$6)/9+(Model_Data!A155)/18)*EXP(-(((Inputs!$C$6)+5)^2)/(22^2))+18*SIN(2*PI()*(Model_Data!A155)/70))+Inputs!$C$28*EXP(-(((Model_Data!A155)-Inputs!$C$29)^2)/(2*Inputs!$C$31^2))*EXP(-(((Inputs!$C$6)-Inputs!$C$30)^2)/(2*Inputs!$C$32^2))+-Inputs!$C$33*EXP(-(((((Model_Data!A155)-Inputs!$C$34)^2)+(((Inputs!$C$6)-Inputs!$C$35)^2))/(2*Inputs!$C$36^2)))+Inputs!$C$37*(0.55*SIN(2*PI()*(Model_Data!A155)/Inputs!$C$39)+0.35*COS(2*PI()*(Inputs!$C$6)/Inputs!$C$40)+0.2*SIN(2*PI()*((Model_Data!A155)+(Inputs!$C$6))/(0.5*(Inputs!$C$39+Inputs!$C$40))))+Inputs!$C$38*SIN(2*PI()*(Model_Data!A155)/Inputs!$C$39)*SIN(2*PI()*(Inputs!$C$6)/Inputs!$C$40)+-Inputs!$C$41*EXP(-(((Inputs!$C$6)-Inputs!$C$43)^2)/(2*Inputs!$C$44^2))*EXP(-(((Model_Data!A155)-Inputs!$C$42)^2)/(2*Inputs!$C$45^2))+Inputs!$C$48*(0.70*(0.45*SIN(2*PI()*(((Model_Data!A155)/Inputs!$C$49)+Inputs!$C$47*0.137))+0.35*COS(2*PI()*(((Inputs!$C$6)/Inputs!$C$50)+Inputs!$C$47*0.173))+0.20*SIN(2*PI()*(((Model_Data!A155)+(Inputs!$C$6))/(0.5*(Inputs!$C$49+Inputs!$C$50))+Inputs!$C$47*0.097)))+0.30*(2*((SIN(((Model_Data!A155)*12.9898+(Inputs!$C$6)*78.233+Inputs!$C$47*37.719))*43758.5453)-INT((SIN(((Model_Data!A155)*12.9898+(Inputs!$C$6)*78.233+Inputs!$C$47*37.719))*43758.5453)))-1))))/1000)^2)</x:f>
        <x:v>401.0165823594928</x:v>
      </x:c>
      <x:c r="AB155" s="48" t="n">
        <x:f>1000*(AA156-AA154)/(Z156-Z154)*Inputs!$C$11</x:f>
        <x:v>300.5116013398492</x:v>
      </x:c>
      <x:c r="AC155" s="48" t="n">
        <x:f>-2*AB155/Inputs!$C$13</x:f>
        <x:v>-120.20464053593969</x:v>
      </x:c>
      <x:c r="AD155" s="48" t="n">
        <x:f>-2*AB155/Inputs!$C$14</x:f>
        <x:v>-18.048744825216172</x:v>
      </x:c>
    </x:row>
    <x:row r="156">
      <x:c r="A156" s="48" t="n">
        <x:f>Model_Data!A156</x:f>
        <x:v>17</x:v>
      </x:c>
      <x:c r="B156" s="48" t="n">
        <x:f>Model_Data!F156</x:f>
        <x:v>640.4272346615566</x:v>
      </x:c>
      <x:c r="C156" s="48" t="n">
        <x:f>(((SQRT((Model_Data!A156)^2+Inputs!$C$6^2+((Model_Data!B156)-((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(0.45*SIN(2*PI()*(((Model_Data!A156)/Inputs!$C$49)+Inputs!$C$47*0.137))+0.35*COS(2*PI()*(((Inputs!$C$6)/Inputs!$C$50)+Inputs!$C$47*0.173))+0.20*SIN(2*PI()*(((Model_Data!A156)+(Inputs!$C$6))/(0.5*(Inputs!$C$49+Inputs!$C$50))+Inputs!$C$47*0.097)))+0.30*(2*((SIN(((Model_Data!A156)*12.9898+(Inputs!$C$6)*78.233+Inputs!$C$47*37.719))*43758.5453)-INT((SIN(((Model_Data!A156)*12.9898+(Inputs!$C$6)*78.233+Inputs!$C$47*37.719))*43758.5453)))-1))))/1000)^2))-(((Model_Data!B156)-((Inputs!$C$51*(115*EXP(-(((0)-25)^2)/(4.5^2))+70*EXP(-(((0)+38)^2)/(7^2))*(0.55+0.45*SIN(2*PI()*(Model_Data!A156)/45))+24*SIN(2*PI()*(0)/9+(Model_Data!A156)/18)*EXP(-(((0)+5)^2)/(22^2))+18*SIN(2*PI()*(Model_Data!A156)/70))+Inputs!$C$28*EXP(-(((Model_Data!A156)-Inputs!$C$29)^2)/(2*Inputs!$C$31^2))*EXP(-(((0)-Inputs!$C$30)^2)/(2*Inputs!$C$32^2))+-Inputs!$C$33*EXP(-(((((Model_Data!A156)-Inputs!$C$34)^2)+(((0)-Inputs!$C$35)^2))/(2*Inputs!$C$36^2)))+Inputs!$C$37*(0.55*SIN(2*PI()*(Model_Data!A156)/Inputs!$C$39)+0.35*COS(2*PI()*(0)/Inputs!$C$40)+0.2*SIN(2*PI()*((Model_Data!A156)+(0))/(0.5*(Inputs!$C$39+Inputs!$C$40))))+Inputs!$C$38*SIN(2*PI()*(Model_Data!A156)/Inputs!$C$39)*SIN(2*PI()*(0)/Inputs!$C$40)+-Inputs!$C$41*EXP(-(((0)-Inputs!$C$43)^2)/(2*Inputs!$C$44^2))*EXP(-(((Model_Data!A156)-Inputs!$C$42)^2)/(2*Inputs!$C$45^2))+Inputs!$C$48*(0.70*(0.45*SIN(2*PI()*(((Model_Data!A156)/Inputs!$C$49)+Inputs!$C$47*0.137))+0.35*COS(2*PI()*(((0)/Inputs!$C$50)+Inputs!$C$47*0.173))+0.20*SIN(2*PI()*(((Model_Data!A156)+(0))/(0.5*(Inputs!$C$49+Inputs!$C$50))+Inputs!$C$47*0.097)))+0.30*(2*((SIN(((Model_Data!A156)*12.9898+(0)*78.233+Inputs!$C$47*37.719))*43758.5453)-INT((SIN(((Model_Data!A156)*12.9898+(0)*78.233+Inputs!$C$47*37.719))*43758.5453)))-1))))/1000)))*1000/Inputs!$C$12)</x:f>
        <x:v>447.6373554765357</x:v>
      </x:c>
      <x:c r="D156" s="49"/>
      <x:c r="E156" s="48" t="n">
        <x:f>Model_Data!A156</x:f>
        <x:v>17</x:v>
      </x:c>
      <x:c r="F156" s="48" t="n">
        <x:f>(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(0.45*SIN(2*PI()*(((Model_Data!A156)/Inputs!$C$49)+Inputs!$C$47*0.137))+0.35*COS(2*PI()*(((Inputs!$C$6)/Inputs!$C$50)+Inputs!$C$47*0.173))+0.20*SIN(2*PI()*(((Model_Data!A156)+(Inputs!$C$6))/(0.5*(Inputs!$C$49+Inputs!$C$50))+Inputs!$C$47*0.097)))+0.30*(2*((SIN(((Model_Data!A156)*12.9898+(Inputs!$C$6)*78.233+Inputs!$C$47*37.719))*43758.5453)-INT((SIN(((Model_Data!A156)*12.9898+(Inputs!$C$6)*78.233+Inputs!$C$47*37.719))*43758.5453)))-1)))</x:f>
        <x:v>402.8973585501548</x:v>
      </x:c>
      <x:c r="G156" s="48" t="n">
        <x:f>(Inputs!$C$51*(115*EXP(-(((0)-25)^2)/(4.5^2))+70*EXP(-(((0)+38)^2)/(7^2))*(0.55+0.45*SIN(2*PI()*(Model_Data!A156)/45))+24*SIN(2*PI()*(0)/9+(Model_Data!A156)/18)*EXP(-(((0)+5)^2)/(22^2))+18*SIN(2*PI()*(Model_Data!A156)/70))+Inputs!$C$28*EXP(-(((Model_Data!A156)-Inputs!$C$29)^2)/(2*Inputs!$C$31^2))*EXP(-(((0)-Inputs!$C$30)^2)/(2*Inputs!$C$32^2))+-Inputs!$C$33*EXP(-(((((Model_Data!A156)-Inputs!$C$34)^2)+(((0)-Inputs!$C$35)^2))/(2*Inputs!$C$36^2)))+Inputs!$C$37*(0.55*SIN(2*PI()*(Model_Data!A156)/Inputs!$C$39)+0.35*COS(2*PI()*(0)/Inputs!$C$40)+0.2*SIN(2*PI()*((Model_Data!A156)+(0))/(0.5*(Inputs!$C$39+Inputs!$C$40))))+Inputs!$C$38*SIN(2*PI()*(Model_Data!A156)/Inputs!$C$39)*SIN(2*PI()*(0)/Inputs!$C$40)+-Inputs!$C$41*EXP(-(((0)-Inputs!$C$43)^2)/(2*Inputs!$C$44^2))*EXP(-(((Model_Data!A156)-Inputs!$C$42)^2)/(2*Inputs!$C$45^2))+Inputs!$C$48*(0.70*(0.45*SIN(2*PI()*(((Model_Data!A156)/Inputs!$C$49)+Inputs!$C$47*0.137))+0.35*COS(2*PI()*(((0)/Inputs!$C$50)+Inputs!$C$47*0.173))+0.20*SIN(2*PI()*(((Model_Data!A156)+(0))/(0.5*(Inputs!$C$49+Inputs!$C$50))+Inputs!$C$47*0.097)))+0.30*(2*((SIN(((Model_Data!A156)*12.9898+(0)*78.233+Inputs!$C$47*37.719))*43758.5453)-INT((SIN(((Model_Data!A156)*12.9898+(0)*78.233+Inputs!$C$47*37.719))*43758.5453)))-1)))</x:f>
        <x:v>58.586187093984584</x:v>
      </x:c>
      <x:c r="H156" s="49"/>
      <x:c r="I156" s="48" t="n">
        <x:f>Model_Data!A156</x:f>
        <x:v>17</x:v>
      </x:c>
      <x:c r="J156" s="48" t="n">
        <x:f>((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(0.45*SIN(2*PI()*(((Model_Data!A156)/Inputs!$C$49)+Inputs!$C$47*0.137))+0.35*COS(2*PI()*(((Inputs!$C$6)/Inputs!$C$50)+Inputs!$C$47*0.173))+0.20*SIN(2*PI()*(((Model_Data!A156)+(Inputs!$C$6))/(0.5*(Inputs!$C$49+Inputs!$C$50))+Inputs!$C$47*0.097)))+0.30*(2*((SIN(((Model_Data!A156)*12.9898+(Inputs!$C$6)*78.233+Inputs!$C$47*37.719))*43758.5453)-INT((SIN(((Model_Data!A156)*12.9898+(Inputs!$C$6)*78.233+Inputs!$C$47*37.719))*43758.5453)))-1))))-((Inputs!$C$51*(115*EXP(-(((0)-25)^2)/(4.5^2))+70*EXP(-(((0)+38)^2)/(7^2))*(0.55+0.45*SIN(2*PI()*(Model_Data!A156)/45))+24*SIN(2*PI()*(0)/9+(Model_Data!A156)/18)*EXP(-(((0)+5)^2)/(22^2))+18*SIN(2*PI()*(Model_Data!A156)/70))+Inputs!$C$28*EXP(-(((Model_Data!A156)-Inputs!$C$29)^2)/(2*Inputs!$C$31^2))*EXP(-(((0)-Inputs!$C$30)^2)/(2*Inputs!$C$32^2))+-Inputs!$C$33*EXP(-(((((Model_Data!A156)-Inputs!$C$34)^2)+(((0)-Inputs!$C$35)^2))/(2*Inputs!$C$36^2)))+Inputs!$C$37*(0.55*SIN(2*PI()*(Model_Data!A156)/Inputs!$C$39)+0.35*COS(2*PI()*(0)/Inputs!$C$40)+0.2*SIN(2*PI()*((Model_Data!A156)+(0))/(0.5*(Inputs!$C$39+Inputs!$C$40))))+Inputs!$C$38*SIN(2*PI()*(Model_Data!A156)/Inputs!$C$39)*SIN(2*PI()*(0)/Inputs!$C$40)+-Inputs!$C$41*EXP(-(((0)-Inputs!$C$43)^2)/(2*Inputs!$C$44^2))*EXP(-(((Model_Data!A156)-Inputs!$C$42)^2)/(2*Inputs!$C$45^2))+Inputs!$C$48*(0.70*(0.45*SIN(2*PI()*(((Model_Data!A156)/Inputs!$C$49)+Inputs!$C$47*0.137))+0.35*COS(2*PI()*(((0)/Inputs!$C$50)+Inputs!$C$47*0.173))+0.20*SIN(2*PI()*(((Model_Data!A156)+(0))/(0.5*(Inputs!$C$49+Inputs!$C$50))+Inputs!$C$47*0.097)))+0.30*(2*((SIN(((Model_Data!A156)*12.9898+(0)*78.233+Inputs!$C$47*37.719))*43758.5453)-INT((SIN(((Model_Data!A156)*12.9898+(0)*78.233+Inputs!$C$47*37.719))*43758.5453)))-1))))</x:f>
        <x:v>344.31117145617026</x:v>
      </x:c>
      <x:c r="K156" s="48" t="n">
        <x:f>-((((SQRT((Model_Data!A156)^2+Inputs!$C$6^2+((Model_Data!B156)-((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(0.45*SIN(2*PI()*(((Model_Data!A156)/Inputs!$C$49)+Inputs!$C$47*0.137))+0.35*COS(2*PI()*(((Inputs!$C$6)/Inputs!$C$50)+Inputs!$C$47*0.173))+0.20*SIN(2*PI()*(((Model_Data!A156)+(Inputs!$C$6))/(0.5*(Inputs!$C$49+Inputs!$C$50))+Inputs!$C$47*0.097)))+0.30*(2*((SIN(((Model_Data!A156)*12.9898+(Inputs!$C$6)*78.233+Inputs!$C$47*37.719))*43758.5453)-INT((SIN(((Model_Data!A156)*12.9898+(Inputs!$C$6)*78.233+Inputs!$C$47*37.719))*43758.5453)))-1))))/1000)^2))-(((Model_Data!B156)-((Inputs!$C$51*(115*EXP(-(((0)-25)^2)/(4.5^2))+70*EXP(-(((0)+38)^2)/(7^2))*(0.55+0.45*SIN(2*PI()*(Model_Data!A156)/45))+24*SIN(2*PI()*(0)/9+(Model_Data!A156)/18)*EXP(-(((0)+5)^2)/(22^2))+18*SIN(2*PI()*(Model_Data!A156)/70))+Inputs!$C$28*EXP(-(((Model_Data!A156)-Inputs!$C$29)^2)/(2*Inputs!$C$31^2))*EXP(-(((0)-Inputs!$C$30)^2)/(2*Inputs!$C$32^2))+-Inputs!$C$33*EXP(-(((((Model_Data!A156)-Inputs!$C$34)^2)+(((0)-Inputs!$C$35)^2))/(2*Inputs!$C$36^2)))+Inputs!$C$37*(0.55*SIN(2*PI()*(Model_Data!A156)/Inputs!$C$39)+0.35*COS(2*PI()*(0)/Inputs!$C$40)+0.2*SIN(2*PI()*((Model_Data!A156)+(0))/(0.5*(Inputs!$C$39+Inputs!$C$40))))+Inputs!$C$38*SIN(2*PI()*(Model_Data!A156)/Inputs!$C$39)*SIN(2*PI()*(0)/Inputs!$C$40)+-Inputs!$C$41*EXP(-(((0)-Inputs!$C$43)^2)/(2*Inputs!$C$44^2))*EXP(-(((Model_Data!A156)-Inputs!$C$42)^2)/(2*Inputs!$C$45^2))+Inputs!$C$48*(0.70*(0.45*SIN(2*PI()*(((Model_Data!A156)/Inputs!$C$49)+Inputs!$C$47*0.137))+0.35*COS(2*PI()*(((0)/Inputs!$C$50)+Inputs!$C$47*0.173))+0.20*SIN(2*PI()*(((Model_Data!A156)+(0))/(0.5*(Inputs!$C$49+Inputs!$C$50))+Inputs!$C$47*0.097)))+0.30*(2*((SIN(((Model_Data!A156)*12.9898+(0)*78.233+Inputs!$C$47*37.719))*43758.5453)-INT((SIN(((Model_Data!A156)*12.9898+(0)*78.233+Inputs!$C$47*37.719))*43758.5453)))-1))))/1000)))*1000/Inputs!$C$12)-Model_Data!F156)</x:f>
        <x:v>192.78987918502088</x:v>
      </x:c>
      <x:c r="L156" s="49"/>
      <x:c r="M156" s="48" t="n">
        <x:f>Model_Data!A156</x:f>
        <x:v>17</x:v>
      </x:c>
      <x:c r="N156" s="48" t="n">
        <x:f>Model_Data!P156</x:f>
        <x:v>-128.02533246146646</x:v>
      </x:c>
      <x:c r="O156" s="48" t="n">
        <x:f>AC156</x:f>
        <x:v>-117.8909954743176</x:v>
      </x:c>
      <x:c r="P156" s="48" t="n">
        <x:f>Model_Data!Q156</x:f>
        <x:v>-19.223022892112084</x:v>
      </x:c>
      <x:c r="Q156" s="48" t="n">
        <x:f>AD156</x:f>
        <x:v>-17.701350671819462</x:v>
      </x:c>
      <x:c r="R156" s="49"/>
      <x:c r="S156" s="48" t="n">
        <x:f>Model_Data!A156</x:f>
        <x:v>17</x:v>
      </x:c>
      <x:c r="T156" s="48" t="n">
        <x:f>Model_Data!B156-Inputs!$C$5</x:f>
        <x:v>0.3211111111111222</x:v>
      </x:c>
      <x:c r="U156" s="49"/>
      <x:c r="V156" s="48" t="n">
        <x:f>Model_Data!A156</x:f>
        <x:v>17</x:v>
      </x:c>
      <x:c r="W156" s="48" t="n">
        <x:f>(-((((SQRT((Model_Data!A156)^2+Inputs!$C$6^2+((Model_Data!B156)-((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(0.45*SIN(2*PI()*(((Model_Data!A156)/Inputs!$C$49)+Inputs!$C$47*0.137))+0.35*COS(2*PI()*(((Inputs!$C$6)/Inputs!$C$50)+Inputs!$C$47*0.173))+0.20*SIN(2*PI()*(((Model_Data!A156)+(Inputs!$C$6))/(0.5*(Inputs!$C$49+Inputs!$C$50))+Inputs!$C$47*0.097)))+0.30*(2*((SIN(((Model_Data!A156)*12.9898+(Inputs!$C$6)*78.233+Inputs!$C$47*37.719))*43758.5453)-INT((SIN(((Model_Data!A156)*12.9898+(Inputs!$C$6)*78.233+Inputs!$C$47*37.719))*43758.5453)))-1))))/1000)^2))-(((Model_Data!B156)-((Inputs!$C$51*(115*EXP(-(((0)-25)^2)/(4.5^2))+70*EXP(-(((0)+38)^2)/(7^2))*(0.55+0.45*SIN(2*PI()*(Model_Data!A156)/45))+24*SIN(2*PI()*(0)/9+(Model_Data!A156)/18)*EXP(-(((0)+5)^2)/(22^2))+18*SIN(2*PI()*(Model_Data!A156)/70))+Inputs!$C$28*EXP(-(((Model_Data!A156)-Inputs!$C$29)^2)/(2*Inputs!$C$31^2))*EXP(-(((0)-Inputs!$C$30)^2)/(2*Inputs!$C$32^2))+-Inputs!$C$33*EXP(-(((((Model_Data!A156)-Inputs!$C$34)^2)+(((0)-Inputs!$C$35)^2))/(2*Inputs!$C$36^2)))+Inputs!$C$37*(0.55*SIN(2*PI()*(Model_Data!A156)/Inputs!$C$39)+0.35*COS(2*PI()*(0)/Inputs!$C$40)+0.2*SIN(2*PI()*((Model_Data!A156)+(0))/(0.5*(Inputs!$C$39+Inputs!$C$40))))+Inputs!$C$38*SIN(2*PI()*(Model_Data!A156)/Inputs!$C$39)*SIN(2*PI()*(0)/Inputs!$C$40)+-Inputs!$C$41*EXP(-(((0)-Inputs!$C$43)^2)/(2*Inputs!$C$44^2))*EXP(-(((Model_Data!A156)-Inputs!$C$42)^2)/(2*Inputs!$C$45^2))+Inputs!$C$48*(0.70*(0.45*SIN(2*PI()*(((Model_Data!A156)/Inputs!$C$49)+Inputs!$C$47*0.137))+0.35*COS(2*PI()*(((0)/Inputs!$C$50)+Inputs!$C$47*0.173))+0.20*SIN(2*PI()*(((Model_Data!A156)+(0))/(0.5*(Inputs!$C$49+Inputs!$C$50))+Inputs!$C$47*0.097)))+0.30*(2*((SIN(((Model_Data!A156)*12.9898+(0)*78.233+Inputs!$C$47*37.719))*43758.5453)-INT((SIN(((Model_Data!A156)*12.9898+(0)*78.233+Inputs!$C$47*37.719))*43758.5453)))-1))))/1000)))*1000/Inputs!$C$12)-Model_Data!F156))-(-(((SQRT((Model_Data!A156)^2+Inputs!$C$6^2+(Inputs!$C$5-((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(0.45*SIN(2*PI()*(((Model_Data!A156)/Inputs!$C$49)+Inputs!$C$47*0.137))+0.35*COS(2*PI()*(((Inputs!$C$6)/Inputs!$C$50)+Inputs!$C$47*0.173))+0.20*SIN(2*PI()*(((Model_Data!A156)+(Inputs!$C$6))/(0.5*(Inputs!$C$49+Inputs!$C$50))+Inputs!$C$47*0.097)))+0.30*(2*((SIN(((Model_Data!A156)*12.9898+(Inputs!$C$6)*78.233+Inputs!$C$47*37.719))*43758.5453)-INT((SIN(((Model_Data!A156)*12.9898+(Inputs!$C$6)*78.233+Inputs!$C$47*37.719))*43758.5453)))-1))))/1000)^2)-(Inputs!$C$5-((Inputs!$C$51*(115*EXP(-(((0)-25)^2)/(4.5^2))+70*EXP(-(((0)+38)^2)/(7^2))*(0.55+0.45*SIN(2*PI()*(Model_Data!A156)/45))+24*SIN(2*PI()*(0)/9+(Model_Data!A156)/18)*EXP(-(((0)+5)^2)/(22^2))+18*SIN(2*PI()*(Model_Data!A156)/70))+Inputs!$C$28*EXP(-(((Model_Data!A156)-Inputs!$C$29)^2)/(2*Inputs!$C$31^2))*EXP(-(((0)-Inputs!$C$30)^2)/(2*Inputs!$C$32^2))+-Inputs!$C$33*EXP(-(((((Model_Data!A156)-Inputs!$C$34)^2)+(((0)-Inputs!$C$35)^2))/(2*Inputs!$C$36^2)))+Inputs!$C$37*(0.55*SIN(2*PI()*(Model_Data!A156)/Inputs!$C$39)+0.35*COS(2*PI()*(0)/Inputs!$C$40)+0.2*SIN(2*PI()*((Model_Data!A156)+(0))/(0.5*(Inputs!$C$39+Inputs!$C$40))))+Inputs!$C$38*SIN(2*PI()*(Model_Data!A156)/Inputs!$C$39)*SIN(2*PI()*(0)/Inputs!$C$40)+-Inputs!$C$41*EXP(-(((0)-Inputs!$C$43)^2)/(2*Inputs!$C$44^2))*EXP(-(((Model_Data!A156)-Inputs!$C$42)^2)/(2*Inputs!$C$45^2))+Inputs!$C$48*(0.70*(0.45*SIN(2*PI()*(((Model_Data!A156)/Inputs!$C$49)+Inputs!$C$47*0.137))+0.35*COS(2*PI()*(((0)/Inputs!$C$50)+Inputs!$C$47*0.173))+0.20*SIN(2*PI()*(((Model_Data!A156)+(0))/(0.5*(Inputs!$C$49+Inputs!$C$50))+Inputs!$C$47*0.097)))+0.30*(2*((SIN(((Model_Data!A156)*12.9898+(0)*78.233+Inputs!$C$47*37.719))*43758.5453)-INT((SIN(((Model_Data!A156)*12.9898+(0)*78.233+Inputs!$C$47*37.719))*43758.5453)))-1))))/1000))*1000/Inputs!$C$12)-((SQRT((Model_Data!A156)^2+Inputs!$C$6^2+Inputs!$C$5^2)-Inputs!$C$5)*1000/Inputs!$C$12)))</x:f>
        <x:v>0.0010294802054886532</x:v>
      </x:c>
      <x:c r="X156" s="48" t="n">
        <x:f>0</x:f>
        <x:v>0</x:v>
      </x:c>
      <x:c r="Y156" s="49"/>
      <x:c r="Z156" s="48" t="n">
        <x:f>Model_Data!A156</x:f>
        <x:v>17</x:v>
      </x:c>
      <x:c r="AA156" s="48" t="n">
        <x:f>SQRT((Model_Data!A156)^2+Inputs!$C$6^2+((Model_Data!B156)-((Inputs!$C$51*(115*EXP(-(((Inputs!$C$6)-25)^2)/(4.5^2))+70*EXP(-(((Inputs!$C$6)+38)^2)/(7^2))*(0.55+0.45*SIN(2*PI()*(Model_Data!A156)/45))+24*SIN(2*PI()*(Inputs!$C$6)/9+(Model_Data!A156)/18)*EXP(-(((Inputs!$C$6)+5)^2)/(22^2))+18*SIN(2*PI()*(Model_Data!A156)/70))+Inputs!$C$28*EXP(-(((Model_Data!A156)-Inputs!$C$29)^2)/(2*Inputs!$C$31^2))*EXP(-(((Inputs!$C$6)-Inputs!$C$30)^2)/(2*Inputs!$C$32^2))+-Inputs!$C$33*EXP(-(((((Model_Data!A156)-Inputs!$C$34)^2)+(((Inputs!$C$6)-Inputs!$C$35)^2))/(2*Inputs!$C$36^2)))+Inputs!$C$37*(0.55*SIN(2*PI()*(Model_Data!A156)/Inputs!$C$39)+0.35*COS(2*PI()*(Inputs!$C$6)/Inputs!$C$40)+0.2*SIN(2*PI()*((Model_Data!A156)+(Inputs!$C$6))/(0.5*(Inputs!$C$39+Inputs!$C$40))))+Inputs!$C$38*SIN(2*PI()*(Model_Data!A156)/Inputs!$C$39)*SIN(2*PI()*(Inputs!$C$6)/Inputs!$C$40)+-Inputs!$C$41*EXP(-(((Inputs!$C$6)-Inputs!$C$43)^2)/(2*Inputs!$C$44^2))*EXP(-(((Model_Data!A156)-Inputs!$C$42)^2)/(2*Inputs!$C$45^2))+Inputs!$C$48*(0.70*(0.45*SIN(2*PI()*(((Model_Data!A156)/Inputs!$C$49)+Inputs!$C$47*0.137))+0.35*COS(2*PI()*(((Inputs!$C$6)/Inputs!$C$50)+Inputs!$C$47*0.173))+0.20*SIN(2*PI()*(((Model_Data!A156)+(Inputs!$C$6))/(0.5*(Inputs!$C$49+Inputs!$C$50))+Inputs!$C$47*0.097)))+0.30*(2*((SIN(((Model_Data!A156)*12.9898+(Inputs!$C$6)*78.233+Inputs!$C$47*37.719))*43758.5453)-INT((SIN(((Model_Data!A156)*12.9898+(Inputs!$C$6)*78.233+Inputs!$C$47*37.719))*43758.5453)))-1))))/1000)^2)</x:f>
        <x:v>401.0593194167654</x:v>
      </x:c>
      <x:c r="AB156" s="48" t="n">
        <x:f>1000*(AA157-AA155)/(Z157-Z155)*Inputs!$C$11</x:f>
        <x:v>294.727488685794</x:v>
      </x:c>
      <x:c r="AC156" s="48" t="n">
        <x:f>-2*AB156/Inputs!$C$13</x:f>
        <x:v>-117.8909954743176</x:v>
      </x:c>
      <x:c r="AD156" s="48" t="n">
        <x:f>-2*AB156/Inputs!$C$14</x:f>
        <x:v>-17.701350671819462</x:v>
      </x:c>
    </x:row>
    <x:row r="157">
      <x:c r="A157" s="48" t="n">
        <x:f>Model_Data!A157</x:f>
        <x:v>17.5</x:v>
      </x:c>
      <x:c r="B157" s="48" t="n">
        <x:f>Model_Data!F157</x:f>
        <x:v>652.4654405923689</x:v>
      </x:c>
      <x:c r="C157" s="48" t="n">
        <x:f>(((SQRT((Model_Data!A157)^2+Inputs!$C$6^2+((Model_Data!B157)-((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(0.45*SIN(2*PI()*(((Model_Data!A157)/Inputs!$C$49)+Inputs!$C$47*0.137))+0.35*COS(2*PI()*(((Inputs!$C$6)/Inputs!$C$50)+Inputs!$C$47*0.173))+0.20*SIN(2*PI()*(((Model_Data!A157)+(Inputs!$C$6))/(0.5*(Inputs!$C$49+Inputs!$C$50))+Inputs!$C$47*0.097)))+0.30*(2*((SIN(((Model_Data!A157)*12.9898+(Inputs!$C$6)*78.233+Inputs!$C$47*37.719))*43758.5453)-INT((SIN(((Model_Data!A157)*12.9898+(Inputs!$C$6)*78.233+Inputs!$C$47*37.719))*43758.5453)))-1))))/1000)^2))-(((Model_Data!B157)-((Inputs!$C$51*(115*EXP(-(((0)-25)^2)/(4.5^2))+70*EXP(-(((0)+38)^2)/(7^2))*(0.55+0.45*SIN(2*PI()*(Model_Data!A157)/45))+24*SIN(2*PI()*(0)/9+(Model_Data!A157)/18)*EXP(-(((0)+5)^2)/(22^2))+18*SIN(2*PI()*(Model_Data!A157)/70))+Inputs!$C$28*EXP(-(((Model_Data!A157)-Inputs!$C$29)^2)/(2*Inputs!$C$31^2))*EXP(-(((0)-Inputs!$C$30)^2)/(2*Inputs!$C$32^2))+-Inputs!$C$33*EXP(-(((((Model_Data!A157)-Inputs!$C$34)^2)+(((0)-Inputs!$C$35)^2))/(2*Inputs!$C$36^2)))+Inputs!$C$37*(0.55*SIN(2*PI()*(Model_Data!A157)/Inputs!$C$39)+0.35*COS(2*PI()*(0)/Inputs!$C$40)+0.2*SIN(2*PI()*((Model_Data!A157)+(0))/(0.5*(Inputs!$C$39+Inputs!$C$40))))+Inputs!$C$38*SIN(2*PI()*(Model_Data!A157)/Inputs!$C$39)*SIN(2*PI()*(0)/Inputs!$C$40)+-Inputs!$C$41*EXP(-(((0)-Inputs!$C$43)^2)/(2*Inputs!$C$44^2))*EXP(-(((Model_Data!A157)-Inputs!$C$42)^2)/(2*Inputs!$C$45^2))+Inputs!$C$48*(0.70*(0.45*SIN(2*PI()*(((Model_Data!A157)/Inputs!$C$49)+Inputs!$C$47*0.137))+0.35*COS(2*PI()*(((0)/Inputs!$C$50)+Inputs!$C$47*0.173))+0.20*SIN(2*PI()*(((Model_Data!A157)+(0))/(0.5*(Inputs!$C$49+Inputs!$C$50))+Inputs!$C$47*0.097)))+0.30*(2*((SIN(((Model_Data!A157)*12.9898+(0)*78.233+Inputs!$C$47*37.719))*43758.5453)-INT((SIN(((Model_Data!A157)*12.9898+(0)*78.233+Inputs!$C$47*37.719))*43758.5453)))-1))))/1000)))*1000/Inputs!$C$12)</x:f>
        <x:v>458.25770730487784</x:v>
      </x:c>
      <x:c r="D157" s="49"/>
      <x:c r="E157" s="48" t="n">
        <x:f>Model_Data!A157</x:f>
        <x:v>17.5</x:v>
      </x:c>
      <x:c r="F157" s="48" t="n">
        <x:f>(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(0.45*SIN(2*PI()*(((Model_Data!A157)/Inputs!$C$49)+Inputs!$C$47*0.137))+0.35*COS(2*PI()*(((Inputs!$C$6)/Inputs!$C$50)+Inputs!$C$47*0.173))+0.20*SIN(2*PI()*(((Model_Data!A157)+(Inputs!$C$6))/(0.5*(Inputs!$C$49+Inputs!$C$50))+Inputs!$C$47*0.097)))+0.30*(2*((SIN(((Model_Data!A157)*12.9898+(Inputs!$C$6)*78.233+Inputs!$C$47*37.719))*43758.5453)-INT((SIN(((Model_Data!A157)*12.9898+(Inputs!$C$6)*78.233+Inputs!$C$47*37.719))*43758.5453)))-1)))</x:f>
        <x:v>412.59673853506814</x:v>
      </x:c>
      <x:c r="G157" s="48" t="n">
        <x:f>(Inputs!$C$51*(115*EXP(-(((0)-25)^2)/(4.5^2))+70*EXP(-(((0)+38)^2)/(7^2))*(0.55+0.45*SIN(2*PI()*(Model_Data!A157)/45))+24*SIN(2*PI()*(0)/9+(Model_Data!A157)/18)*EXP(-(((0)+5)^2)/(22^2))+18*SIN(2*PI()*(Model_Data!A157)/70))+Inputs!$C$28*EXP(-(((Model_Data!A157)-Inputs!$C$29)^2)/(2*Inputs!$C$31^2))*EXP(-(((0)-Inputs!$C$30)^2)/(2*Inputs!$C$32^2))+-Inputs!$C$33*EXP(-(((((Model_Data!A157)-Inputs!$C$34)^2)+(((0)-Inputs!$C$35)^2))/(2*Inputs!$C$36^2)))+Inputs!$C$37*(0.55*SIN(2*PI()*(Model_Data!A157)/Inputs!$C$39)+0.35*COS(2*PI()*(0)/Inputs!$C$40)+0.2*SIN(2*PI()*((Model_Data!A157)+(0))/(0.5*(Inputs!$C$39+Inputs!$C$40))))+Inputs!$C$38*SIN(2*PI()*(Model_Data!A157)/Inputs!$C$39)*SIN(2*PI()*(0)/Inputs!$C$40)+-Inputs!$C$41*EXP(-(((0)-Inputs!$C$43)^2)/(2*Inputs!$C$44^2))*EXP(-(((Model_Data!A157)-Inputs!$C$42)^2)/(2*Inputs!$C$45^2))+Inputs!$C$48*(0.70*(0.45*SIN(2*PI()*(((Model_Data!A157)/Inputs!$C$49)+Inputs!$C$47*0.137))+0.35*COS(2*PI()*(((0)/Inputs!$C$50)+Inputs!$C$47*0.173))+0.20*SIN(2*PI()*(((Model_Data!A157)+(0))/(0.5*(Inputs!$C$49+Inputs!$C$50))+Inputs!$C$47*0.097)))+0.30*(2*((SIN(((Model_Data!A157)*12.9898+(0)*78.233+Inputs!$C$47*37.719))*43758.5453)-INT((SIN(((Model_Data!A157)*12.9898+(0)*78.233+Inputs!$C$47*37.719))*43758.5453)))-1)))</x:f>
        <x:v>65.71226511619231</x:v>
      </x:c>
      <x:c r="H157" s="49"/>
      <x:c r="I157" s="48" t="n">
        <x:f>Model_Data!A157</x:f>
        <x:v>17.5</x:v>
      </x:c>
      <x:c r="J157" s="48" t="n">
        <x:f>((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(0.45*SIN(2*PI()*(((Model_Data!A157)/Inputs!$C$49)+Inputs!$C$47*0.137))+0.35*COS(2*PI()*(((Inputs!$C$6)/Inputs!$C$50)+Inputs!$C$47*0.173))+0.20*SIN(2*PI()*(((Model_Data!A157)+(Inputs!$C$6))/(0.5*(Inputs!$C$49+Inputs!$C$50))+Inputs!$C$47*0.097)))+0.30*(2*((SIN(((Model_Data!A157)*12.9898+(Inputs!$C$6)*78.233+Inputs!$C$47*37.719))*43758.5453)-INT((SIN(((Model_Data!A157)*12.9898+(Inputs!$C$6)*78.233+Inputs!$C$47*37.719))*43758.5453)))-1))))-((Inputs!$C$51*(115*EXP(-(((0)-25)^2)/(4.5^2))+70*EXP(-(((0)+38)^2)/(7^2))*(0.55+0.45*SIN(2*PI()*(Model_Data!A157)/45))+24*SIN(2*PI()*(0)/9+(Model_Data!A157)/18)*EXP(-(((0)+5)^2)/(22^2))+18*SIN(2*PI()*(Model_Data!A157)/70))+Inputs!$C$28*EXP(-(((Model_Data!A157)-Inputs!$C$29)^2)/(2*Inputs!$C$31^2))*EXP(-(((0)-Inputs!$C$30)^2)/(2*Inputs!$C$32^2))+-Inputs!$C$33*EXP(-(((((Model_Data!A157)-Inputs!$C$34)^2)+(((0)-Inputs!$C$35)^2))/(2*Inputs!$C$36^2)))+Inputs!$C$37*(0.55*SIN(2*PI()*(Model_Data!A157)/Inputs!$C$39)+0.35*COS(2*PI()*(0)/Inputs!$C$40)+0.2*SIN(2*PI()*((Model_Data!A157)+(0))/(0.5*(Inputs!$C$39+Inputs!$C$40))))+Inputs!$C$38*SIN(2*PI()*(Model_Data!A157)/Inputs!$C$39)*SIN(2*PI()*(0)/Inputs!$C$40)+-Inputs!$C$41*EXP(-(((0)-Inputs!$C$43)^2)/(2*Inputs!$C$44^2))*EXP(-(((Model_Data!A157)-Inputs!$C$42)^2)/(2*Inputs!$C$45^2))+Inputs!$C$48*(0.70*(0.45*SIN(2*PI()*(((Model_Data!A157)/Inputs!$C$49)+Inputs!$C$47*0.137))+0.35*COS(2*PI()*(((0)/Inputs!$C$50)+Inputs!$C$47*0.173))+0.20*SIN(2*PI()*(((Model_Data!A157)+(0))/(0.5*(Inputs!$C$49+Inputs!$C$50))+Inputs!$C$47*0.097)))+0.30*(2*((SIN(((Model_Data!A157)*12.9898+(0)*78.233+Inputs!$C$47*37.719))*43758.5453)-INT((SIN(((Model_Data!A157)*12.9898+(0)*78.233+Inputs!$C$47*37.719))*43758.5453)))-1))))</x:f>
        <x:v>346.8844734188758</x:v>
      </x:c>
      <x:c r="K157" s="48" t="n">
        <x:f>-((((SQRT((Model_Data!A157)^2+Inputs!$C$6^2+((Model_Data!B157)-((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(0.45*SIN(2*PI()*(((Model_Data!A157)/Inputs!$C$49)+Inputs!$C$47*0.137))+0.35*COS(2*PI()*(((Inputs!$C$6)/Inputs!$C$50)+Inputs!$C$47*0.173))+0.20*SIN(2*PI()*(((Model_Data!A157)+(Inputs!$C$6))/(0.5*(Inputs!$C$49+Inputs!$C$50))+Inputs!$C$47*0.097)))+0.30*(2*((SIN(((Model_Data!A157)*12.9898+(Inputs!$C$6)*78.233+Inputs!$C$47*37.719))*43758.5453)-INT((SIN(((Model_Data!A157)*12.9898+(Inputs!$C$6)*78.233+Inputs!$C$47*37.719))*43758.5453)))-1))))/1000)^2))-(((Model_Data!B157)-((Inputs!$C$51*(115*EXP(-(((0)-25)^2)/(4.5^2))+70*EXP(-(((0)+38)^2)/(7^2))*(0.55+0.45*SIN(2*PI()*(Model_Data!A157)/45))+24*SIN(2*PI()*(0)/9+(Model_Data!A157)/18)*EXP(-(((0)+5)^2)/(22^2))+18*SIN(2*PI()*(Model_Data!A157)/70))+Inputs!$C$28*EXP(-(((Model_Data!A157)-Inputs!$C$29)^2)/(2*Inputs!$C$31^2))*EXP(-(((0)-Inputs!$C$30)^2)/(2*Inputs!$C$32^2))+-Inputs!$C$33*EXP(-(((((Model_Data!A157)-Inputs!$C$34)^2)+(((0)-Inputs!$C$35)^2))/(2*Inputs!$C$36^2)))+Inputs!$C$37*(0.55*SIN(2*PI()*(Model_Data!A157)/Inputs!$C$39)+0.35*COS(2*PI()*(0)/Inputs!$C$40)+0.2*SIN(2*PI()*((Model_Data!A157)+(0))/(0.5*(Inputs!$C$39+Inputs!$C$40))))+Inputs!$C$38*SIN(2*PI()*(Model_Data!A157)/Inputs!$C$39)*SIN(2*PI()*(0)/Inputs!$C$40)+-Inputs!$C$41*EXP(-(((0)-Inputs!$C$43)^2)/(2*Inputs!$C$44^2))*EXP(-(((Model_Data!A157)-Inputs!$C$42)^2)/(2*Inputs!$C$45^2))+Inputs!$C$48*(0.70*(0.45*SIN(2*PI()*(((Model_Data!A157)/Inputs!$C$49)+Inputs!$C$47*0.137))+0.35*COS(2*PI()*(((0)/Inputs!$C$50)+Inputs!$C$47*0.173))+0.20*SIN(2*PI()*(((Model_Data!A157)+(0))/(0.5*(Inputs!$C$49+Inputs!$C$50))+Inputs!$C$47*0.097)))+0.30*(2*((SIN(((Model_Data!A157)*12.9898+(0)*78.233+Inputs!$C$47*37.719))*43758.5453)-INT((SIN(((Model_Data!A157)*12.9898+(0)*78.233+Inputs!$C$47*37.719))*43758.5453)))-1))))/1000)))*1000/Inputs!$C$12)-Model_Data!F157)</x:f>
        <x:v>194.207733287491</x:v>
      </x:c>
      <x:c r="L157" s="49"/>
      <x:c r="M157" s="48" t="n">
        <x:f>Model_Data!A157</x:f>
        <x:v>17.5</x:v>
      </x:c>
      <x:c r="N157" s="48" t="n">
        <x:f>Model_Data!P157</x:f>
        <x:v>-131.78042876132014</x:v>
      </x:c>
      <x:c r="O157" s="48" t="n">
        <x:f>AC157</x:f>
        <x:v>-108.76651162507187</x:v>
      </x:c>
      <x:c r="P157" s="48" t="n">
        <x:f>Model_Data!Q157</x:f>
        <x:v>-19.786851165363387</x:v>
      </x:c>
      <x:c r="Q157" s="48" t="n">
        <x:f>AD157</x:f>
        <x:v>-16.331308051812595</x:v>
      </x:c>
      <x:c r="R157" s="49"/>
      <x:c r="S157" s="48" t="n">
        <x:f>Model_Data!A157</x:f>
        <x:v>17.5</x:v>
      </x:c>
      <x:c r="T157" s="48" t="n">
        <x:f>Model_Data!B157-Inputs!$C$5</x:f>
        <x:v>0.34027777777777146</x:v>
      </x:c>
      <x:c r="U157" s="49"/>
      <x:c r="V157" s="48" t="n">
        <x:f>Model_Data!A157</x:f>
        <x:v>17.5</x:v>
      </x:c>
      <x:c r="W157" s="48" t="n">
        <x:f>(-((((SQRT((Model_Data!A157)^2+Inputs!$C$6^2+((Model_Data!B157)-((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(0.45*SIN(2*PI()*(((Model_Data!A157)/Inputs!$C$49)+Inputs!$C$47*0.137))+0.35*COS(2*PI()*(((Inputs!$C$6)/Inputs!$C$50)+Inputs!$C$47*0.173))+0.20*SIN(2*PI()*(((Model_Data!A157)+(Inputs!$C$6))/(0.5*(Inputs!$C$49+Inputs!$C$50))+Inputs!$C$47*0.097)))+0.30*(2*((SIN(((Model_Data!A157)*12.9898+(Inputs!$C$6)*78.233+Inputs!$C$47*37.719))*43758.5453)-INT((SIN(((Model_Data!A157)*12.9898+(Inputs!$C$6)*78.233+Inputs!$C$47*37.719))*43758.5453)))-1))))/1000)^2))-(((Model_Data!B157)-((Inputs!$C$51*(115*EXP(-(((0)-25)^2)/(4.5^2))+70*EXP(-(((0)+38)^2)/(7^2))*(0.55+0.45*SIN(2*PI()*(Model_Data!A157)/45))+24*SIN(2*PI()*(0)/9+(Model_Data!A157)/18)*EXP(-(((0)+5)^2)/(22^2))+18*SIN(2*PI()*(Model_Data!A157)/70))+Inputs!$C$28*EXP(-(((Model_Data!A157)-Inputs!$C$29)^2)/(2*Inputs!$C$31^2))*EXP(-(((0)-Inputs!$C$30)^2)/(2*Inputs!$C$32^2))+-Inputs!$C$33*EXP(-(((((Model_Data!A157)-Inputs!$C$34)^2)+(((0)-Inputs!$C$35)^2))/(2*Inputs!$C$36^2)))+Inputs!$C$37*(0.55*SIN(2*PI()*(Model_Data!A157)/Inputs!$C$39)+0.35*COS(2*PI()*(0)/Inputs!$C$40)+0.2*SIN(2*PI()*((Model_Data!A157)+(0))/(0.5*(Inputs!$C$39+Inputs!$C$40))))+Inputs!$C$38*SIN(2*PI()*(Model_Data!A157)/Inputs!$C$39)*SIN(2*PI()*(0)/Inputs!$C$40)+-Inputs!$C$41*EXP(-(((0)-Inputs!$C$43)^2)/(2*Inputs!$C$44^2))*EXP(-(((Model_Data!A157)-Inputs!$C$42)^2)/(2*Inputs!$C$45^2))+Inputs!$C$48*(0.70*(0.45*SIN(2*PI()*(((Model_Data!A157)/Inputs!$C$49)+Inputs!$C$47*0.137))+0.35*COS(2*PI()*(((0)/Inputs!$C$50)+Inputs!$C$47*0.173))+0.20*SIN(2*PI()*(((Model_Data!A157)+(0))/(0.5*(Inputs!$C$49+Inputs!$C$50))+Inputs!$C$47*0.097)))+0.30*(2*((SIN(((Model_Data!A157)*12.9898+(0)*78.233+Inputs!$C$47*37.719))*43758.5453)-INT((SIN(((Model_Data!A157)*12.9898+(0)*78.233+Inputs!$C$47*37.719))*43758.5453)))-1))))/1000)))*1000/Inputs!$C$12)-Model_Data!F157))-(-(((SQRT((Model_Data!A157)^2+Inputs!$C$6^2+(Inputs!$C$5-((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(0.45*SIN(2*PI()*(((Model_Data!A157)/Inputs!$C$49)+Inputs!$C$47*0.137))+0.35*COS(2*PI()*(((Inputs!$C$6)/Inputs!$C$50)+Inputs!$C$47*0.173))+0.20*SIN(2*PI()*(((Model_Data!A157)+(Inputs!$C$6))/(0.5*(Inputs!$C$49+Inputs!$C$50))+Inputs!$C$47*0.097)))+0.30*(2*((SIN(((Model_Data!A157)*12.9898+(Inputs!$C$6)*78.233+Inputs!$C$47*37.719))*43758.5453)-INT((SIN(((Model_Data!A157)*12.9898+(Inputs!$C$6)*78.233+Inputs!$C$47*37.719))*43758.5453)))-1))))/1000)^2)-(Inputs!$C$5-((Inputs!$C$51*(115*EXP(-(((0)-25)^2)/(4.5^2))+70*EXP(-(((0)+38)^2)/(7^2))*(0.55+0.45*SIN(2*PI()*(Model_Data!A157)/45))+24*SIN(2*PI()*(0)/9+(Model_Data!A157)/18)*EXP(-(((0)+5)^2)/(22^2))+18*SIN(2*PI()*(Model_Data!A157)/70))+Inputs!$C$28*EXP(-(((Model_Data!A157)-Inputs!$C$29)^2)/(2*Inputs!$C$31^2))*EXP(-(((0)-Inputs!$C$30)^2)/(2*Inputs!$C$32^2))+-Inputs!$C$33*EXP(-(((((Model_Data!A157)-Inputs!$C$34)^2)+(((0)-Inputs!$C$35)^2))/(2*Inputs!$C$36^2)))+Inputs!$C$37*(0.55*SIN(2*PI()*(Model_Data!A157)/Inputs!$C$39)+0.35*COS(2*PI()*(0)/Inputs!$C$40)+0.2*SIN(2*PI()*((Model_Data!A157)+(0))/(0.5*(Inputs!$C$39+Inputs!$C$40))))+Inputs!$C$38*SIN(2*PI()*(Model_Data!A157)/Inputs!$C$39)*SIN(2*PI()*(0)/Inputs!$C$40)+-Inputs!$C$41*EXP(-(((0)-Inputs!$C$43)^2)/(2*Inputs!$C$44^2))*EXP(-(((Model_Data!A157)-Inputs!$C$42)^2)/(2*Inputs!$C$45^2))+Inputs!$C$48*(0.70*(0.45*SIN(2*PI()*(((Model_Data!A157)/Inputs!$C$49)+Inputs!$C$47*0.137))+0.35*COS(2*PI()*(((0)/Inputs!$C$50)+Inputs!$C$47*0.173))+0.20*SIN(2*PI()*(((Model_Data!A157)+(0))/(0.5*(Inputs!$C$49+Inputs!$C$50))+Inputs!$C$47*0.097)))+0.30*(2*((SIN(((Model_Data!A157)*12.9898+(0)*78.233+Inputs!$C$47*37.719))*43758.5453)-INT((SIN(((Model_Data!A157)*12.9898+(0)*78.233+Inputs!$C$47*37.719))*43758.5453)))-1))))/1000))*1000/Inputs!$C$12)-((SQRT((Model_Data!A157)^2+Inputs!$C$6^2+Inputs!$C$5^2)-Inputs!$C$5)*1000/Inputs!$C$12)))</x:f>
        <x:v>0.0011380532111502362</x:v>
      </x:c>
      <x:c r="X157" s="48" t="n">
        <x:f>0</x:f>
        <x:v>0</x:v>
      </x:c>
      <x:c r="Y157" s="49"/>
      <x:c r="Z157" s="48" t="n">
        <x:f>Model_Data!A157</x:f>
        <x:v>17.5</x:v>
      </x:c>
      <x:c r="AA157" s="48" t="n">
        <x:f>SQRT((Model_Data!A157)^2+Inputs!$C$6^2+((Model_Data!B157)-((Inputs!$C$51*(115*EXP(-(((Inputs!$C$6)-25)^2)/(4.5^2))+70*EXP(-(((Inputs!$C$6)+38)^2)/(7^2))*(0.55+0.45*SIN(2*PI()*(Model_Data!A157)/45))+24*SIN(2*PI()*(Inputs!$C$6)/9+(Model_Data!A157)/18)*EXP(-(((Inputs!$C$6)+5)^2)/(22^2))+18*SIN(2*PI()*(Model_Data!A157)/70))+Inputs!$C$28*EXP(-(((Model_Data!A157)-Inputs!$C$29)^2)/(2*Inputs!$C$31^2))*EXP(-(((Inputs!$C$6)-Inputs!$C$30)^2)/(2*Inputs!$C$32^2))+-Inputs!$C$33*EXP(-(((((Model_Data!A157)-Inputs!$C$34)^2)+(((Inputs!$C$6)-Inputs!$C$35)^2))/(2*Inputs!$C$36^2)))+Inputs!$C$37*(0.55*SIN(2*PI()*(Model_Data!A157)/Inputs!$C$39)+0.35*COS(2*PI()*(Inputs!$C$6)/Inputs!$C$40)+0.2*SIN(2*PI()*((Model_Data!A157)+(Inputs!$C$6))/(0.5*(Inputs!$C$39+Inputs!$C$40))))+Inputs!$C$38*SIN(2*PI()*(Model_Data!A157)/Inputs!$C$39)*SIN(2*PI()*(Inputs!$C$6)/Inputs!$C$40)+-Inputs!$C$41*EXP(-(((Inputs!$C$6)-Inputs!$C$43)^2)/(2*Inputs!$C$44^2))*EXP(-(((Model_Data!A157)-Inputs!$C$42)^2)/(2*Inputs!$C$45^2))+Inputs!$C$48*(0.70*(0.45*SIN(2*PI()*(((Model_Data!A157)/Inputs!$C$49)+Inputs!$C$47*0.137))+0.35*COS(2*PI()*(((Inputs!$C$6)/Inputs!$C$50)+Inputs!$C$47*0.173))+0.20*SIN(2*PI()*(((Model_Data!A157)+(Inputs!$C$6))/(0.5*(Inputs!$C$49+Inputs!$C$50))+Inputs!$C$47*0.097)))+0.30*(2*((SIN(((Model_Data!A157)*12.9898+(Inputs!$C$6)*78.233+Inputs!$C$47*37.719))*43758.5453)-INT((SIN(((Model_Data!A157)*12.9898+(Inputs!$C$6)*78.233+Inputs!$C$47*37.719))*43758.5453)))-1))))/1000)^2)</x:f>
        <x:v>401.09026423166426</x:v>
      </x:c>
      <x:c r="AB157" s="48" t="n">
        <x:f>1000*(AA158-AA156)/(Z158-Z156)*Inputs!$C$11</x:f>
        <x:v>271.9162790626797</x:v>
      </x:c>
      <x:c r="AC157" s="48" t="n">
        <x:f>-2*AB157/Inputs!$C$13</x:f>
        <x:v>-108.76651162507187</x:v>
      </x:c>
      <x:c r="AD157" s="48" t="n">
        <x:f>-2*AB157/Inputs!$C$14</x:f>
        <x:v>-16.331308051812595</x:v>
      </x:c>
    </x:row>
    <x:row r="158">
      <x:c r="A158" s="48" t="n">
        <x:f>Model_Data!A158</x:f>
        <x:v>18</x:v>
      </x:c>
      <x:c r="B158" s="48" t="n">
        <x:f>Model_Data!F158</x:f>
        <x:v>664.8507097434994</x:v>
      </x:c>
      <x:c r="C158" s="48" t="n">
        <x:f>(((SQRT((Model_Data!A158)^2+Inputs!$C$6^2+((Model_Data!B158)-((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(0.45*SIN(2*PI()*(((Model_Data!A158)/Inputs!$C$49)+Inputs!$C$47*0.137))+0.35*COS(2*PI()*(((Inputs!$C$6)/Inputs!$C$50)+Inputs!$C$47*0.173))+0.20*SIN(2*PI()*(((Model_Data!A158)+(Inputs!$C$6))/(0.5*(Inputs!$C$49+Inputs!$C$50))+Inputs!$C$47*0.097)))+0.30*(2*((SIN(((Model_Data!A158)*12.9898+(Inputs!$C$6)*78.233+Inputs!$C$47*37.719))*43758.5453)-INT((SIN(((Model_Data!A158)*12.9898+(Inputs!$C$6)*78.233+Inputs!$C$47*37.719))*43758.5453)))-1))))/1000)^2))-(((Model_Data!B158)-((Inputs!$C$51*(115*EXP(-(((0)-25)^2)/(4.5^2))+70*EXP(-(((0)+38)^2)/(7^2))*(0.55+0.45*SIN(2*PI()*(Model_Data!A158)/45))+24*SIN(2*PI()*(0)/9+(Model_Data!A158)/18)*EXP(-(((0)+5)^2)/(22^2))+18*SIN(2*PI()*(Model_Data!A158)/70))+Inputs!$C$28*EXP(-(((Model_Data!A158)-Inputs!$C$29)^2)/(2*Inputs!$C$31^2))*EXP(-(((0)-Inputs!$C$30)^2)/(2*Inputs!$C$32^2))+-Inputs!$C$33*EXP(-(((((Model_Data!A158)-Inputs!$C$34)^2)+(((0)-Inputs!$C$35)^2))/(2*Inputs!$C$36^2)))+Inputs!$C$37*(0.55*SIN(2*PI()*(Model_Data!A158)/Inputs!$C$39)+0.35*COS(2*PI()*(0)/Inputs!$C$40)+0.2*SIN(2*PI()*((Model_Data!A158)+(0))/(0.5*(Inputs!$C$39+Inputs!$C$40))))+Inputs!$C$38*SIN(2*PI()*(Model_Data!A158)/Inputs!$C$39)*SIN(2*PI()*(0)/Inputs!$C$40)+-Inputs!$C$41*EXP(-(((0)-Inputs!$C$43)^2)/(2*Inputs!$C$44^2))*EXP(-(((Model_Data!A158)-Inputs!$C$42)^2)/(2*Inputs!$C$45^2))+Inputs!$C$48*(0.70*(0.45*SIN(2*PI()*(((Model_Data!A158)/Inputs!$C$49)+Inputs!$C$47*0.137))+0.35*COS(2*PI()*(((0)/Inputs!$C$50)+Inputs!$C$47*0.173))+0.20*SIN(2*PI()*(((Model_Data!A158)+(0))/(0.5*(Inputs!$C$49+Inputs!$C$50))+Inputs!$C$47*0.097)))+0.30*(2*((SIN(((Model_Data!A158)*12.9898+(0)*78.233+Inputs!$C$47*37.719))*43758.5453)-INT((SIN(((Model_Data!A158)*12.9898+(0)*78.233+Inputs!$C$47*37.719))*43758.5453)))-1))))/1000)))*1000/Inputs!$C$12)</x:f>
        <x:v>470.6749846450664</x:v>
      </x:c>
      <x:c r="D158" s="49"/>
      <x:c r="E158" s="48" t="n">
        <x:f>Model_Data!A158</x:f>
        <x:v>18</x:v>
      </x:c>
      <x:c r="F158" s="48" t="n">
        <x:f>(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(0.45*SIN(2*PI()*(((Model_Data!A158)/Inputs!$C$49)+Inputs!$C$47*0.137))+0.35*COS(2*PI()*(((Inputs!$C$6)/Inputs!$C$50)+Inputs!$C$47*0.173))+0.20*SIN(2*PI()*(((Model_Data!A158)+(Inputs!$C$6))/(0.5*(Inputs!$C$49+Inputs!$C$50))+Inputs!$C$47*0.097)))+0.30*(2*((SIN(((Model_Data!A158)*12.9898+(Inputs!$C$6)*78.233+Inputs!$C$47*37.719))*43758.5453)-INT((SIN(((Model_Data!A158)*12.9898+(Inputs!$C$6)*78.233+Inputs!$C$47*37.719))*43758.5453)))-1)))</x:f>
        <x:v>417.3671248555401</x:v>
      </x:c>
      <x:c r="G158" s="48" t="n">
        <x:f>(Inputs!$C$51*(115*EXP(-(((0)-25)^2)/(4.5^2))+70*EXP(-(((0)+38)^2)/(7^2))*(0.55+0.45*SIN(2*PI()*(Model_Data!A158)/45))+24*SIN(2*PI()*(0)/9+(Model_Data!A158)/18)*EXP(-(((0)+5)^2)/(22^2))+18*SIN(2*PI()*(Model_Data!A158)/70))+Inputs!$C$28*EXP(-(((Model_Data!A158)-Inputs!$C$29)^2)/(2*Inputs!$C$31^2))*EXP(-(((0)-Inputs!$C$30)^2)/(2*Inputs!$C$32^2))+-Inputs!$C$33*EXP(-(((((Model_Data!A158)-Inputs!$C$34)^2)+(((0)-Inputs!$C$35)^2))/(2*Inputs!$C$36^2)))+Inputs!$C$37*(0.55*SIN(2*PI()*(Model_Data!A158)/Inputs!$C$39)+0.35*COS(2*PI()*(0)/Inputs!$C$40)+0.2*SIN(2*PI()*((Model_Data!A158)+(0))/(0.5*(Inputs!$C$39+Inputs!$C$40))))+Inputs!$C$38*SIN(2*PI()*(Model_Data!A158)/Inputs!$C$39)*SIN(2*PI()*(0)/Inputs!$C$40)+-Inputs!$C$41*EXP(-(((0)-Inputs!$C$43)^2)/(2*Inputs!$C$44^2))*EXP(-(((Model_Data!A158)-Inputs!$C$42)^2)/(2*Inputs!$C$45^2))+Inputs!$C$48*(0.70*(0.45*SIN(2*PI()*(((Model_Data!A158)/Inputs!$C$49)+Inputs!$C$47*0.137))+0.35*COS(2*PI()*(((0)/Inputs!$C$50)+Inputs!$C$47*0.173))+0.20*SIN(2*PI()*(((Model_Data!A158)+(0))/(0.5*(Inputs!$C$49+Inputs!$C$50))+Inputs!$C$47*0.097)))+0.30*(2*((SIN(((Model_Data!A158)*12.9898+(0)*78.233+Inputs!$C$47*37.719))*43758.5453)-INT((SIN(((Model_Data!A158)*12.9898+(0)*78.233+Inputs!$C$47*37.719))*43758.5453)))-1)))</x:f>
        <x:v>70.50298613715029</x:v>
      </x:c>
      <x:c r="H158" s="49"/>
      <x:c r="I158" s="48" t="n">
        <x:f>Model_Data!A158</x:f>
        <x:v>18</x:v>
      </x:c>
      <x:c r="J158" s="48" t="n">
        <x:f>((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(0.45*SIN(2*PI()*(((Model_Data!A158)/Inputs!$C$49)+Inputs!$C$47*0.137))+0.35*COS(2*PI()*(((Inputs!$C$6)/Inputs!$C$50)+Inputs!$C$47*0.173))+0.20*SIN(2*PI()*(((Model_Data!A158)+(Inputs!$C$6))/(0.5*(Inputs!$C$49+Inputs!$C$50))+Inputs!$C$47*0.097)))+0.30*(2*((SIN(((Model_Data!A158)*12.9898+(Inputs!$C$6)*78.233+Inputs!$C$47*37.719))*43758.5453)-INT((SIN(((Model_Data!A158)*12.9898+(Inputs!$C$6)*78.233+Inputs!$C$47*37.719))*43758.5453)))-1))))-((Inputs!$C$51*(115*EXP(-(((0)-25)^2)/(4.5^2))+70*EXP(-(((0)+38)^2)/(7^2))*(0.55+0.45*SIN(2*PI()*(Model_Data!A158)/45))+24*SIN(2*PI()*(0)/9+(Model_Data!A158)/18)*EXP(-(((0)+5)^2)/(22^2))+18*SIN(2*PI()*(Model_Data!A158)/70))+Inputs!$C$28*EXP(-(((Model_Data!A158)-Inputs!$C$29)^2)/(2*Inputs!$C$31^2))*EXP(-(((0)-Inputs!$C$30)^2)/(2*Inputs!$C$32^2))+-Inputs!$C$33*EXP(-(((((Model_Data!A158)-Inputs!$C$34)^2)+(((0)-Inputs!$C$35)^2))/(2*Inputs!$C$36^2)))+Inputs!$C$37*(0.55*SIN(2*PI()*(Model_Data!A158)/Inputs!$C$39)+0.35*COS(2*PI()*(0)/Inputs!$C$40)+0.2*SIN(2*PI()*((Model_Data!A158)+(0))/(0.5*(Inputs!$C$39+Inputs!$C$40))))+Inputs!$C$38*SIN(2*PI()*(Model_Data!A158)/Inputs!$C$39)*SIN(2*PI()*(0)/Inputs!$C$40)+-Inputs!$C$41*EXP(-(((0)-Inputs!$C$43)^2)/(2*Inputs!$C$44^2))*EXP(-(((Model_Data!A158)-Inputs!$C$42)^2)/(2*Inputs!$C$45^2))+Inputs!$C$48*(0.70*(0.45*SIN(2*PI()*(((Model_Data!A158)/Inputs!$C$49)+Inputs!$C$47*0.137))+0.35*COS(2*PI()*(((0)/Inputs!$C$50)+Inputs!$C$47*0.173))+0.20*SIN(2*PI()*(((Model_Data!A158)+(0))/(0.5*(Inputs!$C$49+Inputs!$C$50))+Inputs!$C$47*0.097)))+0.30*(2*((SIN(((Model_Data!A158)*12.9898+(0)*78.233+Inputs!$C$47*37.719))*43758.5453)-INT((SIN(((Model_Data!A158)*12.9898+(0)*78.233+Inputs!$C$47*37.719))*43758.5453)))-1))))</x:f>
        <x:v>346.8641387183898</x:v>
      </x:c>
      <x:c r="K158" s="48" t="n">
        <x:f>-((((SQRT((Model_Data!A158)^2+Inputs!$C$6^2+((Model_Data!B158)-((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(0.45*SIN(2*PI()*(((Model_Data!A158)/Inputs!$C$49)+Inputs!$C$47*0.137))+0.35*COS(2*PI()*(((Inputs!$C$6)/Inputs!$C$50)+Inputs!$C$47*0.173))+0.20*SIN(2*PI()*(((Model_Data!A158)+(Inputs!$C$6))/(0.5*(Inputs!$C$49+Inputs!$C$50))+Inputs!$C$47*0.097)))+0.30*(2*((SIN(((Model_Data!A158)*12.9898+(Inputs!$C$6)*78.233+Inputs!$C$47*37.719))*43758.5453)-INT((SIN(((Model_Data!A158)*12.9898+(Inputs!$C$6)*78.233+Inputs!$C$47*37.719))*43758.5453)))-1))))/1000)^2))-(((Model_Data!B158)-((Inputs!$C$51*(115*EXP(-(((0)-25)^2)/(4.5^2))+70*EXP(-(((0)+38)^2)/(7^2))*(0.55+0.45*SIN(2*PI()*(Model_Data!A158)/45))+24*SIN(2*PI()*(0)/9+(Model_Data!A158)/18)*EXP(-(((0)+5)^2)/(22^2))+18*SIN(2*PI()*(Model_Data!A158)/70))+Inputs!$C$28*EXP(-(((Model_Data!A158)-Inputs!$C$29)^2)/(2*Inputs!$C$31^2))*EXP(-(((0)-Inputs!$C$30)^2)/(2*Inputs!$C$32^2))+-Inputs!$C$33*EXP(-(((((Model_Data!A158)-Inputs!$C$34)^2)+(((0)-Inputs!$C$35)^2))/(2*Inputs!$C$36^2)))+Inputs!$C$37*(0.55*SIN(2*PI()*(Model_Data!A158)/Inputs!$C$39)+0.35*COS(2*PI()*(0)/Inputs!$C$40)+0.2*SIN(2*PI()*((Model_Data!A158)+(0))/(0.5*(Inputs!$C$39+Inputs!$C$40))))+Inputs!$C$38*SIN(2*PI()*(Model_Data!A158)/Inputs!$C$39)*SIN(2*PI()*(0)/Inputs!$C$40)+-Inputs!$C$41*EXP(-(((0)-Inputs!$C$43)^2)/(2*Inputs!$C$44^2))*EXP(-(((Model_Data!A158)-Inputs!$C$42)^2)/(2*Inputs!$C$45^2))+Inputs!$C$48*(0.70*(0.45*SIN(2*PI()*(((Model_Data!A158)/Inputs!$C$49)+Inputs!$C$47*0.137))+0.35*COS(2*PI()*(((0)/Inputs!$C$50)+Inputs!$C$47*0.173))+0.20*SIN(2*PI()*(((Model_Data!A158)+(0))/(0.5*(Inputs!$C$49+Inputs!$C$50))+Inputs!$C$47*0.097)))+0.30*(2*((SIN(((Model_Data!A158)*12.9898+(0)*78.233+Inputs!$C$47*37.719))*43758.5453)-INT((SIN(((Model_Data!A158)*12.9898+(0)*78.233+Inputs!$C$47*37.719))*43758.5453)))-1))))/1000)))*1000/Inputs!$C$12)-Model_Data!F158)</x:f>
        <x:v>194.17572509843296</x:v>
      </x:c>
      <x:c r="L158" s="49"/>
      <x:c r="M158" s="48" t="n">
        <x:f>Model_Data!A158</x:f>
        <x:v>18</x:v>
      </x:c>
      <x:c r="N158" s="48" t="n">
        <x:f>Model_Data!P158</x:f>
        <x:v>-135.5346280280799</x:v>
      </x:c>
      <x:c r="O158" s="48" t="n">
        <x:f>AC158</x:f>
        <x:v>-133.32007495982907</x:v>
      </x:c>
      <x:c r="P158" s="48" t="n">
        <x:f>Model_Data!Q158</x:f>
        <x:v>-20.350544748960946</x:v>
      </x:c>
      <x:c r="Q158" s="48" t="n">
        <x:f>AD158</x:f>
        <x:v>-20.01802927324761</x:v>
      </x:c>
      <x:c r="R158" s="49"/>
      <x:c r="S158" s="48" t="n">
        <x:f>Model_Data!A158</x:f>
        <x:v>18</x:v>
      </x:c>
      <x:c r="T158" s="48" t="n">
        <x:f>Model_Data!B158-Inputs!$C$5</x:f>
        <x:v>0.36000000000001364</x:v>
      </x:c>
      <x:c r="U158" s="49"/>
      <x:c r="V158" s="48" t="n">
        <x:f>Model_Data!A158</x:f>
        <x:v>18</x:v>
      </x:c>
      <x:c r="W158" s="48" t="n">
        <x:f>(-((((SQRT((Model_Data!A158)^2+Inputs!$C$6^2+((Model_Data!B158)-((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(0.45*SIN(2*PI()*(((Model_Data!A158)/Inputs!$C$49)+Inputs!$C$47*0.137))+0.35*COS(2*PI()*(((Inputs!$C$6)/Inputs!$C$50)+Inputs!$C$47*0.173))+0.20*SIN(2*PI()*(((Model_Data!A158)+(Inputs!$C$6))/(0.5*(Inputs!$C$49+Inputs!$C$50))+Inputs!$C$47*0.097)))+0.30*(2*((SIN(((Model_Data!A158)*12.9898+(Inputs!$C$6)*78.233+Inputs!$C$47*37.719))*43758.5453)-INT((SIN(((Model_Data!A158)*12.9898+(Inputs!$C$6)*78.233+Inputs!$C$47*37.719))*43758.5453)))-1))))/1000)^2))-(((Model_Data!B158)-((Inputs!$C$51*(115*EXP(-(((0)-25)^2)/(4.5^2))+70*EXP(-(((0)+38)^2)/(7^2))*(0.55+0.45*SIN(2*PI()*(Model_Data!A158)/45))+24*SIN(2*PI()*(0)/9+(Model_Data!A158)/18)*EXP(-(((0)+5)^2)/(22^2))+18*SIN(2*PI()*(Model_Data!A158)/70))+Inputs!$C$28*EXP(-(((Model_Data!A158)-Inputs!$C$29)^2)/(2*Inputs!$C$31^2))*EXP(-(((0)-Inputs!$C$30)^2)/(2*Inputs!$C$32^2))+-Inputs!$C$33*EXP(-(((((Model_Data!A158)-Inputs!$C$34)^2)+(((0)-Inputs!$C$35)^2))/(2*Inputs!$C$36^2)))+Inputs!$C$37*(0.55*SIN(2*PI()*(Model_Data!A158)/Inputs!$C$39)+0.35*COS(2*PI()*(0)/Inputs!$C$40)+0.2*SIN(2*PI()*((Model_Data!A158)+(0))/(0.5*(Inputs!$C$39+Inputs!$C$40))))+Inputs!$C$38*SIN(2*PI()*(Model_Data!A158)/Inputs!$C$39)*SIN(2*PI()*(0)/Inputs!$C$40)+-Inputs!$C$41*EXP(-(((0)-Inputs!$C$43)^2)/(2*Inputs!$C$44^2))*EXP(-(((Model_Data!A158)-Inputs!$C$42)^2)/(2*Inputs!$C$45^2))+Inputs!$C$48*(0.70*(0.45*SIN(2*PI()*(((Model_Data!A158)/Inputs!$C$49)+Inputs!$C$47*0.137))+0.35*COS(2*PI()*(((0)/Inputs!$C$50)+Inputs!$C$47*0.173))+0.20*SIN(2*PI()*(((Model_Data!A158)+(0))/(0.5*(Inputs!$C$49+Inputs!$C$50))+Inputs!$C$47*0.097)))+0.30*(2*((SIN(((Model_Data!A158)*12.9898+(0)*78.233+Inputs!$C$47*37.719))*43758.5453)-INT((SIN(((Model_Data!A158)*12.9898+(0)*78.233+Inputs!$C$47*37.719))*43758.5453)))-1))))/1000)))*1000/Inputs!$C$12)-Model_Data!F158))-(-(((SQRT((Model_Data!A158)^2+Inputs!$C$6^2+(Inputs!$C$5-((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(0.45*SIN(2*PI()*(((Model_Data!A158)/Inputs!$C$49)+Inputs!$C$47*0.137))+0.35*COS(2*PI()*(((Inputs!$C$6)/Inputs!$C$50)+Inputs!$C$47*0.173))+0.20*SIN(2*PI()*(((Model_Data!A158)+(Inputs!$C$6))/(0.5*(Inputs!$C$49+Inputs!$C$50))+Inputs!$C$47*0.097)))+0.30*(2*((SIN(((Model_Data!A158)*12.9898+(Inputs!$C$6)*78.233+Inputs!$C$47*37.719))*43758.5453)-INT((SIN(((Model_Data!A158)*12.9898+(Inputs!$C$6)*78.233+Inputs!$C$47*37.719))*43758.5453)))-1))))/1000)^2)-(Inputs!$C$5-((Inputs!$C$51*(115*EXP(-(((0)-25)^2)/(4.5^2))+70*EXP(-(((0)+38)^2)/(7^2))*(0.55+0.45*SIN(2*PI()*(Model_Data!A158)/45))+24*SIN(2*PI()*(0)/9+(Model_Data!A158)/18)*EXP(-(((0)+5)^2)/(22^2))+18*SIN(2*PI()*(Model_Data!A158)/70))+Inputs!$C$28*EXP(-(((Model_Data!A158)-Inputs!$C$29)^2)/(2*Inputs!$C$31^2))*EXP(-(((0)-Inputs!$C$30)^2)/(2*Inputs!$C$32^2))+-Inputs!$C$33*EXP(-(((((Model_Data!A158)-Inputs!$C$34)^2)+(((0)-Inputs!$C$35)^2))/(2*Inputs!$C$36^2)))+Inputs!$C$37*(0.55*SIN(2*PI()*(Model_Data!A158)/Inputs!$C$39)+0.35*COS(2*PI()*(0)/Inputs!$C$40)+0.2*SIN(2*PI()*((Model_Data!A158)+(0))/(0.5*(Inputs!$C$39+Inputs!$C$40))))+Inputs!$C$38*SIN(2*PI()*(Model_Data!A158)/Inputs!$C$39)*SIN(2*PI()*(0)/Inputs!$C$40)+-Inputs!$C$41*EXP(-(((0)-Inputs!$C$43)^2)/(2*Inputs!$C$44^2))*EXP(-(((Model_Data!A158)-Inputs!$C$42)^2)/(2*Inputs!$C$45^2))+Inputs!$C$48*(0.70*(0.45*SIN(2*PI()*(((Model_Data!A158)/Inputs!$C$49)+Inputs!$C$47*0.137))+0.35*COS(2*PI()*(((0)/Inputs!$C$50)+Inputs!$C$47*0.173))+0.20*SIN(2*PI()*(((Model_Data!A158)+(0))/(0.5*(Inputs!$C$49+Inputs!$C$50))+Inputs!$C$47*0.097)))+0.30*(2*((SIN(((Model_Data!A158)*12.9898+(0)*78.233+Inputs!$C$47*37.719))*43758.5453)-INT((SIN(((Model_Data!A158)*12.9898+(0)*78.233+Inputs!$C$47*37.719))*43758.5453)))-1))))/1000))*1000/Inputs!$C$12)-((SQRT((Model_Data!A158)^2+Inputs!$C$6^2+Inputs!$C$5^2)-Inputs!$C$5)*1000/Inputs!$C$12)))</x:f>
        <x:v>0.0012408743655214494</x:v>
      </x:c>
      <x:c r="X158" s="48" t="n">
        <x:f>0</x:f>
        <x:v>0</x:v>
      </x:c>
      <x:c r="Y158" s="49"/>
      <x:c r="Z158" s="48" t="n">
        <x:f>Model_Data!A158</x:f>
        <x:v>18</x:v>
      </x:c>
      <x:c r="AA158" s="48" t="n">
        <x:f>SQRT((Model_Data!A158)^2+Inputs!$C$6^2+((Model_Data!B158)-((Inputs!$C$51*(115*EXP(-(((Inputs!$C$6)-25)^2)/(4.5^2))+70*EXP(-(((Inputs!$C$6)+38)^2)/(7^2))*(0.55+0.45*SIN(2*PI()*(Model_Data!A158)/45))+24*SIN(2*PI()*(Inputs!$C$6)/9+(Model_Data!A158)/18)*EXP(-(((Inputs!$C$6)+5)^2)/(22^2))+18*SIN(2*PI()*(Model_Data!A158)/70))+Inputs!$C$28*EXP(-(((Model_Data!A158)-Inputs!$C$29)^2)/(2*Inputs!$C$31^2))*EXP(-(((Inputs!$C$6)-Inputs!$C$30)^2)/(2*Inputs!$C$32^2))+-Inputs!$C$33*EXP(-(((((Model_Data!A158)-Inputs!$C$34)^2)+(((Inputs!$C$6)-Inputs!$C$35)^2))/(2*Inputs!$C$36^2)))+Inputs!$C$37*(0.55*SIN(2*PI()*(Model_Data!A158)/Inputs!$C$39)+0.35*COS(2*PI()*(Inputs!$C$6)/Inputs!$C$40)+0.2*SIN(2*PI()*((Model_Data!A158)+(Inputs!$C$6))/(0.5*(Inputs!$C$39+Inputs!$C$40))))+Inputs!$C$38*SIN(2*PI()*(Model_Data!A158)/Inputs!$C$39)*SIN(2*PI()*(Inputs!$C$6)/Inputs!$C$40)+-Inputs!$C$41*EXP(-(((Inputs!$C$6)-Inputs!$C$43)^2)/(2*Inputs!$C$44^2))*EXP(-(((Model_Data!A158)-Inputs!$C$42)^2)/(2*Inputs!$C$45^2))+Inputs!$C$48*(0.70*(0.45*SIN(2*PI()*(((Model_Data!A158)/Inputs!$C$49)+Inputs!$C$47*0.137))+0.35*COS(2*PI()*(((Inputs!$C$6)/Inputs!$C$50)+Inputs!$C$47*0.173))+0.20*SIN(2*PI()*(((Model_Data!A158)+(Inputs!$C$6))/(0.5*(Inputs!$C$49+Inputs!$C$50))+Inputs!$C$47*0.097)))+0.30*(2*((SIN(((Model_Data!A158)*12.9898+(Inputs!$C$6)*78.233+Inputs!$C$47*37.719))*43758.5453)-INT((SIN(((Model_Data!A158)*12.9898+(Inputs!$C$6)*78.233+Inputs!$C$47*37.719))*43758.5453)))-1))))/1000)^2)</x:f>
        <x:v>401.12729848653106</x:v>
      </x:c>
      <x:c r="AB158" s="48" t="n">
        <x:f>1000*(AA159-AA157)/(Z159-Z157)*Inputs!$C$11</x:f>
        <x:v>333.3001873995727</x:v>
      </x:c>
      <x:c r="AC158" s="48" t="n">
        <x:f>-2*AB158/Inputs!$C$13</x:f>
        <x:v>-133.32007495982907</x:v>
      </x:c>
      <x:c r="AD158" s="48" t="n">
        <x:f>-2*AB158/Inputs!$C$14</x:f>
        <x:v>-20.01802927324761</x:v>
      </x:c>
    </x:row>
    <x:row r="159">
      <x:c r="A159" s="48" t="n">
        <x:f>Model_Data!A159</x:f>
        <x:v>18.5</x:v>
      </x:c>
      <x:c r="B159" s="48" t="n">
        <x:f>Model_Data!F159</x:f>
        <x:v>677.5828824219851</x:v>
      </x:c>
      <x:c r="C159" s="48" t="n">
        <x:f>(((SQRT((Model_Data!A159)^2+Inputs!$C$6^2+((Model_Data!B159)-((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(0.45*SIN(2*PI()*(((Model_Data!A159)/Inputs!$C$49)+Inputs!$C$47*0.137))+0.35*COS(2*PI()*(((Inputs!$C$6)/Inputs!$C$50)+Inputs!$C$47*0.173))+0.20*SIN(2*PI()*(((Model_Data!A159)+(Inputs!$C$6))/(0.5*(Inputs!$C$49+Inputs!$C$50))+Inputs!$C$47*0.097)))+0.30*(2*((SIN(((Model_Data!A159)*12.9898+(Inputs!$C$6)*78.233+Inputs!$C$47*37.719))*43758.5453)-INT((SIN(((Model_Data!A159)*12.9898+(Inputs!$C$6)*78.233+Inputs!$C$47*37.719))*43758.5453)))-1))))/1000)^2))-(((Model_Data!B159)-((Inputs!$C$51*(115*EXP(-(((0)-25)^2)/(4.5^2))+70*EXP(-(((0)+38)^2)/(7^2))*(0.55+0.45*SIN(2*PI()*(Model_Data!A159)/45))+24*SIN(2*PI()*(0)/9+(Model_Data!A159)/18)*EXP(-(((0)+5)^2)/(22^2))+18*SIN(2*PI()*(Model_Data!A159)/70))+Inputs!$C$28*EXP(-(((Model_Data!A159)-Inputs!$C$29)^2)/(2*Inputs!$C$31^2))*EXP(-(((0)-Inputs!$C$30)^2)/(2*Inputs!$C$32^2))+-Inputs!$C$33*EXP(-(((((Model_Data!A159)-Inputs!$C$34)^2)+(((0)-Inputs!$C$35)^2))/(2*Inputs!$C$36^2)))+Inputs!$C$37*(0.55*SIN(2*PI()*(Model_Data!A159)/Inputs!$C$39)+0.35*COS(2*PI()*(0)/Inputs!$C$40)+0.2*SIN(2*PI()*((Model_Data!A159)+(0))/(0.5*(Inputs!$C$39+Inputs!$C$40))))+Inputs!$C$38*SIN(2*PI()*(Model_Data!A159)/Inputs!$C$39)*SIN(2*PI()*(0)/Inputs!$C$40)+-Inputs!$C$41*EXP(-(((0)-Inputs!$C$43)^2)/(2*Inputs!$C$44^2))*EXP(-(((Model_Data!A159)-Inputs!$C$42)^2)/(2*Inputs!$C$45^2))+Inputs!$C$48*(0.70*(0.45*SIN(2*PI()*(((Model_Data!A159)/Inputs!$C$49)+Inputs!$C$47*0.137))+0.35*COS(2*PI()*(((0)/Inputs!$C$50)+Inputs!$C$47*0.173))+0.20*SIN(2*PI()*(((Model_Data!A159)+(0))/(0.5*(Inputs!$C$49+Inputs!$C$50))+Inputs!$C$47*0.097)))+0.30*(2*((SIN(((Model_Data!A159)*12.9898+(0)*78.233+Inputs!$C$47*37.719))*43758.5453)-INT((SIN(((Model_Data!A159)*12.9898+(0)*78.233+Inputs!$C$47*37.719))*43758.5453)))-1))))/1000)))*1000/Inputs!$C$12)</x:f>
        <x:v>492.95804147937287</x:v>
      </x:c>
      <x:c r="D159" s="49"/>
      <x:c r="E159" s="48" t="n">
        <x:f>Model_Data!A159</x:f>
        <x:v>18.5</x:v>
      </x:c>
      <x:c r="F159" s="48" t="n">
        <x:f>(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(0.45*SIN(2*PI()*(((Model_Data!A159)/Inputs!$C$49)+Inputs!$C$47*0.137))+0.35*COS(2*PI()*(((Inputs!$C$6)/Inputs!$C$50)+Inputs!$C$47*0.173))+0.20*SIN(2*PI()*(((Model_Data!A159)+(Inputs!$C$6))/(0.5*(Inputs!$C$49+Inputs!$C$50))+Inputs!$C$47*0.097)))+0.30*(2*((SIN(((Model_Data!A159)*12.9898+(Inputs!$C$6)*78.233+Inputs!$C$47*37.719))*43758.5453)-INT((SIN(((Model_Data!A159)*12.9898+(Inputs!$C$6)*78.233+Inputs!$C$47*37.719))*43758.5453)))-1)))</x:f>
        <x:v>414.03078360208366</x:v>
      </x:c>
      <x:c r="G159" s="48" t="n">
        <x:f>(Inputs!$C$51*(115*EXP(-(((0)-25)^2)/(4.5^2))+70*EXP(-(((0)+38)^2)/(7^2))*(0.55+0.45*SIN(2*PI()*(Model_Data!A159)/45))+24*SIN(2*PI()*(0)/9+(Model_Data!A159)/18)*EXP(-(((0)+5)^2)/(22^2))+18*SIN(2*PI()*(Model_Data!A159)/70))+Inputs!$C$28*EXP(-(((Model_Data!A159)-Inputs!$C$29)^2)/(2*Inputs!$C$31^2))*EXP(-(((0)-Inputs!$C$30)^2)/(2*Inputs!$C$32^2))+-Inputs!$C$33*EXP(-(((((Model_Data!A159)-Inputs!$C$34)^2)+(((0)-Inputs!$C$35)^2))/(2*Inputs!$C$36^2)))+Inputs!$C$37*(0.55*SIN(2*PI()*(Model_Data!A159)/Inputs!$C$39)+0.35*COS(2*PI()*(0)/Inputs!$C$40)+0.2*SIN(2*PI()*((Model_Data!A159)+(0))/(0.5*(Inputs!$C$39+Inputs!$C$40))))+Inputs!$C$38*SIN(2*PI()*(Model_Data!A159)/Inputs!$C$39)*SIN(2*PI()*(0)/Inputs!$C$40)+-Inputs!$C$41*EXP(-(((0)-Inputs!$C$43)^2)/(2*Inputs!$C$44^2))*EXP(-(((Model_Data!A159)-Inputs!$C$42)^2)/(2*Inputs!$C$45^2))+Inputs!$C$48*(0.70*(0.45*SIN(2*PI()*(((Model_Data!A159)/Inputs!$C$49)+Inputs!$C$47*0.137))+0.35*COS(2*PI()*(((0)/Inputs!$C$50)+Inputs!$C$47*0.173))+0.20*SIN(2*PI()*(((Model_Data!A159)+(0))/(0.5*(Inputs!$C$49+Inputs!$C$50))+Inputs!$C$47*0.097)))+0.30*(2*((SIN(((Model_Data!A159)*12.9898+(0)*78.233+Inputs!$C$47*37.719))*43758.5453)-INT((SIN(((Model_Data!A159)*12.9898+(0)*78.233+Inputs!$C$47*37.719))*43758.5453)))-1)))</x:f>
        <x:v>84.15381309689964</x:v>
      </x:c>
      <x:c r="H159" s="49"/>
      <x:c r="I159" s="48" t="n">
        <x:f>Model_Data!A159</x:f>
        <x:v>18.5</x:v>
      </x:c>
      <x:c r="J159" s="48" t="n">
        <x:f>((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(0.45*SIN(2*PI()*(((Model_Data!A159)/Inputs!$C$49)+Inputs!$C$47*0.137))+0.35*COS(2*PI()*(((Inputs!$C$6)/Inputs!$C$50)+Inputs!$C$47*0.173))+0.20*SIN(2*PI()*(((Model_Data!A159)+(Inputs!$C$6))/(0.5*(Inputs!$C$49+Inputs!$C$50))+Inputs!$C$47*0.097)))+0.30*(2*((SIN(((Model_Data!A159)*12.9898+(Inputs!$C$6)*78.233+Inputs!$C$47*37.719))*43758.5453)-INT((SIN(((Model_Data!A159)*12.9898+(Inputs!$C$6)*78.233+Inputs!$C$47*37.719))*43758.5453)))-1))))-((Inputs!$C$51*(115*EXP(-(((0)-25)^2)/(4.5^2))+70*EXP(-(((0)+38)^2)/(7^2))*(0.55+0.45*SIN(2*PI()*(Model_Data!A159)/45))+24*SIN(2*PI()*(0)/9+(Model_Data!A159)/18)*EXP(-(((0)+5)^2)/(22^2))+18*SIN(2*PI()*(Model_Data!A159)/70))+Inputs!$C$28*EXP(-(((Model_Data!A159)-Inputs!$C$29)^2)/(2*Inputs!$C$31^2))*EXP(-(((0)-Inputs!$C$30)^2)/(2*Inputs!$C$32^2))+-Inputs!$C$33*EXP(-(((((Model_Data!A159)-Inputs!$C$34)^2)+(((0)-Inputs!$C$35)^2))/(2*Inputs!$C$36^2)))+Inputs!$C$37*(0.55*SIN(2*PI()*(Model_Data!A159)/Inputs!$C$39)+0.35*COS(2*PI()*(0)/Inputs!$C$40)+0.2*SIN(2*PI()*((Model_Data!A159)+(0))/(0.5*(Inputs!$C$39+Inputs!$C$40))))+Inputs!$C$38*SIN(2*PI()*(Model_Data!A159)/Inputs!$C$39)*SIN(2*PI()*(0)/Inputs!$C$40)+-Inputs!$C$41*EXP(-(((0)-Inputs!$C$43)^2)/(2*Inputs!$C$44^2))*EXP(-(((Model_Data!A159)-Inputs!$C$42)^2)/(2*Inputs!$C$45^2))+Inputs!$C$48*(0.70*(0.45*SIN(2*PI()*(((Model_Data!A159)/Inputs!$C$49)+Inputs!$C$47*0.137))+0.35*COS(2*PI()*(((0)/Inputs!$C$50)+Inputs!$C$47*0.173))+0.20*SIN(2*PI()*(((Model_Data!A159)+(0))/(0.5*(Inputs!$C$49+Inputs!$C$50))+Inputs!$C$47*0.097)))+0.30*(2*((SIN(((Model_Data!A159)*12.9898+(0)*78.233+Inputs!$C$47*37.719))*43758.5453)-INT((SIN(((Model_Data!A159)*12.9898+(0)*78.233+Inputs!$C$47*37.719))*43758.5453)))-1))))</x:f>
        <x:v>329.87697050518403</x:v>
      </x:c>
      <x:c r="K159" s="48" t="n">
        <x:f>-((((SQRT((Model_Data!A159)^2+Inputs!$C$6^2+((Model_Data!B159)-((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(0.45*SIN(2*PI()*(((Model_Data!A159)/Inputs!$C$49)+Inputs!$C$47*0.137))+0.35*COS(2*PI()*(((Inputs!$C$6)/Inputs!$C$50)+Inputs!$C$47*0.173))+0.20*SIN(2*PI()*(((Model_Data!A159)+(Inputs!$C$6))/(0.5*(Inputs!$C$49+Inputs!$C$50))+Inputs!$C$47*0.097)))+0.30*(2*((SIN(((Model_Data!A159)*12.9898+(Inputs!$C$6)*78.233+Inputs!$C$47*37.719))*43758.5453)-INT((SIN(((Model_Data!A159)*12.9898+(Inputs!$C$6)*78.233+Inputs!$C$47*37.719))*43758.5453)))-1))))/1000)^2))-(((Model_Data!B159)-((Inputs!$C$51*(115*EXP(-(((0)-25)^2)/(4.5^2))+70*EXP(-(((0)+38)^2)/(7^2))*(0.55+0.45*SIN(2*PI()*(Model_Data!A159)/45))+24*SIN(2*PI()*(0)/9+(Model_Data!A159)/18)*EXP(-(((0)+5)^2)/(22^2))+18*SIN(2*PI()*(Model_Data!A159)/70))+Inputs!$C$28*EXP(-(((Model_Data!A159)-Inputs!$C$29)^2)/(2*Inputs!$C$31^2))*EXP(-(((0)-Inputs!$C$30)^2)/(2*Inputs!$C$32^2))+-Inputs!$C$33*EXP(-(((((Model_Data!A159)-Inputs!$C$34)^2)+(((0)-Inputs!$C$35)^2))/(2*Inputs!$C$36^2)))+Inputs!$C$37*(0.55*SIN(2*PI()*(Model_Data!A159)/Inputs!$C$39)+0.35*COS(2*PI()*(0)/Inputs!$C$40)+0.2*SIN(2*PI()*((Model_Data!A159)+(0))/(0.5*(Inputs!$C$39+Inputs!$C$40))))+Inputs!$C$38*SIN(2*PI()*(Model_Data!A159)/Inputs!$C$39)*SIN(2*PI()*(0)/Inputs!$C$40)+-Inputs!$C$41*EXP(-(((0)-Inputs!$C$43)^2)/(2*Inputs!$C$44^2))*EXP(-(((Model_Data!A159)-Inputs!$C$42)^2)/(2*Inputs!$C$45^2))+Inputs!$C$48*(0.70*(0.45*SIN(2*PI()*(((Model_Data!A159)/Inputs!$C$49)+Inputs!$C$47*0.137))+0.35*COS(2*PI()*(((0)/Inputs!$C$50)+Inputs!$C$47*0.173))+0.20*SIN(2*PI()*(((Model_Data!A159)+(0))/(0.5*(Inputs!$C$49+Inputs!$C$50))+Inputs!$C$47*0.097)))+0.30*(2*((SIN(((Model_Data!A159)*12.9898+(0)*78.233+Inputs!$C$47*37.719))*43758.5453)-INT((SIN(((Model_Data!A159)*12.9898+(0)*78.233+Inputs!$C$47*37.719))*43758.5453)))-1))))/1000)))*1000/Inputs!$C$12)-Model_Data!F159)</x:f>
        <x:v>184.62484094261225</x:v>
      </x:c>
      <x:c r="L159" s="49"/>
      <x:c r="M159" s="48" t="n">
        <x:f>Model_Data!A159</x:f>
        <x:v>18.5</x:v>
      </x:c>
      <x:c r="N159" s="48" t="n">
        <x:f>Model_Data!P159</x:f>
        <x:v>-139.28790511207666</x:v>
      </x:c>
      <x:c r="O159" s="48" t="n">
        <x:f>AC159</x:f>
        <x:v>-120.2671252915934</x:v>
      </x:c>
      <x:c r="P159" s="48" t="n">
        <x:f>Model_Data!Q159</x:f>
        <x:v>-20.914099866678182</x:v>
      </x:c>
      <x:c r="Q159" s="48" t="n">
        <x:f>AD159</x:f>
        <x:v>-18.05812692065967</x:v>
      </x:c>
      <x:c r="R159" s="49"/>
      <x:c r="S159" s="48" t="n">
        <x:f>Model_Data!A159</x:f>
        <x:v>18.5</x:v>
      </x:c>
      <x:c r="T159" s="48" t="n">
        <x:f>Model_Data!B159-Inputs!$C$5</x:f>
        <x:v>0.3802777777777919</x:v>
      </x:c>
      <x:c r="U159" s="49"/>
      <x:c r="V159" s="48" t="n">
        <x:f>Model_Data!A159</x:f>
        <x:v>18.5</x:v>
      </x:c>
      <x:c r="W159" s="48" t="n">
        <x:f>(-((((SQRT((Model_Data!A159)^2+Inputs!$C$6^2+((Model_Data!B159)-((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(0.45*SIN(2*PI()*(((Model_Data!A159)/Inputs!$C$49)+Inputs!$C$47*0.137))+0.35*COS(2*PI()*(((Inputs!$C$6)/Inputs!$C$50)+Inputs!$C$47*0.173))+0.20*SIN(2*PI()*(((Model_Data!A159)+(Inputs!$C$6))/(0.5*(Inputs!$C$49+Inputs!$C$50))+Inputs!$C$47*0.097)))+0.30*(2*((SIN(((Model_Data!A159)*12.9898+(Inputs!$C$6)*78.233+Inputs!$C$47*37.719))*43758.5453)-INT((SIN(((Model_Data!A159)*12.9898+(Inputs!$C$6)*78.233+Inputs!$C$47*37.719))*43758.5453)))-1))))/1000)^2))-(((Model_Data!B159)-((Inputs!$C$51*(115*EXP(-(((0)-25)^2)/(4.5^2))+70*EXP(-(((0)+38)^2)/(7^2))*(0.55+0.45*SIN(2*PI()*(Model_Data!A159)/45))+24*SIN(2*PI()*(0)/9+(Model_Data!A159)/18)*EXP(-(((0)+5)^2)/(22^2))+18*SIN(2*PI()*(Model_Data!A159)/70))+Inputs!$C$28*EXP(-(((Model_Data!A159)-Inputs!$C$29)^2)/(2*Inputs!$C$31^2))*EXP(-(((0)-Inputs!$C$30)^2)/(2*Inputs!$C$32^2))+-Inputs!$C$33*EXP(-(((((Model_Data!A159)-Inputs!$C$34)^2)+(((0)-Inputs!$C$35)^2))/(2*Inputs!$C$36^2)))+Inputs!$C$37*(0.55*SIN(2*PI()*(Model_Data!A159)/Inputs!$C$39)+0.35*COS(2*PI()*(0)/Inputs!$C$40)+0.2*SIN(2*PI()*((Model_Data!A159)+(0))/(0.5*(Inputs!$C$39+Inputs!$C$40))))+Inputs!$C$38*SIN(2*PI()*(Model_Data!A159)/Inputs!$C$39)*SIN(2*PI()*(0)/Inputs!$C$40)+-Inputs!$C$41*EXP(-(((0)-Inputs!$C$43)^2)/(2*Inputs!$C$44^2))*EXP(-(((Model_Data!A159)-Inputs!$C$42)^2)/(2*Inputs!$C$45^2))+Inputs!$C$48*(0.70*(0.45*SIN(2*PI()*(((Model_Data!A159)/Inputs!$C$49)+Inputs!$C$47*0.137))+0.35*COS(2*PI()*(((0)/Inputs!$C$50)+Inputs!$C$47*0.173))+0.20*SIN(2*PI()*(((Model_Data!A159)+(0))/(0.5*(Inputs!$C$49+Inputs!$C$50))+Inputs!$C$47*0.097)))+0.30*(2*((SIN(((Model_Data!A159)*12.9898+(0)*78.233+Inputs!$C$47*37.719))*43758.5453)-INT((SIN(((Model_Data!A159)*12.9898+(0)*78.233+Inputs!$C$47*37.719))*43758.5453)))-1))))/1000)))*1000/Inputs!$C$12)-Model_Data!F159))-(-(((SQRT((Model_Data!A159)^2+Inputs!$C$6^2+(Inputs!$C$5-((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(0.45*SIN(2*PI()*(((Model_Data!A159)/Inputs!$C$49)+Inputs!$C$47*0.137))+0.35*COS(2*PI()*(((Inputs!$C$6)/Inputs!$C$50)+Inputs!$C$47*0.173))+0.20*SIN(2*PI()*(((Model_Data!A159)+(Inputs!$C$6))/(0.5*(Inputs!$C$49+Inputs!$C$50))+Inputs!$C$47*0.097)))+0.30*(2*((SIN(((Model_Data!A159)*12.9898+(Inputs!$C$6)*78.233+Inputs!$C$47*37.719))*43758.5453)-INT((SIN(((Model_Data!A159)*12.9898+(Inputs!$C$6)*78.233+Inputs!$C$47*37.719))*43758.5453)))-1))))/1000)^2)-(Inputs!$C$5-((Inputs!$C$51*(115*EXP(-(((0)-25)^2)/(4.5^2))+70*EXP(-(((0)+38)^2)/(7^2))*(0.55+0.45*SIN(2*PI()*(Model_Data!A159)/45))+24*SIN(2*PI()*(0)/9+(Model_Data!A159)/18)*EXP(-(((0)+5)^2)/(22^2))+18*SIN(2*PI()*(Model_Data!A159)/70))+Inputs!$C$28*EXP(-(((Model_Data!A159)-Inputs!$C$29)^2)/(2*Inputs!$C$31^2))*EXP(-(((0)-Inputs!$C$30)^2)/(2*Inputs!$C$32^2))+-Inputs!$C$33*EXP(-(((((Model_Data!A159)-Inputs!$C$34)^2)+(((0)-Inputs!$C$35)^2))/(2*Inputs!$C$36^2)))+Inputs!$C$37*(0.55*SIN(2*PI()*(Model_Data!A159)/Inputs!$C$39)+0.35*COS(2*PI()*(0)/Inputs!$C$40)+0.2*SIN(2*PI()*((Model_Data!A159)+(0))/(0.5*(Inputs!$C$39+Inputs!$C$40))))+Inputs!$C$38*SIN(2*PI()*(Model_Data!A159)/Inputs!$C$39)*SIN(2*PI()*(0)/Inputs!$C$40)+-Inputs!$C$41*EXP(-(((0)-Inputs!$C$43)^2)/(2*Inputs!$C$44^2))*EXP(-(((Model_Data!A159)-Inputs!$C$42)^2)/(2*Inputs!$C$45^2))+Inputs!$C$48*(0.70*(0.45*SIN(2*PI()*(((Model_Data!A159)/Inputs!$C$49)+Inputs!$C$47*0.137))+0.35*COS(2*PI()*(((0)/Inputs!$C$50)+Inputs!$C$47*0.173))+0.20*SIN(2*PI()*(((Model_Data!A159)+(0))/(0.5*(Inputs!$C$49+Inputs!$C$50))+Inputs!$C$47*0.097)))+0.30*(2*((SIN(((Model_Data!A159)*12.9898+(0)*78.233+Inputs!$C$47*37.719))*43758.5453)-INT((SIN(((Model_Data!A159)*12.9898+(0)*78.233+Inputs!$C$47*37.719))*43758.5453)))-1))))/1000))*1000/Inputs!$C$12)-((SQRT((Model_Data!A159)^2+Inputs!$C$6^2+Inputs!$C$5^2)-Inputs!$C$5)*1000/Inputs!$C$12)))</x:f>
        <x:v>0.0013249549153897533</x:v>
      </x:c>
      <x:c r="X159" s="48" t="n">
        <x:f>0</x:f>
        <x:v>0</x:v>
      </x:c>
      <x:c r="Y159" s="49"/>
      <x:c r="Z159" s="48" t="n">
        <x:f>Model_Data!A159</x:f>
        <x:v>18.5</x:v>
      </x:c>
      <x:c r="AA159" s="48" t="n">
        <x:f>SQRT((Model_Data!A159)^2+Inputs!$C$6^2+((Model_Data!B159)-((Inputs!$C$51*(115*EXP(-(((Inputs!$C$6)-25)^2)/(4.5^2))+70*EXP(-(((Inputs!$C$6)+38)^2)/(7^2))*(0.55+0.45*SIN(2*PI()*(Model_Data!A159)/45))+24*SIN(2*PI()*(Inputs!$C$6)/9+(Model_Data!A159)/18)*EXP(-(((Inputs!$C$6)+5)^2)/(22^2))+18*SIN(2*PI()*(Model_Data!A159)/70))+Inputs!$C$28*EXP(-(((Model_Data!A159)-Inputs!$C$29)^2)/(2*Inputs!$C$31^2))*EXP(-(((Inputs!$C$6)-Inputs!$C$30)^2)/(2*Inputs!$C$32^2))+-Inputs!$C$33*EXP(-(((((Model_Data!A159)-Inputs!$C$34)^2)+(((Inputs!$C$6)-Inputs!$C$35)^2))/(2*Inputs!$C$36^2)))+Inputs!$C$37*(0.55*SIN(2*PI()*(Model_Data!A159)/Inputs!$C$39)+0.35*COS(2*PI()*(Inputs!$C$6)/Inputs!$C$40)+0.2*SIN(2*PI()*((Model_Data!A159)+(Inputs!$C$6))/(0.5*(Inputs!$C$39+Inputs!$C$40))))+Inputs!$C$38*SIN(2*PI()*(Model_Data!A159)/Inputs!$C$39)*SIN(2*PI()*(Inputs!$C$6)/Inputs!$C$40)+-Inputs!$C$41*EXP(-(((Inputs!$C$6)-Inputs!$C$43)^2)/(2*Inputs!$C$44^2))*EXP(-(((Model_Data!A159)-Inputs!$C$42)^2)/(2*Inputs!$C$45^2))+Inputs!$C$48*(0.70*(0.45*SIN(2*PI()*(((Model_Data!A159)/Inputs!$C$49)+Inputs!$C$47*0.137))+0.35*COS(2*PI()*(((Inputs!$C$6)/Inputs!$C$50)+Inputs!$C$47*0.173))+0.20*SIN(2*PI()*(((Model_Data!A159)+(Inputs!$C$6))/(0.5*(Inputs!$C$49+Inputs!$C$50))+Inputs!$C$47*0.097)))+0.30*(2*((SIN(((Model_Data!A159)*12.9898+(Inputs!$C$6)*78.233+Inputs!$C$47*37.719))*43758.5453)-INT((SIN(((Model_Data!A159)*12.9898+(Inputs!$C$6)*78.233+Inputs!$C$47*37.719))*43758.5453)))-1))))/1000)^2)</x:f>
        <x:v>401.17358927851416</x:v>
      </x:c>
      <x:c r="AB159" s="48" t="n">
        <x:f>1000*(AA160-AA158)/(Z160-Z158)*Inputs!$C$11</x:f>
        <x:v>300.6678132289835</x:v>
      </x:c>
      <x:c r="AC159" s="48" t="n">
        <x:f>-2*AB159/Inputs!$C$13</x:f>
        <x:v>-120.2671252915934</x:v>
      </x:c>
      <x:c r="AD159" s="48" t="n">
        <x:f>-2*AB159/Inputs!$C$14</x:f>
        <x:v>-18.05812692065967</x:v>
      </x:c>
    </x:row>
    <x:row r="160">
      <x:c r="A160" s="48" t="n">
        <x:f>Model_Data!A160</x:f>
        <x:v>19</x:v>
      </x:c>
      <x:c r="B160" s="48" t="n">
        <x:f>Model_Data!F160</x:f>
        <x:v>690.6617945229834</x:v>
      </x:c>
      <x:c r="C160" s="48" t="n">
        <x:f>(((SQRT((Model_Data!A160)^2+Inputs!$C$6^2+((Model_Data!B160)-((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(0.45*SIN(2*PI()*(((Model_Data!A160)/Inputs!$C$49)+Inputs!$C$47*0.137))+0.35*COS(2*PI()*(((Inputs!$C$6)/Inputs!$C$50)+Inputs!$C$47*0.173))+0.20*SIN(2*PI()*(((Model_Data!A160)+(Inputs!$C$6))/(0.5*(Inputs!$C$49+Inputs!$C$50))+Inputs!$C$47*0.097)))+0.30*(2*((SIN(((Model_Data!A160)*12.9898+(Inputs!$C$6)*78.233+Inputs!$C$47*37.719))*43758.5453)-INT((SIN(((Model_Data!A160)*12.9898+(Inputs!$C$6)*78.233+Inputs!$C$47*37.719))*43758.5453)))-1))))/1000)^2))-(((Model_Data!B160)-((Inputs!$C$51*(115*EXP(-(((0)-25)^2)/(4.5^2))+70*EXP(-(((0)+38)^2)/(7^2))*(0.55+0.45*SIN(2*PI()*(Model_Data!A160)/45))+24*SIN(2*PI()*(0)/9+(Model_Data!A160)/18)*EXP(-(((0)+5)^2)/(22^2))+18*SIN(2*PI()*(Model_Data!A160)/70))+Inputs!$C$28*EXP(-(((Model_Data!A160)-Inputs!$C$29)^2)/(2*Inputs!$C$31^2))*EXP(-(((0)-Inputs!$C$30)^2)/(2*Inputs!$C$32^2))+-Inputs!$C$33*EXP(-(((((Model_Data!A160)-Inputs!$C$34)^2)+(((0)-Inputs!$C$35)^2))/(2*Inputs!$C$36^2)))+Inputs!$C$37*(0.55*SIN(2*PI()*(Model_Data!A160)/Inputs!$C$39)+0.35*COS(2*PI()*(0)/Inputs!$C$40)+0.2*SIN(2*PI()*((Model_Data!A160)+(0))/(0.5*(Inputs!$C$39+Inputs!$C$40))))+Inputs!$C$38*SIN(2*PI()*(Model_Data!A160)/Inputs!$C$39)*SIN(2*PI()*(0)/Inputs!$C$40)+-Inputs!$C$41*EXP(-(((0)-Inputs!$C$43)^2)/(2*Inputs!$C$44^2))*EXP(-(((Model_Data!A160)-Inputs!$C$42)^2)/(2*Inputs!$C$45^2))+Inputs!$C$48*(0.70*(0.45*SIN(2*PI()*(((Model_Data!A160)/Inputs!$C$49)+Inputs!$C$47*0.137))+0.35*COS(2*PI()*(((0)/Inputs!$C$50)+Inputs!$C$47*0.173))+0.20*SIN(2*PI()*(((Model_Data!A160)+(0))/(0.5*(Inputs!$C$49+Inputs!$C$50))+Inputs!$C$47*0.097)))+0.30*(2*((SIN(((Model_Data!A160)*12.9898+(0)*78.233+Inputs!$C$47*37.719))*43758.5453)-INT((SIN(((Model_Data!A160)*12.9898+(0)*78.233+Inputs!$C$47*37.719))*43758.5453)))-1))))/1000)))*1000/Inputs!$C$12)</x:f>
        <x:v>499.5221855186779</x:v>
      </x:c>
      <x:c r="D160" s="49"/>
      <x:c r="E160" s="48" t="n">
        <x:f>Model_Data!A160</x:f>
        <x:v>19</x:v>
      </x:c>
      <x:c r="F160" s="48" t="n">
        <x:f>(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(0.45*SIN(2*PI()*(((Model_Data!A160)/Inputs!$C$49)+Inputs!$C$47*0.137))+0.35*COS(2*PI()*(((Inputs!$C$6)/Inputs!$C$50)+Inputs!$C$47*0.173))+0.20*SIN(2*PI()*(((Model_Data!A160)+(Inputs!$C$6))/(0.5*(Inputs!$C$49+Inputs!$C$50))+Inputs!$C$47*0.097)))+0.30*(2*((SIN(((Model_Data!A160)*12.9898+(Inputs!$C$6)*78.233+Inputs!$C$47*37.719))*43758.5453)-INT((SIN(((Model_Data!A160)*12.9898+(Inputs!$C$6)*78.233+Inputs!$C$47*37.719))*43758.5453)))-1)))</x:f>
        <x:v>429.33926339108206</x:v>
      </x:c>
      <x:c r="G160" s="48" t="n">
        <x:f>(Inputs!$C$51*(115*EXP(-(((0)-25)^2)/(4.5^2))+70*EXP(-(((0)+38)^2)/(7^2))*(0.55+0.45*SIN(2*PI()*(Model_Data!A160)/45))+24*SIN(2*PI()*(0)/9+(Model_Data!A160)/18)*EXP(-(((0)+5)^2)/(22^2))+18*SIN(2*PI()*(Model_Data!A160)/70))+Inputs!$C$28*EXP(-(((Model_Data!A160)-Inputs!$C$29)^2)/(2*Inputs!$C$31^2))*EXP(-(((0)-Inputs!$C$30)^2)/(2*Inputs!$C$32^2))+-Inputs!$C$33*EXP(-(((((Model_Data!A160)-Inputs!$C$34)^2)+(((0)-Inputs!$C$35)^2))/(2*Inputs!$C$36^2)))+Inputs!$C$37*(0.55*SIN(2*PI()*(Model_Data!A160)/Inputs!$C$39)+0.35*COS(2*PI()*(0)/Inputs!$C$40)+0.2*SIN(2*PI()*((Model_Data!A160)+(0))/(0.5*(Inputs!$C$39+Inputs!$C$40))))+Inputs!$C$38*SIN(2*PI()*(Model_Data!A160)/Inputs!$C$39)*SIN(2*PI()*(0)/Inputs!$C$40)+-Inputs!$C$41*EXP(-(((0)-Inputs!$C$43)^2)/(2*Inputs!$C$44^2))*EXP(-(((Model_Data!A160)-Inputs!$C$42)^2)/(2*Inputs!$C$45^2))+Inputs!$C$48*(0.70*(0.45*SIN(2*PI()*(((Model_Data!A160)/Inputs!$C$49)+Inputs!$C$47*0.137))+0.35*COS(2*PI()*(((0)/Inputs!$C$50)+Inputs!$C$47*0.173))+0.20*SIN(2*PI()*(((Model_Data!A160)+(0))/(0.5*(Inputs!$C$49+Inputs!$C$50))+Inputs!$C$47*0.097)))+0.30*(2*((SIN(((Model_Data!A160)*12.9898+(0)*78.233+Inputs!$C$47*37.719))*43758.5453)-INT((SIN(((Model_Data!A160)*12.9898+(0)*78.233+Inputs!$C$47*37.719))*43758.5453)))-1)))</x:f>
        <x:v>87.79516149602648</x:v>
      </x:c>
      <x:c r="H160" s="49"/>
      <x:c r="I160" s="48" t="n">
        <x:f>Model_Data!A160</x:f>
        <x:v>19</x:v>
      </x:c>
      <x:c r="J160" s="48" t="n">
        <x:f>((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(0.45*SIN(2*PI()*(((Model_Data!A160)/Inputs!$C$49)+Inputs!$C$47*0.137))+0.35*COS(2*PI()*(((Inputs!$C$6)/Inputs!$C$50)+Inputs!$C$47*0.173))+0.20*SIN(2*PI()*(((Model_Data!A160)+(Inputs!$C$6))/(0.5*(Inputs!$C$49+Inputs!$C$50))+Inputs!$C$47*0.097)))+0.30*(2*((SIN(((Model_Data!A160)*12.9898+(Inputs!$C$6)*78.233+Inputs!$C$47*37.719))*43758.5453)-INT((SIN(((Model_Data!A160)*12.9898+(Inputs!$C$6)*78.233+Inputs!$C$47*37.719))*43758.5453)))-1))))-((Inputs!$C$51*(115*EXP(-(((0)-25)^2)/(4.5^2))+70*EXP(-(((0)+38)^2)/(7^2))*(0.55+0.45*SIN(2*PI()*(Model_Data!A160)/45))+24*SIN(2*PI()*(0)/9+(Model_Data!A160)/18)*EXP(-(((0)+5)^2)/(22^2))+18*SIN(2*PI()*(Model_Data!A160)/70))+Inputs!$C$28*EXP(-(((Model_Data!A160)-Inputs!$C$29)^2)/(2*Inputs!$C$31^2))*EXP(-(((0)-Inputs!$C$30)^2)/(2*Inputs!$C$32^2))+-Inputs!$C$33*EXP(-(((((Model_Data!A160)-Inputs!$C$34)^2)+(((0)-Inputs!$C$35)^2))/(2*Inputs!$C$36^2)))+Inputs!$C$37*(0.55*SIN(2*PI()*(Model_Data!A160)/Inputs!$C$39)+0.35*COS(2*PI()*(0)/Inputs!$C$40)+0.2*SIN(2*PI()*((Model_Data!A160)+(0))/(0.5*(Inputs!$C$39+Inputs!$C$40))))+Inputs!$C$38*SIN(2*PI()*(Model_Data!A160)/Inputs!$C$39)*SIN(2*PI()*(0)/Inputs!$C$40)+-Inputs!$C$41*EXP(-(((0)-Inputs!$C$43)^2)/(2*Inputs!$C$44^2))*EXP(-(((Model_Data!A160)-Inputs!$C$42)^2)/(2*Inputs!$C$45^2))+Inputs!$C$48*(0.70*(0.45*SIN(2*PI()*(((Model_Data!A160)/Inputs!$C$49)+Inputs!$C$47*0.137))+0.35*COS(2*PI()*(((0)/Inputs!$C$50)+Inputs!$C$47*0.173))+0.20*SIN(2*PI()*(((Model_Data!A160)+(0))/(0.5*(Inputs!$C$49+Inputs!$C$50))+Inputs!$C$47*0.097)))+0.30*(2*((SIN(((Model_Data!A160)*12.9898+(0)*78.233+Inputs!$C$47*37.719))*43758.5453)-INT((SIN(((Model_Data!A160)*12.9898+(0)*78.233+Inputs!$C$47*37.719))*43758.5453)))-1))))</x:f>
        <x:v>341.5441018950556</x:v>
      </x:c>
      <x:c r="K160" s="48" t="n">
        <x:f>-((((SQRT((Model_Data!A160)^2+Inputs!$C$6^2+((Model_Data!B160)-((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(0.45*SIN(2*PI()*(((Model_Data!A160)/Inputs!$C$49)+Inputs!$C$47*0.137))+0.35*COS(2*PI()*(((Inputs!$C$6)/Inputs!$C$50)+Inputs!$C$47*0.173))+0.20*SIN(2*PI()*(((Model_Data!A160)+(Inputs!$C$6))/(0.5*(Inputs!$C$49+Inputs!$C$50))+Inputs!$C$47*0.097)))+0.30*(2*((SIN(((Model_Data!A160)*12.9898+(Inputs!$C$6)*78.233+Inputs!$C$47*37.719))*43758.5453)-INT((SIN(((Model_Data!A160)*12.9898+(Inputs!$C$6)*78.233+Inputs!$C$47*37.719))*43758.5453)))-1))))/1000)^2))-(((Model_Data!B160)-((Inputs!$C$51*(115*EXP(-(((0)-25)^2)/(4.5^2))+70*EXP(-(((0)+38)^2)/(7^2))*(0.55+0.45*SIN(2*PI()*(Model_Data!A160)/45))+24*SIN(2*PI()*(0)/9+(Model_Data!A160)/18)*EXP(-(((0)+5)^2)/(22^2))+18*SIN(2*PI()*(Model_Data!A160)/70))+Inputs!$C$28*EXP(-(((Model_Data!A160)-Inputs!$C$29)^2)/(2*Inputs!$C$31^2))*EXP(-(((0)-Inputs!$C$30)^2)/(2*Inputs!$C$32^2))+-Inputs!$C$33*EXP(-(((((Model_Data!A160)-Inputs!$C$34)^2)+(((0)-Inputs!$C$35)^2))/(2*Inputs!$C$36^2)))+Inputs!$C$37*(0.55*SIN(2*PI()*(Model_Data!A160)/Inputs!$C$39)+0.35*COS(2*PI()*(0)/Inputs!$C$40)+0.2*SIN(2*PI()*((Model_Data!A160)+(0))/(0.5*(Inputs!$C$39+Inputs!$C$40))))+Inputs!$C$38*SIN(2*PI()*(Model_Data!A160)/Inputs!$C$39)*SIN(2*PI()*(0)/Inputs!$C$40)+-Inputs!$C$41*EXP(-(((0)-Inputs!$C$43)^2)/(2*Inputs!$C$44^2))*EXP(-(((Model_Data!A160)-Inputs!$C$42)^2)/(2*Inputs!$C$45^2))+Inputs!$C$48*(0.70*(0.45*SIN(2*PI()*(((Model_Data!A160)/Inputs!$C$49)+Inputs!$C$47*0.137))+0.35*COS(2*PI()*(((0)/Inputs!$C$50)+Inputs!$C$47*0.173))+0.20*SIN(2*PI()*(((Model_Data!A160)+(0))/(0.5*(Inputs!$C$49+Inputs!$C$50))+Inputs!$C$47*0.097)))+0.30*(2*((SIN(((Model_Data!A160)*12.9898+(0)*78.233+Inputs!$C$47*37.719))*43758.5453)-INT((SIN(((Model_Data!A160)*12.9898+(0)*78.233+Inputs!$C$47*37.719))*43758.5453)))-1))))/1000)))*1000/Inputs!$C$12)-Model_Data!F160)</x:f>
        <x:v>191.13960900430556</x:v>
      </x:c>
      <x:c r="L160" s="49"/>
      <x:c r="M160" s="48" t="n">
        <x:f>Model_Data!A160</x:f>
        <x:v>19</x:v>
      </x:c>
      <x:c r="N160" s="48" t="n">
        <x:f>Model_Data!P160</x:f>
        <x:v>-143.04023490383426</x:v>
      </x:c>
      <x:c r="O160" s="48" t="n">
        <x:f>AC160</x:f>
        <x:v>-107.01719503686036</x:v>
      </x:c>
      <x:c r="P160" s="48" t="n">
        <x:f>Model_Data!Q160</x:f>
        <x:v>-21.477512748323466</x:v>
      </x:c>
      <x:c r="Q160" s="48" t="n">
        <x:f>AD160</x:f>
        <x:v>-16.06864790343249</x:v>
      </x:c>
      <x:c r="R160" s="49"/>
      <x:c r="S160" s="48" t="n">
        <x:f>Model_Data!A160</x:f>
        <x:v>19</x:v>
      </x:c>
      <x:c r="T160" s="48" t="n">
        <x:f>Model_Data!B160-Inputs!$C$5</x:f>
        <x:v>0.4011111111111063</x:v>
      </x:c>
      <x:c r="U160" s="49"/>
      <x:c r="V160" s="48" t="n">
        <x:f>Model_Data!A160</x:f>
        <x:v>19</x:v>
      </x:c>
      <x:c r="W160" s="48" t="n">
        <x:f>(-((((SQRT((Model_Data!A160)^2+Inputs!$C$6^2+((Model_Data!B160)-((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(0.45*SIN(2*PI()*(((Model_Data!A160)/Inputs!$C$49)+Inputs!$C$47*0.137))+0.35*COS(2*PI()*(((Inputs!$C$6)/Inputs!$C$50)+Inputs!$C$47*0.173))+0.20*SIN(2*PI()*(((Model_Data!A160)+(Inputs!$C$6))/(0.5*(Inputs!$C$49+Inputs!$C$50))+Inputs!$C$47*0.097)))+0.30*(2*((SIN(((Model_Data!A160)*12.9898+(Inputs!$C$6)*78.233+Inputs!$C$47*37.719))*43758.5453)-INT((SIN(((Model_Data!A160)*12.9898+(Inputs!$C$6)*78.233+Inputs!$C$47*37.719))*43758.5453)))-1))))/1000)^2))-(((Model_Data!B160)-((Inputs!$C$51*(115*EXP(-(((0)-25)^2)/(4.5^2))+70*EXP(-(((0)+38)^2)/(7^2))*(0.55+0.45*SIN(2*PI()*(Model_Data!A160)/45))+24*SIN(2*PI()*(0)/9+(Model_Data!A160)/18)*EXP(-(((0)+5)^2)/(22^2))+18*SIN(2*PI()*(Model_Data!A160)/70))+Inputs!$C$28*EXP(-(((Model_Data!A160)-Inputs!$C$29)^2)/(2*Inputs!$C$31^2))*EXP(-(((0)-Inputs!$C$30)^2)/(2*Inputs!$C$32^2))+-Inputs!$C$33*EXP(-(((((Model_Data!A160)-Inputs!$C$34)^2)+(((0)-Inputs!$C$35)^2))/(2*Inputs!$C$36^2)))+Inputs!$C$37*(0.55*SIN(2*PI()*(Model_Data!A160)/Inputs!$C$39)+0.35*COS(2*PI()*(0)/Inputs!$C$40)+0.2*SIN(2*PI()*((Model_Data!A160)+(0))/(0.5*(Inputs!$C$39+Inputs!$C$40))))+Inputs!$C$38*SIN(2*PI()*(Model_Data!A160)/Inputs!$C$39)*SIN(2*PI()*(0)/Inputs!$C$40)+-Inputs!$C$41*EXP(-(((0)-Inputs!$C$43)^2)/(2*Inputs!$C$44^2))*EXP(-(((Model_Data!A160)-Inputs!$C$42)^2)/(2*Inputs!$C$45^2))+Inputs!$C$48*(0.70*(0.45*SIN(2*PI()*(((Model_Data!A160)/Inputs!$C$49)+Inputs!$C$47*0.137))+0.35*COS(2*PI()*(((0)/Inputs!$C$50)+Inputs!$C$47*0.173))+0.20*SIN(2*PI()*(((Model_Data!A160)+(0))/(0.5*(Inputs!$C$49+Inputs!$C$50))+Inputs!$C$47*0.097)))+0.30*(2*((SIN(((Model_Data!A160)*12.9898+(0)*78.233+Inputs!$C$47*37.719))*43758.5453)-INT((SIN(((Model_Data!A160)*12.9898+(0)*78.233+Inputs!$C$47*37.719))*43758.5453)))-1))))/1000)))*1000/Inputs!$C$12)-Model_Data!F160))-(-(((SQRT((Model_Data!A160)^2+Inputs!$C$6^2+(Inputs!$C$5-((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(0.45*SIN(2*PI()*(((Model_Data!A160)/Inputs!$C$49)+Inputs!$C$47*0.137))+0.35*COS(2*PI()*(((Inputs!$C$6)/Inputs!$C$50)+Inputs!$C$47*0.173))+0.20*SIN(2*PI()*(((Model_Data!A160)+(Inputs!$C$6))/(0.5*(Inputs!$C$49+Inputs!$C$50))+Inputs!$C$47*0.097)))+0.30*(2*((SIN(((Model_Data!A160)*12.9898+(Inputs!$C$6)*78.233+Inputs!$C$47*37.719))*43758.5453)-INT((SIN(((Model_Data!A160)*12.9898+(Inputs!$C$6)*78.233+Inputs!$C$47*37.719))*43758.5453)))-1))))/1000)^2)-(Inputs!$C$5-((Inputs!$C$51*(115*EXP(-(((0)-25)^2)/(4.5^2))+70*EXP(-(((0)+38)^2)/(7^2))*(0.55+0.45*SIN(2*PI()*(Model_Data!A160)/45))+24*SIN(2*PI()*(0)/9+(Model_Data!A160)/18)*EXP(-(((0)+5)^2)/(22^2))+18*SIN(2*PI()*(Model_Data!A160)/70))+Inputs!$C$28*EXP(-(((Model_Data!A160)-Inputs!$C$29)^2)/(2*Inputs!$C$31^2))*EXP(-(((0)-Inputs!$C$30)^2)/(2*Inputs!$C$32^2))+-Inputs!$C$33*EXP(-(((((Model_Data!A160)-Inputs!$C$34)^2)+(((0)-Inputs!$C$35)^2))/(2*Inputs!$C$36^2)))+Inputs!$C$37*(0.55*SIN(2*PI()*(Model_Data!A160)/Inputs!$C$39)+0.35*COS(2*PI()*(0)/Inputs!$C$40)+0.2*SIN(2*PI()*((Model_Data!A160)+(0))/(0.5*(Inputs!$C$39+Inputs!$C$40))))+Inputs!$C$38*SIN(2*PI()*(Model_Data!A160)/Inputs!$C$39)*SIN(2*PI()*(0)/Inputs!$C$40)+-Inputs!$C$41*EXP(-(((0)-Inputs!$C$43)^2)/(2*Inputs!$C$44^2))*EXP(-(((Model_Data!A160)-Inputs!$C$42)^2)/(2*Inputs!$C$45^2))+Inputs!$C$48*(0.70*(0.45*SIN(2*PI()*(((Model_Data!A160)/Inputs!$C$49)+Inputs!$C$47*0.137))+0.35*COS(2*PI()*(((0)/Inputs!$C$50)+Inputs!$C$47*0.173))+0.20*SIN(2*PI()*(((Model_Data!A160)+(0))/(0.5*(Inputs!$C$49+Inputs!$C$50))+Inputs!$C$47*0.097)))+0.30*(2*((SIN(((Model_Data!A160)*12.9898+(0)*78.233+Inputs!$C$47*37.719))*43758.5453)-INT((SIN(((Model_Data!A160)*12.9898+(0)*78.233+Inputs!$C$47*37.719))*43758.5453)))-1))))/1000))*1000/Inputs!$C$12)-((SQRT((Model_Data!A160)^2+Inputs!$C$6^2+Inputs!$C$5^2)-Inputs!$C$5)*1000/Inputs!$C$12)))</x:f>
        <x:v>0.001477019363846921</x:v>
      </x:c>
      <x:c r="X160" s="48" t="n">
        <x:f>0</x:f>
        <x:v>0</x:v>
      </x:c>
      <x:c r="Y160" s="49"/>
      <x:c r="Z160" s="48" t="n">
        <x:f>Model_Data!A160</x:f>
        <x:v>19</x:v>
      </x:c>
      <x:c r="AA160" s="48" t="n">
        <x:f>SQRT((Model_Data!A160)^2+Inputs!$C$6^2+((Model_Data!B160)-((Inputs!$C$51*(115*EXP(-(((Inputs!$C$6)-25)^2)/(4.5^2))+70*EXP(-(((Inputs!$C$6)+38)^2)/(7^2))*(0.55+0.45*SIN(2*PI()*(Model_Data!A160)/45))+24*SIN(2*PI()*(Inputs!$C$6)/9+(Model_Data!A160)/18)*EXP(-(((Inputs!$C$6)+5)^2)/(22^2))+18*SIN(2*PI()*(Model_Data!A160)/70))+Inputs!$C$28*EXP(-(((Model_Data!A160)-Inputs!$C$29)^2)/(2*Inputs!$C$31^2))*EXP(-(((Inputs!$C$6)-Inputs!$C$30)^2)/(2*Inputs!$C$32^2))+-Inputs!$C$33*EXP(-(((((Model_Data!A160)-Inputs!$C$34)^2)+(((Inputs!$C$6)-Inputs!$C$35)^2))/(2*Inputs!$C$36^2)))+Inputs!$C$37*(0.55*SIN(2*PI()*(Model_Data!A160)/Inputs!$C$39)+0.35*COS(2*PI()*(Inputs!$C$6)/Inputs!$C$40)+0.2*SIN(2*PI()*((Model_Data!A160)+(Inputs!$C$6))/(0.5*(Inputs!$C$39+Inputs!$C$40))))+Inputs!$C$38*SIN(2*PI()*(Model_Data!A160)/Inputs!$C$39)*SIN(2*PI()*(Inputs!$C$6)/Inputs!$C$40)+-Inputs!$C$41*EXP(-(((Inputs!$C$6)-Inputs!$C$43)^2)/(2*Inputs!$C$44^2))*EXP(-(((Model_Data!A160)-Inputs!$C$42)^2)/(2*Inputs!$C$45^2))+Inputs!$C$48*(0.70*(0.45*SIN(2*PI()*(((Model_Data!A160)/Inputs!$C$49)+Inputs!$C$47*0.137))+0.35*COS(2*PI()*(((Inputs!$C$6)/Inputs!$C$50)+Inputs!$C$47*0.173))+0.20*SIN(2*PI()*(((Model_Data!A160)+(Inputs!$C$6))/(0.5*(Inputs!$C$49+Inputs!$C$50))+Inputs!$C$47*0.097)))+0.30*(2*((SIN(((Model_Data!A160)*12.9898+(Inputs!$C$6)*78.233+Inputs!$C$47*37.719))*43758.5453)-INT((SIN(((Model_Data!A160)*12.9898+(Inputs!$C$6)*78.233+Inputs!$C$47*37.719))*43758.5453)))-1))))/1000)^2)</x:f>
        <x:v>401.2024654398383</x:v>
      </x:c>
      <x:c r="AB160" s="48" t="n">
        <x:f>1000*(AA161-AA159)/(Z161-Z159)*Inputs!$C$11</x:f>
        <x:v>267.5429875921509</x:v>
      </x:c>
      <x:c r="AC160" s="48" t="n">
        <x:f>-2*AB160/Inputs!$C$13</x:f>
        <x:v>-107.01719503686036</x:v>
      </x:c>
      <x:c r="AD160" s="48" t="n">
        <x:f>-2*AB160/Inputs!$C$14</x:f>
        <x:v>-16.06864790343249</x:v>
      </x:c>
    </x:row>
    <x:row r="161">
      <x:c r="A161" s="48" t="n">
        <x:f>Model_Data!A161</x:f>
        <x:v>19.5</x:v>
      </x:c>
      <x:c r="B161" s="48" t="n">
        <x:f>Model_Data!F161</x:f>
        <x:v>704.0872775371171</x:v>
      </x:c>
      <x:c r="C161" s="48" t="n">
        <x:f>(((SQRT((Model_Data!A161)^2+Inputs!$C$6^2+((Model_Data!B161)-((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(0.45*SIN(2*PI()*(((Model_Data!A161)/Inputs!$C$49)+Inputs!$C$47*0.137))+0.35*COS(2*PI()*(((Inputs!$C$6)/Inputs!$C$50)+Inputs!$C$47*0.173))+0.20*SIN(2*PI()*(((Model_Data!A161)+(Inputs!$C$6))/(0.5*(Inputs!$C$49+Inputs!$C$50))+Inputs!$C$47*0.097)))+0.30*(2*((SIN(((Model_Data!A161)*12.9898+(Inputs!$C$6)*78.233+Inputs!$C$47*37.719))*43758.5453)-INT((SIN(((Model_Data!A161)*12.9898+(Inputs!$C$6)*78.233+Inputs!$C$47*37.719))*43758.5453)))-1))))/1000)^2))-(((Model_Data!B161)-((Inputs!$C$51*(115*EXP(-(((0)-25)^2)/(4.5^2))+70*EXP(-(((0)+38)^2)/(7^2))*(0.55+0.45*SIN(2*PI()*(Model_Data!A161)/45))+24*SIN(2*PI()*(0)/9+(Model_Data!A161)/18)*EXP(-(((0)+5)^2)/(22^2))+18*SIN(2*PI()*(Model_Data!A161)/70))+Inputs!$C$28*EXP(-(((Model_Data!A161)-Inputs!$C$29)^2)/(2*Inputs!$C$31^2))*EXP(-(((0)-Inputs!$C$30)^2)/(2*Inputs!$C$32^2))+-Inputs!$C$33*EXP(-(((((Model_Data!A161)-Inputs!$C$34)^2)+(((0)-Inputs!$C$35)^2))/(2*Inputs!$C$36^2)))+Inputs!$C$37*(0.55*SIN(2*PI()*(Model_Data!A161)/Inputs!$C$39)+0.35*COS(2*PI()*(0)/Inputs!$C$40)+0.2*SIN(2*PI()*((Model_Data!A161)+(0))/(0.5*(Inputs!$C$39+Inputs!$C$40))))+Inputs!$C$38*SIN(2*PI()*(Model_Data!A161)/Inputs!$C$39)*SIN(2*PI()*(0)/Inputs!$C$40)+-Inputs!$C$41*EXP(-(((0)-Inputs!$C$43)^2)/(2*Inputs!$C$44^2))*EXP(-(((Model_Data!A161)-Inputs!$C$42)^2)/(2*Inputs!$C$45^2))+Inputs!$C$48*(0.70*(0.45*SIN(2*PI()*(((Model_Data!A161)/Inputs!$C$49)+Inputs!$C$47*0.137))+0.35*COS(2*PI()*(((0)/Inputs!$C$50)+Inputs!$C$47*0.173))+0.20*SIN(2*PI()*(((Model_Data!A161)+(0))/(0.5*(Inputs!$C$49+Inputs!$C$50))+Inputs!$C$47*0.097)))+0.30*(2*((SIN(((Model_Data!A161)*12.9898+(0)*78.233+Inputs!$C$47*37.719))*43758.5453)-INT((SIN(((Model_Data!A161)*12.9898+(0)*78.233+Inputs!$C$47*37.719))*43758.5453)))-1))))/1000)))*1000/Inputs!$C$12)</x:f>
        <x:v>504.52854676147064</x:v>
      </x:c>
      <x:c r="D161" s="49"/>
      <x:c r="E161" s="48" t="n">
        <x:f>Model_Data!A161</x:f>
        <x:v>19.5</x:v>
      </x:c>
      <x:c r="F161" s="48" t="n">
        <x:f>(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(0.45*SIN(2*PI()*(((Model_Data!A161)/Inputs!$C$49)+Inputs!$C$47*0.137))+0.35*COS(2*PI()*(((Inputs!$C$6)/Inputs!$C$50)+Inputs!$C$47*0.173))+0.20*SIN(2*PI()*(((Model_Data!A161)+(Inputs!$C$6))/(0.5*(Inputs!$C$49+Inputs!$C$50))+Inputs!$C$47*0.097)))+0.30*(2*((SIN(((Model_Data!A161)*12.9898+(Inputs!$C$6)*78.233+Inputs!$C$47*37.719))*43758.5453)-INT((SIN(((Model_Data!A161)*12.9898+(Inputs!$C$6)*78.233+Inputs!$C$47*37.719))*43758.5453)))-1)))</x:f>
        <x:v>436.66425250955575</x:v>
      </x:c>
      <x:c r="G161" s="48" t="n">
        <x:f>(Inputs!$C$51*(115*EXP(-(((0)-25)^2)/(4.5^2))+70*EXP(-(((0)+38)^2)/(7^2))*(0.55+0.45*SIN(2*PI()*(Model_Data!A161)/45))+24*SIN(2*PI()*(0)/9+(Model_Data!A161)/18)*EXP(-(((0)+5)^2)/(22^2))+18*SIN(2*PI()*(Model_Data!A161)/70))+Inputs!$C$28*EXP(-(((Model_Data!A161)-Inputs!$C$29)^2)/(2*Inputs!$C$31^2))*EXP(-(((0)-Inputs!$C$30)^2)/(2*Inputs!$C$32^2))+-Inputs!$C$33*EXP(-(((((Model_Data!A161)-Inputs!$C$34)^2)+(((0)-Inputs!$C$35)^2))/(2*Inputs!$C$36^2)))+Inputs!$C$37*(0.55*SIN(2*PI()*(Model_Data!A161)/Inputs!$C$39)+0.35*COS(2*PI()*(0)/Inputs!$C$40)+0.2*SIN(2*PI()*((Model_Data!A161)+(0))/(0.5*(Inputs!$C$39+Inputs!$C$40))))+Inputs!$C$38*SIN(2*PI()*(Model_Data!A161)/Inputs!$C$39)*SIN(2*PI()*(0)/Inputs!$C$40)+-Inputs!$C$41*EXP(-(((0)-Inputs!$C$43)^2)/(2*Inputs!$C$44^2))*EXP(-(((Model_Data!A161)-Inputs!$C$42)^2)/(2*Inputs!$C$45^2))+Inputs!$C$48*(0.70*(0.45*SIN(2*PI()*(((Model_Data!A161)/Inputs!$C$49)+Inputs!$C$47*0.137))+0.35*COS(2*PI()*(((0)/Inputs!$C$50)+Inputs!$C$47*0.173))+0.20*SIN(2*PI()*(((Model_Data!A161)+(0))/(0.5*(Inputs!$C$49+Inputs!$C$50))+Inputs!$C$47*0.097)))+0.30*(2*((SIN(((Model_Data!A161)*12.9898+(0)*78.233+Inputs!$C$47*37.719))*43758.5453)-INT((SIN(((Model_Data!A161)*12.9898+(0)*78.233+Inputs!$C$47*37.719))*43758.5453)))-1)))</x:f>
        <x:v>80.08578782325549</x:v>
      </x:c>
      <x:c r="H161" s="49"/>
      <x:c r="I161" s="48" t="n">
        <x:f>Model_Data!A161</x:f>
        <x:v>19.5</x:v>
      </x:c>
      <x:c r="J161" s="48" t="n">
        <x:f>((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(0.45*SIN(2*PI()*(((Model_Data!A161)/Inputs!$C$49)+Inputs!$C$47*0.137))+0.35*COS(2*PI()*(((Inputs!$C$6)/Inputs!$C$50)+Inputs!$C$47*0.173))+0.20*SIN(2*PI()*(((Model_Data!A161)+(Inputs!$C$6))/(0.5*(Inputs!$C$49+Inputs!$C$50))+Inputs!$C$47*0.097)))+0.30*(2*((SIN(((Model_Data!A161)*12.9898+(Inputs!$C$6)*78.233+Inputs!$C$47*37.719))*43758.5453)-INT((SIN(((Model_Data!A161)*12.9898+(Inputs!$C$6)*78.233+Inputs!$C$47*37.719))*43758.5453)))-1))))-((Inputs!$C$51*(115*EXP(-(((0)-25)^2)/(4.5^2))+70*EXP(-(((0)+38)^2)/(7^2))*(0.55+0.45*SIN(2*PI()*(Model_Data!A161)/45))+24*SIN(2*PI()*(0)/9+(Model_Data!A161)/18)*EXP(-(((0)+5)^2)/(22^2))+18*SIN(2*PI()*(Model_Data!A161)/70))+Inputs!$C$28*EXP(-(((Model_Data!A161)-Inputs!$C$29)^2)/(2*Inputs!$C$31^2))*EXP(-(((0)-Inputs!$C$30)^2)/(2*Inputs!$C$32^2))+-Inputs!$C$33*EXP(-(((((Model_Data!A161)-Inputs!$C$34)^2)+(((0)-Inputs!$C$35)^2))/(2*Inputs!$C$36^2)))+Inputs!$C$37*(0.55*SIN(2*PI()*(Model_Data!A161)/Inputs!$C$39)+0.35*COS(2*PI()*(0)/Inputs!$C$40)+0.2*SIN(2*PI()*((Model_Data!A161)+(0))/(0.5*(Inputs!$C$39+Inputs!$C$40))))+Inputs!$C$38*SIN(2*PI()*(Model_Data!A161)/Inputs!$C$39)*SIN(2*PI()*(0)/Inputs!$C$40)+-Inputs!$C$41*EXP(-(((0)-Inputs!$C$43)^2)/(2*Inputs!$C$44^2))*EXP(-(((Model_Data!A161)-Inputs!$C$42)^2)/(2*Inputs!$C$45^2))+Inputs!$C$48*(0.70*(0.45*SIN(2*PI()*(((Model_Data!A161)/Inputs!$C$49)+Inputs!$C$47*0.137))+0.35*COS(2*PI()*(((0)/Inputs!$C$50)+Inputs!$C$47*0.173))+0.20*SIN(2*PI()*(((Model_Data!A161)+(0))/(0.5*(Inputs!$C$49+Inputs!$C$50))+Inputs!$C$47*0.097)))+0.30*(2*((SIN(((Model_Data!A161)*12.9898+(0)*78.233+Inputs!$C$47*37.719))*43758.5453)-INT((SIN(((Model_Data!A161)*12.9898+(0)*78.233+Inputs!$C$47*37.719))*43758.5453)))-1))))</x:f>
        <x:v>356.57846468630026</x:v>
      </x:c>
      <x:c r="K161" s="48" t="n">
        <x:f>-((((SQRT((Model_Data!A161)^2+Inputs!$C$6^2+((Model_Data!B161)-((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(0.45*SIN(2*PI()*(((Model_Data!A161)/Inputs!$C$49)+Inputs!$C$47*0.137))+0.35*COS(2*PI()*(((Inputs!$C$6)/Inputs!$C$50)+Inputs!$C$47*0.173))+0.20*SIN(2*PI()*(((Model_Data!A161)+(Inputs!$C$6))/(0.5*(Inputs!$C$49+Inputs!$C$50))+Inputs!$C$47*0.097)))+0.30*(2*((SIN(((Model_Data!A161)*12.9898+(Inputs!$C$6)*78.233+Inputs!$C$47*37.719))*43758.5453)-INT((SIN(((Model_Data!A161)*12.9898+(Inputs!$C$6)*78.233+Inputs!$C$47*37.719))*43758.5453)))-1))))/1000)^2))-(((Model_Data!B161)-((Inputs!$C$51*(115*EXP(-(((0)-25)^2)/(4.5^2))+70*EXP(-(((0)+38)^2)/(7^2))*(0.55+0.45*SIN(2*PI()*(Model_Data!A161)/45))+24*SIN(2*PI()*(0)/9+(Model_Data!A161)/18)*EXP(-(((0)+5)^2)/(22^2))+18*SIN(2*PI()*(Model_Data!A161)/70))+Inputs!$C$28*EXP(-(((Model_Data!A161)-Inputs!$C$29)^2)/(2*Inputs!$C$31^2))*EXP(-(((0)-Inputs!$C$30)^2)/(2*Inputs!$C$32^2))+-Inputs!$C$33*EXP(-(((((Model_Data!A161)-Inputs!$C$34)^2)+(((0)-Inputs!$C$35)^2))/(2*Inputs!$C$36^2)))+Inputs!$C$37*(0.55*SIN(2*PI()*(Model_Data!A161)/Inputs!$C$39)+0.35*COS(2*PI()*(0)/Inputs!$C$40)+0.2*SIN(2*PI()*((Model_Data!A161)+(0))/(0.5*(Inputs!$C$39+Inputs!$C$40))))+Inputs!$C$38*SIN(2*PI()*(Model_Data!A161)/Inputs!$C$39)*SIN(2*PI()*(0)/Inputs!$C$40)+-Inputs!$C$41*EXP(-(((0)-Inputs!$C$43)^2)/(2*Inputs!$C$44^2))*EXP(-(((Model_Data!A161)-Inputs!$C$42)^2)/(2*Inputs!$C$45^2))+Inputs!$C$48*(0.70*(0.45*SIN(2*PI()*(((Model_Data!A161)/Inputs!$C$49)+Inputs!$C$47*0.137))+0.35*COS(2*PI()*(((0)/Inputs!$C$50)+Inputs!$C$47*0.173))+0.20*SIN(2*PI()*(((Model_Data!A161)+(0))/(0.5*(Inputs!$C$49+Inputs!$C$50))+Inputs!$C$47*0.097)))+0.30*(2*((SIN(((Model_Data!A161)*12.9898+(0)*78.233+Inputs!$C$47*37.719))*43758.5453)-INT((SIN(((Model_Data!A161)*12.9898+(0)*78.233+Inputs!$C$47*37.719))*43758.5453)))-1))))/1000)))*1000/Inputs!$C$12)-Model_Data!F161)</x:f>
        <x:v>199.55873077564644</x:v>
      </x:c>
      <x:c r="L161" s="49"/>
      <x:c r="M161" s="48" t="n">
        <x:f>Model_Data!A161</x:f>
        <x:v>19.5</x:v>
      </x:c>
      <x:c r="N161" s="48" t="n">
        <x:f>Model_Data!P161</x:f>
        <x:v>-146.79159233513664</x:v>
      </x:c>
      <x:c r="O161" s="48" t="n">
        <x:f>AC161</x:f>
        <x:v>-131.44788408999375</x:v>
      </x:c>
      <x:c r="P161" s="48" t="n">
        <x:f>Model_Data!Q161</x:f>
        <x:v>-22.0407796299004</x:v>
      </x:c>
      <x:c r="Q161" s="48" t="n">
        <x:f>AD161</x:f>
        <x:v>-19.736919533032097</x:v>
      </x:c>
      <x:c r="R161" s="49"/>
      <x:c r="S161" s="48" t="n">
        <x:f>Model_Data!A161</x:f>
        <x:v>19.5</x:v>
      </x:c>
      <x:c r="T161" s="48" t="n">
        <x:f>Model_Data!B161-Inputs!$C$5</x:f>
        <x:v>0.42250000000001364</x:v>
      </x:c>
      <x:c r="U161" s="49"/>
      <x:c r="V161" s="48" t="n">
        <x:f>Model_Data!A161</x:f>
        <x:v>19.5</x:v>
      </x:c>
      <x:c r="W161" s="48" t="n">
        <x:f>(-((((SQRT((Model_Data!A161)^2+Inputs!$C$6^2+((Model_Data!B161)-((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(0.45*SIN(2*PI()*(((Model_Data!A161)/Inputs!$C$49)+Inputs!$C$47*0.137))+0.35*COS(2*PI()*(((Inputs!$C$6)/Inputs!$C$50)+Inputs!$C$47*0.173))+0.20*SIN(2*PI()*(((Model_Data!A161)+(Inputs!$C$6))/(0.5*(Inputs!$C$49+Inputs!$C$50))+Inputs!$C$47*0.097)))+0.30*(2*((SIN(((Model_Data!A161)*12.9898+(Inputs!$C$6)*78.233+Inputs!$C$47*37.719))*43758.5453)-INT((SIN(((Model_Data!A161)*12.9898+(Inputs!$C$6)*78.233+Inputs!$C$47*37.719))*43758.5453)))-1))))/1000)^2))-(((Model_Data!B161)-((Inputs!$C$51*(115*EXP(-(((0)-25)^2)/(4.5^2))+70*EXP(-(((0)+38)^2)/(7^2))*(0.55+0.45*SIN(2*PI()*(Model_Data!A161)/45))+24*SIN(2*PI()*(0)/9+(Model_Data!A161)/18)*EXP(-(((0)+5)^2)/(22^2))+18*SIN(2*PI()*(Model_Data!A161)/70))+Inputs!$C$28*EXP(-(((Model_Data!A161)-Inputs!$C$29)^2)/(2*Inputs!$C$31^2))*EXP(-(((0)-Inputs!$C$30)^2)/(2*Inputs!$C$32^2))+-Inputs!$C$33*EXP(-(((((Model_Data!A161)-Inputs!$C$34)^2)+(((0)-Inputs!$C$35)^2))/(2*Inputs!$C$36^2)))+Inputs!$C$37*(0.55*SIN(2*PI()*(Model_Data!A161)/Inputs!$C$39)+0.35*COS(2*PI()*(0)/Inputs!$C$40)+0.2*SIN(2*PI()*((Model_Data!A161)+(0))/(0.5*(Inputs!$C$39+Inputs!$C$40))))+Inputs!$C$38*SIN(2*PI()*(Model_Data!A161)/Inputs!$C$39)*SIN(2*PI()*(0)/Inputs!$C$40)+-Inputs!$C$41*EXP(-(((0)-Inputs!$C$43)^2)/(2*Inputs!$C$44^2))*EXP(-(((Model_Data!A161)-Inputs!$C$42)^2)/(2*Inputs!$C$45^2))+Inputs!$C$48*(0.70*(0.45*SIN(2*PI()*(((Model_Data!A161)/Inputs!$C$49)+Inputs!$C$47*0.137))+0.35*COS(2*PI()*(((0)/Inputs!$C$50)+Inputs!$C$47*0.173))+0.20*SIN(2*PI()*(((Model_Data!A161)+(0))/(0.5*(Inputs!$C$49+Inputs!$C$50))+Inputs!$C$47*0.097)))+0.30*(2*((SIN(((Model_Data!A161)*12.9898+(0)*78.233+Inputs!$C$47*37.719))*43758.5453)-INT((SIN(((Model_Data!A161)*12.9898+(0)*78.233+Inputs!$C$47*37.719))*43758.5453)))-1))))/1000)))*1000/Inputs!$C$12)-Model_Data!F161))-(-(((SQRT((Model_Data!A161)^2+Inputs!$C$6^2+(Inputs!$C$5-((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(0.45*SIN(2*PI()*(((Model_Data!A161)/Inputs!$C$49)+Inputs!$C$47*0.137))+0.35*COS(2*PI()*(((Inputs!$C$6)/Inputs!$C$50)+Inputs!$C$47*0.173))+0.20*SIN(2*PI()*(((Model_Data!A161)+(Inputs!$C$6))/(0.5*(Inputs!$C$49+Inputs!$C$50))+Inputs!$C$47*0.097)))+0.30*(2*((SIN(((Model_Data!A161)*12.9898+(Inputs!$C$6)*78.233+Inputs!$C$47*37.719))*43758.5453)-INT((SIN(((Model_Data!A161)*12.9898+(Inputs!$C$6)*78.233+Inputs!$C$47*37.719))*43758.5453)))-1))))/1000)^2)-(Inputs!$C$5-((Inputs!$C$51*(115*EXP(-(((0)-25)^2)/(4.5^2))+70*EXP(-(((0)+38)^2)/(7^2))*(0.55+0.45*SIN(2*PI()*(Model_Data!A161)/45))+24*SIN(2*PI()*(0)/9+(Model_Data!A161)/18)*EXP(-(((0)+5)^2)/(22^2))+18*SIN(2*PI()*(Model_Data!A161)/70))+Inputs!$C$28*EXP(-(((Model_Data!A161)-Inputs!$C$29)^2)/(2*Inputs!$C$31^2))*EXP(-(((0)-Inputs!$C$30)^2)/(2*Inputs!$C$32^2))+-Inputs!$C$33*EXP(-(((((Model_Data!A161)-Inputs!$C$34)^2)+(((0)-Inputs!$C$35)^2))/(2*Inputs!$C$36^2)))+Inputs!$C$37*(0.55*SIN(2*PI()*(Model_Data!A161)/Inputs!$C$39)+0.35*COS(2*PI()*(0)/Inputs!$C$40)+0.2*SIN(2*PI()*((Model_Data!A161)+(0))/(0.5*(Inputs!$C$39+Inputs!$C$40))))+Inputs!$C$38*SIN(2*PI()*(Model_Data!A161)/Inputs!$C$39)*SIN(2*PI()*(0)/Inputs!$C$40)+-Inputs!$C$41*EXP(-(((0)-Inputs!$C$43)^2)/(2*Inputs!$C$44^2))*EXP(-(((Model_Data!A161)-Inputs!$C$42)^2)/(2*Inputs!$C$45^2))+Inputs!$C$48*(0.70*(0.45*SIN(2*PI()*(((Model_Data!A161)/Inputs!$C$49)+Inputs!$C$47*0.137))+0.35*COS(2*PI()*(((0)/Inputs!$C$50)+Inputs!$C$47*0.173))+0.20*SIN(2*PI()*(((Model_Data!A161)+(0))/(0.5*(Inputs!$C$49+Inputs!$C$50))+Inputs!$C$47*0.097)))+0.30*(2*((SIN(((Model_Data!A161)*12.9898+(0)*78.233+Inputs!$C$47*37.719))*43758.5453)-INT((SIN(((Model_Data!A161)*12.9898+(0)*78.233+Inputs!$C$47*37.719))*43758.5453)))-1))))/1000))*1000/Inputs!$C$12)-((SQRT((Model_Data!A161)^2+Inputs!$C$6^2+Inputs!$C$5^2)-Inputs!$C$5)*1000/Inputs!$C$12)))</x:f>
        <x:v>0.0016128418591279114</x:v>
      </x:c>
      <x:c r="X161" s="48" t="n">
        <x:f>0</x:f>
        <x:v>0</x:v>
      </x:c>
      <x:c r="Y161" s="49"/>
      <x:c r="Z161" s="48" t="n">
        <x:f>Model_Data!A161</x:f>
        <x:v>19.5</x:v>
      </x:c>
      <x:c r="AA161" s="48" t="n">
        <x:f>SQRT((Model_Data!A161)^2+Inputs!$C$6^2+((Model_Data!B161)-((Inputs!$C$51*(115*EXP(-(((Inputs!$C$6)-25)^2)/(4.5^2))+70*EXP(-(((Inputs!$C$6)+38)^2)/(7^2))*(0.55+0.45*SIN(2*PI()*(Model_Data!A161)/45))+24*SIN(2*PI()*(Inputs!$C$6)/9+(Model_Data!A161)/18)*EXP(-(((Inputs!$C$6)+5)^2)/(22^2))+18*SIN(2*PI()*(Model_Data!A161)/70))+Inputs!$C$28*EXP(-(((Model_Data!A161)-Inputs!$C$29)^2)/(2*Inputs!$C$31^2))*EXP(-(((Inputs!$C$6)-Inputs!$C$30)^2)/(2*Inputs!$C$32^2))+-Inputs!$C$33*EXP(-(((((Model_Data!A161)-Inputs!$C$34)^2)+(((Inputs!$C$6)-Inputs!$C$35)^2))/(2*Inputs!$C$36^2)))+Inputs!$C$37*(0.55*SIN(2*PI()*(Model_Data!A161)/Inputs!$C$39)+0.35*COS(2*PI()*(Inputs!$C$6)/Inputs!$C$40)+0.2*SIN(2*PI()*((Model_Data!A161)+(Inputs!$C$6))/(0.5*(Inputs!$C$39+Inputs!$C$40))))+Inputs!$C$38*SIN(2*PI()*(Model_Data!A161)/Inputs!$C$39)*SIN(2*PI()*(Inputs!$C$6)/Inputs!$C$40)+-Inputs!$C$41*EXP(-(((Inputs!$C$6)-Inputs!$C$43)^2)/(2*Inputs!$C$44^2))*EXP(-(((Model_Data!A161)-Inputs!$C$42)^2)/(2*Inputs!$C$45^2))+Inputs!$C$48*(0.70*(0.45*SIN(2*PI()*(((Model_Data!A161)/Inputs!$C$49)+Inputs!$C$47*0.137))+0.35*COS(2*PI()*(((Inputs!$C$6)/Inputs!$C$50)+Inputs!$C$47*0.173))+0.20*SIN(2*PI()*(((Model_Data!A161)+(Inputs!$C$6))/(0.5*(Inputs!$C$49+Inputs!$C$50))+Inputs!$C$47*0.097)))+0.30*(2*((SIN(((Model_Data!A161)*12.9898+(Inputs!$C$6)*78.233+Inputs!$C$47*37.719))*43758.5453)-INT((SIN(((Model_Data!A161)*12.9898+(Inputs!$C$6)*78.233+Inputs!$C$47*37.719))*43758.5453)))-1))))/1000)^2)</x:f>
        <x:v>401.2404750254122</x:v>
      </x:c>
      <x:c r="AB161" s="48" t="n">
        <x:f>1000*(AA162-AA160)/(Z162-Z160)*Inputs!$C$11</x:f>
        <x:v>328.6197102249844</x:v>
      </x:c>
      <x:c r="AC161" s="48" t="n">
        <x:f>-2*AB161/Inputs!$C$13</x:f>
        <x:v>-131.44788408999375</x:v>
      </x:c>
      <x:c r="AD161" s="48" t="n">
        <x:f>-2*AB161/Inputs!$C$14</x:f>
        <x:v>-19.736919533032097</x:v>
      </x:c>
    </x:row>
    <x:row r="162">
      <x:c r="A162" s="48" t="n">
        <x:f>Model_Data!A162</x:f>
        <x:v>20</x:v>
      </x:c>
      <x:c r="B162" s="48" t="n">
        <x:f>Model_Data!F162</x:f>
        <x:v>717.8591585575956</x:v>
      </x:c>
      <x:c r="C162" s="48" t="n">
        <x:f>(((SQRT((Model_Data!A162)^2+Inputs!$C$6^2+((Model_Data!B162)-((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(0.45*SIN(2*PI()*(((Model_Data!A162)/Inputs!$C$49)+Inputs!$C$47*0.137))+0.35*COS(2*PI()*(((Inputs!$C$6)/Inputs!$C$50)+Inputs!$C$47*0.173))+0.20*SIN(2*PI()*(((Model_Data!A162)+(Inputs!$C$6))/(0.5*(Inputs!$C$49+Inputs!$C$50))+Inputs!$C$47*0.097)))+0.30*(2*((SIN(((Model_Data!A162)*12.9898+(Inputs!$C$6)*78.233+Inputs!$C$47*37.719))*43758.5453)-INT((SIN(((Model_Data!A162)*12.9898+(Inputs!$C$6)*78.233+Inputs!$C$47*37.719))*43758.5453)))-1))))/1000)^2))-(((Model_Data!B162)-((Inputs!$C$51*(115*EXP(-(((0)-25)^2)/(4.5^2))+70*EXP(-(((0)+38)^2)/(7^2))*(0.55+0.45*SIN(2*PI()*(Model_Data!A162)/45))+24*SIN(2*PI()*(0)/9+(Model_Data!A162)/18)*EXP(-(((0)+5)^2)/(22^2))+18*SIN(2*PI()*(Model_Data!A162)/70))+Inputs!$C$28*EXP(-(((Model_Data!A162)-Inputs!$C$29)^2)/(2*Inputs!$C$31^2))*EXP(-(((0)-Inputs!$C$30)^2)/(2*Inputs!$C$32^2))+-Inputs!$C$33*EXP(-(((((Model_Data!A162)-Inputs!$C$34)^2)+(((0)-Inputs!$C$35)^2))/(2*Inputs!$C$36^2)))+Inputs!$C$37*(0.55*SIN(2*PI()*(Model_Data!A162)/Inputs!$C$39)+0.35*COS(2*PI()*(0)/Inputs!$C$40)+0.2*SIN(2*PI()*((Model_Data!A162)+(0))/(0.5*(Inputs!$C$39+Inputs!$C$40))))+Inputs!$C$38*SIN(2*PI()*(Model_Data!A162)/Inputs!$C$39)*SIN(2*PI()*(0)/Inputs!$C$40)+-Inputs!$C$41*EXP(-(((0)-Inputs!$C$43)^2)/(2*Inputs!$C$44^2))*EXP(-(((Model_Data!A162)-Inputs!$C$42)^2)/(2*Inputs!$C$45^2))+Inputs!$C$48*(0.70*(0.45*SIN(2*PI()*(((Model_Data!A162)/Inputs!$C$49)+Inputs!$C$47*0.137))+0.35*COS(2*PI()*(((0)/Inputs!$C$50)+Inputs!$C$47*0.173))+0.20*SIN(2*PI()*(((Model_Data!A162)+(0))/(0.5*(Inputs!$C$49+Inputs!$C$50))+Inputs!$C$47*0.097)))+0.30*(2*((SIN(((Model_Data!A162)*12.9898+(0)*78.233+Inputs!$C$47*37.719))*43758.5453)-INT((SIN(((Model_Data!A162)*12.9898+(0)*78.233+Inputs!$C$47*37.719))*43758.5453)))-1))))/1000)))*1000/Inputs!$C$12)</x:f>
        <x:v>513.7683098814449</x:v>
      </x:c>
      <x:c r="D162" s="49"/>
      <x:c r="E162" s="48" t="n">
        <x:f>Model_Data!A162</x:f>
        <x:v>20</x:v>
      </x:c>
      <x:c r="F162" s="48" t="n">
        <x:f>(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(0.45*SIN(2*PI()*(((Model_Data!A162)/Inputs!$C$49)+Inputs!$C$47*0.137))+0.35*COS(2*PI()*(((Inputs!$C$6)/Inputs!$C$50)+Inputs!$C$47*0.173))+0.20*SIN(2*PI()*(((Model_Data!A162)+(Inputs!$C$6))/(0.5*(Inputs!$C$49+Inputs!$C$50))+Inputs!$C$47*0.097)))+0.30*(2*((SIN(((Model_Data!A162)*12.9898+(Inputs!$C$6)*78.233+Inputs!$C$47*37.719))*43758.5453)-INT((SIN(((Model_Data!A162)*12.9898+(Inputs!$C$6)*78.233+Inputs!$C$47*37.719))*43758.5453)))-1)))</x:f>
        <x:v>439.0113020882822</x:v>
      </x:c>
      <x:c r="G162" s="48" t="n">
        <x:f>(Inputs!$C$51*(115*EXP(-(((0)-25)^2)/(4.5^2))+70*EXP(-(((0)+38)^2)/(7^2))*(0.55+0.45*SIN(2*PI()*(Model_Data!A162)/45))+24*SIN(2*PI()*(0)/9+(Model_Data!A162)/18)*EXP(-(((0)+5)^2)/(22^2))+18*SIN(2*PI()*(Model_Data!A162)/70))+Inputs!$C$28*EXP(-(((Model_Data!A162)-Inputs!$C$29)^2)/(2*Inputs!$C$31^2))*EXP(-(((0)-Inputs!$C$30)^2)/(2*Inputs!$C$32^2))+-Inputs!$C$33*EXP(-(((((Model_Data!A162)-Inputs!$C$34)^2)+(((0)-Inputs!$C$35)^2))/(2*Inputs!$C$36^2)))+Inputs!$C$37*(0.55*SIN(2*PI()*(Model_Data!A162)/Inputs!$C$39)+0.35*COS(2*PI()*(0)/Inputs!$C$40)+0.2*SIN(2*PI()*((Model_Data!A162)+(0))/(0.5*(Inputs!$C$39+Inputs!$C$40))))+Inputs!$C$38*SIN(2*PI()*(Model_Data!A162)/Inputs!$C$39)*SIN(2*PI()*(0)/Inputs!$C$40)+-Inputs!$C$41*EXP(-(((0)-Inputs!$C$43)^2)/(2*Inputs!$C$44^2))*EXP(-(((Model_Data!A162)-Inputs!$C$42)^2)/(2*Inputs!$C$45^2))+Inputs!$C$48*(0.70*(0.45*SIN(2*PI()*(((Model_Data!A162)/Inputs!$C$49)+Inputs!$C$47*0.137))+0.35*COS(2*PI()*(((0)/Inputs!$C$50)+Inputs!$C$47*0.173))+0.20*SIN(2*PI()*(((Model_Data!A162)+(0))/(0.5*(Inputs!$C$49+Inputs!$C$50))+Inputs!$C$47*0.097)))+0.30*(2*((SIN(((Model_Data!A162)*12.9898+(0)*78.233+Inputs!$C$47*37.719))*43758.5453)-INT((SIN(((Model_Data!A162)*12.9898+(0)*78.233+Inputs!$C$47*37.719))*43758.5453)))-1)))</x:f>
        <x:v>74.33166863889775</x:v>
      </x:c>
      <x:c r="H162" s="49"/>
      <x:c r="I162" s="48" t="n">
        <x:f>Model_Data!A162</x:f>
        <x:v>20</x:v>
      </x:c>
      <x:c r="J162" s="48" t="n">
        <x:f>((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(0.45*SIN(2*PI()*(((Model_Data!A162)/Inputs!$C$49)+Inputs!$C$47*0.137))+0.35*COS(2*PI()*(((Inputs!$C$6)/Inputs!$C$50)+Inputs!$C$47*0.173))+0.20*SIN(2*PI()*(((Model_Data!A162)+(Inputs!$C$6))/(0.5*(Inputs!$C$49+Inputs!$C$50))+Inputs!$C$47*0.097)))+0.30*(2*((SIN(((Model_Data!A162)*12.9898+(Inputs!$C$6)*78.233+Inputs!$C$47*37.719))*43758.5453)-INT((SIN(((Model_Data!A162)*12.9898+(Inputs!$C$6)*78.233+Inputs!$C$47*37.719))*43758.5453)))-1))))-((Inputs!$C$51*(115*EXP(-(((0)-25)^2)/(4.5^2))+70*EXP(-(((0)+38)^2)/(7^2))*(0.55+0.45*SIN(2*PI()*(Model_Data!A162)/45))+24*SIN(2*PI()*(0)/9+(Model_Data!A162)/18)*EXP(-(((0)+5)^2)/(22^2))+18*SIN(2*PI()*(Model_Data!A162)/70))+Inputs!$C$28*EXP(-(((Model_Data!A162)-Inputs!$C$29)^2)/(2*Inputs!$C$31^2))*EXP(-(((0)-Inputs!$C$30)^2)/(2*Inputs!$C$32^2))+-Inputs!$C$33*EXP(-(((((Model_Data!A162)-Inputs!$C$34)^2)+(((0)-Inputs!$C$35)^2))/(2*Inputs!$C$36^2)))+Inputs!$C$37*(0.55*SIN(2*PI()*(Model_Data!A162)/Inputs!$C$39)+0.35*COS(2*PI()*(0)/Inputs!$C$40)+0.2*SIN(2*PI()*((Model_Data!A162)+(0))/(0.5*(Inputs!$C$39+Inputs!$C$40))))+Inputs!$C$38*SIN(2*PI()*(Model_Data!A162)/Inputs!$C$39)*SIN(2*PI()*(0)/Inputs!$C$40)+-Inputs!$C$41*EXP(-(((0)-Inputs!$C$43)^2)/(2*Inputs!$C$44^2))*EXP(-(((Model_Data!A162)-Inputs!$C$42)^2)/(2*Inputs!$C$45^2))+Inputs!$C$48*(0.70*(0.45*SIN(2*PI()*(((Model_Data!A162)/Inputs!$C$49)+Inputs!$C$47*0.137))+0.35*COS(2*PI()*(((0)/Inputs!$C$50)+Inputs!$C$47*0.173))+0.20*SIN(2*PI()*(((Model_Data!A162)+(0))/(0.5*(Inputs!$C$49+Inputs!$C$50))+Inputs!$C$47*0.097)))+0.30*(2*((SIN(((Model_Data!A162)*12.9898+(0)*78.233+Inputs!$C$47*37.719))*43758.5453)-INT((SIN(((Model_Data!A162)*12.9898+(0)*78.233+Inputs!$C$47*37.719))*43758.5453)))-1))))</x:f>
        <x:v>364.6796334493845</x:v>
      </x:c>
      <x:c r="K162" s="48" t="n">
        <x:f>-((((SQRT((Model_Data!A162)^2+Inputs!$C$6^2+((Model_Data!B162)-((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(0.45*SIN(2*PI()*(((Model_Data!A162)/Inputs!$C$49)+Inputs!$C$47*0.137))+0.35*COS(2*PI()*(((Inputs!$C$6)/Inputs!$C$50)+Inputs!$C$47*0.173))+0.20*SIN(2*PI()*(((Model_Data!A162)+(Inputs!$C$6))/(0.5*(Inputs!$C$49+Inputs!$C$50))+Inputs!$C$47*0.097)))+0.30*(2*((SIN(((Model_Data!A162)*12.9898+(Inputs!$C$6)*78.233+Inputs!$C$47*37.719))*43758.5453)-INT((SIN(((Model_Data!A162)*12.9898+(Inputs!$C$6)*78.233+Inputs!$C$47*37.719))*43758.5453)))-1))))/1000)^2))-(((Model_Data!B162)-((Inputs!$C$51*(115*EXP(-(((0)-25)^2)/(4.5^2))+70*EXP(-(((0)+38)^2)/(7^2))*(0.55+0.45*SIN(2*PI()*(Model_Data!A162)/45))+24*SIN(2*PI()*(0)/9+(Model_Data!A162)/18)*EXP(-(((0)+5)^2)/(22^2))+18*SIN(2*PI()*(Model_Data!A162)/70))+Inputs!$C$28*EXP(-(((Model_Data!A162)-Inputs!$C$29)^2)/(2*Inputs!$C$31^2))*EXP(-(((0)-Inputs!$C$30)^2)/(2*Inputs!$C$32^2))+-Inputs!$C$33*EXP(-(((((Model_Data!A162)-Inputs!$C$34)^2)+(((0)-Inputs!$C$35)^2))/(2*Inputs!$C$36^2)))+Inputs!$C$37*(0.55*SIN(2*PI()*(Model_Data!A162)/Inputs!$C$39)+0.35*COS(2*PI()*(0)/Inputs!$C$40)+0.2*SIN(2*PI()*((Model_Data!A162)+(0))/(0.5*(Inputs!$C$39+Inputs!$C$40))))+Inputs!$C$38*SIN(2*PI()*(Model_Data!A162)/Inputs!$C$39)*SIN(2*PI()*(0)/Inputs!$C$40)+-Inputs!$C$41*EXP(-(((0)-Inputs!$C$43)^2)/(2*Inputs!$C$44^2))*EXP(-(((Model_Data!A162)-Inputs!$C$42)^2)/(2*Inputs!$C$45^2))+Inputs!$C$48*(0.70*(0.45*SIN(2*PI()*(((Model_Data!A162)/Inputs!$C$49)+Inputs!$C$47*0.137))+0.35*COS(2*PI()*(((0)/Inputs!$C$50)+Inputs!$C$47*0.173))+0.20*SIN(2*PI()*(((Model_Data!A162)+(0))/(0.5*(Inputs!$C$49+Inputs!$C$50))+Inputs!$C$47*0.097)))+0.30*(2*((SIN(((Model_Data!A162)*12.9898+(0)*78.233+Inputs!$C$47*37.719))*43758.5453)-INT((SIN(((Model_Data!A162)*12.9898+(0)*78.233+Inputs!$C$47*37.719))*43758.5453)))-1))))/1000)))*1000/Inputs!$C$12)-Model_Data!F162)</x:f>
        <x:v>204.0908486761507</x:v>
      </x:c>
      <x:c r="L162" s="49"/>
      <x:c r="M162" s="48" t="n">
        <x:f>Model_Data!A162</x:f>
        <x:v>20</x:v>
      </x:c>
      <x:c r="N162" s="48" t="n">
        <x:f>Model_Data!P162</x:f>
        <x:v>-150.54195238009106</x:v>
      </x:c>
      <x:c r="O162" s="48" t="n">
        <x:f>AC162</x:f>
        <x:v>-142.49505768984818</x:v>
      </x:c>
      <x:c r="P162" s="48" t="n">
        <x:f>Model_Data!Q162</x:f>
        <x:v>-22.60389675376743</x:v>
      </x:c>
      <x:c r="Q162" s="48" t="n">
        <x:f>AD162</x:f>
        <x:v>-21.395654307785016</x:v>
      </x:c>
      <x:c r="R162" s="49"/>
      <x:c r="S162" s="48" t="n">
        <x:f>Model_Data!A162</x:f>
        <x:v>20</x:v>
      </x:c>
      <x:c r="T162" s="48" t="n">
        <x:f>Model_Data!B162-Inputs!$C$5</x:f>
        <x:v>0.4444444444444571</x:v>
      </x:c>
      <x:c r="U162" s="49"/>
      <x:c r="V162" s="48" t="n">
        <x:f>Model_Data!A162</x:f>
        <x:v>20</x:v>
      </x:c>
      <x:c r="W162" s="48" t="n">
        <x:f>(-((((SQRT((Model_Data!A162)^2+Inputs!$C$6^2+((Model_Data!B162)-((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(0.45*SIN(2*PI()*(((Model_Data!A162)/Inputs!$C$49)+Inputs!$C$47*0.137))+0.35*COS(2*PI()*(((Inputs!$C$6)/Inputs!$C$50)+Inputs!$C$47*0.173))+0.20*SIN(2*PI()*(((Model_Data!A162)+(Inputs!$C$6))/(0.5*(Inputs!$C$49+Inputs!$C$50))+Inputs!$C$47*0.097)))+0.30*(2*((SIN(((Model_Data!A162)*12.9898+(Inputs!$C$6)*78.233+Inputs!$C$47*37.719))*43758.5453)-INT((SIN(((Model_Data!A162)*12.9898+(Inputs!$C$6)*78.233+Inputs!$C$47*37.719))*43758.5453)))-1))))/1000)^2))-(((Model_Data!B162)-((Inputs!$C$51*(115*EXP(-(((0)-25)^2)/(4.5^2))+70*EXP(-(((0)+38)^2)/(7^2))*(0.55+0.45*SIN(2*PI()*(Model_Data!A162)/45))+24*SIN(2*PI()*(0)/9+(Model_Data!A162)/18)*EXP(-(((0)+5)^2)/(22^2))+18*SIN(2*PI()*(Model_Data!A162)/70))+Inputs!$C$28*EXP(-(((Model_Data!A162)-Inputs!$C$29)^2)/(2*Inputs!$C$31^2))*EXP(-(((0)-Inputs!$C$30)^2)/(2*Inputs!$C$32^2))+-Inputs!$C$33*EXP(-(((((Model_Data!A162)-Inputs!$C$34)^2)+(((0)-Inputs!$C$35)^2))/(2*Inputs!$C$36^2)))+Inputs!$C$37*(0.55*SIN(2*PI()*(Model_Data!A162)/Inputs!$C$39)+0.35*COS(2*PI()*(0)/Inputs!$C$40)+0.2*SIN(2*PI()*((Model_Data!A162)+(0))/(0.5*(Inputs!$C$39+Inputs!$C$40))))+Inputs!$C$38*SIN(2*PI()*(Model_Data!A162)/Inputs!$C$39)*SIN(2*PI()*(0)/Inputs!$C$40)+-Inputs!$C$41*EXP(-(((0)-Inputs!$C$43)^2)/(2*Inputs!$C$44^2))*EXP(-(((Model_Data!A162)-Inputs!$C$42)^2)/(2*Inputs!$C$45^2))+Inputs!$C$48*(0.70*(0.45*SIN(2*PI()*(((Model_Data!A162)/Inputs!$C$49)+Inputs!$C$47*0.137))+0.35*COS(2*PI()*(((0)/Inputs!$C$50)+Inputs!$C$47*0.173))+0.20*SIN(2*PI()*(((Model_Data!A162)+(0))/(0.5*(Inputs!$C$49+Inputs!$C$50))+Inputs!$C$47*0.097)))+0.30*(2*((SIN(((Model_Data!A162)*12.9898+(0)*78.233+Inputs!$C$47*37.719))*43758.5453)-INT((SIN(((Model_Data!A162)*12.9898+(0)*78.233+Inputs!$C$47*37.719))*43758.5453)))-1))))/1000)))*1000/Inputs!$C$12)-Model_Data!F162))-(-(((SQRT((Model_Data!A162)^2+Inputs!$C$6^2+(Inputs!$C$5-((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(0.45*SIN(2*PI()*(((Model_Data!A162)/Inputs!$C$49)+Inputs!$C$47*0.137))+0.35*COS(2*PI()*(((Inputs!$C$6)/Inputs!$C$50)+Inputs!$C$47*0.173))+0.20*SIN(2*PI()*(((Model_Data!A162)+(Inputs!$C$6))/(0.5*(Inputs!$C$49+Inputs!$C$50))+Inputs!$C$47*0.097)))+0.30*(2*((SIN(((Model_Data!A162)*12.9898+(Inputs!$C$6)*78.233+Inputs!$C$47*37.719))*43758.5453)-INT((SIN(((Model_Data!A162)*12.9898+(Inputs!$C$6)*78.233+Inputs!$C$47*37.719))*43758.5453)))-1))))/1000)^2)-(Inputs!$C$5-((Inputs!$C$51*(115*EXP(-(((0)-25)^2)/(4.5^2))+70*EXP(-(((0)+38)^2)/(7^2))*(0.55+0.45*SIN(2*PI()*(Model_Data!A162)/45))+24*SIN(2*PI()*(0)/9+(Model_Data!A162)/18)*EXP(-(((0)+5)^2)/(22^2))+18*SIN(2*PI()*(Model_Data!A162)/70))+Inputs!$C$28*EXP(-(((Model_Data!A162)-Inputs!$C$29)^2)/(2*Inputs!$C$31^2))*EXP(-(((0)-Inputs!$C$30)^2)/(2*Inputs!$C$32^2))+-Inputs!$C$33*EXP(-(((((Model_Data!A162)-Inputs!$C$34)^2)+(((0)-Inputs!$C$35)^2))/(2*Inputs!$C$36^2)))+Inputs!$C$37*(0.55*SIN(2*PI()*(Model_Data!A162)/Inputs!$C$39)+0.35*COS(2*PI()*(0)/Inputs!$C$40)+0.2*SIN(2*PI()*((Model_Data!A162)+(0))/(0.5*(Inputs!$C$39+Inputs!$C$40))))+Inputs!$C$38*SIN(2*PI()*(Model_Data!A162)/Inputs!$C$39)*SIN(2*PI()*(0)/Inputs!$C$40)+-Inputs!$C$41*EXP(-(((0)-Inputs!$C$43)^2)/(2*Inputs!$C$44^2))*EXP(-(((Model_Data!A162)-Inputs!$C$42)^2)/(2*Inputs!$C$45^2))+Inputs!$C$48*(0.70*(0.45*SIN(2*PI()*(((Model_Data!A162)/Inputs!$C$49)+Inputs!$C$47*0.137))+0.35*COS(2*PI()*(((0)/Inputs!$C$50)+Inputs!$C$47*0.173))+0.20*SIN(2*PI()*(((Model_Data!A162)+(0))/(0.5*(Inputs!$C$49+Inputs!$C$50))+Inputs!$C$47*0.097)))+0.30*(2*((SIN(((Model_Data!A162)*12.9898+(0)*78.233+Inputs!$C$47*37.719))*43758.5453)-INT((SIN(((Model_Data!A162)*12.9898+(0)*78.233+Inputs!$C$47*37.719))*43758.5453)))-1))))/1000))*1000/Inputs!$C$12)-((SQRT((Model_Data!A162)^2+Inputs!$C$6^2+Inputs!$C$5^2)-Inputs!$C$5)*1000/Inputs!$C$12)))</x:f>
        <x:v>0.001738796752078997</x:v>
      </x:c>
      <x:c r="X162" s="48" t="n">
        <x:f>0</x:f>
        <x:v>0</x:v>
      </x:c>
      <x:c r="Y162" s="49"/>
      <x:c r="Z162" s="48" t="n">
        <x:f>Model_Data!A162</x:f>
        <x:v>20</x:v>
      </x:c>
      <x:c r="AA162" s="48" t="n">
        <x:f>SQRT((Model_Data!A162)^2+Inputs!$C$6^2+((Model_Data!B162)-((Inputs!$C$51*(115*EXP(-(((Inputs!$C$6)-25)^2)/(4.5^2))+70*EXP(-(((Inputs!$C$6)+38)^2)/(7^2))*(0.55+0.45*SIN(2*PI()*(Model_Data!A162)/45))+24*SIN(2*PI()*(Inputs!$C$6)/9+(Model_Data!A162)/18)*EXP(-(((Inputs!$C$6)+5)^2)/(22^2))+18*SIN(2*PI()*(Model_Data!A162)/70))+Inputs!$C$28*EXP(-(((Model_Data!A162)-Inputs!$C$29)^2)/(2*Inputs!$C$31^2))*EXP(-(((Inputs!$C$6)-Inputs!$C$30)^2)/(2*Inputs!$C$32^2))+-Inputs!$C$33*EXP(-(((((Model_Data!A162)-Inputs!$C$34)^2)+(((Inputs!$C$6)-Inputs!$C$35)^2))/(2*Inputs!$C$36^2)))+Inputs!$C$37*(0.55*SIN(2*PI()*(Model_Data!A162)/Inputs!$C$39)+0.35*COS(2*PI()*(Inputs!$C$6)/Inputs!$C$40)+0.2*SIN(2*PI()*((Model_Data!A162)+(Inputs!$C$6))/(0.5*(Inputs!$C$39+Inputs!$C$40))))+Inputs!$C$38*SIN(2*PI()*(Model_Data!A162)/Inputs!$C$39)*SIN(2*PI()*(Inputs!$C$6)/Inputs!$C$40)+-Inputs!$C$41*EXP(-(((Inputs!$C$6)-Inputs!$C$43)^2)/(2*Inputs!$C$44^2))*EXP(-(((Model_Data!A162)-Inputs!$C$42)^2)/(2*Inputs!$C$45^2))+Inputs!$C$48*(0.70*(0.45*SIN(2*PI()*(((Model_Data!A162)/Inputs!$C$49)+Inputs!$C$47*0.137))+0.35*COS(2*PI()*(((Inputs!$C$6)/Inputs!$C$50)+Inputs!$C$47*0.173))+0.20*SIN(2*PI()*(((Model_Data!A162)+(Inputs!$C$6))/(0.5*(Inputs!$C$49+Inputs!$C$50))+Inputs!$C$47*0.097)))+0.30*(2*((SIN(((Model_Data!A162)*12.9898+(Inputs!$C$6)*78.233+Inputs!$C$47*37.719))*43758.5453)-INT((SIN(((Model_Data!A162)*12.9898+(Inputs!$C$6)*78.233+Inputs!$C$47*37.719))*43758.5453)))-1))))/1000)^2)</x:f>
        <x:v>401.28462036739455</x:v>
      </x:c>
      <x:c r="AB162" s="48" t="n">
        <x:f>1000*(AA163-AA161)/(Z163-Z161)*Inputs!$C$11</x:f>
        <x:v>356.23764422462045</x:v>
      </x:c>
      <x:c r="AC162" s="48" t="n">
        <x:f>-2*AB162/Inputs!$C$13</x:f>
        <x:v>-142.49505768984818</x:v>
      </x:c>
      <x:c r="AD162" s="48" t="n">
        <x:f>-2*AB162/Inputs!$C$14</x:f>
        <x:v>-21.395654307785016</x:v>
      </x:c>
    </x:row>
    <x:row r="163">
      <x:c r="A163" s="48" t="n">
        <x:f>Model_Data!A163</x:f>
        <x:v>20.5</x:v>
      </x:c>
      <x:c r="B163" s="48" t="n">
        <x:f>Model_Data!F163</x:f>
        <x:v>731.9772602878156</x:v>
      </x:c>
      <x:c r="C163" s="48" t="n">
        <x:f>(((SQRT((Model_Data!A163)^2+Inputs!$C$6^2+((Model_Data!B163)-((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(0.45*SIN(2*PI()*(((Model_Data!A163)/Inputs!$C$49)+Inputs!$C$47*0.137))+0.35*COS(2*PI()*(((Inputs!$C$6)/Inputs!$C$50)+Inputs!$C$47*0.173))+0.20*SIN(2*PI()*(((Model_Data!A163)+(Inputs!$C$6))/(0.5*(Inputs!$C$49+Inputs!$C$50))+Inputs!$C$47*0.097)))+0.30*(2*((SIN(((Model_Data!A163)*12.9898+(Inputs!$C$6)*78.233+Inputs!$C$47*37.719))*43758.5453)-INT((SIN(((Model_Data!A163)*12.9898+(Inputs!$C$6)*78.233+Inputs!$C$47*37.719))*43758.5453)))-1))))/1000)^2))-(((Model_Data!B163)-((Inputs!$C$51*(115*EXP(-(((0)-25)^2)/(4.5^2))+70*EXP(-(((0)+38)^2)/(7^2))*(0.55+0.45*SIN(2*PI()*(Model_Data!A163)/45))+24*SIN(2*PI()*(0)/9+(Model_Data!A163)/18)*EXP(-(((0)+5)^2)/(22^2))+18*SIN(2*PI()*(Model_Data!A163)/70))+Inputs!$C$28*EXP(-(((Model_Data!A163)-Inputs!$C$29)^2)/(2*Inputs!$C$31^2))*EXP(-(((0)-Inputs!$C$30)^2)/(2*Inputs!$C$32^2))+-Inputs!$C$33*EXP(-(((((Model_Data!A163)-Inputs!$C$34)^2)+(((0)-Inputs!$C$35)^2))/(2*Inputs!$C$36^2)))+Inputs!$C$37*(0.55*SIN(2*PI()*(Model_Data!A163)/Inputs!$C$39)+0.35*COS(2*PI()*(0)/Inputs!$C$40)+0.2*SIN(2*PI()*((Model_Data!A163)+(0))/(0.5*(Inputs!$C$39+Inputs!$C$40))))+Inputs!$C$38*SIN(2*PI()*(Model_Data!A163)/Inputs!$C$39)*SIN(2*PI()*(0)/Inputs!$C$40)+-Inputs!$C$41*EXP(-(((0)-Inputs!$C$43)^2)/(2*Inputs!$C$44^2))*EXP(-(((Model_Data!A163)-Inputs!$C$42)^2)/(2*Inputs!$C$45^2))+Inputs!$C$48*(0.70*(0.45*SIN(2*PI()*(((Model_Data!A163)/Inputs!$C$49)+Inputs!$C$47*0.137))+0.35*COS(2*PI()*(((0)/Inputs!$C$50)+Inputs!$C$47*0.173))+0.20*SIN(2*PI()*(((Model_Data!A163)+(0))/(0.5*(Inputs!$C$49+Inputs!$C$50))+Inputs!$C$47*0.097)))+0.30*(2*((SIN(((Model_Data!A163)*12.9898+(0)*78.233+Inputs!$C$47*37.719))*43758.5453)-INT((SIN(((Model_Data!A163)*12.9898+(0)*78.233+Inputs!$C$47*37.719))*43758.5453)))-1))))/1000)))*1000/Inputs!$C$12)</x:f>
        <x:v>527.906168759425</x:v>
      </x:c>
      <x:c r="D163" s="49"/>
      <x:c r="E163" s="48" t="n">
        <x:f>Model_Data!A163</x:f>
        <x:v>20.5</x:v>
      </x:c>
      <x:c r="F163" s="48" t="n">
        <x:f>(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(0.45*SIN(2*PI()*(((Model_Data!A163)/Inputs!$C$49)+Inputs!$C$47*0.137))+0.35*COS(2*PI()*(((Inputs!$C$6)/Inputs!$C$50)+Inputs!$C$47*0.173))+0.20*SIN(2*PI()*(((Model_Data!A163)+(Inputs!$C$6))/(0.5*(Inputs!$C$49+Inputs!$C$50))+Inputs!$C$47*0.097)))+0.30*(2*((SIN(((Model_Data!A163)*12.9898+(Inputs!$C$6)*78.233+Inputs!$C$47*37.719))*43758.5453)-INT((SIN(((Model_Data!A163)*12.9898+(Inputs!$C$6)*78.233+Inputs!$C$47*37.719))*43758.5453)))-1)))</x:f>
        <x:v>441.7637232897853</x:v>
      </x:c>
      <x:c r="G163" s="48" t="n">
        <x:f>(Inputs!$C$51*(115*EXP(-(((0)-25)^2)/(4.5^2))+70*EXP(-(((0)+38)^2)/(7^2))*(0.55+0.45*SIN(2*PI()*(Model_Data!A163)/45))+24*SIN(2*PI()*(0)/9+(Model_Data!A163)/18)*EXP(-(((0)+5)^2)/(22^2))+18*SIN(2*PI()*(Model_Data!A163)/70))+Inputs!$C$28*EXP(-(((Model_Data!A163)-Inputs!$C$29)^2)/(2*Inputs!$C$31^2))*EXP(-(((0)-Inputs!$C$30)^2)/(2*Inputs!$C$32^2))+-Inputs!$C$33*EXP(-(((((Model_Data!A163)-Inputs!$C$34)^2)+(((0)-Inputs!$C$35)^2))/(2*Inputs!$C$36^2)))+Inputs!$C$37*(0.55*SIN(2*PI()*(Model_Data!A163)/Inputs!$C$39)+0.35*COS(2*PI()*(0)/Inputs!$C$40)+0.2*SIN(2*PI()*((Model_Data!A163)+(0))/(0.5*(Inputs!$C$39+Inputs!$C$40))))+Inputs!$C$38*SIN(2*PI()*(Model_Data!A163)/Inputs!$C$39)*SIN(2*PI()*(0)/Inputs!$C$40)+-Inputs!$C$41*EXP(-(((0)-Inputs!$C$43)^2)/(2*Inputs!$C$44^2))*EXP(-(((Model_Data!A163)-Inputs!$C$42)^2)/(2*Inputs!$C$45^2))+Inputs!$C$48*(0.70*(0.45*SIN(2*PI()*(((Model_Data!A163)/Inputs!$C$49)+Inputs!$C$47*0.137))+0.35*COS(2*PI()*(((0)/Inputs!$C$50)+Inputs!$C$47*0.173))+0.20*SIN(2*PI()*(((Model_Data!A163)+(0))/(0.5*(Inputs!$C$49+Inputs!$C$50))+Inputs!$C$47*0.097)))+0.30*(2*((SIN(((Model_Data!A163)*12.9898+(0)*78.233+Inputs!$C$47*37.719))*43758.5453)-INT((SIN(((Model_Data!A163)*12.9898+(0)*78.233+Inputs!$C$47*37.719))*43758.5453)))-1)))</x:f>
        <x:v>77.08298836787891</x:v>
      </x:c>
      <x:c r="H163" s="49"/>
      <x:c r="I163" s="48" t="n">
        <x:f>Model_Data!A163</x:f>
        <x:v>20.5</x:v>
      </x:c>
      <x:c r="J163" s="48" t="n">
        <x:f>((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(0.45*SIN(2*PI()*(((Model_Data!A163)/Inputs!$C$49)+Inputs!$C$47*0.137))+0.35*COS(2*PI()*(((Inputs!$C$6)/Inputs!$C$50)+Inputs!$C$47*0.173))+0.20*SIN(2*PI()*(((Model_Data!A163)+(Inputs!$C$6))/(0.5*(Inputs!$C$49+Inputs!$C$50))+Inputs!$C$47*0.097)))+0.30*(2*((SIN(((Model_Data!A163)*12.9898+(Inputs!$C$6)*78.233+Inputs!$C$47*37.719))*43758.5453)-INT((SIN(((Model_Data!A163)*12.9898+(Inputs!$C$6)*78.233+Inputs!$C$47*37.719))*43758.5453)))-1))))-((Inputs!$C$51*(115*EXP(-(((0)-25)^2)/(4.5^2))+70*EXP(-(((0)+38)^2)/(7^2))*(0.55+0.45*SIN(2*PI()*(Model_Data!A163)/45))+24*SIN(2*PI()*(0)/9+(Model_Data!A163)/18)*EXP(-(((0)+5)^2)/(22^2))+18*SIN(2*PI()*(Model_Data!A163)/70))+Inputs!$C$28*EXP(-(((Model_Data!A163)-Inputs!$C$29)^2)/(2*Inputs!$C$31^2))*EXP(-(((0)-Inputs!$C$30)^2)/(2*Inputs!$C$32^2))+-Inputs!$C$33*EXP(-(((((Model_Data!A163)-Inputs!$C$34)^2)+(((0)-Inputs!$C$35)^2))/(2*Inputs!$C$36^2)))+Inputs!$C$37*(0.55*SIN(2*PI()*(Model_Data!A163)/Inputs!$C$39)+0.35*COS(2*PI()*(0)/Inputs!$C$40)+0.2*SIN(2*PI()*((Model_Data!A163)+(0))/(0.5*(Inputs!$C$39+Inputs!$C$40))))+Inputs!$C$38*SIN(2*PI()*(Model_Data!A163)/Inputs!$C$39)*SIN(2*PI()*(0)/Inputs!$C$40)+-Inputs!$C$41*EXP(-(((0)-Inputs!$C$43)^2)/(2*Inputs!$C$44^2))*EXP(-(((Model_Data!A163)-Inputs!$C$42)^2)/(2*Inputs!$C$45^2))+Inputs!$C$48*(0.70*(0.45*SIN(2*PI()*(((Model_Data!A163)/Inputs!$C$49)+Inputs!$C$47*0.137))+0.35*COS(2*PI()*(((0)/Inputs!$C$50)+Inputs!$C$47*0.173))+0.20*SIN(2*PI()*(((Model_Data!A163)+(0))/(0.5*(Inputs!$C$49+Inputs!$C$50))+Inputs!$C$47*0.097)))+0.30*(2*((SIN(((Model_Data!A163)*12.9898+(0)*78.233+Inputs!$C$47*37.719))*43758.5453)-INT((SIN(((Model_Data!A163)*12.9898+(0)*78.233+Inputs!$C$47*37.719))*43758.5453)))-1))))</x:f>
        <x:v>364.6807349219064</x:v>
      </x:c>
      <x:c r="K163" s="48" t="n">
        <x:f>-((((SQRT((Model_Data!A163)^2+Inputs!$C$6^2+((Model_Data!B163)-((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(0.45*SIN(2*PI()*(((Model_Data!A163)/Inputs!$C$49)+Inputs!$C$47*0.137))+0.35*COS(2*PI()*(((Inputs!$C$6)/Inputs!$C$50)+Inputs!$C$47*0.173))+0.20*SIN(2*PI()*(((Model_Data!A163)+(Inputs!$C$6))/(0.5*(Inputs!$C$49+Inputs!$C$50))+Inputs!$C$47*0.097)))+0.30*(2*((SIN(((Model_Data!A163)*12.9898+(Inputs!$C$6)*78.233+Inputs!$C$47*37.719))*43758.5453)-INT((SIN(((Model_Data!A163)*12.9898+(Inputs!$C$6)*78.233+Inputs!$C$47*37.719))*43758.5453)))-1))))/1000)^2))-(((Model_Data!B163)-((Inputs!$C$51*(115*EXP(-(((0)-25)^2)/(4.5^2))+70*EXP(-(((0)+38)^2)/(7^2))*(0.55+0.45*SIN(2*PI()*(Model_Data!A163)/45))+24*SIN(2*PI()*(0)/9+(Model_Data!A163)/18)*EXP(-(((0)+5)^2)/(22^2))+18*SIN(2*PI()*(Model_Data!A163)/70))+Inputs!$C$28*EXP(-(((Model_Data!A163)-Inputs!$C$29)^2)/(2*Inputs!$C$31^2))*EXP(-(((0)-Inputs!$C$30)^2)/(2*Inputs!$C$32^2))+-Inputs!$C$33*EXP(-(((((Model_Data!A163)-Inputs!$C$34)^2)+(((0)-Inputs!$C$35)^2))/(2*Inputs!$C$36^2)))+Inputs!$C$37*(0.55*SIN(2*PI()*(Model_Data!A163)/Inputs!$C$39)+0.35*COS(2*PI()*(0)/Inputs!$C$40)+0.2*SIN(2*PI()*((Model_Data!A163)+(0))/(0.5*(Inputs!$C$39+Inputs!$C$40))))+Inputs!$C$38*SIN(2*PI()*(Model_Data!A163)/Inputs!$C$39)*SIN(2*PI()*(0)/Inputs!$C$40)+-Inputs!$C$41*EXP(-(((0)-Inputs!$C$43)^2)/(2*Inputs!$C$44^2))*EXP(-(((Model_Data!A163)-Inputs!$C$42)^2)/(2*Inputs!$C$45^2))+Inputs!$C$48*(0.70*(0.45*SIN(2*PI()*(((Model_Data!A163)/Inputs!$C$49)+Inputs!$C$47*0.137))+0.35*COS(2*PI()*(((0)/Inputs!$C$50)+Inputs!$C$47*0.173))+0.20*SIN(2*PI()*(((Model_Data!A163)+(0))/(0.5*(Inputs!$C$49+Inputs!$C$50))+Inputs!$C$47*0.097)))+0.30*(2*((SIN(((Model_Data!A163)*12.9898+(0)*78.233+Inputs!$C$47*37.719))*43758.5453)-INT((SIN(((Model_Data!A163)*12.9898+(0)*78.233+Inputs!$C$47*37.719))*43758.5453)))-1))))/1000)))*1000/Inputs!$C$12)-Model_Data!F163)</x:f>
        <x:v>204.07109152839064</x:v>
      </x:c>
      <x:c r="L163" s="49"/>
      <x:c r="M163" s="48" t="n">
        <x:f>Model_Data!A163</x:f>
        <x:v>20.5</x:v>
      </x:c>
      <x:c r="N163" s="48" t="n">
        <x:f>Model_Data!P163</x:f>
        <x:v>-154.291290056187</x:v>
      </x:c>
      <x:c r="O163" s="48" t="n">
        <x:f>AC163</x:f>
        <x:v>-150.80364210352855</x:v>
      </x:c>
      <x:c r="P163" s="48" t="n">
        <x:f>Model_Data!Q163</x:f>
        <x:v>-23.166860368796847</x:v>
      </x:c>
      <x:c r="Q163" s="48" t="n">
        <x:f>AD163</x:f>
        <x:v>-22.643189505034318</x:v>
      </x:c>
      <x:c r="R163" s="49"/>
      <x:c r="S163" s="48" t="n">
        <x:f>Model_Data!A163</x:f>
        <x:v>20.5</x:v>
      </x:c>
      <x:c r="T163" s="48" t="n">
        <x:f>Model_Data!B163-Inputs!$C$5</x:f>
        <x:v>0.4669444444444366</x:v>
      </x:c>
      <x:c r="U163" s="49"/>
      <x:c r="V163" s="48" t="n">
        <x:f>Model_Data!A163</x:f>
        <x:v>20.5</x:v>
      </x:c>
      <x:c r="W163" s="48" t="n">
        <x:f>(-((((SQRT((Model_Data!A163)^2+Inputs!$C$6^2+((Model_Data!B163)-((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(0.45*SIN(2*PI()*(((Model_Data!A163)/Inputs!$C$49)+Inputs!$C$47*0.137))+0.35*COS(2*PI()*(((Inputs!$C$6)/Inputs!$C$50)+Inputs!$C$47*0.173))+0.20*SIN(2*PI()*(((Model_Data!A163)+(Inputs!$C$6))/(0.5*(Inputs!$C$49+Inputs!$C$50))+Inputs!$C$47*0.097)))+0.30*(2*((SIN(((Model_Data!A163)*12.9898+(Inputs!$C$6)*78.233+Inputs!$C$47*37.719))*43758.5453)-INT((SIN(((Model_Data!A163)*12.9898+(Inputs!$C$6)*78.233+Inputs!$C$47*37.719))*43758.5453)))-1))))/1000)^2))-(((Model_Data!B163)-((Inputs!$C$51*(115*EXP(-(((0)-25)^2)/(4.5^2))+70*EXP(-(((0)+38)^2)/(7^2))*(0.55+0.45*SIN(2*PI()*(Model_Data!A163)/45))+24*SIN(2*PI()*(0)/9+(Model_Data!A163)/18)*EXP(-(((0)+5)^2)/(22^2))+18*SIN(2*PI()*(Model_Data!A163)/70))+Inputs!$C$28*EXP(-(((Model_Data!A163)-Inputs!$C$29)^2)/(2*Inputs!$C$31^2))*EXP(-(((0)-Inputs!$C$30)^2)/(2*Inputs!$C$32^2))+-Inputs!$C$33*EXP(-(((((Model_Data!A163)-Inputs!$C$34)^2)+(((0)-Inputs!$C$35)^2))/(2*Inputs!$C$36^2)))+Inputs!$C$37*(0.55*SIN(2*PI()*(Model_Data!A163)/Inputs!$C$39)+0.35*COS(2*PI()*(0)/Inputs!$C$40)+0.2*SIN(2*PI()*((Model_Data!A163)+(0))/(0.5*(Inputs!$C$39+Inputs!$C$40))))+Inputs!$C$38*SIN(2*PI()*(Model_Data!A163)/Inputs!$C$39)*SIN(2*PI()*(0)/Inputs!$C$40)+-Inputs!$C$41*EXP(-(((0)-Inputs!$C$43)^2)/(2*Inputs!$C$44^2))*EXP(-(((Model_Data!A163)-Inputs!$C$42)^2)/(2*Inputs!$C$45^2))+Inputs!$C$48*(0.70*(0.45*SIN(2*PI()*(((Model_Data!A163)/Inputs!$C$49)+Inputs!$C$47*0.137))+0.35*COS(2*PI()*(((0)/Inputs!$C$50)+Inputs!$C$47*0.173))+0.20*SIN(2*PI()*(((Model_Data!A163)+(0))/(0.5*(Inputs!$C$49+Inputs!$C$50))+Inputs!$C$47*0.097)))+0.30*(2*((SIN(((Model_Data!A163)*12.9898+(0)*78.233+Inputs!$C$47*37.719))*43758.5453)-INT((SIN(((Model_Data!A163)*12.9898+(0)*78.233+Inputs!$C$47*37.719))*43758.5453)))-1))))/1000)))*1000/Inputs!$C$12)-Model_Data!F163))-(-(((SQRT((Model_Data!A163)^2+Inputs!$C$6^2+(Inputs!$C$5-((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(0.45*SIN(2*PI()*(((Model_Data!A163)/Inputs!$C$49)+Inputs!$C$47*0.137))+0.35*COS(2*PI()*(((Inputs!$C$6)/Inputs!$C$50)+Inputs!$C$47*0.173))+0.20*SIN(2*PI()*(((Model_Data!A163)+(Inputs!$C$6))/(0.5*(Inputs!$C$49+Inputs!$C$50))+Inputs!$C$47*0.097)))+0.30*(2*((SIN(((Model_Data!A163)*12.9898+(Inputs!$C$6)*78.233+Inputs!$C$47*37.719))*43758.5453)-INT((SIN(((Model_Data!A163)*12.9898+(Inputs!$C$6)*78.233+Inputs!$C$47*37.719))*43758.5453)))-1))))/1000)^2)-(Inputs!$C$5-((Inputs!$C$51*(115*EXP(-(((0)-25)^2)/(4.5^2))+70*EXP(-(((0)+38)^2)/(7^2))*(0.55+0.45*SIN(2*PI()*(Model_Data!A163)/45))+24*SIN(2*PI()*(0)/9+(Model_Data!A163)/18)*EXP(-(((0)+5)^2)/(22^2))+18*SIN(2*PI()*(Model_Data!A163)/70))+Inputs!$C$28*EXP(-(((Model_Data!A163)-Inputs!$C$29)^2)/(2*Inputs!$C$31^2))*EXP(-(((0)-Inputs!$C$30)^2)/(2*Inputs!$C$32^2))+-Inputs!$C$33*EXP(-(((((Model_Data!A163)-Inputs!$C$34)^2)+(((0)-Inputs!$C$35)^2))/(2*Inputs!$C$36^2)))+Inputs!$C$37*(0.55*SIN(2*PI()*(Model_Data!A163)/Inputs!$C$39)+0.35*COS(2*PI()*(0)/Inputs!$C$40)+0.2*SIN(2*PI()*((Model_Data!A163)+(0))/(0.5*(Inputs!$C$39+Inputs!$C$40))))+Inputs!$C$38*SIN(2*PI()*(Model_Data!A163)/Inputs!$C$39)*SIN(2*PI()*(0)/Inputs!$C$40)+-Inputs!$C$41*EXP(-(((0)-Inputs!$C$43)^2)/(2*Inputs!$C$44^2))*EXP(-(((Model_Data!A163)-Inputs!$C$42)^2)/(2*Inputs!$C$45^2))+Inputs!$C$48*(0.70*(0.45*SIN(2*PI()*(((Model_Data!A163)/Inputs!$C$49)+Inputs!$C$47*0.137))+0.35*COS(2*PI()*(((0)/Inputs!$C$50)+Inputs!$C$47*0.173))+0.20*SIN(2*PI()*(((Model_Data!A163)+(0))/(0.5*(Inputs!$C$49+Inputs!$C$50))+Inputs!$C$47*0.097)))+0.30*(2*((SIN(((Model_Data!A163)*12.9898+(0)*78.233+Inputs!$C$47*37.719))*43758.5453)-INT((SIN(((Model_Data!A163)*12.9898+(0)*78.233+Inputs!$C$47*37.719))*43758.5453)))-1))))/1000))*1000/Inputs!$C$12)-((SQRT((Model_Data!A163)^2+Inputs!$C$6^2+Inputs!$C$5^2)-Inputs!$C$5)*1000/Inputs!$C$12)))</x:f>
        <x:v>0.0018741026427733232</x:v>
      </x:c>
      <x:c r="X163" s="48" t="n">
        <x:f>0</x:f>
        <x:v>0</x:v>
      </x:c>
      <x:c r="Y163" s="49"/>
      <x:c r="Z163" s="48" t="n">
        <x:f>Model_Data!A163</x:f>
        <x:v>20.5</x:v>
      </x:c>
      <x:c r="AA163" s="48" t="n">
        <x:f>SQRT((Model_Data!A163)^2+Inputs!$C$6^2+((Model_Data!B163)-((Inputs!$C$51*(115*EXP(-(((Inputs!$C$6)-25)^2)/(4.5^2))+70*EXP(-(((Inputs!$C$6)+38)^2)/(7^2))*(0.55+0.45*SIN(2*PI()*(Model_Data!A163)/45))+24*SIN(2*PI()*(Inputs!$C$6)/9+(Model_Data!A163)/18)*EXP(-(((Inputs!$C$6)+5)^2)/(22^2))+18*SIN(2*PI()*(Model_Data!A163)/70))+Inputs!$C$28*EXP(-(((Model_Data!A163)-Inputs!$C$29)^2)/(2*Inputs!$C$31^2))*EXP(-(((Inputs!$C$6)-Inputs!$C$30)^2)/(2*Inputs!$C$32^2))+-Inputs!$C$33*EXP(-(((((Model_Data!A163)-Inputs!$C$34)^2)+(((Inputs!$C$6)-Inputs!$C$35)^2))/(2*Inputs!$C$36^2)))+Inputs!$C$37*(0.55*SIN(2*PI()*(Model_Data!A163)/Inputs!$C$39)+0.35*COS(2*PI()*(Inputs!$C$6)/Inputs!$C$40)+0.2*SIN(2*PI()*((Model_Data!A163)+(Inputs!$C$6))/(0.5*(Inputs!$C$39+Inputs!$C$40))))+Inputs!$C$38*SIN(2*PI()*(Model_Data!A163)/Inputs!$C$39)*SIN(2*PI()*(Inputs!$C$6)/Inputs!$C$40)+-Inputs!$C$41*EXP(-(((Inputs!$C$6)-Inputs!$C$43)^2)/(2*Inputs!$C$44^2))*EXP(-(((Model_Data!A163)-Inputs!$C$42)^2)/(2*Inputs!$C$45^2))+Inputs!$C$48*(0.70*(0.45*SIN(2*PI()*(((Model_Data!A163)/Inputs!$C$49)+Inputs!$C$47*0.137))+0.35*COS(2*PI()*(((Inputs!$C$6)/Inputs!$C$50)+Inputs!$C$47*0.173))+0.20*SIN(2*PI()*(((Model_Data!A163)+(Inputs!$C$6))/(0.5*(Inputs!$C$49+Inputs!$C$50))+Inputs!$C$47*0.097)))+0.30*(2*((SIN(((Model_Data!A163)*12.9898+(Inputs!$C$6)*78.233+Inputs!$C$47*37.719))*43758.5453)-INT((SIN(((Model_Data!A163)*12.9898+(Inputs!$C$6)*78.233+Inputs!$C$47*37.719))*43758.5453)))-1))))/1000)^2)</x:f>
        <x:v>401.32953443646835</x:v>
      </x:c>
      <x:c r="AB163" s="48" t="n">
        <x:f>1000*(AA164-AA162)/(Z164-Z162)*Inputs!$C$11</x:f>
        <x:v>377.00910525882136</x:v>
      </x:c>
      <x:c r="AC163" s="48" t="n">
        <x:f>-2*AB163/Inputs!$C$13</x:f>
        <x:v>-150.80364210352855</x:v>
      </x:c>
      <x:c r="AD163" s="48" t="n">
        <x:f>-2*AB163/Inputs!$C$14</x:f>
        <x:v>-22.643189505034318</x:v>
      </x:c>
    </x:row>
    <x:row r="164">
      <x:c r="A164" s="48" t="n">
        <x:f>Model_Data!A164</x:f>
        <x:v>21</x:v>
      </x:c>
      <x:c r="B164" s="48" t="n">
        <x:f>Model_Data!F164</x:f>
        <x:v>746.441401049121</x:v>
      </x:c>
      <x:c r="C164" s="48" t="n">
        <x:f>(((SQRT((Model_Data!A164)^2+Inputs!$C$6^2+((Model_Data!B164)-((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(0.45*SIN(2*PI()*(((Model_Data!A164)/Inputs!$C$49)+Inputs!$C$47*0.137))+0.35*COS(2*PI()*(((Inputs!$C$6)/Inputs!$C$50)+Inputs!$C$47*0.173))+0.20*SIN(2*PI()*(((Model_Data!A164)+(Inputs!$C$6))/(0.5*(Inputs!$C$49+Inputs!$C$50))+Inputs!$C$47*0.097)))+0.30*(2*((SIN(((Model_Data!A164)*12.9898+(Inputs!$C$6)*78.233+Inputs!$C$47*37.719))*43758.5453)-INT((SIN(((Model_Data!A164)*12.9898+(Inputs!$C$6)*78.233+Inputs!$C$47*37.719))*43758.5453)))-1))))/1000)^2))-(((Model_Data!B164)-((Inputs!$C$51*(115*EXP(-(((0)-25)^2)/(4.5^2))+70*EXP(-(((0)+38)^2)/(7^2))*(0.55+0.45*SIN(2*PI()*(Model_Data!A164)/45))+24*SIN(2*PI()*(0)/9+(Model_Data!A164)/18)*EXP(-(((0)+5)^2)/(22^2))+18*SIN(2*PI()*(Model_Data!A164)/70))+Inputs!$C$28*EXP(-(((Model_Data!A164)-Inputs!$C$29)^2)/(2*Inputs!$C$31^2))*EXP(-(((0)-Inputs!$C$30)^2)/(2*Inputs!$C$32^2))+-Inputs!$C$33*EXP(-(((((Model_Data!A164)-Inputs!$C$34)^2)+(((0)-Inputs!$C$35)^2))/(2*Inputs!$C$36^2)))+Inputs!$C$37*(0.55*SIN(2*PI()*(Model_Data!A164)/Inputs!$C$39)+0.35*COS(2*PI()*(0)/Inputs!$C$40)+0.2*SIN(2*PI()*((Model_Data!A164)+(0))/(0.5*(Inputs!$C$39+Inputs!$C$40))))+Inputs!$C$38*SIN(2*PI()*(Model_Data!A164)/Inputs!$C$39)*SIN(2*PI()*(0)/Inputs!$C$40)+-Inputs!$C$41*EXP(-(((0)-Inputs!$C$43)^2)/(2*Inputs!$C$44^2))*EXP(-(((Model_Data!A164)-Inputs!$C$42)^2)/(2*Inputs!$C$45^2))+Inputs!$C$48*(0.70*(0.45*SIN(2*PI()*(((Model_Data!A164)/Inputs!$C$49)+Inputs!$C$47*0.137))+0.35*COS(2*PI()*(((0)/Inputs!$C$50)+Inputs!$C$47*0.173))+0.20*SIN(2*PI()*(((Model_Data!A164)+(0))/(0.5*(Inputs!$C$49+Inputs!$C$50))+Inputs!$C$47*0.097)))+0.30*(2*((SIN(((Model_Data!A164)*12.9898+(0)*78.233+Inputs!$C$47*37.719))*43758.5453)-INT((SIN(((Model_Data!A164)*12.9898+(0)*78.233+Inputs!$C$47*37.719))*43758.5453)))-1))))/1000)))*1000/Inputs!$C$12)</x:f>
        <x:v>546.8981597151301</x:v>
      </x:c>
      <x:c r="D164" s="49"/>
      <x:c r="E164" s="48" t="n">
        <x:f>Model_Data!A164</x:f>
        <x:v>21</x:v>
      </x:c>
      <x:c r="F164" s="48" t="n">
        <x:f>(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(0.45*SIN(2*PI()*(((Model_Data!A164)/Inputs!$C$49)+Inputs!$C$47*0.137))+0.35*COS(2*PI()*(((Inputs!$C$6)/Inputs!$C$50)+Inputs!$C$47*0.173))+0.20*SIN(2*PI()*(((Model_Data!A164)+(Inputs!$C$6))/(0.5*(Inputs!$C$49+Inputs!$C$50))+Inputs!$C$47*0.097)))+0.30*(2*((SIN(((Model_Data!A164)*12.9898+(Inputs!$C$6)*78.233+Inputs!$C$47*37.719))*43758.5453)-INT((SIN(((Model_Data!A164)*12.9898+(Inputs!$C$6)*78.233+Inputs!$C$47*37.719))*43758.5453)))-1)))</x:f>
        <x:v>441.2537143317768</x:v>
      </x:c>
      <x:c r="G164" s="48" t="n">
        <x:f>(Inputs!$C$51*(115*EXP(-(((0)-25)^2)/(4.5^2))+70*EXP(-(((0)+38)^2)/(7^2))*(0.55+0.45*SIN(2*PI()*(Model_Data!A164)/45))+24*SIN(2*PI()*(0)/9+(Model_Data!A164)/18)*EXP(-(((0)+5)^2)/(22^2))+18*SIN(2*PI()*(Model_Data!A164)/70))+Inputs!$C$28*EXP(-(((Model_Data!A164)-Inputs!$C$29)^2)/(2*Inputs!$C$31^2))*EXP(-(((0)-Inputs!$C$30)^2)/(2*Inputs!$C$32^2))+-Inputs!$C$33*EXP(-(((((Model_Data!A164)-Inputs!$C$34)^2)+(((0)-Inputs!$C$35)^2))/(2*Inputs!$C$36^2)))+Inputs!$C$37*(0.55*SIN(2*PI()*(Model_Data!A164)/Inputs!$C$39)+0.35*COS(2*PI()*(0)/Inputs!$C$40)+0.2*SIN(2*PI()*((Model_Data!A164)+(0))/(0.5*(Inputs!$C$39+Inputs!$C$40))))+Inputs!$C$38*SIN(2*PI()*(Model_Data!A164)/Inputs!$C$39)*SIN(2*PI()*(0)/Inputs!$C$40)+-Inputs!$C$41*EXP(-(((0)-Inputs!$C$43)^2)/(2*Inputs!$C$44^2))*EXP(-(((Model_Data!A164)-Inputs!$C$42)^2)/(2*Inputs!$C$45^2))+Inputs!$C$48*(0.70*(0.45*SIN(2*PI()*(((Model_Data!A164)/Inputs!$C$49)+Inputs!$C$47*0.137))+0.35*COS(2*PI()*(((0)/Inputs!$C$50)+Inputs!$C$47*0.173))+0.20*SIN(2*PI()*(((Model_Data!A164)+(0))/(0.5*(Inputs!$C$49+Inputs!$C$50))+Inputs!$C$47*0.097)))+0.30*(2*((SIN(((Model_Data!A164)*12.9898+(0)*78.233+Inputs!$C$47*37.719))*43758.5453)-INT((SIN(((Model_Data!A164)*12.9898+(0)*78.233+Inputs!$C$47*37.719))*43758.5453)))-1)))</x:f>
        <x:v>84.6060805836893</x:v>
      </x:c>
      <x:c r="H164" s="49"/>
      <x:c r="I164" s="48" t="n">
        <x:f>Model_Data!A164</x:f>
        <x:v>21</x:v>
      </x:c>
      <x:c r="J164" s="48" t="n">
        <x:f>((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(0.45*SIN(2*PI()*(((Model_Data!A164)/Inputs!$C$49)+Inputs!$C$47*0.137))+0.35*COS(2*PI()*(((Inputs!$C$6)/Inputs!$C$50)+Inputs!$C$47*0.173))+0.20*SIN(2*PI()*(((Model_Data!A164)+(Inputs!$C$6))/(0.5*(Inputs!$C$49+Inputs!$C$50))+Inputs!$C$47*0.097)))+0.30*(2*((SIN(((Model_Data!A164)*12.9898+(Inputs!$C$6)*78.233+Inputs!$C$47*37.719))*43758.5453)-INT((SIN(((Model_Data!A164)*12.9898+(Inputs!$C$6)*78.233+Inputs!$C$47*37.719))*43758.5453)))-1))))-((Inputs!$C$51*(115*EXP(-(((0)-25)^2)/(4.5^2))+70*EXP(-(((0)+38)^2)/(7^2))*(0.55+0.45*SIN(2*PI()*(Model_Data!A164)/45))+24*SIN(2*PI()*(0)/9+(Model_Data!A164)/18)*EXP(-(((0)+5)^2)/(22^2))+18*SIN(2*PI()*(Model_Data!A164)/70))+Inputs!$C$28*EXP(-(((Model_Data!A164)-Inputs!$C$29)^2)/(2*Inputs!$C$31^2))*EXP(-(((0)-Inputs!$C$30)^2)/(2*Inputs!$C$32^2))+-Inputs!$C$33*EXP(-(((((Model_Data!A164)-Inputs!$C$34)^2)+(((0)-Inputs!$C$35)^2))/(2*Inputs!$C$36^2)))+Inputs!$C$37*(0.55*SIN(2*PI()*(Model_Data!A164)/Inputs!$C$39)+0.35*COS(2*PI()*(0)/Inputs!$C$40)+0.2*SIN(2*PI()*((Model_Data!A164)+(0))/(0.5*(Inputs!$C$39+Inputs!$C$40))))+Inputs!$C$38*SIN(2*PI()*(Model_Data!A164)/Inputs!$C$39)*SIN(2*PI()*(0)/Inputs!$C$40)+-Inputs!$C$41*EXP(-(((0)-Inputs!$C$43)^2)/(2*Inputs!$C$44^2))*EXP(-(((Model_Data!A164)-Inputs!$C$42)^2)/(2*Inputs!$C$45^2))+Inputs!$C$48*(0.70*(0.45*SIN(2*PI()*(((Model_Data!A164)/Inputs!$C$49)+Inputs!$C$47*0.137))+0.35*COS(2*PI()*(((0)/Inputs!$C$50)+Inputs!$C$47*0.173))+0.20*SIN(2*PI()*(((Model_Data!A164)+(0))/(0.5*(Inputs!$C$49+Inputs!$C$50))+Inputs!$C$47*0.097)))+0.30*(2*((SIN(((Model_Data!A164)*12.9898+(0)*78.233+Inputs!$C$47*37.719))*43758.5453)-INT((SIN(((Model_Data!A164)*12.9898+(0)*78.233+Inputs!$C$47*37.719))*43758.5453)))-1))))</x:f>
        <x:v>356.6476337480875</x:v>
      </x:c>
      <x:c r="K164" s="48" t="n">
        <x:f>-((((SQRT((Model_Data!A164)^2+Inputs!$C$6^2+((Model_Data!B164)-((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(0.45*SIN(2*PI()*(((Model_Data!A164)/Inputs!$C$49)+Inputs!$C$47*0.137))+0.35*COS(2*PI()*(((Inputs!$C$6)/Inputs!$C$50)+Inputs!$C$47*0.173))+0.20*SIN(2*PI()*(((Model_Data!A164)+(Inputs!$C$6))/(0.5*(Inputs!$C$49+Inputs!$C$50))+Inputs!$C$47*0.097)))+0.30*(2*((SIN(((Model_Data!A164)*12.9898+(Inputs!$C$6)*78.233+Inputs!$C$47*37.719))*43758.5453)-INT((SIN(((Model_Data!A164)*12.9898+(Inputs!$C$6)*78.233+Inputs!$C$47*37.719))*43758.5453)))-1))))/1000)^2))-(((Model_Data!B164)-((Inputs!$C$51*(115*EXP(-(((0)-25)^2)/(4.5^2))+70*EXP(-(((0)+38)^2)/(7^2))*(0.55+0.45*SIN(2*PI()*(Model_Data!A164)/45))+24*SIN(2*PI()*(0)/9+(Model_Data!A164)/18)*EXP(-(((0)+5)^2)/(22^2))+18*SIN(2*PI()*(Model_Data!A164)/70))+Inputs!$C$28*EXP(-(((Model_Data!A164)-Inputs!$C$29)^2)/(2*Inputs!$C$31^2))*EXP(-(((0)-Inputs!$C$30)^2)/(2*Inputs!$C$32^2))+-Inputs!$C$33*EXP(-(((((Model_Data!A164)-Inputs!$C$34)^2)+(((0)-Inputs!$C$35)^2))/(2*Inputs!$C$36^2)))+Inputs!$C$37*(0.55*SIN(2*PI()*(Model_Data!A164)/Inputs!$C$39)+0.35*COS(2*PI()*(0)/Inputs!$C$40)+0.2*SIN(2*PI()*((Model_Data!A164)+(0))/(0.5*(Inputs!$C$39+Inputs!$C$40))))+Inputs!$C$38*SIN(2*PI()*(Model_Data!A164)/Inputs!$C$39)*SIN(2*PI()*(0)/Inputs!$C$40)+-Inputs!$C$41*EXP(-(((0)-Inputs!$C$43)^2)/(2*Inputs!$C$44^2))*EXP(-(((Model_Data!A164)-Inputs!$C$42)^2)/(2*Inputs!$C$45^2))+Inputs!$C$48*(0.70*(0.45*SIN(2*PI()*(((Model_Data!A164)/Inputs!$C$49)+Inputs!$C$47*0.137))+0.35*COS(2*PI()*(((0)/Inputs!$C$50)+Inputs!$C$47*0.173))+0.20*SIN(2*PI()*(((Model_Data!A164)+(0))/(0.5*(Inputs!$C$49+Inputs!$C$50))+Inputs!$C$47*0.097)))+0.30*(2*((SIN(((Model_Data!A164)*12.9898+(0)*78.233+Inputs!$C$47*37.719))*43758.5453)-INT((SIN(((Model_Data!A164)*12.9898+(0)*78.233+Inputs!$C$47*37.719))*43758.5453)))-1))))/1000)))*1000/Inputs!$C$12)-Model_Data!F164)</x:f>
        <x:v>199.54324133399098</x:v>
      </x:c>
      <x:c r="L164" s="49"/>
      <x:c r="M164" s="48" t="n">
        <x:f>Model_Data!A164</x:f>
        <x:v>21</x:v>
      </x:c>
      <x:c r="N164" s="48" t="n">
        <x:f>Model_Data!P164</x:f>
        <x:v>-158.03958042535135</x:v>
      </x:c>
      <x:c r="O164" s="48" t="n">
        <x:f>AC164</x:f>
        <x:v>-154.34230662731352</x:v>
      </x:c>
      <x:c r="P164" s="48" t="n">
        <x:f>Model_Data!Q164</x:f>
        <x:v>-23.729666730533236</x:v>
      </x:c>
      <x:c r="Q164" s="48" t="n">
        <x:f>AD164</x:f>
        <x:v>-23.17452051461164</x:v>
      </x:c>
      <x:c r="R164" s="49"/>
      <x:c r="S164" s="48" t="n">
        <x:f>Model_Data!A164</x:f>
        <x:v>21</x:v>
      </x:c>
      <x:c r="T164" s="48" t="n">
        <x:f>Model_Data!B164-Inputs!$C$5</x:f>
        <x:v>0.4900000000000091</x:v>
      </x:c>
      <x:c r="U164" s="49"/>
      <x:c r="V164" s="48" t="n">
        <x:f>Model_Data!A164</x:f>
        <x:v>21</x:v>
      </x:c>
      <x:c r="W164" s="48" t="n">
        <x:f>(-((((SQRT((Model_Data!A164)^2+Inputs!$C$6^2+((Model_Data!B164)-((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(0.45*SIN(2*PI()*(((Model_Data!A164)/Inputs!$C$49)+Inputs!$C$47*0.137))+0.35*COS(2*PI()*(((Inputs!$C$6)/Inputs!$C$50)+Inputs!$C$47*0.173))+0.20*SIN(2*PI()*(((Model_Data!A164)+(Inputs!$C$6))/(0.5*(Inputs!$C$49+Inputs!$C$50))+Inputs!$C$47*0.097)))+0.30*(2*((SIN(((Model_Data!A164)*12.9898+(Inputs!$C$6)*78.233+Inputs!$C$47*37.719))*43758.5453)-INT((SIN(((Model_Data!A164)*12.9898+(Inputs!$C$6)*78.233+Inputs!$C$47*37.719))*43758.5453)))-1))))/1000)^2))-(((Model_Data!B164)-((Inputs!$C$51*(115*EXP(-(((0)-25)^2)/(4.5^2))+70*EXP(-(((0)+38)^2)/(7^2))*(0.55+0.45*SIN(2*PI()*(Model_Data!A164)/45))+24*SIN(2*PI()*(0)/9+(Model_Data!A164)/18)*EXP(-(((0)+5)^2)/(22^2))+18*SIN(2*PI()*(Model_Data!A164)/70))+Inputs!$C$28*EXP(-(((Model_Data!A164)-Inputs!$C$29)^2)/(2*Inputs!$C$31^2))*EXP(-(((0)-Inputs!$C$30)^2)/(2*Inputs!$C$32^2))+-Inputs!$C$33*EXP(-(((((Model_Data!A164)-Inputs!$C$34)^2)+(((0)-Inputs!$C$35)^2))/(2*Inputs!$C$36^2)))+Inputs!$C$37*(0.55*SIN(2*PI()*(Model_Data!A164)/Inputs!$C$39)+0.35*COS(2*PI()*(0)/Inputs!$C$40)+0.2*SIN(2*PI()*((Model_Data!A164)+(0))/(0.5*(Inputs!$C$39+Inputs!$C$40))))+Inputs!$C$38*SIN(2*PI()*(Model_Data!A164)/Inputs!$C$39)*SIN(2*PI()*(0)/Inputs!$C$40)+-Inputs!$C$41*EXP(-(((0)-Inputs!$C$43)^2)/(2*Inputs!$C$44^2))*EXP(-(((Model_Data!A164)-Inputs!$C$42)^2)/(2*Inputs!$C$45^2))+Inputs!$C$48*(0.70*(0.45*SIN(2*PI()*(((Model_Data!A164)/Inputs!$C$49)+Inputs!$C$47*0.137))+0.35*COS(2*PI()*(((0)/Inputs!$C$50)+Inputs!$C$47*0.173))+0.20*SIN(2*PI()*(((Model_Data!A164)+(0))/(0.5*(Inputs!$C$49+Inputs!$C$50))+Inputs!$C$47*0.097)))+0.30*(2*((SIN(((Model_Data!A164)*12.9898+(0)*78.233+Inputs!$C$47*37.719))*43758.5453)-INT((SIN(((Model_Data!A164)*12.9898+(0)*78.233+Inputs!$C$47*37.719))*43758.5453)))-1))))/1000)))*1000/Inputs!$C$12)-Model_Data!F164))-(-(((SQRT((Model_Data!A164)^2+Inputs!$C$6^2+(Inputs!$C$5-((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(0.45*SIN(2*PI()*(((Model_Data!A164)/Inputs!$C$49)+Inputs!$C$47*0.137))+0.35*COS(2*PI()*(((Inputs!$C$6)/Inputs!$C$50)+Inputs!$C$47*0.173))+0.20*SIN(2*PI()*(((Model_Data!A164)+(Inputs!$C$6))/(0.5*(Inputs!$C$49+Inputs!$C$50))+Inputs!$C$47*0.097)))+0.30*(2*((SIN(((Model_Data!A164)*12.9898+(Inputs!$C$6)*78.233+Inputs!$C$47*37.719))*43758.5453)-INT((SIN(((Model_Data!A164)*12.9898+(Inputs!$C$6)*78.233+Inputs!$C$47*37.719))*43758.5453)))-1))))/1000)^2)-(Inputs!$C$5-((Inputs!$C$51*(115*EXP(-(((0)-25)^2)/(4.5^2))+70*EXP(-(((0)+38)^2)/(7^2))*(0.55+0.45*SIN(2*PI()*(Model_Data!A164)/45))+24*SIN(2*PI()*(0)/9+(Model_Data!A164)/18)*EXP(-(((0)+5)^2)/(22^2))+18*SIN(2*PI()*(Model_Data!A164)/70))+Inputs!$C$28*EXP(-(((Model_Data!A164)-Inputs!$C$29)^2)/(2*Inputs!$C$31^2))*EXP(-(((0)-Inputs!$C$30)^2)/(2*Inputs!$C$32^2))+-Inputs!$C$33*EXP(-(((((Model_Data!A164)-Inputs!$C$34)^2)+(((0)-Inputs!$C$35)^2))/(2*Inputs!$C$36^2)))+Inputs!$C$37*(0.55*SIN(2*PI()*(Model_Data!A164)/Inputs!$C$39)+0.35*COS(2*PI()*(0)/Inputs!$C$40)+0.2*SIN(2*PI()*((Model_Data!A164)+(0))/(0.5*(Inputs!$C$39+Inputs!$C$40))))+Inputs!$C$38*SIN(2*PI()*(Model_Data!A164)/Inputs!$C$39)*SIN(2*PI()*(0)/Inputs!$C$40)+-Inputs!$C$41*EXP(-(((0)-Inputs!$C$43)^2)/(2*Inputs!$C$44^2))*EXP(-(((Model_Data!A164)-Inputs!$C$42)^2)/(2*Inputs!$C$45^2))+Inputs!$C$48*(0.70*(0.45*SIN(2*PI()*(((Model_Data!A164)/Inputs!$C$49)+Inputs!$C$47*0.137))+0.35*COS(2*PI()*(((0)/Inputs!$C$50)+Inputs!$C$47*0.173))+0.20*SIN(2*PI()*(((Model_Data!A164)+(0))/(0.5*(Inputs!$C$49+Inputs!$C$50))+Inputs!$C$47*0.097)))+0.30*(2*((SIN(((Model_Data!A164)*12.9898+(0)*78.233+Inputs!$C$47*37.719))*43758.5453)-INT((SIN(((Model_Data!A164)*12.9898+(0)*78.233+Inputs!$C$47*37.719))*43758.5453)))-1))))/1000))*1000/Inputs!$C$12)-((SQRT((Model_Data!A164)^2+Inputs!$C$6^2+Inputs!$C$5^2)-Inputs!$C$5)*1000/Inputs!$C$12)))</x:f>
        <x:v>0.0020027999114518025</x:v>
      </x:c>
      <x:c r="X164" s="48" t="n">
        <x:f>0</x:f>
        <x:v>0</x:v>
      </x:c>
      <x:c r="Y164" s="49"/>
      <x:c r="Z164" s="48" t="n">
        <x:f>Model_Data!A164</x:f>
        <x:v>21</x:v>
      </x:c>
      <x:c r="AA164" s="48" t="n">
        <x:f>SQRT((Model_Data!A164)^2+Inputs!$C$6^2+((Model_Data!B164)-((Inputs!$C$51*(115*EXP(-(((Inputs!$C$6)-25)^2)/(4.5^2))+70*EXP(-(((Inputs!$C$6)+38)^2)/(7^2))*(0.55+0.45*SIN(2*PI()*(Model_Data!A164)/45))+24*SIN(2*PI()*(Inputs!$C$6)/9+(Model_Data!A164)/18)*EXP(-(((Inputs!$C$6)+5)^2)/(22^2))+18*SIN(2*PI()*(Model_Data!A164)/70))+Inputs!$C$28*EXP(-(((Model_Data!A164)-Inputs!$C$29)^2)/(2*Inputs!$C$31^2))*EXP(-(((Inputs!$C$6)-Inputs!$C$30)^2)/(2*Inputs!$C$32^2))+-Inputs!$C$33*EXP(-(((((Model_Data!A164)-Inputs!$C$34)^2)+(((Inputs!$C$6)-Inputs!$C$35)^2))/(2*Inputs!$C$36^2)))+Inputs!$C$37*(0.55*SIN(2*PI()*(Model_Data!A164)/Inputs!$C$39)+0.35*COS(2*PI()*(Inputs!$C$6)/Inputs!$C$40)+0.2*SIN(2*PI()*((Model_Data!A164)+(Inputs!$C$6))/(0.5*(Inputs!$C$39+Inputs!$C$40))))+Inputs!$C$38*SIN(2*PI()*(Model_Data!A164)/Inputs!$C$39)*SIN(2*PI()*(Inputs!$C$6)/Inputs!$C$40)+-Inputs!$C$41*EXP(-(((Inputs!$C$6)-Inputs!$C$43)^2)/(2*Inputs!$C$44^2))*EXP(-(((Model_Data!A164)-Inputs!$C$42)^2)/(2*Inputs!$C$45^2))+Inputs!$C$48*(0.70*(0.45*SIN(2*PI()*(((Model_Data!A164)/Inputs!$C$49)+Inputs!$C$47*0.137))+0.35*COS(2*PI()*(((Inputs!$C$6)/Inputs!$C$50)+Inputs!$C$47*0.173))+0.20*SIN(2*PI()*(((Model_Data!A164)+(Inputs!$C$6))/(0.5*(Inputs!$C$49+Inputs!$C$50))+Inputs!$C$47*0.097)))+0.30*(2*((SIN(((Model_Data!A164)*12.9898+(Inputs!$C$6)*78.233+Inputs!$C$47*37.719))*43758.5453)-INT((SIN(((Model_Data!A164)*12.9898+(Inputs!$C$6)*78.233+Inputs!$C$47*37.719))*43758.5453)))-1))))/1000)^2)</x:f>
        <x:v>401.37887264370926</x:v>
      </x:c>
      <x:c r="AB164" s="48" t="n">
        <x:f>1000*(AA165-AA163)/(Z165-Z163)*Inputs!$C$11</x:f>
        <x:v>385.8557665682838</x:v>
      </x:c>
      <x:c r="AC164" s="48" t="n">
        <x:f>-2*AB164/Inputs!$C$13</x:f>
        <x:v>-154.34230662731352</x:v>
      </x:c>
      <x:c r="AD164" s="48" t="n">
        <x:f>-2*AB164/Inputs!$C$14</x:f>
        <x:v>-23.17452051461164</x:v>
      </x:c>
    </x:row>
    <x:row r="165">
      <x:c r="A165" s="48" t="n">
        <x:f>Model_Data!A165</x:f>
        <x:v>21.5</x:v>
      </x:c>
      <x:c r="B165" s="48" t="n">
        <x:f>Model_Data!F165</x:f>
        <x:v>761.2513947886907</x:v>
      </x:c>
      <x:c r="C165" s="48" t="n">
        <x:f>(((SQRT((Model_Data!A165)^2+Inputs!$C$6^2+((Model_Data!B165)-((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(0.45*SIN(2*PI()*(((Model_Data!A165)/Inputs!$C$49)+Inputs!$C$47*0.137))+0.35*COS(2*PI()*(((Inputs!$C$6)/Inputs!$C$50)+Inputs!$C$47*0.173))+0.20*SIN(2*PI()*(((Model_Data!A165)+(Inputs!$C$6))/(0.5*(Inputs!$C$49+Inputs!$C$50))+Inputs!$C$47*0.097)))+0.30*(2*((SIN(((Model_Data!A165)*12.9898+(Inputs!$C$6)*78.233+Inputs!$C$47*37.719))*43758.5453)-INT((SIN(((Model_Data!A165)*12.9898+(Inputs!$C$6)*78.233+Inputs!$C$47*37.719))*43758.5453)))-1))))/1000)^2))-(((Model_Data!B165)-((Inputs!$C$51*(115*EXP(-(((0)-25)^2)/(4.5^2))+70*EXP(-(((0)+38)^2)/(7^2))*(0.55+0.45*SIN(2*PI()*(Model_Data!A165)/45))+24*SIN(2*PI()*(0)/9+(Model_Data!A165)/18)*EXP(-(((0)+5)^2)/(22^2))+18*SIN(2*PI()*(Model_Data!A165)/70))+Inputs!$C$28*EXP(-(((Model_Data!A165)-Inputs!$C$29)^2)/(2*Inputs!$C$31^2))*EXP(-(((0)-Inputs!$C$30)^2)/(2*Inputs!$C$32^2))+-Inputs!$C$33*EXP(-(((((Model_Data!A165)-Inputs!$C$34)^2)+(((0)-Inputs!$C$35)^2))/(2*Inputs!$C$36^2)))+Inputs!$C$37*(0.55*SIN(2*PI()*(Model_Data!A165)/Inputs!$C$39)+0.35*COS(2*PI()*(0)/Inputs!$C$40)+0.2*SIN(2*PI()*((Model_Data!A165)+(0))/(0.5*(Inputs!$C$39+Inputs!$C$40))))+Inputs!$C$38*SIN(2*PI()*(Model_Data!A165)/Inputs!$C$39)*SIN(2*PI()*(0)/Inputs!$C$40)+-Inputs!$C$41*EXP(-(((0)-Inputs!$C$43)^2)/(2*Inputs!$C$44^2))*EXP(-(((Model_Data!A165)-Inputs!$C$42)^2)/(2*Inputs!$C$45^2))+Inputs!$C$48*(0.70*(0.45*SIN(2*PI()*(((Model_Data!A165)/Inputs!$C$49)+Inputs!$C$47*0.137))+0.35*COS(2*PI()*(((0)/Inputs!$C$50)+Inputs!$C$47*0.173))+0.20*SIN(2*PI()*(((Model_Data!A165)+(0))/(0.5*(Inputs!$C$49+Inputs!$C$50))+Inputs!$C$47*0.097)))+0.30*(2*((SIN(((Model_Data!A165)*12.9898+(0)*78.233+Inputs!$C$47*37.719))*43758.5453)-INT((SIN(((Model_Data!A165)*12.9898+(0)*78.233+Inputs!$C$47*37.719))*43758.5453)))-1))))/1000)))*1000/Inputs!$C$12)</x:f>
        <x:v>559.5724389601518</x:v>
      </x:c>
      <x:c r="D165" s="49"/>
      <x:c r="E165" s="48" t="n">
        <x:f>Model_Data!A165</x:f>
        <x:v>21.5</x:v>
      </x:c>
      <x:c r="F165" s="48" t="n">
        <x:f>(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(0.45*SIN(2*PI()*(((Model_Data!A165)/Inputs!$C$49)+Inputs!$C$47*0.137))+0.35*COS(2*PI()*(((Inputs!$C$6)/Inputs!$C$50)+Inputs!$C$47*0.173))+0.20*SIN(2*PI()*(((Model_Data!A165)+(Inputs!$C$6))/(0.5*(Inputs!$C$49+Inputs!$C$50))+Inputs!$C$47*0.097)))+0.30*(2*((SIN(((Model_Data!A165)*12.9898+(Inputs!$C$6)*78.233+Inputs!$C$47*37.719))*43758.5453)-INT((SIN(((Model_Data!A165)*12.9898+(Inputs!$C$6)*78.233+Inputs!$C$47*37.719))*43758.5453)))-1)))</x:f>
        <x:v>444.1394266764314</x:v>
      </x:c>
      <x:c r="G165" s="48" t="n">
        <x:f>(Inputs!$C$51*(115*EXP(-(((0)-25)^2)/(4.5^2))+70*EXP(-(((0)+38)^2)/(7^2))*(0.55+0.45*SIN(2*PI()*(Model_Data!A165)/45))+24*SIN(2*PI()*(0)/9+(Model_Data!A165)/18)*EXP(-(((0)+5)^2)/(22^2))+18*SIN(2*PI()*(Model_Data!A165)/70))+Inputs!$C$28*EXP(-(((Model_Data!A165)-Inputs!$C$29)^2)/(2*Inputs!$C$31^2))*EXP(-(((0)-Inputs!$C$30)^2)/(2*Inputs!$C$32^2))+-Inputs!$C$33*EXP(-(((((Model_Data!A165)-Inputs!$C$34)^2)+(((0)-Inputs!$C$35)^2))/(2*Inputs!$C$36^2)))+Inputs!$C$37*(0.55*SIN(2*PI()*(Model_Data!A165)/Inputs!$C$39)+0.35*COS(2*PI()*(0)/Inputs!$C$40)+0.2*SIN(2*PI()*((Model_Data!A165)+(0))/(0.5*(Inputs!$C$39+Inputs!$C$40))))+Inputs!$C$38*SIN(2*PI()*(Model_Data!A165)/Inputs!$C$39)*SIN(2*PI()*(0)/Inputs!$C$40)+-Inputs!$C$41*EXP(-(((0)-Inputs!$C$43)^2)/(2*Inputs!$C$44^2))*EXP(-(((Model_Data!A165)-Inputs!$C$42)^2)/(2*Inputs!$C$45^2))+Inputs!$C$48*(0.70*(0.45*SIN(2*PI()*(((Model_Data!A165)/Inputs!$C$49)+Inputs!$C$47*0.137))+0.35*COS(2*PI()*(((0)/Inputs!$C$50)+Inputs!$C$47*0.173))+0.20*SIN(2*PI()*(((Model_Data!A165)+(0))/(0.5*(Inputs!$C$49+Inputs!$C$50))+Inputs!$C$47*0.097)))+0.30*(2*((SIN(((Model_Data!A165)*12.9898+(0)*78.233+Inputs!$C$47*37.719))*43758.5453)-INT((SIN(((Model_Data!A165)*12.9898+(0)*78.233+Inputs!$C$47*37.719))*43758.5453)))-1)))</x:f>
        <x:v>83.65167434978589</x:v>
      </x:c>
      <x:c r="H165" s="49"/>
      <x:c r="I165" s="48" t="n">
        <x:f>Model_Data!A165</x:f>
        <x:v>21.5</x:v>
      </x:c>
      <x:c r="J165" s="48" t="n">
        <x:f>((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(0.45*SIN(2*PI()*(((Model_Data!A165)/Inputs!$C$49)+Inputs!$C$47*0.137))+0.35*COS(2*PI()*(((Inputs!$C$6)/Inputs!$C$50)+Inputs!$C$47*0.173))+0.20*SIN(2*PI()*(((Model_Data!A165)+(Inputs!$C$6))/(0.5*(Inputs!$C$49+Inputs!$C$50))+Inputs!$C$47*0.097)))+0.30*(2*((SIN(((Model_Data!A165)*12.9898+(Inputs!$C$6)*78.233+Inputs!$C$47*37.719))*43758.5453)-INT((SIN(((Model_Data!A165)*12.9898+(Inputs!$C$6)*78.233+Inputs!$C$47*37.719))*43758.5453)))-1))))-((Inputs!$C$51*(115*EXP(-(((0)-25)^2)/(4.5^2))+70*EXP(-(((0)+38)^2)/(7^2))*(0.55+0.45*SIN(2*PI()*(Model_Data!A165)/45))+24*SIN(2*PI()*(0)/9+(Model_Data!A165)/18)*EXP(-(((0)+5)^2)/(22^2))+18*SIN(2*PI()*(Model_Data!A165)/70))+Inputs!$C$28*EXP(-(((Model_Data!A165)-Inputs!$C$29)^2)/(2*Inputs!$C$31^2))*EXP(-(((0)-Inputs!$C$30)^2)/(2*Inputs!$C$32^2))+-Inputs!$C$33*EXP(-(((((Model_Data!A165)-Inputs!$C$34)^2)+(((0)-Inputs!$C$35)^2))/(2*Inputs!$C$36^2)))+Inputs!$C$37*(0.55*SIN(2*PI()*(Model_Data!A165)/Inputs!$C$39)+0.35*COS(2*PI()*(0)/Inputs!$C$40)+0.2*SIN(2*PI()*((Model_Data!A165)+(0))/(0.5*(Inputs!$C$39+Inputs!$C$40))))+Inputs!$C$38*SIN(2*PI()*(Model_Data!A165)/Inputs!$C$39)*SIN(2*PI()*(0)/Inputs!$C$40)+-Inputs!$C$41*EXP(-(((0)-Inputs!$C$43)^2)/(2*Inputs!$C$44^2))*EXP(-(((Model_Data!A165)-Inputs!$C$42)^2)/(2*Inputs!$C$45^2))+Inputs!$C$48*(0.70*(0.45*SIN(2*PI()*(((Model_Data!A165)/Inputs!$C$49)+Inputs!$C$47*0.137))+0.35*COS(2*PI()*(((0)/Inputs!$C$50)+Inputs!$C$47*0.173))+0.20*SIN(2*PI()*(((Model_Data!A165)+(0))/(0.5*(Inputs!$C$49+Inputs!$C$50))+Inputs!$C$47*0.097)))+0.30*(2*((SIN(((Model_Data!A165)*12.9898+(0)*78.233+Inputs!$C$47*37.719))*43758.5453)-INT((SIN(((Model_Data!A165)*12.9898+(0)*78.233+Inputs!$C$47*37.719))*43758.5453)))-1))))</x:f>
        <x:v>360.48775232664553</x:v>
      </x:c>
      <x:c r="K165" s="48" t="n">
        <x:f>-((((SQRT((Model_Data!A165)^2+Inputs!$C$6^2+((Model_Data!B165)-((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(0.45*SIN(2*PI()*(((Model_Data!A165)/Inputs!$C$49)+Inputs!$C$47*0.137))+0.35*COS(2*PI()*(((Inputs!$C$6)/Inputs!$C$50)+Inputs!$C$47*0.173))+0.20*SIN(2*PI()*(((Model_Data!A165)+(Inputs!$C$6))/(0.5*(Inputs!$C$49+Inputs!$C$50))+Inputs!$C$47*0.097)))+0.30*(2*((SIN(((Model_Data!A165)*12.9898+(Inputs!$C$6)*78.233+Inputs!$C$47*37.719))*43758.5453)-INT((SIN(((Model_Data!A165)*12.9898+(Inputs!$C$6)*78.233+Inputs!$C$47*37.719))*43758.5453)))-1))))/1000)^2))-(((Model_Data!B165)-((Inputs!$C$51*(115*EXP(-(((0)-25)^2)/(4.5^2))+70*EXP(-(((0)+38)^2)/(7^2))*(0.55+0.45*SIN(2*PI()*(Model_Data!A165)/45))+24*SIN(2*PI()*(0)/9+(Model_Data!A165)/18)*EXP(-(((0)+5)^2)/(22^2))+18*SIN(2*PI()*(Model_Data!A165)/70))+Inputs!$C$28*EXP(-(((Model_Data!A165)-Inputs!$C$29)^2)/(2*Inputs!$C$31^2))*EXP(-(((0)-Inputs!$C$30)^2)/(2*Inputs!$C$32^2))+-Inputs!$C$33*EXP(-(((((Model_Data!A165)-Inputs!$C$34)^2)+(((0)-Inputs!$C$35)^2))/(2*Inputs!$C$36^2)))+Inputs!$C$37*(0.55*SIN(2*PI()*(Model_Data!A165)/Inputs!$C$39)+0.35*COS(2*PI()*(0)/Inputs!$C$40)+0.2*SIN(2*PI()*((Model_Data!A165)+(0))/(0.5*(Inputs!$C$39+Inputs!$C$40))))+Inputs!$C$38*SIN(2*PI()*(Model_Data!A165)/Inputs!$C$39)*SIN(2*PI()*(0)/Inputs!$C$40)+-Inputs!$C$41*EXP(-(((0)-Inputs!$C$43)^2)/(2*Inputs!$C$44^2))*EXP(-(((Model_Data!A165)-Inputs!$C$42)^2)/(2*Inputs!$C$45^2))+Inputs!$C$48*(0.70*(0.45*SIN(2*PI()*(((Model_Data!A165)/Inputs!$C$49)+Inputs!$C$47*0.137))+0.35*COS(2*PI()*(((0)/Inputs!$C$50)+Inputs!$C$47*0.173))+0.20*SIN(2*PI()*(((Model_Data!A165)+(0))/(0.5*(Inputs!$C$49+Inputs!$C$50))+Inputs!$C$47*0.097)))+0.30*(2*((SIN(((Model_Data!A165)*12.9898+(0)*78.233+Inputs!$C$47*37.719))*43758.5453)-INT((SIN(((Model_Data!A165)*12.9898+(0)*78.233+Inputs!$C$47*37.719))*43758.5453)))-1))))/1000)))*1000/Inputs!$C$12)-Model_Data!F165)</x:f>
        <x:v>201.67895582853896</x:v>
      </x:c>
      <x:c r="L165" s="49"/>
      <x:c r="M165" s="48" t="n">
        <x:f>Model_Data!A165</x:f>
        <x:v>21.5</x:v>
      </x:c>
      <x:c r="N165" s="48" t="n">
        <x:f>Model_Data!P165</x:f>
        <x:v>-161.78679859499886</x:v>
      </x:c>
      <x:c r="O165" s="48" t="n">
        <x:f>AC165</x:f>
        <x:v>-151.47462317754616</x:v>
      </x:c>
      <x:c r="P165" s="48" t="n">
        <x:f>Model_Data!Q165</x:f>
        <x:v>-24.29231210135118</x:v>
      </x:c>
      <x:c r="Q165" s="48" t="n">
        <x:f>AD165</x:f>
        <x:v>-22.743937414045973</x:v>
      </x:c>
      <x:c r="R165" s="49"/>
      <x:c r="S165" s="48" t="n">
        <x:f>Model_Data!A165</x:f>
        <x:v>21.5</x:v>
      </x:c>
      <x:c r="T165" s="48" t="n">
        <x:f>Model_Data!B165-Inputs!$C$5</x:f>
        <x:v>0.5136111111111177</x:v>
      </x:c>
      <x:c r="U165" s="49"/>
      <x:c r="V165" s="48" t="n">
        <x:f>Model_Data!A165</x:f>
        <x:v>21.5</x:v>
      </x:c>
      <x:c r="W165" s="48" t="n">
        <x:f>(-((((SQRT((Model_Data!A165)^2+Inputs!$C$6^2+((Model_Data!B165)-((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(0.45*SIN(2*PI()*(((Model_Data!A165)/Inputs!$C$49)+Inputs!$C$47*0.137))+0.35*COS(2*PI()*(((Inputs!$C$6)/Inputs!$C$50)+Inputs!$C$47*0.173))+0.20*SIN(2*PI()*(((Model_Data!A165)+(Inputs!$C$6))/(0.5*(Inputs!$C$49+Inputs!$C$50))+Inputs!$C$47*0.097)))+0.30*(2*((SIN(((Model_Data!A165)*12.9898+(Inputs!$C$6)*78.233+Inputs!$C$47*37.719))*43758.5453)-INT((SIN(((Model_Data!A165)*12.9898+(Inputs!$C$6)*78.233+Inputs!$C$47*37.719))*43758.5453)))-1))))/1000)^2))-(((Model_Data!B165)-((Inputs!$C$51*(115*EXP(-(((0)-25)^2)/(4.5^2))+70*EXP(-(((0)+38)^2)/(7^2))*(0.55+0.45*SIN(2*PI()*(Model_Data!A165)/45))+24*SIN(2*PI()*(0)/9+(Model_Data!A165)/18)*EXP(-(((0)+5)^2)/(22^2))+18*SIN(2*PI()*(Model_Data!A165)/70))+Inputs!$C$28*EXP(-(((Model_Data!A165)-Inputs!$C$29)^2)/(2*Inputs!$C$31^2))*EXP(-(((0)-Inputs!$C$30)^2)/(2*Inputs!$C$32^2))+-Inputs!$C$33*EXP(-(((((Model_Data!A165)-Inputs!$C$34)^2)+(((0)-Inputs!$C$35)^2))/(2*Inputs!$C$36^2)))+Inputs!$C$37*(0.55*SIN(2*PI()*(Model_Data!A165)/Inputs!$C$39)+0.35*COS(2*PI()*(0)/Inputs!$C$40)+0.2*SIN(2*PI()*((Model_Data!A165)+(0))/(0.5*(Inputs!$C$39+Inputs!$C$40))))+Inputs!$C$38*SIN(2*PI()*(Model_Data!A165)/Inputs!$C$39)*SIN(2*PI()*(0)/Inputs!$C$40)+-Inputs!$C$41*EXP(-(((0)-Inputs!$C$43)^2)/(2*Inputs!$C$44^2))*EXP(-(((Model_Data!A165)-Inputs!$C$42)^2)/(2*Inputs!$C$45^2))+Inputs!$C$48*(0.70*(0.45*SIN(2*PI()*(((Model_Data!A165)/Inputs!$C$49)+Inputs!$C$47*0.137))+0.35*COS(2*PI()*(((0)/Inputs!$C$50)+Inputs!$C$47*0.173))+0.20*SIN(2*PI()*(((Model_Data!A165)+(0))/(0.5*(Inputs!$C$49+Inputs!$C$50))+Inputs!$C$47*0.097)))+0.30*(2*((SIN(((Model_Data!A165)*12.9898+(0)*78.233+Inputs!$C$47*37.719))*43758.5453)-INT((SIN(((Model_Data!A165)*12.9898+(0)*78.233+Inputs!$C$47*37.719))*43758.5453)))-1))))/1000)))*1000/Inputs!$C$12)-Model_Data!F165))-(-(((SQRT((Model_Data!A165)^2+Inputs!$C$6^2+(Inputs!$C$5-((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(0.45*SIN(2*PI()*(((Model_Data!A165)/Inputs!$C$49)+Inputs!$C$47*0.137))+0.35*COS(2*PI()*(((Inputs!$C$6)/Inputs!$C$50)+Inputs!$C$47*0.173))+0.20*SIN(2*PI()*(((Model_Data!A165)+(Inputs!$C$6))/(0.5*(Inputs!$C$49+Inputs!$C$50))+Inputs!$C$47*0.097)))+0.30*(2*((SIN(((Model_Data!A165)*12.9898+(Inputs!$C$6)*78.233+Inputs!$C$47*37.719))*43758.5453)-INT((SIN(((Model_Data!A165)*12.9898+(Inputs!$C$6)*78.233+Inputs!$C$47*37.719))*43758.5453)))-1))))/1000)^2)-(Inputs!$C$5-((Inputs!$C$51*(115*EXP(-(((0)-25)^2)/(4.5^2))+70*EXP(-(((0)+38)^2)/(7^2))*(0.55+0.45*SIN(2*PI()*(Model_Data!A165)/45))+24*SIN(2*PI()*(0)/9+(Model_Data!A165)/18)*EXP(-(((0)+5)^2)/(22^2))+18*SIN(2*PI()*(Model_Data!A165)/70))+Inputs!$C$28*EXP(-(((Model_Data!A165)-Inputs!$C$29)^2)/(2*Inputs!$C$31^2))*EXP(-(((0)-Inputs!$C$30)^2)/(2*Inputs!$C$32^2))+-Inputs!$C$33*EXP(-(((((Model_Data!A165)-Inputs!$C$34)^2)+(((0)-Inputs!$C$35)^2))/(2*Inputs!$C$36^2)))+Inputs!$C$37*(0.55*SIN(2*PI()*(Model_Data!A165)/Inputs!$C$39)+0.35*COS(2*PI()*(0)/Inputs!$C$40)+0.2*SIN(2*PI()*((Model_Data!A165)+(0))/(0.5*(Inputs!$C$39+Inputs!$C$40))))+Inputs!$C$38*SIN(2*PI()*(Model_Data!A165)/Inputs!$C$39)*SIN(2*PI()*(0)/Inputs!$C$40)+-Inputs!$C$41*EXP(-(((0)-Inputs!$C$43)^2)/(2*Inputs!$C$44^2))*EXP(-(((Model_Data!A165)-Inputs!$C$42)^2)/(2*Inputs!$C$45^2))+Inputs!$C$48*(0.70*(0.45*SIN(2*PI()*(((Model_Data!A165)/Inputs!$C$49)+Inputs!$C$47*0.137))+0.35*COS(2*PI()*(((0)/Inputs!$C$50)+Inputs!$C$47*0.173))+0.20*SIN(2*PI()*(((Model_Data!A165)+(0))/(0.5*(Inputs!$C$49+Inputs!$C$50))+Inputs!$C$47*0.097)))+0.30*(2*((SIN(((Model_Data!A165)*12.9898+(0)*78.233+Inputs!$C$47*37.719))*43758.5453)-INT((SIN(((Model_Data!A165)*12.9898+(0)*78.233+Inputs!$C$47*37.719))*43758.5453)))-1))))/1000))*1000/Inputs!$C$12)-((SQRT((Model_Data!A165)^2+Inputs!$C$6^2+Inputs!$C$5^2)-Inputs!$C$5)*1000/Inputs!$C$12)))</x:f>
        <x:v>0.0021545651974292923</x:v>
      </x:c>
      <x:c r="X165" s="48" t="n">
        <x:f>0</x:f>
        <x:v>0</x:v>
      </x:c>
      <x:c r="Y165" s="49"/>
      <x:c r="Z165" s="48" t="n">
        <x:f>Model_Data!A165</x:f>
        <x:v>21.5</x:v>
      </x:c>
      <x:c r="AA165" s="48" t="n">
        <x:f>SQRT((Model_Data!A165)^2+Inputs!$C$6^2+((Model_Data!B165)-((Inputs!$C$51*(115*EXP(-(((Inputs!$C$6)-25)^2)/(4.5^2))+70*EXP(-(((Inputs!$C$6)+38)^2)/(7^2))*(0.55+0.45*SIN(2*PI()*(Model_Data!A165)/45))+24*SIN(2*PI()*(Inputs!$C$6)/9+(Model_Data!A165)/18)*EXP(-(((Inputs!$C$6)+5)^2)/(22^2))+18*SIN(2*PI()*(Model_Data!A165)/70))+Inputs!$C$28*EXP(-(((Model_Data!A165)-Inputs!$C$29)^2)/(2*Inputs!$C$31^2))*EXP(-(((Inputs!$C$6)-Inputs!$C$30)^2)/(2*Inputs!$C$32^2))+-Inputs!$C$33*EXP(-(((((Model_Data!A165)-Inputs!$C$34)^2)+(((Inputs!$C$6)-Inputs!$C$35)^2))/(2*Inputs!$C$36^2)))+Inputs!$C$37*(0.55*SIN(2*PI()*(Model_Data!A165)/Inputs!$C$39)+0.35*COS(2*PI()*(Inputs!$C$6)/Inputs!$C$40)+0.2*SIN(2*PI()*((Model_Data!A165)+(Inputs!$C$6))/(0.5*(Inputs!$C$39+Inputs!$C$40))))+Inputs!$C$38*SIN(2*PI()*(Model_Data!A165)/Inputs!$C$39)*SIN(2*PI()*(Inputs!$C$6)/Inputs!$C$40)+-Inputs!$C$41*EXP(-(((Inputs!$C$6)-Inputs!$C$43)^2)/(2*Inputs!$C$44^2))*EXP(-(((Model_Data!A165)-Inputs!$C$42)^2)/(2*Inputs!$C$45^2))+Inputs!$C$48*(0.70*(0.45*SIN(2*PI()*(((Model_Data!A165)/Inputs!$C$49)+Inputs!$C$47*0.137))+0.35*COS(2*PI()*(((Inputs!$C$6)/Inputs!$C$50)+Inputs!$C$47*0.173))+0.20*SIN(2*PI()*(((Model_Data!A165)+(Inputs!$C$6))/(0.5*(Inputs!$C$49+Inputs!$C$50))+Inputs!$C$47*0.097)))+0.30*(2*((SIN(((Model_Data!A165)*12.9898+(Inputs!$C$6)*78.233+Inputs!$C$47*37.719))*43758.5453)-INT((SIN(((Model_Data!A165)*12.9898+(Inputs!$C$6)*78.233+Inputs!$C$47*37.719))*43758.5453)))-1))))/1000)^2)</x:f>
        <x:v>401.4259983781104</x:v>
      </x:c>
      <x:c r="AB165" s="48" t="n">
        <x:f>1000*(AA166-AA164)/(Z166-Z164)*Inputs!$C$11</x:f>
        <x:v>378.6865579438654</x:v>
      </x:c>
      <x:c r="AC165" s="48" t="n">
        <x:f>-2*AB165/Inputs!$C$13</x:f>
        <x:v>-151.47462317754616</x:v>
      </x:c>
      <x:c r="AD165" s="48" t="n">
        <x:f>-2*AB165/Inputs!$C$14</x:f>
        <x:v>-22.743937414045973</x:v>
      </x:c>
    </x:row>
    <x:row r="166">
      <x:c r="A166" s="48" t="n">
        <x:f>Model_Data!A166</x:f>
        <x:v>22</x:v>
      </x:c>
      <x:c r="B166" s="48" t="n">
        <x:f>Model_Data!F166</x:f>
        <x:v>776.4070510875223</x:v>
      </x:c>
      <x:c r="C166" s="48" t="n">
        <x:f>(((SQRT((Model_Data!A166)^2+Inputs!$C$6^2+((Model_Data!B166)-((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(0.45*SIN(2*PI()*(((Model_Data!A166)/Inputs!$C$49)+Inputs!$C$47*0.137))+0.35*COS(2*PI()*(((Inputs!$C$6)/Inputs!$C$50)+Inputs!$C$47*0.173))+0.20*SIN(2*PI()*(((Model_Data!A166)+(Inputs!$C$6))/(0.5*(Inputs!$C$49+Inputs!$C$50))+Inputs!$C$47*0.097)))+0.30*(2*((SIN(((Model_Data!A166)*12.9898+(Inputs!$C$6)*78.233+Inputs!$C$47*37.719))*43758.5453)-INT((SIN(((Model_Data!A166)*12.9898+(Inputs!$C$6)*78.233+Inputs!$C$47*37.719))*43758.5453)))-1))))/1000)^2))-(((Model_Data!B166)-((Inputs!$C$51*(115*EXP(-(((0)-25)^2)/(4.5^2))+70*EXP(-(((0)+38)^2)/(7^2))*(0.55+0.45*SIN(2*PI()*(Model_Data!A166)/45))+24*SIN(2*PI()*(0)/9+(Model_Data!A166)/18)*EXP(-(((0)+5)^2)/(22^2))+18*SIN(2*PI()*(Model_Data!A166)/70))+Inputs!$C$28*EXP(-(((Model_Data!A166)-Inputs!$C$29)^2)/(2*Inputs!$C$31^2))*EXP(-(((0)-Inputs!$C$30)^2)/(2*Inputs!$C$32^2))+-Inputs!$C$33*EXP(-(((((Model_Data!A166)-Inputs!$C$34)^2)+(((0)-Inputs!$C$35)^2))/(2*Inputs!$C$36^2)))+Inputs!$C$37*(0.55*SIN(2*PI()*(Model_Data!A166)/Inputs!$C$39)+0.35*COS(2*PI()*(0)/Inputs!$C$40)+0.2*SIN(2*PI()*((Model_Data!A166)+(0))/(0.5*(Inputs!$C$39+Inputs!$C$40))))+Inputs!$C$38*SIN(2*PI()*(Model_Data!A166)/Inputs!$C$39)*SIN(2*PI()*(0)/Inputs!$C$40)+-Inputs!$C$41*EXP(-(((0)-Inputs!$C$43)^2)/(2*Inputs!$C$44^2))*EXP(-(((Model_Data!A166)-Inputs!$C$42)^2)/(2*Inputs!$C$45^2))+Inputs!$C$48*(0.70*(0.45*SIN(2*PI()*(((Model_Data!A166)/Inputs!$C$49)+Inputs!$C$47*0.137))+0.35*COS(2*PI()*(((0)/Inputs!$C$50)+Inputs!$C$47*0.173))+0.20*SIN(2*PI()*(((Model_Data!A166)+(0))/(0.5*(Inputs!$C$49+Inputs!$C$50))+Inputs!$C$47*0.097)))+0.30*(2*((SIN(((Model_Data!A166)*12.9898+(0)*78.233+Inputs!$C$47*37.719))*43758.5453)-INT((SIN(((Model_Data!A166)*12.9898+(0)*78.233+Inputs!$C$47*37.719))*43758.5453)))-1))))/1000)))*1000/Inputs!$C$12)</x:f>
        <x:v>566.9283166748194</x:v>
      </x:c>
      <x:c r="D166" s="49"/>
      <x:c r="E166" s="48" t="n">
        <x:f>Model_Data!A166</x:f>
        <x:v>22</x:v>
      </x:c>
      <x:c r="F166" s="48" t="n">
        <x:f>(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(0.45*SIN(2*PI()*(((Model_Data!A166)/Inputs!$C$49)+Inputs!$C$47*0.137))+0.35*COS(2*PI()*(((Inputs!$C$6)/Inputs!$C$50)+Inputs!$C$47*0.173))+0.20*SIN(2*PI()*(((Model_Data!A166)+(Inputs!$C$6))/(0.5*(Inputs!$C$49+Inputs!$C$50))+Inputs!$C$47*0.097)))+0.30*(2*((SIN(((Model_Data!A166)*12.9898+(Inputs!$C$6)*78.233+Inputs!$C$47*37.719))*43758.5453)-INT((SIN(((Model_Data!A166)*12.9898+(Inputs!$C$6)*78.233+Inputs!$C$47*37.719))*43758.5453)))-1)))</x:f>
        <x:v>447.7794532624074</x:v>
      </x:c>
      <x:c r="G166" s="48" t="n">
        <x:f>(Inputs!$C$51*(115*EXP(-(((0)-25)^2)/(4.5^2))+70*EXP(-(((0)+38)^2)/(7^2))*(0.55+0.45*SIN(2*PI()*(Model_Data!A166)/45))+24*SIN(2*PI()*(0)/9+(Model_Data!A166)/18)*EXP(-(((0)+5)^2)/(22^2))+18*SIN(2*PI()*(Model_Data!A166)/70))+Inputs!$C$28*EXP(-(((Model_Data!A166)-Inputs!$C$29)^2)/(2*Inputs!$C$31^2))*EXP(-(((0)-Inputs!$C$30)^2)/(2*Inputs!$C$32^2))+-Inputs!$C$33*EXP(-(((((Model_Data!A166)-Inputs!$C$34)^2)+(((0)-Inputs!$C$35)^2))/(2*Inputs!$C$36^2)))+Inputs!$C$37*(0.55*SIN(2*PI()*(Model_Data!A166)/Inputs!$C$39)+0.35*COS(2*PI()*(0)/Inputs!$C$40)+0.2*SIN(2*PI()*((Model_Data!A166)+(0))/(0.5*(Inputs!$C$39+Inputs!$C$40))))+Inputs!$C$38*SIN(2*PI()*(Model_Data!A166)/Inputs!$C$39)*SIN(2*PI()*(0)/Inputs!$C$40)+-Inputs!$C$41*EXP(-(((0)-Inputs!$C$43)^2)/(2*Inputs!$C$44^2))*EXP(-(((Model_Data!A166)-Inputs!$C$42)^2)/(2*Inputs!$C$45^2))+Inputs!$C$48*(0.70*(0.45*SIN(2*PI()*(((Model_Data!A166)/Inputs!$C$49)+Inputs!$C$47*0.137))+0.35*COS(2*PI()*(((0)/Inputs!$C$50)+Inputs!$C$47*0.173))+0.20*SIN(2*PI()*(((Model_Data!A166)+(0))/(0.5*(Inputs!$C$49+Inputs!$C$50))+Inputs!$C$47*0.097)))+0.30*(2*((SIN(((Model_Data!A166)*12.9898+(0)*78.233+Inputs!$C$47*37.719))*43758.5453)-INT((SIN(((Model_Data!A166)*12.9898+(0)*78.233+Inputs!$C$47*37.719))*43758.5453)))-1)))</x:f>
        <x:v>73.36589826371042</x:v>
      </x:c>
      <x:c r="H166" s="49"/>
      <x:c r="I166" s="48" t="n">
        <x:f>Model_Data!A166</x:f>
        <x:v>22</x:v>
      </x:c>
      <x:c r="J166" s="48" t="n">
        <x:f>((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(0.45*SIN(2*PI()*(((Model_Data!A166)/Inputs!$C$49)+Inputs!$C$47*0.137))+0.35*COS(2*PI()*(((Inputs!$C$6)/Inputs!$C$50)+Inputs!$C$47*0.173))+0.20*SIN(2*PI()*(((Model_Data!A166)+(Inputs!$C$6))/(0.5*(Inputs!$C$49+Inputs!$C$50))+Inputs!$C$47*0.097)))+0.30*(2*((SIN(((Model_Data!A166)*12.9898+(Inputs!$C$6)*78.233+Inputs!$C$47*37.719))*43758.5453)-INT((SIN(((Model_Data!A166)*12.9898+(Inputs!$C$6)*78.233+Inputs!$C$47*37.719))*43758.5453)))-1))))-((Inputs!$C$51*(115*EXP(-(((0)-25)^2)/(4.5^2))+70*EXP(-(((0)+38)^2)/(7^2))*(0.55+0.45*SIN(2*PI()*(Model_Data!A166)/45))+24*SIN(2*PI()*(0)/9+(Model_Data!A166)/18)*EXP(-(((0)+5)^2)/(22^2))+18*SIN(2*PI()*(Model_Data!A166)/70))+Inputs!$C$28*EXP(-(((Model_Data!A166)-Inputs!$C$29)^2)/(2*Inputs!$C$31^2))*EXP(-(((0)-Inputs!$C$30)^2)/(2*Inputs!$C$32^2))+-Inputs!$C$33*EXP(-(((((Model_Data!A166)-Inputs!$C$34)^2)+(((0)-Inputs!$C$35)^2))/(2*Inputs!$C$36^2)))+Inputs!$C$37*(0.55*SIN(2*PI()*(Model_Data!A166)/Inputs!$C$39)+0.35*COS(2*PI()*(0)/Inputs!$C$40)+0.2*SIN(2*PI()*((Model_Data!A166)+(0))/(0.5*(Inputs!$C$39+Inputs!$C$40))))+Inputs!$C$38*SIN(2*PI()*(Model_Data!A166)/Inputs!$C$39)*SIN(2*PI()*(0)/Inputs!$C$40)+-Inputs!$C$41*EXP(-(((0)-Inputs!$C$43)^2)/(2*Inputs!$C$44^2))*EXP(-(((Model_Data!A166)-Inputs!$C$42)^2)/(2*Inputs!$C$45^2))+Inputs!$C$48*(0.70*(0.45*SIN(2*PI()*(((Model_Data!A166)/Inputs!$C$49)+Inputs!$C$47*0.137))+0.35*COS(2*PI()*(((0)/Inputs!$C$50)+Inputs!$C$47*0.173))+0.20*SIN(2*PI()*(((Model_Data!A166)+(0))/(0.5*(Inputs!$C$49+Inputs!$C$50))+Inputs!$C$47*0.097)))+0.30*(2*((SIN(((Model_Data!A166)*12.9898+(0)*78.233+Inputs!$C$47*37.719))*43758.5453)-INT((SIN(((Model_Data!A166)*12.9898+(0)*78.233+Inputs!$C$47*37.719))*43758.5453)))-1))))</x:f>
        <x:v>374.413554998697</x:v>
      </x:c>
      <x:c r="K166" s="48" t="n">
        <x:f>-((((SQRT((Model_Data!A166)^2+Inputs!$C$6^2+((Model_Data!B166)-((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(0.45*SIN(2*PI()*(((Model_Data!A166)/Inputs!$C$49)+Inputs!$C$47*0.137))+0.35*COS(2*PI()*(((Inputs!$C$6)/Inputs!$C$50)+Inputs!$C$47*0.173))+0.20*SIN(2*PI()*(((Model_Data!A166)+(Inputs!$C$6))/(0.5*(Inputs!$C$49+Inputs!$C$50))+Inputs!$C$47*0.097)))+0.30*(2*((SIN(((Model_Data!A166)*12.9898+(Inputs!$C$6)*78.233+Inputs!$C$47*37.719))*43758.5453)-INT((SIN(((Model_Data!A166)*12.9898+(Inputs!$C$6)*78.233+Inputs!$C$47*37.719))*43758.5453)))-1))))/1000)^2))-(((Model_Data!B166)-((Inputs!$C$51*(115*EXP(-(((0)-25)^2)/(4.5^2))+70*EXP(-(((0)+38)^2)/(7^2))*(0.55+0.45*SIN(2*PI()*(Model_Data!A166)/45))+24*SIN(2*PI()*(0)/9+(Model_Data!A166)/18)*EXP(-(((0)+5)^2)/(22^2))+18*SIN(2*PI()*(Model_Data!A166)/70))+Inputs!$C$28*EXP(-(((Model_Data!A166)-Inputs!$C$29)^2)/(2*Inputs!$C$31^2))*EXP(-(((0)-Inputs!$C$30)^2)/(2*Inputs!$C$32^2))+-Inputs!$C$33*EXP(-(((((Model_Data!A166)-Inputs!$C$34)^2)+(((0)-Inputs!$C$35)^2))/(2*Inputs!$C$36^2)))+Inputs!$C$37*(0.55*SIN(2*PI()*(Model_Data!A166)/Inputs!$C$39)+0.35*COS(2*PI()*(0)/Inputs!$C$40)+0.2*SIN(2*PI()*((Model_Data!A166)+(0))/(0.5*(Inputs!$C$39+Inputs!$C$40))))+Inputs!$C$38*SIN(2*PI()*(Model_Data!A166)/Inputs!$C$39)*SIN(2*PI()*(0)/Inputs!$C$40)+-Inputs!$C$41*EXP(-(((0)-Inputs!$C$43)^2)/(2*Inputs!$C$44^2))*EXP(-(((Model_Data!A166)-Inputs!$C$42)^2)/(2*Inputs!$C$45^2))+Inputs!$C$48*(0.70*(0.45*SIN(2*PI()*(((Model_Data!A166)/Inputs!$C$49)+Inputs!$C$47*0.137))+0.35*COS(2*PI()*(((0)/Inputs!$C$50)+Inputs!$C$47*0.173))+0.20*SIN(2*PI()*(((Model_Data!A166)+(0))/(0.5*(Inputs!$C$49+Inputs!$C$50))+Inputs!$C$47*0.097)))+0.30*(2*((SIN(((Model_Data!A166)*12.9898+(0)*78.233+Inputs!$C$47*37.719))*43758.5453)-INT((SIN(((Model_Data!A166)*12.9898+(0)*78.233+Inputs!$C$47*37.719))*43758.5453)))-1))))/1000)))*1000/Inputs!$C$12)-Model_Data!F166)</x:f>
        <x:v>209.47873441270292</x:v>
      </x:c>
      <x:c r="L166" s="49"/>
      <x:c r="M166" s="48" t="n">
        <x:f>Model_Data!A166</x:f>
        <x:v>22</x:v>
      </x:c>
      <x:c r="N166" s="48" t="n">
        <x:f>Model_Data!P166</x:f>
        <x:v>-165.5329197190784</x:v>
      </x:c>
      <x:c r="O166" s="48" t="n">
        <x:f>AC166</x:f>
        <x:v>-168.22777221323122</x:v>
      </x:c>
      <x:c r="P166" s="48" t="n">
        <x:f>Model_Data!Q166</x:f>
        <x:v>-24.854792750612372</x:v>
      </x:c>
      <x:c r="Q166" s="48" t="n">
        <x:f>AD166</x:f>
        <x:v>-25.259425257241926</x:v>
      </x:c>
      <x:c r="R166" s="49"/>
      <x:c r="S166" s="48" t="n">
        <x:f>Model_Data!A166</x:f>
        <x:v>22</x:v>
      </x:c>
      <x:c r="T166" s="48" t="n">
        <x:f>Model_Data!B166-Inputs!$C$5</x:f>
        <x:v>0.5377777777777624</x:v>
      </x:c>
      <x:c r="U166" s="49"/>
      <x:c r="V166" s="48" t="n">
        <x:f>Model_Data!A166</x:f>
        <x:v>22</x:v>
      </x:c>
      <x:c r="W166" s="48" t="n">
        <x:f>(-((((SQRT((Model_Data!A166)^2+Inputs!$C$6^2+((Model_Data!B166)-((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(0.45*SIN(2*PI()*(((Model_Data!A166)/Inputs!$C$49)+Inputs!$C$47*0.137))+0.35*COS(2*PI()*(((Inputs!$C$6)/Inputs!$C$50)+Inputs!$C$47*0.173))+0.20*SIN(2*PI()*(((Model_Data!A166)+(Inputs!$C$6))/(0.5*(Inputs!$C$49+Inputs!$C$50))+Inputs!$C$47*0.097)))+0.30*(2*((SIN(((Model_Data!A166)*12.9898+(Inputs!$C$6)*78.233+Inputs!$C$47*37.719))*43758.5453)-INT((SIN(((Model_Data!A166)*12.9898+(Inputs!$C$6)*78.233+Inputs!$C$47*37.719))*43758.5453)))-1))))/1000)^2))-(((Model_Data!B166)-((Inputs!$C$51*(115*EXP(-(((0)-25)^2)/(4.5^2))+70*EXP(-(((0)+38)^2)/(7^2))*(0.55+0.45*SIN(2*PI()*(Model_Data!A166)/45))+24*SIN(2*PI()*(0)/9+(Model_Data!A166)/18)*EXP(-(((0)+5)^2)/(22^2))+18*SIN(2*PI()*(Model_Data!A166)/70))+Inputs!$C$28*EXP(-(((Model_Data!A166)-Inputs!$C$29)^2)/(2*Inputs!$C$31^2))*EXP(-(((0)-Inputs!$C$30)^2)/(2*Inputs!$C$32^2))+-Inputs!$C$33*EXP(-(((((Model_Data!A166)-Inputs!$C$34)^2)+(((0)-Inputs!$C$35)^2))/(2*Inputs!$C$36^2)))+Inputs!$C$37*(0.55*SIN(2*PI()*(Model_Data!A166)/Inputs!$C$39)+0.35*COS(2*PI()*(0)/Inputs!$C$40)+0.2*SIN(2*PI()*((Model_Data!A166)+(0))/(0.5*(Inputs!$C$39+Inputs!$C$40))))+Inputs!$C$38*SIN(2*PI()*(Model_Data!A166)/Inputs!$C$39)*SIN(2*PI()*(0)/Inputs!$C$40)+-Inputs!$C$41*EXP(-(((0)-Inputs!$C$43)^2)/(2*Inputs!$C$44^2))*EXP(-(((Model_Data!A166)-Inputs!$C$42)^2)/(2*Inputs!$C$45^2))+Inputs!$C$48*(0.70*(0.45*SIN(2*PI()*(((Model_Data!A166)/Inputs!$C$49)+Inputs!$C$47*0.137))+0.35*COS(2*PI()*(((0)/Inputs!$C$50)+Inputs!$C$47*0.173))+0.20*SIN(2*PI()*(((Model_Data!A166)+(0))/(0.5*(Inputs!$C$49+Inputs!$C$50))+Inputs!$C$47*0.097)))+0.30*(2*((SIN(((Model_Data!A166)*12.9898+(0)*78.233+Inputs!$C$47*37.719))*43758.5453)-INT((SIN(((Model_Data!A166)*12.9898+(0)*78.233+Inputs!$C$47*37.719))*43758.5453)))-1))))/1000)))*1000/Inputs!$C$12)-Model_Data!F166))-(-(((SQRT((Model_Data!A166)^2+Inputs!$C$6^2+(Inputs!$C$5-((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(0.45*SIN(2*PI()*(((Model_Data!A166)/Inputs!$C$49)+Inputs!$C$47*0.137))+0.35*COS(2*PI()*(((Inputs!$C$6)/Inputs!$C$50)+Inputs!$C$47*0.173))+0.20*SIN(2*PI()*(((Model_Data!A166)+(Inputs!$C$6))/(0.5*(Inputs!$C$49+Inputs!$C$50))+Inputs!$C$47*0.097)))+0.30*(2*((SIN(((Model_Data!A166)*12.9898+(Inputs!$C$6)*78.233+Inputs!$C$47*37.719))*43758.5453)-INT((SIN(((Model_Data!A166)*12.9898+(Inputs!$C$6)*78.233+Inputs!$C$47*37.719))*43758.5453)))-1))))/1000)^2)-(Inputs!$C$5-((Inputs!$C$51*(115*EXP(-(((0)-25)^2)/(4.5^2))+70*EXP(-(((0)+38)^2)/(7^2))*(0.55+0.45*SIN(2*PI()*(Model_Data!A166)/45))+24*SIN(2*PI()*(0)/9+(Model_Data!A166)/18)*EXP(-(((0)+5)^2)/(22^2))+18*SIN(2*PI()*(Model_Data!A166)/70))+Inputs!$C$28*EXP(-(((Model_Data!A166)-Inputs!$C$29)^2)/(2*Inputs!$C$31^2))*EXP(-(((0)-Inputs!$C$30)^2)/(2*Inputs!$C$32^2))+-Inputs!$C$33*EXP(-(((((Model_Data!A166)-Inputs!$C$34)^2)+(((0)-Inputs!$C$35)^2))/(2*Inputs!$C$36^2)))+Inputs!$C$37*(0.55*SIN(2*PI()*(Model_Data!A166)/Inputs!$C$39)+0.35*COS(2*PI()*(0)/Inputs!$C$40)+0.2*SIN(2*PI()*((Model_Data!A166)+(0))/(0.5*(Inputs!$C$39+Inputs!$C$40))))+Inputs!$C$38*SIN(2*PI()*(Model_Data!A166)/Inputs!$C$39)*SIN(2*PI()*(0)/Inputs!$C$40)+-Inputs!$C$41*EXP(-(((0)-Inputs!$C$43)^2)/(2*Inputs!$C$44^2))*EXP(-(((Model_Data!A166)-Inputs!$C$42)^2)/(2*Inputs!$C$45^2))+Inputs!$C$48*(0.70*(0.45*SIN(2*PI()*(((Model_Data!A166)/Inputs!$C$49)+Inputs!$C$47*0.137))+0.35*COS(2*PI()*(((0)/Inputs!$C$50)+Inputs!$C$47*0.173))+0.20*SIN(2*PI()*(((Model_Data!A166)+(0))/(0.5*(Inputs!$C$49+Inputs!$C$50))+Inputs!$C$47*0.097)))+0.30*(2*((SIN(((Model_Data!A166)*12.9898+(0)*78.233+Inputs!$C$47*37.719))*43758.5453)-INT((SIN(((Model_Data!A166)*12.9898+(0)*78.233+Inputs!$C$47*37.719))*43758.5453)))-1))))/1000))*1000/Inputs!$C$12)-((SQRT((Model_Data!A166)^2+Inputs!$C$6^2+Inputs!$C$5^2)-Inputs!$C$5)*1000/Inputs!$C$12)))</x:f>
        <x:v>0.0023192841084664906</x:v>
      </x:c>
      <x:c r="X166" s="48" t="n">
        <x:f>0</x:f>
        <x:v>0</x:v>
      </x:c>
      <x:c r="Y166" s="49"/>
      <x:c r="Z166" s="48" t="n">
        <x:f>Model_Data!A166</x:f>
        <x:v>22</x:v>
      </x:c>
      <x:c r="AA166" s="48" t="n">
        <x:f>SQRT((Model_Data!A166)^2+Inputs!$C$6^2+((Model_Data!B166)-((Inputs!$C$51*(115*EXP(-(((Inputs!$C$6)-25)^2)/(4.5^2))+70*EXP(-(((Inputs!$C$6)+38)^2)/(7^2))*(0.55+0.45*SIN(2*PI()*(Model_Data!A166)/45))+24*SIN(2*PI()*(Inputs!$C$6)/9+(Model_Data!A166)/18)*EXP(-(((Inputs!$C$6)+5)^2)/(22^2))+18*SIN(2*PI()*(Model_Data!A166)/70))+Inputs!$C$28*EXP(-(((Model_Data!A166)-Inputs!$C$29)^2)/(2*Inputs!$C$31^2))*EXP(-(((Inputs!$C$6)-Inputs!$C$30)^2)/(2*Inputs!$C$32^2))+-Inputs!$C$33*EXP(-(((((Model_Data!A166)-Inputs!$C$34)^2)+(((Inputs!$C$6)-Inputs!$C$35)^2))/(2*Inputs!$C$36^2)))+Inputs!$C$37*(0.55*SIN(2*PI()*(Model_Data!A166)/Inputs!$C$39)+0.35*COS(2*PI()*(Inputs!$C$6)/Inputs!$C$40)+0.2*SIN(2*PI()*((Model_Data!A166)+(Inputs!$C$6))/(0.5*(Inputs!$C$39+Inputs!$C$40))))+Inputs!$C$38*SIN(2*PI()*(Model_Data!A166)/Inputs!$C$39)*SIN(2*PI()*(Inputs!$C$6)/Inputs!$C$40)+-Inputs!$C$41*EXP(-(((Inputs!$C$6)-Inputs!$C$43)^2)/(2*Inputs!$C$44^2))*EXP(-(((Model_Data!A166)-Inputs!$C$42)^2)/(2*Inputs!$C$45^2))+Inputs!$C$48*(0.70*(0.45*SIN(2*PI()*(((Model_Data!A166)/Inputs!$C$49)+Inputs!$C$47*0.137))+0.35*COS(2*PI()*(((Inputs!$C$6)/Inputs!$C$50)+Inputs!$C$47*0.173))+0.20*SIN(2*PI()*(((Model_Data!A166)+(Inputs!$C$6))/(0.5*(Inputs!$C$49+Inputs!$C$50))+Inputs!$C$47*0.097)))+0.30*(2*((SIN(((Model_Data!A166)*12.9898+(Inputs!$C$6)*78.233+Inputs!$C$47*37.719))*43758.5453)-INT((SIN(((Model_Data!A166)*12.9898+(Inputs!$C$6)*78.233+Inputs!$C$47*37.719))*43758.5453)))-1))))/1000)^2)</x:f>
        <x:v>401.4735442831952</x:v>
      </x:c>
      <x:c r="AB166" s="48" t="n">
        <x:f>1000*(AA167-AA165)/(Z167-Z165)*Inputs!$C$11</x:f>
        <x:v>420.56943053307805</x:v>
      </x:c>
      <x:c r="AC166" s="48" t="n">
        <x:f>-2*AB166/Inputs!$C$13</x:f>
        <x:v>-168.22777221323122</x:v>
      </x:c>
      <x:c r="AD166" s="48" t="n">
        <x:f>-2*AB166/Inputs!$C$14</x:f>
        <x:v>-25.259425257241926</x:v>
      </x:c>
    </x:row>
    <x:row r="167">
      <x:c r="A167" s="48" t="n">
        <x:f>Model_Data!A167</x:f>
        <x:v>22.5</x:v>
      </x:c>
      <x:c r="B167" s="48" t="n">
        <x:f>Model_Data!F167</x:f>
        <x:v>791.9081751687987</x:v>
      </x:c>
      <x:c r="C167" s="48" t="n">
        <x:f>(((SQRT((Model_Data!A167)^2+Inputs!$C$6^2+((Model_Data!B167)-((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(0.45*SIN(2*PI()*(((Model_Data!A167)/Inputs!$C$49)+Inputs!$C$47*0.137))+0.35*COS(2*PI()*(((Inputs!$C$6)/Inputs!$C$50)+Inputs!$C$47*0.173))+0.20*SIN(2*PI()*(((Model_Data!A167)+(Inputs!$C$6))/(0.5*(Inputs!$C$49+Inputs!$C$50))+Inputs!$C$47*0.097)))+0.30*(2*((SIN(((Model_Data!A167)*12.9898+(Inputs!$C$6)*78.233+Inputs!$C$47*37.719))*43758.5453)-INT((SIN(((Model_Data!A167)*12.9898+(Inputs!$C$6)*78.233+Inputs!$C$47*37.719))*43758.5453)))-1))))/1000)^2))-(((Model_Data!B167)-((Inputs!$C$51*(115*EXP(-(((0)-25)^2)/(4.5^2))+70*EXP(-(((0)+38)^2)/(7^2))*(0.55+0.45*SIN(2*PI()*(Model_Data!A167)/45))+24*SIN(2*PI()*(0)/9+(Model_Data!A167)/18)*EXP(-(((0)+5)^2)/(22^2))+18*SIN(2*PI()*(Model_Data!A167)/70))+Inputs!$C$28*EXP(-(((Model_Data!A167)-Inputs!$C$29)^2)/(2*Inputs!$C$31^2))*EXP(-(((0)-Inputs!$C$30)^2)/(2*Inputs!$C$32^2))+-Inputs!$C$33*EXP(-(((((Model_Data!A167)-Inputs!$C$34)^2)+(((0)-Inputs!$C$35)^2))/(2*Inputs!$C$36^2)))+Inputs!$C$37*(0.55*SIN(2*PI()*(Model_Data!A167)/Inputs!$C$39)+0.35*COS(2*PI()*(0)/Inputs!$C$40)+0.2*SIN(2*PI()*((Model_Data!A167)+(0))/(0.5*(Inputs!$C$39+Inputs!$C$40))))+Inputs!$C$38*SIN(2*PI()*(Model_Data!A167)/Inputs!$C$39)*SIN(2*PI()*(0)/Inputs!$C$40)+-Inputs!$C$41*EXP(-(((0)-Inputs!$C$43)^2)/(2*Inputs!$C$44^2))*EXP(-(((Model_Data!A167)-Inputs!$C$42)^2)/(2*Inputs!$C$45^2))+Inputs!$C$48*(0.70*(0.45*SIN(2*PI()*(((Model_Data!A167)/Inputs!$C$49)+Inputs!$C$47*0.137))+0.35*COS(2*PI()*(((0)/Inputs!$C$50)+Inputs!$C$47*0.173))+0.20*SIN(2*PI()*(((Model_Data!A167)+(0))/(0.5*(Inputs!$C$49+Inputs!$C$50))+Inputs!$C$47*0.097)))+0.30*(2*((SIN(((Model_Data!A167)*12.9898+(0)*78.233+Inputs!$C$47*37.719))*43758.5453)-INT((SIN(((Model_Data!A167)*12.9898+(0)*78.233+Inputs!$C$47*37.719))*43758.5453)))-1))))/1000)))*1000/Inputs!$C$12)</x:f>
        <x:v>585.6763796800308</x:v>
      </x:c>
      <x:c r="D167" s="49"/>
      <x:c r="E167" s="48" t="n">
        <x:f>Model_Data!A167</x:f>
        <x:v>22.5</x:v>
      </x:c>
      <x:c r="F167" s="48" t="n">
        <x:f>(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(0.45*SIN(2*PI()*(((Model_Data!A167)/Inputs!$C$49)+Inputs!$C$47*0.137))+0.35*COS(2*PI()*(((Inputs!$C$6)/Inputs!$C$50)+Inputs!$C$47*0.173))+0.20*SIN(2*PI()*(((Model_Data!A167)+(Inputs!$C$6))/(0.5*(Inputs!$C$49+Inputs!$C$50))+Inputs!$C$47*0.097)))+0.30*(2*((SIN(((Model_Data!A167)*12.9898+(Inputs!$C$6)*78.233+Inputs!$C$47*37.719))*43758.5453)-INT((SIN(((Model_Data!A167)*12.9898+(Inputs!$C$6)*78.233+Inputs!$C$47*37.719))*43758.5453)))-1)))</x:f>
        <x:v>442.50927153418206</x:v>
      </x:c>
      <x:c r="G167" s="48" t="n">
        <x:f>(Inputs!$C$51*(115*EXP(-(((0)-25)^2)/(4.5^2))+70*EXP(-(((0)+38)^2)/(7^2))*(0.55+0.45*SIN(2*PI()*(Model_Data!A167)/45))+24*SIN(2*PI()*(0)/9+(Model_Data!A167)/18)*EXP(-(((0)+5)^2)/(22^2))+18*SIN(2*PI()*(Model_Data!A167)/70))+Inputs!$C$28*EXP(-(((Model_Data!A167)-Inputs!$C$29)^2)/(2*Inputs!$C$31^2))*EXP(-(((0)-Inputs!$C$30)^2)/(2*Inputs!$C$32^2))+-Inputs!$C$33*EXP(-(((((Model_Data!A167)-Inputs!$C$34)^2)+(((0)-Inputs!$C$35)^2))/(2*Inputs!$C$36^2)))+Inputs!$C$37*(0.55*SIN(2*PI()*(Model_Data!A167)/Inputs!$C$39)+0.35*COS(2*PI()*(0)/Inputs!$C$40)+0.2*SIN(2*PI()*((Model_Data!A167)+(0))/(0.5*(Inputs!$C$39+Inputs!$C$40))))+Inputs!$C$38*SIN(2*PI()*(Model_Data!A167)/Inputs!$C$39)*SIN(2*PI()*(0)/Inputs!$C$40)+-Inputs!$C$41*EXP(-(((0)-Inputs!$C$43)^2)/(2*Inputs!$C$44^2))*EXP(-(((Model_Data!A167)-Inputs!$C$42)^2)/(2*Inputs!$C$45^2))+Inputs!$C$48*(0.70*(0.45*SIN(2*PI()*(((Model_Data!A167)/Inputs!$C$49)+Inputs!$C$47*0.137))+0.35*COS(2*PI()*(((0)/Inputs!$C$50)+Inputs!$C$47*0.173))+0.20*SIN(2*PI()*(((Model_Data!A167)+(0))/(0.5*(Inputs!$C$49+Inputs!$C$50))+Inputs!$C$47*0.097)))+0.30*(2*((SIN(((Model_Data!A167)*12.9898+(0)*78.233+Inputs!$C$47*37.719))*43758.5453)-INT((SIN(((Model_Data!A167)*12.9898+(0)*78.233+Inputs!$C$47*37.719))*43758.5453)))-1)))</x:f>
        <x:v>73.86322008676284</x:v>
      </x:c>
      <x:c r="H167" s="49"/>
      <x:c r="I167" s="48" t="n">
        <x:f>Model_Data!A167</x:f>
        <x:v>22.5</x:v>
      </x:c>
      <x:c r="J167" s="48" t="n">
        <x:f>((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(0.45*SIN(2*PI()*(((Model_Data!A167)/Inputs!$C$49)+Inputs!$C$47*0.137))+0.35*COS(2*PI()*(((Inputs!$C$6)/Inputs!$C$50)+Inputs!$C$47*0.173))+0.20*SIN(2*PI()*(((Model_Data!A167)+(Inputs!$C$6))/(0.5*(Inputs!$C$49+Inputs!$C$50))+Inputs!$C$47*0.097)))+0.30*(2*((SIN(((Model_Data!A167)*12.9898+(Inputs!$C$6)*78.233+Inputs!$C$47*37.719))*43758.5453)-INT((SIN(((Model_Data!A167)*12.9898+(Inputs!$C$6)*78.233+Inputs!$C$47*37.719))*43758.5453)))-1))))-((Inputs!$C$51*(115*EXP(-(((0)-25)^2)/(4.5^2))+70*EXP(-(((0)+38)^2)/(7^2))*(0.55+0.45*SIN(2*PI()*(Model_Data!A167)/45))+24*SIN(2*PI()*(0)/9+(Model_Data!A167)/18)*EXP(-(((0)+5)^2)/(22^2))+18*SIN(2*PI()*(Model_Data!A167)/70))+Inputs!$C$28*EXP(-(((Model_Data!A167)-Inputs!$C$29)^2)/(2*Inputs!$C$31^2))*EXP(-(((0)-Inputs!$C$30)^2)/(2*Inputs!$C$32^2))+-Inputs!$C$33*EXP(-(((((Model_Data!A167)-Inputs!$C$34)^2)+(((0)-Inputs!$C$35)^2))/(2*Inputs!$C$36^2)))+Inputs!$C$37*(0.55*SIN(2*PI()*(Model_Data!A167)/Inputs!$C$39)+0.35*COS(2*PI()*(0)/Inputs!$C$40)+0.2*SIN(2*PI()*((Model_Data!A167)+(0))/(0.5*(Inputs!$C$39+Inputs!$C$40))))+Inputs!$C$38*SIN(2*PI()*(Model_Data!A167)/Inputs!$C$39)*SIN(2*PI()*(0)/Inputs!$C$40)+-Inputs!$C$41*EXP(-(((0)-Inputs!$C$43)^2)/(2*Inputs!$C$44^2))*EXP(-(((Model_Data!A167)-Inputs!$C$42)^2)/(2*Inputs!$C$45^2))+Inputs!$C$48*(0.70*(0.45*SIN(2*PI()*(((Model_Data!A167)/Inputs!$C$49)+Inputs!$C$47*0.137))+0.35*COS(2*PI()*(((0)/Inputs!$C$50)+Inputs!$C$47*0.173))+0.20*SIN(2*PI()*(((Model_Data!A167)+(0))/(0.5*(Inputs!$C$49+Inputs!$C$50))+Inputs!$C$47*0.097)))+0.30*(2*((SIN(((Model_Data!A167)*12.9898+(0)*78.233+Inputs!$C$47*37.719))*43758.5453)-INT((SIN(((Model_Data!A167)*12.9898+(0)*78.233+Inputs!$C$47*37.719))*43758.5453)))-1))))</x:f>
        <x:v>368.6460514474192</x:v>
      </x:c>
      <x:c r="K167" s="48" t="n">
        <x:f>-((((SQRT((Model_Data!A167)^2+Inputs!$C$6^2+((Model_Data!B167)-((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(0.45*SIN(2*PI()*(((Model_Data!A167)/Inputs!$C$49)+Inputs!$C$47*0.137))+0.35*COS(2*PI()*(((Inputs!$C$6)/Inputs!$C$50)+Inputs!$C$47*0.173))+0.20*SIN(2*PI()*(((Model_Data!A167)+(Inputs!$C$6))/(0.5*(Inputs!$C$49+Inputs!$C$50))+Inputs!$C$47*0.097)))+0.30*(2*((SIN(((Model_Data!A167)*12.9898+(Inputs!$C$6)*78.233+Inputs!$C$47*37.719))*43758.5453)-INT((SIN(((Model_Data!A167)*12.9898+(Inputs!$C$6)*78.233+Inputs!$C$47*37.719))*43758.5453)))-1))))/1000)^2))-(((Model_Data!B167)-((Inputs!$C$51*(115*EXP(-(((0)-25)^2)/(4.5^2))+70*EXP(-(((0)+38)^2)/(7^2))*(0.55+0.45*SIN(2*PI()*(Model_Data!A167)/45))+24*SIN(2*PI()*(0)/9+(Model_Data!A167)/18)*EXP(-(((0)+5)^2)/(22^2))+18*SIN(2*PI()*(Model_Data!A167)/70))+Inputs!$C$28*EXP(-(((Model_Data!A167)-Inputs!$C$29)^2)/(2*Inputs!$C$31^2))*EXP(-(((0)-Inputs!$C$30)^2)/(2*Inputs!$C$32^2))+-Inputs!$C$33*EXP(-(((((Model_Data!A167)-Inputs!$C$34)^2)+(((0)-Inputs!$C$35)^2))/(2*Inputs!$C$36^2)))+Inputs!$C$37*(0.55*SIN(2*PI()*(Model_Data!A167)/Inputs!$C$39)+0.35*COS(2*PI()*(0)/Inputs!$C$40)+0.2*SIN(2*PI()*((Model_Data!A167)+(0))/(0.5*(Inputs!$C$39+Inputs!$C$40))))+Inputs!$C$38*SIN(2*PI()*(Model_Data!A167)/Inputs!$C$39)*SIN(2*PI()*(0)/Inputs!$C$40)+-Inputs!$C$41*EXP(-(((0)-Inputs!$C$43)^2)/(2*Inputs!$C$44^2))*EXP(-(((Model_Data!A167)-Inputs!$C$42)^2)/(2*Inputs!$C$45^2))+Inputs!$C$48*(0.70*(0.45*SIN(2*PI()*(((Model_Data!A167)/Inputs!$C$49)+Inputs!$C$47*0.137))+0.35*COS(2*PI()*(((0)/Inputs!$C$50)+Inputs!$C$47*0.173))+0.20*SIN(2*PI()*(((Model_Data!A167)+(0))/(0.5*(Inputs!$C$49+Inputs!$C$50))+Inputs!$C$47*0.097)))+0.30*(2*((SIN(((Model_Data!A167)*12.9898+(0)*78.233+Inputs!$C$47*37.719))*43758.5453)-INT((SIN(((Model_Data!A167)*12.9898+(0)*78.233+Inputs!$C$47*37.719))*43758.5453)))-1))))/1000)))*1000/Inputs!$C$12)-Model_Data!F167)</x:f>
        <x:v>206.23179548876794</x:v>
      </x:c>
      <x:c r="L167" s="49"/>
      <x:c r="M167" s="48" t="n">
        <x:f>Model_Data!A167</x:f>
        <x:v>22.5</x:v>
      </x:c>
      <x:c r="N167" s="48" t="n">
        <x:f>Model_Data!P167</x:f>
        <x:v>-169.27791899911472</x:v>
      </x:c>
      <x:c r="O167" s="48" t="n">
        <x:f>AC167</x:f>
        <x:v>-184.7620894337524</x:v>
      </x:c>
      <x:c r="P167" s="48" t="n">
        <x:f>Model_Data!Q167</x:f>
        <x:v>-25.417104954822033</x:v>
      </x:c>
      <x:c r="Q167" s="48" t="n">
        <x:f>AD167</x:f>
        <x:v>-27.742055470533398</x:v>
      </x:c>
      <x:c r="R167" s="49"/>
      <x:c r="S167" s="48" t="n">
        <x:f>Model_Data!A167</x:f>
        <x:v>22.5</x:v>
      </x:c>
      <x:c r="T167" s="48" t="n">
        <x:f>Model_Data!B167-Inputs!$C$5</x:f>
        <x:v>0.5625</x:v>
      </x:c>
      <x:c r="U167" s="49"/>
      <x:c r="V167" s="48" t="n">
        <x:f>Model_Data!A167</x:f>
        <x:v>22.5</x:v>
      </x:c>
      <x:c r="W167" s="48" t="n">
        <x:f>(-((((SQRT((Model_Data!A167)^2+Inputs!$C$6^2+((Model_Data!B167)-((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(0.45*SIN(2*PI()*(((Model_Data!A167)/Inputs!$C$49)+Inputs!$C$47*0.137))+0.35*COS(2*PI()*(((Inputs!$C$6)/Inputs!$C$50)+Inputs!$C$47*0.173))+0.20*SIN(2*PI()*(((Model_Data!A167)+(Inputs!$C$6))/(0.5*(Inputs!$C$49+Inputs!$C$50))+Inputs!$C$47*0.097)))+0.30*(2*((SIN(((Model_Data!A167)*12.9898+(Inputs!$C$6)*78.233+Inputs!$C$47*37.719))*43758.5453)-INT((SIN(((Model_Data!A167)*12.9898+(Inputs!$C$6)*78.233+Inputs!$C$47*37.719))*43758.5453)))-1))))/1000)^2))-(((Model_Data!B167)-((Inputs!$C$51*(115*EXP(-(((0)-25)^2)/(4.5^2))+70*EXP(-(((0)+38)^2)/(7^2))*(0.55+0.45*SIN(2*PI()*(Model_Data!A167)/45))+24*SIN(2*PI()*(0)/9+(Model_Data!A167)/18)*EXP(-(((0)+5)^2)/(22^2))+18*SIN(2*PI()*(Model_Data!A167)/70))+Inputs!$C$28*EXP(-(((Model_Data!A167)-Inputs!$C$29)^2)/(2*Inputs!$C$31^2))*EXP(-(((0)-Inputs!$C$30)^2)/(2*Inputs!$C$32^2))+-Inputs!$C$33*EXP(-(((((Model_Data!A167)-Inputs!$C$34)^2)+(((0)-Inputs!$C$35)^2))/(2*Inputs!$C$36^2)))+Inputs!$C$37*(0.55*SIN(2*PI()*(Model_Data!A167)/Inputs!$C$39)+0.35*COS(2*PI()*(0)/Inputs!$C$40)+0.2*SIN(2*PI()*((Model_Data!A167)+(0))/(0.5*(Inputs!$C$39+Inputs!$C$40))))+Inputs!$C$38*SIN(2*PI()*(Model_Data!A167)/Inputs!$C$39)*SIN(2*PI()*(0)/Inputs!$C$40)+-Inputs!$C$41*EXP(-(((0)-Inputs!$C$43)^2)/(2*Inputs!$C$44^2))*EXP(-(((Model_Data!A167)-Inputs!$C$42)^2)/(2*Inputs!$C$45^2))+Inputs!$C$48*(0.70*(0.45*SIN(2*PI()*(((Model_Data!A167)/Inputs!$C$49)+Inputs!$C$47*0.137))+0.35*COS(2*PI()*(((0)/Inputs!$C$50)+Inputs!$C$47*0.173))+0.20*SIN(2*PI()*(((Model_Data!A167)+(0))/(0.5*(Inputs!$C$49+Inputs!$C$50))+Inputs!$C$47*0.097)))+0.30*(2*((SIN(((Model_Data!A167)*12.9898+(0)*78.233+Inputs!$C$47*37.719))*43758.5453)-INT((SIN(((Model_Data!A167)*12.9898+(0)*78.233+Inputs!$C$47*37.719))*43758.5453)))-1))))/1000)))*1000/Inputs!$C$12)-Model_Data!F167))-(-(((SQRT((Model_Data!A167)^2+Inputs!$C$6^2+(Inputs!$C$5-((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(0.45*SIN(2*PI()*(((Model_Data!A167)/Inputs!$C$49)+Inputs!$C$47*0.137))+0.35*COS(2*PI()*(((Inputs!$C$6)/Inputs!$C$50)+Inputs!$C$47*0.173))+0.20*SIN(2*PI()*(((Model_Data!A167)+(Inputs!$C$6))/(0.5*(Inputs!$C$49+Inputs!$C$50))+Inputs!$C$47*0.097)))+0.30*(2*((SIN(((Model_Data!A167)*12.9898+(Inputs!$C$6)*78.233+Inputs!$C$47*37.719))*43758.5453)-INT((SIN(((Model_Data!A167)*12.9898+(Inputs!$C$6)*78.233+Inputs!$C$47*37.719))*43758.5453)))-1))))/1000)^2)-(Inputs!$C$5-((Inputs!$C$51*(115*EXP(-(((0)-25)^2)/(4.5^2))+70*EXP(-(((0)+38)^2)/(7^2))*(0.55+0.45*SIN(2*PI()*(Model_Data!A167)/45))+24*SIN(2*PI()*(0)/9+(Model_Data!A167)/18)*EXP(-(((0)+5)^2)/(22^2))+18*SIN(2*PI()*(Model_Data!A167)/70))+Inputs!$C$28*EXP(-(((Model_Data!A167)-Inputs!$C$29)^2)/(2*Inputs!$C$31^2))*EXP(-(((0)-Inputs!$C$30)^2)/(2*Inputs!$C$32^2))+-Inputs!$C$33*EXP(-(((((Model_Data!A167)-Inputs!$C$34)^2)+(((0)-Inputs!$C$35)^2))/(2*Inputs!$C$36^2)))+Inputs!$C$37*(0.55*SIN(2*PI()*(Model_Data!A167)/Inputs!$C$39)+0.35*COS(2*PI()*(0)/Inputs!$C$40)+0.2*SIN(2*PI()*((Model_Data!A167)+(0))/(0.5*(Inputs!$C$39+Inputs!$C$40))))+Inputs!$C$38*SIN(2*PI()*(Model_Data!A167)/Inputs!$C$39)*SIN(2*PI()*(0)/Inputs!$C$40)+-Inputs!$C$41*EXP(-(((0)-Inputs!$C$43)^2)/(2*Inputs!$C$44^2))*EXP(-(((Model_Data!A167)-Inputs!$C$42)^2)/(2*Inputs!$C$45^2))+Inputs!$C$48*(0.70*(0.45*SIN(2*PI()*(((Model_Data!A167)/Inputs!$C$49)+Inputs!$C$47*0.137))+0.35*COS(2*PI()*(((0)/Inputs!$C$50)+Inputs!$C$47*0.173))+0.20*SIN(2*PI()*(((Model_Data!A167)+(0))/(0.5*(Inputs!$C$49+Inputs!$C$50))+Inputs!$C$47*0.097)))+0.30*(2*((SIN(((Model_Data!A167)*12.9898+(0)*78.233+Inputs!$C$47*37.719))*43758.5453)-INT((SIN(((Model_Data!A167)*12.9898+(0)*78.233+Inputs!$C$47*37.719))*43758.5453)))-1))))/1000))*1000/Inputs!$C$12)-((SQRT((Model_Data!A167)^2+Inputs!$C$6^2+Inputs!$C$5^2)-Inputs!$C$5)*1000/Inputs!$C$12)))</x:f>
        <x:v>0.0024446713017596267</x:v>
      </x:c>
      <x:c r="X167" s="48" t="n">
        <x:f>0</x:f>
        <x:v>0</x:v>
      </x:c>
      <x:c r="Y167" s="49"/>
      <x:c r="Z167" s="48" t="n">
        <x:f>Model_Data!A167</x:f>
        <x:v>22.5</x:v>
      </x:c>
      <x:c r="AA167" s="48" t="n">
        <x:f>SQRT((Model_Data!A167)^2+Inputs!$C$6^2+((Model_Data!B167)-((Inputs!$C$51*(115*EXP(-(((Inputs!$C$6)-25)^2)/(4.5^2))+70*EXP(-(((Inputs!$C$6)+38)^2)/(7^2))*(0.55+0.45*SIN(2*PI()*(Model_Data!A167)/45))+24*SIN(2*PI()*(Inputs!$C$6)/9+(Model_Data!A167)/18)*EXP(-(((Inputs!$C$6)+5)^2)/(22^2))+18*SIN(2*PI()*(Model_Data!A167)/70))+Inputs!$C$28*EXP(-(((Model_Data!A167)-Inputs!$C$29)^2)/(2*Inputs!$C$31^2))*EXP(-(((Inputs!$C$6)-Inputs!$C$30)^2)/(2*Inputs!$C$32^2))+-Inputs!$C$33*EXP(-(((((Model_Data!A167)-Inputs!$C$34)^2)+(((Inputs!$C$6)-Inputs!$C$35)^2))/(2*Inputs!$C$36^2)))+Inputs!$C$37*(0.55*SIN(2*PI()*(Model_Data!A167)/Inputs!$C$39)+0.35*COS(2*PI()*(Inputs!$C$6)/Inputs!$C$40)+0.2*SIN(2*PI()*((Model_Data!A167)+(Inputs!$C$6))/(0.5*(Inputs!$C$39+Inputs!$C$40))))+Inputs!$C$38*SIN(2*PI()*(Model_Data!A167)/Inputs!$C$39)*SIN(2*PI()*(Inputs!$C$6)/Inputs!$C$40)+-Inputs!$C$41*EXP(-(((Inputs!$C$6)-Inputs!$C$43)^2)/(2*Inputs!$C$44^2))*EXP(-(((Model_Data!A167)-Inputs!$C$42)^2)/(2*Inputs!$C$45^2))+Inputs!$C$48*(0.70*(0.45*SIN(2*PI()*(((Model_Data!A167)/Inputs!$C$49)+Inputs!$C$47*0.137))+0.35*COS(2*PI()*(((Inputs!$C$6)/Inputs!$C$50)+Inputs!$C$47*0.173))+0.20*SIN(2*PI()*(((Model_Data!A167)+(Inputs!$C$6))/(0.5*(Inputs!$C$49+Inputs!$C$50))+Inputs!$C$47*0.097)))+0.30*(2*((SIN(((Model_Data!A167)*12.9898+(Inputs!$C$6)*78.233+Inputs!$C$47*37.719))*43758.5453)-INT((SIN(((Model_Data!A167)*12.9898+(Inputs!$C$6)*78.233+Inputs!$C$47*37.719))*43758.5453)))-1))))/1000)^2)</x:f>
        <x:v>401.5311407357437</x:v>
      </x:c>
      <x:c r="AB167" s="48" t="n">
        <x:f>1000*(AA168-AA166)/(Z168-Z166)*Inputs!$C$11</x:f>
        <x:v>461.905223584381</x:v>
      </x:c>
      <x:c r="AC167" s="48" t="n">
        <x:f>-2*AB167/Inputs!$C$13</x:f>
        <x:v>-184.7620894337524</x:v>
      </x:c>
      <x:c r="AD167" s="48" t="n">
        <x:f>-2*AB167/Inputs!$C$14</x:f>
        <x:v>-27.742055470533398</x:v>
      </x:c>
    </x:row>
    <x:row r="168">
      <x:c r="A168" s="48" t="n">
        <x:f>Model_Data!A168</x:f>
        <x:v>23</x:v>
      </x:c>
      <x:c r="B168" s="48" t="n">
        <x:f>Model_Data!F168</x:f>
        <x:v>807.7545679062877</x:v>
      </x:c>
      <x:c r="C168" s="48" t="n">
        <x:f>(((SQRT((Model_Data!A168)^2+Inputs!$C$6^2+((Model_Data!B168)-((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(0.45*SIN(2*PI()*(((Model_Data!A168)/Inputs!$C$49)+Inputs!$C$47*0.137))+0.35*COS(2*PI()*(((Inputs!$C$6)/Inputs!$C$50)+Inputs!$C$47*0.173))+0.20*SIN(2*PI()*(((Model_Data!A168)+(Inputs!$C$6))/(0.5*(Inputs!$C$49+Inputs!$C$50))+Inputs!$C$47*0.097)))+0.30*(2*((SIN(((Model_Data!A168)*12.9898+(Inputs!$C$6)*78.233+Inputs!$C$47*37.719))*43758.5453)-INT((SIN(((Model_Data!A168)*12.9898+(Inputs!$C$6)*78.233+Inputs!$C$47*37.719))*43758.5453)))-1))))/1000)^2))-(((Model_Data!B168)-((Inputs!$C$51*(115*EXP(-(((0)-25)^2)/(4.5^2))+70*EXP(-(((0)+38)^2)/(7^2))*(0.55+0.45*SIN(2*PI()*(Model_Data!A168)/45))+24*SIN(2*PI()*(0)/9+(Model_Data!A168)/18)*EXP(-(((0)+5)^2)/(22^2))+18*SIN(2*PI()*(Model_Data!A168)/70))+Inputs!$C$28*EXP(-(((Model_Data!A168)-Inputs!$C$29)^2)/(2*Inputs!$C$31^2))*EXP(-(((0)-Inputs!$C$30)^2)/(2*Inputs!$C$32^2))+-Inputs!$C$33*EXP(-(((((Model_Data!A168)-Inputs!$C$34)^2)+(((0)-Inputs!$C$35)^2))/(2*Inputs!$C$36^2)))+Inputs!$C$37*(0.55*SIN(2*PI()*(Model_Data!A168)/Inputs!$C$39)+0.35*COS(2*PI()*(0)/Inputs!$C$40)+0.2*SIN(2*PI()*((Model_Data!A168)+(0))/(0.5*(Inputs!$C$39+Inputs!$C$40))))+Inputs!$C$38*SIN(2*PI()*(Model_Data!A168)/Inputs!$C$39)*SIN(2*PI()*(0)/Inputs!$C$40)+-Inputs!$C$41*EXP(-(((0)-Inputs!$C$43)^2)/(2*Inputs!$C$44^2))*EXP(-(((Model_Data!A168)-Inputs!$C$42)^2)/(2*Inputs!$C$45^2))+Inputs!$C$48*(0.70*(0.45*SIN(2*PI()*(((Model_Data!A168)/Inputs!$C$49)+Inputs!$C$47*0.137))+0.35*COS(2*PI()*(((0)/Inputs!$C$50)+Inputs!$C$47*0.173))+0.20*SIN(2*PI()*(((Model_Data!A168)+(0))/(0.5*(Inputs!$C$49+Inputs!$C$50))+Inputs!$C$47*0.097)))+0.30*(2*((SIN(((Model_Data!A168)*12.9898+(0)*78.233+Inputs!$C$47*37.719))*43758.5453)-INT((SIN(((Model_Data!A168)*12.9898+(0)*78.233+Inputs!$C$47*37.719))*43758.5453)))-1))))/1000)))*1000/Inputs!$C$12)</x:f>
        <x:v>597.2046964449753</x:v>
      </x:c>
      <x:c r="D168" s="49"/>
      <x:c r="E168" s="48" t="n">
        <x:f>Model_Data!A168</x:f>
        <x:v>23</x:v>
      </x:c>
      <x:c r="F168" s="48" t="n">
        <x:f>(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(0.45*SIN(2*PI()*(((Model_Data!A168)/Inputs!$C$49)+Inputs!$C$47*0.137))+0.35*COS(2*PI()*(((Inputs!$C$6)/Inputs!$C$50)+Inputs!$C$47*0.173))+0.20*SIN(2*PI()*(((Model_Data!A168)+(Inputs!$C$6))/(0.5*(Inputs!$C$49+Inputs!$C$50))+Inputs!$C$47*0.097)))+0.30*(2*((SIN(((Model_Data!A168)*12.9898+(Inputs!$C$6)*78.233+Inputs!$C$47*37.719))*43758.5453)-INT((SIN(((Model_Data!A168)*12.9898+(Inputs!$C$6)*78.233+Inputs!$C$47*37.719))*43758.5453)))-1)))</x:f>
        <x:v>438.1289491107309</x:v>
      </x:c>
      <x:c r="G168" s="48" t="n">
        <x:f>(Inputs!$C$51*(115*EXP(-(((0)-25)^2)/(4.5^2))+70*EXP(-(((0)+38)^2)/(7^2))*(0.55+0.45*SIN(2*PI()*(Model_Data!A168)/45))+24*SIN(2*PI()*(0)/9+(Model_Data!A168)/18)*EXP(-(((0)+5)^2)/(22^2))+18*SIN(2*PI()*(Model_Data!A168)/70))+Inputs!$C$28*EXP(-(((Model_Data!A168)-Inputs!$C$29)^2)/(2*Inputs!$C$31^2))*EXP(-(((0)-Inputs!$C$30)^2)/(2*Inputs!$C$32^2))+-Inputs!$C$33*EXP(-(((((Model_Data!A168)-Inputs!$C$34)^2)+(((0)-Inputs!$C$35)^2))/(2*Inputs!$C$36^2)))+Inputs!$C$37*(0.55*SIN(2*PI()*(Model_Data!A168)/Inputs!$C$39)+0.35*COS(2*PI()*(0)/Inputs!$C$40)+0.2*SIN(2*PI()*((Model_Data!A168)+(0))/(0.5*(Inputs!$C$39+Inputs!$C$40))))+Inputs!$C$38*SIN(2*PI()*(Model_Data!A168)/Inputs!$C$39)*SIN(2*PI()*(0)/Inputs!$C$40)+-Inputs!$C$41*EXP(-(((0)-Inputs!$C$43)^2)/(2*Inputs!$C$44^2))*EXP(-(((Model_Data!A168)-Inputs!$C$42)^2)/(2*Inputs!$C$45^2))+Inputs!$C$48*(0.70*(0.45*SIN(2*PI()*(((Model_Data!A168)/Inputs!$C$49)+Inputs!$C$47*0.137))+0.35*COS(2*PI()*(((0)/Inputs!$C$50)+Inputs!$C$47*0.173))+0.20*SIN(2*PI()*(((Model_Data!A168)+(0))/(0.5*(Inputs!$C$49+Inputs!$C$50))+Inputs!$C$47*0.097)))+0.30*(2*((SIN(((Model_Data!A168)*12.9898+(0)*78.233+Inputs!$C$47*37.719))*43758.5453)-INT((SIN(((Model_Data!A168)*12.9898+(0)*78.233+Inputs!$C$47*37.719))*43758.5453)))-1)))</x:f>
        <x:v>61.781548358505674</x:v>
      </x:c>
      <x:c r="H168" s="49"/>
      <x:c r="I168" s="48" t="n">
        <x:f>Model_Data!A168</x:f>
        <x:v>23</x:v>
      </x:c>
      <x:c r="J168" s="48" t="n">
        <x:f>((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(0.45*SIN(2*PI()*(((Model_Data!A168)/Inputs!$C$49)+Inputs!$C$47*0.137))+0.35*COS(2*PI()*(((Inputs!$C$6)/Inputs!$C$50)+Inputs!$C$47*0.173))+0.20*SIN(2*PI()*(((Model_Data!A168)+(Inputs!$C$6))/(0.5*(Inputs!$C$49+Inputs!$C$50))+Inputs!$C$47*0.097)))+0.30*(2*((SIN(((Model_Data!A168)*12.9898+(Inputs!$C$6)*78.233+Inputs!$C$47*37.719))*43758.5453)-INT((SIN(((Model_Data!A168)*12.9898+(Inputs!$C$6)*78.233+Inputs!$C$47*37.719))*43758.5453)))-1))))-((Inputs!$C$51*(115*EXP(-(((0)-25)^2)/(4.5^2))+70*EXP(-(((0)+38)^2)/(7^2))*(0.55+0.45*SIN(2*PI()*(Model_Data!A168)/45))+24*SIN(2*PI()*(0)/9+(Model_Data!A168)/18)*EXP(-(((0)+5)^2)/(22^2))+18*SIN(2*PI()*(Model_Data!A168)/70))+Inputs!$C$28*EXP(-(((Model_Data!A168)-Inputs!$C$29)^2)/(2*Inputs!$C$31^2))*EXP(-(((0)-Inputs!$C$30)^2)/(2*Inputs!$C$32^2))+-Inputs!$C$33*EXP(-(((((Model_Data!A168)-Inputs!$C$34)^2)+(((0)-Inputs!$C$35)^2))/(2*Inputs!$C$36^2)))+Inputs!$C$37*(0.55*SIN(2*PI()*(Model_Data!A168)/Inputs!$C$39)+0.35*COS(2*PI()*(0)/Inputs!$C$40)+0.2*SIN(2*PI()*((Model_Data!A168)+(0))/(0.5*(Inputs!$C$39+Inputs!$C$40))))+Inputs!$C$38*SIN(2*PI()*(Model_Data!A168)/Inputs!$C$39)*SIN(2*PI()*(0)/Inputs!$C$40)+-Inputs!$C$41*EXP(-(((0)-Inputs!$C$43)^2)/(2*Inputs!$C$44^2))*EXP(-(((Model_Data!A168)-Inputs!$C$42)^2)/(2*Inputs!$C$45^2))+Inputs!$C$48*(0.70*(0.45*SIN(2*PI()*(((Model_Data!A168)/Inputs!$C$49)+Inputs!$C$47*0.137))+0.35*COS(2*PI()*(((0)/Inputs!$C$50)+Inputs!$C$47*0.173))+0.20*SIN(2*PI()*(((Model_Data!A168)+(0))/(0.5*(Inputs!$C$49+Inputs!$C$50))+Inputs!$C$47*0.097)))+0.30*(2*((SIN(((Model_Data!A168)*12.9898+(0)*78.233+Inputs!$C$47*37.719))*43758.5453)-INT((SIN(((Model_Data!A168)*12.9898+(0)*78.233+Inputs!$C$47*37.719))*43758.5453)))-1))))</x:f>
        <x:v>376.3474007522252</x:v>
      </x:c>
      <x:c r="K168" s="48" t="n">
        <x:f>-((((SQRT((Model_Data!A168)^2+Inputs!$C$6^2+((Model_Data!B168)-((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(0.45*SIN(2*PI()*(((Model_Data!A168)/Inputs!$C$49)+Inputs!$C$47*0.137))+0.35*COS(2*PI()*(((Inputs!$C$6)/Inputs!$C$50)+Inputs!$C$47*0.173))+0.20*SIN(2*PI()*(((Model_Data!A168)+(Inputs!$C$6))/(0.5*(Inputs!$C$49+Inputs!$C$50))+Inputs!$C$47*0.097)))+0.30*(2*((SIN(((Model_Data!A168)*12.9898+(Inputs!$C$6)*78.233+Inputs!$C$47*37.719))*43758.5453)-INT((SIN(((Model_Data!A168)*12.9898+(Inputs!$C$6)*78.233+Inputs!$C$47*37.719))*43758.5453)))-1))))/1000)^2))-(((Model_Data!B168)-((Inputs!$C$51*(115*EXP(-(((0)-25)^2)/(4.5^2))+70*EXP(-(((0)+38)^2)/(7^2))*(0.55+0.45*SIN(2*PI()*(Model_Data!A168)/45))+24*SIN(2*PI()*(0)/9+(Model_Data!A168)/18)*EXP(-(((0)+5)^2)/(22^2))+18*SIN(2*PI()*(Model_Data!A168)/70))+Inputs!$C$28*EXP(-(((Model_Data!A168)-Inputs!$C$29)^2)/(2*Inputs!$C$31^2))*EXP(-(((0)-Inputs!$C$30)^2)/(2*Inputs!$C$32^2))+-Inputs!$C$33*EXP(-(((((Model_Data!A168)-Inputs!$C$34)^2)+(((0)-Inputs!$C$35)^2))/(2*Inputs!$C$36^2)))+Inputs!$C$37*(0.55*SIN(2*PI()*(Model_Data!A168)/Inputs!$C$39)+0.35*COS(2*PI()*(0)/Inputs!$C$40)+0.2*SIN(2*PI()*((Model_Data!A168)+(0))/(0.5*(Inputs!$C$39+Inputs!$C$40))))+Inputs!$C$38*SIN(2*PI()*(Model_Data!A168)/Inputs!$C$39)*SIN(2*PI()*(0)/Inputs!$C$40)+-Inputs!$C$41*EXP(-(((0)-Inputs!$C$43)^2)/(2*Inputs!$C$44^2))*EXP(-(((Model_Data!A168)-Inputs!$C$42)^2)/(2*Inputs!$C$45^2))+Inputs!$C$48*(0.70*(0.45*SIN(2*PI()*(((Model_Data!A168)/Inputs!$C$49)+Inputs!$C$47*0.137))+0.35*COS(2*PI()*(((0)/Inputs!$C$50)+Inputs!$C$47*0.173))+0.20*SIN(2*PI()*(((Model_Data!A168)+(0))/(0.5*(Inputs!$C$49+Inputs!$C$50))+Inputs!$C$47*0.097)))+0.30*(2*((SIN(((Model_Data!A168)*12.9898+(0)*78.233+Inputs!$C$47*37.719))*43758.5453)-INT((SIN(((Model_Data!A168)*12.9898+(0)*78.233+Inputs!$C$47*37.719))*43758.5453)))-1))))/1000)))*1000/Inputs!$C$12)-Model_Data!F168)</x:f>
        <x:v>210.54987146131236</x:v>
      </x:c>
      <x:c r="L168" s="49"/>
      <x:c r="M168" s="48" t="n">
        <x:f>Model_Data!A168</x:f>
        <x:v>23</x:v>
      </x:c>
      <x:c r="N168" s="48" t="n">
        <x:f>Model_Data!P168</x:f>
        <x:v>-173.02177168524585</x:v>
      </x:c>
      <x:c r="O168" s="48" t="n">
        <x:f>AC168</x:f>
        <x:v>-191.12923968859832</x:v>
      </x:c>
      <x:c r="P168" s="48" t="n">
        <x:f>Model_Data!Q168</x:f>
        <x:v>-25.979244997784665</x:v>
      </x:c>
      <x:c r="Q168" s="48" t="n">
        <x:f>AD168</x:f>
        <x:v>-28.698084037327078</x:v>
      </x:c>
      <x:c r="R168" s="49"/>
      <x:c r="S168" s="48" t="n">
        <x:f>Model_Data!A168</x:f>
        <x:v>23</x:v>
      </x:c>
      <x:c r="T168" s="48" t="n">
        <x:f>Model_Data!B168-Inputs!$C$5</x:f>
        <x:v>0.5877777777777737</x:v>
      </x:c>
      <x:c r="U168" s="49"/>
      <x:c r="V168" s="48" t="n">
        <x:f>Model_Data!A168</x:f>
        <x:v>23</x:v>
      </x:c>
      <x:c r="W168" s="48" t="n">
        <x:f>(-((((SQRT((Model_Data!A168)^2+Inputs!$C$6^2+((Model_Data!B168)-((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(0.45*SIN(2*PI()*(((Model_Data!A168)/Inputs!$C$49)+Inputs!$C$47*0.137))+0.35*COS(2*PI()*(((Inputs!$C$6)/Inputs!$C$50)+Inputs!$C$47*0.173))+0.20*SIN(2*PI()*(((Model_Data!A168)+(Inputs!$C$6))/(0.5*(Inputs!$C$49+Inputs!$C$50))+Inputs!$C$47*0.097)))+0.30*(2*((SIN(((Model_Data!A168)*12.9898+(Inputs!$C$6)*78.233+Inputs!$C$47*37.719))*43758.5453)-INT((SIN(((Model_Data!A168)*12.9898+(Inputs!$C$6)*78.233+Inputs!$C$47*37.719))*43758.5453)))-1))))/1000)^2))-(((Model_Data!B168)-((Inputs!$C$51*(115*EXP(-(((0)-25)^2)/(4.5^2))+70*EXP(-(((0)+38)^2)/(7^2))*(0.55+0.45*SIN(2*PI()*(Model_Data!A168)/45))+24*SIN(2*PI()*(0)/9+(Model_Data!A168)/18)*EXP(-(((0)+5)^2)/(22^2))+18*SIN(2*PI()*(Model_Data!A168)/70))+Inputs!$C$28*EXP(-(((Model_Data!A168)-Inputs!$C$29)^2)/(2*Inputs!$C$31^2))*EXP(-(((0)-Inputs!$C$30)^2)/(2*Inputs!$C$32^2))+-Inputs!$C$33*EXP(-(((((Model_Data!A168)-Inputs!$C$34)^2)+(((0)-Inputs!$C$35)^2))/(2*Inputs!$C$36^2)))+Inputs!$C$37*(0.55*SIN(2*PI()*(Model_Data!A168)/Inputs!$C$39)+0.35*COS(2*PI()*(0)/Inputs!$C$40)+0.2*SIN(2*PI()*((Model_Data!A168)+(0))/(0.5*(Inputs!$C$39+Inputs!$C$40))))+Inputs!$C$38*SIN(2*PI()*(Model_Data!A168)/Inputs!$C$39)*SIN(2*PI()*(0)/Inputs!$C$40)+-Inputs!$C$41*EXP(-(((0)-Inputs!$C$43)^2)/(2*Inputs!$C$44^2))*EXP(-(((Model_Data!A168)-Inputs!$C$42)^2)/(2*Inputs!$C$45^2))+Inputs!$C$48*(0.70*(0.45*SIN(2*PI()*(((Model_Data!A168)/Inputs!$C$49)+Inputs!$C$47*0.137))+0.35*COS(2*PI()*(((0)/Inputs!$C$50)+Inputs!$C$47*0.173))+0.20*SIN(2*PI()*(((Model_Data!A168)+(0))/(0.5*(Inputs!$C$49+Inputs!$C$50))+Inputs!$C$47*0.097)))+0.30*(2*((SIN(((Model_Data!A168)*12.9898+(0)*78.233+Inputs!$C$47*37.719))*43758.5453)-INT((SIN(((Model_Data!A168)*12.9898+(0)*78.233+Inputs!$C$47*37.719))*43758.5453)))-1))))/1000)))*1000/Inputs!$C$12)-Model_Data!F168))-(-(((SQRT((Model_Data!A168)^2+Inputs!$C$6^2+(Inputs!$C$5-((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(0.45*SIN(2*PI()*(((Model_Data!A168)/Inputs!$C$49)+Inputs!$C$47*0.137))+0.35*COS(2*PI()*(((Inputs!$C$6)/Inputs!$C$50)+Inputs!$C$47*0.173))+0.20*SIN(2*PI()*(((Model_Data!A168)+(Inputs!$C$6))/(0.5*(Inputs!$C$49+Inputs!$C$50))+Inputs!$C$47*0.097)))+0.30*(2*((SIN(((Model_Data!A168)*12.9898+(Inputs!$C$6)*78.233+Inputs!$C$47*37.719))*43758.5453)-INT((SIN(((Model_Data!A168)*12.9898+(Inputs!$C$6)*78.233+Inputs!$C$47*37.719))*43758.5453)))-1))))/1000)^2)-(Inputs!$C$5-((Inputs!$C$51*(115*EXP(-(((0)-25)^2)/(4.5^2))+70*EXP(-(((0)+38)^2)/(7^2))*(0.55+0.45*SIN(2*PI()*(Model_Data!A168)/45))+24*SIN(2*PI()*(0)/9+(Model_Data!A168)/18)*EXP(-(((0)+5)^2)/(22^2))+18*SIN(2*PI()*(Model_Data!A168)/70))+Inputs!$C$28*EXP(-(((Model_Data!A168)-Inputs!$C$29)^2)/(2*Inputs!$C$31^2))*EXP(-(((0)-Inputs!$C$30)^2)/(2*Inputs!$C$32^2))+-Inputs!$C$33*EXP(-(((((Model_Data!A168)-Inputs!$C$34)^2)+(((0)-Inputs!$C$35)^2))/(2*Inputs!$C$36^2)))+Inputs!$C$37*(0.55*SIN(2*PI()*(Model_Data!A168)/Inputs!$C$39)+0.35*COS(2*PI()*(0)/Inputs!$C$40)+0.2*SIN(2*PI()*((Model_Data!A168)+(0))/(0.5*(Inputs!$C$39+Inputs!$C$40))))+Inputs!$C$38*SIN(2*PI()*(Model_Data!A168)/Inputs!$C$39)*SIN(2*PI()*(0)/Inputs!$C$40)+-Inputs!$C$41*EXP(-(((0)-Inputs!$C$43)^2)/(2*Inputs!$C$44^2))*EXP(-(((Model_Data!A168)-Inputs!$C$42)^2)/(2*Inputs!$C$45^2))+Inputs!$C$48*(0.70*(0.45*SIN(2*PI()*(((Model_Data!A168)/Inputs!$C$49)+Inputs!$C$47*0.137))+0.35*COS(2*PI()*(((0)/Inputs!$C$50)+Inputs!$C$47*0.173))+0.20*SIN(2*PI()*(((Model_Data!A168)+(0))/(0.5*(Inputs!$C$49+Inputs!$C$50))+Inputs!$C$47*0.097)))+0.30*(2*((SIN(((Model_Data!A168)*12.9898+(0)*78.233+Inputs!$C$47*37.719))*43758.5453)-INT((SIN(((Model_Data!A168)*12.9898+(0)*78.233+Inputs!$C$47*37.719))*43758.5453)))-1))))/1000))*1000/Inputs!$C$12)-((SQRT((Model_Data!A168)^2+Inputs!$C$6^2+Inputs!$C$5^2)-Inputs!$C$5)*1000/Inputs!$C$12)))</x:f>
        <x:v>0.0025792773481043696</x:v>
      </x:c>
      <x:c r="X168" s="48" t="n">
        <x:f>0</x:f>
        <x:v>0</x:v>
      </x:c>
      <x:c r="Y168" s="49"/>
      <x:c r="Z168" s="48" t="n">
        <x:f>Model_Data!A168</x:f>
        <x:v>23</x:v>
      </x:c>
      <x:c r="AA168" s="48" t="n">
        <x:f>SQRT((Model_Data!A168)^2+Inputs!$C$6^2+((Model_Data!B168)-((Inputs!$C$51*(115*EXP(-(((Inputs!$C$6)-25)^2)/(4.5^2))+70*EXP(-(((Inputs!$C$6)+38)^2)/(7^2))*(0.55+0.45*SIN(2*PI()*(Model_Data!A168)/45))+24*SIN(2*PI()*(Inputs!$C$6)/9+(Model_Data!A168)/18)*EXP(-(((Inputs!$C$6)+5)^2)/(22^2))+18*SIN(2*PI()*(Model_Data!A168)/70))+Inputs!$C$28*EXP(-(((Model_Data!A168)-Inputs!$C$29)^2)/(2*Inputs!$C$31^2))*EXP(-(((Inputs!$C$6)-Inputs!$C$30)^2)/(2*Inputs!$C$32^2))+-Inputs!$C$33*EXP(-(((((Model_Data!A168)-Inputs!$C$34)^2)+(((Inputs!$C$6)-Inputs!$C$35)^2))/(2*Inputs!$C$36^2)))+Inputs!$C$37*(0.55*SIN(2*PI()*(Model_Data!A168)/Inputs!$C$39)+0.35*COS(2*PI()*(Inputs!$C$6)/Inputs!$C$40)+0.2*SIN(2*PI()*((Model_Data!A168)+(Inputs!$C$6))/(0.5*(Inputs!$C$39+Inputs!$C$40))))+Inputs!$C$38*SIN(2*PI()*(Model_Data!A168)/Inputs!$C$39)*SIN(2*PI()*(Inputs!$C$6)/Inputs!$C$40)+-Inputs!$C$41*EXP(-(((Inputs!$C$6)-Inputs!$C$43)^2)/(2*Inputs!$C$44^2))*EXP(-(((Model_Data!A168)-Inputs!$C$42)^2)/(2*Inputs!$C$45^2))+Inputs!$C$48*(0.70*(0.45*SIN(2*PI()*(((Model_Data!A168)/Inputs!$C$49)+Inputs!$C$47*0.137))+0.35*COS(2*PI()*(((Inputs!$C$6)/Inputs!$C$50)+Inputs!$C$47*0.173))+0.20*SIN(2*PI()*(((Model_Data!A168)+(Inputs!$C$6))/(0.5*(Inputs!$C$49+Inputs!$C$50))+Inputs!$C$47*0.097)))+0.30*(2*((SIN(((Model_Data!A168)*12.9898+(Inputs!$C$6)*78.233+Inputs!$C$47*37.719))*43758.5453)-INT((SIN(((Model_Data!A168)*12.9898+(Inputs!$C$6)*78.233+Inputs!$C$47*37.719))*43758.5453)))-1))))/1000)^2)</x:f>
        <x:v>401.5890205890913</x:v>
      </x:c>
      <x:c r="AB168" s="48" t="n">
        <x:f>1000*(AA169-AA167)/(Z169-Z167)*Inputs!$C$11</x:f>
        <x:v>477.8230992214958</x:v>
      </x:c>
      <x:c r="AC168" s="48" t="n">
        <x:f>-2*AB168/Inputs!$C$13</x:f>
        <x:v>-191.12923968859832</x:v>
      </x:c>
      <x:c r="AD168" s="48" t="n">
        <x:f>-2*AB168/Inputs!$C$14</x:f>
        <x:v>-28.698084037327078</x:v>
      </x:c>
    </x:row>
    <x:row r="169">
      <x:c r="A169" s="48" t="n">
        <x:f>Model_Data!A169</x:f>
        <x:v>23.5</x:v>
      </x:c>
      <x:c r="B169" s="48" t="n">
        <x:f>Model_Data!F169</x:f>
        <x:v>823.9460258329628</x:v>
      </x:c>
      <x:c r="C169" s="48" t="n">
        <x:f>(((SQRT((Model_Data!A169)^2+Inputs!$C$6^2+((Model_Data!B169)-((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(0.45*SIN(2*PI()*(((Model_Data!A169)/Inputs!$C$49)+Inputs!$C$47*0.137))+0.35*COS(2*PI()*(((Inputs!$C$6)/Inputs!$C$50)+Inputs!$C$47*0.173))+0.20*SIN(2*PI()*(((Model_Data!A169)+(Inputs!$C$6))/(0.5*(Inputs!$C$49+Inputs!$C$50))+Inputs!$C$47*0.097)))+0.30*(2*((SIN(((Model_Data!A169)*12.9898+(Inputs!$C$6)*78.233+Inputs!$C$47*37.719))*43758.5453)-INT((SIN(((Model_Data!A169)*12.9898+(Inputs!$C$6)*78.233+Inputs!$C$47*37.719))*43758.5453)))-1))))/1000)^2))-(((Model_Data!B169)-((Inputs!$C$51*(115*EXP(-(((0)-25)^2)/(4.5^2))+70*EXP(-(((0)+38)^2)/(7^2))*(0.55+0.45*SIN(2*PI()*(Model_Data!A169)/45))+24*SIN(2*PI()*(0)/9+(Model_Data!A169)/18)*EXP(-(((0)+5)^2)/(22^2))+18*SIN(2*PI()*(Model_Data!A169)/70))+Inputs!$C$28*EXP(-(((Model_Data!A169)-Inputs!$C$29)^2)/(2*Inputs!$C$31^2))*EXP(-(((0)-Inputs!$C$30)^2)/(2*Inputs!$C$32^2))+-Inputs!$C$33*EXP(-(((((Model_Data!A169)-Inputs!$C$34)^2)+(((0)-Inputs!$C$35)^2))/(2*Inputs!$C$36^2)))+Inputs!$C$37*(0.55*SIN(2*PI()*(Model_Data!A169)/Inputs!$C$39)+0.35*COS(2*PI()*(0)/Inputs!$C$40)+0.2*SIN(2*PI()*((Model_Data!A169)+(0))/(0.5*(Inputs!$C$39+Inputs!$C$40))))+Inputs!$C$38*SIN(2*PI()*(Model_Data!A169)/Inputs!$C$39)*SIN(2*PI()*(0)/Inputs!$C$40)+-Inputs!$C$41*EXP(-(((0)-Inputs!$C$43)^2)/(2*Inputs!$C$44^2))*EXP(-(((Model_Data!A169)-Inputs!$C$42)^2)/(2*Inputs!$C$45^2))+Inputs!$C$48*(0.70*(0.45*SIN(2*PI()*(((Model_Data!A169)/Inputs!$C$49)+Inputs!$C$47*0.137))+0.35*COS(2*PI()*(((0)/Inputs!$C$50)+Inputs!$C$47*0.173))+0.20*SIN(2*PI()*(((Model_Data!A169)+(0))/(0.5*(Inputs!$C$49+Inputs!$C$50))+Inputs!$C$47*0.097)))+0.30*(2*((SIN(((Model_Data!A169)*12.9898+(0)*78.233+Inputs!$C$47*37.719))*43758.5453)-INT((SIN(((Model_Data!A169)*12.9898+(0)*78.233+Inputs!$C$47*37.719))*43758.5453)))-1))))/1000)))*1000/Inputs!$C$12)</x:f>
        <x:v>622.4573417361736</x:v>
      </x:c>
      <x:c r="D169" s="49"/>
      <x:c r="E169" s="48" t="n">
        <x:f>Model_Data!A169</x:f>
        <x:v>23.5</x:v>
      </x:c>
      <x:c r="F169" s="48" t="n">
        <x:f>(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(0.45*SIN(2*PI()*(((Model_Data!A169)/Inputs!$C$49)+Inputs!$C$47*0.137))+0.35*COS(2*PI()*(((Inputs!$C$6)/Inputs!$C$50)+Inputs!$C$47*0.173))+0.20*SIN(2*PI()*(((Model_Data!A169)+(Inputs!$C$6))/(0.5*(Inputs!$C$49+Inputs!$C$50))+Inputs!$C$47*0.097)))+0.30*(2*((SIN(((Model_Data!A169)*12.9898+(Inputs!$C$6)*78.233+Inputs!$C$47*37.719))*43758.5453)-INT((SIN(((Model_Data!A169)*12.9898+(Inputs!$C$6)*78.233+Inputs!$C$47*37.719))*43758.5453)))-1)))</x:f>
        <x:v>431.2131008039683</x:v>
      </x:c>
      <x:c r="G169" s="48" t="n">
        <x:f>(Inputs!$C$51*(115*EXP(-(((0)-25)^2)/(4.5^2))+70*EXP(-(((0)+38)^2)/(7^2))*(0.55+0.45*SIN(2*PI()*(Model_Data!A169)/45))+24*SIN(2*PI()*(0)/9+(Model_Data!A169)/18)*EXP(-(((0)+5)^2)/(22^2))+18*SIN(2*PI()*(Model_Data!A169)/70))+Inputs!$C$28*EXP(-(((Model_Data!A169)-Inputs!$C$29)^2)/(2*Inputs!$C$31^2))*EXP(-(((0)-Inputs!$C$30)^2)/(2*Inputs!$C$32^2))+-Inputs!$C$33*EXP(-(((((Model_Data!A169)-Inputs!$C$34)^2)+(((0)-Inputs!$C$35)^2))/(2*Inputs!$C$36^2)))+Inputs!$C$37*(0.55*SIN(2*PI()*(Model_Data!A169)/Inputs!$C$39)+0.35*COS(2*PI()*(0)/Inputs!$C$40)+0.2*SIN(2*PI()*((Model_Data!A169)+(0))/(0.5*(Inputs!$C$39+Inputs!$C$40))))+Inputs!$C$38*SIN(2*PI()*(Model_Data!A169)/Inputs!$C$39)*SIN(2*PI()*(0)/Inputs!$C$40)+-Inputs!$C$41*EXP(-(((0)-Inputs!$C$43)^2)/(2*Inputs!$C$44^2))*EXP(-(((Model_Data!A169)-Inputs!$C$42)^2)/(2*Inputs!$C$45^2))+Inputs!$C$48*(0.70*(0.45*SIN(2*PI()*(((Model_Data!A169)/Inputs!$C$49)+Inputs!$C$47*0.137))+0.35*COS(2*PI()*(((0)/Inputs!$C$50)+Inputs!$C$47*0.173))+0.20*SIN(2*PI()*(((Model_Data!A169)+(0))/(0.5*(Inputs!$C$49+Inputs!$C$50))+Inputs!$C$47*0.097)))+0.30*(2*((SIN(((Model_Data!A169)*12.9898+(0)*78.233+Inputs!$C$47*37.719))*43758.5453)-INT((SIN(((Model_Data!A169)*12.9898+(0)*78.233+Inputs!$C$47*37.719))*43758.5453)))-1)))</x:f>
        <x:v>70.98866885242666</x:v>
      </x:c>
      <x:c r="H169" s="49"/>
      <x:c r="I169" s="48" t="n">
        <x:f>Model_Data!A169</x:f>
        <x:v>23.5</x:v>
      </x:c>
      <x:c r="J169" s="48" t="n">
        <x:f>((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(0.45*SIN(2*PI()*(((Model_Data!A169)/Inputs!$C$49)+Inputs!$C$47*0.137))+0.35*COS(2*PI()*(((Inputs!$C$6)/Inputs!$C$50)+Inputs!$C$47*0.173))+0.20*SIN(2*PI()*(((Model_Data!A169)+(Inputs!$C$6))/(0.5*(Inputs!$C$49+Inputs!$C$50))+Inputs!$C$47*0.097)))+0.30*(2*((SIN(((Model_Data!A169)*12.9898+(Inputs!$C$6)*78.233+Inputs!$C$47*37.719))*43758.5453)-INT((SIN(((Model_Data!A169)*12.9898+(Inputs!$C$6)*78.233+Inputs!$C$47*37.719))*43758.5453)))-1))))-((Inputs!$C$51*(115*EXP(-(((0)-25)^2)/(4.5^2))+70*EXP(-(((0)+38)^2)/(7^2))*(0.55+0.45*SIN(2*PI()*(Model_Data!A169)/45))+24*SIN(2*PI()*(0)/9+(Model_Data!A169)/18)*EXP(-(((0)+5)^2)/(22^2))+18*SIN(2*PI()*(Model_Data!A169)/70))+Inputs!$C$28*EXP(-(((Model_Data!A169)-Inputs!$C$29)^2)/(2*Inputs!$C$31^2))*EXP(-(((0)-Inputs!$C$30)^2)/(2*Inputs!$C$32^2))+-Inputs!$C$33*EXP(-(((((Model_Data!A169)-Inputs!$C$34)^2)+(((0)-Inputs!$C$35)^2))/(2*Inputs!$C$36^2)))+Inputs!$C$37*(0.55*SIN(2*PI()*(Model_Data!A169)/Inputs!$C$39)+0.35*COS(2*PI()*(0)/Inputs!$C$40)+0.2*SIN(2*PI()*((Model_Data!A169)+(0))/(0.5*(Inputs!$C$39+Inputs!$C$40))))+Inputs!$C$38*SIN(2*PI()*(Model_Data!A169)/Inputs!$C$39)*SIN(2*PI()*(0)/Inputs!$C$40)+-Inputs!$C$41*EXP(-(((0)-Inputs!$C$43)^2)/(2*Inputs!$C$44^2))*EXP(-(((Model_Data!A169)-Inputs!$C$42)^2)/(2*Inputs!$C$45^2))+Inputs!$C$48*(0.70*(0.45*SIN(2*PI()*(((Model_Data!A169)/Inputs!$C$49)+Inputs!$C$47*0.137))+0.35*COS(2*PI()*(((0)/Inputs!$C$50)+Inputs!$C$47*0.173))+0.20*SIN(2*PI()*(((Model_Data!A169)+(0))/(0.5*(Inputs!$C$49+Inputs!$C$50))+Inputs!$C$47*0.097)))+0.30*(2*((SIN(((Model_Data!A169)*12.9898+(0)*78.233+Inputs!$C$47*37.719))*43758.5453)-INT((SIN(((Model_Data!A169)*12.9898+(0)*78.233+Inputs!$C$47*37.719))*43758.5453)))-1))))</x:f>
        <x:v>360.22443195154165</x:v>
      </x:c>
      <x:c r="K169" s="48" t="n">
        <x:f>-((((SQRT((Model_Data!A169)^2+Inputs!$C$6^2+((Model_Data!B169)-((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(0.45*SIN(2*PI()*(((Model_Data!A169)/Inputs!$C$49)+Inputs!$C$47*0.137))+0.35*COS(2*PI()*(((Inputs!$C$6)/Inputs!$C$50)+Inputs!$C$47*0.173))+0.20*SIN(2*PI()*(((Model_Data!A169)+(Inputs!$C$6))/(0.5*(Inputs!$C$49+Inputs!$C$50))+Inputs!$C$47*0.097)))+0.30*(2*((SIN(((Model_Data!A169)*12.9898+(Inputs!$C$6)*78.233+Inputs!$C$47*37.719))*43758.5453)-INT((SIN(((Model_Data!A169)*12.9898+(Inputs!$C$6)*78.233+Inputs!$C$47*37.719))*43758.5453)))-1))))/1000)^2))-(((Model_Data!B169)-((Inputs!$C$51*(115*EXP(-(((0)-25)^2)/(4.5^2))+70*EXP(-(((0)+38)^2)/(7^2))*(0.55+0.45*SIN(2*PI()*(Model_Data!A169)/45))+24*SIN(2*PI()*(0)/9+(Model_Data!A169)/18)*EXP(-(((0)+5)^2)/(22^2))+18*SIN(2*PI()*(Model_Data!A169)/70))+Inputs!$C$28*EXP(-(((Model_Data!A169)-Inputs!$C$29)^2)/(2*Inputs!$C$31^2))*EXP(-(((0)-Inputs!$C$30)^2)/(2*Inputs!$C$32^2))+-Inputs!$C$33*EXP(-(((((Model_Data!A169)-Inputs!$C$34)^2)+(((0)-Inputs!$C$35)^2))/(2*Inputs!$C$36^2)))+Inputs!$C$37*(0.55*SIN(2*PI()*(Model_Data!A169)/Inputs!$C$39)+0.35*COS(2*PI()*(0)/Inputs!$C$40)+0.2*SIN(2*PI()*((Model_Data!A169)+(0))/(0.5*(Inputs!$C$39+Inputs!$C$40))))+Inputs!$C$38*SIN(2*PI()*(Model_Data!A169)/Inputs!$C$39)*SIN(2*PI()*(0)/Inputs!$C$40)+-Inputs!$C$41*EXP(-(((0)-Inputs!$C$43)^2)/(2*Inputs!$C$44^2))*EXP(-(((Model_Data!A169)-Inputs!$C$42)^2)/(2*Inputs!$C$45^2))+Inputs!$C$48*(0.70*(0.45*SIN(2*PI()*(((Model_Data!A169)/Inputs!$C$49)+Inputs!$C$47*0.137))+0.35*COS(2*PI()*(((0)/Inputs!$C$50)+Inputs!$C$47*0.173))+0.20*SIN(2*PI()*(((Model_Data!A169)+(0))/(0.5*(Inputs!$C$49+Inputs!$C$50))+Inputs!$C$47*0.097)))+0.30*(2*((SIN(((Model_Data!A169)*12.9898+(0)*78.233+Inputs!$C$47*37.719))*43758.5453)-INT((SIN(((Model_Data!A169)*12.9898+(0)*78.233+Inputs!$C$47*37.719))*43758.5453)))-1))))/1000)))*1000/Inputs!$C$12)-Model_Data!F169)</x:f>
        <x:v>201.48868409678926</x:v>
      </x:c>
      <x:c r="L169" s="49"/>
      <x:c r="M169" s="48" t="n">
        <x:f>Model_Data!A169</x:f>
        <x:v>23.5</x:v>
      </x:c>
      <x:c r="N169" s="48" t="n">
        <x:f>Model_Data!P169</x:f>
        <x:v>-176.76445307725538</x:v>
      </x:c>
      <x:c r="O169" s="48" t="n">
        <x:f>AC169</x:f>
        <x:v>-171.87022521720792</x:v>
      </x:c>
      <x:c r="P169" s="48" t="n">
        <x:f>Model_Data!Q169</x:f>
        <x:v>-26.54120917075907</x:v>
      </x:c>
      <x:c r="Q169" s="48" t="n">
        <x:f>AD169</x:f>
        <x:v>-25.806340122703894</x:v>
      </x:c>
      <x:c r="R169" s="49"/>
      <x:c r="S169" s="48" t="n">
        <x:f>Model_Data!A169</x:f>
        <x:v>23.5</x:v>
      </x:c>
      <x:c r="T169" s="48" t="n">
        <x:f>Model_Data!B169-Inputs!$C$5</x:f>
        <x:v>0.6136111111110836</x:v>
      </x:c>
      <x:c r="U169" s="49"/>
      <x:c r="V169" s="48" t="n">
        <x:f>Model_Data!A169</x:f>
        <x:v>23.5</x:v>
      </x:c>
      <x:c r="W169" s="48" t="n">
        <x:f>(-((((SQRT((Model_Data!A169)^2+Inputs!$C$6^2+((Model_Data!B169)-((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(0.45*SIN(2*PI()*(((Model_Data!A169)/Inputs!$C$49)+Inputs!$C$47*0.137))+0.35*COS(2*PI()*(((Inputs!$C$6)/Inputs!$C$50)+Inputs!$C$47*0.173))+0.20*SIN(2*PI()*(((Model_Data!A169)+(Inputs!$C$6))/(0.5*(Inputs!$C$49+Inputs!$C$50))+Inputs!$C$47*0.097)))+0.30*(2*((SIN(((Model_Data!A169)*12.9898+(Inputs!$C$6)*78.233+Inputs!$C$47*37.719))*43758.5453)-INT((SIN(((Model_Data!A169)*12.9898+(Inputs!$C$6)*78.233+Inputs!$C$47*37.719))*43758.5453)))-1))))/1000)^2))-(((Model_Data!B169)-((Inputs!$C$51*(115*EXP(-(((0)-25)^2)/(4.5^2))+70*EXP(-(((0)+38)^2)/(7^2))*(0.55+0.45*SIN(2*PI()*(Model_Data!A169)/45))+24*SIN(2*PI()*(0)/9+(Model_Data!A169)/18)*EXP(-(((0)+5)^2)/(22^2))+18*SIN(2*PI()*(Model_Data!A169)/70))+Inputs!$C$28*EXP(-(((Model_Data!A169)-Inputs!$C$29)^2)/(2*Inputs!$C$31^2))*EXP(-(((0)-Inputs!$C$30)^2)/(2*Inputs!$C$32^2))+-Inputs!$C$33*EXP(-(((((Model_Data!A169)-Inputs!$C$34)^2)+(((0)-Inputs!$C$35)^2))/(2*Inputs!$C$36^2)))+Inputs!$C$37*(0.55*SIN(2*PI()*(Model_Data!A169)/Inputs!$C$39)+0.35*COS(2*PI()*(0)/Inputs!$C$40)+0.2*SIN(2*PI()*((Model_Data!A169)+(0))/(0.5*(Inputs!$C$39+Inputs!$C$40))))+Inputs!$C$38*SIN(2*PI()*(Model_Data!A169)/Inputs!$C$39)*SIN(2*PI()*(0)/Inputs!$C$40)+-Inputs!$C$41*EXP(-(((0)-Inputs!$C$43)^2)/(2*Inputs!$C$44^2))*EXP(-(((Model_Data!A169)-Inputs!$C$42)^2)/(2*Inputs!$C$45^2))+Inputs!$C$48*(0.70*(0.45*SIN(2*PI()*(((Model_Data!A169)/Inputs!$C$49)+Inputs!$C$47*0.137))+0.35*COS(2*PI()*(((0)/Inputs!$C$50)+Inputs!$C$47*0.173))+0.20*SIN(2*PI()*(((Model_Data!A169)+(0))/(0.5*(Inputs!$C$49+Inputs!$C$50))+Inputs!$C$47*0.097)))+0.30*(2*((SIN(((Model_Data!A169)*12.9898+(0)*78.233+Inputs!$C$47*37.719))*43758.5453)-INT((SIN(((Model_Data!A169)*12.9898+(0)*78.233+Inputs!$C$47*37.719))*43758.5453)))-1))))/1000)))*1000/Inputs!$C$12)-Model_Data!F169))-(-(((SQRT((Model_Data!A169)^2+Inputs!$C$6^2+(Inputs!$C$5-((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(0.45*SIN(2*PI()*(((Model_Data!A169)/Inputs!$C$49)+Inputs!$C$47*0.137))+0.35*COS(2*PI()*(((Inputs!$C$6)/Inputs!$C$50)+Inputs!$C$47*0.173))+0.20*SIN(2*PI()*(((Model_Data!A169)+(Inputs!$C$6))/(0.5*(Inputs!$C$49+Inputs!$C$50))+Inputs!$C$47*0.097)))+0.30*(2*((SIN(((Model_Data!A169)*12.9898+(Inputs!$C$6)*78.233+Inputs!$C$47*37.719))*43758.5453)-INT((SIN(((Model_Data!A169)*12.9898+(Inputs!$C$6)*78.233+Inputs!$C$47*37.719))*43758.5453)))-1))))/1000)^2)-(Inputs!$C$5-((Inputs!$C$51*(115*EXP(-(((0)-25)^2)/(4.5^2))+70*EXP(-(((0)+38)^2)/(7^2))*(0.55+0.45*SIN(2*PI()*(Model_Data!A169)/45))+24*SIN(2*PI()*(0)/9+(Model_Data!A169)/18)*EXP(-(((0)+5)^2)/(22^2))+18*SIN(2*PI()*(Model_Data!A169)/70))+Inputs!$C$28*EXP(-(((Model_Data!A169)-Inputs!$C$29)^2)/(2*Inputs!$C$31^2))*EXP(-(((0)-Inputs!$C$30)^2)/(2*Inputs!$C$32^2))+-Inputs!$C$33*EXP(-(((((Model_Data!A169)-Inputs!$C$34)^2)+(((0)-Inputs!$C$35)^2))/(2*Inputs!$C$36^2)))+Inputs!$C$37*(0.55*SIN(2*PI()*(Model_Data!A169)/Inputs!$C$39)+0.35*COS(2*PI()*(0)/Inputs!$C$40)+0.2*SIN(2*PI()*((Model_Data!A169)+(0))/(0.5*(Inputs!$C$39+Inputs!$C$40))))+Inputs!$C$38*SIN(2*PI()*(Model_Data!A169)/Inputs!$C$39)*SIN(2*PI()*(0)/Inputs!$C$40)+-Inputs!$C$41*EXP(-(((0)-Inputs!$C$43)^2)/(2*Inputs!$C$44^2))*EXP(-(((Model_Data!A169)-Inputs!$C$42)^2)/(2*Inputs!$C$45^2))+Inputs!$C$48*(0.70*(0.45*SIN(2*PI()*(((Model_Data!A169)/Inputs!$C$49)+Inputs!$C$47*0.137))+0.35*COS(2*PI()*(((0)/Inputs!$C$50)+Inputs!$C$47*0.173))+0.20*SIN(2*PI()*(((Model_Data!A169)+(0))/(0.5*(Inputs!$C$49+Inputs!$C$50))+Inputs!$C$47*0.097)))+0.30*(2*((SIN(((Model_Data!A169)*12.9898+(0)*78.233+Inputs!$C$47*37.719))*43758.5453)-INT((SIN(((Model_Data!A169)*12.9898+(0)*78.233+Inputs!$C$47*37.719))*43758.5453)))-1))))/1000))*1000/Inputs!$C$12)-((SQRT((Model_Data!A169)^2+Inputs!$C$6^2+Inputs!$C$5^2)-Inputs!$C$5)*1000/Inputs!$C$12)))</x:f>
        <x:v>0.002702614729173547</x:v>
      </x:c>
      <x:c r="X169" s="48" t="n">
        <x:f>0</x:f>
        <x:v>0</x:v>
      </x:c>
      <x:c r="Y169" s="49"/>
      <x:c r="Z169" s="48" t="n">
        <x:f>Model_Data!A169</x:f>
        <x:v>23.5</x:v>
      </x:c>
      <x:c r="AA169" s="48" t="n">
        <x:f>SQRT((Model_Data!A169)^2+Inputs!$C$6^2+((Model_Data!B169)-((Inputs!$C$51*(115*EXP(-(((Inputs!$C$6)-25)^2)/(4.5^2))+70*EXP(-(((Inputs!$C$6)+38)^2)/(7^2))*(0.55+0.45*SIN(2*PI()*(Model_Data!A169)/45))+24*SIN(2*PI()*(Inputs!$C$6)/9+(Model_Data!A169)/18)*EXP(-(((Inputs!$C$6)+5)^2)/(22^2))+18*SIN(2*PI()*(Model_Data!A169)/70))+Inputs!$C$28*EXP(-(((Model_Data!A169)-Inputs!$C$29)^2)/(2*Inputs!$C$31^2))*EXP(-(((Inputs!$C$6)-Inputs!$C$30)^2)/(2*Inputs!$C$32^2))+-Inputs!$C$33*EXP(-(((((Model_Data!A169)-Inputs!$C$34)^2)+(((Inputs!$C$6)-Inputs!$C$35)^2))/(2*Inputs!$C$36^2)))+Inputs!$C$37*(0.55*SIN(2*PI()*(Model_Data!A169)/Inputs!$C$39)+0.35*COS(2*PI()*(Inputs!$C$6)/Inputs!$C$40)+0.2*SIN(2*PI()*((Model_Data!A169)+(Inputs!$C$6))/(0.5*(Inputs!$C$39+Inputs!$C$40))))+Inputs!$C$38*SIN(2*PI()*(Model_Data!A169)/Inputs!$C$39)*SIN(2*PI()*(Inputs!$C$6)/Inputs!$C$40)+-Inputs!$C$41*EXP(-(((Inputs!$C$6)-Inputs!$C$43)^2)/(2*Inputs!$C$44^2))*EXP(-(((Model_Data!A169)-Inputs!$C$42)^2)/(2*Inputs!$C$45^2))+Inputs!$C$48*(0.70*(0.45*SIN(2*PI()*(((Model_Data!A169)/Inputs!$C$49)+Inputs!$C$47*0.137))+0.35*COS(2*PI()*(((Inputs!$C$6)/Inputs!$C$50)+Inputs!$C$47*0.173))+0.20*SIN(2*PI()*(((Model_Data!A169)+(Inputs!$C$6))/(0.5*(Inputs!$C$49+Inputs!$C$50))+Inputs!$C$47*0.097)))+0.30*(2*((SIN(((Model_Data!A169)*12.9898+(Inputs!$C$6)*78.233+Inputs!$C$47*37.719))*43758.5453)-INT((SIN(((Model_Data!A169)*12.9898+(Inputs!$C$6)*78.233+Inputs!$C$47*37.719))*43758.5453)))-1))))/1000)^2)</x:f>
        <x:v>401.65059651054906</x:v>
      </x:c>
      <x:c r="AB169" s="48" t="n">
        <x:f>1000*(AA170-AA168)/(Z170-Z168)*Inputs!$C$11</x:f>
        <x:v>429.6755630430198</x:v>
      </x:c>
      <x:c r="AC169" s="48" t="n">
        <x:f>-2*AB169/Inputs!$C$13</x:f>
        <x:v>-171.87022521720792</x:v>
      </x:c>
      <x:c r="AD169" s="48" t="n">
        <x:f>-2*AB169/Inputs!$C$14</x:f>
        <x:v>-25.806340122703894</x:v>
      </x:c>
    </x:row>
    <x:row r="170">
      <x:c r="A170" s="48" t="n">
        <x:f>Model_Data!A170</x:f>
        <x:v>24</x:v>
      </x:c>
      <x:c r="B170" s="48" t="n">
        <x:f>Model_Data!F170</x:f>
        <x:v>840.482341149787</x:v>
      </x:c>
      <x:c r="C170" s="48" t="n">
        <x:f>(((SQRT((Model_Data!A170)^2+Inputs!$C$6^2+((Model_Data!B170)-((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(0.45*SIN(2*PI()*(((Model_Data!A170)/Inputs!$C$49)+Inputs!$C$47*0.137))+0.35*COS(2*PI()*(((Inputs!$C$6)/Inputs!$C$50)+Inputs!$C$47*0.173))+0.20*SIN(2*PI()*(((Model_Data!A170)+(Inputs!$C$6))/(0.5*(Inputs!$C$49+Inputs!$C$50))+Inputs!$C$47*0.097)))+0.30*(2*((SIN(((Model_Data!A170)*12.9898+(Inputs!$C$6)*78.233+Inputs!$C$47*37.719))*43758.5453)-INT((SIN(((Model_Data!A170)*12.9898+(Inputs!$C$6)*78.233+Inputs!$C$47*37.719))*43758.5453)))-1))))/1000)^2))-(((Model_Data!B170)-((Inputs!$C$51*(115*EXP(-(((0)-25)^2)/(4.5^2))+70*EXP(-(((0)+38)^2)/(7^2))*(0.55+0.45*SIN(2*PI()*(Model_Data!A170)/45))+24*SIN(2*PI()*(0)/9+(Model_Data!A170)/18)*EXP(-(((0)+5)^2)/(22^2))+18*SIN(2*PI()*(Model_Data!A170)/70))+Inputs!$C$28*EXP(-(((Model_Data!A170)-Inputs!$C$29)^2)/(2*Inputs!$C$31^2))*EXP(-(((0)-Inputs!$C$30)^2)/(2*Inputs!$C$32^2))+-Inputs!$C$33*EXP(-(((((Model_Data!A170)-Inputs!$C$34)^2)+(((0)-Inputs!$C$35)^2))/(2*Inputs!$C$36^2)))+Inputs!$C$37*(0.55*SIN(2*PI()*(Model_Data!A170)/Inputs!$C$39)+0.35*COS(2*PI()*(0)/Inputs!$C$40)+0.2*SIN(2*PI()*((Model_Data!A170)+(0))/(0.5*(Inputs!$C$39+Inputs!$C$40))))+Inputs!$C$38*SIN(2*PI()*(Model_Data!A170)/Inputs!$C$39)*SIN(2*PI()*(0)/Inputs!$C$40)+-Inputs!$C$41*EXP(-(((0)-Inputs!$C$43)^2)/(2*Inputs!$C$44^2))*EXP(-(((Model_Data!A170)-Inputs!$C$42)^2)/(2*Inputs!$C$45^2))+Inputs!$C$48*(0.70*(0.45*SIN(2*PI()*(((Model_Data!A170)/Inputs!$C$49)+Inputs!$C$47*0.137))+0.35*COS(2*PI()*(((0)/Inputs!$C$50)+Inputs!$C$47*0.173))+0.20*SIN(2*PI()*(((Model_Data!A170)+(0))/(0.5*(Inputs!$C$49+Inputs!$C$50))+Inputs!$C$47*0.097)))+0.30*(2*((SIN(((Model_Data!A170)*12.9898+(0)*78.233+Inputs!$C$47*37.719))*43758.5453)-INT((SIN(((Model_Data!A170)*12.9898+(0)*78.233+Inputs!$C$47*37.719))*43758.5453)))-1))))/1000)))*1000/Inputs!$C$12)</x:f>
        <x:v>635.9031629339628</x:v>
      </x:c>
      <x:c r="D170" s="49"/>
      <x:c r="E170" s="48" t="n">
        <x:f>Model_Data!A170</x:f>
        <x:v>24</x:v>
      </x:c>
      <x:c r="F170" s="48" t="n">
        <x:f>(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(0.45*SIN(2*PI()*(((Model_Data!A170)/Inputs!$C$49)+Inputs!$C$47*0.137))+0.35*COS(2*PI()*(((Inputs!$C$6)/Inputs!$C$50)+Inputs!$C$47*0.173))+0.20*SIN(2*PI()*(((Model_Data!A170)+(Inputs!$C$6))/(0.5*(Inputs!$C$49+Inputs!$C$50))+Inputs!$C$47*0.097)))+0.30*(2*((SIN(((Model_Data!A170)*12.9898+(Inputs!$C$6)*78.233+Inputs!$C$47*37.719))*43758.5453)-INT((SIN(((Model_Data!A170)*12.9898+(Inputs!$C$6)*78.233+Inputs!$C$47*37.719))*43758.5453)))-1)))</x:f>
        <x:v>441.2625072507224</x:v>
      </x:c>
      <x:c r="G170" s="48" t="n">
        <x:f>(Inputs!$C$51*(115*EXP(-(((0)-25)^2)/(4.5^2))+70*EXP(-(((0)+38)^2)/(7^2))*(0.55+0.45*SIN(2*PI()*(Model_Data!A170)/45))+24*SIN(2*PI()*(0)/9+(Model_Data!A170)/18)*EXP(-(((0)+5)^2)/(22^2))+18*SIN(2*PI()*(Model_Data!A170)/70))+Inputs!$C$28*EXP(-(((Model_Data!A170)-Inputs!$C$29)^2)/(2*Inputs!$C$31^2))*EXP(-(((0)-Inputs!$C$30)^2)/(2*Inputs!$C$32^2))+-Inputs!$C$33*EXP(-(((((Model_Data!A170)-Inputs!$C$34)^2)+(((0)-Inputs!$C$35)^2))/(2*Inputs!$C$36^2)))+Inputs!$C$37*(0.55*SIN(2*PI()*(Model_Data!A170)/Inputs!$C$39)+0.35*COS(2*PI()*(0)/Inputs!$C$40)+0.2*SIN(2*PI()*((Model_Data!A170)+(0))/(0.5*(Inputs!$C$39+Inputs!$C$40))))+Inputs!$C$38*SIN(2*PI()*(Model_Data!A170)/Inputs!$C$39)*SIN(2*PI()*(0)/Inputs!$C$40)+-Inputs!$C$41*EXP(-(((0)-Inputs!$C$43)^2)/(2*Inputs!$C$44^2))*EXP(-(((Model_Data!A170)-Inputs!$C$42)^2)/(2*Inputs!$C$45^2))+Inputs!$C$48*(0.70*(0.45*SIN(2*PI()*(((Model_Data!A170)/Inputs!$C$49)+Inputs!$C$47*0.137))+0.35*COS(2*PI()*(((0)/Inputs!$C$50)+Inputs!$C$47*0.173))+0.20*SIN(2*PI()*(((Model_Data!A170)+(0))/(0.5*(Inputs!$C$49+Inputs!$C$50))+Inputs!$C$47*0.097)))+0.30*(2*((SIN(((Model_Data!A170)*12.9898+(0)*78.233+Inputs!$C$47*37.719))*43758.5453)-INT((SIN(((Model_Data!A170)*12.9898+(0)*78.233+Inputs!$C$47*37.719))*43758.5453)))-1)))</x:f>
        <x:v>75.46815017037277</x:v>
      </x:c>
      <x:c r="H170" s="49"/>
      <x:c r="I170" s="48" t="n">
        <x:f>Model_Data!A170</x:f>
        <x:v>24</x:v>
      </x:c>
      <x:c r="J170" s="48" t="n">
        <x:f>((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(0.45*SIN(2*PI()*(((Model_Data!A170)/Inputs!$C$49)+Inputs!$C$47*0.137))+0.35*COS(2*PI()*(((Inputs!$C$6)/Inputs!$C$50)+Inputs!$C$47*0.173))+0.20*SIN(2*PI()*(((Model_Data!A170)+(Inputs!$C$6))/(0.5*(Inputs!$C$49+Inputs!$C$50))+Inputs!$C$47*0.097)))+0.30*(2*((SIN(((Model_Data!A170)*12.9898+(Inputs!$C$6)*78.233+Inputs!$C$47*37.719))*43758.5453)-INT((SIN(((Model_Data!A170)*12.9898+(Inputs!$C$6)*78.233+Inputs!$C$47*37.719))*43758.5453)))-1))))-((Inputs!$C$51*(115*EXP(-(((0)-25)^2)/(4.5^2))+70*EXP(-(((0)+38)^2)/(7^2))*(0.55+0.45*SIN(2*PI()*(Model_Data!A170)/45))+24*SIN(2*PI()*(0)/9+(Model_Data!A170)/18)*EXP(-(((0)+5)^2)/(22^2))+18*SIN(2*PI()*(Model_Data!A170)/70))+Inputs!$C$28*EXP(-(((Model_Data!A170)-Inputs!$C$29)^2)/(2*Inputs!$C$31^2))*EXP(-(((0)-Inputs!$C$30)^2)/(2*Inputs!$C$32^2))+-Inputs!$C$33*EXP(-(((((Model_Data!A170)-Inputs!$C$34)^2)+(((0)-Inputs!$C$35)^2))/(2*Inputs!$C$36^2)))+Inputs!$C$37*(0.55*SIN(2*PI()*(Model_Data!A170)/Inputs!$C$39)+0.35*COS(2*PI()*(0)/Inputs!$C$40)+0.2*SIN(2*PI()*((Model_Data!A170)+(0))/(0.5*(Inputs!$C$39+Inputs!$C$40))))+Inputs!$C$38*SIN(2*PI()*(Model_Data!A170)/Inputs!$C$39)*SIN(2*PI()*(0)/Inputs!$C$40)+-Inputs!$C$41*EXP(-(((0)-Inputs!$C$43)^2)/(2*Inputs!$C$44^2))*EXP(-(((Model_Data!A170)-Inputs!$C$42)^2)/(2*Inputs!$C$45^2))+Inputs!$C$48*(0.70*(0.45*SIN(2*PI()*(((Model_Data!A170)/Inputs!$C$49)+Inputs!$C$47*0.137))+0.35*COS(2*PI()*(((0)/Inputs!$C$50)+Inputs!$C$47*0.173))+0.20*SIN(2*PI()*(((Model_Data!A170)+(0))/(0.5*(Inputs!$C$49+Inputs!$C$50))+Inputs!$C$47*0.097)))+0.30*(2*((SIN(((Model_Data!A170)*12.9898+(0)*78.233+Inputs!$C$47*37.719))*43758.5453)-INT((SIN(((Model_Data!A170)*12.9898+(0)*78.233+Inputs!$C$47*37.719))*43758.5453)))-1))))</x:f>
        <x:v>365.79435708034964</x:v>
      </x:c>
      <x:c r="K170" s="48" t="n">
        <x:f>-((((SQRT((Model_Data!A170)^2+Inputs!$C$6^2+((Model_Data!B170)-((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(0.45*SIN(2*PI()*(((Model_Data!A170)/Inputs!$C$49)+Inputs!$C$47*0.137))+0.35*COS(2*PI()*(((Inputs!$C$6)/Inputs!$C$50)+Inputs!$C$47*0.173))+0.20*SIN(2*PI()*(((Model_Data!A170)+(Inputs!$C$6))/(0.5*(Inputs!$C$49+Inputs!$C$50))+Inputs!$C$47*0.097)))+0.30*(2*((SIN(((Model_Data!A170)*12.9898+(Inputs!$C$6)*78.233+Inputs!$C$47*37.719))*43758.5453)-INT((SIN(((Model_Data!A170)*12.9898+(Inputs!$C$6)*78.233+Inputs!$C$47*37.719))*43758.5453)))-1))))/1000)^2))-(((Model_Data!B170)-((Inputs!$C$51*(115*EXP(-(((0)-25)^2)/(4.5^2))+70*EXP(-(((0)+38)^2)/(7^2))*(0.55+0.45*SIN(2*PI()*(Model_Data!A170)/45))+24*SIN(2*PI()*(0)/9+(Model_Data!A170)/18)*EXP(-(((0)+5)^2)/(22^2))+18*SIN(2*PI()*(Model_Data!A170)/70))+Inputs!$C$28*EXP(-(((Model_Data!A170)-Inputs!$C$29)^2)/(2*Inputs!$C$31^2))*EXP(-(((0)-Inputs!$C$30)^2)/(2*Inputs!$C$32^2))+-Inputs!$C$33*EXP(-(((((Model_Data!A170)-Inputs!$C$34)^2)+(((0)-Inputs!$C$35)^2))/(2*Inputs!$C$36^2)))+Inputs!$C$37*(0.55*SIN(2*PI()*(Model_Data!A170)/Inputs!$C$39)+0.35*COS(2*PI()*(0)/Inputs!$C$40)+0.2*SIN(2*PI()*((Model_Data!A170)+(0))/(0.5*(Inputs!$C$39+Inputs!$C$40))))+Inputs!$C$38*SIN(2*PI()*(Model_Data!A170)/Inputs!$C$39)*SIN(2*PI()*(0)/Inputs!$C$40)+-Inputs!$C$41*EXP(-(((0)-Inputs!$C$43)^2)/(2*Inputs!$C$44^2))*EXP(-(((Model_Data!A170)-Inputs!$C$42)^2)/(2*Inputs!$C$45^2))+Inputs!$C$48*(0.70*(0.45*SIN(2*PI()*(((Model_Data!A170)/Inputs!$C$49)+Inputs!$C$47*0.137))+0.35*COS(2*PI()*(((0)/Inputs!$C$50)+Inputs!$C$47*0.173))+0.20*SIN(2*PI()*(((Model_Data!A170)+(0))/(0.5*(Inputs!$C$49+Inputs!$C$50))+Inputs!$C$47*0.097)))+0.30*(2*((SIN(((Model_Data!A170)*12.9898+(0)*78.233+Inputs!$C$47*37.719))*43758.5453)-INT((SIN(((Model_Data!A170)*12.9898+(0)*78.233+Inputs!$C$47*37.719))*43758.5453)))-1))))/1000)))*1000/Inputs!$C$12)-Model_Data!F170)</x:f>
        <x:v>204.5791782158242</x:v>
      </x:c>
      <x:c r="L170" s="49"/>
      <x:c r="M170" s="48" t="n">
        <x:f>Model_Data!A170</x:f>
        <x:v>24</x:v>
      </x:c>
      <x:c r="N170" s="48" t="n">
        <x:f>Model_Data!P170</x:f>
        <x:v>-180.5059385256004</x:v>
      </x:c>
      <x:c r="O170" s="48" t="n">
        <x:f>AC170</x:f>
        <x:v>-205.75299321362763</x:v>
      </x:c>
      <x:c r="P170" s="48" t="n">
        <x:f>Model_Data!Q170</x:f>
        <x:v>-27.102993772612678</x:v>
      </x:c>
      <x:c r="Q170" s="48" t="n">
        <x:f>AD170</x:f>
        <x:v>-30.893842824869015</x:v>
      </x:c>
      <x:c r="R170" s="49"/>
      <x:c r="S170" s="48" t="n">
        <x:f>Model_Data!A170</x:f>
        <x:v>24</x:v>
      </x:c>
      <x:c r="T170" s="48" t="n">
        <x:f>Model_Data!B170-Inputs!$C$5</x:f>
        <x:v>0.6399999999999864</x:v>
      </x:c>
      <x:c r="U170" s="49"/>
      <x:c r="V170" s="48" t="n">
        <x:f>Model_Data!A170</x:f>
        <x:v>24</x:v>
      </x:c>
      <x:c r="W170" s="48" t="n">
        <x:f>(-((((SQRT((Model_Data!A170)^2+Inputs!$C$6^2+((Model_Data!B170)-((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(0.45*SIN(2*PI()*(((Model_Data!A170)/Inputs!$C$49)+Inputs!$C$47*0.137))+0.35*COS(2*PI()*(((Inputs!$C$6)/Inputs!$C$50)+Inputs!$C$47*0.173))+0.20*SIN(2*PI()*(((Model_Data!A170)+(Inputs!$C$6))/(0.5*(Inputs!$C$49+Inputs!$C$50))+Inputs!$C$47*0.097)))+0.30*(2*((SIN(((Model_Data!A170)*12.9898+(Inputs!$C$6)*78.233+Inputs!$C$47*37.719))*43758.5453)-INT((SIN(((Model_Data!A170)*12.9898+(Inputs!$C$6)*78.233+Inputs!$C$47*37.719))*43758.5453)))-1))))/1000)^2))-(((Model_Data!B170)-((Inputs!$C$51*(115*EXP(-(((0)-25)^2)/(4.5^2))+70*EXP(-(((0)+38)^2)/(7^2))*(0.55+0.45*SIN(2*PI()*(Model_Data!A170)/45))+24*SIN(2*PI()*(0)/9+(Model_Data!A170)/18)*EXP(-(((0)+5)^2)/(22^2))+18*SIN(2*PI()*(Model_Data!A170)/70))+Inputs!$C$28*EXP(-(((Model_Data!A170)-Inputs!$C$29)^2)/(2*Inputs!$C$31^2))*EXP(-(((0)-Inputs!$C$30)^2)/(2*Inputs!$C$32^2))+-Inputs!$C$33*EXP(-(((((Model_Data!A170)-Inputs!$C$34)^2)+(((0)-Inputs!$C$35)^2))/(2*Inputs!$C$36^2)))+Inputs!$C$37*(0.55*SIN(2*PI()*(Model_Data!A170)/Inputs!$C$39)+0.35*COS(2*PI()*(0)/Inputs!$C$40)+0.2*SIN(2*PI()*((Model_Data!A170)+(0))/(0.5*(Inputs!$C$39+Inputs!$C$40))))+Inputs!$C$38*SIN(2*PI()*(Model_Data!A170)/Inputs!$C$39)*SIN(2*PI()*(0)/Inputs!$C$40)+-Inputs!$C$41*EXP(-(((0)-Inputs!$C$43)^2)/(2*Inputs!$C$44^2))*EXP(-(((Model_Data!A170)-Inputs!$C$42)^2)/(2*Inputs!$C$45^2))+Inputs!$C$48*(0.70*(0.45*SIN(2*PI()*(((Model_Data!A170)/Inputs!$C$49)+Inputs!$C$47*0.137))+0.35*COS(2*PI()*(((0)/Inputs!$C$50)+Inputs!$C$47*0.173))+0.20*SIN(2*PI()*(((Model_Data!A170)+(0))/(0.5*(Inputs!$C$49+Inputs!$C$50))+Inputs!$C$47*0.097)))+0.30*(2*((SIN(((Model_Data!A170)*12.9898+(0)*78.233+Inputs!$C$47*37.719))*43758.5453)-INT((SIN(((Model_Data!A170)*12.9898+(0)*78.233+Inputs!$C$47*37.719))*43758.5453)))-1))))/1000)))*1000/Inputs!$C$12)-Model_Data!F170))-(-(((SQRT((Model_Data!A170)^2+Inputs!$C$6^2+(Inputs!$C$5-((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(0.45*SIN(2*PI()*(((Model_Data!A170)/Inputs!$C$49)+Inputs!$C$47*0.137))+0.35*COS(2*PI()*(((Inputs!$C$6)/Inputs!$C$50)+Inputs!$C$47*0.173))+0.20*SIN(2*PI()*(((Model_Data!A170)+(Inputs!$C$6))/(0.5*(Inputs!$C$49+Inputs!$C$50))+Inputs!$C$47*0.097)))+0.30*(2*((SIN(((Model_Data!A170)*12.9898+(Inputs!$C$6)*78.233+Inputs!$C$47*37.719))*43758.5453)-INT((SIN(((Model_Data!A170)*12.9898+(Inputs!$C$6)*78.233+Inputs!$C$47*37.719))*43758.5453)))-1))))/1000)^2)-(Inputs!$C$5-((Inputs!$C$51*(115*EXP(-(((0)-25)^2)/(4.5^2))+70*EXP(-(((0)+38)^2)/(7^2))*(0.55+0.45*SIN(2*PI()*(Model_Data!A170)/45))+24*SIN(2*PI()*(0)/9+(Model_Data!A170)/18)*EXP(-(((0)+5)^2)/(22^2))+18*SIN(2*PI()*(Model_Data!A170)/70))+Inputs!$C$28*EXP(-(((Model_Data!A170)-Inputs!$C$29)^2)/(2*Inputs!$C$31^2))*EXP(-(((0)-Inputs!$C$30)^2)/(2*Inputs!$C$32^2))+-Inputs!$C$33*EXP(-(((((Model_Data!A170)-Inputs!$C$34)^2)+(((0)-Inputs!$C$35)^2))/(2*Inputs!$C$36^2)))+Inputs!$C$37*(0.55*SIN(2*PI()*(Model_Data!A170)/Inputs!$C$39)+0.35*COS(2*PI()*(0)/Inputs!$C$40)+0.2*SIN(2*PI()*((Model_Data!A170)+(0))/(0.5*(Inputs!$C$39+Inputs!$C$40))))+Inputs!$C$38*SIN(2*PI()*(Model_Data!A170)/Inputs!$C$39)*SIN(2*PI()*(0)/Inputs!$C$40)+-Inputs!$C$41*EXP(-(((0)-Inputs!$C$43)^2)/(2*Inputs!$C$44^2))*EXP(-(((Model_Data!A170)-Inputs!$C$42)^2)/(2*Inputs!$C$45^2))+Inputs!$C$48*(0.70*(0.45*SIN(2*PI()*(((Model_Data!A170)/Inputs!$C$49)+Inputs!$C$47*0.137))+0.35*COS(2*PI()*(((0)/Inputs!$C$50)+Inputs!$C$47*0.173))+0.20*SIN(2*PI()*(((Model_Data!A170)+(0))/(0.5*(Inputs!$C$49+Inputs!$C$50))+Inputs!$C$47*0.097)))+0.30*(2*((SIN(((Model_Data!A170)*12.9898+(0)*78.233+Inputs!$C$47*37.719))*43758.5453)-INT((SIN(((Model_Data!A170)*12.9898+(0)*78.233+Inputs!$C$47*37.719))*43758.5453)))-1))))/1000))*1000/Inputs!$C$12)-((SQRT((Model_Data!A170)^2+Inputs!$C$6^2+Inputs!$C$5^2)-Inputs!$C$5)*1000/Inputs!$C$12)))</x:f>
        <x:v>0.0029419006457374053</x:v>
      </x:c>
      <x:c r="X170" s="48" t="n">
        <x:f>0</x:f>
        <x:v>0</x:v>
      </x:c>
      <x:c r="Y170" s="49"/>
      <x:c r="Z170" s="48" t="n">
        <x:f>Model_Data!A170</x:f>
        <x:v>24</x:v>
      </x:c>
      <x:c r="AA170" s="48" t="n">
        <x:f>SQRT((Model_Data!A170)^2+Inputs!$C$6^2+((Model_Data!B170)-((Inputs!$C$51*(115*EXP(-(((Inputs!$C$6)-25)^2)/(4.5^2))+70*EXP(-(((Inputs!$C$6)+38)^2)/(7^2))*(0.55+0.45*SIN(2*PI()*(Model_Data!A170)/45))+24*SIN(2*PI()*(Inputs!$C$6)/9+(Model_Data!A170)/18)*EXP(-(((Inputs!$C$6)+5)^2)/(22^2))+18*SIN(2*PI()*(Model_Data!A170)/70))+Inputs!$C$28*EXP(-(((Model_Data!A170)-Inputs!$C$29)^2)/(2*Inputs!$C$31^2))*EXP(-(((Inputs!$C$6)-Inputs!$C$30)^2)/(2*Inputs!$C$32^2))+-Inputs!$C$33*EXP(-(((((Model_Data!A170)-Inputs!$C$34)^2)+(((Inputs!$C$6)-Inputs!$C$35)^2))/(2*Inputs!$C$36^2)))+Inputs!$C$37*(0.55*SIN(2*PI()*(Model_Data!A170)/Inputs!$C$39)+0.35*COS(2*PI()*(Inputs!$C$6)/Inputs!$C$40)+0.2*SIN(2*PI()*((Model_Data!A170)+(Inputs!$C$6))/(0.5*(Inputs!$C$39+Inputs!$C$40))))+Inputs!$C$38*SIN(2*PI()*(Model_Data!A170)/Inputs!$C$39)*SIN(2*PI()*(Inputs!$C$6)/Inputs!$C$40)+-Inputs!$C$41*EXP(-(((Inputs!$C$6)-Inputs!$C$43)^2)/(2*Inputs!$C$44^2))*EXP(-(((Model_Data!A170)-Inputs!$C$42)^2)/(2*Inputs!$C$45^2))+Inputs!$C$48*(0.70*(0.45*SIN(2*PI()*(((Model_Data!A170)/Inputs!$C$49)+Inputs!$C$47*0.137))+0.35*COS(2*PI()*(((Inputs!$C$6)/Inputs!$C$50)+Inputs!$C$47*0.173))+0.20*SIN(2*PI()*(((Model_Data!A170)+(Inputs!$C$6))/(0.5*(Inputs!$C$49+Inputs!$C$50))+Inputs!$C$47*0.097)))+0.30*(2*((SIN(((Model_Data!A170)*12.9898+(Inputs!$C$6)*78.233+Inputs!$C$47*37.719))*43758.5453)-INT((SIN(((Model_Data!A170)*12.9898+(Inputs!$C$6)*78.233+Inputs!$C$47*37.719))*43758.5453)))-1))))/1000)^2)</x:f>
        <x:v>401.6964394798521</x:v>
      </x:c>
      <x:c r="AB170" s="48" t="n">
        <x:f>1000*(AA171-AA169)/(Z171-Z169)*Inputs!$C$11</x:f>
        <x:v>514.3824830340691</x:v>
      </x:c>
      <x:c r="AC170" s="48" t="n">
        <x:f>-2*AB170/Inputs!$C$13</x:f>
        <x:v>-205.75299321362763</x:v>
      </x:c>
      <x:c r="AD170" s="48" t="n">
        <x:f>-2*AB170/Inputs!$C$14</x:f>
        <x:v>-30.893842824869015</x:v>
      </x:c>
    </x:row>
    <x:row r="171">
      <x:c r="A171" s="48" t="n">
        <x:f>Model_Data!A171</x:f>
        <x:v>24.5</x:v>
      </x:c>
      <x:c r="B171" s="48" t="n">
        <x:f>Model_Data!F171</x:f>
        <x:v>857.3633017347807</x:v>
      </x:c>
      <x:c r="C171" s="48" t="n">
        <x:f>(((SQRT((Model_Data!A171)^2+Inputs!$C$6^2+((Model_Data!B171)-((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(0.45*SIN(2*PI()*(((Model_Data!A171)/Inputs!$C$49)+Inputs!$C$47*0.137))+0.35*COS(2*PI()*(((Inputs!$C$6)/Inputs!$C$50)+Inputs!$C$47*0.173))+0.20*SIN(2*PI()*(((Model_Data!A171)+(Inputs!$C$6))/(0.5*(Inputs!$C$49+Inputs!$C$50))+Inputs!$C$47*0.097)))+0.30*(2*((SIN(((Model_Data!A171)*12.9898+(Inputs!$C$6)*78.233+Inputs!$C$47*37.719))*43758.5453)-INT((SIN(((Model_Data!A171)*12.9898+(Inputs!$C$6)*78.233+Inputs!$C$47*37.719))*43758.5453)))-1))))/1000)^2))-(((Model_Data!B171)-((Inputs!$C$51*(115*EXP(-(((0)-25)^2)/(4.5^2))+70*EXP(-(((0)+38)^2)/(7^2))*(0.55+0.45*SIN(2*PI()*(Model_Data!A171)/45))+24*SIN(2*PI()*(0)/9+(Model_Data!A171)/18)*EXP(-(((0)+5)^2)/(22^2))+18*SIN(2*PI()*(Model_Data!A171)/70))+Inputs!$C$28*EXP(-(((Model_Data!A171)-Inputs!$C$29)^2)/(2*Inputs!$C$31^2))*EXP(-(((0)-Inputs!$C$30)^2)/(2*Inputs!$C$32^2))+-Inputs!$C$33*EXP(-(((((Model_Data!A171)-Inputs!$C$34)^2)+(((0)-Inputs!$C$35)^2))/(2*Inputs!$C$36^2)))+Inputs!$C$37*(0.55*SIN(2*PI()*(Model_Data!A171)/Inputs!$C$39)+0.35*COS(2*PI()*(0)/Inputs!$C$40)+0.2*SIN(2*PI()*((Model_Data!A171)+(0))/(0.5*(Inputs!$C$39+Inputs!$C$40))))+Inputs!$C$38*SIN(2*PI()*(Model_Data!A171)/Inputs!$C$39)*SIN(2*PI()*(0)/Inputs!$C$40)+-Inputs!$C$41*EXP(-(((0)-Inputs!$C$43)^2)/(2*Inputs!$C$44^2))*EXP(-(((Model_Data!A171)-Inputs!$C$42)^2)/(2*Inputs!$C$45^2))+Inputs!$C$48*(0.70*(0.45*SIN(2*PI()*(((Model_Data!A171)/Inputs!$C$49)+Inputs!$C$47*0.137))+0.35*COS(2*PI()*(((0)/Inputs!$C$50)+Inputs!$C$47*0.173))+0.20*SIN(2*PI()*(((Model_Data!A171)+(0))/(0.5*(Inputs!$C$49+Inputs!$C$50))+Inputs!$C$47*0.097)))+0.30*(2*((SIN(((Model_Data!A171)*12.9898+(0)*78.233+Inputs!$C$47*37.719))*43758.5453)-INT((SIN(((Model_Data!A171)*12.9898+(0)*78.233+Inputs!$C$47*37.719))*43758.5453)))-1))))/1000)))*1000/Inputs!$C$12)</x:f>
        <x:v>669.9639604479725</x:v>
      </x:c>
      <x:c r="D171" s="49"/>
      <x:c r="E171" s="48" t="n">
        <x:f>Model_Data!A171</x:f>
        <x:v>24.5</x:v>
      </x:c>
      <x:c r="F171" s="48" t="n">
        <x:f>(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(0.45*SIN(2*PI()*(((Model_Data!A171)/Inputs!$C$49)+Inputs!$C$47*0.137))+0.35*COS(2*PI()*(((Inputs!$C$6)/Inputs!$C$50)+Inputs!$C$47*0.173))+0.20*SIN(2*PI()*(((Model_Data!A171)+(Inputs!$C$6))/(0.5*(Inputs!$C$49+Inputs!$C$50))+Inputs!$C$47*0.097)))+0.30*(2*((SIN(((Model_Data!A171)*12.9898+(Inputs!$C$6)*78.233+Inputs!$C$47*37.719))*43758.5453)-INT((SIN(((Model_Data!A171)*12.9898+(Inputs!$C$6)*78.233+Inputs!$C$47*37.719))*43758.5453)))-1)))</x:f>
        <x:v>415.4369773442437</x:v>
      </x:c>
      <x:c r="G171" s="48" t="n">
        <x:f>(Inputs!$C$51*(115*EXP(-(((0)-25)^2)/(4.5^2))+70*EXP(-(((0)+38)^2)/(7^2))*(0.55+0.45*SIN(2*PI()*(Model_Data!A171)/45))+24*SIN(2*PI()*(0)/9+(Model_Data!A171)/18)*EXP(-(((0)+5)^2)/(22^2))+18*SIN(2*PI()*(Model_Data!A171)/70))+Inputs!$C$28*EXP(-(((Model_Data!A171)-Inputs!$C$29)^2)/(2*Inputs!$C$31^2))*EXP(-(((0)-Inputs!$C$30)^2)/(2*Inputs!$C$32^2))+-Inputs!$C$33*EXP(-(((((Model_Data!A171)-Inputs!$C$34)^2)+(((0)-Inputs!$C$35)^2))/(2*Inputs!$C$36^2)))+Inputs!$C$37*(0.55*SIN(2*PI()*(Model_Data!A171)/Inputs!$C$39)+0.35*COS(2*PI()*(0)/Inputs!$C$40)+0.2*SIN(2*PI()*((Model_Data!A171)+(0))/(0.5*(Inputs!$C$39+Inputs!$C$40))))+Inputs!$C$38*SIN(2*PI()*(Model_Data!A171)/Inputs!$C$39)*SIN(2*PI()*(0)/Inputs!$C$40)+-Inputs!$C$41*EXP(-(((0)-Inputs!$C$43)^2)/(2*Inputs!$C$44^2))*EXP(-(((Model_Data!A171)-Inputs!$C$42)^2)/(2*Inputs!$C$45^2))+Inputs!$C$48*(0.70*(0.45*SIN(2*PI()*(((Model_Data!A171)/Inputs!$C$49)+Inputs!$C$47*0.137))+0.35*COS(2*PI()*(((0)/Inputs!$C$50)+Inputs!$C$47*0.173))+0.20*SIN(2*PI()*(((Model_Data!A171)+(0))/(0.5*(Inputs!$C$49+Inputs!$C$50))+Inputs!$C$47*0.097)))+0.30*(2*((SIN(((Model_Data!A171)*12.9898+(0)*78.233+Inputs!$C$47*37.719))*43758.5453)-INT((SIN(((Model_Data!A171)*12.9898+(0)*78.233+Inputs!$C$47*37.719))*43758.5453)))-1)))</x:f>
        <x:v>80.2881627342364</x:v>
      </x:c>
      <x:c r="H171" s="49"/>
      <x:c r="I171" s="48" t="n">
        <x:f>Model_Data!A171</x:f>
        <x:v>24.5</x:v>
      </x:c>
      <x:c r="J171" s="48" t="n">
        <x:f>((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(0.45*SIN(2*PI()*(((Model_Data!A171)/Inputs!$C$49)+Inputs!$C$47*0.137))+0.35*COS(2*PI()*(((Inputs!$C$6)/Inputs!$C$50)+Inputs!$C$47*0.173))+0.20*SIN(2*PI()*(((Model_Data!A171)+(Inputs!$C$6))/(0.5*(Inputs!$C$49+Inputs!$C$50))+Inputs!$C$47*0.097)))+0.30*(2*((SIN(((Model_Data!A171)*12.9898+(Inputs!$C$6)*78.233+Inputs!$C$47*37.719))*43758.5453)-INT((SIN(((Model_Data!A171)*12.9898+(Inputs!$C$6)*78.233+Inputs!$C$47*37.719))*43758.5453)))-1))))-((Inputs!$C$51*(115*EXP(-(((0)-25)^2)/(4.5^2))+70*EXP(-(((0)+38)^2)/(7^2))*(0.55+0.45*SIN(2*PI()*(Model_Data!A171)/45))+24*SIN(2*PI()*(0)/9+(Model_Data!A171)/18)*EXP(-(((0)+5)^2)/(22^2))+18*SIN(2*PI()*(Model_Data!A171)/70))+Inputs!$C$28*EXP(-(((Model_Data!A171)-Inputs!$C$29)^2)/(2*Inputs!$C$31^2))*EXP(-(((0)-Inputs!$C$30)^2)/(2*Inputs!$C$32^2))+-Inputs!$C$33*EXP(-(((((Model_Data!A171)-Inputs!$C$34)^2)+(((0)-Inputs!$C$35)^2))/(2*Inputs!$C$36^2)))+Inputs!$C$37*(0.55*SIN(2*PI()*(Model_Data!A171)/Inputs!$C$39)+0.35*COS(2*PI()*(0)/Inputs!$C$40)+0.2*SIN(2*PI()*((Model_Data!A171)+(0))/(0.5*(Inputs!$C$39+Inputs!$C$40))))+Inputs!$C$38*SIN(2*PI()*(Model_Data!A171)/Inputs!$C$39)*SIN(2*PI()*(0)/Inputs!$C$40)+-Inputs!$C$41*EXP(-(((0)-Inputs!$C$43)^2)/(2*Inputs!$C$44^2))*EXP(-(((Model_Data!A171)-Inputs!$C$42)^2)/(2*Inputs!$C$45^2))+Inputs!$C$48*(0.70*(0.45*SIN(2*PI()*(((Model_Data!A171)/Inputs!$C$49)+Inputs!$C$47*0.137))+0.35*COS(2*PI()*(((0)/Inputs!$C$50)+Inputs!$C$47*0.173))+0.20*SIN(2*PI()*(((Model_Data!A171)+(0))/(0.5*(Inputs!$C$49+Inputs!$C$50))+Inputs!$C$47*0.097)))+0.30*(2*((SIN(((Model_Data!A171)*12.9898+(0)*78.233+Inputs!$C$47*37.719))*43758.5453)-INT((SIN(((Model_Data!A171)*12.9898+(0)*78.233+Inputs!$C$47*37.719))*43758.5453)))-1))))</x:f>
        <x:v>335.1488146100073</x:v>
      </x:c>
      <x:c r="K171" s="48" t="n">
        <x:f>-((((SQRT((Model_Data!A171)^2+Inputs!$C$6^2+((Model_Data!B171)-((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(0.45*SIN(2*PI()*(((Model_Data!A171)/Inputs!$C$49)+Inputs!$C$47*0.137))+0.35*COS(2*PI()*(((Inputs!$C$6)/Inputs!$C$50)+Inputs!$C$47*0.173))+0.20*SIN(2*PI()*(((Model_Data!A171)+(Inputs!$C$6))/(0.5*(Inputs!$C$49+Inputs!$C$50))+Inputs!$C$47*0.097)))+0.30*(2*((SIN(((Model_Data!A171)*12.9898+(Inputs!$C$6)*78.233+Inputs!$C$47*37.719))*43758.5453)-INT((SIN(((Model_Data!A171)*12.9898+(Inputs!$C$6)*78.233+Inputs!$C$47*37.719))*43758.5453)))-1))))/1000)^2))-(((Model_Data!B171)-((Inputs!$C$51*(115*EXP(-(((0)-25)^2)/(4.5^2))+70*EXP(-(((0)+38)^2)/(7^2))*(0.55+0.45*SIN(2*PI()*(Model_Data!A171)/45))+24*SIN(2*PI()*(0)/9+(Model_Data!A171)/18)*EXP(-(((0)+5)^2)/(22^2))+18*SIN(2*PI()*(Model_Data!A171)/70))+Inputs!$C$28*EXP(-(((Model_Data!A171)-Inputs!$C$29)^2)/(2*Inputs!$C$31^2))*EXP(-(((0)-Inputs!$C$30)^2)/(2*Inputs!$C$32^2))+-Inputs!$C$33*EXP(-(((((Model_Data!A171)-Inputs!$C$34)^2)+(((0)-Inputs!$C$35)^2))/(2*Inputs!$C$36^2)))+Inputs!$C$37*(0.55*SIN(2*PI()*(Model_Data!A171)/Inputs!$C$39)+0.35*COS(2*PI()*(0)/Inputs!$C$40)+0.2*SIN(2*PI()*((Model_Data!A171)+(0))/(0.5*(Inputs!$C$39+Inputs!$C$40))))+Inputs!$C$38*SIN(2*PI()*(Model_Data!A171)/Inputs!$C$39)*SIN(2*PI()*(0)/Inputs!$C$40)+-Inputs!$C$41*EXP(-(((0)-Inputs!$C$43)^2)/(2*Inputs!$C$44^2))*EXP(-(((Model_Data!A171)-Inputs!$C$42)^2)/(2*Inputs!$C$45^2))+Inputs!$C$48*(0.70*(0.45*SIN(2*PI()*(((Model_Data!A171)/Inputs!$C$49)+Inputs!$C$47*0.137))+0.35*COS(2*PI()*(((0)/Inputs!$C$50)+Inputs!$C$47*0.173))+0.20*SIN(2*PI()*(((Model_Data!A171)+(0))/(0.5*(Inputs!$C$49+Inputs!$C$50))+Inputs!$C$47*0.097)))+0.30*(2*((SIN(((Model_Data!A171)*12.9898+(0)*78.233+Inputs!$C$47*37.719))*43758.5453)-INT((SIN(((Model_Data!A171)*12.9898+(0)*78.233+Inputs!$C$47*37.719))*43758.5453)))-1))))/1000)))*1000/Inputs!$C$12)-Model_Data!F171)</x:f>
        <x:v>187.3993412868083</x:v>
      </x:c>
      <x:c r="L171" s="49"/>
      <x:c r="M171" s="48" t="n">
        <x:f>Model_Data!A171</x:f>
        <x:v>24.5</x:v>
      </x:c>
      <x:c r="N171" s="48" t="n">
        <x:f>Model_Data!P171</x:f>
        <x:v>-184.2462034324345</x:v>
      </x:c>
      <x:c r="O171" s="48" t="n">
        <x:f>AC171</x:f>
        <x:v>-220.10141493610718</x:v>
      </x:c>
      <x:c r="P171" s="48" t="n">
        <x:f>Model_Data!Q171</x:f>
        <x:v>-27.664595109975153</x:v>
      </x:c>
      <x:c r="Q171" s="48" t="n">
        <x:f>AD171</x:f>
        <x:v>-33.048260500916996</x:v>
      </x:c>
      <x:c r="R171" s="49"/>
      <x:c r="S171" s="48" t="n">
        <x:f>Model_Data!A171</x:f>
        <x:v>24.5</x:v>
      </x:c>
      <x:c r="T171" s="48" t="n">
        <x:f>Model_Data!B171-Inputs!$C$5</x:f>
        <x:v>0.6669444444444252</x:v>
      </x:c>
      <x:c r="U171" s="49"/>
      <x:c r="V171" s="48" t="n">
        <x:f>Model_Data!A171</x:f>
        <x:v>24.5</x:v>
      </x:c>
      <x:c r="W171" s="48" t="n">
        <x:f>(-((((SQRT((Model_Data!A171)^2+Inputs!$C$6^2+((Model_Data!B171)-((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(0.45*SIN(2*PI()*(((Model_Data!A171)/Inputs!$C$49)+Inputs!$C$47*0.137))+0.35*COS(2*PI()*(((Inputs!$C$6)/Inputs!$C$50)+Inputs!$C$47*0.173))+0.20*SIN(2*PI()*(((Model_Data!A171)+(Inputs!$C$6))/(0.5*(Inputs!$C$49+Inputs!$C$50))+Inputs!$C$47*0.097)))+0.30*(2*((SIN(((Model_Data!A171)*12.9898+(Inputs!$C$6)*78.233+Inputs!$C$47*37.719))*43758.5453)-INT((SIN(((Model_Data!A171)*12.9898+(Inputs!$C$6)*78.233+Inputs!$C$47*37.719))*43758.5453)))-1))))/1000)^2))-(((Model_Data!B171)-((Inputs!$C$51*(115*EXP(-(((0)-25)^2)/(4.5^2))+70*EXP(-(((0)+38)^2)/(7^2))*(0.55+0.45*SIN(2*PI()*(Model_Data!A171)/45))+24*SIN(2*PI()*(0)/9+(Model_Data!A171)/18)*EXP(-(((0)+5)^2)/(22^2))+18*SIN(2*PI()*(Model_Data!A171)/70))+Inputs!$C$28*EXP(-(((Model_Data!A171)-Inputs!$C$29)^2)/(2*Inputs!$C$31^2))*EXP(-(((0)-Inputs!$C$30)^2)/(2*Inputs!$C$32^2))+-Inputs!$C$33*EXP(-(((((Model_Data!A171)-Inputs!$C$34)^2)+(((0)-Inputs!$C$35)^2))/(2*Inputs!$C$36^2)))+Inputs!$C$37*(0.55*SIN(2*PI()*(Model_Data!A171)/Inputs!$C$39)+0.35*COS(2*PI()*(0)/Inputs!$C$40)+0.2*SIN(2*PI()*((Model_Data!A171)+(0))/(0.5*(Inputs!$C$39+Inputs!$C$40))))+Inputs!$C$38*SIN(2*PI()*(Model_Data!A171)/Inputs!$C$39)*SIN(2*PI()*(0)/Inputs!$C$40)+-Inputs!$C$41*EXP(-(((0)-Inputs!$C$43)^2)/(2*Inputs!$C$44^2))*EXP(-(((Model_Data!A171)-Inputs!$C$42)^2)/(2*Inputs!$C$45^2))+Inputs!$C$48*(0.70*(0.45*SIN(2*PI()*(((Model_Data!A171)/Inputs!$C$49)+Inputs!$C$47*0.137))+0.35*COS(2*PI()*(((0)/Inputs!$C$50)+Inputs!$C$47*0.173))+0.20*SIN(2*PI()*(((Model_Data!A171)+(0))/(0.5*(Inputs!$C$49+Inputs!$C$50))+Inputs!$C$47*0.097)))+0.30*(2*((SIN(((Model_Data!A171)*12.9898+(0)*78.233+Inputs!$C$47*37.719))*43758.5453)-INT((SIN(((Model_Data!A171)*12.9898+(0)*78.233+Inputs!$C$47*37.719))*43758.5453)))-1))))/1000)))*1000/Inputs!$C$12)-Model_Data!F171))-(-(((SQRT((Model_Data!A171)^2+Inputs!$C$6^2+(Inputs!$C$5-((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(0.45*SIN(2*PI()*(((Model_Data!A171)/Inputs!$C$49)+Inputs!$C$47*0.137))+0.35*COS(2*PI()*(((Inputs!$C$6)/Inputs!$C$50)+Inputs!$C$47*0.173))+0.20*SIN(2*PI()*(((Model_Data!A171)+(Inputs!$C$6))/(0.5*(Inputs!$C$49+Inputs!$C$50))+Inputs!$C$47*0.097)))+0.30*(2*((SIN(((Model_Data!A171)*12.9898+(Inputs!$C$6)*78.233+Inputs!$C$47*37.719))*43758.5453)-INT((SIN(((Model_Data!A171)*12.9898+(Inputs!$C$6)*78.233+Inputs!$C$47*37.719))*43758.5453)))-1))))/1000)^2)-(Inputs!$C$5-((Inputs!$C$51*(115*EXP(-(((0)-25)^2)/(4.5^2))+70*EXP(-(((0)+38)^2)/(7^2))*(0.55+0.45*SIN(2*PI()*(Model_Data!A171)/45))+24*SIN(2*PI()*(0)/9+(Model_Data!A171)/18)*EXP(-(((0)+5)^2)/(22^2))+18*SIN(2*PI()*(Model_Data!A171)/70))+Inputs!$C$28*EXP(-(((Model_Data!A171)-Inputs!$C$29)^2)/(2*Inputs!$C$31^2))*EXP(-(((0)-Inputs!$C$30)^2)/(2*Inputs!$C$32^2))+-Inputs!$C$33*EXP(-(((((Model_Data!A171)-Inputs!$C$34)^2)+(((0)-Inputs!$C$35)^2))/(2*Inputs!$C$36^2)))+Inputs!$C$37*(0.55*SIN(2*PI()*(Model_Data!A171)/Inputs!$C$39)+0.35*COS(2*PI()*(0)/Inputs!$C$40)+0.2*SIN(2*PI()*((Model_Data!A171)+(0))/(0.5*(Inputs!$C$39+Inputs!$C$40))))+Inputs!$C$38*SIN(2*PI()*(Model_Data!A171)/Inputs!$C$39)*SIN(2*PI()*(0)/Inputs!$C$40)+-Inputs!$C$41*EXP(-(((0)-Inputs!$C$43)^2)/(2*Inputs!$C$44^2))*EXP(-(((Model_Data!A171)-Inputs!$C$42)^2)/(2*Inputs!$C$45^2))+Inputs!$C$48*(0.70*(0.45*SIN(2*PI()*(((Model_Data!A171)/Inputs!$C$49)+Inputs!$C$47*0.137))+0.35*COS(2*PI()*(((0)/Inputs!$C$50)+Inputs!$C$47*0.173))+0.20*SIN(2*PI()*(((Model_Data!A171)+(0))/(0.5*(Inputs!$C$49+Inputs!$C$50))+Inputs!$C$47*0.097)))+0.30*(2*((SIN(((Model_Data!A171)*12.9898+(0)*78.233+Inputs!$C$47*37.719))*43758.5453)-INT((SIN(((Model_Data!A171)*12.9898+(0)*78.233+Inputs!$C$47*37.719))*43758.5453)))-1))))/1000))*1000/Inputs!$C$12)-((SQRT((Model_Data!A171)^2+Inputs!$C$6^2+Inputs!$C$5^2)-Inputs!$C$5)*1000/Inputs!$C$12)))</x:f>
        <x:v>0.00294336634362935</x:v>
      </x:c>
      <x:c r="X171" s="48" t="n">
        <x:f>0</x:f>
        <x:v>0</x:v>
      </x:c>
      <x:c r="Y171" s="49"/>
      <x:c r="Z171" s="48" t="n">
        <x:f>Model_Data!A171</x:f>
        <x:v>24.5</x:v>
      </x:c>
      <x:c r="AA171" s="48" t="n">
        <x:f>SQRT((Model_Data!A171)^2+Inputs!$C$6^2+((Model_Data!B171)-((Inputs!$C$51*(115*EXP(-(((Inputs!$C$6)-25)^2)/(4.5^2))+70*EXP(-(((Inputs!$C$6)+38)^2)/(7^2))*(0.55+0.45*SIN(2*PI()*(Model_Data!A171)/45))+24*SIN(2*PI()*(Inputs!$C$6)/9+(Model_Data!A171)/18)*EXP(-(((Inputs!$C$6)+5)^2)/(22^2))+18*SIN(2*PI()*(Model_Data!A171)/70))+Inputs!$C$28*EXP(-(((Model_Data!A171)-Inputs!$C$29)^2)/(2*Inputs!$C$31^2))*EXP(-(((Inputs!$C$6)-Inputs!$C$30)^2)/(2*Inputs!$C$32^2))+-Inputs!$C$33*EXP(-(((((Model_Data!A171)-Inputs!$C$34)^2)+(((Inputs!$C$6)-Inputs!$C$35)^2))/(2*Inputs!$C$36^2)))+Inputs!$C$37*(0.55*SIN(2*PI()*(Model_Data!A171)/Inputs!$C$39)+0.35*COS(2*PI()*(Inputs!$C$6)/Inputs!$C$40)+0.2*SIN(2*PI()*((Model_Data!A171)+(Inputs!$C$6))/(0.5*(Inputs!$C$39+Inputs!$C$40))))+Inputs!$C$38*SIN(2*PI()*(Model_Data!A171)/Inputs!$C$39)*SIN(2*PI()*(Inputs!$C$6)/Inputs!$C$40)+-Inputs!$C$41*EXP(-(((Inputs!$C$6)-Inputs!$C$43)^2)/(2*Inputs!$C$44^2))*EXP(-(((Model_Data!A171)-Inputs!$C$42)^2)/(2*Inputs!$C$45^2))+Inputs!$C$48*(0.70*(0.45*SIN(2*PI()*(((Model_Data!A171)/Inputs!$C$49)+Inputs!$C$47*0.137))+0.35*COS(2*PI()*(((Inputs!$C$6)/Inputs!$C$50)+Inputs!$C$47*0.173))+0.20*SIN(2*PI()*(((Model_Data!A171)+(Inputs!$C$6))/(0.5*(Inputs!$C$49+Inputs!$C$50))+Inputs!$C$47*0.097)))+0.30*(2*((SIN(((Model_Data!A171)*12.9898+(Inputs!$C$6)*78.233+Inputs!$C$47*37.719))*43758.5453)-INT((SIN(((Model_Data!A171)*12.9898+(Inputs!$C$6)*78.233+Inputs!$C$47*37.719))*43758.5453)))-1))))/1000)^2)</x:f>
        <x:v>401.7791921313076</x:v>
      </x:c>
      <x:c r="AB171" s="48" t="n">
        <x:f>1000*(AA172-AA170)/(Z172-Z170)*Inputs!$C$11</x:f>
        <x:v>550.2535373402679</x:v>
      </x:c>
      <x:c r="AC171" s="48" t="n">
        <x:f>-2*AB171/Inputs!$C$13</x:f>
        <x:v>-220.10141493610718</x:v>
      </x:c>
      <x:c r="AD171" s="48" t="n">
        <x:f>-2*AB171/Inputs!$C$14</x:f>
        <x:v>-33.048260500916996</x:v>
      </x:c>
    </x:row>
    <x:row r="172">
      <x:c r="A172" s="48" t="n">
        <x:f>Model_Data!A172</x:f>
        <x:v>25</x:v>
      </x:c>
      <x:c r="B172" s="48" t="n">
        <x:f>Model_Data!F172</x:f>
        <x:v>874.588691152092</x:v>
      </x:c>
      <x:c r="C172" s="48" t="n">
        <x:f>(((SQRT((Model_Data!A172)^2+Inputs!$C$6^2+((Model_Data!B172)-((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(0.45*SIN(2*PI()*(((Model_Data!A172)/Inputs!$C$49)+Inputs!$C$47*0.137))+0.35*COS(2*PI()*(((Inputs!$C$6)/Inputs!$C$50)+Inputs!$C$47*0.173))+0.20*SIN(2*PI()*(((Model_Data!A172)+(Inputs!$C$6))/(0.5*(Inputs!$C$49+Inputs!$C$50))+Inputs!$C$47*0.097)))+0.30*(2*((SIN(((Model_Data!A172)*12.9898+(Inputs!$C$6)*78.233+Inputs!$C$47*37.719))*43758.5453)-INT((SIN(((Model_Data!A172)*12.9898+(Inputs!$C$6)*78.233+Inputs!$C$47*37.719))*43758.5453)))-1))))/1000)^2))-(((Model_Data!B172)-((Inputs!$C$51*(115*EXP(-(((0)-25)^2)/(4.5^2))+70*EXP(-(((0)+38)^2)/(7^2))*(0.55+0.45*SIN(2*PI()*(Model_Data!A172)/45))+24*SIN(2*PI()*(0)/9+(Model_Data!A172)/18)*EXP(-(((0)+5)^2)/(22^2))+18*SIN(2*PI()*(Model_Data!A172)/70))+Inputs!$C$28*EXP(-(((Model_Data!A172)-Inputs!$C$29)^2)/(2*Inputs!$C$31^2))*EXP(-(((0)-Inputs!$C$30)^2)/(2*Inputs!$C$32^2))+-Inputs!$C$33*EXP(-(((((Model_Data!A172)-Inputs!$C$34)^2)+(((0)-Inputs!$C$35)^2))/(2*Inputs!$C$36^2)))+Inputs!$C$37*(0.55*SIN(2*PI()*(Model_Data!A172)/Inputs!$C$39)+0.35*COS(2*PI()*(0)/Inputs!$C$40)+0.2*SIN(2*PI()*((Model_Data!A172)+(0))/(0.5*(Inputs!$C$39+Inputs!$C$40))))+Inputs!$C$38*SIN(2*PI()*(Model_Data!A172)/Inputs!$C$39)*SIN(2*PI()*(0)/Inputs!$C$40)+-Inputs!$C$41*EXP(-(((0)-Inputs!$C$43)^2)/(2*Inputs!$C$44^2))*EXP(-(((Model_Data!A172)-Inputs!$C$42)^2)/(2*Inputs!$C$45^2))+Inputs!$C$48*(0.70*(0.45*SIN(2*PI()*(((Model_Data!A172)/Inputs!$C$49)+Inputs!$C$47*0.137))+0.35*COS(2*PI()*(((0)/Inputs!$C$50)+Inputs!$C$47*0.173))+0.20*SIN(2*PI()*(((Model_Data!A172)+(0))/(0.5*(Inputs!$C$49+Inputs!$C$50))+Inputs!$C$47*0.097)))+0.30*(2*((SIN(((Model_Data!A172)*12.9898+(0)*78.233+Inputs!$C$47*37.719))*43758.5453)-INT((SIN(((Model_Data!A172)*12.9898+(0)*78.233+Inputs!$C$47*37.719))*43758.5453)))-1))))/1000)))*1000/Inputs!$C$12)</x:f>
        <x:v>674.7511057645507</x:v>
      </x:c>
      <x:c r="D172" s="49"/>
      <x:c r="E172" s="48" t="n">
        <x:f>Model_Data!A172</x:f>
        <x:v>25</x:v>
      </x:c>
      <x:c r="F172" s="48" t="n">
        <x:f>(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(0.45*SIN(2*PI()*(((Model_Data!A172)/Inputs!$C$49)+Inputs!$C$47*0.137))+0.35*COS(2*PI()*(((Inputs!$C$6)/Inputs!$C$50)+Inputs!$C$47*0.173))+0.20*SIN(2*PI()*(((Model_Data!A172)+(Inputs!$C$6))/(0.5*(Inputs!$C$49+Inputs!$C$50))+Inputs!$C$47*0.097)))+0.30*(2*((SIN(((Model_Data!A172)*12.9898+(Inputs!$C$6)*78.233+Inputs!$C$47*37.719))*43758.5453)-INT((SIN(((Model_Data!A172)*12.9898+(Inputs!$C$6)*78.233+Inputs!$C$47*37.719))*43758.5453)))-1)))</x:f>
        <x:v>418.8320748478676</x:v>
      </x:c>
      <x:c r="G172" s="48" t="n">
        <x:f>(Inputs!$C$51*(115*EXP(-(((0)-25)^2)/(4.5^2))+70*EXP(-(((0)+38)^2)/(7^2))*(0.55+0.45*SIN(2*PI()*(Model_Data!A172)/45))+24*SIN(2*PI()*(0)/9+(Model_Data!A172)/18)*EXP(-(((0)+5)^2)/(22^2))+18*SIN(2*PI()*(Model_Data!A172)/70))+Inputs!$C$28*EXP(-(((Model_Data!A172)-Inputs!$C$29)^2)/(2*Inputs!$C$31^2))*EXP(-(((0)-Inputs!$C$30)^2)/(2*Inputs!$C$32^2))+-Inputs!$C$33*EXP(-(((((Model_Data!A172)-Inputs!$C$34)^2)+(((0)-Inputs!$C$35)^2))/(2*Inputs!$C$36^2)))+Inputs!$C$37*(0.55*SIN(2*PI()*(Model_Data!A172)/Inputs!$C$39)+0.35*COS(2*PI()*(0)/Inputs!$C$40)+0.2*SIN(2*PI()*((Model_Data!A172)+(0))/(0.5*(Inputs!$C$39+Inputs!$C$40))))+Inputs!$C$38*SIN(2*PI()*(Model_Data!A172)/Inputs!$C$39)*SIN(2*PI()*(0)/Inputs!$C$40)+-Inputs!$C$41*EXP(-(((0)-Inputs!$C$43)^2)/(2*Inputs!$C$44^2))*EXP(-(((Model_Data!A172)-Inputs!$C$42)^2)/(2*Inputs!$C$45^2))+Inputs!$C$48*(0.70*(0.45*SIN(2*PI()*(((Model_Data!A172)/Inputs!$C$49)+Inputs!$C$47*0.137))+0.35*COS(2*PI()*(((0)/Inputs!$C$50)+Inputs!$C$47*0.173))+0.20*SIN(2*PI()*(((Model_Data!A172)+(0))/(0.5*(Inputs!$C$49+Inputs!$C$50))+Inputs!$C$47*0.097)))+0.30*(2*((SIN(((Model_Data!A172)*12.9898+(0)*78.233+Inputs!$C$47*37.719))*43758.5453)-INT((SIN(((Model_Data!A172)*12.9898+(0)*78.233+Inputs!$C$47*37.719))*43758.5453)))-1)))</x:f>
        <x:v>61.498548518191555</x:v>
      </x:c>
      <x:c r="H172" s="49"/>
      <x:c r="I172" s="48" t="n">
        <x:f>Model_Data!A172</x:f>
        <x:v>25</x:v>
      </x:c>
      <x:c r="J172" s="48" t="n">
        <x:f>((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(0.45*SIN(2*PI()*(((Model_Data!A172)/Inputs!$C$49)+Inputs!$C$47*0.137))+0.35*COS(2*PI()*(((Inputs!$C$6)/Inputs!$C$50)+Inputs!$C$47*0.173))+0.20*SIN(2*PI()*(((Model_Data!A172)+(Inputs!$C$6))/(0.5*(Inputs!$C$49+Inputs!$C$50))+Inputs!$C$47*0.097)))+0.30*(2*((SIN(((Model_Data!A172)*12.9898+(Inputs!$C$6)*78.233+Inputs!$C$47*37.719))*43758.5453)-INT((SIN(((Model_Data!A172)*12.9898+(Inputs!$C$6)*78.233+Inputs!$C$47*37.719))*43758.5453)))-1))))-((Inputs!$C$51*(115*EXP(-(((0)-25)^2)/(4.5^2))+70*EXP(-(((0)+38)^2)/(7^2))*(0.55+0.45*SIN(2*PI()*(Model_Data!A172)/45))+24*SIN(2*PI()*(0)/9+(Model_Data!A172)/18)*EXP(-(((0)+5)^2)/(22^2))+18*SIN(2*PI()*(Model_Data!A172)/70))+Inputs!$C$28*EXP(-(((Model_Data!A172)-Inputs!$C$29)^2)/(2*Inputs!$C$31^2))*EXP(-(((0)-Inputs!$C$30)^2)/(2*Inputs!$C$32^2))+-Inputs!$C$33*EXP(-(((((Model_Data!A172)-Inputs!$C$34)^2)+(((0)-Inputs!$C$35)^2))/(2*Inputs!$C$36^2)))+Inputs!$C$37*(0.55*SIN(2*PI()*(Model_Data!A172)/Inputs!$C$39)+0.35*COS(2*PI()*(0)/Inputs!$C$40)+0.2*SIN(2*PI()*((Model_Data!A172)+(0))/(0.5*(Inputs!$C$39+Inputs!$C$40))))+Inputs!$C$38*SIN(2*PI()*(Model_Data!A172)/Inputs!$C$39)*SIN(2*PI()*(0)/Inputs!$C$40)+-Inputs!$C$41*EXP(-(((0)-Inputs!$C$43)^2)/(2*Inputs!$C$44^2))*EXP(-(((Model_Data!A172)-Inputs!$C$42)^2)/(2*Inputs!$C$45^2))+Inputs!$C$48*(0.70*(0.45*SIN(2*PI()*(((Model_Data!A172)/Inputs!$C$49)+Inputs!$C$47*0.137))+0.35*COS(2*PI()*(((0)/Inputs!$C$50)+Inputs!$C$47*0.173))+0.20*SIN(2*PI()*(((Model_Data!A172)+(0))/(0.5*(Inputs!$C$49+Inputs!$C$50))+Inputs!$C$47*0.097)))+0.30*(2*((SIN(((Model_Data!A172)*12.9898+(0)*78.233+Inputs!$C$47*37.719))*43758.5453)-INT((SIN(((Model_Data!A172)*12.9898+(0)*78.233+Inputs!$C$47*37.719))*43758.5453)))-1))))</x:f>
        <x:v>357.33352632967603</x:v>
      </x:c>
      <x:c r="K172" s="48" t="n">
        <x:f>-((((SQRT((Model_Data!A172)^2+Inputs!$C$6^2+((Model_Data!B172)-((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(0.45*SIN(2*PI()*(((Model_Data!A172)/Inputs!$C$49)+Inputs!$C$47*0.137))+0.35*COS(2*PI()*(((Inputs!$C$6)/Inputs!$C$50)+Inputs!$C$47*0.173))+0.20*SIN(2*PI()*(((Model_Data!A172)+(Inputs!$C$6))/(0.5*(Inputs!$C$49+Inputs!$C$50))+Inputs!$C$47*0.097)))+0.30*(2*((SIN(((Model_Data!A172)*12.9898+(Inputs!$C$6)*78.233+Inputs!$C$47*37.719))*43758.5453)-INT((SIN(((Model_Data!A172)*12.9898+(Inputs!$C$6)*78.233+Inputs!$C$47*37.719))*43758.5453)))-1))))/1000)^2))-(((Model_Data!B172)-((Inputs!$C$51*(115*EXP(-(((0)-25)^2)/(4.5^2))+70*EXP(-(((0)+38)^2)/(7^2))*(0.55+0.45*SIN(2*PI()*(Model_Data!A172)/45))+24*SIN(2*PI()*(0)/9+(Model_Data!A172)/18)*EXP(-(((0)+5)^2)/(22^2))+18*SIN(2*PI()*(Model_Data!A172)/70))+Inputs!$C$28*EXP(-(((Model_Data!A172)-Inputs!$C$29)^2)/(2*Inputs!$C$31^2))*EXP(-(((0)-Inputs!$C$30)^2)/(2*Inputs!$C$32^2))+-Inputs!$C$33*EXP(-(((((Model_Data!A172)-Inputs!$C$34)^2)+(((0)-Inputs!$C$35)^2))/(2*Inputs!$C$36^2)))+Inputs!$C$37*(0.55*SIN(2*PI()*(Model_Data!A172)/Inputs!$C$39)+0.35*COS(2*PI()*(0)/Inputs!$C$40)+0.2*SIN(2*PI()*((Model_Data!A172)+(0))/(0.5*(Inputs!$C$39+Inputs!$C$40))))+Inputs!$C$38*SIN(2*PI()*(Model_Data!A172)/Inputs!$C$39)*SIN(2*PI()*(0)/Inputs!$C$40)+-Inputs!$C$41*EXP(-(((0)-Inputs!$C$43)^2)/(2*Inputs!$C$44^2))*EXP(-(((Model_Data!A172)-Inputs!$C$42)^2)/(2*Inputs!$C$45^2))+Inputs!$C$48*(0.70*(0.45*SIN(2*PI()*(((Model_Data!A172)/Inputs!$C$49)+Inputs!$C$47*0.137))+0.35*COS(2*PI()*(((0)/Inputs!$C$50)+Inputs!$C$47*0.173))+0.20*SIN(2*PI()*(((Model_Data!A172)+(0))/(0.5*(Inputs!$C$49+Inputs!$C$50))+Inputs!$C$47*0.097)))+0.30*(2*((SIN(((Model_Data!A172)*12.9898+(0)*78.233+Inputs!$C$47*37.719))*43758.5453)-INT((SIN(((Model_Data!A172)*12.9898+(0)*78.233+Inputs!$C$47*37.719))*43758.5453)))-1))))/1000)))*1000/Inputs!$C$12)-Model_Data!F172)</x:f>
        <x:v>199.83758538754125</x:v>
      </x:c>
      <x:c r="L172" s="49"/>
      <x:c r="M172" s="48" t="n">
        <x:f>Model_Data!A172</x:f>
        <x:v>25</x:v>
      </x:c>
      <x:c r="N172" s="48" t="n">
        <x:f>Model_Data!P172</x:f>
        <x:v>-187.98522325262562</x:v>
      </x:c>
      <x:c r="O172" s="48" t="n">
        <x:f>AC172</x:f>
        <x:v>-228.37483407347463</x:v>
      </x:c>
      <x:c r="P172" s="48" t="n">
        <x:f>Model_Data!Q172</x:f>
        <x:v>-28.226009497391235</x:v>
      </x:c>
      <x:c r="Q172" s="48" t="n">
        <x:f>AD172</x:f>
        <x:v>-34.290515626647846</x:v>
      </x:c>
      <x:c r="R172" s="49"/>
      <x:c r="S172" s="48" t="n">
        <x:f>Model_Data!A172</x:f>
        <x:v>25</x:v>
      </x:c>
      <x:c r="T172" s="48" t="n">
        <x:f>Model_Data!B172-Inputs!$C$5</x:f>
        <x:v>0.6944444444444571</x:v>
      </x:c>
      <x:c r="U172" s="49"/>
      <x:c r="V172" s="48" t="n">
        <x:f>Model_Data!A172</x:f>
        <x:v>25</x:v>
      </x:c>
      <x:c r="W172" s="48" t="n">
        <x:f>(-((((SQRT((Model_Data!A172)^2+Inputs!$C$6^2+((Model_Data!B172)-((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(0.45*SIN(2*PI()*(((Model_Data!A172)/Inputs!$C$49)+Inputs!$C$47*0.137))+0.35*COS(2*PI()*(((Inputs!$C$6)/Inputs!$C$50)+Inputs!$C$47*0.173))+0.20*SIN(2*PI()*(((Model_Data!A172)+(Inputs!$C$6))/(0.5*(Inputs!$C$49+Inputs!$C$50))+Inputs!$C$47*0.097)))+0.30*(2*((SIN(((Model_Data!A172)*12.9898+(Inputs!$C$6)*78.233+Inputs!$C$47*37.719))*43758.5453)-INT((SIN(((Model_Data!A172)*12.9898+(Inputs!$C$6)*78.233+Inputs!$C$47*37.719))*43758.5453)))-1))))/1000)^2))-(((Model_Data!B172)-((Inputs!$C$51*(115*EXP(-(((0)-25)^2)/(4.5^2))+70*EXP(-(((0)+38)^2)/(7^2))*(0.55+0.45*SIN(2*PI()*(Model_Data!A172)/45))+24*SIN(2*PI()*(0)/9+(Model_Data!A172)/18)*EXP(-(((0)+5)^2)/(22^2))+18*SIN(2*PI()*(Model_Data!A172)/70))+Inputs!$C$28*EXP(-(((Model_Data!A172)-Inputs!$C$29)^2)/(2*Inputs!$C$31^2))*EXP(-(((0)-Inputs!$C$30)^2)/(2*Inputs!$C$32^2))+-Inputs!$C$33*EXP(-(((((Model_Data!A172)-Inputs!$C$34)^2)+(((0)-Inputs!$C$35)^2))/(2*Inputs!$C$36^2)))+Inputs!$C$37*(0.55*SIN(2*PI()*(Model_Data!A172)/Inputs!$C$39)+0.35*COS(2*PI()*(0)/Inputs!$C$40)+0.2*SIN(2*PI()*((Model_Data!A172)+(0))/(0.5*(Inputs!$C$39+Inputs!$C$40))))+Inputs!$C$38*SIN(2*PI()*(Model_Data!A172)/Inputs!$C$39)*SIN(2*PI()*(0)/Inputs!$C$40)+-Inputs!$C$41*EXP(-(((0)-Inputs!$C$43)^2)/(2*Inputs!$C$44^2))*EXP(-(((Model_Data!A172)-Inputs!$C$42)^2)/(2*Inputs!$C$45^2))+Inputs!$C$48*(0.70*(0.45*SIN(2*PI()*(((Model_Data!A172)/Inputs!$C$49)+Inputs!$C$47*0.137))+0.35*COS(2*PI()*(((0)/Inputs!$C$50)+Inputs!$C$47*0.173))+0.20*SIN(2*PI()*(((Model_Data!A172)+(0))/(0.5*(Inputs!$C$49+Inputs!$C$50))+Inputs!$C$47*0.097)))+0.30*(2*((SIN(((Model_Data!A172)*12.9898+(0)*78.233+Inputs!$C$47*37.719))*43758.5453)-INT((SIN(((Model_Data!A172)*12.9898+(0)*78.233+Inputs!$C$47*37.719))*43758.5453)))-1))))/1000)))*1000/Inputs!$C$12)-Model_Data!F172))-(-(((SQRT((Model_Data!A172)^2+Inputs!$C$6^2+(Inputs!$C$5-((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(0.45*SIN(2*PI()*(((Model_Data!A172)/Inputs!$C$49)+Inputs!$C$47*0.137))+0.35*COS(2*PI()*(((Inputs!$C$6)/Inputs!$C$50)+Inputs!$C$47*0.173))+0.20*SIN(2*PI()*(((Model_Data!A172)+(Inputs!$C$6))/(0.5*(Inputs!$C$49+Inputs!$C$50))+Inputs!$C$47*0.097)))+0.30*(2*((SIN(((Model_Data!A172)*12.9898+(Inputs!$C$6)*78.233+Inputs!$C$47*37.719))*43758.5453)-INT((SIN(((Model_Data!A172)*12.9898+(Inputs!$C$6)*78.233+Inputs!$C$47*37.719))*43758.5453)))-1))))/1000)^2)-(Inputs!$C$5-((Inputs!$C$51*(115*EXP(-(((0)-25)^2)/(4.5^2))+70*EXP(-(((0)+38)^2)/(7^2))*(0.55+0.45*SIN(2*PI()*(Model_Data!A172)/45))+24*SIN(2*PI()*(0)/9+(Model_Data!A172)/18)*EXP(-(((0)+5)^2)/(22^2))+18*SIN(2*PI()*(Model_Data!A172)/70))+Inputs!$C$28*EXP(-(((Model_Data!A172)-Inputs!$C$29)^2)/(2*Inputs!$C$31^2))*EXP(-(((0)-Inputs!$C$30)^2)/(2*Inputs!$C$32^2))+-Inputs!$C$33*EXP(-(((((Model_Data!A172)-Inputs!$C$34)^2)+(((0)-Inputs!$C$35)^2))/(2*Inputs!$C$36^2)))+Inputs!$C$37*(0.55*SIN(2*PI()*(Model_Data!A172)/Inputs!$C$39)+0.35*COS(2*PI()*(0)/Inputs!$C$40)+0.2*SIN(2*PI()*((Model_Data!A172)+(0))/(0.5*(Inputs!$C$39+Inputs!$C$40))))+Inputs!$C$38*SIN(2*PI()*(Model_Data!A172)/Inputs!$C$39)*SIN(2*PI()*(0)/Inputs!$C$40)+-Inputs!$C$41*EXP(-(((0)-Inputs!$C$43)^2)/(2*Inputs!$C$44^2))*EXP(-(((Model_Data!A172)-Inputs!$C$42)^2)/(2*Inputs!$C$45^2))+Inputs!$C$48*(0.70*(0.45*SIN(2*PI()*(((Model_Data!A172)/Inputs!$C$49)+Inputs!$C$47*0.137))+0.35*COS(2*PI()*(((0)/Inputs!$C$50)+Inputs!$C$47*0.173))+0.20*SIN(2*PI()*(((Model_Data!A172)+(0))/(0.5*(Inputs!$C$49+Inputs!$C$50))+Inputs!$C$47*0.097)))+0.30*(2*((SIN(((Model_Data!A172)*12.9898+(0)*78.233+Inputs!$C$47*37.719))*43758.5453)-INT((SIN(((Model_Data!A172)*12.9898+(0)*78.233+Inputs!$C$47*37.719))*43758.5453)))-1))))/1000))*1000/Inputs!$C$12)-((SQRT((Model_Data!A172)^2+Inputs!$C$6^2+Inputs!$C$5^2)-Inputs!$C$5)*1000/Inputs!$C$12)))</x:f>
        <x:v>0.0031511816357578937</x:v>
      </x:c>
      <x:c r="X172" s="48" t="n">
        <x:f>0</x:f>
        <x:v>0</x:v>
      </x:c>
      <x:c r="Y172" s="49"/>
      <x:c r="Z172" s="48" t="n">
        <x:f>Model_Data!A172</x:f>
        <x:v>25</x:v>
      </x:c>
      <x:c r="AA172" s="48" t="n">
        <x:f>SQRT((Model_Data!A172)^2+Inputs!$C$6^2+((Model_Data!B172)-((Inputs!$C$51*(115*EXP(-(((Inputs!$C$6)-25)^2)/(4.5^2))+70*EXP(-(((Inputs!$C$6)+38)^2)/(7^2))*(0.55+0.45*SIN(2*PI()*(Model_Data!A172)/45))+24*SIN(2*PI()*(Inputs!$C$6)/9+(Model_Data!A172)/18)*EXP(-(((Inputs!$C$6)+5)^2)/(22^2))+18*SIN(2*PI()*(Model_Data!A172)/70))+Inputs!$C$28*EXP(-(((Model_Data!A172)-Inputs!$C$29)^2)/(2*Inputs!$C$31^2))*EXP(-(((Inputs!$C$6)-Inputs!$C$30)^2)/(2*Inputs!$C$32^2))+-Inputs!$C$33*EXP(-(((((Model_Data!A172)-Inputs!$C$34)^2)+(((Inputs!$C$6)-Inputs!$C$35)^2))/(2*Inputs!$C$36^2)))+Inputs!$C$37*(0.55*SIN(2*PI()*(Model_Data!A172)/Inputs!$C$39)+0.35*COS(2*PI()*(Inputs!$C$6)/Inputs!$C$40)+0.2*SIN(2*PI()*((Model_Data!A172)+(Inputs!$C$6))/(0.5*(Inputs!$C$39+Inputs!$C$40))))+Inputs!$C$38*SIN(2*PI()*(Model_Data!A172)/Inputs!$C$39)*SIN(2*PI()*(Inputs!$C$6)/Inputs!$C$40)+-Inputs!$C$41*EXP(-(((Inputs!$C$6)-Inputs!$C$43)^2)/(2*Inputs!$C$44^2))*EXP(-(((Model_Data!A172)-Inputs!$C$42)^2)/(2*Inputs!$C$45^2))+Inputs!$C$48*(0.70*(0.45*SIN(2*PI()*(((Model_Data!A172)/Inputs!$C$49)+Inputs!$C$47*0.137))+0.35*COS(2*PI()*(((Inputs!$C$6)/Inputs!$C$50)+Inputs!$C$47*0.173))+0.20*SIN(2*PI()*(((Model_Data!A172)+(Inputs!$C$6))/(0.5*(Inputs!$C$49+Inputs!$C$50))+Inputs!$C$47*0.097)))+0.30*(2*((SIN(((Model_Data!A172)*12.9898+(Inputs!$C$6)*78.233+Inputs!$C$47*37.719))*43758.5453)-INT((SIN(((Model_Data!A172)*12.9898+(Inputs!$C$6)*78.233+Inputs!$C$47*37.719))*43758.5453)))-1))))/1000)^2)</x:f>
        <x:v>401.83400286418714</x:v>
      </x:c>
      <x:c r="AB172" s="48" t="n">
        <x:f>1000*(AA173-AA171)/(Z173-Z171)*Inputs!$C$11</x:f>
        <x:v>570.9370851836866</x:v>
      </x:c>
      <x:c r="AC172" s="48" t="n">
        <x:f>-2*AB172/Inputs!$C$13</x:f>
        <x:v>-228.37483407347463</x:v>
      </x:c>
      <x:c r="AD172" s="48" t="n">
        <x:f>-2*AB172/Inputs!$C$14</x:f>
        <x:v>-34.290515626647846</x:v>
      </x:c>
    </x:row>
    <x:row r="173">
      <x:c r="A173" s="48" t="n">
        <x:f>Model_Data!A173</x:f>
        <x:v>25.5</x:v>
      </x:c>
      <x:c r="B173" s="48" t="n">
        <x:f>Model_Data!F173</x:f>
        <x:v>892.1582886614168</x:v>
      </x:c>
      <x:c r="C173" s="48" t="n">
        <x:f>(((SQRT((Model_Data!A173)^2+Inputs!$C$6^2+((Model_Data!B173)-((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(0.45*SIN(2*PI()*(((Model_Data!A173)/Inputs!$C$49)+Inputs!$C$47*0.137))+0.35*COS(2*PI()*(((Inputs!$C$6)/Inputs!$C$50)+Inputs!$C$47*0.173))+0.20*SIN(2*PI()*(((Model_Data!A173)+(Inputs!$C$6))/(0.5*(Inputs!$C$49+Inputs!$C$50))+Inputs!$C$47*0.097)))+0.30*(2*((SIN(((Model_Data!A173)*12.9898+(Inputs!$C$6)*78.233+Inputs!$C$47*37.719))*43758.5453)-INT((SIN(((Model_Data!A173)*12.9898+(Inputs!$C$6)*78.233+Inputs!$C$47*37.719))*43758.5453)))-1))))/1000)^2))-(((Model_Data!B173)-((Inputs!$C$51*(115*EXP(-(((0)-25)^2)/(4.5^2))+70*EXP(-(((0)+38)^2)/(7^2))*(0.55+0.45*SIN(2*PI()*(Model_Data!A173)/45))+24*SIN(2*PI()*(0)/9+(Model_Data!A173)/18)*EXP(-(((0)+5)^2)/(22^2))+18*SIN(2*PI()*(Model_Data!A173)/70))+Inputs!$C$28*EXP(-(((Model_Data!A173)-Inputs!$C$29)^2)/(2*Inputs!$C$31^2))*EXP(-(((0)-Inputs!$C$30)^2)/(2*Inputs!$C$32^2))+-Inputs!$C$33*EXP(-(((((Model_Data!A173)-Inputs!$C$34)^2)+(((0)-Inputs!$C$35)^2))/(2*Inputs!$C$36^2)))+Inputs!$C$37*(0.55*SIN(2*PI()*(Model_Data!A173)/Inputs!$C$39)+0.35*COS(2*PI()*(0)/Inputs!$C$40)+0.2*SIN(2*PI()*((Model_Data!A173)+(0))/(0.5*(Inputs!$C$39+Inputs!$C$40))))+Inputs!$C$38*SIN(2*PI()*(Model_Data!A173)/Inputs!$C$39)*SIN(2*PI()*(0)/Inputs!$C$40)+-Inputs!$C$41*EXP(-(((0)-Inputs!$C$43)^2)/(2*Inputs!$C$44^2))*EXP(-(((Model_Data!A173)-Inputs!$C$42)^2)/(2*Inputs!$C$45^2))+Inputs!$C$48*(0.70*(0.45*SIN(2*PI()*(((Model_Data!A173)/Inputs!$C$49)+Inputs!$C$47*0.137))+0.35*COS(2*PI()*(((0)/Inputs!$C$50)+Inputs!$C$47*0.173))+0.20*SIN(2*PI()*(((Model_Data!A173)+(0))/(0.5*(Inputs!$C$49+Inputs!$C$50))+Inputs!$C$47*0.097)))+0.30*(2*((SIN(((Model_Data!A173)*12.9898+(0)*78.233+Inputs!$C$47*37.719))*43758.5453)-INT((SIN(((Model_Data!A173)*12.9898+(0)*78.233+Inputs!$C$47*37.719))*43758.5453)))-1))))/1000)))*1000/Inputs!$C$12)</x:f>
        <x:v>711.9821814901404</x:v>
      </x:c>
      <x:c r="D173" s="49"/>
      <x:c r="E173" s="48" t="n">
        <x:f>Model_Data!A173</x:f>
        <x:v>25.5</x:v>
      </x:c>
      <x:c r="F173" s="48" t="n">
        <x:f>(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(0.45*SIN(2*PI()*(((Model_Data!A173)/Inputs!$C$49)+Inputs!$C$47*0.137))+0.35*COS(2*PI()*(((Inputs!$C$6)/Inputs!$C$50)+Inputs!$C$47*0.173))+0.20*SIN(2*PI()*(((Model_Data!A173)+(Inputs!$C$6))/(0.5*(Inputs!$C$49+Inputs!$C$50))+Inputs!$C$47*0.097)))+0.30*(2*((SIN(((Model_Data!A173)*12.9898+(Inputs!$C$6)*78.233+Inputs!$C$47*37.719))*43758.5453)-INT((SIN(((Model_Data!A173)*12.9898+(Inputs!$C$6)*78.233+Inputs!$C$47*37.719))*43758.5453)))-1)))</x:f>
        <x:v>390.15691093629596</x:v>
      </x:c>
      <x:c r="G173" s="48" t="n">
        <x:f>(Inputs!$C$51*(115*EXP(-(((0)-25)^2)/(4.5^2))+70*EXP(-(((0)+38)^2)/(7^2))*(0.55+0.45*SIN(2*PI()*(Model_Data!A173)/45))+24*SIN(2*PI()*(0)/9+(Model_Data!A173)/18)*EXP(-(((0)+5)^2)/(22^2))+18*SIN(2*PI()*(Model_Data!A173)/70))+Inputs!$C$28*EXP(-(((Model_Data!A173)-Inputs!$C$29)^2)/(2*Inputs!$C$31^2))*EXP(-(((0)-Inputs!$C$30)^2)/(2*Inputs!$C$32^2))+-Inputs!$C$33*EXP(-(((((Model_Data!A173)-Inputs!$C$34)^2)+(((0)-Inputs!$C$35)^2))/(2*Inputs!$C$36^2)))+Inputs!$C$37*(0.55*SIN(2*PI()*(Model_Data!A173)/Inputs!$C$39)+0.35*COS(2*PI()*(0)/Inputs!$C$40)+0.2*SIN(2*PI()*((Model_Data!A173)+(0))/(0.5*(Inputs!$C$39+Inputs!$C$40))))+Inputs!$C$38*SIN(2*PI()*(Model_Data!A173)/Inputs!$C$39)*SIN(2*PI()*(0)/Inputs!$C$40)+-Inputs!$C$41*EXP(-(((0)-Inputs!$C$43)^2)/(2*Inputs!$C$44^2))*EXP(-(((Model_Data!A173)-Inputs!$C$42)^2)/(2*Inputs!$C$45^2))+Inputs!$C$48*(0.70*(0.45*SIN(2*PI()*(((Model_Data!A173)/Inputs!$C$49)+Inputs!$C$47*0.137))+0.35*COS(2*PI()*(((0)/Inputs!$C$50)+Inputs!$C$47*0.173))+0.20*SIN(2*PI()*(((Model_Data!A173)+(0))/(0.5*(Inputs!$C$49+Inputs!$C$50))+Inputs!$C$47*0.097)))+0.30*(2*((SIN(((Model_Data!A173)*12.9898+(0)*78.233+Inputs!$C$47*37.719))*43758.5453)-INT((SIN(((Model_Data!A173)*12.9898+(0)*78.233+Inputs!$C$47*37.719))*43758.5453)))-1)))</x:f>
        <x:v>67.90188044896082</x:v>
      </x:c>
      <x:c r="H173" s="49"/>
      <x:c r="I173" s="48" t="n">
        <x:f>Model_Data!A173</x:f>
        <x:v>25.5</x:v>
      </x:c>
      <x:c r="J173" s="48" t="n">
        <x:f>((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(0.45*SIN(2*PI()*(((Model_Data!A173)/Inputs!$C$49)+Inputs!$C$47*0.137))+0.35*COS(2*PI()*(((Inputs!$C$6)/Inputs!$C$50)+Inputs!$C$47*0.173))+0.20*SIN(2*PI()*(((Model_Data!A173)+(Inputs!$C$6))/(0.5*(Inputs!$C$49+Inputs!$C$50))+Inputs!$C$47*0.097)))+0.30*(2*((SIN(((Model_Data!A173)*12.9898+(Inputs!$C$6)*78.233+Inputs!$C$47*37.719))*43758.5453)-INT((SIN(((Model_Data!A173)*12.9898+(Inputs!$C$6)*78.233+Inputs!$C$47*37.719))*43758.5453)))-1))))-((Inputs!$C$51*(115*EXP(-(((0)-25)^2)/(4.5^2))+70*EXP(-(((0)+38)^2)/(7^2))*(0.55+0.45*SIN(2*PI()*(Model_Data!A173)/45))+24*SIN(2*PI()*(0)/9+(Model_Data!A173)/18)*EXP(-(((0)+5)^2)/(22^2))+18*SIN(2*PI()*(Model_Data!A173)/70))+Inputs!$C$28*EXP(-(((Model_Data!A173)-Inputs!$C$29)^2)/(2*Inputs!$C$31^2))*EXP(-(((0)-Inputs!$C$30)^2)/(2*Inputs!$C$32^2))+-Inputs!$C$33*EXP(-(((((Model_Data!A173)-Inputs!$C$34)^2)+(((0)-Inputs!$C$35)^2))/(2*Inputs!$C$36^2)))+Inputs!$C$37*(0.55*SIN(2*PI()*(Model_Data!A173)/Inputs!$C$39)+0.35*COS(2*PI()*(0)/Inputs!$C$40)+0.2*SIN(2*PI()*((Model_Data!A173)+(0))/(0.5*(Inputs!$C$39+Inputs!$C$40))))+Inputs!$C$38*SIN(2*PI()*(Model_Data!A173)/Inputs!$C$39)*SIN(2*PI()*(0)/Inputs!$C$40)+-Inputs!$C$41*EXP(-(((0)-Inputs!$C$43)^2)/(2*Inputs!$C$44^2))*EXP(-(((Model_Data!A173)-Inputs!$C$42)^2)/(2*Inputs!$C$45^2))+Inputs!$C$48*(0.70*(0.45*SIN(2*PI()*(((Model_Data!A173)/Inputs!$C$49)+Inputs!$C$47*0.137))+0.35*COS(2*PI()*(((0)/Inputs!$C$50)+Inputs!$C$47*0.173))+0.20*SIN(2*PI()*(((Model_Data!A173)+(0))/(0.5*(Inputs!$C$49+Inputs!$C$50))+Inputs!$C$47*0.097)))+0.30*(2*((SIN(((Model_Data!A173)*12.9898+(0)*78.233+Inputs!$C$47*37.719))*43758.5453)-INT((SIN(((Model_Data!A173)*12.9898+(0)*78.233+Inputs!$C$47*37.719))*43758.5453)))-1))))</x:f>
        <x:v>322.25503048733515</x:v>
      </x:c>
      <x:c r="K173" s="48" t="n">
        <x:f>-((((SQRT((Model_Data!A173)^2+Inputs!$C$6^2+((Model_Data!B173)-((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(0.45*SIN(2*PI()*(((Model_Data!A173)/Inputs!$C$49)+Inputs!$C$47*0.137))+0.35*COS(2*PI()*(((Inputs!$C$6)/Inputs!$C$50)+Inputs!$C$47*0.173))+0.20*SIN(2*PI()*(((Model_Data!A173)+(Inputs!$C$6))/(0.5*(Inputs!$C$49+Inputs!$C$50))+Inputs!$C$47*0.097)))+0.30*(2*((SIN(((Model_Data!A173)*12.9898+(Inputs!$C$6)*78.233+Inputs!$C$47*37.719))*43758.5453)-INT((SIN(((Model_Data!A173)*12.9898+(Inputs!$C$6)*78.233+Inputs!$C$47*37.719))*43758.5453)))-1))))/1000)^2))-(((Model_Data!B173)-((Inputs!$C$51*(115*EXP(-(((0)-25)^2)/(4.5^2))+70*EXP(-(((0)+38)^2)/(7^2))*(0.55+0.45*SIN(2*PI()*(Model_Data!A173)/45))+24*SIN(2*PI()*(0)/9+(Model_Data!A173)/18)*EXP(-(((0)+5)^2)/(22^2))+18*SIN(2*PI()*(Model_Data!A173)/70))+Inputs!$C$28*EXP(-(((Model_Data!A173)-Inputs!$C$29)^2)/(2*Inputs!$C$31^2))*EXP(-(((0)-Inputs!$C$30)^2)/(2*Inputs!$C$32^2))+-Inputs!$C$33*EXP(-(((((Model_Data!A173)-Inputs!$C$34)^2)+(((0)-Inputs!$C$35)^2))/(2*Inputs!$C$36^2)))+Inputs!$C$37*(0.55*SIN(2*PI()*(Model_Data!A173)/Inputs!$C$39)+0.35*COS(2*PI()*(0)/Inputs!$C$40)+0.2*SIN(2*PI()*((Model_Data!A173)+(0))/(0.5*(Inputs!$C$39+Inputs!$C$40))))+Inputs!$C$38*SIN(2*PI()*(Model_Data!A173)/Inputs!$C$39)*SIN(2*PI()*(0)/Inputs!$C$40)+-Inputs!$C$41*EXP(-(((0)-Inputs!$C$43)^2)/(2*Inputs!$C$44^2))*EXP(-(((Model_Data!A173)-Inputs!$C$42)^2)/(2*Inputs!$C$45^2))+Inputs!$C$48*(0.70*(0.45*SIN(2*PI()*(((Model_Data!A173)/Inputs!$C$49)+Inputs!$C$47*0.137))+0.35*COS(2*PI()*(((0)/Inputs!$C$50)+Inputs!$C$47*0.173))+0.20*SIN(2*PI()*(((Model_Data!A173)+(0))/(0.5*(Inputs!$C$49+Inputs!$C$50))+Inputs!$C$47*0.097)))+0.30*(2*((SIN(((Model_Data!A173)*12.9898+(0)*78.233+Inputs!$C$47*37.719))*43758.5453)-INT((SIN(((Model_Data!A173)*12.9898+(0)*78.233+Inputs!$C$47*37.719))*43758.5453)))-1))))/1000)))*1000/Inputs!$C$12)-Model_Data!F173)</x:f>
        <x:v>180.17610717127639</x:v>
      </x:c>
      <x:c r="L173" s="49"/>
      <x:c r="M173" s="48" t="n">
        <x:f>Model_Data!A173</x:f>
        <x:v>25.5</x:v>
      </x:c>
      <x:c r="N173" s="48" t="n">
        <x:f>Model_Data!P173</x:f>
        <x:v>-191.72297349476912</x:v>
      </x:c>
      <x:c r="O173" s="48" t="n">
        <x:f>AC173</x:f>
        <x:v>-241.95565964828347</x:v>
      </x:c>
      <x:c r="P173" s="48" t="n">
        <x:f>Model_Data!Q173</x:f>
        <x:v>-28.787233257472842</x:v>
      </x:c>
      <x:c r="Q173" s="48" t="n">
        <x:f>AD173</x:f>
        <x:v>-36.32967862586839</x:v>
      </x:c>
      <x:c r="R173" s="49"/>
      <x:c r="S173" s="48" t="n">
        <x:f>Model_Data!A173</x:f>
        <x:v>25.5</x:v>
      </x:c>
      <x:c r="T173" s="48" t="n">
        <x:f>Model_Data!B173-Inputs!$C$5</x:f>
        <x:v>0.722500000000025</x:v>
      </x:c>
      <x:c r="U173" s="49"/>
      <x:c r="V173" s="48" t="n">
        <x:f>Model_Data!A173</x:f>
        <x:v>25.5</x:v>
      </x:c>
      <x:c r="W173" s="48" t="n">
        <x:f>(-((((SQRT((Model_Data!A173)^2+Inputs!$C$6^2+((Model_Data!B173)-((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(0.45*SIN(2*PI()*(((Model_Data!A173)/Inputs!$C$49)+Inputs!$C$47*0.137))+0.35*COS(2*PI()*(((Inputs!$C$6)/Inputs!$C$50)+Inputs!$C$47*0.173))+0.20*SIN(2*PI()*(((Model_Data!A173)+(Inputs!$C$6))/(0.5*(Inputs!$C$49+Inputs!$C$50))+Inputs!$C$47*0.097)))+0.30*(2*((SIN(((Model_Data!A173)*12.9898+(Inputs!$C$6)*78.233+Inputs!$C$47*37.719))*43758.5453)-INT((SIN(((Model_Data!A173)*12.9898+(Inputs!$C$6)*78.233+Inputs!$C$47*37.719))*43758.5453)))-1))))/1000)^2))-(((Model_Data!B173)-((Inputs!$C$51*(115*EXP(-(((0)-25)^2)/(4.5^2))+70*EXP(-(((0)+38)^2)/(7^2))*(0.55+0.45*SIN(2*PI()*(Model_Data!A173)/45))+24*SIN(2*PI()*(0)/9+(Model_Data!A173)/18)*EXP(-(((0)+5)^2)/(22^2))+18*SIN(2*PI()*(Model_Data!A173)/70))+Inputs!$C$28*EXP(-(((Model_Data!A173)-Inputs!$C$29)^2)/(2*Inputs!$C$31^2))*EXP(-(((0)-Inputs!$C$30)^2)/(2*Inputs!$C$32^2))+-Inputs!$C$33*EXP(-(((((Model_Data!A173)-Inputs!$C$34)^2)+(((0)-Inputs!$C$35)^2))/(2*Inputs!$C$36^2)))+Inputs!$C$37*(0.55*SIN(2*PI()*(Model_Data!A173)/Inputs!$C$39)+0.35*COS(2*PI()*(0)/Inputs!$C$40)+0.2*SIN(2*PI()*((Model_Data!A173)+(0))/(0.5*(Inputs!$C$39+Inputs!$C$40))))+Inputs!$C$38*SIN(2*PI()*(Model_Data!A173)/Inputs!$C$39)*SIN(2*PI()*(0)/Inputs!$C$40)+-Inputs!$C$41*EXP(-(((0)-Inputs!$C$43)^2)/(2*Inputs!$C$44^2))*EXP(-(((Model_Data!A173)-Inputs!$C$42)^2)/(2*Inputs!$C$45^2))+Inputs!$C$48*(0.70*(0.45*SIN(2*PI()*(((Model_Data!A173)/Inputs!$C$49)+Inputs!$C$47*0.137))+0.35*COS(2*PI()*(((0)/Inputs!$C$50)+Inputs!$C$47*0.173))+0.20*SIN(2*PI()*(((Model_Data!A173)+(0))/(0.5*(Inputs!$C$49+Inputs!$C$50))+Inputs!$C$47*0.097)))+0.30*(2*((SIN(((Model_Data!A173)*12.9898+(0)*78.233+Inputs!$C$47*37.719))*43758.5453)-INT((SIN(((Model_Data!A173)*12.9898+(0)*78.233+Inputs!$C$47*37.719))*43758.5453)))-1))))/1000)))*1000/Inputs!$C$12)-Model_Data!F173))-(-(((SQRT((Model_Data!A173)^2+Inputs!$C$6^2+(Inputs!$C$5-((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(0.45*SIN(2*PI()*(((Model_Data!A173)/Inputs!$C$49)+Inputs!$C$47*0.137))+0.35*COS(2*PI()*(((Inputs!$C$6)/Inputs!$C$50)+Inputs!$C$47*0.173))+0.20*SIN(2*PI()*(((Model_Data!A173)+(Inputs!$C$6))/(0.5*(Inputs!$C$49+Inputs!$C$50))+Inputs!$C$47*0.097)))+0.30*(2*((SIN(((Model_Data!A173)*12.9898+(Inputs!$C$6)*78.233+Inputs!$C$47*37.719))*43758.5453)-INT((SIN(((Model_Data!A173)*12.9898+(Inputs!$C$6)*78.233+Inputs!$C$47*37.719))*43758.5453)))-1))))/1000)^2)-(Inputs!$C$5-((Inputs!$C$51*(115*EXP(-(((0)-25)^2)/(4.5^2))+70*EXP(-(((0)+38)^2)/(7^2))*(0.55+0.45*SIN(2*PI()*(Model_Data!A173)/45))+24*SIN(2*PI()*(0)/9+(Model_Data!A173)/18)*EXP(-(((0)+5)^2)/(22^2))+18*SIN(2*PI()*(Model_Data!A173)/70))+Inputs!$C$28*EXP(-(((Model_Data!A173)-Inputs!$C$29)^2)/(2*Inputs!$C$31^2))*EXP(-(((0)-Inputs!$C$30)^2)/(2*Inputs!$C$32^2))+-Inputs!$C$33*EXP(-(((((Model_Data!A173)-Inputs!$C$34)^2)+(((0)-Inputs!$C$35)^2))/(2*Inputs!$C$36^2)))+Inputs!$C$37*(0.55*SIN(2*PI()*(Model_Data!A173)/Inputs!$C$39)+0.35*COS(2*PI()*(0)/Inputs!$C$40)+0.2*SIN(2*PI()*((Model_Data!A173)+(0))/(0.5*(Inputs!$C$39+Inputs!$C$40))))+Inputs!$C$38*SIN(2*PI()*(Model_Data!A173)/Inputs!$C$39)*SIN(2*PI()*(0)/Inputs!$C$40)+-Inputs!$C$41*EXP(-(((0)-Inputs!$C$43)^2)/(2*Inputs!$C$44^2))*EXP(-(((Model_Data!A173)-Inputs!$C$42)^2)/(2*Inputs!$C$45^2))+Inputs!$C$48*(0.70*(0.45*SIN(2*PI()*(((Model_Data!A173)/Inputs!$C$49)+Inputs!$C$47*0.137))+0.35*COS(2*PI()*(((0)/Inputs!$C$50)+Inputs!$C$47*0.173))+0.20*SIN(2*PI()*(((Model_Data!A173)+(0))/(0.5*(Inputs!$C$49+Inputs!$C$50))+Inputs!$C$47*0.097)))+0.30*(2*((SIN(((Model_Data!A173)*12.9898+(0)*78.233+Inputs!$C$47*37.719))*43758.5453)-INT((SIN(((Model_Data!A173)*12.9898+(0)*78.233+Inputs!$C$47*37.719))*43758.5453)))-1))))/1000))*1000/Inputs!$C$12)-((SQRT((Model_Data!A173)^2+Inputs!$C$6^2+Inputs!$C$5^2)-Inputs!$C$5)*1000/Inputs!$C$12)))</x:f>
        <x:v>0.0031143321868967178</x:v>
      </x:c>
      <x:c r="X173" s="48" t="n">
        <x:f>0</x:f>
        <x:v>0</x:v>
      </x:c>
      <x:c r="Y173" s="49"/>
      <x:c r="Z173" s="48" t="n">
        <x:f>Model_Data!A173</x:f>
        <x:v>25.5</x:v>
      </x:c>
      <x:c r="AA173" s="48" t="n">
        <x:f>SQRT((Model_Data!A173)^2+Inputs!$C$6^2+((Model_Data!B173)-((Inputs!$C$51*(115*EXP(-(((Inputs!$C$6)-25)^2)/(4.5^2))+70*EXP(-(((Inputs!$C$6)+38)^2)/(7^2))*(0.55+0.45*SIN(2*PI()*(Model_Data!A173)/45))+24*SIN(2*PI()*(Inputs!$C$6)/9+(Model_Data!A173)/18)*EXP(-(((Inputs!$C$6)+5)^2)/(22^2))+18*SIN(2*PI()*(Model_Data!A173)/70))+Inputs!$C$28*EXP(-(((Model_Data!A173)-Inputs!$C$29)^2)/(2*Inputs!$C$31^2))*EXP(-(((Inputs!$C$6)-Inputs!$C$30)^2)/(2*Inputs!$C$32^2))+-Inputs!$C$33*EXP(-(((((Model_Data!A173)-Inputs!$C$34)^2)+(((Inputs!$C$6)-Inputs!$C$35)^2))/(2*Inputs!$C$36^2)))+Inputs!$C$37*(0.55*SIN(2*PI()*(Model_Data!A173)/Inputs!$C$39)+0.35*COS(2*PI()*(Inputs!$C$6)/Inputs!$C$40)+0.2*SIN(2*PI()*((Model_Data!A173)+(Inputs!$C$6))/(0.5*(Inputs!$C$39+Inputs!$C$40))))+Inputs!$C$38*SIN(2*PI()*(Model_Data!A173)/Inputs!$C$39)*SIN(2*PI()*(Inputs!$C$6)/Inputs!$C$40)+-Inputs!$C$41*EXP(-(((Inputs!$C$6)-Inputs!$C$43)^2)/(2*Inputs!$C$44^2))*EXP(-(((Model_Data!A173)-Inputs!$C$42)^2)/(2*Inputs!$C$45^2))+Inputs!$C$48*(0.70*(0.45*SIN(2*PI()*(((Model_Data!A173)/Inputs!$C$49)+Inputs!$C$47*0.137))+0.35*COS(2*PI()*(((Inputs!$C$6)/Inputs!$C$50)+Inputs!$C$47*0.173))+0.20*SIN(2*PI()*(((Model_Data!A173)+(Inputs!$C$6))/(0.5*(Inputs!$C$49+Inputs!$C$50))+Inputs!$C$47*0.097)))+0.30*(2*((SIN(((Model_Data!A173)*12.9898+(Inputs!$C$6)*78.233+Inputs!$C$47*37.719))*43758.5453)-INT((SIN(((Model_Data!A173)*12.9898+(Inputs!$C$6)*78.233+Inputs!$C$47*37.719))*43758.5453)))-1))))/1000)^2)</x:f>
        <x:v>401.9219264026035</x:v>
      </x:c>
      <x:c r="AB173" s="48" t="n">
        <x:f>1000*(AA174-AA172)/(Z174-Z172)*Inputs!$C$11</x:f>
        <x:v>604.8891491207087</x:v>
      </x:c>
      <x:c r="AC173" s="48" t="n">
        <x:f>-2*AB173/Inputs!$C$13</x:f>
        <x:v>-241.95565964828347</x:v>
      </x:c>
      <x:c r="AD173" s="48" t="n">
        <x:f>-2*AB173/Inputs!$C$14</x:f>
        <x:v>-36.32967862586839</x:v>
      </x:c>
    </x:row>
    <x:row r="174">
      <x:c r="A174" s="48" t="n">
        <x:f>Model_Data!A174</x:f>
        <x:v>26</x:v>
      </x:c>
      <x:c r="B174" s="48" t="n">
        <x:f>Model_Data!F174</x:f>
        <x:v>910.071869227484</x:v>
      </x:c>
      <x:c r="C174" s="48" t="n">
        <x:f>(((SQRT((Model_Data!A174)^2+Inputs!$C$6^2+((Model_Data!B174)-((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(0.45*SIN(2*PI()*(((Model_Data!A174)/Inputs!$C$49)+Inputs!$C$47*0.137))+0.35*COS(2*PI()*(((Inputs!$C$6)/Inputs!$C$50)+Inputs!$C$47*0.173))+0.20*SIN(2*PI()*(((Model_Data!A174)+(Inputs!$C$6))/(0.5*(Inputs!$C$49+Inputs!$C$50))+Inputs!$C$47*0.097)))+0.30*(2*((SIN(((Model_Data!A174)*12.9898+(Inputs!$C$6)*78.233+Inputs!$C$47*37.719))*43758.5453)-INT((SIN(((Model_Data!A174)*12.9898+(Inputs!$C$6)*78.233+Inputs!$C$47*37.719))*43758.5453)))-1))))/1000)^2))-(((Model_Data!B174)-((Inputs!$C$51*(115*EXP(-(((0)-25)^2)/(4.5^2))+70*EXP(-(((0)+38)^2)/(7^2))*(0.55+0.45*SIN(2*PI()*(Model_Data!A174)/45))+24*SIN(2*PI()*(0)/9+(Model_Data!A174)/18)*EXP(-(((0)+5)^2)/(22^2))+18*SIN(2*PI()*(Model_Data!A174)/70))+Inputs!$C$28*EXP(-(((Model_Data!A174)-Inputs!$C$29)^2)/(2*Inputs!$C$31^2))*EXP(-(((0)-Inputs!$C$30)^2)/(2*Inputs!$C$32^2))+-Inputs!$C$33*EXP(-(((((Model_Data!A174)-Inputs!$C$34)^2)+(((0)-Inputs!$C$35)^2))/(2*Inputs!$C$36^2)))+Inputs!$C$37*(0.55*SIN(2*PI()*(Model_Data!A174)/Inputs!$C$39)+0.35*COS(2*PI()*(0)/Inputs!$C$40)+0.2*SIN(2*PI()*((Model_Data!A174)+(0))/(0.5*(Inputs!$C$39+Inputs!$C$40))))+Inputs!$C$38*SIN(2*PI()*(Model_Data!A174)/Inputs!$C$39)*SIN(2*PI()*(0)/Inputs!$C$40)+-Inputs!$C$41*EXP(-(((0)-Inputs!$C$43)^2)/(2*Inputs!$C$44^2))*EXP(-(((Model_Data!A174)-Inputs!$C$42)^2)/(2*Inputs!$C$45^2))+Inputs!$C$48*(0.70*(0.45*SIN(2*PI()*(((Model_Data!A174)/Inputs!$C$49)+Inputs!$C$47*0.137))+0.35*COS(2*PI()*(((0)/Inputs!$C$50)+Inputs!$C$47*0.173))+0.20*SIN(2*PI()*(((Model_Data!A174)+(0))/(0.5*(Inputs!$C$49+Inputs!$C$50))+Inputs!$C$47*0.097)))+0.30*(2*((SIN(((Model_Data!A174)*12.9898+(0)*78.233+Inputs!$C$47*37.719))*43758.5453)-INT((SIN(((Model_Data!A174)*12.9898+(0)*78.233+Inputs!$C$47*37.719))*43758.5453)))-1))))/1000)))*1000/Inputs!$C$12)</x:f>
        <x:v>729.8577034934683</x:v>
      </x:c>
      <x:c r="D174" s="49"/>
      <x:c r="E174" s="48" t="n">
        <x:f>Model_Data!A174</x:f>
        <x:v>26</x:v>
      </x:c>
      <x:c r="F174" s="48" t="n">
        <x:f>(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(0.45*SIN(2*PI()*(((Model_Data!A174)/Inputs!$C$49)+Inputs!$C$47*0.137))+0.35*COS(2*PI()*(((Inputs!$C$6)/Inputs!$C$50)+Inputs!$C$47*0.173))+0.20*SIN(2*PI()*(((Model_Data!A174)+(Inputs!$C$6))/(0.5*(Inputs!$C$49+Inputs!$C$50))+Inputs!$C$47*0.097)))+0.30*(2*((SIN(((Model_Data!A174)*12.9898+(Inputs!$C$6)*78.233+Inputs!$C$47*37.719))*43758.5453)-INT((SIN(((Model_Data!A174)*12.9898+(Inputs!$C$6)*78.233+Inputs!$C$47*37.719))*43758.5453)))-1)))</x:f>
        <x:v>387.3749410180904</x:v>
      </x:c>
      <x:c r="G174" s="48" t="n">
        <x:f>(Inputs!$C$51*(115*EXP(-(((0)-25)^2)/(4.5^2))+70*EXP(-(((0)+38)^2)/(7^2))*(0.55+0.45*SIN(2*PI()*(Model_Data!A174)/45))+24*SIN(2*PI()*(0)/9+(Model_Data!A174)/18)*EXP(-(((0)+5)^2)/(22^2))+18*SIN(2*PI()*(Model_Data!A174)/70))+Inputs!$C$28*EXP(-(((Model_Data!A174)-Inputs!$C$29)^2)/(2*Inputs!$C$31^2))*EXP(-(((0)-Inputs!$C$30)^2)/(2*Inputs!$C$32^2))+-Inputs!$C$33*EXP(-(((((Model_Data!A174)-Inputs!$C$34)^2)+(((0)-Inputs!$C$35)^2))/(2*Inputs!$C$36^2)))+Inputs!$C$37*(0.55*SIN(2*PI()*(Model_Data!A174)/Inputs!$C$39)+0.35*COS(2*PI()*(0)/Inputs!$C$40)+0.2*SIN(2*PI()*((Model_Data!A174)+(0))/(0.5*(Inputs!$C$39+Inputs!$C$40))))+Inputs!$C$38*SIN(2*PI()*(Model_Data!A174)/Inputs!$C$39)*SIN(2*PI()*(0)/Inputs!$C$40)+-Inputs!$C$41*EXP(-(((0)-Inputs!$C$43)^2)/(2*Inputs!$C$44^2))*EXP(-(((Model_Data!A174)-Inputs!$C$42)^2)/(2*Inputs!$C$45^2))+Inputs!$C$48*(0.70*(0.45*SIN(2*PI()*(((Model_Data!A174)/Inputs!$C$49)+Inputs!$C$47*0.137))+0.35*COS(2*PI()*(((0)/Inputs!$C$50)+Inputs!$C$47*0.173))+0.20*SIN(2*PI()*(((Model_Data!A174)+(0))/(0.5*(Inputs!$C$49+Inputs!$C$50))+Inputs!$C$47*0.097)))+0.30*(2*((SIN(((Model_Data!A174)*12.9898+(0)*78.233+Inputs!$C$47*37.719))*43758.5453)-INT((SIN(((Model_Data!A174)*12.9898+(0)*78.233+Inputs!$C$47*37.719))*43758.5453)))-1)))</x:f>
        <x:v>65.03267186217182</x:v>
      </x:c>
      <x:c r="H174" s="49"/>
      <x:c r="I174" s="48" t="n">
        <x:f>Model_Data!A174</x:f>
        <x:v>26</x:v>
      </x:c>
      <x:c r="J174" s="48" t="n">
        <x:f>((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(0.45*SIN(2*PI()*(((Model_Data!A174)/Inputs!$C$49)+Inputs!$C$47*0.137))+0.35*COS(2*PI()*(((Inputs!$C$6)/Inputs!$C$50)+Inputs!$C$47*0.173))+0.20*SIN(2*PI()*(((Model_Data!A174)+(Inputs!$C$6))/(0.5*(Inputs!$C$49+Inputs!$C$50))+Inputs!$C$47*0.097)))+0.30*(2*((SIN(((Model_Data!A174)*12.9898+(Inputs!$C$6)*78.233+Inputs!$C$47*37.719))*43758.5453)-INT((SIN(((Model_Data!A174)*12.9898+(Inputs!$C$6)*78.233+Inputs!$C$47*37.719))*43758.5453)))-1))))-((Inputs!$C$51*(115*EXP(-(((0)-25)^2)/(4.5^2))+70*EXP(-(((0)+38)^2)/(7^2))*(0.55+0.45*SIN(2*PI()*(Model_Data!A174)/45))+24*SIN(2*PI()*(0)/9+(Model_Data!A174)/18)*EXP(-(((0)+5)^2)/(22^2))+18*SIN(2*PI()*(Model_Data!A174)/70))+Inputs!$C$28*EXP(-(((Model_Data!A174)-Inputs!$C$29)^2)/(2*Inputs!$C$31^2))*EXP(-(((0)-Inputs!$C$30)^2)/(2*Inputs!$C$32^2))+-Inputs!$C$33*EXP(-(((((Model_Data!A174)-Inputs!$C$34)^2)+(((0)-Inputs!$C$35)^2))/(2*Inputs!$C$36^2)))+Inputs!$C$37*(0.55*SIN(2*PI()*(Model_Data!A174)/Inputs!$C$39)+0.35*COS(2*PI()*(0)/Inputs!$C$40)+0.2*SIN(2*PI()*((Model_Data!A174)+(0))/(0.5*(Inputs!$C$39+Inputs!$C$40))))+Inputs!$C$38*SIN(2*PI()*(Model_Data!A174)/Inputs!$C$39)*SIN(2*PI()*(0)/Inputs!$C$40)+-Inputs!$C$41*EXP(-(((0)-Inputs!$C$43)^2)/(2*Inputs!$C$44^2))*EXP(-(((Model_Data!A174)-Inputs!$C$42)^2)/(2*Inputs!$C$45^2))+Inputs!$C$48*(0.70*(0.45*SIN(2*PI()*(((Model_Data!A174)/Inputs!$C$49)+Inputs!$C$47*0.137))+0.35*COS(2*PI()*(((0)/Inputs!$C$50)+Inputs!$C$47*0.173))+0.20*SIN(2*PI()*(((Model_Data!A174)+(0))/(0.5*(Inputs!$C$49+Inputs!$C$50))+Inputs!$C$47*0.097)))+0.30*(2*((SIN(((Model_Data!A174)*12.9898+(0)*78.233+Inputs!$C$47*37.719))*43758.5453)-INT((SIN(((Model_Data!A174)*12.9898+(0)*78.233+Inputs!$C$47*37.719))*43758.5453)))-1))))</x:f>
        <x:v>322.3422691559186</x:v>
      </x:c>
      <x:c r="K174" s="48" t="n">
        <x:f>-((((SQRT((Model_Data!A174)^2+Inputs!$C$6^2+((Model_Data!B174)-((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(0.45*SIN(2*PI()*(((Model_Data!A174)/Inputs!$C$49)+Inputs!$C$47*0.137))+0.35*COS(2*PI()*(((Inputs!$C$6)/Inputs!$C$50)+Inputs!$C$47*0.173))+0.20*SIN(2*PI()*(((Model_Data!A174)+(Inputs!$C$6))/(0.5*(Inputs!$C$49+Inputs!$C$50))+Inputs!$C$47*0.097)))+0.30*(2*((SIN(((Model_Data!A174)*12.9898+(Inputs!$C$6)*78.233+Inputs!$C$47*37.719))*43758.5453)-INT((SIN(((Model_Data!A174)*12.9898+(Inputs!$C$6)*78.233+Inputs!$C$47*37.719))*43758.5453)))-1))))/1000)^2))-(((Model_Data!B174)-((Inputs!$C$51*(115*EXP(-(((0)-25)^2)/(4.5^2))+70*EXP(-(((0)+38)^2)/(7^2))*(0.55+0.45*SIN(2*PI()*(Model_Data!A174)/45))+24*SIN(2*PI()*(0)/9+(Model_Data!A174)/18)*EXP(-(((0)+5)^2)/(22^2))+18*SIN(2*PI()*(Model_Data!A174)/70))+Inputs!$C$28*EXP(-(((Model_Data!A174)-Inputs!$C$29)^2)/(2*Inputs!$C$31^2))*EXP(-(((0)-Inputs!$C$30)^2)/(2*Inputs!$C$32^2))+-Inputs!$C$33*EXP(-(((((Model_Data!A174)-Inputs!$C$34)^2)+(((0)-Inputs!$C$35)^2))/(2*Inputs!$C$36^2)))+Inputs!$C$37*(0.55*SIN(2*PI()*(Model_Data!A174)/Inputs!$C$39)+0.35*COS(2*PI()*(0)/Inputs!$C$40)+0.2*SIN(2*PI()*((Model_Data!A174)+(0))/(0.5*(Inputs!$C$39+Inputs!$C$40))))+Inputs!$C$38*SIN(2*PI()*(Model_Data!A174)/Inputs!$C$39)*SIN(2*PI()*(0)/Inputs!$C$40)+-Inputs!$C$41*EXP(-(((0)-Inputs!$C$43)^2)/(2*Inputs!$C$44^2))*EXP(-(((Model_Data!A174)-Inputs!$C$42)^2)/(2*Inputs!$C$45^2))+Inputs!$C$48*(0.70*(0.45*SIN(2*PI()*(((Model_Data!A174)/Inputs!$C$49)+Inputs!$C$47*0.137))+0.35*COS(2*PI()*(((0)/Inputs!$C$50)+Inputs!$C$47*0.173))+0.20*SIN(2*PI()*(((Model_Data!A174)+(0))/(0.5*(Inputs!$C$49+Inputs!$C$50))+Inputs!$C$47*0.097)))+0.30*(2*((SIN(((Model_Data!A174)*12.9898+(0)*78.233+Inputs!$C$47*37.719))*43758.5453)-INT((SIN(((Model_Data!A174)*12.9898+(0)*78.233+Inputs!$C$47*37.719))*43758.5453)))-1))))/1000)))*1000/Inputs!$C$12)-Model_Data!F174)</x:f>
        <x:v>180.21416573401564</x:v>
      </x:c>
      <x:c r="L174" s="49"/>
      <x:c r="M174" s="48" t="n">
        <x:f>Model_Data!A174</x:f>
        <x:v>26</x:v>
      </x:c>
      <x:c r="N174" s="48" t="n">
        <x:f>Model_Data!P174</x:f>
        <x:v>-195.4594297221957</x:v>
      </x:c>
      <x:c r="O174" s="48" t="n">
        <x:f>AC174</x:f>
        <x:v>-206.18616129777365</x:v>
      </x:c>
      <x:c r="P174" s="48" t="n">
        <x:f>Model_Data!Q174</x:f>
        <x:v>-29.348262721050407</x:v>
      </x:c>
      <x:c r="Q174" s="48" t="n">
        <x:f>AD174</x:f>
        <x:v>-30.958883077743796</x:v>
      </x:c>
      <x:c r="R174" s="49"/>
      <x:c r="S174" s="48" t="n">
        <x:f>Model_Data!A174</x:f>
        <x:v>26</x:v>
      </x:c>
      <x:c r="T174" s="48" t="n">
        <x:f>Model_Data!B174-Inputs!$C$5</x:f>
        <x:v>0.751111111111129</x:v>
      </x:c>
      <x:c r="U174" s="49"/>
      <x:c r="V174" s="48" t="n">
        <x:f>Model_Data!A174</x:f>
        <x:v>26</x:v>
      </x:c>
      <x:c r="W174" s="48" t="n">
        <x:f>(-((((SQRT((Model_Data!A174)^2+Inputs!$C$6^2+((Model_Data!B174)-((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(0.45*SIN(2*PI()*(((Model_Data!A174)/Inputs!$C$49)+Inputs!$C$47*0.137))+0.35*COS(2*PI()*(((Inputs!$C$6)/Inputs!$C$50)+Inputs!$C$47*0.173))+0.20*SIN(2*PI()*(((Model_Data!A174)+(Inputs!$C$6))/(0.5*(Inputs!$C$49+Inputs!$C$50))+Inputs!$C$47*0.097)))+0.30*(2*((SIN(((Model_Data!A174)*12.9898+(Inputs!$C$6)*78.233+Inputs!$C$47*37.719))*43758.5453)-INT((SIN(((Model_Data!A174)*12.9898+(Inputs!$C$6)*78.233+Inputs!$C$47*37.719))*43758.5453)))-1))))/1000)^2))-(((Model_Data!B174)-((Inputs!$C$51*(115*EXP(-(((0)-25)^2)/(4.5^2))+70*EXP(-(((0)+38)^2)/(7^2))*(0.55+0.45*SIN(2*PI()*(Model_Data!A174)/45))+24*SIN(2*PI()*(0)/9+(Model_Data!A174)/18)*EXP(-(((0)+5)^2)/(22^2))+18*SIN(2*PI()*(Model_Data!A174)/70))+Inputs!$C$28*EXP(-(((Model_Data!A174)-Inputs!$C$29)^2)/(2*Inputs!$C$31^2))*EXP(-(((0)-Inputs!$C$30)^2)/(2*Inputs!$C$32^2))+-Inputs!$C$33*EXP(-(((((Model_Data!A174)-Inputs!$C$34)^2)+(((0)-Inputs!$C$35)^2))/(2*Inputs!$C$36^2)))+Inputs!$C$37*(0.55*SIN(2*PI()*(Model_Data!A174)/Inputs!$C$39)+0.35*COS(2*PI()*(0)/Inputs!$C$40)+0.2*SIN(2*PI()*((Model_Data!A174)+(0))/(0.5*(Inputs!$C$39+Inputs!$C$40))))+Inputs!$C$38*SIN(2*PI()*(Model_Data!A174)/Inputs!$C$39)*SIN(2*PI()*(0)/Inputs!$C$40)+-Inputs!$C$41*EXP(-(((0)-Inputs!$C$43)^2)/(2*Inputs!$C$44^2))*EXP(-(((Model_Data!A174)-Inputs!$C$42)^2)/(2*Inputs!$C$45^2))+Inputs!$C$48*(0.70*(0.45*SIN(2*PI()*(((Model_Data!A174)/Inputs!$C$49)+Inputs!$C$47*0.137))+0.35*COS(2*PI()*(((0)/Inputs!$C$50)+Inputs!$C$47*0.173))+0.20*SIN(2*PI()*(((Model_Data!A174)+(0))/(0.5*(Inputs!$C$49+Inputs!$C$50))+Inputs!$C$47*0.097)))+0.30*(2*((SIN(((Model_Data!A174)*12.9898+(0)*78.233+Inputs!$C$47*37.719))*43758.5453)-INT((SIN(((Model_Data!A174)*12.9898+(0)*78.233+Inputs!$C$47*37.719))*43758.5453)))-1))))/1000)))*1000/Inputs!$C$12)-Model_Data!F174))-(-(((SQRT((Model_Data!A174)^2+Inputs!$C$6^2+(Inputs!$C$5-((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(0.45*SIN(2*PI()*(((Model_Data!A174)/Inputs!$C$49)+Inputs!$C$47*0.137))+0.35*COS(2*PI()*(((Inputs!$C$6)/Inputs!$C$50)+Inputs!$C$47*0.173))+0.20*SIN(2*PI()*(((Model_Data!A174)+(Inputs!$C$6))/(0.5*(Inputs!$C$49+Inputs!$C$50))+Inputs!$C$47*0.097)))+0.30*(2*((SIN(((Model_Data!A174)*12.9898+(Inputs!$C$6)*78.233+Inputs!$C$47*37.719))*43758.5453)-INT((SIN(((Model_Data!A174)*12.9898+(Inputs!$C$6)*78.233+Inputs!$C$47*37.719))*43758.5453)))-1))))/1000)^2)-(Inputs!$C$5-((Inputs!$C$51*(115*EXP(-(((0)-25)^2)/(4.5^2))+70*EXP(-(((0)+38)^2)/(7^2))*(0.55+0.45*SIN(2*PI()*(Model_Data!A174)/45))+24*SIN(2*PI()*(0)/9+(Model_Data!A174)/18)*EXP(-(((0)+5)^2)/(22^2))+18*SIN(2*PI()*(Model_Data!A174)/70))+Inputs!$C$28*EXP(-(((Model_Data!A174)-Inputs!$C$29)^2)/(2*Inputs!$C$31^2))*EXP(-(((0)-Inputs!$C$30)^2)/(2*Inputs!$C$32^2))+-Inputs!$C$33*EXP(-(((((Model_Data!A174)-Inputs!$C$34)^2)+(((0)-Inputs!$C$35)^2))/(2*Inputs!$C$36^2)))+Inputs!$C$37*(0.55*SIN(2*PI()*(Model_Data!A174)/Inputs!$C$39)+0.35*COS(2*PI()*(0)/Inputs!$C$40)+0.2*SIN(2*PI()*((Model_Data!A174)+(0))/(0.5*(Inputs!$C$39+Inputs!$C$40))))+Inputs!$C$38*SIN(2*PI()*(Model_Data!A174)/Inputs!$C$39)*SIN(2*PI()*(0)/Inputs!$C$40)+-Inputs!$C$41*EXP(-(((0)-Inputs!$C$43)^2)/(2*Inputs!$C$44^2))*EXP(-(((Model_Data!A174)-Inputs!$C$42)^2)/(2*Inputs!$C$45^2))+Inputs!$C$48*(0.70*(0.45*SIN(2*PI()*(((Model_Data!A174)/Inputs!$C$49)+Inputs!$C$47*0.137))+0.35*COS(2*PI()*(((0)/Inputs!$C$50)+Inputs!$C$47*0.173))+0.20*SIN(2*PI()*(((Model_Data!A174)+(0))/(0.5*(Inputs!$C$49+Inputs!$C$50))+Inputs!$C$47*0.097)))+0.30*(2*((SIN(((Model_Data!A174)*12.9898+(0)*78.233+Inputs!$C$47*37.719))*43758.5453)-INT((SIN(((Model_Data!A174)*12.9898+(0)*78.233+Inputs!$C$47*37.719))*43758.5453)))-1))))/1000))*1000/Inputs!$C$12)-((SQRT((Model_Data!A174)^2+Inputs!$C$6^2+Inputs!$C$5^2)-Inputs!$C$5)*1000/Inputs!$C$12)))</x:f>
        <x:v>0.0032783166043373058</x:v>
      </x:c>
      <x:c r="X174" s="48" t="n">
        <x:f>0</x:f>
        <x:v>0</x:v>
      </x:c>
      <x:c r="Y174" s="49"/>
      <x:c r="Z174" s="48" t="n">
        <x:f>Model_Data!A174</x:f>
        <x:v>26</x:v>
      </x:c>
      <x:c r="AA174" s="48" t="n">
        <x:f>SQRT((Model_Data!A174)^2+Inputs!$C$6^2+((Model_Data!B174)-((Inputs!$C$51*(115*EXP(-(((Inputs!$C$6)-25)^2)/(4.5^2))+70*EXP(-(((Inputs!$C$6)+38)^2)/(7^2))*(0.55+0.45*SIN(2*PI()*(Model_Data!A174)/45))+24*SIN(2*PI()*(Inputs!$C$6)/9+(Model_Data!A174)/18)*EXP(-(((Inputs!$C$6)+5)^2)/(22^2))+18*SIN(2*PI()*(Model_Data!A174)/70))+Inputs!$C$28*EXP(-(((Model_Data!A174)-Inputs!$C$29)^2)/(2*Inputs!$C$31^2))*EXP(-(((Inputs!$C$6)-Inputs!$C$30)^2)/(2*Inputs!$C$32^2))+-Inputs!$C$33*EXP(-(((((Model_Data!A174)-Inputs!$C$34)^2)+(((Inputs!$C$6)-Inputs!$C$35)^2))/(2*Inputs!$C$36^2)))+Inputs!$C$37*(0.55*SIN(2*PI()*(Model_Data!A174)/Inputs!$C$39)+0.35*COS(2*PI()*(Inputs!$C$6)/Inputs!$C$40)+0.2*SIN(2*PI()*((Model_Data!A174)+(Inputs!$C$6))/(0.5*(Inputs!$C$39+Inputs!$C$40))))+Inputs!$C$38*SIN(2*PI()*(Model_Data!A174)/Inputs!$C$39)*SIN(2*PI()*(Inputs!$C$6)/Inputs!$C$40)+-Inputs!$C$41*EXP(-(((Inputs!$C$6)-Inputs!$C$43)^2)/(2*Inputs!$C$44^2))*EXP(-(((Model_Data!A174)-Inputs!$C$42)^2)/(2*Inputs!$C$45^2))+Inputs!$C$48*(0.70*(0.45*SIN(2*PI()*(((Model_Data!A174)/Inputs!$C$49)+Inputs!$C$47*0.137))+0.35*COS(2*PI()*(((Inputs!$C$6)/Inputs!$C$50)+Inputs!$C$47*0.173))+0.20*SIN(2*PI()*(((Model_Data!A174)+(Inputs!$C$6))/(0.5*(Inputs!$C$49+Inputs!$C$50))+Inputs!$C$47*0.097)))+0.30*(2*((SIN(((Model_Data!A174)*12.9898+(Inputs!$C$6)*78.233+Inputs!$C$47*37.719))*43758.5453)-INT((SIN(((Model_Data!A174)*12.9898+(Inputs!$C$6)*78.233+Inputs!$C$47*37.719))*43758.5453)))-1))))/1000)^2)</x:f>
        <x:v>401.9852251514673</x:v>
      </x:c>
      <x:c r="AB174" s="48" t="n">
        <x:f>1000*(AA175-AA173)/(Z175-Z173)*Inputs!$C$11</x:f>
        <x:v>515.4654032444341</x:v>
      </x:c>
      <x:c r="AC174" s="48" t="n">
        <x:f>-2*AB174/Inputs!$C$13</x:f>
        <x:v>-206.18616129777365</x:v>
      </x:c>
      <x:c r="AD174" s="48" t="n">
        <x:f>-2*AB174/Inputs!$C$14</x:f>
        <x:v>-30.958883077743796</x:v>
      </x:c>
    </x:row>
    <x:row r="175">
      <x:c r="A175" s="48" t="n">
        <x:f>Model_Data!A175</x:f>
        <x:v>26.5</x:v>
      </x:c>
      <x:c r="B175" s="48" t="n">
        <x:f>Model_Data!F175</x:f>
        <x:v>928.3292035296988</x:v>
      </x:c>
      <x:c r="C175" s="48" t="n">
        <x:f>(((SQRT((Model_Data!A175)^2+Inputs!$C$6^2+((Model_Data!B175)-((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(0.45*SIN(2*PI()*(((Model_Data!A175)/Inputs!$C$49)+Inputs!$C$47*0.137))+0.35*COS(2*PI()*(((Inputs!$C$6)/Inputs!$C$50)+Inputs!$C$47*0.173))+0.20*SIN(2*PI()*(((Model_Data!A175)+(Inputs!$C$6))/(0.5*(Inputs!$C$49+Inputs!$C$50))+Inputs!$C$47*0.097)))+0.30*(2*((SIN(((Model_Data!A175)*12.9898+(Inputs!$C$6)*78.233+Inputs!$C$47*37.719))*43758.5453)-INT((SIN(((Model_Data!A175)*12.9898+(Inputs!$C$6)*78.233+Inputs!$C$47*37.719))*43758.5453)))-1))))/1000)^2))-(((Model_Data!B175)-((Inputs!$C$51*(115*EXP(-(((0)-25)^2)/(4.5^2))+70*EXP(-(((0)+38)^2)/(7^2))*(0.55+0.45*SIN(2*PI()*(Model_Data!A175)/45))+24*SIN(2*PI()*(0)/9+(Model_Data!A175)/18)*EXP(-(((0)+5)^2)/(22^2))+18*SIN(2*PI()*(Model_Data!A175)/70))+Inputs!$C$28*EXP(-(((Model_Data!A175)-Inputs!$C$29)^2)/(2*Inputs!$C$31^2))*EXP(-(((0)-Inputs!$C$30)^2)/(2*Inputs!$C$32^2))+-Inputs!$C$33*EXP(-(((((Model_Data!A175)-Inputs!$C$34)^2)+(((0)-Inputs!$C$35)^2))/(2*Inputs!$C$36^2)))+Inputs!$C$37*(0.55*SIN(2*PI()*(Model_Data!A175)/Inputs!$C$39)+0.35*COS(2*PI()*(0)/Inputs!$C$40)+0.2*SIN(2*PI()*((Model_Data!A175)+(0))/(0.5*(Inputs!$C$39+Inputs!$C$40))))+Inputs!$C$38*SIN(2*PI()*(Model_Data!A175)/Inputs!$C$39)*SIN(2*PI()*(0)/Inputs!$C$40)+-Inputs!$C$41*EXP(-(((0)-Inputs!$C$43)^2)/(2*Inputs!$C$44^2))*EXP(-(((Model_Data!A175)-Inputs!$C$42)^2)/(2*Inputs!$C$45^2))+Inputs!$C$48*(0.70*(0.45*SIN(2*PI()*(((Model_Data!A175)/Inputs!$C$49)+Inputs!$C$47*0.137))+0.35*COS(2*PI()*(((0)/Inputs!$C$50)+Inputs!$C$47*0.173))+0.20*SIN(2*PI()*(((Model_Data!A175)+(0))/(0.5*(Inputs!$C$49+Inputs!$C$50))+Inputs!$C$47*0.097)))+0.30*(2*((SIN(((Model_Data!A175)*12.9898+(0)*78.233+Inputs!$C$47*37.719))*43758.5453)-INT((SIN(((Model_Data!A175)*12.9898+(0)*78.233+Inputs!$C$47*37.719))*43758.5453)))-1))))/1000)))*1000/Inputs!$C$12)</x:f>
        <x:v>752.8267268813909</x:v>
      </x:c>
      <x:c r="D175" s="49"/>
      <x:c r="E175" s="48" t="n">
        <x:f>Model_Data!A175</x:f>
        <x:v>26.5</x:v>
      </x:c>
      <x:c r="F175" s="48" t="n">
        <x:f>(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(0.45*SIN(2*PI()*(((Model_Data!A175)/Inputs!$C$49)+Inputs!$C$47*0.137))+0.35*COS(2*PI()*(((Inputs!$C$6)/Inputs!$C$50)+Inputs!$C$47*0.173))+0.20*SIN(2*PI()*(((Model_Data!A175)+(Inputs!$C$6))/(0.5*(Inputs!$C$49+Inputs!$C$50))+Inputs!$C$47*0.097)))+0.30*(2*((SIN(((Model_Data!A175)*12.9898+(Inputs!$C$6)*78.233+Inputs!$C$47*37.719))*43758.5453)-INT((SIN(((Model_Data!A175)*12.9898+(Inputs!$C$6)*78.233+Inputs!$C$47*37.719))*43758.5453)))-1)))</x:f>
        <x:v>383.48713922986474</x:v>
      </x:c>
      <x:c r="G175" s="48" t="n">
        <x:f>(Inputs!$C$51*(115*EXP(-(((0)-25)^2)/(4.5^2))+70*EXP(-(((0)+38)^2)/(7^2))*(0.55+0.45*SIN(2*PI()*(Model_Data!A175)/45))+24*SIN(2*PI()*(0)/9+(Model_Data!A175)/18)*EXP(-(((0)+5)^2)/(22^2))+18*SIN(2*PI()*(Model_Data!A175)/70))+Inputs!$C$28*EXP(-(((Model_Data!A175)-Inputs!$C$29)^2)/(2*Inputs!$C$31^2))*EXP(-(((0)-Inputs!$C$30)^2)/(2*Inputs!$C$32^2))+-Inputs!$C$33*EXP(-(((((Model_Data!A175)-Inputs!$C$34)^2)+(((0)-Inputs!$C$35)^2))/(2*Inputs!$C$36^2)))+Inputs!$C$37*(0.55*SIN(2*PI()*(Model_Data!A175)/Inputs!$C$39)+0.35*COS(2*PI()*(0)/Inputs!$C$40)+0.2*SIN(2*PI()*((Model_Data!A175)+(0))/(0.5*(Inputs!$C$39+Inputs!$C$40))))+Inputs!$C$38*SIN(2*PI()*(Model_Data!A175)/Inputs!$C$39)*SIN(2*PI()*(0)/Inputs!$C$40)+-Inputs!$C$41*EXP(-(((0)-Inputs!$C$43)^2)/(2*Inputs!$C$44^2))*EXP(-(((Model_Data!A175)-Inputs!$C$42)^2)/(2*Inputs!$C$45^2))+Inputs!$C$48*(0.70*(0.45*SIN(2*PI()*(((Model_Data!A175)/Inputs!$C$49)+Inputs!$C$47*0.137))+0.35*COS(2*PI()*(((0)/Inputs!$C$50)+Inputs!$C$47*0.173))+0.20*SIN(2*PI()*(((Model_Data!A175)+(0))/(0.5*(Inputs!$C$49+Inputs!$C$50))+Inputs!$C$47*0.097)))+0.30*(2*((SIN(((Model_Data!A175)*12.9898+(0)*78.233+Inputs!$C$47*37.719))*43758.5453)-INT((SIN(((Model_Data!A175)*12.9898+(0)*78.233+Inputs!$C$47*37.719))*43758.5453)))-1)))</x:f>
        <x:v>69.51659821200863</x:v>
      </x:c>
      <x:c r="H175" s="49"/>
      <x:c r="I175" s="48" t="n">
        <x:f>Model_Data!A175</x:f>
        <x:v>26.5</x:v>
      </x:c>
      <x:c r="J175" s="48" t="n">
        <x:f>((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(0.45*SIN(2*PI()*(((Model_Data!A175)/Inputs!$C$49)+Inputs!$C$47*0.137))+0.35*COS(2*PI()*(((Inputs!$C$6)/Inputs!$C$50)+Inputs!$C$47*0.173))+0.20*SIN(2*PI()*(((Model_Data!A175)+(Inputs!$C$6))/(0.5*(Inputs!$C$49+Inputs!$C$50))+Inputs!$C$47*0.097)))+0.30*(2*((SIN(((Model_Data!A175)*12.9898+(Inputs!$C$6)*78.233+Inputs!$C$47*37.719))*43758.5453)-INT((SIN(((Model_Data!A175)*12.9898+(Inputs!$C$6)*78.233+Inputs!$C$47*37.719))*43758.5453)))-1))))-((Inputs!$C$51*(115*EXP(-(((0)-25)^2)/(4.5^2))+70*EXP(-(((0)+38)^2)/(7^2))*(0.55+0.45*SIN(2*PI()*(Model_Data!A175)/45))+24*SIN(2*PI()*(0)/9+(Model_Data!A175)/18)*EXP(-(((0)+5)^2)/(22^2))+18*SIN(2*PI()*(Model_Data!A175)/70))+Inputs!$C$28*EXP(-(((Model_Data!A175)-Inputs!$C$29)^2)/(2*Inputs!$C$31^2))*EXP(-(((0)-Inputs!$C$30)^2)/(2*Inputs!$C$32^2))+-Inputs!$C$33*EXP(-(((((Model_Data!A175)-Inputs!$C$34)^2)+(((0)-Inputs!$C$35)^2))/(2*Inputs!$C$36^2)))+Inputs!$C$37*(0.55*SIN(2*PI()*(Model_Data!A175)/Inputs!$C$39)+0.35*COS(2*PI()*(0)/Inputs!$C$40)+0.2*SIN(2*PI()*((Model_Data!A175)+(0))/(0.5*(Inputs!$C$39+Inputs!$C$40))))+Inputs!$C$38*SIN(2*PI()*(Model_Data!A175)/Inputs!$C$39)*SIN(2*PI()*(0)/Inputs!$C$40)+-Inputs!$C$41*EXP(-(((0)-Inputs!$C$43)^2)/(2*Inputs!$C$44^2))*EXP(-(((Model_Data!A175)-Inputs!$C$42)^2)/(2*Inputs!$C$45^2))+Inputs!$C$48*(0.70*(0.45*SIN(2*PI()*(((Model_Data!A175)/Inputs!$C$49)+Inputs!$C$47*0.137))+0.35*COS(2*PI()*(((0)/Inputs!$C$50)+Inputs!$C$47*0.173))+0.20*SIN(2*PI()*(((Model_Data!A175)+(0))/(0.5*(Inputs!$C$49+Inputs!$C$50))+Inputs!$C$47*0.097)))+0.30*(2*((SIN(((Model_Data!A175)*12.9898+(0)*78.233+Inputs!$C$47*37.719))*43758.5453)-INT((SIN(((Model_Data!A175)*12.9898+(0)*78.233+Inputs!$C$47*37.719))*43758.5453)))-1))))</x:f>
        <x:v>313.97054101785614</x:v>
      </x:c>
      <x:c r="K175" s="48" t="n">
        <x:f>-((((SQRT((Model_Data!A175)^2+Inputs!$C$6^2+((Model_Data!B175)-((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(0.45*SIN(2*PI()*(((Model_Data!A175)/Inputs!$C$49)+Inputs!$C$47*0.137))+0.35*COS(2*PI()*(((Inputs!$C$6)/Inputs!$C$50)+Inputs!$C$47*0.173))+0.20*SIN(2*PI()*(((Model_Data!A175)+(Inputs!$C$6))/(0.5*(Inputs!$C$49+Inputs!$C$50))+Inputs!$C$47*0.097)))+0.30*(2*((SIN(((Model_Data!A175)*12.9898+(Inputs!$C$6)*78.233+Inputs!$C$47*37.719))*43758.5453)-INT((SIN(((Model_Data!A175)*12.9898+(Inputs!$C$6)*78.233+Inputs!$C$47*37.719))*43758.5453)))-1))))/1000)^2))-(((Model_Data!B175)-((Inputs!$C$51*(115*EXP(-(((0)-25)^2)/(4.5^2))+70*EXP(-(((0)+38)^2)/(7^2))*(0.55+0.45*SIN(2*PI()*(Model_Data!A175)/45))+24*SIN(2*PI()*(0)/9+(Model_Data!A175)/18)*EXP(-(((0)+5)^2)/(22^2))+18*SIN(2*PI()*(Model_Data!A175)/70))+Inputs!$C$28*EXP(-(((Model_Data!A175)-Inputs!$C$29)^2)/(2*Inputs!$C$31^2))*EXP(-(((0)-Inputs!$C$30)^2)/(2*Inputs!$C$32^2))+-Inputs!$C$33*EXP(-(((((Model_Data!A175)-Inputs!$C$34)^2)+(((0)-Inputs!$C$35)^2))/(2*Inputs!$C$36^2)))+Inputs!$C$37*(0.55*SIN(2*PI()*(Model_Data!A175)/Inputs!$C$39)+0.35*COS(2*PI()*(0)/Inputs!$C$40)+0.2*SIN(2*PI()*((Model_Data!A175)+(0))/(0.5*(Inputs!$C$39+Inputs!$C$40))))+Inputs!$C$38*SIN(2*PI()*(Model_Data!A175)/Inputs!$C$39)*SIN(2*PI()*(0)/Inputs!$C$40)+-Inputs!$C$41*EXP(-(((0)-Inputs!$C$43)^2)/(2*Inputs!$C$44^2))*EXP(-(((Model_Data!A175)-Inputs!$C$42)^2)/(2*Inputs!$C$45^2))+Inputs!$C$48*(0.70*(0.45*SIN(2*PI()*(((Model_Data!A175)/Inputs!$C$49)+Inputs!$C$47*0.137))+0.35*COS(2*PI()*(((0)/Inputs!$C$50)+Inputs!$C$47*0.173))+0.20*SIN(2*PI()*(((Model_Data!A175)+(0))/(0.5*(Inputs!$C$49+Inputs!$C$50))+Inputs!$C$47*0.097)))+0.30*(2*((SIN(((Model_Data!A175)*12.9898+(0)*78.233+Inputs!$C$47*37.719))*43758.5453)-INT((SIN(((Model_Data!A175)*12.9898+(0)*78.233+Inputs!$C$47*37.719))*43758.5453)))-1))))/1000)))*1000/Inputs!$C$12)-Model_Data!F175)</x:f>
        <x:v>175.50247664830795</x:v>
      </x:c>
      <x:c r="L175" s="49"/>
      <x:c r="M175" s="48" t="n">
        <x:f>Model_Data!A175</x:f>
        <x:v>26.5</x:v>
      </x:c>
      <x:c r="N175" s="48" t="n">
        <x:f>Model_Data!P175</x:f>
        <x:v>-199.1945675539738</x:v>
      </x:c>
      <x:c r="O175" s="48" t="n">
        <x:f>AC175</x:f>
        <x:v>-264.8524333644673</x:v>
      </x:c>
      <x:c r="P175" s="48" t="n">
        <x:f>Model_Data!Q175</x:f>
        <x:v>-29.909094227323397</x:v>
      </x:c>
      <x:c r="Q175" s="48" t="n">
        <x:f>AD175</x:f>
        <x:v>-39.7676326373074</x:v>
      </x:c>
      <x:c r="R175" s="49"/>
      <x:c r="S175" s="48" t="n">
        <x:f>Model_Data!A175</x:f>
        <x:v>26.5</x:v>
      </x:c>
      <x:c r="T175" s="48" t="n">
        <x:f>Model_Data!B175-Inputs!$C$5</x:f>
        <x:v>0.7802777777777692</x:v>
      </x:c>
      <x:c r="U175" s="49"/>
      <x:c r="V175" s="48" t="n">
        <x:f>Model_Data!A175</x:f>
        <x:v>26.5</x:v>
      </x:c>
      <x:c r="W175" s="48" t="n">
        <x:f>(-((((SQRT((Model_Data!A175)^2+Inputs!$C$6^2+((Model_Data!B175)-((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(0.45*SIN(2*PI()*(((Model_Data!A175)/Inputs!$C$49)+Inputs!$C$47*0.137))+0.35*COS(2*PI()*(((Inputs!$C$6)/Inputs!$C$50)+Inputs!$C$47*0.173))+0.20*SIN(2*PI()*(((Model_Data!A175)+(Inputs!$C$6))/(0.5*(Inputs!$C$49+Inputs!$C$50))+Inputs!$C$47*0.097)))+0.30*(2*((SIN(((Model_Data!A175)*12.9898+(Inputs!$C$6)*78.233+Inputs!$C$47*37.719))*43758.5453)-INT((SIN(((Model_Data!A175)*12.9898+(Inputs!$C$6)*78.233+Inputs!$C$47*37.719))*43758.5453)))-1))))/1000)^2))-(((Model_Data!B175)-((Inputs!$C$51*(115*EXP(-(((0)-25)^2)/(4.5^2))+70*EXP(-(((0)+38)^2)/(7^2))*(0.55+0.45*SIN(2*PI()*(Model_Data!A175)/45))+24*SIN(2*PI()*(0)/9+(Model_Data!A175)/18)*EXP(-(((0)+5)^2)/(22^2))+18*SIN(2*PI()*(Model_Data!A175)/70))+Inputs!$C$28*EXP(-(((Model_Data!A175)-Inputs!$C$29)^2)/(2*Inputs!$C$31^2))*EXP(-(((0)-Inputs!$C$30)^2)/(2*Inputs!$C$32^2))+-Inputs!$C$33*EXP(-(((((Model_Data!A175)-Inputs!$C$34)^2)+(((0)-Inputs!$C$35)^2))/(2*Inputs!$C$36^2)))+Inputs!$C$37*(0.55*SIN(2*PI()*(Model_Data!A175)/Inputs!$C$39)+0.35*COS(2*PI()*(0)/Inputs!$C$40)+0.2*SIN(2*PI()*((Model_Data!A175)+(0))/(0.5*(Inputs!$C$39+Inputs!$C$40))))+Inputs!$C$38*SIN(2*PI()*(Model_Data!A175)/Inputs!$C$39)*SIN(2*PI()*(0)/Inputs!$C$40)+-Inputs!$C$41*EXP(-(((0)-Inputs!$C$43)^2)/(2*Inputs!$C$44^2))*EXP(-(((Model_Data!A175)-Inputs!$C$42)^2)/(2*Inputs!$C$45^2))+Inputs!$C$48*(0.70*(0.45*SIN(2*PI()*(((Model_Data!A175)/Inputs!$C$49)+Inputs!$C$47*0.137))+0.35*COS(2*PI()*(((0)/Inputs!$C$50)+Inputs!$C$47*0.173))+0.20*SIN(2*PI()*(((Model_Data!A175)+(0))/(0.5*(Inputs!$C$49+Inputs!$C$50))+Inputs!$C$47*0.097)))+0.30*(2*((SIN(((Model_Data!A175)*12.9898+(0)*78.233+Inputs!$C$47*37.719))*43758.5453)-INT((SIN(((Model_Data!A175)*12.9898+(0)*78.233+Inputs!$C$47*37.719))*43758.5453)))-1))))/1000)))*1000/Inputs!$C$12)-Model_Data!F175))-(-(((SQRT((Model_Data!A175)^2+Inputs!$C$6^2+(Inputs!$C$5-((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(0.45*SIN(2*PI()*(((Model_Data!A175)/Inputs!$C$49)+Inputs!$C$47*0.137))+0.35*COS(2*PI()*(((Inputs!$C$6)/Inputs!$C$50)+Inputs!$C$47*0.173))+0.20*SIN(2*PI()*(((Model_Data!A175)+(Inputs!$C$6))/(0.5*(Inputs!$C$49+Inputs!$C$50))+Inputs!$C$47*0.097)))+0.30*(2*((SIN(((Model_Data!A175)*12.9898+(Inputs!$C$6)*78.233+Inputs!$C$47*37.719))*43758.5453)-INT((SIN(((Model_Data!A175)*12.9898+(Inputs!$C$6)*78.233+Inputs!$C$47*37.719))*43758.5453)))-1))))/1000)^2)-(Inputs!$C$5-((Inputs!$C$51*(115*EXP(-(((0)-25)^2)/(4.5^2))+70*EXP(-(((0)+38)^2)/(7^2))*(0.55+0.45*SIN(2*PI()*(Model_Data!A175)/45))+24*SIN(2*PI()*(0)/9+(Model_Data!A175)/18)*EXP(-(((0)+5)^2)/(22^2))+18*SIN(2*PI()*(Model_Data!A175)/70))+Inputs!$C$28*EXP(-(((Model_Data!A175)-Inputs!$C$29)^2)/(2*Inputs!$C$31^2))*EXP(-(((0)-Inputs!$C$30)^2)/(2*Inputs!$C$32^2))+-Inputs!$C$33*EXP(-(((((Model_Data!A175)-Inputs!$C$34)^2)+(((0)-Inputs!$C$35)^2))/(2*Inputs!$C$36^2)))+Inputs!$C$37*(0.55*SIN(2*PI()*(Model_Data!A175)/Inputs!$C$39)+0.35*COS(2*PI()*(0)/Inputs!$C$40)+0.2*SIN(2*PI()*((Model_Data!A175)+(0))/(0.5*(Inputs!$C$39+Inputs!$C$40))))+Inputs!$C$38*SIN(2*PI()*(Model_Data!A175)/Inputs!$C$39)*SIN(2*PI()*(0)/Inputs!$C$40)+-Inputs!$C$41*EXP(-(((0)-Inputs!$C$43)^2)/(2*Inputs!$C$44^2))*EXP(-(((Model_Data!A175)-Inputs!$C$42)^2)/(2*Inputs!$C$45^2))+Inputs!$C$48*(0.70*(0.45*SIN(2*PI()*(((Model_Data!A175)/Inputs!$C$49)+Inputs!$C$47*0.137))+0.35*COS(2*PI()*(((0)/Inputs!$C$50)+Inputs!$C$47*0.173))+0.20*SIN(2*PI()*(((Model_Data!A175)+(0))/(0.5*(Inputs!$C$49+Inputs!$C$50))+Inputs!$C$47*0.097)))+0.30*(2*((SIN(((Model_Data!A175)*12.9898+(0)*78.233+Inputs!$C$47*37.719))*43758.5453)-INT((SIN(((Model_Data!A175)*12.9898+(0)*78.233+Inputs!$C$47*37.719))*43758.5453)))-1))))/1000))*1000/Inputs!$C$12)-((SQRT((Model_Data!A175)^2+Inputs!$C$6^2+Inputs!$C$5^2)-Inputs!$C$5)*1000/Inputs!$C$12)))</x:f>
        <x:v>0.003438202419829395</x:v>
      </x:c>
      <x:c r="X175" s="48" t="n">
        <x:f>0</x:f>
        <x:v>0</x:v>
      </x:c>
      <x:c r="Y175" s="49"/>
      <x:c r="Z175" s="48" t="n">
        <x:f>Model_Data!A175</x:f>
        <x:v>26.5</x:v>
      </x:c>
      <x:c r="AA175" s="48" t="n">
        <x:f>SQRT((Model_Data!A175)^2+Inputs!$C$6^2+((Model_Data!B175)-((Inputs!$C$51*(115*EXP(-(((Inputs!$C$6)-25)^2)/(4.5^2))+70*EXP(-(((Inputs!$C$6)+38)^2)/(7^2))*(0.55+0.45*SIN(2*PI()*(Model_Data!A175)/45))+24*SIN(2*PI()*(Inputs!$C$6)/9+(Model_Data!A175)/18)*EXP(-(((Inputs!$C$6)+5)^2)/(22^2))+18*SIN(2*PI()*(Model_Data!A175)/70))+Inputs!$C$28*EXP(-(((Model_Data!A175)-Inputs!$C$29)^2)/(2*Inputs!$C$31^2))*EXP(-(((Inputs!$C$6)-Inputs!$C$30)^2)/(2*Inputs!$C$32^2))+-Inputs!$C$33*EXP(-(((((Model_Data!A175)-Inputs!$C$34)^2)+(((Inputs!$C$6)-Inputs!$C$35)^2))/(2*Inputs!$C$36^2)))+Inputs!$C$37*(0.55*SIN(2*PI()*(Model_Data!A175)/Inputs!$C$39)+0.35*COS(2*PI()*(Inputs!$C$6)/Inputs!$C$40)+0.2*SIN(2*PI()*((Model_Data!A175)+(Inputs!$C$6))/(0.5*(Inputs!$C$39+Inputs!$C$40))))+Inputs!$C$38*SIN(2*PI()*(Model_Data!A175)/Inputs!$C$39)*SIN(2*PI()*(Inputs!$C$6)/Inputs!$C$40)+-Inputs!$C$41*EXP(-(((Inputs!$C$6)-Inputs!$C$43)^2)/(2*Inputs!$C$44^2))*EXP(-(((Model_Data!A175)-Inputs!$C$42)^2)/(2*Inputs!$C$45^2))+Inputs!$C$48*(0.70*(0.45*SIN(2*PI()*(((Model_Data!A175)/Inputs!$C$49)+Inputs!$C$47*0.137))+0.35*COS(2*PI()*(((Inputs!$C$6)/Inputs!$C$50)+Inputs!$C$47*0.173))+0.20*SIN(2*PI()*(((Model_Data!A175)+(Inputs!$C$6))/(0.5*(Inputs!$C$49+Inputs!$C$50))+Inputs!$C$47*0.097)))+0.30*(2*((SIN(((Model_Data!A175)*12.9898+(Inputs!$C$6)*78.233+Inputs!$C$47*37.719))*43758.5453)-INT((SIN(((Model_Data!A175)*12.9898+(Inputs!$C$6)*78.233+Inputs!$C$47*37.719))*43758.5453)))-1))))/1000)^2)</x:f>
        <x:v>402.0507927534146</x:v>
      </x:c>
      <x:c r="AB175" s="48" t="n">
        <x:f>1000*(AA176-AA174)/(Z176-Z174)*Inputs!$C$11</x:f>
        <x:v>662.1310834111682</x:v>
      </x:c>
      <x:c r="AC175" s="48" t="n">
        <x:f>-2*AB175/Inputs!$C$13</x:f>
        <x:v>-264.8524333644673</x:v>
      </x:c>
      <x:c r="AD175" s="48" t="n">
        <x:f>-2*AB175/Inputs!$C$14</x:f>
        <x:v>-39.7676326373074</x:v>
      </x:c>
    </x:row>
    <x:row r="176">
      <x:c r="A176" s="48" t="n">
        <x:f>Model_Data!A176</x:f>
        <x:v>27</x:v>
      </x:c>
      <x:c r="B176" s="48" t="n">
        <x:f>Model_Data!F176</x:f>
        <x:v>946.9300579721395</x:v>
      </x:c>
      <x:c r="C176" s="48" t="n">
        <x:f>(((SQRT((Model_Data!A176)^2+Inputs!$C$6^2+((Model_Data!B176)-((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(0.45*SIN(2*PI()*(((Model_Data!A176)/Inputs!$C$49)+Inputs!$C$47*0.137))+0.35*COS(2*PI()*(((Inputs!$C$6)/Inputs!$C$50)+Inputs!$C$47*0.173))+0.20*SIN(2*PI()*(((Model_Data!A176)+(Inputs!$C$6))/(0.5*(Inputs!$C$49+Inputs!$C$50))+Inputs!$C$47*0.097)))+0.30*(2*((SIN(((Model_Data!A176)*12.9898+(Inputs!$C$6)*78.233+Inputs!$C$47*37.719))*43758.5453)-INT((SIN(((Model_Data!A176)*12.9898+(Inputs!$C$6)*78.233+Inputs!$C$47*37.719))*43758.5453)))-1))))/1000)^2))-(((Model_Data!B176)-((Inputs!$C$51*(115*EXP(-(((0)-25)^2)/(4.5^2))+70*EXP(-(((0)+38)^2)/(7^2))*(0.55+0.45*SIN(2*PI()*(Model_Data!A176)/45))+24*SIN(2*PI()*(0)/9+(Model_Data!A176)/18)*EXP(-(((0)+5)^2)/(22^2))+18*SIN(2*PI()*(Model_Data!A176)/70))+Inputs!$C$28*EXP(-(((Model_Data!A176)-Inputs!$C$29)^2)/(2*Inputs!$C$31^2))*EXP(-(((0)-Inputs!$C$30)^2)/(2*Inputs!$C$32^2))+-Inputs!$C$33*EXP(-(((((Model_Data!A176)-Inputs!$C$34)^2)+(((0)-Inputs!$C$35)^2))/(2*Inputs!$C$36^2)))+Inputs!$C$37*(0.55*SIN(2*PI()*(Model_Data!A176)/Inputs!$C$39)+0.35*COS(2*PI()*(0)/Inputs!$C$40)+0.2*SIN(2*PI()*((Model_Data!A176)+(0))/(0.5*(Inputs!$C$39+Inputs!$C$40))))+Inputs!$C$38*SIN(2*PI()*(Model_Data!A176)/Inputs!$C$39)*SIN(2*PI()*(0)/Inputs!$C$40)+-Inputs!$C$41*EXP(-(((0)-Inputs!$C$43)^2)/(2*Inputs!$C$44^2))*EXP(-(((Model_Data!A176)-Inputs!$C$42)^2)/(2*Inputs!$C$45^2))+Inputs!$C$48*(0.70*(0.45*SIN(2*PI()*(((Model_Data!A176)/Inputs!$C$49)+Inputs!$C$47*0.137))+0.35*COS(2*PI()*(((0)/Inputs!$C$50)+Inputs!$C$47*0.173))+0.20*SIN(2*PI()*(((Model_Data!A176)+(0))/(0.5*(Inputs!$C$49+Inputs!$C$50))+Inputs!$C$47*0.097)))+0.30*(2*((SIN(((Model_Data!A176)*12.9898+(0)*78.233+Inputs!$C$47*37.719))*43758.5453)-INT((SIN(((Model_Data!A176)*12.9898+(0)*78.233+Inputs!$C$47*37.719))*43758.5453)))-1))))/1000)))*1000/Inputs!$C$12)</x:f>
        <x:v>789.4451640453645</x:v>
      </x:c>
      <x:c r="D176" s="49"/>
      <x:c r="E176" s="48" t="n">
        <x:f>Model_Data!A176</x:f>
        <x:v>27</x:v>
      </x:c>
      <x:c r="F176" s="48" t="n">
        <x:f>(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(0.45*SIN(2*PI()*(((Model_Data!A176)/Inputs!$C$49)+Inputs!$C$47*0.137))+0.35*COS(2*PI()*(((Inputs!$C$6)/Inputs!$C$50)+Inputs!$C$47*0.173))+0.20*SIN(2*PI()*(((Model_Data!A176)+(Inputs!$C$6))/(0.5*(Inputs!$C$49+Inputs!$C$50))+Inputs!$C$47*0.097)))+0.30*(2*((SIN(((Model_Data!A176)*12.9898+(Inputs!$C$6)*78.233+Inputs!$C$47*37.719))*43758.5453)-INT((SIN(((Model_Data!A176)*12.9898+(Inputs!$C$6)*78.233+Inputs!$C$47*37.719))*43758.5453)))-1)))</x:f>
        <x:v>346.2287328646241</x:v>
      </x:c>
      <x:c r="G176" s="48" t="n">
        <x:f>(Inputs!$C$51*(115*EXP(-(((0)-25)^2)/(4.5^2))+70*EXP(-(((0)+38)^2)/(7^2))*(0.55+0.45*SIN(2*PI()*(Model_Data!A176)/45))+24*SIN(2*PI()*(0)/9+(Model_Data!A176)/18)*EXP(-(((0)+5)^2)/(22^2))+18*SIN(2*PI()*(Model_Data!A176)/70))+Inputs!$C$28*EXP(-(((Model_Data!A176)-Inputs!$C$29)^2)/(2*Inputs!$C$31^2))*EXP(-(((0)-Inputs!$C$30)^2)/(2*Inputs!$C$32^2))+-Inputs!$C$33*EXP(-(((((Model_Data!A176)-Inputs!$C$34)^2)+(((0)-Inputs!$C$35)^2))/(2*Inputs!$C$36^2)))+Inputs!$C$37*(0.55*SIN(2*PI()*(Model_Data!A176)/Inputs!$C$39)+0.35*COS(2*PI()*(0)/Inputs!$C$40)+0.2*SIN(2*PI()*((Model_Data!A176)+(0))/(0.5*(Inputs!$C$39+Inputs!$C$40))))+Inputs!$C$38*SIN(2*PI()*(Model_Data!A176)/Inputs!$C$39)*SIN(2*PI()*(0)/Inputs!$C$40)+-Inputs!$C$41*EXP(-(((0)-Inputs!$C$43)^2)/(2*Inputs!$C$44^2))*EXP(-(((Model_Data!A176)-Inputs!$C$42)^2)/(2*Inputs!$C$45^2))+Inputs!$C$48*(0.70*(0.45*SIN(2*PI()*(((Model_Data!A176)/Inputs!$C$49)+Inputs!$C$47*0.137))+0.35*COS(2*PI()*(((0)/Inputs!$C$50)+Inputs!$C$47*0.173))+0.20*SIN(2*PI()*(((Model_Data!A176)+(0))/(0.5*(Inputs!$C$49+Inputs!$C$50))+Inputs!$C$47*0.097)))+0.30*(2*((SIN(((Model_Data!A176)*12.9898+(0)*78.233+Inputs!$C$47*37.719))*43758.5453)-INT((SIN(((Model_Data!A176)*12.9898+(0)*78.233+Inputs!$C$47*37.719))*43758.5453)))-1)))</x:f>
        <x:v>64.45446968061479</x:v>
      </x:c>
      <x:c r="H176" s="49"/>
      <x:c r="I176" s="48" t="n">
        <x:f>Model_Data!A176</x:f>
        <x:v>27</x:v>
      </x:c>
      <x:c r="J176" s="48" t="n">
        <x:f>((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(0.45*SIN(2*PI()*(((Model_Data!A176)/Inputs!$C$49)+Inputs!$C$47*0.137))+0.35*COS(2*PI()*(((Inputs!$C$6)/Inputs!$C$50)+Inputs!$C$47*0.173))+0.20*SIN(2*PI()*(((Model_Data!A176)+(Inputs!$C$6))/(0.5*(Inputs!$C$49+Inputs!$C$50))+Inputs!$C$47*0.097)))+0.30*(2*((SIN(((Model_Data!A176)*12.9898+(Inputs!$C$6)*78.233+Inputs!$C$47*37.719))*43758.5453)-INT((SIN(((Model_Data!A176)*12.9898+(Inputs!$C$6)*78.233+Inputs!$C$47*37.719))*43758.5453)))-1))))-((Inputs!$C$51*(115*EXP(-(((0)-25)^2)/(4.5^2))+70*EXP(-(((0)+38)^2)/(7^2))*(0.55+0.45*SIN(2*PI()*(Model_Data!A176)/45))+24*SIN(2*PI()*(0)/9+(Model_Data!A176)/18)*EXP(-(((0)+5)^2)/(22^2))+18*SIN(2*PI()*(Model_Data!A176)/70))+Inputs!$C$28*EXP(-(((Model_Data!A176)-Inputs!$C$29)^2)/(2*Inputs!$C$31^2))*EXP(-(((0)-Inputs!$C$30)^2)/(2*Inputs!$C$32^2))+-Inputs!$C$33*EXP(-(((((Model_Data!A176)-Inputs!$C$34)^2)+(((0)-Inputs!$C$35)^2))/(2*Inputs!$C$36^2)))+Inputs!$C$37*(0.55*SIN(2*PI()*(Model_Data!A176)/Inputs!$C$39)+0.35*COS(2*PI()*(0)/Inputs!$C$40)+0.2*SIN(2*PI()*((Model_Data!A176)+(0))/(0.5*(Inputs!$C$39+Inputs!$C$40))))+Inputs!$C$38*SIN(2*PI()*(Model_Data!A176)/Inputs!$C$39)*SIN(2*PI()*(0)/Inputs!$C$40)+-Inputs!$C$41*EXP(-(((0)-Inputs!$C$43)^2)/(2*Inputs!$C$44^2))*EXP(-(((Model_Data!A176)-Inputs!$C$42)^2)/(2*Inputs!$C$45^2))+Inputs!$C$48*(0.70*(0.45*SIN(2*PI()*(((Model_Data!A176)/Inputs!$C$49)+Inputs!$C$47*0.137))+0.35*COS(2*PI()*(((0)/Inputs!$C$50)+Inputs!$C$47*0.173))+0.20*SIN(2*PI()*(((Model_Data!A176)+(0))/(0.5*(Inputs!$C$49+Inputs!$C$50))+Inputs!$C$47*0.097)))+0.30*(2*((SIN(((Model_Data!A176)*12.9898+(0)*78.233+Inputs!$C$47*37.719))*43758.5453)-INT((SIN(((Model_Data!A176)*12.9898+(0)*78.233+Inputs!$C$47*37.719))*43758.5453)))-1))))</x:f>
        <x:v>281.77426318400927</x:v>
      </x:c>
      <x:c r="K176" s="48" t="n">
        <x:f>-((((SQRT((Model_Data!A176)^2+Inputs!$C$6^2+((Model_Data!B176)-((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(0.45*SIN(2*PI()*(((Model_Data!A176)/Inputs!$C$49)+Inputs!$C$47*0.137))+0.35*COS(2*PI()*(((Inputs!$C$6)/Inputs!$C$50)+Inputs!$C$47*0.173))+0.20*SIN(2*PI()*(((Model_Data!A176)+(Inputs!$C$6))/(0.5*(Inputs!$C$49+Inputs!$C$50))+Inputs!$C$47*0.097)))+0.30*(2*((SIN(((Model_Data!A176)*12.9898+(Inputs!$C$6)*78.233+Inputs!$C$47*37.719))*43758.5453)-INT((SIN(((Model_Data!A176)*12.9898+(Inputs!$C$6)*78.233+Inputs!$C$47*37.719))*43758.5453)))-1))))/1000)^2))-(((Model_Data!B176)-((Inputs!$C$51*(115*EXP(-(((0)-25)^2)/(4.5^2))+70*EXP(-(((0)+38)^2)/(7^2))*(0.55+0.45*SIN(2*PI()*(Model_Data!A176)/45))+24*SIN(2*PI()*(0)/9+(Model_Data!A176)/18)*EXP(-(((0)+5)^2)/(22^2))+18*SIN(2*PI()*(Model_Data!A176)/70))+Inputs!$C$28*EXP(-(((Model_Data!A176)-Inputs!$C$29)^2)/(2*Inputs!$C$31^2))*EXP(-(((0)-Inputs!$C$30)^2)/(2*Inputs!$C$32^2))+-Inputs!$C$33*EXP(-(((((Model_Data!A176)-Inputs!$C$34)^2)+(((0)-Inputs!$C$35)^2))/(2*Inputs!$C$36^2)))+Inputs!$C$37*(0.55*SIN(2*PI()*(Model_Data!A176)/Inputs!$C$39)+0.35*COS(2*PI()*(0)/Inputs!$C$40)+0.2*SIN(2*PI()*((Model_Data!A176)+(0))/(0.5*(Inputs!$C$39+Inputs!$C$40))))+Inputs!$C$38*SIN(2*PI()*(Model_Data!A176)/Inputs!$C$39)*SIN(2*PI()*(0)/Inputs!$C$40)+-Inputs!$C$41*EXP(-(((0)-Inputs!$C$43)^2)/(2*Inputs!$C$44^2))*EXP(-(((Model_Data!A176)-Inputs!$C$42)^2)/(2*Inputs!$C$45^2))+Inputs!$C$48*(0.70*(0.45*SIN(2*PI()*(((Model_Data!A176)/Inputs!$C$49)+Inputs!$C$47*0.137))+0.35*COS(2*PI()*(((0)/Inputs!$C$50)+Inputs!$C$47*0.173))+0.20*SIN(2*PI()*(((Model_Data!A176)+(0))/(0.5*(Inputs!$C$49+Inputs!$C$50))+Inputs!$C$47*0.097)))+0.30*(2*((SIN(((Model_Data!A176)*12.9898+(0)*78.233+Inputs!$C$47*37.719))*43758.5453)-INT((SIN(((Model_Data!A176)*12.9898+(0)*78.233+Inputs!$C$47*37.719))*43758.5453)))-1))))/1000)))*1000/Inputs!$C$12)-Model_Data!F176)</x:f>
        <x:v>157.48489392677493</x:v>
      </x:c>
      <x:c r="L176" s="49"/>
      <x:c r="M176" s="48" t="n">
        <x:f>Model_Data!A176</x:f>
        <x:v>27</x:v>
      </x:c>
      <x:c r="N176" s="48" t="n">
        <x:f>Model_Data!P176</x:f>
        <x:v>-202.92836266590731</x:v>
      </x:c>
      <x:c r="O176" s="48" t="n">
        <x:f>AC176</x:f>
        <x:v>-277.0345087773421</x:v>
      </x:c>
      <x:c r="P176" s="48" t="n">
        <x:f>Model_Data!Q176</x:f>
        <x:v>-30.46972412401011</x:v>
      </x:c>
      <x:c r="Q176" s="48" t="n">
        <x:f>AD176</x:f>
        <x:v>-41.59677308969101</x:v>
      </x:c>
      <x:c r="R176" s="49"/>
      <x:c r="S176" s="48" t="n">
        <x:f>Model_Data!A176</x:f>
        <x:v>27</x:v>
      </x:c>
      <x:c r="T176" s="48" t="n">
        <x:f>Model_Data!B176-Inputs!$C$5</x:f>
        <x:v>0.8100000000000023</x:v>
      </x:c>
      <x:c r="U176" s="49"/>
      <x:c r="V176" s="48" t="n">
        <x:f>Model_Data!A176</x:f>
        <x:v>27</x:v>
      </x:c>
      <x:c r="W176" s="48" t="n">
        <x:f>(-((((SQRT((Model_Data!A176)^2+Inputs!$C$6^2+((Model_Data!B176)-((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(0.45*SIN(2*PI()*(((Model_Data!A176)/Inputs!$C$49)+Inputs!$C$47*0.137))+0.35*COS(2*PI()*(((Inputs!$C$6)/Inputs!$C$50)+Inputs!$C$47*0.173))+0.20*SIN(2*PI()*(((Model_Data!A176)+(Inputs!$C$6))/(0.5*(Inputs!$C$49+Inputs!$C$50))+Inputs!$C$47*0.097)))+0.30*(2*((SIN(((Model_Data!A176)*12.9898+(Inputs!$C$6)*78.233+Inputs!$C$47*37.719))*43758.5453)-INT((SIN(((Model_Data!A176)*12.9898+(Inputs!$C$6)*78.233+Inputs!$C$47*37.719))*43758.5453)))-1))))/1000)^2))-(((Model_Data!B176)-((Inputs!$C$51*(115*EXP(-(((0)-25)^2)/(4.5^2))+70*EXP(-(((0)+38)^2)/(7^2))*(0.55+0.45*SIN(2*PI()*(Model_Data!A176)/45))+24*SIN(2*PI()*(0)/9+(Model_Data!A176)/18)*EXP(-(((0)+5)^2)/(22^2))+18*SIN(2*PI()*(Model_Data!A176)/70))+Inputs!$C$28*EXP(-(((Model_Data!A176)-Inputs!$C$29)^2)/(2*Inputs!$C$31^2))*EXP(-(((0)-Inputs!$C$30)^2)/(2*Inputs!$C$32^2))+-Inputs!$C$33*EXP(-(((((Model_Data!A176)-Inputs!$C$34)^2)+(((0)-Inputs!$C$35)^2))/(2*Inputs!$C$36^2)))+Inputs!$C$37*(0.55*SIN(2*PI()*(Model_Data!A176)/Inputs!$C$39)+0.35*COS(2*PI()*(0)/Inputs!$C$40)+0.2*SIN(2*PI()*((Model_Data!A176)+(0))/(0.5*(Inputs!$C$39+Inputs!$C$40))))+Inputs!$C$38*SIN(2*PI()*(Model_Data!A176)/Inputs!$C$39)*SIN(2*PI()*(0)/Inputs!$C$40)+-Inputs!$C$41*EXP(-(((0)-Inputs!$C$43)^2)/(2*Inputs!$C$44^2))*EXP(-(((Model_Data!A176)-Inputs!$C$42)^2)/(2*Inputs!$C$45^2))+Inputs!$C$48*(0.70*(0.45*SIN(2*PI()*(((Model_Data!A176)/Inputs!$C$49)+Inputs!$C$47*0.137))+0.35*COS(2*PI()*(((0)/Inputs!$C$50)+Inputs!$C$47*0.173))+0.20*SIN(2*PI()*(((Model_Data!A176)+(0))/(0.5*(Inputs!$C$49+Inputs!$C$50))+Inputs!$C$47*0.097)))+0.30*(2*((SIN(((Model_Data!A176)*12.9898+(0)*78.233+Inputs!$C$47*37.719))*43758.5453)-INT((SIN(((Model_Data!A176)*12.9898+(0)*78.233+Inputs!$C$47*37.719))*43758.5453)))-1))))/1000)))*1000/Inputs!$C$12)-Model_Data!F176))-(-(((SQRT((Model_Data!A176)^2+Inputs!$C$6^2+(Inputs!$C$5-((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(0.45*SIN(2*PI()*(((Model_Data!A176)/Inputs!$C$49)+Inputs!$C$47*0.137))+0.35*COS(2*PI()*(((Inputs!$C$6)/Inputs!$C$50)+Inputs!$C$47*0.173))+0.20*SIN(2*PI()*(((Model_Data!A176)+(Inputs!$C$6))/(0.5*(Inputs!$C$49+Inputs!$C$50))+Inputs!$C$47*0.097)))+0.30*(2*((SIN(((Model_Data!A176)*12.9898+(Inputs!$C$6)*78.233+Inputs!$C$47*37.719))*43758.5453)-INT((SIN(((Model_Data!A176)*12.9898+(Inputs!$C$6)*78.233+Inputs!$C$47*37.719))*43758.5453)))-1))))/1000)^2)-(Inputs!$C$5-((Inputs!$C$51*(115*EXP(-(((0)-25)^2)/(4.5^2))+70*EXP(-(((0)+38)^2)/(7^2))*(0.55+0.45*SIN(2*PI()*(Model_Data!A176)/45))+24*SIN(2*PI()*(0)/9+(Model_Data!A176)/18)*EXP(-(((0)+5)^2)/(22^2))+18*SIN(2*PI()*(Model_Data!A176)/70))+Inputs!$C$28*EXP(-(((Model_Data!A176)-Inputs!$C$29)^2)/(2*Inputs!$C$31^2))*EXP(-(((0)-Inputs!$C$30)^2)/(2*Inputs!$C$32^2))+-Inputs!$C$33*EXP(-(((((Model_Data!A176)-Inputs!$C$34)^2)+(((0)-Inputs!$C$35)^2))/(2*Inputs!$C$36^2)))+Inputs!$C$37*(0.55*SIN(2*PI()*(Model_Data!A176)/Inputs!$C$39)+0.35*COS(2*PI()*(0)/Inputs!$C$40)+0.2*SIN(2*PI()*((Model_Data!A176)+(0))/(0.5*(Inputs!$C$39+Inputs!$C$40))))+Inputs!$C$38*SIN(2*PI()*(Model_Data!A176)/Inputs!$C$39)*SIN(2*PI()*(0)/Inputs!$C$40)+-Inputs!$C$41*EXP(-(((0)-Inputs!$C$43)^2)/(2*Inputs!$C$44^2))*EXP(-(((Model_Data!A176)-Inputs!$C$42)^2)/(2*Inputs!$C$45^2))+Inputs!$C$48*(0.70*(0.45*SIN(2*PI()*(((Model_Data!A176)/Inputs!$C$49)+Inputs!$C$47*0.137))+0.35*COS(2*PI()*(((0)/Inputs!$C$50)+Inputs!$C$47*0.173))+0.20*SIN(2*PI()*(((Model_Data!A176)+(0))/(0.5*(Inputs!$C$49+Inputs!$C$50))+Inputs!$C$47*0.097)))+0.30*(2*((SIN(((Model_Data!A176)*12.9898+(0)*78.233+Inputs!$C$47*37.719))*43758.5453)-INT((SIN(((Model_Data!A176)*12.9898+(0)*78.233+Inputs!$C$47*37.719))*43758.5453)))-1))))/1000))*1000/Inputs!$C$12)-((SQRT((Model_Data!A176)^2+Inputs!$C$6^2+Inputs!$C$5^2)-Inputs!$C$5)*1000/Inputs!$C$12)))</x:f>
        <x:v>0.003285711805460778</x:v>
      </x:c>
      <x:c r="X176" s="48" t="n">
        <x:f>0</x:f>
        <x:v>0</x:v>
      </x:c>
      <x:c r="Y176" s="49"/>
      <x:c r="Z176" s="48" t="n">
        <x:f>Model_Data!A176</x:f>
        <x:v>27</x:v>
      </x:c>
      <x:c r="AA176" s="48" t="n">
        <x:f>SQRT((Model_Data!A176)^2+Inputs!$C$6^2+((Model_Data!B176)-((Inputs!$C$51*(115*EXP(-(((Inputs!$C$6)-25)^2)/(4.5^2))+70*EXP(-(((Inputs!$C$6)+38)^2)/(7^2))*(0.55+0.45*SIN(2*PI()*(Model_Data!A176)/45))+24*SIN(2*PI()*(Inputs!$C$6)/9+(Model_Data!A176)/18)*EXP(-(((Inputs!$C$6)+5)^2)/(22^2))+18*SIN(2*PI()*(Model_Data!A176)/70))+Inputs!$C$28*EXP(-(((Model_Data!A176)-Inputs!$C$29)^2)/(2*Inputs!$C$31^2))*EXP(-(((Inputs!$C$6)-Inputs!$C$30)^2)/(2*Inputs!$C$32^2))+-Inputs!$C$33*EXP(-(((((Model_Data!A176)-Inputs!$C$34)^2)+(((Inputs!$C$6)-Inputs!$C$35)^2))/(2*Inputs!$C$36^2)))+Inputs!$C$37*(0.55*SIN(2*PI()*(Model_Data!A176)/Inputs!$C$39)+0.35*COS(2*PI()*(Inputs!$C$6)/Inputs!$C$40)+0.2*SIN(2*PI()*((Model_Data!A176)+(Inputs!$C$6))/(0.5*(Inputs!$C$39+Inputs!$C$40))))+Inputs!$C$38*SIN(2*PI()*(Model_Data!A176)/Inputs!$C$39)*SIN(2*PI()*(Inputs!$C$6)/Inputs!$C$40)+-Inputs!$C$41*EXP(-(((Inputs!$C$6)-Inputs!$C$43)^2)/(2*Inputs!$C$44^2))*EXP(-(((Model_Data!A176)-Inputs!$C$42)^2)/(2*Inputs!$C$45^2))+Inputs!$C$48*(0.70*(0.45*SIN(2*PI()*(((Model_Data!A176)/Inputs!$C$49)+Inputs!$C$47*0.137))+0.35*COS(2*PI()*(((Inputs!$C$6)/Inputs!$C$50)+Inputs!$C$47*0.173))+0.20*SIN(2*PI()*(((Model_Data!A176)+(Inputs!$C$6))/(0.5*(Inputs!$C$49+Inputs!$C$50))+Inputs!$C$47*0.097)))+0.30*(2*((SIN(((Model_Data!A176)*12.9898+(Inputs!$C$6)*78.233+Inputs!$C$47*37.719))*43758.5453)-INT((SIN(((Model_Data!A176)*12.9898+(Inputs!$C$6)*78.233+Inputs!$C$47*37.719))*43758.5453)))-1))))/1000)^2)</x:f>
        <x:v>402.1507579223201</x:v>
      </x:c>
      <x:c r="AB176" s="48" t="n">
        <x:f>1000*(AA177-AA175)/(Z177-Z175)*Inputs!$C$11</x:f>
        <x:v>692.5862719433553</x:v>
      </x:c>
      <x:c r="AC176" s="48" t="n">
        <x:f>-2*AB176/Inputs!$C$13</x:f>
        <x:v>-277.0345087773421</x:v>
      </x:c>
      <x:c r="AD176" s="48" t="n">
        <x:f>-2*AB176/Inputs!$C$14</x:f>
        <x:v>-41.59677308969101</x:v>
      </x:c>
    </x:row>
    <x:row r="177">
      <x:c r="A177" s="48" t="n">
        <x:f>Model_Data!A177</x:f>
        <x:v>27.5</x:v>
      </x:c>
      <x:c r="B177" s="48" t="n">
        <x:f>Model_Data!F177</x:f>
        <x:v>965.8741946934875</x:v>
      </x:c>
      <x:c r="C177" s="48" t="n">
        <x:f>(((SQRT((Model_Data!A177)^2+Inputs!$C$6^2+((Model_Data!B177)-((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(0.45*SIN(2*PI()*(((Model_Data!A177)/Inputs!$C$49)+Inputs!$C$47*0.137))+0.35*COS(2*PI()*(((Inputs!$C$6)/Inputs!$C$50)+Inputs!$C$47*0.173))+0.20*SIN(2*PI()*(((Model_Data!A177)+(Inputs!$C$6))/(0.5*(Inputs!$C$49+Inputs!$C$50))+Inputs!$C$47*0.097)))+0.30*(2*((SIN(((Model_Data!A177)*12.9898+(Inputs!$C$6)*78.233+Inputs!$C$47*37.719))*43758.5453)-INT((SIN(((Model_Data!A177)*12.9898+(Inputs!$C$6)*78.233+Inputs!$C$47*37.719))*43758.5453)))-1))))/1000)^2))-(((Model_Data!B177)-((Inputs!$C$51*(115*EXP(-(((0)-25)^2)/(4.5^2))+70*EXP(-(((0)+38)^2)/(7^2))*(0.55+0.45*SIN(2*PI()*(Model_Data!A177)/45))+24*SIN(2*PI()*(0)/9+(Model_Data!A177)/18)*EXP(-(((0)+5)^2)/(22^2))+18*SIN(2*PI()*(Model_Data!A177)/70))+Inputs!$C$28*EXP(-(((Model_Data!A177)-Inputs!$C$29)^2)/(2*Inputs!$C$31^2))*EXP(-(((0)-Inputs!$C$30)^2)/(2*Inputs!$C$32^2))+-Inputs!$C$33*EXP(-(((((Model_Data!A177)-Inputs!$C$34)^2)+(((0)-Inputs!$C$35)^2))/(2*Inputs!$C$36^2)))+Inputs!$C$37*(0.55*SIN(2*PI()*(Model_Data!A177)/Inputs!$C$39)+0.35*COS(2*PI()*(0)/Inputs!$C$40)+0.2*SIN(2*PI()*((Model_Data!A177)+(0))/(0.5*(Inputs!$C$39+Inputs!$C$40))))+Inputs!$C$38*SIN(2*PI()*(Model_Data!A177)/Inputs!$C$39)*SIN(2*PI()*(0)/Inputs!$C$40)+-Inputs!$C$41*EXP(-(((0)-Inputs!$C$43)^2)/(2*Inputs!$C$44^2))*EXP(-(((Model_Data!A177)-Inputs!$C$42)^2)/(2*Inputs!$C$45^2))+Inputs!$C$48*(0.70*(0.45*SIN(2*PI()*(((Model_Data!A177)/Inputs!$C$49)+Inputs!$C$47*0.137))+0.35*COS(2*PI()*(((0)/Inputs!$C$50)+Inputs!$C$47*0.173))+0.20*SIN(2*PI()*(((Model_Data!A177)+(0))/(0.5*(Inputs!$C$49+Inputs!$C$50))+Inputs!$C$47*0.097)))+0.30*(2*((SIN(((Model_Data!A177)*12.9898+(0)*78.233+Inputs!$C$47*37.719))*43758.5453)-INT((SIN(((Model_Data!A177)*12.9898+(0)*78.233+Inputs!$C$47*37.719))*43758.5453)))-1))))/1000)))*1000/Inputs!$C$12)</x:f>
        <x:v>803.0603510822599</x:v>
      </x:c>
      <x:c r="D177" s="49"/>
      <x:c r="E177" s="48" t="n">
        <x:f>Model_Data!A177</x:f>
        <x:v>27.5</x:v>
      </x:c>
      <x:c r="F177" s="48" t="n">
        <x:f>(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(0.45*SIN(2*PI()*(((Model_Data!A177)/Inputs!$C$49)+Inputs!$C$47*0.137))+0.35*COS(2*PI()*(((Inputs!$C$6)/Inputs!$C$50)+Inputs!$C$47*0.173))+0.20*SIN(2*PI()*(((Model_Data!A177)+(Inputs!$C$6))/(0.5*(Inputs!$C$49+Inputs!$C$50))+Inputs!$C$47*0.097)))+0.30*(2*((SIN(((Model_Data!A177)*12.9898+(Inputs!$C$6)*78.233+Inputs!$C$47*37.719))*43758.5453)-INT((SIN(((Model_Data!A177)*12.9898+(Inputs!$C$6)*78.233+Inputs!$C$47*37.719))*43758.5453)))-1)))</x:f>
        <x:v>337.0351401860322</x:v>
      </x:c>
      <x:c r="G177" s="48" t="n">
        <x:f>(Inputs!$C$51*(115*EXP(-(((0)-25)^2)/(4.5^2))+70*EXP(-(((0)+38)^2)/(7^2))*(0.55+0.45*SIN(2*PI()*(Model_Data!A177)/45))+24*SIN(2*PI()*(0)/9+(Model_Data!A177)/18)*EXP(-(((0)+5)^2)/(22^2))+18*SIN(2*PI()*(Model_Data!A177)/70))+Inputs!$C$28*EXP(-(((Model_Data!A177)-Inputs!$C$29)^2)/(2*Inputs!$C$31^2))*EXP(-(((0)-Inputs!$C$30)^2)/(2*Inputs!$C$32^2))+-Inputs!$C$33*EXP(-(((((Model_Data!A177)-Inputs!$C$34)^2)+(((0)-Inputs!$C$35)^2))/(2*Inputs!$C$36^2)))+Inputs!$C$37*(0.55*SIN(2*PI()*(Model_Data!A177)/Inputs!$C$39)+0.35*COS(2*PI()*(0)/Inputs!$C$40)+0.2*SIN(2*PI()*((Model_Data!A177)+(0))/(0.5*(Inputs!$C$39+Inputs!$C$40))))+Inputs!$C$38*SIN(2*PI()*(Model_Data!A177)/Inputs!$C$39)*SIN(2*PI()*(0)/Inputs!$C$40)+-Inputs!$C$41*EXP(-(((0)-Inputs!$C$43)^2)/(2*Inputs!$C$44^2))*EXP(-(((Model_Data!A177)-Inputs!$C$42)^2)/(2*Inputs!$C$45^2))+Inputs!$C$48*(0.70*(0.45*SIN(2*PI()*(((Model_Data!A177)/Inputs!$C$49)+Inputs!$C$47*0.137))+0.35*COS(2*PI()*(((0)/Inputs!$C$50)+Inputs!$C$47*0.173))+0.20*SIN(2*PI()*(((Model_Data!A177)+(0))/(0.5*(Inputs!$C$49+Inputs!$C$50))+Inputs!$C$47*0.097)))+0.30*(2*((SIN(((Model_Data!A177)*12.9898+(0)*78.233+Inputs!$C$47*37.719))*43758.5453)-INT((SIN(((Model_Data!A177)*12.9898+(0)*78.233+Inputs!$C$47*37.719))*43758.5453)))-1)))</x:f>
        <x:v>45.78588130375909</x:v>
      </x:c>
      <x:c r="H177" s="49"/>
      <x:c r="I177" s="48" t="n">
        <x:f>Model_Data!A177</x:f>
        <x:v>27.5</x:v>
      </x:c>
      <x:c r="J177" s="48" t="n">
        <x:f>((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(0.45*SIN(2*PI()*(((Model_Data!A177)/Inputs!$C$49)+Inputs!$C$47*0.137))+0.35*COS(2*PI()*(((Inputs!$C$6)/Inputs!$C$50)+Inputs!$C$47*0.173))+0.20*SIN(2*PI()*(((Model_Data!A177)+(Inputs!$C$6))/(0.5*(Inputs!$C$49+Inputs!$C$50))+Inputs!$C$47*0.097)))+0.30*(2*((SIN(((Model_Data!A177)*12.9898+(Inputs!$C$6)*78.233+Inputs!$C$47*37.719))*43758.5453)-INT((SIN(((Model_Data!A177)*12.9898+(Inputs!$C$6)*78.233+Inputs!$C$47*37.719))*43758.5453)))-1))))-((Inputs!$C$51*(115*EXP(-(((0)-25)^2)/(4.5^2))+70*EXP(-(((0)+38)^2)/(7^2))*(0.55+0.45*SIN(2*PI()*(Model_Data!A177)/45))+24*SIN(2*PI()*(0)/9+(Model_Data!A177)/18)*EXP(-(((0)+5)^2)/(22^2))+18*SIN(2*PI()*(Model_Data!A177)/70))+Inputs!$C$28*EXP(-(((Model_Data!A177)-Inputs!$C$29)^2)/(2*Inputs!$C$31^2))*EXP(-(((0)-Inputs!$C$30)^2)/(2*Inputs!$C$32^2))+-Inputs!$C$33*EXP(-(((((Model_Data!A177)-Inputs!$C$34)^2)+(((0)-Inputs!$C$35)^2))/(2*Inputs!$C$36^2)))+Inputs!$C$37*(0.55*SIN(2*PI()*(Model_Data!A177)/Inputs!$C$39)+0.35*COS(2*PI()*(0)/Inputs!$C$40)+0.2*SIN(2*PI()*((Model_Data!A177)+(0))/(0.5*(Inputs!$C$39+Inputs!$C$40))))+Inputs!$C$38*SIN(2*PI()*(Model_Data!A177)/Inputs!$C$39)*SIN(2*PI()*(0)/Inputs!$C$40)+-Inputs!$C$41*EXP(-(((0)-Inputs!$C$43)^2)/(2*Inputs!$C$44^2))*EXP(-(((Model_Data!A177)-Inputs!$C$42)^2)/(2*Inputs!$C$45^2))+Inputs!$C$48*(0.70*(0.45*SIN(2*PI()*(((Model_Data!A177)/Inputs!$C$49)+Inputs!$C$47*0.137))+0.35*COS(2*PI()*(((0)/Inputs!$C$50)+Inputs!$C$47*0.173))+0.20*SIN(2*PI()*(((Model_Data!A177)+(0))/(0.5*(Inputs!$C$49+Inputs!$C$50))+Inputs!$C$47*0.097)))+0.30*(2*((SIN(((Model_Data!A177)*12.9898+(0)*78.233+Inputs!$C$47*37.719))*43758.5453)-INT((SIN(((Model_Data!A177)*12.9898+(0)*78.233+Inputs!$C$47*37.719))*43758.5453)))-1))))</x:f>
        <x:v>291.2492588822731</x:v>
      </x:c>
      <x:c r="K177" s="48" t="n">
        <x:f>-((((SQRT((Model_Data!A177)^2+Inputs!$C$6^2+((Model_Data!B177)-((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(0.45*SIN(2*PI()*(((Model_Data!A177)/Inputs!$C$49)+Inputs!$C$47*0.137))+0.35*COS(2*PI()*(((Inputs!$C$6)/Inputs!$C$50)+Inputs!$C$47*0.173))+0.20*SIN(2*PI()*(((Model_Data!A177)+(Inputs!$C$6))/(0.5*(Inputs!$C$49+Inputs!$C$50))+Inputs!$C$47*0.097)))+0.30*(2*((SIN(((Model_Data!A177)*12.9898+(Inputs!$C$6)*78.233+Inputs!$C$47*37.719))*43758.5453)-INT((SIN(((Model_Data!A177)*12.9898+(Inputs!$C$6)*78.233+Inputs!$C$47*37.719))*43758.5453)))-1))))/1000)^2))-(((Model_Data!B177)-((Inputs!$C$51*(115*EXP(-(((0)-25)^2)/(4.5^2))+70*EXP(-(((0)+38)^2)/(7^2))*(0.55+0.45*SIN(2*PI()*(Model_Data!A177)/45))+24*SIN(2*PI()*(0)/9+(Model_Data!A177)/18)*EXP(-(((0)+5)^2)/(22^2))+18*SIN(2*PI()*(Model_Data!A177)/70))+Inputs!$C$28*EXP(-(((Model_Data!A177)-Inputs!$C$29)^2)/(2*Inputs!$C$31^2))*EXP(-(((0)-Inputs!$C$30)^2)/(2*Inputs!$C$32^2))+-Inputs!$C$33*EXP(-(((((Model_Data!A177)-Inputs!$C$34)^2)+(((0)-Inputs!$C$35)^2))/(2*Inputs!$C$36^2)))+Inputs!$C$37*(0.55*SIN(2*PI()*(Model_Data!A177)/Inputs!$C$39)+0.35*COS(2*PI()*(0)/Inputs!$C$40)+0.2*SIN(2*PI()*((Model_Data!A177)+(0))/(0.5*(Inputs!$C$39+Inputs!$C$40))))+Inputs!$C$38*SIN(2*PI()*(Model_Data!A177)/Inputs!$C$39)*SIN(2*PI()*(0)/Inputs!$C$40)+-Inputs!$C$41*EXP(-(((0)-Inputs!$C$43)^2)/(2*Inputs!$C$44^2))*EXP(-(((Model_Data!A177)-Inputs!$C$42)^2)/(2*Inputs!$C$45^2))+Inputs!$C$48*(0.70*(0.45*SIN(2*PI()*(((Model_Data!A177)/Inputs!$C$49)+Inputs!$C$47*0.137))+0.35*COS(2*PI()*(((0)/Inputs!$C$50)+Inputs!$C$47*0.173))+0.20*SIN(2*PI()*(((Model_Data!A177)+(0))/(0.5*(Inputs!$C$49+Inputs!$C$50))+Inputs!$C$47*0.097)))+0.30*(2*((SIN(((Model_Data!A177)*12.9898+(0)*78.233+Inputs!$C$47*37.719))*43758.5453)-INT((SIN(((Model_Data!A177)*12.9898+(0)*78.233+Inputs!$C$47*37.719))*43758.5453)))-1))))/1000)))*1000/Inputs!$C$12)-Model_Data!F177)</x:f>
        <x:v>162.81384361122764</x:v>
      </x:c>
      <x:c r="L177" s="49"/>
      <x:c r="M177" s="48" t="n">
        <x:f>Model_Data!A177</x:f>
        <x:v>27.5</x:v>
      </x:c>
      <x:c r="N177" s="48" t="n">
        <x:f>Model_Data!P177</x:f>
        <x:v>-206.66079079152723</x:v>
      </x:c>
      <x:c r="O177" s="48" t="n">
        <x:f>AC177</x:f>
        <x:v>-260.98794604122304</x:v>
      </x:c>
      <x:c r="P177" s="48" t="n">
        <x:f>Model_Data!Q177</x:f>
        <x:v>-31.030148767496584</x:v>
      </x:c>
      <x:c r="Q177" s="48" t="n">
        <x:f>AD177</x:f>
        <x:v>-39.18737928546893</x:v>
      </x:c>
      <x:c r="R177" s="49"/>
      <x:c r="S177" s="48" t="n">
        <x:f>Model_Data!A177</x:f>
        <x:v>27.5</x:v>
      </x:c>
      <x:c r="T177" s="48" t="n">
        <x:f>Model_Data!B177-Inputs!$C$5</x:f>
        <x:v>0.8402777777777715</x:v>
      </x:c>
      <x:c r="U177" s="49"/>
      <x:c r="V177" s="48" t="n">
        <x:f>Model_Data!A177</x:f>
        <x:v>27.5</x:v>
      </x:c>
      <x:c r="W177" s="48" t="n">
        <x:f>(-((((SQRT((Model_Data!A177)^2+Inputs!$C$6^2+((Model_Data!B177)-((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(0.45*SIN(2*PI()*(((Model_Data!A177)/Inputs!$C$49)+Inputs!$C$47*0.137))+0.35*COS(2*PI()*(((Inputs!$C$6)/Inputs!$C$50)+Inputs!$C$47*0.173))+0.20*SIN(2*PI()*(((Model_Data!A177)+(Inputs!$C$6))/(0.5*(Inputs!$C$49+Inputs!$C$50))+Inputs!$C$47*0.097)))+0.30*(2*((SIN(((Model_Data!A177)*12.9898+(Inputs!$C$6)*78.233+Inputs!$C$47*37.719))*43758.5453)-INT((SIN(((Model_Data!A177)*12.9898+(Inputs!$C$6)*78.233+Inputs!$C$47*37.719))*43758.5453)))-1))))/1000)^2))-(((Model_Data!B177)-((Inputs!$C$51*(115*EXP(-(((0)-25)^2)/(4.5^2))+70*EXP(-(((0)+38)^2)/(7^2))*(0.55+0.45*SIN(2*PI()*(Model_Data!A177)/45))+24*SIN(2*PI()*(0)/9+(Model_Data!A177)/18)*EXP(-(((0)+5)^2)/(22^2))+18*SIN(2*PI()*(Model_Data!A177)/70))+Inputs!$C$28*EXP(-(((Model_Data!A177)-Inputs!$C$29)^2)/(2*Inputs!$C$31^2))*EXP(-(((0)-Inputs!$C$30)^2)/(2*Inputs!$C$32^2))+-Inputs!$C$33*EXP(-(((((Model_Data!A177)-Inputs!$C$34)^2)+(((0)-Inputs!$C$35)^2))/(2*Inputs!$C$36^2)))+Inputs!$C$37*(0.55*SIN(2*PI()*(Model_Data!A177)/Inputs!$C$39)+0.35*COS(2*PI()*(0)/Inputs!$C$40)+0.2*SIN(2*PI()*((Model_Data!A177)+(0))/(0.5*(Inputs!$C$39+Inputs!$C$40))))+Inputs!$C$38*SIN(2*PI()*(Model_Data!A177)/Inputs!$C$39)*SIN(2*PI()*(0)/Inputs!$C$40)+-Inputs!$C$41*EXP(-(((0)-Inputs!$C$43)^2)/(2*Inputs!$C$44^2))*EXP(-(((Model_Data!A177)-Inputs!$C$42)^2)/(2*Inputs!$C$45^2))+Inputs!$C$48*(0.70*(0.45*SIN(2*PI()*(((Model_Data!A177)/Inputs!$C$49)+Inputs!$C$47*0.137))+0.35*COS(2*PI()*(((0)/Inputs!$C$50)+Inputs!$C$47*0.173))+0.20*SIN(2*PI()*(((Model_Data!A177)+(0))/(0.5*(Inputs!$C$49+Inputs!$C$50))+Inputs!$C$47*0.097)))+0.30*(2*((SIN(((Model_Data!A177)*12.9898+(0)*78.233+Inputs!$C$47*37.719))*43758.5453)-INT((SIN(((Model_Data!A177)*12.9898+(0)*78.233+Inputs!$C$47*37.719))*43758.5453)))-1))))/1000)))*1000/Inputs!$C$12)-Model_Data!F177))-(-(((SQRT((Model_Data!A177)^2+Inputs!$C$6^2+(Inputs!$C$5-((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(0.45*SIN(2*PI()*(((Model_Data!A177)/Inputs!$C$49)+Inputs!$C$47*0.137))+0.35*COS(2*PI()*(((Inputs!$C$6)/Inputs!$C$50)+Inputs!$C$47*0.173))+0.20*SIN(2*PI()*(((Model_Data!A177)+(Inputs!$C$6))/(0.5*(Inputs!$C$49+Inputs!$C$50))+Inputs!$C$47*0.097)))+0.30*(2*((SIN(((Model_Data!A177)*12.9898+(Inputs!$C$6)*78.233+Inputs!$C$47*37.719))*43758.5453)-INT((SIN(((Model_Data!A177)*12.9898+(Inputs!$C$6)*78.233+Inputs!$C$47*37.719))*43758.5453)))-1))))/1000)^2)-(Inputs!$C$5-((Inputs!$C$51*(115*EXP(-(((0)-25)^2)/(4.5^2))+70*EXP(-(((0)+38)^2)/(7^2))*(0.55+0.45*SIN(2*PI()*(Model_Data!A177)/45))+24*SIN(2*PI()*(0)/9+(Model_Data!A177)/18)*EXP(-(((0)+5)^2)/(22^2))+18*SIN(2*PI()*(Model_Data!A177)/70))+Inputs!$C$28*EXP(-(((Model_Data!A177)-Inputs!$C$29)^2)/(2*Inputs!$C$31^2))*EXP(-(((0)-Inputs!$C$30)^2)/(2*Inputs!$C$32^2))+-Inputs!$C$33*EXP(-(((((Model_Data!A177)-Inputs!$C$34)^2)+(((0)-Inputs!$C$35)^2))/(2*Inputs!$C$36^2)))+Inputs!$C$37*(0.55*SIN(2*PI()*(Model_Data!A177)/Inputs!$C$39)+0.35*COS(2*PI()*(0)/Inputs!$C$40)+0.2*SIN(2*PI()*((Model_Data!A177)+(0))/(0.5*(Inputs!$C$39+Inputs!$C$40))))+Inputs!$C$38*SIN(2*PI()*(Model_Data!A177)/Inputs!$C$39)*SIN(2*PI()*(0)/Inputs!$C$40)+-Inputs!$C$41*EXP(-(((0)-Inputs!$C$43)^2)/(2*Inputs!$C$44^2))*EXP(-(((Model_Data!A177)-Inputs!$C$42)^2)/(2*Inputs!$C$45^2))+Inputs!$C$48*(0.70*(0.45*SIN(2*PI()*(((Model_Data!A177)/Inputs!$C$49)+Inputs!$C$47*0.137))+0.35*COS(2*PI()*(((0)/Inputs!$C$50)+Inputs!$C$47*0.173))+0.20*SIN(2*PI()*(((Model_Data!A177)+(0))/(0.5*(Inputs!$C$49+Inputs!$C$50))+Inputs!$C$47*0.097)))+0.30*(2*((SIN(((Model_Data!A177)*12.9898+(0)*78.233+Inputs!$C$47*37.719))*43758.5453)-INT((SIN(((Model_Data!A177)*12.9898+(0)*78.233+Inputs!$C$47*37.719))*43758.5453)))-1))))/1000))*1000/Inputs!$C$12)-((SQRT((Model_Data!A177)^2+Inputs!$C$6^2+Inputs!$C$5^2)-Inputs!$C$5)*1000/Inputs!$C$12)))</x:f>
        <x:v>0.0033834480605037243</x:v>
      </x:c>
      <x:c r="X177" s="48" t="n">
        <x:f>0</x:f>
        <x:v>0</x:v>
      </x:c>
      <x:c r="Y177" s="49"/>
      <x:c r="Z177" s="48" t="n">
        <x:f>Model_Data!A177</x:f>
        <x:v>27.5</x:v>
      </x:c>
      <x:c r="AA177" s="48" t="n">
        <x:f>SQRT((Model_Data!A177)^2+Inputs!$C$6^2+((Model_Data!B177)-((Inputs!$C$51*(115*EXP(-(((Inputs!$C$6)-25)^2)/(4.5^2))+70*EXP(-(((Inputs!$C$6)+38)^2)/(7^2))*(0.55+0.45*SIN(2*PI()*(Model_Data!A177)/45))+24*SIN(2*PI()*(Inputs!$C$6)/9+(Model_Data!A177)/18)*EXP(-(((Inputs!$C$6)+5)^2)/(22^2))+18*SIN(2*PI()*(Model_Data!A177)/70))+Inputs!$C$28*EXP(-(((Model_Data!A177)-Inputs!$C$29)^2)/(2*Inputs!$C$31^2))*EXP(-(((Inputs!$C$6)-Inputs!$C$30)^2)/(2*Inputs!$C$32^2))+-Inputs!$C$33*EXP(-(((((Model_Data!A177)-Inputs!$C$34)^2)+(((Inputs!$C$6)-Inputs!$C$35)^2))/(2*Inputs!$C$36^2)))+Inputs!$C$37*(0.55*SIN(2*PI()*(Model_Data!A177)/Inputs!$C$39)+0.35*COS(2*PI()*(Inputs!$C$6)/Inputs!$C$40)+0.2*SIN(2*PI()*((Model_Data!A177)+(Inputs!$C$6))/(0.5*(Inputs!$C$39+Inputs!$C$40))))+Inputs!$C$38*SIN(2*PI()*(Model_Data!A177)/Inputs!$C$39)*SIN(2*PI()*(Inputs!$C$6)/Inputs!$C$40)+-Inputs!$C$41*EXP(-(((Inputs!$C$6)-Inputs!$C$43)^2)/(2*Inputs!$C$44^2))*EXP(-(((Model_Data!A177)-Inputs!$C$42)^2)/(2*Inputs!$C$45^2))+Inputs!$C$48*(0.70*(0.45*SIN(2*PI()*(((Model_Data!A177)/Inputs!$C$49)+Inputs!$C$47*0.137))+0.35*COS(2*PI()*(((Inputs!$C$6)/Inputs!$C$50)+Inputs!$C$47*0.173))+0.20*SIN(2*PI()*(((Model_Data!A177)+(Inputs!$C$6))/(0.5*(Inputs!$C$49+Inputs!$C$50))+Inputs!$C$47*0.097)))+0.30*(2*((SIN(((Model_Data!A177)*12.9898+(Inputs!$C$6)*78.233+Inputs!$C$47*37.719))*43758.5453)-INT((SIN(((Model_Data!A177)*12.9898+(Inputs!$C$6)*78.233+Inputs!$C$47*37.719))*43758.5453)))-1))))/1000)^2)</x:f>
        <x:v>402.22393932140045</x:v>
      </x:c>
      <x:c r="AB177" s="48" t="n">
        <x:f>1000*(AA178-AA176)/(Z178-Z176)*Inputs!$C$11</x:f>
        <x:v>652.4698651030576</x:v>
      </x:c>
      <x:c r="AC177" s="48" t="n">
        <x:f>-2*AB177/Inputs!$C$13</x:f>
        <x:v>-260.98794604122304</x:v>
      </x:c>
      <x:c r="AD177" s="48" t="n">
        <x:f>-2*AB177/Inputs!$C$14</x:f>
        <x:v>-39.18737928546893</x:v>
      </x:c>
    </x:row>
    <x:row r="178">
      <x:c r="A178" s="48" t="n">
        <x:f>Model_Data!A178</x:f>
        <x:v>28</x:v>
      </x:c>
      <x:c r="B178" s="48" t="n">
        <x:f>Model_Data!F178</x:f>
        <x:v>985.1613715773758</x:v>
      </x:c>
      <x:c r="C178" s="48" t="n">
        <x:f>(((SQRT((Model_Data!A178)^2+Inputs!$C$6^2+((Model_Data!B178)-((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(0.45*SIN(2*PI()*(((Model_Data!A178)/Inputs!$C$49)+Inputs!$C$47*0.137))+0.35*COS(2*PI()*(((Inputs!$C$6)/Inputs!$C$50)+Inputs!$C$47*0.173))+0.20*SIN(2*PI()*(((Model_Data!A178)+(Inputs!$C$6))/(0.5*(Inputs!$C$49+Inputs!$C$50))+Inputs!$C$47*0.097)))+0.30*(2*((SIN(((Model_Data!A178)*12.9898+(Inputs!$C$6)*78.233+Inputs!$C$47*37.719))*43758.5453)-INT((SIN(((Model_Data!A178)*12.9898+(Inputs!$C$6)*78.233+Inputs!$C$47*37.719))*43758.5453)))-1))))/1000)^2))-(((Model_Data!B178)-((Inputs!$C$51*(115*EXP(-(((0)-25)^2)/(4.5^2))+70*EXP(-(((0)+38)^2)/(7^2))*(0.55+0.45*SIN(2*PI()*(Model_Data!A178)/45))+24*SIN(2*PI()*(0)/9+(Model_Data!A178)/18)*EXP(-(((0)+5)^2)/(22^2))+18*SIN(2*PI()*(Model_Data!A178)/70))+Inputs!$C$28*EXP(-(((Model_Data!A178)-Inputs!$C$29)^2)/(2*Inputs!$C$31^2))*EXP(-(((0)-Inputs!$C$30)^2)/(2*Inputs!$C$32^2))+-Inputs!$C$33*EXP(-(((((Model_Data!A178)-Inputs!$C$34)^2)+(((0)-Inputs!$C$35)^2))/(2*Inputs!$C$36^2)))+Inputs!$C$37*(0.55*SIN(2*PI()*(Model_Data!A178)/Inputs!$C$39)+0.35*COS(2*PI()*(0)/Inputs!$C$40)+0.2*SIN(2*PI()*((Model_Data!A178)+(0))/(0.5*(Inputs!$C$39+Inputs!$C$40))))+Inputs!$C$38*SIN(2*PI()*(Model_Data!A178)/Inputs!$C$39)*SIN(2*PI()*(0)/Inputs!$C$40)+-Inputs!$C$41*EXP(-(((0)-Inputs!$C$43)^2)/(2*Inputs!$C$44^2))*EXP(-(((Model_Data!A178)-Inputs!$C$42)^2)/(2*Inputs!$C$45^2))+Inputs!$C$48*(0.70*(0.45*SIN(2*PI()*(((Model_Data!A178)/Inputs!$C$49)+Inputs!$C$47*0.137))+0.35*COS(2*PI()*(((0)/Inputs!$C$50)+Inputs!$C$47*0.173))+0.20*SIN(2*PI()*(((Model_Data!A178)+(0))/(0.5*(Inputs!$C$49+Inputs!$C$50))+Inputs!$C$47*0.097)))+0.30*(2*((SIN(((Model_Data!A178)*12.9898+(0)*78.233+Inputs!$C$47*37.719))*43758.5453)-INT((SIN(((Model_Data!A178)*12.9898+(0)*78.233+Inputs!$C$47*37.719))*43758.5453)))-1))))/1000)))*1000/Inputs!$C$12)</x:f>
        <x:v>843.6565557631733</x:v>
      </x:c>
      <x:c r="D178" s="49"/>
      <x:c r="E178" s="48" t="n">
        <x:f>Model_Data!A178</x:f>
        <x:v>28</x:v>
      </x:c>
      <x:c r="F178" s="48" t="n">
        <x:f>(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(0.45*SIN(2*PI()*(((Model_Data!A178)/Inputs!$C$49)+Inputs!$C$47*0.137))+0.35*COS(2*PI()*(((Inputs!$C$6)/Inputs!$C$50)+Inputs!$C$47*0.173))+0.20*SIN(2*PI()*(((Model_Data!A178)+(Inputs!$C$6))/(0.5*(Inputs!$C$49+Inputs!$C$50))+Inputs!$C$47*0.097)))+0.30*(2*((SIN(((Model_Data!A178)*12.9898+(Inputs!$C$6)*78.233+Inputs!$C$47*37.719))*43758.5453)-INT((SIN(((Model_Data!A178)*12.9898+(Inputs!$C$6)*78.233+Inputs!$C$47*37.719))*43758.5453)))-1)))</x:f>
        <x:v>312.18369818898617</x:v>
      </x:c>
      <x:c r="G178" s="48" t="n">
        <x:f>(Inputs!$C$51*(115*EXP(-(((0)-25)^2)/(4.5^2))+70*EXP(-(((0)+38)^2)/(7^2))*(0.55+0.45*SIN(2*PI()*(Model_Data!A178)/45))+24*SIN(2*PI()*(0)/9+(Model_Data!A178)/18)*EXP(-(((0)+5)^2)/(22^2))+18*SIN(2*PI()*(Model_Data!A178)/70))+Inputs!$C$28*EXP(-(((Model_Data!A178)-Inputs!$C$29)^2)/(2*Inputs!$C$31^2))*EXP(-(((0)-Inputs!$C$30)^2)/(2*Inputs!$C$32^2))+-Inputs!$C$33*EXP(-(((((Model_Data!A178)-Inputs!$C$34)^2)+(((0)-Inputs!$C$35)^2))/(2*Inputs!$C$36^2)))+Inputs!$C$37*(0.55*SIN(2*PI()*(Model_Data!A178)/Inputs!$C$39)+0.35*COS(2*PI()*(0)/Inputs!$C$40)+0.2*SIN(2*PI()*((Model_Data!A178)+(0))/(0.5*(Inputs!$C$39+Inputs!$C$40))))+Inputs!$C$38*SIN(2*PI()*(Model_Data!A178)/Inputs!$C$39)*SIN(2*PI()*(0)/Inputs!$C$40)+-Inputs!$C$41*EXP(-(((0)-Inputs!$C$43)^2)/(2*Inputs!$C$44^2))*EXP(-(((Model_Data!A178)-Inputs!$C$42)^2)/(2*Inputs!$C$45^2))+Inputs!$C$48*(0.70*(0.45*SIN(2*PI()*(((Model_Data!A178)/Inputs!$C$49)+Inputs!$C$47*0.137))+0.35*COS(2*PI()*(((0)/Inputs!$C$50)+Inputs!$C$47*0.173))+0.20*SIN(2*PI()*(((Model_Data!A178)+(0))/(0.5*(Inputs!$C$49+Inputs!$C$50))+Inputs!$C$47*0.097)))+0.30*(2*((SIN(((Model_Data!A178)*12.9898+(0)*78.233+Inputs!$C$47*37.719))*43758.5453)-INT((SIN(((Model_Data!A178)*12.9898+(0)*78.233+Inputs!$C$47*37.719))*43758.5453)))-1)))</x:f>
        <x:v>58.94439177372493</x:v>
      </x:c>
      <x:c r="H178" s="49"/>
      <x:c r="I178" s="48" t="n">
        <x:f>Model_Data!A178</x:f>
        <x:v>28</x:v>
      </x:c>
      <x:c r="J178" s="48" t="n">
        <x:f>((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(0.45*SIN(2*PI()*(((Model_Data!A178)/Inputs!$C$49)+Inputs!$C$47*0.137))+0.35*COS(2*PI()*(((Inputs!$C$6)/Inputs!$C$50)+Inputs!$C$47*0.173))+0.20*SIN(2*PI()*(((Model_Data!A178)+(Inputs!$C$6))/(0.5*(Inputs!$C$49+Inputs!$C$50))+Inputs!$C$47*0.097)))+0.30*(2*((SIN(((Model_Data!A178)*12.9898+(Inputs!$C$6)*78.233+Inputs!$C$47*37.719))*43758.5453)-INT((SIN(((Model_Data!A178)*12.9898+(Inputs!$C$6)*78.233+Inputs!$C$47*37.719))*43758.5453)))-1))))-((Inputs!$C$51*(115*EXP(-(((0)-25)^2)/(4.5^2))+70*EXP(-(((0)+38)^2)/(7^2))*(0.55+0.45*SIN(2*PI()*(Model_Data!A178)/45))+24*SIN(2*PI()*(0)/9+(Model_Data!A178)/18)*EXP(-(((0)+5)^2)/(22^2))+18*SIN(2*PI()*(Model_Data!A178)/70))+Inputs!$C$28*EXP(-(((Model_Data!A178)-Inputs!$C$29)^2)/(2*Inputs!$C$31^2))*EXP(-(((0)-Inputs!$C$30)^2)/(2*Inputs!$C$32^2))+-Inputs!$C$33*EXP(-(((((Model_Data!A178)-Inputs!$C$34)^2)+(((0)-Inputs!$C$35)^2))/(2*Inputs!$C$36^2)))+Inputs!$C$37*(0.55*SIN(2*PI()*(Model_Data!A178)/Inputs!$C$39)+0.35*COS(2*PI()*(0)/Inputs!$C$40)+0.2*SIN(2*PI()*((Model_Data!A178)+(0))/(0.5*(Inputs!$C$39+Inputs!$C$40))))+Inputs!$C$38*SIN(2*PI()*(Model_Data!A178)/Inputs!$C$39)*SIN(2*PI()*(0)/Inputs!$C$40)+-Inputs!$C$41*EXP(-(((0)-Inputs!$C$43)^2)/(2*Inputs!$C$44^2))*EXP(-(((Model_Data!A178)-Inputs!$C$42)^2)/(2*Inputs!$C$45^2))+Inputs!$C$48*(0.70*(0.45*SIN(2*PI()*(((Model_Data!A178)/Inputs!$C$49)+Inputs!$C$47*0.137))+0.35*COS(2*PI()*(((0)/Inputs!$C$50)+Inputs!$C$47*0.173))+0.20*SIN(2*PI()*(((Model_Data!A178)+(0))/(0.5*(Inputs!$C$49+Inputs!$C$50))+Inputs!$C$47*0.097)))+0.30*(2*((SIN(((Model_Data!A178)*12.9898+(0)*78.233+Inputs!$C$47*37.719))*43758.5453)-INT((SIN(((Model_Data!A178)*12.9898+(0)*78.233+Inputs!$C$47*37.719))*43758.5453)))-1))))</x:f>
        <x:v>253.23930641526124</x:v>
      </x:c>
      <x:c r="K178" s="48" t="n">
        <x:f>-((((SQRT((Model_Data!A178)^2+Inputs!$C$6^2+((Model_Data!B178)-((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(0.45*SIN(2*PI()*(((Model_Data!A178)/Inputs!$C$49)+Inputs!$C$47*0.137))+0.35*COS(2*PI()*(((Inputs!$C$6)/Inputs!$C$50)+Inputs!$C$47*0.173))+0.20*SIN(2*PI()*(((Model_Data!A178)+(Inputs!$C$6))/(0.5*(Inputs!$C$49+Inputs!$C$50))+Inputs!$C$47*0.097)))+0.30*(2*((SIN(((Model_Data!A178)*12.9898+(Inputs!$C$6)*78.233+Inputs!$C$47*37.719))*43758.5453)-INT((SIN(((Model_Data!A178)*12.9898+(Inputs!$C$6)*78.233+Inputs!$C$47*37.719))*43758.5453)))-1))))/1000)^2))-(((Model_Data!B178)-((Inputs!$C$51*(115*EXP(-(((0)-25)^2)/(4.5^2))+70*EXP(-(((0)+38)^2)/(7^2))*(0.55+0.45*SIN(2*PI()*(Model_Data!A178)/45))+24*SIN(2*PI()*(0)/9+(Model_Data!A178)/18)*EXP(-(((0)+5)^2)/(22^2))+18*SIN(2*PI()*(Model_Data!A178)/70))+Inputs!$C$28*EXP(-(((Model_Data!A178)-Inputs!$C$29)^2)/(2*Inputs!$C$31^2))*EXP(-(((0)-Inputs!$C$30)^2)/(2*Inputs!$C$32^2))+-Inputs!$C$33*EXP(-(((((Model_Data!A178)-Inputs!$C$34)^2)+(((0)-Inputs!$C$35)^2))/(2*Inputs!$C$36^2)))+Inputs!$C$37*(0.55*SIN(2*PI()*(Model_Data!A178)/Inputs!$C$39)+0.35*COS(2*PI()*(0)/Inputs!$C$40)+0.2*SIN(2*PI()*((Model_Data!A178)+(0))/(0.5*(Inputs!$C$39+Inputs!$C$40))))+Inputs!$C$38*SIN(2*PI()*(Model_Data!A178)/Inputs!$C$39)*SIN(2*PI()*(0)/Inputs!$C$40)+-Inputs!$C$41*EXP(-(((0)-Inputs!$C$43)^2)/(2*Inputs!$C$44^2))*EXP(-(((Model_Data!A178)-Inputs!$C$42)^2)/(2*Inputs!$C$45^2))+Inputs!$C$48*(0.70*(0.45*SIN(2*PI()*(((Model_Data!A178)/Inputs!$C$49)+Inputs!$C$47*0.137))+0.35*COS(2*PI()*(((0)/Inputs!$C$50)+Inputs!$C$47*0.173))+0.20*SIN(2*PI()*(((Model_Data!A178)+(0))/(0.5*(Inputs!$C$49+Inputs!$C$50))+Inputs!$C$47*0.097)))+0.30*(2*((SIN(((Model_Data!A178)*12.9898+(0)*78.233+Inputs!$C$47*37.719))*43758.5453)-INT((SIN(((Model_Data!A178)*12.9898+(0)*78.233+Inputs!$C$47*37.719))*43758.5453)))-1))))/1000)))*1000/Inputs!$C$12)-Model_Data!F178)</x:f>
        <x:v>141.50481581420252</x:v>
      </x:c>
      <x:c r="L178" s="49"/>
      <x:c r="M178" s="48" t="n">
        <x:f>Model_Data!A178</x:f>
        <x:v>28</x:v>
      </x:c>
      <x:c r="N178" s="48" t="n">
        <x:f>Model_Data!P178</x:f>
        <x:v>-210.39182772307828</x:v>
      </x:c>
      <x:c r="O178" s="48" t="n">
        <x:f>AC178</x:f>
        <x:v>-252.80521474851412</x:v>
      </x:c>
      <x:c r="P178" s="48" t="n">
        <x:f>Model_Data!Q178</x:f>
        <x:v>-31.59036452298473</x:v>
      </x:c>
      <x:c r="Q178" s="48" t="n">
        <x:f>AD178</x:f>
        <x:v>-37.958740953230354</x:v>
      </x:c>
      <x:c r="R178" s="49"/>
      <x:c r="S178" s="48" t="n">
        <x:f>Model_Data!A178</x:f>
        <x:v>28</x:v>
      </x:c>
      <x:c r="T178" s="48" t="n">
        <x:f>Model_Data!B178-Inputs!$C$5</x:f>
        <x:v>0.8711111111111336</x:v>
      </x:c>
      <x:c r="U178" s="49"/>
      <x:c r="V178" s="48" t="n">
        <x:f>Model_Data!A178</x:f>
        <x:v>28</x:v>
      </x:c>
      <x:c r="W178" s="48" t="n">
        <x:f>(-((((SQRT((Model_Data!A178)^2+Inputs!$C$6^2+((Model_Data!B178)-((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(0.45*SIN(2*PI()*(((Model_Data!A178)/Inputs!$C$49)+Inputs!$C$47*0.137))+0.35*COS(2*PI()*(((Inputs!$C$6)/Inputs!$C$50)+Inputs!$C$47*0.173))+0.20*SIN(2*PI()*(((Model_Data!A178)+(Inputs!$C$6))/(0.5*(Inputs!$C$49+Inputs!$C$50))+Inputs!$C$47*0.097)))+0.30*(2*((SIN(((Model_Data!A178)*12.9898+(Inputs!$C$6)*78.233+Inputs!$C$47*37.719))*43758.5453)-INT((SIN(((Model_Data!A178)*12.9898+(Inputs!$C$6)*78.233+Inputs!$C$47*37.719))*43758.5453)))-1))))/1000)^2))-(((Model_Data!B178)-((Inputs!$C$51*(115*EXP(-(((0)-25)^2)/(4.5^2))+70*EXP(-(((0)+38)^2)/(7^2))*(0.55+0.45*SIN(2*PI()*(Model_Data!A178)/45))+24*SIN(2*PI()*(0)/9+(Model_Data!A178)/18)*EXP(-(((0)+5)^2)/(22^2))+18*SIN(2*PI()*(Model_Data!A178)/70))+Inputs!$C$28*EXP(-(((Model_Data!A178)-Inputs!$C$29)^2)/(2*Inputs!$C$31^2))*EXP(-(((0)-Inputs!$C$30)^2)/(2*Inputs!$C$32^2))+-Inputs!$C$33*EXP(-(((((Model_Data!A178)-Inputs!$C$34)^2)+(((0)-Inputs!$C$35)^2))/(2*Inputs!$C$36^2)))+Inputs!$C$37*(0.55*SIN(2*PI()*(Model_Data!A178)/Inputs!$C$39)+0.35*COS(2*PI()*(0)/Inputs!$C$40)+0.2*SIN(2*PI()*((Model_Data!A178)+(0))/(0.5*(Inputs!$C$39+Inputs!$C$40))))+Inputs!$C$38*SIN(2*PI()*(Model_Data!A178)/Inputs!$C$39)*SIN(2*PI()*(0)/Inputs!$C$40)+-Inputs!$C$41*EXP(-(((0)-Inputs!$C$43)^2)/(2*Inputs!$C$44^2))*EXP(-(((Model_Data!A178)-Inputs!$C$42)^2)/(2*Inputs!$C$45^2))+Inputs!$C$48*(0.70*(0.45*SIN(2*PI()*(((Model_Data!A178)/Inputs!$C$49)+Inputs!$C$47*0.137))+0.35*COS(2*PI()*(((0)/Inputs!$C$50)+Inputs!$C$47*0.173))+0.20*SIN(2*PI()*(((Model_Data!A178)+(0))/(0.5*(Inputs!$C$49+Inputs!$C$50))+Inputs!$C$47*0.097)))+0.30*(2*((SIN(((Model_Data!A178)*12.9898+(0)*78.233+Inputs!$C$47*37.719))*43758.5453)-INT((SIN(((Model_Data!A178)*12.9898+(0)*78.233+Inputs!$C$47*37.719))*43758.5453)))-1))))/1000)))*1000/Inputs!$C$12)-Model_Data!F178))-(-(((SQRT((Model_Data!A178)^2+Inputs!$C$6^2+(Inputs!$C$5-((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(0.45*SIN(2*PI()*(((Model_Data!A178)/Inputs!$C$49)+Inputs!$C$47*0.137))+0.35*COS(2*PI()*(((Inputs!$C$6)/Inputs!$C$50)+Inputs!$C$47*0.173))+0.20*SIN(2*PI()*(((Model_Data!A178)+(Inputs!$C$6))/(0.5*(Inputs!$C$49+Inputs!$C$50))+Inputs!$C$47*0.097)))+0.30*(2*((SIN(((Model_Data!A178)*12.9898+(Inputs!$C$6)*78.233+Inputs!$C$47*37.719))*43758.5453)-INT((SIN(((Model_Data!A178)*12.9898+(Inputs!$C$6)*78.233+Inputs!$C$47*37.719))*43758.5453)))-1))))/1000)^2)-(Inputs!$C$5-((Inputs!$C$51*(115*EXP(-(((0)-25)^2)/(4.5^2))+70*EXP(-(((0)+38)^2)/(7^2))*(0.55+0.45*SIN(2*PI()*(Model_Data!A178)/45))+24*SIN(2*PI()*(0)/9+(Model_Data!A178)/18)*EXP(-(((0)+5)^2)/(22^2))+18*SIN(2*PI()*(Model_Data!A178)/70))+Inputs!$C$28*EXP(-(((Model_Data!A178)-Inputs!$C$29)^2)/(2*Inputs!$C$31^2))*EXP(-(((0)-Inputs!$C$30)^2)/(2*Inputs!$C$32^2))+-Inputs!$C$33*EXP(-(((((Model_Data!A178)-Inputs!$C$34)^2)+(((0)-Inputs!$C$35)^2))/(2*Inputs!$C$36^2)))+Inputs!$C$37*(0.55*SIN(2*PI()*(Model_Data!A178)/Inputs!$C$39)+0.35*COS(2*PI()*(0)/Inputs!$C$40)+0.2*SIN(2*PI()*((Model_Data!A178)+(0))/(0.5*(Inputs!$C$39+Inputs!$C$40))))+Inputs!$C$38*SIN(2*PI()*(Model_Data!A178)/Inputs!$C$39)*SIN(2*PI()*(0)/Inputs!$C$40)+-Inputs!$C$41*EXP(-(((0)-Inputs!$C$43)^2)/(2*Inputs!$C$44^2))*EXP(-(((Model_Data!A178)-Inputs!$C$42)^2)/(2*Inputs!$C$45^2))+Inputs!$C$48*(0.70*(0.45*SIN(2*PI()*(((Model_Data!A178)/Inputs!$C$49)+Inputs!$C$47*0.137))+0.35*COS(2*PI()*(((0)/Inputs!$C$50)+Inputs!$C$47*0.173))+0.20*SIN(2*PI()*(((Model_Data!A178)+(0))/(0.5*(Inputs!$C$49+Inputs!$C$50))+Inputs!$C$47*0.097)))+0.30*(2*((SIN(((Model_Data!A178)*12.9898+(0)*78.233+Inputs!$C$47*37.719))*43758.5453)-INT((SIN(((Model_Data!A178)*12.9898+(0)*78.233+Inputs!$C$47*37.719))*43758.5453)))-1))))/1000))*1000/Inputs!$C$12)-((SQRT((Model_Data!A178)^2+Inputs!$C$6^2+Inputs!$C$5^2)-Inputs!$C$5)*1000/Inputs!$C$12)))</x:f>
        <x:v>0.0033127012204658968</x:v>
      </x:c>
      <x:c r="X178" s="48" t="n">
        <x:f>0</x:f>
        <x:v>0</x:v>
      </x:c>
      <x:c r="Y178" s="49"/>
      <x:c r="Z178" s="48" t="n">
        <x:f>Model_Data!A178</x:f>
        <x:v>28</x:v>
      </x:c>
      <x:c r="AA178" s="48" t="n">
        <x:f>SQRT((Model_Data!A178)^2+Inputs!$C$6^2+((Model_Data!B178)-((Inputs!$C$51*(115*EXP(-(((Inputs!$C$6)-25)^2)/(4.5^2))+70*EXP(-(((Inputs!$C$6)+38)^2)/(7^2))*(0.55+0.45*SIN(2*PI()*(Model_Data!A178)/45))+24*SIN(2*PI()*(Inputs!$C$6)/9+(Model_Data!A178)/18)*EXP(-(((Inputs!$C$6)+5)^2)/(22^2))+18*SIN(2*PI()*(Model_Data!A178)/70))+Inputs!$C$28*EXP(-(((Model_Data!A178)-Inputs!$C$29)^2)/(2*Inputs!$C$31^2))*EXP(-(((Inputs!$C$6)-Inputs!$C$30)^2)/(2*Inputs!$C$32^2))+-Inputs!$C$33*EXP(-(((((Model_Data!A178)-Inputs!$C$34)^2)+(((Inputs!$C$6)-Inputs!$C$35)^2))/(2*Inputs!$C$36^2)))+Inputs!$C$37*(0.55*SIN(2*PI()*(Model_Data!A178)/Inputs!$C$39)+0.35*COS(2*PI()*(Inputs!$C$6)/Inputs!$C$40)+0.2*SIN(2*PI()*((Model_Data!A178)+(Inputs!$C$6))/(0.5*(Inputs!$C$39+Inputs!$C$40))))+Inputs!$C$38*SIN(2*PI()*(Model_Data!A178)/Inputs!$C$39)*SIN(2*PI()*(Inputs!$C$6)/Inputs!$C$40)+-Inputs!$C$41*EXP(-(((Inputs!$C$6)-Inputs!$C$43)^2)/(2*Inputs!$C$44^2))*EXP(-(((Model_Data!A178)-Inputs!$C$42)^2)/(2*Inputs!$C$45^2))+Inputs!$C$48*(0.70*(0.45*SIN(2*PI()*(((Model_Data!A178)/Inputs!$C$49)+Inputs!$C$47*0.137))+0.35*COS(2*PI()*(((Inputs!$C$6)/Inputs!$C$50)+Inputs!$C$47*0.173))+0.20*SIN(2*PI()*(((Model_Data!A178)+(Inputs!$C$6))/(0.5*(Inputs!$C$49+Inputs!$C$50))+Inputs!$C$47*0.097)))+0.30*(2*((SIN(((Model_Data!A178)*12.9898+(Inputs!$C$6)*78.233+Inputs!$C$47*37.719))*43758.5453)-INT((SIN(((Model_Data!A178)*12.9898+(Inputs!$C$6)*78.233+Inputs!$C$47*37.719))*43758.5453)))-1))))/1000)^2)</x:f>
        <x:v>402.3138753885959</x:v>
      </x:c>
      <x:c r="AB178" s="48" t="n">
        <x:f>1000*(AA179-AA177)/(Z179-Z177)*Inputs!$C$11</x:f>
        <x:v>632.0130368712853</x:v>
      </x:c>
      <x:c r="AC178" s="48" t="n">
        <x:f>-2*AB178/Inputs!$C$13</x:f>
        <x:v>-252.80521474851412</x:v>
      </x:c>
      <x:c r="AD178" s="48" t="n">
        <x:f>-2*AB178/Inputs!$C$14</x:f>
        <x:v>-37.958740953230354</x:v>
      </x:c>
    </x:row>
    <x:row r="179">
      <x:c r="A179" s="48" t="n">
        <x:f>Model_Data!A179</x:f>
        <x:v>28.5</x:v>
      </x:c>
      <x:c r="B179" s="48" t="n">
        <x:f>Model_Data!F179</x:f>
        <x:v>1004.7913422626065</x:v>
      </x:c>
      <x:c r="C179" s="48" t="n">
        <x:f>(((SQRT((Model_Data!A179)^2+Inputs!$C$6^2+((Model_Data!B179)-((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(0.45*SIN(2*PI()*(((Model_Data!A179)/Inputs!$C$49)+Inputs!$C$47*0.137))+0.35*COS(2*PI()*(((Inputs!$C$6)/Inputs!$C$50)+Inputs!$C$47*0.173))+0.20*SIN(2*PI()*(((Model_Data!A179)+(Inputs!$C$6))/(0.5*(Inputs!$C$49+Inputs!$C$50))+Inputs!$C$47*0.097)))+0.30*(2*((SIN(((Model_Data!A179)*12.9898+(Inputs!$C$6)*78.233+Inputs!$C$47*37.719))*43758.5453)-INT((SIN(((Model_Data!A179)*12.9898+(Inputs!$C$6)*78.233+Inputs!$C$47*37.719))*43758.5453)))-1))))/1000)^2))-(((Model_Data!B179)-((Inputs!$C$51*(115*EXP(-(((0)-25)^2)/(4.5^2))+70*EXP(-(((0)+38)^2)/(7^2))*(0.55+0.45*SIN(2*PI()*(Model_Data!A179)/45))+24*SIN(2*PI()*(0)/9+(Model_Data!A179)/18)*EXP(-(((0)+5)^2)/(22^2))+18*SIN(2*PI()*(Model_Data!A179)/70))+Inputs!$C$28*EXP(-(((Model_Data!A179)-Inputs!$C$29)^2)/(2*Inputs!$C$31^2))*EXP(-(((0)-Inputs!$C$30)^2)/(2*Inputs!$C$32^2))+-Inputs!$C$33*EXP(-(((((Model_Data!A179)-Inputs!$C$34)^2)+(((0)-Inputs!$C$35)^2))/(2*Inputs!$C$36^2)))+Inputs!$C$37*(0.55*SIN(2*PI()*(Model_Data!A179)/Inputs!$C$39)+0.35*COS(2*PI()*(0)/Inputs!$C$40)+0.2*SIN(2*PI()*((Model_Data!A179)+(0))/(0.5*(Inputs!$C$39+Inputs!$C$40))))+Inputs!$C$38*SIN(2*PI()*(Model_Data!A179)/Inputs!$C$39)*SIN(2*PI()*(0)/Inputs!$C$40)+-Inputs!$C$41*EXP(-(((0)-Inputs!$C$43)^2)/(2*Inputs!$C$44^2))*EXP(-(((Model_Data!A179)-Inputs!$C$42)^2)/(2*Inputs!$C$45^2))+Inputs!$C$48*(0.70*(0.45*SIN(2*PI()*(((Model_Data!A179)/Inputs!$C$49)+Inputs!$C$47*0.137))+0.35*COS(2*PI()*(((0)/Inputs!$C$50)+Inputs!$C$47*0.173))+0.20*SIN(2*PI()*(((Model_Data!A179)+(0))/(0.5*(Inputs!$C$49+Inputs!$C$50))+Inputs!$C$47*0.097)))+0.30*(2*((SIN(((Model_Data!A179)*12.9898+(0)*78.233+Inputs!$C$47*37.719))*43758.5453)-INT((SIN(((Model_Data!A179)*12.9898+(0)*78.233+Inputs!$C$47*37.719))*43758.5453)))-1))))/1000)))*1000/Inputs!$C$12)</x:f>
        <x:v>861.3312579400193</x:v>
      </x:c>
      <x:c r="D179" s="49"/>
      <x:c r="E179" s="48" t="n">
        <x:f>Model_Data!A179</x:f>
        <x:v>28.5</x:v>
      </x:c>
      <x:c r="F179" s="48" t="n">
        <x:f>(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(0.45*SIN(2*PI()*(((Model_Data!A179)/Inputs!$C$49)+Inputs!$C$47*0.137))+0.35*COS(2*PI()*(((Inputs!$C$6)/Inputs!$C$50)+Inputs!$C$47*0.173))+0.20*SIN(2*PI()*(((Model_Data!A179)+(Inputs!$C$6))/(0.5*(Inputs!$C$49+Inputs!$C$50))+Inputs!$C$47*0.097)))+0.30*(2*((SIN(((Model_Data!A179)*12.9898+(Inputs!$C$6)*78.233+Inputs!$C$47*37.719))*43758.5453)-INT((SIN(((Model_Data!A179)*12.9898+(Inputs!$C$6)*78.233+Inputs!$C$47*37.719))*43758.5453)))-1)))</x:f>
        <x:v>310.4659866511931</x:v>
      </x:c>
      <x:c r="G179" s="48" t="n">
        <x:f>(Inputs!$C$51*(115*EXP(-(((0)-25)^2)/(4.5^2))+70*EXP(-(((0)+38)^2)/(7^2))*(0.55+0.45*SIN(2*PI()*(Model_Data!A179)/45))+24*SIN(2*PI()*(0)/9+(Model_Data!A179)/18)*EXP(-(((0)+5)^2)/(22^2))+18*SIN(2*PI()*(Model_Data!A179)/70))+Inputs!$C$28*EXP(-(((Model_Data!A179)-Inputs!$C$29)^2)/(2*Inputs!$C$31^2))*EXP(-(((0)-Inputs!$C$30)^2)/(2*Inputs!$C$32^2))+-Inputs!$C$33*EXP(-(((((Model_Data!A179)-Inputs!$C$34)^2)+(((0)-Inputs!$C$35)^2))/(2*Inputs!$C$36^2)))+Inputs!$C$37*(0.55*SIN(2*PI()*(Model_Data!A179)/Inputs!$C$39)+0.35*COS(2*PI()*(0)/Inputs!$C$40)+0.2*SIN(2*PI()*((Model_Data!A179)+(0))/(0.5*(Inputs!$C$39+Inputs!$C$40))))+Inputs!$C$38*SIN(2*PI()*(Model_Data!A179)/Inputs!$C$39)*SIN(2*PI()*(0)/Inputs!$C$40)+-Inputs!$C$41*EXP(-(((0)-Inputs!$C$43)^2)/(2*Inputs!$C$44^2))*EXP(-(((Model_Data!A179)-Inputs!$C$42)^2)/(2*Inputs!$C$45^2))+Inputs!$C$48*(0.70*(0.45*SIN(2*PI()*(((Model_Data!A179)/Inputs!$C$49)+Inputs!$C$47*0.137))+0.35*COS(2*PI()*(((0)/Inputs!$C$50)+Inputs!$C$47*0.173))+0.20*SIN(2*PI()*(((Model_Data!A179)+(0))/(0.5*(Inputs!$C$49+Inputs!$C$50))+Inputs!$C$47*0.097)))+0.30*(2*((SIN(((Model_Data!A179)*12.9898+(0)*78.233+Inputs!$C$47*37.719))*43758.5453)-INT((SIN(((Model_Data!A179)*12.9898+(0)*78.233+Inputs!$C$47*37.719))*43758.5453)))-1)))</x:f>
        <x:v>53.72705851492565</x:v>
      </x:c>
      <x:c r="H179" s="49"/>
      <x:c r="I179" s="48" t="n">
        <x:f>Model_Data!A179</x:f>
        <x:v>28.5</x:v>
      </x:c>
      <x:c r="J179" s="48" t="n">
        <x:f>((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(0.45*SIN(2*PI()*(((Model_Data!A179)/Inputs!$C$49)+Inputs!$C$47*0.137))+0.35*COS(2*PI()*(((Inputs!$C$6)/Inputs!$C$50)+Inputs!$C$47*0.173))+0.20*SIN(2*PI()*(((Model_Data!A179)+(Inputs!$C$6))/(0.5*(Inputs!$C$49+Inputs!$C$50))+Inputs!$C$47*0.097)))+0.30*(2*((SIN(((Model_Data!A179)*12.9898+(Inputs!$C$6)*78.233+Inputs!$C$47*37.719))*43758.5453)-INT((SIN(((Model_Data!A179)*12.9898+(Inputs!$C$6)*78.233+Inputs!$C$47*37.719))*43758.5453)))-1))))-((Inputs!$C$51*(115*EXP(-(((0)-25)^2)/(4.5^2))+70*EXP(-(((0)+38)^2)/(7^2))*(0.55+0.45*SIN(2*PI()*(Model_Data!A179)/45))+24*SIN(2*PI()*(0)/9+(Model_Data!A179)/18)*EXP(-(((0)+5)^2)/(22^2))+18*SIN(2*PI()*(Model_Data!A179)/70))+Inputs!$C$28*EXP(-(((Model_Data!A179)-Inputs!$C$29)^2)/(2*Inputs!$C$31^2))*EXP(-(((0)-Inputs!$C$30)^2)/(2*Inputs!$C$32^2))+-Inputs!$C$33*EXP(-(((((Model_Data!A179)-Inputs!$C$34)^2)+(((0)-Inputs!$C$35)^2))/(2*Inputs!$C$36^2)))+Inputs!$C$37*(0.55*SIN(2*PI()*(Model_Data!A179)/Inputs!$C$39)+0.35*COS(2*PI()*(0)/Inputs!$C$40)+0.2*SIN(2*PI()*((Model_Data!A179)+(0))/(0.5*(Inputs!$C$39+Inputs!$C$40))))+Inputs!$C$38*SIN(2*PI()*(Model_Data!A179)/Inputs!$C$39)*SIN(2*PI()*(0)/Inputs!$C$40)+-Inputs!$C$41*EXP(-(((0)-Inputs!$C$43)^2)/(2*Inputs!$C$44^2))*EXP(-(((Model_Data!A179)-Inputs!$C$42)^2)/(2*Inputs!$C$45^2))+Inputs!$C$48*(0.70*(0.45*SIN(2*PI()*(((Model_Data!A179)/Inputs!$C$49)+Inputs!$C$47*0.137))+0.35*COS(2*PI()*(((0)/Inputs!$C$50)+Inputs!$C$47*0.173))+0.20*SIN(2*PI()*(((Model_Data!A179)+(0))/(0.5*(Inputs!$C$49+Inputs!$C$50))+Inputs!$C$47*0.097)))+0.30*(2*((SIN(((Model_Data!A179)*12.9898+(0)*78.233+Inputs!$C$47*37.719))*43758.5453)-INT((SIN(((Model_Data!A179)*12.9898+(0)*78.233+Inputs!$C$47*37.719))*43758.5453)))-1))))</x:f>
        <x:v>256.7389281362674</x:v>
      </x:c>
      <x:c r="K179" s="48" t="n">
        <x:f>-((((SQRT((Model_Data!A179)^2+Inputs!$C$6^2+((Model_Data!B179)-((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(0.45*SIN(2*PI()*(((Model_Data!A179)/Inputs!$C$49)+Inputs!$C$47*0.137))+0.35*COS(2*PI()*(((Inputs!$C$6)/Inputs!$C$50)+Inputs!$C$47*0.173))+0.20*SIN(2*PI()*(((Model_Data!A179)+(Inputs!$C$6))/(0.5*(Inputs!$C$49+Inputs!$C$50))+Inputs!$C$47*0.097)))+0.30*(2*((SIN(((Model_Data!A179)*12.9898+(Inputs!$C$6)*78.233+Inputs!$C$47*37.719))*43758.5453)-INT((SIN(((Model_Data!A179)*12.9898+(Inputs!$C$6)*78.233+Inputs!$C$47*37.719))*43758.5453)))-1))))/1000)^2))-(((Model_Data!B179)-((Inputs!$C$51*(115*EXP(-(((0)-25)^2)/(4.5^2))+70*EXP(-(((0)+38)^2)/(7^2))*(0.55+0.45*SIN(2*PI()*(Model_Data!A179)/45))+24*SIN(2*PI()*(0)/9+(Model_Data!A179)/18)*EXP(-(((0)+5)^2)/(22^2))+18*SIN(2*PI()*(Model_Data!A179)/70))+Inputs!$C$28*EXP(-(((Model_Data!A179)-Inputs!$C$29)^2)/(2*Inputs!$C$31^2))*EXP(-(((0)-Inputs!$C$30)^2)/(2*Inputs!$C$32^2))+-Inputs!$C$33*EXP(-(((((Model_Data!A179)-Inputs!$C$34)^2)+(((0)-Inputs!$C$35)^2))/(2*Inputs!$C$36^2)))+Inputs!$C$37*(0.55*SIN(2*PI()*(Model_Data!A179)/Inputs!$C$39)+0.35*COS(2*PI()*(0)/Inputs!$C$40)+0.2*SIN(2*PI()*((Model_Data!A179)+(0))/(0.5*(Inputs!$C$39+Inputs!$C$40))))+Inputs!$C$38*SIN(2*PI()*(Model_Data!A179)/Inputs!$C$39)*SIN(2*PI()*(0)/Inputs!$C$40)+-Inputs!$C$41*EXP(-(((0)-Inputs!$C$43)^2)/(2*Inputs!$C$44^2))*EXP(-(((Model_Data!A179)-Inputs!$C$42)^2)/(2*Inputs!$C$45^2))+Inputs!$C$48*(0.70*(0.45*SIN(2*PI()*(((Model_Data!A179)/Inputs!$C$49)+Inputs!$C$47*0.137))+0.35*COS(2*PI()*(((0)/Inputs!$C$50)+Inputs!$C$47*0.173))+0.20*SIN(2*PI()*(((Model_Data!A179)+(0))/(0.5*(Inputs!$C$49+Inputs!$C$50))+Inputs!$C$47*0.097)))+0.30*(2*((SIN(((Model_Data!A179)*12.9898+(0)*78.233+Inputs!$C$47*37.719))*43758.5453)-INT((SIN(((Model_Data!A179)*12.9898+(0)*78.233+Inputs!$C$47*37.719))*43758.5453)))-1))))/1000)))*1000/Inputs!$C$12)-Model_Data!F179)</x:f>
        <x:v>143.46008432258714</x:v>
      </x:c>
      <x:c r="L179" s="49"/>
      <x:c r="M179" s="48" t="n">
        <x:f>Model_Data!A179</x:f>
        <x:v>28.5</x:v>
      </x:c>
      <x:c r="N179" s="48" t="n">
        <x:f>Model_Data!P179</x:f>
        <x:v>-214.12144931249978</x:v>
      </x:c>
      <x:c r="O179" s="48" t="n">
        <x:f>AC179</x:f>
        <x:v>-259.12649369356586</x:v>
      </x:c>
      <x:c r="P179" s="48" t="n">
        <x:f>Model_Data!Q179</x:f>
        <x:v>-32.15036776463961</x:v>
      </x:c>
      <x:c r="Q179" s="48" t="n">
        <x:f>AD179</x:f>
        <x:v>-38.907881935970856</x:v>
      </x:c>
      <x:c r="R179" s="49"/>
      <x:c r="S179" s="48" t="n">
        <x:f>Model_Data!A179</x:f>
        <x:v>28.5</x:v>
      </x:c>
      <x:c r="T179" s="48" t="n">
        <x:f>Model_Data!B179-Inputs!$C$5</x:f>
        <x:v>0.902499999999975</x:v>
      </x:c>
      <x:c r="U179" s="49"/>
      <x:c r="V179" s="48" t="n">
        <x:f>Model_Data!A179</x:f>
        <x:v>28.5</x:v>
      </x:c>
      <x:c r="W179" s="48" t="n">
        <x:f>(-((((SQRT((Model_Data!A179)^2+Inputs!$C$6^2+((Model_Data!B179)-((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(0.45*SIN(2*PI()*(((Model_Data!A179)/Inputs!$C$49)+Inputs!$C$47*0.137))+0.35*COS(2*PI()*(((Inputs!$C$6)/Inputs!$C$50)+Inputs!$C$47*0.173))+0.20*SIN(2*PI()*(((Model_Data!A179)+(Inputs!$C$6))/(0.5*(Inputs!$C$49+Inputs!$C$50))+Inputs!$C$47*0.097)))+0.30*(2*((SIN(((Model_Data!A179)*12.9898+(Inputs!$C$6)*78.233+Inputs!$C$47*37.719))*43758.5453)-INT((SIN(((Model_Data!A179)*12.9898+(Inputs!$C$6)*78.233+Inputs!$C$47*37.719))*43758.5453)))-1))))/1000)^2))-(((Model_Data!B179)-((Inputs!$C$51*(115*EXP(-(((0)-25)^2)/(4.5^2))+70*EXP(-(((0)+38)^2)/(7^2))*(0.55+0.45*SIN(2*PI()*(Model_Data!A179)/45))+24*SIN(2*PI()*(0)/9+(Model_Data!A179)/18)*EXP(-(((0)+5)^2)/(22^2))+18*SIN(2*PI()*(Model_Data!A179)/70))+Inputs!$C$28*EXP(-(((Model_Data!A179)-Inputs!$C$29)^2)/(2*Inputs!$C$31^2))*EXP(-(((0)-Inputs!$C$30)^2)/(2*Inputs!$C$32^2))+-Inputs!$C$33*EXP(-(((((Model_Data!A179)-Inputs!$C$34)^2)+(((0)-Inputs!$C$35)^2))/(2*Inputs!$C$36^2)))+Inputs!$C$37*(0.55*SIN(2*PI()*(Model_Data!A179)/Inputs!$C$39)+0.35*COS(2*PI()*(0)/Inputs!$C$40)+0.2*SIN(2*PI()*((Model_Data!A179)+(0))/(0.5*(Inputs!$C$39+Inputs!$C$40))))+Inputs!$C$38*SIN(2*PI()*(Model_Data!A179)/Inputs!$C$39)*SIN(2*PI()*(0)/Inputs!$C$40)+-Inputs!$C$41*EXP(-(((0)-Inputs!$C$43)^2)/(2*Inputs!$C$44^2))*EXP(-(((Model_Data!A179)-Inputs!$C$42)^2)/(2*Inputs!$C$45^2))+Inputs!$C$48*(0.70*(0.45*SIN(2*PI()*(((Model_Data!A179)/Inputs!$C$49)+Inputs!$C$47*0.137))+0.35*COS(2*PI()*(((0)/Inputs!$C$50)+Inputs!$C$47*0.173))+0.20*SIN(2*PI()*(((Model_Data!A179)+(0))/(0.5*(Inputs!$C$49+Inputs!$C$50))+Inputs!$C$47*0.097)))+0.30*(2*((SIN(((Model_Data!A179)*12.9898+(0)*78.233+Inputs!$C$47*37.719))*43758.5453)-INT((SIN(((Model_Data!A179)*12.9898+(0)*78.233+Inputs!$C$47*37.719))*43758.5453)))-1))))/1000)))*1000/Inputs!$C$12)-Model_Data!F179))-(-(((SQRT((Model_Data!A179)^2+Inputs!$C$6^2+(Inputs!$C$5-((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(0.45*SIN(2*PI()*(((Model_Data!A179)/Inputs!$C$49)+Inputs!$C$47*0.137))+0.35*COS(2*PI()*(((Inputs!$C$6)/Inputs!$C$50)+Inputs!$C$47*0.173))+0.20*SIN(2*PI()*(((Model_Data!A179)+(Inputs!$C$6))/(0.5*(Inputs!$C$49+Inputs!$C$50))+Inputs!$C$47*0.097)))+0.30*(2*((SIN(((Model_Data!A179)*12.9898+(Inputs!$C$6)*78.233+Inputs!$C$47*37.719))*43758.5453)-INT((SIN(((Model_Data!A179)*12.9898+(Inputs!$C$6)*78.233+Inputs!$C$47*37.719))*43758.5453)))-1))))/1000)^2)-(Inputs!$C$5-((Inputs!$C$51*(115*EXP(-(((0)-25)^2)/(4.5^2))+70*EXP(-(((0)+38)^2)/(7^2))*(0.55+0.45*SIN(2*PI()*(Model_Data!A179)/45))+24*SIN(2*PI()*(0)/9+(Model_Data!A179)/18)*EXP(-(((0)+5)^2)/(22^2))+18*SIN(2*PI()*(Model_Data!A179)/70))+Inputs!$C$28*EXP(-(((Model_Data!A179)-Inputs!$C$29)^2)/(2*Inputs!$C$31^2))*EXP(-(((0)-Inputs!$C$30)^2)/(2*Inputs!$C$32^2))+-Inputs!$C$33*EXP(-(((((Model_Data!A179)-Inputs!$C$34)^2)+(((0)-Inputs!$C$35)^2))/(2*Inputs!$C$36^2)))+Inputs!$C$37*(0.55*SIN(2*PI()*(Model_Data!A179)/Inputs!$C$39)+0.35*COS(2*PI()*(0)/Inputs!$C$40)+0.2*SIN(2*PI()*((Model_Data!A179)+(0))/(0.5*(Inputs!$C$39+Inputs!$C$40))))+Inputs!$C$38*SIN(2*PI()*(Model_Data!A179)/Inputs!$C$39)*SIN(2*PI()*(0)/Inputs!$C$40)+-Inputs!$C$41*EXP(-(((0)-Inputs!$C$43)^2)/(2*Inputs!$C$44^2))*EXP(-(((Model_Data!A179)-Inputs!$C$42)^2)/(2*Inputs!$C$45^2))+Inputs!$C$48*(0.70*(0.45*SIN(2*PI()*(((Model_Data!A179)/Inputs!$C$49)+Inputs!$C$47*0.137))+0.35*COS(2*PI()*(((0)/Inputs!$C$50)+Inputs!$C$47*0.173))+0.20*SIN(2*PI()*(((Model_Data!A179)+(0))/(0.5*(Inputs!$C$49+Inputs!$C$50))+Inputs!$C$47*0.097)))+0.30*(2*((SIN(((Model_Data!A179)*12.9898+(0)*78.233+Inputs!$C$47*37.719))*43758.5453)-INT((SIN(((Model_Data!A179)*12.9898+(0)*78.233+Inputs!$C$47*37.719))*43758.5453)))-1))))/1000))*1000/Inputs!$C$12)-((SQRT((Model_Data!A179)^2+Inputs!$C$6^2+Inputs!$C$5^2)-Inputs!$C$5)*1000/Inputs!$C$12)))</x:f>
        <x:v>0.003480277535231835</x:v>
      </x:c>
      <x:c r="X179" s="48" t="n">
        <x:f>0</x:f>
        <x:v>0</x:v>
      </x:c>
      <x:c r="Y179" s="49"/>
      <x:c r="Z179" s="48" t="n">
        <x:f>Model_Data!A179</x:f>
        <x:v>28.5</x:v>
      </x:c>
      <x:c r="AA179" s="48" t="n">
        <x:f>SQRT((Model_Data!A179)^2+Inputs!$C$6^2+((Model_Data!B179)-((Inputs!$C$51*(115*EXP(-(((Inputs!$C$6)-25)^2)/(4.5^2))+70*EXP(-(((Inputs!$C$6)+38)^2)/(7^2))*(0.55+0.45*SIN(2*PI()*(Model_Data!A179)/45))+24*SIN(2*PI()*(Inputs!$C$6)/9+(Model_Data!A179)/18)*EXP(-(((Inputs!$C$6)+5)^2)/(22^2))+18*SIN(2*PI()*(Model_Data!A179)/70))+Inputs!$C$28*EXP(-(((Model_Data!A179)-Inputs!$C$29)^2)/(2*Inputs!$C$31^2))*EXP(-(((Inputs!$C$6)-Inputs!$C$30)^2)/(2*Inputs!$C$32^2))+-Inputs!$C$33*EXP(-(((((Model_Data!A179)-Inputs!$C$34)^2)+(((Inputs!$C$6)-Inputs!$C$35)^2))/(2*Inputs!$C$36^2)))+Inputs!$C$37*(0.55*SIN(2*PI()*(Model_Data!A179)/Inputs!$C$39)+0.35*COS(2*PI()*(Inputs!$C$6)/Inputs!$C$40)+0.2*SIN(2*PI()*((Model_Data!A179)+(Inputs!$C$6))/(0.5*(Inputs!$C$39+Inputs!$C$40))))+Inputs!$C$38*SIN(2*PI()*(Model_Data!A179)/Inputs!$C$39)*SIN(2*PI()*(Inputs!$C$6)/Inputs!$C$40)+-Inputs!$C$41*EXP(-(((Inputs!$C$6)-Inputs!$C$43)^2)/(2*Inputs!$C$44^2))*EXP(-(((Model_Data!A179)-Inputs!$C$42)^2)/(2*Inputs!$C$45^2))+Inputs!$C$48*(0.70*(0.45*SIN(2*PI()*(((Model_Data!A179)/Inputs!$C$49)+Inputs!$C$47*0.137))+0.35*COS(2*PI()*(((Inputs!$C$6)/Inputs!$C$50)+Inputs!$C$47*0.173))+0.20*SIN(2*PI()*(((Model_Data!A179)+(Inputs!$C$6))/(0.5*(Inputs!$C$49+Inputs!$C$50))+Inputs!$C$47*0.097)))+0.30*(2*((SIN(((Model_Data!A179)*12.9898+(Inputs!$C$6)*78.233+Inputs!$C$47*37.719))*43758.5453)-INT((SIN(((Model_Data!A179)*12.9898+(Inputs!$C$6)*78.233+Inputs!$C$47*37.719))*43758.5453)))-1))))/1000)^2)</x:f>
        <x:v>402.3819425806183</x:v>
      </x:c>
      <x:c r="AB179" s="48" t="n">
        <x:f>1000*(AA180-AA178)/(Z180-Z178)*Inputs!$C$11</x:f>
        <x:v>647.8162342339147</x:v>
      </x:c>
      <x:c r="AC179" s="48" t="n">
        <x:f>-2*AB179/Inputs!$C$13</x:f>
        <x:v>-259.12649369356586</x:v>
      </x:c>
      <x:c r="AD179" s="48" t="n">
        <x:f>-2*AB179/Inputs!$C$14</x:f>
        <x:v>-38.907881935970856</x:v>
      </x:c>
    </x:row>
    <x:row r="180">
      <x:c r="A180" s="48" t="n">
        <x:f>Model_Data!A180</x:f>
        <x:v>29</x:v>
      </x:c>
      <x:c r="B180" s="48" t="n">
        <x:f>Model_Data!F180</x:f>
        <x:v>1024.763856153882</x:v>
      </x:c>
      <x:c r="C180" s="48" t="n">
        <x:f>(((SQRT((Model_Data!A180)^2+Inputs!$C$6^2+((Model_Data!B180)-((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(0.45*SIN(2*PI()*(((Model_Data!A180)/Inputs!$C$49)+Inputs!$C$47*0.137))+0.35*COS(2*PI()*(((Inputs!$C$6)/Inputs!$C$50)+Inputs!$C$47*0.173))+0.20*SIN(2*PI()*(((Model_Data!A180)+(Inputs!$C$6))/(0.5*(Inputs!$C$49+Inputs!$C$50))+Inputs!$C$47*0.097)))+0.30*(2*((SIN(((Model_Data!A180)*12.9898+(Inputs!$C$6)*78.233+Inputs!$C$47*37.719))*43758.5453)-INT((SIN(((Model_Data!A180)*12.9898+(Inputs!$C$6)*78.233+Inputs!$C$47*37.719))*43758.5453)))-1))))/1000)^2))-(((Model_Data!B180)-((Inputs!$C$51*(115*EXP(-(((0)-25)^2)/(4.5^2))+70*EXP(-(((0)+38)^2)/(7^2))*(0.55+0.45*SIN(2*PI()*(Model_Data!A180)/45))+24*SIN(2*PI()*(0)/9+(Model_Data!A180)/18)*EXP(-(((0)+5)^2)/(22^2))+18*SIN(2*PI()*(Model_Data!A180)/70))+Inputs!$C$28*EXP(-(((Model_Data!A180)-Inputs!$C$29)^2)/(2*Inputs!$C$31^2))*EXP(-(((0)-Inputs!$C$30)^2)/(2*Inputs!$C$32^2))+-Inputs!$C$33*EXP(-(((((Model_Data!A180)-Inputs!$C$34)^2)+(((0)-Inputs!$C$35)^2))/(2*Inputs!$C$36^2)))+Inputs!$C$37*(0.55*SIN(2*PI()*(Model_Data!A180)/Inputs!$C$39)+0.35*COS(2*PI()*(0)/Inputs!$C$40)+0.2*SIN(2*PI()*((Model_Data!A180)+(0))/(0.5*(Inputs!$C$39+Inputs!$C$40))))+Inputs!$C$38*SIN(2*PI()*(Model_Data!A180)/Inputs!$C$39)*SIN(2*PI()*(0)/Inputs!$C$40)+-Inputs!$C$41*EXP(-(((0)-Inputs!$C$43)^2)/(2*Inputs!$C$44^2))*EXP(-(((Model_Data!A180)-Inputs!$C$42)^2)/(2*Inputs!$C$45^2))+Inputs!$C$48*(0.70*(0.45*SIN(2*PI()*(((Model_Data!A180)/Inputs!$C$49)+Inputs!$C$47*0.137))+0.35*COS(2*PI()*(((0)/Inputs!$C$50)+Inputs!$C$47*0.173))+0.20*SIN(2*PI()*(((Model_Data!A180)+(0))/(0.5*(Inputs!$C$49+Inputs!$C$50))+Inputs!$C$47*0.097)))+0.30*(2*((SIN(((Model_Data!A180)*12.9898+(0)*78.233+Inputs!$C$47*37.719))*43758.5453)-INT((SIN(((Model_Data!A180)*12.9898+(0)*78.233+Inputs!$C$47*37.719))*43758.5453)))-1))))/1000)))*1000/Inputs!$C$12)</x:f>
        <x:v>882.442224890715</x:v>
      </x:c>
      <x:c r="D180" s="49"/>
      <x:c r="E180" s="48" t="n">
        <x:f>Model_Data!A180</x:f>
        <x:v>29</x:v>
      </x:c>
      <x:c r="F180" s="48" t="n">
        <x:f>(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(0.45*SIN(2*PI()*(((Model_Data!A180)/Inputs!$C$49)+Inputs!$C$47*0.137))+0.35*COS(2*PI()*(((Inputs!$C$6)/Inputs!$C$50)+Inputs!$C$47*0.173))+0.20*SIN(2*PI()*(((Model_Data!A180)+(Inputs!$C$6))/(0.5*(Inputs!$C$49+Inputs!$C$50))+Inputs!$C$47*0.097)))+0.30*(2*((SIN(((Model_Data!A180)*12.9898+(Inputs!$C$6)*78.233+Inputs!$C$47*37.719))*43758.5453)-INT((SIN(((Model_Data!A180)*12.9898+(Inputs!$C$6)*78.233+Inputs!$C$47*37.719))*43758.5453)))-1)))</x:f>
        <x:v>283.98171018669603</x:v>
      </x:c>
      <x:c r="G180" s="48" t="n">
        <x:f>(Inputs!$C$51*(115*EXP(-(((0)-25)^2)/(4.5^2))+70*EXP(-(((0)+38)^2)/(7^2))*(0.55+0.45*SIN(2*PI()*(Model_Data!A180)/45))+24*SIN(2*PI()*(0)/9+(Model_Data!A180)/18)*EXP(-(((0)+5)^2)/(22^2))+18*SIN(2*PI()*(Model_Data!A180)/70))+Inputs!$C$28*EXP(-(((Model_Data!A180)-Inputs!$C$29)^2)/(2*Inputs!$C$31^2))*EXP(-(((0)-Inputs!$C$30)^2)/(2*Inputs!$C$32^2))+-Inputs!$C$33*EXP(-(((((Model_Data!A180)-Inputs!$C$34)^2)+(((0)-Inputs!$C$35)^2))/(2*Inputs!$C$36^2)))+Inputs!$C$37*(0.55*SIN(2*PI()*(Model_Data!A180)/Inputs!$C$39)+0.35*COS(2*PI()*(0)/Inputs!$C$40)+0.2*SIN(2*PI()*((Model_Data!A180)+(0))/(0.5*(Inputs!$C$39+Inputs!$C$40))))+Inputs!$C$38*SIN(2*PI()*(Model_Data!A180)/Inputs!$C$39)*SIN(2*PI()*(0)/Inputs!$C$40)+-Inputs!$C$41*EXP(-(((0)-Inputs!$C$43)^2)/(2*Inputs!$C$44^2))*EXP(-(((Model_Data!A180)-Inputs!$C$42)^2)/(2*Inputs!$C$45^2))+Inputs!$C$48*(0.70*(0.45*SIN(2*PI()*(((Model_Data!A180)/Inputs!$C$49)+Inputs!$C$47*0.137))+0.35*COS(2*PI()*(((0)/Inputs!$C$50)+Inputs!$C$47*0.173))+0.20*SIN(2*PI()*(((Model_Data!A180)+(0))/(0.5*(Inputs!$C$49+Inputs!$C$50))+Inputs!$C$47*0.097)))+0.30*(2*((SIN(((Model_Data!A180)*12.9898+(0)*78.233+Inputs!$C$47*37.719))*43758.5453)-INT((SIN(((Model_Data!A180)*12.9898+(0)*78.233+Inputs!$C$47*37.719))*43758.5453)))-1)))</x:f>
        <x:v>29.362157595592716</x:v>
      </x:c>
      <x:c r="H180" s="49"/>
      <x:c r="I180" s="48" t="n">
        <x:f>Model_Data!A180</x:f>
        <x:v>29</x:v>
      </x:c>
      <x:c r="J180" s="48" t="n">
        <x:f>((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(0.45*SIN(2*PI()*(((Model_Data!A180)/Inputs!$C$49)+Inputs!$C$47*0.137))+0.35*COS(2*PI()*(((Inputs!$C$6)/Inputs!$C$50)+Inputs!$C$47*0.173))+0.20*SIN(2*PI()*(((Model_Data!A180)+(Inputs!$C$6))/(0.5*(Inputs!$C$49+Inputs!$C$50))+Inputs!$C$47*0.097)))+0.30*(2*((SIN(((Model_Data!A180)*12.9898+(Inputs!$C$6)*78.233+Inputs!$C$47*37.719))*43758.5453)-INT((SIN(((Model_Data!A180)*12.9898+(Inputs!$C$6)*78.233+Inputs!$C$47*37.719))*43758.5453)))-1))))-((Inputs!$C$51*(115*EXP(-(((0)-25)^2)/(4.5^2))+70*EXP(-(((0)+38)^2)/(7^2))*(0.55+0.45*SIN(2*PI()*(Model_Data!A180)/45))+24*SIN(2*PI()*(0)/9+(Model_Data!A180)/18)*EXP(-(((0)+5)^2)/(22^2))+18*SIN(2*PI()*(Model_Data!A180)/70))+Inputs!$C$28*EXP(-(((Model_Data!A180)-Inputs!$C$29)^2)/(2*Inputs!$C$31^2))*EXP(-(((0)-Inputs!$C$30)^2)/(2*Inputs!$C$32^2))+-Inputs!$C$33*EXP(-(((((Model_Data!A180)-Inputs!$C$34)^2)+(((0)-Inputs!$C$35)^2))/(2*Inputs!$C$36^2)))+Inputs!$C$37*(0.55*SIN(2*PI()*(Model_Data!A180)/Inputs!$C$39)+0.35*COS(2*PI()*(0)/Inputs!$C$40)+0.2*SIN(2*PI()*((Model_Data!A180)+(0))/(0.5*(Inputs!$C$39+Inputs!$C$40))))+Inputs!$C$38*SIN(2*PI()*(Model_Data!A180)/Inputs!$C$39)*SIN(2*PI()*(0)/Inputs!$C$40)+-Inputs!$C$41*EXP(-(((0)-Inputs!$C$43)^2)/(2*Inputs!$C$44^2))*EXP(-(((Model_Data!A180)-Inputs!$C$42)^2)/(2*Inputs!$C$45^2))+Inputs!$C$48*(0.70*(0.45*SIN(2*PI()*(((Model_Data!A180)/Inputs!$C$49)+Inputs!$C$47*0.137))+0.35*COS(2*PI()*(((0)/Inputs!$C$50)+Inputs!$C$47*0.173))+0.20*SIN(2*PI()*(((Model_Data!A180)+(0))/(0.5*(Inputs!$C$49+Inputs!$C$50))+Inputs!$C$47*0.097)))+0.30*(2*((SIN(((Model_Data!A180)*12.9898+(0)*78.233+Inputs!$C$47*37.719))*43758.5453)-INT((SIN(((Model_Data!A180)*12.9898+(0)*78.233+Inputs!$C$47*37.719))*43758.5453)))-1))))</x:f>
        <x:v>254.61955259110331</x:v>
      </x:c>
      <x:c r="K180" s="48" t="n">
        <x:f>-((((SQRT((Model_Data!A180)^2+Inputs!$C$6^2+((Model_Data!B180)-((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(0.45*SIN(2*PI()*(((Model_Data!A180)/Inputs!$C$49)+Inputs!$C$47*0.137))+0.35*COS(2*PI()*(((Inputs!$C$6)/Inputs!$C$50)+Inputs!$C$47*0.173))+0.20*SIN(2*PI()*(((Model_Data!A180)+(Inputs!$C$6))/(0.5*(Inputs!$C$49+Inputs!$C$50))+Inputs!$C$47*0.097)))+0.30*(2*((SIN(((Model_Data!A180)*12.9898+(Inputs!$C$6)*78.233+Inputs!$C$47*37.719))*43758.5453)-INT((SIN(((Model_Data!A180)*12.9898+(Inputs!$C$6)*78.233+Inputs!$C$47*37.719))*43758.5453)))-1))))/1000)^2))-(((Model_Data!B180)-((Inputs!$C$51*(115*EXP(-(((0)-25)^2)/(4.5^2))+70*EXP(-(((0)+38)^2)/(7^2))*(0.55+0.45*SIN(2*PI()*(Model_Data!A180)/45))+24*SIN(2*PI()*(0)/9+(Model_Data!A180)/18)*EXP(-(((0)+5)^2)/(22^2))+18*SIN(2*PI()*(Model_Data!A180)/70))+Inputs!$C$28*EXP(-(((Model_Data!A180)-Inputs!$C$29)^2)/(2*Inputs!$C$31^2))*EXP(-(((0)-Inputs!$C$30)^2)/(2*Inputs!$C$32^2))+-Inputs!$C$33*EXP(-(((((Model_Data!A180)-Inputs!$C$34)^2)+(((0)-Inputs!$C$35)^2))/(2*Inputs!$C$36^2)))+Inputs!$C$37*(0.55*SIN(2*PI()*(Model_Data!A180)/Inputs!$C$39)+0.35*COS(2*PI()*(0)/Inputs!$C$40)+0.2*SIN(2*PI()*((Model_Data!A180)+(0))/(0.5*(Inputs!$C$39+Inputs!$C$40))))+Inputs!$C$38*SIN(2*PI()*(Model_Data!A180)/Inputs!$C$39)*SIN(2*PI()*(0)/Inputs!$C$40)+-Inputs!$C$41*EXP(-(((0)-Inputs!$C$43)^2)/(2*Inputs!$C$44^2))*EXP(-(((Model_Data!A180)-Inputs!$C$42)^2)/(2*Inputs!$C$45^2))+Inputs!$C$48*(0.70*(0.45*SIN(2*PI()*(((Model_Data!A180)/Inputs!$C$49)+Inputs!$C$47*0.137))+0.35*COS(2*PI()*(((0)/Inputs!$C$50)+Inputs!$C$47*0.173))+0.20*SIN(2*PI()*(((Model_Data!A180)+(0))/(0.5*(Inputs!$C$49+Inputs!$C$50))+Inputs!$C$47*0.097)))+0.30*(2*((SIN(((Model_Data!A180)*12.9898+(0)*78.233+Inputs!$C$47*37.719))*43758.5453)-INT((SIN(((Model_Data!A180)*12.9898+(0)*78.233+Inputs!$C$47*37.719))*43758.5453)))-1))))/1000)))*1000/Inputs!$C$12)-Model_Data!F180)</x:f>
        <x:v>142.32163126316698</x:v>
      </x:c>
      <x:c r="L180" s="49"/>
      <x:c r="M180" s="48" t="n">
        <x:f>Model_Data!A180</x:f>
        <x:v>29</x:v>
      </x:c>
      <x:c r="N180" s="48" t="n">
        <x:f>Model_Data!P180</x:f>
        <x:v>-217.849631472401</x:v>
      </x:c>
      <x:c r="O180" s="48" t="n">
        <x:f>AC180</x:f>
        <x:v>-292.6959326954602</x:v>
      </x:c>
      <x:c r="P180" s="48" t="n">
        <x:f>Model_Data!Q180</x:f>
        <x:v>-32.71015487573589</x:v>
      </x:c>
      <x:c r="Q180" s="48" t="n">
        <x:f>AD180</x:f>
        <x:v>-43.9483382425616</x:v>
      </x:c>
      <x:c r="R180" s="49"/>
      <x:c r="S180" s="48" t="n">
        <x:f>Model_Data!A180</x:f>
        <x:v>29</x:v>
      </x:c>
      <x:c r="T180" s="48" t="n">
        <x:f>Model_Data!B180-Inputs!$C$5</x:f>
        <x:v>0.9344444444444662</x:v>
      </x:c>
      <x:c r="U180" s="49"/>
      <x:c r="V180" s="48" t="n">
        <x:f>Model_Data!A180</x:f>
        <x:v>29</x:v>
      </x:c>
      <x:c r="W180" s="48" t="n">
        <x:f>(-((((SQRT((Model_Data!A180)^2+Inputs!$C$6^2+((Model_Data!B180)-((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(0.45*SIN(2*PI()*(((Model_Data!A180)/Inputs!$C$49)+Inputs!$C$47*0.137))+0.35*COS(2*PI()*(((Inputs!$C$6)/Inputs!$C$50)+Inputs!$C$47*0.173))+0.20*SIN(2*PI()*(((Model_Data!A180)+(Inputs!$C$6))/(0.5*(Inputs!$C$49+Inputs!$C$50))+Inputs!$C$47*0.097)))+0.30*(2*((SIN(((Model_Data!A180)*12.9898+(Inputs!$C$6)*78.233+Inputs!$C$47*37.719))*43758.5453)-INT((SIN(((Model_Data!A180)*12.9898+(Inputs!$C$6)*78.233+Inputs!$C$47*37.719))*43758.5453)))-1))))/1000)^2))-(((Model_Data!B180)-((Inputs!$C$51*(115*EXP(-(((0)-25)^2)/(4.5^2))+70*EXP(-(((0)+38)^2)/(7^2))*(0.55+0.45*SIN(2*PI()*(Model_Data!A180)/45))+24*SIN(2*PI()*(0)/9+(Model_Data!A180)/18)*EXP(-(((0)+5)^2)/(22^2))+18*SIN(2*PI()*(Model_Data!A180)/70))+Inputs!$C$28*EXP(-(((Model_Data!A180)-Inputs!$C$29)^2)/(2*Inputs!$C$31^2))*EXP(-(((0)-Inputs!$C$30)^2)/(2*Inputs!$C$32^2))+-Inputs!$C$33*EXP(-(((((Model_Data!A180)-Inputs!$C$34)^2)+(((0)-Inputs!$C$35)^2))/(2*Inputs!$C$36^2)))+Inputs!$C$37*(0.55*SIN(2*PI()*(Model_Data!A180)/Inputs!$C$39)+0.35*COS(2*PI()*(0)/Inputs!$C$40)+0.2*SIN(2*PI()*((Model_Data!A180)+(0))/(0.5*(Inputs!$C$39+Inputs!$C$40))))+Inputs!$C$38*SIN(2*PI()*(Model_Data!A180)/Inputs!$C$39)*SIN(2*PI()*(0)/Inputs!$C$40)+-Inputs!$C$41*EXP(-(((0)-Inputs!$C$43)^2)/(2*Inputs!$C$44^2))*EXP(-(((Model_Data!A180)-Inputs!$C$42)^2)/(2*Inputs!$C$45^2))+Inputs!$C$48*(0.70*(0.45*SIN(2*PI()*(((Model_Data!A180)/Inputs!$C$49)+Inputs!$C$47*0.137))+0.35*COS(2*PI()*(((0)/Inputs!$C$50)+Inputs!$C$47*0.173))+0.20*SIN(2*PI()*(((Model_Data!A180)+(0))/(0.5*(Inputs!$C$49+Inputs!$C$50))+Inputs!$C$47*0.097)))+0.30*(2*((SIN(((Model_Data!A180)*12.9898+(0)*78.233+Inputs!$C$47*37.719))*43758.5453)-INT((SIN(((Model_Data!A180)*12.9898+(0)*78.233+Inputs!$C$47*37.719))*43758.5453)))-1))))/1000)))*1000/Inputs!$C$12)-Model_Data!F180))-(-(((SQRT((Model_Data!A180)^2+Inputs!$C$6^2+(Inputs!$C$5-((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(0.45*SIN(2*PI()*(((Model_Data!A180)/Inputs!$C$49)+Inputs!$C$47*0.137))+0.35*COS(2*PI()*(((Inputs!$C$6)/Inputs!$C$50)+Inputs!$C$47*0.173))+0.20*SIN(2*PI()*(((Model_Data!A180)+(Inputs!$C$6))/(0.5*(Inputs!$C$49+Inputs!$C$50))+Inputs!$C$47*0.097)))+0.30*(2*((SIN(((Model_Data!A180)*12.9898+(Inputs!$C$6)*78.233+Inputs!$C$47*37.719))*43758.5453)-INT((SIN(((Model_Data!A180)*12.9898+(Inputs!$C$6)*78.233+Inputs!$C$47*37.719))*43758.5453)))-1))))/1000)^2)-(Inputs!$C$5-((Inputs!$C$51*(115*EXP(-(((0)-25)^2)/(4.5^2))+70*EXP(-(((0)+38)^2)/(7^2))*(0.55+0.45*SIN(2*PI()*(Model_Data!A180)/45))+24*SIN(2*PI()*(0)/9+(Model_Data!A180)/18)*EXP(-(((0)+5)^2)/(22^2))+18*SIN(2*PI()*(Model_Data!A180)/70))+Inputs!$C$28*EXP(-(((Model_Data!A180)-Inputs!$C$29)^2)/(2*Inputs!$C$31^2))*EXP(-(((0)-Inputs!$C$30)^2)/(2*Inputs!$C$32^2))+-Inputs!$C$33*EXP(-(((((Model_Data!A180)-Inputs!$C$34)^2)+(((0)-Inputs!$C$35)^2))/(2*Inputs!$C$36^2)))+Inputs!$C$37*(0.55*SIN(2*PI()*(Model_Data!A180)/Inputs!$C$39)+0.35*COS(2*PI()*(0)/Inputs!$C$40)+0.2*SIN(2*PI()*((Model_Data!A180)+(0))/(0.5*(Inputs!$C$39+Inputs!$C$40))))+Inputs!$C$38*SIN(2*PI()*(Model_Data!A180)/Inputs!$C$39)*SIN(2*PI()*(0)/Inputs!$C$40)+-Inputs!$C$41*EXP(-(((0)-Inputs!$C$43)^2)/(2*Inputs!$C$44^2))*EXP(-(((Model_Data!A180)-Inputs!$C$42)^2)/(2*Inputs!$C$45^2))+Inputs!$C$48*(0.70*(0.45*SIN(2*PI()*(((Model_Data!A180)/Inputs!$C$49)+Inputs!$C$47*0.137))+0.35*COS(2*PI()*(((0)/Inputs!$C$50)+Inputs!$C$47*0.173))+0.20*SIN(2*PI()*(((Model_Data!A180)+(0))/(0.5*(Inputs!$C$49+Inputs!$C$50))+Inputs!$C$47*0.097)))+0.30*(2*((SIN(((Model_Data!A180)*12.9898+(0)*78.233+Inputs!$C$47*37.719))*43758.5453)-INT((SIN(((Model_Data!A180)*12.9898+(0)*78.233+Inputs!$C$47*37.719))*43758.5453)))-1))))/1000))*1000/Inputs!$C$12)-((SQRT((Model_Data!A180)^2+Inputs!$C$6^2+Inputs!$C$5^2)-Inputs!$C$5)*1000/Inputs!$C$12)))</x:f>
        <x:v>0.0033603781271267508</x:v>
      </x:c>
      <x:c r="X180" s="48" t="n">
        <x:f>0</x:f>
        <x:v>0</x:v>
      </x:c>
      <x:c r="Y180" s="49"/>
      <x:c r="Z180" s="48" t="n">
        <x:f>Model_Data!A180</x:f>
        <x:v>29</x:v>
      </x:c>
      <x:c r="AA180" s="48" t="n">
        <x:f>SQRT((Model_Data!A180)^2+Inputs!$C$6^2+((Model_Data!B180)-((Inputs!$C$51*(115*EXP(-(((Inputs!$C$6)-25)^2)/(4.5^2))+70*EXP(-(((Inputs!$C$6)+38)^2)/(7^2))*(0.55+0.45*SIN(2*PI()*(Model_Data!A180)/45))+24*SIN(2*PI()*(Inputs!$C$6)/9+(Model_Data!A180)/18)*EXP(-(((Inputs!$C$6)+5)^2)/(22^2))+18*SIN(2*PI()*(Model_Data!A180)/70))+Inputs!$C$28*EXP(-(((Model_Data!A180)-Inputs!$C$29)^2)/(2*Inputs!$C$31^2))*EXP(-(((Inputs!$C$6)-Inputs!$C$30)^2)/(2*Inputs!$C$32^2))+-Inputs!$C$33*EXP(-(((((Model_Data!A180)-Inputs!$C$34)^2)+(((Inputs!$C$6)-Inputs!$C$35)^2))/(2*Inputs!$C$36^2)))+Inputs!$C$37*(0.55*SIN(2*PI()*(Model_Data!A180)/Inputs!$C$39)+0.35*COS(2*PI()*(Inputs!$C$6)/Inputs!$C$40)+0.2*SIN(2*PI()*((Model_Data!A180)+(Inputs!$C$6))/(0.5*(Inputs!$C$39+Inputs!$C$40))))+Inputs!$C$38*SIN(2*PI()*(Model_Data!A180)/Inputs!$C$39)*SIN(2*PI()*(Inputs!$C$6)/Inputs!$C$40)+-Inputs!$C$41*EXP(-(((Inputs!$C$6)-Inputs!$C$43)^2)/(2*Inputs!$C$44^2))*EXP(-(((Model_Data!A180)-Inputs!$C$42)^2)/(2*Inputs!$C$45^2))+Inputs!$C$48*(0.70*(0.45*SIN(2*PI()*(((Model_Data!A180)/Inputs!$C$49)+Inputs!$C$47*0.137))+0.35*COS(2*PI()*(((Inputs!$C$6)/Inputs!$C$50)+Inputs!$C$47*0.173))+0.20*SIN(2*PI()*(((Model_Data!A180)+(Inputs!$C$6))/(0.5*(Inputs!$C$49+Inputs!$C$50))+Inputs!$C$47*0.097)))+0.30*(2*((SIN(((Model_Data!A180)*12.9898+(Inputs!$C$6)*78.233+Inputs!$C$47*37.719))*43758.5453)-INT((SIN(((Model_Data!A180)*12.9898+(Inputs!$C$6)*78.233+Inputs!$C$47*37.719))*43758.5453)))-1))))/1000)^2)</x:f>
        <x:v>402.47582944715435</x:v>
      </x:c>
      <x:c r="AB180" s="48" t="n">
        <x:f>1000*(AA181-AA179)/(Z181-Z179)*Inputs!$C$11</x:f>
        <x:v>731.7398317386505</x:v>
      </x:c>
      <x:c r="AC180" s="48" t="n">
        <x:f>-2*AB180/Inputs!$C$13</x:f>
        <x:v>-292.6959326954602</x:v>
      </x:c>
      <x:c r="AD180" s="48" t="n">
        <x:f>-2*AB180/Inputs!$C$14</x:f>
        <x:v>-43.9483382425616</x:v>
      </x:c>
    </x:row>
    <x:row r="181">
      <x:c r="A181" s="48" t="n">
        <x:f>Model_Data!A181</x:f>
        <x:v>29.5</x:v>
      </x:c>
      <x:c r="B181" s="48" t="n">
        <x:f>Model_Data!F181</x:f>
        <x:v>1045.0786584324383</x:v>
      </x:c>
      <x:c r="C181" s="48" t="n">
        <x:f>(((SQRT((Model_Data!A181)^2+Inputs!$C$6^2+((Model_Data!B181)-((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(0.45*SIN(2*PI()*(((Model_Data!A181)/Inputs!$C$49)+Inputs!$C$47*0.137))+0.35*COS(2*PI()*(((Inputs!$C$6)/Inputs!$C$50)+Inputs!$C$47*0.173))+0.20*SIN(2*PI()*(((Model_Data!A181)+(Inputs!$C$6))/(0.5*(Inputs!$C$49+Inputs!$C$50))+Inputs!$C$47*0.097)))+0.30*(2*((SIN(((Model_Data!A181)*12.9898+(Inputs!$C$6)*78.233+Inputs!$C$47*37.719))*43758.5453)-INT((SIN(((Model_Data!A181)*12.9898+(Inputs!$C$6)*78.233+Inputs!$C$47*37.719))*43758.5453)))-1))))/1000)^2))-(((Model_Data!B181)-((Inputs!$C$51*(115*EXP(-(((0)-25)^2)/(4.5^2))+70*EXP(-(((0)+38)^2)/(7^2))*(0.55+0.45*SIN(2*PI()*(Model_Data!A181)/45))+24*SIN(2*PI()*(0)/9+(Model_Data!A181)/18)*EXP(-(((0)+5)^2)/(22^2))+18*SIN(2*PI()*(Model_Data!A181)/70))+Inputs!$C$28*EXP(-(((Model_Data!A181)-Inputs!$C$29)^2)/(2*Inputs!$C$31^2))*EXP(-(((0)-Inputs!$C$30)^2)/(2*Inputs!$C$32^2))+-Inputs!$C$33*EXP(-(((((Model_Data!A181)-Inputs!$C$34)^2)+(((0)-Inputs!$C$35)^2))/(2*Inputs!$C$36^2)))+Inputs!$C$37*(0.55*SIN(2*PI()*(Model_Data!A181)/Inputs!$C$39)+0.35*COS(2*PI()*(0)/Inputs!$C$40)+0.2*SIN(2*PI()*((Model_Data!A181)+(0))/(0.5*(Inputs!$C$39+Inputs!$C$40))))+Inputs!$C$38*SIN(2*PI()*(Model_Data!A181)/Inputs!$C$39)*SIN(2*PI()*(0)/Inputs!$C$40)+-Inputs!$C$41*EXP(-(((0)-Inputs!$C$43)^2)/(2*Inputs!$C$44^2))*EXP(-(((Model_Data!A181)-Inputs!$C$42)^2)/(2*Inputs!$C$45^2))+Inputs!$C$48*(0.70*(0.45*SIN(2*PI()*(((Model_Data!A181)/Inputs!$C$49)+Inputs!$C$47*0.137))+0.35*COS(2*PI()*(((0)/Inputs!$C$50)+Inputs!$C$47*0.173))+0.20*SIN(2*PI()*(((Model_Data!A181)+(0))/(0.5*(Inputs!$C$49+Inputs!$C$50))+Inputs!$C$47*0.097)))+0.30*(2*((SIN(((Model_Data!A181)*12.9898+(0)*78.233+Inputs!$C$47*37.719))*43758.5453)-INT((SIN(((Model_Data!A181)*12.9898+(0)*78.233+Inputs!$C$47*37.719))*43758.5453)))-1))))/1000)))*1000/Inputs!$C$12)</x:f>
        <x:v>909.2016427514038</x:v>
      </x:c>
      <x:c r="D181" s="49"/>
      <x:c r="E181" s="48" t="n">
        <x:f>Model_Data!A181</x:f>
        <x:v>29.5</x:v>
      </x:c>
      <x:c r="F181" s="48" t="n">
        <x:f>(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(0.45*SIN(2*PI()*(((Model_Data!A181)/Inputs!$C$49)+Inputs!$C$47*0.137))+0.35*COS(2*PI()*(((Inputs!$C$6)/Inputs!$C$50)+Inputs!$C$47*0.173))+0.20*SIN(2*PI()*(((Model_Data!A181)+(Inputs!$C$6))/(0.5*(Inputs!$C$49+Inputs!$C$50))+Inputs!$C$47*0.097)))+0.30*(2*((SIN(((Model_Data!A181)*12.9898+(Inputs!$C$6)*78.233+Inputs!$C$47*37.719))*43758.5453)-INT((SIN(((Model_Data!A181)*12.9898+(Inputs!$C$6)*78.233+Inputs!$C$47*37.719))*43758.5453)))-1)))</x:f>
        <x:v>263.5246591496981</x:v>
      </x:c>
      <x:c r="G181" s="48" t="n">
        <x:f>(Inputs!$C$51*(115*EXP(-(((0)-25)^2)/(4.5^2))+70*EXP(-(((0)+38)^2)/(7^2))*(0.55+0.45*SIN(2*PI()*(Model_Data!A181)/45))+24*SIN(2*PI()*(0)/9+(Model_Data!A181)/18)*EXP(-(((0)+5)^2)/(22^2))+18*SIN(2*PI()*(Model_Data!A181)/70))+Inputs!$C$28*EXP(-(((Model_Data!A181)-Inputs!$C$29)^2)/(2*Inputs!$C$31^2))*EXP(-(((0)-Inputs!$C$30)^2)/(2*Inputs!$C$32^2))+-Inputs!$C$33*EXP(-(((((Model_Data!A181)-Inputs!$C$34)^2)+(((0)-Inputs!$C$35)^2))/(2*Inputs!$C$36^2)))+Inputs!$C$37*(0.55*SIN(2*PI()*(Model_Data!A181)/Inputs!$C$39)+0.35*COS(2*PI()*(0)/Inputs!$C$40)+0.2*SIN(2*PI()*((Model_Data!A181)+(0))/(0.5*(Inputs!$C$39+Inputs!$C$40))))+Inputs!$C$38*SIN(2*PI()*(Model_Data!A181)/Inputs!$C$39)*SIN(2*PI()*(0)/Inputs!$C$40)+-Inputs!$C$41*EXP(-(((0)-Inputs!$C$43)^2)/(2*Inputs!$C$44^2))*EXP(-(((Model_Data!A181)-Inputs!$C$42)^2)/(2*Inputs!$C$45^2))+Inputs!$C$48*(0.70*(0.45*SIN(2*PI()*(((Model_Data!A181)/Inputs!$C$49)+Inputs!$C$47*0.137))+0.35*COS(2*PI()*(((0)/Inputs!$C$50)+Inputs!$C$47*0.173))+0.20*SIN(2*PI()*(((Model_Data!A181)+(0))/(0.5*(Inputs!$C$49+Inputs!$C$50))+Inputs!$C$47*0.097)))+0.30*(2*((SIN(((Model_Data!A181)*12.9898+(0)*78.233+Inputs!$C$47*37.719))*43758.5453)-INT((SIN(((Model_Data!A181)*12.9898+(0)*78.233+Inputs!$C$47*37.719))*43758.5453)))-1)))</x:f>
        <x:v>20.4458299890095</x:v>
      </x:c>
      <x:c r="H181" s="49"/>
      <x:c r="I181" s="48" t="n">
        <x:f>Model_Data!A181</x:f>
        <x:v>29.5</x:v>
      </x:c>
      <x:c r="J181" s="48" t="n">
        <x:f>((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(0.45*SIN(2*PI()*(((Model_Data!A181)/Inputs!$C$49)+Inputs!$C$47*0.137))+0.35*COS(2*PI()*(((Inputs!$C$6)/Inputs!$C$50)+Inputs!$C$47*0.173))+0.20*SIN(2*PI()*(((Model_Data!A181)+(Inputs!$C$6))/(0.5*(Inputs!$C$49+Inputs!$C$50))+Inputs!$C$47*0.097)))+0.30*(2*((SIN(((Model_Data!A181)*12.9898+(Inputs!$C$6)*78.233+Inputs!$C$47*37.719))*43758.5453)-INT((SIN(((Model_Data!A181)*12.9898+(Inputs!$C$6)*78.233+Inputs!$C$47*37.719))*43758.5453)))-1))))-((Inputs!$C$51*(115*EXP(-(((0)-25)^2)/(4.5^2))+70*EXP(-(((0)+38)^2)/(7^2))*(0.55+0.45*SIN(2*PI()*(Model_Data!A181)/45))+24*SIN(2*PI()*(0)/9+(Model_Data!A181)/18)*EXP(-(((0)+5)^2)/(22^2))+18*SIN(2*PI()*(Model_Data!A181)/70))+Inputs!$C$28*EXP(-(((Model_Data!A181)-Inputs!$C$29)^2)/(2*Inputs!$C$31^2))*EXP(-(((0)-Inputs!$C$30)^2)/(2*Inputs!$C$32^2))+-Inputs!$C$33*EXP(-(((((Model_Data!A181)-Inputs!$C$34)^2)+(((0)-Inputs!$C$35)^2))/(2*Inputs!$C$36^2)))+Inputs!$C$37*(0.55*SIN(2*PI()*(Model_Data!A181)/Inputs!$C$39)+0.35*COS(2*PI()*(0)/Inputs!$C$40)+0.2*SIN(2*PI()*((Model_Data!A181)+(0))/(0.5*(Inputs!$C$39+Inputs!$C$40))))+Inputs!$C$38*SIN(2*PI()*(Model_Data!A181)/Inputs!$C$39)*SIN(2*PI()*(0)/Inputs!$C$40)+-Inputs!$C$41*EXP(-(((0)-Inputs!$C$43)^2)/(2*Inputs!$C$44^2))*EXP(-(((Model_Data!A181)-Inputs!$C$42)^2)/(2*Inputs!$C$45^2))+Inputs!$C$48*(0.70*(0.45*SIN(2*PI()*(((Model_Data!A181)/Inputs!$C$49)+Inputs!$C$47*0.137))+0.35*COS(2*PI()*(((0)/Inputs!$C$50)+Inputs!$C$47*0.173))+0.20*SIN(2*PI()*(((Model_Data!A181)+(0))/(0.5*(Inputs!$C$49+Inputs!$C$50))+Inputs!$C$47*0.097)))+0.30*(2*((SIN(((Model_Data!A181)*12.9898+(0)*78.233+Inputs!$C$47*37.719))*43758.5453)-INT((SIN(((Model_Data!A181)*12.9898+(0)*78.233+Inputs!$C$47*37.719))*43758.5453)))-1))))</x:f>
        <x:v>243.0788291606886</x:v>
      </x:c>
      <x:c r="K181" s="48" t="n">
        <x:f>-((((SQRT((Model_Data!A181)^2+Inputs!$C$6^2+((Model_Data!B181)-((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(0.45*SIN(2*PI()*(((Model_Data!A181)/Inputs!$C$49)+Inputs!$C$47*0.137))+0.35*COS(2*PI()*(((Inputs!$C$6)/Inputs!$C$50)+Inputs!$C$47*0.173))+0.20*SIN(2*PI()*(((Model_Data!A181)+(Inputs!$C$6))/(0.5*(Inputs!$C$49+Inputs!$C$50))+Inputs!$C$47*0.097)))+0.30*(2*((SIN(((Model_Data!A181)*12.9898+(Inputs!$C$6)*78.233+Inputs!$C$47*37.719))*43758.5453)-INT((SIN(((Model_Data!A181)*12.9898+(Inputs!$C$6)*78.233+Inputs!$C$47*37.719))*43758.5453)))-1))))/1000)^2))-(((Model_Data!B181)-((Inputs!$C$51*(115*EXP(-(((0)-25)^2)/(4.5^2))+70*EXP(-(((0)+38)^2)/(7^2))*(0.55+0.45*SIN(2*PI()*(Model_Data!A181)/45))+24*SIN(2*PI()*(0)/9+(Model_Data!A181)/18)*EXP(-(((0)+5)^2)/(22^2))+18*SIN(2*PI()*(Model_Data!A181)/70))+Inputs!$C$28*EXP(-(((Model_Data!A181)-Inputs!$C$29)^2)/(2*Inputs!$C$31^2))*EXP(-(((0)-Inputs!$C$30)^2)/(2*Inputs!$C$32^2))+-Inputs!$C$33*EXP(-(((((Model_Data!A181)-Inputs!$C$34)^2)+(((0)-Inputs!$C$35)^2))/(2*Inputs!$C$36^2)))+Inputs!$C$37*(0.55*SIN(2*PI()*(Model_Data!A181)/Inputs!$C$39)+0.35*COS(2*PI()*(0)/Inputs!$C$40)+0.2*SIN(2*PI()*((Model_Data!A181)+(0))/(0.5*(Inputs!$C$39+Inputs!$C$40))))+Inputs!$C$38*SIN(2*PI()*(Model_Data!A181)/Inputs!$C$39)*SIN(2*PI()*(0)/Inputs!$C$40)+-Inputs!$C$41*EXP(-(((0)-Inputs!$C$43)^2)/(2*Inputs!$C$44^2))*EXP(-(((Model_Data!A181)-Inputs!$C$42)^2)/(2*Inputs!$C$45^2))+Inputs!$C$48*(0.70*(0.45*SIN(2*PI()*(((Model_Data!A181)/Inputs!$C$49)+Inputs!$C$47*0.137))+0.35*COS(2*PI()*(((0)/Inputs!$C$50)+Inputs!$C$47*0.173))+0.20*SIN(2*PI()*(((Model_Data!A181)+(0))/(0.5*(Inputs!$C$49+Inputs!$C$50))+Inputs!$C$47*0.097)))+0.30*(2*((SIN(((Model_Data!A181)*12.9898+(0)*78.233+Inputs!$C$47*37.719))*43758.5453)-INT((SIN(((Model_Data!A181)*12.9898+(0)*78.233+Inputs!$C$47*37.719))*43758.5453)))-1))))/1000)))*1000/Inputs!$C$12)-Model_Data!F181)</x:f>
        <x:v>135.87701568103444</x:v>
      </x:c>
      <x:c r="L181" s="49"/>
      <x:c r="M181" s="48" t="n">
        <x:f>Model_Data!A181</x:f>
        <x:v>29.5</x:v>
      </x:c>
      <x:c r="N181" s="48" t="n">
        <x:f>Model_Data!P181</x:f>
        <x:v>-221.57635017703063</x:v>
      </x:c>
      <x:c r="O181" s="48" t="n">
        <x:f>AC181</x:f>
        <x:v>-262.4256569404679</x:v>
      </x:c>
      <x:c r="P181" s="48" t="n">
        <x:f>Model_Data!Q181</x:f>
        <x:v>-33.269722248803404</x:v>
      </x:c>
      <x:c r="Q181" s="48" t="n">
        <x:f>AD181</x:f>
        <x:v>-39.40325179286305</x:v>
      </x:c>
      <x:c r="R181" s="49"/>
      <x:c r="S181" s="48" t="n">
        <x:f>Model_Data!A181</x:f>
        <x:v>29.5</x:v>
      </x:c>
      <x:c r="T181" s="48" t="n">
        <x:f>Model_Data!B181-Inputs!$C$5</x:f>
        <x:v>0.9669444444444366</x:v>
      </x:c>
      <x:c r="U181" s="49"/>
      <x:c r="V181" s="48" t="n">
        <x:f>Model_Data!A181</x:f>
        <x:v>29.5</x:v>
      </x:c>
      <x:c r="W181" s="48" t="n">
        <x:f>(-((((SQRT((Model_Data!A181)^2+Inputs!$C$6^2+((Model_Data!B181)-((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(0.45*SIN(2*PI()*(((Model_Data!A181)/Inputs!$C$49)+Inputs!$C$47*0.137))+0.35*COS(2*PI()*(((Inputs!$C$6)/Inputs!$C$50)+Inputs!$C$47*0.173))+0.20*SIN(2*PI()*(((Model_Data!A181)+(Inputs!$C$6))/(0.5*(Inputs!$C$49+Inputs!$C$50))+Inputs!$C$47*0.097)))+0.30*(2*((SIN(((Model_Data!A181)*12.9898+(Inputs!$C$6)*78.233+Inputs!$C$47*37.719))*43758.5453)-INT((SIN(((Model_Data!A181)*12.9898+(Inputs!$C$6)*78.233+Inputs!$C$47*37.719))*43758.5453)))-1))))/1000)^2))-(((Model_Data!B181)-((Inputs!$C$51*(115*EXP(-(((0)-25)^2)/(4.5^2))+70*EXP(-(((0)+38)^2)/(7^2))*(0.55+0.45*SIN(2*PI()*(Model_Data!A181)/45))+24*SIN(2*PI()*(0)/9+(Model_Data!A181)/18)*EXP(-(((0)+5)^2)/(22^2))+18*SIN(2*PI()*(Model_Data!A181)/70))+Inputs!$C$28*EXP(-(((Model_Data!A181)-Inputs!$C$29)^2)/(2*Inputs!$C$31^2))*EXP(-(((0)-Inputs!$C$30)^2)/(2*Inputs!$C$32^2))+-Inputs!$C$33*EXP(-(((((Model_Data!A181)-Inputs!$C$34)^2)+(((0)-Inputs!$C$35)^2))/(2*Inputs!$C$36^2)))+Inputs!$C$37*(0.55*SIN(2*PI()*(Model_Data!A181)/Inputs!$C$39)+0.35*COS(2*PI()*(0)/Inputs!$C$40)+0.2*SIN(2*PI()*((Model_Data!A181)+(0))/(0.5*(Inputs!$C$39+Inputs!$C$40))))+Inputs!$C$38*SIN(2*PI()*(Model_Data!A181)/Inputs!$C$39)*SIN(2*PI()*(0)/Inputs!$C$40)+-Inputs!$C$41*EXP(-(((0)-Inputs!$C$43)^2)/(2*Inputs!$C$44^2))*EXP(-(((Model_Data!A181)-Inputs!$C$42)^2)/(2*Inputs!$C$45^2))+Inputs!$C$48*(0.70*(0.45*SIN(2*PI()*(((Model_Data!A181)/Inputs!$C$49)+Inputs!$C$47*0.137))+0.35*COS(2*PI()*(((0)/Inputs!$C$50)+Inputs!$C$47*0.173))+0.20*SIN(2*PI()*(((Model_Data!A181)+(0))/(0.5*(Inputs!$C$49+Inputs!$C$50))+Inputs!$C$47*0.097)))+0.30*(2*((SIN(((Model_Data!A181)*12.9898+(0)*78.233+Inputs!$C$47*37.719))*43758.5453)-INT((SIN(((Model_Data!A181)*12.9898+(0)*78.233+Inputs!$C$47*37.719))*43758.5453)))-1))))/1000)))*1000/Inputs!$C$12)-Model_Data!F181))-(-(((SQRT((Model_Data!A181)^2+Inputs!$C$6^2+(Inputs!$C$5-((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(0.45*SIN(2*PI()*(((Model_Data!A181)/Inputs!$C$49)+Inputs!$C$47*0.137))+0.35*COS(2*PI()*(((Inputs!$C$6)/Inputs!$C$50)+Inputs!$C$47*0.173))+0.20*SIN(2*PI()*(((Model_Data!A181)+(Inputs!$C$6))/(0.5*(Inputs!$C$49+Inputs!$C$50))+Inputs!$C$47*0.097)))+0.30*(2*((SIN(((Model_Data!A181)*12.9898+(Inputs!$C$6)*78.233+Inputs!$C$47*37.719))*43758.5453)-INT((SIN(((Model_Data!A181)*12.9898+(Inputs!$C$6)*78.233+Inputs!$C$47*37.719))*43758.5453)))-1))))/1000)^2)-(Inputs!$C$5-((Inputs!$C$51*(115*EXP(-(((0)-25)^2)/(4.5^2))+70*EXP(-(((0)+38)^2)/(7^2))*(0.55+0.45*SIN(2*PI()*(Model_Data!A181)/45))+24*SIN(2*PI()*(0)/9+(Model_Data!A181)/18)*EXP(-(((0)+5)^2)/(22^2))+18*SIN(2*PI()*(Model_Data!A181)/70))+Inputs!$C$28*EXP(-(((Model_Data!A181)-Inputs!$C$29)^2)/(2*Inputs!$C$31^2))*EXP(-(((0)-Inputs!$C$30)^2)/(2*Inputs!$C$32^2))+-Inputs!$C$33*EXP(-(((((Model_Data!A181)-Inputs!$C$34)^2)+(((0)-Inputs!$C$35)^2))/(2*Inputs!$C$36^2)))+Inputs!$C$37*(0.55*SIN(2*PI()*(Model_Data!A181)/Inputs!$C$39)+0.35*COS(2*PI()*(0)/Inputs!$C$40)+0.2*SIN(2*PI()*((Model_Data!A181)+(0))/(0.5*(Inputs!$C$39+Inputs!$C$40))))+Inputs!$C$38*SIN(2*PI()*(Model_Data!A181)/Inputs!$C$39)*SIN(2*PI()*(0)/Inputs!$C$40)+-Inputs!$C$41*EXP(-(((0)-Inputs!$C$43)^2)/(2*Inputs!$C$44^2))*EXP(-(((Model_Data!A181)-Inputs!$C$42)^2)/(2*Inputs!$C$45^2))+Inputs!$C$48*(0.70*(0.45*SIN(2*PI()*(((Model_Data!A181)/Inputs!$C$49)+Inputs!$C$47*0.137))+0.35*COS(2*PI()*(((0)/Inputs!$C$50)+Inputs!$C$47*0.173))+0.20*SIN(2*PI()*(((Model_Data!A181)+(0))/(0.5*(Inputs!$C$49+Inputs!$C$50))+Inputs!$C$47*0.097)))+0.30*(2*((SIN(((Model_Data!A181)*12.9898+(0)*78.233+Inputs!$C$47*37.719))*43758.5453)-INT((SIN(((Model_Data!A181)*12.9898+(0)*78.233+Inputs!$C$47*37.719))*43758.5453)))-1))))/1000))*1000/Inputs!$C$12)-((SQRT((Model_Data!A181)^2+Inputs!$C$6^2+Inputs!$C$5^2)-Inputs!$C$5)*1000/Inputs!$C$12)))</x:f>
        <x:v>0.0032896052924797914</x:v>
      </x:c>
      <x:c r="X181" s="48" t="n">
        <x:f>0</x:f>
        <x:v>0</x:v>
      </x:c>
      <x:c r="Y181" s="49"/>
      <x:c r="Z181" s="48" t="n">
        <x:f>Model_Data!A181</x:f>
        <x:v>29.5</x:v>
      </x:c>
      <x:c r="AA181" s="48" t="n">
        <x:f>SQRT((Model_Data!A181)^2+Inputs!$C$6^2+((Model_Data!B181)-((Inputs!$C$51*(115*EXP(-(((Inputs!$C$6)-25)^2)/(4.5^2))+70*EXP(-(((Inputs!$C$6)+38)^2)/(7^2))*(0.55+0.45*SIN(2*PI()*(Model_Data!A181)/45))+24*SIN(2*PI()*(Inputs!$C$6)/9+(Model_Data!A181)/18)*EXP(-(((Inputs!$C$6)+5)^2)/(22^2))+18*SIN(2*PI()*(Model_Data!A181)/70))+Inputs!$C$28*EXP(-(((Model_Data!A181)-Inputs!$C$29)^2)/(2*Inputs!$C$31^2))*EXP(-(((Inputs!$C$6)-Inputs!$C$30)^2)/(2*Inputs!$C$32^2))+-Inputs!$C$33*EXP(-(((((Model_Data!A181)-Inputs!$C$34)^2)+(((Inputs!$C$6)-Inputs!$C$35)^2))/(2*Inputs!$C$36^2)))+Inputs!$C$37*(0.55*SIN(2*PI()*(Model_Data!A181)/Inputs!$C$39)+0.35*COS(2*PI()*(Inputs!$C$6)/Inputs!$C$40)+0.2*SIN(2*PI()*((Model_Data!A181)+(Inputs!$C$6))/(0.5*(Inputs!$C$39+Inputs!$C$40))))+Inputs!$C$38*SIN(2*PI()*(Model_Data!A181)/Inputs!$C$39)*SIN(2*PI()*(Inputs!$C$6)/Inputs!$C$40)+-Inputs!$C$41*EXP(-(((Inputs!$C$6)-Inputs!$C$43)^2)/(2*Inputs!$C$44^2))*EXP(-(((Model_Data!A181)-Inputs!$C$42)^2)/(2*Inputs!$C$45^2))+Inputs!$C$48*(0.70*(0.45*SIN(2*PI()*(((Model_Data!A181)/Inputs!$C$49)+Inputs!$C$47*0.137))+0.35*COS(2*PI()*(((Inputs!$C$6)/Inputs!$C$50)+Inputs!$C$47*0.173))+0.20*SIN(2*PI()*(((Model_Data!A181)+(Inputs!$C$6))/(0.5*(Inputs!$C$49+Inputs!$C$50))+Inputs!$C$47*0.097)))+0.30*(2*((SIN(((Model_Data!A181)*12.9898+(Inputs!$C$6)*78.233+Inputs!$C$47*37.719))*43758.5453)-INT((SIN(((Model_Data!A181)*12.9898+(Inputs!$C$6)*78.233+Inputs!$C$47*37.719))*43758.5453)))-1))))/1000)^2)</x:f>
        <x:v>402.56487753855293</x:v>
      </x:c>
      <x:c r="AB181" s="48" t="n">
        <x:f>1000*(AA182-AA180)/(Z182-Z180)*Inputs!$C$11</x:f>
        <x:v>656.0641423511697</x:v>
      </x:c>
      <x:c r="AC181" s="48" t="n">
        <x:f>-2*AB181/Inputs!$C$13</x:f>
        <x:v>-262.4256569404679</x:v>
      </x:c>
      <x:c r="AD181" s="48" t="n">
        <x:f>-2*AB181/Inputs!$C$14</x:f>
        <x:v>-39.40325179286305</x:v>
      </x:c>
    </x:row>
    <x:row r="182">
      <x:c r="A182" s="48" t="n">
        <x:f>Model_Data!A182</x:f>
        <x:v>30</x:v>
      </x:c>
      <x:c r="B182" s="48" t="n">
        <x:f>Model_Data!F182</x:f>
        <x:v>1065.7354900670628</x:v>
      </x:c>
      <x:c r="C182" s="48" t="n">
        <x:f>(((SQRT((Model_Data!A182)^2+Inputs!$C$6^2+((Model_Data!B182)-((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(0.45*SIN(2*PI()*(((Model_Data!A182)/Inputs!$C$49)+Inputs!$C$47*0.137))+0.35*COS(2*PI()*(((Inputs!$C$6)/Inputs!$C$50)+Inputs!$C$47*0.173))+0.20*SIN(2*PI()*(((Model_Data!A182)+(Inputs!$C$6))/(0.5*(Inputs!$C$49+Inputs!$C$50))+Inputs!$C$47*0.097)))+0.30*(2*((SIN(((Model_Data!A182)*12.9898+(Inputs!$C$6)*78.233+Inputs!$C$47*37.719))*43758.5453)-INT((SIN(((Model_Data!A182)*12.9898+(Inputs!$C$6)*78.233+Inputs!$C$47*37.719))*43758.5453)))-1))))/1000)^2))-(((Model_Data!B182)-((Inputs!$C$51*(115*EXP(-(((0)-25)^2)/(4.5^2))+70*EXP(-(((0)+38)^2)/(7^2))*(0.55+0.45*SIN(2*PI()*(Model_Data!A182)/45))+24*SIN(2*PI()*(0)/9+(Model_Data!A182)/18)*EXP(-(((0)+5)^2)/(22^2))+18*SIN(2*PI()*(Model_Data!A182)/70))+Inputs!$C$28*EXP(-(((Model_Data!A182)-Inputs!$C$29)^2)/(2*Inputs!$C$31^2))*EXP(-(((0)-Inputs!$C$30)^2)/(2*Inputs!$C$32^2))+-Inputs!$C$33*EXP(-(((((Model_Data!A182)-Inputs!$C$34)^2)+(((0)-Inputs!$C$35)^2))/(2*Inputs!$C$36^2)))+Inputs!$C$37*(0.55*SIN(2*PI()*(Model_Data!A182)/Inputs!$C$39)+0.35*COS(2*PI()*(0)/Inputs!$C$40)+0.2*SIN(2*PI()*((Model_Data!A182)+(0))/(0.5*(Inputs!$C$39+Inputs!$C$40))))+Inputs!$C$38*SIN(2*PI()*(Model_Data!A182)/Inputs!$C$39)*SIN(2*PI()*(0)/Inputs!$C$40)+-Inputs!$C$41*EXP(-(((0)-Inputs!$C$43)^2)/(2*Inputs!$C$44^2))*EXP(-(((Model_Data!A182)-Inputs!$C$42)^2)/(2*Inputs!$C$45^2))+Inputs!$C$48*(0.70*(0.45*SIN(2*PI()*(((Model_Data!A182)/Inputs!$C$49)+Inputs!$C$47*0.137))+0.35*COS(2*PI()*(((0)/Inputs!$C$50)+Inputs!$C$47*0.173))+0.20*SIN(2*PI()*(((Model_Data!A182)+(0))/(0.5*(Inputs!$C$49+Inputs!$C$50))+Inputs!$C$47*0.097)))+0.30*(2*((SIN(((Model_Data!A182)*12.9898+(0)*78.233+Inputs!$C$47*37.719))*43758.5453)-INT((SIN(((Model_Data!A182)*12.9898+(0)*78.233+Inputs!$C$47*37.719))*43758.5453)))-1))))/1000)))*1000/Inputs!$C$12)</x:f>
        <x:v>927.9351692451551</x:v>
      </x:c>
      <x:c r="D182" s="49"/>
      <x:c r="E182" s="48" t="n">
        <x:f>Model_Data!A182</x:f>
        <x:v>30</x:v>
      </x:c>
      <x:c r="F182" s="48" t="n">
        <x:f>(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(0.45*SIN(2*PI()*(((Model_Data!A182)/Inputs!$C$49)+Inputs!$C$47*0.137))+0.35*COS(2*PI()*(((Inputs!$C$6)/Inputs!$C$50)+Inputs!$C$47*0.173))+0.20*SIN(2*PI()*(((Model_Data!A182)+(Inputs!$C$6))/(0.5*(Inputs!$C$49+Inputs!$C$50))+Inputs!$C$47*0.097)))+0.30*(2*((SIN(((Model_Data!A182)*12.9898+(Inputs!$C$6)*78.233+Inputs!$C$47*37.719))*43758.5453)-INT((SIN(((Model_Data!A182)*12.9898+(Inputs!$C$6)*78.233+Inputs!$C$47*37.719))*43758.5453)))-1)))</x:f>
        <x:v>258.3810354027646</x:v>
      </x:c>
      <x:c r="G182" s="48" t="n">
        <x:f>(Inputs!$C$51*(115*EXP(-(((0)-25)^2)/(4.5^2))+70*EXP(-(((0)+38)^2)/(7^2))*(0.55+0.45*SIN(2*PI()*(Model_Data!A182)/45))+24*SIN(2*PI()*(0)/9+(Model_Data!A182)/18)*EXP(-(((0)+5)^2)/(22^2))+18*SIN(2*PI()*(Model_Data!A182)/70))+Inputs!$C$28*EXP(-(((Model_Data!A182)-Inputs!$C$29)^2)/(2*Inputs!$C$31^2))*EXP(-(((0)-Inputs!$C$30)^2)/(2*Inputs!$C$32^2))+-Inputs!$C$33*EXP(-(((((Model_Data!A182)-Inputs!$C$34)^2)+(((0)-Inputs!$C$35)^2))/(2*Inputs!$C$36^2)))+Inputs!$C$37*(0.55*SIN(2*PI()*(Model_Data!A182)/Inputs!$C$39)+0.35*COS(2*PI()*(0)/Inputs!$C$40)+0.2*SIN(2*PI()*((Model_Data!A182)+(0))/(0.5*(Inputs!$C$39+Inputs!$C$40))))+Inputs!$C$38*SIN(2*PI()*(Model_Data!A182)/Inputs!$C$39)*SIN(2*PI()*(0)/Inputs!$C$40)+-Inputs!$C$41*EXP(-(((0)-Inputs!$C$43)^2)/(2*Inputs!$C$44^2))*EXP(-(((Model_Data!A182)-Inputs!$C$42)^2)/(2*Inputs!$C$45^2))+Inputs!$C$48*(0.70*(0.45*SIN(2*PI()*(((Model_Data!A182)/Inputs!$C$49)+Inputs!$C$47*0.137))+0.35*COS(2*PI()*(((0)/Inputs!$C$50)+Inputs!$C$47*0.173))+0.20*SIN(2*PI()*(((Model_Data!A182)+(0))/(0.5*(Inputs!$C$49+Inputs!$C$50))+Inputs!$C$47*0.097)))+0.30*(2*((SIN(((Model_Data!A182)*12.9898+(0)*78.233+Inputs!$C$47*37.719))*43758.5453)-INT((SIN(((Model_Data!A182)*12.9898+(0)*78.233+Inputs!$C$47*37.719))*43758.5453)))-1)))</x:f>
        <x:v>11.879118514207924</x:v>
      </x:c>
      <x:c r="H182" s="49"/>
      <x:c r="I182" s="48" t="n">
        <x:f>Model_Data!A182</x:f>
        <x:v>30</x:v>
      </x:c>
      <x:c r="J182" s="48" t="n">
        <x:f>((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(0.45*SIN(2*PI()*(((Model_Data!A182)/Inputs!$C$49)+Inputs!$C$47*0.137))+0.35*COS(2*PI()*(((Inputs!$C$6)/Inputs!$C$50)+Inputs!$C$47*0.173))+0.20*SIN(2*PI()*(((Model_Data!A182)+(Inputs!$C$6))/(0.5*(Inputs!$C$49+Inputs!$C$50))+Inputs!$C$47*0.097)))+0.30*(2*((SIN(((Model_Data!A182)*12.9898+(Inputs!$C$6)*78.233+Inputs!$C$47*37.719))*43758.5453)-INT((SIN(((Model_Data!A182)*12.9898+(Inputs!$C$6)*78.233+Inputs!$C$47*37.719))*43758.5453)))-1))))-((Inputs!$C$51*(115*EXP(-(((0)-25)^2)/(4.5^2))+70*EXP(-(((0)+38)^2)/(7^2))*(0.55+0.45*SIN(2*PI()*(Model_Data!A182)/45))+24*SIN(2*PI()*(0)/9+(Model_Data!A182)/18)*EXP(-(((0)+5)^2)/(22^2))+18*SIN(2*PI()*(Model_Data!A182)/70))+Inputs!$C$28*EXP(-(((Model_Data!A182)-Inputs!$C$29)^2)/(2*Inputs!$C$31^2))*EXP(-(((0)-Inputs!$C$30)^2)/(2*Inputs!$C$32^2))+-Inputs!$C$33*EXP(-(((((Model_Data!A182)-Inputs!$C$34)^2)+(((0)-Inputs!$C$35)^2))/(2*Inputs!$C$36^2)))+Inputs!$C$37*(0.55*SIN(2*PI()*(Model_Data!A182)/Inputs!$C$39)+0.35*COS(2*PI()*(0)/Inputs!$C$40)+0.2*SIN(2*PI()*((Model_Data!A182)+(0))/(0.5*(Inputs!$C$39+Inputs!$C$40))))+Inputs!$C$38*SIN(2*PI()*(Model_Data!A182)/Inputs!$C$39)*SIN(2*PI()*(0)/Inputs!$C$40)+-Inputs!$C$41*EXP(-(((0)-Inputs!$C$43)^2)/(2*Inputs!$C$44^2))*EXP(-(((Model_Data!A182)-Inputs!$C$42)^2)/(2*Inputs!$C$45^2))+Inputs!$C$48*(0.70*(0.45*SIN(2*PI()*(((Model_Data!A182)/Inputs!$C$49)+Inputs!$C$47*0.137))+0.35*COS(2*PI()*(((0)/Inputs!$C$50)+Inputs!$C$47*0.173))+0.20*SIN(2*PI()*(((Model_Data!A182)+(0))/(0.5*(Inputs!$C$49+Inputs!$C$50))+Inputs!$C$47*0.097)))+0.30*(2*((SIN(((Model_Data!A182)*12.9898+(0)*78.233+Inputs!$C$47*37.719))*43758.5453)-INT((SIN(((Model_Data!A182)*12.9898+(0)*78.233+Inputs!$C$47*37.719))*43758.5453)))-1))))</x:f>
        <x:v>246.50191688855668</x:v>
      </x:c>
      <x:c r="K182" s="48" t="n">
        <x:f>-((((SQRT((Model_Data!A182)^2+Inputs!$C$6^2+((Model_Data!B182)-((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(0.45*SIN(2*PI()*(((Model_Data!A182)/Inputs!$C$49)+Inputs!$C$47*0.137))+0.35*COS(2*PI()*(((Inputs!$C$6)/Inputs!$C$50)+Inputs!$C$47*0.173))+0.20*SIN(2*PI()*(((Model_Data!A182)+(Inputs!$C$6))/(0.5*(Inputs!$C$49+Inputs!$C$50))+Inputs!$C$47*0.097)))+0.30*(2*((SIN(((Model_Data!A182)*12.9898+(Inputs!$C$6)*78.233+Inputs!$C$47*37.719))*43758.5453)-INT((SIN(((Model_Data!A182)*12.9898+(Inputs!$C$6)*78.233+Inputs!$C$47*37.719))*43758.5453)))-1))))/1000)^2))-(((Model_Data!B182)-((Inputs!$C$51*(115*EXP(-(((0)-25)^2)/(4.5^2))+70*EXP(-(((0)+38)^2)/(7^2))*(0.55+0.45*SIN(2*PI()*(Model_Data!A182)/45))+24*SIN(2*PI()*(0)/9+(Model_Data!A182)/18)*EXP(-(((0)+5)^2)/(22^2))+18*SIN(2*PI()*(Model_Data!A182)/70))+Inputs!$C$28*EXP(-(((Model_Data!A182)-Inputs!$C$29)^2)/(2*Inputs!$C$31^2))*EXP(-(((0)-Inputs!$C$30)^2)/(2*Inputs!$C$32^2))+-Inputs!$C$33*EXP(-(((((Model_Data!A182)-Inputs!$C$34)^2)+(((0)-Inputs!$C$35)^2))/(2*Inputs!$C$36^2)))+Inputs!$C$37*(0.55*SIN(2*PI()*(Model_Data!A182)/Inputs!$C$39)+0.35*COS(2*PI()*(0)/Inputs!$C$40)+0.2*SIN(2*PI()*((Model_Data!A182)+(0))/(0.5*(Inputs!$C$39+Inputs!$C$40))))+Inputs!$C$38*SIN(2*PI()*(Model_Data!A182)/Inputs!$C$39)*SIN(2*PI()*(0)/Inputs!$C$40)+-Inputs!$C$41*EXP(-(((0)-Inputs!$C$43)^2)/(2*Inputs!$C$44^2))*EXP(-(((Model_Data!A182)-Inputs!$C$42)^2)/(2*Inputs!$C$45^2))+Inputs!$C$48*(0.70*(0.45*SIN(2*PI()*(((Model_Data!A182)/Inputs!$C$49)+Inputs!$C$47*0.137))+0.35*COS(2*PI()*(((0)/Inputs!$C$50)+Inputs!$C$47*0.173))+0.20*SIN(2*PI()*(((Model_Data!A182)+(0))/(0.5*(Inputs!$C$49+Inputs!$C$50))+Inputs!$C$47*0.097)))+0.30*(2*((SIN(((Model_Data!A182)*12.9898+(0)*78.233+Inputs!$C$47*37.719))*43758.5453)-INT((SIN(((Model_Data!A182)*12.9898+(0)*78.233+Inputs!$C$47*37.719))*43758.5453)))-1))))/1000)))*1000/Inputs!$C$12)-Model_Data!F182)</x:f>
        <x:v>137.8003208219077</x:v>
      </x:c>
      <x:c r="L182" s="49"/>
      <x:c r="M182" s="48" t="n">
        <x:f>Model_Data!A182</x:f>
        <x:v>30</x:v>
      </x:c>
      <x:c r="N182" s="48" t="n">
        <x:f>Model_Data!P182</x:f>
        <x:v>-225.30158146324067</x:v>
      </x:c>
      <x:c r="O182" s="48" t="n">
        <x:f>AC182</x:f>
        <x:v>-262.8588980479435</x:v>
      </x:c>
      <x:c r="P182" s="48" t="n">
        <x:f>Model_Data!Q182</x:f>
        <x:v>-33.82906628577187</x:v>
      </x:c>
      <x:c r="Q182" s="48" t="n">
        <x:f>AD182</x:f>
        <x:v>-39.46830301020173</x:v>
      </x:c>
      <x:c r="R182" s="49"/>
      <x:c r="S182" s="48" t="n">
        <x:f>Model_Data!A182</x:f>
        <x:v>30</x:v>
      </x:c>
      <x:c r="T182" s="48" t="n">
        <x:f>Model_Data!B182-Inputs!$C$5</x:f>
        <x:v>1</x:v>
      </x:c>
      <x:c r="U182" s="49"/>
      <x:c r="V182" s="48" t="n">
        <x:f>Model_Data!A182</x:f>
        <x:v>30</x:v>
      </x:c>
      <x:c r="W182" s="48" t="n">
        <x:f>(-((((SQRT((Model_Data!A182)^2+Inputs!$C$6^2+((Model_Data!B182)-((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(0.45*SIN(2*PI()*(((Model_Data!A182)/Inputs!$C$49)+Inputs!$C$47*0.137))+0.35*COS(2*PI()*(((Inputs!$C$6)/Inputs!$C$50)+Inputs!$C$47*0.173))+0.20*SIN(2*PI()*(((Model_Data!A182)+(Inputs!$C$6))/(0.5*(Inputs!$C$49+Inputs!$C$50))+Inputs!$C$47*0.097)))+0.30*(2*((SIN(((Model_Data!A182)*12.9898+(Inputs!$C$6)*78.233+Inputs!$C$47*37.719))*43758.5453)-INT((SIN(((Model_Data!A182)*12.9898+(Inputs!$C$6)*78.233+Inputs!$C$47*37.719))*43758.5453)))-1))))/1000)^2))-(((Model_Data!B182)-((Inputs!$C$51*(115*EXP(-(((0)-25)^2)/(4.5^2))+70*EXP(-(((0)+38)^2)/(7^2))*(0.55+0.45*SIN(2*PI()*(Model_Data!A182)/45))+24*SIN(2*PI()*(0)/9+(Model_Data!A182)/18)*EXP(-(((0)+5)^2)/(22^2))+18*SIN(2*PI()*(Model_Data!A182)/70))+Inputs!$C$28*EXP(-(((Model_Data!A182)-Inputs!$C$29)^2)/(2*Inputs!$C$31^2))*EXP(-(((0)-Inputs!$C$30)^2)/(2*Inputs!$C$32^2))+-Inputs!$C$33*EXP(-(((((Model_Data!A182)-Inputs!$C$34)^2)+(((0)-Inputs!$C$35)^2))/(2*Inputs!$C$36^2)))+Inputs!$C$37*(0.55*SIN(2*PI()*(Model_Data!A182)/Inputs!$C$39)+0.35*COS(2*PI()*(0)/Inputs!$C$40)+0.2*SIN(2*PI()*((Model_Data!A182)+(0))/(0.5*(Inputs!$C$39+Inputs!$C$40))))+Inputs!$C$38*SIN(2*PI()*(Model_Data!A182)/Inputs!$C$39)*SIN(2*PI()*(0)/Inputs!$C$40)+-Inputs!$C$41*EXP(-(((0)-Inputs!$C$43)^2)/(2*Inputs!$C$44^2))*EXP(-(((Model_Data!A182)-Inputs!$C$42)^2)/(2*Inputs!$C$45^2))+Inputs!$C$48*(0.70*(0.45*SIN(2*PI()*(((Model_Data!A182)/Inputs!$C$49)+Inputs!$C$47*0.137))+0.35*COS(2*PI()*(((0)/Inputs!$C$50)+Inputs!$C$47*0.173))+0.20*SIN(2*PI()*(((Model_Data!A182)+(0))/(0.5*(Inputs!$C$49+Inputs!$C$50))+Inputs!$C$47*0.097)))+0.30*(2*((SIN(((Model_Data!A182)*12.9898+(0)*78.233+Inputs!$C$47*37.719))*43758.5453)-INT((SIN(((Model_Data!A182)*12.9898+(0)*78.233+Inputs!$C$47*37.719))*43758.5453)))-1))))/1000)))*1000/Inputs!$C$12)-Model_Data!F182))-(-(((SQRT((Model_Data!A182)^2+Inputs!$C$6^2+(Inputs!$C$5-((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(0.45*SIN(2*PI()*(((Model_Data!A182)/Inputs!$C$49)+Inputs!$C$47*0.137))+0.35*COS(2*PI()*(((Inputs!$C$6)/Inputs!$C$50)+Inputs!$C$47*0.173))+0.20*SIN(2*PI()*(((Model_Data!A182)+(Inputs!$C$6))/(0.5*(Inputs!$C$49+Inputs!$C$50))+Inputs!$C$47*0.097)))+0.30*(2*((SIN(((Model_Data!A182)*12.9898+(Inputs!$C$6)*78.233+Inputs!$C$47*37.719))*43758.5453)-INT((SIN(((Model_Data!A182)*12.9898+(Inputs!$C$6)*78.233+Inputs!$C$47*37.719))*43758.5453)))-1))))/1000)^2)-(Inputs!$C$5-((Inputs!$C$51*(115*EXP(-(((0)-25)^2)/(4.5^2))+70*EXP(-(((0)+38)^2)/(7^2))*(0.55+0.45*SIN(2*PI()*(Model_Data!A182)/45))+24*SIN(2*PI()*(0)/9+(Model_Data!A182)/18)*EXP(-(((0)+5)^2)/(22^2))+18*SIN(2*PI()*(Model_Data!A182)/70))+Inputs!$C$28*EXP(-(((Model_Data!A182)-Inputs!$C$29)^2)/(2*Inputs!$C$31^2))*EXP(-(((0)-Inputs!$C$30)^2)/(2*Inputs!$C$32^2))+-Inputs!$C$33*EXP(-(((((Model_Data!A182)-Inputs!$C$34)^2)+(((0)-Inputs!$C$35)^2))/(2*Inputs!$C$36^2)))+Inputs!$C$37*(0.55*SIN(2*PI()*(Model_Data!A182)/Inputs!$C$39)+0.35*COS(2*PI()*(0)/Inputs!$C$40)+0.2*SIN(2*PI()*((Model_Data!A182)+(0))/(0.5*(Inputs!$C$39+Inputs!$C$40))))+Inputs!$C$38*SIN(2*PI()*(Model_Data!A182)/Inputs!$C$39)*SIN(2*PI()*(0)/Inputs!$C$40)+-Inputs!$C$41*EXP(-(((0)-Inputs!$C$43)^2)/(2*Inputs!$C$44^2))*EXP(-(((Model_Data!A182)-Inputs!$C$42)^2)/(2*Inputs!$C$45^2))+Inputs!$C$48*(0.70*(0.45*SIN(2*PI()*(((Model_Data!A182)/Inputs!$C$49)+Inputs!$C$47*0.137))+0.35*COS(2*PI()*(((0)/Inputs!$C$50)+Inputs!$C$47*0.173))+0.20*SIN(2*PI()*(((Model_Data!A182)+(0))/(0.5*(Inputs!$C$49+Inputs!$C$50))+Inputs!$C$47*0.097)))+0.30*(2*((SIN(((Model_Data!A182)*12.9898+(0)*78.233+Inputs!$C$47*37.719))*43758.5453)-INT((SIN(((Model_Data!A182)*12.9898+(0)*78.233+Inputs!$C$47*37.719))*43758.5453)))-1))))/1000))*1000/Inputs!$C$12)-((SQRT((Model_Data!A182)^2+Inputs!$C$6^2+Inputs!$C$5^2)-Inputs!$C$5)*1000/Inputs!$C$12)))</x:f>
        <x:v>0.003400606693617192</x:v>
      </x:c>
      <x:c r="X182" s="48" t="n">
        <x:f>0</x:f>
        <x:v>0</x:v>
      </x:c>
      <x:c r="Y182" s="49"/>
      <x:c r="Z182" s="48" t="n">
        <x:f>Model_Data!A182</x:f>
        <x:v>30</x:v>
      </x:c>
      <x:c r="AA182" s="48" t="n">
        <x:f>SQRT((Model_Data!A182)^2+Inputs!$C$6^2+((Model_Data!B182)-((Inputs!$C$51*(115*EXP(-(((Inputs!$C$6)-25)^2)/(4.5^2))+70*EXP(-(((Inputs!$C$6)+38)^2)/(7^2))*(0.55+0.45*SIN(2*PI()*(Model_Data!A182)/45))+24*SIN(2*PI()*(Inputs!$C$6)/9+(Model_Data!A182)/18)*EXP(-(((Inputs!$C$6)+5)^2)/(22^2))+18*SIN(2*PI()*(Model_Data!A182)/70))+Inputs!$C$28*EXP(-(((Model_Data!A182)-Inputs!$C$29)^2)/(2*Inputs!$C$31^2))*EXP(-(((Inputs!$C$6)-Inputs!$C$30)^2)/(2*Inputs!$C$32^2))+-Inputs!$C$33*EXP(-(((((Model_Data!A182)-Inputs!$C$34)^2)+(((Inputs!$C$6)-Inputs!$C$35)^2))/(2*Inputs!$C$36^2)))+Inputs!$C$37*(0.55*SIN(2*PI()*(Model_Data!A182)/Inputs!$C$39)+0.35*COS(2*PI()*(Inputs!$C$6)/Inputs!$C$40)+0.2*SIN(2*PI()*((Model_Data!A182)+(Inputs!$C$6))/(0.5*(Inputs!$C$39+Inputs!$C$40))))+Inputs!$C$38*SIN(2*PI()*(Model_Data!A182)/Inputs!$C$39)*SIN(2*PI()*(Inputs!$C$6)/Inputs!$C$40)+-Inputs!$C$41*EXP(-(((Inputs!$C$6)-Inputs!$C$43)^2)/(2*Inputs!$C$44^2))*EXP(-(((Model_Data!A182)-Inputs!$C$42)^2)/(2*Inputs!$C$45^2))+Inputs!$C$48*(0.70*(0.45*SIN(2*PI()*(((Model_Data!A182)/Inputs!$C$49)+Inputs!$C$47*0.137))+0.35*COS(2*PI()*(((Inputs!$C$6)/Inputs!$C$50)+Inputs!$C$47*0.173))+0.20*SIN(2*PI()*(((Model_Data!A182)+(Inputs!$C$6))/(0.5*(Inputs!$C$49+Inputs!$C$50))+Inputs!$C$47*0.097)))+0.30*(2*((SIN(((Model_Data!A182)*12.9898+(Inputs!$C$6)*78.233+Inputs!$C$47*37.719))*43758.5453)-INT((SIN(((Model_Data!A182)*12.9898+(Inputs!$C$6)*78.233+Inputs!$C$47*37.719))*43758.5453)))-1))))/1000)^2)</x:f>
        <x:v>402.63984548274215</x:v>
      </x:c>
      <x:c r="AB182" s="48" t="n">
        <x:f>1000*(AA183-AA181)/(Z183-Z181)*Inputs!$C$11</x:f>
        <x:v>657.1472451198588</x:v>
      </x:c>
      <x:c r="AC182" s="48" t="n">
        <x:f>-2*AB182/Inputs!$C$13</x:f>
        <x:v>-262.8588980479435</x:v>
      </x:c>
      <x:c r="AD182" s="48" t="n">
        <x:f>-2*AB182/Inputs!$C$14</x:f>
        <x:v>-39.46830301020173</x:v>
      </x:c>
    </x:row>
    <x:row r="183">
      <x:c r="A183" s="48" t="n">
        <x:f>Model_Data!A183</x:f>
        <x:v>30.5</x:v>
      </x:c>
      <x:c r="B183" s="48" t="n">
        <x:f>Model_Data!F183</x:f>
        <x:v>1086.7340878249845</x:v>
      </x:c>
      <x:c r="C183" s="48" t="n">
        <x:f>(((SQRT((Model_Data!A183)^2+Inputs!$C$6^2+((Model_Data!B183)-((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(0.45*SIN(2*PI()*(((Model_Data!A183)/Inputs!$C$49)+Inputs!$C$47*0.137))+0.35*COS(2*PI()*(((Inputs!$C$6)/Inputs!$C$50)+Inputs!$C$47*0.173))+0.20*SIN(2*PI()*(((Model_Data!A183)+(Inputs!$C$6))/(0.5*(Inputs!$C$49+Inputs!$C$50))+Inputs!$C$47*0.097)))+0.30*(2*((SIN(((Model_Data!A183)*12.9898+(Inputs!$C$6)*78.233+Inputs!$C$47*37.719))*43758.5453)-INT((SIN(((Model_Data!A183)*12.9898+(Inputs!$C$6)*78.233+Inputs!$C$47*37.719))*43758.5453)))-1))))/1000)^2))-(((Model_Data!B183)-((Inputs!$C$51*(115*EXP(-(((0)-25)^2)/(4.5^2))+70*EXP(-(((0)+38)^2)/(7^2))*(0.55+0.45*SIN(2*PI()*(Model_Data!A183)/45))+24*SIN(2*PI()*(0)/9+(Model_Data!A183)/18)*EXP(-(((0)+5)^2)/(22^2))+18*SIN(2*PI()*(Model_Data!A183)/70))+Inputs!$C$28*EXP(-(((Model_Data!A183)-Inputs!$C$29)^2)/(2*Inputs!$C$31^2))*EXP(-(((0)-Inputs!$C$30)^2)/(2*Inputs!$C$32^2))+-Inputs!$C$33*EXP(-(((((Model_Data!A183)-Inputs!$C$34)^2)+(((0)-Inputs!$C$35)^2))/(2*Inputs!$C$36^2)))+Inputs!$C$37*(0.55*SIN(2*PI()*(Model_Data!A183)/Inputs!$C$39)+0.35*COS(2*PI()*(0)/Inputs!$C$40)+0.2*SIN(2*PI()*((Model_Data!A183)+(0))/(0.5*(Inputs!$C$39+Inputs!$C$40))))+Inputs!$C$38*SIN(2*PI()*(Model_Data!A183)/Inputs!$C$39)*SIN(2*PI()*(0)/Inputs!$C$40)+-Inputs!$C$41*EXP(-(((0)-Inputs!$C$43)^2)/(2*Inputs!$C$44^2))*EXP(-(((Model_Data!A183)-Inputs!$C$42)^2)/(2*Inputs!$C$45^2))+Inputs!$C$48*(0.70*(0.45*SIN(2*PI()*(((Model_Data!A183)/Inputs!$C$49)+Inputs!$C$47*0.137))+0.35*COS(2*PI()*(((0)/Inputs!$C$50)+Inputs!$C$47*0.173))+0.20*SIN(2*PI()*(((Model_Data!A183)+(0))/(0.5*(Inputs!$C$49+Inputs!$C$50))+Inputs!$C$47*0.097)))+0.30*(2*((SIN(((Model_Data!A183)*12.9898+(0)*78.233+Inputs!$C$47*37.719))*43758.5453)-INT((SIN(((Model_Data!A183)*12.9898+(0)*78.233+Inputs!$C$47*37.719))*43758.5453)))-1))))/1000)))*1000/Inputs!$C$12)</x:f>
        <x:v>954.9651923180775</x:v>
      </x:c>
      <x:c r="D183" s="49"/>
      <x:c r="E183" s="48" t="n">
        <x:f>Model_Data!A183</x:f>
        <x:v>30.5</x:v>
      </x:c>
      <x:c r="F183" s="48" t="n">
        <x:f>(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(0.45*SIN(2*PI()*(((Model_Data!A183)/Inputs!$C$49)+Inputs!$C$47*0.137))+0.35*COS(2*PI()*(((Inputs!$C$6)/Inputs!$C$50)+Inputs!$C$47*0.173))+0.20*SIN(2*PI()*(((Model_Data!A183)+(Inputs!$C$6))/(0.5*(Inputs!$C$49+Inputs!$C$50))+Inputs!$C$47*0.097)))+0.30*(2*((SIN(((Model_Data!A183)*12.9898+(Inputs!$C$6)*78.233+Inputs!$C$47*37.719))*43758.5453)-INT((SIN(((Model_Data!A183)*12.9898+(Inputs!$C$6)*78.233+Inputs!$C$47*37.719))*43758.5453)))-1)))</x:f>
        <x:v>239.98613946224492</x:v>
      </x:c>
      <x:c r="G183" s="48" t="n">
        <x:f>(Inputs!$C$51*(115*EXP(-(((0)-25)^2)/(4.5^2))+70*EXP(-(((0)+38)^2)/(7^2))*(0.55+0.45*SIN(2*PI()*(Model_Data!A183)/45))+24*SIN(2*PI()*(0)/9+(Model_Data!A183)/18)*EXP(-(((0)+5)^2)/(22^2))+18*SIN(2*PI()*(Model_Data!A183)/70))+Inputs!$C$28*EXP(-(((Model_Data!A183)-Inputs!$C$29)^2)/(2*Inputs!$C$31^2))*EXP(-(((0)-Inputs!$C$30)^2)/(2*Inputs!$C$32^2))+-Inputs!$C$33*EXP(-(((((Model_Data!A183)-Inputs!$C$34)^2)+(((0)-Inputs!$C$35)^2))/(2*Inputs!$C$36^2)))+Inputs!$C$37*(0.55*SIN(2*PI()*(Model_Data!A183)/Inputs!$C$39)+0.35*COS(2*PI()*(0)/Inputs!$C$40)+0.2*SIN(2*PI()*((Model_Data!A183)+(0))/(0.5*(Inputs!$C$39+Inputs!$C$40))))+Inputs!$C$38*SIN(2*PI()*(Model_Data!A183)/Inputs!$C$39)*SIN(2*PI()*(0)/Inputs!$C$40)+-Inputs!$C$41*EXP(-(((0)-Inputs!$C$43)^2)/(2*Inputs!$C$44^2))*EXP(-(((Model_Data!A183)-Inputs!$C$42)^2)/(2*Inputs!$C$45^2))+Inputs!$C$48*(0.70*(0.45*SIN(2*PI()*(((Model_Data!A183)/Inputs!$C$49)+Inputs!$C$47*0.137))+0.35*COS(2*PI()*(((0)/Inputs!$C$50)+Inputs!$C$47*0.173))+0.20*SIN(2*PI()*(((Model_Data!A183)+(0))/(0.5*(Inputs!$C$49+Inputs!$C$50))+Inputs!$C$47*0.097)))+0.30*(2*((SIN(((Model_Data!A183)*12.9898+(0)*78.233+Inputs!$C$47*37.719))*43758.5453)-INT((SIN(((Model_Data!A183)*12.9898+(0)*78.233+Inputs!$C$47*37.719))*43758.5453)))-1)))</x:f>
        <x:v>4.284803604386864</x:v>
      </x:c>
      <x:c r="H183" s="49"/>
      <x:c r="I183" s="48" t="n">
        <x:f>Model_Data!A183</x:f>
        <x:v>30.5</x:v>
      </x:c>
      <x:c r="J183" s="48" t="n">
        <x:f>((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(0.45*SIN(2*PI()*(((Model_Data!A183)/Inputs!$C$49)+Inputs!$C$47*0.137))+0.35*COS(2*PI()*(((Inputs!$C$6)/Inputs!$C$50)+Inputs!$C$47*0.173))+0.20*SIN(2*PI()*(((Model_Data!A183)+(Inputs!$C$6))/(0.5*(Inputs!$C$49+Inputs!$C$50))+Inputs!$C$47*0.097)))+0.30*(2*((SIN(((Model_Data!A183)*12.9898+(Inputs!$C$6)*78.233+Inputs!$C$47*37.719))*43758.5453)-INT((SIN(((Model_Data!A183)*12.9898+(Inputs!$C$6)*78.233+Inputs!$C$47*37.719))*43758.5453)))-1))))-((Inputs!$C$51*(115*EXP(-(((0)-25)^2)/(4.5^2))+70*EXP(-(((0)+38)^2)/(7^2))*(0.55+0.45*SIN(2*PI()*(Model_Data!A183)/45))+24*SIN(2*PI()*(0)/9+(Model_Data!A183)/18)*EXP(-(((0)+5)^2)/(22^2))+18*SIN(2*PI()*(Model_Data!A183)/70))+Inputs!$C$28*EXP(-(((Model_Data!A183)-Inputs!$C$29)^2)/(2*Inputs!$C$31^2))*EXP(-(((0)-Inputs!$C$30)^2)/(2*Inputs!$C$32^2))+-Inputs!$C$33*EXP(-(((((Model_Data!A183)-Inputs!$C$34)^2)+(((0)-Inputs!$C$35)^2))/(2*Inputs!$C$36^2)))+Inputs!$C$37*(0.55*SIN(2*PI()*(Model_Data!A183)/Inputs!$C$39)+0.35*COS(2*PI()*(0)/Inputs!$C$40)+0.2*SIN(2*PI()*((Model_Data!A183)+(0))/(0.5*(Inputs!$C$39+Inputs!$C$40))))+Inputs!$C$38*SIN(2*PI()*(Model_Data!A183)/Inputs!$C$39)*SIN(2*PI()*(0)/Inputs!$C$40)+-Inputs!$C$41*EXP(-(((0)-Inputs!$C$43)^2)/(2*Inputs!$C$44^2))*EXP(-(((Model_Data!A183)-Inputs!$C$42)^2)/(2*Inputs!$C$45^2))+Inputs!$C$48*(0.70*(0.45*SIN(2*PI()*(((Model_Data!A183)/Inputs!$C$49)+Inputs!$C$47*0.137))+0.35*COS(2*PI()*(((0)/Inputs!$C$50)+Inputs!$C$47*0.173))+0.20*SIN(2*PI()*(((Model_Data!A183)+(0))/(0.5*(Inputs!$C$49+Inputs!$C$50))+Inputs!$C$47*0.097)))+0.30*(2*((SIN(((Model_Data!A183)*12.9898+(0)*78.233+Inputs!$C$47*37.719))*43758.5453)-INT((SIN(((Model_Data!A183)*12.9898+(0)*78.233+Inputs!$C$47*37.719))*43758.5453)))-1))))</x:f>
        <x:v>235.70133585785806</x:v>
      </x:c>
      <x:c r="K183" s="48" t="n">
        <x:f>-((((SQRT((Model_Data!A183)^2+Inputs!$C$6^2+((Model_Data!B183)-((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(0.45*SIN(2*PI()*(((Model_Data!A183)/Inputs!$C$49)+Inputs!$C$47*0.137))+0.35*COS(2*PI()*(((Inputs!$C$6)/Inputs!$C$50)+Inputs!$C$47*0.173))+0.20*SIN(2*PI()*(((Model_Data!A183)+(Inputs!$C$6))/(0.5*(Inputs!$C$49+Inputs!$C$50))+Inputs!$C$47*0.097)))+0.30*(2*((SIN(((Model_Data!A183)*12.9898+(Inputs!$C$6)*78.233+Inputs!$C$47*37.719))*43758.5453)-INT((SIN(((Model_Data!A183)*12.9898+(Inputs!$C$6)*78.233+Inputs!$C$47*37.719))*43758.5453)))-1))))/1000)^2))-(((Model_Data!B183)-((Inputs!$C$51*(115*EXP(-(((0)-25)^2)/(4.5^2))+70*EXP(-(((0)+38)^2)/(7^2))*(0.55+0.45*SIN(2*PI()*(Model_Data!A183)/45))+24*SIN(2*PI()*(0)/9+(Model_Data!A183)/18)*EXP(-(((0)+5)^2)/(22^2))+18*SIN(2*PI()*(Model_Data!A183)/70))+Inputs!$C$28*EXP(-(((Model_Data!A183)-Inputs!$C$29)^2)/(2*Inputs!$C$31^2))*EXP(-(((0)-Inputs!$C$30)^2)/(2*Inputs!$C$32^2))+-Inputs!$C$33*EXP(-(((((Model_Data!A183)-Inputs!$C$34)^2)+(((0)-Inputs!$C$35)^2))/(2*Inputs!$C$36^2)))+Inputs!$C$37*(0.55*SIN(2*PI()*(Model_Data!A183)/Inputs!$C$39)+0.35*COS(2*PI()*(0)/Inputs!$C$40)+0.2*SIN(2*PI()*((Model_Data!A183)+(0))/(0.5*(Inputs!$C$39+Inputs!$C$40))))+Inputs!$C$38*SIN(2*PI()*(Model_Data!A183)/Inputs!$C$39)*SIN(2*PI()*(0)/Inputs!$C$40)+-Inputs!$C$41*EXP(-(((0)-Inputs!$C$43)^2)/(2*Inputs!$C$44^2))*EXP(-(((Model_Data!A183)-Inputs!$C$42)^2)/(2*Inputs!$C$45^2))+Inputs!$C$48*(0.70*(0.45*SIN(2*PI()*(((Model_Data!A183)/Inputs!$C$49)+Inputs!$C$47*0.137))+0.35*COS(2*PI()*(((0)/Inputs!$C$50)+Inputs!$C$47*0.173))+0.20*SIN(2*PI()*(((Model_Data!A183)+(0))/(0.5*(Inputs!$C$49+Inputs!$C$50))+Inputs!$C$47*0.097)))+0.30*(2*((SIN(((Model_Data!A183)*12.9898+(0)*78.233+Inputs!$C$47*37.719))*43758.5453)-INT((SIN(((Model_Data!A183)*12.9898+(0)*78.233+Inputs!$C$47*37.719))*43758.5453)))-1))))/1000)))*1000/Inputs!$C$12)-Model_Data!F183)</x:f>
        <x:v>131.76889550690703</x:v>
      </x:c>
      <x:c r="L183" s="49"/>
      <x:c r="M183" s="48" t="n">
        <x:f>Model_Data!A183</x:f>
        <x:v>30.5</x:v>
      </x:c>
      <x:c r="N183" s="48" t="n">
        <x:f>Model_Data!P183</x:f>
        <x:v>-229.02530143144403</x:v>
      </x:c>
      <x:c r="O183" s="48" t="n">
        <x:f>AC183</x:f>
        <x:v>-259.0351351218487</x:v>
      </x:c>
      <x:c r="P183" s="48" t="n">
        <x:f>Model_Data!Q183</x:f>
        <x:v>-34.38818339811473</x:v>
      </x:c>
      <x:c r="Q183" s="48" t="n">
        <x:f>AD183</x:f>
        <x:v>-38.89416443271002</x:v>
      </x:c>
      <x:c r="R183" s="49"/>
      <x:c r="S183" s="48" t="n">
        <x:f>Model_Data!A183</x:f>
        <x:v>30.5</x:v>
      </x:c>
      <x:c r="T183" s="48" t="n">
        <x:f>Model_Data!B183-Inputs!$C$5</x:f>
        <x:v>1.0336111111110995</x:v>
      </x:c>
      <x:c r="U183" s="49"/>
      <x:c r="V183" s="48" t="n">
        <x:f>Model_Data!A183</x:f>
        <x:v>30.5</x:v>
      </x:c>
      <x:c r="W183" s="48" t="n">
        <x:f>(-((((SQRT((Model_Data!A183)^2+Inputs!$C$6^2+((Model_Data!B183)-((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(0.45*SIN(2*PI()*(((Model_Data!A183)/Inputs!$C$49)+Inputs!$C$47*0.137))+0.35*COS(2*PI()*(((Inputs!$C$6)/Inputs!$C$50)+Inputs!$C$47*0.173))+0.20*SIN(2*PI()*(((Model_Data!A183)+(Inputs!$C$6))/(0.5*(Inputs!$C$49+Inputs!$C$50))+Inputs!$C$47*0.097)))+0.30*(2*((SIN(((Model_Data!A183)*12.9898+(Inputs!$C$6)*78.233+Inputs!$C$47*37.719))*43758.5453)-INT((SIN(((Model_Data!A183)*12.9898+(Inputs!$C$6)*78.233+Inputs!$C$47*37.719))*43758.5453)))-1))))/1000)^2))-(((Model_Data!B183)-((Inputs!$C$51*(115*EXP(-(((0)-25)^2)/(4.5^2))+70*EXP(-(((0)+38)^2)/(7^2))*(0.55+0.45*SIN(2*PI()*(Model_Data!A183)/45))+24*SIN(2*PI()*(0)/9+(Model_Data!A183)/18)*EXP(-(((0)+5)^2)/(22^2))+18*SIN(2*PI()*(Model_Data!A183)/70))+Inputs!$C$28*EXP(-(((Model_Data!A183)-Inputs!$C$29)^2)/(2*Inputs!$C$31^2))*EXP(-(((0)-Inputs!$C$30)^2)/(2*Inputs!$C$32^2))+-Inputs!$C$33*EXP(-(((((Model_Data!A183)-Inputs!$C$34)^2)+(((0)-Inputs!$C$35)^2))/(2*Inputs!$C$36^2)))+Inputs!$C$37*(0.55*SIN(2*PI()*(Model_Data!A183)/Inputs!$C$39)+0.35*COS(2*PI()*(0)/Inputs!$C$40)+0.2*SIN(2*PI()*((Model_Data!A183)+(0))/(0.5*(Inputs!$C$39+Inputs!$C$40))))+Inputs!$C$38*SIN(2*PI()*(Model_Data!A183)/Inputs!$C$39)*SIN(2*PI()*(0)/Inputs!$C$40)+-Inputs!$C$41*EXP(-(((0)-Inputs!$C$43)^2)/(2*Inputs!$C$44^2))*EXP(-(((Model_Data!A183)-Inputs!$C$42)^2)/(2*Inputs!$C$45^2))+Inputs!$C$48*(0.70*(0.45*SIN(2*PI()*(((Model_Data!A183)/Inputs!$C$49)+Inputs!$C$47*0.137))+0.35*COS(2*PI()*(((0)/Inputs!$C$50)+Inputs!$C$47*0.173))+0.20*SIN(2*PI()*(((Model_Data!A183)+(0))/(0.5*(Inputs!$C$49+Inputs!$C$50))+Inputs!$C$47*0.097)))+0.30*(2*((SIN(((Model_Data!A183)*12.9898+(0)*78.233+Inputs!$C$47*37.719))*43758.5453)-INT((SIN(((Model_Data!A183)*12.9898+(0)*78.233+Inputs!$C$47*37.719))*43758.5453)))-1))))/1000)))*1000/Inputs!$C$12)-Model_Data!F183))-(-(((SQRT((Model_Data!A183)^2+Inputs!$C$6^2+(Inputs!$C$5-((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(0.45*SIN(2*PI()*(((Model_Data!A183)/Inputs!$C$49)+Inputs!$C$47*0.137))+0.35*COS(2*PI()*(((Inputs!$C$6)/Inputs!$C$50)+Inputs!$C$47*0.173))+0.20*SIN(2*PI()*(((Model_Data!A183)+(Inputs!$C$6))/(0.5*(Inputs!$C$49+Inputs!$C$50))+Inputs!$C$47*0.097)))+0.30*(2*((SIN(((Model_Data!A183)*12.9898+(Inputs!$C$6)*78.233+Inputs!$C$47*37.719))*43758.5453)-INT((SIN(((Model_Data!A183)*12.9898+(Inputs!$C$6)*78.233+Inputs!$C$47*37.719))*43758.5453)))-1))))/1000)^2)-(Inputs!$C$5-((Inputs!$C$51*(115*EXP(-(((0)-25)^2)/(4.5^2))+70*EXP(-(((0)+38)^2)/(7^2))*(0.55+0.45*SIN(2*PI()*(Model_Data!A183)/45))+24*SIN(2*PI()*(0)/9+(Model_Data!A183)/18)*EXP(-(((0)+5)^2)/(22^2))+18*SIN(2*PI()*(Model_Data!A183)/70))+Inputs!$C$28*EXP(-(((Model_Data!A183)-Inputs!$C$29)^2)/(2*Inputs!$C$31^2))*EXP(-(((0)-Inputs!$C$30)^2)/(2*Inputs!$C$32^2))+-Inputs!$C$33*EXP(-(((((Model_Data!A183)-Inputs!$C$34)^2)+(((0)-Inputs!$C$35)^2))/(2*Inputs!$C$36^2)))+Inputs!$C$37*(0.55*SIN(2*PI()*(Model_Data!A183)/Inputs!$C$39)+0.35*COS(2*PI()*(0)/Inputs!$C$40)+0.2*SIN(2*PI()*((Model_Data!A183)+(0))/(0.5*(Inputs!$C$39+Inputs!$C$40))))+Inputs!$C$38*SIN(2*PI()*(Model_Data!A183)/Inputs!$C$39)*SIN(2*PI()*(0)/Inputs!$C$40)+-Inputs!$C$41*EXP(-(((0)-Inputs!$C$43)^2)/(2*Inputs!$C$44^2))*EXP(-(((Model_Data!A183)-Inputs!$C$42)^2)/(2*Inputs!$C$45^2))+Inputs!$C$48*(0.70*(0.45*SIN(2*PI()*(((Model_Data!A183)/Inputs!$C$49)+Inputs!$C$47*0.137))+0.35*COS(2*PI()*(((0)/Inputs!$C$50)+Inputs!$C$47*0.173))+0.20*SIN(2*PI()*(((Model_Data!A183)+(0))/(0.5*(Inputs!$C$49+Inputs!$C$50))+Inputs!$C$47*0.097)))+0.30*(2*((SIN(((Model_Data!A183)*12.9898+(0)*78.233+Inputs!$C$47*37.719))*43758.5453)-INT((SIN(((Model_Data!A183)*12.9898+(0)*78.233+Inputs!$C$47*37.719))*43758.5453)))-1))))/1000))*1000/Inputs!$C$12)-((SQRT((Model_Data!A183)^2+Inputs!$C$6^2+Inputs!$C$5^2)-Inputs!$C$5)*1000/Inputs!$C$12)))</x:f>
        <x:v>0.003327851811832261</x:v>
      </x:c>
      <x:c r="X183" s="48" t="n">
        <x:f>0</x:f>
        <x:v>0</x:v>
      </x:c>
      <x:c r="Y183" s="49"/>
      <x:c r="Z183" s="48" t="n">
        <x:f>Model_Data!A183</x:f>
        <x:v>30.5</x:v>
      </x:c>
      <x:c r="AA183" s="48" t="n">
        <x:f>SQRT((Model_Data!A183)^2+Inputs!$C$6^2+((Model_Data!B183)-((Inputs!$C$51*(115*EXP(-(((Inputs!$C$6)-25)^2)/(4.5^2))+70*EXP(-(((Inputs!$C$6)+38)^2)/(7^2))*(0.55+0.45*SIN(2*PI()*(Model_Data!A183)/45))+24*SIN(2*PI()*(Inputs!$C$6)/9+(Model_Data!A183)/18)*EXP(-(((Inputs!$C$6)+5)^2)/(22^2))+18*SIN(2*PI()*(Model_Data!A183)/70))+Inputs!$C$28*EXP(-(((Model_Data!A183)-Inputs!$C$29)^2)/(2*Inputs!$C$31^2))*EXP(-(((Inputs!$C$6)-Inputs!$C$30)^2)/(2*Inputs!$C$32^2))+-Inputs!$C$33*EXP(-(((((Model_Data!A183)-Inputs!$C$34)^2)+(((Inputs!$C$6)-Inputs!$C$35)^2))/(2*Inputs!$C$36^2)))+Inputs!$C$37*(0.55*SIN(2*PI()*(Model_Data!A183)/Inputs!$C$39)+0.35*COS(2*PI()*(Inputs!$C$6)/Inputs!$C$40)+0.2*SIN(2*PI()*((Model_Data!A183)+(Inputs!$C$6))/(0.5*(Inputs!$C$39+Inputs!$C$40))))+Inputs!$C$38*SIN(2*PI()*(Model_Data!A183)/Inputs!$C$39)*SIN(2*PI()*(Inputs!$C$6)/Inputs!$C$40)+-Inputs!$C$41*EXP(-(((Inputs!$C$6)-Inputs!$C$43)^2)/(2*Inputs!$C$44^2))*EXP(-(((Model_Data!A183)-Inputs!$C$42)^2)/(2*Inputs!$C$45^2))+Inputs!$C$48*(0.70*(0.45*SIN(2*PI()*(((Model_Data!A183)/Inputs!$C$49)+Inputs!$C$47*0.137))+0.35*COS(2*PI()*(((Inputs!$C$6)/Inputs!$C$50)+Inputs!$C$47*0.173))+0.20*SIN(2*PI()*(((Model_Data!A183)+(Inputs!$C$6))/(0.5*(Inputs!$C$49+Inputs!$C$50))+Inputs!$C$47*0.097)))+0.30*(2*((SIN(((Model_Data!A183)*12.9898+(Inputs!$C$6)*78.233+Inputs!$C$47*37.719))*43758.5453)-INT((SIN(((Model_Data!A183)*12.9898+(Inputs!$C$6)*78.233+Inputs!$C$47*37.719))*43758.5453)))-1))))/1000)^2)</x:f>
        <x:v>402.7291643498329</x:v>
      </x:c>
      <x:c r="AB183" s="48" t="n">
        <x:f>1000*(AA184-AA182)/(Z184-Z182)*Inputs!$C$11</x:f>
        <x:v>647.5878378046218</x:v>
      </x:c>
      <x:c r="AC183" s="48" t="n">
        <x:f>-2*AB183/Inputs!$C$13</x:f>
        <x:v>-259.0351351218487</x:v>
      </x:c>
      <x:c r="AD183" s="48" t="n">
        <x:f>-2*AB183/Inputs!$C$14</x:f>
        <x:v>-38.89416443271002</x:v>
      </x:c>
    </x:row>
    <x:row r="184">
      <x:c r="A184" s="48" t="n">
        <x:f>Model_Data!A184</x:f>
        <x:v>31</x:v>
      </x:c>
      <x:c r="B184" s="48" t="n">
        <x:f>Model_Data!F184</x:f>
        <x:v>1108.0741842832733</x:v>
      </x:c>
      <x:c r="C184" s="48" t="n">
        <x:f>(((SQRT((Model_Data!A184)^2+Inputs!$C$6^2+((Model_Data!B184)-((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(0.45*SIN(2*PI()*(((Model_Data!A184)/Inputs!$C$49)+Inputs!$C$47*0.137))+0.35*COS(2*PI()*(((Inputs!$C$6)/Inputs!$C$50)+Inputs!$C$47*0.173))+0.20*SIN(2*PI()*(((Model_Data!A184)+(Inputs!$C$6))/(0.5*(Inputs!$C$49+Inputs!$C$50))+Inputs!$C$47*0.097)))+0.30*(2*((SIN(((Model_Data!A184)*12.9898+(Inputs!$C$6)*78.233+Inputs!$C$47*37.719))*43758.5453)-INT((SIN(((Model_Data!A184)*12.9898+(Inputs!$C$6)*78.233+Inputs!$C$47*37.719))*43758.5453)))-1))))/1000)^2))-(((Model_Data!B184)-((Inputs!$C$51*(115*EXP(-(((0)-25)^2)/(4.5^2))+70*EXP(-(((0)+38)^2)/(7^2))*(0.55+0.45*SIN(2*PI()*(Model_Data!A184)/45))+24*SIN(2*PI()*(0)/9+(Model_Data!A184)/18)*EXP(-(((0)+5)^2)/(22^2))+18*SIN(2*PI()*(Model_Data!A184)/70))+Inputs!$C$28*EXP(-(((Model_Data!A184)-Inputs!$C$29)^2)/(2*Inputs!$C$31^2))*EXP(-(((0)-Inputs!$C$30)^2)/(2*Inputs!$C$32^2))+-Inputs!$C$33*EXP(-(((((Model_Data!A184)-Inputs!$C$34)^2)+(((0)-Inputs!$C$35)^2))/(2*Inputs!$C$36^2)))+Inputs!$C$37*(0.55*SIN(2*PI()*(Model_Data!A184)/Inputs!$C$39)+0.35*COS(2*PI()*(0)/Inputs!$C$40)+0.2*SIN(2*PI()*((Model_Data!A184)+(0))/(0.5*(Inputs!$C$39+Inputs!$C$40))))+Inputs!$C$38*SIN(2*PI()*(Model_Data!A184)/Inputs!$C$39)*SIN(2*PI()*(0)/Inputs!$C$40)+-Inputs!$C$41*EXP(-(((0)-Inputs!$C$43)^2)/(2*Inputs!$C$44^2))*EXP(-(((Model_Data!A184)-Inputs!$C$42)^2)/(2*Inputs!$C$45^2))+Inputs!$C$48*(0.70*(0.45*SIN(2*PI()*(((Model_Data!A184)/Inputs!$C$49)+Inputs!$C$47*0.137))+0.35*COS(2*PI()*(((0)/Inputs!$C$50)+Inputs!$C$47*0.173))+0.20*SIN(2*PI()*(((Model_Data!A184)+(0))/(0.5*(Inputs!$C$49+Inputs!$C$50))+Inputs!$C$47*0.097)))+0.30*(2*((SIN(((Model_Data!A184)*12.9898+(0)*78.233+Inputs!$C$47*37.719))*43758.5453)-INT((SIN(((Model_Data!A184)*12.9898+(0)*78.233+Inputs!$C$47*37.719))*43758.5453)))-1))))/1000)))*1000/Inputs!$C$12)</x:f>
        <x:v>984.6387603802673</x:v>
      </x:c>
      <x:c r="D184" s="49"/>
      <x:c r="E184" s="48" t="n">
        <x:f>Model_Data!A184</x:f>
        <x:v>31</x:v>
      </x:c>
      <x:c r="F184" s="48" t="n">
        <x:f>(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(0.45*SIN(2*PI()*(((Model_Data!A184)/Inputs!$C$49)+Inputs!$C$47*0.137))+0.35*COS(2*PI()*(((Inputs!$C$6)/Inputs!$C$50)+Inputs!$C$47*0.173))+0.20*SIN(2*PI()*(((Model_Data!A184)+(Inputs!$C$6))/(0.5*(Inputs!$C$49+Inputs!$C$50))+Inputs!$C$47*0.097)))+0.30*(2*((SIN(((Model_Data!A184)*12.9898+(Inputs!$C$6)*78.233+Inputs!$C$47*37.719))*43758.5453)-INT((SIN(((Model_Data!A184)*12.9898+(Inputs!$C$6)*78.233+Inputs!$C$47*37.719))*43758.5453)))-1)))</x:f>
        <x:v>239.58052305996605</x:v>
      </x:c>
      <x:c r="G184" s="48" t="n">
        <x:f>(Inputs!$C$51*(115*EXP(-(((0)-25)^2)/(4.5^2))+70*EXP(-(((0)+38)^2)/(7^2))*(0.55+0.45*SIN(2*PI()*(Model_Data!A184)/45))+24*SIN(2*PI()*(0)/9+(Model_Data!A184)/18)*EXP(-(((0)+5)^2)/(22^2))+18*SIN(2*PI()*(Model_Data!A184)/70))+Inputs!$C$28*EXP(-(((Model_Data!A184)-Inputs!$C$29)^2)/(2*Inputs!$C$31^2))*EXP(-(((0)-Inputs!$C$30)^2)/(2*Inputs!$C$32^2))+-Inputs!$C$33*EXP(-(((((Model_Data!A184)-Inputs!$C$34)^2)+(((0)-Inputs!$C$35)^2))/(2*Inputs!$C$36^2)))+Inputs!$C$37*(0.55*SIN(2*PI()*(Model_Data!A184)/Inputs!$C$39)+0.35*COS(2*PI()*(0)/Inputs!$C$40)+0.2*SIN(2*PI()*((Model_Data!A184)+(0))/(0.5*(Inputs!$C$39+Inputs!$C$40))))+Inputs!$C$38*SIN(2*PI()*(Model_Data!A184)/Inputs!$C$39)*SIN(2*PI()*(0)/Inputs!$C$40)+-Inputs!$C$41*EXP(-(((0)-Inputs!$C$43)^2)/(2*Inputs!$C$44^2))*EXP(-(((Model_Data!A184)-Inputs!$C$42)^2)/(2*Inputs!$C$45^2))+Inputs!$C$48*(0.70*(0.45*SIN(2*PI()*(((Model_Data!A184)/Inputs!$C$49)+Inputs!$C$47*0.137))+0.35*COS(2*PI()*(((0)/Inputs!$C$50)+Inputs!$C$47*0.173))+0.20*SIN(2*PI()*(((Model_Data!A184)+(0))/(0.5*(Inputs!$C$49+Inputs!$C$50))+Inputs!$C$47*0.097)))+0.30*(2*((SIN(((Model_Data!A184)*12.9898+(0)*78.233+Inputs!$C$47*37.719))*43758.5453)-INT((SIN(((Model_Data!A184)*12.9898+(0)*78.233+Inputs!$C$47*37.719))*43758.5453)))-1)))</x:f>
        <x:v>18.692329061381155</x:v>
      </x:c>
      <x:c r="H184" s="49"/>
      <x:c r="I184" s="48" t="n">
        <x:f>Model_Data!A184</x:f>
        <x:v>31</x:v>
      </x:c>
      <x:c r="J184" s="48" t="n">
        <x:f>((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(0.45*SIN(2*PI()*(((Model_Data!A184)/Inputs!$C$49)+Inputs!$C$47*0.137))+0.35*COS(2*PI()*(((Inputs!$C$6)/Inputs!$C$50)+Inputs!$C$47*0.173))+0.20*SIN(2*PI()*(((Model_Data!A184)+(Inputs!$C$6))/(0.5*(Inputs!$C$49+Inputs!$C$50))+Inputs!$C$47*0.097)))+0.30*(2*((SIN(((Model_Data!A184)*12.9898+(Inputs!$C$6)*78.233+Inputs!$C$47*37.719))*43758.5453)-INT((SIN(((Model_Data!A184)*12.9898+(Inputs!$C$6)*78.233+Inputs!$C$47*37.719))*43758.5453)))-1))))-((Inputs!$C$51*(115*EXP(-(((0)-25)^2)/(4.5^2))+70*EXP(-(((0)+38)^2)/(7^2))*(0.55+0.45*SIN(2*PI()*(Model_Data!A184)/45))+24*SIN(2*PI()*(0)/9+(Model_Data!A184)/18)*EXP(-(((0)+5)^2)/(22^2))+18*SIN(2*PI()*(Model_Data!A184)/70))+Inputs!$C$28*EXP(-(((Model_Data!A184)-Inputs!$C$29)^2)/(2*Inputs!$C$31^2))*EXP(-(((0)-Inputs!$C$30)^2)/(2*Inputs!$C$32^2))+-Inputs!$C$33*EXP(-(((((Model_Data!A184)-Inputs!$C$34)^2)+(((0)-Inputs!$C$35)^2))/(2*Inputs!$C$36^2)))+Inputs!$C$37*(0.55*SIN(2*PI()*(Model_Data!A184)/Inputs!$C$39)+0.35*COS(2*PI()*(0)/Inputs!$C$40)+0.2*SIN(2*PI()*((Model_Data!A184)+(0))/(0.5*(Inputs!$C$39+Inputs!$C$40))))+Inputs!$C$38*SIN(2*PI()*(Model_Data!A184)/Inputs!$C$39)*SIN(2*PI()*(0)/Inputs!$C$40)+-Inputs!$C$41*EXP(-(((0)-Inputs!$C$43)^2)/(2*Inputs!$C$44^2))*EXP(-(((Model_Data!A184)-Inputs!$C$42)^2)/(2*Inputs!$C$45^2))+Inputs!$C$48*(0.70*(0.45*SIN(2*PI()*(((Model_Data!A184)/Inputs!$C$49)+Inputs!$C$47*0.137))+0.35*COS(2*PI()*(((0)/Inputs!$C$50)+Inputs!$C$47*0.173))+0.20*SIN(2*PI()*(((Model_Data!A184)+(0))/(0.5*(Inputs!$C$49+Inputs!$C$50))+Inputs!$C$47*0.097)))+0.30*(2*((SIN(((Model_Data!A184)*12.9898+(0)*78.233+Inputs!$C$47*37.719))*43758.5453)-INT((SIN(((Model_Data!A184)*12.9898+(0)*78.233+Inputs!$C$47*37.719))*43758.5453)))-1))))</x:f>
        <x:v>220.8881939985849</x:v>
      </x:c>
      <x:c r="K184" s="48" t="n">
        <x:f>-((((SQRT((Model_Data!A184)^2+Inputs!$C$6^2+((Model_Data!B184)-((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(0.45*SIN(2*PI()*(((Model_Data!A184)/Inputs!$C$49)+Inputs!$C$47*0.137))+0.35*COS(2*PI()*(((Inputs!$C$6)/Inputs!$C$50)+Inputs!$C$47*0.173))+0.20*SIN(2*PI()*(((Model_Data!A184)+(Inputs!$C$6))/(0.5*(Inputs!$C$49+Inputs!$C$50))+Inputs!$C$47*0.097)))+0.30*(2*((SIN(((Model_Data!A184)*12.9898+(Inputs!$C$6)*78.233+Inputs!$C$47*37.719))*43758.5453)-INT((SIN(((Model_Data!A184)*12.9898+(Inputs!$C$6)*78.233+Inputs!$C$47*37.719))*43758.5453)))-1))))/1000)^2))-(((Model_Data!B184)-((Inputs!$C$51*(115*EXP(-(((0)-25)^2)/(4.5^2))+70*EXP(-(((0)+38)^2)/(7^2))*(0.55+0.45*SIN(2*PI()*(Model_Data!A184)/45))+24*SIN(2*PI()*(0)/9+(Model_Data!A184)/18)*EXP(-(((0)+5)^2)/(22^2))+18*SIN(2*PI()*(Model_Data!A184)/70))+Inputs!$C$28*EXP(-(((Model_Data!A184)-Inputs!$C$29)^2)/(2*Inputs!$C$31^2))*EXP(-(((0)-Inputs!$C$30)^2)/(2*Inputs!$C$32^2))+-Inputs!$C$33*EXP(-(((((Model_Data!A184)-Inputs!$C$34)^2)+(((0)-Inputs!$C$35)^2))/(2*Inputs!$C$36^2)))+Inputs!$C$37*(0.55*SIN(2*PI()*(Model_Data!A184)/Inputs!$C$39)+0.35*COS(2*PI()*(0)/Inputs!$C$40)+0.2*SIN(2*PI()*((Model_Data!A184)+(0))/(0.5*(Inputs!$C$39+Inputs!$C$40))))+Inputs!$C$38*SIN(2*PI()*(Model_Data!A184)/Inputs!$C$39)*SIN(2*PI()*(0)/Inputs!$C$40)+-Inputs!$C$41*EXP(-(((0)-Inputs!$C$43)^2)/(2*Inputs!$C$44^2))*EXP(-(((Model_Data!A184)-Inputs!$C$42)^2)/(2*Inputs!$C$45^2))+Inputs!$C$48*(0.70*(0.45*SIN(2*PI()*(((Model_Data!A184)/Inputs!$C$49)+Inputs!$C$47*0.137))+0.35*COS(2*PI()*(((0)/Inputs!$C$50)+Inputs!$C$47*0.173))+0.20*SIN(2*PI()*(((Model_Data!A184)+(0))/(0.5*(Inputs!$C$49+Inputs!$C$50))+Inputs!$C$47*0.097)))+0.30*(2*((SIN(((Model_Data!A184)*12.9898+(0)*78.233+Inputs!$C$47*37.719))*43758.5453)-INT((SIN(((Model_Data!A184)*12.9898+(0)*78.233+Inputs!$C$47*37.719))*43758.5453)))-1))))/1000)))*1000/Inputs!$C$12)-Model_Data!F184)</x:f>
        <x:v>123.43542390300604</x:v>
      </x:c>
      <x:c r="L184" s="49"/>
      <x:c r="M184" s="48" t="n">
        <x:f>Model_Data!A184</x:f>
        <x:v>31</x:v>
      </x:c>
      <x:c r="N184" s="48" t="n">
        <x:f>Model_Data!P184</x:f>
        <x:v>-232.74748624656678</x:v>
      </x:c>
      <x:c r="O184" s="48" t="n">
        <x:f>AC184</x:f>
        <x:v>-270.1116702852232</x:v>
      </x:c>
      <x:c r="P184" s="48" t="n">
        <x:f>Model_Data!Q184</x:f>
        <x:v>-34.94707000699201</x:v>
      </x:c>
      <x:c r="Q184" s="48" t="n">
        <x:f>AD184</x:f>
        <x:v>-40.557307850634125</x:v>
      </x:c>
      <x:c r="R184" s="49"/>
      <x:c r="S184" s="48" t="n">
        <x:f>Model_Data!A184</x:f>
        <x:v>31</x:v>
      </x:c>
      <x:c r="T184" s="48" t="n">
        <x:f>Model_Data!B184-Inputs!$C$5</x:f>
        <x:v>1.067777777777792</x:v>
      </x:c>
      <x:c r="U184" s="49"/>
      <x:c r="V184" s="48" t="n">
        <x:f>Model_Data!A184</x:f>
        <x:v>31</x:v>
      </x:c>
      <x:c r="W184" s="48" t="n">
        <x:f>(-((((SQRT((Model_Data!A184)^2+Inputs!$C$6^2+((Model_Data!B184)-((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(0.45*SIN(2*PI()*(((Model_Data!A184)/Inputs!$C$49)+Inputs!$C$47*0.137))+0.35*COS(2*PI()*(((Inputs!$C$6)/Inputs!$C$50)+Inputs!$C$47*0.173))+0.20*SIN(2*PI()*(((Model_Data!A184)+(Inputs!$C$6))/(0.5*(Inputs!$C$49+Inputs!$C$50))+Inputs!$C$47*0.097)))+0.30*(2*((SIN(((Model_Data!A184)*12.9898+(Inputs!$C$6)*78.233+Inputs!$C$47*37.719))*43758.5453)-INT((SIN(((Model_Data!A184)*12.9898+(Inputs!$C$6)*78.233+Inputs!$C$47*37.719))*43758.5453)))-1))))/1000)^2))-(((Model_Data!B184)-((Inputs!$C$51*(115*EXP(-(((0)-25)^2)/(4.5^2))+70*EXP(-(((0)+38)^2)/(7^2))*(0.55+0.45*SIN(2*PI()*(Model_Data!A184)/45))+24*SIN(2*PI()*(0)/9+(Model_Data!A184)/18)*EXP(-(((0)+5)^2)/(22^2))+18*SIN(2*PI()*(Model_Data!A184)/70))+Inputs!$C$28*EXP(-(((Model_Data!A184)-Inputs!$C$29)^2)/(2*Inputs!$C$31^2))*EXP(-(((0)-Inputs!$C$30)^2)/(2*Inputs!$C$32^2))+-Inputs!$C$33*EXP(-(((((Model_Data!A184)-Inputs!$C$34)^2)+(((0)-Inputs!$C$35)^2))/(2*Inputs!$C$36^2)))+Inputs!$C$37*(0.55*SIN(2*PI()*(Model_Data!A184)/Inputs!$C$39)+0.35*COS(2*PI()*(0)/Inputs!$C$40)+0.2*SIN(2*PI()*((Model_Data!A184)+(0))/(0.5*(Inputs!$C$39+Inputs!$C$40))))+Inputs!$C$38*SIN(2*PI()*(Model_Data!A184)/Inputs!$C$39)*SIN(2*PI()*(0)/Inputs!$C$40)+-Inputs!$C$41*EXP(-(((0)-Inputs!$C$43)^2)/(2*Inputs!$C$44^2))*EXP(-(((Model_Data!A184)-Inputs!$C$42)^2)/(2*Inputs!$C$45^2))+Inputs!$C$48*(0.70*(0.45*SIN(2*PI()*(((Model_Data!A184)/Inputs!$C$49)+Inputs!$C$47*0.137))+0.35*COS(2*PI()*(((0)/Inputs!$C$50)+Inputs!$C$47*0.173))+0.20*SIN(2*PI()*(((Model_Data!A184)+(0))/(0.5*(Inputs!$C$49+Inputs!$C$50))+Inputs!$C$47*0.097)))+0.30*(2*((SIN(((Model_Data!A184)*12.9898+(0)*78.233+Inputs!$C$47*37.719))*43758.5453)-INT((SIN(((Model_Data!A184)*12.9898+(0)*78.233+Inputs!$C$47*37.719))*43758.5453)))-1))))/1000)))*1000/Inputs!$C$12)-Model_Data!F184))-(-(((SQRT((Model_Data!A184)^2+Inputs!$C$6^2+(Inputs!$C$5-((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(0.45*SIN(2*PI()*(((Model_Data!A184)/Inputs!$C$49)+Inputs!$C$47*0.137))+0.35*COS(2*PI()*(((Inputs!$C$6)/Inputs!$C$50)+Inputs!$C$47*0.173))+0.20*SIN(2*PI()*(((Model_Data!A184)+(Inputs!$C$6))/(0.5*(Inputs!$C$49+Inputs!$C$50))+Inputs!$C$47*0.097)))+0.30*(2*((SIN(((Model_Data!A184)*12.9898+(Inputs!$C$6)*78.233+Inputs!$C$47*37.719))*43758.5453)-INT((SIN(((Model_Data!A184)*12.9898+(Inputs!$C$6)*78.233+Inputs!$C$47*37.719))*43758.5453)))-1))))/1000)^2)-(Inputs!$C$5-((Inputs!$C$51*(115*EXP(-(((0)-25)^2)/(4.5^2))+70*EXP(-(((0)+38)^2)/(7^2))*(0.55+0.45*SIN(2*PI()*(Model_Data!A184)/45))+24*SIN(2*PI()*(0)/9+(Model_Data!A184)/18)*EXP(-(((0)+5)^2)/(22^2))+18*SIN(2*PI()*(Model_Data!A184)/70))+Inputs!$C$28*EXP(-(((Model_Data!A184)-Inputs!$C$29)^2)/(2*Inputs!$C$31^2))*EXP(-(((0)-Inputs!$C$30)^2)/(2*Inputs!$C$32^2))+-Inputs!$C$33*EXP(-(((((Model_Data!A184)-Inputs!$C$34)^2)+(((0)-Inputs!$C$35)^2))/(2*Inputs!$C$36^2)))+Inputs!$C$37*(0.55*SIN(2*PI()*(Model_Data!A184)/Inputs!$C$39)+0.35*COS(2*PI()*(0)/Inputs!$C$40)+0.2*SIN(2*PI()*((Model_Data!A184)+(0))/(0.5*(Inputs!$C$39+Inputs!$C$40))))+Inputs!$C$38*SIN(2*PI()*(Model_Data!A184)/Inputs!$C$39)*SIN(2*PI()*(0)/Inputs!$C$40)+-Inputs!$C$41*EXP(-(((0)-Inputs!$C$43)^2)/(2*Inputs!$C$44^2))*EXP(-(((Model_Data!A184)-Inputs!$C$42)^2)/(2*Inputs!$C$45^2))+Inputs!$C$48*(0.70*(0.45*SIN(2*PI()*(((Model_Data!A184)/Inputs!$C$49)+Inputs!$C$47*0.137))+0.35*COS(2*PI()*(((0)/Inputs!$C$50)+Inputs!$C$47*0.173))+0.20*SIN(2*PI()*(((Model_Data!A184)+(0))/(0.5*(Inputs!$C$49+Inputs!$C$50))+Inputs!$C$47*0.097)))+0.30*(2*((SIN(((Model_Data!A184)*12.9898+(0)*78.233+Inputs!$C$47*37.719))*43758.5453)-INT((SIN(((Model_Data!A184)*12.9898+(0)*78.233+Inputs!$C$47*37.719))*43758.5453)))-1))))/1000))*1000/Inputs!$C$12)-((SQRT((Model_Data!A184)^2+Inputs!$C$6^2+Inputs!$C$5^2)-Inputs!$C$5)*1000/Inputs!$C$12)))</x:f>
        <x:v>0.0034984580087211725</x:v>
      </x:c>
      <x:c r="X184" s="48" t="n">
        <x:f>0</x:f>
        <x:v>0</x:v>
      </x:c>
      <x:c r="Y184" s="49"/>
      <x:c r="Z184" s="48" t="n">
        <x:f>Model_Data!A184</x:f>
        <x:v>31</x:v>
      </x:c>
      <x:c r="AA184" s="48" t="n">
        <x:f>SQRT((Model_Data!A184)^2+Inputs!$C$6^2+((Model_Data!B184)-((Inputs!$C$51*(115*EXP(-(((Inputs!$C$6)-25)^2)/(4.5^2))+70*EXP(-(((Inputs!$C$6)+38)^2)/(7^2))*(0.55+0.45*SIN(2*PI()*(Model_Data!A184)/45))+24*SIN(2*PI()*(Inputs!$C$6)/9+(Model_Data!A184)/18)*EXP(-(((Inputs!$C$6)+5)^2)/(22^2))+18*SIN(2*PI()*(Model_Data!A184)/70))+Inputs!$C$28*EXP(-(((Model_Data!A184)-Inputs!$C$29)^2)/(2*Inputs!$C$31^2))*EXP(-(((Inputs!$C$6)-Inputs!$C$30)^2)/(2*Inputs!$C$32^2))+-Inputs!$C$33*EXP(-(((((Model_Data!A184)-Inputs!$C$34)^2)+(((Inputs!$C$6)-Inputs!$C$35)^2))/(2*Inputs!$C$36^2)))+Inputs!$C$37*(0.55*SIN(2*PI()*(Model_Data!A184)/Inputs!$C$39)+0.35*COS(2*PI()*(Inputs!$C$6)/Inputs!$C$40)+0.2*SIN(2*PI()*((Model_Data!A184)+(Inputs!$C$6))/(0.5*(Inputs!$C$39+Inputs!$C$40))))+Inputs!$C$38*SIN(2*PI()*(Model_Data!A184)/Inputs!$C$39)*SIN(2*PI()*(Inputs!$C$6)/Inputs!$C$40)+-Inputs!$C$41*EXP(-(((Inputs!$C$6)-Inputs!$C$43)^2)/(2*Inputs!$C$44^2))*EXP(-(((Model_Data!A184)-Inputs!$C$42)^2)/(2*Inputs!$C$45^2))+Inputs!$C$48*(0.70*(0.45*SIN(2*PI()*(((Model_Data!A184)/Inputs!$C$49)+Inputs!$C$47*0.137))+0.35*COS(2*PI()*(((Inputs!$C$6)/Inputs!$C$50)+Inputs!$C$47*0.173))+0.20*SIN(2*PI()*(((Model_Data!A184)+(Inputs!$C$6))/(0.5*(Inputs!$C$49+Inputs!$C$50))+Inputs!$C$47*0.097)))+0.30*(2*((SIN(((Model_Data!A184)*12.9898+(Inputs!$C$6)*78.233+Inputs!$C$47*37.719))*43758.5453)-INT((SIN(((Model_Data!A184)*12.9898+(Inputs!$C$6)*78.233+Inputs!$C$47*37.719))*43758.5453)))-1))))/1000)^2)</x:f>
        <x:v>402.8017424421933</x:v>
      </x:c>
      <x:c r="AB184" s="48" t="n">
        <x:f>1000*(AA185-AA183)/(Z185-Z183)*Inputs!$C$11</x:f>
        <x:v>675.2791757130581</x:v>
      </x:c>
      <x:c r="AC184" s="48" t="n">
        <x:f>-2*AB184/Inputs!$C$13</x:f>
        <x:v>-270.1116702852232</x:v>
      </x:c>
      <x:c r="AD184" s="48" t="n">
        <x:f>-2*AB184/Inputs!$C$14</x:f>
        <x:v>-40.557307850634125</x:v>
      </x:c>
    </x:row>
    <x:row r="185">
      <x:c r="A185" s="48" t="n">
        <x:f>Model_Data!A185</x:f>
        <x:v>31.5</x:v>
      </x:c>
      <x:c r="B185" s="48" t="n">
        <x:f>Model_Data!F185</x:f>
        <x:v>1129.7555078402418</x:v>
      </x:c>
      <x:c r="C185" s="48" t="n">
        <x:f>(((SQRT((Model_Data!A185)^2+Inputs!$C$6^2+((Model_Data!B185)-((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(0.45*SIN(2*PI()*(((Model_Data!A185)/Inputs!$C$49)+Inputs!$C$47*0.137))+0.35*COS(2*PI()*(((Inputs!$C$6)/Inputs!$C$50)+Inputs!$C$47*0.173))+0.20*SIN(2*PI()*(((Model_Data!A185)+(Inputs!$C$6))/(0.5*(Inputs!$C$49+Inputs!$C$50))+Inputs!$C$47*0.097)))+0.30*(2*((SIN(((Model_Data!A185)*12.9898+(Inputs!$C$6)*78.233+Inputs!$C$47*37.719))*43758.5453)-INT((SIN(((Model_Data!A185)*12.9898+(Inputs!$C$6)*78.233+Inputs!$C$47*37.719))*43758.5453)))-1))))/1000)^2))-(((Model_Data!B185)-((Inputs!$C$51*(115*EXP(-(((0)-25)^2)/(4.5^2))+70*EXP(-(((0)+38)^2)/(7^2))*(0.55+0.45*SIN(2*PI()*(Model_Data!A185)/45))+24*SIN(2*PI()*(0)/9+(Model_Data!A185)/18)*EXP(-(((0)+5)^2)/(22^2))+18*SIN(2*PI()*(Model_Data!A185)/70))+Inputs!$C$28*EXP(-(((Model_Data!A185)-Inputs!$C$29)^2)/(2*Inputs!$C$31^2))*EXP(-(((0)-Inputs!$C$30)^2)/(2*Inputs!$C$32^2))+-Inputs!$C$33*EXP(-(((((Model_Data!A185)-Inputs!$C$34)^2)+(((0)-Inputs!$C$35)^2))/(2*Inputs!$C$36^2)))+Inputs!$C$37*(0.55*SIN(2*PI()*(Model_Data!A185)/Inputs!$C$39)+0.35*COS(2*PI()*(0)/Inputs!$C$40)+0.2*SIN(2*PI()*((Model_Data!A185)+(0))/(0.5*(Inputs!$C$39+Inputs!$C$40))))+Inputs!$C$38*SIN(2*PI()*(Model_Data!A185)/Inputs!$C$39)*SIN(2*PI()*(0)/Inputs!$C$40)+-Inputs!$C$41*EXP(-(((0)-Inputs!$C$43)^2)/(2*Inputs!$C$44^2))*EXP(-(((Model_Data!A185)-Inputs!$C$42)^2)/(2*Inputs!$C$45^2))+Inputs!$C$48*(0.70*(0.45*SIN(2*PI()*(((Model_Data!A185)/Inputs!$C$49)+Inputs!$C$47*0.137))+0.35*COS(2*PI()*(((0)/Inputs!$C$50)+Inputs!$C$47*0.173))+0.20*SIN(2*PI()*(((Model_Data!A185)+(0))/(0.5*(Inputs!$C$49+Inputs!$C$50))+Inputs!$C$47*0.097)))+0.30*(2*((SIN(((Model_Data!A185)*12.9898+(0)*78.233+Inputs!$C$47*37.719))*43758.5453)-INT((SIN(((Model_Data!A185)*12.9898+(0)*78.233+Inputs!$C$47*37.719))*43758.5453)))-1))))/1000)))*1000/Inputs!$C$12)</x:f>
        <x:v>1019.1370511463217</x:v>
      </x:c>
      <x:c r="D185" s="49"/>
      <x:c r="E185" s="48" t="n">
        <x:f>Model_Data!A185</x:f>
        <x:v>31.5</x:v>
      </x:c>
      <x:c r="F185" s="48" t="n">
        <x:f>(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(0.45*SIN(2*PI()*(((Model_Data!A185)/Inputs!$C$49)+Inputs!$C$47*0.137))+0.35*COS(2*PI()*(((Inputs!$C$6)/Inputs!$C$50)+Inputs!$C$47*0.173))+0.20*SIN(2*PI()*(((Model_Data!A185)+(Inputs!$C$6))/(0.5*(Inputs!$C$49+Inputs!$C$50))+Inputs!$C$47*0.097)))+0.30*(2*((SIN(((Model_Data!A185)*12.9898+(Inputs!$C$6)*78.233+Inputs!$C$47*37.719))*43758.5453)-INT((SIN(((Model_Data!A185)*12.9898+(Inputs!$C$6)*78.233+Inputs!$C$47*37.719))*43758.5453)))-1)))</x:f>
        <x:v>216.56157473369862</x:v>
      </x:c>
      <x:c r="G185" s="48" t="n">
        <x:f>(Inputs!$C$51*(115*EXP(-(((0)-25)^2)/(4.5^2))+70*EXP(-(((0)+38)^2)/(7^2))*(0.55+0.45*SIN(2*PI()*(Model_Data!A185)/45))+24*SIN(2*PI()*(0)/9+(Model_Data!A185)/18)*EXP(-(((0)+5)^2)/(22^2))+18*SIN(2*PI()*(Model_Data!A185)/70))+Inputs!$C$28*EXP(-(((Model_Data!A185)-Inputs!$C$29)^2)/(2*Inputs!$C$31^2))*EXP(-(((0)-Inputs!$C$30)^2)/(2*Inputs!$C$32^2))+-Inputs!$C$33*EXP(-(((((Model_Data!A185)-Inputs!$C$34)^2)+(((0)-Inputs!$C$35)^2))/(2*Inputs!$C$36^2)))+Inputs!$C$37*(0.55*SIN(2*PI()*(Model_Data!A185)/Inputs!$C$39)+0.35*COS(2*PI()*(0)/Inputs!$C$40)+0.2*SIN(2*PI()*((Model_Data!A185)+(0))/(0.5*(Inputs!$C$39+Inputs!$C$40))))+Inputs!$C$38*SIN(2*PI()*(Model_Data!A185)/Inputs!$C$39)*SIN(2*PI()*(0)/Inputs!$C$40)+-Inputs!$C$41*EXP(-(((0)-Inputs!$C$43)^2)/(2*Inputs!$C$44^2))*EXP(-(((Model_Data!A185)-Inputs!$C$42)^2)/(2*Inputs!$C$45^2))+Inputs!$C$48*(0.70*(0.45*SIN(2*PI()*(((Model_Data!A185)/Inputs!$C$49)+Inputs!$C$47*0.137))+0.35*COS(2*PI()*(((0)/Inputs!$C$50)+Inputs!$C$47*0.173))+0.20*SIN(2*PI()*(((Model_Data!A185)+(0))/(0.5*(Inputs!$C$49+Inputs!$C$50))+Inputs!$C$47*0.097)))+0.30*(2*((SIN(((Model_Data!A185)*12.9898+(0)*78.233+Inputs!$C$47*37.719))*43758.5453)-INT((SIN(((Model_Data!A185)*12.9898+(0)*78.233+Inputs!$C$47*37.719))*43758.5453)))-1)))</x:f>
        <x:v>18.579807279306877</x:v>
      </x:c>
      <x:c r="H185" s="49"/>
      <x:c r="I185" s="48" t="n">
        <x:f>Model_Data!A185</x:f>
        <x:v>31.5</x:v>
      </x:c>
      <x:c r="J185" s="48" t="n">
        <x:f>((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(0.45*SIN(2*PI()*(((Model_Data!A185)/Inputs!$C$49)+Inputs!$C$47*0.137))+0.35*COS(2*PI()*(((Inputs!$C$6)/Inputs!$C$50)+Inputs!$C$47*0.173))+0.20*SIN(2*PI()*(((Model_Data!A185)+(Inputs!$C$6))/(0.5*(Inputs!$C$49+Inputs!$C$50))+Inputs!$C$47*0.097)))+0.30*(2*((SIN(((Model_Data!A185)*12.9898+(Inputs!$C$6)*78.233+Inputs!$C$47*37.719))*43758.5453)-INT((SIN(((Model_Data!A185)*12.9898+(Inputs!$C$6)*78.233+Inputs!$C$47*37.719))*43758.5453)))-1))))-((Inputs!$C$51*(115*EXP(-(((0)-25)^2)/(4.5^2))+70*EXP(-(((0)+38)^2)/(7^2))*(0.55+0.45*SIN(2*PI()*(Model_Data!A185)/45))+24*SIN(2*PI()*(0)/9+(Model_Data!A185)/18)*EXP(-(((0)+5)^2)/(22^2))+18*SIN(2*PI()*(Model_Data!A185)/70))+Inputs!$C$28*EXP(-(((Model_Data!A185)-Inputs!$C$29)^2)/(2*Inputs!$C$31^2))*EXP(-(((0)-Inputs!$C$30)^2)/(2*Inputs!$C$32^2))+-Inputs!$C$33*EXP(-(((((Model_Data!A185)-Inputs!$C$34)^2)+(((0)-Inputs!$C$35)^2))/(2*Inputs!$C$36^2)))+Inputs!$C$37*(0.55*SIN(2*PI()*(Model_Data!A185)/Inputs!$C$39)+0.35*COS(2*PI()*(0)/Inputs!$C$40)+0.2*SIN(2*PI()*((Model_Data!A185)+(0))/(0.5*(Inputs!$C$39+Inputs!$C$40))))+Inputs!$C$38*SIN(2*PI()*(Model_Data!A185)/Inputs!$C$39)*SIN(2*PI()*(0)/Inputs!$C$40)+-Inputs!$C$41*EXP(-(((0)-Inputs!$C$43)^2)/(2*Inputs!$C$44^2))*EXP(-(((Model_Data!A185)-Inputs!$C$42)^2)/(2*Inputs!$C$45^2))+Inputs!$C$48*(0.70*(0.45*SIN(2*PI()*(((Model_Data!A185)/Inputs!$C$49)+Inputs!$C$47*0.137))+0.35*COS(2*PI()*(((0)/Inputs!$C$50)+Inputs!$C$47*0.173))+0.20*SIN(2*PI()*(((Model_Data!A185)+(0))/(0.5*(Inputs!$C$49+Inputs!$C$50))+Inputs!$C$47*0.097)))+0.30*(2*((SIN(((Model_Data!A185)*12.9898+(0)*78.233+Inputs!$C$47*37.719))*43758.5453)-INT((SIN(((Model_Data!A185)*12.9898+(0)*78.233+Inputs!$C$47*37.719))*43758.5453)))-1))))</x:f>
        <x:v>197.98176745439173</x:v>
      </x:c>
      <x:c r="K185" s="48" t="n">
        <x:f>-((((SQRT((Model_Data!A185)^2+Inputs!$C$6^2+((Model_Data!B185)-((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(0.45*SIN(2*PI()*(((Model_Data!A185)/Inputs!$C$49)+Inputs!$C$47*0.137))+0.35*COS(2*PI()*(((Inputs!$C$6)/Inputs!$C$50)+Inputs!$C$47*0.173))+0.20*SIN(2*PI()*(((Model_Data!A185)+(Inputs!$C$6))/(0.5*(Inputs!$C$49+Inputs!$C$50))+Inputs!$C$47*0.097)))+0.30*(2*((SIN(((Model_Data!A185)*12.9898+(Inputs!$C$6)*78.233+Inputs!$C$47*37.719))*43758.5453)-INT((SIN(((Model_Data!A185)*12.9898+(Inputs!$C$6)*78.233+Inputs!$C$47*37.719))*43758.5453)))-1))))/1000)^2))-(((Model_Data!B185)-((Inputs!$C$51*(115*EXP(-(((0)-25)^2)/(4.5^2))+70*EXP(-(((0)+38)^2)/(7^2))*(0.55+0.45*SIN(2*PI()*(Model_Data!A185)/45))+24*SIN(2*PI()*(0)/9+(Model_Data!A185)/18)*EXP(-(((0)+5)^2)/(22^2))+18*SIN(2*PI()*(Model_Data!A185)/70))+Inputs!$C$28*EXP(-(((Model_Data!A185)-Inputs!$C$29)^2)/(2*Inputs!$C$31^2))*EXP(-(((0)-Inputs!$C$30)^2)/(2*Inputs!$C$32^2))+-Inputs!$C$33*EXP(-(((((Model_Data!A185)-Inputs!$C$34)^2)+(((0)-Inputs!$C$35)^2))/(2*Inputs!$C$36^2)))+Inputs!$C$37*(0.55*SIN(2*PI()*(Model_Data!A185)/Inputs!$C$39)+0.35*COS(2*PI()*(0)/Inputs!$C$40)+0.2*SIN(2*PI()*((Model_Data!A185)+(0))/(0.5*(Inputs!$C$39+Inputs!$C$40))))+Inputs!$C$38*SIN(2*PI()*(Model_Data!A185)/Inputs!$C$39)*SIN(2*PI()*(0)/Inputs!$C$40)+-Inputs!$C$41*EXP(-(((0)-Inputs!$C$43)^2)/(2*Inputs!$C$44^2))*EXP(-(((Model_Data!A185)-Inputs!$C$42)^2)/(2*Inputs!$C$45^2))+Inputs!$C$48*(0.70*(0.45*SIN(2*PI()*(((Model_Data!A185)/Inputs!$C$49)+Inputs!$C$47*0.137))+0.35*COS(2*PI()*(((0)/Inputs!$C$50)+Inputs!$C$47*0.173))+0.20*SIN(2*PI()*(((Model_Data!A185)+(0))/(0.5*(Inputs!$C$49+Inputs!$C$50))+Inputs!$C$47*0.097)))+0.30*(2*((SIN(((Model_Data!A185)*12.9898+(0)*78.233+Inputs!$C$47*37.719))*43758.5453)-INT((SIN(((Model_Data!A185)*12.9898+(0)*78.233+Inputs!$C$47*37.719))*43758.5453)))-1))))/1000)))*1000/Inputs!$C$12)-Model_Data!F185)</x:f>
        <x:v>110.61845669392005</x:v>
      </x:c>
      <x:c r="L185" s="49"/>
      <x:c r="M185" s="48" t="n">
        <x:f>Model_Data!A185</x:f>
        <x:v>31.5</x:v>
      </x:c>
      <x:c r="N185" s="48" t="n">
        <x:f>Model_Data!P185</x:f>
        <x:v>-236.46811213899355</x:v>
      </x:c>
      <x:c r="O185" s="48" t="n">
        <x:f>AC185</x:f>
        <x:v>-263.8300454331329</x:v>
      </x:c>
      <x:c r="P185" s="48" t="n">
        <x:f>Model_Data!Q185</x:f>
        <x:v>-35.50572254339243</x:v>
      </x:c>
      <x:c r="Q185" s="48" t="n">
        <x:f>AD185</x:f>
        <x:v>-39.614120935905845</x:v>
      </x:c>
      <x:c r="R185" s="49"/>
      <x:c r="S185" s="48" t="n">
        <x:f>Model_Data!A185</x:f>
        <x:v>31.5</x:v>
      </x:c>
      <x:c r="T185" s="48" t="n">
        <x:f>Model_Data!B185-Inputs!$C$5</x:f>
        <x:v>1.1025000000000205</x:v>
      </x:c>
      <x:c r="U185" s="49"/>
      <x:c r="V185" s="48" t="n">
        <x:f>Model_Data!A185</x:f>
        <x:v>31.5</x:v>
      </x:c>
      <x:c r="W185" s="48" t="n">
        <x:f>(-((((SQRT((Model_Data!A185)^2+Inputs!$C$6^2+((Model_Data!B185)-((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(0.45*SIN(2*PI()*(((Model_Data!A185)/Inputs!$C$49)+Inputs!$C$47*0.137))+0.35*COS(2*PI()*(((Inputs!$C$6)/Inputs!$C$50)+Inputs!$C$47*0.173))+0.20*SIN(2*PI()*(((Model_Data!A185)+(Inputs!$C$6))/(0.5*(Inputs!$C$49+Inputs!$C$50))+Inputs!$C$47*0.097)))+0.30*(2*((SIN(((Model_Data!A185)*12.9898+(Inputs!$C$6)*78.233+Inputs!$C$47*37.719))*43758.5453)-INT((SIN(((Model_Data!A185)*12.9898+(Inputs!$C$6)*78.233+Inputs!$C$47*37.719))*43758.5453)))-1))))/1000)^2))-(((Model_Data!B185)-((Inputs!$C$51*(115*EXP(-(((0)-25)^2)/(4.5^2))+70*EXP(-(((0)+38)^2)/(7^2))*(0.55+0.45*SIN(2*PI()*(Model_Data!A185)/45))+24*SIN(2*PI()*(0)/9+(Model_Data!A185)/18)*EXP(-(((0)+5)^2)/(22^2))+18*SIN(2*PI()*(Model_Data!A185)/70))+Inputs!$C$28*EXP(-(((Model_Data!A185)-Inputs!$C$29)^2)/(2*Inputs!$C$31^2))*EXP(-(((0)-Inputs!$C$30)^2)/(2*Inputs!$C$32^2))+-Inputs!$C$33*EXP(-(((((Model_Data!A185)-Inputs!$C$34)^2)+(((0)-Inputs!$C$35)^2))/(2*Inputs!$C$36^2)))+Inputs!$C$37*(0.55*SIN(2*PI()*(Model_Data!A185)/Inputs!$C$39)+0.35*COS(2*PI()*(0)/Inputs!$C$40)+0.2*SIN(2*PI()*((Model_Data!A185)+(0))/(0.5*(Inputs!$C$39+Inputs!$C$40))))+Inputs!$C$38*SIN(2*PI()*(Model_Data!A185)/Inputs!$C$39)*SIN(2*PI()*(0)/Inputs!$C$40)+-Inputs!$C$41*EXP(-(((0)-Inputs!$C$43)^2)/(2*Inputs!$C$44^2))*EXP(-(((Model_Data!A185)-Inputs!$C$42)^2)/(2*Inputs!$C$45^2))+Inputs!$C$48*(0.70*(0.45*SIN(2*PI()*(((Model_Data!A185)/Inputs!$C$49)+Inputs!$C$47*0.137))+0.35*COS(2*PI()*(((0)/Inputs!$C$50)+Inputs!$C$47*0.173))+0.20*SIN(2*PI()*(((Model_Data!A185)+(0))/(0.5*(Inputs!$C$49+Inputs!$C$50))+Inputs!$C$47*0.097)))+0.30*(2*((SIN(((Model_Data!A185)*12.9898+(0)*78.233+Inputs!$C$47*37.719))*43758.5453)-INT((SIN(((Model_Data!A185)*12.9898+(0)*78.233+Inputs!$C$47*37.719))*43758.5453)))-1))))/1000)))*1000/Inputs!$C$12)-Model_Data!F185))-(-(((SQRT((Model_Data!A185)^2+Inputs!$C$6^2+(Inputs!$C$5-((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(0.45*SIN(2*PI()*(((Model_Data!A185)/Inputs!$C$49)+Inputs!$C$47*0.137))+0.35*COS(2*PI()*(((Inputs!$C$6)/Inputs!$C$50)+Inputs!$C$47*0.173))+0.20*SIN(2*PI()*(((Model_Data!A185)+(Inputs!$C$6))/(0.5*(Inputs!$C$49+Inputs!$C$50))+Inputs!$C$47*0.097)))+0.30*(2*((SIN(((Model_Data!A185)*12.9898+(Inputs!$C$6)*78.233+Inputs!$C$47*37.719))*43758.5453)-INT((SIN(((Model_Data!A185)*12.9898+(Inputs!$C$6)*78.233+Inputs!$C$47*37.719))*43758.5453)))-1))))/1000)^2)-(Inputs!$C$5-((Inputs!$C$51*(115*EXP(-(((0)-25)^2)/(4.5^2))+70*EXP(-(((0)+38)^2)/(7^2))*(0.55+0.45*SIN(2*PI()*(Model_Data!A185)/45))+24*SIN(2*PI()*(0)/9+(Model_Data!A185)/18)*EXP(-(((0)+5)^2)/(22^2))+18*SIN(2*PI()*(Model_Data!A185)/70))+Inputs!$C$28*EXP(-(((Model_Data!A185)-Inputs!$C$29)^2)/(2*Inputs!$C$31^2))*EXP(-(((0)-Inputs!$C$30)^2)/(2*Inputs!$C$32^2))+-Inputs!$C$33*EXP(-(((((Model_Data!A185)-Inputs!$C$34)^2)+(((0)-Inputs!$C$35)^2))/(2*Inputs!$C$36^2)))+Inputs!$C$37*(0.55*SIN(2*PI()*(Model_Data!A185)/Inputs!$C$39)+0.35*COS(2*PI()*(0)/Inputs!$C$40)+0.2*SIN(2*PI()*((Model_Data!A185)+(0))/(0.5*(Inputs!$C$39+Inputs!$C$40))))+Inputs!$C$38*SIN(2*PI()*(Model_Data!A185)/Inputs!$C$39)*SIN(2*PI()*(0)/Inputs!$C$40)+-Inputs!$C$41*EXP(-(((0)-Inputs!$C$43)^2)/(2*Inputs!$C$44^2))*EXP(-(((Model_Data!A185)-Inputs!$C$42)^2)/(2*Inputs!$C$45^2))+Inputs!$C$48*(0.70*(0.45*SIN(2*PI()*(((Model_Data!A185)/Inputs!$C$49)+Inputs!$C$47*0.137))+0.35*COS(2*PI()*(((0)/Inputs!$C$50)+Inputs!$C$47*0.173))+0.20*SIN(2*PI()*(((Model_Data!A185)+(0))/(0.5*(Inputs!$C$49+Inputs!$C$50))+Inputs!$C$47*0.097)))+0.30*(2*((SIN(((Model_Data!A185)*12.9898+(0)*78.233+Inputs!$C$47*37.719))*43758.5453)-INT((SIN(((Model_Data!A185)*12.9898+(0)*78.233+Inputs!$C$47*37.719))*43758.5453)))-1))))/1000))*1000/Inputs!$C$12)-((SQRT((Model_Data!A185)^2+Inputs!$C$6^2+Inputs!$C$5^2)-Inputs!$C$5)*1000/Inputs!$C$12)))</x:f>
        <x:v>0.0033278184721439175</x:v>
      </x:c>
      <x:c r="X185" s="48" t="n">
        <x:f>0</x:f>
        <x:v>0</x:v>
      </x:c>
      <x:c r="Y185" s="49"/>
      <x:c r="Z185" s="48" t="n">
        <x:f>Model_Data!A185</x:f>
        <x:v>31.5</x:v>
      </x:c>
      <x:c r="AA185" s="48" t="n">
        <x:f>SQRT((Model_Data!A185)^2+Inputs!$C$6^2+((Model_Data!B185)-((Inputs!$C$51*(115*EXP(-(((Inputs!$C$6)-25)^2)/(4.5^2))+70*EXP(-(((Inputs!$C$6)+38)^2)/(7^2))*(0.55+0.45*SIN(2*PI()*(Model_Data!A185)/45))+24*SIN(2*PI()*(Inputs!$C$6)/9+(Model_Data!A185)/18)*EXP(-(((Inputs!$C$6)+5)^2)/(22^2))+18*SIN(2*PI()*(Model_Data!A185)/70))+Inputs!$C$28*EXP(-(((Model_Data!A185)-Inputs!$C$29)^2)/(2*Inputs!$C$31^2))*EXP(-(((Inputs!$C$6)-Inputs!$C$30)^2)/(2*Inputs!$C$32^2))+-Inputs!$C$33*EXP(-(((((Model_Data!A185)-Inputs!$C$34)^2)+(((Inputs!$C$6)-Inputs!$C$35)^2))/(2*Inputs!$C$36^2)))+Inputs!$C$37*(0.55*SIN(2*PI()*(Model_Data!A185)/Inputs!$C$39)+0.35*COS(2*PI()*(Inputs!$C$6)/Inputs!$C$40)+0.2*SIN(2*PI()*((Model_Data!A185)+(Inputs!$C$6))/(0.5*(Inputs!$C$39+Inputs!$C$40))))+Inputs!$C$38*SIN(2*PI()*(Model_Data!A185)/Inputs!$C$39)*SIN(2*PI()*(Inputs!$C$6)/Inputs!$C$40)+-Inputs!$C$41*EXP(-(((Inputs!$C$6)-Inputs!$C$43)^2)/(2*Inputs!$C$44^2))*EXP(-(((Model_Data!A185)-Inputs!$C$42)^2)/(2*Inputs!$C$45^2))+Inputs!$C$48*(0.70*(0.45*SIN(2*PI()*(((Model_Data!A185)/Inputs!$C$49)+Inputs!$C$47*0.137))+0.35*COS(2*PI()*(((Inputs!$C$6)/Inputs!$C$50)+Inputs!$C$47*0.173))+0.20*SIN(2*PI()*(((Model_Data!A185)+(Inputs!$C$6))/(0.5*(Inputs!$C$49+Inputs!$C$50))+Inputs!$C$47*0.097)))+0.30*(2*((SIN(((Model_Data!A185)*12.9898+(Inputs!$C$6)*78.233+Inputs!$C$47*37.719))*43758.5453)-INT((SIN(((Model_Data!A185)*12.9898+(Inputs!$C$6)*78.233+Inputs!$C$47*37.719))*43758.5453)))-1))))/1000)^2)</x:f>
        <x:v>402.89798414376116</x:v>
      </x:c>
      <x:c r="AB185" s="48" t="n">
        <x:f>1000*(AA186-AA184)/(Z186-Z184)*Inputs!$C$11</x:f>
        <x:v>659.5751135828323</x:v>
      </x:c>
      <x:c r="AC185" s="48" t="n">
        <x:f>-2*AB185/Inputs!$C$13</x:f>
        <x:v>-263.8300454331329</x:v>
      </x:c>
      <x:c r="AD185" s="48" t="n">
        <x:f>-2*AB185/Inputs!$C$14</x:f>
        <x:v>-39.614120935905845</x:v>
      </x:c>
    </x:row>
    <x:row r="186">
      <x:c r="A186" s="48" t="n">
        <x:f>Model_Data!A186</x:f>
        <x:v>32</x:v>
      </x:c>
      <x:c r="B186" s="48" t="n">
        <x:f>Model_Data!F186</x:f>
        <x:v>1151.7777827269733</x:v>
      </x:c>
      <x:c r="C186" s="48" t="n">
        <x:f>(((SQRT((Model_Data!A186)^2+Inputs!$C$6^2+((Model_Data!B186)-((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(0.45*SIN(2*PI()*(((Model_Data!A186)/Inputs!$C$49)+Inputs!$C$47*0.137))+0.35*COS(2*PI()*(((Inputs!$C$6)/Inputs!$C$50)+Inputs!$C$47*0.173))+0.20*SIN(2*PI()*(((Model_Data!A186)+(Inputs!$C$6))/(0.5*(Inputs!$C$49+Inputs!$C$50))+Inputs!$C$47*0.097)))+0.30*(2*((SIN(((Model_Data!A186)*12.9898+(Inputs!$C$6)*78.233+Inputs!$C$47*37.719))*43758.5453)-INT((SIN(((Model_Data!A186)*12.9898+(Inputs!$C$6)*78.233+Inputs!$C$47*37.719))*43758.5453)))-1))))/1000)^2))-(((Model_Data!B186)-((Inputs!$C$51*(115*EXP(-(((0)-25)^2)/(4.5^2))+70*EXP(-(((0)+38)^2)/(7^2))*(0.55+0.45*SIN(2*PI()*(Model_Data!A186)/45))+24*SIN(2*PI()*(0)/9+(Model_Data!A186)/18)*EXP(-(((0)+5)^2)/(22^2))+18*SIN(2*PI()*(Model_Data!A186)/70))+Inputs!$C$28*EXP(-(((Model_Data!A186)-Inputs!$C$29)^2)/(2*Inputs!$C$31^2))*EXP(-(((0)-Inputs!$C$30)^2)/(2*Inputs!$C$32^2))+-Inputs!$C$33*EXP(-(((((Model_Data!A186)-Inputs!$C$34)^2)+(((0)-Inputs!$C$35)^2))/(2*Inputs!$C$36^2)))+Inputs!$C$37*(0.55*SIN(2*PI()*(Model_Data!A186)/Inputs!$C$39)+0.35*COS(2*PI()*(0)/Inputs!$C$40)+0.2*SIN(2*PI()*((Model_Data!A186)+(0))/(0.5*(Inputs!$C$39+Inputs!$C$40))))+Inputs!$C$38*SIN(2*PI()*(Model_Data!A186)/Inputs!$C$39)*SIN(2*PI()*(0)/Inputs!$C$40)+-Inputs!$C$41*EXP(-(((0)-Inputs!$C$43)^2)/(2*Inputs!$C$44^2))*EXP(-(((Model_Data!A186)-Inputs!$C$42)^2)/(2*Inputs!$C$45^2))+Inputs!$C$48*(0.70*(0.45*SIN(2*PI()*(((Model_Data!A186)/Inputs!$C$49)+Inputs!$C$47*0.137))+0.35*COS(2*PI()*(((0)/Inputs!$C$50)+Inputs!$C$47*0.173))+0.20*SIN(2*PI()*(((Model_Data!A186)+(0))/(0.5*(Inputs!$C$49+Inputs!$C$50))+Inputs!$C$47*0.097)))+0.30*(2*((SIN(((Model_Data!A186)*12.9898+(0)*78.233+Inputs!$C$47*37.719))*43758.5453)-INT((SIN(((Model_Data!A186)*12.9898+(0)*78.233+Inputs!$C$47*37.719))*43758.5453)))-1))))/1000)))*1000/Inputs!$C$12)</x:f>
        <x:v>1026.6851748038596</x:v>
      </x:c>
      <x:c r="D186" s="49"/>
      <x:c r="E186" s="48" t="n">
        <x:f>Model_Data!A186</x:f>
        <x:v>32</x:v>
      </x:c>
      <x:c r="F186" s="48" t="n">
        <x:f>(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(0.45*SIN(2*PI()*(((Model_Data!A186)/Inputs!$C$49)+Inputs!$C$47*0.137))+0.35*COS(2*PI()*(((Inputs!$C$6)/Inputs!$C$50)+Inputs!$C$47*0.173))+0.20*SIN(2*PI()*(((Model_Data!A186)+(Inputs!$C$6))/(0.5*(Inputs!$C$49+Inputs!$C$50))+Inputs!$C$47*0.097)))+0.30*(2*((SIN(((Model_Data!A186)*12.9898+(Inputs!$C$6)*78.233+Inputs!$C$47*37.719))*43758.5453)-INT((SIN(((Model_Data!A186)*12.9898+(Inputs!$C$6)*78.233+Inputs!$C$47*37.719))*43758.5453)))-1)))</x:f>
        <x:v>222.43770342182788</x:v>
      </x:c>
      <x:c r="G186" s="48" t="n">
        <x:f>(Inputs!$C$51*(115*EXP(-(((0)-25)^2)/(4.5^2))+70*EXP(-(((0)+38)^2)/(7^2))*(0.55+0.45*SIN(2*PI()*(Model_Data!A186)/45))+24*SIN(2*PI()*(0)/9+(Model_Data!A186)/18)*EXP(-(((0)+5)^2)/(22^2))+18*SIN(2*PI()*(Model_Data!A186)/70))+Inputs!$C$28*EXP(-(((Model_Data!A186)-Inputs!$C$29)^2)/(2*Inputs!$C$31^2))*EXP(-(((0)-Inputs!$C$30)^2)/(2*Inputs!$C$32^2))+-Inputs!$C$33*EXP(-(((((Model_Data!A186)-Inputs!$C$34)^2)+(((0)-Inputs!$C$35)^2))/(2*Inputs!$C$36^2)))+Inputs!$C$37*(0.55*SIN(2*PI()*(Model_Data!A186)/Inputs!$C$39)+0.35*COS(2*PI()*(0)/Inputs!$C$40)+0.2*SIN(2*PI()*((Model_Data!A186)+(0))/(0.5*(Inputs!$C$39+Inputs!$C$40))))+Inputs!$C$38*SIN(2*PI()*(Model_Data!A186)/Inputs!$C$39)*SIN(2*PI()*(0)/Inputs!$C$40)+-Inputs!$C$41*EXP(-(((0)-Inputs!$C$43)^2)/(2*Inputs!$C$44^2))*EXP(-(((Model_Data!A186)-Inputs!$C$42)^2)/(2*Inputs!$C$45^2))+Inputs!$C$48*(0.70*(0.45*SIN(2*PI()*(((Model_Data!A186)/Inputs!$C$49)+Inputs!$C$47*0.137))+0.35*COS(2*PI()*(((0)/Inputs!$C$50)+Inputs!$C$47*0.173))+0.20*SIN(2*PI()*(((Model_Data!A186)+(0))/(0.5*(Inputs!$C$49+Inputs!$C$50))+Inputs!$C$47*0.097)))+0.30*(2*((SIN(((Model_Data!A186)*12.9898+(0)*78.233+Inputs!$C$47*37.719))*43758.5453)-INT((SIN(((Model_Data!A186)*12.9898+(0)*78.233+Inputs!$C$47*37.719))*43758.5453)))-1)))</x:f>
        <x:v>-1.3588316603362678</x:v>
      </x:c>
      <x:c r="H186" s="49"/>
      <x:c r="I186" s="48" t="n">
        <x:f>Model_Data!A186</x:f>
        <x:v>32</x:v>
      </x:c>
      <x:c r="J186" s="48" t="n">
        <x:f>((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(0.45*SIN(2*PI()*(((Model_Data!A186)/Inputs!$C$49)+Inputs!$C$47*0.137))+0.35*COS(2*PI()*(((Inputs!$C$6)/Inputs!$C$50)+Inputs!$C$47*0.173))+0.20*SIN(2*PI()*(((Model_Data!A186)+(Inputs!$C$6))/(0.5*(Inputs!$C$49+Inputs!$C$50))+Inputs!$C$47*0.097)))+0.30*(2*((SIN(((Model_Data!A186)*12.9898+(Inputs!$C$6)*78.233+Inputs!$C$47*37.719))*43758.5453)-INT((SIN(((Model_Data!A186)*12.9898+(Inputs!$C$6)*78.233+Inputs!$C$47*37.719))*43758.5453)))-1))))-((Inputs!$C$51*(115*EXP(-(((0)-25)^2)/(4.5^2))+70*EXP(-(((0)+38)^2)/(7^2))*(0.55+0.45*SIN(2*PI()*(Model_Data!A186)/45))+24*SIN(2*PI()*(0)/9+(Model_Data!A186)/18)*EXP(-(((0)+5)^2)/(22^2))+18*SIN(2*PI()*(Model_Data!A186)/70))+Inputs!$C$28*EXP(-(((Model_Data!A186)-Inputs!$C$29)^2)/(2*Inputs!$C$31^2))*EXP(-(((0)-Inputs!$C$30)^2)/(2*Inputs!$C$32^2))+-Inputs!$C$33*EXP(-(((((Model_Data!A186)-Inputs!$C$34)^2)+(((0)-Inputs!$C$35)^2))/(2*Inputs!$C$36^2)))+Inputs!$C$37*(0.55*SIN(2*PI()*(Model_Data!A186)/Inputs!$C$39)+0.35*COS(2*PI()*(0)/Inputs!$C$40)+0.2*SIN(2*PI()*((Model_Data!A186)+(0))/(0.5*(Inputs!$C$39+Inputs!$C$40))))+Inputs!$C$38*SIN(2*PI()*(Model_Data!A186)/Inputs!$C$39)*SIN(2*PI()*(0)/Inputs!$C$40)+-Inputs!$C$41*EXP(-(((0)-Inputs!$C$43)^2)/(2*Inputs!$C$44^2))*EXP(-(((Model_Data!A186)-Inputs!$C$42)^2)/(2*Inputs!$C$45^2))+Inputs!$C$48*(0.70*(0.45*SIN(2*PI()*(((Model_Data!A186)/Inputs!$C$49)+Inputs!$C$47*0.137))+0.35*COS(2*PI()*(((0)/Inputs!$C$50)+Inputs!$C$47*0.173))+0.20*SIN(2*PI()*(((Model_Data!A186)+(0))/(0.5*(Inputs!$C$49+Inputs!$C$50))+Inputs!$C$47*0.097)))+0.30*(2*((SIN(((Model_Data!A186)*12.9898+(0)*78.233+Inputs!$C$47*37.719))*43758.5453)-INT((SIN(((Model_Data!A186)*12.9898+(0)*78.233+Inputs!$C$47*37.719))*43758.5453)))-1))))</x:f>
        <x:v>223.79653508216416</x:v>
      </x:c>
      <x:c r="K186" s="48" t="n">
        <x:f>-((((SQRT((Model_Data!A186)^2+Inputs!$C$6^2+((Model_Data!B186)-((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(0.45*SIN(2*PI()*(((Model_Data!A186)/Inputs!$C$49)+Inputs!$C$47*0.137))+0.35*COS(2*PI()*(((Inputs!$C$6)/Inputs!$C$50)+Inputs!$C$47*0.173))+0.20*SIN(2*PI()*(((Model_Data!A186)+(Inputs!$C$6))/(0.5*(Inputs!$C$49+Inputs!$C$50))+Inputs!$C$47*0.097)))+0.30*(2*((SIN(((Model_Data!A186)*12.9898+(Inputs!$C$6)*78.233+Inputs!$C$47*37.719))*43758.5453)-INT((SIN(((Model_Data!A186)*12.9898+(Inputs!$C$6)*78.233+Inputs!$C$47*37.719))*43758.5453)))-1))))/1000)^2))-(((Model_Data!B186)-((Inputs!$C$51*(115*EXP(-(((0)-25)^2)/(4.5^2))+70*EXP(-(((0)+38)^2)/(7^2))*(0.55+0.45*SIN(2*PI()*(Model_Data!A186)/45))+24*SIN(2*PI()*(0)/9+(Model_Data!A186)/18)*EXP(-(((0)+5)^2)/(22^2))+18*SIN(2*PI()*(Model_Data!A186)/70))+Inputs!$C$28*EXP(-(((Model_Data!A186)-Inputs!$C$29)^2)/(2*Inputs!$C$31^2))*EXP(-(((0)-Inputs!$C$30)^2)/(2*Inputs!$C$32^2))+-Inputs!$C$33*EXP(-(((((Model_Data!A186)-Inputs!$C$34)^2)+(((0)-Inputs!$C$35)^2))/(2*Inputs!$C$36^2)))+Inputs!$C$37*(0.55*SIN(2*PI()*(Model_Data!A186)/Inputs!$C$39)+0.35*COS(2*PI()*(0)/Inputs!$C$40)+0.2*SIN(2*PI()*((Model_Data!A186)+(0))/(0.5*(Inputs!$C$39+Inputs!$C$40))))+Inputs!$C$38*SIN(2*PI()*(Model_Data!A186)/Inputs!$C$39)*SIN(2*PI()*(0)/Inputs!$C$40)+-Inputs!$C$41*EXP(-(((0)-Inputs!$C$43)^2)/(2*Inputs!$C$44^2))*EXP(-(((Model_Data!A186)-Inputs!$C$42)^2)/(2*Inputs!$C$45^2))+Inputs!$C$48*(0.70*(0.45*SIN(2*PI()*(((Model_Data!A186)/Inputs!$C$49)+Inputs!$C$47*0.137))+0.35*COS(2*PI()*(((0)/Inputs!$C$50)+Inputs!$C$47*0.173))+0.20*SIN(2*PI()*(((Model_Data!A186)+(0))/(0.5*(Inputs!$C$49+Inputs!$C$50))+Inputs!$C$47*0.097)))+0.30*(2*((SIN(((Model_Data!A186)*12.9898+(0)*78.233+Inputs!$C$47*37.719))*43758.5453)-INT((SIN(((Model_Data!A186)*12.9898+(0)*78.233+Inputs!$C$47*37.719))*43758.5453)))-1))))/1000)))*1000/Inputs!$C$12)-Model_Data!F186)</x:f>
        <x:v>125.09260792311375</x:v>
      </x:c>
      <x:c r="L186" s="49"/>
      <x:c r="M186" s="48" t="n">
        <x:f>Model_Data!A186</x:f>
        <x:v>32</x:v>
      </x:c>
      <x:c r="N186" s="48" t="n">
        <x:f>Model_Data!P186</x:f>
        <x:v>-240.18715540550747</x:v>
      </x:c>
      <x:c r="O186" s="48" t="n">
        <x:f>AC186</x:f>
        <x:v>-222.09252107177235</x:v>
      </x:c>
      <x:c r="P186" s="48" t="n">
        <x:f>Model_Data!Q186</x:f>
        <x:v>-36.0641374482744</x:v>
      </x:c>
      <x:c r="Q186" s="48" t="n">
        <x:f>AD186</x:f>
        <x:v>-33.347225386152004</x:v>
      </x:c>
      <x:c r="R186" s="49"/>
      <x:c r="S186" s="48" t="n">
        <x:f>Model_Data!A186</x:f>
        <x:v>32</x:v>
      </x:c>
      <x:c r="T186" s="48" t="n">
        <x:f>Model_Data!B186-Inputs!$C$5</x:f>
        <x:v>1.137777777777785</x:v>
      </x:c>
      <x:c r="U186" s="49"/>
      <x:c r="V186" s="48" t="n">
        <x:f>Model_Data!A186</x:f>
        <x:v>32</x:v>
      </x:c>
      <x:c r="W186" s="48" t="n">
        <x:f>(-((((SQRT((Model_Data!A186)^2+Inputs!$C$6^2+((Model_Data!B186)-((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(0.45*SIN(2*PI()*(((Model_Data!A186)/Inputs!$C$49)+Inputs!$C$47*0.137))+0.35*COS(2*PI()*(((Inputs!$C$6)/Inputs!$C$50)+Inputs!$C$47*0.173))+0.20*SIN(2*PI()*(((Model_Data!A186)+(Inputs!$C$6))/(0.5*(Inputs!$C$49+Inputs!$C$50))+Inputs!$C$47*0.097)))+0.30*(2*((SIN(((Model_Data!A186)*12.9898+(Inputs!$C$6)*78.233+Inputs!$C$47*37.719))*43758.5453)-INT((SIN(((Model_Data!A186)*12.9898+(Inputs!$C$6)*78.233+Inputs!$C$47*37.719))*43758.5453)))-1))))/1000)^2))-(((Model_Data!B186)-((Inputs!$C$51*(115*EXP(-(((0)-25)^2)/(4.5^2))+70*EXP(-(((0)+38)^2)/(7^2))*(0.55+0.45*SIN(2*PI()*(Model_Data!A186)/45))+24*SIN(2*PI()*(0)/9+(Model_Data!A186)/18)*EXP(-(((0)+5)^2)/(22^2))+18*SIN(2*PI()*(Model_Data!A186)/70))+Inputs!$C$28*EXP(-(((Model_Data!A186)-Inputs!$C$29)^2)/(2*Inputs!$C$31^2))*EXP(-(((0)-Inputs!$C$30)^2)/(2*Inputs!$C$32^2))+-Inputs!$C$33*EXP(-(((((Model_Data!A186)-Inputs!$C$34)^2)+(((0)-Inputs!$C$35)^2))/(2*Inputs!$C$36^2)))+Inputs!$C$37*(0.55*SIN(2*PI()*(Model_Data!A186)/Inputs!$C$39)+0.35*COS(2*PI()*(0)/Inputs!$C$40)+0.2*SIN(2*PI()*((Model_Data!A186)+(0))/(0.5*(Inputs!$C$39+Inputs!$C$40))))+Inputs!$C$38*SIN(2*PI()*(Model_Data!A186)/Inputs!$C$39)*SIN(2*PI()*(0)/Inputs!$C$40)+-Inputs!$C$41*EXP(-(((0)-Inputs!$C$43)^2)/(2*Inputs!$C$44^2))*EXP(-(((Model_Data!A186)-Inputs!$C$42)^2)/(2*Inputs!$C$45^2))+Inputs!$C$48*(0.70*(0.45*SIN(2*PI()*(((Model_Data!A186)/Inputs!$C$49)+Inputs!$C$47*0.137))+0.35*COS(2*PI()*(((0)/Inputs!$C$50)+Inputs!$C$47*0.173))+0.20*SIN(2*PI()*(((Model_Data!A186)+(0))/(0.5*(Inputs!$C$49+Inputs!$C$50))+Inputs!$C$47*0.097)))+0.30*(2*((SIN(((Model_Data!A186)*12.9898+(0)*78.233+Inputs!$C$47*37.719))*43758.5453)-INT((SIN(((Model_Data!A186)*12.9898+(0)*78.233+Inputs!$C$47*37.719))*43758.5453)))-1))))/1000)))*1000/Inputs!$C$12)-Model_Data!F186))-(-(((SQRT((Model_Data!A186)^2+Inputs!$C$6^2+(Inputs!$C$5-((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(0.45*SIN(2*PI()*(((Model_Data!A186)/Inputs!$C$49)+Inputs!$C$47*0.137))+0.35*COS(2*PI()*(((Inputs!$C$6)/Inputs!$C$50)+Inputs!$C$47*0.173))+0.20*SIN(2*PI()*(((Model_Data!A186)+(Inputs!$C$6))/(0.5*(Inputs!$C$49+Inputs!$C$50))+Inputs!$C$47*0.097)))+0.30*(2*((SIN(((Model_Data!A186)*12.9898+(Inputs!$C$6)*78.233+Inputs!$C$47*37.719))*43758.5453)-INT((SIN(((Model_Data!A186)*12.9898+(Inputs!$C$6)*78.233+Inputs!$C$47*37.719))*43758.5453)))-1))))/1000)^2)-(Inputs!$C$5-((Inputs!$C$51*(115*EXP(-(((0)-25)^2)/(4.5^2))+70*EXP(-(((0)+38)^2)/(7^2))*(0.55+0.45*SIN(2*PI()*(Model_Data!A186)/45))+24*SIN(2*PI()*(0)/9+(Model_Data!A186)/18)*EXP(-(((0)+5)^2)/(22^2))+18*SIN(2*PI()*(Model_Data!A186)/70))+Inputs!$C$28*EXP(-(((Model_Data!A186)-Inputs!$C$29)^2)/(2*Inputs!$C$31^2))*EXP(-(((0)-Inputs!$C$30)^2)/(2*Inputs!$C$32^2))+-Inputs!$C$33*EXP(-(((((Model_Data!A186)-Inputs!$C$34)^2)+(((0)-Inputs!$C$35)^2))/(2*Inputs!$C$36^2)))+Inputs!$C$37*(0.55*SIN(2*PI()*(Model_Data!A186)/Inputs!$C$39)+0.35*COS(2*PI()*(0)/Inputs!$C$40)+0.2*SIN(2*PI()*((Model_Data!A186)+(0))/(0.5*(Inputs!$C$39+Inputs!$C$40))))+Inputs!$C$38*SIN(2*PI()*(Model_Data!A186)/Inputs!$C$39)*SIN(2*PI()*(0)/Inputs!$C$40)+-Inputs!$C$41*EXP(-(((0)-Inputs!$C$43)^2)/(2*Inputs!$C$44^2))*EXP(-(((Model_Data!A186)-Inputs!$C$42)^2)/(2*Inputs!$C$45^2))+Inputs!$C$48*(0.70*(0.45*SIN(2*PI()*(((Model_Data!A186)/Inputs!$C$49)+Inputs!$C$47*0.137))+0.35*COS(2*PI()*(((0)/Inputs!$C$50)+Inputs!$C$47*0.173))+0.20*SIN(2*PI()*(((Model_Data!A186)+(0))/(0.5*(Inputs!$C$49+Inputs!$C$50))+Inputs!$C$47*0.097)))+0.30*(2*((SIN(((Model_Data!A186)*12.9898+(0)*78.233+Inputs!$C$47*37.719))*43758.5453)-INT((SIN(((Model_Data!A186)*12.9898+(0)*78.233+Inputs!$C$47*37.719))*43758.5453)))-1))))/1000))*1000/Inputs!$C$12)-((SQRT((Model_Data!A186)^2+Inputs!$C$6^2+Inputs!$C$5^2)-Inputs!$C$5)*1000/Inputs!$C$12)))</x:f>
        <x:v>0.0035952910282048833</x:v>
      </x:c>
      <x:c r="X186" s="48" t="n">
        <x:f>0</x:f>
        <x:v>0</x:v>
      </x:c>
      <x:c r="Y186" s="49"/>
      <x:c r="Z186" s="48" t="n">
        <x:f>Model_Data!A186</x:f>
        <x:v>32</x:v>
      </x:c>
      <x:c r="AA186" s="48" t="n">
        <x:f>SQRT((Model_Data!A186)^2+Inputs!$C$6^2+((Model_Data!B186)-((Inputs!$C$51*(115*EXP(-(((Inputs!$C$6)-25)^2)/(4.5^2))+70*EXP(-(((Inputs!$C$6)+38)^2)/(7^2))*(0.55+0.45*SIN(2*PI()*(Model_Data!A186)/45))+24*SIN(2*PI()*(Inputs!$C$6)/9+(Model_Data!A186)/18)*EXP(-(((Inputs!$C$6)+5)^2)/(22^2))+18*SIN(2*PI()*(Model_Data!A186)/70))+Inputs!$C$28*EXP(-(((Model_Data!A186)-Inputs!$C$29)^2)/(2*Inputs!$C$31^2))*EXP(-(((Inputs!$C$6)-Inputs!$C$30)^2)/(2*Inputs!$C$32^2))+-Inputs!$C$33*EXP(-(((((Model_Data!A186)-Inputs!$C$34)^2)+(((Inputs!$C$6)-Inputs!$C$35)^2))/(2*Inputs!$C$36^2)))+Inputs!$C$37*(0.55*SIN(2*PI()*(Model_Data!A186)/Inputs!$C$39)+0.35*COS(2*PI()*(Inputs!$C$6)/Inputs!$C$40)+0.2*SIN(2*PI()*((Model_Data!A186)+(Inputs!$C$6))/(0.5*(Inputs!$C$39+Inputs!$C$40))))+Inputs!$C$38*SIN(2*PI()*(Model_Data!A186)/Inputs!$C$39)*SIN(2*PI()*(Inputs!$C$6)/Inputs!$C$40)+-Inputs!$C$41*EXP(-(((Inputs!$C$6)-Inputs!$C$43)^2)/(2*Inputs!$C$44^2))*EXP(-(((Model_Data!A186)-Inputs!$C$42)^2)/(2*Inputs!$C$45^2))+Inputs!$C$48*(0.70*(0.45*SIN(2*PI()*(((Model_Data!A186)/Inputs!$C$49)+Inputs!$C$47*0.137))+0.35*COS(2*PI()*(((Inputs!$C$6)/Inputs!$C$50)+Inputs!$C$47*0.173))+0.20*SIN(2*PI()*(((Model_Data!A186)+(Inputs!$C$6))/(0.5*(Inputs!$C$49+Inputs!$C$50))+Inputs!$C$47*0.097)))+0.30*(2*((SIN(((Model_Data!A186)*12.9898+(Inputs!$C$6)*78.233+Inputs!$C$47*37.719))*43758.5453)-INT((SIN(((Model_Data!A186)*12.9898+(Inputs!$C$6)*78.233+Inputs!$C$47*37.719))*43758.5453)))-1))))/1000)^2)</x:f>
        <x:v>402.966636220589</x:v>
      </x:c>
      <x:c r="AB186" s="48" t="n">
        <x:f>1000*(AA187-AA185)/(Z187-Z185)*Inputs!$C$11</x:f>
        <x:v>555.2313026794309</x:v>
      </x:c>
      <x:c r="AC186" s="48" t="n">
        <x:f>-2*AB186/Inputs!$C$13</x:f>
        <x:v>-222.09252107177235</x:v>
      </x:c>
      <x:c r="AD186" s="48" t="n">
        <x:f>-2*AB186/Inputs!$C$14</x:f>
        <x:v>-33.347225386152004</x:v>
      </x:c>
    </x:row>
    <x:row r="187">
      <x:c r="A187" s="48" t="n">
        <x:f>Model_Data!A187</x:f>
        <x:v>32.5</x:v>
      </x:c>
      <x:c r="B187" s="48" t="n">
        <x:f>Model_Data!F187</x:f>
        <x:v>1174.1407290190098</x:v>
      </x:c>
      <x:c r="C187" s="48" t="n">
        <x:f>(((SQRT((Model_Data!A187)^2+Inputs!$C$6^2+((Model_Data!B187)-((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(0.45*SIN(2*PI()*(((Model_Data!A187)/Inputs!$C$49)+Inputs!$C$47*0.137))+0.35*COS(2*PI()*(((Inputs!$C$6)/Inputs!$C$50)+Inputs!$C$47*0.173))+0.20*SIN(2*PI()*(((Model_Data!A187)+(Inputs!$C$6))/(0.5*(Inputs!$C$49+Inputs!$C$50))+Inputs!$C$47*0.097)))+0.30*(2*((SIN(((Model_Data!A187)*12.9898+(Inputs!$C$6)*78.233+Inputs!$C$47*37.719))*43758.5453)-INT((SIN(((Model_Data!A187)*12.9898+(Inputs!$C$6)*78.233+Inputs!$C$47*37.719))*43758.5453)))-1))))/1000)^2))-(((Model_Data!B187)-((Inputs!$C$51*(115*EXP(-(((0)-25)^2)/(4.5^2))+70*EXP(-(((0)+38)^2)/(7^2))*(0.55+0.45*SIN(2*PI()*(Model_Data!A187)/45))+24*SIN(2*PI()*(0)/9+(Model_Data!A187)/18)*EXP(-(((0)+5)^2)/(22^2))+18*SIN(2*PI()*(Model_Data!A187)/70))+Inputs!$C$28*EXP(-(((Model_Data!A187)-Inputs!$C$29)^2)/(2*Inputs!$C$31^2))*EXP(-(((0)-Inputs!$C$30)^2)/(2*Inputs!$C$32^2))+-Inputs!$C$33*EXP(-(((((Model_Data!A187)-Inputs!$C$34)^2)+(((0)-Inputs!$C$35)^2))/(2*Inputs!$C$36^2)))+Inputs!$C$37*(0.55*SIN(2*PI()*(Model_Data!A187)/Inputs!$C$39)+0.35*COS(2*PI()*(0)/Inputs!$C$40)+0.2*SIN(2*PI()*((Model_Data!A187)+(0))/(0.5*(Inputs!$C$39+Inputs!$C$40))))+Inputs!$C$38*SIN(2*PI()*(Model_Data!A187)/Inputs!$C$39)*SIN(2*PI()*(0)/Inputs!$C$40)+-Inputs!$C$41*EXP(-(((0)-Inputs!$C$43)^2)/(2*Inputs!$C$44^2))*EXP(-(((Model_Data!A187)-Inputs!$C$42)^2)/(2*Inputs!$C$45^2))+Inputs!$C$48*(0.70*(0.45*SIN(2*PI()*(((Model_Data!A187)/Inputs!$C$49)+Inputs!$C$47*0.137))+0.35*COS(2*PI()*(((0)/Inputs!$C$50)+Inputs!$C$47*0.173))+0.20*SIN(2*PI()*(((Model_Data!A187)+(0))/(0.5*(Inputs!$C$49+Inputs!$C$50))+Inputs!$C$47*0.097)))+0.30*(2*((SIN(((Model_Data!A187)*12.9898+(0)*78.233+Inputs!$C$47*37.719))*43758.5453)-INT((SIN(((Model_Data!A187)*12.9898+(0)*78.233+Inputs!$C$47*37.719))*43758.5453)))-1))))/1000)))*1000/Inputs!$C$12)</x:f>
        <x:v>1050.015562549589</x:v>
      </x:c>
      <x:c r="D187" s="49"/>
      <x:c r="E187" s="48" t="n">
        <x:f>Model_Data!A187</x:f>
        <x:v>32.5</x:v>
      </x:c>
      <x:c r="F187" s="48" t="n">
        <x:f>(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(0.45*SIN(2*PI()*(((Model_Data!A187)/Inputs!$C$49)+Inputs!$C$47*0.137))+0.35*COS(2*PI()*(((Inputs!$C$6)/Inputs!$C$50)+Inputs!$C$47*0.173))+0.20*SIN(2*PI()*(((Model_Data!A187)+(Inputs!$C$6))/(0.5*(Inputs!$C$49+Inputs!$C$50))+Inputs!$C$47*0.097)))+0.30*(2*((SIN(((Model_Data!A187)*12.9898+(Inputs!$C$6)*78.233+Inputs!$C$47*37.719))*43758.5453)-INT((SIN(((Model_Data!A187)*12.9898+(Inputs!$C$6)*78.233+Inputs!$C$47*37.719))*43758.5453)))-1)))</x:f>
        <x:v>227.97180197677312</x:v>
      </x:c>
      <x:c r="G187" s="48" t="n">
        <x:f>(Inputs!$C$51*(115*EXP(-(((0)-25)^2)/(4.5^2))+70*EXP(-(((0)+38)^2)/(7^2))*(0.55+0.45*SIN(2*PI()*(Model_Data!A187)/45))+24*SIN(2*PI()*(0)/9+(Model_Data!A187)/18)*EXP(-(((0)+5)^2)/(22^2))+18*SIN(2*PI()*(Model_Data!A187)/70))+Inputs!$C$28*EXP(-(((Model_Data!A187)-Inputs!$C$29)^2)/(2*Inputs!$C$31^2))*EXP(-(((0)-Inputs!$C$30)^2)/(2*Inputs!$C$32^2))+-Inputs!$C$33*EXP(-(((((Model_Data!A187)-Inputs!$C$34)^2)+(((0)-Inputs!$C$35)^2))/(2*Inputs!$C$36^2)))+Inputs!$C$37*(0.55*SIN(2*PI()*(Model_Data!A187)/Inputs!$C$39)+0.35*COS(2*PI()*(0)/Inputs!$C$40)+0.2*SIN(2*PI()*((Model_Data!A187)+(0))/(0.5*(Inputs!$C$39+Inputs!$C$40))))+Inputs!$C$38*SIN(2*PI()*(Model_Data!A187)/Inputs!$C$39)*SIN(2*PI()*(0)/Inputs!$C$40)+-Inputs!$C$41*EXP(-(((0)-Inputs!$C$43)^2)/(2*Inputs!$C$44^2))*EXP(-(((Model_Data!A187)-Inputs!$C$42)^2)/(2*Inputs!$C$45^2))+Inputs!$C$48*(0.70*(0.45*SIN(2*PI()*(((Model_Data!A187)/Inputs!$C$49)+Inputs!$C$47*0.137))+0.35*COS(2*PI()*(((0)/Inputs!$C$50)+Inputs!$C$47*0.173))+0.20*SIN(2*PI()*(((Model_Data!A187)+(0))/(0.5*(Inputs!$C$49+Inputs!$C$50))+Inputs!$C$47*0.097)))+0.30*(2*((SIN(((Model_Data!A187)*12.9898+(0)*78.233+Inputs!$C$47*37.719))*43758.5453)-INT((SIN(((Model_Data!A187)*12.9898+(0)*78.233+Inputs!$C$47*37.719))*43758.5453)))-1)))</x:f>
        <x:v>5.846843018322446</x:v>
      </x:c>
      <x:c r="H187" s="49"/>
      <x:c r="I187" s="48" t="n">
        <x:f>Model_Data!A187</x:f>
        <x:v>32.5</x:v>
      </x:c>
      <x:c r="J187" s="48" t="n">
        <x:f>((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(0.45*SIN(2*PI()*(((Model_Data!A187)/Inputs!$C$49)+Inputs!$C$47*0.137))+0.35*COS(2*PI()*(((Inputs!$C$6)/Inputs!$C$50)+Inputs!$C$47*0.173))+0.20*SIN(2*PI()*(((Model_Data!A187)+(Inputs!$C$6))/(0.5*(Inputs!$C$49+Inputs!$C$50))+Inputs!$C$47*0.097)))+0.30*(2*((SIN(((Model_Data!A187)*12.9898+(Inputs!$C$6)*78.233+Inputs!$C$47*37.719))*43758.5453)-INT((SIN(((Model_Data!A187)*12.9898+(Inputs!$C$6)*78.233+Inputs!$C$47*37.719))*43758.5453)))-1))))-((Inputs!$C$51*(115*EXP(-(((0)-25)^2)/(4.5^2))+70*EXP(-(((0)+38)^2)/(7^2))*(0.55+0.45*SIN(2*PI()*(Model_Data!A187)/45))+24*SIN(2*PI()*(0)/9+(Model_Data!A187)/18)*EXP(-(((0)+5)^2)/(22^2))+18*SIN(2*PI()*(Model_Data!A187)/70))+Inputs!$C$28*EXP(-(((Model_Data!A187)-Inputs!$C$29)^2)/(2*Inputs!$C$31^2))*EXP(-(((0)-Inputs!$C$30)^2)/(2*Inputs!$C$32^2))+-Inputs!$C$33*EXP(-(((((Model_Data!A187)-Inputs!$C$34)^2)+(((0)-Inputs!$C$35)^2))/(2*Inputs!$C$36^2)))+Inputs!$C$37*(0.55*SIN(2*PI()*(Model_Data!A187)/Inputs!$C$39)+0.35*COS(2*PI()*(0)/Inputs!$C$40)+0.2*SIN(2*PI()*((Model_Data!A187)+(0))/(0.5*(Inputs!$C$39+Inputs!$C$40))))+Inputs!$C$38*SIN(2*PI()*(Model_Data!A187)/Inputs!$C$39)*SIN(2*PI()*(0)/Inputs!$C$40)+-Inputs!$C$41*EXP(-(((0)-Inputs!$C$43)^2)/(2*Inputs!$C$44^2))*EXP(-(((Model_Data!A187)-Inputs!$C$42)^2)/(2*Inputs!$C$45^2))+Inputs!$C$48*(0.70*(0.45*SIN(2*PI()*(((Model_Data!A187)/Inputs!$C$49)+Inputs!$C$47*0.137))+0.35*COS(2*PI()*(((0)/Inputs!$C$50)+Inputs!$C$47*0.173))+0.20*SIN(2*PI()*(((Model_Data!A187)+(0))/(0.5*(Inputs!$C$49+Inputs!$C$50))+Inputs!$C$47*0.097)))+0.30*(2*((SIN(((Model_Data!A187)*12.9898+(0)*78.233+Inputs!$C$47*37.719))*43758.5453)-INT((SIN(((Model_Data!A187)*12.9898+(0)*78.233+Inputs!$C$47*37.719))*43758.5453)))-1))))</x:f>
        <x:v>222.1249589584507</x:v>
      </x:c>
      <x:c r="K187" s="48" t="n">
        <x:f>-((((SQRT((Model_Data!A187)^2+Inputs!$C$6^2+((Model_Data!B187)-((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(0.45*SIN(2*PI()*(((Model_Data!A187)/Inputs!$C$49)+Inputs!$C$47*0.137))+0.35*COS(2*PI()*(((Inputs!$C$6)/Inputs!$C$50)+Inputs!$C$47*0.173))+0.20*SIN(2*PI()*(((Model_Data!A187)+(Inputs!$C$6))/(0.5*(Inputs!$C$49+Inputs!$C$50))+Inputs!$C$47*0.097)))+0.30*(2*((SIN(((Model_Data!A187)*12.9898+(Inputs!$C$6)*78.233+Inputs!$C$47*37.719))*43758.5453)-INT((SIN(((Model_Data!A187)*12.9898+(Inputs!$C$6)*78.233+Inputs!$C$47*37.719))*43758.5453)))-1))))/1000)^2))-(((Model_Data!B187)-((Inputs!$C$51*(115*EXP(-(((0)-25)^2)/(4.5^2))+70*EXP(-(((0)+38)^2)/(7^2))*(0.55+0.45*SIN(2*PI()*(Model_Data!A187)/45))+24*SIN(2*PI()*(0)/9+(Model_Data!A187)/18)*EXP(-(((0)+5)^2)/(22^2))+18*SIN(2*PI()*(Model_Data!A187)/70))+Inputs!$C$28*EXP(-(((Model_Data!A187)-Inputs!$C$29)^2)/(2*Inputs!$C$31^2))*EXP(-(((0)-Inputs!$C$30)^2)/(2*Inputs!$C$32^2))+-Inputs!$C$33*EXP(-(((((Model_Data!A187)-Inputs!$C$34)^2)+(((0)-Inputs!$C$35)^2))/(2*Inputs!$C$36^2)))+Inputs!$C$37*(0.55*SIN(2*PI()*(Model_Data!A187)/Inputs!$C$39)+0.35*COS(2*PI()*(0)/Inputs!$C$40)+0.2*SIN(2*PI()*((Model_Data!A187)+(0))/(0.5*(Inputs!$C$39+Inputs!$C$40))))+Inputs!$C$38*SIN(2*PI()*(Model_Data!A187)/Inputs!$C$39)*SIN(2*PI()*(0)/Inputs!$C$40)+-Inputs!$C$41*EXP(-(((0)-Inputs!$C$43)^2)/(2*Inputs!$C$44^2))*EXP(-(((Model_Data!A187)-Inputs!$C$42)^2)/(2*Inputs!$C$45^2))+Inputs!$C$48*(0.70*(0.45*SIN(2*PI()*(((Model_Data!A187)/Inputs!$C$49)+Inputs!$C$47*0.137))+0.35*COS(2*PI()*(((0)/Inputs!$C$50)+Inputs!$C$47*0.173))+0.20*SIN(2*PI()*(((Model_Data!A187)+(0))/(0.5*(Inputs!$C$49+Inputs!$C$50))+Inputs!$C$47*0.097)))+0.30*(2*((SIN(((Model_Data!A187)*12.9898+(0)*78.233+Inputs!$C$47*37.719))*43758.5453)-INT((SIN(((Model_Data!A187)*12.9898+(0)*78.233+Inputs!$C$47*37.719))*43758.5453)))-1))))/1000)))*1000/Inputs!$C$12)-Model_Data!F187)</x:f>
        <x:v>124.12516646942072</x:v>
      </x:c>
      <x:c r="L187" s="49"/>
      <x:c r="M187" s="48" t="n">
        <x:f>Model_Data!A187</x:f>
        <x:v>32.5</x:v>
      </x:c>
      <x:c r="N187" s="48" t="n">
        <x:f>Model_Data!P187</x:f>
        <x:v>-243.9045924102238</x:v>
      </x:c>
      <x:c r="O187" s="48" t="n">
        <x:f>AC187</x:f>
        <x:v>-238.17094217474732</x:v>
      </x:c>
      <x:c r="P187" s="48" t="n">
        <x:f>Model_Data!Q187</x:f>
        <x:v>-36.62231117270628</x:v>
      </x:c>
      <x:c r="Q187" s="48" t="n">
        <x:f>AD187</x:f>
        <x:v>-35.76140272894104</x:v>
      </x:c>
      <x:c r="R187" s="49"/>
      <x:c r="S187" s="48" t="n">
        <x:f>Model_Data!A187</x:f>
        <x:v>32.5</x:v>
      </x:c>
      <x:c r="T187" s="48" t="n">
        <x:f>Model_Data!B187-Inputs!$C$5</x:f>
        <x:v>1.1736111111110858</x:v>
      </x:c>
      <x:c r="U187" s="49"/>
      <x:c r="V187" s="48" t="n">
        <x:f>Model_Data!A187</x:f>
        <x:v>32.5</x:v>
      </x:c>
      <x:c r="W187" s="48" t="n">
        <x:f>(-((((SQRT((Model_Data!A187)^2+Inputs!$C$6^2+((Model_Data!B187)-((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(0.45*SIN(2*PI()*(((Model_Data!A187)/Inputs!$C$49)+Inputs!$C$47*0.137))+0.35*COS(2*PI()*(((Inputs!$C$6)/Inputs!$C$50)+Inputs!$C$47*0.173))+0.20*SIN(2*PI()*(((Model_Data!A187)+(Inputs!$C$6))/(0.5*(Inputs!$C$49+Inputs!$C$50))+Inputs!$C$47*0.097)))+0.30*(2*((SIN(((Model_Data!A187)*12.9898+(Inputs!$C$6)*78.233+Inputs!$C$47*37.719))*43758.5453)-INT((SIN(((Model_Data!A187)*12.9898+(Inputs!$C$6)*78.233+Inputs!$C$47*37.719))*43758.5453)))-1))))/1000)^2))-(((Model_Data!B187)-((Inputs!$C$51*(115*EXP(-(((0)-25)^2)/(4.5^2))+70*EXP(-(((0)+38)^2)/(7^2))*(0.55+0.45*SIN(2*PI()*(Model_Data!A187)/45))+24*SIN(2*PI()*(0)/9+(Model_Data!A187)/18)*EXP(-(((0)+5)^2)/(22^2))+18*SIN(2*PI()*(Model_Data!A187)/70))+Inputs!$C$28*EXP(-(((Model_Data!A187)-Inputs!$C$29)^2)/(2*Inputs!$C$31^2))*EXP(-(((0)-Inputs!$C$30)^2)/(2*Inputs!$C$32^2))+-Inputs!$C$33*EXP(-(((((Model_Data!A187)-Inputs!$C$34)^2)+(((0)-Inputs!$C$35)^2))/(2*Inputs!$C$36^2)))+Inputs!$C$37*(0.55*SIN(2*PI()*(Model_Data!A187)/Inputs!$C$39)+0.35*COS(2*PI()*(0)/Inputs!$C$40)+0.2*SIN(2*PI()*((Model_Data!A187)+(0))/(0.5*(Inputs!$C$39+Inputs!$C$40))))+Inputs!$C$38*SIN(2*PI()*(Model_Data!A187)/Inputs!$C$39)*SIN(2*PI()*(0)/Inputs!$C$40)+-Inputs!$C$41*EXP(-(((0)-Inputs!$C$43)^2)/(2*Inputs!$C$44^2))*EXP(-(((Model_Data!A187)-Inputs!$C$42)^2)/(2*Inputs!$C$45^2))+Inputs!$C$48*(0.70*(0.45*SIN(2*PI()*(((Model_Data!A187)/Inputs!$C$49)+Inputs!$C$47*0.137))+0.35*COS(2*PI()*(((0)/Inputs!$C$50)+Inputs!$C$47*0.173))+0.20*SIN(2*PI()*(((Model_Data!A187)+(0))/(0.5*(Inputs!$C$49+Inputs!$C$50))+Inputs!$C$47*0.097)))+0.30*(2*((SIN(((Model_Data!A187)*12.9898+(0)*78.233+Inputs!$C$47*37.719))*43758.5453)-INT((SIN(((Model_Data!A187)*12.9898+(0)*78.233+Inputs!$C$47*37.719))*43758.5453)))-1))))/1000)))*1000/Inputs!$C$12)-Model_Data!F187))-(-(((SQRT((Model_Data!A187)^2+Inputs!$C$6^2+(Inputs!$C$5-((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(0.45*SIN(2*PI()*(((Model_Data!A187)/Inputs!$C$49)+Inputs!$C$47*0.137))+0.35*COS(2*PI()*(((Inputs!$C$6)/Inputs!$C$50)+Inputs!$C$47*0.173))+0.20*SIN(2*PI()*(((Model_Data!A187)+(Inputs!$C$6))/(0.5*(Inputs!$C$49+Inputs!$C$50))+Inputs!$C$47*0.097)))+0.30*(2*((SIN(((Model_Data!A187)*12.9898+(Inputs!$C$6)*78.233+Inputs!$C$47*37.719))*43758.5453)-INT((SIN(((Model_Data!A187)*12.9898+(Inputs!$C$6)*78.233+Inputs!$C$47*37.719))*43758.5453)))-1))))/1000)^2)-(Inputs!$C$5-((Inputs!$C$51*(115*EXP(-(((0)-25)^2)/(4.5^2))+70*EXP(-(((0)+38)^2)/(7^2))*(0.55+0.45*SIN(2*PI()*(Model_Data!A187)/45))+24*SIN(2*PI()*(0)/9+(Model_Data!A187)/18)*EXP(-(((0)+5)^2)/(22^2))+18*SIN(2*PI()*(Model_Data!A187)/70))+Inputs!$C$28*EXP(-(((Model_Data!A187)-Inputs!$C$29)^2)/(2*Inputs!$C$31^2))*EXP(-(((0)-Inputs!$C$30)^2)/(2*Inputs!$C$32^2))+-Inputs!$C$33*EXP(-(((((Model_Data!A187)-Inputs!$C$34)^2)+(((0)-Inputs!$C$35)^2))/(2*Inputs!$C$36^2)))+Inputs!$C$37*(0.55*SIN(2*PI()*(Model_Data!A187)/Inputs!$C$39)+0.35*COS(2*PI()*(0)/Inputs!$C$40)+0.2*SIN(2*PI()*((Model_Data!A187)+(0))/(0.5*(Inputs!$C$39+Inputs!$C$40))))+Inputs!$C$38*SIN(2*PI()*(Model_Data!A187)/Inputs!$C$39)*SIN(2*PI()*(0)/Inputs!$C$40)+-Inputs!$C$41*EXP(-(((0)-Inputs!$C$43)^2)/(2*Inputs!$C$44^2))*EXP(-(((Model_Data!A187)-Inputs!$C$42)^2)/(2*Inputs!$C$45^2))+Inputs!$C$48*(0.70*(0.45*SIN(2*PI()*(((Model_Data!A187)/Inputs!$C$49)+Inputs!$C$47*0.137))+0.35*COS(2*PI()*(((0)/Inputs!$C$50)+Inputs!$C$47*0.173))+0.20*SIN(2*PI()*(((Model_Data!A187)+(0))/(0.5*(Inputs!$C$49+Inputs!$C$50))+Inputs!$C$47*0.097)))+0.30*(2*((SIN(((Model_Data!A187)*12.9898+(0)*78.233+Inputs!$C$47*37.719))*43758.5453)-INT((SIN(((Model_Data!A187)*12.9898+(0)*78.233+Inputs!$C$47*37.719))*43758.5453)))-1))))/1000))*1000/Inputs!$C$12)-((SQRT((Model_Data!A187)^2+Inputs!$C$6^2+Inputs!$C$5^2)-Inputs!$C$5)*1000/Inputs!$C$12)))</x:f>
        <x:v>0.0038735295042897633</x:v>
      </x:c>
      <x:c r="X187" s="48" t="n">
        <x:f>0</x:f>
        <x:v>0</x:v>
      </x:c>
      <x:c r="Y187" s="49"/>
      <x:c r="Z187" s="48" t="n">
        <x:f>Model_Data!A187</x:f>
        <x:v>32.5</x:v>
      </x:c>
      <x:c r="AA187" s="48" t="n">
        <x:f>SQRT((Model_Data!A187)^2+Inputs!$C$6^2+((Model_Data!B187)-((Inputs!$C$51*(115*EXP(-(((Inputs!$C$6)-25)^2)/(4.5^2))+70*EXP(-(((Inputs!$C$6)+38)^2)/(7^2))*(0.55+0.45*SIN(2*PI()*(Model_Data!A187)/45))+24*SIN(2*PI()*(Inputs!$C$6)/9+(Model_Data!A187)/18)*EXP(-(((Inputs!$C$6)+5)^2)/(22^2))+18*SIN(2*PI()*(Model_Data!A187)/70))+Inputs!$C$28*EXP(-(((Model_Data!A187)-Inputs!$C$29)^2)/(2*Inputs!$C$31^2))*EXP(-(((Inputs!$C$6)-Inputs!$C$30)^2)/(2*Inputs!$C$32^2))+-Inputs!$C$33*EXP(-(((((Model_Data!A187)-Inputs!$C$34)^2)+(((Inputs!$C$6)-Inputs!$C$35)^2))/(2*Inputs!$C$36^2)))+Inputs!$C$37*(0.55*SIN(2*PI()*(Model_Data!A187)/Inputs!$C$39)+0.35*COS(2*PI()*(Inputs!$C$6)/Inputs!$C$40)+0.2*SIN(2*PI()*((Model_Data!A187)+(Inputs!$C$6))/(0.5*(Inputs!$C$39+Inputs!$C$40))))+Inputs!$C$38*SIN(2*PI()*(Model_Data!A187)/Inputs!$C$39)*SIN(2*PI()*(Inputs!$C$6)/Inputs!$C$40)+-Inputs!$C$41*EXP(-(((Inputs!$C$6)-Inputs!$C$43)^2)/(2*Inputs!$C$44^2))*EXP(-(((Model_Data!A187)-Inputs!$C$42)^2)/(2*Inputs!$C$45^2))+Inputs!$C$48*(0.70*(0.45*SIN(2*PI()*(((Model_Data!A187)/Inputs!$C$49)+Inputs!$C$47*0.137))+0.35*COS(2*PI()*(((Inputs!$C$6)/Inputs!$C$50)+Inputs!$C$47*0.173))+0.20*SIN(2*PI()*(((Model_Data!A187)+(Inputs!$C$6))/(0.5*(Inputs!$C$49+Inputs!$C$50))+Inputs!$C$47*0.097)))+0.30*(2*((SIN(((Model_Data!A187)*12.9898+(Inputs!$C$6)*78.233+Inputs!$C$47*37.719))*43758.5453)-INT((SIN(((Model_Data!A187)*12.9898+(Inputs!$C$6)*78.233+Inputs!$C$47*37.719))*43758.5453)))-1))))/1000)^2)</x:f>
        <x:v>403.036791969431</x:v>
      </x:c>
      <x:c r="AB187" s="48" t="n">
        <x:f>1000*(AA188-AA186)/(Z188-Z186)*Inputs!$C$11</x:f>
        <x:v>595.4273554368683</x:v>
      </x:c>
      <x:c r="AC187" s="48" t="n">
        <x:f>-2*AB187/Inputs!$C$13</x:f>
        <x:v>-238.17094217474732</x:v>
      </x:c>
      <x:c r="AD187" s="48" t="n">
        <x:f>-2*AB187/Inputs!$C$14</x:f>
        <x:v>-35.76140272894104</x:v>
      </x:c>
    </x:row>
    <x:row r="188">
      <x:c r="A188" s="48" t="n">
        <x:f>Model_Data!A188</x:f>
        <x:v>33</x:v>
      </x:c>
      <x:c r="B188" s="48" t="n">
        <x:f>Model_Data!F188</x:f>
        <x:v>1196.8440626483268</x:v>
      </x:c>
      <x:c r="C188" s="48" t="n">
        <x:f>(((SQRT((Model_Data!A188)^2+Inputs!$C$6^2+((Model_Data!B188)-((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(0.45*SIN(2*PI()*(((Model_Data!A188)/Inputs!$C$49)+Inputs!$C$47*0.137))+0.35*COS(2*PI()*(((Inputs!$C$6)/Inputs!$C$50)+Inputs!$C$47*0.173))+0.20*SIN(2*PI()*(((Model_Data!A188)+(Inputs!$C$6))/(0.5*(Inputs!$C$49+Inputs!$C$50))+Inputs!$C$47*0.097)))+0.30*(2*((SIN(((Model_Data!A188)*12.9898+(Inputs!$C$6)*78.233+Inputs!$C$47*37.719))*43758.5453)-INT((SIN(((Model_Data!A188)*12.9898+(Inputs!$C$6)*78.233+Inputs!$C$47*37.719))*43758.5453)))-1))))/1000)^2))-(((Model_Data!B188)-((Inputs!$C$51*(115*EXP(-(((0)-25)^2)/(4.5^2))+70*EXP(-(((0)+38)^2)/(7^2))*(0.55+0.45*SIN(2*PI()*(Model_Data!A188)/45))+24*SIN(2*PI()*(0)/9+(Model_Data!A188)/18)*EXP(-(((0)+5)^2)/(22^2))+18*SIN(2*PI()*(Model_Data!A188)/70))+Inputs!$C$28*EXP(-(((Model_Data!A188)-Inputs!$C$29)^2)/(2*Inputs!$C$31^2))*EXP(-(((0)-Inputs!$C$30)^2)/(2*Inputs!$C$32^2))+-Inputs!$C$33*EXP(-(((((Model_Data!A188)-Inputs!$C$34)^2)+(((0)-Inputs!$C$35)^2))/(2*Inputs!$C$36^2)))+Inputs!$C$37*(0.55*SIN(2*PI()*(Model_Data!A188)/Inputs!$C$39)+0.35*COS(2*PI()*(0)/Inputs!$C$40)+0.2*SIN(2*PI()*((Model_Data!A188)+(0))/(0.5*(Inputs!$C$39+Inputs!$C$40))))+Inputs!$C$38*SIN(2*PI()*(Model_Data!A188)/Inputs!$C$39)*SIN(2*PI()*(0)/Inputs!$C$40)+-Inputs!$C$41*EXP(-(((0)-Inputs!$C$43)^2)/(2*Inputs!$C$44^2))*EXP(-(((Model_Data!A188)-Inputs!$C$42)^2)/(2*Inputs!$C$45^2))+Inputs!$C$48*(0.70*(0.45*SIN(2*PI()*(((Model_Data!A188)/Inputs!$C$49)+Inputs!$C$47*0.137))+0.35*COS(2*PI()*(((0)/Inputs!$C$50)+Inputs!$C$47*0.173))+0.20*SIN(2*PI()*(((Model_Data!A188)+(0))/(0.5*(Inputs!$C$49+Inputs!$C$50))+Inputs!$C$47*0.097)))+0.30*(2*((SIN(((Model_Data!A188)*12.9898+(0)*78.233+Inputs!$C$47*37.719))*43758.5453)-INT((SIN(((Model_Data!A188)*12.9898+(0)*78.233+Inputs!$C$47*37.719))*43758.5453)))-1))))/1000)))*1000/Inputs!$C$12)</x:f>
        <x:v>1068.4734654252647</x:v>
      </x:c>
      <x:c r="D188" s="49"/>
      <x:c r="E188" s="48" t="n">
        <x:f>Model_Data!A188</x:f>
        <x:v>33</x:v>
      </x:c>
      <x:c r="F188" s="48" t="n">
        <x:f>(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(0.45*SIN(2*PI()*(((Model_Data!A188)/Inputs!$C$49)+Inputs!$C$47*0.137))+0.35*COS(2*PI()*(((Inputs!$C$6)/Inputs!$C$50)+Inputs!$C$47*0.173))+0.20*SIN(2*PI()*(((Model_Data!A188)+(Inputs!$C$6))/(0.5*(Inputs!$C$49+Inputs!$C$50))+Inputs!$C$47*0.097)))+0.30*(2*((SIN(((Model_Data!A188)*12.9898+(Inputs!$C$6)*78.233+Inputs!$C$47*37.719))*43758.5453)-INT((SIN(((Model_Data!A188)*12.9898+(Inputs!$C$6)*78.233+Inputs!$C$47*37.719))*43758.5453)))-1)))</x:f>
        <x:v>226.0841822180117</x:v>
      </x:c>
      <x:c r="G188" s="48" t="n">
        <x:f>(Inputs!$C$51*(115*EXP(-(((0)-25)^2)/(4.5^2))+70*EXP(-(((0)+38)^2)/(7^2))*(0.55+0.45*SIN(2*PI()*(Model_Data!A188)/45))+24*SIN(2*PI()*(0)/9+(Model_Data!A188)/18)*EXP(-(((0)+5)^2)/(22^2))+18*SIN(2*PI()*(Model_Data!A188)/70))+Inputs!$C$28*EXP(-(((Model_Data!A188)-Inputs!$C$29)^2)/(2*Inputs!$C$31^2))*EXP(-(((0)-Inputs!$C$30)^2)/(2*Inputs!$C$32^2))+-Inputs!$C$33*EXP(-(((((Model_Data!A188)-Inputs!$C$34)^2)+(((0)-Inputs!$C$35)^2))/(2*Inputs!$C$36^2)))+Inputs!$C$37*(0.55*SIN(2*PI()*(Model_Data!A188)/Inputs!$C$39)+0.35*COS(2*PI()*(0)/Inputs!$C$40)+0.2*SIN(2*PI()*((Model_Data!A188)+(0))/(0.5*(Inputs!$C$39+Inputs!$C$40))))+Inputs!$C$38*SIN(2*PI()*(Model_Data!A188)/Inputs!$C$39)*SIN(2*PI()*(0)/Inputs!$C$40)+-Inputs!$C$41*EXP(-(((0)-Inputs!$C$43)^2)/(2*Inputs!$C$44^2))*EXP(-(((Model_Data!A188)-Inputs!$C$42)^2)/(2*Inputs!$C$45^2))+Inputs!$C$48*(0.70*(0.45*SIN(2*PI()*(((Model_Data!A188)/Inputs!$C$49)+Inputs!$C$47*0.137))+0.35*COS(2*PI()*(((0)/Inputs!$C$50)+Inputs!$C$47*0.173))+0.20*SIN(2*PI()*(((Model_Data!A188)+(0))/(0.5*(Inputs!$C$49+Inputs!$C$50))+Inputs!$C$47*0.097)))+0.30*(2*((SIN(((Model_Data!A188)*12.9898+(0)*78.233+Inputs!$C$47*37.719))*43758.5453)-INT((SIN(((Model_Data!A188)*12.9898+(0)*78.233+Inputs!$C$47*37.719))*43758.5453)))-1)))</x:f>
        <x:v>-3.610290991247414</x:v>
      </x:c>
      <x:c r="H188" s="49"/>
      <x:c r="I188" s="48" t="n">
        <x:f>Model_Data!A188</x:f>
        <x:v>33</x:v>
      </x:c>
      <x:c r="J188" s="48" t="n">
        <x:f>((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(0.45*SIN(2*PI()*(((Model_Data!A188)/Inputs!$C$49)+Inputs!$C$47*0.137))+0.35*COS(2*PI()*(((Inputs!$C$6)/Inputs!$C$50)+Inputs!$C$47*0.173))+0.20*SIN(2*PI()*(((Model_Data!A188)+(Inputs!$C$6))/(0.5*(Inputs!$C$49+Inputs!$C$50))+Inputs!$C$47*0.097)))+0.30*(2*((SIN(((Model_Data!A188)*12.9898+(Inputs!$C$6)*78.233+Inputs!$C$47*37.719))*43758.5453)-INT((SIN(((Model_Data!A188)*12.9898+(Inputs!$C$6)*78.233+Inputs!$C$47*37.719))*43758.5453)))-1))))-((Inputs!$C$51*(115*EXP(-(((0)-25)^2)/(4.5^2))+70*EXP(-(((0)+38)^2)/(7^2))*(0.55+0.45*SIN(2*PI()*(Model_Data!A188)/45))+24*SIN(2*PI()*(0)/9+(Model_Data!A188)/18)*EXP(-(((0)+5)^2)/(22^2))+18*SIN(2*PI()*(Model_Data!A188)/70))+Inputs!$C$28*EXP(-(((Model_Data!A188)-Inputs!$C$29)^2)/(2*Inputs!$C$31^2))*EXP(-(((0)-Inputs!$C$30)^2)/(2*Inputs!$C$32^2))+-Inputs!$C$33*EXP(-(((((Model_Data!A188)-Inputs!$C$34)^2)+(((0)-Inputs!$C$35)^2))/(2*Inputs!$C$36^2)))+Inputs!$C$37*(0.55*SIN(2*PI()*(Model_Data!A188)/Inputs!$C$39)+0.35*COS(2*PI()*(0)/Inputs!$C$40)+0.2*SIN(2*PI()*((Model_Data!A188)+(0))/(0.5*(Inputs!$C$39+Inputs!$C$40))))+Inputs!$C$38*SIN(2*PI()*(Model_Data!A188)/Inputs!$C$39)*SIN(2*PI()*(0)/Inputs!$C$40)+-Inputs!$C$41*EXP(-(((0)-Inputs!$C$43)^2)/(2*Inputs!$C$44^2))*EXP(-(((Model_Data!A188)-Inputs!$C$42)^2)/(2*Inputs!$C$45^2))+Inputs!$C$48*(0.70*(0.45*SIN(2*PI()*(((Model_Data!A188)/Inputs!$C$49)+Inputs!$C$47*0.137))+0.35*COS(2*PI()*(((0)/Inputs!$C$50)+Inputs!$C$47*0.173))+0.20*SIN(2*PI()*(((Model_Data!A188)+(0))/(0.5*(Inputs!$C$49+Inputs!$C$50))+Inputs!$C$47*0.097)))+0.30*(2*((SIN(((Model_Data!A188)*12.9898+(0)*78.233+Inputs!$C$47*37.719))*43758.5453)-INT((SIN(((Model_Data!A188)*12.9898+(0)*78.233+Inputs!$C$47*37.719))*43758.5453)))-1))))</x:f>
        <x:v>229.69447320925912</x:v>
      </x:c>
      <x:c r="K188" s="48" t="n">
        <x:f>-((((SQRT((Model_Data!A188)^2+Inputs!$C$6^2+((Model_Data!B188)-((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(0.45*SIN(2*PI()*(((Model_Data!A188)/Inputs!$C$49)+Inputs!$C$47*0.137))+0.35*COS(2*PI()*(((Inputs!$C$6)/Inputs!$C$50)+Inputs!$C$47*0.173))+0.20*SIN(2*PI()*(((Model_Data!A188)+(Inputs!$C$6))/(0.5*(Inputs!$C$49+Inputs!$C$50))+Inputs!$C$47*0.097)))+0.30*(2*((SIN(((Model_Data!A188)*12.9898+(Inputs!$C$6)*78.233+Inputs!$C$47*37.719))*43758.5453)-INT((SIN(((Model_Data!A188)*12.9898+(Inputs!$C$6)*78.233+Inputs!$C$47*37.719))*43758.5453)))-1))))/1000)^2))-(((Model_Data!B188)-((Inputs!$C$51*(115*EXP(-(((0)-25)^2)/(4.5^2))+70*EXP(-(((0)+38)^2)/(7^2))*(0.55+0.45*SIN(2*PI()*(Model_Data!A188)/45))+24*SIN(2*PI()*(0)/9+(Model_Data!A188)/18)*EXP(-(((0)+5)^2)/(22^2))+18*SIN(2*PI()*(Model_Data!A188)/70))+Inputs!$C$28*EXP(-(((Model_Data!A188)-Inputs!$C$29)^2)/(2*Inputs!$C$31^2))*EXP(-(((0)-Inputs!$C$30)^2)/(2*Inputs!$C$32^2))+-Inputs!$C$33*EXP(-(((((Model_Data!A188)-Inputs!$C$34)^2)+(((0)-Inputs!$C$35)^2))/(2*Inputs!$C$36^2)))+Inputs!$C$37*(0.55*SIN(2*PI()*(Model_Data!A188)/Inputs!$C$39)+0.35*COS(2*PI()*(0)/Inputs!$C$40)+0.2*SIN(2*PI()*((Model_Data!A188)+(0))/(0.5*(Inputs!$C$39+Inputs!$C$40))))+Inputs!$C$38*SIN(2*PI()*(Model_Data!A188)/Inputs!$C$39)*SIN(2*PI()*(0)/Inputs!$C$40)+-Inputs!$C$41*EXP(-(((0)-Inputs!$C$43)^2)/(2*Inputs!$C$44^2))*EXP(-(((Model_Data!A188)-Inputs!$C$42)^2)/(2*Inputs!$C$45^2))+Inputs!$C$48*(0.70*(0.45*SIN(2*PI()*(((Model_Data!A188)/Inputs!$C$49)+Inputs!$C$47*0.137))+0.35*COS(2*PI()*(((0)/Inputs!$C$50)+Inputs!$C$47*0.173))+0.20*SIN(2*PI()*(((Model_Data!A188)+(0))/(0.5*(Inputs!$C$49+Inputs!$C$50))+Inputs!$C$47*0.097)))+0.30*(2*((SIN(((Model_Data!A188)*12.9898+(0)*78.233+Inputs!$C$47*37.719))*43758.5453)-INT((SIN(((Model_Data!A188)*12.9898+(0)*78.233+Inputs!$C$47*37.719))*43758.5453)))-1))))/1000)))*1000/Inputs!$C$12)-Model_Data!F188)</x:f>
        <x:v>128.37059722306208</x:v>
      </x:c>
      <x:c r="L188" s="49"/>
      <x:c r="M188" s="48" t="n">
        <x:f>Model_Data!A188</x:f>
        <x:v>33</x:v>
      </x:c>
      <x:c r="N188" s="48" t="n">
        <x:f>Model_Data!P188</x:f>
        <x:v>-247.62039958551682</x:v>
      </x:c>
      <x:c r="O188" s="48" t="n">
        <x:f>AC188</x:f>
        <x:v>-250.44993181209065</x:v>
      </x:c>
      <x:c r="P188" s="48" t="n">
        <x:f>Model_Data!Q188</x:f>
        <x:v>-37.18024017800553</x:v>
      </x:c>
      <x:c r="Q188" s="48" t="n">
        <x:f>AD188</x:f>
        <x:v>-37.60509486668028</x:v>
      </x:c>
      <x:c r="R188" s="49"/>
      <x:c r="S188" s="48" t="n">
        <x:f>Model_Data!A188</x:f>
        <x:v>33</x:v>
      </x:c>
      <x:c r="T188" s="48" t="n">
        <x:f>Model_Data!B188-Inputs!$C$5</x:f>
        <x:v>1.2099999999999795</x:v>
      </x:c>
      <x:c r="U188" s="49"/>
      <x:c r="V188" s="48" t="n">
        <x:f>Model_Data!A188</x:f>
        <x:v>33</x:v>
      </x:c>
      <x:c r="W188" s="48" t="n">
        <x:f>(-((((SQRT((Model_Data!A188)^2+Inputs!$C$6^2+((Model_Data!B188)-((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(0.45*SIN(2*PI()*(((Model_Data!A188)/Inputs!$C$49)+Inputs!$C$47*0.137))+0.35*COS(2*PI()*(((Inputs!$C$6)/Inputs!$C$50)+Inputs!$C$47*0.173))+0.20*SIN(2*PI()*(((Model_Data!A188)+(Inputs!$C$6))/(0.5*(Inputs!$C$49+Inputs!$C$50))+Inputs!$C$47*0.097)))+0.30*(2*((SIN(((Model_Data!A188)*12.9898+(Inputs!$C$6)*78.233+Inputs!$C$47*37.719))*43758.5453)-INT((SIN(((Model_Data!A188)*12.9898+(Inputs!$C$6)*78.233+Inputs!$C$47*37.719))*43758.5453)))-1))))/1000)^2))-(((Model_Data!B188)-((Inputs!$C$51*(115*EXP(-(((0)-25)^2)/(4.5^2))+70*EXP(-(((0)+38)^2)/(7^2))*(0.55+0.45*SIN(2*PI()*(Model_Data!A188)/45))+24*SIN(2*PI()*(0)/9+(Model_Data!A188)/18)*EXP(-(((0)+5)^2)/(22^2))+18*SIN(2*PI()*(Model_Data!A188)/70))+Inputs!$C$28*EXP(-(((Model_Data!A188)-Inputs!$C$29)^2)/(2*Inputs!$C$31^2))*EXP(-(((0)-Inputs!$C$30)^2)/(2*Inputs!$C$32^2))+-Inputs!$C$33*EXP(-(((((Model_Data!A188)-Inputs!$C$34)^2)+(((0)-Inputs!$C$35)^2))/(2*Inputs!$C$36^2)))+Inputs!$C$37*(0.55*SIN(2*PI()*(Model_Data!A188)/Inputs!$C$39)+0.35*COS(2*PI()*(0)/Inputs!$C$40)+0.2*SIN(2*PI()*((Model_Data!A188)+(0))/(0.5*(Inputs!$C$39+Inputs!$C$40))))+Inputs!$C$38*SIN(2*PI()*(Model_Data!A188)/Inputs!$C$39)*SIN(2*PI()*(0)/Inputs!$C$40)+-Inputs!$C$41*EXP(-(((0)-Inputs!$C$43)^2)/(2*Inputs!$C$44^2))*EXP(-(((Model_Data!A188)-Inputs!$C$42)^2)/(2*Inputs!$C$45^2))+Inputs!$C$48*(0.70*(0.45*SIN(2*PI()*(((Model_Data!A188)/Inputs!$C$49)+Inputs!$C$47*0.137))+0.35*COS(2*PI()*(((0)/Inputs!$C$50)+Inputs!$C$47*0.173))+0.20*SIN(2*PI()*(((Model_Data!A188)+(0))/(0.5*(Inputs!$C$49+Inputs!$C$50))+Inputs!$C$47*0.097)))+0.30*(2*((SIN(((Model_Data!A188)*12.9898+(0)*78.233+Inputs!$C$47*37.719))*43758.5453)-INT((SIN(((Model_Data!A188)*12.9898+(0)*78.233+Inputs!$C$47*37.719))*43758.5453)))-1))))/1000)))*1000/Inputs!$C$12)-Model_Data!F188))-(-(((SQRT((Model_Data!A188)^2+Inputs!$C$6^2+(Inputs!$C$5-((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(0.45*SIN(2*PI()*(((Model_Data!A188)/Inputs!$C$49)+Inputs!$C$47*0.137))+0.35*COS(2*PI()*(((Inputs!$C$6)/Inputs!$C$50)+Inputs!$C$47*0.173))+0.20*SIN(2*PI()*(((Model_Data!A188)+(Inputs!$C$6))/(0.5*(Inputs!$C$49+Inputs!$C$50))+Inputs!$C$47*0.097)))+0.30*(2*((SIN(((Model_Data!A188)*12.9898+(Inputs!$C$6)*78.233+Inputs!$C$47*37.719))*43758.5453)-INT((SIN(((Model_Data!A188)*12.9898+(Inputs!$C$6)*78.233+Inputs!$C$47*37.719))*43758.5453)))-1))))/1000)^2)-(Inputs!$C$5-((Inputs!$C$51*(115*EXP(-(((0)-25)^2)/(4.5^2))+70*EXP(-(((0)+38)^2)/(7^2))*(0.55+0.45*SIN(2*PI()*(Model_Data!A188)/45))+24*SIN(2*PI()*(0)/9+(Model_Data!A188)/18)*EXP(-(((0)+5)^2)/(22^2))+18*SIN(2*PI()*(Model_Data!A188)/70))+Inputs!$C$28*EXP(-(((Model_Data!A188)-Inputs!$C$29)^2)/(2*Inputs!$C$31^2))*EXP(-(((0)-Inputs!$C$30)^2)/(2*Inputs!$C$32^2))+-Inputs!$C$33*EXP(-(((((Model_Data!A188)-Inputs!$C$34)^2)+(((0)-Inputs!$C$35)^2))/(2*Inputs!$C$36^2)))+Inputs!$C$37*(0.55*SIN(2*PI()*(Model_Data!A188)/Inputs!$C$39)+0.35*COS(2*PI()*(0)/Inputs!$C$40)+0.2*SIN(2*PI()*((Model_Data!A188)+(0))/(0.5*(Inputs!$C$39+Inputs!$C$40))))+Inputs!$C$38*SIN(2*PI()*(Model_Data!A188)/Inputs!$C$39)*SIN(2*PI()*(0)/Inputs!$C$40)+-Inputs!$C$41*EXP(-(((0)-Inputs!$C$43)^2)/(2*Inputs!$C$44^2))*EXP(-(((Model_Data!A188)-Inputs!$C$42)^2)/(2*Inputs!$C$45^2))+Inputs!$C$48*(0.70*(0.45*SIN(2*PI()*(((Model_Data!A188)/Inputs!$C$49)+Inputs!$C$47*0.137))+0.35*COS(2*PI()*(((0)/Inputs!$C$50)+Inputs!$C$47*0.173))+0.20*SIN(2*PI()*(((Model_Data!A188)+(0))/(0.5*(Inputs!$C$49+Inputs!$C$50))+Inputs!$C$47*0.097)))+0.30*(2*((SIN(((Model_Data!A188)*12.9898+(0)*78.233+Inputs!$C$47*37.719))*43758.5453)-INT((SIN(((Model_Data!A188)*12.9898+(0)*78.233+Inputs!$C$47*37.719))*43758.5453)))-1))))/1000))*1000/Inputs!$C$12)-((SQRT((Model_Data!A188)^2+Inputs!$C$6^2+Inputs!$C$5^2)-Inputs!$C$5)*1000/Inputs!$C$12)))</x:f>
        <x:v>0.004035919208490668</x:v>
      </x:c>
      <x:c r="X188" s="48" t="n">
        <x:f>0</x:f>
        <x:v>0</x:v>
      </x:c>
      <x:c r="Y188" s="49"/>
      <x:c r="Z188" s="48" t="n">
        <x:f>Model_Data!A188</x:f>
        <x:v>33</x:v>
      </x:c>
      <x:c r="AA188" s="48" t="n">
        <x:f>SQRT((Model_Data!A188)^2+Inputs!$C$6^2+((Model_Data!B188)-((Inputs!$C$51*(115*EXP(-(((Inputs!$C$6)-25)^2)/(4.5^2))+70*EXP(-(((Inputs!$C$6)+38)^2)/(7^2))*(0.55+0.45*SIN(2*PI()*(Model_Data!A188)/45))+24*SIN(2*PI()*(Inputs!$C$6)/9+(Model_Data!A188)/18)*EXP(-(((Inputs!$C$6)+5)^2)/(22^2))+18*SIN(2*PI()*(Model_Data!A188)/70))+Inputs!$C$28*EXP(-(((Model_Data!A188)-Inputs!$C$29)^2)/(2*Inputs!$C$31^2))*EXP(-(((Inputs!$C$6)-Inputs!$C$30)^2)/(2*Inputs!$C$32^2))+-Inputs!$C$33*EXP(-(((((Model_Data!A188)-Inputs!$C$34)^2)+(((Inputs!$C$6)-Inputs!$C$35)^2))/(2*Inputs!$C$36^2)))+Inputs!$C$37*(0.55*SIN(2*PI()*(Model_Data!A188)/Inputs!$C$39)+0.35*COS(2*PI()*(Inputs!$C$6)/Inputs!$C$40)+0.2*SIN(2*PI()*((Model_Data!A188)+(Inputs!$C$6))/(0.5*(Inputs!$C$39+Inputs!$C$40))))+Inputs!$C$38*SIN(2*PI()*(Model_Data!A188)/Inputs!$C$39)*SIN(2*PI()*(Inputs!$C$6)/Inputs!$C$40)+-Inputs!$C$41*EXP(-(((Inputs!$C$6)-Inputs!$C$43)^2)/(2*Inputs!$C$44^2))*EXP(-(((Model_Data!A188)-Inputs!$C$42)^2)/(2*Inputs!$C$45^2))+Inputs!$C$48*(0.70*(0.45*SIN(2*PI()*(((Model_Data!A188)/Inputs!$C$49)+Inputs!$C$47*0.137))+0.35*COS(2*PI()*(((Inputs!$C$6)/Inputs!$C$50)+Inputs!$C$47*0.173))+0.20*SIN(2*PI()*(((Model_Data!A188)+(Inputs!$C$6))/(0.5*(Inputs!$C$49+Inputs!$C$50))+Inputs!$C$47*0.097)))+0.30*(2*((SIN(((Model_Data!A188)*12.9898+(Inputs!$C$6)*78.233+Inputs!$C$47*37.719))*43758.5453)-INT((SIN(((Model_Data!A188)*12.9898+(Inputs!$C$6)*78.233+Inputs!$C$47*37.719))*43758.5453)))-1))))/1000)^2)</x:f>
        <x:v>403.1154930594482</x:v>
      </x:c>
      <x:c r="AB188" s="48" t="n">
        <x:f>1000*(AA189-AA187)/(Z189-Z187)*Inputs!$C$11</x:f>
        <x:v>626.1248295302266</x:v>
      </x:c>
      <x:c r="AC188" s="48" t="n">
        <x:f>-2*AB188/Inputs!$C$13</x:f>
        <x:v>-250.44993181209065</x:v>
      </x:c>
      <x:c r="AD188" s="48" t="n">
        <x:f>-2*AB188/Inputs!$C$14</x:f>
        <x:v>-37.60509486668028</x:v>
      </x:c>
    </x:row>
    <x:row r="189">
      <x:c r="A189" s="48" t="n">
        <x:f>Model_Data!A189</x:f>
        <x:v>33.5</x:v>
      </x:c>
      <x:c r="B189" s="48" t="n">
        <x:f>Model_Data!F189</x:f>
        <x:v>1219.8874954154699</x:v>
      </x:c>
      <x:c r="C189" s="48" t="n">
        <x:f>(((SQRT((Model_Data!A189)^2+Inputs!$C$6^2+((Model_Data!B189)-((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(0.45*SIN(2*PI()*(((Model_Data!A189)/Inputs!$C$49)+Inputs!$C$47*0.137))+0.35*COS(2*PI()*(((Inputs!$C$6)/Inputs!$C$50)+Inputs!$C$47*0.173))+0.20*SIN(2*PI()*(((Model_Data!A189)+(Inputs!$C$6))/(0.5*(Inputs!$C$49+Inputs!$C$50))+Inputs!$C$47*0.097)))+0.30*(2*((SIN(((Model_Data!A189)*12.9898+(Inputs!$C$6)*78.233+Inputs!$C$47*37.719))*43758.5453)-INT((SIN(((Model_Data!A189)*12.9898+(Inputs!$C$6)*78.233+Inputs!$C$47*37.719))*43758.5453)))-1))))/1000)^2))-(((Model_Data!B189)-((Inputs!$C$51*(115*EXP(-(((0)-25)^2)/(4.5^2))+70*EXP(-(((0)+38)^2)/(7^2))*(0.55+0.45*SIN(2*PI()*(Model_Data!A189)/45))+24*SIN(2*PI()*(0)/9+(Model_Data!A189)/18)*EXP(-(((0)+5)^2)/(22^2))+18*SIN(2*PI()*(Model_Data!A189)/70))+Inputs!$C$28*EXP(-(((Model_Data!A189)-Inputs!$C$29)^2)/(2*Inputs!$C$31^2))*EXP(-(((0)-Inputs!$C$30)^2)/(2*Inputs!$C$32^2))+-Inputs!$C$33*EXP(-(((((Model_Data!A189)-Inputs!$C$34)^2)+(((0)-Inputs!$C$35)^2))/(2*Inputs!$C$36^2)))+Inputs!$C$37*(0.55*SIN(2*PI()*(Model_Data!A189)/Inputs!$C$39)+0.35*COS(2*PI()*(0)/Inputs!$C$40)+0.2*SIN(2*PI()*((Model_Data!A189)+(0))/(0.5*(Inputs!$C$39+Inputs!$C$40))))+Inputs!$C$38*SIN(2*PI()*(Model_Data!A189)/Inputs!$C$39)*SIN(2*PI()*(0)/Inputs!$C$40)+-Inputs!$C$41*EXP(-(((0)-Inputs!$C$43)^2)/(2*Inputs!$C$44^2))*EXP(-(((Model_Data!A189)-Inputs!$C$42)^2)/(2*Inputs!$C$45^2))+Inputs!$C$48*(0.70*(0.45*SIN(2*PI()*(((Model_Data!A189)/Inputs!$C$49)+Inputs!$C$47*0.137))+0.35*COS(2*PI()*(((0)/Inputs!$C$50)+Inputs!$C$47*0.173))+0.20*SIN(2*PI()*(((Model_Data!A189)+(0))/(0.5*(Inputs!$C$49+Inputs!$C$50))+Inputs!$C$47*0.097)))+0.30*(2*((SIN(((Model_Data!A189)*12.9898+(0)*78.233+Inputs!$C$47*37.719))*43758.5453)-INT((SIN(((Model_Data!A189)*12.9898+(0)*78.233+Inputs!$C$47*37.719))*43758.5453)))-1))))/1000)))*1000/Inputs!$C$12)</x:f>
        <x:v>1095.05512037188</x:v>
      </x:c>
      <x:c r="D189" s="49"/>
      <x:c r="E189" s="48" t="n">
        <x:f>Model_Data!A189</x:f>
        <x:v>33.5</x:v>
      </x:c>
      <x:c r="F189" s="48" t="n">
        <x:f>(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(0.45*SIN(2*PI()*(((Model_Data!A189)/Inputs!$C$49)+Inputs!$C$47*0.137))+0.35*COS(2*PI()*(((Inputs!$C$6)/Inputs!$C$50)+Inputs!$C$47*0.173))+0.20*SIN(2*PI()*(((Model_Data!A189)+(Inputs!$C$6))/(0.5*(Inputs!$C$49+Inputs!$C$50))+Inputs!$C$47*0.097)))+0.30*(2*((SIN(((Model_Data!A189)*12.9898+(Inputs!$C$6)*78.233+Inputs!$C$47*37.719))*43758.5453)-INT((SIN(((Model_Data!A189)*12.9898+(Inputs!$C$6)*78.233+Inputs!$C$47*37.719))*43758.5453)))-1)))</x:f>
        <x:v>226.23942491253771</x:v>
      </x:c>
      <x:c r="G189" s="48" t="n">
        <x:f>(Inputs!$C$51*(115*EXP(-(((0)-25)^2)/(4.5^2))+70*EXP(-(((0)+38)^2)/(7^2))*(0.55+0.45*SIN(2*PI()*(Model_Data!A189)/45))+24*SIN(2*PI()*(0)/9+(Model_Data!A189)/18)*EXP(-(((0)+5)^2)/(22^2))+18*SIN(2*PI()*(Model_Data!A189)/70))+Inputs!$C$28*EXP(-(((Model_Data!A189)-Inputs!$C$29)^2)/(2*Inputs!$C$31^2))*EXP(-(((0)-Inputs!$C$30)^2)/(2*Inputs!$C$32^2))+-Inputs!$C$33*EXP(-(((((Model_Data!A189)-Inputs!$C$34)^2)+(((0)-Inputs!$C$35)^2))/(2*Inputs!$C$36^2)))+Inputs!$C$37*(0.55*SIN(2*PI()*(Model_Data!A189)/Inputs!$C$39)+0.35*COS(2*PI()*(0)/Inputs!$C$40)+0.2*SIN(2*PI()*((Model_Data!A189)+(0))/(0.5*(Inputs!$C$39+Inputs!$C$40))))+Inputs!$C$38*SIN(2*PI()*(Model_Data!A189)/Inputs!$C$39)*SIN(2*PI()*(0)/Inputs!$C$40)+-Inputs!$C$41*EXP(-(((0)-Inputs!$C$43)^2)/(2*Inputs!$C$44^2))*EXP(-(((Model_Data!A189)-Inputs!$C$42)^2)/(2*Inputs!$C$45^2))+Inputs!$C$48*(0.70*(0.45*SIN(2*PI()*(((Model_Data!A189)/Inputs!$C$49)+Inputs!$C$47*0.137))+0.35*COS(2*PI()*(((0)/Inputs!$C$50)+Inputs!$C$47*0.173))+0.20*SIN(2*PI()*(((Model_Data!A189)+(0))/(0.5*(Inputs!$C$49+Inputs!$C$50))+Inputs!$C$47*0.097)))+0.30*(2*((SIN(((Model_Data!A189)*12.9898+(0)*78.233+Inputs!$C$47*37.719))*43758.5453)-INT((SIN(((Model_Data!A189)*12.9898+(0)*78.233+Inputs!$C$47*37.719))*43758.5453)))-1)))</x:f>
        <x:v>2.8193818928466783</x:v>
      </x:c>
      <x:c r="H189" s="49"/>
      <x:c r="I189" s="48" t="n">
        <x:f>Model_Data!A189</x:f>
        <x:v>33.5</x:v>
      </x:c>
      <x:c r="J189" s="48" t="n">
        <x:f>((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(0.45*SIN(2*PI()*(((Model_Data!A189)/Inputs!$C$49)+Inputs!$C$47*0.137))+0.35*COS(2*PI()*(((Inputs!$C$6)/Inputs!$C$50)+Inputs!$C$47*0.173))+0.20*SIN(2*PI()*(((Model_Data!A189)+(Inputs!$C$6))/(0.5*(Inputs!$C$49+Inputs!$C$50))+Inputs!$C$47*0.097)))+0.30*(2*((SIN(((Model_Data!A189)*12.9898+(Inputs!$C$6)*78.233+Inputs!$C$47*37.719))*43758.5453)-INT((SIN(((Model_Data!A189)*12.9898+(Inputs!$C$6)*78.233+Inputs!$C$47*37.719))*43758.5453)))-1))))-((Inputs!$C$51*(115*EXP(-(((0)-25)^2)/(4.5^2))+70*EXP(-(((0)+38)^2)/(7^2))*(0.55+0.45*SIN(2*PI()*(Model_Data!A189)/45))+24*SIN(2*PI()*(0)/9+(Model_Data!A189)/18)*EXP(-(((0)+5)^2)/(22^2))+18*SIN(2*PI()*(Model_Data!A189)/70))+Inputs!$C$28*EXP(-(((Model_Data!A189)-Inputs!$C$29)^2)/(2*Inputs!$C$31^2))*EXP(-(((0)-Inputs!$C$30)^2)/(2*Inputs!$C$32^2))+-Inputs!$C$33*EXP(-(((((Model_Data!A189)-Inputs!$C$34)^2)+(((0)-Inputs!$C$35)^2))/(2*Inputs!$C$36^2)))+Inputs!$C$37*(0.55*SIN(2*PI()*(Model_Data!A189)/Inputs!$C$39)+0.35*COS(2*PI()*(0)/Inputs!$C$40)+0.2*SIN(2*PI()*((Model_Data!A189)+(0))/(0.5*(Inputs!$C$39+Inputs!$C$40))))+Inputs!$C$38*SIN(2*PI()*(Model_Data!A189)/Inputs!$C$39)*SIN(2*PI()*(0)/Inputs!$C$40)+-Inputs!$C$41*EXP(-(((0)-Inputs!$C$43)^2)/(2*Inputs!$C$44^2))*EXP(-(((Model_Data!A189)-Inputs!$C$42)^2)/(2*Inputs!$C$45^2))+Inputs!$C$48*(0.70*(0.45*SIN(2*PI()*(((Model_Data!A189)/Inputs!$C$49)+Inputs!$C$47*0.137))+0.35*COS(2*PI()*(((0)/Inputs!$C$50)+Inputs!$C$47*0.173))+0.20*SIN(2*PI()*(((Model_Data!A189)+(0))/(0.5*(Inputs!$C$49+Inputs!$C$50))+Inputs!$C$47*0.097)))+0.30*(2*((SIN(((Model_Data!A189)*12.9898+(0)*78.233+Inputs!$C$47*37.719))*43758.5453)-INT((SIN(((Model_Data!A189)*12.9898+(0)*78.233+Inputs!$C$47*37.719))*43758.5453)))-1))))</x:f>
        <x:v>223.42004301969104</x:v>
      </x:c>
      <x:c r="K189" s="48" t="n">
        <x:f>-((((SQRT((Model_Data!A189)^2+Inputs!$C$6^2+((Model_Data!B189)-((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(0.45*SIN(2*PI()*(((Model_Data!A189)/Inputs!$C$49)+Inputs!$C$47*0.137))+0.35*COS(2*PI()*(((Inputs!$C$6)/Inputs!$C$50)+Inputs!$C$47*0.173))+0.20*SIN(2*PI()*(((Model_Data!A189)+(Inputs!$C$6))/(0.5*(Inputs!$C$49+Inputs!$C$50))+Inputs!$C$47*0.097)))+0.30*(2*((SIN(((Model_Data!A189)*12.9898+(Inputs!$C$6)*78.233+Inputs!$C$47*37.719))*43758.5453)-INT((SIN(((Model_Data!A189)*12.9898+(Inputs!$C$6)*78.233+Inputs!$C$47*37.719))*43758.5453)))-1))))/1000)^2))-(((Model_Data!B189)-((Inputs!$C$51*(115*EXP(-(((0)-25)^2)/(4.5^2))+70*EXP(-(((0)+38)^2)/(7^2))*(0.55+0.45*SIN(2*PI()*(Model_Data!A189)/45))+24*SIN(2*PI()*(0)/9+(Model_Data!A189)/18)*EXP(-(((0)+5)^2)/(22^2))+18*SIN(2*PI()*(Model_Data!A189)/70))+Inputs!$C$28*EXP(-(((Model_Data!A189)-Inputs!$C$29)^2)/(2*Inputs!$C$31^2))*EXP(-(((0)-Inputs!$C$30)^2)/(2*Inputs!$C$32^2))+-Inputs!$C$33*EXP(-(((((Model_Data!A189)-Inputs!$C$34)^2)+(((0)-Inputs!$C$35)^2))/(2*Inputs!$C$36^2)))+Inputs!$C$37*(0.55*SIN(2*PI()*(Model_Data!A189)/Inputs!$C$39)+0.35*COS(2*PI()*(0)/Inputs!$C$40)+0.2*SIN(2*PI()*((Model_Data!A189)+(0))/(0.5*(Inputs!$C$39+Inputs!$C$40))))+Inputs!$C$38*SIN(2*PI()*(Model_Data!A189)/Inputs!$C$39)*SIN(2*PI()*(0)/Inputs!$C$40)+-Inputs!$C$41*EXP(-(((0)-Inputs!$C$43)^2)/(2*Inputs!$C$44^2))*EXP(-(((Model_Data!A189)-Inputs!$C$42)^2)/(2*Inputs!$C$45^2))+Inputs!$C$48*(0.70*(0.45*SIN(2*PI()*(((Model_Data!A189)/Inputs!$C$49)+Inputs!$C$47*0.137))+0.35*COS(2*PI()*(((0)/Inputs!$C$50)+Inputs!$C$47*0.173))+0.20*SIN(2*PI()*(((Model_Data!A189)+(0))/(0.5*(Inputs!$C$49+Inputs!$C$50))+Inputs!$C$47*0.097)))+0.30*(2*((SIN(((Model_Data!A189)*12.9898+(0)*78.233+Inputs!$C$47*37.719))*43758.5453)-INT((SIN(((Model_Data!A189)*12.9898+(0)*78.233+Inputs!$C$47*37.719))*43758.5453)))-1))))/1000)))*1000/Inputs!$C$12)-Model_Data!F189)</x:f>
        <x:v>124.83237504358976</x:v>
      </x:c>
      <x:c r="L189" s="49"/>
      <x:c r="M189" s="48" t="n">
        <x:f>Model_Data!A189</x:f>
        <x:v>33.5</x:v>
      </x:c>
      <x:c r="N189" s="48" t="n">
        <x:f>Model_Data!P189</x:f>
        <x:v>-251.33455343294068</x:v>
      </x:c>
      <x:c r="O189" s="48" t="n">
        <x:f>AC189</x:f>
        <x:v>-224.06065490267792</x:v>
      </x:c>
      <x:c r="P189" s="48" t="n">
        <x:f>Model_Data!Q189</x:f>
        <x:v>-37.73792093587698</x:v>
      </x:c>
      <x:c r="Q189" s="48" t="n">
        <x:f>AD189</x:f>
        <x:v>-33.64274097637807</x:v>
      </x:c>
      <x:c r="R189" s="49"/>
      <x:c r="S189" s="48" t="n">
        <x:f>Model_Data!A189</x:f>
        <x:v>33.5</x:v>
      </x:c>
      <x:c r="T189" s="48" t="n">
        <x:f>Model_Data!B189-Inputs!$C$5</x:f>
        <x:v>1.2469444444444662</x:v>
      </x:c>
      <x:c r="U189" s="49"/>
      <x:c r="V189" s="48" t="n">
        <x:f>Model_Data!A189</x:f>
        <x:v>33.5</x:v>
      </x:c>
      <x:c r="W189" s="48" t="n">
        <x:f>(-((((SQRT((Model_Data!A189)^2+Inputs!$C$6^2+((Model_Data!B189)-((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(0.45*SIN(2*PI()*(((Model_Data!A189)/Inputs!$C$49)+Inputs!$C$47*0.137))+0.35*COS(2*PI()*(((Inputs!$C$6)/Inputs!$C$50)+Inputs!$C$47*0.173))+0.20*SIN(2*PI()*(((Model_Data!A189)+(Inputs!$C$6))/(0.5*(Inputs!$C$49+Inputs!$C$50))+Inputs!$C$47*0.097)))+0.30*(2*((SIN(((Model_Data!A189)*12.9898+(Inputs!$C$6)*78.233+Inputs!$C$47*37.719))*43758.5453)-INT((SIN(((Model_Data!A189)*12.9898+(Inputs!$C$6)*78.233+Inputs!$C$47*37.719))*43758.5453)))-1))))/1000)^2))-(((Model_Data!B189)-((Inputs!$C$51*(115*EXP(-(((0)-25)^2)/(4.5^2))+70*EXP(-(((0)+38)^2)/(7^2))*(0.55+0.45*SIN(2*PI()*(Model_Data!A189)/45))+24*SIN(2*PI()*(0)/9+(Model_Data!A189)/18)*EXP(-(((0)+5)^2)/(22^2))+18*SIN(2*PI()*(Model_Data!A189)/70))+Inputs!$C$28*EXP(-(((Model_Data!A189)-Inputs!$C$29)^2)/(2*Inputs!$C$31^2))*EXP(-(((0)-Inputs!$C$30)^2)/(2*Inputs!$C$32^2))+-Inputs!$C$33*EXP(-(((((Model_Data!A189)-Inputs!$C$34)^2)+(((0)-Inputs!$C$35)^2))/(2*Inputs!$C$36^2)))+Inputs!$C$37*(0.55*SIN(2*PI()*(Model_Data!A189)/Inputs!$C$39)+0.35*COS(2*PI()*(0)/Inputs!$C$40)+0.2*SIN(2*PI()*((Model_Data!A189)+(0))/(0.5*(Inputs!$C$39+Inputs!$C$40))))+Inputs!$C$38*SIN(2*PI()*(Model_Data!A189)/Inputs!$C$39)*SIN(2*PI()*(0)/Inputs!$C$40)+-Inputs!$C$41*EXP(-(((0)-Inputs!$C$43)^2)/(2*Inputs!$C$44^2))*EXP(-(((Model_Data!A189)-Inputs!$C$42)^2)/(2*Inputs!$C$45^2))+Inputs!$C$48*(0.70*(0.45*SIN(2*PI()*(((Model_Data!A189)/Inputs!$C$49)+Inputs!$C$47*0.137))+0.35*COS(2*PI()*(((0)/Inputs!$C$50)+Inputs!$C$47*0.173))+0.20*SIN(2*PI()*(((Model_Data!A189)+(0))/(0.5*(Inputs!$C$49+Inputs!$C$50))+Inputs!$C$47*0.097)))+0.30*(2*((SIN(((Model_Data!A189)*12.9898+(0)*78.233+Inputs!$C$47*37.719))*43758.5453)-INT((SIN(((Model_Data!A189)*12.9898+(0)*78.233+Inputs!$C$47*37.719))*43758.5453)))-1))))/1000)))*1000/Inputs!$C$12)-Model_Data!F189))-(-(((SQRT((Model_Data!A189)^2+Inputs!$C$6^2+(Inputs!$C$5-((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(0.45*SIN(2*PI()*(((Model_Data!A189)/Inputs!$C$49)+Inputs!$C$47*0.137))+0.35*COS(2*PI()*(((Inputs!$C$6)/Inputs!$C$50)+Inputs!$C$47*0.173))+0.20*SIN(2*PI()*(((Model_Data!A189)+(Inputs!$C$6))/(0.5*(Inputs!$C$49+Inputs!$C$50))+Inputs!$C$47*0.097)))+0.30*(2*((SIN(((Model_Data!A189)*12.9898+(Inputs!$C$6)*78.233+Inputs!$C$47*37.719))*43758.5453)-INT((SIN(((Model_Data!A189)*12.9898+(Inputs!$C$6)*78.233+Inputs!$C$47*37.719))*43758.5453)))-1))))/1000)^2)-(Inputs!$C$5-((Inputs!$C$51*(115*EXP(-(((0)-25)^2)/(4.5^2))+70*EXP(-(((0)+38)^2)/(7^2))*(0.55+0.45*SIN(2*PI()*(Model_Data!A189)/45))+24*SIN(2*PI()*(0)/9+(Model_Data!A189)/18)*EXP(-(((0)+5)^2)/(22^2))+18*SIN(2*PI()*(Model_Data!A189)/70))+Inputs!$C$28*EXP(-(((Model_Data!A189)-Inputs!$C$29)^2)/(2*Inputs!$C$31^2))*EXP(-(((0)-Inputs!$C$30)^2)/(2*Inputs!$C$32^2))+-Inputs!$C$33*EXP(-(((((Model_Data!A189)-Inputs!$C$34)^2)+(((0)-Inputs!$C$35)^2))/(2*Inputs!$C$36^2)))+Inputs!$C$37*(0.55*SIN(2*PI()*(Model_Data!A189)/Inputs!$C$39)+0.35*COS(2*PI()*(0)/Inputs!$C$40)+0.2*SIN(2*PI()*((Model_Data!A189)+(0))/(0.5*(Inputs!$C$39+Inputs!$C$40))))+Inputs!$C$38*SIN(2*PI()*(Model_Data!A189)/Inputs!$C$39)*SIN(2*PI()*(0)/Inputs!$C$40)+-Inputs!$C$41*EXP(-(((0)-Inputs!$C$43)^2)/(2*Inputs!$C$44^2))*EXP(-(((Model_Data!A189)-Inputs!$C$42)^2)/(2*Inputs!$C$45^2))+Inputs!$C$48*(0.70*(0.45*SIN(2*PI()*(((Model_Data!A189)/Inputs!$C$49)+Inputs!$C$47*0.137))+0.35*COS(2*PI()*(((0)/Inputs!$C$50)+Inputs!$C$47*0.173))+0.20*SIN(2*PI()*(((Model_Data!A189)+(0))/(0.5*(Inputs!$C$49+Inputs!$C$50))+Inputs!$C$47*0.097)))+0.30*(2*((SIN(((Model_Data!A189)*12.9898+(0)*78.233+Inputs!$C$47*37.719))*43758.5453)-INT((SIN(((Model_Data!A189)*12.9898+(0)*78.233+Inputs!$C$47*37.719))*43758.5453)))-1))))/1000))*1000/Inputs!$C$12)-((SQRT((Model_Data!A189)^2+Inputs!$C$6^2+Inputs!$C$5^2)-Inputs!$C$5)*1000/Inputs!$C$12)))</x:f>
        <x:v>0.004240859276933406</x:v>
      </x:c>
      <x:c r="X189" s="48" t="n">
        <x:f>0</x:f>
        <x:v>0</x:v>
      </x:c>
      <x:c r="Y189" s="49"/>
      <x:c r="Z189" s="48" t="n">
        <x:f>Model_Data!A189</x:f>
        <x:v>33.5</x:v>
      </x:c>
      <x:c r="AA189" s="48" t="n">
        <x:f>SQRT((Model_Data!A189)^2+Inputs!$C$6^2+((Model_Data!B189)-((Inputs!$C$51*(115*EXP(-(((Inputs!$C$6)-25)^2)/(4.5^2))+70*EXP(-(((Inputs!$C$6)+38)^2)/(7^2))*(0.55+0.45*SIN(2*PI()*(Model_Data!A189)/45))+24*SIN(2*PI()*(Inputs!$C$6)/9+(Model_Data!A189)/18)*EXP(-(((Inputs!$C$6)+5)^2)/(22^2))+18*SIN(2*PI()*(Model_Data!A189)/70))+Inputs!$C$28*EXP(-(((Model_Data!A189)-Inputs!$C$29)^2)/(2*Inputs!$C$31^2))*EXP(-(((Inputs!$C$6)-Inputs!$C$30)^2)/(2*Inputs!$C$32^2))+-Inputs!$C$33*EXP(-(((((Model_Data!A189)-Inputs!$C$34)^2)+(((Inputs!$C$6)-Inputs!$C$35)^2))/(2*Inputs!$C$36^2)))+Inputs!$C$37*(0.55*SIN(2*PI()*(Model_Data!A189)/Inputs!$C$39)+0.35*COS(2*PI()*(Inputs!$C$6)/Inputs!$C$40)+0.2*SIN(2*PI()*((Model_Data!A189)+(Inputs!$C$6))/(0.5*(Inputs!$C$39+Inputs!$C$40))))+Inputs!$C$38*SIN(2*PI()*(Model_Data!A189)/Inputs!$C$39)*SIN(2*PI()*(Inputs!$C$6)/Inputs!$C$40)+-Inputs!$C$41*EXP(-(((Inputs!$C$6)-Inputs!$C$43)^2)/(2*Inputs!$C$44^2))*EXP(-(((Model_Data!A189)-Inputs!$C$42)^2)/(2*Inputs!$C$45^2))+Inputs!$C$48*(0.70*(0.45*SIN(2*PI()*(((Model_Data!A189)/Inputs!$C$49)+Inputs!$C$47*0.137))+0.35*COS(2*PI()*(((Inputs!$C$6)/Inputs!$C$50)+Inputs!$C$47*0.173))+0.20*SIN(2*PI()*(((Model_Data!A189)+(Inputs!$C$6))/(0.5*(Inputs!$C$49+Inputs!$C$50))+Inputs!$C$47*0.097)))+0.30*(2*((SIN(((Model_Data!A189)*12.9898+(Inputs!$C$6)*78.233+Inputs!$C$47*37.719))*43758.5453)-INT((SIN(((Model_Data!A189)*12.9898+(Inputs!$C$6)*78.233+Inputs!$C$47*37.719))*43758.5453)))-1))))/1000)^2)</x:f>
        <x:v>403.1933231768136</x:v>
      </x:c>
      <x:c r="AB189" s="48" t="n">
        <x:f>1000*(AA190-AA188)/(Z190-Z188)*Inputs!$C$11</x:f>
        <x:v>560.1516372566948</x:v>
      </x:c>
      <x:c r="AC189" s="48" t="n">
        <x:f>-2*AB189/Inputs!$C$13</x:f>
        <x:v>-224.06065490267792</x:v>
      </x:c>
      <x:c r="AD189" s="48" t="n">
        <x:f>-2*AB189/Inputs!$C$14</x:f>
        <x:v>-33.64274097637807</x:v>
      </x:c>
    </x:row>
    <x:row r="190">
      <x:c r="A190" s="48" t="n">
        <x:f>Model_Data!A190</x:f>
        <x:v>34</x:v>
      </x:c>
      <x:c r="B190" s="48" t="n">
        <x:f>Model_Data!F190</x:f>
        <x:v>1243.2707350015928</x:v>
      </x:c>
      <x:c r="C190" s="48" t="n">
        <x:f>(((SQRT((Model_Data!A190)^2+Inputs!$C$6^2+((Model_Data!B190)-((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(0.45*SIN(2*PI()*(((Model_Data!A190)/Inputs!$C$49)+Inputs!$C$47*0.137))+0.35*COS(2*PI()*(((Inputs!$C$6)/Inputs!$C$50)+Inputs!$C$47*0.173))+0.20*SIN(2*PI()*(((Model_Data!A190)+(Inputs!$C$6))/(0.5*(Inputs!$C$49+Inputs!$C$50))+Inputs!$C$47*0.097)))+0.30*(2*((SIN(((Model_Data!A190)*12.9898+(Inputs!$C$6)*78.233+Inputs!$C$47*37.719))*43758.5453)-INT((SIN(((Model_Data!A190)*12.9898+(Inputs!$C$6)*78.233+Inputs!$C$47*37.719))*43758.5453)))-1))))/1000)^2))-(((Model_Data!B190)-((Inputs!$C$51*(115*EXP(-(((0)-25)^2)/(4.5^2))+70*EXP(-(((0)+38)^2)/(7^2))*(0.55+0.45*SIN(2*PI()*(Model_Data!A190)/45))+24*SIN(2*PI()*(0)/9+(Model_Data!A190)/18)*EXP(-(((0)+5)^2)/(22^2))+18*SIN(2*PI()*(Model_Data!A190)/70))+Inputs!$C$28*EXP(-(((Model_Data!A190)-Inputs!$C$29)^2)/(2*Inputs!$C$31^2))*EXP(-(((0)-Inputs!$C$30)^2)/(2*Inputs!$C$32^2))+-Inputs!$C$33*EXP(-(((((Model_Data!A190)-Inputs!$C$34)^2)+(((0)-Inputs!$C$35)^2))/(2*Inputs!$C$36^2)))+Inputs!$C$37*(0.55*SIN(2*PI()*(Model_Data!A190)/Inputs!$C$39)+0.35*COS(2*PI()*(0)/Inputs!$C$40)+0.2*SIN(2*PI()*((Model_Data!A190)+(0))/(0.5*(Inputs!$C$39+Inputs!$C$40))))+Inputs!$C$38*SIN(2*PI()*(Model_Data!A190)/Inputs!$C$39)*SIN(2*PI()*(0)/Inputs!$C$40)+-Inputs!$C$41*EXP(-(((0)-Inputs!$C$43)^2)/(2*Inputs!$C$44^2))*EXP(-(((Model_Data!A190)-Inputs!$C$42)^2)/(2*Inputs!$C$45^2))+Inputs!$C$48*(0.70*(0.45*SIN(2*PI()*(((Model_Data!A190)/Inputs!$C$49)+Inputs!$C$47*0.137))+0.35*COS(2*PI()*(((0)/Inputs!$C$50)+Inputs!$C$47*0.173))+0.20*SIN(2*PI()*(((Model_Data!A190)+(0))/(0.5*(Inputs!$C$49+Inputs!$C$50))+Inputs!$C$47*0.097)))+0.30*(2*((SIN(((Model_Data!A190)*12.9898+(0)*78.233+Inputs!$C$47*37.719))*43758.5453)-INT((SIN(((Model_Data!A190)*12.9898+(0)*78.233+Inputs!$C$47*37.719))*43758.5453)))-1))))/1000)))*1000/Inputs!$C$12)</x:f>
        <x:v>1112.9146643326565</x:v>
      </x:c>
      <x:c r="D190" s="49"/>
      <x:c r="E190" s="48" t="n">
        <x:f>Model_Data!A190</x:f>
        <x:v>34</x:v>
      </x:c>
      <x:c r="F190" s="48" t="n">
        <x:f>(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(0.45*SIN(2*PI()*(((Model_Data!A190)/Inputs!$C$49)+Inputs!$C$47*0.137))+0.35*COS(2*PI()*(((Inputs!$C$6)/Inputs!$C$50)+Inputs!$C$47*0.173))+0.20*SIN(2*PI()*(((Model_Data!A190)+(Inputs!$C$6))/(0.5*(Inputs!$C$49+Inputs!$C$50))+Inputs!$C$47*0.097)))+0.30*(2*((SIN(((Model_Data!A190)*12.9898+(Inputs!$C$6)*78.233+Inputs!$C$47*37.719))*43758.5453)-INT((SIN(((Model_Data!A190)*12.9898+(Inputs!$C$6)*78.233+Inputs!$C$47*37.719))*43758.5453)))-1)))</x:f>
        <x:v>243.2704274883201</x:v>
      </x:c>
      <x:c r="G190" s="48" t="n">
        <x:f>(Inputs!$C$51*(115*EXP(-(((0)-25)^2)/(4.5^2))+70*EXP(-(((0)+38)^2)/(7^2))*(0.55+0.45*SIN(2*PI()*(Model_Data!A190)/45))+24*SIN(2*PI()*(0)/9+(Model_Data!A190)/18)*EXP(-(((0)+5)^2)/(22^2))+18*SIN(2*PI()*(Model_Data!A190)/70))+Inputs!$C$28*EXP(-(((Model_Data!A190)-Inputs!$C$29)^2)/(2*Inputs!$C$31^2))*EXP(-(((0)-Inputs!$C$30)^2)/(2*Inputs!$C$32^2))+-Inputs!$C$33*EXP(-(((((Model_Data!A190)-Inputs!$C$34)^2)+(((0)-Inputs!$C$35)^2))/(2*Inputs!$C$36^2)))+Inputs!$C$37*(0.55*SIN(2*PI()*(Model_Data!A190)/Inputs!$C$39)+0.35*COS(2*PI()*(0)/Inputs!$C$40)+0.2*SIN(2*PI()*((Model_Data!A190)+(0))/(0.5*(Inputs!$C$39+Inputs!$C$40))))+Inputs!$C$38*SIN(2*PI()*(Model_Data!A190)/Inputs!$C$39)*SIN(2*PI()*(0)/Inputs!$C$40)+-Inputs!$C$41*EXP(-(((0)-Inputs!$C$43)^2)/(2*Inputs!$C$44^2))*EXP(-(((Model_Data!A190)-Inputs!$C$42)^2)/(2*Inputs!$C$45^2))+Inputs!$C$48*(0.70*(0.45*SIN(2*PI()*(((Model_Data!A190)/Inputs!$C$49)+Inputs!$C$47*0.137))+0.35*COS(2*PI()*(((0)/Inputs!$C$50)+Inputs!$C$47*0.173))+0.20*SIN(2*PI()*(((Model_Data!A190)+(0))/(0.5*(Inputs!$C$49+Inputs!$C$50))+Inputs!$C$47*0.097)))+0.30*(2*((SIN(((Model_Data!A190)*12.9898+(0)*78.233+Inputs!$C$47*37.719))*43758.5453)-INT((SIN(((Model_Data!A190)*12.9898+(0)*78.233+Inputs!$C$47*37.719))*43758.5453)))-1)))</x:f>
        <x:v>9.90157819415245</x:v>
      </x:c>
      <x:c r="H190" s="49"/>
      <x:c r="I190" s="48" t="n">
        <x:f>Model_Data!A190</x:f>
        <x:v>34</x:v>
      </x:c>
      <x:c r="J190" s="48" t="n">
        <x:f>((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(0.45*SIN(2*PI()*(((Model_Data!A190)/Inputs!$C$49)+Inputs!$C$47*0.137))+0.35*COS(2*PI()*(((Inputs!$C$6)/Inputs!$C$50)+Inputs!$C$47*0.173))+0.20*SIN(2*PI()*(((Model_Data!A190)+(Inputs!$C$6))/(0.5*(Inputs!$C$49+Inputs!$C$50))+Inputs!$C$47*0.097)))+0.30*(2*((SIN(((Model_Data!A190)*12.9898+(Inputs!$C$6)*78.233+Inputs!$C$47*37.719))*43758.5453)-INT((SIN(((Model_Data!A190)*12.9898+(Inputs!$C$6)*78.233+Inputs!$C$47*37.719))*43758.5453)))-1))))-((Inputs!$C$51*(115*EXP(-(((0)-25)^2)/(4.5^2))+70*EXP(-(((0)+38)^2)/(7^2))*(0.55+0.45*SIN(2*PI()*(Model_Data!A190)/45))+24*SIN(2*PI()*(0)/9+(Model_Data!A190)/18)*EXP(-(((0)+5)^2)/(22^2))+18*SIN(2*PI()*(Model_Data!A190)/70))+Inputs!$C$28*EXP(-(((Model_Data!A190)-Inputs!$C$29)^2)/(2*Inputs!$C$31^2))*EXP(-(((0)-Inputs!$C$30)^2)/(2*Inputs!$C$32^2))+-Inputs!$C$33*EXP(-(((((Model_Data!A190)-Inputs!$C$34)^2)+(((0)-Inputs!$C$35)^2))/(2*Inputs!$C$36^2)))+Inputs!$C$37*(0.55*SIN(2*PI()*(Model_Data!A190)/Inputs!$C$39)+0.35*COS(2*PI()*(0)/Inputs!$C$40)+0.2*SIN(2*PI()*((Model_Data!A190)+(0))/(0.5*(Inputs!$C$39+Inputs!$C$40))))+Inputs!$C$38*SIN(2*PI()*(Model_Data!A190)/Inputs!$C$39)*SIN(2*PI()*(0)/Inputs!$C$40)+-Inputs!$C$41*EXP(-(((0)-Inputs!$C$43)^2)/(2*Inputs!$C$44^2))*EXP(-(((Model_Data!A190)-Inputs!$C$42)^2)/(2*Inputs!$C$45^2))+Inputs!$C$48*(0.70*(0.45*SIN(2*PI()*(((Model_Data!A190)/Inputs!$C$49)+Inputs!$C$47*0.137))+0.35*COS(2*PI()*(((0)/Inputs!$C$50)+Inputs!$C$47*0.173))+0.20*SIN(2*PI()*(((Model_Data!A190)+(0))/(0.5*(Inputs!$C$49+Inputs!$C$50))+Inputs!$C$47*0.097)))+0.30*(2*((SIN(((Model_Data!A190)*12.9898+(0)*78.233+Inputs!$C$47*37.719))*43758.5453)-INT((SIN(((Model_Data!A190)*12.9898+(0)*78.233+Inputs!$C$47*37.719))*43758.5453)))-1))))</x:f>
        <x:v>233.36884929416766</x:v>
      </x:c>
      <x:c r="K190" s="48" t="n">
        <x:f>-((((SQRT((Model_Data!A190)^2+Inputs!$C$6^2+((Model_Data!B190)-((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(0.45*SIN(2*PI()*(((Model_Data!A190)/Inputs!$C$49)+Inputs!$C$47*0.137))+0.35*COS(2*PI()*(((Inputs!$C$6)/Inputs!$C$50)+Inputs!$C$47*0.173))+0.20*SIN(2*PI()*(((Model_Data!A190)+(Inputs!$C$6))/(0.5*(Inputs!$C$49+Inputs!$C$50))+Inputs!$C$47*0.097)))+0.30*(2*((SIN(((Model_Data!A190)*12.9898+(Inputs!$C$6)*78.233+Inputs!$C$47*37.719))*43758.5453)-INT((SIN(((Model_Data!A190)*12.9898+(Inputs!$C$6)*78.233+Inputs!$C$47*37.719))*43758.5453)))-1))))/1000)^2))-(((Model_Data!B190)-((Inputs!$C$51*(115*EXP(-(((0)-25)^2)/(4.5^2))+70*EXP(-(((0)+38)^2)/(7^2))*(0.55+0.45*SIN(2*PI()*(Model_Data!A190)/45))+24*SIN(2*PI()*(0)/9+(Model_Data!A190)/18)*EXP(-(((0)+5)^2)/(22^2))+18*SIN(2*PI()*(Model_Data!A190)/70))+Inputs!$C$28*EXP(-(((Model_Data!A190)-Inputs!$C$29)^2)/(2*Inputs!$C$31^2))*EXP(-(((0)-Inputs!$C$30)^2)/(2*Inputs!$C$32^2))+-Inputs!$C$33*EXP(-(((((Model_Data!A190)-Inputs!$C$34)^2)+(((0)-Inputs!$C$35)^2))/(2*Inputs!$C$36^2)))+Inputs!$C$37*(0.55*SIN(2*PI()*(Model_Data!A190)/Inputs!$C$39)+0.35*COS(2*PI()*(0)/Inputs!$C$40)+0.2*SIN(2*PI()*((Model_Data!A190)+(0))/(0.5*(Inputs!$C$39+Inputs!$C$40))))+Inputs!$C$38*SIN(2*PI()*(Model_Data!A190)/Inputs!$C$39)*SIN(2*PI()*(0)/Inputs!$C$40)+-Inputs!$C$41*EXP(-(((0)-Inputs!$C$43)^2)/(2*Inputs!$C$44^2))*EXP(-(((Model_Data!A190)-Inputs!$C$42)^2)/(2*Inputs!$C$45^2))+Inputs!$C$48*(0.70*(0.45*SIN(2*PI()*(((Model_Data!A190)/Inputs!$C$49)+Inputs!$C$47*0.137))+0.35*COS(2*PI()*(((0)/Inputs!$C$50)+Inputs!$C$47*0.173))+0.20*SIN(2*PI()*(((Model_Data!A190)+(0))/(0.5*(Inputs!$C$49+Inputs!$C$50))+Inputs!$C$47*0.097)))+0.30*(2*((SIN(((Model_Data!A190)*12.9898+(0)*78.233+Inputs!$C$47*37.719))*43758.5453)-INT((SIN(((Model_Data!A190)*12.9898+(0)*78.233+Inputs!$C$47*37.719))*43758.5453)))-1))))/1000)))*1000/Inputs!$C$12)-Model_Data!F190)</x:f>
        <x:v>130.35607066893635</x:v>
      </x:c>
      <x:c r="L190" s="49"/>
      <x:c r="M190" s="48" t="n">
        <x:f>Model_Data!A190</x:f>
        <x:v>34</x:v>
      </x:c>
      <x:c r="N190" s="48" t="n">
        <x:f>Model_Data!P190</x:f>
        <x:v>-255.04703052414416</x:v>
      </x:c>
      <x:c r="O190" s="48" t="n">
        <x:f>AC190</x:f>
        <x:v>-219.16033031420739</x:v>
      </x:c>
      <x:c r="P190" s="48" t="n">
        <x:f>Model_Data!Q190</x:f>
        <x:v>-38.29534992855017</x:v>
      </x:c>
      <x:c r="Q190" s="48" t="n">
        <x:f>AD190</x:f>
        <x:v>-32.906956503634746</x:v>
      </x:c>
      <x:c r="R190" s="49"/>
      <x:c r="S190" s="48" t="n">
        <x:f>Model_Data!A190</x:f>
        <x:v>34</x:v>
      </x:c>
      <x:c r="T190" s="48" t="n">
        <x:f>Model_Data!B190-Inputs!$C$5</x:f>
        <x:v>1.284444444444432</x:v>
      </x:c>
      <x:c r="U190" s="49"/>
      <x:c r="V190" s="48" t="n">
        <x:f>Model_Data!A190</x:f>
        <x:v>34</x:v>
      </x:c>
      <x:c r="W190" s="48" t="n">
        <x:f>(-((((SQRT((Model_Data!A190)^2+Inputs!$C$6^2+((Model_Data!B190)-((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(0.45*SIN(2*PI()*(((Model_Data!A190)/Inputs!$C$49)+Inputs!$C$47*0.137))+0.35*COS(2*PI()*(((Inputs!$C$6)/Inputs!$C$50)+Inputs!$C$47*0.173))+0.20*SIN(2*PI()*(((Model_Data!A190)+(Inputs!$C$6))/(0.5*(Inputs!$C$49+Inputs!$C$50))+Inputs!$C$47*0.097)))+0.30*(2*((SIN(((Model_Data!A190)*12.9898+(Inputs!$C$6)*78.233+Inputs!$C$47*37.719))*43758.5453)-INT((SIN(((Model_Data!A190)*12.9898+(Inputs!$C$6)*78.233+Inputs!$C$47*37.719))*43758.5453)))-1))))/1000)^2))-(((Model_Data!B190)-((Inputs!$C$51*(115*EXP(-(((0)-25)^2)/(4.5^2))+70*EXP(-(((0)+38)^2)/(7^2))*(0.55+0.45*SIN(2*PI()*(Model_Data!A190)/45))+24*SIN(2*PI()*(0)/9+(Model_Data!A190)/18)*EXP(-(((0)+5)^2)/(22^2))+18*SIN(2*PI()*(Model_Data!A190)/70))+Inputs!$C$28*EXP(-(((Model_Data!A190)-Inputs!$C$29)^2)/(2*Inputs!$C$31^2))*EXP(-(((0)-Inputs!$C$30)^2)/(2*Inputs!$C$32^2))+-Inputs!$C$33*EXP(-(((((Model_Data!A190)-Inputs!$C$34)^2)+(((0)-Inputs!$C$35)^2))/(2*Inputs!$C$36^2)))+Inputs!$C$37*(0.55*SIN(2*PI()*(Model_Data!A190)/Inputs!$C$39)+0.35*COS(2*PI()*(0)/Inputs!$C$40)+0.2*SIN(2*PI()*((Model_Data!A190)+(0))/(0.5*(Inputs!$C$39+Inputs!$C$40))))+Inputs!$C$38*SIN(2*PI()*(Model_Data!A190)/Inputs!$C$39)*SIN(2*PI()*(0)/Inputs!$C$40)+-Inputs!$C$41*EXP(-(((0)-Inputs!$C$43)^2)/(2*Inputs!$C$44^2))*EXP(-(((Model_Data!A190)-Inputs!$C$42)^2)/(2*Inputs!$C$45^2))+Inputs!$C$48*(0.70*(0.45*SIN(2*PI()*(((Model_Data!A190)/Inputs!$C$49)+Inputs!$C$47*0.137))+0.35*COS(2*PI()*(((0)/Inputs!$C$50)+Inputs!$C$47*0.173))+0.20*SIN(2*PI()*(((Model_Data!A190)+(0))/(0.5*(Inputs!$C$49+Inputs!$C$50))+Inputs!$C$47*0.097)))+0.30*(2*((SIN(((Model_Data!A190)*12.9898+(0)*78.233+Inputs!$C$47*37.719))*43758.5453)-INT((SIN(((Model_Data!A190)*12.9898+(0)*78.233+Inputs!$C$47*37.719))*43758.5453)))-1))))/1000)))*1000/Inputs!$C$12)-Model_Data!F190))-(-(((SQRT((Model_Data!A190)^2+Inputs!$C$6^2+(Inputs!$C$5-((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(0.45*SIN(2*PI()*(((Model_Data!A190)/Inputs!$C$49)+Inputs!$C$47*0.137))+0.35*COS(2*PI()*(((Inputs!$C$6)/Inputs!$C$50)+Inputs!$C$47*0.173))+0.20*SIN(2*PI()*(((Model_Data!A190)+(Inputs!$C$6))/(0.5*(Inputs!$C$49+Inputs!$C$50))+Inputs!$C$47*0.097)))+0.30*(2*((SIN(((Model_Data!A190)*12.9898+(Inputs!$C$6)*78.233+Inputs!$C$47*37.719))*43758.5453)-INT((SIN(((Model_Data!A190)*12.9898+(Inputs!$C$6)*78.233+Inputs!$C$47*37.719))*43758.5453)))-1))))/1000)^2)-(Inputs!$C$5-((Inputs!$C$51*(115*EXP(-(((0)-25)^2)/(4.5^2))+70*EXP(-(((0)+38)^2)/(7^2))*(0.55+0.45*SIN(2*PI()*(Model_Data!A190)/45))+24*SIN(2*PI()*(0)/9+(Model_Data!A190)/18)*EXP(-(((0)+5)^2)/(22^2))+18*SIN(2*PI()*(Model_Data!A190)/70))+Inputs!$C$28*EXP(-(((Model_Data!A190)-Inputs!$C$29)^2)/(2*Inputs!$C$31^2))*EXP(-(((0)-Inputs!$C$30)^2)/(2*Inputs!$C$32^2))+-Inputs!$C$33*EXP(-(((((Model_Data!A190)-Inputs!$C$34)^2)+(((0)-Inputs!$C$35)^2))/(2*Inputs!$C$36^2)))+Inputs!$C$37*(0.55*SIN(2*PI()*(Model_Data!A190)/Inputs!$C$39)+0.35*COS(2*PI()*(0)/Inputs!$C$40)+0.2*SIN(2*PI()*((Model_Data!A190)+(0))/(0.5*(Inputs!$C$39+Inputs!$C$40))))+Inputs!$C$38*SIN(2*PI()*(Model_Data!A190)/Inputs!$C$39)*SIN(2*PI()*(0)/Inputs!$C$40)+-Inputs!$C$41*EXP(-(((0)-Inputs!$C$43)^2)/(2*Inputs!$C$44^2))*EXP(-(((Model_Data!A190)-Inputs!$C$42)^2)/(2*Inputs!$C$45^2))+Inputs!$C$48*(0.70*(0.45*SIN(2*PI()*(((Model_Data!A190)/Inputs!$C$49)+Inputs!$C$47*0.137))+0.35*COS(2*PI()*(((0)/Inputs!$C$50)+Inputs!$C$47*0.173))+0.20*SIN(2*PI()*(((Model_Data!A190)+(0))/(0.5*(Inputs!$C$49+Inputs!$C$50))+Inputs!$C$47*0.097)))+0.30*(2*((SIN(((Model_Data!A190)*12.9898+(0)*78.233+Inputs!$C$47*37.719))*43758.5453)-INT((SIN(((Model_Data!A190)*12.9898+(0)*78.233+Inputs!$C$47*37.719))*43758.5453)))-1))))/1000))*1000/Inputs!$C$12)-((SQRT((Model_Data!A190)^2+Inputs!$C$6^2+Inputs!$C$5^2)-Inputs!$C$5)*1000/Inputs!$C$12)))</x:f>
        <x:v>0.00478612035203696</x:v>
      </x:c>
      <x:c r="X190" s="48" t="n">
        <x:f>0</x:f>
        <x:v>0</x:v>
      </x:c>
      <x:c r="Y190" s="49"/>
      <x:c r="Z190" s="48" t="n">
        <x:f>Model_Data!A190</x:f>
        <x:v>34</x:v>
      </x:c>
      <x:c r="AA190" s="48" t="n">
        <x:f>SQRT((Model_Data!A190)^2+Inputs!$C$6^2+((Model_Data!B190)-((Inputs!$C$51*(115*EXP(-(((Inputs!$C$6)-25)^2)/(4.5^2))+70*EXP(-(((Inputs!$C$6)+38)^2)/(7^2))*(0.55+0.45*SIN(2*PI()*(Model_Data!A190)/45))+24*SIN(2*PI()*(Inputs!$C$6)/9+(Model_Data!A190)/18)*EXP(-(((Inputs!$C$6)+5)^2)/(22^2))+18*SIN(2*PI()*(Model_Data!A190)/70))+Inputs!$C$28*EXP(-(((Model_Data!A190)-Inputs!$C$29)^2)/(2*Inputs!$C$31^2))*EXP(-(((Inputs!$C$6)-Inputs!$C$30)^2)/(2*Inputs!$C$32^2))+-Inputs!$C$33*EXP(-(((((Model_Data!A190)-Inputs!$C$34)^2)+(((Inputs!$C$6)-Inputs!$C$35)^2))/(2*Inputs!$C$36^2)))+Inputs!$C$37*(0.55*SIN(2*PI()*(Model_Data!A190)/Inputs!$C$39)+0.35*COS(2*PI()*(Inputs!$C$6)/Inputs!$C$40)+0.2*SIN(2*PI()*((Model_Data!A190)+(Inputs!$C$6))/(0.5*(Inputs!$C$39+Inputs!$C$40))))+Inputs!$C$38*SIN(2*PI()*(Model_Data!A190)/Inputs!$C$39)*SIN(2*PI()*(Inputs!$C$6)/Inputs!$C$40)+-Inputs!$C$41*EXP(-(((Inputs!$C$6)-Inputs!$C$43)^2)/(2*Inputs!$C$44^2))*EXP(-(((Model_Data!A190)-Inputs!$C$42)^2)/(2*Inputs!$C$45^2))+Inputs!$C$48*(0.70*(0.45*SIN(2*PI()*(((Model_Data!A190)/Inputs!$C$49)+Inputs!$C$47*0.137))+0.35*COS(2*PI()*(((Inputs!$C$6)/Inputs!$C$50)+Inputs!$C$47*0.173))+0.20*SIN(2*PI()*(((Model_Data!A190)+(Inputs!$C$6))/(0.5*(Inputs!$C$49+Inputs!$C$50))+Inputs!$C$47*0.097)))+0.30*(2*((SIN(((Model_Data!A190)*12.9898+(Inputs!$C$6)*78.233+Inputs!$C$47*37.719))*43758.5453)-INT((SIN(((Model_Data!A190)*12.9898+(Inputs!$C$6)*78.233+Inputs!$C$47*37.719))*43758.5453)))-1))))/1000)^2)</x:f>
        <x:v>403.2555309687624</x:v>
      </x:c>
      <x:c r="AB190" s="48" t="n">
        <x:f>1000*(AA191-AA189)/(Z191-Z189)*Inputs!$C$11</x:f>
        <x:v>547.9008257855185</x:v>
      </x:c>
      <x:c r="AC190" s="48" t="n">
        <x:f>-2*AB190/Inputs!$C$13</x:f>
        <x:v>-219.16033031420739</x:v>
      </x:c>
      <x:c r="AD190" s="48" t="n">
        <x:f>-2*AB190/Inputs!$C$14</x:f>
        <x:v>-32.906956503634746</x:v>
      </x:c>
    </x:row>
    <x:row r="191">
      <x:c r="A191" s="48" t="n">
        <x:f>Model_Data!A191</x:f>
        <x:v>34.5</x:v>
      </x:c>
      <x:c r="B191" s="48" t="n">
        <x:f>Model_Data!F191</x:f>
        <x:v>1266.9934849810077</x:v>
      </x:c>
      <x:c r="C191" s="48" t="n">
        <x:f>(((SQRT((Model_Data!A191)^2+Inputs!$C$6^2+((Model_Data!B191)-((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(0.45*SIN(2*PI()*(((Model_Data!A191)/Inputs!$C$49)+Inputs!$C$47*0.137))+0.35*COS(2*PI()*(((Inputs!$C$6)/Inputs!$C$50)+Inputs!$C$47*0.173))+0.20*SIN(2*PI()*(((Model_Data!A191)+(Inputs!$C$6))/(0.5*(Inputs!$C$49+Inputs!$C$50))+Inputs!$C$47*0.097)))+0.30*(2*((SIN(((Model_Data!A191)*12.9898+(Inputs!$C$6)*78.233+Inputs!$C$47*37.719))*43758.5453)-INT((SIN(((Model_Data!A191)*12.9898+(Inputs!$C$6)*78.233+Inputs!$C$47*37.719))*43758.5453)))-1))))/1000)^2))-(((Model_Data!B191)-((Inputs!$C$51*(115*EXP(-(((0)-25)^2)/(4.5^2))+70*EXP(-(((0)+38)^2)/(7^2))*(0.55+0.45*SIN(2*PI()*(Model_Data!A191)/45))+24*SIN(2*PI()*(0)/9+(Model_Data!A191)/18)*EXP(-(((0)+5)^2)/(22^2))+18*SIN(2*PI()*(Model_Data!A191)/70))+Inputs!$C$28*EXP(-(((Model_Data!A191)-Inputs!$C$29)^2)/(2*Inputs!$C$31^2))*EXP(-(((0)-Inputs!$C$30)^2)/(2*Inputs!$C$32^2))+-Inputs!$C$33*EXP(-(((((Model_Data!A191)-Inputs!$C$34)^2)+(((0)-Inputs!$C$35)^2))/(2*Inputs!$C$36^2)))+Inputs!$C$37*(0.55*SIN(2*PI()*(Model_Data!A191)/Inputs!$C$39)+0.35*COS(2*PI()*(0)/Inputs!$C$40)+0.2*SIN(2*PI()*((Model_Data!A191)+(0))/(0.5*(Inputs!$C$39+Inputs!$C$40))))+Inputs!$C$38*SIN(2*PI()*(Model_Data!A191)/Inputs!$C$39)*SIN(2*PI()*(0)/Inputs!$C$40)+-Inputs!$C$41*EXP(-(((0)-Inputs!$C$43)^2)/(2*Inputs!$C$44^2))*EXP(-(((Model_Data!A191)-Inputs!$C$42)^2)/(2*Inputs!$C$45^2))+Inputs!$C$48*(0.70*(0.45*SIN(2*PI()*(((Model_Data!A191)/Inputs!$C$49)+Inputs!$C$47*0.137))+0.35*COS(2*PI()*(((0)/Inputs!$C$50)+Inputs!$C$47*0.173))+0.20*SIN(2*PI()*(((Model_Data!A191)+(0))/(0.5*(Inputs!$C$49+Inputs!$C$50))+Inputs!$C$47*0.097)))+0.30*(2*((SIN(((Model_Data!A191)*12.9898+(0)*78.233+Inputs!$C$47*37.719))*43758.5453)-INT((SIN(((Model_Data!A191)*12.9898+(0)*78.233+Inputs!$C$47*37.719))*43758.5453)))-1))))/1000)))*1000/Inputs!$C$12)</x:f>
        <x:v>1140.5081876322138</x:v>
      </x:c>
      <x:c r="D191" s="49"/>
      <x:c r="E191" s="48" t="n">
        <x:f>Model_Data!A191</x:f>
        <x:v>34.5</x:v>
      </x:c>
      <x:c r="F191" s="48" t="n">
        <x:f>(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(0.45*SIN(2*PI()*(((Model_Data!A191)/Inputs!$C$49)+Inputs!$C$47*0.137))+0.35*COS(2*PI()*(((Inputs!$C$6)/Inputs!$C$50)+Inputs!$C$47*0.173))+0.20*SIN(2*PI()*(((Model_Data!A191)+(Inputs!$C$6))/(0.5*(Inputs!$C$49+Inputs!$C$50))+Inputs!$C$47*0.097)))+0.30*(2*((SIN(((Model_Data!A191)*12.9898+(Inputs!$C$6)*78.233+Inputs!$C$47*37.719))*43758.5453)-INT((SIN(((Model_Data!A191)*12.9898+(Inputs!$C$6)*78.233+Inputs!$C$47*37.719))*43758.5453)))-1)))</x:f>
        <x:v>248.8414359782273</x:v>
      </x:c>
      <x:c r="G191" s="48" t="n">
        <x:f>(Inputs!$C$51*(115*EXP(-(((0)-25)^2)/(4.5^2))+70*EXP(-(((0)+38)^2)/(7^2))*(0.55+0.45*SIN(2*PI()*(Model_Data!A191)/45))+24*SIN(2*PI()*(0)/9+(Model_Data!A191)/18)*EXP(-(((0)+5)^2)/(22^2))+18*SIN(2*PI()*(Model_Data!A191)/70))+Inputs!$C$28*EXP(-(((Model_Data!A191)-Inputs!$C$29)^2)/(2*Inputs!$C$31^2))*EXP(-(((0)-Inputs!$C$30)^2)/(2*Inputs!$C$32^2))+-Inputs!$C$33*EXP(-(((((Model_Data!A191)-Inputs!$C$34)^2)+(((0)-Inputs!$C$35)^2))/(2*Inputs!$C$36^2)))+Inputs!$C$37*(0.55*SIN(2*PI()*(Model_Data!A191)/Inputs!$C$39)+0.35*COS(2*PI()*(0)/Inputs!$C$40)+0.2*SIN(2*PI()*((Model_Data!A191)+(0))/(0.5*(Inputs!$C$39+Inputs!$C$40))))+Inputs!$C$38*SIN(2*PI()*(Model_Data!A191)/Inputs!$C$39)*SIN(2*PI()*(0)/Inputs!$C$40)+-Inputs!$C$41*EXP(-(((0)-Inputs!$C$43)^2)/(2*Inputs!$C$44^2))*EXP(-(((Model_Data!A191)-Inputs!$C$42)^2)/(2*Inputs!$C$45^2))+Inputs!$C$48*(0.70*(0.45*SIN(2*PI()*(((Model_Data!A191)/Inputs!$C$49)+Inputs!$C$47*0.137))+0.35*COS(2*PI()*(((0)/Inputs!$C$50)+Inputs!$C$47*0.173))+0.20*SIN(2*PI()*(((Model_Data!A191)+(0))/(0.5*(Inputs!$C$49+Inputs!$C$50))+Inputs!$C$47*0.097)))+0.30*(2*((SIN(((Model_Data!A191)*12.9898+(0)*78.233+Inputs!$C$47*37.719))*43758.5453)-INT((SIN(((Model_Data!A191)*12.9898+(0)*78.233+Inputs!$C$47*37.719))*43758.5453)))-1)))</x:f>
        <x:v>22.306190725387925</x:v>
      </x:c>
      <x:c r="H191" s="49"/>
      <x:c r="I191" s="48" t="n">
        <x:f>Model_Data!A191</x:f>
        <x:v>34.5</x:v>
      </x:c>
      <x:c r="J191" s="48" t="n">
        <x:f>((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(0.45*SIN(2*PI()*(((Model_Data!A191)/Inputs!$C$49)+Inputs!$C$47*0.137))+0.35*COS(2*PI()*(((Inputs!$C$6)/Inputs!$C$50)+Inputs!$C$47*0.173))+0.20*SIN(2*PI()*(((Model_Data!A191)+(Inputs!$C$6))/(0.5*(Inputs!$C$49+Inputs!$C$50))+Inputs!$C$47*0.097)))+0.30*(2*((SIN(((Model_Data!A191)*12.9898+(Inputs!$C$6)*78.233+Inputs!$C$47*37.719))*43758.5453)-INT((SIN(((Model_Data!A191)*12.9898+(Inputs!$C$6)*78.233+Inputs!$C$47*37.719))*43758.5453)))-1))))-((Inputs!$C$51*(115*EXP(-(((0)-25)^2)/(4.5^2))+70*EXP(-(((0)+38)^2)/(7^2))*(0.55+0.45*SIN(2*PI()*(Model_Data!A191)/45))+24*SIN(2*PI()*(0)/9+(Model_Data!A191)/18)*EXP(-(((0)+5)^2)/(22^2))+18*SIN(2*PI()*(Model_Data!A191)/70))+Inputs!$C$28*EXP(-(((Model_Data!A191)-Inputs!$C$29)^2)/(2*Inputs!$C$31^2))*EXP(-(((0)-Inputs!$C$30)^2)/(2*Inputs!$C$32^2))+-Inputs!$C$33*EXP(-(((((Model_Data!A191)-Inputs!$C$34)^2)+(((0)-Inputs!$C$35)^2))/(2*Inputs!$C$36^2)))+Inputs!$C$37*(0.55*SIN(2*PI()*(Model_Data!A191)/Inputs!$C$39)+0.35*COS(2*PI()*(0)/Inputs!$C$40)+0.2*SIN(2*PI()*((Model_Data!A191)+(0))/(0.5*(Inputs!$C$39+Inputs!$C$40))))+Inputs!$C$38*SIN(2*PI()*(Model_Data!A191)/Inputs!$C$39)*SIN(2*PI()*(0)/Inputs!$C$40)+-Inputs!$C$41*EXP(-(((0)-Inputs!$C$43)^2)/(2*Inputs!$C$44^2))*EXP(-(((Model_Data!A191)-Inputs!$C$42)^2)/(2*Inputs!$C$45^2))+Inputs!$C$48*(0.70*(0.45*SIN(2*PI()*(((Model_Data!A191)/Inputs!$C$49)+Inputs!$C$47*0.137))+0.35*COS(2*PI()*(((0)/Inputs!$C$50)+Inputs!$C$47*0.173))+0.20*SIN(2*PI()*(((Model_Data!A191)+(0))/(0.5*(Inputs!$C$49+Inputs!$C$50))+Inputs!$C$47*0.097)))+0.30*(2*((SIN(((Model_Data!A191)*12.9898+(0)*78.233+Inputs!$C$47*37.719))*43758.5453)-INT((SIN(((Model_Data!A191)*12.9898+(0)*78.233+Inputs!$C$47*37.719))*43758.5453)))-1))))</x:f>
        <x:v>226.5352452528394</x:v>
      </x:c>
      <x:c r="K191" s="48" t="n">
        <x:f>-((((SQRT((Model_Data!A191)^2+Inputs!$C$6^2+((Model_Data!B191)-((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(0.45*SIN(2*PI()*(((Model_Data!A191)/Inputs!$C$49)+Inputs!$C$47*0.137))+0.35*COS(2*PI()*(((Inputs!$C$6)/Inputs!$C$50)+Inputs!$C$47*0.173))+0.20*SIN(2*PI()*(((Model_Data!A191)+(Inputs!$C$6))/(0.5*(Inputs!$C$49+Inputs!$C$50))+Inputs!$C$47*0.097)))+0.30*(2*((SIN(((Model_Data!A191)*12.9898+(Inputs!$C$6)*78.233+Inputs!$C$47*37.719))*43758.5453)-INT((SIN(((Model_Data!A191)*12.9898+(Inputs!$C$6)*78.233+Inputs!$C$47*37.719))*43758.5453)))-1))))/1000)^2))-(((Model_Data!B191)-((Inputs!$C$51*(115*EXP(-(((0)-25)^2)/(4.5^2))+70*EXP(-(((0)+38)^2)/(7^2))*(0.55+0.45*SIN(2*PI()*(Model_Data!A191)/45))+24*SIN(2*PI()*(0)/9+(Model_Data!A191)/18)*EXP(-(((0)+5)^2)/(22^2))+18*SIN(2*PI()*(Model_Data!A191)/70))+Inputs!$C$28*EXP(-(((Model_Data!A191)-Inputs!$C$29)^2)/(2*Inputs!$C$31^2))*EXP(-(((0)-Inputs!$C$30)^2)/(2*Inputs!$C$32^2))+-Inputs!$C$33*EXP(-(((((Model_Data!A191)-Inputs!$C$34)^2)+(((0)-Inputs!$C$35)^2))/(2*Inputs!$C$36^2)))+Inputs!$C$37*(0.55*SIN(2*PI()*(Model_Data!A191)/Inputs!$C$39)+0.35*COS(2*PI()*(0)/Inputs!$C$40)+0.2*SIN(2*PI()*((Model_Data!A191)+(0))/(0.5*(Inputs!$C$39+Inputs!$C$40))))+Inputs!$C$38*SIN(2*PI()*(Model_Data!A191)/Inputs!$C$39)*SIN(2*PI()*(0)/Inputs!$C$40)+-Inputs!$C$41*EXP(-(((0)-Inputs!$C$43)^2)/(2*Inputs!$C$44^2))*EXP(-(((Model_Data!A191)-Inputs!$C$42)^2)/(2*Inputs!$C$45^2))+Inputs!$C$48*(0.70*(0.45*SIN(2*PI()*(((Model_Data!A191)/Inputs!$C$49)+Inputs!$C$47*0.137))+0.35*COS(2*PI()*(((0)/Inputs!$C$50)+Inputs!$C$47*0.173))+0.20*SIN(2*PI()*(((Model_Data!A191)+(0))/(0.5*(Inputs!$C$49+Inputs!$C$50))+Inputs!$C$47*0.097)))+0.30*(2*((SIN(((Model_Data!A191)*12.9898+(0)*78.233+Inputs!$C$47*37.719))*43758.5453)-INT((SIN(((Model_Data!A191)*12.9898+(0)*78.233+Inputs!$C$47*37.719))*43758.5453)))-1))))/1000)))*1000/Inputs!$C$12)-Model_Data!F191)</x:f>
        <x:v>126.48529734879389</x:v>
      </x:c>
      <x:c r="L191" s="49"/>
      <x:c r="M191" s="48" t="n">
        <x:f>Model_Data!A191</x:f>
        <x:v>34.5</x:v>
      </x:c>
      <x:c r="N191" s="48" t="n">
        <x:f>Model_Data!P191</x:f>
        <x:v>-258.75780750177796</x:v>
      </x:c>
      <x:c r="O191" s="48" t="n">
        <x:f>AC191</x:f>
        <x:v>-260.84565608452976</x:v>
      </x:c>
      <x:c r="P191" s="48" t="n">
        <x:f>Model_Data!Q191</x:f>
        <x:v>-38.852523648915614</x:v>
      </x:c>
      <x:c r="Q191" s="48" t="n">
        <x:f>AD191</x:f>
        <x:v>-39.166014427106575</x:v>
      </x:c>
      <x:c r="R191" s="49"/>
      <x:c r="S191" s="48" t="n">
        <x:f>Model_Data!A191</x:f>
        <x:v>34.5</x:v>
      </x:c>
      <x:c r="T191" s="48" t="n">
        <x:f>Model_Data!B191-Inputs!$C$5</x:f>
        <x:v>1.322499999999991</x:v>
      </x:c>
      <x:c r="U191" s="49"/>
      <x:c r="V191" s="48" t="n">
        <x:f>Model_Data!A191</x:f>
        <x:v>34.5</x:v>
      </x:c>
      <x:c r="W191" s="48" t="n">
        <x:f>(-((((SQRT((Model_Data!A191)^2+Inputs!$C$6^2+((Model_Data!B191)-((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(0.45*SIN(2*PI()*(((Model_Data!A191)/Inputs!$C$49)+Inputs!$C$47*0.137))+0.35*COS(2*PI()*(((Inputs!$C$6)/Inputs!$C$50)+Inputs!$C$47*0.173))+0.20*SIN(2*PI()*(((Model_Data!A191)+(Inputs!$C$6))/(0.5*(Inputs!$C$49+Inputs!$C$50))+Inputs!$C$47*0.097)))+0.30*(2*((SIN(((Model_Data!A191)*12.9898+(Inputs!$C$6)*78.233+Inputs!$C$47*37.719))*43758.5453)-INT((SIN(((Model_Data!A191)*12.9898+(Inputs!$C$6)*78.233+Inputs!$C$47*37.719))*43758.5453)))-1))))/1000)^2))-(((Model_Data!B191)-((Inputs!$C$51*(115*EXP(-(((0)-25)^2)/(4.5^2))+70*EXP(-(((0)+38)^2)/(7^2))*(0.55+0.45*SIN(2*PI()*(Model_Data!A191)/45))+24*SIN(2*PI()*(0)/9+(Model_Data!A191)/18)*EXP(-(((0)+5)^2)/(22^2))+18*SIN(2*PI()*(Model_Data!A191)/70))+Inputs!$C$28*EXP(-(((Model_Data!A191)-Inputs!$C$29)^2)/(2*Inputs!$C$31^2))*EXP(-(((0)-Inputs!$C$30)^2)/(2*Inputs!$C$32^2))+-Inputs!$C$33*EXP(-(((((Model_Data!A191)-Inputs!$C$34)^2)+(((0)-Inputs!$C$35)^2))/(2*Inputs!$C$36^2)))+Inputs!$C$37*(0.55*SIN(2*PI()*(Model_Data!A191)/Inputs!$C$39)+0.35*COS(2*PI()*(0)/Inputs!$C$40)+0.2*SIN(2*PI()*((Model_Data!A191)+(0))/(0.5*(Inputs!$C$39+Inputs!$C$40))))+Inputs!$C$38*SIN(2*PI()*(Model_Data!A191)/Inputs!$C$39)*SIN(2*PI()*(0)/Inputs!$C$40)+-Inputs!$C$41*EXP(-(((0)-Inputs!$C$43)^2)/(2*Inputs!$C$44^2))*EXP(-(((Model_Data!A191)-Inputs!$C$42)^2)/(2*Inputs!$C$45^2))+Inputs!$C$48*(0.70*(0.45*SIN(2*PI()*(((Model_Data!A191)/Inputs!$C$49)+Inputs!$C$47*0.137))+0.35*COS(2*PI()*(((0)/Inputs!$C$50)+Inputs!$C$47*0.173))+0.20*SIN(2*PI()*(((Model_Data!A191)+(0))/(0.5*(Inputs!$C$49+Inputs!$C$50))+Inputs!$C$47*0.097)))+0.30*(2*((SIN(((Model_Data!A191)*12.9898+(0)*78.233+Inputs!$C$47*37.719))*43758.5453)-INT((SIN(((Model_Data!A191)*12.9898+(0)*78.233+Inputs!$C$47*37.719))*43758.5453)))-1))))/1000)))*1000/Inputs!$C$12)-Model_Data!F191))-(-(((SQRT((Model_Data!A191)^2+Inputs!$C$6^2+(Inputs!$C$5-((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(0.45*SIN(2*PI()*(((Model_Data!A191)/Inputs!$C$49)+Inputs!$C$47*0.137))+0.35*COS(2*PI()*(((Inputs!$C$6)/Inputs!$C$50)+Inputs!$C$47*0.173))+0.20*SIN(2*PI()*(((Model_Data!A191)+(Inputs!$C$6))/(0.5*(Inputs!$C$49+Inputs!$C$50))+Inputs!$C$47*0.097)))+0.30*(2*((SIN(((Model_Data!A191)*12.9898+(Inputs!$C$6)*78.233+Inputs!$C$47*37.719))*43758.5453)-INT((SIN(((Model_Data!A191)*12.9898+(Inputs!$C$6)*78.233+Inputs!$C$47*37.719))*43758.5453)))-1))))/1000)^2)-(Inputs!$C$5-((Inputs!$C$51*(115*EXP(-(((0)-25)^2)/(4.5^2))+70*EXP(-(((0)+38)^2)/(7^2))*(0.55+0.45*SIN(2*PI()*(Model_Data!A191)/45))+24*SIN(2*PI()*(0)/9+(Model_Data!A191)/18)*EXP(-(((0)+5)^2)/(22^2))+18*SIN(2*PI()*(Model_Data!A191)/70))+Inputs!$C$28*EXP(-(((Model_Data!A191)-Inputs!$C$29)^2)/(2*Inputs!$C$31^2))*EXP(-(((0)-Inputs!$C$30)^2)/(2*Inputs!$C$32^2))+-Inputs!$C$33*EXP(-(((((Model_Data!A191)-Inputs!$C$34)^2)+(((0)-Inputs!$C$35)^2))/(2*Inputs!$C$36^2)))+Inputs!$C$37*(0.55*SIN(2*PI()*(Model_Data!A191)/Inputs!$C$39)+0.35*COS(2*PI()*(0)/Inputs!$C$40)+0.2*SIN(2*PI()*((Model_Data!A191)+(0))/(0.5*(Inputs!$C$39+Inputs!$C$40))))+Inputs!$C$38*SIN(2*PI()*(Model_Data!A191)/Inputs!$C$39)*SIN(2*PI()*(0)/Inputs!$C$40)+-Inputs!$C$41*EXP(-(((0)-Inputs!$C$43)^2)/(2*Inputs!$C$44^2))*EXP(-(((Model_Data!A191)-Inputs!$C$42)^2)/(2*Inputs!$C$45^2))+Inputs!$C$48*(0.70*(0.45*SIN(2*PI()*(((Model_Data!A191)/Inputs!$C$49)+Inputs!$C$47*0.137))+0.35*COS(2*PI()*(((0)/Inputs!$C$50)+Inputs!$C$47*0.173))+0.20*SIN(2*PI()*(((Model_Data!A191)+(0))/(0.5*(Inputs!$C$49+Inputs!$C$50))+Inputs!$C$47*0.097)))+0.30*(2*((SIN(((Model_Data!A191)*12.9898+(0)*78.233+Inputs!$C$47*37.719))*43758.5453)-INT((SIN(((Model_Data!A191)*12.9898+(0)*78.233+Inputs!$C$47*37.719))*43758.5453)))-1))))/1000))*1000/Inputs!$C$12)-((SQRT((Model_Data!A191)^2+Inputs!$C$6^2+Inputs!$C$5^2)-Inputs!$C$5)*1000/Inputs!$C$12)))</x:f>
        <x:v>0.00513547032801398</x:v>
      </x:c>
      <x:c r="X191" s="48" t="n">
        <x:f>0</x:f>
        <x:v>0</x:v>
      </x:c>
      <x:c r="Y191" s="49"/>
      <x:c r="Z191" s="48" t="n">
        <x:f>Model_Data!A191</x:f>
        <x:v>34.5</x:v>
      </x:c>
      <x:c r="AA191" s="48" t="n">
        <x:f>SQRT((Model_Data!A191)^2+Inputs!$C$6^2+((Model_Data!B191)-((Inputs!$C$51*(115*EXP(-(((Inputs!$C$6)-25)^2)/(4.5^2))+70*EXP(-(((Inputs!$C$6)+38)^2)/(7^2))*(0.55+0.45*SIN(2*PI()*(Model_Data!A191)/45))+24*SIN(2*PI()*(Inputs!$C$6)/9+(Model_Data!A191)/18)*EXP(-(((Inputs!$C$6)+5)^2)/(22^2))+18*SIN(2*PI()*(Model_Data!A191)/70))+Inputs!$C$28*EXP(-(((Model_Data!A191)-Inputs!$C$29)^2)/(2*Inputs!$C$31^2))*EXP(-(((Inputs!$C$6)-Inputs!$C$30)^2)/(2*Inputs!$C$32^2))+-Inputs!$C$33*EXP(-(((((Model_Data!A191)-Inputs!$C$34)^2)+(((Inputs!$C$6)-Inputs!$C$35)^2))/(2*Inputs!$C$36^2)))+Inputs!$C$37*(0.55*SIN(2*PI()*(Model_Data!A191)/Inputs!$C$39)+0.35*COS(2*PI()*(Inputs!$C$6)/Inputs!$C$40)+0.2*SIN(2*PI()*((Model_Data!A191)+(Inputs!$C$6))/(0.5*(Inputs!$C$39+Inputs!$C$40))))+Inputs!$C$38*SIN(2*PI()*(Model_Data!A191)/Inputs!$C$39)*SIN(2*PI()*(Inputs!$C$6)/Inputs!$C$40)+-Inputs!$C$41*EXP(-(((Inputs!$C$6)-Inputs!$C$43)^2)/(2*Inputs!$C$44^2))*EXP(-(((Model_Data!A191)-Inputs!$C$42)^2)/(2*Inputs!$C$45^2))+Inputs!$C$48*(0.70*(0.45*SIN(2*PI()*(((Model_Data!A191)/Inputs!$C$49)+Inputs!$C$47*0.137))+0.35*COS(2*PI()*(((Inputs!$C$6)/Inputs!$C$50)+Inputs!$C$47*0.173))+0.20*SIN(2*PI()*(((Model_Data!A191)+(Inputs!$C$6))/(0.5*(Inputs!$C$49+Inputs!$C$50))+Inputs!$C$47*0.097)))+0.30*(2*((SIN(((Model_Data!A191)*12.9898+(Inputs!$C$6)*78.233+Inputs!$C$47*37.719))*43758.5453)-INT((SIN(((Model_Data!A191)*12.9898+(Inputs!$C$6)*78.233+Inputs!$C$47*37.719))*43758.5453)))-1))))/1000)^2)</x:f>
        <x:v>403.33029838325996</x:v>
      </x:c>
      <x:c r="AB191" s="48" t="n">
        <x:f>1000*(AA192-AA190)/(Z192-Z190)*Inputs!$C$11</x:f>
        <x:v>652.1141402113244</x:v>
      </x:c>
      <x:c r="AC191" s="48" t="n">
        <x:f>-2*AB191/Inputs!$C$13</x:f>
        <x:v>-260.84565608452976</x:v>
      </x:c>
      <x:c r="AD191" s="48" t="n">
        <x:f>-2*AB191/Inputs!$C$14</x:f>
        <x:v>-39.166014427106575</x:v>
      </x:c>
    </x:row>
    <x:row r="192">
      <x:c r="A192" s="48" t="n">
        <x:f>Model_Data!A192</x:f>
        <x:v>35</x:v>
      </x:c>
      <x:c r="B192" s="48" t="n">
        <x:f>Model_Data!F192</x:f>
        <x:v>1291.0554448335768</x:v>
      </x:c>
      <x:c r="C192" s="48" t="n">
        <x:f>(((SQRT((Model_Data!A192)^2+Inputs!$C$6^2+((Model_Data!B192)-((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(0.45*SIN(2*PI()*(((Model_Data!A192)/Inputs!$C$49)+Inputs!$C$47*0.137))+0.35*COS(2*PI()*(((Inputs!$C$6)/Inputs!$C$50)+Inputs!$C$47*0.173))+0.20*SIN(2*PI()*(((Model_Data!A192)+(Inputs!$C$6))/(0.5*(Inputs!$C$49+Inputs!$C$50))+Inputs!$C$47*0.097)))+0.30*(2*((SIN(((Model_Data!A192)*12.9898+(Inputs!$C$6)*78.233+Inputs!$C$47*37.719))*43758.5453)-INT((SIN(((Model_Data!A192)*12.9898+(Inputs!$C$6)*78.233+Inputs!$C$47*37.719))*43758.5453)))-1))))/1000)^2))-(((Model_Data!B192)-((Inputs!$C$51*(115*EXP(-(((0)-25)^2)/(4.5^2))+70*EXP(-(((0)+38)^2)/(7^2))*(0.55+0.45*SIN(2*PI()*(Model_Data!A192)/45))+24*SIN(2*PI()*(0)/9+(Model_Data!A192)/18)*EXP(-(((0)+5)^2)/(22^2))+18*SIN(2*PI()*(Model_Data!A192)/70))+Inputs!$C$28*EXP(-(((Model_Data!A192)-Inputs!$C$29)^2)/(2*Inputs!$C$31^2))*EXP(-(((0)-Inputs!$C$30)^2)/(2*Inputs!$C$32^2))+-Inputs!$C$33*EXP(-(((((Model_Data!A192)-Inputs!$C$34)^2)+(((0)-Inputs!$C$35)^2))/(2*Inputs!$C$36^2)))+Inputs!$C$37*(0.55*SIN(2*PI()*(Model_Data!A192)/Inputs!$C$39)+0.35*COS(2*PI()*(0)/Inputs!$C$40)+0.2*SIN(2*PI()*((Model_Data!A192)+(0))/(0.5*(Inputs!$C$39+Inputs!$C$40))))+Inputs!$C$38*SIN(2*PI()*(Model_Data!A192)/Inputs!$C$39)*SIN(2*PI()*(0)/Inputs!$C$40)+-Inputs!$C$41*EXP(-(((0)-Inputs!$C$43)^2)/(2*Inputs!$C$44^2))*EXP(-(((Model_Data!A192)-Inputs!$C$42)^2)/(2*Inputs!$C$45^2))+Inputs!$C$48*(0.70*(0.45*SIN(2*PI()*(((Model_Data!A192)/Inputs!$C$49)+Inputs!$C$47*0.137))+0.35*COS(2*PI()*(((0)/Inputs!$C$50)+Inputs!$C$47*0.173))+0.20*SIN(2*PI()*(((Model_Data!A192)+(0))/(0.5*(Inputs!$C$49+Inputs!$C$50))+Inputs!$C$47*0.097)))+0.30*(2*((SIN(((Model_Data!A192)*12.9898+(0)*78.233+Inputs!$C$47*37.719))*43758.5453)-INT((SIN(((Model_Data!A192)*12.9898+(0)*78.233+Inputs!$C$47*37.719))*43758.5453)))-1))))/1000)))*1000/Inputs!$C$12)</x:f>
        <x:v>1172.1193048574567</x:v>
      </x:c>
      <x:c r="D192" s="49"/>
      <x:c r="E192" s="48" t="n">
        <x:f>Model_Data!A192</x:f>
        <x:v>35</x:v>
      </x:c>
      <x:c r="F192" s="48" t="n">
        <x:f>(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(0.45*SIN(2*PI()*(((Model_Data!A192)/Inputs!$C$49)+Inputs!$C$47*0.137))+0.35*COS(2*PI()*(((Inputs!$C$6)/Inputs!$C$50)+Inputs!$C$47*0.173))+0.20*SIN(2*PI()*(((Model_Data!A192)+(Inputs!$C$6))/(0.5*(Inputs!$C$49+Inputs!$C$50))+Inputs!$C$47*0.097)))+0.30*(2*((SIN(((Model_Data!A192)*12.9898+(Inputs!$C$6)*78.233+Inputs!$C$47*37.719))*43758.5453)-INT((SIN(((Model_Data!A192)*12.9898+(Inputs!$C$6)*78.233+Inputs!$C$47*37.719))*43758.5453)))-1)))</x:f>
        <x:v>242.00890812042311</x:v>
      </x:c>
      <x:c r="G192" s="48" t="n">
        <x:f>(Inputs!$C$51*(115*EXP(-(((0)-25)^2)/(4.5^2))+70*EXP(-(((0)+38)^2)/(7^2))*(0.55+0.45*SIN(2*PI()*(Model_Data!A192)/45))+24*SIN(2*PI()*(0)/9+(Model_Data!A192)/18)*EXP(-(((0)+5)^2)/(22^2))+18*SIN(2*PI()*(Model_Data!A192)/70))+Inputs!$C$28*EXP(-(((Model_Data!A192)-Inputs!$C$29)^2)/(2*Inputs!$C$31^2))*EXP(-(((0)-Inputs!$C$30)^2)/(2*Inputs!$C$32^2))+-Inputs!$C$33*EXP(-(((((Model_Data!A192)-Inputs!$C$34)^2)+(((0)-Inputs!$C$35)^2))/(2*Inputs!$C$36^2)))+Inputs!$C$37*(0.55*SIN(2*PI()*(Model_Data!A192)/Inputs!$C$39)+0.35*COS(2*PI()*(0)/Inputs!$C$40)+0.2*SIN(2*PI()*((Model_Data!A192)+(0))/(0.5*(Inputs!$C$39+Inputs!$C$40))))+Inputs!$C$38*SIN(2*PI()*(Model_Data!A192)/Inputs!$C$39)*SIN(2*PI()*(0)/Inputs!$C$40)+-Inputs!$C$41*EXP(-(((0)-Inputs!$C$43)^2)/(2*Inputs!$C$44^2))*EXP(-(((Model_Data!A192)-Inputs!$C$42)^2)/(2*Inputs!$C$45^2))+Inputs!$C$48*(0.70*(0.45*SIN(2*PI()*(((Model_Data!A192)/Inputs!$C$49)+Inputs!$C$47*0.137))+0.35*COS(2*PI()*(((0)/Inputs!$C$50)+Inputs!$C$47*0.173))+0.20*SIN(2*PI()*(((Model_Data!A192)+(0))/(0.5*(Inputs!$C$49+Inputs!$C$50))+Inputs!$C$47*0.097)))+0.30*(2*((SIN(((Model_Data!A192)*12.9898+(0)*78.233+Inputs!$C$47*37.719))*43758.5453)-INT((SIN(((Model_Data!A192)*12.9898+(0)*78.233+Inputs!$C$47*37.719))*43758.5453)))-1)))</x:f>
        <x:v>28.92396994213728</x:v>
      </x:c>
      <x:c r="H192" s="49"/>
      <x:c r="I192" s="48" t="n">
        <x:f>Model_Data!A192</x:f>
        <x:v>35</x:v>
      </x:c>
      <x:c r="J192" s="48" t="n">
        <x:f>((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(0.45*SIN(2*PI()*(((Model_Data!A192)/Inputs!$C$49)+Inputs!$C$47*0.137))+0.35*COS(2*PI()*(((Inputs!$C$6)/Inputs!$C$50)+Inputs!$C$47*0.173))+0.20*SIN(2*PI()*(((Model_Data!A192)+(Inputs!$C$6))/(0.5*(Inputs!$C$49+Inputs!$C$50))+Inputs!$C$47*0.097)))+0.30*(2*((SIN(((Model_Data!A192)*12.9898+(Inputs!$C$6)*78.233+Inputs!$C$47*37.719))*43758.5453)-INT((SIN(((Model_Data!A192)*12.9898+(Inputs!$C$6)*78.233+Inputs!$C$47*37.719))*43758.5453)))-1))))-((Inputs!$C$51*(115*EXP(-(((0)-25)^2)/(4.5^2))+70*EXP(-(((0)+38)^2)/(7^2))*(0.55+0.45*SIN(2*PI()*(Model_Data!A192)/45))+24*SIN(2*PI()*(0)/9+(Model_Data!A192)/18)*EXP(-(((0)+5)^2)/(22^2))+18*SIN(2*PI()*(Model_Data!A192)/70))+Inputs!$C$28*EXP(-(((Model_Data!A192)-Inputs!$C$29)^2)/(2*Inputs!$C$31^2))*EXP(-(((0)-Inputs!$C$30)^2)/(2*Inputs!$C$32^2))+-Inputs!$C$33*EXP(-(((((Model_Data!A192)-Inputs!$C$34)^2)+(((0)-Inputs!$C$35)^2))/(2*Inputs!$C$36^2)))+Inputs!$C$37*(0.55*SIN(2*PI()*(Model_Data!A192)/Inputs!$C$39)+0.35*COS(2*PI()*(0)/Inputs!$C$40)+0.2*SIN(2*PI()*((Model_Data!A192)+(0))/(0.5*(Inputs!$C$39+Inputs!$C$40))))+Inputs!$C$38*SIN(2*PI()*(Model_Data!A192)/Inputs!$C$39)*SIN(2*PI()*(0)/Inputs!$C$40)+-Inputs!$C$41*EXP(-(((0)-Inputs!$C$43)^2)/(2*Inputs!$C$44^2))*EXP(-(((Model_Data!A192)-Inputs!$C$42)^2)/(2*Inputs!$C$45^2))+Inputs!$C$48*(0.70*(0.45*SIN(2*PI()*(((Model_Data!A192)/Inputs!$C$49)+Inputs!$C$47*0.137))+0.35*COS(2*PI()*(((0)/Inputs!$C$50)+Inputs!$C$47*0.173))+0.20*SIN(2*PI()*(((Model_Data!A192)+(0))/(0.5*(Inputs!$C$49+Inputs!$C$50))+Inputs!$C$47*0.097)))+0.30*(2*((SIN(((Model_Data!A192)*12.9898+(0)*78.233+Inputs!$C$47*37.719))*43758.5453)-INT((SIN(((Model_Data!A192)*12.9898+(0)*78.233+Inputs!$C$47*37.719))*43758.5453)))-1))))</x:f>
        <x:v>213.08493817828582</x:v>
      </x:c>
      <x:c r="K192" s="48" t="n">
        <x:f>-((((SQRT((Model_Data!A192)^2+Inputs!$C$6^2+((Model_Data!B192)-((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(0.45*SIN(2*PI()*(((Model_Data!A192)/Inputs!$C$49)+Inputs!$C$47*0.137))+0.35*COS(2*PI()*(((Inputs!$C$6)/Inputs!$C$50)+Inputs!$C$47*0.173))+0.20*SIN(2*PI()*(((Model_Data!A192)+(Inputs!$C$6))/(0.5*(Inputs!$C$49+Inputs!$C$50))+Inputs!$C$47*0.097)))+0.30*(2*((SIN(((Model_Data!A192)*12.9898+(Inputs!$C$6)*78.233+Inputs!$C$47*37.719))*43758.5453)-INT((SIN(((Model_Data!A192)*12.9898+(Inputs!$C$6)*78.233+Inputs!$C$47*37.719))*43758.5453)))-1))))/1000)^2))-(((Model_Data!B192)-((Inputs!$C$51*(115*EXP(-(((0)-25)^2)/(4.5^2))+70*EXP(-(((0)+38)^2)/(7^2))*(0.55+0.45*SIN(2*PI()*(Model_Data!A192)/45))+24*SIN(2*PI()*(0)/9+(Model_Data!A192)/18)*EXP(-(((0)+5)^2)/(22^2))+18*SIN(2*PI()*(Model_Data!A192)/70))+Inputs!$C$28*EXP(-(((Model_Data!A192)-Inputs!$C$29)^2)/(2*Inputs!$C$31^2))*EXP(-(((0)-Inputs!$C$30)^2)/(2*Inputs!$C$32^2))+-Inputs!$C$33*EXP(-(((((Model_Data!A192)-Inputs!$C$34)^2)+(((0)-Inputs!$C$35)^2))/(2*Inputs!$C$36^2)))+Inputs!$C$37*(0.55*SIN(2*PI()*(Model_Data!A192)/Inputs!$C$39)+0.35*COS(2*PI()*(0)/Inputs!$C$40)+0.2*SIN(2*PI()*((Model_Data!A192)+(0))/(0.5*(Inputs!$C$39+Inputs!$C$40))))+Inputs!$C$38*SIN(2*PI()*(Model_Data!A192)/Inputs!$C$39)*SIN(2*PI()*(0)/Inputs!$C$40)+-Inputs!$C$41*EXP(-(((0)-Inputs!$C$43)^2)/(2*Inputs!$C$44^2))*EXP(-(((Model_Data!A192)-Inputs!$C$42)^2)/(2*Inputs!$C$45^2))+Inputs!$C$48*(0.70*(0.45*SIN(2*PI()*(((Model_Data!A192)/Inputs!$C$49)+Inputs!$C$47*0.137))+0.35*COS(2*PI()*(((0)/Inputs!$C$50)+Inputs!$C$47*0.173))+0.20*SIN(2*PI()*(((Model_Data!A192)+(0))/(0.5*(Inputs!$C$49+Inputs!$C$50))+Inputs!$C$47*0.097)))+0.30*(2*((SIN(((Model_Data!A192)*12.9898+(0)*78.233+Inputs!$C$47*37.719))*43758.5453)-INT((SIN(((Model_Data!A192)*12.9898+(0)*78.233+Inputs!$C$47*37.719))*43758.5453)))-1))))/1000)))*1000/Inputs!$C$12)-Model_Data!F192)</x:f>
        <x:v>118.9361399761201</x:v>
      </x:c>
      <x:c r="L192" s="49"/>
      <x:c r="M192" s="48" t="n">
        <x:f>Model_Data!A192</x:f>
        <x:v>35</x:v>
      </x:c>
      <x:c r="N192" s="48" t="n">
        <x:f>Model_Data!P192</x:f>
        <x:v>-262.4668610803968</x:v>
      </x:c>
      <x:c r="O192" s="48" t="n">
        <x:f>AC192</x:f>
        <x:v>-272.41883634924307</x:v>
      </x:c>
      <x:c r="P192" s="48" t="n">
        <x:f>Model_Data!Q192</x:f>
        <x:v>-39.40943860066018</x:v>
      </x:c>
      <x:c r="Q192" s="48" t="n">
        <x:f>AD192</x:f>
        <x:v>-40.90372918156803</x:v>
      </x:c>
      <x:c r="R192" s="49"/>
      <x:c r="S192" s="48" t="n">
        <x:f>Model_Data!A192</x:f>
        <x:v>35</x:v>
      </x:c>
      <x:c r="T192" s="48" t="n">
        <x:f>Model_Data!B192-Inputs!$C$5</x:f>
        <x:v>1.3611111111110858</x:v>
      </x:c>
      <x:c r="U192" s="49"/>
      <x:c r="V192" s="48" t="n">
        <x:f>Model_Data!A192</x:f>
        <x:v>35</x:v>
      </x:c>
      <x:c r="W192" s="48" t="n">
        <x:f>(-((((SQRT((Model_Data!A192)^2+Inputs!$C$6^2+((Model_Data!B192)-((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(0.45*SIN(2*PI()*(((Model_Data!A192)/Inputs!$C$49)+Inputs!$C$47*0.137))+0.35*COS(2*PI()*(((Inputs!$C$6)/Inputs!$C$50)+Inputs!$C$47*0.173))+0.20*SIN(2*PI()*(((Model_Data!A192)+(Inputs!$C$6))/(0.5*(Inputs!$C$49+Inputs!$C$50))+Inputs!$C$47*0.097)))+0.30*(2*((SIN(((Model_Data!A192)*12.9898+(Inputs!$C$6)*78.233+Inputs!$C$47*37.719))*43758.5453)-INT((SIN(((Model_Data!A192)*12.9898+(Inputs!$C$6)*78.233+Inputs!$C$47*37.719))*43758.5453)))-1))))/1000)^2))-(((Model_Data!B192)-((Inputs!$C$51*(115*EXP(-(((0)-25)^2)/(4.5^2))+70*EXP(-(((0)+38)^2)/(7^2))*(0.55+0.45*SIN(2*PI()*(Model_Data!A192)/45))+24*SIN(2*PI()*(0)/9+(Model_Data!A192)/18)*EXP(-(((0)+5)^2)/(22^2))+18*SIN(2*PI()*(Model_Data!A192)/70))+Inputs!$C$28*EXP(-(((Model_Data!A192)-Inputs!$C$29)^2)/(2*Inputs!$C$31^2))*EXP(-(((0)-Inputs!$C$30)^2)/(2*Inputs!$C$32^2))+-Inputs!$C$33*EXP(-(((((Model_Data!A192)-Inputs!$C$34)^2)+(((0)-Inputs!$C$35)^2))/(2*Inputs!$C$36^2)))+Inputs!$C$37*(0.55*SIN(2*PI()*(Model_Data!A192)/Inputs!$C$39)+0.35*COS(2*PI()*(0)/Inputs!$C$40)+0.2*SIN(2*PI()*((Model_Data!A192)+(0))/(0.5*(Inputs!$C$39+Inputs!$C$40))))+Inputs!$C$38*SIN(2*PI()*(Model_Data!A192)/Inputs!$C$39)*SIN(2*PI()*(0)/Inputs!$C$40)+-Inputs!$C$41*EXP(-(((0)-Inputs!$C$43)^2)/(2*Inputs!$C$44^2))*EXP(-(((Model_Data!A192)-Inputs!$C$42)^2)/(2*Inputs!$C$45^2))+Inputs!$C$48*(0.70*(0.45*SIN(2*PI()*(((Model_Data!A192)/Inputs!$C$49)+Inputs!$C$47*0.137))+0.35*COS(2*PI()*(((0)/Inputs!$C$50)+Inputs!$C$47*0.173))+0.20*SIN(2*PI()*(((Model_Data!A192)+(0))/(0.5*(Inputs!$C$49+Inputs!$C$50))+Inputs!$C$47*0.097)))+0.30*(2*((SIN(((Model_Data!A192)*12.9898+(0)*78.233+Inputs!$C$47*37.719))*43758.5453)-INT((SIN(((Model_Data!A192)*12.9898+(0)*78.233+Inputs!$C$47*37.719))*43758.5453)))-1))))/1000)))*1000/Inputs!$C$12)-Model_Data!F192))-(-(((SQRT((Model_Data!A192)^2+Inputs!$C$6^2+(Inputs!$C$5-((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(0.45*SIN(2*PI()*(((Model_Data!A192)/Inputs!$C$49)+Inputs!$C$47*0.137))+0.35*COS(2*PI()*(((Inputs!$C$6)/Inputs!$C$50)+Inputs!$C$47*0.173))+0.20*SIN(2*PI()*(((Model_Data!A192)+(Inputs!$C$6))/(0.5*(Inputs!$C$49+Inputs!$C$50))+Inputs!$C$47*0.097)))+0.30*(2*((SIN(((Model_Data!A192)*12.9898+(Inputs!$C$6)*78.233+Inputs!$C$47*37.719))*43758.5453)-INT((SIN(((Model_Data!A192)*12.9898+(Inputs!$C$6)*78.233+Inputs!$C$47*37.719))*43758.5453)))-1))))/1000)^2)-(Inputs!$C$5-((Inputs!$C$51*(115*EXP(-(((0)-25)^2)/(4.5^2))+70*EXP(-(((0)+38)^2)/(7^2))*(0.55+0.45*SIN(2*PI()*(Model_Data!A192)/45))+24*SIN(2*PI()*(0)/9+(Model_Data!A192)/18)*EXP(-(((0)+5)^2)/(22^2))+18*SIN(2*PI()*(Model_Data!A192)/70))+Inputs!$C$28*EXP(-(((Model_Data!A192)-Inputs!$C$29)^2)/(2*Inputs!$C$31^2))*EXP(-(((0)-Inputs!$C$30)^2)/(2*Inputs!$C$32^2))+-Inputs!$C$33*EXP(-(((((Model_Data!A192)-Inputs!$C$34)^2)+(((0)-Inputs!$C$35)^2))/(2*Inputs!$C$36^2)))+Inputs!$C$37*(0.55*SIN(2*PI()*(Model_Data!A192)/Inputs!$C$39)+0.35*COS(2*PI()*(0)/Inputs!$C$40)+0.2*SIN(2*PI()*((Model_Data!A192)+(0))/(0.5*(Inputs!$C$39+Inputs!$C$40))))+Inputs!$C$38*SIN(2*PI()*(Model_Data!A192)/Inputs!$C$39)*SIN(2*PI()*(0)/Inputs!$C$40)+-Inputs!$C$41*EXP(-(((0)-Inputs!$C$43)^2)/(2*Inputs!$C$44^2))*EXP(-(((Model_Data!A192)-Inputs!$C$42)^2)/(2*Inputs!$C$45^2))+Inputs!$C$48*(0.70*(0.45*SIN(2*PI()*(((Model_Data!A192)/Inputs!$C$49)+Inputs!$C$47*0.137))+0.35*COS(2*PI()*(((0)/Inputs!$C$50)+Inputs!$C$47*0.173))+0.20*SIN(2*PI()*(((Model_Data!A192)+(0))/(0.5*(Inputs!$C$49+Inputs!$C$50))+Inputs!$C$47*0.097)))+0.30*(2*((SIN(((Model_Data!A192)*12.9898+(0)*78.233+Inputs!$C$47*37.719))*43758.5453)-INT((SIN(((Model_Data!A192)*12.9898+(0)*78.233+Inputs!$C$47*37.719))*43758.5453)))-1))))/1000))*1000/Inputs!$C$12)-((SQRT((Model_Data!A192)^2+Inputs!$C$6^2+Inputs!$C$5^2)-Inputs!$C$5)*1000/Inputs!$C$12)))</x:f>
        <x:v>0.005236120223571561</x:v>
      </x:c>
      <x:c r="X192" s="48" t="n">
        <x:f>0</x:f>
        <x:v>0</x:v>
      </x:c>
      <x:c r="Y192" s="49"/>
      <x:c r="Z192" s="48" t="n">
        <x:f>Model_Data!A192</x:f>
        <x:v>35</x:v>
      </x:c>
      <x:c r="AA192" s="48" t="n">
        <x:f>SQRT((Model_Data!A192)^2+Inputs!$C$6^2+((Model_Data!B192)-((Inputs!$C$51*(115*EXP(-(((Inputs!$C$6)-25)^2)/(4.5^2))+70*EXP(-(((Inputs!$C$6)+38)^2)/(7^2))*(0.55+0.45*SIN(2*PI()*(Model_Data!A192)/45))+24*SIN(2*PI()*(Inputs!$C$6)/9+(Model_Data!A192)/18)*EXP(-(((Inputs!$C$6)+5)^2)/(22^2))+18*SIN(2*PI()*(Model_Data!A192)/70))+Inputs!$C$28*EXP(-(((Model_Data!A192)-Inputs!$C$29)^2)/(2*Inputs!$C$31^2))*EXP(-(((Inputs!$C$6)-Inputs!$C$30)^2)/(2*Inputs!$C$32^2))+-Inputs!$C$33*EXP(-(((((Model_Data!A192)-Inputs!$C$34)^2)+(((Inputs!$C$6)-Inputs!$C$35)^2))/(2*Inputs!$C$36^2)))+Inputs!$C$37*(0.55*SIN(2*PI()*(Model_Data!A192)/Inputs!$C$39)+0.35*COS(2*PI()*(Inputs!$C$6)/Inputs!$C$40)+0.2*SIN(2*PI()*((Model_Data!A192)+(Inputs!$C$6))/(0.5*(Inputs!$C$39+Inputs!$C$40))))+Inputs!$C$38*SIN(2*PI()*(Model_Data!A192)/Inputs!$C$39)*SIN(2*PI()*(Inputs!$C$6)/Inputs!$C$40)+-Inputs!$C$41*EXP(-(((Inputs!$C$6)-Inputs!$C$43)^2)/(2*Inputs!$C$44^2))*EXP(-(((Model_Data!A192)-Inputs!$C$42)^2)/(2*Inputs!$C$45^2))+Inputs!$C$48*(0.70*(0.45*SIN(2*PI()*(((Model_Data!A192)/Inputs!$C$49)+Inputs!$C$47*0.137))+0.35*COS(2*PI()*(((Inputs!$C$6)/Inputs!$C$50)+Inputs!$C$47*0.173))+0.20*SIN(2*PI()*(((Model_Data!A192)+(Inputs!$C$6))/(0.5*(Inputs!$C$49+Inputs!$C$50))+Inputs!$C$47*0.097)))+0.30*(2*((SIN(((Model_Data!A192)*12.9898+(Inputs!$C$6)*78.233+Inputs!$C$47*37.719))*43758.5453)-INT((SIN(((Model_Data!A192)*12.9898+(Inputs!$C$6)*78.233+Inputs!$C$47*37.719))*43758.5453)))-1))))/1000)^2)</x:f>
        <x:v>403.41855950381523</x:v>
      </x:c>
      <x:c r="AB192" s="48" t="n">
        <x:f>1000*(AA193-AA191)/(Z193-Z191)*Inputs!$C$11</x:f>
        <x:v>681.0470908731077</x:v>
      </x:c>
      <x:c r="AC192" s="48" t="n">
        <x:f>-2*AB192/Inputs!$C$13</x:f>
        <x:v>-272.41883634924307</x:v>
      </x:c>
      <x:c r="AD192" s="48" t="n">
        <x:f>-2*AB192/Inputs!$C$14</x:f>
        <x:v>-40.90372918156803</x:v>
      </x:c>
    </x:row>
    <x:row r="193">
      <x:c r="A193" s="48" t="n">
        <x:f>Model_Data!A193</x:f>
        <x:v>35.5</x:v>
      </x:c>
      <x:c r="B193" s="48" t="n">
        <x:f>Model_Data!F193</x:f>
        <x:v>1315.4563099576765</x:v>
      </x:c>
      <x:c r="C193" s="48" t="n">
        <x:f>(((SQRT((Model_Data!A193)^2+Inputs!$C$6^2+((Model_Data!B193)-((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(0.45*SIN(2*PI()*(((Model_Data!A193)/Inputs!$C$49)+Inputs!$C$47*0.137))+0.35*COS(2*PI()*(((Inputs!$C$6)/Inputs!$C$50)+Inputs!$C$47*0.173))+0.20*SIN(2*PI()*(((Model_Data!A193)+(Inputs!$C$6))/(0.5*(Inputs!$C$49+Inputs!$C$50))+Inputs!$C$47*0.097)))+0.30*(2*((SIN(((Model_Data!A193)*12.9898+(Inputs!$C$6)*78.233+Inputs!$C$47*37.719))*43758.5453)-INT((SIN(((Model_Data!A193)*12.9898+(Inputs!$C$6)*78.233+Inputs!$C$47*37.719))*43758.5453)))-1))))/1000)^2))-(((Model_Data!B193)-((Inputs!$C$51*(115*EXP(-(((0)-25)^2)/(4.5^2))+70*EXP(-(((0)+38)^2)/(7^2))*(0.55+0.45*SIN(2*PI()*(Model_Data!A193)/45))+24*SIN(2*PI()*(0)/9+(Model_Data!A193)/18)*EXP(-(((0)+5)^2)/(22^2))+18*SIN(2*PI()*(Model_Data!A193)/70))+Inputs!$C$28*EXP(-(((Model_Data!A193)-Inputs!$C$29)^2)/(2*Inputs!$C$31^2))*EXP(-(((0)-Inputs!$C$30)^2)/(2*Inputs!$C$32^2))+-Inputs!$C$33*EXP(-(((((Model_Data!A193)-Inputs!$C$34)^2)+(((0)-Inputs!$C$35)^2))/(2*Inputs!$C$36^2)))+Inputs!$C$37*(0.55*SIN(2*PI()*(Model_Data!A193)/Inputs!$C$39)+0.35*COS(2*PI()*(0)/Inputs!$C$40)+0.2*SIN(2*PI()*((Model_Data!A193)+(0))/(0.5*(Inputs!$C$39+Inputs!$C$40))))+Inputs!$C$38*SIN(2*PI()*(Model_Data!A193)/Inputs!$C$39)*SIN(2*PI()*(0)/Inputs!$C$40)+-Inputs!$C$41*EXP(-(((0)-Inputs!$C$43)^2)/(2*Inputs!$C$44^2))*EXP(-(((Model_Data!A193)-Inputs!$C$42)^2)/(2*Inputs!$C$45^2))+Inputs!$C$48*(0.70*(0.45*SIN(2*PI()*(((Model_Data!A193)/Inputs!$C$49)+Inputs!$C$47*0.137))+0.35*COS(2*PI()*(((0)/Inputs!$C$50)+Inputs!$C$47*0.173))+0.20*SIN(2*PI()*(((Model_Data!A193)+(0))/(0.5*(Inputs!$C$49+Inputs!$C$50))+Inputs!$C$47*0.097)))+0.30*(2*((SIN(((Model_Data!A193)*12.9898+(0)*78.233+Inputs!$C$47*37.719))*43758.5453)-INT((SIN(((Model_Data!A193)*12.9898+(0)*78.233+Inputs!$C$47*37.719))*43758.5453)))-1))))/1000)))*1000/Inputs!$C$12)</x:f>
        <x:v>1198.0393227286172</x:v>
      </x:c>
      <x:c r="D193" s="49"/>
      <x:c r="E193" s="48" t="n">
        <x:f>Model_Data!A193</x:f>
        <x:v>35.5</x:v>
      </x:c>
      <x:c r="F193" s="48" t="n">
        <x:f>(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(0.45*SIN(2*PI()*(((Model_Data!A193)/Inputs!$C$49)+Inputs!$C$47*0.137))+0.35*COS(2*PI()*(((Inputs!$C$6)/Inputs!$C$50)+Inputs!$C$47*0.173))+0.20*SIN(2*PI()*(((Model_Data!A193)+(Inputs!$C$6))/(0.5*(Inputs!$C$49+Inputs!$C$50))+Inputs!$C$47*0.097)))+0.30*(2*((SIN(((Model_Data!A193)*12.9898+(Inputs!$C$6)*78.233+Inputs!$C$47*37.719))*43758.5453)-INT((SIN(((Model_Data!A193)*12.9898+(Inputs!$C$6)*78.233+Inputs!$C$47*37.719))*43758.5453)))-1)))</x:f>
        <x:v>242.63788270086079</x:v>
      </x:c>
      <x:c r="G193" s="48" t="n">
        <x:f>(Inputs!$C$51*(115*EXP(-(((0)-25)^2)/(4.5^2))+70*EXP(-(((0)+38)^2)/(7^2))*(0.55+0.45*SIN(2*PI()*(Model_Data!A193)/45))+24*SIN(2*PI()*(0)/9+(Model_Data!A193)/18)*EXP(-(((0)+5)^2)/(22^2))+18*SIN(2*PI()*(Model_Data!A193)/70))+Inputs!$C$28*EXP(-(((Model_Data!A193)-Inputs!$C$29)^2)/(2*Inputs!$C$31^2))*EXP(-(((0)-Inputs!$C$30)^2)/(2*Inputs!$C$32^2))+-Inputs!$C$33*EXP(-(((((Model_Data!A193)-Inputs!$C$34)^2)+(((0)-Inputs!$C$35)^2))/(2*Inputs!$C$36^2)))+Inputs!$C$37*(0.55*SIN(2*PI()*(Model_Data!A193)/Inputs!$C$39)+0.35*COS(2*PI()*(0)/Inputs!$C$40)+0.2*SIN(2*PI()*((Model_Data!A193)+(0))/(0.5*(Inputs!$C$39+Inputs!$C$40))))+Inputs!$C$38*SIN(2*PI()*(Model_Data!A193)/Inputs!$C$39)*SIN(2*PI()*(0)/Inputs!$C$40)+-Inputs!$C$41*EXP(-(((0)-Inputs!$C$43)^2)/(2*Inputs!$C$44^2))*EXP(-(((Model_Data!A193)-Inputs!$C$42)^2)/(2*Inputs!$C$45^2))+Inputs!$C$48*(0.70*(0.45*SIN(2*PI()*(((Model_Data!A193)/Inputs!$C$49)+Inputs!$C$47*0.137))+0.35*COS(2*PI()*(((0)/Inputs!$C$50)+Inputs!$C$47*0.173))+0.20*SIN(2*PI()*(((Model_Data!A193)+(0))/(0.5*(Inputs!$C$49+Inputs!$C$50))+Inputs!$C$47*0.097)))+0.30*(2*((SIN(((Model_Data!A193)*12.9898+(0)*78.233+Inputs!$C$47*37.719))*43758.5453)-INT((SIN(((Model_Data!A193)*12.9898+(0)*78.233+Inputs!$C$47*37.719))*43758.5453)))-1)))</x:f>
        <x:v>32.227616256478356</x:v>
      </x:c>
      <x:c r="H193" s="49"/>
      <x:c r="I193" s="48" t="n">
        <x:f>Model_Data!A193</x:f>
        <x:v>35.5</x:v>
      </x:c>
      <x:c r="J193" s="48" t="n">
        <x:f>((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(0.45*SIN(2*PI()*(((Model_Data!A193)/Inputs!$C$49)+Inputs!$C$47*0.137))+0.35*COS(2*PI()*(((Inputs!$C$6)/Inputs!$C$50)+Inputs!$C$47*0.173))+0.20*SIN(2*PI()*(((Model_Data!A193)+(Inputs!$C$6))/(0.5*(Inputs!$C$49+Inputs!$C$50))+Inputs!$C$47*0.097)))+0.30*(2*((SIN(((Model_Data!A193)*12.9898+(Inputs!$C$6)*78.233+Inputs!$C$47*37.719))*43758.5453)-INT((SIN(((Model_Data!A193)*12.9898+(Inputs!$C$6)*78.233+Inputs!$C$47*37.719))*43758.5453)))-1))))-((Inputs!$C$51*(115*EXP(-(((0)-25)^2)/(4.5^2))+70*EXP(-(((0)+38)^2)/(7^2))*(0.55+0.45*SIN(2*PI()*(Model_Data!A193)/45))+24*SIN(2*PI()*(0)/9+(Model_Data!A193)/18)*EXP(-(((0)+5)^2)/(22^2))+18*SIN(2*PI()*(Model_Data!A193)/70))+Inputs!$C$28*EXP(-(((Model_Data!A193)-Inputs!$C$29)^2)/(2*Inputs!$C$31^2))*EXP(-(((0)-Inputs!$C$30)^2)/(2*Inputs!$C$32^2))+-Inputs!$C$33*EXP(-(((((Model_Data!A193)-Inputs!$C$34)^2)+(((0)-Inputs!$C$35)^2))/(2*Inputs!$C$36^2)))+Inputs!$C$37*(0.55*SIN(2*PI()*(Model_Data!A193)/Inputs!$C$39)+0.35*COS(2*PI()*(0)/Inputs!$C$40)+0.2*SIN(2*PI()*((Model_Data!A193)+(0))/(0.5*(Inputs!$C$39+Inputs!$C$40))))+Inputs!$C$38*SIN(2*PI()*(Model_Data!A193)/Inputs!$C$39)*SIN(2*PI()*(0)/Inputs!$C$40)+-Inputs!$C$41*EXP(-(((0)-Inputs!$C$43)^2)/(2*Inputs!$C$44^2))*EXP(-(((Model_Data!A193)-Inputs!$C$42)^2)/(2*Inputs!$C$45^2))+Inputs!$C$48*(0.70*(0.45*SIN(2*PI()*(((Model_Data!A193)/Inputs!$C$49)+Inputs!$C$47*0.137))+0.35*COS(2*PI()*(((0)/Inputs!$C$50)+Inputs!$C$47*0.173))+0.20*SIN(2*PI()*(((Model_Data!A193)+(0))/(0.5*(Inputs!$C$49+Inputs!$C$50))+Inputs!$C$47*0.097)))+0.30*(2*((SIN(((Model_Data!A193)*12.9898+(0)*78.233+Inputs!$C$47*37.719))*43758.5453)-INT((SIN(((Model_Data!A193)*12.9898+(0)*78.233+Inputs!$C$47*37.719))*43758.5453)))-1))))</x:f>
        <x:v>210.41026644438244</x:v>
      </x:c>
      <x:c r="K193" s="48" t="n">
        <x:f>-((((SQRT((Model_Data!A193)^2+Inputs!$C$6^2+((Model_Data!B193)-((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(0.45*SIN(2*PI()*(((Model_Data!A193)/Inputs!$C$49)+Inputs!$C$47*0.137))+0.35*COS(2*PI()*(((Inputs!$C$6)/Inputs!$C$50)+Inputs!$C$47*0.173))+0.20*SIN(2*PI()*(((Model_Data!A193)+(Inputs!$C$6))/(0.5*(Inputs!$C$49+Inputs!$C$50))+Inputs!$C$47*0.097)))+0.30*(2*((SIN(((Model_Data!A193)*12.9898+(Inputs!$C$6)*78.233+Inputs!$C$47*37.719))*43758.5453)-INT((SIN(((Model_Data!A193)*12.9898+(Inputs!$C$6)*78.233+Inputs!$C$47*37.719))*43758.5453)))-1))))/1000)^2))-(((Model_Data!B193)-((Inputs!$C$51*(115*EXP(-(((0)-25)^2)/(4.5^2))+70*EXP(-(((0)+38)^2)/(7^2))*(0.55+0.45*SIN(2*PI()*(Model_Data!A193)/45))+24*SIN(2*PI()*(0)/9+(Model_Data!A193)/18)*EXP(-(((0)+5)^2)/(22^2))+18*SIN(2*PI()*(Model_Data!A193)/70))+Inputs!$C$28*EXP(-(((Model_Data!A193)-Inputs!$C$29)^2)/(2*Inputs!$C$31^2))*EXP(-(((0)-Inputs!$C$30)^2)/(2*Inputs!$C$32^2))+-Inputs!$C$33*EXP(-(((((Model_Data!A193)-Inputs!$C$34)^2)+(((0)-Inputs!$C$35)^2))/(2*Inputs!$C$36^2)))+Inputs!$C$37*(0.55*SIN(2*PI()*(Model_Data!A193)/Inputs!$C$39)+0.35*COS(2*PI()*(0)/Inputs!$C$40)+0.2*SIN(2*PI()*((Model_Data!A193)+(0))/(0.5*(Inputs!$C$39+Inputs!$C$40))))+Inputs!$C$38*SIN(2*PI()*(Model_Data!A193)/Inputs!$C$39)*SIN(2*PI()*(0)/Inputs!$C$40)+-Inputs!$C$41*EXP(-(((0)-Inputs!$C$43)^2)/(2*Inputs!$C$44^2))*EXP(-(((Model_Data!A193)-Inputs!$C$42)^2)/(2*Inputs!$C$45^2))+Inputs!$C$48*(0.70*(0.45*SIN(2*PI()*(((Model_Data!A193)/Inputs!$C$49)+Inputs!$C$47*0.137))+0.35*COS(2*PI()*(((0)/Inputs!$C$50)+Inputs!$C$47*0.173))+0.20*SIN(2*PI()*(((Model_Data!A193)+(0))/(0.5*(Inputs!$C$49+Inputs!$C$50))+Inputs!$C$47*0.097)))+0.30*(2*((SIN(((Model_Data!A193)*12.9898+(0)*78.233+Inputs!$C$47*37.719))*43758.5453)-INT((SIN(((Model_Data!A193)*12.9898+(0)*78.233+Inputs!$C$47*37.719))*43758.5453)))-1))))/1000)))*1000/Inputs!$C$12)-Model_Data!F193)</x:f>
        <x:v>117.41698722905926</x:v>
      </x:c>
      <x:c r="L193" s="49"/>
      <x:c r="M193" s="48" t="n">
        <x:f>Model_Data!A193</x:f>
        <x:v>35.5</x:v>
      </x:c>
      <x:c r="N193" s="48" t="n">
        <x:f>Model_Data!P193</x:f>
        <x:v>-266.1741680473529</x:v>
      </x:c>
      <x:c r="O193" s="48" t="n">
        <x:f>AC193</x:f>
        <x:v>-250.6073966389522</x:v>
      </x:c>
      <x:c r="P193" s="48" t="n">
        <x:f>Model_Data!Q193</x:f>
        <x:v>-39.96609129840134</x:v>
      </x:c>
      <x:c r="Q193" s="48" t="n">
        <x:f>AD193</x:f>
        <x:v>-37.62873823407691</x:v>
      </x:c>
      <x:c r="R193" s="49"/>
      <x:c r="S193" s="48" t="n">
        <x:f>Model_Data!A193</x:f>
        <x:v>35.5</x:v>
      </x:c>
      <x:c r="T193" s="48" t="n">
        <x:f>Model_Data!B193-Inputs!$C$5</x:f>
        <x:v>1.4002777777777737</x:v>
      </x:c>
      <x:c r="U193" s="49"/>
      <x:c r="V193" s="48" t="n">
        <x:f>Model_Data!A193</x:f>
        <x:v>35.5</x:v>
      </x:c>
      <x:c r="W193" s="48" t="n">
        <x:f>(-((((SQRT((Model_Data!A193)^2+Inputs!$C$6^2+((Model_Data!B193)-((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(0.45*SIN(2*PI()*(((Model_Data!A193)/Inputs!$C$49)+Inputs!$C$47*0.137))+0.35*COS(2*PI()*(((Inputs!$C$6)/Inputs!$C$50)+Inputs!$C$47*0.173))+0.20*SIN(2*PI()*(((Model_Data!A193)+(Inputs!$C$6))/(0.5*(Inputs!$C$49+Inputs!$C$50))+Inputs!$C$47*0.097)))+0.30*(2*((SIN(((Model_Data!A193)*12.9898+(Inputs!$C$6)*78.233+Inputs!$C$47*37.719))*43758.5453)-INT((SIN(((Model_Data!A193)*12.9898+(Inputs!$C$6)*78.233+Inputs!$C$47*37.719))*43758.5453)))-1))))/1000)^2))-(((Model_Data!B193)-((Inputs!$C$51*(115*EXP(-(((0)-25)^2)/(4.5^2))+70*EXP(-(((0)+38)^2)/(7^2))*(0.55+0.45*SIN(2*PI()*(Model_Data!A193)/45))+24*SIN(2*PI()*(0)/9+(Model_Data!A193)/18)*EXP(-(((0)+5)^2)/(22^2))+18*SIN(2*PI()*(Model_Data!A193)/70))+Inputs!$C$28*EXP(-(((Model_Data!A193)-Inputs!$C$29)^2)/(2*Inputs!$C$31^2))*EXP(-(((0)-Inputs!$C$30)^2)/(2*Inputs!$C$32^2))+-Inputs!$C$33*EXP(-(((((Model_Data!A193)-Inputs!$C$34)^2)+(((0)-Inputs!$C$35)^2))/(2*Inputs!$C$36^2)))+Inputs!$C$37*(0.55*SIN(2*PI()*(Model_Data!A193)/Inputs!$C$39)+0.35*COS(2*PI()*(0)/Inputs!$C$40)+0.2*SIN(2*PI()*((Model_Data!A193)+(0))/(0.5*(Inputs!$C$39+Inputs!$C$40))))+Inputs!$C$38*SIN(2*PI()*(Model_Data!A193)/Inputs!$C$39)*SIN(2*PI()*(0)/Inputs!$C$40)+-Inputs!$C$41*EXP(-(((0)-Inputs!$C$43)^2)/(2*Inputs!$C$44^2))*EXP(-(((Model_Data!A193)-Inputs!$C$42)^2)/(2*Inputs!$C$45^2))+Inputs!$C$48*(0.70*(0.45*SIN(2*PI()*(((Model_Data!A193)/Inputs!$C$49)+Inputs!$C$47*0.137))+0.35*COS(2*PI()*(((0)/Inputs!$C$50)+Inputs!$C$47*0.173))+0.20*SIN(2*PI()*(((Model_Data!A193)+(0))/(0.5*(Inputs!$C$49+Inputs!$C$50))+Inputs!$C$47*0.097)))+0.30*(2*((SIN(((Model_Data!A193)*12.9898+(0)*78.233+Inputs!$C$47*37.719))*43758.5453)-INT((SIN(((Model_Data!A193)*12.9898+(0)*78.233+Inputs!$C$47*37.719))*43758.5453)))-1))))/1000)))*1000/Inputs!$C$12)-Model_Data!F193))-(-(((SQRT((Model_Data!A193)^2+Inputs!$C$6^2+(Inputs!$C$5-((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(0.45*SIN(2*PI()*(((Model_Data!A193)/Inputs!$C$49)+Inputs!$C$47*0.137))+0.35*COS(2*PI()*(((Inputs!$C$6)/Inputs!$C$50)+Inputs!$C$47*0.173))+0.20*SIN(2*PI()*(((Model_Data!A193)+(Inputs!$C$6))/(0.5*(Inputs!$C$49+Inputs!$C$50))+Inputs!$C$47*0.097)))+0.30*(2*((SIN(((Model_Data!A193)*12.9898+(Inputs!$C$6)*78.233+Inputs!$C$47*37.719))*43758.5453)-INT((SIN(((Model_Data!A193)*12.9898+(Inputs!$C$6)*78.233+Inputs!$C$47*37.719))*43758.5453)))-1))))/1000)^2)-(Inputs!$C$5-((Inputs!$C$51*(115*EXP(-(((0)-25)^2)/(4.5^2))+70*EXP(-(((0)+38)^2)/(7^2))*(0.55+0.45*SIN(2*PI()*(Model_Data!A193)/45))+24*SIN(2*PI()*(0)/9+(Model_Data!A193)/18)*EXP(-(((0)+5)^2)/(22^2))+18*SIN(2*PI()*(Model_Data!A193)/70))+Inputs!$C$28*EXP(-(((Model_Data!A193)-Inputs!$C$29)^2)/(2*Inputs!$C$31^2))*EXP(-(((0)-Inputs!$C$30)^2)/(2*Inputs!$C$32^2))+-Inputs!$C$33*EXP(-(((((Model_Data!A193)-Inputs!$C$34)^2)+(((0)-Inputs!$C$35)^2))/(2*Inputs!$C$36^2)))+Inputs!$C$37*(0.55*SIN(2*PI()*(Model_Data!A193)/Inputs!$C$39)+0.35*COS(2*PI()*(0)/Inputs!$C$40)+0.2*SIN(2*PI()*((Model_Data!A193)+(0))/(0.5*(Inputs!$C$39+Inputs!$C$40))))+Inputs!$C$38*SIN(2*PI()*(Model_Data!A193)/Inputs!$C$39)*SIN(2*PI()*(0)/Inputs!$C$40)+-Inputs!$C$41*EXP(-(((0)-Inputs!$C$43)^2)/(2*Inputs!$C$44^2))*EXP(-(((Model_Data!A193)-Inputs!$C$42)^2)/(2*Inputs!$C$45^2))+Inputs!$C$48*(0.70*(0.45*SIN(2*PI()*(((Model_Data!A193)/Inputs!$C$49)+Inputs!$C$47*0.137))+0.35*COS(2*PI()*(((0)/Inputs!$C$50)+Inputs!$C$47*0.173))+0.20*SIN(2*PI()*(((Model_Data!A193)+(0))/(0.5*(Inputs!$C$49+Inputs!$C$50))+Inputs!$C$47*0.097)))+0.30*(2*((SIN(((Model_Data!A193)*12.9898+(0)*78.233+Inputs!$C$47*37.719))*43758.5453)-INT((SIN(((Model_Data!A193)*12.9898+(0)*78.233+Inputs!$C$47*37.719))*43758.5453)))-1))))/1000))*1000/Inputs!$C$12)-((SQRT((Model_Data!A193)^2+Inputs!$C$6^2+Inputs!$C$5^2)-Inputs!$C$5)*1000/Inputs!$C$12)))</x:f>
        <x:v>0.005501123891008319</x:v>
      </x:c>
      <x:c r="X193" s="48" t="n">
        <x:f>0</x:f>
        <x:v>0</x:v>
      </x:c>
      <x:c r="Y193" s="49"/>
      <x:c r="Z193" s="48" t="n">
        <x:f>Model_Data!A193</x:f>
        <x:v>35.5</x:v>
      </x:c>
      <x:c r="AA193" s="48" t="n">
        <x:f>SQRT((Model_Data!A193)^2+Inputs!$C$6^2+((Model_Data!B193)-((Inputs!$C$51*(115*EXP(-(((Inputs!$C$6)-25)^2)/(4.5^2))+70*EXP(-(((Inputs!$C$6)+38)^2)/(7^2))*(0.55+0.45*SIN(2*PI()*(Model_Data!A193)/45))+24*SIN(2*PI()*(Inputs!$C$6)/9+(Model_Data!A193)/18)*EXP(-(((Inputs!$C$6)+5)^2)/(22^2))+18*SIN(2*PI()*(Model_Data!A193)/70))+Inputs!$C$28*EXP(-(((Model_Data!A193)-Inputs!$C$29)^2)/(2*Inputs!$C$31^2))*EXP(-(((Inputs!$C$6)-Inputs!$C$30)^2)/(2*Inputs!$C$32^2))+-Inputs!$C$33*EXP(-(((((Model_Data!A193)-Inputs!$C$34)^2)+(((Inputs!$C$6)-Inputs!$C$35)^2))/(2*Inputs!$C$36^2)))+Inputs!$C$37*(0.55*SIN(2*PI()*(Model_Data!A193)/Inputs!$C$39)+0.35*COS(2*PI()*(Inputs!$C$6)/Inputs!$C$40)+0.2*SIN(2*PI()*((Model_Data!A193)+(Inputs!$C$6))/(0.5*(Inputs!$C$39+Inputs!$C$40))))+Inputs!$C$38*SIN(2*PI()*(Model_Data!A193)/Inputs!$C$39)*SIN(2*PI()*(Inputs!$C$6)/Inputs!$C$40)+-Inputs!$C$41*EXP(-(((Inputs!$C$6)-Inputs!$C$43)^2)/(2*Inputs!$C$44^2))*EXP(-(((Model_Data!A193)-Inputs!$C$42)^2)/(2*Inputs!$C$45^2))+Inputs!$C$48*(0.70*(0.45*SIN(2*PI()*(((Model_Data!A193)/Inputs!$C$49)+Inputs!$C$47*0.137))+0.35*COS(2*PI()*(((Inputs!$C$6)/Inputs!$C$50)+Inputs!$C$47*0.173))+0.20*SIN(2*PI()*(((Model_Data!A193)+(Inputs!$C$6))/(0.5*(Inputs!$C$49+Inputs!$C$50))+Inputs!$C$47*0.097)))+0.30*(2*((SIN(((Model_Data!A193)*12.9898+(Inputs!$C$6)*78.233+Inputs!$C$47*37.719))*43758.5453)-INT((SIN(((Model_Data!A193)*12.9898+(Inputs!$C$6)*78.233+Inputs!$C$47*37.719))*43758.5453)))-1))))/1000)^2)</x:f>
        <x:v>403.50056015597823</x:v>
      </x:c>
      <x:c r="AB193" s="48" t="n">
        <x:f>1000*(AA194-AA192)/(Z194-Z192)*Inputs!$C$11</x:f>
        <x:v>626.5184915973805</x:v>
      </x:c>
      <x:c r="AC193" s="48" t="n">
        <x:f>-2*AB193/Inputs!$C$13</x:f>
        <x:v>-250.6073966389522</x:v>
      </x:c>
      <x:c r="AD193" s="48" t="n">
        <x:f>-2*AB193/Inputs!$C$14</x:f>
        <x:v>-37.62873823407691</x:v>
      </x:c>
    </x:row>
    <x:row r="194">
      <x:c r="A194" s="48" t="n">
        <x:f>Model_Data!A194</x:f>
        <x:v>36</x:v>
      </x:c>
      <x:c r="B194" s="48" t="n">
        <x:f>Model_Data!F194</x:f>
        <x:v>1340.195771682717</x:v>
      </x:c>
      <x:c r="C194" s="48" t="n">
        <x:f>(((SQRT((Model_Data!A194)^2+Inputs!$C$6^2+((Model_Data!B194)-((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(0.45*SIN(2*PI()*(((Model_Data!A194)/Inputs!$C$49)+Inputs!$C$47*0.137))+0.35*COS(2*PI()*(((Inputs!$C$6)/Inputs!$C$50)+Inputs!$C$47*0.173))+0.20*SIN(2*PI()*(((Model_Data!A194)+(Inputs!$C$6))/(0.5*(Inputs!$C$49+Inputs!$C$50))+Inputs!$C$47*0.097)))+0.30*(2*((SIN(((Model_Data!A194)*12.9898+(Inputs!$C$6)*78.233+Inputs!$C$47*37.719))*43758.5453)-INT((SIN(((Model_Data!A194)*12.9898+(Inputs!$C$6)*78.233+Inputs!$C$47*37.719))*43758.5453)))-1))))/1000)^2))-(((Model_Data!B194)-((Inputs!$C$51*(115*EXP(-(((0)-25)^2)/(4.5^2))+70*EXP(-(((0)+38)^2)/(7^2))*(0.55+0.45*SIN(2*PI()*(Model_Data!A194)/45))+24*SIN(2*PI()*(0)/9+(Model_Data!A194)/18)*EXP(-(((0)+5)^2)/(22^2))+18*SIN(2*PI()*(Model_Data!A194)/70))+Inputs!$C$28*EXP(-(((Model_Data!A194)-Inputs!$C$29)^2)/(2*Inputs!$C$31^2))*EXP(-(((0)-Inputs!$C$30)^2)/(2*Inputs!$C$32^2))+-Inputs!$C$33*EXP(-(((((Model_Data!A194)-Inputs!$C$34)^2)+(((0)-Inputs!$C$35)^2))/(2*Inputs!$C$36^2)))+Inputs!$C$37*(0.55*SIN(2*PI()*(Model_Data!A194)/Inputs!$C$39)+0.35*COS(2*PI()*(0)/Inputs!$C$40)+0.2*SIN(2*PI()*((Model_Data!A194)+(0))/(0.5*(Inputs!$C$39+Inputs!$C$40))))+Inputs!$C$38*SIN(2*PI()*(Model_Data!A194)/Inputs!$C$39)*SIN(2*PI()*(0)/Inputs!$C$40)+-Inputs!$C$41*EXP(-(((0)-Inputs!$C$43)^2)/(2*Inputs!$C$44^2))*EXP(-(((Model_Data!A194)-Inputs!$C$42)^2)/(2*Inputs!$C$45^2))+Inputs!$C$48*(0.70*(0.45*SIN(2*PI()*(((Model_Data!A194)/Inputs!$C$49)+Inputs!$C$47*0.137))+0.35*COS(2*PI()*(((0)/Inputs!$C$50)+Inputs!$C$47*0.173))+0.20*SIN(2*PI()*(((Model_Data!A194)+(0))/(0.5*(Inputs!$C$49+Inputs!$C$50))+Inputs!$C$47*0.097)))+0.30*(2*((SIN(((Model_Data!A194)*12.9898+(0)*78.233+Inputs!$C$47*37.719))*43758.5453)-INT((SIN(((Model_Data!A194)*12.9898+(0)*78.233+Inputs!$C$47*37.719))*43758.5453)))-1))))/1000)))*1000/Inputs!$C$12)</x:f>
        <x:v>1225.0627321241077</x:v>
      </x:c>
      <x:c r="D194" s="49"/>
      <x:c r="E194" s="48" t="n">
        <x:f>Model_Data!A194</x:f>
        <x:v>36</x:v>
      </x:c>
      <x:c r="F194" s="48" t="n">
        <x:f>(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(0.45*SIN(2*PI()*(((Model_Data!A194)/Inputs!$C$49)+Inputs!$C$47*0.137))+0.35*COS(2*PI()*(((Inputs!$C$6)/Inputs!$C$50)+Inputs!$C$47*0.173))+0.20*SIN(2*PI()*(((Model_Data!A194)+(Inputs!$C$6))/(0.5*(Inputs!$C$49+Inputs!$C$50))+Inputs!$C$47*0.097)))+0.30*(2*((SIN(((Model_Data!A194)*12.9898+(Inputs!$C$6)*78.233+Inputs!$C$47*37.719))*43758.5453)-INT((SIN(((Model_Data!A194)*12.9898+(Inputs!$C$6)*78.233+Inputs!$C$47*37.719))*43758.5453)))-1)))</x:f>
        <x:v>251.8480330414438</x:v>
      </x:c>
      <x:c r="G194" s="48" t="n">
        <x:f>(Inputs!$C$51*(115*EXP(-(((0)-25)^2)/(4.5^2))+70*EXP(-(((0)+38)^2)/(7^2))*(0.55+0.45*SIN(2*PI()*(Model_Data!A194)/45))+24*SIN(2*PI()*(0)/9+(Model_Data!A194)/18)*EXP(-(((0)+5)^2)/(22^2))+18*SIN(2*PI()*(Model_Data!A194)/70))+Inputs!$C$28*EXP(-(((Model_Data!A194)-Inputs!$C$29)^2)/(2*Inputs!$C$31^2))*EXP(-(((0)-Inputs!$C$30)^2)/(2*Inputs!$C$32^2))+-Inputs!$C$33*EXP(-(((((Model_Data!A194)-Inputs!$C$34)^2)+(((0)-Inputs!$C$35)^2))/(2*Inputs!$C$36^2)))+Inputs!$C$37*(0.55*SIN(2*PI()*(Model_Data!A194)/Inputs!$C$39)+0.35*COS(2*PI()*(0)/Inputs!$C$40)+0.2*SIN(2*PI()*((Model_Data!A194)+(0))/(0.5*(Inputs!$C$39+Inputs!$C$40))))+Inputs!$C$38*SIN(2*PI()*(Model_Data!A194)/Inputs!$C$39)*SIN(2*PI()*(0)/Inputs!$C$40)+-Inputs!$C$41*EXP(-(((0)-Inputs!$C$43)^2)/(2*Inputs!$C$44^2))*EXP(-(((Model_Data!A194)-Inputs!$C$42)^2)/(2*Inputs!$C$45^2))+Inputs!$C$48*(0.70*(0.45*SIN(2*PI()*(((Model_Data!A194)/Inputs!$C$49)+Inputs!$C$47*0.137))+0.35*COS(2*PI()*(((0)/Inputs!$C$50)+Inputs!$C$47*0.173))+0.20*SIN(2*PI()*(((Model_Data!A194)+(0))/(0.5*(Inputs!$C$49+Inputs!$C$50))+Inputs!$C$47*0.097)))+0.30*(2*((SIN(((Model_Data!A194)*12.9898+(0)*78.233+Inputs!$C$47*37.719))*43758.5453)-INT((SIN(((Model_Data!A194)*12.9898+(0)*78.233+Inputs!$C$47*37.719))*43758.5453)))-1)))</x:f>
        <x:v>45.422536466318</x:v>
      </x:c>
      <x:c r="H194" s="49"/>
      <x:c r="I194" s="48" t="n">
        <x:f>Model_Data!A194</x:f>
        <x:v>36</x:v>
      </x:c>
      <x:c r="J194" s="48" t="n">
        <x:f>((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(0.45*SIN(2*PI()*(((Model_Data!A194)/Inputs!$C$49)+Inputs!$C$47*0.137))+0.35*COS(2*PI()*(((Inputs!$C$6)/Inputs!$C$50)+Inputs!$C$47*0.173))+0.20*SIN(2*PI()*(((Model_Data!A194)+(Inputs!$C$6))/(0.5*(Inputs!$C$49+Inputs!$C$50))+Inputs!$C$47*0.097)))+0.30*(2*((SIN(((Model_Data!A194)*12.9898+(Inputs!$C$6)*78.233+Inputs!$C$47*37.719))*43758.5453)-INT((SIN(((Model_Data!A194)*12.9898+(Inputs!$C$6)*78.233+Inputs!$C$47*37.719))*43758.5453)))-1))))-((Inputs!$C$51*(115*EXP(-(((0)-25)^2)/(4.5^2))+70*EXP(-(((0)+38)^2)/(7^2))*(0.55+0.45*SIN(2*PI()*(Model_Data!A194)/45))+24*SIN(2*PI()*(0)/9+(Model_Data!A194)/18)*EXP(-(((0)+5)^2)/(22^2))+18*SIN(2*PI()*(Model_Data!A194)/70))+Inputs!$C$28*EXP(-(((Model_Data!A194)-Inputs!$C$29)^2)/(2*Inputs!$C$31^2))*EXP(-(((0)-Inputs!$C$30)^2)/(2*Inputs!$C$32^2))+-Inputs!$C$33*EXP(-(((((Model_Data!A194)-Inputs!$C$34)^2)+(((0)-Inputs!$C$35)^2))/(2*Inputs!$C$36^2)))+Inputs!$C$37*(0.55*SIN(2*PI()*(Model_Data!A194)/Inputs!$C$39)+0.35*COS(2*PI()*(0)/Inputs!$C$40)+0.2*SIN(2*PI()*((Model_Data!A194)+(0))/(0.5*(Inputs!$C$39+Inputs!$C$40))))+Inputs!$C$38*SIN(2*PI()*(Model_Data!A194)/Inputs!$C$39)*SIN(2*PI()*(0)/Inputs!$C$40)+-Inputs!$C$41*EXP(-(((0)-Inputs!$C$43)^2)/(2*Inputs!$C$44^2))*EXP(-(((Model_Data!A194)-Inputs!$C$42)^2)/(2*Inputs!$C$45^2))+Inputs!$C$48*(0.70*(0.45*SIN(2*PI()*(((Model_Data!A194)/Inputs!$C$49)+Inputs!$C$47*0.137))+0.35*COS(2*PI()*(((0)/Inputs!$C$50)+Inputs!$C$47*0.173))+0.20*SIN(2*PI()*(((Model_Data!A194)+(0))/(0.5*(Inputs!$C$49+Inputs!$C$50))+Inputs!$C$47*0.097)))+0.30*(2*((SIN(((Model_Data!A194)*12.9898+(0)*78.233+Inputs!$C$47*37.719))*43758.5453)-INT((SIN(((Model_Data!A194)*12.9898+(0)*78.233+Inputs!$C$47*37.719))*43758.5453)))-1))))</x:f>
        <x:v>206.4254965751258</x:v>
      </x:c>
      <x:c r="K194" s="48" t="n">
        <x:f>-((((SQRT((Model_Data!A194)^2+Inputs!$C$6^2+((Model_Data!B194)-((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(0.45*SIN(2*PI()*(((Model_Data!A194)/Inputs!$C$49)+Inputs!$C$47*0.137))+0.35*COS(2*PI()*(((Inputs!$C$6)/Inputs!$C$50)+Inputs!$C$47*0.173))+0.20*SIN(2*PI()*(((Model_Data!A194)+(Inputs!$C$6))/(0.5*(Inputs!$C$49+Inputs!$C$50))+Inputs!$C$47*0.097)))+0.30*(2*((SIN(((Model_Data!A194)*12.9898+(Inputs!$C$6)*78.233+Inputs!$C$47*37.719))*43758.5453)-INT((SIN(((Model_Data!A194)*12.9898+(Inputs!$C$6)*78.233+Inputs!$C$47*37.719))*43758.5453)))-1))))/1000)^2))-(((Model_Data!B194)-((Inputs!$C$51*(115*EXP(-(((0)-25)^2)/(4.5^2))+70*EXP(-(((0)+38)^2)/(7^2))*(0.55+0.45*SIN(2*PI()*(Model_Data!A194)/45))+24*SIN(2*PI()*(0)/9+(Model_Data!A194)/18)*EXP(-(((0)+5)^2)/(22^2))+18*SIN(2*PI()*(Model_Data!A194)/70))+Inputs!$C$28*EXP(-(((Model_Data!A194)-Inputs!$C$29)^2)/(2*Inputs!$C$31^2))*EXP(-(((0)-Inputs!$C$30)^2)/(2*Inputs!$C$32^2))+-Inputs!$C$33*EXP(-(((((Model_Data!A194)-Inputs!$C$34)^2)+(((0)-Inputs!$C$35)^2))/(2*Inputs!$C$36^2)))+Inputs!$C$37*(0.55*SIN(2*PI()*(Model_Data!A194)/Inputs!$C$39)+0.35*COS(2*PI()*(0)/Inputs!$C$40)+0.2*SIN(2*PI()*((Model_Data!A194)+(0))/(0.5*(Inputs!$C$39+Inputs!$C$40))))+Inputs!$C$38*SIN(2*PI()*(Model_Data!A194)/Inputs!$C$39)*SIN(2*PI()*(0)/Inputs!$C$40)+-Inputs!$C$41*EXP(-(((0)-Inputs!$C$43)^2)/(2*Inputs!$C$44^2))*EXP(-(((Model_Data!A194)-Inputs!$C$42)^2)/(2*Inputs!$C$45^2))+Inputs!$C$48*(0.70*(0.45*SIN(2*PI()*(((Model_Data!A194)/Inputs!$C$49)+Inputs!$C$47*0.137))+0.35*COS(2*PI()*(((0)/Inputs!$C$50)+Inputs!$C$47*0.173))+0.20*SIN(2*PI()*(((Model_Data!A194)+(0))/(0.5*(Inputs!$C$49+Inputs!$C$50))+Inputs!$C$47*0.097)))+0.30*(2*((SIN(((Model_Data!A194)*12.9898+(0)*78.233+Inputs!$C$47*37.719))*43758.5453)-INT((SIN(((Model_Data!A194)*12.9898+(0)*78.233+Inputs!$C$47*37.719))*43758.5453)))-1))))/1000)))*1000/Inputs!$C$12)-Model_Data!F194)</x:f>
        <x:v>115.1330395586092</x:v>
      </x:c>
      <x:c r="L194" s="49"/>
      <x:c r="M194" s="48" t="n">
        <x:f>Model_Data!A194</x:f>
        <x:v>36</x:v>
      </x:c>
      <x:c r="N194" s="48" t="n">
        <x:f>Model_Data!P194</x:f>
        <x:v>-269.8797052636854</x:v>
      </x:c>
      <x:c r="O194" s="48" t="n">
        <x:f>AC194</x:f>
        <x:v>-219.5886580030674</x:v>
      </x:c>
      <x:c r="P194" s="48" t="n">
        <x:f>Model_Data!Q194</x:f>
        <x:v>-40.52247826782064</x:v>
      </x:c>
      <x:c r="Q194" s="48" t="n">
        <x:f>AD194</x:f>
        <x:v>-32.97126997043054</x:v>
      </x:c>
      <x:c r="R194" s="49"/>
      <x:c r="S194" s="48" t="n">
        <x:f>Model_Data!A194</x:f>
        <x:v>36</x:v>
      </x:c>
      <x:c r="T194" s="48" t="n">
        <x:f>Model_Data!B194-Inputs!$C$5</x:f>
        <x:v>1.4399999999999977</x:v>
      </x:c>
      <x:c r="U194" s="49"/>
      <x:c r="V194" s="48" t="n">
        <x:f>Model_Data!A194</x:f>
        <x:v>36</x:v>
      </x:c>
      <x:c r="W194" s="48" t="n">
        <x:f>(-((((SQRT((Model_Data!A194)^2+Inputs!$C$6^2+((Model_Data!B194)-((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(0.45*SIN(2*PI()*(((Model_Data!A194)/Inputs!$C$49)+Inputs!$C$47*0.137))+0.35*COS(2*PI()*(((Inputs!$C$6)/Inputs!$C$50)+Inputs!$C$47*0.173))+0.20*SIN(2*PI()*(((Model_Data!A194)+(Inputs!$C$6))/(0.5*(Inputs!$C$49+Inputs!$C$50))+Inputs!$C$47*0.097)))+0.30*(2*((SIN(((Model_Data!A194)*12.9898+(Inputs!$C$6)*78.233+Inputs!$C$47*37.719))*43758.5453)-INT((SIN(((Model_Data!A194)*12.9898+(Inputs!$C$6)*78.233+Inputs!$C$47*37.719))*43758.5453)))-1))))/1000)^2))-(((Model_Data!B194)-((Inputs!$C$51*(115*EXP(-(((0)-25)^2)/(4.5^2))+70*EXP(-(((0)+38)^2)/(7^2))*(0.55+0.45*SIN(2*PI()*(Model_Data!A194)/45))+24*SIN(2*PI()*(0)/9+(Model_Data!A194)/18)*EXP(-(((0)+5)^2)/(22^2))+18*SIN(2*PI()*(Model_Data!A194)/70))+Inputs!$C$28*EXP(-(((Model_Data!A194)-Inputs!$C$29)^2)/(2*Inputs!$C$31^2))*EXP(-(((0)-Inputs!$C$30)^2)/(2*Inputs!$C$32^2))+-Inputs!$C$33*EXP(-(((((Model_Data!A194)-Inputs!$C$34)^2)+(((0)-Inputs!$C$35)^2))/(2*Inputs!$C$36^2)))+Inputs!$C$37*(0.55*SIN(2*PI()*(Model_Data!A194)/Inputs!$C$39)+0.35*COS(2*PI()*(0)/Inputs!$C$40)+0.2*SIN(2*PI()*((Model_Data!A194)+(0))/(0.5*(Inputs!$C$39+Inputs!$C$40))))+Inputs!$C$38*SIN(2*PI()*(Model_Data!A194)/Inputs!$C$39)*SIN(2*PI()*(0)/Inputs!$C$40)+-Inputs!$C$41*EXP(-(((0)-Inputs!$C$43)^2)/(2*Inputs!$C$44^2))*EXP(-(((Model_Data!A194)-Inputs!$C$42)^2)/(2*Inputs!$C$45^2))+Inputs!$C$48*(0.70*(0.45*SIN(2*PI()*(((Model_Data!A194)/Inputs!$C$49)+Inputs!$C$47*0.137))+0.35*COS(2*PI()*(((0)/Inputs!$C$50)+Inputs!$C$47*0.173))+0.20*SIN(2*PI()*(((Model_Data!A194)+(0))/(0.5*(Inputs!$C$49+Inputs!$C$50))+Inputs!$C$47*0.097)))+0.30*(2*((SIN(((Model_Data!A194)*12.9898+(0)*78.233+Inputs!$C$47*37.719))*43758.5453)-INT((SIN(((Model_Data!A194)*12.9898+(0)*78.233+Inputs!$C$47*37.719))*43758.5453)))-1))))/1000)))*1000/Inputs!$C$12)-Model_Data!F194))-(-(((SQRT((Model_Data!A194)^2+Inputs!$C$6^2+(Inputs!$C$5-((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(0.45*SIN(2*PI()*(((Model_Data!A194)/Inputs!$C$49)+Inputs!$C$47*0.137))+0.35*COS(2*PI()*(((Inputs!$C$6)/Inputs!$C$50)+Inputs!$C$47*0.173))+0.20*SIN(2*PI()*(((Model_Data!A194)+(Inputs!$C$6))/(0.5*(Inputs!$C$49+Inputs!$C$50))+Inputs!$C$47*0.097)))+0.30*(2*((SIN(((Model_Data!A194)*12.9898+(Inputs!$C$6)*78.233+Inputs!$C$47*37.719))*43758.5453)-INT((SIN(((Model_Data!A194)*12.9898+(Inputs!$C$6)*78.233+Inputs!$C$47*37.719))*43758.5453)))-1))))/1000)^2)-(Inputs!$C$5-((Inputs!$C$51*(115*EXP(-(((0)-25)^2)/(4.5^2))+70*EXP(-(((0)+38)^2)/(7^2))*(0.55+0.45*SIN(2*PI()*(Model_Data!A194)/45))+24*SIN(2*PI()*(0)/9+(Model_Data!A194)/18)*EXP(-(((0)+5)^2)/(22^2))+18*SIN(2*PI()*(Model_Data!A194)/70))+Inputs!$C$28*EXP(-(((Model_Data!A194)-Inputs!$C$29)^2)/(2*Inputs!$C$31^2))*EXP(-(((0)-Inputs!$C$30)^2)/(2*Inputs!$C$32^2))+-Inputs!$C$33*EXP(-(((((Model_Data!A194)-Inputs!$C$34)^2)+(((0)-Inputs!$C$35)^2))/(2*Inputs!$C$36^2)))+Inputs!$C$37*(0.55*SIN(2*PI()*(Model_Data!A194)/Inputs!$C$39)+0.35*COS(2*PI()*(0)/Inputs!$C$40)+0.2*SIN(2*PI()*((Model_Data!A194)+(0))/(0.5*(Inputs!$C$39+Inputs!$C$40))))+Inputs!$C$38*SIN(2*PI()*(Model_Data!A194)/Inputs!$C$39)*SIN(2*PI()*(0)/Inputs!$C$40)+-Inputs!$C$41*EXP(-(((0)-Inputs!$C$43)^2)/(2*Inputs!$C$44^2))*EXP(-(((Model_Data!A194)-Inputs!$C$42)^2)/(2*Inputs!$C$45^2))+Inputs!$C$48*(0.70*(0.45*SIN(2*PI()*(((Model_Data!A194)/Inputs!$C$49)+Inputs!$C$47*0.137))+0.35*COS(2*PI()*(((0)/Inputs!$C$50)+Inputs!$C$47*0.173))+0.20*SIN(2*PI()*(((Model_Data!A194)+(0))/(0.5*(Inputs!$C$49+Inputs!$C$50))+Inputs!$C$47*0.097)))+0.30*(2*((SIN(((Model_Data!A194)*12.9898+(0)*78.233+Inputs!$C$47*37.719))*43758.5453)-INT((SIN(((Model_Data!A194)*12.9898+(0)*78.233+Inputs!$C$47*37.719))*43758.5453)))-1))))/1000))*1000/Inputs!$C$12)-((SQRT((Model_Data!A194)^2+Inputs!$C$6^2+Inputs!$C$5^2)-Inputs!$C$5)*1000/Inputs!$C$12)))</x:f>
        <x:v>0.005980614096415593</x:v>
      </x:c>
      <x:c r="X194" s="48" t="n">
        <x:f>0</x:f>
        <x:v>0</x:v>
      </x:c>
      <x:c r="Y194" s="49"/>
      <x:c r="Z194" s="48" t="n">
        <x:f>Model_Data!A194</x:f>
        <x:v>36</x:v>
      </x:c>
      <x:c r="AA194" s="48" t="n">
        <x:f>SQRT((Model_Data!A194)^2+Inputs!$C$6^2+((Model_Data!B194)-((Inputs!$C$51*(115*EXP(-(((Inputs!$C$6)-25)^2)/(4.5^2))+70*EXP(-(((Inputs!$C$6)+38)^2)/(7^2))*(0.55+0.45*SIN(2*PI()*(Model_Data!A194)/45))+24*SIN(2*PI()*(Inputs!$C$6)/9+(Model_Data!A194)/18)*EXP(-(((Inputs!$C$6)+5)^2)/(22^2))+18*SIN(2*PI()*(Model_Data!A194)/70))+Inputs!$C$28*EXP(-(((Model_Data!A194)-Inputs!$C$29)^2)/(2*Inputs!$C$31^2))*EXP(-(((Inputs!$C$6)-Inputs!$C$30)^2)/(2*Inputs!$C$32^2))+-Inputs!$C$33*EXP(-(((((Model_Data!A194)-Inputs!$C$34)^2)+(((Inputs!$C$6)-Inputs!$C$35)^2))/(2*Inputs!$C$36^2)))+Inputs!$C$37*(0.55*SIN(2*PI()*(Model_Data!A194)/Inputs!$C$39)+0.35*COS(2*PI()*(Inputs!$C$6)/Inputs!$C$40)+0.2*SIN(2*PI()*((Model_Data!A194)+(Inputs!$C$6))/(0.5*(Inputs!$C$39+Inputs!$C$40))))+Inputs!$C$38*SIN(2*PI()*(Model_Data!A194)/Inputs!$C$39)*SIN(2*PI()*(Inputs!$C$6)/Inputs!$C$40)+-Inputs!$C$41*EXP(-(((Inputs!$C$6)-Inputs!$C$43)^2)/(2*Inputs!$C$44^2))*EXP(-(((Model_Data!A194)-Inputs!$C$42)^2)/(2*Inputs!$C$45^2))+Inputs!$C$48*(0.70*(0.45*SIN(2*PI()*(((Model_Data!A194)/Inputs!$C$49)+Inputs!$C$47*0.137))+0.35*COS(2*PI()*(((Inputs!$C$6)/Inputs!$C$50)+Inputs!$C$47*0.173))+0.20*SIN(2*PI()*(((Model_Data!A194)+(Inputs!$C$6))/(0.5*(Inputs!$C$49+Inputs!$C$50))+Inputs!$C$47*0.097)))+0.30*(2*((SIN(((Model_Data!A194)*12.9898+(Inputs!$C$6)*78.233+Inputs!$C$47*37.719))*43758.5453)-INT((SIN(((Model_Data!A194)*12.9898+(Inputs!$C$6)*78.233+Inputs!$C$47*37.719))*43758.5453)))-1))))/1000)^2)</x:f>
        <x:v>403.5751891267146</x:v>
      </x:c>
      <x:c r="AB194" s="48" t="n">
        <x:f>1000*(AA195-AA193)/(Z195-Z193)*Inputs!$C$11</x:f>
        <x:v>548.9716450076685</x:v>
      </x:c>
      <x:c r="AC194" s="48" t="n">
        <x:f>-2*AB194/Inputs!$C$13</x:f>
        <x:v>-219.5886580030674</x:v>
      </x:c>
      <x:c r="AD194" s="48" t="n">
        <x:f>-2*AB194/Inputs!$C$14</x:f>
        <x:v>-32.97126997043054</x:v>
      </x:c>
    </x:row>
    <x:row r="195">
      <x:c r="A195" s="48" t="n">
        <x:f>Model_Data!A195</x:f>
        <x:v>36.5</x:v>
      </x:c>
      <x:c r="B195" s="48" t="n">
        <x:f>Model_Data!F195</x:f>
        <x:v>1365.2735172823614</x:v>
      </x:c>
      <x:c r="C195" s="48" t="n">
        <x:f>(((SQRT((Model_Data!A195)^2+Inputs!$C$6^2+((Model_Data!B195)-((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(0.45*SIN(2*PI()*(((Model_Data!A195)/Inputs!$C$49)+Inputs!$C$47*0.137))+0.35*COS(2*PI()*(((Inputs!$C$6)/Inputs!$C$50)+Inputs!$C$47*0.173))+0.20*SIN(2*PI()*(((Model_Data!A195)+(Inputs!$C$6))/(0.5*(Inputs!$C$49+Inputs!$C$50))+Inputs!$C$47*0.097)))+0.30*(2*((SIN(((Model_Data!A195)*12.9898+(Inputs!$C$6)*78.233+Inputs!$C$47*37.719))*43758.5453)-INT((SIN(((Model_Data!A195)*12.9898+(Inputs!$C$6)*78.233+Inputs!$C$47*37.719))*43758.5453)))-1))))/1000)^2))-(((Model_Data!B195)-((Inputs!$C$51*(115*EXP(-(((0)-25)^2)/(4.5^2))+70*EXP(-(((0)+38)^2)/(7^2))*(0.55+0.45*SIN(2*PI()*(Model_Data!A195)/45))+24*SIN(2*PI()*(0)/9+(Model_Data!A195)/18)*EXP(-(((0)+5)^2)/(22^2))+18*SIN(2*PI()*(Model_Data!A195)/70))+Inputs!$C$28*EXP(-(((Model_Data!A195)-Inputs!$C$29)^2)/(2*Inputs!$C$31^2))*EXP(-(((0)-Inputs!$C$30)^2)/(2*Inputs!$C$32^2))+-Inputs!$C$33*EXP(-(((((Model_Data!A195)-Inputs!$C$34)^2)+(((0)-Inputs!$C$35)^2))/(2*Inputs!$C$36^2)))+Inputs!$C$37*(0.55*SIN(2*PI()*(Model_Data!A195)/Inputs!$C$39)+0.35*COS(2*PI()*(0)/Inputs!$C$40)+0.2*SIN(2*PI()*((Model_Data!A195)+(0))/(0.5*(Inputs!$C$39+Inputs!$C$40))))+Inputs!$C$38*SIN(2*PI()*(Model_Data!A195)/Inputs!$C$39)*SIN(2*PI()*(0)/Inputs!$C$40)+-Inputs!$C$41*EXP(-(((0)-Inputs!$C$43)^2)/(2*Inputs!$C$44^2))*EXP(-(((Model_Data!A195)-Inputs!$C$42)^2)/(2*Inputs!$C$45^2))+Inputs!$C$48*(0.70*(0.45*SIN(2*PI()*(((Model_Data!A195)/Inputs!$C$49)+Inputs!$C$47*0.137))+0.35*COS(2*PI()*(((0)/Inputs!$C$50)+Inputs!$C$47*0.173))+0.20*SIN(2*PI()*(((Model_Data!A195)+(0))/(0.5*(Inputs!$C$49+Inputs!$C$50))+Inputs!$C$47*0.097)))+0.30*(2*((SIN(((Model_Data!A195)*12.9898+(0)*78.233+Inputs!$C$47*37.719))*43758.5453)-INT((SIN(((Model_Data!A195)*12.9898+(0)*78.233+Inputs!$C$47*37.719))*43758.5453)))-1))))/1000)))*1000/Inputs!$C$12)</x:f>
        <x:v>1237.3637551977902</x:v>
      </x:c>
      <x:c r="D195" s="49"/>
      <x:c r="E195" s="48" t="n">
        <x:f>Model_Data!A195</x:f>
        <x:v>36.5</x:v>
      </x:c>
      <x:c r="F195" s="48" t="n">
        <x:f>(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(0.45*SIN(2*PI()*(((Model_Data!A195)/Inputs!$C$49)+Inputs!$C$47*0.137))+0.35*COS(2*PI()*(((Inputs!$C$6)/Inputs!$C$50)+Inputs!$C$47*0.173))+0.20*SIN(2*PI()*(((Model_Data!A195)+(Inputs!$C$6))/(0.5*(Inputs!$C$49+Inputs!$C$50))+Inputs!$C$47*0.097)))+0.30*(2*((SIN(((Model_Data!A195)*12.9898+(Inputs!$C$6)*78.233+Inputs!$C$47*37.719))*43758.5453)-INT((SIN(((Model_Data!A195)*12.9898+(Inputs!$C$6)*78.233+Inputs!$C$47*37.719))*43758.5453)))-1)))</x:f>
        <x:v>274.3131350022337</x:v>
      </x:c>
      <x:c r="G195" s="48" t="n">
        <x:f>(Inputs!$C$51*(115*EXP(-(((0)-25)^2)/(4.5^2))+70*EXP(-(((0)+38)^2)/(7^2))*(0.55+0.45*SIN(2*PI()*(Model_Data!A195)/45))+24*SIN(2*PI()*(0)/9+(Model_Data!A195)/18)*EXP(-(((0)+5)^2)/(22^2))+18*SIN(2*PI()*(Model_Data!A195)/70))+Inputs!$C$28*EXP(-(((Model_Data!A195)-Inputs!$C$29)^2)/(2*Inputs!$C$31^2))*EXP(-(((0)-Inputs!$C$30)^2)/(2*Inputs!$C$32^2))+-Inputs!$C$33*EXP(-(((((Model_Data!A195)-Inputs!$C$34)^2)+(((0)-Inputs!$C$35)^2))/(2*Inputs!$C$36^2)))+Inputs!$C$37*(0.55*SIN(2*PI()*(Model_Data!A195)/Inputs!$C$39)+0.35*COS(2*PI()*(0)/Inputs!$C$40)+0.2*SIN(2*PI()*((Model_Data!A195)+(0))/(0.5*(Inputs!$C$39+Inputs!$C$40))))+Inputs!$C$38*SIN(2*PI()*(Model_Data!A195)/Inputs!$C$39)*SIN(2*PI()*(0)/Inputs!$C$40)+-Inputs!$C$41*EXP(-(((0)-Inputs!$C$43)^2)/(2*Inputs!$C$44^2))*EXP(-(((Model_Data!A195)-Inputs!$C$42)^2)/(2*Inputs!$C$45^2))+Inputs!$C$48*(0.70*(0.45*SIN(2*PI()*(((Model_Data!A195)/Inputs!$C$49)+Inputs!$C$47*0.137))+0.35*COS(2*PI()*(((0)/Inputs!$C$50)+Inputs!$C$47*0.173))+0.20*SIN(2*PI()*(((Model_Data!A195)+(0))/(0.5*(Inputs!$C$49+Inputs!$C$50))+Inputs!$C$47*0.097)))+0.30*(2*((SIN(((Model_Data!A195)*12.9898+(0)*78.233+Inputs!$C$47*37.719))*43758.5453)-INT((SIN(((Model_Data!A195)*12.9898+(0)*78.233+Inputs!$C$47*37.719))*43758.5453)))-1)))</x:f>
        <x:v>44.98219479967033</x:v>
      </x:c>
      <x:c r="H195" s="49"/>
      <x:c r="I195" s="48" t="n">
        <x:f>Model_Data!A195</x:f>
        <x:v>36.5</x:v>
      </x:c>
      <x:c r="J195" s="48" t="n">
        <x:f>((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(0.45*SIN(2*PI()*(((Model_Data!A195)/Inputs!$C$49)+Inputs!$C$47*0.137))+0.35*COS(2*PI()*(((Inputs!$C$6)/Inputs!$C$50)+Inputs!$C$47*0.173))+0.20*SIN(2*PI()*(((Model_Data!A195)+(Inputs!$C$6))/(0.5*(Inputs!$C$49+Inputs!$C$50))+Inputs!$C$47*0.097)))+0.30*(2*((SIN(((Model_Data!A195)*12.9898+(Inputs!$C$6)*78.233+Inputs!$C$47*37.719))*43758.5453)-INT((SIN(((Model_Data!A195)*12.9898+(Inputs!$C$6)*78.233+Inputs!$C$47*37.719))*43758.5453)))-1))))-((Inputs!$C$51*(115*EXP(-(((0)-25)^2)/(4.5^2))+70*EXP(-(((0)+38)^2)/(7^2))*(0.55+0.45*SIN(2*PI()*(Model_Data!A195)/45))+24*SIN(2*PI()*(0)/9+(Model_Data!A195)/18)*EXP(-(((0)+5)^2)/(22^2))+18*SIN(2*PI()*(Model_Data!A195)/70))+Inputs!$C$28*EXP(-(((Model_Data!A195)-Inputs!$C$29)^2)/(2*Inputs!$C$31^2))*EXP(-(((0)-Inputs!$C$30)^2)/(2*Inputs!$C$32^2))+-Inputs!$C$33*EXP(-(((((Model_Data!A195)-Inputs!$C$34)^2)+(((0)-Inputs!$C$35)^2))/(2*Inputs!$C$36^2)))+Inputs!$C$37*(0.55*SIN(2*PI()*(Model_Data!A195)/Inputs!$C$39)+0.35*COS(2*PI()*(0)/Inputs!$C$40)+0.2*SIN(2*PI()*((Model_Data!A195)+(0))/(0.5*(Inputs!$C$39+Inputs!$C$40))))+Inputs!$C$38*SIN(2*PI()*(Model_Data!A195)/Inputs!$C$39)*SIN(2*PI()*(0)/Inputs!$C$40)+-Inputs!$C$41*EXP(-(((0)-Inputs!$C$43)^2)/(2*Inputs!$C$44^2))*EXP(-(((Model_Data!A195)-Inputs!$C$42)^2)/(2*Inputs!$C$45^2))+Inputs!$C$48*(0.70*(0.45*SIN(2*PI()*(((Model_Data!A195)/Inputs!$C$49)+Inputs!$C$47*0.137))+0.35*COS(2*PI()*(((0)/Inputs!$C$50)+Inputs!$C$47*0.173))+0.20*SIN(2*PI()*(((Model_Data!A195)+(0))/(0.5*(Inputs!$C$49+Inputs!$C$50))+Inputs!$C$47*0.097)))+0.30*(2*((SIN(((Model_Data!A195)*12.9898+(0)*78.233+Inputs!$C$47*37.719))*43758.5453)-INT((SIN(((Model_Data!A195)*12.9898+(0)*78.233+Inputs!$C$47*37.719))*43758.5453)))-1))))</x:f>
        <x:v>229.33094020256337</x:v>
      </x:c>
      <x:c r="K195" s="48" t="n">
        <x:f>-((((SQRT((Model_Data!A195)^2+Inputs!$C$6^2+((Model_Data!B195)-((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(0.45*SIN(2*PI()*(((Model_Data!A195)/Inputs!$C$49)+Inputs!$C$47*0.137))+0.35*COS(2*PI()*(((Inputs!$C$6)/Inputs!$C$50)+Inputs!$C$47*0.173))+0.20*SIN(2*PI()*(((Model_Data!A195)+(Inputs!$C$6))/(0.5*(Inputs!$C$49+Inputs!$C$50))+Inputs!$C$47*0.097)))+0.30*(2*((SIN(((Model_Data!A195)*12.9898+(Inputs!$C$6)*78.233+Inputs!$C$47*37.719))*43758.5453)-INT((SIN(((Model_Data!A195)*12.9898+(Inputs!$C$6)*78.233+Inputs!$C$47*37.719))*43758.5453)))-1))))/1000)^2))-(((Model_Data!B195)-((Inputs!$C$51*(115*EXP(-(((0)-25)^2)/(4.5^2))+70*EXP(-(((0)+38)^2)/(7^2))*(0.55+0.45*SIN(2*PI()*(Model_Data!A195)/45))+24*SIN(2*PI()*(0)/9+(Model_Data!A195)/18)*EXP(-(((0)+5)^2)/(22^2))+18*SIN(2*PI()*(Model_Data!A195)/70))+Inputs!$C$28*EXP(-(((Model_Data!A195)-Inputs!$C$29)^2)/(2*Inputs!$C$31^2))*EXP(-(((0)-Inputs!$C$30)^2)/(2*Inputs!$C$32^2))+-Inputs!$C$33*EXP(-(((((Model_Data!A195)-Inputs!$C$34)^2)+(((0)-Inputs!$C$35)^2))/(2*Inputs!$C$36^2)))+Inputs!$C$37*(0.55*SIN(2*PI()*(Model_Data!A195)/Inputs!$C$39)+0.35*COS(2*PI()*(0)/Inputs!$C$40)+0.2*SIN(2*PI()*((Model_Data!A195)+(0))/(0.5*(Inputs!$C$39+Inputs!$C$40))))+Inputs!$C$38*SIN(2*PI()*(Model_Data!A195)/Inputs!$C$39)*SIN(2*PI()*(0)/Inputs!$C$40)+-Inputs!$C$41*EXP(-(((0)-Inputs!$C$43)^2)/(2*Inputs!$C$44^2))*EXP(-(((Model_Data!A195)-Inputs!$C$42)^2)/(2*Inputs!$C$45^2))+Inputs!$C$48*(0.70*(0.45*SIN(2*PI()*(((Model_Data!A195)/Inputs!$C$49)+Inputs!$C$47*0.137))+0.35*COS(2*PI()*(((0)/Inputs!$C$50)+Inputs!$C$47*0.173))+0.20*SIN(2*PI()*(((Model_Data!A195)+(0))/(0.5*(Inputs!$C$49+Inputs!$C$50))+Inputs!$C$47*0.097)))+0.30*(2*((SIN(((Model_Data!A195)*12.9898+(0)*78.233+Inputs!$C$47*37.719))*43758.5453)-INT((SIN(((Model_Data!A195)*12.9898+(0)*78.233+Inputs!$C$47*37.719))*43758.5453)))-1))))/1000)))*1000/Inputs!$C$12)-Model_Data!F195)</x:f>
        <x:v>127.90976208457118</x:v>
      </x:c>
      <x:c r="L195" s="49"/>
      <x:c r="M195" s="48" t="n">
        <x:f>Model_Data!A195</x:f>
        <x:v>36.5</x:v>
      </x:c>
      <x:c r="N195" s="48" t="n">
        <x:f>Model_Data!P195</x:f>
        <x:v>-273.5834496650001</x:v>
      </x:c>
      <x:c r="O195" s="48" t="n">
        <x:f>AC195</x:f>
        <x:v>-233.24638782560214</x:v>
      </x:c>
      <x:c r="P195" s="48" t="n">
        <x:f>Model_Data!Q195</x:f>
        <x:v>-41.07859604579582</x:v>
      </x:c>
      <x:c r="Q195" s="48" t="n">
        <x:f>AD195</x:f>
        <x:v>-35.02198015399432</x:v>
      </x:c>
      <x:c r="R195" s="49"/>
      <x:c r="S195" s="48" t="n">
        <x:f>Model_Data!A195</x:f>
        <x:v>36.5</x:v>
      </x:c>
      <x:c r="T195" s="48" t="n">
        <x:f>Model_Data!B195-Inputs!$C$5</x:f>
        <x:v>1.4802777777777578</x:v>
      </x:c>
      <x:c r="U195" s="49"/>
      <x:c r="V195" s="48" t="n">
        <x:f>Model_Data!A195</x:f>
        <x:v>36.5</x:v>
      </x:c>
      <x:c r="W195" s="48" t="n">
        <x:f>(-((((SQRT((Model_Data!A195)^2+Inputs!$C$6^2+((Model_Data!B195)-((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(0.45*SIN(2*PI()*(((Model_Data!A195)/Inputs!$C$49)+Inputs!$C$47*0.137))+0.35*COS(2*PI()*(((Inputs!$C$6)/Inputs!$C$50)+Inputs!$C$47*0.173))+0.20*SIN(2*PI()*(((Model_Data!A195)+(Inputs!$C$6))/(0.5*(Inputs!$C$49+Inputs!$C$50))+Inputs!$C$47*0.097)))+0.30*(2*((SIN(((Model_Data!A195)*12.9898+(Inputs!$C$6)*78.233+Inputs!$C$47*37.719))*43758.5453)-INT((SIN(((Model_Data!A195)*12.9898+(Inputs!$C$6)*78.233+Inputs!$C$47*37.719))*43758.5453)))-1))))/1000)^2))-(((Model_Data!B195)-((Inputs!$C$51*(115*EXP(-(((0)-25)^2)/(4.5^2))+70*EXP(-(((0)+38)^2)/(7^2))*(0.55+0.45*SIN(2*PI()*(Model_Data!A195)/45))+24*SIN(2*PI()*(0)/9+(Model_Data!A195)/18)*EXP(-(((0)+5)^2)/(22^2))+18*SIN(2*PI()*(Model_Data!A195)/70))+Inputs!$C$28*EXP(-(((Model_Data!A195)-Inputs!$C$29)^2)/(2*Inputs!$C$31^2))*EXP(-(((0)-Inputs!$C$30)^2)/(2*Inputs!$C$32^2))+-Inputs!$C$33*EXP(-(((((Model_Data!A195)-Inputs!$C$34)^2)+(((0)-Inputs!$C$35)^2))/(2*Inputs!$C$36^2)))+Inputs!$C$37*(0.55*SIN(2*PI()*(Model_Data!A195)/Inputs!$C$39)+0.35*COS(2*PI()*(0)/Inputs!$C$40)+0.2*SIN(2*PI()*((Model_Data!A195)+(0))/(0.5*(Inputs!$C$39+Inputs!$C$40))))+Inputs!$C$38*SIN(2*PI()*(Model_Data!A195)/Inputs!$C$39)*SIN(2*PI()*(0)/Inputs!$C$40)+-Inputs!$C$41*EXP(-(((0)-Inputs!$C$43)^2)/(2*Inputs!$C$44^2))*EXP(-(((Model_Data!A195)-Inputs!$C$42)^2)/(2*Inputs!$C$45^2))+Inputs!$C$48*(0.70*(0.45*SIN(2*PI()*(((Model_Data!A195)/Inputs!$C$49)+Inputs!$C$47*0.137))+0.35*COS(2*PI()*(((0)/Inputs!$C$50)+Inputs!$C$47*0.173))+0.20*SIN(2*PI()*(((Model_Data!A195)+(0))/(0.5*(Inputs!$C$49+Inputs!$C$50))+Inputs!$C$47*0.097)))+0.30*(2*((SIN(((Model_Data!A195)*12.9898+(0)*78.233+Inputs!$C$47*37.719))*43758.5453)-INT((SIN(((Model_Data!A195)*12.9898+(0)*78.233+Inputs!$C$47*37.719))*43758.5453)))-1))))/1000)))*1000/Inputs!$C$12)-Model_Data!F195))-(-(((SQRT((Model_Data!A195)^2+Inputs!$C$6^2+(Inputs!$C$5-((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(0.45*SIN(2*PI()*(((Model_Data!A195)/Inputs!$C$49)+Inputs!$C$47*0.137))+0.35*COS(2*PI()*(((Inputs!$C$6)/Inputs!$C$50)+Inputs!$C$47*0.173))+0.20*SIN(2*PI()*(((Model_Data!A195)+(Inputs!$C$6))/(0.5*(Inputs!$C$49+Inputs!$C$50))+Inputs!$C$47*0.097)))+0.30*(2*((SIN(((Model_Data!A195)*12.9898+(Inputs!$C$6)*78.233+Inputs!$C$47*37.719))*43758.5453)-INT((SIN(((Model_Data!A195)*12.9898+(Inputs!$C$6)*78.233+Inputs!$C$47*37.719))*43758.5453)))-1))))/1000)^2)-(Inputs!$C$5-((Inputs!$C$51*(115*EXP(-(((0)-25)^2)/(4.5^2))+70*EXP(-(((0)+38)^2)/(7^2))*(0.55+0.45*SIN(2*PI()*(Model_Data!A195)/45))+24*SIN(2*PI()*(0)/9+(Model_Data!A195)/18)*EXP(-(((0)+5)^2)/(22^2))+18*SIN(2*PI()*(Model_Data!A195)/70))+Inputs!$C$28*EXP(-(((Model_Data!A195)-Inputs!$C$29)^2)/(2*Inputs!$C$31^2))*EXP(-(((0)-Inputs!$C$30)^2)/(2*Inputs!$C$32^2))+-Inputs!$C$33*EXP(-(((((Model_Data!A195)-Inputs!$C$34)^2)+(((0)-Inputs!$C$35)^2))/(2*Inputs!$C$36^2)))+Inputs!$C$37*(0.55*SIN(2*PI()*(Model_Data!A195)/Inputs!$C$39)+0.35*COS(2*PI()*(0)/Inputs!$C$40)+0.2*SIN(2*PI()*((Model_Data!A195)+(0))/(0.5*(Inputs!$C$39+Inputs!$C$40))))+Inputs!$C$38*SIN(2*PI()*(Model_Data!A195)/Inputs!$C$39)*SIN(2*PI()*(0)/Inputs!$C$40)+-Inputs!$C$41*EXP(-(((0)-Inputs!$C$43)^2)/(2*Inputs!$C$44^2))*EXP(-(((Model_Data!A195)-Inputs!$C$42)^2)/(2*Inputs!$C$45^2))+Inputs!$C$48*(0.70*(0.45*SIN(2*PI()*(((Model_Data!A195)/Inputs!$C$49)+Inputs!$C$47*0.137))+0.35*COS(2*PI()*(((0)/Inputs!$C$50)+Inputs!$C$47*0.173))+0.20*SIN(2*PI()*(((Model_Data!A195)+(0))/(0.5*(Inputs!$C$49+Inputs!$C$50))+Inputs!$C$47*0.097)))+0.30*(2*((SIN(((Model_Data!A195)*12.9898+(0)*78.233+Inputs!$C$47*37.719))*43758.5453)-INT((SIN(((Model_Data!A195)*12.9898+(0)*78.233+Inputs!$C$47*37.719))*43758.5453)))-1))))/1000))*1000/Inputs!$C$12)-((SQRT((Model_Data!A195)^2+Inputs!$C$6^2+Inputs!$C$5^2)-Inputs!$C$5)*1000/Inputs!$C$12)))</x:f>
        <x:v>0.0068199256020307075</x:v>
      </x:c>
      <x:c r="X195" s="48" t="n">
        <x:f>0</x:f>
        <x:v>0</x:v>
      </x:c>
      <x:c r="Y195" s="49"/>
      <x:c r="Z195" s="48" t="n">
        <x:f>Model_Data!A195</x:f>
        <x:v>36.5</x:v>
      </x:c>
      <x:c r="AA195" s="48" t="n">
        <x:f>SQRT((Model_Data!A195)^2+Inputs!$C$6^2+((Model_Data!B195)-((Inputs!$C$51*(115*EXP(-(((Inputs!$C$6)-25)^2)/(4.5^2))+70*EXP(-(((Inputs!$C$6)+38)^2)/(7^2))*(0.55+0.45*SIN(2*PI()*(Model_Data!A195)/45))+24*SIN(2*PI()*(Inputs!$C$6)/9+(Model_Data!A195)/18)*EXP(-(((Inputs!$C$6)+5)^2)/(22^2))+18*SIN(2*PI()*(Model_Data!A195)/70))+Inputs!$C$28*EXP(-(((Model_Data!A195)-Inputs!$C$29)^2)/(2*Inputs!$C$31^2))*EXP(-(((Inputs!$C$6)-Inputs!$C$30)^2)/(2*Inputs!$C$32^2))+-Inputs!$C$33*EXP(-(((((Model_Data!A195)-Inputs!$C$34)^2)+(((Inputs!$C$6)-Inputs!$C$35)^2))/(2*Inputs!$C$36^2)))+Inputs!$C$37*(0.55*SIN(2*PI()*(Model_Data!A195)/Inputs!$C$39)+0.35*COS(2*PI()*(Inputs!$C$6)/Inputs!$C$40)+0.2*SIN(2*PI()*((Model_Data!A195)+(Inputs!$C$6))/(0.5*(Inputs!$C$39+Inputs!$C$40))))+Inputs!$C$38*SIN(2*PI()*(Model_Data!A195)/Inputs!$C$39)*SIN(2*PI()*(Inputs!$C$6)/Inputs!$C$40)+-Inputs!$C$41*EXP(-(((Inputs!$C$6)-Inputs!$C$43)^2)/(2*Inputs!$C$44^2))*EXP(-(((Model_Data!A195)-Inputs!$C$42)^2)/(2*Inputs!$C$45^2))+Inputs!$C$48*(0.70*(0.45*SIN(2*PI()*(((Model_Data!A195)/Inputs!$C$49)+Inputs!$C$47*0.137))+0.35*COS(2*PI()*(((Inputs!$C$6)/Inputs!$C$50)+Inputs!$C$47*0.173))+0.20*SIN(2*PI()*(((Model_Data!A195)+(Inputs!$C$6))/(0.5*(Inputs!$C$49+Inputs!$C$50))+Inputs!$C$47*0.097)))+0.30*(2*((SIN(((Model_Data!A195)*12.9898+(Inputs!$C$6)*78.233+Inputs!$C$47*37.719))*43758.5453)-INT((SIN(((Model_Data!A195)*12.9898+(Inputs!$C$6)*78.233+Inputs!$C$47*37.719))*43758.5453)))-1))))/1000)^2)</x:f>
        <x:v>403.63780306723015</x:v>
      </x:c>
      <x:c r="AB195" s="48" t="n">
        <x:f>1000*(AA196-AA194)/(Z196-Z194)*Inputs!$C$11</x:f>
        <x:v>583.1159695640054</x:v>
      </x:c>
      <x:c r="AC195" s="48" t="n">
        <x:f>-2*AB195/Inputs!$C$13</x:f>
        <x:v>-233.24638782560214</x:v>
      </x:c>
      <x:c r="AD195" s="48" t="n">
        <x:f>-2*AB195/Inputs!$C$14</x:f>
        <x:v>-35.02198015399432</x:v>
      </x:c>
    </x:row>
    <x:row r="196">
      <x:c r="A196" s="48" t="n">
        <x:f>Model_Data!A196</x:f>
        <x:v>37</x:v>
      </x:c>
      <x:c r="B196" s="48" t="n">
        <x:f>Model_Data!F196</x:f>
        <x:v>1390.689229987749</x:v>
      </x:c>
      <x:c r="C196" s="48" t="n">
        <x:f>(((SQRT((Model_Data!A196)^2+Inputs!$C$6^2+((Model_Data!B196)-((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(0.45*SIN(2*PI()*(((Model_Data!A196)/Inputs!$C$49)+Inputs!$C$47*0.137))+0.35*COS(2*PI()*(((Inputs!$C$6)/Inputs!$C$50)+Inputs!$C$47*0.173))+0.20*SIN(2*PI()*(((Model_Data!A196)+(Inputs!$C$6))/(0.5*(Inputs!$C$49+Inputs!$C$50))+Inputs!$C$47*0.097)))+0.30*(2*((SIN(((Model_Data!A196)*12.9898+(Inputs!$C$6)*78.233+Inputs!$C$47*37.719))*43758.5453)-INT((SIN(((Model_Data!A196)*12.9898+(Inputs!$C$6)*78.233+Inputs!$C$47*37.719))*43758.5453)))-1))))/1000)^2))-(((Model_Data!B196)-((Inputs!$C$51*(115*EXP(-(((0)-25)^2)/(4.5^2))+70*EXP(-(((0)+38)^2)/(7^2))*(0.55+0.45*SIN(2*PI()*(Model_Data!A196)/45))+24*SIN(2*PI()*(0)/9+(Model_Data!A196)/18)*EXP(-(((0)+5)^2)/(22^2))+18*SIN(2*PI()*(Model_Data!A196)/70))+Inputs!$C$28*EXP(-(((Model_Data!A196)-Inputs!$C$29)^2)/(2*Inputs!$C$31^2))*EXP(-(((0)-Inputs!$C$30)^2)/(2*Inputs!$C$32^2))+-Inputs!$C$33*EXP(-(((((Model_Data!A196)-Inputs!$C$34)^2)+(((0)-Inputs!$C$35)^2))/(2*Inputs!$C$36^2)))+Inputs!$C$37*(0.55*SIN(2*PI()*(Model_Data!A196)/Inputs!$C$39)+0.35*COS(2*PI()*(0)/Inputs!$C$40)+0.2*SIN(2*PI()*((Model_Data!A196)+(0))/(0.5*(Inputs!$C$39+Inputs!$C$40))))+Inputs!$C$38*SIN(2*PI()*(Model_Data!A196)/Inputs!$C$39)*SIN(2*PI()*(0)/Inputs!$C$40)+-Inputs!$C$41*EXP(-(((0)-Inputs!$C$43)^2)/(2*Inputs!$C$44^2))*EXP(-(((Model_Data!A196)-Inputs!$C$42)^2)/(2*Inputs!$C$45^2))+Inputs!$C$48*(0.70*(0.45*SIN(2*PI()*(((Model_Data!A196)/Inputs!$C$49)+Inputs!$C$47*0.137))+0.35*COS(2*PI()*(((0)/Inputs!$C$50)+Inputs!$C$47*0.173))+0.20*SIN(2*PI()*(((Model_Data!A196)+(0))/(0.5*(Inputs!$C$49+Inputs!$C$50))+Inputs!$C$47*0.097)))+0.30*(2*((SIN(((Model_Data!A196)*12.9898+(0)*78.233+Inputs!$C$47*37.719))*43758.5453)-INT((SIN(((Model_Data!A196)*12.9898+(0)*78.233+Inputs!$C$47*37.719))*43758.5453)))-1))))/1000)))*1000/Inputs!$C$12)</x:f>
        <x:v>1268.6617955266863</x:v>
      </x:c>
      <x:c r="D196" s="49"/>
      <x:c r="E196" s="48" t="n">
        <x:f>Model_Data!A196</x:f>
        <x:v>37</x:v>
      </x:c>
      <x:c r="F196" s="48" t="n">
        <x:f>(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(0.45*SIN(2*PI()*(((Model_Data!A196)/Inputs!$C$49)+Inputs!$C$47*0.137))+0.35*COS(2*PI()*(((Inputs!$C$6)/Inputs!$C$50)+Inputs!$C$47*0.173))+0.20*SIN(2*PI()*(((Model_Data!A196)+(Inputs!$C$6))/(0.5*(Inputs!$C$49+Inputs!$C$50))+Inputs!$C$47*0.097)))+0.30*(2*((SIN(((Model_Data!A196)*12.9898+(Inputs!$C$6)*78.233+Inputs!$C$47*37.719))*43758.5453)-INT((SIN(((Model_Data!A196)*12.9898+(Inputs!$C$6)*78.233+Inputs!$C$47*37.719))*43758.5453)))-1)))</x:f>
        <x:v>277.26991348245565</x:v>
      </x:c>
      <x:c r="G196" s="48" t="n">
        <x:f>(Inputs!$C$51*(115*EXP(-(((0)-25)^2)/(4.5^2))+70*EXP(-(((0)+38)^2)/(7^2))*(0.55+0.45*SIN(2*PI()*(Model_Data!A196)/45))+24*SIN(2*PI()*(0)/9+(Model_Data!A196)/18)*EXP(-(((0)+5)^2)/(22^2))+18*SIN(2*PI()*(Model_Data!A196)/70))+Inputs!$C$28*EXP(-(((Model_Data!A196)-Inputs!$C$29)^2)/(2*Inputs!$C$31^2))*EXP(-(((0)-Inputs!$C$30)^2)/(2*Inputs!$C$32^2))+-Inputs!$C$33*EXP(-(((((Model_Data!A196)-Inputs!$C$34)^2)+(((0)-Inputs!$C$35)^2))/(2*Inputs!$C$36^2)))+Inputs!$C$37*(0.55*SIN(2*PI()*(Model_Data!A196)/Inputs!$C$39)+0.35*COS(2*PI()*(0)/Inputs!$C$40)+0.2*SIN(2*PI()*((Model_Data!A196)+(0))/(0.5*(Inputs!$C$39+Inputs!$C$40))))+Inputs!$C$38*SIN(2*PI()*(Model_Data!A196)/Inputs!$C$39)*SIN(2*PI()*(0)/Inputs!$C$40)+-Inputs!$C$41*EXP(-(((0)-Inputs!$C$43)^2)/(2*Inputs!$C$44^2))*EXP(-(((Model_Data!A196)-Inputs!$C$42)^2)/(2*Inputs!$C$45^2))+Inputs!$C$48*(0.70*(0.45*SIN(2*PI()*(((Model_Data!A196)/Inputs!$C$49)+Inputs!$C$47*0.137))+0.35*COS(2*PI()*(((0)/Inputs!$C$50)+Inputs!$C$47*0.173))+0.20*SIN(2*PI()*(((Model_Data!A196)+(0))/(0.5*(Inputs!$C$49+Inputs!$C$50))+Inputs!$C$47*0.097)))+0.30*(2*((SIN(((Model_Data!A196)*12.9898+(0)*78.233+Inputs!$C$47*37.719))*43758.5453)-INT((SIN(((Model_Data!A196)*12.9898+(0)*78.233+Inputs!$C$47*37.719))*43758.5453)))-1)))</x:f>
        <x:v>58.36098804305038</x:v>
      </x:c>
      <x:c r="H196" s="49"/>
      <x:c r="I196" s="48" t="n">
        <x:f>Model_Data!A196</x:f>
        <x:v>37</x:v>
      </x:c>
      <x:c r="J196" s="48" t="n">
        <x:f>((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(0.45*SIN(2*PI()*(((Model_Data!A196)/Inputs!$C$49)+Inputs!$C$47*0.137))+0.35*COS(2*PI()*(((Inputs!$C$6)/Inputs!$C$50)+Inputs!$C$47*0.173))+0.20*SIN(2*PI()*(((Model_Data!A196)+(Inputs!$C$6))/(0.5*(Inputs!$C$49+Inputs!$C$50))+Inputs!$C$47*0.097)))+0.30*(2*((SIN(((Model_Data!A196)*12.9898+(Inputs!$C$6)*78.233+Inputs!$C$47*37.719))*43758.5453)-INT((SIN(((Model_Data!A196)*12.9898+(Inputs!$C$6)*78.233+Inputs!$C$47*37.719))*43758.5453)))-1))))-((Inputs!$C$51*(115*EXP(-(((0)-25)^2)/(4.5^2))+70*EXP(-(((0)+38)^2)/(7^2))*(0.55+0.45*SIN(2*PI()*(Model_Data!A196)/45))+24*SIN(2*PI()*(0)/9+(Model_Data!A196)/18)*EXP(-(((0)+5)^2)/(22^2))+18*SIN(2*PI()*(Model_Data!A196)/70))+Inputs!$C$28*EXP(-(((Model_Data!A196)-Inputs!$C$29)^2)/(2*Inputs!$C$31^2))*EXP(-(((0)-Inputs!$C$30)^2)/(2*Inputs!$C$32^2))+-Inputs!$C$33*EXP(-(((((Model_Data!A196)-Inputs!$C$34)^2)+(((0)-Inputs!$C$35)^2))/(2*Inputs!$C$36^2)))+Inputs!$C$37*(0.55*SIN(2*PI()*(Model_Data!A196)/Inputs!$C$39)+0.35*COS(2*PI()*(0)/Inputs!$C$40)+0.2*SIN(2*PI()*((Model_Data!A196)+(0))/(0.5*(Inputs!$C$39+Inputs!$C$40))))+Inputs!$C$38*SIN(2*PI()*(Model_Data!A196)/Inputs!$C$39)*SIN(2*PI()*(0)/Inputs!$C$40)+-Inputs!$C$41*EXP(-(((0)-Inputs!$C$43)^2)/(2*Inputs!$C$44^2))*EXP(-(((Model_Data!A196)-Inputs!$C$42)^2)/(2*Inputs!$C$45^2))+Inputs!$C$48*(0.70*(0.45*SIN(2*PI()*(((Model_Data!A196)/Inputs!$C$49)+Inputs!$C$47*0.137))+0.35*COS(2*PI()*(((0)/Inputs!$C$50)+Inputs!$C$47*0.173))+0.20*SIN(2*PI()*(((Model_Data!A196)+(0))/(0.5*(Inputs!$C$49+Inputs!$C$50))+Inputs!$C$47*0.097)))+0.30*(2*((SIN(((Model_Data!A196)*12.9898+(0)*78.233+Inputs!$C$47*37.719))*43758.5453)-INT((SIN(((Model_Data!A196)*12.9898+(0)*78.233+Inputs!$C$47*37.719))*43758.5453)))-1))))</x:f>
        <x:v>218.90892543940527</x:v>
      </x:c>
      <x:c r="K196" s="48" t="n">
        <x:f>-((((SQRT((Model_Data!A196)^2+Inputs!$C$6^2+((Model_Data!B196)-((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(0.45*SIN(2*PI()*(((Model_Data!A196)/Inputs!$C$49)+Inputs!$C$47*0.137))+0.35*COS(2*PI()*(((Inputs!$C$6)/Inputs!$C$50)+Inputs!$C$47*0.173))+0.20*SIN(2*PI()*(((Model_Data!A196)+(Inputs!$C$6))/(0.5*(Inputs!$C$49+Inputs!$C$50))+Inputs!$C$47*0.097)))+0.30*(2*((SIN(((Model_Data!A196)*12.9898+(Inputs!$C$6)*78.233+Inputs!$C$47*37.719))*43758.5453)-INT((SIN(((Model_Data!A196)*12.9898+(Inputs!$C$6)*78.233+Inputs!$C$47*37.719))*43758.5453)))-1))))/1000)^2))-(((Model_Data!B196)-((Inputs!$C$51*(115*EXP(-(((0)-25)^2)/(4.5^2))+70*EXP(-(((0)+38)^2)/(7^2))*(0.55+0.45*SIN(2*PI()*(Model_Data!A196)/45))+24*SIN(2*PI()*(0)/9+(Model_Data!A196)/18)*EXP(-(((0)+5)^2)/(22^2))+18*SIN(2*PI()*(Model_Data!A196)/70))+Inputs!$C$28*EXP(-(((Model_Data!A196)-Inputs!$C$29)^2)/(2*Inputs!$C$31^2))*EXP(-(((0)-Inputs!$C$30)^2)/(2*Inputs!$C$32^2))+-Inputs!$C$33*EXP(-(((((Model_Data!A196)-Inputs!$C$34)^2)+(((0)-Inputs!$C$35)^2))/(2*Inputs!$C$36^2)))+Inputs!$C$37*(0.55*SIN(2*PI()*(Model_Data!A196)/Inputs!$C$39)+0.35*COS(2*PI()*(0)/Inputs!$C$40)+0.2*SIN(2*PI()*((Model_Data!A196)+(0))/(0.5*(Inputs!$C$39+Inputs!$C$40))))+Inputs!$C$38*SIN(2*PI()*(Model_Data!A196)/Inputs!$C$39)*SIN(2*PI()*(0)/Inputs!$C$40)+-Inputs!$C$41*EXP(-(((0)-Inputs!$C$43)^2)/(2*Inputs!$C$44^2))*EXP(-(((Model_Data!A196)-Inputs!$C$42)^2)/(2*Inputs!$C$45^2))+Inputs!$C$48*(0.70*(0.45*SIN(2*PI()*(((Model_Data!A196)/Inputs!$C$49)+Inputs!$C$47*0.137))+0.35*COS(2*PI()*(((0)/Inputs!$C$50)+Inputs!$C$47*0.173))+0.20*SIN(2*PI()*(((Model_Data!A196)+(0))/(0.5*(Inputs!$C$49+Inputs!$C$50))+Inputs!$C$47*0.097)))+0.30*(2*((SIN(((Model_Data!A196)*12.9898+(0)*78.233+Inputs!$C$47*37.719))*43758.5453)-INT((SIN(((Model_Data!A196)*12.9898+(0)*78.233+Inputs!$C$47*37.719))*43758.5453)))-1))))/1000)))*1000/Inputs!$C$12)-Model_Data!F196)</x:f>
        <x:v>122.02743446106274</x:v>
      </x:c>
      <x:c r="L196" s="49"/>
      <x:c r="M196" s="48" t="n">
        <x:f>Model_Data!A196</x:f>
        <x:v>37</x:v>
      </x:c>
      <x:c r="N196" s="48" t="n">
        <x:f>Model_Data!P196</x:f>
        <x:v>-277.2853782623445</x:v>
      </x:c>
      <x:c r="O196" s="48" t="n">
        <x:f>AC196</x:f>
        <x:v>-267.25278245821755</x:v>
      </x:c>
      <x:c r="P196" s="48" t="n">
        <x:f>Model_Data!Q196</x:f>
        <x:v>-41.634441180532214</x:v>
      </x:c>
      <x:c r="Q196" s="48" t="n">
        <x:f>AD196</x:f>
        <x:v>-40.12804541414678</x:v>
      </x:c>
      <x:c r="R196" s="49"/>
      <x:c r="S196" s="48" t="n">
        <x:f>Model_Data!A196</x:f>
        <x:v>37</x:v>
      </x:c>
      <x:c r="T196" s="48" t="n">
        <x:f>Model_Data!B196-Inputs!$C$5</x:f>
        <x:v>1.5211111111111109</x:v>
      </x:c>
      <x:c r="U196" s="49"/>
      <x:c r="V196" s="48" t="n">
        <x:f>Model_Data!A196</x:f>
        <x:v>37</x:v>
      </x:c>
      <x:c r="W196" s="48" t="n">
        <x:f>(-((((SQRT((Model_Data!A196)^2+Inputs!$C$6^2+((Model_Data!B196)-((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(0.45*SIN(2*PI()*(((Model_Data!A196)/Inputs!$C$49)+Inputs!$C$47*0.137))+0.35*COS(2*PI()*(((Inputs!$C$6)/Inputs!$C$50)+Inputs!$C$47*0.173))+0.20*SIN(2*PI()*(((Model_Data!A196)+(Inputs!$C$6))/(0.5*(Inputs!$C$49+Inputs!$C$50))+Inputs!$C$47*0.097)))+0.30*(2*((SIN(((Model_Data!A196)*12.9898+(Inputs!$C$6)*78.233+Inputs!$C$47*37.719))*43758.5453)-INT((SIN(((Model_Data!A196)*12.9898+(Inputs!$C$6)*78.233+Inputs!$C$47*37.719))*43758.5453)))-1))))/1000)^2))-(((Model_Data!B196)-((Inputs!$C$51*(115*EXP(-(((0)-25)^2)/(4.5^2))+70*EXP(-(((0)+38)^2)/(7^2))*(0.55+0.45*SIN(2*PI()*(Model_Data!A196)/45))+24*SIN(2*PI()*(0)/9+(Model_Data!A196)/18)*EXP(-(((0)+5)^2)/(22^2))+18*SIN(2*PI()*(Model_Data!A196)/70))+Inputs!$C$28*EXP(-(((Model_Data!A196)-Inputs!$C$29)^2)/(2*Inputs!$C$31^2))*EXP(-(((0)-Inputs!$C$30)^2)/(2*Inputs!$C$32^2))+-Inputs!$C$33*EXP(-(((((Model_Data!A196)-Inputs!$C$34)^2)+(((0)-Inputs!$C$35)^2))/(2*Inputs!$C$36^2)))+Inputs!$C$37*(0.55*SIN(2*PI()*(Model_Data!A196)/Inputs!$C$39)+0.35*COS(2*PI()*(0)/Inputs!$C$40)+0.2*SIN(2*PI()*((Model_Data!A196)+(0))/(0.5*(Inputs!$C$39+Inputs!$C$40))))+Inputs!$C$38*SIN(2*PI()*(Model_Data!A196)/Inputs!$C$39)*SIN(2*PI()*(0)/Inputs!$C$40)+-Inputs!$C$41*EXP(-(((0)-Inputs!$C$43)^2)/(2*Inputs!$C$44^2))*EXP(-(((Model_Data!A196)-Inputs!$C$42)^2)/(2*Inputs!$C$45^2))+Inputs!$C$48*(0.70*(0.45*SIN(2*PI()*(((Model_Data!A196)/Inputs!$C$49)+Inputs!$C$47*0.137))+0.35*COS(2*PI()*(((0)/Inputs!$C$50)+Inputs!$C$47*0.173))+0.20*SIN(2*PI()*(((Model_Data!A196)+(0))/(0.5*(Inputs!$C$49+Inputs!$C$50))+Inputs!$C$47*0.097)))+0.30*(2*((SIN(((Model_Data!A196)*12.9898+(0)*78.233+Inputs!$C$47*37.719))*43758.5453)-INT((SIN(((Model_Data!A196)*12.9898+(0)*78.233+Inputs!$C$47*37.719))*43758.5453)))-1))))/1000)))*1000/Inputs!$C$12)-Model_Data!F196))-(-(((SQRT((Model_Data!A196)^2+Inputs!$C$6^2+(Inputs!$C$5-((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(0.45*SIN(2*PI()*(((Model_Data!A196)/Inputs!$C$49)+Inputs!$C$47*0.137))+0.35*COS(2*PI()*(((Inputs!$C$6)/Inputs!$C$50)+Inputs!$C$47*0.173))+0.20*SIN(2*PI()*(((Model_Data!A196)+(Inputs!$C$6))/(0.5*(Inputs!$C$49+Inputs!$C$50))+Inputs!$C$47*0.097)))+0.30*(2*((SIN(((Model_Data!A196)*12.9898+(Inputs!$C$6)*78.233+Inputs!$C$47*37.719))*43758.5453)-INT((SIN(((Model_Data!A196)*12.9898+(Inputs!$C$6)*78.233+Inputs!$C$47*37.719))*43758.5453)))-1))))/1000)^2)-(Inputs!$C$5-((Inputs!$C$51*(115*EXP(-(((0)-25)^2)/(4.5^2))+70*EXP(-(((0)+38)^2)/(7^2))*(0.55+0.45*SIN(2*PI()*(Model_Data!A196)/45))+24*SIN(2*PI()*(0)/9+(Model_Data!A196)/18)*EXP(-(((0)+5)^2)/(22^2))+18*SIN(2*PI()*(Model_Data!A196)/70))+Inputs!$C$28*EXP(-(((Model_Data!A196)-Inputs!$C$29)^2)/(2*Inputs!$C$31^2))*EXP(-(((0)-Inputs!$C$30)^2)/(2*Inputs!$C$32^2))+-Inputs!$C$33*EXP(-(((((Model_Data!A196)-Inputs!$C$34)^2)+(((0)-Inputs!$C$35)^2))/(2*Inputs!$C$36^2)))+Inputs!$C$37*(0.55*SIN(2*PI()*(Model_Data!A196)/Inputs!$C$39)+0.35*COS(2*PI()*(0)/Inputs!$C$40)+0.2*SIN(2*PI()*((Model_Data!A196)+(0))/(0.5*(Inputs!$C$39+Inputs!$C$40))))+Inputs!$C$38*SIN(2*PI()*(Model_Data!A196)/Inputs!$C$39)*SIN(2*PI()*(0)/Inputs!$C$40)+-Inputs!$C$41*EXP(-(((0)-Inputs!$C$43)^2)/(2*Inputs!$C$44^2))*EXP(-(((Model_Data!A196)-Inputs!$C$42)^2)/(2*Inputs!$C$45^2))+Inputs!$C$48*(0.70*(0.45*SIN(2*PI()*(((Model_Data!A196)/Inputs!$C$49)+Inputs!$C$47*0.137))+0.35*COS(2*PI()*(((0)/Inputs!$C$50)+Inputs!$C$47*0.173))+0.20*SIN(2*PI()*(((Model_Data!A196)+(0))/(0.5*(Inputs!$C$49+Inputs!$C$50))+Inputs!$C$47*0.097)))+0.30*(2*((SIN(((Model_Data!A196)*12.9898+(0)*78.233+Inputs!$C$47*37.719))*43758.5453)-INT((SIN(((Model_Data!A196)*12.9898+(0)*78.233+Inputs!$C$47*37.719))*43758.5453)))-1))))/1000))*1000/Inputs!$C$12)-((SQRT((Model_Data!A196)^2+Inputs!$C$6^2+Inputs!$C$5^2)-Inputs!$C$5)*1000/Inputs!$C$12)))</x:f>
        <x:v>0.007213139185523687</x:v>
      </x:c>
      <x:c r="X196" s="48" t="n">
        <x:f>0</x:f>
        <x:v>0</x:v>
      </x:c>
      <x:c r="Y196" s="49"/>
      <x:c r="Z196" s="48" t="n">
        <x:f>Model_Data!A196</x:f>
        <x:v>37</x:v>
      </x:c>
      <x:c r="AA196" s="48" t="n">
        <x:f>SQRT((Model_Data!A196)^2+Inputs!$C$6^2+((Model_Data!B196)-((Inputs!$C$51*(115*EXP(-(((Inputs!$C$6)-25)^2)/(4.5^2))+70*EXP(-(((Inputs!$C$6)+38)^2)/(7^2))*(0.55+0.45*SIN(2*PI()*(Model_Data!A196)/45))+24*SIN(2*PI()*(Inputs!$C$6)/9+(Model_Data!A196)/18)*EXP(-(((Inputs!$C$6)+5)^2)/(22^2))+18*SIN(2*PI()*(Model_Data!A196)/70))+Inputs!$C$28*EXP(-(((Model_Data!A196)-Inputs!$C$29)^2)/(2*Inputs!$C$31^2))*EXP(-(((Inputs!$C$6)-Inputs!$C$30)^2)/(2*Inputs!$C$32^2))+-Inputs!$C$33*EXP(-(((((Model_Data!A196)-Inputs!$C$34)^2)+(((Inputs!$C$6)-Inputs!$C$35)^2))/(2*Inputs!$C$36^2)))+Inputs!$C$37*(0.55*SIN(2*PI()*(Model_Data!A196)/Inputs!$C$39)+0.35*COS(2*PI()*(Inputs!$C$6)/Inputs!$C$40)+0.2*SIN(2*PI()*((Model_Data!A196)+(Inputs!$C$6))/(0.5*(Inputs!$C$39+Inputs!$C$40))))+Inputs!$C$38*SIN(2*PI()*(Model_Data!A196)/Inputs!$C$39)*SIN(2*PI()*(Inputs!$C$6)/Inputs!$C$40)+-Inputs!$C$41*EXP(-(((Inputs!$C$6)-Inputs!$C$43)^2)/(2*Inputs!$C$44^2))*EXP(-(((Model_Data!A196)-Inputs!$C$42)^2)/(2*Inputs!$C$45^2))+Inputs!$C$48*(0.70*(0.45*SIN(2*PI()*(((Model_Data!A196)/Inputs!$C$49)+Inputs!$C$47*0.137))+0.35*COS(2*PI()*(((Inputs!$C$6)/Inputs!$C$50)+Inputs!$C$47*0.173))+0.20*SIN(2*PI()*(((Model_Data!A196)+(Inputs!$C$6))/(0.5*(Inputs!$C$49+Inputs!$C$50))+Inputs!$C$47*0.097)))+0.30*(2*((SIN(((Model_Data!A196)*12.9898+(Inputs!$C$6)*78.233+Inputs!$C$47*37.719))*43758.5453)-INT((SIN(((Model_Data!A196)*12.9898+(Inputs!$C$6)*78.233+Inputs!$C$47*37.719))*43758.5453)))-1))))/1000)^2)</x:f>
        <x:v>403.7209681191056</x:v>
      </x:c>
      <x:c r="AB196" s="48" t="n">
        <x:f>1000*(AA197-AA195)/(Z197-Z195)*Inputs!$C$11</x:f>
        <x:v>668.1319561455439</x:v>
      </x:c>
      <x:c r="AC196" s="48" t="n">
        <x:f>-2*AB196/Inputs!$C$13</x:f>
        <x:v>-267.25278245821755</x:v>
      </x:c>
      <x:c r="AD196" s="48" t="n">
        <x:f>-2*AB196/Inputs!$C$14</x:f>
        <x:v>-40.12804541414678</x:v>
      </x:c>
    </x:row>
    <x:row r="197">
      <x:c r="A197" s="48" t="n">
        <x:f>Model_Data!A197</x:f>
        <x:v>37.5</x:v>
      </x:c>
      <x:c r="B197" s="48" t="n">
        <x:f>Model_Data!F197</x:f>
        <x:v>1416.4425890006503</x:v>
      </x:c>
      <x:c r="C197" s="48" t="n">
        <x:f>(((SQRT((Model_Data!A197)^2+Inputs!$C$6^2+((Model_Data!B197)-((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(0.45*SIN(2*PI()*(((Model_Data!A197)/Inputs!$C$49)+Inputs!$C$47*0.137))+0.35*COS(2*PI()*(((Inputs!$C$6)/Inputs!$C$50)+Inputs!$C$47*0.173))+0.20*SIN(2*PI()*(((Model_Data!A197)+(Inputs!$C$6))/(0.5*(Inputs!$C$49+Inputs!$C$50))+Inputs!$C$47*0.097)))+0.30*(2*((SIN(((Model_Data!A197)*12.9898+(Inputs!$C$6)*78.233+Inputs!$C$47*37.719))*43758.5453)-INT((SIN(((Model_Data!A197)*12.9898+(Inputs!$C$6)*78.233+Inputs!$C$47*37.719))*43758.5453)))-1))))/1000)^2))-(((Model_Data!B197)-((Inputs!$C$51*(115*EXP(-(((0)-25)^2)/(4.5^2))+70*EXP(-(((0)+38)^2)/(7^2))*(0.55+0.45*SIN(2*PI()*(Model_Data!A197)/45))+24*SIN(2*PI()*(0)/9+(Model_Data!A197)/18)*EXP(-(((0)+5)^2)/(22^2))+18*SIN(2*PI()*(Model_Data!A197)/70))+Inputs!$C$28*EXP(-(((Model_Data!A197)-Inputs!$C$29)^2)/(2*Inputs!$C$31^2))*EXP(-(((0)-Inputs!$C$30)^2)/(2*Inputs!$C$32^2))+-Inputs!$C$33*EXP(-(((((Model_Data!A197)-Inputs!$C$34)^2)+(((0)-Inputs!$C$35)^2))/(2*Inputs!$C$36^2)))+Inputs!$C$37*(0.55*SIN(2*PI()*(Model_Data!A197)/Inputs!$C$39)+0.35*COS(2*PI()*(0)/Inputs!$C$40)+0.2*SIN(2*PI()*((Model_Data!A197)+(0))/(0.5*(Inputs!$C$39+Inputs!$C$40))))+Inputs!$C$38*SIN(2*PI()*(Model_Data!A197)/Inputs!$C$39)*SIN(2*PI()*(0)/Inputs!$C$40)+-Inputs!$C$41*EXP(-(((0)-Inputs!$C$43)^2)/(2*Inputs!$C$44^2))*EXP(-(((Model_Data!A197)-Inputs!$C$42)^2)/(2*Inputs!$C$45^2))+Inputs!$C$48*(0.70*(0.45*SIN(2*PI()*(((Model_Data!A197)/Inputs!$C$49)+Inputs!$C$47*0.137))+0.35*COS(2*PI()*(((0)/Inputs!$C$50)+Inputs!$C$47*0.173))+0.20*SIN(2*PI()*(((Model_Data!A197)+(0))/(0.5*(Inputs!$C$49+Inputs!$C$50))+Inputs!$C$47*0.097)))+0.30*(2*((SIN(((Model_Data!A197)*12.9898+(0)*78.233+Inputs!$C$47*37.719))*43758.5453)-INT((SIN(((Model_Data!A197)*12.9898+(0)*78.233+Inputs!$C$47*37.719))*43758.5453)))-1))))/1000)))*1000/Inputs!$C$12)</x:f>
        <x:v>1291.2455848374093</x:v>
      </x:c>
      <x:c r="D197" s="49"/>
      <x:c r="E197" s="48" t="n">
        <x:f>Model_Data!A197</x:f>
        <x:v>37.5</x:v>
      </x:c>
      <x:c r="F197" s="48" t="n">
        <x:f>(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(0.45*SIN(2*PI()*(((Model_Data!A197)/Inputs!$C$49)+Inputs!$C$47*0.137))+0.35*COS(2*PI()*(((Inputs!$C$6)/Inputs!$C$50)+Inputs!$C$47*0.173))+0.20*SIN(2*PI()*(((Model_Data!A197)+(Inputs!$C$6))/(0.5*(Inputs!$C$49+Inputs!$C$50))+Inputs!$C$47*0.097)))+0.30*(2*((SIN(((Model_Data!A197)*12.9898+(Inputs!$C$6)*78.233+Inputs!$C$47*37.719))*43758.5453)-INT((SIN(((Model_Data!A197)*12.9898+(Inputs!$C$6)*78.233+Inputs!$C$47*37.719))*43758.5453)))-1)))</x:f>
        <x:v>280.6842863692354</x:v>
      </x:c>
      <x:c r="G197" s="48" t="n">
        <x:f>(Inputs!$C$51*(115*EXP(-(((0)-25)^2)/(4.5^2))+70*EXP(-(((0)+38)^2)/(7^2))*(0.55+0.45*SIN(2*PI()*(Model_Data!A197)/45))+24*SIN(2*PI()*(0)/9+(Model_Data!A197)/18)*EXP(-(((0)+5)^2)/(22^2))+18*SIN(2*PI()*(Model_Data!A197)/70))+Inputs!$C$28*EXP(-(((Model_Data!A197)-Inputs!$C$29)^2)/(2*Inputs!$C$31^2))*EXP(-(((0)-Inputs!$C$30)^2)/(2*Inputs!$C$32^2))+-Inputs!$C$33*EXP(-(((((Model_Data!A197)-Inputs!$C$34)^2)+(((0)-Inputs!$C$35)^2))/(2*Inputs!$C$36^2)))+Inputs!$C$37*(0.55*SIN(2*PI()*(Model_Data!A197)/Inputs!$C$39)+0.35*COS(2*PI()*(0)/Inputs!$C$40)+0.2*SIN(2*PI()*((Model_Data!A197)+(0))/(0.5*(Inputs!$C$39+Inputs!$C$40))))+Inputs!$C$38*SIN(2*PI()*(Model_Data!A197)/Inputs!$C$39)*SIN(2*PI()*(0)/Inputs!$C$40)+-Inputs!$C$41*EXP(-(((0)-Inputs!$C$43)^2)/(2*Inputs!$C$44^2))*EXP(-(((Model_Data!A197)-Inputs!$C$42)^2)/(2*Inputs!$C$45^2))+Inputs!$C$48*(0.70*(0.45*SIN(2*PI()*(((Model_Data!A197)/Inputs!$C$49)+Inputs!$C$47*0.137))+0.35*COS(2*PI()*(((0)/Inputs!$C$50)+Inputs!$C$47*0.173))+0.20*SIN(2*PI()*(((Model_Data!A197)+(0))/(0.5*(Inputs!$C$49+Inputs!$C$50))+Inputs!$C$47*0.097)))+0.30*(2*((SIN(((Model_Data!A197)*12.9898+(0)*78.233+Inputs!$C$47*37.719))*43758.5453)-INT((SIN(((Model_Data!A197)*12.9898+(0)*78.233+Inputs!$C$47*37.719))*43758.5453)))-1)))</x:f>
        <x:v>56.08108474403666</x:v>
      </x:c>
      <x:c r="H197" s="49"/>
      <x:c r="I197" s="48" t="n">
        <x:f>Model_Data!A197</x:f>
        <x:v>37.5</x:v>
      </x:c>
      <x:c r="J197" s="48" t="n">
        <x:f>((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(0.45*SIN(2*PI()*(((Model_Data!A197)/Inputs!$C$49)+Inputs!$C$47*0.137))+0.35*COS(2*PI()*(((Inputs!$C$6)/Inputs!$C$50)+Inputs!$C$47*0.173))+0.20*SIN(2*PI()*(((Model_Data!A197)+(Inputs!$C$6))/(0.5*(Inputs!$C$49+Inputs!$C$50))+Inputs!$C$47*0.097)))+0.30*(2*((SIN(((Model_Data!A197)*12.9898+(Inputs!$C$6)*78.233+Inputs!$C$47*37.719))*43758.5453)-INT((SIN(((Model_Data!A197)*12.9898+(Inputs!$C$6)*78.233+Inputs!$C$47*37.719))*43758.5453)))-1))))-((Inputs!$C$51*(115*EXP(-(((0)-25)^2)/(4.5^2))+70*EXP(-(((0)+38)^2)/(7^2))*(0.55+0.45*SIN(2*PI()*(Model_Data!A197)/45))+24*SIN(2*PI()*(0)/9+(Model_Data!A197)/18)*EXP(-(((0)+5)^2)/(22^2))+18*SIN(2*PI()*(Model_Data!A197)/70))+Inputs!$C$28*EXP(-(((Model_Data!A197)-Inputs!$C$29)^2)/(2*Inputs!$C$31^2))*EXP(-(((0)-Inputs!$C$30)^2)/(2*Inputs!$C$32^2))+-Inputs!$C$33*EXP(-(((((Model_Data!A197)-Inputs!$C$34)^2)+(((0)-Inputs!$C$35)^2))/(2*Inputs!$C$36^2)))+Inputs!$C$37*(0.55*SIN(2*PI()*(Model_Data!A197)/Inputs!$C$39)+0.35*COS(2*PI()*(0)/Inputs!$C$40)+0.2*SIN(2*PI()*((Model_Data!A197)+(0))/(0.5*(Inputs!$C$39+Inputs!$C$40))))+Inputs!$C$38*SIN(2*PI()*(Model_Data!A197)/Inputs!$C$39)*SIN(2*PI()*(0)/Inputs!$C$40)+-Inputs!$C$41*EXP(-(((0)-Inputs!$C$43)^2)/(2*Inputs!$C$44^2))*EXP(-(((Model_Data!A197)-Inputs!$C$42)^2)/(2*Inputs!$C$45^2))+Inputs!$C$48*(0.70*(0.45*SIN(2*PI()*(((Model_Data!A197)/Inputs!$C$49)+Inputs!$C$47*0.137))+0.35*COS(2*PI()*(((0)/Inputs!$C$50)+Inputs!$C$47*0.173))+0.20*SIN(2*PI()*(((Model_Data!A197)+(0))/(0.5*(Inputs!$C$49+Inputs!$C$50))+Inputs!$C$47*0.097)))+0.30*(2*((SIN(((Model_Data!A197)*12.9898+(0)*78.233+Inputs!$C$47*37.719))*43758.5453)-INT((SIN(((Model_Data!A197)*12.9898+(0)*78.233+Inputs!$C$47*37.719))*43758.5453)))-1))))</x:f>
        <x:v>224.60320162519872</x:v>
      </x:c>
      <x:c r="K197" s="48" t="n">
        <x:f>-((((SQRT((Model_Data!A197)^2+Inputs!$C$6^2+((Model_Data!B197)-((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(0.45*SIN(2*PI()*(((Model_Data!A197)/Inputs!$C$49)+Inputs!$C$47*0.137))+0.35*COS(2*PI()*(((Inputs!$C$6)/Inputs!$C$50)+Inputs!$C$47*0.173))+0.20*SIN(2*PI()*(((Model_Data!A197)+(Inputs!$C$6))/(0.5*(Inputs!$C$49+Inputs!$C$50))+Inputs!$C$47*0.097)))+0.30*(2*((SIN(((Model_Data!A197)*12.9898+(Inputs!$C$6)*78.233+Inputs!$C$47*37.719))*43758.5453)-INT((SIN(((Model_Data!A197)*12.9898+(Inputs!$C$6)*78.233+Inputs!$C$47*37.719))*43758.5453)))-1))))/1000)^2))-(((Model_Data!B197)-((Inputs!$C$51*(115*EXP(-(((0)-25)^2)/(4.5^2))+70*EXP(-(((0)+38)^2)/(7^2))*(0.55+0.45*SIN(2*PI()*(Model_Data!A197)/45))+24*SIN(2*PI()*(0)/9+(Model_Data!A197)/18)*EXP(-(((0)+5)^2)/(22^2))+18*SIN(2*PI()*(Model_Data!A197)/70))+Inputs!$C$28*EXP(-(((Model_Data!A197)-Inputs!$C$29)^2)/(2*Inputs!$C$31^2))*EXP(-(((0)-Inputs!$C$30)^2)/(2*Inputs!$C$32^2))+-Inputs!$C$33*EXP(-(((((Model_Data!A197)-Inputs!$C$34)^2)+(((0)-Inputs!$C$35)^2))/(2*Inputs!$C$36^2)))+Inputs!$C$37*(0.55*SIN(2*PI()*(Model_Data!A197)/Inputs!$C$39)+0.35*COS(2*PI()*(0)/Inputs!$C$40)+0.2*SIN(2*PI()*((Model_Data!A197)+(0))/(0.5*(Inputs!$C$39+Inputs!$C$40))))+Inputs!$C$38*SIN(2*PI()*(Model_Data!A197)/Inputs!$C$39)*SIN(2*PI()*(0)/Inputs!$C$40)+-Inputs!$C$41*EXP(-(((0)-Inputs!$C$43)^2)/(2*Inputs!$C$44^2))*EXP(-(((Model_Data!A197)-Inputs!$C$42)^2)/(2*Inputs!$C$45^2))+Inputs!$C$48*(0.70*(0.45*SIN(2*PI()*(((Model_Data!A197)/Inputs!$C$49)+Inputs!$C$47*0.137))+0.35*COS(2*PI()*(((0)/Inputs!$C$50)+Inputs!$C$47*0.173))+0.20*SIN(2*PI()*(((Model_Data!A197)+(0))/(0.5*(Inputs!$C$49+Inputs!$C$50))+Inputs!$C$47*0.097)))+0.30*(2*((SIN(((Model_Data!A197)*12.9898+(0)*78.233+Inputs!$C$47*37.719))*43758.5453)-INT((SIN(((Model_Data!A197)*12.9898+(0)*78.233+Inputs!$C$47*37.719))*43758.5453)))-1))))/1000)))*1000/Inputs!$C$12)-Model_Data!F197)</x:f>
        <x:v>125.19700416324099</x:v>
      </x:c>
      <x:c r="L197" s="49"/>
      <x:c r="M197" s="48" t="n">
        <x:f>Model_Data!A197</x:f>
        <x:v>37.5</x:v>
      </x:c>
      <x:c r="N197" s="48" t="n">
        <x:f>Model_Data!P197</x:f>
        <x:v>-280.98546814307457</x:v>
      </x:c>
      <x:c r="O197" s="48" t="n">
        <x:f>AC197</x:f>
        <x:v>-272.9743002973919</x:v>
      </x:c>
      <x:c r="P197" s="48" t="n">
        <x:f>Model_Data!Q197</x:f>
        <x:v>-42.19001023169288</x:v>
      </x:c>
      <x:c r="Q197" s="48" t="n">
        <x:f>AD197</x:f>
        <x:v>-40.98713217678557</x:v>
      </x:c>
      <x:c r="R197" s="49"/>
      <x:c r="S197" s="48" t="n">
        <x:f>Model_Data!A197</x:f>
        <x:v>37.5</x:v>
      </x:c>
      <x:c r="T197" s="48" t="n">
        <x:f>Model_Data!B197-Inputs!$C$5</x:f>
        <x:v>1.5625</x:v>
      </x:c>
      <x:c r="U197" s="49"/>
      <x:c r="V197" s="48" t="n">
        <x:f>Model_Data!A197</x:f>
        <x:v>37.5</x:v>
      </x:c>
      <x:c r="W197" s="48" t="n">
        <x:f>(-((((SQRT((Model_Data!A197)^2+Inputs!$C$6^2+((Model_Data!B197)-((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(0.45*SIN(2*PI()*(((Model_Data!A197)/Inputs!$C$49)+Inputs!$C$47*0.137))+0.35*COS(2*PI()*(((Inputs!$C$6)/Inputs!$C$50)+Inputs!$C$47*0.173))+0.20*SIN(2*PI()*(((Model_Data!A197)+(Inputs!$C$6))/(0.5*(Inputs!$C$49+Inputs!$C$50))+Inputs!$C$47*0.097)))+0.30*(2*((SIN(((Model_Data!A197)*12.9898+(Inputs!$C$6)*78.233+Inputs!$C$47*37.719))*43758.5453)-INT((SIN(((Model_Data!A197)*12.9898+(Inputs!$C$6)*78.233+Inputs!$C$47*37.719))*43758.5453)))-1))))/1000)^2))-(((Model_Data!B197)-((Inputs!$C$51*(115*EXP(-(((0)-25)^2)/(4.5^2))+70*EXP(-(((0)+38)^2)/(7^2))*(0.55+0.45*SIN(2*PI()*(Model_Data!A197)/45))+24*SIN(2*PI()*(0)/9+(Model_Data!A197)/18)*EXP(-(((0)+5)^2)/(22^2))+18*SIN(2*PI()*(Model_Data!A197)/70))+Inputs!$C$28*EXP(-(((Model_Data!A197)-Inputs!$C$29)^2)/(2*Inputs!$C$31^2))*EXP(-(((0)-Inputs!$C$30)^2)/(2*Inputs!$C$32^2))+-Inputs!$C$33*EXP(-(((((Model_Data!A197)-Inputs!$C$34)^2)+(((0)-Inputs!$C$35)^2))/(2*Inputs!$C$36^2)))+Inputs!$C$37*(0.55*SIN(2*PI()*(Model_Data!A197)/Inputs!$C$39)+0.35*COS(2*PI()*(0)/Inputs!$C$40)+0.2*SIN(2*PI()*((Model_Data!A197)+(0))/(0.5*(Inputs!$C$39+Inputs!$C$40))))+Inputs!$C$38*SIN(2*PI()*(Model_Data!A197)/Inputs!$C$39)*SIN(2*PI()*(0)/Inputs!$C$40)+-Inputs!$C$41*EXP(-(((0)-Inputs!$C$43)^2)/(2*Inputs!$C$44^2))*EXP(-(((Model_Data!A197)-Inputs!$C$42)^2)/(2*Inputs!$C$45^2))+Inputs!$C$48*(0.70*(0.45*SIN(2*PI()*(((Model_Data!A197)/Inputs!$C$49)+Inputs!$C$47*0.137))+0.35*COS(2*PI()*(((0)/Inputs!$C$50)+Inputs!$C$47*0.173))+0.20*SIN(2*PI()*(((Model_Data!A197)+(0))/(0.5*(Inputs!$C$49+Inputs!$C$50))+Inputs!$C$47*0.097)))+0.30*(2*((SIN(((Model_Data!A197)*12.9898+(0)*78.233+Inputs!$C$47*37.719))*43758.5453)-INT((SIN(((Model_Data!A197)*12.9898+(0)*78.233+Inputs!$C$47*37.719))*43758.5453)))-1))))/1000)))*1000/Inputs!$C$12)-Model_Data!F197))-(-(((SQRT((Model_Data!A197)^2+Inputs!$C$6^2+(Inputs!$C$5-((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(0.45*SIN(2*PI()*(((Model_Data!A197)/Inputs!$C$49)+Inputs!$C$47*0.137))+0.35*COS(2*PI()*(((Inputs!$C$6)/Inputs!$C$50)+Inputs!$C$47*0.173))+0.20*SIN(2*PI()*(((Model_Data!A197)+(Inputs!$C$6))/(0.5*(Inputs!$C$49+Inputs!$C$50))+Inputs!$C$47*0.097)))+0.30*(2*((SIN(((Model_Data!A197)*12.9898+(Inputs!$C$6)*78.233+Inputs!$C$47*37.719))*43758.5453)-INT((SIN(((Model_Data!A197)*12.9898+(Inputs!$C$6)*78.233+Inputs!$C$47*37.719))*43758.5453)))-1))))/1000)^2)-(Inputs!$C$5-((Inputs!$C$51*(115*EXP(-(((0)-25)^2)/(4.5^2))+70*EXP(-(((0)+38)^2)/(7^2))*(0.55+0.45*SIN(2*PI()*(Model_Data!A197)/45))+24*SIN(2*PI()*(0)/9+(Model_Data!A197)/18)*EXP(-(((0)+5)^2)/(22^2))+18*SIN(2*PI()*(Model_Data!A197)/70))+Inputs!$C$28*EXP(-(((Model_Data!A197)-Inputs!$C$29)^2)/(2*Inputs!$C$31^2))*EXP(-(((0)-Inputs!$C$30)^2)/(2*Inputs!$C$32^2))+-Inputs!$C$33*EXP(-(((((Model_Data!A197)-Inputs!$C$34)^2)+(((0)-Inputs!$C$35)^2))/(2*Inputs!$C$36^2)))+Inputs!$C$37*(0.55*SIN(2*PI()*(Model_Data!A197)/Inputs!$C$39)+0.35*COS(2*PI()*(0)/Inputs!$C$40)+0.2*SIN(2*PI()*((Model_Data!A197)+(0))/(0.5*(Inputs!$C$39+Inputs!$C$40))))+Inputs!$C$38*SIN(2*PI()*(Model_Data!A197)/Inputs!$C$39)*SIN(2*PI()*(0)/Inputs!$C$40)+-Inputs!$C$41*EXP(-(((0)-Inputs!$C$43)^2)/(2*Inputs!$C$44^2))*EXP(-(((Model_Data!A197)-Inputs!$C$42)^2)/(2*Inputs!$C$45^2))+Inputs!$C$48*(0.70*(0.45*SIN(2*PI()*(((Model_Data!A197)/Inputs!$C$49)+Inputs!$C$47*0.137))+0.35*COS(2*PI()*(((0)/Inputs!$C$50)+Inputs!$C$47*0.173))+0.20*SIN(2*PI()*(((Model_Data!A197)+(0))/(0.5*(Inputs!$C$49+Inputs!$C$50))+Inputs!$C$47*0.097)))+0.30*(2*((SIN(((Model_Data!A197)*12.9898+(0)*78.233+Inputs!$C$47*37.719))*43758.5453)-INT((SIN(((Model_Data!A197)*12.9898+(0)*78.233+Inputs!$C$47*37.719))*43758.5453)))-1))))/1000))*1000/Inputs!$C$12)-((SQRT((Model_Data!A197)^2+Inputs!$C$6^2+Inputs!$C$5^2)-Inputs!$C$5)*1000/Inputs!$C$12)))</x:f>
        <x:v>0.007637071431872755</x:v>
      </x:c>
      <x:c r="X197" s="48" t="n">
        <x:f>0</x:f>
        <x:v>0</x:v>
      </x:c>
      <x:c r="Y197" s="49"/>
      <x:c r="Z197" s="48" t="n">
        <x:f>Model_Data!A197</x:f>
        <x:v>37.5</x:v>
      </x:c>
      <x:c r="AA197" s="48" t="n">
        <x:f>SQRT((Model_Data!A197)^2+Inputs!$C$6^2+((Model_Data!B197)-((Inputs!$C$51*(115*EXP(-(((Inputs!$C$6)-25)^2)/(4.5^2))+70*EXP(-(((Inputs!$C$6)+38)^2)/(7^2))*(0.55+0.45*SIN(2*PI()*(Model_Data!A197)/45))+24*SIN(2*PI()*(Inputs!$C$6)/9+(Model_Data!A197)/18)*EXP(-(((Inputs!$C$6)+5)^2)/(22^2))+18*SIN(2*PI()*(Model_Data!A197)/70))+Inputs!$C$28*EXP(-(((Model_Data!A197)-Inputs!$C$29)^2)/(2*Inputs!$C$31^2))*EXP(-(((Inputs!$C$6)-Inputs!$C$30)^2)/(2*Inputs!$C$32^2))+-Inputs!$C$33*EXP(-(((((Model_Data!A197)-Inputs!$C$34)^2)+(((Inputs!$C$6)-Inputs!$C$35)^2))/(2*Inputs!$C$36^2)))+Inputs!$C$37*(0.55*SIN(2*PI()*(Model_Data!A197)/Inputs!$C$39)+0.35*COS(2*PI()*(Inputs!$C$6)/Inputs!$C$40)+0.2*SIN(2*PI()*((Model_Data!A197)+(Inputs!$C$6))/(0.5*(Inputs!$C$39+Inputs!$C$40))))+Inputs!$C$38*SIN(2*PI()*(Model_Data!A197)/Inputs!$C$39)*SIN(2*PI()*(Inputs!$C$6)/Inputs!$C$40)+-Inputs!$C$41*EXP(-(((Inputs!$C$6)-Inputs!$C$43)^2)/(2*Inputs!$C$44^2))*EXP(-(((Model_Data!A197)-Inputs!$C$42)^2)/(2*Inputs!$C$45^2))+Inputs!$C$48*(0.70*(0.45*SIN(2*PI()*(((Model_Data!A197)/Inputs!$C$49)+Inputs!$C$47*0.137))+0.35*COS(2*PI()*(((Inputs!$C$6)/Inputs!$C$50)+Inputs!$C$47*0.173))+0.20*SIN(2*PI()*(((Model_Data!A197)+(Inputs!$C$6))/(0.5*(Inputs!$C$49+Inputs!$C$50))+Inputs!$C$47*0.097)))+0.30*(2*((SIN(((Model_Data!A197)*12.9898+(Inputs!$C$6)*78.233+Inputs!$C$47*37.719))*43758.5453)-INT((SIN(((Model_Data!A197)*12.9898+(Inputs!$C$6)*78.233+Inputs!$C$47*37.719))*43758.5453)))-1))))/1000)^2)</x:f>
        <x:v>403.80483605626654</x:v>
      </x:c>
      <x:c r="AB197" s="48" t="n">
        <x:f>1000*(AA198-AA196)/(Z198-Z196)*Inputs!$C$11</x:f>
        <x:v>682.4357507434797</x:v>
      </x:c>
      <x:c r="AC197" s="48" t="n">
        <x:f>-2*AB197/Inputs!$C$13</x:f>
        <x:v>-272.9743002973919</x:v>
      </x:c>
      <x:c r="AD197" s="48" t="n">
        <x:f>-2*AB197/Inputs!$C$14</x:f>
        <x:v>-40.98713217678557</x:v>
      </x:c>
    </x:row>
    <x:row r="198">
      <x:c r="A198" s="48" t="n">
        <x:f>Model_Data!A198</x:f>
        <x:v>38</x:v>
      </x:c>
      <x:c r="B198" s="48" t="n">
        <x:f>Model_Data!F198</x:f>
        <x:v>1442.533269506944</x:v>
      </x:c>
      <x:c r="C198" s="48" t="n">
        <x:f>(((SQRT((Model_Data!A198)^2+Inputs!$C$6^2+((Model_Data!B198)-((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(0.45*SIN(2*PI()*(((Model_Data!A198)/Inputs!$C$49)+Inputs!$C$47*0.137))+0.35*COS(2*PI()*(((Inputs!$C$6)/Inputs!$C$50)+Inputs!$C$47*0.173))+0.20*SIN(2*PI()*(((Model_Data!A198)+(Inputs!$C$6))/(0.5*(Inputs!$C$49+Inputs!$C$50))+Inputs!$C$47*0.097)))+0.30*(2*((SIN(((Model_Data!A198)*12.9898+(Inputs!$C$6)*78.233+Inputs!$C$47*37.719))*43758.5453)-INT((SIN(((Model_Data!A198)*12.9898+(Inputs!$C$6)*78.233+Inputs!$C$47*37.719))*43758.5453)))-1))))/1000)^2))-(((Model_Data!B198)-((Inputs!$C$51*(115*EXP(-(((0)-25)^2)/(4.5^2))+70*EXP(-(((0)+38)^2)/(7^2))*(0.55+0.45*SIN(2*PI()*(Model_Data!A198)/45))+24*SIN(2*PI()*(0)/9+(Model_Data!A198)/18)*EXP(-(((0)+5)^2)/(22^2))+18*SIN(2*PI()*(Model_Data!A198)/70))+Inputs!$C$28*EXP(-(((Model_Data!A198)-Inputs!$C$29)^2)/(2*Inputs!$C$31^2))*EXP(-(((0)-Inputs!$C$30)^2)/(2*Inputs!$C$32^2))+-Inputs!$C$33*EXP(-(((((Model_Data!A198)-Inputs!$C$34)^2)+(((0)-Inputs!$C$35)^2))/(2*Inputs!$C$36^2)))+Inputs!$C$37*(0.55*SIN(2*PI()*(Model_Data!A198)/Inputs!$C$39)+0.35*COS(2*PI()*(0)/Inputs!$C$40)+0.2*SIN(2*PI()*((Model_Data!A198)+(0))/(0.5*(Inputs!$C$39+Inputs!$C$40))))+Inputs!$C$38*SIN(2*PI()*(Model_Data!A198)/Inputs!$C$39)*SIN(2*PI()*(0)/Inputs!$C$40)+-Inputs!$C$41*EXP(-(((0)-Inputs!$C$43)^2)/(2*Inputs!$C$44^2))*EXP(-(((Model_Data!A198)-Inputs!$C$42)^2)/(2*Inputs!$C$45^2))+Inputs!$C$48*(0.70*(0.45*SIN(2*PI()*(((Model_Data!A198)/Inputs!$C$49)+Inputs!$C$47*0.137))+0.35*COS(2*PI()*(((0)/Inputs!$C$50)+Inputs!$C$47*0.173))+0.20*SIN(2*PI()*(((Model_Data!A198)+(0))/(0.5*(Inputs!$C$49+Inputs!$C$50))+Inputs!$C$47*0.097)))+0.30*(2*((SIN(((Model_Data!A198)*12.9898+(0)*78.233+Inputs!$C$47*37.719))*43758.5453)-INT((SIN(((Model_Data!A198)*12.9898+(0)*78.233+Inputs!$C$47*37.719))*43758.5453)))-1))))/1000)))*1000/Inputs!$C$12)</x:f>
        <x:v>1326.9797644911666</x:v>
      </x:c>
      <x:c r="D198" s="49"/>
      <x:c r="E198" s="48" t="n">
        <x:f>Model_Data!A198</x:f>
        <x:v>38</x:v>
      </x:c>
      <x:c r="F198" s="48" t="n">
        <x:f>(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(0.45*SIN(2*PI()*(((Model_Data!A198)/Inputs!$C$49)+Inputs!$C$47*0.137))+0.35*COS(2*PI()*(((Inputs!$C$6)/Inputs!$C$50)+Inputs!$C$47*0.173))+0.20*SIN(2*PI()*(((Model_Data!A198)+(Inputs!$C$6))/(0.5*(Inputs!$C$49+Inputs!$C$50))+Inputs!$C$47*0.097)))+0.30*(2*((SIN(((Model_Data!A198)*12.9898+(Inputs!$C$6)*78.233+Inputs!$C$47*37.719))*43758.5453)-INT((SIN(((Model_Data!A198)*12.9898+(Inputs!$C$6)*78.233+Inputs!$C$47*37.719))*43758.5453)))-1)))</x:f>
        <x:v>282.3717678695042</x:v>
      </x:c>
      <x:c r="G198" s="48" t="n">
        <x:f>(Inputs!$C$51*(115*EXP(-(((0)-25)^2)/(4.5^2))+70*EXP(-(((0)+38)^2)/(7^2))*(0.55+0.45*SIN(2*PI()*(Model_Data!A198)/45))+24*SIN(2*PI()*(0)/9+(Model_Data!A198)/18)*EXP(-(((0)+5)^2)/(22^2))+18*SIN(2*PI()*(Model_Data!A198)/70))+Inputs!$C$28*EXP(-(((Model_Data!A198)-Inputs!$C$29)^2)/(2*Inputs!$C$31^2))*EXP(-(((0)-Inputs!$C$30)^2)/(2*Inputs!$C$32^2))+-Inputs!$C$33*EXP(-(((((Model_Data!A198)-Inputs!$C$34)^2)+(((0)-Inputs!$C$35)^2))/(2*Inputs!$C$36^2)))+Inputs!$C$37*(0.55*SIN(2*PI()*(Model_Data!A198)/Inputs!$C$39)+0.35*COS(2*PI()*(0)/Inputs!$C$40)+0.2*SIN(2*PI()*((Model_Data!A198)+(0))/(0.5*(Inputs!$C$39+Inputs!$C$40))))+Inputs!$C$38*SIN(2*PI()*(Model_Data!A198)/Inputs!$C$39)*SIN(2*PI()*(0)/Inputs!$C$40)+-Inputs!$C$41*EXP(-(((0)-Inputs!$C$43)^2)/(2*Inputs!$C$44^2))*EXP(-(((Model_Data!A198)-Inputs!$C$42)^2)/(2*Inputs!$C$45^2))+Inputs!$C$48*(0.70*(0.45*SIN(2*PI()*(((Model_Data!A198)/Inputs!$C$49)+Inputs!$C$47*0.137))+0.35*COS(2*PI()*(((0)/Inputs!$C$50)+Inputs!$C$47*0.173))+0.20*SIN(2*PI()*(((Model_Data!A198)+(0))/(0.5*(Inputs!$C$49+Inputs!$C$50))+Inputs!$C$47*0.097)))+0.30*(2*((SIN(((Model_Data!A198)*12.9898+(0)*78.233+Inputs!$C$47*37.719))*43758.5453)-INT((SIN(((Model_Data!A198)*12.9898+(0)*78.233+Inputs!$C$47*37.719))*43758.5453)))-1)))</x:f>
        <x:v>74.89136844725374</x:v>
      </x:c>
      <x:c r="H198" s="49"/>
      <x:c r="I198" s="48" t="n">
        <x:f>Model_Data!A198</x:f>
        <x:v>38</x:v>
      </x:c>
      <x:c r="J198" s="48" t="n">
        <x:f>((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(0.45*SIN(2*PI()*(((Model_Data!A198)/Inputs!$C$49)+Inputs!$C$47*0.137))+0.35*COS(2*PI()*(((Inputs!$C$6)/Inputs!$C$50)+Inputs!$C$47*0.173))+0.20*SIN(2*PI()*(((Model_Data!A198)+(Inputs!$C$6))/(0.5*(Inputs!$C$49+Inputs!$C$50))+Inputs!$C$47*0.097)))+0.30*(2*((SIN(((Model_Data!A198)*12.9898+(Inputs!$C$6)*78.233+Inputs!$C$47*37.719))*43758.5453)-INT((SIN(((Model_Data!A198)*12.9898+(Inputs!$C$6)*78.233+Inputs!$C$47*37.719))*43758.5453)))-1))))-((Inputs!$C$51*(115*EXP(-(((0)-25)^2)/(4.5^2))+70*EXP(-(((0)+38)^2)/(7^2))*(0.55+0.45*SIN(2*PI()*(Model_Data!A198)/45))+24*SIN(2*PI()*(0)/9+(Model_Data!A198)/18)*EXP(-(((0)+5)^2)/(22^2))+18*SIN(2*PI()*(Model_Data!A198)/70))+Inputs!$C$28*EXP(-(((Model_Data!A198)-Inputs!$C$29)^2)/(2*Inputs!$C$31^2))*EXP(-(((0)-Inputs!$C$30)^2)/(2*Inputs!$C$32^2))+-Inputs!$C$33*EXP(-(((((Model_Data!A198)-Inputs!$C$34)^2)+(((0)-Inputs!$C$35)^2))/(2*Inputs!$C$36^2)))+Inputs!$C$37*(0.55*SIN(2*PI()*(Model_Data!A198)/Inputs!$C$39)+0.35*COS(2*PI()*(0)/Inputs!$C$40)+0.2*SIN(2*PI()*((Model_Data!A198)+(0))/(0.5*(Inputs!$C$39+Inputs!$C$40))))+Inputs!$C$38*SIN(2*PI()*(Model_Data!A198)/Inputs!$C$39)*SIN(2*PI()*(0)/Inputs!$C$40)+-Inputs!$C$41*EXP(-(((0)-Inputs!$C$43)^2)/(2*Inputs!$C$44^2))*EXP(-(((Model_Data!A198)-Inputs!$C$42)^2)/(2*Inputs!$C$45^2))+Inputs!$C$48*(0.70*(0.45*SIN(2*PI()*(((Model_Data!A198)/Inputs!$C$49)+Inputs!$C$47*0.137))+0.35*COS(2*PI()*(((0)/Inputs!$C$50)+Inputs!$C$47*0.173))+0.20*SIN(2*PI()*(((Model_Data!A198)+(0))/(0.5*(Inputs!$C$49+Inputs!$C$50))+Inputs!$C$47*0.097)))+0.30*(2*((SIN(((Model_Data!A198)*12.9898+(0)*78.233+Inputs!$C$47*37.719))*43758.5453)-INT((SIN(((Model_Data!A198)*12.9898+(0)*78.233+Inputs!$C$47*37.719))*43758.5453)))-1))))</x:f>
        <x:v>207.48039942225046</x:v>
      </x:c>
      <x:c r="K198" s="48" t="n">
        <x:f>-((((SQRT((Model_Data!A198)^2+Inputs!$C$6^2+((Model_Data!B198)-((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(0.45*SIN(2*PI()*(((Model_Data!A198)/Inputs!$C$49)+Inputs!$C$47*0.137))+0.35*COS(2*PI()*(((Inputs!$C$6)/Inputs!$C$50)+Inputs!$C$47*0.173))+0.20*SIN(2*PI()*(((Model_Data!A198)+(Inputs!$C$6))/(0.5*(Inputs!$C$49+Inputs!$C$50))+Inputs!$C$47*0.097)))+0.30*(2*((SIN(((Model_Data!A198)*12.9898+(Inputs!$C$6)*78.233+Inputs!$C$47*37.719))*43758.5453)-INT((SIN(((Model_Data!A198)*12.9898+(Inputs!$C$6)*78.233+Inputs!$C$47*37.719))*43758.5453)))-1))))/1000)^2))-(((Model_Data!B198)-((Inputs!$C$51*(115*EXP(-(((0)-25)^2)/(4.5^2))+70*EXP(-(((0)+38)^2)/(7^2))*(0.55+0.45*SIN(2*PI()*(Model_Data!A198)/45))+24*SIN(2*PI()*(0)/9+(Model_Data!A198)/18)*EXP(-(((0)+5)^2)/(22^2))+18*SIN(2*PI()*(Model_Data!A198)/70))+Inputs!$C$28*EXP(-(((Model_Data!A198)-Inputs!$C$29)^2)/(2*Inputs!$C$31^2))*EXP(-(((0)-Inputs!$C$30)^2)/(2*Inputs!$C$32^2))+-Inputs!$C$33*EXP(-(((((Model_Data!A198)-Inputs!$C$34)^2)+(((0)-Inputs!$C$35)^2))/(2*Inputs!$C$36^2)))+Inputs!$C$37*(0.55*SIN(2*PI()*(Model_Data!A198)/Inputs!$C$39)+0.35*COS(2*PI()*(0)/Inputs!$C$40)+0.2*SIN(2*PI()*((Model_Data!A198)+(0))/(0.5*(Inputs!$C$39+Inputs!$C$40))))+Inputs!$C$38*SIN(2*PI()*(Model_Data!A198)/Inputs!$C$39)*SIN(2*PI()*(0)/Inputs!$C$40)+-Inputs!$C$41*EXP(-(((0)-Inputs!$C$43)^2)/(2*Inputs!$C$44^2))*EXP(-(((Model_Data!A198)-Inputs!$C$42)^2)/(2*Inputs!$C$45^2))+Inputs!$C$48*(0.70*(0.45*SIN(2*PI()*(((Model_Data!A198)/Inputs!$C$49)+Inputs!$C$47*0.137))+0.35*COS(2*PI()*(((0)/Inputs!$C$50)+Inputs!$C$47*0.173))+0.20*SIN(2*PI()*(((Model_Data!A198)+(0))/(0.5*(Inputs!$C$49+Inputs!$C$50))+Inputs!$C$47*0.097)))+0.30*(2*((SIN(((Model_Data!A198)*12.9898+(0)*78.233+Inputs!$C$47*37.719))*43758.5453)-INT((SIN(((Model_Data!A198)*12.9898+(0)*78.233+Inputs!$C$47*37.719))*43758.5453)))-1))))/1000)))*1000/Inputs!$C$12)-Model_Data!F198)</x:f>
        <x:v>115.55350501577732</x:v>
      </x:c>
      <x:c r="L198" s="49"/>
      <x:c r="M198" s="48" t="n">
        <x:f>Model_Data!A198</x:f>
        <x:v>38</x:v>
      </x:c>
      <x:c r="N198" s="48" t="n">
        <x:f>Model_Data!P198</x:f>
        <x:v>-284.68369647171596</x:v>
      </x:c>
      <x:c r="O198" s="48" t="n">
        <x:f>AC198</x:f>
        <x:v>-236.30592967328994</x:v>
      </x:c>
      <x:c r="P198" s="48" t="n">
        <x:f>Model_Data!Q198</x:f>
        <x:v>-42.74529977052792</x:v>
      </x:c>
      <x:c r="Q198" s="48" t="n">
        <x:f>AD198</x:f>
        <x:v>-35.48137082181531</x:v>
      </x:c>
      <x:c r="R198" s="49"/>
      <x:c r="S198" s="48" t="n">
        <x:f>Model_Data!A198</x:f>
        <x:v>38</x:v>
      </x:c>
      <x:c r="T198" s="48" t="n">
        <x:f>Model_Data!B198-Inputs!$C$5</x:f>
        <x:v>1.6044444444444252</x:v>
      </x:c>
      <x:c r="U198" s="49"/>
      <x:c r="V198" s="48" t="n">
        <x:f>Model_Data!A198</x:f>
        <x:v>38</x:v>
      </x:c>
      <x:c r="W198" s="48" t="n">
        <x:f>(-((((SQRT((Model_Data!A198)^2+Inputs!$C$6^2+((Model_Data!B198)-((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(0.45*SIN(2*PI()*(((Model_Data!A198)/Inputs!$C$49)+Inputs!$C$47*0.137))+0.35*COS(2*PI()*(((Inputs!$C$6)/Inputs!$C$50)+Inputs!$C$47*0.173))+0.20*SIN(2*PI()*(((Model_Data!A198)+(Inputs!$C$6))/(0.5*(Inputs!$C$49+Inputs!$C$50))+Inputs!$C$47*0.097)))+0.30*(2*((SIN(((Model_Data!A198)*12.9898+(Inputs!$C$6)*78.233+Inputs!$C$47*37.719))*43758.5453)-INT((SIN(((Model_Data!A198)*12.9898+(Inputs!$C$6)*78.233+Inputs!$C$47*37.719))*43758.5453)))-1))))/1000)^2))-(((Model_Data!B198)-((Inputs!$C$51*(115*EXP(-(((0)-25)^2)/(4.5^2))+70*EXP(-(((0)+38)^2)/(7^2))*(0.55+0.45*SIN(2*PI()*(Model_Data!A198)/45))+24*SIN(2*PI()*(0)/9+(Model_Data!A198)/18)*EXP(-(((0)+5)^2)/(22^2))+18*SIN(2*PI()*(Model_Data!A198)/70))+Inputs!$C$28*EXP(-(((Model_Data!A198)-Inputs!$C$29)^2)/(2*Inputs!$C$31^2))*EXP(-(((0)-Inputs!$C$30)^2)/(2*Inputs!$C$32^2))+-Inputs!$C$33*EXP(-(((((Model_Data!A198)-Inputs!$C$34)^2)+(((0)-Inputs!$C$35)^2))/(2*Inputs!$C$36^2)))+Inputs!$C$37*(0.55*SIN(2*PI()*(Model_Data!A198)/Inputs!$C$39)+0.35*COS(2*PI()*(0)/Inputs!$C$40)+0.2*SIN(2*PI()*((Model_Data!A198)+(0))/(0.5*(Inputs!$C$39+Inputs!$C$40))))+Inputs!$C$38*SIN(2*PI()*(Model_Data!A198)/Inputs!$C$39)*SIN(2*PI()*(0)/Inputs!$C$40)+-Inputs!$C$41*EXP(-(((0)-Inputs!$C$43)^2)/(2*Inputs!$C$44^2))*EXP(-(((Model_Data!A198)-Inputs!$C$42)^2)/(2*Inputs!$C$45^2))+Inputs!$C$48*(0.70*(0.45*SIN(2*PI()*(((Model_Data!A198)/Inputs!$C$49)+Inputs!$C$47*0.137))+0.35*COS(2*PI()*(((0)/Inputs!$C$50)+Inputs!$C$47*0.173))+0.20*SIN(2*PI()*(((Model_Data!A198)+(0))/(0.5*(Inputs!$C$49+Inputs!$C$50))+Inputs!$C$47*0.097)))+0.30*(2*((SIN(((Model_Data!A198)*12.9898+(0)*78.233+Inputs!$C$47*37.719))*43758.5453)-INT((SIN(((Model_Data!A198)*12.9898+(0)*78.233+Inputs!$C$47*37.719))*43758.5453)))-1))))/1000)))*1000/Inputs!$C$12)-Model_Data!F198))-(-(((SQRT((Model_Data!A198)^2+Inputs!$C$6^2+(Inputs!$C$5-((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(0.45*SIN(2*PI()*(((Model_Data!A198)/Inputs!$C$49)+Inputs!$C$47*0.137))+0.35*COS(2*PI()*(((Inputs!$C$6)/Inputs!$C$50)+Inputs!$C$47*0.173))+0.20*SIN(2*PI()*(((Model_Data!A198)+(Inputs!$C$6))/(0.5*(Inputs!$C$49+Inputs!$C$50))+Inputs!$C$47*0.097)))+0.30*(2*((SIN(((Model_Data!A198)*12.9898+(Inputs!$C$6)*78.233+Inputs!$C$47*37.719))*43758.5453)-INT((SIN(((Model_Data!A198)*12.9898+(Inputs!$C$6)*78.233+Inputs!$C$47*37.719))*43758.5453)))-1))))/1000)^2)-(Inputs!$C$5-((Inputs!$C$51*(115*EXP(-(((0)-25)^2)/(4.5^2))+70*EXP(-(((0)+38)^2)/(7^2))*(0.55+0.45*SIN(2*PI()*(Model_Data!A198)/45))+24*SIN(2*PI()*(0)/9+(Model_Data!A198)/18)*EXP(-(((0)+5)^2)/(22^2))+18*SIN(2*PI()*(Model_Data!A198)/70))+Inputs!$C$28*EXP(-(((Model_Data!A198)-Inputs!$C$29)^2)/(2*Inputs!$C$31^2))*EXP(-(((0)-Inputs!$C$30)^2)/(2*Inputs!$C$32^2))+-Inputs!$C$33*EXP(-(((((Model_Data!A198)-Inputs!$C$34)^2)+(((0)-Inputs!$C$35)^2))/(2*Inputs!$C$36^2)))+Inputs!$C$37*(0.55*SIN(2*PI()*(Model_Data!A198)/Inputs!$C$39)+0.35*COS(2*PI()*(0)/Inputs!$C$40)+0.2*SIN(2*PI()*((Model_Data!A198)+(0))/(0.5*(Inputs!$C$39+Inputs!$C$40))))+Inputs!$C$38*SIN(2*PI()*(Model_Data!A198)/Inputs!$C$39)*SIN(2*PI()*(0)/Inputs!$C$40)+-Inputs!$C$41*EXP(-(((0)-Inputs!$C$43)^2)/(2*Inputs!$C$44^2))*EXP(-(((Model_Data!A198)-Inputs!$C$42)^2)/(2*Inputs!$C$45^2))+Inputs!$C$48*(0.70*(0.45*SIN(2*PI()*(((Model_Data!A198)/Inputs!$C$49)+Inputs!$C$47*0.137))+0.35*COS(2*PI()*(((0)/Inputs!$C$50)+Inputs!$C$47*0.173))+0.20*SIN(2*PI()*(((Model_Data!A198)+(0))/(0.5*(Inputs!$C$49+Inputs!$C$50))+Inputs!$C$47*0.097)))+0.30*(2*((SIN(((Model_Data!A198)*12.9898+(0)*78.233+Inputs!$C$47*37.719))*43758.5453)-INT((SIN(((Model_Data!A198)*12.9898+(0)*78.233+Inputs!$C$47*37.719))*43758.5453)))-1))))/1000))*1000/Inputs!$C$12)-((SQRT((Model_Data!A198)^2+Inputs!$C$6^2+Inputs!$C$5^2)-Inputs!$C$5)*1000/Inputs!$C$12)))</x:f>
        <x:v>0.008031858843651207</x:v>
      </x:c>
      <x:c r="X198" s="48" t="n">
        <x:f>0</x:f>
        <x:v>0</x:v>
      </x:c>
      <x:c r="Y198" s="49"/>
      <x:c r="Z198" s="48" t="n">
        <x:f>Model_Data!A198</x:f>
        <x:v>38</x:v>
      </x:c>
      <x:c r="AA198" s="48" t="n">
        <x:f>SQRT((Model_Data!A198)^2+Inputs!$C$6^2+((Model_Data!B198)-((Inputs!$C$51*(115*EXP(-(((Inputs!$C$6)-25)^2)/(4.5^2))+70*EXP(-(((Inputs!$C$6)+38)^2)/(7^2))*(0.55+0.45*SIN(2*PI()*(Model_Data!A198)/45))+24*SIN(2*PI()*(Inputs!$C$6)/9+(Model_Data!A198)/18)*EXP(-(((Inputs!$C$6)+5)^2)/(22^2))+18*SIN(2*PI()*(Model_Data!A198)/70))+Inputs!$C$28*EXP(-(((Model_Data!A198)-Inputs!$C$29)^2)/(2*Inputs!$C$31^2))*EXP(-(((Inputs!$C$6)-Inputs!$C$30)^2)/(2*Inputs!$C$32^2))+-Inputs!$C$33*EXP(-(((((Model_Data!A198)-Inputs!$C$34)^2)+(((Inputs!$C$6)-Inputs!$C$35)^2))/(2*Inputs!$C$36^2)))+Inputs!$C$37*(0.55*SIN(2*PI()*(Model_Data!A198)/Inputs!$C$39)+0.35*COS(2*PI()*(Inputs!$C$6)/Inputs!$C$40)+0.2*SIN(2*PI()*((Model_Data!A198)+(Inputs!$C$6))/(0.5*(Inputs!$C$39+Inputs!$C$40))))+Inputs!$C$38*SIN(2*PI()*(Model_Data!A198)/Inputs!$C$39)*SIN(2*PI()*(Inputs!$C$6)/Inputs!$C$40)+-Inputs!$C$41*EXP(-(((Inputs!$C$6)-Inputs!$C$43)^2)/(2*Inputs!$C$44^2))*EXP(-(((Model_Data!A198)-Inputs!$C$42)^2)/(2*Inputs!$C$45^2))+Inputs!$C$48*(0.70*(0.45*SIN(2*PI()*(((Model_Data!A198)/Inputs!$C$49)+Inputs!$C$47*0.137))+0.35*COS(2*PI()*(((Inputs!$C$6)/Inputs!$C$50)+Inputs!$C$47*0.173))+0.20*SIN(2*PI()*(((Model_Data!A198)+(Inputs!$C$6))/(0.5*(Inputs!$C$49+Inputs!$C$50))+Inputs!$C$47*0.097)))+0.30*(2*((SIN(((Model_Data!A198)*12.9898+(Inputs!$C$6)*78.233+Inputs!$C$47*37.719))*43758.5453)-INT((SIN(((Model_Data!A198)*12.9898+(Inputs!$C$6)*78.233+Inputs!$C$47*37.719))*43758.5453)))-1))))/1000)^2)</x:f>
        <x:v>403.89157705679145</x:v>
      </x:c>
      <x:c r="AB198" s="48" t="n">
        <x:f>1000*(AA199-AA197)/(Z199-Z197)*Inputs!$C$11</x:f>
        <x:v>590.7648241832248</x:v>
      </x:c>
      <x:c r="AC198" s="48" t="n">
        <x:f>-2*AB198/Inputs!$C$13</x:f>
        <x:v>-236.30592967328994</x:v>
      </x:c>
      <x:c r="AD198" s="48" t="n">
        <x:f>-2*AB198/Inputs!$C$14</x:f>
        <x:v>-35.48137082181531</x:v>
      </x:c>
    </x:row>
    <x:row r="199">
      <x:c r="A199" s="48" t="n">
        <x:f>Model_Data!A199</x:f>
        <x:v>38.5</x:v>
      </x:c>
      <x:c r="B199" s="48" t="n">
        <x:f>Model_Data!F199</x:f>
        <x:v>1468.9609426904447</x:v>
      </x:c>
      <x:c r="C199" s="48" t="n">
        <x:f>(((SQRT((Model_Data!A199)^2+Inputs!$C$6^2+((Model_Data!B199)-((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(0.45*SIN(2*PI()*(((Model_Data!A199)/Inputs!$C$49)+Inputs!$C$47*0.137))+0.35*COS(2*PI()*(((Inputs!$C$6)/Inputs!$C$50)+Inputs!$C$47*0.173))+0.20*SIN(2*PI()*(((Model_Data!A199)+(Inputs!$C$6))/(0.5*(Inputs!$C$49+Inputs!$C$50))+Inputs!$C$47*0.097)))+0.30*(2*((SIN(((Model_Data!A199)*12.9898+(Inputs!$C$6)*78.233+Inputs!$C$47*37.719))*43758.5453)-INT((SIN(((Model_Data!A199)*12.9898+(Inputs!$C$6)*78.233+Inputs!$C$47*37.719))*43758.5453)))-1))))/1000)^2))-(((Model_Data!B199)-((Inputs!$C$51*(115*EXP(-(((0)-25)^2)/(4.5^2))+70*EXP(-(((0)+38)^2)/(7^2))*(0.55+0.45*SIN(2*PI()*(Model_Data!A199)/45))+24*SIN(2*PI()*(0)/9+(Model_Data!A199)/18)*EXP(-(((0)+5)^2)/(22^2))+18*SIN(2*PI()*(Model_Data!A199)/70))+Inputs!$C$28*EXP(-(((Model_Data!A199)-Inputs!$C$29)^2)/(2*Inputs!$C$31^2))*EXP(-(((0)-Inputs!$C$30)^2)/(2*Inputs!$C$32^2))+-Inputs!$C$33*EXP(-(((((Model_Data!A199)-Inputs!$C$34)^2)+(((0)-Inputs!$C$35)^2))/(2*Inputs!$C$36^2)))+Inputs!$C$37*(0.55*SIN(2*PI()*(Model_Data!A199)/Inputs!$C$39)+0.35*COS(2*PI()*(0)/Inputs!$C$40)+0.2*SIN(2*PI()*((Model_Data!A199)+(0))/(0.5*(Inputs!$C$39+Inputs!$C$40))))+Inputs!$C$38*SIN(2*PI()*(Model_Data!A199)/Inputs!$C$39)*SIN(2*PI()*(0)/Inputs!$C$40)+-Inputs!$C$41*EXP(-(((0)-Inputs!$C$43)^2)/(2*Inputs!$C$44^2))*EXP(-(((Model_Data!A199)-Inputs!$C$42)^2)/(2*Inputs!$C$45^2))+Inputs!$C$48*(0.70*(0.45*SIN(2*PI()*(((Model_Data!A199)/Inputs!$C$49)+Inputs!$C$47*0.137))+0.35*COS(2*PI()*(((0)/Inputs!$C$50)+Inputs!$C$47*0.173))+0.20*SIN(2*PI()*(((Model_Data!A199)+(0))/(0.5*(Inputs!$C$49+Inputs!$C$50))+Inputs!$C$47*0.097)))+0.30*(2*((SIN(((Model_Data!A199)*12.9898+(0)*78.233+Inputs!$C$47*37.719))*43758.5453)-INT((SIN(((Model_Data!A199)*12.9898+(0)*78.233+Inputs!$C$47*37.719))*43758.5453)))-1))))/1000)))*1000/Inputs!$C$12)</x:f>
        <x:v>1340.9057609661377</x:v>
      </x:c>
      <x:c r="D199" s="49"/>
      <x:c r="E199" s="48" t="n">
        <x:f>Model_Data!A199</x:f>
        <x:v>38.5</x:v>
      </x:c>
      <x:c r="F199" s="48" t="n">
        <x:f>(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(0.45*SIN(2*PI()*(((Model_Data!A199)/Inputs!$C$49)+Inputs!$C$47*0.137))+0.35*COS(2*PI()*(((Inputs!$C$6)/Inputs!$C$50)+Inputs!$C$47*0.173))+0.20*SIN(2*PI()*(((Model_Data!A199)+(Inputs!$C$6))/(0.5*(Inputs!$C$49+Inputs!$C$50))+Inputs!$C$47*0.097)))+0.30*(2*((SIN(((Model_Data!A199)*12.9898+(Inputs!$C$6)*78.233+Inputs!$C$47*37.719))*43758.5453)-INT((SIN(((Model_Data!A199)*12.9898+(Inputs!$C$6)*78.233+Inputs!$C$47*37.719))*43758.5453)))-1)))</x:f>
        <x:v>311.18191933727104</x:v>
      </x:c>
      <x:c r="G199" s="48" t="n">
        <x:f>(Inputs!$C$51*(115*EXP(-(((0)-25)^2)/(4.5^2))+70*EXP(-(((0)+38)^2)/(7^2))*(0.55+0.45*SIN(2*PI()*(Model_Data!A199)/45))+24*SIN(2*PI()*(0)/9+(Model_Data!A199)/18)*EXP(-(((0)+5)^2)/(22^2))+18*SIN(2*PI()*(Model_Data!A199)/70))+Inputs!$C$28*EXP(-(((Model_Data!A199)-Inputs!$C$29)^2)/(2*Inputs!$C$31^2))*EXP(-(((0)-Inputs!$C$30)^2)/(2*Inputs!$C$32^2))+-Inputs!$C$33*EXP(-(((((Model_Data!A199)-Inputs!$C$34)^2)+(((0)-Inputs!$C$35)^2))/(2*Inputs!$C$36^2)))+Inputs!$C$37*(0.55*SIN(2*PI()*(Model_Data!A199)/Inputs!$C$39)+0.35*COS(2*PI()*(0)/Inputs!$C$40)+0.2*SIN(2*PI()*((Model_Data!A199)+(0))/(0.5*(Inputs!$C$39+Inputs!$C$40))))+Inputs!$C$38*SIN(2*PI()*(Model_Data!A199)/Inputs!$C$39)*SIN(2*PI()*(0)/Inputs!$C$40)+-Inputs!$C$41*EXP(-(((0)-Inputs!$C$43)^2)/(2*Inputs!$C$44^2))*EXP(-(((Model_Data!A199)-Inputs!$C$42)^2)/(2*Inputs!$C$45^2))+Inputs!$C$48*(0.70*(0.45*SIN(2*PI()*(((Model_Data!A199)/Inputs!$C$49)+Inputs!$C$47*0.137))+0.35*COS(2*PI()*(((0)/Inputs!$C$50)+Inputs!$C$47*0.173))+0.20*SIN(2*PI()*(((Model_Data!A199)+(0))/(0.5*(Inputs!$C$49+Inputs!$C$50))+Inputs!$C$47*0.097)))+0.30*(2*((SIN(((Model_Data!A199)*12.9898+(0)*78.233+Inputs!$C$47*37.719))*43758.5453)-INT((SIN(((Model_Data!A199)*12.9898+(0)*78.233+Inputs!$C$47*37.719))*43758.5453)))-1)))</x:f>
        <x:v>81.22943665181958</x:v>
      </x:c>
      <x:c r="H199" s="49"/>
      <x:c r="I199" s="48" t="n">
        <x:f>Model_Data!A199</x:f>
        <x:v>38.5</x:v>
      </x:c>
      <x:c r="J199" s="48" t="n">
        <x:f>((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(0.45*SIN(2*PI()*(((Model_Data!A199)/Inputs!$C$49)+Inputs!$C$47*0.137))+0.35*COS(2*PI()*(((Inputs!$C$6)/Inputs!$C$50)+Inputs!$C$47*0.173))+0.20*SIN(2*PI()*(((Model_Data!A199)+(Inputs!$C$6))/(0.5*(Inputs!$C$49+Inputs!$C$50))+Inputs!$C$47*0.097)))+0.30*(2*((SIN(((Model_Data!A199)*12.9898+(Inputs!$C$6)*78.233+Inputs!$C$47*37.719))*43758.5453)-INT((SIN(((Model_Data!A199)*12.9898+(Inputs!$C$6)*78.233+Inputs!$C$47*37.719))*43758.5453)))-1))))-((Inputs!$C$51*(115*EXP(-(((0)-25)^2)/(4.5^2))+70*EXP(-(((0)+38)^2)/(7^2))*(0.55+0.45*SIN(2*PI()*(Model_Data!A199)/45))+24*SIN(2*PI()*(0)/9+(Model_Data!A199)/18)*EXP(-(((0)+5)^2)/(22^2))+18*SIN(2*PI()*(Model_Data!A199)/70))+Inputs!$C$28*EXP(-(((Model_Data!A199)-Inputs!$C$29)^2)/(2*Inputs!$C$31^2))*EXP(-(((0)-Inputs!$C$30)^2)/(2*Inputs!$C$32^2))+-Inputs!$C$33*EXP(-(((((Model_Data!A199)-Inputs!$C$34)^2)+(((0)-Inputs!$C$35)^2))/(2*Inputs!$C$36^2)))+Inputs!$C$37*(0.55*SIN(2*PI()*(Model_Data!A199)/Inputs!$C$39)+0.35*COS(2*PI()*(0)/Inputs!$C$40)+0.2*SIN(2*PI()*((Model_Data!A199)+(0))/(0.5*(Inputs!$C$39+Inputs!$C$40))))+Inputs!$C$38*SIN(2*PI()*(Model_Data!A199)/Inputs!$C$39)*SIN(2*PI()*(0)/Inputs!$C$40)+-Inputs!$C$41*EXP(-(((0)-Inputs!$C$43)^2)/(2*Inputs!$C$44^2))*EXP(-(((Model_Data!A199)-Inputs!$C$42)^2)/(2*Inputs!$C$45^2))+Inputs!$C$48*(0.70*(0.45*SIN(2*PI()*(((Model_Data!A199)/Inputs!$C$49)+Inputs!$C$47*0.137))+0.35*COS(2*PI()*(((0)/Inputs!$C$50)+Inputs!$C$47*0.173))+0.20*SIN(2*PI()*(((Model_Data!A199)+(0))/(0.5*(Inputs!$C$49+Inputs!$C$50))+Inputs!$C$47*0.097)))+0.30*(2*((SIN(((Model_Data!A199)*12.9898+(0)*78.233+Inputs!$C$47*37.719))*43758.5453)-INT((SIN(((Model_Data!A199)*12.9898+(0)*78.233+Inputs!$C$47*37.719))*43758.5453)))-1))))</x:f>
        <x:v>229.95248268545146</x:v>
      </x:c>
      <x:c r="K199" s="48" t="n">
        <x:f>-((((SQRT((Model_Data!A199)^2+Inputs!$C$6^2+((Model_Data!B199)-((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(0.45*SIN(2*PI()*(((Model_Data!A199)/Inputs!$C$49)+Inputs!$C$47*0.137))+0.35*COS(2*PI()*(((Inputs!$C$6)/Inputs!$C$50)+Inputs!$C$47*0.173))+0.20*SIN(2*PI()*(((Model_Data!A199)+(Inputs!$C$6))/(0.5*(Inputs!$C$49+Inputs!$C$50))+Inputs!$C$47*0.097)))+0.30*(2*((SIN(((Model_Data!A199)*12.9898+(Inputs!$C$6)*78.233+Inputs!$C$47*37.719))*43758.5453)-INT((SIN(((Model_Data!A199)*12.9898+(Inputs!$C$6)*78.233+Inputs!$C$47*37.719))*43758.5453)))-1))))/1000)^2))-(((Model_Data!B199)-((Inputs!$C$51*(115*EXP(-(((0)-25)^2)/(4.5^2))+70*EXP(-(((0)+38)^2)/(7^2))*(0.55+0.45*SIN(2*PI()*(Model_Data!A199)/45))+24*SIN(2*PI()*(0)/9+(Model_Data!A199)/18)*EXP(-(((0)+5)^2)/(22^2))+18*SIN(2*PI()*(Model_Data!A199)/70))+Inputs!$C$28*EXP(-(((Model_Data!A199)-Inputs!$C$29)^2)/(2*Inputs!$C$31^2))*EXP(-(((0)-Inputs!$C$30)^2)/(2*Inputs!$C$32^2))+-Inputs!$C$33*EXP(-(((((Model_Data!A199)-Inputs!$C$34)^2)+(((0)-Inputs!$C$35)^2))/(2*Inputs!$C$36^2)))+Inputs!$C$37*(0.55*SIN(2*PI()*(Model_Data!A199)/Inputs!$C$39)+0.35*COS(2*PI()*(0)/Inputs!$C$40)+0.2*SIN(2*PI()*((Model_Data!A199)+(0))/(0.5*(Inputs!$C$39+Inputs!$C$40))))+Inputs!$C$38*SIN(2*PI()*(Model_Data!A199)/Inputs!$C$39)*SIN(2*PI()*(0)/Inputs!$C$40)+-Inputs!$C$41*EXP(-(((0)-Inputs!$C$43)^2)/(2*Inputs!$C$44^2))*EXP(-(((Model_Data!A199)-Inputs!$C$42)^2)/(2*Inputs!$C$45^2))+Inputs!$C$48*(0.70*(0.45*SIN(2*PI()*(((Model_Data!A199)/Inputs!$C$49)+Inputs!$C$47*0.137))+0.35*COS(2*PI()*(((0)/Inputs!$C$50)+Inputs!$C$47*0.173))+0.20*SIN(2*PI()*(((Model_Data!A199)+(0))/(0.5*(Inputs!$C$49+Inputs!$C$50))+Inputs!$C$47*0.097)))+0.30*(2*((SIN(((Model_Data!A199)*12.9898+(0)*78.233+Inputs!$C$47*37.719))*43758.5453)-INT((SIN(((Model_Data!A199)*12.9898+(0)*78.233+Inputs!$C$47*37.719))*43758.5453)))-1))))/1000)))*1000/Inputs!$C$12)-Model_Data!F199)</x:f>
        <x:v>128.05518172430698</x:v>
      </x:c>
      <x:c r="L199" s="49"/>
      <x:c r="M199" s="48" t="n">
        <x:f>Model_Data!A199</x:f>
        <x:v>38.5</x:v>
      </x:c>
      <x:c r="N199" s="48" t="n">
        <x:f>Model_Data!P199</x:f>
        <x:v>-288.38004049081604</x:v>
      </x:c>
      <x:c r="O199" s="48" t="n">
        <x:f>AC199</x:f>
        <x:v>-255.9454350730448</x:v>
      </x:c>
      <x:c r="P199" s="48" t="n">
        <x:f>Model_Data!Q199</x:f>
        <x:v>-43.30030638000241</x:v>
      </x:c>
      <x:c r="Q199" s="48" t="n">
        <x:f>AD199</x:f>
        <x:v>-38.43024550646319</x:v>
      </x:c>
      <x:c r="R199" s="49"/>
      <x:c r="S199" s="48" t="n">
        <x:f>Model_Data!A199</x:f>
        <x:v>38.5</x:v>
      </x:c>
      <x:c r="T199" s="48" t="n">
        <x:f>Model_Data!B199-Inputs!$C$5</x:f>
        <x:v>1.6469444444444434</x:v>
      </x:c>
      <x:c r="U199" s="49"/>
      <x:c r="V199" s="48" t="n">
        <x:f>Model_Data!A199</x:f>
        <x:v>38.5</x:v>
      </x:c>
      <x:c r="W199" s="48" t="n">
        <x:f>(-((((SQRT((Model_Data!A199)^2+Inputs!$C$6^2+((Model_Data!B199)-((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(0.45*SIN(2*PI()*(((Model_Data!A199)/Inputs!$C$49)+Inputs!$C$47*0.137))+0.35*COS(2*PI()*(((Inputs!$C$6)/Inputs!$C$50)+Inputs!$C$47*0.173))+0.20*SIN(2*PI()*(((Model_Data!A199)+(Inputs!$C$6))/(0.5*(Inputs!$C$49+Inputs!$C$50))+Inputs!$C$47*0.097)))+0.30*(2*((SIN(((Model_Data!A199)*12.9898+(Inputs!$C$6)*78.233+Inputs!$C$47*37.719))*43758.5453)-INT((SIN(((Model_Data!A199)*12.9898+(Inputs!$C$6)*78.233+Inputs!$C$47*37.719))*43758.5453)))-1))))/1000)^2))-(((Model_Data!B199)-((Inputs!$C$51*(115*EXP(-(((0)-25)^2)/(4.5^2))+70*EXP(-(((0)+38)^2)/(7^2))*(0.55+0.45*SIN(2*PI()*(Model_Data!A199)/45))+24*SIN(2*PI()*(0)/9+(Model_Data!A199)/18)*EXP(-(((0)+5)^2)/(22^2))+18*SIN(2*PI()*(Model_Data!A199)/70))+Inputs!$C$28*EXP(-(((Model_Data!A199)-Inputs!$C$29)^2)/(2*Inputs!$C$31^2))*EXP(-(((0)-Inputs!$C$30)^2)/(2*Inputs!$C$32^2))+-Inputs!$C$33*EXP(-(((((Model_Data!A199)-Inputs!$C$34)^2)+(((0)-Inputs!$C$35)^2))/(2*Inputs!$C$36^2)))+Inputs!$C$37*(0.55*SIN(2*PI()*(Model_Data!A199)/Inputs!$C$39)+0.35*COS(2*PI()*(0)/Inputs!$C$40)+0.2*SIN(2*PI()*((Model_Data!A199)+(0))/(0.5*(Inputs!$C$39+Inputs!$C$40))))+Inputs!$C$38*SIN(2*PI()*(Model_Data!A199)/Inputs!$C$39)*SIN(2*PI()*(0)/Inputs!$C$40)+-Inputs!$C$41*EXP(-(((0)-Inputs!$C$43)^2)/(2*Inputs!$C$44^2))*EXP(-(((Model_Data!A199)-Inputs!$C$42)^2)/(2*Inputs!$C$45^2))+Inputs!$C$48*(0.70*(0.45*SIN(2*PI()*(((Model_Data!A199)/Inputs!$C$49)+Inputs!$C$47*0.137))+0.35*COS(2*PI()*(((0)/Inputs!$C$50)+Inputs!$C$47*0.173))+0.20*SIN(2*PI()*(((Model_Data!A199)+(0))/(0.5*(Inputs!$C$49+Inputs!$C$50))+Inputs!$C$47*0.097)))+0.30*(2*((SIN(((Model_Data!A199)*12.9898+(0)*78.233+Inputs!$C$47*37.719))*43758.5453)-INT((SIN(((Model_Data!A199)*12.9898+(0)*78.233+Inputs!$C$47*37.719))*43758.5453)))-1))))/1000)))*1000/Inputs!$C$12)-Model_Data!F199))-(-(((SQRT((Model_Data!A199)^2+Inputs!$C$6^2+(Inputs!$C$5-((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(0.45*SIN(2*PI()*(((Model_Data!A199)/Inputs!$C$49)+Inputs!$C$47*0.137))+0.35*COS(2*PI()*(((Inputs!$C$6)/Inputs!$C$50)+Inputs!$C$47*0.173))+0.20*SIN(2*PI()*(((Model_Data!A199)+(Inputs!$C$6))/(0.5*(Inputs!$C$49+Inputs!$C$50))+Inputs!$C$47*0.097)))+0.30*(2*((SIN(((Model_Data!A199)*12.9898+(Inputs!$C$6)*78.233+Inputs!$C$47*37.719))*43758.5453)-INT((SIN(((Model_Data!A199)*12.9898+(Inputs!$C$6)*78.233+Inputs!$C$47*37.719))*43758.5453)))-1))))/1000)^2)-(Inputs!$C$5-((Inputs!$C$51*(115*EXP(-(((0)-25)^2)/(4.5^2))+70*EXP(-(((0)+38)^2)/(7^2))*(0.55+0.45*SIN(2*PI()*(Model_Data!A199)/45))+24*SIN(2*PI()*(0)/9+(Model_Data!A199)/18)*EXP(-(((0)+5)^2)/(22^2))+18*SIN(2*PI()*(Model_Data!A199)/70))+Inputs!$C$28*EXP(-(((Model_Data!A199)-Inputs!$C$29)^2)/(2*Inputs!$C$31^2))*EXP(-(((0)-Inputs!$C$30)^2)/(2*Inputs!$C$32^2))+-Inputs!$C$33*EXP(-(((((Model_Data!A199)-Inputs!$C$34)^2)+(((0)-Inputs!$C$35)^2))/(2*Inputs!$C$36^2)))+Inputs!$C$37*(0.55*SIN(2*PI()*(Model_Data!A199)/Inputs!$C$39)+0.35*COS(2*PI()*(0)/Inputs!$C$40)+0.2*SIN(2*PI()*((Model_Data!A199)+(0))/(0.5*(Inputs!$C$39+Inputs!$C$40))))+Inputs!$C$38*SIN(2*PI()*(Model_Data!A199)/Inputs!$C$39)*SIN(2*PI()*(0)/Inputs!$C$40)+-Inputs!$C$41*EXP(-(((0)-Inputs!$C$43)^2)/(2*Inputs!$C$44^2))*EXP(-(((Model_Data!A199)-Inputs!$C$42)^2)/(2*Inputs!$C$45^2))+Inputs!$C$48*(0.70*(0.45*SIN(2*PI()*(((Model_Data!A199)/Inputs!$C$49)+Inputs!$C$47*0.137))+0.35*COS(2*PI()*(((0)/Inputs!$C$50)+Inputs!$C$47*0.173))+0.20*SIN(2*PI()*(((Model_Data!A199)+(0))/(0.5*(Inputs!$C$49+Inputs!$C$50))+Inputs!$C$47*0.097)))+0.30*(2*((SIN(((Model_Data!A199)*12.9898+(0)*78.233+Inputs!$C$47*37.719))*43758.5453)-INT((SIN(((Model_Data!A199)*12.9898+(0)*78.233+Inputs!$C$47*37.719))*43758.5453)))-1))))/1000))*1000/Inputs!$C$12)-((SQRT((Model_Data!A199)^2+Inputs!$C$6^2+Inputs!$C$5^2)-Inputs!$C$5)*1000/Inputs!$C$12)))</x:f>
        <x:v>0.009250048118474297</x:v>
      </x:c>
      <x:c r="X199" s="48" t="n">
        <x:f>0</x:f>
        <x:v>0</x:v>
      </x:c>
      <x:c r="Y199" s="49"/>
      <x:c r="Z199" s="48" t="n">
        <x:f>Model_Data!A199</x:f>
        <x:v>38.5</x:v>
      </x:c>
      <x:c r="AA199" s="48" t="n">
        <x:f>SQRT((Model_Data!A199)^2+Inputs!$C$6^2+((Model_Data!B199)-((Inputs!$C$51*(115*EXP(-(((Inputs!$C$6)-25)^2)/(4.5^2))+70*EXP(-(((Inputs!$C$6)+38)^2)/(7^2))*(0.55+0.45*SIN(2*PI()*(Model_Data!A199)/45))+24*SIN(2*PI()*(Inputs!$C$6)/9+(Model_Data!A199)/18)*EXP(-(((Inputs!$C$6)+5)^2)/(22^2))+18*SIN(2*PI()*(Model_Data!A199)/70))+Inputs!$C$28*EXP(-(((Model_Data!A199)-Inputs!$C$29)^2)/(2*Inputs!$C$31^2))*EXP(-(((Inputs!$C$6)-Inputs!$C$30)^2)/(2*Inputs!$C$32^2))+-Inputs!$C$33*EXP(-(((((Model_Data!A199)-Inputs!$C$34)^2)+(((Inputs!$C$6)-Inputs!$C$35)^2))/(2*Inputs!$C$36^2)))+Inputs!$C$37*(0.55*SIN(2*PI()*(Model_Data!A199)/Inputs!$C$39)+0.35*COS(2*PI()*(Inputs!$C$6)/Inputs!$C$40)+0.2*SIN(2*PI()*((Model_Data!A199)+(Inputs!$C$6))/(0.5*(Inputs!$C$39+Inputs!$C$40))))+Inputs!$C$38*SIN(2*PI()*(Model_Data!A199)/Inputs!$C$39)*SIN(2*PI()*(Inputs!$C$6)/Inputs!$C$40)+-Inputs!$C$41*EXP(-(((Inputs!$C$6)-Inputs!$C$43)^2)/(2*Inputs!$C$44^2))*EXP(-(((Model_Data!A199)-Inputs!$C$42)^2)/(2*Inputs!$C$45^2))+Inputs!$C$48*(0.70*(0.45*SIN(2*PI()*(((Model_Data!A199)/Inputs!$C$49)+Inputs!$C$47*0.137))+0.35*COS(2*PI()*(((Inputs!$C$6)/Inputs!$C$50)+Inputs!$C$47*0.173))+0.20*SIN(2*PI()*(((Model_Data!A199)+(Inputs!$C$6))/(0.5*(Inputs!$C$49+Inputs!$C$50))+Inputs!$C$47*0.097)))+0.30*(2*((SIN(((Model_Data!A199)*12.9898+(Inputs!$C$6)*78.233+Inputs!$C$47*37.719))*43758.5453)-INT((SIN(((Model_Data!A199)*12.9898+(Inputs!$C$6)*78.233+Inputs!$C$47*37.719))*43758.5453)))-1))))/1000)^2)</x:f>
        <x:v>403.95252726231234</x:v>
      </x:c>
      <x:c r="AB199" s="48" t="n">
        <x:f>1000*(AA200-AA198)/(Z200-Z198)*Inputs!$C$11</x:f>
        <x:v>639.863587682612</x:v>
      </x:c>
      <x:c r="AC199" s="48" t="n">
        <x:f>-2*AB199/Inputs!$C$13</x:f>
        <x:v>-255.9454350730448</x:v>
      </x:c>
      <x:c r="AD199" s="48" t="n">
        <x:f>-2*AB199/Inputs!$C$14</x:f>
        <x:v>-38.43024550646319</x:v>
      </x:c>
    </x:row>
    <x:row r="200">
      <x:c r="A200" s="48" t="n">
        <x:f>Model_Data!A200</x:f>
        <x:v>39</x:v>
      </x:c>
      <x:c r="B200" s="48" t="n">
        <x:f>Model_Data!F200</x:f>
        <x:v>1495.7252757464753</x:v>
      </x:c>
      <x:c r="C200" s="48" t="n">
        <x:f>(((SQRT((Model_Data!A200)^2+Inputs!$C$6^2+((Model_Data!B200)-((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(0.45*SIN(2*PI()*(((Model_Data!A200)/Inputs!$C$49)+Inputs!$C$47*0.137))+0.35*COS(2*PI()*(((Inputs!$C$6)/Inputs!$C$50)+Inputs!$C$47*0.173))+0.20*SIN(2*PI()*(((Model_Data!A200)+(Inputs!$C$6))/(0.5*(Inputs!$C$49+Inputs!$C$50))+Inputs!$C$47*0.097)))+0.30*(2*((SIN(((Model_Data!A200)*12.9898+(Inputs!$C$6)*78.233+Inputs!$C$47*37.719))*43758.5453)-INT((SIN(((Model_Data!A200)*12.9898+(Inputs!$C$6)*78.233+Inputs!$C$47*37.719))*43758.5453)))-1))))/1000)^2))-(((Model_Data!B200)-((Inputs!$C$51*(115*EXP(-(((0)-25)^2)/(4.5^2))+70*EXP(-(((0)+38)^2)/(7^2))*(0.55+0.45*SIN(2*PI()*(Model_Data!A200)/45))+24*SIN(2*PI()*(0)/9+(Model_Data!A200)/18)*EXP(-(((0)+5)^2)/(22^2))+18*SIN(2*PI()*(Model_Data!A200)/70))+Inputs!$C$28*EXP(-(((Model_Data!A200)-Inputs!$C$29)^2)/(2*Inputs!$C$31^2))*EXP(-(((0)-Inputs!$C$30)^2)/(2*Inputs!$C$32^2))+-Inputs!$C$33*EXP(-(((((Model_Data!A200)-Inputs!$C$34)^2)+(((0)-Inputs!$C$35)^2))/(2*Inputs!$C$36^2)))+Inputs!$C$37*(0.55*SIN(2*PI()*(Model_Data!A200)/Inputs!$C$39)+0.35*COS(2*PI()*(0)/Inputs!$C$40)+0.2*SIN(2*PI()*((Model_Data!A200)+(0))/(0.5*(Inputs!$C$39+Inputs!$C$40))))+Inputs!$C$38*SIN(2*PI()*(Model_Data!A200)/Inputs!$C$39)*SIN(2*PI()*(0)/Inputs!$C$40)+-Inputs!$C$41*EXP(-(((0)-Inputs!$C$43)^2)/(2*Inputs!$C$44^2))*EXP(-(((Model_Data!A200)-Inputs!$C$42)^2)/(2*Inputs!$C$45^2))+Inputs!$C$48*(0.70*(0.45*SIN(2*PI()*(((Model_Data!A200)/Inputs!$C$49)+Inputs!$C$47*0.137))+0.35*COS(2*PI()*(((0)/Inputs!$C$50)+Inputs!$C$47*0.173))+0.20*SIN(2*PI()*(((Model_Data!A200)+(0))/(0.5*(Inputs!$C$49+Inputs!$C$50))+Inputs!$C$47*0.097)))+0.30*(2*((SIN(((Model_Data!A200)*12.9898+(0)*78.233+Inputs!$C$47*37.719))*43758.5453)-INT((SIN(((Model_Data!A200)*12.9898+(0)*78.233+Inputs!$C$47*37.719))*43758.5453)))-1))))/1000)))*1000/Inputs!$C$12)</x:f>
        <x:v>1373.2026240109199</x:v>
      </x:c>
      <x:c r="D200" s="49"/>
      <x:c r="E200" s="48" t="n">
        <x:f>Model_Data!A200</x:f>
        <x:v>39</x:v>
      </x:c>
      <x:c r="F200" s="48" t="n">
        <x:f>(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(0.45*SIN(2*PI()*(((Model_Data!A200)/Inputs!$C$49)+Inputs!$C$47*0.137))+0.35*COS(2*PI()*(((Inputs!$C$6)/Inputs!$C$50)+Inputs!$C$47*0.173))+0.20*SIN(2*PI()*(((Model_Data!A200)+(Inputs!$C$6))/(0.5*(Inputs!$C$49+Inputs!$C$50))+Inputs!$C$47*0.097)))+0.30*(2*((SIN(((Model_Data!A200)*12.9898+(Inputs!$C$6)*78.233+Inputs!$C$47*37.719))*43758.5453)-INT((SIN(((Model_Data!A200)*12.9898+(Inputs!$C$6)*78.233+Inputs!$C$47*37.719))*43758.5453)))-1)))</x:f>
        <x:v>302.8435496777789</x:v>
      </x:c>
      <x:c r="G200" s="48" t="n">
        <x:f>(Inputs!$C$51*(115*EXP(-(((0)-25)^2)/(4.5^2))+70*EXP(-(((0)+38)^2)/(7^2))*(0.55+0.45*SIN(2*PI()*(Model_Data!A200)/45))+24*SIN(2*PI()*(0)/9+(Model_Data!A200)/18)*EXP(-(((0)+5)^2)/(22^2))+18*SIN(2*PI()*(Model_Data!A200)/70))+Inputs!$C$28*EXP(-(((Model_Data!A200)-Inputs!$C$29)^2)/(2*Inputs!$C$31^2))*EXP(-(((0)-Inputs!$C$30)^2)/(2*Inputs!$C$32^2))+-Inputs!$C$33*EXP(-(((((Model_Data!A200)-Inputs!$C$34)^2)+(((0)-Inputs!$C$35)^2))/(2*Inputs!$C$36^2)))+Inputs!$C$37*(0.55*SIN(2*PI()*(Model_Data!A200)/Inputs!$C$39)+0.35*COS(2*PI()*(0)/Inputs!$C$40)+0.2*SIN(2*PI()*((Model_Data!A200)+(0))/(0.5*(Inputs!$C$39+Inputs!$C$40))))+Inputs!$C$38*SIN(2*PI()*(Model_Data!A200)/Inputs!$C$39)*SIN(2*PI()*(0)/Inputs!$C$40)+-Inputs!$C$41*EXP(-(((0)-Inputs!$C$43)^2)/(2*Inputs!$C$44^2))*EXP(-(((Model_Data!A200)-Inputs!$C$42)^2)/(2*Inputs!$C$45^2))+Inputs!$C$48*(0.70*(0.45*SIN(2*PI()*(((Model_Data!A200)/Inputs!$C$49)+Inputs!$C$47*0.137))+0.35*COS(2*PI()*(((0)/Inputs!$C$50)+Inputs!$C$47*0.173))+0.20*SIN(2*PI()*(((Model_Data!A200)+(0))/(0.5*(Inputs!$C$49+Inputs!$C$50))+Inputs!$C$47*0.097)))+0.30*(2*((SIN(((Model_Data!A200)*12.9898+(0)*78.233+Inputs!$C$47*37.719))*43758.5453)-INT((SIN(((Model_Data!A200)*12.9898+(0)*78.233+Inputs!$C$47*37.719))*43758.5453)))-1)))</x:f>
        <x:v>82.75771702731363</x:v>
      </x:c>
      <x:c r="H200" s="49"/>
      <x:c r="I200" s="48" t="n">
        <x:f>Model_Data!A200</x:f>
        <x:v>39</x:v>
      </x:c>
      <x:c r="J200" s="48" t="n">
        <x:f>((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(0.45*SIN(2*PI()*(((Model_Data!A200)/Inputs!$C$49)+Inputs!$C$47*0.137))+0.35*COS(2*PI()*(((Inputs!$C$6)/Inputs!$C$50)+Inputs!$C$47*0.173))+0.20*SIN(2*PI()*(((Model_Data!A200)+(Inputs!$C$6))/(0.5*(Inputs!$C$49+Inputs!$C$50))+Inputs!$C$47*0.097)))+0.30*(2*((SIN(((Model_Data!A200)*12.9898+(Inputs!$C$6)*78.233+Inputs!$C$47*37.719))*43758.5453)-INT((SIN(((Model_Data!A200)*12.9898+(Inputs!$C$6)*78.233+Inputs!$C$47*37.719))*43758.5453)))-1))))-((Inputs!$C$51*(115*EXP(-(((0)-25)^2)/(4.5^2))+70*EXP(-(((0)+38)^2)/(7^2))*(0.55+0.45*SIN(2*PI()*(Model_Data!A200)/45))+24*SIN(2*PI()*(0)/9+(Model_Data!A200)/18)*EXP(-(((0)+5)^2)/(22^2))+18*SIN(2*PI()*(Model_Data!A200)/70))+Inputs!$C$28*EXP(-(((Model_Data!A200)-Inputs!$C$29)^2)/(2*Inputs!$C$31^2))*EXP(-(((0)-Inputs!$C$30)^2)/(2*Inputs!$C$32^2))+-Inputs!$C$33*EXP(-(((((Model_Data!A200)-Inputs!$C$34)^2)+(((0)-Inputs!$C$35)^2))/(2*Inputs!$C$36^2)))+Inputs!$C$37*(0.55*SIN(2*PI()*(Model_Data!A200)/Inputs!$C$39)+0.35*COS(2*PI()*(0)/Inputs!$C$40)+0.2*SIN(2*PI()*((Model_Data!A200)+(0))/(0.5*(Inputs!$C$39+Inputs!$C$40))))+Inputs!$C$38*SIN(2*PI()*(Model_Data!A200)/Inputs!$C$39)*SIN(2*PI()*(0)/Inputs!$C$40)+-Inputs!$C$41*EXP(-(((0)-Inputs!$C$43)^2)/(2*Inputs!$C$44^2))*EXP(-(((Model_Data!A200)-Inputs!$C$42)^2)/(2*Inputs!$C$45^2))+Inputs!$C$48*(0.70*(0.45*SIN(2*PI()*(((Model_Data!A200)/Inputs!$C$49)+Inputs!$C$47*0.137))+0.35*COS(2*PI()*(((0)/Inputs!$C$50)+Inputs!$C$47*0.173))+0.20*SIN(2*PI()*(((Model_Data!A200)+(0))/(0.5*(Inputs!$C$49+Inputs!$C$50))+Inputs!$C$47*0.097)))+0.30*(2*((SIN(((Model_Data!A200)*12.9898+(0)*78.233+Inputs!$C$47*37.719))*43758.5453)-INT((SIN(((Model_Data!A200)*12.9898+(0)*78.233+Inputs!$C$47*37.719))*43758.5453)))-1))))</x:f>
        <x:v>220.0858326504653</x:v>
      </x:c>
      <x:c r="K200" s="48" t="n">
        <x:f>-((((SQRT((Model_Data!A200)^2+Inputs!$C$6^2+((Model_Data!B200)-((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(0.45*SIN(2*PI()*(((Model_Data!A200)/Inputs!$C$49)+Inputs!$C$47*0.137))+0.35*COS(2*PI()*(((Inputs!$C$6)/Inputs!$C$50)+Inputs!$C$47*0.173))+0.20*SIN(2*PI()*(((Model_Data!A200)+(Inputs!$C$6))/(0.5*(Inputs!$C$49+Inputs!$C$50))+Inputs!$C$47*0.097)))+0.30*(2*((SIN(((Model_Data!A200)*12.9898+(Inputs!$C$6)*78.233+Inputs!$C$47*37.719))*43758.5453)-INT((SIN(((Model_Data!A200)*12.9898+(Inputs!$C$6)*78.233+Inputs!$C$47*37.719))*43758.5453)))-1))))/1000)^2))-(((Model_Data!B200)-((Inputs!$C$51*(115*EXP(-(((0)-25)^2)/(4.5^2))+70*EXP(-(((0)+38)^2)/(7^2))*(0.55+0.45*SIN(2*PI()*(Model_Data!A200)/45))+24*SIN(2*PI()*(0)/9+(Model_Data!A200)/18)*EXP(-(((0)+5)^2)/(22^2))+18*SIN(2*PI()*(Model_Data!A200)/70))+Inputs!$C$28*EXP(-(((Model_Data!A200)-Inputs!$C$29)^2)/(2*Inputs!$C$31^2))*EXP(-(((0)-Inputs!$C$30)^2)/(2*Inputs!$C$32^2))+-Inputs!$C$33*EXP(-(((((Model_Data!A200)-Inputs!$C$34)^2)+(((0)-Inputs!$C$35)^2))/(2*Inputs!$C$36^2)))+Inputs!$C$37*(0.55*SIN(2*PI()*(Model_Data!A200)/Inputs!$C$39)+0.35*COS(2*PI()*(0)/Inputs!$C$40)+0.2*SIN(2*PI()*((Model_Data!A200)+(0))/(0.5*(Inputs!$C$39+Inputs!$C$40))))+Inputs!$C$38*SIN(2*PI()*(Model_Data!A200)/Inputs!$C$39)*SIN(2*PI()*(0)/Inputs!$C$40)+-Inputs!$C$41*EXP(-(((0)-Inputs!$C$43)^2)/(2*Inputs!$C$44^2))*EXP(-(((Model_Data!A200)-Inputs!$C$42)^2)/(2*Inputs!$C$45^2))+Inputs!$C$48*(0.70*(0.45*SIN(2*PI()*(((Model_Data!A200)/Inputs!$C$49)+Inputs!$C$47*0.137))+0.35*COS(2*PI()*(((0)/Inputs!$C$50)+Inputs!$C$47*0.173))+0.20*SIN(2*PI()*(((Model_Data!A200)+(0))/(0.5*(Inputs!$C$49+Inputs!$C$50))+Inputs!$C$47*0.097)))+0.30*(2*((SIN(((Model_Data!A200)*12.9898+(0)*78.233+Inputs!$C$47*37.719))*43758.5453)-INT((SIN(((Model_Data!A200)*12.9898+(0)*78.233+Inputs!$C$47*37.719))*43758.5453)))-1))))/1000)))*1000/Inputs!$C$12)-Model_Data!F200)</x:f>
        <x:v>122.52265173555543</x:v>
      </x:c>
      <x:c r="L200" s="49"/>
      <x:c r="M200" s="48" t="n">
        <x:f>Model_Data!A200</x:f>
        <x:v>39</x:v>
      </x:c>
      <x:c r="N200" s="48" t="n">
        <x:f>Model_Data!P200</x:f>
        <x:v>-292.0744775217912</x:v>
      </x:c>
      <x:c r="O200" s="48" t="n">
        <x:f>AC200</x:f>
        <x:v>-311.6632601441779</x:v>
      </x:c>
      <x:c r="P200" s="48" t="n">
        <x:f>Model_Data!Q200</x:f>
        <x:v>-43.855026654923606</x:v>
      </x:c>
      <x:c r="Q200" s="48" t="n">
        <x:f>AD200</x:f>
        <x:v>-46.796285306933626</x:v>
      </x:c>
      <x:c r="R200" s="49"/>
      <x:c r="S200" s="48" t="n">
        <x:f>Model_Data!A200</x:f>
        <x:v>39</x:v>
      </x:c>
      <x:c r="T200" s="48" t="n">
        <x:f>Model_Data!B200-Inputs!$C$5</x:f>
        <x:v>1.6899999999999977</x:v>
      </x:c>
      <x:c r="U200" s="49"/>
      <x:c r="V200" s="48" t="n">
        <x:f>Model_Data!A200</x:f>
        <x:v>39</x:v>
      </x:c>
      <x:c r="W200" s="48" t="n">
        <x:f>(-((((SQRT((Model_Data!A200)^2+Inputs!$C$6^2+((Model_Data!B200)-((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(0.45*SIN(2*PI()*(((Model_Data!A200)/Inputs!$C$49)+Inputs!$C$47*0.137))+0.35*COS(2*PI()*(((Inputs!$C$6)/Inputs!$C$50)+Inputs!$C$47*0.173))+0.20*SIN(2*PI()*(((Model_Data!A200)+(Inputs!$C$6))/(0.5*(Inputs!$C$49+Inputs!$C$50))+Inputs!$C$47*0.097)))+0.30*(2*((SIN(((Model_Data!A200)*12.9898+(Inputs!$C$6)*78.233+Inputs!$C$47*37.719))*43758.5453)-INT((SIN(((Model_Data!A200)*12.9898+(Inputs!$C$6)*78.233+Inputs!$C$47*37.719))*43758.5453)))-1))))/1000)^2))-(((Model_Data!B200)-((Inputs!$C$51*(115*EXP(-(((0)-25)^2)/(4.5^2))+70*EXP(-(((0)+38)^2)/(7^2))*(0.55+0.45*SIN(2*PI()*(Model_Data!A200)/45))+24*SIN(2*PI()*(0)/9+(Model_Data!A200)/18)*EXP(-(((0)+5)^2)/(22^2))+18*SIN(2*PI()*(Model_Data!A200)/70))+Inputs!$C$28*EXP(-(((Model_Data!A200)-Inputs!$C$29)^2)/(2*Inputs!$C$31^2))*EXP(-(((0)-Inputs!$C$30)^2)/(2*Inputs!$C$32^2))+-Inputs!$C$33*EXP(-(((((Model_Data!A200)-Inputs!$C$34)^2)+(((0)-Inputs!$C$35)^2))/(2*Inputs!$C$36^2)))+Inputs!$C$37*(0.55*SIN(2*PI()*(Model_Data!A200)/Inputs!$C$39)+0.35*COS(2*PI()*(0)/Inputs!$C$40)+0.2*SIN(2*PI()*((Model_Data!A200)+(0))/(0.5*(Inputs!$C$39+Inputs!$C$40))))+Inputs!$C$38*SIN(2*PI()*(Model_Data!A200)/Inputs!$C$39)*SIN(2*PI()*(0)/Inputs!$C$40)+-Inputs!$C$41*EXP(-(((0)-Inputs!$C$43)^2)/(2*Inputs!$C$44^2))*EXP(-(((Model_Data!A200)-Inputs!$C$42)^2)/(2*Inputs!$C$45^2))+Inputs!$C$48*(0.70*(0.45*SIN(2*PI()*(((Model_Data!A200)/Inputs!$C$49)+Inputs!$C$47*0.137))+0.35*COS(2*PI()*(((0)/Inputs!$C$50)+Inputs!$C$47*0.173))+0.20*SIN(2*PI()*(((Model_Data!A200)+(0))/(0.5*(Inputs!$C$49+Inputs!$C$50))+Inputs!$C$47*0.097)))+0.30*(2*((SIN(((Model_Data!A200)*12.9898+(0)*78.233+Inputs!$C$47*37.719))*43758.5453)-INT((SIN(((Model_Data!A200)*12.9898+(0)*78.233+Inputs!$C$47*37.719))*43758.5453)))-1))))/1000)))*1000/Inputs!$C$12)-Model_Data!F200))-(-(((SQRT((Model_Data!A200)^2+Inputs!$C$6^2+(Inputs!$C$5-((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(0.45*SIN(2*PI()*(((Model_Data!A200)/Inputs!$C$49)+Inputs!$C$47*0.137))+0.35*COS(2*PI()*(((Inputs!$C$6)/Inputs!$C$50)+Inputs!$C$47*0.173))+0.20*SIN(2*PI()*(((Model_Data!A200)+(Inputs!$C$6))/(0.5*(Inputs!$C$49+Inputs!$C$50))+Inputs!$C$47*0.097)))+0.30*(2*((SIN(((Model_Data!A200)*12.9898+(Inputs!$C$6)*78.233+Inputs!$C$47*37.719))*43758.5453)-INT((SIN(((Model_Data!A200)*12.9898+(Inputs!$C$6)*78.233+Inputs!$C$47*37.719))*43758.5453)))-1))))/1000)^2)-(Inputs!$C$5-((Inputs!$C$51*(115*EXP(-(((0)-25)^2)/(4.5^2))+70*EXP(-(((0)+38)^2)/(7^2))*(0.55+0.45*SIN(2*PI()*(Model_Data!A200)/45))+24*SIN(2*PI()*(0)/9+(Model_Data!A200)/18)*EXP(-(((0)+5)^2)/(22^2))+18*SIN(2*PI()*(Model_Data!A200)/70))+Inputs!$C$28*EXP(-(((Model_Data!A200)-Inputs!$C$29)^2)/(2*Inputs!$C$31^2))*EXP(-(((0)-Inputs!$C$30)^2)/(2*Inputs!$C$32^2))+-Inputs!$C$33*EXP(-(((((Model_Data!A200)-Inputs!$C$34)^2)+(((0)-Inputs!$C$35)^2))/(2*Inputs!$C$36^2)))+Inputs!$C$37*(0.55*SIN(2*PI()*(Model_Data!A200)/Inputs!$C$39)+0.35*COS(2*PI()*(0)/Inputs!$C$40)+0.2*SIN(2*PI()*((Model_Data!A200)+(0))/(0.5*(Inputs!$C$39+Inputs!$C$40))))+Inputs!$C$38*SIN(2*PI()*(Model_Data!A200)/Inputs!$C$39)*SIN(2*PI()*(0)/Inputs!$C$40)+-Inputs!$C$41*EXP(-(((0)-Inputs!$C$43)^2)/(2*Inputs!$C$44^2))*EXP(-(((Model_Data!A200)-Inputs!$C$42)^2)/(2*Inputs!$C$45^2))+Inputs!$C$48*(0.70*(0.45*SIN(2*PI()*(((Model_Data!A200)/Inputs!$C$49)+Inputs!$C$47*0.137))+0.35*COS(2*PI()*(((0)/Inputs!$C$50)+Inputs!$C$47*0.173))+0.20*SIN(2*PI()*(((Model_Data!A200)+(0))/(0.5*(Inputs!$C$49+Inputs!$C$50))+Inputs!$C$47*0.097)))+0.30*(2*((SIN(((Model_Data!A200)*12.9898+(0)*78.233+Inputs!$C$47*37.719))*43758.5453)-INT((SIN(((Model_Data!A200)*12.9898+(0)*78.233+Inputs!$C$47*37.719))*43758.5453)))-1))))/1000))*1000/Inputs!$C$12)-((SQRT((Model_Data!A200)^2+Inputs!$C$6^2+Inputs!$C$5^2)-Inputs!$C$5)*1000/Inputs!$C$12)))</x:f>
        <x:v>0.009402252471772954</x:v>
      </x:c>
      <x:c r="X200" s="48" t="n">
        <x:f>0</x:f>
        <x:v>0</x:v>
      </x:c>
      <x:c r="Y200" s="49"/>
      <x:c r="Z200" s="48" t="n">
        <x:f>Model_Data!A200</x:f>
        <x:v>39</x:v>
      </x:c>
      <x:c r="AA200" s="48" t="n">
        <x:f>SQRT((Model_Data!A200)^2+Inputs!$C$6^2+((Model_Data!B200)-((Inputs!$C$51*(115*EXP(-(((Inputs!$C$6)-25)^2)/(4.5^2))+70*EXP(-(((Inputs!$C$6)+38)^2)/(7^2))*(0.55+0.45*SIN(2*PI()*(Model_Data!A200)/45))+24*SIN(2*PI()*(Inputs!$C$6)/9+(Model_Data!A200)/18)*EXP(-(((Inputs!$C$6)+5)^2)/(22^2))+18*SIN(2*PI()*(Model_Data!A200)/70))+Inputs!$C$28*EXP(-(((Model_Data!A200)-Inputs!$C$29)^2)/(2*Inputs!$C$31^2))*EXP(-(((Inputs!$C$6)-Inputs!$C$30)^2)/(2*Inputs!$C$32^2))+-Inputs!$C$33*EXP(-(((((Model_Data!A200)-Inputs!$C$34)^2)+(((Inputs!$C$6)-Inputs!$C$35)^2))/(2*Inputs!$C$36^2)))+Inputs!$C$37*(0.55*SIN(2*PI()*(Model_Data!A200)/Inputs!$C$39)+0.35*COS(2*PI()*(Inputs!$C$6)/Inputs!$C$40)+0.2*SIN(2*PI()*((Model_Data!A200)+(Inputs!$C$6))/(0.5*(Inputs!$C$39+Inputs!$C$40))))+Inputs!$C$38*SIN(2*PI()*(Model_Data!A200)/Inputs!$C$39)*SIN(2*PI()*(Inputs!$C$6)/Inputs!$C$40)+-Inputs!$C$41*EXP(-(((Inputs!$C$6)-Inputs!$C$43)^2)/(2*Inputs!$C$44^2))*EXP(-(((Model_Data!A200)-Inputs!$C$42)^2)/(2*Inputs!$C$45^2))+Inputs!$C$48*(0.70*(0.45*SIN(2*PI()*(((Model_Data!A200)/Inputs!$C$49)+Inputs!$C$47*0.137))+0.35*COS(2*PI()*(((Inputs!$C$6)/Inputs!$C$50)+Inputs!$C$47*0.173))+0.20*SIN(2*PI()*(((Model_Data!A200)+(Inputs!$C$6))/(0.5*(Inputs!$C$49+Inputs!$C$50))+Inputs!$C$47*0.097)))+0.30*(2*((SIN(((Model_Data!A200)*12.9898+(Inputs!$C$6)*78.233+Inputs!$C$47*37.719))*43758.5453)-INT((SIN(((Model_Data!A200)*12.9898+(Inputs!$C$6)*78.233+Inputs!$C$47*37.719))*43758.5453)))-1))))/1000)^2)</x:f>
        <x:v>404.0515429537121</x:v>
      </x:c>
      <x:c r="AB200" s="48" t="n">
        <x:f>1000*(AA201-AA199)/(Z201-Z199)*Inputs!$C$11</x:f>
        <x:v>779.1581503604448</x:v>
      </x:c>
      <x:c r="AC200" s="48" t="n">
        <x:f>-2*AB200/Inputs!$C$13</x:f>
        <x:v>-311.6632601441779</x:v>
      </x:c>
      <x:c r="AD200" s="48" t="n">
        <x:f>-2*AB200/Inputs!$C$14</x:f>
        <x:v>-46.796285306933626</x:v>
      </x:c>
    </x:row>
    <x:row r="201">
      <x:c r="A201" s="48" t="n">
        <x:f>Model_Data!A201</x:f>
        <x:v>39.5</x:v>
      </x:c>
      <x:c r="B201" s="48" t="n">
        <x:f>Model_Data!F201</x:f>
        <x:v>1522.82593189579</x:v>
      </x:c>
      <x:c r="C201" s="48" t="n">
        <x:f>(((SQRT((Model_Data!A201)^2+Inputs!$C$6^2+((Model_Data!B201)-((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(0.45*SIN(2*PI()*(((Model_Data!A201)/Inputs!$C$49)+Inputs!$C$47*0.137))+0.35*COS(2*PI()*(((Inputs!$C$6)/Inputs!$C$50)+Inputs!$C$47*0.173))+0.20*SIN(2*PI()*(((Model_Data!A201)+(Inputs!$C$6))/(0.5*(Inputs!$C$49+Inputs!$C$50))+Inputs!$C$47*0.097)))+0.30*(2*((SIN(((Model_Data!A201)*12.9898+(Inputs!$C$6)*78.233+Inputs!$C$47*37.719))*43758.5453)-INT((SIN(((Model_Data!A201)*12.9898+(Inputs!$C$6)*78.233+Inputs!$C$47*37.719))*43758.5453)))-1))))/1000)^2))-(((Model_Data!B201)-((Inputs!$C$51*(115*EXP(-(((0)-25)^2)/(4.5^2))+70*EXP(-(((0)+38)^2)/(7^2))*(0.55+0.45*SIN(2*PI()*(Model_Data!A201)/45))+24*SIN(2*PI()*(0)/9+(Model_Data!A201)/18)*EXP(-(((0)+5)^2)/(22^2))+18*SIN(2*PI()*(Model_Data!A201)/70))+Inputs!$C$28*EXP(-(((Model_Data!A201)-Inputs!$C$29)^2)/(2*Inputs!$C$31^2))*EXP(-(((0)-Inputs!$C$30)^2)/(2*Inputs!$C$32^2))+-Inputs!$C$33*EXP(-(((((Model_Data!A201)-Inputs!$C$34)^2)+(((0)-Inputs!$C$35)^2))/(2*Inputs!$C$36^2)))+Inputs!$C$37*(0.55*SIN(2*PI()*(Model_Data!A201)/Inputs!$C$39)+0.35*COS(2*PI()*(0)/Inputs!$C$40)+0.2*SIN(2*PI()*((Model_Data!A201)+(0))/(0.5*(Inputs!$C$39+Inputs!$C$40))))+Inputs!$C$38*SIN(2*PI()*(Model_Data!A201)/Inputs!$C$39)*SIN(2*PI()*(0)/Inputs!$C$40)+-Inputs!$C$41*EXP(-(((0)-Inputs!$C$43)^2)/(2*Inputs!$C$44^2))*EXP(-(((Model_Data!A201)-Inputs!$C$42)^2)/(2*Inputs!$C$45^2))+Inputs!$C$48*(0.70*(0.45*SIN(2*PI()*(((Model_Data!A201)/Inputs!$C$49)+Inputs!$C$47*0.137))+0.35*COS(2*PI()*(((0)/Inputs!$C$50)+Inputs!$C$47*0.173))+0.20*SIN(2*PI()*(((Model_Data!A201)+(0))/(0.5*(Inputs!$C$49+Inputs!$C$50))+Inputs!$C$47*0.097)))+0.30*(2*((SIN(((Model_Data!A201)*12.9898+(0)*78.233+Inputs!$C$47*37.719))*43758.5453)-INT((SIN(((Model_Data!A201)*12.9898+(0)*78.233+Inputs!$C$47*37.719))*43758.5453)))-1))))/1000)))*1000/Inputs!$C$12)</x:f>
        <x:v>1398.8867436471141</x:v>
      </x:c>
      <x:c r="D201" s="49"/>
      <x:c r="E201" s="48" t="n">
        <x:f>Model_Data!A201</x:f>
        <x:v>39.5</x:v>
      </x:c>
      <x:c r="F201" s="48" t="n">
        <x:f>(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(0.45*SIN(2*PI()*(((Model_Data!A201)/Inputs!$C$49)+Inputs!$C$47*0.137))+0.35*COS(2*PI()*(((Inputs!$C$6)/Inputs!$C$50)+Inputs!$C$47*0.173))+0.20*SIN(2*PI()*(((Model_Data!A201)+(Inputs!$C$6))/(0.5*(Inputs!$C$49+Inputs!$C$50))+Inputs!$C$47*0.097)))+0.30*(2*((SIN(((Model_Data!A201)*12.9898+(Inputs!$C$6)*78.233+Inputs!$C$47*37.719))*43758.5453)-INT((SIN(((Model_Data!A201)*12.9898+(Inputs!$C$6)*78.233+Inputs!$C$47*37.719))*43758.5453)))-1)))</x:f>
        <x:v>298.92940490783735</x:v>
      </x:c>
      <x:c r="G201" s="48" t="n">
        <x:f>(Inputs!$C$51*(115*EXP(-(((0)-25)^2)/(4.5^2))+70*EXP(-(((0)+38)^2)/(7^2))*(0.55+0.45*SIN(2*PI()*(Model_Data!A201)/45))+24*SIN(2*PI()*(0)/9+(Model_Data!A201)/18)*EXP(-(((0)+5)^2)/(22^2))+18*SIN(2*PI()*(Model_Data!A201)/70))+Inputs!$C$28*EXP(-(((Model_Data!A201)-Inputs!$C$29)^2)/(2*Inputs!$C$31^2))*EXP(-(((0)-Inputs!$C$30)^2)/(2*Inputs!$C$32^2))+-Inputs!$C$33*EXP(-(((((Model_Data!A201)-Inputs!$C$34)^2)+(((0)-Inputs!$C$35)^2))/(2*Inputs!$C$36^2)))+Inputs!$C$37*(0.55*SIN(2*PI()*(Model_Data!A201)/Inputs!$C$39)+0.35*COS(2*PI()*(0)/Inputs!$C$40)+0.2*SIN(2*PI()*((Model_Data!A201)+(0))/(0.5*(Inputs!$C$39+Inputs!$C$40))))+Inputs!$C$38*SIN(2*PI()*(Model_Data!A201)/Inputs!$C$39)*SIN(2*PI()*(0)/Inputs!$C$40)+-Inputs!$C$41*EXP(-(((0)-Inputs!$C$43)^2)/(2*Inputs!$C$44^2))*EXP(-(((Model_Data!A201)-Inputs!$C$42)^2)/(2*Inputs!$C$45^2))+Inputs!$C$48*(0.70*(0.45*SIN(2*PI()*(((Model_Data!A201)/Inputs!$C$49)+Inputs!$C$47*0.137))+0.35*COS(2*PI()*(((0)/Inputs!$C$50)+Inputs!$C$47*0.173))+0.20*SIN(2*PI()*(((Model_Data!A201)+(0))/(0.5*(Inputs!$C$49+Inputs!$C$50))+Inputs!$C$47*0.097)))+0.30*(2*((SIN(((Model_Data!A201)*12.9898+(0)*78.233+Inputs!$C$47*37.719))*43758.5453)-INT((SIN(((Model_Data!A201)*12.9898+(0)*78.233+Inputs!$C$47*37.719))*43758.5453)))-1)))</x:f>
        <x:v>76.31271490051972</x:v>
      </x:c>
      <x:c r="H201" s="49"/>
      <x:c r="I201" s="48" t="n">
        <x:f>Model_Data!A201</x:f>
        <x:v>39.5</x:v>
      </x:c>
      <x:c r="J201" s="48" t="n">
        <x:f>((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(0.45*SIN(2*PI()*(((Model_Data!A201)/Inputs!$C$49)+Inputs!$C$47*0.137))+0.35*COS(2*PI()*(((Inputs!$C$6)/Inputs!$C$50)+Inputs!$C$47*0.173))+0.20*SIN(2*PI()*(((Model_Data!A201)+(Inputs!$C$6))/(0.5*(Inputs!$C$49+Inputs!$C$50))+Inputs!$C$47*0.097)))+0.30*(2*((SIN(((Model_Data!A201)*12.9898+(Inputs!$C$6)*78.233+Inputs!$C$47*37.719))*43758.5453)-INT((SIN(((Model_Data!A201)*12.9898+(Inputs!$C$6)*78.233+Inputs!$C$47*37.719))*43758.5453)))-1))))-((Inputs!$C$51*(115*EXP(-(((0)-25)^2)/(4.5^2))+70*EXP(-(((0)+38)^2)/(7^2))*(0.55+0.45*SIN(2*PI()*(Model_Data!A201)/45))+24*SIN(2*PI()*(0)/9+(Model_Data!A201)/18)*EXP(-(((0)+5)^2)/(22^2))+18*SIN(2*PI()*(Model_Data!A201)/70))+Inputs!$C$28*EXP(-(((Model_Data!A201)-Inputs!$C$29)^2)/(2*Inputs!$C$31^2))*EXP(-(((0)-Inputs!$C$30)^2)/(2*Inputs!$C$32^2))+-Inputs!$C$33*EXP(-(((((Model_Data!A201)-Inputs!$C$34)^2)+(((0)-Inputs!$C$35)^2))/(2*Inputs!$C$36^2)))+Inputs!$C$37*(0.55*SIN(2*PI()*(Model_Data!A201)/Inputs!$C$39)+0.35*COS(2*PI()*(0)/Inputs!$C$40)+0.2*SIN(2*PI()*((Model_Data!A201)+(0))/(0.5*(Inputs!$C$39+Inputs!$C$40))))+Inputs!$C$38*SIN(2*PI()*(Model_Data!A201)/Inputs!$C$39)*SIN(2*PI()*(0)/Inputs!$C$40)+-Inputs!$C$41*EXP(-(((0)-Inputs!$C$43)^2)/(2*Inputs!$C$44^2))*EXP(-(((Model_Data!A201)-Inputs!$C$42)^2)/(2*Inputs!$C$45^2))+Inputs!$C$48*(0.70*(0.45*SIN(2*PI()*(((Model_Data!A201)/Inputs!$C$49)+Inputs!$C$47*0.137))+0.35*COS(2*PI()*(((0)/Inputs!$C$50)+Inputs!$C$47*0.173))+0.20*SIN(2*PI()*(((Model_Data!A201)+(0))/(0.5*(Inputs!$C$49+Inputs!$C$50))+Inputs!$C$47*0.097)))+0.30*(2*((SIN(((Model_Data!A201)*12.9898+(0)*78.233+Inputs!$C$47*37.719))*43758.5453)-INT((SIN(((Model_Data!A201)*12.9898+(0)*78.233+Inputs!$C$47*37.719))*43758.5453)))-1))))</x:f>
        <x:v>222.61669000731763</x:v>
      </x:c>
      <x:c r="K201" s="48" t="n">
        <x:f>-((((SQRT((Model_Data!A201)^2+Inputs!$C$6^2+((Model_Data!B201)-((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(0.45*SIN(2*PI()*(((Model_Data!A201)/Inputs!$C$49)+Inputs!$C$47*0.137))+0.35*COS(2*PI()*(((Inputs!$C$6)/Inputs!$C$50)+Inputs!$C$47*0.173))+0.20*SIN(2*PI()*(((Model_Data!A201)+(Inputs!$C$6))/(0.5*(Inputs!$C$49+Inputs!$C$50))+Inputs!$C$47*0.097)))+0.30*(2*((SIN(((Model_Data!A201)*12.9898+(Inputs!$C$6)*78.233+Inputs!$C$47*37.719))*43758.5453)-INT((SIN(((Model_Data!A201)*12.9898+(Inputs!$C$6)*78.233+Inputs!$C$47*37.719))*43758.5453)))-1))))/1000)^2))-(((Model_Data!B201)-((Inputs!$C$51*(115*EXP(-(((0)-25)^2)/(4.5^2))+70*EXP(-(((0)+38)^2)/(7^2))*(0.55+0.45*SIN(2*PI()*(Model_Data!A201)/45))+24*SIN(2*PI()*(0)/9+(Model_Data!A201)/18)*EXP(-(((0)+5)^2)/(22^2))+18*SIN(2*PI()*(Model_Data!A201)/70))+Inputs!$C$28*EXP(-(((Model_Data!A201)-Inputs!$C$29)^2)/(2*Inputs!$C$31^2))*EXP(-(((0)-Inputs!$C$30)^2)/(2*Inputs!$C$32^2))+-Inputs!$C$33*EXP(-(((((Model_Data!A201)-Inputs!$C$34)^2)+(((0)-Inputs!$C$35)^2))/(2*Inputs!$C$36^2)))+Inputs!$C$37*(0.55*SIN(2*PI()*(Model_Data!A201)/Inputs!$C$39)+0.35*COS(2*PI()*(0)/Inputs!$C$40)+0.2*SIN(2*PI()*((Model_Data!A201)+(0))/(0.5*(Inputs!$C$39+Inputs!$C$40))))+Inputs!$C$38*SIN(2*PI()*(Model_Data!A201)/Inputs!$C$39)*SIN(2*PI()*(0)/Inputs!$C$40)+-Inputs!$C$41*EXP(-(((0)-Inputs!$C$43)^2)/(2*Inputs!$C$44^2))*EXP(-(((Model_Data!A201)-Inputs!$C$42)^2)/(2*Inputs!$C$45^2))+Inputs!$C$48*(0.70*(0.45*SIN(2*PI()*(((Model_Data!A201)/Inputs!$C$49)+Inputs!$C$47*0.137))+0.35*COS(2*PI()*(((0)/Inputs!$C$50)+Inputs!$C$47*0.173))+0.20*SIN(2*PI()*(((Model_Data!A201)+(0))/(0.5*(Inputs!$C$49+Inputs!$C$50))+Inputs!$C$47*0.097)))+0.30*(2*((SIN(((Model_Data!A201)*12.9898+(0)*78.233+Inputs!$C$47*37.719))*43758.5453)-INT((SIN(((Model_Data!A201)*12.9898+(0)*78.233+Inputs!$C$47*37.719))*43758.5453)))-1))))/1000)))*1000/Inputs!$C$12)-Model_Data!F201)</x:f>
        <x:v>123.93918824867592</x:v>
      </x:c>
      <x:c r="L201" s="49"/>
      <x:c r="M201" s="48" t="n">
        <x:f>Model_Data!A201</x:f>
        <x:v>39.5</x:v>
      </x:c>
      <x:c r="N201" s="48" t="n">
        <x:f>Model_Data!P201</x:f>
        <x:v>-295.766984965765</x:v>
      </x:c>
      <x:c r="O201" s="48" t="n">
        <x:f>AC201</x:f>
        <x:v>-292.73898222500065</x:v>
      </x:c>
      <x:c r="P201" s="48" t="n">
        <x:f>Model_Data!Q201</x:f>
        <x:v>-44.40945720206682</x:v>
      </x:c>
      <x:c r="Q201" s="48" t="n">
        <x:f>AD201</x:f>
        <x:v>-43.95480213588599</x:v>
      </x:c>
      <x:c r="R201" s="49"/>
      <x:c r="S201" s="48" t="n">
        <x:f>Model_Data!A201</x:f>
        <x:v>39.5</x:v>
      </x:c>
      <x:c r="T201" s="48" t="n">
        <x:f>Model_Data!B201-Inputs!$C$5</x:f>
        <x:v>1.7336111111110881</x:v>
      </x:c>
      <x:c r="U201" s="49"/>
      <x:c r="V201" s="48" t="n">
        <x:f>Model_Data!A201</x:f>
        <x:v>39.5</x:v>
      </x:c>
      <x:c r="W201" s="48" t="n">
        <x:f>(-((((SQRT((Model_Data!A201)^2+Inputs!$C$6^2+((Model_Data!B201)-((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(0.45*SIN(2*PI()*(((Model_Data!A201)/Inputs!$C$49)+Inputs!$C$47*0.137))+0.35*COS(2*PI()*(((Inputs!$C$6)/Inputs!$C$50)+Inputs!$C$47*0.173))+0.20*SIN(2*PI()*(((Model_Data!A201)+(Inputs!$C$6))/(0.5*(Inputs!$C$49+Inputs!$C$50))+Inputs!$C$47*0.097)))+0.30*(2*((SIN(((Model_Data!A201)*12.9898+(Inputs!$C$6)*78.233+Inputs!$C$47*37.719))*43758.5453)-INT((SIN(((Model_Data!A201)*12.9898+(Inputs!$C$6)*78.233+Inputs!$C$47*37.719))*43758.5453)))-1))))/1000)^2))-(((Model_Data!B201)-((Inputs!$C$51*(115*EXP(-(((0)-25)^2)/(4.5^2))+70*EXP(-(((0)+38)^2)/(7^2))*(0.55+0.45*SIN(2*PI()*(Model_Data!A201)/45))+24*SIN(2*PI()*(0)/9+(Model_Data!A201)/18)*EXP(-(((0)+5)^2)/(22^2))+18*SIN(2*PI()*(Model_Data!A201)/70))+Inputs!$C$28*EXP(-(((Model_Data!A201)-Inputs!$C$29)^2)/(2*Inputs!$C$31^2))*EXP(-(((0)-Inputs!$C$30)^2)/(2*Inputs!$C$32^2))+-Inputs!$C$33*EXP(-(((((Model_Data!A201)-Inputs!$C$34)^2)+(((0)-Inputs!$C$35)^2))/(2*Inputs!$C$36^2)))+Inputs!$C$37*(0.55*SIN(2*PI()*(Model_Data!A201)/Inputs!$C$39)+0.35*COS(2*PI()*(0)/Inputs!$C$40)+0.2*SIN(2*PI()*((Model_Data!A201)+(0))/(0.5*(Inputs!$C$39+Inputs!$C$40))))+Inputs!$C$38*SIN(2*PI()*(Model_Data!A201)/Inputs!$C$39)*SIN(2*PI()*(0)/Inputs!$C$40)+-Inputs!$C$41*EXP(-(((0)-Inputs!$C$43)^2)/(2*Inputs!$C$44^2))*EXP(-(((Model_Data!A201)-Inputs!$C$42)^2)/(2*Inputs!$C$45^2))+Inputs!$C$48*(0.70*(0.45*SIN(2*PI()*(((Model_Data!A201)/Inputs!$C$49)+Inputs!$C$47*0.137))+0.35*COS(2*PI()*(((0)/Inputs!$C$50)+Inputs!$C$47*0.173))+0.20*SIN(2*PI()*(((Model_Data!A201)+(0))/(0.5*(Inputs!$C$49+Inputs!$C$50))+Inputs!$C$47*0.097)))+0.30*(2*((SIN(((Model_Data!A201)*12.9898+(0)*78.233+Inputs!$C$47*37.719))*43758.5453)-INT((SIN(((Model_Data!A201)*12.9898+(0)*78.233+Inputs!$C$47*37.719))*43758.5453)))-1))))/1000)))*1000/Inputs!$C$12)-Model_Data!F201))-(-(((SQRT((Model_Data!A201)^2+Inputs!$C$6^2+(Inputs!$C$5-((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(0.45*SIN(2*PI()*(((Model_Data!A201)/Inputs!$C$49)+Inputs!$C$47*0.137))+0.35*COS(2*PI()*(((Inputs!$C$6)/Inputs!$C$50)+Inputs!$C$47*0.173))+0.20*SIN(2*PI()*(((Model_Data!A201)+(Inputs!$C$6))/(0.5*(Inputs!$C$49+Inputs!$C$50))+Inputs!$C$47*0.097)))+0.30*(2*((SIN(((Model_Data!A201)*12.9898+(Inputs!$C$6)*78.233+Inputs!$C$47*37.719))*43758.5453)-INT((SIN(((Model_Data!A201)*12.9898+(Inputs!$C$6)*78.233+Inputs!$C$47*37.719))*43758.5453)))-1))))/1000)^2)-(Inputs!$C$5-((Inputs!$C$51*(115*EXP(-(((0)-25)^2)/(4.5^2))+70*EXP(-(((0)+38)^2)/(7^2))*(0.55+0.45*SIN(2*PI()*(Model_Data!A201)/45))+24*SIN(2*PI()*(0)/9+(Model_Data!A201)/18)*EXP(-(((0)+5)^2)/(22^2))+18*SIN(2*PI()*(Model_Data!A201)/70))+Inputs!$C$28*EXP(-(((Model_Data!A201)-Inputs!$C$29)^2)/(2*Inputs!$C$31^2))*EXP(-(((0)-Inputs!$C$30)^2)/(2*Inputs!$C$32^2))+-Inputs!$C$33*EXP(-(((((Model_Data!A201)-Inputs!$C$34)^2)+(((0)-Inputs!$C$35)^2))/(2*Inputs!$C$36^2)))+Inputs!$C$37*(0.55*SIN(2*PI()*(Model_Data!A201)/Inputs!$C$39)+0.35*COS(2*PI()*(0)/Inputs!$C$40)+0.2*SIN(2*PI()*((Model_Data!A201)+(0))/(0.5*(Inputs!$C$39+Inputs!$C$40))))+Inputs!$C$38*SIN(2*PI()*(Model_Data!A201)/Inputs!$C$39)*SIN(2*PI()*(0)/Inputs!$C$40)+-Inputs!$C$41*EXP(-(((0)-Inputs!$C$43)^2)/(2*Inputs!$C$44^2))*EXP(-(((Model_Data!A201)-Inputs!$C$42)^2)/(2*Inputs!$C$45^2))+Inputs!$C$48*(0.70*(0.45*SIN(2*PI()*(((Model_Data!A201)/Inputs!$C$49)+Inputs!$C$47*0.137))+0.35*COS(2*PI()*(((0)/Inputs!$C$50)+Inputs!$C$47*0.173))+0.20*SIN(2*PI()*(((Model_Data!A201)+(0))/(0.5*(Inputs!$C$49+Inputs!$C$50))+Inputs!$C$47*0.097)))+0.30*(2*((SIN(((Model_Data!A201)*12.9898+(0)*78.233+Inputs!$C$47*37.719))*43758.5453)-INT((SIN(((Model_Data!A201)*12.9898+(0)*78.233+Inputs!$C$47*37.719))*43758.5453)))-1))))/1000))*1000/Inputs!$C$12)-((SQRT((Model_Data!A201)^2+Inputs!$C$6^2+Inputs!$C$5^2)-Inputs!$C$5)*1000/Inputs!$C$12)))</x:f>
        <x:v>0.009689144559843044</x:v>
      </x:c>
      <x:c r="X201" s="48" t="n">
        <x:f>0</x:f>
        <x:v>0</x:v>
      </x:c>
      <x:c r="Y201" s="49"/>
      <x:c r="Z201" s="48" t="n">
        <x:f>Model_Data!A201</x:f>
        <x:v>39.5</x:v>
      </x:c>
      <x:c r="AA201" s="48" t="n">
        <x:f>SQRT((Model_Data!A201)^2+Inputs!$C$6^2+((Model_Data!B201)-((Inputs!$C$51*(115*EXP(-(((Inputs!$C$6)-25)^2)/(4.5^2))+70*EXP(-(((Inputs!$C$6)+38)^2)/(7^2))*(0.55+0.45*SIN(2*PI()*(Model_Data!A201)/45))+24*SIN(2*PI()*(Inputs!$C$6)/9+(Model_Data!A201)/18)*EXP(-(((Inputs!$C$6)+5)^2)/(22^2))+18*SIN(2*PI()*(Model_Data!A201)/70))+Inputs!$C$28*EXP(-(((Model_Data!A201)-Inputs!$C$29)^2)/(2*Inputs!$C$31^2))*EXP(-(((Inputs!$C$6)-Inputs!$C$30)^2)/(2*Inputs!$C$32^2))+-Inputs!$C$33*EXP(-(((((Model_Data!A201)-Inputs!$C$34)^2)+(((Inputs!$C$6)-Inputs!$C$35)^2))/(2*Inputs!$C$36^2)))+Inputs!$C$37*(0.55*SIN(2*PI()*(Model_Data!A201)/Inputs!$C$39)+0.35*COS(2*PI()*(Inputs!$C$6)/Inputs!$C$40)+0.2*SIN(2*PI()*((Model_Data!A201)+(Inputs!$C$6))/(0.5*(Inputs!$C$39+Inputs!$C$40))))+Inputs!$C$38*SIN(2*PI()*(Model_Data!A201)/Inputs!$C$39)*SIN(2*PI()*(Inputs!$C$6)/Inputs!$C$40)+-Inputs!$C$41*EXP(-(((Inputs!$C$6)-Inputs!$C$43)^2)/(2*Inputs!$C$44^2))*EXP(-(((Model_Data!A201)-Inputs!$C$42)^2)/(2*Inputs!$C$45^2))+Inputs!$C$48*(0.70*(0.45*SIN(2*PI()*(((Model_Data!A201)/Inputs!$C$49)+Inputs!$C$47*0.137))+0.35*COS(2*PI()*(((Inputs!$C$6)/Inputs!$C$50)+Inputs!$C$47*0.173))+0.20*SIN(2*PI()*(((Model_Data!A201)+(Inputs!$C$6))/(0.5*(Inputs!$C$49+Inputs!$C$50))+Inputs!$C$47*0.097)))+0.30*(2*((SIN(((Model_Data!A201)*12.9898+(Inputs!$C$6)*78.233+Inputs!$C$47*37.719))*43758.5453)-INT((SIN(((Model_Data!A201)*12.9898+(Inputs!$C$6)*78.233+Inputs!$C$47*37.719))*43758.5453)))-1))))/1000)^2)</x:f>
        <x:v>404.14731679990246</x:v>
      </x:c>
      <x:c r="AB201" s="48" t="n">
        <x:f>1000*(AA202-AA200)/(Z202-Z200)*Inputs!$C$11</x:f>
        <x:v>731.8474555625016</x:v>
      </x:c>
      <x:c r="AC201" s="48" t="n">
        <x:f>-2*AB201/Inputs!$C$13</x:f>
        <x:v>-292.73898222500065</x:v>
      </x:c>
      <x:c r="AD201" s="48" t="n">
        <x:f>-2*AB201/Inputs!$C$14</x:f>
        <x:v>-43.95480213588599</x:v>
      </x:c>
    </x:row>
    <x:row r="202">
      <x:c r="A202" s="48" t="n">
        <x:f>Model_Data!A202</x:f>
        <x:v>40</x:v>
      </x:c>
      <x:c r="B202" s="48" t="n">
        <x:f>Model_Data!F202</x:f>
        <x:v>1550.26257039885</x:v>
      </x:c>
      <x:c r="C202" s="48" t="n">
        <x:f>(((SQRT((Model_Data!A202)^2+Inputs!$C$6^2+((Model_Data!B202)-((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(0.45*SIN(2*PI()*(((Model_Data!A202)/Inputs!$C$49)+Inputs!$C$47*0.137))+0.35*COS(2*PI()*(((Inputs!$C$6)/Inputs!$C$50)+Inputs!$C$47*0.173))+0.20*SIN(2*PI()*(((Model_Data!A202)+(Inputs!$C$6))/(0.5*(Inputs!$C$49+Inputs!$C$50))+Inputs!$C$47*0.097)))+0.30*(2*((SIN(((Model_Data!A202)*12.9898+(Inputs!$C$6)*78.233+Inputs!$C$47*37.719))*43758.5453)-INT((SIN(((Model_Data!A202)*12.9898+(Inputs!$C$6)*78.233+Inputs!$C$47*37.719))*43758.5453)))-1))))/1000)^2))-(((Model_Data!B202)-((Inputs!$C$51*(115*EXP(-(((0)-25)^2)/(4.5^2))+70*EXP(-(((0)+38)^2)/(7^2))*(0.55+0.45*SIN(2*PI()*(Model_Data!A202)/45))+24*SIN(2*PI()*(0)/9+(Model_Data!A202)/18)*EXP(-(((0)+5)^2)/(22^2))+18*SIN(2*PI()*(Model_Data!A202)/70))+Inputs!$C$28*EXP(-(((Model_Data!A202)-Inputs!$C$29)^2)/(2*Inputs!$C$31^2))*EXP(-(((0)-Inputs!$C$30)^2)/(2*Inputs!$C$32^2))+-Inputs!$C$33*EXP(-(((((Model_Data!A202)-Inputs!$C$34)^2)+(((0)-Inputs!$C$35)^2))/(2*Inputs!$C$36^2)))+Inputs!$C$37*(0.55*SIN(2*PI()*(Model_Data!A202)/Inputs!$C$39)+0.35*COS(2*PI()*(0)/Inputs!$C$40)+0.2*SIN(2*PI()*((Model_Data!A202)+(0))/(0.5*(Inputs!$C$39+Inputs!$C$40))))+Inputs!$C$38*SIN(2*PI()*(Model_Data!A202)/Inputs!$C$39)*SIN(2*PI()*(0)/Inputs!$C$40)+-Inputs!$C$41*EXP(-(((0)-Inputs!$C$43)^2)/(2*Inputs!$C$44^2))*EXP(-(((Model_Data!A202)-Inputs!$C$42)^2)/(2*Inputs!$C$45^2))+Inputs!$C$48*(0.70*(0.45*SIN(2*PI()*(((Model_Data!A202)/Inputs!$C$49)+Inputs!$C$47*0.137))+0.35*COS(2*PI()*(((0)/Inputs!$C$50)+Inputs!$C$47*0.173))+0.20*SIN(2*PI()*(((Model_Data!A202)+(0))/(0.5*(Inputs!$C$49+Inputs!$C$50))+Inputs!$C$47*0.097)))+0.30*(2*((SIN(((Model_Data!A202)*12.9898+(0)*78.233+Inputs!$C$47*37.719))*43758.5453)-INT((SIN(((Model_Data!A202)*12.9898+(0)*78.233+Inputs!$C$47*37.719))*43758.5453)))-1))))/1000)))*1000/Inputs!$C$12)</x:f>
        <x:v>1417.4118708011927</x:v>
      </x:c>
      <x:c r="D202" s="49"/>
      <x:c r="E202" s="48" t="n">
        <x:f>Model_Data!A202</x:f>
        <x:v>40</x:v>
      </x:c>
      <x:c r="F202" s="48" t="n">
        <x:f>(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(0.45*SIN(2*PI()*(((Model_Data!A202)/Inputs!$C$49)+Inputs!$C$47*0.137))+0.35*COS(2*PI()*(((Inputs!$C$6)/Inputs!$C$50)+Inputs!$C$47*0.173))+0.20*SIN(2*PI()*(((Model_Data!A202)+(Inputs!$C$6))/(0.5*(Inputs!$C$49+Inputs!$C$50))+Inputs!$C$47*0.097)))+0.30*(2*((SIN(((Model_Data!A202)*12.9898+(Inputs!$C$6)*78.233+Inputs!$C$47*37.719))*43758.5453)-INT((SIN(((Model_Data!A202)*12.9898+(Inputs!$C$6)*78.233+Inputs!$C$47*37.719))*43758.5453)))-1)))</x:f>
        <x:v>304.82117281231683</x:v>
      </x:c>
      <x:c r="G202" s="48" t="n">
        <x:f>(Inputs!$C$51*(115*EXP(-(((0)-25)^2)/(4.5^2))+70*EXP(-(((0)+38)^2)/(7^2))*(0.55+0.45*SIN(2*PI()*(Model_Data!A202)/45))+24*SIN(2*PI()*(0)/9+(Model_Data!A202)/18)*EXP(-(((0)+5)^2)/(22^2))+18*SIN(2*PI()*(Model_Data!A202)/70))+Inputs!$C$28*EXP(-(((Model_Data!A202)-Inputs!$C$29)^2)/(2*Inputs!$C$31^2))*EXP(-(((0)-Inputs!$C$30)^2)/(2*Inputs!$C$32^2))+-Inputs!$C$33*EXP(-(((((Model_Data!A202)-Inputs!$C$34)^2)+(((0)-Inputs!$C$35)^2))/(2*Inputs!$C$36^2)))+Inputs!$C$37*(0.55*SIN(2*PI()*(Model_Data!A202)/Inputs!$C$39)+0.35*COS(2*PI()*(0)/Inputs!$C$40)+0.2*SIN(2*PI()*((Model_Data!A202)+(0))/(0.5*(Inputs!$C$39+Inputs!$C$40))))+Inputs!$C$38*SIN(2*PI()*(Model_Data!A202)/Inputs!$C$39)*SIN(2*PI()*(0)/Inputs!$C$40)+-Inputs!$C$41*EXP(-(((0)-Inputs!$C$43)^2)/(2*Inputs!$C$44^2))*EXP(-(((Model_Data!A202)-Inputs!$C$42)^2)/(2*Inputs!$C$45^2))+Inputs!$C$48*(0.70*(0.45*SIN(2*PI()*(((Model_Data!A202)/Inputs!$C$49)+Inputs!$C$47*0.137))+0.35*COS(2*PI()*(((0)/Inputs!$C$50)+Inputs!$C$47*0.173))+0.20*SIN(2*PI()*(((Model_Data!A202)+(0))/(0.5*(Inputs!$C$49+Inputs!$C$50))+Inputs!$C$47*0.097)))+0.30*(2*((SIN(((Model_Data!A202)*12.9898+(0)*78.233+Inputs!$C$47*37.719))*43758.5453)-INT((SIN(((Model_Data!A202)*12.9898+(0)*78.233+Inputs!$C$47*37.719))*43758.5453)))-1)))</x:f>
        <x:v>66.26609020115302</x:v>
      </x:c>
      <x:c r="H202" s="49"/>
      <x:c r="I202" s="48" t="n">
        <x:f>Model_Data!A202</x:f>
        <x:v>40</x:v>
      </x:c>
      <x:c r="J202" s="48" t="n">
        <x:f>((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(0.45*SIN(2*PI()*(((Model_Data!A202)/Inputs!$C$49)+Inputs!$C$47*0.137))+0.35*COS(2*PI()*(((Inputs!$C$6)/Inputs!$C$50)+Inputs!$C$47*0.173))+0.20*SIN(2*PI()*(((Model_Data!A202)+(Inputs!$C$6))/(0.5*(Inputs!$C$49+Inputs!$C$50))+Inputs!$C$47*0.097)))+0.30*(2*((SIN(((Model_Data!A202)*12.9898+(Inputs!$C$6)*78.233+Inputs!$C$47*37.719))*43758.5453)-INT((SIN(((Model_Data!A202)*12.9898+(Inputs!$C$6)*78.233+Inputs!$C$47*37.719))*43758.5453)))-1))))-((Inputs!$C$51*(115*EXP(-(((0)-25)^2)/(4.5^2))+70*EXP(-(((0)+38)^2)/(7^2))*(0.55+0.45*SIN(2*PI()*(Model_Data!A202)/45))+24*SIN(2*PI()*(0)/9+(Model_Data!A202)/18)*EXP(-(((0)+5)^2)/(22^2))+18*SIN(2*PI()*(Model_Data!A202)/70))+Inputs!$C$28*EXP(-(((Model_Data!A202)-Inputs!$C$29)^2)/(2*Inputs!$C$31^2))*EXP(-(((0)-Inputs!$C$30)^2)/(2*Inputs!$C$32^2))+-Inputs!$C$33*EXP(-(((((Model_Data!A202)-Inputs!$C$34)^2)+(((0)-Inputs!$C$35)^2))/(2*Inputs!$C$36^2)))+Inputs!$C$37*(0.55*SIN(2*PI()*(Model_Data!A202)/Inputs!$C$39)+0.35*COS(2*PI()*(0)/Inputs!$C$40)+0.2*SIN(2*PI()*((Model_Data!A202)+(0))/(0.5*(Inputs!$C$39+Inputs!$C$40))))+Inputs!$C$38*SIN(2*PI()*(Model_Data!A202)/Inputs!$C$39)*SIN(2*PI()*(0)/Inputs!$C$40)+-Inputs!$C$41*EXP(-(((0)-Inputs!$C$43)^2)/(2*Inputs!$C$44^2))*EXP(-(((Model_Data!A202)-Inputs!$C$42)^2)/(2*Inputs!$C$45^2))+Inputs!$C$48*(0.70*(0.45*SIN(2*PI()*(((Model_Data!A202)/Inputs!$C$49)+Inputs!$C$47*0.137))+0.35*COS(2*PI()*(((0)/Inputs!$C$50)+Inputs!$C$47*0.173))+0.20*SIN(2*PI()*(((Model_Data!A202)+(0))/(0.5*(Inputs!$C$49+Inputs!$C$50))+Inputs!$C$47*0.097)))+0.30*(2*((SIN(((Model_Data!A202)*12.9898+(0)*78.233+Inputs!$C$47*37.719))*43758.5453)-INT((SIN(((Model_Data!A202)*12.9898+(0)*78.233+Inputs!$C$47*37.719))*43758.5453)))-1))))</x:f>
        <x:v>238.5550826111638</x:v>
      </x:c>
      <x:c r="K202" s="48" t="n">
        <x:f>-((((SQRT((Model_Data!A202)^2+Inputs!$C$6^2+((Model_Data!B202)-((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(0.45*SIN(2*PI()*(((Model_Data!A202)/Inputs!$C$49)+Inputs!$C$47*0.137))+0.35*COS(2*PI()*(((Inputs!$C$6)/Inputs!$C$50)+Inputs!$C$47*0.173))+0.20*SIN(2*PI()*(((Model_Data!A202)+(Inputs!$C$6))/(0.5*(Inputs!$C$49+Inputs!$C$50))+Inputs!$C$47*0.097)))+0.30*(2*((SIN(((Model_Data!A202)*12.9898+(Inputs!$C$6)*78.233+Inputs!$C$47*37.719))*43758.5453)-INT((SIN(((Model_Data!A202)*12.9898+(Inputs!$C$6)*78.233+Inputs!$C$47*37.719))*43758.5453)))-1))))/1000)^2))-(((Model_Data!B202)-((Inputs!$C$51*(115*EXP(-(((0)-25)^2)/(4.5^2))+70*EXP(-(((0)+38)^2)/(7^2))*(0.55+0.45*SIN(2*PI()*(Model_Data!A202)/45))+24*SIN(2*PI()*(0)/9+(Model_Data!A202)/18)*EXP(-(((0)+5)^2)/(22^2))+18*SIN(2*PI()*(Model_Data!A202)/70))+Inputs!$C$28*EXP(-(((Model_Data!A202)-Inputs!$C$29)^2)/(2*Inputs!$C$31^2))*EXP(-(((0)-Inputs!$C$30)^2)/(2*Inputs!$C$32^2))+-Inputs!$C$33*EXP(-(((((Model_Data!A202)-Inputs!$C$34)^2)+(((0)-Inputs!$C$35)^2))/(2*Inputs!$C$36^2)))+Inputs!$C$37*(0.55*SIN(2*PI()*(Model_Data!A202)/Inputs!$C$39)+0.35*COS(2*PI()*(0)/Inputs!$C$40)+0.2*SIN(2*PI()*((Model_Data!A202)+(0))/(0.5*(Inputs!$C$39+Inputs!$C$40))))+Inputs!$C$38*SIN(2*PI()*(Model_Data!A202)/Inputs!$C$39)*SIN(2*PI()*(0)/Inputs!$C$40)+-Inputs!$C$41*EXP(-(((0)-Inputs!$C$43)^2)/(2*Inputs!$C$44^2))*EXP(-(((Model_Data!A202)-Inputs!$C$42)^2)/(2*Inputs!$C$45^2))+Inputs!$C$48*(0.70*(0.45*SIN(2*PI()*(((Model_Data!A202)/Inputs!$C$49)+Inputs!$C$47*0.137))+0.35*COS(2*PI()*(((0)/Inputs!$C$50)+Inputs!$C$47*0.173))+0.20*SIN(2*PI()*(((Model_Data!A202)+(0))/(0.5*(Inputs!$C$49+Inputs!$C$50))+Inputs!$C$47*0.097)))+0.30*(2*((SIN(((Model_Data!A202)*12.9898+(0)*78.233+Inputs!$C$47*37.719))*43758.5453)-INT((SIN(((Model_Data!A202)*12.9898+(0)*78.233+Inputs!$C$47*37.719))*43758.5453)))-1))))/1000)))*1000/Inputs!$C$12)-Model_Data!F202)</x:f>
        <x:v>132.85069959765724</x:v>
      </x:c>
      <x:c r="L202" s="49"/>
      <x:c r="M202" s="48" t="n">
        <x:f>Model_Data!A202</x:f>
        <x:v>40</x:v>
      </x:c>
      <x:c r="N202" s="48" t="n">
        <x:f>Model_Data!P202</x:f>
        <x:v>-299.4575403044</x:v>
      </x:c>
      <x:c r="O202" s="48" t="n">
        <x:f>AC202</x:f>
        <x:v>-296.76267762642965</x:v>
      </x:c>
      <x:c r="P202" s="48" t="n">
        <x:f>Model_Data!Q202</x:f>
        <x:v>-44.96359464030031</x:v>
      </x:c>
      <x:c r="Q202" s="48" t="n">
        <x:f>AD202</x:f>
        <x:v>-44.55896060456902</x:v>
      </x:c>
      <x:c r="R202" s="49"/>
      <x:c r="S202" s="48" t="n">
        <x:f>Model_Data!A202</x:f>
        <x:v>40</x:v>
      </x:c>
      <x:c r="T202" s="48" t="n">
        <x:f>Model_Data!B202-Inputs!$C$5</x:f>
        <x:v>1.7777777777777715</x:v>
      </x:c>
      <x:c r="U202" s="49"/>
      <x:c r="V202" s="48" t="n">
        <x:f>Model_Data!A202</x:f>
        <x:v>40</x:v>
      </x:c>
      <x:c r="W202" s="48" t="n">
        <x:f>(-((((SQRT((Model_Data!A202)^2+Inputs!$C$6^2+((Model_Data!B202)-((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(0.45*SIN(2*PI()*(((Model_Data!A202)/Inputs!$C$49)+Inputs!$C$47*0.137))+0.35*COS(2*PI()*(((Inputs!$C$6)/Inputs!$C$50)+Inputs!$C$47*0.173))+0.20*SIN(2*PI()*(((Model_Data!A202)+(Inputs!$C$6))/(0.5*(Inputs!$C$49+Inputs!$C$50))+Inputs!$C$47*0.097)))+0.30*(2*((SIN(((Model_Data!A202)*12.9898+(Inputs!$C$6)*78.233+Inputs!$C$47*37.719))*43758.5453)-INT((SIN(((Model_Data!A202)*12.9898+(Inputs!$C$6)*78.233+Inputs!$C$47*37.719))*43758.5453)))-1))))/1000)^2))-(((Model_Data!B202)-((Inputs!$C$51*(115*EXP(-(((0)-25)^2)/(4.5^2))+70*EXP(-(((0)+38)^2)/(7^2))*(0.55+0.45*SIN(2*PI()*(Model_Data!A202)/45))+24*SIN(2*PI()*(0)/9+(Model_Data!A202)/18)*EXP(-(((0)+5)^2)/(22^2))+18*SIN(2*PI()*(Model_Data!A202)/70))+Inputs!$C$28*EXP(-(((Model_Data!A202)-Inputs!$C$29)^2)/(2*Inputs!$C$31^2))*EXP(-(((0)-Inputs!$C$30)^2)/(2*Inputs!$C$32^2))+-Inputs!$C$33*EXP(-(((((Model_Data!A202)-Inputs!$C$34)^2)+(((0)-Inputs!$C$35)^2))/(2*Inputs!$C$36^2)))+Inputs!$C$37*(0.55*SIN(2*PI()*(Model_Data!A202)/Inputs!$C$39)+0.35*COS(2*PI()*(0)/Inputs!$C$40)+0.2*SIN(2*PI()*((Model_Data!A202)+(0))/(0.5*(Inputs!$C$39+Inputs!$C$40))))+Inputs!$C$38*SIN(2*PI()*(Model_Data!A202)/Inputs!$C$39)*SIN(2*PI()*(0)/Inputs!$C$40)+-Inputs!$C$41*EXP(-(((0)-Inputs!$C$43)^2)/(2*Inputs!$C$44^2))*EXP(-(((Model_Data!A202)-Inputs!$C$42)^2)/(2*Inputs!$C$45^2))+Inputs!$C$48*(0.70*(0.45*SIN(2*PI()*(((Model_Data!A202)/Inputs!$C$49)+Inputs!$C$47*0.137))+0.35*COS(2*PI()*(((0)/Inputs!$C$50)+Inputs!$C$47*0.173))+0.20*SIN(2*PI()*(((Model_Data!A202)+(0))/(0.5*(Inputs!$C$49+Inputs!$C$50))+Inputs!$C$47*0.097)))+0.30*(2*((SIN(((Model_Data!A202)*12.9898+(0)*78.233+Inputs!$C$47*37.719))*43758.5453)-INT((SIN(((Model_Data!A202)*12.9898+(0)*78.233+Inputs!$C$47*37.719))*43758.5453)))-1))))/1000)))*1000/Inputs!$C$12)-Model_Data!F202))-(-(((SQRT((Model_Data!A202)^2+Inputs!$C$6^2+(Inputs!$C$5-((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(0.45*SIN(2*PI()*(((Model_Data!A202)/Inputs!$C$49)+Inputs!$C$47*0.137))+0.35*COS(2*PI()*(((Inputs!$C$6)/Inputs!$C$50)+Inputs!$C$47*0.173))+0.20*SIN(2*PI()*(((Model_Data!A202)+(Inputs!$C$6))/(0.5*(Inputs!$C$49+Inputs!$C$50))+Inputs!$C$47*0.097)))+0.30*(2*((SIN(((Model_Data!A202)*12.9898+(Inputs!$C$6)*78.233+Inputs!$C$47*37.719))*43758.5453)-INT((SIN(((Model_Data!A202)*12.9898+(Inputs!$C$6)*78.233+Inputs!$C$47*37.719))*43758.5453)))-1))))/1000)^2)-(Inputs!$C$5-((Inputs!$C$51*(115*EXP(-(((0)-25)^2)/(4.5^2))+70*EXP(-(((0)+38)^2)/(7^2))*(0.55+0.45*SIN(2*PI()*(Model_Data!A202)/45))+24*SIN(2*PI()*(0)/9+(Model_Data!A202)/18)*EXP(-(((0)+5)^2)/(22^2))+18*SIN(2*PI()*(Model_Data!A202)/70))+Inputs!$C$28*EXP(-(((Model_Data!A202)-Inputs!$C$29)^2)/(2*Inputs!$C$31^2))*EXP(-(((0)-Inputs!$C$30)^2)/(2*Inputs!$C$32^2))+-Inputs!$C$33*EXP(-(((((Model_Data!A202)-Inputs!$C$34)^2)+(((0)-Inputs!$C$35)^2))/(2*Inputs!$C$36^2)))+Inputs!$C$37*(0.55*SIN(2*PI()*(Model_Data!A202)/Inputs!$C$39)+0.35*COS(2*PI()*(0)/Inputs!$C$40)+0.2*SIN(2*PI()*((Model_Data!A202)+(0))/(0.5*(Inputs!$C$39+Inputs!$C$40))))+Inputs!$C$38*SIN(2*PI()*(Model_Data!A202)/Inputs!$C$39)*SIN(2*PI()*(0)/Inputs!$C$40)+-Inputs!$C$41*EXP(-(((0)-Inputs!$C$43)^2)/(2*Inputs!$C$44^2))*EXP(-(((Model_Data!A202)-Inputs!$C$42)^2)/(2*Inputs!$C$45^2))+Inputs!$C$48*(0.70*(0.45*SIN(2*PI()*(((Model_Data!A202)/Inputs!$C$49)+Inputs!$C$47*0.137))+0.35*COS(2*PI()*(((0)/Inputs!$C$50)+Inputs!$C$47*0.173))+0.20*SIN(2*PI()*(((Model_Data!A202)+(0))/(0.5*(Inputs!$C$49+Inputs!$C$50))+Inputs!$C$47*0.097)))+0.30*(2*((SIN(((Model_Data!A202)*12.9898+(0)*78.233+Inputs!$C$47*37.719))*43758.5453)-INT((SIN(((Model_Data!A202)*12.9898+(0)*78.233+Inputs!$C$47*37.719))*43758.5453)))-1))))/1000))*1000/Inputs!$C$12)-((SQRT((Model_Data!A202)^2+Inputs!$C$6^2+Inputs!$C$5^2)-Inputs!$C$5)*1000/Inputs!$C$12)))</x:f>
        <x:v>0.010310894937219928</x:v>
      </x:c>
      <x:c r="X202" s="48" t="n">
        <x:f>0</x:f>
        <x:v>0</x:v>
      </x:c>
      <x:c r="Y202" s="49"/>
      <x:c r="Z202" s="48" t="n">
        <x:f>Model_Data!A202</x:f>
        <x:v>40</x:v>
      </x:c>
      <x:c r="AA202" s="48" t="n">
        <x:f>SQRT((Model_Data!A202)^2+Inputs!$C$6^2+((Model_Data!B202)-((Inputs!$C$51*(115*EXP(-(((Inputs!$C$6)-25)^2)/(4.5^2))+70*EXP(-(((Inputs!$C$6)+38)^2)/(7^2))*(0.55+0.45*SIN(2*PI()*(Model_Data!A202)/45))+24*SIN(2*PI()*(Inputs!$C$6)/9+(Model_Data!A202)/18)*EXP(-(((Inputs!$C$6)+5)^2)/(22^2))+18*SIN(2*PI()*(Model_Data!A202)/70))+Inputs!$C$28*EXP(-(((Model_Data!A202)-Inputs!$C$29)^2)/(2*Inputs!$C$31^2))*EXP(-(((Inputs!$C$6)-Inputs!$C$30)^2)/(2*Inputs!$C$32^2))+-Inputs!$C$33*EXP(-(((((Model_Data!A202)-Inputs!$C$34)^2)+(((Inputs!$C$6)-Inputs!$C$35)^2))/(2*Inputs!$C$36^2)))+Inputs!$C$37*(0.55*SIN(2*PI()*(Model_Data!A202)/Inputs!$C$39)+0.35*COS(2*PI()*(Inputs!$C$6)/Inputs!$C$40)+0.2*SIN(2*PI()*((Model_Data!A202)+(Inputs!$C$6))/(0.5*(Inputs!$C$39+Inputs!$C$40))))+Inputs!$C$38*SIN(2*PI()*(Model_Data!A202)/Inputs!$C$39)*SIN(2*PI()*(Inputs!$C$6)/Inputs!$C$40)+-Inputs!$C$41*EXP(-(((Inputs!$C$6)-Inputs!$C$43)^2)/(2*Inputs!$C$44^2))*EXP(-(((Model_Data!A202)-Inputs!$C$42)^2)/(2*Inputs!$C$45^2))+Inputs!$C$48*(0.70*(0.45*SIN(2*PI()*(((Model_Data!A202)/Inputs!$C$49)+Inputs!$C$47*0.137))+0.35*COS(2*PI()*(((Inputs!$C$6)/Inputs!$C$50)+Inputs!$C$47*0.173))+0.20*SIN(2*PI()*(((Model_Data!A202)+(Inputs!$C$6))/(0.5*(Inputs!$C$49+Inputs!$C$50))+Inputs!$C$47*0.097)))+0.30*(2*((SIN(((Model_Data!A202)*12.9898+(Inputs!$C$6)*78.233+Inputs!$C$47*37.719))*43758.5453)-INT((SIN(((Model_Data!A202)*12.9898+(Inputs!$C$6)*78.233+Inputs!$C$47*37.719))*43758.5453)))-1))))/1000)^2)</x:f>
        <x:v>404.2345048176027</x:v>
      </x:c>
      <x:c r="AB202" s="48" t="n">
        <x:f>1000*(AA203-AA201)/(Z203-Z201)*Inputs!$C$11</x:f>
        <x:v>741.9066940660741</x:v>
      </x:c>
      <x:c r="AC202" s="48" t="n">
        <x:f>-2*AB202/Inputs!$C$13</x:f>
        <x:v>-296.76267762642965</x:v>
      </x:c>
      <x:c r="AD202" s="48" t="n">
        <x:f>-2*AB202/Inputs!$C$14</x:f>
        <x:v>-44.55896060456902</x:v>
      </x:c>
    </x:row>
    <x:row r="203">
      <x:c r="A203" s="48" t="n">
        <x:f>Model_Data!A203</x:f>
        <x:v>40.5</x:v>
      </x:c>
      <x:c r="B203" s="48" t="n">
        <x:f>Model_Data!F203</x:f>
        <x:v>1578.0348465697127</x:v>
      </x:c>
      <x:c r="C203" s="48" t="n">
        <x:f>(((SQRT((Model_Data!A203)^2+Inputs!$C$6^2+((Model_Data!B203)-((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(0.45*SIN(2*PI()*(((Model_Data!A203)/Inputs!$C$49)+Inputs!$C$47*0.137))+0.35*COS(2*PI()*(((Inputs!$C$6)/Inputs!$C$50)+Inputs!$C$47*0.173))+0.20*SIN(2*PI()*(((Model_Data!A203)+(Inputs!$C$6))/(0.5*(Inputs!$C$49+Inputs!$C$50))+Inputs!$C$47*0.097)))+0.30*(2*((SIN(((Model_Data!A203)*12.9898+(Inputs!$C$6)*78.233+Inputs!$C$47*37.719))*43758.5453)-INT((SIN(((Model_Data!A203)*12.9898+(Inputs!$C$6)*78.233+Inputs!$C$47*37.719))*43758.5453)))-1))))/1000)^2))-(((Model_Data!B203)-((Inputs!$C$51*(115*EXP(-(((0)-25)^2)/(4.5^2))+70*EXP(-(((0)+38)^2)/(7^2))*(0.55+0.45*SIN(2*PI()*(Model_Data!A203)/45))+24*SIN(2*PI()*(0)/9+(Model_Data!A203)/18)*EXP(-(((0)+5)^2)/(22^2))+18*SIN(2*PI()*(Model_Data!A203)/70))+Inputs!$C$28*EXP(-(((Model_Data!A203)-Inputs!$C$29)^2)/(2*Inputs!$C$31^2))*EXP(-(((0)-Inputs!$C$30)^2)/(2*Inputs!$C$32^2))+-Inputs!$C$33*EXP(-(((((Model_Data!A203)-Inputs!$C$34)^2)+(((0)-Inputs!$C$35)^2))/(2*Inputs!$C$36^2)))+Inputs!$C$37*(0.55*SIN(2*PI()*(Model_Data!A203)/Inputs!$C$39)+0.35*COS(2*PI()*(0)/Inputs!$C$40)+0.2*SIN(2*PI()*((Model_Data!A203)+(0))/(0.5*(Inputs!$C$39+Inputs!$C$40))))+Inputs!$C$38*SIN(2*PI()*(Model_Data!A203)/Inputs!$C$39)*SIN(2*PI()*(0)/Inputs!$C$40)+-Inputs!$C$41*EXP(-(((0)-Inputs!$C$43)^2)/(2*Inputs!$C$44^2))*EXP(-(((Model_Data!A203)-Inputs!$C$42)^2)/(2*Inputs!$C$45^2))+Inputs!$C$48*(0.70*(0.45*SIN(2*PI()*(((Model_Data!A203)/Inputs!$C$49)+Inputs!$C$47*0.137))+0.35*COS(2*PI()*(((0)/Inputs!$C$50)+Inputs!$C$47*0.173))+0.20*SIN(2*PI()*(((Model_Data!A203)+(0))/(0.5*(Inputs!$C$49+Inputs!$C$50))+Inputs!$C$47*0.097)))+0.30*(2*((SIN(((Model_Data!A203)*12.9898+(0)*78.233+Inputs!$C$47*37.719))*43758.5453)-INT((SIN(((Model_Data!A203)*12.9898+(0)*78.233+Inputs!$C$47*37.719))*43758.5453)))-1))))/1000)))*1000/Inputs!$C$12)</x:f>
        <x:v>1444.0706059467425</x:v>
      </x:c>
      <x:c r="D203" s="49"/>
      <x:c r="E203" s="48" t="n">
        <x:f>Model_Data!A203</x:f>
        <x:v>40.5</x:v>
      </x:c>
      <x:c r="F203" s="48" t="n">
        <x:f>(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(0.45*SIN(2*PI()*(((Model_Data!A203)/Inputs!$C$49)+Inputs!$C$47*0.137))+0.35*COS(2*PI()*(((Inputs!$C$6)/Inputs!$C$50)+Inputs!$C$47*0.173))+0.20*SIN(2*PI()*(((Model_Data!A203)+(Inputs!$C$6))/(0.5*(Inputs!$C$49+Inputs!$C$50))+Inputs!$C$47*0.097)))+0.30*(2*((SIN(((Model_Data!A203)*12.9898+(Inputs!$C$6)*78.233+Inputs!$C$47*37.719))*43758.5453)-INT((SIN(((Model_Data!A203)*12.9898+(Inputs!$C$6)*78.233+Inputs!$C$47*37.719))*43758.5453)))-1)))</x:f>
        <x:v>300.6975060152245</x:v>
      </x:c>
      <x:c r="G203" s="48" t="n">
        <x:f>(Inputs!$C$51*(115*EXP(-(((0)-25)^2)/(4.5^2))+70*EXP(-(((0)+38)^2)/(7^2))*(0.55+0.45*SIN(2*PI()*(Model_Data!A203)/45))+24*SIN(2*PI()*(0)/9+(Model_Data!A203)/18)*EXP(-(((0)+5)^2)/(22^2))+18*SIN(2*PI()*(Model_Data!A203)/70))+Inputs!$C$28*EXP(-(((Model_Data!A203)-Inputs!$C$29)^2)/(2*Inputs!$C$31^2))*EXP(-(((0)-Inputs!$C$30)^2)/(2*Inputs!$C$32^2))+-Inputs!$C$33*EXP(-(((((Model_Data!A203)-Inputs!$C$34)^2)+(((0)-Inputs!$C$35)^2))/(2*Inputs!$C$36^2)))+Inputs!$C$37*(0.55*SIN(2*PI()*(Model_Data!A203)/Inputs!$C$39)+0.35*COS(2*PI()*(0)/Inputs!$C$40)+0.2*SIN(2*PI()*((Model_Data!A203)+(0))/(0.5*(Inputs!$C$39+Inputs!$C$40))))+Inputs!$C$38*SIN(2*PI()*(Model_Data!A203)/Inputs!$C$39)*SIN(2*PI()*(0)/Inputs!$C$40)+-Inputs!$C$41*EXP(-(((0)-Inputs!$C$43)^2)/(2*Inputs!$C$44^2))*EXP(-(((Model_Data!A203)-Inputs!$C$42)^2)/(2*Inputs!$C$45^2))+Inputs!$C$48*(0.70*(0.45*SIN(2*PI()*(((Model_Data!A203)/Inputs!$C$49)+Inputs!$C$47*0.137))+0.35*COS(2*PI()*(((0)/Inputs!$C$50)+Inputs!$C$47*0.173))+0.20*SIN(2*PI()*(((Model_Data!A203)+(0))/(0.5*(Inputs!$C$49+Inputs!$C$50))+Inputs!$C$47*0.097)))+0.30*(2*((SIN(((Model_Data!A203)*12.9898+(0)*78.233+Inputs!$C$47*37.719))*43758.5453)-INT((SIN(((Model_Data!A203)*12.9898+(0)*78.233+Inputs!$C$47*37.719))*43758.5453)))-1)))</x:f>
        <x:v>60.152205166209214</x:v>
      </x:c>
      <x:c r="H203" s="49"/>
      <x:c r="I203" s="48" t="n">
        <x:f>Model_Data!A203</x:f>
        <x:v>40.5</x:v>
      </x:c>
      <x:c r="J203" s="48" t="n">
        <x:f>((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(0.45*SIN(2*PI()*(((Model_Data!A203)/Inputs!$C$49)+Inputs!$C$47*0.137))+0.35*COS(2*PI()*(((Inputs!$C$6)/Inputs!$C$50)+Inputs!$C$47*0.173))+0.20*SIN(2*PI()*(((Model_Data!A203)+(Inputs!$C$6))/(0.5*(Inputs!$C$49+Inputs!$C$50))+Inputs!$C$47*0.097)))+0.30*(2*((SIN(((Model_Data!A203)*12.9898+(Inputs!$C$6)*78.233+Inputs!$C$47*37.719))*43758.5453)-INT((SIN(((Model_Data!A203)*12.9898+(Inputs!$C$6)*78.233+Inputs!$C$47*37.719))*43758.5453)))-1))))-((Inputs!$C$51*(115*EXP(-(((0)-25)^2)/(4.5^2))+70*EXP(-(((0)+38)^2)/(7^2))*(0.55+0.45*SIN(2*PI()*(Model_Data!A203)/45))+24*SIN(2*PI()*(0)/9+(Model_Data!A203)/18)*EXP(-(((0)+5)^2)/(22^2))+18*SIN(2*PI()*(Model_Data!A203)/70))+Inputs!$C$28*EXP(-(((Model_Data!A203)-Inputs!$C$29)^2)/(2*Inputs!$C$31^2))*EXP(-(((0)-Inputs!$C$30)^2)/(2*Inputs!$C$32^2))+-Inputs!$C$33*EXP(-(((((Model_Data!A203)-Inputs!$C$34)^2)+(((0)-Inputs!$C$35)^2))/(2*Inputs!$C$36^2)))+Inputs!$C$37*(0.55*SIN(2*PI()*(Model_Data!A203)/Inputs!$C$39)+0.35*COS(2*PI()*(0)/Inputs!$C$40)+0.2*SIN(2*PI()*((Model_Data!A203)+(0))/(0.5*(Inputs!$C$39+Inputs!$C$40))))+Inputs!$C$38*SIN(2*PI()*(Model_Data!A203)/Inputs!$C$39)*SIN(2*PI()*(0)/Inputs!$C$40)+-Inputs!$C$41*EXP(-(((0)-Inputs!$C$43)^2)/(2*Inputs!$C$44^2))*EXP(-(((Model_Data!A203)-Inputs!$C$42)^2)/(2*Inputs!$C$45^2))+Inputs!$C$48*(0.70*(0.45*SIN(2*PI()*(((Model_Data!A203)/Inputs!$C$49)+Inputs!$C$47*0.137))+0.35*COS(2*PI()*(((0)/Inputs!$C$50)+Inputs!$C$47*0.173))+0.20*SIN(2*PI()*(((Model_Data!A203)+(0))/(0.5*(Inputs!$C$49+Inputs!$C$50))+Inputs!$C$47*0.097)))+0.30*(2*((SIN(((Model_Data!A203)*12.9898+(0)*78.233+Inputs!$C$47*37.719))*43758.5453)-INT((SIN(((Model_Data!A203)*12.9898+(0)*78.233+Inputs!$C$47*37.719))*43758.5453)))-1))))</x:f>
        <x:v>240.5453008490153</x:v>
      </x:c>
      <x:c r="K203" s="48" t="n">
        <x:f>-((((SQRT((Model_Data!A203)^2+Inputs!$C$6^2+((Model_Data!B203)-((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(0.45*SIN(2*PI()*(((Model_Data!A203)/Inputs!$C$49)+Inputs!$C$47*0.137))+0.35*COS(2*PI()*(((Inputs!$C$6)/Inputs!$C$50)+Inputs!$C$47*0.173))+0.20*SIN(2*PI()*(((Model_Data!A203)+(Inputs!$C$6))/(0.5*(Inputs!$C$49+Inputs!$C$50))+Inputs!$C$47*0.097)))+0.30*(2*((SIN(((Model_Data!A203)*12.9898+(Inputs!$C$6)*78.233+Inputs!$C$47*37.719))*43758.5453)-INT((SIN(((Model_Data!A203)*12.9898+(Inputs!$C$6)*78.233+Inputs!$C$47*37.719))*43758.5453)))-1))))/1000)^2))-(((Model_Data!B203)-((Inputs!$C$51*(115*EXP(-(((0)-25)^2)/(4.5^2))+70*EXP(-(((0)+38)^2)/(7^2))*(0.55+0.45*SIN(2*PI()*(Model_Data!A203)/45))+24*SIN(2*PI()*(0)/9+(Model_Data!A203)/18)*EXP(-(((0)+5)^2)/(22^2))+18*SIN(2*PI()*(Model_Data!A203)/70))+Inputs!$C$28*EXP(-(((Model_Data!A203)-Inputs!$C$29)^2)/(2*Inputs!$C$31^2))*EXP(-(((0)-Inputs!$C$30)^2)/(2*Inputs!$C$32^2))+-Inputs!$C$33*EXP(-(((((Model_Data!A203)-Inputs!$C$34)^2)+(((0)-Inputs!$C$35)^2))/(2*Inputs!$C$36^2)))+Inputs!$C$37*(0.55*SIN(2*PI()*(Model_Data!A203)/Inputs!$C$39)+0.35*COS(2*PI()*(0)/Inputs!$C$40)+0.2*SIN(2*PI()*((Model_Data!A203)+(0))/(0.5*(Inputs!$C$39+Inputs!$C$40))))+Inputs!$C$38*SIN(2*PI()*(Model_Data!A203)/Inputs!$C$39)*SIN(2*PI()*(0)/Inputs!$C$40)+-Inputs!$C$41*EXP(-(((0)-Inputs!$C$43)^2)/(2*Inputs!$C$44^2))*EXP(-(((Model_Data!A203)-Inputs!$C$42)^2)/(2*Inputs!$C$45^2))+Inputs!$C$48*(0.70*(0.45*SIN(2*PI()*(((Model_Data!A203)/Inputs!$C$49)+Inputs!$C$47*0.137))+0.35*COS(2*PI()*(((0)/Inputs!$C$50)+Inputs!$C$47*0.173))+0.20*SIN(2*PI()*(((Model_Data!A203)+(0))/(0.5*(Inputs!$C$49+Inputs!$C$50))+Inputs!$C$47*0.097)))+0.30*(2*((SIN(((Model_Data!A203)*12.9898+(0)*78.233+Inputs!$C$47*37.719))*43758.5453)-INT((SIN(((Model_Data!A203)*12.9898+(0)*78.233+Inputs!$C$47*37.719))*43758.5453)))-1))))/1000)))*1000/Inputs!$C$12)-Model_Data!F203)</x:f>
        <x:v>133.96424062297024</x:v>
      </x:c>
      <x:c r="L203" s="49"/>
      <x:c r="M203" s="48" t="n">
        <x:f>Model_Data!A203</x:f>
        <x:v>40.5</x:v>
      </x:c>
      <x:c r="N203" s="48" t="n">
        <x:f>Model_Data!P203</x:f>
        <x:v>-303.14612110072255</x:v>
      </x:c>
      <x:c r="O203" s="48" t="n">
        <x:f>AC203</x:f>
        <x:v>-348.1667802602715</x:v>
      </x:c>
      <x:c r="P203" s="48" t="n">
        <x:f>Model_Data!Q203</x:f>
        <x:v>-45.5174356007091</x:v>
      </x:c>
      <x:c r="Q203" s="48" t="n">
        <x:f>AD203</x:f>
        <x:v>-52.2772943333741</x:v>
      </x:c>
      <x:c r="R203" s="49"/>
      <x:c r="S203" s="48" t="n">
        <x:f>Model_Data!A203</x:f>
        <x:v>40.5</x:v>
      </x:c>
      <x:c r="T203" s="48" t="n">
        <x:f>Model_Data!B203-Inputs!$C$5</x:f>
        <x:v>1.822499999999991</x:v>
      </x:c>
      <x:c r="U203" s="49"/>
      <x:c r="V203" s="48" t="n">
        <x:f>Model_Data!A203</x:f>
        <x:v>40.5</x:v>
      </x:c>
      <x:c r="W203" s="48" t="n">
        <x:f>(-((((SQRT((Model_Data!A203)^2+Inputs!$C$6^2+((Model_Data!B203)-((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(0.45*SIN(2*PI()*(((Model_Data!A203)/Inputs!$C$49)+Inputs!$C$47*0.137))+0.35*COS(2*PI()*(((Inputs!$C$6)/Inputs!$C$50)+Inputs!$C$47*0.173))+0.20*SIN(2*PI()*(((Model_Data!A203)+(Inputs!$C$6))/(0.5*(Inputs!$C$49+Inputs!$C$50))+Inputs!$C$47*0.097)))+0.30*(2*((SIN(((Model_Data!A203)*12.9898+(Inputs!$C$6)*78.233+Inputs!$C$47*37.719))*43758.5453)-INT((SIN(((Model_Data!A203)*12.9898+(Inputs!$C$6)*78.233+Inputs!$C$47*37.719))*43758.5453)))-1))))/1000)^2))-(((Model_Data!B203)-((Inputs!$C$51*(115*EXP(-(((0)-25)^2)/(4.5^2))+70*EXP(-(((0)+38)^2)/(7^2))*(0.55+0.45*SIN(2*PI()*(Model_Data!A203)/45))+24*SIN(2*PI()*(0)/9+(Model_Data!A203)/18)*EXP(-(((0)+5)^2)/(22^2))+18*SIN(2*PI()*(Model_Data!A203)/70))+Inputs!$C$28*EXP(-(((Model_Data!A203)-Inputs!$C$29)^2)/(2*Inputs!$C$31^2))*EXP(-(((0)-Inputs!$C$30)^2)/(2*Inputs!$C$32^2))+-Inputs!$C$33*EXP(-(((((Model_Data!A203)-Inputs!$C$34)^2)+(((0)-Inputs!$C$35)^2))/(2*Inputs!$C$36^2)))+Inputs!$C$37*(0.55*SIN(2*PI()*(Model_Data!A203)/Inputs!$C$39)+0.35*COS(2*PI()*(0)/Inputs!$C$40)+0.2*SIN(2*PI()*((Model_Data!A203)+(0))/(0.5*(Inputs!$C$39+Inputs!$C$40))))+Inputs!$C$38*SIN(2*PI()*(Model_Data!A203)/Inputs!$C$39)*SIN(2*PI()*(0)/Inputs!$C$40)+-Inputs!$C$41*EXP(-(((0)-Inputs!$C$43)^2)/(2*Inputs!$C$44^2))*EXP(-(((Model_Data!A203)-Inputs!$C$42)^2)/(2*Inputs!$C$45^2))+Inputs!$C$48*(0.70*(0.45*SIN(2*PI()*(((Model_Data!A203)/Inputs!$C$49)+Inputs!$C$47*0.137))+0.35*COS(2*PI()*(((0)/Inputs!$C$50)+Inputs!$C$47*0.173))+0.20*SIN(2*PI()*(((Model_Data!A203)+(0))/(0.5*(Inputs!$C$49+Inputs!$C$50))+Inputs!$C$47*0.097)))+0.30*(2*((SIN(((Model_Data!A203)*12.9898+(0)*78.233+Inputs!$C$47*37.719))*43758.5453)-INT((SIN(((Model_Data!A203)*12.9898+(0)*78.233+Inputs!$C$47*37.719))*43758.5453)))-1))))/1000)))*1000/Inputs!$C$12)-Model_Data!F203))-(-(((SQRT((Model_Data!A203)^2+Inputs!$C$6^2+(Inputs!$C$5-((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(0.45*SIN(2*PI()*(((Model_Data!A203)/Inputs!$C$49)+Inputs!$C$47*0.137))+0.35*COS(2*PI()*(((Inputs!$C$6)/Inputs!$C$50)+Inputs!$C$47*0.173))+0.20*SIN(2*PI()*(((Model_Data!A203)+(Inputs!$C$6))/(0.5*(Inputs!$C$49+Inputs!$C$50))+Inputs!$C$47*0.097)))+0.30*(2*((SIN(((Model_Data!A203)*12.9898+(Inputs!$C$6)*78.233+Inputs!$C$47*37.719))*43758.5453)-INT((SIN(((Model_Data!A203)*12.9898+(Inputs!$C$6)*78.233+Inputs!$C$47*37.719))*43758.5453)))-1))))/1000)^2)-(Inputs!$C$5-((Inputs!$C$51*(115*EXP(-(((0)-25)^2)/(4.5^2))+70*EXP(-(((0)+38)^2)/(7^2))*(0.55+0.45*SIN(2*PI()*(Model_Data!A203)/45))+24*SIN(2*PI()*(0)/9+(Model_Data!A203)/18)*EXP(-(((0)+5)^2)/(22^2))+18*SIN(2*PI()*(Model_Data!A203)/70))+Inputs!$C$28*EXP(-(((Model_Data!A203)-Inputs!$C$29)^2)/(2*Inputs!$C$31^2))*EXP(-(((0)-Inputs!$C$30)^2)/(2*Inputs!$C$32^2))+-Inputs!$C$33*EXP(-(((((Model_Data!A203)-Inputs!$C$34)^2)+(((0)-Inputs!$C$35)^2))/(2*Inputs!$C$36^2)))+Inputs!$C$37*(0.55*SIN(2*PI()*(Model_Data!A203)/Inputs!$C$39)+0.35*COS(2*PI()*(0)/Inputs!$C$40)+0.2*SIN(2*PI()*((Model_Data!A203)+(0))/(0.5*(Inputs!$C$39+Inputs!$C$40))))+Inputs!$C$38*SIN(2*PI()*(Model_Data!A203)/Inputs!$C$39)*SIN(2*PI()*(0)/Inputs!$C$40)+-Inputs!$C$41*EXP(-(((0)-Inputs!$C$43)^2)/(2*Inputs!$C$44^2))*EXP(-(((Model_Data!A203)-Inputs!$C$42)^2)/(2*Inputs!$C$45^2))+Inputs!$C$48*(0.70*(0.45*SIN(2*PI()*(((Model_Data!A203)/Inputs!$C$49)+Inputs!$C$47*0.137))+0.35*COS(2*PI()*(((0)/Inputs!$C$50)+Inputs!$C$47*0.173))+0.20*SIN(2*PI()*(((Model_Data!A203)+(0))/(0.5*(Inputs!$C$49+Inputs!$C$50))+Inputs!$C$47*0.097)))+0.30*(2*((SIN(((Model_Data!A203)*12.9898+(0)*78.233+Inputs!$C$47*37.719))*43758.5453)-INT((SIN(((Model_Data!A203)*12.9898+(0)*78.233+Inputs!$C$47*37.719))*43758.5453)))-1))))/1000))*1000/Inputs!$C$12)-((SQRT((Model_Data!A203)^2+Inputs!$C$6^2+Inputs!$C$5^2)-Inputs!$C$5)*1000/Inputs!$C$12)))</x:f>
        <x:v>0.010610067024344971</x:v>
      </x:c>
      <x:c r="X203" s="48" t="n">
        <x:f>0</x:f>
        <x:v>0</x:v>
      </x:c>
      <x:c r="Y203" s="49"/>
      <x:c r="Z203" s="48" t="n">
        <x:f>Model_Data!A203</x:f>
        <x:v>40.5</x:v>
      </x:c>
      <x:c r="AA203" s="48" t="n">
        <x:f>SQRT((Model_Data!A203)^2+Inputs!$C$6^2+((Model_Data!B203)-((Inputs!$C$51*(115*EXP(-(((Inputs!$C$6)-25)^2)/(4.5^2))+70*EXP(-(((Inputs!$C$6)+38)^2)/(7^2))*(0.55+0.45*SIN(2*PI()*(Model_Data!A203)/45))+24*SIN(2*PI()*(Inputs!$C$6)/9+(Model_Data!A203)/18)*EXP(-(((Inputs!$C$6)+5)^2)/(22^2))+18*SIN(2*PI()*(Model_Data!A203)/70))+Inputs!$C$28*EXP(-(((Model_Data!A203)-Inputs!$C$29)^2)/(2*Inputs!$C$31^2))*EXP(-(((Inputs!$C$6)-Inputs!$C$30)^2)/(2*Inputs!$C$32^2))+-Inputs!$C$33*EXP(-(((((Model_Data!A203)-Inputs!$C$34)^2)+(((Inputs!$C$6)-Inputs!$C$35)^2))/(2*Inputs!$C$36^2)))+Inputs!$C$37*(0.55*SIN(2*PI()*(Model_Data!A203)/Inputs!$C$39)+0.35*COS(2*PI()*(Inputs!$C$6)/Inputs!$C$40)+0.2*SIN(2*PI()*((Model_Data!A203)+(Inputs!$C$6))/(0.5*(Inputs!$C$39+Inputs!$C$40))))+Inputs!$C$38*SIN(2*PI()*(Model_Data!A203)/Inputs!$C$39)*SIN(2*PI()*(Inputs!$C$6)/Inputs!$C$40)+-Inputs!$C$41*EXP(-(((Inputs!$C$6)-Inputs!$C$43)^2)/(2*Inputs!$C$44^2))*EXP(-(((Model_Data!A203)-Inputs!$C$42)^2)/(2*Inputs!$C$45^2))+Inputs!$C$48*(0.70*(0.45*SIN(2*PI()*(((Model_Data!A203)/Inputs!$C$49)+Inputs!$C$47*0.137))+0.35*COS(2*PI()*(((Inputs!$C$6)/Inputs!$C$50)+Inputs!$C$47*0.173))+0.20*SIN(2*PI()*(((Model_Data!A203)+(Inputs!$C$6))/(0.5*(Inputs!$C$49+Inputs!$C$50))+Inputs!$C$47*0.097)))+0.30*(2*((SIN(((Model_Data!A203)*12.9898+(Inputs!$C$6)*78.233+Inputs!$C$47*37.719))*43758.5453)-INT((SIN(((Model_Data!A203)*12.9898+(Inputs!$C$6)*78.233+Inputs!$C$47*37.719))*43758.5453)))-1))))/1000)^2)</x:f>
        <x:v>404.332793473419</x:v>
      </x:c>
      <x:c r="AB203" s="48" t="n">
        <x:f>1000*(AA204-AA202)/(Z204-Z202)*Inputs!$C$11</x:f>
        <x:v>870.4169506506787</x:v>
      </x:c>
      <x:c r="AC203" s="48" t="n">
        <x:f>-2*AB203/Inputs!$C$13</x:f>
        <x:v>-348.1667802602715</x:v>
      </x:c>
      <x:c r="AD203" s="48" t="n">
        <x:f>-2*AB203/Inputs!$C$14</x:f>
        <x:v>-52.2772943333741</x:v>
      </x:c>
    </x:row>
    <x:row r="204">
      <x:c r="A204" s="48" t="n">
        <x:f>Model_Data!A204</x:f>
        <x:v>41</x:v>
      </x:c>
      <x:c r="B204" s="48" t="n">
        <x:f>Model_Data!F204</x:f>
        <x:v>1606.1424117907243</x:v>
      </x:c>
      <x:c r="C204" s="48" t="n">
        <x:f>(((SQRT((Model_Data!A204)^2+Inputs!$C$6^2+((Model_Data!B204)-((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(0.45*SIN(2*PI()*(((Model_Data!A204)/Inputs!$C$49)+Inputs!$C$47*0.137))+0.35*COS(2*PI()*(((Inputs!$C$6)/Inputs!$C$50)+Inputs!$C$47*0.173))+0.20*SIN(2*PI()*(((Model_Data!A204)+(Inputs!$C$6))/(0.5*(Inputs!$C$49+Inputs!$C$50))+Inputs!$C$47*0.097)))+0.30*(2*((SIN(((Model_Data!A204)*12.9898+(Inputs!$C$6)*78.233+Inputs!$C$47*37.719))*43758.5453)-INT((SIN(((Model_Data!A204)*12.9898+(Inputs!$C$6)*78.233+Inputs!$C$47*37.719))*43758.5453)))-1))))/1000)^2))-(((Model_Data!B204)-((Inputs!$C$51*(115*EXP(-(((0)-25)^2)/(4.5^2))+70*EXP(-(((0)+38)^2)/(7^2))*(0.55+0.45*SIN(2*PI()*(Model_Data!A204)/45))+24*SIN(2*PI()*(0)/9+(Model_Data!A204)/18)*EXP(-(((0)+5)^2)/(22^2))+18*SIN(2*PI()*(Model_Data!A204)/70))+Inputs!$C$28*EXP(-(((Model_Data!A204)-Inputs!$C$29)^2)/(2*Inputs!$C$31^2))*EXP(-(((0)-Inputs!$C$30)^2)/(2*Inputs!$C$32^2))+-Inputs!$C$33*EXP(-(((((Model_Data!A204)-Inputs!$C$34)^2)+(((0)-Inputs!$C$35)^2))/(2*Inputs!$C$36^2)))+Inputs!$C$37*(0.55*SIN(2*PI()*(Model_Data!A204)/Inputs!$C$39)+0.35*COS(2*PI()*(0)/Inputs!$C$40)+0.2*SIN(2*PI()*((Model_Data!A204)+(0))/(0.5*(Inputs!$C$39+Inputs!$C$40))))+Inputs!$C$38*SIN(2*PI()*(Model_Data!A204)/Inputs!$C$39)*SIN(2*PI()*(0)/Inputs!$C$40)+-Inputs!$C$41*EXP(-(((0)-Inputs!$C$43)^2)/(2*Inputs!$C$44^2))*EXP(-(((Model_Data!A204)-Inputs!$C$42)^2)/(2*Inputs!$C$45^2))+Inputs!$C$48*(0.70*(0.45*SIN(2*PI()*(((Model_Data!A204)/Inputs!$C$49)+Inputs!$C$47*0.137))+0.35*COS(2*PI()*(((0)/Inputs!$C$50)+Inputs!$C$47*0.173))+0.20*SIN(2*PI()*(((Model_Data!A204)+(0))/(0.5*(Inputs!$C$49+Inputs!$C$50))+Inputs!$C$47*0.097)))+0.30*(2*((SIN(((Model_Data!A204)*12.9898+(0)*78.233+Inputs!$C$47*37.719))*43758.5453)-INT((SIN(((Model_Data!A204)*12.9898+(0)*78.233+Inputs!$C$47*37.719))*43758.5453)))-1))))/1000)))*1000/Inputs!$C$12)</x:f>
        <x:v>1481.4273126273874</x:v>
      </x:c>
      <x:c r="D204" s="49"/>
      <x:c r="E204" s="48" t="n">
        <x:f>Model_Data!A204</x:f>
        <x:v>41</x:v>
      </x:c>
      <x:c r="F204" s="48" t="n">
        <x:f>(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(0.45*SIN(2*PI()*(((Model_Data!A204)/Inputs!$C$49)+Inputs!$C$47*0.137))+0.35*COS(2*PI()*(((Inputs!$C$6)/Inputs!$C$50)+Inputs!$C$47*0.173))+0.20*SIN(2*PI()*(((Model_Data!A204)+(Inputs!$C$6))/(0.5*(Inputs!$C$49+Inputs!$C$50))+Inputs!$C$47*0.097)))+0.30*(2*((SIN(((Model_Data!A204)*12.9898+(Inputs!$C$6)*78.233+Inputs!$C$47*37.719))*43758.5453)-INT((SIN(((Model_Data!A204)*12.9898+(Inputs!$C$6)*78.233+Inputs!$C$47*37.719))*43758.5453)))-1)))</x:f>
        <x:v>276.55710773836364</x:v>
      </x:c>
      <x:c r="G204" s="48" t="n">
        <x:f>(Inputs!$C$51*(115*EXP(-(((0)-25)^2)/(4.5^2))+70*EXP(-(((0)+38)^2)/(7^2))*(0.55+0.45*SIN(2*PI()*(Model_Data!A204)/45))+24*SIN(2*PI()*(0)/9+(Model_Data!A204)/18)*EXP(-(((0)+5)^2)/(22^2))+18*SIN(2*PI()*(Model_Data!A204)/70))+Inputs!$C$28*EXP(-(((Model_Data!A204)-Inputs!$C$29)^2)/(2*Inputs!$C$31^2))*EXP(-(((0)-Inputs!$C$30)^2)/(2*Inputs!$C$32^2))+-Inputs!$C$33*EXP(-(((((Model_Data!A204)-Inputs!$C$34)^2)+(((0)-Inputs!$C$35)^2))/(2*Inputs!$C$36^2)))+Inputs!$C$37*(0.55*SIN(2*PI()*(Model_Data!A204)/Inputs!$C$39)+0.35*COS(2*PI()*(0)/Inputs!$C$40)+0.2*SIN(2*PI()*((Model_Data!A204)+(0))/(0.5*(Inputs!$C$39+Inputs!$C$40))))+Inputs!$C$38*SIN(2*PI()*(Model_Data!A204)/Inputs!$C$39)*SIN(2*PI()*(0)/Inputs!$C$40)+-Inputs!$C$41*EXP(-(((0)-Inputs!$C$43)^2)/(2*Inputs!$C$44^2))*EXP(-(((Model_Data!A204)-Inputs!$C$42)^2)/(2*Inputs!$C$45^2))+Inputs!$C$48*(0.70*(0.45*SIN(2*PI()*(((Model_Data!A204)/Inputs!$C$49)+Inputs!$C$47*0.137))+0.35*COS(2*PI()*(((0)/Inputs!$C$50)+Inputs!$C$47*0.173))+0.20*SIN(2*PI()*(((Model_Data!A204)+(0))/(0.5*(Inputs!$C$49+Inputs!$C$50))+Inputs!$C$47*0.097)))+0.30*(2*((SIN(((Model_Data!A204)*12.9898+(0)*78.233+Inputs!$C$47*37.719))*43758.5453)-INT((SIN(((Model_Data!A204)*12.9898+(0)*78.233+Inputs!$C$47*37.719))*43758.5453)))-1)))</x:f>
        <x:v>52.60933898915909</x:v>
      </x:c>
      <x:c r="H204" s="49"/>
      <x:c r="I204" s="48" t="n">
        <x:f>Model_Data!A204</x:f>
        <x:v>41</x:v>
      </x:c>
      <x:c r="J204" s="48" t="n">
        <x:f>((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(0.45*SIN(2*PI()*(((Model_Data!A204)/Inputs!$C$49)+Inputs!$C$47*0.137))+0.35*COS(2*PI()*(((Inputs!$C$6)/Inputs!$C$50)+Inputs!$C$47*0.173))+0.20*SIN(2*PI()*(((Model_Data!A204)+(Inputs!$C$6))/(0.5*(Inputs!$C$49+Inputs!$C$50))+Inputs!$C$47*0.097)))+0.30*(2*((SIN(((Model_Data!A204)*12.9898+(Inputs!$C$6)*78.233+Inputs!$C$47*37.719))*43758.5453)-INT((SIN(((Model_Data!A204)*12.9898+(Inputs!$C$6)*78.233+Inputs!$C$47*37.719))*43758.5453)))-1))))-((Inputs!$C$51*(115*EXP(-(((0)-25)^2)/(4.5^2))+70*EXP(-(((0)+38)^2)/(7^2))*(0.55+0.45*SIN(2*PI()*(Model_Data!A204)/45))+24*SIN(2*PI()*(0)/9+(Model_Data!A204)/18)*EXP(-(((0)+5)^2)/(22^2))+18*SIN(2*PI()*(Model_Data!A204)/70))+Inputs!$C$28*EXP(-(((Model_Data!A204)-Inputs!$C$29)^2)/(2*Inputs!$C$31^2))*EXP(-(((0)-Inputs!$C$30)^2)/(2*Inputs!$C$32^2))+-Inputs!$C$33*EXP(-(((((Model_Data!A204)-Inputs!$C$34)^2)+(((0)-Inputs!$C$35)^2))/(2*Inputs!$C$36^2)))+Inputs!$C$37*(0.55*SIN(2*PI()*(Model_Data!A204)/Inputs!$C$39)+0.35*COS(2*PI()*(0)/Inputs!$C$40)+0.2*SIN(2*PI()*((Model_Data!A204)+(0))/(0.5*(Inputs!$C$39+Inputs!$C$40))))+Inputs!$C$38*SIN(2*PI()*(Model_Data!A204)/Inputs!$C$39)*SIN(2*PI()*(0)/Inputs!$C$40)+-Inputs!$C$41*EXP(-(((0)-Inputs!$C$43)^2)/(2*Inputs!$C$44^2))*EXP(-(((Model_Data!A204)-Inputs!$C$42)^2)/(2*Inputs!$C$45^2))+Inputs!$C$48*(0.70*(0.45*SIN(2*PI()*(((Model_Data!A204)/Inputs!$C$49)+Inputs!$C$47*0.137))+0.35*COS(2*PI()*(((0)/Inputs!$C$50)+Inputs!$C$47*0.173))+0.20*SIN(2*PI()*(((Model_Data!A204)+(0))/(0.5*(Inputs!$C$49+Inputs!$C$50))+Inputs!$C$47*0.097)))+0.30*(2*((SIN(((Model_Data!A204)*12.9898+(0)*78.233+Inputs!$C$47*37.719))*43758.5453)-INT((SIN(((Model_Data!A204)*12.9898+(0)*78.233+Inputs!$C$47*37.719))*43758.5453)))-1))))</x:f>
        <x:v>223.94776874920456</x:v>
      </x:c>
      <x:c r="K204" s="48" t="n">
        <x:f>-((((SQRT((Model_Data!A204)^2+Inputs!$C$6^2+((Model_Data!B204)-((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(0.45*SIN(2*PI()*(((Model_Data!A204)/Inputs!$C$49)+Inputs!$C$47*0.137))+0.35*COS(2*PI()*(((Inputs!$C$6)/Inputs!$C$50)+Inputs!$C$47*0.173))+0.20*SIN(2*PI()*(((Model_Data!A204)+(Inputs!$C$6))/(0.5*(Inputs!$C$49+Inputs!$C$50))+Inputs!$C$47*0.097)))+0.30*(2*((SIN(((Model_Data!A204)*12.9898+(Inputs!$C$6)*78.233+Inputs!$C$47*37.719))*43758.5453)-INT((SIN(((Model_Data!A204)*12.9898+(Inputs!$C$6)*78.233+Inputs!$C$47*37.719))*43758.5453)))-1))))/1000)^2))-(((Model_Data!B204)-((Inputs!$C$51*(115*EXP(-(((0)-25)^2)/(4.5^2))+70*EXP(-(((0)+38)^2)/(7^2))*(0.55+0.45*SIN(2*PI()*(Model_Data!A204)/45))+24*SIN(2*PI()*(0)/9+(Model_Data!A204)/18)*EXP(-(((0)+5)^2)/(22^2))+18*SIN(2*PI()*(Model_Data!A204)/70))+Inputs!$C$28*EXP(-(((Model_Data!A204)-Inputs!$C$29)^2)/(2*Inputs!$C$31^2))*EXP(-(((0)-Inputs!$C$30)^2)/(2*Inputs!$C$32^2))+-Inputs!$C$33*EXP(-(((((Model_Data!A204)-Inputs!$C$34)^2)+(((0)-Inputs!$C$35)^2))/(2*Inputs!$C$36^2)))+Inputs!$C$37*(0.55*SIN(2*PI()*(Model_Data!A204)/Inputs!$C$39)+0.35*COS(2*PI()*(0)/Inputs!$C$40)+0.2*SIN(2*PI()*((Model_Data!A204)+(0))/(0.5*(Inputs!$C$39+Inputs!$C$40))))+Inputs!$C$38*SIN(2*PI()*(Model_Data!A204)/Inputs!$C$39)*SIN(2*PI()*(0)/Inputs!$C$40)+-Inputs!$C$41*EXP(-(((0)-Inputs!$C$43)^2)/(2*Inputs!$C$44^2))*EXP(-(((Model_Data!A204)-Inputs!$C$42)^2)/(2*Inputs!$C$45^2))+Inputs!$C$48*(0.70*(0.45*SIN(2*PI()*(((Model_Data!A204)/Inputs!$C$49)+Inputs!$C$47*0.137))+0.35*COS(2*PI()*(((0)/Inputs!$C$50)+Inputs!$C$47*0.173))+0.20*SIN(2*PI()*(((Model_Data!A204)+(0))/(0.5*(Inputs!$C$49+Inputs!$C$50))+Inputs!$C$47*0.097)))+0.30*(2*((SIN(((Model_Data!A204)*12.9898+(0)*78.233+Inputs!$C$47*37.719))*43758.5453)-INT((SIN(((Model_Data!A204)*12.9898+(0)*78.233+Inputs!$C$47*37.719))*43758.5453)))-1))))/1000)))*1000/Inputs!$C$12)-Model_Data!F204)</x:f>
        <x:v>124.71509916333684</x:v>
      </x:c>
      <x:c r="L204" s="49"/>
      <x:c r="M204" s="48" t="n">
        <x:f>Model_Data!A204</x:f>
        <x:v>41</x:v>
      </x:c>
      <x:c r="N204" s="48" t="n">
        <x:f>Model_Data!P204</x:f>
        <x:v>-306.8327049999392</x:v>
      </x:c>
      <x:c r="O204" s="48" t="n">
        <x:f>AC204</x:f>
        <x:v>-356.9591077426594</x:v>
      </x:c>
      <x:c r="P204" s="48" t="n">
        <x:f>Model_Data!Q204</x:f>
        <x:v>-46.070976726717596</x:v>
      </x:c>
      <x:c r="Q204" s="48" t="n">
        <x:f>AD204</x:f>
        <x:v>-53.59746362502394</x:v>
      </x:c>
      <x:c r="R204" s="49"/>
      <x:c r="S204" s="48" t="n">
        <x:f>Model_Data!A204</x:f>
        <x:v>41</x:v>
      </x:c>
      <x:c r="T204" s="48" t="n">
        <x:f>Model_Data!B204-Inputs!$C$5</x:f>
        <x:v>1.8677777777778033</x:v>
      </x:c>
      <x:c r="U204" s="49"/>
      <x:c r="V204" s="48" t="n">
        <x:f>Model_Data!A204</x:f>
        <x:v>41</x:v>
      </x:c>
      <x:c r="W204" s="48" t="n">
        <x:f>(-((((SQRT((Model_Data!A204)^2+Inputs!$C$6^2+((Model_Data!B204)-((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(0.45*SIN(2*PI()*(((Model_Data!A204)/Inputs!$C$49)+Inputs!$C$47*0.137))+0.35*COS(2*PI()*(((Inputs!$C$6)/Inputs!$C$50)+Inputs!$C$47*0.173))+0.20*SIN(2*PI()*(((Model_Data!A204)+(Inputs!$C$6))/(0.5*(Inputs!$C$49+Inputs!$C$50))+Inputs!$C$47*0.097)))+0.30*(2*((SIN(((Model_Data!A204)*12.9898+(Inputs!$C$6)*78.233+Inputs!$C$47*37.719))*43758.5453)-INT((SIN(((Model_Data!A204)*12.9898+(Inputs!$C$6)*78.233+Inputs!$C$47*37.719))*43758.5453)))-1))))/1000)^2))-(((Model_Data!B204)-((Inputs!$C$51*(115*EXP(-(((0)-25)^2)/(4.5^2))+70*EXP(-(((0)+38)^2)/(7^2))*(0.55+0.45*SIN(2*PI()*(Model_Data!A204)/45))+24*SIN(2*PI()*(0)/9+(Model_Data!A204)/18)*EXP(-(((0)+5)^2)/(22^2))+18*SIN(2*PI()*(Model_Data!A204)/70))+Inputs!$C$28*EXP(-(((Model_Data!A204)-Inputs!$C$29)^2)/(2*Inputs!$C$31^2))*EXP(-(((0)-Inputs!$C$30)^2)/(2*Inputs!$C$32^2))+-Inputs!$C$33*EXP(-(((((Model_Data!A204)-Inputs!$C$34)^2)+(((0)-Inputs!$C$35)^2))/(2*Inputs!$C$36^2)))+Inputs!$C$37*(0.55*SIN(2*PI()*(Model_Data!A204)/Inputs!$C$39)+0.35*COS(2*PI()*(0)/Inputs!$C$40)+0.2*SIN(2*PI()*((Model_Data!A204)+(0))/(0.5*(Inputs!$C$39+Inputs!$C$40))))+Inputs!$C$38*SIN(2*PI()*(Model_Data!A204)/Inputs!$C$39)*SIN(2*PI()*(0)/Inputs!$C$40)+-Inputs!$C$41*EXP(-(((0)-Inputs!$C$43)^2)/(2*Inputs!$C$44^2))*EXP(-(((Model_Data!A204)-Inputs!$C$42)^2)/(2*Inputs!$C$45^2))+Inputs!$C$48*(0.70*(0.45*SIN(2*PI()*(((Model_Data!A204)/Inputs!$C$49)+Inputs!$C$47*0.137))+0.35*COS(2*PI()*(((0)/Inputs!$C$50)+Inputs!$C$47*0.173))+0.20*SIN(2*PI()*(((Model_Data!A204)+(0))/(0.5*(Inputs!$C$49+Inputs!$C$50))+Inputs!$C$47*0.097)))+0.30*(2*((SIN(((Model_Data!A204)*12.9898+(0)*78.233+Inputs!$C$47*37.719))*43758.5453)-INT((SIN(((Model_Data!A204)*12.9898+(0)*78.233+Inputs!$C$47*37.719))*43758.5453)))-1))))/1000)))*1000/Inputs!$C$12)-Model_Data!F204))-(-(((SQRT((Model_Data!A204)^2+Inputs!$C$6^2+(Inputs!$C$5-((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(0.45*SIN(2*PI()*(((Model_Data!A204)/Inputs!$C$49)+Inputs!$C$47*0.137))+0.35*COS(2*PI()*(((Inputs!$C$6)/Inputs!$C$50)+Inputs!$C$47*0.173))+0.20*SIN(2*PI()*(((Model_Data!A204)+(Inputs!$C$6))/(0.5*(Inputs!$C$49+Inputs!$C$50))+Inputs!$C$47*0.097)))+0.30*(2*((SIN(((Model_Data!A204)*12.9898+(Inputs!$C$6)*78.233+Inputs!$C$47*37.719))*43758.5453)-INT((SIN(((Model_Data!A204)*12.9898+(Inputs!$C$6)*78.233+Inputs!$C$47*37.719))*43758.5453)))-1))))/1000)^2)-(Inputs!$C$5-((Inputs!$C$51*(115*EXP(-(((0)-25)^2)/(4.5^2))+70*EXP(-(((0)+38)^2)/(7^2))*(0.55+0.45*SIN(2*PI()*(Model_Data!A204)/45))+24*SIN(2*PI()*(0)/9+(Model_Data!A204)/18)*EXP(-(((0)+5)^2)/(22^2))+18*SIN(2*PI()*(Model_Data!A204)/70))+Inputs!$C$28*EXP(-(((Model_Data!A204)-Inputs!$C$29)^2)/(2*Inputs!$C$31^2))*EXP(-(((0)-Inputs!$C$30)^2)/(2*Inputs!$C$32^2))+-Inputs!$C$33*EXP(-(((((Model_Data!A204)-Inputs!$C$34)^2)+(((0)-Inputs!$C$35)^2))/(2*Inputs!$C$36^2)))+Inputs!$C$37*(0.55*SIN(2*PI()*(Model_Data!A204)/Inputs!$C$39)+0.35*COS(2*PI()*(0)/Inputs!$C$40)+0.2*SIN(2*PI()*((Model_Data!A204)+(0))/(0.5*(Inputs!$C$39+Inputs!$C$40))))+Inputs!$C$38*SIN(2*PI()*(Model_Data!A204)/Inputs!$C$39)*SIN(2*PI()*(0)/Inputs!$C$40)+-Inputs!$C$41*EXP(-(((0)-Inputs!$C$43)^2)/(2*Inputs!$C$44^2))*EXP(-(((Model_Data!A204)-Inputs!$C$42)^2)/(2*Inputs!$C$45^2))+Inputs!$C$48*(0.70*(0.45*SIN(2*PI()*(((Model_Data!A204)/Inputs!$C$49)+Inputs!$C$47*0.137))+0.35*COS(2*PI()*(((0)/Inputs!$C$50)+Inputs!$C$47*0.173))+0.20*SIN(2*PI()*(((Model_Data!A204)+(0))/(0.5*(Inputs!$C$49+Inputs!$C$50))+Inputs!$C$47*0.097)))+0.30*(2*((SIN(((Model_Data!A204)*12.9898+(0)*78.233+Inputs!$C$47*37.719))*43758.5453)-INT((SIN(((Model_Data!A204)*12.9898+(0)*78.233+Inputs!$C$47*37.719))*43758.5453)))-1))))/1000))*1000/Inputs!$C$12)-((SQRT((Model_Data!A204)^2+Inputs!$C$6^2+Inputs!$C$5^2)-Inputs!$C$5)*1000/Inputs!$C$12)))</x:f>
        <x:v>0.01017419251843421</x:v>
      </x:c>
      <x:c r="X204" s="48" t="n">
        <x:f>0</x:f>
        <x:v>0</x:v>
      </x:c>
      <x:c r="Y204" s="49"/>
      <x:c r="Z204" s="48" t="n">
        <x:f>Model_Data!A204</x:f>
        <x:v>41</x:v>
      </x:c>
      <x:c r="AA204" s="48" t="n">
        <x:f>SQRT((Model_Data!A204)^2+Inputs!$C$6^2+((Model_Data!B204)-((Inputs!$C$51*(115*EXP(-(((Inputs!$C$6)-25)^2)/(4.5^2))+70*EXP(-(((Inputs!$C$6)+38)^2)/(7^2))*(0.55+0.45*SIN(2*PI()*(Model_Data!A204)/45))+24*SIN(2*PI()*(Inputs!$C$6)/9+(Model_Data!A204)/18)*EXP(-(((Inputs!$C$6)+5)^2)/(22^2))+18*SIN(2*PI()*(Model_Data!A204)/70))+Inputs!$C$28*EXP(-(((Model_Data!A204)-Inputs!$C$29)^2)/(2*Inputs!$C$31^2))*EXP(-(((Inputs!$C$6)-Inputs!$C$30)^2)/(2*Inputs!$C$32^2))+-Inputs!$C$33*EXP(-(((((Model_Data!A204)-Inputs!$C$34)^2)+(((Inputs!$C$6)-Inputs!$C$35)^2))/(2*Inputs!$C$36^2)))+Inputs!$C$37*(0.55*SIN(2*PI()*(Model_Data!A204)/Inputs!$C$39)+0.35*COS(2*PI()*(Inputs!$C$6)/Inputs!$C$40)+0.2*SIN(2*PI()*((Model_Data!A204)+(Inputs!$C$6))/(0.5*(Inputs!$C$39+Inputs!$C$40))))+Inputs!$C$38*SIN(2*PI()*(Model_Data!A204)/Inputs!$C$39)*SIN(2*PI()*(Inputs!$C$6)/Inputs!$C$40)+-Inputs!$C$41*EXP(-(((Inputs!$C$6)-Inputs!$C$43)^2)/(2*Inputs!$C$44^2))*EXP(-(((Model_Data!A204)-Inputs!$C$42)^2)/(2*Inputs!$C$45^2))+Inputs!$C$48*(0.70*(0.45*SIN(2*PI()*(((Model_Data!A204)/Inputs!$C$49)+Inputs!$C$47*0.137))+0.35*COS(2*PI()*(((Inputs!$C$6)/Inputs!$C$50)+Inputs!$C$47*0.173))+0.20*SIN(2*PI()*(((Model_Data!A204)+(Inputs!$C$6))/(0.5*(Inputs!$C$49+Inputs!$C$50))+Inputs!$C$47*0.097)))+0.30*(2*((SIN(((Model_Data!A204)*12.9898+(Inputs!$C$6)*78.233+Inputs!$C$47*37.719))*43758.5453)-INT((SIN(((Model_Data!A204)*12.9898+(Inputs!$C$6)*78.233+Inputs!$C$47*37.719))*43758.5453)))-1))))/1000)^2)</x:f>
        <x:v>404.4521090552654</x:v>
      </x:c>
      <x:c r="AB204" s="48" t="n">
        <x:f>1000*(AA205-AA203)/(Z205-Z203)*Inputs!$C$11</x:f>
        <x:v>892.3977693566485</x:v>
      </x:c>
      <x:c r="AC204" s="48" t="n">
        <x:f>-2*AB204/Inputs!$C$13</x:f>
        <x:v>-356.9591077426594</x:v>
      </x:c>
      <x:c r="AD204" s="48" t="n">
        <x:f>-2*AB204/Inputs!$C$14</x:f>
        <x:v>-53.59746362502394</x:v>
      </x:c>
    </x:row>
    <x:row r="205">
      <x:c r="A205" s="48" t="n">
        <x:f>Model_Data!A205</x:f>
        <x:v>41.5</x:v>
      </x:c>
      <x:c r="B205" s="48" t="n">
        <x:f>Model_Data!F205</x:f>
        <x:v>1634.5849135267295</x:v>
      </x:c>
      <x:c r="C205" s="48" t="n">
        <x:f>(((SQRT((Model_Data!A205)^2+Inputs!$C$6^2+((Model_Data!B205)-((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(0.45*SIN(2*PI()*(((Model_Data!A205)/Inputs!$C$49)+Inputs!$C$47*0.137))+0.35*COS(2*PI()*(((Inputs!$C$6)/Inputs!$C$50)+Inputs!$C$47*0.173))+0.20*SIN(2*PI()*(((Model_Data!A205)+(Inputs!$C$6))/(0.5*(Inputs!$C$49+Inputs!$C$50))+Inputs!$C$47*0.097)))+0.30*(2*((SIN(((Model_Data!A205)*12.9898+(Inputs!$C$6)*78.233+Inputs!$C$47*37.719))*43758.5453)-INT((SIN(((Model_Data!A205)*12.9898+(Inputs!$C$6)*78.233+Inputs!$C$47*37.719))*43758.5453)))-1))))/1000)^2))-(((Model_Data!B205)-((Inputs!$C$51*(115*EXP(-(((0)-25)^2)/(4.5^2))+70*EXP(-(((0)+38)^2)/(7^2))*(0.55+0.45*SIN(2*PI()*(Model_Data!A205)/45))+24*SIN(2*PI()*(0)/9+(Model_Data!A205)/18)*EXP(-(((0)+5)^2)/(22^2))+18*SIN(2*PI()*(Model_Data!A205)/70))+Inputs!$C$28*EXP(-(((Model_Data!A205)-Inputs!$C$29)^2)/(2*Inputs!$C$31^2))*EXP(-(((0)-Inputs!$C$30)^2)/(2*Inputs!$C$32^2))+-Inputs!$C$33*EXP(-(((((Model_Data!A205)-Inputs!$C$34)^2)+(((0)-Inputs!$C$35)^2))/(2*Inputs!$C$36^2)))+Inputs!$C$37*(0.55*SIN(2*PI()*(Model_Data!A205)/Inputs!$C$39)+0.35*COS(2*PI()*(0)/Inputs!$C$40)+0.2*SIN(2*PI()*((Model_Data!A205)+(0))/(0.5*(Inputs!$C$39+Inputs!$C$40))))+Inputs!$C$38*SIN(2*PI()*(Model_Data!A205)/Inputs!$C$39)*SIN(2*PI()*(0)/Inputs!$C$40)+-Inputs!$C$41*EXP(-(((0)-Inputs!$C$43)^2)/(2*Inputs!$C$44^2))*EXP(-(((Model_Data!A205)-Inputs!$C$42)^2)/(2*Inputs!$C$45^2))+Inputs!$C$48*(0.70*(0.45*SIN(2*PI()*(((Model_Data!A205)/Inputs!$C$49)+Inputs!$C$47*0.137))+0.35*COS(2*PI()*(((0)/Inputs!$C$50)+Inputs!$C$47*0.173))+0.20*SIN(2*PI()*(((Model_Data!A205)+(0))/(0.5*(Inputs!$C$49+Inputs!$C$50))+Inputs!$C$47*0.097)))+0.30*(2*((SIN(((Model_Data!A205)*12.9898+(0)*78.233+Inputs!$C$47*37.719))*43758.5453)-INT((SIN(((Model_Data!A205)*12.9898+(0)*78.233+Inputs!$C$47*37.719))*43758.5453)))-1))))/1000)))*1000/Inputs!$C$12)</x:f>
        <x:v>1517.2262677219103</x:v>
      </x:c>
      <x:c r="D205" s="49"/>
      <x:c r="E205" s="48" t="n">
        <x:f>Model_Data!A205</x:f>
        <x:v>41.5</x:v>
      </x:c>
      <x:c r="F205" s="48" t="n">
        <x:f>(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(0.45*SIN(2*PI()*(((Model_Data!A205)/Inputs!$C$49)+Inputs!$C$47*0.137))+0.35*COS(2*PI()*(((Inputs!$C$6)/Inputs!$C$50)+Inputs!$C$47*0.173))+0.20*SIN(2*PI()*(((Model_Data!A205)+(Inputs!$C$6))/(0.5*(Inputs!$C$49+Inputs!$C$50))+Inputs!$C$47*0.097)))+0.30*(2*((SIN(((Model_Data!A205)*12.9898+(Inputs!$C$6)*78.233+Inputs!$C$47*37.719))*43758.5453)-INT((SIN(((Model_Data!A205)*12.9898+(Inputs!$C$6)*78.233+Inputs!$C$47*37.719))*43758.5453)))-1)))</x:f>
        <x:v>269.21554101681534</x:v>
      </x:c>
      <x:c r="G205" s="48" t="n">
        <x:f>(Inputs!$C$51*(115*EXP(-(((0)-25)^2)/(4.5^2))+70*EXP(-(((0)+38)^2)/(7^2))*(0.55+0.45*SIN(2*PI()*(Model_Data!A205)/45))+24*SIN(2*PI()*(0)/9+(Model_Data!A205)/18)*EXP(-(((0)+5)^2)/(22^2))+18*SIN(2*PI()*(Model_Data!A205)/70))+Inputs!$C$28*EXP(-(((Model_Data!A205)-Inputs!$C$29)^2)/(2*Inputs!$C$31^2))*EXP(-(((0)-Inputs!$C$30)^2)/(2*Inputs!$C$32^2))+-Inputs!$C$33*EXP(-(((((Model_Data!A205)-Inputs!$C$34)^2)+(((0)-Inputs!$C$35)^2))/(2*Inputs!$C$36^2)))+Inputs!$C$37*(0.55*SIN(2*PI()*(Model_Data!A205)/Inputs!$C$39)+0.35*COS(2*PI()*(0)/Inputs!$C$40)+0.2*SIN(2*PI()*((Model_Data!A205)+(0))/(0.5*(Inputs!$C$39+Inputs!$C$40))))+Inputs!$C$38*SIN(2*PI()*(Model_Data!A205)/Inputs!$C$39)*SIN(2*PI()*(0)/Inputs!$C$40)+-Inputs!$C$41*EXP(-(((0)-Inputs!$C$43)^2)/(2*Inputs!$C$44^2))*EXP(-(((Model_Data!A205)-Inputs!$C$42)^2)/(2*Inputs!$C$45^2))+Inputs!$C$48*(0.70*(0.45*SIN(2*PI()*(((Model_Data!A205)/Inputs!$C$49)+Inputs!$C$47*0.137))+0.35*COS(2*PI()*(((0)/Inputs!$C$50)+Inputs!$C$47*0.173))+0.20*SIN(2*PI()*(((Model_Data!A205)+(0))/(0.5*(Inputs!$C$49+Inputs!$C$50))+Inputs!$C$47*0.097)))+0.30*(2*((SIN(((Model_Data!A205)*12.9898+(0)*78.233+Inputs!$C$47*37.719))*43758.5453)-INT((SIN(((Model_Data!A205)*12.9898+(0)*78.233+Inputs!$C$47*37.719))*43758.5453)))-1)))</x:f>
        <x:v>58.38095189793533</x:v>
      </x:c>
      <x:c r="H205" s="49"/>
      <x:c r="I205" s="48" t="n">
        <x:f>Model_Data!A205</x:f>
        <x:v>41.5</x:v>
      </x:c>
      <x:c r="J205" s="48" t="n">
        <x:f>((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(0.45*SIN(2*PI()*(((Model_Data!A205)/Inputs!$C$49)+Inputs!$C$47*0.137))+0.35*COS(2*PI()*(((Inputs!$C$6)/Inputs!$C$50)+Inputs!$C$47*0.173))+0.20*SIN(2*PI()*(((Model_Data!A205)+(Inputs!$C$6))/(0.5*(Inputs!$C$49+Inputs!$C$50))+Inputs!$C$47*0.097)))+0.30*(2*((SIN(((Model_Data!A205)*12.9898+(Inputs!$C$6)*78.233+Inputs!$C$47*37.719))*43758.5453)-INT((SIN(((Model_Data!A205)*12.9898+(Inputs!$C$6)*78.233+Inputs!$C$47*37.719))*43758.5453)))-1))))-((Inputs!$C$51*(115*EXP(-(((0)-25)^2)/(4.5^2))+70*EXP(-(((0)+38)^2)/(7^2))*(0.55+0.45*SIN(2*PI()*(Model_Data!A205)/45))+24*SIN(2*PI()*(0)/9+(Model_Data!A205)/18)*EXP(-(((0)+5)^2)/(22^2))+18*SIN(2*PI()*(Model_Data!A205)/70))+Inputs!$C$28*EXP(-(((Model_Data!A205)-Inputs!$C$29)^2)/(2*Inputs!$C$31^2))*EXP(-(((0)-Inputs!$C$30)^2)/(2*Inputs!$C$32^2))+-Inputs!$C$33*EXP(-(((((Model_Data!A205)-Inputs!$C$34)^2)+(((0)-Inputs!$C$35)^2))/(2*Inputs!$C$36^2)))+Inputs!$C$37*(0.55*SIN(2*PI()*(Model_Data!A205)/Inputs!$C$39)+0.35*COS(2*PI()*(0)/Inputs!$C$40)+0.2*SIN(2*PI()*((Model_Data!A205)+(0))/(0.5*(Inputs!$C$39+Inputs!$C$40))))+Inputs!$C$38*SIN(2*PI()*(Model_Data!A205)/Inputs!$C$39)*SIN(2*PI()*(0)/Inputs!$C$40)+-Inputs!$C$41*EXP(-(((0)-Inputs!$C$43)^2)/(2*Inputs!$C$44^2))*EXP(-(((Model_Data!A205)-Inputs!$C$42)^2)/(2*Inputs!$C$45^2))+Inputs!$C$48*(0.70*(0.45*SIN(2*PI()*(((Model_Data!A205)/Inputs!$C$49)+Inputs!$C$47*0.137))+0.35*COS(2*PI()*(((0)/Inputs!$C$50)+Inputs!$C$47*0.173))+0.20*SIN(2*PI()*(((Model_Data!A205)+(0))/(0.5*(Inputs!$C$49+Inputs!$C$50))+Inputs!$C$47*0.097)))+0.30*(2*((SIN(((Model_Data!A205)*12.9898+(0)*78.233+Inputs!$C$47*37.719))*43758.5453)-INT((SIN(((Model_Data!A205)*12.9898+(0)*78.233+Inputs!$C$47*37.719))*43758.5453)))-1))))</x:f>
        <x:v>210.83458911888</x:v>
      </x:c>
      <x:c r="K205" s="48" t="n">
        <x:f>-((((SQRT((Model_Data!A205)^2+Inputs!$C$6^2+((Model_Data!B205)-((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(0.45*SIN(2*PI()*(((Model_Data!A205)/Inputs!$C$49)+Inputs!$C$47*0.137))+0.35*COS(2*PI()*(((Inputs!$C$6)/Inputs!$C$50)+Inputs!$C$47*0.173))+0.20*SIN(2*PI()*(((Model_Data!A205)+(Inputs!$C$6))/(0.5*(Inputs!$C$49+Inputs!$C$50))+Inputs!$C$47*0.097)))+0.30*(2*((SIN(((Model_Data!A205)*12.9898+(Inputs!$C$6)*78.233+Inputs!$C$47*37.719))*43758.5453)-INT((SIN(((Model_Data!A205)*12.9898+(Inputs!$C$6)*78.233+Inputs!$C$47*37.719))*43758.5453)))-1))))/1000)^2))-(((Model_Data!B205)-((Inputs!$C$51*(115*EXP(-(((0)-25)^2)/(4.5^2))+70*EXP(-(((0)+38)^2)/(7^2))*(0.55+0.45*SIN(2*PI()*(Model_Data!A205)/45))+24*SIN(2*PI()*(0)/9+(Model_Data!A205)/18)*EXP(-(((0)+5)^2)/(22^2))+18*SIN(2*PI()*(Model_Data!A205)/70))+Inputs!$C$28*EXP(-(((Model_Data!A205)-Inputs!$C$29)^2)/(2*Inputs!$C$31^2))*EXP(-(((0)-Inputs!$C$30)^2)/(2*Inputs!$C$32^2))+-Inputs!$C$33*EXP(-(((((Model_Data!A205)-Inputs!$C$34)^2)+(((0)-Inputs!$C$35)^2))/(2*Inputs!$C$36^2)))+Inputs!$C$37*(0.55*SIN(2*PI()*(Model_Data!A205)/Inputs!$C$39)+0.35*COS(2*PI()*(0)/Inputs!$C$40)+0.2*SIN(2*PI()*((Model_Data!A205)+(0))/(0.5*(Inputs!$C$39+Inputs!$C$40))))+Inputs!$C$38*SIN(2*PI()*(Model_Data!A205)/Inputs!$C$39)*SIN(2*PI()*(0)/Inputs!$C$40)+-Inputs!$C$41*EXP(-(((0)-Inputs!$C$43)^2)/(2*Inputs!$C$44^2))*EXP(-(((Model_Data!A205)-Inputs!$C$42)^2)/(2*Inputs!$C$45^2))+Inputs!$C$48*(0.70*(0.45*SIN(2*PI()*(((Model_Data!A205)/Inputs!$C$49)+Inputs!$C$47*0.137))+0.35*COS(2*PI()*(((0)/Inputs!$C$50)+Inputs!$C$47*0.173))+0.20*SIN(2*PI()*(((Model_Data!A205)+(0))/(0.5*(Inputs!$C$49+Inputs!$C$50))+Inputs!$C$47*0.097)))+0.30*(2*((SIN(((Model_Data!A205)*12.9898+(0)*78.233+Inputs!$C$47*37.719))*43758.5453)-INT((SIN(((Model_Data!A205)*12.9898+(0)*78.233+Inputs!$C$47*37.719))*43758.5453)))-1))))/1000)))*1000/Inputs!$C$12)-Model_Data!F205)</x:f>
        <x:v>117.35864580481916</x:v>
      </x:c>
      <x:c r="L205" s="49"/>
      <x:c r="M205" s="48" t="n">
        <x:f>Model_Data!A205</x:f>
        <x:v>41.5</x:v>
      </x:c>
      <x:c r="N205" s="48" t="n">
        <x:f>Model_Data!P205</x:f>
        <x:v>-310.51726973024654</x:v>
      </x:c>
      <x:c r="O205" s="48" t="n">
        <x:f>AC205</x:f>
        <x:v>-319.252631938798</x:v>
      </x:c>
      <x:c r="P205" s="48" t="n">
        <x:f>Model_Data!Q205</x:f>
        <x:v>-46.624214674211196</x:v>
      </x:c>
      <x:c r="Q205" s="48" t="n">
        <x:f>AD205</x:f>
        <x:v>-47.93583062144115</x:v>
      </x:c>
      <x:c r="R205" s="49"/>
      <x:c r="S205" s="48" t="n">
        <x:f>Model_Data!A205</x:f>
        <x:v>41.5</x:v>
      </x:c>
      <x:c r="T205" s="48" t="n">
        <x:f>Model_Data!B205-Inputs!$C$5</x:f>
        <x:v>1.913611111111095</x:v>
      </x:c>
      <x:c r="U205" s="49"/>
      <x:c r="V205" s="48" t="n">
        <x:f>Model_Data!A205</x:f>
        <x:v>41.5</x:v>
      </x:c>
      <x:c r="W205" s="48" t="n">
        <x:f>(-((((SQRT((Model_Data!A205)^2+Inputs!$C$6^2+((Model_Data!B205)-((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(0.45*SIN(2*PI()*(((Model_Data!A205)/Inputs!$C$49)+Inputs!$C$47*0.137))+0.35*COS(2*PI()*(((Inputs!$C$6)/Inputs!$C$50)+Inputs!$C$47*0.173))+0.20*SIN(2*PI()*(((Model_Data!A205)+(Inputs!$C$6))/(0.5*(Inputs!$C$49+Inputs!$C$50))+Inputs!$C$47*0.097)))+0.30*(2*((SIN(((Model_Data!A205)*12.9898+(Inputs!$C$6)*78.233+Inputs!$C$47*37.719))*43758.5453)-INT((SIN(((Model_Data!A205)*12.9898+(Inputs!$C$6)*78.233+Inputs!$C$47*37.719))*43758.5453)))-1))))/1000)^2))-(((Model_Data!B205)-((Inputs!$C$51*(115*EXP(-(((0)-25)^2)/(4.5^2))+70*EXP(-(((0)+38)^2)/(7^2))*(0.55+0.45*SIN(2*PI()*(Model_Data!A205)/45))+24*SIN(2*PI()*(0)/9+(Model_Data!A205)/18)*EXP(-(((0)+5)^2)/(22^2))+18*SIN(2*PI()*(Model_Data!A205)/70))+Inputs!$C$28*EXP(-(((Model_Data!A205)-Inputs!$C$29)^2)/(2*Inputs!$C$31^2))*EXP(-(((0)-Inputs!$C$30)^2)/(2*Inputs!$C$32^2))+-Inputs!$C$33*EXP(-(((((Model_Data!A205)-Inputs!$C$34)^2)+(((0)-Inputs!$C$35)^2))/(2*Inputs!$C$36^2)))+Inputs!$C$37*(0.55*SIN(2*PI()*(Model_Data!A205)/Inputs!$C$39)+0.35*COS(2*PI()*(0)/Inputs!$C$40)+0.2*SIN(2*PI()*((Model_Data!A205)+(0))/(0.5*(Inputs!$C$39+Inputs!$C$40))))+Inputs!$C$38*SIN(2*PI()*(Model_Data!A205)/Inputs!$C$39)*SIN(2*PI()*(0)/Inputs!$C$40)+-Inputs!$C$41*EXP(-(((0)-Inputs!$C$43)^2)/(2*Inputs!$C$44^2))*EXP(-(((Model_Data!A205)-Inputs!$C$42)^2)/(2*Inputs!$C$45^2))+Inputs!$C$48*(0.70*(0.45*SIN(2*PI()*(((Model_Data!A205)/Inputs!$C$49)+Inputs!$C$47*0.137))+0.35*COS(2*PI()*(((0)/Inputs!$C$50)+Inputs!$C$47*0.173))+0.20*SIN(2*PI()*(((Model_Data!A205)+(0))/(0.5*(Inputs!$C$49+Inputs!$C$50))+Inputs!$C$47*0.097)))+0.30*(2*((SIN(((Model_Data!A205)*12.9898+(0)*78.233+Inputs!$C$47*37.719))*43758.5453)-INT((SIN(((Model_Data!A205)*12.9898+(0)*78.233+Inputs!$C$47*37.719))*43758.5453)))-1))))/1000)))*1000/Inputs!$C$12)-Model_Data!F205))-(-(((SQRT((Model_Data!A205)^2+Inputs!$C$6^2+(Inputs!$C$5-((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(0.45*SIN(2*PI()*(((Model_Data!A205)/Inputs!$C$49)+Inputs!$C$47*0.137))+0.35*COS(2*PI()*(((Inputs!$C$6)/Inputs!$C$50)+Inputs!$C$47*0.173))+0.20*SIN(2*PI()*(((Model_Data!A205)+(Inputs!$C$6))/(0.5*(Inputs!$C$49+Inputs!$C$50))+Inputs!$C$47*0.097)))+0.30*(2*((SIN(((Model_Data!A205)*12.9898+(Inputs!$C$6)*78.233+Inputs!$C$47*37.719))*43758.5453)-INT((SIN(((Model_Data!A205)*12.9898+(Inputs!$C$6)*78.233+Inputs!$C$47*37.719))*43758.5453)))-1))))/1000)^2)-(Inputs!$C$5-((Inputs!$C$51*(115*EXP(-(((0)-25)^2)/(4.5^2))+70*EXP(-(((0)+38)^2)/(7^2))*(0.55+0.45*SIN(2*PI()*(Model_Data!A205)/45))+24*SIN(2*PI()*(0)/9+(Model_Data!A205)/18)*EXP(-(((0)+5)^2)/(22^2))+18*SIN(2*PI()*(Model_Data!A205)/70))+Inputs!$C$28*EXP(-(((Model_Data!A205)-Inputs!$C$29)^2)/(2*Inputs!$C$31^2))*EXP(-(((0)-Inputs!$C$30)^2)/(2*Inputs!$C$32^2))+-Inputs!$C$33*EXP(-(((((Model_Data!A205)-Inputs!$C$34)^2)+(((0)-Inputs!$C$35)^2))/(2*Inputs!$C$36^2)))+Inputs!$C$37*(0.55*SIN(2*PI()*(Model_Data!A205)/Inputs!$C$39)+0.35*COS(2*PI()*(0)/Inputs!$C$40)+0.2*SIN(2*PI()*((Model_Data!A205)+(0))/(0.5*(Inputs!$C$39+Inputs!$C$40))))+Inputs!$C$38*SIN(2*PI()*(Model_Data!A205)/Inputs!$C$39)*SIN(2*PI()*(0)/Inputs!$C$40)+-Inputs!$C$41*EXP(-(((0)-Inputs!$C$43)^2)/(2*Inputs!$C$44^2))*EXP(-(((Model_Data!A205)-Inputs!$C$42)^2)/(2*Inputs!$C$45^2))+Inputs!$C$48*(0.70*(0.45*SIN(2*PI()*(((Model_Data!A205)/Inputs!$C$49)+Inputs!$C$47*0.137))+0.35*COS(2*PI()*(((0)/Inputs!$C$50)+Inputs!$C$47*0.173))+0.20*SIN(2*PI()*(((Model_Data!A205)+(0))/(0.5*(Inputs!$C$49+Inputs!$C$50))+Inputs!$C$47*0.097)))+0.30*(2*((SIN(((Model_Data!A205)*12.9898+(0)*78.233+Inputs!$C$47*37.719))*43758.5453)-INT((SIN(((Model_Data!A205)*12.9898+(0)*78.233+Inputs!$C$47*37.719))*43758.5453)))-1))))/1000))*1000/Inputs!$C$12)-((SQRT((Model_Data!A205)^2+Inputs!$C$6^2+Inputs!$C$5^2)-Inputs!$C$5)*1000/Inputs!$C$12)))</x:f>
        <x:v>0.01032271453618705</x:v>
      </x:c>
      <x:c r="X205" s="48" t="n">
        <x:f>0</x:f>
        <x:v>0</x:v>
      </x:c>
      <x:c r="Y205" s="49"/>
      <x:c r="Z205" s="48" t="n">
        <x:f>Model_Data!A205</x:f>
        <x:v>41.5</x:v>
      </x:c>
      <x:c r="AA205" s="48" t="n">
        <x:f>SQRT((Model_Data!A205)^2+Inputs!$C$6^2+((Model_Data!B205)-((Inputs!$C$51*(115*EXP(-(((Inputs!$C$6)-25)^2)/(4.5^2))+70*EXP(-(((Inputs!$C$6)+38)^2)/(7^2))*(0.55+0.45*SIN(2*PI()*(Model_Data!A205)/45))+24*SIN(2*PI()*(Inputs!$C$6)/9+(Model_Data!A205)/18)*EXP(-(((Inputs!$C$6)+5)^2)/(22^2))+18*SIN(2*PI()*(Model_Data!A205)/70))+Inputs!$C$28*EXP(-(((Model_Data!A205)-Inputs!$C$29)^2)/(2*Inputs!$C$31^2))*EXP(-(((Inputs!$C$6)-Inputs!$C$30)^2)/(2*Inputs!$C$32^2))+-Inputs!$C$33*EXP(-(((((Model_Data!A205)-Inputs!$C$34)^2)+(((Inputs!$C$6)-Inputs!$C$35)^2))/(2*Inputs!$C$36^2)))+Inputs!$C$37*(0.55*SIN(2*PI()*(Model_Data!A205)/Inputs!$C$39)+0.35*COS(2*PI()*(Inputs!$C$6)/Inputs!$C$40)+0.2*SIN(2*PI()*((Model_Data!A205)+(Inputs!$C$6))/(0.5*(Inputs!$C$39+Inputs!$C$40))))+Inputs!$C$38*SIN(2*PI()*(Model_Data!A205)/Inputs!$C$39)*SIN(2*PI()*(Inputs!$C$6)/Inputs!$C$40)+-Inputs!$C$41*EXP(-(((Inputs!$C$6)-Inputs!$C$43)^2)/(2*Inputs!$C$44^2))*EXP(-(((Model_Data!A205)-Inputs!$C$42)^2)/(2*Inputs!$C$45^2))+Inputs!$C$48*(0.70*(0.45*SIN(2*PI()*(((Model_Data!A205)/Inputs!$C$49)+Inputs!$C$47*0.137))+0.35*COS(2*PI()*(((Inputs!$C$6)/Inputs!$C$50)+Inputs!$C$47*0.173))+0.20*SIN(2*PI()*(((Model_Data!A205)+(Inputs!$C$6))/(0.5*(Inputs!$C$49+Inputs!$C$50))+Inputs!$C$47*0.097)))+0.30*(2*((SIN(((Model_Data!A205)*12.9898+(Inputs!$C$6)*78.233+Inputs!$C$47*37.719))*43758.5453)-INT((SIN(((Model_Data!A205)*12.9898+(Inputs!$C$6)*78.233+Inputs!$C$47*37.719))*43758.5453)))-1))))/1000)^2)</x:f>
        <x:v>404.55589291575814</x:v>
      </x:c>
      <x:c r="AB205" s="48" t="n">
        <x:f>1000*(AA206-AA204)/(Z206-Z204)*Inputs!$C$11</x:f>
        <x:v>798.131579846995</x:v>
      </x:c>
      <x:c r="AC205" s="48" t="n">
        <x:f>-2*AB205/Inputs!$C$13</x:f>
        <x:v>-319.252631938798</x:v>
      </x:c>
      <x:c r="AD205" s="48" t="n">
        <x:f>-2*AB205/Inputs!$C$14</x:f>
        <x:v>-47.93583062144115</x:v>
      </x:c>
    </x:row>
    <x:row r="206">
      <x:c r="A206" s="48" t="n">
        <x:f>Model_Data!A206</x:f>
        <x:v>42</x:v>
      </x:c>
      <x:c r="B206" s="48" t="n">
        <x:f>Model_Data!F206</x:f>
        <x:v>1663.3619953398884</x:v>
      </x:c>
      <x:c r="C206" s="48" t="n">
        <x:f>(((SQRT((Model_Data!A206)^2+Inputs!$C$6^2+((Model_Data!B206)-((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(0.45*SIN(2*PI()*(((Model_Data!A206)/Inputs!$C$49)+Inputs!$C$47*0.137))+0.35*COS(2*PI()*(((Inputs!$C$6)/Inputs!$C$50)+Inputs!$C$47*0.173))+0.20*SIN(2*PI()*(((Model_Data!A206)+(Inputs!$C$6))/(0.5*(Inputs!$C$49+Inputs!$C$50))+Inputs!$C$47*0.097)))+0.30*(2*((SIN(((Model_Data!A206)*12.9898+(Inputs!$C$6)*78.233+Inputs!$C$47*37.719))*43758.5453)-INT((SIN(((Model_Data!A206)*12.9898+(Inputs!$C$6)*78.233+Inputs!$C$47*37.719))*43758.5453)))-1))))/1000)^2))-(((Model_Data!B206)-((Inputs!$C$51*(115*EXP(-(((0)-25)^2)/(4.5^2))+70*EXP(-(((0)+38)^2)/(7^2))*(0.55+0.45*SIN(2*PI()*(Model_Data!A206)/45))+24*SIN(2*PI()*(0)/9+(Model_Data!A206)/18)*EXP(-(((0)+5)^2)/(22^2))+18*SIN(2*PI()*(Model_Data!A206)/70))+Inputs!$C$28*EXP(-(((Model_Data!A206)-Inputs!$C$29)^2)/(2*Inputs!$C$31^2))*EXP(-(((0)-Inputs!$C$30)^2)/(2*Inputs!$C$32^2))+-Inputs!$C$33*EXP(-(((((Model_Data!A206)-Inputs!$C$34)^2)+(((0)-Inputs!$C$35)^2))/(2*Inputs!$C$36^2)))+Inputs!$C$37*(0.55*SIN(2*PI()*(Model_Data!A206)/Inputs!$C$39)+0.35*COS(2*PI()*(0)/Inputs!$C$40)+0.2*SIN(2*PI()*((Model_Data!A206)+(0))/(0.5*(Inputs!$C$39+Inputs!$C$40))))+Inputs!$C$38*SIN(2*PI()*(Model_Data!A206)/Inputs!$C$39)*SIN(2*PI()*(0)/Inputs!$C$40)+-Inputs!$C$41*EXP(-(((0)-Inputs!$C$43)^2)/(2*Inputs!$C$44^2))*EXP(-(((Model_Data!A206)-Inputs!$C$42)^2)/(2*Inputs!$C$45^2))+Inputs!$C$48*(0.70*(0.45*SIN(2*PI()*(((Model_Data!A206)/Inputs!$C$49)+Inputs!$C$47*0.137))+0.35*COS(2*PI()*(((0)/Inputs!$C$50)+Inputs!$C$47*0.173))+0.20*SIN(2*PI()*(((Model_Data!A206)+(0))/(0.5*(Inputs!$C$49+Inputs!$C$50))+Inputs!$C$47*0.097)))+0.30*(2*((SIN(((Model_Data!A206)*12.9898+(0)*78.233+Inputs!$C$47*37.719))*43758.5453)-INT((SIN(((Model_Data!A206)*12.9898+(0)*78.233+Inputs!$C$47*37.719))*43758.5453)))-1))))/1000)))*1000/Inputs!$C$12)</x:f>
        <x:v>1531.5523552471807</x:v>
      </x:c>
      <x:c r="D206" s="49"/>
      <x:c r="E206" s="48" t="n">
        <x:f>Model_Data!A206</x:f>
        <x:v>42</x:v>
      </x:c>
      <x:c r="F206" s="48" t="n">
        <x:f>(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(0.45*SIN(2*PI()*(((Model_Data!A206)/Inputs!$C$49)+Inputs!$C$47*0.137))+0.35*COS(2*PI()*(((Inputs!$C$6)/Inputs!$C$50)+Inputs!$C$47*0.173))+0.20*SIN(2*PI()*(((Model_Data!A206)+(Inputs!$C$6))/(0.5*(Inputs!$C$49+Inputs!$C$50))+Inputs!$C$47*0.097)))+0.30*(2*((SIN(((Model_Data!A206)*12.9898+(Inputs!$C$6)*78.233+Inputs!$C$47*37.719))*43758.5453)-INT((SIN(((Model_Data!A206)*12.9898+(Inputs!$C$6)*78.233+Inputs!$C$47*37.719))*43758.5453)))-1)))</x:f>
        <x:v>271.1262021129023</x:v>
      </x:c>
      <x:c r="G206" s="48" t="n">
        <x:f>(Inputs!$C$51*(115*EXP(-(((0)-25)^2)/(4.5^2))+70*EXP(-(((0)+38)^2)/(7^2))*(0.55+0.45*SIN(2*PI()*(Model_Data!A206)/45))+24*SIN(2*PI()*(0)/9+(Model_Data!A206)/18)*EXP(-(((0)+5)^2)/(22^2))+18*SIN(2*PI()*(Model_Data!A206)/70))+Inputs!$C$28*EXP(-(((Model_Data!A206)-Inputs!$C$29)^2)/(2*Inputs!$C$31^2))*EXP(-(((0)-Inputs!$C$30)^2)/(2*Inputs!$C$32^2))+-Inputs!$C$33*EXP(-(((((Model_Data!A206)-Inputs!$C$34)^2)+(((0)-Inputs!$C$35)^2))/(2*Inputs!$C$36^2)))+Inputs!$C$37*(0.55*SIN(2*PI()*(Model_Data!A206)/Inputs!$C$39)+0.35*COS(2*PI()*(0)/Inputs!$C$40)+0.2*SIN(2*PI()*((Model_Data!A206)+(0))/(0.5*(Inputs!$C$39+Inputs!$C$40))))+Inputs!$C$38*SIN(2*PI()*(Model_Data!A206)/Inputs!$C$39)*SIN(2*PI()*(0)/Inputs!$C$40)+-Inputs!$C$41*EXP(-(((0)-Inputs!$C$43)^2)/(2*Inputs!$C$44^2))*EXP(-(((Model_Data!A206)-Inputs!$C$42)^2)/(2*Inputs!$C$45^2))+Inputs!$C$48*(0.70*(0.45*SIN(2*PI()*(((Model_Data!A206)/Inputs!$C$49)+Inputs!$C$47*0.137))+0.35*COS(2*PI()*(((0)/Inputs!$C$50)+Inputs!$C$47*0.173))+0.20*SIN(2*PI()*(((Model_Data!A206)+(0))/(0.5*(Inputs!$C$49+Inputs!$C$50))+Inputs!$C$47*0.097)))+0.30*(2*((SIN(((Model_Data!A206)*12.9898+(0)*78.233+Inputs!$C$47*37.719))*43758.5453)-INT((SIN(((Model_Data!A206)*12.9898+(0)*78.233+Inputs!$C$47*37.719))*43758.5453)))-1)))</x:f>
        <x:v>34.52124211278962</x:v>
      </x:c>
      <x:c r="H206" s="49"/>
      <x:c r="I206" s="48" t="n">
        <x:f>Model_Data!A206</x:f>
        <x:v>42</x:v>
      </x:c>
      <x:c r="J206" s="48" t="n">
        <x:f>((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(0.45*SIN(2*PI()*(((Model_Data!A206)/Inputs!$C$49)+Inputs!$C$47*0.137))+0.35*COS(2*PI()*(((Inputs!$C$6)/Inputs!$C$50)+Inputs!$C$47*0.173))+0.20*SIN(2*PI()*(((Model_Data!A206)+(Inputs!$C$6))/(0.5*(Inputs!$C$49+Inputs!$C$50))+Inputs!$C$47*0.097)))+0.30*(2*((SIN(((Model_Data!A206)*12.9898+(Inputs!$C$6)*78.233+Inputs!$C$47*37.719))*43758.5453)-INT((SIN(((Model_Data!A206)*12.9898+(Inputs!$C$6)*78.233+Inputs!$C$47*37.719))*43758.5453)))-1))))-((Inputs!$C$51*(115*EXP(-(((0)-25)^2)/(4.5^2))+70*EXP(-(((0)+38)^2)/(7^2))*(0.55+0.45*SIN(2*PI()*(Model_Data!A206)/45))+24*SIN(2*PI()*(0)/9+(Model_Data!A206)/18)*EXP(-(((0)+5)^2)/(22^2))+18*SIN(2*PI()*(Model_Data!A206)/70))+Inputs!$C$28*EXP(-(((Model_Data!A206)-Inputs!$C$29)^2)/(2*Inputs!$C$31^2))*EXP(-(((0)-Inputs!$C$30)^2)/(2*Inputs!$C$32^2))+-Inputs!$C$33*EXP(-(((((Model_Data!A206)-Inputs!$C$34)^2)+(((0)-Inputs!$C$35)^2))/(2*Inputs!$C$36^2)))+Inputs!$C$37*(0.55*SIN(2*PI()*(Model_Data!A206)/Inputs!$C$39)+0.35*COS(2*PI()*(0)/Inputs!$C$40)+0.2*SIN(2*PI()*((Model_Data!A206)+(0))/(0.5*(Inputs!$C$39+Inputs!$C$40))))+Inputs!$C$38*SIN(2*PI()*(Model_Data!A206)/Inputs!$C$39)*SIN(2*PI()*(0)/Inputs!$C$40)+-Inputs!$C$41*EXP(-(((0)-Inputs!$C$43)^2)/(2*Inputs!$C$44^2))*EXP(-(((Model_Data!A206)-Inputs!$C$42)^2)/(2*Inputs!$C$45^2))+Inputs!$C$48*(0.70*(0.45*SIN(2*PI()*(((Model_Data!A206)/Inputs!$C$49)+Inputs!$C$47*0.137))+0.35*COS(2*PI()*(((0)/Inputs!$C$50)+Inputs!$C$47*0.173))+0.20*SIN(2*PI()*(((Model_Data!A206)+(0))/(0.5*(Inputs!$C$49+Inputs!$C$50))+Inputs!$C$47*0.097)))+0.30*(2*((SIN(((Model_Data!A206)*12.9898+(0)*78.233+Inputs!$C$47*37.719))*43758.5453)-INT((SIN(((Model_Data!A206)*12.9898+(0)*78.233+Inputs!$C$47*37.719))*43758.5453)))-1))))</x:f>
        <x:v>236.6049600001127</x:v>
      </x:c>
      <x:c r="K206" s="48" t="n">
        <x:f>-((((SQRT((Model_Data!A206)^2+Inputs!$C$6^2+((Model_Data!B206)-((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(0.45*SIN(2*PI()*(((Model_Data!A206)/Inputs!$C$49)+Inputs!$C$47*0.137))+0.35*COS(2*PI()*(((Inputs!$C$6)/Inputs!$C$50)+Inputs!$C$47*0.173))+0.20*SIN(2*PI()*(((Model_Data!A206)+(Inputs!$C$6))/(0.5*(Inputs!$C$49+Inputs!$C$50))+Inputs!$C$47*0.097)))+0.30*(2*((SIN(((Model_Data!A206)*12.9898+(Inputs!$C$6)*78.233+Inputs!$C$47*37.719))*43758.5453)-INT((SIN(((Model_Data!A206)*12.9898+(Inputs!$C$6)*78.233+Inputs!$C$47*37.719))*43758.5453)))-1))))/1000)^2))-(((Model_Data!B206)-((Inputs!$C$51*(115*EXP(-(((0)-25)^2)/(4.5^2))+70*EXP(-(((0)+38)^2)/(7^2))*(0.55+0.45*SIN(2*PI()*(Model_Data!A206)/45))+24*SIN(2*PI()*(0)/9+(Model_Data!A206)/18)*EXP(-(((0)+5)^2)/(22^2))+18*SIN(2*PI()*(Model_Data!A206)/70))+Inputs!$C$28*EXP(-(((Model_Data!A206)-Inputs!$C$29)^2)/(2*Inputs!$C$31^2))*EXP(-(((0)-Inputs!$C$30)^2)/(2*Inputs!$C$32^2))+-Inputs!$C$33*EXP(-(((((Model_Data!A206)-Inputs!$C$34)^2)+(((0)-Inputs!$C$35)^2))/(2*Inputs!$C$36^2)))+Inputs!$C$37*(0.55*SIN(2*PI()*(Model_Data!A206)/Inputs!$C$39)+0.35*COS(2*PI()*(0)/Inputs!$C$40)+0.2*SIN(2*PI()*((Model_Data!A206)+(0))/(0.5*(Inputs!$C$39+Inputs!$C$40))))+Inputs!$C$38*SIN(2*PI()*(Model_Data!A206)/Inputs!$C$39)*SIN(2*PI()*(0)/Inputs!$C$40)+-Inputs!$C$41*EXP(-(((0)-Inputs!$C$43)^2)/(2*Inputs!$C$44^2))*EXP(-(((Model_Data!A206)-Inputs!$C$42)^2)/(2*Inputs!$C$45^2))+Inputs!$C$48*(0.70*(0.45*SIN(2*PI()*(((Model_Data!A206)/Inputs!$C$49)+Inputs!$C$47*0.137))+0.35*COS(2*PI()*(((0)/Inputs!$C$50)+Inputs!$C$47*0.173))+0.20*SIN(2*PI()*(((Model_Data!A206)+(0))/(0.5*(Inputs!$C$49+Inputs!$C$50))+Inputs!$C$47*0.097)))+0.30*(2*((SIN(((Model_Data!A206)*12.9898+(0)*78.233+Inputs!$C$47*37.719))*43758.5453)-INT((SIN(((Model_Data!A206)*12.9898+(0)*78.233+Inputs!$C$47*37.719))*43758.5453)))-1))))/1000)))*1000/Inputs!$C$12)-Model_Data!F206)</x:f>
        <x:v>131.8096400927077</x:v>
      </x:c>
      <x:c r="L206" s="49"/>
      <x:c r="M206" s="48" t="n">
        <x:f>Model_Data!A206</x:f>
        <x:v>42</x:v>
      </x:c>
      <x:c r="N206" s="48" t="n">
        <x:f>Model_Data!P206</x:f>
        <x:v>-314.1997931036334</x:v>
      </x:c>
      <x:c r="O206" s="48" t="n">
        <x:f>AC206</x:f>
        <x:v>-329.2970253279236</x:v>
      </x:c>
      <x:c r="P206" s="48" t="n">
        <x:f>Model_Data!Q206</x:f>
        <x:v>-47.17714611165667</x:v>
      </x:c>
      <x:c r="Q206" s="48" t="n">
        <x:f>AD206</x:f>
        <x:v>-49.443997796985535</x:v>
      </x:c>
      <x:c r="R206" s="49"/>
      <x:c r="S206" s="48" t="n">
        <x:f>Model_Data!A206</x:f>
        <x:v>42</x:v>
      </x:c>
      <x:c r="T206" s="48" t="n">
        <x:f>Model_Data!B206-Inputs!$C$5</x:f>
        <x:v>1.9599999999999795</x:v>
      </x:c>
      <x:c r="U206" s="49"/>
      <x:c r="V206" s="48" t="n">
        <x:f>Model_Data!A206</x:f>
        <x:v>42</x:v>
      </x:c>
      <x:c r="W206" s="48" t="n">
        <x:f>(-((((SQRT((Model_Data!A206)^2+Inputs!$C$6^2+((Model_Data!B206)-((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(0.45*SIN(2*PI()*(((Model_Data!A206)/Inputs!$C$49)+Inputs!$C$47*0.137))+0.35*COS(2*PI()*(((Inputs!$C$6)/Inputs!$C$50)+Inputs!$C$47*0.173))+0.20*SIN(2*PI()*(((Model_Data!A206)+(Inputs!$C$6))/(0.5*(Inputs!$C$49+Inputs!$C$50))+Inputs!$C$47*0.097)))+0.30*(2*((SIN(((Model_Data!A206)*12.9898+(Inputs!$C$6)*78.233+Inputs!$C$47*37.719))*43758.5453)-INT((SIN(((Model_Data!A206)*12.9898+(Inputs!$C$6)*78.233+Inputs!$C$47*37.719))*43758.5453)))-1))))/1000)^2))-(((Model_Data!B206)-((Inputs!$C$51*(115*EXP(-(((0)-25)^2)/(4.5^2))+70*EXP(-(((0)+38)^2)/(7^2))*(0.55+0.45*SIN(2*PI()*(Model_Data!A206)/45))+24*SIN(2*PI()*(0)/9+(Model_Data!A206)/18)*EXP(-(((0)+5)^2)/(22^2))+18*SIN(2*PI()*(Model_Data!A206)/70))+Inputs!$C$28*EXP(-(((Model_Data!A206)-Inputs!$C$29)^2)/(2*Inputs!$C$31^2))*EXP(-(((0)-Inputs!$C$30)^2)/(2*Inputs!$C$32^2))+-Inputs!$C$33*EXP(-(((((Model_Data!A206)-Inputs!$C$34)^2)+(((0)-Inputs!$C$35)^2))/(2*Inputs!$C$36^2)))+Inputs!$C$37*(0.55*SIN(2*PI()*(Model_Data!A206)/Inputs!$C$39)+0.35*COS(2*PI()*(0)/Inputs!$C$40)+0.2*SIN(2*PI()*((Model_Data!A206)+(0))/(0.5*(Inputs!$C$39+Inputs!$C$40))))+Inputs!$C$38*SIN(2*PI()*(Model_Data!A206)/Inputs!$C$39)*SIN(2*PI()*(0)/Inputs!$C$40)+-Inputs!$C$41*EXP(-(((0)-Inputs!$C$43)^2)/(2*Inputs!$C$44^2))*EXP(-(((Model_Data!A206)-Inputs!$C$42)^2)/(2*Inputs!$C$45^2))+Inputs!$C$48*(0.70*(0.45*SIN(2*PI()*(((Model_Data!A206)/Inputs!$C$49)+Inputs!$C$47*0.137))+0.35*COS(2*PI()*(((0)/Inputs!$C$50)+Inputs!$C$47*0.173))+0.20*SIN(2*PI()*(((Model_Data!A206)+(0))/(0.5*(Inputs!$C$49+Inputs!$C$50))+Inputs!$C$47*0.097)))+0.30*(2*((SIN(((Model_Data!A206)*12.9898+(0)*78.233+Inputs!$C$47*37.719))*43758.5453)-INT((SIN(((Model_Data!A206)*12.9898+(0)*78.233+Inputs!$C$47*37.719))*43758.5453)))-1))))/1000)))*1000/Inputs!$C$12)-Model_Data!F206))-(-(((SQRT((Model_Data!A206)^2+Inputs!$C$6^2+(Inputs!$C$5-((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(0.45*SIN(2*PI()*(((Model_Data!A206)/Inputs!$C$49)+Inputs!$C$47*0.137))+0.35*COS(2*PI()*(((Inputs!$C$6)/Inputs!$C$50)+Inputs!$C$47*0.173))+0.20*SIN(2*PI()*(((Model_Data!A206)+(Inputs!$C$6))/(0.5*(Inputs!$C$49+Inputs!$C$50))+Inputs!$C$47*0.097)))+0.30*(2*((SIN(((Model_Data!A206)*12.9898+(Inputs!$C$6)*78.233+Inputs!$C$47*37.719))*43758.5453)-INT((SIN(((Model_Data!A206)*12.9898+(Inputs!$C$6)*78.233+Inputs!$C$47*37.719))*43758.5453)))-1))))/1000)^2)-(Inputs!$C$5-((Inputs!$C$51*(115*EXP(-(((0)-25)^2)/(4.5^2))+70*EXP(-(((0)+38)^2)/(7^2))*(0.55+0.45*SIN(2*PI()*(Model_Data!A206)/45))+24*SIN(2*PI()*(0)/9+(Model_Data!A206)/18)*EXP(-(((0)+5)^2)/(22^2))+18*SIN(2*PI()*(Model_Data!A206)/70))+Inputs!$C$28*EXP(-(((Model_Data!A206)-Inputs!$C$29)^2)/(2*Inputs!$C$31^2))*EXP(-(((0)-Inputs!$C$30)^2)/(2*Inputs!$C$32^2))+-Inputs!$C$33*EXP(-(((((Model_Data!A206)-Inputs!$C$34)^2)+(((0)-Inputs!$C$35)^2))/(2*Inputs!$C$36^2)))+Inputs!$C$37*(0.55*SIN(2*PI()*(Model_Data!A206)/Inputs!$C$39)+0.35*COS(2*PI()*(0)/Inputs!$C$40)+0.2*SIN(2*PI()*((Model_Data!A206)+(0))/(0.5*(Inputs!$C$39+Inputs!$C$40))))+Inputs!$C$38*SIN(2*PI()*(Model_Data!A206)/Inputs!$C$39)*SIN(2*PI()*(0)/Inputs!$C$40)+-Inputs!$C$41*EXP(-(((0)-Inputs!$C$43)^2)/(2*Inputs!$C$44^2))*EXP(-(((Model_Data!A206)-Inputs!$C$42)^2)/(2*Inputs!$C$45^2))+Inputs!$C$48*(0.70*(0.45*SIN(2*PI()*(((Model_Data!A206)/Inputs!$C$49)+Inputs!$C$47*0.137))+0.35*COS(2*PI()*(((0)/Inputs!$C$50)+Inputs!$C$47*0.173))+0.20*SIN(2*PI()*(((Model_Data!A206)+(0))/(0.5*(Inputs!$C$49+Inputs!$C$50))+Inputs!$C$47*0.097)))+0.30*(2*((SIN(((Model_Data!A206)*12.9898+(0)*78.233+Inputs!$C$47*37.719))*43758.5453)-INT((SIN(((Model_Data!A206)*12.9898+(0)*78.233+Inputs!$C$47*37.719))*43758.5453)))-1))))/1000))*1000/Inputs!$C$12)-((SQRT((Model_Data!A206)^2+Inputs!$C$6^2+Inputs!$C$5^2)-Inputs!$C$5)*1000/Inputs!$C$12)))</x:f>
        <x:v>0.010831451191734232</x:v>
      </x:c>
      <x:c r="X206" s="48" t="n">
        <x:f>0</x:f>
        <x:v>0</x:v>
      </x:c>
      <x:c r="Y206" s="49"/>
      <x:c r="Z206" s="48" t="n">
        <x:f>Model_Data!A206</x:f>
        <x:v>42</x:v>
      </x:c>
      <x:c r="AA206" s="48" t="n">
        <x:f>SQRT((Model_Data!A206)^2+Inputs!$C$6^2+((Model_Data!B206)-((Inputs!$C$51*(115*EXP(-(((Inputs!$C$6)-25)^2)/(4.5^2))+70*EXP(-(((Inputs!$C$6)+38)^2)/(7^2))*(0.55+0.45*SIN(2*PI()*(Model_Data!A206)/45))+24*SIN(2*PI()*(Inputs!$C$6)/9+(Model_Data!A206)/18)*EXP(-(((Inputs!$C$6)+5)^2)/(22^2))+18*SIN(2*PI()*(Model_Data!A206)/70))+Inputs!$C$28*EXP(-(((Model_Data!A206)-Inputs!$C$29)^2)/(2*Inputs!$C$31^2))*EXP(-(((Inputs!$C$6)-Inputs!$C$30)^2)/(2*Inputs!$C$32^2))+-Inputs!$C$33*EXP(-(((((Model_Data!A206)-Inputs!$C$34)^2)+(((Inputs!$C$6)-Inputs!$C$35)^2))/(2*Inputs!$C$36^2)))+Inputs!$C$37*(0.55*SIN(2*PI()*(Model_Data!A206)/Inputs!$C$39)+0.35*COS(2*PI()*(Inputs!$C$6)/Inputs!$C$40)+0.2*SIN(2*PI()*((Model_Data!A206)+(Inputs!$C$6))/(0.5*(Inputs!$C$39+Inputs!$C$40))))+Inputs!$C$38*SIN(2*PI()*(Model_Data!A206)/Inputs!$C$39)*SIN(2*PI()*(Inputs!$C$6)/Inputs!$C$40)+-Inputs!$C$41*EXP(-(((Inputs!$C$6)-Inputs!$C$43)^2)/(2*Inputs!$C$44^2))*EXP(-(((Model_Data!A206)-Inputs!$C$42)^2)/(2*Inputs!$C$45^2))+Inputs!$C$48*(0.70*(0.45*SIN(2*PI()*(((Model_Data!A206)/Inputs!$C$49)+Inputs!$C$47*0.137))+0.35*COS(2*PI()*(((Inputs!$C$6)/Inputs!$C$50)+Inputs!$C$47*0.173))+0.20*SIN(2*PI()*(((Model_Data!A206)+(Inputs!$C$6))/(0.5*(Inputs!$C$49+Inputs!$C$50))+Inputs!$C$47*0.097)))+0.30*(2*((SIN(((Model_Data!A206)*12.9898+(Inputs!$C$6)*78.233+Inputs!$C$47*37.719))*43758.5453)-INT((SIN(((Model_Data!A206)*12.9898+(Inputs!$C$6)*78.233+Inputs!$C$47*37.719))*43758.5453)))-1))))/1000)^2)</x:f>
        <x:v>404.65164195022714</x:v>
      </x:c>
      <x:c r="AB206" s="48" t="n">
        <x:f>1000*(AA207-AA205)/(Z207-Z205)*Inputs!$C$11</x:f>
        <x:v>823.242563319809</x:v>
      </x:c>
      <x:c r="AC206" s="48" t="n">
        <x:f>-2*AB206/Inputs!$C$13</x:f>
        <x:v>-329.2970253279236</x:v>
      </x:c>
      <x:c r="AD206" s="48" t="n">
        <x:f>-2*AB206/Inputs!$C$14</x:f>
        <x:v>-49.443997796985535</x:v>
      </x:c>
    </x:row>
    <x:row r="207">
      <x:c r="A207" s="48" t="n">
        <x:f>Model_Data!A207</x:f>
        <x:v>42.5</x:v>
      </x:c>
      <x:c r="B207" s="48" t="n">
        <x:f>Model_Data!F207</x:f>
        <x:v>1692.4732969044633</x:v>
      </x:c>
      <x:c r="C207" s="48" t="n">
        <x:f>(((SQRT((Model_Data!A207)^2+Inputs!$C$6^2+((Model_Data!B207)-((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(0.45*SIN(2*PI()*(((Model_Data!A207)/Inputs!$C$49)+Inputs!$C$47*0.137))+0.35*COS(2*PI()*(((Inputs!$C$6)/Inputs!$C$50)+Inputs!$C$47*0.173))+0.20*SIN(2*PI()*(((Model_Data!A207)+(Inputs!$C$6))/(0.5*(Inputs!$C$49+Inputs!$C$50))+Inputs!$C$47*0.097)))+0.30*(2*((SIN(((Model_Data!A207)*12.9898+(Inputs!$C$6)*78.233+Inputs!$C$47*37.719))*43758.5453)-INT((SIN(((Model_Data!A207)*12.9898+(Inputs!$C$6)*78.233+Inputs!$C$47*37.719))*43758.5453)))-1))))/1000)^2))-(((Model_Data!B207)-((Inputs!$C$51*(115*EXP(-(((0)-25)^2)/(4.5^2))+70*EXP(-(((0)+38)^2)/(7^2))*(0.55+0.45*SIN(2*PI()*(Model_Data!A207)/45))+24*SIN(2*PI()*(0)/9+(Model_Data!A207)/18)*EXP(-(((0)+5)^2)/(22^2))+18*SIN(2*PI()*(Model_Data!A207)/70))+Inputs!$C$28*EXP(-(((Model_Data!A207)-Inputs!$C$29)^2)/(2*Inputs!$C$31^2))*EXP(-(((0)-Inputs!$C$30)^2)/(2*Inputs!$C$32^2))+-Inputs!$C$33*EXP(-(((((Model_Data!A207)-Inputs!$C$34)^2)+(((0)-Inputs!$C$35)^2))/(2*Inputs!$C$36^2)))+Inputs!$C$37*(0.55*SIN(2*PI()*(Model_Data!A207)/Inputs!$C$39)+0.35*COS(2*PI()*(0)/Inputs!$C$40)+0.2*SIN(2*PI()*((Model_Data!A207)+(0))/(0.5*(Inputs!$C$39+Inputs!$C$40))))+Inputs!$C$38*SIN(2*PI()*(Model_Data!A207)/Inputs!$C$39)*SIN(2*PI()*(0)/Inputs!$C$40)+-Inputs!$C$41*EXP(-(((0)-Inputs!$C$43)^2)/(2*Inputs!$C$44^2))*EXP(-(((Model_Data!A207)-Inputs!$C$42)^2)/(2*Inputs!$C$45^2))+Inputs!$C$48*(0.70*(0.45*SIN(2*PI()*(((Model_Data!A207)/Inputs!$C$49)+Inputs!$C$47*0.137))+0.35*COS(2*PI()*(((0)/Inputs!$C$50)+Inputs!$C$47*0.173))+0.20*SIN(2*PI()*(((Model_Data!A207)+(0))/(0.5*(Inputs!$C$49+Inputs!$C$50))+Inputs!$C$47*0.097)))+0.30*(2*((SIN(((Model_Data!A207)*12.9898+(0)*78.233+Inputs!$C$47*37.719))*43758.5453)-INT((SIN(((Model_Data!A207)*12.9898+(0)*78.233+Inputs!$C$47*37.719))*43758.5453)))-1))))/1000)))*1000/Inputs!$C$12)</x:f>
        <x:v>1570.2305553396193</x:v>
      </x:c>
      <x:c r="D207" s="49"/>
      <x:c r="E207" s="48" t="n">
        <x:f>Model_Data!A207</x:f>
        <x:v>42.5</x:v>
      </x:c>
      <x:c r="F207" s="48" t="n">
        <x:f>(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(0.45*SIN(2*PI()*(((Model_Data!A207)/Inputs!$C$49)+Inputs!$C$47*0.137))+0.35*COS(2*PI()*(((Inputs!$C$6)/Inputs!$C$50)+Inputs!$C$47*0.173))+0.20*SIN(2*PI()*(((Model_Data!A207)+(Inputs!$C$6))/(0.5*(Inputs!$C$49+Inputs!$C$50))+Inputs!$C$47*0.097)))+0.30*(2*((SIN(((Model_Data!A207)*12.9898+(Inputs!$C$6)*78.233+Inputs!$C$47*37.719))*43758.5453)-INT((SIN(((Model_Data!A207)*12.9898+(Inputs!$C$6)*78.233+Inputs!$C$47*37.719))*43758.5453)))-1)))</x:f>
        <x:v>259.7768551367322</x:v>
      </x:c>
      <x:c r="G207" s="48" t="n">
        <x:f>(Inputs!$C$51*(115*EXP(-(((0)-25)^2)/(4.5^2))+70*EXP(-(((0)+38)^2)/(7^2))*(0.55+0.45*SIN(2*PI()*(Model_Data!A207)/45))+24*SIN(2*PI()*(0)/9+(Model_Data!A207)/18)*EXP(-(((0)+5)^2)/(22^2))+18*SIN(2*PI()*(Model_Data!A207)/70))+Inputs!$C$28*EXP(-(((Model_Data!A207)-Inputs!$C$29)^2)/(2*Inputs!$C$31^2))*EXP(-(((0)-Inputs!$C$30)^2)/(2*Inputs!$C$32^2))+-Inputs!$C$33*EXP(-(((((Model_Data!A207)-Inputs!$C$34)^2)+(((0)-Inputs!$C$35)^2))/(2*Inputs!$C$36^2)))+Inputs!$C$37*(0.55*SIN(2*PI()*(Model_Data!A207)/Inputs!$C$39)+0.35*COS(2*PI()*(0)/Inputs!$C$40)+0.2*SIN(2*PI()*((Model_Data!A207)+(0))/(0.5*(Inputs!$C$39+Inputs!$C$40))))+Inputs!$C$38*SIN(2*PI()*(Model_Data!A207)/Inputs!$C$39)*SIN(2*PI()*(0)/Inputs!$C$40)+-Inputs!$C$41*EXP(-(((0)-Inputs!$C$43)^2)/(2*Inputs!$C$44^2))*EXP(-(((Model_Data!A207)-Inputs!$C$42)^2)/(2*Inputs!$C$45^2))+Inputs!$C$48*(0.70*(0.45*SIN(2*PI()*(((Model_Data!A207)/Inputs!$C$49)+Inputs!$C$47*0.137))+0.35*COS(2*PI()*(((0)/Inputs!$C$50)+Inputs!$C$47*0.173))+0.20*SIN(2*PI()*(((Model_Data!A207)+(0))/(0.5*(Inputs!$C$49+Inputs!$C$50))+Inputs!$C$47*0.097)))+0.30*(2*((SIN(((Model_Data!A207)*12.9898+(0)*78.233+Inputs!$C$47*37.719))*43758.5453)-INT((SIN(((Model_Data!A207)*12.9898+(0)*78.233+Inputs!$C$47*37.719))*43758.5453)))-1)))</x:f>
        <x:v>40.25127636090155</x:v>
      </x:c>
      <x:c r="H207" s="49"/>
      <x:c r="I207" s="48" t="n">
        <x:f>Model_Data!A207</x:f>
        <x:v>42.5</x:v>
      </x:c>
      <x:c r="J207" s="48" t="n">
        <x:f>((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(0.45*SIN(2*PI()*(((Model_Data!A207)/Inputs!$C$49)+Inputs!$C$47*0.137))+0.35*COS(2*PI()*(((Inputs!$C$6)/Inputs!$C$50)+Inputs!$C$47*0.173))+0.20*SIN(2*PI()*(((Model_Data!A207)+(Inputs!$C$6))/(0.5*(Inputs!$C$49+Inputs!$C$50))+Inputs!$C$47*0.097)))+0.30*(2*((SIN(((Model_Data!A207)*12.9898+(Inputs!$C$6)*78.233+Inputs!$C$47*37.719))*43758.5453)-INT((SIN(((Model_Data!A207)*12.9898+(Inputs!$C$6)*78.233+Inputs!$C$47*37.719))*43758.5453)))-1))))-((Inputs!$C$51*(115*EXP(-(((0)-25)^2)/(4.5^2))+70*EXP(-(((0)+38)^2)/(7^2))*(0.55+0.45*SIN(2*PI()*(Model_Data!A207)/45))+24*SIN(2*PI()*(0)/9+(Model_Data!A207)/18)*EXP(-(((0)+5)^2)/(22^2))+18*SIN(2*PI()*(Model_Data!A207)/70))+Inputs!$C$28*EXP(-(((Model_Data!A207)-Inputs!$C$29)^2)/(2*Inputs!$C$31^2))*EXP(-(((0)-Inputs!$C$30)^2)/(2*Inputs!$C$32^2))+-Inputs!$C$33*EXP(-(((((Model_Data!A207)-Inputs!$C$34)^2)+(((0)-Inputs!$C$35)^2))/(2*Inputs!$C$36^2)))+Inputs!$C$37*(0.55*SIN(2*PI()*(Model_Data!A207)/Inputs!$C$39)+0.35*COS(2*PI()*(0)/Inputs!$C$40)+0.2*SIN(2*PI()*((Model_Data!A207)+(0))/(0.5*(Inputs!$C$39+Inputs!$C$40))))+Inputs!$C$38*SIN(2*PI()*(Model_Data!A207)/Inputs!$C$39)*SIN(2*PI()*(0)/Inputs!$C$40)+-Inputs!$C$41*EXP(-(((0)-Inputs!$C$43)^2)/(2*Inputs!$C$44^2))*EXP(-(((Model_Data!A207)-Inputs!$C$42)^2)/(2*Inputs!$C$45^2))+Inputs!$C$48*(0.70*(0.45*SIN(2*PI()*(((Model_Data!A207)/Inputs!$C$49)+Inputs!$C$47*0.137))+0.35*COS(2*PI()*(((0)/Inputs!$C$50)+Inputs!$C$47*0.173))+0.20*SIN(2*PI()*(((Model_Data!A207)+(0))/(0.5*(Inputs!$C$49+Inputs!$C$50))+Inputs!$C$47*0.097)))+0.30*(2*((SIN(((Model_Data!A207)*12.9898+(0)*78.233+Inputs!$C$47*37.719))*43758.5453)-INT((SIN(((Model_Data!A207)*12.9898+(0)*78.233+Inputs!$C$47*37.719))*43758.5453)))-1))))</x:f>
        <x:v>219.52557877583064</x:v>
      </x:c>
      <x:c r="K207" s="48" t="n">
        <x:f>-((((SQRT((Model_Data!A207)^2+Inputs!$C$6^2+((Model_Data!B207)-((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(0.45*SIN(2*PI()*(((Model_Data!A207)/Inputs!$C$49)+Inputs!$C$47*0.137))+0.35*COS(2*PI()*(((Inputs!$C$6)/Inputs!$C$50)+Inputs!$C$47*0.173))+0.20*SIN(2*PI()*(((Model_Data!A207)+(Inputs!$C$6))/(0.5*(Inputs!$C$49+Inputs!$C$50))+Inputs!$C$47*0.097)))+0.30*(2*((SIN(((Model_Data!A207)*12.9898+(Inputs!$C$6)*78.233+Inputs!$C$47*37.719))*43758.5453)-INT((SIN(((Model_Data!A207)*12.9898+(Inputs!$C$6)*78.233+Inputs!$C$47*37.719))*43758.5453)))-1))))/1000)^2))-(((Model_Data!B207)-((Inputs!$C$51*(115*EXP(-(((0)-25)^2)/(4.5^2))+70*EXP(-(((0)+38)^2)/(7^2))*(0.55+0.45*SIN(2*PI()*(Model_Data!A207)/45))+24*SIN(2*PI()*(0)/9+(Model_Data!A207)/18)*EXP(-(((0)+5)^2)/(22^2))+18*SIN(2*PI()*(Model_Data!A207)/70))+Inputs!$C$28*EXP(-(((Model_Data!A207)-Inputs!$C$29)^2)/(2*Inputs!$C$31^2))*EXP(-(((0)-Inputs!$C$30)^2)/(2*Inputs!$C$32^2))+-Inputs!$C$33*EXP(-(((((Model_Data!A207)-Inputs!$C$34)^2)+(((0)-Inputs!$C$35)^2))/(2*Inputs!$C$36^2)))+Inputs!$C$37*(0.55*SIN(2*PI()*(Model_Data!A207)/Inputs!$C$39)+0.35*COS(2*PI()*(0)/Inputs!$C$40)+0.2*SIN(2*PI()*((Model_Data!A207)+(0))/(0.5*(Inputs!$C$39+Inputs!$C$40))))+Inputs!$C$38*SIN(2*PI()*(Model_Data!A207)/Inputs!$C$39)*SIN(2*PI()*(0)/Inputs!$C$40)+-Inputs!$C$41*EXP(-(((0)-Inputs!$C$43)^2)/(2*Inputs!$C$44^2))*EXP(-(((Model_Data!A207)-Inputs!$C$42)^2)/(2*Inputs!$C$45^2))+Inputs!$C$48*(0.70*(0.45*SIN(2*PI()*(((Model_Data!A207)/Inputs!$C$49)+Inputs!$C$47*0.137))+0.35*COS(2*PI()*(((0)/Inputs!$C$50)+Inputs!$C$47*0.173))+0.20*SIN(2*PI()*(((Model_Data!A207)+(0))/(0.5*(Inputs!$C$49+Inputs!$C$50))+Inputs!$C$47*0.097)))+0.30*(2*((SIN(((Model_Data!A207)*12.9898+(0)*78.233+Inputs!$C$47*37.719))*43758.5453)-INT((SIN(((Model_Data!A207)*12.9898+(0)*78.233+Inputs!$C$47*37.719))*43758.5453)))-1))))/1000)))*1000/Inputs!$C$12)-Model_Data!F207)</x:f>
        <x:v>122.24274156484398</x:v>
      </x:c>
      <x:c r="L207" s="49"/>
      <x:c r="M207" s="48" t="n">
        <x:f>Model_Data!A207</x:f>
        <x:v>42.5</x:v>
      </x:c>
      <x:c r="N207" s="48" t="n">
        <x:f>Model_Data!P207</x:f>
        <x:v>-317.88025301667517</x:v>
      </x:c>
      <x:c r="O207" s="48" t="n">
        <x:f>AC207</x:f>
        <x:v>-355.8819675193263</x:v>
      </x:c>
      <x:c r="P207" s="48" t="n">
        <x:f>Model_Data!Q207</x:f>
        <x:v>-47.7297677202215</x:v>
      </x:c>
      <x:c r="Q207" s="48" t="n">
        <x:f>AD207</x:f>
        <x:v>-53.4357308587577</x:v>
      </x:c>
      <x:c r="R207" s="49"/>
      <x:c r="S207" s="48" t="n">
        <x:f>Model_Data!A207</x:f>
        <x:v>42.5</x:v>
      </x:c>
      <x:c r="T207" s="48" t="n">
        <x:f>Model_Data!B207-Inputs!$C$5</x:f>
        <x:v>2.006944444444457</x:v>
      </x:c>
      <x:c r="U207" s="49"/>
      <x:c r="V207" s="48" t="n">
        <x:f>Model_Data!A207</x:f>
        <x:v>42.5</x:v>
      </x:c>
      <x:c r="W207" s="48" t="n">
        <x:f>(-((((SQRT((Model_Data!A207)^2+Inputs!$C$6^2+((Model_Data!B207)-((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(0.45*SIN(2*PI()*(((Model_Data!A207)/Inputs!$C$49)+Inputs!$C$47*0.137))+0.35*COS(2*PI()*(((Inputs!$C$6)/Inputs!$C$50)+Inputs!$C$47*0.173))+0.20*SIN(2*PI()*(((Model_Data!A207)+(Inputs!$C$6))/(0.5*(Inputs!$C$49+Inputs!$C$50))+Inputs!$C$47*0.097)))+0.30*(2*((SIN(((Model_Data!A207)*12.9898+(Inputs!$C$6)*78.233+Inputs!$C$47*37.719))*43758.5453)-INT((SIN(((Model_Data!A207)*12.9898+(Inputs!$C$6)*78.233+Inputs!$C$47*37.719))*43758.5453)))-1))))/1000)^2))-(((Model_Data!B207)-((Inputs!$C$51*(115*EXP(-(((0)-25)^2)/(4.5^2))+70*EXP(-(((0)+38)^2)/(7^2))*(0.55+0.45*SIN(2*PI()*(Model_Data!A207)/45))+24*SIN(2*PI()*(0)/9+(Model_Data!A207)/18)*EXP(-(((0)+5)^2)/(22^2))+18*SIN(2*PI()*(Model_Data!A207)/70))+Inputs!$C$28*EXP(-(((Model_Data!A207)-Inputs!$C$29)^2)/(2*Inputs!$C$31^2))*EXP(-(((0)-Inputs!$C$30)^2)/(2*Inputs!$C$32^2))+-Inputs!$C$33*EXP(-(((((Model_Data!A207)-Inputs!$C$34)^2)+(((0)-Inputs!$C$35)^2))/(2*Inputs!$C$36^2)))+Inputs!$C$37*(0.55*SIN(2*PI()*(Model_Data!A207)/Inputs!$C$39)+0.35*COS(2*PI()*(0)/Inputs!$C$40)+0.2*SIN(2*PI()*((Model_Data!A207)+(0))/(0.5*(Inputs!$C$39+Inputs!$C$40))))+Inputs!$C$38*SIN(2*PI()*(Model_Data!A207)/Inputs!$C$39)*SIN(2*PI()*(0)/Inputs!$C$40)+-Inputs!$C$41*EXP(-(((0)-Inputs!$C$43)^2)/(2*Inputs!$C$44^2))*EXP(-(((Model_Data!A207)-Inputs!$C$42)^2)/(2*Inputs!$C$45^2))+Inputs!$C$48*(0.70*(0.45*SIN(2*PI()*(((Model_Data!A207)/Inputs!$C$49)+Inputs!$C$47*0.137))+0.35*COS(2*PI()*(((0)/Inputs!$C$50)+Inputs!$C$47*0.173))+0.20*SIN(2*PI()*(((Model_Data!A207)+(0))/(0.5*(Inputs!$C$49+Inputs!$C$50))+Inputs!$C$47*0.097)))+0.30*(2*((SIN(((Model_Data!A207)*12.9898+(0)*78.233+Inputs!$C$47*37.719))*43758.5453)-INT((SIN(((Model_Data!A207)*12.9898+(0)*78.233+Inputs!$C$47*37.719))*43758.5453)))-1))))/1000)))*1000/Inputs!$C$12)-Model_Data!F207))-(-(((SQRT((Model_Data!A207)^2+Inputs!$C$6^2+(Inputs!$C$5-((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(0.45*SIN(2*PI()*(((Model_Data!A207)/Inputs!$C$49)+Inputs!$C$47*0.137))+0.35*COS(2*PI()*(((Inputs!$C$6)/Inputs!$C$50)+Inputs!$C$47*0.173))+0.20*SIN(2*PI()*(((Model_Data!A207)+(Inputs!$C$6))/(0.5*(Inputs!$C$49+Inputs!$C$50))+Inputs!$C$47*0.097)))+0.30*(2*((SIN(((Model_Data!A207)*12.9898+(Inputs!$C$6)*78.233+Inputs!$C$47*37.719))*43758.5453)-INT((SIN(((Model_Data!A207)*12.9898+(Inputs!$C$6)*78.233+Inputs!$C$47*37.719))*43758.5453)))-1))))/1000)^2)-(Inputs!$C$5-((Inputs!$C$51*(115*EXP(-(((0)-25)^2)/(4.5^2))+70*EXP(-(((0)+38)^2)/(7^2))*(0.55+0.45*SIN(2*PI()*(Model_Data!A207)/45))+24*SIN(2*PI()*(0)/9+(Model_Data!A207)/18)*EXP(-(((0)+5)^2)/(22^2))+18*SIN(2*PI()*(Model_Data!A207)/70))+Inputs!$C$28*EXP(-(((Model_Data!A207)-Inputs!$C$29)^2)/(2*Inputs!$C$31^2))*EXP(-(((0)-Inputs!$C$30)^2)/(2*Inputs!$C$32^2))+-Inputs!$C$33*EXP(-(((((Model_Data!A207)-Inputs!$C$34)^2)+(((0)-Inputs!$C$35)^2))/(2*Inputs!$C$36^2)))+Inputs!$C$37*(0.55*SIN(2*PI()*(Model_Data!A207)/Inputs!$C$39)+0.35*COS(2*PI()*(0)/Inputs!$C$40)+0.2*SIN(2*PI()*((Model_Data!A207)+(0))/(0.5*(Inputs!$C$39+Inputs!$C$40))))+Inputs!$C$38*SIN(2*PI()*(Model_Data!A207)/Inputs!$C$39)*SIN(2*PI()*(0)/Inputs!$C$40)+-Inputs!$C$41*EXP(-(((0)-Inputs!$C$43)^2)/(2*Inputs!$C$44^2))*EXP(-(((Model_Data!A207)-Inputs!$C$42)^2)/(2*Inputs!$C$45^2))+Inputs!$C$48*(0.70*(0.45*SIN(2*PI()*(((Model_Data!A207)/Inputs!$C$49)+Inputs!$C$47*0.137))+0.35*COS(2*PI()*(((0)/Inputs!$C$50)+Inputs!$C$47*0.173))+0.20*SIN(2*PI()*(((Model_Data!A207)+(0))/(0.5*(Inputs!$C$49+Inputs!$C$50))+Inputs!$C$47*0.097)))+0.30*(2*((SIN(((Model_Data!A207)*12.9898+(0)*78.233+Inputs!$C$47*37.719))*43758.5453)-INT((SIN(((Model_Data!A207)*12.9898+(0)*78.233+Inputs!$C$47*37.719))*43758.5453)))-1))))/1000))*1000/Inputs!$C$12)-((SQRT((Model_Data!A207)^2+Inputs!$C$6^2+Inputs!$C$5^2)-Inputs!$C$5)*1000/Inputs!$C$12)))</x:f>
        <x:v>0.01080802905244127</x:v>
      </x:c>
      <x:c r="X207" s="48" t="n">
        <x:f>0</x:f>
        <x:v>0</x:v>
      </x:c>
      <x:c r="Y207" s="49"/>
      <x:c r="Z207" s="48" t="n">
        <x:f>Model_Data!A207</x:f>
        <x:v>42.5</x:v>
      </x:c>
      <x:c r="AA207" s="48" t="n">
        <x:f>SQRT((Model_Data!A207)^2+Inputs!$C$6^2+((Model_Data!B207)-((Inputs!$C$51*(115*EXP(-(((Inputs!$C$6)-25)^2)/(4.5^2))+70*EXP(-(((Inputs!$C$6)+38)^2)/(7^2))*(0.55+0.45*SIN(2*PI()*(Model_Data!A207)/45))+24*SIN(2*PI()*(Inputs!$C$6)/9+(Model_Data!A207)/18)*EXP(-(((Inputs!$C$6)+5)^2)/(22^2))+18*SIN(2*PI()*(Model_Data!A207)/70))+Inputs!$C$28*EXP(-(((Model_Data!A207)-Inputs!$C$29)^2)/(2*Inputs!$C$31^2))*EXP(-(((Inputs!$C$6)-Inputs!$C$30)^2)/(2*Inputs!$C$32^2))+-Inputs!$C$33*EXP(-(((((Model_Data!A207)-Inputs!$C$34)^2)+(((Inputs!$C$6)-Inputs!$C$35)^2))/(2*Inputs!$C$36^2)))+Inputs!$C$37*(0.55*SIN(2*PI()*(Model_Data!A207)/Inputs!$C$39)+0.35*COS(2*PI()*(Inputs!$C$6)/Inputs!$C$40)+0.2*SIN(2*PI()*((Model_Data!A207)+(Inputs!$C$6))/(0.5*(Inputs!$C$39+Inputs!$C$40))))+Inputs!$C$38*SIN(2*PI()*(Model_Data!A207)/Inputs!$C$39)*SIN(2*PI()*(Inputs!$C$6)/Inputs!$C$40)+-Inputs!$C$41*EXP(-(((Inputs!$C$6)-Inputs!$C$43)^2)/(2*Inputs!$C$44^2))*EXP(-(((Model_Data!A207)-Inputs!$C$42)^2)/(2*Inputs!$C$45^2))+Inputs!$C$48*(0.70*(0.45*SIN(2*PI()*(((Model_Data!A207)/Inputs!$C$49)+Inputs!$C$47*0.137))+0.35*COS(2*PI()*(((Inputs!$C$6)/Inputs!$C$50)+Inputs!$C$47*0.173))+0.20*SIN(2*PI()*(((Model_Data!A207)+(Inputs!$C$6))/(0.5*(Inputs!$C$49+Inputs!$C$50))+Inputs!$C$47*0.097)))+0.30*(2*((SIN(((Model_Data!A207)*12.9898+(Inputs!$C$6)*78.233+Inputs!$C$47*37.719))*43758.5453)-INT((SIN(((Model_Data!A207)*12.9898+(Inputs!$C$6)*78.233+Inputs!$C$47*37.719))*43758.5453)))-1))))/1000)^2)</x:f>
        <x:v>404.7617035565881</x:v>
      </x:c>
      <x:c r="AB207" s="48" t="n">
        <x:f>1000*(AA208-AA206)/(Z208-Z206)*Inputs!$C$11</x:f>
        <x:v>889.7049187983157</x:v>
      </x:c>
      <x:c r="AC207" s="48" t="n">
        <x:f>-2*AB207/Inputs!$C$13</x:f>
        <x:v>-355.8819675193263</x:v>
      </x:c>
      <x:c r="AD207" s="48" t="n">
        <x:f>-2*AB207/Inputs!$C$14</x:f>
        <x:v>-53.4357308587577</x:v>
      </x:c>
    </x:row>
    <x:row r="208">
      <x:c r="A208" s="48" t="n">
        <x:f>Model_Data!A208</x:f>
        <x:v>43</x:v>
      </x:c>
      <x:c r="B208" s="48" t="n">
        <x:f>Model_Data!F208</x:f>
        <x:v>1721.9184540215401</x:v>
      </x:c>
      <x:c r="C208" s="48" t="n">
        <x:f>(((SQRT((Model_Data!A208)^2+Inputs!$C$6^2+((Model_Data!B208)-((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(0.45*SIN(2*PI()*(((Model_Data!A208)/Inputs!$C$49)+Inputs!$C$47*0.137))+0.35*COS(2*PI()*(((Inputs!$C$6)/Inputs!$C$50)+Inputs!$C$47*0.173))+0.20*SIN(2*PI()*(((Model_Data!A208)+(Inputs!$C$6))/(0.5*(Inputs!$C$49+Inputs!$C$50))+Inputs!$C$47*0.097)))+0.30*(2*((SIN(((Model_Data!A208)*12.9898+(Inputs!$C$6)*78.233+Inputs!$C$47*37.719))*43758.5453)-INT((SIN(((Model_Data!A208)*12.9898+(Inputs!$C$6)*78.233+Inputs!$C$47*37.719))*43758.5453)))-1))))/1000)^2))-(((Model_Data!B208)-((Inputs!$C$51*(115*EXP(-(((0)-25)^2)/(4.5^2))+70*EXP(-(((0)+38)^2)/(7^2))*(0.55+0.45*SIN(2*PI()*(Model_Data!A208)/45))+24*SIN(2*PI()*(0)/9+(Model_Data!A208)/18)*EXP(-(((0)+5)^2)/(22^2))+18*SIN(2*PI()*(Model_Data!A208)/70))+Inputs!$C$28*EXP(-(((Model_Data!A208)-Inputs!$C$29)^2)/(2*Inputs!$C$31^2))*EXP(-(((0)-Inputs!$C$30)^2)/(2*Inputs!$C$32^2))+-Inputs!$C$33*EXP(-(((((Model_Data!A208)-Inputs!$C$34)^2)+(((0)-Inputs!$C$35)^2))/(2*Inputs!$C$36^2)))+Inputs!$C$37*(0.55*SIN(2*PI()*(Model_Data!A208)/Inputs!$C$39)+0.35*COS(2*PI()*(0)/Inputs!$C$40)+0.2*SIN(2*PI()*((Model_Data!A208)+(0))/(0.5*(Inputs!$C$39+Inputs!$C$40))))+Inputs!$C$38*SIN(2*PI()*(Model_Data!A208)/Inputs!$C$39)*SIN(2*PI()*(0)/Inputs!$C$40)+-Inputs!$C$41*EXP(-(((0)-Inputs!$C$43)^2)/(2*Inputs!$C$44^2))*EXP(-(((Model_Data!A208)-Inputs!$C$42)^2)/(2*Inputs!$C$45^2))+Inputs!$C$48*(0.70*(0.45*SIN(2*PI()*(((Model_Data!A208)/Inputs!$C$49)+Inputs!$C$47*0.137))+0.35*COS(2*PI()*(((0)/Inputs!$C$50)+Inputs!$C$47*0.173))+0.20*SIN(2*PI()*(((Model_Data!A208)+(0))/(0.5*(Inputs!$C$49+Inputs!$C$50))+Inputs!$C$47*0.097)))+0.30*(2*((SIN(((Model_Data!A208)*12.9898+(0)*78.233+Inputs!$C$47*37.719))*43758.5453)-INT((SIN(((Model_Data!A208)*12.9898+(0)*78.233+Inputs!$C$47*37.719))*43758.5453)))-1))))/1000)))*1000/Inputs!$C$12)</x:f>
        <x:v>1602.7818621256401</x:v>
      </x:c>
      <x:c r="D208" s="49"/>
      <x:c r="E208" s="48" t="n">
        <x:f>Model_Data!A208</x:f>
        <x:v>43</x:v>
      </x:c>
      <x:c r="F208" s="48" t="n">
        <x:f>(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(0.45*SIN(2*PI()*(((Model_Data!A208)/Inputs!$C$49)+Inputs!$C$47*0.137))+0.35*COS(2*PI()*(((Inputs!$C$6)/Inputs!$C$50)+Inputs!$C$47*0.173))+0.20*SIN(2*PI()*(((Model_Data!A208)+(Inputs!$C$6))/(0.5*(Inputs!$C$49+Inputs!$C$50))+Inputs!$C$47*0.097)))+0.30*(2*((SIN(((Model_Data!A208)*12.9898+(Inputs!$C$6)*78.233+Inputs!$C$47*37.719))*43758.5453)-INT((SIN(((Model_Data!A208)*12.9898+(Inputs!$C$6)*78.233+Inputs!$C$47*37.719))*43758.5453)))-1)))</x:f>
        <x:v>247.2629698422237</x:v>
      </x:c>
      <x:c r="G208" s="48" t="n">
        <x:f>(Inputs!$C$51*(115*EXP(-(((0)-25)^2)/(4.5^2))+70*EXP(-(((0)+38)^2)/(7^2))*(0.55+0.45*SIN(2*PI()*(Model_Data!A208)/45))+24*SIN(2*PI()*(0)/9+(Model_Data!A208)/18)*EXP(-(((0)+5)^2)/(22^2))+18*SIN(2*PI()*(Model_Data!A208)/70))+Inputs!$C$28*EXP(-(((Model_Data!A208)-Inputs!$C$29)^2)/(2*Inputs!$C$31^2))*EXP(-(((0)-Inputs!$C$30)^2)/(2*Inputs!$C$32^2))+-Inputs!$C$33*EXP(-(((((Model_Data!A208)-Inputs!$C$34)^2)+(((0)-Inputs!$C$35)^2))/(2*Inputs!$C$36^2)))+Inputs!$C$37*(0.55*SIN(2*PI()*(Model_Data!A208)/Inputs!$C$39)+0.35*COS(2*PI()*(0)/Inputs!$C$40)+0.2*SIN(2*PI()*((Model_Data!A208)+(0))/(0.5*(Inputs!$C$39+Inputs!$C$40))))+Inputs!$C$38*SIN(2*PI()*(Model_Data!A208)/Inputs!$C$39)*SIN(2*PI()*(0)/Inputs!$C$40)+-Inputs!$C$41*EXP(-(((0)-Inputs!$C$43)^2)/(2*Inputs!$C$44^2))*EXP(-(((Model_Data!A208)-Inputs!$C$42)^2)/(2*Inputs!$C$45^2))+Inputs!$C$48*(0.70*(0.45*SIN(2*PI()*(((Model_Data!A208)/Inputs!$C$49)+Inputs!$C$47*0.137))+0.35*COS(2*PI()*(((0)/Inputs!$C$50)+Inputs!$C$47*0.173))+0.20*SIN(2*PI()*(((Model_Data!A208)+(0))/(0.5*(Inputs!$C$49+Inputs!$C$50))+Inputs!$C$47*0.097)))+0.30*(2*((SIN(((Model_Data!A208)*12.9898+(0)*78.233+Inputs!$C$47*37.719))*43758.5453)-INT((SIN(((Model_Data!A208)*12.9898+(0)*78.233+Inputs!$C$47*37.719))*43758.5453)))-1)))</x:f>
        <x:v>33.32797910139238</x:v>
      </x:c>
      <x:c r="H208" s="49"/>
      <x:c r="I208" s="48" t="n">
        <x:f>Model_Data!A208</x:f>
        <x:v>43</x:v>
      </x:c>
      <x:c r="J208" s="48" t="n">
        <x:f>((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(0.45*SIN(2*PI()*(((Model_Data!A208)/Inputs!$C$49)+Inputs!$C$47*0.137))+0.35*COS(2*PI()*(((Inputs!$C$6)/Inputs!$C$50)+Inputs!$C$47*0.173))+0.20*SIN(2*PI()*(((Model_Data!A208)+(Inputs!$C$6))/(0.5*(Inputs!$C$49+Inputs!$C$50))+Inputs!$C$47*0.097)))+0.30*(2*((SIN(((Model_Data!A208)*12.9898+(Inputs!$C$6)*78.233+Inputs!$C$47*37.719))*43758.5453)-INT((SIN(((Model_Data!A208)*12.9898+(Inputs!$C$6)*78.233+Inputs!$C$47*37.719))*43758.5453)))-1))))-((Inputs!$C$51*(115*EXP(-(((0)-25)^2)/(4.5^2))+70*EXP(-(((0)+38)^2)/(7^2))*(0.55+0.45*SIN(2*PI()*(Model_Data!A208)/45))+24*SIN(2*PI()*(0)/9+(Model_Data!A208)/18)*EXP(-(((0)+5)^2)/(22^2))+18*SIN(2*PI()*(Model_Data!A208)/70))+Inputs!$C$28*EXP(-(((Model_Data!A208)-Inputs!$C$29)^2)/(2*Inputs!$C$31^2))*EXP(-(((0)-Inputs!$C$30)^2)/(2*Inputs!$C$32^2))+-Inputs!$C$33*EXP(-(((((Model_Data!A208)-Inputs!$C$34)^2)+(((0)-Inputs!$C$35)^2))/(2*Inputs!$C$36^2)))+Inputs!$C$37*(0.55*SIN(2*PI()*(Model_Data!A208)/Inputs!$C$39)+0.35*COS(2*PI()*(0)/Inputs!$C$40)+0.2*SIN(2*PI()*((Model_Data!A208)+(0))/(0.5*(Inputs!$C$39+Inputs!$C$40))))+Inputs!$C$38*SIN(2*PI()*(Model_Data!A208)/Inputs!$C$39)*SIN(2*PI()*(0)/Inputs!$C$40)+-Inputs!$C$41*EXP(-(((0)-Inputs!$C$43)^2)/(2*Inputs!$C$44^2))*EXP(-(((Model_Data!A208)-Inputs!$C$42)^2)/(2*Inputs!$C$45^2))+Inputs!$C$48*(0.70*(0.45*SIN(2*PI()*(((Model_Data!A208)/Inputs!$C$49)+Inputs!$C$47*0.137))+0.35*COS(2*PI()*(((0)/Inputs!$C$50)+Inputs!$C$47*0.173))+0.20*SIN(2*PI()*(((Model_Data!A208)+(0))/(0.5*(Inputs!$C$49+Inputs!$C$50))+Inputs!$C$47*0.097)))+0.30*(2*((SIN(((Model_Data!A208)*12.9898+(0)*78.233+Inputs!$C$47*37.719))*43758.5453)-INT((SIN(((Model_Data!A208)*12.9898+(0)*78.233+Inputs!$C$47*37.719))*43758.5453)))-1))))</x:f>
        <x:v>213.93499074083132</x:v>
      </x:c>
      <x:c r="K208" s="48" t="n">
        <x:f>-((((SQRT((Model_Data!A208)^2+Inputs!$C$6^2+((Model_Data!B208)-((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(0.45*SIN(2*PI()*(((Model_Data!A208)/Inputs!$C$49)+Inputs!$C$47*0.137))+0.35*COS(2*PI()*(((Inputs!$C$6)/Inputs!$C$50)+Inputs!$C$47*0.173))+0.20*SIN(2*PI()*(((Model_Data!A208)+(Inputs!$C$6))/(0.5*(Inputs!$C$49+Inputs!$C$50))+Inputs!$C$47*0.097)))+0.30*(2*((SIN(((Model_Data!A208)*12.9898+(Inputs!$C$6)*78.233+Inputs!$C$47*37.719))*43758.5453)-INT((SIN(((Model_Data!A208)*12.9898+(Inputs!$C$6)*78.233+Inputs!$C$47*37.719))*43758.5453)))-1))))/1000)^2))-(((Model_Data!B208)-((Inputs!$C$51*(115*EXP(-(((0)-25)^2)/(4.5^2))+70*EXP(-(((0)+38)^2)/(7^2))*(0.55+0.45*SIN(2*PI()*(Model_Data!A208)/45))+24*SIN(2*PI()*(0)/9+(Model_Data!A208)/18)*EXP(-(((0)+5)^2)/(22^2))+18*SIN(2*PI()*(Model_Data!A208)/70))+Inputs!$C$28*EXP(-(((Model_Data!A208)-Inputs!$C$29)^2)/(2*Inputs!$C$31^2))*EXP(-(((0)-Inputs!$C$30)^2)/(2*Inputs!$C$32^2))+-Inputs!$C$33*EXP(-(((((Model_Data!A208)-Inputs!$C$34)^2)+(((0)-Inputs!$C$35)^2))/(2*Inputs!$C$36^2)))+Inputs!$C$37*(0.55*SIN(2*PI()*(Model_Data!A208)/Inputs!$C$39)+0.35*COS(2*PI()*(0)/Inputs!$C$40)+0.2*SIN(2*PI()*((Model_Data!A208)+(0))/(0.5*(Inputs!$C$39+Inputs!$C$40))))+Inputs!$C$38*SIN(2*PI()*(Model_Data!A208)/Inputs!$C$39)*SIN(2*PI()*(0)/Inputs!$C$40)+-Inputs!$C$41*EXP(-(((0)-Inputs!$C$43)^2)/(2*Inputs!$C$44^2))*EXP(-(((Model_Data!A208)-Inputs!$C$42)^2)/(2*Inputs!$C$45^2))+Inputs!$C$48*(0.70*(0.45*SIN(2*PI()*(((Model_Data!A208)/Inputs!$C$49)+Inputs!$C$47*0.137))+0.35*COS(2*PI()*(((0)/Inputs!$C$50)+Inputs!$C$47*0.173))+0.20*SIN(2*PI()*(((Model_Data!A208)+(0))/(0.5*(Inputs!$C$49+Inputs!$C$50))+Inputs!$C$47*0.097)))+0.30*(2*((SIN(((Model_Data!A208)*12.9898+(0)*78.233+Inputs!$C$47*37.719))*43758.5453)-INT((SIN(((Model_Data!A208)*12.9898+(0)*78.233+Inputs!$C$47*37.719))*43758.5453)))-1))))/1000)))*1000/Inputs!$C$12)-Model_Data!F208)</x:f>
        <x:v>119.13659189589998</x:v>
      </x:c>
      <x:c r="L208" s="49"/>
      <x:c r="M208" s="48" t="n">
        <x:f>Model_Data!A208</x:f>
        <x:v>43</x:v>
      </x:c>
      <x:c r="N208" s="48" t="n">
        <x:f>Model_Data!P208</x:f>
        <x:v>-321.55862745132083</x:v>
      </x:c>
      <x:c r="O208" s="48" t="n">
        <x:f>AC208</x:f>
        <x:v>-376.31517188056023</x:v>
      </x:c>
      <x:c r="P208" s="48" t="n">
        <x:f>Model_Data!Q208</x:f>
        <x:v>-48.282076193892024</x:v>
      </x:c>
      <x:c r="Q208" s="48" t="n">
        <x:f>AD208</x:f>
        <x:v>-56.503779561645686</x:v>
      </x:c>
      <x:c r="R208" s="49"/>
      <x:c r="S208" s="48" t="n">
        <x:f>Model_Data!A208</x:f>
        <x:v>43</x:v>
      </x:c>
      <x:c r="T208" s="48" t="n">
        <x:f>Model_Data!B208-Inputs!$C$5</x:f>
        <x:v>2.0544444444444707</x:v>
      </x:c>
      <x:c r="U208" s="49"/>
      <x:c r="V208" s="48" t="n">
        <x:f>Model_Data!A208</x:f>
        <x:v>43</x:v>
      </x:c>
      <x:c r="W208" s="48" t="n">
        <x:f>(-((((SQRT((Model_Data!A208)^2+Inputs!$C$6^2+((Model_Data!B208)-((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(0.45*SIN(2*PI()*(((Model_Data!A208)/Inputs!$C$49)+Inputs!$C$47*0.137))+0.35*COS(2*PI()*(((Inputs!$C$6)/Inputs!$C$50)+Inputs!$C$47*0.173))+0.20*SIN(2*PI()*(((Model_Data!A208)+(Inputs!$C$6))/(0.5*(Inputs!$C$49+Inputs!$C$50))+Inputs!$C$47*0.097)))+0.30*(2*((SIN(((Model_Data!A208)*12.9898+(Inputs!$C$6)*78.233+Inputs!$C$47*37.719))*43758.5453)-INT((SIN(((Model_Data!A208)*12.9898+(Inputs!$C$6)*78.233+Inputs!$C$47*37.719))*43758.5453)))-1))))/1000)^2))-(((Model_Data!B208)-((Inputs!$C$51*(115*EXP(-(((0)-25)^2)/(4.5^2))+70*EXP(-(((0)+38)^2)/(7^2))*(0.55+0.45*SIN(2*PI()*(Model_Data!A208)/45))+24*SIN(2*PI()*(0)/9+(Model_Data!A208)/18)*EXP(-(((0)+5)^2)/(22^2))+18*SIN(2*PI()*(Model_Data!A208)/70))+Inputs!$C$28*EXP(-(((Model_Data!A208)-Inputs!$C$29)^2)/(2*Inputs!$C$31^2))*EXP(-(((0)-Inputs!$C$30)^2)/(2*Inputs!$C$32^2))+-Inputs!$C$33*EXP(-(((((Model_Data!A208)-Inputs!$C$34)^2)+(((0)-Inputs!$C$35)^2))/(2*Inputs!$C$36^2)))+Inputs!$C$37*(0.55*SIN(2*PI()*(Model_Data!A208)/Inputs!$C$39)+0.35*COS(2*PI()*(0)/Inputs!$C$40)+0.2*SIN(2*PI()*((Model_Data!A208)+(0))/(0.5*(Inputs!$C$39+Inputs!$C$40))))+Inputs!$C$38*SIN(2*PI()*(Model_Data!A208)/Inputs!$C$39)*SIN(2*PI()*(0)/Inputs!$C$40)+-Inputs!$C$41*EXP(-(((0)-Inputs!$C$43)^2)/(2*Inputs!$C$44^2))*EXP(-(((Model_Data!A208)-Inputs!$C$42)^2)/(2*Inputs!$C$45^2))+Inputs!$C$48*(0.70*(0.45*SIN(2*PI()*(((Model_Data!A208)/Inputs!$C$49)+Inputs!$C$47*0.137))+0.35*COS(2*PI()*(((0)/Inputs!$C$50)+Inputs!$C$47*0.173))+0.20*SIN(2*PI()*(((Model_Data!A208)+(0))/(0.5*(Inputs!$C$49+Inputs!$C$50))+Inputs!$C$47*0.097)))+0.30*(2*((SIN(((Model_Data!A208)*12.9898+(0)*78.233+Inputs!$C$47*37.719))*43758.5453)-INT((SIN(((Model_Data!A208)*12.9898+(0)*78.233+Inputs!$C$47*37.719))*43758.5453)))-1))))/1000)))*1000/Inputs!$C$12)-Model_Data!F208))-(-(((SQRT((Model_Data!A208)^2+Inputs!$C$6^2+(Inputs!$C$5-((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(0.45*SIN(2*PI()*(((Model_Data!A208)/Inputs!$C$49)+Inputs!$C$47*0.137))+0.35*COS(2*PI()*(((Inputs!$C$6)/Inputs!$C$50)+Inputs!$C$47*0.173))+0.20*SIN(2*PI()*(((Model_Data!A208)+(Inputs!$C$6))/(0.5*(Inputs!$C$49+Inputs!$C$50))+Inputs!$C$47*0.097)))+0.30*(2*((SIN(((Model_Data!A208)*12.9898+(Inputs!$C$6)*78.233+Inputs!$C$47*37.719))*43758.5453)-INT((SIN(((Model_Data!A208)*12.9898+(Inputs!$C$6)*78.233+Inputs!$C$47*37.719))*43758.5453)))-1))))/1000)^2)-(Inputs!$C$5-((Inputs!$C$51*(115*EXP(-(((0)-25)^2)/(4.5^2))+70*EXP(-(((0)+38)^2)/(7^2))*(0.55+0.45*SIN(2*PI()*(Model_Data!A208)/45))+24*SIN(2*PI()*(0)/9+(Model_Data!A208)/18)*EXP(-(((0)+5)^2)/(22^2))+18*SIN(2*PI()*(Model_Data!A208)/70))+Inputs!$C$28*EXP(-(((Model_Data!A208)-Inputs!$C$29)^2)/(2*Inputs!$C$31^2))*EXP(-(((0)-Inputs!$C$30)^2)/(2*Inputs!$C$32^2))+-Inputs!$C$33*EXP(-(((((Model_Data!A208)-Inputs!$C$34)^2)+(((0)-Inputs!$C$35)^2))/(2*Inputs!$C$36^2)))+Inputs!$C$37*(0.55*SIN(2*PI()*(Model_Data!A208)/Inputs!$C$39)+0.35*COS(2*PI()*(0)/Inputs!$C$40)+0.2*SIN(2*PI()*((Model_Data!A208)+(0))/(0.5*(Inputs!$C$39+Inputs!$C$40))))+Inputs!$C$38*SIN(2*PI()*(Model_Data!A208)/Inputs!$C$39)*SIN(2*PI()*(0)/Inputs!$C$40)+-Inputs!$C$41*EXP(-(((0)-Inputs!$C$43)^2)/(2*Inputs!$C$44^2))*EXP(-(((Model_Data!A208)-Inputs!$C$42)^2)/(2*Inputs!$C$45^2))+Inputs!$C$48*(0.70*(0.45*SIN(2*PI()*(((Model_Data!A208)/Inputs!$C$49)+Inputs!$C$47*0.137))+0.35*COS(2*PI()*(((0)/Inputs!$C$50)+Inputs!$C$47*0.173))+0.20*SIN(2*PI()*(((Model_Data!A208)+(0))/(0.5*(Inputs!$C$49+Inputs!$C$50))+Inputs!$C$47*0.097)))+0.30*(2*((SIN(((Model_Data!A208)*12.9898+(0)*78.233+Inputs!$C$47*37.719))*43758.5453)-INT((SIN(((Model_Data!A208)*12.9898+(0)*78.233+Inputs!$C$47*37.719))*43758.5453)))-1))))/1000))*1000/Inputs!$C$12)-((SQRT((Model_Data!A208)^2+Inputs!$C$6^2+Inputs!$C$5^2)-Inputs!$C$5)*1000/Inputs!$C$12)))</x:f>
        <x:v>0.010709464576166283</x:v>
      </x:c>
      <x:c r="X208" s="48" t="n">
        <x:f>0</x:f>
        <x:v>0</x:v>
      </x:c>
      <x:c r="Y208" s="49"/>
      <x:c r="Z208" s="48" t="n">
        <x:f>Model_Data!A208</x:f>
        <x:v>43</x:v>
      </x:c>
      <x:c r="AA208" s="48" t="n">
        <x:f>SQRT((Model_Data!A208)^2+Inputs!$C$6^2+((Model_Data!B208)-((Inputs!$C$51*(115*EXP(-(((Inputs!$C$6)-25)^2)/(4.5^2))+70*EXP(-(((Inputs!$C$6)+38)^2)/(7^2))*(0.55+0.45*SIN(2*PI()*(Model_Data!A208)/45))+24*SIN(2*PI()*(Inputs!$C$6)/9+(Model_Data!A208)/18)*EXP(-(((Inputs!$C$6)+5)^2)/(22^2))+18*SIN(2*PI()*(Model_Data!A208)/70))+Inputs!$C$28*EXP(-(((Model_Data!A208)-Inputs!$C$29)^2)/(2*Inputs!$C$31^2))*EXP(-(((Inputs!$C$6)-Inputs!$C$30)^2)/(2*Inputs!$C$32^2))+-Inputs!$C$33*EXP(-(((((Model_Data!A208)-Inputs!$C$34)^2)+(((Inputs!$C$6)-Inputs!$C$35)^2))/(2*Inputs!$C$36^2)))+Inputs!$C$37*(0.55*SIN(2*PI()*(Model_Data!A208)/Inputs!$C$39)+0.35*COS(2*PI()*(Inputs!$C$6)/Inputs!$C$40)+0.2*SIN(2*PI()*((Model_Data!A208)+(Inputs!$C$6))/(0.5*(Inputs!$C$39+Inputs!$C$40))))+Inputs!$C$38*SIN(2*PI()*(Model_Data!A208)/Inputs!$C$39)*SIN(2*PI()*(Inputs!$C$6)/Inputs!$C$40)+-Inputs!$C$41*EXP(-(((Inputs!$C$6)-Inputs!$C$43)^2)/(2*Inputs!$C$44^2))*EXP(-(((Model_Data!A208)-Inputs!$C$42)^2)/(2*Inputs!$C$45^2))+Inputs!$C$48*(0.70*(0.45*SIN(2*PI()*(((Model_Data!A208)/Inputs!$C$49)+Inputs!$C$47*0.137))+0.35*COS(2*PI()*(((Inputs!$C$6)/Inputs!$C$50)+Inputs!$C$47*0.173))+0.20*SIN(2*PI()*(((Model_Data!A208)+(Inputs!$C$6))/(0.5*(Inputs!$C$49+Inputs!$C$50))+Inputs!$C$47*0.097)))+0.30*(2*((SIN(((Model_Data!A208)*12.9898+(Inputs!$C$6)*78.233+Inputs!$C$47*37.719))*43758.5453)-INT((SIN(((Model_Data!A208)*12.9898+(Inputs!$C$6)*78.233+Inputs!$C$47*37.719))*43758.5453)))-1))))/1000)^2)</x:f>
        <x:v>404.8740681799267</x:v>
      </x:c>
      <x:c r="AB208" s="48" t="n">
        <x:f>1000*(AA209-AA207)/(Z209-Z207)*Inputs!$C$11</x:f>
        <x:v>940.7879297014006</x:v>
      </x:c>
      <x:c r="AC208" s="48" t="n">
        <x:f>-2*AB208/Inputs!$C$13</x:f>
        <x:v>-376.31517188056023</x:v>
      </x:c>
      <x:c r="AD208" s="48" t="n">
        <x:f>-2*AB208/Inputs!$C$14</x:f>
        <x:v>-56.503779561645686</x:v>
      </x:c>
    </x:row>
    <x:row r="209">
      <x:c r="A209" s="48" t="n">
        <x:f>Model_Data!A209</x:f>
        <x:v>43.5</x:v>
      </x:c>
      <x:c r="B209" s="48" t="n">
        <x:f>Model_Data!F209</x:f>
        <x:v>1751.6970986344204</x:v>
      </x:c>
      <x:c r="C209" s="48" t="n">
        <x:f>(((SQRT((Model_Data!A209)^2+Inputs!$C$6^2+((Model_Data!B209)-((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(0.45*SIN(2*PI()*(((Model_Data!A209)/Inputs!$C$49)+Inputs!$C$47*0.137))+0.35*COS(2*PI()*(((Inputs!$C$6)/Inputs!$C$50)+Inputs!$C$47*0.173))+0.20*SIN(2*PI()*(((Model_Data!A209)+(Inputs!$C$6))/(0.5*(Inputs!$C$49+Inputs!$C$50))+Inputs!$C$47*0.097)))+0.30*(2*((SIN(((Model_Data!A209)*12.9898+(Inputs!$C$6)*78.233+Inputs!$C$47*37.719))*43758.5453)-INT((SIN(((Model_Data!A209)*12.9898+(Inputs!$C$6)*78.233+Inputs!$C$47*37.719))*43758.5453)))-1))))/1000)^2))-(((Model_Data!B209)-((Inputs!$C$51*(115*EXP(-(((0)-25)^2)/(4.5^2))+70*EXP(-(((0)+38)^2)/(7^2))*(0.55+0.45*SIN(2*PI()*(Model_Data!A209)/45))+24*SIN(2*PI()*(0)/9+(Model_Data!A209)/18)*EXP(-(((0)+5)^2)/(22^2))+18*SIN(2*PI()*(Model_Data!A209)/70))+Inputs!$C$28*EXP(-(((Model_Data!A209)-Inputs!$C$29)^2)/(2*Inputs!$C$31^2))*EXP(-(((0)-Inputs!$C$30)^2)/(2*Inputs!$C$32^2))+-Inputs!$C$33*EXP(-(((((Model_Data!A209)-Inputs!$C$34)^2)+(((0)-Inputs!$C$35)^2))/(2*Inputs!$C$36^2)))+Inputs!$C$37*(0.55*SIN(2*PI()*(Model_Data!A209)/Inputs!$C$39)+0.35*COS(2*PI()*(0)/Inputs!$C$40)+0.2*SIN(2*PI()*((Model_Data!A209)+(0))/(0.5*(Inputs!$C$39+Inputs!$C$40))))+Inputs!$C$38*SIN(2*PI()*(Model_Data!A209)/Inputs!$C$39)*SIN(2*PI()*(0)/Inputs!$C$40)+-Inputs!$C$41*EXP(-(((0)-Inputs!$C$43)^2)/(2*Inputs!$C$44^2))*EXP(-(((Model_Data!A209)-Inputs!$C$42)^2)/(2*Inputs!$C$45^2))+Inputs!$C$48*(0.70*(0.45*SIN(2*PI()*(((Model_Data!A209)/Inputs!$C$49)+Inputs!$C$47*0.137))+0.35*COS(2*PI()*(((0)/Inputs!$C$50)+Inputs!$C$47*0.173))+0.20*SIN(2*PI()*(((Model_Data!A209)+(0))/(0.5*(Inputs!$C$49+Inputs!$C$50))+Inputs!$C$47*0.097)))+0.30*(2*((SIN(((Model_Data!A209)*12.9898+(0)*78.233+Inputs!$C$47*37.719))*43758.5453)-INT((SIN(((Model_Data!A209)*12.9898+(0)*78.233+Inputs!$C$47*37.719))*43758.5453)))-1))))/1000)))*1000/Inputs!$C$12)</x:f>
        <x:v>1637.5974648005897</x:v>
      </x:c>
      <x:c r="D209" s="49"/>
      <x:c r="E209" s="48" t="n">
        <x:f>Model_Data!A209</x:f>
        <x:v>43.5</x:v>
      </x:c>
      <x:c r="F209" s="48" t="n">
        <x:f>(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(0.45*SIN(2*PI()*(((Model_Data!A209)/Inputs!$C$49)+Inputs!$C$47*0.137))+0.35*COS(2*PI()*(((Inputs!$C$6)/Inputs!$C$50)+Inputs!$C$47*0.173))+0.20*SIN(2*PI()*(((Model_Data!A209)+(Inputs!$C$6))/(0.5*(Inputs!$C$49+Inputs!$C$50))+Inputs!$C$47*0.097)))+0.30*(2*((SIN(((Model_Data!A209)*12.9898+(Inputs!$C$6)*78.233+Inputs!$C$47*37.719))*43758.5453)-INT((SIN(((Model_Data!A209)*12.9898+(Inputs!$C$6)*78.233+Inputs!$C$47*37.719))*43758.5453)))-1)))</x:f>
        <x:v>225.35528260314678</x:v>
      </x:c>
      <x:c r="G209" s="48" t="n">
        <x:f>(Inputs!$C$51*(115*EXP(-(((0)-25)^2)/(4.5^2))+70*EXP(-(((0)+38)^2)/(7^2))*(0.55+0.45*SIN(2*PI()*(Model_Data!A209)/45))+24*SIN(2*PI()*(0)/9+(Model_Data!A209)/18)*EXP(-(((0)+5)^2)/(22^2))+18*SIN(2*PI()*(Model_Data!A209)/70))+Inputs!$C$28*EXP(-(((Model_Data!A209)-Inputs!$C$29)^2)/(2*Inputs!$C$31^2))*EXP(-(((0)-Inputs!$C$30)^2)/(2*Inputs!$C$32^2))+-Inputs!$C$33*EXP(-(((((Model_Data!A209)-Inputs!$C$34)^2)+(((0)-Inputs!$C$35)^2))/(2*Inputs!$C$36^2)))+Inputs!$C$37*(0.55*SIN(2*PI()*(Model_Data!A209)/Inputs!$C$39)+0.35*COS(2*PI()*(0)/Inputs!$C$40)+0.2*SIN(2*PI()*((Model_Data!A209)+(0))/(0.5*(Inputs!$C$39+Inputs!$C$40))))+Inputs!$C$38*SIN(2*PI()*(Model_Data!A209)/Inputs!$C$39)*SIN(2*PI()*(0)/Inputs!$C$40)+-Inputs!$C$41*EXP(-(((0)-Inputs!$C$43)^2)/(2*Inputs!$C$44^2))*EXP(-(((Model_Data!A209)-Inputs!$C$42)^2)/(2*Inputs!$C$45^2))+Inputs!$C$48*(0.70*(0.45*SIN(2*PI()*(((Model_Data!A209)/Inputs!$C$49)+Inputs!$C$47*0.137))+0.35*COS(2*PI()*(((0)/Inputs!$C$50)+Inputs!$C$47*0.173))+0.20*SIN(2*PI()*(((Model_Data!A209)+(0))/(0.5*(Inputs!$C$49+Inputs!$C$50))+Inputs!$C$47*0.097)))+0.30*(2*((SIN(((Model_Data!A209)*12.9898+(0)*78.233+Inputs!$C$47*37.719))*43758.5453)-INT((SIN(((Model_Data!A209)*12.9898+(0)*78.233+Inputs!$C$47*37.719))*43758.5453)))-1)))</x:f>
        <x:v>20.522948331606614</x:v>
      </x:c>
      <x:c r="H209" s="49"/>
      <x:c r="I209" s="48" t="n">
        <x:f>Model_Data!A209</x:f>
        <x:v>43.5</x:v>
      </x:c>
      <x:c r="J209" s="48" t="n">
        <x:f>((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(0.45*SIN(2*PI()*(((Model_Data!A209)/Inputs!$C$49)+Inputs!$C$47*0.137))+0.35*COS(2*PI()*(((Inputs!$C$6)/Inputs!$C$50)+Inputs!$C$47*0.173))+0.20*SIN(2*PI()*(((Model_Data!A209)+(Inputs!$C$6))/(0.5*(Inputs!$C$49+Inputs!$C$50))+Inputs!$C$47*0.097)))+0.30*(2*((SIN(((Model_Data!A209)*12.9898+(Inputs!$C$6)*78.233+Inputs!$C$47*37.719))*43758.5453)-INT((SIN(((Model_Data!A209)*12.9898+(Inputs!$C$6)*78.233+Inputs!$C$47*37.719))*43758.5453)))-1))))-((Inputs!$C$51*(115*EXP(-(((0)-25)^2)/(4.5^2))+70*EXP(-(((0)+38)^2)/(7^2))*(0.55+0.45*SIN(2*PI()*(Model_Data!A209)/45))+24*SIN(2*PI()*(0)/9+(Model_Data!A209)/18)*EXP(-(((0)+5)^2)/(22^2))+18*SIN(2*PI()*(Model_Data!A209)/70))+Inputs!$C$28*EXP(-(((Model_Data!A209)-Inputs!$C$29)^2)/(2*Inputs!$C$31^2))*EXP(-(((0)-Inputs!$C$30)^2)/(2*Inputs!$C$32^2))+-Inputs!$C$33*EXP(-(((((Model_Data!A209)-Inputs!$C$34)^2)+(((0)-Inputs!$C$35)^2))/(2*Inputs!$C$36^2)))+Inputs!$C$37*(0.55*SIN(2*PI()*(Model_Data!A209)/Inputs!$C$39)+0.35*COS(2*PI()*(0)/Inputs!$C$40)+0.2*SIN(2*PI()*((Model_Data!A209)+(0))/(0.5*(Inputs!$C$39+Inputs!$C$40))))+Inputs!$C$38*SIN(2*PI()*(Model_Data!A209)/Inputs!$C$39)*SIN(2*PI()*(0)/Inputs!$C$40)+-Inputs!$C$41*EXP(-(((0)-Inputs!$C$43)^2)/(2*Inputs!$C$44^2))*EXP(-(((Model_Data!A209)-Inputs!$C$42)^2)/(2*Inputs!$C$45^2))+Inputs!$C$48*(0.70*(0.45*SIN(2*PI()*(((Model_Data!A209)/Inputs!$C$49)+Inputs!$C$47*0.137))+0.35*COS(2*PI()*(((0)/Inputs!$C$50)+Inputs!$C$47*0.173))+0.20*SIN(2*PI()*(((Model_Data!A209)+(0))/(0.5*(Inputs!$C$49+Inputs!$C$50))+Inputs!$C$47*0.097)))+0.30*(2*((SIN(((Model_Data!A209)*12.9898+(0)*78.233+Inputs!$C$47*37.719))*43758.5453)-INT((SIN(((Model_Data!A209)*12.9898+(0)*78.233+Inputs!$C$47*37.719))*43758.5453)))-1))))</x:f>
        <x:v>204.83233427154016</x:v>
      </x:c>
      <x:c r="K209" s="48" t="n">
        <x:f>-((((SQRT((Model_Data!A209)^2+Inputs!$C$6^2+((Model_Data!B209)-((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(0.45*SIN(2*PI()*(((Model_Data!A209)/Inputs!$C$49)+Inputs!$C$47*0.137))+0.35*COS(2*PI()*(((Inputs!$C$6)/Inputs!$C$50)+Inputs!$C$47*0.173))+0.20*SIN(2*PI()*(((Model_Data!A209)+(Inputs!$C$6))/(0.5*(Inputs!$C$49+Inputs!$C$50))+Inputs!$C$47*0.097)))+0.30*(2*((SIN(((Model_Data!A209)*12.9898+(Inputs!$C$6)*78.233+Inputs!$C$47*37.719))*43758.5453)-INT((SIN(((Model_Data!A209)*12.9898+(Inputs!$C$6)*78.233+Inputs!$C$47*37.719))*43758.5453)))-1))))/1000)^2))-(((Model_Data!B209)-((Inputs!$C$51*(115*EXP(-(((0)-25)^2)/(4.5^2))+70*EXP(-(((0)+38)^2)/(7^2))*(0.55+0.45*SIN(2*PI()*(Model_Data!A209)/45))+24*SIN(2*PI()*(0)/9+(Model_Data!A209)/18)*EXP(-(((0)+5)^2)/(22^2))+18*SIN(2*PI()*(Model_Data!A209)/70))+Inputs!$C$28*EXP(-(((Model_Data!A209)-Inputs!$C$29)^2)/(2*Inputs!$C$31^2))*EXP(-(((0)-Inputs!$C$30)^2)/(2*Inputs!$C$32^2))+-Inputs!$C$33*EXP(-(((((Model_Data!A209)-Inputs!$C$34)^2)+(((0)-Inputs!$C$35)^2))/(2*Inputs!$C$36^2)))+Inputs!$C$37*(0.55*SIN(2*PI()*(Model_Data!A209)/Inputs!$C$39)+0.35*COS(2*PI()*(0)/Inputs!$C$40)+0.2*SIN(2*PI()*((Model_Data!A209)+(0))/(0.5*(Inputs!$C$39+Inputs!$C$40))))+Inputs!$C$38*SIN(2*PI()*(Model_Data!A209)/Inputs!$C$39)*SIN(2*PI()*(0)/Inputs!$C$40)+-Inputs!$C$41*EXP(-(((0)-Inputs!$C$43)^2)/(2*Inputs!$C$44^2))*EXP(-(((Model_Data!A209)-Inputs!$C$42)^2)/(2*Inputs!$C$45^2))+Inputs!$C$48*(0.70*(0.45*SIN(2*PI()*(((Model_Data!A209)/Inputs!$C$49)+Inputs!$C$47*0.137))+0.35*COS(2*PI()*(((0)/Inputs!$C$50)+Inputs!$C$47*0.173))+0.20*SIN(2*PI()*(((Model_Data!A209)+(0))/(0.5*(Inputs!$C$49+Inputs!$C$50))+Inputs!$C$47*0.097)))+0.30*(2*((SIN(((Model_Data!A209)*12.9898+(0)*78.233+Inputs!$C$47*37.719))*43758.5453)-INT((SIN(((Model_Data!A209)*12.9898+(0)*78.233+Inputs!$C$47*37.719))*43758.5453)))-1))))/1000)))*1000/Inputs!$C$12)-Model_Data!F209)</x:f>
        <x:v>114.0996338338307</x:v>
      </x:c>
      <x:c r="L209" s="49"/>
      <x:c r="M209" s="48" t="n">
        <x:f>Model_Data!A209</x:f>
        <x:v>43.5</x:v>
      </x:c>
      <x:c r="N209" s="48" t="n">
        <x:f>Model_Data!P209</x:f>
        <x:v>-325.2348944756723</x:v>
      </x:c>
      <x:c r="O209" s="48" t="n">
        <x:f>AC209</x:f>
        <x:v>-386.3320602989006</x:v>
      </x:c>
      <x:c r="P209" s="48" t="n">
        <x:f>Model_Data!Q209</x:f>
        <x:v>-48.834068239590444</x:v>
      </x:c>
      <x:c r="Q209" s="48" t="n">
        <x:f>AD209</x:f>
        <x:v>-58.007816861696796</x:v>
      </x:c>
      <x:c r="R209" s="49"/>
      <x:c r="S209" s="48" t="n">
        <x:f>Model_Data!A209</x:f>
        <x:v>43.5</x:v>
      </x:c>
      <x:c r="T209" s="48" t="n">
        <x:f>Model_Data!B209-Inputs!$C$5</x:f>
        <x:v>2.1025000000000205</x:v>
      </x:c>
      <x:c r="U209" s="49"/>
      <x:c r="V209" s="48" t="n">
        <x:f>Model_Data!A209</x:f>
        <x:v>43.5</x:v>
      </x:c>
      <x:c r="W209" s="48" t="n">
        <x:f>(-((((SQRT((Model_Data!A209)^2+Inputs!$C$6^2+((Model_Data!B209)-((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(0.45*SIN(2*PI()*(((Model_Data!A209)/Inputs!$C$49)+Inputs!$C$47*0.137))+0.35*COS(2*PI()*(((Inputs!$C$6)/Inputs!$C$50)+Inputs!$C$47*0.173))+0.20*SIN(2*PI()*(((Model_Data!A209)+(Inputs!$C$6))/(0.5*(Inputs!$C$49+Inputs!$C$50))+Inputs!$C$47*0.097)))+0.30*(2*((SIN(((Model_Data!A209)*12.9898+(Inputs!$C$6)*78.233+Inputs!$C$47*37.719))*43758.5453)-INT((SIN(((Model_Data!A209)*12.9898+(Inputs!$C$6)*78.233+Inputs!$C$47*37.719))*43758.5453)))-1))))/1000)^2))-(((Model_Data!B209)-((Inputs!$C$51*(115*EXP(-(((0)-25)^2)/(4.5^2))+70*EXP(-(((0)+38)^2)/(7^2))*(0.55+0.45*SIN(2*PI()*(Model_Data!A209)/45))+24*SIN(2*PI()*(0)/9+(Model_Data!A209)/18)*EXP(-(((0)+5)^2)/(22^2))+18*SIN(2*PI()*(Model_Data!A209)/70))+Inputs!$C$28*EXP(-(((Model_Data!A209)-Inputs!$C$29)^2)/(2*Inputs!$C$31^2))*EXP(-(((0)-Inputs!$C$30)^2)/(2*Inputs!$C$32^2))+-Inputs!$C$33*EXP(-(((((Model_Data!A209)-Inputs!$C$34)^2)+(((0)-Inputs!$C$35)^2))/(2*Inputs!$C$36^2)))+Inputs!$C$37*(0.55*SIN(2*PI()*(Model_Data!A209)/Inputs!$C$39)+0.35*COS(2*PI()*(0)/Inputs!$C$40)+0.2*SIN(2*PI()*((Model_Data!A209)+(0))/(0.5*(Inputs!$C$39+Inputs!$C$40))))+Inputs!$C$38*SIN(2*PI()*(Model_Data!A209)/Inputs!$C$39)*SIN(2*PI()*(0)/Inputs!$C$40)+-Inputs!$C$41*EXP(-(((0)-Inputs!$C$43)^2)/(2*Inputs!$C$44^2))*EXP(-(((Model_Data!A209)-Inputs!$C$42)^2)/(2*Inputs!$C$45^2))+Inputs!$C$48*(0.70*(0.45*SIN(2*PI()*(((Model_Data!A209)/Inputs!$C$49)+Inputs!$C$47*0.137))+0.35*COS(2*PI()*(((0)/Inputs!$C$50)+Inputs!$C$47*0.173))+0.20*SIN(2*PI()*(((Model_Data!A209)+(0))/(0.5*(Inputs!$C$49+Inputs!$C$50))+Inputs!$C$47*0.097)))+0.30*(2*((SIN(((Model_Data!A209)*12.9898+(0)*78.233+Inputs!$C$47*37.719))*43758.5453)-INT((SIN(((Model_Data!A209)*12.9898+(0)*78.233+Inputs!$C$47*37.719))*43758.5453)))-1))))/1000)))*1000/Inputs!$C$12)-Model_Data!F209))-(-(((SQRT((Model_Data!A209)^2+Inputs!$C$6^2+(Inputs!$C$5-((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(0.45*SIN(2*PI()*(((Model_Data!A209)/Inputs!$C$49)+Inputs!$C$47*0.137))+0.35*COS(2*PI()*(((Inputs!$C$6)/Inputs!$C$50)+Inputs!$C$47*0.173))+0.20*SIN(2*PI()*(((Model_Data!A209)+(Inputs!$C$6))/(0.5*(Inputs!$C$49+Inputs!$C$50))+Inputs!$C$47*0.097)))+0.30*(2*((SIN(((Model_Data!A209)*12.9898+(Inputs!$C$6)*78.233+Inputs!$C$47*37.719))*43758.5453)-INT((SIN(((Model_Data!A209)*12.9898+(Inputs!$C$6)*78.233+Inputs!$C$47*37.719))*43758.5453)))-1))))/1000)^2)-(Inputs!$C$5-((Inputs!$C$51*(115*EXP(-(((0)-25)^2)/(4.5^2))+70*EXP(-(((0)+38)^2)/(7^2))*(0.55+0.45*SIN(2*PI()*(Model_Data!A209)/45))+24*SIN(2*PI()*(0)/9+(Model_Data!A209)/18)*EXP(-(((0)+5)^2)/(22^2))+18*SIN(2*PI()*(Model_Data!A209)/70))+Inputs!$C$28*EXP(-(((Model_Data!A209)-Inputs!$C$29)^2)/(2*Inputs!$C$31^2))*EXP(-(((0)-Inputs!$C$30)^2)/(2*Inputs!$C$32^2))+-Inputs!$C$33*EXP(-(((((Model_Data!A209)-Inputs!$C$34)^2)+(((0)-Inputs!$C$35)^2))/(2*Inputs!$C$36^2)))+Inputs!$C$37*(0.55*SIN(2*PI()*(Model_Data!A209)/Inputs!$C$39)+0.35*COS(2*PI()*(0)/Inputs!$C$40)+0.2*SIN(2*PI()*((Model_Data!A209)+(0))/(0.5*(Inputs!$C$39+Inputs!$C$40))))+Inputs!$C$38*SIN(2*PI()*(Model_Data!A209)/Inputs!$C$39)*SIN(2*PI()*(0)/Inputs!$C$40)+-Inputs!$C$41*EXP(-(((0)-Inputs!$C$43)^2)/(2*Inputs!$C$44^2))*EXP(-(((Model_Data!A209)-Inputs!$C$42)^2)/(2*Inputs!$C$45^2))+Inputs!$C$48*(0.70*(0.45*SIN(2*PI()*(((Model_Data!A209)/Inputs!$C$49)+Inputs!$C$47*0.137))+0.35*COS(2*PI()*(((0)/Inputs!$C$50)+Inputs!$C$47*0.173))+0.20*SIN(2*PI()*(((Model_Data!A209)+(0))/(0.5*(Inputs!$C$49+Inputs!$C$50))+Inputs!$C$47*0.097)))+0.30*(2*((SIN(((Model_Data!A209)*12.9898+(0)*78.233+Inputs!$C$47*37.719))*43758.5453)-INT((SIN(((Model_Data!A209)*12.9898+(0)*78.233+Inputs!$C$47*37.719))*43758.5453)))-1))))/1000))*1000/Inputs!$C$12)-((SQRT((Model_Data!A209)^2+Inputs!$C$6^2+Inputs!$C$5^2)-Inputs!$C$5)*1000/Inputs!$C$12)))</x:f>
        <x:v>0.01015688120651248</x:v>
      </x:c>
      <x:c r="X209" s="48" t="n">
        <x:f>0</x:f>
        <x:v>0</x:v>
      </x:c>
      <x:c r="Y209" s="49"/>
      <x:c r="Z209" s="48" t="n">
        <x:f>Model_Data!A209</x:f>
        <x:v>43.5</x:v>
      </x:c>
      <x:c r="AA209" s="48" t="n">
        <x:f>SQRT((Model_Data!A209)^2+Inputs!$C$6^2+((Model_Data!B209)-((Inputs!$C$51*(115*EXP(-(((Inputs!$C$6)-25)^2)/(4.5^2))+70*EXP(-(((Inputs!$C$6)+38)^2)/(7^2))*(0.55+0.45*SIN(2*PI()*(Model_Data!A209)/45))+24*SIN(2*PI()*(Inputs!$C$6)/9+(Model_Data!A209)/18)*EXP(-(((Inputs!$C$6)+5)^2)/(22^2))+18*SIN(2*PI()*(Model_Data!A209)/70))+Inputs!$C$28*EXP(-(((Model_Data!A209)-Inputs!$C$29)^2)/(2*Inputs!$C$31^2))*EXP(-(((Inputs!$C$6)-Inputs!$C$30)^2)/(2*Inputs!$C$32^2))+-Inputs!$C$33*EXP(-(((((Model_Data!A209)-Inputs!$C$34)^2)+(((Inputs!$C$6)-Inputs!$C$35)^2))/(2*Inputs!$C$36^2)))+Inputs!$C$37*(0.55*SIN(2*PI()*(Model_Data!A209)/Inputs!$C$39)+0.35*COS(2*PI()*(Inputs!$C$6)/Inputs!$C$40)+0.2*SIN(2*PI()*((Model_Data!A209)+(Inputs!$C$6))/(0.5*(Inputs!$C$39+Inputs!$C$40))))+Inputs!$C$38*SIN(2*PI()*(Model_Data!A209)/Inputs!$C$39)*SIN(2*PI()*(Inputs!$C$6)/Inputs!$C$40)+-Inputs!$C$41*EXP(-(((Inputs!$C$6)-Inputs!$C$43)^2)/(2*Inputs!$C$44^2))*EXP(-(((Model_Data!A209)-Inputs!$C$42)^2)/(2*Inputs!$C$45^2))+Inputs!$C$48*(0.70*(0.45*SIN(2*PI()*(((Model_Data!A209)/Inputs!$C$49)+Inputs!$C$47*0.137))+0.35*COS(2*PI()*(((Inputs!$C$6)/Inputs!$C$50)+Inputs!$C$47*0.173))+0.20*SIN(2*PI()*(((Model_Data!A209)+(Inputs!$C$6))/(0.5*(Inputs!$C$49+Inputs!$C$50))+Inputs!$C$47*0.097)))+0.30*(2*((SIN(((Model_Data!A209)*12.9898+(Inputs!$C$6)*78.233+Inputs!$C$47*37.719))*43758.5453)-INT((SIN(((Model_Data!A209)*12.9898+(Inputs!$C$6)*78.233+Inputs!$C$47*37.719))*43758.5453)))-1))))/1000)^2)</x:f>
        <x:v>404.99690053901344</x:v>
      </x:c>
      <x:c r="AB209" s="48" t="n">
        <x:f>1000*(AA210-AA208)/(Z210-Z208)*Inputs!$C$11</x:f>
        <x:v>965.8301507472515</x:v>
      </x:c>
      <x:c r="AC209" s="48" t="n">
        <x:f>-2*AB209/Inputs!$C$13</x:f>
        <x:v>-386.3320602989006</x:v>
      </x:c>
      <x:c r="AD209" s="48" t="n">
        <x:f>-2*AB209/Inputs!$C$14</x:f>
        <x:v>-58.007816861696796</x:v>
      </x:c>
    </x:row>
    <x:row r="210">
      <x:c r="A210" s="48" t="n">
        <x:f>Model_Data!A210</x:f>
        <x:v>44</x:v>
      </x:c>
      <x:c r="B210" s="48" t="n">
        <x:f>Model_Data!F210</x:f>
        <x:v>1781.8088588434077</x:v>
      </x:c>
      <x:c r="C210" s="48" t="n">
        <x:f>(((SQRT((Model_Data!A210)^2+Inputs!$C$6^2+((Model_Data!B210)-((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(0.45*SIN(2*PI()*(((Model_Data!A210)/Inputs!$C$49)+Inputs!$C$47*0.137))+0.35*COS(2*PI()*(((Inputs!$C$6)/Inputs!$C$50)+Inputs!$C$47*0.173))+0.20*SIN(2*PI()*(((Model_Data!A210)+(Inputs!$C$6))/(0.5*(Inputs!$C$49+Inputs!$C$50))+Inputs!$C$47*0.097)))+0.30*(2*((SIN(((Model_Data!A210)*12.9898+(Inputs!$C$6)*78.233+Inputs!$C$47*37.719))*43758.5453)-INT((SIN(((Model_Data!A210)*12.9898+(Inputs!$C$6)*78.233+Inputs!$C$47*37.719))*43758.5453)))-1))))/1000)^2))-(((Model_Data!B210)-((Inputs!$C$51*(115*EXP(-(((0)-25)^2)/(4.5^2))+70*EXP(-(((0)+38)^2)/(7^2))*(0.55+0.45*SIN(2*PI()*(Model_Data!A210)/45))+24*SIN(2*PI()*(0)/9+(Model_Data!A210)/18)*EXP(-(((0)+5)^2)/(22^2))+18*SIN(2*PI()*(Model_Data!A210)/70))+Inputs!$C$28*EXP(-(((Model_Data!A210)-Inputs!$C$29)^2)/(2*Inputs!$C$31^2))*EXP(-(((0)-Inputs!$C$30)^2)/(2*Inputs!$C$32^2))+-Inputs!$C$33*EXP(-(((((Model_Data!A210)-Inputs!$C$34)^2)+(((0)-Inputs!$C$35)^2))/(2*Inputs!$C$36^2)))+Inputs!$C$37*(0.55*SIN(2*PI()*(Model_Data!A210)/Inputs!$C$39)+0.35*COS(2*PI()*(0)/Inputs!$C$40)+0.2*SIN(2*PI()*((Model_Data!A210)+(0))/(0.5*(Inputs!$C$39+Inputs!$C$40))))+Inputs!$C$38*SIN(2*PI()*(Model_Data!A210)/Inputs!$C$39)*SIN(2*PI()*(0)/Inputs!$C$40)+-Inputs!$C$41*EXP(-(((0)-Inputs!$C$43)^2)/(2*Inputs!$C$44^2))*EXP(-(((Model_Data!A210)-Inputs!$C$42)^2)/(2*Inputs!$C$45^2))+Inputs!$C$48*(0.70*(0.45*SIN(2*PI()*(((Model_Data!A210)/Inputs!$C$49)+Inputs!$C$47*0.137))+0.35*COS(2*PI()*(((0)/Inputs!$C$50)+Inputs!$C$47*0.173))+0.20*SIN(2*PI()*(((Model_Data!A210)+(0))/(0.5*(Inputs!$C$49+Inputs!$C$50))+Inputs!$C$47*0.097)))+0.30*(2*((SIN(((Model_Data!A210)*12.9898+(0)*78.233+Inputs!$C$47*37.719))*43758.5453)-INT((SIN(((Model_Data!A210)*12.9898+(0)*78.233+Inputs!$C$47*37.719))*43758.5453)))-1))))/1000)))*1000/Inputs!$C$12)</x:f>
        <x:v>1669.3632056969589</x:v>
      </x:c>
      <x:c r="D210" s="49"/>
      <x:c r="E210" s="48" t="n">
        <x:f>Model_Data!A210</x:f>
        <x:v>44</x:v>
      </x:c>
      <x:c r="F210" s="48" t="n">
        <x:f>(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(0.45*SIN(2*PI()*(((Model_Data!A210)/Inputs!$C$49)+Inputs!$C$47*0.137))+0.35*COS(2*PI()*(((Inputs!$C$6)/Inputs!$C$50)+Inputs!$C$47*0.173))+0.20*SIN(2*PI()*(((Model_Data!A210)+(Inputs!$C$6))/(0.5*(Inputs!$C$49+Inputs!$C$50))+Inputs!$C$47*0.097)))+0.30*(2*((SIN(((Model_Data!A210)*12.9898+(Inputs!$C$6)*78.233+Inputs!$C$47*37.719))*43758.5453)-INT((SIN(((Model_Data!A210)*12.9898+(Inputs!$C$6)*78.233+Inputs!$C$47*37.719))*43758.5453)))-1)))</x:f>
        <x:v>208.84015984832814</x:v>
      </x:c>
      <x:c r="G210" s="48" t="n">
        <x:f>(Inputs!$C$51*(115*EXP(-(((0)-25)^2)/(4.5^2))+70*EXP(-(((0)+38)^2)/(7^2))*(0.55+0.45*SIN(2*PI()*(Model_Data!A210)/45))+24*SIN(2*PI()*(0)/9+(Model_Data!A210)/18)*EXP(-(((0)+5)^2)/(22^2))+18*SIN(2*PI()*(Model_Data!A210)/70))+Inputs!$C$28*EXP(-(((Model_Data!A210)-Inputs!$C$29)^2)/(2*Inputs!$C$31^2))*EXP(-(((0)-Inputs!$C$30)^2)/(2*Inputs!$C$32^2))+-Inputs!$C$33*EXP(-(((((Model_Data!A210)-Inputs!$C$34)^2)+(((0)-Inputs!$C$35)^2))/(2*Inputs!$C$36^2)))+Inputs!$C$37*(0.55*SIN(2*PI()*(Model_Data!A210)/Inputs!$C$39)+0.35*COS(2*PI()*(0)/Inputs!$C$40)+0.2*SIN(2*PI()*((Model_Data!A210)+(0))/(0.5*(Inputs!$C$39+Inputs!$C$40))))+Inputs!$C$38*SIN(2*PI()*(Model_Data!A210)/Inputs!$C$39)*SIN(2*PI()*(0)/Inputs!$C$40)+-Inputs!$C$41*EXP(-(((0)-Inputs!$C$43)^2)/(2*Inputs!$C$44^2))*EXP(-(((Model_Data!A210)-Inputs!$C$42)^2)/(2*Inputs!$C$45^2))+Inputs!$C$48*(0.70*(0.45*SIN(2*PI()*(((Model_Data!A210)/Inputs!$C$49)+Inputs!$C$47*0.137))+0.35*COS(2*PI()*(((0)/Inputs!$C$50)+Inputs!$C$47*0.173))+0.20*SIN(2*PI()*(((Model_Data!A210)+(0))/(0.5*(Inputs!$C$49+Inputs!$C$50))+Inputs!$C$47*0.097)))+0.30*(2*((SIN(((Model_Data!A210)*12.9898+(0)*78.233+Inputs!$C$47*37.719))*43758.5453)-INT((SIN(((Model_Data!A210)*12.9898+(0)*78.233+Inputs!$C$47*37.719))*43758.5453)))-1)))</x:f>
        <x:v>7.051899638170276</x:v>
      </x:c>
      <x:c r="H210" s="49"/>
      <x:c r="I210" s="48" t="n">
        <x:f>Model_Data!A210</x:f>
        <x:v>44</x:v>
      </x:c>
      <x:c r="J210" s="48" t="n">
        <x:f>((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(0.45*SIN(2*PI()*(((Model_Data!A210)/Inputs!$C$49)+Inputs!$C$47*0.137))+0.35*COS(2*PI()*(((Inputs!$C$6)/Inputs!$C$50)+Inputs!$C$47*0.173))+0.20*SIN(2*PI()*(((Model_Data!A210)+(Inputs!$C$6))/(0.5*(Inputs!$C$49+Inputs!$C$50))+Inputs!$C$47*0.097)))+0.30*(2*((SIN(((Model_Data!A210)*12.9898+(Inputs!$C$6)*78.233+Inputs!$C$47*37.719))*43758.5453)-INT((SIN(((Model_Data!A210)*12.9898+(Inputs!$C$6)*78.233+Inputs!$C$47*37.719))*43758.5453)))-1))))-((Inputs!$C$51*(115*EXP(-(((0)-25)^2)/(4.5^2))+70*EXP(-(((0)+38)^2)/(7^2))*(0.55+0.45*SIN(2*PI()*(Model_Data!A210)/45))+24*SIN(2*PI()*(0)/9+(Model_Data!A210)/18)*EXP(-(((0)+5)^2)/(22^2))+18*SIN(2*PI()*(Model_Data!A210)/70))+Inputs!$C$28*EXP(-(((Model_Data!A210)-Inputs!$C$29)^2)/(2*Inputs!$C$31^2))*EXP(-(((0)-Inputs!$C$30)^2)/(2*Inputs!$C$32^2))+-Inputs!$C$33*EXP(-(((((Model_Data!A210)-Inputs!$C$34)^2)+(((0)-Inputs!$C$35)^2))/(2*Inputs!$C$36^2)))+Inputs!$C$37*(0.55*SIN(2*PI()*(Model_Data!A210)/Inputs!$C$39)+0.35*COS(2*PI()*(0)/Inputs!$C$40)+0.2*SIN(2*PI()*((Model_Data!A210)+(0))/(0.5*(Inputs!$C$39+Inputs!$C$40))))+Inputs!$C$38*SIN(2*PI()*(Model_Data!A210)/Inputs!$C$39)*SIN(2*PI()*(0)/Inputs!$C$40)+-Inputs!$C$41*EXP(-(((0)-Inputs!$C$43)^2)/(2*Inputs!$C$44^2))*EXP(-(((Model_Data!A210)-Inputs!$C$42)^2)/(2*Inputs!$C$45^2))+Inputs!$C$48*(0.70*(0.45*SIN(2*PI()*(((Model_Data!A210)/Inputs!$C$49)+Inputs!$C$47*0.137))+0.35*COS(2*PI()*(((0)/Inputs!$C$50)+Inputs!$C$47*0.173))+0.20*SIN(2*PI()*(((Model_Data!A210)+(0))/(0.5*(Inputs!$C$49+Inputs!$C$50))+Inputs!$C$47*0.097)))+0.30*(2*((SIN(((Model_Data!A210)*12.9898+(0)*78.233+Inputs!$C$47*37.719))*43758.5453)-INT((SIN(((Model_Data!A210)*12.9898+(0)*78.233+Inputs!$C$47*37.719))*43758.5453)))-1))))</x:f>
        <x:v>201.78826021015786</x:v>
      </x:c>
      <x:c r="K210" s="48" t="n">
        <x:f>-((((SQRT((Model_Data!A210)^2+Inputs!$C$6^2+((Model_Data!B210)-((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(0.45*SIN(2*PI()*(((Model_Data!A210)/Inputs!$C$49)+Inputs!$C$47*0.137))+0.35*COS(2*PI()*(((Inputs!$C$6)/Inputs!$C$50)+Inputs!$C$47*0.173))+0.20*SIN(2*PI()*(((Model_Data!A210)+(Inputs!$C$6))/(0.5*(Inputs!$C$49+Inputs!$C$50))+Inputs!$C$47*0.097)))+0.30*(2*((SIN(((Model_Data!A210)*12.9898+(Inputs!$C$6)*78.233+Inputs!$C$47*37.719))*43758.5453)-INT((SIN(((Model_Data!A210)*12.9898+(Inputs!$C$6)*78.233+Inputs!$C$47*37.719))*43758.5453)))-1))))/1000)^2))-(((Model_Data!B210)-((Inputs!$C$51*(115*EXP(-(((0)-25)^2)/(4.5^2))+70*EXP(-(((0)+38)^2)/(7^2))*(0.55+0.45*SIN(2*PI()*(Model_Data!A210)/45))+24*SIN(2*PI()*(0)/9+(Model_Data!A210)/18)*EXP(-(((0)+5)^2)/(22^2))+18*SIN(2*PI()*(Model_Data!A210)/70))+Inputs!$C$28*EXP(-(((Model_Data!A210)-Inputs!$C$29)^2)/(2*Inputs!$C$31^2))*EXP(-(((0)-Inputs!$C$30)^2)/(2*Inputs!$C$32^2))+-Inputs!$C$33*EXP(-(((((Model_Data!A210)-Inputs!$C$34)^2)+(((0)-Inputs!$C$35)^2))/(2*Inputs!$C$36^2)))+Inputs!$C$37*(0.55*SIN(2*PI()*(Model_Data!A210)/Inputs!$C$39)+0.35*COS(2*PI()*(0)/Inputs!$C$40)+0.2*SIN(2*PI()*((Model_Data!A210)+(0))/(0.5*(Inputs!$C$39+Inputs!$C$40))))+Inputs!$C$38*SIN(2*PI()*(Model_Data!A210)/Inputs!$C$39)*SIN(2*PI()*(0)/Inputs!$C$40)+-Inputs!$C$41*EXP(-(((0)-Inputs!$C$43)^2)/(2*Inputs!$C$44^2))*EXP(-(((Model_Data!A210)-Inputs!$C$42)^2)/(2*Inputs!$C$45^2))+Inputs!$C$48*(0.70*(0.45*SIN(2*PI()*(((Model_Data!A210)/Inputs!$C$49)+Inputs!$C$47*0.137))+0.35*COS(2*PI()*(((0)/Inputs!$C$50)+Inputs!$C$47*0.173))+0.20*SIN(2*PI()*(((Model_Data!A210)+(0))/(0.5*(Inputs!$C$49+Inputs!$C$50))+Inputs!$C$47*0.097)))+0.30*(2*((SIN(((Model_Data!A210)*12.9898+(0)*78.233+Inputs!$C$47*37.719))*43758.5453)-INT((SIN(((Model_Data!A210)*12.9898+(0)*78.233+Inputs!$C$47*37.719))*43758.5453)))-1))))/1000)))*1000/Inputs!$C$12)-Model_Data!F210)</x:f>
        <x:v>112.44565314644888</x:v>
      </x:c>
      <x:c r="L210" s="49"/>
      <x:c r="M210" s="48" t="n">
        <x:f>Model_Data!A210</x:f>
        <x:v>44</x:v>
      </x:c>
      <x:c r="N210" s="48" t="n">
        <x:f>Model_Data!P210</x:f>
        <x:v>-328.9090322447558</x:v>
      </x:c>
      <x:c r="O210" s="48" t="n">
        <x:f>AC210</x:f>
        <x:v>-402.63970607247757</x:v>
      </x:c>
      <x:c r="P210" s="48" t="n">
        <x:f>Model_Data!Q210</x:f>
        <x:v>-49.38574057729066</x:v>
      </x:c>
      <x:c r="Q210" s="48" t="n">
        <x:f>AD210</x:f>
        <x:v>-60.45641232319483</x:v>
      </x:c>
      <x:c r="R210" s="49"/>
      <x:c r="S210" s="48" t="n">
        <x:f>Model_Data!A210</x:f>
        <x:v>44</x:v>
      </x:c>
      <x:c r="T210" s="48" t="n">
        <x:f>Model_Data!B210-Inputs!$C$5</x:f>
        <x:v>2.1511111111111063</x:v>
      </x:c>
      <x:c r="U210" s="49"/>
      <x:c r="V210" s="48" t="n">
        <x:f>Model_Data!A210</x:f>
        <x:v>44</x:v>
      </x:c>
      <x:c r="W210" s="48" t="n">
        <x:f>(-((((SQRT((Model_Data!A210)^2+Inputs!$C$6^2+((Model_Data!B210)-((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(0.45*SIN(2*PI()*(((Model_Data!A210)/Inputs!$C$49)+Inputs!$C$47*0.137))+0.35*COS(2*PI()*(((Inputs!$C$6)/Inputs!$C$50)+Inputs!$C$47*0.173))+0.20*SIN(2*PI()*(((Model_Data!A210)+(Inputs!$C$6))/(0.5*(Inputs!$C$49+Inputs!$C$50))+Inputs!$C$47*0.097)))+0.30*(2*((SIN(((Model_Data!A210)*12.9898+(Inputs!$C$6)*78.233+Inputs!$C$47*37.719))*43758.5453)-INT((SIN(((Model_Data!A210)*12.9898+(Inputs!$C$6)*78.233+Inputs!$C$47*37.719))*43758.5453)))-1))))/1000)^2))-(((Model_Data!B210)-((Inputs!$C$51*(115*EXP(-(((0)-25)^2)/(4.5^2))+70*EXP(-(((0)+38)^2)/(7^2))*(0.55+0.45*SIN(2*PI()*(Model_Data!A210)/45))+24*SIN(2*PI()*(0)/9+(Model_Data!A210)/18)*EXP(-(((0)+5)^2)/(22^2))+18*SIN(2*PI()*(Model_Data!A210)/70))+Inputs!$C$28*EXP(-(((Model_Data!A210)-Inputs!$C$29)^2)/(2*Inputs!$C$31^2))*EXP(-(((0)-Inputs!$C$30)^2)/(2*Inputs!$C$32^2))+-Inputs!$C$33*EXP(-(((((Model_Data!A210)-Inputs!$C$34)^2)+(((0)-Inputs!$C$35)^2))/(2*Inputs!$C$36^2)))+Inputs!$C$37*(0.55*SIN(2*PI()*(Model_Data!A210)/Inputs!$C$39)+0.35*COS(2*PI()*(0)/Inputs!$C$40)+0.2*SIN(2*PI()*((Model_Data!A210)+(0))/(0.5*(Inputs!$C$39+Inputs!$C$40))))+Inputs!$C$38*SIN(2*PI()*(Model_Data!A210)/Inputs!$C$39)*SIN(2*PI()*(0)/Inputs!$C$40)+-Inputs!$C$41*EXP(-(((0)-Inputs!$C$43)^2)/(2*Inputs!$C$44^2))*EXP(-(((Model_Data!A210)-Inputs!$C$42)^2)/(2*Inputs!$C$45^2))+Inputs!$C$48*(0.70*(0.45*SIN(2*PI()*(((Model_Data!A210)/Inputs!$C$49)+Inputs!$C$47*0.137))+0.35*COS(2*PI()*(((0)/Inputs!$C$50)+Inputs!$C$47*0.173))+0.20*SIN(2*PI()*(((Model_Data!A210)+(0))/(0.5*(Inputs!$C$49+Inputs!$C$50))+Inputs!$C$47*0.097)))+0.30*(2*((SIN(((Model_Data!A210)*12.9898+(0)*78.233+Inputs!$C$47*37.719))*43758.5453)-INT((SIN(((Model_Data!A210)*12.9898+(0)*78.233+Inputs!$C$47*37.719))*43758.5453)))-1))))/1000)))*1000/Inputs!$C$12)-Model_Data!F210))-(-(((SQRT((Model_Data!A210)^2+Inputs!$C$6^2+(Inputs!$C$5-((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(0.45*SIN(2*PI()*(((Model_Data!A210)/Inputs!$C$49)+Inputs!$C$47*0.137))+0.35*COS(2*PI()*(((Inputs!$C$6)/Inputs!$C$50)+Inputs!$C$47*0.173))+0.20*SIN(2*PI()*(((Model_Data!A210)+(Inputs!$C$6))/(0.5*(Inputs!$C$49+Inputs!$C$50))+Inputs!$C$47*0.097)))+0.30*(2*((SIN(((Model_Data!A210)*12.9898+(Inputs!$C$6)*78.233+Inputs!$C$47*37.719))*43758.5453)-INT((SIN(((Model_Data!A210)*12.9898+(Inputs!$C$6)*78.233+Inputs!$C$47*37.719))*43758.5453)))-1))))/1000)^2)-(Inputs!$C$5-((Inputs!$C$51*(115*EXP(-(((0)-25)^2)/(4.5^2))+70*EXP(-(((0)+38)^2)/(7^2))*(0.55+0.45*SIN(2*PI()*(Model_Data!A210)/45))+24*SIN(2*PI()*(0)/9+(Model_Data!A210)/18)*EXP(-(((0)+5)^2)/(22^2))+18*SIN(2*PI()*(Model_Data!A210)/70))+Inputs!$C$28*EXP(-(((Model_Data!A210)-Inputs!$C$29)^2)/(2*Inputs!$C$31^2))*EXP(-(((0)-Inputs!$C$30)^2)/(2*Inputs!$C$32^2))+-Inputs!$C$33*EXP(-(((((Model_Data!A210)-Inputs!$C$34)^2)+(((0)-Inputs!$C$35)^2))/(2*Inputs!$C$36^2)))+Inputs!$C$37*(0.55*SIN(2*PI()*(Model_Data!A210)/Inputs!$C$39)+0.35*COS(2*PI()*(0)/Inputs!$C$40)+0.2*SIN(2*PI()*((Model_Data!A210)+(0))/(0.5*(Inputs!$C$39+Inputs!$C$40))))+Inputs!$C$38*SIN(2*PI()*(Model_Data!A210)/Inputs!$C$39)*SIN(2*PI()*(0)/Inputs!$C$40)+-Inputs!$C$41*EXP(-(((0)-Inputs!$C$43)^2)/(2*Inputs!$C$44^2))*EXP(-(((Model_Data!A210)-Inputs!$C$42)^2)/(2*Inputs!$C$45^2))+Inputs!$C$48*(0.70*(0.45*SIN(2*PI()*(((Model_Data!A210)/Inputs!$C$49)+Inputs!$C$47*0.137))+0.35*COS(2*PI()*(((0)/Inputs!$C$50)+Inputs!$C$47*0.173))+0.20*SIN(2*PI()*(((Model_Data!A210)+(0))/(0.5*(Inputs!$C$49+Inputs!$C$50))+Inputs!$C$47*0.097)))+0.30*(2*((SIN(((Model_Data!A210)*12.9898+(0)*78.233+Inputs!$C$47*37.719))*43758.5453)-INT((SIN(((Model_Data!A210)*12.9898+(0)*78.233+Inputs!$C$47*37.719))*43758.5453)))-1))))/1000))*1000/Inputs!$C$12)-((SQRT((Model_Data!A210)^2+Inputs!$C$6^2+Inputs!$C$5^2)-Inputs!$C$5)*1000/Inputs!$C$12)))</x:f>
        <x:v>0.009791253127332311</x:v>
      </x:c>
      <x:c r="X210" s="48" t="n">
        <x:f>0</x:f>
        <x:v>0</x:v>
      </x:c>
      <x:c r="Y210" s="49"/>
      <x:c r="Z210" s="48" t="n">
        <x:f>Model_Data!A210</x:f>
        <x:v>44</x:v>
      </x:c>
      <x:c r="AA210" s="48" t="n">
        <x:f>SQRT((Model_Data!A210)^2+Inputs!$C$6^2+((Model_Data!B210)-((Inputs!$C$51*(115*EXP(-(((Inputs!$C$6)-25)^2)/(4.5^2))+70*EXP(-(((Inputs!$C$6)+38)^2)/(7^2))*(0.55+0.45*SIN(2*PI()*(Model_Data!A210)/45))+24*SIN(2*PI()*(Inputs!$C$6)/9+(Model_Data!A210)/18)*EXP(-(((Inputs!$C$6)+5)^2)/(22^2))+18*SIN(2*PI()*(Model_Data!A210)/70))+Inputs!$C$28*EXP(-(((Model_Data!A210)-Inputs!$C$29)^2)/(2*Inputs!$C$31^2))*EXP(-(((Inputs!$C$6)-Inputs!$C$30)^2)/(2*Inputs!$C$32^2))+-Inputs!$C$33*EXP(-(((((Model_Data!A210)-Inputs!$C$34)^2)+(((Inputs!$C$6)-Inputs!$C$35)^2))/(2*Inputs!$C$36^2)))+Inputs!$C$37*(0.55*SIN(2*PI()*(Model_Data!A210)/Inputs!$C$39)+0.35*COS(2*PI()*(Inputs!$C$6)/Inputs!$C$40)+0.2*SIN(2*PI()*((Model_Data!A210)+(Inputs!$C$6))/(0.5*(Inputs!$C$39+Inputs!$C$40))))+Inputs!$C$38*SIN(2*PI()*(Model_Data!A210)/Inputs!$C$39)*SIN(2*PI()*(Inputs!$C$6)/Inputs!$C$40)+-Inputs!$C$41*EXP(-(((Inputs!$C$6)-Inputs!$C$43)^2)/(2*Inputs!$C$44^2))*EXP(-(((Model_Data!A210)-Inputs!$C$42)^2)/(2*Inputs!$C$45^2))+Inputs!$C$48*(0.70*(0.45*SIN(2*PI()*(((Model_Data!A210)/Inputs!$C$49)+Inputs!$C$47*0.137))+0.35*COS(2*PI()*(((Inputs!$C$6)/Inputs!$C$50)+Inputs!$C$47*0.173))+0.20*SIN(2*PI()*(((Model_Data!A210)+(Inputs!$C$6))/(0.5*(Inputs!$C$49+Inputs!$C$50))+Inputs!$C$47*0.097)))+0.30*(2*((SIN(((Model_Data!A210)*12.9898+(Inputs!$C$6)*78.233+Inputs!$C$47*37.719))*43758.5453)-INT((SIN(((Model_Data!A210)*12.9898+(Inputs!$C$6)*78.233+Inputs!$C$47*37.719))*43758.5453)))-1))))/1000)^2)</x:f>
        <x:v>405.11552571761354</x:v>
      </x:c>
      <x:c r="AB210" s="48" t="n">
        <x:f>1000*(AA211-AA209)/(Z211-Z209)*Inputs!$C$11</x:f>
        <x:v>1006.5992651811939</x:v>
      </x:c>
      <x:c r="AC210" s="48" t="n">
        <x:f>-2*AB210/Inputs!$C$13</x:f>
        <x:v>-402.63970607247757</x:v>
      </x:c>
      <x:c r="AD210" s="48" t="n">
        <x:f>-2*AB210/Inputs!$C$14</x:f>
        <x:v>-60.45641232319483</x:v>
      </x:c>
    </x:row>
    <x:row r="211">
      <x:c r="A211" s="48" t="n">
        <x:f>Model_Data!A211</x:f>
        <x:v>44.5</x:v>
      </x:c>
      <x:c r="B211" s="48" t="n">
        <x:f>Model_Data!F211</x:f>
        <x:v>1812.253358921519</x:v>
      </x:c>
      <x:c r="C211" s="48" t="n">
        <x:f>(((SQRT((Model_Data!A211)^2+Inputs!$C$6^2+((Model_Data!B211)-((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(0.45*SIN(2*PI()*(((Model_Data!A211)/Inputs!$C$49)+Inputs!$C$47*0.137))+0.35*COS(2*PI()*(((Inputs!$C$6)/Inputs!$C$50)+Inputs!$C$47*0.173))+0.20*SIN(2*PI()*(((Model_Data!A211)+(Inputs!$C$6))/(0.5*(Inputs!$C$49+Inputs!$C$50))+Inputs!$C$47*0.097)))+0.30*(2*((SIN(((Model_Data!A211)*12.9898+(Inputs!$C$6)*78.233+Inputs!$C$47*37.719))*43758.5453)-INT((SIN(((Model_Data!A211)*12.9898+(Inputs!$C$6)*78.233+Inputs!$C$47*37.719))*43758.5453)))-1))))/1000)^2))-(((Model_Data!B211)-((Inputs!$C$51*(115*EXP(-(((0)-25)^2)/(4.5^2))+70*EXP(-(((0)+38)^2)/(7^2))*(0.55+0.45*SIN(2*PI()*(Model_Data!A211)/45))+24*SIN(2*PI()*(0)/9+(Model_Data!A211)/18)*EXP(-(((0)+5)^2)/(22^2))+18*SIN(2*PI()*(Model_Data!A211)/70))+Inputs!$C$28*EXP(-(((Model_Data!A211)-Inputs!$C$29)^2)/(2*Inputs!$C$31^2))*EXP(-(((0)-Inputs!$C$30)^2)/(2*Inputs!$C$32^2))+-Inputs!$C$33*EXP(-(((((Model_Data!A211)-Inputs!$C$34)^2)+(((0)-Inputs!$C$35)^2))/(2*Inputs!$C$36^2)))+Inputs!$C$37*(0.55*SIN(2*PI()*(Model_Data!A211)/Inputs!$C$39)+0.35*COS(2*PI()*(0)/Inputs!$C$40)+0.2*SIN(2*PI()*((Model_Data!A211)+(0))/(0.5*(Inputs!$C$39+Inputs!$C$40))))+Inputs!$C$38*SIN(2*PI()*(Model_Data!A211)/Inputs!$C$39)*SIN(2*PI()*(0)/Inputs!$C$40)+-Inputs!$C$41*EXP(-(((0)-Inputs!$C$43)^2)/(2*Inputs!$C$44^2))*EXP(-(((Model_Data!A211)-Inputs!$C$42)^2)/(2*Inputs!$C$45^2))+Inputs!$C$48*(0.70*(0.45*SIN(2*PI()*(((Model_Data!A211)/Inputs!$C$49)+Inputs!$C$47*0.137))+0.35*COS(2*PI()*(((0)/Inputs!$C$50)+Inputs!$C$47*0.173))+0.20*SIN(2*PI()*(((Model_Data!A211)+(0))/(0.5*(Inputs!$C$49+Inputs!$C$50))+Inputs!$C$47*0.097)))+0.30*(2*((SIN(((Model_Data!A211)*12.9898+(0)*78.233+Inputs!$C$47*37.719))*43758.5453)-INT((SIN(((Model_Data!A211)*12.9898+(0)*78.233+Inputs!$C$47*37.719))*43758.5453)))-1))))/1000)))*1000/Inputs!$C$12)</x:f>
        <x:v>1710.667899675272</x:v>
      </x:c>
      <x:c r="D211" s="49"/>
      <x:c r="E211" s="48" t="n">
        <x:f>Model_Data!A211</x:f>
        <x:v>44.5</x:v>
      </x:c>
      <x:c r="F211" s="48" t="n">
        <x:f>(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(0.45*SIN(2*PI()*(((Model_Data!A211)/Inputs!$C$49)+Inputs!$C$47*0.137))+0.35*COS(2*PI()*(((Inputs!$C$6)/Inputs!$C$50)+Inputs!$C$47*0.173))+0.20*SIN(2*PI()*(((Model_Data!A211)+(Inputs!$C$6))/(0.5*(Inputs!$C$49+Inputs!$C$50))+Inputs!$C$47*0.097)))+0.30*(2*((SIN(((Model_Data!A211)*12.9898+(Inputs!$C$6)*78.233+Inputs!$C$47*37.719))*43758.5453)-INT((SIN(((Model_Data!A211)*12.9898+(Inputs!$C$6)*78.233+Inputs!$C$47*37.719))*43758.5453)))-1)))</x:f>
        <x:v>178.96296340227542</x:v>
      </x:c>
      <x:c r="G211" s="48" t="n">
        <x:f>(Inputs!$C$51*(115*EXP(-(((0)-25)^2)/(4.5^2))+70*EXP(-(((0)+38)^2)/(7^2))*(0.55+0.45*SIN(2*PI()*(Model_Data!A211)/45))+24*SIN(2*PI()*(0)/9+(Model_Data!A211)/18)*EXP(-(((0)+5)^2)/(22^2))+18*SIN(2*PI()*(Model_Data!A211)/70))+Inputs!$C$28*EXP(-(((Model_Data!A211)-Inputs!$C$29)^2)/(2*Inputs!$C$31^2))*EXP(-(((0)-Inputs!$C$30)^2)/(2*Inputs!$C$32^2))+-Inputs!$C$33*EXP(-(((((Model_Data!A211)-Inputs!$C$34)^2)+(((0)-Inputs!$C$35)^2))/(2*Inputs!$C$36^2)))+Inputs!$C$37*(0.55*SIN(2*PI()*(Model_Data!A211)/Inputs!$C$39)+0.35*COS(2*PI()*(0)/Inputs!$C$40)+0.2*SIN(2*PI()*((Model_Data!A211)+(0))/(0.5*(Inputs!$C$39+Inputs!$C$40))))+Inputs!$C$38*SIN(2*PI()*(Model_Data!A211)/Inputs!$C$39)*SIN(2*PI()*(0)/Inputs!$C$40)+-Inputs!$C$41*EXP(-(((0)-Inputs!$C$43)^2)/(2*Inputs!$C$44^2))*EXP(-(((Model_Data!A211)-Inputs!$C$42)^2)/(2*Inputs!$C$45^2))+Inputs!$C$48*(0.70*(0.45*SIN(2*PI()*(((Model_Data!A211)/Inputs!$C$49)+Inputs!$C$47*0.137))+0.35*COS(2*PI()*(((0)/Inputs!$C$50)+Inputs!$C$47*0.173))+0.20*SIN(2*PI()*(((Model_Data!A211)+(0))/(0.5*(Inputs!$C$49+Inputs!$C$50))+Inputs!$C$47*0.097)))+0.30*(2*((SIN(((Model_Data!A211)*12.9898+(0)*78.233+Inputs!$C$47*37.719))*43758.5453)-INT((SIN(((Model_Data!A211)*12.9898+(0)*78.233+Inputs!$C$47*37.719))*43758.5453)))-1)))</x:f>
        <x:v>-3.283716108943903</x:v>
      </x:c>
      <x:c r="H211" s="49"/>
      <x:c r="I211" s="48" t="n">
        <x:f>Model_Data!A211</x:f>
        <x:v>44.5</x:v>
      </x:c>
      <x:c r="J211" s="48" t="n">
        <x:f>((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(0.45*SIN(2*PI()*(((Model_Data!A211)/Inputs!$C$49)+Inputs!$C$47*0.137))+0.35*COS(2*PI()*(((Inputs!$C$6)/Inputs!$C$50)+Inputs!$C$47*0.173))+0.20*SIN(2*PI()*(((Model_Data!A211)+(Inputs!$C$6))/(0.5*(Inputs!$C$49+Inputs!$C$50))+Inputs!$C$47*0.097)))+0.30*(2*((SIN(((Model_Data!A211)*12.9898+(Inputs!$C$6)*78.233+Inputs!$C$47*37.719))*43758.5453)-INT((SIN(((Model_Data!A211)*12.9898+(Inputs!$C$6)*78.233+Inputs!$C$47*37.719))*43758.5453)))-1))))-((Inputs!$C$51*(115*EXP(-(((0)-25)^2)/(4.5^2))+70*EXP(-(((0)+38)^2)/(7^2))*(0.55+0.45*SIN(2*PI()*(Model_Data!A211)/45))+24*SIN(2*PI()*(0)/9+(Model_Data!A211)/18)*EXP(-(((0)+5)^2)/(22^2))+18*SIN(2*PI()*(Model_Data!A211)/70))+Inputs!$C$28*EXP(-(((Model_Data!A211)-Inputs!$C$29)^2)/(2*Inputs!$C$31^2))*EXP(-(((0)-Inputs!$C$30)^2)/(2*Inputs!$C$32^2))+-Inputs!$C$33*EXP(-(((((Model_Data!A211)-Inputs!$C$34)^2)+(((0)-Inputs!$C$35)^2))/(2*Inputs!$C$36^2)))+Inputs!$C$37*(0.55*SIN(2*PI()*(Model_Data!A211)/Inputs!$C$39)+0.35*COS(2*PI()*(0)/Inputs!$C$40)+0.2*SIN(2*PI()*((Model_Data!A211)+(0))/(0.5*(Inputs!$C$39+Inputs!$C$40))))+Inputs!$C$38*SIN(2*PI()*(Model_Data!A211)/Inputs!$C$39)*SIN(2*PI()*(0)/Inputs!$C$40)+-Inputs!$C$41*EXP(-(((0)-Inputs!$C$43)^2)/(2*Inputs!$C$44^2))*EXP(-(((Model_Data!A211)-Inputs!$C$42)^2)/(2*Inputs!$C$45^2))+Inputs!$C$48*(0.70*(0.45*SIN(2*PI()*(((Model_Data!A211)/Inputs!$C$49)+Inputs!$C$47*0.137))+0.35*COS(2*PI()*(((0)/Inputs!$C$50)+Inputs!$C$47*0.173))+0.20*SIN(2*PI()*(((Model_Data!A211)+(0))/(0.5*(Inputs!$C$49+Inputs!$C$50))+Inputs!$C$47*0.097)))+0.30*(2*((SIN(((Model_Data!A211)*12.9898+(0)*78.233+Inputs!$C$47*37.719))*43758.5453)-INT((SIN(((Model_Data!A211)*12.9898+(0)*78.233+Inputs!$C$47*37.719))*43758.5453)))-1))))</x:f>
        <x:v>182.24667951121933</x:v>
      </x:c>
      <x:c r="K211" s="48" t="n">
        <x:f>-((((SQRT((Model_Data!A211)^2+Inputs!$C$6^2+((Model_Data!B211)-((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(0.45*SIN(2*PI()*(((Model_Data!A211)/Inputs!$C$49)+Inputs!$C$47*0.137))+0.35*COS(2*PI()*(((Inputs!$C$6)/Inputs!$C$50)+Inputs!$C$47*0.173))+0.20*SIN(2*PI()*(((Model_Data!A211)+(Inputs!$C$6))/(0.5*(Inputs!$C$49+Inputs!$C$50))+Inputs!$C$47*0.097)))+0.30*(2*((SIN(((Model_Data!A211)*12.9898+(Inputs!$C$6)*78.233+Inputs!$C$47*37.719))*43758.5453)-INT((SIN(((Model_Data!A211)*12.9898+(Inputs!$C$6)*78.233+Inputs!$C$47*37.719))*43758.5453)))-1))))/1000)^2))-(((Model_Data!B211)-((Inputs!$C$51*(115*EXP(-(((0)-25)^2)/(4.5^2))+70*EXP(-(((0)+38)^2)/(7^2))*(0.55+0.45*SIN(2*PI()*(Model_Data!A211)/45))+24*SIN(2*PI()*(0)/9+(Model_Data!A211)/18)*EXP(-(((0)+5)^2)/(22^2))+18*SIN(2*PI()*(Model_Data!A211)/70))+Inputs!$C$28*EXP(-(((Model_Data!A211)-Inputs!$C$29)^2)/(2*Inputs!$C$31^2))*EXP(-(((0)-Inputs!$C$30)^2)/(2*Inputs!$C$32^2))+-Inputs!$C$33*EXP(-(((((Model_Data!A211)-Inputs!$C$34)^2)+(((0)-Inputs!$C$35)^2))/(2*Inputs!$C$36^2)))+Inputs!$C$37*(0.55*SIN(2*PI()*(Model_Data!A211)/Inputs!$C$39)+0.35*COS(2*PI()*(0)/Inputs!$C$40)+0.2*SIN(2*PI()*((Model_Data!A211)+(0))/(0.5*(Inputs!$C$39+Inputs!$C$40))))+Inputs!$C$38*SIN(2*PI()*(Model_Data!A211)/Inputs!$C$39)*SIN(2*PI()*(0)/Inputs!$C$40)+-Inputs!$C$41*EXP(-(((0)-Inputs!$C$43)^2)/(2*Inputs!$C$44^2))*EXP(-(((Model_Data!A211)-Inputs!$C$42)^2)/(2*Inputs!$C$45^2))+Inputs!$C$48*(0.70*(0.45*SIN(2*PI()*(((Model_Data!A211)/Inputs!$C$49)+Inputs!$C$47*0.137))+0.35*COS(2*PI()*(((0)/Inputs!$C$50)+Inputs!$C$47*0.173))+0.20*SIN(2*PI()*(((Model_Data!A211)+(0))/(0.5*(Inputs!$C$49+Inputs!$C$50))+Inputs!$C$47*0.097)))+0.30*(2*((SIN(((Model_Data!A211)*12.9898+(0)*78.233+Inputs!$C$47*37.719))*43758.5453)-INT((SIN(((Model_Data!A211)*12.9898+(0)*78.233+Inputs!$C$47*37.719))*43758.5453)))-1))))/1000)))*1000/Inputs!$C$12)-Model_Data!F211)</x:f>
        <x:v>101.58545924624696</x:v>
      </x:c>
      <x:c r="L211" s="49"/>
      <x:c r="M211" s="48" t="n">
        <x:f>Model_Data!A211</x:f>
        <x:v>44.5</x:v>
      </x:c>
      <x:c r="N211" s="48" t="n">
        <x:f>Model_Data!P211</x:f>
        <x:v>-332.58101900128577</x:v>
      </x:c>
      <x:c r="O211" s="48" t="n">
        <x:f>AC211</x:f>
        <x:v>-401.82371569335373</x:v>
      </x:c>
      <x:c r="P211" s="48" t="n">
        <x:f>Model_Data!Q211</x:f>
        <x:v>-49.937089940133</x:v>
      </x:c>
      <x:c r="Q211" s="48" t="n">
        <x:f>AD211</x:f>
        <x:v>-60.33389124524831</x:v>
      </x:c>
      <x:c r="R211" s="49"/>
      <x:c r="S211" s="48" t="n">
        <x:f>Model_Data!A211</x:f>
        <x:v>44.5</x:v>
      </x:c>
      <x:c r="T211" s="48" t="n">
        <x:f>Model_Data!B211-Inputs!$C$5</x:f>
        <x:v>2.200277777777785</x:v>
      </x:c>
      <x:c r="U211" s="49"/>
      <x:c r="V211" s="48" t="n">
        <x:f>Model_Data!A211</x:f>
        <x:v>44.5</x:v>
      </x:c>
      <x:c r="W211" s="48" t="n">
        <x:f>(-((((SQRT((Model_Data!A211)^2+Inputs!$C$6^2+((Model_Data!B211)-((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(0.45*SIN(2*PI()*(((Model_Data!A211)/Inputs!$C$49)+Inputs!$C$47*0.137))+0.35*COS(2*PI()*(((Inputs!$C$6)/Inputs!$C$50)+Inputs!$C$47*0.173))+0.20*SIN(2*PI()*(((Model_Data!A211)+(Inputs!$C$6))/(0.5*(Inputs!$C$49+Inputs!$C$50))+Inputs!$C$47*0.097)))+0.30*(2*((SIN(((Model_Data!A211)*12.9898+(Inputs!$C$6)*78.233+Inputs!$C$47*37.719))*43758.5453)-INT((SIN(((Model_Data!A211)*12.9898+(Inputs!$C$6)*78.233+Inputs!$C$47*37.719))*43758.5453)))-1))))/1000)^2))-(((Model_Data!B211)-((Inputs!$C$51*(115*EXP(-(((0)-25)^2)/(4.5^2))+70*EXP(-(((0)+38)^2)/(7^2))*(0.55+0.45*SIN(2*PI()*(Model_Data!A211)/45))+24*SIN(2*PI()*(0)/9+(Model_Data!A211)/18)*EXP(-(((0)+5)^2)/(22^2))+18*SIN(2*PI()*(Model_Data!A211)/70))+Inputs!$C$28*EXP(-(((Model_Data!A211)-Inputs!$C$29)^2)/(2*Inputs!$C$31^2))*EXP(-(((0)-Inputs!$C$30)^2)/(2*Inputs!$C$32^2))+-Inputs!$C$33*EXP(-(((((Model_Data!A211)-Inputs!$C$34)^2)+(((0)-Inputs!$C$35)^2))/(2*Inputs!$C$36^2)))+Inputs!$C$37*(0.55*SIN(2*PI()*(Model_Data!A211)/Inputs!$C$39)+0.35*COS(2*PI()*(0)/Inputs!$C$40)+0.2*SIN(2*PI()*((Model_Data!A211)+(0))/(0.5*(Inputs!$C$39+Inputs!$C$40))))+Inputs!$C$38*SIN(2*PI()*(Model_Data!A211)/Inputs!$C$39)*SIN(2*PI()*(0)/Inputs!$C$40)+-Inputs!$C$41*EXP(-(((0)-Inputs!$C$43)^2)/(2*Inputs!$C$44^2))*EXP(-(((Model_Data!A211)-Inputs!$C$42)^2)/(2*Inputs!$C$45^2))+Inputs!$C$48*(0.70*(0.45*SIN(2*PI()*(((Model_Data!A211)/Inputs!$C$49)+Inputs!$C$47*0.137))+0.35*COS(2*PI()*(((0)/Inputs!$C$50)+Inputs!$C$47*0.173))+0.20*SIN(2*PI()*(((Model_Data!A211)+(0))/(0.5*(Inputs!$C$49+Inputs!$C$50))+Inputs!$C$47*0.097)))+0.30*(2*((SIN(((Model_Data!A211)*12.9898+(0)*78.233+Inputs!$C$47*37.719))*43758.5453)-INT((SIN(((Model_Data!A211)*12.9898+(0)*78.233+Inputs!$C$47*37.719))*43758.5453)))-1))))/1000)))*1000/Inputs!$C$12)-Model_Data!F211))-(-(((SQRT((Model_Data!A211)^2+Inputs!$C$6^2+(Inputs!$C$5-((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(0.45*SIN(2*PI()*(((Model_Data!A211)/Inputs!$C$49)+Inputs!$C$47*0.137))+0.35*COS(2*PI()*(((Inputs!$C$6)/Inputs!$C$50)+Inputs!$C$47*0.173))+0.20*SIN(2*PI()*(((Model_Data!A211)+(Inputs!$C$6))/(0.5*(Inputs!$C$49+Inputs!$C$50))+Inputs!$C$47*0.097)))+0.30*(2*((SIN(((Model_Data!A211)*12.9898+(Inputs!$C$6)*78.233+Inputs!$C$47*37.719))*43758.5453)-INT((SIN(((Model_Data!A211)*12.9898+(Inputs!$C$6)*78.233+Inputs!$C$47*37.719))*43758.5453)))-1))))/1000)^2)-(Inputs!$C$5-((Inputs!$C$51*(115*EXP(-(((0)-25)^2)/(4.5^2))+70*EXP(-(((0)+38)^2)/(7^2))*(0.55+0.45*SIN(2*PI()*(Model_Data!A211)/45))+24*SIN(2*PI()*(0)/9+(Model_Data!A211)/18)*EXP(-(((0)+5)^2)/(22^2))+18*SIN(2*PI()*(Model_Data!A211)/70))+Inputs!$C$28*EXP(-(((Model_Data!A211)-Inputs!$C$29)^2)/(2*Inputs!$C$31^2))*EXP(-(((0)-Inputs!$C$30)^2)/(2*Inputs!$C$32^2))+-Inputs!$C$33*EXP(-(((((Model_Data!A211)-Inputs!$C$34)^2)+(((0)-Inputs!$C$35)^2))/(2*Inputs!$C$36^2)))+Inputs!$C$37*(0.55*SIN(2*PI()*(Model_Data!A211)/Inputs!$C$39)+0.35*COS(2*PI()*(0)/Inputs!$C$40)+0.2*SIN(2*PI()*((Model_Data!A211)+(0))/(0.5*(Inputs!$C$39+Inputs!$C$40))))+Inputs!$C$38*SIN(2*PI()*(Model_Data!A211)/Inputs!$C$39)*SIN(2*PI()*(0)/Inputs!$C$40)+-Inputs!$C$41*EXP(-(((0)-Inputs!$C$43)^2)/(2*Inputs!$C$44^2))*EXP(-(((Model_Data!A211)-Inputs!$C$42)^2)/(2*Inputs!$C$45^2))+Inputs!$C$48*(0.70*(0.45*SIN(2*PI()*(((Model_Data!A211)/Inputs!$C$49)+Inputs!$C$47*0.137))+0.35*COS(2*PI()*(((0)/Inputs!$C$50)+Inputs!$C$47*0.173))+0.20*SIN(2*PI()*(((Model_Data!A211)+(0))/(0.5*(Inputs!$C$49+Inputs!$C$50))+Inputs!$C$47*0.097)))+0.30*(2*((SIN(((Model_Data!A211)*12.9898+(0)*78.233+Inputs!$C$47*37.719))*43758.5453)-INT((SIN(((Model_Data!A211)*12.9898+(0)*78.233+Inputs!$C$47*37.719))*43758.5453)))-1))))/1000))*1000/Inputs!$C$12)-((SQRT((Model_Data!A211)^2+Inputs!$C$6^2+Inputs!$C$5^2)-Inputs!$C$5)*1000/Inputs!$C$12)))</x:f>
        <x:v>0.008724476038878493</x:v>
      </x:c>
      <x:c r="X211" s="48" t="n">
        <x:f>0</x:f>
        <x:v>0</x:v>
      </x:c>
      <x:c r="Y211" s="49"/>
      <x:c r="Z211" s="48" t="n">
        <x:f>Model_Data!A211</x:f>
        <x:v>44.5</x:v>
      </x:c>
      <x:c r="AA211" s="48" t="n">
        <x:f>SQRT((Model_Data!A211)^2+Inputs!$C$6^2+((Model_Data!B211)-((Inputs!$C$51*(115*EXP(-(((Inputs!$C$6)-25)^2)/(4.5^2))+70*EXP(-(((Inputs!$C$6)+38)^2)/(7^2))*(0.55+0.45*SIN(2*PI()*(Model_Data!A211)/45))+24*SIN(2*PI()*(Inputs!$C$6)/9+(Model_Data!A211)/18)*EXP(-(((Inputs!$C$6)+5)^2)/(22^2))+18*SIN(2*PI()*(Model_Data!A211)/70))+Inputs!$C$28*EXP(-(((Model_Data!A211)-Inputs!$C$29)^2)/(2*Inputs!$C$31^2))*EXP(-(((Inputs!$C$6)-Inputs!$C$30)^2)/(2*Inputs!$C$32^2))+-Inputs!$C$33*EXP(-(((((Model_Data!A211)-Inputs!$C$34)^2)+(((Inputs!$C$6)-Inputs!$C$35)^2))/(2*Inputs!$C$36^2)))+Inputs!$C$37*(0.55*SIN(2*PI()*(Model_Data!A211)/Inputs!$C$39)+0.35*COS(2*PI()*(Inputs!$C$6)/Inputs!$C$40)+0.2*SIN(2*PI()*((Model_Data!A211)+(Inputs!$C$6))/(0.5*(Inputs!$C$39+Inputs!$C$40))))+Inputs!$C$38*SIN(2*PI()*(Model_Data!A211)/Inputs!$C$39)*SIN(2*PI()*(Inputs!$C$6)/Inputs!$C$40)+-Inputs!$C$41*EXP(-(((Inputs!$C$6)-Inputs!$C$43)^2)/(2*Inputs!$C$44^2))*EXP(-(((Model_Data!A211)-Inputs!$C$42)^2)/(2*Inputs!$C$45^2))+Inputs!$C$48*(0.70*(0.45*SIN(2*PI()*(((Model_Data!A211)/Inputs!$C$49)+Inputs!$C$47*0.137))+0.35*COS(2*PI()*(((Inputs!$C$6)/Inputs!$C$50)+Inputs!$C$47*0.173))+0.20*SIN(2*PI()*(((Model_Data!A211)+(Inputs!$C$6))/(0.5*(Inputs!$C$49+Inputs!$C$50))+Inputs!$C$47*0.097)))+0.30*(2*((SIN(((Model_Data!A211)*12.9898+(Inputs!$C$6)*78.233+Inputs!$C$47*37.719))*43758.5453)-INT((SIN(((Model_Data!A211)*12.9898+(Inputs!$C$6)*78.233+Inputs!$C$47*37.719))*43758.5453)))-1))))/1000)^2)</x:f>
        <x:v>405.24855035530874</x:v>
      </x:c>
      <x:c r="AB211" s="48" t="n">
        <x:f>1000*(AA212-AA210)/(Z212-Z210)*Inputs!$C$11</x:f>
        <x:v>1004.5592892333843</x:v>
      </x:c>
      <x:c r="AC211" s="48" t="n">
        <x:f>-2*AB211/Inputs!$C$13</x:f>
        <x:v>-401.82371569335373</x:v>
      </x:c>
      <x:c r="AD211" s="48" t="n">
        <x:f>-2*AB211/Inputs!$C$14</x:f>
        <x:v>-60.33389124524831</x:v>
      </x:c>
    </x:row>
    <x:row r="212">
      <x:c r="A212" s="48" t="n">
        <x:f>Model_Data!A212</x:f>
        <x:v>45</x:v>
      </x:c>
      <x:c r="B212" s="48" t="n">
        <x:f>Model_Data!F212</x:f>
        <x:v>1843.0302193297173</x:v>
      </x:c>
      <x:c r="C212" s="48" t="n">
        <x:f>(((SQRT((Model_Data!A212)^2+Inputs!$C$6^2+((Model_Data!B212)-((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(0.45*SIN(2*PI()*(((Model_Data!A212)/Inputs!$C$49)+Inputs!$C$47*0.137))+0.35*COS(2*PI()*(((Inputs!$C$6)/Inputs!$C$50)+Inputs!$C$47*0.173))+0.20*SIN(2*PI()*(((Model_Data!A212)+(Inputs!$C$6))/(0.5*(Inputs!$C$49+Inputs!$C$50))+Inputs!$C$47*0.097)))+0.30*(2*((SIN(((Model_Data!A212)*12.9898+(Inputs!$C$6)*78.233+Inputs!$C$47*37.719))*43758.5453)-INT((SIN(((Model_Data!A212)*12.9898+(Inputs!$C$6)*78.233+Inputs!$C$47*37.719))*43758.5453)))-1))))/1000)^2))-(((Model_Data!B212)-((Inputs!$C$51*(115*EXP(-(((0)-25)^2)/(4.5^2))+70*EXP(-(((0)+38)^2)/(7^2))*(0.55+0.45*SIN(2*PI()*(Model_Data!A212)/45))+24*SIN(2*PI()*(0)/9+(Model_Data!A212)/18)*EXP(-(((0)+5)^2)/(22^2))+18*SIN(2*PI()*(Model_Data!A212)/70))+Inputs!$C$28*EXP(-(((Model_Data!A212)-Inputs!$C$29)^2)/(2*Inputs!$C$31^2))*EXP(-(((0)-Inputs!$C$30)^2)/(2*Inputs!$C$32^2))+-Inputs!$C$33*EXP(-(((((Model_Data!A212)-Inputs!$C$34)^2)+(((0)-Inputs!$C$35)^2))/(2*Inputs!$C$36^2)))+Inputs!$C$37*(0.55*SIN(2*PI()*(Model_Data!A212)/Inputs!$C$39)+0.35*COS(2*PI()*(0)/Inputs!$C$40)+0.2*SIN(2*PI()*((Model_Data!A212)+(0))/(0.5*(Inputs!$C$39+Inputs!$C$40))))+Inputs!$C$38*SIN(2*PI()*(Model_Data!A212)/Inputs!$C$39)*SIN(2*PI()*(0)/Inputs!$C$40)+-Inputs!$C$41*EXP(-(((0)-Inputs!$C$43)^2)/(2*Inputs!$C$44^2))*EXP(-(((Model_Data!A212)-Inputs!$C$42)^2)/(2*Inputs!$C$45^2))+Inputs!$C$48*(0.70*(0.45*SIN(2*PI()*(((Model_Data!A212)/Inputs!$C$49)+Inputs!$C$47*0.137))+0.35*COS(2*PI()*(((0)/Inputs!$C$50)+Inputs!$C$47*0.173))+0.20*SIN(2*PI()*(((Model_Data!A212)+(0))/(0.5*(Inputs!$C$49+Inputs!$C$50))+Inputs!$C$47*0.097)))+0.30*(2*((SIN(((Model_Data!A212)*12.9898+(0)*78.233+Inputs!$C$47*37.719))*43758.5453)-INT((SIN(((Model_Data!A212)*12.9898+(0)*78.233+Inputs!$C$47*37.719))*43758.5453)))-1))))/1000)))*1000/Inputs!$C$12)</x:f>
        <x:v>1748.2692876143985</x:v>
      </x:c>
      <x:c r="D212" s="49"/>
      <x:c r="E212" s="48" t="n">
        <x:f>Model_Data!A212</x:f>
        <x:v>45</x:v>
      </x:c>
      <x:c r="F212" s="48" t="n">
        <x:f>(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(0.45*SIN(2*PI()*(((Model_Data!A212)/Inputs!$C$49)+Inputs!$C$47*0.137))+0.35*COS(2*PI()*(((Inputs!$C$6)/Inputs!$C$50)+Inputs!$C$47*0.173))+0.20*SIN(2*PI()*(((Model_Data!A212)+(Inputs!$C$6))/(0.5*(Inputs!$C$49+Inputs!$C$50))+Inputs!$C$47*0.097)))+0.30*(2*((SIN(((Model_Data!A212)*12.9898+(Inputs!$C$6)*78.233+Inputs!$C$47*37.719))*43758.5453)-INT((SIN(((Model_Data!A212)*12.9898+(Inputs!$C$6)*78.233+Inputs!$C$47*37.719))*43758.5453)))-1)))</x:f>
        <x:v>165.26573251393552</x:v>
      </x:c>
      <x:c r="G212" s="48" t="n">
        <x:f>(Inputs!$C$51*(115*EXP(-(((0)-25)^2)/(4.5^2))+70*EXP(-(((0)+38)^2)/(7^2))*(0.55+0.45*SIN(2*PI()*(Model_Data!A212)/45))+24*SIN(2*PI()*(0)/9+(Model_Data!A212)/18)*EXP(-(((0)+5)^2)/(22^2))+18*SIN(2*PI()*(Model_Data!A212)/70))+Inputs!$C$28*EXP(-(((Model_Data!A212)-Inputs!$C$29)^2)/(2*Inputs!$C$31^2))*EXP(-(((0)-Inputs!$C$30)^2)/(2*Inputs!$C$32^2))+-Inputs!$C$33*EXP(-(((((Model_Data!A212)-Inputs!$C$34)^2)+(((0)-Inputs!$C$35)^2))/(2*Inputs!$C$36^2)))+Inputs!$C$37*(0.55*SIN(2*PI()*(Model_Data!A212)/Inputs!$C$39)+0.35*COS(2*PI()*(0)/Inputs!$C$40)+0.2*SIN(2*PI()*((Model_Data!A212)+(0))/(0.5*(Inputs!$C$39+Inputs!$C$40))))+Inputs!$C$38*SIN(2*PI()*(Model_Data!A212)/Inputs!$C$39)*SIN(2*PI()*(0)/Inputs!$C$40)+-Inputs!$C$41*EXP(-(((0)-Inputs!$C$43)^2)/(2*Inputs!$C$44^2))*EXP(-(((Model_Data!A212)-Inputs!$C$42)^2)/(2*Inputs!$C$45^2))+Inputs!$C$48*(0.70*(0.45*SIN(2*PI()*(((Model_Data!A212)/Inputs!$C$49)+Inputs!$C$47*0.137))+0.35*COS(2*PI()*(((0)/Inputs!$C$50)+Inputs!$C$47*0.173))+0.20*SIN(2*PI()*(((Model_Data!A212)+(0))/(0.5*(Inputs!$C$49+Inputs!$C$50))+Inputs!$C$47*0.097)))+0.30*(2*((SIN(((Model_Data!A212)*12.9898+(0)*78.233+Inputs!$C$47*37.719))*43758.5453)-INT((SIN(((Model_Data!A212)*12.9898+(0)*78.233+Inputs!$C$47*37.719))*43758.5453)))-1)))</x:f>
        <x:v>-4.746207968267804</x:v>
      </x:c>
      <x:c r="H212" s="49"/>
      <x:c r="I212" s="48" t="n">
        <x:f>Model_Data!A212</x:f>
        <x:v>45</x:v>
      </x:c>
      <x:c r="J212" s="48" t="n">
        <x:f>((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(0.45*SIN(2*PI()*(((Model_Data!A212)/Inputs!$C$49)+Inputs!$C$47*0.137))+0.35*COS(2*PI()*(((Inputs!$C$6)/Inputs!$C$50)+Inputs!$C$47*0.173))+0.20*SIN(2*PI()*(((Model_Data!A212)+(Inputs!$C$6))/(0.5*(Inputs!$C$49+Inputs!$C$50))+Inputs!$C$47*0.097)))+0.30*(2*((SIN(((Model_Data!A212)*12.9898+(Inputs!$C$6)*78.233+Inputs!$C$47*37.719))*43758.5453)-INT((SIN(((Model_Data!A212)*12.9898+(Inputs!$C$6)*78.233+Inputs!$C$47*37.719))*43758.5453)))-1))))-((Inputs!$C$51*(115*EXP(-(((0)-25)^2)/(4.5^2))+70*EXP(-(((0)+38)^2)/(7^2))*(0.55+0.45*SIN(2*PI()*(Model_Data!A212)/45))+24*SIN(2*PI()*(0)/9+(Model_Data!A212)/18)*EXP(-(((0)+5)^2)/(22^2))+18*SIN(2*PI()*(Model_Data!A212)/70))+Inputs!$C$28*EXP(-(((Model_Data!A212)-Inputs!$C$29)^2)/(2*Inputs!$C$31^2))*EXP(-(((0)-Inputs!$C$30)^2)/(2*Inputs!$C$32^2))+-Inputs!$C$33*EXP(-(((((Model_Data!A212)-Inputs!$C$34)^2)+(((0)-Inputs!$C$35)^2))/(2*Inputs!$C$36^2)))+Inputs!$C$37*(0.55*SIN(2*PI()*(Model_Data!A212)/Inputs!$C$39)+0.35*COS(2*PI()*(0)/Inputs!$C$40)+0.2*SIN(2*PI()*((Model_Data!A212)+(0))/(0.5*(Inputs!$C$39+Inputs!$C$40))))+Inputs!$C$38*SIN(2*PI()*(Model_Data!A212)/Inputs!$C$39)*SIN(2*PI()*(0)/Inputs!$C$40)+-Inputs!$C$41*EXP(-(((0)-Inputs!$C$43)^2)/(2*Inputs!$C$44^2))*EXP(-(((Model_Data!A212)-Inputs!$C$42)^2)/(2*Inputs!$C$45^2))+Inputs!$C$48*(0.70*(0.45*SIN(2*PI()*(((Model_Data!A212)/Inputs!$C$49)+Inputs!$C$47*0.137))+0.35*COS(2*PI()*(((0)/Inputs!$C$50)+Inputs!$C$47*0.173))+0.20*SIN(2*PI()*(((Model_Data!A212)+(0))/(0.5*(Inputs!$C$49+Inputs!$C$50))+Inputs!$C$47*0.097)))+0.30*(2*((SIN(((Model_Data!A212)*12.9898+(0)*78.233+Inputs!$C$47*37.719))*43758.5453)-INT((SIN(((Model_Data!A212)*12.9898+(0)*78.233+Inputs!$C$47*37.719))*43758.5453)))-1))))</x:f>
        <x:v>170.01194048220333</x:v>
      </x:c>
      <x:c r="K212" s="48" t="n">
        <x:f>-((((SQRT((Model_Data!A212)^2+Inputs!$C$6^2+((Model_Data!B212)-((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(0.45*SIN(2*PI()*(((Model_Data!A212)/Inputs!$C$49)+Inputs!$C$47*0.137))+0.35*COS(2*PI()*(((Inputs!$C$6)/Inputs!$C$50)+Inputs!$C$47*0.173))+0.20*SIN(2*PI()*(((Model_Data!A212)+(Inputs!$C$6))/(0.5*(Inputs!$C$49+Inputs!$C$50))+Inputs!$C$47*0.097)))+0.30*(2*((SIN(((Model_Data!A212)*12.9898+(Inputs!$C$6)*78.233+Inputs!$C$47*37.719))*43758.5453)-INT((SIN(((Model_Data!A212)*12.9898+(Inputs!$C$6)*78.233+Inputs!$C$47*37.719))*43758.5453)))-1))))/1000)^2))-(((Model_Data!B212)-((Inputs!$C$51*(115*EXP(-(((0)-25)^2)/(4.5^2))+70*EXP(-(((0)+38)^2)/(7^2))*(0.55+0.45*SIN(2*PI()*(Model_Data!A212)/45))+24*SIN(2*PI()*(0)/9+(Model_Data!A212)/18)*EXP(-(((0)+5)^2)/(22^2))+18*SIN(2*PI()*(Model_Data!A212)/70))+Inputs!$C$28*EXP(-(((Model_Data!A212)-Inputs!$C$29)^2)/(2*Inputs!$C$31^2))*EXP(-(((0)-Inputs!$C$30)^2)/(2*Inputs!$C$32^2))+-Inputs!$C$33*EXP(-(((((Model_Data!A212)-Inputs!$C$34)^2)+(((0)-Inputs!$C$35)^2))/(2*Inputs!$C$36^2)))+Inputs!$C$37*(0.55*SIN(2*PI()*(Model_Data!A212)/Inputs!$C$39)+0.35*COS(2*PI()*(0)/Inputs!$C$40)+0.2*SIN(2*PI()*((Model_Data!A212)+(0))/(0.5*(Inputs!$C$39+Inputs!$C$40))))+Inputs!$C$38*SIN(2*PI()*(Model_Data!A212)/Inputs!$C$39)*SIN(2*PI()*(0)/Inputs!$C$40)+-Inputs!$C$41*EXP(-(((0)-Inputs!$C$43)^2)/(2*Inputs!$C$44^2))*EXP(-(((Model_Data!A212)-Inputs!$C$42)^2)/(2*Inputs!$C$45^2))+Inputs!$C$48*(0.70*(0.45*SIN(2*PI()*(((Model_Data!A212)/Inputs!$C$49)+Inputs!$C$47*0.137))+0.35*COS(2*PI()*(((0)/Inputs!$C$50)+Inputs!$C$47*0.173))+0.20*SIN(2*PI()*(((Model_Data!A212)+(0))/(0.5*(Inputs!$C$49+Inputs!$C$50))+Inputs!$C$47*0.097)))+0.30*(2*((SIN(((Model_Data!A212)*12.9898+(0)*78.233+Inputs!$C$47*37.719))*43758.5453)-INT((SIN(((Model_Data!A212)*12.9898+(0)*78.233+Inputs!$C$47*37.719))*43758.5453)))-1))))/1000)))*1000/Inputs!$C$12)-Model_Data!F212)</x:f>
        <x:v>94.76093171531875</x:v>
      </x:c>
      <x:c r="L212" s="49"/>
      <x:c r="M212" s="48" t="n">
        <x:f>Model_Data!A212</x:f>
        <x:v>45</x:v>
      </x:c>
      <x:c r="N212" s="48" t="n">
        <x:f>Model_Data!P212</x:f>
        <x:v>-336.250833076421</x:v>
      </x:c>
      <x:c r="O212" s="48" t="n">
        <x:f>AC212</x:f>
        <x:v>-352.4827319036376</x:v>
      </x:c>
      <x:c r="P212" s="48" t="n">
        <x:f>Model_Data!Q212</x:f>
        <x:v>-50.48811307453769</x:v>
      </x:c>
      <x:c r="Q212" s="48" t="n">
        <x:f>AD212</x:f>
        <x:v>-52.92533512066631</x:v>
      </x:c>
      <x:c r="R212" s="49"/>
      <x:c r="S212" s="48" t="n">
        <x:f>Model_Data!A212</x:f>
        <x:v>45</x:v>
      </x:c>
      <x:c r="T212" s="48" t="n">
        <x:f>Model_Data!B212-Inputs!$C$5</x:f>
        <x:v>2.25</x:v>
      </x:c>
      <x:c r="U212" s="49"/>
      <x:c r="V212" s="48" t="n">
        <x:f>Model_Data!A212</x:f>
        <x:v>45</x:v>
      </x:c>
      <x:c r="W212" s="48" t="n">
        <x:f>(-((((SQRT((Model_Data!A212)^2+Inputs!$C$6^2+((Model_Data!B212)-((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(0.45*SIN(2*PI()*(((Model_Data!A212)/Inputs!$C$49)+Inputs!$C$47*0.137))+0.35*COS(2*PI()*(((Inputs!$C$6)/Inputs!$C$50)+Inputs!$C$47*0.173))+0.20*SIN(2*PI()*(((Model_Data!A212)+(Inputs!$C$6))/(0.5*(Inputs!$C$49+Inputs!$C$50))+Inputs!$C$47*0.097)))+0.30*(2*((SIN(((Model_Data!A212)*12.9898+(Inputs!$C$6)*78.233+Inputs!$C$47*37.719))*43758.5453)-INT((SIN(((Model_Data!A212)*12.9898+(Inputs!$C$6)*78.233+Inputs!$C$47*37.719))*43758.5453)))-1))))/1000)^2))-(((Model_Data!B212)-((Inputs!$C$51*(115*EXP(-(((0)-25)^2)/(4.5^2))+70*EXP(-(((0)+38)^2)/(7^2))*(0.55+0.45*SIN(2*PI()*(Model_Data!A212)/45))+24*SIN(2*PI()*(0)/9+(Model_Data!A212)/18)*EXP(-(((0)+5)^2)/(22^2))+18*SIN(2*PI()*(Model_Data!A212)/70))+Inputs!$C$28*EXP(-(((Model_Data!A212)-Inputs!$C$29)^2)/(2*Inputs!$C$31^2))*EXP(-(((0)-Inputs!$C$30)^2)/(2*Inputs!$C$32^2))+-Inputs!$C$33*EXP(-(((((Model_Data!A212)-Inputs!$C$34)^2)+(((0)-Inputs!$C$35)^2))/(2*Inputs!$C$36^2)))+Inputs!$C$37*(0.55*SIN(2*PI()*(Model_Data!A212)/Inputs!$C$39)+0.35*COS(2*PI()*(0)/Inputs!$C$40)+0.2*SIN(2*PI()*((Model_Data!A212)+(0))/(0.5*(Inputs!$C$39+Inputs!$C$40))))+Inputs!$C$38*SIN(2*PI()*(Model_Data!A212)/Inputs!$C$39)*SIN(2*PI()*(0)/Inputs!$C$40)+-Inputs!$C$41*EXP(-(((0)-Inputs!$C$43)^2)/(2*Inputs!$C$44^2))*EXP(-(((Model_Data!A212)-Inputs!$C$42)^2)/(2*Inputs!$C$45^2))+Inputs!$C$48*(0.70*(0.45*SIN(2*PI()*(((Model_Data!A212)/Inputs!$C$49)+Inputs!$C$47*0.137))+0.35*COS(2*PI()*(((0)/Inputs!$C$50)+Inputs!$C$47*0.173))+0.20*SIN(2*PI()*(((Model_Data!A212)+(0))/(0.5*(Inputs!$C$49+Inputs!$C$50))+Inputs!$C$47*0.097)))+0.30*(2*((SIN(((Model_Data!A212)*12.9898+(0)*78.233+Inputs!$C$47*37.719))*43758.5453)-INT((SIN(((Model_Data!A212)*12.9898+(0)*78.233+Inputs!$C$47*37.719))*43758.5453)))-1))))/1000)))*1000/Inputs!$C$12)-Model_Data!F212))-(-(((SQRT((Model_Data!A212)^2+Inputs!$C$6^2+(Inputs!$C$5-((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(0.45*SIN(2*PI()*(((Model_Data!A212)/Inputs!$C$49)+Inputs!$C$47*0.137))+0.35*COS(2*PI()*(((Inputs!$C$6)/Inputs!$C$50)+Inputs!$C$47*0.173))+0.20*SIN(2*PI()*(((Model_Data!A212)+(Inputs!$C$6))/(0.5*(Inputs!$C$49+Inputs!$C$50))+Inputs!$C$47*0.097)))+0.30*(2*((SIN(((Model_Data!A212)*12.9898+(Inputs!$C$6)*78.233+Inputs!$C$47*37.719))*43758.5453)-INT((SIN(((Model_Data!A212)*12.9898+(Inputs!$C$6)*78.233+Inputs!$C$47*37.719))*43758.5453)))-1))))/1000)^2)-(Inputs!$C$5-((Inputs!$C$51*(115*EXP(-(((0)-25)^2)/(4.5^2))+70*EXP(-(((0)+38)^2)/(7^2))*(0.55+0.45*SIN(2*PI()*(Model_Data!A212)/45))+24*SIN(2*PI()*(0)/9+(Model_Data!A212)/18)*EXP(-(((0)+5)^2)/(22^2))+18*SIN(2*PI()*(Model_Data!A212)/70))+Inputs!$C$28*EXP(-(((Model_Data!A212)-Inputs!$C$29)^2)/(2*Inputs!$C$31^2))*EXP(-(((0)-Inputs!$C$30)^2)/(2*Inputs!$C$32^2))+-Inputs!$C$33*EXP(-(((((Model_Data!A212)-Inputs!$C$34)^2)+(((0)-Inputs!$C$35)^2))/(2*Inputs!$C$36^2)))+Inputs!$C$37*(0.55*SIN(2*PI()*(Model_Data!A212)/Inputs!$C$39)+0.35*COS(2*PI()*(0)/Inputs!$C$40)+0.2*SIN(2*PI()*((Model_Data!A212)+(0))/(0.5*(Inputs!$C$39+Inputs!$C$40))))+Inputs!$C$38*SIN(2*PI()*(Model_Data!A212)/Inputs!$C$39)*SIN(2*PI()*(0)/Inputs!$C$40)+-Inputs!$C$41*EXP(-(((0)-Inputs!$C$43)^2)/(2*Inputs!$C$44^2))*EXP(-(((Model_Data!A212)-Inputs!$C$42)^2)/(2*Inputs!$C$45^2))+Inputs!$C$48*(0.70*(0.45*SIN(2*PI()*(((Model_Data!A212)/Inputs!$C$49)+Inputs!$C$47*0.137))+0.35*COS(2*PI()*(((0)/Inputs!$C$50)+Inputs!$C$47*0.173))+0.20*SIN(2*PI()*(((Model_Data!A212)+(0))/(0.5*(Inputs!$C$49+Inputs!$C$50))+Inputs!$C$47*0.097)))+0.30*(2*((SIN(((Model_Data!A212)*12.9898+(0)*78.233+Inputs!$C$47*37.719))*43758.5453)-INT((SIN(((Model_Data!A212)*12.9898+(0)*78.233+Inputs!$C$47*37.719))*43758.5453)))-1))))/1000))*1000/Inputs!$C$12)-((SQRT((Model_Data!A212)^2+Inputs!$C$6^2+Inputs!$C$5^2)-Inputs!$C$5)*1000/Inputs!$C$12)))</x:f>
        <x:v>0.008374927110708086</x:v>
      </x:c>
      <x:c r="X212" s="48" t="n">
        <x:f>0</x:f>
        <x:v>0</x:v>
      </x:c>
      <x:c r="Y212" s="49"/>
      <x:c r="Z212" s="48" t="n">
        <x:f>Model_Data!A212</x:f>
        <x:v>45</x:v>
      </x:c>
      <x:c r="AA212" s="48" t="n">
        <x:f>SQRT((Model_Data!A212)^2+Inputs!$C$6^2+((Model_Data!B212)-((Inputs!$C$51*(115*EXP(-(((Inputs!$C$6)-25)^2)/(4.5^2))+70*EXP(-(((Inputs!$C$6)+38)^2)/(7^2))*(0.55+0.45*SIN(2*PI()*(Model_Data!A212)/45))+24*SIN(2*PI()*(Inputs!$C$6)/9+(Model_Data!A212)/18)*EXP(-(((Inputs!$C$6)+5)^2)/(22^2))+18*SIN(2*PI()*(Model_Data!A212)/70))+Inputs!$C$28*EXP(-(((Model_Data!A212)-Inputs!$C$29)^2)/(2*Inputs!$C$31^2))*EXP(-(((Inputs!$C$6)-Inputs!$C$30)^2)/(2*Inputs!$C$32^2))+-Inputs!$C$33*EXP(-(((((Model_Data!A212)-Inputs!$C$34)^2)+(((Inputs!$C$6)-Inputs!$C$35)^2))/(2*Inputs!$C$36^2)))+Inputs!$C$37*(0.55*SIN(2*PI()*(Model_Data!A212)/Inputs!$C$39)+0.35*COS(2*PI()*(Inputs!$C$6)/Inputs!$C$40)+0.2*SIN(2*PI()*((Model_Data!A212)+(Inputs!$C$6))/(0.5*(Inputs!$C$39+Inputs!$C$40))))+Inputs!$C$38*SIN(2*PI()*(Model_Data!A212)/Inputs!$C$39)*SIN(2*PI()*(Inputs!$C$6)/Inputs!$C$40)+-Inputs!$C$41*EXP(-(((Inputs!$C$6)-Inputs!$C$43)^2)/(2*Inputs!$C$44^2))*EXP(-(((Model_Data!A212)-Inputs!$C$42)^2)/(2*Inputs!$C$45^2))+Inputs!$C$48*(0.70*(0.45*SIN(2*PI()*(((Model_Data!A212)/Inputs!$C$49)+Inputs!$C$47*0.137))+0.35*COS(2*PI()*(((Inputs!$C$6)/Inputs!$C$50)+Inputs!$C$47*0.173))+0.20*SIN(2*PI()*(((Model_Data!A212)+(Inputs!$C$6))/(0.5*(Inputs!$C$49+Inputs!$C$50))+Inputs!$C$47*0.097)))+0.30*(2*((SIN(((Model_Data!A212)*12.9898+(Inputs!$C$6)*78.233+Inputs!$C$47*37.719))*43758.5453)-INT((SIN(((Model_Data!A212)*12.9898+(Inputs!$C$6)*78.233+Inputs!$C$47*37.719))*43758.5453)))-1))))/1000)^2)</x:f>
        <x:v>405.3666655399219</x:v>
      </x:c>
      <x:c r="AB212" s="48" t="n">
        <x:f>1000*(AA213-AA211)/(Z213-Z211)*Inputs!$C$11</x:f>
        <x:v>881.206829759094</x:v>
      </x:c>
      <x:c r="AC212" s="48" t="n">
        <x:f>-2*AB212/Inputs!$C$13</x:f>
        <x:v>-352.4827319036376</x:v>
      </x:c>
      <x:c r="AD212" s="48" t="n">
        <x:f>-2*AB212/Inputs!$C$14</x:f>
        <x:v>-52.92533512066631</x:v>
      </x:c>
    </x:row>
    <x:row r="213">
      <x:c r="A213" s="48" t="n">
        <x:f>Model_Data!A213</x:f>
        <x:v>45.5</x:v>
      </x:c>
      <x:c r="B213" s="48" t="n">
        <x:f>Model_Data!F213</x:f>
        <x:v>1874.139056732528</x:v>
      </x:c>
      <x:c r="C213" s="48" t="n">
        <x:f>(((SQRT((Model_Data!A213)^2+Inputs!$C$6^2+((Model_Data!B213)-((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(0.45*SIN(2*PI()*(((Model_Data!A213)/Inputs!$C$49)+Inputs!$C$47*0.137))+0.35*COS(2*PI()*(((Inputs!$C$6)/Inputs!$C$50)+Inputs!$C$47*0.173))+0.20*SIN(2*PI()*(((Model_Data!A213)+(Inputs!$C$6))/(0.5*(Inputs!$C$49+Inputs!$C$50))+Inputs!$C$47*0.097)))+0.30*(2*((SIN(((Model_Data!A213)*12.9898+(Inputs!$C$6)*78.233+Inputs!$C$47*37.719))*43758.5453)-INT((SIN(((Model_Data!A213)*12.9898+(Inputs!$C$6)*78.233+Inputs!$C$47*37.719))*43758.5453)))-1))))/1000)^2))-(((Model_Data!B213)-((Inputs!$C$51*(115*EXP(-(((0)-25)^2)/(4.5^2))+70*EXP(-(((0)+38)^2)/(7^2))*(0.55+0.45*SIN(2*PI()*(Model_Data!A213)/45))+24*SIN(2*PI()*(0)/9+(Model_Data!A213)/18)*EXP(-(((0)+5)^2)/(22^2))+18*SIN(2*PI()*(Model_Data!A213)/70))+Inputs!$C$28*EXP(-(((Model_Data!A213)-Inputs!$C$29)^2)/(2*Inputs!$C$31^2))*EXP(-(((0)-Inputs!$C$30)^2)/(2*Inputs!$C$32^2))+-Inputs!$C$33*EXP(-(((((Model_Data!A213)-Inputs!$C$34)^2)+(((0)-Inputs!$C$35)^2))/(2*Inputs!$C$36^2)))+Inputs!$C$37*(0.55*SIN(2*PI()*(Model_Data!A213)/Inputs!$C$39)+0.35*COS(2*PI()*(0)/Inputs!$C$40)+0.2*SIN(2*PI()*((Model_Data!A213)+(0))/(0.5*(Inputs!$C$39+Inputs!$C$40))))+Inputs!$C$38*SIN(2*PI()*(Model_Data!A213)/Inputs!$C$39)*SIN(2*PI()*(0)/Inputs!$C$40)+-Inputs!$C$41*EXP(-(((0)-Inputs!$C$43)^2)/(2*Inputs!$C$44^2))*EXP(-(((Model_Data!A213)-Inputs!$C$42)^2)/(2*Inputs!$C$45^2))+Inputs!$C$48*(0.70*(0.45*SIN(2*PI()*(((Model_Data!A213)/Inputs!$C$49)+Inputs!$C$47*0.137))+0.35*COS(2*PI()*(((0)/Inputs!$C$50)+Inputs!$C$47*0.173))+0.20*SIN(2*PI()*(((Model_Data!A213)+(0))/(0.5*(Inputs!$C$49+Inputs!$C$50))+Inputs!$C$47*0.097)))+0.30*(2*((SIN(((Model_Data!A213)*12.9898+(0)*78.233+Inputs!$C$47*37.719))*43758.5453)-INT((SIN(((Model_Data!A213)*12.9898+(0)*78.233+Inputs!$C$47*37.719))*43758.5453)))-1))))/1000)))*1000/Inputs!$C$12)</x:f>
        <x:v>1777.3143306471047</x:v>
      </x:c>
      <x:c r="D213" s="49"/>
      <x:c r="E213" s="48" t="n">
        <x:f>Model_Data!A213</x:f>
        <x:v>45.5</x:v>
      </x:c>
      <x:c r="F213" s="48" t="n">
        <x:f>(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(0.45*SIN(2*PI()*(((Model_Data!A213)/Inputs!$C$49)+Inputs!$C$47*0.137))+0.35*COS(2*PI()*(((Inputs!$C$6)/Inputs!$C$50)+Inputs!$C$47*0.173))+0.20*SIN(2*PI()*(((Model_Data!A213)+(Inputs!$C$6))/(0.5*(Inputs!$C$49+Inputs!$C$50))+Inputs!$C$47*0.097)))+0.30*(2*((SIN(((Model_Data!A213)*12.9898+(Inputs!$C$6)*78.233+Inputs!$C$47*37.719))*43758.5453)-INT((SIN(((Model_Data!A213)*12.9898+(Inputs!$C$6)*78.233+Inputs!$C$47*37.719))*43758.5453)))-1)))</x:f>
        <x:v>168.78187987738474</x:v>
      </x:c>
      <x:c r="G213" s="48" t="n">
        <x:f>(Inputs!$C$51*(115*EXP(-(((0)-25)^2)/(4.5^2))+70*EXP(-(((0)+38)^2)/(7^2))*(0.55+0.45*SIN(2*PI()*(Model_Data!A213)/45))+24*SIN(2*PI()*(0)/9+(Model_Data!A213)/18)*EXP(-(((0)+5)^2)/(22^2))+18*SIN(2*PI()*(Model_Data!A213)/70))+Inputs!$C$28*EXP(-(((Model_Data!A213)-Inputs!$C$29)^2)/(2*Inputs!$C$31^2))*EXP(-(((0)-Inputs!$C$30)^2)/(2*Inputs!$C$32^2))+-Inputs!$C$33*EXP(-(((((Model_Data!A213)-Inputs!$C$34)^2)+(((0)-Inputs!$C$35)^2))/(2*Inputs!$C$36^2)))+Inputs!$C$37*(0.55*SIN(2*PI()*(Model_Data!A213)/Inputs!$C$39)+0.35*COS(2*PI()*(0)/Inputs!$C$40)+0.2*SIN(2*PI()*((Model_Data!A213)+(0))/(0.5*(Inputs!$C$39+Inputs!$C$40))))+Inputs!$C$38*SIN(2*PI()*(Model_Data!A213)/Inputs!$C$39)*SIN(2*PI()*(0)/Inputs!$C$40)+-Inputs!$C$41*EXP(-(((0)-Inputs!$C$43)^2)/(2*Inputs!$C$44^2))*EXP(-(((Model_Data!A213)-Inputs!$C$42)^2)/(2*Inputs!$C$45^2))+Inputs!$C$48*(0.70*(0.45*SIN(2*PI()*(((Model_Data!A213)/Inputs!$C$49)+Inputs!$C$47*0.137))+0.35*COS(2*PI()*(((0)/Inputs!$C$50)+Inputs!$C$47*0.173))+0.20*SIN(2*PI()*(((Model_Data!A213)+(0))/(0.5*(Inputs!$C$49+Inputs!$C$50))+Inputs!$C$47*0.097)))+0.30*(2*((SIN(((Model_Data!A213)*12.9898+(0)*78.233+Inputs!$C$47*37.719))*43758.5453)-INT((SIN(((Model_Data!A213)*12.9898+(0)*78.233+Inputs!$C$47*37.719))*43758.5453)))-1)))</x:f>
        <x:v>-4.954776418919145</x:v>
      </x:c>
      <x:c r="H213" s="49"/>
      <x:c r="I213" s="48" t="n">
        <x:f>Model_Data!A213</x:f>
        <x:v>45.5</x:v>
      </x:c>
      <x:c r="J213" s="48" t="n">
        <x:f>((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(0.45*SIN(2*PI()*(((Model_Data!A213)/Inputs!$C$49)+Inputs!$C$47*0.137))+0.35*COS(2*PI()*(((Inputs!$C$6)/Inputs!$C$50)+Inputs!$C$47*0.173))+0.20*SIN(2*PI()*(((Model_Data!A213)+(Inputs!$C$6))/(0.5*(Inputs!$C$49+Inputs!$C$50))+Inputs!$C$47*0.097)))+0.30*(2*((SIN(((Model_Data!A213)*12.9898+(Inputs!$C$6)*78.233+Inputs!$C$47*37.719))*43758.5453)-INT((SIN(((Model_Data!A213)*12.9898+(Inputs!$C$6)*78.233+Inputs!$C$47*37.719))*43758.5453)))-1))))-((Inputs!$C$51*(115*EXP(-(((0)-25)^2)/(4.5^2))+70*EXP(-(((0)+38)^2)/(7^2))*(0.55+0.45*SIN(2*PI()*(Model_Data!A213)/45))+24*SIN(2*PI()*(0)/9+(Model_Data!A213)/18)*EXP(-(((0)+5)^2)/(22^2))+18*SIN(2*PI()*(Model_Data!A213)/70))+Inputs!$C$28*EXP(-(((Model_Data!A213)-Inputs!$C$29)^2)/(2*Inputs!$C$31^2))*EXP(-(((0)-Inputs!$C$30)^2)/(2*Inputs!$C$32^2))+-Inputs!$C$33*EXP(-(((((Model_Data!A213)-Inputs!$C$34)^2)+(((0)-Inputs!$C$35)^2))/(2*Inputs!$C$36^2)))+Inputs!$C$37*(0.55*SIN(2*PI()*(Model_Data!A213)/Inputs!$C$39)+0.35*COS(2*PI()*(0)/Inputs!$C$40)+0.2*SIN(2*PI()*((Model_Data!A213)+(0))/(0.5*(Inputs!$C$39+Inputs!$C$40))))+Inputs!$C$38*SIN(2*PI()*(Model_Data!A213)/Inputs!$C$39)*SIN(2*PI()*(0)/Inputs!$C$40)+-Inputs!$C$41*EXP(-(((0)-Inputs!$C$43)^2)/(2*Inputs!$C$44^2))*EXP(-(((Model_Data!A213)-Inputs!$C$42)^2)/(2*Inputs!$C$45^2))+Inputs!$C$48*(0.70*(0.45*SIN(2*PI()*(((Model_Data!A213)/Inputs!$C$49)+Inputs!$C$47*0.137))+0.35*COS(2*PI()*(((0)/Inputs!$C$50)+Inputs!$C$47*0.173))+0.20*SIN(2*PI()*(((Model_Data!A213)+(0))/(0.5*(Inputs!$C$49+Inputs!$C$50))+Inputs!$C$47*0.097)))+0.30*(2*((SIN(((Model_Data!A213)*12.9898+(0)*78.233+Inputs!$C$47*37.719))*43758.5453)-INT((SIN(((Model_Data!A213)*12.9898+(0)*78.233+Inputs!$C$47*37.719))*43758.5453)))-1))))</x:f>
        <x:v>173.7366562963039</x:v>
      </x:c>
      <x:c r="K213" s="48" t="n">
        <x:f>-((((SQRT((Model_Data!A213)^2+Inputs!$C$6^2+((Model_Data!B213)-((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(0.45*SIN(2*PI()*(((Model_Data!A213)/Inputs!$C$49)+Inputs!$C$47*0.137))+0.35*COS(2*PI()*(((Inputs!$C$6)/Inputs!$C$50)+Inputs!$C$47*0.173))+0.20*SIN(2*PI()*(((Model_Data!A213)+(Inputs!$C$6))/(0.5*(Inputs!$C$49+Inputs!$C$50))+Inputs!$C$47*0.097)))+0.30*(2*((SIN(((Model_Data!A213)*12.9898+(Inputs!$C$6)*78.233+Inputs!$C$47*37.719))*43758.5453)-INT((SIN(((Model_Data!A213)*12.9898+(Inputs!$C$6)*78.233+Inputs!$C$47*37.719))*43758.5453)))-1))))/1000)^2))-(((Model_Data!B213)-((Inputs!$C$51*(115*EXP(-(((0)-25)^2)/(4.5^2))+70*EXP(-(((0)+38)^2)/(7^2))*(0.55+0.45*SIN(2*PI()*(Model_Data!A213)/45))+24*SIN(2*PI()*(0)/9+(Model_Data!A213)/18)*EXP(-(((0)+5)^2)/(22^2))+18*SIN(2*PI()*(Model_Data!A213)/70))+Inputs!$C$28*EXP(-(((Model_Data!A213)-Inputs!$C$29)^2)/(2*Inputs!$C$31^2))*EXP(-(((0)-Inputs!$C$30)^2)/(2*Inputs!$C$32^2))+-Inputs!$C$33*EXP(-(((((Model_Data!A213)-Inputs!$C$34)^2)+(((0)-Inputs!$C$35)^2))/(2*Inputs!$C$36^2)))+Inputs!$C$37*(0.55*SIN(2*PI()*(Model_Data!A213)/Inputs!$C$39)+0.35*COS(2*PI()*(0)/Inputs!$C$40)+0.2*SIN(2*PI()*((Model_Data!A213)+(0))/(0.5*(Inputs!$C$39+Inputs!$C$40))))+Inputs!$C$38*SIN(2*PI()*(Model_Data!A213)/Inputs!$C$39)*SIN(2*PI()*(0)/Inputs!$C$40)+-Inputs!$C$41*EXP(-(((0)-Inputs!$C$43)^2)/(2*Inputs!$C$44^2))*EXP(-(((Model_Data!A213)-Inputs!$C$42)^2)/(2*Inputs!$C$45^2))+Inputs!$C$48*(0.70*(0.45*SIN(2*PI()*(((Model_Data!A213)/Inputs!$C$49)+Inputs!$C$47*0.137))+0.35*COS(2*PI()*(((0)/Inputs!$C$50)+Inputs!$C$47*0.173))+0.20*SIN(2*PI()*(((Model_Data!A213)+(0))/(0.5*(Inputs!$C$49+Inputs!$C$50))+Inputs!$C$47*0.097)))+0.30*(2*((SIN(((Model_Data!A213)*12.9898+(0)*78.233+Inputs!$C$47*37.719))*43758.5453)-INT((SIN(((Model_Data!A213)*12.9898+(0)*78.233+Inputs!$C$47*37.719))*43758.5453)))-1))))/1000)))*1000/Inputs!$C$12)-Model_Data!F213)</x:f>
        <x:v>96.82472608542321</x:v>
      </x:c>
      <x:c r="L213" s="49"/>
      <x:c r="M213" s="48" t="n">
        <x:f>Model_Data!A213</x:f>
        <x:v>45.5</x:v>
      </x:c>
      <x:c r="N213" s="48" t="n">
        <x:f>Model_Data!P213</x:f>
        <x:v>-339.9184528905128</x:v>
      </x:c>
      <x:c r="O213" s="48" t="n">
        <x:f>AC213</x:f>
        <x:v>-368.6153713132626</x:v>
      </x:c>
      <x:c r="P213" s="48" t="n">
        <x:f>Model_Data!Q213</x:f>
        <x:v>-51.03880674031724</x:v>
      </x:c>
      <x:c r="Q213" s="48" t="n">
        <x:f>AD213</x:f>
        <x:v>-55.34765335033973</x:v>
      </x:c>
      <x:c r="R213" s="49"/>
      <x:c r="S213" s="48" t="n">
        <x:f>Model_Data!A213</x:f>
        <x:v>45.5</x:v>
      </x:c>
      <x:c r="T213" s="48" t="n">
        <x:f>Model_Data!B213-Inputs!$C$5</x:f>
        <x:v>2.300277777777751</x:v>
      </x:c>
      <x:c r="U213" s="49"/>
      <x:c r="V213" s="48" t="n">
        <x:f>Model_Data!A213</x:f>
        <x:v>45.5</x:v>
      </x:c>
      <x:c r="W213" s="48" t="n">
        <x:f>(-((((SQRT((Model_Data!A213)^2+Inputs!$C$6^2+((Model_Data!B213)-((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(0.45*SIN(2*PI()*(((Model_Data!A213)/Inputs!$C$49)+Inputs!$C$47*0.137))+0.35*COS(2*PI()*(((Inputs!$C$6)/Inputs!$C$50)+Inputs!$C$47*0.173))+0.20*SIN(2*PI()*(((Model_Data!A213)+(Inputs!$C$6))/(0.5*(Inputs!$C$49+Inputs!$C$50))+Inputs!$C$47*0.097)))+0.30*(2*((SIN(((Model_Data!A213)*12.9898+(Inputs!$C$6)*78.233+Inputs!$C$47*37.719))*43758.5453)-INT((SIN(((Model_Data!A213)*12.9898+(Inputs!$C$6)*78.233+Inputs!$C$47*37.719))*43758.5453)))-1))))/1000)^2))-(((Model_Data!B213)-((Inputs!$C$51*(115*EXP(-(((0)-25)^2)/(4.5^2))+70*EXP(-(((0)+38)^2)/(7^2))*(0.55+0.45*SIN(2*PI()*(Model_Data!A213)/45))+24*SIN(2*PI()*(0)/9+(Model_Data!A213)/18)*EXP(-(((0)+5)^2)/(22^2))+18*SIN(2*PI()*(Model_Data!A213)/70))+Inputs!$C$28*EXP(-(((Model_Data!A213)-Inputs!$C$29)^2)/(2*Inputs!$C$31^2))*EXP(-(((0)-Inputs!$C$30)^2)/(2*Inputs!$C$32^2))+-Inputs!$C$33*EXP(-(((((Model_Data!A213)-Inputs!$C$34)^2)+(((0)-Inputs!$C$35)^2))/(2*Inputs!$C$36^2)))+Inputs!$C$37*(0.55*SIN(2*PI()*(Model_Data!A213)/Inputs!$C$39)+0.35*COS(2*PI()*(0)/Inputs!$C$40)+0.2*SIN(2*PI()*((Model_Data!A213)+(0))/(0.5*(Inputs!$C$39+Inputs!$C$40))))+Inputs!$C$38*SIN(2*PI()*(Model_Data!A213)/Inputs!$C$39)*SIN(2*PI()*(0)/Inputs!$C$40)+-Inputs!$C$41*EXP(-(((0)-Inputs!$C$43)^2)/(2*Inputs!$C$44^2))*EXP(-(((Model_Data!A213)-Inputs!$C$42)^2)/(2*Inputs!$C$45^2))+Inputs!$C$48*(0.70*(0.45*SIN(2*PI()*(((Model_Data!A213)/Inputs!$C$49)+Inputs!$C$47*0.137))+0.35*COS(2*PI()*(((0)/Inputs!$C$50)+Inputs!$C$47*0.173))+0.20*SIN(2*PI()*(((Model_Data!A213)+(0))/(0.5*(Inputs!$C$49+Inputs!$C$50))+Inputs!$C$47*0.097)))+0.30*(2*((SIN(((Model_Data!A213)*12.9898+(0)*78.233+Inputs!$C$47*37.719))*43758.5453)-INT((SIN(((Model_Data!A213)*12.9898+(0)*78.233+Inputs!$C$47*37.719))*43758.5453)))-1))))/1000)))*1000/Inputs!$C$12)-Model_Data!F213))-(-(((SQRT((Model_Data!A213)^2+Inputs!$C$6^2+(Inputs!$C$5-((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(0.45*SIN(2*PI()*(((Model_Data!A213)/Inputs!$C$49)+Inputs!$C$47*0.137))+0.35*COS(2*PI()*(((Inputs!$C$6)/Inputs!$C$50)+Inputs!$C$47*0.173))+0.20*SIN(2*PI()*(((Model_Data!A213)+(Inputs!$C$6))/(0.5*(Inputs!$C$49+Inputs!$C$50))+Inputs!$C$47*0.097)))+0.30*(2*((SIN(((Model_Data!A213)*12.9898+(Inputs!$C$6)*78.233+Inputs!$C$47*37.719))*43758.5453)-INT((SIN(((Model_Data!A213)*12.9898+(Inputs!$C$6)*78.233+Inputs!$C$47*37.719))*43758.5453)))-1))))/1000)^2)-(Inputs!$C$5-((Inputs!$C$51*(115*EXP(-(((0)-25)^2)/(4.5^2))+70*EXP(-(((0)+38)^2)/(7^2))*(0.55+0.45*SIN(2*PI()*(Model_Data!A213)/45))+24*SIN(2*PI()*(0)/9+(Model_Data!A213)/18)*EXP(-(((0)+5)^2)/(22^2))+18*SIN(2*PI()*(Model_Data!A213)/70))+Inputs!$C$28*EXP(-(((Model_Data!A213)-Inputs!$C$29)^2)/(2*Inputs!$C$31^2))*EXP(-(((0)-Inputs!$C$30)^2)/(2*Inputs!$C$32^2))+-Inputs!$C$33*EXP(-(((((Model_Data!A213)-Inputs!$C$34)^2)+(((0)-Inputs!$C$35)^2))/(2*Inputs!$C$36^2)))+Inputs!$C$37*(0.55*SIN(2*PI()*(Model_Data!A213)/Inputs!$C$39)+0.35*COS(2*PI()*(0)/Inputs!$C$40)+0.2*SIN(2*PI()*((Model_Data!A213)+(0))/(0.5*(Inputs!$C$39+Inputs!$C$40))))+Inputs!$C$38*SIN(2*PI()*(Model_Data!A213)/Inputs!$C$39)*SIN(2*PI()*(0)/Inputs!$C$40)+-Inputs!$C$41*EXP(-(((0)-Inputs!$C$43)^2)/(2*Inputs!$C$44^2))*EXP(-(((Model_Data!A213)-Inputs!$C$42)^2)/(2*Inputs!$C$45^2))+Inputs!$C$48*(0.70*(0.45*SIN(2*PI()*(((Model_Data!A213)/Inputs!$C$49)+Inputs!$C$47*0.137))+0.35*COS(2*PI()*(((0)/Inputs!$C$50)+Inputs!$C$47*0.173))+0.20*SIN(2*PI()*(((Model_Data!A213)+(0))/(0.5*(Inputs!$C$49+Inputs!$C$50))+Inputs!$C$47*0.097)))+0.30*(2*((SIN(((Model_Data!A213)*12.9898+(0)*78.233+Inputs!$C$47*37.719))*43758.5453)-INT((SIN(((Model_Data!A213)*12.9898+(0)*78.233+Inputs!$C$47*37.719))*43758.5453)))-1))))/1000))*1000/Inputs!$C$12)-((SQRT((Model_Data!A213)^2+Inputs!$C$6^2+Inputs!$C$5^2)-Inputs!$C$5)*1000/Inputs!$C$12)))</x:f>
        <x:v>0.008888332590913706</x:v>
      </x:c>
      <x:c r="X213" s="48" t="n">
        <x:f>0</x:f>
        <x:v>0</x:v>
      </x:c>
      <x:c r="Y213" s="49"/>
      <x:c r="Z213" s="48" t="n">
        <x:f>Model_Data!A213</x:f>
        <x:v>45.5</x:v>
      </x:c>
      <x:c r="AA213" s="48" t="n">
        <x:f>SQRT((Model_Data!A213)^2+Inputs!$C$6^2+((Model_Data!B213)-((Inputs!$C$51*(115*EXP(-(((Inputs!$C$6)-25)^2)/(4.5^2))+70*EXP(-(((Inputs!$C$6)+38)^2)/(7^2))*(0.55+0.45*SIN(2*PI()*(Model_Data!A213)/45))+24*SIN(2*PI()*(Inputs!$C$6)/9+(Model_Data!A213)/18)*EXP(-(((Inputs!$C$6)+5)^2)/(22^2))+18*SIN(2*PI()*(Model_Data!A213)/70))+Inputs!$C$28*EXP(-(((Model_Data!A213)-Inputs!$C$29)^2)/(2*Inputs!$C$31^2))*EXP(-(((Inputs!$C$6)-Inputs!$C$30)^2)/(2*Inputs!$C$32^2))+-Inputs!$C$33*EXP(-(((((Model_Data!A213)-Inputs!$C$34)^2)+(((Inputs!$C$6)-Inputs!$C$35)^2))/(2*Inputs!$C$36^2)))+Inputs!$C$37*(0.55*SIN(2*PI()*(Model_Data!A213)/Inputs!$C$39)+0.35*COS(2*PI()*(Inputs!$C$6)/Inputs!$C$40)+0.2*SIN(2*PI()*((Model_Data!A213)+(Inputs!$C$6))/(0.5*(Inputs!$C$39+Inputs!$C$40))))+Inputs!$C$38*SIN(2*PI()*(Model_Data!A213)/Inputs!$C$39)*SIN(2*PI()*(Inputs!$C$6)/Inputs!$C$40)+-Inputs!$C$41*EXP(-(((Inputs!$C$6)-Inputs!$C$43)^2)/(2*Inputs!$C$44^2))*EXP(-(((Model_Data!A213)-Inputs!$C$42)^2)/(2*Inputs!$C$45^2))+Inputs!$C$48*(0.70*(0.45*SIN(2*PI()*(((Model_Data!A213)/Inputs!$C$49)+Inputs!$C$47*0.137))+0.35*COS(2*PI()*(((Inputs!$C$6)/Inputs!$C$50)+Inputs!$C$47*0.173))+0.20*SIN(2*PI()*(((Model_Data!A213)+(Inputs!$C$6))/(0.5*(Inputs!$C$49+Inputs!$C$50))+Inputs!$C$47*0.097)))+0.30*(2*((SIN(((Model_Data!A213)*12.9898+(Inputs!$C$6)*78.233+Inputs!$C$47*37.719))*43758.5453)-INT((SIN(((Model_Data!A213)*12.9898+(Inputs!$C$6)*78.233+Inputs!$C$47*37.719))*43758.5453)))-1))))/1000)^2)</x:f>
        <x:v>405.4688520627485</x:v>
      </x:c>
      <x:c r="AB213" s="48" t="n">
        <x:f>1000*(AA214-AA212)/(Z214-Z212)*Inputs!$C$11</x:f>
        <x:v>921.5384282831565</x:v>
      </x:c>
      <x:c r="AC213" s="48" t="n">
        <x:f>-2*AB213/Inputs!$C$13</x:f>
        <x:v>-368.6153713132626</x:v>
      </x:c>
      <x:c r="AD213" s="48" t="n">
        <x:f>-2*AB213/Inputs!$C$14</x:f>
        <x:v>-55.34765335033973</x:v>
      </x:c>
    </x:row>
    <x:row r="214">
      <x:c r="A214" s="48" t="n">
        <x:f>Model_Data!A214</x:f>
        <x:v>46</x:v>
      </x:c>
      <x:c r="B214" s="48" t="n">
        <x:f>Model_Data!F214</x:f>
        <x:v>1905.5794840138458</x:v>
      </x:c>
      <x:c r="C214" s="48" t="n">
        <x:f>(((SQRT((Model_Data!A214)^2+Inputs!$C$6^2+((Model_Data!B214)-((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(0.45*SIN(2*PI()*(((Model_Data!A214)/Inputs!$C$49)+Inputs!$C$47*0.137))+0.35*COS(2*PI()*(((Inputs!$C$6)/Inputs!$C$50)+Inputs!$C$47*0.173))+0.20*SIN(2*PI()*(((Model_Data!A214)+(Inputs!$C$6))/(0.5*(Inputs!$C$49+Inputs!$C$50))+Inputs!$C$47*0.097)))+0.30*(2*((SIN(((Model_Data!A214)*12.9898+(Inputs!$C$6)*78.233+Inputs!$C$47*37.719))*43758.5453)-INT((SIN(((Model_Data!A214)*12.9898+(Inputs!$C$6)*78.233+Inputs!$C$47*37.719))*43758.5453)))-1))))/1000)^2))-(((Model_Data!B214)-((Inputs!$C$51*(115*EXP(-(((0)-25)^2)/(4.5^2))+70*EXP(-(((0)+38)^2)/(7^2))*(0.55+0.45*SIN(2*PI()*(Model_Data!A214)/45))+24*SIN(2*PI()*(0)/9+(Model_Data!A214)/18)*EXP(-(((0)+5)^2)/(22^2))+18*SIN(2*PI()*(Model_Data!A214)/70))+Inputs!$C$28*EXP(-(((Model_Data!A214)-Inputs!$C$29)^2)/(2*Inputs!$C$31^2))*EXP(-(((0)-Inputs!$C$30)^2)/(2*Inputs!$C$32^2))+-Inputs!$C$33*EXP(-(((((Model_Data!A214)-Inputs!$C$34)^2)+(((0)-Inputs!$C$35)^2))/(2*Inputs!$C$36^2)))+Inputs!$C$37*(0.55*SIN(2*PI()*(Model_Data!A214)/Inputs!$C$39)+0.35*COS(2*PI()*(0)/Inputs!$C$40)+0.2*SIN(2*PI()*((Model_Data!A214)+(0))/(0.5*(Inputs!$C$39+Inputs!$C$40))))+Inputs!$C$38*SIN(2*PI()*(Model_Data!A214)/Inputs!$C$39)*SIN(2*PI()*(0)/Inputs!$C$40)+-Inputs!$C$41*EXP(-(((0)-Inputs!$C$43)^2)/(2*Inputs!$C$44^2))*EXP(-(((Model_Data!A214)-Inputs!$C$42)^2)/(2*Inputs!$C$45^2))+Inputs!$C$48*(0.70*(0.45*SIN(2*PI()*(((Model_Data!A214)/Inputs!$C$49)+Inputs!$C$47*0.137))+0.35*COS(2*PI()*(((0)/Inputs!$C$50)+Inputs!$C$47*0.173))+0.20*SIN(2*PI()*(((Model_Data!A214)+(0))/(0.5*(Inputs!$C$49+Inputs!$C$50))+Inputs!$C$47*0.097)))+0.30*(2*((SIN(((Model_Data!A214)*12.9898+(0)*78.233+Inputs!$C$47*37.719))*43758.5453)-INT((SIN(((Model_Data!A214)*12.9898+(0)*78.233+Inputs!$C$47*37.719))*43758.5453)))-1))))/1000)))*1000/Inputs!$C$12)</x:f>
        <x:v>1823.5341816384444</x:v>
      </x:c>
      <x:c r="D214" s="49"/>
      <x:c r="E214" s="48" t="n">
        <x:f>Model_Data!A214</x:f>
        <x:v>46</x:v>
      </x:c>
      <x:c r="F214" s="48" t="n">
        <x:f>(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(0.45*SIN(2*PI()*(((Model_Data!A214)/Inputs!$C$49)+Inputs!$C$47*0.137))+0.35*COS(2*PI()*(((Inputs!$C$6)/Inputs!$C$50)+Inputs!$C$47*0.173))+0.20*SIN(2*PI()*(((Model_Data!A214)+(Inputs!$C$6))/(0.5*(Inputs!$C$49+Inputs!$C$50))+Inputs!$C$47*0.097)))+0.30*(2*((SIN(((Model_Data!A214)*12.9898+(Inputs!$C$6)*78.233+Inputs!$C$47*37.719))*43758.5453)-INT((SIN(((Model_Data!A214)*12.9898+(Inputs!$C$6)*78.233+Inputs!$C$47*37.719))*43758.5453)))-1)))</x:f>
        <x:v>147.2236511039814</x:v>
      </x:c>
      <x:c r="G214" s="48" t="n">
        <x:f>(Inputs!$C$51*(115*EXP(-(((0)-25)^2)/(4.5^2))+70*EXP(-(((0)+38)^2)/(7^2))*(0.55+0.45*SIN(2*PI()*(Model_Data!A214)/45))+24*SIN(2*PI()*(0)/9+(Model_Data!A214)/18)*EXP(-(((0)+5)^2)/(22^2))+18*SIN(2*PI()*(Model_Data!A214)/70))+Inputs!$C$28*EXP(-(((Model_Data!A214)-Inputs!$C$29)^2)/(2*Inputs!$C$31^2))*EXP(-(((0)-Inputs!$C$30)^2)/(2*Inputs!$C$32^2))+-Inputs!$C$33*EXP(-(((((Model_Data!A214)-Inputs!$C$34)^2)+(((0)-Inputs!$C$35)^2))/(2*Inputs!$C$36^2)))+Inputs!$C$37*(0.55*SIN(2*PI()*(Model_Data!A214)/Inputs!$C$39)+0.35*COS(2*PI()*(0)/Inputs!$C$40)+0.2*SIN(2*PI()*((Model_Data!A214)+(0))/(0.5*(Inputs!$C$39+Inputs!$C$40))))+Inputs!$C$38*SIN(2*PI()*(Model_Data!A214)/Inputs!$C$39)*SIN(2*PI()*(0)/Inputs!$C$40)+-Inputs!$C$41*EXP(-(((0)-Inputs!$C$43)^2)/(2*Inputs!$C$44^2))*EXP(-(((Model_Data!A214)-Inputs!$C$42)^2)/(2*Inputs!$C$45^2))+Inputs!$C$48*(0.70*(0.45*SIN(2*PI()*(((Model_Data!A214)/Inputs!$C$49)+Inputs!$C$47*0.137))+0.35*COS(2*PI()*(((0)/Inputs!$C$50)+Inputs!$C$47*0.173))+0.20*SIN(2*PI()*(((Model_Data!A214)+(0))/(0.5*(Inputs!$C$49+Inputs!$C$50))+Inputs!$C$47*0.097)))+0.30*(2*((SIN(((Model_Data!A214)*12.9898+(0)*78.233+Inputs!$C$47*37.719))*43758.5453)-INT((SIN(((Model_Data!A214)*12.9898+(0)*78.233+Inputs!$C$47*37.719))*43758.5453)))-1)))</x:f>
        <x:v>-0.04819256513620118</x:v>
      </x:c>
      <x:c r="H214" s="49"/>
      <x:c r="I214" s="48" t="n">
        <x:f>Model_Data!A214</x:f>
        <x:v>46</x:v>
      </x:c>
      <x:c r="J214" s="48" t="n">
        <x:f>((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(0.45*SIN(2*PI()*(((Model_Data!A214)/Inputs!$C$49)+Inputs!$C$47*0.137))+0.35*COS(2*PI()*(((Inputs!$C$6)/Inputs!$C$50)+Inputs!$C$47*0.173))+0.20*SIN(2*PI()*(((Model_Data!A214)+(Inputs!$C$6))/(0.5*(Inputs!$C$49+Inputs!$C$50))+Inputs!$C$47*0.097)))+0.30*(2*((SIN(((Model_Data!A214)*12.9898+(Inputs!$C$6)*78.233+Inputs!$C$47*37.719))*43758.5453)-INT((SIN(((Model_Data!A214)*12.9898+(Inputs!$C$6)*78.233+Inputs!$C$47*37.719))*43758.5453)))-1))))-((Inputs!$C$51*(115*EXP(-(((0)-25)^2)/(4.5^2))+70*EXP(-(((0)+38)^2)/(7^2))*(0.55+0.45*SIN(2*PI()*(Model_Data!A214)/45))+24*SIN(2*PI()*(0)/9+(Model_Data!A214)/18)*EXP(-(((0)+5)^2)/(22^2))+18*SIN(2*PI()*(Model_Data!A214)/70))+Inputs!$C$28*EXP(-(((Model_Data!A214)-Inputs!$C$29)^2)/(2*Inputs!$C$31^2))*EXP(-(((0)-Inputs!$C$30)^2)/(2*Inputs!$C$32^2))+-Inputs!$C$33*EXP(-(((((Model_Data!A214)-Inputs!$C$34)^2)+(((0)-Inputs!$C$35)^2))/(2*Inputs!$C$36^2)))+Inputs!$C$37*(0.55*SIN(2*PI()*(Model_Data!A214)/Inputs!$C$39)+0.35*COS(2*PI()*(0)/Inputs!$C$40)+0.2*SIN(2*PI()*((Model_Data!A214)+(0))/(0.5*(Inputs!$C$39+Inputs!$C$40))))+Inputs!$C$38*SIN(2*PI()*(Model_Data!A214)/Inputs!$C$39)*SIN(2*PI()*(0)/Inputs!$C$40)+-Inputs!$C$41*EXP(-(((0)-Inputs!$C$43)^2)/(2*Inputs!$C$44^2))*EXP(-(((Model_Data!A214)-Inputs!$C$42)^2)/(2*Inputs!$C$45^2))+Inputs!$C$48*(0.70*(0.45*SIN(2*PI()*(((Model_Data!A214)/Inputs!$C$49)+Inputs!$C$47*0.137))+0.35*COS(2*PI()*(((0)/Inputs!$C$50)+Inputs!$C$47*0.173))+0.20*SIN(2*PI()*(((Model_Data!A214)+(0))/(0.5*(Inputs!$C$49+Inputs!$C$50))+Inputs!$C$47*0.097)))+0.30*(2*((SIN(((Model_Data!A214)*12.9898+(0)*78.233+Inputs!$C$47*37.719))*43758.5453)-INT((SIN(((Model_Data!A214)*12.9898+(0)*78.233+Inputs!$C$47*37.719))*43758.5453)))-1))))</x:f>
        <x:v>147.2718436691176</x:v>
      </x:c>
      <x:c r="K214" s="48" t="n">
        <x:f>-((((SQRT((Model_Data!A214)^2+Inputs!$C$6^2+((Model_Data!B214)-((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(0.45*SIN(2*PI()*(((Model_Data!A214)/Inputs!$C$49)+Inputs!$C$47*0.137))+0.35*COS(2*PI()*(((Inputs!$C$6)/Inputs!$C$50)+Inputs!$C$47*0.173))+0.20*SIN(2*PI()*(((Model_Data!A214)+(Inputs!$C$6))/(0.5*(Inputs!$C$49+Inputs!$C$50))+Inputs!$C$47*0.097)))+0.30*(2*((SIN(((Model_Data!A214)*12.9898+(Inputs!$C$6)*78.233+Inputs!$C$47*37.719))*43758.5453)-INT((SIN(((Model_Data!A214)*12.9898+(Inputs!$C$6)*78.233+Inputs!$C$47*37.719))*43758.5453)))-1))))/1000)^2))-(((Model_Data!B214)-((Inputs!$C$51*(115*EXP(-(((0)-25)^2)/(4.5^2))+70*EXP(-(((0)+38)^2)/(7^2))*(0.55+0.45*SIN(2*PI()*(Model_Data!A214)/45))+24*SIN(2*PI()*(0)/9+(Model_Data!A214)/18)*EXP(-(((0)+5)^2)/(22^2))+18*SIN(2*PI()*(Model_Data!A214)/70))+Inputs!$C$28*EXP(-(((Model_Data!A214)-Inputs!$C$29)^2)/(2*Inputs!$C$31^2))*EXP(-(((0)-Inputs!$C$30)^2)/(2*Inputs!$C$32^2))+-Inputs!$C$33*EXP(-(((((Model_Data!A214)-Inputs!$C$34)^2)+(((0)-Inputs!$C$35)^2))/(2*Inputs!$C$36^2)))+Inputs!$C$37*(0.55*SIN(2*PI()*(Model_Data!A214)/Inputs!$C$39)+0.35*COS(2*PI()*(0)/Inputs!$C$40)+0.2*SIN(2*PI()*((Model_Data!A214)+(0))/(0.5*(Inputs!$C$39+Inputs!$C$40))))+Inputs!$C$38*SIN(2*PI()*(Model_Data!A214)/Inputs!$C$39)*SIN(2*PI()*(0)/Inputs!$C$40)+-Inputs!$C$41*EXP(-(((0)-Inputs!$C$43)^2)/(2*Inputs!$C$44^2))*EXP(-(((Model_Data!A214)-Inputs!$C$42)^2)/(2*Inputs!$C$45^2))+Inputs!$C$48*(0.70*(0.45*SIN(2*PI()*(((Model_Data!A214)/Inputs!$C$49)+Inputs!$C$47*0.137))+0.35*COS(2*PI()*(((0)/Inputs!$C$50)+Inputs!$C$47*0.173))+0.20*SIN(2*PI()*(((Model_Data!A214)+(0))/(0.5*(Inputs!$C$49+Inputs!$C$50))+Inputs!$C$47*0.097)))+0.30*(2*((SIN(((Model_Data!A214)*12.9898+(0)*78.233+Inputs!$C$47*37.719))*43758.5453)-INT((SIN(((Model_Data!A214)*12.9898+(0)*78.233+Inputs!$C$47*37.719))*43758.5453)))-1))))/1000)))*1000/Inputs!$C$12)-Model_Data!F214)</x:f>
        <x:v>82.04530237540143</x:v>
      </x:c>
      <x:c r="L214" s="49"/>
      <x:c r="M214" s="48" t="n">
        <x:f>Model_Data!A214</x:f>
        <x:v>46</x:v>
      </x:c>
      <x:c r="N214" s="48" t="n">
        <x:f>Model_Data!P214</x:f>
        <x:v>-343.58385695384493</x:v>
      </x:c>
      <x:c r="O214" s="48" t="n">
        <x:f>AC214</x:f>
        <x:v>-412.69360469650564</x:v>
      </x:c>
      <x:c r="P214" s="48" t="n">
        <x:f>Model_Data!Q214</x:f>
        <x:v>-51.58916771078753</x:v>
      </x:c>
      <x:c r="Q214" s="48" t="n">
        <x:f>AD214</x:f>
        <x:v>-61.96600671118704</x:v>
      </x:c>
      <x:c r="R214" s="49"/>
      <x:c r="S214" s="48" t="n">
        <x:f>Model_Data!A214</x:f>
        <x:v>46</x:v>
      </x:c>
      <x:c r="T214" s="48" t="n">
        <x:f>Model_Data!B214-Inputs!$C$5</x:f>
        <x:v>2.351111111111095</x:v>
      </x:c>
      <x:c r="U214" s="49"/>
      <x:c r="V214" s="48" t="n">
        <x:f>Model_Data!A214</x:f>
        <x:v>46</x:v>
      </x:c>
      <x:c r="W214" s="48" t="n">
        <x:f>(-((((SQRT((Model_Data!A214)^2+Inputs!$C$6^2+((Model_Data!B214)-((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(0.45*SIN(2*PI()*(((Model_Data!A214)/Inputs!$C$49)+Inputs!$C$47*0.137))+0.35*COS(2*PI()*(((Inputs!$C$6)/Inputs!$C$50)+Inputs!$C$47*0.173))+0.20*SIN(2*PI()*(((Model_Data!A214)+(Inputs!$C$6))/(0.5*(Inputs!$C$49+Inputs!$C$50))+Inputs!$C$47*0.097)))+0.30*(2*((SIN(((Model_Data!A214)*12.9898+(Inputs!$C$6)*78.233+Inputs!$C$47*37.719))*43758.5453)-INT((SIN(((Model_Data!A214)*12.9898+(Inputs!$C$6)*78.233+Inputs!$C$47*37.719))*43758.5453)))-1))))/1000)^2))-(((Model_Data!B214)-((Inputs!$C$51*(115*EXP(-(((0)-25)^2)/(4.5^2))+70*EXP(-(((0)+38)^2)/(7^2))*(0.55+0.45*SIN(2*PI()*(Model_Data!A214)/45))+24*SIN(2*PI()*(0)/9+(Model_Data!A214)/18)*EXP(-(((0)+5)^2)/(22^2))+18*SIN(2*PI()*(Model_Data!A214)/70))+Inputs!$C$28*EXP(-(((Model_Data!A214)-Inputs!$C$29)^2)/(2*Inputs!$C$31^2))*EXP(-(((0)-Inputs!$C$30)^2)/(2*Inputs!$C$32^2))+-Inputs!$C$33*EXP(-(((((Model_Data!A214)-Inputs!$C$34)^2)+(((0)-Inputs!$C$35)^2))/(2*Inputs!$C$36^2)))+Inputs!$C$37*(0.55*SIN(2*PI()*(Model_Data!A214)/Inputs!$C$39)+0.35*COS(2*PI()*(0)/Inputs!$C$40)+0.2*SIN(2*PI()*((Model_Data!A214)+(0))/(0.5*(Inputs!$C$39+Inputs!$C$40))))+Inputs!$C$38*SIN(2*PI()*(Model_Data!A214)/Inputs!$C$39)*SIN(2*PI()*(0)/Inputs!$C$40)+-Inputs!$C$41*EXP(-(((0)-Inputs!$C$43)^2)/(2*Inputs!$C$44^2))*EXP(-(((Model_Data!A214)-Inputs!$C$42)^2)/(2*Inputs!$C$45^2))+Inputs!$C$48*(0.70*(0.45*SIN(2*PI()*(((Model_Data!A214)/Inputs!$C$49)+Inputs!$C$47*0.137))+0.35*COS(2*PI()*(((0)/Inputs!$C$50)+Inputs!$C$47*0.173))+0.20*SIN(2*PI()*(((Model_Data!A214)+(0))/(0.5*(Inputs!$C$49+Inputs!$C$50))+Inputs!$C$47*0.097)))+0.30*(2*((SIN(((Model_Data!A214)*12.9898+(0)*78.233+Inputs!$C$47*37.719))*43758.5453)-INT((SIN(((Model_Data!A214)*12.9898+(0)*78.233+Inputs!$C$47*37.719))*43758.5453)))-1))))/1000)))*1000/Inputs!$C$12)-Model_Data!F214))-(-(((SQRT((Model_Data!A214)^2+Inputs!$C$6^2+(Inputs!$C$5-((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(0.45*SIN(2*PI()*(((Model_Data!A214)/Inputs!$C$49)+Inputs!$C$47*0.137))+0.35*COS(2*PI()*(((Inputs!$C$6)/Inputs!$C$50)+Inputs!$C$47*0.173))+0.20*SIN(2*PI()*(((Model_Data!A214)+(Inputs!$C$6))/(0.5*(Inputs!$C$49+Inputs!$C$50))+Inputs!$C$47*0.097)))+0.30*(2*((SIN(((Model_Data!A214)*12.9898+(Inputs!$C$6)*78.233+Inputs!$C$47*37.719))*43758.5453)-INT((SIN(((Model_Data!A214)*12.9898+(Inputs!$C$6)*78.233+Inputs!$C$47*37.719))*43758.5453)))-1))))/1000)^2)-(Inputs!$C$5-((Inputs!$C$51*(115*EXP(-(((0)-25)^2)/(4.5^2))+70*EXP(-(((0)+38)^2)/(7^2))*(0.55+0.45*SIN(2*PI()*(Model_Data!A214)/45))+24*SIN(2*PI()*(0)/9+(Model_Data!A214)/18)*EXP(-(((0)+5)^2)/(22^2))+18*SIN(2*PI()*(Model_Data!A214)/70))+Inputs!$C$28*EXP(-(((Model_Data!A214)-Inputs!$C$29)^2)/(2*Inputs!$C$31^2))*EXP(-(((0)-Inputs!$C$30)^2)/(2*Inputs!$C$32^2))+-Inputs!$C$33*EXP(-(((((Model_Data!A214)-Inputs!$C$34)^2)+(((0)-Inputs!$C$35)^2))/(2*Inputs!$C$36^2)))+Inputs!$C$37*(0.55*SIN(2*PI()*(Model_Data!A214)/Inputs!$C$39)+0.35*COS(2*PI()*(0)/Inputs!$C$40)+0.2*SIN(2*PI()*((Model_Data!A214)+(0))/(0.5*(Inputs!$C$39+Inputs!$C$40))))+Inputs!$C$38*SIN(2*PI()*(Model_Data!A214)/Inputs!$C$39)*SIN(2*PI()*(0)/Inputs!$C$40)+-Inputs!$C$41*EXP(-(((0)-Inputs!$C$43)^2)/(2*Inputs!$C$44^2))*EXP(-(((Model_Data!A214)-Inputs!$C$42)^2)/(2*Inputs!$C$45^2))+Inputs!$C$48*(0.70*(0.45*SIN(2*PI()*(((Model_Data!A214)/Inputs!$C$49)+Inputs!$C$47*0.137))+0.35*COS(2*PI()*(((0)/Inputs!$C$50)+Inputs!$C$47*0.173))+0.20*SIN(2*PI()*(((Model_Data!A214)+(0))/(0.5*(Inputs!$C$49+Inputs!$C$50))+Inputs!$C$47*0.097)))+0.30*(2*((SIN(((Model_Data!A214)*12.9898+(0)*78.233+Inputs!$C$47*37.719))*43758.5453)-INT((SIN(((Model_Data!A214)*12.9898+(0)*78.233+Inputs!$C$47*37.719))*43758.5453)))-1))))/1000))*1000/Inputs!$C$12)-((SQRT((Model_Data!A214)^2+Inputs!$C$6^2+Inputs!$C$5^2)-Inputs!$C$5)*1000/Inputs!$C$12)))</x:f>
        <x:v>0.008053365167825177</x:v>
      </x:c>
      <x:c r="X214" s="48" t="n">
        <x:f>0</x:f>
        <x:v>0</x:v>
      </x:c>
      <x:c r="Y214" s="49"/>
      <x:c r="Z214" s="48" t="n">
        <x:f>Model_Data!A214</x:f>
        <x:v>46</x:v>
      </x:c>
      <x:c r="AA214" s="48" t="n">
        <x:f>SQRT((Model_Data!A214)^2+Inputs!$C$6^2+((Model_Data!B214)-((Inputs!$C$51*(115*EXP(-(((Inputs!$C$6)-25)^2)/(4.5^2))+70*EXP(-(((Inputs!$C$6)+38)^2)/(7^2))*(0.55+0.45*SIN(2*PI()*(Model_Data!A214)/45))+24*SIN(2*PI()*(Inputs!$C$6)/9+(Model_Data!A214)/18)*EXP(-(((Inputs!$C$6)+5)^2)/(22^2))+18*SIN(2*PI()*(Model_Data!A214)/70))+Inputs!$C$28*EXP(-(((Model_Data!A214)-Inputs!$C$29)^2)/(2*Inputs!$C$31^2))*EXP(-(((Inputs!$C$6)-Inputs!$C$30)^2)/(2*Inputs!$C$32^2))+-Inputs!$C$33*EXP(-(((((Model_Data!A214)-Inputs!$C$34)^2)+(((Inputs!$C$6)-Inputs!$C$35)^2))/(2*Inputs!$C$36^2)))+Inputs!$C$37*(0.55*SIN(2*PI()*(Model_Data!A214)/Inputs!$C$39)+0.35*COS(2*PI()*(Inputs!$C$6)/Inputs!$C$40)+0.2*SIN(2*PI()*((Model_Data!A214)+(Inputs!$C$6))/(0.5*(Inputs!$C$39+Inputs!$C$40))))+Inputs!$C$38*SIN(2*PI()*(Model_Data!A214)/Inputs!$C$39)*SIN(2*PI()*(Inputs!$C$6)/Inputs!$C$40)+-Inputs!$C$41*EXP(-(((Inputs!$C$6)-Inputs!$C$43)^2)/(2*Inputs!$C$44^2))*EXP(-(((Model_Data!A214)-Inputs!$C$42)^2)/(2*Inputs!$C$45^2))+Inputs!$C$48*(0.70*(0.45*SIN(2*PI()*(((Model_Data!A214)/Inputs!$C$49)+Inputs!$C$47*0.137))+0.35*COS(2*PI()*(((Inputs!$C$6)/Inputs!$C$50)+Inputs!$C$47*0.173))+0.20*SIN(2*PI()*(((Model_Data!A214)+(Inputs!$C$6))/(0.5*(Inputs!$C$49+Inputs!$C$50))+Inputs!$C$47*0.097)))+0.30*(2*((SIN(((Model_Data!A214)*12.9898+(Inputs!$C$6)*78.233+Inputs!$C$47*37.719))*43758.5453)-INT((SIN(((Model_Data!A214)*12.9898+(Inputs!$C$6)*78.233+Inputs!$C$47*37.719))*43758.5453)))-1))))/1000)^2)</x:f>
        <x:v>405.5970501469927</x:v>
      </x:c>
      <x:c r="AB214" s="48" t="n">
        <x:f>1000*(AA215-AA213)/(Z215-Z213)*Inputs!$C$11</x:f>
        <x:v>1031.734011741264</x:v>
      </x:c>
      <x:c r="AC214" s="48" t="n">
        <x:f>-2*AB214/Inputs!$C$13</x:f>
        <x:v>-412.69360469650564</x:v>
      </x:c>
      <x:c r="AD214" s="48" t="n">
        <x:f>-2*AB214/Inputs!$C$14</x:f>
        <x:v>-61.96600671118704</x:v>
      </x:c>
    </x:row>
    <x:row r="215">
      <x:c r="A215" s="48" t="n">
        <x:f>Model_Data!A215</x:f>
        <x:v>46.5</x:v>
      </x:c>
      <x:c r="B215" s="48" t="n">
        <x:f>Model_Data!F215</x:f>
        <x:v>1937.3511102927434</x:v>
      </x:c>
      <x:c r="C215" s="48" t="n">
        <x:f>(((SQRT((Model_Data!A215)^2+Inputs!$C$6^2+((Model_Data!B215)-((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(0.45*SIN(2*PI()*(((Model_Data!A215)/Inputs!$C$49)+Inputs!$C$47*0.137))+0.35*COS(2*PI()*(((Inputs!$C$6)/Inputs!$C$50)+Inputs!$C$47*0.173))+0.20*SIN(2*PI()*(((Model_Data!A215)+(Inputs!$C$6))/(0.5*(Inputs!$C$49+Inputs!$C$50))+Inputs!$C$47*0.097)))+0.30*(2*((SIN(((Model_Data!A215)*12.9898+(Inputs!$C$6)*78.233+Inputs!$C$47*37.719))*43758.5453)-INT((SIN(((Model_Data!A215)*12.9898+(Inputs!$C$6)*78.233+Inputs!$C$47*37.719))*43758.5453)))-1))))/1000)^2))-(((Model_Data!B215)-((Inputs!$C$51*(115*EXP(-(((0)-25)^2)/(4.5^2))+70*EXP(-(((0)+38)^2)/(7^2))*(0.55+0.45*SIN(2*PI()*(Model_Data!A215)/45))+24*SIN(2*PI()*(0)/9+(Model_Data!A215)/18)*EXP(-(((0)+5)^2)/(22^2))+18*SIN(2*PI()*(Model_Data!A215)/70))+Inputs!$C$28*EXP(-(((Model_Data!A215)-Inputs!$C$29)^2)/(2*Inputs!$C$31^2))*EXP(-(((0)-Inputs!$C$30)^2)/(2*Inputs!$C$32^2))+-Inputs!$C$33*EXP(-(((((Model_Data!A215)-Inputs!$C$34)^2)+(((0)-Inputs!$C$35)^2))/(2*Inputs!$C$36^2)))+Inputs!$C$37*(0.55*SIN(2*PI()*(Model_Data!A215)/Inputs!$C$39)+0.35*COS(2*PI()*(0)/Inputs!$C$40)+0.2*SIN(2*PI()*((Model_Data!A215)+(0))/(0.5*(Inputs!$C$39+Inputs!$C$40))))+Inputs!$C$38*SIN(2*PI()*(Model_Data!A215)/Inputs!$C$39)*SIN(2*PI()*(0)/Inputs!$C$40)+-Inputs!$C$41*EXP(-(((0)-Inputs!$C$43)^2)/(2*Inputs!$C$44^2))*EXP(-(((Model_Data!A215)-Inputs!$C$42)^2)/(2*Inputs!$C$45^2))+Inputs!$C$48*(0.70*(0.45*SIN(2*PI()*(((Model_Data!A215)/Inputs!$C$49)+Inputs!$C$47*0.137))+0.35*COS(2*PI()*(((0)/Inputs!$C$50)+Inputs!$C$47*0.173))+0.20*SIN(2*PI()*(((Model_Data!A215)+(0))/(0.5*(Inputs!$C$49+Inputs!$C$50))+Inputs!$C$47*0.097)))+0.30*(2*((SIN(((Model_Data!A215)*12.9898+(0)*78.233+Inputs!$C$47*37.719))*43758.5453)-INT((SIN(((Model_Data!A215)*12.9898+(0)*78.233+Inputs!$C$47*37.719))*43758.5453)))-1))))/1000)))*1000/Inputs!$C$12)</x:f>
        <x:v>1860.6526962238402</x:v>
      </x:c>
      <x:c r="D215" s="49"/>
      <x:c r="E215" s="48" t="n">
        <x:f>Model_Data!A215</x:f>
        <x:v>46.5</x:v>
      </x:c>
      <x:c r="F215" s="48" t="n">
        <x:f>(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(0.45*SIN(2*PI()*(((Model_Data!A215)/Inputs!$C$49)+Inputs!$C$47*0.137))+0.35*COS(2*PI()*(((Inputs!$C$6)/Inputs!$C$50)+Inputs!$C$47*0.173))+0.20*SIN(2*PI()*(((Model_Data!A215)+(Inputs!$C$6))/(0.5*(Inputs!$C$49+Inputs!$C$50))+Inputs!$C$47*0.097)))+0.30*(2*((SIN(((Model_Data!A215)*12.9898+(Inputs!$C$6)*78.233+Inputs!$C$47*37.719))*43758.5453)-INT((SIN(((Model_Data!A215)*12.9898+(Inputs!$C$6)*78.233+Inputs!$C$47*37.719))*43758.5453)))-1)))</x:f>
        <x:v>125.26409736726505</x:v>
      </x:c>
      <x:c r="G215" s="48" t="n">
        <x:f>(Inputs!$C$51*(115*EXP(-(((0)-25)^2)/(4.5^2))+70*EXP(-(((0)+38)^2)/(7^2))*(0.55+0.45*SIN(2*PI()*(Model_Data!A215)/45))+24*SIN(2*PI()*(0)/9+(Model_Data!A215)/18)*EXP(-(((0)+5)^2)/(22^2))+18*SIN(2*PI()*(Model_Data!A215)/70))+Inputs!$C$28*EXP(-(((Model_Data!A215)-Inputs!$C$29)^2)/(2*Inputs!$C$31^2))*EXP(-(((0)-Inputs!$C$30)^2)/(2*Inputs!$C$32^2))+-Inputs!$C$33*EXP(-(((((Model_Data!A215)-Inputs!$C$34)^2)+(((0)-Inputs!$C$35)^2))/(2*Inputs!$C$36^2)))+Inputs!$C$37*(0.55*SIN(2*PI()*(Model_Data!A215)/Inputs!$C$39)+0.35*COS(2*PI()*(0)/Inputs!$C$40)+0.2*SIN(2*PI()*((Model_Data!A215)+(0))/(0.5*(Inputs!$C$39+Inputs!$C$40))))+Inputs!$C$38*SIN(2*PI()*(Model_Data!A215)/Inputs!$C$39)*SIN(2*PI()*(0)/Inputs!$C$40)+-Inputs!$C$41*EXP(-(((0)-Inputs!$C$43)^2)/(2*Inputs!$C$44^2))*EXP(-(((Model_Data!A215)-Inputs!$C$42)^2)/(2*Inputs!$C$45^2))+Inputs!$C$48*(0.70*(0.45*SIN(2*PI()*(((Model_Data!A215)/Inputs!$C$49)+Inputs!$C$47*0.137))+0.35*COS(2*PI()*(((0)/Inputs!$C$50)+Inputs!$C$47*0.173))+0.20*SIN(2*PI()*(((Model_Data!A215)+(0))/(0.5*(Inputs!$C$49+Inputs!$C$50))+Inputs!$C$47*0.097)))+0.30*(2*((SIN(((Model_Data!A215)*12.9898+(0)*78.233+Inputs!$C$47*37.719))*43758.5453)-INT((SIN(((Model_Data!A215)*12.9898+(0)*78.233+Inputs!$C$47*37.719))*43758.5453)))-1)))</x:f>
        <x:v>-12.32376640540756</x:v>
      </x:c>
      <x:c r="H215" s="49"/>
      <x:c r="I215" s="48" t="n">
        <x:f>Model_Data!A215</x:f>
        <x:v>46.5</x:v>
      </x:c>
      <x:c r="J215" s="48" t="n">
        <x:f>((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(0.45*SIN(2*PI()*(((Model_Data!A215)/Inputs!$C$49)+Inputs!$C$47*0.137))+0.35*COS(2*PI()*(((Inputs!$C$6)/Inputs!$C$50)+Inputs!$C$47*0.173))+0.20*SIN(2*PI()*(((Model_Data!A215)+(Inputs!$C$6))/(0.5*(Inputs!$C$49+Inputs!$C$50))+Inputs!$C$47*0.097)))+0.30*(2*((SIN(((Model_Data!A215)*12.9898+(Inputs!$C$6)*78.233+Inputs!$C$47*37.719))*43758.5453)-INT((SIN(((Model_Data!A215)*12.9898+(Inputs!$C$6)*78.233+Inputs!$C$47*37.719))*43758.5453)))-1))))-((Inputs!$C$51*(115*EXP(-(((0)-25)^2)/(4.5^2))+70*EXP(-(((0)+38)^2)/(7^2))*(0.55+0.45*SIN(2*PI()*(Model_Data!A215)/45))+24*SIN(2*PI()*(0)/9+(Model_Data!A215)/18)*EXP(-(((0)+5)^2)/(22^2))+18*SIN(2*PI()*(Model_Data!A215)/70))+Inputs!$C$28*EXP(-(((Model_Data!A215)-Inputs!$C$29)^2)/(2*Inputs!$C$31^2))*EXP(-(((0)-Inputs!$C$30)^2)/(2*Inputs!$C$32^2))+-Inputs!$C$33*EXP(-(((((Model_Data!A215)-Inputs!$C$34)^2)+(((0)-Inputs!$C$35)^2))/(2*Inputs!$C$36^2)))+Inputs!$C$37*(0.55*SIN(2*PI()*(Model_Data!A215)/Inputs!$C$39)+0.35*COS(2*PI()*(0)/Inputs!$C$40)+0.2*SIN(2*PI()*((Model_Data!A215)+(0))/(0.5*(Inputs!$C$39+Inputs!$C$40))))+Inputs!$C$38*SIN(2*PI()*(Model_Data!A215)/Inputs!$C$39)*SIN(2*PI()*(0)/Inputs!$C$40)+-Inputs!$C$41*EXP(-(((0)-Inputs!$C$43)^2)/(2*Inputs!$C$44^2))*EXP(-(((Model_Data!A215)-Inputs!$C$42)^2)/(2*Inputs!$C$45^2))+Inputs!$C$48*(0.70*(0.45*SIN(2*PI()*(((Model_Data!A215)/Inputs!$C$49)+Inputs!$C$47*0.137))+0.35*COS(2*PI()*(((0)/Inputs!$C$50)+Inputs!$C$47*0.173))+0.20*SIN(2*PI()*(((Model_Data!A215)+(0))/(0.5*(Inputs!$C$49+Inputs!$C$50))+Inputs!$C$47*0.097)))+0.30*(2*((SIN(((Model_Data!A215)*12.9898+(0)*78.233+Inputs!$C$47*37.719))*43758.5453)-INT((SIN(((Model_Data!A215)*12.9898+(0)*78.233+Inputs!$C$47*37.719))*43758.5453)))-1))))</x:f>
        <x:v>137.58786377267262</x:v>
      </x:c>
      <x:c r="K215" s="48" t="n">
        <x:f>-((((SQRT((Model_Data!A215)^2+Inputs!$C$6^2+((Model_Data!B215)-((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(0.45*SIN(2*PI()*(((Model_Data!A215)/Inputs!$C$49)+Inputs!$C$47*0.137))+0.35*COS(2*PI()*(((Inputs!$C$6)/Inputs!$C$50)+Inputs!$C$47*0.173))+0.20*SIN(2*PI()*(((Model_Data!A215)+(Inputs!$C$6))/(0.5*(Inputs!$C$49+Inputs!$C$50))+Inputs!$C$47*0.097)))+0.30*(2*((SIN(((Model_Data!A215)*12.9898+(Inputs!$C$6)*78.233+Inputs!$C$47*37.719))*43758.5453)-INT((SIN(((Model_Data!A215)*12.9898+(Inputs!$C$6)*78.233+Inputs!$C$47*37.719))*43758.5453)))-1))))/1000)^2))-(((Model_Data!B215)-((Inputs!$C$51*(115*EXP(-(((0)-25)^2)/(4.5^2))+70*EXP(-(((0)+38)^2)/(7^2))*(0.55+0.45*SIN(2*PI()*(Model_Data!A215)/45))+24*SIN(2*PI()*(0)/9+(Model_Data!A215)/18)*EXP(-(((0)+5)^2)/(22^2))+18*SIN(2*PI()*(Model_Data!A215)/70))+Inputs!$C$28*EXP(-(((Model_Data!A215)-Inputs!$C$29)^2)/(2*Inputs!$C$31^2))*EXP(-(((0)-Inputs!$C$30)^2)/(2*Inputs!$C$32^2))+-Inputs!$C$33*EXP(-(((((Model_Data!A215)-Inputs!$C$34)^2)+(((0)-Inputs!$C$35)^2))/(2*Inputs!$C$36^2)))+Inputs!$C$37*(0.55*SIN(2*PI()*(Model_Data!A215)/Inputs!$C$39)+0.35*COS(2*PI()*(0)/Inputs!$C$40)+0.2*SIN(2*PI()*((Model_Data!A215)+(0))/(0.5*(Inputs!$C$39+Inputs!$C$40))))+Inputs!$C$38*SIN(2*PI()*(Model_Data!A215)/Inputs!$C$39)*SIN(2*PI()*(0)/Inputs!$C$40)+-Inputs!$C$41*EXP(-(((0)-Inputs!$C$43)^2)/(2*Inputs!$C$44^2))*EXP(-(((Model_Data!A215)-Inputs!$C$42)^2)/(2*Inputs!$C$45^2))+Inputs!$C$48*(0.70*(0.45*SIN(2*PI()*(((Model_Data!A215)/Inputs!$C$49)+Inputs!$C$47*0.137))+0.35*COS(2*PI()*(((0)/Inputs!$C$50)+Inputs!$C$47*0.173))+0.20*SIN(2*PI()*(((Model_Data!A215)+(0))/(0.5*(Inputs!$C$49+Inputs!$C$50))+Inputs!$C$47*0.097)))+0.30*(2*((SIN(((Model_Data!A215)*12.9898+(0)*78.233+Inputs!$C$47*37.719))*43758.5453)-INT((SIN(((Model_Data!A215)*12.9898+(0)*78.233+Inputs!$C$47*37.719))*43758.5453)))-1))))/1000)))*1000/Inputs!$C$12)-Model_Data!F215)</x:f>
        <x:v>76.69841406890328</x:v>
      </x:c>
      <x:c r="L215" s="49"/>
      <x:c r="M215" s="48" t="n">
        <x:f>Model_Data!A215</x:f>
        <x:v>46.5</x:v>
      </x:c>
      <x:c r="N215" s="48" t="n">
        <x:f>Model_Data!P215</x:f>
        <x:v>-347.2470238673663</x:v>
      </x:c>
      <x:c r="O215" s="48" t="n">
        <x:f>AC215</x:f>
        <x:v>-391.9605037182919</x:v>
      </x:c>
      <x:c r="P215" s="48" t="n">
        <x:f>Model_Data!Q215</x:f>
        <x:v>-52.13919277287783</x:v>
      </x:c>
      <x:c r="Q215" s="48" t="n">
        <x:f>AD215</x:f>
        <x:v>-58.85292848623001</x:v>
      </x:c>
      <x:c r="R215" s="49"/>
      <x:c r="S215" s="48" t="n">
        <x:f>Model_Data!A215</x:f>
        <x:v>46.5</x:v>
      </x:c>
      <x:c r="T215" s="48" t="n">
        <x:f>Model_Data!B215-Inputs!$C$5</x:f>
        <x:v>2.402499999999975</x:v>
      </x:c>
      <x:c r="U215" s="49"/>
      <x:c r="V215" s="48" t="n">
        <x:f>Model_Data!A215</x:f>
        <x:v>46.5</x:v>
      </x:c>
      <x:c r="W215" s="48" t="n">
        <x:f>(-((((SQRT((Model_Data!A215)^2+Inputs!$C$6^2+((Model_Data!B215)-((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(0.45*SIN(2*PI()*(((Model_Data!A215)/Inputs!$C$49)+Inputs!$C$47*0.137))+0.35*COS(2*PI()*(((Inputs!$C$6)/Inputs!$C$50)+Inputs!$C$47*0.173))+0.20*SIN(2*PI()*(((Model_Data!A215)+(Inputs!$C$6))/(0.5*(Inputs!$C$49+Inputs!$C$50))+Inputs!$C$47*0.097)))+0.30*(2*((SIN(((Model_Data!A215)*12.9898+(Inputs!$C$6)*78.233+Inputs!$C$47*37.719))*43758.5453)-INT((SIN(((Model_Data!A215)*12.9898+(Inputs!$C$6)*78.233+Inputs!$C$47*37.719))*43758.5453)))-1))))/1000)^2))-(((Model_Data!B215)-((Inputs!$C$51*(115*EXP(-(((0)-25)^2)/(4.5^2))+70*EXP(-(((0)+38)^2)/(7^2))*(0.55+0.45*SIN(2*PI()*(Model_Data!A215)/45))+24*SIN(2*PI()*(0)/9+(Model_Data!A215)/18)*EXP(-(((0)+5)^2)/(22^2))+18*SIN(2*PI()*(Model_Data!A215)/70))+Inputs!$C$28*EXP(-(((Model_Data!A215)-Inputs!$C$29)^2)/(2*Inputs!$C$31^2))*EXP(-(((0)-Inputs!$C$30)^2)/(2*Inputs!$C$32^2))+-Inputs!$C$33*EXP(-(((((Model_Data!A215)-Inputs!$C$34)^2)+(((0)-Inputs!$C$35)^2))/(2*Inputs!$C$36^2)))+Inputs!$C$37*(0.55*SIN(2*PI()*(Model_Data!A215)/Inputs!$C$39)+0.35*COS(2*PI()*(0)/Inputs!$C$40)+0.2*SIN(2*PI()*((Model_Data!A215)+(0))/(0.5*(Inputs!$C$39+Inputs!$C$40))))+Inputs!$C$38*SIN(2*PI()*(Model_Data!A215)/Inputs!$C$39)*SIN(2*PI()*(0)/Inputs!$C$40)+-Inputs!$C$41*EXP(-(((0)-Inputs!$C$43)^2)/(2*Inputs!$C$44^2))*EXP(-(((Model_Data!A215)-Inputs!$C$42)^2)/(2*Inputs!$C$45^2))+Inputs!$C$48*(0.70*(0.45*SIN(2*PI()*(((Model_Data!A215)/Inputs!$C$49)+Inputs!$C$47*0.137))+0.35*COS(2*PI()*(((0)/Inputs!$C$50)+Inputs!$C$47*0.173))+0.20*SIN(2*PI()*(((Model_Data!A215)+(0))/(0.5*(Inputs!$C$49+Inputs!$C$50))+Inputs!$C$47*0.097)))+0.30*(2*((SIN(((Model_Data!A215)*12.9898+(0)*78.233+Inputs!$C$47*37.719))*43758.5453)-INT((SIN(((Model_Data!A215)*12.9898+(0)*78.233+Inputs!$C$47*37.719))*43758.5453)))-1))))/1000)))*1000/Inputs!$C$12)-Model_Data!F215))-(-(((SQRT((Model_Data!A215)^2+Inputs!$C$6^2+(Inputs!$C$5-((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(0.45*SIN(2*PI()*(((Model_Data!A215)/Inputs!$C$49)+Inputs!$C$47*0.137))+0.35*COS(2*PI()*(((Inputs!$C$6)/Inputs!$C$50)+Inputs!$C$47*0.173))+0.20*SIN(2*PI()*(((Model_Data!A215)+(Inputs!$C$6))/(0.5*(Inputs!$C$49+Inputs!$C$50))+Inputs!$C$47*0.097)))+0.30*(2*((SIN(((Model_Data!A215)*12.9898+(Inputs!$C$6)*78.233+Inputs!$C$47*37.719))*43758.5453)-INT((SIN(((Model_Data!A215)*12.9898+(Inputs!$C$6)*78.233+Inputs!$C$47*37.719))*43758.5453)))-1))))/1000)^2)-(Inputs!$C$5-((Inputs!$C$51*(115*EXP(-(((0)-25)^2)/(4.5^2))+70*EXP(-(((0)+38)^2)/(7^2))*(0.55+0.45*SIN(2*PI()*(Model_Data!A215)/45))+24*SIN(2*PI()*(0)/9+(Model_Data!A215)/18)*EXP(-(((0)+5)^2)/(22^2))+18*SIN(2*PI()*(Model_Data!A215)/70))+Inputs!$C$28*EXP(-(((Model_Data!A215)-Inputs!$C$29)^2)/(2*Inputs!$C$31^2))*EXP(-(((0)-Inputs!$C$30)^2)/(2*Inputs!$C$32^2))+-Inputs!$C$33*EXP(-(((((Model_Data!A215)-Inputs!$C$34)^2)+(((0)-Inputs!$C$35)^2))/(2*Inputs!$C$36^2)))+Inputs!$C$37*(0.55*SIN(2*PI()*(Model_Data!A215)/Inputs!$C$39)+0.35*COS(2*PI()*(0)/Inputs!$C$40)+0.2*SIN(2*PI()*((Model_Data!A215)+(0))/(0.5*(Inputs!$C$39+Inputs!$C$40))))+Inputs!$C$38*SIN(2*PI()*(Model_Data!A215)/Inputs!$C$39)*SIN(2*PI()*(0)/Inputs!$C$40)+-Inputs!$C$41*EXP(-(((0)-Inputs!$C$43)^2)/(2*Inputs!$C$44^2))*EXP(-(((Model_Data!A215)-Inputs!$C$42)^2)/(2*Inputs!$C$45^2))+Inputs!$C$48*(0.70*(0.45*SIN(2*PI()*(((Model_Data!A215)/Inputs!$C$49)+Inputs!$C$47*0.137))+0.35*COS(2*PI()*(((0)/Inputs!$C$50)+Inputs!$C$47*0.173))+0.20*SIN(2*PI()*(((Model_Data!A215)+(0))/(0.5*(Inputs!$C$49+Inputs!$C$50))+Inputs!$C$47*0.097)))+0.30*(2*((SIN(((Model_Data!A215)*12.9898+(0)*78.233+Inputs!$C$47*37.719))*43758.5453)-INT((SIN(((Model_Data!A215)*12.9898+(0)*78.233+Inputs!$C$47*37.719))*43758.5453)))-1))))/1000))*1000/Inputs!$C$12)-((SQRT((Model_Data!A215)^2+Inputs!$C$6^2+Inputs!$C$5^2)-Inputs!$C$5)*1000/Inputs!$C$12)))</x:f>
        <x:v>0.007115126952840001</x:v>
      </x:c>
      <x:c r="X215" s="48" t="n">
        <x:f>0</x:f>
        <x:v>0</x:v>
      </x:c>
      <x:c r="Y215" s="49"/>
      <x:c r="Z215" s="48" t="n">
        <x:f>Model_Data!A215</x:f>
        <x:v>46.5</x:v>
      </x:c>
      <x:c r="AA215" s="48" t="n">
        <x:f>SQRT((Model_Data!A215)^2+Inputs!$C$6^2+((Model_Data!B215)-((Inputs!$C$51*(115*EXP(-(((Inputs!$C$6)-25)^2)/(4.5^2))+70*EXP(-(((Inputs!$C$6)+38)^2)/(7^2))*(0.55+0.45*SIN(2*PI()*(Model_Data!A215)/45))+24*SIN(2*PI()*(Inputs!$C$6)/9+(Model_Data!A215)/18)*EXP(-(((Inputs!$C$6)+5)^2)/(22^2))+18*SIN(2*PI()*(Model_Data!A215)/70))+Inputs!$C$28*EXP(-(((Model_Data!A215)-Inputs!$C$29)^2)/(2*Inputs!$C$31^2))*EXP(-(((Inputs!$C$6)-Inputs!$C$30)^2)/(2*Inputs!$C$32^2))+-Inputs!$C$33*EXP(-(((((Model_Data!A215)-Inputs!$C$34)^2)+(((Inputs!$C$6)-Inputs!$C$35)^2))/(2*Inputs!$C$36^2)))+Inputs!$C$37*(0.55*SIN(2*PI()*(Model_Data!A215)/Inputs!$C$39)+0.35*COS(2*PI()*(Inputs!$C$6)/Inputs!$C$40)+0.2*SIN(2*PI()*((Model_Data!A215)+(Inputs!$C$6))/(0.5*(Inputs!$C$39+Inputs!$C$40))))+Inputs!$C$38*SIN(2*PI()*(Model_Data!A215)/Inputs!$C$39)*SIN(2*PI()*(Inputs!$C$6)/Inputs!$C$40)+-Inputs!$C$41*EXP(-(((Inputs!$C$6)-Inputs!$C$43)^2)/(2*Inputs!$C$44^2))*EXP(-(((Model_Data!A215)-Inputs!$C$42)^2)/(2*Inputs!$C$45^2))+Inputs!$C$48*(0.70*(0.45*SIN(2*PI()*(((Model_Data!A215)/Inputs!$C$49)+Inputs!$C$47*0.137))+0.35*COS(2*PI()*(((Inputs!$C$6)/Inputs!$C$50)+Inputs!$C$47*0.173))+0.20*SIN(2*PI()*(((Model_Data!A215)+(Inputs!$C$6))/(0.5*(Inputs!$C$49+Inputs!$C$50))+Inputs!$C$47*0.097)))+0.30*(2*((SIN(((Model_Data!A215)*12.9898+(Inputs!$C$6)*78.233+Inputs!$C$47*37.719))*43758.5453)-INT((SIN(((Model_Data!A215)*12.9898+(Inputs!$C$6)*78.233+Inputs!$C$47*37.719))*43758.5453)))-1))))/1000)^2)</x:f>
        <x:v>405.7267855656838</x:v>
      </x:c>
      <x:c r="AB215" s="48" t="n">
        <x:f>1000*(AA216-AA214)/(Z216-Z214)*Inputs!$C$11</x:f>
        <x:v>979.9012592957297</x:v>
      </x:c>
      <x:c r="AC215" s="48" t="n">
        <x:f>-2*AB215/Inputs!$C$13</x:f>
        <x:v>-391.9605037182919</x:v>
      </x:c>
      <x:c r="AD215" s="48" t="n">
        <x:f>-2*AB215/Inputs!$C$14</x:f>
        <x:v>-58.85292848623001</x:v>
      </x:c>
    </x:row>
    <x:row r="216">
      <x:c r="A216" s="48" t="n">
        <x:f>Model_Data!A216</x:f>
        <x:v>47</x:v>
      </x:c>
      <x:c r="B216" s="48" t="n">
        <x:f>Model_Data!F216</x:f>
        <x:v>1969.4535409394057</x:v>
      </x:c>
      <x:c r="C216" s="48" t="n">
        <x:f>(((SQRT((Model_Data!A216)^2+Inputs!$C$6^2+((Model_Data!B216)-((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(0.45*SIN(2*PI()*(((Model_Data!A216)/Inputs!$C$49)+Inputs!$C$47*0.137))+0.35*COS(2*PI()*(((Inputs!$C$6)/Inputs!$C$50)+Inputs!$C$47*0.173))+0.20*SIN(2*PI()*(((Model_Data!A216)+(Inputs!$C$6))/(0.5*(Inputs!$C$49+Inputs!$C$50))+Inputs!$C$47*0.097)))+0.30*(2*((SIN(((Model_Data!A216)*12.9898+(Inputs!$C$6)*78.233+Inputs!$C$47*37.719))*43758.5453)-INT((SIN(((Model_Data!A216)*12.9898+(Inputs!$C$6)*78.233+Inputs!$C$47*37.719))*43758.5453)))-1))))/1000)^2))-(((Model_Data!B216)-((Inputs!$C$51*(115*EXP(-(((0)-25)^2)/(4.5^2))+70*EXP(-(((0)+38)^2)/(7^2))*(0.55+0.45*SIN(2*PI()*(Model_Data!A216)/45))+24*SIN(2*PI()*(0)/9+(Model_Data!A216)/18)*EXP(-(((0)+5)^2)/(22^2))+18*SIN(2*PI()*(Model_Data!A216)/70))+Inputs!$C$28*EXP(-(((Model_Data!A216)-Inputs!$C$29)^2)/(2*Inputs!$C$31^2))*EXP(-(((0)-Inputs!$C$30)^2)/(2*Inputs!$C$32^2))+-Inputs!$C$33*EXP(-(((((Model_Data!A216)-Inputs!$C$34)^2)+(((0)-Inputs!$C$35)^2))/(2*Inputs!$C$36^2)))+Inputs!$C$37*(0.55*SIN(2*PI()*(Model_Data!A216)/Inputs!$C$39)+0.35*COS(2*PI()*(0)/Inputs!$C$40)+0.2*SIN(2*PI()*((Model_Data!A216)+(0))/(0.5*(Inputs!$C$39+Inputs!$C$40))))+Inputs!$C$38*SIN(2*PI()*(Model_Data!A216)/Inputs!$C$39)*SIN(2*PI()*(0)/Inputs!$C$40)+-Inputs!$C$41*EXP(-(((0)-Inputs!$C$43)^2)/(2*Inputs!$C$44^2))*EXP(-(((Model_Data!A216)-Inputs!$C$42)^2)/(2*Inputs!$C$45^2))+Inputs!$C$48*(0.70*(0.45*SIN(2*PI()*(((Model_Data!A216)/Inputs!$C$49)+Inputs!$C$47*0.137))+0.35*COS(2*PI()*(((0)/Inputs!$C$50)+Inputs!$C$47*0.173))+0.20*SIN(2*PI()*(((Model_Data!A216)+(0))/(0.5*(Inputs!$C$49+Inputs!$C$50))+Inputs!$C$47*0.097)))+0.30*(2*((SIN(((Model_Data!A216)*12.9898+(0)*78.233+Inputs!$C$47*37.719))*43758.5453)-INT((SIN(((Model_Data!A216)*12.9898+(0)*78.233+Inputs!$C$47*37.719))*43758.5453)))-1))))/1000)))*1000/Inputs!$C$12)</x:f>
        <x:v>1906.2953656239533</x:v>
      </x:c>
      <x:c r="D216" s="49"/>
      <x:c r="E216" s="48" t="n">
        <x:f>Model_Data!A216</x:f>
        <x:v>47</x:v>
      </x:c>
      <x:c r="F216" s="48" t="n">
        <x:f>(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(0.45*SIN(2*PI()*(((Model_Data!A216)/Inputs!$C$49)+Inputs!$C$47*0.137))+0.35*COS(2*PI()*(((Inputs!$C$6)/Inputs!$C$50)+Inputs!$C$47*0.173))+0.20*SIN(2*PI()*(((Model_Data!A216)+(Inputs!$C$6))/(0.5*(Inputs!$C$49+Inputs!$C$50))+Inputs!$C$47*0.097)))+0.30*(2*((SIN(((Model_Data!A216)*12.9898+(Inputs!$C$6)*78.233+Inputs!$C$47*37.719))*43758.5453)-INT((SIN(((Model_Data!A216)*12.9898+(Inputs!$C$6)*78.233+Inputs!$C$47*37.719))*43758.5453)))-1)))</x:f>
        <x:v>119.07484471636309</x:v>
      </x:c>
      <x:c r="G216" s="48" t="n">
        <x:f>(Inputs!$C$51*(115*EXP(-(((0)-25)^2)/(4.5^2))+70*EXP(-(((0)+38)^2)/(7^2))*(0.55+0.45*SIN(2*PI()*(Model_Data!A216)/45))+24*SIN(2*PI()*(0)/9+(Model_Data!A216)/18)*EXP(-(((0)+5)^2)/(22^2))+18*SIN(2*PI()*(Model_Data!A216)/70))+Inputs!$C$28*EXP(-(((Model_Data!A216)-Inputs!$C$29)^2)/(2*Inputs!$C$31^2))*EXP(-(((0)-Inputs!$C$30)^2)/(2*Inputs!$C$32^2))+-Inputs!$C$33*EXP(-(((((Model_Data!A216)-Inputs!$C$34)^2)+(((0)-Inputs!$C$35)^2))/(2*Inputs!$C$36^2)))+Inputs!$C$37*(0.55*SIN(2*PI()*(Model_Data!A216)/Inputs!$C$39)+0.35*COS(2*PI()*(0)/Inputs!$C$40)+0.2*SIN(2*PI()*((Model_Data!A216)+(0))/(0.5*(Inputs!$C$39+Inputs!$C$40))))+Inputs!$C$38*SIN(2*PI()*(Model_Data!A216)/Inputs!$C$39)*SIN(2*PI()*(0)/Inputs!$C$40)+-Inputs!$C$41*EXP(-(((0)-Inputs!$C$43)^2)/(2*Inputs!$C$44^2))*EXP(-(((Model_Data!A216)-Inputs!$C$42)^2)/(2*Inputs!$C$45^2))+Inputs!$C$48*(0.70*(0.45*SIN(2*PI()*(((Model_Data!A216)/Inputs!$C$49)+Inputs!$C$47*0.137))+0.35*COS(2*PI()*(((0)/Inputs!$C$50)+Inputs!$C$47*0.173))+0.20*SIN(2*PI()*(((Model_Data!A216)+(0))/(0.5*(Inputs!$C$49+Inputs!$C$50))+Inputs!$C$47*0.097)))+0.30*(2*((SIN(((Model_Data!A216)*12.9898+(0)*78.233+Inputs!$C$47*37.719))*43758.5453)-INT((SIN(((Model_Data!A216)*12.9898+(0)*78.233+Inputs!$C$47*37.719))*43758.5453)))-1)))</x:f>
        <x:v>5.624733438492097</x:v>
      </x:c>
      <x:c r="H216" s="49"/>
      <x:c r="I216" s="48" t="n">
        <x:f>Model_Data!A216</x:f>
        <x:v>47</x:v>
      </x:c>
      <x:c r="J216" s="48" t="n">
        <x:f>((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(0.45*SIN(2*PI()*(((Model_Data!A216)/Inputs!$C$49)+Inputs!$C$47*0.137))+0.35*COS(2*PI()*(((Inputs!$C$6)/Inputs!$C$50)+Inputs!$C$47*0.173))+0.20*SIN(2*PI()*(((Model_Data!A216)+(Inputs!$C$6))/(0.5*(Inputs!$C$49+Inputs!$C$50))+Inputs!$C$47*0.097)))+0.30*(2*((SIN(((Model_Data!A216)*12.9898+(Inputs!$C$6)*78.233+Inputs!$C$47*37.719))*43758.5453)-INT((SIN(((Model_Data!A216)*12.9898+(Inputs!$C$6)*78.233+Inputs!$C$47*37.719))*43758.5453)))-1))))-((Inputs!$C$51*(115*EXP(-(((0)-25)^2)/(4.5^2))+70*EXP(-(((0)+38)^2)/(7^2))*(0.55+0.45*SIN(2*PI()*(Model_Data!A216)/45))+24*SIN(2*PI()*(0)/9+(Model_Data!A216)/18)*EXP(-(((0)+5)^2)/(22^2))+18*SIN(2*PI()*(Model_Data!A216)/70))+Inputs!$C$28*EXP(-(((Model_Data!A216)-Inputs!$C$29)^2)/(2*Inputs!$C$31^2))*EXP(-(((0)-Inputs!$C$30)^2)/(2*Inputs!$C$32^2))+-Inputs!$C$33*EXP(-(((((Model_Data!A216)-Inputs!$C$34)^2)+(((0)-Inputs!$C$35)^2))/(2*Inputs!$C$36^2)))+Inputs!$C$37*(0.55*SIN(2*PI()*(Model_Data!A216)/Inputs!$C$39)+0.35*COS(2*PI()*(0)/Inputs!$C$40)+0.2*SIN(2*PI()*((Model_Data!A216)+(0))/(0.5*(Inputs!$C$39+Inputs!$C$40))))+Inputs!$C$38*SIN(2*PI()*(Model_Data!A216)/Inputs!$C$39)*SIN(2*PI()*(0)/Inputs!$C$40)+-Inputs!$C$41*EXP(-(((0)-Inputs!$C$43)^2)/(2*Inputs!$C$44^2))*EXP(-(((Model_Data!A216)-Inputs!$C$42)^2)/(2*Inputs!$C$45^2))+Inputs!$C$48*(0.70*(0.45*SIN(2*PI()*(((Model_Data!A216)/Inputs!$C$49)+Inputs!$C$47*0.137))+0.35*COS(2*PI()*(((0)/Inputs!$C$50)+Inputs!$C$47*0.173))+0.20*SIN(2*PI()*(((Model_Data!A216)+(0))/(0.5*(Inputs!$C$49+Inputs!$C$50))+Inputs!$C$47*0.097)))+0.30*(2*((SIN(((Model_Data!A216)*12.9898+(0)*78.233+Inputs!$C$47*37.719))*43758.5453)-INT((SIN(((Model_Data!A216)*12.9898+(0)*78.233+Inputs!$C$47*37.719))*43758.5453)))-1))))</x:f>
        <x:v>113.45011127787099</x:v>
      </x:c>
      <x:c r="K216" s="48" t="n">
        <x:f>-((((SQRT((Model_Data!A216)^2+Inputs!$C$6^2+((Model_Data!B216)-((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(0.45*SIN(2*PI()*(((Model_Data!A216)/Inputs!$C$49)+Inputs!$C$47*0.137))+0.35*COS(2*PI()*(((Inputs!$C$6)/Inputs!$C$50)+Inputs!$C$47*0.173))+0.20*SIN(2*PI()*(((Model_Data!A216)+(Inputs!$C$6))/(0.5*(Inputs!$C$49+Inputs!$C$50))+Inputs!$C$47*0.097)))+0.30*(2*((SIN(((Model_Data!A216)*12.9898+(Inputs!$C$6)*78.233+Inputs!$C$47*37.719))*43758.5453)-INT((SIN(((Model_Data!A216)*12.9898+(Inputs!$C$6)*78.233+Inputs!$C$47*37.719))*43758.5453)))-1))))/1000)^2))-(((Model_Data!B216)-((Inputs!$C$51*(115*EXP(-(((0)-25)^2)/(4.5^2))+70*EXP(-(((0)+38)^2)/(7^2))*(0.55+0.45*SIN(2*PI()*(Model_Data!A216)/45))+24*SIN(2*PI()*(0)/9+(Model_Data!A216)/18)*EXP(-(((0)+5)^2)/(22^2))+18*SIN(2*PI()*(Model_Data!A216)/70))+Inputs!$C$28*EXP(-(((Model_Data!A216)-Inputs!$C$29)^2)/(2*Inputs!$C$31^2))*EXP(-(((0)-Inputs!$C$30)^2)/(2*Inputs!$C$32^2))+-Inputs!$C$33*EXP(-(((((Model_Data!A216)-Inputs!$C$34)^2)+(((0)-Inputs!$C$35)^2))/(2*Inputs!$C$36^2)))+Inputs!$C$37*(0.55*SIN(2*PI()*(Model_Data!A216)/Inputs!$C$39)+0.35*COS(2*PI()*(0)/Inputs!$C$40)+0.2*SIN(2*PI()*((Model_Data!A216)+(0))/(0.5*(Inputs!$C$39+Inputs!$C$40))))+Inputs!$C$38*SIN(2*PI()*(Model_Data!A216)/Inputs!$C$39)*SIN(2*PI()*(0)/Inputs!$C$40)+-Inputs!$C$41*EXP(-(((0)-Inputs!$C$43)^2)/(2*Inputs!$C$44^2))*EXP(-(((Model_Data!A216)-Inputs!$C$42)^2)/(2*Inputs!$C$45^2))+Inputs!$C$48*(0.70*(0.45*SIN(2*PI()*(((Model_Data!A216)/Inputs!$C$49)+Inputs!$C$47*0.137))+0.35*COS(2*PI()*(((0)/Inputs!$C$50)+Inputs!$C$47*0.173))+0.20*SIN(2*PI()*(((Model_Data!A216)+(0))/(0.5*(Inputs!$C$49+Inputs!$C$50))+Inputs!$C$47*0.097)))+0.30*(2*((SIN(((Model_Data!A216)*12.9898+(0)*78.233+Inputs!$C$47*37.719))*43758.5453)-INT((SIN(((Model_Data!A216)*12.9898+(0)*78.233+Inputs!$C$47*37.719))*43758.5453)))-1))))/1000)))*1000/Inputs!$C$12)-Model_Data!F216)</x:f>
        <x:v>63.158175315452354</x:v>
      </x:c>
      <x:c r="L216" s="49"/>
      <x:c r="M216" s="48" t="n">
        <x:f>Model_Data!A216</x:f>
        <x:v>47</x:v>
      </x:c>
      <x:c r="N216" s="48" t="n">
        <x:f>Model_Data!P216</x:f>
        <x:v>-350.90793232341497</x:v>
      </x:c>
      <x:c r="O216" s="48" t="n">
        <x:f>AC216</x:f>
        <x:v>-378.7355594527071</x:v>
      </x:c>
      <x:c r="P216" s="48" t="n">
        <x:f>Model_Data!Q216</x:f>
        <x:v>-52.68887872723949</x:v>
      </x:c>
      <x:c r="Q216" s="48" t="n">
        <x:f>AD216</x:f>
        <x:v>-56.8672011190251</x:v>
      </x:c>
      <x:c r="R216" s="49"/>
      <x:c r="S216" s="48" t="n">
        <x:f>Model_Data!A216</x:f>
        <x:v>47</x:v>
      </x:c>
      <x:c r="T216" s="48" t="n">
        <x:f>Model_Data!B216-Inputs!$C$5</x:f>
        <x:v>2.454444444444448</x:v>
      </x:c>
      <x:c r="U216" s="49"/>
      <x:c r="V216" s="48" t="n">
        <x:f>Model_Data!A216</x:f>
        <x:v>47</x:v>
      </x:c>
      <x:c r="W216" s="48" t="n">
        <x:f>(-((((SQRT((Model_Data!A216)^2+Inputs!$C$6^2+((Model_Data!B216)-((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(0.45*SIN(2*PI()*(((Model_Data!A216)/Inputs!$C$49)+Inputs!$C$47*0.137))+0.35*COS(2*PI()*(((Inputs!$C$6)/Inputs!$C$50)+Inputs!$C$47*0.173))+0.20*SIN(2*PI()*(((Model_Data!A216)+(Inputs!$C$6))/(0.5*(Inputs!$C$49+Inputs!$C$50))+Inputs!$C$47*0.097)))+0.30*(2*((SIN(((Model_Data!A216)*12.9898+(Inputs!$C$6)*78.233+Inputs!$C$47*37.719))*43758.5453)-INT((SIN(((Model_Data!A216)*12.9898+(Inputs!$C$6)*78.233+Inputs!$C$47*37.719))*43758.5453)))-1))))/1000)^2))-(((Model_Data!B216)-((Inputs!$C$51*(115*EXP(-(((0)-25)^2)/(4.5^2))+70*EXP(-(((0)+38)^2)/(7^2))*(0.55+0.45*SIN(2*PI()*(Model_Data!A216)/45))+24*SIN(2*PI()*(0)/9+(Model_Data!A216)/18)*EXP(-(((0)+5)^2)/(22^2))+18*SIN(2*PI()*(Model_Data!A216)/70))+Inputs!$C$28*EXP(-(((Model_Data!A216)-Inputs!$C$29)^2)/(2*Inputs!$C$31^2))*EXP(-(((0)-Inputs!$C$30)^2)/(2*Inputs!$C$32^2))+-Inputs!$C$33*EXP(-(((((Model_Data!A216)-Inputs!$C$34)^2)+(((0)-Inputs!$C$35)^2))/(2*Inputs!$C$36^2)))+Inputs!$C$37*(0.55*SIN(2*PI()*(Model_Data!A216)/Inputs!$C$39)+0.35*COS(2*PI()*(0)/Inputs!$C$40)+0.2*SIN(2*PI()*((Model_Data!A216)+(0))/(0.5*(Inputs!$C$39+Inputs!$C$40))))+Inputs!$C$38*SIN(2*PI()*(Model_Data!A216)/Inputs!$C$39)*SIN(2*PI()*(0)/Inputs!$C$40)+-Inputs!$C$41*EXP(-(((0)-Inputs!$C$43)^2)/(2*Inputs!$C$44^2))*EXP(-(((Model_Data!A216)-Inputs!$C$42)^2)/(2*Inputs!$C$45^2))+Inputs!$C$48*(0.70*(0.45*SIN(2*PI()*(((Model_Data!A216)/Inputs!$C$49)+Inputs!$C$47*0.137))+0.35*COS(2*PI()*(((0)/Inputs!$C$50)+Inputs!$C$47*0.173))+0.20*SIN(2*PI()*(((Model_Data!A216)+(0))/(0.5*(Inputs!$C$49+Inputs!$C$50))+Inputs!$C$47*0.097)))+0.30*(2*((SIN(((Model_Data!A216)*12.9898+(0)*78.233+Inputs!$C$47*37.719))*43758.5453)-INT((SIN(((Model_Data!A216)*12.9898+(0)*78.233+Inputs!$C$47*37.719))*43758.5453)))-1))))/1000)))*1000/Inputs!$C$12)-Model_Data!F216))-(-(((SQRT((Model_Data!A216)^2+Inputs!$C$6^2+(Inputs!$C$5-((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(0.45*SIN(2*PI()*(((Model_Data!A216)/Inputs!$C$49)+Inputs!$C$47*0.137))+0.35*COS(2*PI()*(((Inputs!$C$6)/Inputs!$C$50)+Inputs!$C$47*0.173))+0.20*SIN(2*PI()*(((Model_Data!A216)+(Inputs!$C$6))/(0.5*(Inputs!$C$49+Inputs!$C$50))+Inputs!$C$47*0.097)))+0.30*(2*((SIN(((Model_Data!A216)*12.9898+(Inputs!$C$6)*78.233+Inputs!$C$47*37.719))*43758.5453)-INT((SIN(((Model_Data!A216)*12.9898+(Inputs!$C$6)*78.233+Inputs!$C$47*37.719))*43758.5453)))-1))))/1000)^2)-(Inputs!$C$5-((Inputs!$C$51*(115*EXP(-(((0)-25)^2)/(4.5^2))+70*EXP(-(((0)+38)^2)/(7^2))*(0.55+0.45*SIN(2*PI()*(Model_Data!A216)/45))+24*SIN(2*PI()*(0)/9+(Model_Data!A216)/18)*EXP(-(((0)+5)^2)/(22^2))+18*SIN(2*PI()*(Model_Data!A216)/70))+Inputs!$C$28*EXP(-(((Model_Data!A216)-Inputs!$C$29)^2)/(2*Inputs!$C$31^2))*EXP(-(((0)-Inputs!$C$30)^2)/(2*Inputs!$C$32^2))+-Inputs!$C$33*EXP(-(((((Model_Data!A216)-Inputs!$C$34)^2)+(((0)-Inputs!$C$35)^2))/(2*Inputs!$C$36^2)))+Inputs!$C$37*(0.55*SIN(2*PI()*(Model_Data!A216)/Inputs!$C$39)+0.35*COS(2*PI()*(0)/Inputs!$C$40)+0.2*SIN(2*PI()*((Model_Data!A216)+(0))/(0.5*(Inputs!$C$39+Inputs!$C$40))))+Inputs!$C$38*SIN(2*PI()*(Model_Data!A216)/Inputs!$C$39)*SIN(2*PI()*(0)/Inputs!$C$40)+-Inputs!$C$41*EXP(-(((0)-Inputs!$C$43)^2)/(2*Inputs!$C$44^2))*EXP(-(((Model_Data!A216)-Inputs!$C$42)^2)/(2*Inputs!$C$45^2))+Inputs!$C$48*(0.70*(0.45*SIN(2*PI()*(((Model_Data!A216)/Inputs!$C$49)+Inputs!$C$47*0.137))+0.35*COS(2*PI()*(((0)/Inputs!$C$50)+Inputs!$C$47*0.173))+0.20*SIN(2*PI()*(((Model_Data!A216)+(0))/(0.5*(Inputs!$C$49+Inputs!$C$50))+Inputs!$C$47*0.097)))+0.30*(2*((SIN(((Model_Data!A216)*12.9898+(0)*78.233+Inputs!$C$47*37.719))*43758.5453)-INT((SIN(((Model_Data!A216)*12.9898+(0)*78.233+Inputs!$C$47*37.719))*43758.5453)))-1))))/1000))*1000/Inputs!$C$12)-((SQRT((Model_Data!A216)^2+Inputs!$C$6^2+Inputs!$C$5^2)-Inputs!$C$5)*1000/Inputs!$C$12)))</x:f>
        <x:v>0.007021199749488005</x:v>
      </x:c>
      <x:c r="X216" s="48" t="n">
        <x:f>0</x:f>
        <x:v>0</x:v>
      </x:c>
      <x:c r="Y216" s="49"/>
      <x:c r="Z216" s="48" t="n">
        <x:f>Model_Data!A216</x:f>
        <x:v>47</x:v>
      </x:c>
      <x:c r="AA216" s="48" t="n">
        <x:f>SQRT((Model_Data!A216)^2+Inputs!$C$6^2+((Model_Data!B216)-((Inputs!$C$51*(115*EXP(-(((Inputs!$C$6)-25)^2)/(4.5^2))+70*EXP(-(((Inputs!$C$6)+38)^2)/(7^2))*(0.55+0.45*SIN(2*PI()*(Model_Data!A216)/45))+24*SIN(2*PI()*(Inputs!$C$6)/9+(Model_Data!A216)/18)*EXP(-(((Inputs!$C$6)+5)^2)/(22^2))+18*SIN(2*PI()*(Model_Data!A216)/70))+Inputs!$C$28*EXP(-(((Model_Data!A216)-Inputs!$C$29)^2)/(2*Inputs!$C$31^2))*EXP(-(((Inputs!$C$6)-Inputs!$C$30)^2)/(2*Inputs!$C$32^2))+-Inputs!$C$33*EXP(-(((((Model_Data!A216)-Inputs!$C$34)^2)+(((Inputs!$C$6)-Inputs!$C$35)^2))/(2*Inputs!$C$36^2)))+Inputs!$C$37*(0.55*SIN(2*PI()*(Model_Data!A216)/Inputs!$C$39)+0.35*COS(2*PI()*(Inputs!$C$6)/Inputs!$C$40)+0.2*SIN(2*PI()*((Model_Data!A216)+(Inputs!$C$6))/(0.5*(Inputs!$C$39+Inputs!$C$40))))+Inputs!$C$38*SIN(2*PI()*(Model_Data!A216)/Inputs!$C$39)*SIN(2*PI()*(Inputs!$C$6)/Inputs!$C$40)+-Inputs!$C$41*EXP(-(((Inputs!$C$6)-Inputs!$C$43)^2)/(2*Inputs!$C$44^2))*EXP(-(((Model_Data!A216)-Inputs!$C$42)^2)/(2*Inputs!$C$45^2))+Inputs!$C$48*(0.70*(0.45*SIN(2*PI()*(((Model_Data!A216)/Inputs!$C$49)+Inputs!$C$47*0.137))+0.35*COS(2*PI()*(((Inputs!$C$6)/Inputs!$C$50)+Inputs!$C$47*0.173))+0.20*SIN(2*PI()*(((Model_Data!A216)+(Inputs!$C$6))/(0.5*(Inputs!$C$49+Inputs!$C$50))+Inputs!$C$47*0.097)))+0.30*(2*((SIN(((Model_Data!A216)*12.9898+(Inputs!$C$6)*78.233+Inputs!$C$47*37.719))*43758.5453)-INT((SIN(((Model_Data!A216)*12.9898+(Inputs!$C$6)*78.233+Inputs!$C$47*37.719))*43758.5453)))-1))))/1000)^2)</x:f>
        <x:v>405.8420254618166</x:v>
      </x:c>
      <x:c r="AB216" s="48" t="n">
        <x:f>1000*(AA217-AA215)/(Z217-Z215)*Inputs!$C$11</x:f>
        <x:v>946.8388986317677</x:v>
      </x:c>
      <x:c r="AC216" s="48" t="n">
        <x:f>-2*AB216/Inputs!$C$13</x:f>
        <x:v>-378.7355594527071</x:v>
      </x:c>
      <x:c r="AD216" s="48" t="n">
        <x:f>-2*AB216/Inputs!$C$14</x:f>
        <x:v>-56.8672011190251</x:v>
      </x:c>
    </x:row>
    <x:row r="217">
      <x:c r="A217" s="48" t="n">
        <x:f>Model_Data!A217</x:f>
        <x:v>47.5</x:v>
      </x:c>
      <x:c r="B217" s="48" t="n">
        <x:f>Model_Data!F217</x:f>
        <x:v>2001.8863775912891</x:v>
      </x:c>
      <x:c r="C217" s="48" t="n">
        <x:f>(((SQRT((Model_Data!A217)^2+Inputs!$C$6^2+((Model_Data!B217)-((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(0.45*SIN(2*PI()*(((Model_Data!A217)/Inputs!$C$49)+Inputs!$C$47*0.137))+0.35*COS(2*PI()*(((Inputs!$C$6)/Inputs!$C$50)+Inputs!$C$47*0.173))+0.20*SIN(2*PI()*(((Model_Data!A217)+(Inputs!$C$6))/(0.5*(Inputs!$C$49+Inputs!$C$50))+Inputs!$C$47*0.097)))+0.30*(2*((SIN(((Model_Data!A217)*12.9898+(Inputs!$C$6)*78.233+Inputs!$C$47*37.719))*43758.5453)-INT((SIN(((Model_Data!A217)*12.9898+(Inputs!$C$6)*78.233+Inputs!$C$47*37.719))*43758.5453)))-1))))/1000)^2))-(((Model_Data!B217)-((Inputs!$C$51*(115*EXP(-(((0)-25)^2)/(4.5^2))+70*EXP(-(((0)+38)^2)/(7^2))*(0.55+0.45*SIN(2*PI()*(Model_Data!A217)/45))+24*SIN(2*PI()*(0)/9+(Model_Data!A217)/18)*EXP(-(((0)+5)^2)/(22^2))+18*SIN(2*PI()*(Model_Data!A217)/70))+Inputs!$C$28*EXP(-(((Model_Data!A217)-Inputs!$C$29)^2)/(2*Inputs!$C$31^2))*EXP(-(((0)-Inputs!$C$30)^2)/(2*Inputs!$C$32^2))+-Inputs!$C$33*EXP(-(((((Model_Data!A217)-Inputs!$C$34)^2)+(((0)-Inputs!$C$35)^2))/(2*Inputs!$C$36^2)))+Inputs!$C$37*(0.55*SIN(2*PI()*(Model_Data!A217)/Inputs!$C$39)+0.35*COS(2*PI()*(0)/Inputs!$C$40)+0.2*SIN(2*PI()*((Model_Data!A217)+(0))/(0.5*(Inputs!$C$39+Inputs!$C$40))))+Inputs!$C$38*SIN(2*PI()*(Model_Data!A217)/Inputs!$C$39)*SIN(2*PI()*(0)/Inputs!$C$40)+-Inputs!$C$41*EXP(-(((0)-Inputs!$C$43)^2)/(2*Inputs!$C$44^2))*EXP(-(((Model_Data!A217)-Inputs!$C$42)^2)/(2*Inputs!$C$45^2))+Inputs!$C$48*(0.70*(0.45*SIN(2*PI()*(((Model_Data!A217)/Inputs!$C$49)+Inputs!$C$47*0.137))+0.35*COS(2*PI()*(((0)/Inputs!$C$50)+Inputs!$C$47*0.173))+0.20*SIN(2*PI()*(((Model_Data!A217)+(0))/(0.5*(Inputs!$C$49+Inputs!$C$50))+Inputs!$C$47*0.097)))+0.30*(2*((SIN(((Model_Data!A217)*12.9898+(0)*78.233+Inputs!$C$47*37.719))*43758.5453)-INT((SIN(((Model_Data!A217)*12.9898+(0)*78.233+Inputs!$C$47*37.719))*43758.5453)))-1))))/1000)))*1000/Inputs!$C$12)</x:f>
        <x:v>1944.537452467004</x:v>
      </x:c>
      <x:c r="D217" s="49"/>
      <x:c r="E217" s="48" t="n">
        <x:f>Model_Data!A217</x:f>
        <x:v>47.5</x:v>
      </x:c>
      <x:c r="F217" s="48" t="n">
        <x:f>(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(0.45*SIN(2*PI()*(((Model_Data!A217)/Inputs!$C$49)+Inputs!$C$47*0.137))+0.35*COS(2*PI()*(((Inputs!$C$6)/Inputs!$C$50)+Inputs!$C$47*0.173))+0.20*SIN(2*PI()*(((Model_Data!A217)+(Inputs!$C$6))/(0.5*(Inputs!$C$49+Inputs!$C$50))+Inputs!$C$47*0.097)))+0.30*(2*((SIN(((Model_Data!A217)*12.9898+(Inputs!$C$6)*78.233+Inputs!$C$47*37.719))*43758.5453)-INT((SIN(((Model_Data!A217)*12.9898+(Inputs!$C$6)*78.233+Inputs!$C$47*37.719))*43758.5453)))-1)))</x:f>
        <x:v>107.75271022723112</x:v>
      </x:c>
      <x:c r="G217" s="48" t="n">
        <x:f>(Inputs!$C$51*(115*EXP(-(((0)-25)^2)/(4.5^2))+70*EXP(-(((0)+38)^2)/(7^2))*(0.55+0.45*SIN(2*PI()*(Model_Data!A217)/45))+24*SIN(2*PI()*(0)/9+(Model_Data!A217)/18)*EXP(-(((0)+5)^2)/(22^2))+18*SIN(2*PI()*(Model_Data!A217)/70))+Inputs!$C$28*EXP(-(((Model_Data!A217)-Inputs!$C$29)^2)/(2*Inputs!$C$31^2))*EXP(-(((0)-Inputs!$C$30)^2)/(2*Inputs!$C$32^2))+-Inputs!$C$33*EXP(-(((((Model_Data!A217)-Inputs!$C$34)^2)+(((0)-Inputs!$C$35)^2))/(2*Inputs!$C$36^2)))+Inputs!$C$37*(0.55*SIN(2*PI()*(Model_Data!A217)/Inputs!$C$39)+0.35*COS(2*PI()*(0)/Inputs!$C$40)+0.2*SIN(2*PI()*((Model_Data!A217)+(0))/(0.5*(Inputs!$C$39+Inputs!$C$40))))+Inputs!$C$38*SIN(2*PI()*(Model_Data!A217)/Inputs!$C$39)*SIN(2*PI()*(0)/Inputs!$C$40)+-Inputs!$C$41*EXP(-(((0)-Inputs!$C$43)^2)/(2*Inputs!$C$44^2))*EXP(-(((Model_Data!A217)-Inputs!$C$42)^2)/(2*Inputs!$C$45^2))+Inputs!$C$48*(0.70*(0.45*SIN(2*PI()*(((Model_Data!A217)/Inputs!$C$49)+Inputs!$C$47*0.137))+0.35*COS(2*PI()*(((0)/Inputs!$C$50)+Inputs!$C$47*0.173))+0.20*SIN(2*PI()*(((Model_Data!A217)+(0))/(0.5*(Inputs!$C$49+Inputs!$C$50))+Inputs!$C$47*0.097)))+0.30*(2*((SIN(((Model_Data!A217)*12.9898+(0)*78.233+Inputs!$C$47*37.719))*43758.5453)-INT((SIN(((Model_Data!A217)*12.9898+(0)*78.233+Inputs!$C$47*37.719))*43758.5453)))-1)))</x:f>
        <x:v>4.725819493947935</x:v>
      </x:c>
      <x:c r="H217" s="49"/>
      <x:c r="I217" s="48" t="n">
        <x:f>Model_Data!A217</x:f>
        <x:v>47.5</x:v>
      </x:c>
      <x:c r="J217" s="48" t="n">
        <x:f>((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(0.45*SIN(2*PI()*(((Model_Data!A217)/Inputs!$C$49)+Inputs!$C$47*0.137))+0.35*COS(2*PI()*(((Inputs!$C$6)/Inputs!$C$50)+Inputs!$C$47*0.173))+0.20*SIN(2*PI()*(((Model_Data!A217)+(Inputs!$C$6))/(0.5*(Inputs!$C$49+Inputs!$C$50))+Inputs!$C$47*0.097)))+0.30*(2*((SIN(((Model_Data!A217)*12.9898+(Inputs!$C$6)*78.233+Inputs!$C$47*37.719))*43758.5453)-INT((SIN(((Model_Data!A217)*12.9898+(Inputs!$C$6)*78.233+Inputs!$C$47*37.719))*43758.5453)))-1))))-((Inputs!$C$51*(115*EXP(-(((0)-25)^2)/(4.5^2))+70*EXP(-(((0)+38)^2)/(7^2))*(0.55+0.45*SIN(2*PI()*(Model_Data!A217)/45))+24*SIN(2*PI()*(0)/9+(Model_Data!A217)/18)*EXP(-(((0)+5)^2)/(22^2))+18*SIN(2*PI()*(Model_Data!A217)/70))+Inputs!$C$28*EXP(-(((Model_Data!A217)-Inputs!$C$29)^2)/(2*Inputs!$C$31^2))*EXP(-(((0)-Inputs!$C$30)^2)/(2*Inputs!$C$32^2))+-Inputs!$C$33*EXP(-(((((Model_Data!A217)-Inputs!$C$34)^2)+(((0)-Inputs!$C$35)^2))/(2*Inputs!$C$36^2)))+Inputs!$C$37*(0.55*SIN(2*PI()*(Model_Data!A217)/Inputs!$C$39)+0.35*COS(2*PI()*(0)/Inputs!$C$40)+0.2*SIN(2*PI()*((Model_Data!A217)+(0))/(0.5*(Inputs!$C$39+Inputs!$C$40))))+Inputs!$C$38*SIN(2*PI()*(Model_Data!A217)/Inputs!$C$39)*SIN(2*PI()*(0)/Inputs!$C$40)+-Inputs!$C$41*EXP(-(((0)-Inputs!$C$43)^2)/(2*Inputs!$C$44^2))*EXP(-(((Model_Data!A217)-Inputs!$C$42)^2)/(2*Inputs!$C$45^2))+Inputs!$C$48*(0.70*(0.45*SIN(2*PI()*(((Model_Data!A217)/Inputs!$C$49)+Inputs!$C$47*0.137))+0.35*COS(2*PI()*(((0)/Inputs!$C$50)+Inputs!$C$47*0.173))+0.20*SIN(2*PI()*(((Model_Data!A217)+(0))/(0.5*(Inputs!$C$49+Inputs!$C$50))+Inputs!$C$47*0.097)))+0.30*(2*((SIN(((Model_Data!A217)*12.9898+(0)*78.233+Inputs!$C$47*37.719))*43758.5453)-INT((SIN(((Model_Data!A217)*12.9898+(0)*78.233+Inputs!$C$47*37.719))*43758.5453)))-1))))</x:f>
        <x:v>103.02689073328318</x:v>
      </x:c>
      <x:c r="K217" s="48" t="n">
        <x:f>-((((SQRT((Model_Data!A217)^2+Inputs!$C$6^2+((Model_Data!B217)-((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(0.45*SIN(2*PI()*(((Model_Data!A217)/Inputs!$C$49)+Inputs!$C$47*0.137))+0.35*COS(2*PI()*(((Inputs!$C$6)/Inputs!$C$50)+Inputs!$C$47*0.173))+0.20*SIN(2*PI()*(((Model_Data!A217)+(Inputs!$C$6))/(0.5*(Inputs!$C$49+Inputs!$C$50))+Inputs!$C$47*0.097)))+0.30*(2*((SIN(((Model_Data!A217)*12.9898+(Inputs!$C$6)*78.233+Inputs!$C$47*37.719))*43758.5453)-INT((SIN(((Model_Data!A217)*12.9898+(Inputs!$C$6)*78.233+Inputs!$C$47*37.719))*43758.5453)))-1))))/1000)^2))-(((Model_Data!B217)-((Inputs!$C$51*(115*EXP(-(((0)-25)^2)/(4.5^2))+70*EXP(-(((0)+38)^2)/(7^2))*(0.55+0.45*SIN(2*PI()*(Model_Data!A217)/45))+24*SIN(2*PI()*(0)/9+(Model_Data!A217)/18)*EXP(-(((0)+5)^2)/(22^2))+18*SIN(2*PI()*(Model_Data!A217)/70))+Inputs!$C$28*EXP(-(((Model_Data!A217)-Inputs!$C$29)^2)/(2*Inputs!$C$31^2))*EXP(-(((0)-Inputs!$C$30)^2)/(2*Inputs!$C$32^2))+-Inputs!$C$33*EXP(-(((((Model_Data!A217)-Inputs!$C$34)^2)+(((0)-Inputs!$C$35)^2))/(2*Inputs!$C$36^2)))+Inputs!$C$37*(0.55*SIN(2*PI()*(Model_Data!A217)/Inputs!$C$39)+0.35*COS(2*PI()*(0)/Inputs!$C$40)+0.2*SIN(2*PI()*((Model_Data!A217)+(0))/(0.5*(Inputs!$C$39+Inputs!$C$40))))+Inputs!$C$38*SIN(2*PI()*(Model_Data!A217)/Inputs!$C$39)*SIN(2*PI()*(0)/Inputs!$C$40)+-Inputs!$C$41*EXP(-(((0)-Inputs!$C$43)^2)/(2*Inputs!$C$44^2))*EXP(-(((Model_Data!A217)-Inputs!$C$42)^2)/(2*Inputs!$C$45^2))+Inputs!$C$48*(0.70*(0.45*SIN(2*PI()*(((Model_Data!A217)/Inputs!$C$49)+Inputs!$C$47*0.137))+0.35*COS(2*PI()*(((0)/Inputs!$C$50)+Inputs!$C$47*0.173))+0.20*SIN(2*PI()*(((Model_Data!A217)+(0))/(0.5*(Inputs!$C$49+Inputs!$C$50))+Inputs!$C$47*0.097)))+0.30*(2*((SIN(((Model_Data!A217)*12.9898+(0)*78.233+Inputs!$C$47*37.719))*43758.5453)-INT((SIN(((Model_Data!A217)*12.9898+(0)*78.233+Inputs!$C$47*37.719))*43758.5453)))-1))))/1000)))*1000/Inputs!$C$12)-Model_Data!F217)</x:f>
        <x:v>57.34892512428519</x:v>
      </x:c>
      <x:c r="L217" s="49"/>
      <x:c r="M217" s="48" t="n">
        <x:f>Model_Data!A217</x:f>
        <x:v>47.5</x:v>
      </x:c>
      <x:c r="N217" s="48" t="n">
        <x:f>Model_Data!P217</x:f>
        <x:v>-354.5665611064348</x:v>
      </x:c>
      <x:c r="O217" s="48" t="n">
        <x:f>AC217</x:f>
        <x:v>-345.22857302590637</x:v>
      </x:c>
      <x:c r="P217" s="48" t="n">
        <x:f>Model_Data!Q217</x:f>
        <x:v>-53.23822238835358</x:v>
      </x:c>
      <x:c r="Q217" s="48" t="n">
        <x:f>AD217</x:f>
        <x:v>-51.836122075961924</x:v>
      </x:c>
      <x:c r="R217" s="49"/>
      <x:c r="S217" s="48" t="n">
        <x:f>Model_Data!A217</x:f>
        <x:v>47.5</x:v>
      </x:c>
      <x:c r="T217" s="48" t="n">
        <x:f>Model_Data!B217-Inputs!$C$5</x:f>
        <x:v>2.506944444444457</x:v>
      </x:c>
      <x:c r="U217" s="49"/>
      <x:c r="V217" s="48" t="n">
        <x:f>Model_Data!A217</x:f>
        <x:v>47.5</x:v>
      </x:c>
      <x:c r="W217" s="48" t="n">
        <x:f>(-((((SQRT((Model_Data!A217)^2+Inputs!$C$6^2+((Model_Data!B217)-((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(0.45*SIN(2*PI()*(((Model_Data!A217)/Inputs!$C$49)+Inputs!$C$47*0.137))+0.35*COS(2*PI()*(((Inputs!$C$6)/Inputs!$C$50)+Inputs!$C$47*0.173))+0.20*SIN(2*PI()*(((Model_Data!A217)+(Inputs!$C$6))/(0.5*(Inputs!$C$49+Inputs!$C$50))+Inputs!$C$47*0.097)))+0.30*(2*((SIN(((Model_Data!A217)*12.9898+(Inputs!$C$6)*78.233+Inputs!$C$47*37.719))*43758.5453)-INT((SIN(((Model_Data!A217)*12.9898+(Inputs!$C$6)*78.233+Inputs!$C$47*37.719))*43758.5453)))-1))))/1000)^2))-(((Model_Data!B217)-((Inputs!$C$51*(115*EXP(-(((0)-25)^2)/(4.5^2))+70*EXP(-(((0)+38)^2)/(7^2))*(0.55+0.45*SIN(2*PI()*(Model_Data!A217)/45))+24*SIN(2*PI()*(0)/9+(Model_Data!A217)/18)*EXP(-(((0)+5)^2)/(22^2))+18*SIN(2*PI()*(Model_Data!A217)/70))+Inputs!$C$28*EXP(-(((Model_Data!A217)-Inputs!$C$29)^2)/(2*Inputs!$C$31^2))*EXP(-(((0)-Inputs!$C$30)^2)/(2*Inputs!$C$32^2))+-Inputs!$C$33*EXP(-(((((Model_Data!A217)-Inputs!$C$34)^2)+(((0)-Inputs!$C$35)^2))/(2*Inputs!$C$36^2)))+Inputs!$C$37*(0.55*SIN(2*PI()*(Model_Data!A217)/Inputs!$C$39)+0.35*COS(2*PI()*(0)/Inputs!$C$40)+0.2*SIN(2*PI()*((Model_Data!A217)+(0))/(0.5*(Inputs!$C$39+Inputs!$C$40))))+Inputs!$C$38*SIN(2*PI()*(Model_Data!A217)/Inputs!$C$39)*SIN(2*PI()*(0)/Inputs!$C$40)+-Inputs!$C$41*EXP(-(((0)-Inputs!$C$43)^2)/(2*Inputs!$C$44^2))*EXP(-(((Model_Data!A217)-Inputs!$C$42)^2)/(2*Inputs!$C$45^2))+Inputs!$C$48*(0.70*(0.45*SIN(2*PI()*(((Model_Data!A217)/Inputs!$C$49)+Inputs!$C$47*0.137))+0.35*COS(2*PI()*(((0)/Inputs!$C$50)+Inputs!$C$47*0.173))+0.20*SIN(2*PI()*(((Model_Data!A217)+(0))/(0.5*(Inputs!$C$49+Inputs!$C$50))+Inputs!$C$47*0.097)))+0.30*(2*((SIN(((Model_Data!A217)*12.9898+(0)*78.233+Inputs!$C$47*37.719))*43758.5453)-INT((SIN(((Model_Data!A217)*12.9898+(0)*78.233+Inputs!$C$47*37.719))*43758.5453)))-1))))/1000)))*1000/Inputs!$C$12)-Model_Data!F217))-(-(((SQRT((Model_Data!A217)^2+Inputs!$C$6^2+(Inputs!$C$5-((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(0.45*SIN(2*PI()*(((Model_Data!A217)/Inputs!$C$49)+Inputs!$C$47*0.137))+0.35*COS(2*PI()*(((Inputs!$C$6)/Inputs!$C$50)+Inputs!$C$47*0.173))+0.20*SIN(2*PI()*(((Model_Data!A217)+(Inputs!$C$6))/(0.5*(Inputs!$C$49+Inputs!$C$50))+Inputs!$C$47*0.097)))+0.30*(2*((SIN(((Model_Data!A217)*12.9898+(Inputs!$C$6)*78.233+Inputs!$C$47*37.719))*43758.5453)-INT((SIN(((Model_Data!A217)*12.9898+(Inputs!$C$6)*78.233+Inputs!$C$47*37.719))*43758.5453)))-1))))/1000)^2)-(Inputs!$C$5-((Inputs!$C$51*(115*EXP(-(((0)-25)^2)/(4.5^2))+70*EXP(-(((0)+38)^2)/(7^2))*(0.55+0.45*SIN(2*PI()*(Model_Data!A217)/45))+24*SIN(2*PI()*(0)/9+(Model_Data!A217)/18)*EXP(-(((0)+5)^2)/(22^2))+18*SIN(2*PI()*(Model_Data!A217)/70))+Inputs!$C$28*EXP(-(((Model_Data!A217)-Inputs!$C$29)^2)/(2*Inputs!$C$31^2))*EXP(-(((0)-Inputs!$C$30)^2)/(2*Inputs!$C$32^2))+-Inputs!$C$33*EXP(-(((((Model_Data!A217)-Inputs!$C$34)^2)+(((0)-Inputs!$C$35)^2))/(2*Inputs!$C$36^2)))+Inputs!$C$37*(0.55*SIN(2*PI()*(Model_Data!A217)/Inputs!$C$39)+0.35*COS(2*PI()*(0)/Inputs!$C$40)+0.2*SIN(2*PI()*((Model_Data!A217)+(0))/(0.5*(Inputs!$C$39+Inputs!$C$40))))+Inputs!$C$38*SIN(2*PI()*(Model_Data!A217)/Inputs!$C$39)*SIN(2*PI()*(0)/Inputs!$C$40)+-Inputs!$C$41*EXP(-(((0)-Inputs!$C$43)^2)/(2*Inputs!$C$44^2))*EXP(-(((Model_Data!A217)-Inputs!$C$42)^2)/(2*Inputs!$C$45^2))+Inputs!$C$48*(0.70*(0.45*SIN(2*PI()*(((Model_Data!A217)/Inputs!$C$49)+Inputs!$C$47*0.137))+0.35*COS(2*PI()*(((0)/Inputs!$C$50)+Inputs!$C$47*0.173))+0.20*SIN(2*PI()*(((Model_Data!A217)+(0))/(0.5*(Inputs!$C$49+Inputs!$C$50))+Inputs!$C$47*0.097)))+0.30*(2*((SIN(((Model_Data!A217)*12.9898+(0)*78.233+Inputs!$C$47*37.719))*43758.5453)-INT((SIN(((Model_Data!A217)*12.9898+(0)*78.233+Inputs!$C$47*37.719))*43758.5453)))-1))))/1000))*1000/Inputs!$C$12)-((SQRT((Model_Data!A217)^2+Inputs!$C$6^2+Inputs!$C$5^2)-Inputs!$C$5)*1000/Inputs!$C$12)))</x:f>
        <x:v>0.006593297884592175</x:v>
      </x:c>
      <x:c r="X217" s="48" t="n">
        <x:f>0</x:f>
        <x:v>0</x:v>
      </x:c>
      <x:c r="Y217" s="49"/>
      <x:c r="Z217" s="48" t="n">
        <x:f>Model_Data!A217</x:f>
        <x:v>47.5</x:v>
      </x:c>
      <x:c r="AA217" s="48" t="n">
        <x:f>SQRT((Model_Data!A217)^2+Inputs!$C$6^2+((Model_Data!B217)-((Inputs!$C$51*(115*EXP(-(((Inputs!$C$6)-25)^2)/(4.5^2))+70*EXP(-(((Inputs!$C$6)+38)^2)/(7^2))*(0.55+0.45*SIN(2*PI()*(Model_Data!A217)/45))+24*SIN(2*PI()*(Inputs!$C$6)/9+(Model_Data!A217)/18)*EXP(-(((Inputs!$C$6)+5)^2)/(22^2))+18*SIN(2*PI()*(Model_Data!A217)/70))+Inputs!$C$28*EXP(-(((Model_Data!A217)-Inputs!$C$29)^2)/(2*Inputs!$C$31^2))*EXP(-(((Inputs!$C$6)-Inputs!$C$30)^2)/(2*Inputs!$C$32^2))+-Inputs!$C$33*EXP(-(((((Model_Data!A217)-Inputs!$C$34)^2)+(((Inputs!$C$6)-Inputs!$C$35)^2))/(2*Inputs!$C$36^2)))+Inputs!$C$37*(0.55*SIN(2*PI()*(Model_Data!A217)/Inputs!$C$39)+0.35*COS(2*PI()*(Inputs!$C$6)/Inputs!$C$40)+0.2*SIN(2*PI()*((Model_Data!A217)+(Inputs!$C$6))/(0.5*(Inputs!$C$39+Inputs!$C$40))))+Inputs!$C$38*SIN(2*PI()*(Model_Data!A217)/Inputs!$C$39)*SIN(2*PI()*(Inputs!$C$6)/Inputs!$C$40)+-Inputs!$C$41*EXP(-(((Inputs!$C$6)-Inputs!$C$43)^2)/(2*Inputs!$C$44^2))*EXP(-(((Model_Data!A217)-Inputs!$C$42)^2)/(2*Inputs!$C$45^2))+Inputs!$C$48*(0.70*(0.45*SIN(2*PI()*(((Model_Data!A217)/Inputs!$C$49)+Inputs!$C$47*0.137))+0.35*COS(2*PI()*(((Inputs!$C$6)/Inputs!$C$50)+Inputs!$C$47*0.173))+0.20*SIN(2*PI()*(((Model_Data!A217)+(Inputs!$C$6))/(0.5*(Inputs!$C$49+Inputs!$C$50))+Inputs!$C$47*0.097)))+0.30*(2*((SIN(((Model_Data!A217)*12.9898+(Inputs!$C$6)*78.233+Inputs!$C$47*37.719))*43758.5453)-INT((SIN(((Model_Data!A217)*12.9898+(Inputs!$C$6)*78.233+Inputs!$C$47*37.719))*43758.5453)))-1))))/1000)^2)</x:f>
        <x:v>405.96349529034177</x:v>
      </x:c>
      <x:c r="AB217" s="48" t="n">
        <x:f>1000*(AA218-AA216)/(Z218-Z216)*Inputs!$C$11</x:f>
        <x:v>863.0714325647659</x:v>
      </x:c>
      <x:c r="AC217" s="48" t="n">
        <x:f>-2*AB217/Inputs!$C$13</x:f>
        <x:v>-345.22857302590637</x:v>
      </x:c>
      <x:c r="AD217" s="48" t="n">
        <x:f>-2*AB217/Inputs!$C$14</x:f>
        <x:v>-51.836122075961924</x:v>
      </x:c>
    </x:row>
    <x:row r="218">
      <x:c r="A218" s="48" t="n">
        <x:f>Model_Data!A218</x:f>
        <x:v>48</x:v>
      </x:c>
      <x:c r="B218" s="48" t="n">
        <x:f>Model_Data!F218</x:f>
        <x:v>2034.6492181694086</x:v>
      </x:c>
      <x:c r="C218" s="48" t="n">
        <x:f>(((SQRT((Model_Data!A218)^2+Inputs!$C$6^2+((Model_Data!B218)-((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(0.45*SIN(2*PI()*(((Model_Data!A218)/Inputs!$C$49)+Inputs!$C$47*0.137))+0.35*COS(2*PI()*(((Inputs!$C$6)/Inputs!$C$50)+Inputs!$C$47*0.173))+0.20*SIN(2*PI()*(((Model_Data!A218)+(Inputs!$C$6))/(0.5*(Inputs!$C$49+Inputs!$C$50))+Inputs!$C$47*0.097)))+0.30*(2*((SIN(((Model_Data!A218)*12.9898+(Inputs!$C$6)*78.233+Inputs!$C$47*37.719))*43758.5453)-INT((SIN(((Model_Data!A218)*12.9898+(Inputs!$C$6)*78.233+Inputs!$C$47*37.719))*43758.5453)))-1))))/1000)^2))-(((Model_Data!B218)-((Inputs!$C$51*(115*EXP(-(((0)-25)^2)/(4.5^2))+70*EXP(-(((0)+38)^2)/(7^2))*(0.55+0.45*SIN(2*PI()*(Model_Data!A218)/45))+24*SIN(2*PI()*(0)/9+(Model_Data!A218)/18)*EXP(-(((0)+5)^2)/(22^2))+18*SIN(2*PI()*(Model_Data!A218)/70))+Inputs!$C$28*EXP(-(((Model_Data!A218)-Inputs!$C$29)^2)/(2*Inputs!$C$31^2))*EXP(-(((0)-Inputs!$C$30)^2)/(2*Inputs!$C$32^2))+-Inputs!$C$33*EXP(-(((((Model_Data!A218)-Inputs!$C$34)^2)+(((0)-Inputs!$C$35)^2))/(2*Inputs!$C$36^2)))+Inputs!$C$37*(0.55*SIN(2*PI()*(Model_Data!A218)/Inputs!$C$39)+0.35*COS(2*PI()*(0)/Inputs!$C$40)+0.2*SIN(2*PI()*((Model_Data!A218)+(0))/(0.5*(Inputs!$C$39+Inputs!$C$40))))+Inputs!$C$38*SIN(2*PI()*(Model_Data!A218)/Inputs!$C$39)*SIN(2*PI()*(0)/Inputs!$C$40)+-Inputs!$C$41*EXP(-(((0)-Inputs!$C$43)^2)/(2*Inputs!$C$44^2))*EXP(-(((Model_Data!A218)-Inputs!$C$42)^2)/(2*Inputs!$C$45^2))+Inputs!$C$48*(0.70*(0.45*SIN(2*PI()*(((Model_Data!A218)/Inputs!$C$49)+Inputs!$C$47*0.137))+0.35*COS(2*PI()*(((0)/Inputs!$C$50)+Inputs!$C$47*0.173))+0.20*SIN(2*PI()*(((Model_Data!A218)+(0))/(0.5*(Inputs!$C$49+Inputs!$C$50))+Inputs!$C$47*0.097)))+0.30*(2*((SIN(((Model_Data!A218)*12.9898+(0)*78.233+Inputs!$C$47*37.719))*43758.5453)-INT((SIN(((Model_Data!A218)*12.9898+(0)*78.233+Inputs!$C$47*37.719))*43758.5453)))-1))))/1000)))*1000/Inputs!$C$12)</x:f>
        <x:v>1959.9530366454171</x:v>
      </x:c>
      <x:c r="D218" s="49"/>
      <x:c r="E218" s="48" t="n">
        <x:f>Model_Data!A218</x:f>
        <x:v>48</x:v>
      </x:c>
      <x:c r="F218" s="48" t="n">
        <x:f>(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(0.45*SIN(2*PI()*(((Model_Data!A218)/Inputs!$C$49)+Inputs!$C$47*0.137))+0.35*COS(2*PI()*(((Inputs!$C$6)/Inputs!$C$50)+Inputs!$C$47*0.173))+0.20*SIN(2*PI()*(((Model_Data!A218)+(Inputs!$C$6))/(0.5*(Inputs!$C$49+Inputs!$C$50))+Inputs!$C$47*0.097)))+0.30*(2*((SIN(((Model_Data!A218)*12.9898+(Inputs!$C$6)*78.233+Inputs!$C$47*37.719))*43758.5453)-INT((SIN(((Model_Data!A218)*12.9898+(Inputs!$C$6)*78.233+Inputs!$C$47*37.719))*43758.5453)))-1)))</x:f>
        <x:v>124.99715373468393</x:v>
      </x:c>
      <x:c r="G218" s="48" t="n">
        <x:f>(Inputs!$C$51*(115*EXP(-(((0)-25)^2)/(4.5^2))+70*EXP(-(((0)+38)^2)/(7^2))*(0.55+0.45*SIN(2*PI()*(Model_Data!A218)/45))+24*SIN(2*PI()*(0)/9+(Model_Data!A218)/18)*EXP(-(((0)+5)^2)/(22^2))+18*SIN(2*PI()*(Model_Data!A218)/70))+Inputs!$C$28*EXP(-(((Model_Data!A218)-Inputs!$C$29)^2)/(2*Inputs!$C$31^2))*EXP(-(((0)-Inputs!$C$30)^2)/(2*Inputs!$C$32^2))+-Inputs!$C$33*EXP(-(((((Model_Data!A218)-Inputs!$C$34)^2)+(((0)-Inputs!$C$35)^2))/(2*Inputs!$C$36^2)))+Inputs!$C$37*(0.55*SIN(2*PI()*(Model_Data!A218)/Inputs!$C$39)+0.35*COS(2*PI()*(0)/Inputs!$C$40)+0.2*SIN(2*PI()*((Model_Data!A218)+(0))/(0.5*(Inputs!$C$39+Inputs!$C$40))))+Inputs!$C$38*SIN(2*PI()*(Model_Data!A218)/Inputs!$C$39)*SIN(2*PI()*(0)/Inputs!$C$40)+-Inputs!$C$41*EXP(-(((0)-Inputs!$C$43)^2)/(2*Inputs!$C$44^2))*EXP(-(((Model_Data!A218)-Inputs!$C$42)^2)/(2*Inputs!$C$45^2))+Inputs!$C$48*(0.70*(0.45*SIN(2*PI()*(((Model_Data!A218)/Inputs!$C$49)+Inputs!$C$47*0.137))+0.35*COS(2*PI()*(((0)/Inputs!$C$50)+Inputs!$C$47*0.173))+0.20*SIN(2*PI()*(((Model_Data!A218)+(0))/(0.5*(Inputs!$C$49+Inputs!$C$50))+Inputs!$C$47*0.097)))+0.30*(2*((SIN(((Model_Data!A218)*12.9898+(0)*78.233+Inputs!$C$47*37.719))*43758.5453)-INT((SIN(((Model_Data!A218)*12.9898+(0)*78.233+Inputs!$C$47*37.719))*43758.5453)))-1)))</x:f>
        <x:v>-9.076914728959792</x:v>
      </x:c>
      <x:c r="H218" s="49"/>
      <x:c r="I218" s="48" t="n">
        <x:f>Model_Data!A218</x:f>
        <x:v>48</x:v>
      </x:c>
      <x:c r="J218" s="48" t="n">
        <x:f>((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(0.45*SIN(2*PI()*(((Model_Data!A218)/Inputs!$C$49)+Inputs!$C$47*0.137))+0.35*COS(2*PI()*(((Inputs!$C$6)/Inputs!$C$50)+Inputs!$C$47*0.173))+0.20*SIN(2*PI()*(((Model_Data!A218)+(Inputs!$C$6))/(0.5*(Inputs!$C$49+Inputs!$C$50))+Inputs!$C$47*0.097)))+0.30*(2*((SIN(((Model_Data!A218)*12.9898+(Inputs!$C$6)*78.233+Inputs!$C$47*37.719))*43758.5453)-INT((SIN(((Model_Data!A218)*12.9898+(Inputs!$C$6)*78.233+Inputs!$C$47*37.719))*43758.5453)))-1))))-((Inputs!$C$51*(115*EXP(-(((0)-25)^2)/(4.5^2))+70*EXP(-(((0)+38)^2)/(7^2))*(0.55+0.45*SIN(2*PI()*(Model_Data!A218)/45))+24*SIN(2*PI()*(0)/9+(Model_Data!A218)/18)*EXP(-(((0)+5)^2)/(22^2))+18*SIN(2*PI()*(Model_Data!A218)/70))+Inputs!$C$28*EXP(-(((Model_Data!A218)-Inputs!$C$29)^2)/(2*Inputs!$C$31^2))*EXP(-(((0)-Inputs!$C$30)^2)/(2*Inputs!$C$32^2))+-Inputs!$C$33*EXP(-(((((Model_Data!A218)-Inputs!$C$34)^2)+(((0)-Inputs!$C$35)^2))/(2*Inputs!$C$36^2)))+Inputs!$C$37*(0.55*SIN(2*PI()*(Model_Data!A218)/Inputs!$C$39)+0.35*COS(2*PI()*(0)/Inputs!$C$40)+0.2*SIN(2*PI()*((Model_Data!A218)+(0))/(0.5*(Inputs!$C$39+Inputs!$C$40))))+Inputs!$C$38*SIN(2*PI()*(Model_Data!A218)/Inputs!$C$39)*SIN(2*PI()*(0)/Inputs!$C$40)+-Inputs!$C$41*EXP(-(((0)-Inputs!$C$43)^2)/(2*Inputs!$C$44^2))*EXP(-(((Model_Data!A218)-Inputs!$C$42)^2)/(2*Inputs!$C$45^2))+Inputs!$C$48*(0.70*(0.45*SIN(2*PI()*(((Model_Data!A218)/Inputs!$C$49)+Inputs!$C$47*0.137))+0.35*COS(2*PI()*(((0)/Inputs!$C$50)+Inputs!$C$47*0.173))+0.20*SIN(2*PI()*(((Model_Data!A218)+(0))/(0.5*(Inputs!$C$49+Inputs!$C$50))+Inputs!$C$47*0.097)))+0.30*(2*((SIN(((Model_Data!A218)*12.9898+(0)*78.233+Inputs!$C$47*37.719))*43758.5453)-INT((SIN(((Model_Data!A218)*12.9898+(0)*78.233+Inputs!$C$47*37.719))*43758.5453)))-1))))</x:f>
        <x:v>134.07406846364373</x:v>
      </x:c>
      <x:c r="K218" s="48" t="n">
        <x:f>-((((SQRT((Model_Data!A218)^2+Inputs!$C$6^2+((Model_Data!B218)-((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(0.45*SIN(2*PI()*(((Model_Data!A218)/Inputs!$C$49)+Inputs!$C$47*0.137))+0.35*COS(2*PI()*(((Inputs!$C$6)/Inputs!$C$50)+Inputs!$C$47*0.173))+0.20*SIN(2*PI()*(((Model_Data!A218)+(Inputs!$C$6))/(0.5*(Inputs!$C$49+Inputs!$C$50))+Inputs!$C$47*0.097)))+0.30*(2*((SIN(((Model_Data!A218)*12.9898+(Inputs!$C$6)*78.233+Inputs!$C$47*37.719))*43758.5453)-INT((SIN(((Model_Data!A218)*12.9898+(Inputs!$C$6)*78.233+Inputs!$C$47*37.719))*43758.5453)))-1))))/1000)^2))-(((Model_Data!B218)-((Inputs!$C$51*(115*EXP(-(((0)-25)^2)/(4.5^2))+70*EXP(-(((0)+38)^2)/(7^2))*(0.55+0.45*SIN(2*PI()*(Model_Data!A218)/45))+24*SIN(2*PI()*(0)/9+(Model_Data!A218)/18)*EXP(-(((0)+5)^2)/(22^2))+18*SIN(2*PI()*(Model_Data!A218)/70))+Inputs!$C$28*EXP(-(((Model_Data!A218)-Inputs!$C$29)^2)/(2*Inputs!$C$31^2))*EXP(-(((0)-Inputs!$C$30)^2)/(2*Inputs!$C$32^2))+-Inputs!$C$33*EXP(-(((((Model_Data!A218)-Inputs!$C$34)^2)+(((0)-Inputs!$C$35)^2))/(2*Inputs!$C$36^2)))+Inputs!$C$37*(0.55*SIN(2*PI()*(Model_Data!A218)/Inputs!$C$39)+0.35*COS(2*PI()*(0)/Inputs!$C$40)+0.2*SIN(2*PI()*((Model_Data!A218)+(0))/(0.5*(Inputs!$C$39+Inputs!$C$40))))+Inputs!$C$38*SIN(2*PI()*(Model_Data!A218)/Inputs!$C$39)*SIN(2*PI()*(0)/Inputs!$C$40)+-Inputs!$C$41*EXP(-(((0)-Inputs!$C$43)^2)/(2*Inputs!$C$44^2))*EXP(-(((Model_Data!A218)-Inputs!$C$42)^2)/(2*Inputs!$C$45^2))+Inputs!$C$48*(0.70*(0.45*SIN(2*PI()*(((Model_Data!A218)/Inputs!$C$49)+Inputs!$C$47*0.137))+0.35*COS(2*PI()*(((0)/Inputs!$C$50)+Inputs!$C$47*0.173))+0.20*SIN(2*PI()*(((Model_Data!A218)+(0))/(0.5*(Inputs!$C$49+Inputs!$C$50))+Inputs!$C$47*0.097)))+0.30*(2*((SIN(((Model_Data!A218)*12.9898+(0)*78.233+Inputs!$C$47*37.719))*43758.5453)-INT((SIN(((Model_Data!A218)*12.9898+(0)*78.233+Inputs!$C$47*37.719))*43758.5453)))-1))))/1000)))*1000/Inputs!$C$12)-Model_Data!F218)</x:f>
        <x:v>74.69618152399153</x:v>
      </x:c>
      <x:c r="L218" s="49"/>
      <x:c r="M218" s="48" t="n">
        <x:f>Model_Data!A218</x:f>
        <x:v>48</x:v>
      </x:c>
      <x:c r="N218" s="48" t="n">
        <x:f>Model_Data!P218</x:f>
        <x:v>-358.22288909368314</x:v>
      </x:c>
      <x:c r="O218" s="48" t="n">
        <x:f>AC218</x:f>
        <x:v>-347.94644056592006</x:v>
      </x:c>
      <x:c r="P218" s="48" t="n">
        <x:f>Model_Data!Q218</x:f>
        <x:v>-53.78722058463711</x:v>
      </x:c>
      <x:c r="Q218" s="48" t="n">
        <x:f>AD218</x:f>
        <x:v>-52.244210295183194</x:v>
      </x:c>
      <x:c r="R218" s="49"/>
      <x:c r="S218" s="48" t="n">
        <x:f>Model_Data!A218</x:f>
        <x:v>48</x:v>
      </x:c>
      <x:c r="T218" s="48" t="n">
        <x:f>Model_Data!B218-Inputs!$C$5</x:f>
        <x:v>2.5600000000000023</x:v>
      </x:c>
      <x:c r="U218" s="49"/>
      <x:c r="V218" s="48" t="n">
        <x:f>Model_Data!A218</x:f>
        <x:v>48</x:v>
      </x:c>
      <x:c r="W218" s="48" t="n">
        <x:f>(-((((SQRT((Model_Data!A218)^2+Inputs!$C$6^2+((Model_Data!B218)-((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(0.45*SIN(2*PI()*(((Model_Data!A218)/Inputs!$C$49)+Inputs!$C$47*0.137))+0.35*COS(2*PI()*(((Inputs!$C$6)/Inputs!$C$50)+Inputs!$C$47*0.173))+0.20*SIN(2*PI()*(((Model_Data!A218)+(Inputs!$C$6))/(0.5*(Inputs!$C$49+Inputs!$C$50))+Inputs!$C$47*0.097)))+0.30*(2*((SIN(((Model_Data!A218)*12.9898+(Inputs!$C$6)*78.233+Inputs!$C$47*37.719))*43758.5453)-INT((SIN(((Model_Data!A218)*12.9898+(Inputs!$C$6)*78.233+Inputs!$C$47*37.719))*43758.5453)))-1))))/1000)^2))-(((Model_Data!B218)-((Inputs!$C$51*(115*EXP(-(((0)-25)^2)/(4.5^2))+70*EXP(-(((0)+38)^2)/(7^2))*(0.55+0.45*SIN(2*PI()*(Model_Data!A218)/45))+24*SIN(2*PI()*(0)/9+(Model_Data!A218)/18)*EXP(-(((0)+5)^2)/(22^2))+18*SIN(2*PI()*(Model_Data!A218)/70))+Inputs!$C$28*EXP(-(((Model_Data!A218)-Inputs!$C$29)^2)/(2*Inputs!$C$31^2))*EXP(-(((0)-Inputs!$C$30)^2)/(2*Inputs!$C$32^2))+-Inputs!$C$33*EXP(-(((((Model_Data!A218)-Inputs!$C$34)^2)+(((0)-Inputs!$C$35)^2))/(2*Inputs!$C$36^2)))+Inputs!$C$37*(0.55*SIN(2*PI()*(Model_Data!A218)/Inputs!$C$39)+0.35*COS(2*PI()*(0)/Inputs!$C$40)+0.2*SIN(2*PI()*((Model_Data!A218)+(0))/(0.5*(Inputs!$C$39+Inputs!$C$40))))+Inputs!$C$38*SIN(2*PI()*(Model_Data!A218)/Inputs!$C$39)*SIN(2*PI()*(0)/Inputs!$C$40)+-Inputs!$C$41*EXP(-(((0)-Inputs!$C$43)^2)/(2*Inputs!$C$44^2))*EXP(-(((Model_Data!A218)-Inputs!$C$42)^2)/(2*Inputs!$C$45^2))+Inputs!$C$48*(0.70*(0.45*SIN(2*PI()*(((Model_Data!A218)/Inputs!$C$49)+Inputs!$C$47*0.137))+0.35*COS(2*PI()*(((0)/Inputs!$C$50)+Inputs!$C$47*0.173))+0.20*SIN(2*PI()*(((Model_Data!A218)+(0))/(0.5*(Inputs!$C$49+Inputs!$C$50))+Inputs!$C$47*0.097)))+0.30*(2*((SIN(((Model_Data!A218)*12.9898+(0)*78.233+Inputs!$C$47*37.719))*43758.5453)-INT((SIN(((Model_Data!A218)*12.9898+(0)*78.233+Inputs!$C$47*37.719))*43758.5453)))-1))))/1000)))*1000/Inputs!$C$12)-Model_Data!F218))-(-(((SQRT((Model_Data!A218)^2+Inputs!$C$6^2+(Inputs!$C$5-((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(0.45*SIN(2*PI()*(((Model_Data!A218)/Inputs!$C$49)+Inputs!$C$47*0.137))+0.35*COS(2*PI()*(((Inputs!$C$6)/Inputs!$C$50)+Inputs!$C$47*0.173))+0.20*SIN(2*PI()*(((Model_Data!A218)+(Inputs!$C$6))/(0.5*(Inputs!$C$49+Inputs!$C$50))+Inputs!$C$47*0.097)))+0.30*(2*((SIN(((Model_Data!A218)*12.9898+(Inputs!$C$6)*78.233+Inputs!$C$47*37.719))*43758.5453)-INT((SIN(((Model_Data!A218)*12.9898+(Inputs!$C$6)*78.233+Inputs!$C$47*37.719))*43758.5453)))-1))))/1000)^2)-(Inputs!$C$5-((Inputs!$C$51*(115*EXP(-(((0)-25)^2)/(4.5^2))+70*EXP(-(((0)+38)^2)/(7^2))*(0.55+0.45*SIN(2*PI()*(Model_Data!A218)/45))+24*SIN(2*PI()*(0)/9+(Model_Data!A218)/18)*EXP(-(((0)+5)^2)/(22^2))+18*SIN(2*PI()*(Model_Data!A218)/70))+Inputs!$C$28*EXP(-(((Model_Data!A218)-Inputs!$C$29)^2)/(2*Inputs!$C$31^2))*EXP(-(((0)-Inputs!$C$30)^2)/(2*Inputs!$C$32^2))+-Inputs!$C$33*EXP(-(((((Model_Data!A218)-Inputs!$C$34)^2)+(((0)-Inputs!$C$35)^2))/(2*Inputs!$C$36^2)))+Inputs!$C$37*(0.55*SIN(2*PI()*(Model_Data!A218)/Inputs!$C$39)+0.35*COS(2*PI()*(0)/Inputs!$C$40)+0.2*SIN(2*PI()*((Model_Data!A218)+(0))/(0.5*(Inputs!$C$39+Inputs!$C$40))))+Inputs!$C$38*SIN(2*PI()*(Model_Data!A218)/Inputs!$C$39)*SIN(2*PI()*(0)/Inputs!$C$40)+-Inputs!$C$41*EXP(-(((0)-Inputs!$C$43)^2)/(2*Inputs!$C$44^2))*EXP(-(((Model_Data!A218)-Inputs!$C$42)^2)/(2*Inputs!$C$45^2))+Inputs!$C$48*(0.70*(0.45*SIN(2*PI()*(((Model_Data!A218)/Inputs!$C$49)+Inputs!$C$47*0.137))+0.35*COS(2*PI()*(((0)/Inputs!$C$50)+Inputs!$C$47*0.173))+0.20*SIN(2*PI()*(((Model_Data!A218)+(0))/(0.5*(Inputs!$C$49+Inputs!$C$50))+Inputs!$C$47*0.097)))+0.30*(2*((SIN(((Model_Data!A218)*12.9898+(0)*78.233+Inputs!$C$47*37.719))*43758.5453)-INT((SIN(((Model_Data!A218)*12.9898+(0)*78.233+Inputs!$C$47*37.719))*43758.5453)))-1))))/1000))*1000/Inputs!$C$12)-((SQRT((Model_Data!A218)^2+Inputs!$C$6^2+Inputs!$C$5^2)-Inputs!$C$5)*1000/Inputs!$C$12)))</x:f>
        <x:v>0.00793527015480322</x:v>
      </x:c>
      <x:c r="X218" s="48" t="n">
        <x:f>0</x:f>
        <x:v>0</x:v>
      </x:c>
      <x:c r="Y218" s="49"/>
      <x:c r="Z218" s="48" t="n">
        <x:f>Model_Data!A218</x:f>
        <x:v>48</x:v>
      </x:c>
      <x:c r="AA218" s="48" t="n">
        <x:f>SQRT((Model_Data!A218)^2+Inputs!$C$6^2+((Model_Data!B218)-((Inputs!$C$51*(115*EXP(-(((Inputs!$C$6)-25)^2)/(4.5^2))+70*EXP(-(((Inputs!$C$6)+38)^2)/(7^2))*(0.55+0.45*SIN(2*PI()*(Model_Data!A218)/45))+24*SIN(2*PI()*(Inputs!$C$6)/9+(Model_Data!A218)/18)*EXP(-(((Inputs!$C$6)+5)^2)/(22^2))+18*SIN(2*PI()*(Model_Data!A218)/70))+Inputs!$C$28*EXP(-(((Model_Data!A218)-Inputs!$C$29)^2)/(2*Inputs!$C$31^2))*EXP(-(((Inputs!$C$6)-Inputs!$C$30)^2)/(2*Inputs!$C$32^2))+-Inputs!$C$33*EXP(-(((((Model_Data!A218)-Inputs!$C$34)^2)+(((Inputs!$C$6)-Inputs!$C$35)^2))/(2*Inputs!$C$36^2)))+Inputs!$C$37*(0.55*SIN(2*PI()*(Model_Data!A218)/Inputs!$C$39)+0.35*COS(2*PI()*(Inputs!$C$6)/Inputs!$C$40)+0.2*SIN(2*PI()*((Model_Data!A218)+(Inputs!$C$6))/(0.5*(Inputs!$C$39+Inputs!$C$40))))+Inputs!$C$38*SIN(2*PI()*(Model_Data!A218)/Inputs!$C$39)*SIN(2*PI()*(Inputs!$C$6)/Inputs!$C$40)+-Inputs!$C$41*EXP(-(((Inputs!$C$6)-Inputs!$C$43)^2)/(2*Inputs!$C$44^2))*EXP(-(((Model_Data!A218)-Inputs!$C$42)^2)/(2*Inputs!$C$45^2))+Inputs!$C$48*(0.70*(0.45*SIN(2*PI()*(((Model_Data!A218)/Inputs!$C$49)+Inputs!$C$47*0.137))+0.35*COS(2*PI()*(((Inputs!$C$6)/Inputs!$C$50)+Inputs!$C$47*0.173))+0.20*SIN(2*PI()*(((Model_Data!A218)+(Inputs!$C$6))/(0.5*(Inputs!$C$49+Inputs!$C$50))+Inputs!$C$47*0.097)))+0.30*(2*((SIN(((Model_Data!A218)*12.9898+(Inputs!$C$6)*78.233+Inputs!$C$47*37.719))*43758.5453)-INT((SIN(((Model_Data!A218)*12.9898+(Inputs!$C$6)*78.233+Inputs!$C$47*37.719))*43758.5453)))-1))))/1000)^2)</x:f>
        <x:v>406.0577933199578</x:v>
      </x:c>
      <x:c r="AB218" s="48" t="n">
        <x:f>1000*(AA219-AA217)/(Z219-Z217)*Inputs!$C$11</x:f>
        <x:v>869.8661014148001</x:v>
      </x:c>
      <x:c r="AC218" s="48" t="n">
        <x:f>-2*AB218/Inputs!$C$13</x:f>
        <x:v>-347.94644056592006</x:v>
      </x:c>
      <x:c r="AD218" s="48" t="n">
        <x:f>-2*AB218/Inputs!$C$14</x:f>
        <x:v>-52.244210295183194</x:v>
      </x:c>
    </x:row>
    <x:row r="219">
      <x:c r="A219" s="48" t="n">
        <x:f>Model_Data!A219</x:f>
        <x:v>48.5</x:v>
      </x:c>
      <x:c r="B219" s="48" t="n">
        <x:f>Model_Data!F219</x:f>
        <x:v>2067.7416568945596</x:v>
      </x:c>
      <x:c r="C219" s="48" t="n">
        <x:f>(((SQRT((Model_Data!A219)^2+Inputs!$C$6^2+((Model_Data!B219)-((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(0.45*SIN(2*PI()*(((Model_Data!A219)/Inputs!$C$49)+Inputs!$C$47*0.137))+0.35*COS(2*PI()*(((Inputs!$C$6)/Inputs!$C$50)+Inputs!$C$47*0.173))+0.20*SIN(2*PI()*(((Model_Data!A219)+(Inputs!$C$6))/(0.5*(Inputs!$C$49+Inputs!$C$50))+Inputs!$C$47*0.097)))+0.30*(2*((SIN(((Model_Data!A219)*12.9898+(Inputs!$C$6)*78.233+Inputs!$C$47*37.719))*43758.5453)-INT((SIN(((Model_Data!A219)*12.9898+(Inputs!$C$6)*78.233+Inputs!$C$47*37.719))*43758.5453)))-1))))/1000)^2))-(((Model_Data!B219)-((Inputs!$C$51*(115*EXP(-(((0)-25)^2)/(4.5^2))+70*EXP(-(((0)+38)^2)/(7^2))*(0.55+0.45*SIN(2*PI()*(Model_Data!A219)/45))+24*SIN(2*PI()*(0)/9+(Model_Data!A219)/18)*EXP(-(((0)+5)^2)/(22^2))+18*SIN(2*PI()*(Model_Data!A219)/70))+Inputs!$C$28*EXP(-(((Model_Data!A219)-Inputs!$C$29)^2)/(2*Inputs!$C$31^2))*EXP(-(((0)-Inputs!$C$30)^2)/(2*Inputs!$C$32^2))+-Inputs!$C$33*EXP(-(((((Model_Data!A219)-Inputs!$C$34)^2)+(((0)-Inputs!$C$35)^2))/(2*Inputs!$C$36^2)))+Inputs!$C$37*(0.55*SIN(2*PI()*(Model_Data!A219)/Inputs!$C$39)+0.35*COS(2*PI()*(0)/Inputs!$C$40)+0.2*SIN(2*PI()*((Model_Data!A219)+(0))/(0.5*(Inputs!$C$39+Inputs!$C$40))))+Inputs!$C$38*SIN(2*PI()*(Model_Data!A219)/Inputs!$C$39)*SIN(2*PI()*(0)/Inputs!$C$40)+-Inputs!$C$41*EXP(-(((0)-Inputs!$C$43)^2)/(2*Inputs!$C$44^2))*EXP(-(((Model_Data!A219)-Inputs!$C$42)^2)/(2*Inputs!$C$45^2))+Inputs!$C$48*(0.70*(0.45*SIN(2*PI()*(((Model_Data!A219)/Inputs!$C$49)+Inputs!$C$47*0.137))+0.35*COS(2*PI()*(((0)/Inputs!$C$50)+Inputs!$C$47*0.173))+0.20*SIN(2*PI()*(((Model_Data!A219)+(0))/(0.5*(Inputs!$C$49+Inputs!$C$50))+Inputs!$C$47*0.097)))+0.30*(2*((SIN(((Model_Data!A219)*12.9898+(0)*78.233+Inputs!$C$47*37.719))*43758.5453)-INT((SIN(((Model_Data!A219)*12.9898+(0)*78.233+Inputs!$C$47*37.719))*43758.5453)))-1))))/1000)))*1000/Inputs!$C$12)</x:f>
        <x:v>2002.9830515698684</x:v>
      </x:c>
      <x:c r="D219" s="49"/>
      <x:c r="E219" s="48" t="n">
        <x:f>Model_Data!A219</x:f>
        <x:v>48.5</x:v>
      </x:c>
      <x:c r="F219" s="48" t="n">
        <x:f>(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(0.45*SIN(2*PI()*(((Model_Data!A219)/Inputs!$C$49)+Inputs!$C$47*0.137))+0.35*COS(2*PI()*(((Inputs!$C$6)/Inputs!$C$50)+Inputs!$C$47*0.173))+0.20*SIN(2*PI()*(((Model_Data!A219)+(Inputs!$C$6))/(0.5*(Inputs!$C$49+Inputs!$C$50))+Inputs!$C$47*0.097)))+0.30*(2*((SIN(((Model_Data!A219)*12.9898+(Inputs!$C$6)*78.233+Inputs!$C$47*37.719))*43758.5453)-INT((SIN(((Model_Data!A219)*12.9898+(Inputs!$C$6)*78.233+Inputs!$C$47*37.719))*43758.5453)))-1)))</x:f>
        <x:v>114.2648488799635</x:v>
      </x:c>
      <x:c r="G219" s="48" t="n">
        <x:f>(Inputs!$C$51*(115*EXP(-(((0)-25)^2)/(4.5^2))+70*EXP(-(((0)+38)^2)/(7^2))*(0.55+0.45*SIN(2*PI()*(Model_Data!A219)/45))+24*SIN(2*PI()*(0)/9+(Model_Data!A219)/18)*EXP(-(((0)+5)^2)/(22^2))+18*SIN(2*PI()*(Model_Data!A219)/70))+Inputs!$C$28*EXP(-(((Model_Data!A219)-Inputs!$C$29)^2)/(2*Inputs!$C$31^2))*EXP(-(((0)-Inputs!$C$30)^2)/(2*Inputs!$C$32^2))+-Inputs!$C$33*EXP(-(((((Model_Data!A219)-Inputs!$C$34)^2)+(((0)-Inputs!$C$35)^2))/(2*Inputs!$C$36^2)))+Inputs!$C$37*(0.55*SIN(2*PI()*(Model_Data!A219)/Inputs!$C$39)+0.35*COS(2*PI()*(0)/Inputs!$C$40)+0.2*SIN(2*PI()*((Model_Data!A219)+(0))/(0.5*(Inputs!$C$39+Inputs!$C$40))))+Inputs!$C$38*SIN(2*PI()*(Model_Data!A219)/Inputs!$C$39)*SIN(2*PI()*(0)/Inputs!$C$40)+-Inputs!$C$41*EXP(-(((0)-Inputs!$C$43)^2)/(2*Inputs!$C$44^2))*EXP(-(((Model_Data!A219)-Inputs!$C$42)^2)/(2*Inputs!$C$45^2))+Inputs!$C$48*(0.70*(0.45*SIN(2*PI()*(((Model_Data!A219)/Inputs!$C$49)+Inputs!$C$47*0.137))+0.35*COS(2*PI()*(((0)/Inputs!$C$50)+Inputs!$C$47*0.173))+0.20*SIN(2*PI()*(((Model_Data!A219)+(0))/(0.5*(Inputs!$C$49+Inputs!$C$50))+Inputs!$C$47*0.097)))+0.30*(2*((SIN(((Model_Data!A219)*12.9898+(0)*78.233+Inputs!$C$47*37.719))*43758.5453)-INT((SIN(((Model_Data!A219)*12.9898+(0)*78.233+Inputs!$C$47*37.719))*43758.5453)))-1)))</x:f>
        <x:v>-2.0408727900443155</x:v>
      </x:c>
      <x:c r="H219" s="49"/>
      <x:c r="I219" s="48" t="n">
        <x:f>Model_Data!A219</x:f>
        <x:v>48.5</x:v>
      </x:c>
      <x:c r="J219" s="48" t="n">
        <x:f>((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(0.45*SIN(2*PI()*(((Model_Data!A219)/Inputs!$C$49)+Inputs!$C$47*0.137))+0.35*COS(2*PI()*(((Inputs!$C$6)/Inputs!$C$50)+Inputs!$C$47*0.173))+0.20*SIN(2*PI()*(((Model_Data!A219)+(Inputs!$C$6))/(0.5*(Inputs!$C$49+Inputs!$C$50))+Inputs!$C$47*0.097)))+0.30*(2*((SIN(((Model_Data!A219)*12.9898+(Inputs!$C$6)*78.233+Inputs!$C$47*37.719))*43758.5453)-INT((SIN(((Model_Data!A219)*12.9898+(Inputs!$C$6)*78.233+Inputs!$C$47*37.719))*43758.5453)))-1))))-((Inputs!$C$51*(115*EXP(-(((0)-25)^2)/(4.5^2))+70*EXP(-(((0)+38)^2)/(7^2))*(0.55+0.45*SIN(2*PI()*(Model_Data!A219)/45))+24*SIN(2*PI()*(0)/9+(Model_Data!A219)/18)*EXP(-(((0)+5)^2)/(22^2))+18*SIN(2*PI()*(Model_Data!A219)/70))+Inputs!$C$28*EXP(-(((Model_Data!A219)-Inputs!$C$29)^2)/(2*Inputs!$C$31^2))*EXP(-(((0)-Inputs!$C$30)^2)/(2*Inputs!$C$32^2))+-Inputs!$C$33*EXP(-(((((Model_Data!A219)-Inputs!$C$34)^2)+(((0)-Inputs!$C$35)^2))/(2*Inputs!$C$36^2)))+Inputs!$C$37*(0.55*SIN(2*PI()*(Model_Data!A219)/Inputs!$C$39)+0.35*COS(2*PI()*(0)/Inputs!$C$40)+0.2*SIN(2*PI()*((Model_Data!A219)+(0))/(0.5*(Inputs!$C$39+Inputs!$C$40))))+Inputs!$C$38*SIN(2*PI()*(Model_Data!A219)/Inputs!$C$39)*SIN(2*PI()*(0)/Inputs!$C$40)+-Inputs!$C$41*EXP(-(((0)-Inputs!$C$43)^2)/(2*Inputs!$C$44^2))*EXP(-(((Model_Data!A219)-Inputs!$C$42)^2)/(2*Inputs!$C$45^2))+Inputs!$C$48*(0.70*(0.45*SIN(2*PI()*(((Model_Data!A219)/Inputs!$C$49)+Inputs!$C$47*0.137))+0.35*COS(2*PI()*(((0)/Inputs!$C$50)+Inputs!$C$47*0.173))+0.20*SIN(2*PI()*(((Model_Data!A219)+(0))/(0.5*(Inputs!$C$49+Inputs!$C$50))+Inputs!$C$47*0.097)))+0.30*(2*((SIN(((Model_Data!A219)*12.9898+(0)*78.233+Inputs!$C$47*37.719))*43758.5453)-INT((SIN(((Model_Data!A219)*12.9898+(0)*78.233+Inputs!$C$47*37.719))*43758.5453)))-1))))</x:f>
        <x:v>116.30572167000781</x:v>
      </x:c>
      <x:c r="K219" s="48" t="n">
        <x:f>-((((SQRT((Model_Data!A219)^2+Inputs!$C$6^2+((Model_Data!B219)-((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(0.45*SIN(2*PI()*(((Model_Data!A219)/Inputs!$C$49)+Inputs!$C$47*0.137))+0.35*COS(2*PI()*(((Inputs!$C$6)/Inputs!$C$50)+Inputs!$C$47*0.173))+0.20*SIN(2*PI()*(((Model_Data!A219)+(Inputs!$C$6))/(0.5*(Inputs!$C$49+Inputs!$C$50))+Inputs!$C$47*0.097)))+0.30*(2*((SIN(((Model_Data!A219)*12.9898+(Inputs!$C$6)*78.233+Inputs!$C$47*37.719))*43758.5453)-INT((SIN(((Model_Data!A219)*12.9898+(Inputs!$C$6)*78.233+Inputs!$C$47*37.719))*43758.5453)))-1))))/1000)^2))-(((Model_Data!B219)-((Inputs!$C$51*(115*EXP(-(((0)-25)^2)/(4.5^2))+70*EXP(-(((0)+38)^2)/(7^2))*(0.55+0.45*SIN(2*PI()*(Model_Data!A219)/45))+24*SIN(2*PI()*(0)/9+(Model_Data!A219)/18)*EXP(-(((0)+5)^2)/(22^2))+18*SIN(2*PI()*(Model_Data!A219)/70))+Inputs!$C$28*EXP(-(((Model_Data!A219)-Inputs!$C$29)^2)/(2*Inputs!$C$31^2))*EXP(-(((0)-Inputs!$C$30)^2)/(2*Inputs!$C$32^2))+-Inputs!$C$33*EXP(-(((((Model_Data!A219)-Inputs!$C$34)^2)+(((0)-Inputs!$C$35)^2))/(2*Inputs!$C$36^2)))+Inputs!$C$37*(0.55*SIN(2*PI()*(Model_Data!A219)/Inputs!$C$39)+0.35*COS(2*PI()*(0)/Inputs!$C$40)+0.2*SIN(2*PI()*((Model_Data!A219)+(0))/(0.5*(Inputs!$C$39+Inputs!$C$40))))+Inputs!$C$38*SIN(2*PI()*(Model_Data!A219)/Inputs!$C$39)*SIN(2*PI()*(0)/Inputs!$C$40)+-Inputs!$C$41*EXP(-(((0)-Inputs!$C$43)^2)/(2*Inputs!$C$44^2))*EXP(-(((Model_Data!A219)-Inputs!$C$42)^2)/(2*Inputs!$C$45^2))+Inputs!$C$48*(0.70*(0.45*SIN(2*PI()*(((Model_Data!A219)/Inputs!$C$49)+Inputs!$C$47*0.137))+0.35*COS(2*PI()*(((0)/Inputs!$C$50)+Inputs!$C$47*0.173))+0.20*SIN(2*PI()*(((Model_Data!A219)+(0))/(0.5*(Inputs!$C$49+Inputs!$C$50))+Inputs!$C$47*0.097)))+0.30*(2*((SIN(((Model_Data!A219)*12.9898+(0)*78.233+Inputs!$C$47*37.719))*43758.5453)-INT((SIN(((Model_Data!A219)*12.9898+(0)*78.233+Inputs!$C$47*37.719))*43758.5453)))-1))))/1000)))*1000/Inputs!$C$12)-Model_Data!F219)</x:f>
        <x:v>64.75860532469119</x:v>
      </x:c>
      <x:c r="L219" s="49"/>
      <x:c r="M219" s="48" t="n">
        <x:f>Model_Data!A219</x:f>
        <x:v>48.5</x:v>
      </x:c>
      <x:c r="N219" s="48" t="n">
        <x:f>Model_Data!P219</x:f>
        <x:v>-361.87689525593146</x:v>
      </x:c>
      <x:c r="O219" s="48" t="n">
        <x:f>AC219</x:f>
        <x:v>-386.43113155858373</x:v>
      </x:c>
      <x:c r="P219" s="48" t="n">
        <x:f>Model_Data!Q219</x:f>
        <x:v>-54.335870158548275</x:v>
      </x:c>
      <x:c r="Q219" s="48" t="n">
        <x:f>AD219</x:f>
        <x:v>-58.02269242621378</x:v>
      </x:c>
      <x:c r="R219" s="49"/>
      <x:c r="S219" s="48" t="n">
        <x:f>Model_Data!A219</x:f>
        <x:v>48.5</x:v>
      </x:c>
      <x:c r="T219" s="48" t="n">
        <x:f>Model_Data!B219-Inputs!$C$5</x:f>
        <x:v>2.6136111111110836</x:v>
      </x:c>
      <x:c r="U219" s="49"/>
      <x:c r="V219" s="48" t="n">
        <x:f>Model_Data!A219</x:f>
        <x:v>48.5</x:v>
      </x:c>
      <x:c r="W219" s="48" t="n">
        <x:f>(-((((SQRT((Model_Data!A219)^2+Inputs!$C$6^2+((Model_Data!B219)-((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(0.45*SIN(2*PI()*(((Model_Data!A219)/Inputs!$C$49)+Inputs!$C$47*0.137))+0.35*COS(2*PI()*(((Inputs!$C$6)/Inputs!$C$50)+Inputs!$C$47*0.173))+0.20*SIN(2*PI()*(((Model_Data!A219)+(Inputs!$C$6))/(0.5*(Inputs!$C$49+Inputs!$C$50))+Inputs!$C$47*0.097)))+0.30*(2*((SIN(((Model_Data!A219)*12.9898+(Inputs!$C$6)*78.233+Inputs!$C$47*37.719))*43758.5453)-INT((SIN(((Model_Data!A219)*12.9898+(Inputs!$C$6)*78.233+Inputs!$C$47*37.719))*43758.5453)))-1))))/1000)^2))-(((Model_Data!B219)-((Inputs!$C$51*(115*EXP(-(((0)-25)^2)/(4.5^2))+70*EXP(-(((0)+38)^2)/(7^2))*(0.55+0.45*SIN(2*PI()*(Model_Data!A219)/45))+24*SIN(2*PI()*(0)/9+(Model_Data!A219)/18)*EXP(-(((0)+5)^2)/(22^2))+18*SIN(2*PI()*(Model_Data!A219)/70))+Inputs!$C$28*EXP(-(((Model_Data!A219)-Inputs!$C$29)^2)/(2*Inputs!$C$31^2))*EXP(-(((0)-Inputs!$C$30)^2)/(2*Inputs!$C$32^2))+-Inputs!$C$33*EXP(-(((((Model_Data!A219)-Inputs!$C$34)^2)+(((0)-Inputs!$C$35)^2))/(2*Inputs!$C$36^2)))+Inputs!$C$37*(0.55*SIN(2*PI()*(Model_Data!A219)/Inputs!$C$39)+0.35*COS(2*PI()*(0)/Inputs!$C$40)+0.2*SIN(2*PI()*((Model_Data!A219)+(0))/(0.5*(Inputs!$C$39+Inputs!$C$40))))+Inputs!$C$38*SIN(2*PI()*(Model_Data!A219)/Inputs!$C$39)*SIN(2*PI()*(0)/Inputs!$C$40)+-Inputs!$C$41*EXP(-(((0)-Inputs!$C$43)^2)/(2*Inputs!$C$44^2))*EXP(-(((Model_Data!A219)-Inputs!$C$42)^2)/(2*Inputs!$C$45^2))+Inputs!$C$48*(0.70*(0.45*SIN(2*PI()*(((Model_Data!A219)/Inputs!$C$49)+Inputs!$C$47*0.137))+0.35*COS(2*PI()*(((0)/Inputs!$C$50)+Inputs!$C$47*0.173))+0.20*SIN(2*PI()*(((Model_Data!A219)+(0))/(0.5*(Inputs!$C$49+Inputs!$C$50))+Inputs!$C$47*0.097)))+0.30*(2*((SIN(((Model_Data!A219)*12.9898+(0)*78.233+Inputs!$C$47*37.719))*43758.5453)-INT((SIN(((Model_Data!A219)*12.9898+(0)*78.233+Inputs!$C$47*37.719))*43758.5453)))-1))))/1000)))*1000/Inputs!$C$12)-Model_Data!F219))-(-(((SQRT((Model_Data!A219)^2+Inputs!$C$6^2+(Inputs!$C$5-((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(0.45*SIN(2*PI()*(((Model_Data!A219)/Inputs!$C$49)+Inputs!$C$47*0.137))+0.35*COS(2*PI()*(((Inputs!$C$6)/Inputs!$C$50)+Inputs!$C$47*0.173))+0.20*SIN(2*PI()*(((Model_Data!A219)+(Inputs!$C$6))/(0.5*(Inputs!$C$49+Inputs!$C$50))+Inputs!$C$47*0.097)))+0.30*(2*((SIN(((Model_Data!A219)*12.9898+(Inputs!$C$6)*78.233+Inputs!$C$47*37.719))*43758.5453)-INT((SIN(((Model_Data!A219)*12.9898+(Inputs!$C$6)*78.233+Inputs!$C$47*37.719))*43758.5453)))-1))))/1000)^2)-(Inputs!$C$5-((Inputs!$C$51*(115*EXP(-(((0)-25)^2)/(4.5^2))+70*EXP(-(((0)+38)^2)/(7^2))*(0.55+0.45*SIN(2*PI()*(Model_Data!A219)/45))+24*SIN(2*PI()*(0)/9+(Model_Data!A219)/18)*EXP(-(((0)+5)^2)/(22^2))+18*SIN(2*PI()*(Model_Data!A219)/70))+Inputs!$C$28*EXP(-(((Model_Data!A219)-Inputs!$C$29)^2)/(2*Inputs!$C$31^2))*EXP(-(((0)-Inputs!$C$30)^2)/(2*Inputs!$C$32^2))+-Inputs!$C$33*EXP(-(((((Model_Data!A219)-Inputs!$C$34)^2)+(((0)-Inputs!$C$35)^2))/(2*Inputs!$C$36^2)))+Inputs!$C$37*(0.55*SIN(2*PI()*(Model_Data!A219)/Inputs!$C$39)+0.35*COS(2*PI()*(0)/Inputs!$C$40)+0.2*SIN(2*PI()*((Model_Data!A219)+(0))/(0.5*(Inputs!$C$39+Inputs!$C$40))))+Inputs!$C$38*SIN(2*PI()*(Model_Data!A219)/Inputs!$C$39)*SIN(2*PI()*(0)/Inputs!$C$40)+-Inputs!$C$41*EXP(-(((0)-Inputs!$C$43)^2)/(2*Inputs!$C$44^2))*EXP(-(((Model_Data!A219)-Inputs!$C$42)^2)/(2*Inputs!$C$45^2))+Inputs!$C$48*(0.70*(0.45*SIN(2*PI()*(((Model_Data!A219)/Inputs!$C$49)+Inputs!$C$47*0.137))+0.35*COS(2*PI()*(((0)/Inputs!$C$50)+Inputs!$C$47*0.173))+0.20*SIN(2*PI()*(((Model_Data!A219)+(0))/(0.5*(Inputs!$C$49+Inputs!$C$50))+Inputs!$C$47*0.097)))+0.30*(2*((SIN(((Model_Data!A219)*12.9898+(0)*78.233+Inputs!$C$47*37.719))*43758.5453)-INT((SIN(((Model_Data!A219)*12.9898+(0)*78.233+Inputs!$C$47*37.719))*43758.5453)))-1))))/1000))*1000/Inputs!$C$12)-((SQRT((Model_Data!A219)^2+Inputs!$C$6^2+Inputs!$C$5^2)-Inputs!$C$5)*1000/Inputs!$C$12)))</x:f>
        <x:v>0.007522760114852645</x:v>
      </x:c>
      <x:c r="X219" s="48" t="n">
        <x:f>0</x:f>
        <x:v>0</x:v>
      </x:c>
      <x:c r="Y219" s="49"/>
      <x:c r="Z219" s="48" t="n">
        <x:f>Model_Data!A219</x:f>
        <x:v>48.5</x:v>
      </x:c>
      <x:c r="AA219" s="48" t="n">
        <x:f>SQRT((Model_Data!A219)^2+Inputs!$C$6^2+((Model_Data!B219)-((Inputs!$C$51*(115*EXP(-(((Inputs!$C$6)-25)^2)/(4.5^2))+70*EXP(-(((Inputs!$C$6)+38)^2)/(7^2))*(0.55+0.45*SIN(2*PI()*(Model_Data!A219)/45))+24*SIN(2*PI()*(Inputs!$C$6)/9+(Model_Data!A219)/18)*EXP(-(((Inputs!$C$6)+5)^2)/(22^2))+18*SIN(2*PI()*(Model_Data!A219)/70))+Inputs!$C$28*EXP(-(((Model_Data!A219)-Inputs!$C$29)^2)/(2*Inputs!$C$31^2))*EXP(-(((Inputs!$C$6)-Inputs!$C$30)^2)/(2*Inputs!$C$32^2))+-Inputs!$C$33*EXP(-(((((Model_Data!A219)-Inputs!$C$34)^2)+(((Inputs!$C$6)-Inputs!$C$35)^2))/(2*Inputs!$C$36^2)))+Inputs!$C$37*(0.55*SIN(2*PI()*(Model_Data!A219)/Inputs!$C$39)+0.35*COS(2*PI()*(Inputs!$C$6)/Inputs!$C$40)+0.2*SIN(2*PI()*((Model_Data!A219)+(Inputs!$C$6))/(0.5*(Inputs!$C$39+Inputs!$C$40))))+Inputs!$C$38*SIN(2*PI()*(Model_Data!A219)/Inputs!$C$39)*SIN(2*PI()*(Inputs!$C$6)/Inputs!$C$40)+-Inputs!$C$41*EXP(-(((Inputs!$C$6)-Inputs!$C$43)^2)/(2*Inputs!$C$44^2))*EXP(-(((Model_Data!A219)-Inputs!$C$42)^2)/(2*Inputs!$C$45^2))+Inputs!$C$48*(0.70*(0.45*SIN(2*PI()*(((Model_Data!A219)/Inputs!$C$49)+Inputs!$C$47*0.137))+0.35*COS(2*PI()*(((Inputs!$C$6)/Inputs!$C$50)+Inputs!$C$47*0.173))+0.20*SIN(2*PI()*(((Model_Data!A219)+(Inputs!$C$6))/(0.5*(Inputs!$C$49+Inputs!$C$50))+Inputs!$C$47*0.097)))+0.30*(2*((SIN(((Model_Data!A219)*12.9898+(Inputs!$C$6)*78.233+Inputs!$C$47*37.719))*43758.5453)-INT((SIN(((Model_Data!A219)*12.9898+(Inputs!$C$6)*78.233+Inputs!$C$47*37.719))*43758.5453)))-1))))/1000)^2)</x:f>
        <x:v>406.18096181569547</x:v>
      </x:c>
      <x:c r="AB219" s="48" t="n">
        <x:f>1000*(AA220-AA218)/(Z220-Z218)*Inputs!$C$11</x:f>
        <x:v>966.0778288964593</x:v>
      </x:c>
      <x:c r="AC219" s="48" t="n">
        <x:f>-2*AB219/Inputs!$C$13</x:f>
        <x:v>-386.43113155858373</x:v>
      </x:c>
      <x:c r="AD219" s="48" t="n">
        <x:f>-2*AB219/Inputs!$C$14</x:f>
        <x:v>-58.02269242621378</x:v>
      </x:c>
    </x:row>
    <x:row r="220">
      <x:c r="A220" s="48" t="n">
        <x:f>Model_Data!A220</x:f>
        <x:v>49</x:v>
      </x:c>
      <x:c r="B220" s="48" t="n">
        <x:f>Model_Data!F220</x:f>
        <x:v>2101.1632843038606</x:v>
      </x:c>
      <x:c r="C220" s="48" t="n">
        <x:f>(((SQRT((Model_Data!A220)^2+Inputs!$C$6^2+((Model_Data!B220)-((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(0.45*SIN(2*PI()*(((Model_Data!A220)/Inputs!$C$49)+Inputs!$C$47*0.137))+0.35*COS(2*PI()*(((Inputs!$C$6)/Inputs!$C$50)+Inputs!$C$47*0.173))+0.20*SIN(2*PI()*(((Model_Data!A220)+(Inputs!$C$6))/(0.5*(Inputs!$C$49+Inputs!$C$50))+Inputs!$C$47*0.097)))+0.30*(2*((SIN(((Model_Data!A220)*12.9898+(Inputs!$C$6)*78.233+Inputs!$C$47*37.719))*43758.5453)-INT((SIN(((Model_Data!A220)*12.9898+(Inputs!$C$6)*78.233+Inputs!$C$47*37.719))*43758.5453)))-1))))/1000)^2))-(((Model_Data!B220)-((Inputs!$C$51*(115*EXP(-(((0)-25)^2)/(4.5^2))+70*EXP(-(((0)+38)^2)/(7^2))*(0.55+0.45*SIN(2*PI()*(Model_Data!A220)/45))+24*SIN(2*PI()*(0)/9+(Model_Data!A220)/18)*EXP(-(((0)+5)^2)/(22^2))+18*SIN(2*PI()*(Model_Data!A220)/70))+Inputs!$C$28*EXP(-(((Model_Data!A220)-Inputs!$C$29)^2)/(2*Inputs!$C$31^2))*EXP(-(((0)-Inputs!$C$30)^2)/(2*Inputs!$C$32^2))+-Inputs!$C$33*EXP(-(((((Model_Data!A220)-Inputs!$C$34)^2)+(((0)-Inputs!$C$35)^2))/(2*Inputs!$C$36^2)))+Inputs!$C$37*(0.55*SIN(2*PI()*(Model_Data!A220)/Inputs!$C$39)+0.35*COS(2*PI()*(0)/Inputs!$C$40)+0.2*SIN(2*PI()*((Model_Data!A220)+(0))/(0.5*(Inputs!$C$39+Inputs!$C$40))))+Inputs!$C$38*SIN(2*PI()*(Model_Data!A220)/Inputs!$C$39)*SIN(2*PI()*(0)/Inputs!$C$40)+-Inputs!$C$41*EXP(-(((0)-Inputs!$C$43)^2)/(2*Inputs!$C$44^2))*EXP(-(((Model_Data!A220)-Inputs!$C$42)^2)/(2*Inputs!$C$45^2))+Inputs!$C$48*(0.70*(0.45*SIN(2*PI()*(((Model_Data!A220)/Inputs!$C$49)+Inputs!$C$47*0.137))+0.35*COS(2*PI()*(((0)/Inputs!$C$50)+Inputs!$C$47*0.173))+0.20*SIN(2*PI()*(((Model_Data!A220)+(0))/(0.5*(Inputs!$C$49+Inputs!$C$50))+Inputs!$C$47*0.097)))+0.30*(2*((SIN(((Model_Data!A220)*12.9898+(0)*78.233+Inputs!$C$47*37.719))*43758.5453)-INT((SIN(((Model_Data!A220)*12.9898+(0)*78.233+Inputs!$C$47*37.719))*43758.5453)))-1))))/1000)))*1000/Inputs!$C$12)</x:f>
        <x:v>2046.0483295532854</x:v>
      </x:c>
      <x:c r="D220" s="49"/>
      <x:c r="E220" s="48" t="n">
        <x:f>Model_Data!A220</x:f>
        <x:v>49</x:v>
      </x:c>
      <x:c r="F220" s="48" t="n">
        <x:f>(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(0.45*SIN(2*PI()*(((Model_Data!A220)/Inputs!$C$49)+Inputs!$C$47*0.137))+0.35*COS(2*PI()*(((Inputs!$C$6)/Inputs!$C$50)+Inputs!$C$47*0.173))+0.20*SIN(2*PI()*(((Model_Data!A220)+(Inputs!$C$6))/(0.5*(Inputs!$C$49+Inputs!$C$50))+Inputs!$C$47*0.097)))+0.30*(2*((SIN(((Model_Data!A220)*12.9898+(Inputs!$C$6)*78.233+Inputs!$C$47*37.719))*43758.5453)-INT((SIN(((Model_Data!A220)*12.9898+(Inputs!$C$6)*78.233+Inputs!$C$47*37.719))*43758.5453)))-1)))</x:f>
        <x:v>109.54402369059221</x:v>
      </x:c>
      <x:c r="G220" s="48" t="n">
        <x:f>(Inputs!$C$51*(115*EXP(-(((0)-25)^2)/(4.5^2))+70*EXP(-(((0)+38)^2)/(7^2))*(0.55+0.45*SIN(2*PI()*(Model_Data!A220)/45))+24*SIN(2*PI()*(0)/9+(Model_Data!A220)/18)*EXP(-(((0)+5)^2)/(22^2))+18*SIN(2*PI()*(Model_Data!A220)/70))+Inputs!$C$28*EXP(-(((Model_Data!A220)-Inputs!$C$29)^2)/(2*Inputs!$C$31^2))*EXP(-(((0)-Inputs!$C$30)^2)/(2*Inputs!$C$32^2))+-Inputs!$C$33*EXP(-(((((Model_Data!A220)-Inputs!$C$34)^2)+(((0)-Inputs!$C$35)^2))/(2*Inputs!$C$36^2)))+Inputs!$C$37*(0.55*SIN(2*PI()*(Model_Data!A220)/Inputs!$C$39)+0.35*COS(2*PI()*(0)/Inputs!$C$40)+0.2*SIN(2*PI()*((Model_Data!A220)+(0))/(0.5*(Inputs!$C$39+Inputs!$C$40))))+Inputs!$C$38*SIN(2*PI()*(Model_Data!A220)/Inputs!$C$39)*SIN(2*PI()*(0)/Inputs!$C$40)+-Inputs!$C$41*EXP(-(((0)-Inputs!$C$43)^2)/(2*Inputs!$C$44^2))*EXP(-(((Model_Data!A220)-Inputs!$C$42)^2)/(2*Inputs!$C$45^2))+Inputs!$C$48*(0.70*(0.45*SIN(2*PI()*(((Model_Data!A220)/Inputs!$C$49)+Inputs!$C$47*0.137))+0.35*COS(2*PI()*(((0)/Inputs!$C$50)+Inputs!$C$47*0.173))+0.20*SIN(2*PI()*(((Model_Data!A220)+(0))/(0.5*(Inputs!$C$49+Inputs!$C$50))+Inputs!$C$47*0.097)))+0.30*(2*((SIN(((Model_Data!A220)*12.9898+(0)*78.233+Inputs!$C$47*37.719))*43758.5453)-INT((SIN(((Model_Data!A220)*12.9898+(0)*78.233+Inputs!$C$47*37.719))*43758.5453)))-1)))</x:f>
        <x:v>10.43102720072224</x:v>
      </x:c>
      <x:c r="H220" s="49"/>
      <x:c r="I220" s="48" t="n">
        <x:f>Model_Data!A220</x:f>
        <x:v>49</x:v>
      </x:c>
      <x:c r="J220" s="48" t="n">
        <x:f>((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(0.45*SIN(2*PI()*(((Model_Data!A220)/Inputs!$C$49)+Inputs!$C$47*0.137))+0.35*COS(2*PI()*(((Inputs!$C$6)/Inputs!$C$50)+Inputs!$C$47*0.173))+0.20*SIN(2*PI()*(((Model_Data!A220)+(Inputs!$C$6))/(0.5*(Inputs!$C$49+Inputs!$C$50))+Inputs!$C$47*0.097)))+0.30*(2*((SIN(((Model_Data!A220)*12.9898+(Inputs!$C$6)*78.233+Inputs!$C$47*37.719))*43758.5453)-INT((SIN(((Model_Data!A220)*12.9898+(Inputs!$C$6)*78.233+Inputs!$C$47*37.719))*43758.5453)))-1))))-((Inputs!$C$51*(115*EXP(-(((0)-25)^2)/(4.5^2))+70*EXP(-(((0)+38)^2)/(7^2))*(0.55+0.45*SIN(2*PI()*(Model_Data!A220)/45))+24*SIN(2*PI()*(0)/9+(Model_Data!A220)/18)*EXP(-(((0)+5)^2)/(22^2))+18*SIN(2*PI()*(Model_Data!A220)/70))+Inputs!$C$28*EXP(-(((Model_Data!A220)-Inputs!$C$29)^2)/(2*Inputs!$C$31^2))*EXP(-(((0)-Inputs!$C$30)^2)/(2*Inputs!$C$32^2))+-Inputs!$C$33*EXP(-(((((Model_Data!A220)-Inputs!$C$34)^2)+(((0)-Inputs!$C$35)^2))/(2*Inputs!$C$36^2)))+Inputs!$C$37*(0.55*SIN(2*PI()*(Model_Data!A220)/Inputs!$C$39)+0.35*COS(2*PI()*(0)/Inputs!$C$40)+0.2*SIN(2*PI()*((Model_Data!A220)+(0))/(0.5*(Inputs!$C$39+Inputs!$C$40))))+Inputs!$C$38*SIN(2*PI()*(Model_Data!A220)/Inputs!$C$39)*SIN(2*PI()*(0)/Inputs!$C$40)+-Inputs!$C$41*EXP(-(((0)-Inputs!$C$43)^2)/(2*Inputs!$C$44^2))*EXP(-(((Model_Data!A220)-Inputs!$C$42)^2)/(2*Inputs!$C$45^2))+Inputs!$C$48*(0.70*(0.45*SIN(2*PI()*(((Model_Data!A220)/Inputs!$C$49)+Inputs!$C$47*0.137))+0.35*COS(2*PI()*(((0)/Inputs!$C$50)+Inputs!$C$47*0.173))+0.20*SIN(2*PI()*(((Model_Data!A220)+(0))/(0.5*(Inputs!$C$49+Inputs!$C$50))+Inputs!$C$47*0.097)))+0.30*(2*((SIN(((Model_Data!A220)*12.9898+(0)*78.233+Inputs!$C$47*37.719))*43758.5453)-INT((SIN(((Model_Data!A220)*12.9898+(0)*78.233+Inputs!$C$47*37.719))*43758.5453)))-1))))</x:f>
        <x:v>99.11299648986997</x:v>
      </x:c>
      <x:c r="K220" s="48" t="n">
        <x:f>-((((SQRT((Model_Data!A220)^2+Inputs!$C$6^2+((Model_Data!B220)-((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(0.45*SIN(2*PI()*(((Model_Data!A220)/Inputs!$C$49)+Inputs!$C$47*0.137))+0.35*COS(2*PI()*(((Inputs!$C$6)/Inputs!$C$50)+Inputs!$C$47*0.173))+0.20*SIN(2*PI()*(((Model_Data!A220)+(Inputs!$C$6))/(0.5*(Inputs!$C$49+Inputs!$C$50))+Inputs!$C$47*0.097)))+0.30*(2*((SIN(((Model_Data!A220)*12.9898+(Inputs!$C$6)*78.233+Inputs!$C$47*37.719))*43758.5453)-INT((SIN(((Model_Data!A220)*12.9898+(Inputs!$C$6)*78.233+Inputs!$C$47*37.719))*43758.5453)))-1))))/1000)^2))-(((Model_Data!B220)-((Inputs!$C$51*(115*EXP(-(((0)-25)^2)/(4.5^2))+70*EXP(-(((0)+38)^2)/(7^2))*(0.55+0.45*SIN(2*PI()*(Model_Data!A220)/45))+24*SIN(2*PI()*(0)/9+(Model_Data!A220)/18)*EXP(-(((0)+5)^2)/(22^2))+18*SIN(2*PI()*(Model_Data!A220)/70))+Inputs!$C$28*EXP(-(((Model_Data!A220)-Inputs!$C$29)^2)/(2*Inputs!$C$31^2))*EXP(-(((0)-Inputs!$C$30)^2)/(2*Inputs!$C$32^2))+-Inputs!$C$33*EXP(-(((((Model_Data!A220)-Inputs!$C$34)^2)+(((0)-Inputs!$C$35)^2))/(2*Inputs!$C$36^2)))+Inputs!$C$37*(0.55*SIN(2*PI()*(Model_Data!A220)/Inputs!$C$39)+0.35*COS(2*PI()*(0)/Inputs!$C$40)+0.2*SIN(2*PI()*((Model_Data!A220)+(0))/(0.5*(Inputs!$C$39+Inputs!$C$40))))+Inputs!$C$38*SIN(2*PI()*(Model_Data!A220)/Inputs!$C$39)*SIN(2*PI()*(0)/Inputs!$C$40)+-Inputs!$C$41*EXP(-(((0)-Inputs!$C$43)^2)/(2*Inputs!$C$44^2))*EXP(-(((Model_Data!A220)-Inputs!$C$42)^2)/(2*Inputs!$C$45^2))+Inputs!$C$48*(0.70*(0.45*SIN(2*PI()*(((Model_Data!A220)/Inputs!$C$49)+Inputs!$C$47*0.137))+0.35*COS(2*PI()*(((0)/Inputs!$C$50)+Inputs!$C$47*0.173))+0.20*SIN(2*PI()*(((Model_Data!A220)+(0))/(0.5*(Inputs!$C$49+Inputs!$C$50))+Inputs!$C$47*0.097)))+0.30*(2*((SIN(((Model_Data!A220)*12.9898+(0)*78.233+Inputs!$C$47*37.719))*43758.5453)-INT((SIN(((Model_Data!A220)*12.9898+(0)*78.233+Inputs!$C$47*37.719))*43758.5453)))-1))))/1000)))*1000/Inputs!$C$12)-Model_Data!F220)</x:f>
        <x:v>55.11495475057518</x:v>
      </x:c>
      <x:c r="L220" s="49"/>
      <x:c r="M220" s="48" t="n">
        <x:f>Model_Data!A220</x:f>
        <x:v>49</x:v>
      </x:c>
      <x:c r="N220" s="48" t="n">
        <x:f>Model_Data!P220</x:f>
        <x:v>-365.5285586581568</x:v>
      </x:c>
      <x:c r="O220" s="48" t="n">
        <x:f>AC220</x:f>
        <x:v>-363.1180483521348</x:v>
      </x:c>
      <x:c r="P220" s="48" t="n">
        <x:f>Model_Data!Q220</x:f>
        <x:v>-54.884167966690214</x:v>
      </x:c>
      <x:c r="Q220" s="48" t="n">
        <x:f>AD220</x:f>
        <x:v>-54.52222948230253</x:v>
      </x:c>
      <x:c r="R220" s="49"/>
      <x:c r="S220" s="48" t="n">
        <x:f>Model_Data!A220</x:f>
        <x:v>49</x:v>
      </x:c>
      <x:c r="T220" s="48" t="n">
        <x:f>Model_Data!B220-Inputs!$C$5</x:f>
        <x:v>2.667777777777758</x:v>
      </x:c>
      <x:c r="U220" s="49"/>
      <x:c r="V220" s="48" t="n">
        <x:f>Model_Data!A220</x:f>
        <x:v>49</x:v>
      </x:c>
      <x:c r="W220" s="48" t="n">
        <x:f>(-((((SQRT((Model_Data!A220)^2+Inputs!$C$6^2+((Model_Data!B220)-((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(0.45*SIN(2*PI()*(((Model_Data!A220)/Inputs!$C$49)+Inputs!$C$47*0.137))+0.35*COS(2*PI()*(((Inputs!$C$6)/Inputs!$C$50)+Inputs!$C$47*0.173))+0.20*SIN(2*PI()*(((Model_Data!A220)+(Inputs!$C$6))/(0.5*(Inputs!$C$49+Inputs!$C$50))+Inputs!$C$47*0.097)))+0.30*(2*((SIN(((Model_Data!A220)*12.9898+(Inputs!$C$6)*78.233+Inputs!$C$47*37.719))*43758.5453)-INT((SIN(((Model_Data!A220)*12.9898+(Inputs!$C$6)*78.233+Inputs!$C$47*37.719))*43758.5453)))-1))))/1000)^2))-(((Model_Data!B220)-((Inputs!$C$51*(115*EXP(-(((0)-25)^2)/(4.5^2))+70*EXP(-(((0)+38)^2)/(7^2))*(0.55+0.45*SIN(2*PI()*(Model_Data!A220)/45))+24*SIN(2*PI()*(0)/9+(Model_Data!A220)/18)*EXP(-(((0)+5)^2)/(22^2))+18*SIN(2*PI()*(Model_Data!A220)/70))+Inputs!$C$28*EXP(-(((Model_Data!A220)-Inputs!$C$29)^2)/(2*Inputs!$C$31^2))*EXP(-(((0)-Inputs!$C$30)^2)/(2*Inputs!$C$32^2))+-Inputs!$C$33*EXP(-(((((Model_Data!A220)-Inputs!$C$34)^2)+(((0)-Inputs!$C$35)^2))/(2*Inputs!$C$36^2)))+Inputs!$C$37*(0.55*SIN(2*PI()*(Model_Data!A220)/Inputs!$C$39)+0.35*COS(2*PI()*(0)/Inputs!$C$40)+0.2*SIN(2*PI()*((Model_Data!A220)+(0))/(0.5*(Inputs!$C$39+Inputs!$C$40))))+Inputs!$C$38*SIN(2*PI()*(Model_Data!A220)/Inputs!$C$39)*SIN(2*PI()*(0)/Inputs!$C$40)+-Inputs!$C$41*EXP(-(((0)-Inputs!$C$43)^2)/(2*Inputs!$C$44^2))*EXP(-(((Model_Data!A220)-Inputs!$C$42)^2)/(2*Inputs!$C$45^2))+Inputs!$C$48*(0.70*(0.45*SIN(2*PI()*(((Model_Data!A220)/Inputs!$C$49)+Inputs!$C$47*0.137))+0.35*COS(2*PI()*(((0)/Inputs!$C$50)+Inputs!$C$47*0.173))+0.20*SIN(2*PI()*(((Model_Data!A220)+(0))/(0.5*(Inputs!$C$49+Inputs!$C$50))+Inputs!$C$47*0.097)))+0.30*(2*((SIN(((Model_Data!A220)*12.9898+(0)*78.233+Inputs!$C$47*37.719))*43758.5453)-INT((SIN(((Model_Data!A220)*12.9898+(0)*78.233+Inputs!$C$47*37.719))*43758.5453)))-1))))/1000)))*1000/Inputs!$C$12)-Model_Data!F220))-(-(((SQRT((Model_Data!A220)^2+Inputs!$C$6^2+(Inputs!$C$5-((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(0.45*SIN(2*PI()*(((Model_Data!A220)/Inputs!$C$49)+Inputs!$C$47*0.137))+0.35*COS(2*PI()*(((Inputs!$C$6)/Inputs!$C$50)+Inputs!$C$47*0.173))+0.20*SIN(2*PI()*(((Model_Data!A220)+(Inputs!$C$6))/(0.5*(Inputs!$C$49+Inputs!$C$50))+Inputs!$C$47*0.097)))+0.30*(2*((SIN(((Model_Data!A220)*12.9898+(Inputs!$C$6)*78.233+Inputs!$C$47*37.719))*43758.5453)-INT((SIN(((Model_Data!A220)*12.9898+(Inputs!$C$6)*78.233+Inputs!$C$47*37.719))*43758.5453)))-1))))/1000)^2)-(Inputs!$C$5-((Inputs!$C$51*(115*EXP(-(((0)-25)^2)/(4.5^2))+70*EXP(-(((0)+38)^2)/(7^2))*(0.55+0.45*SIN(2*PI()*(Model_Data!A220)/45))+24*SIN(2*PI()*(0)/9+(Model_Data!A220)/18)*EXP(-(((0)+5)^2)/(22^2))+18*SIN(2*PI()*(Model_Data!A220)/70))+Inputs!$C$28*EXP(-(((Model_Data!A220)-Inputs!$C$29)^2)/(2*Inputs!$C$31^2))*EXP(-(((0)-Inputs!$C$30)^2)/(2*Inputs!$C$32^2))+-Inputs!$C$33*EXP(-(((((Model_Data!A220)-Inputs!$C$34)^2)+(((0)-Inputs!$C$35)^2))/(2*Inputs!$C$36^2)))+Inputs!$C$37*(0.55*SIN(2*PI()*(Model_Data!A220)/Inputs!$C$39)+0.35*COS(2*PI()*(0)/Inputs!$C$40)+0.2*SIN(2*PI()*((Model_Data!A220)+(0))/(0.5*(Inputs!$C$39+Inputs!$C$40))))+Inputs!$C$38*SIN(2*PI()*(Model_Data!A220)/Inputs!$C$39)*SIN(2*PI()*(0)/Inputs!$C$40)+-Inputs!$C$41*EXP(-(((0)-Inputs!$C$43)^2)/(2*Inputs!$C$44^2))*EXP(-(((Model_Data!A220)-Inputs!$C$42)^2)/(2*Inputs!$C$45^2))+Inputs!$C$48*(0.70*(0.45*SIN(2*PI()*(((Model_Data!A220)/Inputs!$C$49)+Inputs!$C$47*0.137))+0.35*COS(2*PI()*(((0)/Inputs!$C$50)+Inputs!$C$47*0.173))+0.20*SIN(2*PI()*(((Model_Data!A220)+(0))/(0.5*(Inputs!$C$49+Inputs!$C$50))+Inputs!$C$47*0.097)))+0.30*(2*((SIN(((Model_Data!A220)*12.9898+(0)*78.233+Inputs!$C$47*37.719))*43758.5453)-INT((SIN(((Model_Data!A220)*12.9898+(0)*78.233+Inputs!$C$47*37.719))*43758.5453)))-1))))/1000))*1000/Inputs!$C$12)-((SQRT((Model_Data!A220)^2+Inputs!$C$6^2+Inputs!$C$5^2)-Inputs!$C$5)*1000/Inputs!$C$12)))</x:f>
        <x:v>0.00747701815180335</x:v>
      </x:c>
      <x:c r="X220" s="48" t="n">
        <x:f>0</x:f>
        <x:v>0</x:v>
      </x:c>
      <x:c r="Y220" s="49"/>
      <x:c r="Z220" s="48" t="n">
        <x:f>Model_Data!A220</x:f>
        <x:v>49</x:v>
      </x:c>
      <x:c r="AA220" s="48" t="n">
        <x:f>SQRT((Model_Data!A220)^2+Inputs!$C$6^2+((Model_Data!B220)-((Inputs!$C$51*(115*EXP(-(((Inputs!$C$6)-25)^2)/(4.5^2))+70*EXP(-(((Inputs!$C$6)+38)^2)/(7^2))*(0.55+0.45*SIN(2*PI()*(Model_Data!A220)/45))+24*SIN(2*PI()*(Inputs!$C$6)/9+(Model_Data!A220)/18)*EXP(-(((Inputs!$C$6)+5)^2)/(22^2))+18*SIN(2*PI()*(Model_Data!A220)/70))+Inputs!$C$28*EXP(-(((Model_Data!A220)-Inputs!$C$29)^2)/(2*Inputs!$C$31^2))*EXP(-(((Inputs!$C$6)-Inputs!$C$30)^2)/(2*Inputs!$C$32^2))+-Inputs!$C$33*EXP(-(((((Model_Data!A220)-Inputs!$C$34)^2)+(((Inputs!$C$6)-Inputs!$C$35)^2))/(2*Inputs!$C$36^2)))+Inputs!$C$37*(0.55*SIN(2*PI()*(Model_Data!A220)/Inputs!$C$39)+0.35*COS(2*PI()*(Inputs!$C$6)/Inputs!$C$40)+0.2*SIN(2*PI()*((Model_Data!A220)+(Inputs!$C$6))/(0.5*(Inputs!$C$39+Inputs!$C$40))))+Inputs!$C$38*SIN(2*PI()*(Model_Data!A220)/Inputs!$C$39)*SIN(2*PI()*(Inputs!$C$6)/Inputs!$C$40)+-Inputs!$C$41*EXP(-(((Inputs!$C$6)-Inputs!$C$43)^2)/(2*Inputs!$C$44^2))*EXP(-(((Model_Data!A220)-Inputs!$C$42)^2)/(2*Inputs!$C$45^2))+Inputs!$C$48*(0.70*(0.45*SIN(2*PI()*(((Model_Data!A220)/Inputs!$C$49)+Inputs!$C$47*0.137))+0.35*COS(2*PI()*(((Inputs!$C$6)/Inputs!$C$50)+Inputs!$C$47*0.173))+0.20*SIN(2*PI()*(((Model_Data!A220)+(Inputs!$C$6))/(0.5*(Inputs!$C$49+Inputs!$C$50))+Inputs!$C$47*0.097)))+0.30*(2*((SIN(((Model_Data!A220)*12.9898+(Inputs!$C$6)*78.233+Inputs!$C$47*37.719))*43758.5453)-INT((SIN(((Model_Data!A220)*12.9898+(Inputs!$C$6)*78.233+Inputs!$C$47*37.719))*43758.5453)))-1))))/1000)^2)</x:f>
        <x:v>406.2993127771819</x:v>
      </x:c>
      <x:c r="AB220" s="48" t="n">
        <x:f>1000*(AA221-AA219)/(Z221-Z219)*Inputs!$C$11</x:f>
        <x:v>907.795120880337</x:v>
      </x:c>
      <x:c r="AC220" s="48" t="n">
        <x:f>-2*AB220/Inputs!$C$13</x:f>
        <x:v>-363.1180483521348</x:v>
      </x:c>
      <x:c r="AD220" s="48" t="n">
        <x:f>-2*AB220/Inputs!$C$14</x:f>
        <x:v>-54.52222948230253</x:v>
      </x:c>
    </x:row>
    <x:row r="221">
      <x:c r="A221" s="48" t="n">
        <x:f>Model_Data!A221</x:f>
        <x:v>49.5</x:v>
      </x:c>
      <x:c r="B221" s="48" t="n">
        <x:f>Model_Data!F221</x:f>
        <x:v>2134.9136872674544</x:v>
      </x:c>
      <x:c r="C221" s="48" t="n">
        <x:f>(((SQRT((Model_Data!A221)^2+Inputs!$C$6^2+((Model_Data!B221)-((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(0.45*SIN(2*PI()*(((Model_Data!A221)/Inputs!$C$49)+Inputs!$C$47*0.137))+0.35*COS(2*PI()*(((Inputs!$C$6)/Inputs!$C$50)+Inputs!$C$47*0.173))+0.20*SIN(2*PI()*(((Model_Data!A221)+(Inputs!$C$6))/(0.5*(Inputs!$C$49+Inputs!$C$50))+Inputs!$C$47*0.097)))+0.30*(2*((SIN(((Model_Data!A221)*12.9898+(Inputs!$C$6)*78.233+Inputs!$C$47*37.719))*43758.5453)-INT((SIN(((Model_Data!A221)*12.9898+(Inputs!$C$6)*78.233+Inputs!$C$47*37.719))*43758.5453)))-1))))/1000)^2))-(((Model_Data!B221)-((Inputs!$C$51*(115*EXP(-(((0)-25)^2)/(4.5^2))+70*EXP(-(((0)+38)^2)/(7^2))*(0.55+0.45*SIN(2*PI()*(Model_Data!A221)/45))+24*SIN(2*PI()*(0)/9+(Model_Data!A221)/18)*EXP(-(((0)+5)^2)/(22^2))+18*SIN(2*PI()*(Model_Data!A221)/70))+Inputs!$C$28*EXP(-(((Model_Data!A221)-Inputs!$C$29)^2)/(2*Inputs!$C$31^2))*EXP(-(((0)-Inputs!$C$30)^2)/(2*Inputs!$C$32^2))+-Inputs!$C$33*EXP(-(((((Model_Data!A221)-Inputs!$C$34)^2)+(((0)-Inputs!$C$35)^2))/(2*Inputs!$C$36^2)))+Inputs!$C$37*(0.55*SIN(2*PI()*(Model_Data!A221)/Inputs!$C$39)+0.35*COS(2*PI()*(0)/Inputs!$C$40)+0.2*SIN(2*PI()*((Model_Data!A221)+(0))/(0.5*(Inputs!$C$39+Inputs!$C$40))))+Inputs!$C$38*SIN(2*PI()*(Model_Data!A221)/Inputs!$C$39)*SIN(2*PI()*(0)/Inputs!$C$40)+-Inputs!$C$41*EXP(-(((0)-Inputs!$C$43)^2)/(2*Inputs!$C$44^2))*EXP(-(((Model_Data!A221)-Inputs!$C$42)^2)/(2*Inputs!$C$45^2))+Inputs!$C$48*(0.70*(0.45*SIN(2*PI()*(((Model_Data!A221)/Inputs!$C$49)+Inputs!$C$47*0.137))+0.35*COS(2*PI()*(((0)/Inputs!$C$50)+Inputs!$C$47*0.173))+0.20*SIN(2*PI()*(((Model_Data!A221)+(0))/(0.5*(Inputs!$C$49+Inputs!$C$50))+Inputs!$C$47*0.097)))+0.30*(2*((SIN(((Model_Data!A221)*12.9898+(0)*78.233+Inputs!$C$47*37.719))*43758.5453)-INT((SIN(((Model_Data!A221)*12.9898+(0)*78.233+Inputs!$C$47*37.719))*43758.5453)))-1))))/1000)))*1000/Inputs!$C$12)</x:f>
        <x:v>2069.1801491607152</x:v>
      </x:c>
      <x:c r="D221" s="49"/>
      <x:c r="E221" s="48" t="n">
        <x:f>Model_Data!A221</x:f>
        <x:v>49.5</x:v>
      </x:c>
      <x:c r="F221" s="48" t="n">
        <x:f>(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(0.45*SIN(2*PI()*(((Model_Data!A221)/Inputs!$C$49)+Inputs!$C$47*0.137))+0.35*COS(2*PI()*(((Inputs!$C$6)/Inputs!$C$50)+Inputs!$C$47*0.173))+0.20*SIN(2*PI()*(((Model_Data!A221)+(Inputs!$C$6))/(0.5*(Inputs!$C$49+Inputs!$C$50))+Inputs!$C$47*0.097)))+0.30*(2*((SIN(((Model_Data!A221)*12.9898+(Inputs!$C$6)*78.233+Inputs!$C$47*37.719))*43758.5453)-INT((SIN(((Model_Data!A221)*12.9898+(Inputs!$C$6)*78.233+Inputs!$C$47*37.719))*43758.5453)))-1)))</x:f>
        <x:v>115.81874031490976</x:v>
      </x:c>
      <x:c r="G221" s="48" t="n">
        <x:f>(Inputs!$C$51*(115*EXP(-(((0)-25)^2)/(4.5^2))+70*EXP(-(((0)+38)^2)/(7^2))*(0.55+0.45*SIN(2*PI()*(Model_Data!A221)/45))+24*SIN(2*PI()*(0)/9+(Model_Data!A221)/18)*EXP(-(((0)+5)^2)/(22^2))+18*SIN(2*PI()*(Model_Data!A221)/70))+Inputs!$C$28*EXP(-(((Model_Data!A221)-Inputs!$C$29)^2)/(2*Inputs!$C$31^2))*EXP(-(((0)-Inputs!$C$30)^2)/(2*Inputs!$C$32^2))+-Inputs!$C$33*EXP(-(((((Model_Data!A221)-Inputs!$C$34)^2)+(((0)-Inputs!$C$35)^2))/(2*Inputs!$C$36^2)))+Inputs!$C$37*(0.55*SIN(2*PI()*(Model_Data!A221)/Inputs!$C$39)+0.35*COS(2*PI()*(0)/Inputs!$C$40)+0.2*SIN(2*PI()*((Model_Data!A221)+(0))/(0.5*(Inputs!$C$39+Inputs!$C$40))))+Inputs!$C$38*SIN(2*PI()*(Model_Data!A221)/Inputs!$C$39)*SIN(2*PI()*(0)/Inputs!$C$40)+-Inputs!$C$41*EXP(-(((0)-Inputs!$C$43)^2)/(2*Inputs!$C$44^2))*EXP(-(((Model_Data!A221)-Inputs!$C$42)^2)/(2*Inputs!$C$45^2))+Inputs!$C$48*(0.70*(0.45*SIN(2*PI()*(((Model_Data!A221)/Inputs!$C$49)+Inputs!$C$47*0.137))+0.35*COS(2*PI()*(((0)/Inputs!$C$50)+Inputs!$C$47*0.173))+0.20*SIN(2*PI()*(((Model_Data!A221)+(0))/(0.5*(Inputs!$C$49+Inputs!$C$50))+Inputs!$C$47*0.097)))+0.30*(2*((SIN(((Model_Data!A221)*12.9898+(0)*78.233+Inputs!$C$47*37.719))*43758.5453)-INT((SIN(((Model_Data!A221)*12.9898+(0)*78.233+Inputs!$C$47*37.719))*43758.5453)))-1)))</x:f>
        <x:v>-2.2699304094542576</x:v>
      </x:c>
      <x:c r="H221" s="49"/>
      <x:c r="I221" s="48" t="n">
        <x:f>Model_Data!A221</x:f>
        <x:v>49.5</x:v>
      </x:c>
      <x:c r="J221" s="48" t="n">
        <x:f>((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(0.45*SIN(2*PI()*(((Model_Data!A221)/Inputs!$C$49)+Inputs!$C$47*0.137))+0.35*COS(2*PI()*(((Inputs!$C$6)/Inputs!$C$50)+Inputs!$C$47*0.173))+0.20*SIN(2*PI()*(((Model_Data!A221)+(Inputs!$C$6))/(0.5*(Inputs!$C$49+Inputs!$C$50))+Inputs!$C$47*0.097)))+0.30*(2*((SIN(((Model_Data!A221)*12.9898+(Inputs!$C$6)*78.233+Inputs!$C$47*37.719))*43758.5453)-INT((SIN(((Model_Data!A221)*12.9898+(Inputs!$C$6)*78.233+Inputs!$C$47*37.719))*43758.5453)))-1))))-((Inputs!$C$51*(115*EXP(-(((0)-25)^2)/(4.5^2))+70*EXP(-(((0)+38)^2)/(7^2))*(0.55+0.45*SIN(2*PI()*(Model_Data!A221)/45))+24*SIN(2*PI()*(0)/9+(Model_Data!A221)/18)*EXP(-(((0)+5)^2)/(22^2))+18*SIN(2*PI()*(Model_Data!A221)/70))+Inputs!$C$28*EXP(-(((Model_Data!A221)-Inputs!$C$29)^2)/(2*Inputs!$C$31^2))*EXP(-(((0)-Inputs!$C$30)^2)/(2*Inputs!$C$32^2))+-Inputs!$C$33*EXP(-(((((Model_Data!A221)-Inputs!$C$34)^2)+(((0)-Inputs!$C$35)^2))/(2*Inputs!$C$36^2)))+Inputs!$C$37*(0.55*SIN(2*PI()*(Model_Data!A221)/Inputs!$C$39)+0.35*COS(2*PI()*(0)/Inputs!$C$40)+0.2*SIN(2*PI()*((Model_Data!A221)+(0))/(0.5*(Inputs!$C$39+Inputs!$C$40))))+Inputs!$C$38*SIN(2*PI()*(Model_Data!A221)/Inputs!$C$39)*SIN(2*PI()*(0)/Inputs!$C$40)+-Inputs!$C$41*EXP(-(((0)-Inputs!$C$43)^2)/(2*Inputs!$C$44^2))*EXP(-(((Model_Data!A221)-Inputs!$C$42)^2)/(2*Inputs!$C$45^2))+Inputs!$C$48*(0.70*(0.45*SIN(2*PI()*(((Model_Data!A221)/Inputs!$C$49)+Inputs!$C$47*0.137))+0.35*COS(2*PI()*(((0)/Inputs!$C$50)+Inputs!$C$47*0.173))+0.20*SIN(2*PI()*(((Model_Data!A221)+(0))/(0.5*(Inputs!$C$49+Inputs!$C$50))+Inputs!$C$47*0.097)))+0.30*(2*((SIN(((Model_Data!A221)*12.9898+(0)*78.233+Inputs!$C$47*37.719))*43758.5453)-INT((SIN(((Model_Data!A221)*12.9898+(0)*78.233+Inputs!$C$47*37.719))*43758.5453)))-1))))</x:f>
        <x:v>118.08867072436402</x:v>
      </x:c>
      <x:c r="K221" s="48" t="n">
        <x:f>-((((SQRT((Model_Data!A221)^2+Inputs!$C$6^2+((Model_Data!B221)-((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(0.45*SIN(2*PI()*(((Model_Data!A221)/Inputs!$C$49)+Inputs!$C$47*0.137))+0.35*COS(2*PI()*(((Inputs!$C$6)/Inputs!$C$50)+Inputs!$C$47*0.173))+0.20*SIN(2*PI()*(((Model_Data!A221)+(Inputs!$C$6))/(0.5*(Inputs!$C$49+Inputs!$C$50))+Inputs!$C$47*0.097)))+0.30*(2*((SIN(((Model_Data!A221)*12.9898+(Inputs!$C$6)*78.233+Inputs!$C$47*37.719))*43758.5453)-INT((SIN(((Model_Data!A221)*12.9898+(Inputs!$C$6)*78.233+Inputs!$C$47*37.719))*43758.5453)))-1))))/1000)^2))-(((Model_Data!B221)-((Inputs!$C$51*(115*EXP(-(((0)-25)^2)/(4.5^2))+70*EXP(-(((0)+38)^2)/(7^2))*(0.55+0.45*SIN(2*PI()*(Model_Data!A221)/45))+24*SIN(2*PI()*(0)/9+(Model_Data!A221)/18)*EXP(-(((0)+5)^2)/(22^2))+18*SIN(2*PI()*(Model_Data!A221)/70))+Inputs!$C$28*EXP(-(((Model_Data!A221)-Inputs!$C$29)^2)/(2*Inputs!$C$31^2))*EXP(-(((0)-Inputs!$C$30)^2)/(2*Inputs!$C$32^2))+-Inputs!$C$33*EXP(-(((((Model_Data!A221)-Inputs!$C$34)^2)+(((0)-Inputs!$C$35)^2))/(2*Inputs!$C$36^2)))+Inputs!$C$37*(0.55*SIN(2*PI()*(Model_Data!A221)/Inputs!$C$39)+0.35*COS(2*PI()*(0)/Inputs!$C$40)+0.2*SIN(2*PI()*((Model_Data!A221)+(0))/(0.5*(Inputs!$C$39+Inputs!$C$40))))+Inputs!$C$38*SIN(2*PI()*(Model_Data!A221)/Inputs!$C$39)*SIN(2*PI()*(0)/Inputs!$C$40)+-Inputs!$C$41*EXP(-(((0)-Inputs!$C$43)^2)/(2*Inputs!$C$44^2))*EXP(-(((Model_Data!A221)-Inputs!$C$42)^2)/(2*Inputs!$C$45^2))+Inputs!$C$48*(0.70*(0.45*SIN(2*PI()*(((Model_Data!A221)/Inputs!$C$49)+Inputs!$C$47*0.137))+0.35*COS(2*PI()*(((0)/Inputs!$C$50)+Inputs!$C$47*0.173))+0.20*SIN(2*PI()*(((Model_Data!A221)+(0))/(0.5*(Inputs!$C$49+Inputs!$C$50))+Inputs!$C$47*0.097)))+0.30*(2*((SIN(((Model_Data!A221)*12.9898+(0)*78.233+Inputs!$C$47*37.719))*43758.5453)-INT((SIN(((Model_Data!A221)*12.9898+(0)*78.233+Inputs!$C$47*37.719))*43758.5453)))-1))))/1000)))*1000/Inputs!$C$12)-Model_Data!F221)</x:f>
        <x:v>65.73353810673916</x:v>
      </x:c>
      <x:c r="L221" s="49"/>
      <x:c r="M221" s="48" t="n">
        <x:f>Model_Data!A221</x:f>
        <x:v>49.5</x:v>
      </x:c>
      <x:c r="N221" s="48" t="n">
        <x:f>Model_Data!P221</x:f>
        <x:v>-369.17785846022554</x:v>
      </x:c>
      <x:c r="O221" s="48" t="n">
        <x:f>AC221</x:f>
        <x:v>-360.20913810389175</x:v>
      </x:c>
      <x:c r="P221" s="48" t="n">
        <x:f>Model_Data!Q221</x:f>
        <x:v>-55.43211087991375</x:v>
      </x:c>
      <x:c r="Q221" s="48" t="n">
        <x:f>AD221</x:f>
        <x:v>-54.085456171755524</x:v>
      </x:c>
      <x:c r="R221" s="49"/>
      <x:c r="S221" s="48" t="n">
        <x:f>Model_Data!A221</x:f>
        <x:v>49.5</x:v>
      </x:c>
      <x:c r="T221" s="48" t="n">
        <x:f>Model_Data!B221-Inputs!$C$5</x:f>
        <x:v>2.722500000000025</x:v>
      </x:c>
      <x:c r="U221" s="49"/>
      <x:c r="V221" s="48" t="n">
        <x:f>Model_Data!A221</x:f>
        <x:v>49.5</x:v>
      </x:c>
      <x:c r="W221" s="48" t="n">
        <x:f>(-((((SQRT((Model_Data!A221)^2+Inputs!$C$6^2+((Model_Data!B221)-((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(0.45*SIN(2*PI()*(((Model_Data!A221)/Inputs!$C$49)+Inputs!$C$47*0.137))+0.35*COS(2*PI()*(((Inputs!$C$6)/Inputs!$C$50)+Inputs!$C$47*0.173))+0.20*SIN(2*PI()*(((Model_Data!A221)+(Inputs!$C$6))/(0.5*(Inputs!$C$49+Inputs!$C$50))+Inputs!$C$47*0.097)))+0.30*(2*((SIN(((Model_Data!A221)*12.9898+(Inputs!$C$6)*78.233+Inputs!$C$47*37.719))*43758.5453)-INT((SIN(((Model_Data!A221)*12.9898+(Inputs!$C$6)*78.233+Inputs!$C$47*37.719))*43758.5453)))-1))))/1000)^2))-(((Model_Data!B221)-((Inputs!$C$51*(115*EXP(-(((0)-25)^2)/(4.5^2))+70*EXP(-(((0)+38)^2)/(7^2))*(0.55+0.45*SIN(2*PI()*(Model_Data!A221)/45))+24*SIN(2*PI()*(0)/9+(Model_Data!A221)/18)*EXP(-(((0)+5)^2)/(22^2))+18*SIN(2*PI()*(Model_Data!A221)/70))+Inputs!$C$28*EXP(-(((Model_Data!A221)-Inputs!$C$29)^2)/(2*Inputs!$C$31^2))*EXP(-(((0)-Inputs!$C$30)^2)/(2*Inputs!$C$32^2))+-Inputs!$C$33*EXP(-(((((Model_Data!A221)-Inputs!$C$34)^2)+(((0)-Inputs!$C$35)^2))/(2*Inputs!$C$36^2)))+Inputs!$C$37*(0.55*SIN(2*PI()*(Model_Data!A221)/Inputs!$C$39)+0.35*COS(2*PI()*(0)/Inputs!$C$40)+0.2*SIN(2*PI()*((Model_Data!A221)+(0))/(0.5*(Inputs!$C$39+Inputs!$C$40))))+Inputs!$C$38*SIN(2*PI()*(Model_Data!A221)/Inputs!$C$39)*SIN(2*PI()*(0)/Inputs!$C$40)+-Inputs!$C$41*EXP(-(((0)-Inputs!$C$43)^2)/(2*Inputs!$C$44^2))*EXP(-(((Model_Data!A221)-Inputs!$C$42)^2)/(2*Inputs!$C$45^2))+Inputs!$C$48*(0.70*(0.45*SIN(2*PI()*(((Model_Data!A221)/Inputs!$C$49)+Inputs!$C$47*0.137))+0.35*COS(2*PI()*(((0)/Inputs!$C$50)+Inputs!$C$47*0.173))+0.20*SIN(2*PI()*(((Model_Data!A221)+(0))/(0.5*(Inputs!$C$49+Inputs!$C$50))+Inputs!$C$47*0.097)))+0.30*(2*((SIN(((Model_Data!A221)*12.9898+(0)*78.233+Inputs!$C$47*37.719))*43758.5453)-INT((SIN(((Model_Data!A221)*12.9898+(0)*78.233+Inputs!$C$47*37.719))*43758.5453)))-1))))/1000)))*1000/Inputs!$C$12)-Model_Data!F221))-(-(((SQRT((Model_Data!A221)^2+Inputs!$C$6^2+(Inputs!$C$5-((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(0.45*SIN(2*PI()*(((Model_Data!A221)/Inputs!$C$49)+Inputs!$C$47*0.137))+0.35*COS(2*PI()*(((Inputs!$C$6)/Inputs!$C$50)+Inputs!$C$47*0.173))+0.20*SIN(2*PI()*(((Model_Data!A221)+(Inputs!$C$6))/(0.5*(Inputs!$C$49+Inputs!$C$50))+Inputs!$C$47*0.097)))+0.30*(2*((SIN(((Model_Data!A221)*12.9898+(Inputs!$C$6)*78.233+Inputs!$C$47*37.719))*43758.5453)-INT((SIN(((Model_Data!A221)*12.9898+(Inputs!$C$6)*78.233+Inputs!$C$47*37.719))*43758.5453)))-1))))/1000)^2)-(Inputs!$C$5-((Inputs!$C$51*(115*EXP(-(((0)-25)^2)/(4.5^2))+70*EXP(-(((0)+38)^2)/(7^2))*(0.55+0.45*SIN(2*PI()*(Model_Data!A221)/45))+24*SIN(2*PI()*(0)/9+(Model_Data!A221)/18)*EXP(-(((0)+5)^2)/(22^2))+18*SIN(2*PI()*(Model_Data!A221)/70))+Inputs!$C$28*EXP(-(((Model_Data!A221)-Inputs!$C$29)^2)/(2*Inputs!$C$31^2))*EXP(-(((0)-Inputs!$C$30)^2)/(2*Inputs!$C$32^2))+-Inputs!$C$33*EXP(-(((((Model_Data!A221)-Inputs!$C$34)^2)+(((0)-Inputs!$C$35)^2))/(2*Inputs!$C$36^2)))+Inputs!$C$37*(0.55*SIN(2*PI()*(Model_Data!A221)/Inputs!$C$39)+0.35*COS(2*PI()*(0)/Inputs!$C$40)+0.2*SIN(2*PI()*((Model_Data!A221)+(0))/(0.5*(Inputs!$C$39+Inputs!$C$40))))+Inputs!$C$38*SIN(2*PI()*(Model_Data!A221)/Inputs!$C$39)*SIN(2*PI()*(0)/Inputs!$C$40)+-Inputs!$C$41*EXP(-(((0)-Inputs!$C$43)^2)/(2*Inputs!$C$44^2))*EXP(-(((Model_Data!A221)-Inputs!$C$42)^2)/(2*Inputs!$C$45^2))+Inputs!$C$48*(0.70*(0.45*SIN(2*PI()*(((Model_Data!A221)/Inputs!$C$49)+Inputs!$C$47*0.137))+0.35*COS(2*PI()*(((0)/Inputs!$C$50)+Inputs!$C$47*0.173))+0.20*SIN(2*PI()*(((Model_Data!A221)+(0))/(0.5*(Inputs!$C$49+Inputs!$C$50))+Inputs!$C$47*0.097)))+0.30*(2*((SIN(((Model_Data!A221)*12.9898+(0)*78.233+Inputs!$C$47*37.719))*43758.5453)-INT((SIN(((Model_Data!A221)*12.9898+(0)*78.233+Inputs!$C$47*37.719))*43758.5453)))-1))))/1000))*1000/Inputs!$C$12)-((SQRT((Model_Data!A221)^2+Inputs!$C$6^2+Inputs!$C$5^2)-Inputs!$C$5)*1000/Inputs!$C$12)))</x:f>
        <x:v>0.008193623174520326</x:v>
      </x:c>
      <x:c r="X221" s="48" t="n">
        <x:f>0</x:f>
        <x:v>0</x:v>
      </x:c>
      <x:c r="Y221" s="49"/>
      <x:c r="Z221" s="48" t="n">
        <x:f>Model_Data!A221</x:f>
        <x:v>49.5</x:v>
      </x:c>
      <x:c r="AA221" s="48" t="n">
        <x:f>SQRT((Model_Data!A221)^2+Inputs!$C$6^2+((Model_Data!B221)-((Inputs!$C$51*(115*EXP(-(((Inputs!$C$6)-25)^2)/(4.5^2))+70*EXP(-(((Inputs!$C$6)+38)^2)/(7^2))*(0.55+0.45*SIN(2*PI()*(Model_Data!A221)/45))+24*SIN(2*PI()*(Inputs!$C$6)/9+(Model_Data!A221)/18)*EXP(-(((Inputs!$C$6)+5)^2)/(22^2))+18*SIN(2*PI()*(Model_Data!A221)/70))+Inputs!$C$28*EXP(-(((Model_Data!A221)-Inputs!$C$29)^2)/(2*Inputs!$C$31^2))*EXP(-(((Inputs!$C$6)-Inputs!$C$30)^2)/(2*Inputs!$C$32^2))+-Inputs!$C$33*EXP(-(((((Model_Data!A221)-Inputs!$C$34)^2)+(((Inputs!$C$6)-Inputs!$C$35)^2))/(2*Inputs!$C$36^2)))+Inputs!$C$37*(0.55*SIN(2*PI()*(Model_Data!A221)/Inputs!$C$39)+0.35*COS(2*PI()*(Inputs!$C$6)/Inputs!$C$40)+0.2*SIN(2*PI()*((Model_Data!A221)+(Inputs!$C$6))/(0.5*(Inputs!$C$39+Inputs!$C$40))))+Inputs!$C$38*SIN(2*PI()*(Model_Data!A221)/Inputs!$C$39)*SIN(2*PI()*(Inputs!$C$6)/Inputs!$C$40)+-Inputs!$C$41*EXP(-(((Inputs!$C$6)-Inputs!$C$43)^2)/(2*Inputs!$C$44^2))*EXP(-(((Model_Data!A221)-Inputs!$C$42)^2)/(2*Inputs!$C$45^2))+Inputs!$C$48*(0.70*(0.45*SIN(2*PI()*(((Model_Data!A221)/Inputs!$C$49)+Inputs!$C$47*0.137))+0.35*COS(2*PI()*(((Inputs!$C$6)/Inputs!$C$50)+Inputs!$C$47*0.173))+0.20*SIN(2*PI()*(((Model_Data!A221)+(Inputs!$C$6))/(0.5*(Inputs!$C$49+Inputs!$C$50))+Inputs!$C$47*0.097)))+0.30*(2*((SIN(((Model_Data!A221)*12.9898+(Inputs!$C$6)*78.233+Inputs!$C$47*37.719))*43758.5453)-INT((SIN(((Model_Data!A221)*12.9898+(Inputs!$C$6)*78.233+Inputs!$C$47*37.719))*43758.5453)))-1))))/1000)^2)</x:f>
        <x:v>406.40791059591555</x:v>
      </x:c>
      <x:c r="AB221" s="48" t="n">
        <x:f>1000*(AA222-AA220)/(Z222-Z220)*Inputs!$C$11</x:f>
        <x:v>900.5228452597294</x:v>
      </x:c>
      <x:c r="AC221" s="48" t="n">
        <x:f>-2*AB221/Inputs!$C$13</x:f>
        <x:v>-360.20913810389175</x:v>
      </x:c>
      <x:c r="AD221" s="48" t="n">
        <x:f>-2*AB221/Inputs!$C$14</x:f>
        <x:v>-54.085456171755524</x:v>
      </x:c>
    </x:row>
    <x:row r="222">
      <x:c r="A222" s="48" t="n">
        <x:f>Model_Data!A222</x:f>
        <x:v>50</x:v>
      </x:c>
      <x:c r="B222" s="48" t="n">
        <x:f>Model_Data!F222</x:f>
        <x:v>2168.9924490050507</x:v>
      </x:c>
      <x:c r="C222" s="48" t="n">
        <x:f>(((SQRT((Model_Data!A222)^2+Inputs!$C$6^2+((Model_Data!B222)-((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(0.45*SIN(2*PI()*(((Model_Data!A222)/Inputs!$C$49)+Inputs!$C$47*0.137))+0.35*COS(2*PI()*(((Inputs!$C$6)/Inputs!$C$50)+Inputs!$C$47*0.173))+0.20*SIN(2*PI()*(((Model_Data!A222)+(Inputs!$C$6))/(0.5*(Inputs!$C$49+Inputs!$C$50))+Inputs!$C$47*0.097)))+0.30*(2*((SIN(((Model_Data!A222)*12.9898+(Inputs!$C$6)*78.233+Inputs!$C$47*37.719))*43758.5453)-INT((SIN(((Model_Data!A222)*12.9898+(Inputs!$C$6)*78.233+Inputs!$C$47*37.719))*43758.5453)))-1))))/1000)^2))-(((Model_Data!B222)-((Inputs!$C$51*(115*EXP(-(((0)-25)^2)/(4.5^2))+70*EXP(-(((0)+38)^2)/(7^2))*(0.55+0.45*SIN(2*PI()*(Model_Data!A222)/45))+24*SIN(2*PI()*(0)/9+(Model_Data!A222)/18)*EXP(-(((0)+5)^2)/(22^2))+18*SIN(2*PI()*(Model_Data!A222)/70))+Inputs!$C$28*EXP(-(((Model_Data!A222)-Inputs!$C$29)^2)/(2*Inputs!$C$31^2))*EXP(-(((0)-Inputs!$C$30)^2)/(2*Inputs!$C$32^2))+-Inputs!$C$33*EXP(-(((((Model_Data!A222)-Inputs!$C$34)^2)+(((0)-Inputs!$C$35)^2))/(2*Inputs!$C$36^2)))+Inputs!$C$37*(0.55*SIN(2*PI()*(Model_Data!A222)/Inputs!$C$39)+0.35*COS(2*PI()*(0)/Inputs!$C$40)+0.2*SIN(2*PI()*((Model_Data!A222)+(0))/(0.5*(Inputs!$C$39+Inputs!$C$40))))+Inputs!$C$38*SIN(2*PI()*(Model_Data!A222)/Inputs!$C$39)*SIN(2*PI()*(0)/Inputs!$C$40)+-Inputs!$C$41*EXP(-(((0)-Inputs!$C$43)^2)/(2*Inputs!$C$44^2))*EXP(-(((Model_Data!A222)-Inputs!$C$42)^2)/(2*Inputs!$C$45^2))+Inputs!$C$48*(0.70*(0.45*SIN(2*PI()*(((Model_Data!A222)/Inputs!$C$49)+Inputs!$C$47*0.137))+0.35*COS(2*PI()*(((0)/Inputs!$C$50)+Inputs!$C$47*0.173))+0.20*SIN(2*PI()*(((Model_Data!A222)+(0))/(0.5*(Inputs!$C$49+Inputs!$C$50))+Inputs!$C$47*0.097)))+0.30*(2*((SIN(((Model_Data!A222)*12.9898+(0)*78.233+Inputs!$C$47*37.719))*43758.5453)-INT((SIN(((Model_Data!A222)*12.9898+(0)*78.233+Inputs!$C$47*37.719))*43758.5453)))-1))))/1000)))*1000/Inputs!$C$12)</x:f>
        <x:v>2109.459718593598</x:v>
      </x:c>
      <x:c r="D222" s="49"/>
      <x:c r="E222" s="48" t="n">
        <x:f>Model_Data!A222</x:f>
        <x:v>50</x:v>
      </x:c>
      <x:c r="F222" s="48" t="n">
        <x:f>(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(0.45*SIN(2*PI()*(((Model_Data!A222)/Inputs!$C$49)+Inputs!$C$47*0.137))+0.35*COS(2*PI()*(((Inputs!$C$6)/Inputs!$C$50)+Inputs!$C$47*0.173))+0.20*SIN(2*PI()*(((Model_Data!A222)+(Inputs!$C$6))/(0.5*(Inputs!$C$49+Inputs!$C$50))+Inputs!$C$47*0.097)))+0.30*(2*((SIN(((Model_Data!A222)*12.9898+(Inputs!$C$6)*78.233+Inputs!$C$47*37.719))*43758.5453)-INT((SIN(((Model_Data!A222)*12.9898+(Inputs!$C$6)*78.233+Inputs!$C$47*37.719))*43758.5453)))-1)))</x:f>
        <x:v>115.23525161719914</x:v>
      </x:c>
      <x:c r="G222" s="48" t="n">
        <x:f>(Inputs!$C$51*(115*EXP(-(((0)-25)^2)/(4.5^2))+70*EXP(-(((0)+38)^2)/(7^2))*(0.55+0.45*SIN(2*PI()*(Model_Data!A222)/45))+24*SIN(2*PI()*(0)/9+(Model_Data!A222)/18)*EXP(-(((0)+5)^2)/(22^2))+18*SIN(2*PI()*(Model_Data!A222)/70))+Inputs!$C$28*EXP(-(((Model_Data!A222)-Inputs!$C$29)^2)/(2*Inputs!$C$31^2))*EXP(-(((0)-Inputs!$C$30)^2)/(2*Inputs!$C$32^2))+-Inputs!$C$33*EXP(-(((((Model_Data!A222)-Inputs!$C$34)^2)+(((0)-Inputs!$C$35)^2))/(2*Inputs!$C$36^2)))+Inputs!$C$37*(0.55*SIN(2*PI()*(Model_Data!A222)/Inputs!$C$39)+0.35*COS(2*PI()*(0)/Inputs!$C$40)+0.2*SIN(2*PI()*((Model_Data!A222)+(0))/(0.5*(Inputs!$C$39+Inputs!$C$40))))+Inputs!$C$38*SIN(2*PI()*(Model_Data!A222)/Inputs!$C$39)*SIN(2*PI()*(0)/Inputs!$C$40)+-Inputs!$C$41*EXP(-(((0)-Inputs!$C$43)^2)/(2*Inputs!$C$44^2))*EXP(-(((Model_Data!A222)-Inputs!$C$42)^2)/(2*Inputs!$C$45^2))+Inputs!$C$48*(0.70*(0.45*SIN(2*PI()*(((Model_Data!A222)/Inputs!$C$49)+Inputs!$C$47*0.137))+0.35*COS(2*PI()*(((0)/Inputs!$C$50)+Inputs!$C$47*0.173))+0.20*SIN(2*PI()*(((Model_Data!A222)+(0))/(0.5*(Inputs!$C$49+Inputs!$C$50))+Inputs!$C$47*0.097)))+0.30*(2*((SIN(((Model_Data!A222)*12.9898+(0)*78.233+Inputs!$C$47*37.719))*43758.5453)-INT((SIN(((Model_Data!A222)*12.9898+(0)*78.233+Inputs!$C$47*37.719))*43758.5453)))-1)))</x:f>
        <x:v>8.17258837755962</x:v>
      </x:c>
      <x:c r="H222" s="49"/>
      <x:c r="I222" s="48" t="n">
        <x:f>Model_Data!A222</x:f>
        <x:v>50</x:v>
      </x:c>
      <x:c r="J222" s="48" t="n">
        <x:f>((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(0.45*SIN(2*PI()*(((Model_Data!A222)/Inputs!$C$49)+Inputs!$C$47*0.137))+0.35*COS(2*PI()*(((Inputs!$C$6)/Inputs!$C$50)+Inputs!$C$47*0.173))+0.20*SIN(2*PI()*(((Model_Data!A222)+(Inputs!$C$6))/(0.5*(Inputs!$C$49+Inputs!$C$50))+Inputs!$C$47*0.097)))+0.30*(2*((SIN(((Model_Data!A222)*12.9898+(Inputs!$C$6)*78.233+Inputs!$C$47*37.719))*43758.5453)-INT((SIN(((Model_Data!A222)*12.9898+(Inputs!$C$6)*78.233+Inputs!$C$47*37.719))*43758.5453)))-1))))-((Inputs!$C$51*(115*EXP(-(((0)-25)^2)/(4.5^2))+70*EXP(-(((0)+38)^2)/(7^2))*(0.55+0.45*SIN(2*PI()*(Model_Data!A222)/45))+24*SIN(2*PI()*(0)/9+(Model_Data!A222)/18)*EXP(-(((0)+5)^2)/(22^2))+18*SIN(2*PI()*(Model_Data!A222)/70))+Inputs!$C$28*EXP(-(((Model_Data!A222)-Inputs!$C$29)^2)/(2*Inputs!$C$31^2))*EXP(-(((0)-Inputs!$C$30)^2)/(2*Inputs!$C$32^2))+-Inputs!$C$33*EXP(-(((((Model_Data!A222)-Inputs!$C$34)^2)+(((0)-Inputs!$C$35)^2))/(2*Inputs!$C$36^2)))+Inputs!$C$37*(0.55*SIN(2*PI()*(Model_Data!A222)/Inputs!$C$39)+0.35*COS(2*PI()*(0)/Inputs!$C$40)+0.2*SIN(2*PI()*((Model_Data!A222)+(0))/(0.5*(Inputs!$C$39+Inputs!$C$40))))+Inputs!$C$38*SIN(2*PI()*(Model_Data!A222)/Inputs!$C$39)*SIN(2*PI()*(0)/Inputs!$C$40)+-Inputs!$C$41*EXP(-(((0)-Inputs!$C$43)^2)/(2*Inputs!$C$44^2))*EXP(-(((Model_Data!A222)-Inputs!$C$42)^2)/(2*Inputs!$C$45^2))+Inputs!$C$48*(0.70*(0.45*SIN(2*PI()*(((Model_Data!A222)/Inputs!$C$49)+Inputs!$C$47*0.137))+0.35*COS(2*PI()*(((0)/Inputs!$C$50)+Inputs!$C$47*0.173))+0.20*SIN(2*PI()*(((Model_Data!A222)+(0))/(0.5*(Inputs!$C$49+Inputs!$C$50))+Inputs!$C$47*0.097)))+0.30*(2*((SIN(((Model_Data!A222)*12.9898+(0)*78.233+Inputs!$C$47*37.719))*43758.5453)-INT((SIN(((Model_Data!A222)*12.9898+(0)*78.233+Inputs!$C$47*37.719))*43758.5453)))-1))))</x:f>
        <x:v>107.06266323963952</x:v>
      </x:c>
      <x:c r="K222" s="48" t="n">
        <x:f>-((((SQRT((Model_Data!A222)^2+Inputs!$C$6^2+((Model_Data!B222)-((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(0.45*SIN(2*PI()*(((Model_Data!A222)/Inputs!$C$49)+Inputs!$C$47*0.137))+0.35*COS(2*PI()*(((Inputs!$C$6)/Inputs!$C$50)+Inputs!$C$47*0.173))+0.20*SIN(2*PI()*(((Model_Data!A222)+(Inputs!$C$6))/(0.5*(Inputs!$C$49+Inputs!$C$50))+Inputs!$C$47*0.097)))+0.30*(2*((SIN(((Model_Data!A222)*12.9898+(Inputs!$C$6)*78.233+Inputs!$C$47*37.719))*43758.5453)-INT((SIN(((Model_Data!A222)*12.9898+(Inputs!$C$6)*78.233+Inputs!$C$47*37.719))*43758.5453)))-1))))/1000)^2))-(((Model_Data!B222)-((Inputs!$C$51*(115*EXP(-(((0)-25)^2)/(4.5^2))+70*EXP(-(((0)+38)^2)/(7^2))*(0.55+0.45*SIN(2*PI()*(Model_Data!A222)/45))+24*SIN(2*PI()*(0)/9+(Model_Data!A222)/18)*EXP(-(((0)+5)^2)/(22^2))+18*SIN(2*PI()*(Model_Data!A222)/70))+Inputs!$C$28*EXP(-(((Model_Data!A222)-Inputs!$C$29)^2)/(2*Inputs!$C$31^2))*EXP(-(((0)-Inputs!$C$30)^2)/(2*Inputs!$C$32^2))+-Inputs!$C$33*EXP(-(((((Model_Data!A222)-Inputs!$C$34)^2)+(((0)-Inputs!$C$35)^2))/(2*Inputs!$C$36^2)))+Inputs!$C$37*(0.55*SIN(2*PI()*(Model_Data!A222)/Inputs!$C$39)+0.35*COS(2*PI()*(0)/Inputs!$C$40)+0.2*SIN(2*PI()*((Model_Data!A222)+(0))/(0.5*(Inputs!$C$39+Inputs!$C$40))))+Inputs!$C$38*SIN(2*PI()*(Model_Data!A222)/Inputs!$C$39)*SIN(2*PI()*(0)/Inputs!$C$40)+-Inputs!$C$41*EXP(-(((0)-Inputs!$C$43)^2)/(2*Inputs!$C$44^2))*EXP(-(((Model_Data!A222)-Inputs!$C$42)^2)/(2*Inputs!$C$45^2))+Inputs!$C$48*(0.70*(0.45*SIN(2*PI()*(((Model_Data!A222)/Inputs!$C$49)+Inputs!$C$47*0.137))+0.35*COS(2*PI()*(((0)/Inputs!$C$50)+Inputs!$C$47*0.173))+0.20*SIN(2*PI()*(((Model_Data!A222)+(0))/(0.5*(Inputs!$C$49+Inputs!$C$50))+Inputs!$C$47*0.097)))+0.30*(2*((SIN(((Model_Data!A222)*12.9898+(0)*78.233+Inputs!$C$47*37.719))*43758.5453)-INT((SIN(((Model_Data!A222)*12.9898+(0)*78.233+Inputs!$C$47*37.719))*43758.5453)))-1))))/1000)))*1000/Inputs!$C$12)-Model_Data!F222)</x:f>
        <x:v>59.532730411452576</x:v>
      </x:c>
      <x:c r="L222" s="49"/>
      <x:c r="M222" s="48" t="n">
        <x:f>Model_Data!A222</x:f>
        <x:v>50</x:v>
      </x:c>
      <x:c r="N222" s="48" t="n">
        <x:f>Model_Data!P222</x:f>
        <x:v>-372.8247739175692</x:v>
      </x:c>
      <x:c r="O222" s="48" t="n">
        <x:f>AC222</x:f>
        <x:v>-339.33776236035555</x:v>
      </x:c>
      <x:c r="P222" s="48" t="n">
        <x:f>Model_Data!Q222</x:f>
        <x:v>-55.979695783418805</x:v>
      </x:c>
      <x:c r="Q222" s="48" t="n">
        <x:f>AD222</x:f>
        <x:v>-50.95161597002336</x:v>
      </x:c>
      <x:c r="R222" s="49"/>
      <x:c r="S222" s="48" t="n">
        <x:f>Model_Data!A222</x:f>
        <x:v>50</x:v>
      </x:c>
      <x:c r="T222" s="48" t="n">
        <x:f>Model_Data!B222-Inputs!$C$5</x:f>
        <x:v>2.7777777777777715</x:v>
      </x:c>
      <x:c r="U222" s="49"/>
      <x:c r="V222" s="48" t="n">
        <x:f>Model_Data!A222</x:f>
        <x:v>50</x:v>
      </x:c>
      <x:c r="W222" s="48" t="n">
        <x:f>(-((((SQRT((Model_Data!A222)^2+Inputs!$C$6^2+((Model_Data!B222)-((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(0.45*SIN(2*PI()*(((Model_Data!A222)/Inputs!$C$49)+Inputs!$C$47*0.137))+0.35*COS(2*PI()*(((Inputs!$C$6)/Inputs!$C$50)+Inputs!$C$47*0.173))+0.20*SIN(2*PI()*(((Model_Data!A222)+(Inputs!$C$6))/(0.5*(Inputs!$C$49+Inputs!$C$50))+Inputs!$C$47*0.097)))+0.30*(2*((SIN(((Model_Data!A222)*12.9898+(Inputs!$C$6)*78.233+Inputs!$C$47*37.719))*43758.5453)-INT((SIN(((Model_Data!A222)*12.9898+(Inputs!$C$6)*78.233+Inputs!$C$47*37.719))*43758.5453)))-1))))/1000)^2))-(((Model_Data!B222)-((Inputs!$C$51*(115*EXP(-(((0)-25)^2)/(4.5^2))+70*EXP(-(((0)+38)^2)/(7^2))*(0.55+0.45*SIN(2*PI()*(Model_Data!A222)/45))+24*SIN(2*PI()*(0)/9+(Model_Data!A222)/18)*EXP(-(((0)+5)^2)/(22^2))+18*SIN(2*PI()*(Model_Data!A222)/70))+Inputs!$C$28*EXP(-(((Model_Data!A222)-Inputs!$C$29)^2)/(2*Inputs!$C$31^2))*EXP(-(((0)-Inputs!$C$30)^2)/(2*Inputs!$C$32^2))+-Inputs!$C$33*EXP(-(((((Model_Data!A222)-Inputs!$C$34)^2)+(((0)-Inputs!$C$35)^2))/(2*Inputs!$C$36^2)))+Inputs!$C$37*(0.55*SIN(2*PI()*(Model_Data!A222)/Inputs!$C$39)+0.35*COS(2*PI()*(0)/Inputs!$C$40)+0.2*SIN(2*PI()*((Model_Data!A222)+(0))/(0.5*(Inputs!$C$39+Inputs!$C$40))))+Inputs!$C$38*SIN(2*PI()*(Model_Data!A222)/Inputs!$C$39)*SIN(2*PI()*(0)/Inputs!$C$40)+-Inputs!$C$41*EXP(-(((0)-Inputs!$C$43)^2)/(2*Inputs!$C$44^2))*EXP(-(((Model_Data!A222)-Inputs!$C$42)^2)/(2*Inputs!$C$45^2))+Inputs!$C$48*(0.70*(0.45*SIN(2*PI()*(((Model_Data!A222)/Inputs!$C$49)+Inputs!$C$47*0.137))+0.35*COS(2*PI()*(((0)/Inputs!$C$50)+Inputs!$C$47*0.173))+0.20*SIN(2*PI()*(((Model_Data!A222)+(0))/(0.5*(Inputs!$C$49+Inputs!$C$50))+Inputs!$C$47*0.097)))+0.30*(2*((SIN(((Model_Data!A222)*12.9898+(0)*78.233+Inputs!$C$47*37.719))*43758.5453)-INT((SIN(((Model_Data!A222)*12.9898+(0)*78.233+Inputs!$C$47*37.719))*43758.5453)))-1))))/1000)))*1000/Inputs!$C$12)-Model_Data!F222))-(-(((SQRT((Model_Data!A222)^2+Inputs!$C$6^2+(Inputs!$C$5-((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(0.45*SIN(2*PI()*(((Model_Data!A222)/Inputs!$C$49)+Inputs!$C$47*0.137))+0.35*COS(2*PI()*(((Inputs!$C$6)/Inputs!$C$50)+Inputs!$C$47*0.173))+0.20*SIN(2*PI()*(((Model_Data!A222)+(Inputs!$C$6))/(0.5*(Inputs!$C$49+Inputs!$C$50))+Inputs!$C$47*0.097)))+0.30*(2*((SIN(((Model_Data!A222)*12.9898+(Inputs!$C$6)*78.233+Inputs!$C$47*37.719))*43758.5453)-INT((SIN(((Model_Data!A222)*12.9898+(Inputs!$C$6)*78.233+Inputs!$C$47*37.719))*43758.5453)))-1))))/1000)^2)-(Inputs!$C$5-((Inputs!$C$51*(115*EXP(-(((0)-25)^2)/(4.5^2))+70*EXP(-(((0)+38)^2)/(7^2))*(0.55+0.45*SIN(2*PI()*(Model_Data!A222)/45))+24*SIN(2*PI()*(0)/9+(Model_Data!A222)/18)*EXP(-(((0)+5)^2)/(22^2))+18*SIN(2*PI()*(Model_Data!A222)/70))+Inputs!$C$28*EXP(-(((Model_Data!A222)-Inputs!$C$29)^2)/(2*Inputs!$C$31^2))*EXP(-(((0)-Inputs!$C$30)^2)/(2*Inputs!$C$32^2))+-Inputs!$C$33*EXP(-(((((Model_Data!A222)-Inputs!$C$34)^2)+(((0)-Inputs!$C$35)^2))/(2*Inputs!$C$36^2)))+Inputs!$C$37*(0.55*SIN(2*PI()*(Model_Data!A222)/Inputs!$C$39)+0.35*COS(2*PI()*(0)/Inputs!$C$40)+0.2*SIN(2*PI()*((Model_Data!A222)+(0))/(0.5*(Inputs!$C$39+Inputs!$C$40))))+Inputs!$C$38*SIN(2*PI()*(Model_Data!A222)/Inputs!$C$39)*SIN(2*PI()*(0)/Inputs!$C$40)+-Inputs!$C$41*EXP(-(((0)-Inputs!$C$43)^2)/(2*Inputs!$C$44^2))*EXP(-(((Model_Data!A222)-Inputs!$C$42)^2)/(2*Inputs!$C$45^2))+Inputs!$C$48*(0.70*(0.45*SIN(2*PI()*(((Model_Data!A222)/Inputs!$C$49)+Inputs!$C$47*0.137))+0.35*COS(2*PI()*(((0)/Inputs!$C$50)+Inputs!$C$47*0.173))+0.20*SIN(2*PI()*(((Model_Data!A222)+(0))/(0.5*(Inputs!$C$49+Inputs!$C$50))+Inputs!$C$47*0.097)))+0.30*(2*((SIN(((Model_Data!A222)*12.9898+(0)*78.233+Inputs!$C$47*37.719))*43758.5453)-INT((SIN(((Model_Data!A222)*12.9898+(0)*78.233+Inputs!$C$47*37.719))*43758.5453)))-1))))/1000))*1000/Inputs!$C$12)-((SQRT((Model_Data!A222)^2+Inputs!$C$6^2+Inputs!$C$5^2)-Inputs!$C$5)*1000/Inputs!$C$12)))</x:f>
        <x:v>0.008446867854217999</x:v>
      </x:c>
      <x:c r="X222" s="48" t="n">
        <x:f>0</x:f>
        <x:v>0</x:v>
      </x:c>
      <x:c r="Y222" s="49"/>
      <x:c r="Z222" s="48" t="n">
        <x:f>Model_Data!A222</x:f>
        <x:v>50</x:v>
      </x:c>
      <x:c r="AA222" s="48" t="n">
        <x:f>SQRT((Model_Data!A222)^2+Inputs!$C$6^2+((Model_Data!B222)-((Inputs!$C$51*(115*EXP(-(((Inputs!$C$6)-25)^2)/(4.5^2))+70*EXP(-(((Inputs!$C$6)+38)^2)/(7^2))*(0.55+0.45*SIN(2*PI()*(Model_Data!A222)/45))+24*SIN(2*PI()*(Inputs!$C$6)/9+(Model_Data!A222)/18)*EXP(-(((Inputs!$C$6)+5)^2)/(22^2))+18*SIN(2*PI()*(Model_Data!A222)/70))+Inputs!$C$28*EXP(-(((Model_Data!A222)-Inputs!$C$29)^2)/(2*Inputs!$C$31^2))*EXP(-(((Inputs!$C$6)-Inputs!$C$30)^2)/(2*Inputs!$C$32^2))+-Inputs!$C$33*EXP(-(((((Model_Data!A222)-Inputs!$C$34)^2)+(((Inputs!$C$6)-Inputs!$C$35)^2))/(2*Inputs!$C$36^2)))+Inputs!$C$37*(0.55*SIN(2*PI()*(Model_Data!A222)/Inputs!$C$39)+0.35*COS(2*PI()*(Inputs!$C$6)/Inputs!$C$40)+0.2*SIN(2*PI()*((Model_Data!A222)+(Inputs!$C$6))/(0.5*(Inputs!$C$39+Inputs!$C$40))))+Inputs!$C$38*SIN(2*PI()*(Model_Data!A222)/Inputs!$C$39)*SIN(2*PI()*(Inputs!$C$6)/Inputs!$C$40)+-Inputs!$C$41*EXP(-(((Inputs!$C$6)-Inputs!$C$43)^2)/(2*Inputs!$C$44^2))*EXP(-(((Model_Data!A222)-Inputs!$C$42)^2)/(2*Inputs!$C$45^2))+Inputs!$C$48*(0.70*(0.45*SIN(2*PI()*(((Model_Data!A222)/Inputs!$C$49)+Inputs!$C$47*0.137))+0.35*COS(2*PI()*(((Inputs!$C$6)/Inputs!$C$50)+Inputs!$C$47*0.173))+0.20*SIN(2*PI()*(((Model_Data!A222)+(Inputs!$C$6))/(0.5*(Inputs!$C$49+Inputs!$C$50))+Inputs!$C$47*0.097)))+0.30*(2*((SIN(((Model_Data!A222)*12.9898+(Inputs!$C$6)*78.233+Inputs!$C$47*37.719))*43758.5453)-INT((SIN(((Model_Data!A222)*12.9898+(Inputs!$C$6)*78.233+Inputs!$C$47*37.719))*43758.5453)))-1))))/1000)^2)</x:f>
        <x:v>406.52444348849684</x:v>
      </x:c>
      <x:c r="AB222" s="48" t="n">
        <x:f>1000*(AA223-AA221)/(Z223-Z221)*Inputs!$C$11</x:f>
        <x:v>848.3444059008889</x:v>
      </x:c>
      <x:c r="AC222" s="48" t="n">
        <x:f>-2*AB222/Inputs!$C$13</x:f>
        <x:v>-339.33776236035555</x:v>
      </x:c>
      <x:c r="AD222" s="48" t="n">
        <x:f>-2*AB222/Inputs!$C$14</x:f>
        <x:v>-50.95161597002336</x:v>
      </x:c>
    </x:row>
    <x:row r="223">
      <x:c r="A223" s="48" t="n">
        <x:f>Model_Data!A223</x:f>
        <x:v>50.5</x:v>
      </x:c>
      <x:c r="B223" s="48" t="n">
        <x:f>Model_Data!F223</x:f>
        <x:v>2203.39914910282</x:v>
      </x:c>
      <x:c r="C223" s="48" t="n">
        <x:f>(((SQRT((Model_Data!A223)^2+Inputs!$C$6^2+((Model_Data!B223)-((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(0.45*SIN(2*PI()*(((Model_Data!A223)/Inputs!$C$49)+Inputs!$C$47*0.137))+0.35*COS(2*PI()*(((Inputs!$C$6)/Inputs!$C$50)+Inputs!$C$47*0.173))+0.20*SIN(2*PI()*(((Model_Data!A223)+(Inputs!$C$6))/(0.5*(Inputs!$C$49+Inputs!$C$50))+Inputs!$C$47*0.097)))+0.30*(2*((SIN(((Model_Data!A223)*12.9898+(Inputs!$C$6)*78.233+Inputs!$C$47*37.719))*43758.5453)-INT((SIN(((Model_Data!A223)*12.9898+(Inputs!$C$6)*78.233+Inputs!$C$47*37.719))*43758.5453)))-1))))/1000)^2))-(((Model_Data!B223)-((Inputs!$C$51*(115*EXP(-(((0)-25)^2)/(4.5^2))+70*EXP(-(((0)+38)^2)/(7^2))*(0.55+0.45*SIN(2*PI()*(Model_Data!A223)/45))+24*SIN(2*PI()*(0)/9+(Model_Data!A223)/18)*EXP(-(((0)+5)^2)/(22^2))+18*SIN(2*PI()*(Model_Data!A223)/70))+Inputs!$C$28*EXP(-(((Model_Data!A223)-Inputs!$C$29)^2)/(2*Inputs!$C$31^2))*EXP(-(((0)-Inputs!$C$30)^2)/(2*Inputs!$C$32^2))+-Inputs!$C$33*EXP(-(((((Model_Data!A223)-Inputs!$C$34)^2)+(((0)-Inputs!$C$35)^2))/(2*Inputs!$C$36^2)))+Inputs!$C$37*(0.55*SIN(2*PI()*(Model_Data!A223)/Inputs!$C$39)+0.35*COS(2*PI()*(0)/Inputs!$C$40)+0.2*SIN(2*PI()*((Model_Data!A223)+(0))/(0.5*(Inputs!$C$39+Inputs!$C$40))))+Inputs!$C$38*SIN(2*PI()*(Model_Data!A223)/Inputs!$C$39)*SIN(2*PI()*(0)/Inputs!$C$40)+-Inputs!$C$41*EXP(-(((0)-Inputs!$C$43)^2)/(2*Inputs!$C$44^2))*EXP(-(((Model_Data!A223)-Inputs!$C$42)^2)/(2*Inputs!$C$45^2))+Inputs!$C$48*(0.70*(0.45*SIN(2*PI()*(((Model_Data!A223)/Inputs!$C$49)+Inputs!$C$47*0.137))+0.35*COS(2*PI()*(((0)/Inputs!$C$50)+Inputs!$C$47*0.173))+0.20*SIN(2*PI()*(((Model_Data!A223)+(0))/(0.5*(Inputs!$C$49+Inputs!$C$50))+Inputs!$C$47*0.097)))+0.30*(2*((SIN(((Model_Data!A223)*12.9898+(0)*78.233+Inputs!$C$47*37.719))*43758.5453)-INT((SIN(((Model_Data!A223)*12.9898+(0)*78.233+Inputs!$C$47*37.719))*43758.5453)))-1))))/1000)))*1000/Inputs!$C$12)</x:f>
        <x:v>2131.214043914194</x:v>
      </x:c>
      <x:c r="D223" s="49"/>
      <x:c r="E223" s="48" t="n">
        <x:f>Model_Data!A223</x:f>
        <x:v>50.5</x:v>
      </x:c>
      <x:c r="F223" s="48" t="n">
        <x:f>(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(0.45*SIN(2*PI()*(((Model_Data!A223)/Inputs!$C$49)+Inputs!$C$47*0.137))+0.35*COS(2*PI()*(((Inputs!$C$6)/Inputs!$C$50)+Inputs!$C$47*0.173))+0.20*SIN(2*PI()*(((Model_Data!A223)+(Inputs!$C$6))/(0.5*(Inputs!$C$49+Inputs!$C$50))+Inputs!$C$47*0.097)))+0.30*(2*((SIN(((Model_Data!A223)*12.9898+(Inputs!$C$6)*78.233+Inputs!$C$47*37.719))*43758.5453)-INT((SIN(((Model_Data!A223)*12.9898+(Inputs!$C$6)*78.233+Inputs!$C$47*37.719))*43758.5453)))-1)))</x:f>
        <x:v>136.98620076238512</x:v>
      </x:c>
      <x:c r="G223" s="48" t="n">
        <x:f>(Inputs!$C$51*(115*EXP(-(((0)-25)^2)/(4.5^2))+70*EXP(-(((0)+38)^2)/(7^2))*(0.55+0.45*SIN(2*PI()*(Model_Data!A223)/45))+24*SIN(2*PI()*(0)/9+(Model_Data!A223)/18)*EXP(-(((0)+5)^2)/(22^2))+18*SIN(2*PI()*(Model_Data!A223)/70))+Inputs!$C$28*EXP(-(((Model_Data!A223)-Inputs!$C$29)^2)/(2*Inputs!$C$31^2))*EXP(-(((0)-Inputs!$C$30)^2)/(2*Inputs!$C$32^2))+-Inputs!$C$33*EXP(-(((((Model_Data!A223)-Inputs!$C$34)^2)+(((0)-Inputs!$C$35)^2))/(2*Inputs!$C$36^2)))+Inputs!$C$37*(0.55*SIN(2*PI()*(Model_Data!A223)/Inputs!$C$39)+0.35*COS(2*PI()*(0)/Inputs!$C$40)+0.2*SIN(2*PI()*((Model_Data!A223)+(0))/(0.5*(Inputs!$C$39+Inputs!$C$40))))+Inputs!$C$38*SIN(2*PI()*(Model_Data!A223)/Inputs!$C$39)*SIN(2*PI()*(0)/Inputs!$C$40)+-Inputs!$C$41*EXP(-(((0)-Inputs!$C$43)^2)/(2*Inputs!$C$44^2))*EXP(-(((Model_Data!A223)-Inputs!$C$42)^2)/(2*Inputs!$C$45^2))+Inputs!$C$48*(0.70*(0.45*SIN(2*PI()*(((Model_Data!A223)/Inputs!$C$49)+Inputs!$C$47*0.137))+0.35*COS(2*PI()*(((0)/Inputs!$C$50)+Inputs!$C$47*0.173))+0.20*SIN(2*PI()*(((Model_Data!A223)+(0))/(0.5*(Inputs!$C$49+Inputs!$C$50))+Inputs!$C$47*0.097)))+0.30*(2*((SIN(((Model_Data!A223)*12.9898+(0)*78.233+Inputs!$C$47*37.719))*43758.5453)-INT((SIN(((Model_Data!A223)*12.9898+(0)*78.233+Inputs!$C$47*37.719))*43758.5453)))-1)))</x:f>
        <x:v>7.175411887622014</x:v>
      </x:c>
      <x:c r="H223" s="49"/>
      <x:c r="I223" s="48" t="n">
        <x:f>Model_Data!A223</x:f>
        <x:v>50.5</x:v>
      </x:c>
      <x:c r="J223" s="48" t="n">
        <x:f>((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(0.45*SIN(2*PI()*(((Model_Data!A223)/Inputs!$C$49)+Inputs!$C$47*0.137))+0.35*COS(2*PI()*(((Inputs!$C$6)/Inputs!$C$50)+Inputs!$C$47*0.173))+0.20*SIN(2*PI()*(((Model_Data!A223)+(Inputs!$C$6))/(0.5*(Inputs!$C$49+Inputs!$C$50))+Inputs!$C$47*0.097)))+0.30*(2*((SIN(((Model_Data!A223)*12.9898+(Inputs!$C$6)*78.233+Inputs!$C$47*37.719))*43758.5453)-INT((SIN(((Model_Data!A223)*12.9898+(Inputs!$C$6)*78.233+Inputs!$C$47*37.719))*43758.5453)))-1))))-((Inputs!$C$51*(115*EXP(-(((0)-25)^2)/(4.5^2))+70*EXP(-(((0)+38)^2)/(7^2))*(0.55+0.45*SIN(2*PI()*(Model_Data!A223)/45))+24*SIN(2*PI()*(0)/9+(Model_Data!A223)/18)*EXP(-(((0)+5)^2)/(22^2))+18*SIN(2*PI()*(Model_Data!A223)/70))+Inputs!$C$28*EXP(-(((Model_Data!A223)-Inputs!$C$29)^2)/(2*Inputs!$C$31^2))*EXP(-(((0)-Inputs!$C$30)^2)/(2*Inputs!$C$32^2))+-Inputs!$C$33*EXP(-(((((Model_Data!A223)-Inputs!$C$34)^2)+(((0)-Inputs!$C$35)^2))/(2*Inputs!$C$36^2)))+Inputs!$C$37*(0.55*SIN(2*PI()*(Model_Data!A223)/Inputs!$C$39)+0.35*COS(2*PI()*(0)/Inputs!$C$40)+0.2*SIN(2*PI()*((Model_Data!A223)+(0))/(0.5*(Inputs!$C$39+Inputs!$C$40))))+Inputs!$C$38*SIN(2*PI()*(Model_Data!A223)/Inputs!$C$39)*SIN(2*PI()*(0)/Inputs!$C$40)+-Inputs!$C$41*EXP(-(((0)-Inputs!$C$43)^2)/(2*Inputs!$C$44^2))*EXP(-(((Model_Data!A223)-Inputs!$C$42)^2)/(2*Inputs!$C$45^2))+Inputs!$C$48*(0.70*(0.45*SIN(2*PI()*(((Model_Data!A223)/Inputs!$C$49)+Inputs!$C$47*0.137))+0.35*COS(2*PI()*(((0)/Inputs!$C$50)+Inputs!$C$47*0.173))+0.20*SIN(2*PI()*(((Model_Data!A223)+(0))/(0.5*(Inputs!$C$49+Inputs!$C$50))+Inputs!$C$47*0.097)))+0.30*(2*((SIN(((Model_Data!A223)*12.9898+(0)*78.233+Inputs!$C$47*37.719))*43758.5453)-INT((SIN(((Model_Data!A223)*12.9898+(0)*78.233+Inputs!$C$47*37.719))*43758.5453)))-1))))</x:f>
        <x:v>129.81078887476312</x:v>
      </x:c>
      <x:c r="K223" s="48" t="n">
        <x:f>-((((SQRT((Model_Data!A223)^2+Inputs!$C$6^2+((Model_Data!B223)-((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(0.45*SIN(2*PI()*(((Model_Data!A223)/Inputs!$C$49)+Inputs!$C$47*0.137))+0.35*COS(2*PI()*(((Inputs!$C$6)/Inputs!$C$50)+Inputs!$C$47*0.173))+0.20*SIN(2*PI()*(((Model_Data!A223)+(Inputs!$C$6))/(0.5*(Inputs!$C$49+Inputs!$C$50))+Inputs!$C$47*0.097)))+0.30*(2*((SIN(((Model_Data!A223)*12.9898+(Inputs!$C$6)*78.233+Inputs!$C$47*37.719))*43758.5453)-INT((SIN(((Model_Data!A223)*12.9898+(Inputs!$C$6)*78.233+Inputs!$C$47*37.719))*43758.5453)))-1))))/1000)^2))-(((Model_Data!B223)-((Inputs!$C$51*(115*EXP(-(((0)-25)^2)/(4.5^2))+70*EXP(-(((0)+38)^2)/(7^2))*(0.55+0.45*SIN(2*PI()*(Model_Data!A223)/45))+24*SIN(2*PI()*(0)/9+(Model_Data!A223)/18)*EXP(-(((0)+5)^2)/(22^2))+18*SIN(2*PI()*(Model_Data!A223)/70))+Inputs!$C$28*EXP(-(((Model_Data!A223)-Inputs!$C$29)^2)/(2*Inputs!$C$31^2))*EXP(-(((0)-Inputs!$C$30)^2)/(2*Inputs!$C$32^2))+-Inputs!$C$33*EXP(-(((((Model_Data!A223)-Inputs!$C$34)^2)+(((0)-Inputs!$C$35)^2))/(2*Inputs!$C$36^2)))+Inputs!$C$37*(0.55*SIN(2*PI()*(Model_Data!A223)/Inputs!$C$39)+0.35*COS(2*PI()*(0)/Inputs!$C$40)+0.2*SIN(2*PI()*((Model_Data!A223)+(0))/(0.5*(Inputs!$C$39+Inputs!$C$40))))+Inputs!$C$38*SIN(2*PI()*(Model_Data!A223)/Inputs!$C$39)*SIN(2*PI()*(0)/Inputs!$C$40)+-Inputs!$C$41*EXP(-(((0)-Inputs!$C$43)^2)/(2*Inputs!$C$44^2))*EXP(-(((Model_Data!A223)-Inputs!$C$42)^2)/(2*Inputs!$C$45^2))+Inputs!$C$48*(0.70*(0.45*SIN(2*PI()*(((Model_Data!A223)/Inputs!$C$49)+Inputs!$C$47*0.137))+0.35*COS(2*PI()*(((0)/Inputs!$C$50)+Inputs!$C$47*0.173))+0.20*SIN(2*PI()*(((Model_Data!A223)+(0))/(0.5*(Inputs!$C$49+Inputs!$C$50))+Inputs!$C$47*0.097)))+0.30*(2*((SIN(((Model_Data!A223)*12.9898+(0)*78.233+Inputs!$C$47*37.719))*43758.5453)-INT((SIN(((Model_Data!A223)*12.9898+(0)*78.233+Inputs!$C$47*37.719))*43758.5453)))-1))))/1000)))*1000/Inputs!$C$12)-Model_Data!F223)</x:f>
        <x:v>72.18510518862604</x:v>
      </x:c>
      <x:c r="L223" s="49"/>
      <x:c r="M223" s="48" t="n">
        <x:f>Model_Data!A223</x:f>
        <x:v>50.5</x:v>
      </x:c>
      <x:c r="N223" s="48" t="n">
        <x:f>Model_Data!P223</x:f>
        <x:v>-376.4692843818514</x:v>
      </x:c>
      <x:c r="O223" s="48" t="n">
        <x:f>AC223</x:f>
        <x:v>-341.90990416464047</x:v>
      </x:c>
      <x:c r="P223" s="48" t="n">
        <x:f>Model_Data!Q223</x:f>
        <x:v>-56.526919576854574</x:v>
      </x:c>
      <x:c r="Q223" s="48" t="n">
        <x:f>AD223</x:f>
        <x:v>-51.33782344814422</x:v>
      </x:c>
      <x:c r="R223" s="49"/>
      <x:c r="S223" s="48" t="n">
        <x:f>Model_Data!A223</x:f>
        <x:v>50.5</x:v>
      </x:c>
      <x:c r="T223" s="48" t="n">
        <x:f>Model_Data!B223-Inputs!$C$5</x:f>
        <x:v>2.833611111111111</x:v>
      </x:c>
      <x:c r="U223" s="49"/>
      <x:c r="V223" s="48" t="n">
        <x:f>Model_Data!A223</x:f>
        <x:v>50.5</x:v>
      </x:c>
      <x:c r="W223" s="48" t="n">
        <x:f>(-((((SQRT((Model_Data!A223)^2+Inputs!$C$6^2+((Model_Data!B223)-((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(0.45*SIN(2*PI()*(((Model_Data!A223)/Inputs!$C$49)+Inputs!$C$47*0.137))+0.35*COS(2*PI()*(((Inputs!$C$6)/Inputs!$C$50)+Inputs!$C$47*0.173))+0.20*SIN(2*PI()*(((Model_Data!A223)+(Inputs!$C$6))/(0.5*(Inputs!$C$49+Inputs!$C$50))+Inputs!$C$47*0.097)))+0.30*(2*((SIN(((Model_Data!A223)*12.9898+(Inputs!$C$6)*78.233+Inputs!$C$47*37.719))*43758.5453)-INT((SIN(((Model_Data!A223)*12.9898+(Inputs!$C$6)*78.233+Inputs!$C$47*37.719))*43758.5453)))-1))))/1000)^2))-(((Model_Data!B223)-((Inputs!$C$51*(115*EXP(-(((0)-25)^2)/(4.5^2))+70*EXP(-(((0)+38)^2)/(7^2))*(0.55+0.45*SIN(2*PI()*(Model_Data!A223)/45))+24*SIN(2*PI()*(0)/9+(Model_Data!A223)/18)*EXP(-(((0)+5)^2)/(22^2))+18*SIN(2*PI()*(Model_Data!A223)/70))+Inputs!$C$28*EXP(-(((Model_Data!A223)-Inputs!$C$29)^2)/(2*Inputs!$C$31^2))*EXP(-(((0)-Inputs!$C$30)^2)/(2*Inputs!$C$32^2))+-Inputs!$C$33*EXP(-(((((Model_Data!A223)-Inputs!$C$34)^2)+(((0)-Inputs!$C$35)^2))/(2*Inputs!$C$36^2)))+Inputs!$C$37*(0.55*SIN(2*PI()*(Model_Data!A223)/Inputs!$C$39)+0.35*COS(2*PI()*(0)/Inputs!$C$40)+0.2*SIN(2*PI()*((Model_Data!A223)+(0))/(0.5*(Inputs!$C$39+Inputs!$C$40))))+Inputs!$C$38*SIN(2*PI()*(Model_Data!A223)/Inputs!$C$39)*SIN(2*PI()*(0)/Inputs!$C$40)+-Inputs!$C$41*EXP(-(((0)-Inputs!$C$43)^2)/(2*Inputs!$C$44^2))*EXP(-(((Model_Data!A223)-Inputs!$C$42)^2)/(2*Inputs!$C$45^2))+Inputs!$C$48*(0.70*(0.45*SIN(2*PI()*(((Model_Data!A223)/Inputs!$C$49)+Inputs!$C$47*0.137))+0.35*COS(2*PI()*(((0)/Inputs!$C$50)+Inputs!$C$47*0.173))+0.20*SIN(2*PI()*(((Model_Data!A223)+(0))/(0.5*(Inputs!$C$49+Inputs!$C$50))+Inputs!$C$47*0.097)))+0.30*(2*((SIN(((Model_Data!A223)*12.9898+(0)*78.233+Inputs!$C$47*37.719))*43758.5453)-INT((SIN(((Model_Data!A223)*12.9898+(0)*78.233+Inputs!$C$47*37.719))*43758.5453)))-1))))/1000)))*1000/Inputs!$C$12)-Model_Data!F223))-(-(((SQRT((Model_Data!A223)^2+Inputs!$C$6^2+(Inputs!$C$5-((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(0.45*SIN(2*PI()*(((Model_Data!A223)/Inputs!$C$49)+Inputs!$C$47*0.137))+0.35*COS(2*PI()*(((Inputs!$C$6)/Inputs!$C$50)+Inputs!$C$47*0.173))+0.20*SIN(2*PI()*(((Model_Data!A223)+(Inputs!$C$6))/(0.5*(Inputs!$C$49+Inputs!$C$50))+Inputs!$C$47*0.097)))+0.30*(2*((SIN(((Model_Data!A223)*12.9898+(Inputs!$C$6)*78.233+Inputs!$C$47*37.719))*43758.5453)-INT((SIN(((Model_Data!A223)*12.9898+(Inputs!$C$6)*78.233+Inputs!$C$47*37.719))*43758.5453)))-1))))/1000)^2)-(Inputs!$C$5-((Inputs!$C$51*(115*EXP(-(((0)-25)^2)/(4.5^2))+70*EXP(-(((0)+38)^2)/(7^2))*(0.55+0.45*SIN(2*PI()*(Model_Data!A223)/45))+24*SIN(2*PI()*(0)/9+(Model_Data!A223)/18)*EXP(-(((0)+5)^2)/(22^2))+18*SIN(2*PI()*(Model_Data!A223)/70))+Inputs!$C$28*EXP(-(((Model_Data!A223)-Inputs!$C$29)^2)/(2*Inputs!$C$31^2))*EXP(-(((0)-Inputs!$C$30)^2)/(2*Inputs!$C$32^2))+-Inputs!$C$33*EXP(-(((((Model_Data!A223)-Inputs!$C$34)^2)+(((0)-Inputs!$C$35)^2))/(2*Inputs!$C$36^2)))+Inputs!$C$37*(0.55*SIN(2*PI()*(Model_Data!A223)/Inputs!$C$39)+0.35*COS(2*PI()*(0)/Inputs!$C$40)+0.2*SIN(2*PI()*((Model_Data!A223)+(0))/(0.5*(Inputs!$C$39+Inputs!$C$40))))+Inputs!$C$38*SIN(2*PI()*(Model_Data!A223)/Inputs!$C$39)*SIN(2*PI()*(0)/Inputs!$C$40)+-Inputs!$C$41*EXP(-(((0)-Inputs!$C$43)^2)/(2*Inputs!$C$44^2))*EXP(-(((Model_Data!A223)-Inputs!$C$42)^2)/(2*Inputs!$C$45^2))+Inputs!$C$48*(0.70*(0.45*SIN(2*PI()*(((Model_Data!A223)/Inputs!$C$49)+Inputs!$C$47*0.137))+0.35*COS(2*PI()*(((0)/Inputs!$C$50)+Inputs!$C$47*0.173))+0.20*SIN(2*PI()*(((Model_Data!A223)+(0))/(0.5*(Inputs!$C$49+Inputs!$C$50))+Inputs!$C$47*0.097)))+0.30*(2*((SIN(((Model_Data!A223)*12.9898+(0)*78.233+Inputs!$C$47*37.719))*43758.5453)-INT((SIN(((Model_Data!A223)*12.9898+(0)*78.233+Inputs!$C$47*37.719))*43758.5453)))-1))))/1000))*1000/Inputs!$C$12)-((SQRT((Model_Data!A223)^2+Inputs!$C$6^2+Inputs!$C$5^2)-Inputs!$C$5)*1000/Inputs!$C$12)))</x:f>
        <x:v>0.010401707280834671</x:v>
      </x:c>
      <x:c r="X223" s="48" t="n">
        <x:f>0</x:f>
        <x:v>0</x:v>
      </x:c>
      <x:c r="Y223" s="49"/>
      <x:c r="Z223" s="48" t="n">
        <x:f>Model_Data!A223</x:f>
        <x:v>50.5</x:v>
      </x:c>
      <x:c r="AA223" s="48" t="n">
        <x:f>SQRT((Model_Data!A223)^2+Inputs!$C$6^2+((Model_Data!B223)-((Inputs!$C$51*(115*EXP(-(((Inputs!$C$6)-25)^2)/(4.5^2))+70*EXP(-(((Inputs!$C$6)+38)^2)/(7^2))*(0.55+0.45*SIN(2*PI()*(Model_Data!A223)/45))+24*SIN(2*PI()*(Inputs!$C$6)/9+(Model_Data!A223)/18)*EXP(-(((Inputs!$C$6)+5)^2)/(22^2))+18*SIN(2*PI()*(Model_Data!A223)/70))+Inputs!$C$28*EXP(-(((Model_Data!A223)-Inputs!$C$29)^2)/(2*Inputs!$C$31^2))*EXP(-(((Inputs!$C$6)-Inputs!$C$30)^2)/(2*Inputs!$C$32^2))+-Inputs!$C$33*EXP(-(((((Model_Data!A223)-Inputs!$C$34)^2)+(((Inputs!$C$6)-Inputs!$C$35)^2))/(2*Inputs!$C$36^2)))+Inputs!$C$37*(0.55*SIN(2*PI()*(Model_Data!A223)/Inputs!$C$39)+0.35*COS(2*PI()*(Inputs!$C$6)/Inputs!$C$40)+0.2*SIN(2*PI()*((Model_Data!A223)+(Inputs!$C$6))/(0.5*(Inputs!$C$39+Inputs!$C$40))))+Inputs!$C$38*SIN(2*PI()*(Model_Data!A223)/Inputs!$C$39)*SIN(2*PI()*(Inputs!$C$6)/Inputs!$C$40)+-Inputs!$C$41*EXP(-(((Inputs!$C$6)-Inputs!$C$43)^2)/(2*Inputs!$C$44^2))*EXP(-(((Model_Data!A223)-Inputs!$C$42)^2)/(2*Inputs!$C$45^2))+Inputs!$C$48*(0.70*(0.45*SIN(2*PI()*(((Model_Data!A223)/Inputs!$C$49)+Inputs!$C$47*0.137))+0.35*COS(2*PI()*(((Inputs!$C$6)/Inputs!$C$50)+Inputs!$C$47*0.173))+0.20*SIN(2*PI()*(((Model_Data!A223)+(Inputs!$C$6))/(0.5*(Inputs!$C$49+Inputs!$C$50))+Inputs!$C$47*0.097)))+0.30*(2*((SIN(((Model_Data!A223)*12.9898+(Inputs!$C$6)*78.233+Inputs!$C$47*37.719))*43758.5453)-INT((SIN(((Model_Data!A223)*12.9898+(Inputs!$C$6)*78.233+Inputs!$C$47*37.719))*43758.5453)))-1))))/1000)^2)</x:f>
        <x:v>406.6199966973908</x:v>
      </x:c>
      <x:c r="AB223" s="48" t="n">
        <x:f>1000*(AA224-AA222)/(Z224-Z222)*Inputs!$C$11</x:f>
        <x:v>854.7747604116012</x:v>
      </x:c>
      <x:c r="AC223" s="48" t="n">
        <x:f>-2*AB223/Inputs!$C$13</x:f>
        <x:v>-341.90990416464047</x:v>
      </x:c>
      <x:c r="AD223" s="48" t="n">
        <x:f>-2*AB223/Inputs!$C$14</x:f>
        <x:v>-51.33782344814422</x:v>
      </x:c>
    </x:row>
    <x:row r="224">
      <x:c r="A224" s="48" t="n">
        <x:f>Model_Data!A224</x:f>
        <x:v>51</x:v>
      </x:c>
      <x:c r="B224" s="48" t="n">
        <x:f>Model_Data!F224</x:f>
        <x:v>2238.133363530445</x:v>
      </x:c>
      <x:c r="C224" s="48" t="n">
        <x:f>(((SQRT((Model_Data!A224)^2+Inputs!$C$6^2+((Model_Data!B224)-((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(0.45*SIN(2*PI()*(((Model_Data!A224)/Inputs!$C$49)+Inputs!$C$47*0.137))+0.35*COS(2*PI()*(((Inputs!$C$6)/Inputs!$C$50)+Inputs!$C$47*0.173))+0.20*SIN(2*PI()*(((Model_Data!A224)+(Inputs!$C$6))/(0.5*(Inputs!$C$49+Inputs!$C$50))+Inputs!$C$47*0.097)))+0.30*(2*((SIN(((Model_Data!A224)*12.9898+(Inputs!$C$6)*78.233+Inputs!$C$47*37.719))*43758.5453)-INT((SIN(((Model_Data!A224)*12.9898+(Inputs!$C$6)*78.233+Inputs!$C$47*37.719))*43758.5453)))-1))))/1000)^2))-(((Model_Data!B224)-((Inputs!$C$51*(115*EXP(-(((0)-25)^2)/(4.5^2))+70*EXP(-(((0)+38)^2)/(7^2))*(0.55+0.45*SIN(2*PI()*(Model_Data!A224)/45))+24*SIN(2*PI()*(0)/9+(Model_Data!A224)/18)*EXP(-(((0)+5)^2)/(22^2))+18*SIN(2*PI()*(Model_Data!A224)/70))+Inputs!$C$28*EXP(-(((Model_Data!A224)-Inputs!$C$29)^2)/(2*Inputs!$C$31^2))*EXP(-(((0)-Inputs!$C$30)^2)/(2*Inputs!$C$32^2))+-Inputs!$C$33*EXP(-(((((Model_Data!A224)-Inputs!$C$34)^2)+(((0)-Inputs!$C$35)^2))/(2*Inputs!$C$36^2)))+Inputs!$C$37*(0.55*SIN(2*PI()*(Model_Data!A224)/Inputs!$C$39)+0.35*COS(2*PI()*(0)/Inputs!$C$40)+0.2*SIN(2*PI()*((Model_Data!A224)+(0))/(0.5*(Inputs!$C$39+Inputs!$C$40))))+Inputs!$C$38*SIN(2*PI()*(Model_Data!A224)/Inputs!$C$39)*SIN(2*PI()*(0)/Inputs!$C$40)+-Inputs!$C$41*EXP(-(((0)-Inputs!$C$43)^2)/(2*Inputs!$C$44^2))*EXP(-(((Model_Data!A224)-Inputs!$C$42)^2)/(2*Inputs!$C$45^2))+Inputs!$C$48*(0.70*(0.45*SIN(2*PI()*(((Model_Data!A224)/Inputs!$C$49)+Inputs!$C$47*0.137))+0.35*COS(2*PI()*(((0)/Inputs!$C$50)+Inputs!$C$47*0.173))+0.20*SIN(2*PI()*(((Model_Data!A224)+(0))/(0.5*(Inputs!$C$49+Inputs!$C$50))+Inputs!$C$47*0.097)))+0.30*(2*((SIN(((Model_Data!A224)*12.9898+(0)*78.233+Inputs!$C$47*37.719))*43758.5453)-INT((SIN(((Model_Data!A224)*12.9898+(0)*78.233+Inputs!$C$47*37.719))*43758.5453)))-1))))/1000)))*1000/Inputs!$C$12)</x:f>
        <x:v>2168.3496721002457</x:v>
      </x:c>
      <x:c r="D224" s="49"/>
      <x:c r="E224" s="48" t="n">
        <x:f>Model_Data!A224</x:f>
        <x:v>51</x:v>
      </x:c>
      <x:c r="F224" s="48" t="n">
        <x:f>(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(0.45*SIN(2*PI()*(((Model_Data!A224)/Inputs!$C$49)+Inputs!$C$47*0.137))+0.35*COS(2*PI()*(((Inputs!$C$6)/Inputs!$C$50)+Inputs!$C$47*0.173))+0.20*SIN(2*PI()*(((Model_Data!A224)+(Inputs!$C$6))/(0.5*(Inputs!$C$49+Inputs!$C$50))+Inputs!$C$47*0.097)))+0.30*(2*((SIN(((Model_Data!A224)*12.9898+(Inputs!$C$6)*78.233+Inputs!$C$47*37.719))*43758.5453)-INT((SIN(((Model_Data!A224)*12.9898+(Inputs!$C$6)*78.233+Inputs!$C$47*37.719))*43758.5453)))-1)))</x:f>
        <x:v>137.08289632779307</x:v>
      </x:c>
      <x:c r="G224" s="48" t="n">
        <x:f>(Inputs!$C$51*(115*EXP(-(((0)-25)^2)/(4.5^2))+70*EXP(-(((0)+38)^2)/(7^2))*(0.55+0.45*SIN(2*PI()*(Model_Data!A224)/45))+24*SIN(2*PI()*(0)/9+(Model_Data!A224)/18)*EXP(-(((0)+5)^2)/(22^2))+18*SIN(2*PI()*(Model_Data!A224)/70))+Inputs!$C$28*EXP(-(((Model_Data!A224)-Inputs!$C$29)^2)/(2*Inputs!$C$31^2))*EXP(-(((0)-Inputs!$C$30)^2)/(2*Inputs!$C$32^2))+-Inputs!$C$33*EXP(-(((((Model_Data!A224)-Inputs!$C$34)^2)+(((0)-Inputs!$C$35)^2))/(2*Inputs!$C$36^2)))+Inputs!$C$37*(0.55*SIN(2*PI()*(Model_Data!A224)/Inputs!$C$39)+0.35*COS(2*PI()*(0)/Inputs!$C$40)+0.2*SIN(2*PI()*((Model_Data!A224)+(0))/(0.5*(Inputs!$C$39+Inputs!$C$40))))+Inputs!$C$38*SIN(2*PI()*(Model_Data!A224)/Inputs!$C$39)*SIN(2*PI()*(0)/Inputs!$C$40)+-Inputs!$C$41*EXP(-(((0)-Inputs!$C$43)^2)/(2*Inputs!$C$44^2))*EXP(-(((Model_Data!A224)-Inputs!$C$42)^2)/(2*Inputs!$C$45^2))+Inputs!$C$48*(0.70*(0.45*SIN(2*PI()*(((Model_Data!A224)/Inputs!$C$49)+Inputs!$C$47*0.137))+0.35*COS(2*PI()*(((0)/Inputs!$C$50)+Inputs!$C$47*0.173))+0.20*SIN(2*PI()*(((Model_Data!A224)+(0))/(0.5*(Inputs!$C$49+Inputs!$C$50))+Inputs!$C$47*0.097)))+0.30*(2*((SIN(((Model_Data!A224)*12.9898+(0)*78.233+Inputs!$C$47*37.719))*43758.5453)-INT((SIN(((Model_Data!A224)*12.9898+(0)*78.233+Inputs!$C$47*37.719))*43758.5453)))-1)))</x:f>
        <x:v>11.525237738664625</x:v>
      </x:c>
      <x:c r="H224" s="49"/>
      <x:c r="I224" s="48" t="n">
        <x:f>Model_Data!A224</x:f>
        <x:v>51</x:v>
      </x:c>
      <x:c r="J224" s="48" t="n">
        <x:f>((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(0.45*SIN(2*PI()*(((Model_Data!A224)/Inputs!$C$49)+Inputs!$C$47*0.137))+0.35*COS(2*PI()*(((Inputs!$C$6)/Inputs!$C$50)+Inputs!$C$47*0.173))+0.20*SIN(2*PI()*(((Model_Data!A224)+(Inputs!$C$6))/(0.5*(Inputs!$C$49+Inputs!$C$50))+Inputs!$C$47*0.097)))+0.30*(2*((SIN(((Model_Data!A224)*12.9898+(Inputs!$C$6)*78.233+Inputs!$C$47*37.719))*43758.5453)-INT((SIN(((Model_Data!A224)*12.9898+(Inputs!$C$6)*78.233+Inputs!$C$47*37.719))*43758.5453)))-1))))-((Inputs!$C$51*(115*EXP(-(((0)-25)^2)/(4.5^2))+70*EXP(-(((0)+38)^2)/(7^2))*(0.55+0.45*SIN(2*PI()*(Model_Data!A224)/45))+24*SIN(2*PI()*(0)/9+(Model_Data!A224)/18)*EXP(-(((0)+5)^2)/(22^2))+18*SIN(2*PI()*(Model_Data!A224)/70))+Inputs!$C$28*EXP(-(((Model_Data!A224)-Inputs!$C$29)^2)/(2*Inputs!$C$31^2))*EXP(-(((0)-Inputs!$C$30)^2)/(2*Inputs!$C$32^2))+-Inputs!$C$33*EXP(-(((((Model_Data!A224)-Inputs!$C$34)^2)+(((0)-Inputs!$C$35)^2))/(2*Inputs!$C$36^2)))+Inputs!$C$37*(0.55*SIN(2*PI()*(Model_Data!A224)/Inputs!$C$39)+0.35*COS(2*PI()*(0)/Inputs!$C$40)+0.2*SIN(2*PI()*((Model_Data!A224)+(0))/(0.5*(Inputs!$C$39+Inputs!$C$40))))+Inputs!$C$38*SIN(2*PI()*(Model_Data!A224)/Inputs!$C$39)*SIN(2*PI()*(0)/Inputs!$C$40)+-Inputs!$C$41*EXP(-(((0)-Inputs!$C$43)^2)/(2*Inputs!$C$44^2))*EXP(-(((Model_Data!A224)-Inputs!$C$42)^2)/(2*Inputs!$C$45^2))+Inputs!$C$48*(0.70*(0.45*SIN(2*PI()*(((Model_Data!A224)/Inputs!$C$49)+Inputs!$C$47*0.137))+0.35*COS(2*PI()*(((0)/Inputs!$C$50)+Inputs!$C$47*0.173))+0.20*SIN(2*PI()*(((Model_Data!A224)+(0))/(0.5*(Inputs!$C$49+Inputs!$C$50))+Inputs!$C$47*0.097)))+0.30*(2*((SIN(((Model_Data!A224)*12.9898+(0)*78.233+Inputs!$C$47*37.719))*43758.5453)-INT((SIN(((Model_Data!A224)*12.9898+(0)*78.233+Inputs!$C$47*37.719))*43758.5453)))-1))))</x:f>
        <x:v>125.55765858912844</x:v>
      </x:c>
      <x:c r="K224" s="48" t="n">
        <x:f>-((((SQRT((Model_Data!A224)^2+Inputs!$C$6^2+((Model_Data!B224)-((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(0.45*SIN(2*PI()*(((Model_Data!A224)/Inputs!$C$49)+Inputs!$C$47*0.137))+0.35*COS(2*PI()*(((Inputs!$C$6)/Inputs!$C$50)+Inputs!$C$47*0.173))+0.20*SIN(2*PI()*(((Model_Data!A224)+(Inputs!$C$6))/(0.5*(Inputs!$C$49+Inputs!$C$50))+Inputs!$C$47*0.097)))+0.30*(2*((SIN(((Model_Data!A224)*12.9898+(Inputs!$C$6)*78.233+Inputs!$C$47*37.719))*43758.5453)-INT((SIN(((Model_Data!A224)*12.9898+(Inputs!$C$6)*78.233+Inputs!$C$47*37.719))*43758.5453)))-1))))/1000)^2))-(((Model_Data!B224)-((Inputs!$C$51*(115*EXP(-(((0)-25)^2)/(4.5^2))+70*EXP(-(((0)+38)^2)/(7^2))*(0.55+0.45*SIN(2*PI()*(Model_Data!A224)/45))+24*SIN(2*PI()*(0)/9+(Model_Data!A224)/18)*EXP(-(((0)+5)^2)/(22^2))+18*SIN(2*PI()*(Model_Data!A224)/70))+Inputs!$C$28*EXP(-(((Model_Data!A224)-Inputs!$C$29)^2)/(2*Inputs!$C$31^2))*EXP(-(((0)-Inputs!$C$30)^2)/(2*Inputs!$C$32^2))+-Inputs!$C$33*EXP(-(((((Model_Data!A224)-Inputs!$C$34)^2)+(((0)-Inputs!$C$35)^2))/(2*Inputs!$C$36^2)))+Inputs!$C$37*(0.55*SIN(2*PI()*(Model_Data!A224)/Inputs!$C$39)+0.35*COS(2*PI()*(0)/Inputs!$C$40)+0.2*SIN(2*PI()*((Model_Data!A224)+(0))/(0.5*(Inputs!$C$39+Inputs!$C$40))))+Inputs!$C$38*SIN(2*PI()*(Model_Data!A224)/Inputs!$C$39)*SIN(2*PI()*(0)/Inputs!$C$40)+-Inputs!$C$41*EXP(-(((0)-Inputs!$C$43)^2)/(2*Inputs!$C$44^2))*EXP(-(((Model_Data!A224)-Inputs!$C$42)^2)/(2*Inputs!$C$45^2))+Inputs!$C$48*(0.70*(0.45*SIN(2*PI()*(((Model_Data!A224)/Inputs!$C$49)+Inputs!$C$47*0.137))+0.35*COS(2*PI()*(((0)/Inputs!$C$50)+Inputs!$C$47*0.173))+0.20*SIN(2*PI()*(((Model_Data!A224)+(0))/(0.5*(Inputs!$C$49+Inputs!$C$50))+Inputs!$C$47*0.097)))+0.30*(2*((SIN(((Model_Data!A224)*12.9898+(0)*78.233+Inputs!$C$47*37.719))*43758.5453)-INT((SIN(((Model_Data!A224)*12.9898+(0)*78.233+Inputs!$C$47*37.719))*43758.5453)))-1))))/1000)))*1000/Inputs!$C$12)-Model_Data!F224)</x:f>
        <x:v>69.78369143019927</x:v>
      </x:c>
      <x:c r="L224" s="49"/>
      <x:c r="M224" s="48" t="n">
        <x:f>Model_Data!A224</x:f>
        <x:v>51</x:v>
      </x:c>
      <x:c r="N224" s="48" t="n">
        <x:f>Model_Data!P224</x:f>
        <x:v>-380.1113693016265</x:v>
      </x:c>
      <x:c r="O224" s="48" t="n">
        <x:f>AC224</x:f>
        <x:v>-344.3255455985309</x:v>
      </x:c>
      <x:c r="P224" s="48" t="n">
        <x:f>Model_Data!Q224</x:f>
        <x:v>-57.0737791744184</x:v>
      </x:c>
      <x:c r="Q224" s="48" t="n">
        <x:f>AD224</x:f>
        <x:v>-51.70053237215179</x:v>
      </x:c>
      <x:c r="R224" s="49"/>
      <x:c r="S224" s="48" t="n">
        <x:f>Model_Data!A224</x:f>
        <x:v>51</x:v>
      </x:c>
      <x:c r="T224" s="48" t="n">
        <x:f>Model_Data!B224-Inputs!$C$5</x:f>
        <x:v>2.8899999999999864</x:v>
      </x:c>
      <x:c r="U224" s="49"/>
      <x:c r="V224" s="48" t="n">
        <x:f>Model_Data!A224</x:f>
        <x:v>51</x:v>
      </x:c>
      <x:c r="W224" s="48" t="n">
        <x:f>(-((((SQRT((Model_Data!A224)^2+Inputs!$C$6^2+((Model_Data!B224)-((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(0.45*SIN(2*PI()*(((Model_Data!A224)/Inputs!$C$49)+Inputs!$C$47*0.137))+0.35*COS(2*PI()*(((Inputs!$C$6)/Inputs!$C$50)+Inputs!$C$47*0.173))+0.20*SIN(2*PI()*(((Model_Data!A224)+(Inputs!$C$6))/(0.5*(Inputs!$C$49+Inputs!$C$50))+Inputs!$C$47*0.097)))+0.30*(2*((SIN(((Model_Data!A224)*12.9898+(Inputs!$C$6)*78.233+Inputs!$C$47*37.719))*43758.5453)-INT((SIN(((Model_Data!A224)*12.9898+(Inputs!$C$6)*78.233+Inputs!$C$47*37.719))*43758.5453)))-1))))/1000)^2))-(((Model_Data!B224)-((Inputs!$C$51*(115*EXP(-(((0)-25)^2)/(4.5^2))+70*EXP(-(((0)+38)^2)/(7^2))*(0.55+0.45*SIN(2*PI()*(Model_Data!A224)/45))+24*SIN(2*PI()*(0)/9+(Model_Data!A224)/18)*EXP(-(((0)+5)^2)/(22^2))+18*SIN(2*PI()*(Model_Data!A224)/70))+Inputs!$C$28*EXP(-(((Model_Data!A224)-Inputs!$C$29)^2)/(2*Inputs!$C$31^2))*EXP(-(((0)-Inputs!$C$30)^2)/(2*Inputs!$C$32^2))+-Inputs!$C$33*EXP(-(((((Model_Data!A224)-Inputs!$C$34)^2)+(((0)-Inputs!$C$35)^2))/(2*Inputs!$C$36^2)))+Inputs!$C$37*(0.55*SIN(2*PI()*(Model_Data!A224)/Inputs!$C$39)+0.35*COS(2*PI()*(0)/Inputs!$C$40)+0.2*SIN(2*PI()*((Model_Data!A224)+(0))/(0.5*(Inputs!$C$39+Inputs!$C$40))))+Inputs!$C$38*SIN(2*PI()*(Model_Data!A224)/Inputs!$C$39)*SIN(2*PI()*(0)/Inputs!$C$40)+-Inputs!$C$41*EXP(-(((0)-Inputs!$C$43)^2)/(2*Inputs!$C$44^2))*EXP(-(((Model_Data!A224)-Inputs!$C$42)^2)/(2*Inputs!$C$45^2))+Inputs!$C$48*(0.70*(0.45*SIN(2*PI()*(((Model_Data!A224)/Inputs!$C$49)+Inputs!$C$47*0.137))+0.35*COS(2*PI()*(((0)/Inputs!$C$50)+Inputs!$C$47*0.173))+0.20*SIN(2*PI()*(((Model_Data!A224)+(0))/(0.5*(Inputs!$C$49+Inputs!$C$50))+Inputs!$C$47*0.097)))+0.30*(2*((SIN(((Model_Data!A224)*12.9898+(0)*78.233+Inputs!$C$47*37.719))*43758.5453)-INT((SIN(((Model_Data!A224)*12.9898+(0)*78.233+Inputs!$C$47*37.719))*43758.5453)))-1))))/1000)))*1000/Inputs!$C$12)-Model_Data!F224))-(-(((SQRT((Model_Data!A224)^2+Inputs!$C$6^2+(Inputs!$C$5-((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(0.45*SIN(2*PI()*(((Model_Data!A224)/Inputs!$C$49)+Inputs!$C$47*0.137))+0.35*COS(2*PI()*(((Inputs!$C$6)/Inputs!$C$50)+Inputs!$C$47*0.173))+0.20*SIN(2*PI()*(((Model_Data!A224)+(Inputs!$C$6))/(0.5*(Inputs!$C$49+Inputs!$C$50))+Inputs!$C$47*0.097)))+0.30*(2*((SIN(((Model_Data!A224)*12.9898+(Inputs!$C$6)*78.233+Inputs!$C$47*37.719))*43758.5453)-INT((SIN(((Model_Data!A224)*12.9898+(Inputs!$C$6)*78.233+Inputs!$C$47*37.719))*43758.5453)))-1))))/1000)^2)-(Inputs!$C$5-((Inputs!$C$51*(115*EXP(-(((0)-25)^2)/(4.5^2))+70*EXP(-(((0)+38)^2)/(7^2))*(0.55+0.45*SIN(2*PI()*(Model_Data!A224)/45))+24*SIN(2*PI()*(0)/9+(Model_Data!A224)/18)*EXP(-(((0)+5)^2)/(22^2))+18*SIN(2*PI()*(Model_Data!A224)/70))+Inputs!$C$28*EXP(-(((Model_Data!A224)-Inputs!$C$29)^2)/(2*Inputs!$C$31^2))*EXP(-(((0)-Inputs!$C$30)^2)/(2*Inputs!$C$32^2))+-Inputs!$C$33*EXP(-(((((Model_Data!A224)-Inputs!$C$34)^2)+(((0)-Inputs!$C$35)^2))/(2*Inputs!$C$36^2)))+Inputs!$C$37*(0.55*SIN(2*PI()*(Model_Data!A224)/Inputs!$C$39)+0.35*COS(2*PI()*(0)/Inputs!$C$40)+0.2*SIN(2*PI()*((Model_Data!A224)+(0))/(0.5*(Inputs!$C$39+Inputs!$C$40))))+Inputs!$C$38*SIN(2*PI()*(Model_Data!A224)/Inputs!$C$39)*SIN(2*PI()*(0)/Inputs!$C$40)+-Inputs!$C$41*EXP(-(((0)-Inputs!$C$43)^2)/(2*Inputs!$C$44^2))*EXP(-(((Model_Data!A224)-Inputs!$C$42)^2)/(2*Inputs!$C$45^2))+Inputs!$C$48*(0.70*(0.45*SIN(2*PI()*(((Model_Data!A224)/Inputs!$C$49)+Inputs!$C$47*0.137))+0.35*COS(2*PI()*(((0)/Inputs!$C$50)+Inputs!$C$47*0.173))+0.20*SIN(2*PI()*(((Model_Data!A224)+(0))/(0.5*(Inputs!$C$49+Inputs!$C$50))+Inputs!$C$47*0.097)))+0.30*(2*((SIN(((Model_Data!A224)*12.9898+(0)*78.233+Inputs!$C$47*37.719))*43758.5453)-INT((SIN(((Model_Data!A224)*12.9898+(0)*78.233+Inputs!$C$47*37.719))*43758.5453)))-1))))/1000))*1000/Inputs!$C$12)-((SQRT((Model_Data!A224)^2+Inputs!$C$6^2+Inputs!$C$5^2)-Inputs!$C$5)*1000/Inputs!$C$12)))</x:f>
        <x:v>0.010778658281651587</x:v>
      </x:c>
      <x:c r="X224" s="48" t="n">
        <x:f>0</x:f>
        <x:v>0</x:v>
      </x:c>
      <x:c r="Y224" s="49"/>
      <x:c r="Z224" s="48" t="n">
        <x:f>Model_Data!A224</x:f>
        <x:v>51</x:v>
      </x:c>
      <x:c r="AA224" s="48" t="n">
        <x:f>SQRT((Model_Data!A224)^2+Inputs!$C$6^2+((Model_Data!B224)-((Inputs!$C$51*(115*EXP(-(((Inputs!$C$6)-25)^2)/(4.5^2))+70*EXP(-(((Inputs!$C$6)+38)^2)/(7^2))*(0.55+0.45*SIN(2*PI()*(Model_Data!A224)/45))+24*SIN(2*PI()*(Inputs!$C$6)/9+(Model_Data!A224)/18)*EXP(-(((Inputs!$C$6)+5)^2)/(22^2))+18*SIN(2*PI()*(Model_Data!A224)/70))+Inputs!$C$28*EXP(-(((Model_Data!A224)-Inputs!$C$29)^2)/(2*Inputs!$C$31^2))*EXP(-(((Inputs!$C$6)-Inputs!$C$30)^2)/(2*Inputs!$C$32^2))+-Inputs!$C$33*EXP(-(((((Model_Data!A224)-Inputs!$C$34)^2)+(((Inputs!$C$6)-Inputs!$C$35)^2))/(2*Inputs!$C$36^2)))+Inputs!$C$37*(0.55*SIN(2*PI()*(Model_Data!A224)/Inputs!$C$39)+0.35*COS(2*PI()*(Inputs!$C$6)/Inputs!$C$40)+0.2*SIN(2*PI()*((Model_Data!A224)+(Inputs!$C$6))/(0.5*(Inputs!$C$39+Inputs!$C$40))))+Inputs!$C$38*SIN(2*PI()*(Model_Data!A224)/Inputs!$C$39)*SIN(2*PI()*(Inputs!$C$6)/Inputs!$C$40)+-Inputs!$C$41*EXP(-(((Inputs!$C$6)-Inputs!$C$43)^2)/(2*Inputs!$C$44^2))*EXP(-(((Model_Data!A224)-Inputs!$C$42)^2)/(2*Inputs!$C$45^2))+Inputs!$C$48*(0.70*(0.45*SIN(2*PI()*(((Model_Data!A224)/Inputs!$C$49)+Inputs!$C$47*0.137))+0.35*COS(2*PI()*(((Inputs!$C$6)/Inputs!$C$50)+Inputs!$C$47*0.173))+0.20*SIN(2*PI()*(((Model_Data!A224)+(Inputs!$C$6))/(0.5*(Inputs!$C$49+Inputs!$C$50))+Inputs!$C$47*0.097)))+0.30*(2*((SIN(((Model_Data!A224)*12.9898+(Inputs!$C$6)*78.233+Inputs!$C$47*37.719))*43758.5453)-INT((SIN(((Model_Data!A224)*12.9898+(Inputs!$C$6)*78.233+Inputs!$C$47*37.719))*43758.5453)))-1))))/1000)^2)</x:f>
        <x:v>406.73813717859974</x:v>
      </x:c>
      <x:c r="AB224" s="48" t="n">
        <x:f>1000*(AA225-AA223)/(Z225-Z223)*Inputs!$C$11</x:f>
        <x:v>860.8138639963272</x:v>
      </x:c>
      <x:c r="AC224" s="48" t="n">
        <x:f>-2*AB224/Inputs!$C$13</x:f>
        <x:v>-344.3255455985309</x:v>
      </x:c>
      <x:c r="AD224" s="48" t="n">
        <x:f>-2*AB224/Inputs!$C$14</x:f>
        <x:v>-51.70053237215179</x:v>
      </x:c>
    </x:row>
    <x:row r="225">
      <x:c r="A225" s="48" t="n">
        <x:f>Model_Data!A225</x:f>
        <x:v>51.5</x:v>
      </x:c>
      <x:c r="B225" s="48" t="n">
        <x:f>Model_Data!F225</x:f>
        <x:v>2273.194664658047</x:v>
      </x:c>
      <x:c r="C225" s="48" t="n">
        <x:f>(((SQRT((Model_Data!A225)^2+Inputs!$C$6^2+((Model_Data!B225)-((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(0.45*SIN(2*PI()*(((Model_Data!A225)/Inputs!$C$49)+Inputs!$C$47*0.137))+0.35*COS(2*PI()*(((Inputs!$C$6)/Inputs!$C$50)+Inputs!$C$47*0.173))+0.20*SIN(2*PI()*(((Model_Data!A225)+(Inputs!$C$6))/(0.5*(Inputs!$C$49+Inputs!$C$50))+Inputs!$C$47*0.097)))+0.30*(2*((SIN(((Model_Data!A225)*12.9898+(Inputs!$C$6)*78.233+Inputs!$C$47*37.719))*43758.5453)-INT((SIN(((Model_Data!A225)*12.9898+(Inputs!$C$6)*78.233+Inputs!$C$47*37.719))*43758.5453)))-1))))/1000)^2))-(((Model_Data!B225)-((Inputs!$C$51*(115*EXP(-(((0)-25)^2)/(4.5^2))+70*EXP(-(((0)+38)^2)/(7^2))*(0.55+0.45*SIN(2*PI()*(Model_Data!A225)/45))+24*SIN(2*PI()*(0)/9+(Model_Data!A225)/18)*EXP(-(((0)+5)^2)/(22^2))+18*SIN(2*PI()*(Model_Data!A225)/70))+Inputs!$C$28*EXP(-(((Model_Data!A225)-Inputs!$C$29)^2)/(2*Inputs!$C$31^2))*EXP(-(((0)-Inputs!$C$30)^2)/(2*Inputs!$C$32^2))+-Inputs!$C$33*EXP(-(((((Model_Data!A225)-Inputs!$C$34)^2)+(((0)-Inputs!$C$35)^2))/(2*Inputs!$C$36^2)))+Inputs!$C$37*(0.55*SIN(2*PI()*(Model_Data!A225)/Inputs!$C$39)+0.35*COS(2*PI()*(0)/Inputs!$C$40)+0.2*SIN(2*PI()*((Model_Data!A225)+(0))/(0.5*(Inputs!$C$39+Inputs!$C$40))))+Inputs!$C$38*SIN(2*PI()*(Model_Data!A225)/Inputs!$C$39)*SIN(2*PI()*(0)/Inputs!$C$40)+-Inputs!$C$41*EXP(-(((0)-Inputs!$C$43)^2)/(2*Inputs!$C$44^2))*EXP(-(((Model_Data!A225)-Inputs!$C$42)^2)/(2*Inputs!$C$45^2))+Inputs!$C$48*(0.70*(0.45*SIN(2*PI()*(((Model_Data!A225)/Inputs!$C$49)+Inputs!$C$47*0.137))+0.35*COS(2*PI()*(((0)/Inputs!$C$50)+Inputs!$C$47*0.173))+0.20*SIN(2*PI()*(((Model_Data!A225)+(0))/(0.5*(Inputs!$C$49+Inputs!$C$50))+Inputs!$C$47*0.097)))+0.30*(2*((SIN(((Model_Data!A225)*12.9898+(0)*78.233+Inputs!$C$47*37.719))*43758.5453)-INT((SIN(((Model_Data!A225)*12.9898+(0)*78.233+Inputs!$C$47*37.719))*43758.5453)))-1))))/1000)))*1000/Inputs!$C$12)</x:f>
        <x:v>2181.8566137154303</x:v>
      </x:c>
      <x:c r="D225" s="49"/>
      <x:c r="E225" s="48" t="n">
        <x:f>Model_Data!A225</x:f>
        <x:v>51.5</x:v>
      </x:c>
      <x:c r="F225" s="48" t="n">
        <x:f>(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(0.45*SIN(2*PI()*(((Model_Data!A225)/Inputs!$C$49)+Inputs!$C$47*0.137))+0.35*COS(2*PI()*(((Inputs!$C$6)/Inputs!$C$50)+Inputs!$C$47*0.173))+0.20*SIN(2*PI()*(((Model_Data!A225)+(Inputs!$C$6))/(0.5*(Inputs!$C$49+Inputs!$C$50))+Inputs!$C$47*0.097)))+0.30*(2*((SIN(((Model_Data!A225)*12.9898+(Inputs!$C$6)*78.233+Inputs!$C$47*37.719))*43758.5453)-INT((SIN(((Model_Data!A225)*12.9898+(Inputs!$C$6)*78.233+Inputs!$C$47*37.719))*43758.5453)))-1)))</x:f>
        <x:v>159.61831316527434</x:v>
      </x:c>
      <x:c r="G225" s="48" t="n">
        <x:f>(Inputs!$C$51*(115*EXP(-(((0)-25)^2)/(4.5^2))+70*EXP(-(((0)+38)^2)/(7^2))*(0.55+0.45*SIN(2*PI()*(Model_Data!A225)/45))+24*SIN(2*PI()*(0)/9+(Model_Data!A225)/18)*EXP(-(((0)+5)^2)/(22^2))+18*SIN(2*PI()*(Model_Data!A225)/70))+Inputs!$C$28*EXP(-(((Model_Data!A225)-Inputs!$C$29)^2)/(2*Inputs!$C$31^2))*EXP(-(((0)-Inputs!$C$30)^2)/(2*Inputs!$C$32^2))+-Inputs!$C$33*EXP(-(((((Model_Data!A225)-Inputs!$C$34)^2)+(((0)-Inputs!$C$35)^2))/(2*Inputs!$C$36^2)))+Inputs!$C$37*(0.55*SIN(2*PI()*(Model_Data!A225)/Inputs!$C$39)+0.35*COS(2*PI()*(0)/Inputs!$C$40)+0.2*SIN(2*PI()*((Model_Data!A225)+(0))/(0.5*(Inputs!$C$39+Inputs!$C$40))))+Inputs!$C$38*SIN(2*PI()*(Model_Data!A225)/Inputs!$C$39)*SIN(2*PI()*(0)/Inputs!$C$40)+-Inputs!$C$41*EXP(-(((0)-Inputs!$C$43)^2)/(2*Inputs!$C$44^2))*EXP(-(((Model_Data!A225)-Inputs!$C$42)^2)/(2*Inputs!$C$45^2))+Inputs!$C$48*(0.70*(0.45*SIN(2*PI()*(((Model_Data!A225)/Inputs!$C$49)+Inputs!$C$47*0.137))+0.35*COS(2*PI()*(((0)/Inputs!$C$50)+Inputs!$C$47*0.173))+0.20*SIN(2*PI()*(((Model_Data!A225)+(0))/(0.5*(Inputs!$C$49+Inputs!$C$50))+Inputs!$C$47*0.097)))+0.30*(2*((SIN(((Model_Data!A225)*12.9898+(0)*78.233+Inputs!$C$47*37.719))*43758.5453)-INT((SIN(((Model_Data!A225)*12.9898+(0)*78.233+Inputs!$C$47*37.719))*43758.5453)))-1)))</x:f>
        <x:v>-4.550946531934956</x:v>
      </x:c>
      <x:c r="H225" s="49"/>
      <x:c r="I225" s="48" t="n">
        <x:f>Model_Data!A225</x:f>
        <x:v>51.5</x:v>
      </x:c>
      <x:c r="J225" s="48" t="n">
        <x:f>((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(0.45*SIN(2*PI()*(((Model_Data!A225)/Inputs!$C$49)+Inputs!$C$47*0.137))+0.35*COS(2*PI()*(((Inputs!$C$6)/Inputs!$C$50)+Inputs!$C$47*0.173))+0.20*SIN(2*PI()*(((Model_Data!A225)+(Inputs!$C$6))/(0.5*(Inputs!$C$49+Inputs!$C$50))+Inputs!$C$47*0.097)))+0.30*(2*((SIN(((Model_Data!A225)*12.9898+(Inputs!$C$6)*78.233+Inputs!$C$47*37.719))*43758.5453)-INT((SIN(((Model_Data!A225)*12.9898+(Inputs!$C$6)*78.233+Inputs!$C$47*37.719))*43758.5453)))-1))))-((Inputs!$C$51*(115*EXP(-(((0)-25)^2)/(4.5^2))+70*EXP(-(((0)+38)^2)/(7^2))*(0.55+0.45*SIN(2*PI()*(Model_Data!A225)/45))+24*SIN(2*PI()*(0)/9+(Model_Data!A225)/18)*EXP(-(((0)+5)^2)/(22^2))+18*SIN(2*PI()*(Model_Data!A225)/70))+Inputs!$C$28*EXP(-(((Model_Data!A225)-Inputs!$C$29)^2)/(2*Inputs!$C$31^2))*EXP(-(((0)-Inputs!$C$30)^2)/(2*Inputs!$C$32^2))+-Inputs!$C$33*EXP(-(((((Model_Data!A225)-Inputs!$C$34)^2)+(((0)-Inputs!$C$35)^2))/(2*Inputs!$C$36^2)))+Inputs!$C$37*(0.55*SIN(2*PI()*(Model_Data!A225)/Inputs!$C$39)+0.35*COS(2*PI()*(0)/Inputs!$C$40)+0.2*SIN(2*PI()*((Model_Data!A225)+(0))/(0.5*(Inputs!$C$39+Inputs!$C$40))))+Inputs!$C$38*SIN(2*PI()*(Model_Data!A225)/Inputs!$C$39)*SIN(2*PI()*(0)/Inputs!$C$40)+-Inputs!$C$41*EXP(-(((0)-Inputs!$C$43)^2)/(2*Inputs!$C$44^2))*EXP(-(((Model_Data!A225)-Inputs!$C$42)^2)/(2*Inputs!$C$45^2))+Inputs!$C$48*(0.70*(0.45*SIN(2*PI()*(((Model_Data!A225)/Inputs!$C$49)+Inputs!$C$47*0.137))+0.35*COS(2*PI()*(((0)/Inputs!$C$50)+Inputs!$C$47*0.173))+0.20*SIN(2*PI()*(((Model_Data!A225)+(0))/(0.5*(Inputs!$C$49+Inputs!$C$50))+Inputs!$C$47*0.097)))+0.30*(2*((SIN(((Model_Data!A225)*12.9898+(0)*78.233+Inputs!$C$47*37.719))*43758.5453)-INT((SIN(((Model_Data!A225)*12.9898+(0)*78.233+Inputs!$C$47*37.719))*43758.5453)))-1))))</x:f>
        <x:v>164.1692596972093</x:v>
      </x:c>
      <x:c r="K225" s="48" t="n">
        <x:f>-((((SQRT((Model_Data!A225)^2+Inputs!$C$6^2+((Model_Data!B225)-((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(0.45*SIN(2*PI()*(((Model_Data!A225)/Inputs!$C$49)+Inputs!$C$47*0.137))+0.35*COS(2*PI()*(((Inputs!$C$6)/Inputs!$C$50)+Inputs!$C$47*0.173))+0.20*SIN(2*PI()*(((Model_Data!A225)+(Inputs!$C$6))/(0.5*(Inputs!$C$49+Inputs!$C$50))+Inputs!$C$47*0.097)))+0.30*(2*((SIN(((Model_Data!A225)*12.9898+(Inputs!$C$6)*78.233+Inputs!$C$47*37.719))*43758.5453)-INT((SIN(((Model_Data!A225)*12.9898+(Inputs!$C$6)*78.233+Inputs!$C$47*37.719))*43758.5453)))-1))))/1000)^2))-(((Model_Data!B225)-((Inputs!$C$51*(115*EXP(-(((0)-25)^2)/(4.5^2))+70*EXP(-(((0)+38)^2)/(7^2))*(0.55+0.45*SIN(2*PI()*(Model_Data!A225)/45))+24*SIN(2*PI()*(0)/9+(Model_Data!A225)/18)*EXP(-(((0)+5)^2)/(22^2))+18*SIN(2*PI()*(Model_Data!A225)/70))+Inputs!$C$28*EXP(-(((Model_Data!A225)-Inputs!$C$29)^2)/(2*Inputs!$C$31^2))*EXP(-(((0)-Inputs!$C$30)^2)/(2*Inputs!$C$32^2))+-Inputs!$C$33*EXP(-(((((Model_Data!A225)-Inputs!$C$34)^2)+(((0)-Inputs!$C$35)^2))/(2*Inputs!$C$36^2)))+Inputs!$C$37*(0.55*SIN(2*PI()*(Model_Data!A225)/Inputs!$C$39)+0.35*COS(2*PI()*(0)/Inputs!$C$40)+0.2*SIN(2*PI()*((Model_Data!A225)+(0))/(0.5*(Inputs!$C$39+Inputs!$C$40))))+Inputs!$C$38*SIN(2*PI()*(Model_Data!A225)/Inputs!$C$39)*SIN(2*PI()*(0)/Inputs!$C$40)+-Inputs!$C$41*EXP(-(((0)-Inputs!$C$43)^2)/(2*Inputs!$C$44^2))*EXP(-(((Model_Data!A225)-Inputs!$C$42)^2)/(2*Inputs!$C$45^2))+Inputs!$C$48*(0.70*(0.45*SIN(2*PI()*(((Model_Data!A225)/Inputs!$C$49)+Inputs!$C$47*0.137))+0.35*COS(2*PI()*(((0)/Inputs!$C$50)+Inputs!$C$47*0.173))+0.20*SIN(2*PI()*(((Model_Data!A225)+(0))/(0.5*(Inputs!$C$49+Inputs!$C$50))+Inputs!$C$47*0.097)))+0.30*(2*((SIN(((Model_Data!A225)*12.9898+(0)*78.233+Inputs!$C$47*37.719))*43758.5453)-INT((SIN(((Model_Data!A225)*12.9898+(0)*78.233+Inputs!$C$47*37.719))*43758.5453)))-1))))/1000)))*1000/Inputs!$C$12)-Model_Data!F225)</x:f>
        <x:v>91.33805094261652</x:v>
      </x:c>
      <x:c r="L225" s="49"/>
      <x:c r="M225" s="48" t="n">
        <x:f>Model_Data!A225</x:f>
        <x:v>51.5</x:v>
      </x:c>
      <x:c r="N225" s="48" t="n">
        <x:f>Model_Data!P225</x:f>
        <x:v>-383.75100822299083</x:v>
      </x:c>
      <x:c r="O225" s="48" t="n">
        <x:f>AC225</x:f>
        <x:v>-336.44395710362005</x:v>
      </x:c>
      <x:c r="P225" s="48" t="n">
        <x:f>Model_Data!Q225</x:f>
        <x:v>-57.62027150495358</x:v>
      </x:c>
      <x:c r="Q225" s="48" t="n">
        <x:f>AD225</x:f>
        <x:v>-50.51711067621923</x:v>
      </x:c>
      <x:c r="R225" s="49"/>
      <x:c r="S225" s="48" t="n">
        <x:f>Model_Data!A225</x:f>
        <x:v>51.5</x:v>
      </x:c>
      <x:c r="T225" s="48" t="n">
        <x:f>Model_Data!B225-Inputs!$C$5</x:f>
        <x:v>2.946944444444455</x:v>
      </x:c>
      <x:c r="U225" s="49"/>
      <x:c r="V225" s="48" t="n">
        <x:f>Model_Data!A225</x:f>
        <x:v>51.5</x:v>
      </x:c>
      <x:c r="W225" s="48" t="n">
        <x:f>(-((((SQRT((Model_Data!A225)^2+Inputs!$C$6^2+((Model_Data!B225)-((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(0.45*SIN(2*PI()*(((Model_Data!A225)/Inputs!$C$49)+Inputs!$C$47*0.137))+0.35*COS(2*PI()*(((Inputs!$C$6)/Inputs!$C$50)+Inputs!$C$47*0.173))+0.20*SIN(2*PI()*(((Model_Data!A225)+(Inputs!$C$6))/(0.5*(Inputs!$C$49+Inputs!$C$50))+Inputs!$C$47*0.097)))+0.30*(2*((SIN(((Model_Data!A225)*12.9898+(Inputs!$C$6)*78.233+Inputs!$C$47*37.719))*43758.5453)-INT((SIN(((Model_Data!A225)*12.9898+(Inputs!$C$6)*78.233+Inputs!$C$47*37.719))*43758.5453)))-1))))/1000)^2))-(((Model_Data!B225)-((Inputs!$C$51*(115*EXP(-(((0)-25)^2)/(4.5^2))+70*EXP(-(((0)+38)^2)/(7^2))*(0.55+0.45*SIN(2*PI()*(Model_Data!A225)/45))+24*SIN(2*PI()*(0)/9+(Model_Data!A225)/18)*EXP(-(((0)+5)^2)/(22^2))+18*SIN(2*PI()*(Model_Data!A225)/70))+Inputs!$C$28*EXP(-(((Model_Data!A225)-Inputs!$C$29)^2)/(2*Inputs!$C$31^2))*EXP(-(((0)-Inputs!$C$30)^2)/(2*Inputs!$C$32^2))+-Inputs!$C$33*EXP(-(((((Model_Data!A225)-Inputs!$C$34)^2)+(((0)-Inputs!$C$35)^2))/(2*Inputs!$C$36^2)))+Inputs!$C$37*(0.55*SIN(2*PI()*(Model_Data!A225)/Inputs!$C$39)+0.35*COS(2*PI()*(0)/Inputs!$C$40)+0.2*SIN(2*PI()*((Model_Data!A225)+(0))/(0.5*(Inputs!$C$39+Inputs!$C$40))))+Inputs!$C$38*SIN(2*PI()*(Model_Data!A225)/Inputs!$C$39)*SIN(2*PI()*(0)/Inputs!$C$40)+-Inputs!$C$41*EXP(-(((0)-Inputs!$C$43)^2)/(2*Inputs!$C$44^2))*EXP(-(((Model_Data!A225)-Inputs!$C$42)^2)/(2*Inputs!$C$45^2))+Inputs!$C$48*(0.70*(0.45*SIN(2*PI()*(((Model_Data!A225)/Inputs!$C$49)+Inputs!$C$47*0.137))+0.35*COS(2*PI()*(((0)/Inputs!$C$50)+Inputs!$C$47*0.173))+0.20*SIN(2*PI()*(((Model_Data!A225)+(0))/(0.5*(Inputs!$C$49+Inputs!$C$50))+Inputs!$C$47*0.097)))+0.30*(2*((SIN(((Model_Data!A225)*12.9898+(0)*78.233+Inputs!$C$47*37.719))*43758.5453)-INT((SIN(((Model_Data!A225)*12.9898+(0)*78.233+Inputs!$C$47*37.719))*43758.5453)))-1))))/1000)))*1000/Inputs!$C$12)-Model_Data!F225))-(-(((SQRT((Model_Data!A225)^2+Inputs!$C$6^2+(Inputs!$C$5-((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(0.45*SIN(2*PI()*(((Model_Data!A225)/Inputs!$C$49)+Inputs!$C$47*0.137))+0.35*COS(2*PI()*(((Inputs!$C$6)/Inputs!$C$50)+Inputs!$C$47*0.173))+0.20*SIN(2*PI()*(((Model_Data!A225)+(Inputs!$C$6))/(0.5*(Inputs!$C$49+Inputs!$C$50))+Inputs!$C$47*0.097)))+0.30*(2*((SIN(((Model_Data!A225)*12.9898+(Inputs!$C$6)*78.233+Inputs!$C$47*37.719))*43758.5453)-INT((SIN(((Model_Data!A225)*12.9898+(Inputs!$C$6)*78.233+Inputs!$C$47*37.719))*43758.5453)))-1))))/1000)^2)-(Inputs!$C$5-((Inputs!$C$51*(115*EXP(-(((0)-25)^2)/(4.5^2))+70*EXP(-(((0)+38)^2)/(7^2))*(0.55+0.45*SIN(2*PI()*(Model_Data!A225)/45))+24*SIN(2*PI()*(0)/9+(Model_Data!A225)/18)*EXP(-(((0)+5)^2)/(22^2))+18*SIN(2*PI()*(Model_Data!A225)/70))+Inputs!$C$28*EXP(-(((Model_Data!A225)-Inputs!$C$29)^2)/(2*Inputs!$C$31^2))*EXP(-(((0)-Inputs!$C$30)^2)/(2*Inputs!$C$32^2))+-Inputs!$C$33*EXP(-(((((Model_Data!A225)-Inputs!$C$34)^2)+(((0)-Inputs!$C$35)^2))/(2*Inputs!$C$36^2)))+Inputs!$C$37*(0.55*SIN(2*PI()*(Model_Data!A225)/Inputs!$C$39)+0.35*COS(2*PI()*(0)/Inputs!$C$40)+0.2*SIN(2*PI()*((Model_Data!A225)+(0))/(0.5*(Inputs!$C$39+Inputs!$C$40))))+Inputs!$C$38*SIN(2*PI()*(Model_Data!A225)/Inputs!$C$39)*SIN(2*PI()*(0)/Inputs!$C$40)+-Inputs!$C$41*EXP(-(((0)-Inputs!$C$43)^2)/(2*Inputs!$C$44^2))*EXP(-(((Model_Data!A225)-Inputs!$C$42)^2)/(2*Inputs!$C$45^2))+Inputs!$C$48*(0.70*(0.45*SIN(2*PI()*(((Model_Data!A225)/Inputs!$C$49)+Inputs!$C$47*0.137))+0.35*COS(2*PI()*(((0)/Inputs!$C$50)+Inputs!$C$47*0.173))+0.20*SIN(2*PI()*(((Model_Data!A225)+(0))/(0.5*(Inputs!$C$49+Inputs!$C$50))+Inputs!$C$47*0.097)))+0.30*(2*((SIN(((Model_Data!A225)*12.9898+(0)*78.233+Inputs!$C$47*37.719))*43758.5453)-INT((SIN(((Model_Data!A225)*12.9898+(0)*78.233+Inputs!$C$47*37.719))*43758.5453)))-1))))/1000))*1000/Inputs!$C$12)-((SQRT((Model_Data!A225)^2+Inputs!$C$6^2+Inputs!$C$5^2)-Inputs!$C$5)*1000/Inputs!$C$12)))</x:f>
        <x:v>0.01299349615283063</x:v>
      </x:c>
      <x:c r="X225" s="48" t="n">
        <x:f>0</x:f>
        <x:v>0</x:v>
      </x:c>
      <x:c r="Y225" s="49"/>
      <x:c r="Z225" s="48" t="n">
        <x:f>Model_Data!A225</x:f>
        <x:v>51.5</x:v>
      </x:c>
      <x:c r="AA225" s="48" t="n">
        <x:f>SQRT((Model_Data!A225)^2+Inputs!$C$6^2+((Model_Data!B225)-((Inputs!$C$51*(115*EXP(-(((Inputs!$C$6)-25)^2)/(4.5^2))+70*EXP(-(((Inputs!$C$6)+38)^2)/(7^2))*(0.55+0.45*SIN(2*PI()*(Model_Data!A225)/45))+24*SIN(2*PI()*(Inputs!$C$6)/9+(Model_Data!A225)/18)*EXP(-(((Inputs!$C$6)+5)^2)/(22^2))+18*SIN(2*PI()*(Model_Data!A225)/70))+Inputs!$C$28*EXP(-(((Model_Data!A225)-Inputs!$C$29)^2)/(2*Inputs!$C$31^2))*EXP(-(((Inputs!$C$6)-Inputs!$C$30)^2)/(2*Inputs!$C$32^2))+-Inputs!$C$33*EXP(-(((((Model_Data!A225)-Inputs!$C$34)^2)+(((Inputs!$C$6)-Inputs!$C$35)^2))/(2*Inputs!$C$36^2)))+Inputs!$C$37*(0.55*SIN(2*PI()*(Model_Data!A225)/Inputs!$C$39)+0.35*COS(2*PI()*(Inputs!$C$6)/Inputs!$C$40)+0.2*SIN(2*PI()*((Model_Data!A225)+(Inputs!$C$6))/(0.5*(Inputs!$C$39+Inputs!$C$40))))+Inputs!$C$38*SIN(2*PI()*(Model_Data!A225)/Inputs!$C$39)*SIN(2*PI()*(Inputs!$C$6)/Inputs!$C$40)+-Inputs!$C$41*EXP(-(((Inputs!$C$6)-Inputs!$C$43)^2)/(2*Inputs!$C$44^2))*EXP(-(((Model_Data!A225)-Inputs!$C$42)^2)/(2*Inputs!$C$45^2))+Inputs!$C$48*(0.70*(0.45*SIN(2*PI()*(((Model_Data!A225)/Inputs!$C$49)+Inputs!$C$47*0.137))+0.35*COS(2*PI()*(((Inputs!$C$6)/Inputs!$C$50)+Inputs!$C$47*0.173))+0.20*SIN(2*PI()*(((Model_Data!A225)+(Inputs!$C$6))/(0.5*(Inputs!$C$49+Inputs!$C$50))+Inputs!$C$47*0.097)))+0.30*(2*((SIN(((Model_Data!A225)*12.9898+(Inputs!$C$6)*78.233+Inputs!$C$47*37.719))*43758.5453)-INT((SIN(((Model_Data!A225)*12.9898+(Inputs!$C$6)*78.233+Inputs!$C$47*37.719))*43758.5453)))-1))))/1000)^2)</x:f>
        <x:v>406.83520016338986</x:v>
      </x:c>
      <x:c r="AB225" s="48" t="n">
        <x:f>1000*(AA226-AA224)/(Z226-Z224)*Inputs!$C$11</x:f>
        <x:v>841.1098927590501</x:v>
      </x:c>
      <x:c r="AC225" s="48" t="n">
        <x:f>-2*AB225/Inputs!$C$13</x:f>
        <x:v>-336.44395710362005</x:v>
      </x:c>
      <x:c r="AD225" s="48" t="n">
        <x:f>-2*AB225/Inputs!$C$14</x:f>
        <x:v>-50.51711067621923</x:v>
      </x:c>
    </x:row>
    <x:row r="226">
      <x:c r="A226" s="48" t="n">
        <x:f>Model_Data!A226</x:f>
        <x:v>52</x:v>
      </x:c>
      <x:c r="B226" s="48" t="n">
        <x:f>Model_Data!F226</x:f>
        <x:v>2308.5826212735265</x:v>
      </x:c>
      <x:c r="C226" s="48" t="n">
        <x:f>(((SQRT((Model_Data!A226)^2+Inputs!$C$6^2+((Model_Data!B226)-((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(0.45*SIN(2*PI()*(((Model_Data!A226)/Inputs!$C$49)+Inputs!$C$47*0.137))+0.35*COS(2*PI()*(((Inputs!$C$6)/Inputs!$C$50)+Inputs!$C$47*0.173))+0.20*SIN(2*PI()*(((Model_Data!A226)+(Inputs!$C$6))/(0.5*(Inputs!$C$49+Inputs!$C$50))+Inputs!$C$47*0.097)))+0.30*(2*((SIN(((Model_Data!A226)*12.9898+(Inputs!$C$6)*78.233+Inputs!$C$47*37.719))*43758.5453)-INT((SIN(((Model_Data!A226)*12.9898+(Inputs!$C$6)*78.233+Inputs!$C$47*37.719))*43758.5453)))-1))))/1000)^2))-(((Model_Data!B226)-((Inputs!$C$51*(115*EXP(-(((0)-25)^2)/(4.5^2))+70*EXP(-(((0)+38)^2)/(7^2))*(0.55+0.45*SIN(2*PI()*(Model_Data!A226)/45))+24*SIN(2*PI()*(0)/9+(Model_Data!A226)/18)*EXP(-(((0)+5)^2)/(22^2))+18*SIN(2*PI()*(Model_Data!A226)/70))+Inputs!$C$28*EXP(-(((Model_Data!A226)-Inputs!$C$29)^2)/(2*Inputs!$C$31^2))*EXP(-(((0)-Inputs!$C$30)^2)/(2*Inputs!$C$32^2))+-Inputs!$C$33*EXP(-(((((Model_Data!A226)-Inputs!$C$34)^2)+(((0)-Inputs!$C$35)^2))/(2*Inputs!$C$36^2)))+Inputs!$C$37*(0.55*SIN(2*PI()*(Model_Data!A226)/Inputs!$C$39)+0.35*COS(2*PI()*(0)/Inputs!$C$40)+0.2*SIN(2*PI()*((Model_Data!A226)+(0))/(0.5*(Inputs!$C$39+Inputs!$C$40))))+Inputs!$C$38*SIN(2*PI()*(Model_Data!A226)/Inputs!$C$39)*SIN(2*PI()*(0)/Inputs!$C$40)+-Inputs!$C$41*EXP(-(((0)-Inputs!$C$43)^2)/(2*Inputs!$C$44^2))*EXP(-(((Model_Data!A226)-Inputs!$C$42)^2)/(2*Inputs!$C$45^2))+Inputs!$C$48*(0.70*(0.45*SIN(2*PI()*(((Model_Data!A226)/Inputs!$C$49)+Inputs!$C$47*0.137))+0.35*COS(2*PI()*(((0)/Inputs!$C$50)+Inputs!$C$47*0.173))+0.20*SIN(2*PI()*(((Model_Data!A226)+(0))/(0.5*(Inputs!$C$49+Inputs!$C$50))+Inputs!$C$47*0.097)))+0.30*(2*((SIN(((Model_Data!A226)*12.9898+(0)*78.233+Inputs!$C$47*37.719))*43758.5453)-INT((SIN(((Model_Data!A226)*12.9898+(0)*78.233+Inputs!$C$47*37.719))*43758.5453)))-1))))/1000)))*1000/Inputs!$C$12)</x:f>
        <x:v>2211.3029541142705</x:v>
      </x:c>
      <x:c r="D226" s="49"/>
      <x:c r="E226" s="48" t="n">
        <x:f>Model_Data!A226</x:f>
        <x:v>52</x:v>
      </x:c>
      <x:c r="F226" s="48" t="n">
        <x:f>(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(0.45*SIN(2*PI()*(((Model_Data!A226)/Inputs!$C$49)+Inputs!$C$47*0.137))+0.35*COS(2*PI()*(((Inputs!$C$6)/Inputs!$C$50)+Inputs!$C$47*0.173))+0.20*SIN(2*PI()*(((Model_Data!A226)+(Inputs!$C$6))/(0.5*(Inputs!$C$49+Inputs!$C$50))+Inputs!$C$47*0.097)))+0.30*(2*((SIN(((Model_Data!A226)*12.9898+(Inputs!$C$6)*78.233+Inputs!$C$47*37.719))*43758.5453)-INT((SIN(((Model_Data!A226)*12.9898+(Inputs!$C$6)*78.233+Inputs!$C$47*37.719))*43758.5453)))-1)))</x:f>
        <x:v>166.9931224443313</x:v>
      </x:c>
      <x:c r="G226" s="48" t="n">
        <x:f>(Inputs!$C$51*(115*EXP(-(((0)-25)^2)/(4.5^2))+70*EXP(-(((0)+38)^2)/(7^2))*(0.55+0.45*SIN(2*PI()*(Model_Data!A226)/45))+24*SIN(2*PI()*(0)/9+(Model_Data!A226)/18)*EXP(-(((0)+5)^2)/(22^2))+18*SIN(2*PI()*(Model_Data!A226)/70))+Inputs!$C$28*EXP(-(((Model_Data!A226)-Inputs!$C$29)^2)/(2*Inputs!$C$31^2))*EXP(-(((0)-Inputs!$C$30)^2)/(2*Inputs!$C$32^2))+-Inputs!$C$33*EXP(-(((((Model_Data!A226)-Inputs!$C$34)^2)+(((0)-Inputs!$C$35)^2))/(2*Inputs!$C$36^2)))+Inputs!$C$37*(0.55*SIN(2*PI()*(Model_Data!A226)/Inputs!$C$39)+0.35*COS(2*PI()*(0)/Inputs!$C$40)+0.2*SIN(2*PI()*((Model_Data!A226)+(0))/(0.5*(Inputs!$C$39+Inputs!$C$40))))+Inputs!$C$38*SIN(2*PI()*(Model_Data!A226)/Inputs!$C$39)*SIN(2*PI()*(0)/Inputs!$C$40)+-Inputs!$C$41*EXP(-(((0)-Inputs!$C$43)^2)/(2*Inputs!$C$44^2))*EXP(-(((Model_Data!A226)-Inputs!$C$42)^2)/(2*Inputs!$C$45^2))+Inputs!$C$48*(0.70*(0.45*SIN(2*PI()*(((Model_Data!A226)/Inputs!$C$49)+Inputs!$C$47*0.137))+0.35*COS(2*PI()*(((0)/Inputs!$C$50)+Inputs!$C$47*0.173))+0.20*SIN(2*PI()*(((Model_Data!A226)+(0))/(0.5*(Inputs!$C$49+Inputs!$C$50))+Inputs!$C$47*0.097)))+0.30*(2*((SIN(((Model_Data!A226)*12.9898+(0)*78.233+Inputs!$C$47*37.719))*43758.5453)-INT((SIN(((Model_Data!A226)*12.9898+(0)*78.233+Inputs!$C$47*37.719))*43758.5453)))-1)))</x:f>
        <x:v>-7.85094902162108</x:v>
      </x:c>
      <x:c r="H226" s="49"/>
      <x:c r="I226" s="48" t="n">
        <x:f>Model_Data!A226</x:f>
        <x:v>52</x:v>
      </x:c>
      <x:c r="J226" s="48" t="n">
        <x:f>((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(0.45*SIN(2*PI()*(((Model_Data!A226)/Inputs!$C$49)+Inputs!$C$47*0.137))+0.35*COS(2*PI()*(((Inputs!$C$6)/Inputs!$C$50)+Inputs!$C$47*0.173))+0.20*SIN(2*PI()*(((Model_Data!A226)+(Inputs!$C$6))/(0.5*(Inputs!$C$49+Inputs!$C$50))+Inputs!$C$47*0.097)))+0.30*(2*((SIN(((Model_Data!A226)*12.9898+(Inputs!$C$6)*78.233+Inputs!$C$47*37.719))*43758.5453)-INT((SIN(((Model_Data!A226)*12.9898+(Inputs!$C$6)*78.233+Inputs!$C$47*37.719))*43758.5453)))-1))))-((Inputs!$C$51*(115*EXP(-(((0)-25)^2)/(4.5^2))+70*EXP(-(((0)+38)^2)/(7^2))*(0.55+0.45*SIN(2*PI()*(Model_Data!A226)/45))+24*SIN(2*PI()*(0)/9+(Model_Data!A226)/18)*EXP(-(((0)+5)^2)/(22^2))+18*SIN(2*PI()*(Model_Data!A226)/70))+Inputs!$C$28*EXP(-(((Model_Data!A226)-Inputs!$C$29)^2)/(2*Inputs!$C$31^2))*EXP(-(((0)-Inputs!$C$30)^2)/(2*Inputs!$C$32^2))+-Inputs!$C$33*EXP(-(((((Model_Data!A226)-Inputs!$C$34)^2)+(((0)-Inputs!$C$35)^2))/(2*Inputs!$C$36^2)))+Inputs!$C$37*(0.55*SIN(2*PI()*(Model_Data!A226)/Inputs!$C$39)+0.35*COS(2*PI()*(0)/Inputs!$C$40)+0.2*SIN(2*PI()*((Model_Data!A226)+(0))/(0.5*(Inputs!$C$39+Inputs!$C$40))))+Inputs!$C$38*SIN(2*PI()*(Model_Data!A226)/Inputs!$C$39)*SIN(2*PI()*(0)/Inputs!$C$40)+-Inputs!$C$41*EXP(-(((0)-Inputs!$C$43)^2)/(2*Inputs!$C$44^2))*EXP(-(((Model_Data!A226)-Inputs!$C$42)^2)/(2*Inputs!$C$45^2))+Inputs!$C$48*(0.70*(0.45*SIN(2*PI()*(((Model_Data!A226)/Inputs!$C$49)+Inputs!$C$47*0.137))+0.35*COS(2*PI()*(((0)/Inputs!$C$50)+Inputs!$C$47*0.173))+0.20*SIN(2*PI()*(((Model_Data!A226)+(0))/(0.5*(Inputs!$C$49+Inputs!$C$50))+Inputs!$C$47*0.097)))+0.30*(2*((SIN(((Model_Data!A226)*12.9898+(0)*78.233+Inputs!$C$47*37.719))*43758.5453)-INT((SIN(((Model_Data!A226)*12.9898+(0)*78.233+Inputs!$C$47*37.719))*43758.5453)))-1))))</x:f>
        <x:v>174.8440714659524</x:v>
      </x:c>
      <x:c r="K226" s="48" t="n">
        <x:f>-((((SQRT((Model_Data!A226)^2+Inputs!$C$6^2+((Model_Data!B226)-((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(0.45*SIN(2*PI()*(((Model_Data!A226)/Inputs!$C$49)+Inputs!$C$47*0.137))+0.35*COS(2*PI()*(((Inputs!$C$6)/Inputs!$C$50)+Inputs!$C$47*0.173))+0.20*SIN(2*PI()*(((Model_Data!A226)+(Inputs!$C$6))/(0.5*(Inputs!$C$49+Inputs!$C$50))+Inputs!$C$47*0.097)))+0.30*(2*((SIN(((Model_Data!A226)*12.9898+(Inputs!$C$6)*78.233+Inputs!$C$47*37.719))*43758.5453)-INT((SIN(((Model_Data!A226)*12.9898+(Inputs!$C$6)*78.233+Inputs!$C$47*37.719))*43758.5453)))-1))))/1000)^2))-(((Model_Data!B226)-((Inputs!$C$51*(115*EXP(-(((0)-25)^2)/(4.5^2))+70*EXP(-(((0)+38)^2)/(7^2))*(0.55+0.45*SIN(2*PI()*(Model_Data!A226)/45))+24*SIN(2*PI()*(0)/9+(Model_Data!A226)/18)*EXP(-(((0)+5)^2)/(22^2))+18*SIN(2*PI()*(Model_Data!A226)/70))+Inputs!$C$28*EXP(-(((Model_Data!A226)-Inputs!$C$29)^2)/(2*Inputs!$C$31^2))*EXP(-(((0)-Inputs!$C$30)^2)/(2*Inputs!$C$32^2))+-Inputs!$C$33*EXP(-(((((Model_Data!A226)-Inputs!$C$34)^2)+(((0)-Inputs!$C$35)^2))/(2*Inputs!$C$36^2)))+Inputs!$C$37*(0.55*SIN(2*PI()*(Model_Data!A226)/Inputs!$C$39)+0.35*COS(2*PI()*(0)/Inputs!$C$40)+0.2*SIN(2*PI()*((Model_Data!A226)+(0))/(0.5*(Inputs!$C$39+Inputs!$C$40))))+Inputs!$C$38*SIN(2*PI()*(Model_Data!A226)/Inputs!$C$39)*SIN(2*PI()*(0)/Inputs!$C$40)+-Inputs!$C$41*EXP(-(((0)-Inputs!$C$43)^2)/(2*Inputs!$C$44^2))*EXP(-(((Model_Data!A226)-Inputs!$C$42)^2)/(2*Inputs!$C$45^2))+Inputs!$C$48*(0.70*(0.45*SIN(2*PI()*(((Model_Data!A226)/Inputs!$C$49)+Inputs!$C$47*0.137))+0.35*COS(2*PI()*(((0)/Inputs!$C$50)+Inputs!$C$47*0.173))+0.20*SIN(2*PI()*(((Model_Data!A226)+(0))/(0.5*(Inputs!$C$49+Inputs!$C$50))+Inputs!$C$47*0.097)))+0.30*(2*((SIN(((Model_Data!A226)*12.9898+(0)*78.233+Inputs!$C$47*37.719))*43758.5453)-INT((SIN(((Model_Data!A226)*12.9898+(0)*78.233+Inputs!$C$47*37.719))*43758.5453)))-1))))/1000)))*1000/Inputs!$C$12)-Model_Data!F226)</x:f>
        <x:v>97.27966715925595</x:v>
      </x:c>
      <x:c r="L226" s="49"/>
      <x:c r="M226" s="48" t="n">
        <x:f>Model_Data!A226</x:f>
        <x:v>52</x:v>
      </x:c>
      <x:c r="N226" s="48" t="n">
        <x:f>Model_Data!P226</x:f>
        <x:v>-387.38818079022377</x:v>
      </x:c>
      <x:c r="O226" s="48" t="n">
        <x:f>AC226</x:f>
        <x:v>-380.41849649443975</x:v>
      </x:c>
      <x:c r="P226" s="48" t="n">
        <x:f>Model_Data!Q226</x:f>
        <x:v>-58.166393512045616</x:v>
      </x:c>
      <x:c r="Q226" s="48" t="n">
        <x:f>AD226</x:f>
        <x:v>-57.1198943685345</x:v>
      </x:c>
      <x:c r="R226" s="49"/>
      <x:c r="S226" s="48" t="n">
        <x:f>Model_Data!A226</x:f>
        <x:v>52</x:v>
      </x:c>
      <x:c r="T226" s="48" t="n">
        <x:f>Model_Data!B226-Inputs!$C$5</x:f>
        <x:v>3.0044444444444594</x:v>
      </x:c>
      <x:c r="U226" s="49"/>
      <x:c r="V226" s="48" t="n">
        <x:f>Model_Data!A226</x:f>
        <x:v>52</x:v>
      </x:c>
      <x:c r="W226" s="48" t="n">
        <x:f>(-((((SQRT((Model_Data!A226)^2+Inputs!$C$6^2+((Model_Data!B226)-((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(0.45*SIN(2*PI()*(((Model_Data!A226)/Inputs!$C$49)+Inputs!$C$47*0.137))+0.35*COS(2*PI()*(((Inputs!$C$6)/Inputs!$C$50)+Inputs!$C$47*0.173))+0.20*SIN(2*PI()*(((Model_Data!A226)+(Inputs!$C$6))/(0.5*(Inputs!$C$49+Inputs!$C$50))+Inputs!$C$47*0.097)))+0.30*(2*((SIN(((Model_Data!A226)*12.9898+(Inputs!$C$6)*78.233+Inputs!$C$47*37.719))*43758.5453)-INT((SIN(((Model_Data!A226)*12.9898+(Inputs!$C$6)*78.233+Inputs!$C$47*37.719))*43758.5453)))-1))))/1000)^2))-(((Model_Data!B226)-((Inputs!$C$51*(115*EXP(-(((0)-25)^2)/(4.5^2))+70*EXP(-(((0)+38)^2)/(7^2))*(0.55+0.45*SIN(2*PI()*(Model_Data!A226)/45))+24*SIN(2*PI()*(0)/9+(Model_Data!A226)/18)*EXP(-(((0)+5)^2)/(22^2))+18*SIN(2*PI()*(Model_Data!A226)/70))+Inputs!$C$28*EXP(-(((Model_Data!A226)-Inputs!$C$29)^2)/(2*Inputs!$C$31^2))*EXP(-(((0)-Inputs!$C$30)^2)/(2*Inputs!$C$32^2))+-Inputs!$C$33*EXP(-(((((Model_Data!A226)-Inputs!$C$34)^2)+(((0)-Inputs!$C$35)^2))/(2*Inputs!$C$36^2)))+Inputs!$C$37*(0.55*SIN(2*PI()*(Model_Data!A226)/Inputs!$C$39)+0.35*COS(2*PI()*(0)/Inputs!$C$40)+0.2*SIN(2*PI()*((Model_Data!A226)+(0))/(0.5*(Inputs!$C$39+Inputs!$C$40))))+Inputs!$C$38*SIN(2*PI()*(Model_Data!A226)/Inputs!$C$39)*SIN(2*PI()*(0)/Inputs!$C$40)+-Inputs!$C$41*EXP(-(((0)-Inputs!$C$43)^2)/(2*Inputs!$C$44^2))*EXP(-(((Model_Data!A226)-Inputs!$C$42)^2)/(2*Inputs!$C$45^2))+Inputs!$C$48*(0.70*(0.45*SIN(2*PI()*(((Model_Data!A226)/Inputs!$C$49)+Inputs!$C$47*0.137))+0.35*COS(2*PI()*(((0)/Inputs!$C$50)+Inputs!$C$47*0.173))+0.20*SIN(2*PI()*(((Model_Data!A226)+(0))/(0.5*(Inputs!$C$49+Inputs!$C$50))+Inputs!$C$47*0.097)))+0.30*(2*((SIN(((Model_Data!A226)*12.9898+(0)*78.233+Inputs!$C$47*37.719))*43758.5453)-INT((SIN(((Model_Data!A226)*12.9898+(0)*78.233+Inputs!$C$47*37.719))*43758.5453)))-1))))/1000)))*1000/Inputs!$C$12)-Model_Data!F226))-(-(((SQRT((Model_Data!A226)^2+Inputs!$C$6^2+(Inputs!$C$5-((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(0.45*SIN(2*PI()*(((Model_Data!A226)/Inputs!$C$49)+Inputs!$C$47*0.137))+0.35*COS(2*PI()*(((Inputs!$C$6)/Inputs!$C$50)+Inputs!$C$47*0.173))+0.20*SIN(2*PI()*(((Model_Data!A226)+(Inputs!$C$6))/(0.5*(Inputs!$C$49+Inputs!$C$50))+Inputs!$C$47*0.097)))+0.30*(2*((SIN(((Model_Data!A226)*12.9898+(Inputs!$C$6)*78.233+Inputs!$C$47*37.719))*43758.5453)-INT((SIN(((Model_Data!A226)*12.9898+(Inputs!$C$6)*78.233+Inputs!$C$47*37.719))*43758.5453)))-1))))/1000)^2)-(Inputs!$C$5-((Inputs!$C$51*(115*EXP(-(((0)-25)^2)/(4.5^2))+70*EXP(-(((0)+38)^2)/(7^2))*(0.55+0.45*SIN(2*PI()*(Model_Data!A226)/45))+24*SIN(2*PI()*(0)/9+(Model_Data!A226)/18)*EXP(-(((0)+5)^2)/(22^2))+18*SIN(2*PI()*(Model_Data!A226)/70))+Inputs!$C$28*EXP(-(((Model_Data!A226)-Inputs!$C$29)^2)/(2*Inputs!$C$31^2))*EXP(-(((0)-Inputs!$C$30)^2)/(2*Inputs!$C$32^2))+-Inputs!$C$33*EXP(-(((((Model_Data!A226)-Inputs!$C$34)^2)+(((0)-Inputs!$C$35)^2))/(2*Inputs!$C$36^2)))+Inputs!$C$37*(0.55*SIN(2*PI()*(Model_Data!A226)/Inputs!$C$39)+0.35*COS(2*PI()*(0)/Inputs!$C$40)+0.2*SIN(2*PI()*((Model_Data!A226)+(0))/(0.5*(Inputs!$C$39+Inputs!$C$40))))+Inputs!$C$38*SIN(2*PI()*(Model_Data!A226)/Inputs!$C$39)*SIN(2*PI()*(0)/Inputs!$C$40)+-Inputs!$C$41*EXP(-(((0)-Inputs!$C$43)^2)/(2*Inputs!$C$44^2))*EXP(-(((Model_Data!A226)-Inputs!$C$42)^2)/(2*Inputs!$C$45^2))+Inputs!$C$48*(0.70*(0.45*SIN(2*PI()*(((Model_Data!A226)/Inputs!$C$49)+Inputs!$C$47*0.137))+0.35*COS(2*PI()*(((0)/Inputs!$C$50)+Inputs!$C$47*0.173))+0.20*SIN(2*PI()*(((Model_Data!A226)+(0))/(0.5*(Inputs!$C$49+Inputs!$C$50))+Inputs!$C$47*0.097)))+0.30*(2*((SIN(((Model_Data!A226)*12.9898+(0)*78.233+Inputs!$C$47*37.719))*43758.5453)-INT((SIN(((Model_Data!A226)*12.9898+(0)*78.233+Inputs!$C$47*37.719))*43758.5453)))-1))))/1000))*1000/Inputs!$C$12)-((SQRT((Model_Data!A226)^2+Inputs!$C$6^2+Inputs!$C$5^2)-Inputs!$C$5)*1000/Inputs!$C$12)))</x:f>
        <x:v>0.014068702290387591</x:v>
      </x:c>
      <x:c r="X226" s="48" t="n">
        <x:f>0</x:f>
        <x:v>0</x:v>
      </x:c>
      <x:c r="Y226" s="49"/>
      <x:c r="Z226" s="48" t="n">
        <x:f>Model_Data!A226</x:f>
        <x:v>52</x:v>
      </x:c>
      <x:c r="AA226" s="48" t="n">
        <x:f>SQRT((Model_Data!A226)^2+Inputs!$C$6^2+((Model_Data!B226)-((Inputs!$C$51*(115*EXP(-(((Inputs!$C$6)-25)^2)/(4.5^2))+70*EXP(-(((Inputs!$C$6)+38)^2)/(7^2))*(0.55+0.45*SIN(2*PI()*(Model_Data!A226)/45))+24*SIN(2*PI()*(Inputs!$C$6)/9+(Model_Data!A226)/18)*EXP(-(((Inputs!$C$6)+5)^2)/(22^2))+18*SIN(2*PI()*(Model_Data!A226)/70))+Inputs!$C$28*EXP(-(((Model_Data!A226)-Inputs!$C$29)^2)/(2*Inputs!$C$31^2))*EXP(-(((Inputs!$C$6)-Inputs!$C$30)^2)/(2*Inputs!$C$32^2))+-Inputs!$C$33*EXP(-(((((Model_Data!A226)-Inputs!$C$34)^2)+(((Inputs!$C$6)-Inputs!$C$35)^2))/(2*Inputs!$C$36^2)))+Inputs!$C$37*(0.55*SIN(2*PI()*(Model_Data!A226)/Inputs!$C$39)+0.35*COS(2*PI()*(Inputs!$C$6)/Inputs!$C$40)+0.2*SIN(2*PI()*((Model_Data!A226)+(Inputs!$C$6))/(0.5*(Inputs!$C$39+Inputs!$C$40))))+Inputs!$C$38*SIN(2*PI()*(Model_Data!A226)/Inputs!$C$39)*SIN(2*PI()*(Inputs!$C$6)/Inputs!$C$40)+-Inputs!$C$41*EXP(-(((Inputs!$C$6)-Inputs!$C$43)^2)/(2*Inputs!$C$44^2))*EXP(-(((Model_Data!A226)-Inputs!$C$42)^2)/(2*Inputs!$C$45^2))+Inputs!$C$48*(0.70*(0.45*SIN(2*PI()*(((Model_Data!A226)/Inputs!$C$49)+Inputs!$C$47*0.137))+0.35*COS(2*PI()*(((Inputs!$C$6)/Inputs!$C$50)+Inputs!$C$47*0.173))+0.20*SIN(2*PI()*(((Model_Data!A226)+(Inputs!$C$6))/(0.5*(Inputs!$C$49+Inputs!$C$50))+Inputs!$C$47*0.097)))+0.30*(2*((SIN(((Model_Data!A226)*12.9898+(Inputs!$C$6)*78.233+Inputs!$C$47*37.719))*43758.5453)-INT((SIN(((Model_Data!A226)*12.9898+(Inputs!$C$6)*78.233+Inputs!$C$47*37.719))*43758.5453)))-1))))/1000)^2)</x:f>
        <x:v>406.9484146517895</x:v>
      </x:c>
      <x:c r="AB226" s="48" t="n">
        <x:f>1000*(AA227-AA225)/(Z227-Z225)*Inputs!$C$11</x:f>
        <x:v>951.0462412360994</x:v>
      </x:c>
      <x:c r="AC226" s="48" t="n">
        <x:f>-2*AB226/Inputs!$C$13</x:f>
        <x:v>-380.41849649443975</x:v>
      </x:c>
      <x:c r="AD226" s="48" t="n">
        <x:f>-2*AB226/Inputs!$C$14</x:f>
        <x:v>-57.1198943685345</x:v>
      </x:c>
    </x:row>
    <x:row r="227">
      <x:c r="A227" s="48" t="n">
        <x:f>Model_Data!A227</x:f>
        <x:v>52.5</x:v>
      </x:c>
      <x:c r="B227" s="48" t="n">
        <x:f>Model_Data!F227</x:f>
        <x:v>2344.296798599615</x:v>
      </x:c>
      <x:c r="C227" s="48" t="n">
        <x:f>(((SQRT((Model_Data!A227)^2+Inputs!$C$6^2+((Model_Data!B227)-((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(0.45*SIN(2*PI()*(((Model_Data!A227)/Inputs!$C$49)+Inputs!$C$47*0.137))+0.35*COS(2*PI()*(((Inputs!$C$6)/Inputs!$C$50)+Inputs!$C$47*0.173))+0.20*SIN(2*PI()*(((Model_Data!A227)+(Inputs!$C$6))/(0.5*(Inputs!$C$49+Inputs!$C$50))+Inputs!$C$47*0.097)))+0.30*(2*((SIN(((Model_Data!A227)*12.9898+(Inputs!$C$6)*78.233+Inputs!$C$47*37.719))*43758.5453)-INT((SIN(((Model_Data!A227)*12.9898+(Inputs!$C$6)*78.233+Inputs!$C$47*37.719))*43758.5453)))-1))))/1000)^2))-(((Model_Data!B227)-((Inputs!$C$51*(115*EXP(-(((0)-25)^2)/(4.5^2))+70*EXP(-(((0)+38)^2)/(7^2))*(0.55+0.45*SIN(2*PI()*(Model_Data!A227)/45))+24*SIN(2*PI()*(0)/9+(Model_Data!A227)/18)*EXP(-(((0)+5)^2)/(22^2))+18*SIN(2*PI()*(Model_Data!A227)/70))+Inputs!$C$28*EXP(-(((Model_Data!A227)-Inputs!$C$29)^2)/(2*Inputs!$C$31^2))*EXP(-(((0)-Inputs!$C$30)^2)/(2*Inputs!$C$32^2))+-Inputs!$C$33*EXP(-(((((Model_Data!A227)-Inputs!$C$34)^2)+(((0)-Inputs!$C$35)^2))/(2*Inputs!$C$36^2)))+Inputs!$C$37*(0.55*SIN(2*PI()*(Model_Data!A227)/Inputs!$C$39)+0.35*COS(2*PI()*(0)/Inputs!$C$40)+0.2*SIN(2*PI()*((Model_Data!A227)+(0))/(0.5*(Inputs!$C$39+Inputs!$C$40))))+Inputs!$C$38*SIN(2*PI()*(Model_Data!A227)/Inputs!$C$39)*SIN(2*PI()*(0)/Inputs!$C$40)+-Inputs!$C$41*EXP(-(((0)-Inputs!$C$43)^2)/(2*Inputs!$C$44^2))*EXP(-(((Model_Data!A227)-Inputs!$C$42)^2)/(2*Inputs!$C$45^2))+Inputs!$C$48*(0.70*(0.45*SIN(2*PI()*(((Model_Data!A227)/Inputs!$C$49)+Inputs!$C$47*0.137))+0.35*COS(2*PI()*(((0)/Inputs!$C$50)+Inputs!$C$47*0.173))+0.20*SIN(2*PI()*(((Model_Data!A227)+(0))/(0.5*(Inputs!$C$49+Inputs!$C$50))+Inputs!$C$47*0.097)))+0.30*(2*((SIN(((Model_Data!A227)*12.9898+(0)*78.233+Inputs!$C$47*37.719))*43758.5453)-INT((SIN(((Model_Data!A227)*12.9898+(0)*78.233+Inputs!$C$47*37.719))*43758.5453)))-1))))/1000)))*1000/Inputs!$C$12)</x:f>
        <x:v>2256.769702601558</x:v>
      </x:c>
      <x:c r="D227" s="49"/>
      <x:c r="E227" s="48" t="n">
        <x:f>Model_Data!A227</x:f>
        <x:v>52.5</x:v>
      </x:c>
      <x:c r="F227" s="48" t="n">
        <x:f>(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(0.45*SIN(2*PI()*(((Model_Data!A227)/Inputs!$C$49)+Inputs!$C$47*0.137))+0.35*COS(2*PI()*(((Inputs!$C$6)/Inputs!$C$50)+Inputs!$C$47*0.173))+0.20*SIN(2*PI()*(((Model_Data!A227)+(Inputs!$C$6))/(0.5*(Inputs!$C$49+Inputs!$C$50))+Inputs!$C$47*0.097)))+0.30*(2*((SIN(((Model_Data!A227)*12.9898+(Inputs!$C$6)*78.233+Inputs!$C$47*37.719))*43758.5453)-INT((SIN(((Model_Data!A227)*12.9898+(Inputs!$C$6)*78.233+Inputs!$C$47*37.719))*43758.5453)))-1)))</x:f>
        <x:v>164.06842387185546</x:v>
      </x:c>
      <x:c r="G227" s="48" t="n">
        <x:f>(Inputs!$C$51*(115*EXP(-(((0)-25)^2)/(4.5^2))+70*EXP(-(((0)+38)^2)/(7^2))*(0.55+0.45*SIN(2*PI()*(Model_Data!A227)/45))+24*SIN(2*PI()*(0)/9+(Model_Data!A227)/18)*EXP(-(((0)+5)^2)/(22^2))+18*SIN(2*PI()*(Model_Data!A227)/70))+Inputs!$C$28*EXP(-(((Model_Data!A227)-Inputs!$C$29)^2)/(2*Inputs!$C$31^2))*EXP(-(((0)-Inputs!$C$30)^2)/(2*Inputs!$C$32^2))+-Inputs!$C$33*EXP(-(((((Model_Data!A227)-Inputs!$C$34)^2)+(((0)-Inputs!$C$35)^2))/(2*Inputs!$C$36^2)))+Inputs!$C$37*(0.55*SIN(2*PI()*(Model_Data!A227)/Inputs!$C$39)+0.35*COS(2*PI()*(0)/Inputs!$C$40)+0.2*SIN(2*PI()*((Model_Data!A227)+(0))/(0.5*(Inputs!$C$39+Inputs!$C$40))))+Inputs!$C$38*SIN(2*PI()*(Model_Data!A227)/Inputs!$C$39)*SIN(2*PI()*(0)/Inputs!$C$40)+-Inputs!$C$41*EXP(-(((0)-Inputs!$C$43)^2)/(2*Inputs!$C$44^2))*EXP(-(((Model_Data!A227)-Inputs!$C$42)^2)/(2*Inputs!$C$45^2))+Inputs!$C$48*(0.70*(0.45*SIN(2*PI()*(((Model_Data!A227)/Inputs!$C$49)+Inputs!$C$47*0.137))+0.35*COS(2*PI()*(((0)/Inputs!$C$50)+Inputs!$C$47*0.173))+0.20*SIN(2*PI()*(((Model_Data!A227)+(0))/(0.5*(Inputs!$C$49+Inputs!$C$50))+Inputs!$C$47*0.097)))+0.30*(2*((SIN(((Model_Data!A227)*12.9898+(0)*78.233+Inputs!$C$47*37.719))*43758.5453)-INT((SIN(((Model_Data!A227)*12.9898+(0)*78.233+Inputs!$C$47*37.719))*43758.5453)))-1)))</x:f>
        <x:v>6.588346931916092</x:v>
      </x:c>
      <x:c r="H227" s="49"/>
      <x:c r="I227" s="48" t="n">
        <x:f>Model_Data!A227</x:f>
        <x:v>52.5</x:v>
      </x:c>
      <x:c r="J227" s="48" t="n">
        <x:f>((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(0.45*SIN(2*PI()*(((Model_Data!A227)/Inputs!$C$49)+Inputs!$C$47*0.137))+0.35*COS(2*PI()*(((Inputs!$C$6)/Inputs!$C$50)+Inputs!$C$47*0.173))+0.20*SIN(2*PI()*(((Model_Data!A227)+(Inputs!$C$6))/(0.5*(Inputs!$C$49+Inputs!$C$50))+Inputs!$C$47*0.097)))+0.30*(2*((SIN(((Model_Data!A227)*12.9898+(Inputs!$C$6)*78.233+Inputs!$C$47*37.719))*43758.5453)-INT((SIN(((Model_Data!A227)*12.9898+(Inputs!$C$6)*78.233+Inputs!$C$47*37.719))*43758.5453)))-1))))-((Inputs!$C$51*(115*EXP(-(((0)-25)^2)/(4.5^2))+70*EXP(-(((0)+38)^2)/(7^2))*(0.55+0.45*SIN(2*PI()*(Model_Data!A227)/45))+24*SIN(2*PI()*(0)/9+(Model_Data!A227)/18)*EXP(-(((0)+5)^2)/(22^2))+18*SIN(2*PI()*(Model_Data!A227)/70))+Inputs!$C$28*EXP(-(((Model_Data!A227)-Inputs!$C$29)^2)/(2*Inputs!$C$31^2))*EXP(-(((0)-Inputs!$C$30)^2)/(2*Inputs!$C$32^2))+-Inputs!$C$33*EXP(-(((((Model_Data!A227)-Inputs!$C$34)^2)+(((0)-Inputs!$C$35)^2))/(2*Inputs!$C$36^2)))+Inputs!$C$37*(0.55*SIN(2*PI()*(Model_Data!A227)/Inputs!$C$39)+0.35*COS(2*PI()*(0)/Inputs!$C$40)+0.2*SIN(2*PI()*((Model_Data!A227)+(0))/(0.5*(Inputs!$C$39+Inputs!$C$40))))+Inputs!$C$38*SIN(2*PI()*(Model_Data!A227)/Inputs!$C$39)*SIN(2*PI()*(0)/Inputs!$C$40)+-Inputs!$C$41*EXP(-(((0)-Inputs!$C$43)^2)/(2*Inputs!$C$44^2))*EXP(-(((Model_Data!A227)-Inputs!$C$42)^2)/(2*Inputs!$C$45^2))+Inputs!$C$48*(0.70*(0.45*SIN(2*PI()*(((Model_Data!A227)/Inputs!$C$49)+Inputs!$C$47*0.137))+0.35*COS(2*PI()*(((0)/Inputs!$C$50)+Inputs!$C$47*0.173))+0.20*SIN(2*PI()*(((Model_Data!A227)+(0))/(0.5*(Inputs!$C$49+Inputs!$C$50))+Inputs!$C$47*0.097)))+0.30*(2*((SIN(((Model_Data!A227)*12.9898+(0)*78.233+Inputs!$C$47*37.719))*43758.5453)-INT((SIN(((Model_Data!A227)*12.9898+(0)*78.233+Inputs!$C$47*37.719))*43758.5453)))-1))))</x:f>
        <x:v>157.48007693993935</x:v>
      </x:c>
      <x:c r="K227" s="48" t="n">
        <x:f>-((((SQRT((Model_Data!A227)^2+Inputs!$C$6^2+((Model_Data!B227)-((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(0.45*SIN(2*PI()*(((Model_Data!A227)/Inputs!$C$49)+Inputs!$C$47*0.137))+0.35*COS(2*PI()*(((Inputs!$C$6)/Inputs!$C$50)+Inputs!$C$47*0.173))+0.20*SIN(2*PI()*(((Model_Data!A227)+(Inputs!$C$6))/(0.5*(Inputs!$C$49+Inputs!$C$50))+Inputs!$C$47*0.097)))+0.30*(2*((SIN(((Model_Data!A227)*12.9898+(Inputs!$C$6)*78.233+Inputs!$C$47*37.719))*43758.5453)-INT((SIN(((Model_Data!A227)*12.9898+(Inputs!$C$6)*78.233+Inputs!$C$47*37.719))*43758.5453)))-1))))/1000)^2))-(((Model_Data!B227)-((Inputs!$C$51*(115*EXP(-(((0)-25)^2)/(4.5^2))+70*EXP(-(((0)+38)^2)/(7^2))*(0.55+0.45*SIN(2*PI()*(Model_Data!A227)/45))+24*SIN(2*PI()*(0)/9+(Model_Data!A227)/18)*EXP(-(((0)+5)^2)/(22^2))+18*SIN(2*PI()*(Model_Data!A227)/70))+Inputs!$C$28*EXP(-(((Model_Data!A227)-Inputs!$C$29)^2)/(2*Inputs!$C$31^2))*EXP(-(((0)-Inputs!$C$30)^2)/(2*Inputs!$C$32^2))+-Inputs!$C$33*EXP(-(((((Model_Data!A227)-Inputs!$C$34)^2)+(((0)-Inputs!$C$35)^2))/(2*Inputs!$C$36^2)))+Inputs!$C$37*(0.55*SIN(2*PI()*(Model_Data!A227)/Inputs!$C$39)+0.35*COS(2*PI()*(0)/Inputs!$C$40)+0.2*SIN(2*PI()*((Model_Data!A227)+(0))/(0.5*(Inputs!$C$39+Inputs!$C$40))))+Inputs!$C$38*SIN(2*PI()*(Model_Data!A227)/Inputs!$C$39)*SIN(2*PI()*(0)/Inputs!$C$40)+-Inputs!$C$41*EXP(-(((0)-Inputs!$C$43)^2)/(2*Inputs!$C$44^2))*EXP(-(((Model_Data!A227)-Inputs!$C$42)^2)/(2*Inputs!$C$45^2))+Inputs!$C$48*(0.70*(0.45*SIN(2*PI()*(((Model_Data!A227)/Inputs!$C$49)+Inputs!$C$47*0.137))+0.35*COS(2*PI()*(((0)/Inputs!$C$50)+Inputs!$C$47*0.173))+0.20*SIN(2*PI()*(((Model_Data!A227)+(0))/(0.5*(Inputs!$C$49+Inputs!$C$50))+Inputs!$C$47*0.097)))+0.30*(2*((SIN(((Model_Data!A227)*12.9898+(0)*78.233+Inputs!$C$47*37.719))*43758.5453)-INT((SIN(((Model_Data!A227)*12.9898+(0)*78.233+Inputs!$C$47*37.719))*43758.5453)))-1))))/1000)))*1000/Inputs!$C$12)-Model_Data!F227)</x:f>
        <x:v>87.52709599805712</x:v>
      </x:c>
      <x:c r="L227" s="49"/>
      <x:c r="M227" s="48" t="n">
        <x:f>Model_Data!A227</x:f>
        <x:v>52.5</x:v>
      </x:c>
      <x:c r="N227" s="48" t="n">
        <x:f>Model_Data!P227</x:f>
        <x:v>-391.02286674642266</x:v>
      </x:c>
      <x:c r="O227" s="48" t="n">
        <x:f>AC227</x:f>
        <x:v>-364.9317123912624</x:v>
      </x:c>
      <x:c r="P227" s="48" t="n">
        <x:f>Model_Data!Q227</x:f>
        <x:v>-58.71214215411752</x:v>
      </x:c>
      <x:c r="Q227" s="48" t="n">
        <x:f>AD227</x:f>
        <x:v>-54.794551410099466</x:v>
      </x:c>
      <x:c r="R227" s="49"/>
      <x:c r="S227" s="48" t="n">
        <x:f>Model_Data!A227</x:f>
        <x:v>52.5</x:v>
      </x:c>
      <x:c r="T227" s="48" t="n">
        <x:f>Model_Data!B227-Inputs!$C$5</x:f>
        <x:v>3.0625</x:v>
      </x:c>
      <x:c r="U227" s="49"/>
      <x:c r="V227" s="48" t="n">
        <x:f>Model_Data!A227</x:f>
        <x:v>52.5</x:v>
      </x:c>
      <x:c r="W227" s="48" t="n">
        <x:f>(-((((SQRT((Model_Data!A227)^2+Inputs!$C$6^2+((Model_Data!B227)-((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(0.45*SIN(2*PI()*(((Model_Data!A227)/Inputs!$C$49)+Inputs!$C$47*0.137))+0.35*COS(2*PI()*(((Inputs!$C$6)/Inputs!$C$50)+Inputs!$C$47*0.173))+0.20*SIN(2*PI()*(((Model_Data!A227)+(Inputs!$C$6))/(0.5*(Inputs!$C$49+Inputs!$C$50))+Inputs!$C$47*0.097)))+0.30*(2*((SIN(((Model_Data!A227)*12.9898+(Inputs!$C$6)*78.233+Inputs!$C$47*37.719))*43758.5453)-INT((SIN(((Model_Data!A227)*12.9898+(Inputs!$C$6)*78.233+Inputs!$C$47*37.719))*43758.5453)))-1))))/1000)^2))-(((Model_Data!B227)-((Inputs!$C$51*(115*EXP(-(((0)-25)^2)/(4.5^2))+70*EXP(-(((0)+38)^2)/(7^2))*(0.55+0.45*SIN(2*PI()*(Model_Data!A227)/45))+24*SIN(2*PI()*(0)/9+(Model_Data!A227)/18)*EXP(-(((0)+5)^2)/(22^2))+18*SIN(2*PI()*(Model_Data!A227)/70))+Inputs!$C$28*EXP(-(((Model_Data!A227)-Inputs!$C$29)^2)/(2*Inputs!$C$31^2))*EXP(-(((0)-Inputs!$C$30)^2)/(2*Inputs!$C$32^2))+-Inputs!$C$33*EXP(-(((((Model_Data!A227)-Inputs!$C$34)^2)+(((0)-Inputs!$C$35)^2))/(2*Inputs!$C$36^2)))+Inputs!$C$37*(0.55*SIN(2*PI()*(Model_Data!A227)/Inputs!$C$39)+0.35*COS(2*PI()*(0)/Inputs!$C$40)+0.2*SIN(2*PI()*((Model_Data!A227)+(0))/(0.5*(Inputs!$C$39+Inputs!$C$40))))+Inputs!$C$38*SIN(2*PI()*(Model_Data!A227)/Inputs!$C$39)*SIN(2*PI()*(0)/Inputs!$C$40)+-Inputs!$C$41*EXP(-(((0)-Inputs!$C$43)^2)/(2*Inputs!$C$44^2))*EXP(-(((Model_Data!A227)-Inputs!$C$42)^2)/(2*Inputs!$C$45^2))+Inputs!$C$48*(0.70*(0.45*SIN(2*PI()*(((Model_Data!A227)/Inputs!$C$49)+Inputs!$C$47*0.137))+0.35*COS(2*PI()*(((0)/Inputs!$C$50)+Inputs!$C$47*0.173))+0.20*SIN(2*PI()*(((Model_Data!A227)+(0))/(0.5*(Inputs!$C$49+Inputs!$C$50))+Inputs!$C$47*0.097)))+0.30*(2*((SIN(((Model_Data!A227)*12.9898+(0)*78.233+Inputs!$C$47*37.719))*43758.5453)-INT((SIN(((Model_Data!A227)*12.9898+(0)*78.233+Inputs!$C$47*37.719))*43758.5453)))-1))))/1000)))*1000/Inputs!$C$12)-Model_Data!F227))-(-(((SQRT((Model_Data!A227)^2+Inputs!$C$6^2+(Inputs!$C$5-((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(0.45*SIN(2*PI()*(((Model_Data!A227)/Inputs!$C$49)+Inputs!$C$47*0.137))+0.35*COS(2*PI()*(((Inputs!$C$6)/Inputs!$C$50)+Inputs!$C$47*0.173))+0.20*SIN(2*PI()*(((Model_Data!A227)+(Inputs!$C$6))/(0.5*(Inputs!$C$49+Inputs!$C$50))+Inputs!$C$47*0.097)))+0.30*(2*((SIN(((Model_Data!A227)*12.9898+(Inputs!$C$6)*78.233+Inputs!$C$47*37.719))*43758.5453)-INT((SIN(((Model_Data!A227)*12.9898+(Inputs!$C$6)*78.233+Inputs!$C$47*37.719))*43758.5453)))-1))))/1000)^2)-(Inputs!$C$5-((Inputs!$C$51*(115*EXP(-(((0)-25)^2)/(4.5^2))+70*EXP(-(((0)+38)^2)/(7^2))*(0.55+0.45*SIN(2*PI()*(Model_Data!A227)/45))+24*SIN(2*PI()*(0)/9+(Model_Data!A227)/18)*EXP(-(((0)+5)^2)/(22^2))+18*SIN(2*PI()*(Model_Data!A227)/70))+Inputs!$C$28*EXP(-(((Model_Data!A227)-Inputs!$C$29)^2)/(2*Inputs!$C$31^2))*EXP(-(((0)-Inputs!$C$30)^2)/(2*Inputs!$C$32^2))+-Inputs!$C$33*EXP(-(((((Model_Data!A227)-Inputs!$C$34)^2)+(((0)-Inputs!$C$35)^2))/(2*Inputs!$C$36^2)))+Inputs!$C$37*(0.55*SIN(2*PI()*(Model_Data!A227)/Inputs!$C$39)+0.35*COS(2*PI()*(0)/Inputs!$C$40)+0.2*SIN(2*PI()*((Model_Data!A227)+(0))/(0.5*(Inputs!$C$39+Inputs!$C$40))))+Inputs!$C$38*SIN(2*PI()*(Model_Data!A227)/Inputs!$C$39)*SIN(2*PI()*(0)/Inputs!$C$40)+-Inputs!$C$41*EXP(-(((0)-Inputs!$C$43)^2)/(2*Inputs!$C$44^2))*EXP(-(((Model_Data!A227)-Inputs!$C$42)^2)/(2*Inputs!$C$45^2))+Inputs!$C$48*(0.70*(0.45*SIN(2*PI()*(((Model_Data!A227)/Inputs!$C$49)+Inputs!$C$47*0.137))+0.35*COS(2*PI()*(((0)/Inputs!$C$50)+Inputs!$C$47*0.173))+0.20*SIN(2*PI()*(((Model_Data!A227)+(0))/(0.5*(Inputs!$C$49+Inputs!$C$50))+Inputs!$C$47*0.097)))+0.30*(2*((SIN(((Model_Data!A227)*12.9898+(0)*78.233+Inputs!$C$47*37.719))*43758.5453)-INT((SIN(((Model_Data!A227)*12.9898+(0)*78.233+Inputs!$C$47*37.719))*43758.5453)))-1))))/1000))*1000/Inputs!$C$12)-((SQRT((Model_Data!A227)^2+Inputs!$C$6^2+Inputs!$C$5^2)-Inputs!$C$5)*1000/Inputs!$C$12)))</x:f>
        <x:v>0.014300540696240205</x:v>
      </x:c>
      <x:c r="X227" s="48" t="n">
        <x:f>0</x:f>
        <x:v>0</x:v>
      </x:c>
      <x:c r="Y227" s="49"/>
      <x:c r="Z227" s="48" t="n">
        <x:f>Model_Data!A227</x:f>
        <x:v>52.5</x:v>
      </x:c>
      <x:c r="AA227" s="48" t="n">
        <x:f>SQRT((Model_Data!A227)^2+Inputs!$C$6^2+((Model_Data!B227)-((Inputs!$C$51*(115*EXP(-(((Inputs!$C$6)-25)^2)/(4.5^2))+70*EXP(-(((Inputs!$C$6)+38)^2)/(7^2))*(0.55+0.45*SIN(2*PI()*(Model_Data!A227)/45))+24*SIN(2*PI()*(Inputs!$C$6)/9+(Model_Data!A227)/18)*EXP(-(((Inputs!$C$6)+5)^2)/(22^2))+18*SIN(2*PI()*(Model_Data!A227)/70))+Inputs!$C$28*EXP(-(((Model_Data!A227)-Inputs!$C$29)^2)/(2*Inputs!$C$31^2))*EXP(-(((Inputs!$C$6)-Inputs!$C$30)^2)/(2*Inputs!$C$32^2))+-Inputs!$C$33*EXP(-(((((Model_Data!A227)-Inputs!$C$34)^2)+(((Inputs!$C$6)-Inputs!$C$35)^2))/(2*Inputs!$C$36^2)))+Inputs!$C$37*(0.55*SIN(2*PI()*(Model_Data!A227)/Inputs!$C$39)+0.35*COS(2*PI()*(Inputs!$C$6)/Inputs!$C$40)+0.2*SIN(2*PI()*((Model_Data!A227)+(Inputs!$C$6))/(0.5*(Inputs!$C$39+Inputs!$C$40))))+Inputs!$C$38*SIN(2*PI()*(Model_Data!A227)/Inputs!$C$39)*SIN(2*PI()*(Inputs!$C$6)/Inputs!$C$40)+-Inputs!$C$41*EXP(-(((Inputs!$C$6)-Inputs!$C$43)^2)/(2*Inputs!$C$44^2))*EXP(-(((Model_Data!A227)-Inputs!$C$42)^2)/(2*Inputs!$C$45^2))+Inputs!$C$48*(0.70*(0.45*SIN(2*PI()*(((Model_Data!A227)/Inputs!$C$49)+Inputs!$C$47*0.137))+0.35*COS(2*PI()*(((Inputs!$C$6)/Inputs!$C$50)+Inputs!$C$47*0.173))+0.20*SIN(2*PI()*(((Model_Data!A227)+(Inputs!$C$6))/(0.5*(Inputs!$C$49+Inputs!$C$50))+Inputs!$C$47*0.097)))+0.30*(2*((SIN(((Model_Data!A227)*12.9898+(Inputs!$C$6)*78.233+Inputs!$C$47*37.719))*43758.5453)-INT((SIN(((Model_Data!A227)*12.9898+(Inputs!$C$6)*78.233+Inputs!$C$47*37.719))*43758.5453)))-1))))/1000)^2)</x:f>
        <x:v>407.0729617236989</x:v>
      </x:c>
      <x:c r="AB227" s="48" t="n">
        <x:f>1000*(AA228-AA226)/(Z228-Z226)*Inputs!$C$11</x:f>
        <x:v>912.329280978156</x:v>
      </x:c>
      <x:c r="AC227" s="48" t="n">
        <x:f>-2*AB227/Inputs!$C$13</x:f>
        <x:v>-364.9317123912624</x:v>
      </x:c>
      <x:c r="AD227" s="48" t="n">
        <x:f>-2*AB227/Inputs!$C$14</x:f>
        <x:v>-54.794551410099466</x:v>
      </x:c>
    </x:row>
    <x:row r="228">
      <x:c r="A228" s="48" t="n">
        <x:f>Model_Data!A228</x:f>
        <x:v>53</x:v>
      </x:c>
      <x:c r="B228" s="48" t="n">
        <x:f>Model_Data!F228</x:f>
        <x:v>2380.3367583116014</x:v>
      </x:c>
      <x:c r="C228" s="48" t="n">
        <x:f>(((SQRT((Model_Data!A228)^2+Inputs!$C$6^2+((Model_Data!B228)-((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(0.45*SIN(2*PI()*(((Model_Data!A228)/Inputs!$C$49)+Inputs!$C$47*0.137))+0.35*COS(2*PI()*(((Inputs!$C$6)/Inputs!$C$50)+Inputs!$C$47*0.173))+0.20*SIN(2*PI()*(((Model_Data!A228)+(Inputs!$C$6))/(0.5*(Inputs!$C$49+Inputs!$C$50))+Inputs!$C$47*0.097)))+0.30*(2*((SIN(((Model_Data!A228)*12.9898+(Inputs!$C$6)*78.233+Inputs!$C$47*37.719))*43758.5453)-INT((SIN(((Model_Data!A228)*12.9898+(Inputs!$C$6)*78.233+Inputs!$C$47*37.719))*43758.5453)))-1))))/1000)^2))-(((Model_Data!B228)-((Inputs!$C$51*(115*EXP(-(((0)-25)^2)/(4.5^2))+70*EXP(-(((0)+38)^2)/(7^2))*(0.55+0.45*SIN(2*PI()*(Model_Data!A228)/45))+24*SIN(2*PI()*(0)/9+(Model_Data!A228)/18)*EXP(-(((0)+5)^2)/(22^2))+18*SIN(2*PI()*(Model_Data!A228)/70))+Inputs!$C$28*EXP(-(((Model_Data!A228)-Inputs!$C$29)^2)/(2*Inputs!$C$31^2))*EXP(-(((0)-Inputs!$C$30)^2)/(2*Inputs!$C$32^2))+-Inputs!$C$33*EXP(-(((((Model_Data!A228)-Inputs!$C$34)^2)+(((0)-Inputs!$C$35)^2))/(2*Inputs!$C$36^2)))+Inputs!$C$37*(0.55*SIN(2*PI()*(Model_Data!A228)/Inputs!$C$39)+0.35*COS(2*PI()*(0)/Inputs!$C$40)+0.2*SIN(2*PI()*((Model_Data!A228)+(0))/(0.5*(Inputs!$C$39+Inputs!$C$40))))+Inputs!$C$38*SIN(2*PI()*(Model_Data!A228)/Inputs!$C$39)*SIN(2*PI()*(0)/Inputs!$C$40)+-Inputs!$C$41*EXP(-(((0)-Inputs!$C$43)^2)/(2*Inputs!$C$44^2))*EXP(-(((Model_Data!A228)-Inputs!$C$42)^2)/(2*Inputs!$C$45^2))+Inputs!$C$48*(0.70*(0.45*SIN(2*PI()*(((Model_Data!A228)/Inputs!$C$49)+Inputs!$C$47*0.137))+0.35*COS(2*PI()*(((0)/Inputs!$C$50)+Inputs!$C$47*0.173))+0.20*SIN(2*PI()*(((Model_Data!A228)+(0))/(0.5*(Inputs!$C$49+Inputs!$C$50))+Inputs!$C$47*0.097)))+0.30*(2*((SIN(((Model_Data!A228)*12.9898+(0)*78.233+Inputs!$C$47*37.719))*43758.5453)-INT((SIN(((Model_Data!A228)*12.9898+(0)*78.233+Inputs!$C$47*37.719))*43758.5453)))-1))))/1000)))*1000/Inputs!$C$12)</x:f>
        <x:v>2280.8394704852067</x:v>
      </x:c>
      <x:c r="D228" s="49"/>
      <x:c r="E228" s="48" t="n">
        <x:f>Model_Data!A228</x:f>
        <x:v>53</x:v>
      </x:c>
      <x:c r="F228" s="48" t="n">
        <x:f>(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(0.45*SIN(2*PI()*(((Model_Data!A228)/Inputs!$C$49)+Inputs!$C$47*0.137))+0.35*COS(2*PI()*(((Inputs!$C$6)/Inputs!$C$50)+Inputs!$C$47*0.173))+0.20*SIN(2*PI()*(((Model_Data!A228)+(Inputs!$C$6))/(0.5*(Inputs!$C$49+Inputs!$C$50))+Inputs!$C$47*0.097)))+0.30*(2*((SIN(((Model_Data!A228)*12.9898+(Inputs!$C$6)*78.233+Inputs!$C$47*37.719))*43758.5453)-INT((SIN(((Model_Data!A228)*12.9898+(Inputs!$C$6)*78.233+Inputs!$C$47*37.719))*43758.5453)))-1)))</x:f>
        <x:v>183.5232809151917</x:v>
      </x:c>
      <x:c r="G228" s="48" t="n">
        <x:f>(Inputs!$C$51*(115*EXP(-(((0)-25)^2)/(4.5^2))+70*EXP(-(((0)+38)^2)/(7^2))*(0.55+0.45*SIN(2*PI()*(Model_Data!A228)/45))+24*SIN(2*PI()*(0)/9+(Model_Data!A228)/18)*EXP(-(((0)+5)^2)/(22^2))+18*SIN(2*PI()*(Model_Data!A228)/70))+Inputs!$C$28*EXP(-(((Model_Data!A228)-Inputs!$C$29)^2)/(2*Inputs!$C$31^2))*EXP(-(((0)-Inputs!$C$30)^2)/(2*Inputs!$C$32^2))+-Inputs!$C$33*EXP(-(((((Model_Data!A228)-Inputs!$C$34)^2)+(((0)-Inputs!$C$35)^2))/(2*Inputs!$C$36^2)))+Inputs!$C$37*(0.55*SIN(2*PI()*(Model_Data!A228)/Inputs!$C$39)+0.35*COS(2*PI()*(0)/Inputs!$C$40)+0.2*SIN(2*PI()*((Model_Data!A228)+(0))/(0.5*(Inputs!$C$39+Inputs!$C$40))))+Inputs!$C$38*SIN(2*PI()*(Model_Data!A228)/Inputs!$C$39)*SIN(2*PI()*(0)/Inputs!$C$40)+-Inputs!$C$41*EXP(-(((0)-Inputs!$C$43)^2)/(2*Inputs!$C$44^2))*EXP(-(((Model_Data!A228)-Inputs!$C$42)^2)/(2*Inputs!$C$45^2))+Inputs!$C$48*(0.70*(0.45*SIN(2*PI()*(((Model_Data!A228)/Inputs!$C$49)+Inputs!$C$47*0.137))+0.35*COS(2*PI()*(((0)/Inputs!$C$50)+Inputs!$C$47*0.173))+0.20*SIN(2*PI()*(((Model_Data!A228)+(0))/(0.5*(Inputs!$C$49+Inputs!$C$50))+Inputs!$C$47*0.097)))+0.30*(2*((SIN(((Model_Data!A228)*12.9898+(0)*78.233+Inputs!$C$47*37.719))*43758.5453)-INT((SIN(((Model_Data!A228)*12.9898+(0)*78.233+Inputs!$C$47*37.719))*43758.5453)))-1)))</x:f>
        <x:v>4.508396540761183</x:v>
      </x:c>
      <x:c r="H228" s="49"/>
      <x:c r="I228" s="48" t="n">
        <x:f>Model_Data!A228</x:f>
        <x:v>53</x:v>
      </x:c>
      <x:c r="J228" s="48" t="n">
        <x:f>((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(0.45*SIN(2*PI()*(((Model_Data!A228)/Inputs!$C$49)+Inputs!$C$47*0.137))+0.35*COS(2*PI()*(((Inputs!$C$6)/Inputs!$C$50)+Inputs!$C$47*0.173))+0.20*SIN(2*PI()*(((Model_Data!A228)+(Inputs!$C$6))/(0.5*(Inputs!$C$49+Inputs!$C$50))+Inputs!$C$47*0.097)))+0.30*(2*((SIN(((Model_Data!A228)*12.9898+(Inputs!$C$6)*78.233+Inputs!$C$47*37.719))*43758.5453)-INT((SIN(((Model_Data!A228)*12.9898+(Inputs!$C$6)*78.233+Inputs!$C$47*37.719))*43758.5453)))-1))))-((Inputs!$C$51*(115*EXP(-(((0)-25)^2)/(4.5^2))+70*EXP(-(((0)+38)^2)/(7^2))*(0.55+0.45*SIN(2*PI()*(Model_Data!A228)/45))+24*SIN(2*PI()*(0)/9+(Model_Data!A228)/18)*EXP(-(((0)+5)^2)/(22^2))+18*SIN(2*PI()*(Model_Data!A228)/70))+Inputs!$C$28*EXP(-(((Model_Data!A228)-Inputs!$C$29)^2)/(2*Inputs!$C$31^2))*EXP(-(((0)-Inputs!$C$30)^2)/(2*Inputs!$C$32^2))+-Inputs!$C$33*EXP(-(((((Model_Data!A228)-Inputs!$C$34)^2)+(((0)-Inputs!$C$35)^2))/(2*Inputs!$C$36^2)))+Inputs!$C$37*(0.55*SIN(2*PI()*(Model_Data!A228)/Inputs!$C$39)+0.35*COS(2*PI()*(0)/Inputs!$C$40)+0.2*SIN(2*PI()*((Model_Data!A228)+(0))/(0.5*(Inputs!$C$39+Inputs!$C$40))))+Inputs!$C$38*SIN(2*PI()*(Model_Data!A228)/Inputs!$C$39)*SIN(2*PI()*(0)/Inputs!$C$40)+-Inputs!$C$41*EXP(-(((0)-Inputs!$C$43)^2)/(2*Inputs!$C$44^2))*EXP(-(((Model_Data!A228)-Inputs!$C$42)^2)/(2*Inputs!$C$45^2))+Inputs!$C$48*(0.70*(0.45*SIN(2*PI()*(((Model_Data!A228)/Inputs!$C$49)+Inputs!$C$47*0.137))+0.35*COS(2*PI()*(((0)/Inputs!$C$50)+Inputs!$C$47*0.173))+0.20*SIN(2*PI()*(((Model_Data!A228)+(0))/(0.5*(Inputs!$C$49+Inputs!$C$50))+Inputs!$C$47*0.097)))+0.30*(2*((SIN(((Model_Data!A228)*12.9898+(0)*78.233+Inputs!$C$47*37.719))*43758.5453)-INT((SIN(((Model_Data!A228)*12.9898+(0)*78.233+Inputs!$C$47*37.719))*43758.5453)))-1))))</x:f>
        <x:v>179.0148843744305</x:v>
      </x:c>
      <x:c r="K228" s="48" t="n">
        <x:f>-((((SQRT((Model_Data!A228)^2+Inputs!$C$6^2+((Model_Data!B228)-((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(0.45*SIN(2*PI()*(((Model_Data!A228)/Inputs!$C$49)+Inputs!$C$47*0.137))+0.35*COS(2*PI()*(((Inputs!$C$6)/Inputs!$C$50)+Inputs!$C$47*0.173))+0.20*SIN(2*PI()*(((Model_Data!A228)+(Inputs!$C$6))/(0.5*(Inputs!$C$49+Inputs!$C$50))+Inputs!$C$47*0.097)))+0.30*(2*((SIN(((Model_Data!A228)*12.9898+(Inputs!$C$6)*78.233+Inputs!$C$47*37.719))*43758.5453)-INT((SIN(((Model_Data!A228)*12.9898+(Inputs!$C$6)*78.233+Inputs!$C$47*37.719))*43758.5453)))-1))))/1000)^2))-(((Model_Data!B228)-((Inputs!$C$51*(115*EXP(-(((0)-25)^2)/(4.5^2))+70*EXP(-(((0)+38)^2)/(7^2))*(0.55+0.45*SIN(2*PI()*(Model_Data!A228)/45))+24*SIN(2*PI()*(0)/9+(Model_Data!A228)/18)*EXP(-(((0)+5)^2)/(22^2))+18*SIN(2*PI()*(Model_Data!A228)/70))+Inputs!$C$28*EXP(-(((Model_Data!A228)-Inputs!$C$29)^2)/(2*Inputs!$C$31^2))*EXP(-(((0)-Inputs!$C$30)^2)/(2*Inputs!$C$32^2))+-Inputs!$C$33*EXP(-(((((Model_Data!A228)-Inputs!$C$34)^2)+(((0)-Inputs!$C$35)^2))/(2*Inputs!$C$36^2)))+Inputs!$C$37*(0.55*SIN(2*PI()*(Model_Data!A228)/Inputs!$C$39)+0.35*COS(2*PI()*(0)/Inputs!$C$40)+0.2*SIN(2*PI()*((Model_Data!A228)+(0))/(0.5*(Inputs!$C$39+Inputs!$C$40))))+Inputs!$C$38*SIN(2*PI()*(Model_Data!A228)/Inputs!$C$39)*SIN(2*PI()*(0)/Inputs!$C$40)+-Inputs!$C$41*EXP(-(((0)-Inputs!$C$43)^2)/(2*Inputs!$C$44^2))*EXP(-(((Model_Data!A228)-Inputs!$C$42)^2)/(2*Inputs!$C$45^2))+Inputs!$C$48*(0.70*(0.45*SIN(2*PI()*(((Model_Data!A228)/Inputs!$C$49)+Inputs!$C$47*0.137))+0.35*COS(2*PI()*(((0)/Inputs!$C$50)+Inputs!$C$47*0.173))+0.20*SIN(2*PI()*(((Model_Data!A228)+(0))/(0.5*(Inputs!$C$49+Inputs!$C$50))+Inputs!$C$47*0.097)))+0.30*(2*((SIN(((Model_Data!A228)*12.9898+(0)*78.233+Inputs!$C$47*37.719))*43758.5453)-INT((SIN(((Model_Data!A228)*12.9898+(0)*78.233+Inputs!$C$47*37.719))*43758.5453)))-1))))/1000)))*1000/Inputs!$C$12)-Model_Data!F228)</x:f>
        <x:v>99.49728782639477</x:v>
      </x:c>
      <x:c r="L228" s="49"/>
      <x:c r="M228" s="48" t="n">
        <x:f>Model_Data!A228</x:f>
        <x:v>53</x:v>
      </x:c>
      <x:c r="N228" s="48" t="n">
        <x:f>Model_Data!P228</x:f>
        <x:v>-394.6550459341274</x:v>
      </x:c>
      <x:c r="O228" s="48" t="n">
        <x:f>AC228</x:f>
        <x:v>-367.86548708223563</x:v>
      </x:c>
      <x:c r="P228" s="48" t="n">
        <x:f>Model_Data!Q228</x:f>
        <x:v>-59.25751440452363</x:v>
      </x:c>
      <x:c r="Q228" s="48" t="n">
        <x:f>AD228</x:f>
        <x:v>-55.235058120455804</x:v>
      </x:c>
      <x:c r="R228" s="49"/>
      <x:c r="S228" s="48" t="n">
        <x:f>Model_Data!A228</x:f>
        <x:v>53</x:v>
      </x:c>
      <x:c r="T228" s="48" t="n">
        <x:f>Model_Data!B228-Inputs!$C$5</x:f>
        <x:v>3.1211111111111336</x:v>
      </x:c>
      <x:c r="U228" s="49"/>
      <x:c r="V228" s="48" t="n">
        <x:f>Model_Data!A228</x:f>
        <x:v>53</x:v>
      </x:c>
      <x:c r="W228" s="48" t="n">
        <x:f>(-((((SQRT((Model_Data!A228)^2+Inputs!$C$6^2+((Model_Data!B228)-((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(0.45*SIN(2*PI()*(((Model_Data!A228)/Inputs!$C$49)+Inputs!$C$47*0.137))+0.35*COS(2*PI()*(((Inputs!$C$6)/Inputs!$C$50)+Inputs!$C$47*0.173))+0.20*SIN(2*PI()*(((Model_Data!A228)+(Inputs!$C$6))/(0.5*(Inputs!$C$49+Inputs!$C$50))+Inputs!$C$47*0.097)))+0.30*(2*((SIN(((Model_Data!A228)*12.9898+(Inputs!$C$6)*78.233+Inputs!$C$47*37.719))*43758.5453)-INT((SIN(((Model_Data!A228)*12.9898+(Inputs!$C$6)*78.233+Inputs!$C$47*37.719))*43758.5453)))-1))))/1000)^2))-(((Model_Data!B228)-((Inputs!$C$51*(115*EXP(-(((0)-25)^2)/(4.5^2))+70*EXP(-(((0)+38)^2)/(7^2))*(0.55+0.45*SIN(2*PI()*(Model_Data!A228)/45))+24*SIN(2*PI()*(0)/9+(Model_Data!A228)/18)*EXP(-(((0)+5)^2)/(22^2))+18*SIN(2*PI()*(Model_Data!A228)/70))+Inputs!$C$28*EXP(-(((Model_Data!A228)-Inputs!$C$29)^2)/(2*Inputs!$C$31^2))*EXP(-(((0)-Inputs!$C$30)^2)/(2*Inputs!$C$32^2))+-Inputs!$C$33*EXP(-(((((Model_Data!A228)-Inputs!$C$34)^2)+(((0)-Inputs!$C$35)^2))/(2*Inputs!$C$36^2)))+Inputs!$C$37*(0.55*SIN(2*PI()*(Model_Data!A228)/Inputs!$C$39)+0.35*COS(2*PI()*(0)/Inputs!$C$40)+0.2*SIN(2*PI()*((Model_Data!A228)+(0))/(0.5*(Inputs!$C$39+Inputs!$C$40))))+Inputs!$C$38*SIN(2*PI()*(Model_Data!A228)/Inputs!$C$39)*SIN(2*PI()*(0)/Inputs!$C$40)+-Inputs!$C$41*EXP(-(((0)-Inputs!$C$43)^2)/(2*Inputs!$C$44^2))*EXP(-(((Model_Data!A228)-Inputs!$C$42)^2)/(2*Inputs!$C$45^2))+Inputs!$C$48*(0.70*(0.45*SIN(2*PI()*(((Model_Data!A228)/Inputs!$C$49)+Inputs!$C$47*0.137))+0.35*COS(2*PI()*(((0)/Inputs!$C$50)+Inputs!$C$47*0.173))+0.20*SIN(2*PI()*(((Model_Data!A228)+(0))/(0.5*(Inputs!$C$49+Inputs!$C$50))+Inputs!$C$47*0.097)))+0.30*(2*((SIN(((Model_Data!A228)*12.9898+(0)*78.233+Inputs!$C$47*37.719))*43758.5453)-INT((SIN(((Model_Data!A228)*12.9898+(0)*78.233+Inputs!$C$47*37.719))*43758.5453)))-1))))/1000)))*1000/Inputs!$C$12)-Model_Data!F228))-(-(((SQRT((Model_Data!A228)^2+Inputs!$C$6^2+(Inputs!$C$5-((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(0.45*SIN(2*PI()*(((Model_Data!A228)/Inputs!$C$49)+Inputs!$C$47*0.137))+0.35*COS(2*PI()*(((Inputs!$C$6)/Inputs!$C$50)+Inputs!$C$47*0.173))+0.20*SIN(2*PI()*(((Model_Data!A228)+(Inputs!$C$6))/(0.5*(Inputs!$C$49+Inputs!$C$50))+Inputs!$C$47*0.097)))+0.30*(2*((SIN(((Model_Data!A228)*12.9898+(Inputs!$C$6)*78.233+Inputs!$C$47*37.719))*43758.5453)-INT((SIN(((Model_Data!A228)*12.9898+(Inputs!$C$6)*78.233+Inputs!$C$47*37.719))*43758.5453)))-1))))/1000)^2)-(Inputs!$C$5-((Inputs!$C$51*(115*EXP(-(((0)-25)^2)/(4.5^2))+70*EXP(-(((0)+38)^2)/(7^2))*(0.55+0.45*SIN(2*PI()*(Model_Data!A228)/45))+24*SIN(2*PI()*(0)/9+(Model_Data!A228)/18)*EXP(-(((0)+5)^2)/(22^2))+18*SIN(2*PI()*(Model_Data!A228)/70))+Inputs!$C$28*EXP(-(((Model_Data!A228)-Inputs!$C$29)^2)/(2*Inputs!$C$31^2))*EXP(-(((0)-Inputs!$C$30)^2)/(2*Inputs!$C$32^2))+-Inputs!$C$33*EXP(-(((((Model_Data!A228)-Inputs!$C$34)^2)+(((0)-Inputs!$C$35)^2))/(2*Inputs!$C$36^2)))+Inputs!$C$37*(0.55*SIN(2*PI()*(Model_Data!A228)/Inputs!$C$39)+0.35*COS(2*PI()*(0)/Inputs!$C$40)+0.2*SIN(2*PI()*((Model_Data!A228)+(0))/(0.5*(Inputs!$C$39+Inputs!$C$40))))+Inputs!$C$38*SIN(2*PI()*(Model_Data!A228)/Inputs!$C$39)*SIN(2*PI()*(0)/Inputs!$C$40)+-Inputs!$C$41*EXP(-(((0)-Inputs!$C$43)^2)/(2*Inputs!$C$44^2))*EXP(-(((Model_Data!A228)-Inputs!$C$42)^2)/(2*Inputs!$C$45^2))+Inputs!$C$48*(0.70*(0.45*SIN(2*PI()*(((Model_Data!A228)/Inputs!$C$49)+Inputs!$C$47*0.137))+0.35*COS(2*PI()*(((0)/Inputs!$C$50)+Inputs!$C$47*0.173))+0.20*SIN(2*PI()*(((Model_Data!A228)+(0))/(0.5*(Inputs!$C$49+Inputs!$C$50))+Inputs!$C$47*0.097)))+0.30*(2*((SIN(((Model_Data!A228)*12.9898+(0)*78.233+Inputs!$C$47*37.719))*43758.5453)-INT((SIN(((Model_Data!A228)*12.9898+(0)*78.233+Inputs!$C$47*37.719))*43758.5453)))-1))))/1000))*1000/Inputs!$C$12)-((SQRT((Model_Data!A228)^2+Inputs!$C$6^2+Inputs!$C$5^2)-Inputs!$C$5)*1000/Inputs!$C$12)))</x:f>
        <x:v>0.016546425932119746</x:v>
      </x:c>
      <x:c r="X228" s="48" t="n">
        <x:f>0</x:f>
        <x:v>0</x:v>
      </x:c>
      <x:c r="Y228" s="49"/>
      <x:c r="Z228" s="48" t="n">
        <x:f>Model_Data!A228</x:f>
        <x:v>53</x:v>
      </x:c>
      <x:c r="AA228" s="48" t="n">
        <x:f>SQRT((Model_Data!A228)^2+Inputs!$C$6^2+((Model_Data!B228)-((Inputs!$C$51*(115*EXP(-(((Inputs!$C$6)-25)^2)/(4.5^2))+70*EXP(-(((Inputs!$C$6)+38)^2)/(7^2))*(0.55+0.45*SIN(2*PI()*(Model_Data!A228)/45))+24*SIN(2*PI()*(Inputs!$C$6)/9+(Model_Data!A228)/18)*EXP(-(((Inputs!$C$6)+5)^2)/(22^2))+18*SIN(2*PI()*(Model_Data!A228)/70))+Inputs!$C$28*EXP(-(((Model_Data!A228)-Inputs!$C$29)^2)/(2*Inputs!$C$31^2))*EXP(-(((Inputs!$C$6)-Inputs!$C$30)^2)/(2*Inputs!$C$32^2))+-Inputs!$C$33*EXP(-(((((Model_Data!A228)-Inputs!$C$34)^2)+(((Inputs!$C$6)-Inputs!$C$35)^2))/(2*Inputs!$C$36^2)))+Inputs!$C$37*(0.55*SIN(2*PI()*(Model_Data!A228)/Inputs!$C$39)+0.35*COS(2*PI()*(Inputs!$C$6)/Inputs!$C$40)+0.2*SIN(2*PI()*((Model_Data!A228)+(Inputs!$C$6))/(0.5*(Inputs!$C$39+Inputs!$C$40))))+Inputs!$C$38*SIN(2*PI()*(Model_Data!A228)/Inputs!$C$39)*SIN(2*PI()*(Inputs!$C$6)/Inputs!$C$40)+-Inputs!$C$41*EXP(-(((Inputs!$C$6)-Inputs!$C$43)^2)/(2*Inputs!$C$44^2))*EXP(-(((Model_Data!A228)-Inputs!$C$42)^2)/(2*Inputs!$C$45^2))+Inputs!$C$48*(0.70*(0.45*SIN(2*PI()*(((Model_Data!A228)/Inputs!$C$49)+Inputs!$C$47*0.137))+0.35*COS(2*PI()*(((Inputs!$C$6)/Inputs!$C$50)+Inputs!$C$47*0.173))+0.20*SIN(2*PI()*(((Model_Data!A228)+(Inputs!$C$6))/(0.5*(Inputs!$C$49+Inputs!$C$50))+Inputs!$C$47*0.097)))+0.30*(2*((SIN(((Model_Data!A228)*12.9898+(Inputs!$C$6)*78.233+Inputs!$C$47*37.719))*43758.5453)-INT((SIN(((Model_Data!A228)*12.9898+(Inputs!$C$6)*78.233+Inputs!$C$47*37.719))*43758.5453)))-1))))/1000)^2)</x:f>
        <x:v>407.17649697203404</x:v>
      </x:c>
      <x:c r="AB228" s="48" t="n">
        <x:f>1000*(AA229-AA227)/(Z229-Z227)*Inputs!$C$11</x:f>
        <x:v>919.6637177055891</x:v>
      </x:c>
      <x:c r="AC228" s="48" t="n">
        <x:f>-2*AB228/Inputs!$C$13</x:f>
        <x:v>-367.86548708223563</x:v>
      </x:c>
      <x:c r="AD228" s="48" t="n">
        <x:f>-2*AB228/Inputs!$C$14</x:f>
        <x:v>-55.235058120455804</x:v>
      </x:c>
    </x:row>
    <x:row r="229">
      <x:c r="A229" s="48" t="n">
        <x:f>Model_Data!A229</x:f>
        <x:v>53.5</x:v>
      </x:c>
      <x:c r="B229" s="48" t="n">
        <x:f>Model_Data!F229</x:f>
        <x:v>2416.7020585545083</x:v>
      </x:c>
      <x:c r="C229" s="48" t="n">
        <x:f>(((SQRT((Model_Data!A229)^2+Inputs!$C$6^2+((Model_Data!B229)-((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(0.45*SIN(2*PI()*(((Model_Data!A229)/Inputs!$C$49)+Inputs!$C$47*0.137))+0.35*COS(2*PI()*(((Inputs!$C$6)/Inputs!$C$50)+Inputs!$C$47*0.173))+0.20*SIN(2*PI()*(((Model_Data!A229)+(Inputs!$C$6))/(0.5*(Inputs!$C$49+Inputs!$C$50))+Inputs!$C$47*0.097)))+0.30*(2*((SIN(((Model_Data!A229)*12.9898+(Inputs!$C$6)*78.233+Inputs!$C$47*37.719))*43758.5453)-INT((SIN(((Model_Data!A229)*12.9898+(Inputs!$C$6)*78.233+Inputs!$C$47*37.719))*43758.5453)))-1))))/1000)^2))-(((Model_Data!B229)-((Inputs!$C$51*(115*EXP(-(((0)-25)^2)/(4.5^2))+70*EXP(-(((0)+38)^2)/(7^2))*(0.55+0.45*SIN(2*PI()*(Model_Data!A229)/45))+24*SIN(2*PI()*(0)/9+(Model_Data!A229)/18)*EXP(-(((0)+5)^2)/(22^2))+18*SIN(2*PI()*(Model_Data!A229)/70))+Inputs!$C$28*EXP(-(((Model_Data!A229)-Inputs!$C$29)^2)/(2*Inputs!$C$31^2))*EXP(-(((0)-Inputs!$C$30)^2)/(2*Inputs!$C$32^2))+-Inputs!$C$33*EXP(-(((((Model_Data!A229)-Inputs!$C$34)^2)+(((0)-Inputs!$C$35)^2))/(2*Inputs!$C$36^2)))+Inputs!$C$37*(0.55*SIN(2*PI()*(Model_Data!A229)/Inputs!$C$39)+0.35*COS(2*PI()*(0)/Inputs!$C$40)+0.2*SIN(2*PI()*((Model_Data!A229)+(0))/(0.5*(Inputs!$C$39+Inputs!$C$40))))+Inputs!$C$38*SIN(2*PI()*(Model_Data!A229)/Inputs!$C$39)*SIN(2*PI()*(0)/Inputs!$C$40)+-Inputs!$C$41*EXP(-(((0)-Inputs!$C$43)^2)/(2*Inputs!$C$44^2))*EXP(-(((Model_Data!A229)-Inputs!$C$42)^2)/(2*Inputs!$C$45^2))+Inputs!$C$48*(0.70*(0.45*SIN(2*PI()*(((Model_Data!A229)/Inputs!$C$49)+Inputs!$C$47*0.137))+0.35*COS(2*PI()*(((0)/Inputs!$C$50)+Inputs!$C$47*0.173))+0.20*SIN(2*PI()*(((Model_Data!A229)+(0))/(0.5*(Inputs!$C$49+Inputs!$C$50))+Inputs!$C$47*0.097)))+0.30*(2*((SIN(((Model_Data!A229)*12.9898+(0)*78.233+Inputs!$C$47*37.719))*43758.5453)-INT((SIN(((Model_Data!A229)*12.9898+(0)*78.233+Inputs!$C$47*37.719))*43758.5453)))-1))))/1000)))*1000/Inputs!$C$12)</x:f>
        <x:v>2315.995404077757</x:v>
      </x:c>
      <x:c r="D229" s="49"/>
      <x:c r="E229" s="48" t="n">
        <x:f>Model_Data!A229</x:f>
        <x:v>53.5</x:v>
      </x:c>
      <x:c r="F229" s="48" t="n">
        <x:f>(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(0.45*SIN(2*PI()*(((Model_Data!A229)/Inputs!$C$49)+Inputs!$C$47*0.137))+0.35*COS(2*PI()*(((Inputs!$C$6)/Inputs!$C$50)+Inputs!$C$47*0.173))+0.20*SIN(2*PI()*(((Model_Data!A229)+(Inputs!$C$6))/(0.5*(Inputs!$C$49+Inputs!$C$50))+Inputs!$C$47*0.097)))+0.30*(2*((SIN(((Model_Data!A229)*12.9898+(Inputs!$C$6)*78.233+Inputs!$C$47*37.719))*43758.5453)-INT((SIN(((Model_Data!A229)*12.9898+(Inputs!$C$6)*78.233+Inputs!$C$47*37.719))*43758.5453)))-1)))</x:f>
        <x:v>181.04186719105834</x:v>
      </x:c>
      <x:c r="G229" s="48" t="n">
        <x:f>(Inputs!$C$51*(115*EXP(-(((0)-25)^2)/(4.5^2))+70*EXP(-(((0)+38)^2)/(7^2))*(0.55+0.45*SIN(2*PI()*(Model_Data!A229)/45))+24*SIN(2*PI()*(0)/9+(Model_Data!A229)/18)*EXP(-(((0)+5)^2)/(22^2))+18*SIN(2*PI()*(Model_Data!A229)/70))+Inputs!$C$28*EXP(-(((Model_Data!A229)-Inputs!$C$29)^2)/(2*Inputs!$C$31^2))*EXP(-(((0)-Inputs!$C$30)^2)/(2*Inputs!$C$32^2))+-Inputs!$C$33*EXP(-(((((Model_Data!A229)-Inputs!$C$34)^2)+(((0)-Inputs!$C$35)^2))/(2*Inputs!$C$36^2)))+Inputs!$C$37*(0.55*SIN(2*PI()*(Model_Data!A229)/Inputs!$C$39)+0.35*COS(2*PI()*(0)/Inputs!$C$40)+0.2*SIN(2*PI()*((Model_Data!A229)+(0))/(0.5*(Inputs!$C$39+Inputs!$C$40))))+Inputs!$C$38*SIN(2*PI()*(Model_Data!A229)/Inputs!$C$39)*SIN(2*PI()*(0)/Inputs!$C$40)+-Inputs!$C$41*EXP(-(((0)-Inputs!$C$43)^2)/(2*Inputs!$C$44^2))*EXP(-(((Model_Data!A229)-Inputs!$C$42)^2)/(2*Inputs!$C$45^2))+Inputs!$C$48*(0.70*(0.45*SIN(2*PI()*(((Model_Data!A229)/Inputs!$C$49)+Inputs!$C$47*0.137))+0.35*COS(2*PI()*(((0)/Inputs!$C$50)+Inputs!$C$47*0.173))+0.20*SIN(2*PI()*(((Model_Data!A229)+(0))/(0.5*(Inputs!$C$49+Inputs!$C$50))+Inputs!$C$47*0.097)))+0.30*(2*((SIN(((Model_Data!A229)*12.9898+(0)*78.233+Inputs!$C$47*37.719))*43758.5453)-INT((SIN(((Model_Data!A229)*12.9898+(0)*78.233+Inputs!$C$47*37.719))*43758.5453)))-1)))</x:f>
        <x:v>-0.1280560890739677</x:v>
      </x:c>
      <x:c r="H229" s="49"/>
      <x:c r="I229" s="48" t="n">
        <x:f>Model_Data!A229</x:f>
        <x:v>53.5</x:v>
      </x:c>
      <x:c r="J229" s="48" t="n">
        <x:f>((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(0.45*SIN(2*PI()*(((Model_Data!A229)/Inputs!$C$49)+Inputs!$C$47*0.137))+0.35*COS(2*PI()*(((Inputs!$C$6)/Inputs!$C$50)+Inputs!$C$47*0.173))+0.20*SIN(2*PI()*(((Model_Data!A229)+(Inputs!$C$6))/(0.5*(Inputs!$C$49+Inputs!$C$50))+Inputs!$C$47*0.097)))+0.30*(2*((SIN(((Model_Data!A229)*12.9898+(Inputs!$C$6)*78.233+Inputs!$C$47*37.719))*43758.5453)-INT((SIN(((Model_Data!A229)*12.9898+(Inputs!$C$6)*78.233+Inputs!$C$47*37.719))*43758.5453)))-1))))-((Inputs!$C$51*(115*EXP(-(((0)-25)^2)/(4.5^2))+70*EXP(-(((0)+38)^2)/(7^2))*(0.55+0.45*SIN(2*PI()*(Model_Data!A229)/45))+24*SIN(2*PI()*(0)/9+(Model_Data!A229)/18)*EXP(-(((0)+5)^2)/(22^2))+18*SIN(2*PI()*(Model_Data!A229)/70))+Inputs!$C$28*EXP(-(((Model_Data!A229)-Inputs!$C$29)^2)/(2*Inputs!$C$31^2))*EXP(-(((0)-Inputs!$C$30)^2)/(2*Inputs!$C$32^2))+-Inputs!$C$33*EXP(-(((((Model_Data!A229)-Inputs!$C$34)^2)+(((0)-Inputs!$C$35)^2))/(2*Inputs!$C$36^2)))+Inputs!$C$37*(0.55*SIN(2*PI()*(Model_Data!A229)/Inputs!$C$39)+0.35*COS(2*PI()*(0)/Inputs!$C$40)+0.2*SIN(2*PI()*((Model_Data!A229)+(0))/(0.5*(Inputs!$C$39+Inputs!$C$40))))+Inputs!$C$38*SIN(2*PI()*(Model_Data!A229)/Inputs!$C$39)*SIN(2*PI()*(0)/Inputs!$C$40)+-Inputs!$C$41*EXP(-(((0)-Inputs!$C$43)^2)/(2*Inputs!$C$44^2))*EXP(-(((Model_Data!A229)-Inputs!$C$42)^2)/(2*Inputs!$C$45^2))+Inputs!$C$48*(0.70*(0.45*SIN(2*PI()*(((Model_Data!A229)/Inputs!$C$49)+Inputs!$C$47*0.137))+0.35*COS(2*PI()*(((0)/Inputs!$C$50)+Inputs!$C$47*0.173))+0.20*SIN(2*PI()*(((Model_Data!A229)+(0))/(0.5*(Inputs!$C$49+Inputs!$C$50))+Inputs!$C$47*0.097)))+0.30*(2*((SIN(((Model_Data!A229)*12.9898+(0)*78.233+Inputs!$C$47*37.719))*43758.5453)-INT((SIN(((Model_Data!A229)*12.9898+(0)*78.233+Inputs!$C$47*37.719))*43758.5453)))-1))))</x:f>
        <x:v>181.1699232801323</x:v>
      </x:c>
      <x:c r="K229" s="48" t="n">
        <x:f>-((((SQRT((Model_Data!A229)^2+Inputs!$C$6^2+((Model_Data!B229)-((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(0.45*SIN(2*PI()*(((Model_Data!A229)/Inputs!$C$49)+Inputs!$C$47*0.137))+0.35*COS(2*PI()*(((Inputs!$C$6)/Inputs!$C$50)+Inputs!$C$47*0.173))+0.20*SIN(2*PI()*(((Model_Data!A229)+(Inputs!$C$6))/(0.5*(Inputs!$C$49+Inputs!$C$50))+Inputs!$C$47*0.097)))+0.30*(2*((SIN(((Model_Data!A229)*12.9898+(Inputs!$C$6)*78.233+Inputs!$C$47*37.719))*43758.5453)-INT((SIN(((Model_Data!A229)*12.9898+(Inputs!$C$6)*78.233+Inputs!$C$47*37.719))*43758.5453)))-1))))/1000)^2))-(((Model_Data!B229)-((Inputs!$C$51*(115*EXP(-(((0)-25)^2)/(4.5^2))+70*EXP(-(((0)+38)^2)/(7^2))*(0.55+0.45*SIN(2*PI()*(Model_Data!A229)/45))+24*SIN(2*PI()*(0)/9+(Model_Data!A229)/18)*EXP(-(((0)+5)^2)/(22^2))+18*SIN(2*PI()*(Model_Data!A229)/70))+Inputs!$C$28*EXP(-(((Model_Data!A229)-Inputs!$C$29)^2)/(2*Inputs!$C$31^2))*EXP(-(((0)-Inputs!$C$30)^2)/(2*Inputs!$C$32^2))+-Inputs!$C$33*EXP(-(((((Model_Data!A229)-Inputs!$C$34)^2)+(((0)-Inputs!$C$35)^2))/(2*Inputs!$C$36^2)))+Inputs!$C$37*(0.55*SIN(2*PI()*(Model_Data!A229)/Inputs!$C$39)+0.35*COS(2*PI()*(0)/Inputs!$C$40)+0.2*SIN(2*PI()*((Model_Data!A229)+(0))/(0.5*(Inputs!$C$39+Inputs!$C$40))))+Inputs!$C$38*SIN(2*PI()*(Model_Data!A229)/Inputs!$C$39)*SIN(2*PI()*(0)/Inputs!$C$40)+-Inputs!$C$41*EXP(-(((0)-Inputs!$C$43)^2)/(2*Inputs!$C$44^2))*EXP(-(((Model_Data!A229)-Inputs!$C$42)^2)/(2*Inputs!$C$45^2))+Inputs!$C$48*(0.70*(0.45*SIN(2*PI()*(((Model_Data!A229)/Inputs!$C$49)+Inputs!$C$47*0.137))+0.35*COS(2*PI()*(((0)/Inputs!$C$50)+Inputs!$C$47*0.173))+0.20*SIN(2*PI()*(((Model_Data!A229)+(0))/(0.5*(Inputs!$C$49+Inputs!$C$50))+Inputs!$C$47*0.097)))+0.30*(2*((SIN(((Model_Data!A229)*12.9898+(0)*78.233+Inputs!$C$47*37.719))*43758.5453)-INT((SIN(((Model_Data!A229)*12.9898+(0)*78.233+Inputs!$C$47*37.719))*43758.5453)))-1))))/1000)))*1000/Inputs!$C$12)-Model_Data!F229)</x:f>
        <x:v>100.70665447675128</x:v>
      </x:c>
      <x:c r="L229" s="49"/>
      <x:c r="M229" s="48" t="n">
        <x:f>Model_Data!A229</x:f>
        <x:v>53.5</x:v>
      </x:c>
      <x:c r="N229" s="48" t="n">
        <x:f>Model_Data!P229</x:f>
        <x:v>-398.28469829593723</x:v>
      </x:c>
      <x:c r="O229" s="48" t="n">
        <x:f>AC229</x:f>
        <x:v>-401.512433359494</x:v>
      </x:c>
      <x:c r="P229" s="48" t="n">
        <x:f>Model_Data!Q229</x:f>
        <x:v>-59.80250725164223</x:v>
      </x:c>
      <x:c r="Q229" s="48" t="n">
        <x:f>AD229</x:f>
        <x:v>-60.28715215608019</x:v>
      </x:c>
      <x:c r="R229" s="49"/>
      <x:c r="S229" s="48" t="n">
        <x:f>Model_Data!A229</x:f>
        <x:v>53.5</x:v>
      </x:c>
      <x:c r="T229" s="48" t="n">
        <x:f>Model_Data!B229-Inputs!$C$5</x:f>
        <x:v>3.1802777777778033</x:v>
      </x:c>
      <x:c r="U229" s="49"/>
      <x:c r="V229" s="48" t="n">
        <x:f>Model_Data!A229</x:f>
        <x:v>53.5</x:v>
      </x:c>
      <x:c r="W229" s="48" t="n">
        <x:f>(-((((SQRT((Model_Data!A229)^2+Inputs!$C$6^2+((Model_Data!B229)-((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(0.45*SIN(2*PI()*(((Model_Data!A229)/Inputs!$C$49)+Inputs!$C$47*0.137))+0.35*COS(2*PI()*(((Inputs!$C$6)/Inputs!$C$50)+Inputs!$C$47*0.173))+0.20*SIN(2*PI()*(((Model_Data!A229)+(Inputs!$C$6))/(0.5*(Inputs!$C$49+Inputs!$C$50))+Inputs!$C$47*0.097)))+0.30*(2*((SIN(((Model_Data!A229)*12.9898+(Inputs!$C$6)*78.233+Inputs!$C$47*37.719))*43758.5453)-INT((SIN(((Model_Data!A229)*12.9898+(Inputs!$C$6)*78.233+Inputs!$C$47*37.719))*43758.5453)))-1))))/1000)^2))-(((Model_Data!B229)-((Inputs!$C$51*(115*EXP(-(((0)-25)^2)/(4.5^2))+70*EXP(-(((0)+38)^2)/(7^2))*(0.55+0.45*SIN(2*PI()*(Model_Data!A229)/45))+24*SIN(2*PI()*(0)/9+(Model_Data!A229)/18)*EXP(-(((0)+5)^2)/(22^2))+18*SIN(2*PI()*(Model_Data!A229)/70))+Inputs!$C$28*EXP(-(((Model_Data!A229)-Inputs!$C$29)^2)/(2*Inputs!$C$31^2))*EXP(-(((0)-Inputs!$C$30)^2)/(2*Inputs!$C$32^2))+-Inputs!$C$33*EXP(-(((((Model_Data!A229)-Inputs!$C$34)^2)+(((0)-Inputs!$C$35)^2))/(2*Inputs!$C$36^2)))+Inputs!$C$37*(0.55*SIN(2*PI()*(Model_Data!A229)/Inputs!$C$39)+0.35*COS(2*PI()*(0)/Inputs!$C$40)+0.2*SIN(2*PI()*((Model_Data!A229)+(0))/(0.5*(Inputs!$C$39+Inputs!$C$40))))+Inputs!$C$38*SIN(2*PI()*(Model_Data!A229)/Inputs!$C$39)*SIN(2*PI()*(0)/Inputs!$C$40)+-Inputs!$C$41*EXP(-(((0)-Inputs!$C$43)^2)/(2*Inputs!$C$44^2))*EXP(-(((Model_Data!A229)-Inputs!$C$42)^2)/(2*Inputs!$C$45^2))+Inputs!$C$48*(0.70*(0.45*SIN(2*PI()*(((Model_Data!A229)/Inputs!$C$49)+Inputs!$C$47*0.137))+0.35*COS(2*PI()*(((0)/Inputs!$C$50)+Inputs!$C$47*0.173))+0.20*SIN(2*PI()*(((Model_Data!A229)+(0))/(0.5*(Inputs!$C$49+Inputs!$C$50))+Inputs!$C$47*0.097)))+0.30*(2*((SIN(((Model_Data!A229)*12.9898+(0)*78.233+Inputs!$C$47*37.719))*43758.5453)-INT((SIN(((Model_Data!A229)*12.9898+(0)*78.233+Inputs!$C$47*37.719))*43758.5453)))-1))))/1000)))*1000/Inputs!$C$12)-Model_Data!F229))-(-(((SQRT((Model_Data!A229)^2+Inputs!$C$6^2+(Inputs!$C$5-((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(0.45*SIN(2*PI()*(((Model_Data!A229)/Inputs!$C$49)+Inputs!$C$47*0.137))+0.35*COS(2*PI()*(((Inputs!$C$6)/Inputs!$C$50)+Inputs!$C$47*0.173))+0.20*SIN(2*PI()*(((Model_Data!A229)+(Inputs!$C$6))/(0.5*(Inputs!$C$49+Inputs!$C$50))+Inputs!$C$47*0.097)))+0.30*(2*((SIN(((Model_Data!A229)*12.9898+(Inputs!$C$6)*78.233+Inputs!$C$47*37.719))*43758.5453)-INT((SIN(((Model_Data!A229)*12.9898+(Inputs!$C$6)*78.233+Inputs!$C$47*37.719))*43758.5453)))-1))))/1000)^2)-(Inputs!$C$5-((Inputs!$C$51*(115*EXP(-(((0)-25)^2)/(4.5^2))+70*EXP(-(((0)+38)^2)/(7^2))*(0.55+0.45*SIN(2*PI()*(Model_Data!A229)/45))+24*SIN(2*PI()*(0)/9+(Model_Data!A229)/18)*EXP(-(((0)+5)^2)/(22^2))+18*SIN(2*PI()*(Model_Data!A229)/70))+Inputs!$C$28*EXP(-(((Model_Data!A229)-Inputs!$C$29)^2)/(2*Inputs!$C$31^2))*EXP(-(((0)-Inputs!$C$30)^2)/(2*Inputs!$C$32^2))+-Inputs!$C$33*EXP(-(((((Model_Data!A229)-Inputs!$C$34)^2)+(((0)-Inputs!$C$35)^2))/(2*Inputs!$C$36^2)))+Inputs!$C$37*(0.55*SIN(2*PI()*(Model_Data!A229)/Inputs!$C$39)+0.35*COS(2*PI()*(0)/Inputs!$C$40)+0.2*SIN(2*PI()*((Model_Data!A229)+(0))/(0.5*(Inputs!$C$39+Inputs!$C$40))))+Inputs!$C$38*SIN(2*PI()*(Model_Data!A229)/Inputs!$C$39)*SIN(2*PI()*(0)/Inputs!$C$40)+-Inputs!$C$41*EXP(-(((0)-Inputs!$C$43)^2)/(2*Inputs!$C$44^2))*EXP(-(((Model_Data!A229)-Inputs!$C$42)^2)/(2*Inputs!$C$45^2))+Inputs!$C$48*(0.70*(0.45*SIN(2*PI()*(((Model_Data!A229)/Inputs!$C$49)+Inputs!$C$47*0.137))+0.35*COS(2*PI()*(((0)/Inputs!$C$50)+Inputs!$C$47*0.173))+0.20*SIN(2*PI()*(((Model_Data!A229)+(0))/(0.5*(Inputs!$C$49+Inputs!$C$50))+Inputs!$C$47*0.097)))+0.30*(2*((SIN(((Model_Data!A229)*12.9898+(0)*78.233+Inputs!$C$47*37.719))*43758.5453)-INT((SIN(((Model_Data!A229)*12.9898+(0)*78.233+Inputs!$C$47*37.719))*43758.5453)))-1))))/1000))*1000/Inputs!$C$12)-((SQRT((Model_Data!A229)^2+Inputs!$C$6^2+Inputs!$C$5^2)-Inputs!$C$5)*1000/Inputs!$C$12)))</x:f>
        <x:v>0.01687806004929371</x:v>
      </x:c>
      <x:c r="X229" s="48" t="n">
        <x:f>0</x:f>
        <x:v>0</x:v>
      </x:c>
      <x:c r="Y229" s="49"/>
      <x:c r="Z229" s="48" t="n">
        <x:f>Model_Data!A229</x:f>
        <x:v>53.5</x:v>
      </x:c>
      <x:c r="AA229" s="48" t="n">
        <x:f>SQRT((Model_Data!A229)^2+Inputs!$C$6^2+((Model_Data!B229)-((Inputs!$C$51*(115*EXP(-(((Inputs!$C$6)-25)^2)/(4.5^2))+70*EXP(-(((Inputs!$C$6)+38)^2)/(7^2))*(0.55+0.45*SIN(2*PI()*(Model_Data!A229)/45))+24*SIN(2*PI()*(Inputs!$C$6)/9+(Model_Data!A229)/18)*EXP(-(((Inputs!$C$6)+5)^2)/(22^2))+18*SIN(2*PI()*(Model_Data!A229)/70))+Inputs!$C$28*EXP(-(((Model_Data!A229)-Inputs!$C$29)^2)/(2*Inputs!$C$31^2))*EXP(-(((Inputs!$C$6)-Inputs!$C$30)^2)/(2*Inputs!$C$32^2))+-Inputs!$C$33*EXP(-(((((Model_Data!A229)-Inputs!$C$34)^2)+(((Inputs!$C$6)-Inputs!$C$35)^2))/(2*Inputs!$C$36^2)))+Inputs!$C$37*(0.55*SIN(2*PI()*(Model_Data!A229)/Inputs!$C$39)+0.35*COS(2*PI()*(Inputs!$C$6)/Inputs!$C$40)+0.2*SIN(2*PI()*((Model_Data!A229)+(Inputs!$C$6))/(0.5*(Inputs!$C$39+Inputs!$C$40))))+Inputs!$C$38*SIN(2*PI()*(Model_Data!A229)/Inputs!$C$39)*SIN(2*PI()*(Inputs!$C$6)/Inputs!$C$40)+-Inputs!$C$41*EXP(-(((Inputs!$C$6)-Inputs!$C$43)^2)/(2*Inputs!$C$44^2))*EXP(-(((Model_Data!A229)-Inputs!$C$42)^2)/(2*Inputs!$C$45^2))+Inputs!$C$48*(0.70*(0.45*SIN(2*PI()*(((Model_Data!A229)/Inputs!$C$49)+Inputs!$C$47*0.137))+0.35*COS(2*PI()*(((Inputs!$C$6)/Inputs!$C$50)+Inputs!$C$47*0.173))+0.20*SIN(2*PI()*(((Model_Data!A229)+(Inputs!$C$6))/(0.5*(Inputs!$C$49+Inputs!$C$50))+Inputs!$C$47*0.097)))+0.30*(2*((SIN(((Model_Data!A229)*12.9898+(Inputs!$C$6)*78.233+Inputs!$C$47*37.719))*43758.5453)-INT((SIN(((Model_Data!A229)*12.9898+(Inputs!$C$6)*78.233+Inputs!$C$47*37.719))*43758.5453)))-1))))/1000)^2)</x:f>
        <x:v>407.3028776531253</x:v>
      </x:c>
      <x:c r="AB229" s="48" t="n">
        <x:f>1000*(AA230-AA228)/(Z230-Z228)*Inputs!$C$11</x:f>
        <x:v>1003.7810833987351</x:v>
      </x:c>
      <x:c r="AC229" s="48" t="n">
        <x:f>-2*AB229/Inputs!$C$13</x:f>
        <x:v>-401.512433359494</x:v>
      </x:c>
      <x:c r="AD229" s="48" t="n">
        <x:f>-2*AB229/Inputs!$C$14</x:f>
        <x:v>-60.28715215608019</x:v>
      </x:c>
    </x:row>
    <x:row r="230">
      <x:c r="A230" s="48" t="n">
        <x:f>Model_Data!A230</x:f>
        <x:v>54</x:v>
      </x:c>
      <x:c r="B230" s="48" t="n">
        <x:f>Model_Data!F230</x:f>
        <x:v>2453.3922539609484</x:v>
      </x:c>
      <x:c r="C230" s="48" t="n">
        <x:f>(((SQRT((Model_Data!A230)^2+Inputs!$C$6^2+((Model_Data!B230)-((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(0.45*SIN(2*PI()*(((Model_Data!A230)/Inputs!$C$49)+Inputs!$C$47*0.137))+0.35*COS(2*PI()*(((Inputs!$C$6)/Inputs!$C$50)+Inputs!$C$47*0.173))+0.20*SIN(2*PI()*(((Model_Data!A230)+(Inputs!$C$6))/(0.5*(Inputs!$C$49+Inputs!$C$50))+Inputs!$C$47*0.097)))+0.30*(2*((SIN(((Model_Data!A230)*12.9898+(Inputs!$C$6)*78.233+Inputs!$C$47*37.719))*43758.5453)-INT((SIN(((Model_Data!A230)*12.9898+(Inputs!$C$6)*78.233+Inputs!$C$47*37.719))*43758.5453)))-1))))/1000)^2))-(((Model_Data!B230)-((Inputs!$C$51*(115*EXP(-(((0)-25)^2)/(4.5^2))+70*EXP(-(((0)+38)^2)/(7^2))*(0.55+0.45*SIN(2*PI()*(Model_Data!A230)/45))+24*SIN(2*PI()*(0)/9+(Model_Data!A230)/18)*EXP(-(((0)+5)^2)/(22^2))+18*SIN(2*PI()*(Model_Data!A230)/70))+Inputs!$C$28*EXP(-(((Model_Data!A230)-Inputs!$C$29)^2)/(2*Inputs!$C$31^2))*EXP(-(((0)-Inputs!$C$30)^2)/(2*Inputs!$C$32^2))+-Inputs!$C$33*EXP(-(((((Model_Data!A230)-Inputs!$C$34)^2)+(((0)-Inputs!$C$35)^2))/(2*Inputs!$C$36^2)))+Inputs!$C$37*(0.55*SIN(2*PI()*(Model_Data!A230)/Inputs!$C$39)+0.35*COS(2*PI()*(0)/Inputs!$C$40)+0.2*SIN(2*PI()*((Model_Data!A230)+(0))/(0.5*(Inputs!$C$39+Inputs!$C$40))))+Inputs!$C$38*SIN(2*PI()*(Model_Data!A230)/Inputs!$C$39)*SIN(2*PI()*(0)/Inputs!$C$40)+-Inputs!$C$41*EXP(-(((0)-Inputs!$C$43)^2)/(2*Inputs!$C$44^2))*EXP(-(((Model_Data!A230)-Inputs!$C$42)^2)/(2*Inputs!$C$45^2))+Inputs!$C$48*(0.70*(0.45*SIN(2*PI()*(((Model_Data!A230)/Inputs!$C$49)+Inputs!$C$47*0.137))+0.35*COS(2*PI()*(((0)/Inputs!$C$50)+Inputs!$C$47*0.173))+0.20*SIN(2*PI()*(((Model_Data!A230)+(0))/(0.5*(Inputs!$C$49+Inputs!$C$50))+Inputs!$C$47*0.097)))+0.30*(2*((SIN(((Model_Data!A230)*12.9898+(0)*78.233+Inputs!$C$47*37.719))*43758.5453)-INT((SIN(((Model_Data!A230)*12.9898+(0)*78.233+Inputs!$C$47*37.719))*43758.5453)))-1))))/1000)))*1000/Inputs!$C$12)</x:f>
        <x:v>2348.0839354261516</x:v>
      </x:c>
      <x:c r="D230" s="49"/>
      <x:c r="E230" s="48" t="n">
        <x:f>Model_Data!A230</x:f>
        <x:v>54</x:v>
      </x:c>
      <x:c r="F230" s="48" t="n">
        <x:f>(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(0.45*SIN(2*PI()*(((Model_Data!A230)/Inputs!$C$49)+Inputs!$C$47*0.137))+0.35*COS(2*PI()*(((Inputs!$C$6)/Inputs!$C$50)+Inputs!$C$47*0.173))+0.20*SIN(2*PI()*(((Model_Data!A230)+(Inputs!$C$6))/(0.5*(Inputs!$C$49+Inputs!$C$50))+Inputs!$C$47*0.097)))+0.30*(2*((SIN(((Model_Data!A230)*12.9898+(Inputs!$C$6)*78.233+Inputs!$C$47*37.719))*43758.5453)-INT((SIN(((Model_Data!A230)*12.9898+(Inputs!$C$6)*78.233+Inputs!$C$47*37.719))*43758.5453)))-1)))</x:f>
        <x:v>181.54184215615243</x:v>
      </x:c>
      <x:c r="G230" s="48" t="n">
        <x:f>(Inputs!$C$51*(115*EXP(-(((0)-25)^2)/(4.5^2))+70*EXP(-(((0)+38)^2)/(7^2))*(0.55+0.45*SIN(2*PI()*(Model_Data!A230)/45))+24*SIN(2*PI()*(0)/9+(Model_Data!A230)/18)*EXP(-(((0)+5)^2)/(22^2))+18*SIN(2*PI()*(Model_Data!A230)/70))+Inputs!$C$28*EXP(-(((Model_Data!A230)-Inputs!$C$29)^2)/(2*Inputs!$C$31^2))*EXP(-(((0)-Inputs!$C$30)^2)/(2*Inputs!$C$32^2))+-Inputs!$C$33*EXP(-(((((Model_Data!A230)-Inputs!$C$34)^2)+(((0)-Inputs!$C$35)^2))/(2*Inputs!$C$36^2)))+Inputs!$C$37*(0.55*SIN(2*PI()*(Model_Data!A230)/Inputs!$C$39)+0.35*COS(2*PI()*(0)/Inputs!$C$40)+0.2*SIN(2*PI()*((Model_Data!A230)+(0))/(0.5*(Inputs!$C$39+Inputs!$C$40))))+Inputs!$C$38*SIN(2*PI()*(Model_Data!A230)/Inputs!$C$39)*SIN(2*PI()*(0)/Inputs!$C$40)+-Inputs!$C$41*EXP(-(((0)-Inputs!$C$43)^2)/(2*Inputs!$C$44^2))*EXP(-(((Model_Data!A230)-Inputs!$C$42)^2)/(2*Inputs!$C$45^2))+Inputs!$C$48*(0.70*(0.45*SIN(2*PI()*(((Model_Data!A230)/Inputs!$C$49)+Inputs!$C$47*0.137))+0.35*COS(2*PI()*(((0)/Inputs!$C$50)+Inputs!$C$47*0.173))+0.20*SIN(2*PI()*(((Model_Data!A230)+(0))/(0.5*(Inputs!$C$49+Inputs!$C$50))+Inputs!$C$47*0.097)))+0.30*(2*((SIN(((Model_Data!A230)*12.9898+(0)*78.233+Inputs!$C$47*37.719))*43758.5453)-INT((SIN(((Model_Data!A230)*12.9898+(0)*78.233+Inputs!$C$47*37.719))*43758.5453)))-1)))</x:f>
        <x:v>-7.852837825142384</x:v>
      </x:c>
      <x:c r="H230" s="49"/>
      <x:c r="I230" s="48" t="n">
        <x:f>Model_Data!A230</x:f>
        <x:v>54</x:v>
      </x:c>
      <x:c r="J230" s="48" t="n">
        <x:f>((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(0.45*SIN(2*PI()*(((Model_Data!A230)/Inputs!$C$49)+Inputs!$C$47*0.137))+0.35*COS(2*PI()*(((Inputs!$C$6)/Inputs!$C$50)+Inputs!$C$47*0.173))+0.20*SIN(2*PI()*(((Model_Data!A230)+(Inputs!$C$6))/(0.5*(Inputs!$C$49+Inputs!$C$50))+Inputs!$C$47*0.097)))+0.30*(2*((SIN(((Model_Data!A230)*12.9898+(Inputs!$C$6)*78.233+Inputs!$C$47*37.719))*43758.5453)-INT((SIN(((Model_Data!A230)*12.9898+(Inputs!$C$6)*78.233+Inputs!$C$47*37.719))*43758.5453)))-1))))-((Inputs!$C$51*(115*EXP(-(((0)-25)^2)/(4.5^2))+70*EXP(-(((0)+38)^2)/(7^2))*(0.55+0.45*SIN(2*PI()*(Model_Data!A230)/45))+24*SIN(2*PI()*(0)/9+(Model_Data!A230)/18)*EXP(-(((0)+5)^2)/(22^2))+18*SIN(2*PI()*(Model_Data!A230)/70))+Inputs!$C$28*EXP(-(((Model_Data!A230)-Inputs!$C$29)^2)/(2*Inputs!$C$31^2))*EXP(-(((0)-Inputs!$C$30)^2)/(2*Inputs!$C$32^2))+-Inputs!$C$33*EXP(-(((((Model_Data!A230)-Inputs!$C$34)^2)+(((0)-Inputs!$C$35)^2))/(2*Inputs!$C$36^2)))+Inputs!$C$37*(0.55*SIN(2*PI()*(Model_Data!A230)/Inputs!$C$39)+0.35*COS(2*PI()*(0)/Inputs!$C$40)+0.2*SIN(2*PI()*((Model_Data!A230)+(0))/(0.5*(Inputs!$C$39+Inputs!$C$40))))+Inputs!$C$38*SIN(2*PI()*(Model_Data!A230)/Inputs!$C$39)*SIN(2*PI()*(0)/Inputs!$C$40)+-Inputs!$C$41*EXP(-(((0)-Inputs!$C$43)^2)/(2*Inputs!$C$44^2))*EXP(-(((Model_Data!A230)-Inputs!$C$42)^2)/(2*Inputs!$C$45^2))+Inputs!$C$48*(0.70*(0.45*SIN(2*PI()*(((Model_Data!A230)/Inputs!$C$49)+Inputs!$C$47*0.137))+0.35*COS(2*PI()*(((0)/Inputs!$C$50)+Inputs!$C$47*0.173))+0.20*SIN(2*PI()*(((Model_Data!A230)+(0))/(0.5*(Inputs!$C$49+Inputs!$C$50))+Inputs!$C$47*0.097)))+0.30*(2*((SIN(((Model_Data!A230)*12.9898+(0)*78.233+Inputs!$C$47*37.719))*43758.5453)-INT((SIN(((Model_Data!A230)*12.9898+(0)*78.233+Inputs!$C$47*37.719))*43758.5453)))-1))))</x:f>
        <x:v>189.39467998129481</x:v>
      </x:c>
      <x:c r="K230" s="48" t="n">
        <x:f>-((((SQRT((Model_Data!A230)^2+Inputs!$C$6^2+((Model_Data!B230)-((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(0.45*SIN(2*PI()*(((Model_Data!A230)/Inputs!$C$49)+Inputs!$C$47*0.137))+0.35*COS(2*PI()*(((Inputs!$C$6)/Inputs!$C$50)+Inputs!$C$47*0.173))+0.20*SIN(2*PI()*(((Model_Data!A230)+(Inputs!$C$6))/(0.5*(Inputs!$C$49+Inputs!$C$50))+Inputs!$C$47*0.097)))+0.30*(2*((SIN(((Model_Data!A230)*12.9898+(Inputs!$C$6)*78.233+Inputs!$C$47*37.719))*43758.5453)-INT((SIN(((Model_Data!A230)*12.9898+(Inputs!$C$6)*78.233+Inputs!$C$47*37.719))*43758.5453)))-1))))/1000)^2))-(((Model_Data!B230)-((Inputs!$C$51*(115*EXP(-(((0)-25)^2)/(4.5^2))+70*EXP(-(((0)+38)^2)/(7^2))*(0.55+0.45*SIN(2*PI()*(Model_Data!A230)/45))+24*SIN(2*PI()*(0)/9+(Model_Data!A230)/18)*EXP(-(((0)+5)^2)/(22^2))+18*SIN(2*PI()*(Model_Data!A230)/70))+Inputs!$C$28*EXP(-(((Model_Data!A230)-Inputs!$C$29)^2)/(2*Inputs!$C$31^2))*EXP(-(((0)-Inputs!$C$30)^2)/(2*Inputs!$C$32^2))+-Inputs!$C$33*EXP(-(((((Model_Data!A230)-Inputs!$C$34)^2)+(((0)-Inputs!$C$35)^2))/(2*Inputs!$C$36^2)))+Inputs!$C$37*(0.55*SIN(2*PI()*(Model_Data!A230)/Inputs!$C$39)+0.35*COS(2*PI()*(0)/Inputs!$C$40)+0.2*SIN(2*PI()*((Model_Data!A230)+(0))/(0.5*(Inputs!$C$39+Inputs!$C$40))))+Inputs!$C$38*SIN(2*PI()*(Model_Data!A230)/Inputs!$C$39)*SIN(2*PI()*(0)/Inputs!$C$40)+-Inputs!$C$41*EXP(-(((0)-Inputs!$C$43)^2)/(2*Inputs!$C$44^2))*EXP(-(((Model_Data!A230)-Inputs!$C$42)^2)/(2*Inputs!$C$45^2))+Inputs!$C$48*(0.70*(0.45*SIN(2*PI()*(((Model_Data!A230)/Inputs!$C$49)+Inputs!$C$47*0.137))+0.35*COS(2*PI()*(((0)/Inputs!$C$50)+Inputs!$C$47*0.173))+0.20*SIN(2*PI()*(((Model_Data!A230)+(0))/(0.5*(Inputs!$C$49+Inputs!$C$50))+Inputs!$C$47*0.097)))+0.30*(2*((SIN(((Model_Data!A230)*12.9898+(0)*78.233+Inputs!$C$47*37.719))*43758.5453)-INT((SIN(((Model_Data!A230)*12.9898+(0)*78.233+Inputs!$C$47*37.719))*43758.5453)))-1))))/1000)))*1000/Inputs!$C$12)-Model_Data!F230)</x:f>
        <x:v>105.30831853479685</x:v>
      </x:c>
      <x:c r="L230" s="49"/>
      <x:c r="M230" s="48" t="n">
        <x:f>Model_Data!A230</x:f>
        <x:v>54</x:v>
      </x:c>
      <x:c r="N230" s="48" t="n">
        <x:f>Model_Data!P230</x:f>
        <x:v>-401.9118038751195</x:v>
      </x:c>
      <x:c r="O230" s="48" t="n">
        <x:f>AC230</x:f>
        <x:v>-408.90653636542993</x:v>
      </x:c>
      <x:c r="P230" s="48" t="n">
        <x:f>Model_Data!Q230</x:f>
        <x:v>-60.347117698966905</x:v>
      </x:c>
      <x:c r="Q230" s="48" t="n">
        <x:f>AD230</x:f>
        <x:v>-61.397377832647145</x:v>
      </x:c>
      <x:c r="R230" s="49"/>
      <x:c r="S230" s="48" t="n">
        <x:f>Model_Data!A230</x:f>
        <x:v>54</x:v>
      </x:c>
      <x:c r="T230" s="48" t="n">
        <x:f>Model_Data!B230-Inputs!$C$5</x:f>
        <x:v>3.240000000000009</x:v>
      </x:c>
      <x:c r="U230" s="49"/>
      <x:c r="V230" s="48" t="n">
        <x:f>Model_Data!A230</x:f>
        <x:v>54</x:v>
      </x:c>
      <x:c r="W230" s="48" t="n">
        <x:f>(-((((SQRT((Model_Data!A230)^2+Inputs!$C$6^2+((Model_Data!B230)-((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(0.45*SIN(2*PI()*(((Model_Data!A230)/Inputs!$C$49)+Inputs!$C$47*0.137))+0.35*COS(2*PI()*(((Inputs!$C$6)/Inputs!$C$50)+Inputs!$C$47*0.173))+0.20*SIN(2*PI()*(((Model_Data!A230)+(Inputs!$C$6))/(0.5*(Inputs!$C$49+Inputs!$C$50))+Inputs!$C$47*0.097)))+0.30*(2*((SIN(((Model_Data!A230)*12.9898+(Inputs!$C$6)*78.233+Inputs!$C$47*37.719))*43758.5453)-INT((SIN(((Model_Data!A230)*12.9898+(Inputs!$C$6)*78.233+Inputs!$C$47*37.719))*43758.5453)))-1))))/1000)^2))-(((Model_Data!B230)-((Inputs!$C$51*(115*EXP(-(((0)-25)^2)/(4.5^2))+70*EXP(-(((0)+38)^2)/(7^2))*(0.55+0.45*SIN(2*PI()*(Model_Data!A230)/45))+24*SIN(2*PI()*(0)/9+(Model_Data!A230)/18)*EXP(-(((0)+5)^2)/(22^2))+18*SIN(2*PI()*(Model_Data!A230)/70))+Inputs!$C$28*EXP(-(((Model_Data!A230)-Inputs!$C$29)^2)/(2*Inputs!$C$31^2))*EXP(-(((0)-Inputs!$C$30)^2)/(2*Inputs!$C$32^2))+-Inputs!$C$33*EXP(-(((((Model_Data!A230)-Inputs!$C$34)^2)+(((0)-Inputs!$C$35)^2))/(2*Inputs!$C$36^2)))+Inputs!$C$37*(0.55*SIN(2*PI()*(Model_Data!A230)/Inputs!$C$39)+0.35*COS(2*PI()*(0)/Inputs!$C$40)+0.2*SIN(2*PI()*((Model_Data!A230)+(0))/(0.5*(Inputs!$C$39+Inputs!$C$40))))+Inputs!$C$38*SIN(2*PI()*(Model_Data!A230)/Inputs!$C$39)*SIN(2*PI()*(0)/Inputs!$C$40)+-Inputs!$C$41*EXP(-(((0)-Inputs!$C$43)^2)/(2*Inputs!$C$44^2))*EXP(-(((Model_Data!A230)-Inputs!$C$42)^2)/(2*Inputs!$C$45^2))+Inputs!$C$48*(0.70*(0.45*SIN(2*PI()*(((Model_Data!A230)/Inputs!$C$49)+Inputs!$C$47*0.137))+0.35*COS(2*PI()*(((0)/Inputs!$C$50)+Inputs!$C$47*0.173))+0.20*SIN(2*PI()*(((Model_Data!A230)+(0))/(0.5*(Inputs!$C$49+Inputs!$C$50))+Inputs!$C$47*0.097)))+0.30*(2*((SIN(((Model_Data!A230)*12.9898+(0)*78.233+Inputs!$C$47*37.719))*43758.5453)-INT((SIN(((Model_Data!A230)*12.9898+(0)*78.233+Inputs!$C$47*37.719))*43758.5453)))-1))))/1000)))*1000/Inputs!$C$12)-Model_Data!F230))-(-(((SQRT((Model_Data!A230)^2+Inputs!$C$6^2+(Inputs!$C$5-((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(0.45*SIN(2*PI()*(((Model_Data!A230)/Inputs!$C$49)+Inputs!$C$47*0.137))+0.35*COS(2*PI()*(((Inputs!$C$6)/Inputs!$C$50)+Inputs!$C$47*0.173))+0.20*SIN(2*PI()*(((Model_Data!A230)+(Inputs!$C$6))/(0.5*(Inputs!$C$49+Inputs!$C$50))+Inputs!$C$47*0.097)))+0.30*(2*((SIN(((Model_Data!A230)*12.9898+(Inputs!$C$6)*78.233+Inputs!$C$47*37.719))*43758.5453)-INT((SIN(((Model_Data!A230)*12.9898+(Inputs!$C$6)*78.233+Inputs!$C$47*37.719))*43758.5453)))-1))))/1000)^2)-(Inputs!$C$5-((Inputs!$C$51*(115*EXP(-(((0)-25)^2)/(4.5^2))+70*EXP(-(((0)+38)^2)/(7^2))*(0.55+0.45*SIN(2*PI()*(Model_Data!A230)/45))+24*SIN(2*PI()*(0)/9+(Model_Data!A230)/18)*EXP(-(((0)+5)^2)/(22^2))+18*SIN(2*PI()*(Model_Data!A230)/70))+Inputs!$C$28*EXP(-(((Model_Data!A230)-Inputs!$C$29)^2)/(2*Inputs!$C$31^2))*EXP(-(((0)-Inputs!$C$30)^2)/(2*Inputs!$C$32^2))+-Inputs!$C$33*EXP(-(((((Model_Data!A230)-Inputs!$C$34)^2)+(((0)-Inputs!$C$35)^2))/(2*Inputs!$C$36^2)))+Inputs!$C$37*(0.55*SIN(2*PI()*(Model_Data!A230)/Inputs!$C$39)+0.35*COS(2*PI()*(0)/Inputs!$C$40)+0.2*SIN(2*PI()*((Model_Data!A230)+(0))/(0.5*(Inputs!$C$39+Inputs!$C$40))))+Inputs!$C$38*SIN(2*PI()*(Model_Data!A230)/Inputs!$C$39)*SIN(2*PI()*(0)/Inputs!$C$40)+-Inputs!$C$41*EXP(-(((0)-Inputs!$C$43)^2)/(2*Inputs!$C$44^2))*EXP(-(((Model_Data!A230)-Inputs!$C$42)^2)/(2*Inputs!$C$45^2))+Inputs!$C$48*(0.70*(0.45*SIN(2*PI()*(((Model_Data!A230)/Inputs!$C$49)+Inputs!$C$47*0.137))+0.35*COS(2*PI()*(((0)/Inputs!$C$50)+Inputs!$C$47*0.173))+0.20*SIN(2*PI()*(((Model_Data!A230)+(0))/(0.5*(Inputs!$C$49+Inputs!$C$50))+Inputs!$C$47*0.097)))+0.30*(2*((SIN(((Model_Data!A230)*12.9898+(0)*78.233+Inputs!$C$47*37.719))*43758.5453)-INT((SIN(((Model_Data!A230)*12.9898+(0)*78.233+Inputs!$C$47*37.719))*43758.5453)))-1))))/1000))*1000/Inputs!$C$12)-((SQRT((Model_Data!A230)^2+Inputs!$C$6^2+Inputs!$C$5^2)-Inputs!$C$5)*1000/Inputs!$C$12)))</x:f>
        <x:v>0.01749592575515635</x:v>
      </x:c>
      <x:c r="X230" s="48" t="n">
        <x:f>0</x:f>
        <x:v>0</x:v>
      </x:c>
      <x:c r="Y230" s="49"/>
      <x:c r="Z230" s="48" t="n">
        <x:f>Model_Data!A230</x:f>
        <x:v>54</x:v>
      </x:c>
      <x:c r="AA230" s="48" t="n">
        <x:f>SQRT((Model_Data!A230)^2+Inputs!$C$6^2+((Model_Data!B230)-((Inputs!$C$51*(115*EXP(-(((Inputs!$C$6)-25)^2)/(4.5^2))+70*EXP(-(((Inputs!$C$6)+38)^2)/(7^2))*(0.55+0.45*SIN(2*PI()*(Model_Data!A230)/45))+24*SIN(2*PI()*(Inputs!$C$6)/9+(Model_Data!A230)/18)*EXP(-(((Inputs!$C$6)+5)^2)/(22^2))+18*SIN(2*PI()*(Model_Data!A230)/70))+Inputs!$C$28*EXP(-(((Model_Data!A230)-Inputs!$C$29)^2)/(2*Inputs!$C$31^2))*EXP(-(((Inputs!$C$6)-Inputs!$C$30)^2)/(2*Inputs!$C$32^2))+-Inputs!$C$33*EXP(-(((((Model_Data!A230)-Inputs!$C$34)^2)+(((Inputs!$C$6)-Inputs!$C$35)^2))/(2*Inputs!$C$36^2)))+Inputs!$C$37*(0.55*SIN(2*PI()*(Model_Data!A230)/Inputs!$C$39)+0.35*COS(2*PI()*(Inputs!$C$6)/Inputs!$C$40)+0.2*SIN(2*PI()*((Model_Data!A230)+(Inputs!$C$6))/(0.5*(Inputs!$C$39+Inputs!$C$40))))+Inputs!$C$38*SIN(2*PI()*(Model_Data!A230)/Inputs!$C$39)*SIN(2*PI()*(Inputs!$C$6)/Inputs!$C$40)+-Inputs!$C$41*EXP(-(((Inputs!$C$6)-Inputs!$C$43)^2)/(2*Inputs!$C$44^2))*EXP(-(((Model_Data!A230)-Inputs!$C$42)^2)/(2*Inputs!$C$45^2))+Inputs!$C$48*(0.70*(0.45*SIN(2*PI()*(((Model_Data!A230)/Inputs!$C$49)+Inputs!$C$47*0.137))+0.35*COS(2*PI()*(((Inputs!$C$6)/Inputs!$C$50)+Inputs!$C$47*0.173))+0.20*SIN(2*PI()*(((Model_Data!A230)+(Inputs!$C$6))/(0.5*(Inputs!$C$49+Inputs!$C$50))+Inputs!$C$47*0.097)))+0.30*(2*((SIN(((Model_Data!A230)*12.9898+(Inputs!$C$6)*78.233+Inputs!$C$47*37.719))*43758.5453)-INT((SIN(((Model_Data!A230)*12.9898+(Inputs!$C$6)*78.233+Inputs!$C$47*37.719))*43758.5453)))-1))))/1000)^2)</x:f>
        <x:v>407.4274422428837</x:v>
      </x:c>
      <x:c r="AB230" s="48" t="n">
        <x:f>1000*(AA231-AA229)/(Z231-Z229)*Inputs!$C$11</x:f>
        <x:v>1022.2663409135748</x:v>
      </x:c>
      <x:c r="AC230" s="48" t="n">
        <x:f>-2*AB230/Inputs!$C$13</x:f>
        <x:v>-408.90653636542993</x:v>
      </x:c>
      <x:c r="AD230" s="48" t="n">
        <x:f>-2*AB230/Inputs!$C$14</x:f>
        <x:v>-61.397377832647145</x:v>
      </x:c>
    </x:row>
    <x:row r="231">
      <x:c r="A231" s="48" t="n">
        <x:f>Model_Data!A231</x:f>
        <x:v>54.5</x:v>
      </x:c>
      <x:c r="B231" s="48" t="n">
        <x:f>Model_Data!F231</x:f>
        <x:v>2490.406895668812</x:v>
      </x:c>
      <x:c r="C231" s="48" t="n">
        <x:f>(((SQRT((Model_Data!A231)^2+Inputs!$C$6^2+((Model_Data!B231)-((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(0.45*SIN(2*PI()*(((Model_Data!A231)/Inputs!$C$49)+Inputs!$C$47*0.137))+0.35*COS(2*PI()*(((Inputs!$C$6)/Inputs!$C$50)+Inputs!$C$47*0.173))+0.20*SIN(2*PI()*(((Model_Data!A231)+(Inputs!$C$6))/(0.5*(Inputs!$C$49+Inputs!$C$50))+Inputs!$C$47*0.097)))+0.30*(2*((SIN(((Model_Data!A231)*12.9898+(Inputs!$C$6)*78.233+Inputs!$C$47*37.719))*43758.5453)-INT((SIN(((Model_Data!A231)*12.9898+(Inputs!$C$6)*78.233+Inputs!$C$47*37.719))*43758.5453)))-1))))/1000)^2))-(((Model_Data!B231)-((Inputs!$C$51*(115*EXP(-(((0)-25)^2)/(4.5^2))+70*EXP(-(((0)+38)^2)/(7^2))*(0.55+0.45*SIN(2*PI()*(Model_Data!A231)/45))+24*SIN(2*PI()*(0)/9+(Model_Data!A231)/18)*EXP(-(((0)+5)^2)/(22^2))+18*SIN(2*PI()*(Model_Data!A231)/70))+Inputs!$C$28*EXP(-(((Model_Data!A231)-Inputs!$C$29)^2)/(2*Inputs!$C$31^2))*EXP(-(((0)-Inputs!$C$30)^2)/(2*Inputs!$C$32^2))+-Inputs!$C$33*EXP(-(((((Model_Data!A231)-Inputs!$C$34)^2)+(((0)-Inputs!$C$35)^2))/(2*Inputs!$C$36^2)))+Inputs!$C$37*(0.55*SIN(2*PI()*(Model_Data!A231)/Inputs!$C$39)+0.35*COS(2*PI()*(0)/Inputs!$C$40)+0.2*SIN(2*PI()*((Model_Data!A231)+(0))/(0.5*(Inputs!$C$39+Inputs!$C$40))))+Inputs!$C$38*SIN(2*PI()*(Model_Data!A231)/Inputs!$C$39)*SIN(2*PI()*(0)/Inputs!$C$40)+-Inputs!$C$41*EXP(-(((0)-Inputs!$C$43)^2)/(2*Inputs!$C$44^2))*EXP(-(((Model_Data!A231)-Inputs!$C$42)^2)/(2*Inputs!$C$45^2))+Inputs!$C$48*(0.70*(0.45*SIN(2*PI()*(((Model_Data!A231)/Inputs!$C$49)+Inputs!$C$47*0.137))+0.35*COS(2*PI()*(((0)/Inputs!$C$50)+Inputs!$C$47*0.173))+0.20*SIN(2*PI()*(((Model_Data!A231)+(0))/(0.5*(Inputs!$C$49+Inputs!$C$50))+Inputs!$C$47*0.097)))+0.30*(2*((SIN(((Model_Data!A231)*12.9898+(0)*78.233+Inputs!$C$47*37.719))*43758.5453)-INT((SIN(((Model_Data!A231)*12.9898+(0)*78.233+Inputs!$C$47*37.719))*43758.5453)))-1))))/1000)))*1000/Inputs!$C$12)</x:f>
        <x:v>2386.1126587333724</x:v>
      </x:c>
      <x:c r="D231" s="49"/>
      <x:c r="E231" s="48" t="n">
        <x:f>Model_Data!A231</x:f>
        <x:v>54.5</x:v>
      </x:c>
      <x:c r="F231" s="48" t="n">
        <x:f>(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(0.45*SIN(2*PI()*(((Model_Data!A231)/Inputs!$C$49)+Inputs!$C$47*0.137))+0.35*COS(2*PI()*(((Inputs!$C$6)/Inputs!$C$50)+Inputs!$C$47*0.173))+0.20*SIN(2*PI()*(((Model_Data!A231)+(Inputs!$C$6))/(0.5*(Inputs!$C$49+Inputs!$C$50))+Inputs!$C$47*0.097)))+0.30*(2*((SIN(((Model_Data!A231)*12.9898+(Inputs!$C$6)*78.233+Inputs!$C$47*37.719))*43758.5453)-INT((SIN(((Model_Data!A231)*12.9898+(Inputs!$C$6)*78.233+Inputs!$C$47*37.719))*43758.5453)))-1)))</x:f>
        <x:v>176.67952286630316</x:v>
      </x:c>
      <x:c r="G231" s="48" t="n">
        <x:f>(Inputs!$C$51*(115*EXP(-(((0)-25)^2)/(4.5^2))+70*EXP(-(((0)+38)^2)/(7^2))*(0.55+0.45*SIN(2*PI()*(Model_Data!A231)/45))+24*SIN(2*PI()*(0)/9+(Model_Data!A231)/18)*EXP(-(((0)+5)^2)/(22^2))+18*SIN(2*PI()*(Model_Data!A231)/70))+Inputs!$C$28*EXP(-(((Model_Data!A231)-Inputs!$C$29)^2)/(2*Inputs!$C$31^2))*EXP(-(((0)-Inputs!$C$30)^2)/(2*Inputs!$C$32^2))+-Inputs!$C$33*EXP(-(((((Model_Data!A231)-Inputs!$C$34)^2)+(((0)-Inputs!$C$35)^2))/(2*Inputs!$C$36^2)))+Inputs!$C$37*(0.55*SIN(2*PI()*(Model_Data!A231)/Inputs!$C$39)+0.35*COS(2*PI()*(0)/Inputs!$C$40)+0.2*SIN(2*PI()*((Model_Data!A231)+(0))/(0.5*(Inputs!$C$39+Inputs!$C$40))))+Inputs!$C$38*SIN(2*PI()*(Model_Data!A231)/Inputs!$C$39)*SIN(2*PI()*(0)/Inputs!$C$40)+-Inputs!$C$41*EXP(-(((0)-Inputs!$C$43)^2)/(2*Inputs!$C$44^2))*EXP(-(((Model_Data!A231)-Inputs!$C$42)^2)/(2*Inputs!$C$45^2))+Inputs!$C$48*(0.70*(0.45*SIN(2*PI()*(((Model_Data!A231)/Inputs!$C$49)+Inputs!$C$47*0.137))+0.35*COS(2*PI()*(((0)/Inputs!$C$50)+Inputs!$C$47*0.173))+0.20*SIN(2*PI()*(((Model_Data!A231)+(0))/(0.5*(Inputs!$C$49+Inputs!$C$50))+Inputs!$C$47*0.097)))+0.30*(2*((SIN(((Model_Data!A231)*12.9898+(0)*78.233+Inputs!$C$47*37.719))*43758.5453)-INT((SIN(((Model_Data!A231)*12.9898+(0)*78.233+Inputs!$C$47*37.719))*43758.5453)))-1)))</x:f>
        <x:v>-10.88592803052483</x:v>
      </x:c>
      <x:c r="H231" s="49"/>
      <x:c r="I231" s="48" t="n">
        <x:f>Model_Data!A231</x:f>
        <x:v>54.5</x:v>
      </x:c>
      <x:c r="J231" s="48" t="n">
        <x:f>((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(0.45*SIN(2*PI()*(((Model_Data!A231)/Inputs!$C$49)+Inputs!$C$47*0.137))+0.35*COS(2*PI()*(((Inputs!$C$6)/Inputs!$C$50)+Inputs!$C$47*0.173))+0.20*SIN(2*PI()*(((Model_Data!A231)+(Inputs!$C$6))/(0.5*(Inputs!$C$49+Inputs!$C$50))+Inputs!$C$47*0.097)))+0.30*(2*((SIN(((Model_Data!A231)*12.9898+(Inputs!$C$6)*78.233+Inputs!$C$47*37.719))*43758.5453)-INT((SIN(((Model_Data!A231)*12.9898+(Inputs!$C$6)*78.233+Inputs!$C$47*37.719))*43758.5453)))-1))))-((Inputs!$C$51*(115*EXP(-(((0)-25)^2)/(4.5^2))+70*EXP(-(((0)+38)^2)/(7^2))*(0.55+0.45*SIN(2*PI()*(Model_Data!A231)/45))+24*SIN(2*PI()*(0)/9+(Model_Data!A231)/18)*EXP(-(((0)+5)^2)/(22^2))+18*SIN(2*PI()*(Model_Data!A231)/70))+Inputs!$C$28*EXP(-(((Model_Data!A231)-Inputs!$C$29)^2)/(2*Inputs!$C$31^2))*EXP(-(((0)-Inputs!$C$30)^2)/(2*Inputs!$C$32^2))+-Inputs!$C$33*EXP(-(((((Model_Data!A231)-Inputs!$C$34)^2)+(((0)-Inputs!$C$35)^2))/(2*Inputs!$C$36^2)))+Inputs!$C$37*(0.55*SIN(2*PI()*(Model_Data!A231)/Inputs!$C$39)+0.35*COS(2*PI()*(0)/Inputs!$C$40)+0.2*SIN(2*PI()*((Model_Data!A231)+(0))/(0.5*(Inputs!$C$39+Inputs!$C$40))))+Inputs!$C$38*SIN(2*PI()*(Model_Data!A231)/Inputs!$C$39)*SIN(2*PI()*(0)/Inputs!$C$40)+-Inputs!$C$41*EXP(-(((0)-Inputs!$C$43)^2)/(2*Inputs!$C$44^2))*EXP(-(((Model_Data!A231)-Inputs!$C$42)^2)/(2*Inputs!$C$45^2))+Inputs!$C$48*(0.70*(0.45*SIN(2*PI()*(((Model_Data!A231)/Inputs!$C$49)+Inputs!$C$47*0.137))+0.35*COS(2*PI()*(((0)/Inputs!$C$50)+Inputs!$C$47*0.173))+0.20*SIN(2*PI()*(((Model_Data!A231)+(0))/(0.5*(Inputs!$C$49+Inputs!$C$50))+Inputs!$C$47*0.097)))+0.30*(2*((SIN(((Model_Data!A231)*12.9898+(0)*78.233+Inputs!$C$47*37.719))*43758.5453)-INT((SIN(((Model_Data!A231)*12.9898+(0)*78.233+Inputs!$C$47*37.719))*43758.5453)))-1))))</x:f>
        <x:v>187.565450896828</x:v>
      </x:c>
      <x:c r="K231" s="48" t="n">
        <x:f>-((((SQRT((Model_Data!A231)^2+Inputs!$C$6^2+((Model_Data!B231)-((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(0.45*SIN(2*PI()*(((Model_Data!A231)/Inputs!$C$49)+Inputs!$C$47*0.137))+0.35*COS(2*PI()*(((Inputs!$C$6)/Inputs!$C$50)+Inputs!$C$47*0.173))+0.20*SIN(2*PI()*(((Model_Data!A231)+(Inputs!$C$6))/(0.5*(Inputs!$C$49+Inputs!$C$50))+Inputs!$C$47*0.097)))+0.30*(2*((SIN(((Model_Data!A231)*12.9898+(Inputs!$C$6)*78.233+Inputs!$C$47*37.719))*43758.5453)-INT((SIN(((Model_Data!A231)*12.9898+(Inputs!$C$6)*78.233+Inputs!$C$47*37.719))*43758.5453)))-1))))/1000)^2))-(((Model_Data!B231)-((Inputs!$C$51*(115*EXP(-(((0)-25)^2)/(4.5^2))+70*EXP(-(((0)+38)^2)/(7^2))*(0.55+0.45*SIN(2*PI()*(Model_Data!A231)/45))+24*SIN(2*PI()*(0)/9+(Model_Data!A231)/18)*EXP(-(((0)+5)^2)/(22^2))+18*SIN(2*PI()*(Model_Data!A231)/70))+Inputs!$C$28*EXP(-(((Model_Data!A231)-Inputs!$C$29)^2)/(2*Inputs!$C$31^2))*EXP(-(((0)-Inputs!$C$30)^2)/(2*Inputs!$C$32^2))+-Inputs!$C$33*EXP(-(((((Model_Data!A231)-Inputs!$C$34)^2)+(((0)-Inputs!$C$35)^2))/(2*Inputs!$C$36^2)))+Inputs!$C$37*(0.55*SIN(2*PI()*(Model_Data!A231)/Inputs!$C$39)+0.35*COS(2*PI()*(0)/Inputs!$C$40)+0.2*SIN(2*PI()*((Model_Data!A231)+(0))/(0.5*(Inputs!$C$39+Inputs!$C$40))))+Inputs!$C$38*SIN(2*PI()*(Model_Data!A231)/Inputs!$C$39)*SIN(2*PI()*(0)/Inputs!$C$40)+-Inputs!$C$41*EXP(-(((0)-Inputs!$C$43)^2)/(2*Inputs!$C$44^2))*EXP(-(((Model_Data!A231)-Inputs!$C$42)^2)/(2*Inputs!$C$45^2))+Inputs!$C$48*(0.70*(0.45*SIN(2*PI()*(((Model_Data!A231)/Inputs!$C$49)+Inputs!$C$47*0.137))+0.35*COS(2*PI()*(((0)/Inputs!$C$50)+Inputs!$C$47*0.173))+0.20*SIN(2*PI()*(((Model_Data!A231)+(0))/(0.5*(Inputs!$C$49+Inputs!$C$50))+Inputs!$C$47*0.097)))+0.30*(2*((SIN(((Model_Data!A231)*12.9898+(0)*78.233+Inputs!$C$47*37.719))*43758.5453)-INT((SIN(((Model_Data!A231)*12.9898+(0)*78.233+Inputs!$C$47*37.719))*43758.5453)))-1))))/1000)))*1000/Inputs!$C$12)-Model_Data!F231)</x:f>
        <x:v>104.29423693543959</x:v>
      </x:c>
      <x:c r="L231" s="49"/>
      <x:c r="M231" s="48" t="n">
        <x:f>Model_Data!A231</x:f>
        <x:v>54.5</x:v>
      </x:c>
      <x:c r="N231" s="48" t="n">
        <x:f>Model_Data!P231</x:f>
        <x:v>-405.5363428162093</x:v>
      </x:c>
      <x:c r="O231" s="48" t="n">
        <x:f>AC231</x:f>
        <x:v>-394.60855870711384</x:v>
      </x:c>
      <x:c r="P231" s="48" t="n">
        <x:f>Model_Data!Q231</x:f>
        <x:v>-60.8913427651966</x:v>
      </x:c>
      <x:c r="Q231" s="48" t="n">
        <x:f>AD231</x:f>
        <x:v>-59.25053434040749</x:v>
      </x:c>
      <x:c r="R231" s="49"/>
      <x:c r="S231" s="48" t="n">
        <x:f>Model_Data!A231</x:f>
        <x:v>54.5</x:v>
      </x:c>
      <x:c r="T231" s="48" t="n">
        <x:f>Model_Data!B231-Inputs!$C$5</x:f>
        <x:v>3.300277777777751</x:v>
      </x:c>
      <x:c r="U231" s="49"/>
      <x:c r="V231" s="48" t="n">
        <x:f>Model_Data!A231</x:f>
        <x:v>54.5</x:v>
      </x:c>
      <x:c r="W231" s="48" t="n">
        <x:f>(-((((SQRT((Model_Data!A231)^2+Inputs!$C$6^2+((Model_Data!B231)-((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(0.45*SIN(2*PI()*(((Model_Data!A231)/Inputs!$C$49)+Inputs!$C$47*0.137))+0.35*COS(2*PI()*(((Inputs!$C$6)/Inputs!$C$50)+Inputs!$C$47*0.173))+0.20*SIN(2*PI()*(((Model_Data!A231)+(Inputs!$C$6))/(0.5*(Inputs!$C$49+Inputs!$C$50))+Inputs!$C$47*0.097)))+0.30*(2*((SIN(((Model_Data!A231)*12.9898+(Inputs!$C$6)*78.233+Inputs!$C$47*37.719))*43758.5453)-INT((SIN(((Model_Data!A231)*12.9898+(Inputs!$C$6)*78.233+Inputs!$C$47*37.719))*43758.5453)))-1))))/1000)^2))-(((Model_Data!B231)-((Inputs!$C$51*(115*EXP(-(((0)-25)^2)/(4.5^2))+70*EXP(-(((0)+38)^2)/(7^2))*(0.55+0.45*SIN(2*PI()*(Model_Data!A231)/45))+24*SIN(2*PI()*(0)/9+(Model_Data!A231)/18)*EXP(-(((0)+5)^2)/(22^2))+18*SIN(2*PI()*(Model_Data!A231)/70))+Inputs!$C$28*EXP(-(((Model_Data!A231)-Inputs!$C$29)^2)/(2*Inputs!$C$31^2))*EXP(-(((0)-Inputs!$C$30)^2)/(2*Inputs!$C$32^2))+-Inputs!$C$33*EXP(-(((((Model_Data!A231)-Inputs!$C$34)^2)+(((0)-Inputs!$C$35)^2))/(2*Inputs!$C$36^2)))+Inputs!$C$37*(0.55*SIN(2*PI()*(Model_Data!A231)/Inputs!$C$39)+0.35*COS(2*PI()*(0)/Inputs!$C$40)+0.2*SIN(2*PI()*((Model_Data!A231)+(0))/(0.5*(Inputs!$C$39+Inputs!$C$40))))+Inputs!$C$38*SIN(2*PI()*(Model_Data!A231)/Inputs!$C$39)*SIN(2*PI()*(0)/Inputs!$C$40)+-Inputs!$C$41*EXP(-(((0)-Inputs!$C$43)^2)/(2*Inputs!$C$44^2))*EXP(-(((Model_Data!A231)-Inputs!$C$42)^2)/(2*Inputs!$C$45^2))+Inputs!$C$48*(0.70*(0.45*SIN(2*PI()*(((Model_Data!A231)/Inputs!$C$49)+Inputs!$C$47*0.137))+0.35*COS(2*PI()*(((0)/Inputs!$C$50)+Inputs!$C$47*0.173))+0.20*SIN(2*PI()*(((Model_Data!A231)+(0))/(0.5*(Inputs!$C$49+Inputs!$C$50))+Inputs!$C$47*0.097)))+0.30*(2*((SIN(((Model_Data!A231)*12.9898+(0)*78.233+Inputs!$C$47*37.719))*43758.5453)-INT((SIN(((Model_Data!A231)*12.9898+(0)*78.233+Inputs!$C$47*37.719))*43758.5453)))-1))))/1000)))*1000/Inputs!$C$12)-Model_Data!F231))-(-(((SQRT((Model_Data!A231)^2+Inputs!$C$6^2+(Inputs!$C$5-((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(0.45*SIN(2*PI()*(((Model_Data!A231)/Inputs!$C$49)+Inputs!$C$47*0.137))+0.35*COS(2*PI()*(((Inputs!$C$6)/Inputs!$C$50)+Inputs!$C$47*0.173))+0.20*SIN(2*PI()*(((Model_Data!A231)+(Inputs!$C$6))/(0.5*(Inputs!$C$49+Inputs!$C$50))+Inputs!$C$47*0.097)))+0.30*(2*((SIN(((Model_Data!A231)*12.9898+(Inputs!$C$6)*78.233+Inputs!$C$47*37.719))*43758.5453)-INT((SIN(((Model_Data!A231)*12.9898+(Inputs!$C$6)*78.233+Inputs!$C$47*37.719))*43758.5453)))-1))))/1000)^2)-(Inputs!$C$5-((Inputs!$C$51*(115*EXP(-(((0)-25)^2)/(4.5^2))+70*EXP(-(((0)+38)^2)/(7^2))*(0.55+0.45*SIN(2*PI()*(Model_Data!A231)/45))+24*SIN(2*PI()*(0)/9+(Model_Data!A231)/18)*EXP(-(((0)+5)^2)/(22^2))+18*SIN(2*PI()*(Model_Data!A231)/70))+Inputs!$C$28*EXP(-(((Model_Data!A231)-Inputs!$C$29)^2)/(2*Inputs!$C$31^2))*EXP(-(((0)-Inputs!$C$30)^2)/(2*Inputs!$C$32^2))+-Inputs!$C$33*EXP(-(((((Model_Data!A231)-Inputs!$C$34)^2)+(((0)-Inputs!$C$35)^2))/(2*Inputs!$C$36^2)))+Inputs!$C$37*(0.55*SIN(2*PI()*(Model_Data!A231)/Inputs!$C$39)+0.35*COS(2*PI()*(0)/Inputs!$C$40)+0.2*SIN(2*PI()*((Model_Data!A231)+(0))/(0.5*(Inputs!$C$39+Inputs!$C$40))))+Inputs!$C$38*SIN(2*PI()*(Model_Data!A231)/Inputs!$C$39)*SIN(2*PI()*(0)/Inputs!$C$40)+-Inputs!$C$41*EXP(-(((0)-Inputs!$C$43)^2)/(2*Inputs!$C$44^2))*EXP(-(((Model_Data!A231)-Inputs!$C$42)^2)/(2*Inputs!$C$45^2))+Inputs!$C$48*(0.70*(0.45*SIN(2*PI()*(((Model_Data!A231)/Inputs!$C$49)+Inputs!$C$47*0.137))+0.35*COS(2*PI()*(((0)/Inputs!$C$50)+Inputs!$C$47*0.173))+0.20*SIN(2*PI()*(((Model_Data!A231)+(0))/(0.5*(Inputs!$C$49+Inputs!$C$50))+Inputs!$C$47*0.097)))+0.30*(2*((SIN(((Model_Data!A231)*12.9898+(0)*78.233+Inputs!$C$47*37.719))*43758.5453)-INT((SIN(((Model_Data!A231)*12.9898+(0)*78.233+Inputs!$C$47*37.719))*43758.5453)))-1))))/1000))*1000/Inputs!$C$12)-((SQRT((Model_Data!A231)^2+Inputs!$C$6^2+Inputs!$C$5^2)-Inputs!$C$5)*1000/Inputs!$C$12)))</x:f>
        <x:v>0.01759696304816316</x:v>
      </x:c>
      <x:c r="X231" s="48" t="n">
        <x:f>0</x:f>
        <x:v>0</x:v>
      </x:c>
      <x:c r="Y231" s="49"/>
      <x:c r="Z231" s="48" t="n">
        <x:f>Model_Data!A231</x:f>
        <x:v>54.5</x:v>
      </x:c>
      <x:c r="AA231" s="48" t="n">
        <x:f>SQRT((Model_Data!A231)^2+Inputs!$C$6^2+((Model_Data!B231)-((Inputs!$C$51*(115*EXP(-(((Inputs!$C$6)-25)^2)/(4.5^2))+70*EXP(-(((Inputs!$C$6)+38)^2)/(7^2))*(0.55+0.45*SIN(2*PI()*(Model_Data!A231)/45))+24*SIN(2*PI()*(Inputs!$C$6)/9+(Model_Data!A231)/18)*EXP(-(((Inputs!$C$6)+5)^2)/(22^2))+18*SIN(2*PI()*(Model_Data!A231)/70))+Inputs!$C$28*EXP(-(((Model_Data!A231)-Inputs!$C$29)^2)/(2*Inputs!$C$31^2))*EXP(-(((Inputs!$C$6)-Inputs!$C$30)^2)/(2*Inputs!$C$32^2))+-Inputs!$C$33*EXP(-(((((Model_Data!A231)-Inputs!$C$34)^2)+(((Inputs!$C$6)-Inputs!$C$35)^2))/(2*Inputs!$C$36^2)))+Inputs!$C$37*(0.55*SIN(2*PI()*(Model_Data!A231)/Inputs!$C$39)+0.35*COS(2*PI()*(Inputs!$C$6)/Inputs!$C$40)+0.2*SIN(2*PI()*((Model_Data!A231)+(Inputs!$C$6))/(0.5*(Inputs!$C$39+Inputs!$C$40))))+Inputs!$C$38*SIN(2*PI()*(Model_Data!A231)/Inputs!$C$39)*SIN(2*PI()*(Inputs!$C$6)/Inputs!$C$40)+-Inputs!$C$41*EXP(-(((Inputs!$C$6)-Inputs!$C$43)^2)/(2*Inputs!$C$44^2))*EXP(-(((Model_Data!A231)-Inputs!$C$42)^2)/(2*Inputs!$C$45^2))+Inputs!$C$48*(0.70*(0.45*SIN(2*PI()*(((Model_Data!A231)/Inputs!$C$49)+Inputs!$C$47*0.137))+0.35*COS(2*PI()*(((Inputs!$C$6)/Inputs!$C$50)+Inputs!$C$47*0.173))+0.20*SIN(2*PI()*(((Model_Data!A231)+(Inputs!$C$6))/(0.5*(Inputs!$C$49+Inputs!$C$50))+Inputs!$C$47*0.097)))+0.30*(2*((SIN(((Model_Data!A231)*12.9898+(Inputs!$C$6)*78.233+Inputs!$C$47*37.719))*43758.5453)-INT((SIN(((Model_Data!A231)*12.9898+(Inputs!$C$6)*78.233+Inputs!$C$47*37.719))*43758.5453)))-1))))/1000)^2)</x:f>
        <x:v>407.5584442383537</x:v>
      </x:c>
      <x:c r="AB231" s="48" t="n">
        <x:f>1000*(AA232-AA230)/(Z232-Z230)*Inputs!$C$11</x:f>
        <x:v>986.5213967677846</x:v>
      </x:c>
      <x:c r="AC231" s="48" t="n">
        <x:f>-2*AB231/Inputs!$C$13</x:f>
        <x:v>-394.60855870711384</x:v>
      </x:c>
      <x:c r="AD231" s="48" t="n">
        <x:f>-2*AB231/Inputs!$C$14</x:f>
        <x:v>-59.25053434040749</x:v>
      </x:c>
    </x:row>
    <x:row r="232">
      <x:c r="A232" s="48" t="n">
        <x:f>Model_Data!A232</x:f>
        <x:v>55</x:v>
      </x:c>
      <x:c r="B232" s="48" t="n">
        <x:f>Model_Data!F232</x:f>
        <x:v>2527.745531338961</x:v>
      </x:c>
      <x:c r="C232" s="48" t="n">
        <x:f>(((SQRT((Model_Data!A232)^2+Inputs!$C$6^2+((Model_Data!B232)-((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(0.45*SIN(2*PI()*(((Model_Data!A232)/Inputs!$C$49)+Inputs!$C$47*0.137))+0.35*COS(2*PI()*(((Inputs!$C$6)/Inputs!$C$50)+Inputs!$C$47*0.173))+0.20*SIN(2*PI()*(((Model_Data!A232)+(Inputs!$C$6))/(0.5*(Inputs!$C$49+Inputs!$C$50))+Inputs!$C$47*0.097)))+0.30*(2*((SIN(((Model_Data!A232)*12.9898+(Inputs!$C$6)*78.233+Inputs!$C$47*37.719))*43758.5453)-INT((SIN(((Model_Data!A232)*12.9898+(Inputs!$C$6)*78.233+Inputs!$C$47*37.719))*43758.5453)))-1))))/1000)^2))-(((Model_Data!B232)-((Inputs!$C$51*(115*EXP(-(((0)-25)^2)/(4.5^2))+70*EXP(-(((0)+38)^2)/(7^2))*(0.55+0.45*SIN(2*PI()*(Model_Data!A232)/45))+24*SIN(2*PI()*(0)/9+(Model_Data!A232)/18)*EXP(-(((0)+5)^2)/(22^2))+18*SIN(2*PI()*(Model_Data!A232)/70))+Inputs!$C$28*EXP(-(((Model_Data!A232)-Inputs!$C$29)^2)/(2*Inputs!$C$31^2))*EXP(-(((0)-Inputs!$C$30)^2)/(2*Inputs!$C$32^2))+-Inputs!$C$33*EXP(-(((((Model_Data!A232)-Inputs!$C$34)^2)+(((0)-Inputs!$C$35)^2))/(2*Inputs!$C$36^2)))+Inputs!$C$37*(0.55*SIN(2*PI()*(Model_Data!A232)/Inputs!$C$39)+0.35*COS(2*PI()*(0)/Inputs!$C$40)+0.2*SIN(2*PI()*((Model_Data!A232)+(0))/(0.5*(Inputs!$C$39+Inputs!$C$40))))+Inputs!$C$38*SIN(2*PI()*(Model_Data!A232)/Inputs!$C$39)*SIN(2*PI()*(0)/Inputs!$C$40)+-Inputs!$C$41*EXP(-(((0)-Inputs!$C$43)^2)/(2*Inputs!$C$44^2))*EXP(-(((Model_Data!A232)-Inputs!$C$42)^2)/(2*Inputs!$C$45^2))+Inputs!$C$48*(0.70*(0.45*SIN(2*PI()*(((Model_Data!A232)/Inputs!$C$49)+Inputs!$C$47*0.137))+0.35*COS(2*PI()*(((0)/Inputs!$C$50)+Inputs!$C$47*0.173))+0.20*SIN(2*PI()*(((Model_Data!A232)+(0))/(0.5*(Inputs!$C$49+Inputs!$C$50))+Inputs!$C$47*0.097)))+0.30*(2*((SIN(((Model_Data!A232)*12.9898+(0)*78.233+Inputs!$C$47*37.719))*43758.5453)-INT((SIN(((Model_Data!A232)*12.9898+(0)*78.233+Inputs!$C$47*37.719))*43758.5453)))-1))))/1000)))*1000/Inputs!$C$12)</x:f>
        <x:v>2421.4732152468773</x:v>
      </x:c>
      <x:c r="D232" s="49"/>
      <x:c r="E232" s="48" t="n">
        <x:f>Model_Data!A232</x:f>
        <x:v>55</x:v>
      </x:c>
      <x:c r="F232" s="48" t="n">
        <x:f>(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(0.45*SIN(2*PI()*(((Model_Data!A232)/Inputs!$C$49)+Inputs!$C$47*0.137))+0.35*COS(2*PI()*(((Inputs!$C$6)/Inputs!$C$50)+Inputs!$C$47*0.173))+0.20*SIN(2*PI()*(((Model_Data!A232)+(Inputs!$C$6))/(0.5*(Inputs!$C$49+Inputs!$C$50))+Inputs!$C$47*0.097)))+0.30*(2*((SIN(((Model_Data!A232)*12.9898+(Inputs!$C$6)*78.233+Inputs!$C$47*37.719))*43758.5453)-INT((SIN(((Model_Data!A232)*12.9898+(Inputs!$C$6)*78.233+Inputs!$C$47*37.719))*43758.5453)))-1)))</x:f>
        <x:v>188.50605986389118</x:v>
      </x:c>
      <x:c r="G232" s="48" t="n">
        <x:f>(Inputs!$C$51*(115*EXP(-(((0)-25)^2)/(4.5^2))+70*EXP(-(((0)+38)^2)/(7^2))*(0.55+0.45*SIN(2*PI()*(Model_Data!A232)/45))+24*SIN(2*PI()*(0)/9+(Model_Data!A232)/18)*EXP(-(((0)+5)^2)/(22^2))+18*SIN(2*PI()*(Model_Data!A232)/70))+Inputs!$C$28*EXP(-(((Model_Data!A232)-Inputs!$C$29)^2)/(2*Inputs!$C$31^2))*EXP(-(((0)-Inputs!$C$30)^2)/(2*Inputs!$C$32^2))+-Inputs!$C$33*EXP(-(((((Model_Data!A232)-Inputs!$C$34)^2)+(((0)-Inputs!$C$35)^2))/(2*Inputs!$C$36^2)))+Inputs!$C$37*(0.55*SIN(2*PI()*(Model_Data!A232)/Inputs!$C$39)+0.35*COS(2*PI()*(0)/Inputs!$C$40)+0.2*SIN(2*PI()*((Model_Data!A232)+(0))/(0.5*(Inputs!$C$39+Inputs!$C$40))))+Inputs!$C$38*SIN(2*PI()*(Model_Data!A232)/Inputs!$C$39)*SIN(2*PI()*(0)/Inputs!$C$40)+-Inputs!$C$41*EXP(-(((0)-Inputs!$C$43)^2)/(2*Inputs!$C$44^2))*EXP(-(((Model_Data!A232)-Inputs!$C$42)^2)/(2*Inputs!$C$45^2))+Inputs!$C$48*(0.70*(0.45*SIN(2*PI()*(((Model_Data!A232)/Inputs!$C$49)+Inputs!$C$47*0.137))+0.35*COS(2*PI()*(((0)/Inputs!$C$50)+Inputs!$C$47*0.173))+0.20*SIN(2*PI()*(((Model_Data!A232)+(0))/(0.5*(Inputs!$C$49+Inputs!$C$50))+Inputs!$C$47*0.097)))+0.30*(2*((SIN(((Model_Data!A232)*12.9898+(0)*78.233+Inputs!$C$47*37.719))*43758.5453)-INT((SIN(((Model_Data!A232)*12.9898+(0)*78.233+Inputs!$C$47*37.719))*43758.5453)))-1)))</x:f>
        <x:v>-2.7391578251359494</x:v>
      </x:c>
      <x:c r="H232" s="49"/>
      <x:c r="I232" s="48" t="n">
        <x:f>Model_Data!A232</x:f>
        <x:v>55</x:v>
      </x:c>
      <x:c r="J232" s="48" t="n">
        <x:f>((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(0.45*SIN(2*PI()*(((Model_Data!A232)/Inputs!$C$49)+Inputs!$C$47*0.137))+0.35*COS(2*PI()*(((Inputs!$C$6)/Inputs!$C$50)+Inputs!$C$47*0.173))+0.20*SIN(2*PI()*(((Model_Data!A232)+(Inputs!$C$6))/(0.5*(Inputs!$C$49+Inputs!$C$50))+Inputs!$C$47*0.097)))+0.30*(2*((SIN(((Model_Data!A232)*12.9898+(Inputs!$C$6)*78.233+Inputs!$C$47*37.719))*43758.5453)-INT((SIN(((Model_Data!A232)*12.9898+(Inputs!$C$6)*78.233+Inputs!$C$47*37.719))*43758.5453)))-1))))-((Inputs!$C$51*(115*EXP(-(((0)-25)^2)/(4.5^2))+70*EXP(-(((0)+38)^2)/(7^2))*(0.55+0.45*SIN(2*PI()*(Model_Data!A232)/45))+24*SIN(2*PI()*(0)/9+(Model_Data!A232)/18)*EXP(-(((0)+5)^2)/(22^2))+18*SIN(2*PI()*(Model_Data!A232)/70))+Inputs!$C$28*EXP(-(((Model_Data!A232)-Inputs!$C$29)^2)/(2*Inputs!$C$31^2))*EXP(-(((0)-Inputs!$C$30)^2)/(2*Inputs!$C$32^2))+-Inputs!$C$33*EXP(-(((((Model_Data!A232)-Inputs!$C$34)^2)+(((0)-Inputs!$C$35)^2))/(2*Inputs!$C$36^2)))+Inputs!$C$37*(0.55*SIN(2*PI()*(Model_Data!A232)/Inputs!$C$39)+0.35*COS(2*PI()*(0)/Inputs!$C$40)+0.2*SIN(2*PI()*((Model_Data!A232)+(0))/(0.5*(Inputs!$C$39+Inputs!$C$40))))+Inputs!$C$38*SIN(2*PI()*(Model_Data!A232)/Inputs!$C$39)*SIN(2*PI()*(0)/Inputs!$C$40)+-Inputs!$C$41*EXP(-(((0)-Inputs!$C$43)^2)/(2*Inputs!$C$44^2))*EXP(-(((Model_Data!A232)-Inputs!$C$42)^2)/(2*Inputs!$C$45^2))+Inputs!$C$48*(0.70*(0.45*SIN(2*PI()*(((Model_Data!A232)/Inputs!$C$49)+Inputs!$C$47*0.137))+0.35*COS(2*PI()*(((0)/Inputs!$C$50)+Inputs!$C$47*0.173))+0.20*SIN(2*PI()*(((Model_Data!A232)+(0))/(0.5*(Inputs!$C$49+Inputs!$C$50))+Inputs!$C$47*0.097)))+0.30*(2*((SIN(((Model_Data!A232)*12.9898+(0)*78.233+Inputs!$C$47*37.719))*43758.5453)-INT((SIN(((Model_Data!A232)*12.9898+(0)*78.233+Inputs!$C$47*37.719))*43758.5453)))-1))))</x:f>
        <x:v>191.24521768902713</x:v>
      </x:c>
      <x:c r="K232" s="48" t="n">
        <x:f>-((((SQRT((Model_Data!A232)^2+Inputs!$C$6^2+((Model_Data!B232)-((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(0.45*SIN(2*PI()*(((Model_Data!A232)/Inputs!$C$49)+Inputs!$C$47*0.137))+0.35*COS(2*PI()*(((Inputs!$C$6)/Inputs!$C$50)+Inputs!$C$47*0.173))+0.20*SIN(2*PI()*(((Model_Data!A232)+(Inputs!$C$6))/(0.5*(Inputs!$C$49+Inputs!$C$50))+Inputs!$C$47*0.097)))+0.30*(2*((SIN(((Model_Data!A232)*12.9898+(Inputs!$C$6)*78.233+Inputs!$C$47*37.719))*43758.5453)-INT((SIN(((Model_Data!A232)*12.9898+(Inputs!$C$6)*78.233+Inputs!$C$47*37.719))*43758.5453)))-1))))/1000)^2))-(((Model_Data!B232)-((Inputs!$C$51*(115*EXP(-(((0)-25)^2)/(4.5^2))+70*EXP(-(((0)+38)^2)/(7^2))*(0.55+0.45*SIN(2*PI()*(Model_Data!A232)/45))+24*SIN(2*PI()*(0)/9+(Model_Data!A232)/18)*EXP(-(((0)+5)^2)/(22^2))+18*SIN(2*PI()*(Model_Data!A232)/70))+Inputs!$C$28*EXP(-(((Model_Data!A232)-Inputs!$C$29)^2)/(2*Inputs!$C$31^2))*EXP(-(((0)-Inputs!$C$30)^2)/(2*Inputs!$C$32^2))+-Inputs!$C$33*EXP(-(((((Model_Data!A232)-Inputs!$C$34)^2)+(((0)-Inputs!$C$35)^2))/(2*Inputs!$C$36^2)))+Inputs!$C$37*(0.55*SIN(2*PI()*(Model_Data!A232)/Inputs!$C$39)+0.35*COS(2*PI()*(0)/Inputs!$C$40)+0.2*SIN(2*PI()*((Model_Data!A232)+(0))/(0.5*(Inputs!$C$39+Inputs!$C$40))))+Inputs!$C$38*SIN(2*PI()*(Model_Data!A232)/Inputs!$C$39)*SIN(2*PI()*(0)/Inputs!$C$40)+-Inputs!$C$41*EXP(-(((0)-Inputs!$C$43)^2)/(2*Inputs!$C$44^2))*EXP(-(((Model_Data!A232)-Inputs!$C$42)^2)/(2*Inputs!$C$45^2))+Inputs!$C$48*(0.70*(0.45*SIN(2*PI()*(((Model_Data!A232)/Inputs!$C$49)+Inputs!$C$47*0.137))+0.35*COS(2*PI()*(((0)/Inputs!$C$50)+Inputs!$C$47*0.173))+0.20*SIN(2*PI()*(((Model_Data!A232)+(0))/(0.5*(Inputs!$C$49+Inputs!$C$50))+Inputs!$C$47*0.097)))+0.30*(2*((SIN(((Model_Data!A232)*12.9898+(0)*78.233+Inputs!$C$47*37.719))*43758.5453)-INT((SIN(((Model_Data!A232)*12.9898+(0)*78.233+Inputs!$C$47*37.719))*43758.5453)))-1))))/1000)))*1000/Inputs!$C$12)-Model_Data!F232)</x:f>
        <x:v>106.27231609208366</x:v>
      </x:c>
      <x:c r="L232" s="49"/>
      <x:c r="M232" s="48" t="n">
        <x:f>Model_Data!A232</x:f>
        <x:v>55</x:v>
      </x:c>
      <x:c r="N232" s="48" t="n">
        <x:f>Model_Data!P232</x:f>
        <x:v>-409.15829536560034</x:v>
      </x:c>
      <x:c r="O232" s="48" t="n">
        <x:f>AC232</x:f>
        <x:v>-399.95734030671883</x:v>
      </x:c>
      <x:c r="P232" s="48" t="n">
        <x:f>Model_Data!Q232</x:f>
        <x:v>-61.43517948432438</x:v>
      </x:c>
      <x:c r="Q232" s="48" t="n">
        <x:f>AD232</x:f>
        <x:v>-60.05365470070854</x:v>
      </x:c>
      <x:c r="R232" s="49"/>
      <x:c r="S232" s="48" t="n">
        <x:f>Model_Data!A232</x:f>
        <x:v>55</x:v>
      </x:c>
      <x:c r="T232" s="48" t="n">
        <x:f>Model_Data!B232-Inputs!$C$5</x:f>
        <x:v>3.361111111111086</x:v>
      </x:c>
      <x:c r="U232" s="49"/>
      <x:c r="V232" s="48" t="n">
        <x:f>Model_Data!A232</x:f>
        <x:v>55</x:v>
      </x:c>
      <x:c r="W232" s="48" t="n">
        <x:f>(-((((SQRT((Model_Data!A232)^2+Inputs!$C$6^2+((Model_Data!B232)-((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(0.45*SIN(2*PI()*(((Model_Data!A232)/Inputs!$C$49)+Inputs!$C$47*0.137))+0.35*COS(2*PI()*(((Inputs!$C$6)/Inputs!$C$50)+Inputs!$C$47*0.173))+0.20*SIN(2*PI()*(((Model_Data!A232)+(Inputs!$C$6))/(0.5*(Inputs!$C$49+Inputs!$C$50))+Inputs!$C$47*0.097)))+0.30*(2*((SIN(((Model_Data!A232)*12.9898+(Inputs!$C$6)*78.233+Inputs!$C$47*37.719))*43758.5453)-INT((SIN(((Model_Data!A232)*12.9898+(Inputs!$C$6)*78.233+Inputs!$C$47*37.719))*43758.5453)))-1))))/1000)^2))-(((Model_Data!B232)-((Inputs!$C$51*(115*EXP(-(((0)-25)^2)/(4.5^2))+70*EXP(-(((0)+38)^2)/(7^2))*(0.55+0.45*SIN(2*PI()*(Model_Data!A232)/45))+24*SIN(2*PI()*(0)/9+(Model_Data!A232)/18)*EXP(-(((0)+5)^2)/(22^2))+18*SIN(2*PI()*(Model_Data!A232)/70))+Inputs!$C$28*EXP(-(((Model_Data!A232)-Inputs!$C$29)^2)/(2*Inputs!$C$31^2))*EXP(-(((0)-Inputs!$C$30)^2)/(2*Inputs!$C$32^2))+-Inputs!$C$33*EXP(-(((((Model_Data!A232)-Inputs!$C$34)^2)+(((0)-Inputs!$C$35)^2))/(2*Inputs!$C$36^2)))+Inputs!$C$37*(0.55*SIN(2*PI()*(Model_Data!A232)/Inputs!$C$39)+0.35*COS(2*PI()*(0)/Inputs!$C$40)+0.2*SIN(2*PI()*((Model_Data!A232)+(0))/(0.5*(Inputs!$C$39+Inputs!$C$40))))+Inputs!$C$38*SIN(2*PI()*(Model_Data!A232)/Inputs!$C$39)*SIN(2*PI()*(0)/Inputs!$C$40)+-Inputs!$C$41*EXP(-(((0)-Inputs!$C$43)^2)/(2*Inputs!$C$44^2))*EXP(-(((Model_Data!A232)-Inputs!$C$42)^2)/(2*Inputs!$C$45^2))+Inputs!$C$48*(0.70*(0.45*SIN(2*PI()*(((Model_Data!A232)/Inputs!$C$49)+Inputs!$C$47*0.137))+0.35*COS(2*PI()*(((0)/Inputs!$C$50)+Inputs!$C$47*0.173))+0.20*SIN(2*PI()*(((Model_Data!A232)+(0))/(0.5*(Inputs!$C$49+Inputs!$C$50))+Inputs!$C$47*0.097)))+0.30*(2*((SIN(((Model_Data!A232)*12.9898+(0)*78.233+Inputs!$C$47*37.719))*43758.5453)-INT((SIN(((Model_Data!A232)*12.9898+(0)*78.233+Inputs!$C$47*37.719))*43758.5453)))-1))))/1000)))*1000/Inputs!$C$12)-Model_Data!F232))-(-(((SQRT((Model_Data!A232)^2+Inputs!$C$6^2+(Inputs!$C$5-((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(0.45*SIN(2*PI()*(((Model_Data!A232)/Inputs!$C$49)+Inputs!$C$47*0.137))+0.35*COS(2*PI()*(((Inputs!$C$6)/Inputs!$C$50)+Inputs!$C$47*0.173))+0.20*SIN(2*PI()*(((Model_Data!A232)+(Inputs!$C$6))/(0.5*(Inputs!$C$49+Inputs!$C$50))+Inputs!$C$47*0.097)))+0.30*(2*((SIN(((Model_Data!A232)*12.9898+(Inputs!$C$6)*78.233+Inputs!$C$47*37.719))*43758.5453)-INT((SIN(((Model_Data!A232)*12.9898+(Inputs!$C$6)*78.233+Inputs!$C$47*37.719))*43758.5453)))-1))))/1000)^2)-(Inputs!$C$5-((Inputs!$C$51*(115*EXP(-(((0)-25)^2)/(4.5^2))+70*EXP(-(((0)+38)^2)/(7^2))*(0.55+0.45*SIN(2*PI()*(Model_Data!A232)/45))+24*SIN(2*PI()*(0)/9+(Model_Data!A232)/18)*EXP(-(((0)+5)^2)/(22^2))+18*SIN(2*PI()*(Model_Data!A232)/70))+Inputs!$C$28*EXP(-(((Model_Data!A232)-Inputs!$C$29)^2)/(2*Inputs!$C$31^2))*EXP(-(((0)-Inputs!$C$30)^2)/(2*Inputs!$C$32^2))+-Inputs!$C$33*EXP(-(((((Model_Data!A232)-Inputs!$C$34)^2)+(((0)-Inputs!$C$35)^2))/(2*Inputs!$C$36^2)))+Inputs!$C$37*(0.55*SIN(2*PI()*(Model_Data!A232)/Inputs!$C$39)+0.35*COS(2*PI()*(0)/Inputs!$C$40)+0.2*SIN(2*PI()*((Model_Data!A232)+(0))/(0.5*(Inputs!$C$39+Inputs!$C$40))))+Inputs!$C$38*SIN(2*PI()*(Model_Data!A232)/Inputs!$C$39)*SIN(2*PI()*(0)/Inputs!$C$40)+-Inputs!$C$41*EXP(-(((0)-Inputs!$C$43)^2)/(2*Inputs!$C$44^2))*EXP(-(((Model_Data!A232)-Inputs!$C$42)^2)/(2*Inputs!$C$45^2))+Inputs!$C$48*(0.70*(0.45*SIN(2*PI()*(((Model_Data!A232)/Inputs!$C$49)+Inputs!$C$47*0.137))+0.35*COS(2*PI()*(((0)/Inputs!$C$50)+Inputs!$C$47*0.173))+0.20*SIN(2*PI()*(((Model_Data!A232)+(0))/(0.5*(Inputs!$C$49+Inputs!$C$50))+Inputs!$C$47*0.097)))+0.30*(2*((SIN(((Model_Data!A232)*12.9898+(0)*78.233+Inputs!$C$47*37.719))*43758.5453)-INT((SIN(((Model_Data!A232)*12.9898+(0)*78.233+Inputs!$C$47*37.719))*43758.5453)))-1))))/1000))*1000/Inputs!$C$12)-((SQRT((Model_Data!A232)^2+Inputs!$C$6^2+Inputs!$C$5^2)-Inputs!$C$5)*1000/Inputs!$C$12)))</x:f>
        <x:v>0.019399003021135286</x:v>
      </x:c>
      <x:c r="X232" s="48" t="n">
        <x:f>0</x:f>
        <x:v>0</x:v>
      </x:c>
      <x:c r="Y232" s="49"/>
      <x:c r="Z232" s="48" t="n">
        <x:f>Model_Data!A232</x:f>
        <x:v>55</x:v>
      </x:c>
      <x:c r="AA232" s="48" t="n">
        <x:f>SQRT((Model_Data!A232)^2+Inputs!$C$6^2+((Model_Data!B232)-((Inputs!$C$51*(115*EXP(-(((Inputs!$C$6)-25)^2)/(4.5^2))+70*EXP(-(((Inputs!$C$6)+38)^2)/(7^2))*(0.55+0.45*SIN(2*PI()*(Model_Data!A232)/45))+24*SIN(2*PI()*(Inputs!$C$6)/9+(Model_Data!A232)/18)*EXP(-(((Inputs!$C$6)+5)^2)/(22^2))+18*SIN(2*PI()*(Model_Data!A232)/70))+Inputs!$C$28*EXP(-(((Model_Data!A232)-Inputs!$C$29)^2)/(2*Inputs!$C$31^2))*EXP(-(((Inputs!$C$6)-Inputs!$C$30)^2)/(2*Inputs!$C$32^2))+-Inputs!$C$33*EXP(-(((((Model_Data!A232)-Inputs!$C$34)^2)+(((Inputs!$C$6)-Inputs!$C$35)^2))/(2*Inputs!$C$36^2)))+Inputs!$C$37*(0.55*SIN(2*PI()*(Model_Data!A232)/Inputs!$C$39)+0.35*COS(2*PI()*(Inputs!$C$6)/Inputs!$C$40)+0.2*SIN(2*PI()*((Model_Data!A232)+(Inputs!$C$6))/(0.5*(Inputs!$C$39+Inputs!$C$40))))+Inputs!$C$38*SIN(2*PI()*(Model_Data!A232)/Inputs!$C$39)*SIN(2*PI()*(Inputs!$C$6)/Inputs!$C$40)+-Inputs!$C$41*EXP(-(((Inputs!$C$6)-Inputs!$C$43)^2)/(2*Inputs!$C$44^2))*EXP(-(((Model_Data!A232)-Inputs!$C$42)^2)/(2*Inputs!$C$45^2))+Inputs!$C$48*(0.70*(0.45*SIN(2*PI()*(((Model_Data!A232)/Inputs!$C$49)+Inputs!$C$47*0.137))+0.35*COS(2*PI()*(((Inputs!$C$6)/Inputs!$C$50)+Inputs!$C$47*0.173))+0.20*SIN(2*PI()*(((Model_Data!A232)+(Inputs!$C$6))/(0.5*(Inputs!$C$49+Inputs!$C$50))+Inputs!$C$47*0.097)))+0.30*(2*((SIN(((Model_Data!A232)*12.9898+(Inputs!$C$6)*78.233+Inputs!$C$47*37.719))*43758.5453)-INT((SIN(((Model_Data!A232)*12.9898+(Inputs!$C$6)*78.233+Inputs!$C$47*37.719))*43758.5453)))-1))))/1000)^2)</x:f>
        <x:v>407.6740725920757</x:v>
      </x:c>
      <x:c r="AB232" s="48" t="n">
        <x:f>1000*(AA233-AA231)/(Z233-Z231)*Inputs!$C$11</x:f>
        <x:v>999.8933507667971</x:v>
      </x:c>
      <x:c r="AC232" s="48" t="n">
        <x:f>-2*AB232/Inputs!$C$13</x:f>
        <x:v>-399.95734030671883</x:v>
      </x:c>
      <x:c r="AD232" s="48" t="n">
        <x:f>-2*AB232/Inputs!$C$14</x:f>
        <x:v>-60.05365470070854</x:v>
      </x:c>
    </x:row>
    <x:row r="233">
      <x:c r="A233" s="48" t="n">
        <x:f>Model_Data!A233</x:f>
        <x:v>55.5</x:v>
      </x:c>
      <x:c r="B233" s="48" t="n">
        <x:f>Model_Data!F233</x:f>
        <x:v>2565.4077051733684</x:v>
      </x:c>
      <x:c r="C233" s="48" t="n">
        <x:f>(((SQRT((Model_Data!A233)^2+Inputs!$C$6^2+((Model_Data!B233)-((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(0.45*SIN(2*PI()*(((Model_Data!A233)/Inputs!$C$49)+Inputs!$C$47*0.137))+0.35*COS(2*PI()*(((Inputs!$C$6)/Inputs!$C$50)+Inputs!$C$47*0.173))+0.20*SIN(2*PI()*(((Model_Data!A233)+(Inputs!$C$6))/(0.5*(Inputs!$C$49+Inputs!$C$50))+Inputs!$C$47*0.097)))+0.30*(2*((SIN(((Model_Data!A233)*12.9898+(Inputs!$C$6)*78.233+Inputs!$C$47*37.719))*43758.5453)-INT((SIN(((Model_Data!A233)*12.9898+(Inputs!$C$6)*78.233+Inputs!$C$47*37.719))*43758.5453)))-1))))/1000)^2))-(((Model_Data!B233)-((Inputs!$C$51*(115*EXP(-(((0)-25)^2)/(4.5^2))+70*EXP(-(((0)+38)^2)/(7^2))*(0.55+0.45*SIN(2*PI()*(Model_Data!A233)/45))+24*SIN(2*PI()*(0)/9+(Model_Data!A233)/18)*EXP(-(((0)+5)^2)/(22^2))+18*SIN(2*PI()*(Model_Data!A233)/70))+Inputs!$C$28*EXP(-(((Model_Data!A233)-Inputs!$C$29)^2)/(2*Inputs!$C$31^2))*EXP(-(((0)-Inputs!$C$30)^2)/(2*Inputs!$C$32^2))+-Inputs!$C$33*EXP(-(((((Model_Data!A233)-Inputs!$C$34)^2)+(((0)-Inputs!$C$35)^2))/(2*Inputs!$C$36^2)))+Inputs!$C$37*(0.55*SIN(2*PI()*(Model_Data!A233)/Inputs!$C$39)+0.35*COS(2*PI()*(0)/Inputs!$C$40)+0.2*SIN(2*PI()*((Model_Data!A233)+(0))/(0.5*(Inputs!$C$39+Inputs!$C$40))))+Inputs!$C$38*SIN(2*PI()*(Model_Data!A233)/Inputs!$C$39)*SIN(2*PI()*(0)/Inputs!$C$40)+-Inputs!$C$41*EXP(-(((0)-Inputs!$C$43)^2)/(2*Inputs!$C$44^2))*EXP(-(((Model_Data!A233)-Inputs!$C$42)^2)/(2*Inputs!$C$45^2))+Inputs!$C$48*(0.70*(0.45*SIN(2*PI()*(((Model_Data!A233)/Inputs!$C$49)+Inputs!$C$47*0.137))+0.35*COS(2*PI()*(((0)/Inputs!$C$50)+Inputs!$C$47*0.173))+0.20*SIN(2*PI()*(((Model_Data!A233)+(0))/(0.5*(Inputs!$C$49+Inputs!$C$50))+Inputs!$C$47*0.097)))+0.30*(2*((SIN(((Model_Data!A233)*12.9898+(0)*78.233+Inputs!$C$47*37.719))*43758.5453)-INT((SIN(((Model_Data!A233)*12.9898+(0)*78.233+Inputs!$C$47*37.719))*43758.5453)))-1))))/1000)))*1000/Inputs!$C$12)</x:f>
        <x:v>2460.3255515535297</x:v>
      </x:c>
      <x:c r="D233" s="49"/>
      <x:c r="E233" s="48" t="n">
        <x:f>Model_Data!A233</x:f>
        <x:v>55.5</x:v>
      </x:c>
      <x:c r="F233" s="48" t="n">
        <x:f>(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(0.45*SIN(2*PI()*(((Model_Data!A233)/Inputs!$C$49)+Inputs!$C$47*0.137))+0.35*COS(2*PI()*(((Inputs!$C$6)/Inputs!$C$50)+Inputs!$C$47*0.173))+0.20*SIN(2*PI()*(((Model_Data!A233)+(Inputs!$C$6))/(0.5*(Inputs!$C$49+Inputs!$C$50))+Inputs!$C$47*0.097)))+0.30*(2*((SIN(((Model_Data!A233)*12.9898+(Inputs!$C$6)*78.233+Inputs!$C$47*37.719))*43758.5453)-INT((SIN(((Model_Data!A233)*12.9898+(Inputs!$C$6)*78.233+Inputs!$C$47*37.719))*43758.5453)))-1)))</x:f>
        <x:v>182.5522692746181</x:v>
      </x:c>
      <x:c r="G233" s="48" t="n">
        <x:f>(Inputs!$C$51*(115*EXP(-(((0)-25)^2)/(4.5^2))+70*EXP(-(((0)+38)^2)/(7^2))*(0.55+0.45*SIN(2*PI()*(Model_Data!A233)/45))+24*SIN(2*PI()*(0)/9+(Model_Data!A233)/18)*EXP(-(((0)+5)^2)/(22^2))+18*SIN(2*PI()*(Model_Data!A233)/70))+Inputs!$C$28*EXP(-(((Model_Data!A233)-Inputs!$C$29)^2)/(2*Inputs!$C$31^2))*EXP(-(((0)-Inputs!$C$30)^2)/(2*Inputs!$C$32^2))+-Inputs!$C$33*EXP(-(((((Model_Data!A233)-Inputs!$C$34)^2)+(((0)-Inputs!$C$35)^2))/(2*Inputs!$C$36^2)))+Inputs!$C$37*(0.55*SIN(2*PI()*(Model_Data!A233)/Inputs!$C$39)+0.35*COS(2*PI()*(0)/Inputs!$C$40)+0.2*SIN(2*PI()*((Model_Data!A233)+(0))/(0.5*(Inputs!$C$39+Inputs!$C$40))))+Inputs!$C$38*SIN(2*PI()*(Model_Data!A233)/Inputs!$C$39)*SIN(2*PI()*(0)/Inputs!$C$40)+-Inputs!$C$41*EXP(-(((0)-Inputs!$C$43)^2)/(2*Inputs!$C$44^2))*EXP(-(((Model_Data!A233)-Inputs!$C$42)^2)/(2*Inputs!$C$45^2))+Inputs!$C$48*(0.70*(0.45*SIN(2*PI()*(((Model_Data!A233)/Inputs!$C$49)+Inputs!$C$47*0.137))+0.35*COS(2*PI()*(((0)/Inputs!$C$50)+Inputs!$C$47*0.173))+0.20*SIN(2*PI()*(((Model_Data!A233)+(0))/(0.5*(Inputs!$C$49+Inputs!$C$50))+Inputs!$C$47*0.097)))+0.30*(2*((SIN(((Model_Data!A233)*12.9898+(0)*78.233+Inputs!$C$47*37.719))*43758.5453)-INT((SIN(((Model_Data!A233)*12.9898+(0)*78.233+Inputs!$C$47*37.719))*43758.5453)))-1)))</x:f>
        <x:v>-6.538094280084824</x:v>
      </x:c>
      <x:c r="H233" s="49"/>
      <x:c r="I233" s="48" t="n">
        <x:f>Model_Data!A233</x:f>
        <x:v>55.5</x:v>
      </x:c>
      <x:c r="J233" s="48" t="n">
        <x:f>((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(0.45*SIN(2*PI()*(((Model_Data!A233)/Inputs!$C$49)+Inputs!$C$47*0.137))+0.35*COS(2*PI()*(((Inputs!$C$6)/Inputs!$C$50)+Inputs!$C$47*0.173))+0.20*SIN(2*PI()*(((Model_Data!A233)+(Inputs!$C$6))/(0.5*(Inputs!$C$49+Inputs!$C$50))+Inputs!$C$47*0.097)))+0.30*(2*((SIN(((Model_Data!A233)*12.9898+(Inputs!$C$6)*78.233+Inputs!$C$47*37.719))*43758.5453)-INT((SIN(((Model_Data!A233)*12.9898+(Inputs!$C$6)*78.233+Inputs!$C$47*37.719))*43758.5453)))-1))))-((Inputs!$C$51*(115*EXP(-(((0)-25)^2)/(4.5^2))+70*EXP(-(((0)+38)^2)/(7^2))*(0.55+0.45*SIN(2*PI()*(Model_Data!A233)/45))+24*SIN(2*PI()*(0)/9+(Model_Data!A233)/18)*EXP(-(((0)+5)^2)/(22^2))+18*SIN(2*PI()*(Model_Data!A233)/70))+Inputs!$C$28*EXP(-(((Model_Data!A233)-Inputs!$C$29)^2)/(2*Inputs!$C$31^2))*EXP(-(((0)-Inputs!$C$30)^2)/(2*Inputs!$C$32^2))+-Inputs!$C$33*EXP(-(((((Model_Data!A233)-Inputs!$C$34)^2)+(((0)-Inputs!$C$35)^2))/(2*Inputs!$C$36^2)))+Inputs!$C$37*(0.55*SIN(2*PI()*(Model_Data!A233)/Inputs!$C$39)+0.35*COS(2*PI()*(0)/Inputs!$C$40)+0.2*SIN(2*PI()*((Model_Data!A233)+(0))/(0.5*(Inputs!$C$39+Inputs!$C$40))))+Inputs!$C$38*SIN(2*PI()*(Model_Data!A233)/Inputs!$C$39)*SIN(2*PI()*(0)/Inputs!$C$40)+-Inputs!$C$41*EXP(-(((0)-Inputs!$C$43)^2)/(2*Inputs!$C$44^2))*EXP(-(((Model_Data!A233)-Inputs!$C$42)^2)/(2*Inputs!$C$45^2))+Inputs!$C$48*(0.70*(0.45*SIN(2*PI()*(((Model_Data!A233)/Inputs!$C$49)+Inputs!$C$47*0.137))+0.35*COS(2*PI()*(((0)/Inputs!$C$50)+Inputs!$C$47*0.173))+0.20*SIN(2*PI()*(((Model_Data!A233)+(0))/(0.5*(Inputs!$C$49+Inputs!$C$50))+Inputs!$C$47*0.097)))+0.30*(2*((SIN(((Model_Data!A233)*12.9898+(0)*78.233+Inputs!$C$47*37.719))*43758.5453)-INT((SIN(((Model_Data!A233)*12.9898+(0)*78.233+Inputs!$C$47*37.719))*43758.5453)))-1))))</x:f>
        <x:v>189.09036355470295</x:v>
      </x:c>
      <x:c r="K233" s="48" t="n">
        <x:f>-((((SQRT((Model_Data!A233)^2+Inputs!$C$6^2+((Model_Data!B233)-((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(0.45*SIN(2*PI()*(((Model_Data!A233)/Inputs!$C$49)+Inputs!$C$47*0.137))+0.35*COS(2*PI()*(((Inputs!$C$6)/Inputs!$C$50)+Inputs!$C$47*0.173))+0.20*SIN(2*PI()*(((Model_Data!A233)+(Inputs!$C$6))/(0.5*(Inputs!$C$49+Inputs!$C$50))+Inputs!$C$47*0.097)))+0.30*(2*((SIN(((Model_Data!A233)*12.9898+(Inputs!$C$6)*78.233+Inputs!$C$47*37.719))*43758.5453)-INT((SIN(((Model_Data!A233)*12.9898+(Inputs!$C$6)*78.233+Inputs!$C$47*37.719))*43758.5453)))-1))))/1000)^2))-(((Model_Data!B233)-((Inputs!$C$51*(115*EXP(-(((0)-25)^2)/(4.5^2))+70*EXP(-(((0)+38)^2)/(7^2))*(0.55+0.45*SIN(2*PI()*(Model_Data!A233)/45))+24*SIN(2*PI()*(0)/9+(Model_Data!A233)/18)*EXP(-(((0)+5)^2)/(22^2))+18*SIN(2*PI()*(Model_Data!A233)/70))+Inputs!$C$28*EXP(-(((Model_Data!A233)-Inputs!$C$29)^2)/(2*Inputs!$C$31^2))*EXP(-(((0)-Inputs!$C$30)^2)/(2*Inputs!$C$32^2))+-Inputs!$C$33*EXP(-(((((Model_Data!A233)-Inputs!$C$34)^2)+(((0)-Inputs!$C$35)^2))/(2*Inputs!$C$36^2)))+Inputs!$C$37*(0.55*SIN(2*PI()*(Model_Data!A233)/Inputs!$C$39)+0.35*COS(2*PI()*(0)/Inputs!$C$40)+0.2*SIN(2*PI()*((Model_Data!A233)+(0))/(0.5*(Inputs!$C$39+Inputs!$C$40))))+Inputs!$C$38*SIN(2*PI()*(Model_Data!A233)/Inputs!$C$39)*SIN(2*PI()*(0)/Inputs!$C$40)+-Inputs!$C$41*EXP(-(((0)-Inputs!$C$43)^2)/(2*Inputs!$C$44^2))*EXP(-(((Model_Data!A233)-Inputs!$C$42)^2)/(2*Inputs!$C$45^2))+Inputs!$C$48*(0.70*(0.45*SIN(2*PI()*(((Model_Data!A233)/Inputs!$C$49)+Inputs!$C$47*0.137))+0.35*COS(2*PI()*(((0)/Inputs!$C$50)+Inputs!$C$47*0.173))+0.20*SIN(2*PI()*(((Model_Data!A233)+(0))/(0.5*(Inputs!$C$49+Inputs!$C$50))+Inputs!$C$47*0.097)))+0.30*(2*((SIN(((Model_Data!A233)*12.9898+(0)*78.233+Inputs!$C$47*37.719))*43758.5453)-INT((SIN(((Model_Data!A233)*12.9898+(0)*78.233+Inputs!$C$47*37.719))*43758.5453)))-1))))/1000)))*1000/Inputs!$C$12)-Model_Data!F233)</x:f>
        <x:v>105.08215361983866</x:v>
      </x:c>
      <x:c r="L233" s="49"/>
      <x:c r="M233" s="48" t="n">
        <x:f>Model_Data!A233</x:f>
        <x:v>55.5</x:v>
      </x:c>
      <x:c r="N233" s="48" t="n">
        <x:f>Model_Data!P233</x:f>
        <x:v>-412.77764187212813</x:v>
      </x:c>
      <x:c r="O233" s="48" t="n">
        <x:f>AC233</x:f>
        <x:v>-415.40896912893004</x:v>
      </x:c>
      <x:c r="P233" s="48" t="n">
        <x:f>Model_Data!Q233</x:f>
        <x:v>-61.978624905724956</x:v>
      </x:c>
      <x:c r="Q233" s="48" t="n">
        <x:f>AD233</x:f>
        <x:v>-62.37371908842794</x:v>
      </x:c>
      <x:c r="R233" s="49"/>
      <x:c r="S233" s="48" t="n">
        <x:f>Model_Data!A233</x:f>
        <x:v>55.5</x:v>
      </x:c>
      <x:c r="T233" s="48" t="n">
        <x:f>Model_Data!B233-Inputs!$C$5</x:f>
        <x:v>3.4225000000000136</x:v>
      </x:c>
      <x:c r="U233" s="49"/>
      <x:c r="V233" s="48" t="n">
        <x:f>Model_Data!A233</x:f>
        <x:v>55.5</x:v>
      </x:c>
      <x:c r="W233" s="48" t="n">
        <x:f>(-((((SQRT((Model_Data!A233)^2+Inputs!$C$6^2+((Model_Data!B233)-((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(0.45*SIN(2*PI()*(((Model_Data!A233)/Inputs!$C$49)+Inputs!$C$47*0.137))+0.35*COS(2*PI()*(((Inputs!$C$6)/Inputs!$C$50)+Inputs!$C$47*0.173))+0.20*SIN(2*PI()*(((Model_Data!A233)+(Inputs!$C$6))/(0.5*(Inputs!$C$49+Inputs!$C$50))+Inputs!$C$47*0.097)))+0.30*(2*((SIN(((Model_Data!A233)*12.9898+(Inputs!$C$6)*78.233+Inputs!$C$47*37.719))*43758.5453)-INT((SIN(((Model_Data!A233)*12.9898+(Inputs!$C$6)*78.233+Inputs!$C$47*37.719))*43758.5453)))-1))))/1000)^2))-(((Model_Data!B233)-((Inputs!$C$51*(115*EXP(-(((0)-25)^2)/(4.5^2))+70*EXP(-(((0)+38)^2)/(7^2))*(0.55+0.45*SIN(2*PI()*(Model_Data!A233)/45))+24*SIN(2*PI()*(0)/9+(Model_Data!A233)/18)*EXP(-(((0)+5)^2)/(22^2))+18*SIN(2*PI()*(Model_Data!A233)/70))+Inputs!$C$28*EXP(-(((Model_Data!A233)-Inputs!$C$29)^2)/(2*Inputs!$C$31^2))*EXP(-(((0)-Inputs!$C$30)^2)/(2*Inputs!$C$32^2))+-Inputs!$C$33*EXP(-(((((Model_Data!A233)-Inputs!$C$34)^2)+(((0)-Inputs!$C$35)^2))/(2*Inputs!$C$36^2)))+Inputs!$C$37*(0.55*SIN(2*PI()*(Model_Data!A233)/Inputs!$C$39)+0.35*COS(2*PI()*(0)/Inputs!$C$40)+0.2*SIN(2*PI()*((Model_Data!A233)+(0))/(0.5*(Inputs!$C$39+Inputs!$C$40))))+Inputs!$C$38*SIN(2*PI()*(Model_Data!A233)/Inputs!$C$39)*SIN(2*PI()*(0)/Inputs!$C$40)+-Inputs!$C$41*EXP(-(((0)-Inputs!$C$43)^2)/(2*Inputs!$C$44^2))*EXP(-(((Model_Data!A233)-Inputs!$C$42)^2)/(2*Inputs!$C$45^2))+Inputs!$C$48*(0.70*(0.45*SIN(2*PI()*(((Model_Data!A233)/Inputs!$C$49)+Inputs!$C$47*0.137))+0.35*COS(2*PI()*(((0)/Inputs!$C$50)+Inputs!$C$47*0.173))+0.20*SIN(2*PI()*(((Model_Data!A233)+(0))/(0.5*(Inputs!$C$49+Inputs!$C$50))+Inputs!$C$47*0.097)))+0.30*(2*((SIN(((Model_Data!A233)*12.9898+(0)*78.233+Inputs!$C$47*37.719))*43758.5453)-INT((SIN(((Model_Data!A233)*12.9898+(0)*78.233+Inputs!$C$47*37.719))*43758.5453)))-1))))/1000)))*1000/Inputs!$C$12)-Model_Data!F233))-(-(((SQRT((Model_Data!A233)^2+Inputs!$C$6^2+(Inputs!$C$5-((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(0.45*SIN(2*PI()*(((Model_Data!A233)/Inputs!$C$49)+Inputs!$C$47*0.137))+0.35*COS(2*PI()*(((Inputs!$C$6)/Inputs!$C$50)+Inputs!$C$47*0.173))+0.20*SIN(2*PI()*(((Model_Data!A233)+(Inputs!$C$6))/(0.5*(Inputs!$C$49+Inputs!$C$50))+Inputs!$C$47*0.097)))+0.30*(2*((SIN(((Model_Data!A233)*12.9898+(Inputs!$C$6)*78.233+Inputs!$C$47*37.719))*43758.5453)-INT((SIN(((Model_Data!A233)*12.9898+(Inputs!$C$6)*78.233+Inputs!$C$47*37.719))*43758.5453)))-1))))/1000)^2)-(Inputs!$C$5-((Inputs!$C$51*(115*EXP(-(((0)-25)^2)/(4.5^2))+70*EXP(-(((0)+38)^2)/(7^2))*(0.55+0.45*SIN(2*PI()*(Model_Data!A233)/45))+24*SIN(2*PI()*(0)/9+(Model_Data!A233)/18)*EXP(-(((0)+5)^2)/(22^2))+18*SIN(2*PI()*(Model_Data!A233)/70))+Inputs!$C$28*EXP(-(((Model_Data!A233)-Inputs!$C$29)^2)/(2*Inputs!$C$31^2))*EXP(-(((0)-Inputs!$C$30)^2)/(2*Inputs!$C$32^2))+-Inputs!$C$33*EXP(-(((((Model_Data!A233)-Inputs!$C$34)^2)+(((0)-Inputs!$C$35)^2))/(2*Inputs!$C$36^2)))+Inputs!$C$37*(0.55*SIN(2*PI()*(Model_Data!A233)/Inputs!$C$39)+0.35*COS(2*PI()*(0)/Inputs!$C$40)+0.2*SIN(2*PI()*((Model_Data!A233)+(0))/(0.5*(Inputs!$C$39+Inputs!$C$40))))+Inputs!$C$38*SIN(2*PI()*(Model_Data!A233)/Inputs!$C$39)*SIN(2*PI()*(0)/Inputs!$C$40)+-Inputs!$C$41*EXP(-(((0)-Inputs!$C$43)^2)/(2*Inputs!$C$44^2))*EXP(-(((Model_Data!A233)-Inputs!$C$42)^2)/(2*Inputs!$C$45^2))+Inputs!$C$48*(0.70*(0.45*SIN(2*PI()*(((Model_Data!A233)/Inputs!$C$49)+Inputs!$C$47*0.137))+0.35*COS(2*PI()*(((0)/Inputs!$C$50)+Inputs!$C$47*0.173))+0.20*SIN(2*PI()*(((Model_Data!A233)+(0))/(0.5*(Inputs!$C$49+Inputs!$C$50))+Inputs!$C$47*0.097)))+0.30*(2*((SIN(((Model_Data!A233)*12.9898+(0)*78.233+Inputs!$C$47*37.719))*43758.5453)-INT((SIN(((Model_Data!A233)*12.9898+(0)*78.233+Inputs!$C$47*37.719))*43758.5453)))-1))))/1000))*1000/Inputs!$C$12)-((SQRT((Model_Data!A233)^2+Inputs!$C$6^2+Inputs!$C$5^2)-Inputs!$C$5)*1000/Inputs!$C$12)))</x:f>
        <x:v>0.01940448410141471</x:v>
      </x:c>
      <x:c r="X233" s="48" t="n">
        <x:f>0</x:f>
        <x:v>0</x:v>
      </x:c>
      <x:c r="Y233" s="49"/>
      <x:c r="Z233" s="48" t="n">
        <x:f>Model_Data!A233</x:f>
        <x:v>55.5</x:v>
      </x:c>
      <x:c r="AA233" s="48" t="n">
        <x:f>SQRT((Model_Data!A233)^2+Inputs!$C$6^2+((Model_Data!B233)-((Inputs!$C$51*(115*EXP(-(((Inputs!$C$6)-25)^2)/(4.5^2))+70*EXP(-(((Inputs!$C$6)+38)^2)/(7^2))*(0.55+0.45*SIN(2*PI()*(Model_Data!A233)/45))+24*SIN(2*PI()*(Inputs!$C$6)/9+(Model_Data!A233)/18)*EXP(-(((Inputs!$C$6)+5)^2)/(22^2))+18*SIN(2*PI()*(Model_Data!A233)/70))+Inputs!$C$28*EXP(-(((Model_Data!A233)-Inputs!$C$29)^2)/(2*Inputs!$C$31^2))*EXP(-(((Inputs!$C$6)-Inputs!$C$30)^2)/(2*Inputs!$C$32^2))+-Inputs!$C$33*EXP(-(((((Model_Data!A233)-Inputs!$C$34)^2)+(((Inputs!$C$6)-Inputs!$C$35)^2))/(2*Inputs!$C$36^2)))+Inputs!$C$37*(0.55*SIN(2*PI()*(Model_Data!A233)/Inputs!$C$39)+0.35*COS(2*PI()*(Inputs!$C$6)/Inputs!$C$40)+0.2*SIN(2*PI()*((Model_Data!A233)+(Inputs!$C$6))/(0.5*(Inputs!$C$39+Inputs!$C$40))))+Inputs!$C$38*SIN(2*PI()*(Model_Data!A233)/Inputs!$C$39)*SIN(2*PI()*(Inputs!$C$6)/Inputs!$C$40)+-Inputs!$C$41*EXP(-(((Inputs!$C$6)-Inputs!$C$43)^2)/(2*Inputs!$C$44^2))*EXP(-(((Model_Data!A233)-Inputs!$C$42)^2)/(2*Inputs!$C$45^2))+Inputs!$C$48*(0.70*(0.45*SIN(2*PI()*(((Model_Data!A233)/Inputs!$C$49)+Inputs!$C$47*0.137))+0.35*COS(2*PI()*(((Inputs!$C$6)/Inputs!$C$50)+Inputs!$C$47*0.173))+0.20*SIN(2*PI()*(((Model_Data!A233)+(Inputs!$C$6))/(0.5*(Inputs!$C$49+Inputs!$C$50))+Inputs!$C$47*0.097)))+0.30*(2*((SIN(((Model_Data!A233)*12.9898+(Inputs!$C$6)*78.233+Inputs!$C$47*37.719))*43758.5453)-INT((SIN(((Model_Data!A233)*12.9898+(Inputs!$C$6)*78.233+Inputs!$C$47*37.719))*43758.5453)))-1))))/1000)^2)</x:f>
        <x:v>407.8084175760454</x:v>
      </x:c>
      <x:c r="AB233" s="48" t="n">
        <x:f>1000*(AA234-AA232)/(Z234-Z232)*Inputs!$C$11</x:f>
        <x:v>1038.522422822325</x:v>
      </x:c>
      <x:c r="AC233" s="48" t="n">
        <x:f>-2*AB233/Inputs!$C$13</x:f>
        <x:v>-415.40896912893004</x:v>
      </x:c>
      <x:c r="AD233" s="48" t="n">
        <x:f>-2*AB233/Inputs!$C$14</x:f>
        <x:v>-62.37371908842794</x:v>
      </x:c>
    </x:row>
    <x:row r="234">
      <x:c r="A234" s="48" t="n">
        <x:f>Model_Data!A234</x:f>
        <x:v>56</x:v>
      </x:c>
      <x:c r="B234" s="48" t="n">
        <x:f>Model_Data!F234</x:f>
        <x:v>2603.3929579329656</x:v>
      </x:c>
      <x:c r="C234" s="48" t="n">
        <x:f>(((SQRT((Model_Data!A234)^2+Inputs!$C$6^2+((Model_Data!B234)-((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(0.45*SIN(2*PI()*(((Model_Data!A234)/Inputs!$C$49)+Inputs!$C$47*0.137))+0.35*COS(2*PI()*(((Inputs!$C$6)/Inputs!$C$50)+Inputs!$C$47*0.173))+0.20*SIN(2*PI()*(((Model_Data!A234)+(Inputs!$C$6))/(0.5*(Inputs!$C$49+Inputs!$C$50))+Inputs!$C$47*0.097)))+0.30*(2*((SIN(((Model_Data!A234)*12.9898+(Inputs!$C$6)*78.233+Inputs!$C$47*37.719))*43758.5453)-INT((SIN(((Model_Data!A234)*12.9898+(Inputs!$C$6)*78.233+Inputs!$C$47*37.719))*43758.5453)))-1))))/1000)^2))-(((Model_Data!B234)-((Inputs!$C$51*(115*EXP(-(((0)-25)^2)/(4.5^2))+70*EXP(-(((0)+38)^2)/(7^2))*(0.55+0.45*SIN(2*PI()*(Model_Data!A234)/45))+24*SIN(2*PI()*(0)/9+(Model_Data!A234)/18)*EXP(-(((0)+5)^2)/(22^2))+18*SIN(2*PI()*(Model_Data!A234)/70))+Inputs!$C$28*EXP(-(((Model_Data!A234)-Inputs!$C$29)^2)/(2*Inputs!$C$31^2))*EXP(-(((0)-Inputs!$C$30)^2)/(2*Inputs!$C$32^2))+-Inputs!$C$33*EXP(-(((((Model_Data!A234)-Inputs!$C$34)^2)+(((0)-Inputs!$C$35)^2))/(2*Inputs!$C$36^2)))+Inputs!$C$37*(0.55*SIN(2*PI()*(Model_Data!A234)/Inputs!$C$39)+0.35*COS(2*PI()*(0)/Inputs!$C$40)+0.2*SIN(2*PI()*((Model_Data!A234)+(0))/(0.5*(Inputs!$C$39+Inputs!$C$40))))+Inputs!$C$38*SIN(2*PI()*(Model_Data!A234)/Inputs!$C$39)*SIN(2*PI()*(0)/Inputs!$C$40)+-Inputs!$C$41*EXP(-(((0)-Inputs!$C$43)^2)/(2*Inputs!$C$44^2))*EXP(-(((Model_Data!A234)-Inputs!$C$42)^2)/(2*Inputs!$C$45^2))+Inputs!$C$48*(0.70*(0.45*SIN(2*PI()*(((Model_Data!A234)/Inputs!$C$49)+Inputs!$C$47*0.137))+0.35*COS(2*PI()*(((0)/Inputs!$C$50)+Inputs!$C$47*0.173))+0.20*SIN(2*PI()*(((Model_Data!A234)+(0))/(0.5*(Inputs!$C$49+Inputs!$C$50))+Inputs!$C$47*0.097)))+0.30*(2*((SIN(((Model_Data!A234)*12.9898+(0)*78.233+Inputs!$C$47*37.719))*43758.5453)-INT((SIN(((Model_Data!A234)*12.9898+(0)*78.233+Inputs!$C$47*37.719))*43758.5453)))-1))))/1000)))*1000/Inputs!$C$12)</x:f>
        <x:v>2497.1356534602073</x:v>
      </x:c>
      <x:c r="D234" s="49"/>
      <x:c r="E234" s="48" t="n">
        <x:f>Model_Data!A234</x:f>
        <x:v>56</x:v>
      </x:c>
      <x:c r="F234" s="48" t="n">
        <x:f>(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(0.45*SIN(2*PI()*(((Model_Data!A234)/Inputs!$C$49)+Inputs!$C$47*0.137))+0.35*COS(2*PI()*(((Inputs!$C$6)/Inputs!$C$50)+Inputs!$C$47*0.173))+0.20*SIN(2*PI()*(((Model_Data!A234)+(Inputs!$C$6))/(0.5*(Inputs!$C$49+Inputs!$C$50))+Inputs!$C$47*0.097)))+0.30*(2*((SIN(((Model_Data!A234)*12.9898+(Inputs!$C$6)*78.233+Inputs!$C$47*37.719))*43758.5453)-INT((SIN(((Model_Data!A234)*12.9898+(Inputs!$C$6)*78.233+Inputs!$C$47*37.719))*43758.5453)))-1)))</x:f>
        <x:v>186.90390563143987</x:v>
      </x:c>
      <x:c r="G234" s="48" t="n">
        <x:f>(Inputs!$C$51*(115*EXP(-(((0)-25)^2)/(4.5^2))+70*EXP(-(((0)+38)^2)/(7^2))*(0.55+0.45*SIN(2*PI()*(Model_Data!A234)/45))+24*SIN(2*PI()*(0)/9+(Model_Data!A234)/18)*EXP(-(((0)+5)^2)/(22^2))+18*SIN(2*PI()*(Model_Data!A234)/70))+Inputs!$C$28*EXP(-(((Model_Data!A234)-Inputs!$C$29)^2)/(2*Inputs!$C$31^2))*EXP(-(((0)-Inputs!$C$30)^2)/(2*Inputs!$C$32^2))+-Inputs!$C$33*EXP(-(((((Model_Data!A234)-Inputs!$C$34)^2)+(((0)-Inputs!$C$35)^2))/(2*Inputs!$C$36^2)))+Inputs!$C$37*(0.55*SIN(2*PI()*(Model_Data!A234)/Inputs!$C$39)+0.35*COS(2*PI()*(0)/Inputs!$C$40)+0.2*SIN(2*PI()*((Model_Data!A234)+(0))/(0.5*(Inputs!$C$39+Inputs!$C$40))))+Inputs!$C$38*SIN(2*PI()*(Model_Data!A234)/Inputs!$C$39)*SIN(2*PI()*(0)/Inputs!$C$40)+-Inputs!$C$41*EXP(-(((0)-Inputs!$C$43)^2)/(2*Inputs!$C$44^2))*EXP(-(((Model_Data!A234)-Inputs!$C$42)^2)/(2*Inputs!$C$45^2))+Inputs!$C$48*(0.70*(0.45*SIN(2*PI()*(((Model_Data!A234)/Inputs!$C$49)+Inputs!$C$47*0.137))+0.35*COS(2*PI()*(((0)/Inputs!$C$50)+Inputs!$C$47*0.173))+0.20*SIN(2*PI()*(((Model_Data!A234)+(0))/(0.5*(Inputs!$C$49+Inputs!$C$50))+Inputs!$C$47*0.097)))+0.30*(2*((SIN(((Model_Data!A234)*12.9898+(0)*78.233+Inputs!$C$47*37.719))*43758.5453)-INT((SIN(((Model_Data!A234)*12.9898+(0)*78.233+Inputs!$C$47*37.719))*43758.5453)))-1)))</x:f>
        <x:v>-4.357290177669684</x:v>
      </x:c>
      <x:c r="H234" s="49"/>
      <x:c r="I234" s="48" t="n">
        <x:f>Model_Data!A234</x:f>
        <x:v>56</x:v>
      </x:c>
      <x:c r="J234" s="48" t="n">
        <x:f>((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(0.45*SIN(2*PI()*(((Model_Data!A234)/Inputs!$C$49)+Inputs!$C$47*0.137))+0.35*COS(2*PI()*(((Inputs!$C$6)/Inputs!$C$50)+Inputs!$C$47*0.173))+0.20*SIN(2*PI()*(((Model_Data!A234)+(Inputs!$C$6))/(0.5*(Inputs!$C$49+Inputs!$C$50))+Inputs!$C$47*0.097)))+0.30*(2*((SIN(((Model_Data!A234)*12.9898+(Inputs!$C$6)*78.233+Inputs!$C$47*37.719))*43758.5453)-INT((SIN(((Model_Data!A234)*12.9898+(Inputs!$C$6)*78.233+Inputs!$C$47*37.719))*43758.5453)))-1))))-((Inputs!$C$51*(115*EXP(-(((0)-25)^2)/(4.5^2))+70*EXP(-(((0)+38)^2)/(7^2))*(0.55+0.45*SIN(2*PI()*(Model_Data!A234)/45))+24*SIN(2*PI()*(0)/9+(Model_Data!A234)/18)*EXP(-(((0)+5)^2)/(22^2))+18*SIN(2*PI()*(Model_Data!A234)/70))+Inputs!$C$28*EXP(-(((Model_Data!A234)-Inputs!$C$29)^2)/(2*Inputs!$C$31^2))*EXP(-(((0)-Inputs!$C$30)^2)/(2*Inputs!$C$32^2))+-Inputs!$C$33*EXP(-(((((Model_Data!A234)-Inputs!$C$34)^2)+(((0)-Inputs!$C$35)^2))/(2*Inputs!$C$36^2)))+Inputs!$C$37*(0.55*SIN(2*PI()*(Model_Data!A234)/Inputs!$C$39)+0.35*COS(2*PI()*(0)/Inputs!$C$40)+0.2*SIN(2*PI()*((Model_Data!A234)+(0))/(0.5*(Inputs!$C$39+Inputs!$C$40))))+Inputs!$C$38*SIN(2*PI()*(Model_Data!A234)/Inputs!$C$39)*SIN(2*PI()*(0)/Inputs!$C$40)+-Inputs!$C$41*EXP(-(((0)-Inputs!$C$43)^2)/(2*Inputs!$C$44^2))*EXP(-(((Model_Data!A234)-Inputs!$C$42)^2)/(2*Inputs!$C$45^2))+Inputs!$C$48*(0.70*(0.45*SIN(2*PI()*(((Model_Data!A234)/Inputs!$C$49)+Inputs!$C$47*0.137))+0.35*COS(2*PI()*(((0)/Inputs!$C$50)+Inputs!$C$47*0.173))+0.20*SIN(2*PI()*(((Model_Data!A234)+(0))/(0.5*(Inputs!$C$49+Inputs!$C$50))+Inputs!$C$47*0.097)))+0.30*(2*((SIN(((Model_Data!A234)*12.9898+(0)*78.233+Inputs!$C$47*37.719))*43758.5453)-INT((SIN(((Model_Data!A234)*12.9898+(0)*78.233+Inputs!$C$47*37.719))*43758.5453)))-1))))</x:f>
        <x:v>191.26119580910955</x:v>
      </x:c>
      <x:c r="K234" s="48" t="n">
        <x:f>-((((SQRT((Model_Data!A234)^2+Inputs!$C$6^2+((Model_Data!B234)-((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(0.45*SIN(2*PI()*(((Model_Data!A234)/Inputs!$C$49)+Inputs!$C$47*0.137))+0.35*COS(2*PI()*(((Inputs!$C$6)/Inputs!$C$50)+Inputs!$C$47*0.173))+0.20*SIN(2*PI()*(((Model_Data!A234)+(Inputs!$C$6))/(0.5*(Inputs!$C$49+Inputs!$C$50))+Inputs!$C$47*0.097)))+0.30*(2*((SIN(((Model_Data!A234)*12.9898+(Inputs!$C$6)*78.233+Inputs!$C$47*37.719))*43758.5453)-INT((SIN(((Model_Data!A234)*12.9898+(Inputs!$C$6)*78.233+Inputs!$C$47*37.719))*43758.5453)))-1))))/1000)^2))-(((Model_Data!B234)-((Inputs!$C$51*(115*EXP(-(((0)-25)^2)/(4.5^2))+70*EXP(-(((0)+38)^2)/(7^2))*(0.55+0.45*SIN(2*PI()*(Model_Data!A234)/45))+24*SIN(2*PI()*(0)/9+(Model_Data!A234)/18)*EXP(-(((0)+5)^2)/(22^2))+18*SIN(2*PI()*(Model_Data!A234)/70))+Inputs!$C$28*EXP(-(((Model_Data!A234)-Inputs!$C$29)^2)/(2*Inputs!$C$31^2))*EXP(-(((0)-Inputs!$C$30)^2)/(2*Inputs!$C$32^2))+-Inputs!$C$33*EXP(-(((((Model_Data!A234)-Inputs!$C$34)^2)+(((0)-Inputs!$C$35)^2))/(2*Inputs!$C$36^2)))+Inputs!$C$37*(0.55*SIN(2*PI()*(Model_Data!A234)/Inputs!$C$39)+0.35*COS(2*PI()*(0)/Inputs!$C$40)+0.2*SIN(2*PI()*((Model_Data!A234)+(0))/(0.5*(Inputs!$C$39+Inputs!$C$40))))+Inputs!$C$38*SIN(2*PI()*(Model_Data!A234)/Inputs!$C$39)*SIN(2*PI()*(0)/Inputs!$C$40)+-Inputs!$C$41*EXP(-(((0)-Inputs!$C$43)^2)/(2*Inputs!$C$44^2))*EXP(-(((Model_Data!A234)-Inputs!$C$42)^2)/(2*Inputs!$C$45^2))+Inputs!$C$48*(0.70*(0.45*SIN(2*PI()*(((Model_Data!A234)/Inputs!$C$49)+Inputs!$C$47*0.137))+0.35*COS(2*PI()*(((0)/Inputs!$C$50)+Inputs!$C$47*0.173))+0.20*SIN(2*PI()*(((Model_Data!A234)+(0))/(0.5*(Inputs!$C$49+Inputs!$C$50))+Inputs!$C$47*0.097)))+0.30*(2*((SIN(((Model_Data!A234)*12.9898+(0)*78.233+Inputs!$C$47*37.719))*43758.5453)-INT((SIN(((Model_Data!A234)*12.9898+(0)*78.233+Inputs!$C$47*37.719))*43758.5453)))-1))))/1000)))*1000/Inputs!$C$12)-Model_Data!F234)</x:f>
        <x:v>106.25730447275828</x:v>
      </x:c>
      <x:c r="L234" s="49"/>
      <x:c r="M234" s="48" t="n">
        <x:f>Model_Data!A234</x:f>
        <x:v>56</x:v>
      </x:c>
      <x:c r="N234" s="48" t="n">
        <x:f>Model_Data!P234</x:f>
        <x:v>-416.39436278764407</x:v>
      </x:c>
      <x:c r="O234" s="48" t="n">
        <x:f>AC234</x:f>
        <x:v>-404.598350607921</x:v>
      </x:c>
      <x:c r="P234" s="48" t="n">
        <x:f>Model_Data!Q234</x:f>
        <x:v>-62.52167609424085</x:v>
      </x:c>
      <x:c r="Q234" s="48" t="n">
        <x:f>AD234</x:f>
        <x:v>-60.75050309428244</x:v>
      </x:c>
      <x:c r="R234" s="49"/>
      <x:c r="S234" s="48" t="n">
        <x:f>Model_Data!A234</x:f>
        <x:v>56</x:v>
      </x:c>
      <x:c r="T234" s="48" t="n">
        <x:f>Model_Data!B234-Inputs!$C$5</x:f>
        <x:v>3.4844444444444207</x:v>
      </x:c>
      <x:c r="U234" s="49"/>
      <x:c r="V234" s="48" t="n">
        <x:f>Model_Data!A234</x:f>
        <x:v>56</x:v>
      </x:c>
      <x:c r="W234" s="48" t="n">
        <x:f>(-((((SQRT((Model_Data!A234)^2+Inputs!$C$6^2+((Model_Data!B234)-((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(0.45*SIN(2*PI()*(((Model_Data!A234)/Inputs!$C$49)+Inputs!$C$47*0.137))+0.35*COS(2*PI()*(((Inputs!$C$6)/Inputs!$C$50)+Inputs!$C$47*0.173))+0.20*SIN(2*PI()*(((Model_Data!A234)+(Inputs!$C$6))/(0.5*(Inputs!$C$49+Inputs!$C$50))+Inputs!$C$47*0.097)))+0.30*(2*((SIN(((Model_Data!A234)*12.9898+(Inputs!$C$6)*78.233+Inputs!$C$47*37.719))*43758.5453)-INT((SIN(((Model_Data!A234)*12.9898+(Inputs!$C$6)*78.233+Inputs!$C$47*37.719))*43758.5453)))-1))))/1000)^2))-(((Model_Data!B234)-((Inputs!$C$51*(115*EXP(-(((0)-25)^2)/(4.5^2))+70*EXP(-(((0)+38)^2)/(7^2))*(0.55+0.45*SIN(2*PI()*(Model_Data!A234)/45))+24*SIN(2*PI()*(0)/9+(Model_Data!A234)/18)*EXP(-(((0)+5)^2)/(22^2))+18*SIN(2*PI()*(Model_Data!A234)/70))+Inputs!$C$28*EXP(-(((Model_Data!A234)-Inputs!$C$29)^2)/(2*Inputs!$C$31^2))*EXP(-(((0)-Inputs!$C$30)^2)/(2*Inputs!$C$32^2))+-Inputs!$C$33*EXP(-(((((Model_Data!A234)-Inputs!$C$34)^2)+(((0)-Inputs!$C$35)^2))/(2*Inputs!$C$36^2)))+Inputs!$C$37*(0.55*SIN(2*PI()*(Model_Data!A234)/Inputs!$C$39)+0.35*COS(2*PI()*(0)/Inputs!$C$40)+0.2*SIN(2*PI()*((Model_Data!A234)+(0))/(0.5*(Inputs!$C$39+Inputs!$C$40))))+Inputs!$C$38*SIN(2*PI()*(Model_Data!A234)/Inputs!$C$39)*SIN(2*PI()*(0)/Inputs!$C$40)+-Inputs!$C$41*EXP(-(((0)-Inputs!$C$43)^2)/(2*Inputs!$C$44^2))*EXP(-(((Model_Data!A234)-Inputs!$C$42)^2)/(2*Inputs!$C$45^2))+Inputs!$C$48*(0.70*(0.45*SIN(2*PI()*(((Model_Data!A234)/Inputs!$C$49)+Inputs!$C$47*0.137))+0.35*COS(2*PI()*(((0)/Inputs!$C$50)+Inputs!$C$47*0.173))+0.20*SIN(2*PI()*(((Model_Data!A234)+(0))/(0.5*(Inputs!$C$49+Inputs!$C$50))+Inputs!$C$47*0.097)))+0.30*(2*((SIN(((Model_Data!A234)*12.9898+(0)*78.233+Inputs!$C$47*37.719))*43758.5453)-INT((SIN(((Model_Data!A234)*12.9898+(0)*78.233+Inputs!$C$47*37.719))*43758.5453)))-1))))/1000)))*1000/Inputs!$C$12)-Model_Data!F234))-(-(((SQRT((Model_Data!A234)^2+Inputs!$C$6^2+(Inputs!$C$5-((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(0.45*SIN(2*PI()*(((Model_Data!A234)/Inputs!$C$49)+Inputs!$C$47*0.137))+0.35*COS(2*PI()*(((Inputs!$C$6)/Inputs!$C$50)+Inputs!$C$47*0.173))+0.20*SIN(2*PI()*(((Model_Data!A234)+(Inputs!$C$6))/(0.5*(Inputs!$C$49+Inputs!$C$50))+Inputs!$C$47*0.097)))+0.30*(2*((SIN(((Model_Data!A234)*12.9898+(Inputs!$C$6)*78.233+Inputs!$C$47*37.719))*43758.5453)-INT((SIN(((Model_Data!A234)*12.9898+(Inputs!$C$6)*78.233+Inputs!$C$47*37.719))*43758.5453)))-1))))/1000)^2)-(Inputs!$C$5-((Inputs!$C$51*(115*EXP(-(((0)-25)^2)/(4.5^2))+70*EXP(-(((0)+38)^2)/(7^2))*(0.55+0.45*SIN(2*PI()*(Model_Data!A234)/45))+24*SIN(2*PI()*(0)/9+(Model_Data!A234)/18)*EXP(-(((0)+5)^2)/(22^2))+18*SIN(2*PI()*(Model_Data!A234)/70))+Inputs!$C$28*EXP(-(((Model_Data!A234)-Inputs!$C$29)^2)/(2*Inputs!$C$31^2))*EXP(-(((0)-Inputs!$C$30)^2)/(2*Inputs!$C$32^2))+-Inputs!$C$33*EXP(-(((((Model_Data!A234)-Inputs!$C$34)^2)+(((0)-Inputs!$C$35)^2))/(2*Inputs!$C$36^2)))+Inputs!$C$37*(0.55*SIN(2*PI()*(Model_Data!A234)/Inputs!$C$39)+0.35*COS(2*PI()*(0)/Inputs!$C$40)+0.2*SIN(2*PI()*((Model_Data!A234)+(0))/(0.5*(Inputs!$C$39+Inputs!$C$40))))+Inputs!$C$38*SIN(2*PI()*(Model_Data!A234)/Inputs!$C$39)*SIN(2*PI()*(0)/Inputs!$C$40)+-Inputs!$C$41*EXP(-(((0)-Inputs!$C$43)^2)/(2*Inputs!$C$44^2))*EXP(-(((Model_Data!A234)-Inputs!$C$42)^2)/(2*Inputs!$C$45^2))+Inputs!$C$48*(0.70*(0.45*SIN(2*PI()*(((Model_Data!A234)/Inputs!$C$49)+Inputs!$C$47*0.137))+0.35*COS(2*PI()*(((0)/Inputs!$C$50)+Inputs!$C$47*0.173))+0.20*SIN(2*PI()*(((Model_Data!A234)+(0))/(0.5*(Inputs!$C$49+Inputs!$C$50))+Inputs!$C$47*0.097)))+0.30*(2*((SIN(((Model_Data!A234)*12.9898+(0)*78.233+Inputs!$C$47*37.719))*43758.5453)-INT((SIN(((Model_Data!A234)*12.9898+(0)*78.233+Inputs!$C$47*37.719))*43758.5453)))-1))))/1000))*1000/Inputs!$C$12)-((SQRT((Model_Data!A234)^2+Inputs!$C$6^2+Inputs!$C$5^2)-Inputs!$C$5)*1000/Inputs!$C$12)))</x:f>
        <x:v>0.02051626648653837</x:v>
      </x:c>
      <x:c r="X234" s="48" t="n">
        <x:f>0</x:f>
        <x:v>0</x:v>
      </x:c>
      <x:c r="Y234" s="49"/>
      <x:c r="Z234" s="48" t="n">
        <x:f>Model_Data!A234</x:f>
        <x:v>56</x:v>
      </x:c>
      <x:c r="AA234" s="48" t="n">
        <x:f>SQRT((Model_Data!A234)^2+Inputs!$C$6^2+((Model_Data!B234)-((Inputs!$C$51*(115*EXP(-(((Inputs!$C$6)-25)^2)/(4.5^2))+70*EXP(-(((Inputs!$C$6)+38)^2)/(7^2))*(0.55+0.45*SIN(2*PI()*(Model_Data!A234)/45))+24*SIN(2*PI()*(Inputs!$C$6)/9+(Model_Data!A234)/18)*EXP(-(((Inputs!$C$6)+5)^2)/(22^2))+18*SIN(2*PI()*(Model_Data!A234)/70))+Inputs!$C$28*EXP(-(((Model_Data!A234)-Inputs!$C$29)^2)/(2*Inputs!$C$31^2))*EXP(-(((Inputs!$C$6)-Inputs!$C$30)^2)/(2*Inputs!$C$32^2))+-Inputs!$C$33*EXP(-(((((Model_Data!A234)-Inputs!$C$34)^2)+(((Inputs!$C$6)-Inputs!$C$35)^2))/(2*Inputs!$C$36^2)))+Inputs!$C$37*(0.55*SIN(2*PI()*(Model_Data!A234)/Inputs!$C$39)+0.35*COS(2*PI()*(Inputs!$C$6)/Inputs!$C$40)+0.2*SIN(2*PI()*((Model_Data!A234)+(Inputs!$C$6))/(0.5*(Inputs!$C$39+Inputs!$C$40))))+Inputs!$C$38*SIN(2*PI()*(Model_Data!A234)/Inputs!$C$39)*SIN(2*PI()*(Inputs!$C$6)/Inputs!$C$40)+-Inputs!$C$41*EXP(-(((Inputs!$C$6)-Inputs!$C$43)^2)/(2*Inputs!$C$44^2))*EXP(-(((Model_Data!A234)-Inputs!$C$42)^2)/(2*Inputs!$C$45^2))+Inputs!$C$48*(0.70*(0.45*SIN(2*PI()*(((Model_Data!A234)/Inputs!$C$49)+Inputs!$C$47*0.137))+0.35*COS(2*PI()*(((Inputs!$C$6)/Inputs!$C$50)+Inputs!$C$47*0.173))+0.20*SIN(2*PI()*(((Model_Data!A234)+(Inputs!$C$6))/(0.5*(Inputs!$C$49+Inputs!$C$50))+Inputs!$C$47*0.097)))+0.30*(2*((SIN(((Model_Data!A234)*12.9898+(Inputs!$C$6)*78.233+Inputs!$C$47*37.719))*43758.5453)-INT((SIN(((Model_Data!A234)*12.9898+(Inputs!$C$6)*78.233+Inputs!$C$47*37.719))*43758.5453)))-1))))/1000)^2)</x:f>
        <x:v>407.93370319778126</x:v>
      </x:c>
      <x:c r="AB234" s="48" t="n">
        <x:f>1000*(AA235-AA233)/(Z235-Z233)*Inputs!$C$11</x:f>
        <x:v>1011.4958765198026</x:v>
      </x:c>
      <x:c r="AC234" s="48" t="n">
        <x:f>-2*AB234/Inputs!$C$13</x:f>
        <x:v>-404.598350607921</x:v>
      </x:c>
      <x:c r="AD234" s="48" t="n">
        <x:f>-2*AB234/Inputs!$C$14</x:f>
        <x:v>-60.75050309428244</x:v>
      </x:c>
    </x:row>
    <x:row r="235">
      <x:c r="A235" s="48" t="n">
        <x:f>Model_Data!A235</x:f>
        <x:v>56.5</x:v>
      </x:c>
      <x:c r="B235" s="48" t="n">
        <x:f>Model_Data!F235</x:f>
        <x:v>2641.700826955916</x:v>
      </x:c>
      <x:c r="C235" s="48" t="n">
        <x:f>(((SQRT((Model_Data!A235)^2+Inputs!$C$6^2+((Model_Data!B235)-((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(0.45*SIN(2*PI()*(((Model_Data!A235)/Inputs!$C$49)+Inputs!$C$47*0.137))+0.35*COS(2*PI()*(((Inputs!$C$6)/Inputs!$C$50)+Inputs!$C$47*0.173))+0.20*SIN(2*PI()*(((Model_Data!A235)+(Inputs!$C$6))/(0.5*(Inputs!$C$49+Inputs!$C$50))+Inputs!$C$47*0.097)))+0.30*(2*((SIN(((Model_Data!A235)*12.9898+(Inputs!$C$6)*78.233+Inputs!$C$47*37.719))*43758.5453)-INT((SIN(((Model_Data!A235)*12.9898+(Inputs!$C$6)*78.233+Inputs!$C$47*37.719))*43758.5453)))-1))))/1000)^2))-(((Model_Data!B235)-((Inputs!$C$51*(115*EXP(-(((0)-25)^2)/(4.5^2))+70*EXP(-(((0)+38)^2)/(7^2))*(0.55+0.45*SIN(2*PI()*(Model_Data!A235)/45))+24*SIN(2*PI()*(0)/9+(Model_Data!A235)/18)*EXP(-(((0)+5)^2)/(22^2))+18*SIN(2*PI()*(Model_Data!A235)/70))+Inputs!$C$28*EXP(-(((Model_Data!A235)-Inputs!$C$29)^2)/(2*Inputs!$C$31^2))*EXP(-(((0)-Inputs!$C$30)^2)/(2*Inputs!$C$32^2))+-Inputs!$C$33*EXP(-(((((Model_Data!A235)-Inputs!$C$34)^2)+(((0)-Inputs!$C$35)^2))/(2*Inputs!$C$36^2)))+Inputs!$C$37*(0.55*SIN(2*PI()*(Model_Data!A235)/Inputs!$C$39)+0.35*COS(2*PI()*(0)/Inputs!$C$40)+0.2*SIN(2*PI()*((Model_Data!A235)+(0))/(0.5*(Inputs!$C$39+Inputs!$C$40))))+Inputs!$C$38*SIN(2*PI()*(Model_Data!A235)/Inputs!$C$39)*SIN(2*PI()*(0)/Inputs!$C$40)+-Inputs!$C$41*EXP(-(((0)-Inputs!$C$43)^2)/(2*Inputs!$C$44^2))*EXP(-(((Model_Data!A235)-Inputs!$C$42)^2)/(2*Inputs!$C$45^2))+Inputs!$C$48*(0.70*(0.45*SIN(2*PI()*(((Model_Data!A235)/Inputs!$C$49)+Inputs!$C$47*0.137))+0.35*COS(2*PI()*(((0)/Inputs!$C$50)+Inputs!$C$47*0.173))+0.20*SIN(2*PI()*(((Model_Data!A235)+(0))/(0.5*(Inputs!$C$49+Inputs!$C$50))+Inputs!$C$47*0.097)))+0.30*(2*((SIN(((Model_Data!A235)*12.9898+(0)*78.233+Inputs!$C$47*37.719))*43758.5453)-INT((SIN(((Model_Data!A235)*12.9898+(0)*78.233+Inputs!$C$47*37.719))*43758.5453)))-1))))/1000)))*1000/Inputs!$C$12)</x:f>
        <x:v>2548.3497391941946</x:v>
      </x:c>
      <x:c r="D235" s="49"/>
      <x:c r="E235" s="48" t="n">
        <x:f>Model_Data!A235</x:f>
        <x:v>56.5</x:v>
      </x:c>
      <x:c r="F235" s="48" t="n">
        <x:f>(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(0.45*SIN(2*PI()*(((Model_Data!A235)/Inputs!$C$49)+Inputs!$C$47*0.137))+0.35*COS(2*PI()*(((Inputs!$C$6)/Inputs!$C$50)+Inputs!$C$47*0.173))+0.20*SIN(2*PI()*(((Model_Data!A235)+(Inputs!$C$6))/(0.5*(Inputs!$C$49+Inputs!$C$50))+Inputs!$C$47*0.097)))+0.30*(2*((SIN(((Model_Data!A235)*12.9898+(Inputs!$C$6)*78.233+Inputs!$C$47*37.719))*43758.5453)-INT((SIN(((Model_Data!A235)*12.9898+(Inputs!$C$6)*78.233+Inputs!$C$47*37.719))*43758.5453)))-1)))</x:f>
        <x:v>190.07062484954076</x:v>
      </x:c>
      <x:c r="G235" s="48" t="n">
        <x:f>(Inputs!$C$51*(115*EXP(-(((0)-25)^2)/(4.5^2))+70*EXP(-(((0)+38)^2)/(7^2))*(0.55+0.45*SIN(2*PI()*(Model_Data!A235)/45))+24*SIN(2*PI()*(0)/9+(Model_Data!A235)/18)*EXP(-(((0)+5)^2)/(22^2))+18*SIN(2*PI()*(Model_Data!A235)/70))+Inputs!$C$28*EXP(-(((Model_Data!A235)-Inputs!$C$29)^2)/(2*Inputs!$C$31^2))*EXP(-(((0)-Inputs!$C$30)^2)/(2*Inputs!$C$32^2))+-Inputs!$C$33*EXP(-(((((Model_Data!A235)-Inputs!$C$34)^2)+(((0)-Inputs!$C$35)^2))/(2*Inputs!$C$36^2)))+Inputs!$C$37*(0.55*SIN(2*PI()*(Model_Data!A235)/Inputs!$C$39)+0.35*COS(2*PI()*(0)/Inputs!$C$40)+0.2*SIN(2*PI()*((Model_Data!A235)+(0))/(0.5*(Inputs!$C$39+Inputs!$C$40))))+Inputs!$C$38*SIN(2*PI()*(Model_Data!A235)/Inputs!$C$39)*SIN(2*PI()*(0)/Inputs!$C$40)+-Inputs!$C$41*EXP(-(((0)-Inputs!$C$43)^2)/(2*Inputs!$C$44^2))*EXP(-(((Model_Data!A235)-Inputs!$C$42)^2)/(2*Inputs!$C$45^2))+Inputs!$C$48*(0.70*(0.45*SIN(2*PI()*(((Model_Data!A235)/Inputs!$C$49)+Inputs!$C$47*0.137))+0.35*COS(2*PI()*(((0)/Inputs!$C$50)+Inputs!$C$47*0.173))+0.20*SIN(2*PI()*(((Model_Data!A235)+(0))/(0.5*(Inputs!$C$49+Inputs!$C$50))+Inputs!$C$47*0.097)))+0.30*(2*((SIN(((Model_Data!A235)*12.9898+(0)*78.233+Inputs!$C$47*37.719))*43758.5453)-INT((SIN(((Model_Data!A235)*12.9898+(0)*78.233+Inputs!$C$47*37.719))*43758.5453)))-1)))</x:f>
        <x:v>21.715435034758002</x:v>
      </x:c>
      <x:c r="H235" s="49"/>
      <x:c r="I235" s="48" t="n">
        <x:f>Model_Data!A235</x:f>
        <x:v>56.5</x:v>
      </x:c>
      <x:c r="J235" s="48" t="n">
        <x:f>((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(0.45*SIN(2*PI()*(((Model_Data!A235)/Inputs!$C$49)+Inputs!$C$47*0.137))+0.35*COS(2*PI()*(((Inputs!$C$6)/Inputs!$C$50)+Inputs!$C$47*0.173))+0.20*SIN(2*PI()*(((Model_Data!A235)+(Inputs!$C$6))/(0.5*(Inputs!$C$49+Inputs!$C$50))+Inputs!$C$47*0.097)))+0.30*(2*((SIN(((Model_Data!A235)*12.9898+(Inputs!$C$6)*78.233+Inputs!$C$47*37.719))*43758.5453)-INT((SIN(((Model_Data!A235)*12.9898+(Inputs!$C$6)*78.233+Inputs!$C$47*37.719))*43758.5453)))-1))))-((Inputs!$C$51*(115*EXP(-(((0)-25)^2)/(4.5^2))+70*EXP(-(((0)+38)^2)/(7^2))*(0.55+0.45*SIN(2*PI()*(Model_Data!A235)/45))+24*SIN(2*PI()*(0)/9+(Model_Data!A235)/18)*EXP(-(((0)+5)^2)/(22^2))+18*SIN(2*PI()*(Model_Data!A235)/70))+Inputs!$C$28*EXP(-(((Model_Data!A235)-Inputs!$C$29)^2)/(2*Inputs!$C$31^2))*EXP(-(((0)-Inputs!$C$30)^2)/(2*Inputs!$C$32^2))+-Inputs!$C$33*EXP(-(((((Model_Data!A235)-Inputs!$C$34)^2)+(((0)-Inputs!$C$35)^2))/(2*Inputs!$C$36^2)))+Inputs!$C$37*(0.55*SIN(2*PI()*(Model_Data!A235)/Inputs!$C$39)+0.35*COS(2*PI()*(0)/Inputs!$C$40)+0.2*SIN(2*PI()*((Model_Data!A235)+(0))/(0.5*(Inputs!$C$39+Inputs!$C$40))))+Inputs!$C$38*SIN(2*PI()*(Model_Data!A235)/Inputs!$C$39)*SIN(2*PI()*(0)/Inputs!$C$40)+-Inputs!$C$41*EXP(-(((0)-Inputs!$C$43)^2)/(2*Inputs!$C$44^2))*EXP(-(((Model_Data!A235)-Inputs!$C$42)^2)/(2*Inputs!$C$45^2))+Inputs!$C$48*(0.70*(0.45*SIN(2*PI()*(((Model_Data!A235)/Inputs!$C$49)+Inputs!$C$47*0.137))+0.35*COS(2*PI()*(((0)/Inputs!$C$50)+Inputs!$C$47*0.173))+0.20*SIN(2*PI()*(((Model_Data!A235)+(0))/(0.5*(Inputs!$C$49+Inputs!$C$50))+Inputs!$C$47*0.097)))+0.30*(2*((SIN(((Model_Data!A235)*12.9898+(0)*78.233+Inputs!$C$47*37.719))*43758.5453)-INT((SIN(((Model_Data!A235)*12.9898+(0)*78.233+Inputs!$C$47*37.719))*43758.5453)))-1))))</x:f>
        <x:v>168.35518981478276</x:v>
      </x:c>
      <x:c r="K235" s="48" t="n">
        <x:f>-((((SQRT((Model_Data!A235)^2+Inputs!$C$6^2+((Model_Data!B235)-((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(0.45*SIN(2*PI()*(((Model_Data!A235)/Inputs!$C$49)+Inputs!$C$47*0.137))+0.35*COS(2*PI()*(((Inputs!$C$6)/Inputs!$C$50)+Inputs!$C$47*0.173))+0.20*SIN(2*PI()*(((Model_Data!A235)+(Inputs!$C$6))/(0.5*(Inputs!$C$49+Inputs!$C$50))+Inputs!$C$47*0.097)))+0.30*(2*((SIN(((Model_Data!A235)*12.9898+(Inputs!$C$6)*78.233+Inputs!$C$47*37.719))*43758.5453)-INT((SIN(((Model_Data!A235)*12.9898+(Inputs!$C$6)*78.233+Inputs!$C$47*37.719))*43758.5453)))-1))))/1000)^2))-(((Model_Data!B235)-((Inputs!$C$51*(115*EXP(-(((0)-25)^2)/(4.5^2))+70*EXP(-(((0)+38)^2)/(7^2))*(0.55+0.45*SIN(2*PI()*(Model_Data!A235)/45))+24*SIN(2*PI()*(0)/9+(Model_Data!A235)/18)*EXP(-(((0)+5)^2)/(22^2))+18*SIN(2*PI()*(Model_Data!A235)/70))+Inputs!$C$28*EXP(-(((Model_Data!A235)-Inputs!$C$29)^2)/(2*Inputs!$C$31^2))*EXP(-(((0)-Inputs!$C$30)^2)/(2*Inputs!$C$32^2))+-Inputs!$C$33*EXP(-(((((Model_Data!A235)-Inputs!$C$34)^2)+(((0)-Inputs!$C$35)^2))/(2*Inputs!$C$36^2)))+Inputs!$C$37*(0.55*SIN(2*PI()*(Model_Data!A235)/Inputs!$C$39)+0.35*COS(2*PI()*(0)/Inputs!$C$40)+0.2*SIN(2*PI()*((Model_Data!A235)+(0))/(0.5*(Inputs!$C$39+Inputs!$C$40))))+Inputs!$C$38*SIN(2*PI()*(Model_Data!A235)/Inputs!$C$39)*SIN(2*PI()*(0)/Inputs!$C$40)+-Inputs!$C$41*EXP(-(((0)-Inputs!$C$43)^2)/(2*Inputs!$C$44^2))*EXP(-(((Model_Data!A235)-Inputs!$C$42)^2)/(2*Inputs!$C$45^2))+Inputs!$C$48*(0.70*(0.45*SIN(2*PI()*(((Model_Data!A235)/Inputs!$C$49)+Inputs!$C$47*0.137))+0.35*COS(2*PI()*(((0)/Inputs!$C$50)+Inputs!$C$47*0.173))+0.20*SIN(2*PI()*(((Model_Data!A235)+(0))/(0.5*(Inputs!$C$49+Inputs!$C$50))+Inputs!$C$47*0.097)))+0.30*(2*((SIN(((Model_Data!A235)*12.9898+(0)*78.233+Inputs!$C$47*37.719))*43758.5453)-INT((SIN(((Model_Data!A235)*12.9898+(0)*78.233+Inputs!$C$47*37.719))*43758.5453)))-1))))/1000)))*1000/Inputs!$C$12)-Model_Data!F235)</x:f>
        <x:v>93.35108776172137</x:v>
      </x:c>
      <x:c r="L235" s="49"/>
      <x:c r="M235" s="48" t="n">
        <x:f>Model_Data!A235</x:f>
        <x:v>56.5</x:v>
      </x:c>
      <x:c r="N235" s="48" t="n">
        <x:f>Model_Data!P235</x:f>
        <x:v>-420.0084386675802</x:v>
      </x:c>
      <x:c r="O235" s="48" t="n">
        <x:f>AC235</x:f>
        <x:v>-398.3149514217075</x:v>
      </x:c>
      <x:c r="P235" s="48" t="n">
        <x:f>Model_Data!Q235</x:f>
        <x:v>-63.06433013026731</x:v>
      </x:c>
      <x:c r="Q235" s="48" t="n">
        <x:f>AD235</x:f>
        <x:v>-59.80704976301915</x:v>
      </x:c>
      <x:c r="R235" s="49"/>
      <x:c r="S235" s="48" t="n">
        <x:f>Model_Data!A235</x:f>
        <x:v>56.5</x:v>
      </x:c>
      <x:c r="T235" s="48" t="n">
        <x:f>Model_Data!B235-Inputs!$C$5</x:f>
        <x:v>3.5469444444444207</x:v>
      </x:c>
      <x:c r="U235" s="49"/>
      <x:c r="V235" s="48" t="n">
        <x:f>Model_Data!A235</x:f>
        <x:v>56.5</x:v>
      </x:c>
      <x:c r="W235" s="48" t="n">
        <x:f>(-((((SQRT((Model_Data!A235)^2+Inputs!$C$6^2+((Model_Data!B235)-((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(0.45*SIN(2*PI()*(((Model_Data!A235)/Inputs!$C$49)+Inputs!$C$47*0.137))+0.35*COS(2*PI()*(((Inputs!$C$6)/Inputs!$C$50)+Inputs!$C$47*0.173))+0.20*SIN(2*PI()*(((Model_Data!A235)+(Inputs!$C$6))/(0.5*(Inputs!$C$49+Inputs!$C$50))+Inputs!$C$47*0.097)))+0.30*(2*((SIN(((Model_Data!A235)*12.9898+(Inputs!$C$6)*78.233+Inputs!$C$47*37.719))*43758.5453)-INT((SIN(((Model_Data!A235)*12.9898+(Inputs!$C$6)*78.233+Inputs!$C$47*37.719))*43758.5453)))-1))))/1000)^2))-(((Model_Data!B235)-((Inputs!$C$51*(115*EXP(-(((0)-25)^2)/(4.5^2))+70*EXP(-(((0)+38)^2)/(7^2))*(0.55+0.45*SIN(2*PI()*(Model_Data!A235)/45))+24*SIN(2*PI()*(0)/9+(Model_Data!A235)/18)*EXP(-(((0)+5)^2)/(22^2))+18*SIN(2*PI()*(Model_Data!A235)/70))+Inputs!$C$28*EXP(-(((Model_Data!A235)-Inputs!$C$29)^2)/(2*Inputs!$C$31^2))*EXP(-(((0)-Inputs!$C$30)^2)/(2*Inputs!$C$32^2))+-Inputs!$C$33*EXP(-(((((Model_Data!A235)-Inputs!$C$34)^2)+(((0)-Inputs!$C$35)^2))/(2*Inputs!$C$36^2)))+Inputs!$C$37*(0.55*SIN(2*PI()*(Model_Data!A235)/Inputs!$C$39)+0.35*COS(2*PI()*(0)/Inputs!$C$40)+0.2*SIN(2*PI()*((Model_Data!A235)+(0))/(0.5*(Inputs!$C$39+Inputs!$C$40))))+Inputs!$C$38*SIN(2*PI()*(Model_Data!A235)/Inputs!$C$39)*SIN(2*PI()*(0)/Inputs!$C$40)+-Inputs!$C$41*EXP(-(((0)-Inputs!$C$43)^2)/(2*Inputs!$C$44^2))*EXP(-(((Model_Data!A235)-Inputs!$C$42)^2)/(2*Inputs!$C$45^2))+Inputs!$C$48*(0.70*(0.45*SIN(2*PI()*(((Model_Data!A235)/Inputs!$C$49)+Inputs!$C$47*0.137))+0.35*COS(2*PI()*(((0)/Inputs!$C$50)+Inputs!$C$47*0.173))+0.20*SIN(2*PI()*(((Model_Data!A235)+(0))/(0.5*(Inputs!$C$49+Inputs!$C$50))+Inputs!$C$47*0.097)))+0.30*(2*((SIN(((Model_Data!A235)*12.9898+(0)*78.233+Inputs!$C$47*37.719))*43758.5453)-INT((SIN(((Model_Data!A235)*12.9898+(0)*78.233+Inputs!$C$47*37.719))*43758.5453)))-1))))/1000)))*1000/Inputs!$C$12)-Model_Data!F235))-(-(((SQRT((Model_Data!A235)^2+Inputs!$C$6^2+(Inputs!$C$5-((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(0.45*SIN(2*PI()*(((Model_Data!A235)/Inputs!$C$49)+Inputs!$C$47*0.137))+0.35*COS(2*PI()*(((Inputs!$C$6)/Inputs!$C$50)+Inputs!$C$47*0.173))+0.20*SIN(2*PI()*(((Model_Data!A235)+(Inputs!$C$6))/(0.5*(Inputs!$C$49+Inputs!$C$50))+Inputs!$C$47*0.097)))+0.30*(2*((SIN(((Model_Data!A235)*12.9898+(Inputs!$C$6)*78.233+Inputs!$C$47*37.719))*43758.5453)-INT((SIN(((Model_Data!A235)*12.9898+(Inputs!$C$6)*78.233+Inputs!$C$47*37.719))*43758.5453)))-1))))/1000)^2)-(Inputs!$C$5-((Inputs!$C$51*(115*EXP(-(((0)-25)^2)/(4.5^2))+70*EXP(-(((0)+38)^2)/(7^2))*(0.55+0.45*SIN(2*PI()*(Model_Data!A235)/45))+24*SIN(2*PI()*(0)/9+(Model_Data!A235)/18)*EXP(-(((0)+5)^2)/(22^2))+18*SIN(2*PI()*(Model_Data!A235)/70))+Inputs!$C$28*EXP(-(((Model_Data!A235)-Inputs!$C$29)^2)/(2*Inputs!$C$31^2))*EXP(-(((0)-Inputs!$C$30)^2)/(2*Inputs!$C$32^2))+-Inputs!$C$33*EXP(-(((((Model_Data!A235)-Inputs!$C$34)^2)+(((0)-Inputs!$C$35)^2))/(2*Inputs!$C$36^2)))+Inputs!$C$37*(0.55*SIN(2*PI()*(Model_Data!A235)/Inputs!$C$39)+0.35*COS(2*PI()*(0)/Inputs!$C$40)+0.2*SIN(2*PI()*((Model_Data!A235)+(0))/(0.5*(Inputs!$C$39+Inputs!$C$40))))+Inputs!$C$38*SIN(2*PI()*(Model_Data!A235)/Inputs!$C$39)*SIN(2*PI()*(0)/Inputs!$C$40)+-Inputs!$C$41*EXP(-(((0)-Inputs!$C$43)^2)/(2*Inputs!$C$44^2))*EXP(-(((Model_Data!A235)-Inputs!$C$42)^2)/(2*Inputs!$C$45^2))+Inputs!$C$48*(0.70*(0.45*SIN(2*PI()*(((Model_Data!A235)/Inputs!$C$49)+Inputs!$C$47*0.137))+0.35*COS(2*PI()*(((0)/Inputs!$C$50)+Inputs!$C$47*0.173))+0.20*SIN(2*PI()*(((Model_Data!A235)+(0))/(0.5*(Inputs!$C$49+Inputs!$C$50))+Inputs!$C$47*0.097)))+0.30*(2*((SIN(((Model_Data!A235)*12.9898+(0)*78.233+Inputs!$C$47*37.719))*43758.5453)-INT((SIN(((Model_Data!A235)*12.9898+(0)*78.233+Inputs!$C$47*37.719))*43758.5453)))-1))))/1000))*1000/Inputs!$C$12)-((SQRT((Model_Data!A235)^2+Inputs!$C$6^2+Inputs!$C$5^2)-Inputs!$C$5)*1000/Inputs!$C$12)))</x:f>
        <x:v>0.021540098149216647</x:v>
      </x:c>
      <x:c r="X235" s="48" t="n">
        <x:f>0</x:f>
        <x:v>0</x:v>
      </x:c>
      <x:c r="Y235" s="49"/>
      <x:c r="Z235" s="48" t="n">
        <x:f>Model_Data!A235</x:f>
        <x:v>56.5</x:v>
      </x:c>
      <x:c r="AA235" s="48" t="n">
        <x:f>SQRT((Model_Data!A235)^2+Inputs!$C$6^2+((Model_Data!B235)-((Inputs!$C$51*(115*EXP(-(((Inputs!$C$6)-25)^2)/(4.5^2))+70*EXP(-(((Inputs!$C$6)+38)^2)/(7^2))*(0.55+0.45*SIN(2*PI()*(Model_Data!A235)/45))+24*SIN(2*PI()*(Inputs!$C$6)/9+(Model_Data!A235)/18)*EXP(-(((Inputs!$C$6)+5)^2)/(22^2))+18*SIN(2*PI()*(Model_Data!A235)/70))+Inputs!$C$28*EXP(-(((Model_Data!A235)-Inputs!$C$29)^2)/(2*Inputs!$C$31^2))*EXP(-(((Inputs!$C$6)-Inputs!$C$30)^2)/(2*Inputs!$C$32^2))+-Inputs!$C$33*EXP(-(((((Model_Data!A235)-Inputs!$C$34)^2)+(((Inputs!$C$6)-Inputs!$C$35)^2))/(2*Inputs!$C$36^2)))+Inputs!$C$37*(0.55*SIN(2*PI()*(Model_Data!A235)/Inputs!$C$39)+0.35*COS(2*PI()*(Inputs!$C$6)/Inputs!$C$40)+0.2*SIN(2*PI()*((Model_Data!A235)+(Inputs!$C$6))/(0.5*(Inputs!$C$39+Inputs!$C$40))))+Inputs!$C$38*SIN(2*PI()*(Model_Data!A235)/Inputs!$C$39)*SIN(2*PI()*(Inputs!$C$6)/Inputs!$C$40)+-Inputs!$C$41*EXP(-(((Inputs!$C$6)-Inputs!$C$43)^2)/(2*Inputs!$C$44^2))*EXP(-(((Model_Data!A235)-Inputs!$C$42)^2)/(2*Inputs!$C$45^2))+Inputs!$C$48*(0.70*(0.45*SIN(2*PI()*(((Model_Data!A235)/Inputs!$C$49)+Inputs!$C$47*0.137))+0.35*COS(2*PI()*(((Inputs!$C$6)/Inputs!$C$50)+Inputs!$C$47*0.173))+0.20*SIN(2*PI()*(((Model_Data!A235)+(Inputs!$C$6))/(0.5*(Inputs!$C$49+Inputs!$C$50))+Inputs!$C$47*0.097)))+0.30*(2*((SIN(((Model_Data!A235)*12.9898+(Inputs!$C$6)*78.233+Inputs!$C$47*37.719))*43758.5453)-INT((SIN(((Model_Data!A235)*12.9898+(Inputs!$C$6)*78.233+Inputs!$C$47*37.719))*43758.5453)))-1))))/1000)^2)</x:f>
        <x:v>408.0612915451753</x:v>
      </x:c>
      <x:c r="AB235" s="48" t="n">
        <x:f>1000*(AA236-AA234)/(Z236-Z234)*Inputs!$C$11</x:f>
        <x:v>995.7873785542688</x:v>
      </x:c>
      <x:c r="AC235" s="48" t="n">
        <x:f>-2*AB235/Inputs!$C$13</x:f>
        <x:v>-398.3149514217075</x:v>
      </x:c>
      <x:c r="AD235" s="48" t="n">
        <x:f>-2*AB235/Inputs!$C$14</x:f>
        <x:v>-59.80704976301915</x:v>
      </x:c>
    </x:row>
    <x:row r="236">
      <x:c r="A236" s="48" t="n">
        <x:f>Model_Data!A236</x:f>
        <x:v>57</x:v>
      </x:c>
      <x:c r="B236" s="48" t="n">
        <x:f>Model_Data!F236</x:f>
        <x:v>2680.330846175745</x:v>
      </x:c>
      <x:c r="C236" s="48" t="n">
        <x:f>(((SQRT((Model_Data!A236)^2+Inputs!$C$6^2+((Model_Data!B236)-((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(0.45*SIN(2*PI()*(((Model_Data!A236)/Inputs!$C$49)+Inputs!$C$47*0.137))+0.35*COS(2*PI()*(((Inputs!$C$6)/Inputs!$C$50)+Inputs!$C$47*0.173))+0.20*SIN(2*PI()*(((Model_Data!A236)+(Inputs!$C$6))/(0.5*(Inputs!$C$49+Inputs!$C$50))+Inputs!$C$47*0.097)))+0.30*(2*((SIN(((Model_Data!A236)*12.9898+(Inputs!$C$6)*78.233+Inputs!$C$47*37.719))*43758.5453)-INT((SIN(((Model_Data!A236)*12.9898+(Inputs!$C$6)*78.233+Inputs!$C$47*37.719))*43758.5453)))-1))))/1000)^2))-(((Model_Data!B236)-((Inputs!$C$51*(115*EXP(-(((0)-25)^2)/(4.5^2))+70*EXP(-(((0)+38)^2)/(7^2))*(0.55+0.45*SIN(2*PI()*(Model_Data!A236)/45))+24*SIN(2*PI()*(0)/9+(Model_Data!A236)/18)*EXP(-(((0)+5)^2)/(22^2))+18*SIN(2*PI()*(Model_Data!A236)/70))+Inputs!$C$28*EXP(-(((Model_Data!A236)-Inputs!$C$29)^2)/(2*Inputs!$C$31^2))*EXP(-(((0)-Inputs!$C$30)^2)/(2*Inputs!$C$32^2))+-Inputs!$C$33*EXP(-(((((Model_Data!A236)-Inputs!$C$34)^2)+(((0)-Inputs!$C$35)^2))/(2*Inputs!$C$36^2)))+Inputs!$C$37*(0.55*SIN(2*PI()*(Model_Data!A236)/Inputs!$C$39)+0.35*COS(2*PI()*(0)/Inputs!$C$40)+0.2*SIN(2*PI()*((Model_Data!A236)+(0))/(0.5*(Inputs!$C$39+Inputs!$C$40))))+Inputs!$C$38*SIN(2*PI()*(Model_Data!A236)/Inputs!$C$39)*SIN(2*PI()*(0)/Inputs!$C$40)+-Inputs!$C$41*EXP(-(((0)-Inputs!$C$43)^2)/(2*Inputs!$C$44^2))*EXP(-(((Model_Data!A236)-Inputs!$C$42)^2)/(2*Inputs!$C$45^2))+Inputs!$C$48*(0.70*(0.45*SIN(2*PI()*(((Model_Data!A236)/Inputs!$C$49)+Inputs!$C$47*0.137))+0.35*COS(2*PI()*(((0)/Inputs!$C$50)+Inputs!$C$47*0.173))+0.20*SIN(2*PI()*(((Model_Data!A236)+(0))/(0.5*(Inputs!$C$49+Inputs!$C$50))+Inputs!$C$47*0.097)))+0.30*(2*((SIN(((Model_Data!A236)*12.9898+(0)*78.233+Inputs!$C$47*37.719))*43758.5453)-INT((SIN(((Model_Data!A236)*12.9898+(0)*78.233+Inputs!$C$47*37.719))*43758.5453)))-1))))/1000)))*1000/Inputs!$C$12)</x:f>
        <x:v>2579.249220884438</x:v>
      </x:c>
      <x:c r="D236" s="49"/>
      <x:c r="E236" s="48" t="n">
        <x:f>Model_Data!A236</x:f>
        <x:v>57</x:v>
      </x:c>
      <x:c r="F236" s="48" t="n">
        <x:f>(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(0.45*SIN(2*PI()*(((Model_Data!A236)/Inputs!$C$49)+Inputs!$C$47*0.137))+0.35*COS(2*PI()*(((Inputs!$C$6)/Inputs!$C$50)+Inputs!$C$47*0.173))+0.20*SIN(2*PI()*(((Model_Data!A236)+(Inputs!$C$6))/(0.5*(Inputs!$C$49+Inputs!$C$50))+Inputs!$C$47*0.097)))+0.30*(2*((SIN(((Model_Data!A236)*12.9898+(Inputs!$C$6)*78.233+Inputs!$C$47*37.719))*43758.5453)-INT((SIN(((Model_Data!A236)*12.9898+(Inputs!$C$6)*78.233+Inputs!$C$47*37.719))*43758.5453)))-1)))</x:f>
        <x:v>200.68454527158707</x:v>
      </x:c>
      <x:c r="G236" s="48" t="n">
        <x:f>(Inputs!$C$51*(115*EXP(-(((0)-25)^2)/(4.5^2))+70*EXP(-(((0)+38)^2)/(7^2))*(0.55+0.45*SIN(2*PI()*(Model_Data!A236)/45))+24*SIN(2*PI()*(0)/9+(Model_Data!A236)/18)*EXP(-(((0)+5)^2)/(22^2))+18*SIN(2*PI()*(Model_Data!A236)/70))+Inputs!$C$28*EXP(-(((Model_Data!A236)-Inputs!$C$29)^2)/(2*Inputs!$C$31^2))*EXP(-(((0)-Inputs!$C$30)^2)/(2*Inputs!$C$32^2))+-Inputs!$C$33*EXP(-(((((Model_Data!A236)-Inputs!$C$34)^2)+(((0)-Inputs!$C$35)^2))/(2*Inputs!$C$36^2)))+Inputs!$C$37*(0.55*SIN(2*PI()*(Model_Data!A236)/Inputs!$C$39)+0.35*COS(2*PI()*(0)/Inputs!$C$40)+0.2*SIN(2*PI()*((Model_Data!A236)+(0))/(0.5*(Inputs!$C$39+Inputs!$C$40))))+Inputs!$C$38*SIN(2*PI()*(Model_Data!A236)/Inputs!$C$39)*SIN(2*PI()*(0)/Inputs!$C$40)+-Inputs!$C$41*EXP(-(((0)-Inputs!$C$43)^2)/(2*Inputs!$C$44^2))*EXP(-(((Model_Data!A236)-Inputs!$C$42)^2)/(2*Inputs!$C$45^2))+Inputs!$C$48*(0.70*(0.45*SIN(2*PI()*(((Model_Data!A236)/Inputs!$C$49)+Inputs!$C$47*0.137))+0.35*COS(2*PI()*(((0)/Inputs!$C$50)+Inputs!$C$47*0.173))+0.20*SIN(2*PI()*(((Model_Data!A236)+(0))/(0.5*(Inputs!$C$49+Inputs!$C$50))+Inputs!$C$47*0.097)))+0.30*(2*((SIN(((Model_Data!A236)*12.9898+(0)*78.233+Inputs!$C$47*37.719))*43758.5453)-INT((SIN(((Model_Data!A236)*12.9898+(0)*78.233+Inputs!$C$47*37.719))*43758.5453)))-1)))</x:f>
        <x:v>18.4135707545088</x:v>
      </x:c>
      <x:c r="H236" s="49"/>
      <x:c r="I236" s="48" t="n">
        <x:f>Model_Data!A236</x:f>
        <x:v>57</x:v>
      </x:c>
      <x:c r="J236" s="48" t="n">
        <x:f>((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(0.45*SIN(2*PI()*(((Model_Data!A236)/Inputs!$C$49)+Inputs!$C$47*0.137))+0.35*COS(2*PI()*(((Inputs!$C$6)/Inputs!$C$50)+Inputs!$C$47*0.173))+0.20*SIN(2*PI()*(((Model_Data!A236)+(Inputs!$C$6))/(0.5*(Inputs!$C$49+Inputs!$C$50))+Inputs!$C$47*0.097)))+0.30*(2*((SIN(((Model_Data!A236)*12.9898+(Inputs!$C$6)*78.233+Inputs!$C$47*37.719))*43758.5453)-INT((SIN(((Model_Data!A236)*12.9898+(Inputs!$C$6)*78.233+Inputs!$C$47*37.719))*43758.5453)))-1))))-((Inputs!$C$51*(115*EXP(-(((0)-25)^2)/(4.5^2))+70*EXP(-(((0)+38)^2)/(7^2))*(0.55+0.45*SIN(2*PI()*(Model_Data!A236)/45))+24*SIN(2*PI()*(0)/9+(Model_Data!A236)/18)*EXP(-(((0)+5)^2)/(22^2))+18*SIN(2*PI()*(Model_Data!A236)/70))+Inputs!$C$28*EXP(-(((Model_Data!A236)-Inputs!$C$29)^2)/(2*Inputs!$C$31^2))*EXP(-(((0)-Inputs!$C$30)^2)/(2*Inputs!$C$32^2))+-Inputs!$C$33*EXP(-(((((Model_Data!A236)-Inputs!$C$34)^2)+(((0)-Inputs!$C$35)^2))/(2*Inputs!$C$36^2)))+Inputs!$C$37*(0.55*SIN(2*PI()*(Model_Data!A236)/Inputs!$C$39)+0.35*COS(2*PI()*(0)/Inputs!$C$40)+0.2*SIN(2*PI()*((Model_Data!A236)+(0))/(0.5*(Inputs!$C$39+Inputs!$C$40))))+Inputs!$C$38*SIN(2*PI()*(Model_Data!A236)/Inputs!$C$39)*SIN(2*PI()*(0)/Inputs!$C$40)+-Inputs!$C$41*EXP(-(((0)-Inputs!$C$43)^2)/(2*Inputs!$C$44^2))*EXP(-(((Model_Data!A236)-Inputs!$C$42)^2)/(2*Inputs!$C$45^2))+Inputs!$C$48*(0.70*(0.45*SIN(2*PI()*(((Model_Data!A236)/Inputs!$C$49)+Inputs!$C$47*0.137))+0.35*COS(2*PI()*(((0)/Inputs!$C$50)+Inputs!$C$47*0.173))+0.20*SIN(2*PI()*(((Model_Data!A236)+(0))/(0.5*(Inputs!$C$49+Inputs!$C$50))+Inputs!$C$47*0.097)))+0.30*(2*((SIN(((Model_Data!A236)*12.9898+(0)*78.233+Inputs!$C$47*37.719))*43758.5453)-INT((SIN(((Model_Data!A236)*12.9898+(0)*78.233+Inputs!$C$47*37.719))*43758.5453)))-1))))</x:f>
        <x:v>182.27097451707826</x:v>
      </x:c>
      <x:c r="K236" s="48" t="n">
        <x:f>-((((SQRT((Model_Data!A236)^2+Inputs!$C$6^2+((Model_Data!B236)-((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(0.45*SIN(2*PI()*(((Model_Data!A236)/Inputs!$C$49)+Inputs!$C$47*0.137))+0.35*COS(2*PI()*(((Inputs!$C$6)/Inputs!$C$50)+Inputs!$C$47*0.173))+0.20*SIN(2*PI()*(((Model_Data!A236)+(Inputs!$C$6))/(0.5*(Inputs!$C$49+Inputs!$C$50))+Inputs!$C$47*0.097)))+0.30*(2*((SIN(((Model_Data!A236)*12.9898+(Inputs!$C$6)*78.233+Inputs!$C$47*37.719))*43758.5453)-INT((SIN(((Model_Data!A236)*12.9898+(Inputs!$C$6)*78.233+Inputs!$C$47*37.719))*43758.5453)))-1))))/1000)^2))-(((Model_Data!B236)-((Inputs!$C$51*(115*EXP(-(((0)-25)^2)/(4.5^2))+70*EXP(-(((0)+38)^2)/(7^2))*(0.55+0.45*SIN(2*PI()*(Model_Data!A236)/45))+24*SIN(2*PI()*(0)/9+(Model_Data!A236)/18)*EXP(-(((0)+5)^2)/(22^2))+18*SIN(2*PI()*(Model_Data!A236)/70))+Inputs!$C$28*EXP(-(((Model_Data!A236)-Inputs!$C$29)^2)/(2*Inputs!$C$31^2))*EXP(-(((0)-Inputs!$C$30)^2)/(2*Inputs!$C$32^2))+-Inputs!$C$33*EXP(-(((((Model_Data!A236)-Inputs!$C$34)^2)+(((0)-Inputs!$C$35)^2))/(2*Inputs!$C$36^2)))+Inputs!$C$37*(0.55*SIN(2*PI()*(Model_Data!A236)/Inputs!$C$39)+0.35*COS(2*PI()*(0)/Inputs!$C$40)+0.2*SIN(2*PI()*((Model_Data!A236)+(0))/(0.5*(Inputs!$C$39+Inputs!$C$40))))+Inputs!$C$38*SIN(2*PI()*(Model_Data!A236)/Inputs!$C$39)*SIN(2*PI()*(0)/Inputs!$C$40)+-Inputs!$C$41*EXP(-(((0)-Inputs!$C$43)^2)/(2*Inputs!$C$44^2))*EXP(-(((Model_Data!A236)-Inputs!$C$42)^2)/(2*Inputs!$C$45^2))+Inputs!$C$48*(0.70*(0.45*SIN(2*PI()*(((Model_Data!A236)/Inputs!$C$49)+Inputs!$C$47*0.137))+0.35*COS(2*PI()*(((0)/Inputs!$C$50)+Inputs!$C$47*0.173))+0.20*SIN(2*PI()*(((Model_Data!A236)+(0))/(0.5*(Inputs!$C$49+Inputs!$C$50))+Inputs!$C$47*0.097)))+0.30*(2*((SIN(((Model_Data!A236)*12.9898+(0)*78.233+Inputs!$C$47*37.719))*43758.5453)-INT((SIN(((Model_Data!A236)*12.9898+(0)*78.233+Inputs!$C$47*37.719))*43758.5453)))-1))))/1000)))*1000/Inputs!$C$12)-Model_Data!F236)</x:f>
        <x:v>101.08162529130732</x:v>
      </x:c>
      <x:c r="L236" s="49"/>
      <x:c r="M236" s="48" t="n">
        <x:f>Model_Data!A236</x:f>
        <x:v>57</x:v>
      </x:c>
      <x:c r="N236" s="48" t="n">
        <x:f>Model_Data!P236</x:f>
        <x:v>-423.6198501715072</x:v>
      </x:c>
      <x:c r="O236" s="48" t="n">
        <x:f>AC236</x:f>
        <x:v>-442.3648728294211</x:v>
      </x:c>
      <x:c r="P236" s="48" t="n">
        <x:f>Model_Data!Q236</x:f>
        <x:v>-63.60658410983592</x:v>
      </x:c>
      <x:c r="Q236" s="48" t="n">
        <x:f>AD236</x:f>
        <x:v>-66.42115207648966</x:v>
      </x:c>
      <x:c r="R236" s="49"/>
      <x:c r="S236" s="48" t="n">
        <x:f>Model_Data!A236</x:f>
        <x:v>57</x:v>
      </x:c>
      <x:c r="T236" s="48" t="n">
        <x:f>Model_Data!B236-Inputs!$C$5</x:f>
        <x:v>3.6100000000000136</x:v>
      </x:c>
      <x:c r="U236" s="49"/>
      <x:c r="V236" s="48" t="n">
        <x:f>Model_Data!A236</x:f>
        <x:v>57</x:v>
      </x:c>
      <x:c r="W236" s="48" t="n">
        <x:f>(-((((SQRT((Model_Data!A236)^2+Inputs!$C$6^2+((Model_Data!B236)-((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(0.45*SIN(2*PI()*(((Model_Data!A236)/Inputs!$C$49)+Inputs!$C$47*0.137))+0.35*COS(2*PI()*(((Inputs!$C$6)/Inputs!$C$50)+Inputs!$C$47*0.173))+0.20*SIN(2*PI()*(((Model_Data!A236)+(Inputs!$C$6))/(0.5*(Inputs!$C$49+Inputs!$C$50))+Inputs!$C$47*0.097)))+0.30*(2*((SIN(((Model_Data!A236)*12.9898+(Inputs!$C$6)*78.233+Inputs!$C$47*37.719))*43758.5453)-INT((SIN(((Model_Data!A236)*12.9898+(Inputs!$C$6)*78.233+Inputs!$C$47*37.719))*43758.5453)))-1))))/1000)^2))-(((Model_Data!B236)-((Inputs!$C$51*(115*EXP(-(((0)-25)^2)/(4.5^2))+70*EXP(-(((0)+38)^2)/(7^2))*(0.55+0.45*SIN(2*PI()*(Model_Data!A236)/45))+24*SIN(2*PI()*(0)/9+(Model_Data!A236)/18)*EXP(-(((0)+5)^2)/(22^2))+18*SIN(2*PI()*(Model_Data!A236)/70))+Inputs!$C$28*EXP(-(((Model_Data!A236)-Inputs!$C$29)^2)/(2*Inputs!$C$31^2))*EXP(-(((0)-Inputs!$C$30)^2)/(2*Inputs!$C$32^2))+-Inputs!$C$33*EXP(-(((((Model_Data!A236)-Inputs!$C$34)^2)+(((0)-Inputs!$C$35)^2))/(2*Inputs!$C$36^2)))+Inputs!$C$37*(0.55*SIN(2*PI()*(Model_Data!A236)/Inputs!$C$39)+0.35*COS(2*PI()*(0)/Inputs!$C$40)+0.2*SIN(2*PI()*((Model_Data!A236)+(0))/(0.5*(Inputs!$C$39+Inputs!$C$40))))+Inputs!$C$38*SIN(2*PI()*(Model_Data!A236)/Inputs!$C$39)*SIN(2*PI()*(0)/Inputs!$C$40)+-Inputs!$C$41*EXP(-(((0)-Inputs!$C$43)^2)/(2*Inputs!$C$44^2))*EXP(-(((Model_Data!A236)-Inputs!$C$42)^2)/(2*Inputs!$C$45^2))+Inputs!$C$48*(0.70*(0.45*SIN(2*PI()*(((Model_Data!A236)/Inputs!$C$49)+Inputs!$C$47*0.137))+0.35*COS(2*PI()*(((0)/Inputs!$C$50)+Inputs!$C$47*0.173))+0.20*SIN(2*PI()*(((Model_Data!A236)+(0))/(0.5*(Inputs!$C$49+Inputs!$C$50))+Inputs!$C$47*0.097)))+0.30*(2*((SIN(((Model_Data!A236)*12.9898+(0)*78.233+Inputs!$C$47*37.719))*43758.5453)-INT((SIN(((Model_Data!A236)*12.9898+(0)*78.233+Inputs!$C$47*37.719))*43758.5453)))-1))))/1000)))*1000/Inputs!$C$12)-Model_Data!F236))-(-(((SQRT((Model_Data!A236)^2+Inputs!$C$6^2+(Inputs!$C$5-((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(0.45*SIN(2*PI()*(((Model_Data!A236)/Inputs!$C$49)+Inputs!$C$47*0.137))+0.35*COS(2*PI()*(((Inputs!$C$6)/Inputs!$C$50)+Inputs!$C$47*0.173))+0.20*SIN(2*PI()*(((Model_Data!A236)+(Inputs!$C$6))/(0.5*(Inputs!$C$49+Inputs!$C$50))+Inputs!$C$47*0.097)))+0.30*(2*((SIN(((Model_Data!A236)*12.9898+(Inputs!$C$6)*78.233+Inputs!$C$47*37.719))*43758.5453)-INT((SIN(((Model_Data!A236)*12.9898+(Inputs!$C$6)*78.233+Inputs!$C$47*37.719))*43758.5453)))-1))))/1000)^2)-(Inputs!$C$5-((Inputs!$C$51*(115*EXP(-(((0)-25)^2)/(4.5^2))+70*EXP(-(((0)+38)^2)/(7^2))*(0.55+0.45*SIN(2*PI()*(Model_Data!A236)/45))+24*SIN(2*PI()*(0)/9+(Model_Data!A236)/18)*EXP(-(((0)+5)^2)/(22^2))+18*SIN(2*PI()*(Model_Data!A236)/70))+Inputs!$C$28*EXP(-(((Model_Data!A236)-Inputs!$C$29)^2)/(2*Inputs!$C$31^2))*EXP(-(((0)-Inputs!$C$30)^2)/(2*Inputs!$C$32^2))+-Inputs!$C$33*EXP(-(((((Model_Data!A236)-Inputs!$C$34)^2)+(((0)-Inputs!$C$35)^2))/(2*Inputs!$C$36^2)))+Inputs!$C$37*(0.55*SIN(2*PI()*(Model_Data!A236)/Inputs!$C$39)+0.35*COS(2*PI()*(0)/Inputs!$C$40)+0.2*SIN(2*PI()*((Model_Data!A236)+(0))/(0.5*(Inputs!$C$39+Inputs!$C$40))))+Inputs!$C$38*SIN(2*PI()*(Model_Data!A236)/Inputs!$C$39)*SIN(2*PI()*(0)/Inputs!$C$40)+-Inputs!$C$41*EXP(-(((0)-Inputs!$C$43)^2)/(2*Inputs!$C$44^2))*EXP(-(((Model_Data!A236)-Inputs!$C$42)^2)/(2*Inputs!$C$45^2))+Inputs!$C$48*(0.70*(0.45*SIN(2*PI()*(((Model_Data!A236)/Inputs!$C$49)+Inputs!$C$47*0.137))+0.35*COS(2*PI()*(((0)/Inputs!$C$50)+Inputs!$C$47*0.173))+0.20*SIN(2*PI()*(((Model_Data!A236)+(0))/(0.5*(Inputs!$C$49+Inputs!$C$50))+Inputs!$C$47*0.097)))+0.30*(2*((SIN(((Model_Data!A236)*12.9898+(0)*78.233+Inputs!$C$47*37.719))*43758.5453)-INT((SIN(((Model_Data!A236)*12.9898+(0)*78.233+Inputs!$C$47*37.719))*43758.5453)))-1))))/1000))*1000/Inputs!$C$12)-((SQRT((Model_Data!A236)^2+Inputs!$C$6^2+Inputs!$C$5^2)-Inputs!$C$5)*1000/Inputs!$C$12)))</x:f>
        <x:v>0.023474813407574402</x:v>
      </x:c>
      <x:c r="X236" s="48" t="n">
        <x:f>0</x:f>
        <x:v>0</x:v>
      </x:c>
      <x:c r="Y236" s="49"/>
      <x:c r="Z236" s="48" t="n">
        <x:f>Model_Data!A236</x:f>
        <x:v>57</x:v>
      </x:c>
      <x:c r="AA236" s="48" t="n">
        <x:f>SQRT((Model_Data!A236)^2+Inputs!$C$6^2+((Model_Data!B236)-((Inputs!$C$51*(115*EXP(-(((Inputs!$C$6)-25)^2)/(4.5^2))+70*EXP(-(((Inputs!$C$6)+38)^2)/(7^2))*(0.55+0.45*SIN(2*PI()*(Model_Data!A236)/45))+24*SIN(2*PI()*(Inputs!$C$6)/9+(Model_Data!A236)/18)*EXP(-(((Inputs!$C$6)+5)^2)/(22^2))+18*SIN(2*PI()*(Model_Data!A236)/70))+Inputs!$C$28*EXP(-(((Model_Data!A236)-Inputs!$C$29)^2)/(2*Inputs!$C$31^2))*EXP(-(((Inputs!$C$6)-Inputs!$C$30)^2)/(2*Inputs!$C$32^2))+-Inputs!$C$33*EXP(-(((((Model_Data!A236)-Inputs!$C$34)^2)+(((Inputs!$C$6)-Inputs!$C$35)^2))/(2*Inputs!$C$36^2)))+Inputs!$C$37*(0.55*SIN(2*PI()*(Model_Data!A236)/Inputs!$C$39)+0.35*COS(2*PI()*(Inputs!$C$6)/Inputs!$C$40)+0.2*SIN(2*PI()*((Model_Data!A236)+(Inputs!$C$6))/(0.5*(Inputs!$C$39+Inputs!$C$40))))+Inputs!$C$38*SIN(2*PI()*(Model_Data!A236)/Inputs!$C$39)*SIN(2*PI()*(Inputs!$C$6)/Inputs!$C$40)+-Inputs!$C$41*EXP(-(((Inputs!$C$6)-Inputs!$C$43)^2)/(2*Inputs!$C$44^2))*EXP(-(((Model_Data!A236)-Inputs!$C$42)^2)/(2*Inputs!$C$45^2))+Inputs!$C$48*(0.70*(0.45*SIN(2*PI()*(((Model_Data!A236)/Inputs!$C$49)+Inputs!$C$47*0.137))+0.35*COS(2*PI()*(((Inputs!$C$6)/Inputs!$C$50)+Inputs!$C$47*0.173))+0.20*SIN(2*PI()*(((Model_Data!A236)+(Inputs!$C$6))/(0.5*(Inputs!$C$49+Inputs!$C$50))+Inputs!$C$47*0.097)))+0.30*(2*((SIN(((Model_Data!A236)*12.9898+(Inputs!$C$6)*78.233+Inputs!$C$47*37.719))*43758.5453)-INT((SIN(((Model_Data!A236)*12.9898+(Inputs!$C$6)*78.233+Inputs!$C$47*37.719))*43758.5453)))-1))))/1000)^2)</x:f>
        <x:v>408.1826500424198</x:v>
      </x:c>
      <x:c r="AB236" s="48" t="n">
        <x:f>1000*(AA237-AA235)/(Z237-Z235)*Inputs!$C$11</x:f>
        <x:v>1105.9121820735527</x:v>
      </x:c>
      <x:c r="AC236" s="48" t="n">
        <x:f>-2*AB236/Inputs!$C$13</x:f>
        <x:v>-442.3648728294211</x:v>
      </x:c>
      <x:c r="AD236" s="48" t="n">
        <x:f>-2*AB236/Inputs!$C$14</x:f>
        <x:v>-66.42115207648966</x:v>
      </x:c>
    </x:row>
    <x:row r="237">
      <x:c r="A237" s="48" t="n">
        <x:f>Model_Data!A237</x:f>
        <x:v>57.5</x:v>
      </x:c>
      <x:c r="B237" s="48" t="n">
        <x:f>Model_Data!F237</x:f>
        <x:v>2719.282546139775</x:v>
      </x:c>
      <x:c r="C237" s="48" t="n">
        <x:f>(((SQRT((Model_Data!A237)^2+Inputs!$C$6^2+((Model_Data!B237)-((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(0.45*SIN(2*PI()*(((Model_Data!A237)/Inputs!$C$49)+Inputs!$C$47*0.137))+0.35*COS(2*PI()*(((Inputs!$C$6)/Inputs!$C$50)+Inputs!$C$47*0.173))+0.20*SIN(2*PI()*(((Model_Data!A237)+(Inputs!$C$6))/(0.5*(Inputs!$C$49+Inputs!$C$50))+Inputs!$C$47*0.097)))+0.30*(2*((SIN(((Model_Data!A237)*12.9898+(Inputs!$C$6)*78.233+Inputs!$C$47*37.719))*43758.5453)-INT((SIN(((Model_Data!A237)*12.9898+(Inputs!$C$6)*78.233+Inputs!$C$47*37.719))*43758.5453)))-1))))/1000)^2))-(((Model_Data!B237)-((Inputs!$C$51*(115*EXP(-(((0)-25)^2)/(4.5^2))+70*EXP(-(((0)+38)^2)/(7^2))*(0.55+0.45*SIN(2*PI()*(Model_Data!A237)/45))+24*SIN(2*PI()*(0)/9+(Model_Data!A237)/18)*EXP(-(((0)+5)^2)/(22^2))+18*SIN(2*PI()*(Model_Data!A237)/70))+Inputs!$C$28*EXP(-(((Model_Data!A237)-Inputs!$C$29)^2)/(2*Inputs!$C$31^2))*EXP(-(((0)-Inputs!$C$30)^2)/(2*Inputs!$C$32^2))+-Inputs!$C$33*EXP(-(((((Model_Data!A237)-Inputs!$C$34)^2)+(((0)-Inputs!$C$35)^2))/(2*Inputs!$C$36^2)))+Inputs!$C$37*(0.55*SIN(2*PI()*(Model_Data!A237)/Inputs!$C$39)+0.35*COS(2*PI()*(0)/Inputs!$C$40)+0.2*SIN(2*PI()*((Model_Data!A237)+(0))/(0.5*(Inputs!$C$39+Inputs!$C$40))))+Inputs!$C$38*SIN(2*PI()*(Model_Data!A237)/Inputs!$C$39)*SIN(2*PI()*(0)/Inputs!$C$40)+-Inputs!$C$41*EXP(-(((0)-Inputs!$C$43)^2)/(2*Inputs!$C$44^2))*EXP(-(((Model_Data!A237)-Inputs!$C$42)^2)/(2*Inputs!$C$45^2))+Inputs!$C$48*(0.70*(0.45*SIN(2*PI()*(((Model_Data!A237)/Inputs!$C$49)+Inputs!$C$47*0.137))+0.35*COS(2*PI()*(((0)/Inputs!$C$50)+Inputs!$C$47*0.173))+0.20*SIN(2*PI()*(((Model_Data!A237)+(0))/(0.5*(Inputs!$C$49+Inputs!$C$50))+Inputs!$C$47*0.097)))+0.30*(2*((SIN(((Model_Data!A237)*12.9898+(0)*78.233+Inputs!$C$47*37.719))*43758.5453)-INT((SIN(((Model_Data!A237)*12.9898+(0)*78.233+Inputs!$C$47*37.719))*43758.5453)))-1))))/1000)))*1000/Inputs!$C$12)</x:f>
        <x:v>2634.9029526998906</x:v>
      </x:c>
      <x:c r="D237" s="49"/>
      <x:c r="E237" s="48" t="n">
        <x:f>Model_Data!A237</x:f>
        <x:v>57.5</x:v>
      </x:c>
      <x:c r="F237" s="48" t="n">
        <x:f>(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(0.45*SIN(2*PI()*(((Model_Data!A237)/Inputs!$C$49)+Inputs!$C$47*0.137))+0.35*COS(2*PI()*(((Inputs!$C$6)/Inputs!$C$50)+Inputs!$C$47*0.173))+0.20*SIN(2*PI()*(((Model_Data!A237)+(Inputs!$C$6))/(0.5*(Inputs!$C$49+Inputs!$C$50))+Inputs!$C$47*0.097)))+0.30*(2*((SIN(((Model_Data!A237)*12.9898+(Inputs!$C$6)*78.233+Inputs!$C$47*37.719))*43758.5453)-INT((SIN(((Model_Data!A237)*12.9898+(Inputs!$C$6)*78.233+Inputs!$C$47*37.719))*43758.5453)))-1)))</x:f>
        <x:v>178.2777126906697</x:v>
      </x:c>
      <x:c r="G237" s="48" t="n">
        <x:f>(Inputs!$C$51*(115*EXP(-(((0)-25)^2)/(4.5^2))+70*EXP(-(((0)+38)^2)/(7^2))*(0.55+0.45*SIN(2*PI()*(Model_Data!A237)/45))+24*SIN(2*PI()*(0)/9+(Model_Data!A237)/18)*EXP(-(((0)+5)^2)/(22^2))+18*SIN(2*PI()*(Model_Data!A237)/70))+Inputs!$C$28*EXP(-(((Model_Data!A237)-Inputs!$C$29)^2)/(2*Inputs!$C$31^2))*EXP(-(((0)-Inputs!$C$30)^2)/(2*Inputs!$C$32^2))+-Inputs!$C$33*EXP(-(((((Model_Data!A237)-Inputs!$C$34)^2)+(((0)-Inputs!$C$35)^2))/(2*Inputs!$C$36^2)))+Inputs!$C$37*(0.55*SIN(2*PI()*(Model_Data!A237)/Inputs!$C$39)+0.35*COS(2*PI()*(0)/Inputs!$C$40)+0.2*SIN(2*PI()*((Model_Data!A237)+(0))/(0.5*(Inputs!$C$39+Inputs!$C$40))))+Inputs!$C$38*SIN(2*PI()*(Model_Data!A237)/Inputs!$C$39)*SIN(2*PI()*(0)/Inputs!$C$40)+-Inputs!$C$41*EXP(-(((0)-Inputs!$C$43)^2)/(2*Inputs!$C$44^2))*EXP(-(((Model_Data!A237)-Inputs!$C$42)^2)/(2*Inputs!$C$45^2))+Inputs!$C$48*(0.70*(0.45*SIN(2*PI()*(((Model_Data!A237)/Inputs!$C$49)+Inputs!$C$47*0.137))+0.35*COS(2*PI()*(((0)/Inputs!$C$50)+Inputs!$C$47*0.173))+0.20*SIN(2*PI()*(((Model_Data!A237)+(0))/(0.5*(Inputs!$C$49+Inputs!$C$50))+Inputs!$C$47*0.097)))+0.30*(2*((SIN(((Model_Data!A237)*12.9898+(0)*78.233+Inputs!$C$47*37.719))*43758.5453)-INT((SIN(((Model_Data!A237)*12.9898+(0)*78.233+Inputs!$C$47*37.719))*43758.5453)))-1)))</x:f>
        <x:v>25.968776223167485</x:v>
      </x:c>
      <x:c r="H237" s="49"/>
      <x:c r="I237" s="48" t="n">
        <x:f>Model_Data!A237</x:f>
        <x:v>57.5</x:v>
      </x:c>
      <x:c r="J237" s="48" t="n">
        <x:f>((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(0.45*SIN(2*PI()*(((Model_Data!A237)/Inputs!$C$49)+Inputs!$C$47*0.137))+0.35*COS(2*PI()*(((Inputs!$C$6)/Inputs!$C$50)+Inputs!$C$47*0.173))+0.20*SIN(2*PI()*(((Model_Data!A237)+(Inputs!$C$6))/(0.5*(Inputs!$C$49+Inputs!$C$50))+Inputs!$C$47*0.097)))+0.30*(2*((SIN(((Model_Data!A237)*12.9898+(Inputs!$C$6)*78.233+Inputs!$C$47*37.719))*43758.5453)-INT((SIN(((Model_Data!A237)*12.9898+(Inputs!$C$6)*78.233+Inputs!$C$47*37.719))*43758.5453)))-1))))-((Inputs!$C$51*(115*EXP(-(((0)-25)^2)/(4.5^2))+70*EXP(-(((0)+38)^2)/(7^2))*(0.55+0.45*SIN(2*PI()*(Model_Data!A237)/45))+24*SIN(2*PI()*(0)/9+(Model_Data!A237)/18)*EXP(-(((0)+5)^2)/(22^2))+18*SIN(2*PI()*(Model_Data!A237)/70))+Inputs!$C$28*EXP(-(((Model_Data!A237)-Inputs!$C$29)^2)/(2*Inputs!$C$31^2))*EXP(-(((0)-Inputs!$C$30)^2)/(2*Inputs!$C$32^2))+-Inputs!$C$33*EXP(-(((((Model_Data!A237)-Inputs!$C$34)^2)+(((0)-Inputs!$C$35)^2))/(2*Inputs!$C$36^2)))+Inputs!$C$37*(0.55*SIN(2*PI()*(Model_Data!A237)/Inputs!$C$39)+0.35*COS(2*PI()*(0)/Inputs!$C$40)+0.2*SIN(2*PI()*((Model_Data!A237)+(0))/(0.5*(Inputs!$C$39+Inputs!$C$40))))+Inputs!$C$38*SIN(2*PI()*(Model_Data!A237)/Inputs!$C$39)*SIN(2*PI()*(0)/Inputs!$C$40)+-Inputs!$C$41*EXP(-(((0)-Inputs!$C$43)^2)/(2*Inputs!$C$44^2))*EXP(-(((Model_Data!A237)-Inputs!$C$42)^2)/(2*Inputs!$C$45^2))+Inputs!$C$48*(0.70*(0.45*SIN(2*PI()*(((Model_Data!A237)/Inputs!$C$49)+Inputs!$C$47*0.137))+0.35*COS(2*PI()*(((0)/Inputs!$C$50)+Inputs!$C$47*0.173))+0.20*SIN(2*PI()*(((Model_Data!A237)+(0))/(0.5*(Inputs!$C$49+Inputs!$C$50))+Inputs!$C$47*0.097)))+0.30*(2*((SIN(((Model_Data!A237)*12.9898+(0)*78.233+Inputs!$C$47*37.719))*43758.5453)-INT((SIN(((Model_Data!A237)*12.9898+(0)*78.233+Inputs!$C$47*37.719))*43758.5453)))-1))))</x:f>
        <x:v>152.3089364675022</x:v>
      </x:c>
      <x:c r="K237" s="48" t="n">
        <x:f>-((((SQRT((Model_Data!A237)^2+Inputs!$C$6^2+((Model_Data!B237)-((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(0.45*SIN(2*PI()*(((Model_Data!A237)/Inputs!$C$49)+Inputs!$C$47*0.137))+0.35*COS(2*PI()*(((Inputs!$C$6)/Inputs!$C$50)+Inputs!$C$47*0.173))+0.20*SIN(2*PI()*(((Model_Data!A237)+(Inputs!$C$6))/(0.5*(Inputs!$C$49+Inputs!$C$50))+Inputs!$C$47*0.097)))+0.30*(2*((SIN(((Model_Data!A237)*12.9898+(Inputs!$C$6)*78.233+Inputs!$C$47*37.719))*43758.5453)-INT((SIN(((Model_Data!A237)*12.9898+(Inputs!$C$6)*78.233+Inputs!$C$47*37.719))*43758.5453)))-1))))/1000)^2))-(((Model_Data!B237)-((Inputs!$C$51*(115*EXP(-(((0)-25)^2)/(4.5^2))+70*EXP(-(((0)+38)^2)/(7^2))*(0.55+0.45*SIN(2*PI()*(Model_Data!A237)/45))+24*SIN(2*PI()*(0)/9+(Model_Data!A237)/18)*EXP(-(((0)+5)^2)/(22^2))+18*SIN(2*PI()*(Model_Data!A237)/70))+Inputs!$C$28*EXP(-(((Model_Data!A237)-Inputs!$C$29)^2)/(2*Inputs!$C$31^2))*EXP(-(((0)-Inputs!$C$30)^2)/(2*Inputs!$C$32^2))+-Inputs!$C$33*EXP(-(((((Model_Data!A237)-Inputs!$C$34)^2)+(((0)-Inputs!$C$35)^2))/(2*Inputs!$C$36^2)))+Inputs!$C$37*(0.55*SIN(2*PI()*(Model_Data!A237)/Inputs!$C$39)+0.35*COS(2*PI()*(0)/Inputs!$C$40)+0.2*SIN(2*PI()*((Model_Data!A237)+(0))/(0.5*(Inputs!$C$39+Inputs!$C$40))))+Inputs!$C$38*SIN(2*PI()*(Model_Data!A237)/Inputs!$C$39)*SIN(2*PI()*(0)/Inputs!$C$40)+-Inputs!$C$41*EXP(-(((0)-Inputs!$C$43)^2)/(2*Inputs!$C$44^2))*EXP(-(((Model_Data!A237)-Inputs!$C$42)^2)/(2*Inputs!$C$45^2))+Inputs!$C$48*(0.70*(0.45*SIN(2*PI()*(((Model_Data!A237)/Inputs!$C$49)+Inputs!$C$47*0.137))+0.35*COS(2*PI()*(((0)/Inputs!$C$50)+Inputs!$C$47*0.173))+0.20*SIN(2*PI()*(((Model_Data!A237)+(0))/(0.5*(Inputs!$C$49+Inputs!$C$50))+Inputs!$C$47*0.097)))+0.30*(2*((SIN(((Model_Data!A237)*12.9898+(0)*78.233+Inputs!$C$47*37.719))*43758.5453)-INT((SIN(((Model_Data!A237)*12.9898+(0)*78.233+Inputs!$C$47*37.719))*43758.5453)))-1))))/1000)))*1000/Inputs!$C$12)-Model_Data!F237)</x:f>
        <x:v>84.3795934398845</x:v>
      </x:c>
      <x:c r="L237" s="49"/>
      <x:c r="M237" s="48" t="n">
        <x:f>Model_Data!A237</x:f>
        <x:v>57.5</x:v>
      </x:c>
      <x:c r="N237" s="48" t="n">
        <x:f>Model_Data!P237</x:f>
        <x:v>-427.2285780636811</x:v>
      </x:c>
      <x:c r="O237" s="48" t="n">
        <x:f>AC237</x:f>
        <x:v>-437.0674772008897</x:v>
      </x:c>
      <x:c r="P237" s="48" t="n">
        <x:f>Model_Data!Q237</x:f>
        <x:v>-64.14843514469686</x:v>
      </x:c>
      <x:c r="Q237" s="48" t="n">
        <x:f>AD237</x:f>
        <x:v>-65.62574732746093</x:v>
      </x:c>
      <x:c r="R237" s="49"/>
      <x:c r="S237" s="48" t="n">
        <x:f>Model_Data!A237</x:f>
        <x:v>57.5</x:v>
      </x:c>
      <x:c r="T237" s="48" t="n">
        <x:f>Model_Data!B237-Inputs!$C$5</x:f>
        <x:v>3.673611111111086</x:v>
      </x:c>
      <x:c r="U237" s="49"/>
      <x:c r="V237" s="48" t="n">
        <x:f>Model_Data!A237</x:f>
        <x:v>57.5</x:v>
      </x:c>
      <x:c r="W237" s="48" t="n">
        <x:f>(-((((SQRT((Model_Data!A237)^2+Inputs!$C$6^2+((Model_Data!B237)-((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(0.45*SIN(2*PI()*(((Model_Data!A237)/Inputs!$C$49)+Inputs!$C$47*0.137))+0.35*COS(2*PI()*(((Inputs!$C$6)/Inputs!$C$50)+Inputs!$C$47*0.173))+0.20*SIN(2*PI()*(((Model_Data!A237)+(Inputs!$C$6))/(0.5*(Inputs!$C$49+Inputs!$C$50))+Inputs!$C$47*0.097)))+0.30*(2*((SIN(((Model_Data!A237)*12.9898+(Inputs!$C$6)*78.233+Inputs!$C$47*37.719))*43758.5453)-INT((SIN(((Model_Data!A237)*12.9898+(Inputs!$C$6)*78.233+Inputs!$C$47*37.719))*43758.5453)))-1))))/1000)^2))-(((Model_Data!B237)-((Inputs!$C$51*(115*EXP(-(((0)-25)^2)/(4.5^2))+70*EXP(-(((0)+38)^2)/(7^2))*(0.55+0.45*SIN(2*PI()*(Model_Data!A237)/45))+24*SIN(2*PI()*(0)/9+(Model_Data!A237)/18)*EXP(-(((0)+5)^2)/(22^2))+18*SIN(2*PI()*(Model_Data!A237)/70))+Inputs!$C$28*EXP(-(((Model_Data!A237)-Inputs!$C$29)^2)/(2*Inputs!$C$31^2))*EXP(-(((0)-Inputs!$C$30)^2)/(2*Inputs!$C$32^2))+-Inputs!$C$33*EXP(-(((((Model_Data!A237)-Inputs!$C$34)^2)+(((0)-Inputs!$C$35)^2))/(2*Inputs!$C$36^2)))+Inputs!$C$37*(0.55*SIN(2*PI()*(Model_Data!A237)/Inputs!$C$39)+0.35*COS(2*PI()*(0)/Inputs!$C$40)+0.2*SIN(2*PI()*((Model_Data!A237)+(0))/(0.5*(Inputs!$C$39+Inputs!$C$40))))+Inputs!$C$38*SIN(2*PI()*(Model_Data!A237)/Inputs!$C$39)*SIN(2*PI()*(0)/Inputs!$C$40)+-Inputs!$C$41*EXP(-(((0)-Inputs!$C$43)^2)/(2*Inputs!$C$44^2))*EXP(-(((Model_Data!A237)-Inputs!$C$42)^2)/(2*Inputs!$C$45^2))+Inputs!$C$48*(0.70*(0.45*SIN(2*PI()*(((Model_Data!A237)/Inputs!$C$49)+Inputs!$C$47*0.137))+0.35*COS(2*PI()*(((0)/Inputs!$C$50)+Inputs!$C$47*0.173))+0.20*SIN(2*PI()*(((Model_Data!A237)+(0))/(0.5*(Inputs!$C$49+Inputs!$C$50))+Inputs!$C$47*0.097)))+0.30*(2*((SIN(((Model_Data!A237)*12.9898+(0)*78.233+Inputs!$C$47*37.719))*43758.5453)-INT((SIN(((Model_Data!A237)*12.9898+(0)*78.233+Inputs!$C$47*37.719))*43758.5453)))-1))))/1000)))*1000/Inputs!$C$12)-Model_Data!F237))-(-(((SQRT((Model_Data!A237)^2+Inputs!$C$6^2+(Inputs!$C$5-((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(0.45*SIN(2*PI()*(((Model_Data!A237)/Inputs!$C$49)+Inputs!$C$47*0.137))+0.35*COS(2*PI()*(((Inputs!$C$6)/Inputs!$C$50)+Inputs!$C$47*0.173))+0.20*SIN(2*PI()*(((Model_Data!A237)+(Inputs!$C$6))/(0.5*(Inputs!$C$49+Inputs!$C$50))+Inputs!$C$47*0.097)))+0.30*(2*((SIN(((Model_Data!A237)*12.9898+(Inputs!$C$6)*78.233+Inputs!$C$47*37.719))*43758.5453)-INT((SIN(((Model_Data!A237)*12.9898+(Inputs!$C$6)*78.233+Inputs!$C$47*37.719))*43758.5453)))-1))))/1000)^2)-(Inputs!$C$5-((Inputs!$C$51*(115*EXP(-(((0)-25)^2)/(4.5^2))+70*EXP(-(((0)+38)^2)/(7^2))*(0.55+0.45*SIN(2*PI()*(Model_Data!A237)/45))+24*SIN(2*PI()*(0)/9+(Model_Data!A237)/18)*EXP(-(((0)+5)^2)/(22^2))+18*SIN(2*PI()*(Model_Data!A237)/70))+Inputs!$C$28*EXP(-(((Model_Data!A237)-Inputs!$C$29)^2)/(2*Inputs!$C$31^2))*EXP(-(((0)-Inputs!$C$30)^2)/(2*Inputs!$C$32^2))+-Inputs!$C$33*EXP(-(((((Model_Data!A237)-Inputs!$C$34)^2)+(((0)-Inputs!$C$35)^2))/(2*Inputs!$C$36^2)))+Inputs!$C$37*(0.55*SIN(2*PI()*(Model_Data!A237)/Inputs!$C$39)+0.35*COS(2*PI()*(0)/Inputs!$C$40)+0.2*SIN(2*PI()*((Model_Data!A237)+(0))/(0.5*(Inputs!$C$39+Inputs!$C$40))))+Inputs!$C$38*SIN(2*PI()*(Model_Data!A237)/Inputs!$C$39)*SIN(2*PI()*(0)/Inputs!$C$40)+-Inputs!$C$41*EXP(-(((0)-Inputs!$C$43)^2)/(2*Inputs!$C$44^2))*EXP(-(((Model_Data!A237)-Inputs!$C$42)^2)/(2*Inputs!$C$45^2))+Inputs!$C$48*(0.70*(0.45*SIN(2*PI()*(((Model_Data!A237)/Inputs!$C$49)+Inputs!$C$47*0.137))+0.35*COS(2*PI()*(((0)/Inputs!$C$50)+Inputs!$C$47*0.173))+0.20*SIN(2*PI()*(((Model_Data!A237)+(0))/(0.5*(Inputs!$C$49+Inputs!$C$50))+Inputs!$C$47*0.097)))+0.30*(2*((SIN(((Model_Data!A237)*12.9898+(0)*78.233+Inputs!$C$47*37.719))*43758.5453)-INT((SIN(((Model_Data!A237)*12.9898+(0)*78.233+Inputs!$C$47*37.719))*43758.5453)))-1))))/1000))*1000/Inputs!$C$12)-((SQRT((Model_Data!A237)^2+Inputs!$C$6^2+Inputs!$C$5^2)-Inputs!$C$5)*1000/Inputs!$C$12)))</x:f>
        <x:v>0.021516965751288808</x:v>
      </x:c>
      <x:c r="X237" s="48" t="n">
        <x:f>0</x:f>
        <x:v>0</x:v>
      </x:c>
      <x:c r="Y237" s="49"/>
      <x:c r="Z237" s="48" t="n">
        <x:f>Model_Data!A237</x:f>
        <x:v>57.5</x:v>
      </x:c>
      <x:c r="AA237" s="48" t="n">
        <x:f>SQRT((Model_Data!A237)^2+Inputs!$C$6^2+((Model_Data!B237)-((Inputs!$C$51*(115*EXP(-(((Inputs!$C$6)-25)^2)/(4.5^2))+70*EXP(-(((Inputs!$C$6)+38)^2)/(7^2))*(0.55+0.45*SIN(2*PI()*(Model_Data!A237)/45))+24*SIN(2*PI()*(Inputs!$C$6)/9+(Model_Data!A237)/18)*EXP(-(((Inputs!$C$6)+5)^2)/(22^2))+18*SIN(2*PI()*(Model_Data!A237)/70))+Inputs!$C$28*EXP(-(((Model_Data!A237)-Inputs!$C$29)^2)/(2*Inputs!$C$31^2))*EXP(-(((Inputs!$C$6)-Inputs!$C$30)^2)/(2*Inputs!$C$32^2))+-Inputs!$C$33*EXP(-(((((Model_Data!A237)-Inputs!$C$34)^2)+(((Inputs!$C$6)-Inputs!$C$35)^2))/(2*Inputs!$C$36^2)))+Inputs!$C$37*(0.55*SIN(2*PI()*(Model_Data!A237)/Inputs!$C$39)+0.35*COS(2*PI()*(Inputs!$C$6)/Inputs!$C$40)+0.2*SIN(2*PI()*((Model_Data!A237)+(Inputs!$C$6))/(0.5*(Inputs!$C$39+Inputs!$C$40))))+Inputs!$C$38*SIN(2*PI()*(Model_Data!A237)/Inputs!$C$39)*SIN(2*PI()*(Inputs!$C$6)/Inputs!$C$40)+-Inputs!$C$41*EXP(-(((Inputs!$C$6)-Inputs!$C$43)^2)/(2*Inputs!$C$44^2))*EXP(-(((Model_Data!A237)-Inputs!$C$42)^2)/(2*Inputs!$C$45^2))+Inputs!$C$48*(0.70*(0.45*SIN(2*PI()*(((Model_Data!A237)/Inputs!$C$49)+Inputs!$C$47*0.137))+0.35*COS(2*PI()*(((Inputs!$C$6)/Inputs!$C$50)+Inputs!$C$47*0.173))+0.20*SIN(2*PI()*(((Model_Data!A237)+(Inputs!$C$6))/(0.5*(Inputs!$C$49+Inputs!$C$50))+Inputs!$C$47*0.097)))+0.30*(2*((SIN(((Model_Data!A237)*12.9898+(Inputs!$C$6)*78.233+Inputs!$C$47*37.719))*43758.5453)-INT((SIN(((Model_Data!A237)*12.9898+(Inputs!$C$6)*78.233+Inputs!$C$47*37.719))*43758.5453)))-1))))/1000)^2)</x:f>
        <x:v>408.3377695906937</x:v>
      </x:c>
      <x:c r="AB237" s="48" t="n">
        <x:f>1000*(AA238-AA236)/(Z238-Z236)*Inputs!$C$11</x:f>
        <x:v>1092.6686930022242</x:v>
      </x:c>
      <x:c r="AC237" s="48" t="n">
        <x:f>-2*AB237/Inputs!$C$13</x:f>
        <x:v>-437.0674772008897</x:v>
      </x:c>
      <x:c r="AD237" s="48" t="n">
        <x:f>-2*AB237/Inputs!$C$14</x:f>
        <x:v>-65.62574732746093</x:v>
      </x:c>
    </x:row>
    <x:row r="238">
      <x:c r="A238" s="48" t="n">
        <x:f>Model_Data!A238</x:f>
        <x:v>58</x:v>
      </x:c>
      <x:c r="B238" s="48" t="n">
        <x:f>Model_Data!F238</x:f>
        <x:v>2758.555454027449</x:v>
      </x:c>
      <x:c r="C238" s="48" t="n">
        <x:f>(((SQRT((Model_Data!A238)^2+Inputs!$C$6^2+((Model_Data!B238)-((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(0.45*SIN(2*PI()*(((Model_Data!A238)/Inputs!$C$49)+Inputs!$C$47*0.137))+0.35*COS(2*PI()*(((Inputs!$C$6)/Inputs!$C$50)+Inputs!$C$47*0.173))+0.20*SIN(2*PI()*(((Model_Data!A238)+(Inputs!$C$6))/(0.5*(Inputs!$C$49+Inputs!$C$50))+Inputs!$C$47*0.097)))+0.30*(2*((SIN(((Model_Data!A238)*12.9898+(Inputs!$C$6)*78.233+Inputs!$C$47*37.719))*43758.5453)-INT((SIN(((Model_Data!A238)*12.9898+(Inputs!$C$6)*78.233+Inputs!$C$47*37.719))*43758.5453)))-1))))/1000)^2))-(((Model_Data!B238)-((Inputs!$C$51*(115*EXP(-(((0)-25)^2)/(4.5^2))+70*EXP(-(((0)+38)^2)/(7^2))*(0.55+0.45*SIN(2*PI()*(Model_Data!A238)/45))+24*SIN(2*PI()*(0)/9+(Model_Data!A238)/18)*EXP(-(((0)+5)^2)/(22^2))+18*SIN(2*PI()*(Model_Data!A238)/70))+Inputs!$C$28*EXP(-(((Model_Data!A238)-Inputs!$C$29)^2)/(2*Inputs!$C$31^2))*EXP(-(((0)-Inputs!$C$30)^2)/(2*Inputs!$C$32^2))+-Inputs!$C$33*EXP(-(((((Model_Data!A238)-Inputs!$C$34)^2)+(((0)-Inputs!$C$35)^2))/(2*Inputs!$C$36^2)))+Inputs!$C$37*(0.55*SIN(2*PI()*(Model_Data!A238)/Inputs!$C$39)+0.35*COS(2*PI()*(0)/Inputs!$C$40)+0.2*SIN(2*PI()*((Model_Data!A238)+(0))/(0.5*(Inputs!$C$39+Inputs!$C$40))))+Inputs!$C$38*SIN(2*PI()*(Model_Data!A238)/Inputs!$C$39)*SIN(2*PI()*(0)/Inputs!$C$40)+-Inputs!$C$41*EXP(-(((0)-Inputs!$C$43)^2)/(2*Inputs!$C$44^2))*EXP(-(((Model_Data!A238)-Inputs!$C$42)^2)/(2*Inputs!$C$45^2))+Inputs!$C$48*(0.70*(0.45*SIN(2*PI()*(((Model_Data!A238)/Inputs!$C$49)+Inputs!$C$47*0.137))+0.35*COS(2*PI()*(((0)/Inputs!$C$50)+Inputs!$C$47*0.173))+0.20*SIN(2*PI()*(((Model_Data!A238)+(0))/(0.5*(Inputs!$C$49+Inputs!$C$50))+Inputs!$C$47*0.097)))+0.30*(2*((SIN(((Model_Data!A238)*12.9898+(0)*78.233+Inputs!$C$47*37.719))*43758.5453)-INT((SIN(((Model_Data!A238)*12.9898+(0)*78.233+Inputs!$C$47*37.719))*43758.5453)))-1))))/1000)))*1000/Inputs!$C$12)</x:f>
        <x:v>2667.477314610051</x:v>
      </x:c>
      <x:c r="D238" s="49"/>
      <x:c r="E238" s="48" t="n">
        <x:f>Model_Data!A238</x:f>
        <x:v>58</x:v>
      </x:c>
      <x:c r="F238" s="48" t="n">
        <x:f>(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(0.45*SIN(2*PI()*(((Model_Data!A238)/Inputs!$C$49)+Inputs!$C$47*0.137))+0.35*COS(2*PI()*(((Inputs!$C$6)/Inputs!$C$50)+Inputs!$C$47*0.173))+0.20*SIN(2*PI()*(((Model_Data!A238)+(Inputs!$C$6))/(0.5*(Inputs!$C$49+Inputs!$C$50))+Inputs!$C$47*0.097)))+0.30*(2*((SIN(((Model_Data!A238)*12.9898+(Inputs!$C$6)*78.233+Inputs!$C$47*37.719))*43758.5453)-INT((SIN(((Model_Data!A238)*12.9898+(Inputs!$C$6)*78.233+Inputs!$C$47*37.719))*43758.5453)))-1)))</x:f>
        <x:v>194.52778179385766</x:v>
      </x:c>
      <x:c r="G238" s="48" t="n">
        <x:f>(Inputs!$C$51*(115*EXP(-(((0)-25)^2)/(4.5^2))+70*EXP(-(((0)+38)^2)/(7^2))*(0.55+0.45*SIN(2*PI()*(Model_Data!A238)/45))+24*SIN(2*PI()*(0)/9+(Model_Data!A238)/18)*EXP(-(((0)+5)^2)/(22^2))+18*SIN(2*PI()*(Model_Data!A238)/70))+Inputs!$C$28*EXP(-(((Model_Data!A238)-Inputs!$C$29)^2)/(2*Inputs!$C$31^2))*EXP(-(((0)-Inputs!$C$30)^2)/(2*Inputs!$C$32^2))+-Inputs!$C$33*EXP(-(((((Model_Data!A238)-Inputs!$C$34)^2)+(((0)-Inputs!$C$35)^2))/(2*Inputs!$C$36^2)))+Inputs!$C$37*(0.55*SIN(2*PI()*(Model_Data!A238)/Inputs!$C$39)+0.35*COS(2*PI()*(0)/Inputs!$C$40)+0.2*SIN(2*PI()*((Model_Data!A238)+(0))/(0.5*(Inputs!$C$39+Inputs!$C$40))))+Inputs!$C$38*SIN(2*PI()*(Model_Data!A238)/Inputs!$C$39)*SIN(2*PI()*(0)/Inputs!$C$40)+-Inputs!$C$41*EXP(-(((0)-Inputs!$C$43)^2)/(2*Inputs!$C$44^2))*EXP(-(((Model_Data!A238)-Inputs!$C$42)^2)/(2*Inputs!$C$45^2))+Inputs!$C$48*(0.70*(0.45*SIN(2*PI()*(((Model_Data!A238)/Inputs!$C$49)+Inputs!$C$47*0.137))+0.35*COS(2*PI()*(((0)/Inputs!$C$50)+Inputs!$C$47*0.173))+0.20*SIN(2*PI()*(((Model_Data!A238)+(0))/(0.5*(Inputs!$C$49+Inputs!$C$50))+Inputs!$C$47*0.097)))+0.30*(2*((SIN(((Model_Data!A238)*12.9898+(0)*78.233+Inputs!$C$47*37.719))*43758.5453)-INT((SIN(((Model_Data!A238)*12.9898+(0)*78.233+Inputs!$C$47*37.719))*43758.5453)))-1)))</x:f>
        <x:v>30.070182113253747</x:v>
      </x:c>
      <x:c r="H238" s="49"/>
      <x:c r="I238" s="48" t="n">
        <x:f>Model_Data!A238</x:f>
        <x:v>58</x:v>
      </x:c>
      <x:c r="J238" s="48" t="n">
        <x:f>((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(0.45*SIN(2*PI()*(((Model_Data!A238)/Inputs!$C$49)+Inputs!$C$47*0.137))+0.35*COS(2*PI()*(((Inputs!$C$6)/Inputs!$C$50)+Inputs!$C$47*0.173))+0.20*SIN(2*PI()*(((Model_Data!A238)+(Inputs!$C$6))/(0.5*(Inputs!$C$49+Inputs!$C$50))+Inputs!$C$47*0.097)))+0.30*(2*((SIN(((Model_Data!A238)*12.9898+(Inputs!$C$6)*78.233+Inputs!$C$47*37.719))*43758.5453)-INT((SIN(((Model_Data!A238)*12.9898+(Inputs!$C$6)*78.233+Inputs!$C$47*37.719))*43758.5453)))-1))))-((Inputs!$C$51*(115*EXP(-(((0)-25)^2)/(4.5^2))+70*EXP(-(((0)+38)^2)/(7^2))*(0.55+0.45*SIN(2*PI()*(Model_Data!A238)/45))+24*SIN(2*PI()*(0)/9+(Model_Data!A238)/18)*EXP(-(((0)+5)^2)/(22^2))+18*SIN(2*PI()*(Model_Data!A238)/70))+Inputs!$C$28*EXP(-(((Model_Data!A238)-Inputs!$C$29)^2)/(2*Inputs!$C$31^2))*EXP(-(((0)-Inputs!$C$30)^2)/(2*Inputs!$C$32^2))+-Inputs!$C$33*EXP(-(((((Model_Data!A238)-Inputs!$C$34)^2)+(((0)-Inputs!$C$35)^2))/(2*Inputs!$C$36^2)))+Inputs!$C$37*(0.55*SIN(2*PI()*(Model_Data!A238)/Inputs!$C$39)+0.35*COS(2*PI()*(0)/Inputs!$C$40)+0.2*SIN(2*PI()*((Model_Data!A238)+(0))/(0.5*(Inputs!$C$39+Inputs!$C$40))))+Inputs!$C$38*SIN(2*PI()*(Model_Data!A238)/Inputs!$C$39)*SIN(2*PI()*(0)/Inputs!$C$40)+-Inputs!$C$41*EXP(-(((0)-Inputs!$C$43)^2)/(2*Inputs!$C$44^2))*EXP(-(((Model_Data!A238)-Inputs!$C$42)^2)/(2*Inputs!$C$45^2))+Inputs!$C$48*(0.70*(0.45*SIN(2*PI()*(((Model_Data!A238)/Inputs!$C$49)+Inputs!$C$47*0.137))+0.35*COS(2*PI()*(((0)/Inputs!$C$50)+Inputs!$C$47*0.173))+0.20*SIN(2*PI()*(((Model_Data!A238)+(0))/(0.5*(Inputs!$C$49+Inputs!$C$50))+Inputs!$C$47*0.097)))+0.30*(2*((SIN(((Model_Data!A238)*12.9898+(0)*78.233+Inputs!$C$47*37.719))*43758.5453)-INT((SIN(((Model_Data!A238)*12.9898+(0)*78.233+Inputs!$C$47*37.719))*43758.5453)))-1))))</x:f>
        <x:v>164.45759968060392</x:v>
      </x:c>
      <x:c r="K238" s="48" t="n">
        <x:f>-((((SQRT((Model_Data!A238)^2+Inputs!$C$6^2+((Model_Data!B238)-((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(0.45*SIN(2*PI()*(((Model_Data!A238)/Inputs!$C$49)+Inputs!$C$47*0.137))+0.35*COS(2*PI()*(((Inputs!$C$6)/Inputs!$C$50)+Inputs!$C$47*0.173))+0.20*SIN(2*PI()*(((Model_Data!A238)+(Inputs!$C$6))/(0.5*(Inputs!$C$49+Inputs!$C$50))+Inputs!$C$47*0.097)))+0.30*(2*((SIN(((Model_Data!A238)*12.9898+(Inputs!$C$6)*78.233+Inputs!$C$47*37.719))*43758.5453)-INT((SIN(((Model_Data!A238)*12.9898+(Inputs!$C$6)*78.233+Inputs!$C$47*37.719))*43758.5453)))-1))))/1000)^2))-(((Model_Data!B238)-((Inputs!$C$51*(115*EXP(-(((0)-25)^2)/(4.5^2))+70*EXP(-(((0)+38)^2)/(7^2))*(0.55+0.45*SIN(2*PI()*(Model_Data!A238)/45))+24*SIN(2*PI()*(0)/9+(Model_Data!A238)/18)*EXP(-(((0)+5)^2)/(22^2))+18*SIN(2*PI()*(Model_Data!A238)/70))+Inputs!$C$28*EXP(-(((Model_Data!A238)-Inputs!$C$29)^2)/(2*Inputs!$C$31^2))*EXP(-(((0)-Inputs!$C$30)^2)/(2*Inputs!$C$32^2))+-Inputs!$C$33*EXP(-(((((Model_Data!A238)-Inputs!$C$34)^2)+(((0)-Inputs!$C$35)^2))/(2*Inputs!$C$36^2)))+Inputs!$C$37*(0.55*SIN(2*PI()*(Model_Data!A238)/Inputs!$C$39)+0.35*COS(2*PI()*(0)/Inputs!$C$40)+0.2*SIN(2*PI()*((Model_Data!A238)+(0))/(0.5*(Inputs!$C$39+Inputs!$C$40))))+Inputs!$C$38*SIN(2*PI()*(Model_Data!A238)/Inputs!$C$39)*SIN(2*PI()*(0)/Inputs!$C$40)+-Inputs!$C$41*EXP(-(((0)-Inputs!$C$43)^2)/(2*Inputs!$C$44^2))*EXP(-(((Model_Data!A238)-Inputs!$C$42)^2)/(2*Inputs!$C$45^2))+Inputs!$C$48*(0.70*(0.45*SIN(2*PI()*(((Model_Data!A238)/Inputs!$C$49)+Inputs!$C$47*0.137))+0.35*COS(2*PI()*(((0)/Inputs!$C$50)+Inputs!$C$47*0.173))+0.20*SIN(2*PI()*(((Model_Data!A238)+(0))/(0.5*(Inputs!$C$49+Inputs!$C$50))+Inputs!$C$47*0.097)))+0.30*(2*((SIN(((Model_Data!A238)*12.9898+(0)*78.233+Inputs!$C$47*37.719))*43758.5453)-INT((SIN(((Model_Data!A238)*12.9898+(0)*78.233+Inputs!$C$47*37.719))*43758.5453)))-1))))/1000)))*1000/Inputs!$C$12)-Model_Data!F238)</x:f>
        <x:v>91.07813941739778</x:v>
      </x:c>
      <x:c r="L238" s="49"/>
      <x:c r="M238" s="48" t="n">
        <x:f>Model_Data!A238</x:f>
        <x:v>58</x:v>
      </x:c>
      <x:c r="N238" s="48" t="n">
        <x:f>Model_Data!P238</x:f>
        <x:v>-430.83460321358444</x:v>
      </x:c>
      <x:c r="O238" s="48" t="n">
        <x:f>AC238</x:f>
        <x:v>-415.0388961592398</x:v>
      </x:c>
      <x:c r="P238" s="48" t="n">
        <x:f>Model_Data!Q238</x:f>
        <x:v>-64.68988036240007</x:v>
      </x:c>
      <x:c r="Q238" s="48" t="n">
        <x:f>AD238</x:f>
        <x:v>-62.31815257646244</x:v>
      </x:c>
      <x:c r="R238" s="49"/>
      <x:c r="S238" s="48" t="n">
        <x:f>Model_Data!A238</x:f>
        <x:v>58</x:v>
      </x:c>
      <x:c r="T238" s="48" t="n">
        <x:f>Model_Data!B238-Inputs!$C$5</x:f>
        <x:v>3.737777777777751</x:v>
      </x:c>
      <x:c r="U238" s="49"/>
      <x:c r="V238" s="48" t="n">
        <x:f>Model_Data!A238</x:f>
        <x:v>58</x:v>
      </x:c>
      <x:c r="W238" s="48" t="n">
        <x:f>(-((((SQRT((Model_Data!A238)^2+Inputs!$C$6^2+((Model_Data!B238)-((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(0.45*SIN(2*PI()*(((Model_Data!A238)/Inputs!$C$49)+Inputs!$C$47*0.137))+0.35*COS(2*PI()*(((Inputs!$C$6)/Inputs!$C$50)+Inputs!$C$47*0.173))+0.20*SIN(2*PI()*(((Model_Data!A238)+(Inputs!$C$6))/(0.5*(Inputs!$C$49+Inputs!$C$50))+Inputs!$C$47*0.097)))+0.30*(2*((SIN(((Model_Data!A238)*12.9898+(Inputs!$C$6)*78.233+Inputs!$C$47*37.719))*43758.5453)-INT((SIN(((Model_Data!A238)*12.9898+(Inputs!$C$6)*78.233+Inputs!$C$47*37.719))*43758.5453)))-1))))/1000)^2))-(((Model_Data!B238)-((Inputs!$C$51*(115*EXP(-(((0)-25)^2)/(4.5^2))+70*EXP(-(((0)+38)^2)/(7^2))*(0.55+0.45*SIN(2*PI()*(Model_Data!A238)/45))+24*SIN(2*PI()*(0)/9+(Model_Data!A238)/18)*EXP(-(((0)+5)^2)/(22^2))+18*SIN(2*PI()*(Model_Data!A238)/70))+Inputs!$C$28*EXP(-(((Model_Data!A238)-Inputs!$C$29)^2)/(2*Inputs!$C$31^2))*EXP(-(((0)-Inputs!$C$30)^2)/(2*Inputs!$C$32^2))+-Inputs!$C$33*EXP(-(((((Model_Data!A238)-Inputs!$C$34)^2)+(((0)-Inputs!$C$35)^2))/(2*Inputs!$C$36^2)))+Inputs!$C$37*(0.55*SIN(2*PI()*(Model_Data!A238)/Inputs!$C$39)+0.35*COS(2*PI()*(0)/Inputs!$C$40)+0.2*SIN(2*PI()*((Model_Data!A238)+(0))/(0.5*(Inputs!$C$39+Inputs!$C$40))))+Inputs!$C$38*SIN(2*PI()*(Model_Data!A238)/Inputs!$C$39)*SIN(2*PI()*(0)/Inputs!$C$40)+-Inputs!$C$41*EXP(-(((0)-Inputs!$C$43)^2)/(2*Inputs!$C$44^2))*EXP(-(((Model_Data!A238)-Inputs!$C$42)^2)/(2*Inputs!$C$45^2))+Inputs!$C$48*(0.70*(0.45*SIN(2*PI()*(((Model_Data!A238)/Inputs!$C$49)+Inputs!$C$47*0.137))+0.35*COS(2*PI()*(((0)/Inputs!$C$50)+Inputs!$C$47*0.173))+0.20*SIN(2*PI()*(((Model_Data!A238)+(0))/(0.5*(Inputs!$C$49+Inputs!$C$50))+Inputs!$C$47*0.097)))+0.30*(2*((SIN(((Model_Data!A238)*12.9898+(0)*78.233+Inputs!$C$47*37.719))*43758.5453)-INT((SIN(((Model_Data!A238)*12.9898+(0)*78.233+Inputs!$C$47*37.719))*43758.5453)))-1))))/1000)))*1000/Inputs!$C$12)-Model_Data!F238))-(-(((SQRT((Model_Data!A238)^2+Inputs!$C$6^2+(Inputs!$C$5-((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(0.45*SIN(2*PI()*(((Model_Data!A238)/Inputs!$C$49)+Inputs!$C$47*0.137))+0.35*COS(2*PI()*(((Inputs!$C$6)/Inputs!$C$50)+Inputs!$C$47*0.173))+0.20*SIN(2*PI()*(((Model_Data!A238)+(Inputs!$C$6))/(0.5*(Inputs!$C$49+Inputs!$C$50))+Inputs!$C$47*0.097)))+0.30*(2*((SIN(((Model_Data!A238)*12.9898+(Inputs!$C$6)*78.233+Inputs!$C$47*37.719))*43758.5453)-INT((SIN(((Model_Data!A238)*12.9898+(Inputs!$C$6)*78.233+Inputs!$C$47*37.719))*43758.5453)))-1))))/1000)^2)-(Inputs!$C$5-((Inputs!$C$51*(115*EXP(-(((0)-25)^2)/(4.5^2))+70*EXP(-(((0)+38)^2)/(7^2))*(0.55+0.45*SIN(2*PI()*(Model_Data!A238)/45))+24*SIN(2*PI()*(0)/9+(Model_Data!A238)/18)*EXP(-(((0)+5)^2)/(22^2))+18*SIN(2*PI()*(Model_Data!A238)/70))+Inputs!$C$28*EXP(-(((Model_Data!A238)-Inputs!$C$29)^2)/(2*Inputs!$C$31^2))*EXP(-(((0)-Inputs!$C$30)^2)/(2*Inputs!$C$32^2))+-Inputs!$C$33*EXP(-(((((Model_Data!A238)-Inputs!$C$34)^2)+(((0)-Inputs!$C$35)^2))/(2*Inputs!$C$36^2)))+Inputs!$C$37*(0.55*SIN(2*PI()*(Model_Data!A238)/Inputs!$C$39)+0.35*COS(2*PI()*(0)/Inputs!$C$40)+0.2*SIN(2*PI()*((Model_Data!A238)+(0))/(0.5*(Inputs!$C$39+Inputs!$C$40))))+Inputs!$C$38*SIN(2*PI()*(Model_Data!A238)/Inputs!$C$39)*SIN(2*PI()*(0)/Inputs!$C$40)+-Inputs!$C$41*EXP(-(((0)-Inputs!$C$43)^2)/(2*Inputs!$C$44^2))*EXP(-(((Model_Data!A238)-Inputs!$C$42)^2)/(2*Inputs!$C$45^2))+Inputs!$C$48*(0.70*(0.45*SIN(2*PI()*(((Model_Data!A238)/Inputs!$C$49)+Inputs!$C$47*0.137))+0.35*COS(2*PI()*(((0)/Inputs!$C$50)+Inputs!$C$47*0.173))+0.20*SIN(2*PI()*(((Model_Data!A238)+(0))/(0.5*(Inputs!$C$49+Inputs!$C$50))+Inputs!$C$47*0.097)))+0.30*(2*((SIN(((Model_Data!A238)*12.9898+(0)*78.233+Inputs!$C$47*37.719))*43758.5453)-INT((SIN(((Model_Data!A238)*12.9898+(0)*78.233+Inputs!$C$47*37.719))*43758.5453)))-1))))/1000))*1000/Inputs!$C$12)-((SQRT((Model_Data!A238)^2+Inputs!$C$6^2+Inputs!$C$5^2)-Inputs!$C$5)*1000/Inputs!$C$12)))</x:f>
        <x:v>0.024222365393143264</x:v>
      </x:c>
      <x:c r="X238" s="48" t="n">
        <x:f>0</x:f>
        <x:v>0</x:v>
      </x:c>
      <x:c r="Y238" s="49"/>
      <x:c r="Z238" s="48" t="n">
        <x:f>Model_Data!A238</x:f>
        <x:v>58</x:v>
      </x:c>
      <x:c r="AA238" s="48" t="n">
        <x:f>SQRT((Model_Data!A238)^2+Inputs!$C$6^2+((Model_Data!B238)-((Inputs!$C$51*(115*EXP(-(((Inputs!$C$6)-25)^2)/(4.5^2))+70*EXP(-(((Inputs!$C$6)+38)^2)/(7^2))*(0.55+0.45*SIN(2*PI()*(Model_Data!A238)/45))+24*SIN(2*PI()*(Inputs!$C$6)/9+(Model_Data!A238)/18)*EXP(-(((Inputs!$C$6)+5)^2)/(22^2))+18*SIN(2*PI()*(Model_Data!A238)/70))+Inputs!$C$28*EXP(-(((Model_Data!A238)-Inputs!$C$29)^2)/(2*Inputs!$C$31^2))*EXP(-(((Inputs!$C$6)-Inputs!$C$30)^2)/(2*Inputs!$C$32^2))+-Inputs!$C$33*EXP(-(((((Model_Data!A238)-Inputs!$C$34)^2)+(((Inputs!$C$6)-Inputs!$C$35)^2))/(2*Inputs!$C$36^2)))+Inputs!$C$37*(0.55*SIN(2*PI()*(Model_Data!A238)/Inputs!$C$39)+0.35*COS(2*PI()*(Inputs!$C$6)/Inputs!$C$40)+0.2*SIN(2*PI()*((Model_Data!A238)+(Inputs!$C$6))/(0.5*(Inputs!$C$39+Inputs!$C$40))))+Inputs!$C$38*SIN(2*PI()*(Model_Data!A238)/Inputs!$C$39)*SIN(2*PI()*(Inputs!$C$6)/Inputs!$C$40)+-Inputs!$C$41*EXP(-(((Inputs!$C$6)-Inputs!$C$43)^2)/(2*Inputs!$C$44^2))*EXP(-(((Model_Data!A238)-Inputs!$C$42)^2)/(2*Inputs!$C$45^2))+Inputs!$C$48*(0.70*(0.45*SIN(2*PI()*(((Model_Data!A238)/Inputs!$C$49)+Inputs!$C$47*0.137))+0.35*COS(2*PI()*(((Inputs!$C$6)/Inputs!$C$50)+Inputs!$C$47*0.173))+0.20*SIN(2*PI()*(((Model_Data!A238)+(Inputs!$C$6))/(0.5*(Inputs!$C$49+Inputs!$C$50))+Inputs!$C$47*0.097)))+0.30*(2*((SIN(((Model_Data!A238)*12.9898+(Inputs!$C$6)*78.233+Inputs!$C$47*37.719))*43758.5453)-INT((SIN(((Model_Data!A238)*12.9898+(Inputs!$C$6)*78.233+Inputs!$C$47*37.719))*43758.5453)))-1))))/1000)^2)</x:f>
        <x:v>408.4558172156704</x:v>
      </x:c>
      <x:c r="AB238" s="48" t="n">
        <x:f>1000*(AA239-AA237)/(Z239-Z237)*Inputs!$C$11</x:f>
        <x:v>1037.5972403980995</x:v>
      </x:c>
      <x:c r="AC238" s="48" t="n">
        <x:f>-2*AB238/Inputs!$C$13</x:f>
        <x:v>-415.0388961592398</x:v>
      </x:c>
      <x:c r="AD238" s="48" t="n">
        <x:f>-2*AB238/Inputs!$C$14</x:f>
        <x:v>-62.31815257646244</x:v>
      </x:c>
    </x:row>
    <x:row r="239">
      <x:c r="A239" s="48" t="n">
        <x:f>Model_Data!A239</x:f>
        <x:v>58.5</x:v>
      </x:c>
      <x:c r="B239" s="48" t="n">
        <x:f>Model_Data!F239</x:f>
        <x:v>2798.1490936689197</x:v>
      </x:c>
      <x:c r="C239" s="48" t="n">
        <x:f>(((SQRT((Model_Data!A239)^2+Inputs!$C$6^2+((Model_Data!B239)-((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(0.45*SIN(2*PI()*(((Model_Data!A239)/Inputs!$C$49)+Inputs!$C$47*0.137))+0.35*COS(2*PI()*(((Inputs!$C$6)/Inputs!$C$50)+Inputs!$C$47*0.173))+0.20*SIN(2*PI()*(((Model_Data!A239)+(Inputs!$C$6))/(0.5*(Inputs!$C$49+Inputs!$C$50))+Inputs!$C$47*0.097)))+0.30*(2*((SIN(((Model_Data!A239)*12.9898+(Inputs!$C$6)*78.233+Inputs!$C$47*37.719))*43758.5453)-INT((SIN(((Model_Data!A239)*12.9898+(Inputs!$C$6)*78.233+Inputs!$C$47*37.719))*43758.5453)))-1))))/1000)^2))-(((Model_Data!B239)-((Inputs!$C$51*(115*EXP(-(((0)-25)^2)/(4.5^2))+70*EXP(-(((0)+38)^2)/(7^2))*(0.55+0.45*SIN(2*PI()*(Model_Data!A239)/45))+24*SIN(2*PI()*(0)/9+(Model_Data!A239)/18)*EXP(-(((0)+5)^2)/(22^2))+18*SIN(2*PI()*(Model_Data!A239)/70))+Inputs!$C$28*EXP(-(((Model_Data!A239)-Inputs!$C$29)^2)/(2*Inputs!$C$31^2))*EXP(-(((0)-Inputs!$C$30)^2)/(2*Inputs!$C$32^2))+-Inputs!$C$33*EXP(-(((((Model_Data!A239)-Inputs!$C$34)^2)+(((0)-Inputs!$C$35)^2))/(2*Inputs!$C$36^2)))+Inputs!$C$37*(0.55*SIN(2*PI()*(Model_Data!A239)/Inputs!$C$39)+0.35*COS(2*PI()*(0)/Inputs!$C$40)+0.2*SIN(2*PI()*((Model_Data!A239)+(0))/(0.5*(Inputs!$C$39+Inputs!$C$40))))+Inputs!$C$38*SIN(2*PI()*(Model_Data!A239)/Inputs!$C$39)*SIN(2*PI()*(0)/Inputs!$C$40)+-Inputs!$C$41*EXP(-(((0)-Inputs!$C$43)^2)/(2*Inputs!$C$44^2))*EXP(-(((Model_Data!A239)-Inputs!$C$42)^2)/(2*Inputs!$C$45^2))+Inputs!$C$48*(0.70*(0.45*SIN(2*PI()*(((Model_Data!A239)/Inputs!$C$49)+Inputs!$C$47*0.137))+0.35*COS(2*PI()*(((0)/Inputs!$C$50)+Inputs!$C$47*0.173))+0.20*SIN(2*PI()*(((Model_Data!A239)+(0))/(0.5*(Inputs!$C$49+Inputs!$C$50))+Inputs!$C$47*0.097)))+0.30*(2*((SIN(((Model_Data!A239)*12.9898+(0)*78.233+Inputs!$C$47*37.719))*43758.5453)-INT((SIN(((Model_Data!A239)*12.9898+(0)*78.233+Inputs!$C$47*37.719))*43758.5453)))-1))))/1000)))*1000/Inputs!$C$12)</x:f>
        <x:v>2709.603482197365</x:v>
      </x:c>
      <x:c r="D239" s="49"/>
      <x:c r="E239" s="48" t="n">
        <x:f>Model_Data!A239</x:f>
        <x:v>58.5</x:v>
      </x:c>
      <x:c r="F239" s="48" t="n">
        <x:f>(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(0.45*SIN(2*PI()*(((Model_Data!A239)/Inputs!$C$49)+Inputs!$C$47*0.137))+0.35*COS(2*PI()*(((Inputs!$C$6)/Inputs!$C$50)+Inputs!$C$47*0.173))+0.20*SIN(2*PI()*(((Model_Data!A239)+(Inputs!$C$6))/(0.5*(Inputs!$C$49+Inputs!$C$50))+Inputs!$C$47*0.097)))+0.30*(2*((SIN(((Model_Data!A239)*12.9898+(Inputs!$C$6)*78.233+Inputs!$C$47*37.719))*43758.5453)-INT((SIN(((Model_Data!A239)*12.9898+(Inputs!$C$6)*78.233+Inputs!$C$47*37.719))*43758.5453)))-1)))</x:f>
        <x:v>188.33221875951745</x:v>
      </x:c>
      <x:c r="G239" s="48" t="n">
        <x:f>(Inputs!$C$51*(115*EXP(-(((0)-25)^2)/(4.5^2))+70*EXP(-(((0)+38)^2)/(7^2))*(0.55+0.45*SIN(2*PI()*(Model_Data!A239)/45))+24*SIN(2*PI()*(0)/9+(Model_Data!A239)/18)*EXP(-(((0)+5)^2)/(22^2))+18*SIN(2*PI()*(Model_Data!A239)/70))+Inputs!$C$28*EXP(-(((Model_Data!A239)-Inputs!$C$29)^2)/(2*Inputs!$C$31^2))*EXP(-(((0)-Inputs!$C$30)^2)/(2*Inputs!$C$32^2))+-Inputs!$C$33*EXP(-(((((Model_Data!A239)-Inputs!$C$34)^2)+(((0)-Inputs!$C$35)^2))/(2*Inputs!$C$36^2)))+Inputs!$C$37*(0.55*SIN(2*PI()*(Model_Data!A239)/Inputs!$C$39)+0.35*COS(2*PI()*(0)/Inputs!$C$40)+0.2*SIN(2*PI()*((Model_Data!A239)+(0))/(0.5*(Inputs!$C$39+Inputs!$C$40))))+Inputs!$C$38*SIN(2*PI()*(Model_Data!A239)/Inputs!$C$39)*SIN(2*PI()*(0)/Inputs!$C$40)+-Inputs!$C$41*EXP(-(((0)-Inputs!$C$43)^2)/(2*Inputs!$C$44^2))*EXP(-(((Model_Data!A239)-Inputs!$C$42)^2)/(2*Inputs!$C$45^2))+Inputs!$C$48*(0.70*(0.45*SIN(2*PI()*(((Model_Data!A239)/Inputs!$C$49)+Inputs!$C$47*0.137))+0.35*COS(2*PI()*(((0)/Inputs!$C$50)+Inputs!$C$47*0.173))+0.20*SIN(2*PI()*(((Model_Data!A239)+(0))/(0.5*(Inputs!$C$49+Inputs!$C$50))+Inputs!$C$47*0.097)))+0.30*(2*((SIN(((Model_Data!A239)*12.9898+(0)*78.233+Inputs!$C$47*37.719))*43758.5453)-INT((SIN(((Model_Data!A239)*12.9898+(0)*78.233+Inputs!$C$47*37.719))*43758.5453)))-1)))</x:f>
        <x:v>28.425297518081656</x:v>
      </x:c>
      <x:c r="H239" s="49"/>
      <x:c r="I239" s="48" t="n">
        <x:f>Model_Data!A239</x:f>
        <x:v>58.5</x:v>
      </x:c>
      <x:c r="J239" s="48" t="n">
        <x:f>((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(0.45*SIN(2*PI()*(((Model_Data!A239)/Inputs!$C$49)+Inputs!$C$47*0.137))+0.35*COS(2*PI()*(((Inputs!$C$6)/Inputs!$C$50)+Inputs!$C$47*0.173))+0.20*SIN(2*PI()*(((Model_Data!A239)+(Inputs!$C$6))/(0.5*(Inputs!$C$49+Inputs!$C$50))+Inputs!$C$47*0.097)))+0.30*(2*((SIN(((Model_Data!A239)*12.9898+(Inputs!$C$6)*78.233+Inputs!$C$47*37.719))*43758.5453)-INT((SIN(((Model_Data!A239)*12.9898+(Inputs!$C$6)*78.233+Inputs!$C$47*37.719))*43758.5453)))-1))))-((Inputs!$C$51*(115*EXP(-(((0)-25)^2)/(4.5^2))+70*EXP(-(((0)+38)^2)/(7^2))*(0.55+0.45*SIN(2*PI()*(Model_Data!A239)/45))+24*SIN(2*PI()*(0)/9+(Model_Data!A239)/18)*EXP(-(((0)+5)^2)/(22^2))+18*SIN(2*PI()*(Model_Data!A239)/70))+Inputs!$C$28*EXP(-(((Model_Data!A239)-Inputs!$C$29)^2)/(2*Inputs!$C$31^2))*EXP(-(((0)-Inputs!$C$30)^2)/(2*Inputs!$C$32^2))+-Inputs!$C$33*EXP(-(((((Model_Data!A239)-Inputs!$C$34)^2)+(((0)-Inputs!$C$35)^2))/(2*Inputs!$C$36^2)))+Inputs!$C$37*(0.55*SIN(2*PI()*(Model_Data!A239)/Inputs!$C$39)+0.35*COS(2*PI()*(0)/Inputs!$C$40)+0.2*SIN(2*PI()*((Model_Data!A239)+(0))/(0.5*(Inputs!$C$39+Inputs!$C$40))))+Inputs!$C$38*SIN(2*PI()*(Model_Data!A239)/Inputs!$C$39)*SIN(2*PI()*(0)/Inputs!$C$40)+-Inputs!$C$41*EXP(-(((0)-Inputs!$C$43)^2)/(2*Inputs!$C$44^2))*EXP(-(((Model_Data!A239)-Inputs!$C$42)^2)/(2*Inputs!$C$45^2))+Inputs!$C$48*(0.70*(0.45*SIN(2*PI()*(((Model_Data!A239)/Inputs!$C$49)+Inputs!$C$47*0.137))+0.35*COS(2*PI()*(((0)/Inputs!$C$50)+Inputs!$C$47*0.173))+0.20*SIN(2*PI()*(((Model_Data!A239)+(0))/(0.5*(Inputs!$C$49+Inputs!$C$50))+Inputs!$C$47*0.097)))+0.30*(2*((SIN(((Model_Data!A239)*12.9898+(0)*78.233+Inputs!$C$47*37.719))*43758.5453)-INT((SIN(((Model_Data!A239)*12.9898+(0)*78.233+Inputs!$C$47*37.719))*43758.5453)))-1))))</x:f>
        <x:v>159.90692124143578</x:v>
      </x:c>
      <x:c r="K239" s="48" t="n">
        <x:f>-((((SQRT((Model_Data!A239)^2+Inputs!$C$6^2+((Model_Data!B239)-((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(0.45*SIN(2*PI()*(((Model_Data!A239)/Inputs!$C$49)+Inputs!$C$47*0.137))+0.35*COS(2*PI()*(((Inputs!$C$6)/Inputs!$C$50)+Inputs!$C$47*0.173))+0.20*SIN(2*PI()*(((Model_Data!A239)+(Inputs!$C$6))/(0.5*(Inputs!$C$49+Inputs!$C$50))+Inputs!$C$47*0.097)))+0.30*(2*((SIN(((Model_Data!A239)*12.9898+(Inputs!$C$6)*78.233+Inputs!$C$47*37.719))*43758.5453)-INT((SIN(((Model_Data!A239)*12.9898+(Inputs!$C$6)*78.233+Inputs!$C$47*37.719))*43758.5453)))-1))))/1000)^2))-(((Model_Data!B239)-((Inputs!$C$51*(115*EXP(-(((0)-25)^2)/(4.5^2))+70*EXP(-(((0)+38)^2)/(7^2))*(0.55+0.45*SIN(2*PI()*(Model_Data!A239)/45))+24*SIN(2*PI()*(0)/9+(Model_Data!A239)/18)*EXP(-(((0)+5)^2)/(22^2))+18*SIN(2*PI()*(Model_Data!A239)/70))+Inputs!$C$28*EXP(-(((Model_Data!A239)-Inputs!$C$29)^2)/(2*Inputs!$C$31^2))*EXP(-(((0)-Inputs!$C$30)^2)/(2*Inputs!$C$32^2))+-Inputs!$C$33*EXP(-(((((Model_Data!A239)-Inputs!$C$34)^2)+(((0)-Inputs!$C$35)^2))/(2*Inputs!$C$36^2)))+Inputs!$C$37*(0.55*SIN(2*PI()*(Model_Data!A239)/Inputs!$C$39)+0.35*COS(2*PI()*(0)/Inputs!$C$40)+0.2*SIN(2*PI()*((Model_Data!A239)+(0))/(0.5*(Inputs!$C$39+Inputs!$C$40))))+Inputs!$C$38*SIN(2*PI()*(Model_Data!A239)/Inputs!$C$39)*SIN(2*PI()*(0)/Inputs!$C$40)+-Inputs!$C$41*EXP(-(((0)-Inputs!$C$43)^2)/(2*Inputs!$C$44^2))*EXP(-(((Model_Data!A239)-Inputs!$C$42)^2)/(2*Inputs!$C$45^2))+Inputs!$C$48*(0.70*(0.45*SIN(2*PI()*(((Model_Data!A239)/Inputs!$C$49)+Inputs!$C$47*0.137))+0.35*COS(2*PI()*(((0)/Inputs!$C$50)+Inputs!$C$47*0.173))+0.20*SIN(2*PI()*(((Model_Data!A239)+(0))/(0.5*(Inputs!$C$49+Inputs!$C$50))+Inputs!$C$47*0.097)))+0.30*(2*((SIN(((Model_Data!A239)*12.9898+(0)*78.233+Inputs!$C$47*37.719))*43758.5453)-INT((SIN(((Model_Data!A239)*12.9898+(0)*78.233+Inputs!$C$47*37.719))*43758.5453)))-1))))/1000)))*1000/Inputs!$C$12)-Model_Data!F239)</x:f>
        <x:v>88.54561147155482</x:v>
      </x:c>
      <x:c r="L239" s="49"/>
      <x:c r="M239" s="48" t="n">
        <x:f>Model_Data!A239</x:f>
        <x:v>58.5</x:v>
      </x:c>
      <x:c r="N239" s="48" t="n">
        <x:f>Model_Data!P239</x:f>
        <x:v>-434.43790659645504</x:v>
      </x:c>
      <x:c r="O239" s="48" t="n">
        <x:f>AC239</x:f>
        <x:v>-435.7865273441348</x:v>
      </x:c>
      <x:c r="P239" s="48" t="n">
        <x:f>Model_Data!Q239</x:f>
        <x:v>-65.23091690637463</x:v>
      </x:c>
      <x:c r="Q239" s="48" t="n">
        <x:f>AD239</x:f>
        <x:v>-65.43341251413436</x:v>
      </x:c>
      <x:c r="R239" s="49"/>
      <x:c r="S239" s="48" t="n">
        <x:f>Model_Data!A239</x:f>
        <x:v>58.5</x:v>
      </x:c>
      <x:c r="T239" s="48" t="n">
        <x:f>Model_Data!B239-Inputs!$C$5</x:f>
        <x:v>3.802500000000009</x:v>
      </x:c>
      <x:c r="U239" s="49"/>
      <x:c r="V239" s="48" t="n">
        <x:f>Model_Data!A239</x:f>
        <x:v>58.5</x:v>
      </x:c>
      <x:c r="W239" s="48" t="n">
        <x:f>(-((((SQRT((Model_Data!A239)^2+Inputs!$C$6^2+((Model_Data!B239)-((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(0.45*SIN(2*PI()*(((Model_Data!A239)/Inputs!$C$49)+Inputs!$C$47*0.137))+0.35*COS(2*PI()*(((Inputs!$C$6)/Inputs!$C$50)+Inputs!$C$47*0.173))+0.20*SIN(2*PI()*(((Model_Data!A239)+(Inputs!$C$6))/(0.5*(Inputs!$C$49+Inputs!$C$50))+Inputs!$C$47*0.097)))+0.30*(2*((SIN(((Model_Data!A239)*12.9898+(Inputs!$C$6)*78.233+Inputs!$C$47*37.719))*43758.5453)-INT((SIN(((Model_Data!A239)*12.9898+(Inputs!$C$6)*78.233+Inputs!$C$47*37.719))*43758.5453)))-1))))/1000)^2))-(((Model_Data!B239)-((Inputs!$C$51*(115*EXP(-(((0)-25)^2)/(4.5^2))+70*EXP(-(((0)+38)^2)/(7^2))*(0.55+0.45*SIN(2*PI()*(Model_Data!A239)/45))+24*SIN(2*PI()*(0)/9+(Model_Data!A239)/18)*EXP(-(((0)+5)^2)/(22^2))+18*SIN(2*PI()*(Model_Data!A239)/70))+Inputs!$C$28*EXP(-(((Model_Data!A239)-Inputs!$C$29)^2)/(2*Inputs!$C$31^2))*EXP(-(((0)-Inputs!$C$30)^2)/(2*Inputs!$C$32^2))+-Inputs!$C$33*EXP(-(((((Model_Data!A239)-Inputs!$C$34)^2)+(((0)-Inputs!$C$35)^2))/(2*Inputs!$C$36^2)))+Inputs!$C$37*(0.55*SIN(2*PI()*(Model_Data!A239)/Inputs!$C$39)+0.35*COS(2*PI()*(0)/Inputs!$C$40)+0.2*SIN(2*PI()*((Model_Data!A239)+(0))/(0.5*(Inputs!$C$39+Inputs!$C$40))))+Inputs!$C$38*SIN(2*PI()*(Model_Data!A239)/Inputs!$C$39)*SIN(2*PI()*(0)/Inputs!$C$40)+-Inputs!$C$41*EXP(-(((0)-Inputs!$C$43)^2)/(2*Inputs!$C$44^2))*EXP(-(((Model_Data!A239)-Inputs!$C$42)^2)/(2*Inputs!$C$45^2))+Inputs!$C$48*(0.70*(0.45*SIN(2*PI()*(((Model_Data!A239)/Inputs!$C$49)+Inputs!$C$47*0.137))+0.35*COS(2*PI()*(((0)/Inputs!$C$50)+Inputs!$C$47*0.173))+0.20*SIN(2*PI()*(((Model_Data!A239)+(0))/(0.5*(Inputs!$C$49+Inputs!$C$50))+Inputs!$C$47*0.097)))+0.30*(2*((SIN(((Model_Data!A239)*12.9898+(0)*78.233+Inputs!$C$47*37.719))*43758.5453)-INT((SIN(((Model_Data!A239)*12.9898+(0)*78.233+Inputs!$C$47*37.719))*43758.5453)))-1))))/1000)))*1000/Inputs!$C$12)-Model_Data!F239))-(-(((SQRT((Model_Data!A239)^2+Inputs!$C$6^2+(Inputs!$C$5-((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(0.45*SIN(2*PI()*(((Model_Data!A239)/Inputs!$C$49)+Inputs!$C$47*0.137))+0.35*COS(2*PI()*(((Inputs!$C$6)/Inputs!$C$50)+Inputs!$C$47*0.173))+0.20*SIN(2*PI()*(((Model_Data!A239)+(Inputs!$C$6))/(0.5*(Inputs!$C$49+Inputs!$C$50))+Inputs!$C$47*0.097)))+0.30*(2*((SIN(((Model_Data!A239)*12.9898+(Inputs!$C$6)*78.233+Inputs!$C$47*37.719))*43758.5453)-INT((SIN(((Model_Data!A239)*12.9898+(Inputs!$C$6)*78.233+Inputs!$C$47*37.719))*43758.5453)))-1))))/1000)^2)-(Inputs!$C$5-((Inputs!$C$51*(115*EXP(-(((0)-25)^2)/(4.5^2))+70*EXP(-(((0)+38)^2)/(7^2))*(0.55+0.45*SIN(2*PI()*(Model_Data!A239)/45))+24*SIN(2*PI()*(0)/9+(Model_Data!A239)/18)*EXP(-(((0)+5)^2)/(22^2))+18*SIN(2*PI()*(Model_Data!A239)/70))+Inputs!$C$28*EXP(-(((Model_Data!A239)-Inputs!$C$29)^2)/(2*Inputs!$C$31^2))*EXP(-(((0)-Inputs!$C$30)^2)/(2*Inputs!$C$32^2))+-Inputs!$C$33*EXP(-(((((Model_Data!A239)-Inputs!$C$34)^2)+(((0)-Inputs!$C$35)^2))/(2*Inputs!$C$36^2)))+Inputs!$C$37*(0.55*SIN(2*PI()*(Model_Data!A239)/Inputs!$C$39)+0.35*COS(2*PI()*(0)/Inputs!$C$40)+0.2*SIN(2*PI()*((Model_Data!A239)+(0))/(0.5*(Inputs!$C$39+Inputs!$C$40))))+Inputs!$C$38*SIN(2*PI()*(Model_Data!A239)/Inputs!$C$39)*SIN(2*PI()*(0)/Inputs!$C$40)+-Inputs!$C$41*EXP(-(((0)-Inputs!$C$43)^2)/(2*Inputs!$C$44^2))*EXP(-(((Model_Data!A239)-Inputs!$C$42)^2)/(2*Inputs!$C$45^2))+Inputs!$C$48*(0.70*(0.45*SIN(2*PI()*(((Model_Data!A239)/Inputs!$C$49)+Inputs!$C$47*0.137))+0.35*COS(2*PI()*(((0)/Inputs!$C$50)+Inputs!$C$47*0.173))+0.20*SIN(2*PI()*(((Model_Data!A239)+(0))/(0.5*(Inputs!$C$49+Inputs!$C$50))+Inputs!$C$47*0.097)))+0.30*(2*((SIN(((Model_Data!A239)*12.9898+(0)*78.233+Inputs!$C$47*37.719))*43758.5453)-INT((SIN(((Model_Data!A239)*12.9898+(0)*78.233+Inputs!$C$47*37.719))*43758.5453)))-1))))/1000))*1000/Inputs!$C$12)-((SQRT((Model_Data!A239)^2+Inputs!$C$6^2+Inputs!$C$5^2)-Inputs!$C$5)*1000/Inputs!$C$12)))</x:f>
        <x:v>0.024186350457057415</x:v>
      </x:c>
      <x:c r="X239" s="48" t="n">
        <x:f>0</x:f>
        <x:v>0</x:v>
      </x:c>
      <x:c r="Y239" s="49"/>
      <x:c r="Z239" s="48" t="n">
        <x:f>Model_Data!A239</x:f>
        <x:v>58.5</x:v>
      </x:c>
      <x:c r="AA239" s="48" t="n">
        <x:f>SQRT((Model_Data!A239)^2+Inputs!$C$6^2+((Model_Data!B239)-((Inputs!$C$51*(115*EXP(-(((Inputs!$C$6)-25)^2)/(4.5^2))+70*EXP(-(((Inputs!$C$6)+38)^2)/(7^2))*(0.55+0.45*SIN(2*PI()*(Model_Data!A239)/45))+24*SIN(2*PI()*(Inputs!$C$6)/9+(Model_Data!A239)/18)*EXP(-(((Inputs!$C$6)+5)^2)/(22^2))+18*SIN(2*PI()*(Model_Data!A239)/70))+Inputs!$C$28*EXP(-(((Model_Data!A239)-Inputs!$C$29)^2)/(2*Inputs!$C$31^2))*EXP(-(((Inputs!$C$6)-Inputs!$C$30)^2)/(2*Inputs!$C$32^2))+-Inputs!$C$33*EXP(-(((((Model_Data!A239)-Inputs!$C$34)^2)+(((Inputs!$C$6)-Inputs!$C$35)^2))/(2*Inputs!$C$36^2)))+Inputs!$C$37*(0.55*SIN(2*PI()*(Model_Data!A239)/Inputs!$C$39)+0.35*COS(2*PI()*(Inputs!$C$6)/Inputs!$C$40)+0.2*SIN(2*PI()*((Model_Data!A239)+(Inputs!$C$6))/(0.5*(Inputs!$C$39+Inputs!$C$40))))+Inputs!$C$38*SIN(2*PI()*(Model_Data!A239)/Inputs!$C$39)*SIN(2*PI()*(Inputs!$C$6)/Inputs!$C$40)+-Inputs!$C$41*EXP(-(((Inputs!$C$6)-Inputs!$C$43)^2)/(2*Inputs!$C$44^2))*EXP(-(((Model_Data!A239)-Inputs!$C$42)^2)/(2*Inputs!$C$45^2))+Inputs!$C$48*(0.70*(0.45*SIN(2*PI()*(((Model_Data!A239)/Inputs!$C$49)+Inputs!$C$47*0.137))+0.35*COS(2*PI()*(((Inputs!$C$6)/Inputs!$C$50)+Inputs!$C$47*0.173))+0.20*SIN(2*PI()*(((Model_Data!A239)+(Inputs!$C$6))/(0.5*(Inputs!$C$49+Inputs!$C$50))+Inputs!$C$47*0.097)))+0.30*(2*((SIN(((Model_Data!A239)*12.9898+(Inputs!$C$6)*78.233+Inputs!$C$47*37.719))*43758.5453)-INT((SIN(((Model_Data!A239)*12.9898+(Inputs!$C$6)*78.233+Inputs!$C$47*37.719))*43758.5453)))-1))))/1000)^2)</x:f>
        <x:v>408.59716890079324</x:v>
      </x:c>
      <x:c r="AB239" s="48" t="n">
        <x:f>1000*(AA240-AA238)/(Z240-Z238)*Inputs!$C$11</x:f>
        <x:v>1089.466318360337</x:v>
      </x:c>
      <x:c r="AC239" s="48" t="n">
        <x:f>-2*AB239/Inputs!$C$13</x:f>
        <x:v>-435.7865273441348</x:v>
      </x:c>
      <x:c r="AD239" s="48" t="n">
        <x:f>-2*AB239/Inputs!$C$14</x:f>
        <x:v>-65.43341251413436</x:v>
      </x:c>
    </x:row>
    <x:row r="240">
      <x:c r="A240" s="48" t="n">
        <x:f>Model_Data!A240</x:f>
        <x:v>59</x:v>
      </x:c>
      <x:c r="B240" s="48" t="n">
        <x:f>Model_Data!F240</x:f>
        <x:v>2838.0629855635702</x:v>
      </x:c>
      <x:c r="C240" s="48" t="n">
        <x:f>(((SQRT((Model_Data!A240)^2+Inputs!$C$6^2+((Model_Data!B240)-((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(0.45*SIN(2*PI()*(((Model_Data!A240)/Inputs!$C$49)+Inputs!$C$47*0.137))+0.35*COS(2*PI()*(((Inputs!$C$6)/Inputs!$C$50)+Inputs!$C$47*0.173))+0.20*SIN(2*PI()*(((Model_Data!A240)+(Inputs!$C$6))/(0.5*(Inputs!$C$49+Inputs!$C$50))+Inputs!$C$47*0.097)))+0.30*(2*((SIN(((Model_Data!A240)*12.9898+(Inputs!$C$6)*78.233+Inputs!$C$47*37.719))*43758.5453)-INT((SIN(((Model_Data!A240)*12.9898+(Inputs!$C$6)*78.233+Inputs!$C$47*37.719))*43758.5453)))-1))))/1000)^2))-(((Model_Data!B240)-((Inputs!$C$51*(115*EXP(-(((0)-25)^2)/(4.5^2))+70*EXP(-(((0)+38)^2)/(7^2))*(0.55+0.45*SIN(2*PI()*(Model_Data!A240)/45))+24*SIN(2*PI()*(0)/9+(Model_Data!A240)/18)*EXP(-(((0)+5)^2)/(22^2))+18*SIN(2*PI()*(Model_Data!A240)/70))+Inputs!$C$28*EXP(-(((Model_Data!A240)-Inputs!$C$29)^2)/(2*Inputs!$C$31^2))*EXP(-(((0)-Inputs!$C$30)^2)/(2*Inputs!$C$32^2))+-Inputs!$C$33*EXP(-(((((Model_Data!A240)-Inputs!$C$34)^2)+(((0)-Inputs!$C$35)^2))/(2*Inputs!$C$36^2)))+Inputs!$C$37*(0.55*SIN(2*PI()*(Model_Data!A240)/Inputs!$C$39)+0.35*COS(2*PI()*(0)/Inputs!$C$40)+0.2*SIN(2*PI()*((Model_Data!A240)+(0))/(0.5*(Inputs!$C$39+Inputs!$C$40))))+Inputs!$C$38*SIN(2*PI()*(Model_Data!A240)/Inputs!$C$39)*SIN(2*PI()*(0)/Inputs!$C$40)+-Inputs!$C$41*EXP(-(((0)-Inputs!$C$43)^2)/(2*Inputs!$C$44^2))*EXP(-(((Model_Data!A240)-Inputs!$C$42)^2)/(2*Inputs!$C$45^2))+Inputs!$C$48*(0.70*(0.45*SIN(2*PI()*(((Model_Data!A240)/Inputs!$C$49)+Inputs!$C$47*0.137))+0.35*COS(2*PI()*(((0)/Inputs!$C$50)+Inputs!$C$47*0.173))+0.20*SIN(2*PI()*(((Model_Data!A240)+(0))/(0.5*(Inputs!$C$49+Inputs!$C$50))+Inputs!$C$47*0.097)))+0.30*(2*((SIN(((Model_Data!A240)*12.9898+(0)*78.233+Inputs!$C$47*37.719))*43758.5453)-INT((SIN(((Model_Data!A240)*12.9898+(0)*78.233+Inputs!$C$47*37.719))*43758.5453)))-1))))/1000)))*1000/Inputs!$C$12)</x:f>
        <x:v>2744.996085779581</x:v>
      </x:c>
      <x:c r="D240" s="49"/>
      <x:c r="E240" s="48" t="n">
        <x:f>Model_Data!A240</x:f>
        <x:v>59</x:v>
      </x:c>
      <x:c r="F240" s="48" t="n">
        <x:f>(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(0.45*SIN(2*PI()*(((Model_Data!A240)/Inputs!$C$49)+Inputs!$C$47*0.137))+0.35*COS(2*PI()*(((Inputs!$C$6)/Inputs!$C$50)+Inputs!$C$47*0.173))+0.20*SIN(2*PI()*(((Model_Data!A240)+(Inputs!$C$6))/(0.5*(Inputs!$C$49+Inputs!$C$50))+Inputs!$C$47*0.097)))+0.30*(2*((SIN(((Model_Data!A240)*12.9898+(Inputs!$C$6)*78.233+Inputs!$C$47*37.719))*43758.5453)-INT((SIN(((Model_Data!A240)*12.9898+(Inputs!$C$6)*78.233+Inputs!$C$47*37.719))*43758.5453)))-1)))</x:f>
        <x:v>193.74067782731254</x:v>
      </x:c>
      <x:c r="G240" s="48" t="n">
        <x:f>(Inputs!$C$51*(115*EXP(-(((0)-25)^2)/(4.5^2))+70*EXP(-(((0)+38)^2)/(7^2))*(0.55+0.45*SIN(2*PI()*(Model_Data!A240)/45))+24*SIN(2*PI()*(0)/9+(Model_Data!A240)/18)*EXP(-(((0)+5)^2)/(22^2))+18*SIN(2*PI()*(Model_Data!A240)/70))+Inputs!$C$28*EXP(-(((Model_Data!A240)-Inputs!$C$29)^2)/(2*Inputs!$C$31^2))*EXP(-(((0)-Inputs!$C$30)^2)/(2*Inputs!$C$32^2))+-Inputs!$C$33*EXP(-(((((Model_Data!A240)-Inputs!$C$34)^2)+(((0)-Inputs!$C$35)^2))/(2*Inputs!$C$36^2)))+Inputs!$C$37*(0.55*SIN(2*PI()*(Model_Data!A240)/Inputs!$C$39)+0.35*COS(2*PI()*(0)/Inputs!$C$40)+0.2*SIN(2*PI()*((Model_Data!A240)+(0))/(0.5*(Inputs!$C$39+Inputs!$C$40))))+Inputs!$C$38*SIN(2*PI()*(Model_Data!A240)/Inputs!$C$39)*SIN(2*PI()*(0)/Inputs!$C$40)+-Inputs!$C$41*EXP(-(((0)-Inputs!$C$43)^2)/(2*Inputs!$C$44^2))*EXP(-(((Model_Data!A240)-Inputs!$C$42)^2)/(2*Inputs!$C$45^2))+Inputs!$C$48*(0.70*(0.45*SIN(2*PI()*(((Model_Data!A240)/Inputs!$C$49)+Inputs!$C$47*0.137))+0.35*COS(2*PI()*(((0)/Inputs!$C$50)+Inputs!$C$47*0.173))+0.20*SIN(2*PI()*(((Model_Data!A240)+(0))/(0.5*(Inputs!$C$49+Inputs!$C$50))+Inputs!$C$47*0.097)))+0.30*(2*((SIN(((Model_Data!A240)*12.9898+(0)*78.233+Inputs!$C$47*37.719))*43758.5453)-INT((SIN(((Model_Data!A240)*12.9898+(0)*78.233+Inputs!$C$47*37.719))*43758.5453)))-1)))</x:f>
        <x:v>25.687015205000044</x:v>
      </x:c>
      <x:c r="H240" s="49"/>
      <x:c r="I240" s="48" t="n">
        <x:f>Model_Data!A240</x:f>
        <x:v>59</x:v>
      </x:c>
      <x:c r="J240" s="48" t="n">
        <x:f>((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(0.45*SIN(2*PI()*(((Model_Data!A240)/Inputs!$C$49)+Inputs!$C$47*0.137))+0.35*COS(2*PI()*(((Inputs!$C$6)/Inputs!$C$50)+Inputs!$C$47*0.173))+0.20*SIN(2*PI()*(((Model_Data!A240)+(Inputs!$C$6))/(0.5*(Inputs!$C$49+Inputs!$C$50))+Inputs!$C$47*0.097)))+0.30*(2*((SIN(((Model_Data!A240)*12.9898+(Inputs!$C$6)*78.233+Inputs!$C$47*37.719))*43758.5453)-INT((SIN(((Model_Data!A240)*12.9898+(Inputs!$C$6)*78.233+Inputs!$C$47*37.719))*43758.5453)))-1))))-((Inputs!$C$51*(115*EXP(-(((0)-25)^2)/(4.5^2))+70*EXP(-(((0)+38)^2)/(7^2))*(0.55+0.45*SIN(2*PI()*(Model_Data!A240)/45))+24*SIN(2*PI()*(0)/9+(Model_Data!A240)/18)*EXP(-(((0)+5)^2)/(22^2))+18*SIN(2*PI()*(Model_Data!A240)/70))+Inputs!$C$28*EXP(-(((Model_Data!A240)-Inputs!$C$29)^2)/(2*Inputs!$C$31^2))*EXP(-(((0)-Inputs!$C$30)^2)/(2*Inputs!$C$32^2))+-Inputs!$C$33*EXP(-(((((Model_Data!A240)-Inputs!$C$34)^2)+(((0)-Inputs!$C$35)^2))/(2*Inputs!$C$36^2)))+Inputs!$C$37*(0.55*SIN(2*PI()*(Model_Data!A240)/Inputs!$C$39)+0.35*COS(2*PI()*(0)/Inputs!$C$40)+0.2*SIN(2*PI()*((Model_Data!A240)+(0))/(0.5*(Inputs!$C$39+Inputs!$C$40))))+Inputs!$C$38*SIN(2*PI()*(Model_Data!A240)/Inputs!$C$39)*SIN(2*PI()*(0)/Inputs!$C$40)+-Inputs!$C$41*EXP(-(((0)-Inputs!$C$43)^2)/(2*Inputs!$C$44^2))*EXP(-(((Model_Data!A240)-Inputs!$C$42)^2)/(2*Inputs!$C$45^2))+Inputs!$C$48*(0.70*(0.45*SIN(2*PI()*(((Model_Data!A240)/Inputs!$C$49)+Inputs!$C$47*0.137))+0.35*COS(2*PI()*(((0)/Inputs!$C$50)+Inputs!$C$47*0.173))+0.20*SIN(2*PI()*(((Model_Data!A240)+(0))/(0.5*(Inputs!$C$49+Inputs!$C$50))+Inputs!$C$47*0.097)))+0.30*(2*((SIN(((Model_Data!A240)*12.9898+(0)*78.233+Inputs!$C$47*37.719))*43758.5453)-INT((SIN(((Model_Data!A240)*12.9898+(0)*78.233+Inputs!$C$47*37.719))*43758.5453)))-1))))</x:f>
        <x:v>168.0536626223125</x:v>
      </x:c>
      <x:c r="K240" s="48" t="n">
        <x:f>-((((SQRT((Model_Data!A240)^2+Inputs!$C$6^2+((Model_Data!B240)-((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(0.45*SIN(2*PI()*(((Model_Data!A240)/Inputs!$C$49)+Inputs!$C$47*0.137))+0.35*COS(2*PI()*(((Inputs!$C$6)/Inputs!$C$50)+Inputs!$C$47*0.173))+0.20*SIN(2*PI()*(((Model_Data!A240)+(Inputs!$C$6))/(0.5*(Inputs!$C$49+Inputs!$C$50))+Inputs!$C$47*0.097)))+0.30*(2*((SIN(((Model_Data!A240)*12.9898+(Inputs!$C$6)*78.233+Inputs!$C$47*37.719))*43758.5453)-INT((SIN(((Model_Data!A240)*12.9898+(Inputs!$C$6)*78.233+Inputs!$C$47*37.719))*43758.5453)))-1))))/1000)^2))-(((Model_Data!B240)-((Inputs!$C$51*(115*EXP(-(((0)-25)^2)/(4.5^2))+70*EXP(-(((0)+38)^2)/(7^2))*(0.55+0.45*SIN(2*PI()*(Model_Data!A240)/45))+24*SIN(2*PI()*(0)/9+(Model_Data!A240)/18)*EXP(-(((0)+5)^2)/(22^2))+18*SIN(2*PI()*(Model_Data!A240)/70))+Inputs!$C$28*EXP(-(((Model_Data!A240)-Inputs!$C$29)^2)/(2*Inputs!$C$31^2))*EXP(-(((0)-Inputs!$C$30)^2)/(2*Inputs!$C$32^2))+-Inputs!$C$33*EXP(-(((((Model_Data!A240)-Inputs!$C$34)^2)+(((0)-Inputs!$C$35)^2))/(2*Inputs!$C$36^2)))+Inputs!$C$37*(0.55*SIN(2*PI()*(Model_Data!A240)/Inputs!$C$39)+0.35*COS(2*PI()*(0)/Inputs!$C$40)+0.2*SIN(2*PI()*((Model_Data!A240)+(0))/(0.5*(Inputs!$C$39+Inputs!$C$40))))+Inputs!$C$38*SIN(2*PI()*(Model_Data!A240)/Inputs!$C$39)*SIN(2*PI()*(0)/Inputs!$C$40)+-Inputs!$C$41*EXP(-(((0)-Inputs!$C$43)^2)/(2*Inputs!$C$44^2))*EXP(-(((Model_Data!A240)-Inputs!$C$42)^2)/(2*Inputs!$C$45^2))+Inputs!$C$48*(0.70*(0.45*SIN(2*PI()*(((Model_Data!A240)/Inputs!$C$49)+Inputs!$C$47*0.137))+0.35*COS(2*PI()*(((0)/Inputs!$C$50)+Inputs!$C$47*0.173))+0.20*SIN(2*PI()*(((Model_Data!A240)+(0))/(0.5*(Inputs!$C$49+Inputs!$C$50))+Inputs!$C$47*0.097)))+0.30*(2*((SIN(((Model_Data!A240)*12.9898+(0)*78.233+Inputs!$C$47*37.719))*43758.5453)-INT((SIN(((Model_Data!A240)*12.9898+(0)*78.233+Inputs!$C$47*37.719))*43758.5453)))-1))))/1000)))*1000/Inputs!$C$12)-Model_Data!F240)</x:f>
        <x:v>93.06689978398936</x:v>
      </x:c>
      <x:c r="L240" s="49"/>
      <x:c r="M240" s="48" t="n">
        <x:f>Model_Data!A240</x:f>
        <x:v>59</x:v>
      </x:c>
      <x:c r="N240" s="48" t="n">
        <x:f>Model_Data!P240</x:f>
        <x:v>-438.03846929381024</x:v>
      </x:c>
      <x:c r="O240" s="48" t="n">
        <x:f>AC240</x:f>
        <x:v>-468.71764406878356</x:v>
      </x:c>
      <x:c r="P240" s="48" t="n">
        <x:f>Model_Data!Q240</x:f>
        <x:v>-65.77154193600755</x:v>
      </x:c>
      <x:c r="Q240" s="48" t="n">
        <x:f>AD240</x:f>
        <x:v>-70.3780246349525</x:v>
      </x:c>
      <x:c r="R240" s="49"/>
      <x:c r="S240" s="48" t="n">
        <x:f>Model_Data!A240</x:f>
        <x:v>59</x:v>
      </x:c>
      <x:c r="T240" s="48" t="n">
        <x:f>Model_Data!B240-Inputs!$C$5</x:f>
        <x:v>3.8677777777778033</x:v>
      </x:c>
      <x:c r="U240" s="49"/>
      <x:c r="V240" s="48" t="n">
        <x:f>Model_Data!A240</x:f>
        <x:v>59</x:v>
      </x:c>
      <x:c r="W240" s="48" t="n">
        <x:f>(-((((SQRT((Model_Data!A240)^2+Inputs!$C$6^2+((Model_Data!B240)-((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(0.45*SIN(2*PI()*(((Model_Data!A240)/Inputs!$C$49)+Inputs!$C$47*0.137))+0.35*COS(2*PI()*(((Inputs!$C$6)/Inputs!$C$50)+Inputs!$C$47*0.173))+0.20*SIN(2*PI()*(((Model_Data!A240)+(Inputs!$C$6))/(0.5*(Inputs!$C$49+Inputs!$C$50))+Inputs!$C$47*0.097)))+0.30*(2*((SIN(((Model_Data!A240)*12.9898+(Inputs!$C$6)*78.233+Inputs!$C$47*37.719))*43758.5453)-INT((SIN(((Model_Data!A240)*12.9898+(Inputs!$C$6)*78.233+Inputs!$C$47*37.719))*43758.5453)))-1))))/1000)^2))-(((Model_Data!B240)-((Inputs!$C$51*(115*EXP(-(((0)-25)^2)/(4.5^2))+70*EXP(-(((0)+38)^2)/(7^2))*(0.55+0.45*SIN(2*PI()*(Model_Data!A240)/45))+24*SIN(2*PI()*(0)/9+(Model_Data!A240)/18)*EXP(-(((0)+5)^2)/(22^2))+18*SIN(2*PI()*(Model_Data!A240)/70))+Inputs!$C$28*EXP(-(((Model_Data!A240)-Inputs!$C$29)^2)/(2*Inputs!$C$31^2))*EXP(-(((0)-Inputs!$C$30)^2)/(2*Inputs!$C$32^2))+-Inputs!$C$33*EXP(-(((((Model_Data!A240)-Inputs!$C$34)^2)+(((0)-Inputs!$C$35)^2))/(2*Inputs!$C$36^2)))+Inputs!$C$37*(0.55*SIN(2*PI()*(Model_Data!A240)/Inputs!$C$39)+0.35*COS(2*PI()*(0)/Inputs!$C$40)+0.2*SIN(2*PI()*((Model_Data!A240)+(0))/(0.5*(Inputs!$C$39+Inputs!$C$40))))+Inputs!$C$38*SIN(2*PI()*(Model_Data!A240)/Inputs!$C$39)*SIN(2*PI()*(0)/Inputs!$C$40)+-Inputs!$C$41*EXP(-(((0)-Inputs!$C$43)^2)/(2*Inputs!$C$44^2))*EXP(-(((Model_Data!A240)-Inputs!$C$42)^2)/(2*Inputs!$C$45^2))+Inputs!$C$48*(0.70*(0.45*SIN(2*PI()*(((Model_Data!A240)/Inputs!$C$49)+Inputs!$C$47*0.137))+0.35*COS(2*PI()*(((0)/Inputs!$C$50)+Inputs!$C$47*0.173))+0.20*SIN(2*PI()*(((Model_Data!A240)+(0))/(0.5*(Inputs!$C$49+Inputs!$C$50))+Inputs!$C$47*0.097)))+0.30*(2*((SIN(((Model_Data!A240)*12.9898+(0)*78.233+Inputs!$C$47*37.719))*43758.5453)-INT((SIN(((Model_Data!A240)*12.9898+(0)*78.233+Inputs!$C$47*37.719))*43758.5453)))-1))))/1000)))*1000/Inputs!$C$12)-Model_Data!F240))-(-(((SQRT((Model_Data!A240)^2+Inputs!$C$6^2+(Inputs!$C$5-((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(0.45*SIN(2*PI()*(((Model_Data!A240)/Inputs!$C$49)+Inputs!$C$47*0.137))+0.35*COS(2*PI()*(((Inputs!$C$6)/Inputs!$C$50)+Inputs!$C$47*0.173))+0.20*SIN(2*PI()*(((Model_Data!A240)+(Inputs!$C$6))/(0.5*(Inputs!$C$49+Inputs!$C$50))+Inputs!$C$47*0.097)))+0.30*(2*((SIN(((Model_Data!A240)*12.9898+(Inputs!$C$6)*78.233+Inputs!$C$47*37.719))*43758.5453)-INT((SIN(((Model_Data!A240)*12.9898+(Inputs!$C$6)*78.233+Inputs!$C$47*37.719))*43758.5453)))-1))))/1000)^2)-(Inputs!$C$5-((Inputs!$C$51*(115*EXP(-(((0)-25)^2)/(4.5^2))+70*EXP(-(((0)+38)^2)/(7^2))*(0.55+0.45*SIN(2*PI()*(Model_Data!A240)/45))+24*SIN(2*PI()*(0)/9+(Model_Data!A240)/18)*EXP(-(((0)+5)^2)/(22^2))+18*SIN(2*PI()*(Model_Data!A240)/70))+Inputs!$C$28*EXP(-(((Model_Data!A240)-Inputs!$C$29)^2)/(2*Inputs!$C$31^2))*EXP(-(((0)-Inputs!$C$30)^2)/(2*Inputs!$C$32^2))+-Inputs!$C$33*EXP(-(((((Model_Data!A240)-Inputs!$C$34)^2)+(((0)-Inputs!$C$35)^2))/(2*Inputs!$C$36^2)))+Inputs!$C$37*(0.55*SIN(2*PI()*(Model_Data!A240)/Inputs!$C$39)+0.35*COS(2*PI()*(0)/Inputs!$C$40)+0.2*SIN(2*PI()*((Model_Data!A240)+(0))/(0.5*(Inputs!$C$39+Inputs!$C$40))))+Inputs!$C$38*SIN(2*PI()*(Model_Data!A240)/Inputs!$C$39)*SIN(2*PI()*(0)/Inputs!$C$40)+-Inputs!$C$41*EXP(-(((0)-Inputs!$C$43)^2)/(2*Inputs!$C$44^2))*EXP(-(((Model_Data!A240)-Inputs!$C$42)^2)/(2*Inputs!$C$45^2))+Inputs!$C$48*(0.70*(0.45*SIN(2*PI()*(((Model_Data!A240)/Inputs!$C$49)+Inputs!$C$47*0.137))+0.35*COS(2*PI()*(((0)/Inputs!$C$50)+Inputs!$C$47*0.173))+0.20*SIN(2*PI()*(((Model_Data!A240)+(0))/(0.5*(Inputs!$C$49+Inputs!$C$50))+Inputs!$C$47*0.097)))+0.30*(2*((SIN(((Model_Data!A240)*12.9898+(0)*78.233+Inputs!$C$47*37.719))*43758.5453)-INT((SIN(((Model_Data!A240)*12.9898+(0)*78.233+Inputs!$C$47*37.719))*43758.5453)))-1))))/1000))*1000/Inputs!$C$12)-((SQRT((Model_Data!A240)^2+Inputs!$C$6^2+Inputs!$C$5^2)-Inputs!$C$5)*1000/Inputs!$C$12)))</x:f>
        <x:v>0.025656209177668643</x:v>
      </x:c>
      <x:c r="X240" s="48" t="n">
        <x:f>0</x:f>
        <x:v>0</x:v>
      </x:c>
      <x:c r="Y240" s="49"/>
      <x:c r="Z240" s="48" t="n">
        <x:f>Model_Data!A240</x:f>
        <x:v>59</x:v>
      </x:c>
      <x:c r="AA240" s="48" t="n">
        <x:f>SQRT((Model_Data!A240)^2+Inputs!$C$6^2+((Model_Data!B240)-((Inputs!$C$51*(115*EXP(-(((Inputs!$C$6)-25)^2)/(4.5^2))+70*EXP(-(((Inputs!$C$6)+38)^2)/(7^2))*(0.55+0.45*SIN(2*PI()*(Model_Data!A240)/45))+24*SIN(2*PI()*(Inputs!$C$6)/9+(Model_Data!A240)/18)*EXP(-(((Inputs!$C$6)+5)^2)/(22^2))+18*SIN(2*PI()*(Model_Data!A240)/70))+Inputs!$C$28*EXP(-(((Model_Data!A240)-Inputs!$C$29)^2)/(2*Inputs!$C$31^2))*EXP(-(((Inputs!$C$6)-Inputs!$C$30)^2)/(2*Inputs!$C$32^2))+-Inputs!$C$33*EXP(-(((((Model_Data!A240)-Inputs!$C$34)^2)+(((Inputs!$C$6)-Inputs!$C$35)^2))/(2*Inputs!$C$36^2)))+Inputs!$C$37*(0.55*SIN(2*PI()*(Model_Data!A240)/Inputs!$C$39)+0.35*COS(2*PI()*(Inputs!$C$6)/Inputs!$C$40)+0.2*SIN(2*PI()*((Model_Data!A240)+(Inputs!$C$6))/(0.5*(Inputs!$C$39+Inputs!$C$40))))+Inputs!$C$38*SIN(2*PI()*(Model_Data!A240)/Inputs!$C$39)*SIN(2*PI()*(Inputs!$C$6)/Inputs!$C$40)+-Inputs!$C$41*EXP(-(((Inputs!$C$6)-Inputs!$C$43)^2)/(2*Inputs!$C$44^2))*EXP(-(((Model_Data!A240)-Inputs!$C$42)^2)/(2*Inputs!$C$45^2))+Inputs!$C$48*(0.70*(0.45*SIN(2*PI()*(((Model_Data!A240)/Inputs!$C$49)+Inputs!$C$47*0.137))+0.35*COS(2*PI()*(((Inputs!$C$6)/Inputs!$C$50)+Inputs!$C$47*0.173))+0.20*SIN(2*PI()*(((Model_Data!A240)+(Inputs!$C$6))/(0.5*(Inputs!$C$49+Inputs!$C$50))+Inputs!$C$47*0.097)))+0.30*(2*((SIN(((Model_Data!A240)*12.9898+(Inputs!$C$6)*78.233+Inputs!$C$47*37.719))*43758.5453)-INT((SIN(((Model_Data!A240)*12.9898+(Inputs!$C$6)*78.233+Inputs!$C$47*37.719))*43758.5453)))-1))))/1000)^2)</x:f>
        <x:v>408.72818379526046</x:v>
      </x:c>
      <x:c r="AB240" s="48" t="n">
        <x:f>1000*(AA241-AA239)/(Z241-Z239)*Inputs!$C$11</x:f>
        <x:v>1171.794110171959</x:v>
      </x:c>
      <x:c r="AC240" s="48" t="n">
        <x:f>-2*AB240/Inputs!$C$13</x:f>
        <x:v>-468.71764406878356</x:v>
      </x:c>
      <x:c r="AD240" s="48" t="n">
        <x:f>-2*AB240/Inputs!$C$14</x:f>
        <x:v>-70.3780246349525</x:v>
      </x:c>
    </x:row>
    <x:row r="241">
      <x:c r="A241" s="48" t="n">
        <x:f>Model_Data!A241</x:f>
        <x:v>59.5</x:v>
      </x:c>
      <x:c r="B241" s="48" t="n">
        <x:f>Model_Data!F241</x:f>
        <x:v>2878.296646898987</x:v>
      </x:c>
      <x:c r="C241" s="48" t="n">
        <x:f>(((SQRT((Model_Data!A241)^2+Inputs!$C$6^2+((Model_Data!B241)-((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(0.45*SIN(2*PI()*(((Model_Data!A241)/Inputs!$C$49)+Inputs!$C$47*0.137))+0.35*COS(2*PI()*(((Inputs!$C$6)/Inputs!$C$50)+Inputs!$C$47*0.173))+0.20*SIN(2*PI()*(((Model_Data!A241)+(Inputs!$C$6))/(0.5*(Inputs!$C$49+Inputs!$C$50))+Inputs!$C$47*0.097)))+0.30*(2*((SIN(((Model_Data!A241)*12.9898+(Inputs!$C$6)*78.233+Inputs!$C$47*37.719))*43758.5453)-INT((SIN(((Model_Data!A241)*12.9898+(Inputs!$C$6)*78.233+Inputs!$C$47*37.719))*43758.5453)))-1))))/1000)^2))-(((Model_Data!B241)-((Inputs!$C$51*(115*EXP(-(((0)-25)^2)/(4.5^2))+70*EXP(-(((0)+38)^2)/(7^2))*(0.55+0.45*SIN(2*PI()*(Model_Data!A241)/45))+24*SIN(2*PI()*(0)/9+(Model_Data!A241)/18)*EXP(-(((0)+5)^2)/(22^2))+18*SIN(2*PI()*(Model_Data!A241)/70))+Inputs!$C$28*EXP(-(((Model_Data!A241)-Inputs!$C$29)^2)/(2*Inputs!$C$31^2))*EXP(-(((0)-Inputs!$C$30)^2)/(2*Inputs!$C$32^2))+-Inputs!$C$33*EXP(-(((((Model_Data!A241)-Inputs!$C$34)^2)+(((0)-Inputs!$C$35)^2))/(2*Inputs!$C$36^2)))+Inputs!$C$37*(0.55*SIN(2*PI()*(Model_Data!A241)/Inputs!$C$39)+0.35*COS(2*PI()*(0)/Inputs!$C$40)+0.2*SIN(2*PI()*((Model_Data!A241)+(0))/(0.5*(Inputs!$C$39+Inputs!$C$40))))+Inputs!$C$38*SIN(2*PI()*(Model_Data!A241)/Inputs!$C$39)*SIN(2*PI()*(0)/Inputs!$C$40)+-Inputs!$C$41*EXP(-(((0)-Inputs!$C$43)^2)/(2*Inputs!$C$44^2))*EXP(-(((Model_Data!A241)-Inputs!$C$42)^2)/(2*Inputs!$C$45^2))+Inputs!$C$48*(0.70*(0.45*SIN(2*PI()*(((Model_Data!A241)/Inputs!$C$49)+Inputs!$C$47*0.137))+0.35*COS(2*PI()*(((0)/Inputs!$C$50)+Inputs!$C$47*0.173))+0.20*SIN(2*PI()*(((Model_Data!A241)+(0))/(0.5*(Inputs!$C$49+Inputs!$C$50))+Inputs!$C$47*0.097)))+0.30*(2*((SIN(((Model_Data!A241)*12.9898+(0)*78.233+Inputs!$C$47*37.719))*43758.5453)-INT((SIN(((Model_Data!A241)*12.9898+(0)*78.233+Inputs!$C$47*37.719))*43758.5453)))-1))))/1000)))*1000/Inputs!$C$12)</x:f>
        <x:v>2810.2179181485863</x:v>
      </x:c>
      <x:c r="D241" s="49"/>
      <x:c r="E241" s="48" t="n">
        <x:f>Model_Data!A241</x:f>
        <x:v>59.5</x:v>
      </x:c>
      <x:c r="F241" s="48" t="n">
        <x:f>(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(0.45*SIN(2*PI()*(((Model_Data!A241)/Inputs!$C$49)+Inputs!$C$47*0.137))+0.35*COS(2*PI()*(((Inputs!$C$6)/Inputs!$C$50)+Inputs!$C$47*0.173))+0.20*SIN(2*PI()*(((Model_Data!A241)+(Inputs!$C$6))/(0.5*(Inputs!$C$49+Inputs!$C$50))+Inputs!$C$47*0.097)))+0.30*(2*((SIN(((Model_Data!A241)*12.9898+(Inputs!$C$6)*78.233+Inputs!$C$47*37.719))*43758.5453)-INT((SIN(((Model_Data!A241)*12.9898+(Inputs!$C$6)*78.233+Inputs!$C$47*37.719))*43758.5453)))-1)))</x:f>
        <x:v>168.97901642333537</x:v>
      </x:c>
      <x:c r="G241" s="48" t="n">
        <x:f>(Inputs!$C$51*(115*EXP(-(((0)-25)^2)/(4.5^2))+70*EXP(-(((0)+38)^2)/(7^2))*(0.55+0.45*SIN(2*PI()*(Model_Data!A241)/45))+24*SIN(2*PI()*(0)/9+(Model_Data!A241)/18)*EXP(-(((0)+5)^2)/(22^2))+18*SIN(2*PI()*(Model_Data!A241)/70))+Inputs!$C$28*EXP(-(((Model_Data!A241)-Inputs!$C$29)^2)/(2*Inputs!$C$31^2))*EXP(-(((0)-Inputs!$C$30)^2)/(2*Inputs!$C$32^2))+-Inputs!$C$33*EXP(-(((((Model_Data!A241)-Inputs!$C$34)^2)+(((0)-Inputs!$C$35)^2))/(2*Inputs!$C$36^2)))+Inputs!$C$37*(0.55*SIN(2*PI()*(Model_Data!A241)/Inputs!$C$39)+0.35*COS(2*PI()*(0)/Inputs!$C$40)+0.2*SIN(2*PI()*((Model_Data!A241)+(0))/(0.5*(Inputs!$C$39+Inputs!$C$40))))+Inputs!$C$38*SIN(2*PI()*(Model_Data!A241)/Inputs!$C$39)*SIN(2*PI()*(0)/Inputs!$C$40)+-Inputs!$C$41*EXP(-(((0)-Inputs!$C$43)^2)/(2*Inputs!$C$44^2))*EXP(-(((Model_Data!A241)-Inputs!$C$42)^2)/(2*Inputs!$C$45^2))+Inputs!$C$48*(0.70*(0.45*SIN(2*PI()*(((Model_Data!A241)/Inputs!$C$49)+Inputs!$C$47*0.137))+0.35*COS(2*PI()*(((0)/Inputs!$C$50)+Inputs!$C$47*0.173))+0.20*SIN(2*PI()*(((Model_Data!A241)+(0))/(0.5*(Inputs!$C$49+Inputs!$C$50))+Inputs!$C$47*0.097)))+0.30*(2*((SIN(((Model_Data!A241)*12.9898+(0)*78.233+Inputs!$C$47*37.719))*43758.5453)-INT((SIN(((Model_Data!A241)*12.9898+(0)*78.233+Inputs!$C$47*37.719))*43758.5453)))-1)))</x:f>
        <x:v>45.681577079364786</x:v>
      </x:c>
      <x:c r="H241" s="49"/>
      <x:c r="I241" s="48" t="n">
        <x:f>Model_Data!A241</x:f>
        <x:v>59.5</x:v>
      </x:c>
      <x:c r="J241" s="48" t="n">
        <x:f>((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(0.45*SIN(2*PI()*(((Model_Data!A241)/Inputs!$C$49)+Inputs!$C$47*0.137))+0.35*COS(2*PI()*(((Inputs!$C$6)/Inputs!$C$50)+Inputs!$C$47*0.173))+0.20*SIN(2*PI()*(((Model_Data!A241)+(Inputs!$C$6))/(0.5*(Inputs!$C$49+Inputs!$C$50))+Inputs!$C$47*0.097)))+0.30*(2*((SIN(((Model_Data!A241)*12.9898+(Inputs!$C$6)*78.233+Inputs!$C$47*37.719))*43758.5453)-INT((SIN(((Model_Data!A241)*12.9898+(Inputs!$C$6)*78.233+Inputs!$C$47*37.719))*43758.5453)))-1))))-((Inputs!$C$51*(115*EXP(-(((0)-25)^2)/(4.5^2))+70*EXP(-(((0)+38)^2)/(7^2))*(0.55+0.45*SIN(2*PI()*(Model_Data!A241)/45))+24*SIN(2*PI()*(0)/9+(Model_Data!A241)/18)*EXP(-(((0)+5)^2)/(22^2))+18*SIN(2*PI()*(Model_Data!A241)/70))+Inputs!$C$28*EXP(-(((Model_Data!A241)-Inputs!$C$29)^2)/(2*Inputs!$C$31^2))*EXP(-(((0)-Inputs!$C$30)^2)/(2*Inputs!$C$32^2))+-Inputs!$C$33*EXP(-(((((Model_Data!A241)-Inputs!$C$34)^2)+(((0)-Inputs!$C$35)^2))/(2*Inputs!$C$36^2)))+Inputs!$C$37*(0.55*SIN(2*PI()*(Model_Data!A241)/Inputs!$C$39)+0.35*COS(2*PI()*(0)/Inputs!$C$40)+0.2*SIN(2*PI()*((Model_Data!A241)+(0))/(0.5*(Inputs!$C$39+Inputs!$C$40))))+Inputs!$C$38*SIN(2*PI()*(Model_Data!A241)/Inputs!$C$39)*SIN(2*PI()*(0)/Inputs!$C$40)+-Inputs!$C$41*EXP(-(((0)-Inputs!$C$43)^2)/(2*Inputs!$C$44^2))*EXP(-(((Model_Data!A241)-Inputs!$C$42)^2)/(2*Inputs!$C$45^2))+Inputs!$C$48*(0.70*(0.45*SIN(2*PI()*(((Model_Data!A241)/Inputs!$C$49)+Inputs!$C$47*0.137))+0.35*COS(2*PI()*(((0)/Inputs!$C$50)+Inputs!$C$47*0.173))+0.20*SIN(2*PI()*(((Model_Data!A241)+(0))/(0.5*(Inputs!$C$49+Inputs!$C$50))+Inputs!$C$47*0.097)))+0.30*(2*((SIN(((Model_Data!A241)*12.9898+(0)*78.233+Inputs!$C$47*37.719))*43758.5453)-INT((SIN(((Model_Data!A241)*12.9898+(0)*78.233+Inputs!$C$47*37.719))*43758.5453)))-1))))</x:f>
        <x:v>123.29743934397058</x:v>
      </x:c>
      <x:c r="K241" s="48" t="n">
        <x:f>-((((SQRT((Model_Data!A241)^2+Inputs!$C$6^2+((Model_Data!B241)-((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(0.45*SIN(2*PI()*(((Model_Data!A241)/Inputs!$C$49)+Inputs!$C$47*0.137))+0.35*COS(2*PI()*(((Inputs!$C$6)/Inputs!$C$50)+Inputs!$C$47*0.173))+0.20*SIN(2*PI()*(((Model_Data!A241)+(Inputs!$C$6))/(0.5*(Inputs!$C$49+Inputs!$C$50))+Inputs!$C$47*0.097)))+0.30*(2*((SIN(((Model_Data!A241)*12.9898+(Inputs!$C$6)*78.233+Inputs!$C$47*37.719))*43758.5453)-INT((SIN(((Model_Data!A241)*12.9898+(Inputs!$C$6)*78.233+Inputs!$C$47*37.719))*43758.5453)))-1))))/1000)^2))-(((Model_Data!B241)-((Inputs!$C$51*(115*EXP(-(((0)-25)^2)/(4.5^2))+70*EXP(-(((0)+38)^2)/(7^2))*(0.55+0.45*SIN(2*PI()*(Model_Data!A241)/45))+24*SIN(2*PI()*(0)/9+(Model_Data!A241)/18)*EXP(-(((0)+5)^2)/(22^2))+18*SIN(2*PI()*(Model_Data!A241)/70))+Inputs!$C$28*EXP(-(((Model_Data!A241)-Inputs!$C$29)^2)/(2*Inputs!$C$31^2))*EXP(-(((0)-Inputs!$C$30)^2)/(2*Inputs!$C$32^2))+-Inputs!$C$33*EXP(-(((((Model_Data!A241)-Inputs!$C$34)^2)+(((0)-Inputs!$C$35)^2))/(2*Inputs!$C$36^2)))+Inputs!$C$37*(0.55*SIN(2*PI()*(Model_Data!A241)/Inputs!$C$39)+0.35*COS(2*PI()*(0)/Inputs!$C$40)+0.2*SIN(2*PI()*((Model_Data!A241)+(0))/(0.5*(Inputs!$C$39+Inputs!$C$40))))+Inputs!$C$38*SIN(2*PI()*(Model_Data!A241)/Inputs!$C$39)*SIN(2*PI()*(0)/Inputs!$C$40)+-Inputs!$C$41*EXP(-(((0)-Inputs!$C$43)^2)/(2*Inputs!$C$44^2))*EXP(-(((Model_Data!A241)-Inputs!$C$42)^2)/(2*Inputs!$C$45^2))+Inputs!$C$48*(0.70*(0.45*SIN(2*PI()*(((Model_Data!A241)/Inputs!$C$49)+Inputs!$C$47*0.137))+0.35*COS(2*PI()*(((0)/Inputs!$C$50)+Inputs!$C$47*0.173))+0.20*SIN(2*PI()*(((Model_Data!A241)+(0))/(0.5*(Inputs!$C$49+Inputs!$C$50))+Inputs!$C$47*0.097)))+0.30*(2*((SIN(((Model_Data!A241)*12.9898+(0)*78.233+Inputs!$C$47*37.719))*43758.5453)-INT((SIN(((Model_Data!A241)*12.9898+(0)*78.233+Inputs!$C$47*37.719))*43758.5453)))-1))))/1000)))*1000/Inputs!$C$12)-Model_Data!F241)</x:f>
        <x:v>68.07872875040084</x:v>
      </x:c>
      <x:c r="L241" s="49"/>
      <x:c r="M241" s="48" t="n">
        <x:f>Model_Data!A241</x:f>
        <x:v>59.5</x:v>
      </x:c>
      <x:c r="N241" s="48" t="n">
        <x:f>Model_Data!P241</x:f>
        <x:v>-441.63627249395824</x:v>
      </x:c>
      <x:c r="O241" s="48" t="n">
        <x:f>AC241</x:f>
        <x:v>-464.4762424176406</x:v>
      </x:c>
      <x:c r="P241" s="48" t="n">
        <x:f>Model_Data!Q241</x:f>
        <x:v>-66.31175262672046</x:v>
      </x:c>
      <x:c r="Q241" s="48" t="n">
        <x:f>AD241</x:f>
        <x:v>-69.74117754018629</x:v>
      </x:c>
      <x:c r="R241" s="49"/>
      <x:c r="S241" s="48" t="n">
        <x:f>Model_Data!A241</x:f>
        <x:v>59.5</x:v>
      </x:c>
      <x:c r="T241" s="48" t="n">
        <x:f>Model_Data!B241-Inputs!$C$5</x:f>
        <x:v>3.9336111111111336</x:v>
      </x:c>
      <x:c r="U241" s="49"/>
      <x:c r="V241" s="48" t="n">
        <x:f>Model_Data!A241</x:f>
        <x:v>59.5</x:v>
      </x:c>
      <x:c r="W241" s="48" t="n">
        <x:f>(-((((SQRT((Model_Data!A241)^2+Inputs!$C$6^2+((Model_Data!B241)-((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(0.45*SIN(2*PI()*(((Model_Data!A241)/Inputs!$C$49)+Inputs!$C$47*0.137))+0.35*COS(2*PI()*(((Inputs!$C$6)/Inputs!$C$50)+Inputs!$C$47*0.173))+0.20*SIN(2*PI()*(((Model_Data!A241)+(Inputs!$C$6))/(0.5*(Inputs!$C$49+Inputs!$C$50))+Inputs!$C$47*0.097)))+0.30*(2*((SIN(((Model_Data!A241)*12.9898+(Inputs!$C$6)*78.233+Inputs!$C$47*37.719))*43758.5453)-INT((SIN(((Model_Data!A241)*12.9898+(Inputs!$C$6)*78.233+Inputs!$C$47*37.719))*43758.5453)))-1))))/1000)^2))-(((Model_Data!B241)-((Inputs!$C$51*(115*EXP(-(((0)-25)^2)/(4.5^2))+70*EXP(-(((0)+38)^2)/(7^2))*(0.55+0.45*SIN(2*PI()*(Model_Data!A241)/45))+24*SIN(2*PI()*(0)/9+(Model_Data!A241)/18)*EXP(-(((0)+5)^2)/(22^2))+18*SIN(2*PI()*(Model_Data!A241)/70))+Inputs!$C$28*EXP(-(((Model_Data!A241)-Inputs!$C$29)^2)/(2*Inputs!$C$31^2))*EXP(-(((0)-Inputs!$C$30)^2)/(2*Inputs!$C$32^2))+-Inputs!$C$33*EXP(-(((((Model_Data!A241)-Inputs!$C$34)^2)+(((0)-Inputs!$C$35)^2))/(2*Inputs!$C$36^2)))+Inputs!$C$37*(0.55*SIN(2*PI()*(Model_Data!A241)/Inputs!$C$39)+0.35*COS(2*PI()*(0)/Inputs!$C$40)+0.2*SIN(2*PI()*((Model_Data!A241)+(0))/(0.5*(Inputs!$C$39+Inputs!$C$40))))+Inputs!$C$38*SIN(2*PI()*(Model_Data!A241)/Inputs!$C$39)*SIN(2*PI()*(0)/Inputs!$C$40)+-Inputs!$C$41*EXP(-(((0)-Inputs!$C$43)^2)/(2*Inputs!$C$44^2))*EXP(-(((Model_Data!A241)-Inputs!$C$42)^2)/(2*Inputs!$C$45^2))+Inputs!$C$48*(0.70*(0.45*SIN(2*PI()*(((Model_Data!A241)/Inputs!$C$49)+Inputs!$C$47*0.137))+0.35*COS(2*PI()*(((0)/Inputs!$C$50)+Inputs!$C$47*0.173))+0.20*SIN(2*PI()*(((Model_Data!A241)+(0))/(0.5*(Inputs!$C$49+Inputs!$C$50))+Inputs!$C$47*0.097)))+0.30*(2*((SIN(((Model_Data!A241)*12.9898+(0)*78.233+Inputs!$C$47*37.719))*43758.5453)-INT((SIN(((Model_Data!A241)*12.9898+(0)*78.233+Inputs!$C$47*37.719))*43758.5453)))-1))))/1000)))*1000/Inputs!$C$12)-Model_Data!F241))-(-(((SQRT((Model_Data!A241)^2+Inputs!$C$6^2+(Inputs!$C$5-((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(0.45*SIN(2*PI()*(((Model_Data!A241)/Inputs!$C$49)+Inputs!$C$47*0.137))+0.35*COS(2*PI()*(((Inputs!$C$6)/Inputs!$C$50)+Inputs!$C$47*0.173))+0.20*SIN(2*PI()*(((Model_Data!A241)+(Inputs!$C$6))/(0.5*(Inputs!$C$49+Inputs!$C$50))+Inputs!$C$47*0.097)))+0.30*(2*((SIN(((Model_Data!A241)*12.9898+(Inputs!$C$6)*78.233+Inputs!$C$47*37.719))*43758.5453)-INT((SIN(((Model_Data!A241)*12.9898+(Inputs!$C$6)*78.233+Inputs!$C$47*37.719))*43758.5453)))-1))))/1000)^2)-(Inputs!$C$5-((Inputs!$C$51*(115*EXP(-(((0)-25)^2)/(4.5^2))+70*EXP(-(((0)+38)^2)/(7^2))*(0.55+0.45*SIN(2*PI()*(Model_Data!A241)/45))+24*SIN(2*PI()*(0)/9+(Model_Data!A241)/18)*EXP(-(((0)+5)^2)/(22^2))+18*SIN(2*PI()*(Model_Data!A241)/70))+Inputs!$C$28*EXP(-(((Model_Data!A241)-Inputs!$C$29)^2)/(2*Inputs!$C$31^2))*EXP(-(((0)-Inputs!$C$30)^2)/(2*Inputs!$C$32^2))+-Inputs!$C$33*EXP(-(((((Model_Data!A241)-Inputs!$C$34)^2)+(((0)-Inputs!$C$35)^2))/(2*Inputs!$C$36^2)))+Inputs!$C$37*(0.55*SIN(2*PI()*(Model_Data!A241)/Inputs!$C$39)+0.35*COS(2*PI()*(0)/Inputs!$C$40)+0.2*SIN(2*PI()*((Model_Data!A241)+(0))/(0.5*(Inputs!$C$39+Inputs!$C$40))))+Inputs!$C$38*SIN(2*PI()*(Model_Data!A241)/Inputs!$C$39)*SIN(2*PI()*(0)/Inputs!$C$40)+-Inputs!$C$41*EXP(-(((0)-Inputs!$C$43)^2)/(2*Inputs!$C$44^2))*EXP(-(((Model_Data!A241)-Inputs!$C$42)^2)/(2*Inputs!$C$45^2))+Inputs!$C$48*(0.70*(0.45*SIN(2*PI()*(((Model_Data!A241)/Inputs!$C$49)+Inputs!$C$47*0.137))+0.35*COS(2*PI()*(((0)/Inputs!$C$50)+Inputs!$C$47*0.173))+0.20*SIN(2*PI()*(((Model_Data!A241)+(0))/(0.5*(Inputs!$C$49+Inputs!$C$50))+Inputs!$C$47*0.097)))+0.30*(2*((SIN(((Model_Data!A241)*12.9898+(0)*78.233+Inputs!$C$47*37.719))*43758.5453)-INT((SIN(((Model_Data!A241)*12.9898+(0)*78.233+Inputs!$C$47*37.719))*43758.5453)))-1))))/1000))*1000/Inputs!$C$12)-((SQRT((Model_Data!A241)^2+Inputs!$C$6^2+Inputs!$C$5^2)-Inputs!$C$5)*1000/Inputs!$C$12)))</x:f>
        <x:v>0.023066456035394367</x:v>
      </x:c>
      <x:c r="X241" s="48" t="n">
        <x:f>0</x:f>
        <x:v>0</x:v>
      </x:c>
      <x:c r="Y241" s="49"/>
      <x:c r="Z241" s="48" t="n">
        <x:f>Model_Data!A241</x:f>
        <x:v>59.5</x:v>
      </x:c>
      <x:c r="AA241" s="48" t="n">
        <x:f>SQRT((Model_Data!A241)^2+Inputs!$C$6^2+((Model_Data!B241)-((Inputs!$C$51*(115*EXP(-(((Inputs!$C$6)-25)^2)/(4.5^2))+70*EXP(-(((Inputs!$C$6)+38)^2)/(7^2))*(0.55+0.45*SIN(2*PI()*(Model_Data!A241)/45))+24*SIN(2*PI()*(Inputs!$C$6)/9+(Model_Data!A241)/18)*EXP(-(((Inputs!$C$6)+5)^2)/(22^2))+18*SIN(2*PI()*(Model_Data!A241)/70))+Inputs!$C$28*EXP(-(((Model_Data!A241)-Inputs!$C$29)^2)/(2*Inputs!$C$31^2))*EXP(-(((Inputs!$C$6)-Inputs!$C$30)^2)/(2*Inputs!$C$32^2))+-Inputs!$C$33*EXP(-(((((Model_Data!A241)-Inputs!$C$34)^2)+(((Inputs!$C$6)-Inputs!$C$35)^2))/(2*Inputs!$C$36^2)))+Inputs!$C$37*(0.55*SIN(2*PI()*(Model_Data!A241)/Inputs!$C$39)+0.35*COS(2*PI()*(Inputs!$C$6)/Inputs!$C$40)+0.2*SIN(2*PI()*((Model_Data!A241)+(Inputs!$C$6))/(0.5*(Inputs!$C$39+Inputs!$C$40))))+Inputs!$C$38*SIN(2*PI()*(Model_Data!A241)/Inputs!$C$39)*SIN(2*PI()*(Inputs!$C$6)/Inputs!$C$40)+-Inputs!$C$41*EXP(-(((Inputs!$C$6)-Inputs!$C$43)^2)/(2*Inputs!$C$44^2))*EXP(-(((Model_Data!A241)-Inputs!$C$42)^2)/(2*Inputs!$C$45^2))+Inputs!$C$48*(0.70*(0.45*SIN(2*PI()*(((Model_Data!A241)/Inputs!$C$49)+Inputs!$C$47*0.137))+0.35*COS(2*PI()*(((Inputs!$C$6)/Inputs!$C$50)+Inputs!$C$47*0.173))+0.20*SIN(2*PI()*(((Model_Data!A241)+(Inputs!$C$6))/(0.5*(Inputs!$C$49+Inputs!$C$50))+Inputs!$C$47*0.097)))+0.30*(2*((SIN(((Model_Data!A241)*12.9898+(Inputs!$C$6)*78.233+Inputs!$C$47*37.719))*43758.5453)-INT((SIN(((Model_Data!A241)*12.9898+(Inputs!$C$6)*78.233+Inputs!$C$47*37.719))*43758.5453)))-1))))/1000)^2)</x:f>
        <x:v>408.8901174283362</x:v>
      </x:c>
      <x:c r="AB241" s="48" t="n">
        <x:f>1000*(AA242-AA240)/(Z242-Z240)*Inputs!$C$11</x:f>
        <x:v>1161.1906060441015</x:v>
      </x:c>
      <x:c r="AC241" s="48" t="n">
        <x:f>-2*AB241/Inputs!$C$13</x:f>
        <x:v>-464.4762424176406</x:v>
      </x:c>
      <x:c r="AD241" s="48" t="n">
        <x:f>-2*AB241/Inputs!$C$14</x:f>
        <x:v>-69.74117754018629</x:v>
      </x:c>
    </x:row>
    <x:row r="242">
      <x:c r="A242" s="48" t="n">
        <x:f>Model_Data!A242</x:f>
        <x:v>60</x:v>
      </x:c>
      <x:c r="B242" s="48" t="n">
        <x:f>Model_Data!F242</x:f>
        <x:v>2918.849591569284</x:v>
      </x:c>
      <x:c r="C242" s="48" t="n">
        <x:f>(((SQRT((Model_Data!A242)^2+Inputs!$C$6^2+((Model_Data!B242)-((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(0.45*SIN(2*PI()*(((Model_Data!A242)/Inputs!$C$49)+Inputs!$C$47*0.137))+0.35*COS(2*PI()*(((Inputs!$C$6)/Inputs!$C$50)+Inputs!$C$47*0.173))+0.20*SIN(2*PI()*(((Model_Data!A242)+(Inputs!$C$6))/(0.5*(Inputs!$C$49+Inputs!$C$50))+Inputs!$C$47*0.097)))+0.30*(2*((SIN(((Model_Data!A242)*12.9898+(Inputs!$C$6)*78.233+Inputs!$C$47*37.719))*43758.5453)-INT((SIN(((Model_Data!A242)*12.9898+(Inputs!$C$6)*78.233+Inputs!$C$47*37.719))*43758.5453)))-1))))/1000)^2))-(((Model_Data!B242)-((Inputs!$C$51*(115*EXP(-(((0)-25)^2)/(4.5^2))+70*EXP(-(((0)+38)^2)/(7^2))*(0.55+0.45*SIN(2*PI()*(Model_Data!A242)/45))+24*SIN(2*PI()*(0)/9+(Model_Data!A242)/18)*EXP(-(((0)+5)^2)/(22^2))+18*SIN(2*PI()*(Model_Data!A242)/70))+Inputs!$C$28*EXP(-(((Model_Data!A242)-Inputs!$C$29)^2)/(2*Inputs!$C$31^2))*EXP(-(((0)-Inputs!$C$30)^2)/(2*Inputs!$C$32^2))+-Inputs!$C$33*EXP(-(((((Model_Data!A242)-Inputs!$C$34)^2)+(((0)-Inputs!$C$35)^2))/(2*Inputs!$C$36^2)))+Inputs!$C$37*(0.55*SIN(2*PI()*(Model_Data!A242)/Inputs!$C$39)+0.35*COS(2*PI()*(0)/Inputs!$C$40)+0.2*SIN(2*PI()*((Model_Data!A242)+(0))/(0.5*(Inputs!$C$39+Inputs!$C$40))))+Inputs!$C$38*SIN(2*PI()*(Model_Data!A242)/Inputs!$C$39)*SIN(2*PI()*(0)/Inputs!$C$40)+-Inputs!$C$41*EXP(-(((0)-Inputs!$C$43)^2)/(2*Inputs!$C$44^2))*EXP(-(((Model_Data!A242)-Inputs!$C$42)^2)/(2*Inputs!$C$45^2))+Inputs!$C$48*(0.70*(0.45*SIN(2*PI()*(((Model_Data!A242)/Inputs!$C$49)+Inputs!$C$47*0.137))+0.35*COS(2*PI()*(((0)/Inputs!$C$50)+Inputs!$C$47*0.173))+0.20*SIN(2*PI()*(((Model_Data!A242)+(0))/(0.5*(Inputs!$C$49+Inputs!$C$50))+Inputs!$C$47*0.097)))+0.30*(2*((SIN(((Model_Data!A242)*12.9898+(0)*78.233+Inputs!$C$47*37.719))*43758.5453)-INT((SIN(((Model_Data!A242)*12.9898+(0)*78.233+Inputs!$C$47*37.719))*43758.5453)))-1))))/1000)))*1000/Inputs!$C$12)</x:f>
        <x:v>2837.28965038239</x:v>
      </x:c>
      <x:c r="D242" s="49"/>
      <x:c r="E242" s="48" t="n">
        <x:f>Model_Data!A242</x:f>
        <x:v>60</x:v>
      </x:c>
      <x:c r="F242" s="48" t="n">
        <x:f>(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(0.45*SIN(2*PI()*(((Model_Data!A242)/Inputs!$C$49)+Inputs!$C$47*0.137))+0.35*COS(2*PI()*(((Inputs!$C$6)/Inputs!$C$50)+Inputs!$C$47*0.173))+0.20*SIN(2*PI()*(((Model_Data!A242)+(Inputs!$C$6))/(0.5*(Inputs!$C$49+Inputs!$C$50))+Inputs!$C$47*0.097)))+0.30*(2*((SIN(((Model_Data!A242)*12.9898+(Inputs!$C$6)*78.233+Inputs!$C$47*37.719))*43758.5453)-INT((SIN(((Model_Data!A242)*12.9898+(Inputs!$C$6)*78.233+Inputs!$C$47*37.719))*43758.5453)))-1)))</x:f>
        <x:v>179.34901119414707</x:v>
      </x:c>
      <x:c r="G242" s="48" t="n">
        <x:f>(Inputs!$C$51*(115*EXP(-(((0)-25)^2)/(4.5^2))+70*EXP(-(((0)+38)^2)/(7^2))*(0.55+0.45*SIN(2*PI()*(Model_Data!A242)/45))+24*SIN(2*PI()*(0)/9+(Model_Data!A242)/18)*EXP(-(((0)+5)^2)/(22^2))+18*SIN(2*PI()*(Model_Data!A242)/70))+Inputs!$C$28*EXP(-(((Model_Data!A242)-Inputs!$C$29)^2)/(2*Inputs!$C$31^2))*EXP(-(((0)-Inputs!$C$30)^2)/(2*Inputs!$C$32^2))+-Inputs!$C$33*EXP(-(((((Model_Data!A242)-Inputs!$C$34)^2)+(((0)-Inputs!$C$35)^2))/(2*Inputs!$C$36^2)))+Inputs!$C$37*(0.55*SIN(2*PI()*(Model_Data!A242)/Inputs!$C$39)+0.35*COS(2*PI()*(0)/Inputs!$C$40)+0.2*SIN(2*PI()*((Model_Data!A242)+(0))/(0.5*(Inputs!$C$39+Inputs!$C$40))))+Inputs!$C$38*SIN(2*PI()*(Model_Data!A242)/Inputs!$C$39)*SIN(2*PI()*(0)/Inputs!$C$40)+-Inputs!$C$41*EXP(-(((0)-Inputs!$C$43)^2)/(2*Inputs!$C$44^2))*EXP(-(((Model_Data!A242)-Inputs!$C$42)^2)/(2*Inputs!$C$45^2))+Inputs!$C$48*(0.70*(0.45*SIN(2*PI()*(((Model_Data!A242)/Inputs!$C$49)+Inputs!$C$47*0.137))+0.35*COS(2*PI()*(((0)/Inputs!$C$50)+Inputs!$C$47*0.173))+0.20*SIN(2*PI()*(((Model_Data!A242)+(0))/(0.5*(Inputs!$C$49+Inputs!$C$50))+Inputs!$C$47*0.097)))+0.30*(2*((SIN(((Model_Data!A242)*12.9898+(0)*78.233+Inputs!$C$47*37.719))*43758.5453)-INT((SIN(((Model_Data!A242)*12.9898+(0)*78.233+Inputs!$C$47*37.719))*43758.5453)))-1)))</x:f>
        <x:v>31.89413090916895</x:v>
      </x:c>
      <x:c r="H242" s="49"/>
      <x:c r="I242" s="48" t="n">
        <x:f>Model_Data!A242</x:f>
        <x:v>60</x:v>
      </x:c>
      <x:c r="J242" s="48" t="n">
        <x:f>((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(0.45*SIN(2*PI()*(((Model_Data!A242)/Inputs!$C$49)+Inputs!$C$47*0.137))+0.35*COS(2*PI()*(((Inputs!$C$6)/Inputs!$C$50)+Inputs!$C$47*0.173))+0.20*SIN(2*PI()*(((Model_Data!A242)+(Inputs!$C$6))/(0.5*(Inputs!$C$49+Inputs!$C$50))+Inputs!$C$47*0.097)))+0.30*(2*((SIN(((Model_Data!A242)*12.9898+(Inputs!$C$6)*78.233+Inputs!$C$47*37.719))*43758.5453)-INT((SIN(((Model_Data!A242)*12.9898+(Inputs!$C$6)*78.233+Inputs!$C$47*37.719))*43758.5453)))-1))))-((Inputs!$C$51*(115*EXP(-(((0)-25)^2)/(4.5^2))+70*EXP(-(((0)+38)^2)/(7^2))*(0.55+0.45*SIN(2*PI()*(Model_Data!A242)/45))+24*SIN(2*PI()*(0)/9+(Model_Data!A242)/18)*EXP(-(((0)+5)^2)/(22^2))+18*SIN(2*PI()*(Model_Data!A242)/70))+Inputs!$C$28*EXP(-(((Model_Data!A242)-Inputs!$C$29)^2)/(2*Inputs!$C$31^2))*EXP(-(((0)-Inputs!$C$30)^2)/(2*Inputs!$C$32^2))+-Inputs!$C$33*EXP(-(((((Model_Data!A242)-Inputs!$C$34)^2)+(((0)-Inputs!$C$35)^2))/(2*Inputs!$C$36^2)))+Inputs!$C$37*(0.55*SIN(2*PI()*(Model_Data!A242)/Inputs!$C$39)+0.35*COS(2*PI()*(0)/Inputs!$C$40)+0.2*SIN(2*PI()*((Model_Data!A242)+(0))/(0.5*(Inputs!$C$39+Inputs!$C$40))))+Inputs!$C$38*SIN(2*PI()*(Model_Data!A242)/Inputs!$C$39)*SIN(2*PI()*(0)/Inputs!$C$40)+-Inputs!$C$41*EXP(-(((0)-Inputs!$C$43)^2)/(2*Inputs!$C$44^2))*EXP(-(((Model_Data!A242)-Inputs!$C$42)^2)/(2*Inputs!$C$45^2))+Inputs!$C$48*(0.70*(0.45*SIN(2*PI()*(((Model_Data!A242)/Inputs!$C$49)+Inputs!$C$47*0.137))+0.35*COS(2*PI()*(((0)/Inputs!$C$50)+Inputs!$C$47*0.173))+0.20*SIN(2*PI()*(((Model_Data!A242)+(0))/(0.5*(Inputs!$C$49+Inputs!$C$50))+Inputs!$C$47*0.097)))+0.30*(2*((SIN(((Model_Data!A242)*12.9898+(0)*78.233+Inputs!$C$47*37.719))*43758.5453)-INT((SIN(((Model_Data!A242)*12.9898+(0)*78.233+Inputs!$C$47*37.719))*43758.5453)))-1))))</x:f>
        <x:v>147.45488028497812</x:v>
      </x:c>
      <x:c r="K242" s="48" t="n">
        <x:f>-((((SQRT((Model_Data!A242)^2+Inputs!$C$6^2+((Model_Data!B242)-((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(0.45*SIN(2*PI()*(((Model_Data!A242)/Inputs!$C$49)+Inputs!$C$47*0.137))+0.35*COS(2*PI()*(((Inputs!$C$6)/Inputs!$C$50)+Inputs!$C$47*0.173))+0.20*SIN(2*PI()*(((Model_Data!A242)+(Inputs!$C$6))/(0.5*(Inputs!$C$49+Inputs!$C$50))+Inputs!$C$47*0.097)))+0.30*(2*((SIN(((Model_Data!A242)*12.9898+(Inputs!$C$6)*78.233+Inputs!$C$47*37.719))*43758.5453)-INT((SIN(((Model_Data!A242)*12.9898+(Inputs!$C$6)*78.233+Inputs!$C$47*37.719))*43758.5453)))-1))))/1000)^2))-(((Model_Data!B242)-((Inputs!$C$51*(115*EXP(-(((0)-25)^2)/(4.5^2))+70*EXP(-(((0)+38)^2)/(7^2))*(0.55+0.45*SIN(2*PI()*(Model_Data!A242)/45))+24*SIN(2*PI()*(0)/9+(Model_Data!A242)/18)*EXP(-(((0)+5)^2)/(22^2))+18*SIN(2*PI()*(Model_Data!A242)/70))+Inputs!$C$28*EXP(-(((Model_Data!A242)-Inputs!$C$29)^2)/(2*Inputs!$C$31^2))*EXP(-(((0)-Inputs!$C$30)^2)/(2*Inputs!$C$32^2))+-Inputs!$C$33*EXP(-(((((Model_Data!A242)-Inputs!$C$34)^2)+(((0)-Inputs!$C$35)^2))/(2*Inputs!$C$36^2)))+Inputs!$C$37*(0.55*SIN(2*PI()*(Model_Data!A242)/Inputs!$C$39)+0.35*COS(2*PI()*(0)/Inputs!$C$40)+0.2*SIN(2*PI()*((Model_Data!A242)+(0))/(0.5*(Inputs!$C$39+Inputs!$C$40))))+Inputs!$C$38*SIN(2*PI()*(Model_Data!A242)/Inputs!$C$39)*SIN(2*PI()*(0)/Inputs!$C$40)+-Inputs!$C$41*EXP(-(((0)-Inputs!$C$43)^2)/(2*Inputs!$C$44^2))*EXP(-(((Model_Data!A242)-Inputs!$C$42)^2)/(2*Inputs!$C$45^2))+Inputs!$C$48*(0.70*(0.45*SIN(2*PI()*(((Model_Data!A242)/Inputs!$C$49)+Inputs!$C$47*0.137))+0.35*COS(2*PI()*(((0)/Inputs!$C$50)+Inputs!$C$47*0.173))+0.20*SIN(2*PI()*(((Model_Data!A242)+(0))/(0.5*(Inputs!$C$49+Inputs!$C$50))+Inputs!$C$47*0.097)))+0.30*(2*((SIN(((Model_Data!A242)*12.9898+(0)*78.233+Inputs!$C$47*37.719))*43758.5453)-INT((SIN(((Model_Data!A242)*12.9898+(0)*78.233+Inputs!$C$47*37.719))*43758.5453)))-1))))/1000)))*1000/Inputs!$C$12)-Model_Data!F242)</x:f>
        <x:v>81.55994118689387</x:v>
      </x:c>
      <x:c r="L242" s="49"/>
      <x:c r="M242" s="48" t="n">
        <x:f>Model_Data!A242</x:f>
        <x:v>60</x:v>
      </x:c>
      <x:c r="N242" s="48" t="n">
        <x:f>Model_Data!P242</x:f>
        <x:v>-445.23129749250427</x:v>
      </x:c>
      <x:c r="O242" s="48" t="n">
        <x:f>AC242</x:f>
        <x:v>-410.7648589928431</x:v>
      </x:c>
      <x:c r="P242" s="48" t="n">
        <x:f>Model_Data!Q242</x:f>
        <x:v>-66.8515461700457</x:v>
      </x:c>
      <x:c r="Q242" s="48" t="n">
        <x:f>AD242</x:f>
        <x:v>-61.676405254180644</x:v>
      </x:c>
      <x:c r="R242" s="49"/>
      <x:c r="S242" s="48" t="n">
        <x:f>Model_Data!A242</x:f>
        <x:v>60</x:v>
      </x:c>
      <x:c r="T242" s="48" t="n">
        <x:f>Model_Data!B242-Inputs!$C$5</x:f>
        <x:v>4</x:v>
      </x:c>
      <x:c r="U242" s="49"/>
      <x:c r="V242" s="48" t="n">
        <x:f>Model_Data!A242</x:f>
        <x:v>60</x:v>
      </x:c>
      <x:c r="W242" s="48" t="n">
        <x:f>(-((((SQRT((Model_Data!A242)^2+Inputs!$C$6^2+((Model_Data!B242)-((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(0.45*SIN(2*PI()*(((Model_Data!A242)/Inputs!$C$49)+Inputs!$C$47*0.137))+0.35*COS(2*PI()*(((Inputs!$C$6)/Inputs!$C$50)+Inputs!$C$47*0.173))+0.20*SIN(2*PI()*(((Model_Data!A242)+(Inputs!$C$6))/(0.5*(Inputs!$C$49+Inputs!$C$50))+Inputs!$C$47*0.097)))+0.30*(2*((SIN(((Model_Data!A242)*12.9898+(Inputs!$C$6)*78.233+Inputs!$C$47*37.719))*43758.5453)-INT((SIN(((Model_Data!A242)*12.9898+(Inputs!$C$6)*78.233+Inputs!$C$47*37.719))*43758.5453)))-1))))/1000)^2))-(((Model_Data!B242)-((Inputs!$C$51*(115*EXP(-(((0)-25)^2)/(4.5^2))+70*EXP(-(((0)+38)^2)/(7^2))*(0.55+0.45*SIN(2*PI()*(Model_Data!A242)/45))+24*SIN(2*PI()*(0)/9+(Model_Data!A242)/18)*EXP(-(((0)+5)^2)/(22^2))+18*SIN(2*PI()*(Model_Data!A242)/70))+Inputs!$C$28*EXP(-(((Model_Data!A242)-Inputs!$C$29)^2)/(2*Inputs!$C$31^2))*EXP(-(((0)-Inputs!$C$30)^2)/(2*Inputs!$C$32^2))+-Inputs!$C$33*EXP(-(((((Model_Data!A242)-Inputs!$C$34)^2)+(((0)-Inputs!$C$35)^2))/(2*Inputs!$C$36^2)))+Inputs!$C$37*(0.55*SIN(2*PI()*(Model_Data!A242)/Inputs!$C$39)+0.35*COS(2*PI()*(0)/Inputs!$C$40)+0.2*SIN(2*PI()*((Model_Data!A242)+(0))/(0.5*(Inputs!$C$39+Inputs!$C$40))))+Inputs!$C$38*SIN(2*PI()*(Model_Data!A242)/Inputs!$C$39)*SIN(2*PI()*(0)/Inputs!$C$40)+-Inputs!$C$41*EXP(-(((0)-Inputs!$C$43)^2)/(2*Inputs!$C$44^2))*EXP(-(((Model_Data!A242)-Inputs!$C$42)^2)/(2*Inputs!$C$45^2))+Inputs!$C$48*(0.70*(0.45*SIN(2*PI()*(((Model_Data!A242)/Inputs!$C$49)+Inputs!$C$47*0.137))+0.35*COS(2*PI()*(((0)/Inputs!$C$50)+Inputs!$C$47*0.173))+0.20*SIN(2*PI()*(((Model_Data!A242)+(0))/(0.5*(Inputs!$C$49+Inputs!$C$50))+Inputs!$C$47*0.097)))+0.30*(2*((SIN(((Model_Data!A242)*12.9898+(0)*78.233+Inputs!$C$47*37.719))*43758.5453)-INT((SIN(((Model_Data!A242)*12.9898+(0)*78.233+Inputs!$C$47*37.719))*43758.5453)))-1))))/1000)))*1000/Inputs!$C$12)-Model_Data!F242))-(-(((SQRT((Model_Data!A242)^2+Inputs!$C$6^2+(Inputs!$C$5-((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(0.45*SIN(2*PI()*(((Model_Data!A242)/Inputs!$C$49)+Inputs!$C$47*0.137))+0.35*COS(2*PI()*(((Inputs!$C$6)/Inputs!$C$50)+Inputs!$C$47*0.173))+0.20*SIN(2*PI()*(((Model_Data!A242)+(Inputs!$C$6))/(0.5*(Inputs!$C$49+Inputs!$C$50))+Inputs!$C$47*0.097)))+0.30*(2*((SIN(((Model_Data!A242)*12.9898+(Inputs!$C$6)*78.233+Inputs!$C$47*37.719))*43758.5453)-INT((SIN(((Model_Data!A242)*12.9898+(Inputs!$C$6)*78.233+Inputs!$C$47*37.719))*43758.5453)))-1))))/1000)^2)-(Inputs!$C$5-((Inputs!$C$51*(115*EXP(-(((0)-25)^2)/(4.5^2))+70*EXP(-(((0)+38)^2)/(7^2))*(0.55+0.45*SIN(2*PI()*(Model_Data!A242)/45))+24*SIN(2*PI()*(0)/9+(Model_Data!A242)/18)*EXP(-(((0)+5)^2)/(22^2))+18*SIN(2*PI()*(Model_Data!A242)/70))+Inputs!$C$28*EXP(-(((Model_Data!A242)-Inputs!$C$29)^2)/(2*Inputs!$C$31^2))*EXP(-(((0)-Inputs!$C$30)^2)/(2*Inputs!$C$32^2))+-Inputs!$C$33*EXP(-(((((Model_Data!A242)-Inputs!$C$34)^2)+(((0)-Inputs!$C$35)^2))/(2*Inputs!$C$36^2)))+Inputs!$C$37*(0.55*SIN(2*PI()*(Model_Data!A242)/Inputs!$C$39)+0.35*COS(2*PI()*(0)/Inputs!$C$40)+0.2*SIN(2*PI()*((Model_Data!A242)+(0))/(0.5*(Inputs!$C$39+Inputs!$C$40))))+Inputs!$C$38*SIN(2*PI()*(Model_Data!A242)/Inputs!$C$39)*SIN(2*PI()*(0)/Inputs!$C$40)+-Inputs!$C$41*EXP(-(((0)-Inputs!$C$43)^2)/(2*Inputs!$C$44^2))*EXP(-(((Model_Data!A242)-Inputs!$C$42)^2)/(2*Inputs!$C$45^2))+Inputs!$C$48*(0.70*(0.45*SIN(2*PI()*(((Model_Data!A242)/Inputs!$C$49)+Inputs!$C$47*0.137))+0.35*COS(2*PI()*(((0)/Inputs!$C$50)+Inputs!$C$47*0.173))+0.20*SIN(2*PI()*(((Model_Data!A242)+(0))/(0.5*(Inputs!$C$49+Inputs!$C$50))+Inputs!$C$47*0.097)))+0.30*(2*((SIN(((Model_Data!A242)*12.9898+(0)*78.233+Inputs!$C$47*37.719))*43758.5453)-INT((SIN(((Model_Data!A242)*12.9898+(0)*78.233+Inputs!$C$47*37.719))*43758.5453)))-1))))/1000))*1000/Inputs!$C$12)-((SQRT((Model_Data!A242)^2+Inputs!$C$6^2+Inputs!$C$5^2)-Inputs!$C$5)*1000/Inputs!$C$12)))</x:f>
        <x:v>0.02523356200890703</x:v>
      </x:c>
      <x:c r="X242" s="48" t="n">
        <x:f>0</x:f>
        <x:v>0</x:v>
      </x:c>
      <x:c r="Y242" s="49"/>
      <x:c r="Z242" s="48" t="n">
        <x:f>Model_Data!A242</x:f>
        <x:v>60</x:v>
      </x:c>
      <x:c r="AA242" s="48" t="n">
        <x:f>SQRT((Model_Data!A242)^2+Inputs!$C$6^2+((Model_Data!B242)-((Inputs!$C$51*(115*EXP(-(((Inputs!$C$6)-25)^2)/(4.5^2))+70*EXP(-(((Inputs!$C$6)+38)^2)/(7^2))*(0.55+0.45*SIN(2*PI()*(Model_Data!A242)/45))+24*SIN(2*PI()*(Inputs!$C$6)/9+(Model_Data!A242)/18)*EXP(-(((Inputs!$C$6)+5)^2)/(22^2))+18*SIN(2*PI()*(Model_Data!A242)/70))+Inputs!$C$28*EXP(-(((Model_Data!A242)-Inputs!$C$29)^2)/(2*Inputs!$C$31^2))*EXP(-(((Inputs!$C$6)-Inputs!$C$30)^2)/(2*Inputs!$C$32^2))+-Inputs!$C$33*EXP(-(((((Model_Data!A242)-Inputs!$C$34)^2)+(((Inputs!$C$6)-Inputs!$C$35)^2))/(2*Inputs!$C$36^2)))+Inputs!$C$37*(0.55*SIN(2*PI()*(Model_Data!A242)/Inputs!$C$39)+0.35*COS(2*PI()*(Inputs!$C$6)/Inputs!$C$40)+0.2*SIN(2*PI()*((Model_Data!A242)+(Inputs!$C$6))/(0.5*(Inputs!$C$39+Inputs!$C$40))))+Inputs!$C$38*SIN(2*PI()*(Model_Data!A242)/Inputs!$C$39)*SIN(2*PI()*(Inputs!$C$6)/Inputs!$C$40)+-Inputs!$C$41*EXP(-(((Inputs!$C$6)-Inputs!$C$43)^2)/(2*Inputs!$C$44^2))*EXP(-(((Model_Data!A242)-Inputs!$C$42)^2)/(2*Inputs!$C$45^2))+Inputs!$C$48*(0.70*(0.45*SIN(2*PI()*(((Model_Data!A242)/Inputs!$C$49)+Inputs!$C$47*0.137))+0.35*COS(2*PI()*(((Inputs!$C$6)/Inputs!$C$50)+Inputs!$C$47*0.173))+0.20*SIN(2*PI()*(((Model_Data!A242)+(Inputs!$C$6))/(0.5*(Inputs!$C$49+Inputs!$C$50))+Inputs!$C$47*0.097)))+0.30*(2*((SIN(((Model_Data!A242)*12.9898+(Inputs!$C$6)*78.233+Inputs!$C$47*37.719))*43758.5453)-INT((SIN(((Model_Data!A242)*12.9898+(Inputs!$C$6)*78.233+Inputs!$C$47*37.719))*43758.5453)))-1))))/1000)^2)</x:f>
        <x:v>409.0184814467715</x:v>
      </x:c>
      <x:c r="AB242" s="48" t="n">
        <x:f>1000*(AA242-AA241)/(Z242-Z241)*Inputs!$C$11</x:f>
        <x:v>1026.9121474821077</x:v>
      </x:c>
      <x:c r="AC242" s="48" t="n">
        <x:f>-2*AB242/Inputs!$C$13</x:f>
        <x:v>-410.7648589928431</x:v>
      </x:c>
      <x:c r="AD242" s="48" t="n">
        <x:f>-2*AB242/Inputs!$C$14</x:f>
        <x:v>-61.676405254180644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0" hidden="0" customWidth="1"/>
    <x:col min="4" max="4" width="30" hidden="0" customWidth="1"/>
    <x:col min="5" max="5" width="32" hidden="0" customWidth="1"/>
    <x:col min="6" max="6" width="4" hidden="0" customWidth="1"/>
    <x:col min="7" max="7" width="12" hidden="0" customWidth="1"/>
    <x:col min="8" max="8" width="30" hidden="0" customWidth="1"/>
    <x:col min="9" max="9" width="34" hidden="0" customWidth="1"/>
    <x:col min="10" max="10" width="34" hidden="0" customWidth="1"/>
    <x:col min="11" max="11" width="36" hidden="0" customWidth="1"/>
    <x:col min="12" max="12" width="4" hidden="0" customWidth="1"/>
    <x:col min="13" max="13" width="12" hidden="0" customWidth="1"/>
    <x:col min="14" max="14" width="30" hidden="0" customWidth="1"/>
    <x:col min="15" max="15" width="34" hidden="0" customWidth="1"/>
    <x:col min="16" max="16" width="34" hidden="0" customWidth="1"/>
    <x:col min="17" max="17" width="36" hidden="0" customWidth="1"/>
    <x:col min="18" max="18" width="4" hidden="0" customWidth="1"/>
    <x:col min="19" max="19" width="12" hidden="0" customWidth="1"/>
    <x:col min="20" max="20" width="24" hidden="0" customWidth="1"/>
    <x:col min="21" max="21" width="30" hidden="0" customWidth="1"/>
    <x:col min="22" max="22" width="30" hidden="0" customWidth="1"/>
    <x:col min="23" max="23" width="32" hidden="0" customWidth="1"/>
    <x:col min="25" max="25" width="12" hidden="0" customWidth="1"/>
    <x:col min="26" max="26" width="24" hidden="0" customWidth="1"/>
    <x:col min="27" max="27" width="30" hidden="0" customWidth="1"/>
    <x:col min="28" max="28" width="30" hidden="0" customWidth="1"/>
    <x:col min="29" max="29" width="32" hidden="0" customWidth="1"/>
    <x:col min="31" max="31" width="12" hidden="0" customWidth="1"/>
    <x:col min="32" max="32" width="30" hidden="0" customWidth="1"/>
    <x:col min="33" max="33" width="34" hidden="0" customWidth="1"/>
    <x:col min="34" max="34" width="34" hidden="0" customWidth="1"/>
    <x:col min="35" max="35" width="36" hidden="0" customWidth="1"/>
    <x:col min="37" max="37" width="12" hidden="0" customWidth="1"/>
    <x:col min="38" max="38" width="30" hidden="0" customWidth="1"/>
    <x:col min="39" max="39" width="34" hidden="0" customWidth="1"/>
    <x:col min="40" max="40" width="34" hidden="0" customWidth="1"/>
    <x:col min="41" max="41" width="36" hidden="0" customWidth="1"/>
  </x:cols>
  <x:sheetData>
    <x:row r="1">
      <x:c r="A1" s="14" t="str">
        <x:v>pass fraction</x:v>
      </x:c>
      <x:c r="B1" s="14" t="str">
        <x:v>Current custom inputs altitude (km)</x:v>
      </x:c>
      <x:c r="C1" s="14" t="str">
        <x:v>Paper low-altitude 800-km pass altitude (km)</x:v>
      </x:c>
      <x:c r="D1" s="14" t="str">
        <x:v>Paper ice-ocean 1600-km pass altitude (km)</x:v>
      </x:c>
      <x:c r="E1" s="14" t="str">
        <x:v>Paper operating 25-to-1000-km pass altitude (km)</x:v>
      </x:c>
      <x:c r="G1" s="14" t="str">
        <x:v>pass fraction</x:v>
      </x:c>
      <x:c r="H1" s="14" t="str">
        <x:v>Current custom inputs apparent depth (m)</x:v>
      </x:c>
      <x:c r="I1" s="14" t="str">
        <x:v>Paper low-altitude 800-km pass apparent depth (m)</x:v>
      </x:c>
      <x:c r="J1" s="14" t="str">
        <x:v>Paper ice-ocean 1600-km pass apparent depth (m)</x:v>
      </x:c>
      <x:c r="K1" s="14" t="str">
        <x:v>Paper operating 25-to-1000-km pass apparent depth (m)</x:v>
      </x:c>
      <x:c r="M1" s="14" t="str">
        <x:v>pass fraction</x:v>
      </x:c>
      <x:c r="N1" s="14" t="str">
        <x:v>Current custom inputs VHF Doppler (Hz)</x:v>
      </x:c>
      <x:c r="O1" s="14" t="str">
        <x:v>Paper low-altitude 800-km pass VHF Doppler (Hz)</x:v>
      </x:c>
      <x:c r="P1" s="14" t="str">
        <x:v>Paper ice-ocean 1600-km pass VHF Doppler (Hz)</x:v>
      </x:c>
      <x:c r="Q1" s="14" t="str">
        <x:v>Paper operating 25-to-1000-km pass VHF Doppler (Hz)</x:v>
      </x:c>
      <x:c r="S1" s="14" t="str">
        <x:v>pass fraction</x:v>
      </x:c>
      <x:c r="T1" s="14" t="str">
        <x:v>Current custom inputs x (km)</x:v>
      </x:c>
      <x:c r="U1" s="14" t="str">
        <x:v>Paper low-altitude 800-km pass x (km)</x:v>
      </x:c>
      <x:c r="V1" s="14" t="str">
        <x:v>Paper ice-ocean 1600-km pass x (km)</x:v>
      </x:c>
      <x:c r="W1" s="14" t="str">
        <x:v>Paper operating 25-to-1000-km pass x (km)</x:v>
      </x:c>
      <x:c r="Y1" s="14" t="str">
        <x:v>pass fraction</x:v>
      </x:c>
      <x:c r="Z1" s="14" t="str">
        <x:v>Current custom inputs raw altitude (km)</x:v>
      </x:c>
      <x:c r="AA1" s="14" t="str">
        <x:v>Paper low-altitude 800-km pass raw altitude (km)</x:v>
      </x:c>
      <x:c r="AB1" s="14" t="str">
        <x:v>Paper ice-ocean 1600-km pass raw altitude (km)</x:v>
      </x:c>
      <x:c r="AC1" s="14" t="str">
        <x:v>Paper operating 25-to-1000-km pass raw altitude (km)</x:v>
      </x:c>
      <x:c r="AE1" s="14" t="str">
        <x:v>pass fraction</x:v>
      </x:c>
      <x:c r="AF1" s="14" t="str">
        <x:v>Current custom inputs raw apparent depth (m)</x:v>
      </x:c>
      <x:c r="AG1" s="14" t="str">
        <x:v>Paper low-altitude 800-km pass raw apparent depth (m)</x:v>
      </x:c>
      <x:c r="AH1" s="14" t="str">
        <x:v>Paper ice-ocean 1600-km pass raw apparent depth (m)</x:v>
      </x:c>
      <x:c r="AI1" s="14" t="str">
        <x:v>Paper operating 25-to-1000-km pass raw apparent depth (m)</x:v>
      </x:c>
      <x:c r="AK1" s="14" t="str">
        <x:v>pass fraction</x:v>
      </x:c>
      <x:c r="AL1" s="14" t="str">
        <x:v>Current custom inputs raw VHF Doppler (Hz)</x:v>
      </x:c>
      <x:c r="AM1" s="14" t="str">
        <x:v>Paper low-altitude 800-km pass raw VHF Doppler (Hz)</x:v>
      </x:c>
      <x:c r="AN1" s="14" t="str">
        <x:v>Paper ice-ocean 1600-km pass raw VHF Doppler (Hz)</x:v>
      </x:c>
      <x:c r="AO1" s="14" t="str">
        <x:v>Paper operating 25-to-1000-km pass raw VHF Doppler (Hz)</x:v>
      </x:c>
    </x:row>
    <x:row r="2">
      <x:c r="A2" s="48" t="n">
        <x:f>ROUND(-1+0*2/240,3)</x:f>
        <x:v>-1</x:v>
      </x:c>
      <x:c r="B2" s="48" t="n">
        <x:f>IF(OR(Inputs!$F$6=TRUE,Inputs!$F$6="TRUE",Inputs!$F$6=1),(Inputs!$H$6+Inputs!$L$6*(((Inputs!$I$6+(((A2)+1)/2)*(Inputs!$J$6-Inputs!$I$6)))/Inputs!$K$6)^2),NA())</x:f>
        <x:v>404</x:v>
      </x:c>
      <x:c r="C2" s="48" t="n">
        <x:f>IF(OR(Inputs!$F$7=TRUE,Inputs!$F$7="TRUE",Inputs!$F$7=1),(Inputs!$H$7+Inputs!$L$7*(((Inputs!$I$7+(((A2)+1)/2)*(Inputs!$J$7-Inputs!$I$7)))/Inputs!$K$7)^2),NA())</x:f>
        <x:v>400</x:v>
      </x:c>
      <x:c r="D2" s="48" t="n">
        <x:f>IF(OR(Inputs!$F$8=TRUE,Inputs!$F$8="TRUE",Inputs!$F$8=1),(Inputs!$H$8+Inputs!$L$8*(((Inputs!$I$8+(((A2)+1)/2)*(Inputs!$J$8-Inputs!$I$8)))/Inputs!$K$8)^2),NA())</x:f>
        <x:v>1000</x:v>
      </x:c>
      <x:c r="E2" s="48" t="n">
        <x:f>IF(OR(Inputs!$F$9=TRUE,Inputs!$F$9="TRUE",Inputs!$F$9=1),(Inputs!$H$9+Inputs!$L$9*(((Inputs!$I$9+(((A2)+1)/2)*(Inputs!$J$9-Inputs!$I$9)))/Inputs!$K$9)^2),NA())</x:f>
        <x:v>1000</x:v>
      </x:c>
      <x:c r="F2" s="49"/>
      <x:c r="G2" s="48" t="n">
        <x:f>A2</x:f>
        <x:v>-1</x:v>
      </x:c>
      <x:c r="H2" s="48" t="n">
        <x:f>IF(OR(Inputs!$F$6=TRUE,Inputs!$F$6="TRUE",Inputs!$F$6=1),(((SQRT(((Inputs!$I$6+(((A2)+1)/2)*(Inputs!$J$6-Inputs!$I$6)))^2+Inputs!$C$6^2+((Inputs!$H$6+Inputs!$L$6*(((Inputs!$I$6+(((A2)+1)/2)*(Inputs!$J$6-Inputs!$I$6)))/Inputs!$K$6)^2))^2))-((Inputs!$H$6+Inputs!$L$6*(((Inputs!$I$6+(((A2)+1)/2)*(Inputs!$J$6-Inputs!$I$6)))/Inputs!$K$6)^2)))*1000/Inputs!$C$12),NA())</x:f>
        <x:v>2918.849591569284</x:v>
      </x:c>
      <x:c r="I2" s="48" t="n">
        <x:f>IF(OR(Inputs!$F$7=TRUE,Inputs!$F$7="TRUE",Inputs!$F$7=1),(((SQRT(((Inputs!$I$7+(((A2)+1)/2)*(Inputs!$J$7-Inputs!$I$7)))^2+Inputs!$C$6^2+((Inputs!$H$7+Inputs!$L$7*(((Inputs!$I$7+(((A2)+1)/2)*(Inputs!$J$7-Inputs!$I$7)))/Inputs!$K$7)^2))^2))-((Inputs!$H$7+Inputs!$L$7*(((Inputs!$I$7+(((A2)+1)/2)*(Inputs!$J$7-Inputs!$I$7)))/Inputs!$K$7)^2)))*1000/Inputs!$C$12),NA())</x:f>
        <x:v>93391.9003625316</x:v>
      </x:c>
      <x:c r="J2" s="48" t="n">
        <x:f>IF(OR(Inputs!$F$8=TRUE,Inputs!$F$8="TRUE",Inputs!$F$8=1),(((SQRT(((Inputs!$I$8+(((A2)+1)/2)*(Inputs!$J$8-Inputs!$I$8)))^2+Inputs!$C$6^2+((Inputs!$H$8+Inputs!$L$8*(((Inputs!$I$8+(((A2)+1)/2)*(Inputs!$J$8-Inputs!$I$8)))/Inputs!$K$8)^2))^2))-((Inputs!$H$8+Inputs!$L$8*(((Inputs!$I$8+(((A2)+1)/2)*(Inputs!$J$8-Inputs!$I$8)))/Inputs!$K$8)^2)))*1000/Inputs!$C$12),NA())</x:f>
        <x:v>157791.48637356728</x:v>
      </x:c>
      <x:c r="K2" s="48" t="n">
        <x:f>IF(OR(Inputs!$F$9=TRUE,Inputs!$F$9="TRUE",Inputs!$F$9=1),(((SQRT(((Inputs!$I$9+(((A2)+1)/2)*(Inputs!$J$9-Inputs!$I$9)))^2+Inputs!$C$6^2+((Inputs!$H$9+Inputs!$L$9*(((Inputs!$I$9+(((A2)+1)/2)*(Inputs!$J$9-Inputs!$I$9)))/Inputs!$K$9)^2))^2))-((Inputs!$H$9+Inputs!$L$9*(((Inputs!$I$9+(((A2)+1)/2)*(Inputs!$J$9-Inputs!$I$9)))/Inputs!$K$9)^2)))*1000/Inputs!$C$12),NA())</x:f>
        <x:v>157791.48637356728</x:v>
      </x:c>
      <x:c r="L2" s="49"/>
      <x:c r="M2" s="48" t="n">
        <x:f>A2</x:f>
        <x:v>-1</x:v>
      </x:c>
      <x:c r="N2" s="48" t="n">
        <x:f>IF(OR(Inputs!$F$6=TRUE,Inputs!$F$6="TRUE",Inputs!$F$6=1),(-2*((1000*((((Inputs!$I$6+(((A2)+1)/2)*(Inputs!$J$6-Inputs!$I$6)))*Inputs!$C$11+((Inputs!$H$6+Inputs!$L$6*(((Inputs!$I$6+(((A2)+1)/2)*(Inputs!$J$6-Inputs!$I$6)))/Inputs!$K$6)^2))*((2*Inputs!$L$6*((Inputs!$I$6+(((A2)+1)/2)*(Inputs!$J$6-Inputs!$I$6)))/(Inputs!$K$6^2)*Inputs!$C$11)))/(SQRT(((Inputs!$I$6+(((A2)+1)/2)*(Inputs!$J$6-Inputs!$I$6)))^2+Inputs!$C$6^2+((Inputs!$H$6+Inputs!$L$6*(((Inputs!$I$6+(((A2)+1)/2)*(Inputs!$J$6-Inputs!$I$6)))/Inputs!$K$6)^2))^2)))))/Inputs!$C$13),NA())</x:f>
        <x:v>445.23129749250427</x:v>
      </x:c>
      <x:c r="O2" s="48" t="n">
        <x:f>IF(OR(Inputs!$F$7=TRUE,Inputs!$F$7="TRUE",Inputs!$F$7=1),(-2*((1000*((((Inputs!$I$7+(((A2)+1)/2)*(Inputs!$J$7-Inputs!$I$7)))*Inputs!$C$11+((Inputs!$H$7+Inputs!$L$7*(((Inputs!$I$7+(((A2)+1)/2)*(Inputs!$J$7-Inputs!$I$7)))/Inputs!$K$7)^2))*((2*Inputs!$L$7*((Inputs!$I$7+(((A2)+1)/2)*(Inputs!$J$7-Inputs!$I$7)))/(Inputs!$K$7^2)*Inputs!$C$11)))/(SQRT(((Inputs!$I$7+(((A2)+1)/2)*(Inputs!$J$7-Inputs!$I$7)))^2+Inputs!$C$6^2+((Inputs!$H$7+Inputs!$L$7*(((Inputs!$I$7+(((A2)+1)/2)*(Inputs!$J$7-Inputs!$I$7)))/Inputs!$K$7)^2))^2)))))/Inputs!$C$13),NA())</x:f>
        <x:v>3193.0060020981323</x:v>
      </x:c>
      <x:c r="P2" s="48" t="n">
        <x:f>IF(OR(Inputs!$F$8=TRUE,Inputs!$F$8="TRUE",Inputs!$F$8=1),(-2*((1000*((((Inputs!$I$8+(((A2)+1)/2)*(Inputs!$J$8-Inputs!$I$8)))*Inputs!$C$11+((Inputs!$H$8+Inputs!$L$8*(((Inputs!$I$8+(((A2)+1)/2)*(Inputs!$J$8-Inputs!$I$8)))/Inputs!$K$8)^2))*((2*Inputs!$L$8*((Inputs!$I$8+(((A2)+1)/2)*(Inputs!$J$8-Inputs!$I$8)))/(Inputs!$K$8^2)*Inputs!$C$11)))/(SQRT(((Inputs!$I$8+(((A2)+1)/2)*(Inputs!$J$8-Inputs!$I$8)))^2+Inputs!$C$6^2+((Inputs!$H$8+Inputs!$L$8*(((Inputs!$I$8+(((A2)+1)/2)*(Inputs!$J$8-Inputs!$I$8)))/Inputs!$K$8)^2))^2)))))/Inputs!$C$13),NA())</x:f>
        <x:v>4012.901099964368</x:v>
      </x:c>
      <x:c r="Q2" s="48" t="n">
        <x:f>IF(OR(Inputs!$F$9=TRUE,Inputs!$F$9="TRUE",Inputs!$F$9=1),(-2*((1000*((((Inputs!$I$9+(((A2)+1)/2)*(Inputs!$J$9-Inputs!$I$9)))*Inputs!$C$11+((Inputs!$H$9+Inputs!$L$9*(((Inputs!$I$9+(((A2)+1)/2)*(Inputs!$J$9-Inputs!$I$9)))/Inputs!$K$9)^2))*((2*Inputs!$L$9*((Inputs!$I$9+(((A2)+1)/2)*(Inputs!$J$9-Inputs!$I$9)))/(Inputs!$K$9^2)*Inputs!$C$11)))/(SQRT(((Inputs!$I$9+(((A2)+1)/2)*(Inputs!$J$9-Inputs!$I$9)))^2+Inputs!$C$6^2+((Inputs!$H$9+Inputs!$L$9*(((Inputs!$I$9+(((A2)+1)/2)*(Inputs!$J$9-Inputs!$I$9)))/Inputs!$K$9)^2))^2)))))/Inputs!$C$13),NA())</x:f>
        <x:v>4044.1299022987214</x:v>
      </x:c>
      <x:c r="R2" s="49"/>
      <x:c r="S2" s="48" t="n">
        <x:f>A2</x:f>
        <x:v>-1</x:v>
      </x:c>
      <x:c r="T2" s="48" t="n">
        <x:f>(Inputs!$I$6+(((A2)+1)/2)*(Inputs!$J$6-Inputs!$I$6))</x:f>
        <x:v>-60</x:v>
      </x:c>
      <x:c r="U2" s="48" t="n">
        <x:f>(Inputs!$I$7+(((A2)+1)/2)*(Inputs!$J$7-Inputs!$I$7))</x:f>
        <x:v>-400</x:v>
      </x:c>
      <x:c r="V2" s="48" t="n">
        <x:f>(Inputs!$I$8+(((A2)+1)/2)*(Inputs!$J$8-Inputs!$I$8))</x:f>
        <x:v>-800</x:v>
      </x:c>
      <x:c r="W2" s="48" t="n">
        <x:f>(Inputs!$I$9+(((A2)+1)/2)*(Inputs!$J$9-Inputs!$I$9))</x:f>
        <x:v>-800</x:v>
      </x:c>
      <x:c r="X2" s="49"/>
      <x:c r="Y2" s="48" t="n">
        <x:f>A2</x:f>
        <x:v>-1</x:v>
      </x:c>
      <x:c r="Z2" s="48" t="n">
        <x:f>(Inputs!$H$6+Inputs!$L$6*(((Inputs!$I$6+(((A2)+1)/2)*(Inputs!$J$6-Inputs!$I$6)))/Inputs!$K$6)^2)</x:f>
        <x:v>404</x:v>
      </x:c>
      <x:c r="AA2" s="48" t="n">
        <x:f>(Inputs!$H$7+Inputs!$L$7*(((Inputs!$I$7+(((A2)+1)/2)*(Inputs!$J$7-Inputs!$I$7)))/Inputs!$K$7)^2)</x:f>
        <x:v>400</x:v>
      </x:c>
      <x:c r="AB2" s="48" t="n">
        <x:f>(Inputs!$H$8+Inputs!$L$8*(((Inputs!$I$8+(((A2)+1)/2)*(Inputs!$J$8-Inputs!$I$8)))/Inputs!$K$8)^2)</x:f>
        <x:v>1000</x:v>
      </x:c>
      <x:c r="AC2" s="48" t="n">
        <x:f>(Inputs!$H$9+Inputs!$L$9*(((Inputs!$I$9+(((A2)+1)/2)*(Inputs!$J$9-Inputs!$I$9)))/Inputs!$K$9)^2)</x:f>
        <x:v>1000</x:v>
      </x:c>
      <x:c r="AD2" s="49"/>
      <x:c r="AE2" s="48" t="n">
        <x:f>A2</x:f>
        <x:v>-1</x:v>
      </x:c>
      <x:c r="AF2" s="48" t="n">
        <x:f>(((SQRT(((Inputs!$I$6+(((A2)+1)/2)*(Inputs!$J$6-Inputs!$I$6)))^2+Inputs!$C$6^2+((Inputs!$H$6+Inputs!$L$6*(((Inputs!$I$6+(((A2)+1)/2)*(Inputs!$J$6-Inputs!$I$6)))/Inputs!$K$6)^2))^2))-((Inputs!$H$6+Inputs!$L$6*(((Inputs!$I$6+(((A2)+1)/2)*(Inputs!$J$6-Inputs!$I$6)))/Inputs!$K$6)^2)))*1000/Inputs!$C$12)</x:f>
        <x:v>2918.849591569284</x:v>
      </x:c>
      <x:c r="AG2" s="48" t="n">
        <x:f>(((SQRT(((Inputs!$I$7+(((A2)+1)/2)*(Inputs!$J$7-Inputs!$I$7)))^2+Inputs!$C$6^2+((Inputs!$H$7+Inputs!$L$7*(((Inputs!$I$7+(((A2)+1)/2)*(Inputs!$J$7-Inputs!$I$7)))/Inputs!$K$7)^2))^2))-((Inputs!$H$7+Inputs!$L$7*(((Inputs!$I$7+(((A2)+1)/2)*(Inputs!$J$7-Inputs!$I$7)))/Inputs!$K$7)^2)))*1000/Inputs!$C$12)</x:f>
        <x:v>93391.9003625316</x:v>
      </x:c>
      <x:c r="AH2" s="48" t="n">
        <x:f>(((SQRT(((Inputs!$I$8+(((A2)+1)/2)*(Inputs!$J$8-Inputs!$I$8)))^2+Inputs!$C$6^2+((Inputs!$H$8+Inputs!$L$8*(((Inputs!$I$8+(((A2)+1)/2)*(Inputs!$J$8-Inputs!$I$8)))/Inputs!$K$8)^2))^2))-((Inputs!$H$8+Inputs!$L$8*(((Inputs!$I$8+(((A2)+1)/2)*(Inputs!$J$8-Inputs!$I$8)))/Inputs!$K$8)^2)))*1000/Inputs!$C$12)</x:f>
        <x:v>157791.48637356728</x:v>
      </x:c>
      <x:c r="AI2" s="48" t="n">
        <x:f>(((SQRT(((Inputs!$I$9+(((A2)+1)/2)*(Inputs!$J$9-Inputs!$I$9)))^2+Inputs!$C$6^2+((Inputs!$H$9+Inputs!$L$9*(((Inputs!$I$9+(((A2)+1)/2)*(Inputs!$J$9-Inputs!$I$9)))/Inputs!$K$9)^2))^2))-((Inputs!$H$9+Inputs!$L$9*(((Inputs!$I$9+(((A2)+1)/2)*(Inputs!$J$9-Inputs!$I$9)))/Inputs!$K$9)^2)))*1000/Inputs!$C$12)</x:f>
        <x:v>157791.48637356728</x:v>
      </x:c>
      <x:c r="AJ2" s="49"/>
      <x:c r="AK2" s="48" t="n">
        <x:f>A2</x:f>
        <x:v>-1</x:v>
      </x:c>
      <x:c r="AL2" s="48" t="n">
        <x:f>(-2*((1000*((((Inputs!$I$6+(((A2)+1)/2)*(Inputs!$J$6-Inputs!$I$6)))*Inputs!$C$11+((Inputs!$H$6+Inputs!$L$6*(((Inputs!$I$6+(((A2)+1)/2)*(Inputs!$J$6-Inputs!$I$6)))/Inputs!$K$6)^2))*((2*Inputs!$L$6*((Inputs!$I$6+(((A2)+1)/2)*(Inputs!$J$6-Inputs!$I$6)))/(Inputs!$K$6^2)*Inputs!$C$11)))/(SQRT(((Inputs!$I$6+(((A2)+1)/2)*(Inputs!$J$6-Inputs!$I$6)))^2+Inputs!$C$6^2+((Inputs!$H$6+Inputs!$L$6*(((Inputs!$I$6+(((A2)+1)/2)*(Inputs!$J$6-Inputs!$I$6)))/Inputs!$K$6)^2))^2)))))/Inputs!$C$13)</x:f>
        <x:v>445.23129749250427</x:v>
      </x:c>
      <x:c r="AM2" s="48" t="n">
        <x:f>(-2*((1000*((((Inputs!$I$7+(((A2)+1)/2)*(Inputs!$J$7-Inputs!$I$7)))*Inputs!$C$11+((Inputs!$H$7+Inputs!$L$7*(((Inputs!$I$7+(((A2)+1)/2)*(Inputs!$J$7-Inputs!$I$7)))/Inputs!$K$7)^2))*((2*Inputs!$L$7*((Inputs!$I$7+(((A2)+1)/2)*(Inputs!$J$7-Inputs!$I$7)))/(Inputs!$K$7^2)*Inputs!$C$11)))/(SQRT(((Inputs!$I$7+(((A2)+1)/2)*(Inputs!$J$7-Inputs!$I$7)))^2+Inputs!$C$6^2+((Inputs!$H$7+Inputs!$L$7*(((Inputs!$I$7+(((A2)+1)/2)*(Inputs!$J$7-Inputs!$I$7)))/Inputs!$K$7)^2))^2)))))/Inputs!$C$13)</x:f>
        <x:v>3193.0060020981323</x:v>
      </x:c>
      <x:c r="AN2" s="48" t="n">
        <x:f>(-2*((1000*((((Inputs!$I$8+(((A2)+1)/2)*(Inputs!$J$8-Inputs!$I$8)))*Inputs!$C$11+((Inputs!$H$8+Inputs!$L$8*(((Inputs!$I$8+(((A2)+1)/2)*(Inputs!$J$8-Inputs!$I$8)))/Inputs!$K$8)^2))*((2*Inputs!$L$8*((Inputs!$I$8+(((A2)+1)/2)*(Inputs!$J$8-Inputs!$I$8)))/(Inputs!$K$8^2)*Inputs!$C$11)))/(SQRT(((Inputs!$I$8+(((A2)+1)/2)*(Inputs!$J$8-Inputs!$I$8)))^2+Inputs!$C$6^2+((Inputs!$H$8+Inputs!$L$8*(((Inputs!$I$8+(((A2)+1)/2)*(Inputs!$J$8-Inputs!$I$8)))/Inputs!$K$8)^2))^2)))))/Inputs!$C$13)</x:f>
        <x:v>4012.901099964368</x:v>
      </x:c>
      <x:c r="AO2" s="48" t="n">
        <x:f>(-2*((1000*((((Inputs!$I$9+(((A2)+1)/2)*(Inputs!$J$9-Inputs!$I$9)))*Inputs!$C$11+((Inputs!$H$9+Inputs!$L$9*(((Inputs!$I$9+(((A2)+1)/2)*(Inputs!$J$9-Inputs!$I$9)))/Inputs!$K$9)^2))*((2*Inputs!$L$9*((Inputs!$I$9+(((A2)+1)/2)*(Inputs!$J$9-Inputs!$I$9)))/(Inputs!$K$9^2)*Inputs!$C$11)))/(SQRT(((Inputs!$I$9+(((A2)+1)/2)*(Inputs!$J$9-Inputs!$I$9)))^2+Inputs!$C$6^2+((Inputs!$H$9+Inputs!$L$9*(((Inputs!$I$9+(((A2)+1)/2)*(Inputs!$J$9-Inputs!$I$9)))/Inputs!$K$9)^2))^2)))))/Inputs!$C$13)</x:f>
        <x:v>4044.1299022987214</x:v>
      </x:c>
    </x:row>
    <x:row r="3">
      <x:c r="A3" s="48" t="n">
        <x:f>ROUND(-1+1*2/240,3)</x:f>
        <x:v>-0.992</x:v>
      </x:c>
      <x:c r="B3" s="48" t="n">
        <x:f>IF(OR(Inputs!$F$6=TRUE,Inputs!$F$6="TRUE",Inputs!$F$6=1),(Inputs!$H$6+Inputs!$L$6*(((Inputs!$I$6+(((A3)+1)/2)*(Inputs!$J$6-Inputs!$I$6)))/Inputs!$K$6)^2),NA())</x:f>
        <x:v>403.936256</x:v>
      </x:c>
      <x:c r="C3" s="48" t="n">
        <x:f>IF(OR(Inputs!$F$7=TRUE,Inputs!$F$7="TRUE",Inputs!$F$7=1),(Inputs!$H$7+Inputs!$L$7*(((Inputs!$I$7+(((A3)+1)/2)*(Inputs!$J$7-Inputs!$I$7)))/Inputs!$K$7)^2),NA())</x:f>
        <x:v>394.18336</x:v>
      </x:c>
      <x:c r="D3" s="48" t="n">
        <x:f>IF(OR(Inputs!$F$8=TRUE,Inputs!$F$8="TRUE",Inputs!$F$8=1),(Inputs!$H$8+Inputs!$L$8*(((Inputs!$I$8+(((A3)+1)/2)*(Inputs!$J$8-Inputs!$I$8)))/Inputs!$K$8)^2),NA())</x:f>
        <x:v>984.62176</x:v>
      </x:c>
      <x:c r="E3" s="48" t="n">
        <x:f>IF(OR(Inputs!$F$9=TRUE,Inputs!$F$9="TRUE",Inputs!$F$9=1),(Inputs!$H$9+Inputs!$L$9*(((Inputs!$I$9+(((A3)+1)/2)*(Inputs!$J$9-Inputs!$I$9)))/Inputs!$K$9)^2),NA())</x:f>
        <x:v>984.4623999999999</x:v>
      </x:c>
      <x:c r="F3" s="49"/>
      <x:c r="G3" s="48" t="n">
        <x:f>A3</x:f>
        <x:v>-0.992</x:v>
      </x:c>
      <x:c r="H3" s="48" t="n">
        <x:f>IF(OR(Inputs!$F$6=TRUE,Inputs!$F$6="TRUE",Inputs!$F$6=1),(((SQRT(((Inputs!$I$6+(((A3)+1)/2)*(Inputs!$J$6-Inputs!$I$6)))^2+Inputs!$C$6^2+((Inputs!$H$6+Inputs!$L$6*(((Inputs!$I$6+(((A3)+1)/2)*(Inputs!$J$6-Inputs!$I$6)))/Inputs!$K$6)^2))^2))-((Inputs!$H$6+Inputs!$L$6*(((Inputs!$I$6+(((A3)+1)/2)*(Inputs!$J$6-Inputs!$I$6)))/Inputs!$K$6)^2)))*1000/Inputs!$C$12),NA())</x:f>
        <x:v>2879.912637692396</x:v>
      </x:c>
      <x:c r="I3" s="48" t="n">
        <x:f>IF(OR(Inputs!$F$7=TRUE,Inputs!$F$7="TRUE",Inputs!$F$7=1),(((SQRT(((Inputs!$I$7+(((A3)+1)/2)*(Inputs!$J$7-Inputs!$I$7)))^2+Inputs!$C$6^2+((Inputs!$H$7+Inputs!$L$7*(((Inputs!$I$7+(((A3)+1)/2)*(Inputs!$J$7-Inputs!$I$7)))/Inputs!$K$7)^2))^2))-((Inputs!$H$7+Inputs!$L$7*(((Inputs!$I$7+(((A3)+1)/2)*(Inputs!$J$7-Inputs!$I$7)))/Inputs!$K$7)^2)))*1000/Inputs!$C$12),NA())</x:f>
        <x:v>93083.05653672412</x:v>
      </x:c>
      <x:c r="J3" s="48" t="n">
        <x:f>IF(OR(Inputs!$F$8=TRUE,Inputs!$F$8="TRUE",Inputs!$F$8=1),(((SQRT(((Inputs!$I$8+(((A3)+1)/2)*(Inputs!$J$8-Inputs!$I$8)))^2+Inputs!$C$6^2+((Inputs!$H$8+Inputs!$L$8*(((Inputs!$I$8+(((A3)+1)/2)*(Inputs!$J$8-Inputs!$I$8)))/Inputs!$K$8)^2))^2))-((Inputs!$H$8+Inputs!$L$8*(((Inputs!$I$8+(((A3)+1)/2)*(Inputs!$J$8-Inputs!$I$8)))/Inputs!$K$8)^2)))*1000/Inputs!$C$12),NA())</x:f>
        <x:v>157445.0196658142</x:v>
      </x:c>
      <x:c r="K3" s="48" t="n">
        <x:f>IF(OR(Inputs!$F$9=TRUE,Inputs!$F$9="TRUE",Inputs!$F$9=1),(((SQRT(((Inputs!$I$9+(((A3)+1)/2)*(Inputs!$J$9-Inputs!$I$9)))^2+Inputs!$C$6^2+((Inputs!$H$9+Inputs!$L$9*(((Inputs!$I$9+(((A3)+1)/2)*(Inputs!$J$9-Inputs!$I$9)))/Inputs!$K$9)^2))^2))-((Inputs!$H$9+Inputs!$L$9*(((Inputs!$I$9+(((A3)+1)/2)*(Inputs!$J$9-Inputs!$I$9)))/Inputs!$K$9)^2)))*1000/Inputs!$C$12),NA())</x:f>
        <x:v>157464.8582043653</x:v>
      </x:c>
      <x:c r="L3" s="49"/>
      <x:c r="M3" s="48" t="n">
        <x:f>A3</x:f>
        <x:v>-0.992</x:v>
      </x:c>
      <x:c r="N3" s="48" t="n">
        <x:f>IF(OR(Inputs!$F$6=TRUE,Inputs!$F$6="TRUE",Inputs!$F$6=1),(-2*((1000*((((Inputs!$I$6+(((A3)+1)/2)*(Inputs!$J$6-Inputs!$I$6)))*Inputs!$C$11+((Inputs!$H$6+Inputs!$L$6*(((Inputs!$I$6+(((A3)+1)/2)*(Inputs!$J$6-Inputs!$I$6)))/Inputs!$K$6)^2))*((2*Inputs!$L$6*((Inputs!$I$6+(((A3)+1)/2)*(Inputs!$J$6-Inputs!$I$6)))/(Inputs!$K$6^2)*Inputs!$C$11)))/(SQRT(((Inputs!$I$6+(((A3)+1)/2)*(Inputs!$J$6-Inputs!$I$6)))^2+Inputs!$C$6^2+((Inputs!$H$6+Inputs!$L$6*(((Inputs!$I$6+(((A3)+1)/2)*(Inputs!$J$6-Inputs!$I$6)))/Inputs!$K$6)^2))^2)))))/Inputs!$C$13),NA())</x:f>
        <x:v>441.780126959502</x:v>
      </x:c>
      <x:c r="O3" s="48" t="n">
        <x:f>IF(OR(Inputs!$F$7=TRUE,Inputs!$F$7="TRUE",Inputs!$F$7=1),(-2*((1000*((((Inputs!$I$7+(((A3)+1)/2)*(Inputs!$J$7-Inputs!$I$7)))*Inputs!$C$11+((Inputs!$H$7+Inputs!$L$7*(((Inputs!$I$7+(((A3)+1)/2)*(Inputs!$J$7-Inputs!$I$7)))/Inputs!$K$7)^2))*((2*Inputs!$L$7*((Inputs!$I$7+(((A3)+1)/2)*(Inputs!$J$7-Inputs!$I$7)))/(Inputs!$K$7^2)*Inputs!$C$11)))/(SQRT(((Inputs!$I$7+(((A3)+1)/2)*(Inputs!$J$7-Inputs!$I$7)))^2+Inputs!$C$6^2+((Inputs!$H$7+Inputs!$L$7*(((Inputs!$I$7+(((A3)+1)/2)*(Inputs!$J$7-Inputs!$I$7)))/Inputs!$K$7)^2))^2)))))/Inputs!$C$13),NA())</x:f>
        <x:v>3173.3857463897575</x:v>
      </x:c>
      <x:c r="P3" s="48" t="n">
        <x:f>IF(OR(Inputs!$F$8=TRUE,Inputs!$F$8="TRUE",Inputs!$F$8=1),(-2*((1000*((((Inputs!$I$8+(((A3)+1)/2)*(Inputs!$J$8-Inputs!$I$8)))*Inputs!$C$11+((Inputs!$H$8+Inputs!$L$8*(((Inputs!$I$8+(((A3)+1)/2)*(Inputs!$J$8-Inputs!$I$8)))/Inputs!$K$8)^2))*((2*Inputs!$L$8*((Inputs!$I$8+(((A3)+1)/2)*(Inputs!$J$8-Inputs!$I$8)))/(Inputs!$K$8^2)*Inputs!$C$11)))/(SQRT(((Inputs!$I$8+(((A3)+1)/2)*(Inputs!$J$8-Inputs!$I$8)))^2+Inputs!$C$6^2+((Inputs!$H$8+Inputs!$L$8*(((Inputs!$I$8+(((A3)+1)/2)*(Inputs!$J$8-Inputs!$I$8)))/Inputs!$K$8)^2))^2)))))/Inputs!$C$13),NA())</x:f>
        <x:v>3984.582884944971</x:v>
      </x:c>
      <x:c r="Q3" s="48" t="n">
        <x:f>IF(OR(Inputs!$F$9=TRUE,Inputs!$F$9="TRUE",Inputs!$F$9=1),(-2*((1000*((((Inputs!$I$9+(((A3)+1)/2)*(Inputs!$J$9-Inputs!$I$9)))*Inputs!$C$11+((Inputs!$H$9+Inputs!$L$9*(((Inputs!$I$9+(((A3)+1)/2)*(Inputs!$J$9-Inputs!$I$9)))/Inputs!$K$9)^2))*((2*Inputs!$L$9*((Inputs!$I$9+(((A3)+1)/2)*(Inputs!$J$9-Inputs!$I$9)))/(Inputs!$K$9^2)*Inputs!$C$11)))/(SQRT(((Inputs!$I$9+(((A3)+1)/2)*(Inputs!$J$9-Inputs!$I$9)))^2+Inputs!$C$6^2+((Inputs!$H$9+Inputs!$L$9*(((Inputs!$I$9+(((A3)+1)/2)*(Inputs!$J$9-Inputs!$I$9)))/Inputs!$K$9)^2))^2)))))/Inputs!$C$13),NA())</x:f>
        <x:v>4015.377541054279</x:v>
      </x:c>
      <x:c r="R3" s="49"/>
      <x:c r="S3" s="48" t="n">
        <x:f>A3</x:f>
        <x:v>-0.992</x:v>
      </x:c>
      <x:c r="T3" s="48" t="n">
        <x:f>(Inputs!$I$6+(((A3)+1)/2)*(Inputs!$J$6-Inputs!$I$6))</x:f>
        <x:v>-59.519999999999996</x:v>
      </x:c>
      <x:c r="U3" s="48" t="n">
        <x:f>(Inputs!$I$7+(((A3)+1)/2)*(Inputs!$J$7-Inputs!$I$7))</x:f>
        <x:v>-396.8</x:v>
      </x:c>
      <x:c r="V3" s="48" t="n">
        <x:f>(Inputs!$I$8+(((A3)+1)/2)*(Inputs!$J$8-Inputs!$I$8))</x:f>
        <x:v>-793.6</x:v>
      </x:c>
      <x:c r="W3" s="48" t="n">
        <x:f>(Inputs!$I$9+(((A3)+1)/2)*(Inputs!$J$9-Inputs!$I$9))</x:f>
        <x:v>-793.6</x:v>
      </x:c>
      <x:c r="X3" s="49"/>
      <x:c r="Y3" s="48" t="n">
        <x:f>A3</x:f>
        <x:v>-0.992</x:v>
      </x:c>
      <x:c r="Z3" s="48" t="n">
        <x:f>(Inputs!$H$6+Inputs!$L$6*(((Inputs!$I$6+(((A3)+1)/2)*(Inputs!$J$6-Inputs!$I$6)))/Inputs!$K$6)^2)</x:f>
        <x:v>403.936256</x:v>
      </x:c>
      <x:c r="AA3" s="48" t="n">
        <x:f>(Inputs!$H$7+Inputs!$L$7*(((Inputs!$I$7+(((A3)+1)/2)*(Inputs!$J$7-Inputs!$I$7)))/Inputs!$K$7)^2)</x:f>
        <x:v>394.18336</x:v>
      </x:c>
      <x:c r="AB3" s="48" t="n">
        <x:f>(Inputs!$H$8+Inputs!$L$8*(((Inputs!$I$8+(((A3)+1)/2)*(Inputs!$J$8-Inputs!$I$8)))/Inputs!$K$8)^2)</x:f>
        <x:v>984.62176</x:v>
      </x:c>
      <x:c r="AC3" s="48" t="n">
        <x:f>(Inputs!$H$9+Inputs!$L$9*(((Inputs!$I$9+(((A3)+1)/2)*(Inputs!$J$9-Inputs!$I$9)))/Inputs!$K$9)^2)</x:f>
        <x:v>984.4623999999999</x:v>
      </x:c>
      <x:c r="AD3" s="49"/>
      <x:c r="AE3" s="48" t="n">
        <x:f>A3</x:f>
        <x:v>-0.992</x:v>
      </x:c>
      <x:c r="AF3" s="48" t="n">
        <x:f>(((SQRT(((Inputs!$I$6+(((A3)+1)/2)*(Inputs!$J$6-Inputs!$I$6)))^2+Inputs!$C$6^2+((Inputs!$H$6+Inputs!$L$6*(((Inputs!$I$6+(((A3)+1)/2)*(Inputs!$J$6-Inputs!$I$6)))/Inputs!$K$6)^2))^2))-((Inputs!$H$6+Inputs!$L$6*(((Inputs!$I$6+(((A3)+1)/2)*(Inputs!$J$6-Inputs!$I$6)))/Inputs!$K$6)^2)))*1000/Inputs!$C$12)</x:f>
        <x:v>2879.912637692396</x:v>
      </x:c>
      <x:c r="AG3" s="48" t="n">
        <x:f>(((SQRT(((Inputs!$I$7+(((A3)+1)/2)*(Inputs!$J$7-Inputs!$I$7)))^2+Inputs!$C$6^2+((Inputs!$H$7+Inputs!$L$7*(((Inputs!$I$7+(((A3)+1)/2)*(Inputs!$J$7-Inputs!$I$7)))/Inputs!$K$7)^2))^2))-((Inputs!$H$7+Inputs!$L$7*(((Inputs!$I$7+(((A3)+1)/2)*(Inputs!$J$7-Inputs!$I$7)))/Inputs!$K$7)^2)))*1000/Inputs!$C$12)</x:f>
        <x:v>93083.05653672412</x:v>
      </x:c>
      <x:c r="AH3" s="48" t="n">
        <x:f>(((SQRT(((Inputs!$I$8+(((A3)+1)/2)*(Inputs!$J$8-Inputs!$I$8)))^2+Inputs!$C$6^2+((Inputs!$H$8+Inputs!$L$8*(((Inputs!$I$8+(((A3)+1)/2)*(Inputs!$J$8-Inputs!$I$8)))/Inputs!$K$8)^2))^2))-((Inputs!$H$8+Inputs!$L$8*(((Inputs!$I$8+(((A3)+1)/2)*(Inputs!$J$8-Inputs!$I$8)))/Inputs!$K$8)^2)))*1000/Inputs!$C$12)</x:f>
        <x:v>157445.0196658142</x:v>
      </x:c>
      <x:c r="AI3" s="48" t="n">
        <x:f>(((SQRT(((Inputs!$I$9+(((A3)+1)/2)*(Inputs!$J$9-Inputs!$I$9)))^2+Inputs!$C$6^2+((Inputs!$H$9+Inputs!$L$9*(((Inputs!$I$9+(((A3)+1)/2)*(Inputs!$J$9-Inputs!$I$9)))/Inputs!$K$9)^2))^2))-((Inputs!$H$9+Inputs!$L$9*(((Inputs!$I$9+(((A3)+1)/2)*(Inputs!$J$9-Inputs!$I$9)))/Inputs!$K$9)^2)))*1000/Inputs!$C$12)</x:f>
        <x:v>157464.8582043653</x:v>
      </x:c>
      <x:c r="AJ3" s="49"/>
      <x:c r="AK3" s="48" t="n">
        <x:f>A3</x:f>
        <x:v>-0.992</x:v>
      </x:c>
      <x:c r="AL3" s="48" t="n">
        <x:f>(-2*((1000*((((Inputs!$I$6+(((A3)+1)/2)*(Inputs!$J$6-Inputs!$I$6)))*Inputs!$C$11+((Inputs!$H$6+Inputs!$L$6*(((Inputs!$I$6+(((A3)+1)/2)*(Inputs!$J$6-Inputs!$I$6)))/Inputs!$K$6)^2))*((2*Inputs!$L$6*((Inputs!$I$6+(((A3)+1)/2)*(Inputs!$J$6-Inputs!$I$6)))/(Inputs!$K$6^2)*Inputs!$C$11)))/(SQRT(((Inputs!$I$6+(((A3)+1)/2)*(Inputs!$J$6-Inputs!$I$6)))^2+Inputs!$C$6^2+((Inputs!$H$6+Inputs!$L$6*(((Inputs!$I$6+(((A3)+1)/2)*(Inputs!$J$6-Inputs!$I$6)))/Inputs!$K$6)^2))^2)))))/Inputs!$C$13)</x:f>
        <x:v>441.780126959502</x:v>
      </x:c>
      <x:c r="AM3" s="48" t="n">
        <x:f>(-2*((1000*((((Inputs!$I$7+(((A3)+1)/2)*(Inputs!$J$7-Inputs!$I$7)))*Inputs!$C$11+((Inputs!$H$7+Inputs!$L$7*(((Inputs!$I$7+(((A3)+1)/2)*(Inputs!$J$7-Inputs!$I$7)))/Inputs!$K$7)^2))*((2*Inputs!$L$7*((Inputs!$I$7+(((A3)+1)/2)*(Inputs!$J$7-Inputs!$I$7)))/(Inputs!$K$7^2)*Inputs!$C$11)))/(SQRT(((Inputs!$I$7+(((A3)+1)/2)*(Inputs!$J$7-Inputs!$I$7)))^2+Inputs!$C$6^2+((Inputs!$H$7+Inputs!$L$7*(((Inputs!$I$7+(((A3)+1)/2)*(Inputs!$J$7-Inputs!$I$7)))/Inputs!$K$7)^2))^2)))))/Inputs!$C$13)</x:f>
        <x:v>3173.3857463897575</x:v>
      </x:c>
      <x:c r="AN3" s="48" t="n">
        <x:f>(-2*((1000*((((Inputs!$I$8+(((A3)+1)/2)*(Inputs!$J$8-Inputs!$I$8)))*Inputs!$C$11+((Inputs!$H$8+Inputs!$L$8*(((Inputs!$I$8+(((A3)+1)/2)*(Inputs!$J$8-Inputs!$I$8)))/Inputs!$K$8)^2))*((2*Inputs!$L$8*((Inputs!$I$8+(((A3)+1)/2)*(Inputs!$J$8-Inputs!$I$8)))/(Inputs!$K$8^2)*Inputs!$C$11)))/(SQRT(((Inputs!$I$8+(((A3)+1)/2)*(Inputs!$J$8-Inputs!$I$8)))^2+Inputs!$C$6^2+((Inputs!$H$8+Inputs!$L$8*(((Inputs!$I$8+(((A3)+1)/2)*(Inputs!$J$8-Inputs!$I$8)))/Inputs!$K$8)^2))^2)))))/Inputs!$C$13)</x:f>
        <x:v>3984.582884944971</x:v>
      </x:c>
      <x:c r="AO3" s="48" t="n">
        <x:f>(-2*((1000*((((Inputs!$I$9+(((A3)+1)/2)*(Inputs!$J$9-Inputs!$I$9)))*Inputs!$C$11+((Inputs!$H$9+Inputs!$L$9*(((Inputs!$I$9+(((A3)+1)/2)*(Inputs!$J$9-Inputs!$I$9)))/Inputs!$K$9)^2))*((2*Inputs!$L$9*((Inputs!$I$9+(((A3)+1)/2)*(Inputs!$J$9-Inputs!$I$9)))/(Inputs!$K$9^2)*Inputs!$C$11)))/(SQRT(((Inputs!$I$9+(((A3)+1)/2)*(Inputs!$J$9-Inputs!$I$9)))^2+Inputs!$C$6^2+((Inputs!$H$9+Inputs!$L$9*(((Inputs!$I$9+(((A3)+1)/2)*(Inputs!$J$9-Inputs!$I$9)))/Inputs!$K$9)^2))^2)))))/Inputs!$C$13)</x:f>
        <x:v>4015.377541054279</x:v>
      </x:c>
    </x:row>
    <x:row r="4">
      <x:c r="A4" s="48" t="n">
        <x:f>ROUND(-1+2*2/240,3)</x:f>
        <x:v>-0.983</x:v>
      </x:c>
      <x:c r="B4" s="48" t="n">
        <x:f>IF(OR(Inputs!$F$6=TRUE,Inputs!$F$6="TRUE",Inputs!$F$6=1),(Inputs!$H$6+Inputs!$L$6*(((Inputs!$I$6+(((A4)+1)/2)*(Inputs!$J$6-Inputs!$I$6)))/Inputs!$K$6)^2),NA())</x:f>
        <x:v>403.865156</x:v>
      </x:c>
      <x:c r="C4" s="48" t="n">
        <x:f>IF(OR(Inputs!$F$7=TRUE,Inputs!$F$7="TRUE",Inputs!$F$7=1),(Inputs!$H$7+Inputs!$L$7*(((Inputs!$I$7+(((A4)+1)/2)*(Inputs!$J$7-Inputs!$I$7)))/Inputs!$K$7)^2),NA())</x:f>
        <x:v>387.69548499999996</x:v>
      </x:c>
      <x:c r="D4" s="48" t="n">
        <x:f>IF(OR(Inputs!$F$8=TRUE,Inputs!$F$8="TRUE",Inputs!$F$8=1),(Inputs!$H$8+Inputs!$L$8*(((Inputs!$I$8+(((A4)+1)/2)*(Inputs!$J$8-Inputs!$I$8)))/Inputs!$K$8)^2),NA())</x:f>
        <x:v>967.468885</x:v>
      </x:c>
      <x:c r="E4" s="48" t="n">
        <x:f>IF(OR(Inputs!$F$9=TRUE,Inputs!$F$9="TRUE",Inputs!$F$9=1),(Inputs!$H$9+Inputs!$L$9*(((Inputs!$I$9+(((A4)+1)/2)*(Inputs!$J$9-Inputs!$I$9)))/Inputs!$K$9)^2),NA())</x:f>
        <x:v>967.131775</x:v>
      </x:c>
      <x:c r="F4" s="49"/>
      <x:c r="G4" s="48" t="n">
        <x:f>A4</x:f>
        <x:v>-0.983</x:v>
      </x:c>
      <x:c r="H4" s="48" t="n">
        <x:f>IF(OR(Inputs!$F$6=TRUE,Inputs!$F$6="TRUE",Inputs!$F$6=1),(((SQRT(((Inputs!$I$6+(((A4)+1)/2)*(Inputs!$J$6-Inputs!$I$6)))^2+Inputs!$C$6^2+((Inputs!$H$6+Inputs!$L$6*(((Inputs!$I$6+(((A4)+1)/2)*(Inputs!$J$6-Inputs!$I$6)))/Inputs!$K$6)^2))^2))-((Inputs!$H$6+Inputs!$L$6*(((Inputs!$I$6+(((A4)+1)/2)*(Inputs!$J$6-Inputs!$I$6)))/Inputs!$K$6)^2)))*1000/Inputs!$C$12),NA())</x:f>
        <x:v>2836.460287090156</x:v>
      </x:c>
      <x:c r="I4" s="48" t="n">
        <x:f>IF(OR(Inputs!$F$7=TRUE,Inputs!$F$7="TRUE",Inputs!$F$7=1),(((SQRT(((Inputs!$I$7+(((A4)+1)/2)*(Inputs!$J$7-Inputs!$I$7)))^2+Inputs!$C$6^2+((Inputs!$H$7+Inputs!$L$7*(((Inputs!$I$7+(((A4)+1)/2)*(Inputs!$J$7-Inputs!$I$7)))/Inputs!$K$7)^2))^2))-((Inputs!$H$7+Inputs!$L$7*(((Inputs!$I$7+(((A4)+1)/2)*(Inputs!$J$7-Inputs!$I$7)))/Inputs!$K$7)^2)))*1000/Inputs!$C$12),NA())</x:f>
        <x:v>92730.5418198432</x:v>
      </x:c>
      <x:c r="J4" s="48" t="n">
        <x:f>IF(OR(Inputs!$F$8=TRUE,Inputs!$F$8="TRUE",Inputs!$F$8=1),(((SQRT(((Inputs!$I$8+(((A4)+1)/2)*(Inputs!$J$8-Inputs!$I$8)))^2+Inputs!$C$6^2+((Inputs!$H$8+Inputs!$L$8*(((Inputs!$I$8+(((A4)+1)/2)*(Inputs!$J$8-Inputs!$I$8)))/Inputs!$K$8)^2))^2))-((Inputs!$H$8+Inputs!$L$8*(((Inputs!$I$8+(((A4)+1)/2)*(Inputs!$J$8-Inputs!$I$8)))/Inputs!$K$8)^2)))*1000/Inputs!$C$12),NA())</x:f>
        <x:v>157048.28758301047</x:v>
      </x:c>
      <x:c r="K4" s="48" t="n">
        <x:f>IF(OR(Inputs!$F$9=TRUE,Inputs!$F$9="TRUE",Inputs!$F$9=1),(((SQRT(((Inputs!$I$9+(((A4)+1)/2)*(Inputs!$J$9-Inputs!$I$9)))^2+Inputs!$C$6^2+((Inputs!$H$9+Inputs!$L$9*(((Inputs!$I$9+(((A4)+1)/2)*(Inputs!$J$9-Inputs!$I$9)))/Inputs!$K$9)^2))^2))-((Inputs!$H$9+Inputs!$L$9*(((Inputs!$I$9+(((A4)+1)/2)*(Inputs!$J$9-Inputs!$I$9)))/Inputs!$K$9)^2)))*1000/Inputs!$C$12),NA())</x:f>
        <x:v>157090.75320353292</x:v>
      </x:c>
      <x:c r="L4" s="49"/>
      <x:c r="M4" s="48" t="n">
        <x:f>A4</x:f>
        <x:v>-0.983</x:v>
      </x:c>
      <x:c r="N4" s="48" t="n">
        <x:f>IF(OR(Inputs!$F$6=TRUE,Inputs!$F$6="TRUE",Inputs!$F$6=1),(-2*((1000*((((Inputs!$I$6+(((A4)+1)/2)*(Inputs!$J$6-Inputs!$I$6)))*Inputs!$C$11+((Inputs!$H$6+Inputs!$L$6*(((Inputs!$I$6+(((A4)+1)/2)*(Inputs!$J$6-Inputs!$I$6)))/Inputs!$K$6)^2))*((2*Inputs!$L$6*((Inputs!$I$6+(((A4)+1)/2)*(Inputs!$J$6-Inputs!$I$6)))/(Inputs!$K$6^2)*Inputs!$C$11)))/(SQRT(((Inputs!$I$6+(((A4)+1)/2)*(Inputs!$J$6-Inputs!$I$6)))^2+Inputs!$C$6^2+((Inputs!$H$6+Inputs!$L$6*(((Inputs!$I$6+(((A4)+1)/2)*(Inputs!$J$6-Inputs!$I$6)))/Inputs!$K$6)^2))^2)))))/Inputs!$C$13),NA())</x:f>
        <x:v>437.894499643401</x:v>
      </x:c>
      <x:c r="O4" s="48" t="n">
        <x:f>IF(OR(Inputs!$F$7=TRUE,Inputs!$F$7="TRUE",Inputs!$F$7=1),(-2*((1000*((((Inputs!$I$7+(((A4)+1)/2)*(Inputs!$J$7-Inputs!$I$7)))*Inputs!$C$11+((Inputs!$H$7+Inputs!$L$7*(((Inputs!$I$7+(((A4)+1)/2)*(Inputs!$J$7-Inputs!$I$7)))/Inputs!$K$7)^2))*((2*Inputs!$L$7*((Inputs!$I$7+(((A4)+1)/2)*(Inputs!$J$7-Inputs!$I$7)))/(Inputs!$K$7^2)*Inputs!$C$11)))/(SQRT(((Inputs!$I$7+(((A4)+1)/2)*(Inputs!$J$7-Inputs!$I$7)))^2+Inputs!$C$6^2+((Inputs!$H$7+Inputs!$L$7*(((Inputs!$I$7+(((A4)+1)/2)*(Inputs!$J$7-Inputs!$I$7)))/Inputs!$K$7)^2))^2)))))/Inputs!$C$13),NA())</x:f>
        <x:v>3151.383407505348</x:v>
      </x:c>
      <x:c r="P4" s="48" t="n">
        <x:f>IF(OR(Inputs!$F$8=TRUE,Inputs!$F$8="TRUE",Inputs!$F$8=1),(-2*((1000*((((Inputs!$I$8+(((A4)+1)/2)*(Inputs!$J$8-Inputs!$I$8)))*Inputs!$C$11+((Inputs!$H$8+Inputs!$L$8*(((Inputs!$I$8+(((A4)+1)/2)*(Inputs!$J$8-Inputs!$I$8)))/Inputs!$K$8)^2))*((2*Inputs!$L$8*((Inputs!$I$8+(((A4)+1)/2)*(Inputs!$J$8-Inputs!$I$8)))/(Inputs!$K$8^2)*Inputs!$C$11)))/(SQRT(((Inputs!$I$8+(((A4)+1)/2)*(Inputs!$J$8-Inputs!$I$8)))^2+Inputs!$C$6^2+((Inputs!$H$8+Inputs!$L$8*(((Inputs!$I$8+(((A4)+1)/2)*(Inputs!$J$8-Inputs!$I$8)))/Inputs!$K$8)^2))^2)))))/Inputs!$C$13),NA())</x:f>
        <x:v>3952.7874424724578</x:v>
      </x:c>
      <x:c r="Q4" s="48" t="n">
        <x:f>IF(OR(Inputs!$F$9=TRUE,Inputs!$F$9="TRUE",Inputs!$F$9=1),(-2*((1000*((((Inputs!$I$9+(((A4)+1)/2)*(Inputs!$J$9-Inputs!$I$9)))*Inputs!$C$11+((Inputs!$H$9+Inputs!$L$9*(((Inputs!$I$9+(((A4)+1)/2)*(Inputs!$J$9-Inputs!$I$9)))/Inputs!$K$9)^2))*((2*Inputs!$L$9*((Inputs!$I$9+(((A4)+1)/2)*(Inputs!$J$9-Inputs!$I$9)))/(Inputs!$K$9^2)*Inputs!$C$11)))/(SQRT(((Inputs!$I$9+(((A4)+1)/2)*(Inputs!$J$9-Inputs!$I$9)))^2+Inputs!$C$6^2+((Inputs!$H$9+Inputs!$L$9*(((Inputs!$I$9+(((A4)+1)/2)*(Inputs!$J$9-Inputs!$I$9)))/Inputs!$K$9)^2))^2)))))/Inputs!$C$13),NA())</x:f>
        <x:v>3983.0919423063424</x:v>
      </x:c>
      <x:c r="R4" s="49"/>
      <x:c r="S4" s="48" t="n">
        <x:f>A4</x:f>
        <x:v>-0.983</x:v>
      </x:c>
      <x:c r="T4" s="48" t="n">
        <x:f>(Inputs!$I$6+(((A4)+1)/2)*(Inputs!$J$6-Inputs!$I$6))</x:f>
        <x:v>-58.98</x:v>
      </x:c>
      <x:c r="U4" s="48" t="n">
        <x:f>(Inputs!$I$7+(((A4)+1)/2)*(Inputs!$J$7-Inputs!$I$7))</x:f>
        <x:v>-393.2</x:v>
      </x:c>
      <x:c r="V4" s="48" t="n">
        <x:f>(Inputs!$I$8+(((A4)+1)/2)*(Inputs!$J$8-Inputs!$I$8))</x:f>
        <x:v>-786.4</x:v>
      </x:c>
      <x:c r="W4" s="48" t="n">
        <x:f>(Inputs!$I$9+(((A4)+1)/2)*(Inputs!$J$9-Inputs!$I$9))</x:f>
        <x:v>-786.4</x:v>
      </x:c>
      <x:c r="X4" s="49"/>
      <x:c r="Y4" s="48" t="n">
        <x:f>A4</x:f>
        <x:v>-0.983</x:v>
      </x:c>
      <x:c r="Z4" s="48" t="n">
        <x:f>(Inputs!$H$6+Inputs!$L$6*(((Inputs!$I$6+(((A4)+1)/2)*(Inputs!$J$6-Inputs!$I$6)))/Inputs!$K$6)^2)</x:f>
        <x:v>403.865156</x:v>
      </x:c>
      <x:c r="AA4" s="48" t="n">
        <x:f>(Inputs!$H$7+Inputs!$L$7*(((Inputs!$I$7+(((A4)+1)/2)*(Inputs!$J$7-Inputs!$I$7)))/Inputs!$K$7)^2)</x:f>
        <x:v>387.69548499999996</x:v>
      </x:c>
      <x:c r="AB4" s="48" t="n">
        <x:f>(Inputs!$H$8+Inputs!$L$8*(((Inputs!$I$8+(((A4)+1)/2)*(Inputs!$J$8-Inputs!$I$8)))/Inputs!$K$8)^2)</x:f>
        <x:v>967.468885</x:v>
      </x:c>
      <x:c r="AC4" s="48" t="n">
        <x:f>(Inputs!$H$9+Inputs!$L$9*(((Inputs!$I$9+(((A4)+1)/2)*(Inputs!$J$9-Inputs!$I$9)))/Inputs!$K$9)^2)</x:f>
        <x:v>967.131775</x:v>
      </x:c>
      <x:c r="AD4" s="49"/>
      <x:c r="AE4" s="48" t="n">
        <x:f>A4</x:f>
        <x:v>-0.983</x:v>
      </x:c>
      <x:c r="AF4" s="48" t="n">
        <x:f>(((SQRT(((Inputs!$I$6+(((A4)+1)/2)*(Inputs!$J$6-Inputs!$I$6)))^2+Inputs!$C$6^2+((Inputs!$H$6+Inputs!$L$6*(((Inputs!$I$6+(((A4)+1)/2)*(Inputs!$J$6-Inputs!$I$6)))/Inputs!$K$6)^2))^2))-((Inputs!$H$6+Inputs!$L$6*(((Inputs!$I$6+(((A4)+1)/2)*(Inputs!$J$6-Inputs!$I$6)))/Inputs!$K$6)^2)))*1000/Inputs!$C$12)</x:f>
        <x:v>2836.460287090156</x:v>
      </x:c>
      <x:c r="AG4" s="48" t="n">
        <x:f>(((SQRT(((Inputs!$I$7+(((A4)+1)/2)*(Inputs!$J$7-Inputs!$I$7)))^2+Inputs!$C$6^2+((Inputs!$H$7+Inputs!$L$7*(((Inputs!$I$7+(((A4)+1)/2)*(Inputs!$J$7-Inputs!$I$7)))/Inputs!$K$7)^2))^2))-((Inputs!$H$7+Inputs!$L$7*(((Inputs!$I$7+(((A4)+1)/2)*(Inputs!$J$7-Inputs!$I$7)))/Inputs!$K$7)^2)))*1000/Inputs!$C$12)</x:f>
        <x:v>92730.5418198432</x:v>
      </x:c>
      <x:c r="AH4" s="48" t="n">
        <x:f>(((SQRT(((Inputs!$I$8+(((A4)+1)/2)*(Inputs!$J$8-Inputs!$I$8)))^2+Inputs!$C$6^2+((Inputs!$H$8+Inputs!$L$8*(((Inputs!$I$8+(((A4)+1)/2)*(Inputs!$J$8-Inputs!$I$8)))/Inputs!$K$8)^2))^2))-((Inputs!$H$8+Inputs!$L$8*(((Inputs!$I$8+(((A4)+1)/2)*(Inputs!$J$8-Inputs!$I$8)))/Inputs!$K$8)^2)))*1000/Inputs!$C$12)</x:f>
        <x:v>157048.28758301047</x:v>
      </x:c>
      <x:c r="AI4" s="48" t="n">
        <x:f>(((SQRT(((Inputs!$I$9+(((A4)+1)/2)*(Inputs!$J$9-Inputs!$I$9)))^2+Inputs!$C$6^2+((Inputs!$H$9+Inputs!$L$9*(((Inputs!$I$9+(((A4)+1)/2)*(Inputs!$J$9-Inputs!$I$9)))/Inputs!$K$9)^2))^2))-((Inputs!$H$9+Inputs!$L$9*(((Inputs!$I$9+(((A4)+1)/2)*(Inputs!$J$9-Inputs!$I$9)))/Inputs!$K$9)^2)))*1000/Inputs!$C$12)</x:f>
        <x:v>157090.75320353292</x:v>
      </x:c>
      <x:c r="AJ4" s="49"/>
      <x:c r="AK4" s="48" t="n">
        <x:f>A4</x:f>
        <x:v>-0.983</x:v>
      </x:c>
      <x:c r="AL4" s="48" t="n">
        <x:f>(-2*((1000*((((Inputs!$I$6+(((A4)+1)/2)*(Inputs!$J$6-Inputs!$I$6)))*Inputs!$C$11+((Inputs!$H$6+Inputs!$L$6*(((Inputs!$I$6+(((A4)+1)/2)*(Inputs!$J$6-Inputs!$I$6)))/Inputs!$K$6)^2))*((2*Inputs!$L$6*((Inputs!$I$6+(((A4)+1)/2)*(Inputs!$J$6-Inputs!$I$6)))/(Inputs!$K$6^2)*Inputs!$C$11)))/(SQRT(((Inputs!$I$6+(((A4)+1)/2)*(Inputs!$J$6-Inputs!$I$6)))^2+Inputs!$C$6^2+((Inputs!$H$6+Inputs!$L$6*(((Inputs!$I$6+(((A4)+1)/2)*(Inputs!$J$6-Inputs!$I$6)))/Inputs!$K$6)^2))^2)))))/Inputs!$C$13)</x:f>
        <x:v>437.894499643401</x:v>
      </x:c>
      <x:c r="AM4" s="48" t="n">
        <x:f>(-2*((1000*((((Inputs!$I$7+(((A4)+1)/2)*(Inputs!$J$7-Inputs!$I$7)))*Inputs!$C$11+((Inputs!$H$7+Inputs!$L$7*(((Inputs!$I$7+(((A4)+1)/2)*(Inputs!$J$7-Inputs!$I$7)))/Inputs!$K$7)^2))*((2*Inputs!$L$7*((Inputs!$I$7+(((A4)+1)/2)*(Inputs!$J$7-Inputs!$I$7)))/(Inputs!$K$7^2)*Inputs!$C$11)))/(SQRT(((Inputs!$I$7+(((A4)+1)/2)*(Inputs!$J$7-Inputs!$I$7)))^2+Inputs!$C$6^2+((Inputs!$H$7+Inputs!$L$7*(((Inputs!$I$7+(((A4)+1)/2)*(Inputs!$J$7-Inputs!$I$7)))/Inputs!$K$7)^2))^2)))))/Inputs!$C$13)</x:f>
        <x:v>3151.383407505348</x:v>
      </x:c>
      <x:c r="AN4" s="48" t="n">
        <x:f>(-2*((1000*((((Inputs!$I$8+(((A4)+1)/2)*(Inputs!$J$8-Inputs!$I$8)))*Inputs!$C$11+((Inputs!$H$8+Inputs!$L$8*(((Inputs!$I$8+(((A4)+1)/2)*(Inputs!$J$8-Inputs!$I$8)))/Inputs!$K$8)^2))*((2*Inputs!$L$8*((Inputs!$I$8+(((A4)+1)/2)*(Inputs!$J$8-Inputs!$I$8)))/(Inputs!$K$8^2)*Inputs!$C$11)))/(SQRT(((Inputs!$I$8+(((A4)+1)/2)*(Inputs!$J$8-Inputs!$I$8)))^2+Inputs!$C$6^2+((Inputs!$H$8+Inputs!$L$8*(((Inputs!$I$8+(((A4)+1)/2)*(Inputs!$J$8-Inputs!$I$8)))/Inputs!$K$8)^2))^2)))))/Inputs!$C$13)</x:f>
        <x:v>3952.7874424724578</x:v>
      </x:c>
      <x:c r="AO4" s="48" t="n">
        <x:f>(-2*((1000*((((Inputs!$I$9+(((A4)+1)/2)*(Inputs!$J$9-Inputs!$I$9)))*Inputs!$C$11+((Inputs!$H$9+Inputs!$L$9*(((Inputs!$I$9+(((A4)+1)/2)*(Inputs!$J$9-Inputs!$I$9)))/Inputs!$K$9)^2))*((2*Inputs!$L$9*((Inputs!$I$9+(((A4)+1)/2)*(Inputs!$J$9-Inputs!$I$9)))/(Inputs!$K$9^2)*Inputs!$C$11)))/(SQRT(((Inputs!$I$9+(((A4)+1)/2)*(Inputs!$J$9-Inputs!$I$9)))^2+Inputs!$C$6^2+((Inputs!$H$9+Inputs!$L$9*(((Inputs!$I$9+(((A4)+1)/2)*(Inputs!$J$9-Inputs!$I$9)))/Inputs!$K$9)^2))^2)))))/Inputs!$C$13)</x:f>
        <x:v>3983.0919423063424</x:v>
      </x:c>
    </x:row>
    <x:row r="5">
      <x:c r="A5" s="48" t="n">
        <x:f>ROUND(-1+3*2/240,3)</x:f>
        <x:v>-0.975</x:v>
      </x:c>
      <x:c r="B5" s="48" t="n">
        <x:f>IF(OR(Inputs!$F$6=TRUE,Inputs!$F$6="TRUE",Inputs!$F$6=1),(Inputs!$H$6+Inputs!$L$6*(((Inputs!$I$6+(((A5)+1)/2)*(Inputs!$J$6-Inputs!$I$6)))/Inputs!$K$6)^2),NA())</x:f>
        <x:v>403.8025</x:v>
      </x:c>
      <x:c r="C5" s="48" t="n">
        <x:f>IF(OR(Inputs!$F$7=TRUE,Inputs!$F$7="TRUE",Inputs!$F$7=1),(Inputs!$H$7+Inputs!$L$7*(((Inputs!$I$7+(((A5)+1)/2)*(Inputs!$J$7-Inputs!$I$7)))/Inputs!$K$7)^2),NA())</x:f>
        <x:v>381.978125</x:v>
      </x:c>
      <x:c r="D5" s="48" t="n">
        <x:f>IF(OR(Inputs!$F$8=TRUE,Inputs!$F$8="TRUE",Inputs!$F$8=1),(Inputs!$H$8+Inputs!$L$8*(((Inputs!$I$8+(((A5)+1)/2)*(Inputs!$J$8-Inputs!$I$8)))/Inputs!$K$8)^2),NA())</x:f>
        <x:v>952.353125</x:v>
      </x:c>
      <x:c r="E5" s="48" t="n">
        <x:f>IF(OR(Inputs!$F$9=TRUE,Inputs!$F$9="TRUE",Inputs!$F$9=1),(Inputs!$H$9+Inputs!$L$9*(((Inputs!$I$9+(((A5)+1)/2)*(Inputs!$J$9-Inputs!$I$9)))/Inputs!$K$9)^2),NA())</x:f>
        <x:v>951.859375</x:v>
      </x:c>
      <x:c r="F5" s="49"/>
      <x:c r="G5" s="48" t="n">
        <x:f>A5</x:f>
        <x:v>-0.975</x:v>
      </x:c>
      <x:c r="H5" s="48" t="n">
        <x:f>IF(OR(Inputs!$F$6=TRUE,Inputs!$F$6="TRUE",Inputs!$F$6=1),(((SQRT(((Inputs!$I$6+(((A5)+1)/2)*(Inputs!$J$6-Inputs!$I$6)))^2+Inputs!$C$6^2+((Inputs!$H$6+Inputs!$L$6*(((Inputs!$I$6+(((A5)+1)/2)*(Inputs!$J$6-Inputs!$I$6)))/Inputs!$K$6)^2))^2))-((Inputs!$H$6+Inputs!$L$6*(((Inputs!$I$6+(((A5)+1)/2)*(Inputs!$J$6-Inputs!$I$6)))/Inputs!$K$6)^2)))*1000/Inputs!$C$12),NA())</x:f>
        <x:v>2798.1490936689197</x:v>
      </x:c>
      <x:c r="I5" s="48" t="n">
        <x:f>IF(OR(Inputs!$F$7=TRUE,Inputs!$F$7="TRUE",Inputs!$F$7=1),(((SQRT(((Inputs!$I$7+(((A5)+1)/2)*(Inputs!$J$7-Inputs!$I$7)))^2+Inputs!$C$6^2+((Inputs!$H$7+Inputs!$L$7*(((Inputs!$I$7+(((A5)+1)/2)*(Inputs!$J$7-Inputs!$I$7)))/Inputs!$K$7)^2))^2))-((Inputs!$H$7+Inputs!$L$7*(((Inputs!$I$7+(((A5)+1)/2)*(Inputs!$J$7-Inputs!$I$7)))/Inputs!$K$7)^2)))*1000/Inputs!$C$12),NA())</x:f>
        <x:v>92412.61891404176</x:v>
      </x:c>
      <x:c r="J5" s="48" t="n">
        <x:f>IF(OR(Inputs!$F$8=TRUE,Inputs!$F$8="TRUE",Inputs!$F$8=1),(((SQRT(((Inputs!$I$8+(((A5)+1)/2)*(Inputs!$J$8-Inputs!$I$8)))^2+Inputs!$C$6^2+((Inputs!$H$8+Inputs!$L$8*(((Inputs!$I$8+(((A5)+1)/2)*(Inputs!$J$8-Inputs!$I$8)))/Inputs!$K$8)^2))^2))-((Inputs!$H$8+Inputs!$L$8*(((Inputs!$I$8+(((A5)+1)/2)*(Inputs!$J$8-Inputs!$I$8)))/Inputs!$K$8)^2)))*1000/Inputs!$C$12),NA())</x:f>
        <x:v>156689.32111616264</x:v>
      </x:c>
      <x:c r="K5" s="48" t="n">
        <x:f>IF(OR(Inputs!$F$9=TRUE,Inputs!$F$9="TRUE",Inputs!$F$9=1),(((SQRT(((Inputs!$I$9+(((A5)+1)/2)*(Inputs!$J$9-Inputs!$I$9)))^2+Inputs!$C$6^2+((Inputs!$H$9+Inputs!$L$9*(((Inputs!$I$9+(((A5)+1)/2)*(Inputs!$J$9-Inputs!$I$9)))/Inputs!$K$9)^2))^2))-((Inputs!$H$9+Inputs!$L$9*(((Inputs!$I$9+(((A5)+1)/2)*(Inputs!$J$9-Inputs!$I$9)))/Inputs!$K$9)^2)))*1000/Inputs!$C$12),NA())</x:f>
        <x:v>156752.1777541483</x:v>
      </x:c>
      <x:c r="L5" s="49"/>
      <x:c r="M5" s="48" t="n">
        <x:f>A5</x:f>
        <x:v>-0.975</x:v>
      </x:c>
      <x:c r="N5" s="48" t="n">
        <x:f>IF(OR(Inputs!$F$6=TRUE,Inputs!$F$6="TRUE",Inputs!$F$6=1),(-2*((1000*((((Inputs!$I$6+(((A5)+1)/2)*(Inputs!$J$6-Inputs!$I$6)))*Inputs!$C$11+((Inputs!$H$6+Inputs!$L$6*(((Inputs!$I$6+(((A5)+1)/2)*(Inputs!$J$6-Inputs!$I$6)))/Inputs!$K$6)^2))*((2*Inputs!$L$6*((Inputs!$I$6+(((A5)+1)/2)*(Inputs!$J$6-Inputs!$I$6)))/(Inputs!$K$6^2)*Inputs!$C$11)))/(SQRT(((Inputs!$I$6+(((A5)+1)/2)*(Inputs!$J$6-Inputs!$I$6)))^2+Inputs!$C$6^2+((Inputs!$H$6+Inputs!$L$6*(((Inputs!$I$6+(((A5)+1)/2)*(Inputs!$J$6-Inputs!$I$6)))/Inputs!$K$6)^2))^2)))))/Inputs!$C$13),NA())</x:f>
        <x:v>434.43790659645504</x:v>
      </x:c>
      <x:c r="O5" s="48" t="n">
        <x:f>IF(OR(Inputs!$F$7=TRUE,Inputs!$F$7="TRUE",Inputs!$F$7=1),(-2*((1000*((((Inputs!$I$7+(((A5)+1)/2)*(Inputs!$J$7-Inputs!$I$7)))*Inputs!$C$11+((Inputs!$H$7+Inputs!$L$7*(((Inputs!$I$7+(((A5)+1)/2)*(Inputs!$J$7-Inputs!$I$7)))/Inputs!$K$7)^2))*((2*Inputs!$L$7*((Inputs!$I$7+(((A5)+1)/2)*(Inputs!$J$7-Inputs!$I$7)))/(Inputs!$K$7^2)*Inputs!$C$11)))/(SQRT(((Inputs!$I$7+(((A5)+1)/2)*(Inputs!$J$7-Inputs!$I$7)))^2+Inputs!$C$6^2+((Inputs!$H$7+Inputs!$L$7*(((Inputs!$I$7+(((A5)+1)/2)*(Inputs!$J$7-Inputs!$I$7)))/Inputs!$K$7)^2))^2)))))/Inputs!$C$13),NA())</x:f>
        <x:v>3131.889437151103</x:v>
      </x:c>
      <x:c r="P5" s="48" t="n">
        <x:f>IF(OR(Inputs!$F$8=TRUE,Inputs!$F$8="TRUE",Inputs!$F$8=1),(-2*((1000*((((Inputs!$I$8+(((A5)+1)/2)*(Inputs!$J$8-Inputs!$I$8)))*Inputs!$C$11+((Inputs!$H$8+Inputs!$L$8*(((Inputs!$I$8+(((A5)+1)/2)*(Inputs!$J$8-Inputs!$I$8)))/Inputs!$K$8)^2))*((2*Inputs!$L$8*((Inputs!$I$8+(((A5)+1)/2)*(Inputs!$J$8-Inputs!$I$8)))/(Inputs!$K$8^2)*Inputs!$C$11)))/(SQRT(((Inputs!$I$8+(((A5)+1)/2)*(Inputs!$J$8-Inputs!$I$8)))^2+Inputs!$C$6^2+((Inputs!$H$8+Inputs!$L$8*(((Inputs!$I$8+(((A5)+1)/2)*(Inputs!$J$8-Inputs!$I$8)))/Inputs!$K$8)^2))^2)))))/Inputs!$C$13),NA())</x:f>
        <x:v>3924.581752337598</x:v>
      </x:c>
      <x:c r="Q5" s="48" t="n">
        <x:f>IF(OR(Inputs!$F$9=TRUE,Inputs!$F$9="TRUE",Inputs!$F$9=1),(-2*((1000*((((Inputs!$I$9+(((A5)+1)/2)*(Inputs!$J$9-Inputs!$I$9)))*Inputs!$C$11+((Inputs!$H$9+Inputs!$L$9*(((Inputs!$I$9+(((A5)+1)/2)*(Inputs!$J$9-Inputs!$I$9)))/Inputs!$K$9)^2))*((2*Inputs!$L$9*((Inputs!$I$9+(((A5)+1)/2)*(Inputs!$J$9-Inputs!$I$9)))/(Inputs!$K$9^2)*Inputs!$C$11)))/(SQRT(((Inputs!$I$9+(((A5)+1)/2)*(Inputs!$J$9-Inputs!$I$9)))^2+Inputs!$C$6^2+((Inputs!$H$9+Inputs!$L$9*(((Inputs!$I$9+(((A5)+1)/2)*(Inputs!$J$9-Inputs!$I$9)))/Inputs!$K$9)^2))^2)))))/Inputs!$C$13),NA())</x:f>
        <x:v>3954.4490024840757</x:v>
      </x:c>
      <x:c r="R5" s="49"/>
      <x:c r="S5" s="48" t="n">
        <x:f>A5</x:f>
        <x:v>-0.975</x:v>
      </x:c>
      <x:c r="T5" s="48" t="n">
        <x:f>(Inputs!$I$6+(((A5)+1)/2)*(Inputs!$J$6-Inputs!$I$6))</x:f>
        <x:v>-58.5</x:v>
      </x:c>
      <x:c r="U5" s="48" t="n">
        <x:f>(Inputs!$I$7+(((A5)+1)/2)*(Inputs!$J$7-Inputs!$I$7))</x:f>
        <x:v>-390</x:v>
      </x:c>
      <x:c r="V5" s="48" t="n">
        <x:f>(Inputs!$I$8+(((A5)+1)/2)*(Inputs!$J$8-Inputs!$I$8))</x:f>
        <x:v>-780</x:v>
      </x:c>
      <x:c r="W5" s="48" t="n">
        <x:f>(Inputs!$I$9+(((A5)+1)/2)*(Inputs!$J$9-Inputs!$I$9))</x:f>
        <x:v>-780</x:v>
      </x:c>
      <x:c r="X5" s="49"/>
      <x:c r="Y5" s="48" t="n">
        <x:f>A5</x:f>
        <x:v>-0.975</x:v>
      </x:c>
      <x:c r="Z5" s="48" t="n">
        <x:f>(Inputs!$H$6+Inputs!$L$6*(((Inputs!$I$6+(((A5)+1)/2)*(Inputs!$J$6-Inputs!$I$6)))/Inputs!$K$6)^2)</x:f>
        <x:v>403.8025</x:v>
      </x:c>
      <x:c r="AA5" s="48" t="n">
        <x:f>(Inputs!$H$7+Inputs!$L$7*(((Inputs!$I$7+(((A5)+1)/2)*(Inputs!$J$7-Inputs!$I$7)))/Inputs!$K$7)^2)</x:f>
        <x:v>381.978125</x:v>
      </x:c>
      <x:c r="AB5" s="48" t="n">
        <x:f>(Inputs!$H$8+Inputs!$L$8*(((Inputs!$I$8+(((A5)+1)/2)*(Inputs!$J$8-Inputs!$I$8)))/Inputs!$K$8)^2)</x:f>
        <x:v>952.353125</x:v>
      </x:c>
      <x:c r="AC5" s="48" t="n">
        <x:f>(Inputs!$H$9+Inputs!$L$9*(((Inputs!$I$9+(((A5)+1)/2)*(Inputs!$J$9-Inputs!$I$9)))/Inputs!$K$9)^2)</x:f>
        <x:v>951.859375</x:v>
      </x:c>
      <x:c r="AD5" s="49"/>
      <x:c r="AE5" s="48" t="n">
        <x:f>A5</x:f>
        <x:v>-0.975</x:v>
      </x:c>
      <x:c r="AF5" s="48" t="n">
        <x:f>(((SQRT(((Inputs!$I$6+(((A5)+1)/2)*(Inputs!$J$6-Inputs!$I$6)))^2+Inputs!$C$6^2+((Inputs!$H$6+Inputs!$L$6*(((Inputs!$I$6+(((A5)+1)/2)*(Inputs!$J$6-Inputs!$I$6)))/Inputs!$K$6)^2))^2))-((Inputs!$H$6+Inputs!$L$6*(((Inputs!$I$6+(((A5)+1)/2)*(Inputs!$J$6-Inputs!$I$6)))/Inputs!$K$6)^2)))*1000/Inputs!$C$12)</x:f>
        <x:v>2798.1490936689197</x:v>
      </x:c>
      <x:c r="AG5" s="48" t="n">
        <x:f>(((SQRT(((Inputs!$I$7+(((A5)+1)/2)*(Inputs!$J$7-Inputs!$I$7)))^2+Inputs!$C$6^2+((Inputs!$H$7+Inputs!$L$7*(((Inputs!$I$7+(((A5)+1)/2)*(Inputs!$J$7-Inputs!$I$7)))/Inputs!$K$7)^2))^2))-((Inputs!$H$7+Inputs!$L$7*(((Inputs!$I$7+(((A5)+1)/2)*(Inputs!$J$7-Inputs!$I$7)))/Inputs!$K$7)^2)))*1000/Inputs!$C$12)</x:f>
        <x:v>92412.61891404176</x:v>
      </x:c>
      <x:c r="AH5" s="48" t="n">
        <x:f>(((SQRT(((Inputs!$I$8+(((A5)+1)/2)*(Inputs!$J$8-Inputs!$I$8)))^2+Inputs!$C$6^2+((Inputs!$H$8+Inputs!$L$8*(((Inputs!$I$8+(((A5)+1)/2)*(Inputs!$J$8-Inputs!$I$8)))/Inputs!$K$8)^2))^2))-((Inputs!$H$8+Inputs!$L$8*(((Inputs!$I$8+(((A5)+1)/2)*(Inputs!$J$8-Inputs!$I$8)))/Inputs!$K$8)^2)))*1000/Inputs!$C$12)</x:f>
        <x:v>156689.32111616264</x:v>
      </x:c>
      <x:c r="AI5" s="48" t="n">
        <x:f>(((SQRT(((Inputs!$I$9+(((A5)+1)/2)*(Inputs!$J$9-Inputs!$I$9)))^2+Inputs!$C$6^2+((Inputs!$H$9+Inputs!$L$9*(((Inputs!$I$9+(((A5)+1)/2)*(Inputs!$J$9-Inputs!$I$9)))/Inputs!$K$9)^2))^2))-((Inputs!$H$9+Inputs!$L$9*(((Inputs!$I$9+(((A5)+1)/2)*(Inputs!$J$9-Inputs!$I$9)))/Inputs!$K$9)^2)))*1000/Inputs!$C$12)</x:f>
        <x:v>156752.1777541483</x:v>
      </x:c>
      <x:c r="AJ5" s="49"/>
      <x:c r="AK5" s="48" t="n">
        <x:f>A5</x:f>
        <x:v>-0.975</x:v>
      </x:c>
      <x:c r="AL5" s="48" t="n">
        <x:f>(-2*((1000*((((Inputs!$I$6+(((A5)+1)/2)*(Inputs!$J$6-Inputs!$I$6)))*Inputs!$C$11+((Inputs!$H$6+Inputs!$L$6*(((Inputs!$I$6+(((A5)+1)/2)*(Inputs!$J$6-Inputs!$I$6)))/Inputs!$K$6)^2))*((2*Inputs!$L$6*((Inputs!$I$6+(((A5)+1)/2)*(Inputs!$J$6-Inputs!$I$6)))/(Inputs!$K$6^2)*Inputs!$C$11)))/(SQRT(((Inputs!$I$6+(((A5)+1)/2)*(Inputs!$J$6-Inputs!$I$6)))^2+Inputs!$C$6^2+((Inputs!$H$6+Inputs!$L$6*(((Inputs!$I$6+(((A5)+1)/2)*(Inputs!$J$6-Inputs!$I$6)))/Inputs!$K$6)^2))^2)))))/Inputs!$C$13)</x:f>
        <x:v>434.43790659645504</x:v>
      </x:c>
      <x:c r="AM5" s="48" t="n">
        <x:f>(-2*((1000*((((Inputs!$I$7+(((A5)+1)/2)*(Inputs!$J$7-Inputs!$I$7)))*Inputs!$C$11+((Inputs!$H$7+Inputs!$L$7*(((Inputs!$I$7+(((A5)+1)/2)*(Inputs!$J$7-Inputs!$I$7)))/Inputs!$K$7)^2))*((2*Inputs!$L$7*((Inputs!$I$7+(((A5)+1)/2)*(Inputs!$J$7-Inputs!$I$7)))/(Inputs!$K$7^2)*Inputs!$C$11)))/(SQRT(((Inputs!$I$7+(((A5)+1)/2)*(Inputs!$J$7-Inputs!$I$7)))^2+Inputs!$C$6^2+((Inputs!$H$7+Inputs!$L$7*(((Inputs!$I$7+(((A5)+1)/2)*(Inputs!$J$7-Inputs!$I$7)))/Inputs!$K$7)^2))^2)))))/Inputs!$C$13)</x:f>
        <x:v>3131.889437151103</x:v>
      </x:c>
      <x:c r="AN5" s="48" t="n">
        <x:f>(-2*((1000*((((Inputs!$I$8+(((A5)+1)/2)*(Inputs!$J$8-Inputs!$I$8)))*Inputs!$C$11+((Inputs!$H$8+Inputs!$L$8*(((Inputs!$I$8+(((A5)+1)/2)*(Inputs!$J$8-Inputs!$I$8)))/Inputs!$K$8)^2))*((2*Inputs!$L$8*((Inputs!$I$8+(((A5)+1)/2)*(Inputs!$J$8-Inputs!$I$8)))/(Inputs!$K$8^2)*Inputs!$C$11)))/(SQRT(((Inputs!$I$8+(((A5)+1)/2)*(Inputs!$J$8-Inputs!$I$8)))^2+Inputs!$C$6^2+((Inputs!$H$8+Inputs!$L$8*(((Inputs!$I$8+(((A5)+1)/2)*(Inputs!$J$8-Inputs!$I$8)))/Inputs!$K$8)^2))^2)))))/Inputs!$C$13)</x:f>
        <x:v>3924.581752337598</x:v>
      </x:c>
      <x:c r="AO5" s="48" t="n">
        <x:f>(-2*((1000*((((Inputs!$I$9+(((A5)+1)/2)*(Inputs!$J$9-Inputs!$I$9)))*Inputs!$C$11+((Inputs!$H$9+Inputs!$L$9*(((Inputs!$I$9+(((A5)+1)/2)*(Inputs!$J$9-Inputs!$I$9)))/Inputs!$K$9)^2))*((2*Inputs!$L$9*((Inputs!$I$9+(((A5)+1)/2)*(Inputs!$J$9-Inputs!$I$9)))/(Inputs!$K$9^2)*Inputs!$C$11)))/(SQRT(((Inputs!$I$9+(((A5)+1)/2)*(Inputs!$J$9-Inputs!$I$9)))^2+Inputs!$C$6^2+((Inputs!$H$9+Inputs!$L$9*(((Inputs!$I$9+(((A5)+1)/2)*(Inputs!$J$9-Inputs!$I$9)))/Inputs!$K$9)^2))^2)))))/Inputs!$C$13)</x:f>
        <x:v>3954.4490024840757</x:v>
      </x:c>
    </x:row>
    <x:row r="6">
      <x:c r="A6" s="48" t="n">
        <x:f>ROUND(-1+4*2/240,3)</x:f>
        <x:v>-0.967</x:v>
      </x:c>
      <x:c r="B6" s="48" t="n">
        <x:f>IF(OR(Inputs!$F$6=TRUE,Inputs!$F$6="TRUE",Inputs!$F$6=1),(Inputs!$H$6+Inputs!$L$6*(((Inputs!$I$6+(((A6)+1)/2)*(Inputs!$J$6-Inputs!$I$6)))/Inputs!$K$6)^2),NA())</x:f>
        <x:v>403.740356</x:v>
      </x:c>
      <x:c r="C6" s="48" t="n">
        <x:f>IF(OR(Inputs!$F$7=TRUE,Inputs!$F$7="TRUE",Inputs!$F$7=1),(Inputs!$H$7+Inputs!$L$7*(((Inputs!$I$7+(((A6)+1)/2)*(Inputs!$J$7-Inputs!$I$7)))/Inputs!$K$7)^2),NA())</x:f>
        <x:v>376.30748500000004</x:v>
      </x:c>
      <x:c r="D6" s="48" t="n">
        <x:f>IF(OR(Inputs!$F$8=TRUE,Inputs!$F$8="TRUE",Inputs!$F$8=1),(Inputs!$H$8+Inputs!$L$8*(((Inputs!$I$8+(((A6)+1)/2)*(Inputs!$J$8-Inputs!$I$8)))/Inputs!$K$8)^2),NA())</x:f>
        <x:v>937.3608850000002</x:v>
      </x:c>
      <x:c r="E6" s="48" t="n">
        <x:f>IF(OR(Inputs!$F$9=TRUE,Inputs!$F$9="TRUE",Inputs!$F$9=1),(Inputs!$H$9+Inputs!$L$9*(((Inputs!$I$9+(((A6)+1)/2)*(Inputs!$J$9-Inputs!$I$9)))/Inputs!$K$9)^2),NA())</x:f>
        <x:v>936.7117750000002</x:v>
      </x:c>
      <x:c r="F6" s="49"/>
      <x:c r="G6" s="48" t="n">
        <x:f>A6</x:f>
        <x:v>-0.967</x:v>
      </x:c>
      <x:c r="H6" s="48" t="n">
        <x:f>IF(OR(Inputs!$F$6=TRUE,Inputs!$F$6="TRUE",Inputs!$F$6=1),(((SQRT(((Inputs!$I$6+(((A6)+1)/2)*(Inputs!$J$6-Inputs!$I$6)))^2+Inputs!$C$6^2+((Inputs!$H$6+Inputs!$L$6*(((Inputs!$I$6+(((A6)+1)/2)*(Inputs!$J$6-Inputs!$I$6)))/Inputs!$K$6)^2))^2))-((Inputs!$H$6+Inputs!$L$6*(((Inputs!$I$6+(((A6)+1)/2)*(Inputs!$J$6-Inputs!$I$6)))/Inputs!$K$6)^2)))*1000/Inputs!$C$12),NA())</x:f>
        <x:v>2760.1330447441346</x:v>
      </x:c>
      <x:c r="I6" s="48" t="n">
        <x:f>IF(OR(Inputs!$F$7=TRUE,Inputs!$F$7="TRUE",Inputs!$F$7=1),(((SQRT(((Inputs!$I$7+(((A6)+1)/2)*(Inputs!$J$7-Inputs!$I$7)))^2+Inputs!$C$6^2+((Inputs!$H$7+Inputs!$L$7*(((Inputs!$I$7+(((A6)+1)/2)*(Inputs!$J$7-Inputs!$I$7)))/Inputs!$K$7)^2))^2))-((Inputs!$H$7+Inputs!$L$7*(((Inputs!$I$7+(((A6)+1)/2)*(Inputs!$J$7-Inputs!$I$7)))/Inputs!$K$7)^2)))*1000/Inputs!$C$12),NA())</x:f>
        <x:v>92090.31802354811</x:v>
      </x:c>
      <x:c r="J6" s="48" t="n">
        <x:f>IF(OR(Inputs!$F$8=TRUE,Inputs!$F$8="TRUE",Inputs!$F$8=1),(((SQRT(((Inputs!$I$8+(((A6)+1)/2)*(Inputs!$J$8-Inputs!$I$8)))^2+Inputs!$C$6^2+((Inputs!$H$8+Inputs!$L$8*(((Inputs!$I$8+(((A6)+1)/2)*(Inputs!$J$8-Inputs!$I$8)))/Inputs!$K$8)^2))^2))-((Inputs!$H$8+Inputs!$L$8*(((Inputs!$I$8+(((A6)+1)/2)*(Inputs!$J$8-Inputs!$I$8)))/Inputs!$K$8)^2)))*1000/Inputs!$C$12),NA())</x:f>
        <x:v>156324.28356182837</x:v>
      </x:c>
      <x:c r="K6" s="48" t="n">
        <x:f>IF(OR(Inputs!$F$9=TRUE,Inputs!$F$9="TRUE",Inputs!$F$9=1),(((SQRT(((Inputs!$I$9+(((A6)+1)/2)*(Inputs!$J$9-Inputs!$I$9)))^2+Inputs!$C$6^2+((Inputs!$H$9+Inputs!$L$9*(((Inputs!$I$9+(((A6)+1)/2)*(Inputs!$J$9-Inputs!$I$9)))/Inputs!$K$9)^2))^2))-((Inputs!$H$9+Inputs!$L$9*(((Inputs!$I$9+(((A6)+1)/2)*(Inputs!$J$9-Inputs!$I$9)))/Inputs!$K$9)^2)))*1000/Inputs!$C$12),NA())</x:f>
        <x:v>156407.79634982644</x:v>
      </x:c>
      <x:c r="L6" s="49"/>
      <x:c r="M6" s="48" t="n">
        <x:f>A6</x:f>
        <x:v>-0.967</x:v>
      </x:c>
      <x:c r="N6" s="48" t="n">
        <x:f>IF(OR(Inputs!$F$6=TRUE,Inputs!$F$6="TRUE",Inputs!$F$6=1),(-2*((1000*((((Inputs!$I$6+(((A6)+1)/2)*(Inputs!$J$6-Inputs!$I$6)))*Inputs!$C$11+((Inputs!$H$6+Inputs!$L$6*(((Inputs!$I$6+(((A6)+1)/2)*(Inputs!$J$6-Inputs!$I$6)))/Inputs!$K$6)^2))*((2*Inputs!$L$6*((Inputs!$I$6+(((A6)+1)/2)*(Inputs!$J$6-Inputs!$I$6)))/(Inputs!$K$6^2)*Inputs!$C$11)))/(SQRT(((Inputs!$I$6+(((A6)+1)/2)*(Inputs!$J$6-Inputs!$I$6)))^2+Inputs!$C$6^2+((Inputs!$H$6+Inputs!$L$6*(((Inputs!$I$6+(((A6)+1)/2)*(Inputs!$J$6-Inputs!$I$6)))/Inputs!$K$6)^2))^2)))))/Inputs!$C$13),NA())</x:f>
        <x:v>430.9787877330949</x:v>
      </x:c>
      <x:c r="O6" s="48" t="n">
        <x:f>IF(OR(Inputs!$F$7=TRUE,Inputs!$F$7="TRUE",Inputs!$F$7=1),(-2*((1000*((((Inputs!$I$7+(((A6)+1)/2)*(Inputs!$J$7-Inputs!$I$7)))*Inputs!$C$11+((Inputs!$H$7+Inputs!$L$7*(((Inputs!$I$7+(((A6)+1)/2)*(Inputs!$J$7-Inputs!$I$7)))/Inputs!$K$7)^2))*((2*Inputs!$L$7*((Inputs!$I$7+(((A6)+1)/2)*(Inputs!$J$7-Inputs!$I$7)))/(Inputs!$K$7^2)*Inputs!$C$11)))/(SQRT(((Inputs!$I$7+(((A6)+1)/2)*(Inputs!$J$7-Inputs!$I$7)))^2+Inputs!$C$6^2+((Inputs!$H$7+Inputs!$L$7*(((Inputs!$I$7+(((A6)+1)/2)*(Inputs!$J$7-Inputs!$I$7)))/Inputs!$K$7)^2))^2)))))/Inputs!$C$13),NA())</x:f>
        <x:v>3112.4563803873357</x:v>
      </x:c>
      <x:c r="P6" s="48" t="n">
        <x:f>IF(OR(Inputs!$F$8=TRUE,Inputs!$F$8="TRUE",Inputs!$F$8=1),(-2*((1000*((((Inputs!$I$8+(((A6)+1)/2)*(Inputs!$J$8-Inputs!$I$8)))*Inputs!$C$11+((Inputs!$H$8+Inputs!$L$8*(((Inputs!$I$8+(((A6)+1)/2)*(Inputs!$J$8-Inputs!$I$8)))/Inputs!$K$8)^2))*((2*Inputs!$L$8*((Inputs!$I$8+(((A6)+1)/2)*(Inputs!$J$8-Inputs!$I$8)))/(Inputs!$K$8^2)*Inputs!$C$11)))/(SQRT(((Inputs!$I$8+(((A6)+1)/2)*(Inputs!$J$8-Inputs!$I$8)))^2+Inputs!$C$6^2+((Inputs!$H$8+Inputs!$L$8*(((Inputs!$I$8+(((A6)+1)/2)*(Inputs!$J$8-Inputs!$I$8)))/Inputs!$K$8)^2))^2)))))/Inputs!$C$13),NA())</x:f>
        <x:v>3896.4309174215573</x:v>
      </x:c>
      <x:c r="Q6" s="48" t="n">
        <x:f>IF(OR(Inputs!$F$9=TRUE,Inputs!$F$9="TRUE",Inputs!$F$9=1),(-2*((1000*((((Inputs!$I$9+(((A6)+1)/2)*(Inputs!$J$9-Inputs!$I$9)))*Inputs!$C$11+((Inputs!$H$9+Inputs!$L$9*(((Inputs!$I$9+(((A6)+1)/2)*(Inputs!$J$9-Inputs!$I$9)))/Inputs!$K$9)^2))*((2*Inputs!$L$9*((Inputs!$I$9+(((A6)+1)/2)*(Inputs!$J$9-Inputs!$I$9)))/(Inputs!$K$9^2)*Inputs!$C$11)))/(SQRT(((Inputs!$I$9+(((A6)+1)/2)*(Inputs!$J$9-Inputs!$I$9)))^2+Inputs!$C$6^2+((Inputs!$H$9+Inputs!$L$9*(((Inputs!$I$9+(((A6)+1)/2)*(Inputs!$J$9-Inputs!$I$9)))/Inputs!$K$9)^2))^2)))))/Inputs!$C$13),NA())</x:f>
        <x:v>3925.859448451174</x:v>
      </x:c>
      <x:c r="R6" s="49"/>
      <x:c r="S6" s="48" t="n">
        <x:f>A6</x:f>
        <x:v>-0.967</x:v>
      </x:c>
      <x:c r="T6" s="48" t="n">
        <x:f>(Inputs!$I$6+(((A6)+1)/2)*(Inputs!$J$6-Inputs!$I$6))</x:f>
        <x:v>-58.019999999999996</x:v>
      </x:c>
      <x:c r="U6" s="48" t="n">
        <x:f>(Inputs!$I$7+(((A6)+1)/2)*(Inputs!$J$7-Inputs!$I$7))</x:f>
        <x:v>-386.8</x:v>
      </x:c>
      <x:c r="V6" s="48" t="n">
        <x:f>(Inputs!$I$8+(((A6)+1)/2)*(Inputs!$J$8-Inputs!$I$8))</x:f>
        <x:v>-773.6</x:v>
      </x:c>
      <x:c r="W6" s="48" t="n">
        <x:f>(Inputs!$I$9+(((A6)+1)/2)*(Inputs!$J$9-Inputs!$I$9))</x:f>
        <x:v>-773.6</x:v>
      </x:c>
      <x:c r="X6" s="49"/>
      <x:c r="Y6" s="48" t="n">
        <x:f>A6</x:f>
        <x:v>-0.967</x:v>
      </x:c>
      <x:c r="Z6" s="48" t="n">
        <x:f>(Inputs!$H$6+Inputs!$L$6*(((Inputs!$I$6+(((A6)+1)/2)*(Inputs!$J$6-Inputs!$I$6)))/Inputs!$K$6)^2)</x:f>
        <x:v>403.740356</x:v>
      </x:c>
      <x:c r="AA6" s="48" t="n">
        <x:f>(Inputs!$H$7+Inputs!$L$7*(((Inputs!$I$7+(((A6)+1)/2)*(Inputs!$J$7-Inputs!$I$7)))/Inputs!$K$7)^2)</x:f>
        <x:v>376.30748500000004</x:v>
      </x:c>
      <x:c r="AB6" s="48" t="n">
        <x:f>(Inputs!$H$8+Inputs!$L$8*(((Inputs!$I$8+(((A6)+1)/2)*(Inputs!$J$8-Inputs!$I$8)))/Inputs!$K$8)^2)</x:f>
        <x:v>937.3608850000002</x:v>
      </x:c>
      <x:c r="AC6" s="48" t="n">
        <x:f>(Inputs!$H$9+Inputs!$L$9*(((Inputs!$I$9+(((A6)+1)/2)*(Inputs!$J$9-Inputs!$I$9)))/Inputs!$K$9)^2)</x:f>
        <x:v>936.7117750000002</x:v>
      </x:c>
      <x:c r="AD6" s="49"/>
      <x:c r="AE6" s="48" t="n">
        <x:f>A6</x:f>
        <x:v>-0.967</x:v>
      </x:c>
      <x:c r="AF6" s="48" t="n">
        <x:f>(((SQRT(((Inputs!$I$6+(((A6)+1)/2)*(Inputs!$J$6-Inputs!$I$6)))^2+Inputs!$C$6^2+((Inputs!$H$6+Inputs!$L$6*(((Inputs!$I$6+(((A6)+1)/2)*(Inputs!$J$6-Inputs!$I$6)))/Inputs!$K$6)^2))^2))-((Inputs!$H$6+Inputs!$L$6*(((Inputs!$I$6+(((A6)+1)/2)*(Inputs!$J$6-Inputs!$I$6)))/Inputs!$K$6)^2)))*1000/Inputs!$C$12)</x:f>
        <x:v>2760.1330447441346</x:v>
      </x:c>
      <x:c r="AG6" s="48" t="n">
        <x:f>(((SQRT(((Inputs!$I$7+(((A6)+1)/2)*(Inputs!$J$7-Inputs!$I$7)))^2+Inputs!$C$6^2+((Inputs!$H$7+Inputs!$L$7*(((Inputs!$I$7+(((A6)+1)/2)*(Inputs!$J$7-Inputs!$I$7)))/Inputs!$K$7)^2))^2))-((Inputs!$H$7+Inputs!$L$7*(((Inputs!$I$7+(((A6)+1)/2)*(Inputs!$J$7-Inputs!$I$7)))/Inputs!$K$7)^2)))*1000/Inputs!$C$12)</x:f>
        <x:v>92090.31802354811</x:v>
      </x:c>
      <x:c r="AH6" s="48" t="n">
        <x:f>(((SQRT(((Inputs!$I$8+(((A6)+1)/2)*(Inputs!$J$8-Inputs!$I$8)))^2+Inputs!$C$6^2+((Inputs!$H$8+Inputs!$L$8*(((Inputs!$I$8+(((A6)+1)/2)*(Inputs!$J$8-Inputs!$I$8)))/Inputs!$K$8)^2))^2))-((Inputs!$H$8+Inputs!$L$8*(((Inputs!$I$8+(((A6)+1)/2)*(Inputs!$J$8-Inputs!$I$8)))/Inputs!$K$8)^2)))*1000/Inputs!$C$12)</x:f>
        <x:v>156324.28356182837</x:v>
      </x:c>
      <x:c r="AI6" s="48" t="n">
        <x:f>(((SQRT(((Inputs!$I$9+(((A6)+1)/2)*(Inputs!$J$9-Inputs!$I$9)))^2+Inputs!$C$6^2+((Inputs!$H$9+Inputs!$L$9*(((Inputs!$I$9+(((A6)+1)/2)*(Inputs!$J$9-Inputs!$I$9)))/Inputs!$K$9)^2))^2))-((Inputs!$H$9+Inputs!$L$9*(((Inputs!$I$9+(((A6)+1)/2)*(Inputs!$J$9-Inputs!$I$9)))/Inputs!$K$9)^2)))*1000/Inputs!$C$12)</x:f>
        <x:v>156407.79634982644</x:v>
      </x:c>
      <x:c r="AJ6" s="49"/>
      <x:c r="AK6" s="48" t="n">
        <x:f>A6</x:f>
        <x:v>-0.967</x:v>
      </x:c>
      <x:c r="AL6" s="48" t="n">
        <x:f>(-2*((1000*((((Inputs!$I$6+(((A6)+1)/2)*(Inputs!$J$6-Inputs!$I$6)))*Inputs!$C$11+((Inputs!$H$6+Inputs!$L$6*(((Inputs!$I$6+(((A6)+1)/2)*(Inputs!$J$6-Inputs!$I$6)))/Inputs!$K$6)^2))*((2*Inputs!$L$6*((Inputs!$I$6+(((A6)+1)/2)*(Inputs!$J$6-Inputs!$I$6)))/(Inputs!$K$6^2)*Inputs!$C$11)))/(SQRT(((Inputs!$I$6+(((A6)+1)/2)*(Inputs!$J$6-Inputs!$I$6)))^2+Inputs!$C$6^2+((Inputs!$H$6+Inputs!$L$6*(((Inputs!$I$6+(((A6)+1)/2)*(Inputs!$J$6-Inputs!$I$6)))/Inputs!$K$6)^2))^2)))))/Inputs!$C$13)</x:f>
        <x:v>430.9787877330949</x:v>
      </x:c>
      <x:c r="AM6" s="48" t="n">
        <x:f>(-2*((1000*((((Inputs!$I$7+(((A6)+1)/2)*(Inputs!$J$7-Inputs!$I$7)))*Inputs!$C$11+((Inputs!$H$7+Inputs!$L$7*(((Inputs!$I$7+(((A6)+1)/2)*(Inputs!$J$7-Inputs!$I$7)))/Inputs!$K$7)^2))*((2*Inputs!$L$7*((Inputs!$I$7+(((A6)+1)/2)*(Inputs!$J$7-Inputs!$I$7)))/(Inputs!$K$7^2)*Inputs!$C$11)))/(SQRT(((Inputs!$I$7+(((A6)+1)/2)*(Inputs!$J$7-Inputs!$I$7)))^2+Inputs!$C$6^2+((Inputs!$H$7+Inputs!$L$7*(((Inputs!$I$7+(((A6)+1)/2)*(Inputs!$J$7-Inputs!$I$7)))/Inputs!$K$7)^2))^2)))))/Inputs!$C$13)</x:f>
        <x:v>3112.4563803873357</x:v>
      </x:c>
      <x:c r="AN6" s="48" t="n">
        <x:f>(-2*((1000*((((Inputs!$I$8+(((A6)+1)/2)*(Inputs!$J$8-Inputs!$I$8)))*Inputs!$C$11+((Inputs!$H$8+Inputs!$L$8*(((Inputs!$I$8+(((A6)+1)/2)*(Inputs!$J$8-Inputs!$I$8)))/Inputs!$K$8)^2))*((2*Inputs!$L$8*((Inputs!$I$8+(((A6)+1)/2)*(Inputs!$J$8-Inputs!$I$8)))/(Inputs!$K$8^2)*Inputs!$C$11)))/(SQRT(((Inputs!$I$8+(((A6)+1)/2)*(Inputs!$J$8-Inputs!$I$8)))^2+Inputs!$C$6^2+((Inputs!$H$8+Inputs!$L$8*(((Inputs!$I$8+(((A6)+1)/2)*(Inputs!$J$8-Inputs!$I$8)))/Inputs!$K$8)^2))^2)))))/Inputs!$C$13)</x:f>
        <x:v>3896.4309174215573</x:v>
      </x:c>
      <x:c r="AO6" s="48" t="n">
        <x:f>(-2*((1000*((((Inputs!$I$9+(((A6)+1)/2)*(Inputs!$J$9-Inputs!$I$9)))*Inputs!$C$11+((Inputs!$H$9+Inputs!$L$9*(((Inputs!$I$9+(((A6)+1)/2)*(Inputs!$J$9-Inputs!$I$9)))/Inputs!$K$9)^2))*((2*Inputs!$L$9*((Inputs!$I$9+(((A6)+1)/2)*(Inputs!$J$9-Inputs!$I$9)))/(Inputs!$K$9^2)*Inputs!$C$11)))/(SQRT(((Inputs!$I$9+(((A6)+1)/2)*(Inputs!$J$9-Inputs!$I$9)))^2+Inputs!$C$6^2+((Inputs!$H$9+Inputs!$L$9*(((Inputs!$I$9+(((A6)+1)/2)*(Inputs!$J$9-Inputs!$I$9)))/Inputs!$K$9)^2))^2)))))/Inputs!$C$13)</x:f>
        <x:v>3925.859448451174</x:v>
      </x:c>
    </x:row>
    <x:row r="7">
      <x:c r="A7" s="48" t="n">
        <x:f>ROUND(-1+5*2/240,3)</x:f>
        <x:v>-0.958</x:v>
      </x:c>
      <x:c r="B7" s="48" t="n">
        <x:f>IF(OR(Inputs!$F$6=TRUE,Inputs!$F$6="TRUE",Inputs!$F$6=1),(Inputs!$H$6+Inputs!$L$6*(((Inputs!$I$6+(((A7)+1)/2)*(Inputs!$J$6-Inputs!$I$6)))/Inputs!$K$6)^2),NA())</x:f>
        <x:v>403.671056</x:v>
      </x:c>
      <x:c r="C7" s="48" t="n">
        <x:f>IF(OR(Inputs!$F$7=TRUE,Inputs!$F$7="TRUE",Inputs!$F$7=1),(Inputs!$H$7+Inputs!$L$7*(((Inputs!$I$7+(((A7)+1)/2)*(Inputs!$J$7-Inputs!$I$7)))/Inputs!$K$7)^2),NA())</x:f>
        <x:v>369.98386</x:v>
      </x:c>
      <x:c r="D7" s="48" t="n">
        <x:f>IF(OR(Inputs!$F$8=TRUE,Inputs!$F$8="TRUE",Inputs!$F$8=1),(Inputs!$H$8+Inputs!$L$8*(((Inputs!$I$8+(((A7)+1)/2)*(Inputs!$J$8-Inputs!$I$8)))/Inputs!$K$8)^2),NA())</x:f>
        <x:v>920.64226</x:v>
      </x:c>
      <x:c r="E7" s="48" t="n">
        <x:f>IF(OR(Inputs!$F$9=TRUE,Inputs!$F$9="TRUE",Inputs!$F$9=1),(Inputs!$H$9+Inputs!$L$9*(((Inputs!$I$9+(((A7)+1)/2)*(Inputs!$J$9-Inputs!$I$9)))/Inputs!$K$9)^2),NA())</x:f>
        <x:v>919.8199</x:v>
      </x:c>
      <x:c r="F7" s="49"/>
      <x:c r="G7" s="48" t="n">
        <x:f>A7</x:f>
        <x:v>-0.958</x:v>
      </x:c>
      <x:c r="H7" s="48" t="n">
        <x:f>IF(OR(Inputs!$F$6=TRUE,Inputs!$F$6="TRUE",Inputs!$F$6=1),(((SQRT(((Inputs!$I$6+(((A7)+1)/2)*(Inputs!$J$6-Inputs!$I$6)))^2+Inputs!$C$6^2+((Inputs!$H$6+Inputs!$L$6*(((Inputs!$I$6+(((A7)+1)/2)*(Inputs!$J$6-Inputs!$I$6)))/Inputs!$K$6)^2))^2))-((Inputs!$H$6+Inputs!$L$6*(((Inputs!$I$6+(((A7)+1)/2)*(Inputs!$J$6-Inputs!$I$6)))/Inputs!$K$6)^2)))*1000/Inputs!$C$12),NA())</x:f>
        <x:v>2717.718307791033</x:v>
      </x:c>
      <x:c r="I7" s="48" t="n">
        <x:f>IF(OR(Inputs!$F$7=TRUE,Inputs!$F$7="TRUE",Inputs!$F$7=1),(((SQRT(((Inputs!$I$7+(((A7)+1)/2)*(Inputs!$J$7-Inputs!$I$7)))^2+Inputs!$C$6^2+((Inputs!$H$7+Inputs!$L$7*(((Inputs!$I$7+(((A7)+1)/2)*(Inputs!$J$7-Inputs!$I$7)))/Inputs!$K$7)^2))^2))-((Inputs!$H$7+Inputs!$L$7*(((Inputs!$I$7+(((A7)+1)/2)*(Inputs!$J$7-Inputs!$I$7)))/Inputs!$K$7)^2)))*1000/Inputs!$C$12),NA())</x:f>
        <x:v>91722.41052610266</x:v>
      </x:c>
      <x:c r="J7" s="48" t="n">
        <x:f>IF(OR(Inputs!$F$8=TRUE,Inputs!$F$8="TRUE",Inputs!$F$8=1),(((SQRT(((Inputs!$I$8+(((A7)+1)/2)*(Inputs!$J$8-Inputs!$I$8)))^2+Inputs!$C$6^2+((Inputs!$H$8+Inputs!$L$8*(((Inputs!$I$8+(((A7)+1)/2)*(Inputs!$J$8-Inputs!$I$8)))/Inputs!$K$8)^2))^2))-((Inputs!$H$8+Inputs!$L$8*(((Inputs!$I$8+(((A7)+1)/2)*(Inputs!$J$8-Inputs!$I$8)))/Inputs!$K$8)^2)))*1000/Inputs!$C$12),NA())</x:f>
        <x:v>155906.20411800177</x:v>
      </x:c>
      <x:c r="K7" s="48" t="n">
        <x:f>IF(OR(Inputs!$F$9=TRUE,Inputs!$F$9="TRUE",Inputs!$F$9=1),(((SQRT(((Inputs!$I$9+(((A7)+1)/2)*(Inputs!$J$9-Inputs!$I$9)))^2+Inputs!$C$6^2+((Inputs!$H$9+Inputs!$L$9*(((Inputs!$I$9+(((A7)+1)/2)*(Inputs!$J$9-Inputs!$I$9)))/Inputs!$K$9)^2))^2))-((Inputs!$H$9+Inputs!$L$9*(((Inputs!$I$9+(((A7)+1)/2)*(Inputs!$J$9-Inputs!$I$9)))/Inputs!$K$9)^2)))*1000/Inputs!$C$12),NA())</x:f>
        <x:v>156013.2761094695</x:v>
      </x:c>
      <x:c r="L7" s="49"/>
      <x:c r="M7" s="48" t="n">
        <x:f>A7</x:f>
        <x:v>-0.958</x:v>
      </x:c>
      <x:c r="N7" s="48" t="n">
        <x:f>IF(OR(Inputs!$F$6=TRUE,Inputs!$F$6="TRUE",Inputs!$F$6=1),(-2*((1000*((((Inputs!$I$6+(((A7)+1)/2)*(Inputs!$J$6-Inputs!$I$6)))*Inputs!$C$11+((Inputs!$H$6+Inputs!$L$6*(((Inputs!$I$6+(((A7)+1)/2)*(Inputs!$J$6-Inputs!$I$6)))/Inputs!$K$6)^2))*((2*Inputs!$L$6*((Inputs!$I$6+(((A7)+1)/2)*(Inputs!$J$6-Inputs!$I$6)))/(Inputs!$K$6^2)*Inputs!$C$11)))/(SQRT(((Inputs!$I$6+(((A7)+1)/2)*(Inputs!$J$6-Inputs!$I$6)))^2+Inputs!$C$6^2+((Inputs!$H$6+Inputs!$L$6*(((Inputs!$I$6+(((A7)+1)/2)*(Inputs!$J$6-Inputs!$I$6)))/Inputs!$K$6)^2))^2)))))/Inputs!$C$13),NA())</x:f>
        <x:v>427.0842807136572</x:v>
      </x:c>
      <x:c r="O7" s="48" t="n">
        <x:f>IF(OR(Inputs!$F$7=TRUE,Inputs!$F$7="TRUE",Inputs!$F$7=1),(-2*((1000*((((Inputs!$I$7+(((A7)+1)/2)*(Inputs!$J$7-Inputs!$I$7)))*Inputs!$C$11+((Inputs!$H$7+Inputs!$L$7*(((Inputs!$I$7+(((A7)+1)/2)*(Inputs!$J$7-Inputs!$I$7)))/Inputs!$K$7)^2))*((2*Inputs!$L$7*((Inputs!$I$7+(((A7)+1)/2)*(Inputs!$J$7-Inputs!$I$7)))/(Inputs!$K$7^2)*Inputs!$C$11)))/(SQRT(((Inputs!$I$7+(((A7)+1)/2)*(Inputs!$J$7-Inputs!$I$7)))^2+Inputs!$C$6^2+((Inputs!$H$7+Inputs!$L$7*(((Inputs!$I$7+(((A7)+1)/2)*(Inputs!$J$7-Inputs!$I$7)))/Inputs!$K$7)^2))^2)))))/Inputs!$C$13),NA())</x:f>
        <x:v>3090.6682062831496</x:v>
      </x:c>
      <x:c r="P7" s="48" t="n">
        <x:f>IF(OR(Inputs!$F$8=TRUE,Inputs!$F$8="TRUE",Inputs!$F$8=1),(-2*((1000*((((Inputs!$I$8+(((A7)+1)/2)*(Inputs!$J$8-Inputs!$I$8)))*Inputs!$C$11+((Inputs!$H$8+Inputs!$L$8*(((Inputs!$I$8+(((A7)+1)/2)*(Inputs!$J$8-Inputs!$I$8)))/Inputs!$K$8)^2))*((2*Inputs!$L$8*((Inputs!$I$8+(((A7)+1)/2)*(Inputs!$J$8-Inputs!$I$8)))/(Inputs!$K$8^2)*Inputs!$C$11)))/(SQRT(((Inputs!$I$8+(((A7)+1)/2)*(Inputs!$J$8-Inputs!$I$8)))^2+Inputs!$C$6^2+((Inputs!$H$8+Inputs!$L$8*(((Inputs!$I$8+(((A7)+1)/2)*(Inputs!$J$8-Inputs!$I$8)))/Inputs!$K$8)^2))^2)))))/Inputs!$C$13),NA())</x:f>
        <x:v>3864.828363684369</x:v>
      </x:c>
      <x:c r="Q7" s="48" t="n">
        <x:f>IF(OR(Inputs!$F$9=TRUE,Inputs!$F$9="TRUE",Inputs!$F$9=1),(-2*((1000*((((Inputs!$I$9+(((A7)+1)/2)*(Inputs!$J$9-Inputs!$I$9)))*Inputs!$C$11+((Inputs!$H$9+Inputs!$L$9*(((Inputs!$I$9+(((A7)+1)/2)*(Inputs!$J$9-Inputs!$I$9)))/Inputs!$K$9)^2))*((2*Inputs!$L$9*((Inputs!$I$9+(((A7)+1)/2)*(Inputs!$J$9-Inputs!$I$9)))/(Inputs!$K$9^2)*Inputs!$C$11)))/(SQRT(((Inputs!$I$9+(((A7)+1)/2)*(Inputs!$J$9-Inputs!$I$9)))^2+Inputs!$C$6^2+((Inputs!$H$9+Inputs!$L$9*(((Inputs!$I$9+(((A7)+1)/2)*(Inputs!$J$9-Inputs!$I$9)))/Inputs!$K$9)^2))^2)))))/Inputs!$C$13),NA())</x:f>
        <x:v>3893.7615736346024</x:v>
      </x:c>
      <x:c r="R7" s="49"/>
      <x:c r="S7" s="48" t="n">
        <x:f>A7</x:f>
        <x:v>-0.958</x:v>
      </x:c>
      <x:c r="T7" s="48" t="n">
        <x:f>(Inputs!$I$6+(((A7)+1)/2)*(Inputs!$J$6-Inputs!$I$6))</x:f>
        <x:v>-57.48</x:v>
      </x:c>
      <x:c r="U7" s="48" t="n">
        <x:f>(Inputs!$I$7+(((A7)+1)/2)*(Inputs!$J$7-Inputs!$I$7))</x:f>
        <x:v>-383.2</x:v>
      </x:c>
      <x:c r="V7" s="48" t="n">
        <x:f>(Inputs!$I$8+(((A7)+1)/2)*(Inputs!$J$8-Inputs!$I$8))</x:f>
        <x:v>-766.4</x:v>
      </x:c>
      <x:c r="W7" s="48" t="n">
        <x:f>(Inputs!$I$9+(((A7)+1)/2)*(Inputs!$J$9-Inputs!$I$9))</x:f>
        <x:v>-766.4</x:v>
      </x:c>
      <x:c r="X7" s="49"/>
      <x:c r="Y7" s="48" t="n">
        <x:f>A7</x:f>
        <x:v>-0.958</x:v>
      </x:c>
      <x:c r="Z7" s="48" t="n">
        <x:f>(Inputs!$H$6+Inputs!$L$6*(((Inputs!$I$6+(((A7)+1)/2)*(Inputs!$J$6-Inputs!$I$6)))/Inputs!$K$6)^2)</x:f>
        <x:v>403.671056</x:v>
      </x:c>
      <x:c r="AA7" s="48" t="n">
        <x:f>(Inputs!$H$7+Inputs!$L$7*(((Inputs!$I$7+(((A7)+1)/2)*(Inputs!$J$7-Inputs!$I$7)))/Inputs!$K$7)^2)</x:f>
        <x:v>369.98386</x:v>
      </x:c>
      <x:c r="AB7" s="48" t="n">
        <x:f>(Inputs!$H$8+Inputs!$L$8*(((Inputs!$I$8+(((A7)+1)/2)*(Inputs!$J$8-Inputs!$I$8)))/Inputs!$K$8)^2)</x:f>
        <x:v>920.64226</x:v>
      </x:c>
      <x:c r="AC7" s="48" t="n">
        <x:f>(Inputs!$H$9+Inputs!$L$9*(((Inputs!$I$9+(((A7)+1)/2)*(Inputs!$J$9-Inputs!$I$9)))/Inputs!$K$9)^2)</x:f>
        <x:v>919.8199</x:v>
      </x:c>
      <x:c r="AD7" s="49"/>
      <x:c r="AE7" s="48" t="n">
        <x:f>A7</x:f>
        <x:v>-0.958</x:v>
      </x:c>
      <x:c r="AF7" s="48" t="n">
        <x:f>(((SQRT(((Inputs!$I$6+(((A7)+1)/2)*(Inputs!$J$6-Inputs!$I$6)))^2+Inputs!$C$6^2+((Inputs!$H$6+Inputs!$L$6*(((Inputs!$I$6+(((A7)+1)/2)*(Inputs!$J$6-Inputs!$I$6)))/Inputs!$K$6)^2))^2))-((Inputs!$H$6+Inputs!$L$6*(((Inputs!$I$6+(((A7)+1)/2)*(Inputs!$J$6-Inputs!$I$6)))/Inputs!$K$6)^2)))*1000/Inputs!$C$12)</x:f>
        <x:v>2717.718307791033</x:v>
      </x:c>
      <x:c r="AG7" s="48" t="n">
        <x:f>(((SQRT(((Inputs!$I$7+(((A7)+1)/2)*(Inputs!$J$7-Inputs!$I$7)))^2+Inputs!$C$6^2+((Inputs!$H$7+Inputs!$L$7*(((Inputs!$I$7+(((A7)+1)/2)*(Inputs!$J$7-Inputs!$I$7)))/Inputs!$K$7)^2))^2))-((Inputs!$H$7+Inputs!$L$7*(((Inputs!$I$7+(((A7)+1)/2)*(Inputs!$J$7-Inputs!$I$7)))/Inputs!$K$7)^2)))*1000/Inputs!$C$12)</x:f>
        <x:v>91722.41052610266</x:v>
      </x:c>
      <x:c r="AH7" s="48" t="n">
        <x:f>(((SQRT(((Inputs!$I$8+(((A7)+1)/2)*(Inputs!$J$8-Inputs!$I$8)))^2+Inputs!$C$6^2+((Inputs!$H$8+Inputs!$L$8*(((Inputs!$I$8+(((A7)+1)/2)*(Inputs!$J$8-Inputs!$I$8)))/Inputs!$K$8)^2))^2))-((Inputs!$H$8+Inputs!$L$8*(((Inputs!$I$8+(((A7)+1)/2)*(Inputs!$J$8-Inputs!$I$8)))/Inputs!$K$8)^2)))*1000/Inputs!$C$12)</x:f>
        <x:v>155906.20411800177</x:v>
      </x:c>
      <x:c r="AI7" s="48" t="n">
        <x:f>(((SQRT(((Inputs!$I$9+(((A7)+1)/2)*(Inputs!$J$9-Inputs!$I$9)))^2+Inputs!$C$6^2+((Inputs!$H$9+Inputs!$L$9*(((Inputs!$I$9+(((A7)+1)/2)*(Inputs!$J$9-Inputs!$I$9)))/Inputs!$K$9)^2))^2))-((Inputs!$H$9+Inputs!$L$9*(((Inputs!$I$9+(((A7)+1)/2)*(Inputs!$J$9-Inputs!$I$9)))/Inputs!$K$9)^2)))*1000/Inputs!$C$12)</x:f>
        <x:v>156013.2761094695</x:v>
      </x:c>
      <x:c r="AJ7" s="49"/>
      <x:c r="AK7" s="48" t="n">
        <x:f>A7</x:f>
        <x:v>-0.958</x:v>
      </x:c>
      <x:c r="AL7" s="48" t="n">
        <x:f>(-2*((1000*((((Inputs!$I$6+(((A7)+1)/2)*(Inputs!$J$6-Inputs!$I$6)))*Inputs!$C$11+((Inputs!$H$6+Inputs!$L$6*(((Inputs!$I$6+(((A7)+1)/2)*(Inputs!$J$6-Inputs!$I$6)))/Inputs!$K$6)^2))*((2*Inputs!$L$6*((Inputs!$I$6+(((A7)+1)/2)*(Inputs!$J$6-Inputs!$I$6)))/(Inputs!$K$6^2)*Inputs!$C$11)))/(SQRT(((Inputs!$I$6+(((A7)+1)/2)*(Inputs!$J$6-Inputs!$I$6)))^2+Inputs!$C$6^2+((Inputs!$H$6+Inputs!$L$6*(((Inputs!$I$6+(((A7)+1)/2)*(Inputs!$J$6-Inputs!$I$6)))/Inputs!$K$6)^2))^2)))))/Inputs!$C$13)</x:f>
        <x:v>427.0842807136572</x:v>
      </x:c>
      <x:c r="AM7" s="48" t="n">
        <x:f>(-2*((1000*((((Inputs!$I$7+(((A7)+1)/2)*(Inputs!$J$7-Inputs!$I$7)))*Inputs!$C$11+((Inputs!$H$7+Inputs!$L$7*(((Inputs!$I$7+(((A7)+1)/2)*(Inputs!$J$7-Inputs!$I$7)))/Inputs!$K$7)^2))*((2*Inputs!$L$7*((Inputs!$I$7+(((A7)+1)/2)*(Inputs!$J$7-Inputs!$I$7)))/(Inputs!$K$7^2)*Inputs!$C$11)))/(SQRT(((Inputs!$I$7+(((A7)+1)/2)*(Inputs!$J$7-Inputs!$I$7)))^2+Inputs!$C$6^2+((Inputs!$H$7+Inputs!$L$7*(((Inputs!$I$7+(((A7)+1)/2)*(Inputs!$J$7-Inputs!$I$7)))/Inputs!$K$7)^2))^2)))))/Inputs!$C$13)</x:f>
        <x:v>3090.6682062831496</x:v>
      </x:c>
      <x:c r="AN7" s="48" t="n">
        <x:f>(-2*((1000*((((Inputs!$I$8+(((A7)+1)/2)*(Inputs!$J$8-Inputs!$I$8)))*Inputs!$C$11+((Inputs!$H$8+Inputs!$L$8*(((Inputs!$I$8+(((A7)+1)/2)*(Inputs!$J$8-Inputs!$I$8)))/Inputs!$K$8)^2))*((2*Inputs!$L$8*((Inputs!$I$8+(((A7)+1)/2)*(Inputs!$J$8-Inputs!$I$8)))/(Inputs!$K$8^2)*Inputs!$C$11)))/(SQRT(((Inputs!$I$8+(((A7)+1)/2)*(Inputs!$J$8-Inputs!$I$8)))^2+Inputs!$C$6^2+((Inputs!$H$8+Inputs!$L$8*(((Inputs!$I$8+(((A7)+1)/2)*(Inputs!$J$8-Inputs!$I$8)))/Inputs!$K$8)^2))^2)))))/Inputs!$C$13)</x:f>
        <x:v>3864.828363684369</x:v>
      </x:c>
      <x:c r="AO7" s="48" t="n">
        <x:f>(-2*((1000*((((Inputs!$I$9+(((A7)+1)/2)*(Inputs!$J$9-Inputs!$I$9)))*Inputs!$C$11+((Inputs!$H$9+Inputs!$L$9*(((Inputs!$I$9+(((A7)+1)/2)*(Inputs!$J$9-Inputs!$I$9)))/Inputs!$K$9)^2))*((2*Inputs!$L$9*((Inputs!$I$9+(((A7)+1)/2)*(Inputs!$J$9-Inputs!$I$9)))/(Inputs!$K$9^2)*Inputs!$C$11)))/(SQRT(((Inputs!$I$9+(((A7)+1)/2)*(Inputs!$J$9-Inputs!$I$9)))^2+Inputs!$C$6^2+((Inputs!$H$9+Inputs!$L$9*(((Inputs!$I$9+(((A7)+1)/2)*(Inputs!$J$9-Inputs!$I$9)))/Inputs!$K$9)^2))^2)))))/Inputs!$C$13)</x:f>
        <x:v>3893.7615736346024</x:v>
      </x:c>
    </x:row>
    <x:row r="8">
      <x:c r="A8" s="48" t="n">
        <x:f>ROUND(-1+6*2/240,3)</x:f>
        <x:v>-0.95</x:v>
      </x:c>
      <x:c r="B8" s="48" t="n">
        <x:f>IF(OR(Inputs!$F$6=TRUE,Inputs!$F$6="TRUE",Inputs!$F$6=1),(Inputs!$H$6+Inputs!$L$6*(((Inputs!$I$6+(((A8)+1)/2)*(Inputs!$J$6-Inputs!$I$6)))/Inputs!$K$6)^2),NA())</x:f>
        <x:v>403.61</x:v>
      </x:c>
      <x:c r="C8" s="48" t="n">
        <x:f>IF(OR(Inputs!$F$7=TRUE,Inputs!$F$7="TRUE",Inputs!$F$7=1),(Inputs!$H$7+Inputs!$L$7*(((Inputs!$I$7+(((A8)+1)/2)*(Inputs!$J$7-Inputs!$I$7)))/Inputs!$K$7)^2),NA())</x:f>
        <x:v>364.41249999999997</x:v>
      </x:c>
      <x:c r="D8" s="48" t="n">
        <x:f>IF(OR(Inputs!$F$8=TRUE,Inputs!$F$8="TRUE",Inputs!$F$8=1),(Inputs!$H$8+Inputs!$L$8*(((Inputs!$I$8+(((A8)+1)/2)*(Inputs!$J$8-Inputs!$I$8)))/Inputs!$K$8)^2),NA())</x:f>
        <x:v>905.9125</x:v>
      </x:c>
      <x:c r="E8" s="48" t="n">
        <x:f>IF(OR(Inputs!$F$9=TRUE,Inputs!$F$9="TRUE",Inputs!$F$9=1),(Inputs!$H$9+Inputs!$L$9*(((Inputs!$I$9+(((A8)+1)/2)*(Inputs!$J$9-Inputs!$I$9)))/Inputs!$K$9)^2),NA())</x:f>
        <x:v>904.9375</x:v>
      </x:c>
      <x:c r="F8" s="49"/>
      <x:c r="G8" s="48" t="n">
        <x:f>A8</x:f>
        <x:v>-0.95</x:v>
      </x:c>
      <x:c r="H8" s="48" t="n">
        <x:f>IF(OR(Inputs!$F$6=TRUE,Inputs!$F$6="TRUE",Inputs!$F$6=1),(((SQRT(((Inputs!$I$6+(((A8)+1)/2)*(Inputs!$J$6-Inputs!$I$6)))^2+Inputs!$C$6^2+((Inputs!$H$6+Inputs!$L$6*(((Inputs!$I$6+(((A8)+1)/2)*(Inputs!$J$6-Inputs!$I$6)))/Inputs!$K$6)^2))^2))-((Inputs!$H$6+Inputs!$L$6*(((Inputs!$I$6+(((A8)+1)/2)*(Inputs!$J$6-Inputs!$I$6)))/Inputs!$K$6)^2)))*1000/Inputs!$C$12),NA())</x:f>
        <x:v>2680.330846175745</x:v>
      </x:c>
      <x:c r="I8" s="48" t="n">
        <x:f>IF(OR(Inputs!$F$7=TRUE,Inputs!$F$7="TRUE",Inputs!$F$7=1),(((SQRT(((Inputs!$I$7+(((A8)+1)/2)*(Inputs!$J$7-Inputs!$I$7)))^2+Inputs!$C$6^2+((Inputs!$H$7+Inputs!$L$7*(((Inputs!$I$7+(((A8)+1)/2)*(Inputs!$J$7-Inputs!$I$7)))/Inputs!$K$7)^2))^2))-((Inputs!$H$7+Inputs!$L$7*(((Inputs!$I$7+(((A8)+1)/2)*(Inputs!$J$7-Inputs!$I$7)))/Inputs!$K$7)^2)))*1000/Inputs!$C$12),NA())</x:f>
        <x:v>91390.57600820986</x:v>
      </x:c>
      <x:c r="J8" s="48" t="n">
        <x:f>IF(OR(Inputs!$F$8=TRUE,Inputs!$F$8="TRUE",Inputs!$F$8=1),(((SQRT(((Inputs!$I$8+(((A8)+1)/2)*(Inputs!$J$8-Inputs!$I$8)))^2+Inputs!$C$6^2+((Inputs!$H$8+Inputs!$L$8*(((Inputs!$I$8+(((A8)+1)/2)*(Inputs!$J$8-Inputs!$I$8)))/Inputs!$K$8)^2))^2))-((Inputs!$H$8+Inputs!$L$8*(((Inputs!$I$8+(((A8)+1)/2)*(Inputs!$J$8-Inputs!$I$8)))/Inputs!$K$8)^2)))*1000/Inputs!$C$12),NA())</x:f>
        <x:v>155527.84797426665</x:v>
      </x:c>
      <x:c r="K8" s="48" t="n">
        <x:f>IF(OR(Inputs!$F$9=TRUE,Inputs!$F$9="TRUE",Inputs!$F$9=1),(((SQRT(((Inputs!$I$9+(((A8)+1)/2)*(Inputs!$J$9-Inputs!$I$9)))^2+Inputs!$C$6^2+((Inputs!$H$9+Inputs!$L$9*(((Inputs!$I$9+(((A8)+1)/2)*(Inputs!$J$9-Inputs!$I$9)))/Inputs!$K$9)^2))^2))-((Inputs!$H$9+Inputs!$L$9*(((Inputs!$I$9+(((A8)+1)/2)*(Inputs!$J$9-Inputs!$I$9)))/Inputs!$K$9)^2)))*1000/Inputs!$C$12),NA())</x:f>
        <x:v>155656.15051535444</x:v>
      </x:c>
      <x:c r="L8" s="49"/>
      <x:c r="M8" s="48" t="n">
        <x:f>A8</x:f>
        <x:v>-0.95</x:v>
      </x:c>
      <x:c r="N8" s="48" t="n">
        <x:f>IF(OR(Inputs!$F$6=TRUE,Inputs!$F$6="TRUE",Inputs!$F$6=1),(-2*((1000*((((Inputs!$I$6+(((A8)+1)/2)*(Inputs!$J$6-Inputs!$I$6)))*Inputs!$C$11+((Inputs!$H$6+Inputs!$L$6*(((Inputs!$I$6+(((A8)+1)/2)*(Inputs!$J$6-Inputs!$I$6)))/Inputs!$K$6)^2))*((2*Inputs!$L$6*((Inputs!$I$6+(((A8)+1)/2)*(Inputs!$J$6-Inputs!$I$6)))/(Inputs!$K$6^2)*Inputs!$C$11)))/(SQRT(((Inputs!$I$6+(((A8)+1)/2)*(Inputs!$J$6-Inputs!$I$6)))^2+Inputs!$C$6^2+((Inputs!$H$6+Inputs!$L$6*(((Inputs!$I$6+(((A8)+1)/2)*(Inputs!$J$6-Inputs!$I$6)))/Inputs!$K$6)^2))^2)))))/Inputs!$C$13),NA())</x:f>
        <x:v>423.6198501715072</x:v>
      </x:c>
      <x:c r="O8" s="48" t="n">
        <x:f>IF(OR(Inputs!$F$7=TRUE,Inputs!$F$7="TRUE",Inputs!$F$7=1),(-2*((1000*((((Inputs!$I$7+(((A8)+1)/2)*(Inputs!$J$7-Inputs!$I$7)))*Inputs!$C$11+((Inputs!$H$7+Inputs!$L$7*(((Inputs!$I$7+(((A8)+1)/2)*(Inputs!$J$7-Inputs!$I$7)))/Inputs!$K$7)^2))*((2*Inputs!$L$7*((Inputs!$I$7+(((A8)+1)/2)*(Inputs!$J$7-Inputs!$I$7)))/(Inputs!$K$7^2)*Inputs!$C$11)))/(SQRT(((Inputs!$I$7+(((A8)+1)/2)*(Inputs!$J$7-Inputs!$I$7)))^2+Inputs!$C$6^2+((Inputs!$H$7+Inputs!$L$7*(((Inputs!$I$7+(((A8)+1)/2)*(Inputs!$J$7-Inputs!$I$7)))/Inputs!$K$7)^2))^2)))))/Inputs!$C$13),NA())</x:f>
        <x:v>3071.3678147126902</x:v>
      </x:c>
      <x:c r="P8" s="48" t="n">
        <x:f>IF(OR(Inputs!$F$8=TRUE,Inputs!$F$8="TRUE",Inputs!$F$8=1),(-2*((1000*((((Inputs!$I$8+(((A8)+1)/2)*(Inputs!$J$8-Inputs!$I$8)))*Inputs!$C$11+((Inputs!$H$8+Inputs!$L$8*(((Inputs!$I$8+(((A8)+1)/2)*(Inputs!$J$8-Inputs!$I$8)))/Inputs!$K$8)^2))*((2*Inputs!$L$8*((Inputs!$I$8+(((A8)+1)/2)*(Inputs!$J$8-Inputs!$I$8)))/(Inputs!$K$8^2)*Inputs!$C$11)))/(SQRT(((Inputs!$I$8+(((A8)+1)/2)*(Inputs!$J$8-Inputs!$I$8)))^2+Inputs!$C$6^2+((Inputs!$H$8+Inputs!$L$8*(((Inputs!$I$8+(((A8)+1)/2)*(Inputs!$J$8-Inputs!$I$8)))/Inputs!$K$8)^2))^2)))))/Inputs!$C$13),NA())</x:f>
        <x:v>3836.7983070402515</x:v>
      </x:c>
      <x:c r="Q8" s="48" t="n">
        <x:f>IF(OR(Inputs!$F$9=TRUE,Inputs!$F$9="TRUE",Inputs!$F$9=1),(-2*((1000*((((Inputs!$I$9+(((A8)+1)/2)*(Inputs!$J$9-Inputs!$I$9)))*Inputs!$C$11+((Inputs!$H$9+Inputs!$L$9*(((Inputs!$I$9+(((A8)+1)/2)*(Inputs!$J$9-Inputs!$I$9)))/Inputs!$K$9)^2))*((2*Inputs!$L$9*((Inputs!$I$9+(((A8)+1)/2)*(Inputs!$J$9-Inputs!$I$9)))/(Inputs!$K$9^2)*Inputs!$C$11)))/(SQRT(((Inputs!$I$9+(((A8)+1)/2)*(Inputs!$J$9-Inputs!$I$9)))^2+Inputs!$C$6^2+((Inputs!$H$9+Inputs!$L$9*(((Inputs!$I$9+(((A8)+1)/2)*(Inputs!$J$9-Inputs!$I$9)))/Inputs!$K$9)^2))^2)))))/Inputs!$C$13),NA())</x:f>
        <x:v>3865.2896613548774</x:v>
      </x:c>
      <x:c r="R8" s="49"/>
      <x:c r="S8" s="48" t="n">
        <x:f>A8</x:f>
        <x:v>-0.95</x:v>
      </x:c>
      <x:c r="T8" s="48" t="n">
        <x:f>(Inputs!$I$6+(((A8)+1)/2)*(Inputs!$J$6-Inputs!$I$6))</x:f>
        <x:v>-57</x:v>
      </x:c>
      <x:c r="U8" s="48" t="n">
        <x:f>(Inputs!$I$7+(((A8)+1)/2)*(Inputs!$J$7-Inputs!$I$7))</x:f>
        <x:v>-380</x:v>
      </x:c>
      <x:c r="V8" s="48" t="n">
        <x:f>(Inputs!$I$8+(((A8)+1)/2)*(Inputs!$J$8-Inputs!$I$8))</x:f>
        <x:v>-760</x:v>
      </x:c>
      <x:c r="W8" s="48" t="n">
        <x:f>(Inputs!$I$9+(((A8)+1)/2)*(Inputs!$J$9-Inputs!$I$9))</x:f>
        <x:v>-760</x:v>
      </x:c>
      <x:c r="X8" s="49"/>
      <x:c r="Y8" s="48" t="n">
        <x:f>A8</x:f>
        <x:v>-0.95</x:v>
      </x:c>
      <x:c r="Z8" s="48" t="n">
        <x:f>(Inputs!$H$6+Inputs!$L$6*(((Inputs!$I$6+(((A8)+1)/2)*(Inputs!$J$6-Inputs!$I$6)))/Inputs!$K$6)^2)</x:f>
        <x:v>403.61</x:v>
      </x:c>
      <x:c r="AA8" s="48" t="n">
        <x:f>(Inputs!$H$7+Inputs!$L$7*(((Inputs!$I$7+(((A8)+1)/2)*(Inputs!$J$7-Inputs!$I$7)))/Inputs!$K$7)^2)</x:f>
        <x:v>364.41249999999997</x:v>
      </x:c>
      <x:c r="AB8" s="48" t="n">
        <x:f>(Inputs!$H$8+Inputs!$L$8*(((Inputs!$I$8+(((A8)+1)/2)*(Inputs!$J$8-Inputs!$I$8)))/Inputs!$K$8)^2)</x:f>
        <x:v>905.9125</x:v>
      </x:c>
      <x:c r="AC8" s="48" t="n">
        <x:f>(Inputs!$H$9+Inputs!$L$9*(((Inputs!$I$9+(((A8)+1)/2)*(Inputs!$J$9-Inputs!$I$9)))/Inputs!$K$9)^2)</x:f>
        <x:v>904.9375</x:v>
      </x:c>
      <x:c r="AD8" s="49"/>
      <x:c r="AE8" s="48" t="n">
        <x:f>A8</x:f>
        <x:v>-0.95</x:v>
      </x:c>
      <x:c r="AF8" s="48" t="n">
        <x:f>(((SQRT(((Inputs!$I$6+(((A8)+1)/2)*(Inputs!$J$6-Inputs!$I$6)))^2+Inputs!$C$6^2+((Inputs!$H$6+Inputs!$L$6*(((Inputs!$I$6+(((A8)+1)/2)*(Inputs!$J$6-Inputs!$I$6)))/Inputs!$K$6)^2))^2))-((Inputs!$H$6+Inputs!$L$6*(((Inputs!$I$6+(((A8)+1)/2)*(Inputs!$J$6-Inputs!$I$6)))/Inputs!$K$6)^2)))*1000/Inputs!$C$12)</x:f>
        <x:v>2680.330846175745</x:v>
      </x:c>
      <x:c r="AG8" s="48" t="n">
        <x:f>(((SQRT(((Inputs!$I$7+(((A8)+1)/2)*(Inputs!$J$7-Inputs!$I$7)))^2+Inputs!$C$6^2+((Inputs!$H$7+Inputs!$L$7*(((Inputs!$I$7+(((A8)+1)/2)*(Inputs!$J$7-Inputs!$I$7)))/Inputs!$K$7)^2))^2))-((Inputs!$H$7+Inputs!$L$7*(((Inputs!$I$7+(((A8)+1)/2)*(Inputs!$J$7-Inputs!$I$7)))/Inputs!$K$7)^2)))*1000/Inputs!$C$12)</x:f>
        <x:v>91390.57600820986</x:v>
      </x:c>
      <x:c r="AH8" s="48" t="n">
        <x:f>(((SQRT(((Inputs!$I$8+(((A8)+1)/2)*(Inputs!$J$8-Inputs!$I$8)))^2+Inputs!$C$6^2+((Inputs!$H$8+Inputs!$L$8*(((Inputs!$I$8+(((A8)+1)/2)*(Inputs!$J$8-Inputs!$I$8)))/Inputs!$K$8)^2))^2))-((Inputs!$H$8+Inputs!$L$8*(((Inputs!$I$8+(((A8)+1)/2)*(Inputs!$J$8-Inputs!$I$8)))/Inputs!$K$8)^2)))*1000/Inputs!$C$12)</x:f>
        <x:v>155527.84797426665</x:v>
      </x:c>
      <x:c r="AI8" s="48" t="n">
        <x:f>(((SQRT(((Inputs!$I$9+(((A8)+1)/2)*(Inputs!$J$9-Inputs!$I$9)))^2+Inputs!$C$6^2+((Inputs!$H$9+Inputs!$L$9*(((Inputs!$I$9+(((A8)+1)/2)*(Inputs!$J$9-Inputs!$I$9)))/Inputs!$K$9)^2))^2))-((Inputs!$H$9+Inputs!$L$9*(((Inputs!$I$9+(((A8)+1)/2)*(Inputs!$J$9-Inputs!$I$9)))/Inputs!$K$9)^2)))*1000/Inputs!$C$12)</x:f>
        <x:v>155656.15051535444</x:v>
      </x:c>
      <x:c r="AJ8" s="49"/>
      <x:c r="AK8" s="48" t="n">
        <x:f>A8</x:f>
        <x:v>-0.95</x:v>
      </x:c>
      <x:c r="AL8" s="48" t="n">
        <x:f>(-2*((1000*((((Inputs!$I$6+(((A8)+1)/2)*(Inputs!$J$6-Inputs!$I$6)))*Inputs!$C$11+((Inputs!$H$6+Inputs!$L$6*(((Inputs!$I$6+(((A8)+1)/2)*(Inputs!$J$6-Inputs!$I$6)))/Inputs!$K$6)^2))*((2*Inputs!$L$6*((Inputs!$I$6+(((A8)+1)/2)*(Inputs!$J$6-Inputs!$I$6)))/(Inputs!$K$6^2)*Inputs!$C$11)))/(SQRT(((Inputs!$I$6+(((A8)+1)/2)*(Inputs!$J$6-Inputs!$I$6)))^2+Inputs!$C$6^2+((Inputs!$H$6+Inputs!$L$6*(((Inputs!$I$6+(((A8)+1)/2)*(Inputs!$J$6-Inputs!$I$6)))/Inputs!$K$6)^2))^2)))))/Inputs!$C$13)</x:f>
        <x:v>423.6198501715072</x:v>
      </x:c>
      <x:c r="AM8" s="48" t="n">
        <x:f>(-2*((1000*((((Inputs!$I$7+(((A8)+1)/2)*(Inputs!$J$7-Inputs!$I$7)))*Inputs!$C$11+((Inputs!$H$7+Inputs!$L$7*(((Inputs!$I$7+(((A8)+1)/2)*(Inputs!$J$7-Inputs!$I$7)))/Inputs!$K$7)^2))*((2*Inputs!$L$7*((Inputs!$I$7+(((A8)+1)/2)*(Inputs!$J$7-Inputs!$I$7)))/(Inputs!$K$7^2)*Inputs!$C$11)))/(SQRT(((Inputs!$I$7+(((A8)+1)/2)*(Inputs!$J$7-Inputs!$I$7)))^2+Inputs!$C$6^2+((Inputs!$H$7+Inputs!$L$7*(((Inputs!$I$7+(((A8)+1)/2)*(Inputs!$J$7-Inputs!$I$7)))/Inputs!$K$7)^2))^2)))))/Inputs!$C$13)</x:f>
        <x:v>3071.3678147126902</x:v>
      </x:c>
      <x:c r="AN8" s="48" t="n">
        <x:f>(-2*((1000*((((Inputs!$I$8+(((A8)+1)/2)*(Inputs!$J$8-Inputs!$I$8)))*Inputs!$C$11+((Inputs!$H$8+Inputs!$L$8*(((Inputs!$I$8+(((A8)+1)/2)*(Inputs!$J$8-Inputs!$I$8)))/Inputs!$K$8)^2))*((2*Inputs!$L$8*((Inputs!$I$8+(((A8)+1)/2)*(Inputs!$J$8-Inputs!$I$8)))/(Inputs!$K$8^2)*Inputs!$C$11)))/(SQRT(((Inputs!$I$8+(((A8)+1)/2)*(Inputs!$J$8-Inputs!$I$8)))^2+Inputs!$C$6^2+((Inputs!$H$8+Inputs!$L$8*(((Inputs!$I$8+(((A8)+1)/2)*(Inputs!$J$8-Inputs!$I$8)))/Inputs!$K$8)^2))^2)))))/Inputs!$C$13)</x:f>
        <x:v>3836.7983070402515</x:v>
      </x:c>
      <x:c r="AO8" s="48" t="n">
        <x:f>(-2*((1000*((((Inputs!$I$9+(((A8)+1)/2)*(Inputs!$J$9-Inputs!$I$9)))*Inputs!$C$11+((Inputs!$H$9+Inputs!$L$9*(((Inputs!$I$9+(((A8)+1)/2)*(Inputs!$J$9-Inputs!$I$9)))/Inputs!$K$9)^2))*((2*Inputs!$L$9*((Inputs!$I$9+(((A8)+1)/2)*(Inputs!$J$9-Inputs!$I$9)))/(Inputs!$K$9^2)*Inputs!$C$11)))/(SQRT(((Inputs!$I$9+(((A8)+1)/2)*(Inputs!$J$9-Inputs!$I$9)))^2+Inputs!$C$6^2+((Inputs!$H$9+Inputs!$L$9*(((Inputs!$I$9+(((A8)+1)/2)*(Inputs!$J$9-Inputs!$I$9)))/Inputs!$K$9)^2))^2)))))/Inputs!$C$13)</x:f>
        <x:v>3865.2896613548774</x:v>
      </x:c>
    </x:row>
    <x:row r="9">
      <x:c r="A9" s="48" t="n">
        <x:f>ROUND(-1+7*2/240,3)</x:f>
        <x:v>-0.942</x:v>
      </x:c>
      <x:c r="B9" s="48" t="n">
        <x:f>IF(OR(Inputs!$F$6=TRUE,Inputs!$F$6="TRUE",Inputs!$F$6=1),(Inputs!$H$6+Inputs!$L$6*(((Inputs!$I$6+(((A9)+1)/2)*(Inputs!$J$6-Inputs!$I$6)))/Inputs!$K$6)^2),NA())</x:f>
        <x:v>403.549456</x:v>
      </x:c>
      <x:c r="C9" s="48" t="n">
        <x:f>IF(OR(Inputs!$F$7=TRUE,Inputs!$F$7="TRUE",Inputs!$F$7=1),(Inputs!$H$7+Inputs!$L$7*(((Inputs!$I$7+(((A9)+1)/2)*(Inputs!$J$7-Inputs!$I$7)))/Inputs!$K$7)^2),NA())</x:f>
        <x:v>358.8878599999999</x:v>
      </x:c>
      <x:c r="D9" s="48" t="n">
        <x:f>IF(OR(Inputs!$F$8=TRUE,Inputs!$F$8="TRUE",Inputs!$F$8=1),(Inputs!$H$8+Inputs!$L$8*(((Inputs!$I$8+(((A9)+1)/2)*(Inputs!$J$8-Inputs!$I$8)))/Inputs!$K$8)^2),NA())</x:f>
        <x:v>891.3062599999997</x:v>
      </x:c>
      <x:c r="E9" s="48" t="n">
        <x:f>IF(OR(Inputs!$F$9=TRUE,Inputs!$F$9="TRUE",Inputs!$F$9=1),(Inputs!$H$9+Inputs!$L$9*(((Inputs!$I$9+(((A9)+1)/2)*(Inputs!$J$9-Inputs!$I$9)))/Inputs!$K$9)^2),NA())</x:f>
        <x:v>890.1798999999997</x:v>
      </x:c>
      <x:c r="F9" s="49"/>
      <x:c r="G9" s="48" t="n">
        <x:f>A9</x:f>
        <x:v>-0.942</x:v>
      </x:c>
      <x:c r="H9" s="48" t="n">
        <x:f>IF(OR(Inputs!$F$6=TRUE,Inputs!$F$6="TRUE",Inputs!$F$6=1),(((SQRT(((Inputs!$I$6+(((A9)+1)/2)*(Inputs!$J$6-Inputs!$I$6)))^2+Inputs!$C$6^2+((Inputs!$H$6+Inputs!$L$6*(((Inputs!$I$6+(((A9)+1)/2)*(Inputs!$J$6-Inputs!$I$6)))/Inputs!$K$6)^2))^2))-((Inputs!$H$6+Inputs!$L$6*(((Inputs!$I$6+(((A9)+1)/2)*(Inputs!$J$6-Inputs!$I$6)))/Inputs!$K$6)^2)))*1000/Inputs!$C$12),NA())</x:f>
        <x:v>2643.2398455545776</x:v>
      </x:c>
      <x:c r="I9" s="48" t="n">
        <x:f>IF(OR(Inputs!$F$7=TRUE,Inputs!$F$7="TRUE",Inputs!$F$7=1),(((SQRT(((Inputs!$I$7+(((A9)+1)/2)*(Inputs!$J$7-Inputs!$I$7)))^2+Inputs!$C$6^2+((Inputs!$H$7+Inputs!$L$7*(((Inputs!$I$7+(((A9)+1)/2)*(Inputs!$J$7-Inputs!$I$7)))/Inputs!$K$7)^2))^2))-((Inputs!$H$7+Inputs!$L$7*(((Inputs!$I$7+(((A9)+1)/2)*(Inputs!$J$7-Inputs!$I$7)))/Inputs!$K$7)^2)))*1000/Inputs!$C$12),NA())</x:f>
        <x:v>91054.1442862555</x:v>
      </x:c>
      <x:c r="J9" s="48" t="n">
        <x:f>IF(OR(Inputs!$F$8=TRUE,Inputs!$F$8="TRUE",Inputs!$F$8=1),(((SQRT(((Inputs!$I$8+(((A9)+1)/2)*(Inputs!$J$8-Inputs!$I$8)))^2+Inputs!$C$6^2+((Inputs!$H$8+Inputs!$L$8*(((Inputs!$I$8+(((A9)+1)/2)*(Inputs!$J$8-Inputs!$I$8)))/Inputs!$K$8)^2))^2))-((Inputs!$H$8+Inputs!$L$8*(((Inputs!$I$8+(((A9)+1)/2)*(Inputs!$J$8-Inputs!$I$8)))/Inputs!$K$8)^2)))*1000/Inputs!$C$12),NA())</x:f>
        <x:v>155143.02155319718</x:v>
      </x:c>
      <x:c r="K9" s="48" t="n">
        <x:f>IF(OR(Inputs!$F$9=TRUE,Inputs!$F$9="TRUE",Inputs!$F$9=1),(((SQRT(((Inputs!$I$9+(((A9)+1)/2)*(Inputs!$J$9-Inputs!$I$9)))^2+Inputs!$C$6^2+((Inputs!$H$9+Inputs!$L$9*(((Inputs!$I$9+(((A9)+1)/2)*(Inputs!$J$9-Inputs!$I$9)))/Inputs!$K$9)^2))^2))-((Inputs!$H$9+Inputs!$L$9*(((Inputs!$I$9+(((A9)+1)/2)*(Inputs!$J$9-Inputs!$I$9)))/Inputs!$K$9)^2)))*1000/Inputs!$C$12),NA())</x:f>
        <x:v>155292.83013990428</x:v>
      </x:c>
      <x:c r="L9" s="49"/>
      <x:c r="M9" s="48" t="n">
        <x:f>A9</x:f>
        <x:v>-0.942</x:v>
      </x:c>
      <x:c r="N9" s="48" t="n">
        <x:f>IF(OR(Inputs!$F$6=TRUE,Inputs!$F$6="TRUE",Inputs!$F$6=1),(-2*((1000*((((Inputs!$I$6+(((A9)+1)/2)*(Inputs!$J$6-Inputs!$I$6)))*Inputs!$C$11+((Inputs!$H$6+Inputs!$L$6*(((Inputs!$I$6+(((A9)+1)/2)*(Inputs!$J$6-Inputs!$I$6)))/Inputs!$K$6)^2))*((2*Inputs!$L$6*((Inputs!$I$6+(((A9)+1)/2)*(Inputs!$J$6-Inputs!$I$6)))/(Inputs!$K$6^2)*Inputs!$C$11)))/(SQRT(((Inputs!$I$6+(((A9)+1)/2)*(Inputs!$J$6-Inputs!$I$6)))^2+Inputs!$C$6^2+((Inputs!$H$6+Inputs!$L$6*(((Inputs!$I$6+(((A9)+1)/2)*(Inputs!$J$6-Inputs!$I$6)))/Inputs!$K$6)^2))^2)))))/Inputs!$C$13),NA())</x:f>
        <x:v>420.1529464121319</x:v>
      </x:c>
      <x:c r="O9" s="48" t="n">
        <x:f>IF(OR(Inputs!$F$7=TRUE,Inputs!$F$7="TRUE",Inputs!$F$7=1),(-2*((1000*((((Inputs!$I$7+(((A9)+1)/2)*(Inputs!$J$7-Inputs!$I$7)))*Inputs!$C$11+((Inputs!$H$7+Inputs!$L$7*(((Inputs!$I$7+(((A9)+1)/2)*(Inputs!$J$7-Inputs!$I$7)))/Inputs!$K$7)^2))*((2*Inputs!$L$7*((Inputs!$I$7+(((A9)+1)/2)*(Inputs!$J$7-Inputs!$I$7)))/(Inputs!$K$7^2)*Inputs!$C$11)))/(SQRT(((Inputs!$I$7+(((A9)+1)/2)*(Inputs!$J$7-Inputs!$I$7)))^2+Inputs!$C$6^2+((Inputs!$H$7+Inputs!$L$7*(((Inputs!$I$7+(((A9)+1)/2)*(Inputs!$J$7-Inputs!$I$7)))/Inputs!$K$7)^2))^2)))))/Inputs!$C$13),NA())</x:f>
        <x:v>3052.131395634902</x:v>
      </x:c>
      <x:c r="P9" s="48" t="n">
        <x:f>IF(OR(Inputs!$F$8=TRUE,Inputs!$F$8="TRUE",Inputs!$F$8=1),(-2*((1000*((((Inputs!$I$8+(((A9)+1)/2)*(Inputs!$J$8-Inputs!$I$8)))*Inputs!$C$11+((Inputs!$H$8+Inputs!$L$8*(((Inputs!$I$8+(((A9)+1)/2)*(Inputs!$J$8-Inputs!$I$8)))/Inputs!$K$8)^2))*((2*Inputs!$L$8*((Inputs!$I$8+(((A9)+1)/2)*(Inputs!$J$8-Inputs!$I$8)))/(Inputs!$K$8^2)*Inputs!$C$11)))/(SQRT(((Inputs!$I$8+(((A9)+1)/2)*(Inputs!$J$8-Inputs!$I$8)))^2+Inputs!$C$6^2+((Inputs!$H$8+Inputs!$L$8*(((Inputs!$I$8+(((A9)+1)/2)*(Inputs!$J$8-Inputs!$I$8)))/Inputs!$K$8)^2))^2)))))/Inputs!$C$13),NA())</x:f>
        <x:v>3808.8271331994392</x:v>
      </x:c>
      <x:c r="Q9" s="48" t="n">
        <x:f>IF(OR(Inputs!$F$9=TRUE,Inputs!$F$9="TRUE",Inputs!$F$9=1),(-2*((1000*((((Inputs!$I$9+(((A9)+1)/2)*(Inputs!$J$9-Inputs!$I$9)))*Inputs!$C$11+((Inputs!$H$9+Inputs!$L$9*(((Inputs!$I$9+(((A9)+1)/2)*(Inputs!$J$9-Inputs!$I$9)))/Inputs!$K$9)^2))*((2*Inputs!$L$9*((Inputs!$I$9+(((A9)+1)/2)*(Inputs!$J$9-Inputs!$I$9)))/(Inputs!$K$9^2)*Inputs!$C$11)))/(SQRT(((Inputs!$I$9+(((A9)+1)/2)*(Inputs!$J$9-Inputs!$I$9)))^2+Inputs!$C$6^2+((Inputs!$H$9+Inputs!$L$9*(((Inputs!$I$9+(((A9)+1)/2)*(Inputs!$J$9-Inputs!$I$9)))/Inputs!$K$9)^2))^2)))))/Inputs!$C$13),NA())</x:f>
        <x:v>3836.875151382399</x:v>
      </x:c>
      <x:c r="R9" s="49"/>
      <x:c r="S9" s="48" t="n">
        <x:f>A9</x:f>
        <x:v>-0.942</x:v>
      </x:c>
      <x:c r="T9" s="48" t="n">
        <x:f>(Inputs!$I$6+(((A9)+1)/2)*(Inputs!$J$6-Inputs!$I$6))</x:f>
        <x:v>-56.519999999999996</x:v>
      </x:c>
      <x:c r="U9" s="48" t="n">
        <x:f>(Inputs!$I$7+(((A9)+1)/2)*(Inputs!$J$7-Inputs!$I$7))</x:f>
        <x:v>-376.79999999999995</x:v>
      </x:c>
      <x:c r="V9" s="48" t="n">
        <x:f>(Inputs!$I$8+(((A9)+1)/2)*(Inputs!$J$8-Inputs!$I$8))</x:f>
        <x:v>-753.5999999999999</x:v>
      </x:c>
      <x:c r="W9" s="48" t="n">
        <x:f>(Inputs!$I$9+(((A9)+1)/2)*(Inputs!$J$9-Inputs!$I$9))</x:f>
        <x:v>-753.5999999999999</x:v>
      </x:c>
      <x:c r="X9" s="49"/>
      <x:c r="Y9" s="48" t="n">
        <x:f>A9</x:f>
        <x:v>-0.942</x:v>
      </x:c>
      <x:c r="Z9" s="48" t="n">
        <x:f>(Inputs!$H$6+Inputs!$L$6*(((Inputs!$I$6+(((A9)+1)/2)*(Inputs!$J$6-Inputs!$I$6)))/Inputs!$K$6)^2)</x:f>
        <x:v>403.549456</x:v>
      </x:c>
      <x:c r="AA9" s="48" t="n">
        <x:f>(Inputs!$H$7+Inputs!$L$7*(((Inputs!$I$7+(((A9)+1)/2)*(Inputs!$J$7-Inputs!$I$7)))/Inputs!$K$7)^2)</x:f>
        <x:v>358.8878599999999</x:v>
      </x:c>
      <x:c r="AB9" s="48" t="n">
        <x:f>(Inputs!$H$8+Inputs!$L$8*(((Inputs!$I$8+(((A9)+1)/2)*(Inputs!$J$8-Inputs!$I$8)))/Inputs!$K$8)^2)</x:f>
        <x:v>891.3062599999997</x:v>
      </x:c>
      <x:c r="AC9" s="48" t="n">
        <x:f>(Inputs!$H$9+Inputs!$L$9*(((Inputs!$I$9+(((A9)+1)/2)*(Inputs!$J$9-Inputs!$I$9)))/Inputs!$K$9)^2)</x:f>
        <x:v>890.1798999999997</x:v>
      </x:c>
      <x:c r="AD9" s="49"/>
      <x:c r="AE9" s="48" t="n">
        <x:f>A9</x:f>
        <x:v>-0.942</x:v>
      </x:c>
      <x:c r="AF9" s="48" t="n">
        <x:f>(((SQRT(((Inputs!$I$6+(((A9)+1)/2)*(Inputs!$J$6-Inputs!$I$6)))^2+Inputs!$C$6^2+((Inputs!$H$6+Inputs!$L$6*(((Inputs!$I$6+(((A9)+1)/2)*(Inputs!$J$6-Inputs!$I$6)))/Inputs!$K$6)^2))^2))-((Inputs!$H$6+Inputs!$L$6*(((Inputs!$I$6+(((A9)+1)/2)*(Inputs!$J$6-Inputs!$I$6)))/Inputs!$K$6)^2)))*1000/Inputs!$C$12)</x:f>
        <x:v>2643.2398455545776</x:v>
      </x:c>
      <x:c r="AG9" s="48" t="n">
        <x:f>(((SQRT(((Inputs!$I$7+(((A9)+1)/2)*(Inputs!$J$7-Inputs!$I$7)))^2+Inputs!$C$6^2+((Inputs!$H$7+Inputs!$L$7*(((Inputs!$I$7+(((A9)+1)/2)*(Inputs!$J$7-Inputs!$I$7)))/Inputs!$K$7)^2))^2))-((Inputs!$H$7+Inputs!$L$7*(((Inputs!$I$7+(((A9)+1)/2)*(Inputs!$J$7-Inputs!$I$7)))/Inputs!$K$7)^2)))*1000/Inputs!$C$12)</x:f>
        <x:v>91054.1442862555</x:v>
      </x:c>
      <x:c r="AH9" s="48" t="n">
        <x:f>(((SQRT(((Inputs!$I$8+(((A9)+1)/2)*(Inputs!$J$8-Inputs!$I$8)))^2+Inputs!$C$6^2+((Inputs!$H$8+Inputs!$L$8*(((Inputs!$I$8+(((A9)+1)/2)*(Inputs!$J$8-Inputs!$I$8)))/Inputs!$K$8)^2))^2))-((Inputs!$H$8+Inputs!$L$8*(((Inputs!$I$8+(((A9)+1)/2)*(Inputs!$J$8-Inputs!$I$8)))/Inputs!$K$8)^2)))*1000/Inputs!$C$12)</x:f>
        <x:v>155143.02155319718</x:v>
      </x:c>
      <x:c r="AI9" s="48" t="n">
        <x:f>(((SQRT(((Inputs!$I$9+(((A9)+1)/2)*(Inputs!$J$9-Inputs!$I$9)))^2+Inputs!$C$6^2+((Inputs!$H$9+Inputs!$L$9*(((Inputs!$I$9+(((A9)+1)/2)*(Inputs!$J$9-Inputs!$I$9)))/Inputs!$K$9)^2))^2))-((Inputs!$H$9+Inputs!$L$9*(((Inputs!$I$9+(((A9)+1)/2)*(Inputs!$J$9-Inputs!$I$9)))/Inputs!$K$9)^2)))*1000/Inputs!$C$12)</x:f>
        <x:v>155292.83013990428</x:v>
      </x:c>
      <x:c r="AJ9" s="49"/>
      <x:c r="AK9" s="48" t="n">
        <x:f>A9</x:f>
        <x:v>-0.942</x:v>
      </x:c>
      <x:c r="AL9" s="48" t="n">
        <x:f>(-2*((1000*((((Inputs!$I$6+(((A9)+1)/2)*(Inputs!$J$6-Inputs!$I$6)))*Inputs!$C$11+((Inputs!$H$6+Inputs!$L$6*(((Inputs!$I$6+(((A9)+1)/2)*(Inputs!$J$6-Inputs!$I$6)))/Inputs!$K$6)^2))*((2*Inputs!$L$6*((Inputs!$I$6+(((A9)+1)/2)*(Inputs!$J$6-Inputs!$I$6)))/(Inputs!$K$6^2)*Inputs!$C$11)))/(SQRT(((Inputs!$I$6+(((A9)+1)/2)*(Inputs!$J$6-Inputs!$I$6)))^2+Inputs!$C$6^2+((Inputs!$H$6+Inputs!$L$6*(((Inputs!$I$6+(((A9)+1)/2)*(Inputs!$J$6-Inputs!$I$6)))/Inputs!$K$6)^2))^2)))))/Inputs!$C$13)</x:f>
        <x:v>420.1529464121319</x:v>
      </x:c>
      <x:c r="AM9" s="48" t="n">
        <x:f>(-2*((1000*((((Inputs!$I$7+(((A9)+1)/2)*(Inputs!$J$7-Inputs!$I$7)))*Inputs!$C$11+((Inputs!$H$7+Inputs!$L$7*(((Inputs!$I$7+(((A9)+1)/2)*(Inputs!$J$7-Inputs!$I$7)))/Inputs!$K$7)^2))*((2*Inputs!$L$7*((Inputs!$I$7+(((A9)+1)/2)*(Inputs!$J$7-Inputs!$I$7)))/(Inputs!$K$7^2)*Inputs!$C$11)))/(SQRT(((Inputs!$I$7+(((A9)+1)/2)*(Inputs!$J$7-Inputs!$I$7)))^2+Inputs!$C$6^2+((Inputs!$H$7+Inputs!$L$7*(((Inputs!$I$7+(((A9)+1)/2)*(Inputs!$J$7-Inputs!$I$7)))/Inputs!$K$7)^2))^2)))))/Inputs!$C$13)</x:f>
        <x:v>3052.131395634902</x:v>
      </x:c>
      <x:c r="AN9" s="48" t="n">
        <x:f>(-2*((1000*((((Inputs!$I$8+(((A9)+1)/2)*(Inputs!$J$8-Inputs!$I$8)))*Inputs!$C$11+((Inputs!$H$8+Inputs!$L$8*(((Inputs!$I$8+(((A9)+1)/2)*(Inputs!$J$8-Inputs!$I$8)))/Inputs!$K$8)^2))*((2*Inputs!$L$8*((Inputs!$I$8+(((A9)+1)/2)*(Inputs!$J$8-Inputs!$I$8)))/(Inputs!$K$8^2)*Inputs!$C$11)))/(SQRT(((Inputs!$I$8+(((A9)+1)/2)*(Inputs!$J$8-Inputs!$I$8)))^2+Inputs!$C$6^2+((Inputs!$H$8+Inputs!$L$8*(((Inputs!$I$8+(((A9)+1)/2)*(Inputs!$J$8-Inputs!$I$8)))/Inputs!$K$8)^2))^2)))))/Inputs!$C$13)</x:f>
        <x:v>3808.8271331994392</x:v>
      </x:c>
      <x:c r="AO9" s="48" t="n">
        <x:f>(-2*((1000*((((Inputs!$I$9+(((A9)+1)/2)*(Inputs!$J$9-Inputs!$I$9)))*Inputs!$C$11+((Inputs!$H$9+Inputs!$L$9*(((Inputs!$I$9+(((A9)+1)/2)*(Inputs!$J$9-Inputs!$I$9)))/Inputs!$K$9)^2))*((2*Inputs!$L$9*((Inputs!$I$9+(((A9)+1)/2)*(Inputs!$J$9-Inputs!$I$9)))/(Inputs!$K$9^2)*Inputs!$C$11)))/(SQRT(((Inputs!$I$9+(((A9)+1)/2)*(Inputs!$J$9-Inputs!$I$9)))^2+Inputs!$C$6^2+((Inputs!$H$9+Inputs!$L$9*(((Inputs!$I$9+(((A9)+1)/2)*(Inputs!$J$9-Inputs!$I$9)))/Inputs!$K$9)^2))^2)))))/Inputs!$C$13)</x:f>
        <x:v>3836.875151382399</x:v>
      </x:c>
    </x:row>
    <x:row r="10">
      <x:c r="A10" s="48" t="n">
        <x:f>ROUND(-1+8*2/240,3)</x:f>
        <x:v>-0.933</x:v>
      </x:c>
      <x:c r="B10" s="48" t="n">
        <x:f>IF(OR(Inputs!$F$6=TRUE,Inputs!$F$6="TRUE",Inputs!$F$6=1),(Inputs!$H$6+Inputs!$L$6*(((Inputs!$I$6+(((A10)+1)/2)*(Inputs!$J$6-Inputs!$I$6)))/Inputs!$K$6)^2),NA())</x:f>
        <x:v>403.481956</x:v>
      </x:c>
      <x:c r="C10" s="48" t="n">
        <x:f>IF(OR(Inputs!$F$7=TRUE,Inputs!$F$7="TRUE",Inputs!$F$7=1),(Inputs!$H$7+Inputs!$L$7*(((Inputs!$I$7+(((A10)+1)/2)*(Inputs!$J$7-Inputs!$I$7)))/Inputs!$K$7)^2),NA())</x:f>
        <x:v>352.7284850000001</x:v>
      </x:c>
      <x:c r="D10" s="48" t="n">
        <x:f>IF(OR(Inputs!$F$8=TRUE,Inputs!$F$8="TRUE",Inputs!$F$8=1),(Inputs!$H$8+Inputs!$L$8*(((Inputs!$I$8+(((A10)+1)/2)*(Inputs!$J$8-Inputs!$I$8)))/Inputs!$K$8)^2),NA())</x:f>
        <x:v>875.0218850000002</x:v>
      </x:c>
      <x:c r="E10" s="48" t="n">
        <x:f>IF(OR(Inputs!$F$9=TRUE,Inputs!$F$9="TRUE",Inputs!$F$9=1),(Inputs!$H$9+Inputs!$L$9*(((Inputs!$I$9+(((A10)+1)/2)*(Inputs!$J$9-Inputs!$I$9)))/Inputs!$K$9)^2),NA())</x:f>
        <x:v>873.7267750000003</x:v>
      </x:c>
      <x:c r="F10" s="49"/>
      <x:c r="G10" s="48" t="n">
        <x:f>A10</x:f>
        <x:v>-0.933</x:v>
      </x:c>
      <x:c r="H10" s="48" t="n">
        <x:f>IF(OR(Inputs!$F$6=TRUE,Inputs!$F$6="TRUE",Inputs!$F$6=1),(((SQRT(((Inputs!$I$6+(((A10)+1)/2)*(Inputs!$J$6-Inputs!$I$6)))^2+Inputs!$C$6^2+((Inputs!$H$6+Inputs!$L$6*(((Inputs!$I$6+(((A10)+1)/2)*(Inputs!$J$6-Inputs!$I$6)))/Inputs!$K$6)^2))^2))-((Inputs!$H$6+Inputs!$L$6*(((Inputs!$I$6+(((A10)+1)/2)*(Inputs!$J$6-Inputs!$I$6)))/Inputs!$K$6)^2)))*1000/Inputs!$C$12),NA())</x:f>
        <x:v>2601.867350499739</x:v>
      </x:c>
      <x:c r="I10" s="48" t="n">
        <x:f>IF(OR(Inputs!$F$7=TRUE,Inputs!$F$7="TRUE",Inputs!$F$7=1),(((SQRT(((Inputs!$I$7+(((A10)+1)/2)*(Inputs!$J$7-Inputs!$I$7)))^2+Inputs!$C$6^2+((Inputs!$H$7+Inputs!$L$7*(((Inputs!$I$7+(((A10)+1)/2)*(Inputs!$J$7-Inputs!$I$7)))/Inputs!$K$7)^2))^2))-((Inputs!$H$7+Inputs!$L$7*(((Inputs!$I$7+(((A10)+1)/2)*(Inputs!$J$7-Inputs!$I$7)))/Inputs!$K$7)^2)))*1000/Inputs!$C$12),NA())</x:f>
        <x:v>90670.07326171719</x:v>
      </x:c>
      <x:c r="J10" s="48" t="n">
        <x:f>IF(OR(Inputs!$F$8=TRUE,Inputs!$F$8="TRUE",Inputs!$F$8=1),(((SQRT(((Inputs!$I$8+(((A10)+1)/2)*(Inputs!$J$8-Inputs!$I$8)))^2+Inputs!$C$6^2+((Inputs!$H$8+Inputs!$L$8*(((Inputs!$I$8+(((A10)+1)/2)*(Inputs!$J$8-Inputs!$I$8)))/Inputs!$K$8)^2))^2))-((Inputs!$H$8+Inputs!$L$8*(((Inputs!$I$8+(((A10)+1)/2)*(Inputs!$J$8-Inputs!$I$8)))/Inputs!$K$8)^2)))*1000/Inputs!$C$12),NA())</x:f>
        <x:v>154702.19106824315</x:v>
      </x:c>
      <x:c r="K10" s="48" t="n">
        <x:f>IF(OR(Inputs!$F$9=TRUE,Inputs!$F$9="TRUE",Inputs!$F$9=1),(((SQRT(((Inputs!$I$9+(((A10)+1)/2)*(Inputs!$J$9-Inputs!$I$9)))^2+Inputs!$C$6^2+((Inputs!$H$9+Inputs!$L$9*(((Inputs!$I$9+(((A10)+1)/2)*(Inputs!$J$9-Inputs!$I$9)))/Inputs!$K$9)^2))^2))-((Inputs!$H$9+Inputs!$L$9*(((Inputs!$I$9+(((A10)+1)/2)*(Inputs!$J$9-Inputs!$I$9)))/Inputs!$K$9)^2)))*1000/Inputs!$C$12),NA())</x:f>
        <x:v>154876.52740486668</x:v>
      </x:c>
      <x:c r="L10" s="49"/>
      <x:c r="M10" s="48" t="n">
        <x:f>A10</x:f>
        <x:v>-0.933</x:v>
      </x:c>
      <x:c r="N10" s="48" t="n">
        <x:f>IF(OR(Inputs!$F$6=TRUE,Inputs!$F$6="TRUE",Inputs!$F$6=1),(-2*((1000*((((Inputs!$I$6+(((A10)+1)/2)*(Inputs!$J$6-Inputs!$I$6)))*Inputs!$C$11+((Inputs!$H$6+Inputs!$L$6*(((Inputs!$I$6+(((A10)+1)/2)*(Inputs!$J$6-Inputs!$I$6)))/Inputs!$K$6)^2))*((2*Inputs!$L$6*((Inputs!$I$6+(((A10)+1)/2)*(Inputs!$J$6-Inputs!$I$6)))/(Inputs!$K$6^2)*Inputs!$C$11)))/(SQRT(((Inputs!$I$6+(((A10)+1)/2)*(Inputs!$J$6-Inputs!$I$6)))^2+Inputs!$C$6^2+((Inputs!$H$6+Inputs!$L$6*(((Inputs!$I$6+(((A10)+1)/2)*(Inputs!$J$6-Inputs!$I$6)))/Inputs!$K$6)^2))^2)))))/Inputs!$C$13),NA())</x:f>
        <x:v>416.24974460662236</x:v>
      </x:c>
      <x:c r="O10" s="48" t="n">
        <x:f>IF(OR(Inputs!$F$7=TRUE,Inputs!$F$7="TRUE",Inputs!$F$7=1),(-2*((1000*((((Inputs!$I$7+(((A10)+1)/2)*(Inputs!$J$7-Inputs!$I$7)))*Inputs!$C$11+((Inputs!$H$7+Inputs!$L$7*(((Inputs!$I$7+(((A10)+1)/2)*(Inputs!$J$7-Inputs!$I$7)))/Inputs!$K$7)^2))*((2*Inputs!$L$7*((Inputs!$I$7+(((A10)+1)/2)*(Inputs!$J$7-Inputs!$I$7)))/(Inputs!$K$7^2)*Inputs!$C$11)))/(SQRT(((Inputs!$I$7+(((A10)+1)/2)*(Inputs!$J$7-Inputs!$I$7)))^2+Inputs!$C$6^2+((Inputs!$H$7+Inputs!$L$7*(((Inputs!$I$7+(((A10)+1)/2)*(Inputs!$J$7-Inputs!$I$7)))/Inputs!$K$7)^2))^2)))))/Inputs!$C$13),NA())</x:f>
        <x:v>3030.5681397812464</x:v>
      </x:c>
      <x:c r="P10" s="48" t="n">
        <x:f>IF(OR(Inputs!$F$8=TRUE,Inputs!$F$8="TRUE",Inputs!$F$8=1),(-2*((1000*((((Inputs!$I$8+(((A10)+1)/2)*(Inputs!$J$8-Inputs!$I$8)))*Inputs!$C$11+((Inputs!$H$8+Inputs!$L$8*(((Inputs!$I$8+(((A10)+1)/2)*(Inputs!$J$8-Inputs!$I$8)))/Inputs!$K$8)^2))*((2*Inputs!$L$8*((Inputs!$I$8+(((A10)+1)/2)*(Inputs!$J$8-Inputs!$I$8)))/(Inputs!$K$8^2)*Inputs!$C$11)))/(SQRT(((Inputs!$I$8+(((A10)+1)/2)*(Inputs!$J$8-Inputs!$I$8)))^2+Inputs!$C$6^2+((Inputs!$H$8+Inputs!$L$8*(((Inputs!$I$8+(((A10)+1)/2)*(Inputs!$J$8-Inputs!$I$8)))/Inputs!$K$8)^2))^2)))))/Inputs!$C$13),NA())</x:f>
        <x:v>3777.4316302319507</x:v>
      </x:c>
      <x:c r="Q10" s="48" t="n">
        <x:f>IF(OR(Inputs!$F$9=TRUE,Inputs!$F$9="TRUE",Inputs!$F$9=1),(-2*((1000*((((Inputs!$I$9+(((A10)+1)/2)*(Inputs!$J$9-Inputs!$I$9)))*Inputs!$C$11+((Inputs!$H$9+Inputs!$L$9*(((Inputs!$I$9+(((A10)+1)/2)*(Inputs!$J$9-Inputs!$I$9)))/Inputs!$K$9)^2))*((2*Inputs!$L$9*((Inputs!$I$9+(((A10)+1)/2)*(Inputs!$J$9-Inputs!$I$9)))/(Inputs!$K$9^2)*Inputs!$C$11)))/(SQRT(((Inputs!$I$9+(((A10)+1)/2)*(Inputs!$J$9-Inputs!$I$9)))^2+Inputs!$C$6^2+((Inputs!$H$9+Inputs!$L$9*(((Inputs!$I$9+(((A10)+1)/2)*(Inputs!$J$9-Inputs!$I$9)))/Inputs!$K$9)^2))^2)))))/Inputs!$C$13),NA())</x:f>
        <x:v>3804.979123893407</x:v>
      </x:c>
      <x:c r="R10" s="49"/>
      <x:c r="S10" s="48" t="n">
        <x:f>A10</x:f>
        <x:v>-0.933</x:v>
      </x:c>
      <x:c r="T10" s="48" t="n">
        <x:f>(Inputs!$I$6+(((A10)+1)/2)*(Inputs!$J$6-Inputs!$I$6))</x:f>
        <x:v>-55.980000000000004</x:v>
      </x:c>
      <x:c r="U10" s="48" t="n">
        <x:f>(Inputs!$I$7+(((A10)+1)/2)*(Inputs!$J$7-Inputs!$I$7))</x:f>
        <x:v>-373.20000000000005</x:v>
      </x:c>
      <x:c r="V10" s="48" t="n">
        <x:f>(Inputs!$I$8+(((A10)+1)/2)*(Inputs!$J$8-Inputs!$I$8))</x:f>
        <x:v>-746.4000000000001</x:v>
      </x:c>
      <x:c r="W10" s="48" t="n">
        <x:f>(Inputs!$I$9+(((A10)+1)/2)*(Inputs!$J$9-Inputs!$I$9))</x:f>
        <x:v>-746.4000000000001</x:v>
      </x:c>
      <x:c r="X10" s="49"/>
      <x:c r="Y10" s="48" t="n">
        <x:f>A10</x:f>
        <x:v>-0.933</x:v>
      </x:c>
      <x:c r="Z10" s="48" t="n">
        <x:f>(Inputs!$H$6+Inputs!$L$6*(((Inputs!$I$6+(((A10)+1)/2)*(Inputs!$J$6-Inputs!$I$6)))/Inputs!$K$6)^2)</x:f>
        <x:v>403.481956</x:v>
      </x:c>
      <x:c r="AA10" s="48" t="n">
        <x:f>(Inputs!$H$7+Inputs!$L$7*(((Inputs!$I$7+(((A10)+1)/2)*(Inputs!$J$7-Inputs!$I$7)))/Inputs!$K$7)^2)</x:f>
        <x:v>352.7284850000001</x:v>
      </x:c>
      <x:c r="AB10" s="48" t="n">
        <x:f>(Inputs!$H$8+Inputs!$L$8*(((Inputs!$I$8+(((A10)+1)/2)*(Inputs!$J$8-Inputs!$I$8)))/Inputs!$K$8)^2)</x:f>
        <x:v>875.0218850000002</x:v>
      </x:c>
      <x:c r="AC10" s="48" t="n">
        <x:f>(Inputs!$H$9+Inputs!$L$9*(((Inputs!$I$9+(((A10)+1)/2)*(Inputs!$J$9-Inputs!$I$9)))/Inputs!$K$9)^2)</x:f>
        <x:v>873.7267750000003</x:v>
      </x:c>
      <x:c r="AD10" s="49"/>
      <x:c r="AE10" s="48" t="n">
        <x:f>A10</x:f>
        <x:v>-0.933</x:v>
      </x:c>
      <x:c r="AF10" s="48" t="n">
        <x:f>(((SQRT(((Inputs!$I$6+(((A10)+1)/2)*(Inputs!$J$6-Inputs!$I$6)))^2+Inputs!$C$6^2+((Inputs!$H$6+Inputs!$L$6*(((Inputs!$I$6+(((A10)+1)/2)*(Inputs!$J$6-Inputs!$I$6)))/Inputs!$K$6)^2))^2))-((Inputs!$H$6+Inputs!$L$6*(((Inputs!$I$6+(((A10)+1)/2)*(Inputs!$J$6-Inputs!$I$6)))/Inputs!$K$6)^2)))*1000/Inputs!$C$12)</x:f>
        <x:v>2601.867350499739</x:v>
      </x:c>
      <x:c r="AG10" s="48" t="n">
        <x:f>(((SQRT(((Inputs!$I$7+(((A10)+1)/2)*(Inputs!$J$7-Inputs!$I$7)))^2+Inputs!$C$6^2+((Inputs!$H$7+Inputs!$L$7*(((Inputs!$I$7+(((A10)+1)/2)*(Inputs!$J$7-Inputs!$I$7)))/Inputs!$K$7)^2))^2))-((Inputs!$H$7+Inputs!$L$7*(((Inputs!$I$7+(((A10)+1)/2)*(Inputs!$J$7-Inputs!$I$7)))/Inputs!$K$7)^2)))*1000/Inputs!$C$12)</x:f>
        <x:v>90670.07326171719</x:v>
      </x:c>
      <x:c r="AH10" s="48" t="n">
        <x:f>(((SQRT(((Inputs!$I$8+(((A10)+1)/2)*(Inputs!$J$8-Inputs!$I$8)))^2+Inputs!$C$6^2+((Inputs!$H$8+Inputs!$L$8*(((Inputs!$I$8+(((A10)+1)/2)*(Inputs!$J$8-Inputs!$I$8)))/Inputs!$K$8)^2))^2))-((Inputs!$H$8+Inputs!$L$8*(((Inputs!$I$8+(((A10)+1)/2)*(Inputs!$J$8-Inputs!$I$8)))/Inputs!$K$8)^2)))*1000/Inputs!$C$12)</x:f>
        <x:v>154702.19106824315</x:v>
      </x:c>
      <x:c r="AI10" s="48" t="n">
        <x:f>(((SQRT(((Inputs!$I$9+(((A10)+1)/2)*(Inputs!$J$9-Inputs!$I$9)))^2+Inputs!$C$6^2+((Inputs!$H$9+Inputs!$L$9*(((Inputs!$I$9+(((A10)+1)/2)*(Inputs!$J$9-Inputs!$I$9)))/Inputs!$K$9)^2))^2))-((Inputs!$H$9+Inputs!$L$9*(((Inputs!$I$9+(((A10)+1)/2)*(Inputs!$J$9-Inputs!$I$9)))/Inputs!$K$9)^2)))*1000/Inputs!$C$12)</x:f>
        <x:v>154876.52740486668</x:v>
      </x:c>
      <x:c r="AJ10" s="49"/>
      <x:c r="AK10" s="48" t="n">
        <x:f>A10</x:f>
        <x:v>-0.933</x:v>
      </x:c>
      <x:c r="AL10" s="48" t="n">
        <x:f>(-2*((1000*((((Inputs!$I$6+(((A10)+1)/2)*(Inputs!$J$6-Inputs!$I$6)))*Inputs!$C$11+((Inputs!$H$6+Inputs!$L$6*(((Inputs!$I$6+(((A10)+1)/2)*(Inputs!$J$6-Inputs!$I$6)))/Inputs!$K$6)^2))*((2*Inputs!$L$6*((Inputs!$I$6+(((A10)+1)/2)*(Inputs!$J$6-Inputs!$I$6)))/(Inputs!$K$6^2)*Inputs!$C$11)))/(SQRT(((Inputs!$I$6+(((A10)+1)/2)*(Inputs!$J$6-Inputs!$I$6)))^2+Inputs!$C$6^2+((Inputs!$H$6+Inputs!$L$6*(((Inputs!$I$6+(((A10)+1)/2)*(Inputs!$J$6-Inputs!$I$6)))/Inputs!$K$6)^2))^2)))))/Inputs!$C$13)</x:f>
        <x:v>416.24974460662236</x:v>
      </x:c>
      <x:c r="AM10" s="48" t="n">
        <x:f>(-2*((1000*((((Inputs!$I$7+(((A10)+1)/2)*(Inputs!$J$7-Inputs!$I$7)))*Inputs!$C$11+((Inputs!$H$7+Inputs!$L$7*(((Inputs!$I$7+(((A10)+1)/2)*(Inputs!$J$7-Inputs!$I$7)))/Inputs!$K$7)^2))*((2*Inputs!$L$7*((Inputs!$I$7+(((A10)+1)/2)*(Inputs!$J$7-Inputs!$I$7)))/(Inputs!$K$7^2)*Inputs!$C$11)))/(SQRT(((Inputs!$I$7+(((A10)+1)/2)*(Inputs!$J$7-Inputs!$I$7)))^2+Inputs!$C$6^2+((Inputs!$H$7+Inputs!$L$7*(((Inputs!$I$7+(((A10)+1)/2)*(Inputs!$J$7-Inputs!$I$7)))/Inputs!$K$7)^2))^2)))))/Inputs!$C$13)</x:f>
        <x:v>3030.5681397812464</x:v>
      </x:c>
      <x:c r="AN10" s="48" t="n">
        <x:f>(-2*((1000*((((Inputs!$I$8+(((A10)+1)/2)*(Inputs!$J$8-Inputs!$I$8)))*Inputs!$C$11+((Inputs!$H$8+Inputs!$L$8*(((Inputs!$I$8+(((A10)+1)/2)*(Inputs!$J$8-Inputs!$I$8)))/Inputs!$K$8)^2))*((2*Inputs!$L$8*((Inputs!$I$8+(((A10)+1)/2)*(Inputs!$J$8-Inputs!$I$8)))/(Inputs!$K$8^2)*Inputs!$C$11)))/(SQRT(((Inputs!$I$8+(((A10)+1)/2)*(Inputs!$J$8-Inputs!$I$8)))^2+Inputs!$C$6^2+((Inputs!$H$8+Inputs!$L$8*(((Inputs!$I$8+(((A10)+1)/2)*(Inputs!$J$8-Inputs!$I$8)))/Inputs!$K$8)^2))^2)))))/Inputs!$C$13)</x:f>
        <x:v>3777.4316302319507</x:v>
      </x:c>
      <x:c r="AO10" s="48" t="n">
        <x:f>(-2*((1000*((((Inputs!$I$9+(((A10)+1)/2)*(Inputs!$J$9-Inputs!$I$9)))*Inputs!$C$11+((Inputs!$H$9+Inputs!$L$9*(((Inputs!$I$9+(((A10)+1)/2)*(Inputs!$J$9-Inputs!$I$9)))/Inputs!$K$9)^2))*((2*Inputs!$L$9*((Inputs!$I$9+(((A10)+1)/2)*(Inputs!$J$9-Inputs!$I$9)))/(Inputs!$K$9^2)*Inputs!$C$11)))/(SQRT(((Inputs!$I$9+(((A10)+1)/2)*(Inputs!$J$9-Inputs!$I$9)))^2+Inputs!$C$6^2+((Inputs!$H$9+Inputs!$L$9*(((Inputs!$I$9+(((A10)+1)/2)*(Inputs!$J$9-Inputs!$I$9)))/Inputs!$K$9)^2))^2)))))/Inputs!$C$13)</x:f>
        <x:v>3804.979123893407</x:v>
      </x:c>
    </x:row>
    <x:row r="11">
      <x:c r="A11" s="48" t="n">
        <x:f>ROUND(-1+9*2/240,3)</x:f>
        <x:v>-0.925</x:v>
      </x:c>
      <x:c r="B11" s="48" t="n">
        <x:f>IF(OR(Inputs!$F$6=TRUE,Inputs!$F$6="TRUE",Inputs!$F$6=1),(Inputs!$H$6+Inputs!$L$6*(((Inputs!$I$6+(((A11)+1)/2)*(Inputs!$J$6-Inputs!$I$6)))/Inputs!$K$6)^2),NA())</x:f>
        <x:v>403.4225</x:v>
      </x:c>
      <x:c r="C11" s="48" t="n">
        <x:f>IF(OR(Inputs!$F$7=TRUE,Inputs!$F$7="TRUE",Inputs!$F$7=1),(Inputs!$H$7+Inputs!$L$7*(((Inputs!$I$7+(((A11)+1)/2)*(Inputs!$J$7-Inputs!$I$7)))/Inputs!$K$7)^2),NA())</x:f>
        <x:v>347.303125</x:v>
      </x:c>
      <x:c r="D11" s="48" t="n">
        <x:f>IF(OR(Inputs!$F$8=TRUE,Inputs!$F$8="TRUE",Inputs!$F$8=1),(Inputs!$H$8+Inputs!$L$8*(((Inputs!$I$8+(((A11)+1)/2)*(Inputs!$J$8-Inputs!$I$8)))/Inputs!$K$8)^2),NA())</x:f>
        <x:v>860.678125</x:v>
      </x:c>
      <x:c r="E11" s="48" t="n">
        <x:f>IF(OR(Inputs!$F$9=TRUE,Inputs!$F$9="TRUE",Inputs!$F$9=1),(Inputs!$H$9+Inputs!$L$9*(((Inputs!$I$9+(((A11)+1)/2)*(Inputs!$J$9-Inputs!$I$9)))/Inputs!$K$9)^2),NA())</x:f>
        <x:v>859.2343750000001</x:v>
      </x:c>
      <x:c r="F11" s="49"/>
      <x:c r="G11" s="48" t="n">
        <x:f>A11</x:f>
        <x:v>-0.925</x:v>
      </x:c>
      <x:c r="H11" s="48" t="n">
        <x:f>IF(OR(Inputs!$F$6=TRUE,Inputs!$F$6="TRUE",Inputs!$F$6=1),(((SQRT(((Inputs!$I$6+(((A11)+1)/2)*(Inputs!$J$6-Inputs!$I$6)))^2+Inputs!$C$6^2+((Inputs!$H$6+Inputs!$L$6*(((Inputs!$I$6+(((A11)+1)/2)*(Inputs!$J$6-Inputs!$I$6)))/Inputs!$K$6)^2))^2))-((Inputs!$H$6+Inputs!$L$6*(((Inputs!$I$6+(((A11)+1)/2)*(Inputs!$J$6-Inputs!$I$6)))/Inputs!$K$6)^2)))*1000/Inputs!$C$12),NA())</x:f>
        <x:v>2565.4077051733684</x:v>
      </x:c>
      <x:c r="I11" s="48" t="n">
        <x:f>IF(OR(Inputs!$F$7=TRUE,Inputs!$F$7="TRUE",Inputs!$F$7=1),(((SQRT(((Inputs!$I$7+(((A11)+1)/2)*(Inputs!$J$7-Inputs!$I$7)))^2+Inputs!$C$6^2+((Inputs!$H$7+Inputs!$L$7*(((Inputs!$I$7+(((A11)+1)/2)*(Inputs!$J$7-Inputs!$I$7)))/Inputs!$K$7)^2))^2))-((Inputs!$H$7+Inputs!$L$7*(((Inputs!$I$7+(((A11)+1)/2)*(Inputs!$J$7-Inputs!$I$7)))/Inputs!$K$7)^2)))*1000/Inputs!$C$12),NA())</x:f>
        <x:v>90323.63054284628</x:v>
      </x:c>
      <x:c r="J11" s="48" t="n">
        <x:f>IF(OR(Inputs!$F$8=TRUE,Inputs!$F$8="TRUE",Inputs!$F$8=1),(((SQRT(((Inputs!$I$8+(((A11)+1)/2)*(Inputs!$J$8-Inputs!$I$8)))^2+Inputs!$C$6^2+((Inputs!$H$8+Inputs!$L$8*(((Inputs!$I$8+(((A11)+1)/2)*(Inputs!$J$8-Inputs!$I$8)))/Inputs!$K$8)^2))^2))-((Inputs!$H$8+Inputs!$L$8*(((Inputs!$I$8+(((A11)+1)/2)*(Inputs!$J$8-Inputs!$I$8)))/Inputs!$K$8)^2)))*1000/Inputs!$C$12),NA())</x:f>
        <x:v>154303.16710885518</x:v>
      </x:c>
      <x:c r="K11" s="48" t="n">
        <x:f>IF(OR(Inputs!$F$9=TRUE,Inputs!$F$9="TRUE",Inputs!$F$9=1),(((SQRT(((Inputs!$I$9+(((A11)+1)/2)*(Inputs!$J$9-Inputs!$I$9)))^2+Inputs!$C$6^2+((Inputs!$H$9+Inputs!$L$9*(((Inputs!$I$9+(((A11)+1)/2)*(Inputs!$J$9-Inputs!$I$9)))/Inputs!$K$9)^2))^2))-((Inputs!$H$9+Inputs!$L$9*(((Inputs!$I$9+(((A11)+1)/2)*(Inputs!$J$9-Inputs!$I$9)))/Inputs!$K$9)^2)))*1000/Inputs!$C$12),NA())</x:f>
        <x:v>154499.60597487274</x:v>
      </x:c>
      <x:c r="L11" s="49"/>
      <x:c r="M11" s="48" t="n">
        <x:f>A11</x:f>
        <x:v>-0.925</x:v>
      </x:c>
      <x:c r="N11" s="48" t="n">
        <x:f>IF(OR(Inputs!$F$6=TRUE,Inputs!$F$6="TRUE",Inputs!$F$6=1),(-2*((1000*((((Inputs!$I$6+(((A11)+1)/2)*(Inputs!$J$6-Inputs!$I$6)))*Inputs!$C$11+((Inputs!$H$6+Inputs!$L$6*(((Inputs!$I$6+(((A11)+1)/2)*(Inputs!$J$6-Inputs!$I$6)))/Inputs!$K$6)^2))*((2*Inputs!$L$6*((Inputs!$I$6+(((A11)+1)/2)*(Inputs!$J$6-Inputs!$I$6)))/(Inputs!$K$6^2)*Inputs!$C$11)))/(SQRT(((Inputs!$I$6+(((A11)+1)/2)*(Inputs!$J$6-Inputs!$I$6)))^2+Inputs!$C$6^2+((Inputs!$H$6+Inputs!$L$6*(((Inputs!$I$6+(((A11)+1)/2)*(Inputs!$J$6-Inputs!$I$6)))/Inputs!$K$6)^2))^2)))))/Inputs!$C$13),NA())</x:f>
        <x:v>412.77764187212813</x:v>
      </x:c>
      <x:c r="O11" s="48" t="n">
        <x:f>IF(OR(Inputs!$F$7=TRUE,Inputs!$F$7="TRUE",Inputs!$F$7=1),(-2*((1000*((((Inputs!$I$7+(((A11)+1)/2)*(Inputs!$J$7-Inputs!$I$7)))*Inputs!$C$11+((Inputs!$H$7+Inputs!$L$7*(((Inputs!$I$7+(((A11)+1)/2)*(Inputs!$J$7-Inputs!$I$7)))/Inputs!$K$7)^2))*((2*Inputs!$L$7*((Inputs!$I$7+(((A11)+1)/2)*(Inputs!$J$7-Inputs!$I$7)))/(Inputs!$K$7^2)*Inputs!$C$11)))/(SQRT(((Inputs!$I$7+(((A11)+1)/2)*(Inputs!$J$7-Inputs!$I$7)))^2+Inputs!$C$6^2+((Inputs!$H$7+Inputs!$L$7*(((Inputs!$I$7+(((A11)+1)/2)*(Inputs!$J$7-Inputs!$I$7)))/Inputs!$K$7)^2))^2)))))/Inputs!$C$13),NA())</x:f>
        <x:v>3011.4710042668985</x:v>
      </x:c>
      <x:c r="P11" s="48" t="n">
        <x:f>IF(OR(Inputs!$F$8=TRUE,Inputs!$F$8="TRUE",Inputs!$F$8=1),(-2*((1000*((((Inputs!$I$8+(((A11)+1)/2)*(Inputs!$J$8-Inputs!$I$8)))*Inputs!$C$11+((Inputs!$H$8+Inputs!$L$8*(((Inputs!$I$8+(((A11)+1)/2)*(Inputs!$J$8-Inputs!$I$8)))/Inputs!$K$8)^2))*((2*Inputs!$L$8*((Inputs!$I$8+(((A11)+1)/2)*(Inputs!$J$8-Inputs!$I$8)))/(Inputs!$K$8^2)*Inputs!$C$11)))/(SQRT(((Inputs!$I$8+(((A11)+1)/2)*(Inputs!$J$8-Inputs!$I$8)))^2+Inputs!$C$6^2+((Inputs!$H$8+Inputs!$L$8*(((Inputs!$I$8+(((A11)+1)/2)*(Inputs!$J$8-Inputs!$I$8)))/Inputs!$K$8)^2))^2)))))/Inputs!$C$13),NA())</x:f>
        <x:v>3749.5901097413494</x:v>
      </x:c>
      <x:c r="Q11" s="48" t="n">
        <x:f>IF(OR(Inputs!$F$9=TRUE,Inputs!$F$9="TRUE",Inputs!$F$9=1),(-2*((1000*((((Inputs!$I$9+(((A11)+1)/2)*(Inputs!$J$9-Inputs!$I$9)))*Inputs!$C$11+((Inputs!$H$9+Inputs!$L$9*(((Inputs!$I$9+(((A11)+1)/2)*(Inputs!$J$9-Inputs!$I$9)))/Inputs!$K$9)^2))*((2*Inputs!$L$9*((Inputs!$I$9+(((A11)+1)/2)*(Inputs!$J$9-Inputs!$I$9)))/(Inputs!$K$9^2)*Inputs!$C$11)))/(SQRT(((Inputs!$I$9+(((A11)+1)/2)*(Inputs!$J$9-Inputs!$I$9)))^2+Inputs!$C$6^2+((Inputs!$H$9+Inputs!$L$9*(((Inputs!$I$9+(((A11)+1)/2)*(Inputs!$J$9-Inputs!$I$9)))/Inputs!$K$9)^2))^2)))))/Inputs!$C$13),NA())</x:f>
        <x:v>3776.691117952807</x:v>
      </x:c>
      <x:c r="R11" s="49"/>
      <x:c r="S11" s="48" t="n">
        <x:f>A11</x:f>
        <x:v>-0.925</x:v>
      </x:c>
      <x:c r="T11" s="48" t="n">
        <x:f>(Inputs!$I$6+(((A11)+1)/2)*(Inputs!$J$6-Inputs!$I$6))</x:f>
        <x:v>-55.5</x:v>
      </x:c>
      <x:c r="U11" s="48" t="n">
        <x:f>(Inputs!$I$7+(((A11)+1)/2)*(Inputs!$J$7-Inputs!$I$7))</x:f>
        <x:v>-370</x:v>
      </x:c>
      <x:c r="V11" s="48" t="n">
        <x:f>(Inputs!$I$8+(((A11)+1)/2)*(Inputs!$J$8-Inputs!$I$8))</x:f>
        <x:v>-740</x:v>
      </x:c>
      <x:c r="W11" s="48" t="n">
        <x:f>(Inputs!$I$9+(((A11)+1)/2)*(Inputs!$J$9-Inputs!$I$9))</x:f>
        <x:v>-740</x:v>
      </x:c>
      <x:c r="X11" s="49"/>
      <x:c r="Y11" s="48" t="n">
        <x:f>A11</x:f>
        <x:v>-0.925</x:v>
      </x:c>
      <x:c r="Z11" s="48" t="n">
        <x:f>(Inputs!$H$6+Inputs!$L$6*(((Inputs!$I$6+(((A11)+1)/2)*(Inputs!$J$6-Inputs!$I$6)))/Inputs!$K$6)^2)</x:f>
        <x:v>403.4225</x:v>
      </x:c>
      <x:c r="AA11" s="48" t="n">
        <x:f>(Inputs!$H$7+Inputs!$L$7*(((Inputs!$I$7+(((A11)+1)/2)*(Inputs!$J$7-Inputs!$I$7)))/Inputs!$K$7)^2)</x:f>
        <x:v>347.303125</x:v>
      </x:c>
      <x:c r="AB11" s="48" t="n">
        <x:f>(Inputs!$H$8+Inputs!$L$8*(((Inputs!$I$8+(((A11)+1)/2)*(Inputs!$J$8-Inputs!$I$8)))/Inputs!$K$8)^2)</x:f>
        <x:v>860.678125</x:v>
      </x:c>
      <x:c r="AC11" s="48" t="n">
        <x:f>(Inputs!$H$9+Inputs!$L$9*(((Inputs!$I$9+(((A11)+1)/2)*(Inputs!$J$9-Inputs!$I$9)))/Inputs!$K$9)^2)</x:f>
        <x:v>859.2343750000001</x:v>
      </x:c>
      <x:c r="AD11" s="49"/>
      <x:c r="AE11" s="48" t="n">
        <x:f>A11</x:f>
        <x:v>-0.925</x:v>
      </x:c>
      <x:c r="AF11" s="48" t="n">
        <x:f>(((SQRT(((Inputs!$I$6+(((A11)+1)/2)*(Inputs!$J$6-Inputs!$I$6)))^2+Inputs!$C$6^2+((Inputs!$H$6+Inputs!$L$6*(((Inputs!$I$6+(((A11)+1)/2)*(Inputs!$J$6-Inputs!$I$6)))/Inputs!$K$6)^2))^2))-((Inputs!$H$6+Inputs!$L$6*(((Inputs!$I$6+(((A11)+1)/2)*(Inputs!$J$6-Inputs!$I$6)))/Inputs!$K$6)^2)))*1000/Inputs!$C$12)</x:f>
        <x:v>2565.4077051733684</x:v>
      </x:c>
      <x:c r="AG11" s="48" t="n">
        <x:f>(((SQRT(((Inputs!$I$7+(((A11)+1)/2)*(Inputs!$J$7-Inputs!$I$7)))^2+Inputs!$C$6^2+((Inputs!$H$7+Inputs!$L$7*(((Inputs!$I$7+(((A11)+1)/2)*(Inputs!$J$7-Inputs!$I$7)))/Inputs!$K$7)^2))^2))-((Inputs!$H$7+Inputs!$L$7*(((Inputs!$I$7+(((A11)+1)/2)*(Inputs!$J$7-Inputs!$I$7)))/Inputs!$K$7)^2)))*1000/Inputs!$C$12)</x:f>
        <x:v>90323.63054284628</x:v>
      </x:c>
      <x:c r="AH11" s="48" t="n">
        <x:f>(((SQRT(((Inputs!$I$8+(((A11)+1)/2)*(Inputs!$J$8-Inputs!$I$8)))^2+Inputs!$C$6^2+((Inputs!$H$8+Inputs!$L$8*(((Inputs!$I$8+(((A11)+1)/2)*(Inputs!$J$8-Inputs!$I$8)))/Inputs!$K$8)^2))^2))-((Inputs!$H$8+Inputs!$L$8*(((Inputs!$I$8+(((A11)+1)/2)*(Inputs!$J$8-Inputs!$I$8)))/Inputs!$K$8)^2)))*1000/Inputs!$C$12)</x:f>
        <x:v>154303.16710885518</x:v>
      </x:c>
      <x:c r="AI11" s="48" t="n">
        <x:f>(((SQRT(((Inputs!$I$9+(((A11)+1)/2)*(Inputs!$J$9-Inputs!$I$9)))^2+Inputs!$C$6^2+((Inputs!$H$9+Inputs!$L$9*(((Inputs!$I$9+(((A11)+1)/2)*(Inputs!$J$9-Inputs!$I$9)))/Inputs!$K$9)^2))^2))-((Inputs!$H$9+Inputs!$L$9*(((Inputs!$I$9+(((A11)+1)/2)*(Inputs!$J$9-Inputs!$I$9)))/Inputs!$K$9)^2)))*1000/Inputs!$C$12)</x:f>
        <x:v>154499.60597487274</x:v>
      </x:c>
      <x:c r="AJ11" s="49"/>
      <x:c r="AK11" s="48" t="n">
        <x:f>A11</x:f>
        <x:v>-0.925</x:v>
      </x:c>
      <x:c r="AL11" s="48" t="n">
        <x:f>(-2*((1000*((((Inputs!$I$6+(((A11)+1)/2)*(Inputs!$J$6-Inputs!$I$6)))*Inputs!$C$11+((Inputs!$H$6+Inputs!$L$6*(((Inputs!$I$6+(((A11)+1)/2)*(Inputs!$J$6-Inputs!$I$6)))/Inputs!$K$6)^2))*((2*Inputs!$L$6*((Inputs!$I$6+(((A11)+1)/2)*(Inputs!$J$6-Inputs!$I$6)))/(Inputs!$K$6^2)*Inputs!$C$11)))/(SQRT(((Inputs!$I$6+(((A11)+1)/2)*(Inputs!$J$6-Inputs!$I$6)))^2+Inputs!$C$6^2+((Inputs!$H$6+Inputs!$L$6*(((Inputs!$I$6+(((A11)+1)/2)*(Inputs!$J$6-Inputs!$I$6)))/Inputs!$K$6)^2))^2)))))/Inputs!$C$13)</x:f>
        <x:v>412.77764187212813</x:v>
      </x:c>
      <x:c r="AM11" s="48" t="n">
        <x:f>(-2*((1000*((((Inputs!$I$7+(((A11)+1)/2)*(Inputs!$J$7-Inputs!$I$7)))*Inputs!$C$11+((Inputs!$H$7+Inputs!$L$7*(((Inputs!$I$7+(((A11)+1)/2)*(Inputs!$J$7-Inputs!$I$7)))/Inputs!$K$7)^2))*((2*Inputs!$L$7*((Inputs!$I$7+(((A11)+1)/2)*(Inputs!$J$7-Inputs!$I$7)))/(Inputs!$K$7^2)*Inputs!$C$11)))/(SQRT(((Inputs!$I$7+(((A11)+1)/2)*(Inputs!$J$7-Inputs!$I$7)))^2+Inputs!$C$6^2+((Inputs!$H$7+Inputs!$L$7*(((Inputs!$I$7+(((A11)+1)/2)*(Inputs!$J$7-Inputs!$I$7)))/Inputs!$K$7)^2))^2)))))/Inputs!$C$13)</x:f>
        <x:v>3011.4710042668985</x:v>
      </x:c>
      <x:c r="AN11" s="48" t="n">
        <x:f>(-2*((1000*((((Inputs!$I$8+(((A11)+1)/2)*(Inputs!$J$8-Inputs!$I$8)))*Inputs!$C$11+((Inputs!$H$8+Inputs!$L$8*(((Inputs!$I$8+(((A11)+1)/2)*(Inputs!$J$8-Inputs!$I$8)))/Inputs!$K$8)^2))*((2*Inputs!$L$8*((Inputs!$I$8+(((A11)+1)/2)*(Inputs!$J$8-Inputs!$I$8)))/(Inputs!$K$8^2)*Inputs!$C$11)))/(SQRT(((Inputs!$I$8+(((A11)+1)/2)*(Inputs!$J$8-Inputs!$I$8)))^2+Inputs!$C$6^2+((Inputs!$H$8+Inputs!$L$8*(((Inputs!$I$8+(((A11)+1)/2)*(Inputs!$J$8-Inputs!$I$8)))/Inputs!$K$8)^2))^2)))))/Inputs!$C$13)</x:f>
        <x:v>3749.5901097413494</x:v>
      </x:c>
      <x:c r="AO11" s="48" t="n">
        <x:f>(-2*((1000*((((Inputs!$I$9+(((A11)+1)/2)*(Inputs!$J$9-Inputs!$I$9)))*Inputs!$C$11+((Inputs!$H$9+Inputs!$L$9*(((Inputs!$I$9+(((A11)+1)/2)*(Inputs!$J$9-Inputs!$I$9)))/Inputs!$K$9)^2))*((2*Inputs!$L$9*((Inputs!$I$9+(((A11)+1)/2)*(Inputs!$J$9-Inputs!$I$9)))/(Inputs!$K$9^2)*Inputs!$C$11)))/(SQRT(((Inputs!$I$9+(((A11)+1)/2)*(Inputs!$J$9-Inputs!$I$9)))^2+Inputs!$C$6^2+((Inputs!$H$9+Inputs!$L$9*(((Inputs!$I$9+(((A11)+1)/2)*(Inputs!$J$9-Inputs!$I$9)))/Inputs!$K$9)^2))^2)))))/Inputs!$C$13)</x:f>
        <x:v>3776.691117952807</x:v>
      </x:c>
    </x:row>
    <x:row r="12">
      <x:c r="A12" s="48" t="n">
        <x:f>ROUND(-1+10*2/240,3)</x:f>
        <x:v>-0.917</x:v>
      </x:c>
      <x:c r="B12" s="48" t="n">
        <x:f>IF(OR(Inputs!$F$6=TRUE,Inputs!$F$6="TRUE",Inputs!$F$6=1),(Inputs!$H$6+Inputs!$L$6*(((Inputs!$I$6+(((A12)+1)/2)*(Inputs!$J$6-Inputs!$I$6)))/Inputs!$K$6)^2),NA())</x:f>
        <x:v>403.363556</x:v>
      </x:c>
      <x:c r="C12" s="48" t="n">
        <x:f>IF(OR(Inputs!$F$7=TRUE,Inputs!$F$7="TRUE",Inputs!$F$7=1),(Inputs!$H$7+Inputs!$L$7*(((Inputs!$I$7+(((A12)+1)/2)*(Inputs!$J$7-Inputs!$I$7)))/Inputs!$K$7)^2),NA())</x:f>
        <x:v>341.92448500000006</x:v>
      </x:c>
      <x:c r="D12" s="48" t="n">
        <x:f>IF(OR(Inputs!$F$8=TRUE,Inputs!$F$8="TRUE",Inputs!$F$8=1),(Inputs!$H$8+Inputs!$L$8*(((Inputs!$I$8+(((A12)+1)/2)*(Inputs!$J$8-Inputs!$I$8)))/Inputs!$K$8)^2),NA())</x:f>
        <x:v>846.4578850000001</x:v>
      </x:c>
      <x:c r="E12" s="48" t="n">
        <x:f>IF(OR(Inputs!$F$9=TRUE,Inputs!$F$9="TRUE",Inputs!$F$9=1),(Inputs!$H$9+Inputs!$L$9*(((Inputs!$I$9+(((A12)+1)/2)*(Inputs!$J$9-Inputs!$I$9)))/Inputs!$K$9)^2),NA())</x:f>
        <x:v>844.8667750000001</x:v>
      </x:c>
      <x:c r="F12" s="49"/>
      <x:c r="G12" s="48" t="n">
        <x:f>A12</x:f>
        <x:v>-0.917</x:v>
      </x:c>
      <x:c r="H12" s="48" t="n">
        <x:f>IF(OR(Inputs!$F$6=TRUE,Inputs!$F$6="TRUE",Inputs!$F$6=1),(((SQRT(((Inputs!$I$6+(((A12)+1)/2)*(Inputs!$J$6-Inputs!$I$6)))^2+Inputs!$C$6^2+((Inputs!$H$6+Inputs!$L$6*(((Inputs!$I$6+(((A12)+1)/2)*(Inputs!$J$6-Inputs!$I$6)))/Inputs!$K$6)^2))^2))-((Inputs!$H$6+Inputs!$L$6*(((Inputs!$I$6+(((A12)+1)/2)*(Inputs!$J$6-Inputs!$I$6)))/Inputs!$K$6)^2)))*1000/Inputs!$C$12),NA())</x:f>
        <x:v>2529.2458094051</x:v>
      </x:c>
      <x:c r="I12" s="48" t="n">
        <x:f>IF(OR(Inputs!$F$7=TRUE,Inputs!$F$7="TRUE",Inputs!$F$7=1),(((SQRT(((Inputs!$I$7+(((A12)+1)/2)*(Inputs!$J$7-Inputs!$I$7)))^2+Inputs!$C$6^2+((Inputs!$H$7+Inputs!$L$7*(((Inputs!$I$7+(((A12)+1)/2)*(Inputs!$J$7-Inputs!$I$7)))/Inputs!$K$7)^2))^2))-((Inputs!$H$7+Inputs!$L$7*(((Inputs!$I$7+(((A12)+1)/2)*(Inputs!$J$7-Inputs!$I$7)))/Inputs!$K$7)^2)))*1000/Inputs!$C$12),NA())</x:f>
        <x:v>89972.36046512764</x:v>
      </x:c>
      <x:c r="J12" s="48" t="n">
        <x:f>IF(OR(Inputs!$F$8=TRUE,Inputs!$F$8="TRUE",Inputs!$F$8=1),(((SQRT(((Inputs!$I$8+(((A12)+1)/2)*(Inputs!$J$8-Inputs!$I$8)))^2+Inputs!$C$6^2+((Inputs!$H$8+Inputs!$L$8*(((Inputs!$I$8+(((A12)+1)/2)*(Inputs!$J$8-Inputs!$I$8)))/Inputs!$K$8)^2))^2))-((Inputs!$H$8+Inputs!$L$8*(((Inputs!$I$8+(((A12)+1)/2)*(Inputs!$J$8-Inputs!$I$8)))/Inputs!$K$8)^2)))*1000/Inputs!$C$12),NA())</x:f>
        <x:v>153897.24434929746</x:v>
      </x:c>
      <x:c r="K12" s="48" t="n">
        <x:f>IF(OR(Inputs!$F$9=TRUE,Inputs!$F$9="TRUE",Inputs!$F$9=1),(((SQRT(((Inputs!$I$9+(((A12)+1)/2)*(Inputs!$J$9-Inputs!$I$9)))^2+Inputs!$C$6^2+((Inputs!$H$9+Inputs!$L$9*(((Inputs!$I$9+(((A12)+1)/2)*(Inputs!$J$9-Inputs!$I$9)))/Inputs!$K$9)^2))^2))-((Inputs!$H$9+Inputs!$L$9*(((Inputs!$I$9+(((A12)+1)/2)*(Inputs!$J$9-Inputs!$I$9)))/Inputs!$K$9)^2)))*1000/Inputs!$C$12),NA())</x:f>
        <x:v>154116.07164605678</x:v>
      </x:c>
      <x:c r="L12" s="49"/>
      <x:c r="M12" s="48" t="n">
        <x:f>A12</x:f>
        <x:v>-0.917</x:v>
      </x:c>
      <x:c r="N12" s="48" t="n">
        <x:f>IF(OR(Inputs!$F$6=TRUE,Inputs!$F$6="TRUE",Inputs!$F$6=1),(-2*((1000*((((Inputs!$I$6+(((A12)+1)/2)*(Inputs!$J$6-Inputs!$I$6)))*Inputs!$C$11+((Inputs!$H$6+Inputs!$L$6*(((Inputs!$I$6+(((A12)+1)/2)*(Inputs!$J$6-Inputs!$I$6)))/Inputs!$K$6)^2))*((2*Inputs!$L$6*((Inputs!$I$6+(((A12)+1)/2)*(Inputs!$J$6-Inputs!$I$6)))/(Inputs!$K$6^2)*Inputs!$C$11)))/(SQRT(((Inputs!$I$6+(((A12)+1)/2)*(Inputs!$J$6-Inputs!$I$6)))^2+Inputs!$C$6^2+((Inputs!$H$6+Inputs!$L$6*(((Inputs!$I$6+(((A12)+1)/2)*(Inputs!$J$6-Inputs!$I$6)))/Inputs!$K$6)^2))^2)))))/Inputs!$C$13),NA())</x:f>
        <x:v>409.3031193923336</x:v>
      </x:c>
      <x:c r="O12" s="48" t="n">
        <x:f>IF(OR(Inputs!$F$7=TRUE,Inputs!$F$7="TRUE",Inputs!$F$7=1),(-2*((1000*((((Inputs!$I$7+(((A12)+1)/2)*(Inputs!$J$7-Inputs!$I$7)))*Inputs!$C$11+((Inputs!$H$7+Inputs!$L$7*(((Inputs!$I$7+(((A12)+1)/2)*(Inputs!$J$7-Inputs!$I$7)))/Inputs!$K$7)^2))*((2*Inputs!$L$7*((Inputs!$I$7+(((A12)+1)/2)*(Inputs!$J$7-Inputs!$I$7)))/(Inputs!$K$7^2)*Inputs!$C$11)))/(SQRT(((Inputs!$I$7+(((A12)+1)/2)*(Inputs!$J$7-Inputs!$I$7)))^2+Inputs!$C$6^2+((Inputs!$H$7+Inputs!$L$7*(((Inputs!$I$7+(((A12)+1)/2)*(Inputs!$J$7-Inputs!$I$7)))/Inputs!$K$7)^2))^2)))))/Inputs!$C$13),NA())</x:f>
        <x:v>2992.4410104032986</x:v>
      </x:c>
      <x:c r="P12" s="48" t="n">
        <x:f>IF(OR(Inputs!$F$8=TRUE,Inputs!$F$8="TRUE",Inputs!$F$8=1),(-2*((1000*((((Inputs!$I$8+(((A12)+1)/2)*(Inputs!$J$8-Inputs!$I$8)))*Inputs!$C$11+((Inputs!$H$8+Inputs!$L$8*(((Inputs!$I$8+(((A12)+1)/2)*(Inputs!$J$8-Inputs!$I$8)))/Inputs!$K$8)^2))*((2*Inputs!$L$8*((Inputs!$I$8+(((A12)+1)/2)*(Inputs!$J$8-Inputs!$I$8)))/(Inputs!$K$8^2)*Inputs!$C$11)))/(SQRT(((Inputs!$I$8+(((A12)+1)/2)*(Inputs!$J$8-Inputs!$I$8)))^2+Inputs!$C$6^2+((Inputs!$H$8+Inputs!$L$8*(((Inputs!$I$8+(((A12)+1)/2)*(Inputs!$J$8-Inputs!$I$8)))/Inputs!$K$8)^2))^2)))))/Inputs!$C$13),NA())</x:f>
        <x:v>3721.8118016920225</x:v>
      </x:c>
      <x:c r="Q12" s="48" t="n">
        <x:f>IF(OR(Inputs!$F$9=TRUE,Inputs!$F$9="TRUE",Inputs!$F$9=1),(-2*((1000*((((Inputs!$I$9+(((A12)+1)/2)*(Inputs!$J$9-Inputs!$I$9)))*Inputs!$C$11+((Inputs!$H$9+Inputs!$L$9*(((Inputs!$I$9+(((A12)+1)/2)*(Inputs!$J$9-Inputs!$I$9)))/Inputs!$K$9)^2))*((2*Inputs!$L$9*((Inputs!$I$9+(((A12)+1)/2)*(Inputs!$J$9-Inputs!$I$9)))/(Inputs!$K$9^2)*Inputs!$C$11)))/(SQRT(((Inputs!$I$9+(((A12)+1)/2)*(Inputs!$J$9-Inputs!$I$9)))^2+Inputs!$C$6^2+((Inputs!$H$9+Inputs!$L$9*(((Inputs!$I$9+(((A12)+1)/2)*(Inputs!$J$9-Inputs!$I$9)))/Inputs!$K$9)^2))^2)))))/Inputs!$C$13),NA())</x:f>
        <x:v>3748.4648434472997</x:v>
      </x:c>
      <x:c r="R12" s="49"/>
      <x:c r="S12" s="48" t="n">
        <x:f>A12</x:f>
        <x:v>-0.917</x:v>
      </x:c>
      <x:c r="T12" s="48" t="n">
        <x:f>(Inputs!$I$6+(((A12)+1)/2)*(Inputs!$J$6-Inputs!$I$6))</x:f>
        <x:v>-55.02</x:v>
      </x:c>
      <x:c r="U12" s="48" t="n">
        <x:f>(Inputs!$I$7+(((A12)+1)/2)*(Inputs!$J$7-Inputs!$I$7))</x:f>
        <x:v>-366.8</x:v>
      </x:c>
      <x:c r="V12" s="48" t="n">
        <x:f>(Inputs!$I$8+(((A12)+1)/2)*(Inputs!$J$8-Inputs!$I$8))</x:f>
        <x:v>-733.6</x:v>
      </x:c>
      <x:c r="W12" s="48" t="n">
        <x:f>(Inputs!$I$9+(((A12)+1)/2)*(Inputs!$J$9-Inputs!$I$9))</x:f>
        <x:v>-733.6</x:v>
      </x:c>
      <x:c r="X12" s="49"/>
      <x:c r="Y12" s="48" t="n">
        <x:f>A12</x:f>
        <x:v>-0.917</x:v>
      </x:c>
      <x:c r="Z12" s="48" t="n">
        <x:f>(Inputs!$H$6+Inputs!$L$6*(((Inputs!$I$6+(((A12)+1)/2)*(Inputs!$J$6-Inputs!$I$6)))/Inputs!$K$6)^2)</x:f>
        <x:v>403.363556</x:v>
      </x:c>
      <x:c r="AA12" s="48" t="n">
        <x:f>(Inputs!$H$7+Inputs!$L$7*(((Inputs!$I$7+(((A12)+1)/2)*(Inputs!$J$7-Inputs!$I$7)))/Inputs!$K$7)^2)</x:f>
        <x:v>341.92448500000006</x:v>
      </x:c>
      <x:c r="AB12" s="48" t="n">
        <x:f>(Inputs!$H$8+Inputs!$L$8*(((Inputs!$I$8+(((A12)+1)/2)*(Inputs!$J$8-Inputs!$I$8)))/Inputs!$K$8)^2)</x:f>
        <x:v>846.4578850000001</x:v>
      </x:c>
      <x:c r="AC12" s="48" t="n">
        <x:f>(Inputs!$H$9+Inputs!$L$9*(((Inputs!$I$9+(((A12)+1)/2)*(Inputs!$J$9-Inputs!$I$9)))/Inputs!$K$9)^2)</x:f>
        <x:v>844.8667750000001</x:v>
      </x:c>
      <x:c r="AD12" s="49"/>
      <x:c r="AE12" s="48" t="n">
        <x:f>A12</x:f>
        <x:v>-0.917</x:v>
      </x:c>
      <x:c r="AF12" s="48" t="n">
        <x:f>(((SQRT(((Inputs!$I$6+(((A12)+1)/2)*(Inputs!$J$6-Inputs!$I$6)))^2+Inputs!$C$6^2+((Inputs!$H$6+Inputs!$L$6*(((Inputs!$I$6+(((A12)+1)/2)*(Inputs!$J$6-Inputs!$I$6)))/Inputs!$K$6)^2))^2))-((Inputs!$H$6+Inputs!$L$6*(((Inputs!$I$6+(((A12)+1)/2)*(Inputs!$J$6-Inputs!$I$6)))/Inputs!$K$6)^2)))*1000/Inputs!$C$12)</x:f>
        <x:v>2529.2458094051</x:v>
      </x:c>
      <x:c r="AG12" s="48" t="n">
        <x:f>(((SQRT(((Inputs!$I$7+(((A12)+1)/2)*(Inputs!$J$7-Inputs!$I$7)))^2+Inputs!$C$6^2+((Inputs!$H$7+Inputs!$L$7*(((Inputs!$I$7+(((A12)+1)/2)*(Inputs!$J$7-Inputs!$I$7)))/Inputs!$K$7)^2))^2))-((Inputs!$H$7+Inputs!$L$7*(((Inputs!$I$7+(((A12)+1)/2)*(Inputs!$J$7-Inputs!$I$7)))/Inputs!$K$7)^2)))*1000/Inputs!$C$12)</x:f>
        <x:v>89972.36046512764</x:v>
      </x:c>
      <x:c r="AH12" s="48" t="n">
        <x:f>(((SQRT(((Inputs!$I$8+(((A12)+1)/2)*(Inputs!$J$8-Inputs!$I$8)))^2+Inputs!$C$6^2+((Inputs!$H$8+Inputs!$L$8*(((Inputs!$I$8+(((A12)+1)/2)*(Inputs!$J$8-Inputs!$I$8)))/Inputs!$K$8)^2))^2))-((Inputs!$H$8+Inputs!$L$8*(((Inputs!$I$8+(((A12)+1)/2)*(Inputs!$J$8-Inputs!$I$8)))/Inputs!$K$8)^2)))*1000/Inputs!$C$12)</x:f>
        <x:v>153897.24434929746</x:v>
      </x:c>
      <x:c r="AI12" s="48" t="n">
        <x:f>(((SQRT(((Inputs!$I$9+(((A12)+1)/2)*(Inputs!$J$9-Inputs!$I$9)))^2+Inputs!$C$6^2+((Inputs!$H$9+Inputs!$L$9*(((Inputs!$I$9+(((A12)+1)/2)*(Inputs!$J$9-Inputs!$I$9)))/Inputs!$K$9)^2))^2))-((Inputs!$H$9+Inputs!$L$9*(((Inputs!$I$9+(((A12)+1)/2)*(Inputs!$J$9-Inputs!$I$9)))/Inputs!$K$9)^2)))*1000/Inputs!$C$12)</x:f>
        <x:v>154116.07164605678</x:v>
      </x:c>
      <x:c r="AJ12" s="49"/>
      <x:c r="AK12" s="48" t="n">
        <x:f>A12</x:f>
        <x:v>-0.917</x:v>
      </x:c>
      <x:c r="AL12" s="48" t="n">
        <x:f>(-2*((1000*((((Inputs!$I$6+(((A12)+1)/2)*(Inputs!$J$6-Inputs!$I$6)))*Inputs!$C$11+((Inputs!$H$6+Inputs!$L$6*(((Inputs!$I$6+(((A12)+1)/2)*(Inputs!$J$6-Inputs!$I$6)))/Inputs!$K$6)^2))*((2*Inputs!$L$6*((Inputs!$I$6+(((A12)+1)/2)*(Inputs!$J$6-Inputs!$I$6)))/(Inputs!$K$6^2)*Inputs!$C$11)))/(SQRT(((Inputs!$I$6+(((A12)+1)/2)*(Inputs!$J$6-Inputs!$I$6)))^2+Inputs!$C$6^2+((Inputs!$H$6+Inputs!$L$6*(((Inputs!$I$6+(((A12)+1)/2)*(Inputs!$J$6-Inputs!$I$6)))/Inputs!$K$6)^2))^2)))))/Inputs!$C$13)</x:f>
        <x:v>409.3031193923336</x:v>
      </x:c>
      <x:c r="AM12" s="48" t="n">
        <x:f>(-2*((1000*((((Inputs!$I$7+(((A12)+1)/2)*(Inputs!$J$7-Inputs!$I$7)))*Inputs!$C$11+((Inputs!$H$7+Inputs!$L$7*(((Inputs!$I$7+(((A12)+1)/2)*(Inputs!$J$7-Inputs!$I$7)))/Inputs!$K$7)^2))*((2*Inputs!$L$7*((Inputs!$I$7+(((A12)+1)/2)*(Inputs!$J$7-Inputs!$I$7)))/(Inputs!$K$7^2)*Inputs!$C$11)))/(SQRT(((Inputs!$I$7+(((A12)+1)/2)*(Inputs!$J$7-Inputs!$I$7)))^2+Inputs!$C$6^2+((Inputs!$H$7+Inputs!$L$7*(((Inputs!$I$7+(((A12)+1)/2)*(Inputs!$J$7-Inputs!$I$7)))/Inputs!$K$7)^2))^2)))))/Inputs!$C$13)</x:f>
        <x:v>2992.4410104032986</x:v>
      </x:c>
      <x:c r="AN12" s="48" t="n">
        <x:f>(-2*((1000*((((Inputs!$I$8+(((A12)+1)/2)*(Inputs!$J$8-Inputs!$I$8)))*Inputs!$C$11+((Inputs!$H$8+Inputs!$L$8*(((Inputs!$I$8+(((A12)+1)/2)*(Inputs!$J$8-Inputs!$I$8)))/Inputs!$K$8)^2))*((2*Inputs!$L$8*((Inputs!$I$8+(((A12)+1)/2)*(Inputs!$J$8-Inputs!$I$8)))/(Inputs!$K$8^2)*Inputs!$C$11)))/(SQRT(((Inputs!$I$8+(((A12)+1)/2)*(Inputs!$J$8-Inputs!$I$8)))^2+Inputs!$C$6^2+((Inputs!$H$8+Inputs!$L$8*(((Inputs!$I$8+(((A12)+1)/2)*(Inputs!$J$8-Inputs!$I$8)))/Inputs!$K$8)^2))^2)))))/Inputs!$C$13)</x:f>
        <x:v>3721.8118016920225</x:v>
      </x:c>
      <x:c r="AO12" s="48" t="n">
        <x:f>(-2*((1000*((((Inputs!$I$9+(((A12)+1)/2)*(Inputs!$J$9-Inputs!$I$9)))*Inputs!$C$11+((Inputs!$H$9+Inputs!$L$9*(((Inputs!$I$9+(((A12)+1)/2)*(Inputs!$J$9-Inputs!$I$9)))/Inputs!$K$9)^2))*((2*Inputs!$L$9*((Inputs!$I$9+(((A12)+1)/2)*(Inputs!$J$9-Inputs!$I$9)))/(Inputs!$K$9^2)*Inputs!$C$11)))/(SQRT(((Inputs!$I$9+(((A12)+1)/2)*(Inputs!$J$9-Inputs!$I$9)))^2+Inputs!$C$6^2+((Inputs!$H$9+Inputs!$L$9*(((Inputs!$I$9+(((A12)+1)/2)*(Inputs!$J$9-Inputs!$I$9)))/Inputs!$K$9)^2))^2)))))/Inputs!$C$13)</x:f>
        <x:v>3748.4648434472997</x:v>
      </x:c>
    </x:row>
    <x:row r="13">
      <x:c r="A13" s="48" t="n">
        <x:f>ROUND(-1+11*2/240,3)</x:f>
        <x:v>-0.908</x:v>
      </x:c>
      <x:c r="B13" s="48" t="n">
        <x:f>IF(OR(Inputs!$F$6=TRUE,Inputs!$F$6="TRUE",Inputs!$F$6=1),(Inputs!$H$6+Inputs!$L$6*(((Inputs!$I$6+(((A13)+1)/2)*(Inputs!$J$6-Inputs!$I$6)))/Inputs!$K$6)^2),NA())</x:f>
        <x:v>403.297856</x:v>
      </x:c>
      <x:c r="C13" s="48" t="n">
        <x:f>IF(OR(Inputs!$F$7=TRUE,Inputs!$F$7="TRUE",Inputs!$F$7=1),(Inputs!$H$7+Inputs!$L$7*(((Inputs!$I$7+(((A13)+1)/2)*(Inputs!$J$7-Inputs!$I$7)))/Inputs!$K$7)^2),NA())</x:f>
        <x:v>335.92936</x:v>
      </x:c>
      <x:c r="D13" s="48" t="n">
        <x:f>IF(OR(Inputs!$F$8=TRUE,Inputs!$F$8="TRUE",Inputs!$F$8=1),(Inputs!$H$8+Inputs!$L$8*(((Inputs!$I$8+(((A13)+1)/2)*(Inputs!$J$8-Inputs!$I$8)))/Inputs!$K$8)^2),NA())</x:f>
        <x:v>830.6077599999999</x:v>
      </x:c>
      <x:c r="E13" s="48" t="n">
        <x:f>IF(OR(Inputs!$F$9=TRUE,Inputs!$F$9="TRUE",Inputs!$F$9=1),(Inputs!$H$9+Inputs!$L$9*(((Inputs!$I$9+(((A13)+1)/2)*(Inputs!$J$9-Inputs!$I$9)))/Inputs!$K$9)^2),NA())</x:f>
        <x:v>828.8523999999999</x:v>
      </x:c>
      <x:c r="F13" s="49"/>
      <x:c r="G13" s="48" t="n">
        <x:f>A13</x:f>
        <x:v>-0.908</x:v>
      </x:c>
      <x:c r="H13" s="48" t="n">
        <x:f>IF(OR(Inputs!$F$6=TRUE,Inputs!$F$6="TRUE",Inputs!$F$6=1),(((SQRT(((Inputs!$I$6+(((A13)+1)/2)*(Inputs!$J$6-Inputs!$I$6)))^2+Inputs!$C$6^2+((Inputs!$H$6+Inputs!$L$6*(((Inputs!$I$6+(((A13)+1)/2)*(Inputs!$J$6-Inputs!$I$6)))/Inputs!$K$6)^2))^2))-((Inputs!$H$6+Inputs!$L$6*(((Inputs!$I$6+(((A13)+1)/2)*(Inputs!$J$6-Inputs!$I$6)))/Inputs!$K$6)^2)))*1000/Inputs!$C$12),NA())</x:f>
        <x:v>2488.9200862943194</x:v>
      </x:c>
      <x:c r="I13" s="48" t="n">
        <x:f>IF(OR(Inputs!$F$7=TRUE,Inputs!$F$7="TRUE",Inputs!$F$7=1),(((SQRT(((Inputs!$I$7+(((A13)+1)/2)*(Inputs!$J$7-Inputs!$I$7)))^2+Inputs!$C$6^2+((Inputs!$H$7+Inputs!$L$7*(((Inputs!$I$7+(((A13)+1)/2)*(Inputs!$J$7-Inputs!$I$7)))/Inputs!$K$7)^2))^2))-((Inputs!$H$7+Inputs!$L$7*(((Inputs!$I$7+(((A13)+1)/2)*(Inputs!$J$7-Inputs!$I$7)))/Inputs!$K$7)^2)))*1000/Inputs!$C$12),NA())</x:f>
        <x:v>89571.31672429819</x:v>
      </x:c>
      <x:c r="J13" s="48" t="n">
        <x:f>IF(OR(Inputs!$F$8=TRUE,Inputs!$F$8="TRUE",Inputs!$F$8=1),(((SQRT(((Inputs!$I$8+(((A13)+1)/2)*(Inputs!$J$8-Inputs!$I$8)))^2+Inputs!$C$6^2+((Inputs!$H$8+Inputs!$L$8*(((Inputs!$I$8+(((A13)+1)/2)*(Inputs!$J$8-Inputs!$I$8)))/Inputs!$K$8)^2))^2))-((Inputs!$H$8+Inputs!$L$8*(((Inputs!$I$8+(((A13)+1)/2)*(Inputs!$J$8-Inputs!$I$8)))/Inputs!$K$8)^2)))*1000/Inputs!$C$12),NA())</x:f>
        <x:v>153432.1560011362</x:v>
      </x:c>
      <x:c r="K13" s="48" t="n">
        <x:f>IF(OR(Inputs!$F$9=TRUE,Inputs!$F$9="TRUE",Inputs!$F$9=1),(((SQRT(((Inputs!$I$9+(((A13)+1)/2)*(Inputs!$J$9-Inputs!$I$9)))^2+Inputs!$C$6^2+((Inputs!$H$9+Inputs!$L$9*(((Inputs!$I$9+(((A13)+1)/2)*(Inputs!$J$9-Inputs!$I$9)))/Inputs!$K$9)^2))^2))-((Inputs!$H$9+Inputs!$L$9*(((Inputs!$I$9+(((A13)+1)/2)*(Inputs!$J$9-Inputs!$I$9)))/Inputs!$K$9)^2)))*1000/Inputs!$C$12),NA())</x:f>
        <x:v>153676.51616447463</x:v>
      </x:c>
      <x:c r="L13" s="49"/>
      <x:c r="M13" s="48" t="n">
        <x:f>A13</x:f>
        <x:v>-0.908</x:v>
      </x:c>
      <x:c r="N13" s="48" t="n">
        <x:f>IF(OR(Inputs!$F$6=TRUE,Inputs!$F$6="TRUE",Inputs!$F$6=1),(-2*((1000*((((Inputs!$I$6+(((A13)+1)/2)*(Inputs!$J$6-Inputs!$I$6)))*Inputs!$C$11+((Inputs!$H$6+Inputs!$L$6*(((Inputs!$I$6+(((A13)+1)/2)*(Inputs!$J$6-Inputs!$I$6)))/Inputs!$K$6)^2))*((2*Inputs!$L$6*((Inputs!$I$6+(((A13)+1)/2)*(Inputs!$J$6-Inputs!$I$6)))/(Inputs!$K$6^2)*Inputs!$C$11)))/(SQRT(((Inputs!$I$6+(((A13)+1)/2)*(Inputs!$J$6-Inputs!$I$6)))^2+Inputs!$C$6^2+((Inputs!$H$6+Inputs!$L$6*(((Inputs!$I$6+(((A13)+1)/2)*(Inputs!$J$6-Inputs!$I$6)))/Inputs!$K$6)^2))^2)))))/Inputs!$C$13),NA())</x:f>
        <x:v>405.3914107861397</x:v>
      </x:c>
      <x:c r="O13" s="48" t="n">
        <x:f>IF(OR(Inputs!$F$7=TRUE,Inputs!$F$7="TRUE",Inputs!$F$7=1),(-2*((1000*((((Inputs!$I$7+(((A13)+1)/2)*(Inputs!$J$7-Inputs!$I$7)))*Inputs!$C$11+((Inputs!$H$7+Inputs!$L$7*(((Inputs!$I$7+(((A13)+1)/2)*(Inputs!$J$7-Inputs!$I$7)))/Inputs!$K$7)^2))*((2*Inputs!$L$7*((Inputs!$I$7+(((A13)+1)/2)*(Inputs!$J$7-Inputs!$I$7)))/(Inputs!$K$7^2)*Inputs!$C$11)))/(SQRT(((Inputs!$I$7+(((A13)+1)/2)*(Inputs!$J$7-Inputs!$I$7)))^2+Inputs!$C$6^2+((Inputs!$H$7+Inputs!$L$7*(((Inputs!$I$7+(((A13)+1)/2)*(Inputs!$J$7-Inputs!$I$7)))/Inputs!$K$7)^2))^2)))))/Inputs!$C$13),NA())</x:f>
        <x:v>2971.113813617775</x:v>
      </x:c>
      <x:c r="P13" s="48" t="n">
        <x:f>IF(OR(Inputs!$F$8=TRUE,Inputs!$F$8="TRUE",Inputs!$F$8=1),(-2*((1000*((((Inputs!$I$8+(((A13)+1)/2)*(Inputs!$J$8-Inputs!$I$8)))*Inputs!$C$11+((Inputs!$H$8+Inputs!$L$8*(((Inputs!$I$8+(((A13)+1)/2)*(Inputs!$J$8-Inputs!$I$8)))/Inputs!$K$8)^2))*((2*Inputs!$L$8*((Inputs!$I$8+(((A13)+1)/2)*(Inputs!$J$8-Inputs!$I$8)))/(Inputs!$K$8^2)*Inputs!$C$11)))/(SQRT(((Inputs!$I$8+(((A13)+1)/2)*(Inputs!$J$8-Inputs!$I$8)))^2+Inputs!$C$6^2+((Inputs!$H$8+Inputs!$L$8*(((Inputs!$I$8+(((A13)+1)/2)*(Inputs!$J$8-Inputs!$I$8)))/Inputs!$K$8)^2))^2)))))/Inputs!$C$13),NA())</x:f>
        <x:v>3690.638573496302</x:v>
      </x:c>
      <x:c r="Q13" s="48" t="n">
        <x:f>IF(OR(Inputs!$F$9=TRUE,Inputs!$F$9="TRUE",Inputs!$F$9=1),(-2*((1000*((((Inputs!$I$9+(((A13)+1)/2)*(Inputs!$J$9-Inputs!$I$9)))*Inputs!$C$11+((Inputs!$H$9+Inputs!$L$9*(((Inputs!$I$9+(((A13)+1)/2)*(Inputs!$J$9-Inputs!$I$9)))/Inputs!$K$9)^2))*((2*Inputs!$L$9*((Inputs!$I$9+(((A13)+1)/2)*(Inputs!$J$9-Inputs!$I$9)))/(Inputs!$K$9^2)*Inputs!$C$11)))/(SQRT(((Inputs!$I$9+(((A13)+1)/2)*(Inputs!$J$9-Inputs!$I$9)))^2+Inputs!$C$6^2+((Inputs!$H$9+Inputs!$L$9*(((Inputs!$I$9+(((A13)+1)/2)*(Inputs!$J$9-Inputs!$I$9)))/Inputs!$K$9)^2))^2)))))/Inputs!$C$13),NA())</x:f>
        <x:v>3716.785885806769</x:v>
      </x:c>
      <x:c r="R13" s="49"/>
      <x:c r="S13" s="48" t="n">
        <x:f>A13</x:f>
        <x:v>-0.908</x:v>
      </x:c>
      <x:c r="T13" s="48" t="n">
        <x:f>(Inputs!$I$6+(((A13)+1)/2)*(Inputs!$J$6-Inputs!$I$6))</x:f>
        <x:v>-54.480000000000004</x:v>
      </x:c>
      <x:c r="U13" s="48" t="n">
        <x:f>(Inputs!$I$7+(((A13)+1)/2)*(Inputs!$J$7-Inputs!$I$7))</x:f>
        <x:v>-363.2</x:v>
      </x:c>
      <x:c r="V13" s="48" t="n">
        <x:f>(Inputs!$I$8+(((A13)+1)/2)*(Inputs!$J$8-Inputs!$I$8))</x:f>
        <x:v>-726.4</x:v>
      </x:c>
      <x:c r="W13" s="48" t="n">
        <x:f>(Inputs!$I$9+(((A13)+1)/2)*(Inputs!$J$9-Inputs!$I$9))</x:f>
        <x:v>-726.4</x:v>
      </x:c>
      <x:c r="X13" s="49"/>
      <x:c r="Y13" s="48" t="n">
        <x:f>A13</x:f>
        <x:v>-0.908</x:v>
      </x:c>
      <x:c r="Z13" s="48" t="n">
        <x:f>(Inputs!$H$6+Inputs!$L$6*(((Inputs!$I$6+(((A13)+1)/2)*(Inputs!$J$6-Inputs!$I$6)))/Inputs!$K$6)^2)</x:f>
        <x:v>403.297856</x:v>
      </x:c>
      <x:c r="AA13" s="48" t="n">
        <x:f>(Inputs!$H$7+Inputs!$L$7*(((Inputs!$I$7+(((A13)+1)/2)*(Inputs!$J$7-Inputs!$I$7)))/Inputs!$K$7)^2)</x:f>
        <x:v>335.92936</x:v>
      </x:c>
      <x:c r="AB13" s="48" t="n">
        <x:f>(Inputs!$H$8+Inputs!$L$8*(((Inputs!$I$8+(((A13)+1)/2)*(Inputs!$J$8-Inputs!$I$8)))/Inputs!$K$8)^2)</x:f>
        <x:v>830.6077599999999</x:v>
      </x:c>
      <x:c r="AC13" s="48" t="n">
        <x:f>(Inputs!$H$9+Inputs!$L$9*(((Inputs!$I$9+(((A13)+1)/2)*(Inputs!$J$9-Inputs!$I$9)))/Inputs!$K$9)^2)</x:f>
        <x:v>828.8523999999999</x:v>
      </x:c>
      <x:c r="AD13" s="49"/>
      <x:c r="AE13" s="48" t="n">
        <x:f>A13</x:f>
        <x:v>-0.908</x:v>
      </x:c>
      <x:c r="AF13" s="48" t="n">
        <x:f>(((SQRT(((Inputs!$I$6+(((A13)+1)/2)*(Inputs!$J$6-Inputs!$I$6)))^2+Inputs!$C$6^2+((Inputs!$H$6+Inputs!$L$6*(((Inputs!$I$6+(((A13)+1)/2)*(Inputs!$J$6-Inputs!$I$6)))/Inputs!$K$6)^2))^2))-((Inputs!$H$6+Inputs!$L$6*(((Inputs!$I$6+(((A13)+1)/2)*(Inputs!$J$6-Inputs!$I$6)))/Inputs!$K$6)^2)))*1000/Inputs!$C$12)</x:f>
        <x:v>2488.9200862943194</x:v>
      </x:c>
      <x:c r="AG13" s="48" t="n">
        <x:f>(((SQRT(((Inputs!$I$7+(((A13)+1)/2)*(Inputs!$J$7-Inputs!$I$7)))^2+Inputs!$C$6^2+((Inputs!$H$7+Inputs!$L$7*(((Inputs!$I$7+(((A13)+1)/2)*(Inputs!$J$7-Inputs!$I$7)))/Inputs!$K$7)^2))^2))-((Inputs!$H$7+Inputs!$L$7*(((Inputs!$I$7+(((A13)+1)/2)*(Inputs!$J$7-Inputs!$I$7)))/Inputs!$K$7)^2)))*1000/Inputs!$C$12)</x:f>
        <x:v>89571.31672429819</x:v>
      </x:c>
      <x:c r="AH13" s="48" t="n">
        <x:f>(((SQRT(((Inputs!$I$8+(((A13)+1)/2)*(Inputs!$J$8-Inputs!$I$8)))^2+Inputs!$C$6^2+((Inputs!$H$8+Inputs!$L$8*(((Inputs!$I$8+(((A13)+1)/2)*(Inputs!$J$8-Inputs!$I$8)))/Inputs!$K$8)^2))^2))-((Inputs!$H$8+Inputs!$L$8*(((Inputs!$I$8+(((A13)+1)/2)*(Inputs!$J$8-Inputs!$I$8)))/Inputs!$K$8)^2)))*1000/Inputs!$C$12)</x:f>
        <x:v>153432.1560011362</x:v>
      </x:c>
      <x:c r="AI13" s="48" t="n">
        <x:f>(((SQRT(((Inputs!$I$9+(((A13)+1)/2)*(Inputs!$J$9-Inputs!$I$9)))^2+Inputs!$C$6^2+((Inputs!$H$9+Inputs!$L$9*(((Inputs!$I$9+(((A13)+1)/2)*(Inputs!$J$9-Inputs!$I$9)))/Inputs!$K$9)^2))^2))-((Inputs!$H$9+Inputs!$L$9*(((Inputs!$I$9+(((A13)+1)/2)*(Inputs!$J$9-Inputs!$I$9)))/Inputs!$K$9)^2)))*1000/Inputs!$C$12)</x:f>
        <x:v>153676.51616447463</x:v>
      </x:c>
      <x:c r="AJ13" s="49"/>
      <x:c r="AK13" s="48" t="n">
        <x:f>A13</x:f>
        <x:v>-0.908</x:v>
      </x:c>
      <x:c r="AL13" s="48" t="n">
        <x:f>(-2*((1000*((((Inputs!$I$6+(((A13)+1)/2)*(Inputs!$J$6-Inputs!$I$6)))*Inputs!$C$11+((Inputs!$H$6+Inputs!$L$6*(((Inputs!$I$6+(((A13)+1)/2)*(Inputs!$J$6-Inputs!$I$6)))/Inputs!$K$6)^2))*((2*Inputs!$L$6*((Inputs!$I$6+(((A13)+1)/2)*(Inputs!$J$6-Inputs!$I$6)))/(Inputs!$K$6^2)*Inputs!$C$11)))/(SQRT(((Inputs!$I$6+(((A13)+1)/2)*(Inputs!$J$6-Inputs!$I$6)))^2+Inputs!$C$6^2+((Inputs!$H$6+Inputs!$L$6*(((Inputs!$I$6+(((A13)+1)/2)*(Inputs!$J$6-Inputs!$I$6)))/Inputs!$K$6)^2))^2)))))/Inputs!$C$13)</x:f>
        <x:v>405.3914107861397</x:v>
      </x:c>
      <x:c r="AM13" s="48" t="n">
        <x:f>(-2*((1000*((((Inputs!$I$7+(((A13)+1)/2)*(Inputs!$J$7-Inputs!$I$7)))*Inputs!$C$11+((Inputs!$H$7+Inputs!$L$7*(((Inputs!$I$7+(((A13)+1)/2)*(Inputs!$J$7-Inputs!$I$7)))/Inputs!$K$7)^2))*((2*Inputs!$L$7*((Inputs!$I$7+(((A13)+1)/2)*(Inputs!$J$7-Inputs!$I$7)))/(Inputs!$K$7^2)*Inputs!$C$11)))/(SQRT(((Inputs!$I$7+(((A13)+1)/2)*(Inputs!$J$7-Inputs!$I$7)))^2+Inputs!$C$6^2+((Inputs!$H$7+Inputs!$L$7*(((Inputs!$I$7+(((A13)+1)/2)*(Inputs!$J$7-Inputs!$I$7)))/Inputs!$K$7)^2))^2)))))/Inputs!$C$13)</x:f>
        <x:v>2971.113813617775</x:v>
      </x:c>
      <x:c r="AN13" s="48" t="n">
        <x:f>(-2*((1000*((((Inputs!$I$8+(((A13)+1)/2)*(Inputs!$J$8-Inputs!$I$8)))*Inputs!$C$11+((Inputs!$H$8+Inputs!$L$8*(((Inputs!$I$8+(((A13)+1)/2)*(Inputs!$J$8-Inputs!$I$8)))/Inputs!$K$8)^2))*((2*Inputs!$L$8*((Inputs!$I$8+(((A13)+1)/2)*(Inputs!$J$8-Inputs!$I$8)))/(Inputs!$K$8^2)*Inputs!$C$11)))/(SQRT(((Inputs!$I$8+(((A13)+1)/2)*(Inputs!$J$8-Inputs!$I$8)))^2+Inputs!$C$6^2+((Inputs!$H$8+Inputs!$L$8*(((Inputs!$I$8+(((A13)+1)/2)*(Inputs!$J$8-Inputs!$I$8)))/Inputs!$K$8)^2))^2)))))/Inputs!$C$13)</x:f>
        <x:v>3690.638573496302</x:v>
      </x:c>
      <x:c r="AO13" s="48" t="n">
        <x:f>(-2*((1000*((((Inputs!$I$9+(((A13)+1)/2)*(Inputs!$J$9-Inputs!$I$9)))*Inputs!$C$11+((Inputs!$H$9+Inputs!$L$9*(((Inputs!$I$9+(((A13)+1)/2)*(Inputs!$J$9-Inputs!$I$9)))/Inputs!$K$9)^2))*((2*Inputs!$L$9*((Inputs!$I$9+(((A13)+1)/2)*(Inputs!$J$9-Inputs!$I$9)))/(Inputs!$K$9^2)*Inputs!$C$11)))/(SQRT(((Inputs!$I$9+(((A13)+1)/2)*(Inputs!$J$9-Inputs!$I$9)))^2+Inputs!$C$6^2+((Inputs!$H$9+Inputs!$L$9*(((Inputs!$I$9+(((A13)+1)/2)*(Inputs!$J$9-Inputs!$I$9)))/Inputs!$K$9)^2))^2)))))/Inputs!$C$13)</x:f>
        <x:v>3716.785885806769</x:v>
      </x:c>
    </x:row>
    <x:row r="14">
      <x:c r="A14" s="48" t="n">
        <x:f>ROUND(-1+12*2/240,3)</x:f>
        <x:v>-0.9</x:v>
      </x:c>
      <x:c r="B14" s="48" t="n">
        <x:f>IF(OR(Inputs!$F$6=TRUE,Inputs!$F$6="TRUE",Inputs!$F$6=1),(Inputs!$H$6+Inputs!$L$6*(((Inputs!$I$6+(((A14)+1)/2)*(Inputs!$J$6-Inputs!$I$6)))/Inputs!$K$6)^2),NA())</x:f>
        <x:v>403.24</x:v>
      </x:c>
      <x:c r="C14" s="48" t="n">
        <x:f>IF(OR(Inputs!$F$7=TRUE,Inputs!$F$7="TRUE",Inputs!$F$7=1),(Inputs!$H$7+Inputs!$L$7*(((Inputs!$I$7+(((A14)+1)/2)*(Inputs!$J$7-Inputs!$I$7)))/Inputs!$K$7)^2),NA())</x:f>
        <x:v>330.65000000000003</x:v>
      </x:c>
      <x:c r="D14" s="48" t="n">
        <x:f>IF(OR(Inputs!$F$8=TRUE,Inputs!$F$8="TRUE",Inputs!$F$8=1),(Inputs!$H$8+Inputs!$L$8*(((Inputs!$I$8+(((A14)+1)/2)*(Inputs!$J$8-Inputs!$I$8)))/Inputs!$K$8)^2),NA())</x:f>
        <x:v>816.6500000000001</x:v>
      </x:c>
      <x:c r="E14" s="48" t="n">
        <x:f>IF(OR(Inputs!$F$9=TRUE,Inputs!$F$9="TRUE",Inputs!$F$9=1),(Inputs!$H$9+Inputs!$L$9*(((Inputs!$I$9+(((A14)+1)/2)*(Inputs!$J$9-Inputs!$I$9)))/Inputs!$K$9)^2),NA())</x:f>
        <x:v>814.75</x:v>
      </x:c>
      <x:c r="F14" s="49"/>
      <x:c r="G14" s="48" t="n">
        <x:f>A14</x:f>
        <x:v>-0.9</x:v>
      </x:c>
      <x:c r="H14" s="48" t="n">
        <x:f>IF(OR(Inputs!$F$6=TRUE,Inputs!$F$6="TRUE",Inputs!$F$6=1),(((SQRT(((Inputs!$I$6+(((A14)+1)/2)*(Inputs!$J$6-Inputs!$I$6)))^2+Inputs!$C$6^2+((Inputs!$H$6+Inputs!$L$6*(((Inputs!$I$6+(((A14)+1)/2)*(Inputs!$J$6-Inputs!$I$6)))/Inputs!$K$6)^2))^2))-((Inputs!$H$6+Inputs!$L$6*(((Inputs!$I$6+(((A14)+1)/2)*(Inputs!$J$6-Inputs!$I$6)))/Inputs!$K$6)^2)))*1000/Inputs!$C$12),NA())</x:f>
        <x:v>2453.3922539609484</x:v>
      </x:c>
      <x:c r="I14" s="48" t="n">
        <x:f>IF(OR(Inputs!$F$7=TRUE,Inputs!$F$7="TRUE",Inputs!$F$7=1),(((SQRT(((Inputs!$I$7+(((A14)+1)/2)*(Inputs!$J$7-Inputs!$I$7)))^2+Inputs!$C$6^2+((Inputs!$H$7+Inputs!$L$7*(((Inputs!$I$7+(((A14)+1)/2)*(Inputs!$J$7-Inputs!$I$7)))/Inputs!$K$7)^2))^2))-((Inputs!$H$7+Inputs!$L$7*(((Inputs!$I$7+(((A14)+1)/2)*(Inputs!$J$7-Inputs!$I$7)))/Inputs!$K$7)^2)))*1000/Inputs!$C$12),NA())</x:f>
        <x:v>89209.53463621881</x:v>
      </x:c>
      <x:c r="J14" s="48" t="n">
        <x:f>IF(OR(Inputs!$F$8=TRUE,Inputs!$F$8="TRUE",Inputs!$F$8=1),(((SQRT(((Inputs!$I$8+(((A14)+1)/2)*(Inputs!$J$8-Inputs!$I$8)))^2+Inputs!$C$6^2+((Inputs!$H$8+Inputs!$L$8*(((Inputs!$I$8+(((A14)+1)/2)*(Inputs!$J$8-Inputs!$I$8)))/Inputs!$K$8)^2))^2))-((Inputs!$H$8+Inputs!$L$8*(((Inputs!$I$8+(((A14)+1)/2)*(Inputs!$J$8-Inputs!$I$8)))/Inputs!$K$8)^2)))*1000/Inputs!$C$12),NA())</x:f>
        <x:v>153011.09212788116</x:v>
      </x:c>
      <x:c r="K14" s="48" t="n">
        <x:f>IF(OR(Inputs!$F$9=TRUE,Inputs!$F$9="TRUE",Inputs!$F$9=1),(((SQRT(((Inputs!$I$9+(((A14)+1)/2)*(Inputs!$J$9-Inputs!$I$9)))^2+Inputs!$C$6^2+((Inputs!$H$9+Inputs!$L$9*(((Inputs!$I$9+(((A14)+1)/2)*(Inputs!$J$9-Inputs!$I$9)))/Inputs!$K$9)^2))^2))-((Inputs!$H$9+Inputs!$L$9*(((Inputs!$I$9+(((A14)+1)/2)*(Inputs!$J$9-Inputs!$I$9)))/Inputs!$K$9)^2)))*1000/Inputs!$C$12),NA())</x:f>
        <x:v>153278.45929556628</x:v>
      </x:c>
      <x:c r="L14" s="49"/>
      <x:c r="M14" s="48" t="n">
        <x:f>A14</x:f>
        <x:v>-0.9</x:v>
      </x:c>
      <x:c r="N14" s="48" t="n">
        <x:f>IF(OR(Inputs!$F$6=TRUE,Inputs!$F$6="TRUE",Inputs!$F$6=1),(-2*((1000*((((Inputs!$I$6+(((A14)+1)/2)*(Inputs!$J$6-Inputs!$I$6)))*Inputs!$C$11+((Inputs!$H$6+Inputs!$L$6*(((Inputs!$I$6+(((A14)+1)/2)*(Inputs!$J$6-Inputs!$I$6)))/Inputs!$K$6)^2))*((2*Inputs!$L$6*((Inputs!$I$6+(((A14)+1)/2)*(Inputs!$J$6-Inputs!$I$6)))/(Inputs!$K$6^2)*Inputs!$C$11)))/(SQRT(((Inputs!$I$6+(((A14)+1)/2)*(Inputs!$J$6-Inputs!$I$6)))^2+Inputs!$C$6^2+((Inputs!$H$6+Inputs!$L$6*(((Inputs!$I$6+(((A14)+1)/2)*(Inputs!$J$6-Inputs!$I$6)))/Inputs!$K$6)^2))^2)))))/Inputs!$C$13),NA())</x:f>
        <x:v>401.9118038751196</x:v>
      </x:c>
      <x:c r="O14" s="48" t="n">
        <x:f>IF(OR(Inputs!$F$7=TRUE,Inputs!$F$7="TRUE",Inputs!$F$7=1),(-2*((1000*((((Inputs!$I$7+(((A14)+1)/2)*(Inputs!$J$7-Inputs!$I$7)))*Inputs!$C$11+((Inputs!$H$7+Inputs!$L$7*(((Inputs!$I$7+(((A14)+1)/2)*(Inputs!$J$7-Inputs!$I$7)))/Inputs!$K$7)^2))*((2*Inputs!$L$7*((Inputs!$I$7+(((A14)+1)/2)*(Inputs!$J$7-Inputs!$I$7)))/(Inputs!$K$7^2)*Inputs!$C$11)))/(SQRT(((Inputs!$I$7+(((A14)+1)/2)*(Inputs!$J$7-Inputs!$I$7)))^2+Inputs!$C$6^2+((Inputs!$H$7+Inputs!$L$7*(((Inputs!$I$7+(((A14)+1)/2)*(Inputs!$J$7-Inputs!$I$7)))/Inputs!$K$7)^2))^2)))))/Inputs!$C$13),NA())</x:f>
        <x:v>2952.22995055283</x:v>
      </x:c>
      <x:c r="P14" s="48" t="n">
        <x:f>IF(OR(Inputs!$F$8=TRUE,Inputs!$F$8="TRUE",Inputs!$F$8=1),(-2*((1000*((((Inputs!$I$8+(((A14)+1)/2)*(Inputs!$J$8-Inputs!$I$8)))*Inputs!$C$11+((Inputs!$H$8+Inputs!$L$8*(((Inputs!$I$8+(((A14)+1)/2)*(Inputs!$J$8-Inputs!$I$8)))/Inputs!$K$8)^2))*((2*Inputs!$L$8*((Inputs!$I$8+(((A14)+1)/2)*(Inputs!$J$8-Inputs!$I$8)))/(Inputs!$K$8^2)*Inputs!$C$11)))/(SQRT(((Inputs!$I$8+(((A14)+1)/2)*(Inputs!$J$8-Inputs!$I$8)))^2+Inputs!$C$6^2+((Inputs!$H$8+Inputs!$L$8*(((Inputs!$I$8+(((A14)+1)/2)*(Inputs!$J$8-Inputs!$I$8)))/Inputs!$K$8)^2))^2)))))/Inputs!$C$13),NA())</x:f>
        <x:v>3662.9994561787107</x:v>
      </x:c>
      <x:c r="Q14" s="48" t="n">
        <x:f>IF(OR(Inputs!$F$9=TRUE,Inputs!$F$9="TRUE",Inputs!$F$9=1),(-2*((1000*((((Inputs!$I$9+(((A14)+1)/2)*(Inputs!$J$9-Inputs!$I$9)))*Inputs!$C$11+((Inputs!$H$9+Inputs!$L$9*(((Inputs!$I$9+(((A14)+1)/2)*(Inputs!$J$9-Inputs!$I$9)))/Inputs!$K$9)^2))*((2*Inputs!$L$9*((Inputs!$I$9+(((A14)+1)/2)*(Inputs!$J$9-Inputs!$I$9)))/(Inputs!$K$9^2)*Inputs!$C$11)))/(SQRT(((Inputs!$I$9+(((A14)+1)/2)*(Inputs!$J$9-Inputs!$I$9)))^2+Inputs!$C$6^2+((Inputs!$H$9+Inputs!$L$9*(((Inputs!$I$9+(((A14)+1)/2)*(Inputs!$J$9-Inputs!$I$9)))/Inputs!$K$9)^2))^2)))))/Inputs!$C$13),NA())</x:f>
        <x:v>3688.6956647181805</x:v>
      </x:c>
      <x:c r="R14" s="49"/>
      <x:c r="S14" s="48" t="n">
        <x:f>A14</x:f>
        <x:v>-0.9</x:v>
      </x:c>
      <x:c r="T14" s="48" t="n">
        <x:f>(Inputs!$I$6+(((A14)+1)/2)*(Inputs!$J$6-Inputs!$I$6))</x:f>
        <x:v>-54</x:v>
      </x:c>
      <x:c r="U14" s="48" t="n">
        <x:f>(Inputs!$I$7+(((A14)+1)/2)*(Inputs!$J$7-Inputs!$I$7))</x:f>
        <x:v>-360</x:v>
      </x:c>
      <x:c r="V14" s="48" t="n">
        <x:f>(Inputs!$I$8+(((A14)+1)/2)*(Inputs!$J$8-Inputs!$I$8))</x:f>
        <x:v>-720</x:v>
      </x:c>
      <x:c r="W14" s="48" t="n">
        <x:f>(Inputs!$I$9+(((A14)+1)/2)*(Inputs!$J$9-Inputs!$I$9))</x:f>
        <x:v>-720</x:v>
      </x:c>
      <x:c r="X14" s="49"/>
      <x:c r="Y14" s="48" t="n">
        <x:f>A14</x:f>
        <x:v>-0.9</x:v>
      </x:c>
      <x:c r="Z14" s="48" t="n">
        <x:f>(Inputs!$H$6+Inputs!$L$6*(((Inputs!$I$6+(((A14)+1)/2)*(Inputs!$J$6-Inputs!$I$6)))/Inputs!$K$6)^2)</x:f>
        <x:v>403.24</x:v>
      </x:c>
      <x:c r="AA14" s="48" t="n">
        <x:f>(Inputs!$H$7+Inputs!$L$7*(((Inputs!$I$7+(((A14)+1)/2)*(Inputs!$J$7-Inputs!$I$7)))/Inputs!$K$7)^2)</x:f>
        <x:v>330.65000000000003</x:v>
      </x:c>
      <x:c r="AB14" s="48" t="n">
        <x:f>(Inputs!$H$8+Inputs!$L$8*(((Inputs!$I$8+(((A14)+1)/2)*(Inputs!$J$8-Inputs!$I$8)))/Inputs!$K$8)^2)</x:f>
        <x:v>816.6500000000001</x:v>
      </x:c>
      <x:c r="AC14" s="48" t="n">
        <x:f>(Inputs!$H$9+Inputs!$L$9*(((Inputs!$I$9+(((A14)+1)/2)*(Inputs!$J$9-Inputs!$I$9)))/Inputs!$K$9)^2)</x:f>
        <x:v>814.75</x:v>
      </x:c>
      <x:c r="AD14" s="49"/>
      <x:c r="AE14" s="48" t="n">
        <x:f>A14</x:f>
        <x:v>-0.9</x:v>
      </x:c>
      <x:c r="AF14" s="48" t="n">
        <x:f>(((SQRT(((Inputs!$I$6+(((A14)+1)/2)*(Inputs!$J$6-Inputs!$I$6)))^2+Inputs!$C$6^2+((Inputs!$H$6+Inputs!$L$6*(((Inputs!$I$6+(((A14)+1)/2)*(Inputs!$J$6-Inputs!$I$6)))/Inputs!$K$6)^2))^2))-((Inputs!$H$6+Inputs!$L$6*(((Inputs!$I$6+(((A14)+1)/2)*(Inputs!$J$6-Inputs!$I$6)))/Inputs!$K$6)^2)))*1000/Inputs!$C$12)</x:f>
        <x:v>2453.3922539609484</x:v>
      </x:c>
      <x:c r="AG14" s="48" t="n">
        <x:f>(((SQRT(((Inputs!$I$7+(((A14)+1)/2)*(Inputs!$J$7-Inputs!$I$7)))^2+Inputs!$C$6^2+((Inputs!$H$7+Inputs!$L$7*(((Inputs!$I$7+(((A14)+1)/2)*(Inputs!$J$7-Inputs!$I$7)))/Inputs!$K$7)^2))^2))-((Inputs!$H$7+Inputs!$L$7*(((Inputs!$I$7+(((A14)+1)/2)*(Inputs!$J$7-Inputs!$I$7)))/Inputs!$K$7)^2)))*1000/Inputs!$C$12)</x:f>
        <x:v>89209.53463621881</x:v>
      </x:c>
      <x:c r="AH14" s="48" t="n">
        <x:f>(((SQRT(((Inputs!$I$8+(((A14)+1)/2)*(Inputs!$J$8-Inputs!$I$8)))^2+Inputs!$C$6^2+((Inputs!$H$8+Inputs!$L$8*(((Inputs!$I$8+(((A14)+1)/2)*(Inputs!$J$8-Inputs!$I$8)))/Inputs!$K$8)^2))^2))-((Inputs!$H$8+Inputs!$L$8*(((Inputs!$I$8+(((A14)+1)/2)*(Inputs!$J$8-Inputs!$I$8)))/Inputs!$K$8)^2)))*1000/Inputs!$C$12)</x:f>
        <x:v>153011.09212788116</x:v>
      </x:c>
      <x:c r="AI14" s="48" t="n">
        <x:f>(((SQRT(((Inputs!$I$9+(((A14)+1)/2)*(Inputs!$J$9-Inputs!$I$9)))^2+Inputs!$C$6^2+((Inputs!$H$9+Inputs!$L$9*(((Inputs!$I$9+(((A14)+1)/2)*(Inputs!$J$9-Inputs!$I$9)))/Inputs!$K$9)^2))^2))-((Inputs!$H$9+Inputs!$L$9*(((Inputs!$I$9+(((A14)+1)/2)*(Inputs!$J$9-Inputs!$I$9)))/Inputs!$K$9)^2)))*1000/Inputs!$C$12)</x:f>
        <x:v>153278.45929556628</x:v>
      </x:c>
      <x:c r="AJ14" s="49"/>
      <x:c r="AK14" s="48" t="n">
        <x:f>A14</x:f>
        <x:v>-0.9</x:v>
      </x:c>
      <x:c r="AL14" s="48" t="n">
        <x:f>(-2*((1000*((((Inputs!$I$6+(((A14)+1)/2)*(Inputs!$J$6-Inputs!$I$6)))*Inputs!$C$11+((Inputs!$H$6+Inputs!$L$6*(((Inputs!$I$6+(((A14)+1)/2)*(Inputs!$J$6-Inputs!$I$6)))/Inputs!$K$6)^2))*((2*Inputs!$L$6*((Inputs!$I$6+(((A14)+1)/2)*(Inputs!$J$6-Inputs!$I$6)))/(Inputs!$K$6^2)*Inputs!$C$11)))/(SQRT(((Inputs!$I$6+(((A14)+1)/2)*(Inputs!$J$6-Inputs!$I$6)))^2+Inputs!$C$6^2+((Inputs!$H$6+Inputs!$L$6*(((Inputs!$I$6+(((A14)+1)/2)*(Inputs!$J$6-Inputs!$I$6)))/Inputs!$K$6)^2))^2)))))/Inputs!$C$13)</x:f>
        <x:v>401.9118038751196</x:v>
      </x:c>
      <x:c r="AM14" s="48" t="n">
        <x:f>(-2*((1000*((((Inputs!$I$7+(((A14)+1)/2)*(Inputs!$J$7-Inputs!$I$7)))*Inputs!$C$11+((Inputs!$H$7+Inputs!$L$7*(((Inputs!$I$7+(((A14)+1)/2)*(Inputs!$J$7-Inputs!$I$7)))/Inputs!$K$7)^2))*((2*Inputs!$L$7*((Inputs!$I$7+(((A14)+1)/2)*(Inputs!$J$7-Inputs!$I$7)))/(Inputs!$K$7^2)*Inputs!$C$11)))/(SQRT(((Inputs!$I$7+(((A14)+1)/2)*(Inputs!$J$7-Inputs!$I$7)))^2+Inputs!$C$6^2+((Inputs!$H$7+Inputs!$L$7*(((Inputs!$I$7+(((A14)+1)/2)*(Inputs!$J$7-Inputs!$I$7)))/Inputs!$K$7)^2))^2)))))/Inputs!$C$13)</x:f>
        <x:v>2952.22995055283</x:v>
      </x:c>
      <x:c r="AN14" s="48" t="n">
        <x:f>(-2*((1000*((((Inputs!$I$8+(((A14)+1)/2)*(Inputs!$J$8-Inputs!$I$8)))*Inputs!$C$11+((Inputs!$H$8+Inputs!$L$8*(((Inputs!$I$8+(((A14)+1)/2)*(Inputs!$J$8-Inputs!$I$8)))/Inputs!$K$8)^2))*((2*Inputs!$L$8*((Inputs!$I$8+(((A14)+1)/2)*(Inputs!$J$8-Inputs!$I$8)))/(Inputs!$K$8^2)*Inputs!$C$11)))/(SQRT(((Inputs!$I$8+(((A14)+1)/2)*(Inputs!$J$8-Inputs!$I$8)))^2+Inputs!$C$6^2+((Inputs!$H$8+Inputs!$L$8*(((Inputs!$I$8+(((A14)+1)/2)*(Inputs!$J$8-Inputs!$I$8)))/Inputs!$K$8)^2))^2)))))/Inputs!$C$13)</x:f>
        <x:v>3662.9994561787107</x:v>
      </x:c>
      <x:c r="AO14" s="48" t="n">
        <x:f>(-2*((1000*((((Inputs!$I$9+(((A14)+1)/2)*(Inputs!$J$9-Inputs!$I$9)))*Inputs!$C$11+((Inputs!$H$9+Inputs!$L$9*(((Inputs!$I$9+(((A14)+1)/2)*(Inputs!$J$9-Inputs!$I$9)))/Inputs!$K$9)^2))*((2*Inputs!$L$9*((Inputs!$I$9+(((A14)+1)/2)*(Inputs!$J$9-Inputs!$I$9)))/(Inputs!$K$9^2)*Inputs!$C$11)))/(SQRT(((Inputs!$I$9+(((A14)+1)/2)*(Inputs!$J$9-Inputs!$I$9)))^2+Inputs!$C$6^2+((Inputs!$H$9+Inputs!$L$9*(((Inputs!$I$9+(((A14)+1)/2)*(Inputs!$J$9-Inputs!$I$9)))/Inputs!$K$9)^2))^2)))))/Inputs!$C$13)</x:f>
        <x:v>3688.6956647181805</x:v>
      </x:c>
    </x:row>
    <x:row r="15">
      <x:c r="A15" s="48" t="n">
        <x:f>ROUND(-1+13*2/240,3)</x:f>
        <x:v>-0.892</x:v>
      </x:c>
      <x:c r="B15" s="48" t="n">
        <x:f>IF(OR(Inputs!$F$6=TRUE,Inputs!$F$6="TRUE",Inputs!$F$6=1),(Inputs!$H$6+Inputs!$L$6*(((Inputs!$I$6+(((A15)+1)/2)*(Inputs!$J$6-Inputs!$I$6)))/Inputs!$K$6)^2),NA())</x:f>
        <x:v>403.182656</x:v>
      </x:c>
      <x:c r="C15" s="48" t="n">
        <x:f>IF(OR(Inputs!$F$7=TRUE,Inputs!$F$7="TRUE",Inputs!$F$7=1),(Inputs!$H$7+Inputs!$L$7*(((Inputs!$I$7+(((A15)+1)/2)*(Inputs!$J$7-Inputs!$I$7)))/Inputs!$K$7)^2),NA())</x:f>
        <x:v>325.41736000000003</x:v>
      </x:c>
      <x:c r="D15" s="48" t="n">
        <x:f>IF(OR(Inputs!$F$8=TRUE,Inputs!$F$8="TRUE",Inputs!$F$8=1),(Inputs!$H$8+Inputs!$L$8*(((Inputs!$I$8+(((A15)+1)/2)*(Inputs!$J$8-Inputs!$I$8)))/Inputs!$K$8)^2),NA())</x:f>
        <x:v>802.8157600000001</x:v>
      </x:c>
      <x:c r="E15" s="48" t="n">
        <x:f>IF(OR(Inputs!$F$9=TRUE,Inputs!$F$9="TRUE",Inputs!$F$9=1),(Inputs!$H$9+Inputs!$L$9*(((Inputs!$I$9+(((A15)+1)/2)*(Inputs!$J$9-Inputs!$I$9)))/Inputs!$K$9)^2),NA())</x:f>
        <x:v>800.7724000000001</x:v>
      </x:c>
      <x:c r="F15" s="49"/>
      <x:c r="G15" s="48" t="n">
        <x:f>A15</x:f>
        <x:v>-0.892</x:v>
      </x:c>
      <x:c r="H15" s="48" t="n">
        <x:f>IF(OR(Inputs!$F$6=TRUE,Inputs!$F$6="TRUE",Inputs!$F$6=1),(((SQRT(((Inputs!$I$6+(((A15)+1)/2)*(Inputs!$J$6-Inputs!$I$6)))^2+Inputs!$C$6^2+((Inputs!$H$6+Inputs!$L$6*(((Inputs!$I$6+(((A15)+1)/2)*(Inputs!$J$6-Inputs!$I$6)))/Inputs!$K$6)^2))^2))-((Inputs!$H$6+Inputs!$L$6*(((Inputs!$I$6+(((A15)+1)/2)*(Inputs!$J$6-Inputs!$I$6)))/Inputs!$K$6)^2)))*1000/Inputs!$C$12),NA())</x:f>
        <x:v>2418.163431359855</x:v>
      </x:c>
      <x:c r="I15" s="48" t="n">
        <x:f>IF(OR(Inputs!$F$7=TRUE,Inputs!$F$7="TRUE",Inputs!$F$7=1),(((SQRT(((Inputs!$I$7+(((A15)+1)/2)*(Inputs!$J$7-Inputs!$I$7)))^2+Inputs!$C$6^2+((Inputs!$H$7+Inputs!$L$7*(((Inputs!$I$7+(((A15)+1)/2)*(Inputs!$J$7-Inputs!$I$7)))/Inputs!$K$7)^2))^2))-((Inputs!$H$7+Inputs!$L$7*(((Inputs!$I$7+(((A15)+1)/2)*(Inputs!$J$7-Inputs!$I$7)))/Inputs!$K$7)^2)))*1000/Inputs!$C$12),NA())</x:f>
        <x:v>88842.68372113182</x:v>
      </x:c>
      <x:c r="J15" s="48" t="n">
        <x:f>IF(OR(Inputs!$F$8=TRUE,Inputs!$F$8="TRUE",Inputs!$F$8=1),(((SQRT(((Inputs!$I$8+(((A15)+1)/2)*(Inputs!$J$8-Inputs!$I$8)))^2+Inputs!$C$6^2+((Inputs!$H$8+Inputs!$L$8*(((Inputs!$I$8+(((A15)+1)/2)*(Inputs!$J$8-Inputs!$I$8)))/Inputs!$K$8)^2))^2))-((Inputs!$H$8+Inputs!$L$8*(((Inputs!$I$8+(((A15)+1)/2)*(Inputs!$J$8-Inputs!$I$8)))/Inputs!$K$8)^2)))*1000/Inputs!$C$12),NA())</x:f>
        <x:v>152582.66940985864</x:v>
      </x:c>
      <x:c r="K15" s="48" t="n">
        <x:f>IF(OR(Inputs!$F$9=TRUE,Inputs!$F$9="TRUE",Inputs!$F$9=1),(((SQRT(((Inputs!$I$9+(((A15)+1)/2)*(Inputs!$J$9-Inputs!$I$9)))^2+Inputs!$C$6^2+((Inputs!$H$9+Inputs!$L$9*(((Inputs!$I$9+(((A15)+1)/2)*(Inputs!$J$9-Inputs!$I$9)))/Inputs!$K$9)^2))^2))-((Inputs!$H$9+Inputs!$L$9*(((Inputs!$I$9+(((A15)+1)/2)*(Inputs!$J$9-Inputs!$I$9)))/Inputs!$K$9)^2)))*1000/Inputs!$C$12),NA())</x:f>
        <x:v>152873.3398484537</x:v>
      </x:c>
      <x:c r="L15" s="49"/>
      <x:c r="M15" s="48" t="n">
        <x:f>A15</x:f>
        <x:v>-0.892</x:v>
      </x:c>
      <x:c r="N15" s="48" t="n">
        <x:f>IF(OR(Inputs!$F$6=TRUE,Inputs!$F$6="TRUE",Inputs!$F$6=1),(-2*((1000*((((Inputs!$I$6+(((A15)+1)/2)*(Inputs!$J$6-Inputs!$I$6)))*Inputs!$C$11+((Inputs!$H$6+Inputs!$L$6*(((Inputs!$I$6+(((A15)+1)/2)*(Inputs!$J$6-Inputs!$I$6)))/Inputs!$K$6)^2))*((2*Inputs!$L$6*((Inputs!$I$6+(((A15)+1)/2)*(Inputs!$J$6-Inputs!$I$6)))/(Inputs!$K$6^2)*Inputs!$C$11)))/(SQRT(((Inputs!$I$6+(((A15)+1)/2)*(Inputs!$J$6-Inputs!$I$6)))^2+Inputs!$C$6^2+((Inputs!$H$6+Inputs!$L$6*(((Inputs!$I$6+(((A15)+1)/2)*(Inputs!$J$6-Inputs!$I$6)))/Inputs!$K$6)^2))^2)))))/Inputs!$C$13),NA())</x:f>
        <x:v>398.42983154982005</x:v>
      </x:c>
      <x:c r="O15" s="48" t="n">
        <x:f>IF(OR(Inputs!$F$7=TRUE,Inputs!$F$7="TRUE",Inputs!$F$7=1),(-2*((1000*((((Inputs!$I$7+(((A15)+1)/2)*(Inputs!$J$7-Inputs!$I$7)))*Inputs!$C$11+((Inputs!$H$7+Inputs!$L$7*(((Inputs!$I$7+(((A15)+1)/2)*(Inputs!$J$7-Inputs!$I$7)))/Inputs!$K$7)^2))*((2*Inputs!$L$7*((Inputs!$I$7+(((A15)+1)/2)*(Inputs!$J$7-Inputs!$I$7)))/(Inputs!$K$7^2)*Inputs!$C$11)))/(SQRT(((Inputs!$I$7+(((A15)+1)/2)*(Inputs!$J$7-Inputs!$I$7)))^2+Inputs!$C$6^2+((Inputs!$H$7+Inputs!$L$7*(((Inputs!$I$7+(((A15)+1)/2)*(Inputs!$J$7-Inputs!$I$7)))/Inputs!$K$7)^2))^2)))))/Inputs!$C$13),NA())</x:f>
        <x:v>2933.416502955736</x:v>
      </x:c>
      <x:c r="P15" s="48" t="n">
        <x:f>IF(OR(Inputs!$F$8=TRUE,Inputs!$F$8="TRUE",Inputs!$F$8=1),(-2*((1000*((((Inputs!$I$8+(((A15)+1)/2)*(Inputs!$J$8-Inputs!$I$8)))*Inputs!$C$11+((Inputs!$H$8+Inputs!$L$8*(((Inputs!$I$8+(((A15)+1)/2)*(Inputs!$J$8-Inputs!$I$8)))/Inputs!$K$8)^2))*((2*Inputs!$L$8*((Inputs!$I$8+(((A15)+1)/2)*(Inputs!$J$8-Inputs!$I$8)))/(Inputs!$K$8^2)*Inputs!$C$11)))/(SQRT(((Inputs!$I$8+(((A15)+1)/2)*(Inputs!$J$8-Inputs!$I$8)))^2+Inputs!$C$6^2+((Inputs!$H$8+Inputs!$L$8*(((Inputs!$I$8+(((A15)+1)/2)*(Inputs!$J$8-Inputs!$I$8)))/Inputs!$K$8)^2))^2)))))/Inputs!$C$13),NA())</x:f>
        <x:v>3635.4282023081128</x:v>
      </x:c>
      <x:c r="Q15" s="48" t="n">
        <x:f>IF(OR(Inputs!$F$9=TRUE,Inputs!$F$9="TRUE",Inputs!$F$9=1),(-2*((1000*((((Inputs!$I$9+(((A15)+1)/2)*(Inputs!$J$9-Inputs!$I$9)))*Inputs!$C$11+((Inputs!$H$9+Inputs!$L$9*(((Inputs!$I$9+(((A15)+1)/2)*(Inputs!$J$9-Inputs!$I$9)))/Inputs!$K$9)^2))*((2*Inputs!$L$9*((Inputs!$I$9+(((A15)+1)/2)*(Inputs!$J$9-Inputs!$I$9)))/(Inputs!$K$9^2)*Inputs!$C$11)))/(SQRT(((Inputs!$I$9+(((A15)+1)/2)*(Inputs!$J$9-Inputs!$I$9)))^2+Inputs!$C$6^2+((Inputs!$H$9+Inputs!$L$9*(((Inputs!$I$9+(((A15)+1)/2)*(Inputs!$J$9-Inputs!$I$9)))/Inputs!$K$9)^2))^2)))))/Inputs!$C$13),NA())</x:f>
        <x:v>3660.671838425008</x:v>
      </x:c>
      <x:c r="R15" s="49"/>
      <x:c r="S15" s="48" t="n">
        <x:f>A15</x:f>
        <x:v>-0.892</x:v>
      </x:c>
      <x:c r="T15" s="48" t="n">
        <x:f>(Inputs!$I$6+(((A15)+1)/2)*(Inputs!$J$6-Inputs!$I$6))</x:f>
        <x:v>-53.52</x:v>
      </x:c>
      <x:c r="U15" s="48" t="n">
        <x:f>(Inputs!$I$7+(((A15)+1)/2)*(Inputs!$J$7-Inputs!$I$7))</x:f>
        <x:v>-356.8</x:v>
      </x:c>
      <x:c r="V15" s="48" t="n">
        <x:f>(Inputs!$I$8+(((A15)+1)/2)*(Inputs!$J$8-Inputs!$I$8))</x:f>
        <x:v>-713.6</x:v>
      </x:c>
      <x:c r="W15" s="48" t="n">
        <x:f>(Inputs!$I$9+(((A15)+1)/2)*(Inputs!$J$9-Inputs!$I$9))</x:f>
        <x:v>-713.6</x:v>
      </x:c>
      <x:c r="X15" s="49"/>
      <x:c r="Y15" s="48" t="n">
        <x:f>A15</x:f>
        <x:v>-0.892</x:v>
      </x:c>
      <x:c r="Z15" s="48" t="n">
        <x:f>(Inputs!$H$6+Inputs!$L$6*(((Inputs!$I$6+(((A15)+1)/2)*(Inputs!$J$6-Inputs!$I$6)))/Inputs!$K$6)^2)</x:f>
        <x:v>403.182656</x:v>
      </x:c>
      <x:c r="AA15" s="48" t="n">
        <x:f>(Inputs!$H$7+Inputs!$L$7*(((Inputs!$I$7+(((A15)+1)/2)*(Inputs!$J$7-Inputs!$I$7)))/Inputs!$K$7)^2)</x:f>
        <x:v>325.41736000000003</x:v>
      </x:c>
      <x:c r="AB15" s="48" t="n">
        <x:f>(Inputs!$H$8+Inputs!$L$8*(((Inputs!$I$8+(((A15)+1)/2)*(Inputs!$J$8-Inputs!$I$8)))/Inputs!$K$8)^2)</x:f>
        <x:v>802.8157600000001</x:v>
      </x:c>
      <x:c r="AC15" s="48" t="n">
        <x:f>(Inputs!$H$9+Inputs!$L$9*(((Inputs!$I$9+(((A15)+1)/2)*(Inputs!$J$9-Inputs!$I$9)))/Inputs!$K$9)^2)</x:f>
        <x:v>800.7724000000001</x:v>
      </x:c>
      <x:c r="AD15" s="49"/>
      <x:c r="AE15" s="48" t="n">
        <x:f>A15</x:f>
        <x:v>-0.892</x:v>
      </x:c>
      <x:c r="AF15" s="48" t="n">
        <x:f>(((SQRT(((Inputs!$I$6+(((A15)+1)/2)*(Inputs!$J$6-Inputs!$I$6)))^2+Inputs!$C$6^2+((Inputs!$H$6+Inputs!$L$6*(((Inputs!$I$6+(((A15)+1)/2)*(Inputs!$J$6-Inputs!$I$6)))/Inputs!$K$6)^2))^2))-((Inputs!$H$6+Inputs!$L$6*(((Inputs!$I$6+(((A15)+1)/2)*(Inputs!$J$6-Inputs!$I$6)))/Inputs!$K$6)^2)))*1000/Inputs!$C$12)</x:f>
        <x:v>2418.163431359855</x:v>
      </x:c>
      <x:c r="AG15" s="48" t="n">
        <x:f>(((SQRT(((Inputs!$I$7+(((A15)+1)/2)*(Inputs!$J$7-Inputs!$I$7)))^2+Inputs!$C$6^2+((Inputs!$H$7+Inputs!$L$7*(((Inputs!$I$7+(((A15)+1)/2)*(Inputs!$J$7-Inputs!$I$7)))/Inputs!$K$7)^2))^2))-((Inputs!$H$7+Inputs!$L$7*(((Inputs!$I$7+(((A15)+1)/2)*(Inputs!$J$7-Inputs!$I$7)))/Inputs!$K$7)^2)))*1000/Inputs!$C$12)</x:f>
        <x:v>88842.68372113182</x:v>
      </x:c>
      <x:c r="AH15" s="48" t="n">
        <x:f>(((SQRT(((Inputs!$I$8+(((A15)+1)/2)*(Inputs!$J$8-Inputs!$I$8)))^2+Inputs!$C$6^2+((Inputs!$H$8+Inputs!$L$8*(((Inputs!$I$8+(((A15)+1)/2)*(Inputs!$J$8-Inputs!$I$8)))/Inputs!$K$8)^2))^2))-((Inputs!$H$8+Inputs!$L$8*(((Inputs!$I$8+(((A15)+1)/2)*(Inputs!$J$8-Inputs!$I$8)))/Inputs!$K$8)^2)))*1000/Inputs!$C$12)</x:f>
        <x:v>152582.66940985864</x:v>
      </x:c>
      <x:c r="AI15" s="48" t="n">
        <x:f>(((SQRT(((Inputs!$I$9+(((A15)+1)/2)*(Inputs!$J$9-Inputs!$I$9)))^2+Inputs!$C$6^2+((Inputs!$H$9+Inputs!$L$9*(((Inputs!$I$9+(((A15)+1)/2)*(Inputs!$J$9-Inputs!$I$9)))/Inputs!$K$9)^2))^2))-((Inputs!$H$9+Inputs!$L$9*(((Inputs!$I$9+(((A15)+1)/2)*(Inputs!$J$9-Inputs!$I$9)))/Inputs!$K$9)^2)))*1000/Inputs!$C$12)</x:f>
        <x:v>152873.3398484537</x:v>
      </x:c>
      <x:c r="AJ15" s="49"/>
      <x:c r="AK15" s="48" t="n">
        <x:f>A15</x:f>
        <x:v>-0.892</x:v>
      </x:c>
      <x:c r="AL15" s="48" t="n">
        <x:f>(-2*((1000*((((Inputs!$I$6+(((A15)+1)/2)*(Inputs!$J$6-Inputs!$I$6)))*Inputs!$C$11+((Inputs!$H$6+Inputs!$L$6*(((Inputs!$I$6+(((A15)+1)/2)*(Inputs!$J$6-Inputs!$I$6)))/Inputs!$K$6)^2))*((2*Inputs!$L$6*((Inputs!$I$6+(((A15)+1)/2)*(Inputs!$J$6-Inputs!$I$6)))/(Inputs!$K$6^2)*Inputs!$C$11)))/(SQRT(((Inputs!$I$6+(((A15)+1)/2)*(Inputs!$J$6-Inputs!$I$6)))^2+Inputs!$C$6^2+((Inputs!$H$6+Inputs!$L$6*(((Inputs!$I$6+(((A15)+1)/2)*(Inputs!$J$6-Inputs!$I$6)))/Inputs!$K$6)^2))^2)))))/Inputs!$C$13)</x:f>
        <x:v>398.42983154982005</x:v>
      </x:c>
      <x:c r="AM15" s="48" t="n">
        <x:f>(-2*((1000*((((Inputs!$I$7+(((A15)+1)/2)*(Inputs!$J$7-Inputs!$I$7)))*Inputs!$C$11+((Inputs!$H$7+Inputs!$L$7*(((Inputs!$I$7+(((A15)+1)/2)*(Inputs!$J$7-Inputs!$I$7)))/Inputs!$K$7)^2))*((2*Inputs!$L$7*((Inputs!$I$7+(((A15)+1)/2)*(Inputs!$J$7-Inputs!$I$7)))/(Inputs!$K$7^2)*Inputs!$C$11)))/(SQRT(((Inputs!$I$7+(((A15)+1)/2)*(Inputs!$J$7-Inputs!$I$7)))^2+Inputs!$C$6^2+((Inputs!$H$7+Inputs!$L$7*(((Inputs!$I$7+(((A15)+1)/2)*(Inputs!$J$7-Inputs!$I$7)))/Inputs!$K$7)^2))^2)))))/Inputs!$C$13)</x:f>
        <x:v>2933.416502955736</x:v>
      </x:c>
      <x:c r="AN15" s="48" t="n">
        <x:f>(-2*((1000*((((Inputs!$I$8+(((A15)+1)/2)*(Inputs!$J$8-Inputs!$I$8)))*Inputs!$C$11+((Inputs!$H$8+Inputs!$L$8*(((Inputs!$I$8+(((A15)+1)/2)*(Inputs!$J$8-Inputs!$I$8)))/Inputs!$K$8)^2))*((2*Inputs!$L$8*((Inputs!$I$8+(((A15)+1)/2)*(Inputs!$J$8-Inputs!$I$8)))/(Inputs!$K$8^2)*Inputs!$C$11)))/(SQRT(((Inputs!$I$8+(((A15)+1)/2)*(Inputs!$J$8-Inputs!$I$8)))^2+Inputs!$C$6^2+((Inputs!$H$8+Inputs!$L$8*(((Inputs!$I$8+(((A15)+1)/2)*(Inputs!$J$8-Inputs!$I$8)))/Inputs!$K$8)^2))^2)))))/Inputs!$C$13)</x:f>
        <x:v>3635.4282023081128</x:v>
      </x:c>
      <x:c r="AO15" s="48" t="n">
        <x:f>(-2*((1000*((((Inputs!$I$9+(((A15)+1)/2)*(Inputs!$J$9-Inputs!$I$9)))*Inputs!$C$11+((Inputs!$H$9+Inputs!$L$9*(((Inputs!$I$9+(((A15)+1)/2)*(Inputs!$J$9-Inputs!$I$9)))/Inputs!$K$9)^2))*((2*Inputs!$L$9*((Inputs!$I$9+(((A15)+1)/2)*(Inputs!$J$9-Inputs!$I$9)))/(Inputs!$K$9^2)*Inputs!$C$11)))/(SQRT(((Inputs!$I$9+(((A15)+1)/2)*(Inputs!$J$9-Inputs!$I$9)))^2+Inputs!$C$6^2+((Inputs!$H$9+Inputs!$L$9*(((Inputs!$I$9+(((A15)+1)/2)*(Inputs!$J$9-Inputs!$I$9)))/Inputs!$K$9)^2))^2)))))/Inputs!$C$13)</x:f>
        <x:v>3660.671838425008</x:v>
      </x:c>
    </x:row>
    <x:row r="16">
      <x:c r="A16" s="48" t="n">
        <x:f>ROUND(-1+14*2/240,3)</x:f>
        <x:v>-0.883</x:v>
      </x:c>
      <x:c r="B16" s="48" t="n">
        <x:f>IF(OR(Inputs!$F$6=TRUE,Inputs!$F$6="TRUE",Inputs!$F$6=1),(Inputs!$H$6+Inputs!$L$6*(((Inputs!$I$6+(((A16)+1)/2)*(Inputs!$J$6-Inputs!$I$6)))/Inputs!$K$6)^2),NA())</x:f>
        <x:v>403.118756</x:v>
      </x:c>
      <x:c r="C16" s="48" t="n">
        <x:f>IF(OR(Inputs!$F$7=TRUE,Inputs!$F$7="TRUE",Inputs!$F$7=1),(Inputs!$H$7+Inputs!$L$7*(((Inputs!$I$7+(((A16)+1)/2)*(Inputs!$J$7-Inputs!$I$7)))/Inputs!$K$7)^2),NA())</x:f>
        <x:v>319.586485</x:v>
      </x:c>
      <x:c r="D16" s="48" t="n">
        <x:f>IF(OR(Inputs!$F$8=TRUE,Inputs!$F$8="TRUE",Inputs!$F$8=1),(Inputs!$H$8+Inputs!$L$8*(((Inputs!$I$8+(((A16)+1)/2)*(Inputs!$J$8-Inputs!$I$8)))/Inputs!$K$8)^2),NA())</x:f>
        <x:v>787.3998849999999</x:v>
      </x:c>
      <x:c r="E16" s="48" t="n">
        <x:f>IF(OR(Inputs!$F$9=TRUE,Inputs!$F$9="TRUE",Inputs!$F$9=1),(Inputs!$H$9+Inputs!$L$9*(((Inputs!$I$9+(((A16)+1)/2)*(Inputs!$J$9-Inputs!$I$9)))/Inputs!$K$9)^2),NA())</x:f>
        <x:v>785.196775</x:v>
      </x:c>
      <x:c r="F16" s="49"/>
      <x:c r="G16" s="48" t="n">
        <x:f>A16</x:f>
        <x:v>-0.883</x:v>
      </x:c>
      <x:c r="H16" s="48" t="n">
        <x:f>IF(OR(Inputs!$F$6=TRUE,Inputs!$F$6="TRUE",Inputs!$F$6=1),(((SQRT(((Inputs!$I$6+(((A16)+1)/2)*(Inputs!$J$6-Inputs!$I$6)))^2+Inputs!$C$6^2+((Inputs!$H$6+Inputs!$L$6*(((Inputs!$I$6+(((A16)+1)/2)*(Inputs!$J$6-Inputs!$I$6)))/Inputs!$K$6)^2))^2))-((Inputs!$H$6+Inputs!$L$6*(((Inputs!$I$6+(((A16)+1)/2)*(Inputs!$J$6-Inputs!$I$6)))/Inputs!$K$6)^2)))*1000/Inputs!$C$12),NA())</x:f>
        <x:v>2378.888910432456</x:v>
      </x:c>
      <x:c r="I16" s="48" t="n">
        <x:f>IF(OR(Inputs!$F$7=TRUE,Inputs!$F$7="TRUE",Inputs!$F$7=1),(((SQRT(((Inputs!$I$7+(((A16)+1)/2)*(Inputs!$J$7-Inputs!$I$7)))^2+Inputs!$C$6^2+((Inputs!$H$7+Inputs!$L$7*(((Inputs!$I$7+(((A16)+1)/2)*(Inputs!$J$7-Inputs!$I$7)))/Inputs!$K$7)^2))^2))-((Inputs!$H$7+Inputs!$L$7*(((Inputs!$I$7+(((A16)+1)/2)*(Inputs!$J$7-Inputs!$I$7)))/Inputs!$K$7)^2)))*1000/Inputs!$C$12),NA())</x:f>
        <x:v>88423.81830444332</x:v>
      </x:c>
      <x:c r="J16" s="48" t="n">
        <x:f>IF(OR(Inputs!$F$8=TRUE,Inputs!$F$8="TRUE",Inputs!$F$8=1),(((SQRT(((Inputs!$I$8+(((A16)+1)/2)*(Inputs!$J$8-Inputs!$I$8)))^2+Inputs!$C$6^2+((Inputs!$H$8+Inputs!$L$8*(((Inputs!$I$8+(((A16)+1)/2)*(Inputs!$J$8-Inputs!$I$8)))/Inputs!$K$8)^2))^2))-((Inputs!$H$8+Inputs!$L$8*(((Inputs!$I$8+(((A16)+1)/2)*(Inputs!$J$8-Inputs!$I$8)))/Inputs!$K$8)^2)))*1000/Inputs!$C$12),NA())</x:f>
        <x:v>152091.70553919495</x:v>
      </x:c>
      <x:c r="K16" s="48" t="n">
        <x:f>IF(OR(Inputs!$F$9=TRUE,Inputs!$F$9="TRUE",Inputs!$F$9=1),(((SQRT(((Inputs!$I$9+(((A16)+1)/2)*(Inputs!$J$9-Inputs!$I$9)))^2+Inputs!$C$6^2+((Inputs!$H$9+Inputs!$L$9*(((Inputs!$I$9+(((A16)+1)/2)*(Inputs!$J$9-Inputs!$I$9)))/Inputs!$K$9)^2))^2))-((Inputs!$H$9+Inputs!$L$9*(((Inputs!$I$9+(((A16)+1)/2)*(Inputs!$J$9-Inputs!$I$9)))/Inputs!$K$9)^2)))*1000/Inputs!$C$12),NA())</x:f>
        <x:v>152408.95038778541</x:v>
      </x:c>
      <x:c r="L16" s="49"/>
      <x:c r="M16" s="48" t="n">
        <x:f>A16</x:f>
        <x:v>-0.883</x:v>
      </x:c>
      <x:c r="N16" s="48" t="n">
        <x:f>IF(OR(Inputs!$F$6=TRUE,Inputs!$F$6="TRUE",Inputs!$F$6=1),(-2*((1000*((((Inputs!$I$6+(((A16)+1)/2)*(Inputs!$J$6-Inputs!$I$6)))*Inputs!$C$11+((Inputs!$H$6+Inputs!$L$6*(((Inputs!$I$6+(((A16)+1)/2)*(Inputs!$J$6-Inputs!$I$6)))/Inputs!$K$6)^2))*((2*Inputs!$L$6*((Inputs!$I$6+(((A16)+1)/2)*(Inputs!$J$6-Inputs!$I$6)))/(Inputs!$K$6^2)*Inputs!$C$11)))/(SQRT(((Inputs!$I$6+(((A16)+1)/2)*(Inputs!$J$6-Inputs!$I$6)))^2+Inputs!$C$6^2+((Inputs!$H$6+Inputs!$L$6*(((Inputs!$I$6+(((A16)+1)/2)*(Inputs!$J$6-Inputs!$I$6)))/Inputs!$K$6)^2))^2)))))/Inputs!$C$13),NA())</x:f>
        <x:v>394.50980714850186</x:v>
      </x:c>
      <x:c r="O16" s="48" t="n">
        <x:f>IF(OR(Inputs!$F$7=TRUE,Inputs!$F$7="TRUE",Inputs!$F$7=1),(-2*((1000*((((Inputs!$I$7+(((A16)+1)/2)*(Inputs!$J$7-Inputs!$I$7)))*Inputs!$C$11+((Inputs!$H$7+Inputs!$L$7*(((Inputs!$I$7+(((A16)+1)/2)*(Inputs!$J$7-Inputs!$I$7)))/Inputs!$K$7)^2))*((2*Inputs!$L$7*((Inputs!$I$7+(((A16)+1)/2)*(Inputs!$J$7-Inputs!$I$7)))/(Inputs!$K$7^2)*Inputs!$C$11)))/(SQRT(((Inputs!$I$7+(((A16)+1)/2)*(Inputs!$J$7-Inputs!$I$7)))^2+Inputs!$C$6^2+((Inputs!$H$7+Inputs!$L$7*(((Inputs!$I$7+(((A16)+1)/2)*(Inputs!$J$7-Inputs!$I$7)))/Inputs!$K$7)^2))^2)))))/Inputs!$C$13),NA())</x:f>
        <x:v>2912.33687366577</x:v>
      </x:c>
      <x:c r="P16" s="48" t="n">
        <x:f>IF(OR(Inputs!$F$8=TRUE,Inputs!$F$8="TRUE",Inputs!$F$8=1),(-2*((1000*((((Inputs!$I$8+(((A16)+1)/2)*(Inputs!$J$8-Inputs!$I$8)))*Inputs!$C$11+((Inputs!$H$8+Inputs!$L$8*(((Inputs!$I$8+(((A16)+1)/2)*(Inputs!$J$8-Inputs!$I$8)))/Inputs!$K$8)^2))*((2*Inputs!$L$8*((Inputs!$I$8+(((A16)+1)/2)*(Inputs!$J$8-Inputs!$I$8)))/(Inputs!$K$8^2)*Inputs!$C$11)))/(SQRT(((Inputs!$I$8+(((A16)+1)/2)*(Inputs!$J$8-Inputs!$I$8)))^2+Inputs!$C$6^2+((Inputs!$H$8+Inputs!$L$8*(((Inputs!$I$8+(((A16)+1)/2)*(Inputs!$J$8-Inputs!$I$8)))/Inputs!$K$8)^2))^2)))))/Inputs!$C$13),NA())</x:f>
        <x:v>3604.4936027267554</x:v>
      </x:c>
      <x:c r="Q16" s="48" t="n">
        <x:f>IF(OR(Inputs!$F$9=TRUE,Inputs!$F$9="TRUE",Inputs!$F$9=1),(-2*((1000*((((Inputs!$I$9+(((A16)+1)/2)*(Inputs!$J$9-Inputs!$I$9)))*Inputs!$C$11+((Inputs!$H$9+Inputs!$L$9*(((Inputs!$I$9+(((A16)+1)/2)*(Inputs!$J$9-Inputs!$I$9)))/Inputs!$K$9)^2))*((2*Inputs!$L$9*((Inputs!$I$9+(((A16)+1)/2)*(Inputs!$J$9-Inputs!$I$9)))/(Inputs!$K$9^2)*Inputs!$C$11)))/(SQRT(((Inputs!$I$9+(((A16)+1)/2)*(Inputs!$J$9-Inputs!$I$9)))^2+Inputs!$C$6^2+((Inputs!$H$9+Inputs!$L$9*(((Inputs!$I$9+(((A16)+1)/2)*(Inputs!$J$9-Inputs!$I$9)))/Inputs!$K$9)^2))^2)))))/Inputs!$C$13),NA())</x:f>
        <x:v>3629.2263482727562</x:v>
      </x:c>
      <x:c r="R16" s="49"/>
      <x:c r="S16" s="48" t="n">
        <x:f>A16</x:f>
        <x:v>-0.883</x:v>
      </x:c>
      <x:c r="T16" s="48" t="n">
        <x:f>(Inputs!$I$6+(((A16)+1)/2)*(Inputs!$J$6-Inputs!$I$6))</x:f>
        <x:v>-52.980000000000004</x:v>
      </x:c>
      <x:c r="U16" s="48" t="n">
        <x:f>(Inputs!$I$7+(((A16)+1)/2)*(Inputs!$J$7-Inputs!$I$7))</x:f>
        <x:v>-353.2</x:v>
      </x:c>
      <x:c r="V16" s="48" t="n">
        <x:f>(Inputs!$I$8+(((A16)+1)/2)*(Inputs!$J$8-Inputs!$I$8))</x:f>
        <x:v>-706.4</x:v>
      </x:c>
      <x:c r="W16" s="48" t="n">
        <x:f>(Inputs!$I$9+(((A16)+1)/2)*(Inputs!$J$9-Inputs!$I$9))</x:f>
        <x:v>-706.4</x:v>
      </x:c>
      <x:c r="X16" s="49"/>
      <x:c r="Y16" s="48" t="n">
        <x:f>A16</x:f>
        <x:v>-0.883</x:v>
      </x:c>
      <x:c r="Z16" s="48" t="n">
        <x:f>(Inputs!$H$6+Inputs!$L$6*(((Inputs!$I$6+(((A16)+1)/2)*(Inputs!$J$6-Inputs!$I$6)))/Inputs!$K$6)^2)</x:f>
        <x:v>403.118756</x:v>
      </x:c>
      <x:c r="AA16" s="48" t="n">
        <x:f>(Inputs!$H$7+Inputs!$L$7*(((Inputs!$I$7+(((A16)+1)/2)*(Inputs!$J$7-Inputs!$I$7)))/Inputs!$K$7)^2)</x:f>
        <x:v>319.586485</x:v>
      </x:c>
      <x:c r="AB16" s="48" t="n">
        <x:f>(Inputs!$H$8+Inputs!$L$8*(((Inputs!$I$8+(((A16)+1)/2)*(Inputs!$J$8-Inputs!$I$8)))/Inputs!$K$8)^2)</x:f>
        <x:v>787.3998849999999</x:v>
      </x:c>
      <x:c r="AC16" s="48" t="n">
        <x:f>(Inputs!$H$9+Inputs!$L$9*(((Inputs!$I$9+(((A16)+1)/2)*(Inputs!$J$9-Inputs!$I$9)))/Inputs!$K$9)^2)</x:f>
        <x:v>785.196775</x:v>
      </x:c>
      <x:c r="AD16" s="49"/>
      <x:c r="AE16" s="48" t="n">
        <x:f>A16</x:f>
        <x:v>-0.883</x:v>
      </x:c>
      <x:c r="AF16" s="48" t="n">
        <x:f>(((SQRT(((Inputs!$I$6+(((A16)+1)/2)*(Inputs!$J$6-Inputs!$I$6)))^2+Inputs!$C$6^2+((Inputs!$H$6+Inputs!$L$6*(((Inputs!$I$6+(((A16)+1)/2)*(Inputs!$J$6-Inputs!$I$6)))/Inputs!$K$6)^2))^2))-((Inputs!$H$6+Inputs!$L$6*(((Inputs!$I$6+(((A16)+1)/2)*(Inputs!$J$6-Inputs!$I$6)))/Inputs!$K$6)^2)))*1000/Inputs!$C$12)</x:f>
        <x:v>2378.888910432456</x:v>
      </x:c>
      <x:c r="AG16" s="48" t="n">
        <x:f>(((SQRT(((Inputs!$I$7+(((A16)+1)/2)*(Inputs!$J$7-Inputs!$I$7)))^2+Inputs!$C$6^2+((Inputs!$H$7+Inputs!$L$7*(((Inputs!$I$7+(((A16)+1)/2)*(Inputs!$J$7-Inputs!$I$7)))/Inputs!$K$7)^2))^2))-((Inputs!$H$7+Inputs!$L$7*(((Inputs!$I$7+(((A16)+1)/2)*(Inputs!$J$7-Inputs!$I$7)))/Inputs!$K$7)^2)))*1000/Inputs!$C$12)</x:f>
        <x:v>88423.81830444332</x:v>
      </x:c>
      <x:c r="AH16" s="48" t="n">
        <x:f>(((SQRT(((Inputs!$I$8+(((A16)+1)/2)*(Inputs!$J$8-Inputs!$I$8)))^2+Inputs!$C$6^2+((Inputs!$H$8+Inputs!$L$8*(((Inputs!$I$8+(((A16)+1)/2)*(Inputs!$J$8-Inputs!$I$8)))/Inputs!$K$8)^2))^2))-((Inputs!$H$8+Inputs!$L$8*(((Inputs!$I$8+(((A16)+1)/2)*(Inputs!$J$8-Inputs!$I$8)))/Inputs!$K$8)^2)))*1000/Inputs!$C$12)</x:f>
        <x:v>152091.70553919495</x:v>
      </x:c>
      <x:c r="AI16" s="48" t="n">
        <x:f>(((SQRT(((Inputs!$I$9+(((A16)+1)/2)*(Inputs!$J$9-Inputs!$I$9)))^2+Inputs!$C$6^2+((Inputs!$H$9+Inputs!$L$9*(((Inputs!$I$9+(((A16)+1)/2)*(Inputs!$J$9-Inputs!$I$9)))/Inputs!$K$9)^2))^2))-((Inputs!$H$9+Inputs!$L$9*(((Inputs!$I$9+(((A16)+1)/2)*(Inputs!$J$9-Inputs!$I$9)))/Inputs!$K$9)^2)))*1000/Inputs!$C$12)</x:f>
        <x:v>152408.95038778541</x:v>
      </x:c>
      <x:c r="AJ16" s="49"/>
      <x:c r="AK16" s="48" t="n">
        <x:f>A16</x:f>
        <x:v>-0.883</x:v>
      </x:c>
      <x:c r="AL16" s="48" t="n">
        <x:f>(-2*((1000*((((Inputs!$I$6+(((A16)+1)/2)*(Inputs!$J$6-Inputs!$I$6)))*Inputs!$C$11+((Inputs!$H$6+Inputs!$L$6*(((Inputs!$I$6+(((A16)+1)/2)*(Inputs!$J$6-Inputs!$I$6)))/Inputs!$K$6)^2))*((2*Inputs!$L$6*((Inputs!$I$6+(((A16)+1)/2)*(Inputs!$J$6-Inputs!$I$6)))/(Inputs!$K$6^2)*Inputs!$C$11)))/(SQRT(((Inputs!$I$6+(((A16)+1)/2)*(Inputs!$J$6-Inputs!$I$6)))^2+Inputs!$C$6^2+((Inputs!$H$6+Inputs!$L$6*(((Inputs!$I$6+(((A16)+1)/2)*(Inputs!$J$6-Inputs!$I$6)))/Inputs!$K$6)^2))^2)))))/Inputs!$C$13)</x:f>
        <x:v>394.50980714850186</x:v>
      </x:c>
      <x:c r="AM16" s="48" t="n">
        <x:f>(-2*((1000*((((Inputs!$I$7+(((A16)+1)/2)*(Inputs!$J$7-Inputs!$I$7)))*Inputs!$C$11+((Inputs!$H$7+Inputs!$L$7*(((Inputs!$I$7+(((A16)+1)/2)*(Inputs!$J$7-Inputs!$I$7)))/Inputs!$K$7)^2))*((2*Inputs!$L$7*((Inputs!$I$7+(((A16)+1)/2)*(Inputs!$J$7-Inputs!$I$7)))/(Inputs!$K$7^2)*Inputs!$C$11)))/(SQRT(((Inputs!$I$7+(((A16)+1)/2)*(Inputs!$J$7-Inputs!$I$7)))^2+Inputs!$C$6^2+((Inputs!$H$7+Inputs!$L$7*(((Inputs!$I$7+(((A16)+1)/2)*(Inputs!$J$7-Inputs!$I$7)))/Inputs!$K$7)^2))^2)))))/Inputs!$C$13)</x:f>
        <x:v>2912.33687366577</x:v>
      </x:c>
      <x:c r="AN16" s="48" t="n">
        <x:f>(-2*((1000*((((Inputs!$I$8+(((A16)+1)/2)*(Inputs!$J$8-Inputs!$I$8)))*Inputs!$C$11+((Inputs!$H$8+Inputs!$L$8*(((Inputs!$I$8+(((A16)+1)/2)*(Inputs!$J$8-Inputs!$I$8)))/Inputs!$K$8)^2))*((2*Inputs!$L$8*((Inputs!$I$8+(((A16)+1)/2)*(Inputs!$J$8-Inputs!$I$8)))/(Inputs!$K$8^2)*Inputs!$C$11)))/(SQRT(((Inputs!$I$8+(((A16)+1)/2)*(Inputs!$J$8-Inputs!$I$8)))^2+Inputs!$C$6^2+((Inputs!$H$8+Inputs!$L$8*(((Inputs!$I$8+(((A16)+1)/2)*(Inputs!$J$8-Inputs!$I$8)))/Inputs!$K$8)^2))^2)))))/Inputs!$C$13)</x:f>
        <x:v>3604.4936027267554</x:v>
      </x:c>
      <x:c r="AO16" s="48" t="n">
        <x:f>(-2*((1000*((((Inputs!$I$9+(((A16)+1)/2)*(Inputs!$J$9-Inputs!$I$9)))*Inputs!$C$11+((Inputs!$H$9+Inputs!$L$9*(((Inputs!$I$9+(((A16)+1)/2)*(Inputs!$J$9-Inputs!$I$9)))/Inputs!$K$9)^2))*((2*Inputs!$L$9*((Inputs!$I$9+(((A16)+1)/2)*(Inputs!$J$9-Inputs!$I$9)))/(Inputs!$K$9^2)*Inputs!$C$11)))/(SQRT(((Inputs!$I$9+(((A16)+1)/2)*(Inputs!$J$9-Inputs!$I$9)))^2+Inputs!$C$6^2+((Inputs!$H$9+Inputs!$L$9*(((Inputs!$I$9+(((A16)+1)/2)*(Inputs!$J$9-Inputs!$I$9)))/Inputs!$K$9)^2))^2)))))/Inputs!$C$13)</x:f>
        <x:v>3629.2263482727562</x:v>
      </x:c>
    </x:row>
    <x:row r="17">
      <x:c r="A17" s="48" t="n">
        <x:f>ROUND(-1+15*2/240,3)</x:f>
        <x:v>-0.875</x:v>
      </x:c>
      <x:c r="B17" s="48" t="n">
        <x:f>IF(OR(Inputs!$F$6=TRUE,Inputs!$F$6="TRUE",Inputs!$F$6=1),(Inputs!$H$6+Inputs!$L$6*(((Inputs!$I$6+(((A17)+1)/2)*(Inputs!$J$6-Inputs!$I$6)))/Inputs!$K$6)^2),NA())</x:f>
        <x:v>403.0625</x:v>
      </x:c>
      <x:c r="C17" s="48" t="n">
        <x:f>IF(OR(Inputs!$F$7=TRUE,Inputs!$F$7="TRUE",Inputs!$F$7=1),(Inputs!$H$7+Inputs!$L$7*(((Inputs!$I$7+(((A17)+1)/2)*(Inputs!$J$7-Inputs!$I$7)))/Inputs!$K$7)^2),NA())</x:f>
        <x:v>314.453125</x:v>
      </x:c>
      <x:c r="D17" s="48" t="n">
        <x:f>IF(OR(Inputs!$F$8=TRUE,Inputs!$F$8="TRUE",Inputs!$F$8=1),(Inputs!$H$8+Inputs!$L$8*(((Inputs!$I$8+(((A17)+1)/2)*(Inputs!$J$8-Inputs!$I$8)))/Inputs!$K$8)^2),NA())</x:f>
        <x:v>773.828125</x:v>
      </x:c>
      <x:c r="E17" s="48" t="n">
        <x:f>IF(OR(Inputs!$F$9=TRUE,Inputs!$F$9="TRUE",Inputs!$F$9=1),(Inputs!$H$9+Inputs!$L$9*(((Inputs!$I$9+(((A17)+1)/2)*(Inputs!$J$9-Inputs!$I$9)))/Inputs!$K$9)^2),NA())</x:f>
        <x:v>771.484375</x:v>
      </x:c>
      <x:c r="F17" s="49"/>
      <x:c r="G17" s="48" t="n">
        <x:f>A17</x:f>
        <x:v>-0.875</x:v>
      </x:c>
      <x:c r="H17" s="48" t="n">
        <x:f>IF(OR(Inputs!$F$6=TRUE,Inputs!$F$6="TRUE",Inputs!$F$6=1),(((SQRT(((Inputs!$I$6+(((A17)+1)/2)*(Inputs!$J$6-Inputs!$I$6)))^2+Inputs!$C$6^2+((Inputs!$H$6+Inputs!$L$6*(((Inputs!$I$6+(((A17)+1)/2)*(Inputs!$J$6-Inputs!$I$6)))/Inputs!$K$6)^2))^2))-((Inputs!$H$6+Inputs!$L$6*(((Inputs!$I$6+(((A17)+1)/2)*(Inputs!$J$6-Inputs!$I$6)))/Inputs!$K$6)^2)))*1000/Inputs!$C$12),NA())</x:f>
        <x:v>2344.296798599615</x:v>
      </x:c>
      <x:c r="I17" s="48" t="n">
        <x:f>IF(OR(Inputs!$F$7=TRUE,Inputs!$F$7="TRUE",Inputs!$F$7=1),(((SQRT(((Inputs!$I$7+(((A17)+1)/2)*(Inputs!$J$7-Inputs!$I$7)))^2+Inputs!$C$6^2+((Inputs!$H$7+Inputs!$L$7*(((Inputs!$I$7+(((A17)+1)/2)*(Inputs!$J$7-Inputs!$I$7)))/Inputs!$K$7)^2))^2))-((Inputs!$H$7+Inputs!$L$7*(((Inputs!$I$7+(((A17)+1)/2)*(Inputs!$J$7-Inputs!$I$7)))/Inputs!$K$7)^2)))*1000/Inputs!$C$12),NA())</x:f>
        <x:v>88045.92994176123</x:v>
      </x:c>
      <x:c r="J17" s="48" t="n">
        <x:f>IF(OR(Inputs!$F$8=TRUE,Inputs!$F$8="TRUE",Inputs!$F$8=1),(((SQRT(((Inputs!$I$8+(((A17)+1)/2)*(Inputs!$J$8-Inputs!$I$8)))^2+Inputs!$C$6^2+((Inputs!$H$8+Inputs!$L$8*(((Inputs!$I$8+(((A17)+1)/2)*(Inputs!$J$8-Inputs!$I$8)))/Inputs!$K$8)^2))^2))-((Inputs!$H$8+Inputs!$L$8*(((Inputs!$I$8+(((A17)+1)/2)*(Inputs!$J$8-Inputs!$I$8)))/Inputs!$K$8)^2)))*1000/Inputs!$C$12),NA())</x:f>
        <x:v>151647.1287097446</x:v>
      </x:c>
      <x:c r="K17" s="48" t="n">
        <x:f>IF(OR(Inputs!$F$9=TRUE,Inputs!$F$9="TRUE",Inputs!$F$9=1),(((SQRT(((Inputs!$I$9+(((A17)+1)/2)*(Inputs!$J$9-Inputs!$I$9)))^2+Inputs!$C$6^2+((Inputs!$H$9+Inputs!$L$9*(((Inputs!$I$9+(((A17)+1)/2)*(Inputs!$J$9-Inputs!$I$9)))/Inputs!$K$9)^2))^2))-((Inputs!$H$9+Inputs!$L$9*(((Inputs!$I$9+(((A17)+1)/2)*(Inputs!$J$9-Inputs!$I$9)))/Inputs!$K$9)^2)))*1000/Inputs!$C$12),NA())</x:f>
        <x:v>151988.31730604862</x:v>
      </x:c>
      <x:c r="L17" s="49"/>
      <x:c r="M17" s="48" t="n">
        <x:f>A17</x:f>
        <x:v>-0.875</x:v>
      </x:c>
      <x:c r="N17" s="48" t="n">
        <x:f>IF(OR(Inputs!$F$6=TRUE,Inputs!$F$6="TRUE",Inputs!$F$6=1),(-2*((1000*((((Inputs!$I$6+(((A17)+1)/2)*(Inputs!$J$6-Inputs!$I$6)))*Inputs!$C$11+((Inputs!$H$6+Inputs!$L$6*(((Inputs!$I$6+(((A17)+1)/2)*(Inputs!$J$6-Inputs!$I$6)))/Inputs!$K$6)^2))*((2*Inputs!$L$6*((Inputs!$I$6+(((A17)+1)/2)*(Inputs!$J$6-Inputs!$I$6)))/(Inputs!$K$6^2)*Inputs!$C$11)))/(SQRT(((Inputs!$I$6+(((A17)+1)/2)*(Inputs!$J$6-Inputs!$I$6)))^2+Inputs!$C$6^2+((Inputs!$H$6+Inputs!$L$6*(((Inputs!$I$6+(((A17)+1)/2)*(Inputs!$J$6-Inputs!$I$6)))/Inputs!$K$6)^2))^2)))))/Inputs!$C$13),NA())</x:f>
        <x:v>391.02286674642266</x:v>
      </x:c>
      <x:c r="O17" s="48" t="n">
        <x:f>IF(OR(Inputs!$F$7=TRUE,Inputs!$F$7="TRUE",Inputs!$F$7=1),(-2*((1000*((((Inputs!$I$7+(((A17)+1)/2)*(Inputs!$J$7-Inputs!$I$7)))*Inputs!$C$11+((Inputs!$H$7+Inputs!$L$7*(((Inputs!$I$7+(((A17)+1)/2)*(Inputs!$J$7-Inputs!$I$7)))/Inputs!$K$7)^2))*((2*Inputs!$L$7*((Inputs!$I$7+(((A17)+1)/2)*(Inputs!$J$7-Inputs!$I$7)))/(Inputs!$K$7^2)*Inputs!$C$11)))/(SQRT(((Inputs!$I$7+(((A17)+1)/2)*(Inputs!$J$7-Inputs!$I$7)))^2+Inputs!$C$6^2+((Inputs!$H$7+Inputs!$L$7*(((Inputs!$I$7+(((A17)+1)/2)*(Inputs!$J$7-Inputs!$I$7)))/Inputs!$K$7)^2))^2)))))/Inputs!$C$13),NA())</x:f>
        <x:v>2893.6766185784404</x:v>
      </x:c>
      <x:c r="P17" s="48" t="n">
        <x:f>IF(OR(Inputs!$F$8=TRUE,Inputs!$F$8="TRUE",Inputs!$F$8=1),(-2*((1000*((((Inputs!$I$8+(((A17)+1)/2)*(Inputs!$J$8-Inputs!$I$8)))*Inputs!$C$11+((Inputs!$H$8+Inputs!$L$8*(((Inputs!$I$8+(((A17)+1)/2)*(Inputs!$J$8-Inputs!$I$8)))/Inputs!$K$8)^2))*((2*Inputs!$L$8*((Inputs!$I$8+(((A17)+1)/2)*(Inputs!$J$8-Inputs!$I$8)))/(Inputs!$K$8^2)*Inputs!$C$11)))/(SQRT(((Inputs!$I$8+(((A17)+1)/2)*(Inputs!$J$8-Inputs!$I$8)))^2+Inputs!$C$6^2+((Inputs!$H$8+Inputs!$L$8*(((Inputs!$I$8+(((A17)+1)/2)*(Inputs!$J$8-Inputs!$I$8)))/Inputs!$K$8)^2))^2)))))/Inputs!$C$13),NA())</x:f>
        <x:v>3577.0717806189364</x:v>
      </x:c>
      <x:c r="Q17" s="48" t="n">
        <x:f>IF(OR(Inputs!$F$9=TRUE,Inputs!$F$9="TRUE",Inputs!$F$9=1),(-2*((1000*((((Inputs!$I$9+(((A17)+1)/2)*(Inputs!$J$9-Inputs!$I$9)))*Inputs!$C$11+((Inputs!$H$9+Inputs!$L$9*(((Inputs!$I$9+(((A17)+1)/2)*(Inputs!$J$9-Inputs!$I$9)))/Inputs!$K$9)^2))*((2*Inputs!$L$9*((Inputs!$I$9+(((A17)+1)/2)*(Inputs!$J$9-Inputs!$I$9)))/(Inputs!$K$9^2)*Inputs!$C$11)))/(SQRT(((Inputs!$I$9+(((A17)+1)/2)*(Inputs!$J$9-Inputs!$I$9)))^2+Inputs!$C$6^2+((Inputs!$H$9+Inputs!$L$9*(((Inputs!$I$9+(((A17)+1)/2)*(Inputs!$J$9-Inputs!$I$9)))/Inputs!$K$9)^2))^2)))))/Inputs!$C$13),NA())</x:f>
        <x:v>3601.348858526411</x:v>
      </x:c>
      <x:c r="R17" s="49"/>
      <x:c r="S17" s="48" t="n">
        <x:f>A17</x:f>
        <x:v>-0.875</x:v>
      </x:c>
      <x:c r="T17" s="48" t="n">
        <x:f>(Inputs!$I$6+(((A17)+1)/2)*(Inputs!$J$6-Inputs!$I$6))</x:f>
        <x:v>-52.5</x:v>
      </x:c>
      <x:c r="U17" s="48" t="n">
        <x:f>(Inputs!$I$7+(((A17)+1)/2)*(Inputs!$J$7-Inputs!$I$7))</x:f>
        <x:v>-350</x:v>
      </x:c>
      <x:c r="V17" s="48" t="n">
        <x:f>(Inputs!$I$8+(((A17)+1)/2)*(Inputs!$J$8-Inputs!$I$8))</x:f>
        <x:v>-700</x:v>
      </x:c>
      <x:c r="W17" s="48" t="n">
        <x:f>(Inputs!$I$9+(((A17)+1)/2)*(Inputs!$J$9-Inputs!$I$9))</x:f>
        <x:v>-700</x:v>
      </x:c>
      <x:c r="X17" s="49"/>
      <x:c r="Y17" s="48" t="n">
        <x:f>A17</x:f>
        <x:v>-0.875</x:v>
      </x:c>
      <x:c r="Z17" s="48" t="n">
        <x:f>(Inputs!$H$6+Inputs!$L$6*(((Inputs!$I$6+(((A17)+1)/2)*(Inputs!$J$6-Inputs!$I$6)))/Inputs!$K$6)^2)</x:f>
        <x:v>403.0625</x:v>
      </x:c>
      <x:c r="AA17" s="48" t="n">
        <x:f>(Inputs!$H$7+Inputs!$L$7*(((Inputs!$I$7+(((A17)+1)/2)*(Inputs!$J$7-Inputs!$I$7)))/Inputs!$K$7)^2)</x:f>
        <x:v>314.453125</x:v>
      </x:c>
      <x:c r="AB17" s="48" t="n">
        <x:f>(Inputs!$H$8+Inputs!$L$8*(((Inputs!$I$8+(((A17)+1)/2)*(Inputs!$J$8-Inputs!$I$8)))/Inputs!$K$8)^2)</x:f>
        <x:v>773.828125</x:v>
      </x:c>
      <x:c r="AC17" s="48" t="n">
        <x:f>(Inputs!$H$9+Inputs!$L$9*(((Inputs!$I$9+(((A17)+1)/2)*(Inputs!$J$9-Inputs!$I$9)))/Inputs!$K$9)^2)</x:f>
        <x:v>771.484375</x:v>
      </x:c>
      <x:c r="AD17" s="49"/>
      <x:c r="AE17" s="48" t="n">
        <x:f>A17</x:f>
        <x:v>-0.875</x:v>
      </x:c>
      <x:c r="AF17" s="48" t="n">
        <x:f>(((SQRT(((Inputs!$I$6+(((A17)+1)/2)*(Inputs!$J$6-Inputs!$I$6)))^2+Inputs!$C$6^2+((Inputs!$H$6+Inputs!$L$6*(((Inputs!$I$6+(((A17)+1)/2)*(Inputs!$J$6-Inputs!$I$6)))/Inputs!$K$6)^2))^2))-((Inputs!$H$6+Inputs!$L$6*(((Inputs!$I$6+(((A17)+1)/2)*(Inputs!$J$6-Inputs!$I$6)))/Inputs!$K$6)^2)))*1000/Inputs!$C$12)</x:f>
        <x:v>2344.296798599615</x:v>
      </x:c>
      <x:c r="AG17" s="48" t="n">
        <x:f>(((SQRT(((Inputs!$I$7+(((A17)+1)/2)*(Inputs!$J$7-Inputs!$I$7)))^2+Inputs!$C$6^2+((Inputs!$H$7+Inputs!$L$7*(((Inputs!$I$7+(((A17)+1)/2)*(Inputs!$J$7-Inputs!$I$7)))/Inputs!$K$7)^2))^2))-((Inputs!$H$7+Inputs!$L$7*(((Inputs!$I$7+(((A17)+1)/2)*(Inputs!$J$7-Inputs!$I$7)))/Inputs!$K$7)^2)))*1000/Inputs!$C$12)</x:f>
        <x:v>88045.92994176123</x:v>
      </x:c>
      <x:c r="AH17" s="48" t="n">
        <x:f>(((SQRT(((Inputs!$I$8+(((A17)+1)/2)*(Inputs!$J$8-Inputs!$I$8)))^2+Inputs!$C$6^2+((Inputs!$H$8+Inputs!$L$8*(((Inputs!$I$8+(((A17)+1)/2)*(Inputs!$J$8-Inputs!$I$8)))/Inputs!$K$8)^2))^2))-((Inputs!$H$8+Inputs!$L$8*(((Inputs!$I$8+(((A17)+1)/2)*(Inputs!$J$8-Inputs!$I$8)))/Inputs!$K$8)^2)))*1000/Inputs!$C$12)</x:f>
        <x:v>151647.1287097446</x:v>
      </x:c>
      <x:c r="AI17" s="48" t="n">
        <x:f>(((SQRT(((Inputs!$I$9+(((A17)+1)/2)*(Inputs!$J$9-Inputs!$I$9)))^2+Inputs!$C$6^2+((Inputs!$H$9+Inputs!$L$9*(((Inputs!$I$9+(((A17)+1)/2)*(Inputs!$J$9-Inputs!$I$9)))/Inputs!$K$9)^2))^2))-((Inputs!$H$9+Inputs!$L$9*(((Inputs!$I$9+(((A17)+1)/2)*(Inputs!$J$9-Inputs!$I$9)))/Inputs!$K$9)^2)))*1000/Inputs!$C$12)</x:f>
        <x:v>151988.31730604862</x:v>
      </x:c>
      <x:c r="AJ17" s="49"/>
      <x:c r="AK17" s="48" t="n">
        <x:f>A17</x:f>
        <x:v>-0.875</x:v>
      </x:c>
      <x:c r="AL17" s="48" t="n">
        <x:f>(-2*((1000*((((Inputs!$I$6+(((A17)+1)/2)*(Inputs!$J$6-Inputs!$I$6)))*Inputs!$C$11+((Inputs!$H$6+Inputs!$L$6*(((Inputs!$I$6+(((A17)+1)/2)*(Inputs!$J$6-Inputs!$I$6)))/Inputs!$K$6)^2))*((2*Inputs!$L$6*((Inputs!$I$6+(((A17)+1)/2)*(Inputs!$J$6-Inputs!$I$6)))/(Inputs!$K$6^2)*Inputs!$C$11)))/(SQRT(((Inputs!$I$6+(((A17)+1)/2)*(Inputs!$J$6-Inputs!$I$6)))^2+Inputs!$C$6^2+((Inputs!$H$6+Inputs!$L$6*(((Inputs!$I$6+(((A17)+1)/2)*(Inputs!$J$6-Inputs!$I$6)))/Inputs!$K$6)^2))^2)))))/Inputs!$C$13)</x:f>
        <x:v>391.02286674642266</x:v>
      </x:c>
      <x:c r="AM17" s="48" t="n">
        <x:f>(-2*((1000*((((Inputs!$I$7+(((A17)+1)/2)*(Inputs!$J$7-Inputs!$I$7)))*Inputs!$C$11+((Inputs!$H$7+Inputs!$L$7*(((Inputs!$I$7+(((A17)+1)/2)*(Inputs!$J$7-Inputs!$I$7)))/Inputs!$K$7)^2))*((2*Inputs!$L$7*((Inputs!$I$7+(((A17)+1)/2)*(Inputs!$J$7-Inputs!$I$7)))/(Inputs!$K$7^2)*Inputs!$C$11)))/(SQRT(((Inputs!$I$7+(((A17)+1)/2)*(Inputs!$J$7-Inputs!$I$7)))^2+Inputs!$C$6^2+((Inputs!$H$7+Inputs!$L$7*(((Inputs!$I$7+(((A17)+1)/2)*(Inputs!$J$7-Inputs!$I$7)))/Inputs!$K$7)^2))^2)))))/Inputs!$C$13)</x:f>
        <x:v>2893.6766185784404</x:v>
      </x:c>
      <x:c r="AN17" s="48" t="n">
        <x:f>(-2*((1000*((((Inputs!$I$8+(((A17)+1)/2)*(Inputs!$J$8-Inputs!$I$8)))*Inputs!$C$11+((Inputs!$H$8+Inputs!$L$8*(((Inputs!$I$8+(((A17)+1)/2)*(Inputs!$J$8-Inputs!$I$8)))/Inputs!$K$8)^2))*((2*Inputs!$L$8*((Inputs!$I$8+(((A17)+1)/2)*(Inputs!$J$8-Inputs!$I$8)))/(Inputs!$K$8^2)*Inputs!$C$11)))/(SQRT(((Inputs!$I$8+(((A17)+1)/2)*(Inputs!$J$8-Inputs!$I$8)))^2+Inputs!$C$6^2+((Inputs!$H$8+Inputs!$L$8*(((Inputs!$I$8+(((A17)+1)/2)*(Inputs!$J$8-Inputs!$I$8)))/Inputs!$K$8)^2))^2)))))/Inputs!$C$13)</x:f>
        <x:v>3577.0717806189364</x:v>
      </x:c>
      <x:c r="AO17" s="48" t="n">
        <x:f>(-2*((1000*((((Inputs!$I$9+(((A17)+1)/2)*(Inputs!$J$9-Inputs!$I$9)))*Inputs!$C$11+((Inputs!$H$9+Inputs!$L$9*(((Inputs!$I$9+(((A17)+1)/2)*(Inputs!$J$9-Inputs!$I$9)))/Inputs!$K$9)^2))*((2*Inputs!$L$9*((Inputs!$I$9+(((A17)+1)/2)*(Inputs!$J$9-Inputs!$I$9)))/(Inputs!$K$9^2)*Inputs!$C$11)))/(SQRT(((Inputs!$I$9+(((A17)+1)/2)*(Inputs!$J$9-Inputs!$I$9)))^2+Inputs!$C$6^2+((Inputs!$H$9+Inputs!$L$9*(((Inputs!$I$9+(((A17)+1)/2)*(Inputs!$J$9-Inputs!$I$9)))/Inputs!$K$9)^2))^2)))))/Inputs!$C$13)</x:f>
        <x:v>3601.348858526411</x:v>
      </x:c>
    </x:row>
    <x:row r="18">
      <x:c r="A18" s="48" t="n">
        <x:f>ROUND(-1+16*2/240,3)</x:f>
        <x:v>-0.867</x:v>
      </x:c>
      <x:c r="B18" s="48" t="n">
        <x:f>IF(OR(Inputs!$F$6=TRUE,Inputs!$F$6="TRUE",Inputs!$F$6=1),(Inputs!$H$6+Inputs!$L$6*(((Inputs!$I$6+(((A18)+1)/2)*(Inputs!$J$6-Inputs!$I$6)))/Inputs!$K$6)^2),NA())</x:f>
        <x:v>403.006756</x:v>
      </x:c>
      <x:c r="C18" s="48" t="n">
        <x:f>IF(OR(Inputs!$F$7=TRUE,Inputs!$F$7="TRUE",Inputs!$F$7=1),(Inputs!$H$7+Inputs!$L$7*(((Inputs!$I$7+(((A18)+1)/2)*(Inputs!$J$7-Inputs!$I$7)))/Inputs!$K$7)^2),NA())</x:f>
        <x:v>309.36648499999995</x:v>
      </x:c>
      <x:c r="D18" s="48" t="n">
        <x:f>IF(OR(Inputs!$F$8=TRUE,Inputs!$F$8="TRUE",Inputs!$F$8=1),(Inputs!$H$8+Inputs!$L$8*(((Inputs!$I$8+(((A18)+1)/2)*(Inputs!$J$8-Inputs!$I$8)))/Inputs!$K$8)^2),NA())</x:f>
        <x:v>760.379885</x:v>
      </x:c>
      <x:c r="E18" s="48" t="n">
        <x:f>IF(OR(Inputs!$F$9=TRUE,Inputs!$F$9="TRUE",Inputs!$F$9=1),(Inputs!$H$9+Inputs!$L$9*(((Inputs!$I$9+(((A18)+1)/2)*(Inputs!$J$9-Inputs!$I$9)))/Inputs!$K$9)^2),NA())</x:f>
        <x:v>757.8967749999999</x:v>
      </x:c>
      <x:c r="F18" s="49"/>
      <x:c r="G18" s="48" t="n">
        <x:f>A18</x:f>
        <x:v>-0.867</x:v>
      </x:c>
      <x:c r="H18" s="48" t="n">
        <x:f>IF(OR(Inputs!$F$6=TRUE,Inputs!$F$6="TRUE",Inputs!$F$6=1),(((SQRT(((Inputs!$I$6+(((A18)+1)/2)*(Inputs!$J$6-Inputs!$I$6)))^2+Inputs!$C$6^2+((Inputs!$H$6+Inputs!$L$6*(((Inputs!$I$6+(((A18)+1)/2)*(Inputs!$J$6-Inputs!$I$6)))/Inputs!$K$6)^2))^2))-((Inputs!$H$6+Inputs!$L$6*(((Inputs!$I$6+(((A18)+1)/2)*(Inputs!$J$6-Inputs!$I$6)))/Inputs!$K$6)^2)))*1000/Inputs!$C$12),NA())</x:f>
        <x:v>2310.0049278348683</x:v>
      </x:c>
      <x:c r="I18" s="48" t="n">
        <x:f>IF(OR(Inputs!$F$7=TRUE,Inputs!$F$7="TRUE",Inputs!$F$7=1),(((SQRT(((Inputs!$I$7+(((A18)+1)/2)*(Inputs!$J$7-Inputs!$I$7)))^2+Inputs!$C$6^2+((Inputs!$H$7+Inputs!$L$7*(((Inputs!$I$7+(((A18)+1)/2)*(Inputs!$J$7-Inputs!$I$7)))/Inputs!$K$7)^2))^2))-((Inputs!$H$7+Inputs!$L$7*(((Inputs!$I$7+(((A18)+1)/2)*(Inputs!$J$7-Inputs!$I$7)))/Inputs!$K$7)^2)))*1000/Inputs!$C$12),NA())</x:f>
        <x:v>87662.71961640367</x:v>
      </x:c>
      <x:c r="J18" s="48" t="n">
        <x:f>IF(OR(Inputs!$F$8=TRUE,Inputs!$F$8="TRUE",Inputs!$F$8=1),(((SQRT(((Inputs!$I$8+(((A18)+1)/2)*(Inputs!$J$8-Inputs!$I$8)))^2+Inputs!$C$6^2+((Inputs!$H$8+Inputs!$L$8*(((Inputs!$I$8+(((A18)+1)/2)*(Inputs!$J$8-Inputs!$I$8)))/Inputs!$K$8)^2))^2))-((Inputs!$H$8+Inputs!$L$8*(((Inputs!$I$8+(((A18)+1)/2)*(Inputs!$J$8-Inputs!$I$8)))/Inputs!$K$8)^2)))*1000/Inputs!$C$12),NA())</x:f>
        <x:v>151194.69914380208</x:v>
      </x:c>
      <x:c r="K18" s="48" t="n">
        <x:f>IF(OR(Inputs!$F$9=TRUE,Inputs!$F$9="TRUE",Inputs!$F$9=1),(((SQRT(((Inputs!$I$9+(((A18)+1)/2)*(Inputs!$J$9-Inputs!$I$9)))^2+Inputs!$C$6^2+((Inputs!$H$9+Inputs!$L$9*(((Inputs!$I$9+(((A18)+1)/2)*(Inputs!$J$9-Inputs!$I$9)))/Inputs!$K$9)^2))^2))-((Inputs!$H$9+Inputs!$L$9*(((Inputs!$I$9+(((A18)+1)/2)*(Inputs!$J$9-Inputs!$I$9)))/Inputs!$K$9)^2)))*1000/Inputs!$C$12),NA())</x:f>
        <x:v>151560.13797993344</x:v>
      </x:c>
      <x:c r="L18" s="49"/>
      <x:c r="M18" s="48" t="n">
        <x:f>A18</x:f>
        <x:v>-0.867</x:v>
      </x:c>
      <x:c r="N18" s="48" t="n">
        <x:f>IF(OR(Inputs!$F$6=TRUE,Inputs!$F$6="TRUE",Inputs!$F$6=1),(-2*((1000*((((Inputs!$I$6+(((A18)+1)/2)*(Inputs!$J$6-Inputs!$I$6)))*Inputs!$C$11+((Inputs!$H$6+Inputs!$L$6*(((Inputs!$I$6+(((A18)+1)/2)*(Inputs!$J$6-Inputs!$I$6)))/Inputs!$K$6)^2))*((2*Inputs!$L$6*((Inputs!$I$6+(((A18)+1)/2)*(Inputs!$J$6-Inputs!$I$6)))/(Inputs!$K$6^2)*Inputs!$C$11)))/(SQRT(((Inputs!$I$6+(((A18)+1)/2)*(Inputs!$J$6-Inputs!$I$6)))^2+Inputs!$C$6^2+((Inputs!$H$6+Inputs!$L$6*(((Inputs!$I$6+(((A18)+1)/2)*(Inputs!$J$6-Inputs!$I$6)))/Inputs!$K$6)^2))^2)))))/Inputs!$C$13),NA())</x:f>
        <x:v>387.5336161058967</x:v>
      </x:c>
      <x:c r="O18" s="48" t="n">
        <x:f>IF(OR(Inputs!$F$7=TRUE,Inputs!$F$7="TRUE",Inputs!$F$7=1),(-2*((1000*((((Inputs!$I$7+(((A18)+1)/2)*(Inputs!$J$7-Inputs!$I$7)))*Inputs!$C$11+((Inputs!$H$7+Inputs!$L$7*(((Inputs!$I$7+(((A18)+1)/2)*(Inputs!$J$7-Inputs!$I$7)))/Inputs!$K$7)^2))*((2*Inputs!$L$7*((Inputs!$I$7+(((A18)+1)/2)*(Inputs!$J$7-Inputs!$I$7)))/(Inputs!$K$7^2)*Inputs!$C$11)))/(SQRT(((Inputs!$I$7+(((A18)+1)/2)*(Inputs!$J$7-Inputs!$I$7)))^2+Inputs!$C$6^2+((Inputs!$H$7+Inputs!$L$7*(((Inputs!$I$7+(((A18)+1)/2)*(Inputs!$J$7-Inputs!$I$7)))/Inputs!$K$7)^2))^2)))))/Inputs!$C$13),NA())</x:f>
        <x:v>2875.0901493794727</x:v>
      </x:c>
      <x:c r="P18" s="48" t="n">
        <x:f>IF(OR(Inputs!$F$8=TRUE,Inputs!$F$8="TRUE",Inputs!$F$8=1),(-2*((1000*((((Inputs!$I$8+(((A18)+1)/2)*(Inputs!$J$8-Inputs!$I$8)))*Inputs!$C$11+((Inputs!$H$8+Inputs!$L$8*(((Inputs!$I$8+(((A18)+1)/2)*(Inputs!$J$8-Inputs!$I$8)))/Inputs!$K$8)^2))*((2*Inputs!$L$8*((Inputs!$I$8+(((A18)+1)/2)*(Inputs!$J$8-Inputs!$I$8)))/(Inputs!$K$8^2)*Inputs!$C$11)))/(SQRT(((Inputs!$I$8+(((A18)+1)/2)*(Inputs!$J$8-Inputs!$I$8)))^2+Inputs!$C$6^2+((Inputs!$H$8+Inputs!$L$8*(((Inputs!$I$8+(((A18)+1)/2)*(Inputs!$J$8-Inputs!$I$8)))/Inputs!$K$8)^2))^2)))))/Inputs!$C$13),NA())</x:f>
        <x:v>3549.722813877338</x:v>
      </x:c>
      <x:c r="Q18" s="48" t="n">
        <x:f>IF(OR(Inputs!$F$9=TRUE,Inputs!$F$9="TRUE",Inputs!$F$9=1),(-2*((1000*((((Inputs!$I$9+(((A18)+1)/2)*(Inputs!$J$9-Inputs!$I$9)))*Inputs!$C$11+((Inputs!$H$9+Inputs!$L$9*(((Inputs!$I$9+(((A18)+1)/2)*(Inputs!$J$9-Inputs!$I$9)))/Inputs!$K$9)^2))*((2*Inputs!$L$9*((Inputs!$I$9+(((A18)+1)/2)*(Inputs!$J$9-Inputs!$I$9)))/(Inputs!$K$9^2)*Inputs!$C$11)))/(SQRT(((Inputs!$I$9+(((A18)+1)/2)*(Inputs!$J$9-Inputs!$I$9)))^2+Inputs!$C$6^2+((Inputs!$H$9+Inputs!$L$9*(((Inputs!$I$9+(((A18)+1)/2)*(Inputs!$J$9-Inputs!$I$9)))/Inputs!$K$9)^2))^2)))))/Inputs!$C$13),NA())</x:f>
        <x:v>3573.542783398019</x:v>
      </x:c>
      <x:c r="R18" s="49"/>
      <x:c r="S18" s="48" t="n">
        <x:f>A18</x:f>
        <x:v>-0.867</x:v>
      </x:c>
      <x:c r="T18" s="48" t="n">
        <x:f>(Inputs!$I$6+(((A18)+1)/2)*(Inputs!$J$6-Inputs!$I$6))</x:f>
        <x:v>-52.019999999999996</x:v>
      </x:c>
      <x:c r="U18" s="48" t="n">
        <x:f>(Inputs!$I$7+(((A18)+1)/2)*(Inputs!$J$7-Inputs!$I$7))</x:f>
        <x:v>-346.8</x:v>
      </x:c>
      <x:c r="V18" s="48" t="n">
        <x:f>(Inputs!$I$8+(((A18)+1)/2)*(Inputs!$J$8-Inputs!$I$8))</x:f>
        <x:v>-693.6</x:v>
      </x:c>
      <x:c r="W18" s="48" t="n">
        <x:f>(Inputs!$I$9+(((A18)+1)/2)*(Inputs!$J$9-Inputs!$I$9))</x:f>
        <x:v>-693.6</x:v>
      </x:c>
      <x:c r="X18" s="49"/>
      <x:c r="Y18" s="48" t="n">
        <x:f>A18</x:f>
        <x:v>-0.867</x:v>
      </x:c>
      <x:c r="Z18" s="48" t="n">
        <x:f>(Inputs!$H$6+Inputs!$L$6*(((Inputs!$I$6+(((A18)+1)/2)*(Inputs!$J$6-Inputs!$I$6)))/Inputs!$K$6)^2)</x:f>
        <x:v>403.006756</x:v>
      </x:c>
      <x:c r="AA18" s="48" t="n">
        <x:f>(Inputs!$H$7+Inputs!$L$7*(((Inputs!$I$7+(((A18)+1)/2)*(Inputs!$J$7-Inputs!$I$7)))/Inputs!$K$7)^2)</x:f>
        <x:v>309.36648499999995</x:v>
      </x:c>
      <x:c r="AB18" s="48" t="n">
        <x:f>(Inputs!$H$8+Inputs!$L$8*(((Inputs!$I$8+(((A18)+1)/2)*(Inputs!$J$8-Inputs!$I$8)))/Inputs!$K$8)^2)</x:f>
        <x:v>760.379885</x:v>
      </x:c>
      <x:c r="AC18" s="48" t="n">
        <x:f>(Inputs!$H$9+Inputs!$L$9*(((Inputs!$I$9+(((A18)+1)/2)*(Inputs!$J$9-Inputs!$I$9)))/Inputs!$K$9)^2)</x:f>
        <x:v>757.8967749999999</x:v>
      </x:c>
      <x:c r="AD18" s="49"/>
      <x:c r="AE18" s="48" t="n">
        <x:f>A18</x:f>
        <x:v>-0.867</x:v>
      </x:c>
      <x:c r="AF18" s="48" t="n">
        <x:f>(((SQRT(((Inputs!$I$6+(((A18)+1)/2)*(Inputs!$J$6-Inputs!$I$6)))^2+Inputs!$C$6^2+((Inputs!$H$6+Inputs!$L$6*(((Inputs!$I$6+(((A18)+1)/2)*(Inputs!$J$6-Inputs!$I$6)))/Inputs!$K$6)^2))^2))-((Inputs!$H$6+Inputs!$L$6*(((Inputs!$I$6+(((A18)+1)/2)*(Inputs!$J$6-Inputs!$I$6)))/Inputs!$K$6)^2)))*1000/Inputs!$C$12)</x:f>
        <x:v>2310.0049278348683</x:v>
      </x:c>
      <x:c r="AG18" s="48" t="n">
        <x:f>(((SQRT(((Inputs!$I$7+(((A18)+1)/2)*(Inputs!$J$7-Inputs!$I$7)))^2+Inputs!$C$6^2+((Inputs!$H$7+Inputs!$L$7*(((Inputs!$I$7+(((A18)+1)/2)*(Inputs!$J$7-Inputs!$I$7)))/Inputs!$K$7)^2))^2))-((Inputs!$H$7+Inputs!$L$7*(((Inputs!$I$7+(((A18)+1)/2)*(Inputs!$J$7-Inputs!$I$7)))/Inputs!$K$7)^2)))*1000/Inputs!$C$12)</x:f>
        <x:v>87662.71961640367</x:v>
      </x:c>
      <x:c r="AH18" s="48" t="n">
        <x:f>(((SQRT(((Inputs!$I$8+(((A18)+1)/2)*(Inputs!$J$8-Inputs!$I$8)))^2+Inputs!$C$6^2+((Inputs!$H$8+Inputs!$L$8*(((Inputs!$I$8+(((A18)+1)/2)*(Inputs!$J$8-Inputs!$I$8)))/Inputs!$K$8)^2))^2))-((Inputs!$H$8+Inputs!$L$8*(((Inputs!$I$8+(((A18)+1)/2)*(Inputs!$J$8-Inputs!$I$8)))/Inputs!$K$8)^2)))*1000/Inputs!$C$12)</x:f>
        <x:v>151194.69914380208</x:v>
      </x:c>
      <x:c r="AI18" s="48" t="n">
        <x:f>(((SQRT(((Inputs!$I$9+(((A18)+1)/2)*(Inputs!$J$9-Inputs!$I$9)))^2+Inputs!$C$6^2+((Inputs!$H$9+Inputs!$L$9*(((Inputs!$I$9+(((A18)+1)/2)*(Inputs!$J$9-Inputs!$I$9)))/Inputs!$K$9)^2))^2))-((Inputs!$H$9+Inputs!$L$9*(((Inputs!$I$9+(((A18)+1)/2)*(Inputs!$J$9-Inputs!$I$9)))/Inputs!$K$9)^2)))*1000/Inputs!$C$12)</x:f>
        <x:v>151560.13797993344</x:v>
      </x:c>
      <x:c r="AJ18" s="49"/>
      <x:c r="AK18" s="48" t="n">
        <x:f>A18</x:f>
        <x:v>-0.867</x:v>
      </x:c>
      <x:c r="AL18" s="48" t="n">
        <x:f>(-2*((1000*((((Inputs!$I$6+(((A18)+1)/2)*(Inputs!$J$6-Inputs!$I$6)))*Inputs!$C$11+((Inputs!$H$6+Inputs!$L$6*(((Inputs!$I$6+(((A18)+1)/2)*(Inputs!$J$6-Inputs!$I$6)))/Inputs!$K$6)^2))*((2*Inputs!$L$6*((Inputs!$I$6+(((A18)+1)/2)*(Inputs!$J$6-Inputs!$I$6)))/(Inputs!$K$6^2)*Inputs!$C$11)))/(SQRT(((Inputs!$I$6+(((A18)+1)/2)*(Inputs!$J$6-Inputs!$I$6)))^2+Inputs!$C$6^2+((Inputs!$H$6+Inputs!$L$6*(((Inputs!$I$6+(((A18)+1)/2)*(Inputs!$J$6-Inputs!$I$6)))/Inputs!$K$6)^2))^2)))))/Inputs!$C$13)</x:f>
        <x:v>387.5336161058967</x:v>
      </x:c>
      <x:c r="AM18" s="48" t="n">
        <x:f>(-2*((1000*((((Inputs!$I$7+(((A18)+1)/2)*(Inputs!$J$7-Inputs!$I$7)))*Inputs!$C$11+((Inputs!$H$7+Inputs!$L$7*(((Inputs!$I$7+(((A18)+1)/2)*(Inputs!$J$7-Inputs!$I$7)))/Inputs!$K$7)^2))*((2*Inputs!$L$7*((Inputs!$I$7+(((A18)+1)/2)*(Inputs!$J$7-Inputs!$I$7)))/(Inputs!$K$7^2)*Inputs!$C$11)))/(SQRT(((Inputs!$I$7+(((A18)+1)/2)*(Inputs!$J$7-Inputs!$I$7)))^2+Inputs!$C$6^2+((Inputs!$H$7+Inputs!$L$7*(((Inputs!$I$7+(((A18)+1)/2)*(Inputs!$J$7-Inputs!$I$7)))/Inputs!$K$7)^2))^2)))))/Inputs!$C$13)</x:f>
        <x:v>2875.0901493794727</x:v>
      </x:c>
      <x:c r="AN18" s="48" t="n">
        <x:f>(-2*((1000*((((Inputs!$I$8+(((A18)+1)/2)*(Inputs!$J$8-Inputs!$I$8)))*Inputs!$C$11+((Inputs!$H$8+Inputs!$L$8*(((Inputs!$I$8+(((A18)+1)/2)*(Inputs!$J$8-Inputs!$I$8)))/Inputs!$K$8)^2))*((2*Inputs!$L$8*((Inputs!$I$8+(((A18)+1)/2)*(Inputs!$J$8-Inputs!$I$8)))/(Inputs!$K$8^2)*Inputs!$C$11)))/(SQRT(((Inputs!$I$8+(((A18)+1)/2)*(Inputs!$J$8-Inputs!$I$8)))^2+Inputs!$C$6^2+((Inputs!$H$8+Inputs!$L$8*(((Inputs!$I$8+(((A18)+1)/2)*(Inputs!$J$8-Inputs!$I$8)))/Inputs!$K$8)^2))^2)))))/Inputs!$C$13)</x:f>
        <x:v>3549.722813877338</x:v>
      </x:c>
      <x:c r="AO18" s="48" t="n">
        <x:f>(-2*((1000*((((Inputs!$I$9+(((A18)+1)/2)*(Inputs!$J$9-Inputs!$I$9)))*Inputs!$C$11+((Inputs!$H$9+Inputs!$L$9*(((Inputs!$I$9+(((A18)+1)/2)*(Inputs!$J$9-Inputs!$I$9)))/Inputs!$K$9)^2))*((2*Inputs!$L$9*((Inputs!$I$9+(((A18)+1)/2)*(Inputs!$J$9-Inputs!$I$9)))/(Inputs!$K$9^2)*Inputs!$C$11)))/(SQRT(((Inputs!$I$9+(((A18)+1)/2)*(Inputs!$J$9-Inputs!$I$9)))^2+Inputs!$C$6^2+((Inputs!$H$9+Inputs!$L$9*(((Inputs!$I$9+(((A18)+1)/2)*(Inputs!$J$9-Inputs!$I$9)))/Inputs!$K$9)^2))^2)))))/Inputs!$C$13)</x:f>
        <x:v>3573.542783398019</x:v>
      </x:c>
    </x:row>
    <x:row r="19">
      <x:c r="A19" s="48" t="n">
        <x:f>ROUND(-1+17*2/240,3)</x:f>
        <x:v>-0.858</x:v>
      </x:c>
      <x:c r="B19" s="48" t="n">
        <x:f>IF(OR(Inputs!$F$6=TRUE,Inputs!$F$6="TRUE",Inputs!$F$6=1),(Inputs!$H$6+Inputs!$L$6*(((Inputs!$I$6+(((A19)+1)/2)*(Inputs!$J$6-Inputs!$I$6)))/Inputs!$K$6)^2),NA())</x:f>
        <x:v>402.944656</x:v>
      </x:c>
      <x:c r="C19" s="48" t="n">
        <x:f>IF(OR(Inputs!$F$7=TRUE,Inputs!$F$7="TRUE",Inputs!$F$7=1),(Inputs!$H$7+Inputs!$L$7*(((Inputs!$I$7+(((A19)+1)/2)*(Inputs!$J$7-Inputs!$I$7)))/Inputs!$K$7)^2),NA())</x:f>
        <x:v>303.69986</x:v>
      </x:c>
      <x:c r="D19" s="48" t="n">
        <x:f>IF(OR(Inputs!$F$8=TRUE,Inputs!$F$8="TRUE",Inputs!$F$8=1),(Inputs!$H$8+Inputs!$L$8*(((Inputs!$I$8+(((A19)+1)/2)*(Inputs!$J$8-Inputs!$I$8)))/Inputs!$K$8)^2),NA())</x:f>
        <x:v>745.3982599999999</x:v>
      </x:c>
      <x:c r="E19" s="48" t="n">
        <x:f>IF(OR(Inputs!$F$9=TRUE,Inputs!$F$9="TRUE",Inputs!$F$9=1),(Inputs!$H$9+Inputs!$L$9*(((Inputs!$I$9+(((A19)+1)/2)*(Inputs!$J$9-Inputs!$I$9)))/Inputs!$K$9)^2),NA())</x:f>
        <x:v>742.7598999999999</x:v>
      </x:c>
      <x:c r="F19" s="49"/>
      <x:c r="G19" s="48" t="n">
        <x:f>A19</x:f>
        <x:v>-0.858</x:v>
      </x:c>
      <x:c r="H19" s="48" t="n">
        <x:f>IF(OR(Inputs!$F$6=TRUE,Inputs!$F$6="TRUE",Inputs!$F$6=1),(((SQRT(((Inputs!$I$6+(((A19)+1)/2)*(Inputs!$J$6-Inputs!$I$6)))^2+Inputs!$C$6^2+((Inputs!$H$6+Inputs!$L$6*(((Inputs!$I$6+(((A19)+1)/2)*(Inputs!$J$6-Inputs!$I$6)))/Inputs!$K$6)^2))^2))-((Inputs!$H$6+Inputs!$L$6*(((Inputs!$I$6+(((A19)+1)/2)*(Inputs!$J$6-Inputs!$I$6)))/Inputs!$K$6)^2)))*1000/Inputs!$C$12),NA())</x:f>
        <x:v>2271.785937945784</x:v>
      </x:c>
      <x:c r="I19" s="48" t="n">
        <x:f>IF(OR(Inputs!$F$7=TRUE,Inputs!$F$7="TRUE",Inputs!$F$7=1),(((SQRT(((Inputs!$I$7+(((A19)+1)/2)*(Inputs!$J$7-Inputs!$I$7)))^2+Inputs!$C$6^2+((Inputs!$H$7+Inputs!$L$7*(((Inputs!$I$7+(((A19)+1)/2)*(Inputs!$J$7-Inputs!$I$7)))/Inputs!$K$7)^2))^2))-((Inputs!$H$7+Inputs!$L$7*(((Inputs!$I$7+(((A19)+1)/2)*(Inputs!$J$7-Inputs!$I$7)))/Inputs!$K$7)^2)))*1000/Inputs!$C$12),NA())</x:f>
        <x:v>87225.14255020811</x:v>
      </x:c>
      <x:c r="J19" s="48" t="n">
        <x:f>IF(OR(Inputs!$F$8=TRUE,Inputs!$F$8="TRUE",Inputs!$F$8=1),(((SQRT(((Inputs!$I$8+(((A19)+1)/2)*(Inputs!$J$8-Inputs!$I$8)))^2+Inputs!$C$6^2+((Inputs!$H$8+Inputs!$L$8*(((Inputs!$I$8+(((A19)+1)/2)*(Inputs!$J$8-Inputs!$I$8)))/Inputs!$K$8)^2))^2))-((Inputs!$H$8+Inputs!$L$8*(((Inputs!$I$8+(((A19)+1)/2)*(Inputs!$J$8-Inputs!$I$8)))/Inputs!$K$8)^2)))*1000/Inputs!$C$12),NA())</x:f>
        <x:v>150676.12307891695</x:v>
      </x:c>
      <x:c r="K19" s="48" t="n">
        <x:f>IF(OR(Inputs!$F$9=TRUE,Inputs!$F$9="TRUE",Inputs!$F$9=1),(((SQRT(((Inputs!$I$9+(((A19)+1)/2)*(Inputs!$J$9-Inputs!$I$9)))^2+Inputs!$C$6^2+((Inputs!$H$9+Inputs!$L$9*(((Inputs!$I$9+(((A19)+1)/2)*(Inputs!$J$9-Inputs!$I$9)))/Inputs!$K$9)^2))^2))-((Inputs!$H$9+Inputs!$L$9*(((Inputs!$I$9+(((A19)+1)/2)*(Inputs!$J$9-Inputs!$I$9)))/Inputs!$K$9)^2)))*1000/Inputs!$C$12),NA())</x:f>
        <x:v>151069.21380145603</x:v>
      </x:c>
      <x:c r="L19" s="49"/>
      <x:c r="M19" s="48" t="n">
        <x:f>A19</x:f>
        <x:v>-0.858</x:v>
      </x:c>
      <x:c r="N19" s="48" t="n">
        <x:f>IF(OR(Inputs!$F$6=TRUE,Inputs!$F$6="TRUE",Inputs!$F$6=1),(-2*((1000*((((Inputs!$I$6+(((A19)+1)/2)*(Inputs!$J$6-Inputs!$I$6)))*Inputs!$C$11+((Inputs!$H$6+Inputs!$L$6*(((Inputs!$I$6+(((A19)+1)/2)*(Inputs!$J$6-Inputs!$I$6)))/Inputs!$K$6)^2))*((2*Inputs!$L$6*((Inputs!$I$6+(((A19)+1)/2)*(Inputs!$J$6-Inputs!$I$6)))/(Inputs!$K$6^2)*Inputs!$C$11)))/(SQRT(((Inputs!$I$6+(((A19)+1)/2)*(Inputs!$J$6-Inputs!$I$6)))^2+Inputs!$C$6^2+((Inputs!$H$6+Inputs!$L$6*(((Inputs!$I$6+(((A19)+1)/2)*(Inputs!$J$6-Inputs!$I$6)))/Inputs!$K$6)^2))^2)))))/Inputs!$C$13),NA())</x:f>
        <x:v>383.60546988496924</x:v>
      </x:c>
      <x:c r="O19" s="48" t="n">
        <x:f>IF(OR(Inputs!$F$7=TRUE,Inputs!$F$7="TRUE",Inputs!$F$7=1),(-2*((1000*((((Inputs!$I$7+(((A19)+1)/2)*(Inputs!$J$7-Inputs!$I$7)))*Inputs!$C$11+((Inputs!$H$7+Inputs!$L$7*(((Inputs!$I$7+(((A19)+1)/2)*(Inputs!$J$7-Inputs!$I$7)))/Inputs!$K$7)^2))*((2*Inputs!$L$7*((Inputs!$I$7+(((A19)+1)/2)*(Inputs!$J$7-Inputs!$I$7)))/(Inputs!$K$7^2)*Inputs!$C$11)))/(SQRT(((Inputs!$I$7+(((A19)+1)/2)*(Inputs!$J$7-Inputs!$I$7)))^2+Inputs!$C$6^2+((Inputs!$H$7+Inputs!$L$7*(((Inputs!$I$7+(((A19)+1)/2)*(Inputs!$J$7-Inputs!$I$7)))/Inputs!$K$7)^2))^2)))))/Inputs!$C$13),NA())</x:f>
        <x:v>2854.2699352269624</x:v>
      </x:c>
      <x:c r="P19" s="48" t="n">
        <x:f>IF(OR(Inputs!$F$8=TRUE,Inputs!$F$8="TRUE",Inputs!$F$8=1),(-2*((1000*((((Inputs!$I$8+(((A19)+1)/2)*(Inputs!$J$8-Inputs!$I$8)))*Inputs!$C$11+((Inputs!$H$8+Inputs!$L$8*(((Inputs!$I$8+(((A19)+1)/2)*(Inputs!$J$8-Inputs!$I$8)))/Inputs!$K$8)^2))*((2*Inputs!$L$8*((Inputs!$I$8+(((A19)+1)/2)*(Inputs!$J$8-Inputs!$I$8)))/(Inputs!$K$8^2)*Inputs!$C$11)))/(SQRT(((Inputs!$I$8+(((A19)+1)/2)*(Inputs!$J$8-Inputs!$I$8)))^2+Inputs!$C$6^2+((Inputs!$H$8+Inputs!$L$8*(((Inputs!$I$8+(((A19)+1)/2)*(Inputs!$J$8-Inputs!$I$8)))/Inputs!$K$8)^2))^2)))))/Inputs!$C$13),NA())</x:f>
        <x:v>3519.0443952708397</x:v>
      </x:c>
      <x:c r="Q19" s="48" t="n">
        <x:f>IF(OR(Inputs!$F$9=TRUE,Inputs!$F$9="TRUE",Inputs!$F$9=1),(-2*((1000*((((Inputs!$I$9+(((A19)+1)/2)*(Inputs!$J$9-Inputs!$I$9)))*Inputs!$C$11+((Inputs!$H$9+Inputs!$L$9*(((Inputs!$I$9+(((A19)+1)/2)*(Inputs!$J$9-Inputs!$I$9)))/Inputs!$K$9)^2))*((2*Inputs!$L$9*((Inputs!$I$9+(((A19)+1)/2)*(Inputs!$J$9-Inputs!$I$9)))/(Inputs!$K$9^2)*Inputs!$C$11)))/(SQRT(((Inputs!$I$9+(((A19)+1)/2)*(Inputs!$J$9-Inputs!$I$9)))^2+Inputs!$C$6^2+((Inputs!$H$9+Inputs!$L$9*(((Inputs!$I$9+(((A19)+1)/2)*(Inputs!$J$9-Inputs!$I$9)))/Inputs!$K$9)^2))^2)))))/Inputs!$C$13),NA())</x:f>
        <x:v>3542.348411613446</x:v>
      </x:c>
      <x:c r="R19" s="49"/>
      <x:c r="S19" s="48" t="n">
        <x:f>A19</x:f>
        <x:v>-0.858</x:v>
      </x:c>
      <x:c r="T19" s="48" t="n">
        <x:f>(Inputs!$I$6+(((A19)+1)/2)*(Inputs!$J$6-Inputs!$I$6))</x:f>
        <x:v>-51.48</x:v>
      </x:c>
      <x:c r="U19" s="48" t="n">
        <x:f>(Inputs!$I$7+(((A19)+1)/2)*(Inputs!$J$7-Inputs!$I$7))</x:f>
        <x:v>-343.2</x:v>
      </x:c>
      <x:c r="V19" s="48" t="n">
        <x:f>(Inputs!$I$8+(((A19)+1)/2)*(Inputs!$J$8-Inputs!$I$8))</x:f>
        <x:v>-686.4</x:v>
      </x:c>
      <x:c r="W19" s="48" t="n">
        <x:f>(Inputs!$I$9+(((A19)+1)/2)*(Inputs!$J$9-Inputs!$I$9))</x:f>
        <x:v>-686.4</x:v>
      </x:c>
      <x:c r="X19" s="49"/>
      <x:c r="Y19" s="48" t="n">
        <x:f>A19</x:f>
        <x:v>-0.858</x:v>
      </x:c>
      <x:c r="Z19" s="48" t="n">
        <x:f>(Inputs!$H$6+Inputs!$L$6*(((Inputs!$I$6+(((A19)+1)/2)*(Inputs!$J$6-Inputs!$I$6)))/Inputs!$K$6)^2)</x:f>
        <x:v>402.944656</x:v>
      </x:c>
      <x:c r="AA19" s="48" t="n">
        <x:f>(Inputs!$H$7+Inputs!$L$7*(((Inputs!$I$7+(((A19)+1)/2)*(Inputs!$J$7-Inputs!$I$7)))/Inputs!$K$7)^2)</x:f>
        <x:v>303.69986</x:v>
      </x:c>
      <x:c r="AB19" s="48" t="n">
        <x:f>(Inputs!$H$8+Inputs!$L$8*(((Inputs!$I$8+(((A19)+1)/2)*(Inputs!$J$8-Inputs!$I$8)))/Inputs!$K$8)^2)</x:f>
        <x:v>745.3982599999999</x:v>
      </x:c>
      <x:c r="AC19" s="48" t="n">
        <x:f>(Inputs!$H$9+Inputs!$L$9*(((Inputs!$I$9+(((A19)+1)/2)*(Inputs!$J$9-Inputs!$I$9)))/Inputs!$K$9)^2)</x:f>
        <x:v>742.7598999999999</x:v>
      </x:c>
      <x:c r="AD19" s="49"/>
      <x:c r="AE19" s="48" t="n">
        <x:f>A19</x:f>
        <x:v>-0.858</x:v>
      </x:c>
      <x:c r="AF19" s="48" t="n">
        <x:f>(((SQRT(((Inputs!$I$6+(((A19)+1)/2)*(Inputs!$J$6-Inputs!$I$6)))^2+Inputs!$C$6^2+((Inputs!$H$6+Inputs!$L$6*(((Inputs!$I$6+(((A19)+1)/2)*(Inputs!$J$6-Inputs!$I$6)))/Inputs!$K$6)^2))^2))-((Inputs!$H$6+Inputs!$L$6*(((Inputs!$I$6+(((A19)+1)/2)*(Inputs!$J$6-Inputs!$I$6)))/Inputs!$K$6)^2)))*1000/Inputs!$C$12)</x:f>
        <x:v>2271.785937945784</x:v>
      </x:c>
      <x:c r="AG19" s="48" t="n">
        <x:f>(((SQRT(((Inputs!$I$7+(((A19)+1)/2)*(Inputs!$J$7-Inputs!$I$7)))^2+Inputs!$C$6^2+((Inputs!$H$7+Inputs!$L$7*(((Inputs!$I$7+(((A19)+1)/2)*(Inputs!$J$7-Inputs!$I$7)))/Inputs!$K$7)^2))^2))-((Inputs!$H$7+Inputs!$L$7*(((Inputs!$I$7+(((A19)+1)/2)*(Inputs!$J$7-Inputs!$I$7)))/Inputs!$K$7)^2)))*1000/Inputs!$C$12)</x:f>
        <x:v>87225.14255020811</x:v>
      </x:c>
      <x:c r="AH19" s="48" t="n">
        <x:f>(((SQRT(((Inputs!$I$8+(((A19)+1)/2)*(Inputs!$J$8-Inputs!$I$8)))^2+Inputs!$C$6^2+((Inputs!$H$8+Inputs!$L$8*(((Inputs!$I$8+(((A19)+1)/2)*(Inputs!$J$8-Inputs!$I$8)))/Inputs!$K$8)^2))^2))-((Inputs!$H$8+Inputs!$L$8*(((Inputs!$I$8+(((A19)+1)/2)*(Inputs!$J$8-Inputs!$I$8)))/Inputs!$K$8)^2)))*1000/Inputs!$C$12)</x:f>
        <x:v>150676.12307891695</x:v>
      </x:c>
      <x:c r="AI19" s="48" t="n">
        <x:f>(((SQRT(((Inputs!$I$9+(((A19)+1)/2)*(Inputs!$J$9-Inputs!$I$9)))^2+Inputs!$C$6^2+((Inputs!$H$9+Inputs!$L$9*(((Inputs!$I$9+(((A19)+1)/2)*(Inputs!$J$9-Inputs!$I$9)))/Inputs!$K$9)^2))^2))-((Inputs!$H$9+Inputs!$L$9*(((Inputs!$I$9+(((A19)+1)/2)*(Inputs!$J$9-Inputs!$I$9)))/Inputs!$K$9)^2)))*1000/Inputs!$C$12)</x:f>
        <x:v>151069.21380145603</x:v>
      </x:c>
      <x:c r="AJ19" s="49"/>
      <x:c r="AK19" s="48" t="n">
        <x:f>A19</x:f>
        <x:v>-0.858</x:v>
      </x:c>
      <x:c r="AL19" s="48" t="n">
        <x:f>(-2*((1000*((((Inputs!$I$6+(((A19)+1)/2)*(Inputs!$J$6-Inputs!$I$6)))*Inputs!$C$11+((Inputs!$H$6+Inputs!$L$6*(((Inputs!$I$6+(((A19)+1)/2)*(Inputs!$J$6-Inputs!$I$6)))/Inputs!$K$6)^2))*((2*Inputs!$L$6*((Inputs!$I$6+(((A19)+1)/2)*(Inputs!$J$6-Inputs!$I$6)))/(Inputs!$K$6^2)*Inputs!$C$11)))/(SQRT(((Inputs!$I$6+(((A19)+1)/2)*(Inputs!$J$6-Inputs!$I$6)))^2+Inputs!$C$6^2+((Inputs!$H$6+Inputs!$L$6*(((Inputs!$I$6+(((A19)+1)/2)*(Inputs!$J$6-Inputs!$I$6)))/Inputs!$K$6)^2))^2)))))/Inputs!$C$13)</x:f>
        <x:v>383.60546988496924</x:v>
      </x:c>
      <x:c r="AM19" s="48" t="n">
        <x:f>(-2*((1000*((((Inputs!$I$7+(((A19)+1)/2)*(Inputs!$J$7-Inputs!$I$7)))*Inputs!$C$11+((Inputs!$H$7+Inputs!$L$7*(((Inputs!$I$7+(((A19)+1)/2)*(Inputs!$J$7-Inputs!$I$7)))/Inputs!$K$7)^2))*((2*Inputs!$L$7*((Inputs!$I$7+(((A19)+1)/2)*(Inputs!$J$7-Inputs!$I$7)))/(Inputs!$K$7^2)*Inputs!$C$11)))/(SQRT(((Inputs!$I$7+(((A19)+1)/2)*(Inputs!$J$7-Inputs!$I$7)))^2+Inputs!$C$6^2+((Inputs!$H$7+Inputs!$L$7*(((Inputs!$I$7+(((A19)+1)/2)*(Inputs!$J$7-Inputs!$I$7)))/Inputs!$K$7)^2))^2)))))/Inputs!$C$13)</x:f>
        <x:v>2854.2699352269624</x:v>
      </x:c>
      <x:c r="AN19" s="48" t="n">
        <x:f>(-2*((1000*((((Inputs!$I$8+(((A19)+1)/2)*(Inputs!$J$8-Inputs!$I$8)))*Inputs!$C$11+((Inputs!$H$8+Inputs!$L$8*(((Inputs!$I$8+(((A19)+1)/2)*(Inputs!$J$8-Inputs!$I$8)))/Inputs!$K$8)^2))*((2*Inputs!$L$8*((Inputs!$I$8+(((A19)+1)/2)*(Inputs!$J$8-Inputs!$I$8)))/(Inputs!$K$8^2)*Inputs!$C$11)))/(SQRT(((Inputs!$I$8+(((A19)+1)/2)*(Inputs!$J$8-Inputs!$I$8)))^2+Inputs!$C$6^2+((Inputs!$H$8+Inputs!$L$8*(((Inputs!$I$8+(((A19)+1)/2)*(Inputs!$J$8-Inputs!$I$8)))/Inputs!$K$8)^2))^2)))))/Inputs!$C$13)</x:f>
        <x:v>3519.0443952708397</x:v>
      </x:c>
      <x:c r="AO19" s="48" t="n">
        <x:f>(-2*((1000*((((Inputs!$I$9+(((A19)+1)/2)*(Inputs!$J$9-Inputs!$I$9)))*Inputs!$C$11+((Inputs!$H$9+Inputs!$L$9*(((Inputs!$I$9+(((A19)+1)/2)*(Inputs!$J$9-Inputs!$I$9)))/Inputs!$K$9)^2))*((2*Inputs!$L$9*((Inputs!$I$9+(((A19)+1)/2)*(Inputs!$J$9-Inputs!$I$9)))/(Inputs!$K$9^2)*Inputs!$C$11)))/(SQRT(((Inputs!$I$9+(((A19)+1)/2)*(Inputs!$J$9-Inputs!$I$9)))^2+Inputs!$C$6^2+((Inputs!$H$9+Inputs!$L$9*(((Inputs!$I$9+(((A19)+1)/2)*(Inputs!$J$9-Inputs!$I$9)))/Inputs!$K$9)^2))^2)))))/Inputs!$C$13)</x:f>
        <x:v>3542.348411613446</x:v>
      </x:c>
    </x:row>
    <x:row r="20">
      <x:c r="A20" s="48" t="n">
        <x:f>ROUND(-1+18*2/240,3)</x:f>
        <x:v>-0.85</x:v>
      </x:c>
      <x:c r="B20" s="48" t="n">
        <x:f>IF(OR(Inputs!$F$6=TRUE,Inputs!$F$6="TRUE",Inputs!$F$6=1),(Inputs!$H$6+Inputs!$L$6*(((Inputs!$I$6+(((A20)+1)/2)*(Inputs!$J$6-Inputs!$I$6)))/Inputs!$K$6)^2),NA())</x:f>
        <x:v>402.89</x:v>
      </x:c>
      <x:c r="C20" s="48" t="n">
        <x:f>IF(OR(Inputs!$F$7=TRUE,Inputs!$F$7="TRUE",Inputs!$F$7=1),(Inputs!$H$7+Inputs!$L$7*(((Inputs!$I$7+(((A20)+1)/2)*(Inputs!$J$7-Inputs!$I$7)))/Inputs!$K$7)^2),NA())</x:f>
        <x:v>298.7125</x:v>
      </x:c>
      <x:c r="D20" s="48" t="n">
        <x:f>IF(OR(Inputs!$F$8=TRUE,Inputs!$F$8="TRUE",Inputs!$F$8=1),(Inputs!$H$8+Inputs!$L$8*(((Inputs!$I$8+(((A20)+1)/2)*(Inputs!$J$8-Inputs!$I$8)))/Inputs!$K$8)^2),NA())</x:f>
        <x:v>732.2125</x:v>
      </x:c>
      <x:c r="E20" s="48" t="n">
        <x:f>IF(OR(Inputs!$F$9=TRUE,Inputs!$F$9="TRUE",Inputs!$F$9=1),(Inputs!$H$9+Inputs!$L$9*(((Inputs!$I$9+(((A20)+1)/2)*(Inputs!$J$9-Inputs!$I$9)))/Inputs!$K$9)^2),NA())</x:f>
        <x:v>729.4374999999999</x:v>
      </x:c>
      <x:c r="F20" s="49"/>
      <x:c r="G20" s="48" t="n">
        <x:f>A20</x:f>
        <x:v>-0.85</x:v>
      </x:c>
      <x:c r="H20" s="48" t="n">
        <x:f>IF(OR(Inputs!$F$6=TRUE,Inputs!$F$6="TRUE",Inputs!$F$6=1),(((SQRT(((Inputs!$I$6+(((A20)+1)/2)*(Inputs!$J$6-Inputs!$I$6)))^2+Inputs!$C$6^2+((Inputs!$H$6+Inputs!$L$6*(((Inputs!$I$6+(((A20)+1)/2)*(Inputs!$J$6-Inputs!$I$6)))/Inputs!$K$6)^2))^2))-((Inputs!$H$6+Inputs!$L$6*(((Inputs!$I$6+(((A20)+1)/2)*(Inputs!$J$6-Inputs!$I$6)))/Inputs!$K$6)^2)))*1000/Inputs!$C$12),NA())</x:f>
        <x:v>2238.133363530445</x:v>
      </x:c>
      <x:c r="I20" s="48" t="n">
        <x:f>IF(OR(Inputs!$F$7=TRUE,Inputs!$F$7="TRUE",Inputs!$F$7=1),(((SQRT(((Inputs!$I$7+(((A20)+1)/2)*(Inputs!$J$7-Inputs!$I$7)))^2+Inputs!$C$6^2+((Inputs!$H$7+Inputs!$L$7*(((Inputs!$I$7+(((A20)+1)/2)*(Inputs!$J$7-Inputs!$I$7)))/Inputs!$K$7)^2))^2))-((Inputs!$H$7+Inputs!$L$7*(((Inputs!$I$7+(((A20)+1)/2)*(Inputs!$J$7-Inputs!$I$7)))/Inputs!$K$7)^2)))*1000/Inputs!$C$12),NA())</x:f>
        <x:v>86830.34419670692</x:v>
      </x:c>
      <x:c r="J20" s="48" t="n">
        <x:f>IF(OR(Inputs!$F$8=TRUE,Inputs!$F$8="TRUE",Inputs!$F$8=1),(((SQRT(((Inputs!$I$8+(((A20)+1)/2)*(Inputs!$J$8-Inputs!$I$8)))^2+Inputs!$C$6^2+((Inputs!$H$8+Inputs!$L$8*(((Inputs!$I$8+(((A20)+1)/2)*(Inputs!$J$8-Inputs!$I$8)))/Inputs!$K$8)^2))^2))-((Inputs!$H$8+Inputs!$L$8*(((Inputs!$I$8+(((A20)+1)/2)*(Inputs!$J$8-Inputs!$I$8)))/Inputs!$K$8)^2)))*1000/Inputs!$C$12),NA())</x:f>
        <x:v>150206.4518941354</x:v>
      </x:c>
      <x:c r="K20" s="48" t="n">
        <x:f>IF(OR(Inputs!$F$9=TRUE,Inputs!$F$9="TRUE",Inputs!$F$9=1),(((SQRT(((Inputs!$I$9+(((A20)+1)/2)*(Inputs!$J$9-Inputs!$I$9)))^2+Inputs!$C$6^2+((Inputs!$H$9+Inputs!$L$9*(((Inputs!$I$9+(((A20)+1)/2)*(Inputs!$J$9-Inputs!$I$9)))/Inputs!$K$9)^2))^2))-((Inputs!$H$9+Inputs!$L$9*(((Inputs!$I$9+(((A20)+1)/2)*(Inputs!$J$9-Inputs!$I$9)))/Inputs!$K$9)^2)))*1000/Inputs!$C$12),NA())</x:f>
        <x:v>150624.45481747933</x:v>
      </x:c>
      <x:c r="L20" s="49"/>
      <x:c r="M20" s="48" t="n">
        <x:f>A20</x:f>
        <x:v>-0.85</x:v>
      </x:c>
      <x:c r="N20" s="48" t="n">
        <x:f>IF(OR(Inputs!$F$6=TRUE,Inputs!$F$6="TRUE",Inputs!$F$6=1),(-2*((1000*((((Inputs!$I$6+(((A20)+1)/2)*(Inputs!$J$6-Inputs!$I$6)))*Inputs!$C$11+((Inputs!$H$6+Inputs!$L$6*(((Inputs!$I$6+(((A20)+1)/2)*(Inputs!$J$6-Inputs!$I$6)))/Inputs!$K$6)^2))*((2*Inputs!$L$6*((Inputs!$I$6+(((A20)+1)/2)*(Inputs!$J$6-Inputs!$I$6)))/(Inputs!$K$6^2)*Inputs!$C$11)))/(SQRT(((Inputs!$I$6+(((A20)+1)/2)*(Inputs!$J$6-Inputs!$I$6)))^2+Inputs!$C$6^2+((Inputs!$H$6+Inputs!$L$6*(((Inputs!$I$6+(((A20)+1)/2)*(Inputs!$J$6-Inputs!$I$6)))/Inputs!$K$6)^2))^2)))))/Inputs!$C$13),NA())</x:f>
        <x:v>380.1113693016265</x:v>
      </x:c>
      <x:c r="O20" s="48" t="n">
        <x:f>IF(OR(Inputs!$F$7=TRUE,Inputs!$F$7="TRUE",Inputs!$F$7=1),(-2*((1000*((((Inputs!$I$7+(((A20)+1)/2)*(Inputs!$J$7-Inputs!$I$7)))*Inputs!$C$11+((Inputs!$H$7+Inputs!$L$7*(((Inputs!$I$7+(((A20)+1)/2)*(Inputs!$J$7-Inputs!$I$7)))/Inputs!$K$7)^2))*((2*Inputs!$L$7*((Inputs!$I$7+(((A20)+1)/2)*(Inputs!$J$7-Inputs!$I$7)))/(Inputs!$K$7^2)*Inputs!$C$11)))/(SQRT(((Inputs!$I$7+(((A20)+1)/2)*(Inputs!$J$7-Inputs!$I$7)))^2+Inputs!$C$6^2+((Inputs!$H$7+Inputs!$L$7*(((Inputs!$I$7+(((A20)+1)/2)*(Inputs!$J$7-Inputs!$I$7)))/Inputs!$K$7)^2))^2)))))/Inputs!$C$13),NA())</x:f>
        <x:v>2835.8439145487414</x:v>
      </x:c>
      <x:c r="P20" s="48" t="n">
        <x:f>IF(OR(Inputs!$F$8=TRUE,Inputs!$F$8="TRUE",Inputs!$F$8=1),(-2*((1000*((((Inputs!$I$8+(((A20)+1)/2)*(Inputs!$J$8-Inputs!$I$8)))*Inputs!$C$11+((Inputs!$H$8+Inputs!$L$8*(((Inputs!$I$8+(((A20)+1)/2)*(Inputs!$J$8-Inputs!$I$8)))/Inputs!$K$8)^2))*((2*Inputs!$L$8*((Inputs!$I$8+(((A20)+1)/2)*(Inputs!$J$8-Inputs!$I$8)))/(Inputs!$K$8^2)*Inputs!$C$11)))/(SQRT(((Inputs!$I$8+(((A20)+1)/2)*(Inputs!$J$8-Inputs!$I$8)))^2+Inputs!$C$6^2+((Inputs!$H$8+Inputs!$L$8*(((Inputs!$I$8+(((A20)+1)/2)*(Inputs!$J$8-Inputs!$I$8)))/Inputs!$K$8)^2))^2)))))/Inputs!$C$13),NA())</x:f>
        <x:v>3491.8558465277974</x:v>
      </x:c>
      <x:c r="Q20" s="48" t="n">
        <x:f>IF(OR(Inputs!$F$9=TRUE,Inputs!$F$9="TRUE",Inputs!$F$9=1),(-2*((1000*((((Inputs!$I$9+(((A20)+1)/2)*(Inputs!$J$9-Inputs!$I$9)))*Inputs!$C$11+((Inputs!$H$9+Inputs!$L$9*(((Inputs!$I$9+(((A20)+1)/2)*(Inputs!$J$9-Inputs!$I$9)))/Inputs!$K$9)^2))*((2*Inputs!$L$9*((Inputs!$I$9+(((A20)+1)/2)*(Inputs!$J$9-Inputs!$I$9)))/(Inputs!$K$9^2)*Inputs!$C$11)))/(SQRT(((Inputs!$I$9+(((A20)+1)/2)*(Inputs!$J$9-Inputs!$I$9)))^2+Inputs!$C$6^2+((Inputs!$H$9+Inputs!$L$9*(((Inputs!$I$9+(((A20)+1)/2)*(Inputs!$J$9-Inputs!$I$9)))/Inputs!$K$9)^2))^2)))))/Inputs!$C$13),NA())</x:f>
        <x:v>3514.6997376092377</x:v>
      </x:c>
      <x:c r="R20" s="49"/>
      <x:c r="S20" s="48" t="n">
        <x:f>A20</x:f>
        <x:v>-0.85</x:v>
      </x:c>
      <x:c r="T20" s="48" t="n">
        <x:f>(Inputs!$I$6+(((A20)+1)/2)*(Inputs!$J$6-Inputs!$I$6))</x:f>
        <x:v>-51</x:v>
      </x:c>
      <x:c r="U20" s="48" t="n">
        <x:f>(Inputs!$I$7+(((A20)+1)/2)*(Inputs!$J$7-Inputs!$I$7))</x:f>
        <x:v>-340</x:v>
      </x:c>
      <x:c r="V20" s="48" t="n">
        <x:f>(Inputs!$I$8+(((A20)+1)/2)*(Inputs!$J$8-Inputs!$I$8))</x:f>
        <x:v>-680</x:v>
      </x:c>
      <x:c r="W20" s="48" t="n">
        <x:f>(Inputs!$I$9+(((A20)+1)/2)*(Inputs!$J$9-Inputs!$I$9))</x:f>
        <x:v>-680</x:v>
      </x:c>
      <x:c r="X20" s="49"/>
      <x:c r="Y20" s="48" t="n">
        <x:f>A20</x:f>
        <x:v>-0.85</x:v>
      </x:c>
      <x:c r="Z20" s="48" t="n">
        <x:f>(Inputs!$H$6+Inputs!$L$6*(((Inputs!$I$6+(((A20)+1)/2)*(Inputs!$J$6-Inputs!$I$6)))/Inputs!$K$6)^2)</x:f>
        <x:v>402.89</x:v>
      </x:c>
      <x:c r="AA20" s="48" t="n">
        <x:f>(Inputs!$H$7+Inputs!$L$7*(((Inputs!$I$7+(((A20)+1)/2)*(Inputs!$J$7-Inputs!$I$7)))/Inputs!$K$7)^2)</x:f>
        <x:v>298.7125</x:v>
      </x:c>
      <x:c r="AB20" s="48" t="n">
        <x:f>(Inputs!$H$8+Inputs!$L$8*(((Inputs!$I$8+(((A20)+1)/2)*(Inputs!$J$8-Inputs!$I$8)))/Inputs!$K$8)^2)</x:f>
        <x:v>732.2125</x:v>
      </x:c>
      <x:c r="AC20" s="48" t="n">
        <x:f>(Inputs!$H$9+Inputs!$L$9*(((Inputs!$I$9+(((A20)+1)/2)*(Inputs!$J$9-Inputs!$I$9)))/Inputs!$K$9)^2)</x:f>
        <x:v>729.4374999999999</x:v>
      </x:c>
      <x:c r="AD20" s="49"/>
      <x:c r="AE20" s="48" t="n">
        <x:f>A20</x:f>
        <x:v>-0.85</x:v>
      </x:c>
      <x:c r="AF20" s="48" t="n">
        <x:f>(((SQRT(((Inputs!$I$6+(((A20)+1)/2)*(Inputs!$J$6-Inputs!$I$6)))^2+Inputs!$C$6^2+((Inputs!$H$6+Inputs!$L$6*(((Inputs!$I$6+(((A20)+1)/2)*(Inputs!$J$6-Inputs!$I$6)))/Inputs!$K$6)^2))^2))-((Inputs!$H$6+Inputs!$L$6*(((Inputs!$I$6+(((A20)+1)/2)*(Inputs!$J$6-Inputs!$I$6)))/Inputs!$K$6)^2)))*1000/Inputs!$C$12)</x:f>
        <x:v>2238.133363530445</x:v>
      </x:c>
      <x:c r="AG20" s="48" t="n">
        <x:f>(((SQRT(((Inputs!$I$7+(((A20)+1)/2)*(Inputs!$J$7-Inputs!$I$7)))^2+Inputs!$C$6^2+((Inputs!$H$7+Inputs!$L$7*(((Inputs!$I$7+(((A20)+1)/2)*(Inputs!$J$7-Inputs!$I$7)))/Inputs!$K$7)^2))^2))-((Inputs!$H$7+Inputs!$L$7*(((Inputs!$I$7+(((A20)+1)/2)*(Inputs!$J$7-Inputs!$I$7)))/Inputs!$K$7)^2)))*1000/Inputs!$C$12)</x:f>
        <x:v>86830.34419670692</x:v>
      </x:c>
      <x:c r="AH20" s="48" t="n">
        <x:f>(((SQRT(((Inputs!$I$8+(((A20)+1)/2)*(Inputs!$J$8-Inputs!$I$8)))^2+Inputs!$C$6^2+((Inputs!$H$8+Inputs!$L$8*(((Inputs!$I$8+(((A20)+1)/2)*(Inputs!$J$8-Inputs!$I$8)))/Inputs!$K$8)^2))^2))-((Inputs!$H$8+Inputs!$L$8*(((Inputs!$I$8+(((A20)+1)/2)*(Inputs!$J$8-Inputs!$I$8)))/Inputs!$K$8)^2)))*1000/Inputs!$C$12)</x:f>
        <x:v>150206.4518941354</x:v>
      </x:c>
      <x:c r="AI20" s="48" t="n">
        <x:f>(((SQRT(((Inputs!$I$9+(((A20)+1)/2)*(Inputs!$J$9-Inputs!$I$9)))^2+Inputs!$C$6^2+((Inputs!$H$9+Inputs!$L$9*(((Inputs!$I$9+(((A20)+1)/2)*(Inputs!$J$9-Inputs!$I$9)))/Inputs!$K$9)^2))^2))-((Inputs!$H$9+Inputs!$L$9*(((Inputs!$I$9+(((A20)+1)/2)*(Inputs!$J$9-Inputs!$I$9)))/Inputs!$K$9)^2)))*1000/Inputs!$C$12)</x:f>
        <x:v>150624.45481747933</x:v>
      </x:c>
      <x:c r="AJ20" s="49"/>
      <x:c r="AK20" s="48" t="n">
        <x:f>A20</x:f>
        <x:v>-0.85</x:v>
      </x:c>
      <x:c r="AL20" s="48" t="n">
        <x:f>(-2*((1000*((((Inputs!$I$6+(((A20)+1)/2)*(Inputs!$J$6-Inputs!$I$6)))*Inputs!$C$11+((Inputs!$H$6+Inputs!$L$6*(((Inputs!$I$6+(((A20)+1)/2)*(Inputs!$J$6-Inputs!$I$6)))/Inputs!$K$6)^2))*((2*Inputs!$L$6*((Inputs!$I$6+(((A20)+1)/2)*(Inputs!$J$6-Inputs!$I$6)))/(Inputs!$K$6^2)*Inputs!$C$11)))/(SQRT(((Inputs!$I$6+(((A20)+1)/2)*(Inputs!$J$6-Inputs!$I$6)))^2+Inputs!$C$6^2+((Inputs!$H$6+Inputs!$L$6*(((Inputs!$I$6+(((A20)+1)/2)*(Inputs!$J$6-Inputs!$I$6)))/Inputs!$K$6)^2))^2)))))/Inputs!$C$13)</x:f>
        <x:v>380.1113693016265</x:v>
      </x:c>
      <x:c r="AM20" s="48" t="n">
        <x:f>(-2*((1000*((((Inputs!$I$7+(((A20)+1)/2)*(Inputs!$J$7-Inputs!$I$7)))*Inputs!$C$11+((Inputs!$H$7+Inputs!$L$7*(((Inputs!$I$7+(((A20)+1)/2)*(Inputs!$J$7-Inputs!$I$7)))/Inputs!$K$7)^2))*((2*Inputs!$L$7*((Inputs!$I$7+(((A20)+1)/2)*(Inputs!$J$7-Inputs!$I$7)))/(Inputs!$K$7^2)*Inputs!$C$11)))/(SQRT(((Inputs!$I$7+(((A20)+1)/2)*(Inputs!$J$7-Inputs!$I$7)))^2+Inputs!$C$6^2+((Inputs!$H$7+Inputs!$L$7*(((Inputs!$I$7+(((A20)+1)/2)*(Inputs!$J$7-Inputs!$I$7)))/Inputs!$K$7)^2))^2)))))/Inputs!$C$13)</x:f>
        <x:v>2835.8439145487414</x:v>
      </x:c>
      <x:c r="AN20" s="48" t="n">
        <x:f>(-2*((1000*((((Inputs!$I$8+(((A20)+1)/2)*(Inputs!$J$8-Inputs!$I$8)))*Inputs!$C$11+((Inputs!$H$8+Inputs!$L$8*(((Inputs!$I$8+(((A20)+1)/2)*(Inputs!$J$8-Inputs!$I$8)))/Inputs!$K$8)^2))*((2*Inputs!$L$8*((Inputs!$I$8+(((A20)+1)/2)*(Inputs!$J$8-Inputs!$I$8)))/(Inputs!$K$8^2)*Inputs!$C$11)))/(SQRT(((Inputs!$I$8+(((A20)+1)/2)*(Inputs!$J$8-Inputs!$I$8)))^2+Inputs!$C$6^2+((Inputs!$H$8+Inputs!$L$8*(((Inputs!$I$8+(((A20)+1)/2)*(Inputs!$J$8-Inputs!$I$8)))/Inputs!$K$8)^2))^2)))))/Inputs!$C$13)</x:f>
        <x:v>3491.8558465277974</x:v>
      </x:c>
      <x:c r="AO20" s="48" t="n">
        <x:f>(-2*((1000*((((Inputs!$I$9+(((A20)+1)/2)*(Inputs!$J$9-Inputs!$I$9)))*Inputs!$C$11+((Inputs!$H$9+Inputs!$L$9*(((Inputs!$I$9+(((A20)+1)/2)*(Inputs!$J$9-Inputs!$I$9)))/Inputs!$K$9)^2))*((2*Inputs!$L$9*((Inputs!$I$9+(((A20)+1)/2)*(Inputs!$J$9-Inputs!$I$9)))/(Inputs!$K$9^2)*Inputs!$C$11)))/(SQRT(((Inputs!$I$9+(((A20)+1)/2)*(Inputs!$J$9-Inputs!$I$9)))^2+Inputs!$C$6^2+((Inputs!$H$9+Inputs!$L$9*(((Inputs!$I$9+(((A20)+1)/2)*(Inputs!$J$9-Inputs!$I$9)))/Inputs!$K$9)^2))^2)))))/Inputs!$C$13)</x:f>
        <x:v>3514.6997376092377</x:v>
      </x:c>
    </x:row>
    <x:row r="21">
      <x:c r="A21" s="48" t="n">
        <x:f>ROUND(-1+19*2/240,3)</x:f>
        <x:v>-0.842</x:v>
      </x:c>
      <x:c r="B21" s="48" t="n">
        <x:f>IF(OR(Inputs!$F$6=TRUE,Inputs!$F$6="TRUE",Inputs!$F$6=1),(Inputs!$H$6+Inputs!$L$6*(((Inputs!$I$6+(((A21)+1)/2)*(Inputs!$J$6-Inputs!$I$6)))/Inputs!$K$6)^2),NA())</x:f>
        <x:v>402.835856</x:v>
      </x:c>
      <x:c r="C21" s="48" t="n">
        <x:f>IF(OR(Inputs!$F$7=TRUE,Inputs!$F$7="TRUE",Inputs!$F$7=1),(Inputs!$H$7+Inputs!$L$7*(((Inputs!$I$7+(((A21)+1)/2)*(Inputs!$J$7-Inputs!$I$7)))/Inputs!$K$7)^2),NA())</x:f>
        <x:v>293.77186000000006</x:v>
      </x:c>
      <x:c r="D21" s="48" t="n">
        <x:f>IF(OR(Inputs!$F$8=TRUE,Inputs!$F$8="TRUE",Inputs!$F$8=1),(Inputs!$H$8+Inputs!$L$8*(((Inputs!$I$8+(((A21)+1)/2)*(Inputs!$J$8-Inputs!$I$8)))/Inputs!$K$8)^2),NA())</x:f>
        <x:v>719.1502600000001</x:v>
      </x:c>
      <x:c r="E21" s="48" t="n">
        <x:f>IF(OR(Inputs!$F$9=TRUE,Inputs!$F$9="TRUE",Inputs!$F$9=1),(Inputs!$H$9+Inputs!$L$9*(((Inputs!$I$9+(((A21)+1)/2)*(Inputs!$J$9-Inputs!$I$9)))/Inputs!$K$9)^2),NA())</x:f>
        <x:v>716.2399000000001</x:v>
      </x:c>
      <x:c r="F21" s="49"/>
      <x:c r="G21" s="48" t="n">
        <x:f>A21</x:f>
        <x:v>-0.842</x:v>
      </x:c>
      <x:c r="H21" s="48" t="n">
        <x:f>IF(OR(Inputs!$F$6=TRUE,Inputs!$F$6="TRUE",Inputs!$F$6=1),(((SQRT(((Inputs!$I$6+(((A21)+1)/2)*(Inputs!$J$6-Inputs!$I$6)))^2+Inputs!$C$6^2+((Inputs!$H$6+Inputs!$L$6*(((Inputs!$I$6+(((A21)+1)/2)*(Inputs!$J$6-Inputs!$I$6)))/Inputs!$K$6)^2))^2))-((Inputs!$H$6+Inputs!$L$6*(((Inputs!$I$6+(((A21)+1)/2)*(Inputs!$J$6-Inputs!$I$6)))/Inputs!$K$6)^2)))*1000/Inputs!$C$12),NA())</x:f>
        <x:v>2204.7822322393863</x:v>
      </x:c>
      <x:c r="I21" s="48" t="n">
        <x:f>IF(OR(Inputs!$F$7=TRUE,Inputs!$F$7="TRUE",Inputs!$F$7=1),(((SQRT(((Inputs!$I$7+(((A21)+1)/2)*(Inputs!$J$7-Inputs!$I$7)))^2+Inputs!$C$6^2+((Inputs!$H$7+Inputs!$L$7*(((Inputs!$I$7+(((A21)+1)/2)*(Inputs!$J$7-Inputs!$I$7)))/Inputs!$K$7)^2))^2))-((Inputs!$H$7+Inputs!$L$7*(((Inputs!$I$7+(((A21)+1)/2)*(Inputs!$J$7-Inputs!$I$7)))/Inputs!$K$7)^2)))*1000/Inputs!$C$12),NA())</x:f>
        <x:v>86429.95875661507</x:v>
      </x:c>
      <x:c r="J21" s="48" t="n">
        <x:f>IF(OR(Inputs!$F$8=TRUE,Inputs!$F$8="TRUE",Inputs!$F$8=1),(((SQRT(((Inputs!$I$8+(((A21)+1)/2)*(Inputs!$J$8-Inputs!$I$8)))^2+Inputs!$C$6^2+((Inputs!$H$8+Inputs!$L$8*(((Inputs!$I$8+(((A21)+1)/2)*(Inputs!$J$8-Inputs!$I$8)))/Inputs!$K$8)^2))^2))-((Inputs!$H$8+Inputs!$L$8*(((Inputs!$I$8+(((A21)+1)/2)*(Inputs!$J$8-Inputs!$I$8)))/Inputs!$K$8)^2)))*1000/Inputs!$C$12),NA())</x:f>
        <x:v>149728.39777137816</x:v>
      </x:c>
      <x:c r="K21" s="48" t="n">
        <x:f>IF(OR(Inputs!$F$9=TRUE,Inputs!$F$9="TRUE",Inputs!$F$9=1),(((SQRT(((Inputs!$I$9+(((A21)+1)/2)*(Inputs!$J$9-Inputs!$I$9)))^2+Inputs!$C$6^2+((Inputs!$H$9+Inputs!$L$9*(((Inputs!$I$9+(((A21)+1)/2)*(Inputs!$J$9-Inputs!$I$9)))/Inputs!$K$9)^2))^2))-((Inputs!$H$9+Inputs!$L$9*(((Inputs!$I$9+(((A21)+1)/2)*(Inputs!$J$9-Inputs!$I$9)))/Inputs!$K$9)^2)))*1000/Inputs!$C$12),NA())</x:f>
        <x:v>150171.62935366906</x:v>
      </x:c>
      <x:c r="L21" s="49"/>
      <x:c r="M21" s="48" t="n">
        <x:f>A21</x:f>
        <x:v>-0.842</x:v>
      </x:c>
      <x:c r="N21" s="48" t="n">
        <x:f>IF(OR(Inputs!$F$6=TRUE,Inputs!$F$6="TRUE",Inputs!$F$6=1),(-2*((1000*((((Inputs!$I$6+(((A21)+1)/2)*(Inputs!$J$6-Inputs!$I$6)))*Inputs!$C$11+((Inputs!$H$6+Inputs!$L$6*(((Inputs!$I$6+(((A21)+1)/2)*(Inputs!$J$6-Inputs!$I$6)))/Inputs!$K$6)^2))*((2*Inputs!$L$6*((Inputs!$I$6+(((A21)+1)/2)*(Inputs!$J$6-Inputs!$I$6)))/(Inputs!$K$6^2)*Inputs!$C$11)))/(SQRT(((Inputs!$I$6+(((A21)+1)/2)*(Inputs!$J$6-Inputs!$I$6)))^2+Inputs!$C$6^2+((Inputs!$H$6+Inputs!$L$6*(((Inputs!$I$6+(((A21)+1)/2)*(Inputs!$J$6-Inputs!$I$6)))/Inputs!$K$6)^2))^2)))))/Inputs!$C$13),NA())</x:f>
        <x:v>376.615014485557</x:v>
      </x:c>
      <x:c r="O21" s="48" t="n">
        <x:f>IF(OR(Inputs!$F$7=TRUE,Inputs!$F$7="TRUE",Inputs!$F$7=1),(-2*((1000*((((Inputs!$I$7+(((A21)+1)/2)*(Inputs!$J$7-Inputs!$I$7)))*Inputs!$C$11+((Inputs!$H$7+Inputs!$L$7*(((Inputs!$I$7+(((A21)+1)/2)*(Inputs!$J$7-Inputs!$I$7)))/Inputs!$K$7)^2))*((2*Inputs!$L$7*((Inputs!$I$7+(((A21)+1)/2)*(Inputs!$J$7-Inputs!$I$7)))/(Inputs!$K$7^2)*Inputs!$C$11)))/(SQRT(((Inputs!$I$7+(((A21)+1)/2)*(Inputs!$J$7-Inputs!$I$7)))^2+Inputs!$C$6^2+((Inputs!$H$7+Inputs!$L$7*(((Inputs!$I$7+(((A21)+1)/2)*(Inputs!$J$7-Inputs!$I$7)))/Inputs!$K$7)^2))^2)))))/Inputs!$C$13),NA())</x:f>
        <x:v>2817.495135714393</x:v>
      </x:c>
      <x:c r="P21" s="48" t="n">
        <x:f>IF(OR(Inputs!$F$8=TRUE,Inputs!$F$8="TRUE",Inputs!$F$8=1),(-2*((1000*((((Inputs!$I$8+(((A21)+1)/2)*(Inputs!$J$8-Inputs!$I$8)))*Inputs!$C$11+((Inputs!$H$8+Inputs!$L$8*(((Inputs!$I$8+(((A21)+1)/2)*(Inputs!$J$8-Inputs!$I$8)))/Inputs!$K$8)^2))*((2*Inputs!$L$8*((Inputs!$I$8+(((A21)+1)/2)*(Inputs!$J$8-Inputs!$I$8)))/(Inputs!$K$8^2)*Inputs!$C$11)))/(SQRT(((Inputs!$I$8+(((A21)+1)/2)*(Inputs!$J$8-Inputs!$I$8)))^2+Inputs!$C$6^2+((Inputs!$H$8+Inputs!$L$8*(((Inputs!$I$8+(((A21)+1)/2)*(Inputs!$J$8-Inputs!$I$8)))/Inputs!$K$8)^2))^2)))))/Inputs!$C$13),NA())</x:f>
        <x:v>3464.7455054778306</x:v>
      </x:c>
      <x:c r="Q21" s="48" t="n">
        <x:f>IF(OR(Inputs!$F$9=TRUE,Inputs!$F$9="TRUE",Inputs!$F$9=1),(-2*((1000*((((Inputs!$I$9+(((A21)+1)/2)*(Inputs!$J$9-Inputs!$I$9)))*Inputs!$C$11+((Inputs!$H$9+Inputs!$L$9*(((Inputs!$I$9+(((A21)+1)/2)*(Inputs!$J$9-Inputs!$I$9)))/Inputs!$K$9)^2))*((2*Inputs!$L$9*((Inputs!$I$9+(((A21)+1)/2)*(Inputs!$J$9-Inputs!$I$9)))/(Inputs!$K$9^2)*Inputs!$C$11)))/(SQRT(((Inputs!$I$9+(((A21)+1)/2)*(Inputs!$J$9-Inputs!$I$9)))^2+Inputs!$C$6^2+((Inputs!$H$9+Inputs!$L$9*(((Inputs!$I$9+(((A21)+1)/2)*(Inputs!$J$9-Inputs!$I$9)))/Inputs!$K$9)^2))^2)))))/Inputs!$C$13),NA())</x:f>
        <x:v>3487.127877116658</x:v>
      </x:c>
      <x:c r="R21" s="49"/>
      <x:c r="S21" s="48" t="n">
        <x:f>A21</x:f>
        <x:v>-0.842</x:v>
      </x:c>
      <x:c r="T21" s="48" t="n">
        <x:f>(Inputs!$I$6+(((A21)+1)/2)*(Inputs!$J$6-Inputs!$I$6))</x:f>
        <x:v>-50.519999999999996</x:v>
      </x:c>
      <x:c r="U21" s="48" t="n">
        <x:f>(Inputs!$I$7+(((A21)+1)/2)*(Inputs!$J$7-Inputs!$I$7))</x:f>
        <x:v>-336.8</x:v>
      </x:c>
      <x:c r="V21" s="48" t="n">
        <x:f>(Inputs!$I$8+(((A21)+1)/2)*(Inputs!$J$8-Inputs!$I$8))</x:f>
        <x:v>-673.6</x:v>
      </x:c>
      <x:c r="W21" s="48" t="n">
        <x:f>(Inputs!$I$9+(((A21)+1)/2)*(Inputs!$J$9-Inputs!$I$9))</x:f>
        <x:v>-673.6</x:v>
      </x:c>
      <x:c r="X21" s="49"/>
      <x:c r="Y21" s="48" t="n">
        <x:f>A21</x:f>
        <x:v>-0.842</x:v>
      </x:c>
      <x:c r="Z21" s="48" t="n">
        <x:f>(Inputs!$H$6+Inputs!$L$6*(((Inputs!$I$6+(((A21)+1)/2)*(Inputs!$J$6-Inputs!$I$6)))/Inputs!$K$6)^2)</x:f>
        <x:v>402.835856</x:v>
      </x:c>
      <x:c r="AA21" s="48" t="n">
        <x:f>(Inputs!$H$7+Inputs!$L$7*(((Inputs!$I$7+(((A21)+1)/2)*(Inputs!$J$7-Inputs!$I$7)))/Inputs!$K$7)^2)</x:f>
        <x:v>293.77186000000006</x:v>
      </x:c>
      <x:c r="AB21" s="48" t="n">
        <x:f>(Inputs!$H$8+Inputs!$L$8*(((Inputs!$I$8+(((A21)+1)/2)*(Inputs!$J$8-Inputs!$I$8)))/Inputs!$K$8)^2)</x:f>
        <x:v>719.1502600000001</x:v>
      </x:c>
      <x:c r="AC21" s="48" t="n">
        <x:f>(Inputs!$H$9+Inputs!$L$9*(((Inputs!$I$9+(((A21)+1)/2)*(Inputs!$J$9-Inputs!$I$9)))/Inputs!$K$9)^2)</x:f>
        <x:v>716.2399000000001</x:v>
      </x:c>
      <x:c r="AD21" s="49"/>
      <x:c r="AE21" s="48" t="n">
        <x:f>A21</x:f>
        <x:v>-0.842</x:v>
      </x:c>
      <x:c r="AF21" s="48" t="n">
        <x:f>(((SQRT(((Inputs!$I$6+(((A21)+1)/2)*(Inputs!$J$6-Inputs!$I$6)))^2+Inputs!$C$6^2+((Inputs!$H$6+Inputs!$L$6*(((Inputs!$I$6+(((A21)+1)/2)*(Inputs!$J$6-Inputs!$I$6)))/Inputs!$K$6)^2))^2))-((Inputs!$H$6+Inputs!$L$6*(((Inputs!$I$6+(((A21)+1)/2)*(Inputs!$J$6-Inputs!$I$6)))/Inputs!$K$6)^2)))*1000/Inputs!$C$12)</x:f>
        <x:v>2204.7822322393863</x:v>
      </x:c>
      <x:c r="AG21" s="48" t="n">
        <x:f>(((SQRT(((Inputs!$I$7+(((A21)+1)/2)*(Inputs!$J$7-Inputs!$I$7)))^2+Inputs!$C$6^2+((Inputs!$H$7+Inputs!$L$7*(((Inputs!$I$7+(((A21)+1)/2)*(Inputs!$J$7-Inputs!$I$7)))/Inputs!$K$7)^2))^2))-((Inputs!$H$7+Inputs!$L$7*(((Inputs!$I$7+(((A21)+1)/2)*(Inputs!$J$7-Inputs!$I$7)))/Inputs!$K$7)^2)))*1000/Inputs!$C$12)</x:f>
        <x:v>86429.95875661507</x:v>
      </x:c>
      <x:c r="AH21" s="48" t="n">
        <x:f>(((SQRT(((Inputs!$I$8+(((A21)+1)/2)*(Inputs!$J$8-Inputs!$I$8)))^2+Inputs!$C$6^2+((Inputs!$H$8+Inputs!$L$8*(((Inputs!$I$8+(((A21)+1)/2)*(Inputs!$J$8-Inputs!$I$8)))/Inputs!$K$8)^2))^2))-((Inputs!$H$8+Inputs!$L$8*(((Inputs!$I$8+(((A21)+1)/2)*(Inputs!$J$8-Inputs!$I$8)))/Inputs!$K$8)^2)))*1000/Inputs!$C$12)</x:f>
        <x:v>149728.39777137816</x:v>
      </x:c>
      <x:c r="AI21" s="48" t="n">
        <x:f>(((SQRT(((Inputs!$I$9+(((A21)+1)/2)*(Inputs!$J$9-Inputs!$I$9)))^2+Inputs!$C$6^2+((Inputs!$H$9+Inputs!$L$9*(((Inputs!$I$9+(((A21)+1)/2)*(Inputs!$J$9-Inputs!$I$9)))/Inputs!$K$9)^2))^2))-((Inputs!$H$9+Inputs!$L$9*(((Inputs!$I$9+(((A21)+1)/2)*(Inputs!$J$9-Inputs!$I$9)))/Inputs!$K$9)^2)))*1000/Inputs!$C$12)</x:f>
        <x:v>150171.62935366906</x:v>
      </x:c>
      <x:c r="AJ21" s="49"/>
      <x:c r="AK21" s="48" t="n">
        <x:f>A21</x:f>
        <x:v>-0.842</x:v>
      </x:c>
      <x:c r="AL21" s="48" t="n">
        <x:f>(-2*((1000*((((Inputs!$I$6+(((A21)+1)/2)*(Inputs!$J$6-Inputs!$I$6)))*Inputs!$C$11+((Inputs!$H$6+Inputs!$L$6*(((Inputs!$I$6+(((A21)+1)/2)*(Inputs!$J$6-Inputs!$I$6)))/Inputs!$K$6)^2))*((2*Inputs!$L$6*((Inputs!$I$6+(((A21)+1)/2)*(Inputs!$J$6-Inputs!$I$6)))/(Inputs!$K$6^2)*Inputs!$C$11)))/(SQRT(((Inputs!$I$6+(((A21)+1)/2)*(Inputs!$J$6-Inputs!$I$6)))^2+Inputs!$C$6^2+((Inputs!$H$6+Inputs!$L$6*(((Inputs!$I$6+(((A21)+1)/2)*(Inputs!$J$6-Inputs!$I$6)))/Inputs!$K$6)^2))^2)))))/Inputs!$C$13)</x:f>
        <x:v>376.615014485557</x:v>
      </x:c>
      <x:c r="AM21" s="48" t="n">
        <x:f>(-2*((1000*((((Inputs!$I$7+(((A21)+1)/2)*(Inputs!$J$7-Inputs!$I$7)))*Inputs!$C$11+((Inputs!$H$7+Inputs!$L$7*(((Inputs!$I$7+(((A21)+1)/2)*(Inputs!$J$7-Inputs!$I$7)))/Inputs!$K$7)^2))*((2*Inputs!$L$7*((Inputs!$I$7+(((A21)+1)/2)*(Inputs!$J$7-Inputs!$I$7)))/(Inputs!$K$7^2)*Inputs!$C$11)))/(SQRT(((Inputs!$I$7+(((A21)+1)/2)*(Inputs!$J$7-Inputs!$I$7)))^2+Inputs!$C$6^2+((Inputs!$H$7+Inputs!$L$7*(((Inputs!$I$7+(((A21)+1)/2)*(Inputs!$J$7-Inputs!$I$7)))/Inputs!$K$7)^2))^2)))))/Inputs!$C$13)</x:f>
        <x:v>2817.495135714393</x:v>
      </x:c>
      <x:c r="AN21" s="48" t="n">
        <x:f>(-2*((1000*((((Inputs!$I$8+(((A21)+1)/2)*(Inputs!$J$8-Inputs!$I$8)))*Inputs!$C$11+((Inputs!$H$8+Inputs!$L$8*(((Inputs!$I$8+(((A21)+1)/2)*(Inputs!$J$8-Inputs!$I$8)))/Inputs!$K$8)^2))*((2*Inputs!$L$8*((Inputs!$I$8+(((A21)+1)/2)*(Inputs!$J$8-Inputs!$I$8)))/(Inputs!$K$8^2)*Inputs!$C$11)))/(SQRT(((Inputs!$I$8+(((A21)+1)/2)*(Inputs!$J$8-Inputs!$I$8)))^2+Inputs!$C$6^2+((Inputs!$H$8+Inputs!$L$8*(((Inputs!$I$8+(((A21)+1)/2)*(Inputs!$J$8-Inputs!$I$8)))/Inputs!$K$8)^2))^2)))))/Inputs!$C$13)</x:f>
        <x:v>3464.7455054778306</x:v>
      </x:c>
      <x:c r="AO21" s="48" t="n">
        <x:f>(-2*((1000*((((Inputs!$I$9+(((A21)+1)/2)*(Inputs!$J$9-Inputs!$I$9)))*Inputs!$C$11+((Inputs!$H$9+Inputs!$L$9*(((Inputs!$I$9+(((A21)+1)/2)*(Inputs!$J$9-Inputs!$I$9)))/Inputs!$K$9)^2))*((2*Inputs!$L$9*((Inputs!$I$9+(((A21)+1)/2)*(Inputs!$J$9-Inputs!$I$9)))/(Inputs!$K$9^2)*Inputs!$C$11)))/(SQRT(((Inputs!$I$9+(((A21)+1)/2)*(Inputs!$J$9-Inputs!$I$9)))^2+Inputs!$C$6^2+((Inputs!$H$9+Inputs!$L$9*(((Inputs!$I$9+(((A21)+1)/2)*(Inputs!$J$9-Inputs!$I$9)))/Inputs!$K$9)^2))^2)))))/Inputs!$C$13)</x:f>
        <x:v>3487.127877116658</x:v>
      </x:c>
    </x:row>
    <x:row r="22">
      <x:c r="A22" s="48" t="n">
        <x:f>ROUND(-1+20*2/240,3)</x:f>
        <x:v>-0.833</x:v>
      </x:c>
      <x:c r="B22" s="48" t="n">
        <x:f>IF(OR(Inputs!$F$6=TRUE,Inputs!$F$6="TRUE",Inputs!$F$6=1),(Inputs!$H$6+Inputs!$L$6*(((Inputs!$I$6+(((A22)+1)/2)*(Inputs!$J$6-Inputs!$I$6)))/Inputs!$K$6)^2),NA())</x:f>
        <x:v>402.775556</x:v>
      </x:c>
      <x:c r="C22" s="48" t="n">
        <x:f>IF(OR(Inputs!$F$7=TRUE,Inputs!$F$7="TRUE",Inputs!$F$7=1),(Inputs!$H$7+Inputs!$L$7*(((Inputs!$I$7+(((A22)+1)/2)*(Inputs!$J$7-Inputs!$I$7)))/Inputs!$K$7)^2),NA())</x:f>
        <x:v>288.26948500000003</x:v>
      </x:c>
      <x:c r="D22" s="48" t="n">
        <x:f>IF(OR(Inputs!$F$8=TRUE,Inputs!$F$8="TRUE",Inputs!$F$8=1),(Inputs!$H$8+Inputs!$L$8*(((Inputs!$I$8+(((A22)+1)/2)*(Inputs!$J$8-Inputs!$I$8)))/Inputs!$K$8)^2),NA())</x:f>
        <x:v>704.602885</x:v>
      </x:c>
      <x:c r="E22" s="48" t="n">
        <x:f>IF(OR(Inputs!$F$9=TRUE,Inputs!$F$9="TRUE",Inputs!$F$9=1),(Inputs!$H$9+Inputs!$L$9*(((Inputs!$I$9+(((A22)+1)/2)*(Inputs!$J$9-Inputs!$I$9)))/Inputs!$K$9)^2),NA())</x:f>
        <x:v>701.541775</x:v>
      </x:c>
      <x:c r="F22" s="49"/>
      <x:c r="G22" s="48" t="n">
        <x:f>A22</x:f>
        <x:v>-0.833</x:v>
      </x:c>
      <x:c r="H22" s="48" t="n">
        <x:f>IF(OR(Inputs!$F$6=TRUE,Inputs!$F$6="TRUE",Inputs!$F$6=1),(((SQRT(((Inputs!$I$6+(((A22)+1)/2)*(Inputs!$J$6-Inputs!$I$6)))^2+Inputs!$C$6^2+((Inputs!$H$6+Inputs!$L$6*(((Inputs!$I$6+(((A22)+1)/2)*(Inputs!$J$6-Inputs!$I$6)))/Inputs!$K$6)^2))^2))-((Inputs!$H$6+Inputs!$L$6*(((Inputs!$I$6+(((A22)+1)/2)*(Inputs!$J$6-Inputs!$I$6)))/Inputs!$K$6)^2)))*1000/Inputs!$C$12),NA())</x:f>
        <x:v>2167.6229993089323</x:v>
      </x:c>
      <x:c r="I22" s="48" t="n">
        <x:f>IF(OR(Inputs!$F$7=TRUE,Inputs!$F$7="TRUE",Inputs!$F$7=1),(((SQRT(((Inputs!$I$7+(((A22)+1)/2)*(Inputs!$J$7-Inputs!$I$7)))^2+Inputs!$C$6^2+((Inputs!$H$7+Inputs!$L$7*(((Inputs!$I$7+(((A22)+1)/2)*(Inputs!$J$7-Inputs!$I$7)))/Inputs!$K$7)^2))^2))-((Inputs!$H$7+Inputs!$L$7*(((Inputs!$I$7+(((A22)+1)/2)*(Inputs!$J$7-Inputs!$I$7)))/Inputs!$K$7)^2)))*1000/Inputs!$C$12),NA())</x:f>
        <x:v>85972.7379271703</x:v>
      </x:c>
      <x:c r="J22" s="48" t="n">
        <x:f>IF(OR(Inputs!$F$8=TRUE,Inputs!$F$8="TRUE",Inputs!$F$8=1),(((SQRT(((Inputs!$I$8+(((A22)+1)/2)*(Inputs!$J$8-Inputs!$I$8)))^2+Inputs!$C$6^2+((Inputs!$H$8+Inputs!$L$8*(((Inputs!$I$8+(((A22)+1)/2)*(Inputs!$J$8-Inputs!$I$8)))/Inputs!$K$8)^2))^2))-((Inputs!$H$8+Inputs!$L$8*(((Inputs!$I$8+(((A22)+1)/2)*(Inputs!$J$8-Inputs!$I$8)))/Inputs!$K$8)^2)))*1000/Inputs!$C$12),NA())</x:f>
        <x:v>149180.3451706489</x:v>
      </x:c>
      <x:c r="K22" s="48" t="n">
        <x:f>IF(OR(Inputs!$F$9=TRUE,Inputs!$F$9="TRUE",Inputs!$F$9=1),(((SQRT(((Inputs!$I$9+(((A22)+1)/2)*(Inputs!$J$9-Inputs!$I$9)))^2+Inputs!$C$6^2+((Inputs!$H$9+Inputs!$L$9*(((Inputs!$I$9+(((A22)+1)/2)*(Inputs!$J$9-Inputs!$I$9)))/Inputs!$K$9)^2))^2))-((Inputs!$H$9+Inputs!$L$9*(((Inputs!$I$9+(((A22)+1)/2)*(Inputs!$J$9-Inputs!$I$9)))/Inputs!$K$9)^2)))*1000/Inputs!$C$12),NA())</x:f>
        <x:v>149652.34113318572</x:v>
      </x:c>
      <x:c r="L22" s="49"/>
      <x:c r="M22" s="48" t="n">
        <x:f>A22</x:f>
        <x:v>-0.833</x:v>
      </x:c>
      <x:c r="N22" s="48" t="n">
        <x:f>IF(OR(Inputs!$F$6=TRUE,Inputs!$F$6="TRUE",Inputs!$F$6=1),(-2*((1000*((((Inputs!$I$6+(((A22)+1)/2)*(Inputs!$J$6-Inputs!$I$6)))*Inputs!$C$11+((Inputs!$H$6+Inputs!$L$6*(((Inputs!$I$6+(((A22)+1)/2)*(Inputs!$J$6-Inputs!$I$6)))/Inputs!$K$6)^2))*((2*Inputs!$L$6*((Inputs!$I$6+(((A22)+1)/2)*(Inputs!$J$6-Inputs!$I$6)))/(Inputs!$K$6^2)*Inputs!$C$11)))/(SQRT(((Inputs!$I$6+(((A22)+1)/2)*(Inputs!$J$6-Inputs!$I$6)))^2+Inputs!$C$6^2+((Inputs!$H$6+Inputs!$L$6*(((Inputs!$I$6+(((A22)+1)/2)*(Inputs!$J$6-Inputs!$I$6)))/Inputs!$K$6)^2))^2)))))/Inputs!$C$13),NA())</x:f>
        <x:v>372.678943338022</x:v>
      </x:c>
      <x:c r="O22" s="48" t="n">
        <x:f>IF(OR(Inputs!$F$7=TRUE,Inputs!$F$7="TRUE",Inputs!$F$7=1),(-2*((1000*((((Inputs!$I$7+(((A22)+1)/2)*(Inputs!$J$7-Inputs!$I$7)))*Inputs!$C$11+((Inputs!$H$7+Inputs!$L$7*(((Inputs!$I$7+(((A22)+1)/2)*(Inputs!$J$7-Inputs!$I$7)))/Inputs!$K$7)^2))*((2*Inputs!$L$7*((Inputs!$I$7+(((A22)+1)/2)*(Inputs!$J$7-Inputs!$I$7)))/(Inputs!$K$7^2)*Inputs!$C$11)))/(SQRT(((Inputs!$I$7+(((A22)+1)/2)*(Inputs!$J$7-Inputs!$I$7)))^2+Inputs!$C$6^2+((Inputs!$H$7+Inputs!$L$7*(((Inputs!$I$7+(((A22)+1)/2)*(Inputs!$J$7-Inputs!$I$7)))/Inputs!$K$7)^2))^2)))))/Inputs!$C$13),NA())</x:f>
        <x:v>2796.94648455112</x:v>
      </x:c>
      <x:c r="P22" s="48" t="n">
        <x:f>IF(OR(Inputs!$F$8=TRUE,Inputs!$F$8="TRUE",Inputs!$F$8=1),(-2*((1000*((((Inputs!$I$8+(((A22)+1)/2)*(Inputs!$J$8-Inputs!$I$8)))*Inputs!$C$11+((Inputs!$H$8+Inputs!$L$8*(((Inputs!$I$8+(((A22)+1)/2)*(Inputs!$J$8-Inputs!$I$8)))/Inputs!$K$8)^2))*((2*Inputs!$L$8*((Inputs!$I$8+(((A22)+1)/2)*(Inputs!$J$8-Inputs!$I$8)))/(Inputs!$K$8^2)*Inputs!$C$11)))/(SQRT(((Inputs!$I$8+(((A22)+1)/2)*(Inputs!$J$8-Inputs!$I$8)))^2+Inputs!$C$6^2+((Inputs!$H$8+Inputs!$L$8*(((Inputs!$I$8+(((A22)+1)/2)*(Inputs!$J$8-Inputs!$I$8)))/Inputs!$K$8)^2))^2)))))/Inputs!$C$13),NA())</x:f>
        <x:v>3434.3420872089278</x:v>
      </x:c>
      <x:c r="Q22" s="48" t="n">
        <x:f>IF(OR(Inputs!$F$9=TRUE,Inputs!$F$9="TRUE",Inputs!$F$9=1),(-2*((1000*((((Inputs!$I$9+(((A22)+1)/2)*(Inputs!$J$9-Inputs!$I$9)))*Inputs!$C$11+((Inputs!$H$9+Inputs!$L$9*(((Inputs!$I$9+(((A22)+1)/2)*(Inputs!$J$9-Inputs!$I$9)))/Inputs!$K$9)^2))*((2*Inputs!$L$9*((Inputs!$I$9+(((A22)+1)/2)*(Inputs!$J$9-Inputs!$I$9)))/(Inputs!$K$9^2)*Inputs!$C$11)))/(SQRT(((Inputs!$I$9+(((A22)+1)/2)*(Inputs!$J$9-Inputs!$I$9)))^2+Inputs!$C$6^2+((Inputs!$H$9+Inputs!$L$9*(((Inputs!$I$9+(((A22)+1)/2)*(Inputs!$J$9-Inputs!$I$9)))/Inputs!$K$9)^2))^2)))))/Inputs!$C$13),NA())</x:f>
        <x:v>3456.20360726222</x:v>
      </x:c>
      <x:c r="R22" s="49"/>
      <x:c r="S22" s="48" t="n">
        <x:f>A22</x:f>
        <x:v>-0.833</x:v>
      </x:c>
      <x:c r="T22" s="48" t="n">
        <x:f>(Inputs!$I$6+(((A22)+1)/2)*(Inputs!$J$6-Inputs!$I$6))</x:f>
        <x:v>-49.98</x:v>
      </x:c>
      <x:c r="U22" s="48" t="n">
        <x:f>(Inputs!$I$7+(((A22)+1)/2)*(Inputs!$J$7-Inputs!$I$7))</x:f>
        <x:v>-333.2</x:v>
      </x:c>
      <x:c r="V22" s="48" t="n">
        <x:f>(Inputs!$I$8+(((A22)+1)/2)*(Inputs!$J$8-Inputs!$I$8))</x:f>
        <x:v>-666.4</x:v>
      </x:c>
      <x:c r="W22" s="48" t="n">
        <x:f>(Inputs!$I$9+(((A22)+1)/2)*(Inputs!$J$9-Inputs!$I$9))</x:f>
        <x:v>-666.4</x:v>
      </x:c>
      <x:c r="X22" s="49"/>
      <x:c r="Y22" s="48" t="n">
        <x:f>A22</x:f>
        <x:v>-0.833</x:v>
      </x:c>
      <x:c r="Z22" s="48" t="n">
        <x:f>(Inputs!$H$6+Inputs!$L$6*(((Inputs!$I$6+(((A22)+1)/2)*(Inputs!$J$6-Inputs!$I$6)))/Inputs!$K$6)^2)</x:f>
        <x:v>402.775556</x:v>
      </x:c>
      <x:c r="AA22" s="48" t="n">
        <x:f>(Inputs!$H$7+Inputs!$L$7*(((Inputs!$I$7+(((A22)+1)/2)*(Inputs!$J$7-Inputs!$I$7)))/Inputs!$K$7)^2)</x:f>
        <x:v>288.26948500000003</x:v>
      </x:c>
      <x:c r="AB22" s="48" t="n">
        <x:f>(Inputs!$H$8+Inputs!$L$8*(((Inputs!$I$8+(((A22)+1)/2)*(Inputs!$J$8-Inputs!$I$8)))/Inputs!$K$8)^2)</x:f>
        <x:v>704.602885</x:v>
      </x:c>
      <x:c r="AC22" s="48" t="n">
        <x:f>(Inputs!$H$9+Inputs!$L$9*(((Inputs!$I$9+(((A22)+1)/2)*(Inputs!$J$9-Inputs!$I$9)))/Inputs!$K$9)^2)</x:f>
        <x:v>701.541775</x:v>
      </x:c>
      <x:c r="AD22" s="49"/>
      <x:c r="AE22" s="48" t="n">
        <x:f>A22</x:f>
        <x:v>-0.833</x:v>
      </x:c>
      <x:c r="AF22" s="48" t="n">
        <x:f>(((SQRT(((Inputs!$I$6+(((A22)+1)/2)*(Inputs!$J$6-Inputs!$I$6)))^2+Inputs!$C$6^2+((Inputs!$H$6+Inputs!$L$6*(((Inputs!$I$6+(((A22)+1)/2)*(Inputs!$J$6-Inputs!$I$6)))/Inputs!$K$6)^2))^2))-((Inputs!$H$6+Inputs!$L$6*(((Inputs!$I$6+(((A22)+1)/2)*(Inputs!$J$6-Inputs!$I$6)))/Inputs!$K$6)^2)))*1000/Inputs!$C$12)</x:f>
        <x:v>2167.6229993089323</x:v>
      </x:c>
      <x:c r="AG22" s="48" t="n">
        <x:f>(((SQRT(((Inputs!$I$7+(((A22)+1)/2)*(Inputs!$J$7-Inputs!$I$7)))^2+Inputs!$C$6^2+((Inputs!$H$7+Inputs!$L$7*(((Inputs!$I$7+(((A22)+1)/2)*(Inputs!$J$7-Inputs!$I$7)))/Inputs!$K$7)^2))^2))-((Inputs!$H$7+Inputs!$L$7*(((Inputs!$I$7+(((A22)+1)/2)*(Inputs!$J$7-Inputs!$I$7)))/Inputs!$K$7)^2)))*1000/Inputs!$C$12)</x:f>
        <x:v>85972.7379271703</x:v>
      </x:c>
      <x:c r="AH22" s="48" t="n">
        <x:f>(((SQRT(((Inputs!$I$8+(((A22)+1)/2)*(Inputs!$J$8-Inputs!$I$8)))^2+Inputs!$C$6^2+((Inputs!$H$8+Inputs!$L$8*(((Inputs!$I$8+(((A22)+1)/2)*(Inputs!$J$8-Inputs!$I$8)))/Inputs!$K$8)^2))^2))-((Inputs!$H$8+Inputs!$L$8*(((Inputs!$I$8+(((A22)+1)/2)*(Inputs!$J$8-Inputs!$I$8)))/Inputs!$K$8)^2)))*1000/Inputs!$C$12)</x:f>
        <x:v>149180.3451706489</x:v>
      </x:c>
      <x:c r="AI22" s="48" t="n">
        <x:f>(((SQRT(((Inputs!$I$9+(((A22)+1)/2)*(Inputs!$J$9-Inputs!$I$9)))^2+Inputs!$C$6^2+((Inputs!$H$9+Inputs!$L$9*(((Inputs!$I$9+(((A22)+1)/2)*(Inputs!$J$9-Inputs!$I$9)))/Inputs!$K$9)^2))^2))-((Inputs!$H$9+Inputs!$L$9*(((Inputs!$I$9+(((A22)+1)/2)*(Inputs!$J$9-Inputs!$I$9)))/Inputs!$K$9)^2)))*1000/Inputs!$C$12)</x:f>
        <x:v>149652.34113318572</x:v>
      </x:c>
      <x:c r="AJ22" s="49"/>
      <x:c r="AK22" s="48" t="n">
        <x:f>A22</x:f>
        <x:v>-0.833</x:v>
      </x:c>
      <x:c r="AL22" s="48" t="n">
        <x:f>(-2*((1000*((((Inputs!$I$6+(((A22)+1)/2)*(Inputs!$J$6-Inputs!$I$6)))*Inputs!$C$11+((Inputs!$H$6+Inputs!$L$6*(((Inputs!$I$6+(((A22)+1)/2)*(Inputs!$J$6-Inputs!$I$6)))/Inputs!$K$6)^2))*((2*Inputs!$L$6*((Inputs!$I$6+(((A22)+1)/2)*(Inputs!$J$6-Inputs!$I$6)))/(Inputs!$K$6^2)*Inputs!$C$11)))/(SQRT(((Inputs!$I$6+(((A22)+1)/2)*(Inputs!$J$6-Inputs!$I$6)))^2+Inputs!$C$6^2+((Inputs!$H$6+Inputs!$L$6*(((Inputs!$I$6+(((A22)+1)/2)*(Inputs!$J$6-Inputs!$I$6)))/Inputs!$K$6)^2))^2)))))/Inputs!$C$13)</x:f>
        <x:v>372.678943338022</x:v>
      </x:c>
      <x:c r="AM22" s="48" t="n">
        <x:f>(-2*((1000*((((Inputs!$I$7+(((A22)+1)/2)*(Inputs!$J$7-Inputs!$I$7)))*Inputs!$C$11+((Inputs!$H$7+Inputs!$L$7*(((Inputs!$I$7+(((A22)+1)/2)*(Inputs!$J$7-Inputs!$I$7)))/Inputs!$K$7)^2))*((2*Inputs!$L$7*((Inputs!$I$7+(((A22)+1)/2)*(Inputs!$J$7-Inputs!$I$7)))/(Inputs!$K$7^2)*Inputs!$C$11)))/(SQRT(((Inputs!$I$7+(((A22)+1)/2)*(Inputs!$J$7-Inputs!$I$7)))^2+Inputs!$C$6^2+((Inputs!$H$7+Inputs!$L$7*(((Inputs!$I$7+(((A22)+1)/2)*(Inputs!$J$7-Inputs!$I$7)))/Inputs!$K$7)^2))^2)))))/Inputs!$C$13)</x:f>
        <x:v>2796.94648455112</x:v>
      </x:c>
      <x:c r="AN22" s="48" t="n">
        <x:f>(-2*((1000*((((Inputs!$I$8+(((A22)+1)/2)*(Inputs!$J$8-Inputs!$I$8)))*Inputs!$C$11+((Inputs!$H$8+Inputs!$L$8*(((Inputs!$I$8+(((A22)+1)/2)*(Inputs!$J$8-Inputs!$I$8)))/Inputs!$K$8)^2))*((2*Inputs!$L$8*((Inputs!$I$8+(((A22)+1)/2)*(Inputs!$J$8-Inputs!$I$8)))/(Inputs!$K$8^2)*Inputs!$C$11)))/(SQRT(((Inputs!$I$8+(((A22)+1)/2)*(Inputs!$J$8-Inputs!$I$8)))^2+Inputs!$C$6^2+((Inputs!$H$8+Inputs!$L$8*(((Inputs!$I$8+(((A22)+1)/2)*(Inputs!$J$8-Inputs!$I$8)))/Inputs!$K$8)^2))^2)))))/Inputs!$C$13)</x:f>
        <x:v>3434.3420872089278</x:v>
      </x:c>
      <x:c r="AO22" s="48" t="n">
        <x:f>(-2*((1000*((((Inputs!$I$9+(((A22)+1)/2)*(Inputs!$J$9-Inputs!$I$9)))*Inputs!$C$11+((Inputs!$H$9+Inputs!$L$9*(((Inputs!$I$9+(((A22)+1)/2)*(Inputs!$J$9-Inputs!$I$9)))/Inputs!$K$9)^2))*((2*Inputs!$L$9*((Inputs!$I$9+(((A22)+1)/2)*(Inputs!$J$9-Inputs!$I$9)))/(Inputs!$K$9^2)*Inputs!$C$11)))/(SQRT(((Inputs!$I$9+(((A22)+1)/2)*(Inputs!$J$9-Inputs!$I$9)))^2+Inputs!$C$6^2+((Inputs!$H$9+Inputs!$L$9*(((Inputs!$I$9+(((A22)+1)/2)*(Inputs!$J$9-Inputs!$I$9)))/Inputs!$K$9)^2))^2)))))/Inputs!$C$13)</x:f>
        <x:v>3456.20360726222</x:v>
      </x:c>
    </x:row>
    <x:row r="23">
      <x:c r="A23" s="48" t="n">
        <x:f>ROUND(-1+21*2/240,3)</x:f>
        <x:v>-0.825</x:v>
      </x:c>
      <x:c r="B23" s="48" t="n">
        <x:f>IF(OR(Inputs!$F$6=TRUE,Inputs!$F$6="TRUE",Inputs!$F$6=1),(Inputs!$H$6+Inputs!$L$6*(((Inputs!$I$6+(((A23)+1)/2)*(Inputs!$J$6-Inputs!$I$6)))/Inputs!$K$6)^2),NA())</x:f>
        <x:v>402.7225</x:v>
      </x:c>
      <x:c r="C23" s="48" t="n">
        <x:f>IF(OR(Inputs!$F$7=TRUE,Inputs!$F$7="TRUE",Inputs!$F$7=1),(Inputs!$H$7+Inputs!$L$7*(((Inputs!$I$7+(((A23)+1)/2)*(Inputs!$J$7-Inputs!$I$7)))/Inputs!$K$7)^2),NA())</x:f>
        <x:v>283.42812499999997</x:v>
      </x:c>
      <x:c r="D23" s="48" t="n">
        <x:f>IF(OR(Inputs!$F$8=TRUE,Inputs!$F$8="TRUE",Inputs!$F$8=1),(Inputs!$H$8+Inputs!$L$8*(((Inputs!$I$8+(((A23)+1)/2)*(Inputs!$J$8-Inputs!$I$8)))/Inputs!$K$8)^2),NA())</x:f>
        <x:v>691.8031249999999</x:v>
      </x:c>
      <x:c r="E23" s="48" t="n">
        <x:f>IF(OR(Inputs!$F$9=TRUE,Inputs!$F$9="TRUE",Inputs!$F$9=1),(Inputs!$H$9+Inputs!$L$9*(((Inputs!$I$9+(((A23)+1)/2)*(Inputs!$J$9-Inputs!$I$9)))/Inputs!$K$9)^2),NA())</x:f>
        <x:v>688.6093749999999</x:v>
      </x:c>
      <x:c r="F23" s="49"/>
      <x:c r="G23" s="48" t="n">
        <x:f>A23</x:f>
        <x:v>-0.825</x:v>
      </x:c>
      <x:c r="H23" s="48" t="n">
        <x:f>IF(OR(Inputs!$F$6=TRUE,Inputs!$F$6="TRUE",Inputs!$F$6=1),(((SQRT(((Inputs!$I$6+(((A23)+1)/2)*(Inputs!$J$6-Inputs!$I$6)))^2+Inputs!$C$6^2+((Inputs!$H$6+Inputs!$L$6*(((Inputs!$I$6+(((A23)+1)/2)*(Inputs!$J$6-Inputs!$I$6)))/Inputs!$K$6)^2))^2))-((Inputs!$H$6+Inputs!$L$6*(((Inputs!$I$6+(((A23)+1)/2)*(Inputs!$J$6-Inputs!$I$6)))/Inputs!$K$6)^2)))*1000/Inputs!$C$12),NA())</x:f>
        <x:v>2134.9136872674544</x:v>
      </x:c>
      <x:c r="I23" s="48" t="n">
        <x:f>IF(OR(Inputs!$F$7=TRUE,Inputs!$F$7="TRUE",Inputs!$F$7=1),(((SQRT(((Inputs!$I$7+(((A23)+1)/2)*(Inputs!$J$7-Inputs!$I$7)))^2+Inputs!$C$6^2+((Inputs!$H$7+Inputs!$L$7*(((Inputs!$I$7+(((A23)+1)/2)*(Inputs!$J$7-Inputs!$I$7)))/Inputs!$K$7)^2))^2))-((Inputs!$H$7+Inputs!$L$7*(((Inputs!$I$7+(((A23)+1)/2)*(Inputs!$J$7-Inputs!$I$7)))/Inputs!$K$7)^2)))*1000/Inputs!$C$12),NA())</x:f>
        <x:v>85560.18809842186</x:v>
      </x:c>
      <x:c r="J23" s="48" t="n">
        <x:f>IF(OR(Inputs!$F$8=TRUE,Inputs!$F$8="TRUE",Inputs!$F$8=1),(((SQRT(((Inputs!$I$8+(((A23)+1)/2)*(Inputs!$J$8-Inputs!$I$8)))^2+Inputs!$C$6^2+((Inputs!$H$8+Inputs!$L$8*(((Inputs!$I$8+(((A23)+1)/2)*(Inputs!$J$8-Inputs!$I$8)))/Inputs!$K$8)^2))^2))-((Inputs!$H$8+Inputs!$L$8*(((Inputs!$I$8+(((A23)+1)/2)*(Inputs!$J$8-Inputs!$I$8)))/Inputs!$K$8)^2)))*1000/Inputs!$C$12),NA())</x:f>
        <x:v>148683.88203403619</x:v>
      </x:c>
      <x:c r="K23" s="48" t="n">
        <x:f>IF(OR(Inputs!$F$9=TRUE,Inputs!$F$9="TRUE",Inputs!$F$9=1),(((SQRT(((Inputs!$I$9+(((A23)+1)/2)*(Inputs!$J$9-Inputs!$I$9)))^2+Inputs!$C$6^2+((Inputs!$H$9+Inputs!$L$9*(((Inputs!$I$9+(((A23)+1)/2)*(Inputs!$J$9-Inputs!$I$9)))/Inputs!$K$9)^2))^2))-((Inputs!$H$9+Inputs!$L$9*(((Inputs!$I$9+(((A23)+1)/2)*(Inputs!$J$9-Inputs!$I$9)))/Inputs!$K$9)^2)))*1000/Inputs!$C$12),NA())</x:f>
        <x:v>149181.78940271804</x:v>
      </x:c>
      <x:c r="L23" s="49"/>
      <x:c r="M23" s="48" t="n">
        <x:f>A23</x:f>
        <x:v>-0.825</x:v>
      </x:c>
      <x:c r="N23" s="48" t="n">
        <x:f>IF(OR(Inputs!$F$6=TRUE,Inputs!$F$6="TRUE",Inputs!$F$6=1),(-2*((1000*((((Inputs!$I$6+(((A23)+1)/2)*(Inputs!$J$6-Inputs!$I$6)))*Inputs!$C$11+((Inputs!$H$6+Inputs!$L$6*(((Inputs!$I$6+(((A23)+1)/2)*(Inputs!$J$6-Inputs!$I$6)))/Inputs!$K$6)^2))*((2*Inputs!$L$6*((Inputs!$I$6+(((A23)+1)/2)*(Inputs!$J$6-Inputs!$I$6)))/(Inputs!$K$6^2)*Inputs!$C$11)))/(SQRT(((Inputs!$I$6+(((A23)+1)/2)*(Inputs!$J$6-Inputs!$I$6)))^2+Inputs!$C$6^2+((Inputs!$H$6+Inputs!$L$6*(((Inputs!$I$6+(((A23)+1)/2)*(Inputs!$J$6-Inputs!$I$6)))/Inputs!$K$6)^2))^2)))))/Inputs!$C$13),NA())</x:f>
        <x:v>369.17785846022554</x:v>
      </x:c>
      <x:c r="O23" s="48" t="n">
        <x:f>IF(OR(Inputs!$F$7=TRUE,Inputs!$F$7="TRUE",Inputs!$F$7=1),(-2*((1000*((((Inputs!$I$7+(((A23)+1)/2)*(Inputs!$J$7-Inputs!$I$7)))*Inputs!$C$11+((Inputs!$H$7+Inputs!$L$7*(((Inputs!$I$7+(((A23)+1)/2)*(Inputs!$J$7-Inputs!$I$7)))/Inputs!$K$7)^2))*((2*Inputs!$L$7*((Inputs!$I$7+(((A23)+1)/2)*(Inputs!$J$7-Inputs!$I$7)))/(Inputs!$K$7^2)*Inputs!$C$11)))/(SQRT(((Inputs!$I$7+(((A23)+1)/2)*(Inputs!$J$7-Inputs!$I$7)))^2+Inputs!$C$6^2+((Inputs!$H$7+Inputs!$L$7*(((Inputs!$I$7+(((A23)+1)/2)*(Inputs!$J$7-Inputs!$I$7)))/Inputs!$K$7)^2))^2)))))/Inputs!$C$13),NA())</x:f>
        <x:v>2778.765577278079</x:v>
      </x:c>
      <x:c r="P23" s="48" t="n">
        <x:f>IF(OR(Inputs!$F$8=TRUE,Inputs!$F$8="TRUE",Inputs!$F$8=1),(-2*((1000*((((Inputs!$I$8+(((A23)+1)/2)*(Inputs!$J$8-Inputs!$I$8)))*Inputs!$C$11+((Inputs!$H$8+Inputs!$L$8*(((Inputs!$I$8+(((A23)+1)/2)*(Inputs!$J$8-Inputs!$I$8)))/Inputs!$K$8)^2))*((2*Inputs!$L$8*((Inputs!$I$8+(((A23)+1)/2)*(Inputs!$J$8-Inputs!$I$8)))/(Inputs!$K$8^2)*Inputs!$C$11)))/(SQRT(((Inputs!$I$8+(((A23)+1)/2)*(Inputs!$J$8-Inputs!$I$8)))^2+Inputs!$C$6^2+((Inputs!$H$8+Inputs!$L$8*(((Inputs!$I$8+(((A23)+1)/2)*(Inputs!$J$8-Inputs!$I$8)))/Inputs!$K$8)^2))^2)))))/Inputs!$C$13),NA())</x:f>
        <x:v>3407.4039366744537</x:v>
      </x:c>
      <x:c r="Q23" s="48" t="n">
        <x:f>IF(OR(Inputs!$F$9=TRUE,Inputs!$F$9="TRUE",Inputs!$F$9=1),(-2*((1000*((((Inputs!$I$9+(((A23)+1)/2)*(Inputs!$J$9-Inputs!$I$9)))*Inputs!$C$11+((Inputs!$H$9+Inputs!$L$9*(((Inputs!$I$9+(((A23)+1)/2)*(Inputs!$J$9-Inputs!$I$9)))/Inputs!$K$9)^2))*((2*Inputs!$L$9*((Inputs!$I$9+(((A23)+1)/2)*(Inputs!$J$9-Inputs!$I$9)))/(Inputs!$K$9^2)*Inputs!$C$11)))/(SQRT(((Inputs!$I$9+(((A23)+1)/2)*(Inputs!$J$9-Inputs!$I$9)))^2+Inputs!$C$6^2+((Inputs!$H$9+Inputs!$L$9*(((Inputs!$I$9+(((A23)+1)/2)*(Inputs!$J$9-Inputs!$I$9)))/Inputs!$K$9)^2))^2)))))/Inputs!$C$13),NA())</x:f>
        <x:v>3428.801042123591</x:v>
      </x:c>
      <x:c r="R23" s="49"/>
      <x:c r="S23" s="48" t="n">
        <x:f>A23</x:f>
        <x:v>-0.825</x:v>
      </x:c>
      <x:c r="T23" s="48" t="n">
        <x:f>(Inputs!$I$6+(((A23)+1)/2)*(Inputs!$J$6-Inputs!$I$6))</x:f>
        <x:v>-49.5</x:v>
      </x:c>
      <x:c r="U23" s="48" t="n">
        <x:f>(Inputs!$I$7+(((A23)+1)/2)*(Inputs!$J$7-Inputs!$I$7))</x:f>
        <x:v>-330</x:v>
      </x:c>
      <x:c r="V23" s="48" t="n">
        <x:f>(Inputs!$I$8+(((A23)+1)/2)*(Inputs!$J$8-Inputs!$I$8))</x:f>
        <x:v>-660</x:v>
      </x:c>
      <x:c r="W23" s="48" t="n">
        <x:f>(Inputs!$I$9+(((A23)+1)/2)*(Inputs!$J$9-Inputs!$I$9))</x:f>
        <x:v>-660</x:v>
      </x:c>
      <x:c r="X23" s="49"/>
      <x:c r="Y23" s="48" t="n">
        <x:f>A23</x:f>
        <x:v>-0.825</x:v>
      </x:c>
      <x:c r="Z23" s="48" t="n">
        <x:f>(Inputs!$H$6+Inputs!$L$6*(((Inputs!$I$6+(((A23)+1)/2)*(Inputs!$J$6-Inputs!$I$6)))/Inputs!$K$6)^2)</x:f>
        <x:v>402.7225</x:v>
      </x:c>
      <x:c r="AA23" s="48" t="n">
        <x:f>(Inputs!$H$7+Inputs!$L$7*(((Inputs!$I$7+(((A23)+1)/2)*(Inputs!$J$7-Inputs!$I$7)))/Inputs!$K$7)^2)</x:f>
        <x:v>283.42812499999997</x:v>
      </x:c>
      <x:c r="AB23" s="48" t="n">
        <x:f>(Inputs!$H$8+Inputs!$L$8*(((Inputs!$I$8+(((A23)+1)/2)*(Inputs!$J$8-Inputs!$I$8)))/Inputs!$K$8)^2)</x:f>
        <x:v>691.8031249999999</x:v>
      </x:c>
      <x:c r="AC23" s="48" t="n">
        <x:f>(Inputs!$H$9+Inputs!$L$9*(((Inputs!$I$9+(((A23)+1)/2)*(Inputs!$J$9-Inputs!$I$9)))/Inputs!$K$9)^2)</x:f>
        <x:v>688.6093749999999</x:v>
      </x:c>
      <x:c r="AD23" s="49"/>
      <x:c r="AE23" s="48" t="n">
        <x:f>A23</x:f>
        <x:v>-0.825</x:v>
      </x:c>
      <x:c r="AF23" s="48" t="n">
        <x:f>(((SQRT(((Inputs!$I$6+(((A23)+1)/2)*(Inputs!$J$6-Inputs!$I$6)))^2+Inputs!$C$6^2+((Inputs!$H$6+Inputs!$L$6*(((Inputs!$I$6+(((A23)+1)/2)*(Inputs!$J$6-Inputs!$I$6)))/Inputs!$K$6)^2))^2))-((Inputs!$H$6+Inputs!$L$6*(((Inputs!$I$6+(((A23)+1)/2)*(Inputs!$J$6-Inputs!$I$6)))/Inputs!$K$6)^2)))*1000/Inputs!$C$12)</x:f>
        <x:v>2134.9136872674544</x:v>
      </x:c>
      <x:c r="AG23" s="48" t="n">
        <x:f>(((SQRT(((Inputs!$I$7+(((A23)+1)/2)*(Inputs!$J$7-Inputs!$I$7)))^2+Inputs!$C$6^2+((Inputs!$H$7+Inputs!$L$7*(((Inputs!$I$7+(((A23)+1)/2)*(Inputs!$J$7-Inputs!$I$7)))/Inputs!$K$7)^2))^2))-((Inputs!$H$7+Inputs!$L$7*(((Inputs!$I$7+(((A23)+1)/2)*(Inputs!$J$7-Inputs!$I$7)))/Inputs!$K$7)^2)))*1000/Inputs!$C$12)</x:f>
        <x:v>85560.18809842186</x:v>
      </x:c>
      <x:c r="AH23" s="48" t="n">
        <x:f>(((SQRT(((Inputs!$I$8+(((A23)+1)/2)*(Inputs!$J$8-Inputs!$I$8)))^2+Inputs!$C$6^2+((Inputs!$H$8+Inputs!$L$8*(((Inputs!$I$8+(((A23)+1)/2)*(Inputs!$J$8-Inputs!$I$8)))/Inputs!$K$8)^2))^2))-((Inputs!$H$8+Inputs!$L$8*(((Inputs!$I$8+(((A23)+1)/2)*(Inputs!$J$8-Inputs!$I$8)))/Inputs!$K$8)^2)))*1000/Inputs!$C$12)</x:f>
        <x:v>148683.88203403619</x:v>
      </x:c>
      <x:c r="AI23" s="48" t="n">
        <x:f>(((SQRT(((Inputs!$I$9+(((A23)+1)/2)*(Inputs!$J$9-Inputs!$I$9)))^2+Inputs!$C$6^2+((Inputs!$H$9+Inputs!$L$9*(((Inputs!$I$9+(((A23)+1)/2)*(Inputs!$J$9-Inputs!$I$9)))/Inputs!$K$9)^2))^2))-((Inputs!$H$9+Inputs!$L$9*(((Inputs!$I$9+(((A23)+1)/2)*(Inputs!$J$9-Inputs!$I$9)))/Inputs!$K$9)^2)))*1000/Inputs!$C$12)</x:f>
        <x:v>149181.78940271804</x:v>
      </x:c>
      <x:c r="AJ23" s="49"/>
      <x:c r="AK23" s="48" t="n">
        <x:f>A23</x:f>
        <x:v>-0.825</x:v>
      </x:c>
      <x:c r="AL23" s="48" t="n">
        <x:f>(-2*((1000*((((Inputs!$I$6+(((A23)+1)/2)*(Inputs!$J$6-Inputs!$I$6)))*Inputs!$C$11+((Inputs!$H$6+Inputs!$L$6*(((Inputs!$I$6+(((A23)+1)/2)*(Inputs!$J$6-Inputs!$I$6)))/Inputs!$K$6)^2))*((2*Inputs!$L$6*((Inputs!$I$6+(((A23)+1)/2)*(Inputs!$J$6-Inputs!$I$6)))/(Inputs!$K$6^2)*Inputs!$C$11)))/(SQRT(((Inputs!$I$6+(((A23)+1)/2)*(Inputs!$J$6-Inputs!$I$6)))^2+Inputs!$C$6^2+((Inputs!$H$6+Inputs!$L$6*(((Inputs!$I$6+(((A23)+1)/2)*(Inputs!$J$6-Inputs!$I$6)))/Inputs!$K$6)^2))^2)))))/Inputs!$C$13)</x:f>
        <x:v>369.17785846022554</x:v>
      </x:c>
      <x:c r="AM23" s="48" t="n">
        <x:f>(-2*((1000*((((Inputs!$I$7+(((A23)+1)/2)*(Inputs!$J$7-Inputs!$I$7)))*Inputs!$C$11+((Inputs!$H$7+Inputs!$L$7*(((Inputs!$I$7+(((A23)+1)/2)*(Inputs!$J$7-Inputs!$I$7)))/Inputs!$K$7)^2))*((2*Inputs!$L$7*((Inputs!$I$7+(((A23)+1)/2)*(Inputs!$J$7-Inputs!$I$7)))/(Inputs!$K$7^2)*Inputs!$C$11)))/(SQRT(((Inputs!$I$7+(((A23)+1)/2)*(Inputs!$J$7-Inputs!$I$7)))^2+Inputs!$C$6^2+((Inputs!$H$7+Inputs!$L$7*(((Inputs!$I$7+(((A23)+1)/2)*(Inputs!$J$7-Inputs!$I$7)))/Inputs!$K$7)^2))^2)))))/Inputs!$C$13)</x:f>
        <x:v>2778.765577278079</x:v>
      </x:c>
      <x:c r="AN23" s="48" t="n">
        <x:f>(-2*((1000*((((Inputs!$I$8+(((A23)+1)/2)*(Inputs!$J$8-Inputs!$I$8)))*Inputs!$C$11+((Inputs!$H$8+Inputs!$L$8*(((Inputs!$I$8+(((A23)+1)/2)*(Inputs!$J$8-Inputs!$I$8)))/Inputs!$K$8)^2))*((2*Inputs!$L$8*((Inputs!$I$8+(((A23)+1)/2)*(Inputs!$J$8-Inputs!$I$8)))/(Inputs!$K$8^2)*Inputs!$C$11)))/(SQRT(((Inputs!$I$8+(((A23)+1)/2)*(Inputs!$J$8-Inputs!$I$8)))^2+Inputs!$C$6^2+((Inputs!$H$8+Inputs!$L$8*(((Inputs!$I$8+(((A23)+1)/2)*(Inputs!$J$8-Inputs!$I$8)))/Inputs!$K$8)^2))^2)))))/Inputs!$C$13)</x:f>
        <x:v>3407.4039366744537</x:v>
      </x:c>
      <x:c r="AO23" s="48" t="n">
        <x:f>(-2*((1000*((((Inputs!$I$9+(((A23)+1)/2)*(Inputs!$J$9-Inputs!$I$9)))*Inputs!$C$11+((Inputs!$H$9+Inputs!$L$9*(((Inputs!$I$9+(((A23)+1)/2)*(Inputs!$J$9-Inputs!$I$9)))/Inputs!$K$9)^2))*((2*Inputs!$L$9*((Inputs!$I$9+(((A23)+1)/2)*(Inputs!$J$9-Inputs!$I$9)))/(Inputs!$K$9^2)*Inputs!$C$11)))/(SQRT(((Inputs!$I$9+(((A23)+1)/2)*(Inputs!$J$9-Inputs!$I$9)))^2+Inputs!$C$6^2+((Inputs!$H$9+Inputs!$L$9*(((Inputs!$I$9+(((A23)+1)/2)*(Inputs!$J$9-Inputs!$I$9)))/Inputs!$K$9)^2))^2)))))/Inputs!$C$13)</x:f>
        <x:v>3428.801042123591</x:v>
      </x:c>
    </x:row>
    <x:row r="24">
      <x:c r="A24" s="48" t="n">
        <x:f>ROUND(-1+22*2/240,3)</x:f>
        <x:v>-0.817</x:v>
      </x:c>
      <x:c r="B24" s="48" t="n">
        <x:f>IF(OR(Inputs!$F$6=TRUE,Inputs!$F$6="TRUE",Inputs!$F$6=1),(Inputs!$H$6+Inputs!$L$6*(((Inputs!$I$6+(((A24)+1)/2)*(Inputs!$J$6-Inputs!$I$6)))/Inputs!$K$6)^2),NA())</x:f>
        <x:v>402.669956</x:v>
      </x:c>
      <x:c r="C24" s="48" t="n">
        <x:f>IF(OR(Inputs!$F$7=TRUE,Inputs!$F$7="TRUE",Inputs!$F$7=1),(Inputs!$H$7+Inputs!$L$7*(((Inputs!$I$7+(((A24)+1)/2)*(Inputs!$J$7-Inputs!$I$7)))/Inputs!$K$7)^2),NA())</x:f>
        <x:v>278.63348499999995</x:v>
      </x:c>
      <x:c r="D24" s="48" t="n">
        <x:f>IF(OR(Inputs!$F$8=TRUE,Inputs!$F$8="TRUE",Inputs!$F$8=1),(Inputs!$H$8+Inputs!$L$8*(((Inputs!$I$8+(((A24)+1)/2)*(Inputs!$J$8-Inputs!$I$8)))/Inputs!$K$8)^2),NA())</x:f>
        <x:v>679.1268849999998</x:v>
      </x:c>
      <x:c r="E24" s="48" t="n">
        <x:f>IF(OR(Inputs!$F$9=TRUE,Inputs!$F$9="TRUE",Inputs!$F$9=1),(Inputs!$H$9+Inputs!$L$9*(((Inputs!$I$9+(((A24)+1)/2)*(Inputs!$J$9-Inputs!$I$9)))/Inputs!$K$9)^2),NA())</x:f>
        <x:v>675.8017749999998</x:v>
      </x:c>
      <x:c r="F24" s="49"/>
      <x:c r="G24" s="48" t="n">
        <x:f>A24</x:f>
        <x:v>-0.817</x:v>
      </x:c>
      <x:c r="H24" s="48" t="n">
        <x:f>IF(OR(Inputs!$F$6=TRUE,Inputs!$F$6="TRUE",Inputs!$F$6=1),(((SQRT(((Inputs!$I$6+(((A24)+1)/2)*(Inputs!$J$6-Inputs!$I$6)))^2+Inputs!$C$6^2+((Inputs!$H$6+Inputs!$L$6*(((Inputs!$I$6+(((A24)+1)/2)*(Inputs!$J$6-Inputs!$I$6)))/Inputs!$K$6)^2))^2))-((Inputs!$H$6+Inputs!$L$6*(((Inputs!$I$6+(((A24)+1)/2)*(Inputs!$J$6-Inputs!$I$6)))/Inputs!$K$6)^2)))*1000/Inputs!$C$12),NA())</x:f>
        <x:v>2102.5069906940053</x:v>
      </x:c>
      <x:c r="I24" s="48" t="n">
        <x:f>IF(OR(Inputs!$F$7=TRUE,Inputs!$F$7="TRUE",Inputs!$F$7=1),(((SQRT(((Inputs!$I$7+(((A24)+1)/2)*(Inputs!$J$7-Inputs!$I$7)))^2+Inputs!$C$6^2+((Inputs!$H$7+Inputs!$L$7*(((Inputs!$I$7+(((A24)+1)/2)*(Inputs!$J$7-Inputs!$I$7)))/Inputs!$K$7)^2))^2))-((Inputs!$H$7+Inputs!$L$7*(((Inputs!$I$7+(((A24)+1)/2)*(Inputs!$J$7-Inputs!$I$7)))/Inputs!$K$7)^2)))*1000/Inputs!$C$12),NA())</x:f>
        <x:v>85141.7737953123</x:v>
      </x:c>
      <x:c r="J24" s="48" t="n">
        <x:f>IF(OR(Inputs!$F$8=TRUE,Inputs!$F$8="TRUE",Inputs!$F$8=1),(((SQRT(((Inputs!$I$8+(((A24)+1)/2)*(Inputs!$J$8-Inputs!$I$8)))^2+Inputs!$C$6^2+((Inputs!$H$8+Inputs!$L$8*(((Inputs!$I$8+(((A24)+1)/2)*(Inputs!$J$8-Inputs!$I$8)))/Inputs!$K$8)^2))^2))-((Inputs!$H$8+Inputs!$L$8*(((Inputs!$I$8+(((A24)+1)/2)*(Inputs!$J$8-Inputs!$I$8)))/Inputs!$K$8)^2)))*1000/Inputs!$C$12),NA())</x:f>
        <x:v>148178.4668499066</x:v>
      </x:c>
      <x:c r="K24" s="48" t="n">
        <x:f>IF(OR(Inputs!$F$9=TRUE,Inputs!$F$9="TRUE",Inputs!$F$9=1),(((SQRT(((Inputs!$I$9+(((A24)+1)/2)*(Inputs!$J$9-Inputs!$I$9)))^2+Inputs!$C$6^2+((Inputs!$H$9+Inputs!$L$9*(((Inputs!$I$9+(((A24)+1)/2)*(Inputs!$J$9-Inputs!$I$9)))/Inputs!$K$9)^2))^2))-((Inputs!$H$9+Inputs!$L$9*(((Inputs!$I$9+(((A24)+1)/2)*(Inputs!$J$9-Inputs!$I$9)))/Inputs!$K$9)^2)))*1000/Inputs!$C$12),NA())</x:f>
        <x:v>148702.6116459541</x:v>
      </x:c>
      <x:c r="L24" s="49"/>
      <x:c r="M24" s="48" t="n">
        <x:f>A24</x:f>
        <x:v>-0.817</x:v>
      </x:c>
      <x:c r="N24" s="48" t="n">
        <x:f>IF(OR(Inputs!$F$6=TRUE,Inputs!$F$6="TRUE",Inputs!$F$6=1),(-2*((1000*((((Inputs!$I$6+(((A24)+1)/2)*(Inputs!$J$6-Inputs!$I$6)))*Inputs!$C$11+((Inputs!$H$6+Inputs!$L$6*(((Inputs!$I$6+(((A24)+1)/2)*(Inputs!$J$6-Inputs!$I$6)))/Inputs!$K$6)^2))*((2*Inputs!$L$6*((Inputs!$I$6+(((A24)+1)/2)*(Inputs!$J$6-Inputs!$I$6)))/(Inputs!$K$6^2)*Inputs!$C$11)))/(SQRT(((Inputs!$I$6+(((A24)+1)/2)*(Inputs!$J$6-Inputs!$I$6)))^2+Inputs!$C$6^2+((Inputs!$H$6+Inputs!$L$6*(((Inputs!$I$6+(((A24)+1)/2)*(Inputs!$J$6-Inputs!$I$6)))/Inputs!$K$6)^2))^2)))))/Inputs!$C$13),NA())</x:f>
        <x:v>365.6745761697509</x:v>
      </x:c>
      <x:c r="O24" s="48" t="n">
        <x:f>IF(OR(Inputs!$F$7=TRUE,Inputs!$F$7="TRUE",Inputs!$F$7=1),(-2*((1000*((((Inputs!$I$7+(((A24)+1)/2)*(Inputs!$J$7-Inputs!$I$7)))*Inputs!$C$11+((Inputs!$H$7+Inputs!$L$7*(((Inputs!$I$7+(((A24)+1)/2)*(Inputs!$J$7-Inputs!$I$7)))/Inputs!$K$7)^2))*((2*Inputs!$L$7*((Inputs!$I$7+(((A24)+1)/2)*(Inputs!$J$7-Inputs!$I$7)))/(Inputs!$K$7^2)*Inputs!$C$11)))/(SQRT(((Inputs!$I$7+(((A24)+1)/2)*(Inputs!$J$7-Inputs!$I$7)))^2+Inputs!$C$6^2+((Inputs!$H$7+Inputs!$L$7*(((Inputs!$I$7+(((A24)+1)/2)*(Inputs!$J$7-Inputs!$I$7)))/Inputs!$K$7)^2))^2)))))/Inputs!$C$13),NA())</x:f>
        <x:v>2760.6654385746915</x:v>
      </x:c>
      <x:c r="P24" s="48" t="n">
        <x:f>IF(OR(Inputs!$F$8=TRUE,Inputs!$F$8="TRUE",Inputs!$F$8=1),(-2*((1000*((((Inputs!$I$8+(((A24)+1)/2)*(Inputs!$J$8-Inputs!$I$8)))*Inputs!$C$11+((Inputs!$H$8+Inputs!$L$8*(((Inputs!$I$8+(((A24)+1)/2)*(Inputs!$J$8-Inputs!$I$8)))/Inputs!$K$8)^2))*((2*Inputs!$L$8*((Inputs!$I$8+(((A24)+1)/2)*(Inputs!$J$8-Inputs!$I$8)))/(Inputs!$K$8^2)*Inputs!$C$11)))/(SQRT(((Inputs!$I$8+(((A24)+1)/2)*(Inputs!$J$8-Inputs!$I$8)))^2+Inputs!$C$6^2+((Inputs!$H$8+Inputs!$L$8*(((Inputs!$I$8+(((A24)+1)/2)*(Inputs!$J$8-Inputs!$I$8)))/Inputs!$K$8)^2))^2)))))/Inputs!$C$13),NA())</x:f>
        <x:v>3380.5497256420495</x:v>
      </x:c>
      <x:c r="Q24" s="48" t="n">
        <x:f>IF(OR(Inputs!$F$9=TRUE,Inputs!$F$9="TRUE",Inputs!$F$9=1),(-2*((1000*((((Inputs!$I$9+(((A24)+1)/2)*(Inputs!$J$9-Inputs!$I$9)))*Inputs!$C$11+((Inputs!$H$9+Inputs!$L$9*(((Inputs!$I$9+(((A24)+1)/2)*(Inputs!$J$9-Inputs!$I$9)))/Inputs!$K$9)^2))*((2*Inputs!$L$9*((Inputs!$I$9+(((A24)+1)/2)*(Inputs!$J$9-Inputs!$I$9)))/(Inputs!$K$9^2)*Inputs!$C$11)))/(SQRT(((Inputs!$I$9+(((A24)+1)/2)*(Inputs!$J$9-Inputs!$I$9)))^2+Inputs!$C$6^2+((Inputs!$H$9+Inputs!$L$9*(((Inputs!$I$9+(((A24)+1)/2)*(Inputs!$J$9-Inputs!$I$9)))/Inputs!$K$9)^2))^2)))))/Inputs!$C$13),NA())</x:f>
        <x:v>3401.481091145488</x:v>
      </x:c>
      <x:c r="R24" s="49"/>
      <x:c r="S24" s="48" t="n">
        <x:f>A24</x:f>
        <x:v>-0.817</x:v>
      </x:c>
      <x:c r="T24" s="48" t="n">
        <x:f>(Inputs!$I$6+(((A24)+1)/2)*(Inputs!$J$6-Inputs!$I$6))</x:f>
        <x:v>-49.019999999999996</x:v>
      </x:c>
      <x:c r="U24" s="48" t="n">
        <x:f>(Inputs!$I$7+(((A24)+1)/2)*(Inputs!$J$7-Inputs!$I$7))</x:f>
        <x:v>-326.79999999999995</x:v>
      </x:c>
      <x:c r="V24" s="48" t="n">
        <x:f>(Inputs!$I$8+(((A24)+1)/2)*(Inputs!$J$8-Inputs!$I$8))</x:f>
        <x:v>-653.5999999999999</x:v>
      </x:c>
      <x:c r="W24" s="48" t="n">
        <x:f>(Inputs!$I$9+(((A24)+1)/2)*(Inputs!$J$9-Inputs!$I$9))</x:f>
        <x:v>-653.5999999999999</x:v>
      </x:c>
      <x:c r="X24" s="49"/>
      <x:c r="Y24" s="48" t="n">
        <x:f>A24</x:f>
        <x:v>-0.817</x:v>
      </x:c>
      <x:c r="Z24" s="48" t="n">
        <x:f>(Inputs!$H$6+Inputs!$L$6*(((Inputs!$I$6+(((A24)+1)/2)*(Inputs!$J$6-Inputs!$I$6)))/Inputs!$K$6)^2)</x:f>
        <x:v>402.669956</x:v>
      </x:c>
      <x:c r="AA24" s="48" t="n">
        <x:f>(Inputs!$H$7+Inputs!$L$7*(((Inputs!$I$7+(((A24)+1)/2)*(Inputs!$J$7-Inputs!$I$7)))/Inputs!$K$7)^2)</x:f>
        <x:v>278.63348499999995</x:v>
      </x:c>
      <x:c r="AB24" s="48" t="n">
        <x:f>(Inputs!$H$8+Inputs!$L$8*(((Inputs!$I$8+(((A24)+1)/2)*(Inputs!$J$8-Inputs!$I$8)))/Inputs!$K$8)^2)</x:f>
        <x:v>679.1268849999998</x:v>
      </x:c>
      <x:c r="AC24" s="48" t="n">
        <x:f>(Inputs!$H$9+Inputs!$L$9*(((Inputs!$I$9+(((A24)+1)/2)*(Inputs!$J$9-Inputs!$I$9)))/Inputs!$K$9)^2)</x:f>
        <x:v>675.8017749999998</x:v>
      </x:c>
      <x:c r="AD24" s="49"/>
      <x:c r="AE24" s="48" t="n">
        <x:f>A24</x:f>
        <x:v>-0.817</x:v>
      </x:c>
      <x:c r="AF24" s="48" t="n">
        <x:f>(((SQRT(((Inputs!$I$6+(((A24)+1)/2)*(Inputs!$J$6-Inputs!$I$6)))^2+Inputs!$C$6^2+((Inputs!$H$6+Inputs!$L$6*(((Inputs!$I$6+(((A24)+1)/2)*(Inputs!$J$6-Inputs!$I$6)))/Inputs!$K$6)^2))^2))-((Inputs!$H$6+Inputs!$L$6*(((Inputs!$I$6+(((A24)+1)/2)*(Inputs!$J$6-Inputs!$I$6)))/Inputs!$K$6)^2)))*1000/Inputs!$C$12)</x:f>
        <x:v>2102.5069906940053</x:v>
      </x:c>
      <x:c r="AG24" s="48" t="n">
        <x:f>(((SQRT(((Inputs!$I$7+(((A24)+1)/2)*(Inputs!$J$7-Inputs!$I$7)))^2+Inputs!$C$6^2+((Inputs!$H$7+Inputs!$L$7*(((Inputs!$I$7+(((A24)+1)/2)*(Inputs!$J$7-Inputs!$I$7)))/Inputs!$K$7)^2))^2))-((Inputs!$H$7+Inputs!$L$7*(((Inputs!$I$7+(((A24)+1)/2)*(Inputs!$J$7-Inputs!$I$7)))/Inputs!$K$7)^2)))*1000/Inputs!$C$12)</x:f>
        <x:v>85141.7737953123</x:v>
      </x:c>
      <x:c r="AH24" s="48" t="n">
        <x:f>(((SQRT(((Inputs!$I$8+(((A24)+1)/2)*(Inputs!$J$8-Inputs!$I$8)))^2+Inputs!$C$6^2+((Inputs!$H$8+Inputs!$L$8*(((Inputs!$I$8+(((A24)+1)/2)*(Inputs!$J$8-Inputs!$I$8)))/Inputs!$K$8)^2))^2))-((Inputs!$H$8+Inputs!$L$8*(((Inputs!$I$8+(((A24)+1)/2)*(Inputs!$J$8-Inputs!$I$8)))/Inputs!$K$8)^2)))*1000/Inputs!$C$12)</x:f>
        <x:v>148178.4668499066</x:v>
      </x:c>
      <x:c r="AI24" s="48" t="n">
        <x:f>(((SQRT(((Inputs!$I$9+(((A24)+1)/2)*(Inputs!$J$9-Inputs!$I$9)))^2+Inputs!$C$6^2+((Inputs!$H$9+Inputs!$L$9*(((Inputs!$I$9+(((A24)+1)/2)*(Inputs!$J$9-Inputs!$I$9)))/Inputs!$K$9)^2))^2))-((Inputs!$H$9+Inputs!$L$9*(((Inputs!$I$9+(((A24)+1)/2)*(Inputs!$J$9-Inputs!$I$9)))/Inputs!$K$9)^2)))*1000/Inputs!$C$12)</x:f>
        <x:v>148702.6116459541</x:v>
      </x:c>
      <x:c r="AJ24" s="49"/>
      <x:c r="AK24" s="48" t="n">
        <x:f>A24</x:f>
        <x:v>-0.817</x:v>
      </x:c>
      <x:c r="AL24" s="48" t="n">
        <x:f>(-2*((1000*((((Inputs!$I$6+(((A24)+1)/2)*(Inputs!$J$6-Inputs!$I$6)))*Inputs!$C$11+((Inputs!$H$6+Inputs!$L$6*(((Inputs!$I$6+(((A24)+1)/2)*(Inputs!$J$6-Inputs!$I$6)))/Inputs!$K$6)^2))*((2*Inputs!$L$6*((Inputs!$I$6+(((A24)+1)/2)*(Inputs!$J$6-Inputs!$I$6)))/(Inputs!$K$6^2)*Inputs!$C$11)))/(SQRT(((Inputs!$I$6+(((A24)+1)/2)*(Inputs!$J$6-Inputs!$I$6)))^2+Inputs!$C$6^2+((Inputs!$H$6+Inputs!$L$6*(((Inputs!$I$6+(((A24)+1)/2)*(Inputs!$J$6-Inputs!$I$6)))/Inputs!$K$6)^2))^2)))))/Inputs!$C$13)</x:f>
        <x:v>365.6745761697509</x:v>
      </x:c>
      <x:c r="AM24" s="48" t="n">
        <x:f>(-2*((1000*((((Inputs!$I$7+(((A24)+1)/2)*(Inputs!$J$7-Inputs!$I$7)))*Inputs!$C$11+((Inputs!$H$7+Inputs!$L$7*(((Inputs!$I$7+(((A24)+1)/2)*(Inputs!$J$7-Inputs!$I$7)))/Inputs!$K$7)^2))*((2*Inputs!$L$7*((Inputs!$I$7+(((A24)+1)/2)*(Inputs!$J$7-Inputs!$I$7)))/(Inputs!$K$7^2)*Inputs!$C$11)))/(SQRT(((Inputs!$I$7+(((A24)+1)/2)*(Inputs!$J$7-Inputs!$I$7)))^2+Inputs!$C$6^2+((Inputs!$H$7+Inputs!$L$7*(((Inputs!$I$7+(((A24)+1)/2)*(Inputs!$J$7-Inputs!$I$7)))/Inputs!$K$7)^2))^2)))))/Inputs!$C$13)</x:f>
        <x:v>2760.6654385746915</x:v>
      </x:c>
      <x:c r="AN24" s="48" t="n">
        <x:f>(-2*((1000*((((Inputs!$I$8+(((A24)+1)/2)*(Inputs!$J$8-Inputs!$I$8)))*Inputs!$C$11+((Inputs!$H$8+Inputs!$L$8*(((Inputs!$I$8+(((A24)+1)/2)*(Inputs!$J$8-Inputs!$I$8)))/Inputs!$K$8)^2))*((2*Inputs!$L$8*((Inputs!$I$8+(((A24)+1)/2)*(Inputs!$J$8-Inputs!$I$8)))/(Inputs!$K$8^2)*Inputs!$C$11)))/(SQRT(((Inputs!$I$8+(((A24)+1)/2)*(Inputs!$J$8-Inputs!$I$8)))^2+Inputs!$C$6^2+((Inputs!$H$8+Inputs!$L$8*(((Inputs!$I$8+(((A24)+1)/2)*(Inputs!$J$8-Inputs!$I$8)))/Inputs!$K$8)^2))^2)))))/Inputs!$C$13)</x:f>
        <x:v>3380.5497256420495</x:v>
      </x:c>
      <x:c r="AO24" s="48" t="n">
        <x:f>(-2*((1000*((((Inputs!$I$9+(((A24)+1)/2)*(Inputs!$J$9-Inputs!$I$9)))*Inputs!$C$11+((Inputs!$H$9+Inputs!$L$9*(((Inputs!$I$9+(((A24)+1)/2)*(Inputs!$J$9-Inputs!$I$9)))/Inputs!$K$9)^2))*((2*Inputs!$L$9*((Inputs!$I$9+(((A24)+1)/2)*(Inputs!$J$9-Inputs!$I$9)))/(Inputs!$K$9^2)*Inputs!$C$11)))/(SQRT(((Inputs!$I$9+(((A24)+1)/2)*(Inputs!$J$9-Inputs!$I$9)))^2+Inputs!$C$6^2+((Inputs!$H$9+Inputs!$L$9*(((Inputs!$I$9+(((A24)+1)/2)*(Inputs!$J$9-Inputs!$I$9)))/Inputs!$K$9)^2))^2)))))/Inputs!$C$13)</x:f>
        <x:v>3401.481091145488</x:v>
      </x:c>
    </x:row>
    <x:row r="25">
      <x:c r="A25" s="48" t="n">
        <x:f>ROUND(-1+23*2/240,3)</x:f>
        <x:v>-0.808</x:v>
      </x:c>
      <x:c r="B25" s="48" t="n">
        <x:f>IF(OR(Inputs!$F$6=TRUE,Inputs!$F$6="TRUE",Inputs!$F$6=1),(Inputs!$H$6+Inputs!$L$6*(((Inputs!$I$6+(((A25)+1)/2)*(Inputs!$J$6-Inputs!$I$6)))/Inputs!$K$6)^2),NA())</x:f>
        <x:v>402.611456</x:v>
      </x:c>
      <x:c r="C25" s="48" t="n">
        <x:f>IF(OR(Inputs!$F$7=TRUE,Inputs!$F$7="TRUE",Inputs!$F$7=1),(Inputs!$H$7+Inputs!$L$7*(((Inputs!$I$7+(((A25)+1)/2)*(Inputs!$J$7-Inputs!$I$7)))/Inputs!$K$7)^2),NA())</x:f>
        <x:v>273.2953600000001</x:v>
      </x:c>
      <x:c r="D25" s="48" t="n">
        <x:f>IF(OR(Inputs!$F$8=TRUE,Inputs!$F$8="TRUE",Inputs!$F$8=1),(Inputs!$H$8+Inputs!$L$8*(((Inputs!$I$8+(((A25)+1)/2)*(Inputs!$J$8-Inputs!$I$8)))/Inputs!$K$8)^2),NA())</x:f>
        <x:v>665.0137600000002</x:v>
      </x:c>
      <x:c r="E25" s="48" t="n">
        <x:f>IF(OR(Inputs!$F$9=TRUE,Inputs!$F$9="TRUE",Inputs!$F$9=1),(Inputs!$H$9+Inputs!$L$9*(((Inputs!$I$9+(((A25)+1)/2)*(Inputs!$J$9-Inputs!$I$9)))/Inputs!$K$9)^2),NA())</x:f>
        <x:v>661.5424000000003</x:v>
      </x:c>
      <x:c r="F25" s="49"/>
      <x:c r="G25" s="48" t="n">
        <x:f>A25</x:f>
        <x:v>-0.808</x:v>
      </x:c>
      <x:c r="H25" s="48" t="n">
        <x:f>IF(OR(Inputs!$F$6=TRUE,Inputs!$F$6="TRUE",Inputs!$F$6=1),(((SQRT(((Inputs!$I$6+(((A25)+1)/2)*(Inputs!$J$6-Inputs!$I$6)))^2+Inputs!$C$6^2+((Inputs!$H$6+Inputs!$L$6*(((Inputs!$I$6+(((A25)+1)/2)*(Inputs!$J$6-Inputs!$I$6)))/Inputs!$K$6)^2))^2))-((Inputs!$H$6+Inputs!$L$6*(((Inputs!$I$6+(((A25)+1)/2)*(Inputs!$J$6-Inputs!$I$6)))/Inputs!$K$6)^2)))*1000/Inputs!$C$12),NA())</x:f>
        <x:v>2066.411636185434</x:v>
      </x:c>
      <x:c r="I25" s="48" t="n">
        <x:f>IF(OR(Inputs!$F$7=TRUE,Inputs!$F$7="TRUE",Inputs!$F$7=1),(((SQRT(((Inputs!$I$7+(((A25)+1)/2)*(Inputs!$J$7-Inputs!$I$7)))^2+Inputs!$C$6^2+((Inputs!$H$7+Inputs!$L$7*(((Inputs!$I$7+(((A25)+1)/2)*(Inputs!$J$7-Inputs!$I$7)))/Inputs!$K$7)^2))^2))-((Inputs!$H$7+Inputs!$L$7*(((Inputs!$I$7+(((A25)+1)/2)*(Inputs!$J$7-Inputs!$I$7)))/Inputs!$K$7)^2)))*1000/Inputs!$C$12),NA())</x:f>
        <x:v>84663.93398179335</x:v>
      </x:c>
      <x:c r="J25" s="48" t="n">
        <x:f>IF(OR(Inputs!$F$8=TRUE,Inputs!$F$8="TRUE",Inputs!$F$8=1),(((SQRT(((Inputs!$I$8+(((A25)+1)/2)*(Inputs!$J$8-Inputs!$I$8)))^2+Inputs!$C$6^2+((Inputs!$H$8+Inputs!$L$8*(((Inputs!$I$8+(((A25)+1)/2)*(Inputs!$J$8-Inputs!$I$8)))/Inputs!$K$8)^2))^2))-((Inputs!$H$8+Inputs!$L$8*(((Inputs!$I$8+(((A25)+1)/2)*(Inputs!$J$8-Inputs!$I$8)))/Inputs!$K$8)^2)))*1000/Inputs!$C$12),NA())</x:f>
        <x:v>147598.936567769</x:v>
      </x:c>
      <x:c r="K25" s="48" t="n">
        <x:f>IF(OR(Inputs!$F$9=TRUE,Inputs!$F$9="TRUE",Inputs!$F$9=1),(((SQRT(((Inputs!$I$9+(((A25)+1)/2)*(Inputs!$J$9-Inputs!$I$9)))^2+Inputs!$C$6^2+((Inputs!$H$9+Inputs!$L$9*(((Inputs!$I$9+(((A25)+1)/2)*(Inputs!$J$9-Inputs!$I$9)))/Inputs!$K$9)^2))^2))-((Inputs!$H$9+Inputs!$L$9*(((Inputs!$I$9+(((A25)+1)/2)*(Inputs!$J$9-Inputs!$I$9)))/Inputs!$K$9)^2)))*1000/Inputs!$C$12),NA())</x:f>
        <x:v>148152.99183501268</x:v>
      </x:c>
      <x:c r="L25" s="49"/>
      <x:c r="M25" s="48" t="n">
        <x:f>A25</x:f>
        <x:v>-0.808</x:v>
      </x:c>
      <x:c r="N25" s="48" t="n">
        <x:f>IF(OR(Inputs!$F$6=TRUE,Inputs!$F$6="TRUE",Inputs!$F$6=1),(-2*((1000*((((Inputs!$I$6+(((A25)+1)/2)*(Inputs!$J$6-Inputs!$I$6)))*Inputs!$C$11+((Inputs!$H$6+Inputs!$L$6*(((Inputs!$I$6+(((A25)+1)/2)*(Inputs!$J$6-Inputs!$I$6)))/Inputs!$K$6)^2))*((2*Inputs!$L$6*((Inputs!$I$6+(((A25)+1)/2)*(Inputs!$J$6-Inputs!$I$6)))/(Inputs!$K$6^2)*Inputs!$C$11)))/(SQRT(((Inputs!$I$6+(((A25)+1)/2)*(Inputs!$J$6-Inputs!$I$6)))^2+Inputs!$C$6^2+((Inputs!$H$6+Inputs!$L$6*(((Inputs!$I$6+(((A25)+1)/2)*(Inputs!$J$6-Inputs!$I$6)))/Inputs!$K$6)^2))^2)))))/Inputs!$C$13),NA())</x:f>
        <x:v>361.7307798513991</x:v>
      </x:c>
      <x:c r="O25" s="48" t="n">
        <x:f>IF(OR(Inputs!$F$7=TRUE,Inputs!$F$7="TRUE",Inputs!$F$7=1),(-2*((1000*((((Inputs!$I$7+(((A25)+1)/2)*(Inputs!$J$7-Inputs!$I$7)))*Inputs!$C$11+((Inputs!$H$7+Inputs!$L$7*(((Inputs!$I$7+(((A25)+1)/2)*(Inputs!$J$7-Inputs!$I$7)))/Inputs!$K$7)^2))*((2*Inputs!$L$7*((Inputs!$I$7+(((A25)+1)/2)*(Inputs!$J$7-Inputs!$I$7)))/(Inputs!$K$7^2)*Inputs!$C$11)))/(SQRT(((Inputs!$I$7+(((A25)+1)/2)*(Inputs!$J$7-Inputs!$I$7)))^2+Inputs!$C$6^2+((Inputs!$H$7+Inputs!$L$7*(((Inputs!$I$7+(((A25)+1)/2)*(Inputs!$J$7-Inputs!$I$7)))/Inputs!$K$7)^2))^2)))))/Inputs!$C$13),NA())</x:f>
        <x:v>2740.400746440379</x:v>
      </x:c>
      <x:c r="P25" s="48" t="n">
        <x:f>IF(OR(Inputs!$F$8=TRUE,Inputs!$F$8="TRUE",Inputs!$F$8=1),(-2*((1000*((((Inputs!$I$8+(((A25)+1)/2)*(Inputs!$J$8-Inputs!$I$8)))*Inputs!$C$11+((Inputs!$H$8+Inputs!$L$8*(((Inputs!$I$8+(((A25)+1)/2)*(Inputs!$J$8-Inputs!$I$8)))/Inputs!$K$8)^2))*((2*Inputs!$L$8*((Inputs!$I$8+(((A25)+1)/2)*(Inputs!$J$8-Inputs!$I$8)))/(Inputs!$K$8^2)*Inputs!$C$11)))/(SQRT(((Inputs!$I$8+(((A25)+1)/2)*(Inputs!$J$8-Inputs!$I$8)))^2+Inputs!$C$6^2+((Inputs!$H$8+Inputs!$L$8*(((Inputs!$I$8+(((A25)+1)/2)*(Inputs!$J$8-Inputs!$I$8)))/Inputs!$K$8)^2))^2)))))/Inputs!$C$13),NA())</x:f>
        <x:v>3350.4414610708473</x:v>
      </x:c>
      <x:c r="Q25" s="48" t="n">
        <x:f>IF(OR(Inputs!$F$9=TRUE,Inputs!$F$9="TRUE",Inputs!$F$9=1),(-2*((1000*((((Inputs!$I$9+(((A25)+1)/2)*(Inputs!$J$9-Inputs!$I$9)))*Inputs!$C$11+((Inputs!$H$9+Inputs!$L$9*(((Inputs!$I$9+(((A25)+1)/2)*(Inputs!$J$9-Inputs!$I$9)))/Inputs!$K$9)^2))*((2*Inputs!$L$9*((Inputs!$I$9+(((A25)+1)/2)*(Inputs!$J$9-Inputs!$I$9)))/(Inputs!$K$9^2)*Inputs!$C$11)))/(SQRT(((Inputs!$I$9+(((A25)+1)/2)*(Inputs!$J$9-Inputs!$I$9)))^2+Inputs!$C$6^2+((Inputs!$H$9+Inputs!$L$9*(((Inputs!$I$9+(((A25)+1)/2)*(Inputs!$J$9-Inputs!$I$9)))/Inputs!$K$9)^2))^2)))))/Inputs!$C$13),NA())</x:f>
        <x:v>3370.847319161865</x:v>
      </x:c>
      <x:c r="R25" s="49"/>
      <x:c r="S25" s="48" t="n">
        <x:f>A25</x:f>
        <x:v>-0.808</x:v>
      </x:c>
      <x:c r="T25" s="48" t="n">
        <x:f>(Inputs!$I$6+(((A25)+1)/2)*(Inputs!$J$6-Inputs!$I$6))</x:f>
        <x:v>-48.480000000000004</x:v>
      </x:c>
      <x:c r="U25" s="48" t="n">
        <x:f>(Inputs!$I$7+(((A25)+1)/2)*(Inputs!$J$7-Inputs!$I$7))</x:f>
        <x:v>-323.20000000000005</x:v>
      </x:c>
      <x:c r="V25" s="48" t="n">
        <x:f>(Inputs!$I$8+(((A25)+1)/2)*(Inputs!$J$8-Inputs!$I$8))</x:f>
        <x:v>-646.4000000000001</x:v>
      </x:c>
      <x:c r="W25" s="48" t="n">
        <x:f>(Inputs!$I$9+(((A25)+1)/2)*(Inputs!$J$9-Inputs!$I$9))</x:f>
        <x:v>-646.4000000000001</x:v>
      </x:c>
      <x:c r="X25" s="49"/>
      <x:c r="Y25" s="48" t="n">
        <x:f>A25</x:f>
        <x:v>-0.808</x:v>
      </x:c>
      <x:c r="Z25" s="48" t="n">
        <x:f>(Inputs!$H$6+Inputs!$L$6*(((Inputs!$I$6+(((A25)+1)/2)*(Inputs!$J$6-Inputs!$I$6)))/Inputs!$K$6)^2)</x:f>
        <x:v>402.611456</x:v>
      </x:c>
      <x:c r="AA25" s="48" t="n">
        <x:f>(Inputs!$H$7+Inputs!$L$7*(((Inputs!$I$7+(((A25)+1)/2)*(Inputs!$J$7-Inputs!$I$7)))/Inputs!$K$7)^2)</x:f>
        <x:v>273.2953600000001</x:v>
      </x:c>
      <x:c r="AB25" s="48" t="n">
        <x:f>(Inputs!$H$8+Inputs!$L$8*(((Inputs!$I$8+(((A25)+1)/2)*(Inputs!$J$8-Inputs!$I$8)))/Inputs!$K$8)^2)</x:f>
        <x:v>665.0137600000002</x:v>
      </x:c>
      <x:c r="AC25" s="48" t="n">
        <x:f>(Inputs!$H$9+Inputs!$L$9*(((Inputs!$I$9+(((A25)+1)/2)*(Inputs!$J$9-Inputs!$I$9)))/Inputs!$K$9)^2)</x:f>
        <x:v>661.5424000000003</x:v>
      </x:c>
      <x:c r="AD25" s="49"/>
      <x:c r="AE25" s="48" t="n">
        <x:f>A25</x:f>
        <x:v>-0.808</x:v>
      </x:c>
      <x:c r="AF25" s="48" t="n">
        <x:f>(((SQRT(((Inputs!$I$6+(((A25)+1)/2)*(Inputs!$J$6-Inputs!$I$6)))^2+Inputs!$C$6^2+((Inputs!$H$6+Inputs!$L$6*(((Inputs!$I$6+(((A25)+1)/2)*(Inputs!$J$6-Inputs!$I$6)))/Inputs!$K$6)^2))^2))-((Inputs!$H$6+Inputs!$L$6*(((Inputs!$I$6+(((A25)+1)/2)*(Inputs!$J$6-Inputs!$I$6)))/Inputs!$K$6)^2)))*1000/Inputs!$C$12)</x:f>
        <x:v>2066.411636185434</x:v>
      </x:c>
      <x:c r="AG25" s="48" t="n">
        <x:f>(((SQRT(((Inputs!$I$7+(((A25)+1)/2)*(Inputs!$J$7-Inputs!$I$7)))^2+Inputs!$C$6^2+((Inputs!$H$7+Inputs!$L$7*(((Inputs!$I$7+(((A25)+1)/2)*(Inputs!$J$7-Inputs!$I$7)))/Inputs!$K$7)^2))^2))-((Inputs!$H$7+Inputs!$L$7*(((Inputs!$I$7+(((A25)+1)/2)*(Inputs!$J$7-Inputs!$I$7)))/Inputs!$K$7)^2)))*1000/Inputs!$C$12)</x:f>
        <x:v>84663.93398179335</x:v>
      </x:c>
      <x:c r="AH25" s="48" t="n">
        <x:f>(((SQRT(((Inputs!$I$8+(((A25)+1)/2)*(Inputs!$J$8-Inputs!$I$8)))^2+Inputs!$C$6^2+((Inputs!$H$8+Inputs!$L$8*(((Inputs!$I$8+(((A25)+1)/2)*(Inputs!$J$8-Inputs!$I$8)))/Inputs!$K$8)^2))^2))-((Inputs!$H$8+Inputs!$L$8*(((Inputs!$I$8+(((A25)+1)/2)*(Inputs!$J$8-Inputs!$I$8)))/Inputs!$K$8)^2)))*1000/Inputs!$C$12)</x:f>
        <x:v>147598.936567769</x:v>
      </x:c>
      <x:c r="AI25" s="48" t="n">
        <x:f>(((SQRT(((Inputs!$I$9+(((A25)+1)/2)*(Inputs!$J$9-Inputs!$I$9)))^2+Inputs!$C$6^2+((Inputs!$H$9+Inputs!$L$9*(((Inputs!$I$9+(((A25)+1)/2)*(Inputs!$J$9-Inputs!$I$9)))/Inputs!$K$9)^2))^2))-((Inputs!$H$9+Inputs!$L$9*(((Inputs!$I$9+(((A25)+1)/2)*(Inputs!$J$9-Inputs!$I$9)))/Inputs!$K$9)^2)))*1000/Inputs!$C$12)</x:f>
        <x:v>148152.99183501268</x:v>
      </x:c>
      <x:c r="AJ25" s="49"/>
      <x:c r="AK25" s="48" t="n">
        <x:f>A25</x:f>
        <x:v>-0.808</x:v>
      </x:c>
      <x:c r="AL25" s="48" t="n">
        <x:f>(-2*((1000*((((Inputs!$I$6+(((A25)+1)/2)*(Inputs!$J$6-Inputs!$I$6)))*Inputs!$C$11+((Inputs!$H$6+Inputs!$L$6*(((Inputs!$I$6+(((A25)+1)/2)*(Inputs!$J$6-Inputs!$I$6)))/Inputs!$K$6)^2))*((2*Inputs!$L$6*((Inputs!$I$6+(((A25)+1)/2)*(Inputs!$J$6-Inputs!$I$6)))/(Inputs!$K$6^2)*Inputs!$C$11)))/(SQRT(((Inputs!$I$6+(((A25)+1)/2)*(Inputs!$J$6-Inputs!$I$6)))^2+Inputs!$C$6^2+((Inputs!$H$6+Inputs!$L$6*(((Inputs!$I$6+(((A25)+1)/2)*(Inputs!$J$6-Inputs!$I$6)))/Inputs!$K$6)^2))^2)))))/Inputs!$C$13)</x:f>
        <x:v>361.7307798513991</x:v>
      </x:c>
      <x:c r="AM25" s="48" t="n">
        <x:f>(-2*((1000*((((Inputs!$I$7+(((A25)+1)/2)*(Inputs!$J$7-Inputs!$I$7)))*Inputs!$C$11+((Inputs!$H$7+Inputs!$L$7*(((Inputs!$I$7+(((A25)+1)/2)*(Inputs!$J$7-Inputs!$I$7)))/Inputs!$K$7)^2))*((2*Inputs!$L$7*((Inputs!$I$7+(((A25)+1)/2)*(Inputs!$J$7-Inputs!$I$7)))/(Inputs!$K$7^2)*Inputs!$C$11)))/(SQRT(((Inputs!$I$7+(((A25)+1)/2)*(Inputs!$J$7-Inputs!$I$7)))^2+Inputs!$C$6^2+((Inputs!$H$7+Inputs!$L$7*(((Inputs!$I$7+(((A25)+1)/2)*(Inputs!$J$7-Inputs!$I$7)))/Inputs!$K$7)^2))^2)))))/Inputs!$C$13)</x:f>
        <x:v>2740.400746440379</x:v>
      </x:c>
      <x:c r="AN25" s="48" t="n">
        <x:f>(-2*((1000*((((Inputs!$I$8+(((A25)+1)/2)*(Inputs!$J$8-Inputs!$I$8)))*Inputs!$C$11+((Inputs!$H$8+Inputs!$L$8*(((Inputs!$I$8+(((A25)+1)/2)*(Inputs!$J$8-Inputs!$I$8)))/Inputs!$K$8)^2))*((2*Inputs!$L$8*((Inputs!$I$8+(((A25)+1)/2)*(Inputs!$J$8-Inputs!$I$8)))/(Inputs!$K$8^2)*Inputs!$C$11)))/(SQRT(((Inputs!$I$8+(((A25)+1)/2)*(Inputs!$J$8-Inputs!$I$8)))^2+Inputs!$C$6^2+((Inputs!$H$8+Inputs!$L$8*(((Inputs!$I$8+(((A25)+1)/2)*(Inputs!$J$8-Inputs!$I$8)))/Inputs!$K$8)^2))^2)))))/Inputs!$C$13)</x:f>
        <x:v>3350.4414610708473</x:v>
      </x:c>
      <x:c r="AO25" s="48" t="n">
        <x:f>(-2*((1000*((((Inputs!$I$9+(((A25)+1)/2)*(Inputs!$J$9-Inputs!$I$9)))*Inputs!$C$11+((Inputs!$H$9+Inputs!$L$9*(((Inputs!$I$9+(((A25)+1)/2)*(Inputs!$J$9-Inputs!$I$9)))/Inputs!$K$9)^2))*((2*Inputs!$L$9*((Inputs!$I$9+(((A25)+1)/2)*(Inputs!$J$9-Inputs!$I$9)))/(Inputs!$K$9^2)*Inputs!$C$11)))/(SQRT(((Inputs!$I$9+(((A25)+1)/2)*(Inputs!$J$9-Inputs!$I$9)))^2+Inputs!$C$6^2+((Inputs!$H$9+Inputs!$L$9*(((Inputs!$I$9+(((A25)+1)/2)*(Inputs!$J$9-Inputs!$I$9)))/Inputs!$K$9)^2))^2)))))/Inputs!$C$13)</x:f>
        <x:v>3370.847319161865</x:v>
      </x:c>
    </x:row>
    <x:row r="26">
      <x:c r="A26" s="48" t="n">
        <x:f>ROUND(-1+24*2/240,3)</x:f>
        <x:v>-0.8</x:v>
      </x:c>
      <x:c r="B26" s="48" t="n">
        <x:f>IF(OR(Inputs!$F$6=TRUE,Inputs!$F$6="TRUE",Inputs!$F$6=1),(Inputs!$H$6+Inputs!$L$6*(((Inputs!$I$6+(((A26)+1)/2)*(Inputs!$J$6-Inputs!$I$6)))/Inputs!$K$6)^2),NA())</x:f>
        <x:v>402.56</x:v>
      </x:c>
      <x:c r="C26" s="48" t="n">
        <x:f>IF(OR(Inputs!$F$7=TRUE,Inputs!$F$7="TRUE",Inputs!$F$7=1),(Inputs!$H$7+Inputs!$L$7*(((Inputs!$I$7+(((A26)+1)/2)*(Inputs!$J$7-Inputs!$I$7)))/Inputs!$K$7)^2),NA())</x:f>
        <x:v>268.6</x:v>
      </x:c>
      <x:c r="D26" s="48" t="n">
        <x:f>IF(OR(Inputs!$F$8=TRUE,Inputs!$F$8="TRUE",Inputs!$F$8=1),(Inputs!$H$8+Inputs!$L$8*(((Inputs!$I$8+(((A26)+1)/2)*(Inputs!$J$8-Inputs!$I$8)))/Inputs!$K$8)^2),NA())</x:f>
        <x:v>652.6000000000001</x:v>
      </x:c>
      <x:c r="E26" s="48" t="n">
        <x:f>IF(OR(Inputs!$F$9=TRUE,Inputs!$F$9="TRUE",Inputs!$F$9=1),(Inputs!$H$9+Inputs!$L$9*(((Inputs!$I$9+(((A26)+1)/2)*(Inputs!$J$9-Inputs!$I$9)))/Inputs!$K$9)^2),NA())</x:f>
        <x:v>649.0000000000001</x:v>
      </x:c>
      <x:c r="F26" s="49"/>
      <x:c r="G26" s="48" t="n">
        <x:f>A26</x:f>
        <x:v>-0.8</x:v>
      </x:c>
      <x:c r="H26" s="48" t="n">
        <x:f>IF(OR(Inputs!$F$6=TRUE,Inputs!$F$6="TRUE",Inputs!$F$6=1),(((SQRT(((Inputs!$I$6+(((A26)+1)/2)*(Inputs!$J$6-Inputs!$I$6)))^2+Inputs!$C$6^2+((Inputs!$H$6+Inputs!$L$6*(((Inputs!$I$6+(((A26)+1)/2)*(Inputs!$J$6-Inputs!$I$6)))/Inputs!$K$6)^2))^2))-((Inputs!$H$6+Inputs!$L$6*(((Inputs!$I$6+(((A26)+1)/2)*(Inputs!$J$6-Inputs!$I$6)))/Inputs!$K$6)^2)))*1000/Inputs!$C$12),NA())</x:f>
        <x:v>2034.6492181694086</x:v>
      </x:c>
      <x:c r="I26" s="48" t="n">
        <x:f>IF(OR(Inputs!$F$7=TRUE,Inputs!$F$7="TRUE",Inputs!$F$7=1),(((SQRT(((Inputs!$I$7+(((A26)+1)/2)*(Inputs!$J$7-Inputs!$I$7)))^2+Inputs!$C$6^2+((Inputs!$H$7+Inputs!$L$7*(((Inputs!$I$7+(((A26)+1)/2)*(Inputs!$J$7-Inputs!$I$7)))/Inputs!$K$7)^2))^2))-((Inputs!$H$7+Inputs!$L$7*(((Inputs!$I$7+(((A26)+1)/2)*(Inputs!$J$7-Inputs!$I$7)))/Inputs!$K$7)^2)))*1000/Inputs!$C$12),NA())</x:f>
        <x:v>84232.75262342278</x:v>
      </x:c>
      <x:c r="J26" s="48" t="n">
        <x:f>IF(OR(Inputs!$F$8=TRUE,Inputs!$F$8="TRUE",Inputs!$F$8=1),(((SQRT(((Inputs!$I$8+(((A26)+1)/2)*(Inputs!$J$8-Inputs!$I$8)))^2+Inputs!$C$6^2+((Inputs!$H$8+Inputs!$L$8*(((Inputs!$I$8+(((A26)+1)/2)*(Inputs!$J$8-Inputs!$I$8)))/Inputs!$K$8)^2))^2))-((Inputs!$H$8+Inputs!$L$8*(((Inputs!$I$8+(((A26)+1)/2)*(Inputs!$J$8-Inputs!$I$8)))/Inputs!$K$8)^2)))*1000/Inputs!$C$12),NA())</x:f>
        <x:v>147073.85942499142</x:v>
      </x:c>
      <x:c r="K26" s="48" t="n">
        <x:f>IF(OR(Inputs!$F$9=TRUE,Inputs!$F$9="TRUE",Inputs!$F$9=1),(((SQRT(((Inputs!$I$9+(((A26)+1)/2)*(Inputs!$J$9-Inputs!$I$9)))^2+Inputs!$C$6^2+((Inputs!$H$9+Inputs!$L$9*(((Inputs!$I$9+(((A26)+1)/2)*(Inputs!$J$9-Inputs!$I$9)))/Inputs!$K$9)^2))^2))-((Inputs!$H$9+Inputs!$L$9*(((Inputs!$I$9+(((A26)+1)/2)*(Inputs!$J$9-Inputs!$I$9)))/Inputs!$K$9)^2)))*1000/Inputs!$C$12),NA())</x:f>
        <x:v>147654.854622209</x:v>
      </x:c>
      <x:c r="L26" s="49"/>
      <x:c r="M26" s="48" t="n">
        <x:f>A26</x:f>
        <x:v>-0.8</x:v>
      </x:c>
      <x:c r="N26" s="48" t="n">
        <x:f>IF(OR(Inputs!$F$6=TRUE,Inputs!$F$6="TRUE",Inputs!$F$6=1),(-2*((1000*((((Inputs!$I$6+(((A26)+1)/2)*(Inputs!$J$6-Inputs!$I$6)))*Inputs!$C$11+((Inputs!$H$6+Inputs!$L$6*(((Inputs!$I$6+(((A26)+1)/2)*(Inputs!$J$6-Inputs!$I$6)))/Inputs!$K$6)^2))*((2*Inputs!$L$6*((Inputs!$I$6+(((A26)+1)/2)*(Inputs!$J$6-Inputs!$I$6)))/(Inputs!$K$6^2)*Inputs!$C$11)))/(SQRT(((Inputs!$I$6+(((A26)+1)/2)*(Inputs!$J$6-Inputs!$I$6)))^2+Inputs!$C$6^2+((Inputs!$H$6+Inputs!$L$6*(((Inputs!$I$6+(((A26)+1)/2)*(Inputs!$J$6-Inputs!$I$6)))/Inputs!$K$6)^2))^2)))))/Inputs!$C$13),NA())</x:f>
        <x:v>358.2228890936832</x:v>
      </x:c>
      <x:c r="O26" s="48" t="n">
        <x:f>IF(OR(Inputs!$F$7=TRUE,Inputs!$F$7="TRUE",Inputs!$F$7=1),(-2*((1000*((((Inputs!$I$7+(((A26)+1)/2)*(Inputs!$J$7-Inputs!$I$7)))*Inputs!$C$11+((Inputs!$H$7+Inputs!$L$7*(((Inputs!$I$7+(((A26)+1)/2)*(Inputs!$J$7-Inputs!$I$7)))/Inputs!$K$7)^2))*((2*Inputs!$L$7*((Inputs!$I$7+(((A26)+1)/2)*(Inputs!$J$7-Inputs!$I$7)))/(Inputs!$K$7^2)*Inputs!$C$11)))/(SQRT(((Inputs!$I$7+(((A26)+1)/2)*(Inputs!$J$7-Inputs!$I$7)))^2+Inputs!$C$6^2+((Inputs!$H$7+Inputs!$L$7*(((Inputs!$I$7+(((A26)+1)/2)*(Inputs!$J$7-Inputs!$I$7)))/Inputs!$K$7)^2))^2)))))/Inputs!$C$13),NA())</x:f>
        <x:v>2722.4760333842505</x:v>
      </x:c>
      <x:c r="P26" s="48" t="n">
        <x:f>IF(OR(Inputs!$F$8=TRUE,Inputs!$F$8="TRUE",Inputs!$F$8=1),(-2*((1000*((((Inputs!$I$8+(((A26)+1)/2)*(Inputs!$J$8-Inputs!$I$8)))*Inputs!$C$11+((Inputs!$H$8+Inputs!$L$8*(((Inputs!$I$8+(((A26)+1)/2)*(Inputs!$J$8-Inputs!$I$8)))/Inputs!$K$8)^2))*((2*Inputs!$L$8*((Inputs!$I$8+(((A26)+1)/2)*(Inputs!$J$8-Inputs!$I$8)))/(Inputs!$K$8^2)*Inputs!$C$11)))/(SQRT(((Inputs!$I$8+(((A26)+1)/2)*(Inputs!$J$8-Inputs!$I$8)))^2+Inputs!$C$6^2+((Inputs!$H$8+Inputs!$L$8*(((Inputs!$I$8+(((A26)+1)/2)*(Inputs!$J$8-Inputs!$I$8)))/Inputs!$K$8)^2))^2)))))/Inputs!$C$13),NA())</x:f>
        <x:v>3323.7720390621243</x:v>
      </x:c>
      <x:c r="Q26" s="48" t="n">
        <x:f>IF(OR(Inputs!$F$9=TRUE,Inputs!$F$9="TRUE",Inputs!$F$9=1),(-2*((1000*((((Inputs!$I$9+(((A26)+1)/2)*(Inputs!$J$9-Inputs!$I$9)))*Inputs!$C$11+((Inputs!$H$9+Inputs!$L$9*(((Inputs!$I$9+(((A26)+1)/2)*(Inputs!$J$9-Inputs!$I$9)))/Inputs!$K$9)^2))*((2*Inputs!$L$9*((Inputs!$I$9+(((A26)+1)/2)*(Inputs!$J$9-Inputs!$I$9)))/(Inputs!$K$9^2)*Inputs!$C$11)))/(SQRT(((Inputs!$I$9+(((A26)+1)/2)*(Inputs!$J$9-Inputs!$I$9)))^2+Inputs!$C$6^2+((Inputs!$H$9+Inputs!$L$9*(((Inputs!$I$9+(((A26)+1)/2)*(Inputs!$J$9-Inputs!$I$9)))/Inputs!$K$9)^2))^2)))))/Inputs!$C$13),NA())</x:f>
        <x:v>3343.7094353866705</x:v>
      </x:c>
      <x:c r="R26" s="49"/>
      <x:c r="S26" s="48" t="n">
        <x:f>A26</x:f>
        <x:v>-0.8</x:v>
      </x:c>
      <x:c r="T26" s="48" t="n">
        <x:f>(Inputs!$I$6+(((A26)+1)/2)*(Inputs!$J$6-Inputs!$I$6))</x:f>
        <x:v>-48</x:v>
      </x:c>
      <x:c r="U26" s="48" t="n">
        <x:f>(Inputs!$I$7+(((A26)+1)/2)*(Inputs!$J$7-Inputs!$I$7))</x:f>
        <x:v>-320</x:v>
      </x:c>
      <x:c r="V26" s="48" t="n">
        <x:f>(Inputs!$I$8+(((A26)+1)/2)*(Inputs!$J$8-Inputs!$I$8))</x:f>
        <x:v>-640</x:v>
      </x:c>
      <x:c r="W26" s="48" t="n">
        <x:f>(Inputs!$I$9+(((A26)+1)/2)*(Inputs!$J$9-Inputs!$I$9))</x:f>
        <x:v>-640</x:v>
      </x:c>
      <x:c r="X26" s="49"/>
      <x:c r="Y26" s="48" t="n">
        <x:f>A26</x:f>
        <x:v>-0.8</x:v>
      </x:c>
      <x:c r="Z26" s="48" t="n">
        <x:f>(Inputs!$H$6+Inputs!$L$6*(((Inputs!$I$6+(((A26)+1)/2)*(Inputs!$J$6-Inputs!$I$6)))/Inputs!$K$6)^2)</x:f>
        <x:v>402.56</x:v>
      </x:c>
      <x:c r="AA26" s="48" t="n">
        <x:f>(Inputs!$H$7+Inputs!$L$7*(((Inputs!$I$7+(((A26)+1)/2)*(Inputs!$J$7-Inputs!$I$7)))/Inputs!$K$7)^2)</x:f>
        <x:v>268.6</x:v>
      </x:c>
      <x:c r="AB26" s="48" t="n">
        <x:f>(Inputs!$H$8+Inputs!$L$8*(((Inputs!$I$8+(((A26)+1)/2)*(Inputs!$J$8-Inputs!$I$8)))/Inputs!$K$8)^2)</x:f>
        <x:v>652.6000000000001</x:v>
      </x:c>
      <x:c r="AC26" s="48" t="n">
        <x:f>(Inputs!$H$9+Inputs!$L$9*(((Inputs!$I$9+(((A26)+1)/2)*(Inputs!$J$9-Inputs!$I$9)))/Inputs!$K$9)^2)</x:f>
        <x:v>649.0000000000001</x:v>
      </x:c>
      <x:c r="AD26" s="49"/>
      <x:c r="AE26" s="48" t="n">
        <x:f>A26</x:f>
        <x:v>-0.8</x:v>
      </x:c>
      <x:c r="AF26" s="48" t="n">
        <x:f>(((SQRT(((Inputs!$I$6+(((A26)+1)/2)*(Inputs!$J$6-Inputs!$I$6)))^2+Inputs!$C$6^2+((Inputs!$H$6+Inputs!$L$6*(((Inputs!$I$6+(((A26)+1)/2)*(Inputs!$J$6-Inputs!$I$6)))/Inputs!$K$6)^2))^2))-((Inputs!$H$6+Inputs!$L$6*(((Inputs!$I$6+(((A26)+1)/2)*(Inputs!$J$6-Inputs!$I$6)))/Inputs!$K$6)^2)))*1000/Inputs!$C$12)</x:f>
        <x:v>2034.6492181694086</x:v>
      </x:c>
      <x:c r="AG26" s="48" t="n">
        <x:f>(((SQRT(((Inputs!$I$7+(((A26)+1)/2)*(Inputs!$J$7-Inputs!$I$7)))^2+Inputs!$C$6^2+((Inputs!$H$7+Inputs!$L$7*(((Inputs!$I$7+(((A26)+1)/2)*(Inputs!$J$7-Inputs!$I$7)))/Inputs!$K$7)^2))^2))-((Inputs!$H$7+Inputs!$L$7*(((Inputs!$I$7+(((A26)+1)/2)*(Inputs!$J$7-Inputs!$I$7)))/Inputs!$K$7)^2)))*1000/Inputs!$C$12)</x:f>
        <x:v>84232.75262342278</x:v>
      </x:c>
      <x:c r="AH26" s="48" t="n">
        <x:f>(((SQRT(((Inputs!$I$8+(((A26)+1)/2)*(Inputs!$J$8-Inputs!$I$8)))^2+Inputs!$C$6^2+((Inputs!$H$8+Inputs!$L$8*(((Inputs!$I$8+(((A26)+1)/2)*(Inputs!$J$8-Inputs!$I$8)))/Inputs!$K$8)^2))^2))-((Inputs!$H$8+Inputs!$L$8*(((Inputs!$I$8+(((A26)+1)/2)*(Inputs!$J$8-Inputs!$I$8)))/Inputs!$K$8)^2)))*1000/Inputs!$C$12)</x:f>
        <x:v>147073.85942499142</x:v>
      </x:c>
      <x:c r="AI26" s="48" t="n">
        <x:f>(((SQRT(((Inputs!$I$9+(((A26)+1)/2)*(Inputs!$J$9-Inputs!$I$9)))^2+Inputs!$C$6^2+((Inputs!$H$9+Inputs!$L$9*(((Inputs!$I$9+(((A26)+1)/2)*(Inputs!$J$9-Inputs!$I$9)))/Inputs!$K$9)^2))^2))-((Inputs!$H$9+Inputs!$L$9*(((Inputs!$I$9+(((A26)+1)/2)*(Inputs!$J$9-Inputs!$I$9)))/Inputs!$K$9)^2)))*1000/Inputs!$C$12)</x:f>
        <x:v>147654.854622209</x:v>
      </x:c>
      <x:c r="AJ26" s="49"/>
      <x:c r="AK26" s="48" t="n">
        <x:f>A26</x:f>
        <x:v>-0.8</x:v>
      </x:c>
      <x:c r="AL26" s="48" t="n">
        <x:f>(-2*((1000*((((Inputs!$I$6+(((A26)+1)/2)*(Inputs!$J$6-Inputs!$I$6)))*Inputs!$C$11+((Inputs!$H$6+Inputs!$L$6*(((Inputs!$I$6+(((A26)+1)/2)*(Inputs!$J$6-Inputs!$I$6)))/Inputs!$K$6)^2))*((2*Inputs!$L$6*((Inputs!$I$6+(((A26)+1)/2)*(Inputs!$J$6-Inputs!$I$6)))/(Inputs!$K$6^2)*Inputs!$C$11)))/(SQRT(((Inputs!$I$6+(((A26)+1)/2)*(Inputs!$J$6-Inputs!$I$6)))^2+Inputs!$C$6^2+((Inputs!$H$6+Inputs!$L$6*(((Inputs!$I$6+(((A26)+1)/2)*(Inputs!$J$6-Inputs!$I$6)))/Inputs!$K$6)^2))^2)))))/Inputs!$C$13)</x:f>
        <x:v>358.2228890936832</x:v>
      </x:c>
      <x:c r="AM26" s="48" t="n">
        <x:f>(-2*((1000*((((Inputs!$I$7+(((A26)+1)/2)*(Inputs!$J$7-Inputs!$I$7)))*Inputs!$C$11+((Inputs!$H$7+Inputs!$L$7*(((Inputs!$I$7+(((A26)+1)/2)*(Inputs!$J$7-Inputs!$I$7)))/Inputs!$K$7)^2))*((2*Inputs!$L$7*((Inputs!$I$7+(((A26)+1)/2)*(Inputs!$J$7-Inputs!$I$7)))/(Inputs!$K$7^2)*Inputs!$C$11)))/(SQRT(((Inputs!$I$7+(((A26)+1)/2)*(Inputs!$J$7-Inputs!$I$7)))^2+Inputs!$C$6^2+((Inputs!$H$7+Inputs!$L$7*(((Inputs!$I$7+(((A26)+1)/2)*(Inputs!$J$7-Inputs!$I$7)))/Inputs!$K$7)^2))^2)))))/Inputs!$C$13)</x:f>
        <x:v>2722.4760333842505</x:v>
      </x:c>
      <x:c r="AN26" s="48" t="n">
        <x:f>(-2*((1000*((((Inputs!$I$8+(((A26)+1)/2)*(Inputs!$J$8-Inputs!$I$8)))*Inputs!$C$11+((Inputs!$H$8+Inputs!$L$8*(((Inputs!$I$8+(((A26)+1)/2)*(Inputs!$J$8-Inputs!$I$8)))/Inputs!$K$8)^2))*((2*Inputs!$L$8*((Inputs!$I$8+(((A26)+1)/2)*(Inputs!$J$8-Inputs!$I$8)))/(Inputs!$K$8^2)*Inputs!$C$11)))/(SQRT(((Inputs!$I$8+(((A26)+1)/2)*(Inputs!$J$8-Inputs!$I$8)))^2+Inputs!$C$6^2+((Inputs!$H$8+Inputs!$L$8*(((Inputs!$I$8+(((A26)+1)/2)*(Inputs!$J$8-Inputs!$I$8)))/Inputs!$K$8)^2))^2)))))/Inputs!$C$13)</x:f>
        <x:v>3323.7720390621243</x:v>
      </x:c>
      <x:c r="AO26" s="48" t="n">
        <x:f>(-2*((1000*((((Inputs!$I$9+(((A26)+1)/2)*(Inputs!$J$9-Inputs!$I$9)))*Inputs!$C$11+((Inputs!$H$9+Inputs!$L$9*(((Inputs!$I$9+(((A26)+1)/2)*(Inputs!$J$9-Inputs!$I$9)))/Inputs!$K$9)^2))*((2*Inputs!$L$9*((Inputs!$I$9+(((A26)+1)/2)*(Inputs!$J$9-Inputs!$I$9)))/(Inputs!$K$9^2)*Inputs!$C$11)))/(SQRT(((Inputs!$I$9+(((A26)+1)/2)*(Inputs!$J$9-Inputs!$I$9)))^2+Inputs!$C$6^2+((Inputs!$H$9+Inputs!$L$9*(((Inputs!$I$9+(((A26)+1)/2)*(Inputs!$J$9-Inputs!$I$9)))/Inputs!$K$9)^2))^2)))))/Inputs!$C$13)</x:f>
        <x:v>3343.7094353866705</x:v>
      </x:c>
    </x:row>
    <x:row r="27">
      <x:c r="A27" s="48" t="n">
        <x:f>ROUND(-1+25*2/240,3)</x:f>
        <x:v>-0.792</x:v>
      </x:c>
      <x:c r="B27" s="48" t="n">
        <x:f>IF(OR(Inputs!$F$6=TRUE,Inputs!$F$6="TRUE",Inputs!$F$6=1),(Inputs!$H$6+Inputs!$L$6*(((Inputs!$I$6+(((A27)+1)/2)*(Inputs!$J$6-Inputs!$I$6)))/Inputs!$K$6)^2),NA())</x:f>
        <x:v>402.509056</x:v>
      </x:c>
      <x:c r="C27" s="48" t="n">
        <x:f>IF(OR(Inputs!$F$7=TRUE,Inputs!$F$7="TRUE",Inputs!$F$7=1),(Inputs!$H$7+Inputs!$L$7*(((Inputs!$I$7+(((A27)+1)/2)*(Inputs!$J$7-Inputs!$I$7)))/Inputs!$K$7)^2),NA())</x:f>
        <x:v>263.95136</x:v>
      </x:c>
      <x:c r="D27" s="48" t="n">
        <x:f>IF(OR(Inputs!$F$8=TRUE,Inputs!$F$8="TRUE",Inputs!$F$8=1),(Inputs!$H$8+Inputs!$L$8*(((Inputs!$I$8+(((A27)+1)/2)*(Inputs!$J$8-Inputs!$I$8)))/Inputs!$K$8)^2),NA())</x:f>
        <x:v>640.3097600000001</x:v>
      </x:c>
      <x:c r="E27" s="48" t="n">
        <x:f>IF(OR(Inputs!$F$9=TRUE,Inputs!$F$9="TRUE",Inputs!$F$9=1),(Inputs!$H$9+Inputs!$L$9*(((Inputs!$I$9+(((A27)+1)/2)*(Inputs!$J$9-Inputs!$I$9)))/Inputs!$K$9)^2),NA())</x:f>
        <x:v>636.5824</x:v>
      </x:c>
      <x:c r="F27" s="49"/>
      <x:c r="G27" s="48" t="n">
        <x:f>A27</x:f>
        <x:v>-0.792</x:v>
      </x:c>
      <x:c r="H27" s="48" t="n">
        <x:f>IF(OR(Inputs!$F$6=TRUE,Inputs!$F$6="TRUE",Inputs!$F$6=1),(((SQRT(((Inputs!$I$6+(((A27)+1)/2)*(Inputs!$J$6-Inputs!$I$6)))^2+Inputs!$C$6^2+((Inputs!$H$6+Inputs!$L$6*(((Inputs!$I$6+(((A27)+1)/2)*(Inputs!$J$6-Inputs!$I$6)))/Inputs!$K$6)^2))^2))-((Inputs!$H$6+Inputs!$L$6*(((Inputs!$I$6+(((A27)+1)/2)*(Inputs!$J$6-Inputs!$I$6)))/Inputs!$K$6)^2)))*1000/Inputs!$C$12),NA())</x:f>
        <x:v>2003.1905578278656</x:v>
      </x:c>
      <x:c r="I27" s="48" t="n">
        <x:f>IF(OR(Inputs!$F$7=TRUE,Inputs!$F$7="TRUE",Inputs!$F$7=1),(((SQRT(((Inputs!$I$7+(((A27)+1)/2)*(Inputs!$J$7-Inputs!$I$7)))^2+Inputs!$C$6^2+((Inputs!$H$7+Inputs!$L$7*(((Inputs!$I$7+(((A27)+1)/2)*(Inputs!$J$7-Inputs!$I$7)))/Inputs!$K$7)^2))^2))-((Inputs!$H$7+Inputs!$L$7*(((Inputs!$I$7+(((A27)+1)/2)*(Inputs!$J$7-Inputs!$I$7)))/Inputs!$K$7)^2)))*1000/Inputs!$C$12),NA())</x:f>
        <x:v>83795.41692300409</x:v>
      </x:c>
      <x:c r="J27" s="48" t="n">
        <x:f>IF(OR(Inputs!$F$8=TRUE,Inputs!$F$8="TRUE",Inputs!$F$8=1),(((SQRT(((Inputs!$I$8+(((A27)+1)/2)*(Inputs!$J$8-Inputs!$I$8)))^2+Inputs!$C$6^2+((Inputs!$H$8+Inputs!$L$8*(((Inputs!$I$8+(((A27)+1)/2)*(Inputs!$J$8-Inputs!$I$8)))/Inputs!$K$8)^2))^2))-((Inputs!$H$8+Inputs!$L$8*(((Inputs!$I$8+(((A27)+1)/2)*(Inputs!$J$8-Inputs!$I$8)))/Inputs!$K$8)^2)))*1000/Inputs!$C$12),NA())</x:f>
        <x:v>146539.21948766877</x:v>
      </x:c>
      <x:c r="K27" s="48" t="n">
        <x:f>IF(OR(Inputs!$F$9=TRUE,Inputs!$F$9="TRUE",Inputs!$F$9=1),(((SQRT(((Inputs!$I$9+(((A27)+1)/2)*(Inputs!$J$9-Inputs!$I$9)))^2+Inputs!$C$6^2+((Inputs!$H$9+Inputs!$L$9*(((Inputs!$I$9+(((A27)+1)/2)*(Inputs!$J$9-Inputs!$I$9)))/Inputs!$K$9)^2))^2))-((Inputs!$H$9+Inputs!$L$9*(((Inputs!$I$9+(((A27)+1)/2)*(Inputs!$J$9-Inputs!$I$9)))/Inputs!$K$9)^2)))*1000/Inputs!$C$12),NA())</x:f>
        <x:v>147147.48962548067</x:v>
      </x:c>
      <x:c r="L27" s="49"/>
      <x:c r="M27" s="48" t="n">
        <x:f>A27</x:f>
        <x:v>-0.792</x:v>
      </x:c>
      <x:c r="N27" s="48" t="n">
        <x:f>IF(OR(Inputs!$F$6=TRUE,Inputs!$F$6="TRUE",Inputs!$F$6=1),(-2*((1000*((((Inputs!$I$6+(((A27)+1)/2)*(Inputs!$J$6-Inputs!$I$6)))*Inputs!$C$11+((Inputs!$H$6+Inputs!$L$6*(((Inputs!$I$6+(((A27)+1)/2)*(Inputs!$J$6-Inputs!$I$6)))/Inputs!$K$6)^2))*((2*Inputs!$L$6*((Inputs!$I$6+(((A27)+1)/2)*(Inputs!$J$6-Inputs!$I$6)))/(Inputs!$K$6^2)*Inputs!$C$11)))/(SQRT(((Inputs!$I$6+(((A27)+1)/2)*(Inputs!$J$6-Inputs!$I$6)))^2+Inputs!$C$6^2+((Inputs!$H$6+Inputs!$L$6*(((Inputs!$I$6+(((A27)+1)/2)*(Inputs!$J$6-Inputs!$I$6)))/Inputs!$K$6)^2))^2)))))/Inputs!$C$13),NA())</x:f>
        <x:v>354.71285854148</x:v>
      </x:c>
      <x:c r="O27" s="48" t="n">
        <x:f>IF(OR(Inputs!$F$7=TRUE,Inputs!$F$7="TRUE",Inputs!$F$7=1),(-2*((1000*((((Inputs!$I$7+(((A27)+1)/2)*(Inputs!$J$7-Inputs!$I$7)))*Inputs!$C$11+((Inputs!$H$7+Inputs!$L$7*(((Inputs!$I$7+(((A27)+1)/2)*(Inputs!$J$7-Inputs!$I$7)))/Inputs!$K$7)^2))*((2*Inputs!$L$7*((Inputs!$I$7+(((A27)+1)/2)*(Inputs!$J$7-Inputs!$I$7)))/(Inputs!$K$7^2)*Inputs!$C$11)))/(SQRT(((Inputs!$I$7+(((A27)+1)/2)*(Inputs!$J$7-Inputs!$I$7)))^2+Inputs!$C$6^2+((Inputs!$H$7+Inputs!$L$7*(((Inputs!$I$7+(((A27)+1)/2)*(Inputs!$J$7-Inputs!$I$7)))/Inputs!$K$7)^2))^2)))))/Inputs!$C$13),NA())</x:f>
        <x:v>2704.6356670825417</x:v>
      </x:c>
      <x:c r="P27" s="48" t="n">
        <x:f>IF(OR(Inputs!$F$8=TRUE,Inputs!$F$8="TRUE",Inputs!$F$8=1),(-2*((1000*((((Inputs!$I$8+(((A27)+1)/2)*(Inputs!$J$8-Inputs!$I$8)))*Inputs!$C$11+((Inputs!$H$8+Inputs!$L$8*(((Inputs!$I$8+(((A27)+1)/2)*(Inputs!$J$8-Inputs!$I$8)))/Inputs!$K$8)^2))*((2*Inputs!$L$8*((Inputs!$I$8+(((A27)+1)/2)*(Inputs!$J$8-Inputs!$I$8)))/(Inputs!$K$8^2)*Inputs!$C$11)))/(SQRT(((Inputs!$I$8+(((A27)+1)/2)*(Inputs!$J$8-Inputs!$I$8)))^2+Inputs!$C$6^2+((Inputs!$H$8+Inputs!$L$8*(((Inputs!$I$8+(((A27)+1)/2)*(Inputs!$J$8-Inputs!$I$8)))/Inputs!$K$8)^2))^2)))))/Inputs!$C$13),NA())</x:f>
        <x:v>3297.192686029429</x:v>
      </x:c>
      <x:c r="Q27" s="48" t="n">
        <x:f>IF(OR(Inputs!$F$9=TRUE,Inputs!$F$9="TRUE",Inputs!$F$9=1),(-2*((1000*((((Inputs!$I$9+(((A27)+1)/2)*(Inputs!$J$9-Inputs!$I$9)))*Inputs!$C$11+((Inputs!$H$9+Inputs!$L$9*(((Inputs!$I$9+(((A27)+1)/2)*(Inputs!$J$9-Inputs!$I$9)))/Inputs!$K$9)^2))*((2*Inputs!$L$9*((Inputs!$I$9+(((A27)+1)/2)*(Inputs!$J$9-Inputs!$I$9)))/(Inputs!$K$9^2)*Inputs!$C$11)))/(SQRT(((Inputs!$I$9+(((A27)+1)/2)*(Inputs!$J$9-Inputs!$I$9)))^2+Inputs!$C$6^2+((Inputs!$H$9+Inputs!$L$9*(((Inputs!$I$9+(((A27)+1)/2)*(Inputs!$J$9-Inputs!$I$9)))/Inputs!$K$9)^2))^2)))))/Inputs!$C$13),NA())</x:f>
        <x:v>3316.660390538292</x:v>
      </x:c>
      <x:c r="R27" s="49"/>
      <x:c r="S27" s="48" t="n">
        <x:f>A27</x:f>
        <x:v>-0.792</x:v>
      </x:c>
      <x:c r="T27" s="48" t="n">
        <x:f>(Inputs!$I$6+(((A27)+1)/2)*(Inputs!$J$6-Inputs!$I$6))</x:f>
        <x:v>-47.52</x:v>
      </x:c>
      <x:c r="U27" s="48" t="n">
        <x:f>(Inputs!$I$7+(((A27)+1)/2)*(Inputs!$J$7-Inputs!$I$7))</x:f>
        <x:v>-316.8</x:v>
      </x:c>
      <x:c r="V27" s="48" t="n">
        <x:f>(Inputs!$I$8+(((A27)+1)/2)*(Inputs!$J$8-Inputs!$I$8))</x:f>
        <x:v>-633.6</x:v>
      </x:c>
      <x:c r="W27" s="48" t="n">
        <x:f>(Inputs!$I$9+(((A27)+1)/2)*(Inputs!$J$9-Inputs!$I$9))</x:f>
        <x:v>-633.6</x:v>
      </x:c>
      <x:c r="X27" s="49"/>
      <x:c r="Y27" s="48" t="n">
        <x:f>A27</x:f>
        <x:v>-0.792</x:v>
      </x:c>
      <x:c r="Z27" s="48" t="n">
        <x:f>(Inputs!$H$6+Inputs!$L$6*(((Inputs!$I$6+(((A27)+1)/2)*(Inputs!$J$6-Inputs!$I$6)))/Inputs!$K$6)^2)</x:f>
        <x:v>402.509056</x:v>
      </x:c>
      <x:c r="AA27" s="48" t="n">
        <x:f>(Inputs!$H$7+Inputs!$L$7*(((Inputs!$I$7+(((A27)+1)/2)*(Inputs!$J$7-Inputs!$I$7)))/Inputs!$K$7)^2)</x:f>
        <x:v>263.95136</x:v>
      </x:c>
      <x:c r="AB27" s="48" t="n">
        <x:f>(Inputs!$H$8+Inputs!$L$8*(((Inputs!$I$8+(((A27)+1)/2)*(Inputs!$J$8-Inputs!$I$8)))/Inputs!$K$8)^2)</x:f>
        <x:v>640.3097600000001</x:v>
      </x:c>
      <x:c r="AC27" s="48" t="n">
        <x:f>(Inputs!$H$9+Inputs!$L$9*(((Inputs!$I$9+(((A27)+1)/2)*(Inputs!$J$9-Inputs!$I$9)))/Inputs!$K$9)^2)</x:f>
        <x:v>636.5824</x:v>
      </x:c>
      <x:c r="AD27" s="49"/>
      <x:c r="AE27" s="48" t="n">
        <x:f>A27</x:f>
        <x:v>-0.792</x:v>
      </x:c>
      <x:c r="AF27" s="48" t="n">
        <x:f>(((SQRT(((Inputs!$I$6+(((A27)+1)/2)*(Inputs!$J$6-Inputs!$I$6)))^2+Inputs!$C$6^2+((Inputs!$H$6+Inputs!$L$6*(((Inputs!$I$6+(((A27)+1)/2)*(Inputs!$J$6-Inputs!$I$6)))/Inputs!$K$6)^2))^2))-((Inputs!$H$6+Inputs!$L$6*(((Inputs!$I$6+(((A27)+1)/2)*(Inputs!$J$6-Inputs!$I$6)))/Inputs!$K$6)^2)))*1000/Inputs!$C$12)</x:f>
        <x:v>2003.1905578278656</x:v>
      </x:c>
      <x:c r="AG27" s="48" t="n">
        <x:f>(((SQRT(((Inputs!$I$7+(((A27)+1)/2)*(Inputs!$J$7-Inputs!$I$7)))^2+Inputs!$C$6^2+((Inputs!$H$7+Inputs!$L$7*(((Inputs!$I$7+(((A27)+1)/2)*(Inputs!$J$7-Inputs!$I$7)))/Inputs!$K$7)^2))^2))-((Inputs!$H$7+Inputs!$L$7*(((Inputs!$I$7+(((A27)+1)/2)*(Inputs!$J$7-Inputs!$I$7)))/Inputs!$K$7)^2)))*1000/Inputs!$C$12)</x:f>
        <x:v>83795.41692300409</x:v>
      </x:c>
      <x:c r="AH27" s="48" t="n">
        <x:f>(((SQRT(((Inputs!$I$8+(((A27)+1)/2)*(Inputs!$J$8-Inputs!$I$8)))^2+Inputs!$C$6^2+((Inputs!$H$8+Inputs!$L$8*(((Inputs!$I$8+(((A27)+1)/2)*(Inputs!$J$8-Inputs!$I$8)))/Inputs!$K$8)^2))^2))-((Inputs!$H$8+Inputs!$L$8*(((Inputs!$I$8+(((A27)+1)/2)*(Inputs!$J$8-Inputs!$I$8)))/Inputs!$K$8)^2)))*1000/Inputs!$C$12)</x:f>
        <x:v>146539.21948766877</x:v>
      </x:c>
      <x:c r="AI27" s="48" t="n">
        <x:f>(((SQRT(((Inputs!$I$9+(((A27)+1)/2)*(Inputs!$J$9-Inputs!$I$9)))^2+Inputs!$C$6^2+((Inputs!$H$9+Inputs!$L$9*(((Inputs!$I$9+(((A27)+1)/2)*(Inputs!$J$9-Inputs!$I$9)))/Inputs!$K$9)^2))^2))-((Inputs!$H$9+Inputs!$L$9*(((Inputs!$I$9+(((A27)+1)/2)*(Inputs!$J$9-Inputs!$I$9)))/Inputs!$K$9)^2)))*1000/Inputs!$C$12)</x:f>
        <x:v>147147.48962548067</x:v>
      </x:c>
      <x:c r="AJ27" s="49"/>
      <x:c r="AK27" s="48" t="n">
        <x:f>A27</x:f>
        <x:v>-0.792</x:v>
      </x:c>
      <x:c r="AL27" s="48" t="n">
        <x:f>(-2*((1000*((((Inputs!$I$6+(((A27)+1)/2)*(Inputs!$J$6-Inputs!$I$6)))*Inputs!$C$11+((Inputs!$H$6+Inputs!$L$6*(((Inputs!$I$6+(((A27)+1)/2)*(Inputs!$J$6-Inputs!$I$6)))/Inputs!$K$6)^2))*((2*Inputs!$L$6*((Inputs!$I$6+(((A27)+1)/2)*(Inputs!$J$6-Inputs!$I$6)))/(Inputs!$K$6^2)*Inputs!$C$11)))/(SQRT(((Inputs!$I$6+(((A27)+1)/2)*(Inputs!$J$6-Inputs!$I$6)))^2+Inputs!$C$6^2+((Inputs!$H$6+Inputs!$L$6*(((Inputs!$I$6+(((A27)+1)/2)*(Inputs!$J$6-Inputs!$I$6)))/Inputs!$K$6)^2))^2)))))/Inputs!$C$13)</x:f>
        <x:v>354.71285854148</x:v>
      </x:c>
      <x:c r="AM27" s="48" t="n">
        <x:f>(-2*((1000*((((Inputs!$I$7+(((A27)+1)/2)*(Inputs!$J$7-Inputs!$I$7)))*Inputs!$C$11+((Inputs!$H$7+Inputs!$L$7*(((Inputs!$I$7+(((A27)+1)/2)*(Inputs!$J$7-Inputs!$I$7)))/Inputs!$K$7)^2))*((2*Inputs!$L$7*((Inputs!$I$7+(((A27)+1)/2)*(Inputs!$J$7-Inputs!$I$7)))/(Inputs!$K$7^2)*Inputs!$C$11)))/(SQRT(((Inputs!$I$7+(((A27)+1)/2)*(Inputs!$J$7-Inputs!$I$7)))^2+Inputs!$C$6^2+((Inputs!$H$7+Inputs!$L$7*(((Inputs!$I$7+(((A27)+1)/2)*(Inputs!$J$7-Inputs!$I$7)))/Inputs!$K$7)^2))^2)))))/Inputs!$C$13)</x:f>
        <x:v>2704.6356670825417</x:v>
      </x:c>
      <x:c r="AN27" s="48" t="n">
        <x:f>(-2*((1000*((((Inputs!$I$8+(((A27)+1)/2)*(Inputs!$J$8-Inputs!$I$8)))*Inputs!$C$11+((Inputs!$H$8+Inputs!$L$8*(((Inputs!$I$8+(((A27)+1)/2)*(Inputs!$J$8-Inputs!$I$8)))/Inputs!$K$8)^2))*((2*Inputs!$L$8*((Inputs!$I$8+(((A27)+1)/2)*(Inputs!$J$8-Inputs!$I$8)))/(Inputs!$K$8^2)*Inputs!$C$11)))/(SQRT(((Inputs!$I$8+(((A27)+1)/2)*(Inputs!$J$8-Inputs!$I$8)))^2+Inputs!$C$6^2+((Inputs!$H$8+Inputs!$L$8*(((Inputs!$I$8+(((A27)+1)/2)*(Inputs!$J$8-Inputs!$I$8)))/Inputs!$K$8)^2))^2)))))/Inputs!$C$13)</x:f>
        <x:v>3297.192686029429</x:v>
      </x:c>
      <x:c r="AO27" s="48" t="n">
        <x:f>(-2*((1000*((((Inputs!$I$9+(((A27)+1)/2)*(Inputs!$J$9-Inputs!$I$9)))*Inputs!$C$11+((Inputs!$H$9+Inputs!$L$9*(((Inputs!$I$9+(((A27)+1)/2)*(Inputs!$J$9-Inputs!$I$9)))/Inputs!$K$9)^2))*((2*Inputs!$L$9*((Inputs!$I$9+(((A27)+1)/2)*(Inputs!$J$9-Inputs!$I$9)))/(Inputs!$K$9^2)*Inputs!$C$11)))/(SQRT(((Inputs!$I$9+(((A27)+1)/2)*(Inputs!$J$9-Inputs!$I$9)))^2+Inputs!$C$6^2+((Inputs!$H$9+Inputs!$L$9*(((Inputs!$I$9+(((A27)+1)/2)*(Inputs!$J$9-Inputs!$I$9)))/Inputs!$K$9)^2))^2)))))/Inputs!$C$13)</x:f>
        <x:v>3316.660390538292</x:v>
      </x:c>
    </x:row>
    <x:row r="28">
      <x:c r="A28" s="48" t="n">
        <x:f>ROUND(-1+26*2/240,3)</x:f>
        <x:v>-0.783</x:v>
      </x:c>
      <x:c r="B28" s="48" t="n">
        <x:f>IF(OR(Inputs!$F$6=TRUE,Inputs!$F$6="TRUE",Inputs!$F$6=1),(Inputs!$H$6+Inputs!$L$6*(((Inputs!$I$6+(((A28)+1)/2)*(Inputs!$J$6-Inputs!$I$6)))/Inputs!$K$6)^2),NA())</x:f>
        <x:v>402.452356</x:v>
      </x:c>
      <x:c r="C28" s="48" t="n">
        <x:f>IF(OR(Inputs!$F$7=TRUE,Inputs!$F$7="TRUE",Inputs!$F$7=1),(Inputs!$H$7+Inputs!$L$7*(((Inputs!$I$7+(((A28)+1)/2)*(Inputs!$J$7-Inputs!$I$7)))/Inputs!$K$7)^2),NA())</x:f>
        <x:v>258.77748500000007</x:v>
      </x:c>
      <x:c r="D28" s="48" t="n">
        <x:f>IF(OR(Inputs!$F$8=TRUE,Inputs!$F$8="TRUE",Inputs!$F$8=1),(Inputs!$H$8+Inputs!$L$8*(((Inputs!$I$8+(((A28)+1)/2)*(Inputs!$J$8-Inputs!$I$8)))/Inputs!$K$8)^2),NA())</x:f>
        <x:v>626.6308850000003</x:v>
      </x:c>
      <x:c r="E28" s="48" t="n">
        <x:f>IF(OR(Inputs!$F$9=TRUE,Inputs!$F$9="TRUE",Inputs!$F$9=1),(Inputs!$H$9+Inputs!$L$9*(((Inputs!$I$9+(((A28)+1)/2)*(Inputs!$J$9-Inputs!$I$9)))/Inputs!$K$9)^2),NA())</x:f>
        <x:v>622.7617750000002</x:v>
      </x:c>
      <x:c r="F28" s="49"/>
      <x:c r="G28" s="48" t="n">
        <x:f>A28</x:f>
        <x:v>-0.783</x:v>
      </x:c>
      <x:c r="H28" s="48" t="n">
        <x:f>IF(OR(Inputs!$F$6=TRUE,Inputs!$F$6="TRUE",Inputs!$F$6=1),(((SQRT(((Inputs!$I$6+(((A28)+1)/2)*(Inputs!$J$6-Inputs!$I$6)))^2+Inputs!$C$6^2+((Inputs!$H$6+Inputs!$L$6*(((Inputs!$I$6+(((A28)+1)/2)*(Inputs!$J$6-Inputs!$I$6)))/Inputs!$K$6)^2))^2))-((Inputs!$H$6+Inputs!$L$6*(((Inputs!$I$6+(((A28)+1)/2)*(Inputs!$J$6-Inputs!$I$6)))/Inputs!$K$6)^2)))*1000/Inputs!$C$12),NA())</x:f>
        <x:v>1968.1630972546204</x:v>
      </x:c>
      <x:c r="I28" s="48" t="n">
        <x:f>IF(OR(Inputs!$F$7=TRUE,Inputs!$F$7="TRUE",Inputs!$F$7=1),(((SQRT(((Inputs!$I$7+(((A28)+1)/2)*(Inputs!$J$7-Inputs!$I$7)))^2+Inputs!$C$6^2+((Inputs!$H$7+Inputs!$L$7*(((Inputs!$I$7+(((A28)+1)/2)*(Inputs!$J$7-Inputs!$I$7)))/Inputs!$K$7)^2))^2))-((Inputs!$H$7+Inputs!$L$7*(((Inputs!$I$7+(((A28)+1)/2)*(Inputs!$J$7-Inputs!$I$7)))/Inputs!$K$7)^2)))*1000/Inputs!$C$12),NA())</x:f>
        <x:v>83295.93904031154</x:v>
      </x:c>
      <x:c r="J28" s="48" t="n">
        <x:f>IF(OR(Inputs!$F$8=TRUE,Inputs!$F$8="TRUE",Inputs!$F$8=1),(((SQRT(((Inputs!$I$8+(((A28)+1)/2)*(Inputs!$J$8-Inputs!$I$8)))^2+Inputs!$C$6^2+((Inputs!$H$8+Inputs!$L$8*(((Inputs!$I$8+(((A28)+1)/2)*(Inputs!$J$8-Inputs!$I$8)))/Inputs!$K$8)^2))^2))-((Inputs!$H$8+Inputs!$L$8*(((Inputs!$I$8+(((A28)+1)/2)*(Inputs!$J$8-Inputs!$I$8)))/Inputs!$K$8)^2)))*1000/Inputs!$C$12),NA())</x:f>
        <x:v>145926.06398008054</x:v>
      </x:c>
      <x:c r="K28" s="48" t="n">
        <x:f>IF(OR(Inputs!$F$9=TRUE,Inputs!$F$9="TRUE",Inputs!$F$9=1),(((SQRT(((Inputs!$I$9+(((A28)+1)/2)*(Inputs!$J$9-Inputs!$I$9)))^2+Inputs!$C$6^2+((Inputs!$H$9+Inputs!$L$9*(((Inputs!$I$9+(((A28)+1)/2)*(Inputs!$J$9-Inputs!$I$9)))/Inputs!$K$9)^2))^2))-((Inputs!$H$9+Inputs!$L$9*(((Inputs!$I$9+(((A28)+1)/2)*(Inputs!$J$9-Inputs!$I$9)))/Inputs!$K$9)^2)))*1000/Inputs!$C$12),NA())</x:f>
        <x:v>146565.42225603643</x:v>
      </x:c>
      <x:c r="L28" s="49"/>
      <x:c r="M28" s="48" t="n">
        <x:f>A28</x:f>
        <x:v>-0.783</x:v>
      </x:c>
      <x:c r="N28" s="48" t="n">
        <x:f>IF(OR(Inputs!$F$6=TRUE,Inputs!$F$6="TRUE",Inputs!$F$6=1),(-2*((1000*((((Inputs!$I$6+(((A28)+1)/2)*(Inputs!$J$6-Inputs!$I$6)))*Inputs!$C$11+((Inputs!$H$6+Inputs!$L$6*(((Inputs!$I$6+(((A28)+1)/2)*(Inputs!$J$6-Inputs!$I$6)))/Inputs!$K$6)^2))*((2*Inputs!$L$6*((Inputs!$I$6+(((A28)+1)/2)*(Inputs!$J$6-Inputs!$I$6)))/(Inputs!$K$6^2)*Inputs!$C$11)))/(SQRT(((Inputs!$I$6+(((A28)+1)/2)*(Inputs!$J$6-Inputs!$I$6)))^2+Inputs!$C$6^2+((Inputs!$H$6+Inputs!$L$6*(((Inputs!$I$6+(((A28)+1)/2)*(Inputs!$J$6-Inputs!$I$6)))/Inputs!$K$6)^2))^2)))))/Inputs!$C$13),NA())</x:f>
        <x:v>350.76153961398614</x:v>
      </x:c>
      <x:c r="O28" s="48" t="n">
        <x:f>IF(OR(Inputs!$F$7=TRUE,Inputs!$F$7="TRUE",Inputs!$F$7=1),(-2*((1000*((((Inputs!$I$7+(((A28)+1)/2)*(Inputs!$J$7-Inputs!$I$7)))*Inputs!$C$11+((Inputs!$H$7+Inputs!$L$7*(((Inputs!$I$7+(((A28)+1)/2)*(Inputs!$J$7-Inputs!$I$7)))/Inputs!$K$7)^2))*((2*Inputs!$L$7*((Inputs!$I$7+(((A28)+1)/2)*(Inputs!$J$7-Inputs!$I$7)))/(Inputs!$K$7^2)*Inputs!$C$11)))/(SQRT(((Inputs!$I$7+(((A28)+1)/2)*(Inputs!$J$7-Inputs!$I$7)))^2+Inputs!$C$6^2+((Inputs!$H$7+Inputs!$L$7*(((Inputs!$I$7+(((A28)+1)/2)*(Inputs!$J$7-Inputs!$I$7)))/Inputs!$K$7)^2))^2)))))/Inputs!$C$13),NA())</x:f>
        <x:v>2684.667510169712</x:v>
      </x:c>
      <x:c r="P28" s="48" t="n">
        <x:f>IF(OR(Inputs!$F$8=TRUE,Inputs!$F$8="TRUE",Inputs!$F$8=1),(-2*((1000*((((Inputs!$I$8+(((A28)+1)/2)*(Inputs!$J$8-Inputs!$I$8)))*Inputs!$C$11+((Inputs!$H$8+Inputs!$L$8*(((Inputs!$I$8+(((A28)+1)/2)*(Inputs!$J$8-Inputs!$I$8)))/Inputs!$K$8)^2))*((2*Inputs!$L$8*((Inputs!$I$8+(((A28)+1)/2)*(Inputs!$J$8-Inputs!$I$8)))/(Inputs!$K$8^2)*Inputs!$C$11)))/(SQRT(((Inputs!$I$8+(((A28)+1)/2)*(Inputs!$J$8-Inputs!$I$8)))^2+Inputs!$C$6^2+((Inputs!$H$8+Inputs!$L$8*(((Inputs!$I$8+(((A28)+1)/2)*(Inputs!$J$8-Inputs!$I$8)))/Inputs!$K$8)^2))^2)))))/Inputs!$C$13),NA())</x:f>
        <x:v>3267.4011263563657</x:v>
      </x:c>
      <x:c r="Q28" s="48" t="n">
        <x:f>IF(OR(Inputs!$F$9=TRUE,Inputs!$F$9="TRUE",Inputs!$F$9=1),(-2*((1000*((((Inputs!$I$9+(((A28)+1)/2)*(Inputs!$J$9-Inputs!$I$9)))*Inputs!$C$11+((Inputs!$H$9+Inputs!$L$9*(((Inputs!$I$9+(((A28)+1)/2)*(Inputs!$J$9-Inputs!$I$9)))/Inputs!$K$9)^2))*((2*Inputs!$L$9*((Inputs!$I$9+(((A28)+1)/2)*(Inputs!$J$9-Inputs!$I$9)))/(Inputs!$K$9^2)*Inputs!$C$11)))/(SQRT(((Inputs!$I$9+(((A28)+1)/2)*(Inputs!$J$9-Inputs!$I$9)))^2+Inputs!$C$6^2+((Inputs!$H$9+Inputs!$L$9*(((Inputs!$I$9+(((A28)+1)/2)*(Inputs!$J$9-Inputs!$I$9)))/Inputs!$K$9)^2))^2)))))/Inputs!$C$13),NA())</x:f>
        <x:v>3286.3390032924194</x:v>
      </x:c>
      <x:c r="R28" s="49"/>
      <x:c r="S28" s="48" t="n">
        <x:f>A28</x:f>
        <x:v>-0.783</x:v>
      </x:c>
      <x:c r="T28" s="48" t="n">
        <x:f>(Inputs!$I$6+(((A28)+1)/2)*(Inputs!$J$6-Inputs!$I$6))</x:f>
        <x:v>-46.980000000000004</x:v>
      </x:c>
      <x:c r="U28" s="48" t="n">
        <x:f>(Inputs!$I$7+(((A28)+1)/2)*(Inputs!$J$7-Inputs!$I$7))</x:f>
        <x:v>-313.20000000000005</x:v>
      </x:c>
      <x:c r="V28" s="48" t="n">
        <x:f>(Inputs!$I$8+(((A28)+1)/2)*(Inputs!$J$8-Inputs!$I$8))</x:f>
        <x:v>-626.4000000000001</x:v>
      </x:c>
      <x:c r="W28" s="48" t="n">
        <x:f>(Inputs!$I$9+(((A28)+1)/2)*(Inputs!$J$9-Inputs!$I$9))</x:f>
        <x:v>-626.4000000000001</x:v>
      </x:c>
      <x:c r="X28" s="49"/>
      <x:c r="Y28" s="48" t="n">
        <x:f>A28</x:f>
        <x:v>-0.783</x:v>
      </x:c>
      <x:c r="Z28" s="48" t="n">
        <x:f>(Inputs!$H$6+Inputs!$L$6*(((Inputs!$I$6+(((A28)+1)/2)*(Inputs!$J$6-Inputs!$I$6)))/Inputs!$K$6)^2)</x:f>
        <x:v>402.452356</x:v>
      </x:c>
      <x:c r="AA28" s="48" t="n">
        <x:f>(Inputs!$H$7+Inputs!$L$7*(((Inputs!$I$7+(((A28)+1)/2)*(Inputs!$J$7-Inputs!$I$7)))/Inputs!$K$7)^2)</x:f>
        <x:v>258.77748500000007</x:v>
      </x:c>
      <x:c r="AB28" s="48" t="n">
        <x:f>(Inputs!$H$8+Inputs!$L$8*(((Inputs!$I$8+(((A28)+1)/2)*(Inputs!$J$8-Inputs!$I$8)))/Inputs!$K$8)^2)</x:f>
        <x:v>626.6308850000003</x:v>
      </x:c>
      <x:c r="AC28" s="48" t="n">
        <x:f>(Inputs!$H$9+Inputs!$L$9*(((Inputs!$I$9+(((A28)+1)/2)*(Inputs!$J$9-Inputs!$I$9)))/Inputs!$K$9)^2)</x:f>
        <x:v>622.7617750000002</x:v>
      </x:c>
      <x:c r="AD28" s="49"/>
      <x:c r="AE28" s="48" t="n">
        <x:f>A28</x:f>
        <x:v>-0.783</x:v>
      </x:c>
      <x:c r="AF28" s="48" t="n">
        <x:f>(((SQRT(((Inputs!$I$6+(((A28)+1)/2)*(Inputs!$J$6-Inputs!$I$6)))^2+Inputs!$C$6^2+((Inputs!$H$6+Inputs!$L$6*(((Inputs!$I$6+(((A28)+1)/2)*(Inputs!$J$6-Inputs!$I$6)))/Inputs!$K$6)^2))^2))-((Inputs!$H$6+Inputs!$L$6*(((Inputs!$I$6+(((A28)+1)/2)*(Inputs!$J$6-Inputs!$I$6)))/Inputs!$K$6)^2)))*1000/Inputs!$C$12)</x:f>
        <x:v>1968.1630972546204</x:v>
      </x:c>
      <x:c r="AG28" s="48" t="n">
        <x:f>(((SQRT(((Inputs!$I$7+(((A28)+1)/2)*(Inputs!$J$7-Inputs!$I$7)))^2+Inputs!$C$6^2+((Inputs!$H$7+Inputs!$L$7*(((Inputs!$I$7+(((A28)+1)/2)*(Inputs!$J$7-Inputs!$I$7)))/Inputs!$K$7)^2))^2))-((Inputs!$H$7+Inputs!$L$7*(((Inputs!$I$7+(((A28)+1)/2)*(Inputs!$J$7-Inputs!$I$7)))/Inputs!$K$7)^2)))*1000/Inputs!$C$12)</x:f>
        <x:v>83295.93904031154</x:v>
      </x:c>
      <x:c r="AH28" s="48" t="n">
        <x:f>(((SQRT(((Inputs!$I$8+(((A28)+1)/2)*(Inputs!$J$8-Inputs!$I$8)))^2+Inputs!$C$6^2+((Inputs!$H$8+Inputs!$L$8*(((Inputs!$I$8+(((A28)+1)/2)*(Inputs!$J$8-Inputs!$I$8)))/Inputs!$K$8)^2))^2))-((Inputs!$H$8+Inputs!$L$8*(((Inputs!$I$8+(((A28)+1)/2)*(Inputs!$J$8-Inputs!$I$8)))/Inputs!$K$8)^2)))*1000/Inputs!$C$12)</x:f>
        <x:v>145926.06398008054</x:v>
      </x:c>
      <x:c r="AI28" s="48" t="n">
        <x:f>(((SQRT(((Inputs!$I$9+(((A28)+1)/2)*(Inputs!$J$9-Inputs!$I$9)))^2+Inputs!$C$6^2+((Inputs!$H$9+Inputs!$L$9*(((Inputs!$I$9+(((A28)+1)/2)*(Inputs!$J$9-Inputs!$I$9)))/Inputs!$K$9)^2))^2))-((Inputs!$H$9+Inputs!$L$9*(((Inputs!$I$9+(((A28)+1)/2)*(Inputs!$J$9-Inputs!$I$9)))/Inputs!$K$9)^2)))*1000/Inputs!$C$12)</x:f>
        <x:v>146565.42225603643</x:v>
      </x:c>
      <x:c r="AJ28" s="49"/>
      <x:c r="AK28" s="48" t="n">
        <x:f>A28</x:f>
        <x:v>-0.783</x:v>
      </x:c>
      <x:c r="AL28" s="48" t="n">
        <x:f>(-2*((1000*((((Inputs!$I$6+(((A28)+1)/2)*(Inputs!$J$6-Inputs!$I$6)))*Inputs!$C$11+((Inputs!$H$6+Inputs!$L$6*(((Inputs!$I$6+(((A28)+1)/2)*(Inputs!$J$6-Inputs!$I$6)))/Inputs!$K$6)^2))*((2*Inputs!$L$6*((Inputs!$I$6+(((A28)+1)/2)*(Inputs!$J$6-Inputs!$I$6)))/(Inputs!$K$6^2)*Inputs!$C$11)))/(SQRT(((Inputs!$I$6+(((A28)+1)/2)*(Inputs!$J$6-Inputs!$I$6)))^2+Inputs!$C$6^2+((Inputs!$H$6+Inputs!$L$6*(((Inputs!$I$6+(((A28)+1)/2)*(Inputs!$J$6-Inputs!$I$6)))/Inputs!$K$6)^2))^2)))))/Inputs!$C$13)</x:f>
        <x:v>350.76153961398614</x:v>
      </x:c>
      <x:c r="AM28" s="48" t="n">
        <x:f>(-2*((1000*((((Inputs!$I$7+(((A28)+1)/2)*(Inputs!$J$7-Inputs!$I$7)))*Inputs!$C$11+((Inputs!$H$7+Inputs!$L$7*(((Inputs!$I$7+(((A28)+1)/2)*(Inputs!$J$7-Inputs!$I$7)))/Inputs!$K$7)^2))*((2*Inputs!$L$7*((Inputs!$I$7+(((A28)+1)/2)*(Inputs!$J$7-Inputs!$I$7)))/(Inputs!$K$7^2)*Inputs!$C$11)))/(SQRT(((Inputs!$I$7+(((A28)+1)/2)*(Inputs!$J$7-Inputs!$I$7)))^2+Inputs!$C$6^2+((Inputs!$H$7+Inputs!$L$7*(((Inputs!$I$7+(((A28)+1)/2)*(Inputs!$J$7-Inputs!$I$7)))/Inputs!$K$7)^2))^2)))))/Inputs!$C$13)</x:f>
        <x:v>2684.667510169712</x:v>
      </x:c>
      <x:c r="AN28" s="48" t="n">
        <x:f>(-2*((1000*((((Inputs!$I$8+(((A28)+1)/2)*(Inputs!$J$8-Inputs!$I$8)))*Inputs!$C$11+((Inputs!$H$8+Inputs!$L$8*(((Inputs!$I$8+(((A28)+1)/2)*(Inputs!$J$8-Inputs!$I$8)))/Inputs!$K$8)^2))*((2*Inputs!$L$8*((Inputs!$I$8+(((A28)+1)/2)*(Inputs!$J$8-Inputs!$I$8)))/(Inputs!$K$8^2)*Inputs!$C$11)))/(SQRT(((Inputs!$I$8+(((A28)+1)/2)*(Inputs!$J$8-Inputs!$I$8)))^2+Inputs!$C$6^2+((Inputs!$H$8+Inputs!$L$8*(((Inputs!$I$8+(((A28)+1)/2)*(Inputs!$J$8-Inputs!$I$8)))/Inputs!$K$8)^2))^2)))))/Inputs!$C$13)</x:f>
        <x:v>3267.4011263563657</x:v>
      </x:c>
      <x:c r="AO28" s="48" t="n">
        <x:f>(-2*((1000*((((Inputs!$I$9+(((A28)+1)/2)*(Inputs!$J$9-Inputs!$I$9)))*Inputs!$C$11+((Inputs!$H$9+Inputs!$L$9*(((Inputs!$I$9+(((A28)+1)/2)*(Inputs!$J$9-Inputs!$I$9)))/Inputs!$K$9)^2))*((2*Inputs!$L$9*((Inputs!$I$9+(((A28)+1)/2)*(Inputs!$J$9-Inputs!$I$9)))/(Inputs!$K$9^2)*Inputs!$C$11)))/(SQRT(((Inputs!$I$9+(((A28)+1)/2)*(Inputs!$J$9-Inputs!$I$9)))^2+Inputs!$C$6^2+((Inputs!$H$9+Inputs!$L$9*(((Inputs!$I$9+(((A28)+1)/2)*(Inputs!$J$9-Inputs!$I$9)))/Inputs!$K$9)^2))^2)))))/Inputs!$C$13)</x:f>
        <x:v>3286.3390032924194</x:v>
      </x:c>
    </x:row>
    <x:row r="29">
      <x:c r="A29" s="48" t="n">
        <x:f>ROUND(-1+27*2/240,3)</x:f>
        <x:v>-0.775</x:v>
      </x:c>
      <x:c r="B29" s="48" t="n">
        <x:f>IF(OR(Inputs!$F$6=TRUE,Inputs!$F$6="TRUE",Inputs!$F$6=1),(Inputs!$H$6+Inputs!$L$6*(((Inputs!$I$6+(((A29)+1)/2)*(Inputs!$J$6-Inputs!$I$6)))/Inputs!$K$6)^2),NA())</x:f>
        <x:v>402.4025</x:v>
      </x:c>
      <x:c r="C29" s="48" t="n">
        <x:f>IF(OR(Inputs!$F$7=TRUE,Inputs!$F$7="TRUE",Inputs!$F$7=1),(Inputs!$H$7+Inputs!$L$7*(((Inputs!$I$7+(((A29)+1)/2)*(Inputs!$J$7-Inputs!$I$7)))/Inputs!$K$7)^2),NA())</x:f>
        <x:v>254.22812500000003</x:v>
      </x:c>
      <x:c r="D29" s="48" t="n">
        <x:f>IF(OR(Inputs!$F$8=TRUE,Inputs!$F$8="TRUE",Inputs!$F$8=1),(Inputs!$H$8+Inputs!$L$8*(((Inputs!$I$8+(((A29)+1)/2)*(Inputs!$J$8-Inputs!$I$8)))/Inputs!$K$8)^2),NA())</x:f>
        <x:v>614.6031250000001</x:v>
      </x:c>
      <x:c r="E29" s="48" t="n">
        <x:f>IF(OR(Inputs!$F$9=TRUE,Inputs!$F$9="TRUE",Inputs!$F$9=1),(Inputs!$H$9+Inputs!$L$9*(((Inputs!$I$9+(((A29)+1)/2)*(Inputs!$J$9-Inputs!$I$9)))/Inputs!$K$9)^2),NA())</x:f>
        <x:v>610.6093750000001</x:v>
      </x:c>
      <x:c r="F29" s="49"/>
      <x:c r="G29" s="48" t="n">
        <x:f>A29</x:f>
        <x:v>-0.775</x:v>
      </x:c>
      <x:c r="H29" s="48" t="n">
        <x:f>IF(OR(Inputs!$F$6=TRUE,Inputs!$F$6="TRUE",Inputs!$F$6=1),(((SQRT(((Inputs!$I$6+(((A29)+1)/2)*(Inputs!$J$6-Inputs!$I$6)))^2+Inputs!$C$6^2+((Inputs!$H$6+Inputs!$L$6*(((Inputs!$I$6+(((A29)+1)/2)*(Inputs!$J$6-Inputs!$I$6)))/Inputs!$K$6)^2))^2))-((Inputs!$H$6+Inputs!$L$6*(((Inputs!$I$6+(((A29)+1)/2)*(Inputs!$J$6-Inputs!$I$6)))/Inputs!$K$6)^2)))*1000/Inputs!$C$12),NA())</x:f>
        <x:v>1937.3511102927434</x:v>
      </x:c>
      <x:c r="I29" s="48" t="n">
        <x:f>IF(OR(Inputs!$F$7=TRUE,Inputs!$F$7="TRUE",Inputs!$F$7=1),(((SQRT(((Inputs!$I$7+(((A29)+1)/2)*(Inputs!$J$7-Inputs!$I$7)))^2+Inputs!$C$6^2+((Inputs!$H$7+Inputs!$L$7*(((Inputs!$I$7+(((A29)+1)/2)*(Inputs!$J$7-Inputs!$I$7)))/Inputs!$K$7)^2))^2))-((Inputs!$H$7+Inputs!$L$7*(((Inputs!$I$7+(((A29)+1)/2)*(Inputs!$J$7-Inputs!$I$7)))/Inputs!$K$7)^2)))*1000/Inputs!$C$12),NA())</x:f>
        <x:v>82845.20693034725</x:v>
      </x:c>
      <x:c r="J29" s="48" t="n">
        <x:f>IF(OR(Inputs!$F$8=TRUE,Inputs!$F$8="TRUE",Inputs!$F$8=1),(((SQRT(((Inputs!$I$8+(((A29)+1)/2)*(Inputs!$J$8-Inputs!$I$8)))^2+Inputs!$C$6^2+((Inputs!$H$8+Inputs!$L$8*(((Inputs!$I$8+(((A29)+1)/2)*(Inputs!$J$8-Inputs!$I$8)))/Inputs!$K$8)^2))^2))-((Inputs!$H$8+Inputs!$L$8*(((Inputs!$I$8+(((A29)+1)/2)*(Inputs!$J$8-Inputs!$I$8)))/Inputs!$K$8)^2)))*1000/Inputs!$C$12),NA())</x:f>
        <x:v>145370.41765653883</x:v>
      </x:c>
      <x:c r="K29" s="48" t="n">
        <x:f>IF(OR(Inputs!$F$9=TRUE,Inputs!$F$9="TRUE",Inputs!$F$9=1),(((SQRT(((Inputs!$I$9+(((A29)+1)/2)*(Inputs!$J$9-Inputs!$I$9)))^2+Inputs!$C$6^2+((Inputs!$H$9+Inputs!$L$9*(((Inputs!$I$9+(((A29)+1)/2)*(Inputs!$J$9-Inputs!$I$9)))/Inputs!$K$9)^2))^2))-((Inputs!$H$9+Inputs!$L$9*(((Inputs!$I$9+(((A29)+1)/2)*(Inputs!$J$9-Inputs!$I$9)))/Inputs!$K$9)^2)))*1000/Inputs!$C$12),NA())</x:f>
        <x:v>146037.77170499746</x:v>
      </x:c>
      <x:c r="L29" s="49"/>
      <x:c r="M29" s="48" t="n">
        <x:f>A29</x:f>
        <x:v>-0.775</x:v>
      </x:c>
      <x:c r="N29" s="48" t="n">
        <x:f>IF(OR(Inputs!$F$6=TRUE,Inputs!$F$6="TRUE",Inputs!$F$6=1),(-2*((1000*((((Inputs!$I$6+(((A29)+1)/2)*(Inputs!$J$6-Inputs!$I$6)))*Inputs!$C$11+((Inputs!$H$6+Inputs!$L$6*(((Inputs!$I$6+(((A29)+1)/2)*(Inputs!$J$6-Inputs!$I$6)))/Inputs!$K$6)^2))*((2*Inputs!$L$6*((Inputs!$I$6+(((A29)+1)/2)*(Inputs!$J$6-Inputs!$I$6)))/(Inputs!$K$6^2)*Inputs!$C$11)))/(SQRT(((Inputs!$I$6+(((A29)+1)/2)*(Inputs!$J$6-Inputs!$I$6)))^2+Inputs!$C$6^2+((Inputs!$H$6+Inputs!$L$6*(((Inputs!$I$6+(((A29)+1)/2)*(Inputs!$J$6-Inputs!$I$6)))/Inputs!$K$6)^2))^2)))))/Inputs!$C$13),NA())</x:f>
        <x:v>347.24702386736624</x:v>
      </x:c>
      <x:c r="O29" s="48" t="n">
        <x:f>IF(OR(Inputs!$F$7=TRUE,Inputs!$F$7="TRUE",Inputs!$F$7=1),(-2*((1000*((((Inputs!$I$7+(((A29)+1)/2)*(Inputs!$J$7-Inputs!$I$7)))*Inputs!$C$11+((Inputs!$H$7+Inputs!$L$7*(((Inputs!$I$7+(((A29)+1)/2)*(Inputs!$J$7-Inputs!$I$7)))/Inputs!$K$7)^2))*((2*Inputs!$L$7*((Inputs!$I$7+(((A29)+1)/2)*(Inputs!$J$7-Inputs!$I$7)))/(Inputs!$K$7^2)*Inputs!$C$11)))/(SQRT(((Inputs!$I$7+(((A29)+1)/2)*(Inputs!$J$7-Inputs!$I$7)))^2+Inputs!$C$6^2+((Inputs!$H$7+Inputs!$L$7*(((Inputs!$I$7+(((A29)+1)/2)*(Inputs!$J$7-Inputs!$I$7)))/Inputs!$K$7)^2))^2)))))/Inputs!$C$13),NA())</x:f>
        <x:v>2667.010207924935</x:v>
      </x:c>
      <x:c r="P29" s="48" t="n">
        <x:f>IF(OR(Inputs!$F$8=TRUE,Inputs!$F$8="TRUE",Inputs!$F$8=1),(-2*((1000*((((Inputs!$I$8+(((A29)+1)/2)*(Inputs!$J$8-Inputs!$I$8)))*Inputs!$C$11+((Inputs!$H$8+Inputs!$L$8*(((Inputs!$I$8+(((A29)+1)/2)*(Inputs!$J$8-Inputs!$I$8)))/Inputs!$K$8)^2))*((2*Inputs!$L$8*((Inputs!$I$8+(((A29)+1)/2)*(Inputs!$J$8-Inputs!$I$8)))/(Inputs!$K$8^2)*Inputs!$C$11)))/(SQRT(((Inputs!$I$8+(((A29)+1)/2)*(Inputs!$J$8-Inputs!$I$8)))^2+Inputs!$C$6^2+((Inputs!$H$8+Inputs!$L$8*(((Inputs!$I$8+(((A29)+1)/2)*(Inputs!$J$8-Inputs!$I$8)))/Inputs!$K$8)^2))^2)))))/Inputs!$C$13),NA())</x:f>
        <x:v>3241.0200240574936</x:v>
      </x:c>
      <x:c r="Q29" s="48" t="n">
        <x:f>IF(OR(Inputs!$F$9=TRUE,Inputs!$F$9="TRUE",Inputs!$F$9=1),(-2*((1000*((((Inputs!$I$9+(((A29)+1)/2)*(Inputs!$J$9-Inputs!$I$9)))*Inputs!$C$11+((Inputs!$H$9+Inputs!$L$9*(((Inputs!$I$9+(((A29)+1)/2)*(Inputs!$J$9-Inputs!$I$9)))/Inputs!$K$9)^2))*((2*Inputs!$L$9*((Inputs!$I$9+(((A29)+1)/2)*(Inputs!$J$9-Inputs!$I$9)))/(Inputs!$K$9^2)*Inputs!$C$11)))/(SQRT(((Inputs!$I$9+(((A29)+1)/2)*(Inputs!$J$9-Inputs!$I$9)))^2+Inputs!$C$6^2+((Inputs!$H$9+Inputs!$L$9*(((Inputs!$I$9+(((A29)+1)/2)*(Inputs!$J$9-Inputs!$I$9)))/Inputs!$K$9)^2))^2)))))/Inputs!$C$13),NA())</x:f>
        <x:v>3259.485721884346</x:v>
      </x:c>
      <x:c r="R29" s="49"/>
      <x:c r="S29" s="48" t="n">
        <x:f>A29</x:f>
        <x:v>-0.775</x:v>
      </x:c>
      <x:c r="T29" s="48" t="n">
        <x:f>(Inputs!$I$6+(((A29)+1)/2)*(Inputs!$J$6-Inputs!$I$6))</x:f>
        <x:v>-46.5</x:v>
      </x:c>
      <x:c r="U29" s="48" t="n">
        <x:f>(Inputs!$I$7+(((A29)+1)/2)*(Inputs!$J$7-Inputs!$I$7))</x:f>
        <x:v>-310</x:v>
      </x:c>
      <x:c r="V29" s="48" t="n">
        <x:f>(Inputs!$I$8+(((A29)+1)/2)*(Inputs!$J$8-Inputs!$I$8))</x:f>
        <x:v>-620</x:v>
      </x:c>
      <x:c r="W29" s="48" t="n">
        <x:f>(Inputs!$I$9+(((A29)+1)/2)*(Inputs!$J$9-Inputs!$I$9))</x:f>
        <x:v>-620</x:v>
      </x:c>
      <x:c r="X29" s="49"/>
      <x:c r="Y29" s="48" t="n">
        <x:f>A29</x:f>
        <x:v>-0.775</x:v>
      </x:c>
      <x:c r="Z29" s="48" t="n">
        <x:f>(Inputs!$H$6+Inputs!$L$6*(((Inputs!$I$6+(((A29)+1)/2)*(Inputs!$J$6-Inputs!$I$6)))/Inputs!$K$6)^2)</x:f>
        <x:v>402.4025</x:v>
      </x:c>
      <x:c r="AA29" s="48" t="n">
        <x:f>(Inputs!$H$7+Inputs!$L$7*(((Inputs!$I$7+(((A29)+1)/2)*(Inputs!$J$7-Inputs!$I$7)))/Inputs!$K$7)^2)</x:f>
        <x:v>254.22812500000003</x:v>
      </x:c>
      <x:c r="AB29" s="48" t="n">
        <x:f>(Inputs!$H$8+Inputs!$L$8*(((Inputs!$I$8+(((A29)+1)/2)*(Inputs!$J$8-Inputs!$I$8)))/Inputs!$K$8)^2)</x:f>
        <x:v>614.6031250000001</x:v>
      </x:c>
      <x:c r="AC29" s="48" t="n">
        <x:f>(Inputs!$H$9+Inputs!$L$9*(((Inputs!$I$9+(((A29)+1)/2)*(Inputs!$J$9-Inputs!$I$9)))/Inputs!$K$9)^2)</x:f>
        <x:v>610.6093750000001</x:v>
      </x:c>
      <x:c r="AD29" s="49"/>
      <x:c r="AE29" s="48" t="n">
        <x:f>A29</x:f>
        <x:v>-0.775</x:v>
      </x:c>
      <x:c r="AF29" s="48" t="n">
        <x:f>(((SQRT(((Inputs!$I$6+(((A29)+1)/2)*(Inputs!$J$6-Inputs!$I$6)))^2+Inputs!$C$6^2+((Inputs!$H$6+Inputs!$L$6*(((Inputs!$I$6+(((A29)+1)/2)*(Inputs!$J$6-Inputs!$I$6)))/Inputs!$K$6)^2))^2))-((Inputs!$H$6+Inputs!$L$6*(((Inputs!$I$6+(((A29)+1)/2)*(Inputs!$J$6-Inputs!$I$6)))/Inputs!$K$6)^2)))*1000/Inputs!$C$12)</x:f>
        <x:v>1937.3511102927434</x:v>
      </x:c>
      <x:c r="AG29" s="48" t="n">
        <x:f>(((SQRT(((Inputs!$I$7+(((A29)+1)/2)*(Inputs!$J$7-Inputs!$I$7)))^2+Inputs!$C$6^2+((Inputs!$H$7+Inputs!$L$7*(((Inputs!$I$7+(((A29)+1)/2)*(Inputs!$J$7-Inputs!$I$7)))/Inputs!$K$7)^2))^2))-((Inputs!$H$7+Inputs!$L$7*(((Inputs!$I$7+(((A29)+1)/2)*(Inputs!$J$7-Inputs!$I$7)))/Inputs!$K$7)^2)))*1000/Inputs!$C$12)</x:f>
        <x:v>82845.20693034725</x:v>
      </x:c>
      <x:c r="AH29" s="48" t="n">
        <x:f>(((SQRT(((Inputs!$I$8+(((A29)+1)/2)*(Inputs!$J$8-Inputs!$I$8)))^2+Inputs!$C$6^2+((Inputs!$H$8+Inputs!$L$8*(((Inputs!$I$8+(((A29)+1)/2)*(Inputs!$J$8-Inputs!$I$8)))/Inputs!$K$8)^2))^2))-((Inputs!$H$8+Inputs!$L$8*(((Inputs!$I$8+(((A29)+1)/2)*(Inputs!$J$8-Inputs!$I$8)))/Inputs!$K$8)^2)))*1000/Inputs!$C$12)</x:f>
        <x:v>145370.41765653883</x:v>
      </x:c>
      <x:c r="AI29" s="48" t="n">
        <x:f>(((SQRT(((Inputs!$I$9+(((A29)+1)/2)*(Inputs!$J$9-Inputs!$I$9)))^2+Inputs!$C$6^2+((Inputs!$H$9+Inputs!$L$9*(((Inputs!$I$9+(((A29)+1)/2)*(Inputs!$J$9-Inputs!$I$9)))/Inputs!$K$9)^2))^2))-((Inputs!$H$9+Inputs!$L$9*(((Inputs!$I$9+(((A29)+1)/2)*(Inputs!$J$9-Inputs!$I$9)))/Inputs!$K$9)^2)))*1000/Inputs!$C$12)</x:f>
        <x:v>146037.77170499746</x:v>
      </x:c>
      <x:c r="AJ29" s="49"/>
      <x:c r="AK29" s="48" t="n">
        <x:f>A29</x:f>
        <x:v>-0.775</x:v>
      </x:c>
      <x:c r="AL29" s="48" t="n">
        <x:f>(-2*((1000*((((Inputs!$I$6+(((A29)+1)/2)*(Inputs!$J$6-Inputs!$I$6)))*Inputs!$C$11+((Inputs!$H$6+Inputs!$L$6*(((Inputs!$I$6+(((A29)+1)/2)*(Inputs!$J$6-Inputs!$I$6)))/Inputs!$K$6)^2))*((2*Inputs!$L$6*((Inputs!$I$6+(((A29)+1)/2)*(Inputs!$J$6-Inputs!$I$6)))/(Inputs!$K$6^2)*Inputs!$C$11)))/(SQRT(((Inputs!$I$6+(((A29)+1)/2)*(Inputs!$J$6-Inputs!$I$6)))^2+Inputs!$C$6^2+((Inputs!$H$6+Inputs!$L$6*(((Inputs!$I$6+(((A29)+1)/2)*(Inputs!$J$6-Inputs!$I$6)))/Inputs!$K$6)^2))^2)))))/Inputs!$C$13)</x:f>
        <x:v>347.24702386736624</x:v>
      </x:c>
      <x:c r="AM29" s="48" t="n">
        <x:f>(-2*((1000*((((Inputs!$I$7+(((A29)+1)/2)*(Inputs!$J$7-Inputs!$I$7)))*Inputs!$C$11+((Inputs!$H$7+Inputs!$L$7*(((Inputs!$I$7+(((A29)+1)/2)*(Inputs!$J$7-Inputs!$I$7)))/Inputs!$K$7)^2))*((2*Inputs!$L$7*((Inputs!$I$7+(((A29)+1)/2)*(Inputs!$J$7-Inputs!$I$7)))/(Inputs!$K$7^2)*Inputs!$C$11)))/(SQRT(((Inputs!$I$7+(((A29)+1)/2)*(Inputs!$J$7-Inputs!$I$7)))^2+Inputs!$C$6^2+((Inputs!$H$7+Inputs!$L$7*(((Inputs!$I$7+(((A29)+1)/2)*(Inputs!$J$7-Inputs!$I$7)))/Inputs!$K$7)^2))^2)))))/Inputs!$C$13)</x:f>
        <x:v>2667.010207924935</x:v>
      </x:c>
      <x:c r="AN29" s="48" t="n">
        <x:f>(-2*((1000*((((Inputs!$I$8+(((A29)+1)/2)*(Inputs!$J$8-Inputs!$I$8)))*Inputs!$C$11+((Inputs!$H$8+Inputs!$L$8*(((Inputs!$I$8+(((A29)+1)/2)*(Inputs!$J$8-Inputs!$I$8)))/Inputs!$K$8)^2))*((2*Inputs!$L$8*((Inputs!$I$8+(((A29)+1)/2)*(Inputs!$J$8-Inputs!$I$8)))/(Inputs!$K$8^2)*Inputs!$C$11)))/(SQRT(((Inputs!$I$8+(((A29)+1)/2)*(Inputs!$J$8-Inputs!$I$8)))^2+Inputs!$C$6^2+((Inputs!$H$8+Inputs!$L$8*(((Inputs!$I$8+(((A29)+1)/2)*(Inputs!$J$8-Inputs!$I$8)))/Inputs!$K$8)^2))^2)))))/Inputs!$C$13)</x:f>
        <x:v>3241.0200240574936</x:v>
      </x:c>
      <x:c r="AO29" s="48" t="n">
        <x:f>(-2*((1000*((((Inputs!$I$9+(((A29)+1)/2)*(Inputs!$J$9-Inputs!$I$9)))*Inputs!$C$11+((Inputs!$H$9+Inputs!$L$9*(((Inputs!$I$9+(((A29)+1)/2)*(Inputs!$J$9-Inputs!$I$9)))/Inputs!$K$9)^2))*((2*Inputs!$L$9*((Inputs!$I$9+(((A29)+1)/2)*(Inputs!$J$9-Inputs!$I$9)))/(Inputs!$K$9^2)*Inputs!$C$11)))/(SQRT(((Inputs!$I$9+(((A29)+1)/2)*(Inputs!$J$9-Inputs!$I$9)))^2+Inputs!$C$6^2+((Inputs!$H$9+Inputs!$L$9*(((Inputs!$I$9+(((A29)+1)/2)*(Inputs!$J$9-Inputs!$I$9)))/Inputs!$K$9)^2))^2)))))/Inputs!$C$13)</x:f>
        <x:v>3259.485721884346</x:v>
      </x:c>
    </x:row>
    <x:row r="30">
      <x:c r="A30" s="48" t="n">
        <x:f>ROUND(-1+28*2/240,3)</x:f>
        <x:v>-0.767</x:v>
      </x:c>
      <x:c r="B30" s="48" t="n">
        <x:f>IF(OR(Inputs!$F$6=TRUE,Inputs!$F$6="TRUE",Inputs!$F$6=1),(Inputs!$H$6+Inputs!$L$6*(((Inputs!$I$6+(((A30)+1)/2)*(Inputs!$J$6-Inputs!$I$6)))/Inputs!$K$6)^2),NA())</x:f>
        <x:v>402.353156</x:v>
      </x:c>
      <x:c r="C30" s="48" t="n">
        <x:f>IF(OR(Inputs!$F$7=TRUE,Inputs!$F$7="TRUE",Inputs!$F$7=1),(Inputs!$H$7+Inputs!$L$7*(((Inputs!$I$7+(((A30)+1)/2)*(Inputs!$J$7-Inputs!$I$7)))/Inputs!$K$7)^2),NA())</x:f>
        <x:v>249.72548500000002</x:v>
      </x:c>
      <x:c r="D30" s="48" t="n">
        <x:f>IF(OR(Inputs!$F$8=TRUE,Inputs!$F$8="TRUE",Inputs!$F$8=1),(Inputs!$H$8+Inputs!$L$8*(((Inputs!$I$8+(((A30)+1)/2)*(Inputs!$J$8-Inputs!$I$8)))/Inputs!$K$8)^2),NA())</x:f>
        <x:v>602.698885</x:v>
      </x:c>
      <x:c r="E30" s="48" t="n">
        <x:f>IF(OR(Inputs!$F$9=TRUE,Inputs!$F$9="TRUE",Inputs!$F$9=1),(Inputs!$H$9+Inputs!$L$9*(((Inputs!$I$9+(((A30)+1)/2)*(Inputs!$J$9-Inputs!$I$9)))/Inputs!$K$9)^2),NA())</x:f>
        <x:v>598.5817750000001</x:v>
      </x:c>
      <x:c r="F30" s="49"/>
      <x:c r="G30" s="48" t="n">
        <x:f>A30</x:f>
        <x:v>-0.767</x:v>
      </x:c>
      <x:c r="H30" s="48" t="n">
        <x:f>IF(OR(Inputs!$F$6=TRUE,Inputs!$F$6="TRUE",Inputs!$F$6=1),(((SQRT(((Inputs!$I$6+(((A30)+1)/2)*(Inputs!$J$6-Inputs!$I$6)))^2+Inputs!$C$6^2+((Inputs!$H$6+Inputs!$L$6*(((Inputs!$I$6+(((A30)+1)/2)*(Inputs!$J$6-Inputs!$I$6)))/Inputs!$K$6)^2))^2))-((Inputs!$H$6+Inputs!$L$6*(((Inputs!$I$6+(((A30)+1)/2)*(Inputs!$J$6-Inputs!$I$6)))/Inputs!$K$6)^2)))*1000/Inputs!$C$12),NA())</x:f>
        <x:v>1906.8439926586877</x:v>
      </x:c>
      <x:c r="I30" s="48" t="n">
        <x:f>IF(OR(Inputs!$F$7=TRUE,Inputs!$F$7="TRUE",Inputs!$F$7=1),(((SQRT(((Inputs!$I$7+(((A30)+1)/2)*(Inputs!$J$7-Inputs!$I$7)))^2+Inputs!$C$6^2+((Inputs!$H$7+Inputs!$L$7*(((Inputs!$I$7+(((A30)+1)/2)*(Inputs!$J$7-Inputs!$I$7)))/Inputs!$K$7)^2))^2))-((Inputs!$H$7+Inputs!$L$7*(((Inputs!$I$7+(((A30)+1)/2)*(Inputs!$J$7-Inputs!$I$7)))/Inputs!$K$7)^2)))*1000/Inputs!$C$12),NA())</x:f>
        <x:v>82388.01799198249</x:v>
      </x:c>
      <x:c r="J30" s="48" t="n">
        <x:f>IF(OR(Inputs!$F$8=TRUE,Inputs!$F$8="TRUE",Inputs!$F$8=1),(((SQRT(((Inputs!$I$8+(((A30)+1)/2)*(Inputs!$J$8-Inputs!$I$8)))^2+Inputs!$C$6^2+((Inputs!$H$8+Inputs!$L$8*(((Inputs!$I$8+(((A30)+1)/2)*(Inputs!$J$8-Inputs!$I$8)))/Inputs!$K$8)^2))^2))-((Inputs!$H$8+Inputs!$L$8*(((Inputs!$I$8+(((A30)+1)/2)*(Inputs!$J$8-Inputs!$I$8)))/Inputs!$K$8)^2)))*1000/Inputs!$C$12),NA())</x:f>
        <x:v>144804.55330166392</x:v>
      </x:c>
      <x:c r="K30" s="48" t="n">
        <x:f>IF(OR(Inputs!$F$9=TRUE,Inputs!$F$9="TRUE",Inputs!$F$9=1),(((SQRT(((Inputs!$I$9+(((A30)+1)/2)*(Inputs!$J$9-Inputs!$I$9)))^2+Inputs!$C$6^2+((Inputs!$H$9+Inputs!$L$9*(((Inputs!$I$9+(((A30)+1)/2)*(Inputs!$J$9-Inputs!$I$9)))/Inputs!$K$9)^2))^2))-((Inputs!$H$9+Inputs!$L$9*(((Inputs!$I$9+(((A30)+1)/2)*(Inputs!$J$9-Inputs!$I$9)))/Inputs!$K$9)^2)))*1000/Inputs!$C$12),NA())</x:f>
        <x:v>145500.24634663132</x:v>
      </x:c>
      <x:c r="L30" s="49"/>
      <x:c r="M30" s="48" t="n">
        <x:f>A30</x:f>
        <x:v>-0.767</x:v>
      </x:c>
      <x:c r="N30" s="48" t="n">
        <x:f>IF(OR(Inputs!$F$6=TRUE,Inputs!$F$6="TRUE",Inputs!$F$6=1),(-2*((1000*((((Inputs!$I$6+(((A30)+1)/2)*(Inputs!$J$6-Inputs!$I$6)))*Inputs!$C$11+((Inputs!$H$6+Inputs!$L$6*(((Inputs!$I$6+(((A30)+1)/2)*(Inputs!$J$6-Inputs!$I$6)))/Inputs!$K$6)^2))*((2*Inputs!$L$6*((Inputs!$I$6+(((A30)+1)/2)*(Inputs!$J$6-Inputs!$I$6)))/(Inputs!$K$6^2)*Inputs!$C$11)))/(SQRT(((Inputs!$I$6+(((A30)+1)/2)*(Inputs!$J$6-Inputs!$I$6)))^2+Inputs!$C$6^2+((Inputs!$H$6+Inputs!$L$6*(((Inputs!$I$6+(((A30)+1)/2)*(Inputs!$J$6-Inputs!$I$6)))/Inputs!$K$6)^2))^2)))))/Inputs!$C$13),NA())</x:f>
        <x:v>343.730426725785</x:v>
      </x:c>
      <x:c r="O30" s="48" t="n">
        <x:f>IF(OR(Inputs!$F$7=TRUE,Inputs!$F$7="TRUE",Inputs!$F$7=1),(-2*((1000*((((Inputs!$I$7+(((A30)+1)/2)*(Inputs!$J$7-Inputs!$I$7)))*Inputs!$C$11+((Inputs!$H$7+Inputs!$L$7*(((Inputs!$I$7+(((A30)+1)/2)*(Inputs!$J$7-Inputs!$I$7)))/Inputs!$K$7)^2))*((2*Inputs!$L$7*((Inputs!$I$7+(((A30)+1)/2)*(Inputs!$J$7-Inputs!$I$7)))/(Inputs!$K$7^2)*Inputs!$C$11)))/(SQRT(((Inputs!$I$7+(((A30)+1)/2)*(Inputs!$J$7-Inputs!$I$7)))^2+Inputs!$C$6^2+((Inputs!$H$7+Inputs!$L$7*(((Inputs!$I$7+(((A30)+1)/2)*(Inputs!$J$7-Inputs!$I$7)))/Inputs!$K$7)^2))^2)))))/Inputs!$C$13),NA())</x:f>
        <x:v>2649.440857153356</x:v>
      </x:c>
      <x:c r="P30" s="48" t="n">
        <x:f>IF(OR(Inputs!$F$8=TRUE,Inputs!$F$8="TRUE",Inputs!$F$8=1),(-2*((1000*((((Inputs!$I$8+(((A30)+1)/2)*(Inputs!$J$8-Inputs!$I$8)))*Inputs!$C$11+((Inputs!$H$8+Inputs!$L$8*(((Inputs!$I$8+(((A30)+1)/2)*(Inputs!$J$8-Inputs!$I$8)))/Inputs!$K$8)^2))*((2*Inputs!$L$8*((Inputs!$I$8+(((A30)+1)/2)*(Inputs!$J$8-Inputs!$I$8)))/(Inputs!$K$8^2)*Inputs!$C$11)))/(SQRT(((Inputs!$I$8+(((A30)+1)/2)*(Inputs!$J$8-Inputs!$I$8)))^2+Inputs!$C$6^2+((Inputs!$H$8+Inputs!$L$8*(((Inputs!$I$8+(((A30)+1)/2)*(Inputs!$J$8-Inputs!$I$8)))/Inputs!$K$8)^2))^2)))))/Inputs!$C$13),NA())</x:f>
        <x:v>3214.7355345645383</x:v>
      </x:c>
      <x:c r="Q30" s="48" t="n">
        <x:f>IF(OR(Inputs!$F$9=TRUE,Inputs!$F$9="TRUE",Inputs!$F$9=1),(-2*((1000*((((Inputs!$I$9+(((A30)+1)/2)*(Inputs!$J$9-Inputs!$I$9)))*Inputs!$C$11+((Inputs!$H$9+Inputs!$L$9*(((Inputs!$I$9+(((A30)+1)/2)*(Inputs!$J$9-Inputs!$I$9)))/Inputs!$K$9)^2))*((2*Inputs!$L$9*((Inputs!$I$9+(((A30)+1)/2)*(Inputs!$J$9-Inputs!$I$9)))/(Inputs!$K$9^2)*Inputs!$C$11)))/(SQRT(((Inputs!$I$9+(((A30)+1)/2)*(Inputs!$J$9-Inputs!$I$9)))^2+Inputs!$C$6^2+((Inputs!$H$9+Inputs!$L$9*(((Inputs!$I$9+(((A30)+1)/2)*(Inputs!$J$9-Inputs!$I$9)))/Inputs!$K$9)^2))^2)))))/Inputs!$C$13),NA())</x:f>
        <x:v>3232.727949816189</x:v>
      </x:c>
      <x:c r="R30" s="49"/>
      <x:c r="S30" s="48" t="n">
        <x:f>A30</x:f>
        <x:v>-0.767</x:v>
      </x:c>
      <x:c r="T30" s="48" t="n">
        <x:f>(Inputs!$I$6+(((A30)+1)/2)*(Inputs!$J$6-Inputs!$I$6))</x:f>
        <x:v>-46.02</x:v>
      </x:c>
      <x:c r="U30" s="48" t="n">
        <x:f>(Inputs!$I$7+(((A30)+1)/2)*(Inputs!$J$7-Inputs!$I$7))</x:f>
        <x:v>-306.8</x:v>
      </x:c>
      <x:c r="V30" s="48" t="n">
        <x:f>(Inputs!$I$8+(((A30)+1)/2)*(Inputs!$J$8-Inputs!$I$8))</x:f>
        <x:v>-613.6</x:v>
      </x:c>
      <x:c r="W30" s="48" t="n">
        <x:f>(Inputs!$I$9+(((A30)+1)/2)*(Inputs!$J$9-Inputs!$I$9))</x:f>
        <x:v>-613.6</x:v>
      </x:c>
      <x:c r="X30" s="49"/>
      <x:c r="Y30" s="48" t="n">
        <x:f>A30</x:f>
        <x:v>-0.767</x:v>
      </x:c>
      <x:c r="Z30" s="48" t="n">
        <x:f>(Inputs!$H$6+Inputs!$L$6*(((Inputs!$I$6+(((A30)+1)/2)*(Inputs!$J$6-Inputs!$I$6)))/Inputs!$K$6)^2)</x:f>
        <x:v>402.353156</x:v>
      </x:c>
      <x:c r="AA30" s="48" t="n">
        <x:f>(Inputs!$H$7+Inputs!$L$7*(((Inputs!$I$7+(((A30)+1)/2)*(Inputs!$J$7-Inputs!$I$7)))/Inputs!$K$7)^2)</x:f>
        <x:v>249.72548500000002</x:v>
      </x:c>
      <x:c r="AB30" s="48" t="n">
        <x:f>(Inputs!$H$8+Inputs!$L$8*(((Inputs!$I$8+(((A30)+1)/2)*(Inputs!$J$8-Inputs!$I$8)))/Inputs!$K$8)^2)</x:f>
        <x:v>602.698885</x:v>
      </x:c>
      <x:c r="AC30" s="48" t="n">
        <x:f>(Inputs!$H$9+Inputs!$L$9*(((Inputs!$I$9+(((A30)+1)/2)*(Inputs!$J$9-Inputs!$I$9)))/Inputs!$K$9)^2)</x:f>
        <x:v>598.5817750000001</x:v>
      </x:c>
      <x:c r="AD30" s="49"/>
      <x:c r="AE30" s="48" t="n">
        <x:f>A30</x:f>
        <x:v>-0.767</x:v>
      </x:c>
      <x:c r="AF30" s="48" t="n">
        <x:f>(((SQRT(((Inputs!$I$6+(((A30)+1)/2)*(Inputs!$J$6-Inputs!$I$6)))^2+Inputs!$C$6^2+((Inputs!$H$6+Inputs!$L$6*(((Inputs!$I$6+(((A30)+1)/2)*(Inputs!$J$6-Inputs!$I$6)))/Inputs!$K$6)^2))^2))-((Inputs!$H$6+Inputs!$L$6*(((Inputs!$I$6+(((A30)+1)/2)*(Inputs!$J$6-Inputs!$I$6)))/Inputs!$K$6)^2)))*1000/Inputs!$C$12)</x:f>
        <x:v>1906.8439926586877</x:v>
      </x:c>
      <x:c r="AG30" s="48" t="n">
        <x:f>(((SQRT(((Inputs!$I$7+(((A30)+1)/2)*(Inputs!$J$7-Inputs!$I$7)))^2+Inputs!$C$6^2+((Inputs!$H$7+Inputs!$L$7*(((Inputs!$I$7+(((A30)+1)/2)*(Inputs!$J$7-Inputs!$I$7)))/Inputs!$K$7)^2))^2))-((Inputs!$H$7+Inputs!$L$7*(((Inputs!$I$7+(((A30)+1)/2)*(Inputs!$J$7-Inputs!$I$7)))/Inputs!$K$7)^2)))*1000/Inputs!$C$12)</x:f>
        <x:v>82388.01799198249</x:v>
      </x:c>
      <x:c r="AH30" s="48" t="n">
        <x:f>(((SQRT(((Inputs!$I$8+(((A30)+1)/2)*(Inputs!$J$8-Inputs!$I$8)))^2+Inputs!$C$6^2+((Inputs!$H$8+Inputs!$L$8*(((Inputs!$I$8+(((A30)+1)/2)*(Inputs!$J$8-Inputs!$I$8)))/Inputs!$K$8)^2))^2))-((Inputs!$H$8+Inputs!$L$8*(((Inputs!$I$8+(((A30)+1)/2)*(Inputs!$J$8-Inputs!$I$8)))/Inputs!$K$8)^2)))*1000/Inputs!$C$12)</x:f>
        <x:v>144804.55330166392</x:v>
      </x:c>
      <x:c r="AI30" s="48" t="n">
        <x:f>(((SQRT(((Inputs!$I$9+(((A30)+1)/2)*(Inputs!$J$9-Inputs!$I$9)))^2+Inputs!$C$6^2+((Inputs!$H$9+Inputs!$L$9*(((Inputs!$I$9+(((A30)+1)/2)*(Inputs!$J$9-Inputs!$I$9)))/Inputs!$K$9)^2))^2))-((Inputs!$H$9+Inputs!$L$9*(((Inputs!$I$9+(((A30)+1)/2)*(Inputs!$J$9-Inputs!$I$9)))/Inputs!$K$9)^2)))*1000/Inputs!$C$12)</x:f>
        <x:v>145500.24634663132</x:v>
      </x:c>
      <x:c r="AJ30" s="49"/>
      <x:c r="AK30" s="48" t="n">
        <x:f>A30</x:f>
        <x:v>-0.767</x:v>
      </x:c>
      <x:c r="AL30" s="48" t="n">
        <x:f>(-2*((1000*((((Inputs!$I$6+(((A30)+1)/2)*(Inputs!$J$6-Inputs!$I$6)))*Inputs!$C$11+((Inputs!$H$6+Inputs!$L$6*(((Inputs!$I$6+(((A30)+1)/2)*(Inputs!$J$6-Inputs!$I$6)))/Inputs!$K$6)^2))*((2*Inputs!$L$6*((Inputs!$I$6+(((A30)+1)/2)*(Inputs!$J$6-Inputs!$I$6)))/(Inputs!$K$6^2)*Inputs!$C$11)))/(SQRT(((Inputs!$I$6+(((A30)+1)/2)*(Inputs!$J$6-Inputs!$I$6)))^2+Inputs!$C$6^2+((Inputs!$H$6+Inputs!$L$6*(((Inputs!$I$6+(((A30)+1)/2)*(Inputs!$J$6-Inputs!$I$6)))/Inputs!$K$6)^2))^2)))))/Inputs!$C$13)</x:f>
        <x:v>343.730426725785</x:v>
      </x:c>
      <x:c r="AM30" s="48" t="n">
        <x:f>(-2*((1000*((((Inputs!$I$7+(((A30)+1)/2)*(Inputs!$J$7-Inputs!$I$7)))*Inputs!$C$11+((Inputs!$H$7+Inputs!$L$7*(((Inputs!$I$7+(((A30)+1)/2)*(Inputs!$J$7-Inputs!$I$7)))/Inputs!$K$7)^2))*((2*Inputs!$L$7*((Inputs!$I$7+(((A30)+1)/2)*(Inputs!$J$7-Inputs!$I$7)))/(Inputs!$K$7^2)*Inputs!$C$11)))/(SQRT(((Inputs!$I$7+(((A30)+1)/2)*(Inputs!$J$7-Inputs!$I$7)))^2+Inputs!$C$6^2+((Inputs!$H$7+Inputs!$L$7*(((Inputs!$I$7+(((A30)+1)/2)*(Inputs!$J$7-Inputs!$I$7)))/Inputs!$K$7)^2))^2)))))/Inputs!$C$13)</x:f>
        <x:v>2649.440857153356</x:v>
      </x:c>
      <x:c r="AN30" s="48" t="n">
        <x:f>(-2*((1000*((((Inputs!$I$8+(((A30)+1)/2)*(Inputs!$J$8-Inputs!$I$8)))*Inputs!$C$11+((Inputs!$H$8+Inputs!$L$8*(((Inputs!$I$8+(((A30)+1)/2)*(Inputs!$J$8-Inputs!$I$8)))/Inputs!$K$8)^2))*((2*Inputs!$L$8*((Inputs!$I$8+(((A30)+1)/2)*(Inputs!$J$8-Inputs!$I$8)))/(Inputs!$K$8^2)*Inputs!$C$11)))/(SQRT(((Inputs!$I$8+(((A30)+1)/2)*(Inputs!$J$8-Inputs!$I$8)))^2+Inputs!$C$6^2+((Inputs!$H$8+Inputs!$L$8*(((Inputs!$I$8+(((A30)+1)/2)*(Inputs!$J$8-Inputs!$I$8)))/Inputs!$K$8)^2))^2)))))/Inputs!$C$13)</x:f>
        <x:v>3214.7355345645383</x:v>
      </x:c>
      <x:c r="AO30" s="48" t="n">
        <x:f>(-2*((1000*((((Inputs!$I$9+(((A30)+1)/2)*(Inputs!$J$9-Inputs!$I$9)))*Inputs!$C$11+((Inputs!$H$9+Inputs!$L$9*(((Inputs!$I$9+(((A30)+1)/2)*(Inputs!$J$9-Inputs!$I$9)))/Inputs!$K$9)^2))*((2*Inputs!$L$9*((Inputs!$I$9+(((A30)+1)/2)*(Inputs!$J$9-Inputs!$I$9)))/(Inputs!$K$9^2)*Inputs!$C$11)))/(SQRT(((Inputs!$I$9+(((A30)+1)/2)*(Inputs!$J$9-Inputs!$I$9)))^2+Inputs!$C$6^2+((Inputs!$H$9+Inputs!$L$9*(((Inputs!$I$9+(((A30)+1)/2)*(Inputs!$J$9-Inputs!$I$9)))/Inputs!$K$9)^2))^2)))))/Inputs!$C$13)</x:f>
        <x:v>3232.727949816189</x:v>
      </x:c>
    </x:row>
    <x:row r="31">
      <x:c r="A31" s="48" t="n">
        <x:f>ROUND(-1+29*2/240,3)</x:f>
        <x:v>-0.758</x:v>
      </x:c>
      <x:c r="B31" s="48" t="n">
        <x:f>IF(OR(Inputs!$F$6=TRUE,Inputs!$F$6="TRUE",Inputs!$F$6=1),(Inputs!$H$6+Inputs!$L$6*(((Inputs!$I$6+(((A31)+1)/2)*(Inputs!$J$6-Inputs!$I$6)))/Inputs!$K$6)^2),NA())</x:f>
        <x:v>402.298256</x:v>
      </x:c>
      <x:c r="C31" s="48" t="n">
        <x:f>IF(OR(Inputs!$F$7=TRUE,Inputs!$F$7="TRUE",Inputs!$F$7=1),(Inputs!$H$7+Inputs!$L$7*(((Inputs!$I$7+(((A31)+1)/2)*(Inputs!$J$7-Inputs!$I$7)))/Inputs!$K$7)^2),NA())</x:f>
        <x:v>244.71586</x:v>
      </x:c>
      <x:c r="D31" s="48" t="n">
        <x:f>IF(OR(Inputs!$F$8=TRUE,Inputs!$F$8="TRUE",Inputs!$F$8=1),(Inputs!$H$8+Inputs!$L$8*(((Inputs!$I$8+(((A31)+1)/2)*(Inputs!$J$8-Inputs!$I$8)))/Inputs!$K$8)^2),NA())</x:f>
        <x:v>589.45426</x:v>
      </x:c>
      <x:c r="E31" s="48" t="n">
        <x:f>IF(OR(Inputs!$F$9=TRUE,Inputs!$F$9="TRUE",Inputs!$F$9=1),(Inputs!$H$9+Inputs!$L$9*(((Inputs!$I$9+(((A31)+1)/2)*(Inputs!$J$9-Inputs!$I$9)))/Inputs!$K$9)^2),NA())</x:f>
        <x:v>585.1999</x:v>
      </x:c>
      <x:c r="F31" s="49"/>
      <x:c r="G31" s="48" t="n">
        <x:f>A31</x:f>
        <x:v>-0.758</x:v>
      </x:c>
      <x:c r="H31" s="48" t="n">
        <x:f>IF(OR(Inputs!$F$6=TRUE,Inputs!$F$6="TRUE",Inputs!$F$6=1),(((SQRT(((Inputs!$I$6+(((A31)+1)/2)*(Inputs!$J$6-Inputs!$I$6)))^2+Inputs!$C$6^2+((Inputs!$H$6+Inputs!$L$6*(((Inputs!$I$6+(((A31)+1)/2)*(Inputs!$J$6-Inputs!$I$6)))/Inputs!$K$6)^2))^2))-((Inputs!$H$6+Inputs!$L$6*(((Inputs!$I$6+(((A31)+1)/2)*(Inputs!$J$6-Inputs!$I$6)))/Inputs!$K$6)^2)))*1000/Inputs!$C$12),NA())</x:f>
        <x:v>1872.888334121801</x:v>
      </x:c>
      <x:c r="I31" s="48" t="n">
        <x:f>IF(OR(Inputs!$F$7=TRUE,Inputs!$F$7="TRUE",Inputs!$F$7=1),(((SQRT(((Inputs!$I$7+(((A31)+1)/2)*(Inputs!$J$7-Inputs!$I$7)))^2+Inputs!$C$6^2+((Inputs!$H$7+Inputs!$L$7*(((Inputs!$I$7+(((A31)+1)/2)*(Inputs!$J$7-Inputs!$I$7)))/Inputs!$K$7)^2))^2))-((Inputs!$H$7+Inputs!$L$7*(((Inputs!$I$7+(((A31)+1)/2)*(Inputs!$J$7-Inputs!$I$7)))/Inputs!$K$7)^2)))*1000/Inputs!$C$12),NA())</x:f>
        <x:v>81865.83860592105</x:v>
      </x:c>
      <x:c r="J31" s="48" t="n">
        <x:f>IF(OR(Inputs!$F$8=TRUE,Inputs!$F$8="TRUE",Inputs!$F$8=1),(((SQRT(((Inputs!$I$8+(((A31)+1)/2)*(Inputs!$J$8-Inputs!$I$8)))^2+Inputs!$C$6^2+((Inputs!$H$8+Inputs!$L$8*(((Inputs!$I$8+(((A31)+1)/2)*(Inputs!$J$8-Inputs!$I$8)))/Inputs!$K$8)^2))^2))-((Inputs!$H$8+Inputs!$L$8*(((Inputs!$I$8+(((A31)+1)/2)*(Inputs!$J$8-Inputs!$I$8)))/Inputs!$K$8)^2)))*1000/Inputs!$C$12),NA())</x:f>
        <x:v>144155.46860033617</x:v>
      </x:c>
      <x:c r="K31" s="48" t="n">
        <x:f>IF(OR(Inputs!$F$9=TRUE,Inputs!$F$9="TRUE",Inputs!$F$9=1),(((SQRT(((Inputs!$I$9+(((A31)+1)/2)*(Inputs!$J$9-Inputs!$I$9)))^2+Inputs!$C$6^2+((Inputs!$H$9+Inputs!$L$9*(((Inputs!$I$9+(((A31)+1)/2)*(Inputs!$J$9-Inputs!$I$9)))/Inputs!$K$9)^2))^2))-((Inputs!$H$9+Inputs!$L$9*(((Inputs!$I$9+(((A31)+1)/2)*(Inputs!$J$9-Inputs!$I$9)))/Inputs!$K$9)^2)))*1000/Inputs!$C$12),NA())</x:f>
        <x:v>144883.45629326784</x:v>
      </x:c>
      <x:c r="L31" s="49"/>
      <x:c r="M31" s="48" t="n">
        <x:f>A31</x:f>
        <x:v>-0.758</x:v>
      </x:c>
      <x:c r="N31" s="48" t="n">
        <x:f>IF(OR(Inputs!$F$6=TRUE,Inputs!$F$6="TRUE",Inputs!$F$6=1),(-2*((1000*((((Inputs!$I$6+(((A31)+1)/2)*(Inputs!$J$6-Inputs!$I$6)))*Inputs!$C$11+((Inputs!$H$6+Inputs!$L$6*(((Inputs!$I$6+(((A31)+1)/2)*(Inputs!$J$6-Inputs!$I$6)))/Inputs!$K$6)^2))*((2*Inputs!$L$6*((Inputs!$I$6+(((A31)+1)/2)*(Inputs!$J$6-Inputs!$I$6)))/(Inputs!$K$6^2)*Inputs!$C$11)))/(SQRT(((Inputs!$I$6+(((A31)+1)/2)*(Inputs!$J$6-Inputs!$I$6)))^2+Inputs!$C$6^2+((Inputs!$H$6+Inputs!$L$6*(((Inputs!$I$6+(((A31)+1)/2)*(Inputs!$J$6-Inputs!$I$6)))/Inputs!$K$6)^2))^2)))))/Inputs!$C$13),NA())</x:f>
        <x:v>339.77179049762293</x:v>
      </x:c>
      <x:c r="O31" s="48" t="n">
        <x:f>IF(OR(Inputs!$F$7=TRUE,Inputs!$F$7="TRUE",Inputs!$F$7=1),(-2*((1000*((((Inputs!$I$7+(((A31)+1)/2)*(Inputs!$J$7-Inputs!$I$7)))*Inputs!$C$11+((Inputs!$H$7+Inputs!$L$7*(((Inputs!$I$7+(((A31)+1)/2)*(Inputs!$J$7-Inputs!$I$7)))/Inputs!$K$7)^2))*((2*Inputs!$L$7*((Inputs!$I$7+(((A31)+1)/2)*(Inputs!$J$7-Inputs!$I$7)))/(Inputs!$K$7^2)*Inputs!$C$11)))/(SQRT(((Inputs!$I$7+(((A31)+1)/2)*(Inputs!$J$7-Inputs!$I$7)))^2+Inputs!$C$6^2+((Inputs!$H$7+Inputs!$L$7*(((Inputs!$I$7+(((A31)+1)/2)*(Inputs!$J$7-Inputs!$I$7)))/Inputs!$K$7)^2))^2)))))/Inputs!$C$13),NA())</x:f>
        <x:v>2629.7819039981837</x:v>
      </x:c>
      <x:c r="P31" s="48" t="n">
        <x:f>IF(OR(Inputs!$F$8=TRUE,Inputs!$F$8="TRUE",Inputs!$F$8=1),(-2*((1000*((((Inputs!$I$8+(((A31)+1)/2)*(Inputs!$J$8-Inputs!$I$8)))*Inputs!$C$11+((Inputs!$H$8+Inputs!$L$8*(((Inputs!$I$8+(((A31)+1)/2)*(Inputs!$J$8-Inputs!$I$8)))/Inputs!$K$8)^2))*((2*Inputs!$L$8*((Inputs!$I$8+(((A31)+1)/2)*(Inputs!$J$8-Inputs!$I$8)))/(Inputs!$K$8^2)*Inputs!$C$11)))/(SQRT(((Inputs!$I$8+(((A31)+1)/2)*(Inputs!$J$8-Inputs!$I$8)))^2+Inputs!$C$6^2+((Inputs!$H$8+Inputs!$L$8*(((Inputs!$I$8+(((A31)+1)/2)*(Inputs!$J$8-Inputs!$I$8)))/Inputs!$K$8)^2))^2)))))/Inputs!$C$13),NA())</x:f>
        <x:v>3185.283687407243</x:v>
      </x:c>
      <x:c r="Q31" s="48" t="n">
        <x:f>IF(OR(Inputs!$F$9=TRUE,Inputs!$F$9="TRUE",Inputs!$F$9=1),(-2*((1000*((((Inputs!$I$9+(((A31)+1)/2)*(Inputs!$J$9-Inputs!$I$9)))*Inputs!$C$11+((Inputs!$H$9+Inputs!$L$9*(((Inputs!$I$9+(((A31)+1)/2)*(Inputs!$J$9-Inputs!$I$9)))/Inputs!$K$9)^2))*((2*Inputs!$L$9*((Inputs!$I$9+(((A31)+1)/2)*(Inputs!$J$9-Inputs!$I$9)))/(Inputs!$K$9^2)*Inputs!$C$11)))/(SQRT(((Inputs!$I$9+(((A31)+1)/2)*(Inputs!$J$9-Inputs!$I$9)))^2+Inputs!$C$6^2+((Inputs!$H$9+Inputs!$L$9*(((Inputs!$I$9+(((A31)+1)/2)*(Inputs!$J$9-Inputs!$I$9)))/Inputs!$K$9)^2))^2)))))/Inputs!$C$13),NA())</x:f>
        <x:v>3202.7424007029217</x:v>
      </x:c>
      <x:c r="R31" s="49"/>
      <x:c r="S31" s="48" t="n">
        <x:f>A31</x:f>
        <x:v>-0.758</x:v>
      </x:c>
      <x:c r="T31" s="48" t="n">
        <x:f>(Inputs!$I$6+(((A31)+1)/2)*(Inputs!$J$6-Inputs!$I$6))</x:f>
        <x:v>-45.480000000000004</x:v>
      </x:c>
      <x:c r="U31" s="48" t="n">
        <x:f>(Inputs!$I$7+(((A31)+1)/2)*(Inputs!$J$7-Inputs!$I$7))</x:f>
        <x:v>-303.2</x:v>
      </x:c>
      <x:c r="V31" s="48" t="n">
        <x:f>(Inputs!$I$8+(((A31)+1)/2)*(Inputs!$J$8-Inputs!$I$8))</x:f>
        <x:v>-606.4</x:v>
      </x:c>
      <x:c r="W31" s="48" t="n">
        <x:f>(Inputs!$I$9+(((A31)+1)/2)*(Inputs!$J$9-Inputs!$I$9))</x:f>
        <x:v>-606.4</x:v>
      </x:c>
      <x:c r="X31" s="49"/>
      <x:c r="Y31" s="48" t="n">
        <x:f>A31</x:f>
        <x:v>-0.758</x:v>
      </x:c>
      <x:c r="Z31" s="48" t="n">
        <x:f>(Inputs!$H$6+Inputs!$L$6*(((Inputs!$I$6+(((A31)+1)/2)*(Inputs!$J$6-Inputs!$I$6)))/Inputs!$K$6)^2)</x:f>
        <x:v>402.298256</x:v>
      </x:c>
      <x:c r="AA31" s="48" t="n">
        <x:f>(Inputs!$H$7+Inputs!$L$7*(((Inputs!$I$7+(((A31)+1)/2)*(Inputs!$J$7-Inputs!$I$7)))/Inputs!$K$7)^2)</x:f>
        <x:v>244.71586</x:v>
      </x:c>
      <x:c r="AB31" s="48" t="n">
        <x:f>(Inputs!$H$8+Inputs!$L$8*(((Inputs!$I$8+(((A31)+1)/2)*(Inputs!$J$8-Inputs!$I$8)))/Inputs!$K$8)^2)</x:f>
        <x:v>589.45426</x:v>
      </x:c>
      <x:c r="AC31" s="48" t="n">
        <x:f>(Inputs!$H$9+Inputs!$L$9*(((Inputs!$I$9+(((A31)+1)/2)*(Inputs!$J$9-Inputs!$I$9)))/Inputs!$K$9)^2)</x:f>
        <x:v>585.1999</x:v>
      </x:c>
      <x:c r="AD31" s="49"/>
      <x:c r="AE31" s="48" t="n">
        <x:f>A31</x:f>
        <x:v>-0.758</x:v>
      </x:c>
      <x:c r="AF31" s="48" t="n">
        <x:f>(((SQRT(((Inputs!$I$6+(((A31)+1)/2)*(Inputs!$J$6-Inputs!$I$6)))^2+Inputs!$C$6^2+((Inputs!$H$6+Inputs!$L$6*(((Inputs!$I$6+(((A31)+1)/2)*(Inputs!$J$6-Inputs!$I$6)))/Inputs!$K$6)^2))^2))-((Inputs!$H$6+Inputs!$L$6*(((Inputs!$I$6+(((A31)+1)/2)*(Inputs!$J$6-Inputs!$I$6)))/Inputs!$K$6)^2)))*1000/Inputs!$C$12)</x:f>
        <x:v>1872.888334121801</x:v>
      </x:c>
      <x:c r="AG31" s="48" t="n">
        <x:f>(((SQRT(((Inputs!$I$7+(((A31)+1)/2)*(Inputs!$J$7-Inputs!$I$7)))^2+Inputs!$C$6^2+((Inputs!$H$7+Inputs!$L$7*(((Inputs!$I$7+(((A31)+1)/2)*(Inputs!$J$7-Inputs!$I$7)))/Inputs!$K$7)^2))^2))-((Inputs!$H$7+Inputs!$L$7*(((Inputs!$I$7+(((A31)+1)/2)*(Inputs!$J$7-Inputs!$I$7)))/Inputs!$K$7)^2)))*1000/Inputs!$C$12)</x:f>
        <x:v>81865.83860592105</x:v>
      </x:c>
      <x:c r="AH31" s="48" t="n">
        <x:f>(((SQRT(((Inputs!$I$8+(((A31)+1)/2)*(Inputs!$J$8-Inputs!$I$8)))^2+Inputs!$C$6^2+((Inputs!$H$8+Inputs!$L$8*(((Inputs!$I$8+(((A31)+1)/2)*(Inputs!$J$8-Inputs!$I$8)))/Inputs!$K$8)^2))^2))-((Inputs!$H$8+Inputs!$L$8*(((Inputs!$I$8+(((A31)+1)/2)*(Inputs!$J$8-Inputs!$I$8)))/Inputs!$K$8)^2)))*1000/Inputs!$C$12)</x:f>
        <x:v>144155.46860033617</x:v>
      </x:c>
      <x:c r="AI31" s="48" t="n">
        <x:f>(((SQRT(((Inputs!$I$9+(((A31)+1)/2)*(Inputs!$J$9-Inputs!$I$9)))^2+Inputs!$C$6^2+((Inputs!$H$9+Inputs!$L$9*(((Inputs!$I$9+(((A31)+1)/2)*(Inputs!$J$9-Inputs!$I$9)))/Inputs!$K$9)^2))^2))-((Inputs!$H$9+Inputs!$L$9*(((Inputs!$I$9+(((A31)+1)/2)*(Inputs!$J$9-Inputs!$I$9)))/Inputs!$K$9)^2)))*1000/Inputs!$C$12)</x:f>
        <x:v>144883.45629326784</x:v>
      </x:c>
      <x:c r="AJ31" s="49"/>
      <x:c r="AK31" s="48" t="n">
        <x:f>A31</x:f>
        <x:v>-0.758</x:v>
      </x:c>
      <x:c r="AL31" s="48" t="n">
        <x:f>(-2*((1000*((((Inputs!$I$6+(((A31)+1)/2)*(Inputs!$J$6-Inputs!$I$6)))*Inputs!$C$11+((Inputs!$H$6+Inputs!$L$6*(((Inputs!$I$6+(((A31)+1)/2)*(Inputs!$J$6-Inputs!$I$6)))/Inputs!$K$6)^2))*((2*Inputs!$L$6*((Inputs!$I$6+(((A31)+1)/2)*(Inputs!$J$6-Inputs!$I$6)))/(Inputs!$K$6^2)*Inputs!$C$11)))/(SQRT(((Inputs!$I$6+(((A31)+1)/2)*(Inputs!$J$6-Inputs!$I$6)))^2+Inputs!$C$6^2+((Inputs!$H$6+Inputs!$L$6*(((Inputs!$I$6+(((A31)+1)/2)*(Inputs!$J$6-Inputs!$I$6)))/Inputs!$K$6)^2))^2)))))/Inputs!$C$13)</x:f>
        <x:v>339.77179049762293</x:v>
      </x:c>
      <x:c r="AM31" s="48" t="n">
        <x:f>(-2*((1000*((((Inputs!$I$7+(((A31)+1)/2)*(Inputs!$J$7-Inputs!$I$7)))*Inputs!$C$11+((Inputs!$H$7+Inputs!$L$7*(((Inputs!$I$7+(((A31)+1)/2)*(Inputs!$J$7-Inputs!$I$7)))/Inputs!$K$7)^2))*((2*Inputs!$L$7*((Inputs!$I$7+(((A31)+1)/2)*(Inputs!$J$7-Inputs!$I$7)))/(Inputs!$K$7^2)*Inputs!$C$11)))/(SQRT(((Inputs!$I$7+(((A31)+1)/2)*(Inputs!$J$7-Inputs!$I$7)))^2+Inputs!$C$6^2+((Inputs!$H$7+Inputs!$L$7*(((Inputs!$I$7+(((A31)+1)/2)*(Inputs!$J$7-Inputs!$I$7)))/Inputs!$K$7)^2))^2)))))/Inputs!$C$13)</x:f>
        <x:v>2629.7819039981837</x:v>
      </x:c>
      <x:c r="AN31" s="48" t="n">
        <x:f>(-2*((1000*((((Inputs!$I$8+(((A31)+1)/2)*(Inputs!$J$8-Inputs!$I$8)))*Inputs!$C$11+((Inputs!$H$8+Inputs!$L$8*(((Inputs!$I$8+(((A31)+1)/2)*(Inputs!$J$8-Inputs!$I$8)))/Inputs!$K$8)^2))*((2*Inputs!$L$8*((Inputs!$I$8+(((A31)+1)/2)*(Inputs!$J$8-Inputs!$I$8)))/(Inputs!$K$8^2)*Inputs!$C$11)))/(SQRT(((Inputs!$I$8+(((A31)+1)/2)*(Inputs!$J$8-Inputs!$I$8)))^2+Inputs!$C$6^2+((Inputs!$H$8+Inputs!$L$8*(((Inputs!$I$8+(((A31)+1)/2)*(Inputs!$J$8-Inputs!$I$8)))/Inputs!$K$8)^2))^2)))))/Inputs!$C$13)</x:f>
        <x:v>3185.283687407243</x:v>
      </x:c>
      <x:c r="AO31" s="48" t="n">
        <x:f>(-2*((1000*((((Inputs!$I$9+(((A31)+1)/2)*(Inputs!$J$9-Inputs!$I$9)))*Inputs!$C$11+((Inputs!$H$9+Inputs!$L$9*(((Inputs!$I$9+(((A31)+1)/2)*(Inputs!$J$9-Inputs!$I$9)))/Inputs!$K$9)^2))*((2*Inputs!$L$9*((Inputs!$I$9+(((A31)+1)/2)*(Inputs!$J$9-Inputs!$I$9)))/(Inputs!$K$9^2)*Inputs!$C$11)))/(SQRT(((Inputs!$I$9+(((A31)+1)/2)*(Inputs!$J$9-Inputs!$I$9)))^2+Inputs!$C$6^2+((Inputs!$H$9+Inputs!$L$9*(((Inputs!$I$9+(((A31)+1)/2)*(Inputs!$J$9-Inputs!$I$9)))/Inputs!$K$9)^2))^2)))))/Inputs!$C$13)</x:f>
        <x:v>3202.7424007029217</x:v>
      </x:c>
    </x:row>
    <x:row r="32">
      <x:c r="A32" s="48" t="n">
        <x:f>ROUND(-1+30*2/240,3)</x:f>
        <x:v>-0.75</x:v>
      </x:c>
      <x:c r="B32" s="48" t="n">
        <x:f>IF(OR(Inputs!$F$6=TRUE,Inputs!$F$6="TRUE",Inputs!$F$6=1),(Inputs!$H$6+Inputs!$L$6*(((Inputs!$I$6+(((A32)+1)/2)*(Inputs!$J$6-Inputs!$I$6)))/Inputs!$K$6)^2),NA())</x:f>
        <x:v>402.25</x:v>
      </x:c>
      <x:c r="C32" s="48" t="n">
        <x:f>IF(OR(Inputs!$F$7=TRUE,Inputs!$F$7="TRUE",Inputs!$F$7=1),(Inputs!$H$7+Inputs!$L$7*(((Inputs!$I$7+(((A32)+1)/2)*(Inputs!$J$7-Inputs!$I$7)))/Inputs!$K$7)^2),NA())</x:f>
        <x:v>240.3125</x:v>
      </x:c>
      <x:c r="D32" s="48" t="n">
        <x:f>IF(OR(Inputs!$F$8=TRUE,Inputs!$F$8="TRUE",Inputs!$F$8=1),(Inputs!$H$8+Inputs!$L$8*(((Inputs!$I$8+(((A32)+1)/2)*(Inputs!$J$8-Inputs!$I$8)))/Inputs!$K$8)^2),NA())</x:f>
        <x:v>577.8125</x:v>
      </x:c>
      <x:c r="E32" s="48" t="n">
        <x:f>IF(OR(Inputs!$F$9=TRUE,Inputs!$F$9="TRUE",Inputs!$F$9=1),(Inputs!$H$9+Inputs!$L$9*(((Inputs!$I$9+(((A32)+1)/2)*(Inputs!$J$9-Inputs!$I$9)))/Inputs!$K$9)^2),NA())</x:f>
        <x:v>573.4375</x:v>
      </x:c>
      <x:c r="F32" s="49"/>
      <x:c r="G32" s="48" t="n">
        <x:f>A32</x:f>
        <x:v>-0.75</x:v>
      </x:c>
      <x:c r="H32" s="48" t="n">
        <x:f>IF(OR(Inputs!$F$6=TRUE,Inputs!$F$6="TRUE",Inputs!$F$6=1),(((SQRT(((Inputs!$I$6+(((A32)+1)/2)*(Inputs!$J$6-Inputs!$I$6)))^2+Inputs!$C$6^2+((Inputs!$H$6+Inputs!$L$6*(((Inputs!$I$6+(((A32)+1)/2)*(Inputs!$J$6-Inputs!$I$6)))/Inputs!$K$6)^2))^2))-((Inputs!$H$6+Inputs!$L$6*(((Inputs!$I$6+(((A32)+1)/2)*(Inputs!$J$6-Inputs!$I$6)))/Inputs!$K$6)^2)))*1000/Inputs!$C$12),NA())</x:f>
        <x:v>1843.0302193297173</x:v>
      </x:c>
      <x:c r="I32" s="48" t="n">
        <x:f>IF(OR(Inputs!$F$7=TRUE,Inputs!$F$7="TRUE",Inputs!$F$7=1),(((SQRT(((Inputs!$I$7+(((A32)+1)/2)*(Inputs!$J$7-Inputs!$I$7)))^2+Inputs!$C$6^2+((Inputs!$H$7+Inputs!$L$7*(((Inputs!$I$7+(((A32)+1)/2)*(Inputs!$J$7-Inputs!$I$7)))/Inputs!$K$7)^2))^2))-((Inputs!$H$7+Inputs!$L$7*(((Inputs!$I$7+(((A32)+1)/2)*(Inputs!$J$7-Inputs!$I$7)))/Inputs!$K$7)^2)))*1000/Inputs!$C$12),NA())</x:f>
        <x:v>81394.59702100123</x:v>
      </x:c>
      <x:c r="J32" s="48" t="n">
        <x:f>IF(OR(Inputs!$F$8=TRUE,Inputs!$F$8="TRUE",Inputs!$F$8=1),(((SQRT(((Inputs!$I$8+(((A32)+1)/2)*(Inputs!$J$8-Inputs!$I$8)))^2+Inputs!$C$6^2+((Inputs!$H$8+Inputs!$L$8*(((Inputs!$I$8+(((A32)+1)/2)*(Inputs!$J$8-Inputs!$I$8)))/Inputs!$K$8)^2))^2))-((Inputs!$H$8+Inputs!$L$8*(((Inputs!$I$8+(((A32)+1)/2)*(Inputs!$J$8-Inputs!$I$8)))/Inputs!$K$8)^2)))*1000/Inputs!$C$12),NA())</x:f>
        <x:v>143567.15576745349</x:v>
      </x:c>
      <x:c r="K32" s="48" t="n">
        <x:f>IF(OR(Inputs!$F$9=TRUE,Inputs!$F$9="TRUE",Inputs!$F$9=1),(((SQRT(((Inputs!$I$9+(((A32)+1)/2)*(Inputs!$J$9-Inputs!$I$9)))^2+Inputs!$C$6^2+((Inputs!$H$9+Inputs!$L$9*(((Inputs!$I$9+(((A32)+1)/2)*(Inputs!$J$9-Inputs!$I$9)))/Inputs!$K$9)^2))^2))-((Inputs!$H$9+Inputs!$L$9*(((Inputs!$I$9+(((A32)+1)/2)*(Inputs!$J$9-Inputs!$I$9)))/Inputs!$K$9)^2)))*1000/Inputs!$C$12),NA())</x:f>
        <x:v>144324.21972439942</x:v>
      </x:c>
      <x:c r="L32" s="49"/>
      <x:c r="M32" s="48" t="n">
        <x:f>A32</x:f>
        <x:v>-0.75</x:v>
      </x:c>
      <x:c r="N32" s="48" t="n">
        <x:f>IF(OR(Inputs!$F$6=TRUE,Inputs!$F$6="TRUE",Inputs!$F$6=1),(-2*((1000*((((Inputs!$I$6+(((A32)+1)/2)*(Inputs!$J$6-Inputs!$I$6)))*Inputs!$C$11+((Inputs!$H$6+Inputs!$L$6*(((Inputs!$I$6+(((A32)+1)/2)*(Inputs!$J$6-Inputs!$I$6)))/Inputs!$K$6)^2))*((2*Inputs!$L$6*((Inputs!$I$6+(((A32)+1)/2)*(Inputs!$J$6-Inputs!$I$6)))/(Inputs!$K$6^2)*Inputs!$C$11)))/(SQRT(((Inputs!$I$6+(((A32)+1)/2)*(Inputs!$J$6-Inputs!$I$6)))^2+Inputs!$C$6^2+((Inputs!$H$6+Inputs!$L$6*(((Inputs!$I$6+(((A32)+1)/2)*(Inputs!$J$6-Inputs!$I$6)))/Inputs!$K$6)^2))^2)))))/Inputs!$C$13),NA())</x:f>
        <x:v>336.250833076421</x:v>
      </x:c>
      <x:c r="O32" s="48" t="n">
        <x:f>IF(OR(Inputs!$F$7=TRUE,Inputs!$F$7="TRUE",Inputs!$F$7=1),(-2*((1000*((((Inputs!$I$7+(((A32)+1)/2)*(Inputs!$J$7-Inputs!$I$7)))*Inputs!$C$11+((Inputs!$H$7+Inputs!$L$7*(((Inputs!$I$7+(((A32)+1)/2)*(Inputs!$J$7-Inputs!$I$7)))/Inputs!$K$7)^2))*((2*Inputs!$L$7*((Inputs!$I$7+(((A32)+1)/2)*(Inputs!$J$7-Inputs!$I$7)))/(Inputs!$K$7^2)*Inputs!$C$11)))/(SQRT(((Inputs!$I$7+(((A32)+1)/2)*(Inputs!$J$7-Inputs!$I$7)))^2+Inputs!$C$6^2+((Inputs!$H$7+Inputs!$L$7*(((Inputs!$I$7+(((A32)+1)/2)*(Inputs!$J$7-Inputs!$I$7)))/Inputs!$K$7)^2))^2)))))/Inputs!$C$13),NA())</x:f>
        <x:v>2612.4032800055647</x:v>
      </x:c>
      <x:c r="P32" s="48" t="n">
        <x:f>IF(OR(Inputs!$F$8=TRUE,Inputs!$F$8="TRUE",Inputs!$F$8=1),(-2*((1000*((((Inputs!$I$8+(((A32)+1)/2)*(Inputs!$J$8-Inputs!$I$8)))*Inputs!$C$11+((Inputs!$H$8+Inputs!$L$8*(((Inputs!$I$8+(((A32)+1)/2)*(Inputs!$J$8-Inputs!$I$8)))/Inputs!$K$8)^2))*((2*Inputs!$L$8*((Inputs!$I$8+(((A32)+1)/2)*(Inputs!$J$8-Inputs!$I$8)))/(Inputs!$K$8^2)*Inputs!$C$11)))/(SQRT(((Inputs!$I$8+(((A32)+1)/2)*(Inputs!$J$8-Inputs!$I$8)))^2+Inputs!$C$6^2+((Inputs!$H$8+Inputs!$L$8*(((Inputs!$I$8+(((A32)+1)/2)*(Inputs!$J$8-Inputs!$I$8)))/Inputs!$K$8)^2))^2)))))/Inputs!$C$13),NA())</x:f>
        <x:v>3159.2118068361656</x:v>
      </x:c>
      <x:c r="Q32" s="48" t="n">
        <x:f>IF(OR(Inputs!$F$9=TRUE,Inputs!$F$9="TRUE",Inputs!$F$9=1),(-2*((1000*((((Inputs!$I$9+(((A32)+1)/2)*(Inputs!$J$9-Inputs!$I$9)))*Inputs!$C$11+((Inputs!$H$9+Inputs!$L$9*(((Inputs!$I$9+(((A32)+1)/2)*(Inputs!$J$9-Inputs!$I$9)))/Inputs!$K$9)^2))*((2*Inputs!$L$9*((Inputs!$I$9+(((A32)+1)/2)*(Inputs!$J$9-Inputs!$I$9)))/(Inputs!$K$9^2)*Inputs!$C$11)))/(SQRT(((Inputs!$I$9+(((A32)+1)/2)*(Inputs!$J$9-Inputs!$I$9)))^2+Inputs!$C$6^2+((Inputs!$H$9+Inputs!$L$9*(((Inputs!$I$9+(((A32)+1)/2)*(Inputs!$J$9-Inputs!$I$9)))/Inputs!$K$9)^2))^2)))))/Inputs!$C$13),NA())</x:f>
        <x:v>3176.1950570460153</x:v>
      </x:c>
      <x:c r="R32" s="49"/>
      <x:c r="S32" s="48" t="n">
        <x:f>A32</x:f>
        <x:v>-0.75</x:v>
      </x:c>
      <x:c r="T32" s="48" t="n">
        <x:f>(Inputs!$I$6+(((A32)+1)/2)*(Inputs!$J$6-Inputs!$I$6))</x:f>
        <x:v>-45</x:v>
      </x:c>
      <x:c r="U32" s="48" t="n">
        <x:f>(Inputs!$I$7+(((A32)+1)/2)*(Inputs!$J$7-Inputs!$I$7))</x:f>
        <x:v>-300</x:v>
      </x:c>
      <x:c r="V32" s="48" t="n">
        <x:f>(Inputs!$I$8+(((A32)+1)/2)*(Inputs!$J$8-Inputs!$I$8))</x:f>
        <x:v>-600</x:v>
      </x:c>
      <x:c r="W32" s="48" t="n">
        <x:f>(Inputs!$I$9+(((A32)+1)/2)*(Inputs!$J$9-Inputs!$I$9))</x:f>
        <x:v>-600</x:v>
      </x:c>
      <x:c r="X32" s="49"/>
      <x:c r="Y32" s="48" t="n">
        <x:f>A32</x:f>
        <x:v>-0.75</x:v>
      </x:c>
      <x:c r="Z32" s="48" t="n">
        <x:f>(Inputs!$H$6+Inputs!$L$6*(((Inputs!$I$6+(((A32)+1)/2)*(Inputs!$J$6-Inputs!$I$6)))/Inputs!$K$6)^2)</x:f>
        <x:v>402.25</x:v>
      </x:c>
      <x:c r="AA32" s="48" t="n">
        <x:f>(Inputs!$H$7+Inputs!$L$7*(((Inputs!$I$7+(((A32)+1)/2)*(Inputs!$J$7-Inputs!$I$7)))/Inputs!$K$7)^2)</x:f>
        <x:v>240.3125</x:v>
      </x:c>
      <x:c r="AB32" s="48" t="n">
        <x:f>(Inputs!$H$8+Inputs!$L$8*(((Inputs!$I$8+(((A32)+1)/2)*(Inputs!$J$8-Inputs!$I$8)))/Inputs!$K$8)^2)</x:f>
        <x:v>577.8125</x:v>
      </x:c>
      <x:c r="AC32" s="48" t="n">
        <x:f>(Inputs!$H$9+Inputs!$L$9*(((Inputs!$I$9+(((A32)+1)/2)*(Inputs!$J$9-Inputs!$I$9)))/Inputs!$K$9)^2)</x:f>
        <x:v>573.4375</x:v>
      </x:c>
      <x:c r="AD32" s="49"/>
      <x:c r="AE32" s="48" t="n">
        <x:f>A32</x:f>
        <x:v>-0.75</x:v>
      </x:c>
      <x:c r="AF32" s="48" t="n">
        <x:f>(((SQRT(((Inputs!$I$6+(((A32)+1)/2)*(Inputs!$J$6-Inputs!$I$6)))^2+Inputs!$C$6^2+((Inputs!$H$6+Inputs!$L$6*(((Inputs!$I$6+(((A32)+1)/2)*(Inputs!$J$6-Inputs!$I$6)))/Inputs!$K$6)^2))^2))-((Inputs!$H$6+Inputs!$L$6*(((Inputs!$I$6+(((A32)+1)/2)*(Inputs!$J$6-Inputs!$I$6)))/Inputs!$K$6)^2)))*1000/Inputs!$C$12)</x:f>
        <x:v>1843.0302193297173</x:v>
      </x:c>
      <x:c r="AG32" s="48" t="n">
        <x:f>(((SQRT(((Inputs!$I$7+(((A32)+1)/2)*(Inputs!$J$7-Inputs!$I$7)))^2+Inputs!$C$6^2+((Inputs!$H$7+Inputs!$L$7*(((Inputs!$I$7+(((A32)+1)/2)*(Inputs!$J$7-Inputs!$I$7)))/Inputs!$K$7)^2))^2))-((Inputs!$H$7+Inputs!$L$7*(((Inputs!$I$7+(((A32)+1)/2)*(Inputs!$J$7-Inputs!$I$7)))/Inputs!$K$7)^2)))*1000/Inputs!$C$12)</x:f>
        <x:v>81394.59702100123</x:v>
      </x:c>
      <x:c r="AH32" s="48" t="n">
        <x:f>(((SQRT(((Inputs!$I$8+(((A32)+1)/2)*(Inputs!$J$8-Inputs!$I$8)))^2+Inputs!$C$6^2+((Inputs!$H$8+Inputs!$L$8*(((Inputs!$I$8+(((A32)+1)/2)*(Inputs!$J$8-Inputs!$I$8)))/Inputs!$K$8)^2))^2))-((Inputs!$H$8+Inputs!$L$8*(((Inputs!$I$8+(((A32)+1)/2)*(Inputs!$J$8-Inputs!$I$8)))/Inputs!$K$8)^2)))*1000/Inputs!$C$12)</x:f>
        <x:v>143567.15576745349</x:v>
      </x:c>
      <x:c r="AI32" s="48" t="n">
        <x:f>(((SQRT(((Inputs!$I$9+(((A32)+1)/2)*(Inputs!$J$9-Inputs!$I$9)))^2+Inputs!$C$6^2+((Inputs!$H$9+Inputs!$L$9*(((Inputs!$I$9+(((A32)+1)/2)*(Inputs!$J$9-Inputs!$I$9)))/Inputs!$K$9)^2))^2))-((Inputs!$H$9+Inputs!$L$9*(((Inputs!$I$9+(((A32)+1)/2)*(Inputs!$J$9-Inputs!$I$9)))/Inputs!$K$9)^2)))*1000/Inputs!$C$12)</x:f>
        <x:v>144324.21972439942</x:v>
      </x:c>
      <x:c r="AJ32" s="49"/>
      <x:c r="AK32" s="48" t="n">
        <x:f>A32</x:f>
        <x:v>-0.75</x:v>
      </x:c>
      <x:c r="AL32" s="48" t="n">
        <x:f>(-2*((1000*((((Inputs!$I$6+(((A32)+1)/2)*(Inputs!$J$6-Inputs!$I$6)))*Inputs!$C$11+((Inputs!$H$6+Inputs!$L$6*(((Inputs!$I$6+(((A32)+1)/2)*(Inputs!$J$6-Inputs!$I$6)))/Inputs!$K$6)^2))*((2*Inputs!$L$6*((Inputs!$I$6+(((A32)+1)/2)*(Inputs!$J$6-Inputs!$I$6)))/(Inputs!$K$6^2)*Inputs!$C$11)))/(SQRT(((Inputs!$I$6+(((A32)+1)/2)*(Inputs!$J$6-Inputs!$I$6)))^2+Inputs!$C$6^2+((Inputs!$H$6+Inputs!$L$6*(((Inputs!$I$6+(((A32)+1)/2)*(Inputs!$J$6-Inputs!$I$6)))/Inputs!$K$6)^2))^2)))))/Inputs!$C$13)</x:f>
        <x:v>336.250833076421</x:v>
      </x:c>
      <x:c r="AM32" s="48" t="n">
        <x:f>(-2*((1000*((((Inputs!$I$7+(((A32)+1)/2)*(Inputs!$J$7-Inputs!$I$7)))*Inputs!$C$11+((Inputs!$H$7+Inputs!$L$7*(((Inputs!$I$7+(((A32)+1)/2)*(Inputs!$J$7-Inputs!$I$7)))/Inputs!$K$7)^2))*((2*Inputs!$L$7*((Inputs!$I$7+(((A32)+1)/2)*(Inputs!$J$7-Inputs!$I$7)))/(Inputs!$K$7^2)*Inputs!$C$11)))/(SQRT(((Inputs!$I$7+(((A32)+1)/2)*(Inputs!$J$7-Inputs!$I$7)))^2+Inputs!$C$6^2+((Inputs!$H$7+Inputs!$L$7*(((Inputs!$I$7+(((A32)+1)/2)*(Inputs!$J$7-Inputs!$I$7)))/Inputs!$K$7)^2))^2)))))/Inputs!$C$13)</x:f>
        <x:v>2612.4032800055647</x:v>
      </x:c>
      <x:c r="AN32" s="48" t="n">
        <x:f>(-2*((1000*((((Inputs!$I$8+(((A32)+1)/2)*(Inputs!$J$8-Inputs!$I$8)))*Inputs!$C$11+((Inputs!$H$8+Inputs!$L$8*(((Inputs!$I$8+(((A32)+1)/2)*(Inputs!$J$8-Inputs!$I$8)))/Inputs!$K$8)^2))*((2*Inputs!$L$8*((Inputs!$I$8+(((A32)+1)/2)*(Inputs!$J$8-Inputs!$I$8)))/(Inputs!$K$8^2)*Inputs!$C$11)))/(SQRT(((Inputs!$I$8+(((A32)+1)/2)*(Inputs!$J$8-Inputs!$I$8)))^2+Inputs!$C$6^2+((Inputs!$H$8+Inputs!$L$8*(((Inputs!$I$8+(((A32)+1)/2)*(Inputs!$J$8-Inputs!$I$8)))/Inputs!$K$8)^2))^2)))))/Inputs!$C$13)</x:f>
        <x:v>3159.2118068361656</x:v>
      </x:c>
      <x:c r="AO32" s="48" t="n">
        <x:f>(-2*((1000*((((Inputs!$I$9+(((A32)+1)/2)*(Inputs!$J$9-Inputs!$I$9)))*Inputs!$C$11+((Inputs!$H$9+Inputs!$L$9*(((Inputs!$I$9+(((A32)+1)/2)*(Inputs!$J$9-Inputs!$I$9)))/Inputs!$K$9)^2))*((2*Inputs!$L$9*((Inputs!$I$9+(((A32)+1)/2)*(Inputs!$J$9-Inputs!$I$9)))/(Inputs!$K$9^2)*Inputs!$C$11)))/(SQRT(((Inputs!$I$9+(((A32)+1)/2)*(Inputs!$J$9-Inputs!$I$9)))^2+Inputs!$C$6^2+((Inputs!$H$9+Inputs!$L$9*(((Inputs!$I$9+(((A32)+1)/2)*(Inputs!$J$9-Inputs!$I$9)))/Inputs!$K$9)^2))^2)))))/Inputs!$C$13)</x:f>
        <x:v>3176.1950570460153</x:v>
      </x:c>
    </x:row>
    <x:row r="33">
      <x:c r="A33" s="48" t="n">
        <x:f>ROUND(-1+31*2/240,3)</x:f>
        <x:v>-0.742</x:v>
      </x:c>
      <x:c r="B33" s="48" t="n">
        <x:f>IF(OR(Inputs!$F$6=TRUE,Inputs!$F$6="TRUE",Inputs!$F$6=1),(Inputs!$H$6+Inputs!$L$6*(((Inputs!$I$6+(((A33)+1)/2)*(Inputs!$J$6-Inputs!$I$6)))/Inputs!$K$6)^2),NA())</x:f>
        <x:v>402.202256</x:v>
      </x:c>
      <x:c r="C33" s="48" t="n">
        <x:f>IF(OR(Inputs!$F$7=TRUE,Inputs!$F$7="TRUE",Inputs!$F$7=1),(Inputs!$H$7+Inputs!$L$7*(((Inputs!$I$7+(((A33)+1)/2)*(Inputs!$J$7-Inputs!$I$7)))/Inputs!$K$7)^2),NA())</x:f>
        <x:v>235.95585999999997</x:v>
      </x:c>
      <x:c r="D33" s="48" t="n">
        <x:f>IF(OR(Inputs!$F$8=TRUE,Inputs!$F$8="TRUE",Inputs!$F$8=1),(Inputs!$H$8+Inputs!$L$8*(((Inputs!$I$8+(((A33)+1)/2)*(Inputs!$J$8-Inputs!$I$8)))/Inputs!$K$8)^2),NA())</x:f>
        <x:v>566.2942599999999</x:v>
      </x:c>
      <x:c r="E33" s="48" t="n">
        <x:f>IF(OR(Inputs!$F$9=TRUE,Inputs!$F$9="TRUE",Inputs!$F$9=1),(Inputs!$H$9+Inputs!$L$9*(((Inputs!$I$9+(((A33)+1)/2)*(Inputs!$J$9-Inputs!$I$9)))/Inputs!$K$9)^2),NA())</x:f>
        <x:v>561.7999</x:v>
      </x:c>
      <x:c r="F33" s="49"/>
      <x:c r="G33" s="48" t="n">
        <x:f>A33</x:f>
        <x:v>-0.742</x:v>
      </x:c>
      <x:c r="H33" s="48" t="n">
        <x:f>IF(OR(Inputs!$F$6=TRUE,Inputs!$F$6="TRUE",Inputs!$F$6=1),(((SQRT(((Inputs!$I$6+(((A33)+1)/2)*(Inputs!$J$6-Inputs!$I$6)))^2+Inputs!$C$6^2+((Inputs!$H$6+Inputs!$L$6*(((Inputs!$I$6+(((A33)+1)/2)*(Inputs!$J$6-Inputs!$I$6)))/Inputs!$K$6)^2))^2))-((Inputs!$H$6+Inputs!$L$6*(((Inputs!$I$6+(((A33)+1)/2)*(Inputs!$J$6-Inputs!$I$6)))/Inputs!$K$6)^2)))*1000/Inputs!$C$12),NA())</x:f>
        <x:v>1813.478054558611</x:v>
      </x:c>
      <x:c r="I33" s="48" t="n">
        <x:f>IF(OR(Inputs!$F$7=TRUE,Inputs!$F$7="TRUE",Inputs!$F$7=1),(((SQRT(((Inputs!$I$7+(((A33)+1)/2)*(Inputs!$J$7-Inputs!$I$7)))^2+Inputs!$C$6^2+((Inputs!$H$7+Inputs!$L$7*(((Inputs!$I$7+(((A33)+1)/2)*(Inputs!$J$7-Inputs!$I$7)))/Inputs!$K$7)^2))^2))-((Inputs!$H$7+Inputs!$L$7*(((Inputs!$I$7+(((A33)+1)/2)*(Inputs!$J$7-Inputs!$I$7)))/Inputs!$K$7)^2)))*1000/Inputs!$C$12),NA())</x:f>
        <x:v>80916.58346321626</x:v>
      </x:c>
      <x:c r="J33" s="48" t="n">
        <x:f>IF(OR(Inputs!$F$8=TRUE,Inputs!$F$8="TRUE",Inputs!$F$8=1),(((SQRT(((Inputs!$I$8+(((A33)+1)/2)*(Inputs!$J$8-Inputs!$I$8)))^2+Inputs!$C$6^2+((Inputs!$H$8+Inputs!$L$8*(((Inputs!$I$8+(((A33)+1)/2)*(Inputs!$J$8-Inputs!$I$8)))/Inputs!$K$8)^2))^2))-((Inputs!$H$8+Inputs!$L$8*(((Inputs!$I$8+(((A33)+1)/2)*(Inputs!$J$8-Inputs!$I$8)))/Inputs!$K$8)^2)))*1000/Inputs!$C$12),NA())</x:f>
        <x:v>142967.92221460855</x:v>
      </x:c>
      <x:c r="K33" s="48" t="n">
        <x:f>IF(OR(Inputs!$F$9=TRUE,Inputs!$F$9="TRUE",Inputs!$F$9=1),(((SQRT(((Inputs!$I$9+(((A33)+1)/2)*(Inputs!$J$9-Inputs!$I$9)))^2+Inputs!$C$6^2+((Inputs!$H$9+Inputs!$L$9*(((Inputs!$I$9+(((A33)+1)/2)*(Inputs!$J$9-Inputs!$I$9)))/Inputs!$K$9)^2))^2))-((Inputs!$H$9+Inputs!$L$9*(((Inputs!$I$9+(((A33)+1)/2)*(Inputs!$J$9-Inputs!$I$9)))/Inputs!$K$9)^2)))*1000/Inputs!$C$12),NA())</x:f>
        <x:v>143754.41285800817</x:v>
      </x:c>
      <x:c r="L33" s="49"/>
      <x:c r="M33" s="48" t="n">
        <x:f>A33</x:f>
        <x:v>-0.742</x:v>
      </x:c>
      <x:c r="N33" s="48" t="n">
        <x:f>IF(OR(Inputs!$F$6=TRUE,Inputs!$F$6="TRUE",Inputs!$F$6=1),(-2*((1000*((((Inputs!$I$6+(((A33)+1)/2)*(Inputs!$J$6-Inputs!$I$6)))*Inputs!$C$11+((Inputs!$H$6+Inputs!$L$6*(((Inputs!$I$6+(((A33)+1)/2)*(Inputs!$J$6-Inputs!$I$6)))/Inputs!$K$6)^2))*((2*Inputs!$L$6*((Inputs!$I$6+(((A33)+1)/2)*(Inputs!$J$6-Inputs!$I$6)))/(Inputs!$K$6^2)*Inputs!$C$11)))/(SQRT(((Inputs!$I$6+(((A33)+1)/2)*(Inputs!$J$6-Inputs!$I$6)))^2+Inputs!$C$6^2+((Inputs!$H$6+Inputs!$L$6*(((Inputs!$I$6+(((A33)+1)/2)*(Inputs!$J$6-Inputs!$I$6)))/Inputs!$K$6)^2))^2)))))/Inputs!$C$13),NA())</x:f>
        <x:v>332.7278534236999</x:v>
      </x:c>
      <x:c r="O33" s="48" t="n">
        <x:f>IF(OR(Inputs!$F$7=TRUE,Inputs!$F$7="TRUE",Inputs!$F$7=1),(-2*((1000*((((Inputs!$I$7+(((A33)+1)/2)*(Inputs!$J$7-Inputs!$I$7)))*Inputs!$C$11+((Inputs!$H$7+Inputs!$L$7*(((Inputs!$I$7+(((A33)+1)/2)*(Inputs!$J$7-Inputs!$I$7)))/Inputs!$K$7)^2))*((2*Inputs!$L$7*((Inputs!$I$7+(((A33)+1)/2)*(Inputs!$J$7-Inputs!$I$7)))/(Inputs!$K$7^2)*Inputs!$C$11)))/(SQRT(((Inputs!$I$7+(((A33)+1)/2)*(Inputs!$J$7-Inputs!$I$7)))^2+Inputs!$C$6^2+((Inputs!$H$7+Inputs!$L$7*(((Inputs!$I$7+(((A33)+1)/2)*(Inputs!$J$7-Inputs!$I$7)))/Inputs!$K$7)^2))^2)))))/Inputs!$C$13),NA())</x:f>
        <x:v>2595.116206847776</x:v>
      </x:c>
      <x:c r="P33" s="48" t="n">
        <x:f>IF(OR(Inputs!$F$8=TRUE,Inputs!$F$8="TRUE",Inputs!$F$8=1),(-2*((1000*((((Inputs!$I$8+(((A33)+1)/2)*(Inputs!$J$8-Inputs!$I$8)))*Inputs!$C$11+((Inputs!$H$8+Inputs!$L$8*(((Inputs!$I$8+(((A33)+1)/2)*(Inputs!$J$8-Inputs!$I$8)))/Inputs!$K$8)^2))*((2*Inputs!$L$8*((Inputs!$I$8+(((A33)+1)/2)*(Inputs!$J$8-Inputs!$I$8)))/(Inputs!$K$8^2)*Inputs!$C$11)))/(SQRT(((Inputs!$I$8+(((A33)+1)/2)*(Inputs!$J$8-Inputs!$I$8)))^2+Inputs!$C$6^2+((Inputs!$H$8+Inputs!$L$8*(((Inputs!$I$8+(((A33)+1)/2)*(Inputs!$J$8-Inputs!$I$8)))/Inputs!$K$8)^2))^2)))))/Inputs!$C$13),NA())</x:f>
        <x:v>3133.243511697777</x:v>
      </x:c>
      <x:c r="Q33" s="48" t="n">
        <x:f>IF(OR(Inputs!$F$9=TRUE,Inputs!$F$9="TRUE",Inputs!$F$9=1),(-2*((1000*((((Inputs!$I$9+(((A33)+1)/2)*(Inputs!$J$9-Inputs!$I$9)))*Inputs!$C$11+((Inputs!$H$9+Inputs!$L$9*(((Inputs!$I$9+(((A33)+1)/2)*(Inputs!$J$9-Inputs!$I$9)))/Inputs!$K$9)^2))*((2*Inputs!$L$9*((Inputs!$I$9+(((A33)+1)/2)*(Inputs!$J$9-Inputs!$I$9)))/(Inputs!$K$9^2)*Inputs!$C$11)))/(SQRT(((Inputs!$I$9+(((A33)+1)/2)*(Inputs!$J$9-Inputs!$I$9)))^2+Inputs!$C$6^2+((Inputs!$H$9+Inputs!$L$9*(((Inputs!$I$9+(((A33)+1)/2)*(Inputs!$J$9-Inputs!$I$9)))/Inputs!$K$9)^2))^2)))))/Inputs!$C$13),NA())</x:f>
        <x:v>3149.75035883583</x:v>
      </x:c>
      <x:c r="R33" s="49"/>
      <x:c r="S33" s="48" t="n">
        <x:f>A33</x:f>
        <x:v>-0.742</x:v>
      </x:c>
      <x:c r="T33" s="48" t="n">
        <x:f>(Inputs!$I$6+(((A33)+1)/2)*(Inputs!$J$6-Inputs!$I$6))</x:f>
        <x:v>-44.519999999999996</x:v>
      </x:c>
      <x:c r="U33" s="48" t="n">
        <x:f>(Inputs!$I$7+(((A33)+1)/2)*(Inputs!$J$7-Inputs!$I$7))</x:f>
        <x:v>-296.8</x:v>
      </x:c>
      <x:c r="V33" s="48" t="n">
        <x:f>(Inputs!$I$8+(((A33)+1)/2)*(Inputs!$J$8-Inputs!$I$8))</x:f>
        <x:v>-593.6</x:v>
      </x:c>
      <x:c r="W33" s="48" t="n">
        <x:f>(Inputs!$I$9+(((A33)+1)/2)*(Inputs!$J$9-Inputs!$I$9))</x:f>
        <x:v>-593.6</x:v>
      </x:c>
      <x:c r="X33" s="49"/>
      <x:c r="Y33" s="48" t="n">
        <x:f>A33</x:f>
        <x:v>-0.742</x:v>
      </x:c>
      <x:c r="Z33" s="48" t="n">
        <x:f>(Inputs!$H$6+Inputs!$L$6*(((Inputs!$I$6+(((A33)+1)/2)*(Inputs!$J$6-Inputs!$I$6)))/Inputs!$K$6)^2)</x:f>
        <x:v>402.202256</x:v>
      </x:c>
      <x:c r="AA33" s="48" t="n">
        <x:f>(Inputs!$H$7+Inputs!$L$7*(((Inputs!$I$7+(((A33)+1)/2)*(Inputs!$J$7-Inputs!$I$7)))/Inputs!$K$7)^2)</x:f>
        <x:v>235.95585999999997</x:v>
      </x:c>
      <x:c r="AB33" s="48" t="n">
        <x:f>(Inputs!$H$8+Inputs!$L$8*(((Inputs!$I$8+(((A33)+1)/2)*(Inputs!$J$8-Inputs!$I$8)))/Inputs!$K$8)^2)</x:f>
        <x:v>566.2942599999999</x:v>
      </x:c>
      <x:c r="AC33" s="48" t="n">
        <x:f>(Inputs!$H$9+Inputs!$L$9*(((Inputs!$I$9+(((A33)+1)/2)*(Inputs!$J$9-Inputs!$I$9)))/Inputs!$K$9)^2)</x:f>
        <x:v>561.7999</x:v>
      </x:c>
      <x:c r="AD33" s="49"/>
      <x:c r="AE33" s="48" t="n">
        <x:f>A33</x:f>
        <x:v>-0.742</x:v>
      </x:c>
      <x:c r="AF33" s="48" t="n">
        <x:f>(((SQRT(((Inputs!$I$6+(((A33)+1)/2)*(Inputs!$J$6-Inputs!$I$6)))^2+Inputs!$C$6^2+((Inputs!$H$6+Inputs!$L$6*(((Inputs!$I$6+(((A33)+1)/2)*(Inputs!$J$6-Inputs!$I$6)))/Inputs!$K$6)^2))^2))-((Inputs!$H$6+Inputs!$L$6*(((Inputs!$I$6+(((A33)+1)/2)*(Inputs!$J$6-Inputs!$I$6)))/Inputs!$K$6)^2)))*1000/Inputs!$C$12)</x:f>
        <x:v>1813.478054558611</x:v>
      </x:c>
      <x:c r="AG33" s="48" t="n">
        <x:f>(((SQRT(((Inputs!$I$7+(((A33)+1)/2)*(Inputs!$J$7-Inputs!$I$7)))^2+Inputs!$C$6^2+((Inputs!$H$7+Inputs!$L$7*(((Inputs!$I$7+(((A33)+1)/2)*(Inputs!$J$7-Inputs!$I$7)))/Inputs!$K$7)^2))^2))-((Inputs!$H$7+Inputs!$L$7*(((Inputs!$I$7+(((A33)+1)/2)*(Inputs!$J$7-Inputs!$I$7)))/Inputs!$K$7)^2)))*1000/Inputs!$C$12)</x:f>
        <x:v>80916.58346321626</x:v>
      </x:c>
      <x:c r="AH33" s="48" t="n">
        <x:f>(((SQRT(((Inputs!$I$8+(((A33)+1)/2)*(Inputs!$J$8-Inputs!$I$8)))^2+Inputs!$C$6^2+((Inputs!$H$8+Inputs!$L$8*(((Inputs!$I$8+(((A33)+1)/2)*(Inputs!$J$8-Inputs!$I$8)))/Inputs!$K$8)^2))^2))-((Inputs!$H$8+Inputs!$L$8*(((Inputs!$I$8+(((A33)+1)/2)*(Inputs!$J$8-Inputs!$I$8)))/Inputs!$K$8)^2)))*1000/Inputs!$C$12)</x:f>
        <x:v>142967.92221460855</x:v>
      </x:c>
      <x:c r="AI33" s="48" t="n">
        <x:f>(((SQRT(((Inputs!$I$9+(((A33)+1)/2)*(Inputs!$J$9-Inputs!$I$9)))^2+Inputs!$C$6^2+((Inputs!$H$9+Inputs!$L$9*(((Inputs!$I$9+(((A33)+1)/2)*(Inputs!$J$9-Inputs!$I$9)))/Inputs!$K$9)^2))^2))-((Inputs!$H$9+Inputs!$L$9*(((Inputs!$I$9+(((A33)+1)/2)*(Inputs!$J$9-Inputs!$I$9)))/Inputs!$K$9)^2)))*1000/Inputs!$C$12)</x:f>
        <x:v>143754.41285800817</x:v>
      </x:c>
      <x:c r="AJ33" s="49"/>
      <x:c r="AK33" s="48" t="n">
        <x:f>A33</x:f>
        <x:v>-0.742</x:v>
      </x:c>
      <x:c r="AL33" s="48" t="n">
        <x:f>(-2*((1000*((((Inputs!$I$6+(((A33)+1)/2)*(Inputs!$J$6-Inputs!$I$6)))*Inputs!$C$11+((Inputs!$H$6+Inputs!$L$6*(((Inputs!$I$6+(((A33)+1)/2)*(Inputs!$J$6-Inputs!$I$6)))/Inputs!$K$6)^2))*((2*Inputs!$L$6*((Inputs!$I$6+(((A33)+1)/2)*(Inputs!$J$6-Inputs!$I$6)))/(Inputs!$K$6^2)*Inputs!$C$11)))/(SQRT(((Inputs!$I$6+(((A33)+1)/2)*(Inputs!$J$6-Inputs!$I$6)))^2+Inputs!$C$6^2+((Inputs!$H$6+Inputs!$L$6*(((Inputs!$I$6+(((A33)+1)/2)*(Inputs!$J$6-Inputs!$I$6)))/Inputs!$K$6)^2))^2)))))/Inputs!$C$13)</x:f>
        <x:v>332.7278534236999</x:v>
      </x:c>
      <x:c r="AM33" s="48" t="n">
        <x:f>(-2*((1000*((((Inputs!$I$7+(((A33)+1)/2)*(Inputs!$J$7-Inputs!$I$7)))*Inputs!$C$11+((Inputs!$H$7+Inputs!$L$7*(((Inputs!$I$7+(((A33)+1)/2)*(Inputs!$J$7-Inputs!$I$7)))/Inputs!$K$7)^2))*((2*Inputs!$L$7*((Inputs!$I$7+(((A33)+1)/2)*(Inputs!$J$7-Inputs!$I$7)))/(Inputs!$K$7^2)*Inputs!$C$11)))/(SQRT(((Inputs!$I$7+(((A33)+1)/2)*(Inputs!$J$7-Inputs!$I$7)))^2+Inputs!$C$6^2+((Inputs!$H$7+Inputs!$L$7*(((Inputs!$I$7+(((A33)+1)/2)*(Inputs!$J$7-Inputs!$I$7)))/Inputs!$K$7)^2))^2)))))/Inputs!$C$13)</x:f>
        <x:v>2595.116206847776</x:v>
      </x:c>
      <x:c r="AN33" s="48" t="n">
        <x:f>(-2*((1000*((((Inputs!$I$8+(((A33)+1)/2)*(Inputs!$J$8-Inputs!$I$8)))*Inputs!$C$11+((Inputs!$H$8+Inputs!$L$8*(((Inputs!$I$8+(((A33)+1)/2)*(Inputs!$J$8-Inputs!$I$8)))/Inputs!$K$8)^2))*((2*Inputs!$L$8*((Inputs!$I$8+(((A33)+1)/2)*(Inputs!$J$8-Inputs!$I$8)))/(Inputs!$K$8^2)*Inputs!$C$11)))/(SQRT(((Inputs!$I$8+(((A33)+1)/2)*(Inputs!$J$8-Inputs!$I$8)))^2+Inputs!$C$6^2+((Inputs!$H$8+Inputs!$L$8*(((Inputs!$I$8+(((A33)+1)/2)*(Inputs!$J$8-Inputs!$I$8)))/Inputs!$K$8)^2))^2)))))/Inputs!$C$13)</x:f>
        <x:v>3133.243511697777</x:v>
      </x:c>
      <x:c r="AO33" s="48" t="n">
        <x:f>(-2*((1000*((((Inputs!$I$9+(((A33)+1)/2)*(Inputs!$J$9-Inputs!$I$9)))*Inputs!$C$11+((Inputs!$H$9+Inputs!$L$9*(((Inputs!$I$9+(((A33)+1)/2)*(Inputs!$J$9-Inputs!$I$9)))/Inputs!$K$9)^2))*((2*Inputs!$L$9*((Inputs!$I$9+(((A33)+1)/2)*(Inputs!$J$9-Inputs!$I$9)))/(Inputs!$K$9^2)*Inputs!$C$11)))/(SQRT(((Inputs!$I$9+(((A33)+1)/2)*(Inputs!$J$9-Inputs!$I$9)))^2+Inputs!$C$6^2+((Inputs!$H$9+Inputs!$L$9*(((Inputs!$I$9+(((A33)+1)/2)*(Inputs!$J$9-Inputs!$I$9)))/Inputs!$K$9)^2))^2)))))/Inputs!$C$13)</x:f>
        <x:v>3149.75035883583</x:v>
      </x:c>
    </x:row>
    <x:row r="34">
      <x:c r="A34" s="48" t="n">
        <x:f>ROUND(-1+32*2/240,3)</x:f>
        <x:v>-0.733</x:v>
      </x:c>
      <x:c r="B34" s="48" t="n">
        <x:f>IF(OR(Inputs!$F$6=TRUE,Inputs!$F$6="TRUE",Inputs!$F$6=1),(Inputs!$H$6+Inputs!$L$6*(((Inputs!$I$6+(((A34)+1)/2)*(Inputs!$J$6-Inputs!$I$6)))/Inputs!$K$6)^2),NA())</x:f>
        <x:v>402.149156</x:v>
      </x:c>
      <x:c r="C34" s="48" t="n">
        <x:f>IF(OR(Inputs!$F$7=TRUE,Inputs!$F$7="TRUE",Inputs!$F$7=1),(Inputs!$H$7+Inputs!$L$7*(((Inputs!$I$7+(((A34)+1)/2)*(Inputs!$J$7-Inputs!$I$7)))/Inputs!$K$7)^2),NA())</x:f>
        <x:v>231.110485</x:v>
      </x:c>
      <x:c r="D34" s="48" t="n">
        <x:f>IF(OR(Inputs!$F$8=TRUE,Inputs!$F$8="TRUE",Inputs!$F$8=1),(Inputs!$H$8+Inputs!$L$8*(((Inputs!$I$8+(((A34)+1)/2)*(Inputs!$J$8-Inputs!$I$8)))/Inputs!$K$8)^2),NA())</x:f>
        <x:v>553.483885</x:v>
      </x:c>
      <x:c r="E34" s="48" t="n">
        <x:f>IF(OR(Inputs!$F$9=TRUE,Inputs!$F$9="TRUE",Inputs!$F$9=1),(Inputs!$H$9+Inputs!$L$9*(((Inputs!$I$9+(((A34)+1)/2)*(Inputs!$J$9-Inputs!$I$9)))/Inputs!$K$9)^2),NA())</x:f>
        <x:v>548.856775</x:v>
      </x:c>
      <x:c r="F34" s="49"/>
      <x:c r="G34" s="48" t="n">
        <x:f>A34</x:f>
        <x:v>-0.733</x:v>
      </x:c>
      <x:c r="H34" s="48" t="n">
        <x:f>IF(OR(Inputs!$F$6=TRUE,Inputs!$F$6="TRUE",Inputs!$F$6=1),(((SQRT(((Inputs!$I$6+(((A34)+1)/2)*(Inputs!$J$6-Inputs!$I$6)))^2+Inputs!$C$6^2+((Inputs!$H$6+Inputs!$L$6*(((Inputs!$I$6+(((A34)+1)/2)*(Inputs!$J$6-Inputs!$I$6)))/Inputs!$K$6)^2))^2))-((Inputs!$H$6+Inputs!$L$6*(((Inputs!$I$6+(((A34)+1)/2)*(Inputs!$J$6-Inputs!$I$6)))/Inputs!$K$6)^2)))*1000/Inputs!$C$12),NA())</x:f>
        <x:v>1780.5979973162634</x:v>
      </x:c>
      <x:c r="I34" s="48" t="n">
        <x:f>IF(OR(Inputs!$F$7=TRUE,Inputs!$F$7="TRUE",Inputs!$F$7=1),(((SQRT(((Inputs!$I$7+(((A34)+1)/2)*(Inputs!$J$7-Inputs!$I$7)))^2+Inputs!$C$6^2+((Inputs!$H$7+Inputs!$L$7*(((Inputs!$I$7+(((A34)+1)/2)*(Inputs!$J$7-Inputs!$I$7)))/Inputs!$K$7)^2))^2))-((Inputs!$H$7+Inputs!$L$7*(((Inputs!$I$7+(((A34)+1)/2)*(Inputs!$J$7-Inputs!$I$7)))/Inputs!$K$7)^2)))*1000/Inputs!$C$12),NA())</x:f>
        <x:v>80370.59465550765</x:v>
      </x:c>
      <x:c r="J34" s="48" t="n">
        <x:f>IF(OR(Inputs!$F$8=TRUE,Inputs!$F$8="TRUE",Inputs!$F$8=1),(((SQRT(((Inputs!$I$8+(((A34)+1)/2)*(Inputs!$J$8-Inputs!$I$8)))^2+Inputs!$C$6^2+((Inputs!$H$8+Inputs!$L$8*(((Inputs!$I$8+(((A34)+1)/2)*(Inputs!$J$8-Inputs!$I$8)))/Inputs!$K$8)^2))^2))-((Inputs!$H$8+Inputs!$L$8*(((Inputs!$I$8+(((A34)+1)/2)*(Inputs!$J$8-Inputs!$I$8)))/Inputs!$K$8)^2)))*1000/Inputs!$C$12),NA())</x:f>
        <x:v>142280.43751600158</x:v>
      </x:c>
      <x:c r="K34" s="48" t="n">
        <x:f>IF(OR(Inputs!$F$9=TRUE,Inputs!$F$9="TRUE",Inputs!$F$9=1),(((SQRT(((Inputs!$I$9+(((A34)+1)/2)*(Inputs!$J$9-Inputs!$I$9)))^2+Inputs!$C$6^2+((Inputs!$H$9+Inputs!$L$9*(((Inputs!$I$9+(((A34)+1)/2)*(Inputs!$J$9-Inputs!$I$9)))/Inputs!$K$9)^2))^2))-((Inputs!$H$9+Inputs!$L$9*(((Inputs!$I$9+(((A34)+1)/2)*(Inputs!$J$9-Inputs!$I$9)))/Inputs!$K$9)^2)))*1000/Inputs!$C$12),NA())</x:f>
        <x:v>143100.45458612774</x:v>
      </x:c>
      <x:c r="L34" s="49"/>
      <x:c r="M34" s="48" t="n">
        <x:f>A34</x:f>
        <x:v>-0.733</x:v>
      </x:c>
      <x:c r="N34" s="48" t="n">
        <x:f>IF(OR(Inputs!$F$6=TRUE,Inputs!$F$6="TRUE",Inputs!$F$6=1),(-2*((1000*((((Inputs!$I$6+(((A34)+1)/2)*(Inputs!$J$6-Inputs!$I$6)))*Inputs!$C$11+((Inputs!$H$6+Inputs!$L$6*(((Inputs!$I$6+(((A34)+1)/2)*(Inputs!$J$6-Inputs!$I$6)))/Inputs!$K$6)^2))*((2*Inputs!$L$6*((Inputs!$I$6+(((A34)+1)/2)*(Inputs!$J$6-Inputs!$I$6)))/(Inputs!$K$6^2)*Inputs!$C$11)))/(SQRT(((Inputs!$I$6+(((A34)+1)/2)*(Inputs!$J$6-Inputs!$I$6)))^2+Inputs!$C$6^2+((Inputs!$H$6+Inputs!$L$6*(((Inputs!$I$6+(((A34)+1)/2)*(Inputs!$J$6-Inputs!$I$6)))/Inputs!$K$6)^2))^2)))))/Inputs!$C$13),NA())</x:f>
        <x:v>328.7621078889045</x:v>
      </x:c>
      <x:c r="O34" s="48" t="n">
        <x:f>IF(OR(Inputs!$F$7=TRUE,Inputs!$F$7="TRUE",Inputs!$F$7=1),(-2*((1000*((((Inputs!$I$7+(((A34)+1)/2)*(Inputs!$J$7-Inputs!$I$7)))*Inputs!$C$11+((Inputs!$H$7+Inputs!$L$7*(((Inputs!$I$7+(((A34)+1)/2)*(Inputs!$J$7-Inputs!$I$7)))/Inputs!$K$7)^2))*((2*Inputs!$L$7*((Inputs!$I$7+(((A34)+1)/2)*(Inputs!$J$7-Inputs!$I$7)))/(Inputs!$K$7^2)*Inputs!$C$11)))/(SQRT(((Inputs!$I$7+(((A34)+1)/2)*(Inputs!$J$7-Inputs!$I$7)))^2+Inputs!$C$6^2+((Inputs!$H$7+Inputs!$L$7*(((Inputs!$I$7+(((A34)+1)/2)*(Inputs!$J$7-Inputs!$I$7)))/Inputs!$K$7)^2))^2)))))/Inputs!$C$13),NA())</x:f>
        <x:v>2575.779105979339</x:v>
      </x:c>
      <x:c r="P34" s="48" t="n">
        <x:f>IF(OR(Inputs!$F$8=TRUE,Inputs!$F$8="TRUE",Inputs!$F$8=1),(-2*((1000*((((Inputs!$I$8+(((A34)+1)/2)*(Inputs!$J$8-Inputs!$I$8)))*Inputs!$C$11+((Inputs!$H$8+Inputs!$L$8*(((Inputs!$I$8+(((A34)+1)/2)*(Inputs!$J$8-Inputs!$I$8)))/Inputs!$K$8)^2))*((2*Inputs!$L$8*((Inputs!$I$8+(((A34)+1)/2)*(Inputs!$J$8-Inputs!$I$8)))/(Inputs!$K$8^2)*Inputs!$C$11)))/(SQRT(((Inputs!$I$8+(((A34)+1)/2)*(Inputs!$J$8-Inputs!$I$8)))^2+Inputs!$C$6^2+((Inputs!$H$8+Inputs!$L$8*(((Inputs!$I$8+(((A34)+1)/2)*(Inputs!$J$8-Inputs!$I$8)))/Inputs!$K$8)^2))^2)))))/Inputs!$C$13),NA())</x:f>
        <x:v>3104.1558917312536</x:v>
      </x:c>
      <x:c r="Q34" s="48" t="n">
        <x:f>IF(OR(Inputs!$F$9=TRUE,Inputs!$F$9="TRUE",Inputs!$F$9=1),(-2*((1000*((((Inputs!$I$9+(((A34)+1)/2)*(Inputs!$J$9-Inputs!$I$9)))*Inputs!$C$11+((Inputs!$H$9+Inputs!$L$9*(((Inputs!$I$9+(((A34)+1)/2)*(Inputs!$J$9-Inputs!$I$9)))/Inputs!$K$9)^2))*((2*Inputs!$L$9*((Inputs!$I$9+(((A34)+1)/2)*(Inputs!$J$9-Inputs!$I$9)))/(Inputs!$K$9^2)*Inputs!$C$11)))/(SQRT(((Inputs!$I$9+(((A34)+1)/2)*(Inputs!$J$9-Inputs!$I$9)))^2+Inputs!$C$6^2+((Inputs!$H$9+Inputs!$L$9*(((Inputs!$I$9+(((A34)+1)/2)*(Inputs!$J$9-Inputs!$I$9)))/Inputs!$K$9)^2))^2)))))/Inputs!$C$13),NA())</x:f>
        <x:v>3120.1257381445785</x:v>
      </x:c>
      <x:c r="R34" s="49"/>
      <x:c r="S34" s="48" t="n">
        <x:f>A34</x:f>
        <x:v>-0.733</x:v>
      </x:c>
      <x:c r="T34" s="48" t="n">
        <x:f>(Inputs!$I$6+(((A34)+1)/2)*(Inputs!$J$6-Inputs!$I$6))</x:f>
        <x:v>-43.980000000000004</x:v>
      </x:c>
      <x:c r="U34" s="48" t="n">
        <x:f>(Inputs!$I$7+(((A34)+1)/2)*(Inputs!$J$7-Inputs!$I$7))</x:f>
        <x:v>-293.2</x:v>
      </x:c>
      <x:c r="V34" s="48" t="n">
        <x:f>(Inputs!$I$8+(((A34)+1)/2)*(Inputs!$J$8-Inputs!$I$8))</x:f>
        <x:v>-586.4</x:v>
      </x:c>
      <x:c r="W34" s="48" t="n">
        <x:f>(Inputs!$I$9+(((A34)+1)/2)*(Inputs!$J$9-Inputs!$I$9))</x:f>
        <x:v>-586.4</x:v>
      </x:c>
      <x:c r="X34" s="49"/>
      <x:c r="Y34" s="48" t="n">
        <x:f>A34</x:f>
        <x:v>-0.733</x:v>
      </x:c>
      <x:c r="Z34" s="48" t="n">
        <x:f>(Inputs!$H$6+Inputs!$L$6*(((Inputs!$I$6+(((A34)+1)/2)*(Inputs!$J$6-Inputs!$I$6)))/Inputs!$K$6)^2)</x:f>
        <x:v>402.149156</x:v>
      </x:c>
      <x:c r="AA34" s="48" t="n">
        <x:f>(Inputs!$H$7+Inputs!$L$7*(((Inputs!$I$7+(((A34)+1)/2)*(Inputs!$J$7-Inputs!$I$7)))/Inputs!$K$7)^2)</x:f>
        <x:v>231.110485</x:v>
      </x:c>
      <x:c r="AB34" s="48" t="n">
        <x:f>(Inputs!$H$8+Inputs!$L$8*(((Inputs!$I$8+(((A34)+1)/2)*(Inputs!$J$8-Inputs!$I$8)))/Inputs!$K$8)^2)</x:f>
        <x:v>553.483885</x:v>
      </x:c>
      <x:c r="AC34" s="48" t="n">
        <x:f>(Inputs!$H$9+Inputs!$L$9*(((Inputs!$I$9+(((A34)+1)/2)*(Inputs!$J$9-Inputs!$I$9)))/Inputs!$K$9)^2)</x:f>
        <x:v>548.856775</x:v>
      </x:c>
      <x:c r="AD34" s="49"/>
      <x:c r="AE34" s="48" t="n">
        <x:f>A34</x:f>
        <x:v>-0.733</x:v>
      </x:c>
      <x:c r="AF34" s="48" t="n">
        <x:f>(((SQRT(((Inputs!$I$6+(((A34)+1)/2)*(Inputs!$J$6-Inputs!$I$6)))^2+Inputs!$C$6^2+((Inputs!$H$6+Inputs!$L$6*(((Inputs!$I$6+(((A34)+1)/2)*(Inputs!$J$6-Inputs!$I$6)))/Inputs!$K$6)^2))^2))-((Inputs!$H$6+Inputs!$L$6*(((Inputs!$I$6+(((A34)+1)/2)*(Inputs!$J$6-Inputs!$I$6)))/Inputs!$K$6)^2)))*1000/Inputs!$C$12)</x:f>
        <x:v>1780.5979973162634</x:v>
      </x:c>
      <x:c r="AG34" s="48" t="n">
        <x:f>(((SQRT(((Inputs!$I$7+(((A34)+1)/2)*(Inputs!$J$7-Inputs!$I$7)))^2+Inputs!$C$6^2+((Inputs!$H$7+Inputs!$L$7*(((Inputs!$I$7+(((A34)+1)/2)*(Inputs!$J$7-Inputs!$I$7)))/Inputs!$K$7)^2))^2))-((Inputs!$H$7+Inputs!$L$7*(((Inputs!$I$7+(((A34)+1)/2)*(Inputs!$J$7-Inputs!$I$7)))/Inputs!$K$7)^2)))*1000/Inputs!$C$12)</x:f>
        <x:v>80370.59465550765</x:v>
      </x:c>
      <x:c r="AH34" s="48" t="n">
        <x:f>(((SQRT(((Inputs!$I$8+(((A34)+1)/2)*(Inputs!$J$8-Inputs!$I$8)))^2+Inputs!$C$6^2+((Inputs!$H$8+Inputs!$L$8*(((Inputs!$I$8+(((A34)+1)/2)*(Inputs!$J$8-Inputs!$I$8)))/Inputs!$K$8)^2))^2))-((Inputs!$H$8+Inputs!$L$8*(((Inputs!$I$8+(((A34)+1)/2)*(Inputs!$J$8-Inputs!$I$8)))/Inputs!$K$8)^2)))*1000/Inputs!$C$12)</x:f>
        <x:v>142280.43751600158</x:v>
      </x:c>
      <x:c r="AI34" s="48" t="n">
        <x:f>(((SQRT(((Inputs!$I$9+(((A34)+1)/2)*(Inputs!$J$9-Inputs!$I$9)))^2+Inputs!$C$6^2+((Inputs!$H$9+Inputs!$L$9*(((Inputs!$I$9+(((A34)+1)/2)*(Inputs!$J$9-Inputs!$I$9)))/Inputs!$K$9)^2))^2))-((Inputs!$H$9+Inputs!$L$9*(((Inputs!$I$9+(((A34)+1)/2)*(Inputs!$J$9-Inputs!$I$9)))/Inputs!$K$9)^2)))*1000/Inputs!$C$12)</x:f>
        <x:v>143100.45458612774</x:v>
      </x:c>
      <x:c r="AJ34" s="49"/>
      <x:c r="AK34" s="48" t="n">
        <x:f>A34</x:f>
        <x:v>-0.733</x:v>
      </x:c>
      <x:c r="AL34" s="48" t="n">
        <x:f>(-2*((1000*((((Inputs!$I$6+(((A34)+1)/2)*(Inputs!$J$6-Inputs!$I$6)))*Inputs!$C$11+((Inputs!$H$6+Inputs!$L$6*(((Inputs!$I$6+(((A34)+1)/2)*(Inputs!$J$6-Inputs!$I$6)))/Inputs!$K$6)^2))*((2*Inputs!$L$6*((Inputs!$I$6+(((A34)+1)/2)*(Inputs!$J$6-Inputs!$I$6)))/(Inputs!$K$6^2)*Inputs!$C$11)))/(SQRT(((Inputs!$I$6+(((A34)+1)/2)*(Inputs!$J$6-Inputs!$I$6)))^2+Inputs!$C$6^2+((Inputs!$H$6+Inputs!$L$6*(((Inputs!$I$6+(((A34)+1)/2)*(Inputs!$J$6-Inputs!$I$6)))/Inputs!$K$6)^2))^2)))))/Inputs!$C$13)</x:f>
        <x:v>328.7621078889045</x:v>
      </x:c>
      <x:c r="AM34" s="48" t="n">
        <x:f>(-2*((1000*((((Inputs!$I$7+(((A34)+1)/2)*(Inputs!$J$7-Inputs!$I$7)))*Inputs!$C$11+((Inputs!$H$7+Inputs!$L$7*(((Inputs!$I$7+(((A34)+1)/2)*(Inputs!$J$7-Inputs!$I$7)))/Inputs!$K$7)^2))*((2*Inputs!$L$7*((Inputs!$I$7+(((A34)+1)/2)*(Inputs!$J$7-Inputs!$I$7)))/(Inputs!$K$7^2)*Inputs!$C$11)))/(SQRT(((Inputs!$I$7+(((A34)+1)/2)*(Inputs!$J$7-Inputs!$I$7)))^2+Inputs!$C$6^2+((Inputs!$H$7+Inputs!$L$7*(((Inputs!$I$7+(((A34)+1)/2)*(Inputs!$J$7-Inputs!$I$7)))/Inputs!$K$7)^2))^2)))))/Inputs!$C$13)</x:f>
        <x:v>2575.779105979339</x:v>
      </x:c>
      <x:c r="AN34" s="48" t="n">
        <x:f>(-2*((1000*((((Inputs!$I$8+(((A34)+1)/2)*(Inputs!$J$8-Inputs!$I$8)))*Inputs!$C$11+((Inputs!$H$8+Inputs!$L$8*(((Inputs!$I$8+(((A34)+1)/2)*(Inputs!$J$8-Inputs!$I$8)))/Inputs!$K$8)^2))*((2*Inputs!$L$8*((Inputs!$I$8+(((A34)+1)/2)*(Inputs!$J$8-Inputs!$I$8)))/(Inputs!$K$8^2)*Inputs!$C$11)))/(SQRT(((Inputs!$I$8+(((A34)+1)/2)*(Inputs!$J$8-Inputs!$I$8)))^2+Inputs!$C$6^2+((Inputs!$H$8+Inputs!$L$8*(((Inputs!$I$8+(((A34)+1)/2)*(Inputs!$J$8-Inputs!$I$8)))/Inputs!$K$8)^2))^2)))))/Inputs!$C$13)</x:f>
        <x:v>3104.1558917312536</x:v>
      </x:c>
      <x:c r="AO34" s="48" t="n">
        <x:f>(-2*((1000*((((Inputs!$I$9+(((A34)+1)/2)*(Inputs!$J$9-Inputs!$I$9)))*Inputs!$C$11+((Inputs!$H$9+Inputs!$L$9*(((Inputs!$I$9+(((A34)+1)/2)*(Inputs!$J$9-Inputs!$I$9)))/Inputs!$K$9)^2))*((2*Inputs!$L$9*((Inputs!$I$9+(((A34)+1)/2)*(Inputs!$J$9-Inputs!$I$9)))/(Inputs!$K$9^2)*Inputs!$C$11)))/(SQRT(((Inputs!$I$9+(((A34)+1)/2)*(Inputs!$J$9-Inputs!$I$9)))^2+Inputs!$C$6^2+((Inputs!$H$9+Inputs!$L$9*(((Inputs!$I$9+(((A34)+1)/2)*(Inputs!$J$9-Inputs!$I$9)))/Inputs!$K$9)^2))^2)))))/Inputs!$C$13)</x:f>
        <x:v>3120.1257381445785</x:v>
      </x:c>
    </x:row>
    <x:row r="35">
      <x:c r="A35" s="48" t="n">
        <x:f>ROUND(-1+33*2/240,3)</x:f>
        <x:v>-0.725</x:v>
      </x:c>
      <x:c r="B35" s="48" t="n">
        <x:f>IF(OR(Inputs!$F$6=TRUE,Inputs!$F$6="TRUE",Inputs!$F$6=1),(Inputs!$H$6+Inputs!$L$6*(((Inputs!$I$6+(((A35)+1)/2)*(Inputs!$J$6-Inputs!$I$6)))/Inputs!$K$6)^2),NA())</x:f>
        <x:v>402.1025</x:v>
      </x:c>
      <x:c r="C35" s="48" t="n">
        <x:f>IF(OR(Inputs!$F$7=TRUE,Inputs!$F$7="TRUE",Inputs!$F$7=1),(Inputs!$H$7+Inputs!$L$7*(((Inputs!$I$7+(((A35)+1)/2)*(Inputs!$J$7-Inputs!$I$7)))/Inputs!$K$7)^2),NA())</x:f>
        <x:v>226.853125</x:v>
      </x:c>
      <x:c r="D35" s="48" t="n">
        <x:f>IF(OR(Inputs!$F$8=TRUE,Inputs!$F$8="TRUE",Inputs!$F$8=1),(Inputs!$H$8+Inputs!$L$8*(((Inputs!$I$8+(((A35)+1)/2)*(Inputs!$J$8-Inputs!$I$8)))/Inputs!$K$8)^2),NA())</x:f>
        <x:v>542.2281250000001</x:v>
      </x:c>
      <x:c r="E35" s="48" t="n">
        <x:f>IF(OR(Inputs!$F$9=TRUE,Inputs!$F$9="TRUE",Inputs!$F$9=1),(Inputs!$H$9+Inputs!$L$9*(((Inputs!$I$9+(((A35)+1)/2)*(Inputs!$J$9-Inputs!$I$9)))/Inputs!$K$9)^2),NA())</x:f>
        <x:v>537.484375</x:v>
      </x:c>
      <x:c r="F35" s="49"/>
      <x:c r="G35" s="48" t="n">
        <x:f>A35</x:f>
        <x:v>-0.725</x:v>
      </x:c>
      <x:c r="H35" s="48" t="n">
        <x:f>IF(OR(Inputs!$F$6=TRUE,Inputs!$F$6="TRUE",Inputs!$F$6=1),(((SQRT(((Inputs!$I$6+(((A35)+1)/2)*(Inputs!$J$6-Inputs!$I$6)))^2+Inputs!$C$6^2+((Inputs!$H$6+Inputs!$L$6*(((Inputs!$I$6+(((A35)+1)/2)*(Inputs!$J$6-Inputs!$I$6)))/Inputs!$K$6)^2))^2))-((Inputs!$H$6+Inputs!$L$6*(((Inputs!$I$6+(((A35)+1)/2)*(Inputs!$J$6-Inputs!$I$6)))/Inputs!$K$6)^2)))*1000/Inputs!$C$12),NA())</x:f>
        <x:v>1751.6970986344204</x:v>
      </x:c>
      <x:c r="I35" s="48" t="n">
        <x:f>IF(OR(Inputs!$F$7=TRUE,Inputs!$F$7="TRUE",Inputs!$F$7=1),(((SQRT(((Inputs!$I$7+(((A35)+1)/2)*(Inputs!$J$7-Inputs!$I$7)))^2+Inputs!$C$6^2+((Inputs!$H$7+Inputs!$L$7*(((Inputs!$I$7+(((A35)+1)/2)*(Inputs!$J$7-Inputs!$I$7)))/Inputs!$K$7)^2))^2))-((Inputs!$H$7+Inputs!$L$7*(((Inputs!$I$7+(((A35)+1)/2)*(Inputs!$J$7-Inputs!$I$7)))/Inputs!$K$7)^2)))*1000/Inputs!$C$12),NA())</x:f>
        <x:v>79877.84537506936</x:v>
      </x:c>
      <x:c r="J35" s="48" t="n">
        <x:f>IF(OR(Inputs!$F$8=TRUE,Inputs!$F$8="TRUE",Inputs!$F$8=1),(((SQRT(((Inputs!$I$8+(((A35)+1)/2)*(Inputs!$J$8-Inputs!$I$8)))^2+Inputs!$C$6^2+((Inputs!$H$8+Inputs!$L$8*(((Inputs!$I$8+(((A35)+1)/2)*(Inputs!$J$8-Inputs!$I$8)))/Inputs!$K$8)^2))^2))-((Inputs!$H$8+Inputs!$L$8*(((Inputs!$I$8+(((A35)+1)/2)*(Inputs!$J$8-Inputs!$I$8)))/Inputs!$K$8)^2)))*1000/Inputs!$C$12),NA())</x:f>
        <x:v>141657.20933300967</x:v>
      </x:c>
      <x:c r="K35" s="48" t="n">
        <x:f>IF(OR(Inputs!$F$9=TRUE,Inputs!$F$9="TRUE",Inputs!$F$9=1),(((SQRT(((Inputs!$I$9+(((A35)+1)/2)*(Inputs!$J$9-Inputs!$I$9)))^2+Inputs!$C$6^2+((Inputs!$H$9+Inputs!$L$9*(((Inputs!$I$9+(((A35)+1)/2)*(Inputs!$J$9-Inputs!$I$9)))/Inputs!$K$9)^2))^2))-((Inputs!$H$9+Inputs!$L$9*(((Inputs!$I$9+(((A35)+1)/2)*(Inputs!$J$9-Inputs!$I$9)))/Inputs!$K$9)^2)))*1000/Inputs!$C$12),NA())</x:f>
        <x:v>142507.40434762553</x:v>
      </x:c>
      <x:c r="L35" s="49"/>
      <x:c r="M35" s="48" t="n">
        <x:f>A35</x:f>
        <x:v>-0.725</x:v>
      </x:c>
      <x:c r="N35" s="48" t="n">
        <x:f>IF(OR(Inputs!$F$6=TRUE,Inputs!$F$6="TRUE",Inputs!$F$6=1),(-2*((1000*((((Inputs!$I$6+(((A35)+1)/2)*(Inputs!$J$6-Inputs!$I$6)))*Inputs!$C$11+((Inputs!$H$6+Inputs!$L$6*(((Inputs!$I$6+(((A35)+1)/2)*(Inputs!$J$6-Inputs!$I$6)))/Inputs!$K$6)^2))*((2*Inputs!$L$6*((Inputs!$I$6+(((A35)+1)/2)*(Inputs!$J$6-Inputs!$I$6)))/(Inputs!$K$6^2)*Inputs!$C$11)))/(SQRT(((Inputs!$I$6+(((A35)+1)/2)*(Inputs!$J$6-Inputs!$I$6)))^2+Inputs!$C$6^2+((Inputs!$H$6+Inputs!$L$6*(((Inputs!$I$6+(((A35)+1)/2)*(Inputs!$J$6-Inputs!$I$6)))/Inputs!$K$6)^2))^2)))))/Inputs!$C$13),NA())</x:f>
        <x:v>325.2348944756723</x:v>
      </x:c>
      <x:c r="O35" s="48" t="n">
        <x:f>IF(OR(Inputs!$F$7=TRUE,Inputs!$F$7="TRUE",Inputs!$F$7=1),(-2*((1000*((((Inputs!$I$7+(((A35)+1)/2)*(Inputs!$J$7-Inputs!$I$7)))*Inputs!$C$11+((Inputs!$H$7+Inputs!$L$7*(((Inputs!$I$7+(((A35)+1)/2)*(Inputs!$J$7-Inputs!$I$7)))/Inputs!$K$7)^2))*((2*Inputs!$L$7*((Inputs!$I$7+(((A35)+1)/2)*(Inputs!$J$7-Inputs!$I$7)))/(Inputs!$K$7^2)*Inputs!$C$11)))/(SQRT(((Inputs!$I$7+(((A35)+1)/2)*(Inputs!$J$7-Inputs!$I$7)))^2+Inputs!$C$6^2+((Inputs!$H$7+Inputs!$L$7*(((Inputs!$I$7+(((A35)+1)/2)*(Inputs!$J$7-Inputs!$I$7)))/Inputs!$K$7)^2))^2)))))/Inputs!$C$13),NA())</x:f>
        <x:v>2558.6903700820367</x:v>
      </x:c>
      <x:c r="P35" s="48" t="n">
        <x:f>IF(OR(Inputs!$F$8=TRUE,Inputs!$F$8="TRUE",Inputs!$F$8=1),(-2*((1000*((((Inputs!$I$8+(((A35)+1)/2)*(Inputs!$J$8-Inputs!$I$8)))*Inputs!$C$11+((Inputs!$H$8+Inputs!$L$8*(((Inputs!$I$8+(((A35)+1)/2)*(Inputs!$J$8-Inputs!$I$8)))/Inputs!$K$8)^2))*((2*Inputs!$L$8*((Inputs!$I$8+(((A35)+1)/2)*(Inputs!$J$8-Inputs!$I$8)))/(Inputs!$K$8^2)*Inputs!$C$11)))/(SQRT(((Inputs!$I$8+(((A35)+1)/2)*(Inputs!$J$8-Inputs!$I$8)))^2+Inputs!$C$6^2+((Inputs!$H$8+Inputs!$L$8*(((Inputs!$I$8+(((A35)+1)/2)*(Inputs!$J$8-Inputs!$I$8)))/Inputs!$K$8)^2))^2)))))/Inputs!$C$13),NA())</x:f>
        <x:v>3078.415487712455</x:v>
      </x:c>
      <x:c r="Q35" s="48" t="n">
        <x:f>IF(OR(Inputs!$F$9=TRUE,Inputs!$F$9="TRUE",Inputs!$F$9=1),(-2*((1000*((((Inputs!$I$9+(((A35)+1)/2)*(Inputs!$J$9-Inputs!$I$9)))*Inputs!$C$11+((Inputs!$H$9+Inputs!$L$9*(((Inputs!$I$9+(((A35)+1)/2)*(Inputs!$J$9-Inputs!$I$9)))/Inputs!$K$9)^2))*((2*Inputs!$L$9*((Inputs!$I$9+(((A35)+1)/2)*(Inputs!$J$9-Inputs!$I$9)))/(Inputs!$K$9^2)*Inputs!$C$11)))/(SQRT(((Inputs!$I$9+(((A35)+1)/2)*(Inputs!$J$9-Inputs!$I$9)))^2+Inputs!$C$6^2+((Inputs!$H$9+Inputs!$L$9*(((Inputs!$I$9+(((A35)+1)/2)*(Inputs!$J$9-Inputs!$I$9)))/Inputs!$K$9)^2))^2)))))/Inputs!$C$13),NA())</x:f>
        <x:v>3093.9071424175872</x:v>
      </x:c>
      <x:c r="R35" s="49"/>
      <x:c r="S35" s="48" t="n">
        <x:f>A35</x:f>
        <x:v>-0.725</x:v>
      </x:c>
      <x:c r="T35" s="48" t="n">
        <x:f>(Inputs!$I$6+(((A35)+1)/2)*(Inputs!$J$6-Inputs!$I$6))</x:f>
        <x:v>-43.5</x:v>
      </x:c>
      <x:c r="U35" s="48" t="n">
        <x:f>(Inputs!$I$7+(((A35)+1)/2)*(Inputs!$J$7-Inputs!$I$7))</x:f>
        <x:v>-290</x:v>
      </x:c>
      <x:c r="V35" s="48" t="n">
        <x:f>(Inputs!$I$8+(((A35)+1)/2)*(Inputs!$J$8-Inputs!$I$8))</x:f>
        <x:v>-580</x:v>
      </x:c>
      <x:c r="W35" s="48" t="n">
        <x:f>(Inputs!$I$9+(((A35)+1)/2)*(Inputs!$J$9-Inputs!$I$9))</x:f>
        <x:v>-580</x:v>
      </x:c>
      <x:c r="X35" s="49"/>
      <x:c r="Y35" s="48" t="n">
        <x:f>A35</x:f>
        <x:v>-0.725</x:v>
      </x:c>
      <x:c r="Z35" s="48" t="n">
        <x:f>(Inputs!$H$6+Inputs!$L$6*(((Inputs!$I$6+(((A35)+1)/2)*(Inputs!$J$6-Inputs!$I$6)))/Inputs!$K$6)^2)</x:f>
        <x:v>402.1025</x:v>
      </x:c>
      <x:c r="AA35" s="48" t="n">
        <x:f>(Inputs!$H$7+Inputs!$L$7*(((Inputs!$I$7+(((A35)+1)/2)*(Inputs!$J$7-Inputs!$I$7)))/Inputs!$K$7)^2)</x:f>
        <x:v>226.853125</x:v>
      </x:c>
      <x:c r="AB35" s="48" t="n">
        <x:f>(Inputs!$H$8+Inputs!$L$8*(((Inputs!$I$8+(((A35)+1)/2)*(Inputs!$J$8-Inputs!$I$8)))/Inputs!$K$8)^2)</x:f>
        <x:v>542.2281250000001</x:v>
      </x:c>
      <x:c r="AC35" s="48" t="n">
        <x:f>(Inputs!$H$9+Inputs!$L$9*(((Inputs!$I$9+(((A35)+1)/2)*(Inputs!$J$9-Inputs!$I$9)))/Inputs!$K$9)^2)</x:f>
        <x:v>537.484375</x:v>
      </x:c>
      <x:c r="AD35" s="49"/>
      <x:c r="AE35" s="48" t="n">
        <x:f>A35</x:f>
        <x:v>-0.725</x:v>
      </x:c>
      <x:c r="AF35" s="48" t="n">
        <x:f>(((SQRT(((Inputs!$I$6+(((A35)+1)/2)*(Inputs!$J$6-Inputs!$I$6)))^2+Inputs!$C$6^2+((Inputs!$H$6+Inputs!$L$6*(((Inputs!$I$6+(((A35)+1)/2)*(Inputs!$J$6-Inputs!$I$6)))/Inputs!$K$6)^2))^2))-((Inputs!$H$6+Inputs!$L$6*(((Inputs!$I$6+(((A35)+1)/2)*(Inputs!$J$6-Inputs!$I$6)))/Inputs!$K$6)^2)))*1000/Inputs!$C$12)</x:f>
        <x:v>1751.6970986344204</x:v>
      </x:c>
      <x:c r="AG35" s="48" t="n">
        <x:f>(((SQRT(((Inputs!$I$7+(((A35)+1)/2)*(Inputs!$J$7-Inputs!$I$7)))^2+Inputs!$C$6^2+((Inputs!$H$7+Inputs!$L$7*(((Inputs!$I$7+(((A35)+1)/2)*(Inputs!$J$7-Inputs!$I$7)))/Inputs!$K$7)^2))^2))-((Inputs!$H$7+Inputs!$L$7*(((Inputs!$I$7+(((A35)+1)/2)*(Inputs!$J$7-Inputs!$I$7)))/Inputs!$K$7)^2)))*1000/Inputs!$C$12)</x:f>
        <x:v>79877.84537506936</x:v>
      </x:c>
      <x:c r="AH35" s="48" t="n">
        <x:f>(((SQRT(((Inputs!$I$8+(((A35)+1)/2)*(Inputs!$J$8-Inputs!$I$8)))^2+Inputs!$C$6^2+((Inputs!$H$8+Inputs!$L$8*(((Inputs!$I$8+(((A35)+1)/2)*(Inputs!$J$8-Inputs!$I$8)))/Inputs!$K$8)^2))^2))-((Inputs!$H$8+Inputs!$L$8*(((Inputs!$I$8+(((A35)+1)/2)*(Inputs!$J$8-Inputs!$I$8)))/Inputs!$K$8)^2)))*1000/Inputs!$C$12)</x:f>
        <x:v>141657.20933300967</x:v>
      </x:c>
      <x:c r="AI35" s="48" t="n">
        <x:f>(((SQRT(((Inputs!$I$9+(((A35)+1)/2)*(Inputs!$J$9-Inputs!$I$9)))^2+Inputs!$C$6^2+((Inputs!$H$9+Inputs!$L$9*(((Inputs!$I$9+(((A35)+1)/2)*(Inputs!$J$9-Inputs!$I$9)))/Inputs!$K$9)^2))^2))-((Inputs!$H$9+Inputs!$L$9*(((Inputs!$I$9+(((A35)+1)/2)*(Inputs!$J$9-Inputs!$I$9)))/Inputs!$K$9)^2)))*1000/Inputs!$C$12)</x:f>
        <x:v>142507.40434762553</x:v>
      </x:c>
      <x:c r="AJ35" s="49"/>
      <x:c r="AK35" s="48" t="n">
        <x:f>A35</x:f>
        <x:v>-0.725</x:v>
      </x:c>
      <x:c r="AL35" s="48" t="n">
        <x:f>(-2*((1000*((((Inputs!$I$6+(((A35)+1)/2)*(Inputs!$J$6-Inputs!$I$6)))*Inputs!$C$11+((Inputs!$H$6+Inputs!$L$6*(((Inputs!$I$6+(((A35)+1)/2)*(Inputs!$J$6-Inputs!$I$6)))/Inputs!$K$6)^2))*((2*Inputs!$L$6*((Inputs!$I$6+(((A35)+1)/2)*(Inputs!$J$6-Inputs!$I$6)))/(Inputs!$K$6^2)*Inputs!$C$11)))/(SQRT(((Inputs!$I$6+(((A35)+1)/2)*(Inputs!$J$6-Inputs!$I$6)))^2+Inputs!$C$6^2+((Inputs!$H$6+Inputs!$L$6*(((Inputs!$I$6+(((A35)+1)/2)*(Inputs!$J$6-Inputs!$I$6)))/Inputs!$K$6)^2))^2)))))/Inputs!$C$13)</x:f>
        <x:v>325.2348944756723</x:v>
      </x:c>
      <x:c r="AM35" s="48" t="n">
        <x:f>(-2*((1000*((((Inputs!$I$7+(((A35)+1)/2)*(Inputs!$J$7-Inputs!$I$7)))*Inputs!$C$11+((Inputs!$H$7+Inputs!$L$7*(((Inputs!$I$7+(((A35)+1)/2)*(Inputs!$J$7-Inputs!$I$7)))/Inputs!$K$7)^2))*((2*Inputs!$L$7*((Inputs!$I$7+(((A35)+1)/2)*(Inputs!$J$7-Inputs!$I$7)))/(Inputs!$K$7^2)*Inputs!$C$11)))/(SQRT(((Inputs!$I$7+(((A35)+1)/2)*(Inputs!$J$7-Inputs!$I$7)))^2+Inputs!$C$6^2+((Inputs!$H$7+Inputs!$L$7*(((Inputs!$I$7+(((A35)+1)/2)*(Inputs!$J$7-Inputs!$I$7)))/Inputs!$K$7)^2))^2)))))/Inputs!$C$13)</x:f>
        <x:v>2558.6903700820367</x:v>
      </x:c>
      <x:c r="AN35" s="48" t="n">
        <x:f>(-2*((1000*((((Inputs!$I$8+(((A35)+1)/2)*(Inputs!$J$8-Inputs!$I$8)))*Inputs!$C$11+((Inputs!$H$8+Inputs!$L$8*(((Inputs!$I$8+(((A35)+1)/2)*(Inputs!$J$8-Inputs!$I$8)))/Inputs!$K$8)^2))*((2*Inputs!$L$8*((Inputs!$I$8+(((A35)+1)/2)*(Inputs!$J$8-Inputs!$I$8)))/(Inputs!$K$8^2)*Inputs!$C$11)))/(SQRT(((Inputs!$I$8+(((A35)+1)/2)*(Inputs!$J$8-Inputs!$I$8)))^2+Inputs!$C$6^2+((Inputs!$H$8+Inputs!$L$8*(((Inputs!$I$8+(((A35)+1)/2)*(Inputs!$J$8-Inputs!$I$8)))/Inputs!$K$8)^2))^2)))))/Inputs!$C$13)</x:f>
        <x:v>3078.415487712455</x:v>
      </x:c>
      <x:c r="AO35" s="48" t="n">
        <x:f>(-2*((1000*((((Inputs!$I$9+(((A35)+1)/2)*(Inputs!$J$9-Inputs!$I$9)))*Inputs!$C$11+((Inputs!$H$9+Inputs!$L$9*(((Inputs!$I$9+(((A35)+1)/2)*(Inputs!$J$9-Inputs!$I$9)))/Inputs!$K$9)^2))*((2*Inputs!$L$9*((Inputs!$I$9+(((A35)+1)/2)*(Inputs!$J$9-Inputs!$I$9)))/(Inputs!$K$9^2)*Inputs!$C$11)))/(SQRT(((Inputs!$I$9+(((A35)+1)/2)*(Inputs!$J$9-Inputs!$I$9)))^2+Inputs!$C$6^2+((Inputs!$H$9+Inputs!$L$9*(((Inputs!$I$9+(((A35)+1)/2)*(Inputs!$J$9-Inputs!$I$9)))/Inputs!$K$9)^2))^2)))))/Inputs!$C$13)</x:f>
        <x:v>3093.9071424175872</x:v>
      </x:c>
    </x:row>
    <x:row r="36">
      <x:c r="A36" s="48" t="n">
        <x:f>ROUND(-1+34*2/240,3)</x:f>
        <x:v>-0.717</x:v>
      </x:c>
      <x:c r="B36" s="48" t="n">
        <x:f>IF(OR(Inputs!$F$6=TRUE,Inputs!$F$6="TRUE",Inputs!$F$6=1),(Inputs!$H$6+Inputs!$L$6*(((Inputs!$I$6+(((A36)+1)/2)*(Inputs!$J$6-Inputs!$I$6)))/Inputs!$K$6)^2),NA())</x:f>
        <x:v>402.056356</x:v>
      </x:c>
      <x:c r="C36" s="48" t="n">
        <x:f>IF(OR(Inputs!$F$7=TRUE,Inputs!$F$7="TRUE",Inputs!$F$7=1),(Inputs!$H$7+Inputs!$L$7*(((Inputs!$I$7+(((A36)+1)/2)*(Inputs!$J$7-Inputs!$I$7)))/Inputs!$K$7)^2),NA())</x:f>
        <x:v>222.64248499999994</x:v>
      </x:c>
      <x:c r="D36" s="48" t="n">
        <x:f>IF(OR(Inputs!$F$8=TRUE,Inputs!$F$8="TRUE",Inputs!$F$8=1),(Inputs!$H$8+Inputs!$L$8*(((Inputs!$I$8+(((A36)+1)/2)*(Inputs!$J$8-Inputs!$I$8)))/Inputs!$K$8)^2),NA())</x:f>
        <x:v>531.0958849999997</x:v>
      </x:c>
      <x:c r="E36" s="48" t="n">
        <x:f>IF(OR(Inputs!$F$9=TRUE,Inputs!$F$9="TRUE",Inputs!$F$9=1),(Inputs!$H$9+Inputs!$L$9*(((Inputs!$I$9+(((A36)+1)/2)*(Inputs!$J$9-Inputs!$I$9)))/Inputs!$K$9)^2),NA())</x:f>
        <x:v>526.2367749999999</x:v>
      </x:c>
      <x:c r="F36" s="49"/>
      <x:c r="G36" s="48" t="n">
        <x:f>A36</x:f>
        <x:v>-0.717</x:v>
      </x:c>
      <x:c r="H36" s="48" t="n">
        <x:f>IF(OR(Inputs!$F$6=TRUE,Inputs!$F$6="TRUE",Inputs!$F$6=1),(((SQRT(((Inputs!$I$6+(((A36)+1)/2)*(Inputs!$J$6-Inputs!$I$6)))^2+Inputs!$C$6^2+((Inputs!$H$6+Inputs!$L$6*(((Inputs!$I$6+(((A36)+1)/2)*(Inputs!$J$6-Inputs!$I$6)))/Inputs!$K$6)^2))^2))-((Inputs!$H$6+Inputs!$L$6*(((Inputs!$I$6+(((A36)+1)/2)*(Inputs!$J$6-Inputs!$I$6)))/Inputs!$K$6)^2)))*1000/Inputs!$C$12),NA())</x:f>
        <x:v>1723.1031993090069</x:v>
      </x:c>
      <x:c r="I36" s="48" t="n">
        <x:f>IF(OR(Inputs!$F$7=TRUE,Inputs!$F$7="TRUE",Inputs!$F$7=1),(((SQRT(((Inputs!$I$7+(((A36)+1)/2)*(Inputs!$J$7-Inputs!$I$7)))^2+Inputs!$C$6^2+((Inputs!$H$7+Inputs!$L$7*(((Inputs!$I$7+(((A36)+1)/2)*(Inputs!$J$7-Inputs!$I$7)))/Inputs!$K$7)^2))^2))-((Inputs!$H$7+Inputs!$L$7*(((Inputs!$I$7+(((A36)+1)/2)*(Inputs!$J$7-Inputs!$I$7)))/Inputs!$K$7)^2)))*1000/Inputs!$C$12),NA())</x:f>
        <x:v>79377.99640641757</x:v>
      </x:c>
      <x:c r="J36" s="48" t="n">
        <x:f>IF(OR(Inputs!$F$8=TRUE,Inputs!$F$8="TRUE",Inputs!$F$8=1),(((SQRT(((Inputs!$I$8+(((A36)+1)/2)*(Inputs!$J$8-Inputs!$I$8)))^2+Inputs!$C$6^2+((Inputs!$H$8+Inputs!$L$8*(((Inputs!$I$8+(((A36)+1)/2)*(Inputs!$J$8-Inputs!$I$8)))/Inputs!$K$8)^2))^2))-((Inputs!$H$8+Inputs!$L$8*(((Inputs!$I$8+(((A36)+1)/2)*(Inputs!$J$8-Inputs!$I$8)))/Inputs!$K$8)^2)))*1000/Inputs!$C$12),NA())</x:f>
        <x:v>141022.30723672023</x:v>
      </x:c>
      <x:c r="K36" s="48" t="n">
        <x:f>IF(OR(Inputs!$F$9=TRUE,Inputs!$F$9="TRUE",Inputs!$F$9=1),(((SQRT(((Inputs!$I$9+(((A36)+1)/2)*(Inputs!$J$9-Inputs!$I$9)))^2+Inputs!$C$6^2+((Inputs!$H$9+Inputs!$L$9*(((Inputs!$I$9+(((A36)+1)/2)*(Inputs!$J$9-Inputs!$I$9)))/Inputs!$K$9)^2))^2))-((Inputs!$H$9+Inputs!$L$9*(((Inputs!$I$9+(((A36)+1)/2)*(Inputs!$J$9-Inputs!$I$9)))/Inputs!$K$9)^2)))*1000/Inputs!$C$12),NA())</x:f>
        <x:v>141903.03652036257</x:v>
      </x:c>
      <x:c r="L36" s="49"/>
      <x:c r="M36" s="48" t="n">
        <x:f>A36</x:f>
        <x:v>-0.717</x:v>
      </x:c>
      <x:c r="N36" s="48" t="n">
        <x:f>IF(OR(Inputs!$F$6=TRUE,Inputs!$F$6="TRUE",Inputs!$F$6=1),(-2*((1000*((((Inputs!$I$6+(((A36)+1)/2)*(Inputs!$J$6-Inputs!$I$6)))*Inputs!$C$11+((Inputs!$H$6+Inputs!$L$6*(((Inputs!$I$6+(((A36)+1)/2)*(Inputs!$J$6-Inputs!$I$6)))/Inputs!$K$6)^2))*((2*Inputs!$L$6*((Inputs!$I$6+(((A36)+1)/2)*(Inputs!$J$6-Inputs!$I$6)))/(Inputs!$K$6^2)*Inputs!$C$11)))/(SQRT(((Inputs!$I$6+(((A36)+1)/2)*(Inputs!$J$6-Inputs!$I$6)))^2+Inputs!$C$6^2+((Inputs!$H$6+Inputs!$L$6*(((Inputs!$I$6+(((A36)+1)/2)*(Inputs!$J$6-Inputs!$I$6)))/Inputs!$K$6)^2))^2)))))/Inputs!$C$13),NA())</x:f>
        <x:v>321.7057187402572</x:v>
      </x:c>
      <x:c r="O36" s="48" t="n">
        <x:f>IF(OR(Inputs!$F$7=TRUE,Inputs!$F$7="TRUE",Inputs!$F$7=1),(-2*((1000*((((Inputs!$I$7+(((A36)+1)/2)*(Inputs!$J$7-Inputs!$I$7)))*Inputs!$C$11+((Inputs!$H$7+Inputs!$L$7*(((Inputs!$I$7+(((A36)+1)/2)*(Inputs!$J$7-Inputs!$I$7)))/Inputs!$K$7)^2))*((2*Inputs!$L$7*((Inputs!$I$7+(((A36)+1)/2)*(Inputs!$J$7-Inputs!$I$7)))/(Inputs!$K$7^2)*Inputs!$C$11)))/(SQRT(((Inputs!$I$7+(((A36)+1)/2)*(Inputs!$J$7-Inputs!$I$7)))^2+Inputs!$C$6^2+((Inputs!$H$7+Inputs!$L$7*(((Inputs!$I$7+(((A36)+1)/2)*(Inputs!$J$7-Inputs!$I$7)))/Inputs!$K$7)^2))^2)))))/Inputs!$C$13),NA())</x:f>
        <x:v>2541.696738434385</x:v>
      </x:c>
      <x:c r="P36" s="48" t="n">
        <x:f>IF(OR(Inputs!$F$8=TRUE,Inputs!$F$8="TRUE",Inputs!$F$8=1),(-2*((1000*((((Inputs!$I$8+(((A36)+1)/2)*(Inputs!$J$8-Inputs!$I$8)))*Inputs!$C$11+((Inputs!$H$8+Inputs!$L$8*(((Inputs!$I$8+(((A36)+1)/2)*(Inputs!$J$8-Inputs!$I$8)))/Inputs!$K$8)^2))*((2*Inputs!$L$8*((Inputs!$I$8+(((A36)+1)/2)*(Inputs!$J$8-Inputs!$I$8)))/(Inputs!$K$8^2)*Inputs!$C$11)))/(SQRT(((Inputs!$I$8+(((A36)+1)/2)*(Inputs!$J$8-Inputs!$I$8)))^2+Inputs!$C$6^2+((Inputs!$H$8+Inputs!$L$8*(((Inputs!$I$8+(((A36)+1)/2)*(Inputs!$J$8-Inputs!$I$8)))/Inputs!$K$8)^2))^2)))))/Inputs!$C$13),NA())</x:f>
        <x:v>3052.786081786586</x:v>
      </x:c>
      <x:c r="Q36" s="48" t="n">
        <x:f>IF(OR(Inputs!$F$9=TRUE,Inputs!$F$9="TRUE",Inputs!$F$9=1),(-2*((1000*((((Inputs!$I$9+(((A36)+1)/2)*(Inputs!$J$9-Inputs!$I$9)))*Inputs!$C$11+((Inputs!$H$9+Inputs!$L$9*(((Inputs!$I$9+(((A36)+1)/2)*(Inputs!$J$9-Inputs!$I$9)))/Inputs!$K$9)^2))*((2*Inputs!$L$9*((Inputs!$I$9+(((A36)+1)/2)*(Inputs!$J$9-Inputs!$I$9)))/(Inputs!$K$9^2)*Inputs!$C$11)))/(SQRT(((Inputs!$I$9+(((A36)+1)/2)*(Inputs!$J$9-Inputs!$I$9)))^2+Inputs!$C$6^2+((Inputs!$H$9+Inputs!$L$9*(((Inputs!$I$9+(((A36)+1)/2)*(Inputs!$J$9-Inputs!$I$9)))/Inputs!$K$9)^2))^2)))))/Inputs!$C$13),NA())</x:f>
        <x:v>3067.79881168217</x:v>
      </x:c>
      <x:c r="R36" s="49"/>
      <x:c r="S36" s="48" t="n">
        <x:f>A36</x:f>
        <x:v>-0.717</x:v>
      </x:c>
      <x:c r="T36" s="48" t="n">
        <x:f>(Inputs!$I$6+(((A36)+1)/2)*(Inputs!$J$6-Inputs!$I$6))</x:f>
        <x:v>-43.019999999999996</x:v>
      </x:c>
      <x:c r="U36" s="48" t="n">
        <x:f>(Inputs!$I$7+(((A36)+1)/2)*(Inputs!$J$7-Inputs!$I$7))</x:f>
        <x:v>-286.79999999999995</x:v>
      </x:c>
      <x:c r="V36" s="48" t="n">
        <x:f>(Inputs!$I$8+(((A36)+1)/2)*(Inputs!$J$8-Inputs!$I$8))</x:f>
        <x:v>-573.5999999999999</x:v>
      </x:c>
      <x:c r="W36" s="48" t="n">
        <x:f>(Inputs!$I$9+(((A36)+1)/2)*(Inputs!$J$9-Inputs!$I$9))</x:f>
        <x:v>-573.5999999999999</x:v>
      </x:c>
      <x:c r="X36" s="49"/>
      <x:c r="Y36" s="48" t="n">
        <x:f>A36</x:f>
        <x:v>-0.717</x:v>
      </x:c>
      <x:c r="Z36" s="48" t="n">
        <x:f>(Inputs!$H$6+Inputs!$L$6*(((Inputs!$I$6+(((A36)+1)/2)*(Inputs!$J$6-Inputs!$I$6)))/Inputs!$K$6)^2)</x:f>
        <x:v>402.056356</x:v>
      </x:c>
      <x:c r="AA36" s="48" t="n">
        <x:f>(Inputs!$H$7+Inputs!$L$7*(((Inputs!$I$7+(((A36)+1)/2)*(Inputs!$J$7-Inputs!$I$7)))/Inputs!$K$7)^2)</x:f>
        <x:v>222.64248499999994</x:v>
      </x:c>
      <x:c r="AB36" s="48" t="n">
        <x:f>(Inputs!$H$8+Inputs!$L$8*(((Inputs!$I$8+(((A36)+1)/2)*(Inputs!$J$8-Inputs!$I$8)))/Inputs!$K$8)^2)</x:f>
        <x:v>531.0958849999997</x:v>
      </x:c>
      <x:c r="AC36" s="48" t="n">
        <x:f>(Inputs!$H$9+Inputs!$L$9*(((Inputs!$I$9+(((A36)+1)/2)*(Inputs!$J$9-Inputs!$I$9)))/Inputs!$K$9)^2)</x:f>
        <x:v>526.2367749999999</x:v>
      </x:c>
      <x:c r="AD36" s="49"/>
      <x:c r="AE36" s="48" t="n">
        <x:f>A36</x:f>
        <x:v>-0.717</x:v>
      </x:c>
      <x:c r="AF36" s="48" t="n">
        <x:f>(((SQRT(((Inputs!$I$6+(((A36)+1)/2)*(Inputs!$J$6-Inputs!$I$6)))^2+Inputs!$C$6^2+((Inputs!$H$6+Inputs!$L$6*(((Inputs!$I$6+(((A36)+1)/2)*(Inputs!$J$6-Inputs!$I$6)))/Inputs!$K$6)^2))^2))-((Inputs!$H$6+Inputs!$L$6*(((Inputs!$I$6+(((A36)+1)/2)*(Inputs!$J$6-Inputs!$I$6)))/Inputs!$K$6)^2)))*1000/Inputs!$C$12)</x:f>
        <x:v>1723.1031993090069</x:v>
      </x:c>
      <x:c r="AG36" s="48" t="n">
        <x:f>(((SQRT(((Inputs!$I$7+(((A36)+1)/2)*(Inputs!$J$7-Inputs!$I$7)))^2+Inputs!$C$6^2+((Inputs!$H$7+Inputs!$L$7*(((Inputs!$I$7+(((A36)+1)/2)*(Inputs!$J$7-Inputs!$I$7)))/Inputs!$K$7)^2))^2))-((Inputs!$H$7+Inputs!$L$7*(((Inputs!$I$7+(((A36)+1)/2)*(Inputs!$J$7-Inputs!$I$7)))/Inputs!$K$7)^2)))*1000/Inputs!$C$12)</x:f>
        <x:v>79377.99640641757</x:v>
      </x:c>
      <x:c r="AH36" s="48" t="n">
        <x:f>(((SQRT(((Inputs!$I$8+(((A36)+1)/2)*(Inputs!$J$8-Inputs!$I$8)))^2+Inputs!$C$6^2+((Inputs!$H$8+Inputs!$L$8*(((Inputs!$I$8+(((A36)+1)/2)*(Inputs!$J$8-Inputs!$I$8)))/Inputs!$K$8)^2))^2))-((Inputs!$H$8+Inputs!$L$8*(((Inputs!$I$8+(((A36)+1)/2)*(Inputs!$J$8-Inputs!$I$8)))/Inputs!$K$8)^2)))*1000/Inputs!$C$12)</x:f>
        <x:v>141022.30723672023</x:v>
      </x:c>
      <x:c r="AI36" s="48" t="n">
        <x:f>(((SQRT(((Inputs!$I$9+(((A36)+1)/2)*(Inputs!$J$9-Inputs!$I$9)))^2+Inputs!$C$6^2+((Inputs!$H$9+Inputs!$L$9*(((Inputs!$I$9+(((A36)+1)/2)*(Inputs!$J$9-Inputs!$I$9)))/Inputs!$K$9)^2))^2))-((Inputs!$H$9+Inputs!$L$9*(((Inputs!$I$9+(((A36)+1)/2)*(Inputs!$J$9-Inputs!$I$9)))/Inputs!$K$9)^2)))*1000/Inputs!$C$12)</x:f>
        <x:v>141903.03652036257</x:v>
      </x:c>
      <x:c r="AJ36" s="49"/>
      <x:c r="AK36" s="48" t="n">
        <x:f>A36</x:f>
        <x:v>-0.717</x:v>
      </x:c>
      <x:c r="AL36" s="48" t="n">
        <x:f>(-2*((1000*((((Inputs!$I$6+(((A36)+1)/2)*(Inputs!$J$6-Inputs!$I$6)))*Inputs!$C$11+((Inputs!$H$6+Inputs!$L$6*(((Inputs!$I$6+(((A36)+1)/2)*(Inputs!$J$6-Inputs!$I$6)))/Inputs!$K$6)^2))*((2*Inputs!$L$6*((Inputs!$I$6+(((A36)+1)/2)*(Inputs!$J$6-Inputs!$I$6)))/(Inputs!$K$6^2)*Inputs!$C$11)))/(SQRT(((Inputs!$I$6+(((A36)+1)/2)*(Inputs!$J$6-Inputs!$I$6)))^2+Inputs!$C$6^2+((Inputs!$H$6+Inputs!$L$6*(((Inputs!$I$6+(((A36)+1)/2)*(Inputs!$J$6-Inputs!$I$6)))/Inputs!$K$6)^2))^2)))))/Inputs!$C$13)</x:f>
        <x:v>321.7057187402572</x:v>
      </x:c>
      <x:c r="AM36" s="48" t="n">
        <x:f>(-2*((1000*((((Inputs!$I$7+(((A36)+1)/2)*(Inputs!$J$7-Inputs!$I$7)))*Inputs!$C$11+((Inputs!$H$7+Inputs!$L$7*(((Inputs!$I$7+(((A36)+1)/2)*(Inputs!$J$7-Inputs!$I$7)))/Inputs!$K$7)^2))*((2*Inputs!$L$7*((Inputs!$I$7+(((A36)+1)/2)*(Inputs!$J$7-Inputs!$I$7)))/(Inputs!$K$7^2)*Inputs!$C$11)))/(SQRT(((Inputs!$I$7+(((A36)+1)/2)*(Inputs!$J$7-Inputs!$I$7)))^2+Inputs!$C$6^2+((Inputs!$H$7+Inputs!$L$7*(((Inputs!$I$7+(((A36)+1)/2)*(Inputs!$J$7-Inputs!$I$7)))/Inputs!$K$7)^2))^2)))))/Inputs!$C$13)</x:f>
        <x:v>2541.696738434385</x:v>
      </x:c>
      <x:c r="AN36" s="48" t="n">
        <x:f>(-2*((1000*((((Inputs!$I$8+(((A36)+1)/2)*(Inputs!$J$8-Inputs!$I$8)))*Inputs!$C$11+((Inputs!$H$8+Inputs!$L$8*(((Inputs!$I$8+(((A36)+1)/2)*(Inputs!$J$8-Inputs!$I$8)))/Inputs!$K$8)^2))*((2*Inputs!$L$8*((Inputs!$I$8+(((A36)+1)/2)*(Inputs!$J$8-Inputs!$I$8)))/(Inputs!$K$8^2)*Inputs!$C$11)))/(SQRT(((Inputs!$I$8+(((A36)+1)/2)*(Inputs!$J$8-Inputs!$I$8)))^2+Inputs!$C$6^2+((Inputs!$H$8+Inputs!$L$8*(((Inputs!$I$8+(((A36)+1)/2)*(Inputs!$J$8-Inputs!$I$8)))/Inputs!$K$8)^2))^2)))))/Inputs!$C$13)</x:f>
        <x:v>3052.786081786586</x:v>
      </x:c>
      <x:c r="AO36" s="48" t="n">
        <x:f>(-2*((1000*((((Inputs!$I$9+(((A36)+1)/2)*(Inputs!$J$9-Inputs!$I$9)))*Inputs!$C$11+((Inputs!$H$9+Inputs!$L$9*(((Inputs!$I$9+(((A36)+1)/2)*(Inputs!$J$9-Inputs!$I$9)))/Inputs!$K$9)^2))*((2*Inputs!$L$9*((Inputs!$I$9+(((A36)+1)/2)*(Inputs!$J$9-Inputs!$I$9)))/(Inputs!$K$9^2)*Inputs!$C$11)))/(SQRT(((Inputs!$I$9+(((A36)+1)/2)*(Inputs!$J$9-Inputs!$I$9)))^2+Inputs!$C$6^2+((Inputs!$H$9+Inputs!$L$9*(((Inputs!$I$9+(((A36)+1)/2)*(Inputs!$J$9-Inputs!$I$9)))/Inputs!$K$9)^2))^2)))))/Inputs!$C$13)</x:f>
        <x:v>3067.79881168217</x:v>
      </x:c>
    </x:row>
    <x:row r="37">
      <x:c r="A37" s="48" t="n">
        <x:f>ROUND(-1+35*2/240,3)</x:f>
        <x:v>-0.708</x:v>
      </x:c>
      <x:c r="B37" s="48" t="n">
        <x:f>IF(OR(Inputs!$F$6=TRUE,Inputs!$F$6="TRUE",Inputs!$F$6=1),(Inputs!$H$6+Inputs!$L$6*(((Inputs!$I$6+(((A37)+1)/2)*(Inputs!$J$6-Inputs!$I$6)))/Inputs!$K$6)^2),NA())</x:f>
        <x:v>402.005056</x:v>
      </x:c>
      <x:c r="C37" s="48" t="n">
        <x:f>IF(OR(Inputs!$F$7=TRUE,Inputs!$F$7="TRUE",Inputs!$F$7=1),(Inputs!$H$7+Inputs!$L$7*(((Inputs!$I$7+(((A37)+1)/2)*(Inputs!$J$7-Inputs!$I$7)))/Inputs!$K$7)^2),NA())</x:f>
        <x:v>217.96135999999998</x:v>
      </x:c>
      <x:c r="D37" s="48" t="n">
        <x:f>IF(OR(Inputs!$F$8=TRUE,Inputs!$F$8="TRUE",Inputs!$F$8=1),(Inputs!$H$8+Inputs!$L$8*(((Inputs!$I$8+(((A37)+1)/2)*(Inputs!$J$8-Inputs!$I$8)))/Inputs!$K$8)^2),NA())</x:f>
        <x:v>518.71976</x:v>
      </x:c>
      <x:c r="E37" s="48" t="n">
        <x:f>IF(OR(Inputs!$F$9=TRUE,Inputs!$F$9="TRUE",Inputs!$F$9=1),(Inputs!$H$9+Inputs!$L$9*(((Inputs!$I$9+(((A37)+1)/2)*(Inputs!$J$9-Inputs!$I$9)))/Inputs!$K$9)^2),NA())</x:f>
        <x:v>513.7323999999999</x:v>
      </x:c>
      <x:c r="F37" s="49"/>
      <x:c r="G37" s="48" t="n">
        <x:f>A37</x:f>
        <x:v>-0.708</x:v>
      </x:c>
      <x:c r="H37" s="48" t="n">
        <x:f>IF(OR(Inputs!$F$6=TRUE,Inputs!$F$6="TRUE",Inputs!$F$6=1),(((SQRT(((Inputs!$I$6+(((A37)+1)/2)*(Inputs!$J$6-Inputs!$I$6)))^2+Inputs!$C$6^2+((Inputs!$H$6+Inputs!$L$6*(((Inputs!$I$6+(((A37)+1)/2)*(Inputs!$J$6-Inputs!$I$6)))/Inputs!$K$6)^2))^2))-((Inputs!$H$6+Inputs!$L$6*(((Inputs!$I$6+(((A37)+1)/2)*(Inputs!$J$6-Inputs!$I$6)))/Inputs!$K$6)^2)))*1000/Inputs!$C$12),NA())</x:f>
        <x:v>1691.3024323785614</x:v>
      </x:c>
      <x:c r="I37" s="48" t="n">
        <x:f>IF(OR(Inputs!$F$7=TRUE,Inputs!$F$7="TRUE",Inputs!$F$7=1),(((SQRT(((Inputs!$I$7+(((A37)+1)/2)*(Inputs!$J$7-Inputs!$I$7)))^2+Inputs!$C$6^2+((Inputs!$H$7+Inputs!$L$7*(((Inputs!$I$7+(((A37)+1)/2)*(Inputs!$J$7-Inputs!$I$7)))/Inputs!$K$7)^2))^2))-((Inputs!$H$7+Inputs!$L$7*(((Inputs!$I$7+(((A37)+1)/2)*(Inputs!$J$7-Inputs!$I$7)))/Inputs!$K$7)^2)))*1000/Inputs!$C$12),NA())</x:f>
        <x:v>78807.04608598979</x:v>
      </x:c>
      <x:c r="J37" s="48" t="n">
        <x:f>IF(OR(Inputs!$F$8=TRUE,Inputs!$F$8="TRUE",Inputs!$F$8=1),(((SQRT(((Inputs!$I$8+(((A37)+1)/2)*(Inputs!$J$8-Inputs!$I$8)))^2+Inputs!$C$6^2+((Inputs!$H$8+Inputs!$L$8*(((Inputs!$I$8+(((A37)+1)/2)*(Inputs!$J$8-Inputs!$I$8)))/Inputs!$K$8)^2))^2))-((Inputs!$H$8+Inputs!$L$8*(((Inputs!$I$8+(((A37)+1)/2)*(Inputs!$J$8-Inputs!$I$8)))/Inputs!$K$8)^2)))*1000/Inputs!$C$12),NA())</x:f>
        <x:v>140293.77417289227</x:v>
      </x:c>
      <x:c r="K37" s="48" t="n">
        <x:f>IF(OR(Inputs!$F$9=TRUE,Inputs!$F$9="TRUE",Inputs!$F$9=1),(((SQRT(((Inputs!$I$9+(((A37)+1)/2)*(Inputs!$J$9-Inputs!$I$9)))^2+Inputs!$C$6^2+((Inputs!$H$9+Inputs!$L$9*(((Inputs!$I$9+(((A37)+1)/2)*(Inputs!$J$9-Inputs!$I$9)))/Inputs!$K$9)^2))^2))-((Inputs!$H$9+Inputs!$L$9*(((Inputs!$I$9+(((A37)+1)/2)*(Inputs!$J$9-Inputs!$I$9)))/Inputs!$K$9)^2)))*1000/Inputs!$C$12),NA())</x:f>
        <x:v>141209.28236686124</x:v>
      </x:c>
      <x:c r="L37" s="49"/>
      <x:c r="M37" s="48" t="n">
        <x:f>A37</x:f>
        <x:v>-0.708</x:v>
      </x:c>
      <x:c r="N37" s="48" t="n">
        <x:f>IF(OR(Inputs!$F$6=TRUE,Inputs!$F$6="TRUE",Inputs!$F$6=1),(-2*((1000*((((Inputs!$I$6+(((A37)+1)/2)*(Inputs!$J$6-Inputs!$I$6)))*Inputs!$C$11+((Inputs!$H$6+Inputs!$L$6*(((Inputs!$I$6+(((A37)+1)/2)*(Inputs!$J$6-Inputs!$I$6)))/Inputs!$K$6)^2))*((2*Inputs!$L$6*((Inputs!$I$6+(((A37)+1)/2)*(Inputs!$J$6-Inputs!$I$6)))/(Inputs!$K$6^2)*Inputs!$C$11)))/(SQRT(((Inputs!$I$6+(((A37)+1)/2)*(Inputs!$J$6-Inputs!$I$6)))^2+Inputs!$C$6^2+((Inputs!$H$6+Inputs!$L$6*(((Inputs!$I$6+(((A37)+1)/2)*(Inputs!$J$6-Inputs!$I$6)))/Inputs!$K$6)^2))^2)))))/Inputs!$C$13),NA())</x:f>
        <x:v>317.7330745150665</x:v>
      </x:c>
      <x:c r="O37" s="48" t="n">
        <x:f>IF(OR(Inputs!$F$7=TRUE,Inputs!$F$7="TRUE",Inputs!$F$7=1),(-2*((1000*((((Inputs!$I$7+(((A37)+1)/2)*(Inputs!$J$7-Inputs!$I$7)))*Inputs!$C$11+((Inputs!$H$7+Inputs!$L$7*(((Inputs!$I$7+(((A37)+1)/2)*(Inputs!$J$7-Inputs!$I$7)))/Inputs!$K$7)^2))*((2*Inputs!$L$7*((Inputs!$I$7+(((A37)+1)/2)*(Inputs!$J$7-Inputs!$I$7)))/(Inputs!$K$7^2)*Inputs!$C$11)))/(SQRT(((Inputs!$I$7+(((A37)+1)/2)*(Inputs!$J$7-Inputs!$I$7)))^2+Inputs!$C$6^2+((Inputs!$H$7+Inputs!$L$7*(((Inputs!$I$7+(((A37)+1)/2)*(Inputs!$J$7-Inputs!$I$7)))/Inputs!$K$7)^2))^2)))))/Inputs!$C$13),NA())</x:f>
        <x:v>2522.693975374485</x:v>
      </x:c>
      <x:c r="P37" s="48" t="n">
        <x:f>IF(OR(Inputs!$F$8=TRUE,Inputs!$F$8="TRUE",Inputs!$F$8=1),(-2*((1000*((((Inputs!$I$8+(((A37)+1)/2)*(Inputs!$J$8-Inputs!$I$8)))*Inputs!$C$11+((Inputs!$H$8+Inputs!$L$8*(((Inputs!$I$8+(((A37)+1)/2)*(Inputs!$J$8-Inputs!$I$8)))/Inputs!$K$8)^2))*((2*Inputs!$L$8*((Inputs!$I$8+(((A37)+1)/2)*(Inputs!$J$8-Inputs!$I$8)))/(Inputs!$K$8^2)*Inputs!$C$11)))/(SQRT(((Inputs!$I$8+(((A37)+1)/2)*(Inputs!$J$8-Inputs!$I$8)))^2+Inputs!$C$6^2+((Inputs!$H$8+Inputs!$L$8*(((Inputs!$I$8+(((A37)+1)/2)*(Inputs!$J$8-Inputs!$I$8)))/Inputs!$K$8)^2))^2)))))/Inputs!$C$13),NA())</x:f>
        <x:v>3024.0887500848658</x:v>
      </x:c>
      <x:c r="Q37" s="48" t="n">
        <x:f>IF(OR(Inputs!$F$9=TRUE,Inputs!$F$9="TRUE",Inputs!$F$9=1),(-2*((1000*((((Inputs!$I$9+(((A37)+1)/2)*(Inputs!$J$9-Inputs!$I$9)))*Inputs!$C$11+((Inputs!$H$9+Inputs!$L$9*(((Inputs!$I$9+(((A37)+1)/2)*(Inputs!$J$9-Inputs!$I$9)))/Inputs!$K$9)^2))*((2*Inputs!$L$9*((Inputs!$I$9+(((A37)+1)/2)*(Inputs!$J$9-Inputs!$I$9)))/(Inputs!$K$9^2)*Inputs!$C$11)))/(SQRT(((Inputs!$I$9+(((A37)+1)/2)*(Inputs!$J$9-Inputs!$I$9)))^2+Inputs!$C$6^2+((Inputs!$H$9+Inputs!$L$9*(((Inputs!$I$9+(((A37)+1)/2)*(Inputs!$J$9-Inputs!$I$9)))/Inputs!$K$9)^2))^2)))))/Inputs!$C$13),NA())</x:f>
        <x:v>3038.5619088403914</x:v>
      </x:c>
      <x:c r="R37" s="49"/>
      <x:c r="S37" s="48" t="n">
        <x:f>A37</x:f>
        <x:v>-0.708</x:v>
      </x:c>
      <x:c r="T37" s="48" t="n">
        <x:f>(Inputs!$I$6+(((A37)+1)/2)*(Inputs!$J$6-Inputs!$I$6))</x:f>
        <x:v>-42.48</x:v>
      </x:c>
      <x:c r="U37" s="48" t="n">
        <x:f>(Inputs!$I$7+(((A37)+1)/2)*(Inputs!$J$7-Inputs!$I$7))</x:f>
        <x:v>-283.2</x:v>
      </x:c>
      <x:c r="V37" s="48" t="n">
        <x:f>(Inputs!$I$8+(((A37)+1)/2)*(Inputs!$J$8-Inputs!$I$8))</x:f>
        <x:v>-566.4</x:v>
      </x:c>
      <x:c r="W37" s="48" t="n">
        <x:f>(Inputs!$I$9+(((A37)+1)/2)*(Inputs!$J$9-Inputs!$I$9))</x:f>
        <x:v>-566.4</x:v>
      </x:c>
      <x:c r="X37" s="49"/>
      <x:c r="Y37" s="48" t="n">
        <x:f>A37</x:f>
        <x:v>-0.708</x:v>
      </x:c>
      <x:c r="Z37" s="48" t="n">
        <x:f>(Inputs!$H$6+Inputs!$L$6*(((Inputs!$I$6+(((A37)+1)/2)*(Inputs!$J$6-Inputs!$I$6)))/Inputs!$K$6)^2)</x:f>
        <x:v>402.005056</x:v>
      </x:c>
      <x:c r="AA37" s="48" t="n">
        <x:f>(Inputs!$H$7+Inputs!$L$7*(((Inputs!$I$7+(((A37)+1)/2)*(Inputs!$J$7-Inputs!$I$7)))/Inputs!$K$7)^2)</x:f>
        <x:v>217.96135999999998</x:v>
      </x:c>
      <x:c r="AB37" s="48" t="n">
        <x:f>(Inputs!$H$8+Inputs!$L$8*(((Inputs!$I$8+(((A37)+1)/2)*(Inputs!$J$8-Inputs!$I$8)))/Inputs!$K$8)^2)</x:f>
        <x:v>518.71976</x:v>
      </x:c>
      <x:c r="AC37" s="48" t="n">
        <x:f>(Inputs!$H$9+Inputs!$L$9*(((Inputs!$I$9+(((A37)+1)/2)*(Inputs!$J$9-Inputs!$I$9)))/Inputs!$K$9)^2)</x:f>
        <x:v>513.7323999999999</x:v>
      </x:c>
      <x:c r="AD37" s="49"/>
      <x:c r="AE37" s="48" t="n">
        <x:f>A37</x:f>
        <x:v>-0.708</x:v>
      </x:c>
      <x:c r="AF37" s="48" t="n">
        <x:f>(((SQRT(((Inputs!$I$6+(((A37)+1)/2)*(Inputs!$J$6-Inputs!$I$6)))^2+Inputs!$C$6^2+((Inputs!$H$6+Inputs!$L$6*(((Inputs!$I$6+(((A37)+1)/2)*(Inputs!$J$6-Inputs!$I$6)))/Inputs!$K$6)^2))^2))-((Inputs!$H$6+Inputs!$L$6*(((Inputs!$I$6+(((A37)+1)/2)*(Inputs!$J$6-Inputs!$I$6)))/Inputs!$K$6)^2)))*1000/Inputs!$C$12)</x:f>
        <x:v>1691.3024323785614</x:v>
      </x:c>
      <x:c r="AG37" s="48" t="n">
        <x:f>(((SQRT(((Inputs!$I$7+(((A37)+1)/2)*(Inputs!$J$7-Inputs!$I$7)))^2+Inputs!$C$6^2+((Inputs!$H$7+Inputs!$L$7*(((Inputs!$I$7+(((A37)+1)/2)*(Inputs!$J$7-Inputs!$I$7)))/Inputs!$K$7)^2))^2))-((Inputs!$H$7+Inputs!$L$7*(((Inputs!$I$7+(((A37)+1)/2)*(Inputs!$J$7-Inputs!$I$7)))/Inputs!$K$7)^2)))*1000/Inputs!$C$12)</x:f>
        <x:v>78807.04608598979</x:v>
      </x:c>
      <x:c r="AH37" s="48" t="n">
        <x:f>(((SQRT(((Inputs!$I$8+(((A37)+1)/2)*(Inputs!$J$8-Inputs!$I$8)))^2+Inputs!$C$6^2+((Inputs!$H$8+Inputs!$L$8*(((Inputs!$I$8+(((A37)+1)/2)*(Inputs!$J$8-Inputs!$I$8)))/Inputs!$K$8)^2))^2))-((Inputs!$H$8+Inputs!$L$8*(((Inputs!$I$8+(((A37)+1)/2)*(Inputs!$J$8-Inputs!$I$8)))/Inputs!$K$8)^2)))*1000/Inputs!$C$12)</x:f>
        <x:v>140293.77417289227</x:v>
      </x:c>
      <x:c r="AI37" s="48" t="n">
        <x:f>(((SQRT(((Inputs!$I$9+(((A37)+1)/2)*(Inputs!$J$9-Inputs!$I$9)))^2+Inputs!$C$6^2+((Inputs!$H$9+Inputs!$L$9*(((Inputs!$I$9+(((A37)+1)/2)*(Inputs!$J$9-Inputs!$I$9)))/Inputs!$K$9)^2))^2))-((Inputs!$H$9+Inputs!$L$9*(((Inputs!$I$9+(((A37)+1)/2)*(Inputs!$J$9-Inputs!$I$9)))/Inputs!$K$9)^2)))*1000/Inputs!$C$12)</x:f>
        <x:v>141209.28236686124</x:v>
      </x:c>
      <x:c r="AJ37" s="49"/>
      <x:c r="AK37" s="48" t="n">
        <x:f>A37</x:f>
        <x:v>-0.708</x:v>
      </x:c>
      <x:c r="AL37" s="48" t="n">
        <x:f>(-2*((1000*((((Inputs!$I$6+(((A37)+1)/2)*(Inputs!$J$6-Inputs!$I$6)))*Inputs!$C$11+((Inputs!$H$6+Inputs!$L$6*(((Inputs!$I$6+(((A37)+1)/2)*(Inputs!$J$6-Inputs!$I$6)))/Inputs!$K$6)^2))*((2*Inputs!$L$6*((Inputs!$I$6+(((A37)+1)/2)*(Inputs!$J$6-Inputs!$I$6)))/(Inputs!$K$6^2)*Inputs!$C$11)))/(SQRT(((Inputs!$I$6+(((A37)+1)/2)*(Inputs!$J$6-Inputs!$I$6)))^2+Inputs!$C$6^2+((Inputs!$H$6+Inputs!$L$6*(((Inputs!$I$6+(((A37)+1)/2)*(Inputs!$J$6-Inputs!$I$6)))/Inputs!$K$6)^2))^2)))))/Inputs!$C$13)</x:f>
        <x:v>317.7330745150665</x:v>
      </x:c>
      <x:c r="AM37" s="48" t="n">
        <x:f>(-2*((1000*((((Inputs!$I$7+(((A37)+1)/2)*(Inputs!$J$7-Inputs!$I$7)))*Inputs!$C$11+((Inputs!$H$7+Inputs!$L$7*(((Inputs!$I$7+(((A37)+1)/2)*(Inputs!$J$7-Inputs!$I$7)))/Inputs!$K$7)^2))*((2*Inputs!$L$7*((Inputs!$I$7+(((A37)+1)/2)*(Inputs!$J$7-Inputs!$I$7)))/(Inputs!$K$7^2)*Inputs!$C$11)))/(SQRT(((Inputs!$I$7+(((A37)+1)/2)*(Inputs!$J$7-Inputs!$I$7)))^2+Inputs!$C$6^2+((Inputs!$H$7+Inputs!$L$7*(((Inputs!$I$7+(((A37)+1)/2)*(Inputs!$J$7-Inputs!$I$7)))/Inputs!$K$7)^2))^2)))))/Inputs!$C$13)</x:f>
        <x:v>2522.693975374485</x:v>
      </x:c>
      <x:c r="AN37" s="48" t="n">
        <x:f>(-2*((1000*((((Inputs!$I$8+(((A37)+1)/2)*(Inputs!$J$8-Inputs!$I$8)))*Inputs!$C$11+((Inputs!$H$8+Inputs!$L$8*(((Inputs!$I$8+(((A37)+1)/2)*(Inputs!$J$8-Inputs!$I$8)))/Inputs!$K$8)^2))*((2*Inputs!$L$8*((Inputs!$I$8+(((A37)+1)/2)*(Inputs!$J$8-Inputs!$I$8)))/(Inputs!$K$8^2)*Inputs!$C$11)))/(SQRT(((Inputs!$I$8+(((A37)+1)/2)*(Inputs!$J$8-Inputs!$I$8)))^2+Inputs!$C$6^2+((Inputs!$H$8+Inputs!$L$8*(((Inputs!$I$8+(((A37)+1)/2)*(Inputs!$J$8-Inputs!$I$8)))/Inputs!$K$8)^2))^2)))))/Inputs!$C$13)</x:f>
        <x:v>3024.0887500848658</x:v>
      </x:c>
      <x:c r="AO37" s="48" t="n">
        <x:f>(-2*((1000*((((Inputs!$I$9+(((A37)+1)/2)*(Inputs!$J$9-Inputs!$I$9)))*Inputs!$C$11+((Inputs!$H$9+Inputs!$L$9*(((Inputs!$I$9+(((A37)+1)/2)*(Inputs!$J$9-Inputs!$I$9)))/Inputs!$K$9)^2))*((2*Inputs!$L$9*((Inputs!$I$9+(((A37)+1)/2)*(Inputs!$J$9-Inputs!$I$9)))/(Inputs!$K$9^2)*Inputs!$C$11)))/(SQRT(((Inputs!$I$9+(((A37)+1)/2)*(Inputs!$J$9-Inputs!$I$9)))^2+Inputs!$C$6^2+((Inputs!$H$9+Inputs!$L$9*(((Inputs!$I$9+(((A37)+1)/2)*(Inputs!$J$9-Inputs!$I$9)))/Inputs!$K$9)^2))^2)))))/Inputs!$C$13)</x:f>
        <x:v>3038.5619088403914</x:v>
      </x:c>
    </x:row>
    <x:row r="38">
      <x:c r="A38" s="48" t="n">
        <x:f>ROUND(-1+36*2/240,3)</x:f>
        <x:v>-0.7</x:v>
      </x:c>
      <x:c r="B38" s="48" t="n">
        <x:f>IF(OR(Inputs!$F$6=TRUE,Inputs!$F$6="TRUE",Inputs!$F$6=1),(Inputs!$H$6+Inputs!$L$6*(((Inputs!$I$6+(((A38)+1)/2)*(Inputs!$J$6-Inputs!$I$6)))/Inputs!$K$6)^2),NA())</x:f>
        <x:v>401.96</x:v>
      </x:c>
      <x:c r="C38" s="48" t="n">
        <x:f>IF(OR(Inputs!$F$7=TRUE,Inputs!$F$7="TRUE",Inputs!$F$7=1),(Inputs!$H$7+Inputs!$L$7*(((Inputs!$I$7+(((A38)+1)/2)*(Inputs!$J$7-Inputs!$I$7)))/Inputs!$K$7)^2),NA())</x:f>
        <x:v>213.84999999999997</x:v>
      </x:c>
      <x:c r="D38" s="48" t="n">
        <x:f>IF(OR(Inputs!$F$8=TRUE,Inputs!$F$8="TRUE",Inputs!$F$8=1),(Inputs!$H$8+Inputs!$L$8*(((Inputs!$I$8+(((A38)+1)/2)*(Inputs!$J$8-Inputs!$I$8)))/Inputs!$K$8)^2),NA())</x:f>
        <x:v>507.84999999999997</x:v>
      </x:c>
      <x:c r="E38" s="48" t="n">
        <x:f>IF(OR(Inputs!$F$9=TRUE,Inputs!$F$9="TRUE",Inputs!$F$9=1),(Inputs!$H$9+Inputs!$L$9*(((Inputs!$I$9+(((A38)+1)/2)*(Inputs!$J$9-Inputs!$I$9)))/Inputs!$K$9)^2),NA())</x:f>
        <x:v>502.74999999999994</x:v>
      </x:c>
      <x:c r="F38" s="49"/>
      <x:c r="G38" s="48" t="n">
        <x:f>A38</x:f>
        <x:v>-0.7</x:v>
      </x:c>
      <x:c r="H38" s="48" t="n">
        <x:f>IF(OR(Inputs!$F$6=TRUE,Inputs!$F$6="TRUE",Inputs!$F$6=1),(((SQRT(((Inputs!$I$6+(((A38)+1)/2)*(Inputs!$J$6-Inputs!$I$6)))^2+Inputs!$C$6^2+((Inputs!$H$6+Inputs!$L$6*(((Inputs!$I$6+(((A38)+1)/2)*(Inputs!$J$6-Inputs!$I$6)))/Inputs!$K$6)^2))^2))-((Inputs!$H$6+Inputs!$L$6*(((Inputs!$I$6+(((A38)+1)/2)*(Inputs!$J$6-Inputs!$I$6)))/Inputs!$K$6)^2)))*1000/Inputs!$C$12),NA())</x:f>
        <x:v>1663.3619953398884</x:v>
      </x:c>
      <x:c r="I38" s="48" t="n">
        <x:f>IF(OR(Inputs!$F$7=TRUE,Inputs!$F$7="TRUE",Inputs!$F$7=1),(((SQRT(((Inputs!$I$7+(((A38)+1)/2)*(Inputs!$J$7-Inputs!$I$7)))^2+Inputs!$C$6^2+((Inputs!$H$7+Inputs!$L$7*(((Inputs!$I$7+(((A38)+1)/2)*(Inputs!$J$7-Inputs!$I$7)))/Inputs!$K$7)^2))^2))-((Inputs!$H$7+Inputs!$L$7*(((Inputs!$I$7+(((A38)+1)/2)*(Inputs!$J$7-Inputs!$I$7)))/Inputs!$K$7)^2)))*1000/Inputs!$C$12),NA())</x:f>
        <x:v>78291.75182693239</x:v>
      </x:c>
      <x:c r="J38" s="48" t="n">
        <x:f>IF(OR(Inputs!$F$8=TRUE,Inputs!$F$8="TRUE",Inputs!$F$8=1),(((SQRT(((Inputs!$I$8+(((A38)+1)/2)*(Inputs!$J$8-Inputs!$I$8)))^2+Inputs!$C$6^2+((Inputs!$H$8+Inputs!$L$8*(((Inputs!$I$8+(((A38)+1)/2)*(Inputs!$J$8-Inputs!$I$8)))/Inputs!$K$8)^2))^2))-((Inputs!$H$8+Inputs!$L$8*(((Inputs!$I$8+(((A38)+1)/2)*(Inputs!$J$8-Inputs!$I$8)))/Inputs!$K$8)^2)))*1000/Inputs!$C$12),NA())</x:f>
        <x:v>139633.22067116378</x:v>
      </x:c>
      <x:c r="K38" s="48" t="n">
        <x:f>IF(OR(Inputs!$F$9=TRUE,Inputs!$F$9="TRUE",Inputs!$F$9=1),(((SQRT(((Inputs!$I$9+(((A38)+1)/2)*(Inputs!$J$9-Inputs!$I$9)))^2+Inputs!$C$6^2+((Inputs!$H$9+Inputs!$L$9*(((Inputs!$I$9+(((A38)+1)/2)*(Inputs!$J$9-Inputs!$I$9)))/Inputs!$K$9)^2))^2))-((Inputs!$H$9+Inputs!$L$9*(((Inputs!$I$9+(((A38)+1)/2)*(Inputs!$J$9-Inputs!$I$9)))/Inputs!$K$9)^2)))*1000/Inputs!$C$12),NA())</x:f>
        <x:v>140580.0252890396</x:v>
      </x:c>
      <x:c r="L38" s="49"/>
      <x:c r="M38" s="48" t="n">
        <x:f>A38</x:f>
        <x:v>-0.7</x:v>
      </x:c>
      <x:c r="N38" s="48" t="n">
        <x:f>IF(OR(Inputs!$F$6=TRUE,Inputs!$F$6="TRUE",Inputs!$F$6=1),(-2*((1000*((((Inputs!$I$6+(((A38)+1)/2)*(Inputs!$J$6-Inputs!$I$6)))*Inputs!$C$11+((Inputs!$H$6+Inputs!$L$6*(((Inputs!$I$6+(((A38)+1)/2)*(Inputs!$J$6-Inputs!$I$6)))/Inputs!$K$6)^2))*((2*Inputs!$L$6*((Inputs!$I$6+(((A38)+1)/2)*(Inputs!$J$6-Inputs!$I$6)))/(Inputs!$K$6^2)*Inputs!$C$11)))/(SQRT(((Inputs!$I$6+(((A38)+1)/2)*(Inputs!$J$6-Inputs!$I$6)))^2+Inputs!$C$6^2+((Inputs!$H$6+Inputs!$L$6*(((Inputs!$I$6+(((A38)+1)/2)*(Inputs!$J$6-Inputs!$I$6)))/Inputs!$K$6)^2))^2)))))/Inputs!$C$13),NA())</x:f>
        <x:v>314.1997931036334</x:v>
      </x:c>
      <x:c r="O38" s="48" t="n">
        <x:f>IF(OR(Inputs!$F$7=TRUE,Inputs!$F$7="TRUE",Inputs!$F$7=1),(-2*((1000*((((Inputs!$I$7+(((A38)+1)/2)*(Inputs!$J$7-Inputs!$I$7)))*Inputs!$C$11+((Inputs!$H$7+Inputs!$L$7*(((Inputs!$I$7+(((A38)+1)/2)*(Inputs!$J$7-Inputs!$I$7)))/Inputs!$K$7)^2))*((2*Inputs!$L$7*((Inputs!$I$7+(((A38)+1)/2)*(Inputs!$J$7-Inputs!$I$7)))/(Inputs!$K$7^2)*Inputs!$C$11)))/(SQRT(((Inputs!$I$7+(((A38)+1)/2)*(Inputs!$J$7-Inputs!$I$7)))^2+Inputs!$C$6^2+((Inputs!$H$7+Inputs!$L$7*(((Inputs!$I$7+(((A38)+1)/2)*(Inputs!$J$7-Inputs!$I$7)))/Inputs!$K$7)^2))^2)))))/Inputs!$C$13),NA())</x:f>
        <x:v>2505.906141945731</x:v>
      </x:c>
      <x:c r="P38" s="48" t="n">
        <x:f>IF(OR(Inputs!$F$8=TRUE,Inputs!$F$8="TRUE",Inputs!$F$8=1),(-2*((1000*((((Inputs!$I$8+(((A38)+1)/2)*(Inputs!$J$8-Inputs!$I$8)))*Inputs!$C$11+((Inputs!$H$8+Inputs!$L$8*(((Inputs!$I$8+(((A38)+1)/2)*(Inputs!$J$8-Inputs!$I$8)))/Inputs!$K$8)^2))*((2*Inputs!$L$8*((Inputs!$I$8+(((A38)+1)/2)*(Inputs!$J$8-Inputs!$I$8)))/(Inputs!$K$8^2)*Inputs!$C$11)))/(SQRT(((Inputs!$I$8+(((A38)+1)/2)*(Inputs!$J$8-Inputs!$I$8)))^2+Inputs!$C$6^2+((Inputs!$H$8+Inputs!$L$8*(((Inputs!$I$8+(((A38)+1)/2)*(Inputs!$J$8-Inputs!$I$8)))/Inputs!$K$8)^2))^2)))))/Inputs!$C$13),NA())</x:f>
        <x:v>2998.703460997543</x:v>
      </x:c>
      <x:c r="Q38" s="48" t="n">
        <x:f>IF(OR(Inputs!$F$9=TRUE,Inputs!$F$9="TRUE",Inputs!$F$9=1),(-2*((1000*((((Inputs!$I$9+(((A38)+1)/2)*(Inputs!$J$9-Inputs!$I$9)))*Inputs!$C$11+((Inputs!$H$9+Inputs!$L$9*(((Inputs!$I$9+(((A38)+1)/2)*(Inputs!$J$9-Inputs!$I$9)))/Inputs!$K$9)^2))*((2*Inputs!$L$9*((Inputs!$I$9+(((A38)+1)/2)*(Inputs!$J$9-Inputs!$I$9)))/(Inputs!$K$9^2)*Inputs!$C$11)))/(SQRT(((Inputs!$I$9+(((A38)+1)/2)*(Inputs!$J$9-Inputs!$I$9)))^2+Inputs!$C$6^2+((Inputs!$H$9+Inputs!$L$9*(((Inputs!$I$9+(((A38)+1)/2)*(Inputs!$J$9-Inputs!$I$9)))/Inputs!$K$9)^2))^2)))))/Inputs!$C$13),NA())</x:f>
        <x:v>3012.6963981960357</x:v>
      </x:c>
      <x:c r="R38" s="49"/>
      <x:c r="S38" s="48" t="n">
        <x:f>A38</x:f>
        <x:v>-0.7</x:v>
      </x:c>
      <x:c r="T38" s="48" t="n">
        <x:f>(Inputs!$I$6+(((A38)+1)/2)*(Inputs!$J$6-Inputs!$I$6))</x:f>
        <x:v>-42</x:v>
      </x:c>
      <x:c r="U38" s="48" t="n">
        <x:f>(Inputs!$I$7+(((A38)+1)/2)*(Inputs!$J$7-Inputs!$I$7))</x:f>
        <x:v>-280</x:v>
      </x:c>
      <x:c r="V38" s="48" t="n">
        <x:f>(Inputs!$I$8+(((A38)+1)/2)*(Inputs!$J$8-Inputs!$I$8))</x:f>
        <x:v>-560</x:v>
      </x:c>
      <x:c r="W38" s="48" t="n">
        <x:f>(Inputs!$I$9+(((A38)+1)/2)*(Inputs!$J$9-Inputs!$I$9))</x:f>
        <x:v>-560</x:v>
      </x:c>
      <x:c r="X38" s="49"/>
      <x:c r="Y38" s="48" t="n">
        <x:f>A38</x:f>
        <x:v>-0.7</x:v>
      </x:c>
      <x:c r="Z38" s="48" t="n">
        <x:f>(Inputs!$H$6+Inputs!$L$6*(((Inputs!$I$6+(((A38)+1)/2)*(Inputs!$J$6-Inputs!$I$6)))/Inputs!$K$6)^2)</x:f>
        <x:v>401.96</x:v>
      </x:c>
      <x:c r="AA38" s="48" t="n">
        <x:f>(Inputs!$H$7+Inputs!$L$7*(((Inputs!$I$7+(((A38)+1)/2)*(Inputs!$J$7-Inputs!$I$7)))/Inputs!$K$7)^2)</x:f>
        <x:v>213.84999999999997</x:v>
      </x:c>
      <x:c r="AB38" s="48" t="n">
        <x:f>(Inputs!$H$8+Inputs!$L$8*(((Inputs!$I$8+(((A38)+1)/2)*(Inputs!$J$8-Inputs!$I$8)))/Inputs!$K$8)^2)</x:f>
        <x:v>507.84999999999997</x:v>
      </x:c>
      <x:c r="AC38" s="48" t="n">
        <x:f>(Inputs!$H$9+Inputs!$L$9*(((Inputs!$I$9+(((A38)+1)/2)*(Inputs!$J$9-Inputs!$I$9)))/Inputs!$K$9)^2)</x:f>
        <x:v>502.74999999999994</x:v>
      </x:c>
      <x:c r="AD38" s="49"/>
      <x:c r="AE38" s="48" t="n">
        <x:f>A38</x:f>
        <x:v>-0.7</x:v>
      </x:c>
      <x:c r="AF38" s="48" t="n">
        <x:f>(((SQRT(((Inputs!$I$6+(((A38)+1)/2)*(Inputs!$J$6-Inputs!$I$6)))^2+Inputs!$C$6^2+((Inputs!$H$6+Inputs!$L$6*(((Inputs!$I$6+(((A38)+1)/2)*(Inputs!$J$6-Inputs!$I$6)))/Inputs!$K$6)^2))^2))-((Inputs!$H$6+Inputs!$L$6*(((Inputs!$I$6+(((A38)+1)/2)*(Inputs!$J$6-Inputs!$I$6)))/Inputs!$K$6)^2)))*1000/Inputs!$C$12)</x:f>
        <x:v>1663.3619953398884</x:v>
      </x:c>
      <x:c r="AG38" s="48" t="n">
        <x:f>(((SQRT(((Inputs!$I$7+(((A38)+1)/2)*(Inputs!$J$7-Inputs!$I$7)))^2+Inputs!$C$6^2+((Inputs!$H$7+Inputs!$L$7*(((Inputs!$I$7+(((A38)+1)/2)*(Inputs!$J$7-Inputs!$I$7)))/Inputs!$K$7)^2))^2))-((Inputs!$H$7+Inputs!$L$7*(((Inputs!$I$7+(((A38)+1)/2)*(Inputs!$J$7-Inputs!$I$7)))/Inputs!$K$7)^2)))*1000/Inputs!$C$12)</x:f>
        <x:v>78291.75182693239</x:v>
      </x:c>
      <x:c r="AH38" s="48" t="n">
        <x:f>(((SQRT(((Inputs!$I$8+(((A38)+1)/2)*(Inputs!$J$8-Inputs!$I$8)))^2+Inputs!$C$6^2+((Inputs!$H$8+Inputs!$L$8*(((Inputs!$I$8+(((A38)+1)/2)*(Inputs!$J$8-Inputs!$I$8)))/Inputs!$K$8)^2))^2))-((Inputs!$H$8+Inputs!$L$8*(((Inputs!$I$8+(((A38)+1)/2)*(Inputs!$J$8-Inputs!$I$8)))/Inputs!$K$8)^2)))*1000/Inputs!$C$12)</x:f>
        <x:v>139633.22067116378</x:v>
      </x:c>
      <x:c r="AI38" s="48" t="n">
        <x:f>(((SQRT(((Inputs!$I$9+(((A38)+1)/2)*(Inputs!$J$9-Inputs!$I$9)))^2+Inputs!$C$6^2+((Inputs!$H$9+Inputs!$L$9*(((Inputs!$I$9+(((A38)+1)/2)*(Inputs!$J$9-Inputs!$I$9)))/Inputs!$K$9)^2))^2))-((Inputs!$H$9+Inputs!$L$9*(((Inputs!$I$9+(((A38)+1)/2)*(Inputs!$J$9-Inputs!$I$9)))/Inputs!$K$9)^2)))*1000/Inputs!$C$12)</x:f>
        <x:v>140580.0252890396</x:v>
      </x:c>
      <x:c r="AJ38" s="49"/>
      <x:c r="AK38" s="48" t="n">
        <x:f>A38</x:f>
        <x:v>-0.7</x:v>
      </x:c>
      <x:c r="AL38" s="48" t="n">
        <x:f>(-2*((1000*((((Inputs!$I$6+(((A38)+1)/2)*(Inputs!$J$6-Inputs!$I$6)))*Inputs!$C$11+((Inputs!$H$6+Inputs!$L$6*(((Inputs!$I$6+(((A38)+1)/2)*(Inputs!$J$6-Inputs!$I$6)))/Inputs!$K$6)^2))*((2*Inputs!$L$6*((Inputs!$I$6+(((A38)+1)/2)*(Inputs!$J$6-Inputs!$I$6)))/(Inputs!$K$6^2)*Inputs!$C$11)))/(SQRT(((Inputs!$I$6+(((A38)+1)/2)*(Inputs!$J$6-Inputs!$I$6)))^2+Inputs!$C$6^2+((Inputs!$H$6+Inputs!$L$6*(((Inputs!$I$6+(((A38)+1)/2)*(Inputs!$J$6-Inputs!$I$6)))/Inputs!$K$6)^2))^2)))))/Inputs!$C$13)</x:f>
        <x:v>314.1997931036334</x:v>
      </x:c>
      <x:c r="AM38" s="48" t="n">
        <x:f>(-2*((1000*((((Inputs!$I$7+(((A38)+1)/2)*(Inputs!$J$7-Inputs!$I$7)))*Inputs!$C$11+((Inputs!$H$7+Inputs!$L$7*(((Inputs!$I$7+(((A38)+1)/2)*(Inputs!$J$7-Inputs!$I$7)))/Inputs!$K$7)^2))*((2*Inputs!$L$7*((Inputs!$I$7+(((A38)+1)/2)*(Inputs!$J$7-Inputs!$I$7)))/(Inputs!$K$7^2)*Inputs!$C$11)))/(SQRT(((Inputs!$I$7+(((A38)+1)/2)*(Inputs!$J$7-Inputs!$I$7)))^2+Inputs!$C$6^2+((Inputs!$H$7+Inputs!$L$7*(((Inputs!$I$7+(((A38)+1)/2)*(Inputs!$J$7-Inputs!$I$7)))/Inputs!$K$7)^2))^2)))))/Inputs!$C$13)</x:f>
        <x:v>2505.906141945731</x:v>
      </x:c>
      <x:c r="AN38" s="48" t="n">
        <x:f>(-2*((1000*((((Inputs!$I$8+(((A38)+1)/2)*(Inputs!$J$8-Inputs!$I$8)))*Inputs!$C$11+((Inputs!$H$8+Inputs!$L$8*(((Inputs!$I$8+(((A38)+1)/2)*(Inputs!$J$8-Inputs!$I$8)))/Inputs!$K$8)^2))*((2*Inputs!$L$8*((Inputs!$I$8+(((A38)+1)/2)*(Inputs!$J$8-Inputs!$I$8)))/(Inputs!$K$8^2)*Inputs!$C$11)))/(SQRT(((Inputs!$I$8+(((A38)+1)/2)*(Inputs!$J$8-Inputs!$I$8)))^2+Inputs!$C$6^2+((Inputs!$H$8+Inputs!$L$8*(((Inputs!$I$8+(((A38)+1)/2)*(Inputs!$J$8-Inputs!$I$8)))/Inputs!$K$8)^2))^2)))))/Inputs!$C$13)</x:f>
        <x:v>2998.703460997543</x:v>
      </x:c>
      <x:c r="AO38" s="48" t="n">
        <x:f>(-2*((1000*((((Inputs!$I$9+(((A38)+1)/2)*(Inputs!$J$9-Inputs!$I$9)))*Inputs!$C$11+((Inputs!$H$9+Inputs!$L$9*(((Inputs!$I$9+(((A38)+1)/2)*(Inputs!$J$9-Inputs!$I$9)))/Inputs!$K$9)^2))*((2*Inputs!$L$9*((Inputs!$I$9+(((A38)+1)/2)*(Inputs!$J$9-Inputs!$I$9)))/(Inputs!$K$9^2)*Inputs!$C$11)))/(SQRT(((Inputs!$I$9+(((A38)+1)/2)*(Inputs!$J$9-Inputs!$I$9)))^2+Inputs!$C$6^2+((Inputs!$H$9+Inputs!$L$9*(((Inputs!$I$9+(((A38)+1)/2)*(Inputs!$J$9-Inputs!$I$9)))/Inputs!$K$9)^2))^2)))))/Inputs!$C$13)</x:f>
        <x:v>3012.6963981960357</x:v>
      </x:c>
    </x:row>
    <x:row r="39">
      <x:c r="A39" s="48" t="n">
        <x:f>ROUND(-1+37*2/240,3)</x:f>
        <x:v>-0.692</x:v>
      </x:c>
      <x:c r="B39" s="48" t="n">
        <x:f>IF(OR(Inputs!$F$6=TRUE,Inputs!$F$6="TRUE",Inputs!$F$6=1),(Inputs!$H$6+Inputs!$L$6*(((Inputs!$I$6+(((A39)+1)/2)*(Inputs!$J$6-Inputs!$I$6)))/Inputs!$K$6)^2),NA())</x:f>
        <x:v>401.915456</x:v>
      </x:c>
      <x:c r="C39" s="48" t="n">
        <x:f>IF(OR(Inputs!$F$7=TRUE,Inputs!$F$7="TRUE",Inputs!$F$7=1),(Inputs!$H$7+Inputs!$L$7*(((Inputs!$I$7+(((A39)+1)/2)*(Inputs!$J$7-Inputs!$I$7)))/Inputs!$K$7)^2),NA())</x:f>
        <x:v>209.7853599999999</x:v>
      </x:c>
      <x:c r="D39" s="48" t="n">
        <x:f>IF(OR(Inputs!$F$8=TRUE,Inputs!$F$8="TRUE",Inputs!$F$8=1),(Inputs!$H$8+Inputs!$L$8*(((Inputs!$I$8+(((A39)+1)/2)*(Inputs!$J$8-Inputs!$I$8)))/Inputs!$K$8)^2),NA())</x:f>
        <x:v>497.1037599999998</x:v>
      </x:c>
      <x:c r="E39" s="48" t="n">
        <x:f>IF(OR(Inputs!$F$9=TRUE,Inputs!$F$9="TRUE",Inputs!$F$9=1),(Inputs!$H$9+Inputs!$L$9*(((Inputs!$I$9+(((A39)+1)/2)*(Inputs!$J$9-Inputs!$I$9)))/Inputs!$K$9)^2),NA())</x:f>
        <x:v>491.8923999999998</x:v>
      </x:c>
      <x:c r="F39" s="49"/>
      <x:c r="G39" s="48" t="n">
        <x:f>A39</x:f>
        <x:v>-0.692</x:v>
      </x:c>
      <x:c r="H39" s="48" t="n">
        <x:f>IF(OR(Inputs!$F$6=TRUE,Inputs!$F$6="TRUE",Inputs!$F$6=1),(((SQRT(((Inputs!$I$6+(((A39)+1)/2)*(Inputs!$J$6-Inputs!$I$6)))^2+Inputs!$C$6^2+((Inputs!$H$6+Inputs!$L$6*(((Inputs!$I$6+(((A39)+1)/2)*(Inputs!$J$6-Inputs!$I$6)))/Inputs!$K$6)^2))^2))-((Inputs!$H$6+Inputs!$L$6*(((Inputs!$I$6+(((A39)+1)/2)*(Inputs!$J$6-Inputs!$I$6)))/Inputs!$K$6)^2)))*1000/Inputs!$C$12),NA())</x:f>
        <x:v>1635.7295752474204</x:v>
      </x:c>
      <x:c r="I39" s="48" t="n">
        <x:f>IF(OR(Inputs!$F$7=TRUE,Inputs!$F$7="TRUE",Inputs!$F$7=1),(((SQRT(((Inputs!$I$7+(((A39)+1)/2)*(Inputs!$J$7-Inputs!$I$7)))^2+Inputs!$C$6^2+((Inputs!$H$7+Inputs!$L$7*(((Inputs!$I$7+(((A39)+1)/2)*(Inputs!$J$7-Inputs!$I$7)))/Inputs!$K$7)^2))^2))-((Inputs!$H$7+Inputs!$L$7*(((Inputs!$I$7+(((A39)+1)/2)*(Inputs!$J$7-Inputs!$I$7)))/Inputs!$K$7)^2)))*1000/Inputs!$C$12),NA())</x:f>
        <x:v>77769.01784164105</x:v>
      </x:c>
      <x:c r="J39" s="48" t="n">
        <x:f>IF(OR(Inputs!$F$8=TRUE,Inputs!$F$8="TRUE",Inputs!$F$8=1),(((SQRT(((Inputs!$I$8+(((A39)+1)/2)*(Inputs!$J$8-Inputs!$I$8)))^2+Inputs!$C$6^2+((Inputs!$H$8+Inputs!$L$8*(((Inputs!$I$8+(((A39)+1)/2)*(Inputs!$J$8-Inputs!$I$8)))/Inputs!$K$8)^2))^2))-((Inputs!$H$8+Inputs!$L$8*(((Inputs!$I$8+(((A39)+1)/2)*(Inputs!$J$8-Inputs!$I$8)))/Inputs!$K$8)^2)))*1000/Inputs!$C$12),NA())</x:f>
        <x:v>138960.18644100227</x:v>
      </x:c>
      <x:c r="K39" s="48" t="n">
        <x:f>IF(OR(Inputs!$F$9=TRUE,Inputs!$F$9="TRUE",Inputs!$F$9=1),(((SQRT(((Inputs!$I$9+(((A39)+1)/2)*(Inputs!$J$9-Inputs!$I$9)))^2+Inputs!$C$6^2+((Inputs!$H$9+Inputs!$L$9*(((Inputs!$I$9+(((A39)+1)/2)*(Inputs!$J$9-Inputs!$I$9)))/Inputs!$K$9)^2))^2))-((Inputs!$H$9+Inputs!$L$9*(((Inputs!$I$9+(((A39)+1)/2)*(Inputs!$J$9-Inputs!$I$9)))/Inputs!$K$9)^2)))*1000/Inputs!$C$12),NA())</x:f>
        <x:v>139938.64808234564</x:v>
      </x:c>
      <x:c r="L39" s="49"/>
      <x:c r="M39" s="48" t="n">
        <x:f>A39</x:f>
        <x:v>-0.692</x:v>
      </x:c>
      <x:c r="N39" s="48" t="n">
        <x:f>IF(OR(Inputs!$F$6=TRUE,Inputs!$F$6="TRUE",Inputs!$F$6=1),(-2*((1000*((((Inputs!$I$6+(((A39)+1)/2)*(Inputs!$J$6-Inputs!$I$6)))*Inputs!$C$11+((Inputs!$H$6+Inputs!$L$6*(((Inputs!$I$6+(((A39)+1)/2)*(Inputs!$J$6-Inputs!$I$6)))/Inputs!$K$6)^2))*((2*Inputs!$L$6*((Inputs!$I$6+(((A39)+1)/2)*(Inputs!$J$6-Inputs!$I$6)))/(Inputs!$K$6^2)*Inputs!$C$11)))/(SQRT(((Inputs!$I$6+(((A39)+1)/2)*(Inputs!$J$6-Inputs!$I$6)))^2+Inputs!$C$6^2+((Inputs!$H$6+Inputs!$L$6*(((Inputs!$I$6+(((A39)+1)/2)*(Inputs!$J$6-Inputs!$I$6)))/Inputs!$K$6)^2))^2)))))/Inputs!$C$13),NA())</x:f>
        <x:v>310.6646100066322</x:v>
      </x:c>
      <x:c r="O39" s="48" t="n">
        <x:f>IF(OR(Inputs!$F$7=TRUE,Inputs!$F$7="TRUE",Inputs!$F$7=1),(-2*((1000*((((Inputs!$I$7+(((A39)+1)/2)*(Inputs!$J$7-Inputs!$I$7)))*Inputs!$C$11+((Inputs!$H$7+Inputs!$L$7*(((Inputs!$I$7+(((A39)+1)/2)*(Inputs!$J$7-Inputs!$I$7)))/Inputs!$K$7)^2))*((2*Inputs!$L$7*((Inputs!$I$7+(((A39)+1)/2)*(Inputs!$J$7-Inputs!$I$7)))/(Inputs!$K$7^2)*Inputs!$C$11)))/(SQRT(((Inputs!$I$7+(((A39)+1)/2)*(Inputs!$J$7-Inputs!$I$7)))^2+Inputs!$C$6^2+((Inputs!$H$7+Inputs!$L$7*(((Inputs!$I$7+(((A39)+1)/2)*(Inputs!$J$7-Inputs!$I$7)))/Inputs!$K$7)^2))^2)))))/Inputs!$C$13),NA())</x:f>
        <x:v>2489.216868702904</x:v>
      </x:c>
      <x:c r="P39" s="48" t="n">
        <x:f>IF(OR(Inputs!$F$8=TRUE,Inputs!$F$8="TRUE",Inputs!$F$8=1),(-2*((1000*((((Inputs!$I$8+(((A39)+1)/2)*(Inputs!$J$8-Inputs!$I$8)))*Inputs!$C$11+((Inputs!$H$8+Inputs!$L$8*(((Inputs!$I$8+(((A39)+1)/2)*(Inputs!$J$8-Inputs!$I$8)))/Inputs!$K$8)^2))*((2*Inputs!$L$8*((Inputs!$I$8+(((A39)+1)/2)*(Inputs!$J$8-Inputs!$I$8)))/(Inputs!$K$8^2)*Inputs!$C$11)))/(SQRT(((Inputs!$I$8+(((A39)+1)/2)*(Inputs!$J$8-Inputs!$I$8)))^2+Inputs!$C$6^2+((Inputs!$H$8+Inputs!$L$8*(((Inputs!$I$8+(((A39)+1)/2)*(Inputs!$J$8-Inputs!$I$8)))/Inputs!$K$8)^2))^2)))))/Inputs!$C$13),NA())</x:f>
        <x:v>2973.437029528876</x:v>
      </x:c>
      <x:c r="Q39" s="48" t="n">
        <x:f>IF(OR(Inputs!$F$9=TRUE,Inputs!$F$9="TRUE",Inputs!$F$9=1),(-2*((1000*((((Inputs!$I$9+(((A39)+1)/2)*(Inputs!$J$9-Inputs!$I$9)))*Inputs!$C$11+((Inputs!$H$9+Inputs!$L$9*(((Inputs!$I$9+(((A39)+1)/2)*(Inputs!$J$9-Inputs!$I$9)))/Inputs!$K$9)^2))*((2*Inputs!$L$9*((Inputs!$I$9+(((A39)+1)/2)*(Inputs!$J$9-Inputs!$I$9)))/(Inputs!$K$9^2)*Inputs!$C$11)))/(SQRT(((Inputs!$I$9+(((A39)+1)/2)*(Inputs!$J$9-Inputs!$I$9)))^2+Inputs!$C$6^2+((Inputs!$H$9+Inputs!$L$9*(((Inputs!$I$9+(((A39)+1)/2)*(Inputs!$J$9-Inputs!$I$9)))/Inputs!$K$9)^2))^2)))))/Inputs!$C$13),NA())</x:f>
        <x:v>2986.949269938339</x:v>
      </x:c>
      <x:c r="R39" s="49"/>
      <x:c r="S39" s="48" t="n">
        <x:f>A39</x:f>
        <x:v>-0.692</x:v>
      </x:c>
      <x:c r="T39" s="48" t="n">
        <x:f>(Inputs!$I$6+(((A39)+1)/2)*(Inputs!$J$6-Inputs!$I$6))</x:f>
        <x:v>-41.519999999999996</x:v>
      </x:c>
      <x:c r="U39" s="48" t="n">
        <x:f>(Inputs!$I$7+(((A39)+1)/2)*(Inputs!$J$7-Inputs!$I$7))</x:f>
        <x:v>-276.79999999999995</x:v>
      </x:c>
      <x:c r="V39" s="48" t="n">
        <x:f>(Inputs!$I$8+(((A39)+1)/2)*(Inputs!$J$8-Inputs!$I$8))</x:f>
        <x:v>-553.5999999999999</x:v>
      </x:c>
      <x:c r="W39" s="48" t="n">
        <x:f>(Inputs!$I$9+(((A39)+1)/2)*(Inputs!$J$9-Inputs!$I$9))</x:f>
        <x:v>-553.5999999999999</x:v>
      </x:c>
      <x:c r="X39" s="49"/>
      <x:c r="Y39" s="48" t="n">
        <x:f>A39</x:f>
        <x:v>-0.692</x:v>
      </x:c>
      <x:c r="Z39" s="48" t="n">
        <x:f>(Inputs!$H$6+Inputs!$L$6*(((Inputs!$I$6+(((A39)+1)/2)*(Inputs!$J$6-Inputs!$I$6)))/Inputs!$K$6)^2)</x:f>
        <x:v>401.915456</x:v>
      </x:c>
      <x:c r="AA39" s="48" t="n">
        <x:f>(Inputs!$H$7+Inputs!$L$7*(((Inputs!$I$7+(((A39)+1)/2)*(Inputs!$J$7-Inputs!$I$7)))/Inputs!$K$7)^2)</x:f>
        <x:v>209.7853599999999</x:v>
      </x:c>
      <x:c r="AB39" s="48" t="n">
        <x:f>(Inputs!$H$8+Inputs!$L$8*(((Inputs!$I$8+(((A39)+1)/2)*(Inputs!$J$8-Inputs!$I$8)))/Inputs!$K$8)^2)</x:f>
        <x:v>497.1037599999998</x:v>
      </x:c>
      <x:c r="AC39" s="48" t="n">
        <x:f>(Inputs!$H$9+Inputs!$L$9*(((Inputs!$I$9+(((A39)+1)/2)*(Inputs!$J$9-Inputs!$I$9)))/Inputs!$K$9)^2)</x:f>
        <x:v>491.8923999999998</x:v>
      </x:c>
      <x:c r="AD39" s="49"/>
      <x:c r="AE39" s="48" t="n">
        <x:f>A39</x:f>
        <x:v>-0.692</x:v>
      </x:c>
      <x:c r="AF39" s="48" t="n">
        <x:f>(((SQRT(((Inputs!$I$6+(((A39)+1)/2)*(Inputs!$J$6-Inputs!$I$6)))^2+Inputs!$C$6^2+((Inputs!$H$6+Inputs!$L$6*(((Inputs!$I$6+(((A39)+1)/2)*(Inputs!$J$6-Inputs!$I$6)))/Inputs!$K$6)^2))^2))-((Inputs!$H$6+Inputs!$L$6*(((Inputs!$I$6+(((A39)+1)/2)*(Inputs!$J$6-Inputs!$I$6)))/Inputs!$K$6)^2)))*1000/Inputs!$C$12)</x:f>
        <x:v>1635.7295752474204</x:v>
      </x:c>
      <x:c r="AG39" s="48" t="n">
        <x:f>(((SQRT(((Inputs!$I$7+(((A39)+1)/2)*(Inputs!$J$7-Inputs!$I$7)))^2+Inputs!$C$6^2+((Inputs!$H$7+Inputs!$L$7*(((Inputs!$I$7+(((A39)+1)/2)*(Inputs!$J$7-Inputs!$I$7)))/Inputs!$K$7)^2))^2))-((Inputs!$H$7+Inputs!$L$7*(((Inputs!$I$7+(((A39)+1)/2)*(Inputs!$J$7-Inputs!$I$7)))/Inputs!$K$7)^2)))*1000/Inputs!$C$12)</x:f>
        <x:v>77769.01784164105</x:v>
      </x:c>
      <x:c r="AH39" s="48" t="n">
        <x:f>(((SQRT(((Inputs!$I$8+(((A39)+1)/2)*(Inputs!$J$8-Inputs!$I$8)))^2+Inputs!$C$6^2+((Inputs!$H$8+Inputs!$L$8*(((Inputs!$I$8+(((A39)+1)/2)*(Inputs!$J$8-Inputs!$I$8)))/Inputs!$K$8)^2))^2))-((Inputs!$H$8+Inputs!$L$8*(((Inputs!$I$8+(((A39)+1)/2)*(Inputs!$J$8-Inputs!$I$8)))/Inputs!$K$8)^2)))*1000/Inputs!$C$12)</x:f>
        <x:v>138960.18644100227</x:v>
      </x:c>
      <x:c r="AI39" s="48" t="n">
        <x:f>(((SQRT(((Inputs!$I$9+(((A39)+1)/2)*(Inputs!$J$9-Inputs!$I$9)))^2+Inputs!$C$6^2+((Inputs!$H$9+Inputs!$L$9*(((Inputs!$I$9+(((A39)+1)/2)*(Inputs!$J$9-Inputs!$I$9)))/Inputs!$K$9)^2))^2))-((Inputs!$H$9+Inputs!$L$9*(((Inputs!$I$9+(((A39)+1)/2)*(Inputs!$J$9-Inputs!$I$9)))/Inputs!$K$9)^2)))*1000/Inputs!$C$12)</x:f>
        <x:v>139938.64808234564</x:v>
      </x:c>
      <x:c r="AJ39" s="49"/>
      <x:c r="AK39" s="48" t="n">
        <x:f>A39</x:f>
        <x:v>-0.692</x:v>
      </x:c>
      <x:c r="AL39" s="48" t="n">
        <x:f>(-2*((1000*((((Inputs!$I$6+(((A39)+1)/2)*(Inputs!$J$6-Inputs!$I$6)))*Inputs!$C$11+((Inputs!$H$6+Inputs!$L$6*(((Inputs!$I$6+(((A39)+1)/2)*(Inputs!$J$6-Inputs!$I$6)))/Inputs!$K$6)^2))*((2*Inputs!$L$6*((Inputs!$I$6+(((A39)+1)/2)*(Inputs!$J$6-Inputs!$I$6)))/(Inputs!$K$6^2)*Inputs!$C$11)))/(SQRT(((Inputs!$I$6+(((A39)+1)/2)*(Inputs!$J$6-Inputs!$I$6)))^2+Inputs!$C$6^2+((Inputs!$H$6+Inputs!$L$6*(((Inputs!$I$6+(((A39)+1)/2)*(Inputs!$J$6-Inputs!$I$6)))/Inputs!$K$6)^2))^2)))))/Inputs!$C$13)</x:f>
        <x:v>310.6646100066322</x:v>
      </x:c>
      <x:c r="AM39" s="48" t="n">
        <x:f>(-2*((1000*((((Inputs!$I$7+(((A39)+1)/2)*(Inputs!$J$7-Inputs!$I$7)))*Inputs!$C$11+((Inputs!$H$7+Inputs!$L$7*(((Inputs!$I$7+(((A39)+1)/2)*(Inputs!$J$7-Inputs!$I$7)))/Inputs!$K$7)^2))*((2*Inputs!$L$7*((Inputs!$I$7+(((A39)+1)/2)*(Inputs!$J$7-Inputs!$I$7)))/(Inputs!$K$7^2)*Inputs!$C$11)))/(SQRT(((Inputs!$I$7+(((A39)+1)/2)*(Inputs!$J$7-Inputs!$I$7)))^2+Inputs!$C$6^2+((Inputs!$H$7+Inputs!$L$7*(((Inputs!$I$7+(((A39)+1)/2)*(Inputs!$J$7-Inputs!$I$7)))/Inputs!$K$7)^2))^2)))))/Inputs!$C$13)</x:f>
        <x:v>2489.216868702904</x:v>
      </x:c>
      <x:c r="AN39" s="48" t="n">
        <x:f>(-2*((1000*((((Inputs!$I$8+(((A39)+1)/2)*(Inputs!$J$8-Inputs!$I$8)))*Inputs!$C$11+((Inputs!$H$8+Inputs!$L$8*(((Inputs!$I$8+(((A39)+1)/2)*(Inputs!$J$8-Inputs!$I$8)))/Inputs!$K$8)^2))*((2*Inputs!$L$8*((Inputs!$I$8+(((A39)+1)/2)*(Inputs!$J$8-Inputs!$I$8)))/(Inputs!$K$8^2)*Inputs!$C$11)))/(SQRT(((Inputs!$I$8+(((A39)+1)/2)*(Inputs!$J$8-Inputs!$I$8)))^2+Inputs!$C$6^2+((Inputs!$H$8+Inputs!$L$8*(((Inputs!$I$8+(((A39)+1)/2)*(Inputs!$J$8-Inputs!$I$8)))/Inputs!$K$8)^2))^2)))))/Inputs!$C$13)</x:f>
        <x:v>2973.437029528876</x:v>
      </x:c>
      <x:c r="AO39" s="48" t="n">
        <x:f>(-2*((1000*((((Inputs!$I$9+(((A39)+1)/2)*(Inputs!$J$9-Inputs!$I$9)))*Inputs!$C$11+((Inputs!$H$9+Inputs!$L$9*(((Inputs!$I$9+(((A39)+1)/2)*(Inputs!$J$9-Inputs!$I$9)))/Inputs!$K$9)^2))*((2*Inputs!$L$9*((Inputs!$I$9+(((A39)+1)/2)*(Inputs!$J$9-Inputs!$I$9)))/(Inputs!$K$9^2)*Inputs!$C$11)))/(SQRT(((Inputs!$I$9+(((A39)+1)/2)*(Inputs!$J$9-Inputs!$I$9)))^2+Inputs!$C$6^2+((Inputs!$H$9+Inputs!$L$9*(((Inputs!$I$9+(((A39)+1)/2)*(Inputs!$J$9-Inputs!$I$9)))/Inputs!$K$9)^2))^2)))))/Inputs!$C$13)</x:f>
        <x:v>2986.949269938339</x:v>
      </x:c>
    </x:row>
    <x:row r="40">
      <x:c r="A40" s="48" t="n">
        <x:f>ROUND(-1+38*2/240,3)</x:f>
        <x:v>-0.683</x:v>
      </x:c>
      <x:c r="B40" s="48" t="n">
        <x:f>IF(OR(Inputs!$F$6=TRUE,Inputs!$F$6="TRUE",Inputs!$F$6=1),(Inputs!$H$6+Inputs!$L$6*(((Inputs!$I$6+(((A40)+1)/2)*(Inputs!$J$6-Inputs!$I$6)))/Inputs!$K$6)^2),NA())</x:f>
        <x:v>401.865956</x:v>
      </x:c>
      <x:c r="C40" s="48" t="n">
        <x:f>IF(OR(Inputs!$F$7=TRUE,Inputs!$F$7="TRUE",Inputs!$F$7=1),(Inputs!$H$7+Inputs!$L$7*(((Inputs!$I$7+(((A40)+1)/2)*(Inputs!$J$7-Inputs!$I$7)))/Inputs!$K$7)^2),NA())</x:f>
        <x:v>205.26848500000008</x:v>
      </x:c>
      <x:c r="D40" s="48" t="n">
        <x:f>IF(OR(Inputs!$F$8=TRUE,Inputs!$F$8="TRUE",Inputs!$F$8=1),(Inputs!$H$8+Inputs!$L$8*(((Inputs!$I$8+(((A40)+1)/2)*(Inputs!$J$8-Inputs!$I$8)))/Inputs!$K$8)^2),NA())</x:f>
        <x:v>485.1618850000002</x:v>
      </x:c>
      <x:c r="E40" s="48" t="n">
        <x:f>IF(OR(Inputs!$F$9=TRUE,Inputs!$F$9="TRUE",Inputs!$F$9=1),(Inputs!$H$9+Inputs!$L$9*(((Inputs!$I$9+(((A40)+1)/2)*(Inputs!$J$9-Inputs!$I$9)))/Inputs!$K$9)^2),NA())</x:f>
        <x:v>479.8267750000002</x:v>
      </x:c>
      <x:c r="F40" s="49"/>
      <x:c r="G40" s="48" t="n">
        <x:f>A40</x:f>
        <x:v>-0.683</x:v>
      </x:c>
      <x:c r="H40" s="48" t="n">
        <x:f>IF(OR(Inputs!$F$6=TRUE,Inputs!$F$6="TRUE",Inputs!$F$6=1),(((SQRT(((Inputs!$I$6+(((A40)+1)/2)*(Inputs!$J$6-Inputs!$I$6)))^2+Inputs!$C$6^2+((Inputs!$H$6+Inputs!$L$6*(((Inputs!$I$6+(((A40)+1)/2)*(Inputs!$J$6-Inputs!$I$6)))/Inputs!$K$6)^2))^2))-((Inputs!$H$6+Inputs!$L$6*(((Inputs!$I$6+(((A40)+1)/2)*(Inputs!$J$6-Inputs!$I$6)))/Inputs!$K$6)^2)))*1000/Inputs!$C$12),NA())</x:f>
        <x:v>1605.0116760415644</x:v>
      </x:c>
      <x:c r="I40" s="48" t="n">
        <x:f>IF(OR(Inputs!$F$7=TRUE,Inputs!$F$7="TRUE",Inputs!$F$7=1),(((SQRT(((Inputs!$I$7+(((A40)+1)/2)*(Inputs!$J$7-Inputs!$I$7)))^2+Inputs!$C$6^2+((Inputs!$H$7+Inputs!$L$7*(((Inputs!$I$7+(((A40)+1)/2)*(Inputs!$J$7-Inputs!$I$7)))/Inputs!$K$7)^2))^2))-((Inputs!$H$7+Inputs!$L$7*(((Inputs!$I$7+(((A40)+1)/2)*(Inputs!$J$7-Inputs!$I$7)))/Inputs!$K$7)^2)))*1000/Inputs!$C$12),NA())</x:f>
        <x:v>77171.91062309152</x:v>
      </x:c>
      <x:c r="J40" s="48" t="n">
        <x:f>IF(OR(Inputs!$F$8=TRUE,Inputs!$F$8="TRUE",Inputs!$F$8=1),(((SQRT(((Inputs!$I$8+(((A40)+1)/2)*(Inputs!$J$8-Inputs!$I$8)))^2+Inputs!$C$6^2+((Inputs!$H$8+Inputs!$L$8*(((Inputs!$I$8+(((A40)+1)/2)*(Inputs!$J$8-Inputs!$I$8)))/Inputs!$K$8)^2))^2))-((Inputs!$H$8+Inputs!$L$8*(((Inputs!$I$8+(((A40)+1)/2)*(Inputs!$J$8-Inputs!$I$8)))/Inputs!$K$8)^2)))*1000/Inputs!$C$12),NA())</x:f>
        <x:v>138187.76812593368</x:v>
      </x:c>
      <x:c r="K40" s="48" t="n">
        <x:f>IF(OR(Inputs!$F$9=TRUE,Inputs!$F$9="TRUE",Inputs!$F$9=1),(((SQRT(((Inputs!$I$9+(((A40)+1)/2)*(Inputs!$J$9-Inputs!$I$9)))^2+Inputs!$C$6^2+((Inputs!$H$9+Inputs!$L$9*(((Inputs!$I$9+(((A40)+1)/2)*(Inputs!$J$9-Inputs!$I$9)))/Inputs!$K$9)^2))^2))-((Inputs!$H$9+Inputs!$L$9*(((Inputs!$I$9+(((A40)+1)/2)*(Inputs!$J$9-Inputs!$I$9)))/Inputs!$K$9)^2)))*1000/Inputs!$C$12),NA())</x:f>
        <x:v>139202.2761380725</x:v>
      </x:c>
      <x:c r="L40" s="49"/>
      <x:c r="M40" s="48" t="n">
        <x:f>A40</x:f>
        <x:v>-0.683</x:v>
      </x:c>
      <x:c r="N40" s="48" t="n">
        <x:f>IF(OR(Inputs!$F$6=TRUE,Inputs!$F$6="TRUE",Inputs!$F$6=1),(-2*((1000*((((Inputs!$I$6+(((A40)+1)/2)*(Inputs!$J$6-Inputs!$I$6)))*Inputs!$C$11+((Inputs!$H$6+Inputs!$L$6*(((Inputs!$I$6+(((A40)+1)/2)*(Inputs!$J$6-Inputs!$I$6)))/Inputs!$K$6)^2))*((2*Inputs!$L$6*((Inputs!$I$6+(((A40)+1)/2)*(Inputs!$J$6-Inputs!$I$6)))/(Inputs!$K$6^2)*Inputs!$C$11)))/(SQRT(((Inputs!$I$6+(((A40)+1)/2)*(Inputs!$J$6-Inputs!$I$6)))^2+Inputs!$C$6^2+((Inputs!$H$6+Inputs!$L$6*(((Inputs!$I$6+(((A40)+1)/2)*(Inputs!$J$6-Inputs!$I$6)))/Inputs!$K$6)^2))^2)))))/Inputs!$C$13),NA())</x:f>
        <x:v>306.6852802640447</x:v>
      </x:c>
      <x:c r="O40" s="48" t="n">
        <x:f>IF(OR(Inputs!$F$7=TRUE,Inputs!$F$7="TRUE",Inputs!$F$7=1),(-2*((1000*((((Inputs!$I$7+(((A40)+1)/2)*(Inputs!$J$7-Inputs!$I$7)))*Inputs!$C$11+((Inputs!$H$7+Inputs!$L$7*(((Inputs!$I$7+(((A40)+1)/2)*(Inputs!$J$7-Inputs!$I$7)))/Inputs!$K$7)^2))*((2*Inputs!$L$7*((Inputs!$I$7+(((A40)+1)/2)*(Inputs!$J$7-Inputs!$I$7)))/(Inputs!$K$7^2)*Inputs!$C$11)))/(SQRT(((Inputs!$I$7+(((A40)+1)/2)*(Inputs!$J$7-Inputs!$I$7)))^2+Inputs!$C$6^2+((Inputs!$H$7+Inputs!$L$7*(((Inputs!$I$7+(((A40)+1)/2)*(Inputs!$J$7-Inputs!$I$7)))/Inputs!$K$7)^2))^2)))))/Inputs!$C$13),NA())</x:f>
        <x:v>2470.5605844041247</x:v>
      </x:c>
      <x:c r="P40" s="48" t="n">
        <x:f>IF(OR(Inputs!$F$8=TRUE,Inputs!$F$8="TRUE",Inputs!$F$8=1),(-2*((1000*((((Inputs!$I$8+(((A40)+1)/2)*(Inputs!$J$8-Inputs!$I$8)))*Inputs!$C$11+((Inputs!$H$8+Inputs!$L$8*(((Inputs!$I$8+(((A40)+1)/2)*(Inputs!$J$8-Inputs!$I$8)))/Inputs!$K$8)^2))*((2*Inputs!$L$8*((Inputs!$I$8+(((A40)+1)/2)*(Inputs!$J$8-Inputs!$I$8)))/(Inputs!$K$8^2)*Inputs!$C$11)))/(SQRT(((Inputs!$I$8+(((A40)+1)/2)*(Inputs!$J$8-Inputs!$I$8)))^2+Inputs!$C$6^2+((Inputs!$H$8+Inputs!$L$8*(((Inputs!$I$8+(((A40)+1)/2)*(Inputs!$J$8-Inputs!$I$8)))/Inputs!$K$8)^2))^2)))))/Inputs!$C$13),NA())</x:f>
        <x:v>2945.1576173798694</x:v>
      </x:c>
      <x:c r="Q40" s="48" t="n">
        <x:f>IF(OR(Inputs!$F$9=TRUE,Inputs!$F$9="TRUE",Inputs!$F$9=1),(-2*((1000*((((Inputs!$I$9+(((A40)+1)/2)*(Inputs!$J$9-Inputs!$I$9)))*Inputs!$C$11+((Inputs!$H$9+Inputs!$L$9*(((Inputs!$I$9+(((A40)+1)/2)*(Inputs!$J$9-Inputs!$I$9)))/Inputs!$K$9)^2))*((2*Inputs!$L$9*((Inputs!$I$9+(((A40)+1)/2)*(Inputs!$J$9-Inputs!$I$9)))/(Inputs!$K$9^2)*Inputs!$C$11)))/(SQRT(((Inputs!$I$9+(((A40)+1)/2)*(Inputs!$J$9-Inputs!$I$9)))^2+Inputs!$C$6^2+((Inputs!$H$9+Inputs!$L$9*(((Inputs!$I$9+(((A40)+1)/2)*(Inputs!$J$9-Inputs!$I$9)))/Inputs!$K$9)^2))^2)))))/Inputs!$C$13),NA())</x:f>
        <x:v>2958.1286240052505</x:v>
      </x:c>
      <x:c r="R40" s="49"/>
      <x:c r="S40" s="48" t="n">
        <x:f>A40</x:f>
        <x:v>-0.683</x:v>
      </x:c>
      <x:c r="T40" s="48" t="n">
        <x:f>(Inputs!$I$6+(((A40)+1)/2)*(Inputs!$J$6-Inputs!$I$6))</x:f>
        <x:v>-40.980000000000004</x:v>
      </x:c>
      <x:c r="U40" s="48" t="n">
        <x:f>(Inputs!$I$7+(((A40)+1)/2)*(Inputs!$J$7-Inputs!$I$7))</x:f>
        <x:v>-273.20000000000005</x:v>
      </x:c>
      <x:c r="V40" s="48" t="n">
        <x:f>(Inputs!$I$8+(((A40)+1)/2)*(Inputs!$J$8-Inputs!$I$8))</x:f>
        <x:v>-546.4000000000001</x:v>
      </x:c>
      <x:c r="W40" s="48" t="n">
        <x:f>(Inputs!$I$9+(((A40)+1)/2)*(Inputs!$J$9-Inputs!$I$9))</x:f>
        <x:v>-546.4000000000001</x:v>
      </x:c>
      <x:c r="X40" s="49"/>
      <x:c r="Y40" s="48" t="n">
        <x:f>A40</x:f>
        <x:v>-0.683</x:v>
      </x:c>
      <x:c r="Z40" s="48" t="n">
        <x:f>(Inputs!$H$6+Inputs!$L$6*(((Inputs!$I$6+(((A40)+1)/2)*(Inputs!$J$6-Inputs!$I$6)))/Inputs!$K$6)^2)</x:f>
        <x:v>401.865956</x:v>
      </x:c>
      <x:c r="AA40" s="48" t="n">
        <x:f>(Inputs!$H$7+Inputs!$L$7*(((Inputs!$I$7+(((A40)+1)/2)*(Inputs!$J$7-Inputs!$I$7)))/Inputs!$K$7)^2)</x:f>
        <x:v>205.26848500000008</x:v>
      </x:c>
      <x:c r="AB40" s="48" t="n">
        <x:f>(Inputs!$H$8+Inputs!$L$8*(((Inputs!$I$8+(((A40)+1)/2)*(Inputs!$J$8-Inputs!$I$8)))/Inputs!$K$8)^2)</x:f>
        <x:v>485.1618850000002</x:v>
      </x:c>
      <x:c r="AC40" s="48" t="n">
        <x:f>(Inputs!$H$9+Inputs!$L$9*(((Inputs!$I$9+(((A40)+1)/2)*(Inputs!$J$9-Inputs!$I$9)))/Inputs!$K$9)^2)</x:f>
        <x:v>479.8267750000002</x:v>
      </x:c>
      <x:c r="AD40" s="49"/>
      <x:c r="AE40" s="48" t="n">
        <x:f>A40</x:f>
        <x:v>-0.683</x:v>
      </x:c>
      <x:c r="AF40" s="48" t="n">
        <x:f>(((SQRT(((Inputs!$I$6+(((A40)+1)/2)*(Inputs!$J$6-Inputs!$I$6)))^2+Inputs!$C$6^2+((Inputs!$H$6+Inputs!$L$6*(((Inputs!$I$6+(((A40)+1)/2)*(Inputs!$J$6-Inputs!$I$6)))/Inputs!$K$6)^2))^2))-((Inputs!$H$6+Inputs!$L$6*(((Inputs!$I$6+(((A40)+1)/2)*(Inputs!$J$6-Inputs!$I$6)))/Inputs!$K$6)^2)))*1000/Inputs!$C$12)</x:f>
        <x:v>1605.0116760415644</x:v>
      </x:c>
      <x:c r="AG40" s="48" t="n">
        <x:f>(((SQRT(((Inputs!$I$7+(((A40)+1)/2)*(Inputs!$J$7-Inputs!$I$7)))^2+Inputs!$C$6^2+((Inputs!$H$7+Inputs!$L$7*(((Inputs!$I$7+(((A40)+1)/2)*(Inputs!$J$7-Inputs!$I$7)))/Inputs!$K$7)^2))^2))-((Inputs!$H$7+Inputs!$L$7*(((Inputs!$I$7+(((A40)+1)/2)*(Inputs!$J$7-Inputs!$I$7)))/Inputs!$K$7)^2)))*1000/Inputs!$C$12)</x:f>
        <x:v>77171.91062309152</x:v>
      </x:c>
      <x:c r="AH40" s="48" t="n">
        <x:f>(((SQRT(((Inputs!$I$8+(((A40)+1)/2)*(Inputs!$J$8-Inputs!$I$8)))^2+Inputs!$C$6^2+((Inputs!$H$8+Inputs!$L$8*(((Inputs!$I$8+(((A40)+1)/2)*(Inputs!$J$8-Inputs!$I$8)))/Inputs!$K$8)^2))^2))-((Inputs!$H$8+Inputs!$L$8*(((Inputs!$I$8+(((A40)+1)/2)*(Inputs!$J$8-Inputs!$I$8)))/Inputs!$K$8)^2)))*1000/Inputs!$C$12)</x:f>
        <x:v>138187.76812593368</x:v>
      </x:c>
      <x:c r="AI40" s="48" t="n">
        <x:f>(((SQRT(((Inputs!$I$9+(((A40)+1)/2)*(Inputs!$J$9-Inputs!$I$9)))^2+Inputs!$C$6^2+((Inputs!$H$9+Inputs!$L$9*(((Inputs!$I$9+(((A40)+1)/2)*(Inputs!$J$9-Inputs!$I$9)))/Inputs!$K$9)^2))^2))-((Inputs!$H$9+Inputs!$L$9*(((Inputs!$I$9+(((A40)+1)/2)*(Inputs!$J$9-Inputs!$I$9)))/Inputs!$K$9)^2)))*1000/Inputs!$C$12)</x:f>
        <x:v>139202.2761380725</x:v>
      </x:c>
      <x:c r="AJ40" s="49"/>
      <x:c r="AK40" s="48" t="n">
        <x:f>A40</x:f>
        <x:v>-0.683</x:v>
      </x:c>
      <x:c r="AL40" s="48" t="n">
        <x:f>(-2*((1000*((((Inputs!$I$6+(((A40)+1)/2)*(Inputs!$J$6-Inputs!$I$6)))*Inputs!$C$11+((Inputs!$H$6+Inputs!$L$6*(((Inputs!$I$6+(((A40)+1)/2)*(Inputs!$J$6-Inputs!$I$6)))/Inputs!$K$6)^2))*((2*Inputs!$L$6*((Inputs!$I$6+(((A40)+1)/2)*(Inputs!$J$6-Inputs!$I$6)))/(Inputs!$K$6^2)*Inputs!$C$11)))/(SQRT(((Inputs!$I$6+(((A40)+1)/2)*(Inputs!$J$6-Inputs!$I$6)))^2+Inputs!$C$6^2+((Inputs!$H$6+Inputs!$L$6*(((Inputs!$I$6+(((A40)+1)/2)*(Inputs!$J$6-Inputs!$I$6)))/Inputs!$K$6)^2))^2)))))/Inputs!$C$13)</x:f>
        <x:v>306.6852802640447</x:v>
      </x:c>
      <x:c r="AM40" s="48" t="n">
        <x:f>(-2*((1000*((((Inputs!$I$7+(((A40)+1)/2)*(Inputs!$J$7-Inputs!$I$7)))*Inputs!$C$11+((Inputs!$H$7+Inputs!$L$7*(((Inputs!$I$7+(((A40)+1)/2)*(Inputs!$J$7-Inputs!$I$7)))/Inputs!$K$7)^2))*((2*Inputs!$L$7*((Inputs!$I$7+(((A40)+1)/2)*(Inputs!$J$7-Inputs!$I$7)))/(Inputs!$K$7^2)*Inputs!$C$11)))/(SQRT(((Inputs!$I$7+(((A40)+1)/2)*(Inputs!$J$7-Inputs!$I$7)))^2+Inputs!$C$6^2+((Inputs!$H$7+Inputs!$L$7*(((Inputs!$I$7+(((A40)+1)/2)*(Inputs!$J$7-Inputs!$I$7)))/Inputs!$K$7)^2))^2)))))/Inputs!$C$13)</x:f>
        <x:v>2470.5605844041247</x:v>
      </x:c>
      <x:c r="AN40" s="48" t="n">
        <x:f>(-2*((1000*((((Inputs!$I$8+(((A40)+1)/2)*(Inputs!$J$8-Inputs!$I$8)))*Inputs!$C$11+((Inputs!$H$8+Inputs!$L$8*(((Inputs!$I$8+(((A40)+1)/2)*(Inputs!$J$8-Inputs!$I$8)))/Inputs!$K$8)^2))*((2*Inputs!$L$8*((Inputs!$I$8+(((A40)+1)/2)*(Inputs!$J$8-Inputs!$I$8)))/(Inputs!$K$8^2)*Inputs!$C$11)))/(SQRT(((Inputs!$I$8+(((A40)+1)/2)*(Inputs!$J$8-Inputs!$I$8)))^2+Inputs!$C$6^2+((Inputs!$H$8+Inputs!$L$8*(((Inputs!$I$8+(((A40)+1)/2)*(Inputs!$J$8-Inputs!$I$8)))/Inputs!$K$8)^2))^2)))))/Inputs!$C$13)</x:f>
        <x:v>2945.1576173798694</x:v>
      </x:c>
      <x:c r="AO40" s="48" t="n">
        <x:f>(-2*((1000*((((Inputs!$I$9+(((A40)+1)/2)*(Inputs!$J$9-Inputs!$I$9)))*Inputs!$C$11+((Inputs!$H$9+Inputs!$L$9*(((Inputs!$I$9+(((A40)+1)/2)*(Inputs!$J$9-Inputs!$I$9)))/Inputs!$K$9)^2))*((2*Inputs!$L$9*((Inputs!$I$9+(((A40)+1)/2)*(Inputs!$J$9-Inputs!$I$9)))/(Inputs!$K$9^2)*Inputs!$C$11)))/(SQRT(((Inputs!$I$9+(((A40)+1)/2)*(Inputs!$J$9-Inputs!$I$9)))^2+Inputs!$C$6^2+((Inputs!$H$9+Inputs!$L$9*(((Inputs!$I$9+(((A40)+1)/2)*(Inputs!$J$9-Inputs!$I$9)))/Inputs!$K$9)^2))^2)))))/Inputs!$C$13)</x:f>
        <x:v>2958.1286240052505</x:v>
      </x:c>
    </x:row>
    <x:row r="41">
      <x:c r="A41" s="48" t="n">
        <x:f>ROUND(-1+39*2/240,3)</x:f>
        <x:v>-0.675</x:v>
      </x:c>
      <x:c r="B41" s="48" t="n">
        <x:f>IF(OR(Inputs!$F$6=TRUE,Inputs!$F$6="TRUE",Inputs!$F$6=1),(Inputs!$H$6+Inputs!$L$6*(((Inputs!$I$6+(((A41)+1)/2)*(Inputs!$J$6-Inputs!$I$6)))/Inputs!$K$6)^2),NA())</x:f>
        <x:v>401.8225</x:v>
      </x:c>
      <x:c r="C41" s="48" t="n">
        <x:f>IF(OR(Inputs!$F$7=TRUE,Inputs!$F$7="TRUE",Inputs!$F$7=1),(Inputs!$H$7+Inputs!$L$7*(((Inputs!$I$7+(((A41)+1)/2)*(Inputs!$J$7-Inputs!$I$7)))/Inputs!$K$7)^2),NA())</x:f>
        <x:v>201.30312500000002</x:v>
      </x:c>
      <x:c r="D41" s="48" t="n">
        <x:f>IF(OR(Inputs!$F$8=TRUE,Inputs!$F$8="TRUE",Inputs!$F$8=1),(Inputs!$H$8+Inputs!$L$8*(((Inputs!$I$8+(((A41)+1)/2)*(Inputs!$J$8-Inputs!$I$8)))/Inputs!$K$8)^2),NA())</x:f>
        <x:v>474.6781250000001</x:v>
      </x:c>
      <x:c r="E41" s="48" t="n">
        <x:f>IF(OR(Inputs!$F$9=TRUE,Inputs!$F$9="TRUE",Inputs!$F$9=1),(Inputs!$H$9+Inputs!$L$9*(((Inputs!$I$9+(((A41)+1)/2)*(Inputs!$J$9-Inputs!$I$9)))/Inputs!$K$9)^2),NA())</x:f>
        <x:v>469.23437500000006</x:v>
      </x:c>
      <x:c r="F41" s="49"/>
      <x:c r="G41" s="48" t="n">
        <x:f>A41</x:f>
        <x:v>-0.675</x:v>
      </x:c>
      <x:c r="H41" s="48" t="n">
        <x:f>IF(OR(Inputs!$F$6=TRUE,Inputs!$F$6="TRUE",Inputs!$F$6=1),(((SQRT(((Inputs!$I$6+(((A41)+1)/2)*(Inputs!$J$6-Inputs!$I$6)))^2+Inputs!$C$6^2+((Inputs!$H$6+Inputs!$L$6*(((Inputs!$I$6+(((A41)+1)/2)*(Inputs!$J$6-Inputs!$I$6)))/Inputs!$K$6)^2))^2))-((Inputs!$H$6+Inputs!$L$6*(((Inputs!$I$6+(((A41)+1)/2)*(Inputs!$J$6-Inputs!$I$6)))/Inputs!$K$6)^2)))*1000/Inputs!$C$12),NA())</x:f>
        <x:v>1578.0348465697127</x:v>
      </x:c>
      <x:c r="I41" s="48" t="n">
        <x:f>IF(OR(Inputs!$F$7=TRUE,Inputs!$F$7="TRUE",Inputs!$F$7=1),(((SQRT(((Inputs!$I$7+(((A41)+1)/2)*(Inputs!$J$7-Inputs!$I$7)))^2+Inputs!$C$6^2+((Inputs!$H$7+Inputs!$L$7*(((Inputs!$I$7+(((A41)+1)/2)*(Inputs!$J$7-Inputs!$I$7)))/Inputs!$K$7)^2))^2))-((Inputs!$H$7+Inputs!$L$7*(((Inputs!$I$7+(((A41)+1)/2)*(Inputs!$J$7-Inputs!$I$7)))/Inputs!$K$7)^2)))*1000/Inputs!$C$12),NA())</x:f>
        <x:v>76632.9960211569</x:v>
      </x:c>
      <x:c r="J41" s="48" t="n">
        <x:f>IF(OR(Inputs!$F$8=TRUE,Inputs!$F$8="TRUE",Inputs!$F$8=1),(((SQRT(((Inputs!$I$8+(((A41)+1)/2)*(Inputs!$J$8-Inputs!$I$8)))^2+Inputs!$C$6^2+((Inputs!$H$8+Inputs!$L$8*(((Inputs!$I$8+(((A41)+1)/2)*(Inputs!$J$8-Inputs!$I$8)))/Inputs!$K$8)^2))^2))-((Inputs!$H$8+Inputs!$L$8*(((Inputs!$I$8+(((A41)+1)/2)*(Inputs!$J$8-Inputs!$I$8)))/Inputs!$K$8)^2)))*1000/Inputs!$C$12),NA())</x:f>
        <x:v>137487.30842840724</x:v>
      </x:c>
      <x:c r="K41" s="48" t="n">
        <x:f>IF(OR(Inputs!$F$9=TRUE,Inputs!$F$9="TRUE",Inputs!$F$9=1),(((SQRT(((Inputs!$I$9+(((A41)+1)/2)*(Inputs!$J$9-Inputs!$I$9)))^2+Inputs!$C$6^2+((Inputs!$H$9+Inputs!$L$9*(((Inputs!$I$9+(((A41)+1)/2)*(Inputs!$J$9-Inputs!$I$9)))/Inputs!$K$9)^2))^2))-((Inputs!$H$9+Inputs!$L$9*(((Inputs!$I$9+(((A41)+1)/2)*(Inputs!$J$9-Inputs!$I$9)))/Inputs!$K$9)^2)))*1000/Inputs!$C$12),NA())</x:f>
        <x:v>138534.24266012842</x:v>
      </x:c>
      <x:c r="L41" s="49"/>
      <x:c r="M41" s="48" t="n">
        <x:f>A41</x:f>
        <x:v>-0.675</x:v>
      </x:c>
      <x:c r="N41" s="48" t="n">
        <x:f>IF(OR(Inputs!$F$6=TRUE,Inputs!$F$6="TRUE",Inputs!$F$6=1),(-2*((1000*((((Inputs!$I$6+(((A41)+1)/2)*(Inputs!$J$6-Inputs!$I$6)))*Inputs!$C$11+((Inputs!$H$6+Inputs!$L$6*(((Inputs!$I$6+(((A41)+1)/2)*(Inputs!$J$6-Inputs!$I$6)))/Inputs!$K$6)^2))*((2*Inputs!$L$6*((Inputs!$I$6+(((A41)+1)/2)*(Inputs!$J$6-Inputs!$I$6)))/(Inputs!$K$6^2)*Inputs!$C$11)))/(SQRT(((Inputs!$I$6+(((A41)+1)/2)*(Inputs!$J$6-Inputs!$I$6)))^2+Inputs!$C$6^2+((Inputs!$H$6+Inputs!$L$6*(((Inputs!$I$6+(((A41)+1)/2)*(Inputs!$J$6-Inputs!$I$6)))/Inputs!$K$6)^2))^2)))))/Inputs!$C$13),NA())</x:f>
        <x:v>303.14612110072255</x:v>
      </x:c>
      <x:c r="O41" s="48" t="n">
        <x:f>IF(OR(Inputs!$F$7=TRUE,Inputs!$F$7="TRUE",Inputs!$F$7=1),(-2*((1000*((((Inputs!$I$7+(((A41)+1)/2)*(Inputs!$J$7-Inputs!$I$7)))*Inputs!$C$11+((Inputs!$H$7+Inputs!$L$7*(((Inputs!$I$7+(((A41)+1)/2)*(Inputs!$J$7-Inputs!$I$7)))/Inputs!$K$7)^2))*((2*Inputs!$L$7*((Inputs!$I$7+(((A41)+1)/2)*(Inputs!$J$7-Inputs!$I$7)))/(Inputs!$K$7^2)*Inputs!$C$11)))/(SQRT(((Inputs!$I$7+(((A41)+1)/2)*(Inputs!$J$7-Inputs!$I$7)))^2+Inputs!$C$6^2+((Inputs!$H$7+Inputs!$L$7*(((Inputs!$I$7+(((A41)+1)/2)*(Inputs!$J$7-Inputs!$I$7)))/Inputs!$K$7)^2))^2)))))/Inputs!$C$13),NA())</x:f>
        <x:v>2454.084297346958</x:v>
      </x:c>
      <x:c r="P41" s="48" t="n">
        <x:f>IF(OR(Inputs!$F$8=TRUE,Inputs!$F$8="TRUE",Inputs!$F$8=1),(-2*((1000*((((Inputs!$I$8+(((A41)+1)/2)*(Inputs!$J$8-Inputs!$I$8)))*Inputs!$C$11+((Inputs!$H$8+Inputs!$L$8*(((Inputs!$I$8+(((A41)+1)/2)*(Inputs!$J$8-Inputs!$I$8)))/Inputs!$K$8)^2))*((2*Inputs!$L$8*((Inputs!$I$8+(((A41)+1)/2)*(Inputs!$J$8-Inputs!$I$8)))/(Inputs!$K$8^2)*Inputs!$C$11)))/(SQRT(((Inputs!$I$8+(((A41)+1)/2)*(Inputs!$J$8-Inputs!$I$8)))^2+Inputs!$C$6^2+((Inputs!$H$8+Inputs!$L$8*(((Inputs!$I$8+(((A41)+1)/2)*(Inputs!$J$8-Inputs!$I$8)))/Inputs!$K$8)^2))^2)))))/Inputs!$C$13),NA())</x:f>
        <x:v>2920.152480617434</x:v>
      </x:c>
      <x:c r="Q41" s="48" t="n">
        <x:f>IF(OR(Inputs!$F$9=TRUE,Inputs!$F$9="TRUE",Inputs!$F$9=1),(-2*((1000*((((Inputs!$I$9+(((A41)+1)/2)*(Inputs!$J$9-Inputs!$I$9)))*Inputs!$C$11+((Inputs!$H$9+Inputs!$L$9*(((Inputs!$I$9+(((A41)+1)/2)*(Inputs!$J$9-Inputs!$I$9)))/Inputs!$K$9)^2))*((2*Inputs!$L$9*((Inputs!$I$9+(((A41)+1)/2)*(Inputs!$J$9-Inputs!$I$9)))/(Inputs!$K$9^2)*Inputs!$C$11)))/(SQRT(((Inputs!$I$9+(((A41)+1)/2)*(Inputs!$J$9-Inputs!$I$9)))^2+Inputs!$C$6^2+((Inputs!$H$9+Inputs!$L$9*(((Inputs!$I$9+(((A41)+1)/2)*(Inputs!$J$9-Inputs!$I$9)))/Inputs!$K$9)^2))^2)))))/Inputs!$C$13),NA())</x:f>
        <x:v>2932.642103033661</x:v>
      </x:c>
      <x:c r="R41" s="49"/>
      <x:c r="S41" s="48" t="n">
        <x:f>A41</x:f>
        <x:v>-0.675</x:v>
      </x:c>
      <x:c r="T41" s="48" t="n">
        <x:f>(Inputs!$I$6+(((A41)+1)/2)*(Inputs!$J$6-Inputs!$I$6))</x:f>
        <x:v>-40.5</x:v>
      </x:c>
      <x:c r="U41" s="48" t="n">
        <x:f>(Inputs!$I$7+(((A41)+1)/2)*(Inputs!$J$7-Inputs!$I$7))</x:f>
        <x:v>-270</x:v>
      </x:c>
      <x:c r="V41" s="48" t="n">
        <x:f>(Inputs!$I$8+(((A41)+1)/2)*(Inputs!$J$8-Inputs!$I$8))</x:f>
        <x:v>-540</x:v>
      </x:c>
      <x:c r="W41" s="48" t="n">
        <x:f>(Inputs!$I$9+(((A41)+1)/2)*(Inputs!$J$9-Inputs!$I$9))</x:f>
        <x:v>-540</x:v>
      </x:c>
      <x:c r="X41" s="49"/>
      <x:c r="Y41" s="48" t="n">
        <x:f>A41</x:f>
        <x:v>-0.675</x:v>
      </x:c>
      <x:c r="Z41" s="48" t="n">
        <x:f>(Inputs!$H$6+Inputs!$L$6*(((Inputs!$I$6+(((A41)+1)/2)*(Inputs!$J$6-Inputs!$I$6)))/Inputs!$K$6)^2)</x:f>
        <x:v>401.8225</x:v>
      </x:c>
      <x:c r="AA41" s="48" t="n">
        <x:f>(Inputs!$H$7+Inputs!$L$7*(((Inputs!$I$7+(((A41)+1)/2)*(Inputs!$J$7-Inputs!$I$7)))/Inputs!$K$7)^2)</x:f>
        <x:v>201.30312500000002</x:v>
      </x:c>
      <x:c r="AB41" s="48" t="n">
        <x:f>(Inputs!$H$8+Inputs!$L$8*(((Inputs!$I$8+(((A41)+1)/2)*(Inputs!$J$8-Inputs!$I$8)))/Inputs!$K$8)^2)</x:f>
        <x:v>474.6781250000001</x:v>
      </x:c>
      <x:c r="AC41" s="48" t="n">
        <x:f>(Inputs!$H$9+Inputs!$L$9*(((Inputs!$I$9+(((A41)+1)/2)*(Inputs!$J$9-Inputs!$I$9)))/Inputs!$K$9)^2)</x:f>
        <x:v>469.23437500000006</x:v>
      </x:c>
      <x:c r="AD41" s="49"/>
      <x:c r="AE41" s="48" t="n">
        <x:f>A41</x:f>
        <x:v>-0.675</x:v>
      </x:c>
      <x:c r="AF41" s="48" t="n">
        <x:f>(((SQRT(((Inputs!$I$6+(((A41)+1)/2)*(Inputs!$J$6-Inputs!$I$6)))^2+Inputs!$C$6^2+((Inputs!$H$6+Inputs!$L$6*(((Inputs!$I$6+(((A41)+1)/2)*(Inputs!$J$6-Inputs!$I$6)))/Inputs!$K$6)^2))^2))-((Inputs!$H$6+Inputs!$L$6*(((Inputs!$I$6+(((A41)+1)/2)*(Inputs!$J$6-Inputs!$I$6)))/Inputs!$K$6)^2)))*1000/Inputs!$C$12)</x:f>
        <x:v>1578.0348465697127</x:v>
      </x:c>
      <x:c r="AG41" s="48" t="n">
        <x:f>(((SQRT(((Inputs!$I$7+(((A41)+1)/2)*(Inputs!$J$7-Inputs!$I$7)))^2+Inputs!$C$6^2+((Inputs!$H$7+Inputs!$L$7*(((Inputs!$I$7+(((A41)+1)/2)*(Inputs!$J$7-Inputs!$I$7)))/Inputs!$K$7)^2))^2))-((Inputs!$H$7+Inputs!$L$7*(((Inputs!$I$7+(((A41)+1)/2)*(Inputs!$J$7-Inputs!$I$7)))/Inputs!$K$7)^2)))*1000/Inputs!$C$12)</x:f>
        <x:v>76632.9960211569</x:v>
      </x:c>
      <x:c r="AH41" s="48" t="n">
        <x:f>(((SQRT(((Inputs!$I$8+(((A41)+1)/2)*(Inputs!$J$8-Inputs!$I$8)))^2+Inputs!$C$6^2+((Inputs!$H$8+Inputs!$L$8*(((Inputs!$I$8+(((A41)+1)/2)*(Inputs!$J$8-Inputs!$I$8)))/Inputs!$K$8)^2))^2))-((Inputs!$H$8+Inputs!$L$8*(((Inputs!$I$8+(((A41)+1)/2)*(Inputs!$J$8-Inputs!$I$8)))/Inputs!$K$8)^2)))*1000/Inputs!$C$12)</x:f>
        <x:v>137487.30842840724</x:v>
      </x:c>
      <x:c r="AI41" s="48" t="n">
        <x:f>(((SQRT(((Inputs!$I$9+(((A41)+1)/2)*(Inputs!$J$9-Inputs!$I$9)))^2+Inputs!$C$6^2+((Inputs!$H$9+Inputs!$L$9*(((Inputs!$I$9+(((A41)+1)/2)*(Inputs!$J$9-Inputs!$I$9)))/Inputs!$K$9)^2))^2))-((Inputs!$H$9+Inputs!$L$9*(((Inputs!$I$9+(((A41)+1)/2)*(Inputs!$J$9-Inputs!$I$9)))/Inputs!$K$9)^2)))*1000/Inputs!$C$12)</x:f>
        <x:v>138534.24266012842</x:v>
      </x:c>
      <x:c r="AJ41" s="49"/>
      <x:c r="AK41" s="48" t="n">
        <x:f>A41</x:f>
        <x:v>-0.675</x:v>
      </x:c>
      <x:c r="AL41" s="48" t="n">
        <x:f>(-2*((1000*((((Inputs!$I$6+(((A41)+1)/2)*(Inputs!$J$6-Inputs!$I$6)))*Inputs!$C$11+((Inputs!$H$6+Inputs!$L$6*(((Inputs!$I$6+(((A41)+1)/2)*(Inputs!$J$6-Inputs!$I$6)))/Inputs!$K$6)^2))*((2*Inputs!$L$6*((Inputs!$I$6+(((A41)+1)/2)*(Inputs!$J$6-Inputs!$I$6)))/(Inputs!$K$6^2)*Inputs!$C$11)))/(SQRT(((Inputs!$I$6+(((A41)+1)/2)*(Inputs!$J$6-Inputs!$I$6)))^2+Inputs!$C$6^2+((Inputs!$H$6+Inputs!$L$6*(((Inputs!$I$6+(((A41)+1)/2)*(Inputs!$J$6-Inputs!$I$6)))/Inputs!$K$6)^2))^2)))))/Inputs!$C$13)</x:f>
        <x:v>303.14612110072255</x:v>
      </x:c>
      <x:c r="AM41" s="48" t="n">
        <x:f>(-2*((1000*((((Inputs!$I$7+(((A41)+1)/2)*(Inputs!$J$7-Inputs!$I$7)))*Inputs!$C$11+((Inputs!$H$7+Inputs!$L$7*(((Inputs!$I$7+(((A41)+1)/2)*(Inputs!$J$7-Inputs!$I$7)))/Inputs!$K$7)^2))*((2*Inputs!$L$7*((Inputs!$I$7+(((A41)+1)/2)*(Inputs!$J$7-Inputs!$I$7)))/(Inputs!$K$7^2)*Inputs!$C$11)))/(SQRT(((Inputs!$I$7+(((A41)+1)/2)*(Inputs!$J$7-Inputs!$I$7)))^2+Inputs!$C$6^2+((Inputs!$H$7+Inputs!$L$7*(((Inputs!$I$7+(((A41)+1)/2)*(Inputs!$J$7-Inputs!$I$7)))/Inputs!$K$7)^2))^2)))))/Inputs!$C$13)</x:f>
        <x:v>2454.084297346958</x:v>
      </x:c>
      <x:c r="AN41" s="48" t="n">
        <x:f>(-2*((1000*((((Inputs!$I$8+(((A41)+1)/2)*(Inputs!$J$8-Inputs!$I$8)))*Inputs!$C$11+((Inputs!$H$8+Inputs!$L$8*(((Inputs!$I$8+(((A41)+1)/2)*(Inputs!$J$8-Inputs!$I$8)))/Inputs!$K$8)^2))*((2*Inputs!$L$8*((Inputs!$I$8+(((A41)+1)/2)*(Inputs!$J$8-Inputs!$I$8)))/(Inputs!$K$8^2)*Inputs!$C$11)))/(SQRT(((Inputs!$I$8+(((A41)+1)/2)*(Inputs!$J$8-Inputs!$I$8)))^2+Inputs!$C$6^2+((Inputs!$H$8+Inputs!$L$8*(((Inputs!$I$8+(((A41)+1)/2)*(Inputs!$J$8-Inputs!$I$8)))/Inputs!$K$8)^2))^2)))))/Inputs!$C$13)</x:f>
        <x:v>2920.152480617434</x:v>
      </x:c>
      <x:c r="AO41" s="48" t="n">
        <x:f>(-2*((1000*((((Inputs!$I$9+(((A41)+1)/2)*(Inputs!$J$9-Inputs!$I$9)))*Inputs!$C$11+((Inputs!$H$9+Inputs!$L$9*(((Inputs!$I$9+(((A41)+1)/2)*(Inputs!$J$9-Inputs!$I$9)))/Inputs!$K$9)^2))*((2*Inputs!$L$9*((Inputs!$I$9+(((A41)+1)/2)*(Inputs!$J$9-Inputs!$I$9)))/(Inputs!$K$9^2)*Inputs!$C$11)))/(SQRT(((Inputs!$I$9+(((A41)+1)/2)*(Inputs!$J$9-Inputs!$I$9)))^2+Inputs!$C$6^2+((Inputs!$H$9+Inputs!$L$9*(((Inputs!$I$9+(((A41)+1)/2)*(Inputs!$J$9-Inputs!$I$9)))/Inputs!$K$9)^2))^2)))))/Inputs!$C$13)</x:f>
        <x:v>2932.642103033661</x:v>
      </x:c>
    </x:row>
    <x:row r="42">
      <x:c r="A42" s="48" t="n">
        <x:f>ROUND(-1+40*2/240,3)</x:f>
        <x:v>-0.667</x:v>
      </x:c>
      <x:c r="B42" s="48" t="n">
        <x:f>IF(OR(Inputs!$F$6=TRUE,Inputs!$F$6="TRUE",Inputs!$F$6=1),(Inputs!$H$6+Inputs!$L$6*(((Inputs!$I$6+(((A42)+1)/2)*(Inputs!$J$6-Inputs!$I$6)))/Inputs!$K$6)^2),NA())</x:f>
        <x:v>401.779556</x:v>
      </x:c>
      <x:c r="C42" s="48" t="n">
        <x:f>IF(OR(Inputs!$F$7=TRUE,Inputs!$F$7="TRUE",Inputs!$F$7=1),(Inputs!$H$7+Inputs!$L$7*(((Inputs!$I$7+(((A42)+1)/2)*(Inputs!$J$7-Inputs!$I$7)))/Inputs!$K$7)^2),NA())</x:f>
        <x:v>197.384485</x:v>
      </x:c>
      <x:c r="D42" s="48" t="n">
        <x:f>IF(OR(Inputs!$F$8=TRUE,Inputs!$F$8="TRUE",Inputs!$F$8=1),(Inputs!$H$8+Inputs!$L$8*(((Inputs!$I$8+(((A42)+1)/2)*(Inputs!$J$8-Inputs!$I$8)))/Inputs!$K$8)^2),NA())</x:f>
        <x:v>464.31788500000005</x:v>
      </x:c>
      <x:c r="E42" s="48" t="n">
        <x:f>IF(OR(Inputs!$F$9=TRUE,Inputs!$F$9="TRUE",Inputs!$F$9=1),(Inputs!$H$9+Inputs!$L$9*(((Inputs!$I$9+(((A42)+1)/2)*(Inputs!$J$9-Inputs!$I$9)))/Inputs!$K$9)^2),NA())</x:f>
        <x:v>458.76677500000005</x:v>
      </x:c>
      <x:c r="F42" s="49"/>
      <x:c r="G42" s="48" t="n">
        <x:f>A42</x:f>
        <x:v>-0.667</x:v>
      </x:c>
      <x:c r="H42" s="48" t="n">
        <x:f>IF(OR(Inputs!$F$6=TRUE,Inputs!$F$6="TRUE",Inputs!$F$6=1),(((SQRT(((Inputs!$I$6+(((A42)+1)/2)*(Inputs!$J$6-Inputs!$I$6)))^2+Inputs!$C$6^2+((Inputs!$H$6+Inputs!$L$6*(((Inputs!$I$6+(((A42)+1)/2)*(Inputs!$J$6-Inputs!$I$6)))/Inputs!$K$6)^2))^2))-((Inputs!$H$6+Inputs!$L$6*(((Inputs!$I$6+(((A42)+1)/2)*(Inputs!$J$6-Inputs!$I$6)))/Inputs!$K$6)^2)))*1000/Inputs!$C$12),NA())</x:f>
        <x:v>1551.3670195100287</x:v>
      </x:c>
      <x:c r="I42" s="48" t="n">
        <x:f>IF(OR(Inputs!$F$7=TRUE,Inputs!$F$7="TRUE",Inputs!$F$7=1),(((SQRT(((Inputs!$I$7+(((A42)+1)/2)*(Inputs!$J$7-Inputs!$I$7)))^2+Inputs!$C$6^2+((Inputs!$H$7+Inputs!$L$7*(((Inputs!$I$7+(((A42)+1)/2)*(Inputs!$J$7-Inputs!$I$7)))/Inputs!$K$7)^2))^2))-((Inputs!$H$7+Inputs!$L$7*(((Inputs!$I$7+(((A42)+1)/2)*(Inputs!$J$7-Inputs!$I$7)))/Inputs!$K$7)^2)))*1000/Inputs!$C$12),NA())</x:f>
        <x:v>76086.28978483491</x:v>
      </x:c>
      <x:c r="J42" s="48" t="n">
        <x:f>IF(OR(Inputs!$F$8=TRUE,Inputs!$F$8="TRUE",Inputs!$F$8=1),(((SQRT(((Inputs!$I$8+(((A42)+1)/2)*(Inputs!$J$8-Inputs!$I$8)))^2+Inputs!$C$6^2+((Inputs!$H$8+Inputs!$L$8*(((Inputs!$I$8+(((A42)+1)/2)*(Inputs!$J$8-Inputs!$I$8)))/Inputs!$K$8)^2))^2))-((Inputs!$H$8+Inputs!$L$8*(((Inputs!$I$8+(((A42)+1)/2)*(Inputs!$J$8-Inputs!$I$8)))/Inputs!$K$8)^2)))*1000/Inputs!$C$12),NA())</x:f>
        <x:v>136773.50442022432</x:v>
      </x:c>
      <x:c r="K42" s="48" t="n">
        <x:f>IF(OR(Inputs!$F$9=TRUE,Inputs!$F$9="TRUE",Inputs!$F$9=1),(((SQRT(((Inputs!$I$9+(((A42)+1)/2)*(Inputs!$J$9-Inputs!$I$9)))^2+Inputs!$C$6^2+((Inputs!$H$9+Inputs!$L$9*(((Inputs!$I$9+(((A42)+1)/2)*(Inputs!$J$9-Inputs!$I$9)))/Inputs!$K$9)^2))^2))-((Inputs!$H$9+Inputs!$L$9*(((Inputs!$I$9+(((A42)+1)/2)*(Inputs!$J$9-Inputs!$I$9)))/Inputs!$K$9)^2)))*1000/Inputs!$C$12),NA())</x:f>
        <x:v>137853.22773067432</x:v>
      </x:c>
      <x:c r="L42" s="49"/>
      <x:c r="M42" s="48" t="n">
        <x:f>A42</x:f>
        <x:v>-0.667</x:v>
      </x:c>
      <x:c r="N42" s="48" t="n">
        <x:f>IF(OR(Inputs!$F$6=TRUE,Inputs!$F$6="TRUE",Inputs!$F$6=1),(-2*((1000*((((Inputs!$I$6+(((A42)+1)/2)*(Inputs!$J$6-Inputs!$I$6)))*Inputs!$C$11+((Inputs!$H$6+Inputs!$L$6*(((Inputs!$I$6+(((A42)+1)/2)*(Inputs!$J$6-Inputs!$I$6)))/Inputs!$K$6)^2))*((2*Inputs!$L$6*((Inputs!$I$6+(((A42)+1)/2)*(Inputs!$J$6-Inputs!$I$6)))/(Inputs!$K$6^2)*Inputs!$C$11)))/(SQRT(((Inputs!$I$6+(((A42)+1)/2)*(Inputs!$J$6-Inputs!$I$6)))^2+Inputs!$C$6^2+((Inputs!$H$6+Inputs!$L$6*(((Inputs!$I$6+(((A42)+1)/2)*(Inputs!$J$6-Inputs!$I$6)))/Inputs!$K$6)^2))^2)))))/Inputs!$C$13),NA())</x:f>
        <x:v>299.60512159652797</x:v>
      </x:c>
      <x:c r="O42" s="48" t="n">
        <x:f>IF(OR(Inputs!$F$7=TRUE,Inputs!$F$7="TRUE",Inputs!$F$7=1),(-2*((1000*((((Inputs!$I$7+(((A42)+1)/2)*(Inputs!$J$7-Inputs!$I$7)))*Inputs!$C$11+((Inputs!$H$7+Inputs!$L$7*(((Inputs!$I$7+(((A42)+1)/2)*(Inputs!$J$7-Inputs!$I$7)))/Inputs!$K$7)^2))*((2*Inputs!$L$7*((Inputs!$I$7+(((A42)+1)/2)*(Inputs!$J$7-Inputs!$I$7)))/(Inputs!$K$7^2)*Inputs!$C$11)))/(SQRT(((Inputs!$I$7+(((A42)+1)/2)*(Inputs!$J$7-Inputs!$I$7)))^2+Inputs!$C$6^2+((Inputs!$H$7+Inputs!$L$7*(((Inputs!$I$7+(((A42)+1)/2)*(Inputs!$J$7-Inputs!$I$7)))/Inputs!$K$7)^2))^2)))))/Inputs!$C$13),NA())</x:f>
        <x:v>2437.7098635199627</x:v>
      </x:c>
      <x:c r="P42" s="48" t="n">
        <x:f>IF(OR(Inputs!$F$8=TRUE,Inputs!$F$8="TRUE",Inputs!$F$8=1),(-2*((1000*((((Inputs!$I$8+(((A42)+1)/2)*(Inputs!$J$8-Inputs!$I$8)))*Inputs!$C$11+((Inputs!$H$8+Inputs!$L$8*(((Inputs!$I$8+(((A42)+1)/2)*(Inputs!$J$8-Inputs!$I$8)))/Inputs!$K$8)^2))*((2*Inputs!$L$8*((Inputs!$I$8+(((A42)+1)/2)*(Inputs!$J$8-Inputs!$I$8)))/(Inputs!$K$8^2)*Inputs!$C$11)))/(SQRT(((Inputs!$I$8+(((A42)+1)/2)*(Inputs!$J$8-Inputs!$I$8)))^2+Inputs!$C$6^2+((Inputs!$H$8+Inputs!$L$8*(((Inputs!$I$8+(((A42)+1)/2)*(Inputs!$J$8-Inputs!$I$8)))/Inputs!$K$8)^2))^2)))))/Inputs!$C$13),NA())</x:f>
        <x:v>2895.2745087802164</x:v>
      </x:c>
      <x:c r="Q42" s="48" t="n">
        <x:f>IF(OR(Inputs!$F$9=TRUE,Inputs!$F$9="TRUE",Inputs!$F$9=1),(-2*((1000*((((Inputs!$I$9+(((A42)+1)/2)*(Inputs!$J$9-Inputs!$I$9)))*Inputs!$C$11+((Inputs!$H$9+Inputs!$L$9*(((Inputs!$I$9+(((A42)+1)/2)*(Inputs!$J$9-Inputs!$I$9)))/Inputs!$K$9)^2))*((2*Inputs!$L$9*((Inputs!$I$9+(((A42)+1)/2)*(Inputs!$J$9-Inputs!$I$9)))/(Inputs!$K$9^2)*Inputs!$C$11)))/(SQRT(((Inputs!$I$9+(((A42)+1)/2)*(Inputs!$J$9-Inputs!$I$9)))^2+Inputs!$C$6^2+((Inputs!$H$9+Inputs!$L$9*(((Inputs!$I$9+(((A42)+1)/2)*(Inputs!$J$9-Inputs!$I$9)))/Inputs!$K$9)^2))^2)))))/Inputs!$C$13),NA())</x:f>
        <x:v>2907.2825894839652</x:v>
      </x:c>
      <x:c r="R42" s="49"/>
      <x:c r="S42" s="48" t="n">
        <x:f>A42</x:f>
        <x:v>-0.667</x:v>
      </x:c>
      <x:c r="T42" s="48" t="n">
        <x:f>(Inputs!$I$6+(((A42)+1)/2)*(Inputs!$J$6-Inputs!$I$6))</x:f>
        <x:v>-40.02</x:v>
      </x:c>
      <x:c r="U42" s="48" t="n">
        <x:f>(Inputs!$I$7+(((A42)+1)/2)*(Inputs!$J$7-Inputs!$I$7))</x:f>
        <x:v>-266.8</x:v>
      </x:c>
      <x:c r="V42" s="48" t="n">
        <x:f>(Inputs!$I$8+(((A42)+1)/2)*(Inputs!$J$8-Inputs!$I$8))</x:f>
        <x:v>-533.6</x:v>
      </x:c>
      <x:c r="W42" s="48" t="n">
        <x:f>(Inputs!$I$9+(((A42)+1)/2)*(Inputs!$J$9-Inputs!$I$9))</x:f>
        <x:v>-533.6</x:v>
      </x:c>
      <x:c r="X42" s="49"/>
      <x:c r="Y42" s="48" t="n">
        <x:f>A42</x:f>
        <x:v>-0.667</x:v>
      </x:c>
      <x:c r="Z42" s="48" t="n">
        <x:f>(Inputs!$H$6+Inputs!$L$6*(((Inputs!$I$6+(((A42)+1)/2)*(Inputs!$J$6-Inputs!$I$6)))/Inputs!$K$6)^2)</x:f>
        <x:v>401.779556</x:v>
      </x:c>
      <x:c r="AA42" s="48" t="n">
        <x:f>(Inputs!$H$7+Inputs!$L$7*(((Inputs!$I$7+(((A42)+1)/2)*(Inputs!$J$7-Inputs!$I$7)))/Inputs!$K$7)^2)</x:f>
        <x:v>197.384485</x:v>
      </x:c>
      <x:c r="AB42" s="48" t="n">
        <x:f>(Inputs!$H$8+Inputs!$L$8*(((Inputs!$I$8+(((A42)+1)/2)*(Inputs!$J$8-Inputs!$I$8)))/Inputs!$K$8)^2)</x:f>
        <x:v>464.31788500000005</x:v>
      </x:c>
      <x:c r="AC42" s="48" t="n">
        <x:f>(Inputs!$H$9+Inputs!$L$9*(((Inputs!$I$9+(((A42)+1)/2)*(Inputs!$J$9-Inputs!$I$9)))/Inputs!$K$9)^2)</x:f>
        <x:v>458.76677500000005</x:v>
      </x:c>
      <x:c r="AD42" s="49"/>
      <x:c r="AE42" s="48" t="n">
        <x:f>A42</x:f>
        <x:v>-0.667</x:v>
      </x:c>
      <x:c r="AF42" s="48" t="n">
        <x:f>(((SQRT(((Inputs!$I$6+(((A42)+1)/2)*(Inputs!$J$6-Inputs!$I$6)))^2+Inputs!$C$6^2+((Inputs!$H$6+Inputs!$L$6*(((Inputs!$I$6+(((A42)+1)/2)*(Inputs!$J$6-Inputs!$I$6)))/Inputs!$K$6)^2))^2))-((Inputs!$H$6+Inputs!$L$6*(((Inputs!$I$6+(((A42)+1)/2)*(Inputs!$J$6-Inputs!$I$6)))/Inputs!$K$6)^2)))*1000/Inputs!$C$12)</x:f>
        <x:v>1551.3670195100287</x:v>
      </x:c>
      <x:c r="AG42" s="48" t="n">
        <x:f>(((SQRT(((Inputs!$I$7+(((A42)+1)/2)*(Inputs!$J$7-Inputs!$I$7)))^2+Inputs!$C$6^2+((Inputs!$H$7+Inputs!$L$7*(((Inputs!$I$7+(((A42)+1)/2)*(Inputs!$J$7-Inputs!$I$7)))/Inputs!$K$7)^2))^2))-((Inputs!$H$7+Inputs!$L$7*(((Inputs!$I$7+(((A42)+1)/2)*(Inputs!$J$7-Inputs!$I$7)))/Inputs!$K$7)^2)))*1000/Inputs!$C$12)</x:f>
        <x:v>76086.28978483491</x:v>
      </x:c>
      <x:c r="AH42" s="48" t="n">
        <x:f>(((SQRT(((Inputs!$I$8+(((A42)+1)/2)*(Inputs!$J$8-Inputs!$I$8)))^2+Inputs!$C$6^2+((Inputs!$H$8+Inputs!$L$8*(((Inputs!$I$8+(((A42)+1)/2)*(Inputs!$J$8-Inputs!$I$8)))/Inputs!$K$8)^2))^2))-((Inputs!$H$8+Inputs!$L$8*(((Inputs!$I$8+(((A42)+1)/2)*(Inputs!$J$8-Inputs!$I$8)))/Inputs!$K$8)^2)))*1000/Inputs!$C$12)</x:f>
        <x:v>136773.50442022432</x:v>
      </x:c>
      <x:c r="AI42" s="48" t="n">
        <x:f>(((SQRT(((Inputs!$I$9+(((A42)+1)/2)*(Inputs!$J$9-Inputs!$I$9)))^2+Inputs!$C$6^2+((Inputs!$H$9+Inputs!$L$9*(((Inputs!$I$9+(((A42)+1)/2)*(Inputs!$J$9-Inputs!$I$9)))/Inputs!$K$9)^2))^2))-((Inputs!$H$9+Inputs!$L$9*(((Inputs!$I$9+(((A42)+1)/2)*(Inputs!$J$9-Inputs!$I$9)))/Inputs!$K$9)^2)))*1000/Inputs!$C$12)</x:f>
        <x:v>137853.22773067432</x:v>
      </x:c>
      <x:c r="AJ42" s="49"/>
      <x:c r="AK42" s="48" t="n">
        <x:f>A42</x:f>
        <x:v>-0.667</x:v>
      </x:c>
      <x:c r="AL42" s="48" t="n">
        <x:f>(-2*((1000*((((Inputs!$I$6+(((A42)+1)/2)*(Inputs!$J$6-Inputs!$I$6)))*Inputs!$C$11+((Inputs!$H$6+Inputs!$L$6*(((Inputs!$I$6+(((A42)+1)/2)*(Inputs!$J$6-Inputs!$I$6)))/Inputs!$K$6)^2))*((2*Inputs!$L$6*((Inputs!$I$6+(((A42)+1)/2)*(Inputs!$J$6-Inputs!$I$6)))/(Inputs!$K$6^2)*Inputs!$C$11)))/(SQRT(((Inputs!$I$6+(((A42)+1)/2)*(Inputs!$J$6-Inputs!$I$6)))^2+Inputs!$C$6^2+((Inputs!$H$6+Inputs!$L$6*(((Inputs!$I$6+(((A42)+1)/2)*(Inputs!$J$6-Inputs!$I$6)))/Inputs!$K$6)^2))^2)))))/Inputs!$C$13)</x:f>
        <x:v>299.60512159652797</x:v>
      </x:c>
      <x:c r="AM42" s="48" t="n">
        <x:f>(-2*((1000*((((Inputs!$I$7+(((A42)+1)/2)*(Inputs!$J$7-Inputs!$I$7)))*Inputs!$C$11+((Inputs!$H$7+Inputs!$L$7*(((Inputs!$I$7+(((A42)+1)/2)*(Inputs!$J$7-Inputs!$I$7)))/Inputs!$K$7)^2))*((2*Inputs!$L$7*((Inputs!$I$7+(((A42)+1)/2)*(Inputs!$J$7-Inputs!$I$7)))/(Inputs!$K$7^2)*Inputs!$C$11)))/(SQRT(((Inputs!$I$7+(((A42)+1)/2)*(Inputs!$J$7-Inputs!$I$7)))^2+Inputs!$C$6^2+((Inputs!$H$7+Inputs!$L$7*(((Inputs!$I$7+(((A42)+1)/2)*(Inputs!$J$7-Inputs!$I$7)))/Inputs!$K$7)^2))^2)))))/Inputs!$C$13)</x:f>
        <x:v>2437.7098635199627</x:v>
      </x:c>
      <x:c r="AN42" s="48" t="n">
        <x:f>(-2*((1000*((((Inputs!$I$8+(((A42)+1)/2)*(Inputs!$J$8-Inputs!$I$8)))*Inputs!$C$11+((Inputs!$H$8+Inputs!$L$8*(((Inputs!$I$8+(((A42)+1)/2)*(Inputs!$J$8-Inputs!$I$8)))/Inputs!$K$8)^2))*((2*Inputs!$L$8*((Inputs!$I$8+(((A42)+1)/2)*(Inputs!$J$8-Inputs!$I$8)))/(Inputs!$K$8^2)*Inputs!$C$11)))/(SQRT(((Inputs!$I$8+(((A42)+1)/2)*(Inputs!$J$8-Inputs!$I$8)))^2+Inputs!$C$6^2+((Inputs!$H$8+Inputs!$L$8*(((Inputs!$I$8+(((A42)+1)/2)*(Inputs!$J$8-Inputs!$I$8)))/Inputs!$K$8)^2))^2)))))/Inputs!$C$13)</x:f>
        <x:v>2895.2745087802164</x:v>
      </x:c>
      <x:c r="AO42" s="48" t="n">
        <x:f>(-2*((1000*((((Inputs!$I$9+(((A42)+1)/2)*(Inputs!$J$9-Inputs!$I$9)))*Inputs!$C$11+((Inputs!$H$9+Inputs!$L$9*(((Inputs!$I$9+(((A42)+1)/2)*(Inputs!$J$9-Inputs!$I$9)))/Inputs!$K$9)^2))*((2*Inputs!$L$9*((Inputs!$I$9+(((A42)+1)/2)*(Inputs!$J$9-Inputs!$I$9)))/(Inputs!$K$9^2)*Inputs!$C$11)))/(SQRT(((Inputs!$I$9+(((A42)+1)/2)*(Inputs!$J$9-Inputs!$I$9)))^2+Inputs!$C$6^2+((Inputs!$H$9+Inputs!$L$9*(((Inputs!$I$9+(((A42)+1)/2)*(Inputs!$J$9-Inputs!$I$9)))/Inputs!$K$9)^2))^2)))))/Inputs!$C$13)</x:f>
        <x:v>2907.2825894839652</x:v>
      </x:c>
    </x:row>
    <x:row r="43">
      <x:c r="A43" s="48" t="n">
        <x:f>ROUND(-1+41*2/240,3)</x:f>
        <x:v>-0.658</x:v>
      </x:c>
      <x:c r="B43" s="48" t="n">
        <x:f>IF(OR(Inputs!$F$6=TRUE,Inputs!$F$6="TRUE",Inputs!$F$6=1),(Inputs!$H$6+Inputs!$L$6*(((Inputs!$I$6+(((A43)+1)/2)*(Inputs!$J$6-Inputs!$I$6)))/Inputs!$K$6)^2),NA())</x:f>
        <x:v>401.731856</x:v>
      </x:c>
      <x:c r="C43" s="48" t="n">
        <x:f>IF(OR(Inputs!$F$7=TRUE,Inputs!$F$7="TRUE",Inputs!$F$7=1),(Inputs!$H$7+Inputs!$L$7*(((Inputs!$I$7+(((A43)+1)/2)*(Inputs!$J$7-Inputs!$I$7)))/Inputs!$K$7)^2),NA())</x:f>
        <x:v>193.03186000000008</x:v>
      </x:c>
      <x:c r="D43" s="48" t="n">
        <x:f>IF(OR(Inputs!$F$8=TRUE,Inputs!$F$8="TRUE",Inputs!$F$8=1),(Inputs!$H$8+Inputs!$L$8*(((Inputs!$I$8+(((A43)+1)/2)*(Inputs!$J$8-Inputs!$I$8)))/Inputs!$K$8)^2),NA())</x:f>
        <x:v>452.8102600000002</x:v>
      </x:c>
      <x:c r="E43" s="48" t="n">
        <x:f>IF(OR(Inputs!$F$9=TRUE,Inputs!$F$9="TRUE",Inputs!$F$9=1),(Inputs!$H$9+Inputs!$L$9*(((Inputs!$I$9+(((A43)+1)/2)*(Inputs!$J$9-Inputs!$I$9)))/Inputs!$K$9)^2),NA())</x:f>
        <x:v>447.1399000000002</x:v>
      </x:c>
      <x:c r="F43" s="49"/>
      <x:c r="G43" s="48" t="n">
        <x:f>A43</x:f>
        <x:v>-0.658</x:v>
      </x:c>
      <x:c r="H43" s="48" t="n">
        <x:f>IF(OR(Inputs!$F$6=TRUE,Inputs!$F$6="TRUE",Inputs!$F$6=1),(((SQRT(((Inputs!$I$6+(((A43)+1)/2)*(Inputs!$J$6-Inputs!$I$6)))^2+Inputs!$C$6^2+((Inputs!$H$6+Inputs!$L$6*(((Inputs!$I$6+(((A43)+1)/2)*(Inputs!$J$6-Inputs!$I$6)))/Inputs!$K$6)^2))^2))-((Inputs!$H$6+Inputs!$L$6*(((Inputs!$I$6+(((A43)+1)/2)*(Inputs!$J$6-Inputs!$I$6)))/Inputs!$K$6)^2)))*1000/Inputs!$C$12),NA())</x:f>
        <x:v>1521.7354525077872</x:v>
      </x:c>
      <x:c r="I43" s="48" t="n">
        <x:f>IF(OR(Inputs!$F$7=TRUE,Inputs!$F$7="TRUE",Inputs!$F$7=1),(((SQRT(((Inputs!$I$7+(((A43)+1)/2)*(Inputs!$J$7-Inputs!$I$7)))^2+Inputs!$C$6^2+((Inputs!$H$7+Inputs!$L$7*(((Inputs!$I$7+(((A43)+1)/2)*(Inputs!$J$7-Inputs!$I$7)))/Inputs!$K$7)^2))^2))-((Inputs!$H$7+Inputs!$L$7*(((Inputs!$I$7+(((A43)+1)/2)*(Inputs!$J$7-Inputs!$I$7)))/Inputs!$K$7)^2)))*1000/Inputs!$C$12),NA())</x:f>
        <x:v>75461.78858683511</x:v>
      </x:c>
      <x:c r="J43" s="48" t="n">
        <x:f>IF(OR(Inputs!$F$8=TRUE,Inputs!$F$8="TRUE",Inputs!$F$8=1),(((SQRT(((Inputs!$I$8+(((A43)+1)/2)*(Inputs!$J$8-Inputs!$I$8)))^2+Inputs!$C$6^2+((Inputs!$H$8+Inputs!$L$8*(((Inputs!$I$8+(((A43)+1)/2)*(Inputs!$J$8-Inputs!$I$8)))/Inputs!$K$8)^2))^2))-((Inputs!$H$8+Inputs!$L$8*(((Inputs!$I$8+(((A43)+1)/2)*(Inputs!$J$8-Inputs!$I$8)))/Inputs!$K$8)^2)))*1000/Inputs!$C$12),NA())</x:f>
        <x:v>135954.16439863585</x:v>
      </x:c>
      <x:c r="K43" s="48" t="n">
        <x:f>IF(OR(Inputs!$F$9=TRUE,Inputs!$F$9="TRUE",Inputs!$F$9=1),(((SQRT(((Inputs!$I$9+(((A43)+1)/2)*(Inputs!$J$9-Inputs!$I$9)))^2+Inputs!$C$6^2+((Inputs!$H$9+Inputs!$L$9*(((Inputs!$I$9+(((A43)+1)/2)*(Inputs!$J$9-Inputs!$I$9)))/Inputs!$K$9)^2))^2))-((Inputs!$H$9+Inputs!$L$9*(((Inputs!$I$9+(((A43)+1)/2)*(Inputs!$J$9-Inputs!$I$9)))/Inputs!$K$9)^2)))*1000/Inputs!$C$12),NA())</x:f>
        <x:v>137071.2094225456</x:v>
      </x:c>
      <x:c r="L43" s="49"/>
      <x:c r="M43" s="48" t="n">
        <x:f>A43</x:f>
        <x:v>-0.658</x:v>
      </x:c>
      <x:c r="N43" s="48" t="n">
        <x:f>IF(OR(Inputs!$F$6=TRUE,Inputs!$F$6="TRUE",Inputs!$F$6=1),(-2*((1000*((((Inputs!$I$6+(((A43)+1)/2)*(Inputs!$J$6-Inputs!$I$6)))*Inputs!$C$11+((Inputs!$H$6+Inputs!$L$6*(((Inputs!$I$6+(((A43)+1)/2)*(Inputs!$J$6-Inputs!$I$6)))/Inputs!$K$6)^2))*((2*Inputs!$L$6*((Inputs!$I$6+(((A43)+1)/2)*(Inputs!$J$6-Inputs!$I$6)))/(Inputs!$K$6^2)*Inputs!$C$11)))/(SQRT(((Inputs!$I$6+(((A43)+1)/2)*(Inputs!$J$6-Inputs!$I$6)))^2+Inputs!$C$6^2+((Inputs!$H$6+Inputs!$L$6*(((Inputs!$I$6+(((A43)+1)/2)*(Inputs!$J$6-Inputs!$I$6)))/Inputs!$K$6)^2))^2)))))/Inputs!$C$13),NA())</x:f>
        <x:v>295.6193219988108</x:v>
      </x:c>
      <x:c r="O43" s="48" t="n">
        <x:f>IF(OR(Inputs!$F$7=TRUE,Inputs!$F$7="TRUE",Inputs!$F$7=1),(-2*((1000*((((Inputs!$I$7+(((A43)+1)/2)*(Inputs!$J$7-Inputs!$I$7)))*Inputs!$C$11+((Inputs!$H$7+Inputs!$L$7*(((Inputs!$I$7+(((A43)+1)/2)*(Inputs!$J$7-Inputs!$I$7)))/Inputs!$K$7)^2))*((2*Inputs!$L$7*((Inputs!$I$7+(((A43)+1)/2)*(Inputs!$J$7-Inputs!$I$7)))/(Inputs!$K$7^2)*Inputs!$C$11)))/(SQRT(((Inputs!$I$7+(((A43)+1)/2)*(Inputs!$J$7-Inputs!$I$7)))^2+Inputs!$C$6^2+((Inputs!$H$7+Inputs!$L$7*(((Inputs!$I$7+(((A43)+1)/2)*(Inputs!$J$7-Inputs!$I$7)))/Inputs!$K$7)^2))^2)))))/Inputs!$C$13),NA())</x:f>
        <x:v>2419.4116238719457</x:v>
      </x:c>
      <x:c r="P43" s="48" t="n">
        <x:f>IF(OR(Inputs!$F$8=TRUE,Inputs!$F$8="TRUE",Inputs!$F$8=1),(-2*((1000*((((Inputs!$I$8+(((A43)+1)/2)*(Inputs!$J$8-Inputs!$I$8)))*Inputs!$C$11+((Inputs!$H$8+Inputs!$L$8*(((Inputs!$I$8+(((A43)+1)/2)*(Inputs!$J$8-Inputs!$I$8)))/Inputs!$K$8)^2))*((2*Inputs!$L$8*((Inputs!$I$8+(((A43)+1)/2)*(Inputs!$J$8-Inputs!$I$8)))/(Inputs!$K$8^2)*Inputs!$C$11)))/(SQRT(((Inputs!$I$8+(((A43)+1)/2)*(Inputs!$J$8-Inputs!$I$8)))^2+Inputs!$C$6^2+((Inputs!$H$8+Inputs!$L$8*(((Inputs!$I$8+(((A43)+1)/2)*(Inputs!$J$8-Inputs!$I$8)))/Inputs!$K$8)^2))^2)))))/Inputs!$C$13),NA())</x:f>
        <x:v>2867.442220645656</x:v>
      </x:c>
      <x:c r="Q43" s="48" t="n">
        <x:f>IF(OR(Inputs!$F$9=TRUE,Inputs!$F$9="TRUE",Inputs!$F$9=1),(-2*((1000*((((Inputs!$I$9+(((A43)+1)/2)*(Inputs!$J$9-Inputs!$I$9)))*Inputs!$C$11+((Inputs!$H$9+Inputs!$L$9*(((Inputs!$I$9+(((A43)+1)/2)*(Inputs!$J$9-Inputs!$I$9)))/Inputs!$K$9)^2))*((2*Inputs!$L$9*((Inputs!$I$9+(((A43)+1)/2)*(Inputs!$J$9-Inputs!$I$9)))/(Inputs!$K$9^2)*Inputs!$C$11)))/(SQRT(((Inputs!$I$9+(((A43)+1)/2)*(Inputs!$J$9-Inputs!$I$9)))^2+Inputs!$C$6^2+((Inputs!$H$9+Inputs!$L$9*(((Inputs!$I$9+(((A43)+1)/2)*(Inputs!$J$9-Inputs!$I$9)))/Inputs!$K$9)^2))^2)))))/Inputs!$C$13),NA())</x:f>
        <x:v>2878.9085233499363</x:v>
      </x:c>
      <x:c r="R43" s="49"/>
      <x:c r="S43" s="48" t="n">
        <x:f>A43</x:f>
        <x:v>-0.658</x:v>
      </x:c>
      <x:c r="T43" s="48" t="n">
        <x:f>(Inputs!$I$6+(((A43)+1)/2)*(Inputs!$J$6-Inputs!$I$6))</x:f>
        <x:v>-39.480000000000004</x:v>
      </x:c>
      <x:c r="U43" s="48" t="n">
        <x:f>(Inputs!$I$7+(((A43)+1)/2)*(Inputs!$J$7-Inputs!$I$7))</x:f>
        <x:v>-263.20000000000005</x:v>
      </x:c>
      <x:c r="V43" s="48" t="n">
        <x:f>(Inputs!$I$8+(((A43)+1)/2)*(Inputs!$J$8-Inputs!$I$8))</x:f>
        <x:v>-526.4000000000001</x:v>
      </x:c>
      <x:c r="W43" s="48" t="n">
        <x:f>(Inputs!$I$9+(((A43)+1)/2)*(Inputs!$J$9-Inputs!$I$9))</x:f>
        <x:v>-526.4000000000001</x:v>
      </x:c>
      <x:c r="X43" s="49"/>
      <x:c r="Y43" s="48" t="n">
        <x:f>A43</x:f>
        <x:v>-0.658</x:v>
      </x:c>
      <x:c r="Z43" s="48" t="n">
        <x:f>(Inputs!$H$6+Inputs!$L$6*(((Inputs!$I$6+(((A43)+1)/2)*(Inputs!$J$6-Inputs!$I$6)))/Inputs!$K$6)^2)</x:f>
        <x:v>401.731856</x:v>
      </x:c>
      <x:c r="AA43" s="48" t="n">
        <x:f>(Inputs!$H$7+Inputs!$L$7*(((Inputs!$I$7+(((A43)+1)/2)*(Inputs!$J$7-Inputs!$I$7)))/Inputs!$K$7)^2)</x:f>
        <x:v>193.03186000000008</x:v>
      </x:c>
      <x:c r="AB43" s="48" t="n">
        <x:f>(Inputs!$H$8+Inputs!$L$8*(((Inputs!$I$8+(((A43)+1)/2)*(Inputs!$J$8-Inputs!$I$8)))/Inputs!$K$8)^2)</x:f>
        <x:v>452.8102600000002</x:v>
      </x:c>
      <x:c r="AC43" s="48" t="n">
        <x:f>(Inputs!$H$9+Inputs!$L$9*(((Inputs!$I$9+(((A43)+1)/2)*(Inputs!$J$9-Inputs!$I$9)))/Inputs!$K$9)^2)</x:f>
        <x:v>447.1399000000002</x:v>
      </x:c>
      <x:c r="AD43" s="49"/>
      <x:c r="AE43" s="48" t="n">
        <x:f>A43</x:f>
        <x:v>-0.658</x:v>
      </x:c>
      <x:c r="AF43" s="48" t="n">
        <x:f>(((SQRT(((Inputs!$I$6+(((A43)+1)/2)*(Inputs!$J$6-Inputs!$I$6)))^2+Inputs!$C$6^2+((Inputs!$H$6+Inputs!$L$6*(((Inputs!$I$6+(((A43)+1)/2)*(Inputs!$J$6-Inputs!$I$6)))/Inputs!$K$6)^2))^2))-((Inputs!$H$6+Inputs!$L$6*(((Inputs!$I$6+(((A43)+1)/2)*(Inputs!$J$6-Inputs!$I$6)))/Inputs!$K$6)^2)))*1000/Inputs!$C$12)</x:f>
        <x:v>1521.7354525077872</x:v>
      </x:c>
      <x:c r="AG43" s="48" t="n">
        <x:f>(((SQRT(((Inputs!$I$7+(((A43)+1)/2)*(Inputs!$J$7-Inputs!$I$7)))^2+Inputs!$C$6^2+((Inputs!$H$7+Inputs!$L$7*(((Inputs!$I$7+(((A43)+1)/2)*(Inputs!$J$7-Inputs!$I$7)))/Inputs!$K$7)^2))^2))-((Inputs!$H$7+Inputs!$L$7*(((Inputs!$I$7+(((A43)+1)/2)*(Inputs!$J$7-Inputs!$I$7)))/Inputs!$K$7)^2)))*1000/Inputs!$C$12)</x:f>
        <x:v>75461.78858683511</x:v>
      </x:c>
      <x:c r="AH43" s="48" t="n">
        <x:f>(((SQRT(((Inputs!$I$8+(((A43)+1)/2)*(Inputs!$J$8-Inputs!$I$8)))^2+Inputs!$C$6^2+((Inputs!$H$8+Inputs!$L$8*(((Inputs!$I$8+(((A43)+1)/2)*(Inputs!$J$8-Inputs!$I$8)))/Inputs!$K$8)^2))^2))-((Inputs!$H$8+Inputs!$L$8*(((Inputs!$I$8+(((A43)+1)/2)*(Inputs!$J$8-Inputs!$I$8)))/Inputs!$K$8)^2)))*1000/Inputs!$C$12)</x:f>
        <x:v>135954.16439863585</x:v>
      </x:c>
      <x:c r="AI43" s="48" t="n">
        <x:f>(((SQRT(((Inputs!$I$9+(((A43)+1)/2)*(Inputs!$J$9-Inputs!$I$9)))^2+Inputs!$C$6^2+((Inputs!$H$9+Inputs!$L$9*(((Inputs!$I$9+(((A43)+1)/2)*(Inputs!$J$9-Inputs!$I$9)))/Inputs!$K$9)^2))^2))-((Inputs!$H$9+Inputs!$L$9*(((Inputs!$I$9+(((A43)+1)/2)*(Inputs!$J$9-Inputs!$I$9)))/Inputs!$K$9)^2)))*1000/Inputs!$C$12)</x:f>
        <x:v>137071.2094225456</x:v>
      </x:c>
      <x:c r="AJ43" s="49"/>
      <x:c r="AK43" s="48" t="n">
        <x:f>A43</x:f>
        <x:v>-0.658</x:v>
      </x:c>
      <x:c r="AL43" s="48" t="n">
        <x:f>(-2*((1000*((((Inputs!$I$6+(((A43)+1)/2)*(Inputs!$J$6-Inputs!$I$6)))*Inputs!$C$11+((Inputs!$H$6+Inputs!$L$6*(((Inputs!$I$6+(((A43)+1)/2)*(Inputs!$J$6-Inputs!$I$6)))/Inputs!$K$6)^2))*((2*Inputs!$L$6*((Inputs!$I$6+(((A43)+1)/2)*(Inputs!$J$6-Inputs!$I$6)))/(Inputs!$K$6^2)*Inputs!$C$11)))/(SQRT(((Inputs!$I$6+(((A43)+1)/2)*(Inputs!$J$6-Inputs!$I$6)))^2+Inputs!$C$6^2+((Inputs!$H$6+Inputs!$L$6*(((Inputs!$I$6+(((A43)+1)/2)*(Inputs!$J$6-Inputs!$I$6)))/Inputs!$K$6)^2))^2)))))/Inputs!$C$13)</x:f>
        <x:v>295.6193219988108</x:v>
      </x:c>
      <x:c r="AM43" s="48" t="n">
        <x:f>(-2*((1000*((((Inputs!$I$7+(((A43)+1)/2)*(Inputs!$J$7-Inputs!$I$7)))*Inputs!$C$11+((Inputs!$H$7+Inputs!$L$7*(((Inputs!$I$7+(((A43)+1)/2)*(Inputs!$J$7-Inputs!$I$7)))/Inputs!$K$7)^2))*((2*Inputs!$L$7*((Inputs!$I$7+(((A43)+1)/2)*(Inputs!$J$7-Inputs!$I$7)))/(Inputs!$K$7^2)*Inputs!$C$11)))/(SQRT(((Inputs!$I$7+(((A43)+1)/2)*(Inputs!$J$7-Inputs!$I$7)))^2+Inputs!$C$6^2+((Inputs!$H$7+Inputs!$L$7*(((Inputs!$I$7+(((A43)+1)/2)*(Inputs!$J$7-Inputs!$I$7)))/Inputs!$K$7)^2))^2)))))/Inputs!$C$13)</x:f>
        <x:v>2419.4116238719457</x:v>
      </x:c>
      <x:c r="AN43" s="48" t="n">
        <x:f>(-2*((1000*((((Inputs!$I$8+(((A43)+1)/2)*(Inputs!$J$8-Inputs!$I$8)))*Inputs!$C$11+((Inputs!$H$8+Inputs!$L$8*(((Inputs!$I$8+(((A43)+1)/2)*(Inputs!$J$8-Inputs!$I$8)))/Inputs!$K$8)^2))*((2*Inputs!$L$8*((Inputs!$I$8+(((A43)+1)/2)*(Inputs!$J$8-Inputs!$I$8)))/(Inputs!$K$8^2)*Inputs!$C$11)))/(SQRT(((Inputs!$I$8+(((A43)+1)/2)*(Inputs!$J$8-Inputs!$I$8)))^2+Inputs!$C$6^2+((Inputs!$H$8+Inputs!$L$8*(((Inputs!$I$8+(((A43)+1)/2)*(Inputs!$J$8-Inputs!$I$8)))/Inputs!$K$8)^2))^2)))))/Inputs!$C$13)</x:f>
        <x:v>2867.442220645656</x:v>
      </x:c>
      <x:c r="AO43" s="48" t="n">
        <x:f>(-2*((1000*((((Inputs!$I$9+(((A43)+1)/2)*(Inputs!$J$9-Inputs!$I$9)))*Inputs!$C$11+((Inputs!$H$9+Inputs!$L$9*(((Inputs!$I$9+(((A43)+1)/2)*(Inputs!$J$9-Inputs!$I$9)))/Inputs!$K$9)^2))*((2*Inputs!$L$9*((Inputs!$I$9+(((A43)+1)/2)*(Inputs!$J$9-Inputs!$I$9)))/(Inputs!$K$9^2)*Inputs!$C$11)))/(SQRT(((Inputs!$I$9+(((A43)+1)/2)*(Inputs!$J$9-Inputs!$I$9)))^2+Inputs!$C$6^2+((Inputs!$H$9+Inputs!$L$9*(((Inputs!$I$9+(((A43)+1)/2)*(Inputs!$J$9-Inputs!$I$9)))/Inputs!$K$9)^2))^2)))))/Inputs!$C$13)</x:f>
        <x:v>2878.9085233499363</x:v>
      </x:c>
    </x:row>
    <x:row r="44">
      <x:c r="A44" s="48" t="n">
        <x:f>ROUND(-1+42*2/240,3)</x:f>
        <x:v>-0.65</x:v>
      </x:c>
      <x:c r="B44" s="48" t="n">
        <x:f>IF(OR(Inputs!$F$6=TRUE,Inputs!$F$6="TRUE",Inputs!$F$6=1),(Inputs!$H$6+Inputs!$L$6*(((Inputs!$I$6+(((A44)+1)/2)*(Inputs!$J$6-Inputs!$I$6)))/Inputs!$K$6)^2),NA())</x:f>
        <x:v>401.69</x:v>
      </x:c>
      <x:c r="C44" s="48" t="n">
        <x:f>IF(OR(Inputs!$F$7=TRUE,Inputs!$F$7="TRUE",Inputs!$F$7=1),(Inputs!$H$7+Inputs!$L$7*(((Inputs!$I$7+(((A44)+1)/2)*(Inputs!$J$7-Inputs!$I$7)))/Inputs!$K$7)^2),NA())</x:f>
        <x:v>189.2125</x:v>
      </x:c>
      <x:c r="D44" s="48" t="n">
        <x:f>IF(OR(Inputs!$F$8=TRUE,Inputs!$F$8="TRUE",Inputs!$F$8=1),(Inputs!$H$8+Inputs!$L$8*(((Inputs!$I$8+(((A44)+1)/2)*(Inputs!$J$8-Inputs!$I$8)))/Inputs!$K$8)^2),NA())</x:f>
        <x:v>442.71250000000003</x:v>
      </x:c>
      <x:c r="E44" s="48" t="n">
        <x:f>IF(OR(Inputs!$F$9=TRUE,Inputs!$F$9="TRUE",Inputs!$F$9=1),(Inputs!$H$9+Inputs!$L$9*(((Inputs!$I$9+(((A44)+1)/2)*(Inputs!$J$9-Inputs!$I$9)))/Inputs!$K$9)^2),NA())</x:f>
        <x:v>436.93750000000006</x:v>
      </x:c>
      <x:c r="F44" s="49"/>
      <x:c r="G44" s="48" t="n">
        <x:f>A44</x:f>
        <x:v>-0.65</x:v>
      </x:c>
      <x:c r="H44" s="48" t="n">
        <x:f>IF(OR(Inputs!$F$6=TRUE,Inputs!$F$6="TRUE",Inputs!$F$6=1),(((SQRT(((Inputs!$I$6+(((A44)+1)/2)*(Inputs!$J$6-Inputs!$I$6)))^2+Inputs!$C$6^2+((Inputs!$H$6+Inputs!$L$6*(((Inputs!$I$6+(((A44)+1)/2)*(Inputs!$J$6-Inputs!$I$6)))/Inputs!$K$6)^2))^2))-((Inputs!$H$6+Inputs!$L$6*(((Inputs!$I$6+(((A44)+1)/2)*(Inputs!$J$6-Inputs!$I$6)))/Inputs!$K$6)^2)))*1000/Inputs!$C$12),NA())</x:f>
        <x:v>1495.7252757464753</x:v>
      </x:c>
      <x:c r="I44" s="48" t="n">
        <x:f>IF(OR(Inputs!$F$7=TRUE,Inputs!$F$7="TRUE",Inputs!$F$7=1),(((SQRT(((Inputs!$I$7+(((A44)+1)/2)*(Inputs!$J$7-Inputs!$I$7)))^2+Inputs!$C$6^2+((Inputs!$H$7+Inputs!$L$7*(((Inputs!$I$7+(((A44)+1)/2)*(Inputs!$J$7-Inputs!$I$7)))/Inputs!$K$7)^2))^2))-((Inputs!$H$7+Inputs!$L$7*(((Inputs!$I$7+(((A44)+1)/2)*(Inputs!$J$7-Inputs!$I$7)))/Inputs!$K$7)^2)))*1000/Inputs!$C$12),NA())</x:f>
        <x:v>74898.14187202851</x:v>
      </x:c>
      <x:c r="J44" s="48" t="n">
        <x:f>IF(OR(Inputs!$F$8=TRUE,Inputs!$F$8="TRUE",Inputs!$F$8=1),(((SQRT(((Inputs!$I$8+(((A44)+1)/2)*(Inputs!$J$8-Inputs!$I$8)))^2+Inputs!$C$6^2+((Inputs!$H$8+Inputs!$L$8*(((Inputs!$I$8+(((A44)+1)/2)*(Inputs!$J$8-Inputs!$I$8)))/Inputs!$K$8)^2))^2))-((Inputs!$H$8+Inputs!$L$8*(((Inputs!$I$8+(((A44)+1)/2)*(Inputs!$J$8-Inputs!$I$8)))/Inputs!$K$8)^2)))*1000/Inputs!$C$12),NA())</x:f>
        <x:v>135211.03689900014</x:v>
      </x:c>
      <x:c r="K44" s="48" t="n">
        <x:f>IF(OR(Inputs!$F$9=TRUE,Inputs!$F$9="TRUE",Inputs!$F$9=1),(((SQRT(((Inputs!$I$9+(((A44)+1)/2)*(Inputs!$J$9-Inputs!$I$9)))^2+Inputs!$C$6^2+((Inputs!$H$9+Inputs!$L$9*(((Inputs!$I$9+(((A44)+1)/2)*(Inputs!$J$9-Inputs!$I$9)))/Inputs!$K$9)^2))^2))-((Inputs!$H$9+Inputs!$L$9*(((Inputs!$I$9+(((A44)+1)/2)*(Inputs!$J$9-Inputs!$I$9)))/Inputs!$K$9)^2)))*1000/Inputs!$C$12),NA())</x:f>
        <x:v>136361.64248877275</x:v>
      </x:c>
      <x:c r="L44" s="49"/>
      <x:c r="M44" s="48" t="n">
        <x:f>A44</x:f>
        <x:v>-0.65</x:v>
      </x:c>
      <x:c r="N44" s="48" t="n">
        <x:f>IF(OR(Inputs!$F$6=TRUE,Inputs!$F$6="TRUE",Inputs!$F$6=1),(-2*((1000*((((Inputs!$I$6+(((A44)+1)/2)*(Inputs!$J$6-Inputs!$I$6)))*Inputs!$C$11+((Inputs!$H$6+Inputs!$L$6*(((Inputs!$I$6+(((A44)+1)/2)*(Inputs!$J$6-Inputs!$I$6)))/Inputs!$K$6)^2))*((2*Inputs!$L$6*((Inputs!$I$6+(((A44)+1)/2)*(Inputs!$J$6-Inputs!$I$6)))/(Inputs!$K$6^2)*Inputs!$C$11)))/(SQRT(((Inputs!$I$6+(((A44)+1)/2)*(Inputs!$J$6-Inputs!$I$6)))^2+Inputs!$C$6^2+((Inputs!$H$6+Inputs!$L$6*(((Inputs!$I$6+(((A44)+1)/2)*(Inputs!$J$6-Inputs!$I$6)))/Inputs!$K$6)^2))^2)))))/Inputs!$C$13),NA())</x:f>
        <x:v>292.0744775217912</x:v>
      </x:c>
      <x:c r="O44" s="48" t="n">
        <x:f>IF(OR(Inputs!$F$7=TRUE,Inputs!$F$7="TRUE",Inputs!$F$7=1),(-2*((1000*((((Inputs!$I$7+(((A44)+1)/2)*(Inputs!$J$7-Inputs!$I$7)))*Inputs!$C$11+((Inputs!$H$7+Inputs!$L$7*(((Inputs!$I$7+(((A44)+1)/2)*(Inputs!$J$7-Inputs!$I$7)))/Inputs!$K$7)^2))*((2*Inputs!$L$7*((Inputs!$I$7+(((A44)+1)/2)*(Inputs!$J$7-Inputs!$I$7)))/(Inputs!$K$7^2)*Inputs!$C$11)))/(SQRT(((Inputs!$I$7+(((A44)+1)/2)*(Inputs!$J$7-Inputs!$I$7)))^2+Inputs!$C$6^2+((Inputs!$H$7+Inputs!$L$7*(((Inputs!$I$7+(((A44)+1)/2)*(Inputs!$J$7-Inputs!$I$7)))/Inputs!$K$7)^2))^2)))))/Inputs!$C$13),NA())</x:f>
        <x:v>2403.256934358649</x:v>
      </x:c>
      <x:c r="P44" s="48" t="n">
        <x:f>IF(OR(Inputs!$F$8=TRUE,Inputs!$F$8="TRUE",Inputs!$F$8=1),(-2*((1000*((((Inputs!$I$8+(((A44)+1)/2)*(Inputs!$J$8-Inputs!$I$8)))*Inputs!$C$11+((Inputs!$H$8+Inputs!$L$8*(((Inputs!$I$8+(((A44)+1)/2)*(Inputs!$J$8-Inputs!$I$8)))/Inputs!$K$8)^2))*((2*Inputs!$L$8*((Inputs!$I$8+(((A44)+1)/2)*(Inputs!$J$8-Inputs!$I$8)))/(Inputs!$K$8^2)*Inputs!$C$11)))/(SQRT(((Inputs!$I$8+(((A44)+1)/2)*(Inputs!$J$8-Inputs!$I$8)))^2+Inputs!$C$6^2+((Inputs!$H$8+Inputs!$L$8*(((Inputs!$I$8+(((A44)+1)/2)*(Inputs!$J$8-Inputs!$I$8)))/Inputs!$K$8)^2))^2)))))/Inputs!$C$13),NA())</x:f>
        <x:v>2842.843667658649</x:v>
      </x:c>
      <x:c r="Q44" s="48" t="n">
        <x:f>IF(OR(Inputs!$F$9=TRUE,Inputs!$F$9="TRUE",Inputs!$F$9=1),(-2*((1000*((((Inputs!$I$9+(((A44)+1)/2)*(Inputs!$J$9-Inputs!$I$9)))*Inputs!$C$11+((Inputs!$H$9+Inputs!$L$9*(((Inputs!$I$9+(((A44)+1)/2)*(Inputs!$J$9-Inputs!$I$9)))/Inputs!$K$9)^2))*((2*Inputs!$L$9*((Inputs!$I$9+(((A44)+1)/2)*(Inputs!$J$9-Inputs!$I$9)))/(Inputs!$K$9^2)*Inputs!$C$11)))/(SQRT(((Inputs!$I$9+(((A44)+1)/2)*(Inputs!$J$9-Inputs!$I$9)))^2+Inputs!$C$6^2+((Inputs!$H$9+Inputs!$L$9*(((Inputs!$I$9+(((A44)+1)/2)*(Inputs!$J$9-Inputs!$I$9)))/Inputs!$K$9)^2))^2)))))/Inputs!$C$13),NA())</x:f>
        <x:v>2853.82848846453</x:v>
      </x:c>
      <x:c r="R44" s="49"/>
      <x:c r="S44" s="48" t="n">
        <x:f>A44</x:f>
        <x:v>-0.65</x:v>
      </x:c>
      <x:c r="T44" s="48" t="n">
        <x:f>(Inputs!$I$6+(((A44)+1)/2)*(Inputs!$J$6-Inputs!$I$6))</x:f>
        <x:v>-39</x:v>
      </x:c>
      <x:c r="U44" s="48" t="n">
        <x:f>(Inputs!$I$7+(((A44)+1)/2)*(Inputs!$J$7-Inputs!$I$7))</x:f>
        <x:v>-260</x:v>
      </x:c>
      <x:c r="V44" s="48" t="n">
        <x:f>(Inputs!$I$8+(((A44)+1)/2)*(Inputs!$J$8-Inputs!$I$8))</x:f>
        <x:v>-520</x:v>
      </x:c>
      <x:c r="W44" s="48" t="n">
        <x:f>(Inputs!$I$9+(((A44)+1)/2)*(Inputs!$J$9-Inputs!$I$9))</x:f>
        <x:v>-520</x:v>
      </x:c>
      <x:c r="X44" s="49"/>
      <x:c r="Y44" s="48" t="n">
        <x:f>A44</x:f>
        <x:v>-0.65</x:v>
      </x:c>
      <x:c r="Z44" s="48" t="n">
        <x:f>(Inputs!$H$6+Inputs!$L$6*(((Inputs!$I$6+(((A44)+1)/2)*(Inputs!$J$6-Inputs!$I$6)))/Inputs!$K$6)^2)</x:f>
        <x:v>401.69</x:v>
      </x:c>
      <x:c r="AA44" s="48" t="n">
        <x:f>(Inputs!$H$7+Inputs!$L$7*(((Inputs!$I$7+(((A44)+1)/2)*(Inputs!$J$7-Inputs!$I$7)))/Inputs!$K$7)^2)</x:f>
        <x:v>189.2125</x:v>
      </x:c>
      <x:c r="AB44" s="48" t="n">
        <x:f>(Inputs!$H$8+Inputs!$L$8*(((Inputs!$I$8+(((A44)+1)/2)*(Inputs!$J$8-Inputs!$I$8)))/Inputs!$K$8)^2)</x:f>
        <x:v>442.71250000000003</x:v>
      </x:c>
      <x:c r="AC44" s="48" t="n">
        <x:f>(Inputs!$H$9+Inputs!$L$9*(((Inputs!$I$9+(((A44)+1)/2)*(Inputs!$J$9-Inputs!$I$9)))/Inputs!$K$9)^2)</x:f>
        <x:v>436.93750000000006</x:v>
      </x:c>
      <x:c r="AD44" s="49"/>
      <x:c r="AE44" s="48" t="n">
        <x:f>A44</x:f>
        <x:v>-0.65</x:v>
      </x:c>
      <x:c r="AF44" s="48" t="n">
        <x:f>(((SQRT(((Inputs!$I$6+(((A44)+1)/2)*(Inputs!$J$6-Inputs!$I$6)))^2+Inputs!$C$6^2+((Inputs!$H$6+Inputs!$L$6*(((Inputs!$I$6+(((A44)+1)/2)*(Inputs!$J$6-Inputs!$I$6)))/Inputs!$K$6)^2))^2))-((Inputs!$H$6+Inputs!$L$6*(((Inputs!$I$6+(((A44)+1)/2)*(Inputs!$J$6-Inputs!$I$6)))/Inputs!$K$6)^2)))*1000/Inputs!$C$12)</x:f>
        <x:v>1495.7252757464753</x:v>
      </x:c>
      <x:c r="AG44" s="48" t="n">
        <x:f>(((SQRT(((Inputs!$I$7+(((A44)+1)/2)*(Inputs!$J$7-Inputs!$I$7)))^2+Inputs!$C$6^2+((Inputs!$H$7+Inputs!$L$7*(((Inputs!$I$7+(((A44)+1)/2)*(Inputs!$J$7-Inputs!$I$7)))/Inputs!$K$7)^2))^2))-((Inputs!$H$7+Inputs!$L$7*(((Inputs!$I$7+(((A44)+1)/2)*(Inputs!$J$7-Inputs!$I$7)))/Inputs!$K$7)^2)))*1000/Inputs!$C$12)</x:f>
        <x:v>74898.14187202851</x:v>
      </x:c>
      <x:c r="AH44" s="48" t="n">
        <x:f>(((SQRT(((Inputs!$I$8+(((A44)+1)/2)*(Inputs!$J$8-Inputs!$I$8)))^2+Inputs!$C$6^2+((Inputs!$H$8+Inputs!$L$8*(((Inputs!$I$8+(((A44)+1)/2)*(Inputs!$J$8-Inputs!$I$8)))/Inputs!$K$8)^2))^2))-((Inputs!$H$8+Inputs!$L$8*(((Inputs!$I$8+(((A44)+1)/2)*(Inputs!$J$8-Inputs!$I$8)))/Inputs!$K$8)^2)))*1000/Inputs!$C$12)</x:f>
        <x:v>135211.03689900014</x:v>
      </x:c>
      <x:c r="AI44" s="48" t="n">
        <x:f>(((SQRT(((Inputs!$I$9+(((A44)+1)/2)*(Inputs!$J$9-Inputs!$I$9)))^2+Inputs!$C$6^2+((Inputs!$H$9+Inputs!$L$9*(((Inputs!$I$9+(((A44)+1)/2)*(Inputs!$J$9-Inputs!$I$9)))/Inputs!$K$9)^2))^2))-((Inputs!$H$9+Inputs!$L$9*(((Inputs!$I$9+(((A44)+1)/2)*(Inputs!$J$9-Inputs!$I$9)))/Inputs!$K$9)^2)))*1000/Inputs!$C$12)</x:f>
        <x:v>136361.64248877275</x:v>
      </x:c>
      <x:c r="AJ44" s="49"/>
      <x:c r="AK44" s="48" t="n">
        <x:f>A44</x:f>
        <x:v>-0.65</x:v>
      </x:c>
      <x:c r="AL44" s="48" t="n">
        <x:f>(-2*((1000*((((Inputs!$I$6+(((A44)+1)/2)*(Inputs!$J$6-Inputs!$I$6)))*Inputs!$C$11+((Inputs!$H$6+Inputs!$L$6*(((Inputs!$I$6+(((A44)+1)/2)*(Inputs!$J$6-Inputs!$I$6)))/Inputs!$K$6)^2))*((2*Inputs!$L$6*((Inputs!$I$6+(((A44)+1)/2)*(Inputs!$J$6-Inputs!$I$6)))/(Inputs!$K$6^2)*Inputs!$C$11)))/(SQRT(((Inputs!$I$6+(((A44)+1)/2)*(Inputs!$J$6-Inputs!$I$6)))^2+Inputs!$C$6^2+((Inputs!$H$6+Inputs!$L$6*(((Inputs!$I$6+(((A44)+1)/2)*(Inputs!$J$6-Inputs!$I$6)))/Inputs!$K$6)^2))^2)))))/Inputs!$C$13)</x:f>
        <x:v>292.0744775217912</x:v>
      </x:c>
      <x:c r="AM44" s="48" t="n">
        <x:f>(-2*((1000*((((Inputs!$I$7+(((A44)+1)/2)*(Inputs!$J$7-Inputs!$I$7)))*Inputs!$C$11+((Inputs!$H$7+Inputs!$L$7*(((Inputs!$I$7+(((A44)+1)/2)*(Inputs!$J$7-Inputs!$I$7)))/Inputs!$K$7)^2))*((2*Inputs!$L$7*((Inputs!$I$7+(((A44)+1)/2)*(Inputs!$J$7-Inputs!$I$7)))/(Inputs!$K$7^2)*Inputs!$C$11)))/(SQRT(((Inputs!$I$7+(((A44)+1)/2)*(Inputs!$J$7-Inputs!$I$7)))^2+Inputs!$C$6^2+((Inputs!$H$7+Inputs!$L$7*(((Inputs!$I$7+(((A44)+1)/2)*(Inputs!$J$7-Inputs!$I$7)))/Inputs!$K$7)^2))^2)))))/Inputs!$C$13)</x:f>
        <x:v>2403.256934358649</x:v>
      </x:c>
      <x:c r="AN44" s="48" t="n">
        <x:f>(-2*((1000*((((Inputs!$I$8+(((A44)+1)/2)*(Inputs!$J$8-Inputs!$I$8)))*Inputs!$C$11+((Inputs!$H$8+Inputs!$L$8*(((Inputs!$I$8+(((A44)+1)/2)*(Inputs!$J$8-Inputs!$I$8)))/Inputs!$K$8)^2))*((2*Inputs!$L$8*((Inputs!$I$8+(((A44)+1)/2)*(Inputs!$J$8-Inputs!$I$8)))/(Inputs!$K$8^2)*Inputs!$C$11)))/(SQRT(((Inputs!$I$8+(((A44)+1)/2)*(Inputs!$J$8-Inputs!$I$8)))^2+Inputs!$C$6^2+((Inputs!$H$8+Inputs!$L$8*(((Inputs!$I$8+(((A44)+1)/2)*(Inputs!$J$8-Inputs!$I$8)))/Inputs!$K$8)^2))^2)))))/Inputs!$C$13)</x:f>
        <x:v>2842.843667658649</x:v>
      </x:c>
      <x:c r="AO44" s="48" t="n">
        <x:f>(-2*((1000*((((Inputs!$I$9+(((A44)+1)/2)*(Inputs!$J$9-Inputs!$I$9)))*Inputs!$C$11+((Inputs!$H$9+Inputs!$L$9*(((Inputs!$I$9+(((A44)+1)/2)*(Inputs!$J$9-Inputs!$I$9)))/Inputs!$K$9)^2))*((2*Inputs!$L$9*((Inputs!$I$9+(((A44)+1)/2)*(Inputs!$J$9-Inputs!$I$9)))/(Inputs!$K$9^2)*Inputs!$C$11)))/(SQRT(((Inputs!$I$9+(((A44)+1)/2)*(Inputs!$J$9-Inputs!$I$9)))^2+Inputs!$C$6^2+((Inputs!$H$9+Inputs!$L$9*(((Inputs!$I$9+(((A44)+1)/2)*(Inputs!$J$9-Inputs!$I$9)))/Inputs!$K$9)^2))^2)))))/Inputs!$C$13)</x:f>
        <x:v>2853.82848846453</x:v>
      </x:c>
    </x:row>
    <x:row r="45">
      <x:c r="A45" s="48" t="n">
        <x:f>ROUND(-1+43*2/240,3)</x:f>
        <x:v>-0.642</x:v>
      </x:c>
      <x:c r="B45" s="48" t="n">
        <x:f>IF(OR(Inputs!$F$6=TRUE,Inputs!$F$6="TRUE",Inputs!$F$6=1),(Inputs!$H$6+Inputs!$L$6*(((Inputs!$I$6+(((A45)+1)/2)*(Inputs!$J$6-Inputs!$I$6)))/Inputs!$K$6)^2),NA())</x:f>
        <x:v>401.648656</x:v>
      </x:c>
      <x:c r="C45" s="48" t="n">
        <x:f>IF(OR(Inputs!$F$7=TRUE,Inputs!$F$7="TRUE",Inputs!$F$7=1),(Inputs!$H$7+Inputs!$L$7*(((Inputs!$I$7+(((A45)+1)/2)*(Inputs!$J$7-Inputs!$I$7)))/Inputs!$K$7)^2),NA())</x:f>
        <x:v>185.43986</x:v>
      </x:c>
      <x:c r="D45" s="48" t="n">
        <x:f>IF(OR(Inputs!$F$8=TRUE,Inputs!$F$8="TRUE",Inputs!$F$8=1),(Inputs!$H$8+Inputs!$L$8*(((Inputs!$I$8+(((A45)+1)/2)*(Inputs!$J$8-Inputs!$I$8)))/Inputs!$K$8)^2),NA())</x:f>
        <x:v>432.73826</x:v>
      </x:c>
      <x:c r="E45" s="48" t="n">
        <x:f>IF(OR(Inputs!$F$9=TRUE,Inputs!$F$9="TRUE",Inputs!$F$9=1),(Inputs!$H$9+Inputs!$L$9*(((Inputs!$I$9+(((A45)+1)/2)*(Inputs!$J$9-Inputs!$I$9)))/Inputs!$K$9)^2),NA())</x:f>
        <x:v>426.85990000000004</x:v>
      </x:c>
      <x:c r="F45" s="49"/>
      <x:c r="G45" s="48" t="n">
        <x:f>A45</x:f>
        <x:v>-0.642</x:v>
      </x:c>
      <x:c r="H45" s="48" t="n">
        <x:f>IF(OR(Inputs!$F$6=TRUE,Inputs!$F$6="TRUE",Inputs!$F$6=1),(((SQRT(((Inputs!$I$6+(((A45)+1)/2)*(Inputs!$J$6-Inputs!$I$6)))^2+Inputs!$C$6^2+((Inputs!$H$6+Inputs!$L$6*(((Inputs!$I$6+(((A45)+1)/2)*(Inputs!$J$6-Inputs!$I$6)))/Inputs!$K$6)^2))^2))-((Inputs!$H$6+Inputs!$L$6*(((Inputs!$I$6+(((A45)+1)/2)*(Inputs!$J$6-Inputs!$I$6)))/Inputs!$K$6)^2)))*1000/Inputs!$C$12),NA())</x:f>
        <x:v>1470.0250543717877</x:v>
      </x:c>
      <x:c r="I45" s="48" t="n">
        <x:f>IF(OR(Inputs!$F$7=TRUE,Inputs!$F$7="TRUE",Inputs!$F$7=1),(((SQRT(((Inputs!$I$7+(((A45)+1)/2)*(Inputs!$J$7-Inputs!$I$7)))^2+Inputs!$C$6^2+((Inputs!$H$7+Inputs!$L$7*(((Inputs!$I$7+(((A45)+1)/2)*(Inputs!$J$7-Inputs!$I$7)))/Inputs!$K$7)^2))^2))-((Inputs!$H$7+Inputs!$L$7*(((Inputs!$I$7+(((A45)+1)/2)*(Inputs!$J$7-Inputs!$I$7)))/Inputs!$K$7)^2)))*1000/Inputs!$C$12),NA())</x:f>
        <x:v>74326.34045667245</x:v>
      </x:c>
      <x:c r="J45" s="48" t="n">
        <x:f>IF(OR(Inputs!$F$8=TRUE,Inputs!$F$8="TRUE",Inputs!$F$8=1),(((SQRT(((Inputs!$I$8+(((A45)+1)/2)*(Inputs!$J$8-Inputs!$I$8)))^2+Inputs!$C$6^2+((Inputs!$H$8+Inputs!$L$8*(((Inputs!$I$8+(((A45)+1)/2)*(Inputs!$J$8-Inputs!$I$8)))/Inputs!$K$8)^2))^2))-((Inputs!$H$8+Inputs!$L$8*(((Inputs!$I$8+(((A45)+1)/2)*(Inputs!$J$8-Inputs!$I$8)))/Inputs!$K$8)^2)))*1000/Inputs!$C$12),NA())</x:f>
        <x:v>134453.64161391766</x:v>
      </x:c>
      <x:c r="K45" s="48" t="n">
        <x:f>IF(OR(Inputs!$F$9=TRUE,Inputs!$F$9="TRUE",Inputs!$F$9=1),(((SQRT(((Inputs!$I$9+(((A45)+1)/2)*(Inputs!$J$9-Inputs!$I$9)))^2+Inputs!$C$6^2+((Inputs!$H$9+Inputs!$L$9*(((Inputs!$I$9+(((A45)+1)/2)*(Inputs!$J$9-Inputs!$I$9)))/Inputs!$K$9)^2))^2))-((Inputs!$H$9+Inputs!$L$9*(((Inputs!$I$9+(((A45)+1)/2)*(Inputs!$J$9-Inputs!$I$9)))/Inputs!$K$9)^2)))*1000/Inputs!$C$12),NA())</x:f>
        <x:v>135638.17041677618</x:v>
      </x:c>
      <x:c r="L45" s="49"/>
      <x:c r="M45" s="48" t="n">
        <x:f>A45</x:f>
        <x:v>-0.642</x:v>
      </x:c>
      <x:c r="N45" s="48" t="n">
        <x:f>IF(OR(Inputs!$F$6=TRUE,Inputs!$F$6="TRUE",Inputs!$F$6=1),(-2*((1000*((((Inputs!$I$6+(((A45)+1)/2)*(Inputs!$J$6-Inputs!$I$6)))*Inputs!$C$11+((Inputs!$H$6+Inputs!$L$6*(((Inputs!$I$6+(((A45)+1)/2)*(Inputs!$J$6-Inputs!$I$6)))/Inputs!$K$6)^2))*((2*Inputs!$L$6*((Inputs!$I$6+(((A45)+1)/2)*(Inputs!$J$6-Inputs!$I$6)))/(Inputs!$K$6^2)*Inputs!$C$11)))/(SQRT(((Inputs!$I$6+(((A45)+1)/2)*(Inputs!$J$6-Inputs!$I$6)))^2+Inputs!$C$6^2+((Inputs!$H$6+Inputs!$L$6*(((Inputs!$I$6+(((A45)+1)/2)*(Inputs!$J$6-Inputs!$I$6)))/Inputs!$K$6)^2))^2)))))/Inputs!$C$13),NA())</x:f>
        <x:v>288.52785473690625</x:v>
      </x:c>
      <x:c r="O45" s="48" t="n">
        <x:f>IF(OR(Inputs!$F$7=TRUE,Inputs!$F$7="TRUE",Inputs!$F$7=1),(-2*((1000*((((Inputs!$I$7+(((A45)+1)/2)*(Inputs!$J$7-Inputs!$I$7)))*Inputs!$C$11+((Inputs!$H$7+Inputs!$L$7*(((Inputs!$I$7+(((A45)+1)/2)*(Inputs!$J$7-Inputs!$I$7)))/Inputs!$K$7)^2))*((2*Inputs!$L$7*((Inputs!$I$7+(((A45)+1)/2)*(Inputs!$J$7-Inputs!$I$7)))/(Inputs!$K$7^2)*Inputs!$C$11)))/(SQRT(((Inputs!$I$7+(((A45)+1)/2)*(Inputs!$J$7-Inputs!$I$7)))^2+Inputs!$C$6^2+((Inputs!$H$7+Inputs!$L$7*(((Inputs!$I$7+(((A45)+1)/2)*(Inputs!$J$7-Inputs!$I$7)))/Inputs!$K$7)^2))^2)))))/Inputs!$C$13),NA())</x:f>
        <x:v>2387.207145034084</x:v>
      </x:c>
      <x:c r="P45" s="48" t="n">
        <x:f>IF(OR(Inputs!$F$8=TRUE,Inputs!$F$8="TRUE",Inputs!$F$8=1),(-2*((1000*((((Inputs!$I$8+(((A45)+1)/2)*(Inputs!$J$8-Inputs!$I$8)))*Inputs!$C$11+((Inputs!$H$8+Inputs!$L$8*(((Inputs!$I$8+(((A45)+1)/2)*(Inputs!$J$8-Inputs!$I$8)))/Inputs!$K$8)^2))*((2*Inputs!$L$8*((Inputs!$I$8+(((A45)+1)/2)*(Inputs!$J$8-Inputs!$I$8)))/(Inputs!$K$8^2)*Inputs!$C$11)))/(SQRT(((Inputs!$I$8+(((A45)+1)/2)*(Inputs!$J$8-Inputs!$I$8)))^2+Inputs!$C$6^2+((Inputs!$H$8+Inputs!$L$8*(((Inputs!$I$8+(((A45)+1)/2)*(Inputs!$J$8-Inputs!$I$8)))/Inputs!$K$8)^2))^2)))))/Inputs!$C$13),NA())</x:f>
        <x:v>2818.381027768704</x:v>
      </x:c>
      <x:c r="Q45" s="48" t="n">
        <x:f>IF(OR(Inputs!$F$9=TRUE,Inputs!$F$9="TRUE",Inputs!$F$9=1),(-2*((1000*((((Inputs!$I$9+(((A45)+1)/2)*(Inputs!$J$9-Inputs!$I$9)))*Inputs!$C$11+((Inputs!$H$9+Inputs!$L$9*(((Inputs!$I$9+(((A45)+1)/2)*(Inputs!$J$9-Inputs!$I$9)))/Inputs!$K$9)^2))*((2*Inputs!$L$9*((Inputs!$I$9+(((A45)+1)/2)*(Inputs!$J$9-Inputs!$I$9)))/(Inputs!$K$9^2)*Inputs!$C$11)))/(SQRT(((Inputs!$I$9+(((A45)+1)/2)*(Inputs!$J$9-Inputs!$I$9)))^2+Inputs!$C$6^2+((Inputs!$H$9+Inputs!$L$9*(((Inputs!$I$9+(((A45)+1)/2)*(Inputs!$J$9-Inputs!$I$9)))/Inputs!$K$9)^2))^2)))))/Inputs!$C$13),NA())</x:f>
        <x:v>2828.8845972260715</x:v>
      </x:c>
      <x:c r="R45" s="49"/>
      <x:c r="S45" s="48" t="n">
        <x:f>A45</x:f>
        <x:v>-0.642</x:v>
      </x:c>
      <x:c r="T45" s="48" t="n">
        <x:f>(Inputs!$I$6+(((A45)+1)/2)*(Inputs!$J$6-Inputs!$I$6))</x:f>
        <x:v>-38.519999999999996</x:v>
      </x:c>
      <x:c r="U45" s="48" t="n">
        <x:f>(Inputs!$I$7+(((A45)+1)/2)*(Inputs!$J$7-Inputs!$I$7))</x:f>
        <x:v>-256.8</x:v>
      </x:c>
      <x:c r="V45" s="48" t="n">
        <x:f>(Inputs!$I$8+(((A45)+1)/2)*(Inputs!$J$8-Inputs!$I$8))</x:f>
        <x:v>-513.6</x:v>
      </x:c>
      <x:c r="W45" s="48" t="n">
        <x:f>(Inputs!$I$9+(((A45)+1)/2)*(Inputs!$J$9-Inputs!$I$9))</x:f>
        <x:v>-513.6</x:v>
      </x:c>
      <x:c r="X45" s="49"/>
      <x:c r="Y45" s="48" t="n">
        <x:f>A45</x:f>
        <x:v>-0.642</x:v>
      </x:c>
      <x:c r="Z45" s="48" t="n">
        <x:f>(Inputs!$H$6+Inputs!$L$6*(((Inputs!$I$6+(((A45)+1)/2)*(Inputs!$J$6-Inputs!$I$6)))/Inputs!$K$6)^2)</x:f>
        <x:v>401.648656</x:v>
      </x:c>
      <x:c r="AA45" s="48" t="n">
        <x:f>(Inputs!$H$7+Inputs!$L$7*(((Inputs!$I$7+(((A45)+1)/2)*(Inputs!$J$7-Inputs!$I$7)))/Inputs!$K$7)^2)</x:f>
        <x:v>185.43986</x:v>
      </x:c>
      <x:c r="AB45" s="48" t="n">
        <x:f>(Inputs!$H$8+Inputs!$L$8*(((Inputs!$I$8+(((A45)+1)/2)*(Inputs!$J$8-Inputs!$I$8)))/Inputs!$K$8)^2)</x:f>
        <x:v>432.73826</x:v>
      </x:c>
      <x:c r="AC45" s="48" t="n">
        <x:f>(Inputs!$H$9+Inputs!$L$9*(((Inputs!$I$9+(((A45)+1)/2)*(Inputs!$J$9-Inputs!$I$9)))/Inputs!$K$9)^2)</x:f>
        <x:v>426.85990000000004</x:v>
      </x:c>
      <x:c r="AD45" s="49"/>
      <x:c r="AE45" s="48" t="n">
        <x:f>A45</x:f>
        <x:v>-0.642</x:v>
      </x:c>
      <x:c r="AF45" s="48" t="n">
        <x:f>(((SQRT(((Inputs!$I$6+(((A45)+1)/2)*(Inputs!$J$6-Inputs!$I$6)))^2+Inputs!$C$6^2+((Inputs!$H$6+Inputs!$L$6*(((Inputs!$I$6+(((A45)+1)/2)*(Inputs!$J$6-Inputs!$I$6)))/Inputs!$K$6)^2))^2))-((Inputs!$H$6+Inputs!$L$6*(((Inputs!$I$6+(((A45)+1)/2)*(Inputs!$J$6-Inputs!$I$6)))/Inputs!$K$6)^2)))*1000/Inputs!$C$12)</x:f>
        <x:v>1470.0250543717877</x:v>
      </x:c>
      <x:c r="AG45" s="48" t="n">
        <x:f>(((SQRT(((Inputs!$I$7+(((A45)+1)/2)*(Inputs!$J$7-Inputs!$I$7)))^2+Inputs!$C$6^2+((Inputs!$H$7+Inputs!$L$7*(((Inputs!$I$7+(((A45)+1)/2)*(Inputs!$J$7-Inputs!$I$7)))/Inputs!$K$7)^2))^2))-((Inputs!$H$7+Inputs!$L$7*(((Inputs!$I$7+(((A45)+1)/2)*(Inputs!$J$7-Inputs!$I$7)))/Inputs!$K$7)^2)))*1000/Inputs!$C$12)</x:f>
        <x:v>74326.34045667245</x:v>
      </x:c>
      <x:c r="AH45" s="48" t="n">
        <x:f>(((SQRT(((Inputs!$I$8+(((A45)+1)/2)*(Inputs!$J$8-Inputs!$I$8)))^2+Inputs!$C$6^2+((Inputs!$H$8+Inputs!$L$8*(((Inputs!$I$8+(((A45)+1)/2)*(Inputs!$J$8-Inputs!$I$8)))/Inputs!$K$8)^2))^2))-((Inputs!$H$8+Inputs!$L$8*(((Inputs!$I$8+(((A45)+1)/2)*(Inputs!$J$8-Inputs!$I$8)))/Inputs!$K$8)^2)))*1000/Inputs!$C$12)</x:f>
        <x:v>134453.64161391766</x:v>
      </x:c>
      <x:c r="AI45" s="48" t="n">
        <x:f>(((SQRT(((Inputs!$I$9+(((A45)+1)/2)*(Inputs!$J$9-Inputs!$I$9)))^2+Inputs!$C$6^2+((Inputs!$H$9+Inputs!$L$9*(((Inputs!$I$9+(((A45)+1)/2)*(Inputs!$J$9-Inputs!$I$9)))/Inputs!$K$9)^2))^2))-((Inputs!$H$9+Inputs!$L$9*(((Inputs!$I$9+(((A45)+1)/2)*(Inputs!$J$9-Inputs!$I$9)))/Inputs!$K$9)^2)))*1000/Inputs!$C$12)</x:f>
        <x:v>135638.17041677618</x:v>
      </x:c>
      <x:c r="AJ45" s="49"/>
      <x:c r="AK45" s="48" t="n">
        <x:f>A45</x:f>
        <x:v>-0.642</x:v>
      </x:c>
      <x:c r="AL45" s="48" t="n">
        <x:f>(-2*((1000*((((Inputs!$I$6+(((A45)+1)/2)*(Inputs!$J$6-Inputs!$I$6)))*Inputs!$C$11+((Inputs!$H$6+Inputs!$L$6*(((Inputs!$I$6+(((A45)+1)/2)*(Inputs!$J$6-Inputs!$I$6)))/Inputs!$K$6)^2))*((2*Inputs!$L$6*((Inputs!$I$6+(((A45)+1)/2)*(Inputs!$J$6-Inputs!$I$6)))/(Inputs!$K$6^2)*Inputs!$C$11)))/(SQRT(((Inputs!$I$6+(((A45)+1)/2)*(Inputs!$J$6-Inputs!$I$6)))^2+Inputs!$C$6^2+((Inputs!$H$6+Inputs!$L$6*(((Inputs!$I$6+(((A45)+1)/2)*(Inputs!$J$6-Inputs!$I$6)))/Inputs!$K$6)^2))^2)))))/Inputs!$C$13)</x:f>
        <x:v>288.52785473690625</x:v>
      </x:c>
      <x:c r="AM45" s="48" t="n">
        <x:f>(-2*((1000*((((Inputs!$I$7+(((A45)+1)/2)*(Inputs!$J$7-Inputs!$I$7)))*Inputs!$C$11+((Inputs!$H$7+Inputs!$L$7*(((Inputs!$I$7+(((A45)+1)/2)*(Inputs!$J$7-Inputs!$I$7)))/Inputs!$K$7)^2))*((2*Inputs!$L$7*((Inputs!$I$7+(((A45)+1)/2)*(Inputs!$J$7-Inputs!$I$7)))/(Inputs!$K$7^2)*Inputs!$C$11)))/(SQRT(((Inputs!$I$7+(((A45)+1)/2)*(Inputs!$J$7-Inputs!$I$7)))^2+Inputs!$C$6^2+((Inputs!$H$7+Inputs!$L$7*(((Inputs!$I$7+(((A45)+1)/2)*(Inputs!$J$7-Inputs!$I$7)))/Inputs!$K$7)^2))^2)))))/Inputs!$C$13)</x:f>
        <x:v>2387.207145034084</x:v>
      </x:c>
      <x:c r="AN45" s="48" t="n">
        <x:f>(-2*((1000*((((Inputs!$I$8+(((A45)+1)/2)*(Inputs!$J$8-Inputs!$I$8)))*Inputs!$C$11+((Inputs!$H$8+Inputs!$L$8*(((Inputs!$I$8+(((A45)+1)/2)*(Inputs!$J$8-Inputs!$I$8)))/Inputs!$K$8)^2))*((2*Inputs!$L$8*((Inputs!$I$8+(((A45)+1)/2)*(Inputs!$J$8-Inputs!$I$8)))/(Inputs!$K$8^2)*Inputs!$C$11)))/(SQRT(((Inputs!$I$8+(((A45)+1)/2)*(Inputs!$J$8-Inputs!$I$8)))^2+Inputs!$C$6^2+((Inputs!$H$8+Inputs!$L$8*(((Inputs!$I$8+(((A45)+1)/2)*(Inputs!$J$8-Inputs!$I$8)))/Inputs!$K$8)^2))^2)))))/Inputs!$C$13)</x:f>
        <x:v>2818.381027768704</x:v>
      </x:c>
      <x:c r="AO45" s="48" t="n">
        <x:f>(-2*((1000*((((Inputs!$I$9+(((A45)+1)/2)*(Inputs!$J$9-Inputs!$I$9)))*Inputs!$C$11+((Inputs!$H$9+Inputs!$L$9*(((Inputs!$I$9+(((A45)+1)/2)*(Inputs!$J$9-Inputs!$I$9)))/Inputs!$K$9)^2))*((2*Inputs!$L$9*((Inputs!$I$9+(((A45)+1)/2)*(Inputs!$J$9-Inputs!$I$9)))/(Inputs!$K$9^2)*Inputs!$C$11)))/(SQRT(((Inputs!$I$9+(((A45)+1)/2)*(Inputs!$J$9-Inputs!$I$9)))^2+Inputs!$C$6^2+((Inputs!$H$9+Inputs!$L$9*(((Inputs!$I$9+(((A45)+1)/2)*(Inputs!$J$9-Inputs!$I$9)))/Inputs!$K$9)^2))^2)))))/Inputs!$C$13)</x:f>
        <x:v>2828.8845972260715</x:v>
      </x:c>
    </x:row>
    <x:row r="46">
      <x:c r="A46" s="48" t="n">
        <x:f>ROUND(-1+44*2/240,3)</x:f>
        <x:v>-0.633</x:v>
      </x:c>
      <x:c r="B46" s="48" t="n">
        <x:f>IF(OR(Inputs!$F$6=TRUE,Inputs!$F$6="TRUE",Inputs!$F$6=1),(Inputs!$H$6+Inputs!$L$6*(((Inputs!$I$6+(((A46)+1)/2)*(Inputs!$J$6-Inputs!$I$6)))/Inputs!$K$6)^2),NA())</x:f>
        <x:v>401.602756</x:v>
      </x:c>
      <x:c r="C46" s="48" t="n">
        <x:f>IF(OR(Inputs!$F$7=TRUE,Inputs!$F$7="TRUE",Inputs!$F$7=1),(Inputs!$H$7+Inputs!$L$7*(((Inputs!$I$7+(((A46)+1)/2)*(Inputs!$J$7-Inputs!$I$7)))/Inputs!$K$7)^2),NA())</x:f>
        <x:v>181.251485</x:v>
      </x:c>
      <x:c r="D46" s="48" t="n">
        <x:f>IF(OR(Inputs!$F$8=TRUE,Inputs!$F$8="TRUE",Inputs!$F$8=1),(Inputs!$H$8+Inputs!$L$8*(((Inputs!$I$8+(((A46)+1)/2)*(Inputs!$J$8-Inputs!$I$8)))/Inputs!$K$8)^2),NA())</x:f>
        <x:v>421.664885</x:v>
      </x:c>
      <x:c r="E46" s="48" t="n">
        <x:f>IF(OR(Inputs!$F$9=TRUE,Inputs!$F$9="TRUE",Inputs!$F$9=1),(Inputs!$H$9+Inputs!$L$9*(((Inputs!$I$9+(((A46)+1)/2)*(Inputs!$J$9-Inputs!$I$9)))/Inputs!$K$9)^2),NA())</x:f>
        <x:v>415.671775</x:v>
      </x:c>
      <x:c r="F46" s="49"/>
      <x:c r="G46" s="48" t="n">
        <x:f>A46</x:f>
        <x:v>-0.633</x:v>
      </x:c>
      <x:c r="H46" s="48" t="n">
        <x:f>IF(OR(Inputs!$F$6=TRUE,Inputs!$F$6="TRUE",Inputs!$F$6=1),(((SQRT(((Inputs!$I$6+(((A46)+1)/2)*(Inputs!$J$6-Inputs!$I$6)))^2+Inputs!$C$6^2+((Inputs!$H$6+Inputs!$L$6*(((Inputs!$I$6+(((A46)+1)/2)*(Inputs!$J$6-Inputs!$I$6)))/Inputs!$K$6)^2))^2))-((Inputs!$H$6+Inputs!$L$6*(((Inputs!$I$6+(((A46)+1)/2)*(Inputs!$J$6-Inputs!$I$6)))/Inputs!$K$6)^2)))*1000/Inputs!$C$12),NA())</x:f>
        <x:v>1441.4831698256544</x:v>
      </x:c>
      <x:c r="I46" s="48" t="n">
        <x:f>IF(OR(Inputs!$F$7=TRUE,Inputs!$F$7="TRUE",Inputs!$F$7=1),(((SQRT(((Inputs!$I$7+(((A46)+1)/2)*(Inputs!$J$7-Inputs!$I$7)))^2+Inputs!$C$6^2+((Inputs!$H$7+Inputs!$L$7*(((Inputs!$I$7+(((A46)+1)/2)*(Inputs!$J$7-Inputs!$I$7)))/Inputs!$K$7)^2))^2))-((Inputs!$H$7+Inputs!$L$7*(((Inputs!$I$7+(((A46)+1)/2)*(Inputs!$J$7-Inputs!$I$7)))/Inputs!$K$7)^2)))*1000/Inputs!$C$12),NA())</x:f>
        <x:v>73673.16901511583</x:v>
      </x:c>
      <x:c r="J46" s="48" t="n">
        <x:f>IF(OR(Inputs!$F$8=TRUE,Inputs!$F$8="TRUE",Inputs!$F$8=1),(((SQRT(((Inputs!$I$8+(((A46)+1)/2)*(Inputs!$J$8-Inputs!$I$8)))^2+Inputs!$C$6^2+((Inputs!$H$8+Inputs!$L$8*(((Inputs!$I$8+(((A46)+1)/2)*(Inputs!$J$8-Inputs!$I$8)))/Inputs!$K$8)^2))^2))-((Inputs!$H$8+Inputs!$L$8*(((Inputs!$I$8+(((A46)+1)/2)*(Inputs!$J$8-Inputs!$I$8)))/Inputs!$K$8)^2)))*1000/Inputs!$C$12),NA())</x:f>
        <x:v>133584.1328817809</x:v>
      </x:c>
      <x:c r="K46" s="48" t="n">
        <x:f>IF(OR(Inputs!$F$9=TRUE,Inputs!$F$9="TRUE",Inputs!$F$9=1),(((SQRT(((Inputs!$I$9+(((A46)+1)/2)*(Inputs!$J$9-Inputs!$I$9)))^2+Inputs!$C$6^2+((Inputs!$H$9+Inputs!$L$9*(((Inputs!$I$9+(((A46)+1)/2)*(Inputs!$J$9-Inputs!$I$9)))/Inputs!$K$9)^2))^2))-((Inputs!$H$9+Inputs!$L$9*(((Inputs!$I$9+(((A46)+1)/2)*(Inputs!$J$9-Inputs!$I$9)))/Inputs!$K$9)^2)))*1000/Inputs!$C$12),NA())</x:f>
        <x:v>134807.25792322456</x:v>
      </x:c>
      <x:c r="L46" s="49"/>
      <x:c r="M46" s="48" t="n">
        <x:f>A46</x:f>
        <x:v>-0.633</x:v>
      </x:c>
      <x:c r="N46" s="48" t="n">
        <x:f>IF(OR(Inputs!$F$6=TRUE,Inputs!$F$6="TRUE",Inputs!$F$6=1),(-2*((1000*((((Inputs!$I$6+(((A46)+1)/2)*(Inputs!$J$6-Inputs!$I$6)))*Inputs!$C$11+((Inputs!$H$6+Inputs!$L$6*(((Inputs!$I$6+(((A46)+1)/2)*(Inputs!$J$6-Inputs!$I$6)))/Inputs!$K$6)^2))*((2*Inputs!$L$6*((Inputs!$I$6+(((A46)+1)/2)*(Inputs!$J$6-Inputs!$I$6)))/(Inputs!$K$6^2)*Inputs!$C$11)))/(SQRT(((Inputs!$I$6+(((A46)+1)/2)*(Inputs!$J$6-Inputs!$I$6)))^2+Inputs!$C$6^2+((Inputs!$H$6+Inputs!$L$6*(((Inputs!$I$6+(((A46)+1)/2)*(Inputs!$J$6-Inputs!$I$6)))/Inputs!$K$6)^2))^2)))))/Inputs!$C$13),NA())</x:f>
        <x:v>284.535803366096</x:v>
      </x:c>
      <x:c r="O46" s="48" t="n">
        <x:f>IF(OR(Inputs!$F$7=TRUE,Inputs!$F$7="TRUE",Inputs!$F$7=1),(-2*((1000*((((Inputs!$I$7+(((A46)+1)/2)*(Inputs!$J$7-Inputs!$I$7)))*Inputs!$C$11+((Inputs!$H$7+Inputs!$L$7*(((Inputs!$I$7+(((A46)+1)/2)*(Inputs!$J$7-Inputs!$I$7)))/Inputs!$K$7)^2))*((2*Inputs!$L$7*((Inputs!$I$7+(((A46)+1)/2)*(Inputs!$J$7-Inputs!$I$7)))/(Inputs!$K$7^2)*Inputs!$C$11)))/(SQRT(((Inputs!$I$7+(((A46)+1)/2)*(Inputs!$J$7-Inputs!$I$7)))^2+Inputs!$C$6^2+((Inputs!$H$7+Inputs!$L$7*(((Inputs!$I$7+(((A46)+1)/2)*(Inputs!$J$7-Inputs!$I$7)))/Inputs!$K$7)^2))^2)))))/Inputs!$C$13),NA())</x:f>
        <x:v>2369.2776476820554</x:v>
      </x:c>
      <x:c r="P46" s="48" t="n">
        <x:f>IF(OR(Inputs!$F$8=TRUE,Inputs!$F$8="TRUE",Inputs!$F$8=1),(-2*((1000*((((Inputs!$I$8+(((A46)+1)/2)*(Inputs!$J$8-Inputs!$I$8)))*Inputs!$C$11+((Inputs!$H$8+Inputs!$L$8*(((Inputs!$I$8+(((A46)+1)/2)*(Inputs!$J$8-Inputs!$I$8)))/Inputs!$K$8)^2))*((2*Inputs!$L$8*((Inputs!$I$8+(((A46)+1)/2)*(Inputs!$J$8-Inputs!$I$8)))/(Inputs!$K$8^2)*Inputs!$C$11)))/(SQRT(((Inputs!$I$8+(((A46)+1)/2)*(Inputs!$J$8-Inputs!$I$8)))^2+Inputs!$C$6^2+((Inputs!$H$8+Inputs!$L$8*(((Inputs!$I$8+(((A46)+1)/2)*(Inputs!$J$8-Inputs!$I$8)))/Inputs!$K$8)^2))^2)))))/Inputs!$C$13),NA())</x:f>
        <x:v>2791.026616642497</x:v>
      </x:c>
      <x:c r="Q46" s="48" t="n">
        <x:f>IF(OR(Inputs!$F$9=TRUE,Inputs!$F$9="TRUE",Inputs!$F$9=1),(-2*((1000*((((Inputs!$I$9+(((A46)+1)/2)*(Inputs!$J$9-Inputs!$I$9)))*Inputs!$C$11+((Inputs!$H$9+Inputs!$L$9*(((Inputs!$I$9+(((A46)+1)/2)*(Inputs!$J$9-Inputs!$I$9)))/Inputs!$K$9)^2))*((2*Inputs!$L$9*((Inputs!$I$9+(((A46)+1)/2)*(Inputs!$J$9-Inputs!$I$9)))/(Inputs!$K$9^2)*Inputs!$C$11)))/(SQRT(((Inputs!$I$9+(((A46)+1)/2)*(Inputs!$J$9-Inputs!$I$9)))^2+Inputs!$C$6^2+((Inputs!$H$9+Inputs!$L$9*(((Inputs!$I$9+(((A46)+1)/2)*(Inputs!$J$9-Inputs!$I$9)))/Inputs!$K$9)^2))^2)))))/Inputs!$C$13),NA())</x:f>
        <x:v>2800.989229817093</x:v>
      </x:c>
      <x:c r="R46" s="49"/>
      <x:c r="S46" s="48" t="n">
        <x:f>A46</x:f>
        <x:v>-0.633</x:v>
      </x:c>
      <x:c r="T46" s="48" t="n">
        <x:f>(Inputs!$I$6+(((A46)+1)/2)*(Inputs!$J$6-Inputs!$I$6))</x:f>
        <x:v>-37.980000000000004</x:v>
      </x:c>
      <x:c r="U46" s="48" t="n">
        <x:f>(Inputs!$I$7+(((A46)+1)/2)*(Inputs!$J$7-Inputs!$I$7))</x:f>
        <x:v>-253.2</x:v>
      </x:c>
      <x:c r="V46" s="48" t="n">
        <x:f>(Inputs!$I$8+(((A46)+1)/2)*(Inputs!$J$8-Inputs!$I$8))</x:f>
        <x:v>-506.4</x:v>
      </x:c>
      <x:c r="W46" s="48" t="n">
        <x:f>(Inputs!$I$9+(((A46)+1)/2)*(Inputs!$J$9-Inputs!$I$9))</x:f>
        <x:v>-506.4</x:v>
      </x:c>
      <x:c r="X46" s="49"/>
      <x:c r="Y46" s="48" t="n">
        <x:f>A46</x:f>
        <x:v>-0.633</x:v>
      </x:c>
      <x:c r="Z46" s="48" t="n">
        <x:f>(Inputs!$H$6+Inputs!$L$6*(((Inputs!$I$6+(((A46)+1)/2)*(Inputs!$J$6-Inputs!$I$6)))/Inputs!$K$6)^2)</x:f>
        <x:v>401.602756</x:v>
      </x:c>
      <x:c r="AA46" s="48" t="n">
        <x:f>(Inputs!$H$7+Inputs!$L$7*(((Inputs!$I$7+(((A46)+1)/2)*(Inputs!$J$7-Inputs!$I$7)))/Inputs!$K$7)^2)</x:f>
        <x:v>181.251485</x:v>
      </x:c>
      <x:c r="AB46" s="48" t="n">
        <x:f>(Inputs!$H$8+Inputs!$L$8*(((Inputs!$I$8+(((A46)+1)/2)*(Inputs!$J$8-Inputs!$I$8)))/Inputs!$K$8)^2)</x:f>
        <x:v>421.664885</x:v>
      </x:c>
      <x:c r="AC46" s="48" t="n">
        <x:f>(Inputs!$H$9+Inputs!$L$9*(((Inputs!$I$9+(((A46)+1)/2)*(Inputs!$J$9-Inputs!$I$9)))/Inputs!$K$9)^2)</x:f>
        <x:v>415.671775</x:v>
      </x:c>
      <x:c r="AD46" s="49"/>
      <x:c r="AE46" s="48" t="n">
        <x:f>A46</x:f>
        <x:v>-0.633</x:v>
      </x:c>
      <x:c r="AF46" s="48" t="n">
        <x:f>(((SQRT(((Inputs!$I$6+(((A46)+1)/2)*(Inputs!$J$6-Inputs!$I$6)))^2+Inputs!$C$6^2+((Inputs!$H$6+Inputs!$L$6*(((Inputs!$I$6+(((A46)+1)/2)*(Inputs!$J$6-Inputs!$I$6)))/Inputs!$K$6)^2))^2))-((Inputs!$H$6+Inputs!$L$6*(((Inputs!$I$6+(((A46)+1)/2)*(Inputs!$J$6-Inputs!$I$6)))/Inputs!$K$6)^2)))*1000/Inputs!$C$12)</x:f>
        <x:v>1441.4831698256544</x:v>
      </x:c>
      <x:c r="AG46" s="48" t="n">
        <x:f>(((SQRT(((Inputs!$I$7+(((A46)+1)/2)*(Inputs!$J$7-Inputs!$I$7)))^2+Inputs!$C$6^2+((Inputs!$H$7+Inputs!$L$7*(((Inputs!$I$7+(((A46)+1)/2)*(Inputs!$J$7-Inputs!$I$7)))/Inputs!$K$7)^2))^2))-((Inputs!$H$7+Inputs!$L$7*(((Inputs!$I$7+(((A46)+1)/2)*(Inputs!$J$7-Inputs!$I$7)))/Inputs!$K$7)^2)))*1000/Inputs!$C$12)</x:f>
        <x:v>73673.16901511583</x:v>
      </x:c>
      <x:c r="AH46" s="48" t="n">
        <x:f>(((SQRT(((Inputs!$I$8+(((A46)+1)/2)*(Inputs!$J$8-Inputs!$I$8)))^2+Inputs!$C$6^2+((Inputs!$H$8+Inputs!$L$8*(((Inputs!$I$8+(((A46)+1)/2)*(Inputs!$J$8-Inputs!$I$8)))/Inputs!$K$8)^2))^2))-((Inputs!$H$8+Inputs!$L$8*(((Inputs!$I$8+(((A46)+1)/2)*(Inputs!$J$8-Inputs!$I$8)))/Inputs!$K$8)^2)))*1000/Inputs!$C$12)</x:f>
        <x:v>133584.1328817809</x:v>
      </x:c>
      <x:c r="AI46" s="48" t="n">
        <x:f>(((SQRT(((Inputs!$I$9+(((A46)+1)/2)*(Inputs!$J$9-Inputs!$I$9)))^2+Inputs!$C$6^2+((Inputs!$H$9+Inputs!$L$9*(((Inputs!$I$9+(((A46)+1)/2)*(Inputs!$J$9-Inputs!$I$9)))/Inputs!$K$9)^2))^2))-((Inputs!$H$9+Inputs!$L$9*(((Inputs!$I$9+(((A46)+1)/2)*(Inputs!$J$9-Inputs!$I$9)))/Inputs!$K$9)^2)))*1000/Inputs!$C$12)</x:f>
        <x:v>134807.25792322456</x:v>
      </x:c>
      <x:c r="AJ46" s="49"/>
      <x:c r="AK46" s="48" t="n">
        <x:f>A46</x:f>
        <x:v>-0.633</x:v>
      </x:c>
      <x:c r="AL46" s="48" t="n">
        <x:f>(-2*((1000*((((Inputs!$I$6+(((A46)+1)/2)*(Inputs!$J$6-Inputs!$I$6)))*Inputs!$C$11+((Inputs!$H$6+Inputs!$L$6*(((Inputs!$I$6+(((A46)+1)/2)*(Inputs!$J$6-Inputs!$I$6)))/Inputs!$K$6)^2))*((2*Inputs!$L$6*((Inputs!$I$6+(((A46)+1)/2)*(Inputs!$J$6-Inputs!$I$6)))/(Inputs!$K$6^2)*Inputs!$C$11)))/(SQRT(((Inputs!$I$6+(((A46)+1)/2)*(Inputs!$J$6-Inputs!$I$6)))^2+Inputs!$C$6^2+((Inputs!$H$6+Inputs!$L$6*(((Inputs!$I$6+(((A46)+1)/2)*(Inputs!$J$6-Inputs!$I$6)))/Inputs!$K$6)^2))^2)))))/Inputs!$C$13)</x:f>
        <x:v>284.535803366096</x:v>
      </x:c>
      <x:c r="AM46" s="48" t="n">
        <x:f>(-2*((1000*((((Inputs!$I$7+(((A46)+1)/2)*(Inputs!$J$7-Inputs!$I$7)))*Inputs!$C$11+((Inputs!$H$7+Inputs!$L$7*(((Inputs!$I$7+(((A46)+1)/2)*(Inputs!$J$7-Inputs!$I$7)))/Inputs!$K$7)^2))*((2*Inputs!$L$7*((Inputs!$I$7+(((A46)+1)/2)*(Inputs!$J$7-Inputs!$I$7)))/(Inputs!$K$7^2)*Inputs!$C$11)))/(SQRT(((Inputs!$I$7+(((A46)+1)/2)*(Inputs!$J$7-Inputs!$I$7)))^2+Inputs!$C$6^2+((Inputs!$H$7+Inputs!$L$7*(((Inputs!$I$7+(((A46)+1)/2)*(Inputs!$J$7-Inputs!$I$7)))/Inputs!$K$7)^2))^2)))))/Inputs!$C$13)</x:f>
        <x:v>2369.2776476820554</x:v>
      </x:c>
      <x:c r="AN46" s="48" t="n">
        <x:f>(-2*((1000*((((Inputs!$I$8+(((A46)+1)/2)*(Inputs!$J$8-Inputs!$I$8)))*Inputs!$C$11+((Inputs!$H$8+Inputs!$L$8*(((Inputs!$I$8+(((A46)+1)/2)*(Inputs!$J$8-Inputs!$I$8)))/Inputs!$K$8)^2))*((2*Inputs!$L$8*((Inputs!$I$8+(((A46)+1)/2)*(Inputs!$J$8-Inputs!$I$8)))/(Inputs!$K$8^2)*Inputs!$C$11)))/(SQRT(((Inputs!$I$8+(((A46)+1)/2)*(Inputs!$J$8-Inputs!$I$8)))^2+Inputs!$C$6^2+((Inputs!$H$8+Inputs!$L$8*(((Inputs!$I$8+(((A46)+1)/2)*(Inputs!$J$8-Inputs!$I$8)))/Inputs!$K$8)^2))^2)))))/Inputs!$C$13)</x:f>
        <x:v>2791.026616642497</x:v>
      </x:c>
      <x:c r="AO46" s="48" t="n">
        <x:f>(-2*((1000*((((Inputs!$I$9+(((A46)+1)/2)*(Inputs!$J$9-Inputs!$I$9)))*Inputs!$C$11+((Inputs!$H$9+Inputs!$L$9*(((Inputs!$I$9+(((A46)+1)/2)*(Inputs!$J$9-Inputs!$I$9)))/Inputs!$K$9)^2))*((2*Inputs!$L$9*((Inputs!$I$9+(((A46)+1)/2)*(Inputs!$J$9-Inputs!$I$9)))/(Inputs!$K$9^2)*Inputs!$C$11)))/(SQRT(((Inputs!$I$9+(((A46)+1)/2)*(Inputs!$J$9-Inputs!$I$9)))^2+Inputs!$C$6^2+((Inputs!$H$9+Inputs!$L$9*(((Inputs!$I$9+(((A46)+1)/2)*(Inputs!$J$9-Inputs!$I$9)))/Inputs!$K$9)^2))^2)))))/Inputs!$C$13)</x:f>
        <x:v>2800.989229817093</x:v>
      </x:c>
    </x:row>
    <x:row r="47">
      <x:c r="A47" s="48" t="n">
        <x:f>ROUND(-1+45*2/240,3)</x:f>
        <x:v>-0.625</x:v>
      </x:c>
      <x:c r="B47" s="48" t="n">
        <x:f>IF(OR(Inputs!$F$6=TRUE,Inputs!$F$6="TRUE",Inputs!$F$6=1),(Inputs!$H$6+Inputs!$L$6*(((Inputs!$I$6+(((A47)+1)/2)*(Inputs!$J$6-Inputs!$I$6)))/Inputs!$K$6)^2),NA())</x:f>
        <x:v>401.5625</x:v>
      </x:c>
      <x:c r="C47" s="48" t="n">
        <x:f>IF(OR(Inputs!$F$7=TRUE,Inputs!$F$7="TRUE",Inputs!$F$7=1),(Inputs!$H$7+Inputs!$L$7*(((Inputs!$I$7+(((A47)+1)/2)*(Inputs!$J$7-Inputs!$I$7)))/Inputs!$K$7)^2),NA())</x:f>
        <x:v>177.578125</x:v>
      </x:c>
      <x:c r="D47" s="48" t="n">
        <x:f>IF(OR(Inputs!$F$8=TRUE,Inputs!$F$8="TRUE",Inputs!$F$8=1),(Inputs!$H$8+Inputs!$L$8*(((Inputs!$I$8+(((A47)+1)/2)*(Inputs!$J$8-Inputs!$I$8)))/Inputs!$K$8)^2),NA())</x:f>
        <x:v>411.953125</x:v>
      </x:c>
      <x:c r="E47" s="48" t="n">
        <x:f>IF(OR(Inputs!$F$9=TRUE,Inputs!$F$9="TRUE",Inputs!$F$9=1),(Inputs!$H$9+Inputs!$L$9*(((Inputs!$I$9+(((A47)+1)/2)*(Inputs!$J$9-Inputs!$I$9)))/Inputs!$K$9)^2),NA())</x:f>
        <x:v>405.859375</x:v>
      </x:c>
      <x:c r="F47" s="49"/>
      <x:c r="G47" s="48" t="n">
        <x:f>A47</x:f>
        <x:v>-0.625</x:v>
      </x:c>
      <x:c r="H47" s="48" t="n">
        <x:f>IF(OR(Inputs!$F$6=TRUE,Inputs!$F$6="TRUE",Inputs!$F$6=1),(((SQRT(((Inputs!$I$6+(((A47)+1)/2)*(Inputs!$J$6-Inputs!$I$6)))^2+Inputs!$C$6^2+((Inputs!$H$6+Inputs!$L$6*(((Inputs!$I$6+(((A47)+1)/2)*(Inputs!$J$6-Inputs!$I$6)))/Inputs!$K$6)^2))^2))-((Inputs!$H$6+Inputs!$L$6*(((Inputs!$I$6+(((A47)+1)/2)*(Inputs!$J$6-Inputs!$I$6)))/Inputs!$K$6)^2)))*1000/Inputs!$C$12),NA())</x:f>
        <x:v>1416.4425890006503</x:v>
      </x:c>
      <x:c r="I47" s="48" t="n">
        <x:f>IF(OR(Inputs!$F$7=TRUE,Inputs!$F$7="TRUE",Inputs!$F$7=1),(((SQRT(((Inputs!$I$7+(((A47)+1)/2)*(Inputs!$J$7-Inputs!$I$7)))^2+Inputs!$C$6^2+((Inputs!$H$7+Inputs!$L$7*(((Inputs!$I$7+(((A47)+1)/2)*(Inputs!$J$7-Inputs!$I$7)))/Inputs!$K$7)^2))^2))-((Inputs!$H$7+Inputs!$L$7*(((Inputs!$I$7+(((A47)+1)/2)*(Inputs!$J$7-Inputs!$I$7)))/Inputs!$K$7)^2)))*1000/Inputs!$C$12),NA())</x:f>
        <x:v>73083.64456965007</x:v>
      </x:c>
      <x:c r="J47" s="48" t="n">
        <x:f>IF(OR(Inputs!$F$8=TRUE,Inputs!$F$8="TRUE",Inputs!$F$8=1),(((SQRT(((Inputs!$I$8+(((A47)+1)/2)*(Inputs!$J$8-Inputs!$I$8)))^2+Inputs!$C$6^2+((Inputs!$H$8+Inputs!$L$8*(((Inputs!$I$8+(((A47)+1)/2)*(Inputs!$J$8-Inputs!$I$8)))/Inputs!$K$8)^2))^2))-((Inputs!$H$8+Inputs!$L$8*(((Inputs!$I$8+(((A47)+1)/2)*(Inputs!$J$8-Inputs!$I$8)))/Inputs!$K$8)^2)))*1000/Inputs!$C$12),NA())</x:f>
        <x:v>132795.38554872278</x:v>
      </x:c>
      <x:c r="K47" s="48" t="n">
        <x:f>IF(OR(Inputs!$F$9=TRUE,Inputs!$F$9="TRUE",Inputs!$F$9=1),(((SQRT(((Inputs!$I$9+(((A47)+1)/2)*(Inputs!$J$9-Inputs!$I$9)))^2+Inputs!$C$6^2+((Inputs!$H$9+Inputs!$L$9*(((Inputs!$I$9+(((A47)+1)/2)*(Inputs!$J$9-Inputs!$I$9)))/Inputs!$K$9)^2))^2))-((Inputs!$H$9+Inputs!$L$9*(((Inputs!$I$9+(((A47)+1)/2)*(Inputs!$J$9-Inputs!$I$9)))/Inputs!$K$9)^2)))*1000/Inputs!$C$12),NA())</x:f>
        <x:v>134053.20178007596</x:v>
      </x:c>
      <x:c r="L47" s="49"/>
      <x:c r="M47" s="48" t="n">
        <x:f>A47</x:f>
        <x:v>-0.625</x:v>
      </x:c>
      <x:c r="N47" s="48" t="n">
        <x:f>IF(OR(Inputs!$F$6=TRUE,Inputs!$F$6="TRUE",Inputs!$F$6=1),(-2*((1000*((((Inputs!$I$6+(((A47)+1)/2)*(Inputs!$J$6-Inputs!$I$6)))*Inputs!$C$11+((Inputs!$H$6+Inputs!$L$6*(((Inputs!$I$6+(((A47)+1)/2)*(Inputs!$J$6-Inputs!$I$6)))/Inputs!$K$6)^2))*((2*Inputs!$L$6*((Inputs!$I$6+(((A47)+1)/2)*(Inputs!$J$6-Inputs!$I$6)))/(Inputs!$K$6^2)*Inputs!$C$11)))/(SQRT(((Inputs!$I$6+(((A47)+1)/2)*(Inputs!$J$6-Inputs!$I$6)))^2+Inputs!$C$6^2+((Inputs!$H$6+Inputs!$L$6*(((Inputs!$I$6+(((A47)+1)/2)*(Inputs!$J$6-Inputs!$I$6)))/Inputs!$K$6)^2))^2)))))/Inputs!$C$13),NA())</x:f>
        <x:v>280.9854681430745</x:v>
      </x:c>
      <x:c r="O47" s="48" t="n">
        <x:f>IF(OR(Inputs!$F$7=TRUE,Inputs!$F$7="TRUE",Inputs!$F$7=1),(-2*((1000*((((Inputs!$I$7+(((A47)+1)/2)*(Inputs!$J$7-Inputs!$I$7)))*Inputs!$C$11+((Inputs!$H$7+Inputs!$L$7*(((Inputs!$I$7+(((A47)+1)/2)*(Inputs!$J$7-Inputs!$I$7)))/Inputs!$K$7)^2))*((2*Inputs!$L$7*((Inputs!$I$7+(((A47)+1)/2)*(Inputs!$J$7-Inputs!$I$7)))/(Inputs!$K$7^2)*Inputs!$C$11)))/(SQRT(((Inputs!$I$7+(((A47)+1)/2)*(Inputs!$J$7-Inputs!$I$7)))^2+Inputs!$C$6^2+((Inputs!$H$7+Inputs!$L$7*(((Inputs!$I$7+(((A47)+1)/2)*(Inputs!$J$7-Inputs!$I$7)))/Inputs!$K$7)^2))^2)))))/Inputs!$C$13),NA())</x:f>
        <x:v>2353.453731136441</x:v>
      </x:c>
      <x:c r="P47" s="48" t="n">
        <x:f>IF(OR(Inputs!$F$8=TRUE,Inputs!$F$8="TRUE",Inputs!$F$8=1),(-2*((1000*((((Inputs!$I$8+(((A47)+1)/2)*(Inputs!$J$8-Inputs!$I$8)))*Inputs!$C$11+((Inputs!$H$8+Inputs!$L$8*(((Inputs!$I$8+(((A47)+1)/2)*(Inputs!$J$8-Inputs!$I$8)))/Inputs!$K$8)^2))*((2*Inputs!$L$8*((Inputs!$I$8+(((A47)+1)/2)*(Inputs!$J$8-Inputs!$I$8)))/(Inputs!$K$8^2)*Inputs!$C$11)))/(SQRT(((Inputs!$I$8+(((A47)+1)/2)*(Inputs!$J$8-Inputs!$I$8)))^2+Inputs!$C$6^2+((Inputs!$H$8+Inputs!$L$8*(((Inputs!$I$8+(((A47)+1)/2)*(Inputs!$J$8-Inputs!$I$8)))/Inputs!$K$8)^2))^2)))))/Inputs!$C$13),NA())</x:f>
        <x:v>2766.8624410563048</x:v>
      </x:c>
      <x:c r="Q47" s="48" t="n">
        <x:f>IF(OR(Inputs!$F$9=TRUE,Inputs!$F$9="TRUE",Inputs!$F$9=1),(-2*((1000*((((Inputs!$I$9+(((A47)+1)/2)*(Inputs!$J$9-Inputs!$I$9)))*Inputs!$C$11+((Inputs!$H$9+Inputs!$L$9*(((Inputs!$I$9+(((A47)+1)/2)*(Inputs!$J$9-Inputs!$I$9)))/Inputs!$K$9)^2))*((2*Inputs!$L$9*((Inputs!$I$9+(((A47)+1)/2)*(Inputs!$J$9-Inputs!$I$9)))/(Inputs!$K$9^2)*Inputs!$C$11)))/(SQRT(((Inputs!$I$9+(((A47)+1)/2)*(Inputs!$J$9-Inputs!$I$9)))^2+Inputs!$C$6^2+((Inputs!$H$9+Inputs!$L$9*(((Inputs!$I$9+(((A47)+1)/2)*(Inputs!$J$9-Inputs!$I$9)))/Inputs!$K$9)^2))^2)))))/Inputs!$C$13),NA())</x:f>
        <x:v>2776.344772085569</x:v>
      </x:c>
      <x:c r="R47" s="49"/>
      <x:c r="S47" s="48" t="n">
        <x:f>A47</x:f>
        <x:v>-0.625</x:v>
      </x:c>
      <x:c r="T47" s="48" t="n">
        <x:f>(Inputs!$I$6+(((A47)+1)/2)*(Inputs!$J$6-Inputs!$I$6))</x:f>
        <x:v>-37.5</x:v>
      </x:c>
      <x:c r="U47" s="48" t="n">
        <x:f>(Inputs!$I$7+(((A47)+1)/2)*(Inputs!$J$7-Inputs!$I$7))</x:f>
        <x:v>-250</x:v>
      </x:c>
      <x:c r="V47" s="48" t="n">
        <x:f>(Inputs!$I$8+(((A47)+1)/2)*(Inputs!$J$8-Inputs!$I$8))</x:f>
        <x:v>-500</x:v>
      </x:c>
      <x:c r="W47" s="48" t="n">
        <x:f>(Inputs!$I$9+(((A47)+1)/2)*(Inputs!$J$9-Inputs!$I$9))</x:f>
        <x:v>-500</x:v>
      </x:c>
      <x:c r="X47" s="49"/>
      <x:c r="Y47" s="48" t="n">
        <x:f>A47</x:f>
        <x:v>-0.625</x:v>
      </x:c>
      <x:c r="Z47" s="48" t="n">
        <x:f>(Inputs!$H$6+Inputs!$L$6*(((Inputs!$I$6+(((A47)+1)/2)*(Inputs!$J$6-Inputs!$I$6)))/Inputs!$K$6)^2)</x:f>
        <x:v>401.5625</x:v>
      </x:c>
      <x:c r="AA47" s="48" t="n">
        <x:f>(Inputs!$H$7+Inputs!$L$7*(((Inputs!$I$7+(((A47)+1)/2)*(Inputs!$J$7-Inputs!$I$7)))/Inputs!$K$7)^2)</x:f>
        <x:v>177.578125</x:v>
      </x:c>
      <x:c r="AB47" s="48" t="n">
        <x:f>(Inputs!$H$8+Inputs!$L$8*(((Inputs!$I$8+(((A47)+1)/2)*(Inputs!$J$8-Inputs!$I$8)))/Inputs!$K$8)^2)</x:f>
        <x:v>411.953125</x:v>
      </x:c>
      <x:c r="AC47" s="48" t="n">
        <x:f>(Inputs!$H$9+Inputs!$L$9*(((Inputs!$I$9+(((A47)+1)/2)*(Inputs!$J$9-Inputs!$I$9)))/Inputs!$K$9)^2)</x:f>
        <x:v>405.859375</x:v>
      </x:c>
      <x:c r="AD47" s="49"/>
      <x:c r="AE47" s="48" t="n">
        <x:f>A47</x:f>
        <x:v>-0.625</x:v>
      </x:c>
      <x:c r="AF47" s="48" t="n">
        <x:f>(((SQRT(((Inputs!$I$6+(((A47)+1)/2)*(Inputs!$J$6-Inputs!$I$6)))^2+Inputs!$C$6^2+((Inputs!$H$6+Inputs!$L$6*(((Inputs!$I$6+(((A47)+1)/2)*(Inputs!$J$6-Inputs!$I$6)))/Inputs!$K$6)^2))^2))-((Inputs!$H$6+Inputs!$L$6*(((Inputs!$I$6+(((A47)+1)/2)*(Inputs!$J$6-Inputs!$I$6)))/Inputs!$K$6)^2)))*1000/Inputs!$C$12)</x:f>
        <x:v>1416.4425890006503</x:v>
      </x:c>
      <x:c r="AG47" s="48" t="n">
        <x:f>(((SQRT(((Inputs!$I$7+(((A47)+1)/2)*(Inputs!$J$7-Inputs!$I$7)))^2+Inputs!$C$6^2+((Inputs!$H$7+Inputs!$L$7*(((Inputs!$I$7+(((A47)+1)/2)*(Inputs!$J$7-Inputs!$I$7)))/Inputs!$K$7)^2))^2))-((Inputs!$H$7+Inputs!$L$7*(((Inputs!$I$7+(((A47)+1)/2)*(Inputs!$J$7-Inputs!$I$7)))/Inputs!$K$7)^2)))*1000/Inputs!$C$12)</x:f>
        <x:v>73083.64456965007</x:v>
      </x:c>
      <x:c r="AH47" s="48" t="n">
        <x:f>(((SQRT(((Inputs!$I$8+(((A47)+1)/2)*(Inputs!$J$8-Inputs!$I$8)))^2+Inputs!$C$6^2+((Inputs!$H$8+Inputs!$L$8*(((Inputs!$I$8+(((A47)+1)/2)*(Inputs!$J$8-Inputs!$I$8)))/Inputs!$K$8)^2))^2))-((Inputs!$H$8+Inputs!$L$8*(((Inputs!$I$8+(((A47)+1)/2)*(Inputs!$J$8-Inputs!$I$8)))/Inputs!$K$8)^2)))*1000/Inputs!$C$12)</x:f>
        <x:v>132795.38554872278</x:v>
      </x:c>
      <x:c r="AI47" s="48" t="n">
        <x:f>(((SQRT(((Inputs!$I$9+(((A47)+1)/2)*(Inputs!$J$9-Inputs!$I$9)))^2+Inputs!$C$6^2+((Inputs!$H$9+Inputs!$L$9*(((Inputs!$I$9+(((A47)+1)/2)*(Inputs!$J$9-Inputs!$I$9)))/Inputs!$K$9)^2))^2))-((Inputs!$H$9+Inputs!$L$9*(((Inputs!$I$9+(((A47)+1)/2)*(Inputs!$J$9-Inputs!$I$9)))/Inputs!$K$9)^2)))*1000/Inputs!$C$12)</x:f>
        <x:v>134053.20178007596</x:v>
      </x:c>
      <x:c r="AJ47" s="49"/>
      <x:c r="AK47" s="48" t="n">
        <x:f>A47</x:f>
        <x:v>-0.625</x:v>
      </x:c>
      <x:c r="AL47" s="48" t="n">
        <x:f>(-2*((1000*((((Inputs!$I$6+(((A47)+1)/2)*(Inputs!$J$6-Inputs!$I$6)))*Inputs!$C$11+((Inputs!$H$6+Inputs!$L$6*(((Inputs!$I$6+(((A47)+1)/2)*(Inputs!$J$6-Inputs!$I$6)))/Inputs!$K$6)^2))*((2*Inputs!$L$6*((Inputs!$I$6+(((A47)+1)/2)*(Inputs!$J$6-Inputs!$I$6)))/(Inputs!$K$6^2)*Inputs!$C$11)))/(SQRT(((Inputs!$I$6+(((A47)+1)/2)*(Inputs!$J$6-Inputs!$I$6)))^2+Inputs!$C$6^2+((Inputs!$H$6+Inputs!$L$6*(((Inputs!$I$6+(((A47)+1)/2)*(Inputs!$J$6-Inputs!$I$6)))/Inputs!$K$6)^2))^2)))))/Inputs!$C$13)</x:f>
        <x:v>280.9854681430745</x:v>
      </x:c>
      <x:c r="AM47" s="48" t="n">
        <x:f>(-2*((1000*((((Inputs!$I$7+(((A47)+1)/2)*(Inputs!$J$7-Inputs!$I$7)))*Inputs!$C$11+((Inputs!$H$7+Inputs!$L$7*(((Inputs!$I$7+(((A47)+1)/2)*(Inputs!$J$7-Inputs!$I$7)))/Inputs!$K$7)^2))*((2*Inputs!$L$7*((Inputs!$I$7+(((A47)+1)/2)*(Inputs!$J$7-Inputs!$I$7)))/(Inputs!$K$7^2)*Inputs!$C$11)))/(SQRT(((Inputs!$I$7+(((A47)+1)/2)*(Inputs!$J$7-Inputs!$I$7)))^2+Inputs!$C$6^2+((Inputs!$H$7+Inputs!$L$7*(((Inputs!$I$7+(((A47)+1)/2)*(Inputs!$J$7-Inputs!$I$7)))/Inputs!$K$7)^2))^2)))))/Inputs!$C$13)</x:f>
        <x:v>2353.453731136441</x:v>
      </x:c>
      <x:c r="AN47" s="48" t="n">
        <x:f>(-2*((1000*((((Inputs!$I$8+(((A47)+1)/2)*(Inputs!$J$8-Inputs!$I$8)))*Inputs!$C$11+((Inputs!$H$8+Inputs!$L$8*(((Inputs!$I$8+(((A47)+1)/2)*(Inputs!$J$8-Inputs!$I$8)))/Inputs!$K$8)^2))*((2*Inputs!$L$8*((Inputs!$I$8+(((A47)+1)/2)*(Inputs!$J$8-Inputs!$I$8)))/(Inputs!$K$8^2)*Inputs!$C$11)))/(SQRT(((Inputs!$I$8+(((A47)+1)/2)*(Inputs!$J$8-Inputs!$I$8)))^2+Inputs!$C$6^2+((Inputs!$H$8+Inputs!$L$8*(((Inputs!$I$8+(((A47)+1)/2)*(Inputs!$J$8-Inputs!$I$8)))/Inputs!$K$8)^2))^2)))))/Inputs!$C$13)</x:f>
        <x:v>2766.8624410563048</x:v>
      </x:c>
      <x:c r="AO47" s="48" t="n">
        <x:f>(-2*((1000*((((Inputs!$I$9+(((A47)+1)/2)*(Inputs!$J$9-Inputs!$I$9)))*Inputs!$C$11+((Inputs!$H$9+Inputs!$L$9*(((Inputs!$I$9+(((A47)+1)/2)*(Inputs!$J$9-Inputs!$I$9)))/Inputs!$K$9)^2))*((2*Inputs!$L$9*((Inputs!$I$9+(((A47)+1)/2)*(Inputs!$J$9-Inputs!$I$9)))/(Inputs!$K$9^2)*Inputs!$C$11)))/(SQRT(((Inputs!$I$9+(((A47)+1)/2)*(Inputs!$J$9-Inputs!$I$9)))^2+Inputs!$C$6^2+((Inputs!$H$9+Inputs!$L$9*(((Inputs!$I$9+(((A47)+1)/2)*(Inputs!$J$9-Inputs!$I$9)))/Inputs!$K$9)^2))^2)))))/Inputs!$C$13)</x:f>
        <x:v>2776.344772085569</x:v>
      </x:c>
    </x:row>
    <x:row r="48">
      <x:c r="A48" s="48" t="n">
        <x:f>ROUND(-1+46*2/240,3)</x:f>
        <x:v>-0.617</x:v>
      </x:c>
      <x:c r="B48" s="48" t="n">
        <x:f>IF(OR(Inputs!$F$6=TRUE,Inputs!$F$6="TRUE",Inputs!$F$6=1),(Inputs!$H$6+Inputs!$L$6*(((Inputs!$I$6+(((A48)+1)/2)*(Inputs!$J$6-Inputs!$I$6)))/Inputs!$K$6)^2),NA())</x:f>
        <x:v>401.522756</x:v>
      </x:c>
      <x:c r="C48" s="48" t="n">
        <x:f>IF(OR(Inputs!$F$7=TRUE,Inputs!$F$7="TRUE",Inputs!$F$7=1),(Inputs!$H$7+Inputs!$L$7*(((Inputs!$I$7+(((A48)+1)/2)*(Inputs!$J$7-Inputs!$I$7)))/Inputs!$K$7)^2),NA())</x:f>
        <x:v>173.951485</x:v>
      </x:c>
      <x:c r="D48" s="48" t="n">
        <x:f>IF(OR(Inputs!$F$8=TRUE,Inputs!$F$8="TRUE",Inputs!$F$8=1),(Inputs!$H$8+Inputs!$L$8*(((Inputs!$I$8+(((A48)+1)/2)*(Inputs!$J$8-Inputs!$I$8)))/Inputs!$K$8)^2),NA())</x:f>
        <x:v>402.364885</x:v>
      </x:c>
      <x:c r="E48" s="48" t="n">
        <x:f>IF(OR(Inputs!$F$9=TRUE,Inputs!$F$9="TRUE",Inputs!$F$9=1),(Inputs!$H$9+Inputs!$L$9*(((Inputs!$I$9+(((A48)+1)/2)*(Inputs!$J$9-Inputs!$I$9)))/Inputs!$K$9)^2),NA())</x:f>
        <x:v>396.171775</x:v>
      </x:c>
      <x:c r="F48" s="49"/>
      <x:c r="G48" s="48" t="n">
        <x:f>A48</x:f>
        <x:v>-0.617</x:v>
      </x:c>
      <x:c r="H48" s="48" t="n">
        <x:f>IF(OR(Inputs!$F$6=TRUE,Inputs!$F$6="TRUE",Inputs!$F$6=1),(((SQRT(((Inputs!$I$6+(((A48)+1)/2)*(Inputs!$J$6-Inputs!$I$6)))^2+Inputs!$C$6^2+((Inputs!$H$6+Inputs!$L$6*(((Inputs!$I$6+(((A48)+1)/2)*(Inputs!$J$6-Inputs!$I$6)))/Inputs!$K$6)^2))^2))-((Inputs!$H$6+Inputs!$L$6*(((Inputs!$I$6+(((A48)+1)/2)*(Inputs!$J$6-Inputs!$I$6)))/Inputs!$K$6)^2)))*1000/Inputs!$C$12),NA())</x:f>
        <x:v>1391.712883688065</x:v>
      </x:c>
      <x:c r="I48" s="48" t="n">
        <x:f>IF(OR(Inputs!$F$7=TRUE,Inputs!$F$7="TRUE",Inputs!$F$7=1),(((SQRT(((Inputs!$I$7+(((A48)+1)/2)*(Inputs!$J$7-Inputs!$I$7)))^2+Inputs!$C$6^2+((Inputs!$H$7+Inputs!$L$7*(((Inputs!$I$7+(((A48)+1)/2)*(Inputs!$J$7-Inputs!$I$7)))/Inputs!$K$7)^2))^2))-((Inputs!$H$7+Inputs!$L$7*(((Inputs!$I$7+(((A48)+1)/2)*(Inputs!$J$7-Inputs!$I$7)))/Inputs!$K$7)^2)))*1000/Inputs!$C$12),NA())</x:f>
        <x:v>72485.59224233375</x:v>
      </x:c>
      <x:c r="J48" s="48" t="n">
        <x:f>IF(OR(Inputs!$F$8=TRUE,Inputs!$F$8="TRUE",Inputs!$F$8=1),(((SQRT(((Inputs!$I$8+(((A48)+1)/2)*(Inputs!$J$8-Inputs!$I$8)))^2+Inputs!$C$6^2+((Inputs!$H$8+Inputs!$L$8*(((Inputs!$I$8+(((A48)+1)/2)*(Inputs!$J$8-Inputs!$I$8)))/Inputs!$K$8)^2))^2))-((Inputs!$H$8+Inputs!$L$8*(((Inputs!$I$8+(((A48)+1)/2)*(Inputs!$J$8-Inputs!$I$8)))/Inputs!$K$8)^2)))*1000/Inputs!$C$12),NA())</x:f>
        <x:v>131991.38402040576</x:v>
      </x:c>
      <x:c r="K48" s="48" t="n">
        <x:f>IF(OR(Inputs!$F$9=TRUE,Inputs!$F$9="TRUE",Inputs!$F$9=1),(((SQRT(((Inputs!$I$9+(((A48)+1)/2)*(Inputs!$J$9-Inputs!$I$9)))^2+Inputs!$C$6^2+((Inputs!$H$9+Inputs!$L$9*(((Inputs!$I$9+(((A48)+1)/2)*(Inputs!$J$9-Inputs!$I$9)))/Inputs!$K$9)^2))^2))-((Inputs!$H$9+Inputs!$L$9*(((Inputs!$I$9+(((A48)+1)/2)*(Inputs!$J$9-Inputs!$I$9)))/Inputs!$K$9)^2)))*1000/Inputs!$C$12),NA())</x:f>
        <x:v>133284.250869167</x:v>
      </x:c>
      <x:c r="L48" s="49"/>
      <x:c r="M48" s="48" t="n">
        <x:f>A48</x:f>
        <x:v>-0.617</x:v>
      </x:c>
      <x:c r="N48" s="48" t="n">
        <x:f>IF(OR(Inputs!$F$6=TRUE,Inputs!$F$6="TRUE",Inputs!$F$6=1),(-2*((1000*((((Inputs!$I$6+(((A48)+1)/2)*(Inputs!$J$6-Inputs!$I$6)))*Inputs!$C$11+((Inputs!$H$6+Inputs!$L$6*(((Inputs!$I$6+(((A48)+1)/2)*(Inputs!$J$6-Inputs!$I$6)))/Inputs!$K$6)^2))*((2*Inputs!$L$6*((Inputs!$I$6+(((A48)+1)/2)*(Inputs!$J$6-Inputs!$I$6)))/(Inputs!$K$6^2)*Inputs!$C$11)))/(SQRT(((Inputs!$I$6+(((A48)+1)/2)*(Inputs!$J$6-Inputs!$I$6)))^2+Inputs!$C$6^2+((Inputs!$H$6+Inputs!$L$6*(((Inputs!$I$6+(((A48)+1)/2)*(Inputs!$J$6-Inputs!$I$6)))/Inputs!$K$6)^2))^2)))))/Inputs!$C$13),NA())</x:f>
        <x:v>277.43341731317827</x:v>
      </x:c>
      <x:c r="O48" s="48" t="n">
        <x:f>IF(OR(Inputs!$F$7=TRUE,Inputs!$F$7="TRUE",Inputs!$F$7=1),(-2*((1000*((((Inputs!$I$7+(((A48)+1)/2)*(Inputs!$J$7-Inputs!$I$7)))*Inputs!$C$11+((Inputs!$H$7+Inputs!$L$7*(((Inputs!$I$7+(((A48)+1)/2)*(Inputs!$J$7-Inputs!$I$7)))/Inputs!$K$7)^2))*((2*Inputs!$L$7*((Inputs!$I$7+(((A48)+1)/2)*(Inputs!$J$7-Inputs!$I$7)))/(Inputs!$K$7^2)*Inputs!$C$11)))/(SQRT(((Inputs!$I$7+(((A48)+1)/2)*(Inputs!$J$7-Inputs!$I$7)))^2+Inputs!$C$6^2+((Inputs!$H$7+Inputs!$L$7*(((Inputs!$I$7+(((A48)+1)/2)*(Inputs!$J$7-Inputs!$I$7)))/Inputs!$K$7)^2))^2)))))/Inputs!$C$13),NA())</x:f>
        <x:v>2337.7374094442707</x:v>
      </x:c>
      <x:c r="P48" s="48" t="n">
        <x:f>IF(OR(Inputs!$F$8=TRUE,Inputs!$F$8="TRUE",Inputs!$F$8=1),(-2*((1000*((((Inputs!$I$8+(((A48)+1)/2)*(Inputs!$J$8-Inputs!$I$8)))*Inputs!$C$11+((Inputs!$H$8+Inputs!$L$8*(((Inputs!$I$8+(((A48)+1)/2)*(Inputs!$J$8-Inputs!$I$8)))/Inputs!$K$8)^2))*((2*Inputs!$L$8*((Inputs!$I$8+(((A48)+1)/2)*(Inputs!$J$8-Inputs!$I$8)))/(Inputs!$K$8^2)*Inputs!$C$11)))/(SQRT(((Inputs!$I$8+(((A48)+1)/2)*(Inputs!$J$8-Inputs!$I$8)))^2+Inputs!$C$6^2+((Inputs!$H$8+Inputs!$L$8*(((Inputs!$I$8+(((A48)+1)/2)*(Inputs!$J$8-Inputs!$I$8)))/Inputs!$K$8)^2))^2)))))/Inputs!$C$13),NA())</x:f>
        <x:v>2742.843350415009</x:v>
      </x:c>
      <x:c r="Q48" s="48" t="n">
        <x:f>IF(OR(Inputs!$F$9=TRUE,Inputs!$F$9="TRUE",Inputs!$F$9=1),(-2*((1000*((((Inputs!$I$9+(((A48)+1)/2)*(Inputs!$J$9-Inputs!$I$9)))*Inputs!$C$11+((Inputs!$H$9+Inputs!$L$9*(((Inputs!$I$9+(((A48)+1)/2)*(Inputs!$J$9-Inputs!$I$9)))/Inputs!$K$9)^2))*((2*Inputs!$L$9*((Inputs!$I$9+(((A48)+1)/2)*(Inputs!$J$9-Inputs!$I$9)))/(Inputs!$K$9^2)*Inputs!$C$11)))/(SQRT(((Inputs!$I$9+(((A48)+1)/2)*(Inputs!$J$9-Inputs!$I$9)))^2+Inputs!$C$6^2+((Inputs!$H$9+Inputs!$L$9*(((Inputs!$I$9+(((A48)+1)/2)*(Inputs!$J$9-Inputs!$I$9)))/Inputs!$K$9)^2))^2)))))/Inputs!$C$13),NA())</x:f>
        <x:v>2751.846100687157</x:v>
      </x:c>
      <x:c r="R48" s="49"/>
      <x:c r="S48" s="48" t="n">
        <x:f>A48</x:f>
        <x:v>-0.617</x:v>
      </x:c>
      <x:c r="T48" s="48" t="n">
        <x:f>(Inputs!$I$6+(((A48)+1)/2)*(Inputs!$J$6-Inputs!$I$6))</x:f>
        <x:v>-37.019999999999996</x:v>
      </x:c>
      <x:c r="U48" s="48" t="n">
        <x:f>(Inputs!$I$7+(((A48)+1)/2)*(Inputs!$J$7-Inputs!$I$7))</x:f>
        <x:v>-246.8</x:v>
      </x:c>
      <x:c r="V48" s="48" t="n">
        <x:f>(Inputs!$I$8+(((A48)+1)/2)*(Inputs!$J$8-Inputs!$I$8))</x:f>
        <x:v>-493.6</x:v>
      </x:c>
      <x:c r="W48" s="48" t="n">
        <x:f>(Inputs!$I$9+(((A48)+1)/2)*(Inputs!$J$9-Inputs!$I$9))</x:f>
        <x:v>-493.6</x:v>
      </x:c>
      <x:c r="X48" s="49"/>
      <x:c r="Y48" s="48" t="n">
        <x:f>A48</x:f>
        <x:v>-0.617</x:v>
      </x:c>
      <x:c r="Z48" s="48" t="n">
        <x:f>(Inputs!$H$6+Inputs!$L$6*(((Inputs!$I$6+(((A48)+1)/2)*(Inputs!$J$6-Inputs!$I$6)))/Inputs!$K$6)^2)</x:f>
        <x:v>401.522756</x:v>
      </x:c>
      <x:c r="AA48" s="48" t="n">
        <x:f>(Inputs!$H$7+Inputs!$L$7*(((Inputs!$I$7+(((A48)+1)/2)*(Inputs!$J$7-Inputs!$I$7)))/Inputs!$K$7)^2)</x:f>
        <x:v>173.951485</x:v>
      </x:c>
      <x:c r="AB48" s="48" t="n">
        <x:f>(Inputs!$H$8+Inputs!$L$8*(((Inputs!$I$8+(((A48)+1)/2)*(Inputs!$J$8-Inputs!$I$8)))/Inputs!$K$8)^2)</x:f>
        <x:v>402.364885</x:v>
      </x:c>
      <x:c r="AC48" s="48" t="n">
        <x:f>(Inputs!$H$9+Inputs!$L$9*(((Inputs!$I$9+(((A48)+1)/2)*(Inputs!$J$9-Inputs!$I$9)))/Inputs!$K$9)^2)</x:f>
        <x:v>396.171775</x:v>
      </x:c>
      <x:c r="AD48" s="49"/>
      <x:c r="AE48" s="48" t="n">
        <x:f>A48</x:f>
        <x:v>-0.617</x:v>
      </x:c>
      <x:c r="AF48" s="48" t="n">
        <x:f>(((SQRT(((Inputs!$I$6+(((A48)+1)/2)*(Inputs!$J$6-Inputs!$I$6)))^2+Inputs!$C$6^2+((Inputs!$H$6+Inputs!$L$6*(((Inputs!$I$6+(((A48)+1)/2)*(Inputs!$J$6-Inputs!$I$6)))/Inputs!$K$6)^2))^2))-((Inputs!$H$6+Inputs!$L$6*(((Inputs!$I$6+(((A48)+1)/2)*(Inputs!$J$6-Inputs!$I$6)))/Inputs!$K$6)^2)))*1000/Inputs!$C$12)</x:f>
        <x:v>1391.712883688065</x:v>
      </x:c>
      <x:c r="AG48" s="48" t="n">
        <x:f>(((SQRT(((Inputs!$I$7+(((A48)+1)/2)*(Inputs!$J$7-Inputs!$I$7)))^2+Inputs!$C$6^2+((Inputs!$H$7+Inputs!$L$7*(((Inputs!$I$7+(((A48)+1)/2)*(Inputs!$J$7-Inputs!$I$7)))/Inputs!$K$7)^2))^2))-((Inputs!$H$7+Inputs!$L$7*(((Inputs!$I$7+(((A48)+1)/2)*(Inputs!$J$7-Inputs!$I$7)))/Inputs!$K$7)^2)))*1000/Inputs!$C$12)</x:f>
        <x:v>72485.59224233375</x:v>
      </x:c>
      <x:c r="AH48" s="48" t="n">
        <x:f>(((SQRT(((Inputs!$I$8+(((A48)+1)/2)*(Inputs!$J$8-Inputs!$I$8)))^2+Inputs!$C$6^2+((Inputs!$H$8+Inputs!$L$8*(((Inputs!$I$8+(((A48)+1)/2)*(Inputs!$J$8-Inputs!$I$8)))/Inputs!$K$8)^2))^2))-((Inputs!$H$8+Inputs!$L$8*(((Inputs!$I$8+(((A48)+1)/2)*(Inputs!$J$8-Inputs!$I$8)))/Inputs!$K$8)^2)))*1000/Inputs!$C$12)</x:f>
        <x:v>131991.38402040576</x:v>
      </x:c>
      <x:c r="AI48" s="48" t="n">
        <x:f>(((SQRT(((Inputs!$I$9+(((A48)+1)/2)*(Inputs!$J$9-Inputs!$I$9)))^2+Inputs!$C$6^2+((Inputs!$H$9+Inputs!$L$9*(((Inputs!$I$9+(((A48)+1)/2)*(Inputs!$J$9-Inputs!$I$9)))/Inputs!$K$9)^2))^2))-((Inputs!$H$9+Inputs!$L$9*(((Inputs!$I$9+(((A48)+1)/2)*(Inputs!$J$9-Inputs!$I$9)))/Inputs!$K$9)^2)))*1000/Inputs!$C$12)</x:f>
        <x:v>133284.250869167</x:v>
      </x:c>
      <x:c r="AJ48" s="49"/>
      <x:c r="AK48" s="48" t="n">
        <x:f>A48</x:f>
        <x:v>-0.617</x:v>
      </x:c>
      <x:c r="AL48" s="48" t="n">
        <x:f>(-2*((1000*((((Inputs!$I$6+(((A48)+1)/2)*(Inputs!$J$6-Inputs!$I$6)))*Inputs!$C$11+((Inputs!$H$6+Inputs!$L$6*(((Inputs!$I$6+(((A48)+1)/2)*(Inputs!$J$6-Inputs!$I$6)))/Inputs!$K$6)^2))*((2*Inputs!$L$6*((Inputs!$I$6+(((A48)+1)/2)*(Inputs!$J$6-Inputs!$I$6)))/(Inputs!$K$6^2)*Inputs!$C$11)))/(SQRT(((Inputs!$I$6+(((A48)+1)/2)*(Inputs!$J$6-Inputs!$I$6)))^2+Inputs!$C$6^2+((Inputs!$H$6+Inputs!$L$6*(((Inputs!$I$6+(((A48)+1)/2)*(Inputs!$J$6-Inputs!$I$6)))/Inputs!$K$6)^2))^2)))))/Inputs!$C$13)</x:f>
        <x:v>277.43341731317827</x:v>
      </x:c>
      <x:c r="AM48" s="48" t="n">
        <x:f>(-2*((1000*((((Inputs!$I$7+(((A48)+1)/2)*(Inputs!$J$7-Inputs!$I$7)))*Inputs!$C$11+((Inputs!$H$7+Inputs!$L$7*(((Inputs!$I$7+(((A48)+1)/2)*(Inputs!$J$7-Inputs!$I$7)))/Inputs!$K$7)^2))*((2*Inputs!$L$7*((Inputs!$I$7+(((A48)+1)/2)*(Inputs!$J$7-Inputs!$I$7)))/(Inputs!$K$7^2)*Inputs!$C$11)))/(SQRT(((Inputs!$I$7+(((A48)+1)/2)*(Inputs!$J$7-Inputs!$I$7)))^2+Inputs!$C$6^2+((Inputs!$H$7+Inputs!$L$7*(((Inputs!$I$7+(((A48)+1)/2)*(Inputs!$J$7-Inputs!$I$7)))/Inputs!$K$7)^2))^2)))))/Inputs!$C$13)</x:f>
        <x:v>2337.7374094442707</x:v>
      </x:c>
      <x:c r="AN48" s="48" t="n">
        <x:f>(-2*((1000*((((Inputs!$I$8+(((A48)+1)/2)*(Inputs!$J$8-Inputs!$I$8)))*Inputs!$C$11+((Inputs!$H$8+Inputs!$L$8*(((Inputs!$I$8+(((A48)+1)/2)*(Inputs!$J$8-Inputs!$I$8)))/Inputs!$K$8)^2))*((2*Inputs!$L$8*((Inputs!$I$8+(((A48)+1)/2)*(Inputs!$J$8-Inputs!$I$8)))/(Inputs!$K$8^2)*Inputs!$C$11)))/(SQRT(((Inputs!$I$8+(((A48)+1)/2)*(Inputs!$J$8-Inputs!$I$8)))^2+Inputs!$C$6^2+((Inputs!$H$8+Inputs!$L$8*(((Inputs!$I$8+(((A48)+1)/2)*(Inputs!$J$8-Inputs!$I$8)))/Inputs!$K$8)^2))^2)))))/Inputs!$C$13)</x:f>
        <x:v>2742.843350415009</x:v>
      </x:c>
      <x:c r="AO48" s="48" t="n">
        <x:f>(-2*((1000*((((Inputs!$I$9+(((A48)+1)/2)*(Inputs!$J$9-Inputs!$I$9)))*Inputs!$C$11+((Inputs!$H$9+Inputs!$L$9*(((Inputs!$I$9+(((A48)+1)/2)*(Inputs!$J$9-Inputs!$I$9)))/Inputs!$K$9)^2))*((2*Inputs!$L$9*((Inputs!$I$9+(((A48)+1)/2)*(Inputs!$J$9-Inputs!$I$9)))/(Inputs!$K$9^2)*Inputs!$C$11)))/(SQRT(((Inputs!$I$9+(((A48)+1)/2)*(Inputs!$J$9-Inputs!$I$9)))^2+Inputs!$C$6^2+((Inputs!$H$9+Inputs!$L$9*(((Inputs!$I$9+(((A48)+1)/2)*(Inputs!$J$9-Inputs!$I$9)))/Inputs!$K$9)^2))^2)))))/Inputs!$C$13)</x:f>
        <x:v>2751.846100687157</x:v>
      </x:c>
    </x:row>
    <x:row r="49">
      <x:c r="A49" s="48" t="n">
        <x:f>ROUND(-1+47*2/240,3)</x:f>
        <x:v>-0.608</x:v>
      </x:c>
      <x:c r="B49" s="48" t="n">
        <x:f>IF(OR(Inputs!$F$6=TRUE,Inputs!$F$6="TRUE",Inputs!$F$6=1),(Inputs!$H$6+Inputs!$L$6*(((Inputs!$I$6+(((A49)+1)/2)*(Inputs!$J$6-Inputs!$I$6)))/Inputs!$K$6)^2),NA())</x:f>
        <x:v>401.478656</x:v>
      </x:c>
      <x:c r="C49" s="48" t="n">
        <x:f>IF(OR(Inputs!$F$7=TRUE,Inputs!$F$7="TRUE",Inputs!$F$7=1),(Inputs!$H$7+Inputs!$L$7*(((Inputs!$I$7+(((A49)+1)/2)*(Inputs!$J$7-Inputs!$I$7)))/Inputs!$K$7)^2),NA())</x:f>
        <x:v>169.92736</x:v>
      </x:c>
      <x:c r="D49" s="48" t="n">
        <x:f>IF(OR(Inputs!$F$8=TRUE,Inputs!$F$8="TRUE",Inputs!$F$8=1),(Inputs!$H$8+Inputs!$L$8*(((Inputs!$I$8+(((A49)+1)/2)*(Inputs!$J$8-Inputs!$I$8)))/Inputs!$K$8)^2),NA())</x:f>
        <x:v>391.72576</x:v>
      </x:c>
      <x:c r="E49" s="48" t="n">
        <x:f>IF(OR(Inputs!$F$9=TRUE,Inputs!$F$9="TRUE",Inputs!$F$9=1),(Inputs!$H$9+Inputs!$L$9*(((Inputs!$I$9+(((A49)+1)/2)*(Inputs!$J$9-Inputs!$I$9)))/Inputs!$K$9)^2),NA())</x:f>
        <x:v>385.4224</x:v>
      </x:c>
      <x:c r="F49" s="49"/>
      <x:c r="G49" s="48" t="n">
        <x:f>A49</x:f>
        <x:v>-0.608</x:v>
      </x:c>
      <x:c r="H49" s="48" t="n">
        <x:f>IF(OR(Inputs!$F$6=TRUE,Inputs!$F$6="TRUE",Inputs!$F$6=1),(((SQRT(((Inputs!$I$6+(((A49)+1)/2)*(Inputs!$J$6-Inputs!$I$6)))^2+Inputs!$C$6^2+((Inputs!$H$6+Inputs!$L$6*(((Inputs!$I$6+(((A49)+1)/2)*(Inputs!$J$6-Inputs!$I$6)))/Inputs!$K$6)^2))^2))-((Inputs!$H$6+Inputs!$L$6*(((Inputs!$I$6+(((A49)+1)/2)*(Inputs!$J$6-Inputs!$I$6)))/Inputs!$K$6)^2)))*1000/Inputs!$C$12),NA())</x:f>
        <x:v>1364.2639163684019</x:v>
      </x:c>
      <x:c r="I49" s="48" t="n">
        <x:f>IF(OR(Inputs!$F$7=TRUE,Inputs!$F$7="TRUE",Inputs!$F$7=1),(((SQRT(((Inputs!$I$7+(((A49)+1)/2)*(Inputs!$J$7-Inputs!$I$7)))^2+Inputs!$C$6^2+((Inputs!$H$7+Inputs!$L$7*(((Inputs!$I$7+(((A49)+1)/2)*(Inputs!$J$7-Inputs!$I$7)))/Inputs!$K$7)^2))^2))-((Inputs!$H$7+Inputs!$L$7*(((Inputs!$I$7+(((A49)+1)/2)*(Inputs!$J$7-Inputs!$I$7)))/Inputs!$K$7)^2)))*1000/Inputs!$C$12),NA())</x:f>
        <x:v>71802.43878914848</x:v>
      </x:c>
      <x:c r="J49" s="48" t="n">
        <x:f>IF(OR(Inputs!$F$8=TRUE,Inputs!$F$8="TRUE",Inputs!$F$8=1),(((SQRT(((Inputs!$I$8+(((A49)+1)/2)*(Inputs!$J$8-Inputs!$I$8)))^2+Inputs!$C$6^2+((Inputs!$H$8+Inputs!$L$8*(((Inputs!$I$8+(((A49)+1)/2)*(Inputs!$J$8-Inputs!$I$8)))/Inputs!$K$8)^2))^2))-((Inputs!$H$8+Inputs!$L$8*(((Inputs!$I$8+(((A49)+1)/2)*(Inputs!$J$8-Inputs!$I$8)))/Inputs!$K$8)^2)))*1000/Inputs!$C$12),NA())</x:f>
        <x:v>131068.23833996318</x:v>
      </x:c>
      <x:c r="K49" s="48" t="n">
        <x:f>IF(OR(Inputs!$F$9=TRUE,Inputs!$F$9="TRUE",Inputs!$F$9=1),(((SQRT(((Inputs!$I$9+(((A49)+1)/2)*(Inputs!$J$9-Inputs!$I$9)))^2+Inputs!$C$6^2+((Inputs!$H$9+Inputs!$L$9*(((Inputs!$I$9+(((A49)+1)/2)*(Inputs!$J$9-Inputs!$I$9)))/Inputs!$K$9)^2))^2))-((Inputs!$H$9+Inputs!$L$9*(((Inputs!$I$9+(((A49)+1)/2)*(Inputs!$J$9-Inputs!$I$9)))/Inputs!$K$9)^2)))*1000/Inputs!$C$12),NA())</x:f>
        <x:v>132400.9645476228</x:v>
      </x:c>
      <x:c r="L49" s="49"/>
      <x:c r="M49" s="48" t="n">
        <x:f>A49</x:f>
        <x:v>-0.608</x:v>
      </x:c>
      <x:c r="N49" s="48" t="n">
        <x:f>IF(OR(Inputs!$F$6=TRUE,Inputs!$F$6="TRUE",Inputs!$F$6=1),(-2*((1000*((((Inputs!$I$6+(((A49)+1)/2)*(Inputs!$J$6-Inputs!$I$6)))*Inputs!$C$11+((Inputs!$H$6+Inputs!$L$6*(((Inputs!$I$6+(((A49)+1)/2)*(Inputs!$J$6-Inputs!$I$6)))/Inputs!$K$6)^2))*((2*Inputs!$L$6*((Inputs!$I$6+(((A49)+1)/2)*(Inputs!$J$6-Inputs!$I$6)))/(Inputs!$K$6^2)*Inputs!$C$11)))/(SQRT(((Inputs!$I$6+(((A49)+1)/2)*(Inputs!$J$6-Inputs!$I$6)))^2+Inputs!$C$6^2+((Inputs!$H$6+Inputs!$L$6*(((Inputs!$I$6+(((A49)+1)/2)*(Inputs!$J$6-Inputs!$I$6)))/Inputs!$K$6)^2))^2)))))/Inputs!$C$13),NA())</x:f>
        <x:v>273.435334599617</x:v>
      </x:c>
      <x:c r="O49" s="48" t="n">
        <x:f>IF(OR(Inputs!$F$7=TRUE,Inputs!$F$7="TRUE",Inputs!$F$7=1),(-2*((1000*((((Inputs!$I$7+(((A49)+1)/2)*(Inputs!$J$7-Inputs!$I$7)))*Inputs!$C$11+((Inputs!$H$7+Inputs!$L$7*(((Inputs!$I$7+(((A49)+1)/2)*(Inputs!$J$7-Inputs!$I$7)))/Inputs!$K$7)^2))*((2*Inputs!$L$7*((Inputs!$I$7+(((A49)+1)/2)*(Inputs!$J$7-Inputs!$I$7)))/(Inputs!$K$7^2)*Inputs!$C$11)))/(SQRT(((Inputs!$I$7+(((A49)+1)/2)*(Inputs!$J$7-Inputs!$I$7)))^2+Inputs!$C$6^2+((Inputs!$H$7+Inputs!$L$7*(((Inputs!$I$7+(((A49)+1)/2)*(Inputs!$J$7-Inputs!$I$7)))/Inputs!$K$7)^2))^2)))))/Inputs!$C$13),NA())</x:f>
        <x:v>2320.1861094445107</x:v>
      </x:c>
      <x:c r="P49" s="48" t="n">
        <x:f>IF(OR(Inputs!$F$8=TRUE,Inputs!$F$8="TRUE",Inputs!$F$8=1),(-2*((1000*((((Inputs!$I$8+(((A49)+1)/2)*(Inputs!$J$8-Inputs!$I$8)))*Inputs!$C$11+((Inputs!$H$8+Inputs!$L$8*(((Inputs!$I$8+(((A49)+1)/2)*(Inputs!$J$8-Inputs!$I$8)))/Inputs!$K$8)^2))*((2*Inputs!$L$8*((Inputs!$I$8+(((A49)+1)/2)*(Inputs!$J$8-Inputs!$I$8)))/(Inputs!$K$8^2)*Inputs!$C$11)))/(SQRT(((Inputs!$I$8+(((A49)+1)/2)*(Inputs!$J$8-Inputs!$I$8)))^2+Inputs!$C$6^2+((Inputs!$H$8+Inputs!$L$8*(((Inputs!$I$8+(((A49)+1)/2)*(Inputs!$J$8-Inputs!$I$8)))/Inputs!$K$8)^2))^2)))))/Inputs!$C$13),NA())</x:f>
        <x:v>2715.9990569675006</x:v>
      </x:c>
      <x:c r="Q49" s="48" t="n">
        <x:f>IF(OR(Inputs!$F$9=TRUE,Inputs!$F$9="TRUE",Inputs!$F$9=1),(-2*((1000*((((Inputs!$I$9+(((A49)+1)/2)*(Inputs!$J$9-Inputs!$I$9)))*Inputs!$C$11+((Inputs!$H$9+Inputs!$L$9*(((Inputs!$I$9+(((A49)+1)/2)*(Inputs!$J$9-Inputs!$I$9)))/Inputs!$K$9)^2))*((2*Inputs!$L$9*((Inputs!$I$9+(((A49)+1)/2)*(Inputs!$J$9-Inputs!$I$9)))/(Inputs!$K$9^2)*Inputs!$C$11)))/(SQRT(((Inputs!$I$9+(((A49)+1)/2)*(Inputs!$J$9-Inputs!$I$9)))^2+Inputs!$C$6^2+((Inputs!$H$9+Inputs!$L$9*(((Inputs!$I$9+(((A49)+1)/2)*(Inputs!$J$9-Inputs!$I$9)))/Inputs!$K$9)^2))^2)))))/Inputs!$C$13),NA())</x:f>
        <x:v>2724.463329991643</x:v>
      </x:c>
      <x:c r="R49" s="49"/>
      <x:c r="S49" s="48" t="n">
        <x:f>A49</x:f>
        <x:v>-0.608</x:v>
      </x:c>
      <x:c r="T49" s="48" t="n">
        <x:f>(Inputs!$I$6+(((A49)+1)/2)*(Inputs!$J$6-Inputs!$I$6))</x:f>
        <x:v>-36.480000000000004</x:v>
      </x:c>
      <x:c r="U49" s="48" t="n">
        <x:f>(Inputs!$I$7+(((A49)+1)/2)*(Inputs!$J$7-Inputs!$I$7))</x:f>
        <x:v>-243.2</x:v>
      </x:c>
      <x:c r="V49" s="48" t="n">
        <x:f>(Inputs!$I$8+(((A49)+1)/2)*(Inputs!$J$8-Inputs!$I$8))</x:f>
        <x:v>-486.4</x:v>
      </x:c>
      <x:c r="W49" s="48" t="n">
        <x:f>(Inputs!$I$9+(((A49)+1)/2)*(Inputs!$J$9-Inputs!$I$9))</x:f>
        <x:v>-486.4</x:v>
      </x:c>
      <x:c r="X49" s="49"/>
      <x:c r="Y49" s="48" t="n">
        <x:f>A49</x:f>
        <x:v>-0.608</x:v>
      </x:c>
      <x:c r="Z49" s="48" t="n">
        <x:f>(Inputs!$H$6+Inputs!$L$6*(((Inputs!$I$6+(((A49)+1)/2)*(Inputs!$J$6-Inputs!$I$6)))/Inputs!$K$6)^2)</x:f>
        <x:v>401.478656</x:v>
      </x:c>
      <x:c r="AA49" s="48" t="n">
        <x:f>(Inputs!$H$7+Inputs!$L$7*(((Inputs!$I$7+(((A49)+1)/2)*(Inputs!$J$7-Inputs!$I$7)))/Inputs!$K$7)^2)</x:f>
        <x:v>169.92736</x:v>
      </x:c>
      <x:c r="AB49" s="48" t="n">
        <x:f>(Inputs!$H$8+Inputs!$L$8*(((Inputs!$I$8+(((A49)+1)/2)*(Inputs!$J$8-Inputs!$I$8)))/Inputs!$K$8)^2)</x:f>
        <x:v>391.72576</x:v>
      </x:c>
      <x:c r="AC49" s="48" t="n">
        <x:f>(Inputs!$H$9+Inputs!$L$9*(((Inputs!$I$9+(((A49)+1)/2)*(Inputs!$J$9-Inputs!$I$9)))/Inputs!$K$9)^2)</x:f>
        <x:v>385.4224</x:v>
      </x:c>
      <x:c r="AD49" s="49"/>
      <x:c r="AE49" s="48" t="n">
        <x:f>A49</x:f>
        <x:v>-0.608</x:v>
      </x:c>
      <x:c r="AF49" s="48" t="n">
        <x:f>(((SQRT(((Inputs!$I$6+(((A49)+1)/2)*(Inputs!$J$6-Inputs!$I$6)))^2+Inputs!$C$6^2+((Inputs!$H$6+Inputs!$L$6*(((Inputs!$I$6+(((A49)+1)/2)*(Inputs!$J$6-Inputs!$I$6)))/Inputs!$K$6)^2))^2))-((Inputs!$H$6+Inputs!$L$6*(((Inputs!$I$6+(((A49)+1)/2)*(Inputs!$J$6-Inputs!$I$6)))/Inputs!$K$6)^2)))*1000/Inputs!$C$12)</x:f>
        <x:v>1364.2639163684019</x:v>
      </x:c>
      <x:c r="AG49" s="48" t="n">
        <x:f>(((SQRT(((Inputs!$I$7+(((A49)+1)/2)*(Inputs!$J$7-Inputs!$I$7)))^2+Inputs!$C$6^2+((Inputs!$H$7+Inputs!$L$7*(((Inputs!$I$7+(((A49)+1)/2)*(Inputs!$J$7-Inputs!$I$7)))/Inputs!$K$7)^2))^2))-((Inputs!$H$7+Inputs!$L$7*(((Inputs!$I$7+(((A49)+1)/2)*(Inputs!$J$7-Inputs!$I$7)))/Inputs!$K$7)^2)))*1000/Inputs!$C$12)</x:f>
        <x:v>71802.43878914848</x:v>
      </x:c>
      <x:c r="AH49" s="48" t="n">
        <x:f>(((SQRT(((Inputs!$I$8+(((A49)+1)/2)*(Inputs!$J$8-Inputs!$I$8)))^2+Inputs!$C$6^2+((Inputs!$H$8+Inputs!$L$8*(((Inputs!$I$8+(((A49)+1)/2)*(Inputs!$J$8-Inputs!$I$8)))/Inputs!$K$8)^2))^2))-((Inputs!$H$8+Inputs!$L$8*(((Inputs!$I$8+(((A49)+1)/2)*(Inputs!$J$8-Inputs!$I$8)))/Inputs!$K$8)^2)))*1000/Inputs!$C$12)</x:f>
        <x:v>131068.23833996318</x:v>
      </x:c>
      <x:c r="AI49" s="48" t="n">
        <x:f>(((SQRT(((Inputs!$I$9+(((A49)+1)/2)*(Inputs!$J$9-Inputs!$I$9)))^2+Inputs!$C$6^2+((Inputs!$H$9+Inputs!$L$9*(((Inputs!$I$9+(((A49)+1)/2)*(Inputs!$J$9-Inputs!$I$9)))/Inputs!$K$9)^2))^2))-((Inputs!$H$9+Inputs!$L$9*(((Inputs!$I$9+(((A49)+1)/2)*(Inputs!$J$9-Inputs!$I$9)))/Inputs!$K$9)^2)))*1000/Inputs!$C$12)</x:f>
        <x:v>132400.9645476228</x:v>
      </x:c>
      <x:c r="AJ49" s="49"/>
      <x:c r="AK49" s="48" t="n">
        <x:f>A49</x:f>
        <x:v>-0.608</x:v>
      </x:c>
      <x:c r="AL49" s="48" t="n">
        <x:f>(-2*((1000*((((Inputs!$I$6+(((A49)+1)/2)*(Inputs!$J$6-Inputs!$I$6)))*Inputs!$C$11+((Inputs!$H$6+Inputs!$L$6*(((Inputs!$I$6+(((A49)+1)/2)*(Inputs!$J$6-Inputs!$I$6)))/Inputs!$K$6)^2))*((2*Inputs!$L$6*((Inputs!$I$6+(((A49)+1)/2)*(Inputs!$J$6-Inputs!$I$6)))/(Inputs!$K$6^2)*Inputs!$C$11)))/(SQRT(((Inputs!$I$6+(((A49)+1)/2)*(Inputs!$J$6-Inputs!$I$6)))^2+Inputs!$C$6^2+((Inputs!$H$6+Inputs!$L$6*(((Inputs!$I$6+(((A49)+1)/2)*(Inputs!$J$6-Inputs!$I$6)))/Inputs!$K$6)^2))^2)))))/Inputs!$C$13)</x:f>
        <x:v>273.435334599617</x:v>
      </x:c>
      <x:c r="AM49" s="48" t="n">
        <x:f>(-2*((1000*((((Inputs!$I$7+(((A49)+1)/2)*(Inputs!$J$7-Inputs!$I$7)))*Inputs!$C$11+((Inputs!$H$7+Inputs!$L$7*(((Inputs!$I$7+(((A49)+1)/2)*(Inputs!$J$7-Inputs!$I$7)))/Inputs!$K$7)^2))*((2*Inputs!$L$7*((Inputs!$I$7+(((A49)+1)/2)*(Inputs!$J$7-Inputs!$I$7)))/(Inputs!$K$7^2)*Inputs!$C$11)))/(SQRT(((Inputs!$I$7+(((A49)+1)/2)*(Inputs!$J$7-Inputs!$I$7)))^2+Inputs!$C$6^2+((Inputs!$H$7+Inputs!$L$7*(((Inputs!$I$7+(((A49)+1)/2)*(Inputs!$J$7-Inputs!$I$7)))/Inputs!$K$7)^2))^2)))))/Inputs!$C$13)</x:f>
        <x:v>2320.1861094445107</x:v>
      </x:c>
      <x:c r="AN49" s="48" t="n">
        <x:f>(-2*((1000*((((Inputs!$I$8+(((A49)+1)/2)*(Inputs!$J$8-Inputs!$I$8)))*Inputs!$C$11+((Inputs!$H$8+Inputs!$L$8*(((Inputs!$I$8+(((A49)+1)/2)*(Inputs!$J$8-Inputs!$I$8)))/Inputs!$K$8)^2))*((2*Inputs!$L$8*((Inputs!$I$8+(((A49)+1)/2)*(Inputs!$J$8-Inputs!$I$8)))/(Inputs!$K$8^2)*Inputs!$C$11)))/(SQRT(((Inputs!$I$8+(((A49)+1)/2)*(Inputs!$J$8-Inputs!$I$8)))^2+Inputs!$C$6^2+((Inputs!$H$8+Inputs!$L$8*(((Inputs!$I$8+(((A49)+1)/2)*(Inputs!$J$8-Inputs!$I$8)))/Inputs!$K$8)^2))^2)))))/Inputs!$C$13)</x:f>
        <x:v>2715.9990569675006</x:v>
      </x:c>
      <x:c r="AO49" s="48" t="n">
        <x:f>(-2*((1000*((((Inputs!$I$9+(((A49)+1)/2)*(Inputs!$J$9-Inputs!$I$9)))*Inputs!$C$11+((Inputs!$H$9+Inputs!$L$9*(((Inputs!$I$9+(((A49)+1)/2)*(Inputs!$J$9-Inputs!$I$9)))/Inputs!$K$9)^2))*((2*Inputs!$L$9*((Inputs!$I$9+(((A49)+1)/2)*(Inputs!$J$9-Inputs!$I$9)))/(Inputs!$K$9^2)*Inputs!$C$11)))/(SQRT(((Inputs!$I$9+(((A49)+1)/2)*(Inputs!$J$9-Inputs!$I$9)))^2+Inputs!$C$6^2+((Inputs!$H$9+Inputs!$L$9*(((Inputs!$I$9+(((A49)+1)/2)*(Inputs!$J$9-Inputs!$I$9)))/Inputs!$K$9)^2))^2)))))/Inputs!$C$13)</x:f>
        <x:v>2724.463329991643</x:v>
      </x:c>
    </x:row>
    <x:row r="50">
      <x:c r="A50" s="48" t="n">
        <x:f>ROUND(-1+48*2/240,3)</x:f>
        <x:v>-0.6</x:v>
      </x:c>
      <x:c r="B50" s="48" t="n">
        <x:f>IF(OR(Inputs!$F$6=TRUE,Inputs!$F$6="TRUE",Inputs!$F$6=1),(Inputs!$H$6+Inputs!$L$6*(((Inputs!$I$6+(((A50)+1)/2)*(Inputs!$J$6-Inputs!$I$6)))/Inputs!$K$6)^2),NA())</x:f>
        <x:v>401.44</x:v>
      </x:c>
      <x:c r="C50" s="48" t="n">
        <x:f>IF(OR(Inputs!$F$7=TRUE,Inputs!$F$7="TRUE",Inputs!$F$7=1),(Inputs!$H$7+Inputs!$L$7*(((Inputs!$I$7+(((A50)+1)/2)*(Inputs!$J$7-Inputs!$I$7)))/Inputs!$K$7)^2),NA())</x:f>
        <x:v>166.4</x:v>
      </x:c>
      <x:c r="D50" s="48" t="n">
        <x:f>IF(OR(Inputs!$F$8=TRUE,Inputs!$F$8="TRUE",Inputs!$F$8=1),(Inputs!$H$8+Inputs!$L$8*(((Inputs!$I$8+(((A50)+1)/2)*(Inputs!$J$8-Inputs!$I$8)))/Inputs!$K$8)^2),NA())</x:f>
        <x:v>382.4</x:v>
      </x:c>
      <x:c r="E50" s="48" t="n">
        <x:f>IF(OR(Inputs!$F$9=TRUE,Inputs!$F$9="TRUE",Inputs!$F$9=1),(Inputs!$H$9+Inputs!$L$9*(((Inputs!$I$9+(((A50)+1)/2)*(Inputs!$J$9-Inputs!$I$9)))/Inputs!$K$9)^2),NA())</x:f>
        <x:v>376</x:v>
      </x:c>
      <x:c r="F50" s="49"/>
      <x:c r="G50" s="48" t="n">
        <x:f>A50</x:f>
        <x:v>-0.6</x:v>
      </x:c>
      <x:c r="H50" s="48" t="n">
        <x:f>IF(OR(Inputs!$F$6=TRUE,Inputs!$F$6="TRUE",Inputs!$F$6=1),(((SQRT(((Inputs!$I$6+(((A50)+1)/2)*(Inputs!$J$6-Inputs!$I$6)))^2+Inputs!$C$6^2+((Inputs!$H$6+Inputs!$L$6*(((Inputs!$I$6+(((A50)+1)/2)*(Inputs!$J$6-Inputs!$I$6)))/Inputs!$K$6)^2))^2))-((Inputs!$H$6+Inputs!$L$6*(((Inputs!$I$6+(((A50)+1)/2)*(Inputs!$J$6-Inputs!$I$6)))/Inputs!$K$6)^2)))*1000/Inputs!$C$12),NA())</x:f>
        <x:v>1340.195771682717</x:v>
      </x:c>
      <x:c r="I50" s="48" t="n">
        <x:f>IF(OR(Inputs!$F$7=TRUE,Inputs!$F$7="TRUE",Inputs!$F$7=1),(((SQRT(((Inputs!$I$7+(((A50)+1)/2)*(Inputs!$J$7-Inputs!$I$7)))^2+Inputs!$C$6^2+((Inputs!$H$7+Inputs!$L$7*(((Inputs!$I$7+(((A50)+1)/2)*(Inputs!$J$7-Inputs!$I$7)))/Inputs!$K$7)^2))^2))-((Inputs!$H$7+Inputs!$L$7*(((Inputs!$I$7+(((A50)+1)/2)*(Inputs!$J$7-Inputs!$I$7)))/Inputs!$K$7)^2)))*1000/Inputs!$C$12),NA())</x:f>
        <x:v>71185.86083158114</x:v>
      </x:c>
      <x:c r="J50" s="48" t="n">
        <x:f>IF(OR(Inputs!$F$8=TRUE,Inputs!$F$8="TRUE",Inputs!$F$8=1),(((SQRT(((Inputs!$I$8+(((A50)+1)/2)*(Inputs!$J$8-Inputs!$I$8)))^2+Inputs!$C$6^2+((Inputs!$H$8+Inputs!$L$8*(((Inputs!$I$8+(((A50)+1)/2)*(Inputs!$J$8-Inputs!$I$8)))/Inputs!$K$8)^2))^2))-((Inputs!$H$8+Inputs!$L$8*(((Inputs!$I$8+(((A50)+1)/2)*(Inputs!$J$8-Inputs!$I$8)))/Inputs!$K$8)^2)))*1000/Inputs!$C$12),NA())</x:f>
        <x:v>130230.7193636043</x:v>
      </x:c>
      <x:c r="K50" s="48" t="n">
        <x:f>IF(OR(Inputs!$F$9=TRUE,Inputs!$F$9="TRUE",Inputs!$F$9=1),(((SQRT(((Inputs!$I$9+(((A50)+1)/2)*(Inputs!$J$9-Inputs!$I$9)))^2+Inputs!$C$6^2+((Inputs!$H$9+Inputs!$L$9*(((Inputs!$I$9+(((A50)+1)/2)*(Inputs!$J$9-Inputs!$I$9)))/Inputs!$K$9)^2))^2))-((Inputs!$H$9+Inputs!$L$9*(((Inputs!$I$9+(((A50)+1)/2)*(Inputs!$J$9-Inputs!$I$9)))/Inputs!$K$9)^2)))*1000/Inputs!$C$12),NA())</x:f>
        <x:v>131599.25361632076</x:v>
      </x:c>
      <x:c r="L50" s="49"/>
      <x:c r="M50" s="48" t="n">
        <x:f>A50</x:f>
        <x:v>-0.6</x:v>
      </x:c>
      <x:c r="N50" s="48" t="n">
        <x:f>IF(OR(Inputs!$F$6=TRUE,Inputs!$F$6="TRUE",Inputs!$F$6=1),(-2*((1000*((((Inputs!$I$6+(((A50)+1)/2)*(Inputs!$J$6-Inputs!$I$6)))*Inputs!$C$11+((Inputs!$H$6+Inputs!$L$6*(((Inputs!$I$6+(((A50)+1)/2)*(Inputs!$J$6-Inputs!$I$6)))/Inputs!$K$6)^2))*((2*Inputs!$L$6*((Inputs!$I$6+(((A50)+1)/2)*(Inputs!$J$6-Inputs!$I$6)))/(Inputs!$K$6^2)*Inputs!$C$11)))/(SQRT(((Inputs!$I$6+(((A50)+1)/2)*(Inputs!$J$6-Inputs!$I$6)))^2+Inputs!$C$6^2+((Inputs!$H$6+Inputs!$L$6*(((Inputs!$I$6+(((A50)+1)/2)*(Inputs!$J$6-Inputs!$I$6)))/Inputs!$K$6)^2))^2)))))/Inputs!$C$13),NA())</x:f>
        <x:v>269.8797052636854</x:v>
      </x:c>
      <x:c r="O50" s="48" t="n">
        <x:f>IF(OR(Inputs!$F$7=TRUE,Inputs!$F$7="TRUE",Inputs!$F$7=1),(-2*((1000*((((Inputs!$I$7+(((A50)+1)/2)*(Inputs!$J$7-Inputs!$I$7)))*Inputs!$C$11+((Inputs!$H$7+Inputs!$L$7*(((Inputs!$I$7+(((A50)+1)/2)*(Inputs!$J$7-Inputs!$I$7)))/Inputs!$K$7)^2))*((2*Inputs!$L$7*((Inputs!$I$7+(((A50)+1)/2)*(Inputs!$J$7-Inputs!$I$7)))/(Inputs!$K$7^2)*Inputs!$C$11)))/(SQRT(((Inputs!$I$7+(((A50)+1)/2)*(Inputs!$J$7-Inputs!$I$7)))^2+Inputs!$C$6^2+((Inputs!$H$7+Inputs!$L$7*(((Inputs!$I$7+(((A50)+1)/2)*(Inputs!$J$7-Inputs!$I$7)))/Inputs!$K$7)^2))^2)))))/Inputs!$C$13),NA())</x:f>
        <x:v>2304.700903561931</x:v>
      </x:c>
      <x:c r="P50" s="48" t="n">
        <x:f>IF(OR(Inputs!$F$8=TRUE,Inputs!$F$8="TRUE",Inputs!$F$8=1),(-2*((1000*((((Inputs!$I$8+(((A50)+1)/2)*(Inputs!$J$8-Inputs!$I$8)))*Inputs!$C$11+((Inputs!$H$8+Inputs!$L$8*(((Inputs!$I$8+(((A50)+1)/2)*(Inputs!$J$8-Inputs!$I$8)))/Inputs!$K$8)^2))*((2*Inputs!$L$8*((Inputs!$I$8+(((A50)+1)/2)*(Inputs!$J$8-Inputs!$I$8)))/(Inputs!$K$8^2)*Inputs!$C$11)))/(SQRT(((Inputs!$I$8+(((A50)+1)/2)*(Inputs!$J$8-Inputs!$I$8)))^2+Inputs!$C$6^2+((Inputs!$H$8+Inputs!$L$8*(((Inputs!$I$8+(((A50)+1)/2)*(Inputs!$J$8-Inputs!$I$8)))/Inputs!$K$8)^2))^2)))))/Inputs!$C$13),NA())</x:f>
        <x:v>2692.298347436935</x:v>
      </x:c>
      <x:c r="Q50" s="48" t="n">
        <x:f>IF(OR(Inputs!$F$9=TRUE,Inputs!$F$9="TRUE",Inputs!$F$9=1),(-2*((1000*((((Inputs!$I$9+(((A50)+1)/2)*(Inputs!$J$9-Inputs!$I$9)))*Inputs!$C$11+((Inputs!$H$9+Inputs!$L$9*(((Inputs!$I$9+(((A50)+1)/2)*(Inputs!$J$9-Inputs!$I$9)))/Inputs!$K$9)^2))*((2*Inputs!$L$9*((Inputs!$I$9+(((A50)+1)/2)*(Inputs!$J$9-Inputs!$I$9)))/(Inputs!$K$9^2)*Inputs!$C$11)))/(SQRT(((Inputs!$I$9+(((A50)+1)/2)*(Inputs!$J$9-Inputs!$I$9)))^2+Inputs!$C$6^2+((Inputs!$H$9+Inputs!$L$9*(((Inputs!$I$9+(((A50)+1)/2)*(Inputs!$J$9-Inputs!$I$9)))/Inputs!$K$9)^2))^2)))))/Inputs!$C$13),NA())</x:f>
        <x:v>2700.2851094944162</x:v>
      </x:c>
      <x:c r="R50" s="49"/>
      <x:c r="S50" s="48" t="n">
        <x:f>A50</x:f>
        <x:v>-0.6</x:v>
      </x:c>
      <x:c r="T50" s="48" t="n">
        <x:f>(Inputs!$I$6+(((A50)+1)/2)*(Inputs!$J$6-Inputs!$I$6))</x:f>
        <x:v>-36</x:v>
      </x:c>
      <x:c r="U50" s="48" t="n">
        <x:f>(Inputs!$I$7+(((A50)+1)/2)*(Inputs!$J$7-Inputs!$I$7))</x:f>
        <x:v>-240</x:v>
      </x:c>
      <x:c r="V50" s="48" t="n">
        <x:f>(Inputs!$I$8+(((A50)+1)/2)*(Inputs!$J$8-Inputs!$I$8))</x:f>
        <x:v>-480</x:v>
      </x:c>
      <x:c r="W50" s="48" t="n">
        <x:f>(Inputs!$I$9+(((A50)+1)/2)*(Inputs!$J$9-Inputs!$I$9))</x:f>
        <x:v>-480</x:v>
      </x:c>
      <x:c r="X50" s="49"/>
      <x:c r="Y50" s="48" t="n">
        <x:f>A50</x:f>
        <x:v>-0.6</x:v>
      </x:c>
      <x:c r="Z50" s="48" t="n">
        <x:f>(Inputs!$H$6+Inputs!$L$6*(((Inputs!$I$6+(((A50)+1)/2)*(Inputs!$J$6-Inputs!$I$6)))/Inputs!$K$6)^2)</x:f>
        <x:v>401.44</x:v>
      </x:c>
      <x:c r="AA50" s="48" t="n">
        <x:f>(Inputs!$H$7+Inputs!$L$7*(((Inputs!$I$7+(((A50)+1)/2)*(Inputs!$J$7-Inputs!$I$7)))/Inputs!$K$7)^2)</x:f>
        <x:v>166.4</x:v>
      </x:c>
      <x:c r="AB50" s="48" t="n">
        <x:f>(Inputs!$H$8+Inputs!$L$8*(((Inputs!$I$8+(((A50)+1)/2)*(Inputs!$J$8-Inputs!$I$8)))/Inputs!$K$8)^2)</x:f>
        <x:v>382.4</x:v>
      </x:c>
      <x:c r="AC50" s="48" t="n">
        <x:f>(Inputs!$H$9+Inputs!$L$9*(((Inputs!$I$9+(((A50)+1)/2)*(Inputs!$J$9-Inputs!$I$9)))/Inputs!$K$9)^2)</x:f>
        <x:v>376</x:v>
      </x:c>
      <x:c r="AD50" s="49"/>
      <x:c r="AE50" s="48" t="n">
        <x:f>A50</x:f>
        <x:v>-0.6</x:v>
      </x:c>
      <x:c r="AF50" s="48" t="n">
        <x:f>(((SQRT(((Inputs!$I$6+(((A50)+1)/2)*(Inputs!$J$6-Inputs!$I$6)))^2+Inputs!$C$6^2+((Inputs!$H$6+Inputs!$L$6*(((Inputs!$I$6+(((A50)+1)/2)*(Inputs!$J$6-Inputs!$I$6)))/Inputs!$K$6)^2))^2))-((Inputs!$H$6+Inputs!$L$6*(((Inputs!$I$6+(((A50)+1)/2)*(Inputs!$J$6-Inputs!$I$6)))/Inputs!$K$6)^2)))*1000/Inputs!$C$12)</x:f>
        <x:v>1340.195771682717</x:v>
      </x:c>
      <x:c r="AG50" s="48" t="n">
        <x:f>(((SQRT(((Inputs!$I$7+(((A50)+1)/2)*(Inputs!$J$7-Inputs!$I$7)))^2+Inputs!$C$6^2+((Inputs!$H$7+Inputs!$L$7*(((Inputs!$I$7+(((A50)+1)/2)*(Inputs!$J$7-Inputs!$I$7)))/Inputs!$K$7)^2))^2))-((Inputs!$H$7+Inputs!$L$7*(((Inputs!$I$7+(((A50)+1)/2)*(Inputs!$J$7-Inputs!$I$7)))/Inputs!$K$7)^2)))*1000/Inputs!$C$12)</x:f>
        <x:v>71185.86083158114</x:v>
      </x:c>
      <x:c r="AH50" s="48" t="n">
        <x:f>(((SQRT(((Inputs!$I$8+(((A50)+1)/2)*(Inputs!$J$8-Inputs!$I$8)))^2+Inputs!$C$6^2+((Inputs!$H$8+Inputs!$L$8*(((Inputs!$I$8+(((A50)+1)/2)*(Inputs!$J$8-Inputs!$I$8)))/Inputs!$K$8)^2))^2))-((Inputs!$H$8+Inputs!$L$8*(((Inputs!$I$8+(((A50)+1)/2)*(Inputs!$J$8-Inputs!$I$8)))/Inputs!$K$8)^2)))*1000/Inputs!$C$12)</x:f>
        <x:v>130230.7193636043</x:v>
      </x:c>
      <x:c r="AI50" s="48" t="n">
        <x:f>(((SQRT(((Inputs!$I$9+(((A50)+1)/2)*(Inputs!$J$9-Inputs!$I$9)))^2+Inputs!$C$6^2+((Inputs!$H$9+Inputs!$L$9*(((Inputs!$I$9+(((A50)+1)/2)*(Inputs!$J$9-Inputs!$I$9)))/Inputs!$K$9)^2))^2))-((Inputs!$H$9+Inputs!$L$9*(((Inputs!$I$9+(((A50)+1)/2)*(Inputs!$J$9-Inputs!$I$9)))/Inputs!$K$9)^2)))*1000/Inputs!$C$12)</x:f>
        <x:v>131599.25361632076</x:v>
      </x:c>
      <x:c r="AJ50" s="49"/>
      <x:c r="AK50" s="48" t="n">
        <x:f>A50</x:f>
        <x:v>-0.6</x:v>
      </x:c>
      <x:c r="AL50" s="48" t="n">
        <x:f>(-2*((1000*((((Inputs!$I$6+(((A50)+1)/2)*(Inputs!$J$6-Inputs!$I$6)))*Inputs!$C$11+((Inputs!$H$6+Inputs!$L$6*(((Inputs!$I$6+(((A50)+1)/2)*(Inputs!$J$6-Inputs!$I$6)))/Inputs!$K$6)^2))*((2*Inputs!$L$6*((Inputs!$I$6+(((A50)+1)/2)*(Inputs!$J$6-Inputs!$I$6)))/(Inputs!$K$6^2)*Inputs!$C$11)))/(SQRT(((Inputs!$I$6+(((A50)+1)/2)*(Inputs!$J$6-Inputs!$I$6)))^2+Inputs!$C$6^2+((Inputs!$H$6+Inputs!$L$6*(((Inputs!$I$6+(((A50)+1)/2)*(Inputs!$J$6-Inputs!$I$6)))/Inputs!$K$6)^2))^2)))))/Inputs!$C$13)</x:f>
        <x:v>269.8797052636854</x:v>
      </x:c>
      <x:c r="AM50" s="48" t="n">
        <x:f>(-2*((1000*((((Inputs!$I$7+(((A50)+1)/2)*(Inputs!$J$7-Inputs!$I$7)))*Inputs!$C$11+((Inputs!$H$7+Inputs!$L$7*(((Inputs!$I$7+(((A50)+1)/2)*(Inputs!$J$7-Inputs!$I$7)))/Inputs!$K$7)^2))*((2*Inputs!$L$7*((Inputs!$I$7+(((A50)+1)/2)*(Inputs!$J$7-Inputs!$I$7)))/(Inputs!$K$7^2)*Inputs!$C$11)))/(SQRT(((Inputs!$I$7+(((A50)+1)/2)*(Inputs!$J$7-Inputs!$I$7)))^2+Inputs!$C$6^2+((Inputs!$H$7+Inputs!$L$7*(((Inputs!$I$7+(((A50)+1)/2)*(Inputs!$J$7-Inputs!$I$7)))/Inputs!$K$7)^2))^2)))))/Inputs!$C$13)</x:f>
        <x:v>2304.700903561931</x:v>
      </x:c>
      <x:c r="AN50" s="48" t="n">
        <x:f>(-2*((1000*((((Inputs!$I$8+(((A50)+1)/2)*(Inputs!$J$8-Inputs!$I$8)))*Inputs!$C$11+((Inputs!$H$8+Inputs!$L$8*(((Inputs!$I$8+(((A50)+1)/2)*(Inputs!$J$8-Inputs!$I$8)))/Inputs!$K$8)^2))*((2*Inputs!$L$8*((Inputs!$I$8+(((A50)+1)/2)*(Inputs!$J$8-Inputs!$I$8)))/(Inputs!$K$8^2)*Inputs!$C$11)))/(SQRT(((Inputs!$I$8+(((A50)+1)/2)*(Inputs!$J$8-Inputs!$I$8)))^2+Inputs!$C$6^2+((Inputs!$H$8+Inputs!$L$8*(((Inputs!$I$8+(((A50)+1)/2)*(Inputs!$J$8-Inputs!$I$8)))/Inputs!$K$8)^2))^2)))))/Inputs!$C$13)</x:f>
        <x:v>2692.298347436935</x:v>
      </x:c>
      <x:c r="AO50" s="48" t="n">
        <x:f>(-2*((1000*((((Inputs!$I$9+(((A50)+1)/2)*(Inputs!$J$9-Inputs!$I$9)))*Inputs!$C$11+((Inputs!$H$9+Inputs!$L$9*(((Inputs!$I$9+(((A50)+1)/2)*(Inputs!$J$9-Inputs!$I$9)))/Inputs!$K$9)^2))*((2*Inputs!$L$9*((Inputs!$I$9+(((A50)+1)/2)*(Inputs!$J$9-Inputs!$I$9)))/(Inputs!$K$9^2)*Inputs!$C$11)))/(SQRT(((Inputs!$I$9+(((A50)+1)/2)*(Inputs!$J$9-Inputs!$I$9)))^2+Inputs!$C$6^2+((Inputs!$H$9+Inputs!$L$9*(((Inputs!$I$9+(((A50)+1)/2)*(Inputs!$J$9-Inputs!$I$9)))/Inputs!$K$9)^2))^2)))))/Inputs!$C$13)</x:f>
        <x:v>2700.2851094944162</x:v>
      </x:c>
    </x:row>
    <x:row r="51">
      <x:c r="A51" s="48" t="n">
        <x:f>ROUND(-1+49*2/240,3)</x:f>
        <x:v>-0.592</x:v>
      </x:c>
      <x:c r="B51" s="48" t="n">
        <x:f>IF(OR(Inputs!$F$6=TRUE,Inputs!$F$6="TRUE",Inputs!$F$6=1),(Inputs!$H$6+Inputs!$L$6*(((Inputs!$I$6+(((A51)+1)/2)*(Inputs!$J$6-Inputs!$I$6)))/Inputs!$K$6)^2),NA())</x:f>
        <x:v>401.401856</x:v>
      </x:c>
      <x:c r="C51" s="48" t="n">
        <x:f>IF(OR(Inputs!$F$7=TRUE,Inputs!$F$7="TRUE",Inputs!$F$7=1),(Inputs!$H$7+Inputs!$L$7*(((Inputs!$I$7+(((A51)+1)/2)*(Inputs!$J$7-Inputs!$I$7)))/Inputs!$K$7)^2),NA())</x:f>
        <x:v>162.91935999999998</x:v>
      </x:c>
      <x:c r="D51" s="48" t="n">
        <x:f>IF(OR(Inputs!$F$8=TRUE,Inputs!$F$8="TRUE",Inputs!$F$8=1),(Inputs!$H$8+Inputs!$L$8*(((Inputs!$I$8+(((A51)+1)/2)*(Inputs!$J$8-Inputs!$I$8)))/Inputs!$K$8)^2),NA())</x:f>
        <x:v>373.19775999999996</x:v>
      </x:c>
      <x:c r="E51" s="48" t="n">
        <x:f>IF(OR(Inputs!$F$9=TRUE,Inputs!$F$9="TRUE",Inputs!$F$9=1),(Inputs!$H$9+Inputs!$L$9*(((Inputs!$I$9+(((A51)+1)/2)*(Inputs!$J$9-Inputs!$I$9)))/Inputs!$K$9)^2),NA())</x:f>
        <x:v>366.70239999999995</x:v>
      </x:c>
      <x:c r="F51" s="49"/>
      <x:c r="G51" s="48" t="n">
        <x:f>A51</x:f>
        <x:v>-0.592</x:v>
      </x:c>
      <x:c r="H51" s="48" t="n">
        <x:f>IF(OR(Inputs!$F$6=TRUE,Inputs!$F$6="TRUE",Inputs!$F$6=1),(((SQRT(((Inputs!$I$6+(((A51)+1)/2)*(Inputs!$J$6-Inputs!$I$6)))^2+Inputs!$C$6^2+((Inputs!$H$6+Inputs!$L$6*(((Inputs!$I$6+(((A51)+1)/2)*(Inputs!$J$6-Inputs!$I$6)))/Inputs!$K$6)^2))^2))-((Inputs!$H$6+Inputs!$L$6*(((Inputs!$I$6+(((A51)+1)/2)*(Inputs!$J$6-Inputs!$I$6)))/Inputs!$K$6)^2)))*1000/Inputs!$C$12),NA())</x:f>
        <x:v>1316.439389440221</x:v>
      </x:c>
      <x:c r="I51" s="48" t="n">
        <x:f>IF(OR(Inputs!$F$7=TRUE,Inputs!$F$7="TRUE",Inputs!$F$7=1),(((SQRT(((Inputs!$I$7+(((A51)+1)/2)*(Inputs!$J$7-Inputs!$I$7)))^2+Inputs!$C$6^2+((Inputs!$H$7+Inputs!$L$7*(((Inputs!$I$7+(((A51)+1)/2)*(Inputs!$J$7-Inputs!$I$7)))/Inputs!$K$7)^2))^2))-((Inputs!$H$7+Inputs!$L$7*(((Inputs!$I$7+(((A51)+1)/2)*(Inputs!$J$7-Inputs!$I$7)))/Inputs!$K$7)^2)))*1000/Inputs!$C$12),NA())</x:f>
        <x:v>70560.37316199145</x:v>
      </x:c>
      <x:c r="J51" s="48" t="n">
        <x:f>IF(OR(Inputs!$F$8=TRUE,Inputs!$F$8="TRUE",Inputs!$F$8=1),(((SQRT(((Inputs!$I$8+(((A51)+1)/2)*(Inputs!$J$8-Inputs!$I$8)))^2+Inputs!$C$6^2+((Inputs!$H$8+Inputs!$L$8*(((Inputs!$I$8+(((A51)+1)/2)*(Inputs!$J$8-Inputs!$I$8)))/Inputs!$K$8)^2))^2))-((Inputs!$H$8+Inputs!$L$8*(((Inputs!$I$8+(((A51)+1)/2)*(Inputs!$J$8-Inputs!$I$8)))/Inputs!$K$8)^2)))*1000/Inputs!$C$12),NA())</x:f>
        <x:v>129376.89397045772</x:v>
      </x:c>
      <x:c r="K51" s="48" t="n">
        <x:f>IF(OR(Inputs!$F$9=TRUE,Inputs!$F$9="TRUE",Inputs!$F$9=1),(((SQRT(((Inputs!$I$9+(((A51)+1)/2)*(Inputs!$J$9-Inputs!$I$9)))^2+Inputs!$C$6^2+((Inputs!$H$9+Inputs!$L$9*(((Inputs!$I$9+(((A51)+1)/2)*(Inputs!$J$9-Inputs!$I$9)))/Inputs!$K$9)^2))^2))-((Inputs!$H$9+Inputs!$L$9*(((Inputs!$I$9+(((A51)+1)/2)*(Inputs!$J$9-Inputs!$I$9)))/Inputs!$K$9)^2)))*1000/Inputs!$C$12),NA())</x:f>
        <x:v>130781.58883580848</x:v>
      </x:c>
      <x:c r="L51" s="49"/>
      <x:c r="M51" s="48" t="n">
        <x:f>A51</x:f>
        <x:v>-0.592</x:v>
      </x:c>
      <x:c r="N51" s="48" t="n">
        <x:f>IF(OR(Inputs!$F$6=TRUE,Inputs!$F$6="TRUE",Inputs!$F$6=1),(-2*((1000*((((Inputs!$I$6+(((A51)+1)/2)*(Inputs!$J$6-Inputs!$I$6)))*Inputs!$C$11+((Inputs!$H$6+Inputs!$L$6*(((Inputs!$I$6+(((A51)+1)/2)*(Inputs!$J$6-Inputs!$I$6)))/Inputs!$K$6)^2))*((2*Inputs!$L$6*((Inputs!$I$6+(((A51)+1)/2)*(Inputs!$J$6-Inputs!$I$6)))/(Inputs!$K$6^2)*Inputs!$C$11)))/(SQRT(((Inputs!$I$6+(((A51)+1)/2)*(Inputs!$J$6-Inputs!$I$6)))^2+Inputs!$C$6^2+((Inputs!$H$6+Inputs!$L$6*(((Inputs!$I$6+(((A51)+1)/2)*(Inputs!$J$6-Inputs!$I$6)))/Inputs!$K$6)^2))^2)))))/Inputs!$C$13),NA())</x:f>
        <x:v>266.32242366897924</x:v>
      </x:c>
      <x:c r="O51" s="48" t="n">
        <x:f>IF(OR(Inputs!$F$7=TRUE,Inputs!$F$7="TRUE",Inputs!$F$7=1),(-2*((1000*((((Inputs!$I$7+(((A51)+1)/2)*(Inputs!$J$7-Inputs!$I$7)))*Inputs!$C$11+((Inputs!$H$7+Inputs!$L$7*(((Inputs!$I$7+(((A51)+1)/2)*(Inputs!$J$7-Inputs!$I$7)))/Inputs!$K$7)^2))*((2*Inputs!$L$7*((Inputs!$I$7+(((A51)+1)/2)*(Inputs!$J$7-Inputs!$I$7)))/(Inputs!$K$7^2)*Inputs!$C$11)))/(SQRT(((Inputs!$I$7+(((A51)+1)/2)*(Inputs!$J$7-Inputs!$I$7)))^2+Inputs!$C$6^2+((Inputs!$H$7+Inputs!$L$7*(((Inputs!$I$7+(((A51)+1)/2)*(Inputs!$J$7-Inputs!$I$7)))/Inputs!$K$7)^2))^2)))))/Inputs!$C$13),NA())</x:f>
        <x:v>2289.3254985631074</x:v>
      </x:c>
      <x:c r="P51" s="48" t="n">
        <x:f>IF(OR(Inputs!$F$8=TRUE,Inputs!$F$8="TRUE",Inputs!$F$8=1),(-2*((1000*((((Inputs!$I$8+(((A51)+1)/2)*(Inputs!$J$8-Inputs!$I$8)))*Inputs!$C$11+((Inputs!$H$8+Inputs!$L$8*(((Inputs!$I$8+(((A51)+1)/2)*(Inputs!$J$8-Inputs!$I$8)))/Inputs!$K$8)^2))*((2*Inputs!$L$8*((Inputs!$I$8+(((A51)+1)/2)*(Inputs!$J$8-Inputs!$I$8)))/(Inputs!$K$8^2)*Inputs!$C$11)))/(SQRT(((Inputs!$I$8+(((A51)+1)/2)*(Inputs!$J$8-Inputs!$I$8)))^2+Inputs!$C$6^2+((Inputs!$H$8+Inputs!$L$8*(((Inputs!$I$8+(((A51)+1)/2)*(Inputs!$J$8-Inputs!$I$8)))/Inputs!$K$8)^2))^2)))))/Inputs!$C$13),NA())</x:f>
        <x:v>2668.752287758568</x:v>
      </x:c>
      <x:c r="Q51" s="48" t="n">
        <x:f>IF(OR(Inputs!$F$9=TRUE,Inputs!$F$9="TRUE",Inputs!$F$9=1),(-2*((1000*((((Inputs!$I$9+(((A51)+1)/2)*(Inputs!$J$9-Inputs!$I$9)))*Inputs!$C$11+((Inputs!$H$9+Inputs!$L$9*(((Inputs!$I$9+(((A51)+1)/2)*(Inputs!$J$9-Inputs!$I$9)))/Inputs!$K$9)^2))*((2*Inputs!$L$9*((Inputs!$I$9+(((A51)+1)/2)*(Inputs!$J$9-Inputs!$I$9)))/(Inputs!$K$9^2)*Inputs!$C$11)))/(SQRT(((Inputs!$I$9+(((A51)+1)/2)*(Inputs!$J$9-Inputs!$I$9)))^2+Inputs!$C$6^2+((Inputs!$H$9+Inputs!$L$9*(((Inputs!$I$9+(((A51)+1)/2)*(Inputs!$J$9-Inputs!$I$9)))/Inputs!$K$9)^2))^2)))))/Inputs!$C$13),NA())</x:f>
        <x:v>2676.2628088819924</x:v>
      </x:c>
      <x:c r="R51" s="49"/>
      <x:c r="S51" s="48" t="n">
        <x:f>A51</x:f>
        <x:v>-0.592</x:v>
      </x:c>
      <x:c r="T51" s="48" t="n">
        <x:f>(Inputs!$I$6+(((A51)+1)/2)*(Inputs!$J$6-Inputs!$I$6))</x:f>
        <x:v>-35.519999999999996</x:v>
      </x:c>
      <x:c r="U51" s="48" t="n">
        <x:f>(Inputs!$I$7+(((A51)+1)/2)*(Inputs!$J$7-Inputs!$I$7))</x:f>
        <x:v>-236.79999999999998</x:v>
      </x:c>
      <x:c r="V51" s="48" t="n">
        <x:f>(Inputs!$I$8+(((A51)+1)/2)*(Inputs!$J$8-Inputs!$I$8))</x:f>
        <x:v>-473.59999999999997</x:v>
      </x:c>
      <x:c r="W51" s="48" t="n">
        <x:f>(Inputs!$I$9+(((A51)+1)/2)*(Inputs!$J$9-Inputs!$I$9))</x:f>
        <x:v>-473.59999999999997</x:v>
      </x:c>
      <x:c r="X51" s="49"/>
      <x:c r="Y51" s="48" t="n">
        <x:f>A51</x:f>
        <x:v>-0.592</x:v>
      </x:c>
      <x:c r="Z51" s="48" t="n">
        <x:f>(Inputs!$H$6+Inputs!$L$6*(((Inputs!$I$6+(((A51)+1)/2)*(Inputs!$J$6-Inputs!$I$6)))/Inputs!$K$6)^2)</x:f>
        <x:v>401.401856</x:v>
      </x:c>
      <x:c r="AA51" s="48" t="n">
        <x:f>(Inputs!$H$7+Inputs!$L$7*(((Inputs!$I$7+(((A51)+1)/2)*(Inputs!$J$7-Inputs!$I$7)))/Inputs!$K$7)^2)</x:f>
        <x:v>162.91935999999998</x:v>
      </x:c>
      <x:c r="AB51" s="48" t="n">
        <x:f>(Inputs!$H$8+Inputs!$L$8*(((Inputs!$I$8+(((A51)+1)/2)*(Inputs!$J$8-Inputs!$I$8)))/Inputs!$K$8)^2)</x:f>
        <x:v>373.19775999999996</x:v>
      </x:c>
      <x:c r="AC51" s="48" t="n">
        <x:f>(Inputs!$H$9+Inputs!$L$9*(((Inputs!$I$9+(((A51)+1)/2)*(Inputs!$J$9-Inputs!$I$9)))/Inputs!$K$9)^2)</x:f>
        <x:v>366.70239999999995</x:v>
      </x:c>
      <x:c r="AD51" s="49"/>
      <x:c r="AE51" s="48" t="n">
        <x:f>A51</x:f>
        <x:v>-0.592</x:v>
      </x:c>
      <x:c r="AF51" s="48" t="n">
        <x:f>(((SQRT(((Inputs!$I$6+(((A51)+1)/2)*(Inputs!$J$6-Inputs!$I$6)))^2+Inputs!$C$6^2+((Inputs!$H$6+Inputs!$L$6*(((Inputs!$I$6+(((A51)+1)/2)*(Inputs!$J$6-Inputs!$I$6)))/Inputs!$K$6)^2))^2))-((Inputs!$H$6+Inputs!$L$6*(((Inputs!$I$6+(((A51)+1)/2)*(Inputs!$J$6-Inputs!$I$6)))/Inputs!$K$6)^2)))*1000/Inputs!$C$12)</x:f>
        <x:v>1316.439389440221</x:v>
      </x:c>
      <x:c r="AG51" s="48" t="n">
        <x:f>(((SQRT(((Inputs!$I$7+(((A51)+1)/2)*(Inputs!$J$7-Inputs!$I$7)))^2+Inputs!$C$6^2+((Inputs!$H$7+Inputs!$L$7*(((Inputs!$I$7+(((A51)+1)/2)*(Inputs!$J$7-Inputs!$I$7)))/Inputs!$K$7)^2))^2))-((Inputs!$H$7+Inputs!$L$7*(((Inputs!$I$7+(((A51)+1)/2)*(Inputs!$J$7-Inputs!$I$7)))/Inputs!$K$7)^2)))*1000/Inputs!$C$12)</x:f>
        <x:v>70560.37316199145</x:v>
      </x:c>
      <x:c r="AH51" s="48" t="n">
        <x:f>(((SQRT(((Inputs!$I$8+(((A51)+1)/2)*(Inputs!$J$8-Inputs!$I$8)))^2+Inputs!$C$6^2+((Inputs!$H$8+Inputs!$L$8*(((Inputs!$I$8+(((A51)+1)/2)*(Inputs!$J$8-Inputs!$I$8)))/Inputs!$K$8)^2))^2))-((Inputs!$H$8+Inputs!$L$8*(((Inputs!$I$8+(((A51)+1)/2)*(Inputs!$J$8-Inputs!$I$8)))/Inputs!$K$8)^2)))*1000/Inputs!$C$12)</x:f>
        <x:v>129376.89397045772</x:v>
      </x:c>
      <x:c r="AI51" s="48" t="n">
        <x:f>(((SQRT(((Inputs!$I$9+(((A51)+1)/2)*(Inputs!$J$9-Inputs!$I$9)))^2+Inputs!$C$6^2+((Inputs!$H$9+Inputs!$L$9*(((Inputs!$I$9+(((A51)+1)/2)*(Inputs!$J$9-Inputs!$I$9)))/Inputs!$K$9)^2))^2))-((Inputs!$H$9+Inputs!$L$9*(((Inputs!$I$9+(((A51)+1)/2)*(Inputs!$J$9-Inputs!$I$9)))/Inputs!$K$9)^2)))*1000/Inputs!$C$12)</x:f>
        <x:v>130781.58883580848</x:v>
      </x:c>
      <x:c r="AJ51" s="49"/>
      <x:c r="AK51" s="48" t="n">
        <x:f>A51</x:f>
        <x:v>-0.592</x:v>
      </x:c>
      <x:c r="AL51" s="48" t="n">
        <x:f>(-2*((1000*((((Inputs!$I$6+(((A51)+1)/2)*(Inputs!$J$6-Inputs!$I$6)))*Inputs!$C$11+((Inputs!$H$6+Inputs!$L$6*(((Inputs!$I$6+(((A51)+1)/2)*(Inputs!$J$6-Inputs!$I$6)))/Inputs!$K$6)^2))*((2*Inputs!$L$6*((Inputs!$I$6+(((A51)+1)/2)*(Inputs!$J$6-Inputs!$I$6)))/(Inputs!$K$6^2)*Inputs!$C$11)))/(SQRT(((Inputs!$I$6+(((A51)+1)/2)*(Inputs!$J$6-Inputs!$I$6)))^2+Inputs!$C$6^2+((Inputs!$H$6+Inputs!$L$6*(((Inputs!$I$6+(((A51)+1)/2)*(Inputs!$J$6-Inputs!$I$6)))/Inputs!$K$6)^2))^2)))))/Inputs!$C$13)</x:f>
        <x:v>266.32242366897924</x:v>
      </x:c>
      <x:c r="AM51" s="48" t="n">
        <x:f>(-2*((1000*((((Inputs!$I$7+(((A51)+1)/2)*(Inputs!$J$7-Inputs!$I$7)))*Inputs!$C$11+((Inputs!$H$7+Inputs!$L$7*(((Inputs!$I$7+(((A51)+1)/2)*(Inputs!$J$7-Inputs!$I$7)))/Inputs!$K$7)^2))*((2*Inputs!$L$7*((Inputs!$I$7+(((A51)+1)/2)*(Inputs!$J$7-Inputs!$I$7)))/(Inputs!$K$7^2)*Inputs!$C$11)))/(SQRT(((Inputs!$I$7+(((A51)+1)/2)*(Inputs!$J$7-Inputs!$I$7)))^2+Inputs!$C$6^2+((Inputs!$H$7+Inputs!$L$7*(((Inputs!$I$7+(((A51)+1)/2)*(Inputs!$J$7-Inputs!$I$7)))/Inputs!$K$7)^2))^2)))))/Inputs!$C$13)</x:f>
        <x:v>2289.3254985631074</x:v>
      </x:c>
      <x:c r="AN51" s="48" t="n">
        <x:f>(-2*((1000*((((Inputs!$I$8+(((A51)+1)/2)*(Inputs!$J$8-Inputs!$I$8)))*Inputs!$C$11+((Inputs!$H$8+Inputs!$L$8*(((Inputs!$I$8+(((A51)+1)/2)*(Inputs!$J$8-Inputs!$I$8)))/Inputs!$K$8)^2))*((2*Inputs!$L$8*((Inputs!$I$8+(((A51)+1)/2)*(Inputs!$J$8-Inputs!$I$8)))/(Inputs!$K$8^2)*Inputs!$C$11)))/(SQRT(((Inputs!$I$8+(((A51)+1)/2)*(Inputs!$J$8-Inputs!$I$8)))^2+Inputs!$C$6^2+((Inputs!$H$8+Inputs!$L$8*(((Inputs!$I$8+(((A51)+1)/2)*(Inputs!$J$8-Inputs!$I$8)))/Inputs!$K$8)^2))^2)))))/Inputs!$C$13)</x:f>
        <x:v>2668.752287758568</x:v>
      </x:c>
      <x:c r="AO51" s="48" t="n">
        <x:f>(-2*((1000*((((Inputs!$I$9+(((A51)+1)/2)*(Inputs!$J$9-Inputs!$I$9)))*Inputs!$C$11+((Inputs!$H$9+Inputs!$L$9*(((Inputs!$I$9+(((A51)+1)/2)*(Inputs!$J$9-Inputs!$I$9)))/Inputs!$K$9)^2))*((2*Inputs!$L$9*((Inputs!$I$9+(((A51)+1)/2)*(Inputs!$J$9-Inputs!$I$9)))/(Inputs!$K$9^2)*Inputs!$C$11)))/(SQRT(((Inputs!$I$9+(((A51)+1)/2)*(Inputs!$J$9-Inputs!$I$9)))^2+Inputs!$C$6^2+((Inputs!$H$9+Inputs!$L$9*(((Inputs!$I$9+(((A51)+1)/2)*(Inputs!$J$9-Inputs!$I$9)))/Inputs!$K$9)^2))^2)))))/Inputs!$C$13)</x:f>
        <x:v>2676.2628088819924</x:v>
      </x:c>
    </x:row>
    <x:row r="52">
      <x:c r="A52" s="48" t="n">
        <x:f>ROUND(-1+50*2/240,3)</x:f>
        <x:v>-0.583</x:v>
      </x:c>
      <x:c r="B52" s="48" t="n">
        <x:f>IF(OR(Inputs!$F$6=TRUE,Inputs!$F$6="TRUE",Inputs!$F$6=1),(Inputs!$H$6+Inputs!$L$6*(((Inputs!$I$6+(((A52)+1)/2)*(Inputs!$J$6-Inputs!$I$6)))/Inputs!$K$6)^2),NA())</x:f>
        <x:v>401.359556</x:v>
      </x:c>
      <x:c r="C52" s="48" t="n">
        <x:f>IF(OR(Inputs!$F$7=TRUE,Inputs!$F$7="TRUE",Inputs!$F$7=1),(Inputs!$H$7+Inputs!$L$7*(((Inputs!$I$7+(((A52)+1)/2)*(Inputs!$J$7-Inputs!$I$7)))/Inputs!$K$7)^2),NA())</x:f>
        <x:v>159.059485</x:v>
      </x:c>
      <x:c r="D52" s="48" t="n">
        <x:f>IF(OR(Inputs!$F$8=TRUE,Inputs!$F$8="TRUE",Inputs!$F$8=1),(Inputs!$H$8+Inputs!$L$8*(((Inputs!$I$8+(((A52)+1)/2)*(Inputs!$J$8-Inputs!$I$8)))/Inputs!$K$8)^2),NA())</x:f>
        <x:v>362.99288499999994</x:v>
      </x:c>
      <x:c r="E52" s="48" t="n">
        <x:f>IF(OR(Inputs!$F$9=TRUE,Inputs!$F$9="TRUE",Inputs!$F$9=1),(Inputs!$H$9+Inputs!$L$9*(((Inputs!$I$9+(((A52)+1)/2)*(Inputs!$J$9-Inputs!$I$9)))/Inputs!$K$9)^2),NA())</x:f>
        <x:v>356.39177499999994</x:v>
      </x:c>
      <x:c r="F52" s="49"/>
      <x:c r="G52" s="48" t="n">
        <x:f>A52</x:f>
        <x:v>-0.583</x:v>
      </x:c>
      <x:c r="H52" s="48" t="n">
        <x:f>IF(OR(Inputs!$F$6=TRUE,Inputs!$F$6="TRUE",Inputs!$F$6=1),(((SQRT(((Inputs!$I$6+(((A52)+1)/2)*(Inputs!$J$6-Inputs!$I$6)))^2+Inputs!$C$6^2+((Inputs!$H$6+Inputs!$L$6*(((Inputs!$I$6+(((A52)+1)/2)*(Inputs!$J$6-Inputs!$I$6)))/Inputs!$K$6)^2))^2))-((Inputs!$H$6+Inputs!$L$6*(((Inputs!$I$6+(((A52)+1)/2)*(Inputs!$J$6-Inputs!$I$6)))/Inputs!$K$6)^2)))*1000/Inputs!$C$12),NA())</x:f>
        <x:v>1290.0864574175641</x:v>
      </x:c>
      <x:c r="I52" s="48" t="n">
        <x:f>IF(OR(Inputs!$F$7=TRUE,Inputs!$F$7="TRUE",Inputs!$F$7=1),(((SQRT(((Inputs!$I$7+(((A52)+1)/2)*(Inputs!$J$7-Inputs!$I$7)))^2+Inputs!$C$6^2+((Inputs!$H$7+Inputs!$L$7*(((Inputs!$I$7+(((A52)+1)/2)*(Inputs!$J$7-Inputs!$I$7)))/Inputs!$K$7)^2))^2))-((Inputs!$H$7+Inputs!$L$7*(((Inputs!$I$7+(((A52)+1)/2)*(Inputs!$J$7-Inputs!$I$7)))/Inputs!$K$7)^2)))*1000/Inputs!$C$12),NA())</x:f>
        <x:v>69845.89559641748</x:v>
      </x:c>
      <x:c r="J52" s="48" t="n">
        <x:f>IF(OR(Inputs!$F$8=TRUE,Inputs!$F$8="TRUE",Inputs!$F$8=1),(((SQRT(((Inputs!$I$8+(((A52)+1)/2)*(Inputs!$J$8-Inputs!$I$8)))^2+Inputs!$C$6^2+((Inputs!$H$8+Inputs!$L$8*(((Inputs!$I$8+(((A52)+1)/2)*(Inputs!$J$8-Inputs!$I$8)))/Inputs!$K$8)^2))^2))-((Inputs!$H$8+Inputs!$L$8*(((Inputs!$I$8+(((A52)+1)/2)*(Inputs!$J$8-Inputs!$I$8)))/Inputs!$K$8)^2)))*1000/Inputs!$C$12),NA())</x:f>
        <x:v>128396.4117714109</x:v>
      </x:c>
      <x:c r="K52" s="48" t="n">
        <x:f>IF(OR(Inputs!$F$9=TRUE,Inputs!$F$9="TRUE",Inputs!$F$9=1),(((SQRT(((Inputs!$I$9+(((A52)+1)/2)*(Inputs!$J$9-Inputs!$I$9)))^2+Inputs!$C$6^2+((Inputs!$H$9+Inputs!$L$9*(((Inputs!$I$9+(((A52)+1)/2)*(Inputs!$J$9-Inputs!$I$9)))/Inputs!$K$9)^2))^2))-((Inputs!$H$9+Inputs!$L$9*(((Inputs!$I$9+(((A52)+1)/2)*(Inputs!$J$9-Inputs!$I$9)))/Inputs!$K$9)^2)))*1000/Inputs!$C$12),NA())</x:f>
        <x:v>129842.20489784692</x:v>
      </x:c>
      <x:c r="L52" s="49"/>
      <x:c r="M52" s="48" t="n">
        <x:f>A52</x:f>
        <x:v>-0.583</x:v>
      </x:c>
      <x:c r="N52" s="48" t="n">
        <x:f>IF(OR(Inputs!$F$6=TRUE,Inputs!$F$6="TRUE",Inputs!$F$6=1),(-2*((1000*((((Inputs!$I$6+(((A52)+1)/2)*(Inputs!$J$6-Inputs!$I$6)))*Inputs!$C$11+((Inputs!$H$6+Inputs!$L$6*(((Inputs!$I$6+(((A52)+1)/2)*(Inputs!$J$6-Inputs!$I$6)))/Inputs!$K$6)^2))*((2*Inputs!$L$6*((Inputs!$I$6+(((A52)+1)/2)*(Inputs!$J$6-Inputs!$I$6)))/(Inputs!$K$6^2)*Inputs!$C$11)))/(SQRT(((Inputs!$I$6+(((A52)+1)/2)*(Inputs!$J$6-Inputs!$I$6)))^2+Inputs!$C$6^2+((Inputs!$H$6+Inputs!$L$6*(((Inputs!$I$6+(((A52)+1)/2)*(Inputs!$J$6-Inputs!$I$6)))/Inputs!$K$6)^2))^2)))))/Inputs!$C$13),NA())</x:f>
        <x:v>262.3185323179316</x:v>
      </x:c>
      <x:c r="O52" s="48" t="n">
        <x:f>IF(OR(Inputs!$F$7=TRUE,Inputs!$F$7="TRUE",Inputs!$F$7=1),(-2*((1000*((((Inputs!$I$7+(((A52)+1)/2)*(Inputs!$J$7-Inputs!$I$7)))*Inputs!$C$11+((Inputs!$H$7+Inputs!$L$7*(((Inputs!$I$7+(((A52)+1)/2)*(Inputs!$J$7-Inputs!$I$7)))/Inputs!$K$7)^2))*((2*Inputs!$L$7*((Inputs!$I$7+(((A52)+1)/2)*(Inputs!$J$7-Inputs!$I$7)))/(Inputs!$K$7^2)*Inputs!$C$11)))/(SQRT(((Inputs!$I$7+(((A52)+1)/2)*(Inputs!$J$7-Inputs!$I$7)))^2+Inputs!$C$6^2+((Inputs!$H$7+Inputs!$L$7*(((Inputs!$I$7+(((A52)+1)/2)*(Inputs!$J$7-Inputs!$I$7)))/Inputs!$K$7)^2))^2)))))/Inputs!$C$13),NA())</x:f>
        <x:v>2272.160127743894</x:v>
      </x:c>
      <x:c r="P52" s="48" t="n">
        <x:f>IF(OR(Inputs!$F$8=TRUE,Inputs!$F$8="TRUE",Inputs!$F$8=1),(-2*((1000*((((Inputs!$I$8+(((A52)+1)/2)*(Inputs!$J$8-Inputs!$I$8)))*Inputs!$C$11+((Inputs!$H$8+Inputs!$L$8*(((Inputs!$I$8+(((A52)+1)/2)*(Inputs!$J$8-Inputs!$I$8)))/Inputs!$K$8)^2))*((2*Inputs!$L$8*((Inputs!$I$8+(((A52)+1)/2)*(Inputs!$J$8-Inputs!$I$8)))/(Inputs!$K$8^2)*Inputs!$C$11)))/(SQRT(((Inputs!$I$8+(((A52)+1)/2)*(Inputs!$J$8-Inputs!$I$8)))^2+Inputs!$C$6^2+((Inputs!$H$8+Inputs!$L$8*(((Inputs!$I$8+(((A52)+1)/2)*(Inputs!$J$8-Inputs!$I$8)))/Inputs!$K$8)^2))^2)))))/Inputs!$C$13),NA())</x:f>
        <x:v>2642.4517321444073</x:v>
      </x:c>
      <x:c r="Q52" s="48" t="n">
        <x:f>IF(OR(Inputs!$F$9=TRUE,Inputs!$F$9="TRUE",Inputs!$F$9=1),(-2*((1000*((((Inputs!$I$9+(((A52)+1)/2)*(Inputs!$J$9-Inputs!$I$9)))*Inputs!$C$11+((Inputs!$H$9+Inputs!$L$9*(((Inputs!$I$9+(((A52)+1)/2)*(Inputs!$J$9-Inputs!$I$9)))/Inputs!$K$9)^2))*((2*Inputs!$L$9*((Inputs!$I$9+(((A52)+1)/2)*(Inputs!$J$9-Inputs!$I$9)))/(Inputs!$K$9^2)*Inputs!$C$11)))/(SQRT(((Inputs!$I$9+(((A52)+1)/2)*(Inputs!$J$9-Inputs!$I$9)))^2+Inputs!$C$6^2+((Inputs!$H$9+Inputs!$L$9*(((Inputs!$I$9+(((A52)+1)/2)*(Inputs!$J$9-Inputs!$I$9)))/Inputs!$K$9)^2))^2)))))/Inputs!$C$13),NA())</x:f>
        <x:v>2649.4282566743777</x:v>
      </x:c>
      <x:c r="R52" s="49"/>
      <x:c r="S52" s="48" t="n">
        <x:f>A52</x:f>
        <x:v>-0.583</x:v>
      </x:c>
      <x:c r="T52" s="48" t="n">
        <x:f>(Inputs!$I$6+(((A52)+1)/2)*(Inputs!$J$6-Inputs!$I$6))</x:f>
        <x:v>-34.98</x:v>
      </x:c>
      <x:c r="U52" s="48" t="n">
        <x:f>(Inputs!$I$7+(((A52)+1)/2)*(Inputs!$J$7-Inputs!$I$7))</x:f>
        <x:v>-233.2</x:v>
      </x:c>
      <x:c r="V52" s="48" t="n">
        <x:f>(Inputs!$I$8+(((A52)+1)/2)*(Inputs!$J$8-Inputs!$I$8))</x:f>
        <x:v>-466.4</x:v>
      </x:c>
      <x:c r="W52" s="48" t="n">
        <x:f>(Inputs!$I$9+(((A52)+1)/2)*(Inputs!$J$9-Inputs!$I$9))</x:f>
        <x:v>-466.4</x:v>
      </x:c>
      <x:c r="X52" s="49"/>
      <x:c r="Y52" s="48" t="n">
        <x:f>A52</x:f>
        <x:v>-0.583</x:v>
      </x:c>
      <x:c r="Z52" s="48" t="n">
        <x:f>(Inputs!$H$6+Inputs!$L$6*(((Inputs!$I$6+(((A52)+1)/2)*(Inputs!$J$6-Inputs!$I$6)))/Inputs!$K$6)^2)</x:f>
        <x:v>401.359556</x:v>
      </x:c>
      <x:c r="AA52" s="48" t="n">
        <x:f>(Inputs!$H$7+Inputs!$L$7*(((Inputs!$I$7+(((A52)+1)/2)*(Inputs!$J$7-Inputs!$I$7)))/Inputs!$K$7)^2)</x:f>
        <x:v>159.059485</x:v>
      </x:c>
      <x:c r="AB52" s="48" t="n">
        <x:f>(Inputs!$H$8+Inputs!$L$8*(((Inputs!$I$8+(((A52)+1)/2)*(Inputs!$J$8-Inputs!$I$8)))/Inputs!$K$8)^2)</x:f>
        <x:v>362.99288499999994</x:v>
      </x:c>
      <x:c r="AC52" s="48" t="n">
        <x:f>(Inputs!$H$9+Inputs!$L$9*(((Inputs!$I$9+(((A52)+1)/2)*(Inputs!$J$9-Inputs!$I$9)))/Inputs!$K$9)^2)</x:f>
        <x:v>356.39177499999994</x:v>
      </x:c>
      <x:c r="AD52" s="49"/>
      <x:c r="AE52" s="48" t="n">
        <x:f>A52</x:f>
        <x:v>-0.583</x:v>
      </x:c>
      <x:c r="AF52" s="48" t="n">
        <x:f>(((SQRT(((Inputs!$I$6+(((A52)+1)/2)*(Inputs!$J$6-Inputs!$I$6)))^2+Inputs!$C$6^2+((Inputs!$H$6+Inputs!$L$6*(((Inputs!$I$6+(((A52)+1)/2)*(Inputs!$J$6-Inputs!$I$6)))/Inputs!$K$6)^2))^2))-((Inputs!$H$6+Inputs!$L$6*(((Inputs!$I$6+(((A52)+1)/2)*(Inputs!$J$6-Inputs!$I$6)))/Inputs!$K$6)^2)))*1000/Inputs!$C$12)</x:f>
        <x:v>1290.0864574175641</x:v>
      </x:c>
      <x:c r="AG52" s="48" t="n">
        <x:f>(((SQRT(((Inputs!$I$7+(((A52)+1)/2)*(Inputs!$J$7-Inputs!$I$7)))^2+Inputs!$C$6^2+((Inputs!$H$7+Inputs!$L$7*(((Inputs!$I$7+(((A52)+1)/2)*(Inputs!$J$7-Inputs!$I$7)))/Inputs!$K$7)^2))^2))-((Inputs!$H$7+Inputs!$L$7*(((Inputs!$I$7+(((A52)+1)/2)*(Inputs!$J$7-Inputs!$I$7)))/Inputs!$K$7)^2)))*1000/Inputs!$C$12)</x:f>
        <x:v>69845.89559641748</x:v>
      </x:c>
      <x:c r="AH52" s="48" t="n">
        <x:f>(((SQRT(((Inputs!$I$8+(((A52)+1)/2)*(Inputs!$J$8-Inputs!$I$8)))^2+Inputs!$C$6^2+((Inputs!$H$8+Inputs!$L$8*(((Inputs!$I$8+(((A52)+1)/2)*(Inputs!$J$8-Inputs!$I$8)))/Inputs!$K$8)^2))^2))-((Inputs!$H$8+Inputs!$L$8*(((Inputs!$I$8+(((A52)+1)/2)*(Inputs!$J$8-Inputs!$I$8)))/Inputs!$K$8)^2)))*1000/Inputs!$C$12)</x:f>
        <x:v>128396.4117714109</x:v>
      </x:c>
      <x:c r="AI52" s="48" t="n">
        <x:f>(((SQRT(((Inputs!$I$9+(((A52)+1)/2)*(Inputs!$J$9-Inputs!$I$9)))^2+Inputs!$C$6^2+((Inputs!$H$9+Inputs!$L$9*(((Inputs!$I$9+(((A52)+1)/2)*(Inputs!$J$9-Inputs!$I$9)))/Inputs!$K$9)^2))^2))-((Inputs!$H$9+Inputs!$L$9*(((Inputs!$I$9+(((A52)+1)/2)*(Inputs!$J$9-Inputs!$I$9)))/Inputs!$K$9)^2)))*1000/Inputs!$C$12)</x:f>
        <x:v>129842.20489784692</x:v>
      </x:c>
      <x:c r="AJ52" s="49"/>
      <x:c r="AK52" s="48" t="n">
        <x:f>A52</x:f>
        <x:v>-0.583</x:v>
      </x:c>
      <x:c r="AL52" s="48" t="n">
        <x:f>(-2*((1000*((((Inputs!$I$6+(((A52)+1)/2)*(Inputs!$J$6-Inputs!$I$6)))*Inputs!$C$11+((Inputs!$H$6+Inputs!$L$6*(((Inputs!$I$6+(((A52)+1)/2)*(Inputs!$J$6-Inputs!$I$6)))/Inputs!$K$6)^2))*((2*Inputs!$L$6*((Inputs!$I$6+(((A52)+1)/2)*(Inputs!$J$6-Inputs!$I$6)))/(Inputs!$K$6^2)*Inputs!$C$11)))/(SQRT(((Inputs!$I$6+(((A52)+1)/2)*(Inputs!$J$6-Inputs!$I$6)))^2+Inputs!$C$6^2+((Inputs!$H$6+Inputs!$L$6*(((Inputs!$I$6+(((A52)+1)/2)*(Inputs!$J$6-Inputs!$I$6)))/Inputs!$K$6)^2))^2)))))/Inputs!$C$13)</x:f>
        <x:v>262.3185323179316</x:v>
      </x:c>
      <x:c r="AM52" s="48" t="n">
        <x:f>(-2*((1000*((((Inputs!$I$7+(((A52)+1)/2)*(Inputs!$J$7-Inputs!$I$7)))*Inputs!$C$11+((Inputs!$H$7+Inputs!$L$7*(((Inputs!$I$7+(((A52)+1)/2)*(Inputs!$J$7-Inputs!$I$7)))/Inputs!$K$7)^2))*((2*Inputs!$L$7*((Inputs!$I$7+(((A52)+1)/2)*(Inputs!$J$7-Inputs!$I$7)))/(Inputs!$K$7^2)*Inputs!$C$11)))/(SQRT(((Inputs!$I$7+(((A52)+1)/2)*(Inputs!$J$7-Inputs!$I$7)))^2+Inputs!$C$6^2+((Inputs!$H$7+Inputs!$L$7*(((Inputs!$I$7+(((A52)+1)/2)*(Inputs!$J$7-Inputs!$I$7)))/Inputs!$K$7)^2))^2)))))/Inputs!$C$13)</x:f>
        <x:v>2272.160127743894</x:v>
      </x:c>
      <x:c r="AN52" s="48" t="n">
        <x:f>(-2*((1000*((((Inputs!$I$8+(((A52)+1)/2)*(Inputs!$J$8-Inputs!$I$8)))*Inputs!$C$11+((Inputs!$H$8+Inputs!$L$8*(((Inputs!$I$8+(((A52)+1)/2)*(Inputs!$J$8-Inputs!$I$8)))/Inputs!$K$8)^2))*((2*Inputs!$L$8*((Inputs!$I$8+(((A52)+1)/2)*(Inputs!$J$8-Inputs!$I$8)))/(Inputs!$K$8^2)*Inputs!$C$11)))/(SQRT(((Inputs!$I$8+(((A52)+1)/2)*(Inputs!$J$8-Inputs!$I$8)))^2+Inputs!$C$6^2+((Inputs!$H$8+Inputs!$L$8*(((Inputs!$I$8+(((A52)+1)/2)*(Inputs!$J$8-Inputs!$I$8)))/Inputs!$K$8)^2))^2)))))/Inputs!$C$13)</x:f>
        <x:v>2642.4517321444073</x:v>
      </x:c>
      <x:c r="AO52" s="48" t="n">
        <x:f>(-2*((1000*((((Inputs!$I$9+(((A52)+1)/2)*(Inputs!$J$9-Inputs!$I$9)))*Inputs!$C$11+((Inputs!$H$9+Inputs!$L$9*(((Inputs!$I$9+(((A52)+1)/2)*(Inputs!$J$9-Inputs!$I$9)))/Inputs!$K$9)^2))*((2*Inputs!$L$9*((Inputs!$I$9+(((A52)+1)/2)*(Inputs!$J$9-Inputs!$I$9)))/(Inputs!$K$9^2)*Inputs!$C$11)))/(SQRT(((Inputs!$I$9+(((A52)+1)/2)*(Inputs!$J$9-Inputs!$I$9)))^2+Inputs!$C$6^2+((Inputs!$H$9+Inputs!$L$9*(((Inputs!$I$9+(((A52)+1)/2)*(Inputs!$J$9-Inputs!$I$9)))/Inputs!$K$9)^2))^2)))))/Inputs!$C$13)</x:f>
        <x:v>2649.4282566743777</x:v>
      </x:c>
    </x:row>
    <x:row r="53">
      <x:c r="A53" s="48" t="n">
        <x:f>ROUND(-1+51*2/240,3)</x:f>
        <x:v>-0.575</x:v>
      </x:c>
      <x:c r="B53" s="48" t="n">
        <x:f>IF(OR(Inputs!$F$6=TRUE,Inputs!$F$6="TRUE",Inputs!$F$6=1),(Inputs!$H$6+Inputs!$L$6*(((Inputs!$I$6+(((A53)+1)/2)*(Inputs!$J$6-Inputs!$I$6)))/Inputs!$K$6)^2),NA())</x:f>
        <x:v>401.3225</x:v>
      </x:c>
      <x:c r="C53" s="48" t="n">
        <x:f>IF(OR(Inputs!$F$7=TRUE,Inputs!$F$7="TRUE",Inputs!$F$7=1),(Inputs!$H$7+Inputs!$L$7*(((Inputs!$I$7+(((A53)+1)/2)*(Inputs!$J$7-Inputs!$I$7)))/Inputs!$K$7)^2),NA())</x:f>
        <x:v>155.67812499999997</x:v>
      </x:c>
      <x:c r="D53" s="48" t="n">
        <x:f>IF(OR(Inputs!$F$8=TRUE,Inputs!$F$8="TRUE",Inputs!$F$8=1),(Inputs!$H$8+Inputs!$L$8*(((Inputs!$I$8+(((A53)+1)/2)*(Inputs!$J$8-Inputs!$I$8)))/Inputs!$K$8)^2),NA())</x:f>
        <x:v>354.05312499999997</x:v>
      </x:c>
      <x:c r="E53" s="48" t="n">
        <x:f>IF(OR(Inputs!$F$9=TRUE,Inputs!$F$9="TRUE",Inputs!$F$9=1),(Inputs!$H$9+Inputs!$L$9*(((Inputs!$I$9+(((A53)+1)/2)*(Inputs!$J$9-Inputs!$I$9)))/Inputs!$K$9)^2),NA())</x:f>
        <x:v>347.35937499999994</x:v>
      </x:c>
      <x:c r="F53" s="49"/>
      <x:c r="G53" s="48" t="n">
        <x:f>A53</x:f>
        <x:v>-0.575</x:v>
      </x:c>
      <x:c r="H53" s="48" t="n">
        <x:f>IF(OR(Inputs!$F$6=TRUE,Inputs!$F$6="TRUE",Inputs!$F$6=1),(((SQRT(((Inputs!$I$6+(((A53)+1)/2)*(Inputs!$J$6-Inputs!$I$6)))^2+Inputs!$C$6^2+((Inputs!$H$6+Inputs!$L$6*(((Inputs!$I$6+(((A53)+1)/2)*(Inputs!$J$6-Inputs!$I$6)))/Inputs!$K$6)^2))^2))-((Inputs!$H$6+Inputs!$L$6*(((Inputs!$I$6+(((A53)+1)/2)*(Inputs!$J$6-Inputs!$I$6)))/Inputs!$K$6)^2)))*1000/Inputs!$C$12),NA())</x:f>
        <x:v>1266.9934849810077</x:v>
      </x:c>
      <x:c r="I53" s="48" t="n">
        <x:f>IF(OR(Inputs!$F$7=TRUE,Inputs!$F$7="TRUE",Inputs!$F$7=1),(((SQRT(((Inputs!$I$7+(((A53)+1)/2)*(Inputs!$J$7-Inputs!$I$7)))^2+Inputs!$C$6^2+((Inputs!$H$7+Inputs!$L$7*(((Inputs!$I$7+(((A53)+1)/2)*(Inputs!$J$7-Inputs!$I$7)))/Inputs!$K$7)^2))^2))-((Inputs!$H$7+Inputs!$L$7*(((Inputs!$I$7+(((A53)+1)/2)*(Inputs!$J$7-Inputs!$I$7)))/Inputs!$K$7)^2)))*1000/Inputs!$C$12),NA())</x:f>
        <x:v>69201.06331059041</x:v>
      </x:c>
      <x:c r="J53" s="48" t="n">
        <x:f>IF(OR(Inputs!$F$8=TRUE,Inputs!$F$8="TRUE",Inputs!$F$8=1),(((SQRT(((Inputs!$I$8+(((A53)+1)/2)*(Inputs!$J$8-Inputs!$I$8)))^2+Inputs!$C$6^2+((Inputs!$H$8+Inputs!$L$8*(((Inputs!$I$8+(((A53)+1)/2)*(Inputs!$J$8-Inputs!$I$8)))/Inputs!$K$8)^2))^2))-((Inputs!$H$8+Inputs!$L$8*(((Inputs!$I$8+(((A53)+1)/2)*(Inputs!$J$8-Inputs!$I$8)))/Inputs!$K$8)^2)))*1000/Inputs!$C$12),NA())</x:f>
        <x:v>127506.76083586103</x:v>
      </x:c>
      <x:c r="K53" s="48" t="n">
        <x:f>IF(OR(Inputs!$F$9=TRUE,Inputs!$F$9="TRUE",Inputs!$F$9=1),(((SQRT(((Inputs!$I$9+(((A53)+1)/2)*(Inputs!$J$9-Inputs!$I$9)))^2+Inputs!$C$6^2+((Inputs!$H$9+Inputs!$L$9*(((Inputs!$I$9+(((A53)+1)/2)*(Inputs!$J$9-Inputs!$I$9)))/Inputs!$K$9)^2))^2))-((Inputs!$H$9+Inputs!$L$9*(((Inputs!$I$9+(((A53)+1)/2)*(Inputs!$J$9-Inputs!$I$9)))/Inputs!$K$9)^2)))*1000/Inputs!$C$12),NA())</x:f>
        <x:v>128989.45295217878</x:v>
      </x:c>
      <x:c r="L53" s="49"/>
      <x:c r="M53" s="48" t="n">
        <x:f>A53</x:f>
        <x:v>-0.575</x:v>
      </x:c>
      <x:c r="N53" s="48" t="n">
        <x:f>IF(OR(Inputs!$F$6=TRUE,Inputs!$F$6="TRUE",Inputs!$F$6=1),(-2*((1000*((((Inputs!$I$6+(((A53)+1)/2)*(Inputs!$J$6-Inputs!$I$6)))*Inputs!$C$11+((Inputs!$H$6+Inputs!$L$6*(((Inputs!$I$6+(((A53)+1)/2)*(Inputs!$J$6-Inputs!$I$6)))/Inputs!$K$6)^2))*((2*Inputs!$L$6*((Inputs!$I$6+(((A53)+1)/2)*(Inputs!$J$6-Inputs!$I$6)))/(Inputs!$K$6^2)*Inputs!$C$11)))/(SQRT(((Inputs!$I$6+(((A53)+1)/2)*(Inputs!$J$6-Inputs!$I$6)))^2+Inputs!$C$6^2+((Inputs!$H$6+Inputs!$L$6*(((Inputs!$I$6+(((A53)+1)/2)*(Inputs!$J$6-Inputs!$I$6)))/Inputs!$K$6)^2))^2)))))/Inputs!$C$13),NA())</x:f>
        <x:v>258.75780750177796</x:v>
      </x:c>
      <x:c r="O53" s="48" t="n">
        <x:f>IF(OR(Inputs!$F$7=TRUE,Inputs!$F$7="TRUE",Inputs!$F$7=1),(-2*((1000*((((Inputs!$I$7+(((A53)+1)/2)*(Inputs!$J$7-Inputs!$I$7)))*Inputs!$C$11+((Inputs!$H$7+Inputs!$L$7*(((Inputs!$I$7+(((A53)+1)/2)*(Inputs!$J$7-Inputs!$I$7)))/Inputs!$K$7)^2))*((2*Inputs!$L$7*((Inputs!$I$7+(((A53)+1)/2)*(Inputs!$J$7-Inputs!$I$7)))/(Inputs!$K$7^2)*Inputs!$C$11)))/(SQRT(((Inputs!$I$7+(((A53)+1)/2)*(Inputs!$J$7-Inputs!$I$7)))^2+Inputs!$C$6^2+((Inputs!$H$7+Inputs!$L$7*(((Inputs!$I$7+(((A53)+1)/2)*(Inputs!$J$7-Inputs!$I$7)))/Inputs!$K$7)^2))^2)))))/Inputs!$C$13),NA())</x:f>
        <x:v>2257.0198666762913</x:v>
      </x:c>
      <x:c r="P53" s="48" t="n">
        <x:f>IF(OR(Inputs!$F$8=TRUE,Inputs!$F$8="TRUE",Inputs!$F$8=1),(-2*((1000*((((Inputs!$I$8+(((A53)+1)/2)*(Inputs!$J$8-Inputs!$I$8)))*Inputs!$C$11+((Inputs!$H$8+Inputs!$L$8*(((Inputs!$I$8+(((A53)+1)/2)*(Inputs!$J$8-Inputs!$I$8)))/Inputs!$K$8)^2))*((2*Inputs!$L$8*((Inputs!$I$8+(((A53)+1)/2)*(Inputs!$J$8-Inputs!$I$8)))/(Inputs!$K$8^2)*Inputs!$C$11)))/(SQRT(((Inputs!$I$8+(((A53)+1)/2)*(Inputs!$J$8-Inputs!$I$8)))^2+Inputs!$C$6^2+((Inputs!$H$8+Inputs!$L$8*(((Inputs!$I$8+(((A53)+1)/2)*(Inputs!$J$8-Inputs!$I$8)))/Inputs!$K$8)^2))^2)))))/Inputs!$C$13),NA())</x:f>
        <x:v>2619.244759126148</x:v>
      </x:c>
      <x:c r="Q53" s="48" t="n">
        <x:f>IF(OR(Inputs!$F$9=TRUE,Inputs!$F$9="TRUE",Inputs!$F$9=1),(-2*((1000*((((Inputs!$I$9+(((A53)+1)/2)*(Inputs!$J$9-Inputs!$I$9)))*Inputs!$C$11+((Inputs!$H$9+Inputs!$L$9*(((Inputs!$I$9+(((A53)+1)/2)*(Inputs!$J$9-Inputs!$I$9)))/Inputs!$K$9)^2))*((2*Inputs!$L$9*((Inputs!$I$9+(((A53)+1)/2)*(Inputs!$J$9-Inputs!$I$9)))/(Inputs!$K$9^2)*Inputs!$C$11)))/(SQRT(((Inputs!$I$9+(((A53)+1)/2)*(Inputs!$J$9-Inputs!$I$9)))^2+Inputs!$C$6^2+((Inputs!$H$9+Inputs!$L$9*(((Inputs!$I$9+(((A53)+1)/2)*(Inputs!$J$9-Inputs!$I$9)))/Inputs!$K$9)^2))^2)))))/Inputs!$C$13),NA())</x:f>
        <x:v>2625.7484395684996</x:v>
      </x:c>
      <x:c r="R53" s="49"/>
      <x:c r="S53" s="48" t="n">
        <x:f>A53</x:f>
        <x:v>-0.575</x:v>
      </x:c>
      <x:c r="T53" s="48" t="n">
        <x:f>(Inputs!$I$6+(((A53)+1)/2)*(Inputs!$J$6-Inputs!$I$6))</x:f>
        <x:v>-34.5</x:v>
      </x:c>
      <x:c r="U53" s="48" t="n">
        <x:f>(Inputs!$I$7+(((A53)+1)/2)*(Inputs!$J$7-Inputs!$I$7))</x:f>
        <x:v>-229.99999999999997</x:v>
      </x:c>
      <x:c r="V53" s="48" t="n">
        <x:f>(Inputs!$I$8+(((A53)+1)/2)*(Inputs!$J$8-Inputs!$I$8))</x:f>
        <x:v>-459.99999999999994</x:v>
      </x:c>
      <x:c r="W53" s="48" t="n">
        <x:f>(Inputs!$I$9+(((A53)+1)/2)*(Inputs!$J$9-Inputs!$I$9))</x:f>
        <x:v>-459.99999999999994</x:v>
      </x:c>
      <x:c r="X53" s="49"/>
      <x:c r="Y53" s="48" t="n">
        <x:f>A53</x:f>
        <x:v>-0.575</x:v>
      </x:c>
      <x:c r="Z53" s="48" t="n">
        <x:f>(Inputs!$H$6+Inputs!$L$6*(((Inputs!$I$6+(((A53)+1)/2)*(Inputs!$J$6-Inputs!$I$6)))/Inputs!$K$6)^2)</x:f>
        <x:v>401.3225</x:v>
      </x:c>
      <x:c r="AA53" s="48" t="n">
        <x:f>(Inputs!$H$7+Inputs!$L$7*(((Inputs!$I$7+(((A53)+1)/2)*(Inputs!$J$7-Inputs!$I$7)))/Inputs!$K$7)^2)</x:f>
        <x:v>155.67812499999997</x:v>
      </x:c>
      <x:c r="AB53" s="48" t="n">
        <x:f>(Inputs!$H$8+Inputs!$L$8*(((Inputs!$I$8+(((A53)+1)/2)*(Inputs!$J$8-Inputs!$I$8)))/Inputs!$K$8)^2)</x:f>
        <x:v>354.05312499999997</x:v>
      </x:c>
      <x:c r="AC53" s="48" t="n">
        <x:f>(Inputs!$H$9+Inputs!$L$9*(((Inputs!$I$9+(((A53)+1)/2)*(Inputs!$J$9-Inputs!$I$9)))/Inputs!$K$9)^2)</x:f>
        <x:v>347.35937499999994</x:v>
      </x:c>
      <x:c r="AD53" s="49"/>
      <x:c r="AE53" s="48" t="n">
        <x:f>A53</x:f>
        <x:v>-0.575</x:v>
      </x:c>
      <x:c r="AF53" s="48" t="n">
        <x:f>(((SQRT(((Inputs!$I$6+(((A53)+1)/2)*(Inputs!$J$6-Inputs!$I$6)))^2+Inputs!$C$6^2+((Inputs!$H$6+Inputs!$L$6*(((Inputs!$I$6+(((A53)+1)/2)*(Inputs!$J$6-Inputs!$I$6)))/Inputs!$K$6)^2))^2))-((Inputs!$H$6+Inputs!$L$6*(((Inputs!$I$6+(((A53)+1)/2)*(Inputs!$J$6-Inputs!$I$6)))/Inputs!$K$6)^2)))*1000/Inputs!$C$12)</x:f>
        <x:v>1266.9934849810077</x:v>
      </x:c>
      <x:c r="AG53" s="48" t="n">
        <x:f>(((SQRT(((Inputs!$I$7+(((A53)+1)/2)*(Inputs!$J$7-Inputs!$I$7)))^2+Inputs!$C$6^2+((Inputs!$H$7+Inputs!$L$7*(((Inputs!$I$7+(((A53)+1)/2)*(Inputs!$J$7-Inputs!$I$7)))/Inputs!$K$7)^2))^2))-((Inputs!$H$7+Inputs!$L$7*(((Inputs!$I$7+(((A53)+1)/2)*(Inputs!$J$7-Inputs!$I$7)))/Inputs!$K$7)^2)))*1000/Inputs!$C$12)</x:f>
        <x:v>69201.06331059041</x:v>
      </x:c>
      <x:c r="AH53" s="48" t="n">
        <x:f>(((SQRT(((Inputs!$I$8+(((A53)+1)/2)*(Inputs!$J$8-Inputs!$I$8)))^2+Inputs!$C$6^2+((Inputs!$H$8+Inputs!$L$8*(((Inputs!$I$8+(((A53)+1)/2)*(Inputs!$J$8-Inputs!$I$8)))/Inputs!$K$8)^2))^2))-((Inputs!$H$8+Inputs!$L$8*(((Inputs!$I$8+(((A53)+1)/2)*(Inputs!$J$8-Inputs!$I$8)))/Inputs!$K$8)^2)))*1000/Inputs!$C$12)</x:f>
        <x:v>127506.76083586103</x:v>
      </x:c>
      <x:c r="AI53" s="48" t="n">
        <x:f>(((SQRT(((Inputs!$I$9+(((A53)+1)/2)*(Inputs!$J$9-Inputs!$I$9)))^2+Inputs!$C$6^2+((Inputs!$H$9+Inputs!$L$9*(((Inputs!$I$9+(((A53)+1)/2)*(Inputs!$J$9-Inputs!$I$9)))/Inputs!$K$9)^2))^2))-((Inputs!$H$9+Inputs!$L$9*(((Inputs!$I$9+(((A53)+1)/2)*(Inputs!$J$9-Inputs!$I$9)))/Inputs!$K$9)^2)))*1000/Inputs!$C$12)</x:f>
        <x:v>128989.45295217878</x:v>
      </x:c>
      <x:c r="AJ53" s="49"/>
      <x:c r="AK53" s="48" t="n">
        <x:f>A53</x:f>
        <x:v>-0.575</x:v>
      </x:c>
      <x:c r="AL53" s="48" t="n">
        <x:f>(-2*((1000*((((Inputs!$I$6+(((A53)+1)/2)*(Inputs!$J$6-Inputs!$I$6)))*Inputs!$C$11+((Inputs!$H$6+Inputs!$L$6*(((Inputs!$I$6+(((A53)+1)/2)*(Inputs!$J$6-Inputs!$I$6)))/Inputs!$K$6)^2))*((2*Inputs!$L$6*((Inputs!$I$6+(((A53)+1)/2)*(Inputs!$J$6-Inputs!$I$6)))/(Inputs!$K$6^2)*Inputs!$C$11)))/(SQRT(((Inputs!$I$6+(((A53)+1)/2)*(Inputs!$J$6-Inputs!$I$6)))^2+Inputs!$C$6^2+((Inputs!$H$6+Inputs!$L$6*(((Inputs!$I$6+(((A53)+1)/2)*(Inputs!$J$6-Inputs!$I$6)))/Inputs!$K$6)^2))^2)))))/Inputs!$C$13)</x:f>
        <x:v>258.75780750177796</x:v>
      </x:c>
      <x:c r="AM53" s="48" t="n">
        <x:f>(-2*((1000*((((Inputs!$I$7+(((A53)+1)/2)*(Inputs!$J$7-Inputs!$I$7)))*Inputs!$C$11+((Inputs!$H$7+Inputs!$L$7*(((Inputs!$I$7+(((A53)+1)/2)*(Inputs!$J$7-Inputs!$I$7)))/Inputs!$K$7)^2))*((2*Inputs!$L$7*((Inputs!$I$7+(((A53)+1)/2)*(Inputs!$J$7-Inputs!$I$7)))/(Inputs!$K$7^2)*Inputs!$C$11)))/(SQRT(((Inputs!$I$7+(((A53)+1)/2)*(Inputs!$J$7-Inputs!$I$7)))^2+Inputs!$C$6^2+((Inputs!$H$7+Inputs!$L$7*(((Inputs!$I$7+(((A53)+1)/2)*(Inputs!$J$7-Inputs!$I$7)))/Inputs!$K$7)^2))^2)))))/Inputs!$C$13)</x:f>
        <x:v>2257.0198666762913</x:v>
      </x:c>
      <x:c r="AN53" s="48" t="n">
        <x:f>(-2*((1000*((((Inputs!$I$8+(((A53)+1)/2)*(Inputs!$J$8-Inputs!$I$8)))*Inputs!$C$11+((Inputs!$H$8+Inputs!$L$8*(((Inputs!$I$8+(((A53)+1)/2)*(Inputs!$J$8-Inputs!$I$8)))/Inputs!$K$8)^2))*((2*Inputs!$L$8*((Inputs!$I$8+(((A53)+1)/2)*(Inputs!$J$8-Inputs!$I$8)))/(Inputs!$K$8^2)*Inputs!$C$11)))/(SQRT(((Inputs!$I$8+(((A53)+1)/2)*(Inputs!$J$8-Inputs!$I$8)))^2+Inputs!$C$6^2+((Inputs!$H$8+Inputs!$L$8*(((Inputs!$I$8+(((A53)+1)/2)*(Inputs!$J$8-Inputs!$I$8)))/Inputs!$K$8)^2))^2)))))/Inputs!$C$13)</x:f>
        <x:v>2619.244759126148</x:v>
      </x:c>
      <x:c r="AO53" s="48" t="n">
        <x:f>(-2*((1000*((((Inputs!$I$9+(((A53)+1)/2)*(Inputs!$J$9-Inputs!$I$9)))*Inputs!$C$11+((Inputs!$H$9+Inputs!$L$9*(((Inputs!$I$9+(((A53)+1)/2)*(Inputs!$J$9-Inputs!$I$9)))/Inputs!$K$9)^2))*((2*Inputs!$L$9*((Inputs!$I$9+(((A53)+1)/2)*(Inputs!$J$9-Inputs!$I$9)))/(Inputs!$K$9^2)*Inputs!$C$11)))/(SQRT(((Inputs!$I$9+(((A53)+1)/2)*(Inputs!$J$9-Inputs!$I$9)))^2+Inputs!$C$6^2+((Inputs!$H$9+Inputs!$L$9*(((Inputs!$I$9+(((A53)+1)/2)*(Inputs!$J$9-Inputs!$I$9)))/Inputs!$K$9)^2))^2)))))/Inputs!$C$13)</x:f>
        <x:v>2625.7484395684996</x:v>
      </x:c>
    </x:row>
    <x:row r="54">
      <x:c r="A54" s="48" t="n">
        <x:f>ROUND(-1+52*2/240,3)</x:f>
        <x:v>-0.567</x:v>
      </x:c>
      <x:c r="B54" s="48" t="n">
        <x:f>IF(OR(Inputs!$F$6=TRUE,Inputs!$F$6="TRUE",Inputs!$F$6=1),(Inputs!$H$6+Inputs!$L$6*(((Inputs!$I$6+(((A54)+1)/2)*(Inputs!$J$6-Inputs!$I$6)))/Inputs!$K$6)^2),NA())</x:f>
        <x:v>401.285956</x:v>
      </x:c>
      <x:c r="C54" s="48" t="n">
        <x:f>IF(OR(Inputs!$F$7=TRUE,Inputs!$F$7="TRUE",Inputs!$F$7=1),(Inputs!$H$7+Inputs!$L$7*(((Inputs!$I$7+(((A54)+1)/2)*(Inputs!$J$7-Inputs!$I$7)))/Inputs!$K$7)^2),NA())</x:f>
        <x:v>152.343485</x:v>
      </x:c>
      <x:c r="D54" s="48" t="n">
        <x:f>IF(OR(Inputs!$F$8=TRUE,Inputs!$F$8="TRUE",Inputs!$F$8=1),(Inputs!$H$8+Inputs!$L$8*(((Inputs!$I$8+(((A54)+1)/2)*(Inputs!$J$8-Inputs!$I$8)))/Inputs!$K$8)^2),NA())</x:f>
        <x:v>345.236885</x:v>
      </x:c>
      <x:c r="E54" s="48" t="n">
        <x:f>IF(OR(Inputs!$F$9=TRUE,Inputs!$F$9="TRUE",Inputs!$F$9=1),(Inputs!$H$9+Inputs!$L$9*(((Inputs!$I$9+(((A54)+1)/2)*(Inputs!$J$9-Inputs!$I$9)))/Inputs!$K$9)^2),NA())</x:f>
        <x:v>338.451775</x:v>
      </x:c>
      <x:c r="F54" s="49"/>
      <x:c r="G54" s="48" t="n">
        <x:f>A54</x:f>
        <x:v>-0.567</x:v>
      </x:c>
      <x:c r="H54" s="48" t="n">
        <x:f>IF(OR(Inputs!$F$6=TRUE,Inputs!$F$6="TRUE",Inputs!$F$6=1),(((SQRT(((Inputs!$I$6+(((A54)+1)/2)*(Inputs!$J$6-Inputs!$I$6)))^2+Inputs!$C$6^2+((Inputs!$H$6+Inputs!$L$6*(((Inputs!$I$6+(((A54)+1)/2)*(Inputs!$J$6-Inputs!$I$6)))/Inputs!$K$6)^2))^2))-((Inputs!$H$6+Inputs!$L$6*(((Inputs!$I$6+(((A54)+1)/2)*(Inputs!$J$6-Inputs!$I$6)))/Inputs!$K$6)^2)))*1000/Inputs!$C$12),NA())</x:f>
        <x:v>1244.2131283881388</x:v>
      </x:c>
      <x:c r="I54" s="48" t="n">
        <x:f>IF(OR(Inputs!$F$7=TRUE,Inputs!$F$7="TRUE",Inputs!$F$7=1),(((SQRT(((Inputs!$I$7+(((A54)+1)/2)*(Inputs!$J$7-Inputs!$I$7)))^2+Inputs!$C$6^2+((Inputs!$H$7+Inputs!$L$7*(((Inputs!$I$7+(((A54)+1)/2)*(Inputs!$J$7-Inputs!$I$7)))/Inputs!$K$7)^2))^2))-((Inputs!$H$7+Inputs!$L$7*(((Inputs!$I$7+(((A54)+1)/2)*(Inputs!$J$7-Inputs!$I$7)))/Inputs!$K$7)^2)))*1000/Inputs!$C$12),NA())</x:f>
        <x:v>68546.93284544679</x:v>
      </x:c>
      <x:c r="J54" s="48" t="n">
        <x:f>IF(OR(Inputs!$F$8=TRUE,Inputs!$F$8="TRUE",Inputs!$F$8=1),(((SQRT(((Inputs!$I$8+(((A54)+1)/2)*(Inputs!$J$8-Inputs!$I$8)))^2+Inputs!$C$6^2+((Inputs!$H$8+Inputs!$L$8*(((Inputs!$I$8+(((A54)+1)/2)*(Inputs!$J$8-Inputs!$I$8)))/Inputs!$K$8)^2))^2))-((Inputs!$H$8+Inputs!$L$8*(((Inputs!$I$8+(((A54)+1)/2)*(Inputs!$J$8-Inputs!$I$8)))/Inputs!$K$8)^2)))*1000/Inputs!$C$12),NA())</x:f>
        <x:v>126599.68284747351</x:v>
      </x:c>
      <x:c r="K54" s="48" t="n">
        <x:f>IF(OR(Inputs!$F$9=TRUE,Inputs!$F$9="TRUE",Inputs!$F$9=1),(((SQRT(((Inputs!$I$9+(((A54)+1)/2)*(Inputs!$J$9-Inputs!$I$9)))^2+Inputs!$C$6^2+((Inputs!$H$9+Inputs!$L$9*(((Inputs!$I$9+(((A54)+1)/2)*(Inputs!$J$9-Inputs!$I$9)))/Inputs!$K$9)^2))^2))-((Inputs!$H$9+Inputs!$L$9*(((Inputs!$I$9+(((A54)+1)/2)*(Inputs!$J$9-Inputs!$I$9)))/Inputs!$K$9)^2)))*1000/Inputs!$C$12),NA())</x:f>
        <x:v>128119.61527199976</x:v>
      </x:c>
      <x:c r="L54" s="49"/>
      <x:c r="M54" s="48" t="n">
        <x:f>A54</x:f>
        <x:v>-0.567</x:v>
      </x:c>
      <x:c r="N54" s="48" t="n">
        <x:f>IF(OR(Inputs!$F$6=TRUE,Inputs!$F$6="TRUE",Inputs!$F$6=1),(-2*((1000*((((Inputs!$I$6+(((A54)+1)/2)*(Inputs!$J$6-Inputs!$I$6)))*Inputs!$C$11+((Inputs!$H$6+Inputs!$L$6*(((Inputs!$I$6+(((A54)+1)/2)*(Inputs!$J$6-Inputs!$I$6)))/Inputs!$K$6)^2))*((2*Inputs!$L$6*((Inputs!$I$6+(((A54)+1)/2)*(Inputs!$J$6-Inputs!$I$6)))/(Inputs!$K$6^2)*Inputs!$C$11)))/(SQRT(((Inputs!$I$6+(((A54)+1)/2)*(Inputs!$J$6-Inputs!$I$6)))^2+Inputs!$C$6^2+((Inputs!$H$6+Inputs!$L$6*(((Inputs!$I$6+(((A54)+1)/2)*(Inputs!$J$6-Inputs!$I$6)))/Inputs!$K$6)^2))^2)))))/Inputs!$C$13),NA())</x:f>
        <x:v>255.19549440065356</x:v>
      </x:c>
      <x:c r="O54" s="48" t="n">
        <x:f>IF(OR(Inputs!$F$7=TRUE,Inputs!$F$7="TRUE",Inputs!$F$7=1),(-2*((1000*((((Inputs!$I$7+(((A54)+1)/2)*(Inputs!$J$7-Inputs!$I$7)))*Inputs!$C$11+((Inputs!$H$7+Inputs!$L$7*(((Inputs!$I$7+(((A54)+1)/2)*(Inputs!$J$7-Inputs!$I$7)))/Inputs!$K$7)^2))*((2*Inputs!$L$7*((Inputs!$I$7+(((A54)+1)/2)*(Inputs!$J$7-Inputs!$I$7)))/(Inputs!$K$7^2)*Inputs!$C$11)))/(SQRT(((Inputs!$I$7+(((A54)+1)/2)*(Inputs!$J$7-Inputs!$I$7)))^2+Inputs!$C$6^2+((Inputs!$H$7+Inputs!$L$7*(((Inputs!$I$7+(((A54)+1)/2)*(Inputs!$J$7-Inputs!$I$7)))/Inputs!$K$7)^2))^2)))))/Inputs!$C$13),NA())</x:f>
        <x:v>2241.99094760963</x:v>
      </x:c>
      <x:c r="P54" s="48" t="n">
        <x:f>IF(OR(Inputs!$F$8=TRUE,Inputs!$F$8="TRUE",Inputs!$F$8=1),(-2*((1000*((((Inputs!$I$8+(((A54)+1)/2)*(Inputs!$J$8-Inputs!$I$8)))*Inputs!$C$11+((Inputs!$H$8+Inputs!$L$8*(((Inputs!$I$8+(((A54)+1)/2)*(Inputs!$J$8-Inputs!$I$8)))/Inputs!$K$8)^2))*((2*Inputs!$L$8*((Inputs!$I$8+(((A54)+1)/2)*(Inputs!$J$8-Inputs!$I$8)))/(Inputs!$K$8^2)*Inputs!$C$11)))/(SQRT(((Inputs!$I$8+(((A54)+1)/2)*(Inputs!$J$8-Inputs!$I$8)))^2+Inputs!$C$6^2+((Inputs!$H$8+Inputs!$L$8*(((Inputs!$I$8+(((A54)+1)/2)*(Inputs!$J$8-Inputs!$I$8)))/Inputs!$K$8)^2))^2)))))/Inputs!$C$13),NA())</x:f>
        <x:v>2596.2023457503556</x:v>
      </x:c>
      <x:c r="Q54" s="48" t="n">
        <x:f>IF(OR(Inputs!$F$9=TRUE,Inputs!$F$9="TRUE",Inputs!$F$9=1),(-2*((1000*((((Inputs!$I$9+(((A54)+1)/2)*(Inputs!$J$9-Inputs!$I$9)))*Inputs!$C$11+((Inputs!$H$9+Inputs!$L$9*(((Inputs!$I$9+(((A54)+1)/2)*(Inputs!$J$9-Inputs!$I$9)))/Inputs!$K$9)^2))*((2*Inputs!$L$9*((Inputs!$I$9+(((A54)+1)/2)*(Inputs!$J$9-Inputs!$I$9)))/(Inputs!$K$9^2)*Inputs!$C$11)))/(SQRT(((Inputs!$I$9+(((A54)+1)/2)*(Inputs!$J$9-Inputs!$I$9)))^2+Inputs!$C$6^2+((Inputs!$H$9+Inputs!$L$9*(((Inputs!$I$9+(((A54)+1)/2)*(Inputs!$J$9-Inputs!$I$9)))/Inputs!$K$9)^2))^2)))))/Inputs!$C$13),NA())</x:f>
        <x:v>2602.235136973488</x:v>
      </x:c>
      <x:c r="R54" s="49"/>
      <x:c r="S54" s="48" t="n">
        <x:f>A54</x:f>
        <x:v>-0.567</x:v>
      </x:c>
      <x:c r="T54" s="48" t="n">
        <x:f>(Inputs!$I$6+(((A54)+1)/2)*(Inputs!$J$6-Inputs!$I$6))</x:f>
        <x:v>-34.019999999999996</x:v>
      </x:c>
      <x:c r="U54" s="48" t="n">
        <x:f>(Inputs!$I$7+(((A54)+1)/2)*(Inputs!$J$7-Inputs!$I$7))</x:f>
        <x:v>-226.79999999999998</x:v>
      </x:c>
      <x:c r="V54" s="48" t="n">
        <x:f>(Inputs!$I$8+(((A54)+1)/2)*(Inputs!$J$8-Inputs!$I$8))</x:f>
        <x:v>-453.59999999999997</x:v>
      </x:c>
      <x:c r="W54" s="48" t="n">
        <x:f>(Inputs!$I$9+(((A54)+1)/2)*(Inputs!$J$9-Inputs!$I$9))</x:f>
        <x:v>-453.59999999999997</x:v>
      </x:c>
      <x:c r="X54" s="49"/>
      <x:c r="Y54" s="48" t="n">
        <x:f>A54</x:f>
        <x:v>-0.567</x:v>
      </x:c>
      <x:c r="Z54" s="48" t="n">
        <x:f>(Inputs!$H$6+Inputs!$L$6*(((Inputs!$I$6+(((A54)+1)/2)*(Inputs!$J$6-Inputs!$I$6)))/Inputs!$K$6)^2)</x:f>
        <x:v>401.285956</x:v>
      </x:c>
      <x:c r="AA54" s="48" t="n">
        <x:f>(Inputs!$H$7+Inputs!$L$7*(((Inputs!$I$7+(((A54)+1)/2)*(Inputs!$J$7-Inputs!$I$7)))/Inputs!$K$7)^2)</x:f>
        <x:v>152.343485</x:v>
      </x:c>
      <x:c r="AB54" s="48" t="n">
        <x:f>(Inputs!$H$8+Inputs!$L$8*(((Inputs!$I$8+(((A54)+1)/2)*(Inputs!$J$8-Inputs!$I$8)))/Inputs!$K$8)^2)</x:f>
        <x:v>345.236885</x:v>
      </x:c>
      <x:c r="AC54" s="48" t="n">
        <x:f>(Inputs!$H$9+Inputs!$L$9*(((Inputs!$I$9+(((A54)+1)/2)*(Inputs!$J$9-Inputs!$I$9)))/Inputs!$K$9)^2)</x:f>
        <x:v>338.451775</x:v>
      </x:c>
      <x:c r="AD54" s="49"/>
      <x:c r="AE54" s="48" t="n">
        <x:f>A54</x:f>
        <x:v>-0.567</x:v>
      </x:c>
      <x:c r="AF54" s="48" t="n">
        <x:f>(((SQRT(((Inputs!$I$6+(((A54)+1)/2)*(Inputs!$J$6-Inputs!$I$6)))^2+Inputs!$C$6^2+((Inputs!$H$6+Inputs!$L$6*(((Inputs!$I$6+(((A54)+1)/2)*(Inputs!$J$6-Inputs!$I$6)))/Inputs!$K$6)^2))^2))-((Inputs!$H$6+Inputs!$L$6*(((Inputs!$I$6+(((A54)+1)/2)*(Inputs!$J$6-Inputs!$I$6)))/Inputs!$K$6)^2)))*1000/Inputs!$C$12)</x:f>
        <x:v>1244.2131283881388</x:v>
      </x:c>
      <x:c r="AG54" s="48" t="n">
        <x:f>(((SQRT(((Inputs!$I$7+(((A54)+1)/2)*(Inputs!$J$7-Inputs!$I$7)))^2+Inputs!$C$6^2+((Inputs!$H$7+Inputs!$L$7*(((Inputs!$I$7+(((A54)+1)/2)*(Inputs!$J$7-Inputs!$I$7)))/Inputs!$K$7)^2))^2))-((Inputs!$H$7+Inputs!$L$7*(((Inputs!$I$7+(((A54)+1)/2)*(Inputs!$J$7-Inputs!$I$7)))/Inputs!$K$7)^2)))*1000/Inputs!$C$12)</x:f>
        <x:v>68546.93284544679</x:v>
      </x:c>
      <x:c r="AH54" s="48" t="n">
        <x:f>(((SQRT(((Inputs!$I$8+(((A54)+1)/2)*(Inputs!$J$8-Inputs!$I$8)))^2+Inputs!$C$6^2+((Inputs!$H$8+Inputs!$L$8*(((Inputs!$I$8+(((A54)+1)/2)*(Inputs!$J$8-Inputs!$I$8)))/Inputs!$K$8)^2))^2))-((Inputs!$H$8+Inputs!$L$8*(((Inputs!$I$8+(((A54)+1)/2)*(Inputs!$J$8-Inputs!$I$8)))/Inputs!$K$8)^2)))*1000/Inputs!$C$12)</x:f>
        <x:v>126599.68284747351</x:v>
      </x:c>
      <x:c r="AI54" s="48" t="n">
        <x:f>(((SQRT(((Inputs!$I$9+(((A54)+1)/2)*(Inputs!$J$9-Inputs!$I$9)))^2+Inputs!$C$6^2+((Inputs!$H$9+Inputs!$L$9*(((Inputs!$I$9+(((A54)+1)/2)*(Inputs!$J$9-Inputs!$I$9)))/Inputs!$K$9)^2))^2))-((Inputs!$H$9+Inputs!$L$9*(((Inputs!$I$9+(((A54)+1)/2)*(Inputs!$J$9-Inputs!$I$9)))/Inputs!$K$9)^2)))*1000/Inputs!$C$12)</x:f>
        <x:v>128119.61527199976</x:v>
      </x:c>
      <x:c r="AJ54" s="49"/>
      <x:c r="AK54" s="48" t="n">
        <x:f>A54</x:f>
        <x:v>-0.567</x:v>
      </x:c>
      <x:c r="AL54" s="48" t="n">
        <x:f>(-2*((1000*((((Inputs!$I$6+(((A54)+1)/2)*(Inputs!$J$6-Inputs!$I$6)))*Inputs!$C$11+((Inputs!$H$6+Inputs!$L$6*(((Inputs!$I$6+(((A54)+1)/2)*(Inputs!$J$6-Inputs!$I$6)))/Inputs!$K$6)^2))*((2*Inputs!$L$6*((Inputs!$I$6+(((A54)+1)/2)*(Inputs!$J$6-Inputs!$I$6)))/(Inputs!$K$6^2)*Inputs!$C$11)))/(SQRT(((Inputs!$I$6+(((A54)+1)/2)*(Inputs!$J$6-Inputs!$I$6)))^2+Inputs!$C$6^2+((Inputs!$H$6+Inputs!$L$6*(((Inputs!$I$6+(((A54)+1)/2)*(Inputs!$J$6-Inputs!$I$6)))/Inputs!$K$6)^2))^2)))))/Inputs!$C$13)</x:f>
        <x:v>255.19549440065356</x:v>
      </x:c>
      <x:c r="AM54" s="48" t="n">
        <x:f>(-2*((1000*((((Inputs!$I$7+(((A54)+1)/2)*(Inputs!$J$7-Inputs!$I$7)))*Inputs!$C$11+((Inputs!$H$7+Inputs!$L$7*(((Inputs!$I$7+(((A54)+1)/2)*(Inputs!$J$7-Inputs!$I$7)))/Inputs!$K$7)^2))*((2*Inputs!$L$7*((Inputs!$I$7+(((A54)+1)/2)*(Inputs!$J$7-Inputs!$I$7)))/(Inputs!$K$7^2)*Inputs!$C$11)))/(SQRT(((Inputs!$I$7+(((A54)+1)/2)*(Inputs!$J$7-Inputs!$I$7)))^2+Inputs!$C$6^2+((Inputs!$H$7+Inputs!$L$7*(((Inputs!$I$7+(((A54)+1)/2)*(Inputs!$J$7-Inputs!$I$7)))/Inputs!$K$7)^2))^2)))))/Inputs!$C$13)</x:f>
        <x:v>2241.99094760963</x:v>
      </x:c>
      <x:c r="AN54" s="48" t="n">
        <x:f>(-2*((1000*((((Inputs!$I$8+(((A54)+1)/2)*(Inputs!$J$8-Inputs!$I$8)))*Inputs!$C$11+((Inputs!$H$8+Inputs!$L$8*(((Inputs!$I$8+(((A54)+1)/2)*(Inputs!$J$8-Inputs!$I$8)))/Inputs!$K$8)^2))*((2*Inputs!$L$8*((Inputs!$I$8+(((A54)+1)/2)*(Inputs!$J$8-Inputs!$I$8)))/(Inputs!$K$8^2)*Inputs!$C$11)))/(SQRT(((Inputs!$I$8+(((A54)+1)/2)*(Inputs!$J$8-Inputs!$I$8)))^2+Inputs!$C$6^2+((Inputs!$H$8+Inputs!$L$8*(((Inputs!$I$8+(((A54)+1)/2)*(Inputs!$J$8-Inputs!$I$8)))/Inputs!$K$8)^2))^2)))))/Inputs!$C$13)</x:f>
        <x:v>2596.2023457503556</x:v>
      </x:c>
      <x:c r="AO54" s="48" t="n">
        <x:f>(-2*((1000*((((Inputs!$I$9+(((A54)+1)/2)*(Inputs!$J$9-Inputs!$I$9)))*Inputs!$C$11+((Inputs!$H$9+Inputs!$L$9*(((Inputs!$I$9+(((A54)+1)/2)*(Inputs!$J$9-Inputs!$I$9)))/Inputs!$K$9)^2))*((2*Inputs!$L$9*((Inputs!$I$9+(((A54)+1)/2)*(Inputs!$J$9-Inputs!$I$9)))/(Inputs!$K$9^2)*Inputs!$C$11)))/(SQRT(((Inputs!$I$9+(((A54)+1)/2)*(Inputs!$J$9-Inputs!$I$9)))^2+Inputs!$C$6^2+((Inputs!$H$9+Inputs!$L$9*(((Inputs!$I$9+(((A54)+1)/2)*(Inputs!$J$9-Inputs!$I$9)))/Inputs!$K$9)^2))^2)))))/Inputs!$C$13)</x:f>
        <x:v>2602.235136973488</x:v>
      </x:c>
    </x:row>
    <x:row r="55">
      <x:c r="A55" s="48" t="n">
        <x:f>ROUND(-1+53*2/240,3)</x:f>
        <x:v>-0.558</x:v>
      </x:c>
      <x:c r="B55" s="48" t="n">
        <x:f>IF(OR(Inputs!$F$6=TRUE,Inputs!$F$6="TRUE",Inputs!$F$6=1),(Inputs!$H$6+Inputs!$L$6*(((Inputs!$I$6+(((A55)+1)/2)*(Inputs!$J$6-Inputs!$I$6)))/Inputs!$K$6)^2),NA())</x:f>
        <x:v>401.245456</x:v>
      </x:c>
      <x:c r="C55" s="48" t="n">
        <x:f>IF(OR(Inputs!$F$7=TRUE,Inputs!$F$7="TRUE",Inputs!$F$7=1),(Inputs!$H$7+Inputs!$L$7*(((Inputs!$I$7+(((A55)+1)/2)*(Inputs!$J$7-Inputs!$I$7)))/Inputs!$K$7)^2),NA())</x:f>
        <x:v>148.64786000000004</x:v>
      </x:c>
      <x:c r="D55" s="48" t="n">
        <x:f>IF(OR(Inputs!$F$8=TRUE,Inputs!$F$8="TRUE",Inputs!$F$8=1),(Inputs!$H$8+Inputs!$L$8*(((Inputs!$I$8+(((A55)+1)/2)*(Inputs!$J$8-Inputs!$I$8)))/Inputs!$K$8)^2),NA())</x:f>
        <x:v>335.4662600000001</x:v>
      </x:c>
      <x:c r="E55" s="48" t="n">
        <x:f>IF(OR(Inputs!$F$9=TRUE,Inputs!$F$9="TRUE",Inputs!$F$9=1),(Inputs!$H$9+Inputs!$L$9*(((Inputs!$I$9+(((A55)+1)/2)*(Inputs!$J$9-Inputs!$I$9)))/Inputs!$K$9)^2),NA())</x:f>
        <x:v>328.57990000000007</x:v>
      </x:c>
      <x:c r="F55" s="49"/>
      <x:c r="G55" s="48" t="n">
        <x:f>A55</x:f>
        <x:v>-0.558</x:v>
      </x:c>
      <x:c r="H55" s="48" t="n">
        <x:f>IF(OR(Inputs!$F$6=TRUE,Inputs!$F$6="TRUE",Inputs!$F$6=1),(((SQRT(((Inputs!$I$6+(((A55)+1)/2)*(Inputs!$J$6-Inputs!$I$6)))^2+Inputs!$C$6^2+((Inputs!$H$6+Inputs!$L$6*(((Inputs!$I$6+(((A55)+1)/2)*(Inputs!$J$6-Inputs!$I$6)))/Inputs!$K$6)^2))^2))-((Inputs!$H$6+Inputs!$L$6*(((Inputs!$I$6+(((A55)+1)/2)*(Inputs!$J$6-Inputs!$I$6)))/Inputs!$K$6)^2)))*1000/Inputs!$C$12),NA())</x:f>
        <x:v>1218.9592318547825</x:v>
      </x:c>
      <x:c r="I55" s="48" t="n">
        <x:f>IF(OR(Inputs!$F$7=TRUE,Inputs!$F$7="TRUE",Inputs!$F$7=1),(((SQRT(((Inputs!$I$7+(((A55)+1)/2)*(Inputs!$J$7-Inputs!$I$7)))^2+Inputs!$C$6^2+((Inputs!$H$7+Inputs!$L$7*(((Inputs!$I$7+(((A55)+1)/2)*(Inputs!$J$7-Inputs!$I$7)))/Inputs!$K$7)^2))^2))-((Inputs!$H$7+Inputs!$L$7*(((Inputs!$I$7+(((A55)+1)/2)*(Inputs!$J$7-Inputs!$I$7)))/Inputs!$K$7)^2)))*1000/Inputs!$C$12),NA())</x:f>
        <x:v>67799.76582849666</x:v>
      </x:c>
      <x:c r="J55" s="48" t="n">
        <x:f>IF(OR(Inputs!$F$8=TRUE,Inputs!$F$8="TRUE",Inputs!$F$8=1),(((SQRT(((Inputs!$I$8+(((A55)+1)/2)*(Inputs!$J$8-Inputs!$I$8)))^2+Inputs!$C$6^2+((Inputs!$H$8+Inputs!$L$8*(((Inputs!$I$8+(((A55)+1)/2)*(Inputs!$J$8-Inputs!$I$8)))/Inputs!$K$8)^2))^2))-((Inputs!$H$8+Inputs!$L$8*(((Inputs!$I$8+(((A55)+1)/2)*(Inputs!$J$8-Inputs!$I$8)))/Inputs!$K$8)^2)))*1000/Inputs!$C$12),NA())</x:f>
        <x:v>125557.92409558372</x:v>
      </x:c>
      <x:c r="K55" s="48" t="n">
        <x:f>IF(OR(Inputs!$F$9=TRUE,Inputs!$F$9="TRUE",Inputs!$F$9=1),(((SQRT(((Inputs!$I$9+(((A55)+1)/2)*(Inputs!$J$9-Inputs!$I$9)))^2+Inputs!$C$6^2+((Inputs!$H$9+Inputs!$L$9*(((Inputs!$I$9+(((A55)+1)/2)*(Inputs!$J$9-Inputs!$I$9)))/Inputs!$K$9)^2))^2))-((Inputs!$H$9+Inputs!$L$9*(((Inputs!$I$9+(((A55)+1)/2)*(Inputs!$J$9-Inputs!$I$9)))/Inputs!$K$9)^2)))*1000/Inputs!$C$12),NA())</x:f>
        <x:v>127120.1540145812</x:v>
      </x:c>
      <x:c r="L55" s="49"/>
      <x:c r="M55" s="48" t="n">
        <x:f>A55</x:f>
        <x:v>-0.558</x:v>
      </x:c>
      <x:c r="N55" s="48" t="n">
        <x:f>IF(OR(Inputs!$F$6=TRUE,Inputs!$F$6="TRUE",Inputs!$F$6=1),(-2*((1000*((((Inputs!$I$6+(((A55)+1)/2)*(Inputs!$J$6-Inputs!$I$6)))*Inputs!$C$11+((Inputs!$H$6+Inputs!$L$6*(((Inputs!$I$6+(((A55)+1)/2)*(Inputs!$J$6-Inputs!$I$6)))/Inputs!$K$6)^2))*((2*Inputs!$L$6*((Inputs!$I$6+(((A55)+1)/2)*(Inputs!$J$6-Inputs!$I$6)))/(Inputs!$K$6^2)*Inputs!$C$11)))/(SQRT(((Inputs!$I$6+(((A55)+1)/2)*(Inputs!$J$6-Inputs!$I$6)))^2+Inputs!$C$6^2+((Inputs!$H$6+Inputs!$L$6*(((Inputs!$I$6+(((A55)+1)/2)*(Inputs!$J$6-Inputs!$I$6)))/Inputs!$K$6)^2))^2)))))/Inputs!$C$13),NA())</x:f>
        <x:v>251.18601931705444</x:v>
      </x:c>
      <x:c r="O55" s="48" t="n">
        <x:f>IF(OR(Inputs!$F$7=TRUE,Inputs!$F$7="TRUE",Inputs!$F$7=1),(-2*((1000*((((Inputs!$I$7+(((A55)+1)/2)*(Inputs!$J$7-Inputs!$I$7)))*Inputs!$C$11+((Inputs!$H$7+Inputs!$L$7*(((Inputs!$I$7+(((A55)+1)/2)*(Inputs!$J$7-Inputs!$I$7)))/Inputs!$K$7)^2))*((2*Inputs!$L$7*((Inputs!$I$7+(((A55)+1)/2)*(Inputs!$J$7-Inputs!$I$7)))/(Inputs!$K$7^2)*Inputs!$C$11)))/(SQRT(((Inputs!$I$7+(((A55)+1)/2)*(Inputs!$J$7-Inputs!$I$7)))^2+Inputs!$C$6^2+((Inputs!$H$7+Inputs!$L$7*(((Inputs!$I$7+(((A55)+1)/2)*(Inputs!$J$7-Inputs!$I$7)))/Inputs!$K$7)^2))^2)))))/Inputs!$C$13),NA())</x:f>
        <x:v>2225.2168930042126</x:v>
      </x:c>
      <x:c r="P55" s="48" t="n">
        <x:f>IF(OR(Inputs!$F$8=TRUE,Inputs!$F$8="TRUE",Inputs!$F$8=1),(-2*((1000*((((Inputs!$I$8+(((A55)+1)/2)*(Inputs!$J$8-Inputs!$I$8)))*Inputs!$C$11+((Inputs!$H$8+Inputs!$L$8*(((Inputs!$I$8+(((A55)+1)/2)*(Inputs!$J$8-Inputs!$I$8)))/Inputs!$K$8)^2))*((2*Inputs!$L$8*((Inputs!$I$8+(((A55)+1)/2)*(Inputs!$J$8-Inputs!$I$8)))/(Inputs!$K$8^2)*Inputs!$C$11)))/(SQRT(((Inputs!$I$8+(((A55)+1)/2)*(Inputs!$J$8-Inputs!$I$8)))^2+Inputs!$C$6^2+((Inputs!$H$8+Inputs!$L$8*(((Inputs!$I$8+(((A55)+1)/2)*(Inputs!$J$8-Inputs!$I$8)))/Inputs!$K$8)^2))^2)))))/Inputs!$C$13),NA())</x:f>
        <x:v>2570.480357496462</x:v>
      </x:c>
      <x:c r="Q55" s="48" t="n">
        <x:f>IF(OR(Inputs!$F$9=TRUE,Inputs!$F$9="TRUE",Inputs!$F$9=1),(-2*((1000*((((Inputs!$I$9+(((A55)+1)/2)*(Inputs!$J$9-Inputs!$I$9)))*Inputs!$C$11+((Inputs!$H$9+Inputs!$L$9*(((Inputs!$I$9+(((A55)+1)/2)*(Inputs!$J$9-Inputs!$I$9)))/Inputs!$K$9)^2))*((2*Inputs!$L$9*((Inputs!$I$9+(((A55)+1)/2)*(Inputs!$J$9-Inputs!$I$9)))/(Inputs!$K$9^2)*Inputs!$C$11)))/(SQRT(((Inputs!$I$9+(((A55)+1)/2)*(Inputs!$J$9-Inputs!$I$9)))^2+Inputs!$C$6^2+((Inputs!$H$9+Inputs!$L$9*(((Inputs!$I$9+(((A55)+1)/2)*(Inputs!$J$9-Inputs!$I$9)))/Inputs!$K$9)^2))^2)))))/Inputs!$C$13),NA())</x:f>
        <x:v>2575.9860434940883</x:v>
      </x:c>
      <x:c r="R55" s="49"/>
      <x:c r="S55" s="48" t="n">
        <x:f>A55</x:f>
        <x:v>-0.558</x:v>
      </x:c>
      <x:c r="T55" s="48" t="n">
        <x:f>(Inputs!$I$6+(((A55)+1)/2)*(Inputs!$J$6-Inputs!$I$6))</x:f>
        <x:v>-33.480000000000004</x:v>
      </x:c>
      <x:c r="U55" s="48" t="n">
        <x:f>(Inputs!$I$7+(((A55)+1)/2)*(Inputs!$J$7-Inputs!$I$7))</x:f>
        <x:v>-223.20000000000002</x:v>
      </x:c>
      <x:c r="V55" s="48" t="n">
        <x:f>(Inputs!$I$8+(((A55)+1)/2)*(Inputs!$J$8-Inputs!$I$8))</x:f>
        <x:v>-446.40000000000003</x:v>
      </x:c>
      <x:c r="W55" s="48" t="n">
        <x:f>(Inputs!$I$9+(((A55)+1)/2)*(Inputs!$J$9-Inputs!$I$9))</x:f>
        <x:v>-446.40000000000003</x:v>
      </x:c>
      <x:c r="X55" s="49"/>
      <x:c r="Y55" s="48" t="n">
        <x:f>A55</x:f>
        <x:v>-0.558</x:v>
      </x:c>
      <x:c r="Z55" s="48" t="n">
        <x:f>(Inputs!$H$6+Inputs!$L$6*(((Inputs!$I$6+(((A55)+1)/2)*(Inputs!$J$6-Inputs!$I$6)))/Inputs!$K$6)^2)</x:f>
        <x:v>401.245456</x:v>
      </x:c>
      <x:c r="AA55" s="48" t="n">
        <x:f>(Inputs!$H$7+Inputs!$L$7*(((Inputs!$I$7+(((A55)+1)/2)*(Inputs!$J$7-Inputs!$I$7)))/Inputs!$K$7)^2)</x:f>
        <x:v>148.64786000000004</x:v>
      </x:c>
      <x:c r="AB55" s="48" t="n">
        <x:f>(Inputs!$H$8+Inputs!$L$8*(((Inputs!$I$8+(((A55)+1)/2)*(Inputs!$J$8-Inputs!$I$8)))/Inputs!$K$8)^2)</x:f>
        <x:v>335.4662600000001</x:v>
      </x:c>
      <x:c r="AC55" s="48" t="n">
        <x:f>(Inputs!$H$9+Inputs!$L$9*(((Inputs!$I$9+(((A55)+1)/2)*(Inputs!$J$9-Inputs!$I$9)))/Inputs!$K$9)^2)</x:f>
        <x:v>328.57990000000007</x:v>
      </x:c>
      <x:c r="AD55" s="49"/>
      <x:c r="AE55" s="48" t="n">
        <x:f>A55</x:f>
        <x:v>-0.558</x:v>
      </x:c>
      <x:c r="AF55" s="48" t="n">
        <x:f>(((SQRT(((Inputs!$I$6+(((A55)+1)/2)*(Inputs!$J$6-Inputs!$I$6)))^2+Inputs!$C$6^2+((Inputs!$H$6+Inputs!$L$6*(((Inputs!$I$6+(((A55)+1)/2)*(Inputs!$J$6-Inputs!$I$6)))/Inputs!$K$6)^2))^2))-((Inputs!$H$6+Inputs!$L$6*(((Inputs!$I$6+(((A55)+1)/2)*(Inputs!$J$6-Inputs!$I$6)))/Inputs!$K$6)^2)))*1000/Inputs!$C$12)</x:f>
        <x:v>1218.9592318547825</x:v>
      </x:c>
      <x:c r="AG55" s="48" t="n">
        <x:f>(((SQRT(((Inputs!$I$7+(((A55)+1)/2)*(Inputs!$J$7-Inputs!$I$7)))^2+Inputs!$C$6^2+((Inputs!$H$7+Inputs!$L$7*(((Inputs!$I$7+(((A55)+1)/2)*(Inputs!$J$7-Inputs!$I$7)))/Inputs!$K$7)^2))^2))-((Inputs!$H$7+Inputs!$L$7*(((Inputs!$I$7+(((A55)+1)/2)*(Inputs!$J$7-Inputs!$I$7)))/Inputs!$K$7)^2)))*1000/Inputs!$C$12)</x:f>
        <x:v>67799.76582849666</x:v>
      </x:c>
      <x:c r="AH55" s="48" t="n">
        <x:f>(((SQRT(((Inputs!$I$8+(((A55)+1)/2)*(Inputs!$J$8-Inputs!$I$8)))^2+Inputs!$C$6^2+((Inputs!$H$8+Inputs!$L$8*(((Inputs!$I$8+(((A55)+1)/2)*(Inputs!$J$8-Inputs!$I$8)))/Inputs!$K$8)^2))^2))-((Inputs!$H$8+Inputs!$L$8*(((Inputs!$I$8+(((A55)+1)/2)*(Inputs!$J$8-Inputs!$I$8)))/Inputs!$K$8)^2)))*1000/Inputs!$C$12)</x:f>
        <x:v>125557.92409558372</x:v>
      </x:c>
      <x:c r="AI55" s="48" t="n">
        <x:f>(((SQRT(((Inputs!$I$9+(((A55)+1)/2)*(Inputs!$J$9-Inputs!$I$9)))^2+Inputs!$C$6^2+((Inputs!$H$9+Inputs!$L$9*(((Inputs!$I$9+(((A55)+1)/2)*(Inputs!$J$9-Inputs!$I$9)))/Inputs!$K$9)^2))^2))-((Inputs!$H$9+Inputs!$L$9*(((Inputs!$I$9+(((A55)+1)/2)*(Inputs!$J$9-Inputs!$I$9)))/Inputs!$K$9)^2)))*1000/Inputs!$C$12)</x:f>
        <x:v>127120.1540145812</x:v>
      </x:c>
      <x:c r="AJ55" s="49"/>
      <x:c r="AK55" s="48" t="n">
        <x:f>A55</x:f>
        <x:v>-0.558</x:v>
      </x:c>
      <x:c r="AL55" s="48" t="n">
        <x:f>(-2*((1000*((((Inputs!$I$6+(((A55)+1)/2)*(Inputs!$J$6-Inputs!$I$6)))*Inputs!$C$11+((Inputs!$H$6+Inputs!$L$6*(((Inputs!$I$6+(((A55)+1)/2)*(Inputs!$J$6-Inputs!$I$6)))/Inputs!$K$6)^2))*((2*Inputs!$L$6*((Inputs!$I$6+(((A55)+1)/2)*(Inputs!$J$6-Inputs!$I$6)))/(Inputs!$K$6^2)*Inputs!$C$11)))/(SQRT(((Inputs!$I$6+(((A55)+1)/2)*(Inputs!$J$6-Inputs!$I$6)))^2+Inputs!$C$6^2+((Inputs!$H$6+Inputs!$L$6*(((Inputs!$I$6+(((A55)+1)/2)*(Inputs!$J$6-Inputs!$I$6)))/Inputs!$K$6)^2))^2)))))/Inputs!$C$13)</x:f>
        <x:v>251.18601931705444</x:v>
      </x:c>
      <x:c r="AM55" s="48" t="n">
        <x:f>(-2*((1000*((((Inputs!$I$7+(((A55)+1)/2)*(Inputs!$J$7-Inputs!$I$7)))*Inputs!$C$11+((Inputs!$H$7+Inputs!$L$7*(((Inputs!$I$7+(((A55)+1)/2)*(Inputs!$J$7-Inputs!$I$7)))/Inputs!$K$7)^2))*((2*Inputs!$L$7*((Inputs!$I$7+(((A55)+1)/2)*(Inputs!$J$7-Inputs!$I$7)))/(Inputs!$K$7^2)*Inputs!$C$11)))/(SQRT(((Inputs!$I$7+(((A55)+1)/2)*(Inputs!$J$7-Inputs!$I$7)))^2+Inputs!$C$6^2+((Inputs!$H$7+Inputs!$L$7*(((Inputs!$I$7+(((A55)+1)/2)*(Inputs!$J$7-Inputs!$I$7)))/Inputs!$K$7)^2))^2)))))/Inputs!$C$13)</x:f>
        <x:v>2225.2168930042126</x:v>
      </x:c>
      <x:c r="AN55" s="48" t="n">
        <x:f>(-2*((1000*((((Inputs!$I$8+(((A55)+1)/2)*(Inputs!$J$8-Inputs!$I$8)))*Inputs!$C$11+((Inputs!$H$8+Inputs!$L$8*(((Inputs!$I$8+(((A55)+1)/2)*(Inputs!$J$8-Inputs!$I$8)))/Inputs!$K$8)^2))*((2*Inputs!$L$8*((Inputs!$I$8+(((A55)+1)/2)*(Inputs!$J$8-Inputs!$I$8)))/(Inputs!$K$8^2)*Inputs!$C$11)))/(SQRT(((Inputs!$I$8+(((A55)+1)/2)*(Inputs!$J$8-Inputs!$I$8)))^2+Inputs!$C$6^2+((Inputs!$H$8+Inputs!$L$8*(((Inputs!$I$8+(((A55)+1)/2)*(Inputs!$J$8-Inputs!$I$8)))/Inputs!$K$8)^2))^2)))))/Inputs!$C$13)</x:f>
        <x:v>2570.480357496462</x:v>
      </x:c>
      <x:c r="AO55" s="48" t="n">
        <x:f>(-2*((1000*((((Inputs!$I$9+(((A55)+1)/2)*(Inputs!$J$9-Inputs!$I$9)))*Inputs!$C$11+((Inputs!$H$9+Inputs!$L$9*(((Inputs!$I$9+(((A55)+1)/2)*(Inputs!$J$9-Inputs!$I$9)))/Inputs!$K$9)^2))*((2*Inputs!$L$9*((Inputs!$I$9+(((A55)+1)/2)*(Inputs!$J$9-Inputs!$I$9)))/(Inputs!$K$9^2)*Inputs!$C$11)))/(SQRT(((Inputs!$I$9+(((A55)+1)/2)*(Inputs!$J$9-Inputs!$I$9)))^2+Inputs!$C$6^2+((Inputs!$H$9+Inputs!$L$9*(((Inputs!$I$9+(((A55)+1)/2)*(Inputs!$J$9-Inputs!$I$9)))/Inputs!$K$9)^2))^2)))))/Inputs!$C$13)</x:f>
        <x:v>2575.9860434940883</x:v>
      </x:c>
    </x:row>
    <x:row r="56">
      <x:c r="A56" s="48" t="n">
        <x:f>ROUND(-1+54*2/240,3)</x:f>
        <x:v>-0.55</x:v>
      </x:c>
      <x:c r="B56" s="48" t="n">
        <x:f>IF(OR(Inputs!$F$6=TRUE,Inputs!$F$6="TRUE",Inputs!$F$6=1),(Inputs!$H$6+Inputs!$L$6*(((Inputs!$I$6+(((A56)+1)/2)*(Inputs!$J$6-Inputs!$I$6)))/Inputs!$K$6)^2),NA())</x:f>
        <x:v>401.21</x:v>
      </x:c>
      <x:c r="C56" s="48" t="n">
        <x:f>IF(OR(Inputs!$F$7=TRUE,Inputs!$F$7="TRUE",Inputs!$F$7=1),(Inputs!$H$7+Inputs!$L$7*(((Inputs!$I$7+(((A56)+1)/2)*(Inputs!$J$7-Inputs!$I$7)))/Inputs!$K$7)^2),NA())</x:f>
        <x:v>145.41250000000002</x:v>
      </x:c>
      <x:c r="D56" s="48" t="n">
        <x:f>IF(OR(Inputs!$F$8=TRUE,Inputs!$F$8="TRUE",Inputs!$F$8=1),(Inputs!$H$8+Inputs!$L$8*(((Inputs!$I$8+(((A56)+1)/2)*(Inputs!$J$8-Inputs!$I$8)))/Inputs!$K$8)^2),NA())</x:f>
        <x:v>326.9125</x:v>
      </x:c>
      <x:c r="E56" s="48" t="n">
        <x:f>IF(OR(Inputs!$F$9=TRUE,Inputs!$F$9="TRUE",Inputs!$F$9=1),(Inputs!$H$9+Inputs!$L$9*(((Inputs!$I$9+(((A56)+1)/2)*(Inputs!$J$9-Inputs!$I$9)))/Inputs!$K$9)^2),NA())</x:f>
        <x:v>319.93750000000006</x:v>
      </x:c>
      <x:c r="F56" s="49"/>
      <x:c r="G56" s="48" t="n">
        <x:f>A56</x:f>
        <x:v>-0.55</x:v>
      </x:c>
      <x:c r="H56" s="48" t="n">
        <x:f>IF(OR(Inputs!$F$6=TRUE,Inputs!$F$6="TRUE",Inputs!$F$6=1),(((SQRT(((Inputs!$I$6+(((A56)+1)/2)*(Inputs!$J$6-Inputs!$I$6)))^2+Inputs!$C$6^2+((Inputs!$H$6+Inputs!$L$6*(((Inputs!$I$6+(((A56)+1)/2)*(Inputs!$J$6-Inputs!$I$6)))/Inputs!$K$6)^2))^2))-((Inputs!$H$6+Inputs!$L$6*(((Inputs!$I$6+(((A56)+1)/2)*(Inputs!$J$6-Inputs!$I$6)))/Inputs!$K$6)^2)))*1000/Inputs!$C$12),NA())</x:f>
        <x:v>1196.8440626483268</x:v>
      </x:c>
      <x:c r="I56" s="48" t="n">
        <x:f>IF(OR(Inputs!$F$7=TRUE,Inputs!$F$7="TRUE",Inputs!$F$7=1),(((SQRT(((Inputs!$I$7+(((A56)+1)/2)*(Inputs!$J$7-Inputs!$I$7)))^2+Inputs!$C$6^2+((Inputs!$H$7+Inputs!$L$7*(((Inputs!$I$7+(((A56)+1)/2)*(Inputs!$J$7-Inputs!$I$7)))/Inputs!$K$7)^2))^2))-((Inputs!$H$7+Inputs!$L$7*(((Inputs!$I$7+(((A56)+1)/2)*(Inputs!$J$7-Inputs!$I$7)))/Inputs!$K$7)^2)))*1000/Inputs!$C$12),NA())</x:f>
        <x:v>67125.46035897893</x:v>
      </x:c>
      <x:c r="J56" s="48" t="n">
        <x:f>IF(OR(Inputs!$F$8=TRUE,Inputs!$F$8="TRUE",Inputs!$F$8=1),(((SQRT(((Inputs!$I$8+(((A56)+1)/2)*(Inputs!$J$8-Inputs!$I$8)))^2+Inputs!$C$6^2+((Inputs!$H$8+Inputs!$L$8*(((Inputs!$I$8+(((A56)+1)/2)*(Inputs!$J$8-Inputs!$I$8)))/Inputs!$K$8)^2))^2))-((Inputs!$H$8+Inputs!$L$8*(((Inputs!$I$8+(((A56)+1)/2)*(Inputs!$J$8-Inputs!$I$8)))/Inputs!$K$8)^2)))*1000/Inputs!$C$12),NA())</x:f>
        <x:v>124612.56464894471</x:v>
      </x:c>
      <x:c r="K56" s="48" t="n">
        <x:f>IF(OR(Inputs!$F$9=TRUE,Inputs!$F$9="TRUE",Inputs!$F$9=1),(((SQRT(((Inputs!$I$9+(((A56)+1)/2)*(Inputs!$J$9-Inputs!$I$9)))^2+Inputs!$C$6^2+((Inputs!$H$9+Inputs!$L$9*(((Inputs!$I$9+(((A56)+1)/2)*(Inputs!$J$9-Inputs!$I$9)))/Inputs!$K$9)^2))^2))-((Inputs!$H$9+Inputs!$L$9*(((Inputs!$I$9+(((A56)+1)/2)*(Inputs!$J$9-Inputs!$I$9)))/Inputs!$K$9)^2)))*1000/Inputs!$C$12),NA())</x:f>
        <x:v>126212.74396407328</x:v>
      </x:c>
      <x:c r="L56" s="49"/>
      <x:c r="M56" s="48" t="n">
        <x:f>A56</x:f>
        <x:v>-0.55</x:v>
      </x:c>
      <x:c r="N56" s="48" t="n">
        <x:f>IF(OR(Inputs!$F$6=TRUE,Inputs!$F$6="TRUE",Inputs!$F$6=1),(-2*((1000*((((Inputs!$I$6+(((A56)+1)/2)*(Inputs!$J$6-Inputs!$I$6)))*Inputs!$C$11+((Inputs!$H$6+Inputs!$L$6*(((Inputs!$I$6+(((A56)+1)/2)*(Inputs!$J$6-Inputs!$I$6)))/Inputs!$K$6)^2))*((2*Inputs!$L$6*((Inputs!$I$6+(((A56)+1)/2)*(Inputs!$J$6-Inputs!$I$6)))/(Inputs!$K$6^2)*Inputs!$C$11)))/(SQRT(((Inputs!$I$6+(((A56)+1)/2)*(Inputs!$J$6-Inputs!$I$6)))^2+Inputs!$C$6^2+((Inputs!$H$6+Inputs!$L$6*(((Inputs!$I$6+(((A56)+1)/2)*(Inputs!$J$6-Inputs!$I$6)))/Inputs!$K$6)^2))^2)))))/Inputs!$C$13),NA())</x:f>
        <x:v>247.62039958551682</x:v>
      </x:c>
      <x:c r="O56" s="48" t="n">
        <x:f>IF(OR(Inputs!$F$7=TRUE,Inputs!$F$7="TRUE",Inputs!$F$7=1),(-2*((1000*((((Inputs!$I$7+(((A56)+1)/2)*(Inputs!$J$7-Inputs!$I$7)))*Inputs!$C$11+((Inputs!$H$7+Inputs!$L$7*(((Inputs!$I$7+(((A56)+1)/2)*(Inputs!$J$7-Inputs!$I$7)))/Inputs!$K$7)^2))*((2*Inputs!$L$7*((Inputs!$I$7+(((A56)+1)/2)*(Inputs!$J$7-Inputs!$I$7)))/(Inputs!$K$7^2)*Inputs!$C$11)))/(SQRT(((Inputs!$I$7+(((A56)+1)/2)*(Inputs!$J$7-Inputs!$I$7)))^2+Inputs!$C$6^2+((Inputs!$H$7+Inputs!$L$7*(((Inputs!$I$7+(((A56)+1)/2)*(Inputs!$J$7-Inputs!$I$7)))/Inputs!$K$7)^2))^2)))))/Inputs!$C$13),NA())</x:f>
        <x:v>2210.425503279317</x:v>
      </x:c>
      <x:c r="P56" s="48" t="n">
        <x:f>IF(OR(Inputs!$F$8=TRUE,Inputs!$F$8="TRUE",Inputs!$F$8=1),(-2*((1000*((((Inputs!$I$8+(((A56)+1)/2)*(Inputs!$J$8-Inputs!$I$8)))*Inputs!$C$11+((Inputs!$H$8+Inputs!$L$8*(((Inputs!$I$8+(((A56)+1)/2)*(Inputs!$J$8-Inputs!$I$8)))/Inputs!$K$8)^2))*((2*Inputs!$L$8*((Inputs!$I$8+(((A56)+1)/2)*(Inputs!$J$8-Inputs!$I$8)))/(Inputs!$K$8^2)*Inputs!$C$11)))/(SQRT(((Inputs!$I$8+(((A56)+1)/2)*(Inputs!$J$8-Inputs!$I$8)))^2+Inputs!$C$6^2+((Inputs!$H$8+Inputs!$L$8*(((Inputs!$I$8+(((A56)+1)/2)*(Inputs!$J$8-Inputs!$I$8)))/Inputs!$K$8)^2))^2)))))/Inputs!$C$13),NA())</x:f>
        <x:v>2547.798399668666</x:v>
      </x:c>
      <x:c r="Q56" s="48" t="n">
        <x:f>IF(OR(Inputs!$F$9=TRUE,Inputs!$F$9="TRUE",Inputs!$F$9=1),(-2*((1000*((((Inputs!$I$9+(((A56)+1)/2)*(Inputs!$J$9-Inputs!$I$9)))*Inputs!$C$11+((Inputs!$H$9+Inputs!$L$9*(((Inputs!$I$9+(((A56)+1)/2)*(Inputs!$J$9-Inputs!$I$9)))/Inputs!$K$9)^2))*((2*Inputs!$L$9*((Inputs!$I$9+(((A56)+1)/2)*(Inputs!$J$9-Inputs!$I$9)))/(Inputs!$K$9^2)*Inputs!$C$11)))/(SQRT(((Inputs!$I$9+(((A56)+1)/2)*(Inputs!$J$9-Inputs!$I$9)))^2+Inputs!$C$6^2+((Inputs!$H$9+Inputs!$L$9*(((Inputs!$I$9+(((A56)+1)/2)*(Inputs!$J$9-Inputs!$I$9)))/Inputs!$K$9)^2))^2)))))/Inputs!$C$13),NA())</x:f>
        <x:v>2552.838190372529</x:v>
      </x:c>
      <x:c r="R56" s="49"/>
      <x:c r="S56" s="48" t="n">
        <x:f>A56</x:f>
        <x:v>-0.55</x:v>
      </x:c>
      <x:c r="T56" s="48" t="n">
        <x:f>(Inputs!$I$6+(((A56)+1)/2)*(Inputs!$J$6-Inputs!$I$6))</x:f>
        <x:v>-33</x:v>
      </x:c>
      <x:c r="U56" s="48" t="n">
        <x:f>(Inputs!$I$7+(((A56)+1)/2)*(Inputs!$J$7-Inputs!$I$7))</x:f>
        <x:v>-220.00000000000003</x:v>
      </x:c>
      <x:c r="V56" s="48" t="n">
        <x:f>(Inputs!$I$8+(((A56)+1)/2)*(Inputs!$J$8-Inputs!$I$8))</x:f>
        <x:v>-440.00000000000006</x:v>
      </x:c>
      <x:c r="W56" s="48" t="n">
        <x:f>(Inputs!$I$9+(((A56)+1)/2)*(Inputs!$J$9-Inputs!$I$9))</x:f>
        <x:v>-440.00000000000006</x:v>
      </x:c>
      <x:c r="X56" s="49"/>
      <x:c r="Y56" s="48" t="n">
        <x:f>A56</x:f>
        <x:v>-0.55</x:v>
      </x:c>
      <x:c r="Z56" s="48" t="n">
        <x:f>(Inputs!$H$6+Inputs!$L$6*(((Inputs!$I$6+(((A56)+1)/2)*(Inputs!$J$6-Inputs!$I$6)))/Inputs!$K$6)^2)</x:f>
        <x:v>401.21</x:v>
      </x:c>
      <x:c r="AA56" s="48" t="n">
        <x:f>(Inputs!$H$7+Inputs!$L$7*(((Inputs!$I$7+(((A56)+1)/2)*(Inputs!$J$7-Inputs!$I$7)))/Inputs!$K$7)^2)</x:f>
        <x:v>145.41250000000002</x:v>
      </x:c>
      <x:c r="AB56" s="48" t="n">
        <x:f>(Inputs!$H$8+Inputs!$L$8*(((Inputs!$I$8+(((A56)+1)/2)*(Inputs!$J$8-Inputs!$I$8)))/Inputs!$K$8)^2)</x:f>
        <x:v>326.9125</x:v>
      </x:c>
      <x:c r="AC56" s="48" t="n">
        <x:f>(Inputs!$H$9+Inputs!$L$9*(((Inputs!$I$9+(((A56)+1)/2)*(Inputs!$J$9-Inputs!$I$9)))/Inputs!$K$9)^2)</x:f>
        <x:v>319.93750000000006</x:v>
      </x:c>
      <x:c r="AD56" s="49"/>
      <x:c r="AE56" s="48" t="n">
        <x:f>A56</x:f>
        <x:v>-0.55</x:v>
      </x:c>
      <x:c r="AF56" s="48" t="n">
        <x:f>(((SQRT(((Inputs!$I$6+(((A56)+1)/2)*(Inputs!$J$6-Inputs!$I$6)))^2+Inputs!$C$6^2+((Inputs!$H$6+Inputs!$L$6*(((Inputs!$I$6+(((A56)+1)/2)*(Inputs!$J$6-Inputs!$I$6)))/Inputs!$K$6)^2))^2))-((Inputs!$H$6+Inputs!$L$6*(((Inputs!$I$6+(((A56)+1)/2)*(Inputs!$J$6-Inputs!$I$6)))/Inputs!$K$6)^2)))*1000/Inputs!$C$12)</x:f>
        <x:v>1196.8440626483268</x:v>
      </x:c>
      <x:c r="AG56" s="48" t="n">
        <x:f>(((SQRT(((Inputs!$I$7+(((A56)+1)/2)*(Inputs!$J$7-Inputs!$I$7)))^2+Inputs!$C$6^2+((Inputs!$H$7+Inputs!$L$7*(((Inputs!$I$7+(((A56)+1)/2)*(Inputs!$J$7-Inputs!$I$7)))/Inputs!$K$7)^2))^2))-((Inputs!$H$7+Inputs!$L$7*(((Inputs!$I$7+(((A56)+1)/2)*(Inputs!$J$7-Inputs!$I$7)))/Inputs!$K$7)^2)))*1000/Inputs!$C$12)</x:f>
        <x:v>67125.46035897893</x:v>
      </x:c>
      <x:c r="AH56" s="48" t="n">
        <x:f>(((SQRT(((Inputs!$I$8+(((A56)+1)/2)*(Inputs!$J$8-Inputs!$I$8)))^2+Inputs!$C$6^2+((Inputs!$H$8+Inputs!$L$8*(((Inputs!$I$8+(((A56)+1)/2)*(Inputs!$J$8-Inputs!$I$8)))/Inputs!$K$8)^2))^2))-((Inputs!$H$8+Inputs!$L$8*(((Inputs!$I$8+(((A56)+1)/2)*(Inputs!$J$8-Inputs!$I$8)))/Inputs!$K$8)^2)))*1000/Inputs!$C$12)</x:f>
        <x:v>124612.56464894471</x:v>
      </x:c>
      <x:c r="AI56" s="48" t="n">
        <x:f>(((SQRT(((Inputs!$I$9+(((A56)+1)/2)*(Inputs!$J$9-Inputs!$I$9)))^2+Inputs!$C$6^2+((Inputs!$H$9+Inputs!$L$9*(((Inputs!$I$9+(((A56)+1)/2)*(Inputs!$J$9-Inputs!$I$9)))/Inputs!$K$9)^2))^2))-((Inputs!$H$9+Inputs!$L$9*(((Inputs!$I$9+(((A56)+1)/2)*(Inputs!$J$9-Inputs!$I$9)))/Inputs!$K$9)^2)))*1000/Inputs!$C$12)</x:f>
        <x:v>126212.74396407328</x:v>
      </x:c>
      <x:c r="AJ56" s="49"/>
      <x:c r="AK56" s="48" t="n">
        <x:f>A56</x:f>
        <x:v>-0.55</x:v>
      </x:c>
      <x:c r="AL56" s="48" t="n">
        <x:f>(-2*((1000*((((Inputs!$I$6+(((A56)+1)/2)*(Inputs!$J$6-Inputs!$I$6)))*Inputs!$C$11+((Inputs!$H$6+Inputs!$L$6*(((Inputs!$I$6+(((A56)+1)/2)*(Inputs!$J$6-Inputs!$I$6)))/Inputs!$K$6)^2))*((2*Inputs!$L$6*((Inputs!$I$6+(((A56)+1)/2)*(Inputs!$J$6-Inputs!$I$6)))/(Inputs!$K$6^2)*Inputs!$C$11)))/(SQRT(((Inputs!$I$6+(((A56)+1)/2)*(Inputs!$J$6-Inputs!$I$6)))^2+Inputs!$C$6^2+((Inputs!$H$6+Inputs!$L$6*(((Inputs!$I$6+(((A56)+1)/2)*(Inputs!$J$6-Inputs!$I$6)))/Inputs!$K$6)^2))^2)))))/Inputs!$C$13)</x:f>
        <x:v>247.62039958551682</x:v>
      </x:c>
      <x:c r="AM56" s="48" t="n">
        <x:f>(-2*((1000*((((Inputs!$I$7+(((A56)+1)/2)*(Inputs!$J$7-Inputs!$I$7)))*Inputs!$C$11+((Inputs!$H$7+Inputs!$L$7*(((Inputs!$I$7+(((A56)+1)/2)*(Inputs!$J$7-Inputs!$I$7)))/Inputs!$K$7)^2))*((2*Inputs!$L$7*((Inputs!$I$7+(((A56)+1)/2)*(Inputs!$J$7-Inputs!$I$7)))/(Inputs!$K$7^2)*Inputs!$C$11)))/(SQRT(((Inputs!$I$7+(((A56)+1)/2)*(Inputs!$J$7-Inputs!$I$7)))^2+Inputs!$C$6^2+((Inputs!$H$7+Inputs!$L$7*(((Inputs!$I$7+(((A56)+1)/2)*(Inputs!$J$7-Inputs!$I$7)))/Inputs!$K$7)^2))^2)))))/Inputs!$C$13)</x:f>
        <x:v>2210.425503279317</x:v>
      </x:c>
      <x:c r="AN56" s="48" t="n">
        <x:f>(-2*((1000*((((Inputs!$I$8+(((A56)+1)/2)*(Inputs!$J$8-Inputs!$I$8)))*Inputs!$C$11+((Inputs!$H$8+Inputs!$L$8*(((Inputs!$I$8+(((A56)+1)/2)*(Inputs!$J$8-Inputs!$I$8)))/Inputs!$K$8)^2))*((2*Inputs!$L$8*((Inputs!$I$8+(((A56)+1)/2)*(Inputs!$J$8-Inputs!$I$8)))/(Inputs!$K$8^2)*Inputs!$C$11)))/(SQRT(((Inputs!$I$8+(((A56)+1)/2)*(Inputs!$J$8-Inputs!$I$8)))^2+Inputs!$C$6^2+((Inputs!$H$8+Inputs!$L$8*(((Inputs!$I$8+(((A56)+1)/2)*(Inputs!$J$8-Inputs!$I$8)))/Inputs!$K$8)^2))^2)))))/Inputs!$C$13)</x:f>
        <x:v>2547.798399668666</x:v>
      </x:c>
      <x:c r="AO56" s="48" t="n">
        <x:f>(-2*((1000*((((Inputs!$I$9+(((A56)+1)/2)*(Inputs!$J$9-Inputs!$I$9)))*Inputs!$C$11+((Inputs!$H$9+Inputs!$L$9*(((Inputs!$I$9+(((A56)+1)/2)*(Inputs!$J$9-Inputs!$I$9)))/Inputs!$K$9)^2))*((2*Inputs!$L$9*((Inputs!$I$9+(((A56)+1)/2)*(Inputs!$J$9-Inputs!$I$9)))/(Inputs!$K$9^2)*Inputs!$C$11)))/(SQRT(((Inputs!$I$9+(((A56)+1)/2)*(Inputs!$J$9-Inputs!$I$9)))^2+Inputs!$C$6^2+((Inputs!$H$9+Inputs!$L$9*(((Inputs!$I$9+(((A56)+1)/2)*(Inputs!$J$9-Inputs!$I$9)))/Inputs!$K$9)^2))^2)))))/Inputs!$C$13)</x:f>
        <x:v>2552.838190372529</x:v>
      </x:c>
    </x:row>
    <x:row r="57">
      <x:c r="A57" s="48" t="n">
        <x:f>ROUND(-1+55*2/240,3)</x:f>
        <x:v>-0.542</x:v>
      </x:c>
      <x:c r="B57" s="48" t="n">
        <x:f>IF(OR(Inputs!$F$6=TRUE,Inputs!$F$6="TRUE",Inputs!$F$6=1),(Inputs!$H$6+Inputs!$L$6*(((Inputs!$I$6+(((A57)+1)/2)*(Inputs!$J$6-Inputs!$I$6)))/Inputs!$K$6)^2),NA())</x:f>
        <x:v>401.175056</x:v>
      </x:c>
      <x:c r="C57" s="48" t="n">
        <x:f>IF(OR(Inputs!$F$7=TRUE,Inputs!$F$7="TRUE",Inputs!$F$7=1),(Inputs!$H$7+Inputs!$L$7*(((Inputs!$I$7+(((A57)+1)/2)*(Inputs!$J$7-Inputs!$I$7)))/Inputs!$K$7)^2),NA())</x:f>
        <x:v>142.22386</x:v>
      </x:c>
      <x:c r="D57" s="48" t="n">
        <x:f>IF(OR(Inputs!$F$8=TRUE,Inputs!$F$8="TRUE",Inputs!$F$8=1),(Inputs!$H$8+Inputs!$L$8*(((Inputs!$I$8+(((A57)+1)/2)*(Inputs!$J$8-Inputs!$I$8)))/Inputs!$K$8)^2),NA())</x:f>
        <x:v>318.48226</x:v>
      </x:c>
      <x:c r="E57" s="48" t="n">
        <x:f>IF(OR(Inputs!$F$9=TRUE,Inputs!$F$9="TRUE",Inputs!$F$9=1),(Inputs!$H$9+Inputs!$L$9*(((Inputs!$I$9+(((A57)+1)/2)*(Inputs!$J$9-Inputs!$I$9)))/Inputs!$K$9)^2),NA())</x:f>
        <x:v>311.41990000000004</x:v>
      </x:c>
      <x:c r="F57" s="49"/>
      <x:c r="G57" s="48" t="n">
        <x:f>A57</x:f>
        <x:v>-0.542</x:v>
      </x:c>
      <x:c r="H57" s="48" t="n">
        <x:f>IF(OR(Inputs!$F$6=TRUE,Inputs!$F$6="TRUE",Inputs!$F$6=1),(((SQRT(((Inputs!$I$6+(((A57)+1)/2)*(Inputs!$J$6-Inputs!$I$6)))^2+Inputs!$C$6^2+((Inputs!$H$6+Inputs!$L$6*(((Inputs!$I$6+(((A57)+1)/2)*(Inputs!$J$6-Inputs!$I$6)))/Inputs!$K$6)^2))^2))-((Inputs!$H$6+Inputs!$L$6*(((Inputs!$I$6+(((A57)+1)/2)*(Inputs!$J$6-Inputs!$I$6)))/Inputs!$K$6)^2)))*1000/Inputs!$C$12),NA())</x:f>
        <x:v>1175.0423288320967</x:v>
      </x:c>
      <x:c r="I57" s="48" t="n">
        <x:f>IF(OR(Inputs!$F$7=TRUE,Inputs!$F$7="TRUE",Inputs!$F$7=1),(((SQRT(((Inputs!$I$7+(((A57)+1)/2)*(Inputs!$J$7-Inputs!$I$7)))^2+Inputs!$C$6^2+((Inputs!$H$7+Inputs!$L$7*(((Inputs!$I$7+(((A57)+1)/2)*(Inputs!$J$7-Inputs!$I$7)))/Inputs!$K$7)^2))^2))-((Inputs!$H$7+Inputs!$L$7*(((Inputs!$I$7+(((A57)+1)/2)*(Inputs!$J$7-Inputs!$I$7)))/Inputs!$K$7)^2)))*1000/Inputs!$C$12),NA())</x:f>
        <x:v>66441.46432586253</x:v>
      </x:c>
      <x:c r="J57" s="48" t="n">
        <x:f>IF(OR(Inputs!$F$8=TRUE,Inputs!$F$8="TRUE",Inputs!$F$8=1),(((SQRT(((Inputs!$I$8+(((A57)+1)/2)*(Inputs!$J$8-Inputs!$I$8)))^2+Inputs!$C$6^2+((Inputs!$H$8+Inputs!$L$8*(((Inputs!$I$8+(((A57)+1)/2)*(Inputs!$J$8-Inputs!$I$8)))/Inputs!$K$8)^2))^2))-((Inputs!$H$8+Inputs!$L$8*(((Inputs!$I$8+(((A57)+1)/2)*(Inputs!$J$8-Inputs!$I$8)))/Inputs!$K$8)^2)))*1000/Inputs!$C$12),NA())</x:f>
        <x:v>123648.58691170765</x:v>
      </x:c>
      <x:c r="K57" s="48" t="n">
        <x:f>IF(OR(Inputs!$F$9=TRUE,Inputs!$F$9="TRUE",Inputs!$F$9=1),(((SQRT(((Inputs!$I$9+(((A57)+1)/2)*(Inputs!$J$9-Inputs!$I$9)))^2+Inputs!$C$6^2+((Inputs!$H$9+Inputs!$L$9*(((Inputs!$I$9+(((A57)+1)/2)*(Inputs!$J$9-Inputs!$I$9)))/Inputs!$K$9)^2))^2))-((Inputs!$H$9+Inputs!$L$9*(((Inputs!$I$9+(((A57)+1)/2)*(Inputs!$J$9-Inputs!$I$9)))/Inputs!$K$9)^2)))*1000/Inputs!$C$12),NA())</x:f>
        <x:v>125287.04040938598</x:v>
      </x:c>
      <x:c r="L57" s="49"/>
      <x:c r="M57" s="48" t="n">
        <x:f>A57</x:f>
        <x:v>-0.542</x:v>
      </x:c>
      <x:c r="N57" s="48" t="n">
        <x:f>IF(OR(Inputs!$F$6=TRUE,Inputs!$F$6="TRUE",Inputs!$F$6=1),(-2*((1000*((((Inputs!$I$6+(((A57)+1)/2)*(Inputs!$J$6-Inputs!$I$6)))*Inputs!$C$11+((Inputs!$H$6+Inputs!$L$6*(((Inputs!$I$6+(((A57)+1)/2)*(Inputs!$J$6-Inputs!$I$6)))/Inputs!$K$6)^2))*((2*Inputs!$L$6*((Inputs!$I$6+(((A57)+1)/2)*(Inputs!$J$6-Inputs!$I$6)))/(Inputs!$K$6^2)*Inputs!$C$11)))/(SQRT(((Inputs!$I$6+(((A57)+1)/2)*(Inputs!$J$6-Inputs!$I$6)))^2+Inputs!$C$6^2+((Inputs!$H$6+Inputs!$L$6*(((Inputs!$I$6+(((A57)+1)/2)*(Inputs!$J$6-Inputs!$I$6)))/Inputs!$K$6)^2))^2)))))/Inputs!$C$13),NA())</x:f>
        <x:v>244.05325614659301</x:v>
      </x:c>
      <x:c r="O57" s="48" t="n">
        <x:f>IF(OR(Inputs!$F$7=TRUE,Inputs!$F$7="TRUE",Inputs!$F$7=1),(-2*((1000*((((Inputs!$I$7+(((A57)+1)/2)*(Inputs!$J$7-Inputs!$I$7)))*Inputs!$C$11+((Inputs!$H$7+Inputs!$L$7*(((Inputs!$I$7+(((A57)+1)/2)*(Inputs!$J$7-Inputs!$I$7)))/Inputs!$K$7)^2))*((2*Inputs!$L$7*((Inputs!$I$7+(((A57)+1)/2)*(Inputs!$J$7-Inputs!$I$7)))/(Inputs!$K$7^2)*Inputs!$C$11)))/(SQRT(((Inputs!$I$7+(((A57)+1)/2)*(Inputs!$J$7-Inputs!$I$7)))^2+Inputs!$C$6^2+((Inputs!$H$7+Inputs!$L$7*(((Inputs!$I$7+(((A57)+1)/2)*(Inputs!$J$7-Inputs!$I$7)))/Inputs!$K$7)^2))^2)))))/Inputs!$C$13),NA())</x:f>
        <x:v>2195.7461018528443</x:v>
      </x:c>
      <x:c r="P57" s="48" t="n">
        <x:f>IF(OR(Inputs!$F$8=TRUE,Inputs!$F$8="TRUE",Inputs!$F$8=1),(-2*((1000*((((Inputs!$I$8+(((A57)+1)/2)*(Inputs!$J$8-Inputs!$I$8)))*Inputs!$C$11+((Inputs!$H$8+Inputs!$L$8*(((Inputs!$I$8+(((A57)+1)/2)*(Inputs!$J$8-Inputs!$I$8)))/Inputs!$K$8)^2))*((2*Inputs!$L$8*((Inputs!$I$8+(((A57)+1)/2)*(Inputs!$J$8-Inputs!$I$8)))/(Inputs!$K$8^2)*Inputs!$C$11)))/(SQRT(((Inputs!$I$8+(((A57)+1)/2)*(Inputs!$J$8-Inputs!$I$8)))^2+Inputs!$C$6^2+((Inputs!$H$8+Inputs!$L$8*(((Inputs!$I$8+(((A57)+1)/2)*(Inputs!$J$8-Inputs!$I$8)))/Inputs!$K$8)^2))^2)))))/Inputs!$C$13),NA())</x:f>
        <x:v>2525.2911849018224</x:v>
      </x:c>
      <x:c r="Q57" s="48" t="n">
        <x:f>IF(OR(Inputs!$F$9=TRUE,Inputs!$F$9="TRUE",Inputs!$F$9=1),(-2*((1000*((((Inputs!$I$9+(((A57)+1)/2)*(Inputs!$J$9-Inputs!$I$9)))*Inputs!$C$11+((Inputs!$H$9+Inputs!$L$9*(((Inputs!$I$9+(((A57)+1)/2)*(Inputs!$J$9-Inputs!$I$9)))/Inputs!$K$9)^2))*((2*Inputs!$L$9*((Inputs!$I$9+(((A57)+1)/2)*(Inputs!$J$9-Inputs!$I$9)))/(Inputs!$K$9^2)*Inputs!$C$11)))/(SQRT(((Inputs!$I$9+(((A57)+1)/2)*(Inputs!$J$9-Inputs!$I$9)))^2+Inputs!$C$6^2+((Inputs!$H$9+Inputs!$L$9*(((Inputs!$I$9+(((A57)+1)/2)*(Inputs!$J$9-Inputs!$I$9)))/Inputs!$K$9)^2))^2)))))/Inputs!$C$13),NA())</x:f>
        <x:v>2529.8678591214994</x:v>
      </x:c>
      <x:c r="R57" s="49"/>
      <x:c r="S57" s="48" t="n">
        <x:f>A57</x:f>
        <x:v>-0.542</x:v>
      </x:c>
      <x:c r="T57" s="48" t="n">
        <x:f>(Inputs!$I$6+(((A57)+1)/2)*(Inputs!$J$6-Inputs!$I$6))</x:f>
        <x:v>-32.52</x:v>
      </x:c>
      <x:c r="U57" s="48" t="n">
        <x:f>(Inputs!$I$7+(((A57)+1)/2)*(Inputs!$J$7-Inputs!$I$7))</x:f>
        <x:v>-216.8</x:v>
      </x:c>
      <x:c r="V57" s="48" t="n">
        <x:f>(Inputs!$I$8+(((A57)+1)/2)*(Inputs!$J$8-Inputs!$I$8))</x:f>
        <x:v>-433.6</x:v>
      </x:c>
      <x:c r="W57" s="48" t="n">
        <x:f>(Inputs!$I$9+(((A57)+1)/2)*(Inputs!$J$9-Inputs!$I$9))</x:f>
        <x:v>-433.6</x:v>
      </x:c>
      <x:c r="X57" s="49"/>
      <x:c r="Y57" s="48" t="n">
        <x:f>A57</x:f>
        <x:v>-0.542</x:v>
      </x:c>
      <x:c r="Z57" s="48" t="n">
        <x:f>(Inputs!$H$6+Inputs!$L$6*(((Inputs!$I$6+(((A57)+1)/2)*(Inputs!$J$6-Inputs!$I$6)))/Inputs!$K$6)^2)</x:f>
        <x:v>401.175056</x:v>
      </x:c>
      <x:c r="AA57" s="48" t="n">
        <x:f>(Inputs!$H$7+Inputs!$L$7*(((Inputs!$I$7+(((A57)+1)/2)*(Inputs!$J$7-Inputs!$I$7)))/Inputs!$K$7)^2)</x:f>
        <x:v>142.22386</x:v>
      </x:c>
      <x:c r="AB57" s="48" t="n">
        <x:f>(Inputs!$H$8+Inputs!$L$8*(((Inputs!$I$8+(((A57)+1)/2)*(Inputs!$J$8-Inputs!$I$8)))/Inputs!$K$8)^2)</x:f>
        <x:v>318.48226</x:v>
      </x:c>
      <x:c r="AC57" s="48" t="n">
        <x:f>(Inputs!$H$9+Inputs!$L$9*(((Inputs!$I$9+(((A57)+1)/2)*(Inputs!$J$9-Inputs!$I$9)))/Inputs!$K$9)^2)</x:f>
        <x:v>311.41990000000004</x:v>
      </x:c>
      <x:c r="AD57" s="49"/>
      <x:c r="AE57" s="48" t="n">
        <x:f>A57</x:f>
        <x:v>-0.542</x:v>
      </x:c>
      <x:c r="AF57" s="48" t="n">
        <x:f>(((SQRT(((Inputs!$I$6+(((A57)+1)/2)*(Inputs!$J$6-Inputs!$I$6)))^2+Inputs!$C$6^2+((Inputs!$H$6+Inputs!$L$6*(((Inputs!$I$6+(((A57)+1)/2)*(Inputs!$J$6-Inputs!$I$6)))/Inputs!$K$6)^2))^2))-((Inputs!$H$6+Inputs!$L$6*(((Inputs!$I$6+(((A57)+1)/2)*(Inputs!$J$6-Inputs!$I$6)))/Inputs!$K$6)^2)))*1000/Inputs!$C$12)</x:f>
        <x:v>1175.0423288320967</x:v>
      </x:c>
      <x:c r="AG57" s="48" t="n">
        <x:f>(((SQRT(((Inputs!$I$7+(((A57)+1)/2)*(Inputs!$J$7-Inputs!$I$7)))^2+Inputs!$C$6^2+((Inputs!$H$7+Inputs!$L$7*(((Inputs!$I$7+(((A57)+1)/2)*(Inputs!$J$7-Inputs!$I$7)))/Inputs!$K$7)^2))^2))-((Inputs!$H$7+Inputs!$L$7*(((Inputs!$I$7+(((A57)+1)/2)*(Inputs!$J$7-Inputs!$I$7)))/Inputs!$K$7)^2)))*1000/Inputs!$C$12)</x:f>
        <x:v>66441.46432586253</x:v>
      </x:c>
      <x:c r="AH57" s="48" t="n">
        <x:f>(((SQRT(((Inputs!$I$8+(((A57)+1)/2)*(Inputs!$J$8-Inputs!$I$8)))^2+Inputs!$C$6^2+((Inputs!$H$8+Inputs!$L$8*(((Inputs!$I$8+(((A57)+1)/2)*(Inputs!$J$8-Inputs!$I$8)))/Inputs!$K$8)^2))^2))-((Inputs!$H$8+Inputs!$L$8*(((Inputs!$I$8+(((A57)+1)/2)*(Inputs!$J$8-Inputs!$I$8)))/Inputs!$K$8)^2)))*1000/Inputs!$C$12)</x:f>
        <x:v>123648.58691170765</x:v>
      </x:c>
      <x:c r="AI57" s="48" t="n">
        <x:f>(((SQRT(((Inputs!$I$9+(((A57)+1)/2)*(Inputs!$J$9-Inputs!$I$9)))^2+Inputs!$C$6^2+((Inputs!$H$9+Inputs!$L$9*(((Inputs!$I$9+(((A57)+1)/2)*(Inputs!$J$9-Inputs!$I$9)))/Inputs!$K$9)^2))^2))-((Inputs!$H$9+Inputs!$L$9*(((Inputs!$I$9+(((A57)+1)/2)*(Inputs!$J$9-Inputs!$I$9)))/Inputs!$K$9)^2)))*1000/Inputs!$C$12)</x:f>
        <x:v>125287.04040938598</x:v>
      </x:c>
      <x:c r="AJ57" s="49"/>
      <x:c r="AK57" s="48" t="n">
        <x:f>A57</x:f>
        <x:v>-0.542</x:v>
      </x:c>
      <x:c r="AL57" s="48" t="n">
        <x:f>(-2*((1000*((((Inputs!$I$6+(((A57)+1)/2)*(Inputs!$J$6-Inputs!$I$6)))*Inputs!$C$11+((Inputs!$H$6+Inputs!$L$6*(((Inputs!$I$6+(((A57)+1)/2)*(Inputs!$J$6-Inputs!$I$6)))/Inputs!$K$6)^2))*((2*Inputs!$L$6*((Inputs!$I$6+(((A57)+1)/2)*(Inputs!$J$6-Inputs!$I$6)))/(Inputs!$K$6^2)*Inputs!$C$11)))/(SQRT(((Inputs!$I$6+(((A57)+1)/2)*(Inputs!$J$6-Inputs!$I$6)))^2+Inputs!$C$6^2+((Inputs!$H$6+Inputs!$L$6*(((Inputs!$I$6+(((A57)+1)/2)*(Inputs!$J$6-Inputs!$I$6)))/Inputs!$K$6)^2))^2)))))/Inputs!$C$13)</x:f>
        <x:v>244.05325614659301</x:v>
      </x:c>
      <x:c r="AM57" s="48" t="n">
        <x:f>(-2*((1000*((((Inputs!$I$7+(((A57)+1)/2)*(Inputs!$J$7-Inputs!$I$7)))*Inputs!$C$11+((Inputs!$H$7+Inputs!$L$7*(((Inputs!$I$7+(((A57)+1)/2)*(Inputs!$J$7-Inputs!$I$7)))/Inputs!$K$7)^2))*((2*Inputs!$L$7*((Inputs!$I$7+(((A57)+1)/2)*(Inputs!$J$7-Inputs!$I$7)))/(Inputs!$K$7^2)*Inputs!$C$11)))/(SQRT(((Inputs!$I$7+(((A57)+1)/2)*(Inputs!$J$7-Inputs!$I$7)))^2+Inputs!$C$6^2+((Inputs!$H$7+Inputs!$L$7*(((Inputs!$I$7+(((A57)+1)/2)*(Inputs!$J$7-Inputs!$I$7)))/Inputs!$K$7)^2))^2)))))/Inputs!$C$13)</x:f>
        <x:v>2195.7461018528443</x:v>
      </x:c>
      <x:c r="AN57" s="48" t="n">
        <x:f>(-2*((1000*((((Inputs!$I$8+(((A57)+1)/2)*(Inputs!$J$8-Inputs!$I$8)))*Inputs!$C$11+((Inputs!$H$8+Inputs!$L$8*(((Inputs!$I$8+(((A57)+1)/2)*(Inputs!$J$8-Inputs!$I$8)))/Inputs!$K$8)^2))*((2*Inputs!$L$8*((Inputs!$I$8+(((A57)+1)/2)*(Inputs!$J$8-Inputs!$I$8)))/(Inputs!$K$8^2)*Inputs!$C$11)))/(SQRT(((Inputs!$I$8+(((A57)+1)/2)*(Inputs!$J$8-Inputs!$I$8)))^2+Inputs!$C$6^2+((Inputs!$H$8+Inputs!$L$8*(((Inputs!$I$8+(((A57)+1)/2)*(Inputs!$J$8-Inputs!$I$8)))/Inputs!$K$8)^2))^2)))))/Inputs!$C$13)</x:f>
        <x:v>2525.2911849018224</x:v>
      </x:c>
      <x:c r="AO57" s="48" t="n">
        <x:f>(-2*((1000*((((Inputs!$I$9+(((A57)+1)/2)*(Inputs!$J$9-Inputs!$I$9)))*Inputs!$C$11+((Inputs!$H$9+Inputs!$L$9*(((Inputs!$I$9+(((A57)+1)/2)*(Inputs!$J$9-Inputs!$I$9)))/Inputs!$K$9)^2))*((2*Inputs!$L$9*((Inputs!$I$9+(((A57)+1)/2)*(Inputs!$J$9-Inputs!$I$9)))/(Inputs!$K$9^2)*Inputs!$C$11)))/(SQRT(((Inputs!$I$9+(((A57)+1)/2)*(Inputs!$J$9-Inputs!$I$9)))^2+Inputs!$C$6^2+((Inputs!$H$9+Inputs!$L$9*(((Inputs!$I$9+(((A57)+1)/2)*(Inputs!$J$9-Inputs!$I$9)))/Inputs!$K$9)^2))^2)))))/Inputs!$C$13)</x:f>
        <x:v>2529.8678591214994</x:v>
      </x:c>
    </x:row>
    <x:row r="58">
      <x:c r="A58" s="48" t="n">
        <x:f>ROUND(-1+56*2/240,3)</x:f>
        <x:v>-0.533</x:v>
      </x:c>
      <x:c r="B58" s="48" t="n">
        <x:f>IF(OR(Inputs!$F$6=TRUE,Inputs!$F$6="TRUE",Inputs!$F$6=1),(Inputs!$H$6+Inputs!$L$6*(((Inputs!$I$6+(((A58)+1)/2)*(Inputs!$J$6-Inputs!$I$6)))/Inputs!$K$6)^2),NA())</x:f>
        <x:v>401.136356</x:v>
      </x:c>
      <x:c r="C58" s="48" t="n">
        <x:f>IF(OR(Inputs!$F$7=TRUE,Inputs!$F$7="TRUE",Inputs!$F$7=1),(Inputs!$H$7+Inputs!$L$7*(((Inputs!$I$7+(((A58)+1)/2)*(Inputs!$J$7-Inputs!$I$7)))/Inputs!$K$7)^2),NA())</x:f>
        <x:v>138.69248500000003</x:v>
      </x:c>
      <x:c r="D58" s="48" t="n">
        <x:f>IF(OR(Inputs!$F$8=TRUE,Inputs!$F$8="TRUE",Inputs!$F$8=1),(Inputs!$H$8+Inputs!$L$8*(((Inputs!$I$8+(((A58)+1)/2)*(Inputs!$J$8-Inputs!$I$8)))/Inputs!$K$8)^2),NA())</x:f>
        <x:v>309.145885</x:v>
      </x:c>
      <x:c r="E58" s="48" t="n">
        <x:f>IF(OR(Inputs!$F$9=TRUE,Inputs!$F$9="TRUE",Inputs!$F$9=1),(Inputs!$H$9+Inputs!$L$9*(((Inputs!$I$9+(((A58)+1)/2)*(Inputs!$J$9-Inputs!$I$9)))/Inputs!$K$9)^2),NA())</x:f>
        <x:v>301.986775</x:v>
      </x:c>
      <x:c r="F58" s="49"/>
      <x:c r="G58" s="48" t="n">
        <x:f>A58</x:f>
        <x:v>-0.533</x:v>
      </x:c>
      <x:c r="H58" s="48" t="n">
        <x:f>IF(OR(Inputs!$F$6=TRUE,Inputs!$F$6="TRUE",Inputs!$F$6=1),(((SQRT(((Inputs!$I$6+(((A58)+1)/2)*(Inputs!$J$6-Inputs!$I$6)))^2+Inputs!$C$6^2+((Inputs!$H$6+Inputs!$L$6*(((Inputs!$I$6+(((A58)+1)/2)*(Inputs!$J$6-Inputs!$I$6)))/Inputs!$K$6)^2))^2))-((Inputs!$H$6+Inputs!$L$6*(((Inputs!$I$6+(((A58)+1)/2)*(Inputs!$J$6-Inputs!$I$6)))/Inputs!$K$6)^2)))*1000/Inputs!$C$12),NA())</x:f>
        <x:v>1150.8903489637885</x:v>
      </x:c>
      <x:c r="I58" s="48" t="n">
        <x:f>IF(OR(Inputs!$F$7=TRUE,Inputs!$F$7="TRUE",Inputs!$F$7=1),(((SQRT(((Inputs!$I$7+(((A58)+1)/2)*(Inputs!$J$7-Inputs!$I$7)))^2+Inputs!$C$6^2+((Inputs!$H$7+Inputs!$L$7*(((Inputs!$I$7+(((A58)+1)/2)*(Inputs!$J$7-Inputs!$I$7)))/Inputs!$K$7)^2))^2))-((Inputs!$H$7+Inputs!$L$7*(((Inputs!$I$7+(((A58)+1)/2)*(Inputs!$J$7-Inputs!$I$7)))/Inputs!$K$7)^2)))*1000/Inputs!$C$12),NA())</x:f>
        <x:v>65660.22887290294</x:v>
      </x:c>
      <x:c r="J58" s="48" t="n">
        <x:f>IF(OR(Inputs!$F$8=TRUE,Inputs!$F$8="TRUE",Inputs!$F$8=1),(((SQRT(((Inputs!$I$8+(((A58)+1)/2)*(Inputs!$J$8-Inputs!$I$8)))^2+Inputs!$C$6^2+((Inputs!$H$8+Inputs!$L$8*(((Inputs!$I$8+(((A58)+1)/2)*(Inputs!$J$8-Inputs!$I$8)))/Inputs!$K$8)^2))^2))-((Inputs!$H$8+Inputs!$L$8*(((Inputs!$I$8+(((A58)+1)/2)*(Inputs!$J$8-Inputs!$I$8)))/Inputs!$K$8)^2)))*1000/Inputs!$C$12),NA())</x:f>
        <x:v>122541.36344463685</x:v>
      </x:c>
      <x:c r="K58" s="48" t="n">
        <x:f>IF(OR(Inputs!$F$9=TRUE,Inputs!$F$9="TRUE",Inputs!$F$9=1),(((SQRT(((Inputs!$I$9+(((A58)+1)/2)*(Inputs!$J$9-Inputs!$I$9)))^2+Inputs!$C$6^2+((Inputs!$H$9+Inputs!$L$9*(((Inputs!$I$9+(((A58)+1)/2)*(Inputs!$J$9-Inputs!$I$9)))/Inputs!$K$9)^2))^2))-((Inputs!$H$9+Inputs!$L$9*(((Inputs!$I$9+(((A58)+1)/2)*(Inputs!$J$9-Inputs!$I$9)))/Inputs!$K$9)^2)))*1000/Inputs!$C$12),NA())</x:f>
        <x:v>124223.25540506945</x:v>
      </x:c>
      <x:c r="L58" s="49"/>
      <x:c r="M58" s="48" t="n">
        <x:f>A58</x:f>
        <x:v>-0.533</x:v>
      </x:c>
      <x:c r="N58" s="48" t="n">
        <x:f>IF(OR(Inputs!$F$6=TRUE,Inputs!$F$6="TRUE",Inputs!$F$6=1),(-2*((1000*((((Inputs!$I$6+(((A58)+1)/2)*(Inputs!$J$6-Inputs!$I$6)))*Inputs!$C$11+((Inputs!$H$6+Inputs!$L$6*(((Inputs!$I$6+(((A58)+1)/2)*(Inputs!$J$6-Inputs!$I$6)))/Inputs!$K$6)^2))*((2*Inputs!$L$6*((Inputs!$I$6+(((A58)+1)/2)*(Inputs!$J$6-Inputs!$I$6)))/(Inputs!$K$6^2)*Inputs!$C$11)))/(SQRT(((Inputs!$I$6+(((A58)+1)/2)*(Inputs!$J$6-Inputs!$I$6)))^2+Inputs!$C$6^2+((Inputs!$H$6+Inputs!$L$6*(((Inputs!$I$6+(((A58)+1)/2)*(Inputs!$J$6-Inputs!$I$6)))/Inputs!$K$6)^2))^2)))))/Inputs!$C$13),NA())</x:f>
        <x:v>240.03842435797438</x:v>
      </x:c>
      <x:c r="O58" s="48" t="n">
        <x:f>IF(OR(Inputs!$F$7=TRUE,Inputs!$F$7="TRUE",Inputs!$F$7=1),(-2*((1000*((((Inputs!$I$7+(((A58)+1)/2)*(Inputs!$J$7-Inputs!$I$7)))*Inputs!$C$11+((Inputs!$H$7+Inputs!$L$7*(((Inputs!$I$7+(((A58)+1)/2)*(Inputs!$J$7-Inputs!$I$7)))/Inputs!$K$7)^2))*((2*Inputs!$L$7*((Inputs!$I$7+(((A58)+1)/2)*(Inputs!$J$7-Inputs!$I$7)))/(Inputs!$K$7^2)*Inputs!$C$11)))/(SQRT(((Inputs!$I$7+(((A58)+1)/2)*(Inputs!$J$7-Inputs!$I$7)))^2+Inputs!$C$6^2+((Inputs!$H$7+Inputs!$L$7*(((Inputs!$I$7+(((A58)+1)/2)*(Inputs!$J$7-Inputs!$I$7)))/Inputs!$K$7)^2))^2)))))/Inputs!$C$13),NA())</x:f>
        <x:v>2179.365594835975</x:v>
      </x:c>
      <x:c r="P58" s="48" t="n">
        <x:f>IF(OR(Inputs!$F$8=TRUE,Inputs!$F$8="TRUE",Inputs!$F$8=1),(-2*((1000*((((Inputs!$I$8+(((A58)+1)/2)*(Inputs!$J$8-Inputs!$I$8)))*Inputs!$C$11+((Inputs!$H$8+Inputs!$L$8*(((Inputs!$I$8+(((A58)+1)/2)*(Inputs!$J$8-Inputs!$I$8)))/Inputs!$K$8)^2))*((2*Inputs!$L$8*((Inputs!$I$8+(((A58)+1)/2)*(Inputs!$J$8-Inputs!$I$8)))/(Inputs!$K$8^2)*Inputs!$C$11)))/(SQRT(((Inputs!$I$8+(((A58)+1)/2)*(Inputs!$J$8-Inputs!$I$8)))^2+Inputs!$C$6^2+((Inputs!$H$8+Inputs!$L$8*(((Inputs!$I$8+(((A58)+1)/2)*(Inputs!$J$8-Inputs!$I$8)))/Inputs!$K$8)^2))^2)))))/Inputs!$C$13),NA())</x:f>
        <x:v>2500.1835513916053</x:v>
      </x:c>
      <x:c r="Q58" s="48" t="n">
        <x:f>IF(OR(Inputs!$F$9=TRUE,Inputs!$F$9="TRUE",Inputs!$F$9=1),(-2*((1000*((((Inputs!$I$9+(((A58)+1)/2)*(Inputs!$J$9-Inputs!$I$9)))*Inputs!$C$11+((Inputs!$H$9+Inputs!$L$9*(((Inputs!$I$9+(((A58)+1)/2)*(Inputs!$J$9-Inputs!$I$9)))/Inputs!$K$9)^2))*((2*Inputs!$L$9*((Inputs!$I$9+(((A58)+1)/2)*(Inputs!$J$9-Inputs!$I$9)))/(Inputs!$K$9^2)*Inputs!$C$11)))/(SQRT(((Inputs!$I$9+(((A58)+1)/2)*(Inputs!$J$9-Inputs!$I$9)))^2+Inputs!$C$6^2+((Inputs!$H$9+Inputs!$L$9*(((Inputs!$I$9+(((A58)+1)/2)*(Inputs!$J$9-Inputs!$I$9)))/Inputs!$K$9)^2))^2)))))/Inputs!$C$13),NA())</x:f>
        <x:v>2504.2429123467873</x:v>
      </x:c>
      <x:c r="R58" s="49"/>
      <x:c r="S58" s="48" t="n">
        <x:f>A58</x:f>
        <x:v>-0.533</x:v>
      </x:c>
      <x:c r="T58" s="48" t="n">
        <x:f>(Inputs!$I$6+(((A58)+1)/2)*(Inputs!$J$6-Inputs!$I$6))</x:f>
        <x:v>-31.98</x:v>
      </x:c>
      <x:c r="U58" s="48" t="n">
        <x:f>(Inputs!$I$7+(((A58)+1)/2)*(Inputs!$J$7-Inputs!$I$7))</x:f>
        <x:v>-213.20000000000002</x:v>
      </x:c>
      <x:c r="V58" s="48" t="n">
        <x:f>(Inputs!$I$8+(((A58)+1)/2)*(Inputs!$J$8-Inputs!$I$8))</x:f>
        <x:v>-426.40000000000003</x:v>
      </x:c>
      <x:c r="W58" s="48" t="n">
        <x:f>(Inputs!$I$9+(((A58)+1)/2)*(Inputs!$J$9-Inputs!$I$9))</x:f>
        <x:v>-426.40000000000003</x:v>
      </x:c>
      <x:c r="X58" s="49"/>
      <x:c r="Y58" s="48" t="n">
        <x:f>A58</x:f>
        <x:v>-0.533</x:v>
      </x:c>
      <x:c r="Z58" s="48" t="n">
        <x:f>(Inputs!$H$6+Inputs!$L$6*(((Inputs!$I$6+(((A58)+1)/2)*(Inputs!$J$6-Inputs!$I$6)))/Inputs!$K$6)^2)</x:f>
        <x:v>401.136356</x:v>
      </x:c>
      <x:c r="AA58" s="48" t="n">
        <x:f>(Inputs!$H$7+Inputs!$L$7*(((Inputs!$I$7+(((A58)+1)/2)*(Inputs!$J$7-Inputs!$I$7)))/Inputs!$K$7)^2)</x:f>
        <x:v>138.69248500000003</x:v>
      </x:c>
      <x:c r="AB58" s="48" t="n">
        <x:f>(Inputs!$H$8+Inputs!$L$8*(((Inputs!$I$8+(((A58)+1)/2)*(Inputs!$J$8-Inputs!$I$8)))/Inputs!$K$8)^2)</x:f>
        <x:v>309.145885</x:v>
      </x:c>
      <x:c r="AC58" s="48" t="n">
        <x:f>(Inputs!$H$9+Inputs!$L$9*(((Inputs!$I$9+(((A58)+1)/2)*(Inputs!$J$9-Inputs!$I$9)))/Inputs!$K$9)^2)</x:f>
        <x:v>301.986775</x:v>
      </x:c>
      <x:c r="AD58" s="49"/>
      <x:c r="AE58" s="48" t="n">
        <x:f>A58</x:f>
        <x:v>-0.533</x:v>
      </x:c>
      <x:c r="AF58" s="48" t="n">
        <x:f>(((SQRT(((Inputs!$I$6+(((A58)+1)/2)*(Inputs!$J$6-Inputs!$I$6)))^2+Inputs!$C$6^2+((Inputs!$H$6+Inputs!$L$6*(((Inputs!$I$6+(((A58)+1)/2)*(Inputs!$J$6-Inputs!$I$6)))/Inputs!$K$6)^2))^2))-((Inputs!$H$6+Inputs!$L$6*(((Inputs!$I$6+(((A58)+1)/2)*(Inputs!$J$6-Inputs!$I$6)))/Inputs!$K$6)^2)))*1000/Inputs!$C$12)</x:f>
        <x:v>1150.8903489637885</x:v>
      </x:c>
      <x:c r="AG58" s="48" t="n">
        <x:f>(((SQRT(((Inputs!$I$7+(((A58)+1)/2)*(Inputs!$J$7-Inputs!$I$7)))^2+Inputs!$C$6^2+((Inputs!$H$7+Inputs!$L$7*(((Inputs!$I$7+(((A58)+1)/2)*(Inputs!$J$7-Inputs!$I$7)))/Inputs!$K$7)^2))^2))-((Inputs!$H$7+Inputs!$L$7*(((Inputs!$I$7+(((A58)+1)/2)*(Inputs!$J$7-Inputs!$I$7)))/Inputs!$K$7)^2)))*1000/Inputs!$C$12)</x:f>
        <x:v>65660.22887290294</x:v>
      </x:c>
      <x:c r="AH58" s="48" t="n">
        <x:f>(((SQRT(((Inputs!$I$8+(((A58)+1)/2)*(Inputs!$J$8-Inputs!$I$8)))^2+Inputs!$C$6^2+((Inputs!$H$8+Inputs!$L$8*(((Inputs!$I$8+(((A58)+1)/2)*(Inputs!$J$8-Inputs!$I$8)))/Inputs!$K$8)^2))^2))-((Inputs!$H$8+Inputs!$L$8*(((Inputs!$I$8+(((A58)+1)/2)*(Inputs!$J$8-Inputs!$I$8)))/Inputs!$K$8)^2)))*1000/Inputs!$C$12)</x:f>
        <x:v>122541.36344463685</x:v>
      </x:c>
      <x:c r="AI58" s="48" t="n">
        <x:f>(((SQRT(((Inputs!$I$9+(((A58)+1)/2)*(Inputs!$J$9-Inputs!$I$9)))^2+Inputs!$C$6^2+((Inputs!$H$9+Inputs!$L$9*(((Inputs!$I$9+(((A58)+1)/2)*(Inputs!$J$9-Inputs!$I$9)))/Inputs!$K$9)^2))^2))-((Inputs!$H$9+Inputs!$L$9*(((Inputs!$I$9+(((A58)+1)/2)*(Inputs!$J$9-Inputs!$I$9)))/Inputs!$K$9)^2)))*1000/Inputs!$C$12)</x:f>
        <x:v>124223.25540506945</x:v>
      </x:c>
      <x:c r="AJ58" s="49"/>
      <x:c r="AK58" s="48" t="n">
        <x:f>A58</x:f>
        <x:v>-0.533</x:v>
      </x:c>
      <x:c r="AL58" s="48" t="n">
        <x:f>(-2*((1000*((((Inputs!$I$6+(((A58)+1)/2)*(Inputs!$J$6-Inputs!$I$6)))*Inputs!$C$11+((Inputs!$H$6+Inputs!$L$6*(((Inputs!$I$6+(((A58)+1)/2)*(Inputs!$J$6-Inputs!$I$6)))/Inputs!$K$6)^2))*((2*Inputs!$L$6*((Inputs!$I$6+(((A58)+1)/2)*(Inputs!$J$6-Inputs!$I$6)))/(Inputs!$K$6^2)*Inputs!$C$11)))/(SQRT(((Inputs!$I$6+(((A58)+1)/2)*(Inputs!$J$6-Inputs!$I$6)))^2+Inputs!$C$6^2+((Inputs!$H$6+Inputs!$L$6*(((Inputs!$I$6+(((A58)+1)/2)*(Inputs!$J$6-Inputs!$I$6)))/Inputs!$K$6)^2))^2)))))/Inputs!$C$13)</x:f>
        <x:v>240.03842435797438</x:v>
      </x:c>
      <x:c r="AM58" s="48" t="n">
        <x:f>(-2*((1000*((((Inputs!$I$7+(((A58)+1)/2)*(Inputs!$J$7-Inputs!$I$7)))*Inputs!$C$11+((Inputs!$H$7+Inputs!$L$7*(((Inputs!$I$7+(((A58)+1)/2)*(Inputs!$J$7-Inputs!$I$7)))/Inputs!$K$7)^2))*((2*Inputs!$L$7*((Inputs!$I$7+(((A58)+1)/2)*(Inputs!$J$7-Inputs!$I$7)))/(Inputs!$K$7^2)*Inputs!$C$11)))/(SQRT(((Inputs!$I$7+(((A58)+1)/2)*(Inputs!$J$7-Inputs!$I$7)))^2+Inputs!$C$6^2+((Inputs!$H$7+Inputs!$L$7*(((Inputs!$I$7+(((A58)+1)/2)*(Inputs!$J$7-Inputs!$I$7)))/Inputs!$K$7)^2))^2)))))/Inputs!$C$13)</x:f>
        <x:v>2179.365594835975</x:v>
      </x:c>
      <x:c r="AN58" s="48" t="n">
        <x:f>(-2*((1000*((((Inputs!$I$8+(((A58)+1)/2)*(Inputs!$J$8-Inputs!$I$8)))*Inputs!$C$11+((Inputs!$H$8+Inputs!$L$8*(((Inputs!$I$8+(((A58)+1)/2)*(Inputs!$J$8-Inputs!$I$8)))/Inputs!$K$8)^2))*((2*Inputs!$L$8*((Inputs!$I$8+(((A58)+1)/2)*(Inputs!$J$8-Inputs!$I$8)))/(Inputs!$K$8^2)*Inputs!$C$11)))/(SQRT(((Inputs!$I$8+(((A58)+1)/2)*(Inputs!$J$8-Inputs!$I$8)))^2+Inputs!$C$6^2+((Inputs!$H$8+Inputs!$L$8*(((Inputs!$I$8+(((A58)+1)/2)*(Inputs!$J$8-Inputs!$I$8)))/Inputs!$K$8)^2))^2)))))/Inputs!$C$13)</x:f>
        <x:v>2500.1835513916053</x:v>
      </x:c>
      <x:c r="AO58" s="48" t="n">
        <x:f>(-2*((1000*((((Inputs!$I$9+(((A58)+1)/2)*(Inputs!$J$9-Inputs!$I$9)))*Inputs!$C$11+((Inputs!$H$9+Inputs!$L$9*(((Inputs!$I$9+(((A58)+1)/2)*(Inputs!$J$9-Inputs!$I$9)))/Inputs!$K$9)^2))*((2*Inputs!$L$9*((Inputs!$I$9+(((A58)+1)/2)*(Inputs!$J$9-Inputs!$I$9)))/(Inputs!$K$9^2)*Inputs!$C$11)))/(SQRT(((Inputs!$I$9+(((A58)+1)/2)*(Inputs!$J$9-Inputs!$I$9)))^2+Inputs!$C$6^2+((Inputs!$H$9+Inputs!$L$9*(((Inputs!$I$9+(((A58)+1)/2)*(Inputs!$J$9-Inputs!$I$9)))/Inputs!$K$9)^2))^2)))))/Inputs!$C$13)</x:f>
        <x:v>2504.2429123467873</x:v>
      </x:c>
    </x:row>
    <x:row r="59">
      <x:c r="A59" s="48" t="n">
        <x:f>ROUND(-1+57*2/240,3)</x:f>
        <x:v>-0.525</x:v>
      </x:c>
      <x:c r="B59" s="48" t="n">
        <x:f>IF(OR(Inputs!$F$6=TRUE,Inputs!$F$6="TRUE",Inputs!$F$6=1),(Inputs!$H$6+Inputs!$L$6*(((Inputs!$I$6+(((A59)+1)/2)*(Inputs!$J$6-Inputs!$I$6)))/Inputs!$K$6)^2),NA())</x:f>
        <x:v>401.1025</x:v>
      </x:c>
      <x:c r="C59" s="48" t="n">
        <x:f>IF(OR(Inputs!$F$7=TRUE,Inputs!$F$7="TRUE",Inputs!$F$7=1),(Inputs!$H$7+Inputs!$L$7*(((Inputs!$I$7+(((A59)+1)/2)*(Inputs!$J$7-Inputs!$I$7)))/Inputs!$K$7)^2),NA())</x:f>
        <x:v>135.603125</x:v>
      </x:c>
      <x:c r="D59" s="48" t="n">
        <x:f>IF(OR(Inputs!$F$8=TRUE,Inputs!$F$8="TRUE",Inputs!$F$8=1),(Inputs!$H$8+Inputs!$L$8*(((Inputs!$I$8+(((A59)+1)/2)*(Inputs!$J$8-Inputs!$I$8)))/Inputs!$K$8)^2),NA())</x:f>
        <x:v>300.97812500000003</x:v>
      </x:c>
      <x:c r="E59" s="48" t="n">
        <x:f>IF(OR(Inputs!$F$9=TRUE,Inputs!$F$9="TRUE",Inputs!$F$9=1),(Inputs!$H$9+Inputs!$L$9*(((Inputs!$I$9+(((A59)+1)/2)*(Inputs!$J$9-Inputs!$I$9)))/Inputs!$K$9)^2),NA())</x:f>
        <x:v>293.734375</x:v>
      </x:c>
      <x:c r="F59" s="49"/>
      <x:c r="G59" s="48" t="n">
        <x:f>A59</x:f>
        <x:v>-0.525</x:v>
      </x:c>
      <x:c r="H59" s="48" t="n">
        <x:f>IF(OR(Inputs!$F$6=TRUE,Inputs!$F$6="TRUE",Inputs!$F$6=1),(((SQRT(((Inputs!$I$6+(((A59)+1)/2)*(Inputs!$J$6-Inputs!$I$6)))^2+Inputs!$C$6^2+((Inputs!$H$6+Inputs!$L$6*(((Inputs!$I$6+(((A59)+1)/2)*(Inputs!$J$6-Inputs!$I$6)))/Inputs!$K$6)^2))^2))-((Inputs!$H$6+Inputs!$L$6*(((Inputs!$I$6+(((A59)+1)/2)*(Inputs!$J$6-Inputs!$I$6)))/Inputs!$K$6)^2)))*1000/Inputs!$C$12),NA())</x:f>
        <x:v>1129.7555078402418</x:v>
      </x:c>
      <x:c r="I59" s="48" t="n">
        <x:f>IF(OR(Inputs!$F$7=TRUE,Inputs!$F$7="TRUE",Inputs!$F$7=1),(((SQRT(((Inputs!$I$7+(((A59)+1)/2)*(Inputs!$J$7-Inputs!$I$7)))^2+Inputs!$C$6^2+((Inputs!$H$7+Inputs!$L$7*(((Inputs!$I$7+(((A59)+1)/2)*(Inputs!$J$7-Inputs!$I$7)))/Inputs!$K$7)^2))^2))-((Inputs!$H$7+Inputs!$L$7*(((Inputs!$I$7+(((A59)+1)/2)*(Inputs!$J$7-Inputs!$I$7)))/Inputs!$K$7)^2)))*1000/Inputs!$C$12),NA())</x:f>
        <x:v>64955.222752360576</x:v>
      </x:c>
      <x:c r="J59" s="48" t="n">
        <x:f>IF(OR(Inputs!$F$8=TRUE,Inputs!$F$8="TRUE",Inputs!$F$8=1),(((SQRT(((Inputs!$I$8+(((A59)+1)/2)*(Inputs!$J$8-Inputs!$I$8)))^2+Inputs!$C$6^2+((Inputs!$H$8+Inputs!$L$8*(((Inputs!$I$8+(((A59)+1)/2)*(Inputs!$J$8-Inputs!$I$8)))/Inputs!$K$8)^2))^2))-((Inputs!$H$8+Inputs!$L$8*(((Inputs!$I$8+(((A59)+1)/2)*(Inputs!$J$8-Inputs!$I$8)))/Inputs!$K$8)^2)))*1000/Inputs!$C$12),NA())</x:f>
        <x:v>121536.49645425682</x:v>
      </x:c>
      <x:c r="K59" s="48" t="n">
        <x:f>IF(OR(Inputs!$F$9=TRUE,Inputs!$F$9="TRUE",Inputs!$F$9=1),(((SQRT(((Inputs!$I$9+(((A59)+1)/2)*(Inputs!$J$9-Inputs!$I$9)))^2+Inputs!$C$6^2+((Inputs!$H$9+Inputs!$L$9*(((Inputs!$I$9+(((A59)+1)/2)*(Inputs!$J$9-Inputs!$I$9)))/Inputs!$K$9)^2))^2))-((Inputs!$H$9+Inputs!$L$9*(((Inputs!$I$9+(((A59)+1)/2)*(Inputs!$J$9-Inputs!$I$9)))/Inputs!$K$9)^2)))*1000/Inputs!$C$12),NA())</x:f>
        <x:v>123257.33007584426</x:v>
      </x:c>
      <x:c r="L59" s="49"/>
      <x:c r="M59" s="48" t="n">
        <x:f>A59</x:f>
        <x:v>-0.525</x:v>
      </x:c>
      <x:c r="N59" s="48" t="n">
        <x:f>IF(OR(Inputs!$F$6=TRUE,Inputs!$F$6="TRUE",Inputs!$F$6=1),(-2*((1000*((((Inputs!$I$6+(((A59)+1)/2)*(Inputs!$J$6-Inputs!$I$6)))*Inputs!$C$11+((Inputs!$H$6+Inputs!$L$6*(((Inputs!$I$6+(((A59)+1)/2)*(Inputs!$J$6-Inputs!$I$6)))/Inputs!$K$6)^2))*((2*Inputs!$L$6*((Inputs!$I$6+(((A59)+1)/2)*(Inputs!$J$6-Inputs!$I$6)))/(Inputs!$K$6^2)*Inputs!$C$11)))/(SQRT(((Inputs!$I$6+(((A59)+1)/2)*(Inputs!$J$6-Inputs!$I$6)))^2+Inputs!$C$6^2+((Inputs!$H$6+Inputs!$L$6*(((Inputs!$I$6+(((A59)+1)/2)*(Inputs!$J$6-Inputs!$I$6)))/Inputs!$K$6)^2))^2)))))/Inputs!$C$13),NA())</x:f>
        <x:v>236.46811213899355</x:v>
      </x:c>
      <x:c r="O59" s="48" t="n">
        <x:f>IF(OR(Inputs!$F$7=TRUE,Inputs!$F$7="TRUE",Inputs!$F$7=1),(-2*((1000*((((Inputs!$I$7+(((A59)+1)/2)*(Inputs!$J$7-Inputs!$I$7)))*Inputs!$C$11+((Inputs!$H$7+Inputs!$L$7*(((Inputs!$I$7+(((A59)+1)/2)*(Inputs!$J$7-Inputs!$I$7)))/Inputs!$K$7)^2))*((2*Inputs!$L$7*((Inputs!$I$7+(((A59)+1)/2)*(Inputs!$J$7-Inputs!$I$7)))/(Inputs!$K$7^2)*Inputs!$C$11)))/(SQRT(((Inputs!$I$7+(((A59)+1)/2)*(Inputs!$J$7-Inputs!$I$7)))^2+Inputs!$C$6^2+((Inputs!$H$7+Inputs!$L$7*(((Inputs!$I$7+(((A59)+1)/2)*(Inputs!$J$7-Inputs!$I$7)))/Inputs!$K$7)^2))^2)))))/Inputs!$C$13),NA())</x:f>
        <x:v>2164.9239047033993</x:v>
      </x:c>
      <x:c r="P59" s="48" t="n">
        <x:f>IF(OR(Inputs!$F$8=TRUE,Inputs!$F$8="TRUE",Inputs!$F$8=1),(-2*((1000*((((Inputs!$I$8+(((A59)+1)/2)*(Inputs!$J$8-Inputs!$I$8)))*Inputs!$C$11+((Inputs!$H$8+Inputs!$L$8*(((Inputs!$I$8+(((A59)+1)/2)*(Inputs!$J$8-Inputs!$I$8)))/Inputs!$K$8)^2))*((2*Inputs!$L$8*((Inputs!$I$8+(((A59)+1)/2)*(Inputs!$J$8-Inputs!$I$8)))/(Inputs!$K$8^2)*Inputs!$C$11)))/(SQRT(((Inputs!$I$8+(((A59)+1)/2)*(Inputs!$J$8-Inputs!$I$8)))^2+Inputs!$C$6^2+((Inputs!$H$8+Inputs!$L$8*(((Inputs!$I$8+(((A59)+1)/2)*(Inputs!$J$8-Inputs!$I$8)))/Inputs!$K$8)^2))^2)))))/Inputs!$C$13),NA())</x:f>
        <x:v>2478.058642518175</x:v>
      </x:c>
      <x:c r="Q59" s="48" t="n">
        <x:f>IF(OR(Inputs!$F$9=TRUE,Inputs!$F$9="TRUE",Inputs!$F$9=1),(-2*((1000*((((Inputs!$I$9+(((A59)+1)/2)*(Inputs!$J$9-Inputs!$I$9)))*Inputs!$C$11+((Inputs!$H$9+Inputs!$L$9*(((Inputs!$I$9+(((A59)+1)/2)*(Inputs!$J$9-Inputs!$I$9)))/Inputs!$K$9)^2))*((2*Inputs!$L$9*((Inputs!$I$9+(((A59)+1)/2)*(Inputs!$J$9-Inputs!$I$9)))/(Inputs!$K$9^2)*Inputs!$C$11)))/(SQRT(((Inputs!$I$9+(((A59)+1)/2)*(Inputs!$J$9-Inputs!$I$9)))^2+Inputs!$C$6^2+((Inputs!$H$9+Inputs!$L$9*(((Inputs!$I$9+(((A59)+1)/2)*(Inputs!$J$9-Inputs!$I$9)))/Inputs!$K$9)^2))^2)))))/Inputs!$C$13),NA())</x:f>
        <x:v>2481.661802856815</x:v>
      </x:c>
      <x:c r="R59" s="49"/>
      <x:c r="S59" s="48" t="n">
        <x:f>A59</x:f>
        <x:v>-0.525</x:v>
      </x:c>
      <x:c r="T59" s="48" t="n">
        <x:f>(Inputs!$I$6+(((A59)+1)/2)*(Inputs!$J$6-Inputs!$I$6))</x:f>
        <x:v>-31.5</x:v>
      </x:c>
      <x:c r="U59" s="48" t="n">
        <x:f>(Inputs!$I$7+(((A59)+1)/2)*(Inputs!$J$7-Inputs!$I$7))</x:f>
        <x:v>-210</x:v>
      </x:c>
      <x:c r="V59" s="48" t="n">
        <x:f>(Inputs!$I$8+(((A59)+1)/2)*(Inputs!$J$8-Inputs!$I$8))</x:f>
        <x:v>-420</x:v>
      </x:c>
      <x:c r="W59" s="48" t="n">
        <x:f>(Inputs!$I$9+(((A59)+1)/2)*(Inputs!$J$9-Inputs!$I$9))</x:f>
        <x:v>-420</x:v>
      </x:c>
      <x:c r="X59" s="49"/>
      <x:c r="Y59" s="48" t="n">
        <x:f>A59</x:f>
        <x:v>-0.525</x:v>
      </x:c>
      <x:c r="Z59" s="48" t="n">
        <x:f>(Inputs!$H$6+Inputs!$L$6*(((Inputs!$I$6+(((A59)+1)/2)*(Inputs!$J$6-Inputs!$I$6)))/Inputs!$K$6)^2)</x:f>
        <x:v>401.1025</x:v>
      </x:c>
      <x:c r="AA59" s="48" t="n">
        <x:f>(Inputs!$H$7+Inputs!$L$7*(((Inputs!$I$7+(((A59)+1)/2)*(Inputs!$J$7-Inputs!$I$7)))/Inputs!$K$7)^2)</x:f>
        <x:v>135.603125</x:v>
      </x:c>
      <x:c r="AB59" s="48" t="n">
        <x:f>(Inputs!$H$8+Inputs!$L$8*(((Inputs!$I$8+(((A59)+1)/2)*(Inputs!$J$8-Inputs!$I$8)))/Inputs!$K$8)^2)</x:f>
        <x:v>300.97812500000003</x:v>
      </x:c>
      <x:c r="AC59" s="48" t="n">
        <x:f>(Inputs!$H$9+Inputs!$L$9*(((Inputs!$I$9+(((A59)+1)/2)*(Inputs!$J$9-Inputs!$I$9)))/Inputs!$K$9)^2)</x:f>
        <x:v>293.734375</x:v>
      </x:c>
      <x:c r="AD59" s="49"/>
      <x:c r="AE59" s="48" t="n">
        <x:f>A59</x:f>
        <x:v>-0.525</x:v>
      </x:c>
      <x:c r="AF59" s="48" t="n">
        <x:f>(((SQRT(((Inputs!$I$6+(((A59)+1)/2)*(Inputs!$J$6-Inputs!$I$6)))^2+Inputs!$C$6^2+((Inputs!$H$6+Inputs!$L$6*(((Inputs!$I$6+(((A59)+1)/2)*(Inputs!$J$6-Inputs!$I$6)))/Inputs!$K$6)^2))^2))-((Inputs!$H$6+Inputs!$L$6*(((Inputs!$I$6+(((A59)+1)/2)*(Inputs!$J$6-Inputs!$I$6)))/Inputs!$K$6)^2)))*1000/Inputs!$C$12)</x:f>
        <x:v>1129.7555078402418</x:v>
      </x:c>
      <x:c r="AG59" s="48" t="n">
        <x:f>(((SQRT(((Inputs!$I$7+(((A59)+1)/2)*(Inputs!$J$7-Inputs!$I$7)))^2+Inputs!$C$6^2+((Inputs!$H$7+Inputs!$L$7*(((Inputs!$I$7+(((A59)+1)/2)*(Inputs!$J$7-Inputs!$I$7)))/Inputs!$K$7)^2))^2))-((Inputs!$H$7+Inputs!$L$7*(((Inputs!$I$7+(((A59)+1)/2)*(Inputs!$J$7-Inputs!$I$7)))/Inputs!$K$7)^2)))*1000/Inputs!$C$12)</x:f>
        <x:v>64955.222752360576</x:v>
      </x:c>
      <x:c r="AH59" s="48" t="n">
        <x:f>(((SQRT(((Inputs!$I$8+(((A59)+1)/2)*(Inputs!$J$8-Inputs!$I$8)))^2+Inputs!$C$6^2+((Inputs!$H$8+Inputs!$L$8*(((Inputs!$I$8+(((A59)+1)/2)*(Inputs!$J$8-Inputs!$I$8)))/Inputs!$K$8)^2))^2))-((Inputs!$H$8+Inputs!$L$8*(((Inputs!$I$8+(((A59)+1)/2)*(Inputs!$J$8-Inputs!$I$8)))/Inputs!$K$8)^2)))*1000/Inputs!$C$12)</x:f>
        <x:v>121536.49645425682</x:v>
      </x:c>
      <x:c r="AI59" s="48" t="n">
        <x:f>(((SQRT(((Inputs!$I$9+(((A59)+1)/2)*(Inputs!$J$9-Inputs!$I$9)))^2+Inputs!$C$6^2+((Inputs!$H$9+Inputs!$L$9*(((Inputs!$I$9+(((A59)+1)/2)*(Inputs!$J$9-Inputs!$I$9)))/Inputs!$K$9)^2))^2))-((Inputs!$H$9+Inputs!$L$9*(((Inputs!$I$9+(((A59)+1)/2)*(Inputs!$J$9-Inputs!$I$9)))/Inputs!$K$9)^2)))*1000/Inputs!$C$12)</x:f>
        <x:v>123257.33007584426</x:v>
      </x:c>
      <x:c r="AJ59" s="49"/>
      <x:c r="AK59" s="48" t="n">
        <x:f>A59</x:f>
        <x:v>-0.525</x:v>
      </x:c>
      <x:c r="AL59" s="48" t="n">
        <x:f>(-2*((1000*((((Inputs!$I$6+(((A59)+1)/2)*(Inputs!$J$6-Inputs!$I$6)))*Inputs!$C$11+((Inputs!$H$6+Inputs!$L$6*(((Inputs!$I$6+(((A59)+1)/2)*(Inputs!$J$6-Inputs!$I$6)))/Inputs!$K$6)^2))*((2*Inputs!$L$6*((Inputs!$I$6+(((A59)+1)/2)*(Inputs!$J$6-Inputs!$I$6)))/(Inputs!$K$6^2)*Inputs!$C$11)))/(SQRT(((Inputs!$I$6+(((A59)+1)/2)*(Inputs!$J$6-Inputs!$I$6)))^2+Inputs!$C$6^2+((Inputs!$H$6+Inputs!$L$6*(((Inputs!$I$6+(((A59)+1)/2)*(Inputs!$J$6-Inputs!$I$6)))/Inputs!$K$6)^2))^2)))))/Inputs!$C$13)</x:f>
        <x:v>236.46811213899355</x:v>
      </x:c>
      <x:c r="AM59" s="48" t="n">
        <x:f>(-2*((1000*((((Inputs!$I$7+(((A59)+1)/2)*(Inputs!$J$7-Inputs!$I$7)))*Inputs!$C$11+((Inputs!$H$7+Inputs!$L$7*(((Inputs!$I$7+(((A59)+1)/2)*(Inputs!$J$7-Inputs!$I$7)))/Inputs!$K$7)^2))*((2*Inputs!$L$7*((Inputs!$I$7+(((A59)+1)/2)*(Inputs!$J$7-Inputs!$I$7)))/(Inputs!$K$7^2)*Inputs!$C$11)))/(SQRT(((Inputs!$I$7+(((A59)+1)/2)*(Inputs!$J$7-Inputs!$I$7)))^2+Inputs!$C$6^2+((Inputs!$H$7+Inputs!$L$7*(((Inputs!$I$7+(((A59)+1)/2)*(Inputs!$J$7-Inputs!$I$7)))/Inputs!$K$7)^2))^2)))))/Inputs!$C$13)</x:f>
        <x:v>2164.9239047033993</x:v>
      </x:c>
      <x:c r="AN59" s="48" t="n">
        <x:f>(-2*((1000*((((Inputs!$I$8+(((A59)+1)/2)*(Inputs!$J$8-Inputs!$I$8)))*Inputs!$C$11+((Inputs!$H$8+Inputs!$L$8*(((Inputs!$I$8+(((A59)+1)/2)*(Inputs!$J$8-Inputs!$I$8)))/Inputs!$K$8)^2))*((2*Inputs!$L$8*((Inputs!$I$8+(((A59)+1)/2)*(Inputs!$J$8-Inputs!$I$8)))/(Inputs!$K$8^2)*Inputs!$C$11)))/(SQRT(((Inputs!$I$8+(((A59)+1)/2)*(Inputs!$J$8-Inputs!$I$8)))^2+Inputs!$C$6^2+((Inputs!$H$8+Inputs!$L$8*(((Inputs!$I$8+(((A59)+1)/2)*(Inputs!$J$8-Inputs!$I$8)))/Inputs!$K$8)^2))^2)))))/Inputs!$C$13)</x:f>
        <x:v>2478.058642518175</x:v>
      </x:c>
      <x:c r="AO59" s="48" t="n">
        <x:f>(-2*((1000*((((Inputs!$I$9+(((A59)+1)/2)*(Inputs!$J$9-Inputs!$I$9)))*Inputs!$C$11+((Inputs!$H$9+Inputs!$L$9*(((Inputs!$I$9+(((A59)+1)/2)*(Inputs!$J$9-Inputs!$I$9)))/Inputs!$K$9)^2))*((2*Inputs!$L$9*((Inputs!$I$9+(((A59)+1)/2)*(Inputs!$J$9-Inputs!$I$9)))/(Inputs!$K$9^2)*Inputs!$C$11)))/(SQRT(((Inputs!$I$9+(((A59)+1)/2)*(Inputs!$J$9-Inputs!$I$9)))^2+Inputs!$C$6^2+((Inputs!$H$9+Inputs!$L$9*(((Inputs!$I$9+(((A59)+1)/2)*(Inputs!$J$9-Inputs!$I$9)))/Inputs!$K$9)^2))^2)))))/Inputs!$C$13)</x:f>
        <x:v>2481.661802856815</x:v>
      </x:c>
    </x:row>
    <x:row r="60">
      <x:c r="A60" s="48" t="n">
        <x:f>ROUND(-1+58*2/240,3)</x:f>
        <x:v>-0.517</x:v>
      </x:c>
      <x:c r="B60" s="48" t="n">
        <x:f>IF(OR(Inputs!$F$6=TRUE,Inputs!$F$6="TRUE",Inputs!$F$6=1),(Inputs!$H$6+Inputs!$L$6*(((Inputs!$I$6+(((A60)+1)/2)*(Inputs!$J$6-Inputs!$I$6)))/Inputs!$K$6)^2),NA())</x:f>
        <x:v>401.069156</x:v>
      </x:c>
      <x:c r="C60" s="48" t="n">
        <x:f>IF(OR(Inputs!$F$7=TRUE,Inputs!$F$7="TRUE",Inputs!$F$7=1),(Inputs!$H$7+Inputs!$L$7*(((Inputs!$I$7+(((A60)+1)/2)*(Inputs!$J$7-Inputs!$I$7)))/Inputs!$K$7)^2),NA())</x:f>
        <x:v>132.560485</x:v>
      </x:c>
      <x:c r="D60" s="48" t="n">
        <x:f>IF(OR(Inputs!$F$8=TRUE,Inputs!$F$8="TRUE",Inputs!$F$8=1),(Inputs!$H$8+Inputs!$L$8*(((Inputs!$I$8+(((A60)+1)/2)*(Inputs!$J$8-Inputs!$I$8)))/Inputs!$K$8)^2),NA())</x:f>
        <x:v>292.933885</x:v>
      </x:c>
      <x:c r="E60" s="48" t="n">
        <x:f>IF(OR(Inputs!$F$9=TRUE,Inputs!$F$9="TRUE",Inputs!$F$9=1),(Inputs!$H$9+Inputs!$L$9*(((Inputs!$I$9+(((A60)+1)/2)*(Inputs!$J$9-Inputs!$I$9)))/Inputs!$K$9)^2),NA())</x:f>
        <x:v>285.60677499999997</x:v>
      </x:c>
      <x:c r="F60" s="49"/>
      <x:c r="G60" s="48" t="n">
        <x:f>A60</x:f>
        <x:v>-0.517</x:v>
      </x:c>
      <x:c r="H60" s="48" t="n">
        <x:f>IF(OR(Inputs!$F$6=TRUE,Inputs!$F$6="TRUE",Inputs!$F$6=1),(((SQRT(((Inputs!$I$6+(((A60)+1)/2)*(Inputs!$J$6-Inputs!$I$6)))^2+Inputs!$C$6^2+((Inputs!$H$6+Inputs!$L$6*(((Inputs!$I$6+(((A60)+1)/2)*(Inputs!$J$6-Inputs!$I$6)))/Inputs!$K$6)^2))^2))-((Inputs!$H$6+Inputs!$L$6*(((Inputs!$I$6+(((A60)+1)/2)*(Inputs!$J$6-Inputs!$I$6)))/Inputs!$K$6)^2)))*1000/Inputs!$C$12),NA())</x:f>
        <x:v>1108.934887487211</x:v>
      </x:c>
      <x:c r="I60" s="48" t="n">
        <x:f>IF(OR(Inputs!$F$7=TRUE,Inputs!$F$7="TRUE",Inputs!$F$7=1),(((SQRT(((Inputs!$I$7+(((A60)+1)/2)*(Inputs!$J$7-Inputs!$I$7)))^2+Inputs!$C$6^2+((Inputs!$H$7+Inputs!$L$7*(((Inputs!$I$7+(((A60)+1)/2)*(Inputs!$J$7-Inputs!$I$7)))/Inputs!$K$7)^2))^2))-((Inputs!$H$7+Inputs!$L$7*(((Inputs!$I$7+(((A60)+1)/2)*(Inputs!$J$7-Inputs!$I$7)))/Inputs!$K$7)^2)))*1000/Inputs!$C$12),NA())</x:f>
        <x:v>64240.13341578215</x:v>
      </x:c>
      <x:c r="J60" s="48" t="n">
        <x:f>IF(OR(Inputs!$F$8=TRUE,Inputs!$F$8="TRUE",Inputs!$F$8=1),(((SQRT(((Inputs!$I$8+(((A60)+1)/2)*(Inputs!$J$8-Inputs!$I$8)))^2+Inputs!$C$6^2+((Inputs!$H$8+Inputs!$L$8*(((Inputs!$I$8+(((A60)+1)/2)*(Inputs!$J$8-Inputs!$I$8)))/Inputs!$K$8)^2))^2))-((Inputs!$H$8+Inputs!$L$8*(((Inputs!$I$8+(((A60)+1)/2)*(Inputs!$J$8-Inputs!$I$8)))/Inputs!$K$8)^2)))*1000/Inputs!$C$12),NA())</x:f>
        <x:v>120511.74774932805</x:v>
      </x:c>
      <x:c r="K60" s="48" t="n">
        <x:f>IF(OR(Inputs!$F$9=TRUE,Inputs!$F$9="TRUE",Inputs!$F$9=1),(((SQRT(((Inputs!$I$9+(((A60)+1)/2)*(Inputs!$J$9-Inputs!$I$9)))^2+Inputs!$C$6^2+((Inputs!$H$9+Inputs!$L$9*(((Inputs!$I$9+(((A60)+1)/2)*(Inputs!$J$9-Inputs!$I$9)))/Inputs!$K$9)^2))^2))-((Inputs!$H$9+Inputs!$L$9*(((Inputs!$I$9+(((A60)+1)/2)*(Inputs!$J$9-Inputs!$I$9)))/Inputs!$K$9)^2)))*1000/Inputs!$C$12),NA())</x:f>
        <x:v>122271.82492897964</x:v>
      </x:c>
      <x:c r="L60" s="49"/>
      <x:c r="M60" s="48" t="n">
        <x:f>A60</x:f>
        <x:v>-0.517</x:v>
      </x:c>
      <x:c r="N60" s="48" t="n">
        <x:f>IF(OR(Inputs!$F$6=TRUE,Inputs!$F$6="TRUE",Inputs!$F$6=1),(-2*((1000*((((Inputs!$I$6+(((A60)+1)/2)*(Inputs!$J$6-Inputs!$I$6)))*Inputs!$C$11+((Inputs!$H$6+Inputs!$L$6*(((Inputs!$I$6+(((A60)+1)/2)*(Inputs!$J$6-Inputs!$I$6)))/Inputs!$K$6)^2))*((2*Inputs!$L$6*((Inputs!$I$6+(((A60)+1)/2)*(Inputs!$J$6-Inputs!$I$6)))/(Inputs!$K$6^2)*Inputs!$C$11)))/(SQRT(((Inputs!$I$6+(((A60)+1)/2)*(Inputs!$J$6-Inputs!$I$6)))^2+Inputs!$C$6^2+((Inputs!$H$6+Inputs!$L$6*(((Inputs!$I$6+(((A60)+1)/2)*(Inputs!$J$6-Inputs!$I$6)))/Inputs!$K$6)^2))^2)))))/Inputs!$C$13),NA())</x:f>
        <x:v>232.896341371566</x:v>
      </x:c>
      <x:c r="O60" s="48" t="n">
        <x:f>IF(OR(Inputs!$F$7=TRUE,Inputs!$F$7="TRUE",Inputs!$F$7=1),(-2*((1000*((((Inputs!$I$7+(((A60)+1)/2)*(Inputs!$J$7-Inputs!$I$7)))*Inputs!$C$11+((Inputs!$H$7+Inputs!$L$7*(((Inputs!$I$7+(((A60)+1)/2)*(Inputs!$J$7-Inputs!$I$7)))/Inputs!$K$7)^2))*((2*Inputs!$L$7*((Inputs!$I$7+(((A60)+1)/2)*(Inputs!$J$7-Inputs!$I$7)))/(Inputs!$K$7^2)*Inputs!$C$11)))/(SQRT(((Inputs!$I$7+(((A60)+1)/2)*(Inputs!$J$7-Inputs!$I$7)))^2+Inputs!$C$6^2+((Inputs!$H$7+Inputs!$L$7*(((Inputs!$I$7+(((A60)+1)/2)*(Inputs!$J$7-Inputs!$I$7)))/Inputs!$K$7)^2))^2)))))/Inputs!$C$13),NA())</x:f>
        <x:v>2150.5936514378695</x:v>
      </x:c>
      <x:c r="P60" s="48" t="n">
        <x:f>IF(OR(Inputs!$F$8=TRUE,Inputs!$F$8="TRUE",Inputs!$F$8=1),(-2*((1000*((((Inputs!$I$8+(((A60)+1)/2)*(Inputs!$J$8-Inputs!$I$8)))*Inputs!$C$11+((Inputs!$H$8+Inputs!$L$8*(((Inputs!$I$8+(((A60)+1)/2)*(Inputs!$J$8-Inputs!$I$8)))/Inputs!$K$8)^2))*((2*Inputs!$L$8*((Inputs!$I$8+(((A60)+1)/2)*(Inputs!$J$8-Inputs!$I$8)))/(Inputs!$K$8^2)*Inputs!$C$11)))/(SQRT(((Inputs!$I$8+(((A60)+1)/2)*(Inputs!$J$8-Inputs!$I$8)))^2+Inputs!$C$6^2+((Inputs!$H$8+Inputs!$L$8*(((Inputs!$I$8+(((A60)+1)/2)*(Inputs!$J$8-Inputs!$I$8)))/Inputs!$K$8)^2))^2)))))/Inputs!$C$13),NA())</x:f>
        <x:v>2456.1188318875147</x:v>
      </x:c>
      <x:c r="Q60" s="48" t="n">
        <x:f>IF(OR(Inputs!$F$9=TRUE,Inputs!$F$9="TRUE",Inputs!$F$9=1),(-2*((1000*((((Inputs!$I$9+(((A60)+1)/2)*(Inputs!$J$9-Inputs!$I$9)))*Inputs!$C$11+((Inputs!$H$9+Inputs!$L$9*(((Inputs!$I$9+(((A60)+1)/2)*(Inputs!$J$9-Inputs!$I$9)))/Inputs!$K$9)^2))*((2*Inputs!$L$9*((Inputs!$I$9+(((A60)+1)/2)*(Inputs!$J$9-Inputs!$I$9)))/(Inputs!$K$9^2)*Inputs!$C$11)))/(SQRT(((Inputs!$I$9+(((A60)+1)/2)*(Inputs!$J$9-Inputs!$I$9)))^2+Inputs!$C$6^2+((Inputs!$H$9+Inputs!$L$9*(((Inputs!$I$9+(((A60)+1)/2)*(Inputs!$J$9-Inputs!$I$9)))/Inputs!$K$9)^2))^2)))))/Inputs!$C$13),NA())</x:f>
        <x:v>2459.269562620605</x:v>
      </x:c>
      <x:c r="R60" s="49"/>
      <x:c r="S60" s="48" t="n">
        <x:f>A60</x:f>
        <x:v>-0.517</x:v>
      </x:c>
      <x:c r="T60" s="48" t="n">
        <x:f>(Inputs!$I$6+(((A60)+1)/2)*(Inputs!$J$6-Inputs!$I$6))</x:f>
        <x:v>-31.02</x:v>
      </x:c>
      <x:c r="U60" s="48" t="n">
        <x:f>(Inputs!$I$7+(((A60)+1)/2)*(Inputs!$J$7-Inputs!$I$7))</x:f>
        <x:v>-206.8</x:v>
      </x:c>
      <x:c r="V60" s="48" t="n">
        <x:f>(Inputs!$I$8+(((A60)+1)/2)*(Inputs!$J$8-Inputs!$I$8))</x:f>
        <x:v>-413.6</x:v>
      </x:c>
      <x:c r="W60" s="48" t="n">
        <x:f>(Inputs!$I$9+(((A60)+1)/2)*(Inputs!$J$9-Inputs!$I$9))</x:f>
        <x:v>-413.6</x:v>
      </x:c>
      <x:c r="X60" s="49"/>
      <x:c r="Y60" s="48" t="n">
        <x:f>A60</x:f>
        <x:v>-0.517</x:v>
      </x:c>
      <x:c r="Z60" s="48" t="n">
        <x:f>(Inputs!$H$6+Inputs!$L$6*(((Inputs!$I$6+(((A60)+1)/2)*(Inputs!$J$6-Inputs!$I$6)))/Inputs!$K$6)^2)</x:f>
        <x:v>401.069156</x:v>
      </x:c>
      <x:c r="AA60" s="48" t="n">
        <x:f>(Inputs!$H$7+Inputs!$L$7*(((Inputs!$I$7+(((A60)+1)/2)*(Inputs!$J$7-Inputs!$I$7)))/Inputs!$K$7)^2)</x:f>
        <x:v>132.560485</x:v>
      </x:c>
      <x:c r="AB60" s="48" t="n">
        <x:f>(Inputs!$H$8+Inputs!$L$8*(((Inputs!$I$8+(((A60)+1)/2)*(Inputs!$J$8-Inputs!$I$8)))/Inputs!$K$8)^2)</x:f>
        <x:v>292.933885</x:v>
      </x:c>
      <x:c r="AC60" s="48" t="n">
        <x:f>(Inputs!$H$9+Inputs!$L$9*(((Inputs!$I$9+(((A60)+1)/2)*(Inputs!$J$9-Inputs!$I$9)))/Inputs!$K$9)^2)</x:f>
        <x:v>285.60677499999997</x:v>
      </x:c>
      <x:c r="AD60" s="49"/>
      <x:c r="AE60" s="48" t="n">
        <x:f>A60</x:f>
        <x:v>-0.517</x:v>
      </x:c>
      <x:c r="AF60" s="48" t="n">
        <x:f>(((SQRT(((Inputs!$I$6+(((A60)+1)/2)*(Inputs!$J$6-Inputs!$I$6)))^2+Inputs!$C$6^2+((Inputs!$H$6+Inputs!$L$6*(((Inputs!$I$6+(((A60)+1)/2)*(Inputs!$J$6-Inputs!$I$6)))/Inputs!$K$6)^2))^2))-((Inputs!$H$6+Inputs!$L$6*(((Inputs!$I$6+(((A60)+1)/2)*(Inputs!$J$6-Inputs!$I$6)))/Inputs!$K$6)^2)))*1000/Inputs!$C$12)</x:f>
        <x:v>1108.934887487211</x:v>
      </x:c>
      <x:c r="AG60" s="48" t="n">
        <x:f>(((SQRT(((Inputs!$I$7+(((A60)+1)/2)*(Inputs!$J$7-Inputs!$I$7)))^2+Inputs!$C$6^2+((Inputs!$H$7+Inputs!$L$7*(((Inputs!$I$7+(((A60)+1)/2)*(Inputs!$J$7-Inputs!$I$7)))/Inputs!$K$7)^2))^2))-((Inputs!$H$7+Inputs!$L$7*(((Inputs!$I$7+(((A60)+1)/2)*(Inputs!$J$7-Inputs!$I$7)))/Inputs!$K$7)^2)))*1000/Inputs!$C$12)</x:f>
        <x:v>64240.13341578215</x:v>
      </x:c>
      <x:c r="AH60" s="48" t="n">
        <x:f>(((SQRT(((Inputs!$I$8+(((A60)+1)/2)*(Inputs!$J$8-Inputs!$I$8)))^2+Inputs!$C$6^2+((Inputs!$H$8+Inputs!$L$8*(((Inputs!$I$8+(((A60)+1)/2)*(Inputs!$J$8-Inputs!$I$8)))/Inputs!$K$8)^2))^2))-((Inputs!$H$8+Inputs!$L$8*(((Inputs!$I$8+(((A60)+1)/2)*(Inputs!$J$8-Inputs!$I$8)))/Inputs!$K$8)^2)))*1000/Inputs!$C$12)</x:f>
        <x:v>120511.74774932805</x:v>
      </x:c>
      <x:c r="AI60" s="48" t="n">
        <x:f>(((SQRT(((Inputs!$I$9+(((A60)+1)/2)*(Inputs!$J$9-Inputs!$I$9)))^2+Inputs!$C$6^2+((Inputs!$H$9+Inputs!$L$9*(((Inputs!$I$9+(((A60)+1)/2)*(Inputs!$J$9-Inputs!$I$9)))/Inputs!$K$9)^2))^2))-((Inputs!$H$9+Inputs!$L$9*(((Inputs!$I$9+(((A60)+1)/2)*(Inputs!$J$9-Inputs!$I$9)))/Inputs!$K$9)^2)))*1000/Inputs!$C$12)</x:f>
        <x:v>122271.82492897964</x:v>
      </x:c>
      <x:c r="AJ60" s="49"/>
      <x:c r="AK60" s="48" t="n">
        <x:f>A60</x:f>
        <x:v>-0.517</x:v>
      </x:c>
      <x:c r="AL60" s="48" t="n">
        <x:f>(-2*((1000*((((Inputs!$I$6+(((A60)+1)/2)*(Inputs!$J$6-Inputs!$I$6)))*Inputs!$C$11+((Inputs!$H$6+Inputs!$L$6*(((Inputs!$I$6+(((A60)+1)/2)*(Inputs!$J$6-Inputs!$I$6)))/Inputs!$K$6)^2))*((2*Inputs!$L$6*((Inputs!$I$6+(((A60)+1)/2)*(Inputs!$J$6-Inputs!$I$6)))/(Inputs!$K$6^2)*Inputs!$C$11)))/(SQRT(((Inputs!$I$6+(((A60)+1)/2)*(Inputs!$J$6-Inputs!$I$6)))^2+Inputs!$C$6^2+((Inputs!$H$6+Inputs!$L$6*(((Inputs!$I$6+(((A60)+1)/2)*(Inputs!$J$6-Inputs!$I$6)))/Inputs!$K$6)^2))^2)))))/Inputs!$C$13)</x:f>
        <x:v>232.896341371566</x:v>
      </x:c>
      <x:c r="AM60" s="48" t="n">
        <x:f>(-2*((1000*((((Inputs!$I$7+(((A60)+1)/2)*(Inputs!$J$7-Inputs!$I$7)))*Inputs!$C$11+((Inputs!$H$7+Inputs!$L$7*(((Inputs!$I$7+(((A60)+1)/2)*(Inputs!$J$7-Inputs!$I$7)))/Inputs!$K$7)^2))*((2*Inputs!$L$7*((Inputs!$I$7+(((A60)+1)/2)*(Inputs!$J$7-Inputs!$I$7)))/(Inputs!$K$7^2)*Inputs!$C$11)))/(SQRT(((Inputs!$I$7+(((A60)+1)/2)*(Inputs!$J$7-Inputs!$I$7)))^2+Inputs!$C$6^2+((Inputs!$H$7+Inputs!$L$7*(((Inputs!$I$7+(((A60)+1)/2)*(Inputs!$J$7-Inputs!$I$7)))/Inputs!$K$7)^2))^2)))))/Inputs!$C$13)</x:f>
        <x:v>2150.5936514378695</x:v>
      </x:c>
      <x:c r="AN60" s="48" t="n">
        <x:f>(-2*((1000*((((Inputs!$I$8+(((A60)+1)/2)*(Inputs!$J$8-Inputs!$I$8)))*Inputs!$C$11+((Inputs!$H$8+Inputs!$L$8*(((Inputs!$I$8+(((A60)+1)/2)*(Inputs!$J$8-Inputs!$I$8)))/Inputs!$K$8)^2))*((2*Inputs!$L$8*((Inputs!$I$8+(((A60)+1)/2)*(Inputs!$J$8-Inputs!$I$8)))/(Inputs!$K$8^2)*Inputs!$C$11)))/(SQRT(((Inputs!$I$8+(((A60)+1)/2)*(Inputs!$J$8-Inputs!$I$8)))^2+Inputs!$C$6^2+((Inputs!$H$8+Inputs!$L$8*(((Inputs!$I$8+(((A60)+1)/2)*(Inputs!$J$8-Inputs!$I$8)))/Inputs!$K$8)^2))^2)))))/Inputs!$C$13)</x:f>
        <x:v>2456.1188318875147</x:v>
      </x:c>
      <x:c r="AO60" s="48" t="n">
        <x:f>(-2*((1000*((((Inputs!$I$9+(((A60)+1)/2)*(Inputs!$J$9-Inputs!$I$9)))*Inputs!$C$11+((Inputs!$H$9+Inputs!$L$9*(((Inputs!$I$9+(((A60)+1)/2)*(Inputs!$J$9-Inputs!$I$9)))/Inputs!$K$9)^2))*((2*Inputs!$L$9*((Inputs!$I$9+(((A60)+1)/2)*(Inputs!$J$9-Inputs!$I$9)))/(Inputs!$K$9^2)*Inputs!$C$11)))/(SQRT(((Inputs!$I$9+(((A60)+1)/2)*(Inputs!$J$9-Inputs!$I$9)))^2+Inputs!$C$6^2+((Inputs!$H$9+Inputs!$L$9*(((Inputs!$I$9+(((A60)+1)/2)*(Inputs!$J$9-Inputs!$I$9)))/Inputs!$K$9)^2))^2)))))/Inputs!$C$13)</x:f>
        <x:v>2459.269562620605</x:v>
      </x:c>
    </x:row>
    <x:row r="61">
      <x:c r="A61" s="48" t="n">
        <x:f>ROUND(-1+59*2/240,3)</x:f>
        <x:v>-0.508</x:v>
      </x:c>
      <x:c r="B61" s="48" t="n">
        <x:f>IF(OR(Inputs!$F$6=TRUE,Inputs!$F$6="TRUE",Inputs!$F$6=1),(Inputs!$H$6+Inputs!$L$6*(((Inputs!$I$6+(((A61)+1)/2)*(Inputs!$J$6-Inputs!$I$6)))/Inputs!$K$6)^2),NA())</x:f>
        <x:v>401.032256</x:v>
      </x:c>
      <x:c r="C61" s="48" t="n">
        <x:f>IF(OR(Inputs!$F$7=TRUE,Inputs!$F$7="TRUE",Inputs!$F$7=1),(Inputs!$H$7+Inputs!$L$7*(((Inputs!$I$7+(((A61)+1)/2)*(Inputs!$J$7-Inputs!$I$7)))/Inputs!$K$7)^2),NA())</x:f>
        <x:v>129.19336</x:v>
      </x:c>
      <x:c r="D61" s="48" t="n">
        <x:f>IF(OR(Inputs!$F$8=TRUE,Inputs!$F$8="TRUE",Inputs!$F$8=1),(Inputs!$H$8+Inputs!$L$8*(((Inputs!$I$8+(((A61)+1)/2)*(Inputs!$J$8-Inputs!$I$8)))/Inputs!$K$8)^2),NA())</x:f>
        <x:v>284.03176</x:v>
      </x:c>
      <x:c r="E61" s="48" t="n">
        <x:f>IF(OR(Inputs!$F$9=TRUE,Inputs!$F$9="TRUE",Inputs!$F$9=1),(Inputs!$H$9+Inputs!$L$9*(((Inputs!$I$9+(((A61)+1)/2)*(Inputs!$J$9-Inputs!$I$9)))/Inputs!$K$9)^2),NA())</x:f>
        <x:v>276.6124</x:v>
      </x:c>
      <x:c r="F61" s="49"/>
      <x:c r="G61" s="48" t="n">
        <x:f>A61</x:f>
        <x:v>-0.508</x:v>
      </x:c>
      <x:c r="H61" s="48" t="n">
        <x:f>IF(OR(Inputs!$F$6=TRUE,Inputs!$F$6="TRUE",Inputs!$F$6=1),(((SQRT(((Inputs!$I$6+(((A61)+1)/2)*(Inputs!$J$6-Inputs!$I$6)))^2+Inputs!$C$6^2+((Inputs!$H$6+Inputs!$L$6*(((Inputs!$I$6+(((A61)+1)/2)*(Inputs!$J$6-Inputs!$I$6)))/Inputs!$K$6)^2))^2))-((Inputs!$H$6+Inputs!$L$6*(((Inputs!$I$6+(((A61)+1)/2)*(Inputs!$J$6-Inputs!$I$6)))/Inputs!$K$6)^2)))*1000/Inputs!$C$12),NA())</x:f>
        <x:v>1085.8875853460092</x:v>
      </x:c>
      <x:c r="I61" s="48" t="n">
        <x:f>IF(OR(Inputs!$F$7=TRUE,Inputs!$F$7="TRUE",Inputs!$F$7=1),(((SQRT(((Inputs!$I$7+(((A61)+1)/2)*(Inputs!$J$7-Inputs!$I$7)))^2+Inputs!$C$6^2+((Inputs!$H$7+Inputs!$L$7*(((Inputs!$I$7+(((A61)+1)/2)*(Inputs!$J$7-Inputs!$I$7)))/Inputs!$K$7)^2))^2))-((Inputs!$H$7+Inputs!$L$7*(((Inputs!$I$7+(((A61)+1)/2)*(Inputs!$J$7-Inputs!$I$7)))/Inputs!$K$7)^2)))*1000/Inputs!$C$12),NA())</x:f>
        <x:v>63423.44976504115</x:v>
      </x:c>
      <x:c r="J61" s="48" t="n">
        <x:f>IF(OR(Inputs!$F$8=TRUE,Inputs!$F$8="TRUE",Inputs!$F$8=1),(((SQRT(((Inputs!$I$8+(((A61)+1)/2)*(Inputs!$J$8-Inputs!$I$8)))^2+Inputs!$C$6^2+((Inputs!$H$8+Inputs!$L$8*(((Inputs!$I$8+(((A61)+1)/2)*(Inputs!$J$8-Inputs!$I$8)))/Inputs!$K$8)^2))^2))-((Inputs!$H$8+Inputs!$L$8*(((Inputs!$I$8+(((A61)+1)/2)*(Inputs!$J$8-Inputs!$I$8)))/Inputs!$K$8)^2)))*1000/Inputs!$C$12),NA())</x:f>
        <x:v>119334.61773979013</x:v>
      </x:c>
      <x:c r="K61" s="48" t="n">
        <x:f>IF(OR(Inputs!$F$9=TRUE,Inputs!$F$9="TRUE",Inputs!$F$9=1),(((SQRT(((Inputs!$I$9+(((A61)+1)/2)*(Inputs!$J$9-Inputs!$I$9)))^2+Inputs!$C$6^2+((Inputs!$H$9+Inputs!$L$9*(((Inputs!$I$9+(((A61)+1)/2)*(Inputs!$J$9-Inputs!$I$9)))/Inputs!$K$9)^2))^2))-((Inputs!$H$9+Inputs!$L$9*(((Inputs!$I$9+(((A61)+1)/2)*(Inputs!$J$9-Inputs!$I$9)))/Inputs!$K$9)^2)))*1000/Inputs!$C$12),NA())</x:f>
        <x:v>121139.193702974</x:v>
      </x:c>
      <x:c r="L61" s="49"/>
      <x:c r="M61" s="48" t="n">
        <x:f>A61</x:f>
        <x:v>-0.508</x:v>
      </x:c>
      <x:c r="N61" s="48" t="n">
        <x:f>IF(OR(Inputs!$F$6=TRUE,Inputs!$F$6="TRUE",Inputs!$F$6=1),(-2*((1000*((((Inputs!$I$6+(((A61)+1)/2)*(Inputs!$J$6-Inputs!$I$6)))*Inputs!$C$11+((Inputs!$H$6+Inputs!$L$6*(((Inputs!$I$6+(((A61)+1)/2)*(Inputs!$J$6-Inputs!$I$6)))/Inputs!$K$6)^2))*((2*Inputs!$L$6*((Inputs!$I$6+(((A61)+1)/2)*(Inputs!$J$6-Inputs!$I$6)))/(Inputs!$K$6^2)*Inputs!$C$11)))/(SQRT(((Inputs!$I$6+(((A61)+1)/2)*(Inputs!$J$6-Inputs!$I$6)))^2+Inputs!$C$6^2+((Inputs!$H$6+Inputs!$L$6*(((Inputs!$I$6+(((A61)+1)/2)*(Inputs!$J$6-Inputs!$I$6)))/Inputs!$K$6)^2))^2)))))/Inputs!$C$13),NA())</x:f>
        <x:v>228.87638194922107</x:v>
      </x:c>
      <x:c r="O61" s="48" t="n">
        <x:f>IF(OR(Inputs!$F$7=TRUE,Inputs!$F$7="TRUE",Inputs!$F$7=1),(-2*((1000*((((Inputs!$I$7+(((A61)+1)/2)*(Inputs!$J$7-Inputs!$I$7)))*Inputs!$C$11+((Inputs!$H$7+Inputs!$L$7*(((Inputs!$I$7+(((A61)+1)/2)*(Inputs!$J$7-Inputs!$I$7)))/Inputs!$K$7)^2))*((2*Inputs!$L$7*((Inputs!$I$7+(((A61)+1)/2)*(Inputs!$J$7-Inputs!$I$7)))/(Inputs!$K$7^2)*Inputs!$C$11)))/(SQRT(((Inputs!$I$7+(((A61)+1)/2)*(Inputs!$J$7-Inputs!$I$7)))^2+Inputs!$C$6^2+((Inputs!$H$7+Inputs!$L$7*(((Inputs!$I$7+(((A61)+1)/2)*(Inputs!$J$7-Inputs!$I$7)))/Inputs!$K$7)^2))^2)))))/Inputs!$C$13),NA())</x:f>
        <x:v>2134.6046990845202</x:v>
      </x:c>
      <x:c r="P61" s="48" t="n">
        <x:f>IF(OR(Inputs!$F$8=TRUE,Inputs!$F$8="TRUE",Inputs!$F$8=1),(-2*((1000*((((Inputs!$I$8+(((A61)+1)/2)*(Inputs!$J$8-Inputs!$I$8)))*Inputs!$C$11+((Inputs!$H$8+Inputs!$L$8*(((Inputs!$I$8+(((A61)+1)/2)*(Inputs!$J$8-Inputs!$I$8)))/Inputs!$K$8)^2))*((2*Inputs!$L$8*((Inputs!$I$8+(((A61)+1)/2)*(Inputs!$J$8-Inputs!$I$8)))/(Inputs!$K$8^2)*Inputs!$C$11)))/(SQRT(((Inputs!$I$8+(((A61)+1)/2)*(Inputs!$J$8-Inputs!$I$8)))^2+Inputs!$C$6^2+((Inputs!$H$8+Inputs!$L$8*(((Inputs!$I$8+(((A61)+1)/2)*(Inputs!$J$8-Inputs!$I$8)))/Inputs!$K$8)^2))^2)))))/Inputs!$C$13),NA())</x:f>
        <x:v>2431.6619388298814</x:v>
      </x:c>
      <x:c r="Q61" s="48" t="n">
        <x:f>IF(OR(Inputs!$F$9=TRUE,Inputs!$F$9="TRUE",Inputs!$F$9=1),(-2*((1000*((((Inputs!$I$9+(((A61)+1)/2)*(Inputs!$J$9-Inputs!$I$9)))*Inputs!$C$11+((Inputs!$H$9+Inputs!$L$9*(((Inputs!$I$9+(((A61)+1)/2)*(Inputs!$J$9-Inputs!$I$9)))/Inputs!$K$9)^2))*((2*Inputs!$L$9*((Inputs!$I$9+(((A61)+1)/2)*(Inputs!$J$9-Inputs!$I$9)))/(Inputs!$K$9^2)*Inputs!$C$11)))/(SQRT(((Inputs!$I$9+(((A61)+1)/2)*(Inputs!$J$9-Inputs!$I$9)))^2+Inputs!$C$6^2+((Inputs!$H$9+Inputs!$L$9*(((Inputs!$I$9+(((A61)+1)/2)*(Inputs!$J$9-Inputs!$I$9)))/Inputs!$K$9)^2))^2)))))/Inputs!$C$13),NA())</x:f>
        <x:v>2434.308641571448</x:v>
      </x:c>
      <x:c r="R61" s="49"/>
      <x:c r="S61" s="48" t="n">
        <x:f>A61</x:f>
        <x:v>-0.508</x:v>
      </x:c>
      <x:c r="T61" s="48" t="n">
        <x:f>(Inputs!$I$6+(((A61)+1)/2)*(Inputs!$J$6-Inputs!$I$6))</x:f>
        <x:v>-30.48</x:v>
      </x:c>
      <x:c r="U61" s="48" t="n">
        <x:f>(Inputs!$I$7+(((A61)+1)/2)*(Inputs!$J$7-Inputs!$I$7))</x:f>
        <x:v>-203.2</x:v>
      </x:c>
      <x:c r="V61" s="48" t="n">
        <x:f>(Inputs!$I$8+(((A61)+1)/2)*(Inputs!$J$8-Inputs!$I$8))</x:f>
        <x:v>-406.4</x:v>
      </x:c>
      <x:c r="W61" s="48" t="n">
        <x:f>(Inputs!$I$9+(((A61)+1)/2)*(Inputs!$J$9-Inputs!$I$9))</x:f>
        <x:v>-406.4</x:v>
      </x:c>
      <x:c r="X61" s="49"/>
      <x:c r="Y61" s="48" t="n">
        <x:f>A61</x:f>
        <x:v>-0.508</x:v>
      </x:c>
      <x:c r="Z61" s="48" t="n">
        <x:f>(Inputs!$H$6+Inputs!$L$6*(((Inputs!$I$6+(((A61)+1)/2)*(Inputs!$J$6-Inputs!$I$6)))/Inputs!$K$6)^2)</x:f>
        <x:v>401.032256</x:v>
      </x:c>
      <x:c r="AA61" s="48" t="n">
        <x:f>(Inputs!$H$7+Inputs!$L$7*(((Inputs!$I$7+(((A61)+1)/2)*(Inputs!$J$7-Inputs!$I$7)))/Inputs!$K$7)^2)</x:f>
        <x:v>129.19336</x:v>
      </x:c>
      <x:c r="AB61" s="48" t="n">
        <x:f>(Inputs!$H$8+Inputs!$L$8*(((Inputs!$I$8+(((A61)+1)/2)*(Inputs!$J$8-Inputs!$I$8)))/Inputs!$K$8)^2)</x:f>
        <x:v>284.03176</x:v>
      </x:c>
      <x:c r="AC61" s="48" t="n">
        <x:f>(Inputs!$H$9+Inputs!$L$9*(((Inputs!$I$9+(((A61)+1)/2)*(Inputs!$J$9-Inputs!$I$9)))/Inputs!$K$9)^2)</x:f>
        <x:v>276.6124</x:v>
      </x:c>
      <x:c r="AD61" s="49"/>
      <x:c r="AE61" s="48" t="n">
        <x:f>A61</x:f>
        <x:v>-0.508</x:v>
      </x:c>
      <x:c r="AF61" s="48" t="n">
        <x:f>(((SQRT(((Inputs!$I$6+(((A61)+1)/2)*(Inputs!$J$6-Inputs!$I$6)))^2+Inputs!$C$6^2+((Inputs!$H$6+Inputs!$L$6*(((Inputs!$I$6+(((A61)+1)/2)*(Inputs!$J$6-Inputs!$I$6)))/Inputs!$K$6)^2))^2))-((Inputs!$H$6+Inputs!$L$6*(((Inputs!$I$6+(((A61)+1)/2)*(Inputs!$J$6-Inputs!$I$6)))/Inputs!$K$6)^2)))*1000/Inputs!$C$12)</x:f>
        <x:v>1085.8875853460092</x:v>
      </x:c>
      <x:c r="AG61" s="48" t="n">
        <x:f>(((SQRT(((Inputs!$I$7+(((A61)+1)/2)*(Inputs!$J$7-Inputs!$I$7)))^2+Inputs!$C$6^2+((Inputs!$H$7+Inputs!$L$7*(((Inputs!$I$7+(((A61)+1)/2)*(Inputs!$J$7-Inputs!$I$7)))/Inputs!$K$7)^2))^2))-((Inputs!$H$7+Inputs!$L$7*(((Inputs!$I$7+(((A61)+1)/2)*(Inputs!$J$7-Inputs!$I$7)))/Inputs!$K$7)^2)))*1000/Inputs!$C$12)</x:f>
        <x:v>63423.44976504115</x:v>
      </x:c>
      <x:c r="AH61" s="48" t="n">
        <x:f>(((SQRT(((Inputs!$I$8+(((A61)+1)/2)*(Inputs!$J$8-Inputs!$I$8)))^2+Inputs!$C$6^2+((Inputs!$H$8+Inputs!$L$8*(((Inputs!$I$8+(((A61)+1)/2)*(Inputs!$J$8-Inputs!$I$8)))/Inputs!$K$8)^2))^2))-((Inputs!$H$8+Inputs!$L$8*(((Inputs!$I$8+(((A61)+1)/2)*(Inputs!$J$8-Inputs!$I$8)))/Inputs!$K$8)^2)))*1000/Inputs!$C$12)</x:f>
        <x:v>119334.61773979013</x:v>
      </x:c>
      <x:c r="AI61" s="48" t="n">
        <x:f>(((SQRT(((Inputs!$I$9+(((A61)+1)/2)*(Inputs!$J$9-Inputs!$I$9)))^2+Inputs!$C$6^2+((Inputs!$H$9+Inputs!$L$9*(((Inputs!$I$9+(((A61)+1)/2)*(Inputs!$J$9-Inputs!$I$9)))/Inputs!$K$9)^2))^2))-((Inputs!$H$9+Inputs!$L$9*(((Inputs!$I$9+(((A61)+1)/2)*(Inputs!$J$9-Inputs!$I$9)))/Inputs!$K$9)^2)))*1000/Inputs!$C$12)</x:f>
        <x:v>121139.193702974</x:v>
      </x:c>
      <x:c r="AJ61" s="49"/>
      <x:c r="AK61" s="48" t="n">
        <x:f>A61</x:f>
        <x:v>-0.508</x:v>
      </x:c>
      <x:c r="AL61" s="48" t="n">
        <x:f>(-2*((1000*((((Inputs!$I$6+(((A61)+1)/2)*(Inputs!$J$6-Inputs!$I$6)))*Inputs!$C$11+((Inputs!$H$6+Inputs!$L$6*(((Inputs!$I$6+(((A61)+1)/2)*(Inputs!$J$6-Inputs!$I$6)))/Inputs!$K$6)^2))*((2*Inputs!$L$6*((Inputs!$I$6+(((A61)+1)/2)*(Inputs!$J$6-Inputs!$I$6)))/(Inputs!$K$6^2)*Inputs!$C$11)))/(SQRT(((Inputs!$I$6+(((A61)+1)/2)*(Inputs!$J$6-Inputs!$I$6)))^2+Inputs!$C$6^2+((Inputs!$H$6+Inputs!$L$6*(((Inputs!$I$6+(((A61)+1)/2)*(Inputs!$J$6-Inputs!$I$6)))/Inputs!$K$6)^2))^2)))))/Inputs!$C$13)</x:f>
        <x:v>228.87638194922107</x:v>
      </x:c>
      <x:c r="AM61" s="48" t="n">
        <x:f>(-2*((1000*((((Inputs!$I$7+(((A61)+1)/2)*(Inputs!$J$7-Inputs!$I$7)))*Inputs!$C$11+((Inputs!$H$7+Inputs!$L$7*(((Inputs!$I$7+(((A61)+1)/2)*(Inputs!$J$7-Inputs!$I$7)))/Inputs!$K$7)^2))*((2*Inputs!$L$7*((Inputs!$I$7+(((A61)+1)/2)*(Inputs!$J$7-Inputs!$I$7)))/(Inputs!$K$7^2)*Inputs!$C$11)))/(SQRT(((Inputs!$I$7+(((A61)+1)/2)*(Inputs!$J$7-Inputs!$I$7)))^2+Inputs!$C$6^2+((Inputs!$H$7+Inputs!$L$7*(((Inputs!$I$7+(((A61)+1)/2)*(Inputs!$J$7-Inputs!$I$7)))/Inputs!$K$7)^2))^2)))))/Inputs!$C$13)</x:f>
        <x:v>2134.6046990845202</x:v>
      </x:c>
      <x:c r="AN61" s="48" t="n">
        <x:f>(-2*((1000*((((Inputs!$I$8+(((A61)+1)/2)*(Inputs!$J$8-Inputs!$I$8)))*Inputs!$C$11+((Inputs!$H$8+Inputs!$L$8*(((Inputs!$I$8+(((A61)+1)/2)*(Inputs!$J$8-Inputs!$I$8)))/Inputs!$K$8)^2))*((2*Inputs!$L$8*((Inputs!$I$8+(((A61)+1)/2)*(Inputs!$J$8-Inputs!$I$8)))/(Inputs!$K$8^2)*Inputs!$C$11)))/(SQRT(((Inputs!$I$8+(((A61)+1)/2)*(Inputs!$J$8-Inputs!$I$8)))^2+Inputs!$C$6^2+((Inputs!$H$8+Inputs!$L$8*(((Inputs!$I$8+(((A61)+1)/2)*(Inputs!$J$8-Inputs!$I$8)))/Inputs!$K$8)^2))^2)))))/Inputs!$C$13)</x:f>
        <x:v>2431.6619388298814</x:v>
      </x:c>
      <x:c r="AO61" s="48" t="n">
        <x:f>(-2*((1000*((((Inputs!$I$9+(((A61)+1)/2)*(Inputs!$J$9-Inputs!$I$9)))*Inputs!$C$11+((Inputs!$H$9+Inputs!$L$9*(((Inputs!$I$9+(((A61)+1)/2)*(Inputs!$J$9-Inputs!$I$9)))/Inputs!$K$9)^2))*((2*Inputs!$L$9*((Inputs!$I$9+(((A61)+1)/2)*(Inputs!$J$9-Inputs!$I$9)))/(Inputs!$K$9^2)*Inputs!$C$11)))/(SQRT(((Inputs!$I$9+(((A61)+1)/2)*(Inputs!$J$9-Inputs!$I$9)))^2+Inputs!$C$6^2+((Inputs!$H$9+Inputs!$L$9*(((Inputs!$I$9+(((A61)+1)/2)*(Inputs!$J$9-Inputs!$I$9)))/Inputs!$K$9)^2))^2)))))/Inputs!$C$13)</x:f>
        <x:v>2434.308641571448</x:v>
      </x:c>
    </x:row>
    <x:row r="62">
      <x:c r="A62" s="48" t="n">
        <x:f>ROUND(-1+60*2/240,3)</x:f>
        <x:v>-0.5</x:v>
      </x:c>
      <x:c r="B62" s="48" t="n">
        <x:f>IF(OR(Inputs!$F$6=TRUE,Inputs!$F$6="TRUE",Inputs!$F$6=1),(Inputs!$H$6+Inputs!$L$6*(((Inputs!$I$6+(((A62)+1)/2)*(Inputs!$J$6-Inputs!$I$6)))/Inputs!$K$6)^2),NA())</x:f>
        <x:v>401</x:v>
      </x:c>
      <x:c r="C62" s="48" t="n">
        <x:f>IF(OR(Inputs!$F$7=TRUE,Inputs!$F$7="TRUE",Inputs!$F$7=1),(Inputs!$H$7+Inputs!$L$7*(((Inputs!$I$7+(((A62)+1)/2)*(Inputs!$J$7-Inputs!$I$7)))/Inputs!$K$7)^2),NA())</x:f>
        <x:v>126.25</x:v>
      </x:c>
      <x:c r="D62" s="48" t="n">
        <x:f>IF(OR(Inputs!$F$8=TRUE,Inputs!$F$8="TRUE",Inputs!$F$8=1),(Inputs!$H$8+Inputs!$L$8*(((Inputs!$I$8+(((A62)+1)/2)*(Inputs!$J$8-Inputs!$I$8)))/Inputs!$K$8)^2),NA())</x:f>
        <x:v>276.25</x:v>
      </x:c>
      <x:c r="E62" s="48" t="n">
        <x:f>IF(OR(Inputs!$F$9=TRUE,Inputs!$F$9="TRUE",Inputs!$F$9=1),(Inputs!$H$9+Inputs!$L$9*(((Inputs!$I$9+(((A62)+1)/2)*(Inputs!$J$9-Inputs!$I$9)))/Inputs!$K$9)^2),NA())</x:f>
        <x:v>268.75</x:v>
      </x:c>
      <x:c r="F62" s="49"/>
      <x:c r="G62" s="48" t="n">
        <x:f>A62</x:f>
        <x:v>-0.5</x:v>
      </x:c>
      <x:c r="H62" s="48" t="n">
        <x:f>IF(OR(Inputs!$F$6=TRUE,Inputs!$F$6="TRUE",Inputs!$F$6=1),(((SQRT(((Inputs!$I$6+(((A62)+1)/2)*(Inputs!$J$6-Inputs!$I$6)))^2+Inputs!$C$6^2+((Inputs!$H$6+Inputs!$L$6*(((Inputs!$I$6+(((A62)+1)/2)*(Inputs!$J$6-Inputs!$I$6)))/Inputs!$K$6)^2))^2))-((Inputs!$H$6+Inputs!$L$6*(((Inputs!$I$6+(((A62)+1)/2)*(Inputs!$J$6-Inputs!$I$6)))/Inputs!$K$6)^2)))*1000/Inputs!$C$12),NA())</x:f>
        <x:v>1065.7354900670628</x:v>
      </x:c>
      <x:c r="I62" s="48" t="n">
        <x:f>IF(OR(Inputs!$F$7=TRUE,Inputs!$F$7="TRUE",Inputs!$F$7=1),(((SQRT(((Inputs!$I$7+(((A62)+1)/2)*(Inputs!$J$7-Inputs!$I$7)))^2+Inputs!$C$6^2+((Inputs!$H$7+Inputs!$L$7*(((Inputs!$I$7+(((A62)+1)/2)*(Inputs!$J$7-Inputs!$I$7)))/Inputs!$K$7)^2))^2))-((Inputs!$H$7+Inputs!$L$7*(((Inputs!$I$7+(((A62)+1)/2)*(Inputs!$J$7-Inputs!$I$7)))/Inputs!$K$7)^2)))*1000/Inputs!$C$12),NA())</x:f>
        <x:v>62686.5195420731</x:v>
      </x:c>
      <x:c r="J62" s="48" t="n">
        <x:f>IF(OR(Inputs!$F$8=TRUE,Inputs!$F$8="TRUE",Inputs!$F$8=1),(((SQRT(((Inputs!$I$8+(((A62)+1)/2)*(Inputs!$J$8-Inputs!$I$8)))^2+Inputs!$C$6^2+((Inputs!$H$8+Inputs!$L$8*(((Inputs!$I$8+(((A62)+1)/2)*(Inputs!$J$8-Inputs!$I$8)))/Inputs!$K$8)^2))^2))-((Inputs!$H$8+Inputs!$L$8*(((Inputs!$I$8+(((A62)+1)/2)*(Inputs!$J$8-Inputs!$I$8)))/Inputs!$K$8)^2)))*1000/Inputs!$C$12),NA())</x:f>
        <x:v>118266.21757916138</x:v>
      </x:c>
      <x:c r="K62" s="48" t="n">
        <x:f>IF(OR(Inputs!$F$9=TRUE,Inputs!$F$9="TRUE",Inputs!$F$9=1),(((SQRT(((Inputs!$I$9+(((A62)+1)/2)*(Inputs!$J$9-Inputs!$I$9)))^2+Inputs!$C$6^2+((Inputs!$H$9+Inputs!$L$9*(((Inputs!$I$9+(((A62)+1)/2)*(Inputs!$J$9-Inputs!$I$9)))/Inputs!$K$9)^2))^2))-((Inputs!$H$9+Inputs!$L$9*(((Inputs!$I$9+(((A62)+1)/2)*(Inputs!$J$9-Inputs!$I$9)))/Inputs!$K$9)^2)))*1000/Inputs!$C$12),NA())</x:f>
        <x:v>120110.64813142721</x:v>
      </x:c>
      <x:c r="L62" s="49"/>
      <x:c r="M62" s="48" t="n">
        <x:f>A62</x:f>
        <x:v>-0.5</x:v>
      </x:c>
      <x:c r="N62" s="48" t="n">
        <x:f>IF(OR(Inputs!$F$6=TRUE,Inputs!$F$6="TRUE",Inputs!$F$6=1),(-2*((1000*((((Inputs!$I$6+(((A62)+1)/2)*(Inputs!$J$6-Inputs!$I$6)))*Inputs!$C$11+((Inputs!$H$6+Inputs!$L$6*(((Inputs!$I$6+(((A62)+1)/2)*(Inputs!$J$6-Inputs!$I$6)))/Inputs!$K$6)^2))*((2*Inputs!$L$6*((Inputs!$I$6+(((A62)+1)/2)*(Inputs!$J$6-Inputs!$I$6)))/(Inputs!$K$6^2)*Inputs!$C$11)))/(SQRT(((Inputs!$I$6+(((A62)+1)/2)*(Inputs!$J$6-Inputs!$I$6)))^2+Inputs!$C$6^2+((Inputs!$H$6+Inputs!$L$6*(((Inputs!$I$6+(((A62)+1)/2)*(Inputs!$J$6-Inputs!$I$6)))/Inputs!$K$6)^2))^2)))))/Inputs!$C$13),NA())</x:f>
        <x:v>225.3015814632407</x:v>
      </x:c>
      <x:c r="O62" s="48" t="n">
        <x:f>IF(OR(Inputs!$F$7=TRUE,Inputs!$F$7="TRUE",Inputs!$F$7=1),(-2*((1000*((((Inputs!$I$7+(((A62)+1)/2)*(Inputs!$J$7-Inputs!$I$7)))*Inputs!$C$11+((Inputs!$H$7+Inputs!$L$7*(((Inputs!$I$7+(((A62)+1)/2)*(Inputs!$J$7-Inputs!$I$7)))/Inputs!$K$7)^2))*((2*Inputs!$L$7*((Inputs!$I$7+(((A62)+1)/2)*(Inputs!$J$7-Inputs!$I$7)))/(Inputs!$K$7^2)*Inputs!$C$11)))/(SQRT(((Inputs!$I$7+(((A62)+1)/2)*(Inputs!$J$7-Inputs!$I$7)))^2+Inputs!$C$6^2+((Inputs!$H$7+Inputs!$L$7*(((Inputs!$I$7+(((A62)+1)/2)*(Inputs!$J$7-Inputs!$I$7)))/Inputs!$K$7)^2))^2)))))/Inputs!$C$13),NA())</x:f>
        <x:v>2120.5093925695264</x:v>
      </x:c>
      <x:c r="P62" s="48" t="n">
        <x:f>IF(OR(Inputs!$F$8=TRUE,Inputs!$F$8="TRUE",Inputs!$F$8=1),(-2*((1000*((((Inputs!$I$8+(((A62)+1)/2)*(Inputs!$J$8-Inputs!$I$8)))*Inputs!$C$11+((Inputs!$H$8+Inputs!$L$8*(((Inputs!$I$8+(((A62)+1)/2)*(Inputs!$J$8-Inputs!$I$8)))/Inputs!$K$8)^2))*((2*Inputs!$L$8*((Inputs!$I$8+(((A62)+1)/2)*(Inputs!$J$8-Inputs!$I$8)))/(Inputs!$K$8^2)*Inputs!$C$11)))/(SQRT(((Inputs!$I$8+(((A62)+1)/2)*(Inputs!$J$8-Inputs!$I$8)))^2+Inputs!$C$6^2+((Inputs!$H$8+Inputs!$L$8*(((Inputs!$I$8+(((A62)+1)/2)*(Inputs!$J$8-Inputs!$I$8)))/Inputs!$K$8)^2))^2)))))/Inputs!$C$13),NA())</x:f>
        <x:v>2410.1265086278</x:v>
      </x:c>
      <x:c r="Q62" s="48" t="n">
        <x:f>IF(OR(Inputs!$F$9=TRUE,Inputs!$F$9="TRUE",Inputs!$F$9=1),(-2*((1000*((((Inputs!$I$9+(((A62)+1)/2)*(Inputs!$J$9-Inputs!$I$9)))*Inputs!$C$11+((Inputs!$H$9+Inputs!$L$9*(((Inputs!$I$9+(((A62)+1)/2)*(Inputs!$J$9-Inputs!$I$9)))/Inputs!$K$9)^2))*((2*Inputs!$L$9*((Inputs!$I$9+(((A62)+1)/2)*(Inputs!$J$9-Inputs!$I$9)))/(Inputs!$K$9^2)*Inputs!$C$11)))/(SQRT(((Inputs!$I$9+(((A62)+1)/2)*(Inputs!$J$9-Inputs!$I$9)))^2+Inputs!$C$6^2+((Inputs!$H$9+Inputs!$L$9*(((Inputs!$I$9+(((A62)+1)/2)*(Inputs!$J$9-Inputs!$I$9)))/Inputs!$K$9)^2))^2)))))/Inputs!$C$13),NA())</x:f>
        <x:v>2412.3300150114787</x:v>
      </x:c>
      <x:c r="R62" s="49"/>
      <x:c r="S62" s="48" t="n">
        <x:f>A62</x:f>
        <x:v>-0.5</x:v>
      </x:c>
      <x:c r="T62" s="48" t="n">
        <x:f>(Inputs!$I$6+(((A62)+1)/2)*(Inputs!$J$6-Inputs!$I$6))</x:f>
        <x:v>-30</x:v>
      </x:c>
      <x:c r="U62" s="48" t="n">
        <x:f>(Inputs!$I$7+(((A62)+1)/2)*(Inputs!$J$7-Inputs!$I$7))</x:f>
        <x:v>-200</x:v>
      </x:c>
      <x:c r="V62" s="48" t="n">
        <x:f>(Inputs!$I$8+(((A62)+1)/2)*(Inputs!$J$8-Inputs!$I$8))</x:f>
        <x:v>-400</x:v>
      </x:c>
      <x:c r="W62" s="48" t="n">
        <x:f>(Inputs!$I$9+(((A62)+1)/2)*(Inputs!$J$9-Inputs!$I$9))</x:f>
        <x:v>-400</x:v>
      </x:c>
      <x:c r="X62" s="49"/>
      <x:c r="Y62" s="48" t="n">
        <x:f>A62</x:f>
        <x:v>-0.5</x:v>
      </x:c>
      <x:c r="Z62" s="48" t="n">
        <x:f>(Inputs!$H$6+Inputs!$L$6*(((Inputs!$I$6+(((A62)+1)/2)*(Inputs!$J$6-Inputs!$I$6)))/Inputs!$K$6)^2)</x:f>
        <x:v>401</x:v>
      </x:c>
      <x:c r="AA62" s="48" t="n">
        <x:f>(Inputs!$H$7+Inputs!$L$7*(((Inputs!$I$7+(((A62)+1)/2)*(Inputs!$J$7-Inputs!$I$7)))/Inputs!$K$7)^2)</x:f>
        <x:v>126.25</x:v>
      </x:c>
      <x:c r="AB62" s="48" t="n">
        <x:f>(Inputs!$H$8+Inputs!$L$8*(((Inputs!$I$8+(((A62)+1)/2)*(Inputs!$J$8-Inputs!$I$8)))/Inputs!$K$8)^2)</x:f>
        <x:v>276.25</x:v>
      </x:c>
      <x:c r="AC62" s="48" t="n">
        <x:f>(Inputs!$H$9+Inputs!$L$9*(((Inputs!$I$9+(((A62)+1)/2)*(Inputs!$J$9-Inputs!$I$9)))/Inputs!$K$9)^2)</x:f>
        <x:v>268.75</x:v>
      </x:c>
      <x:c r="AD62" s="49"/>
      <x:c r="AE62" s="48" t="n">
        <x:f>A62</x:f>
        <x:v>-0.5</x:v>
      </x:c>
      <x:c r="AF62" s="48" t="n">
        <x:f>(((SQRT(((Inputs!$I$6+(((A62)+1)/2)*(Inputs!$J$6-Inputs!$I$6)))^2+Inputs!$C$6^2+((Inputs!$H$6+Inputs!$L$6*(((Inputs!$I$6+(((A62)+1)/2)*(Inputs!$J$6-Inputs!$I$6)))/Inputs!$K$6)^2))^2))-((Inputs!$H$6+Inputs!$L$6*(((Inputs!$I$6+(((A62)+1)/2)*(Inputs!$J$6-Inputs!$I$6)))/Inputs!$K$6)^2)))*1000/Inputs!$C$12)</x:f>
        <x:v>1065.7354900670628</x:v>
      </x:c>
      <x:c r="AG62" s="48" t="n">
        <x:f>(((SQRT(((Inputs!$I$7+(((A62)+1)/2)*(Inputs!$J$7-Inputs!$I$7)))^2+Inputs!$C$6^2+((Inputs!$H$7+Inputs!$L$7*(((Inputs!$I$7+(((A62)+1)/2)*(Inputs!$J$7-Inputs!$I$7)))/Inputs!$K$7)^2))^2))-((Inputs!$H$7+Inputs!$L$7*(((Inputs!$I$7+(((A62)+1)/2)*(Inputs!$J$7-Inputs!$I$7)))/Inputs!$K$7)^2)))*1000/Inputs!$C$12)</x:f>
        <x:v>62686.5195420731</x:v>
      </x:c>
      <x:c r="AH62" s="48" t="n">
        <x:f>(((SQRT(((Inputs!$I$8+(((A62)+1)/2)*(Inputs!$J$8-Inputs!$I$8)))^2+Inputs!$C$6^2+((Inputs!$H$8+Inputs!$L$8*(((Inputs!$I$8+(((A62)+1)/2)*(Inputs!$J$8-Inputs!$I$8)))/Inputs!$K$8)^2))^2))-((Inputs!$H$8+Inputs!$L$8*(((Inputs!$I$8+(((A62)+1)/2)*(Inputs!$J$8-Inputs!$I$8)))/Inputs!$K$8)^2)))*1000/Inputs!$C$12)</x:f>
        <x:v>118266.21757916138</x:v>
      </x:c>
      <x:c r="AI62" s="48" t="n">
        <x:f>(((SQRT(((Inputs!$I$9+(((A62)+1)/2)*(Inputs!$J$9-Inputs!$I$9)))^2+Inputs!$C$6^2+((Inputs!$H$9+Inputs!$L$9*(((Inputs!$I$9+(((A62)+1)/2)*(Inputs!$J$9-Inputs!$I$9)))/Inputs!$K$9)^2))^2))-((Inputs!$H$9+Inputs!$L$9*(((Inputs!$I$9+(((A62)+1)/2)*(Inputs!$J$9-Inputs!$I$9)))/Inputs!$K$9)^2)))*1000/Inputs!$C$12)</x:f>
        <x:v>120110.64813142721</x:v>
      </x:c>
      <x:c r="AJ62" s="49"/>
      <x:c r="AK62" s="48" t="n">
        <x:f>A62</x:f>
        <x:v>-0.5</x:v>
      </x:c>
      <x:c r="AL62" s="48" t="n">
        <x:f>(-2*((1000*((((Inputs!$I$6+(((A62)+1)/2)*(Inputs!$J$6-Inputs!$I$6)))*Inputs!$C$11+((Inputs!$H$6+Inputs!$L$6*(((Inputs!$I$6+(((A62)+1)/2)*(Inputs!$J$6-Inputs!$I$6)))/Inputs!$K$6)^2))*((2*Inputs!$L$6*((Inputs!$I$6+(((A62)+1)/2)*(Inputs!$J$6-Inputs!$I$6)))/(Inputs!$K$6^2)*Inputs!$C$11)))/(SQRT(((Inputs!$I$6+(((A62)+1)/2)*(Inputs!$J$6-Inputs!$I$6)))^2+Inputs!$C$6^2+((Inputs!$H$6+Inputs!$L$6*(((Inputs!$I$6+(((A62)+1)/2)*(Inputs!$J$6-Inputs!$I$6)))/Inputs!$K$6)^2))^2)))))/Inputs!$C$13)</x:f>
        <x:v>225.3015814632407</x:v>
      </x:c>
      <x:c r="AM62" s="48" t="n">
        <x:f>(-2*((1000*((((Inputs!$I$7+(((A62)+1)/2)*(Inputs!$J$7-Inputs!$I$7)))*Inputs!$C$11+((Inputs!$H$7+Inputs!$L$7*(((Inputs!$I$7+(((A62)+1)/2)*(Inputs!$J$7-Inputs!$I$7)))/Inputs!$K$7)^2))*((2*Inputs!$L$7*((Inputs!$I$7+(((A62)+1)/2)*(Inputs!$J$7-Inputs!$I$7)))/(Inputs!$K$7^2)*Inputs!$C$11)))/(SQRT(((Inputs!$I$7+(((A62)+1)/2)*(Inputs!$J$7-Inputs!$I$7)))^2+Inputs!$C$6^2+((Inputs!$H$7+Inputs!$L$7*(((Inputs!$I$7+(((A62)+1)/2)*(Inputs!$J$7-Inputs!$I$7)))/Inputs!$K$7)^2))^2)))))/Inputs!$C$13)</x:f>
        <x:v>2120.5093925695264</x:v>
      </x:c>
      <x:c r="AN62" s="48" t="n">
        <x:f>(-2*((1000*((((Inputs!$I$8+(((A62)+1)/2)*(Inputs!$J$8-Inputs!$I$8)))*Inputs!$C$11+((Inputs!$H$8+Inputs!$L$8*(((Inputs!$I$8+(((A62)+1)/2)*(Inputs!$J$8-Inputs!$I$8)))/Inputs!$K$8)^2))*((2*Inputs!$L$8*((Inputs!$I$8+(((A62)+1)/2)*(Inputs!$J$8-Inputs!$I$8)))/(Inputs!$K$8^2)*Inputs!$C$11)))/(SQRT(((Inputs!$I$8+(((A62)+1)/2)*(Inputs!$J$8-Inputs!$I$8)))^2+Inputs!$C$6^2+((Inputs!$H$8+Inputs!$L$8*(((Inputs!$I$8+(((A62)+1)/2)*(Inputs!$J$8-Inputs!$I$8)))/Inputs!$K$8)^2))^2)))))/Inputs!$C$13)</x:f>
        <x:v>2410.1265086278</x:v>
      </x:c>
      <x:c r="AO62" s="48" t="n">
        <x:f>(-2*((1000*((((Inputs!$I$9+(((A62)+1)/2)*(Inputs!$J$9-Inputs!$I$9)))*Inputs!$C$11+((Inputs!$H$9+Inputs!$L$9*(((Inputs!$I$9+(((A62)+1)/2)*(Inputs!$J$9-Inputs!$I$9)))/Inputs!$K$9)^2))*((2*Inputs!$L$9*((Inputs!$I$9+(((A62)+1)/2)*(Inputs!$J$9-Inputs!$I$9)))/(Inputs!$K$9^2)*Inputs!$C$11)))/(SQRT(((Inputs!$I$9+(((A62)+1)/2)*(Inputs!$J$9-Inputs!$I$9)))^2+Inputs!$C$6^2+((Inputs!$H$9+Inputs!$L$9*(((Inputs!$I$9+(((A62)+1)/2)*(Inputs!$J$9-Inputs!$I$9)))/Inputs!$K$9)^2))^2)))))/Inputs!$C$13)</x:f>
        <x:v>2412.3300150114787</x:v>
      </x:c>
    </x:row>
    <x:row r="63">
      <x:c r="A63" s="48" t="n">
        <x:f>ROUND(-1+61*2/240,3)</x:f>
        <x:v>-0.492</x:v>
      </x:c>
      <x:c r="B63" s="48" t="n">
        <x:f>IF(OR(Inputs!$F$6=TRUE,Inputs!$F$6="TRUE",Inputs!$F$6=1),(Inputs!$H$6+Inputs!$L$6*(((Inputs!$I$6+(((A63)+1)/2)*(Inputs!$J$6-Inputs!$I$6)))/Inputs!$K$6)^2),NA())</x:f>
        <x:v>400.968256</x:v>
      </x:c>
      <x:c r="C63" s="48" t="n">
        <x:f>IF(OR(Inputs!$F$7=TRUE,Inputs!$F$7="TRUE",Inputs!$F$7=1),(Inputs!$H$7+Inputs!$L$7*(((Inputs!$I$7+(((A63)+1)/2)*(Inputs!$J$7-Inputs!$I$7)))/Inputs!$K$7)^2),NA())</x:f>
        <x:v>123.35336000000002</x:v>
      </x:c>
      <x:c r="D63" s="48" t="n">
        <x:f>IF(OR(Inputs!$F$8=TRUE,Inputs!$F$8="TRUE",Inputs!$F$8=1),(Inputs!$H$8+Inputs!$L$8*(((Inputs!$I$8+(((A63)+1)/2)*(Inputs!$J$8-Inputs!$I$8)))/Inputs!$K$8)^2),NA())</x:f>
        <x:v>268.59176</x:v>
      </x:c>
      <x:c r="E63" s="48" t="n">
        <x:f>IF(OR(Inputs!$F$9=TRUE,Inputs!$F$9="TRUE",Inputs!$F$9=1),(Inputs!$H$9+Inputs!$L$9*(((Inputs!$I$9+(((A63)+1)/2)*(Inputs!$J$9-Inputs!$I$9)))/Inputs!$K$9)^2),NA())</x:f>
        <x:v>261.01240000000007</x:v>
      </x:c>
      <x:c r="F63" s="49"/>
      <x:c r="G63" s="48" t="n">
        <x:f>A63</x:f>
        <x:v>-0.492</x:v>
      </x:c>
      <x:c r="H63" s="48" t="n">
        <x:f>IF(OR(Inputs!$F$6=TRUE,Inputs!$F$6="TRUE",Inputs!$F$6=1),(((SQRT(((Inputs!$I$6+(((A63)+1)/2)*(Inputs!$J$6-Inputs!$I$6)))^2+Inputs!$C$6^2+((Inputs!$H$6+Inputs!$L$6*(((Inputs!$I$6+(((A63)+1)/2)*(Inputs!$J$6-Inputs!$I$6)))/Inputs!$K$6)^2))^2))-((Inputs!$H$6+Inputs!$L$6*(((Inputs!$I$6+(((A63)+1)/2)*(Inputs!$J$6-Inputs!$I$6)))/Inputs!$K$6)^2)))*1000/Inputs!$C$12),NA())</x:f>
        <x:v>1045.8983664725858</x:v>
      </x:c>
      <x:c r="I63" s="48" t="n">
        <x:f>IF(OR(Inputs!$F$7=TRUE,Inputs!$F$7="TRUE",Inputs!$F$7=1),(((SQRT(((Inputs!$I$7+(((A63)+1)/2)*(Inputs!$J$7-Inputs!$I$7)))^2+Inputs!$C$6^2+((Inputs!$H$7+Inputs!$L$7*(((Inputs!$I$7+(((A63)+1)/2)*(Inputs!$J$7-Inputs!$I$7)))/Inputs!$K$7)^2))^2))-((Inputs!$H$7+Inputs!$L$7*(((Inputs!$I$7+(((A63)+1)/2)*(Inputs!$J$7-Inputs!$I$7)))/Inputs!$K$7)^2)))*1000/Inputs!$C$12),NA())</x:f>
        <x:v>61939.11806216811</x:v>
      </x:c>
      <x:c r="J63" s="48" t="n">
        <x:f>IF(OR(Inputs!$F$8=TRUE,Inputs!$F$8="TRUE",Inputs!$F$8=1),(((SQRT(((Inputs!$I$8+(((A63)+1)/2)*(Inputs!$J$8-Inputs!$I$8)))^2+Inputs!$C$6^2+((Inputs!$H$8+Inputs!$L$8*(((Inputs!$I$8+(((A63)+1)/2)*(Inputs!$J$8-Inputs!$I$8)))/Inputs!$K$8)^2))^2))-((Inputs!$H$8+Inputs!$L$8*(((Inputs!$I$8+(((A63)+1)/2)*(Inputs!$J$8-Inputs!$I$8)))/Inputs!$K$8)^2)))*1000/Inputs!$C$12),NA())</x:f>
        <x:v>117176.59936188685</x:v>
      </x:c>
      <x:c r="K63" s="48" t="n">
        <x:f>IF(OR(Inputs!$F$9=TRUE,Inputs!$F$9="TRUE",Inputs!$F$9=1),(((SQRT(((Inputs!$I$9+(((A63)+1)/2)*(Inputs!$J$9-Inputs!$I$9)))^2+Inputs!$C$6^2+((Inputs!$H$9+Inputs!$L$9*(((Inputs!$I$9+(((A63)+1)/2)*(Inputs!$J$9-Inputs!$I$9)))/Inputs!$K$9)^2))^2))-((Inputs!$H$9+Inputs!$L$9*(((Inputs!$I$9+(((A63)+1)/2)*(Inputs!$J$9-Inputs!$I$9)))/Inputs!$K$9)^2)))*1000/Inputs!$C$12),NA())</x:f>
        <x:v>119061.15584428063</x:v>
      </x:c>
      <x:c r="L63" s="49"/>
      <x:c r="M63" s="48" t="n">
        <x:f>A63</x:f>
        <x:v>-0.492</x:v>
      </x:c>
      <x:c r="N63" s="48" t="n">
        <x:f>IF(OR(Inputs!$F$6=TRUE,Inputs!$F$6="TRUE",Inputs!$F$6=1),(-2*((1000*((((Inputs!$I$6+(((A63)+1)/2)*(Inputs!$J$6-Inputs!$I$6)))*Inputs!$C$11+((Inputs!$H$6+Inputs!$L$6*(((Inputs!$I$6+(((A63)+1)/2)*(Inputs!$J$6-Inputs!$I$6)))/Inputs!$K$6)^2))*((2*Inputs!$L$6*((Inputs!$I$6+(((A63)+1)/2)*(Inputs!$J$6-Inputs!$I$6)))/(Inputs!$K$6^2)*Inputs!$C$11)))/(SQRT(((Inputs!$I$6+(((A63)+1)/2)*(Inputs!$J$6-Inputs!$I$6)))^2+Inputs!$C$6^2+((Inputs!$H$6+Inputs!$L$6*(((Inputs!$I$6+(((A63)+1)/2)*(Inputs!$J$6-Inputs!$I$6)))/Inputs!$K$6)^2))^2)))))/Inputs!$C$13),NA())</x:f>
        <x:v>221.72538814619696</x:v>
      </x:c>
      <x:c r="O63" s="48" t="n">
        <x:f>IF(OR(Inputs!$F$7=TRUE,Inputs!$F$7="TRUE",Inputs!$F$7=1),(-2*((1000*((((Inputs!$I$7+(((A63)+1)/2)*(Inputs!$J$7-Inputs!$I$7)))*Inputs!$C$11+((Inputs!$H$7+Inputs!$L$7*(((Inputs!$I$7+(((A63)+1)/2)*(Inputs!$J$7-Inputs!$I$7)))/Inputs!$K$7)^2))*((2*Inputs!$L$7*((Inputs!$I$7+(((A63)+1)/2)*(Inputs!$J$7-Inputs!$I$7)))/(Inputs!$K$7^2)*Inputs!$C$11)))/(SQRT(((Inputs!$I$7+(((A63)+1)/2)*(Inputs!$J$7-Inputs!$I$7)))^2+Inputs!$C$6^2+((Inputs!$H$7+Inputs!$L$7*(((Inputs!$I$7+(((A63)+1)/2)*(Inputs!$J$7-Inputs!$I$7)))/Inputs!$K$7)^2))^2)))))/Inputs!$C$13),NA())</x:f>
        <x:v>2106.5233700403096</x:v>
      </x:c>
      <x:c r="P63" s="48" t="n">
        <x:f>IF(OR(Inputs!$F$8=TRUE,Inputs!$F$8="TRUE",Inputs!$F$8=1),(-2*((1000*((((Inputs!$I$8+(((A63)+1)/2)*(Inputs!$J$8-Inputs!$I$8)))*Inputs!$C$11+((Inputs!$H$8+Inputs!$L$8*(((Inputs!$I$8+(((A63)+1)/2)*(Inputs!$J$8-Inputs!$I$8)))/Inputs!$K$8)^2))*((2*Inputs!$L$8*((Inputs!$I$8+(((A63)+1)/2)*(Inputs!$J$8-Inputs!$I$8)))/(Inputs!$K$8^2)*Inputs!$C$11)))/(SQRT(((Inputs!$I$8+(((A63)+1)/2)*(Inputs!$J$8-Inputs!$I$8)))^2+Inputs!$C$6^2+((Inputs!$H$8+Inputs!$L$8*(((Inputs!$I$8+(((A63)+1)/2)*(Inputs!$J$8-Inputs!$I$8)))/Inputs!$K$8)^2))^2)))))/Inputs!$C$13),NA())</x:f>
        <x:v>2388.7865606005753</x:v>
      </x:c>
      <x:c r="Q63" s="48" t="n">
        <x:f>IF(OR(Inputs!$F$9=TRUE,Inputs!$F$9="TRUE",Inputs!$F$9=1),(-2*((1000*((((Inputs!$I$9+(((A63)+1)/2)*(Inputs!$J$9-Inputs!$I$9)))*Inputs!$C$11+((Inputs!$H$9+Inputs!$L$9*(((Inputs!$I$9+(((A63)+1)/2)*(Inputs!$J$9-Inputs!$I$9)))/Inputs!$K$9)^2))*((2*Inputs!$L$9*((Inputs!$I$9+(((A63)+1)/2)*(Inputs!$J$9-Inputs!$I$9)))/(Inputs!$K$9^2)*Inputs!$C$11)))/(SQRT(((Inputs!$I$9+(((A63)+1)/2)*(Inputs!$J$9-Inputs!$I$9)))^2+Inputs!$C$6^2+((Inputs!$H$9+Inputs!$L$9*(((Inputs!$I$9+(((A63)+1)/2)*(Inputs!$J$9-Inputs!$I$9)))/Inputs!$K$9)^2))^2)))))/Inputs!$C$13),NA())</x:f>
        <x:v>2390.5518400502733</x:v>
      </x:c>
      <x:c r="R63" s="49"/>
      <x:c r="S63" s="48" t="n">
        <x:f>A63</x:f>
        <x:v>-0.492</x:v>
      </x:c>
      <x:c r="T63" s="48" t="n">
        <x:f>(Inputs!$I$6+(((A63)+1)/2)*(Inputs!$J$6-Inputs!$I$6))</x:f>
        <x:v>-29.52</x:v>
      </x:c>
      <x:c r="U63" s="48" t="n">
        <x:f>(Inputs!$I$7+(((A63)+1)/2)*(Inputs!$J$7-Inputs!$I$7))</x:f>
        <x:v>-196.8</x:v>
      </x:c>
      <x:c r="V63" s="48" t="n">
        <x:f>(Inputs!$I$8+(((A63)+1)/2)*(Inputs!$J$8-Inputs!$I$8))</x:f>
        <x:v>-393.6</x:v>
      </x:c>
      <x:c r="W63" s="48" t="n">
        <x:f>(Inputs!$I$9+(((A63)+1)/2)*(Inputs!$J$9-Inputs!$I$9))</x:f>
        <x:v>-393.6</x:v>
      </x:c>
      <x:c r="X63" s="49"/>
      <x:c r="Y63" s="48" t="n">
        <x:f>A63</x:f>
        <x:v>-0.492</x:v>
      </x:c>
      <x:c r="Z63" s="48" t="n">
        <x:f>(Inputs!$H$6+Inputs!$L$6*(((Inputs!$I$6+(((A63)+1)/2)*(Inputs!$J$6-Inputs!$I$6)))/Inputs!$K$6)^2)</x:f>
        <x:v>400.968256</x:v>
      </x:c>
      <x:c r="AA63" s="48" t="n">
        <x:f>(Inputs!$H$7+Inputs!$L$7*(((Inputs!$I$7+(((A63)+1)/2)*(Inputs!$J$7-Inputs!$I$7)))/Inputs!$K$7)^2)</x:f>
        <x:v>123.35336000000002</x:v>
      </x:c>
      <x:c r="AB63" s="48" t="n">
        <x:f>(Inputs!$H$8+Inputs!$L$8*(((Inputs!$I$8+(((A63)+1)/2)*(Inputs!$J$8-Inputs!$I$8)))/Inputs!$K$8)^2)</x:f>
        <x:v>268.59176</x:v>
      </x:c>
      <x:c r="AC63" s="48" t="n">
        <x:f>(Inputs!$H$9+Inputs!$L$9*(((Inputs!$I$9+(((A63)+1)/2)*(Inputs!$J$9-Inputs!$I$9)))/Inputs!$K$9)^2)</x:f>
        <x:v>261.01240000000007</x:v>
      </x:c>
      <x:c r="AD63" s="49"/>
      <x:c r="AE63" s="48" t="n">
        <x:f>A63</x:f>
        <x:v>-0.492</x:v>
      </x:c>
      <x:c r="AF63" s="48" t="n">
        <x:f>(((SQRT(((Inputs!$I$6+(((A63)+1)/2)*(Inputs!$J$6-Inputs!$I$6)))^2+Inputs!$C$6^2+((Inputs!$H$6+Inputs!$L$6*(((Inputs!$I$6+(((A63)+1)/2)*(Inputs!$J$6-Inputs!$I$6)))/Inputs!$K$6)^2))^2))-((Inputs!$H$6+Inputs!$L$6*(((Inputs!$I$6+(((A63)+1)/2)*(Inputs!$J$6-Inputs!$I$6)))/Inputs!$K$6)^2)))*1000/Inputs!$C$12)</x:f>
        <x:v>1045.8983664725858</x:v>
      </x:c>
      <x:c r="AG63" s="48" t="n">
        <x:f>(((SQRT(((Inputs!$I$7+(((A63)+1)/2)*(Inputs!$J$7-Inputs!$I$7)))^2+Inputs!$C$6^2+((Inputs!$H$7+Inputs!$L$7*(((Inputs!$I$7+(((A63)+1)/2)*(Inputs!$J$7-Inputs!$I$7)))/Inputs!$K$7)^2))^2))-((Inputs!$H$7+Inputs!$L$7*(((Inputs!$I$7+(((A63)+1)/2)*(Inputs!$J$7-Inputs!$I$7)))/Inputs!$K$7)^2)))*1000/Inputs!$C$12)</x:f>
        <x:v>61939.11806216811</x:v>
      </x:c>
      <x:c r="AH63" s="48" t="n">
        <x:f>(((SQRT(((Inputs!$I$8+(((A63)+1)/2)*(Inputs!$J$8-Inputs!$I$8)))^2+Inputs!$C$6^2+((Inputs!$H$8+Inputs!$L$8*(((Inputs!$I$8+(((A63)+1)/2)*(Inputs!$J$8-Inputs!$I$8)))/Inputs!$K$8)^2))^2))-((Inputs!$H$8+Inputs!$L$8*(((Inputs!$I$8+(((A63)+1)/2)*(Inputs!$J$8-Inputs!$I$8)))/Inputs!$K$8)^2)))*1000/Inputs!$C$12)</x:f>
        <x:v>117176.59936188685</x:v>
      </x:c>
      <x:c r="AI63" s="48" t="n">
        <x:f>(((SQRT(((Inputs!$I$9+(((A63)+1)/2)*(Inputs!$J$9-Inputs!$I$9)))^2+Inputs!$C$6^2+((Inputs!$H$9+Inputs!$L$9*(((Inputs!$I$9+(((A63)+1)/2)*(Inputs!$J$9-Inputs!$I$9)))/Inputs!$K$9)^2))^2))-((Inputs!$H$9+Inputs!$L$9*(((Inputs!$I$9+(((A63)+1)/2)*(Inputs!$J$9-Inputs!$I$9)))/Inputs!$K$9)^2)))*1000/Inputs!$C$12)</x:f>
        <x:v>119061.15584428063</x:v>
      </x:c>
      <x:c r="AJ63" s="49"/>
      <x:c r="AK63" s="48" t="n">
        <x:f>A63</x:f>
        <x:v>-0.492</x:v>
      </x:c>
      <x:c r="AL63" s="48" t="n">
        <x:f>(-2*((1000*((((Inputs!$I$6+(((A63)+1)/2)*(Inputs!$J$6-Inputs!$I$6)))*Inputs!$C$11+((Inputs!$H$6+Inputs!$L$6*(((Inputs!$I$6+(((A63)+1)/2)*(Inputs!$J$6-Inputs!$I$6)))/Inputs!$K$6)^2))*((2*Inputs!$L$6*((Inputs!$I$6+(((A63)+1)/2)*(Inputs!$J$6-Inputs!$I$6)))/(Inputs!$K$6^2)*Inputs!$C$11)))/(SQRT(((Inputs!$I$6+(((A63)+1)/2)*(Inputs!$J$6-Inputs!$I$6)))^2+Inputs!$C$6^2+((Inputs!$H$6+Inputs!$L$6*(((Inputs!$I$6+(((A63)+1)/2)*(Inputs!$J$6-Inputs!$I$6)))/Inputs!$K$6)^2))^2)))))/Inputs!$C$13)</x:f>
        <x:v>221.72538814619696</x:v>
      </x:c>
      <x:c r="AM63" s="48" t="n">
        <x:f>(-2*((1000*((((Inputs!$I$7+(((A63)+1)/2)*(Inputs!$J$7-Inputs!$I$7)))*Inputs!$C$11+((Inputs!$H$7+Inputs!$L$7*(((Inputs!$I$7+(((A63)+1)/2)*(Inputs!$J$7-Inputs!$I$7)))/Inputs!$K$7)^2))*((2*Inputs!$L$7*((Inputs!$I$7+(((A63)+1)/2)*(Inputs!$J$7-Inputs!$I$7)))/(Inputs!$K$7^2)*Inputs!$C$11)))/(SQRT(((Inputs!$I$7+(((A63)+1)/2)*(Inputs!$J$7-Inputs!$I$7)))^2+Inputs!$C$6^2+((Inputs!$H$7+Inputs!$L$7*(((Inputs!$I$7+(((A63)+1)/2)*(Inputs!$J$7-Inputs!$I$7)))/Inputs!$K$7)^2))^2)))))/Inputs!$C$13)</x:f>
        <x:v>2106.5233700403096</x:v>
      </x:c>
      <x:c r="AN63" s="48" t="n">
        <x:f>(-2*((1000*((((Inputs!$I$8+(((A63)+1)/2)*(Inputs!$J$8-Inputs!$I$8)))*Inputs!$C$11+((Inputs!$H$8+Inputs!$L$8*(((Inputs!$I$8+(((A63)+1)/2)*(Inputs!$J$8-Inputs!$I$8)))/Inputs!$K$8)^2))*((2*Inputs!$L$8*((Inputs!$I$8+(((A63)+1)/2)*(Inputs!$J$8-Inputs!$I$8)))/(Inputs!$K$8^2)*Inputs!$C$11)))/(SQRT(((Inputs!$I$8+(((A63)+1)/2)*(Inputs!$J$8-Inputs!$I$8)))^2+Inputs!$C$6^2+((Inputs!$H$8+Inputs!$L$8*(((Inputs!$I$8+(((A63)+1)/2)*(Inputs!$J$8-Inputs!$I$8)))/Inputs!$K$8)^2))^2)))))/Inputs!$C$13)</x:f>
        <x:v>2388.7865606005753</x:v>
      </x:c>
      <x:c r="AO63" s="48" t="n">
        <x:f>(-2*((1000*((((Inputs!$I$9+(((A63)+1)/2)*(Inputs!$J$9-Inputs!$I$9)))*Inputs!$C$11+((Inputs!$H$9+Inputs!$L$9*(((Inputs!$I$9+(((A63)+1)/2)*(Inputs!$J$9-Inputs!$I$9)))/Inputs!$K$9)^2))*((2*Inputs!$L$9*((Inputs!$I$9+(((A63)+1)/2)*(Inputs!$J$9-Inputs!$I$9)))/(Inputs!$K$9^2)*Inputs!$C$11)))/(SQRT(((Inputs!$I$9+(((A63)+1)/2)*(Inputs!$J$9-Inputs!$I$9)))^2+Inputs!$C$6^2+((Inputs!$H$9+Inputs!$L$9*(((Inputs!$I$9+(((A63)+1)/2)*(Inputs!$J$9-Inputs!$I$9)))/Inputs!$K$9)^2))^2)))))/Inputs!$C$13)</x:f>
        <x:v>2390.5518400502733</x:v>
      </x:c>
    </x:row>
    <x:row r="64">
      <x:c r="A64" s="48" t="n">
        <x:f>ROUND(-1+62*2/240,3)</x:f>
        <x:v>-0.483</x:v>
      </x:c>
      <x:c r="B64" s="48" t="n">
        <x:f>IF(OR(Inputs!$F$6=TRUE,Inputs!$F$6="TRUE",Inputs!$F$6=1),(Inputs!$H$6+Inputs!$L$6*(((Inputs!$I$6+(((A64)+1)/2)*(Inputs!$J$6-Inputs!$I$6)))/Inputs!$K$6)^2),NA())</x:f>
        <x:v>400.933156</x:v>
      </x:c>
      <x:c r="C64" s="48" t="n">
        <x:f>IF(OR(Inputs!$F$7=TRUE,Inputs!$F$7="TRUE",Inputs!$F$7=1),(Inputs!$H$7+Inputs!$L$7*(((Inputs!$I$7+(((A64)+1)/2)*(Inputs!$J$7-Inputs!$I$7)))/Inputs!$K$7)^2),NA())</x:f>
        <x:v>120.150485</x:v>
      </x:c>
      <x:c r="D64" s="48" t="n">
        <x:f>IF(OR(Inputs!$F$8=TRUE,Inputs!$F$8="TRUE",Inputs!$F$8=1),(Inputs!$H$8+Inputs!$L$8*(((Inputs!$I$8+(((A64)+1)/2)*(Inputs!$J$8-Inputs!$I$8)))/Inputs!$K$8)^2),NA())</x:f>
        <x:v>260.123885</x:v>
      </x:c>
      <x:c r="E64" s="48" t="n">
        <x:f>IF(OR(Inputs!$F$9=TRUE,Inputs!$F$9="TRUE",Inputs!$F$9=1),(Inputs!$H$9+Inputs!$L$9*(((Inputs!$I$9+(((A64)+1)/2)*(Inputs!$J$9-Inputs!$I$9)))/Inputs!$K$9)^2),NA())</x:f>
        <x:v>252.456775</x:v>
      </x:c>
      <x:c r="F64" s="49"/>
      <x:c r="G64" s="48" t="n">
        <x:f>A64</x:f>
        <x:v>-0.483</x:v>
      </x:c>
      <x:c r="H64" s="48" t="n">
        <x:f>IF(OR(Inputs!$F$6=TRUE,Inputs!$F$6="TRUE",Inputs!$F$6=1),(((SQRT(((Inputs!$I$6+(((A64)+1)/2)*(Inputs!$J$6-Inputs!$I$6)))^2+Inputs!$C$6^2+((Inputs!$H$6+Inputs!$L$6*(((Inputs!$I$6+(((A64)+1)/2)*(Inputs!$J$6-Inputs!$I$6)))/Inputs!$K$6)^2))^2))-((Inputs!$H$6+Inputs!$L$6*(((Inputs!$I$6+(((A64)+1)/2)*(Inputs!$J$6-Inputs!$I$6)))/Inputs!$K$6)^2)))*1000/Inputs!$C$12),NA())</x:f>
        <x:v>1023.9583819513614</x:v>
      </x:c>
      <x:c r="I64" s="48" t="n">
        <x:f>IF(OR(Inputs!$F$7=TRUE,Inputs!$F$7="TRUE",Inputs!$F$7=1),(((SQRT(((Inputs!$I$7+(((A64)+1)/2)*(Inputs!$J$7-Inputs!$I$7)))^2+Inputs!$C$6^2+((Inputs!$H$7+Inputs!$L$7*(((Inputs!$I$7+(((A64)+1)/2)*(Inputs!$J$7-Inputs!$I$7)))/Inputs!$K$7)^2))^2))-((Inputs!$H$7+Inputs!$L$7*(((Inputs!$I$7+(((A64)+1)/2)*(Inputs!$J$7-Inputs!$I$7)))/Inputs!$K$7)^2)))*1000/Inputs!$C$12),NA())</x:f>
        <x:v>61085.62288633844</x:v>
      </x:c>
      <x:c r="J64" s="48" t="n">
        <x:f>IF(OR(Inputs!$F$8=TRUE,Inputs!$F$8="TRUE",Inputs!$F$8=1),(((SQRT(((Inputs!$I$8+(((A64)+1)/2)*(Inputs!$J$8-Inputs!$I$8)))^2+Inputs!$C$6^2+((Inputs!$H$8+Inputs!$L$8*(((Inputs!$I$8+(((A64)+1)/2)*(Inputs!$J$8-Inputs!$I$8)))/Inputs!$K$8)^2))^2))-((Inputs!$H$8+Inputs!$L$8*(((Inputs!$I$8+(((A64)+1)/2)*(Inputs!$J$8-Inputs!$I$8)))/Inputs!$K$8)^2)))*1000/Inputs!$C$12),NA())</x:f>
        <x:v>115924.86478987196</x:v>
      </x:c>
      <x:c r="K64" s="48" t="n">
        <x:f>IF(OR(Inputs!$F$9=TRUE,Inputs!$F$9="TRUE",Inputs!$F$9=1),(((SQRT(((Inputs!$I$9+(((A64)+1)/2)*(Inputs!$J$9-Inputs!$I$9)))^2+Inputs!$C$6^2+((Inputs!$H$9+Inputs!$L$9*(((Inputs!$I$9+(((A64)+1)/2)*(Inputs!$J$9-Inputs!$I$9)))/Inputs!$K$9)^2))^2))-((Inputs!$H$9+Inputs!$L$9*(((Inputs!$I$9+(((A64)+1)/2)*(Inputs!$J$9-Inputs!$I$9)))/Inputs!$K$9)^2)))*1000/Inputs!$C$12),NA())</x:f>
        <x:v>117854.87273561949</x:v>
      </x:c>
      <x:c r="L64" s="49"/>
      <x:c r="M64" s="48" t="n">
        <x:f>A64</x:f>
        <x:v>-0.483</x:v>
      </x:c>
      <x:c r="N64" s="48" t="n">
        <x:f>IF(OR(Inputs!$F$6=TRUE,Inputs!$F$6="TRUE",Inputs!$F$6=1),(-2*((1000*((((Inputs!$I$6+(((A64)+1)/2)*(Inputs!$J$6-Inputs!$I$6)))*Inputs!$C$11+((Inputs!$H$6+Inputs!$L$6*(((Inputs!$I$6+(((A64)+1)/2)*(Inputs!$J$6-Inputs!$I$6)))/Inputs!$K$6)^2))*((2*Inputs!$L$6*((Inputs!$I$6+(((A64)+1)/2)*(Inputs!$J$6-Inputs!$I$6)))/(Inputs!$K$6^2)*Inputs!$C$11)))/(SQRT(((Inputs!$I$6+(((A64)+1)/2)*(Inputs!$J$6-Inputs!$I$6)))^2+Inputs!$C$6^2+((Inputs!$H$6+Inputs!$L$6*(((Inputs!$I$6+(((A64)+1)/2)*(Inputs!$J$6-Inputs!$I$6)))/Inputs!$K$6)^2))^2)))))/Inputs!$C$13),NA())</x:f>
        <x:v>217.70053212463367</x:v>
      </x:c>
      <x:c r="O64" s="48" t="n">
        <x:f>IF(OR(Inputs!$F$7=TRUE,Inputs!$F$7="TRUE",Inputs!$F$7=1),(-2*((1000*((((Inputs!$I$7+(((A64)+1)/2)*(Inputs!$J$7-Inputs!$I$7)))*Inputs!$C$11+((Inputs!$H$7+Inputs!$L$7*(((Inputs!$I$7+(((A64)+1)/2)*(Inputs!$J$7-Inputs!$I$7)))/Inputs!$K$7)^2))*((2*Inputs!$L$7*((Inputs!$I$7+(((A64)+1)/2)*(Inputs!$J$7-Inputs!$I$7)))/(Inputs!$K$7^2)*Inputs!$C$11)))/(SQRT(((Inputs!$I$7+(((A64)+1)/2)*(Inputs!$J$7-Inputs!$I$7)))^2+Inputs!$C$6^2+((Inputs!$H$7+Inputs!$L$7*(((Inputs!$I$7+(((A64)+1)/2)*(Inputs!$J$7-Inputs!$I$7)))/Inputs!$K$7)^2))^2)))))/Inputs!$C$13),NA())</x:f>
        <x:v>2090.9183303715336</x:v>
      </x:c>
      <x:c r="P64" s="48" t="n">
        <x:f>IF(OR(Inputs!$F$8=TRUE,Inputs!$F$8="TRUE",Inputs!$F$8=1),(-2*((1000*((((Inputs!$I$8+(((A64)+1)/2)*(Inputs!$J$8-Inputs!$I$8)))*Inputs!$C$11+((Inputs!$H$8+Inputs!$L$8*(((Inputs!$I$8+(((A64)+1)/2)*(Inputs!$J$8-Inputs!$I$8)))/Inputs!$K$8)^2))*((2*Inputs!$L$8*((Inputs!$I$8+(((A64)+1)/2)*(Inputs!$J$8-Inputs!$I$8)))/(Inputs!$K$8^2)*Inputs!$C$11)))/(SQRT(((Inputs!$I$8+(((A64)+1)/2)*(Inputs!$J$8-Inputs!$I$8)))^2+Inputs!$C$6^2+((Inputs!$H$8+Inputs!$L$8*(((Inputs!$I$8+(((A64)+1)/2)*(Inputs!$J$8-Inputs!$I$8)))/Inputs!$K$8)^2))^2)))))/Inputs!$C$13),NA())</x:f>
        <x:v>2365.0168872230556</x:v>
      </x:c>
      <x:c r="Q64" s="48" t="n">
        <x:f>IF(OR(Inputs!$F$9=TRUE,Inputs!$F$9="TRUE",Inputs!$F$9=1),(-2*((1000*((((Inputs!$I$9+(((A64)+1)/2)*(Inputs!$J$9-Inputs!$I$9)))*Inputs!$C$11+((Inputs!$H$9+Inputs!$L$9*(((Inputs!$I$9+(((A64)+1)/2)*(Inputs!$J$9-Inputs!$I$9)))/Inputs!$K$9)^2))*((2*Inputs!$L$9*((Inputs!$I$9+(((A64)+1)/2)*(Inputs!$J$9-Inputs!$I$9)))/(Inputs!$K$9^2)*Inputs!$C$11)))/(SQRT(((Inputs!$I$9+(((A64)+1)/2)*(Inputs!$J$9-Inputs!$I$9)))^2+Inputs!$C$6^2+((Inputs!$H$9+Inputs!$L$9*(((Inputs!$I$9+(((A64)+1)/2)*(Inputs!$J$9-Inputs!$I$9)))/Inputs!$K$9)^2))^2)))))/Inputs!$C$13),NA())</x:f>
        <x:v>2366.2956439243544</x:v>
      </x:c>
      <x:c r="R64" s="49"/>
      <x:c r="S64" s="48" t="n">
        <x:f>A64</x:f>
        <x:v>-0.483</x:v>
      </x:c>
      <x:c r="T64" s="48" t="n">
        <x:f>(Inputs!$I$6+(((A64)+1)/2)*(Inputs!$J$6-Inputs!$I$6))</x:f>
        <x:v>-28.98</x:v>
      </x:c>
      <x:c r="U64" s="48" t="n">
        <x:f>(Inputs!$I$7+(((A64)+1)/2)*(Inputs!$J$7-Inputs!$I$7))</x:f>
        <x:v>-193.2</x:v>
      </x:c>
      <x:c r="V64" s="48" t="n">
        <x:f>(Inputs!$I$8+(((A64)+1)/2)*(Inputs!$J$8-Inputs!$I$8))</x:f>
        <x:v>-386.4</x:v>
      </x:c>
      <x:c r="W64" s="48" t="n">
        <x:f>(Inputs!$I$9+(((A64)+1)/2)*(Inputs!$J$9-Inputs!$I$9))</x:f>
        <x:v>-386.4</x:v>
      </x:c>
      <x:c r="X64" s="49"/>
      <x:c r="Y64" s="48" t="n">
        <x:f>A64</x:f>
        <x:v>-0.483</x:v>
      </x:c>
      <x:c r="Z64" s="48" t="n">
        <x:f>(Inputs!$H$6+Inputs!$L$6*(((Inputs!$I$6+(((A64)+1)/2)*(Inputs!$J$6-Inputs!$I$6)))/Inputs!$K$6)^2)</x:f>
        <x:v>400.933156</x:v>
      </x:c>
      <x:c r="AA64" s="48" t="n">
        <x:f>(Inputs!$H$7+Inputs!$L$7*(((Inputs!$I$7+(((A64)+1)/2)*(Inputs!$J$7-Inputs!$I$7)))/Inputs!$K$7)^2)</x:f>
        <x:v>120.150485</x:v>
      </x:c>
      <x:c r="AB64" s="48" t="n">
        <x:f>(Inputs!$H$8+Inputs!$L$8*(((Inputs!$I$8+(((A64)+1)/2)*(Inputs!$J$8-Inputs!$I$8)))/Inputs!$K$8)^2)</x:f>
        <x:v>260.123885</x:v>
      </x:c>
      <x:c r="AC64" s="48" t="n">
        <x:f>(Inputs!$H$9+Inputs!$L$9*(((Inputs!$I$9+(((A64)+1)/2)*(Inputs!$J$9-Inputs!$I$9)))/Inputs!$K$9)^2)</x:f>
        <x:v>252.456775</x:v>
      </x:c>
      <x:c r="AD64" s="49"/>
      <x:c r="AE64" s="48" t="n">
        <x:f>A64</x:f>
        <x:v>-0.483</x:v>
      </x:c>
      <x:c r="AF64" s="48" t="n">
        <x:f>(((SQRT(((Inputs!$I$6+(((A64)+1)/2)*(Inputs!$J$6-Inputs!$I$6)))^2+Inputs!$C$6^2+((Inputs!$H$6+Inputs!$L$6*(((Inputs!$I$6+(((A64)+1)/2)*(Inputs!$J$6-Inputs!$I$6)))/Inputs!$K$6)^2))^2))-((Inputs!$H$6+Inputs!$L$6*(((Inputs!$I$6+(((A64)+1)/2)*(Inputs!$J$6-Inputs!$I$6)))/Inputs!$K$6)^2)))*1000/Inputs!$C$12)</x:f>
        <x:v>1023.9583819513614</x:v>
      </x:c>
      <x:c r="AG64" s="48" t="n">
        <x:f>(((SQRT(((Inputs!$I$7+(((A64)+1)/2)*(Inputs!$J$7-Inputs!$I$7)))^2+Inputs!$C$6^2+((Inputs!$H$7+Inputs!$L$7*(((Inputs!$I$7+(((A64)+1)/2)*(Inputs!$J$7-Inputs!$I$7)))/Inputs!$K$7)^2))^2))-((Inputs!$H$7+Inputs!$L$7*(((Inputs!$I$7+(((A64)+1)/2)*(Inputs!$J$7-Inputs!$I$7)))/Inputs!$K$7)^2)))*1000/Inputs!$C$12)</x:f>
        <x:v>61085.62288633844</x:v>
      </x:c>
      <x:c r="AH64" s="48" t="n">
        <x:f>(((SQRT(((Inputs!$I$8+(((A64)+1)/2)*(Inputs!$J$8-Inputs!$I$8)))^2+Inputs!$C$6^2+((Inputs!$H$8+Inputs!$L$8*(((Inputs!$I$8+(((A64)+1)/2)*(Inputs!$J$8-Inputs!$I$8)))/Inputs!$K$8)^2))^2))-((Inputs!$H$8+Inputs!$L$8*(((Inputs!$I$8+(((A64)+1)/2)*(Inputs!$J$8-Inputs!$I$8)))/Inputs!$K$8)^2)))*1000/Inputs!$C$12)</x:f>
        <x:v>115924.86478987196</x:v>
      </x:c>
      <x:c r="AI64" s="48" t="n">
        <x:f>(((SQRT(((Inputs!$I$9+(((A64)+1)/2)*(Inputs!$J$9-Inputs!$I$9)))^2+Inputs!$C$6^2+((Inputs!$H$9+Inputs!$L$9*(((Inputs!$I$9+(((A64)+1)/2)*(Inputs!$J$9-Inputs!$I$9)))/Inputs!$K$9)^2))^2))-((Inputs!$H$9+Inputs!$L$9*(((Inputs!$I$9+(((A64)+1)/2)*(Inputs!$J$9-Inputs!$I$9)))/Inputs!$K$9)^2)))*1000/Inputs!$C$12)</x:f>
        <x:v>117854.87273561949</x:v>
      </x:c>
      <x:c r="AJ64" s="49"/>
      <x:c r="AK64" s="48" t="n">
        <x:f>A64</x:f>
        <x:v>-0.483</x:v>
      </x:c>
      <x:c r="AL64" s="48" t="n">
        <x:f>(-2*((1000*((((Inputs!$I$6+(((A64)+1)/2)*(Inputs!$J$6-Inputs!$I$6)))*Inputs!$C$11+((Inputs!$H$6+Inputs!$L$6*(((Inputs!$I$6+(((A64)+1)/2)*(Inputs!$J$6-Inputs!$I$6)))/Inputs!$K$6)^2))*((2*Inputs!$L$6*((Inputs!$I$6+(((A64)+1)/2)*(Inputs!$J$6-Inputs!$I$6)))/(Inputs!$K$6^2)*Inputs!$C$11)))/(SQRT(((Inputs!$I$6+(((A64)+1)/2)*(Inputs!$J$6-Inputs!$I$6)))^2+Inputs!$C$6^2+((Inputs!$H$6+Inputs!$L$6*(((Inputs!$I$6+(((A64)+1)/2)*(Inputs!$J$6-Inputs!$I$6)))/Inputs!$K$6)^2))^2)))))/Inputs!$C$13)</x:f>
        <x:v>217.70053212463367</x:v>
      </x:c>
      <x:c r="AM64" s="48" t="n">
        <x:f>(-2*((1000*((((Inputs!$I$7+(((A64)+1)/2)*(Inputs!$J$7-Inputs!$I$7)))*Inputs!$C$11+((Inputs!$H$7+Inputs!$L$7*(((Inputs!$I$7+(((A64)+1)/2)*(Inputs!$J$7-Inputs!$I$7)))/Inputs!$K$7)^2))*((2*Inputs!$L$7*((Inputs!$I$7+(((A64)+1)/2)*(Inputs!$J$7-Inputs!$I$7)))/(Inputs!$K$7^2)*Inputs!$C$11)))/(SQRT(((Inputs!$I$7+(((A64)+1)/2)*(Inputs!$J$7-Inputs!$I$7)))^2+Inputs!$C$6^2+((Inputs!$H$7+Inputs!$L$7*(((Inputs!$I$7+(((A64)+1)/2)*(Inputs!$J$7-Inputs!$I$7)))/Inputs!$K$7)^2))^2)))))/Inputs!$C$13)</x:f>
        <x:v>2090.9183303715336</x:v>
      </x:c>
      <x:c r="AN64" s="48" t="n">
        <x:f>(-2*((1000*((((Inputs!$I$8+(((A64)+1)/2)*(Inputs!$J$8-Inputs!$I$8)))*Inputs!$C$11+((Inputs!$H$8+Inputs!$L$8*(((Inputs!$I$8+(((A64)+1)/2)*(Inputs!$J$8-Inputs!$I$8)))/Inputs!$K$8)^2))*((2*Inputs!$L$8*((Inputs!$I$8+(((A64)+1)/2)*(Inputs!$J$8-Inputs!$I$8)))/(Inputs!$K$8^2)*Inputs!$C$11)))/(SQRT(((Inputs!$I$8+(((A64)+1)/2)*(Inputs!$J$8-Inputs!$I$8)))^2+Inputs!$C$6^2+((Inputs!$H$8+Inputs!$L$8*(((Inputs!$I$8+(((A64)+1)/2)*(Inputs!$J$8-Inputs!$I$8)))/Inputs!$K$8)^2))^2)))))/Inputs!$C$13)</x:f>
        <x:v>2365.0168872230556</x:v>
      </x:c>
      <x:c r="AO64" s="48" t="n">
        <x:f>(-2*((1000*((((Inputs!$I$9+(((A64)+1)/2)*(Inputs!$J$9-Inputs!$I$9)))*Inputs!$C$11+((Inputs!$H$9+Inputs!$L$9*(((Inputs!$I$9+(((A64)+1)/2)*(Inputs!$J$9-Inputs!$I$9)))/Inputs!$K$9)^2))*((2*Inputs!$L$9*((Inputs!$I$9+(((A64)+1)/2)*(Inputs!$J$9-Inputs!$I$9)))/(Inputs!$K$9^2)*Inputs!$C$11)))/(SQRT(((Inputs!$I$9+(((A64)+1)/2)*(Inputs!$J$9-Inputs!$I$9)))^2+Inputs!$C$6^2+((Inputs!$H$9+Inputs!$L$9*(((Inputs!$I$9+(((A64)+1)/2)*(Inputs!$J$9-Inputs!$I$9)))/Inputs!$K$9)^2))^2)))))/Inputs!$C$13)</x:f>
        <x:v>2366.2956439243544</x:v>
      </x:c>
    </x:row>
    <x:row r="65">
      <x:c r="A65" s="48" t="n">
        <x:f>ROUND(-1+63*2/240,3)</x:f>
        <x:v>-0.475</x:v>
      </x:c>
      <x:c r="B65" s="48" t="n">
        <x:f>IF(OR(Inputs!$F$6=TRUE,Inputs!$F$6="TRUE",Inputs!$F$6=1),(Inputs!$H$6+Inputs!$L$6*(((Inputs!$I$6+(((A65)+1)/2)*(Inputs!$J$6-Inputs!$I$6)))/Inputs!$K$6)^2),NA())</x:f>
        <x:v>400.9025</x:v>
      </x:c>
      <x:c r="C65" s="48" t="n">
        <x:f>IF(OR(Inputs!$F$7=TRUE,Inputs!$F$7="TRUE",Inputs!$F$7=1),(Inputs!$H$7+Inputs!$L$7*(((Inputs!$I$7+(((A65)+1)/2)*(Inputs!$J$7-Inputs!$I$7)))/Inputs!$K$7)^2),NA())</x:f>
        <x:v>117.35312499999999</x:v>
      </x:c>
      <x:c r="D65" s="48" t="n">
        <x:f>IF(OR(Inputs!$F$8=TRUE,Inputs!$F$8="TRUE",Inputs!$F$8=1),(Inputs!$H$8+Inputs!$L$8*(((Inputs!$I$8+(((A65)+1)/2)*(Inputs!$J$8-Inputs!$I$8)))/Inputs!$K$8)^2),NA())</x:f>
        <x:v>252.728125</x:v>
      </x:c>
      <x:c r="E65" s="48" t="n">
        <x:f>IF(OR(Inputs!$F$9=TRUE,Inputs!$F$9="TRUE",Inputs!$F$9=1),(Inputs!$H$9+Inputs!$L$9*(((Inputs!$I$9+(((A65)+1)/2)*(Inputs!$J$9-Inputs!$I$9)))/Inputs!$K$9)^2),NA())</x:f>
        <x:v>244.984375</x:v>
      </x:c>
      <x:c r="F65" s="49"/>
      <x:c r="G65" s="48" t="n">
        <x:f>A65</x:f>
        <x:v>-0.475</x:v>
      </x:c>
      <x:c r="H65" s="48" t="n">
        <x:f>IF(OR(Inputs!$F$6=TRUE,Inputs!$F$6="TRUE",Inputs!$F$6=1),(((SQRT(((Inputs!$I$6+(((A65)+1)/2)*(Inputs!$J$6-Inputs!$I$6)))^2+Inputs!$C$6^2+((Inputs!$H$6+Inputs!$L$6*(((Inputs!$I$6+(((A65)+1)/2)*(Inputs!$J$6-Inputs!$I$6)))/Inputs!$K$6)^2))^2))-((Inputs!$H$6+Inputs!$L$6*(((Inputs!$I$6+(((A65)+1)/2)*(Inputs!$J$6-Inputs!$I$6)))/Inputs!$K$6)^2)))*1000/Inputs!$C$12),NA())</x:f>
        <x:v>1004.7913422626065</x:v>
      </x:c>
      <x:c r="I65" s="48" t="n">
        <x:f>IF(OR(Inputs!$F$7=TRUE,Inputs!$F$7="TRUE",Inputs!$F$7=1),(((SQRT(((Inputs!$I$7+(((A65)+1)/2)*(Inputs!$J$7-Inputs!$I$7)))^2+Inputs!$C$6^2+((Inputs!$H$7+Inputs!$L$7*(((Inputs!$I$7+(((A65)+1)/2)*(Inputs!$J$7-Inputs!$I$7)))/Inputs!$K$7)^2))^2))-((Inputs!$H$7+Inputs!$L$7*(((Inputs!$I$7+(((A65)+1)/2)*(Inputs!$J$7-Inputs!$I$7)))/Inputs!$K$7)^2)))*1000/Inputs!$C$12),NA())</x:f>
        <x:v>60315.566013439195</x:v>
      </x:c>
      <x:c r="J65" s="48" t="n">
        <x:f>IF(OR(Inputs!$F$8=TRUE,Inputs!$F$8="TRUE",Inputs!$F$8=1),(((SQRT(((Inputs!$I$8+(((A65)+1)/2)*(Inputs!$J$8-Inputs!$I$8)))^2+Inputs!$C$6^2+((Inputs!$H$8+Inputs!$L$8*(((Inputs!$I$8+(((A65)+1)/2)*(Inputs!$J$8-Inputs!$I$8)))/Inputs!$K$8)^2))^2))-((Inputs!$H$8+Inputs!$L$8*(((Inputs!$I$8+(((A65)+1)/2)*(Inputs!$J$8-Inputs!$I$8)))/Inputs!$K$8)^2)))*1000/Inputs!$C$12),NA())</x:f>
        <x:v>114788.67812487425</x:v>
      </x:c>
      <x:c r="K65" s="48" t="n">
        <x:f>IF(OR(Inputs!$F$9=TRUE,Inputs!$F$9="TRUE",Inputs!$F$9=1),(((SQRT(((Inputs!$I$9+(((A65)+1)/2)*(Inputs!$J$9-Inputs!$I$9)))^2+Inputs!$C$6^2+((Inputs!$H$9+Inputs!$L$9*(((Inputs!$I$9+(((A65)+1)/2)*(Inputs!$J$9-Inputs!$I$9)))/Inputs!$K$9)^2))^2))-((Inputs!$H$9+Inputs!$L$9*(((Inputs!$I$9+(((A65)+1)/2)*(Inputs!$J$9-Inputs!$I$9)))/Inputs!$K$9)^2)))*1000/Inputs!$C$12),NA())</x:f>
        <x:v>116759.34865806319</x:v>
      </x:c>
      <x:c r="L65" s="49"/>
      <x:c r="M65" s="48" t="n">
        <x:f>A65</x:f>
        <x:v>-0.475</x:v>
      </x:c>
      <x:c r="N65" s="48" t="n">
        <x:f>IF(OR(Inputs!$F$6=TRUE,Inputs!$F$6="TRUE",Inputs!$F$6=1),(-2*((1000*((((Inputs!$I$6+(((A65)+1)/2)*(Inputs!$J$6-Inputs!$I$6)))*Inputs!$C$11+((Inputs!$H$6+Inputs!$L$6*(((Inputs!$I$6+(((A65)+1)/2)*(Inputs!$J$6-Inputs!$I$6)))/Inputs!$K$6)^2))*((2*Inputs!$L$6*((Inputs!$I$6+(((A65)+1)/2)*(Inputs!$J$6-Inputs!$I$6)))/(Inputs!$K$6^2)*Inputs!$C$11)))/(SQRT(((Inputs!$I$6+(((A65)+1)/2)*(Inputs!$J$6-Inputs!$I$6)))^2+Inputs!$C$6^2+((Inputs!$H$6+Inputs!$L$6*(((Inputs!$I$6+(((A65)+1)/2)*(Inputs!$J$6-Inputs!$I$6)))/Inputs!$K$6)^2))^2)))))/Inputs!$C$13),NA())</x:f>
        <x:v>214.12144931249978</x:v>
      </x:c>
      <x:c r="O65" s="48" t="n">
        <x:f>IF(OR(Inputs!$F$7=TRUE,Inputs!$F$7="TRUE",Inputs!$F$7=1),(-2*((1000*((((Inputs!$I$7+(((A65)+1)/2)*(Inputs!$J$7-Inputs!$I$7)))*Inputs!$C$11+((Inputs!$H$7+Inputs!$L$7*(((Inputs!$I$7+(((A65)+1)/2)*(Inputs!$J$7-Inputs!$I$7)))/Inputs!$K$7)^2))*((2*Inputs!$L$7*((Inputs!$I$7+(((A65)+1)/2)*(Inputs!$J$7-Inputs!$I$7)))/(Inputs!$K$7^2)*Inputs!$C$11)))/(SQRT(((Inputs!$I$7+(((A65)+1)/2)*(Inputs!$J$7-Inputs!$I$7)))^2+Inputs!$C$6^2+((Inputs!$H$7+Inputs!$L$7*(((Inputs!$I$7+(((A65)+1)/2)*(Inputs!$J$7-Inputs!$I$7)))/Inputs!$K$7)^2))^2)))))/Inputs!$C$13),NA())</x:f>
        <x:v>2077.1605468760226</x:v>
      </x:c>
      <x:c r="P65" s="48" t="n">
        <x:f>IF(OR(Inputs!$F$8=TRUE,Inputs!$F$8="TRUE",Inputs!$F$8=1),(-2*((1000*((((Inputs!$I$8+(((A65)+1)/2)*(Inputs!$J$8-Inputs!$I$8)))*Inputs!$C$11+((Inputs!$H$8+Inputs!$L$8*(((Inputs!$I$8+(((A65)+1)/2)*(Inputs!$J$8-Inputs!$I$8)))/Inputs!$K$8)^2))*((2*Inputs!$L$8*((Inputs!$I$8+(((A65)+1)/2)*(Inputs!$J$8-Inputs!$I$8)))/(Inputs!$K$8^2)*Inputs!$C$11)))/(SQRT(((Inputs!$I$8+(((A65)+1)/2)*(Inputs!$J$8-Inputs!$I$8)))^2+Inputs!$C$6^2+((Inputs!$H$8+Inputs!$L$8*(((Inputs!$I$8+(((A65)+1)/2)*(Inputs!$J$8-Inputs!$I$8)))/Inputs!$K$8)^2))^2)))))/Inputs!$C$13),NA())</x:f>
        <x:v>2344.1032588773473</x:v>
      </x:c>
      <x:c r="Q65" s="48" t="n">
        <x:f>IF(OR(Inputs!$F$9=TRUE,Inputs!$F$9="TRUE",Inputs!$F$9=1),(-2*((1000*((((Inputs!$I$9+(((A65)+1)/2)*(Inputs!$J$9-Inputs!$I$9)))*Inputs!$C$11+((Inputs!$H$9+Inputs!$L$9*(((Inputs!$I$9+(((A65)+1)/2)*(Inputs!$J$9-Inputs!$I$9)))/Inputs!$K$9)^2))*((2*Inputs!$L$9*((Inputs!$I$9+(((A65)+1)/2)*(Inputs!$J$9-Inputs!$I$9)))/(Inputs!$K$9^2)*Inputs!$C$11)))/(SQRT(((Inputs!$I$9+(((A65)+1)/2)*(Inputs!$J$9-Inputs!$I$9)))^2+Inputs!$C$6^2+((Inputs!$H$9+Inputs!$L$9*(((Inputs!$I$9+(((A65)+1)/2)*(Inputs!$J$9-Inputs!$I$9)))/Inputs!$K$9)^2))^2)))))/Inputs!$C$13),NA())</x:f>
        <x:v>2344.9558277083142</x:v>
      </x:c>
      <x:c r="R65" s="49"/>
      <x:c r="S65" s="48" t="n">
        <x:f>A65</x:f>
        <x:v>-0.475</x:v>
      </x:c>
      <x:c r="T65" s="48" t="n">
        <x:f>(Inputs!$I$6+(((A65)+1)/2)*(Inputs!$J$6-Inputs!$I$6))</x:f>
        <x:v>-28.5</x:v>
      </x:c>
      <x:c r="U65" s="48" t="n">
        <x:f>(Inputs!$I$7+(((A65)+1)/2)*(Inputs!$J$7-Inputs!$I$7))</x:f>
        <x:v>-190</x:v>
      </x:c>
      <x:c r="V65" s="48" t="n">
        <x:f>(Inputs!$I$8+(((A65)+1)/2)*(Inputs!$J$8-Inputs!$I$8))</x:f>
        <x:v>-380</x:v>
      </x:c>
      <x:c r="W65" s="48" t="n">
        <x:f>(Inputs!$I$9+(((A65)+1)/2)*(Inputs!$J$9-Inputs!$I$9))</x:f>
        <x:v>-380</x:v>
      </x:c>
      <x:c r="X65" s="49"/>
      <x:c r="Y65" s="48" t="n">
        <x:f>A65</x:f>
        <x:v>-0.475</x:v>
      </x:c>
      <x:c r="Z65" s="48" t="n">
        <x:f>(Inputs!$H$6+Inputs!$L$6*(((Inputs!$I$6+(((A65)+1)/2)*(Inputs!$J$6-Inputs!$I$6)))/Inputs!$K$6)^2)</x:f>
        <x:v>400.9025</x:v>
      </x:c>
      <x:c r="AA65" s="48" t="n">
        <x:f>(Inputs!$H$7+Inputs!$L$7*(((Inputs!$I$7+(((A65)+1)/2)*(Inputs!$J$7-Inputs!$I$7)))/Inputs!$K$7)^2)</x:f>
        <x:v>117.35312499999999</x:v>
      </x:c>
      <x:c r="AB65" s="48" t="n">
        <x:f>(Inputs!$H$8+Inputs!$L$8*(((Inputs!$I$8+(((A65)+1)/2)*(Inputs!$J$8-Inputs!$I$8)))/Inputs!$K$8)^2)</x:f>
        <x:v>252.728125</x:v>
      </x:c>
      <x:c r="AC65" s="48" t="n">
        <x:f>(Inputs!$H$9+Inputs!$L$9*(((Inputs!$I$9+(((A65)+1)/2)*(Inputs!$J$9-Inputs!$I$9)))/Inputs!$K$9)^2)</x:f>
        <x:v>244.984375</x:v>
      </x:c>
      <x:c r="AD65" s="49"/>
      <x:c r="AE65" s="48" t="n">
        <x:f>A65</x:f>
        <x:v>-0.475</x:v>
      </x:c>
      <x:c r="AF65" s="48" t="n">
        <x:f>(((SQRT(((Inputs!$I$6+(((A65)+1)/2)*(Inputs!$J$6-Inputs!$I$6)))^2+Inputs!$C$6^2+((Inputs!$H$6+Inputs!$L$6*(((Inputs!$I$6+(((A65)+1)/2)*(Inputs!$J$6-Inputs!$I$6)))/Inputs!$K$6)^2))^2))-((Inputs!$H$6+Inputs!$L$6*(((Inputs!$I$6+(((A65)+1)/2)*(Inputs!$J$6-Inputs!$I$6)))/Inputs!$K$6)^2)))*1000/Inputs!$C$12)</x:f>
        <x:v>1004.7913422626065</x:v>
      </x:c>
      <x:c r="AG65" s="48" t="n">
        <x:f>(((SQRT(((Inputs!$I$7+(((A65)+1)/2)*(Inputs!$J$7-Inputs!$I$7)))^2+Inputs!$C$6^2+((Inputs!$H$7+Inputs!$L$7*(((Inputs!$I$7+(((A65)+1)/2)*(Inputs!$J$7-Inputs!$I$7)))/Inputs!$K$7)^2))^2))-((Inputs!$H$7+Inputs!$L$7*(((Inputs!$I$7+(((A65)+1)/2)*(Inputs!$J$7-Inputs!$I$7)))/Inputs!$K$7)^2)))*1000/Inputs!$C$12)</x:f>
        <x:v>60315.566013439195</x:v>
      </x:c>
      <x:c r="AH65" s="48" t="n">
        <x:f>(((SQRT(((Inputs!$I$8+(((A65)+1)/2)*(Inputs!$J$8-Inputs!$I$8)))^2+Inputs!$C$6^2+((Inputs!$H$8+Inputs!$L$8*(((Inputs!$I$8+(((A65)+1)/2)*(Inputs!$J$8-Inputs!$I$8)))/Inputs!$K$8)^2))^2))-((Inputs!$H$8+Inputs!$L$8*(((Inputs!$I$8+(((A65)+1)/2)*(Inputs!$J$8-Inputs!$I$8)))/Inputs!$K$8)^2)))*1000/Inputs!$C$12)</x:f>
        <x:v>114788.67812487425</x:v>
      </x:c>
      <x:c r="AI65" s="48" t="n">
        <x:f>(((SQRT(((Inputs!$I$9+(((A65)+1)/2)*(Inputs!$J$9-Inputs!$I$9)))^2+Inputs!$C$6^2+((Inputs!$H$9+Inputs!$L$9*(((Inputs!$I$9+(((A65)+1)/2)*(Inputs!$J$9-Inputs!$I$9)))/Inputs!$K$9)^2))^2))-((Inputs!$H$9+Inputs!$L$9*(((Inputs!$I$9+(((A65)+1)/2)*(Inputs!$J$9-Inputs!$I$9)))/Inputs!$K$9)^2)))*1000/Inputs!$C$12)</x:f>
        <x:v>116759.34865806319</x:v>
      </x:c>
      <x:c r="AJ65" s="49"/>
      <x:c r="AK65" s="48" t="n">
        <x:f>A65</x:f>
        <x:v>-0.475</x:v>
      </x:c>
      <x:c r="AL65" s="48" t="n">
        <x:f>(-2*((1000*((((Inputs!$I$6+(((A65)+1)/2)*(Inputs!$J$6-Inputs!$I$6)))*Inputs!$C$11+((Inputs!$H$6+Inputs!$L$6*(((Inputs!$I$6+(((A65)+1)/2)*(Inputs!$J$6-Inputs!$I$6)))/Inputs!$K$6)^2))*((2*Inputs!$L$6*((Inputs!$I$6+(((A65)+1)/2)*(Inputs!$J$6-Inputs!$I$6)))/(Inputs!$K$6^2)*Inputs!$C$11)))/(SQRT(((Inputs!$I$6+(((A65)+1)/2)*(Inputs!$J$6-Inputs!$I$6)))^2+Inputs!$C$6^2+((Inputs!$H$6+Inputs!$L$6*(((Inputs!$I$6+(((A65)+1)/2)*(Inputs!$J$6-Inputs!$I$6)))/Inputs!$K$6)^2))^2)))))/Inputs!$C$13)</x:f>
        <x:v>214.12144931249978</x:v>
      </x:c>
      <x:c r="AM65" s="48" t="n">
        <x:f>(-2*((1000*((((Inputs!$I$7+(((A65)+1)/2)*(Inputs!$J$7-Inputs!$I$7)))*Inputs!$C$11+((Inputs!$H$7+Inputs!$L$7*(((Inputs!$I$7+(((A65)+1)/2)*(Inputs!$J$7-Inputs!$I$7)))/Inputs!$K$7)^2))*((2*Inputs!$L$7*((Inputs!$I$7+(((A65)+1)/2)*(Inputs!$J$7-Inputs!$I$7)))/(Inputs!$K$7^2)*Inputs!$C$11)))/(SQRT(((Inputs!$I$7+(((A65)+1)/2)*(Inputs!$J$7-Inputs!$I$7)))^2+Inputs!$C$6^2+((Inputs!$H$7+Inputs!$L$7*(((Inputs!$I$7+(((A65)+1)/2)*(Inputs!$J$7-Inputs!$I$7)))/Inputs!$K$7)^2))^2)))))/Inputs!$C$13)</x:f>
        <x:v>2077.1605468760226</x:v>
      </x:c>
      <x:c r="AN65" s="48" t="n">
        <x:f>(-2*((1000*((((Inputs!$I$8+(((A65)+1)/2)*(Inputs!$J$8-Inputs!$I$8)))*Inputs!$C$11+((Inputs!$H$8+Inputs!$L$8*(((Inputs!$I$8+(((A65)+1)/2)*(Inputs!$J$8-Inputs!$I$8)))/Inputs!$K$8)^2))*((2*Inputs!$L$8*((Inputs!$I$8+(((A65)+1)/2)*(Inputs!$J$8-Inputs!$I$8)))/(Inputs!$K$8^2)*Inputs!$C$11)))/(SQRT(((Inputs!$I$8+(((A65)+1)/2)*(Inputs!$J$8-Inputs!$I$8)))^2+Inputs!$C$6^2+((Inputs!$H$8+Inputs!$L$8*(((Inputs!$I$8+(((A65)+1)/2)*(Inputs!$J$8-Inputs!$I$8)))/Inputs!$K$8)^2))^2)))))/Inputs!$C$13)</x:f>
        <x:v>2344.1032588773473</x:v>
      </x:c>
      <x:c r="AO65" s="48" t="n">
        <x:f>(-2*((1000*((((Inputs!$I$9+(((A65)+1)/2)*(Inputs!$J$9-Inputs!$I$9)))*Inputs!$C$11+((Inputs!$H$9+Inputs!$L$9*(((Inputs!$I$9+(((A65)+1)/2)*(Inputs!$J$9-Inputs!$I$9)))/Inputs!$K$9)^2))*((2*Inputs!$L$9*((Inputs!$I$9+(((A65)+1)/2)*(Inputs!$J$9-Inputs!$I$9)))/(Inputs!$K$9^2)*Inputs!$C$11)))/(SQRT(((Inputs!$I$9+(((A65)+1)/2)*(Inputs!$J$9-Inputs!$I$9)))^2+Inputs!$C$6^2+((Inputs!$H$9+Inputs!$L$9*(((Inputs!$I$9+(((A65)+1)/2)*(Inputs!$J$9-Inputs!$I$9)))/Inputs!$K$9)^2))^2)))))/Inputs!$C$13)</x:f>
        <x:v>2344.9558277083142</x:v>
      </x:c>
    </x:row>
    <x:row r="66">
      <x:c r="A66" s="48" t="n">
        <x:f>ROUND(-1+64*2/240,3)</x:f>
        <x:v>-0.467</x:v>
      </x:c>
      <x:c r="B66" s="48" t="n">
        <x:f>IF(OR(Inputs!$F$6=TRUE,Inputs!$F$6="TRUE",Inputs!$F$6=1),(Inputs!$H$6+Inputs!$L$6*(((Inputs!$I$6+(((A66)+1)/2)*(Inputs!$J$6-Inputs!$I$6)))/Inputs!$K$6)^2),NA())</x:f>
        <x:v>400.872356</x:v>
      </x:c>
      <x:c r="C66" s="48" t="n">
        <x:f>IF(OR(Inputs!$F$7=TRUE,Inputs!$F$7="TRUE",Inputs!$F$7=1),(Inputs!$H$7+Inputs!$L$7*(((Inputs!$I$7+(((A66)+1)/2)*(Inputs!$J$7-Inputs!$I$7)))/Inputs!$K$7)^2),NA())</x:f>
        <x:v>114.60248500000003</x:v>
      </x:c>
      <x:c r="D66" s="48" t="n">
        <x:f>IF(OR(Inputs!$F$8=TRUE,Inputs!$F$8="TRUE",Inputs!$F$8=1),(Inputs!$H$8+Inputs!$L$8*(((Inputs!$I$8+(((A66)+1)/2)*(Inputs!$J$8-Inputs!$I$8)))/Inputs!$K$8)^2),NA())</x:f>
        <x:v>245.45588500000008</x:v>
      </x:c>
      <x:c r="E66" s="48" t="n">
        <x:f>IF(OR(Inputs!$F$9=TRUE,Inputs!$F$9="TRUE",Inputs!$F$9=1),(Inputs!$H$9+Inputs!$L$9*(((Inputs!$I$9+(((A66)+1)/2)*(Inputs!$J$9-Inputs!$I$9)))/Inputs!$K$9)^2),NA())</x:f>
        <x:v>237.63677500000009</x:v>
      </x:c>
      <x:c r="F66" s="49"/>
      <x:c r="G66" s="48" t="n">
        <x:f>A66</x:f>
        <x:v>-0.467</x:v>
      </x:c>
      <x:c r="H66" s="48" t="n">
        <x:f>IF(OR(Inputs!$F$6=TRUE,Inputs!$F$6="TRUE",Inputs!$F$6=1),(((SQRT(((Inputs!$I$6+(((A66)+1)/2)*(Inputs!$J$6-Inputs!$I$6)))^2+Inputs!$C$6^2+((Inputs!$H$6+Inputs!$L$6*(((Inputs!$I$6+(((A66)+1)/2)*(Inputs!$J$6-Inputs!$I$6)))/Inputs!$K$6)^2))^2))-((Inputs!$H$6+Inputs!$L$6*(((Inputs!$I$6+(((A66)+1)/2)*(Inputs!$J$6-Inputs!$I$6)))/Inputs!$K$6)^2)))*1000/Inputs!$C$12),NA())</x:f>
        <x:v>985.9399904179851</x:v>
      </x:c>
      <x:c r="I66" s="48" t="n">
        <x:f>IF(OR(Inputs!$F$7=TRUE,Inputs!$F$7="TRUE",Inputs!$F$7=1),(((SQRT(((Inputs!$I$7+(((A66)+1)/2)*(Inputs!$J$7-Inputs!$I$7)))^2+Inputs!$C$6^2+((Inputs!$H$7+Inputs!$L$7*(((Inputs!$I$7+(((A66)+1)/2)*(Inputs!$J$7-Inputs!$I$7)))/Inputs!$K$7)^2))^2))-((Inputs!$H$7+Inputs!$L$7*(((Inputs!$I$7+(((A66)+1)/2)*(Inputs!$J$7-Inputs!$I$7)))/Inputs!$K$7)^2)))*1000/Inputs!$C$12),NA())</x:f>
        <x:v>59534.660985340124</x:v>
      </x:c>
      <x:c r="J66" s="48" t="n">
        <x:f>IF(OR(Inputs!$F$8=TRUE,Inputs!$F$8="TRUE",Inputs!$F$8=1),(((SQRT(((Inputs!$I$8+(((A66)+1)/2)*(Inputs!$J$8-Inputs!$I$8)))^2+Inputs!$C$6^2+((Inputs!$H$8+Inputs!$L$8*(((Inputs!$I$8+(((A66)+1)/2)*(Inputs!$J$8-Inputs!$I$8)))/Inputs!$K$8)^2))^2))-((Inputs!$H$8+Inputs!$L$8*(((Inputs!$I$8+(((A66)+1)/2)*(Inputs!$J$8-Inputs!$I$8)))/Inputs!$K$8)^2)))*1000/Inputs!$C$12),NA())</x:f>
        <x:v>113629.86460237192</x:v>
      </x:c>
      <x:c r="K66" s="48" t="n">
        <x:f>IF(OR(Inputs!$F$9=TRUE,Inputs!$F$9="TRUE",Inputs!$F$9=1),(((SQRT(((Inputs!$I$9+(((A66)+1)/2)*(Inputs!$J$9-Inputs!$I$9)))^2+Inputs!$C$6^2+((Inputs!$H$9+Inputs!$L$9*(((Inputs!$I$9+(((A66)+1)/2)*(Inputs!$J$9-Inputs!$I$9)))/Inputs!$K$9)^2))^2))-((Inputs!$H$9+Inputs!$L$9*(((Inputs!$I$9+(((A66)+1)/2)*(Inputs!$J$9-Inputs!$I$9)))/Inputs!$K$9)^2)))*1000/Inputs!$C$12),NA())</x:f>
        <x:v>115641.42922486359</x:v>
      </x:c>
      <x:c r="L66" s="49"/>
      <x:c r="M66" s="48" t="n">
        <x:f>A66</x:f>
        <x:v>-0.467</x:v>
      </x:c>
      <x:c r="N66" s="48" t="n">
        <x:f>IF(OR(Inputs!$F$6=TRUE,Inputs!$F$6="TRUE",Inputs!$F$6=1),(-2*((1000*((((Inputs!$I$6+(((A66)+1)/2)*(Inputs!$J$6-Inputs!$I$6)))*Inputs!$C$11+((Inputs!$H$6+Inputs!$L$6*(((Inputs!$I$6+(((A66)+1)/2)*(Inputs!$J$6-Inputs!$I$6)))/Inputs!$K$6)^2))*((2*Inputs!$L$6*((Inputs!$I$6+(((A66)+1)/2)*(Inputs!$J$6-Inputs!$I$6)))/(Inputs!$K$6^2)*Inputs!$C$11)))/(SQRT(((Inputs!$I$6+(((A66)+1)/2)*(Inputs!$J$6-Inputs!$I$6)))^2+Inputs!$C$6^2+((Inputs!$H$6+Inputs!$L$6*(((Inputs!$I$6+(((A66)+1)/2)*(Inputs!$J$6-Inputs!$I$6)))/Inputs!$K$6)^2))^2)))))/Inputs!$C$13),NA())</x:f>
        <x:v>210.54103992174888</x:v>
      </x:c>
      <x:c r="O66" s="48" t="n">
        <x:f>IF(OR(Inputs!$F$7=TRUE,Inputs!$F$7="TRUE",Inputs!$F$7=1),(-2*((1000*((((Inputs!$I$7+(((A66)+1)/2)*(Inputs!$J$7-Inputs!$I$7)))*Inputs!$C$11+((Inputs!$H$7+Inputs!$L$7*(((Inputs!$I$7+(((A66)+1)/2)*(Inputs!$J$7-Inputs!$I$7)))/Inputs!$K$7)^2))*((2*Inputs!$L$7*((Inputs!$I$7+(((A66)+1)/2)*(Inputs!$J$7-Inputs!$I$7)))/(Inputs!$K$7^2)*Inputs!$C$11)))/(SQRT(((Inputs!$I$7+(((A66)+1)/2)*(Inputs!$J$7-Inputs!$I$7)))^2+Inputs!$C$6^2+((Inputs!$H$7+Inputs!$L$7*(((Inputs!$I$7+(((A66)+1)/2)*(Inputs!$J$7-Inputs!$I$7)))/Inputs!$K$7)^2))^2)))))/Inputs!$C$13),NA())</x:f>
        <x:v>2063.5077480007144</x:v>
      </x:c>
      <x:c r="P66" s="48" t="n">
        <x:f>IF(OR(Inputs!$F$8=TRUE,Inputs!$F$8="TRUE",Inputs!$F$8=1),(-2*((1000*((((Inputs!$I$8+(((A66)+1)/2)*(Inputs!$J$8-Inputs!$I$8)))*Inputs!$C$11+((Inputs!$H$8+Inputs!$L$8*(((Inputs!$I$8+(((A66)+1)/2)*(Inputs!$J$8-Inputs!$I$8)))/Inputs!$K$8)^2))*((2*Inputs!$L$8*((Inputs!$I$8+(((A66)+1)/2)*(Inputs!$J$8-Inputs!$I$8)))/(Inputs!$K$8^2)*Inputs!$C$11)))/(SQRT(((Inputs!$I$8+(((A66)+1)/2)*(Inputs!$J$8-Inputs!$I$8)))^2+Inputs!$C$6^2+((Inputs!$H$8+Inputs!$L$8*(((Inputs!$I$8+(((A66)+1)/2)*(Inputs!$J$8-Inputs!$I$8)))/Inputs!$K$8)^2))^2)))))/Inputs!$C$13),NA())</x:f>
        <x:v>2323.395326081826</x:v>
      </x:c>
      <x:c r="Q66" s="48" t="n">
        <x:f>IF(OR(Inputs!$F$9=TRUE,Inputs!$F$9="TRUE",Inputs!$F$9=1),(-2*((1000*((((Inputs!$I$9+(((A66)+1)/2)*(Inputs!$J$9-Inputs!$I$9)))*Inputs!$C$11+((Inputs!$H$9+Inputs!$L$9*(((Inputs!$I$9+(((A66)+1)/2)*(Inputs!$J$9-Inputs!$I$9)))/Inputs!$K$9)^2))*((2*Inputs!$L$9*((Inputs!$I$9+(((A66)+1)/2)*(Inputs!$J$9-Inputs!$I$9)))/(Inputs!$K$9^2)*Inputs!$C$11)))/(SQRT(((Inputs!$I$9+(((A66)+1)/2)*(Inputs!$J$9-Inputs!$I$9)))^2+Inputs!$C$6^2+((Inputs!$H$9+Inputs!$L$9*(((Inputs!$I$9+(((A66)+1)/2)*(Inputs!$J$9-Inputs!$I$9)))/Inputs!$K$9)^2))^2)))))/Inputs!$C$13),NA())</x:f>
        <x:v>2323.8281317080573</x:v>
      </x:c>
      <x:c r="R66" s="49"/>
      <x:c r="S66" s="48" t="n">
        <x:f>A66</x:f>
        <x:v>-0.467</x:v>
      </x:c>
      <x:c r="T66" s="48" t="n">
        <x:f>(Inputs!$I$6+(((A66)+1)/2)*(Inputs!$J$6-Inputs!$I$6))</x:f>
        <x:v>-28.020000000000003</x:v>
      </x:c>
      <x:c r="U66" s="48" t="n">
        <x:f>(Inputs!$I$7+(((A66)+1)/2)*(Inputs!$J$7-Inputs!$I$7))</x:f>
        <x:v>-186.80000000000004</x:v>
      </x:c>
      <x:c r="V66" s="48" t="n">
        <x:f>(Inputs!$I$8+(((A66)+1)/2)*(Inputs!$J$8-Inputs!$I$8))</x:f>
        <x:v>-373.6000000000001</x:v>
      </x:c>
      <x:c r="W66" s="48" t="n">
        <x:f>(Inputs!$I$9+(((A66)+1)/2)*(Inputs!$J$9-Inputs!$I$9))</x:f>
        <x:v>-373.6000000000001</x:v>
      </x:c>
      <x:c r="X66" s="49"/>
      <x:c r="Y66" s="48" t="n">
        <x:f>A66</x:f>
        <x:v>-0.467</x:v>
      </x:c>
      <x:c r="Z66" s="48" t="n">
        <x:f>(Inputs!$H$6+Inputs!$L$6*(((Inputs!$I$6+(((A66)+1)/2)*(Inputs!$J$6-Inputs!$I$6)))/Inputs!$K$6)^2)</x:f>
        <x:v>400.872356</x:v>
      </x:c>
      <x:c r="AA66" s="48" t="n">
        <x:f>(Inputs!$H$7+Inputs!$L$7*(((Inputs!$I$7+(((A66)+1)/2)*(Inputs!$J$7-Inputs!$I$7)))/Inputs!$K$7)^2)</x:f>
        <x:v>114.60248500000003</x:v>
      </x:c>
      <x:c r="AB66" s="48" t="n">
        <x:f>(Inputs!$H$8+Inputs!$L$8*(((Inputs!$I$8+(((A66)+1)/2)*(Inputs!$J$8-Inputs!$I$8)))/Inputs!$K$8)^2)</x:f>
        <x:v>245.45588500000008</x:v>
      </x:c>
      <x:c r="AC66" s="48" t="n">
        <x:f>(Inputs!$H$9+Inputs!$L$9*(((Inputs!$I$9+(((A66)+1)/2)*(Inputs!$J$9-Inputs!$I$9)))/Inputs!$K$9)^2)</x:f>
        <x:v>237.63677500000009</x:v>
      </x:c>
      <x:c r="AD66" s="49"/>
      <x:c r="AE66" s="48" t="n">
        <x:f>A66</x:f>
        <x:v>-0.467</x:v>
      </x:c>
      <x:c r="AF66" s="48" t="n">
        <x:f>(((SQRT(((Inputs!$I$6+(((A66)+1)/2)*(Inputs!$J$6-Inputs!$I$6)))^2+Inputs!$C$6^2+((Inputs!$H$6+Inputs!$L$6*(((Inputs!$I$6+(((A66)+1)/2)*(Inputs!$J$6-Inputs!$I$6)))/Inputs!$K$6)^2))^2))-((Inputs!$H$6+Inputs!$L$6*(((Inputs!$I$6+(((A66)+1)/2)*(Inputs!$J$6-Inputs!$I$6)))/Inputs!$K$6)^2)))*1000/Inputs!$C$12)</x:f>
        <x:v>985.9399904179851</x:v>
      </x:c>
      <x:c r="AG66" s="48" t="n">
        <x:f>(((SQRT(((Inputs!$I$7+(((A66)+1)/2)*(Inputs!$J$7-Inputs!$I$7)))^2+Inputs!$C$6^2+((Inputs!$H$7+Inputs!$L$7*(((Inputs!$I$7+(((A66)+1)/2)*(Inputs!$J$7-Inputs!$I$7)))/Inputs!$K$7)^2))^2))-((Inputs!$H$7+Inputs!$L$7*(((Inputs!$I$7+(((A66)+1)/2)*(Inputs!$J$7-Inputs!$I$7)))/Inputs!$K$7)^2)))*1000/Inputs!$C$12)</x:f>
        <x:v>59534.660985340124</x:v>
      </x:c>
      <x:c r="AH66" s="48" t="n">
        <x:f>(((SQRT(((Inputs!$I$8+(((A66)+1)/2)*(Inputs!$J$8-Inputs!$I$8)))^2+Inputs!$C$6^2+((Inputs!$H$8+Inputs!$L$8*(((Inputs!$I$8+(((A66)+1)/2)*(Inputs!$J$8-Inputs!$I$8)))/Inputs!$K$8)^2))^2))-((Inputs!$H$8+Inputs!$L$8*(((Inputs!$I$8+(((A66)+1)/2)*(Inputs!$J$8-Inputs!$I$8)))/Inputs!$K$8)^2)))*1000/Inputs!$C$12)</x:f>
        <x:v>113629.86460237192</x:v>
      </x:c>
      <x:c r="AI66" s="48" t="n">
        <x:f>(((SQRT(((Inputs!$I$9+(((A66)+1)/2)*(Inputs!$J$9-Inputs!$I$9)))^2+Inputs!$C$6^2+((Inputs!$H$9+Inputs!$L$9*(((Inputs!$I$9+(((A66)+1)/2)*(Inputs!$J$9-Inputs!$I$9)))/Inputs!$K$9)^2))^2))-((Inputs!$H$9+Inputs!$L$9*(((Inputs!$I$9+(((A66)+1)/2)*(Inputs!$J$9-Inputs!$I$9)))/Inputs!$K$9)^2)))*1000/Inputs!$C$12)</x:f>
        <x:v>115641.42922486359</x:v>
      </x:c>
      <x:c r="AJ66" s="49"/>
      <x:c r="AK66" s="48" t="n">
        <x:f>A66</x:f>
        <x:v>-0.467</x:v>
      </x:c>
      <x:c r="AL66" s="48" t="n">
        <x:f>(-2*((1000*((((Inputs!$I$6+(((A66)+1)/2)*(Inputs!$J$6-Inputs!$I$6)))*Inputs!$C$11+((Inputs!$H$6+Inputs!$L$6*(((Inputs!$I$6+(((A66)+1)/2)*(Inputs!$J$6-Inputs!$I$6)))/Inputs!$K$6)^2))*((2*Inputs!$L$6*((Inputs!$I$6+(((A66)+1)/2)*(Inputs!$J$6-Inputs!$I$6)))/(Inputs!$K$6^2)*Inputs!$C$11)))/(SQRT(((Inputs!$I$6+(((A66)+1)/2)*(Inputs!$J$6-Inputs!$I$6)))^2+Inputs!$C$6^2+((Inputs!$H$6+Inputs!$L$6*(((Inputs!$I$6+(((A66)+1)/2)*(Inputs!$J$6-Inputs!$I$6)))/Inputs!$K$6)^2))^2)))))/Inputs!$C$13)</x:f>
        <x:v>210.54103992174888</x:v>
      </x:c>
      <x:c r="AM66" s="48" t="n">
        <x:f>(-2*((1000*((((Inputs!$I$7+(((A66)+1)/2)*(Inputs!$J$7-Inputs!$I$7)))*Inputs!$C$11+((Inputs!$H$7+Inputs!$L$7*(((Inputs!$I$7+(((A66)+1)/2)*(Inputs!$J$7-Inputs!$I$7)))/Inputs!$K$7)^2))*((2*Inputs!$L$7*((Inputs!$I$7+(((A66)+1)/2)*(Inputs!$J$7-Inputs!$I$7)))/(Inputs!$K$7^2)*Inputs!$C$11)))/(SQRT(((Inputs!$I$7+(((A66)+1)/2)*(Inputs!$J$7-Inputs!$I$7)))^2+Inputs!$C$6^2+((Inputs!$H$7+Inputs!$L$7*(((Inputs!$I$7+(((A66)+1)/2)*(Inputs!$J$7-Inputs!$I$7)))/Inputs!$K$7)^2))^2)))))/Inputs!$C$13)</x:f>
        <x:v>2063.5077480007144</x:v>
      </x:c>
      <x:c r="AN66" s="48" t="n">
        <x:f>(-2*((1000*((((Inputs!$I$8+(((A66)+1)/2)*(Inputs!$J$8-Inputs!$I$8)))*Inputs!$C$11+((Inputs!$H$8+Inputs!$L$8*(((Inputs!$I$8+(((A66)+1)/2)*(Inputs!$J$8-Inputs!$I$8)))/Inputs!$K$8)^2))*((2*Inputs!$L$8*((Inputs!$I$8+(((A66)+1)/2)*(Inputs!$J$8-Inputs!$I$8)))/(Inputs!$K$8^2)*Inputs!$C$11)))/(SQRT(((Inputs!$I$8+(((A66)+1)/2)*(Inputs!$J$8-Inputs!$I$8)))^2+Inputs!$C$6^2+((Inputs!$H$8+Inputs!$L$8*(((Inputs!$I$8+(((A66)+1)/2)*(Inputs!$J$8-Inputs!$I$8)))/Inputs!$K$8)^2))^2)))))/Inputs!$C$13)</x:f>
        <x:v>2323.395326081826</x:v>
      </x:c>
      <x:c r="AO66" s="48" t="n">
        <x:f>(-2*((1000*((((Inputs!$I$9+(((A66)+1)/2)*(Inputs!$J$9-Inputs!$I$9)))*Inputs!$C$11+((Inputs!$H$9+Inputs!$L$9*(((Inputs!$I$9+(((A66)+1)/2)*(Inputs!$J$9-Inputs!$I$9)))/Inputs!$K$9)^2))*((2*Inputs!$L$9*((Inputs!$I$9+(((A66)+1)/2)*(Inputs!$J$9-Inputs!$I$9)))/(Inputs!$K$9^2)*Inputs!$C$11)))/(SQRT(((Inputs!$I$9+(((A66)+1)/2)*(Inputs!$J$9-Inputs!$I$9)))^2+Inputs!$C$6^2+((Inputs!$H$9+Inputs!$L$9*(((Inputs!$I$9+(((A66)+1)/2)*(Inputs!$J$9-Inputs!$I$9)))/Inputs!$K$9)^2))^2)))))/Inputs!$C$13)</x:f>
        <x:v>2323.8281317080573</x:v>
      </x:c>
    </x:row>
    <x:row r="67">
      <x:c r="A67" s="48" t="n">
        <x:f>ROUND(-1+65*2/240,3)</x:f>
        <x:v>-0.458</x:v>
      </x:c>
      <x:c r="B67" s="48" t="n">
        <x:f>IF(OR(Inputs!$F$6=TRUE,Inputs!$F$6="TRUE",Inputs!$F$6=1),(Inputs!$H$6+Inputs!$L$6*(((Inputs!$I$6+(((A67)+1)/2)*(Inputs!$J$6-Inputs!$I$6)))/Inputs!$K$6)^2),NA())</x:f>
        <x:v>400.839056</x:v>
      </x:c>
      <x:c r="C67" s="48" t="n">
        <x:f>IF(OR(Inputs!$F$7=TRUE,Inputs!$F$7="TRUE",Inputs!$F$7=1),(Inputs!$H$7+Inputs!$L$7*(((Inputs!$I$7+(((A67)+1)/2)*(Inputs!$J$7-Inputs!$I$7)))/Inputs!$K$7)^2),NA())</x:f>
        <x:v>111.56385999999999</x:v>
      </x:c>
      <x:c r="D67" s="48" t="n">
        <x:f>IF(OR(Inputs!$F$8=TRUE,Inputs!$F$8="TRUE",Inputs!$F$8=1),(Inputs!$H$8+Inputs!$L$8*(((Inputs!$I$8+(((A67)+1)/2)*(Inputs!$J$8-Inputs!$I$8)))/Inputs!$K$8)^2),NA())</x:f>
        <x:v>237.42225999999997</x:v>
      </x:c>
      <x:c r="E67" s="48" t="n">
        <x:f>IF(OR(Inputs!$F$9=TRUE,Inputs!$F$9="TRUE",Inputs!$F$9=1),(Inputs!$H$9+Inputs!$L$9*(((Inputs!$I$9+(((A67)+1)/2)*(Inputs!$J$9-Inputs!$I$9)))/Inputs!$K$9)^2),NA())</x:f>
        <x:v>229.51989999999998</x:v>
      </x:c>
      <x:c r="F67" s="49"/>
      <x:c r="G67" s="48" t="n">
        <x:f>A67</x:f>
        <x:v>-0.458</x:v>
      </x:c>
      <x:c r="H67" s="48" t="n">
        <x:f>IF(OR(Inputs!$F$6=TRUE,Inputs!$F$6="TRUE",Inputs!$F$6=1),(((SQRT(((Inputs!$I$6+(((A67)+1)/2)*(Inputs!$J$6-Inputs!$I$6)))^2+Inputs!$C$6^2+((Inputs!$H$6+Inputs!$L$6*(((Inputs!$I$6+(((A67)+1)/2)*(Inputs!$J$6-Inputs!$I$6)))/Inputs!$K$6)^2))^2))-((Inputs!$H$6+Inputs!$L$6*(((Inputs!$I$6+(((A67)+1)/2)*(Inputs!$J$6-Inputs!$I$6)))/Inputs!$K$6)^2)))*1000/Inputs!$C$12),NA())</x:f>
        <x:v>965.1098412281603</x:v>
      </x:c>
      <x:c r="I67" s="48" t="n">
        <x:f>IF(OR(Inputs!$F$7=TRUE,Inputs!$F$7="TRUE",Inputs!$F$7=1),(((SQRT(((Inputs!$I$7+(((A67)+1)/2)*(Inputs!$J$7-Inputs!$I$7)))^2+Inputs!$C$6^2+((Inputs!$H$7+Inputs!$L$7*(((Inputs!$I$7+(((A67)+1)/2)*(Inputs!$J$7-Inputs!$I$7)))/Inputs!$K$7)^2))^2))-((Inputs!$H$7+Inputs!$L$7*(((Inputs!$I$7+(((A67)+1)/2)*(Inputs!$J$7-Inputs!$I$7)))/Inputs!$K$7)^2)))*1000/Inputs!$C$12),NA())</x:f>
        <x:v>58643.03043217713</x:v>
      </x:c>
      <x:c r="J67" s="48" t="n">
        <x:f>IF(OR(Inputs!$F$8=TRUE,Inputs!$F$8="TRUE",Inputs!$F$8=1),(((SQRT(((Inputs!$I$8+(((A67)+1)/2)*(Inputs!$J$8-Inputs!$I$8)))^2+Inputs!$C$6^2+((Inputs!$H$8+Inputs!$L$8*(((Inputs!$I$8+(((A67)+1)/2)*(Inputs!$J$8-Inputs!$I$8)))/Inputs!$K$8)^2))^2))-((Inputs!$H$8+Inputs!$L$8*(((Inputs!$I$8+(((A67)+1)/2)*(Inputs!$J$8-Inputs!$I$8)))/Inputs!$K$8)^2)))*1000/Inputs!$C$12),NA())</x:f>
        <x:v>112298.57293303528</x:v>
      </x:c>
      <x:c r="K67" s="48" t="n">
        <x:f>IF(OR(Inputs!$F$9=TRUE,Inputs!$F$9="TRUE",Inputs!$F$9=1),(((SQRT(((Inputs!$I$9+(((A67)+1)/2)*(Inputs!$J$9-Inputs!$I$9)))^2+Inputs!$C$6^2+((Inputs!$H$9+Inputs!$L$9*(((Inputs!$I$9+(((A67)+1)/2)*(Inputs!$J$9-Inputs!$I$9)))/Inputs!$K$9)^2))^2))-((Inputs!$H$9+Inputs!$L$9*(((Inputs!$I$9+(((A67)+1)/2)*(Inputs!$J$9-Inputs!$I$9)))/Inputs!$K$9)^2)))*1000/Inputs!$C$12),NA())</x:f>
        <x:v>114356.40136514757</x:v>
      </x:c>
      <x:c r="L67" s="49"/>
      <x:c r="M67" s="48" t="n">
        <x:f>A67</x:f>
        <x:v>-0.458</x:v>
      </x:c>
      <x:c r="N67" s="48" t="n">
        <x:f>IF(OR(Inputs!$F$6=TRUE,Inputs!$F$6="TRUE",Inputs!$F$6=1),(-2*((1000*((((Inputs!$I$6+(((A67)+1)/2)*(Inputs!$J$6-Inputs!$I$6)))*Inputs!$C$11+((Inputs!$H$6+Inputs!$L$6*(((Inputs!$I$6+(((A67)+1)/2)*(Inputs!$J$6-Inputs!$I$6)))/Inputs!$K$6)^2))*((2*Inputs!$L$6*((Inputs!$I$6+(((A67)+1)/2)*(Inputs!$J$6-Inputs!$I$6)))/(Inputs!$K$6^2)*Inputs!$C$11)))/(SQRT(((Inputs!$I$6+(((A67)+1)/2)*(Inputs!$J$6-Inputs!$I$6)))^2+Inputs!$C$6^2+((Inputs!$H$6+Inputs!$L$6*(((Inputs!$I$6+(((A67)+1)/2)*(Inputs!$J$6-Inputs!$I$6)))/Inputs!$K$6)^2))^2)))))/Inputs!$C$13),NA())</x:f>
        <x:v>206.5115202164951</x:v>
      </x:c>
      <x:c r="O67" s="48" t="n">
        <x:f>IF(OR(Inputs!$F$7=TRUE,Inputs!$F$7="TRUE",Inputs!$F$7=1),(-2*((1000*((((Inputs!$I$7+(((A67)+1)/2)*(Inputs!$J$7-Inputs!$I$7)))*Inputs!$C$11+((Inputs!$H$7+Inputs!$L$7*(((Inputs!$I$7+(((A67)+1)/2)*(Inputs!$J$7-Inputs!$I$7)))/Inputs!$K$7)^2))*((2*Inputs!$L$7*((Inputs!$I$7+(((A67)+1)/2)*(Inputs!$J$7-Inputs!$I$7)))/(Inputs!$K$7^2)*Inputs!$C$11)))/(SQRT(((Inputs!$I$7+(((A67)+1)/2)*(Inputs!$J$7-Inputs!$I$7)))^2+Inputs!$C$6^2+((Inputs!$H$7+Inputs!$L$7*(((Inputs!$I$7+(((A67)+1)/2)*(Inputs!$J$7-Inputs!$I$7)))/Inputs!$K$7)^2))^2)))))/Inputs!$C$13),NA())</x:f>
        <x:v>2048.2714058368683</x:v>
      </x:c>
      <x:c r="P67" s="48" t="n">
        <x:f>IF(OR(Inputs!$F$8=TRUE,Inputs!$F$8="TRUE",Inputs!$F$8=1),(-2*((1000*((((Inputs!$I$8+(((A67)+1)/2)*(Inputs!$J$8-Inputs!$I$8)))*Inputs!$C$11+((Inputs!$H$8+Inputs!$L$8*(((Inputs!$I$8+(((A67)+1)/2)*(Inputs!$J$8-Inputs!$I$8)))/Inputs!$K$8)^2))*((2*Inputs!$L$8*((Inputs!$I$8+(((A67)+1)/2)*(Inputs!$J$8-Inputs!$I$8)))/(Inputs!$K$8^2)*Inputs!$C$11)))/(SQRT(((Inputs!$I$8+(((A67)+1)/2)*(Inputs!$J$8-Inputs!$I$8)))^2+Inputs!$C$6^2+((Inputs!$H$8+Inputs!$L$8*(((Inputs!$I$8+(((A67)+1)/2)*(Inputs!$J$8-Inputs!$I$8)))/Inputs!$K$8)^2))^2)))))/Inputs!$C$13),NA())</x:f>
        <x:v>2300.3487414504534</x:v>
      </x:c>
      <x:c r="Q67" s="48" t="n">
        <x:f>IF(OR(Inputs!$F$9=TRUE,Inputs!$F$9="TRUE",Inputs!$F$9=1),(-2*((1000*((((Inputs!$I$9+(((A67)+1)/2)*(Inputs!$J$9-Inputs!$I$9)))*Inputs!$C$11+((Inputs!$H$9+Inputs!$L$9*(((Inputs!$I$9+(((A67)+1)/2)*(Inputs!$J$9-Inputs!$I$9)))/Inputs!$K$9)^2))*((2*Inputs!$L$9*((Inputs!$I$9+(((A67)+1)/2)*(Inputs!$J$9-Inputs!$I$9)))/(Inputs!$K$9^2)*Inputs!$C$11)))/(SQRT(((Inputs!$I$9+(((A67)+1)/2)*(Inputs!$J$9-Inputs!$I$9)))^2+Inputs!$C$6^2+((Inputs!$H$9+Inputs!$L$9*(((Inputs!$I$9+(((A67)+1)/2)*(Inputs!$J$9-Inputs!$I$9)))/Inputs!$K$9)^2))^2)))))/Inputs!$C$13),NA())</x:f>
        <x:v>2300.3176549447867</x:v>
      </x:c>
      <x:c r="R67" s="49"/>
      <x:c r="S67" s="48" t="n">
        <x:f>A67</x:f>
        <x:v>-0.458</x:v>
      </x:c>
      <x:c r="T67" s="48" t="n">
        <x:f>(Inputs!$I$6+(((A67)+1)/2)*(Inputs!$J$6-Inputs!$I$6))</x:f>
        <x:v>-27.479999999999997</x:v>
      </x:c>
      <x:c r="U67" s="48" t="n">
        <x:f>(Inputs!$I$7+(((A67)+1)/2)*(Inputs!$J$7-Inputs!$I$7))</x:f>
        <x:v>-183.2</x:v>
      </x:c>
      <x:c r="V67" s="48" t="n">
        <x:f>(Inputs!$I$8+(((A67)+1)/2)*(Inputs!$J$8-Inputs!$I$8))</x:f>
        <x:v>-366.4</x:v>
      </x:c>
      <x:c r="W67" s="48" t="n">
        <x:f>(Inputs!$I$9+(((A67)+1)/2)*(Inputs!$J$9-Inputs!$I$9))</x:f>
        <x:v>-366.4</x:v>
      </x:c>
      <x:c r="X67" s="49"/>
      <x:c r="Y67" s="48" t="n">
        <x:f>A67</x:f>
        <x:v>-0.458</x:v>
      </x:c>
      <x:c r="Z67" s="48" t="n">
        <x:f>(Inputs!$H$6+Inputs!$L$6*(((Inputs!$I$6+(((A67)+1)/2)*(Inputs!$J$6-Inputs!$I$6)))/Inputs!$K$6)^2)</x:f>
        <x:v>400.839056</x:v>
      </x:c>
      <x:c r="AA67" s="48" t="n">
        <x:f>(Inputs!$H$7+Inputs!$L$7*(((Inputs!$I$7+(((A67)+1)/2)*(Inputs!$J$7-Inputs!$I$7)))/Inputs!$K$7)^2)</x:f>
        <x:v>111.56385999999999</x:v>
      </x:c>
      <x:c r="AB67" s="48" t="n">
        <x:f>(Inputs!$H$8+Inputs!$L$8*(((Inputs!$I$8+(((A67)+1)/2)*(Inputs!$J$8-Inputs!$I$8)))/Inputs!$K$8)^2)</x:f>
        <x:v>237.42225999999997</x:v>
      </x:c>
      <x:c r="AC67" s="48" t="n">
        <x:f>(Inputs!$H$9+Inputs!$L$9*(((Inputs!$I$9+(((A67)+1)/2)*(Inputs!$J$9-Inputs!$I$9)))/Inputs!$K$9)^2)</x:f>
        <x:v>229.51989999999998</x:v>
      </x:c>
      <x:c r="AD67" s="49"/>
      <x:c r="AE67" s="48" t="n">
        <x:f>A67</x:f>
        <x:v>-0.458</x:v>
      </x:c>
      <x:c r="AF67" s="48" t="n">
        <x:f>(((SQRT(((Inputs!$I$6+(((A67)+1)/2)*(Inputs!$J$6-Inputs!$I$6)))^2+Inputs!$C$6^2+((Inputs!$H$6+Inputs!$L$6*(((Inputs!$I$6+(((A67)+1)/2)*(Inputs!$J$6-Inputs!$I$6)))/Inputs!$K$6)^2))^2))-((Inputs!$H$6+Inputs!$L$6*(((Inputs!$I$6+(((A67)+1)/2)*(Inputs!$J$6-Inputs!$I$6)))/Inputs!$K$6)^2)))*1000/Inputs!$C$12)</x:f>
        <x:v>965.1098412281603</x:v>
      </x:c>
      <x:c r="AG67" s="48" t="n">
        <x:f>(((SQRT(((Inputs!$I$7+(((A67)+1)/2)*(Inputs!$J$7-Inputs!$I$7)))^2+Inputs!$C$6^2+((Inputs!$H$7+Inputs!$L$7*(((Inputs!$I$7+(((A67)+1)/2)*(Inputs!$J$7-Inputs!$I$7)))/Inputs!$K$7)^2))^2))-((Inputs!$H$7+Inputs!$L$7*(((Inputs!$I$7+(((A67)+1)/2)*(Inputs!$J$7-Inputs!$I$7)))/Inputs!$K$7)^2)))*1000/Inputs!$C$12)</x:f>
        <x:v>58643.03043217713</x:v>
      </x:c>
      <x:c r="AH67" s="48" t="n">
        <x:f>(((SQRT(((Inputs!$I$8+(((A67)+1)/2)*(Inputs!$J$8-Inputs!$I$8)))^2+Inputs!$C$6^2+((Inputs!$H$8+Inputs!$L$8*(((Inputs!$I$8+(((A67)+1)/2)*(Inputs!$J$8-Inputs!$I$8)))/Inputs!$K$8)^2))^2))-((Inputs!$H$8+Inputs!$L$8*(((Inputs!$I$8+(((A67)+1)/2)*(Inputs!$J$8-Inputs!$I$8)))/Inputs!$K$8)^2)))*1000/Inputs!$C$12)</x:f>
        <x:v>112298.57293303528</x:v>
      </x:c>
      <x:c r="AI67" s="48" t="n">
        <x:f>(((SQRT(((Inputs!$I$9+(((A67)+1)/2)*(Inputs!$J$9-Inputs!$I$9)))^2+Inputs!$C$6^2+((Inputs!$H$9+Inputs!$L$9*(((Inputs!$I$9+(((A67)+1)/2)*(Inputs!$J$9-Inputs!$I$9)))/Inputs!$K$9)^2))^2))-((Inputs!$H$9+Inputs!$L$9*(((Inputs!$I$9+(((A67)+1)/2)*(Inputs!$J$9-Inputs!$I$9)))/Inputs!$K$9)^2)))*1000/Inputs!$C$12)</x:f>
        <x:v>114356.40136514757</x:v>
      </x:c>
      <x:c r="AJ67" s="49"/>
      <x:c r="AK67" s="48" t="n">
        <x:f>A67</x:f>
        <x:v>-0.458</x:v>
      </x:c>
      <x:c r="AL67" s="48" t="n">
        <x:f>(-2*((1000*((((Inputs!$I$6+(((A67)+1)/2)*(Inputs!$J$6-Inputs!$I$6)))*Inputs!$C$11+((Inputs!$H$6+Inputs!$L$6*(((Inputs!$I$6+(((A67)+1)/2)*(Inputs!$J$6-Inputs!$I$6)))/Inputs!$K$6)^2))*((2*Inputs!$L$6*((Inputs!$I$6+(((A67)+1)/2)*(Inputs!$J$6-Inputs!$I$6)))/(Inputs!$K$6^2)*Inputs!$C$11)))/(SQRT(((Inputs!$I$6+(((A67)+1)/2)*(Inputs!$J$6-Inputs!$I$6)))^2+Inputs!$C$6^2+((Inputs!$H$6+Inputs!$L$6*(((Inputs!$I$6+(((A67)+1)/2)*(Inputs!$J$6-Inputs!$I$6)))/Inputs!$K$6)^2))^2)))))/Inputs!$C$13)</x:f>
        <x:v>206.5115202164951</x:v>
      </x:c>
      <x:c r="AM67" s="48" t="n">
        <x:f>(-2*((1000*((((Inputs!$I$7+(((A67)+1)/2)*(Inputs!$J$7-Inputs!$I$7)))*Inputs!$C$11+((Inputs!$H$7+Inputs!$L$7*(((Inputs!$I$7+(((A67)+1)/2)*(Inputs!$J$7-Inputs!$I$7)))/Inputs!$K$7)^2))*((2*Inputs!$L$7*((Inputs!$I$7+(((A67)+1)/2)*(Inputs!$J$7-Inputs!$I$7)))/(Inputs!$K$7^2)*Inputs!$C$11)))/(SQRT(((Inputs!$I$7+(((A67)+1)/2)*(Inputs!$J$7-Inputs!$I$7)))^2+Inputs!$C$6^2+((Inputs!$H$7+Inputs!$L$7*(((Inputs!$I$7+(((A67)+1)/2)*(Inputs!$J$7-Inputs!$I$7)))/Inputs!$K$7)^2))^2)))))/Inputs!$C$13)</x:f>
        <x:v>2048.2714058368683</x:v>
      </x:c>
      <x:c r="AN67" s="48" t="n">
        <x:f>(-2*((1000*((((Inputs!$I$8+(((A67)+1)/2)*(Inputs!$J$8-Inputs!$I$8)))*Inputs!$C$11+((Inputs!$H$8+Inputs!$L$8*(((Inputs!$I$8+(((A67)+1)/2)*(Inputs!$J$8-Inputs!$I$8)))/Inputs!$K$8)^2))*((2*Inputs!$L$8*((Inputs!$I$8+(((A67)+1)/2)*(Inputs!$J$8-Inputs!$I$8)))/(Inputs!$K$8^2)*Inputs!$C$11)))/(SQRT(((Inputs!$I$8+(((A67)+1)/2)*(Inputs!$J$8-Inputs!$I$8)))^2+Inputs!$C$6^2+((Inputs!$H$8+Inputs!$L$8*(((Inputs!$I$8+(((A67)+1)/2)*(Inputs!$J$8-Inputs!$I$8)))/Inputs!$K$8)^2))^2)))))/Inputs!$C$13)</x:f>
        <x:v>2300.3487414504534</x:v>
      </x:c>
      <x:c r="AO67" s="48" t="n">
        <x:f>(-2*((1000*((((Inputs!$I$9+(((A67)+1)/2)*(Inputs!$J$9-Inputs!$I$9)))*Inputs!$C$11+((Inputs!$H$9+Inputs!$L$9*(((Inputs!$I$9+(((A67)+1)/2)*(Inputs!$J$9-Inputs!$I$9)))/Inputs!$K$9)^2))*((2*Inputs!$L$9*((Inputs!$I$9+(((A67)+1)/2)*(Inputs!$J$9-Inputs!$I$9)))/(Inputs!$K$9^2)*Inputs!$C$11)))/(SQRT(((Inputs!$I$9+(((A67)+1)/2)*(Inputs!$J$9-Inputs!$I$9)))^2+Inputs!$C$6^2+((Inputs!$H$9+Inputs!$L$9*(((Inputs!$I$9+(((A67)+1)/2)*(Inputs!$J$9-Inputs!$I$9)))/Inputs!$K$9)^2))^2)))))/Inputs!$C$13)</x:f>
        <x:v>2300.3176549447867</x:v>
      </x:c>
    </x:row>
    <x:row r="68">
      <x:c r="A68" s="48" t="n">
        <x:f>ROUND(-1+66*2/240,3)</x:f>
        <x:v>-0.45</x:v>
      </x:c>
      <x:c r="B68" s="48" t="n">
        <x:f>IF(OR(Inputs!$F$6=TRUE,Inputs!$F$6="TRUE",Inputs!$F$6=1),(Inputs!$H$6+Inputs!$L$6*(((Inputs!$I$6+(((A68)+1)/2)*(Inputs!$J$6-Inputs!$I$6)))/Inputs!$K$6)^2),NA())</x:f>
        <x:v>400.81</x:v>
      </x:c>
      <x:c r="C68" s="48" t="n">
        <x:f>IF(OR(Inputs!$F$7=TRUE,Inputs!$F$7="TRUE",Inputs!$F$7=1),(Inputs!$H$7+Inputs!$L$7*(((Inputs!$I$7+(((A68)+1)/2)*(Inputs!$J$7-Inputs!$I$7)))/Inputs!$K$7)^2),NA())</x:f>
        <x:v>108.91249999999998</x:v>
      </x:c>
      <x:c r="D68" s="48" t="n">
        <x:f>IF(OR(Inputs!$F$8=TRUE,Inputs!$F$8="TRUE",Inputs!$F$8=1),(Inputs!$H$8+Inputs!$L$8*(((Inputs!$I$8+(((A68)+1)/2)*(Inputs!$J$8-Inputs!$I$8)))/Inputs!$K$8)^2),NA())</x:f>
        <x:v>230.41249999999997</x:v>
      </x:c>
      <x:c r="E68" s="48" t="n">
        <x:f>IF(OR(Inputs!$F$9=TRUE,Inputs!$F$9="TRUE",Inputs!$F$9=1),(Inputs!$H$9+Inputs!$L$9*(((Inputs!$I$9+(((A68)+1)/2)*(Inputs!$J$9-Inputs!$I$9)))/Inputs!$K$9)^2),NA())</x:f>
        <x:v>222.43749999999997</x:v>
      </x:c>
      <x:c r="F68" s="49"/>
      <x:c r="G68" s="48" t="n">
        <x:f>A68</x:f>
        <x:v>-0.45</x:v>
      </x:c>
      <x:c r="H68" s="48" t="n">
        <x:f>IF(OR(Inputs!$F$6=TRUE,Inputs!$F$6="TRUE",Inputs!$F$6=1),(((SQRT(((Inputs!$I$6+(((A68)+1)/2)*(Inputs!$J$6-Inputs!$I$6)))^2+Inputs!$C$6^2+((Inputs!$H$6+Inputs!$L$6*(((Inputs!$I$6+(((A68)+1)/2)*(Inputs!$J$6-Inputs!$I$6)))/Inputs!$K$6)^2))^2))-((Inputs!$H$6+Inputs!$L$6*(((Inputs!$I$6+(((A68)+1)/2)*(Inputs!$J$6-Inputs!$I$6)))/Inputs!$K$6)^2)))*1000/Inputs!$C$12),NA())</x:f>
        <x:v>946.9300579721395</x:v>
      </x:c>
      <x:c r="I68" s="48" t="n">
        <x:f>IF(OR(Inputs!$F$7=TRUE,Inputs!$F$7="TRUE",Inputs!$F$7=1),(((SQRT(((Inputs!$I$7+(((A68)+1)/2)*(Inputs!$J$7-Inputs!$I$7)))^2+Inputs!$C$6^2+((Inputs!$H$7+Inputs!$L$7*(((Inputs!$I$7+(((A68)+1)/2)*(Inputs!$J$7-Inputs!$I$7)))/Inputs!$K$7)^2))^2))-((Inputs!$H$7+Inputs!$L$7*(((Inputs!$I$7+(((A68)+1)/2)*(Inputs!$J$7-Inputs!$I$7)))/Inputs!$K$7)^2)))*1000/Inputs!$C$12),NA())</x:f>
        <x:v>57838.687896862924</x:v>
      </x:c>
      <x:c r="J68" s="48" t="n">
        <x:f>IF(OR(Inputs!$F$8=TRUE,Inputs!$F$8="TRUE",Inputs!$F$8=1),(((SQRT(((Inputs!$I$8+(((A68)+1)/2)*(Inputs!$J$8-Inputs!$I$8)))^2+Inputs!$C$6^2+((Inputs!$H$8+Inputs!$L$8*(((Inputs!$I$8+(((A68)+1)/2)*(Inputs!$J$8-Inputs!$I$8)))/Inputs!$K$8)^2))^2))-((Inputs!$H$8+Inputs!$L$8*(((Inputs!$I$8+(((A68)+1)/2)*(Inputs!$J$8-Inputs!$I$8)))/Inputs!$K$8)^2)))*1000/Inputs!$C$12),NA())</x:f>
        <x:v>111090.12179244011</x:v>
      </x:c>
      <x:c r="K68" s="48" t="n">
        <x:f>IF(OR(Inputs!$F$9=TRUE,Inputs!$F$9="TRUE",Inputs!$F$9=1),(((SQRT(((Inputs!$I$9+(((A68)+1)/2)*(Inputs!$J$9-Inputs!$I$9)))^2+Inputs!$C$6^2+((Inputs!$H$9+Inputs!$L$9*(((Inputs!$I$9+(((A68)+1)/2)*(Inputs!$J$9-Inputs!$I$9)))/Inputs!$K$9)^2))^2))-((Inputs!$H$9+Inputs!$L$9*(((Inputs!$I$9+(((A68)+1)/2)*(Inputs!$J$9-Inputs!$I$9)))/Inputs!$K$9)^2)))*1000/Inputs!$C$12),NA())</x:f>
        <x:v>113189.28482318549</x:v>
      </x:c>
      <x:c r="L68" s="49"/>
      <x:c r="M68" s="48" t="n">
        <x:f>A68</x:f>
        <x:v>-0.45</x:v>
      </x:c>
      <x:c r="N68" s="48" t="n">
        <x:f>IF(OR(Inputs!$F$6=TRUE,Inputs!$F$6="TRUE",Inputs!$F$6=1),(-2*((1000*((((Inputs!$I$6+(((A68)+1)/2)*(Inputs!$J$6-Inputs!$I$6)))*Inputs!$C$11+((Inputs!$H$6+Inputs!$L$6*(((Inputs!$I$6+(((A68)+1)/2)*(Inputs!$J$6-Inputs!$I$6)))/Inputs!$K$6)^2))*((2*Inputs!$L$6*((Inputs!$I$6+(((A68)+1)/2)*(Inputs!$J$6-Inputs!$I$6)))/(Inputs!$K$6^2)*Inputs!$C$11)))/(SQRT(((Inputs!$I$6+(((A68)+1)/2)*(Inputs!$J$6-Inputs!$I$6)))^2+Inputs!$C$6^2+((Inputs!$H$6+Inputs!$L$6*(((Inputs!$I$6+(((A68)+1)/2)*(Inputs!$J$6-Inputs!$I$6)))/Inputs!$K$6)^2))^2)))))/Inputs!$C$13),NA())</x:f>
        <x:v>202.9283626659073</x:v>
      </x:c>
      <x:c r="O68" s="48" t="n">
        <x:f>IF(OR(Inputs!$F$7=TRUE,Inputs!$F$7="TRUE",Inputs!$F$7=1),(-2*((1000*((((Inputs!$I$7+(((A68)+1)/2)*(Inputs!$J$7-Inputs!$I$7)))*Inputs!$C$11+((Inputs!$H$7+Inputs!$L$7*(((Inputs!$I$7+(((A68)+1)/2)*(Inputs!$J$7-Inputs!$I$7)))/Inputs!$K$7)^2))*((2*Inputs!$L$7*((Inputs!$I$7+(((A68)+1)/2)*(Inputs!$J$7-Inputs!$I$7)))/(Inputs!$K$7^2)*Inputs!$C$11)))/(SQRT(((Inputs!$I$7+(((A68)+1)/2)*(Inputs!$J$7-Inputs!$I$7)))^2+Inputs!$C$6^2+((Inputs!$H$7+Inputs!$L$7*(((Inputs!$I$7+(((A68)+1)/2)*(Inputs!$J$7-Inputs!$I$7)))/Inputs!$K$7)^2))^2)))))/Inputs!$C$13),NA())</x:f>
        <x:v>2034.8348400697942</x:v>
      </x:c>
      <x:c r="P68" s="48" t="n">
        <x:f>IF(OR(Inputs!$F$8=TRUE,Inputs!$F$8="TRUE",Inputs!$F$8=1),(-2*((1000*((((Inputs!$I$8+(((A68)+1)/2)*(Inputs!$J$8-Inputs!$I$8)))*Inputs!$C$11+((Inputs!$H$8+Inputs!$L$8*(((Inputs!$I$8+(((A68)+1)/2)*(Inputs!$J$8-Inputs!$I$8)))/Inputs!$K$8)^2))*((2*Inputs!$L$8*((Inputs!$I$8+(((A68)+1)/2)*(Inputs!$J$8-Inputs!$I$8)))/(Inputs!$K$8^2)*Inputs!$C$11)))/(SQRT(((Inputs!$I$8+(((A68)+1)/2)*(Inputs!$J$8-Inputs!$I$8)))^2+Inputs!$C$6^2+((Inputs!$H$8+Inputs!$L$8*(((Inputs!$I$8+(((A68)+1)/2)*(Inputs!$J$8-Inputs!$I$8)))/Inputs!$K$8)^2))^2)))))/Inputs!$C$13),NA())</x:f>
        <x:v>2280.088431530129</x:v>
      </x:c>
      <x:c r="Q68" s="48" t="n">
        <x:f>IF(OR(Inputs!$F$9=TRUE,Inputs!$F$9="TRUE",Inputs!$F$9=1),(-2*((1000*((((Inputs!$I$9+(((A68)+1)/2)*(Inputs!$J$9-Inputs!$I$9)))*Inputs!$C$11+((Inputs!$H$9+Inputs!$L$9*(((Inputs!$I$9+(((A68)+1)/2)*(Inputs!$J$9-Inputs!$I$9)))/Inputs!$K$9)^2))*((2*Inputs!$L$9*((Inputs!$I$9+(((A68)+1)/2)*(Inputs!$J$9-Inputs!$I$9)))/(Inputs!$K$9^2)*Inputs!$C$11)))/(SQRT(((Inputs!$I$9+(((A68)+1)/2)*(Inputs!$J$9-Inputs!$I$9)))^2+Inputs!$C$6^2+((Inputs!$H$9+Inputs!$L$9*(((Inputs!$I$9+(((A68)+1)/2)*(Inputs!$J$9-Inputs!$I$9)))/Inputs!$K$9)^2))^2)))))/Inputs!$C$13),NA())</x:f>
        <x:v>2279.6530407623486</x:v>
      </x:c>
      <x:c r="R68" s="49"/>
      <x:c r="S68" s="48" t="n">
        <x:f>A68</x:f>
        <x:v>-0.45</x:v>
      </x:c>
      <x:c r="T68" s="48" t="n">
        <x:f>(Inputs!$I$6+(((A68)+1)/2)*(Inputs!$J$6-Inputs!$I$6))</x:f>
        <x:v>-27</x:v>
      </x:c>
      <x:c r="U68" s="48" t="n">
        <x:f>(Inputs!$I$7+(((A68)+1)/2)*(Inputs!$J$7-Inputs!$I$7))</x:f>
        <x:v>-179.99999999999997</x:v>
      </x:c>
      <x:c r="V68" s="48" t="n">
        <x:f>(Inputs!$I$8+(((A68)+1)/2)*(Inputs!$J$8-Inputs!$I$8))</x:f>
        <x:v>-359.99999999999994</x:v>
      </x:c>
      <x:c r="W68" s="48" t="n">
        <x:f>(Inputs!$I$9+(((A68)+1)/2)*(Inputs!$J$9-Inputs!$I$9))</x:f>
        <x:v>-359.99999999999994</x:v>
      </x:c>
      <x:c r="X68" s="49"/>
      <x:c r="Y68" s="48" t="n">
        <x:f>A68</x:f>
        <x:v>-0.45</x:v>
      </x:c>
      <x:c r="Z68" s="48" t="n">
        <x:f>(Inputs!$H$6+Inputs!$L$6*(((Inputs!$I$6+(((A68)+1)/2)*(Inputs!$J$6-Inputs!$I$6)))/Inputs!$K$6)^2)</x:f>
        <x:v>400.81</x:v>
      </x:c>
      <x:c r="AA68" s="48" t="n">
        <x:f>(Inputs!$H$7+Inputs!$L$7*(((Inputs!$I$7+(((A68)+1)/2)*(Inputs!$J$7-Inputs!$I$7)))/Inputs!$K$7)^2)</x:f>
        <x:v>108.91249999999998</x:v>
      </x:c>
      <x:c r="AB68" s="48" t="n">
        <x:f>(Inputs!$H$8+Inputs!$L$8*(((Inputs!$I$8+(((A68)+1)/2)*(Inputs!$J$8-Inputs!$I$8)))/Inputs!$K$8)^2)</x:f>
        <x:v>230.41249999999997</x:v>
      </x:c>
      <x:c r="AC68" s="48" t="n">
        <x:f>(Inputs!$H$9+Inputs!$L$9*(((Inputs!$I$9+(((A68)+1)/2)*(Inputs!$J$9-Inputs!$I$9)))/Inputs!$K$9)^2)</x:f>
        <x:v>222.43749999999997</x:v>
      </x:c>
      <x:c r="AD68" s="49"/>
      <x:c r="AE68" s="48" t="n">
        <x:f>A68</x:f>
        <x:v>-0.45</x:v>
      </x:c>
      <x:c r="AF68" s="48" t="n">
        <x:f>(((SQRT(((Inputs!$I$6+(((A68)+1)/2)*(Inputs!$J$6-Inputs!$I$6)))^2+Inputs!$C$6^2+((Inputs!$H$6+Inputs!$L$6*(((Inputs!$I$6+(((A68)+1)/2)*(Inputs!$J$6-Inputs!$I$6)))/Inputs!$K$6)^2))^2))-((Inputs!$H$6+Inputs!$L$6*(((Inputs!$I$6+(((A68)+1)/2)*(Inputs!$J$6-Inputs!$I$6)))/Inputs!$K$6)^2)))*1000/Inputs!$C$12)</x:f>
        <x:v>946.9300579721395</x:v>
      </x:c>
      <x:c r="AG68" s="48" t="n">
        <x:f>(((SQRT(((Inputs!$I$7+(((A68)+1)/2)*(Inputs!$J$7-Inputs!$I$7)))^2+Inputs!$C$6^2+((Inputs!$H$7+Inputs!$L$7*(((Inputs!$I$7+(((A68)+1)/2)*(Inputs!$J$7-Inputs!$I$7)))/Inputs!$K$7)^2))^2))-((Inputs!$H$7+Inputs!$L$7*(((Inputs!$I$7+(((A68)+1)/2)*(Inputs!$J$7-Inputs!$I$7)))/Inputs!$K$7)^2)))*1000/Inputs!$C$12)</x:f>
        <x:v>57838.687896862924</x:v>
      </x:c>
      <x:c r="AH68" s="48" t="n">
        <x:f>(((SQRT(((Inputs!$I$8+(((A68)+1)/2)*(Inputs!$J$8-Inputs!$I$8)))^2+Inputs!$C$6^2+((Inputs!$H$8+Inputs!$L$8*(((Inputs!$I$8+(((A68)+1)/2)*(Inputs!$J$8-Inputs!$I$8)))/Inputs!$K$8)^2))^2))-((Inputs!$H$8+Inputs!$L$8*(((Inputs!$I$8+(((A68)+1)/2)*(Inputs!$J$8-Inputs!$I$8)))/Inputs!$K$8)^2)))*1000/Inputs!$C$12)</x:f>
        <x:v>111090.12179244011</x:v>
      </x:c>
      <x:c r="AI68" s="48" t="n">
        <x:f>(((SQRT(((Inputs!$I$9+(((A68)+1)/2)*(Inputs!$J$9-Inputs!$I$9)))^2+Inputs!$C$6^2+((Inputs!$H$9+Inputs!$L$9*(((Inputs!$I$9+(((A68)+1)/2)*(Inputs!$J$9-Inputs!$I$9)))/Inputs!$K$9)^2))^2))-((Inputs!$H$9+Inputs!$L$9*(((Inputs!$I$9+(((A68)+1)/2)*(Inputs!$J$9-Inputs!$I$9)))/Inputs!$K$9)^2)))*1000/Inputs!$C$12)</x:f>
        <x:v>113189.28482318549</x:v>
      </x:c>
      <x:c r="AJ68" s="49"/>
      <x:c r="AK68" s="48" t="n">
        <x:f>A68</x:f>
        <x:v>-0.45</x:v>
      </x:c>
      <x:c r="AL68" s="48" t="n">
        <x:f>(-2*((1000*((((Inputs!$I$6+(((A68)+1)/2)*(Inputs!$J$6-Inputs!$I$6)))*Inputs!$C$11+((Inputs!$H$6+Inputs!$L$6*(((Inputs!$I$6+(((A68)+1)/2)*(Inputs!$J$6-Inputs!$I$6)))/Inputs!$K$6)^2))*((2*Inputs!$L$6*((Inputs!$I$6+(((A68)+1)/2)*(Inputs!$J$6-Inputs!$I$6)))/(Inputs!$K$6^2)*Inputs!$C$11)))/(SQRT(((Inputs!$I$6+(((A68)+1)/2)*(Inputs!$J$6-Inputs!$I$6)))^2+Inputs!$C$6^2+((Inputs!$H$6+Inputs!$L$6*(((Inputs!$I$6+(((A68)+1)/2)*(Inputs!$J$6-Inputs!$I$6)))/Inputs!$K$6)^2))^2)))))/Inputs!$C$13)</x:f>
        <x:v>202.9283626659073</x:v>
      </x:c>
      <x:c r="AM68" s="48" t="n">
        <x:f>(-2*((1000*((((Inputs!$I$7+(((A68)+1)/2)*(Inputs!$J$7-Inputs!$I$7)))*Inputs!$C$11+((Inputs!$H$7+Inputs!$L$7*(((Inputs!$I$7+(((A68)+1)/2)*(Inputs!$J$7-Inputs!$I$7)))/Inputs!$K$7)^2))*((2*Inputs!$L$7*((Inputs!$I$7+(((A68)+1)/2)*(Inputs!$J$7-Inputs!$I$7)))/(Inputs!$K$7^2)*Inputs!$C$11)))/(SQRT(((Inputs!$I$7+(((A68)+1)/2)*(Inputs!$J$7-Inputs!$I$7)))^2+Inputs!$C$6^2+((Inputs!$H$7+Inputs!$L$7*(((Inputs!$I$7+(((A68)+1)/2)*(Inputs!$J$7-Inputs!$I$7)))/Inputs!$K$7)^2))^2)))))/Inputs!$C$13)</x:f>
        <x:v>2034.8348400697942</x:v>
      </x:c>
      <x:c r="AN68" s="48" t="n">
        <x:f>(-2*((1000*((((Inputs!$I$8+(((A68)+1)/2)*(Inputs!$J$8-Inputs!$I$8)))*Inputs!$C$11+((Inputs!$H$8+Inputs!$L$8*(((Inputs!$I$8+(((A68)+1)/2)*(Inputs!$J$8-Inputs!$I$8)))/Inputs!$K$8)^2))*((2*Inputs!$L$8*((Inputs!$I$8+(((A68)+1)/2)*(Inputs!$J$8-Inputs!$I$8)))/(Inputs!$K$8^2)*Inputs!$C$11)))/(SQRT(((Inputs!$I$8+(((A68)+1)/2)*(Inputs!$J$8-Inputs!$I$8)))^2+Inputs!$C$6^2+((Inputs!$H$8+Inputs!$L$8*(((Inputs!$I$8+(((A68)+1)/2)*(Inputs!$J$8-Inputs!$I$8)))/Inputs!$K$8)^2))^2)))))/Inputs!$C$13)</x:f>
        <x:v>2280.088431530129</x:v>
      </x:c>
      <x:c r="AO68" s="48" t="n">
        <x:f>(-2*((1000*((((Inputs!$I$9+(((A68)+1)/2)*(Inputs!$J$9-Inputs!$I$9)))*Inputs!$C$11+((Inputs!$H$9+Inputs!$L$9*(((Inputs!$I$9+(((A68)+1)/2)*(Inputs!$J$9-Inputs!$I$9)))/Inputs!$K$9)^2))*((2*Inputs!$L$9*((Inputs!$I$9+(((A68)+1)/2)*(Inputs!$J$9-Inputs!$I$9)))/(Inputs!$K$9^2)*Inputs!$C$11)))/(SQRT(((Inputs!$I$9+(((A68)+1)/2)*(Inputs!$J$9-Inputs!$I$9)))^2+Inputs!$C$6^2+((Inputs!$H$9+Inputs!$L$9*(((Inputs!$I$9+(((A68)+1)/2)*(Inputs!$J$9-Inputs!$I$9)))/Inputs!$K$9)^2))^2)))))/Inputs!$C$13)</x:f>
        <x:v>2279.6530407623486</x:v>
      </x:c>
    </x:row>
    <x:row r="69">
      <x:c r="A69" s="48" t="n">
        <x:f>ROUND(-1+67*2/240,3)</x:f>
        <x:v>-0.442</x:v>
      </x:c>
      <x:c r="B69" s="48" t="n">
        <x:f>IF(OR(Inputs!$F$6=TRUE,Inputs!$F$6="TRUE",Inputs!$F$6=1),(Inputs!$H$6+Inputs!$L$6*(((Inputs!$I$6+(((A69)+1)/2)*(Inputs!$J$6-Inputs!$I$6)))/Inputs!$K$6)^2),NA())</x:f>
        <x:v>400.781456</x:v>
      </x:c>
      <x:c r="C69" s="48" t="n">
        <x:f>IF(OR(Inputs!$F$7=TRUE,Inputs!$F$7="TRUE",Inputs!$F$7=1),(Inputs!$H$7+Inputs!$L$7*(((Inputs!$I$7+(((A69)+1)/2)*(Inputs!$J$7-Inputs!$I$7)))/Inputs!$K$7)^2),NA())</x:f>
        <x:v>106.30785999999998</x:v>
      </x:c>
      <x:c r="D69" s="48" t="n">
        <x:f>IF(OR(Inputs!$F$8=TRUE,Inputs!$F$8="TRUE",Inputs!$F$8=1),(Inputs!$H$8+Inputs!$L$8*(((Inputs!$I$8+(((A69)+1)/2)*(Inputs!$J$8-Inputs!$I$8)))/Inputs!$K$8)^2),NA())</x:f>
        <x:v>223.52625999999995</x:v>
      </x:c>
      <x:c r="E69" s="48" t="n">
        <x:f>IF(OR(Inputs!$F$9=TRUE,Inputs!$F$9="TRUE",Inputs!$F$9=1),(Inputs!$H$9+Inputs!$L$9*(((Inputs!$I$9+(((A69)+1)/2)*(Inputs!$J$9-Inputs!$I$9)))/Inputs!$K$9)^2),NA())</x:f>
        <x:v>215.47989999999996</x:v>
      </x:c>
      <x:c r="F69" s="49"/>
      <x:c r="G69" s="48" t="n">
        <x:f>A69</x:f>
        <x:v>-0.442</x:v>
      </x:c>
      <x:c r="H69" s="48" t="n">
        <x:f>IF(OR(Inputs!$F$6=TRUE,Inputs!$F$6="TRUE",Inputs!$F$6=1),(((SQRT(((Inputs!$I$6+(((A69)+1)/2)*(Inputs!$J$6-Inputs!$I$6)))^2+Inputs!$C$6^2+((Inputs!$H$6+Inputs!$L$6*(((Inputs!$I$6+(((A69)+1)/2)*(Inputs!$J$6-Inputs!$I$6)))/Inputs!$K$6)^2))^2))-((Inputs!$H$6+Inputs!$L$6*(((Inputs!$I$6+(((A69)+1)/2)*(Inputs!$J$6-Inputs!$I$6)))/Inputs!$K$6)^2)))*1000/Inputs!$C$12),NA())</x:f>
        <x:v>929.0666436899993</x:v>
      </x:c>
      <x:c r="I69" s="48" t="n">
        <x:f>IF(OR(Inputs!$F$7=TRUE,Inputs!$F$7="TRUE",Inputs!$F$7=1),(((SQRT(((Inputs!$I$7+(((A69)+1)/2)*(Inputs!$J$7-Inputs!$I$7)))^2+Inputs!$C$6^2+((Inputs!$H$7+Inputs!$L$7*(((Inputs!$I$7+(((A69)+1)/2)*(Inputs!$J$7-Inputs!$I$7)))/Inputs!$K$7)^2))^2))-((Inputs!$H$7+Inputs!$L$7*(((Inputs!$I$7+(((A69)+1)/2)*(Inputs!$J$7-Inputs!$I$7)))/Inputs!$K$7)^2)))*1000/Inputs!$C$12),NA())</x:f>
        <x:v>57023.14022759061</x:v>
      </x:c>
      <x:c r="J69" s="48" t="n">
        <x:f>IF(OR(Inputs!$F$8=TRUE,Inputs!$F$8="TRUE",Inputs!$F$8=1),(((SQRT(((Inputs!$I$8+(((A69)+1)/2)*(Inputs!$J$8-Inputs!$I$8)))^2+Inputs!$C$6^2+((Inputs!$H$8+Inputs!$L$8*(((Inputs!$I$8+(((A69)+1)/2)*(Inputs!$J$8-Inputs!$I$8)))/Inputs!$K$8)^2))^2))-((Inputs!$H$8+Inputs!$L$8*(((Inputs!$I$8+(((A69)+1)/2)*(Inputs!$J$8-Inputs!$I$8)))/Inputs!$K$8)^2)))*1000/Inputs!$C$12),NA())</x:f>
        <x:v>109857.56465410536</x:v>
      </x:c>
      <x:c r="K69" s="48" t="n">
        <x:f>IF(OR(Inputs!$F$9=TRUE,Inputs!$F$9="TRUE",Inputs!$F$9=1),(((SQRT(((Inputs!$I$9+(((A69)+1)/2)*(Inputs!$J$9-Inputs!$I$9)))^2+Inputs!$C$6^2+((Inputs!$H$9+Inputs!$L$9*(((Inputs!$I$9+(((A69)+1)/2)*(Inputs!$J$9-Inputs!$I$9)))/Inputs!$K$9)^2))^2))-((Inputs!$H$9+Inputs!$L$9*(((Inputs!$I$9+(((A69)+1)/2)*(Inputs!$J$9-Inputs!$I$9)))/Inputs!$K$9)^2)))*1000/Inputs!$C$12),NA())</x:f>
        <x:v>111998.2426293427</x:v>
      </x:c>
      <x:c r="L69" s="49"/>
      <x:c r="M69" s="48" t="n">
        <x:f>A69</x:f>
        <x:v>-0.442</x:v>
      </x:c>
      <x:c r="N69" s="48" t="n">
        <x:f>IF(OR(Inputs!$F$6=TRUE,Inputs!$F$6="TRUE",Inputs!$F$6=1),(-2*((1000*((((Inputs!$I$6+(((A69)+1)/2)*(Inputs!$J$6-Inputs!$I$6)))*Inputs!$C$11+((Inputs!$H$6+Inputs!$L$6*(((Inputs!$I$6+(((A69)+1)/2)*(Inputs!$J$6-Inputs!$I$6)))/Inputs!$K$6)^2))*((2*Inputs!$L$6*((Inputs!$I$6+(((A69)+1)/2)*(Inputs!$J$6-Inputs!$I$6)))/(Inputs!$K$6^2)*Inputs!$C$11)))/(SQRT(((Inputs!$I$6+(((A69)+1)/2)*(Inputs!$J$6-Inputs!$I$6)))^2+Inputs!$C$6^2+((Inputs!$H$6+Inputs!$L$6*(((Inputs!$I$6+(((A69)+1)/2)*(Inputs!$J$6-Inputs!$I$6)))/Inputs!$K$6)^2))^2)))))/Inputs!$C$13),NA())</x:f>
        <x:v>199.34394530037937</x:v>
      </x:c>
      <x:c r="O69" s="48" t="n">
        <x:f>IF(OR(Inputs!$F$7=TRUE,Inputs!$F$7="TRUE",Inputs!$F$7=1),(-2*((1000*((((Inputs!$I$7+(((A69)+1)/2)*(Inputs!$J$7-Inputs!$I$7)))*Inputs!$C$11+((Inputs!$H$7+Inputs!$L$7*(((Inputs!$I$7+(((A69)+1)/2)*(Inputs!$J$7-Inputs!$I$7)))/Inputs!$K$7)^2))*((2*Inputs!$L$7*((Inputs!$I$7+(((A69)+1)/2)*(Inputs!$J$7-Inputs!$I$7)))/(Inputs!$K$7^2)*Inputs!$C$11)))/(SQRT(((Inputs!$I$7+(((A69)+1)/2)*(Inputs!$J$7-Inputs!$I$7)))^2+Inputs!$C$6^2+((Inputs!$H$7+Inputs!$L$7*(((Inputs!$I$7+(((A69)+1)/2)*(Inputs!$J$7-Inputs!$I$7)))/Inputs!$K$7)^2))^2)))))/Inputs!$C$13),NA())</x:f>
        <x:v>2021.4960668395627</x:v>
      </x:c>
      <x:c r="P69" s="48" t="n">
        <x:f>IF(OR(Inputs!$F$8=TRUE,Inputs!$F$8="TRUE",Inputs!$F$8=1),(-2*((1000*((((Inputs!$I$8+(((A69)+1)/2)*(Inputs!$J$8-Inputs!$I$8)))*Inputs!$C$11+((Inputs!$H$8+Inputs!$L$8*(((Inputs!$I$8+(((A69)+1)/2)*(Inputs!$J$8-Inputs!$I$8)))/Inputs!$K$8)^2))*((2*Inputs!$L$8*((Inputs!$I$8+(((A69)+1)/2)*(Inputs!$J$8-Inputs!$I$8)))/(Inputs!$K$8^2)*Inputs!$C$11)))/(SQRT(((Inputs!$I$8+(((A69)+1)/2)*(Inputs!$J$8-Inputs!$I$8)))^2+Inputs!$C$6^2+((Inputs!$H$8+Inputs!$L$8*(((Inputs!$I$8+(((A69)+1)/2)*(Inputs!$J$8-Inputs!$I$8)))/Inputs!$K$8)^2))^2)))))/Inputs!$C$13),NA())</x:f>
        <x:v>2260.043581983679</x:v>
      </x:c>
      <x:c r="Q69" s="48" t="n">
        <x:f>IF(OR(Inputs!$F$9=TRUE,Inputs!$F$9="TRUE",Inputs!$F$9=1),(-2*((1000*((((Inputs!$I$9+(((A69)+1)/2)*(Inputs!$J$9-Inputs!$I$9)))*Inputs!$C$11+((Inputs!$H$9+Inputs!$L$9*(((Inputs!$I$9+(((A69)+1)/2)*(Inputs!$J$9-Inputs!$I$9)))/Inputs!$K$9)^2))*((2*Inputs!$L$9*((Inputs!$I$9+(((A69)+1)/2)*(Inputs!$J$9-Inputs!$I$9)))/(Inputs!$K$9^2)*Inputs!$C$11)))/(SQRT(((Inputs!$I$9+(((A69)+1)/2)*(Inputs!$J$9-Inputs!$I$9)))^2+Inputs!$C$6^2+((Inputs!$H$9+Inputs!$L$9*(((Inputs!$I$9+(((A69)+1)/2)*(Inputs!$J$9-Inputs!$I$9)))/Inputs!$K$9)^2))^2)))))/Inputs!$C$13),NA())</x:f>
        <x:v>2259.2120929206963</x:v>
      </x:c>
      <x:c r="R69" s="49"/>
      <x:c r="S69" s="48" t="n">
        <x:f>A69</x:f>
        <x:v>-0.442</x:v>
      </x:c>
      <x:c r="T69" s="48" t="n">
        <x:f>(Inputs!$I$6+(((A69)+1)/2)*(Inputs!$J$6-Inputs!$I$6))</x:f>
        <x:v>-26.519999999999996</x:v>
      </x:c>
      <x:c r="U69" s="48" t="n">
        <x:f>(Inputs!$I$7+(((A69)+1)/2)*(Inputs!$J$7-Inputs!$I$7))</x:f>
        <x:v>-176.79999999999998</x:v>
      </x:c>
      <x:c r="V69" s="48" t="n">
        <x:f>(Inputs!$I$8+(((A69)+1)/2)*(Inputs!$J$8-Inputs!$I$8))</x:f>
        <x:v>-353.59999999999997</x:v>
      </x:c>
      <x:c r="W69" s="48" t="n">
        <x:f>(Inputs!$I$9+(((A69)+1)/2)*(Inputs!$J$9-Inputs!$I$9))</x:f>
        <x:v>-353.59999999999997</x:v>
      </x:c>
      <x:c r="X69" s="49"/>
      <x:c r="Y69" s="48" t="n">
        <x:f>A69</x:f>
        <x:v>-0.442</x:v>
      </x:c>
      <x:c r="Z69" s="48" t="n">
        <x:f>(Inputs!$H$6+Inputs!$L$6*(((Inputs!$I$6+(((A69)+1)/2)*(Inputs!$J$6-Inputs!$I$6)))/Inputs!$K$6)^2)</x:f>
        <x:v>400.781456</x:v>
      </x:c>
      <x:c r="AA69" s="48" t="n">
        <x:f>(Inputs!$H$7+Inputs!$L$7*(((Inputs!$I$7+(((A69)+1)/2)*(Inputs!$J$7-Inputs!$I$7)))/Inputs!$K$7)^2)</x:f>
        <x:v>106.30785999999998</x:v>
      </x:c>
      <x:c r="AB69" s="48" t="n">
        <x:f>(Inputs!$H$8+Inputs!$L$8*(((Inputs!$I$8+(((A69)+1)/2)*(Inputs!$J$8-Inputs!$I$8)))/Inputs!$K$8)^2)</x:f>
        <x:v>223.52625999999995</x:v>
      </x:c>
      <x:c r="AC69" s="48" t="n">
        <x:f>(Inputs!$H$9+Inputs!$L$9*(((Inputs!$I$9+(((A69)+1)/2)*(Inputs!$J$9-Inputs!$I$9)))/Inputs!$K$9)^2)</x:f>
        <x:v>215.47989999999996</x:v>
      </x:c>
      <x:c r="AD69" s="49"/>
      <x:c r="AE69" s="48" t="n">
        <x:f>A69</x:f>
        <x:v>-0.442</x:v>
      </x:c>
      <x:c r="AF69" s="48" t="n">
        <x:f>(((SQRT(((Inputs!$I$6+(((A69)+1)/2)*(Inputs!$J$6-Inputs!$I$6)))^2+Inputs!$C$6^2+((Inputs!$H$6+Inputs!$L$6*(((Inputs!$I$6+(((A69)+1)/2)*(Inputs!$J$6-Inputs!$I$6)))/Inputs!$K$6)^2))^2))-((Inputs!$H$6+Inputs!$L$6*(((Inputs!$I$6+(((A69)+1)/2)*(Inputs!$J$6-Inputs!$I$6)))/Inputs!$K$6)^2)))*1000/Inputs!$C$12)</x:f>
        <x:v>929.0666436899993</x:v>
      </x:c>
      <x:c r="AG69" s="48" t="n">
        <x:f>(((SQRT(((Inputs!$I$7+(((A69)+1)/2)*(Inputs!$J$7-Inputs!$I$7)))^2+Inputs!$C$6^2+((Inputs!$H$7+Inputs!$L$7*(((Inputs!$I$7+(((A69)+1)/2)*(Inputs!$J$7-Inputs!$I$7)))/Inputs!$K$7)^2))^2))-((Inputs!$H$7+Inputs!$L$7*(((Inputs!$I$7+(((A69)+1)/2)*(Inputs!$J$7-Inputs!$I$7)))/Inputs!$K$7)^2)))*1000/Inputs!$C$12)</x:f>
        <x:v>57023.14022759061</x:v>
      </x:c>
      <x:c r="AH69" s="48" t="n">
        <x:f>(((SQRT(((Inputs!$I$8+(((A69)+1)/2)*(Inputs!$J$8-Inputs!$I$8)))^2+Inputs!$C$6^2+((Inputs!$H$8+Inputs!$L$8*(((Inputs!$I$8+(((A69)+1)/2)*(Inputs!$J$8-Inputs!$I$8)))/Inputs!$K$8)^2))^2))-((Inputs!$H$8+Inputs!$L$8*(((Inputs!$I$8+(((A69)+1)/2)*(Inputs!$J$8-Inputs!$I$8)))/Inputs!$K$8)^2)))*1000/Inputs!$C$12)</x:f>
        <x:v>109857.56465410536</x:v>
      </x:c>
      <x:c r="AI69" s="48" t="n">
        <x:f>(((SQRT(((Inputs!$I$9+(((A69)+1)/2)*(Inputs!$J$9-Inputs!$I$9)))^2+Inputs!$C$6^2+((Inputs!$H$9+Inputs!$L$9*(((Inputs!$I$9+(((A69)+1)/2)*(Inputs!$J$9-Inputs!$I$9)))/Inputs!$K$9)^2))^2))-((Inputs!$H$9+Inputs!$L$9*(((Inputs!$I$9+(((A69)+1)/2)*(Inputs!$J$9-Inputs!$I$9)))/Inputs!$K$9)^2)))*1000/Inputs!$C$12)</x:f>
        <x:v>111998.2426293427</x:v>
      </x:c>
      <x:c r="AJ69" s="49"/>
      <x:c r="AK69" s="48" t="n">
        <x:f>A69</x:f>
        <x:v>-0.442</x:v>
      </x:c>
      <x:c r="AL69" s="48" t="n">
        <x:f>(-2*((1000*((((Inputs!$I$6+(((A69)+1)/2)*(Inputs!$J$6-Inputs!$I$6)))*Inputs!$C$11+((Inputs!$H$6+Inputs!$L$6*(((Inputs!$I$6+(((A69)+1)/2)*(Inputs!$J$6-Inputs!$I$6)))/Inputs!$K$6)^2))*((2*Inputs!$L$6*((Inputs!$I$6+(((A69)+1)/2)*(Inputs!$J$6-Inputs!$I$6)))/(Inputs!$K$6^2)*Inputs!$C$11)))/(SQRT(((Inputs!$I$6+(((A69)+1)/2)*(Inputs!$J$6-Inputs!$I$6)))^2+Inputs!$C$6^2+((Inputs!$H$6+Inputs!$L$6*(((Inputs!$I$6+(((A69)+1)/2)*(Inputs!$J$6-Inputs!$I$6)))/Inputs!$K$6)^2))^2)))))/Inputs!$C$13)</x:f>
        <x:v>199.34394530037937</x:v>
      </x:c>
      <x:c r="AM69" s="48" t="n">
        <x:f>(-2*((1000*((((Inputs!$I$7+(((A69)+1)/2)*(Inputs!$J$7-Inputs!$I$7)))*Inputs!$C$11+((Inputs!$H$7+Inputs!$L$7*(((Inputs!$I$7+(((A69)+1)/2)*(Inputs!$J$7-Inputs!$I$7)))/Inputs!$K$7)^2))*((2*Inputs!$L$7*((Inputs!$I$7+(((A69)+1)/2)*(Inputs!$J$7-Inputs!$I$7)))/(Inputs!$K$7^2)*Inputs!$C$11)))/(SQRT(((Inputs!$I$7+(((A69)+1)/2)*(Inputs!$J$7-Inputs!$I$7)))^2+Inputs!$C$6^2+((Inputs!$H$7+Inputs!$L$7*(((Inputs!$I$7+(((A69)+1)/2)*(Inputs!$J$7-Inputs!$I$7)))/Inputs!$K$7)^2))^2)))))/Inputs!$C$13)</x:f>
        <x:v>2021.4960668395627</x:v>
      </x:c>
      <x:c r="AN69" s="48" t="n">
        <x:f>(-2*((1000*((((Inputs!$I$8+(((A69)+1)/2)*(Inputs!$J$8-Inputs!$I$8)))*Inputs!$C$11+((Inputs!$H$8+Inputs!$L$8*(((Inputs!$I$8+(((A69)+1)/2)*(Inputs!$J$8-Inputs!$I$8)))/Inputs!$K$8)^2))*((2*Inputs!$L$8*((Inputs!$I$8+(((A69)+1)/2)*(Inputs!$J$8-Inputs!$I$8)))/(Inputs!$K$8^2)*Inputs!$C$11)))/(SQRT(((Inputs!$I$8+(((A69)+1)/2)*(Inputs!$J$8-Inputs!$I$8)))^2+Inputs!$C$6^2+((Inputs!$H$8+Inputs!$L$8*(((Inputs!$I$8+(((A69)+1)/2)*(Inputs!$J$8-Inputs!$I$8)))/Inputs!$K$8)^2))^2)))))/Inputs!$C$13)</x:f>
        <x:v>2260.043581983679</x:v>
      </x:c>
      <x:c r="AO69" s="48" t="n">
        <x:f>(-2*((1000*((((Inputs!$I$9+(((A69)+1)/2)*(Inputs!$J$9-Inputs!$I$9)))*Inputs!$C$11+((Inputs!$H$9+Inputs!$L$9*(((Inputs!$I$9+(((A69)+1)/2)*(Inputs!$J$9-Inputs!$I$9)))/Inputs!$K$9)^2))*((2*Inputs!$L$9*((Inputs!$I$9+(((A69)+1)/2)*(Inputs!$J$9-Inputs!$I$9)))/(Inputs!$K$9^2)*Inputs!$C$11)))/(SQRT(((Inputs!$I$9+(((A69)+1)/2)*(Inputs!$J$9-Inputs!$I$9)))^2+Inputs!$C$6^2+((Inputs!$H$9+Inputs!$L$9*(((Inputs!$I$9+(((A69)+1)/2)*(Inputs!$J$9-Inputs!$I$9)))/Inputs!$K$9)^2))^2)))))/Inputs!$C$13)</x:f>
        <x:v>2259.2120929206963</x:v>
      </x:c>
    </x:row>
    <x:row r="70">
      <x:c r="A70" s="48" t="n">
        <x:f>ROUND(-1+68*2/240,3)</x:f>
        <x:v>-0.433</x:v>
      </x:c>
      <x:c r="B70" s="48" t="n">
        <x:f>IF(OR(Inputs!$F$6=TRUE,Inputs!$F$6="TRUE",Inputs!$F$6=1),(Inputs!$H$6+Inputs!$L$6*(((Inputs!$I$6+(((A70)+1)/2)*(Inputs!$J$6-Inputs!$I$6)))/Inputs!$K$6)^2),NA())</x:f>
        <x:v>400.749956</x:v>
      </x:c>
      <x:c r="C70" s="48" t="n">
        <x:f>IF(OR(Inputs!$F$7=TRUE,Inputs!$F$7="TRUE",Inputs!$F$7=1),(Inputs!$H$7+Inputs!$L$7*(((Inputs!$I$7+(((A70)+1)/2)*(Inputs!$J$7-Inputs!$I$7)))/Inputs!$K$7)^2),NA())</x:f>
        <x:v>103.43348500000002</x:v>
      </x:c>
      <x:c r="D70" s="48" t="n">
        <x:f>IF(OR(Inputs!$F$8=TRUE,Inputs!$F$8="TRUE",Inputs!$F$8=1),(Inputs!$H$8+Inputs!$L$8*(((Inputs!$I$8+(((A70)+1)/2)*(Inputs!$J$8-Inputs!$I$8)))/Inputs!$K$8)^2),NA())</x:f>
        <x:v>215.92688500000006</x:v>
      </x:c>
      <x:c r="E70" s="48" t="n">
        <x:f>IF(OR(Inputs!$F$9=TRUE,Inputs!$F$9="TRUE",Inputs!$F$9=1),(Inputs!$H$9+Inputs!$L$9*(((Inputs!$I$9+(((A70)+1)/2)*(Inputs!$J$9-Inputs!$I$9)))/Inputs!$K$9)^2),NA())</x:f>
        <x:v>207.80177500000005</x:v>
      </x:c>
      <x:c r="F70" s="49"/>
      <x:c r="G70" s="48" t="n">
        <x:f>A70</x:f>
        <x:v>-0.433</x:v>
      </x:c>
      <x:c r="H70" s="48" t="n">
        <x:f>IF(OR(Inputs!$F$6=TRUE,Inputs!$F$6="TRUE",Inputs!$F$6=1),(((SQRT(((Inputs!$I$6+(((A70)+1)/2)*(Inputs!$J$6-Inputs!$I$6)))^2+Inputs!$C$6^2+((Inputs!$H$6+Inputs!$L$6*(((Inputs!$I$6+(((A70)+1)/2)*(Inputs!$J$6-Inputs!$I$6)))/Inputs!$K$6)^2))^2))-((Inputs!$H$6+Inputs!$L$6*(((Inputs!$I$6+(((A70)+1)/2)*(Inputs!$J$6-Inputs!$I$6)))/Inputs!$K$6)^2)))*1000/Inputs!$C$12),NA())</x:f>
        <x:v>909.3487243927839</x:v>
      </x:c>
      <x:c r="I70" s="48" t="n">
        <x:f>IF(OR(Inputs!$F$7=TRUE,Inputs!$F$7="TRUE",Inputs!$F$7=1),(((SQRT(((Inputs!$I$7+(((A70)+1)/2)*(Inputs!$J$7-Inputs!$I$7)))^2+Inputs!$C$6^2+((Inputs!$H$7+Inputs!$L$7*(((Inputs!$I$7+(((A70)+1)/2)*(Inputs!$J$7-Inputs!$I$7)))/Inputs!$K$7)^2))^2))-((Inputs!$H$7+Inputs!$L$7*(((Inputs!$I$7+(((A70)+1)/2)*(Inputs!$J$7-Inputs!$I$7)))/Inputs!$K$7)^2)))*1000/Inputs!$C$12),NA())</x:f>
        <x:v>56092.12089042314</x:v>
      </x:c>
      <x:c r="J70" s="48" t="n">
        <x:f>IF(OR(Inputs!$F$8=TRUE,Inputs!$F$8="TRUE",Inputs!$F$8=1),(((SQRT(((Inputs!$I$8+(((A70)+1)/2)*(Inputs!$J$8-Inputs!$I$8)))^2+Inputs!$C$6^2+((Inputs!$H$8+Inputs!$L$8*(((Inputs!$I$8+(((A70)+1)/2)*(Inputs!$J$8-Inputs!$I$8)))/Inputs!$K$8)^2))^2))-((Inputs!$H$8+Inputs!$L$8*(((Inputs!$I$8+(((A70)+1)/2)*(Inputs!$J$8-Inputs!$I$8)))/Inputs!$K$8)^2)))*1000/Inputs!$C$12),NA())</x:f>
        <x:v>108441.51637761801</x:v>
      </x:c>
      <x:c r="K70" s="48" t="n">
        <x:f>IF(OR(Inputs!$F$9=TRUE,Inputs!$F$9="TRUE",Inputs!$F$9=1),(((SQRT(((Inputs!$I$9+(((A70)+1)/2)*(Inputs!$J$9-Inputs!$I$9)))^2+Inputs!$C$6^2+((Inputs!$H$9+Inputs!$L$9*(((Inputs!$I$9+(((A70)+1)/2)*(Inputs!$J$9-Inputs!$I$9)))/Inputs!$K$9)^2))^2))-((Inputs!$H$9+Inputs!$L$9*(((Inputs!$I$9+(((A70)+1)/2)*(Inputs!$J$9-Inputs!$I$9)))/Inputs!$K$9)^2)))*1000/Inputs!$C$12),NA())</x:f>
        <x:v>110629.0903120775</x:v>
      </x:c>
      <x:c r="L70" s="49"/>
      <x:c r="M70" s="48" t="n">
        <x:f>A70</x:f>
        <x:v>-0.433</x:v>
      </x:c>
      <x:c r="N70" s="48" t="n">
        <x:f>IF(OR(Inputs!$F$6=TRUE,Inputs!$F$6="TRUE",Inputs!$F$6=1),(-2*((1000*((((Inputs!$I$6+(((A70)+1)/2)*(Inputs!$J$6-Inputs!$I$6)))*Inputs!$C$11+((Inputs!$H$6+Inputs!$L$6*(((Inputs!$I$6+(((A70)+1)/2)*(Inputs!$J$6-Inputs!$I$6)))/Inputs!$K$6)^2))*((2*Inputs!$L$6*((Inputs!$I$6+(((A70)+1)/2)*(Inputs!$J$6-Inputs!$I$6)))/(Inputs!$K$6^2)*Inputs!$C$11)))/(SQRT(((Inputs!$I$6+(((A70)+1)/2)*(Inputs!$J$6-Inputs!$I$6)))^2+Inputs!$C$6^2+((Inputs!$H$6+Inputs!$L$6*(((Inputs!$I$6+(((A70)+1)/2)*(Inputs!$J$6-Inputs!$I$6)))/Inputs!$K$6)^2))^2)))))/Inputs!$C$13),NA())</x:f>
        <x:v>195.30999662419933</x:v>
      </x:c>
      <x:c r="O70" s="48" t="n">
        <x:f>IF(OR(Inputs!$F$7=TRUE,Inputs!$F$7="TRUE",Inputs!$F$7=1),(-2*((1000*((((Inputs!$I$7+(((A70)+1)/2)*(Inputs!$J$7-Inputs!$I$7)))*Inputs!$C$11+((Inputs!$H$7+Inputs!$L$7*(((Inputs!$I$7+(((A70)+1)/2)*(Inputs!$J$7-Inputs!$I$7)))/Inputs!$K$7)^2))*((2*Inputs!$L$7*((Inputs!$I$7+(((A70)+1)/2)*(Inputs!$J$7-Inputs!$I$7)))/(Inputs!$K$7^2)*Inputs!$C$11)))/(SQRT(((Inputs!$I$7+(((A70)+1)/2)*(Inputs!$J$7-Inputs!$I$7)))^2+Inputs!$C$6^2+((Inputs!$H$7+Inputs!$L$7*(((Inputs!$I$7+(((A70)+1)/2)*(Inputs!$J$7-Inputs!$I$7)))/Inputs!$K$7)^2))^2)))))/Inputs!$C$13),NA())</x:f>
        <x:v>2006.6029983032665</x:v>
      </x:c>
      <x:c r="P70" s="48" t="n">
        <x:f>IF(OR(Inputs!$F$8=TRUE,Inputs!$F$8="TRUE",Inputs!$F$8=1),(-2*((1000*((((Inputs!$I$8+(((A70)+1)/2)*(Inputs!$J$8-Inputs!$I$8)))*Inputs!$C$11+((Inputs!$H$8+Inputs!$L$8*(((Inputs!$I$8+(((A70)+1)/2)*(Inputs!$J$8-Inputs!$I$8)))/Inputs!$K$8)^2))*((2*Inputs!$L$8*((Inputs!$I$8+(((A70)+1)/2)*(Inputs!$J$8-Inputs!$I$8)))/(Inputs!$K$8^2)*Inputs!$C$11)))/(SQRT(((Inputs!$I$8+(((A70)+1)/2)*(Inputs!$J$8-Inputs!$I$8)))^2+Inputs!$C$6^2+((Inputs!$H$8+Inputs!$L$8*(((Inputs!$I$8+(((A70)+1)/2)*(Inputs!$J$8-Inputs!$I$8)))/Inputs!$K$8)^2))^2)))))/Inputs!$C$13),NA())</x:f>
        <x:v>2237.754363131572</x:v>
      </x:c>
      <x:c r="Q70" s="48" t="n">
        <x:f>IF(OR(Inputs!$F$9=TRUE,Inputs!$F$9="TRUE",Inputs!$F$9=1),(-2*((1000*((((Inputs!$I$9+(((A70)+1)/2)*(Inputs!$J$9-Inputs!$I$9)))*Inputs!$C$11+((Inputs!$H$9+Inputs!$L$9*(((Inputs!$I$9+(((A70)+1)/2)*(Inputs!$J$9-Inputs!$I$9)))/Inputs!$K$9)^2))*((2*Inputs!$L$9*((Inputs!$I$9+(((A70)+1)/2)*(Inputs!$J$9-Inputs!$I$9)))/(Inputs!$K$9^2)*Inputs!$C$11)))/(SQRT(((Inputs!$I$9+(((A70)+1)/2)*(Inputs!$J$9-Inputs!$I$9)))^2+Inputs!$C$6^2+((Inputs!$H$9+Inputs!$L$9*(((Inputs!$I$9+(((A70)+1)/2)*(Inputs!$J$9-Inputs!$I$9)))/Inputs!$K$9)^2))^2)))))/Inputs!$C$13),NA())</x:f>
        <x:v>2236.4878879575317</x:v>
      </x:c>
      <x:c r="R70" s="49"/>
      <x:c r="S70" s="48" t="n">
        <x:f>A70</x:f>
        <x:v>-0.433</x:v>
      </x:c>
      <x:c r="T70" s="48" t="n">
        <x:f>(Inputs!$I$6+(((A70)+1)/2)*(Inputs!$J$6-Inputs!$I$6))</x:f>
        <x:v>-25.980000000000004</x:v>
      </x:c>
      <x:c r="U70" s="48" t="n">
        <x:f>(Inputs!$I$7+(((A70)+1)/2)*(Inputs!$J$7-Inputs!$I$7))</x:f>
        <x:v>-173.20000000000002</x:v>
      </x:c>
      <x:c r="V70" s="48" t="n">
        <x:f>(Inputs!$I$8+(((A70)+1)/2)*(Inputs!$J$8-Inputs!$I$8))</x:f>
        <x:v>-346.40000000000003</x:v>
      </x:c>
      <x:c r="W70" s="48" t="n">
        <x:f>(Inputs!$I$9+(((A70)+1)/2)*(Inputs!$J$9-Inputs!$I$9))</x:f>
        <x:v>-346.40000000000003</x:v>
      </x:c>
      <x:c r="X70" s="49"/>
      <x:c r="Y70" s="48" t="n">
        <x:f>A70</x:f>
        <x:v>-0.433</x:v>
      </x:c>
      <x:c r="Z70" s="48" t="n">
        <x:f>(Inputs!$H$6+Inputs!$L$6*(((Inputs!$I$6+(((A70)+1)/2)*(Inputs!$J$6-Inputs!$I$6)))/Inputs!$K$6)^2)</x:f>
        <x:v>400.749956</x:v>
      </x:c>
      <x:c r="AA70" s="48" t="n">
        <x:f>(Inputs!$H$7+Inputs!$L$7*(((Inputs!$I$7+(((A70)+1)/2)*(Inputs!$J$7-Inputs!$I$7)))/Inputs!$K$7)^2)</x:f>
        <x:v>103.43348500000002</x:v>
      </x:c>
      <x:c r="AB70" s="48" t="n">
        <x:f>(Inputs!$H$8+Inputs!$L$8*(((Inputs!$I$8+(((A70)+1)/2)*(Inputs!$J$8-Inputs!$I$8)))/Inputs!$K$8)^2)</x:f>
        <x:v>215.92688500000006</x:v>
      </x:c>
      <x:c r="AC70" s="48" t="n">
        <x:f>(Inputs!$H$9+Inputs!$L$9*(((Inputs!$I$9+(((A70)+1)/2)*(Inputs!$J$9-Inputs!$I$9)))/Inputs!$K$9)^2)</x:f>
        <x:v>207.80177500000005</x:v>
      </x:c>
      <x:c r="AD70" s="49"/>
      <x:c r="AE70" s="48" t="n">
        <x:f>A70</x:f>
        <x:v>-0.433</x:v>
      </x:c>
      <x:c r="AF70" s="48" t="n">
        <x:f>(((SQRT(((Inputs!$I$6+(((A70)+1)/2)*(Inputs!$J$6-Inputs!$I$6)))^2+Inputs!$C$6^2+((Inputs!$H$6+Inputs!$L$6*(((Inputs!$I$6+(((A70)+1)/2)*(Inputs!$J$6-Inputs!$I$6)))/Inputs!$K$6)^2))^2))-((Inputs!$H$6+Inputs!$L$6*(((Inputs!$I$6+(((A70)+1)/2)*(Inputs!$J$6-Inputs!$I$6)))/Inputs!$K$6)^2)))*1000/Inputs!$C$12)</x:f>
        <x:v>909.3487243927839</x:v>
      </x:c>
      <x:c r="AG70" s="48" t="n">
        <x:f>(((SQRT(((Inputs!$I$7+(((A70)+1)/2)*(Inputs!$J$7-Inputs!$I$7)))^2+Inputs!$C$6^2+((Inputs!$H$7+Inputs!$L$7*(((Inputs!$I$7+(((A70)+1)/2)*(Inputs!$J$7-Inputs!$I$7)))/Inputs!$K$7)^2))^2))-((Inputs!$H$7+Inputs!$L$7*(((Inputs!$I$7+(((A70)+1)/2)*(Inputs!$J$7-Inputs!$I$7)))/Inputs!$K$7)^2)))*1000/Inputs!$C$12)</x:f>
        <x:v>56092.12089042314</x:v>
      </x:c>
      <x:c r="AH70" s="48" t="n">
        <x:f>(((SQRT(((Inputs!$I$8+(((A70)+1)/2)*(Inputs!$J$8-Inputs!$I$8)))^2+Inputs!$C$6^2+((Inputs!$H$8+Inputs!$L$8*(((Inputs!$I$8+(((A70)+1)/2)*(Inputs!$J$8-Inputs!$I$8)))/Inputs!$K$8)^2))^2))-((Inputs!$H$8+Inputs!$L$8*(((Inputs!$I$8+(((A70)+1)/2)*(Inputs!$J$8-Inputs!$I$8)))/Inputs!$K$8)^2)))*1000/Inputs!$C$12)</x:f>
        <x:v>108441.51637761801</x:v>
      </x:c>
      <x:c r="AI70" s="48" t="n">
        <x:f>(((SQRT(((Inputs!$I$9+(((A70)+1)/2)*(Inputs!$J$9-Inputs!$I$9)))^2+Inputs!$C$6^2+((Inputs!$H$9+Inputs!$L$9*(((Inputs!$I$9+(((A70)+1)/2)*(Inputs!$J$9-Inputs!$I$9)))/Inputs!$K$9)^2))^2))-((Inputs!$H$9+Inputs!$L$9*(((Inputs!$I$9+(((A70)+1)/2)*(Inputs!$J$9-Inputs!$I$9)))/Inputs!$K$9)^2)))*1000/Inputs!$C$12)</x:f>
        <x:v>110629.0903120775</x:v>
      </x:c>
      <x:c r="AJ70" s="49"/>
      <x:c r="AK70" s="48" t="n">
        <x:f>A70</x:f>
        <x:v>-0.433</x:v>
      </x:c>
      <x:c r="AL70" s="48" t="n">
        <x:f>(-2*((1000*((((Inputs!$I$6+(((A70)+1)/2)*(Inputs!$J$6-Inputs!$I$6)))*Inputs!$C$11+((Inputs!$H$6+Inputs!$L$6*(((Inputs!$I$6+(((A70)+1)/2)*(Inputs!$J$6-Inputs!$I$6)))/Inputs!$K$6)^2))*((2*Inputs!$L$6*((Inputs!$I$6+(((A70)+1)/2)*(Inputs!$J$6-Inputs!$I$6)))/(Inputs!$K$6^2)*Inputs!$C$11)))/(SQRT(((Inputs!$I$6+(((A70)+1)/2)*(Inputs!$J$6-Inputs!$I$6)))^2+Inputs!$C$6^2+((Inputs!$H$6+Inputs!$L$6*(((Inputs!$I$6+(((A70)+1)/2)*(Inputs!$J$6-Inputs!$I$6)))/Inputs!$K$6)^2))^2)))))/Inputs!$C$13)</x:f>
        <x:v>195.30999662419933</x:v>
      </x:c>
      <x:c r="AM70" s="48" t="n">
        <x:f>(-2*((1000*((((Inputs!$I$7+(((A70)+1)/2)*(Inputs!$J$7-Inputs!$I$7)))*Inputs!$C$11+((Inputs!$H$7+Inputs!$L$7*(((Inputs!$I$7+(((A70)+1)/2)*(Inputs!$J$7-Inputs!$I$7)))/Inputs!$K$7)^2))*((2*Inputs!$L$7*((Inputs!$I$7+(((A70)+1)/2)*(Inputs!$J$7-Inputs!$I$7)))/(Inputs!$K$7^2)*Inputs!$C$11)))/(SQRT(((Inputs!$I$7+(((A70)+1)/2)*(Inputs!$J$7-Inputs!$I$7)))^2+Inputs!$C$6^2+((Inputs!$H$7+Inputs!$L$7*(((Inputs!$I$7+(((A70)+1)/2)*(Inputs!$J$7-Inputs!$I$7)))/Inputs!$K$7)^2))^2)))))/Inputs!$C$13)</x:f>
        <x:v>2006.6029983032665</x:v>
      </x:c>
      <x:c r="AN70" s="48" t="n">
        <x:f>(-2*((1000*((((Inputs!$I$8+(((A70)+1)/2)*(Inputs!$J$8-Inputs!$I$8)))*Inputs!$C$11+((Inputs!$H$8+Inputs!$L$8*(((Inputs!$I$8+(((A70)+1)/2)*(Inputs!$J$8-Inputs!$I$8)))/Inputs!$K$8)^2))*((2*Inputs!$L$8*((Inputs!$I$8+(((A70)+1)/2)*(Inputs!$J$8-Inputs!$I$8)))/(Inputs!$K$8^2)*Inputs!$C$11)))/(SQRT(((Inputs!$I$8+(((A70)+1)/2)*(Inputs!$J$8-Inputs!$I$8)))^2+Inputs!$C$6^2+((Inputs!$H$8+Inputs!$L$8*(((Inputs!$I$8+(((A70)+1)/2)*(Inputs!$J$8-Inputs!$I$8)))/Inputs!$K$8)^2))^2)))))/Inputs!$C$13)</x:f>
        <x:v>2237.754363131572</x:v>
      </x:c>
      <x:c r="AO70" s="48" t="n">
        <x:f>(-2*((1000*((((Inputs!$I$9+(((A70)+1)/2)*(Inputs!$J$9-Inputs!$I$9)))*Inputs!$C$11+((Inputs!$H$9+Inputs!$L$9*(((Inputs!$I$9+(((A70)+1)/2)*(Inputs!$J$9-Inputs!$I$9)))/Inputs!$K$9)^2))*((2*Inputs!$L$9*((Inputs!$I$9+(((A70)+1)/2)*(Inputs!$J$9-Inputs!$I$9)))/(Inputs!$K$9^2)*Inputs!$C$11)))/(SQRT(((Inputs!$I$9+(((A70)+1)/2)*(Inputs!$J$9-Inputs!$I$9)))^2+Inputs!$C$6^2+((Inputs!$H$9+Inputs!$L$9*(((Inputs!$I$9+(((A70)+1)/2)*(Inputs!$J$9-Inputs!$I$9)))/Inputs!$K$9)^2))^2)))))/Inputs!$C$13)</x:f>
        <x:v>2236.4878879575317</x:v>
      </x:c>
    </x:row>
    <x:row r="71">
      <x:c r="A71" s="48" t="n">
        <x:f>ROUND(-1+69*2/240,3)</x:f>
        <x:v>-0.425</x:v>
      </x:c>
      <x:c r="B71" s="48" t="n">
        <x:f>IF(OR(Inputs!$F$6=TRUE,Inputs!$F$6="TRUE",Inputs!$F$6=1),(Inputs!$H$6+Inputs!$L$6*(((Inputs!$I$6+(((A71)+1)/2)*(Inputs!$J$6-Inputs!$I$6)))/Inputs!$K$6)^2),NA())</x:f>
        <x:v>400.7225</x:v>
      </x:c>
      <x:c r="C71" s="48" t="n">
        <x:f>IF(OR(Inputs!$F$7=TRUE,Inputs!$F$7="TRUE",Inputs!$F$7=1),(Inputs!$H$7+Inputs!$L$7*(((Inputs!$I$7+(((A71)+1)/2)*(Inputs!$J$7-Inputs!$I$7)))/Inputs!$K$7)^2),NA())</x:f>
        <x:v>100.92812500000001</x:v>
      </x:c>
      <x:c r="D71" s="48" t="n">
        <x:f>IF(OR(Inputs!$F$8=TRUE,Inputs!$F$8="TRUE",Inputs!$F$8=1),(Inputs!$H$8+Inputs!$L$8*(((Inputs!$I$8+(((A71)+1)/2)*(Inputs!$J$8-Inputs!$I$8)))/Inputs!$K$8)^2),NA())</x:f>
        <x:v>209.30312500000002</x:v>
      </x:c>
      <x:c r="E71" s="48" t="n">
        <x:f>IF(OR(Inputs!$F$9=TRUE,Inputs!$F$9="TRUE",Inputs!$F$9=1),(Inputs!$H$9+Inputs!$L$9*(((Inputs!$I$9+(((A71)+1)/2)*(Inputs!$J$9-Inputs!$I$9)))/Inputs!$K$9)^2),NA())</x:f>
        <x:v>201.10937500000003</x:v>
      </x:c>
      <x:c r="F71" s="49"/>
      <x:c r="G71" s="48" t="n">
        <x:f>A71</x:f>
        <x:v>-0.425</x:v>
      </x:c>
      <x:c r="H71" s="48" t="n">
        <x:f>IF(OR(Inputs!$F$6=TRUE,Inputs!$F$6="TRUE",Inputs!$F$6=1),(((SQRT(((Inputs!$I$6+(((A71)+1)/2)*(Inputs!$J$6-Inputs!$I$6)))^2+Inputs!$C$6^2+((Inputs!$H$6+Inputs!$L$6*(((Inputs!$I$6+(((A71)+1)/2)*(Inputs!$J$6-Inputs!$I$6)))/Inputs!$K$6)^2))^2))-((Inputs!$H$6+Inputs!$L$6*(((Inputs!$I$6+(((A71)+1)/2)*(Inputs!$J$6-Inputs!$I$6)))/Inputs!$K$6)^2)))*1000/Inputs!$C$12),NA())</x:f>
        <x:v>892.1582886614168</x:v>
      </x:c>
      <x:c r="I71" s="48" t="n">
        <x:f>IF(OR(Inputs!$F$7=TRUE,Inputs!$F$7="TRUE",Inputs!$F$7=1),(((SQRT(((Inputs!$I$7+(((A71)+1)/2)*(Inputs!$J$7-Inputs!$I$7)))^2+Inputs!$C$6^2+((Inputs!$H$7+Inputs!$L$7*(((Inputs!$I$7+(((A71)+1)/2)*(Inputs!$J$7-Inputs!$I$7)))/Inputs!$K$7)^2))^2))-((Inputs!$H$7+Inputs!$L$7*(((Inputs!$I$7+(((A71)+1)/2)*(Inputs!$J$7-Inputs!$I$7)))/Inputs!$K$7)^2)))*1000/Inputs!$C$12),NA())</x:f>
        <x:v>55252.40769764293</x:v>
      </x:c>
      <x:c r="J71" s="48" t="n">
        <x:f>IF(OR(Inputs!$F$8=TRUE,Inputs!$F$8="TRUE",Inputs!$F$8=1),(((SQRT(((Inputs!$I$8+(((A71)+1)/2)*(Inputs!$J$8-Inputs!$I$8)))^2+Inputs!$C$6^2+((Inputs!$H$8+Inputs!$L$8*(((Inputs!$I$8+(((A71)+1)/2)*(Inputs!$J$8-Inputs!$I$8)))/Inputs!$K$8)^2))^2))-((Inputs!$H$8+Inputs!$L$8*(((Inputs!$I$8+(((A71)+1)/2)*(Inputs!$J$8-Inputs!$I$8)))/Inputs!$K$8)^2)))*1000/Inputs!$C$12),NA())</x:f>
        <x:v>107156.10706048392</x:v>
      </x:c>
      <x:c r="K71" s="48" t="n">
        <x:f>IF(OR(Inputs!$F$9=TRUE,Inputs!$F$9="TRUE",Inputs!$F$9=1),(((SQRT(((Inputs!$I$9+(((A71)+1)/2)*(Inputs!$J$9-Inputs!$I$9)))^2+Inputs!$C$6^2+((Inputs!$H$9+Inputs!$L$9*(((Inputs!$I$9+(((A71)+1)/2)*(Inputs!$J$9-Inputs!$I$9)))/Inputs!$K$9)^2))^2))-((Inputs!$H$9+Inputs!$L$9*(((Inputs!$I$9+(((A71)+1)/2)*(Inputs!$J$9-Inputs!$I$9)))/Inputs!$K$9)^2)))*1000/Inputs!$C$12),NA())</x:f>
        <x:v>109385.51363748086</x:v>
      </x:c>
      <x:c r="L71" s="49"/>
      <x:c r="M71" s="48" t="n">
        <x:f>A71</x:f>
        <x:v>-0.425</x:v>
      </x:c>
      <x:c r="N71" s="48" t="n">
        <x:f>IF(OR(Inputs!$F$6=TRUE,Inputs!$F$6="TRUE",Inputs!$F$6=1),(-2*((1000*((((Inputs!$I$6+(((A71)+1)/2)*(Inputs!$J$6-Inputs!$I$6)))*Inputs!$C$11+((Inputs!$H$6+Inputs!$L$6*(((Inputs!$I$6+(((A71)+1)/2)*(Inputs!$J$6-Inputs!$I$6)))/Inputs!$K$6)^2))*((2*Inputs!$L$6*((Inputs!$I$6+(((A71)+1)/2)*(Inputs!$J$6-Inputs!$I$6)))/(Inputs!$K$6^2)*Inputs!$C$11)))/(SQRT(((Inputs!$I$6+(((A71)+1)/2)*(Inputs!$J$6-Inputs!$I$6)))^2+Inputs!$C$6^2+((Inputs!$H$6+Inputs!$L$6*(((Inputs!$I$6+(((A71)+1)/2)*(Inputs!$J$6-Inputs!$I$6)))/Inputs!$K$6)^2))^2)))))/Inputs!$C$13),NA())</x:f>
        <x:v>191.72297349476912</x:v>
      </x:c>
      <x:c r="O71" s="48" t="n">
        <x:f>IF(OR(Inputs!$F$7=TRUE,Inputs!$F$7="TRUE",Inputs!$F$7=1),(-2*((1000*((((Inputs!$I$7+(((A71)+1)/2)*(Inputs!$J$7-Inputs!$I$7)))*Inputs!$C$11+((Inputs!$H$7+Inputs!$L$7*(((Inputs!$I$7+(((A71)+1)/2)*(Inputs!$J$7-Inputs!$I$7)))/Inputs!$K$7)^2))*((2*Inputs!$L$7*((Inputs!$I$7+(((A71)+1)/2)*(Inputs!$J$7-Inputs!$I$7)))/(Inputs!$K$7^2)*Inputs!$C$11)))/(SQRT(((Inputs!$I$7+(((A71)+1)/2)*(Inputs!$J$7-Inputs!$I$7)))^2+Inputs!$C$6^2+((Inputs!$H$7+Inputs!$L$7*(((Inputs!$I$7+(((A71)+1)/2)*(Inputs!$J$7-Inputs!$I$7)))/Inputs!$K$7)^2))^2)))))/Inputs!$C$13),NA())</x:f>
        <x:v>1993.4612845780164</x:v>
      </x:c>
      <x:c r="P71" s="48" t="n">
        <x:f>IF(OR(Inputs!$F$8=TRUE,Inputs!$F$8="TRUE",Inputs!$F$8=1),(-2*((1000*((((Inputs!$I$8+(((A71)+1)/2)*(Inputs!$J$8-Inputs!$I$8)))*Inputs!$C$11+((Inputs!$H$8+Inputs!$L$8*(((Inputs!$I$8+(((A71)+1)/2)*(Inputs!$J$8-Inputs!$I$8)))/Inputs!$K$8)^2))*((2*Inputs!$L$8*((Inputs!$I$8+(((A71)+1)/2)*(Inputs!$J$8-Inputs!$I$8)))/(Inputs!$K$8^2)*Inputs!$C$11)))/(SQRT(((Inputs!$I$8+(((A71)+1)/2)*(Inputs!$J$8-Inputs!$I$8)))^2+Inputs!$C$6^2+((Inputs!$H$8+Inputs!$L$8*(((Inputs!$I$8+(((A71)+1)/2)*(Inputs!$J$8-Inputs!$I$8)))/Inputs!$K$8)^2))^2)))))/Inputs!$C$13),NA())</x:f>
        <x:v>2218.17710283249</x:v>
      </x:c>
      <x:c r="Q71" s="48" t="n">
        <x:f>IF(OR(Inputs!$F$9=TRUE,Inputs!$F$9="TRUE",Inputs!$F$9=1),(-2*((1000*((((Inputs!$I$9+(((A71)+1)/2)*(Inputs!$J$9-Inputs!$I$9)))*Inputs!$C$11+((Inputs!$H$9+Inputs!$L$9*(((Inputs!$I$9+(((A71)+1)/2)*(Inputs!$J$9-Inputs!$I$9)))/Inputs!$K$9)^2))*((2*Inputs!$L$9*((Inputs!$I$9+(((A71)+1)/2)*(Inputs!$J$9-Inputs!$I$9)))/(Inputs!$K$9^2)*Inputs!$C$11)))/(SQRT(((Inputs!$I$9+(((A71)+1)/2)*(Inputs!$J$9-Inputs!$I$9)))^2+Inputs!$C$6^2+((Inputs!$H$9+Inputs!$L$9*(((Inputs!$I$9+(((A71)+1)/2)*(Inputs!$J$9-Inputs!$I$9)))/Inputs!$K$9)^2))^2)))))/Inputs!$C$13),NA())</x:f>
        <x:v>2216.534196316313</x:v>
      </x:c>
      <x:c r="R71" s="49"/>
      <x:c r="S71" s="48" t="n">
        <x:f>A71</x:f>
        <x:v>-0.425</x:v>
      </x:c>
      <x:c r="T71" s="48" t="n">
        <x:f>(Inputs!$I$6+(((A71)+1)/2)*(Inputs!$J$6-Inputs!$I$6))</x:f>
        <x:v>-25.5</x:v>
      </x:c>
      <x:c r="U71" s="48" t="n">
        <x:f>(Inputs!$I$7+(((A71)+1)/2)*(Inputs!$J$7-Inputs!$I$7))</x:f>
        <x:v>-170.00000000000003</x:v>
      </x:c>
      <x:c r="V71" s="48" t="n">
        <x:f>(Inputs!$I$8+(((A71)+1)/2)*(Inputs!$J$8-Inputs!$I$8))</x:f>
        <x:v>-340.00000000000006</x:v>
      </x:c>
      <x:c r="W71" s="48" t="n">
        <x:f>(Inputs!$I$9+(((A71)+1)/2)*(Inputs!$J$9-Inputs!$I$9))</x:f>
        <x:v>-340.00000000000006</x:v>
      </x:c>
      <x:c r="X71" s="49"/>
      <x:c r="Y71" s="48" t="n">
        <x:f>A71</x:f>
        <x:v>-0.425</x:v>
      </x:c>
      <x:c r="Z71" s="48" t="n">
        <x:f>(Inputs!$H$6+Inputs!$L$6*(((Inputs!$I$6+(((A71)+1)/2)*(Inputs!$J$6-Inputs!$I$6)))/Inputs!$K$6)^2)</x:f>
        <x:v>400.7225</x:v>
      </x:c>
      <x:c r="AA71" s="48" t="n">
        <x:f>(Inputs!$H$7+Inputs!$L$7*(((Inputs!$I$7+(((A71)+1)/2)*(Inputs!$J$7-Inputs!$I$7)))/Inputs!$K$7)^2)</x:f>
        <x:v>100.92812500000001</x:v>
      </x:c>
      <x:c r="AB71" s="48" t="n">
        <x:f>(Inputs!$H$8+Inputs!$L$8*(((Inputs!$I$8+(((A71)+1)/2)*(Inputs!$J$8-Inputs!$I$8)))/Inputs!$K$8)^2)</x:f>
        <x:v>209.30312500000002</x:v>
      </x:c>
      <x:c r="AC71" s="48" t="n">
        <x:f>(Inputs!$H$9+Inputs!$L$9*(((Inputs!$I$9+(((A71)+1)/2)*(Inputs!$J$9-Inputs!$I$9)))/Inputs!$K$9)^2)</x:f>
        <x:v>201.10937500000003</x:v>
      </x:c>
      <x:c r="AD71" s="49"/>
      <x:c r="AE71" s="48" t="n">
        <x:f>A71</x:f>
        <x:v>-0.425</x:v>
      </x:c>
      <x:c r="AF71" s="48" t="n">
        <x:f>(((SQRT(((Inputs!$I$6+(((A71)+1)/2)*(Inputs!$J$6-Inputs!$I$6)))^2+Inputs!$C$6^2+((Inputs!$H$6+Inputs!$L$6*(((Inputs!$I$6+(((A71)+1)/2)*(Inputs!$J$6-Inputs!$I$6)))/Inputs!$K$6)^2))^2))-((Inputs!$H$6+Inputs!$L$6*(((Inputs!$I$6+(((A71)+1)/2)*(Inputs!$J$6-Inputs!$I$6)))/Inputs!$K$6)^2)))*1000/Inputs!$C$12)</x:f>
        <x:v>892.1582886614168</x:v>
      </x:c>
      <x:c r="AG71" s="48" t="n">
        <x:f>(((SQRT(((Inputs!$I$7+(((A71)+1)/2)*(Inputs!$J$7-Inputs!$I$7)))^2+Inputs!$C$6^2+((Inputs!$H$7+Inputs!$L$7*(((Inputs!$I$7+(((A71)+1)/2)*(Inputs!$J$7-Inputs!$I$7)))/Inputs!$K$7)^2))^2))-((Inputs!$H$7+Inputs!$L$7*(((Inputs!$I$7+(((A71)+1)/2)*(Inputs!$J$7-Inputs!$I$7)))/Inputs!$K$7)^2)))*1000/Inputs!$C$12)</x:f>
        <x:v>55252.40769764293</x:v>
      </x:c>
      <x:c r="AH71" s="48" t="n">
        <x:f>(((SQRT(((Inputs!$I$8+(((A71)+1)/2)*(Inputs!$J$8-Inputs!$I$8)))^2+Inputs!$C$6^2+((Inputs!$H$8+Inputs!$L$8*(((Inputs!$I$8+(((A71)+1)/2)*(Inputs!$J$8-Inputs!$I$8)))/Inputs!$K$8)^2))^2))-((Inputs!$H$8+Inputs!$L$8*(((Inputs!$I$8+(((A71)+1)/2)*(Inputs!$J$8-Inputs!$I$8)))/Inputs!$K$8)^2)))*1000/Inputs!$C$12)</x:f>
        <x:v>107156.10706048392</x:v>
      </x:c>
      <x:c r="AI71" s="48" t="n">
        <x:f>(((SQRT(((Inputs!$I$9+(((A71)+1)/2)*(Inputs!$J$9-Inputs!$I$9)))^2+Inputs!$C$6^2+((Inputs!$H$9+Inputs!$L$9*(((Inputs!$I$9+(((A71)+1)/2)*(Inputs!$J$9-Inputs!$I$9)))/Inputs!$K$9)^2))^2))-((Inputs!$H$9+Inputs!$L$9*(((Inputs!$I$9+(((A71)+1)/2)*(Inputs!$J$9-Inputs!$I$9)))/Inputs!$K$9)^2)))*1000/Inputs!$C$12)</x:f>
        <x:v>109385.51363748086</x:v>
      </x:c>
      <x:c r="AJ71" s="49"/>
      <x:c r="AK71" s="48" t="n">
        <x:f>A71</x:f>
        <x:v>-0.425</x:v>
      </x:c>
      <x:c r="AL71" s="48" t="n">
        <x:f>(-2*((1000*((((Inputs!$I$6+(((A71)+1)/2)*(Inputs!$J$6-Inputs!$I$6)))*Inputs!$C$11+((Inputs!$H$6+Inputs!$L$6*(((Inputs!$I$6+(((A71)+1)/2)*(Inputs!$J$6-Inputs!$I$6)))/Inputs!$K$6)^2))*((2*Inputs!$L$6*((Inputs!$I$6+(((A71)+1)/2)*(Inputs!$J$6-Inputs!$I$6)))/(Inputs!$K$6^2)*Inputs!$C$11)))/(SQRT(((Inputs!$I$6+(((A71)+1)/2)*(Inputs!$J$6-Inputs!$I$6)))^2+Inputs!$C$6^2+((Inputs!$H$6+Inputs!$L$6*(((Inputs!$I$6+(((A71)+1)/2)*(Inputs!$J$6-Inputs!$I$6)))/Inputs!$K$6)^2))^2)))))/Inputs!$C$13)</x:f>
        <x:v>191.72297349476912</x:v>
      </x:c>
      <x:c r="AM71" s="48" t="n">
        <x:f>(-2*((1000*((((Inputs!$I$7+(((A71)+1)/2)*(Inputs!$J$7-Inputs!$I$7)))*Inputs!$C$11+((Inputs!$H$7+Inputs!$L$7*(((Inputs!$I$7+(((A71)+1)/2)*(Inputs!$J$7-Inputs!$I$7)))/Inputs!$K$7)^2))*((2*Inputs!$L$7*((Inputs!$I$7+(((A71)+1)/2)*(Inputs!$J$7-Inputs!$I$7)))/(Inputs!$K$7^2)*Inputs!$C$11)))/(SQRT(((Inputs!$I$7+(((A71)+1)/2)*(Inputs!$J$7-Inputs!$I$7)))^2+Inputs!$C$6^2+((Inputs!$H$7+Inputs!$L$7*(((Inputs!$I$7+(((A71)+1)/2)*(Inputs!$J$7-Inputs!$I$7)))/Inputs!$K$7)^2))^2)))))/Inputs!$C$13)</x:f>
        <x:v>1993.4612845780164</x:v>
      </x:c>
      <x:c r="AN71" s="48" t="n">
        <x:f>(-2*((1000*((((Inputs!$I$8+(((A71)+1)/2)*(Inputs!$J$8-Inputs!$I$8)))*Inputs!$C$11+((Inputs!$H$8+Inputs!$L$8*(((Inputs!$I$8+(((A71)+1)/2)*(Inputs!$J$8-Inputs!$I$8)))/Inputs!$K$8)^2))*((2*Inputs!$L$8*((Inputs!$I$8+(((A71)+1)/2)*(Inputs!$J$8-Inputs!$I$8)))/(Inputs!$K$8^2)*Inputs!$C$11)))/(SQRT(((Inputs!$I$8+(((A71)+1)/2)*(Inputs!$J$8-Inputs!$I$8)))^2+Inputs!$C$6^2+((Inputs!$H$8+Inputs!$L$8*(((Inputs!$I$8+(((A71)+1)/2)*(Inputs!$J$8-Inputs!$I$8)))/Inputs!$K$8)^2))^2)))))/Inputs!$C$13)</x:f>
        <x:v>2218.17710283249</x:v>
      </x:c>
      <x:c r="AO71" s="48" t="n">
        <x:f>(-2*((1000*((((Inputs!$I$9+(((A71)+1)/2)*(Inputs!$J$9-Inputs!$I$9)))*Inputs!$C$11+((Inputs!$H$9+Inputs!$L$9*(((Inputs!$I$9+(((A71)+1)/2)*(Inputs!$J$9-Inputs!$I$9)))/Inputs!$K$9)^2))*((2*Inputs!$L$9*((Inputs!$I$9+(((A71)+1)/2)*(Inputs!$J$9-Inputs!$I$9)))/(Inputs!$K$9^2)*Inputs!$C$11)))/(SQRT(((Inputs!$I$9+(((A71)+1)/2)*(Inputs!$J$9-Inputs!$I$9)))^2+Inputs!$C$6^2+((Inputs!$H$9+Inputs!$L$9*(((Inputs!$I$9+(((A71)+1)/2)*(Inputs!$J$9-Inputs!$I$9)))/Inputs!$K$9)^2))^2)))))/Inputs!$C$13)</x:f>
        <x:v>2216.534196316313</x:v>
      </x:c>
    </x:row>
    <x:row r="72">
      <x:c r="A72" s="48" t="n">
        <x:f>ROUND(-1+70*2/240,3)</x:f>
        <x:v>-0.417</x:v>
      </x:c>
      <x:c r="B72" s="48" t="n">
        <x:f>IF(OR(Inputs!$F$6=TRUE,Inputs!$F$6="TRUE",Inputs!$F$6=1),(Inputs!$H$6+Inputs!$L$6*(((Inputs!$I$6+(((A72)+1)/2)*(Inputs!$J$6-Inputs!$I$6)))/Inputs!$K$6)^2),NA())</x:f>
        <x:v>400.695556</x:v>
      </x:c>
      <x:c r="C72" s="48" t="n">
        <x:f>IF(OR(Inputs!$F$7=TRUE,Inputs!$F$7="TRUE",Inputs!$F$7=1),(Inputs!$H$7+Inputs!$L$7*(((Inputs!$I$7+(((A72)+1)/2)*(Inputs!$J$7-Inputs!$I$7)))/Inputs!$K$7)^2),NA())</x:f>
        <x:v>98.46948500000002</x:v>
      </x:c>
      <x:c r="D72" s="48" t="n">
        <x:f>IF(OR(Inputs!$F$8=TRUE,Inputs!$F$8="TRUE",Inputs!$F$8=1),(Inputs!$H$8+Inputs!$L$8*(((Inputs!$I$8+(((A72)+1)/2)*(Inputs!$J$8-Inputs!$I$8)))/Inputs!$K$8)^2),NA())</x:f>
        <x:v>202.80288500000003</x:v>
      </x:c>
      <x:c r="E72" s="48" t="n">
        <x:f>IF(OR(Inputs!$F$9=TRUE,Inputs!$F$9="TRUE",Inputs!$F$9=1),(Inputs!$H$9+Inputs!$L$9*(((Inputs!$I$9+(((A72)+1)/2)*(Inputs!$J$9-Inputs!$I$9)))/Inputs!$K$9)^2),NA())</x:f>
        <x:v>194.54177500000003</x:v>
      </x:c>
      <x:c r="F72" s="49"/>
      <x:c r="G72" s="48" t="n">
        <x:f>A72</x:f>
        <x:v>-0.417</x:v>
      </x:c>
      <x:c r="H72" s="48" t="n">
        <x:f>IF(OR(Inputs!$F$6=TRUE,Inputs!$F$6="TRUE",Inputs!$F$6=1),(((SQRT(((Inputs!$I$6+(((A72)+1)/2)*(Inputs!$J$6-Inputs!$I$6)))^2+Inputs!$C$6^2+((Inputs!$H$6+Inputs!$L$6*(((Inputs!$I$6+(((A72)+1)/2)*(Inputs!$J$6-Inputs!$I$6)))/Inputs!$K$6)^2))^2))-((Inputs!$H$6+Inputs!$L$6*(((Inputs!$I$6+(((A72)+1)/2)*(Inputs!$J$6-Inputs!$I$6)))/Inputs!$K$6)^2)))*1000/Inputs!$C$12),NA())</x:f>
        <x:v>875.2848677409403</x:v>
      </x:c>
      <x:c r="I72" s="48" t="n">
        <x:f>IF(OR(Inputs!$F$7=TRUE,Inputs!$F$7="TRUE",Inputs!$F$7=1),(((SQRT(((Inputs!$I$7+(((A72)+1)/2)*(Inputs!$J$7-Inputs!$I$7)))^2+Inputs!$C$6^2+((Inputs!$H$7+Inputs!$L$7*(((Inputs!$I$7+(((A72)+1)/2)*(Inputs!$J$7-Inputs!$I$7)))/Inputs!$K$7)^2))^2))-((Inputs!$H$7+Inputs!$L$7*(((Inputs!$I$7+(((A72)+1)/2)*(Inputs!$J$7-Inputs!$I$7)))/Inputs!$K$7)^2)))*1000/Inputs!$C$12),NA())</x:f>
        <x:v>54401.164187782495</x:v>
      </x:c>
      <x:c r="J72" s="48" t="n">
        <x:f>IF(OR(Inputs!$F$8=TRUE,Inputs!$F$8="TRUE",Inputs!$F$8=1),(((SQRT(((Inputs!$I$8+(((A72)+1)/2)*(Inputs!$J$8-Inputs!$I$8)))^2+Inputs!$C$6^2+((Inputs!$H$8+Inputs!$L$8*(((Inputs!$I$8+(((A72)+1)/2)*(Inputs!$J$8-Inputs!$I$8)))/Inputs!$K$8)^2))^2))-((Inputs!$H$8+Inputs!$L$8*(((Inputs!$I$8+(((A72)+1)/2)*(Inputs!$J$8-Inputs!$I$8)))/Inputs!$K$8)^2)))*1000/Inputs!$C$12),NA())</x:f>
        <x:v>105845.04670903459</x:v>
      </x:c>
      <x:c r="K72" s="48" t="n">
        <x:f>IF(OR(Inputs!$F$9=TRUE,Inputs!$F$9="TRUE",Inputs!$F$9=1),(((SQRT(((Inputs!$I$9+(((A72)+1)/2)*(Inputs!$J$9-Inputs!$I$9)))^2+Inputs!$C$6^2+((Inputs!$H$9+Inputs!$L$9*(((Inputs!$I$9+(((A72)+1)/2)*(Inputs!$J$9-Inputs!$I$9)))/Inputs!$K$9)^2))^2))-((Inputs!$H$9+Inputs!$L$9*(((Inputs!$I$9+(((A72)+1)/2)*(Inputs!$J$9-Inputs!$I$9)))/Inputs!$K$9)^2)))*1000/Inputs!$C$12),NA())</x:f>
        <x:v>108116.40119071386</x:v>
      </x:c>
      <x:c r="L72" s="49"/>
      <x:c r="M72" s="48" t="n">
        <x:f>A72</x:f>
        <x:v>-0.417</x:v>
      </x:c>
      <x:c r="N72" s="48" t="n">
        <x:f>IF(OR(Inputs!$F$6=TRUE,Inputs!$F$6="TRUE",Inputs!$F$6=1),(-2*((1000*((((Inputs!$I$6+(((A72)+1)/2)*(Inputs!$J$6-Inputs!$I$6)))*Inputs!$C$11+((Inputs!$H$6+Inputs!$L$6*(((Inputs!$I$6+(((A72)+1)/2)*(Inputs!$J$6-Inputs!$I$6)))/Inputs!$K$6)^2))*((2*Inputs!$L$6*((Inputs!$I$6+(((A72)+1)/2)*(Inputs!$J$6-Inputs!$I$6)))/(Inputs!$K$6^2)*Inputs!$C$11)))/(SQRT(((Inputs!$I$6+(((A72)+1)/2)*(Inputs!$J$6-Inputs!$I$6)))^2+Inputs!$C$6^2+((Inputs!$H$6+Inputs!$L$6*(((Inputs!$I$6+(((A72)+1)/2)*(Inputs!$J$6-Inputs!$I$6)))/Inputs!$K$6)^2))^2)))))/Inputs!$C$13),NA())</x:f>
        <x:v>188.1347578010402</x:v>
      </x:c>
      <x:c r="O72" s="48" t="n">
        <x:f>IF(OR(Inputs!$F$7=TRUE,Inputs!$F$7="TRUE",Inputs!$F$7=1),(-2*((1000*((((Inputs!$I$7+(((A72)+1)/2)*(Inputs!$J$7-Inputs!$I$7)))*Inputs!$C$11+((Inputs!$H$7+Inputs!$L$7*(((Inputs!$I$7+(((A72)+1)/2)*(Inputs!$J$7-Inputs!$I$7)))/Inputs!$K$7)^2))*((2*Inputs!$L$7*((Inputs!$I$7+(((A72)+1)/2)*(Inputs!$J$7-Inputs!$I$7)))/(Inputs!$K$7^2)*Inputs!$C$11)))/(SQRT(((Inputs!$I$7+(((A72)+1)/2)*(Inputs!$J$7-Inputs!$I$7)))^2+Inputs!$C$6^2+((Inputs!$H$7+Inputs!$L$7*(((Inputs!$I$7+(((A72)+1)/2)*(Inputs!$J$7-Inputs!$I$7)))/Inputs!$K$7)^2))^2)))))/Inputs!$C$13),NA())</x:f>
        <x:v>1980.4062412026428</x:v>
      </x:c>
      <x:c r="P72" s="48" t="n">
        <x:f>IF(OR(Inputs!$F$8=TRUE,Inputs!$F$8="TRUE",Inputs!$F$8=1),(-2*((1000*((((Inputs!$I$8+(((A72)+1)/2)*(Inputs!$J$8-Inputs!$I$8)))*Inputs!$C$11+((Inputs!$H$8+Inputs!$L$8*(((Inputs!$I$8+(((A72)+1)/2)*(Inputs!$J$8-Inputs!$I$8)))/Inputs!$K$8)^2))*((2*Inputs!$L$8*((Inputs!$I$8+(((A72)+1)/2)*(Inputs!$J$8-Inputs!$I$8)))/(Inputs!$K$8^2)*Inputs!$C$11)))/(SQRT(((Inputs!$I$8+(((A72)+1)/2)*(Inputs!$J$8-Inputs!$I$8)))^2+Inputs!$C$6^2+((Inputs!$H$8+Inputs!$L$8*(((Inputs!$I$8+(((A72)+1)/2)*(Inputs!$J$8-Inputs!$I$8)))/Inputs!$K$8)^2))^2)))))/Inputs!$C$13),NA())</x:f>
        <x:v>2198.8242284039907</x:v>
      </x:c>
      <x:c r="Q72" s="48" t="n">
        <x:f>IF(OR(Inputs!$F$9=TRUE,Inputs!$F$9="TRUE",Inputs!$F$9=1),(-2*((1000*((((Inputs!$I$9+(((A72)+1)/2)*(Inputs!$J$9-Inputs!$I$9)))*Inputs!$C$11+((Inputs!$H$9+Inputs!$L$9*(((Inputs!$I$9+(((A72)+1)/2)*(Inputs!$J$9-Inputs!$I$9)))/Inputs!$K$9)^2))*((2*Inputs!$L$9*((Inputs!$I$9+(((A72)+1)/2)*(Inputs!$J$9-Inputs!$I$9)))/(Inputs!$K$9^2)*Inputs!$C$11)))/(SQRT(((Inputs!$I$9+(((A72)+1)/2)*(Inputs!$J$9-Inputs!$I$9)))^2+Inputs!$C$6^2+((Inputs!$H$9+Inputs!$L$9*(((Inputs!$I$9+(((A72)+1)/2)*(Inputs!$J$9-Inputs!$I$9)))/Inputs!$K$9)^2))^2)))))/Inputs!$C$13),NA())</x:f>
        <x:v>2196.815301006797</x:v>
      </x:c>
      <x:c r="R72" s="49"/>
      <x:c r="S72" s="48" t="n">
        <x:f>A72</x:f>
        <x:v>-0.417</x:v>
      </x:c>
      <x:c r="T72" s="48" t="n">
        <x:f>(Inputs!$I$6+(((A72)+1)/2)*(Inputs!$J$6-Inputs!$I$6))</x:f>
        <x:v>-25.020000000000003</x:v>
      </x:c>
      <x:c r="U72" s="48" t="n">
        <x:f>(Inputs!$I$7+(((A72)+1)/2)*(Inputs!$J$7-Inputs!$I$7))</x:f>
        <x:v>-166.8</x:v>
      </x:c>
      <x:c r="V72" s="48" t="n">
        <x:f>(Inputs!$I$8+(((A72)+1)/2)*(Inputs!$J$8-Inputs!$I$8))</x:f>
        <x:v>-333.6</x:v>
      </x:c>
      <x:c r="W72" s="48" t="n">
        <x:f>(Inputs!$I$9+(((A72)+1)/2)*(Inputs!$J$9-Inputs!$I$9))</x:f>
        <x:v>-333.6</x:v>
      </x:c>
      <x:c r="X72" s="49"/>
      <x:c r="Y72" s="48" t="n">
        <x:f>A72</x:f>
        <x:v>-0.417</x:v>
      </x:c>
      <x:c r="Z72" s="48" t="n">
        <x:f>(Inputs!$H$6+Inputs!$L$6*(((Inputs!$I$6+(((A72)+1)/2)*(Inputs!$J$6-Inputs!$I$6)))/Inputs!$K$6)^2)</x:f>
        <x:v>400.695556</x:v>
      </x:c>
      <x:c r="AA72" s="48" t="n">
        <x:f>(Inputs!$H$7+Inputs!$L$7*(((Inputs!$I$7+(((A72)+1)/2)*(Inputs!$J$7-Inputs!$I$7)))/Inputs!$K$7)^2)</x:f>
        <x:v>98.46948500000002</x:v>
      </x:c>
      <x:c r="AB72" s="48" t="n">
        <x:f>(Inputs!$H$8+Inputs!$L$8*(((Inputs!$I$8+(((A72)+1)/2)*(Inputs!$J$8-Inputs!$I$8)))/Inputs!$K$8)^2)</x:f>
        <x:v>202.80288500000003</x:v>
      </x:c>
      <x:c r="AC72" s="48" t="n">
        <x:f>(Inputs!$H$9+Inputs!$L$9*(((Inputs!$I$9+(((A72)+1)/2)*(Inputs!$J$9-Inputs!$I$9)))/Inputs!$K$9)^2)</x:f>
        <x:v>194.54177500000003</x:v>
      </x:c>
      <x:c r="AD72" s="49"/>
      <x:c r="AE72" s="48" t="n">
        <x:f>A72</x:f>
        <x:v>-0.417</x:v>
      </x:c>
      <x:c r="AF72" s="48" t="n">
        <x:f>(((SQRT(((Inputs!$I$6+(((A72)+1)/2)*(Inputs!$J$6-Inputs!$I$6)))^2+Inputs!$C$6^2+((Inputs!$H$6+Inputs!$L$6*(((Inputs!$I$6+(((A72)+1)/2)*(Inputs!$J$6-Inputs!$I$6)))/Inputs!$K$6)^2))^2))-((Inputs!$H$6+Inputs!$L$6*(((Inputs!$I$6+(((A72)+1)/2)*(Inputs!$J$6-Inputs!$I$6)))/Inputs!$K$6)^2)))*1000/Inputs!$C$12)</x:f>
        <x:v>875.2848677409403</x:v>
      </x:c>
      <x:c r="AG72" s="48" t="n">
        <x:f>(((SQRT(((Inputs!$I$7+(((A72)+1)/2)*(Inputs!$J$7-Inputs!$I$7)))^2+Inputs!$C$6^2+((Inputs!$H$7+Inputs!$L$7*(((Inputs!$I$7+(((A72)+1)/2)*(Inputs!$J$7-Inputs!$I$7)))/Inputs!$K$7)^2))^2))-((Inputs!$H$7+Inputs!$L$7*(((Inputs!$I$7+(((A72)+1)/2)*(Inputs!$J$7-Inputs!$I$7)))/Inputs!$K$7)^2)))*1000/Inputs!$C$12)</x:f>
        <x:v>54401.164187782495</x:v>
      </x:c>
      <x:c r="AH72" s="48" t="n">
        <x:f>(((SQRT(((Inputs!$I$8+(((A72)+1)/2)*(Inputs!$J$8-Inputs!$I$8)))^2+Inputs!$C$6^2+((Inputs!$H$8+Inputs!$L$8*(((Inputs!$I$8+(((A72)+1)/2)*(Inputs!$J$8-Inputs!$I$8)))/Inputs!$K$8)^2))^2))-((Inputs!$H$8+Inputs!$L$8*(((Inputs!$I$8+(((A72)+1)/2)*(Inputs!$J$8-Inputs!$I$8)))/Inputs!$K$8)^2)))*1000/Inputs!$C$12)</x:f>
        <x:v>105845.04670903459</x:v>
      </x:c>
      <x:c r="AI72" s="48" t="n">
        <x:f>(((SQRT(((Inputs!$I$9+(((A72)+1)/2)*(Inputs!$J$9-Inputs!$I$9)))^2+Inputs!$C$6^2+((Inputs!$H$9+Inputs!$L$9*(((Inputs!$I$9+(((A72)+1)/2)*(Inputs!$J$9-Inputs!$I$9)))/Inputs!$K$9)^2))^2))-((Inputs!$H$9+Inputs!$L$9*(((Inputs!$I$9+(((A72)+1)/2)*(Inputs!$J$9-Inputs!$I$9)))/Inputs!$K$9)^2)))*1000/Inputs!$C$12)</x:f>
        <x:v>108116.40119071386</x:v>
      </x:c>
      <x:c r="AJ72" s="49"/>
      <x:c r="AK72" s="48" t="n">
        <x:f>A72</x:f>
        <x:v>-0.417</x:v>
      </x:c>
      <x:c r="AL72" s="48" t="n">
        <x:f>(-2*((1000*((((Inputs!$I$6+(((A72)+1)/2)*(Inputs!$J$6-Inputs!$I$6)))*Inputs!$C$11+((Inputs!$H$6+Inputs!$L$6*(((Inputs!$I$6+(((A72)+1)/2)*(Inputs!$J$6-Inputs!$I$6)))/Inputs!$K$6)^2))*((2*Inputs!$L$6*((Inputs!$I$6+(((A72)+1)/2)*(Inputs!$J$6-Inputs!$I$6)))/(Inputs!$K$6^2)*Inputs!$C$11)))/(SQRT(((Inputs!$I$6+(((A72)+1)/2)*(Inputs!$J$6-Inputs!$I$6)))^2+Inputs!$C$6^2+((Inputs!$H$6+Inputs!$L$6*(((Inputs!$I$6+(((A72)+1)/2)*(Inputs!$J$6-Inputs!$I$6)))/Inputs!$K$6)^2))^2)))))/Inputs!$C$13)</x:f>
        <x:v>188.1347578010402</x:v>
      </x:c>
      <x:c r="AM72" s="48" t="n">
        <x:f>(-2*((1000*((((Inputs!$I$7+(((A72)+1)/2)*(Inputs!$J$7-Inputs!$I$7)))*Inputs!$C$11+((Inputs!$H$7+Inputs!$L$7*(((Inputs!$I$7+(((A72)+1)/2)*(Inputs!$J$7-Inputs!$I$7)))/Inputs!$K$7)^2))*((2*Inputs!$L$7*((Inputs!$I$7+(((A72)+1)/2)*(Inputs!$J$7-Inputs!$I$7)))/(Inputs!$K$7^2)*Inputs!$C$11)))/(SQRT(((Inputs!$I$7+(((A72)+1)/2)*(Inputs!$J$7-Inputs!$I$7)))^2+Inputs!$C$6^2+((Inputs!$H$7+Inputs!$L$7*(((Inputs!$I$7+(((A72)+1)/2)*(Inputs!$J$7-Inputs!$I$7)))/Inputs!$K$7)^2))^2)))))/Inputs!$C$13)</x:f>
        <x:v>1980.4062412026428</x:v>
      </x:c>
      <x:c r="AN72" s="48" t="n">
        <x:f>(-2*((1000*((((Inputs!$I$8+(((A72)+1)/2)*(Inputs!$J$8-Inputs!$I$8)))*Inputs!$C$11+((Inputs!$H$8+Inputs!$L$8*(((Inputs!$I$8+(((A72)+1)/2)*(Inputs!$J$8-Inputs!$I$8)))/Inputs!$K$8)^2))*((2*Inputs!$L$8*((Inputs!$I$8+(((A72)+1)/2)*(Inputs!$J$8-Inputs!$I$8)))/(Inputs!$K$8^2)*Inputs!$C$11)))/(SQRT(((Inputs!$I$8+(((A72)+1)/2)*(Inputs!$J$8-Inputs!$I$8)))^2+Inputs!$C$6^2+((Inputs!$H$8+Inputs!$L$8*(((Inputs!$I$8+(((A72)+1)/2)*(Inputs!$J$8-Inputs!$I$8)))/Inputs!$K$8)^2))^2)))))/Inputs!$C$13)</x:f>
        <x:v>2198.8242284039907</x:v>
      </x:c>
      <x:c r="AO72" s="48" t="n">
        <x:f>(-2*((1000*((((Inputs!$I$9+(((A72)+1)/2)*(Inputs!$J$9-Inputs!$I$9)))*Inputs!$C$11+((Inputs!$H$9+Inputs!$L$9*(((Inputs!$I$9+(((A72)+1)/2)*(Inputs!$J$9-Inputs!$I$9)))/Inputs!$K$9)^2))*((2*Inputs!$L$9*((Inputs!$I$9+(((A72)+1)/2)*(Inputs!$J$9-Inputs!$I$9)))/(Inputs!$K$9^2)*Inputs!$C$11)))/(SQRT(((Inputs!$I$9+(((A72)+1)/2)*(Inputs!$J$9-Inputs!$I$9)))^2+Inputs!$C$6^2+((Inputs!$H$9+Inputs!$L$9*(((Inputs!$I$9+(((A72)+1)/2)*(Inputs!$J$9-Inputs!$I$9)))/Inputs!$K$9)^2))^2)))))/Inputs!$C$13)</x:f>
        <x:v>2196.815301006797</x:v>
      </x:c>
    </x:row>
    <x:row r="73">
      <x:c r="A73" s="48" t="n">
        <x:f>ROUND(-1+71*2/240,3)</x:f>
        <x:v>-0.408</x:v>
      </x:c>
      <x:c r="B73" s="48" t="n">
        <x:f>IF(OR(Inputs!$F$6=TRUE,Inputs!$F$6="TRUE",Inputs!$F$6=1),(Inputs!$H$6+Inputs!$L$6*(((Inputs!$I$6+(((A73)+1)/2)*(Inputs!$J$6-Inputs!$I$6)))/Inputs!$K$6)^2),NA())</x:f>
        <x:v>400.665856</x:v>
      </x:c>
      <x:c r="C73" s="48" t="n">
        <x:f>IF(OR(Inputs!$F$7=TRUE,Inputs!$F$7="TRUE",Inputs!$F$7=1),(Inputs!$H$7+Inputs!$L$7*(((Inputs!$I$7+(((A73)+1)/2)*(Inputs!$J$7-Inputs!$I$7)))/Inputs!$K$7)^2),NA())</x:f>
        <x:v>95.75935999999999</x:v>
      </x:c>
      <x:c r="D73" s="48" t="n">
        <x:f>IF(OR(Inputs!$F$8=TRUE,Inputs!$F$8="TRUE",Inputs!$F$8=1),(Inputs!$H$8+Inputs!$L$8*(((Inputs!$I$8+(((A73)+1)/2)*(Inputs!$J$8-Inputs!$I$8)))/Inputs!$K$8)^2),NA())</x:f>
        <x:v>195.63775999999996</x:v>
      </x:c>
      <x:c r="E73" s="48" t="n">
        <x:f>IF(OR(Inputs!$F$9=TRUE,Inputs!$F$9="TRUE",Inputs!$F$9=1),(Inputs!$H$9+Inputs!$L$9*(((Inputs!$I$9+(((A73)+1)/2)*(Inputs!$J$9-Inputs!$I$9)))/Inputs!$K$9)^2),NA())</x:f>
        <x:v>187.30239999999995</x:v>
      </x:c>
      <x:c r="F73" s="49"/>
      <x:c r="G73" s="48" t="n">
        <x:f>A73</x:f>
        <x:v>-0.408</x:v>
      </x:c>
      <x:c r="H73" s="48" t="n">
        <x:f>IF(OR(Inputs!$F$6=TRUE,Inputs!$F$6="TRUE",Inputs!$F$6=1),(((SQRT(((Inputs!$I$6+(((A73)+1)/2)*(Inputs!$J$6-Inputs!$I$6)))^2+Inputs!$C$6^2+((Inputs!$H$6+Inputs!$L$6*(((Inputs!$I$6+(((A73)+1)/2)*(Inputs!$J$6-Inputs!$I$6)))/Inputs!$K$6)^2))^2))-((Inputs!$H$6+Inputs!$L$6*(((Inputs!$I$6+(((A73)+1)/2)*(Inputs!$J$6-Inputs!$I$6)))/Inputs!$K$6)^2)))*1000/Inputs!$C$12),NA())</x:f>
        <x:v>856.681448823146</x:v>
      </x:c>
      <x:c r="I73" s="48" t="n">
        <x:f>IF(OR(Inputs!$F$7=TRUE,Inputs!$F$7="TRUE",Inputs!$F$7=1),(((SQRT(((Inputs!$I$7+(((A73)+1)/2)*(Inputs!$J$7-Inputs!$I$7)))^2+Inputs!$C$6^2+((Inputs!$H$7+Inputs!$L$7*(((Inputs!$I$7+(((A73)+1)/2)*(Inputs!$J$7-Inputs!$I$7)))/Inputs!$K$7)^2))^2))-((Inputs!$H$7+Inputs!$L$7*(((Inputs!$I$7+(((A73)+1)/2)*(Inputs!$J$7-Inputs!$I$7)))/Inputs!$K$7)^2)))*1000/Inputs!$C$12),NA())</x:f>
        <x:v>53429.615024316394</x:v>
      </x:c>
      <x:c r="J73" s="48" t="n">
        <x:f>IF(OR(Inputs!$F$8=TRUE,Inputs!$F$8="TRUE",Inputs!$F$8=1),(((SQRT(((Inputs!$I$8+(((A73)+1)/2)*(Inputs!$J$8-Inputs!$I$8)))^2+Inputs!$C$6^2+((Inputs!$H$8+Inputs!$L$8*(((Inputs!$I$8+(((A73)+1)/2)*(Inputs!$J$8-Inputs!$I$8)))/Inputs!$K$8)^2))^2))-((Inputs!$H$8+Inputs!$L$8*(((Inputs!$I$8+(((A73)+1)/2)*(Inputs!$J$8-Inputs!$I$8)))/Inputs!$K$8)^2)))*1000/Inputs!$C$12),NA())</x:f>
        <x:v>104338.81108969086</x:v>
      </x:c>
      <x:c r="K73" s="48" t="n">
        <x:f>IF(OR(Inputs!$F$9=TRUE,Inputs!$F$9="TRUE",Inputs!$F$9=1),(((SQRT(((Inputs!$I$9+(((A73)+1)/2)*(Inputs!$J$9-Inputs!$I$9)))^2+Inputs!$C$6^2+((Inputs!$H$9+Inputs!$L$9*(((Inputs!$I$9+(((A73)+1)/2)*(Inputs!$J$9-Inputs!$I$9)))/Inputs!$K$9)^2))^2))-((Inputs!$H$9+Inputs!$L$9*(((Inputs!$I$9+(((A73)+1)/2)*(Inputs!$J$9-Inputs!$I$9)))/Inputs!$K$9)^2)))*1000/Inputs!$C$12),NA())</x:f>
        <x:v>106657.46440895561</x:v>
      </x:c>
      <x:c r="L73" s="49"/>
      <x:c r="M73" s="48" t="n">
        <x:f>A73</x:f>
        <x:v>-0.408</x:v>
      </x:c>
      <x:c r="N73" s="48" t="n">
        <x:f>IF(OR(Inputs!$F$6=TRUE,Inputs!$F$6="TRUE",Inputs!$F$6=1),(-2*((1000*((((Inputs!$I$6+(((A73)+1)/2)*(Inputs!$J$6-Inputs!$I$6)))*Inputs!$C$11+((Inputs!$H$6+Inputs!$L$6*(((Inputs!$I$6+(((A73)+1)/2)*(Inputs!$J$6-Inputs!$I$6)))/Inputs!$K$6)^2))*((2*Inputs!$L$6*((Inputs!$I$6+(((A73)+1)/2)*(Inputs!$J$6-Inputs!$I$6)))/(Inputs!$K$6^2)*Inputs!$C$11)))/(SQRT(((Inputs!$I$6+(((A73)+1)/2)*(Inputs!$J$6-Inputs!$I$6)))^2+Inputs!$C$6^2+((Inputs!$H$6+Inputs!$L$6*(((Inputs!$I$6+(((A73)+1)/2)*(Inputs!$J$6-Inputs!$I$6)))/Inputs!$K$6)^2))^2)))))/Inputs!$C$13),NA())</x:f>
        <x:v>184.09661657862614</x:v>
      </x:c>
      <x:c r="O73" s="48" t="n">
        <x:f>IF(OR(Inputs!$F$7=TRUE,Inputs!$F$7="TRUE",Inputs!$F$7=1),(-2*((1000*((((Inputs!$I$7+(((A73)+1)/2)*(Inputs!$J$7-Inputs!$I$7)))*Inputs!$C$11+((Inputs!$H$7+Inputs!$L$7*(((Inputs!$I$7+(((A73)+1)/2)*(Inputs!$J$7-Inputs!$I$7)))/Inputs!$K$7)^2))*((2*Inputs!$L$7*((Inputs!$I$7+(((A73)+1)/2)*(Inputs!$J$7-Inputs!$I$7)))/(Inputs!$K$7^2)*Inputs!$C$11)))/(SQRT(((Inputs!$I$7+(((A73)+1)/2)*(Inputs!$J$7-Inputs!$I$7)))^2+Inputs!$C$6^2+((Inputs!$H$7+Inputs!$L$7*(((Inputs!$I$7+(((A73)+1)/2)*(Inputs!$J$7-Inputs!$I$7)))/Inputs!$K$7)^2))^2)))))/Inputs!$C$13),NA())</x:f>
        <x:v>1965.8171483253632</x:v>
      </x:c>
      <x:c r="P73" s="48" t="n">
        <x:f>IF(OR(Inputs!$F$8=TRUE,Inputs!$F$8="TRUE",Inputs!$F$8=1),(-2*((1000*((((Inputs!$I$8+(((A73)+1)/2)*(Inputs!$J$8-Inputs!$I$8)))*Inputs!$C$11+((Inputs!$H$8+Inputs!$L$8*(((Inputs!$I$8+(((A73)+1)/2)*(Inputs!$J$8-Inputs!$I$8)))/Inputs!$K$8)^2))*((2*Inputs!$L$8*((Inputs!$I$8+(((A73)+1)/2)*(Inputs!$J$8-Inputs!$I$8)))/(Inputs!$K$8^2)*Inputs!$C$11)))/(SQRT(((Inputs!$I$8+(((A73)+1)/2)*(Inputs!$J$8-Inputs!$I$8)))^2+Inputs!$C$6^2+((Inputs!$H$8+Inputs!$L$8*(((Inputs!$I$8+(((A73)+1)/2)*(Inputs!$J$8-Inputs!$I$8)))/Inputs!$K$8)^2))^2)))))/Inputs!$C$13),NA())</x:f>
        <x:v>2177.3236793960596</x:v>
      </x:c>
      <x:c r="Q73" s="48" t="n">
        <x:f>IF(OR(Inputs!$F$9=TRUE,Inputs!$F$9="TRUE",Inputs!$F$9=1),(-2*((1000*((((Inputs!$I$9+(((A73)+1)/2)*(Inputs!$J$9-Inputs!$I$9)))*Inputs!$C$11+((Inputs!$H$9+Inputs!$L$9*(((Inputs!$I$9+(((A73)+1)/2)*(Inputs!$J$9-Inputs!$I$9)))/Inputs!$K$9)^2))*((2*Inputs!$L$9*((Inputs!$I$9+(((A73)+1)/2)*(Inputs!$J$9-Inputs!$I$9)))/(Inputs!$K$9^2)*Inputs!$C$11)))/(SQRT(((Inputs!$I$9+(((A73)+1)/2)*(Inputs!$J$9-Inputs!$I$9)))^2+Inputs!$C$6^2+((Inputs!$H$9+Inputs!$L$9*(((Inputs!$I$9+(((A73)+1)/2)*(Inputs!$J$9-Inputs!$I$9)))/Inputs!$K$9)^2))^2)))))/Inputs!$C$13),NA())</x:f>
        <x:v>2174.9164407933777</x:v>
      </x:c>
      <x:c r="R73" s="49"/>
      <x:c r="S73" s="48" t="n">
        <x:f>A73</x:f>
        <x:v>-0.408</x:v>
      </x:c>
      <x:c r="T73" s="48" t="n">
        <x:f>(Inputs!$I$6+(((A73)+1)/2)*(Inputs!$J$6-Inputs!$I$6))</x:f>
        <x:v>-24.479999999999997</x:v>
      </x:c>
      <x:c r="U73" s="48" t="n">
        <x:f>(Inputs!$I$7+(((A73)+1)/2)*(Inputs!$J$7-Inputs!$I$7))</x:f>
        <x:v>-163.19999999999996</x:v>
      </x:c>
      <x:c r="V73" s="48" t="n">
        <x:f>(Inputs!$I$8+(((A73)+1)/2)*(Inputs!$J$8-Inputs!$I$8))</x:f>
        <x:v>-326.3999999999999</x:v>
      </x:c>
      <x:c r="W73" s="48" t="n">
        <x:f>(Inputs!$I$9+(((A73)+1)/2)*(Inputs!$J$9-Inputs!$I$9))</x:f>
        <x:v>-326.3999999999999</x:v>
      </x:c>
      <x:c r="X73" s="49"/>
      <x:c r="Y73" s="48" t="n">
        <x:f>A73</x:f>
        <x:v>-0.408</x:v>
      </x:c>
      <x:c r="Z73" s="48" t="n">
        <x:f>(Inputs!$H$6+Inputs!$L$6*(((Inputs!$I$6+(((A73)+1)/2)*(Inputs!$J$6-Inputs!$I$6)))/Inputs!$K$6)^2)</x:f>
        <x:v>400.665856</x:v>
      </x:c>
      <x:c r="AA73" s="48" t="n">
        <x:f>(Inputs!$H$7+Inputs!$L$7*(((Inputs!$I$7+(((A73)+1)/2)*(Inputs!$J$7-Inputs!$I$7)))/Inputs!$K$7)^2)</x:f>
        <x:v>95.75935999999999</x:v>
      </x:c>
      <x:c r="AB73" s="48" t="n">
        <x:f>(Inputs!$H$8+Inputs!$L$8*(((Inputs!$I$8+(((A73)+1)/2)*(Inputs!$J$8-Inputs!$I$8)))/Inputs!$K$8)^2)</x:f>
        <x:v>195.63775999999996</x:v>
      </x:c>
      <x:c r="AC73" s="48" t="n">
        <x:f>(Inputs!$H$9+Inputs!$L$9*(((Inputs!$I$9+(((A73)+1)/2)*(Inputs!$J$9-Inputs!$I$9)))/Inputs!$K$9)^2)</x:f>
        <x:v>187.30239999999995</x:v>
      </x:c>
      <x:c r="AD73" s="49"/>
      <x:c r="AE73" s="48" t="n">
        <x:f>A73</x:f>
        <x:v>-0.408</x:v>
      </x:c>
      <x:c r="AF73" s="48" t="n">
        <x:f>(((SQRT(((Inputs!$I$6+(((A73)+1)/2)*(Inputs!$J$6-Inputs!$I$6)))^2+Inputs!$C$6^2+((Inputs!$H$6+Inputs!$L$6*(((Inputs!$I$6+(((A73)+1)/2)*(Inputs!$J$6-Inputs!$I$6)))/Inputs!$K$6)^2))^2))-((Inputs!$H$6+Inputs!$L$6*(((Inputs!$I$6+(((A73)+1)/2)*(Inputs!$J$6-Inputs!$I$6)))/Inputs!$K$6)^2)))*1000/Inputs!$C$12)</x:f>
        <x:v>856.681448823146</x:v>
      </x:c>
      <x:c r="AG73" s="48" t="n">
        <x:f>(((SQRT(((Inputs!$I$7+(((A73)+1)/2)*(Inputs!$J$7-Inputs!$I$7)))^2+Inputs!$C$6^2+((Inputs!$H$7+Inputs!$L$7*(((Inputs!$I$7+(((A73)+1)/2)*(Inputs!$J$7-Inputs!$I$7)))/Inputs!$K$7)^2))^2))-((Inputs!$H$7+Inputs!$L$7*(((Inputs!$I$7+(((A73)+1)/2)*(Inputs!$J$7-Inputs!$I$7)))/Inputs!$K$7)^2)))*1000/Inputs!$C$12)</x:f>
        <x:v>53429.615024316394</x:v>
      </x:c>
      <x:c r="AH73" s="48" t="n">
        <x:f>(((SQRT(((Inputs!$I$8+(((A73)+1)/2)*(Inputs!$J$8-Inputs!$I$8)))^2+Inputs!$C$6^2+((Inputs!$H$8+Inputs!$L$8*(((Inputs!$I$8+(((A73)+1)/2)*(Inputs!$J$8-Inputs!$I$8)))/Inputs!$K$8)^2))^2))-((Inputs!$H$8+Inputs!$L$8*(((Inputs!$I$8+(((A73)+1)/2)*(Inputs!$J$8-Inputs!$I$8)))/Inputs!$K$8)^2)))*1000/Inputs!$C$12)</x:f>
        <x:v>104338.81108969086</x:v>
      </x:c>
      <x:c r="AI73" s="48" t="n">
        <x:f>(((SQRT(((Inputs!$I$9+(((A73)+1)/2)*(Inputs!$J$9-Inputs!$I$9)))^2+Inputs!$C$6^2+((Inputs!$H$9+Inputs!$L$9*(((Inputs!$I$9+(((A73)+1)/2)*(Inputs!$J$9-Inputs!$I$9)))/Inputs!$K$9)^2))^2))-((Inputs!$H$9+Inputs!$L$9*(((Inputs!$I$9+(((A73)+1)/2)*(Inputs!$J$9-Inputs!$I$9)))/Inputs!$K$9)^2)))*1000/Inputs!$C$12)</x:f>
        <x:v>106657.46440895561</x:v>
      </x:c>
      <x:c r="AJ73" s="49"/>
      <x:c r="AK73" s="48" t="n">
        <x:f>A73</x:f>
        <x:v>-0.408</x:v>
      </x:c>
      <x:c r="AL73" s="48" t="n">
        <x:f>(-2*((1000*((((Inputs!$I$6+(((A73)+1)/2)*(Inputs!$J$6-Inputs!$I$6)))*Inputs!$C$11+((Inputs!$H$6+Inputs!$L$6*(((Inputs!$I$6+(((A73)+1)/2)*(Inputs!$J$6-Inputs!$I$6)))/Inputs!$K$6)^2))*((2*Inputs!$L$6*((Inputs!$I$6+(((A73)+1)/2)*(Inputs!$J$6-Inputs!$I$6)))/(Inputs!$K$6^2)*Inputs!$C$11)))/(SQRT(((Inputs!$I$6+(((A73)+1)/2)*(Inputs!$J$6-Inputs!$I$6)))^2+Inputs!$C$6^2+((Inputs!$H$6+Inputs!$L$6*(((Inputs!$I$6+(((A73)+1)/2)*(Inputs!$J$6-Inputs!$I$6)))/Inputs!$K$6)^2))^2)))))/Inputs!$C$13)</x:f>
        <x:v>184.09661657862614</x:v>
      </x:c>
      <x:c r="AM73" s="48" t="n">
        <x:f>(-2*((1000*((((Inputs!$I$7+(((A73)+1)/2)*(Inputs!$J$7-Inputs!$I$7)))*Inputs!$C$11+((Inputs!$H$7+Inputs!$L$7*(((Inputs!$I$7+(((A73)+1)/2)*(Inputs!$J$7-Inputs!$I$7)))/Inputs!$K$7)^2))*((2*Inputs!$L$7*((Inputs!$I$7+(((A73)+1)/2)*(Inputs!$J$7-Inputs!$I$7)))/(Inputs!$K$7^2)*Inputs!$C$11)))/(SQRT(((Inputs!$I$7+(((A73)+1)/2)*(Inputs!$J$7-Inputs!$I$7)))^2+Inputs!$C$6^2+((Inputs!$H$7+Inputs!$L$7*(((Inputs!$I$7+(((A73)+1)/2)*(Inputs!$J$7-Inputs!$I$7)))/Inputs!$K$7)^2))^2)))))/Inputs!$C$13)</x:f>
        <x:v>1965.8171483253632</x:v>
      </x:c>
      <x:c r="AN73" s="48" t="n">
        <x:f>(-2*((1000*((((Inputs!$I$8+(((A73)+1)/2)*(Inputs!$J$8-Inputs!$I$8)))*Inputs!$C$11+((Inputs!$H$8+Inputs!$L$8*(((Inputs!$I$8+(((A73)+1)/2)*(Inputs!$J$8-Inputs!$I$8)))/Inputs!$K$8)^2))*((2*Inputs!$L$8*((Inputs!$I$8+(((A73)+1)/2)*(Inputs!$J$8-Inputs!$I$8)))/(Inputs!$K$8^2)*Inputs!$C$11)))/(SQRT(((Inputs!$I$8+(((A73)+1)/2)*(Inputs!$J$8-Inputs!$I$8)))^2+Inputs!$C$6^2+((Inputs!$H$8+Inputs!$L$8*(((Inputs!$I$8+(((A73)+1)/2)*(Inputs!$J$8-Inputs!$I$8)))/Inputs!$K$8)^2))^2)))))/Inputs!$C$13)</x:f>
        <x:v>2177.3236793960596</x:v>
      </x:c>
      <x:c r="AO73" s="48" t="n">
        <x:f>(-2*((1000*((((Inputs!$I$9+(((A73)+1)/2)*(Inputs!$J$9-Inputs!$I$9)))*Inputs!$C$11+((Inputs!$H$9+Inputs!$L$9*(((Inputs!$I$9+(((A73)+1)/2)*(Inputs!$J$9-Inputs!$I$9)))/Inputs!$K$9)^2))*((2*Inputs!$L$9*((Inputs!$I$9+(((A73)+1)/2)*(Inputs!$J$9-Inputs!$I$9)))/(Inputs!$K$9^2)*Inputs!$C$11)))/(SQRT(((Inputs!$I$9+(((A73)+1)/2)*(Inputs!$J$9-Inputs!$I$9)))^2+Inputs!$C$6^2+((Inputs!$H$9+Inputs!$L$9*(((Inputs!$I$9+(((A73)+1)/2)*(Inputs!$J$9-Inputs!$I$9)))/Inputs!$K$9)^2))^2)))))/Inputs!$C$13)</x:f>
        <x:v>2174.9164407933777</x:v>
      </x:c>
    </x:row>
    <x:row r="74">
      <x:c r="A74" s="48" t="n">
        <x:f>ROUND(-1+72*2/240,3)</x:f>
        <x:v>-0.4</x:v>
      </x:c>
      <x:c r="B74" s="48" t="n">
        <x:f>IF(OR(Inputs!$F$6=TRUE,Inputs!$F$6="TRUE",Inputs!$F$6=1),(Inputs!$H$6+Inputs!$L$6*(((Inputs!$I$6+(((A74)+1)/2)*(Inputs!$J$6-Inputs!$I$6)))/Inputs!$K$6)^2),NA())</x:f>
        <x:v>400.64</x:v>
      </x:c>
      <x:c r="C74" s="48" t="n">
        <x:f>IF(OR(Inputs!$F$7=TRUE,Inputs!$F$7="TRUE",Inputs!$F$7=1),(Inputs!$H$7+Inputs!$L$7*(((Inputs!$I$7+(((A74)+1)/2)*(Inputs!$J$7-Inputs!$I$7)))/Inputs!$K$7)^2),NA())</x:f>
        <x:v>93.4</x:v>
      </x:c>
      <x:c r="D74" s="48" t="n">
        <x:f>IF(OR(Inputs!$F$8=TRUE,Inputs!$F$8="TRUE",Inputs!$F$8=1),(Inputs!$H$8+Inputs!$L$8*(((Inputs!$I$8+(((A74)+1)/2)*(Inputs!$J$8-Inputs!$I$8)))/Inputs!$K$8)^2),NA())</x:f>
        <x:v>189.40000000000003</x:v>
      </x:c>
      <x:c r="E74" s="48" t="n">
        <x:f>IF(OR(Inputs!$F$9=TRUE,Inputs!$F$9="TRUE",Inputs!$F$9=1),(Inputs!$H$9+Inputs!$L$9*(((Inputs!$I$9+(((A74)+1)/2)*(Inputs!$J$9-Inputs!$I$9)))/Inputs!$K$9)^2),NA())</x:f>
        <x:v>181.00000000000003</x:v>
      </x:c>
      <x:c r="F74" s="49"/>
      <x:c r="G74" s="48" t="n">
        <x:f>A74</x:f>
        <x:v>-0.4</x:v>
      </x:c>
      <x:c r="H74" s="48" t="n">
        <x:f>IF(OR(Inputs!$F$6=TRUE,Inputs!$F$6="TRUE",Inputs!$F$6=1),(((SQRT(((Inputs!$I$6+(((A74)+1)/2)*(Inputs!$J$6-Inputs!$I$6)))^2+Inputs!$C$6^2+((Inputs!$H$6+Inputs!$L$6*(((Inputs!$I$6+(((A74)+1)/2)*(Inputs!$J$6-Inputs!$I$6)))/Inputs!$K$6)^2))^2))-((Inputs!$H$6+Inputs!$L$6*(((Inputs!$I$6+(((A74)+1)/2)*(Inputs!$J$6-Inputs!$I$6)))/Inputs!$K$6)^2)))*1000/Inputs!$C$12),NA())</x:f>
        <x:v>840.482341149787</x:v>
      </x:c>
      <x:c r="I74" s="48" t="n">
        <x:f>IF(OR(Inputs!$F$7=TRUE,Inputs!$F$7="TRUE",Inputs!$F$7=1),(((SQRT(((Inputs!$I$7+(((A74)+1)/2)*(Inputs!$J$7-Inputs!$I$7)))^2+Inputs!$C$6^2+((Inputs!$H$7+Inputs!$L$7*(((Inputs!$I$7+(((A74)+1)/2)*(Inputs!$J$7-Inputs!$I$7)))/Inputs!$K$7)^2))^2))-((Inputs!$H$7+Inputs!$L$7*(((Inputs!$I$7+(((A74)+1)/2)*(Inputs!$J$7-Inputs!$I$7)))/Inputs!$K$7)^2)))*1000/Inputs!$C$12),NA())</x:f>
        <x:v>52553.56157579945</x:v>
      </x:c>
      <x:c r="J74" s="48" t="n">
        <x:f>IF(OR(Inputs!$F$8=TRUE,Inputs!$F$8="TRUE",Inputs!$F$8=1),(((SQRT(((Inputs!$I$8+(((A74)+1)/2)*(Inputs!$J$8-Inputs!$I$8)))^2+Inputs!$C$6^2+((Inputs!$H$8+Inputs!$L$8*(((Inputs!$I$8+(((A74)+1)/2)*(Inputs!$J$8-Inputs!$I$8)))/Inputs!$K$8)^2))^2))-((Inputs!$H$8+Inputs!$L$8*(((Inputs!$I$8+(((A74)+1)/2)*(Inputs!$J$8-Inputs!$I$8)))/Inputs!$K$8)^2)))*1000/Inputs!$C$12),NA())</x:f>
        <x:v>102971.5512723862</x:v>
      </x:c>
      <x:c r="K74" s="48" t="n">
        <x:f>IF(OR(Inputs!$F$9=TRUE,Inputs!$F$9="TRUE",Inputs!$F$9=1),(((SQRT(((Inputs!$I$9+(((A74)+1)/2)*(Inputs!$J$9-Inputs!$I$9)))^2+Inputs!$C$6^2+((Inputs!$H$9+Inputs!$L$9*(((Inputs!$I$9+(((A74)+1)/2)*(Inputs!$J$9-Inputs!$I$9)))/Inputs!$K$9)^2))^2))-((Inputs!$H$9+Inputs!$L$9*(((Inputs!$I$9+(((A74)+1)/2)*(Inputs!$J$9-Inputs!$I$9)))/Inputs!$K$9)^2)))*1000/Inputs!$C$12),NA())</x:f>
        <x:v>105332.31436897411</x:v>
      </x:c>
      <x:c r="L74" s="49"/>
      <x:c r="M74" s="48" t="n">
        <x:f>A74</x:f>
        <x:v>-0.4</x:v>
      </x:c>
      <x:c r="N74" s="48" t="n">
        <x:f>IF(OR(Inputs!$F$6=TRUE,Inputs!$F$6="TRUE",Inputs!$F$6=1),(-2*((1000*((((Inputs!$I$6+(((A74)+1)/2)*(Inputs!$J$6-Inputs!$I$6)))*Inputs!$C$11+((Inputs!$H$6+Inputs!$L$6*(((Inputs!$I$6+(((A74)+1)/2)*(Inputs!$J$6-Inputs!$I$6)))/Inputs!$K$6)^2))*((2*Inputs!$L$6*((Inputs!$I$6+(((A74)+1)/2)*(Inputs!$J$6-Inputs!$I$6)))/(Inputs!$K$6^2)*Inputs!$C$11)))/(SQRT(((Inputs!$I$6+(((A74)+1)/2)*(Inputs!$J$6-Inputs!$I$6)))^2+Inputs!$C$6^2+((Inputs!$H$6+Inputs!$L$6*(((Inputs!$I$6+(((A74)+1)/2)*(Inputs!$J$6-Inputs!$I$6)))/Inputs!$K$6)^2))^2)))))/Inputs!$C$13),NA())</x:f>
        <x:v>180.50593852560044</x:v>
      </x:c>
      <x:c r="O74" s="48" t="n">
        <x:f>IF(OR(Inputs!$F$7=TRUE,Inputs!$F$7="TRUE",Inputs!$F$7=1),(-2*((1000*((((Inputs!$I$7+(((A74)+1)/2)*(Inputs!$J$7-Inputs!$I$7)))*Inputs!$C$11+((Inputs!$H$7+Inputs!$L$7*(((Inputs!$I$7+(((A74)+1)/2)*(Inputs!$J$7-Inputs!$I$7)))/Inputs!$K$7)^2))*((2*Inputs!$L$7*((Inputs!$I$7+(((A74)+1)/2)*(Inputs!$J$7-Inputs!$I$7)))/(Inputs!$K$7^2)*Inputs!$C$11)))/(SQRT(((Inputs!$I$7+(((A74)+1)/2)*(Inputs!$J$7-Inputs!$I$7)))^2+Inputs!$C$6^2+((Inputs!$H$7+Inputs!$L$7*(((Inputs!$I$7+(((A74)+1)/2)*(Inputs!$J$7-Inputs!$I$7)))/Inputs!$K$7)^2))^2)))))/Inputs!$C$13),NA())</x:f>
        <x:v>1952.9302028686984</x:v>
      </x:c>
      <x:c r="P74" s="48" t="n">
        <x:f>IF(OR(Inputs!$F$8=TRUE,Inputs!$F$8="TRUE",Inputs!$F$8=1),(-2*((1000*((((Inputs!$I$8+(((A74)+1)/2)*(Inputs!$J$8-Inputs!$I$8)))*Inputs!$C$11+((Inputs!$H$8+Inputs!$L$8*(((Inputs!$I$8+(((A74)+1)/2)*(Inputs!$J$8-Inputs!$I$8)))/Inputs!$K$8)^2))*((2*Inputs!$L$8*((Inputs!$I$8+(((A74)+1)/2)*(Inputs!$J$8-Inputs!$I$8)))/(Inputs!$K$8^2)*Inputs!$C$11)))/(SQRT(((Inputs!$I$8+(((A74)+1)/2)*(Inputs!$J$8-Inputs!$I$8)))^2+Inputs!$C$6^2+((Inputs!$H$8+Inputs!$L$8*(((Inputs!$I$8+(((A74)+1)/2)*(Inputs!$J$8-Inputs!$I$8)))/Inputs!$K$8)^2))^2)))))/Inputs!$C$13),NA())</x:f>
        <x:v>2158.456032310346</x:v>
      </x:c>
      <x:c r="Q74" s="48" t="n">
        <x:f>IF(OR(Inputs!$F$9=TRUE,Inputs!$F$9="TRUE",Inputs!$F$9=1),(-2*((1000*((((Inputs!$I$9+(((A74)+1)/2)*(Inputs!$J$9-Inputs!$I$9)))*Inputs!$C$11+((Inputs!$H$9+Inputs!$L$9*(((Inputs!$I$9+(((A74)+1)/2)*(Inputs!$J$9-Inputs!$I$9)))/Inputs!$K$9)^2))*((2*Inputs!$L$9*((Inputs!$I$9+(((A74)+1)/2)*(Inputs!$J$9-Inputs!$I$9)))/(Inputs!$K$9^2)*Inputs!$C$11)))/(SQRT(((Inputs!$I$9+(((A74)+1)/2)*(Inputs!$J$9-Inputs!$I$9)))^2+Inputs!$C$6^2+((Inputs!$H$9+Inputs!$L$9*(((Inputs!$I$9+(((A74)+1)/2)*(Inputs!$J$9-Inputs!$I$9)))/Inputs!$K$9)^2))^2)))))/Inputs!$C$13),NA())</x:f>
        <x:v>2155.7076833473716</x:v>
      </x:c>
      <x:c r="R74" s="49"/>
      <x:c r="S74" s="48" t="n">
        <x:f>A74</x:f>
        <x:v>-0.4</x:v>
      </x:c>
      <x:c r="T74" s="48" t="n">
        <x:f>(Inputs!$I$6+(((A74)+1)/2)*(Inputs!$J$6-Inputs!$I$6))</x:f>
        <x:v>-24</x:v>
      </x:c>
      <x:c r="U74" s="48" t="n">
        <x:f>(Inputs!$I$7+(((A74)+1)/2)*(Inputs!$J$7-Inputs!$I$7))</x:f>
        <x:v>-160</x:v>
      </x:c>
      <x:c r="V74" s="48" t="n">
        <x:f>(Inputs!$I$8+(((A74)+1)/2)*(Inputs!$J$8-Inputs!$I$8))</x:f>
        <x:v>-320</x:v>
      </x:c>
      <x:c r="W74" s="48" t="n">
        <x:f>(Inputs!$I$9+(((A74)+1)/2)*(Inputs!$J$9-Inputs!$I$9))</x:f>
        <x:v>-320</x:v>
      </x:c>
      <x:c r="X74" s="49"/>
      <x:c r="Y74" s="48" t="n">
        <x:f>A74</x:f>
        <x:v>-0.4</x:v>
      </x:c>
      <x:c r="Z74" s="48" t="n">
        <x:f>(Inputs!$H$6+Inputs!$L$6*(((Inputs!$I$6+(((A74)+1)/2)*(Inputs!$J$6-Inputs!$I$6)))/Inputs!$K$6)^2)</x:f>
        <x:v>400.64</x:v>
      </x:c>
      <x:c r="AA74" s="48" t="n">
        <x:f>(Inputs!$H$7+Inputs!$L$7*(((Inputs!$I$7+(((A74)+1)/2)*(Inputs!$J$7-Inputs!$I$7)))/Inputs!$K$7)^2)</x:f>
        <x:v>93.4</x:v>
      </x:c>
      <x:c r="AB74" s="48" t="n">
        <x:f>(Inputs!$H$8+Inputs!$L$8*(((Inputs!$I$8+(((A74)+1)/2)*(Inputs!$J$8-Inputs!$I$8)))/Inputs!$K$8)^2)</x:f>
        <x:v>189.40000000000003</x:v>
      </x:c>
      <x:c r="AC74" s="48" t="n">
        <x:f>(Inputs!$H$9+Inputs!$L$9*(((Inputs!$I$9+(((A74)+1)/2)*(Inputs!$J$9-Inputs!$I$9)))/Inputs!$K$9)^2)</x:f>
        <x:v>181.00000000000003</x:v>
      </x:c>
      <x:c r="AD74" s="49"/>
      <x:c r="AE74" s="48" t="n">
        <x:f>A74</x:f>
        <x:v>-0.4</x:v>
      </x:c>
      <x:c r="AF74" s="48" t="n">
        <x:f>(((SQRT(((Inputs!$I$6+(((A74)+1)/2)*(Inputs!$J$6-Inputs!$I$6)))^2+Inputs!$C$6^2+((Inputs!$H$6+Inputs!$L$6*(((Inputs!$I$6+(((A74)+1)/2)*(Inputs!$J$6-Inputs!$I$6)))/Inputs!$K$6)^2))^2))-((Inputs!$H$6+Inputs!$L$6*(((Inputs!$I$6+(((A74)+1)/2)*(Inputs!$J$6-Inputs!$I$6)))/Inputs!$K$6)^2)))*1000/Inputs!$C$12)</x:f>
        <x:v>840.482341149787</x:v>
      </x:c>
      <x:c r="AG74" s="48" t="n">
        <x:f>(((SQRT(((Inputs!$I$7+(((A74)+1)/2)*(Inputs!$J$7-Inputs!$I$7)))^2+Inputs!$C$6^2+((Inputs!$H$7+Inputs!$L$7*(((Inputs!$I$7+(((A74)+1)/2)*(Inputs!$J$7-Inputs!$I$7)))/Inputs!$K$7)^2))^2))-((Inputs!$H$7+Inputs!$L$7*(((Inputs!$I$7+(((A74)+1)/2)*(Inputs!$J$7-Inputs!$I$7)))/Inputs!$K$7)^2)))*1000/Inputs!$C$12)</x:f>
        <x:v>52553.56157579945</x:v>
      </x:c>
      <x:c r="AH74" s="48" t="n">
        <x:f>(((SQRT(((Inputs!$I$8+(((A74)+1)/2)*(Inputs!$J$8-Inputs!$I$8)))^2+Inputs!$C$6^2+((Inputs!$H$8+Inputs!$L$8*(((Inputs!$I$8+(((A74)+1)/2)*(Inputs!$J$8-Inputs!$I$8)))/Inputs!$K$8)^2))^2))-((Inputs!$H$8+Inputs!$L$8*(((Inputs!$I$8+(((A74)+1)/2)*(Inputs!$J$8-Inputs!$I$8)))/Inputs!$K$8)^2)))*1000/Inputs!$C$12)</x:f>
        <x:v>102971.5512723862</x:v>
      </x:c>
      <x:c r="AI74" s="48" t="n">
        <x:f>(((SQRT(((Inputs!$I$9+(((A74)+1)/2)*(Inputs!$J$9-Inputs!$I$9)))^2+Inputs!$C$6^2+((Inputs!$H$9+Inputs!$L$9*(((Inputs!$I$9+(((A74)+1)/2)*(Inputs!$J$9-Inputs!$I$9)))/Inputs!$K$9)^2))^2))-((Inputs!$H$9+Inputs!$L$9*(((Inputs!$I$9+(((A74)+1)/2)*(Inputs!$J$9-Inputs!$I$9)))/Inputs!$K$9)^2)))*1000/Inputs!$C$12)</x:f>
        <x:v>105332.31436897411</x:v>
      </x:c>
      <x:c r="AJ74" s="49"/>
      <x:c r="AK74" s="48" t="n">
        <x:f>A74</x:f>
        <x:v>-0.4</x:v>
      </x:c>
      <x:c r="AL74" s="48" t="n">
        <x:f>(-2*((1000*((((Inputs!$I$6+(((A74)+1)/2)*(Inputs!$J$6-Inputs!$I$6)))*Inputs!$C$11+((Inputs!$H$6+Inputs!$L$6*(((Inputs!$I$6+(((A74)+1)/2)*(Inputs!$J$6-Inputs!$I$6)))/Inputs!$K$6)^2))*((2*Inputs!$L$6*((Inputs!$I$6+(((A74)+1)/2)*(Inputs!$J$6-Inputs!$I$6)))/(Inputs!$K$6^2)*Inputs!$C$11)))/(SQRT(((Inputs!$I$6+(((A74)+1)/2)*(Inputs!$J$6-Inputs!$I$6)))^2+Inputs!$C$6^2+((Inputs!$H$6+Inputs!$L$6*(((Inputs!$I$6+(((A74)+1)/2)*(Inputs!$J$6-Inputs!$I$6)))/Inputs!$K$6)^2))^2)))))/Inputs!$C$13)</x:f>
        <x:v>180.50593852560044</x:v>
      </x:c>
      <x:c r="AM74" s="48" t="n">
        <x:f>(-2*((1000*((((Inputs!$I$7+(((A74)+1)/2)*(Inputs!$J$7-Inputs!$I$7)))*Inputs!$C$11+((Inputs!$H$7+Inputs!$L$7*(((Inputs!$I$7+(((A74)+1)/2)*(Inputs!$J$7-Inputs!$I$7)))/Inputs!$K$7)^2))*((2*Inputs!$L$7*((Inputs!$I$7+(((A74)+1)/2)*(Inputs!$J$7-Inputs!$I$7)))/(Inputs!$K$7^2)*Inputs!$C$11)))/(SQRT(((Inputs!$I$7+(((A74)+1)/2)*(Inputs!$J$7-Inputs!$I$7)))^2+Inputs!$C$6^2+((Inputs!$H$7+Inputs!$L$7*(((Inputs!$I$7+(((A74)+1)/2)*(Inputs!$J$7-Inputs!$I$7)))/Inputs!$K$7)^2))^2)))))/Inputs!$C$13)</x:f>
        <x:v>1952.9302028686984</x:v>
      </x:c>
      <x:c r="AN74" s="48" t="n">
        <x:f>(-2*((1000*((((Inputs!$I$8+(((A74)+1)/2)*(Inputs!$J$8-Inputs!$I$8)))*Inputs!$C$11+((Inputs!$H$8+Inputs!$L$8*(((Inputs!$I$8+(((A74)+1)/2)*(Inputs!$J$8-Inputs!$I$8)))/Inputs!$K$8)^2))*((2*Inputs!$L$8*((Inputs!$I$8+(((A74)+1)/2)*(Inputs!$J$8-Inputs!$I$8)))/(Inputs!$K$8^2)*Inputs!$C$11)))/(SQRT(((Inputs!$I$8+(((A74)+1)/2)*(Inputs!$J$8-Inputs!$I$8)))^2+Inputs!$C$6^2+((Inputs!$H$8+Inputs!$L$8*(((Inputs!$I$8+(((A74)+1)/2)*(Inputs!$J$8-Inputs!$I$8)))/Inputs!$K$8)^2))^2)))))/Inputs!$C$13)</x:f>
        <x:v>2158.456032310346</x:v>
      </x:c>
      <x:c r="AO74" s="48" t="n">
        <x:f>(-2*((1000*((((Inputs!$I$9+(((A74)+1)/2)*(Inputs!$J$9-Inputs!$I$9)))*Inputs!$C$11+((Inputs!$H$9+Inputs!$L$9*(((Inputs!$I$9+(((A74)+1)/2)*(Inputs!$J$9-Inputs!$I$9)))/Inputs!$K$9)^2))*((2*Inputs!$L$9*((Inputs!$I$9+(((A74)+1)/2)*(Inputs!$J$9-Inputs!$I$9)))/(Inputs!$K$9^2)*Inputs!$C$11)))/(SQRT(((Inputs!$I$9+(((A74)+1)/2)*(Inputs!$J$9-Inputs!$I$9)))^2+Inputs!$C$6^2+((Inputs!$H$9+Inputs!$L$9*(((Inputs!$I$9+(((A74)+1)/2)*(Inputs!$J$9-Inputs!$I$9)))/Inputs!$K$9)^2))^2)))))/Inputs!$C$13)</x:f>
        <x:v>2155.7076833473716</x:v>
      </x:c>
    </x:row>
    <x:row r="75">
      <x:c r="A75" s="48" t="n">
        <x:f>ROUND(-1+73*2/240,3)</x:f>
        <x:v>-0.392</x:v>
      </x:c>
      <x:c r="B75" s="48" t="n">
        <x:f>IF(OR(Inputs!$F$6=TRUE,Inputs!$F$6="TRUE",Inputs!$F$6=1),(Inputs!$H$6+Inputs!$L$6*(((Inputs!$I$6+(((A75)+1)/2)*(Inputs!$J$6-Inputs!$I$6)))/Inputs!$K$6)^2),NA())</x:f>
        <x:v>400.614656</x:v>
      </x:c>
      <x:c r="C75" s="48" t="n">
        <x:f>IF(OR(Inputs!$F$7=TRUE,Inputs!$F$7="TRUE",Inputs!$F$7=1),(Inputs!$H$7+Inputs!$L$7*(((Inputs!$I$7+(((A75)+1)/2)*(Inputs!$J$7-Inputs!$I$7)))/Inputs!$K$7)^2),NA())</x:f>
        <x:v>91.08736000000002</x:v>
      </x:c>
      <x:c r="D75" s="48" t="n">
        <x:f>IF(OR(Inputs!$F$8=TRUE,Inputs!$F$8="TRUE",Inputs!$F$8=1),(Inputs!$H$8+Inputs!$L$8*(((Inputs!$I$8+(((A75)+1)/2)*(Inputs!$J$8-Inputs!$I$8)))/Inputs!$K$8)^2),NA())</x:f>
        <x:v>183.28576</x:v>
      </x:c>
      <x:c r="E75" s="48" t="n">
        <x:f>IF(OR(Inputs!$F$9=TRUE,Inputs!$F$9="TRUE",Inputs!$F$9=1),(Inputs!$H$9+Inputs!$L$9*(((Inputs!$I$9+(((A75)+1)/2)*(Inputs!$J$9-Inputs!$I$9)))/Inputs!$K$9)^2),NA())</x:f>
        <x:v>174.82240000000002</x:v>
      </x:c>
      <x:c r="F75" s="49"/>
      <x:c r="G75" s="48" t="n">
        <x:f>A75</x:f>
        <x:v>-0.392</x:v>
      </x:c>
      <x:c r="H75" s="48" t="n">
        <x:f>IF(OR(Inputs!$F$6=TRUE,Inputs!$F$6="TRUE",Inputs!$F$6=1),(((SQRT(((Inputs!$I$6+(((A75)+1)/2)*(Inputs!$J$6-Inputs!$I$6)))^2+Inputs!$C$6^2+((Inputs!$H$6+Inputs!$L$6*(((Inputs!$I$6+(((A75)+1)/2)*(Inputs!$J$6-Inputs!$I$6)))/Inputs!$K$6)^2))^2))-((Inputs!$H$6+Inputs!$L$6*(((Inputs!$I$6+(((A75)+1)/2)*(Inputs!$J$6-Inputs!$I$6)))/Inputs!$K$6)^2)))*1000/Inputs!$C$12),NA())</x:f>
        <x:v>824.6008585815438</x:v>
      </x:c>
      <x:c r="I75" s="48" t="n">
        <x:f>IF(OR(Inputs!$F$7=TRUE,Inputs!$F$7="TRUE",Inputs!$F$7=1),(((SQRT(((Inputs!$I$7+(((A75)+1)/2)*(Inputs!$J$7-Inputs!$I$7)))^2+Inputs!$C$6^2+((Inputs!$H$7+Inputs!$L$7*(((Inputs!$I$7+(((A75)+1)/2)*(Inputs!$J$7-Inputs!$I$7)))/Inputs!$K$7)^2))^2))-((Inputs!$H$7+Inputs!$L$7*(((Inputs!$I$7+(((A75)+1)/2)*(Inputs!$J$7-Inputs!$I$7)))/Inputs!$K$7)^2)))*1000/Inputs!$C$12),NA())</x:f>
        <x:v>51665.70064427456</x:v>
      </x:c>
      <x:c r="J75" s="48" t="n">
        <x:f>IF(OR(Inputs!$F$8=TRUE,Inputs!$F$8="TRUE",Inputs!$F$8=1),(((SQRT(((Inputs!$I$8+(((A75)+1)/2)*(Inputs!$J$8-Inputs!$I$8)))^2+Inputs!$C$6^2+((Inputs!$H$8+Inputs!$L$8*(((Inputs!$I$8+(((A75)+1)/2)*(Inputs!$J$8-Inputs!$I$8)))/Inputs!$K$8)^2))^2))-((Inputs!$H$8+Inputs!$L$8*(((Inputs!$I$8+(((A75)+1)/2)*(Inputs!$J$8-Inputs!$I$8)))/Inputs!$K$8)^2)))*1000/Inputs!$C$12),NA())</x:f>
        <x:v>101577.03721981258</x:v>
      </x:c>
      <x:c r="K75" s="48" t="n">
        <x:f>IF(OR(Inputs!$F$9=TRUE,Inputs!$F$9="TRUE",Inputs!$F$9=1),(((SQRT(((Inputs!$I$9+(((A75)+1)/2)*(Inputs!$J$9-Inputs!$I$9)))^2+Inputs!$C$6^2+((Inputs!$H$9+Inputs!$L$9*(((Inputs!$I$9+(((A75)+1)/2)*(Inputs!$J$9-Inputs!$I$9)))/Inputs!$K$9)^2))^2))-((Inputs!$H$9+Inputs!$L$9*(((Inputs!$I$9+(((A75)+1)/2)*(Inputs!$J$9-Inputs!$I$9)))/Inputs!$K$9)^2)))*1000/Inputs!$C$12),NA())</x:f>
        <x:v>103979.94291242861</x:v>
      </x:c>
      <x:c r="L75" s="49"/>
      <x:c r="M75" s="48" t="n">
        <x:f>A75</x:f>
        <x:v>-0.392</x:v>
      </x:c>
      <x:c r="N75" s="48" t="n">
        <x:f>IF(OR(Inputs!$F$6=TRUE,Inputs!$F$6="TRUE",Inputs!$F$6=1),(-2*((1000*((((Inputs!$I$6+(((A75)+1)/2)*(Inputs!$J$6-Inputs!$I$6)))*Inputs!$C$11+((Inputs!$H$6+Inputs!$L$6*(((Inputs!$I$6+(((A75)+1)/2)*(Inputs!$J$6-Inputs!$I$6)))/Inputs!$K$6)^2))*((2*Inputs!$L$6*((Inputs!$I$6+(((A75)+1)/2)*(Inputs!$J$6-Inputs!$I$6)))/(Inputs!$K$6^2)*Inputs!$C$11)))/(SQRT(((Inputs!$I$6+(((A75)+1)/2)*(Inputs!$J$6-Inputs!$I$6)))^2+Inputs!$C$6^2+((Inputs!$H$6+Inputs!$L$6*(((Inputs!$I$6+(((A75)+1)/2)*(Inputs!$J$6-Inputs!$I$6)))/Inputs!$K$6)^2))^2)))))/Inputs!$C$13),NA())</x:f>
        <x:v>176.91413562120078</x:v>
      </x:c>
      <x:c r="O75" s="48" t="n">
        <x:f>IF(OR(Inputs!$F$7=TRUE,Inputs!$F$7="TRUE",Inputs!$F$7=1),(-2*((1000*((((Inputs!$I$7+(((A75)+1)/2)*(Inputs!$J$7-Inputs!$I$7)))*Inputs!$C$11+((Inputs!$H$7+Inputs!$L$7*(((Inputs!$I$7+(((A75)+1)/2)*(Inputs!$J$7-Inputs!$I$7)))/Inputs!$K$7)^2))*((2*Inputs!$L$7*((Inputs!$I$7+(((A75)+1)/2)*(Inputs!$J$7-Inputs!$I$7)))/(Inputs!$K$7^2)*Inputs!$C$11)))/(SQRT(((Inputs!$I$7+(((A75)+1)/2)*(Inputs!$J$7-Inputs!$I$7)))^2+Inputs!$C$6^2+((Inputs!$H$7+Inputs!$L$7*(((Inputs!$I$7+(((A75)+1)/2)*(Inputs!$J$7-Inputs!$I$7)))/Inputs!$K$7)^2))^2)))))/Inputs!$C$13),NA())</x:f>
        <x:v>1940.1134095817456</x:v>
      </x:c>
      <x:c r="P75" s="48" t="n">
        <x:f>IF(OR(Inputs!$F$8=TRUE,Inputs!$F$8="TRUE",Inputs!$F$8=1),(-2*((1000*((((Inputs!$I$8+(((A75)+1)/2)*(Inputs!$J$8-Inputs!$I$8)))*Inputs!$C$11+((Inputs!$H$8+Inputs!$L$8*(((Inputs!$I$8+(((A75)+1)/2)*(Inputs!$J$8-Inputs!$I$8)))/Inputs!$K$8)^2))*((2*Inputs!$L$8*((Inputs!$I$8+(((A75)+1)/2)*(Inputs!$J$8-Inputs!$I$8)))/(Inputs!$K$8^2)*Inputs!$C$11)))/(SQRT(((Inputs!$I$8+(((A75)+1)/2)*(Inputs!$J$8-Inputs!$I$8)))^2+Inputs!$C$6^2+((Inputs!$H$8+Inputs!$L$8*(((Inputs!$I$8+(((A75)+1)/2)*(Inputs!$J$8-Inputs!$I$8)))/Inputs!$K$8)^2))^2)))))/Inputs!$C$13),NA())</x:f>
        <x:v>2139.820300233867</x:v>
      </x:c>
      <x:c r="Q75" s="48" t="n">
        <x:f>IF(OR(Inputs!$F$9=TRUE,Inputs!$F$9="TRUE",Inputs!$F$9=1),(-2*((1000*((((Inputs!$I$9+(((A75)+1)/2)*(Inputs!$J$9-Inputs!$I$9)))*Inputs!$C$11+((Inputs!$H$9+Inputs!$L$9*(((Inputs!$I$9+(((A75)+1)/2)*(Inputs!$J$9-Inputs!$I$9)))/Inputs!$K$9)^2))*((2*Inputs!$L$9*((Inputs!$I$9+(((A75)+1)/2)*(Inputs!$J$9-Inputs!$I$9)))/(Inputs!$K$9^2)*Inputs!$C$11)))/(SQRT(((Inputs!$I$9+(((A75)+1)/2)*(Inputs!$J$9-Inputs!$I$9)))^2+Inputs!$C$6^2+((Inputs!$H$9+Inputs!$L$9*(((Inputs!$I$9+(((A75)+1)/2)*(Inputs!$J$9-Inputs!$I$9)))/Inputs!$K$9)^2))^2)))))/Inputs!$C$13),NA())</x:f>
        <x:v>2136.7440188602095</x:v>
      </x:c>
      <x:c r="R75" s="49"/>
      <x:c r="S75" s="48" t="n">
        <x:f>A75</x:f>
        <x:v>-0.392</x:v>
      </x:c>
      <x:c r="T75" s="48" t="n">
        <x:f>(Inputs!$I$6+(((A75)+1)/2)*(Inputs!$J$6-Inputs!$I$6))</x:f>
        <x:v>-23.520000000000003</x:v>
      </x:c>
      <x:c r="U75" s="48" t="n">
        <x:f>(Inputs!$I$7+(((A75)+1)/2)*(Inputs!$J$7-Inputs!$I$7))</x:f>
        <x:v>-156.8</x:v>
      </x:c>
      <x:c r="V75" s="48" t="n">
        <x:f>(Inputs!$I$8+(((A75)+1)/2)*(Inputs!$J$8-Inputs!$I$8))</x:f>
        <x:v>-313.6</x:v>
      </x:c>
      <x:c r="W75" s="48" t="n">
        <x:f>(Inputs!$I$9+(((A75)+1)/2)*(Inputs!$J$9-Inputs!$I$9))</x:f>
        <x:v>-313.6</x:v>
      </x:c>
      <x:c r="X75" s="49"/>
      <x:c r="Y75" s="48" t="n">
        <x:f>A75</x:f>
        <x:v>-0.392</x:v>
      </x:c>
      <x:c r="Z75" s="48" t="n">
        <x:f>(Inputs!$H$6+Inputs!$L$6*(((Inputs!$I$6+(((A75)+1)/2)*(Inputs!$J$6-Inputs!$I$6)))/Inputs!$K$6)^2)</x:f>
        <x:v>400.614656</x:v>
      </x:c>
      <x:c r="AA75" s="48" t="n">
        <x:f>(Inputs!$H$7+Inputs!$L$7*(((Inputs!$I$7+(((A75)+1)/2)*(Inputs!$J$7-Inputs!$I$7)))/Inputs!$K$7)^2)</x:f>
        <x:v>91.08736000000002</x:v>
      </x:c>
      <x:c r="AB75" s="48" t="n">
        <x:f>(Inputs!$H$8+Inputs!$L$8*(((Inputs!$I$8+(((A75)+1)/2)*(Inputs!$J$8-Inputs!$I$8)))/Inputs!$K$8)^2)</x:f>
        <x:v>183.28576</x:v>
      </x:c>
      <x:c r="AC75" s="48" t="n">
        <x:f>(Inputs!$H$9+Inputs!$L$9*(((Inputs!$I$9+(((A75)+1)/2)*(Inputs!$J$9-Inputs!$I$9)))/Inputs!$K$9)^2)</x:f>
        <x:v>174.82240000000002</x:v>
      </x:c>
      <x:c r="AD75" s="49"/>
      <x:c r="AE75" s="48" t="n">
        <x:f>A75</x:f>
        <x:v>-0.392</x:v>
      </x:c>
      <x:c r="AF75" s="48" t="n">
        <x:f>(((SQRT(((Inputs!$I$6+(((A75)+1)/2)*(Inputs!$J$6-Inputs!$I$6)))^2+Inputs!$C$6^2+((Inputs!$H$6+Inputs!$L$6*(((Inputs!$I$6+(((A75)+1)/2)*(Inputs!$J$6-Inputs!$I$6)))/Inputs!$K$6)^2))^2))-((Inputs!$H$6+Inputs!$L$6*(((Inputs!$I$6+(((A75)+1)/2)*(Inputs!$J$6-Inputs!$I$6)))/Inputs!$K$6)^2)))*1000/Inputs!$C$12)</x:f>
        <x:v>824.6008585815438</x:v>
      </x:c>
      <x:c r="AG75" s="48" t="n">
        <x:f>(((SQRT(((Inputs!$I$7+(((A75)+1)/2)*(Inputs!$J$7-Inputs!$I$7)))^2+Inputs!$C$6^2+((Inputs!$H$7+Inputs!$L$7*(((Inputs!$I$7+(((A75)+1)/2)*(Inputs!$J$7-Inputs!$I$7)))/Inputs!$K$7)^2))^2))-((Inputs!$H$7+Inputs!$L$7*(((Inputs!$I$7+(((A75)+1)/2)*(Inputs!$J$7-Inputs!$I$7)))/Inputs!$K$7)^2)))*1000/Inputs!$C$12)</x:f>
        <x:v>51665.70064427456</x:v>
      </x:c>
      <x:c r="AH75" s="48" t="n">
        <x:f>(((SQRT(((Inputs!$I$8+(((A75)+1)/2)*(Inputs!$J$8-Inputs!$I$8)))^2+Inputs!$C$6^2+((Inputs!$H$8+Inputs!$L$8*(((Inputs!$I$8+(((A75)+1)/2)*(Inputs!$J$8-Inputs!$I$8)))/Inputs!$K$8)^2))^2))-((Inputs!$H$8+Inputs!$L$8*(((Inputs!$I$8+(((A75)+1)/2)*(Inputs!$J$8-Inputs!$I$8)))/Inputs!$K$8)^2)))*1000/Inputs!$C$12)</x:f>
        <x:v>101577.03721981258</x:v>
      </x:c>
      <x:c r="AI75" s="48" t="n">
        <x:f>(((SQRT(((Inputs!$I$9+(((A75)+1)/2)*(Inputs!$J$9-Inputs!$I$9)))^2+Inputs!$C$6^2+((Inputs!$H$9+Inputs!$L$9*(((Inputs!$I$9+(((A75)+1)/2)*(Inputs!$J$9-Inputs!$I$9)))/Inputs!$K$9)^2))^2))-((Inputs!$H$9+Inputs!$L$9*(((Inputs!$I$9+(((A75)+1)/2)*(Inputs!$J$9-Inputs!$I$9)))/Inputs!$K$9)^2)))*1000/Inputs!$C$12)</x:f>
        <x:v>103979.94291242861</x:v>
      </x:c>
      <x:c r="AJ75" s="49"/>
      <x:c r="AK75" s="48" t="n">
        <x:f>A75</x:f>
        <x:v>-0.392</x:v>
      </x:c>
      <x:c r="AL75" s="48" t="n">
        <x:f>(-2*((1000*((((Inputs!$I$6+(((A75)+1)/2)*(Inputs!$J$6-Inputs!$I$6)))*Inputs!$C$11+((Inputs!$H$6+Inputs!$L$6*(((Inputs!$I$6+(((A75)+1)/2)*(Inputs!$J$6-Inputs!$I$6)))/Inputs!$K$6)^2))*((2*Inputs!$L$6*((Inputs!$I$6+(((A75)+1)/2)*(Inputs!$J$6-Inputs!$I$6)))/(Inputs!$K$6^2)*Inputs!$C$11)))/(SQRT(((Inputs!$I$6+(((A75)+1)/2)*(Inputs!$J$6-Inputs!$I$6)))^2+Inputs!$C$6^2+((Inputs!$H$6+Inputs!$L$6*(((Inputs!$I$6+(((A75)+1)/2)*(Inputs!$J$6-Inputs!$I$6)))/Inputs!$K$6)^2))^2)))))/Inputs!$C$13)</x:f>
        <x:v>176.91413562120078</x:v>
      </x:c>
      <x:c r="AM75" s="48" t="n">
        <x:f>(-2*((1000*((((Inputs!$I$7+(((A75)+1)/2)*(Inputs!$J$7-Inputs!$I$7)))*Inputs!$C$11+((Inputs!$H$7+Inputs!$L$7*(((Inputs!$I$7+(((A75)+1)/2)*(Inputs!$J$7-Inputs!$I$7)))/Inputs!$K$7)^2))*((2*Inputs!$L$7*((Inputs!$I$7+(((A75)+1)/2)*(Inputs!$J$7-Inputs!$I$7)))/(Inputs!$K$7^2)*Inputs!$C$11)))/(SQRT(((Inputs!$I$7+(((A75)+1)/2)*(Inputs!$J$7-Inputs!$I$7)))^2+Inputs!$C$6^2+((Inputs!$H$7+Inputs!$L$7*(((Inputs!$I$7+(((A75)+1)/2)*(Inputs!$J$7-Inputs!$I$7)))/Inputs!$K$7)^2))^2)))))/Inputs!$C$13)</x:f>
        <x:v>1940.1134095817456</x:v>
      </x:c>
      <x:c r="AN75" s="48" t="n">
        <x:f>(-2*((1000*((((Inputs!$I$8+(((A75)+1)/2)*(Inputs!$J$8-Inputs!$I$8)))*Inputs!$C$11+((Inputs!$H$8+Inputs!$L$8*(((Inputs!$I$8+(((A75)+1)/2)*(Inputs!$J$8-Inputs!$I$8)))/Inputs!$K$8)^2))*((2*Inputs!$L$8*((Inputs!$I$8+(((A75)+1)/2)*(Inputs!$J$8-Inputs!$I$8)))/(Inputs!$K$8^2)*Inputs!$C$11)))/(SQRT(((Inputs!$I$8+(((A75)+1)/2)*(Inputs!$J$8-Inputs!$I$8)))^2+Inputs!$C$6^2+((Inputs!$H$8+Inputs!$L$8*(((Inputs!$I$8+(((A75)+1)/2)*(Inputs!$J$8-Inputs!$I$8)))/Inputs!$K$8)^2))^2)))))/Inputs!$C$13)</x:f>
        <x:v>2139.820300233867</x:v>
      </x:c>
      <x:c r="AO75" s="48" t="n">
        <x:f>(-2*((1000*((((Inputs!$I$9+(((A75)+1)/2)*(Inputs!$J$9-Inputs!$I$9)))*Inputs!$C$11+((Inputs!$H$9+Inputs!$L$9*(((Inputs!$I$9+(((A75)+1)/2)*(Inputs!$J$9-Inputs!$I$9)))/Inputs!$K$9)^2))*((2*Inputs!$L$9*((Inputs!$I$9+(((A75)+1)/2)*(Inputs!$J$9-Inputs!$I$9)))/(Inputs!$K$9^2)*Inputs!$C$11)))/(SQRT(((Inputs!$I$9+(((A75)+1)/2)*(Inputs!$J$9-Inputs!$I$9)))^2+Inputs!$C$6^2+((Inputs!$H$9+Inputs!$L$9*(((Inputs!$I$9+(((A75)+1)/2)*(Inputs!$J$9-Inputs!$I$9)))/Inputs!$K$9)^2))^2)))))/Inputs!$C$13)</x:f>
        <x:v>2136.7440188602095</x:v>
      </x:c>
    </x:row>
    <x:row r="76">
      <x:c r="A76" s="48" t="n">
        <x:f>ROUND(-1+74*2/240,3)</x:f>
        <x:v>-0.383</x:v>
      </x:c>
      <x:c r="B76" s="48" t="n">
        <x:f>IF(OR(Inputs!$F$6=TRUE,Inputs!$F$6="TRUE",Inputs!$F$6=1),(Inputs!$H$6+Inputs!$L$6*(((Inputs!$I$6+(((A76)+1)/2)*(Inputs!$J$6-Inputs!$I$6)))/Inputs!$K$6)^2),NA())</x:f>
        <x:v>400.586756</x:v>
      </x:c>
      <x:c r="C76" s="48" t="n">
        <x:f>IF(OR(Inputs!$F$7=TRUE,Inputs!$F$7="TRUE",Inputs!$F$7=1),(Inputs!$H$7+Inputs!$L$7*(((Inputs!$I$7+(((A76)+1)/2)*(Inputs!$J$7-Inputs!$I$7)))/Inputs!$K$7)^2),NA())</x:f>
        <x:v>88.541485</x:v>
      </x:c>
      <x:c r="D76" s="48" t="n">
        <x:f>IF(OR(Inputs!$F$8=TRUE,Inputs!$F$8="TRUE",Inputs!$F$8=1),(Inputs!$H$8+Inputs!$L$8*(((Inputs!$I$8+(((A76)+1)/2)*(Inputs!$J$8-Inputs!$I$8)))/Inputs!$K$8)^2),NA())</x:f>
        <x:v>176.55488499999996</x:v>
      </x:c>
      <x:c r="E76" s="48" t="n">
        <x:f>IF(OR(Inputs!$F$9=TRUE,Inputs!$F$9="TRUE",Inputs!$F$9=1),(Inputs!$H$9+Inputs!$L$9*(((Inputs!$I$9+(((A76)+1)/2)*(Inputs!$J$9-Inputs!$I$9)))/Inputs!$K$9)^2),NA())</x:f>
        <x:v>168.02177499999996</x:v>
      </x:c>
      <x:c r="F76" s="49"/>
      <x:c r="G76" s="48" t="n">
        <x:f>A76</x:f>
        <x:v>-0.383</x:v>
      </x:c>
      <x:c r="H76" s="48" t="n">
        <x:f>IF(OR(Inputs!$F$6=TRUE,Inputs!$F$6="TRUE",Inputs!$F$6=1),(((SQRT(((Inputs!$I$6+(((A76)+1)/2)*(Inputs!$J$6-Inputs!$I$6)))^2+Inputs!$C$6^2+((Inputs!$H$6+Inputs!$L$6*(((Inputs!$I$6+(((A76)+1)/2)*(Inputs!$J$6-Inputs!$I$6)))/Inputs!$K$6)^2))^2))-((Inputs!$H$6+Inputs!$L$6*(((Inputs!$I$6+(((A76)+1)/2)*(Inputs!$J$6-Inputs!$I$6)))/Inputs!$K$6)^2)))*1000/Inputs!$C$12),NA())</x:f>
        <x:v>807.1140855767471</x:v>
      </x:c>
      <x:c r="I76" s="48" t="n">
        <x:f>IF(OR(Inputs!$F$7=TRUE,Inputs!$F$7="TRUE",Inputs!$F$7=1),(((SQRT(((Inputs!$I$7+(((A76)+1)/2)*(Inputs!$J$7-Inputs!$I$7)))^2+Inputs!$C$6^2+((Inputs!$H$7+Inputs!$L$7*(((Inputs!$I$7+(((A76)+1)/2)*(Inputs!$J$7-Inputs!$I$7)))/Inputs!$K$7)^2))^2))-((Inputs!$H$7+Inputs!$L$7*(((Inputs!$I$7+(((A76)+1)/2)*(Inputs!$J$7-Inputs!$I$7)))/Inputs!$K$7)^2)))*1000/Inputs!$C$12),NA())</x:f>
        <x:v>50652.650252996886</x:v>
      </x:c>
      <x:c r="J76" s="48" t="n">
        <x:f>IF(OR(Inputs!$F$8=TRUE,Inputs!$F$8="TRUE",Inputs!$F$8=1),(((SQRT(((Inputs!$I$8+(((A76)+1)/2)*(Inputs!$J$8-Inputs!$I$8)))^2+Inputs!$C$6^2+((Inputs!$H$8+Inputs!$L$8*(((Inputs!$I$8+(((A76)+1)/2)*(Inputs!$J$8-Inputs!$I$8)))/Inputs!$K$8)^2))^2))-((Inputs!$H$8+Inputs!$L$8*(((Inputs!$I$8+(((A76)+1)/2)*(Inputs!$J$8-Inputs!$I$8)))/Inputs!$K$8)^2)))*1000/Inputs!$C$12),NA())</x:f>
        <x:v>99974.97967168923</x:v>
      </x:c>
      <x:c r="K76" s="48" t="n">
        <x:f>IF(OR(Inputs!$F$9=TRUE,Inputs!$F$9="TRUE",Inputs!$F$9=1),(((SQRT(((Inputs!$I$9+(((A76)+1)/2)*(Inputs!$J$9-Inputs!$I$9)))^2+Inputs!$C$6^2+((Inputs!$H$9+Inputs!$L$9*(((Inputs!$I$9+(((A76)+1)/2)*(Inputs!$J$9-Inputs!$I$9)))/Inputs!$K$9)^2))^2))-((Inputs!$H$9+Inputs!$L$9*(((Inputs!$I$9+(((A76)+1)/2)*(Inputs!$J$9-Inputs!$I$9)))/Inputs!$K$9)^2)))*1000/Inputs!$C$12),NA())</x:f>
        <x:v>102425.29661853185</x:v>
      </x:c>
      <x:c r="L76" s="49"/>
      <x:c r="M76" s="48" t="n">
        <x:f>A76</x:f>
        <x:v>-0.383</x:v>
      </x:c>
      <x:c r="N76" s="48" t="n">
        <x:f>IF(OR(Inputs!$F$6=TRUE,Inputs!$F$6="TRUE",Inputs!$F$6=1),(-2*((1000*((((Inputs!$I$6+(((A76)+1)/2)*(Inputs!$J$6-Inputs!$I$6)))*Inputs!$C$11+((Inputs!$H$6+Inputs!$L$6*(((Inputs!$I$6+(((A76)+1)/2)*(Inputs!$J$6-Inputs!$I$6)))/Inputs!$K$6)^2))*((2*Inputs!$L$6*((Inputs!$I$6+(((A76)+1)/2)*(Inputs!$J$6-Inputs!$I$6)))/(Inputs!$K$6^2)*Inputs!$C$11)))/(SQRT(((Inputs!$I$6+(((A76)+1)/2)*(Inputs!$J$6-Inputs!$I$6)))^2+Inputs!$C$6^2+((Inputs!$H$6+Inputs!$L$6*(((Inputs!$I$6+(((A76)+1)/2)*(Inputs!$J$6-Inputs!$I$6)))/Inputs!$K$6)^2))^2)))))/Inputs!$C$13),NA())</x:f>
        <x:v>172.87203990240704</x:v>
      </x:c>
      <x:c r="O76" s="48" t="n">
        <x:f>IF(OR(Inputs!$F$7=TRUE,Inputs!$F$7="TRUE",Inputs!$F$7=1),(-2*((1000*((((Inputs!$I$7+(((A76)+1)/2)*(Inputs!$J$7-Inputs!$I$7)))*Inputs!$C$11+((Inputs!$H$7+Inputs!$L$7*(((Inputs!$I$7+(((A76)+1)/2)*(Inputs!$J$7-Inputs!$I$7)))/Inputs!$K$7)^2))*((2*Inputs!$L$7*((Inputs!$I$7+(((A76)+1)/2)*(Inputs!$J$7-Inputs!$I$7)))/(Inputs!$K$7^2)*Inputs!$C$11)))/(SQRT(((Inputs!$I$7+(((A76)+1)/2)*(Inputs!$J$7-Inputs!$I$7)))^2+Inputs!$C$6^2+((Inputs!$H$7+Inputs!$L$7*(((Inputs!$I$7+(((A76)+1)/2)*(Inputs!$J$7-Inputs!$I$7)))/Inputs!$K$7)^2))^2)))))/Inputs!$C$13),NA())</x:f>
        <x:v>1925.769938343687</x:v>
      </x:c>
      <x:c r="P76" s="48" t="n">
        <x:f>IF(OR(Inputs!$F$8=TRUE,Inputs!$F$8="TRUE",Inputs!$F$8=1),(-2*((1000*((((Inputs!$I$8+(((A76)+1)/2)*(Inputs!$J$8-Inputs!$I$8)))*Inputs!$C$11+((Inputs!$H$8+Inputs!$L$8*(((Inputs!$I$8+(((A76)+1)/2)*(Inputs!$J$8-Inputs!$I$8)))/Inputs!$K$8)^2))*((2*Inputs!$L$8*((Inputs!$I$8+(((A76)+1)/2)*(Inputs!$J$8-Inputs!$I$8)))/(Inputs!$K$8^2)*Inputs!$C$11)))/(SQRT(((Inputs!$I$8+(((A76)+1)/2)*(Inputs!$J$8-Inputs!$I$8)))^2+Inputs!$C$6^2+((Inputs!$H$8+Inputs!$L$8*(((Inputs!$I$8+(((A76)+1)/2)*(Inputs!$J$8-Inputs!$I$8)))/Inputs!$K$8)^2))^2)))))/Inputs!$C$13),NA())</x:f>
        <x:v>2119.1347823728947</x:v>
      </x:c>
      <x:c r="Q76" s="48" t="n">
        <x:f>IF(OR(Inputs!$F$9=TRUE,Inputs!$F$9="TRUE",Inputs!$F$9=1),(-2*((1000*((((Inputs!$I$9+(((A76)+1)/2)*(Inputs!$J$9-Inputs!$I$9)))*Inputs!$C$11+((Inputs!$H$9+Inputs!$L$9*(((Inputs!$I$9+(((A76)+1)/2)*(Inputs!$J$9-Inputs!$I$9)))/Inputs!$K$9)^2))*((2*Inputs!$L$9*((Inputs!$I$9+(((A76)+1)/2)*(Inputs!$J$9-Inputs!$I$9)))/(Inputs!$K$9^2)*Inputs!$C$11)))/(SQRT(((Inputs!$I$9+(((A76)+1)/2)*(Inputs!$J$9-Inputs!$I$9)))^2+Inputs!$C$6^2+((Inputs!$H$9+Inputs!$L$9*(((Inputs!$I$9+(((A76)+1)/2)*(Inputs!$J$9-Inputs!$I$9)))/Inputs!$K$9)^2))^2)))))/Inputs!$C$13),NA())</x:f>
        <x:v>2115.7066217347515</x:v>
      </x:c>
      <x:c r="R76" s="49"/>
      <x:c r="S76" s="48" t="n">
        <x:f>A76</x:f>
        <x:v>-0.383</x:v>
      </x:c>
      <x:c r="T76" s="48" t="n">
        <x:f>(Inputs!$I$6+(((A76)+1)/2)*(Inputs!$J$6-Inputs!$I$6))</x:f>
        <x:v>-22.980000000000004</x:v>
      </x:c>
      <x:c r="U76" s="48" t="n">
        <x:f>(Inputs!$I$7+(((A76)+1)/2)*(Inputs!$J$7-Inputs!$I$7))</x:f>
        <x:v>-153.2</x:v>
      </x:c>
      <x:c r="V76" s="48" t="n">
        <x:f>(Inputs!$I$8+(((A76)+1)/2)*(Inputs!$J$8-Inputs!$I$8))</x:f>
        <x:v>-306.4</x:v>
      </x:c>
      <x:c r="W76" s="48" t="n">
        <x:f>(Inputs!$I$9+(((A76)+1)/2)*(Inputs!$J$9-Inputs!$I$9))</x:f>
        <x:v>-306.4</x:v>
      </x:c>
      <x:c r="X76" s="49"/>
      <x:c r="Y76" s="48" t="n">
        <x:f>A76</x:f>
        <x:v>-0.383</x:v>
      </x:c>
      <x:c r="Z76" s="48" t="n">
        <x:f>(Inputs!$H$6+Inputs!$L$6*(((Inputs!$I$6+(((A76)+1)/2)*(Inputs!$J$6-Inputs!$I$6)))/Inputs!$K$6)^2)</x:f>
        <x:v>400.586756</x:v>
      </x:c>
      <x:c r="AA76" s="48" t="n">
        <x:f>(Inputs!$H$7+Inputs!$L$7*(((Inputs!$I$7+(((A76)+1)/2)*(Inputs!$J$7-Inputs!$I$7)))/Inputs!$K$7)^2)</x:f>
        <x:v>88.541485</x:v>
      </x:c>
      <x:c r="AB76" s="48" t="n">
        <x:f>(Inputs!$H$8+Inputs!$L$8*(((Inputs!$I$8+(((A76)+1)/2)*(Inputs!$J$8-Inputs!$I$8)))/Inputs!$K$8)^2)</x:f>
        <x:v>176.55488499999996</x:v>
      </x:c>
      <x:c r="AC76" s="48" t="n">
        <x:f>(Inputs!$H$9+Inputs!$L$9*(((Inputs!$I$9+(((A76)+1)/2)*(Inputs!$J$9-Inputs!$I$9)))/Inputs!$K$9)^2)</x:f>
        <x:v>168.02177499999996</x:v>
      </x:c>
      <x:c r="AD76" s="49"/>
      <x:c r="AE76" s="48" t="n">
        <x:f>A76</x:f>
        <x:v>-0.383</x:v>
      </x:c>
      <x:c r="AF76" s="48" t="n">
        <x:f>(((SQRT(((Inputs!$I$6+(((A76)+1)/2)*(Inputs!$J$6-Inputs!$I$6)))^2+Inputs!$C$6^2+((Inputs!$H$6+Inputs!$L$6*(((Inputs!$I$6+(((A76)+1)/2)*(Inputs!$J$6-Inputs!$I$6)))/Inputs!$K$6)^2))^2))-((Inputs!$H$6+Inputs!$L$6*(((Inputs!$I$6+(((A76)+1)/2)*(Inputs!$J$6-Inputs!$I$6)))/Inputs!$K$6)^2)))*1000/Inputs!$C$12)</x:f>
        <x:v>807.1140855767471</x:v>
      </x:c>
      <x:c r="AG76" s="48" t="n">
        <x:f>(((SQRT(((Inputs!$I$7+(((A76)+1)/2)*(Inputs!$J$7-Inputs!$I$7)))^2+Inputs!$C$6^2+((Inputs!$H$7+Inputs!$L$7*(((Inputs!$I$7+(((A76)+1)/2)*(Inputs!$J$7-Inputs!$I$7)))/Inputs!$K$7)^2))^2))-((Inputs!$H$7+Inputs!$L$7*(((Inputs!$I$7+(((A76)+1)/2)*(Inputs!$J$7-Inputs!$I$7)))/Inputs!$K$7)^2)))*1000/Inputs!$C$12)</x:f>
        <x:v>50652.650252996886</x:v>
      </x:c>
      <x:c r="AH76" s="48" t="n">
        <x:f>(((SQRT(((Inputs!$I$8+(((A76)+1)/2)*(Inputs!$J$8-Inputs!$I$8)))^2+Inputs!$C$6^2+((Inputs!$H$8+Inputs!$L$8*(((Inputs!$I$8+(((A76)+1)/2)*(Inputs!$J$8-Inputs!$I$8)))/Inputs!$K$8)^2))^2))-((Inputs!$H$8+Inputs!$L$8*(((Inputs!$I$8+(((A76)+1)/2)*(Inputs!$J$8-Inputs!$I$8)))/Inputs!$K$8)^2)))*1000/Inputs!$C$12)</x:f>
        <x:v>99974.97967168923</x:v>
      </x:c>
      <x:c r="AI76" s="48" t="n">
        <x:f>(((SQRT(((Inputs!$I$9+(((A76)+1)/2)*(Inputs!$J$9-Inputs!$I$9)))^2+Inputs!$C$6^2+((Inputs!$H$9+Inputs!$L$9*(((Inputs!$I$9+(((A76)+1)/2)*(Inputs!$J$9-Inputs!$I$9)))/Inputs!$K$9)^2))^2))-((Inputs!$H$9+Inputs!$L$9*(((Inputs!$I$9+(((A76)+1)/2)*(Inputs!$J$9-Inputs!$I$9)))/Inputs!$K$9)^2)))*1000/Inputs!$C$12)</x:f>
        <x:v>102425.29661853185</x:v>
      </x:c>
      <x:c r="AJ76" s="49"/>
      <x:c r="AK76" s="48" t="n">
        <x:f>A76</x:f>
        <x:v>-0.383</x:v>
      </x:c>
      <x:c r="AL76" s="48" t="n">
        <x:f>(-2*((1000*((((Inputs!$I$6+(((A76)+1)/2)*(Inputs!$J$6-Inputs!$I$6)))*Inputs!$C$11+((Inputs!$H$6+Inputs!$L$6*(((Inputs!$I$6+(((A76)+1)/2)*(Inputs!$J$6-Inputs!$I$6)))/Inputs!$K$6)^2))*((2*Inputs!$L$6*((Inputs!$I$6+(((A76)+1)/2)*(Inputs!$J$6-Inputs!$I$6)))/(Inputs!$K$6^2)*Inputs!$C$11)))/(SQRT(((Inputs!$I$6+(((A76)+1)/2)*(Inputs!$J$6-Inputs!$I$6)))^2+Inputs!$C$6^2+((Inputs!$H$6+Inputs!$L$6*(((Inputs!$I$6+(((A76)+1)/2)*(Inputs!$J$6-Inputs!$I$6)))/Inputs!$K$6)^2))^2)))))/Inputs!$C$13)</x:f>
        <x:v>172.87203990240704</x:v>
      </x:c>
      <x:c r="AM76" s="48" t="n">
        <x:f>(-2*((1000*((((Inputs!$I$7+(((A76)+1)/2)*(Inputs!$J$7-Inputs!$I$7)))*Inputs!$C$11+((Inputs!$H$7+Inputs!$L$7*(((Inputs!$I$7+(((A76)+1)/2)*(Inputs!$J$7-Inputs!$I$7)))/Inputs!$K$7)^2))*((2*Inputs!$L$7*((Inputs!$I$7+(((A76)+1)/2)*(Inputs!$J$7-Inputs!$I$7)))/(Inputs!$K$7^2)*Inputs!$C$11)))/(SQRT(((Inputs!$I$7+(((A76)+1)/2)*(Inputs!$J$7-Inputs!$I$7)))^2+Inputs!$C$6^2+((Inputs!$H$7+Inputs!$L$7*(((Inputs!$I$7+(((A76)+1)/2)*(Inputs!$J$7-Inputs!$I$7)))/Inputs!$K$7)^2))^2)))))/Inputs!$C$13)</x:f>
        <x:v>1925.769938343687</x:v>
      </x:c>
      <x:c r="AN76" s="48" t="n">
        <x:f>(-2*((1000*((((Inputs!$I$8+(((A76)+1)/2)*(Inputs!$J$8-Inputs!$I$8)))*Inputs!$C$11+((Inputs!$H$8+Inputs!$L$8*(((Inputs!$I$8+(((A76)+1)/2)*(Inputs!$J$8-Inputs!$I$8)))/Inputs!$K$8)^2))*((2*Inputs!$L$8*((Inputs!$I$8+(((A76)+1)/2)*(Inputs!$J$8-Inputs!$I$8)))/(Inputs!$K$8^2)*Inputs!$C$11)))/(SQRT(((Inputs!$I$8+(((A76)+1)/2)*(Inputs!$J$8-Inputs!$I$8)))^2+Inputs!$C$6^2+((Inputs!$H$8+Inputs!$L$8*(((Inputs!$I$8+(((A76)+1)/2)*(Inputs!$J$8-Inputs!$I$8)))/Inputs!$K$8)^2))^2)))))/Inputs!$C$13)</x:f>
        <x:v>2119.1347823728947</x:v>
      </x:c>
      <x:c r="AO76" s="48" t="n">
        <x:f>(-2*((1000*((((Inputs!$I$9+(((A76)+1)/2)*(Inputs!$J$9-Inputs!$I$9)))*Inputs!$C$11+((Inputs!$H$9+Inputs!$L$9*(((Inputs!$I$9+(((A76)+1)/2)*(Inputs!$J$9-Inputs!$I$9)))/Inputs!$K$9)^2))*((2*Inputs!$L$9*((Inputs!$I$9+(((A76)+1)/2)*(Inputs!$J$9-Inputs!$I$9)))/(Inputs!$K$9^2)*Inputs!$C$11)))/(SQRT(((Inputs!$I$9+(((A76)+1)/2)*(Inputs!$J$9-Inputs!$I$9)))^2+Inputs!$C$6^2+((Inputs!$H$9+Inputs!$L$9*(((Inputs!$I$9+(((A76)+1)/2)*(Inputs!$J$9-Inputs!$I$9)))/Inputs!$K$9)^2))^2)))))/Inputs!$C$13)</x:f>
        <x:v>2115.7066217347515</x:v>
      </x:c>
    </x:row>
    <x:row r="77">
      <x:c r="A77" s="48" t="n">
        <x:f>ROUND(-1+75*2/240,3)</x:f>
        <x:v>-0.375</x:v>
      </x:c>
      <x:c r="B77" s="48" t="n">
        <x:f>IF(OR(Inputs!$F$6=TRUE,Inputs!$F$6="TRUE",Inputs!$F$6=1),(Inputs!$H$6+Inputs!$L$6*(((Inputs!$I$6+(((A77)+1)/2)*(Inputs!$J$6-Inputs!$I$6)))/Inputs!$K$6)^2),NA())</x:f>
        <x:v>400.5625</x:v>
      </x:c>
      <x:c r="C77" s="48" t="n">
        <x:f>IF(OR(Inputs!$F$7=TRUE,Inputs!$F$7="TRUE",Inputs!$F$7=1),(Inputs!$H$7+Inputs!$L$7*(((Inputs!$I$7+(((A77)+1)/2)*(Inputs!$J$7-Inputs!$I$7)))/Inputs!$K$7)^2),NA())</x:f>
        <x:v>86.328125</x:v>
      </x:c>
      <x:c r="D77" s="48" t="n">
        <x:f>IF(OR(Inputs!$F$8=TRUE,Inputs!$F$8="TRUE",Inputs!$F$8=1),(Inputs!$H$8+Inputs!$L$8*(((Inputs!$I$8+(((A77)+1)/2)*(Inputs!$J$8-Inputs!$I$8)))/Inputs!$K$8)^2),NA())</x:f>
        <x:v>170.703125</x:v>
      </x:c>
      <x:c r="E77" s="48" t="n">
        <x:f>IF(OR(Inputs!$F$9=TRUE,Inputs!$F$9="TRUE",Inputs!$F$9=1),(Inputs!$H$9+Inputs!$L$9*(((Inputs!$I$9+(((A77)+1)/2)*(Inputs!$J$9-Inputs!$I$9)))/Inputs!$K$9)^2),NA())</x:f>
        <x:v>162.109375</x:v>
      </x:c>
      <x:c r="F77" s="49"/>
      <x:c r="G77" s="48" t="n">
        <x:f>A77</x:f>
        <x:v>-0.375</x:v>
      </x:c>
      <x:c r="H77" s="48" t="n">
        <x:f>IF(OR(Inputs!$F$6=TRUE,Inputs!$F$6="TRUE",Inputs!$F$6=1),(((SQRT(((Inputs!$I$6+(((A77)+1)/2)*(Inputs!$J$6-Inputs!$I$6)))^2+Inputs!$C$6^2+((Inputs!$H$6+Inputs!$L$6*(((Inputs!$I$6+(((A77)+1)/2)*(Inputs!$J$6-Inputs!$I$6)))/Inputs!$K$6)^2))^2))-((Inputs!$H$6+Inputs!$L$6*(((Inputs!$I$6+(((A77)+1)/2)*(Inputs!$J$6-Inputs!$I$6)))/Inputs!$K$6)^2)))*1000/Inputs!$C$12),NA())</x:f>
        <x:v>791.9081751687987</x:v>
      </x:c>
      <x:c r="I77" s="48" t="n">
        <x:f>IF(OR(Inputs!$F$7=TRUE,Inputs!$F$7="TRUE",Inputs!$F$7=1),(((SQRT(((Inputs!$I$7+(((A77)+1)/2)*(Inputs!$J$7-Inputs!$I$7)))^2+Inputs!$C$6^2+((Inputs!$H$7+Inputs!$L$7*(((Inputs!$I$7+(((A77)+1)/2)*(Inputs!$J$7-Inputs!$I$7)))/Inputs!$K$7)^2))^2))-((Inputs!$H$7+Inputs!$L$7*(((Inputs!$I$7+(((A77)+1)/2)*(Inputs!$J$7-Inputs!$I$7)))/Inputs!$K$7)^2)))*1000/Inputs!$C$12),NA())</x:f>
        <x:v>49739.45909855794</x:v>
      </x:c>
      <x:c r="J77" s="48" t="n">
        <x:f>IF(OR(Inputs!$F$8=TRUE,Inputs!$F$8="TRUE",Inputs!$F$8=1),(((SQRT(((Inputs!$I$8+(((A77)+1)/2)*(Inputs!$J$8-Inputs!$I$8)))^2+Inputs!$C$6^2+((Inputs!$H$8+Inputs!$L$8*(((Inputs!$I$8+(((A77)+1)/2)*(Inputs!$J$8-Inputs!$I$8)))/Inputs!$K$8)^2))^2))-((Inputs!$H$8+Inputs!$L$8*(((Inputs!$I$8+(((A77)+1)/2)*(Inputs!$J$8-Inputs!$I$8)))/Inputs!$K$8)^2)))*1000/Inputs!$C$12),NA())</x:f>
        <x:v>98520.80718816015</x:v>
      </x:c>
      <x:c r="K77" s="48" t="n">
        <x:f>IF(OR(Inputs!$F$9=TRUE,Inputs!$F$9="TRUE",Inputs!$F$9=1),(((SQRT(((Inputs!$I$9+(((A77)+1)/2)*(Inputs!$J$9-Inputs!$I$9)))^2+Inputs!$C$6^2+((Inputs!$H$9+Inputs!$L$9*(((Inputs!$I$9+(((A77)+1)/2)*(Inputs!$J$9-Inputs!$I$9)))/Inputs!$K$9)^2))^2))-((Inputs!$H$9+Inputs!$L$9*(((Inputs!$I$9+(((A77)+1)/2)*(Inputs!$J$9-Inputs!$I$9)))/Inputs!$K$9)^2)))*1000/Inputs!$C$12),NA())</x:f>
        <x:v>101013.23130719473</x:v>
      </x:c>
      <x:c r="L77" s="49"/>
      <x:c r="M77" s="48" t="n">
        <x:f>A77</x:f>
        <x:v>-0.375</x:v>
      </x:c>
      <x:c r="N77" s="48" t="n">
        <x:f>IF(OR(Inputs!$F$6=TRUE,Inputs!$F$6="TRUE",Inputs!$F$6=1),(-2*((1000*((((Inputs!$I$6+(((A77)+1)/2)*(Inputs!$J$6-Inputs!$I$6)))*Inputs!$C$11+((Inputs!$H$6+Inputs!$L$6*(((Inputs!$I$6+(((A77)+1)/2)*(Inputs!$J$6-Inputs!$I$6)))/Inputs!$K$6)^2))*((2*Inputs!$L$6*((Inputs!$I$6+(((A77)+1)/2)*(Inputs!$J$6-Inputs!$I$6)))/(Inputs!$K$6^2)*Inputs!$C$11)))/(SQRT(((Inputs!$I$6+(((A77)+1)/2)*(Inputs!$J$6-Inputs!$I$6)))^2+Inputs!$C$6^2+((Inputs!$H$6+Inputs!$L$6*(((Inputs!$I$6+(((A77)+1)/2)*(Inputs!$J$6-Inputs!$I$6)))/Inputs!$K$6)^2))^2)))))/Inputs!$C$13),NA())</x:f>
        <x:v>169.27791899911475</x:v>
      </x:c>
      <x:c r="O77" s="48" t="n">
        <x:f>IF(OR(Inputs!$F$7=TRUE,Inputs!$F$7="TRUE",Inputs!$F$7=1),(-2*((1000*((((Inputs!$I$7+(((A77)+1)/2)*(Inputs!$J$7-Inputs!$I$7)))*Inputs!$C$11+((Inputs!$H$7+Inputs!$L$7*(((Inputs!$I$7+(((A77)+1)/2)*(Inputs!$J$7-Inputs!$I$7)))/Inputs!$K$7)^2))*((2*Inputs!$L$7*((Inputs!$I$7+(((A77)+1)/2)*(Inputs!$J$7-Inputs!$I$7)))/(Inputs!$K$7^2)*Inputs!$C$11)))/(SQRT(((Inputs!$I$7+(((A77)+1)/2)*(Inputs!$J$7-Inputs!$I$7)))^2+Inputs!$C$6^2+((Inputs!$H$7+Inputs!$L$7*(((Inputs!$I$7+(((A77)+1)/2)*(Inputs!$J$7-Inputs!$I$7)))/Inputs!$K$7)^2))^2)))))/Inputs!$C$13),NA())</x:f>
        <x:v>1913.0787581584004</x:v>
      </x:c>
      <x:c r="P77" s="48" t="n">
        <x:f>IF(OR(Inputs!$F$8=TRUE,Inputs!$F$8="TRUE",Inputs!$F$8=1),(-2*((1000*((((Inputs!$I$8+(((A77)+1)/2)*(Inputs!$J$8-Inputs!$I$8)))*Inputs!$C$11+((Inputs!$H$8+Inputs!$L$8*(((Inputs!$I$8+(((A77)+1)/2)*(Inputs!$J$8-Inputs!$I$8)))/Inputs!$K$8)^2))*((2*Inputs!$L$8*((Inputs!$I$8+(((A77)+1)/2)*(Inputs!$J$8-Inputs!$I$8)))/(Inputs!$K$8^2)*Inputs!$C$11)))/(SQRT(((Inputs!$I$8+(((A77)+1)/2)*(Inputs!$J$8-Inputs!$I$8)))^2+Inputs!$C$6^2+((Inputs!$H$8+Inputs!$L$8*(((Inputs!$I$8+(((A77)+1)/2)*(Inputs!$J$8-Inputs!$I$8)))/Inputs!$K$8)^2))^2)))))/Inputs!$C$13),NA())</x:f>
        <x:v>2100.998160795966</x:v>
      </x:c>
      <x:c r="Q77" s="48" t="n">
        <x:f>IF(OR(Inputs!$F$9=TRUE,Inputs!$F$9="TRUE",Inputs!$F$9=1),(-2*((1000*((((Inputs!$I$9+(((A77)+1)/2)*(Inputs!$J$9-Inputs!$I$9)))*Inputs!$C$11+((Inputs!$H$9+Inputs!$L$9*(((Inputs!$I$9+(((A77)+1)/2)*(Inputs!$J$9-Inputs!$I$9)))/Inputs!$K$9)^2))*((2*Inputs!$L$9*((Inputs!$I$9+(((A77)+1)/2)*(Inputs!$J$9-Inputs!$I$9)))/(Inputs!$K$9^2)*Inputs!$C$11)))/(SQRT(((Inputs!$I$9+(((A77)+1)/2)*(Inputs!$J$9-Inputs!$I$9)))^2+Inputs!$C$6^2+((Inputs!$H$9+Inputs!$L$9*(((Inputs!$I$9+(((A77)+1)/2)*(Inputs!$J$9-Inputs!$I$9)))/Inputs!$K$9)^2))^2)))))/Inputs!$C$13),NA())</x:f>
        <x:v>2097.2736181760724</x:v>
      </x:c>
      <x:c r="R77" s="49"/>
      <x:c r="S77" s="48" t="n">
        <x:f>A77</x:f>
        <x:v>-0.375</x:v>
      </x:c>
      <x:c r="T77" s="48" t="n">
        <x:f>(Inputs!$I$6+(((A77)+1)/2)*(Inputs!$J$6-Inputs!$I$6))</x:f>
        <x:v>-22.5</x:v>
      </x:c>
      <x:c r="U77" s="48" t="n">
        <x:f>(Inputs!$I$7+(((A77)+1)/2)*(Inputs!$J$7-Inputs!$I$7))</x:f>
        <x:v>-150</x:v>
      </x:c>
      <x:c r="V77" s="48" t="n">
        <x:f>(Inputs!$I$8+(((A77)+1)/2)*(Inputs!$J$8-Inputs!$I$8))</x:f>
        <x:v>-300</x:v>
      </x:c>
      <x:c r="W77" s="48" t="n">
        <x:f>(Inputs!$I$9+(((A77)+1)/2)*(Inputs!$J$9-Inputs!$I$9))</x:f>
        <x:v>-300</x:v>
      </x:c>
      <x:c r="X77" s="49"/>
      <x:c r="Y77" s="48" t="n">
        <x:f>A77</x:f>
        <x:v>-0.375</x:v>
      </x:c>
      <x:c r="Z77" s="48" t="n">
        <x:f>(Inputs!$H$6+Inputs!$L$6*(((Inputs!$I$6+(((A77)+1)/2)*(Inputs!$J$6-Inputs!$I$6)))/Inputs!$K$6)^2)</x:f>
        <x:v>400.5625</x:v>
      </x:c>
      <x:c r="AA77" s="48" t="n">
        <x:f>(Inputs!$H$7+Inputs!$L$7*(((Inputs!$I$7+(((A77)+1)/2)*(Inputs!$J$7-Inputs!$I$7)))/Inputs!$K$7)^2)</x:f>
        <x:v>86.328125</x:v>
      </x:c>
      <x:c r="AB77" s="48" t="n">
        <x:f>(Inputs!$H$8+Inputs!$L$8*(((Inputs!$I$8+(((A77)+1)/2)*(Inputs!$J$8-Inputs!$I$8)))/Inputs!$K$8)^2)</x:f>
        <x:v>170.703125</x:v>
      </x:c>
      <x:c r="AC77" s="48" t="n">
        <x:f>(Inputs!$H$9+Inputs!$L$9*(((Inputs!$I$9+(((A77)+1)/2)*(Inputs!$J$9-Inputs!$I$9)))/Inputs!$K$9)^2)</x:f>
        <x:v>162.109375</x:v>
      </x:c>
      <x:c r="AD77" s="49"/>
      <x:c r="AE77" s="48" t="n">
        <x:f>A77</x:f>
        <x:v>-0.375</x:v>
      </x:c>
      <x:c r="AF77" s="48" t="n">
        <x:f>(((SQRT(((Inputs!$I$6+(((A77)+1)/2)*(Inputs!$J$6-Inputs!$I$6)))^2+Inputs!$C$6^2+((Inputs!$H$6+Inputs!$L$6*(((Inputs!$I$6+(((A77)+1)/2)*(Inputs!$J$6-Inputs!$I$6)))/Inputs!$K$6)^2))^2))-((Inputs!$H$6+Inputs!$L$6*(((Inputs!$I$6+(((A77)+1)/2)*(Inputs!$J$6-Inputs!$I$6)))/Inputs!$K$6)^2)))*1000/Inputs!$C$12)</x:f>
        <x:v>791.9081751687987</x:v>
      </x:c>
      <x:c r="AG77" s="48" t="n">
        <x:f>(((SQRT(((Inputs!$I$7+(((A77)+1)/2)*(Inputs!$J$7-Inputs!$I$7)))^2+Inputs!$C$6^2+((Inputs!$H$7+Inputs!$L$7*(((Inputs!$I$7+(((A77)+1)/2)*(Inputs!$J$7-Inputs!$I$7)))/Inputs!$K$7)^2))^2))-((Inputs!$H$7+Inputs!$L$7*(((Inputs!$I$7+(((A77)+1)/2)*(Inputs!$J$7-Inputs!$I$7)))/Inputs!$K$7)^2)))*1000/Inputs!$C$12)</x:f>
        <x:v>49739.45909855794</x:v>
      </x:c>
      <x:c r="AH77" s="48" t="n">
        <x:f>(((SQRT(((Inputs!$I$8+(((A77)+1)/2)*(Inputs!$J$8-Inputs!$I$8)))^2+Inputs!$C$6^2+((Inputs!$H$8+Inputs!$L$8*(((Inputs!$I$8+(((A77)+1)/2)*(Inputs!$J$8-Inputs!$I$8)))/Inputs!$K$8)^2))^2))-((Inputs!$H$8+Inputs!$L$8*(((Inputs!$I$8+(((A77)+1)/2)*(Inputs!$J$8-Inputs!$I$8)))/Inputs!$K$8)^2)))*1000/Inputs!$C$12)</x:f>
        <x:v>98520.80718816015</x:v>
      </x:c>
      <x:c r="AI77" s="48" t="n">
        <x:f>(((SQRT(((Inputs!$I$9+(((A77)+1)/2)*(Inputs!$J$9-Inputs!$I$9)))^2+Inputs!$C$6^2+((Inputs!$H$9+Inputs!$L$9*(((Inputs!$I$9+(((A77)+1)/2)*(Inputs!$J$9-Inputs!$I$9)))/Inputs!$K$9)^2))^2))-((Inputs!$H$9+Inputs!$L$9*(((Inputs!$I$9+(((A77)+1)/2)*(Inputs!$J$9-Inputs!$I$9)))/Inputs!$K$9)^2)))*1000/Inputs!$C$12)</x:f>
        <x:v>101013.23130719473</x:v>
      </x:c>
      <x:c r="AJ77" s="49"/>
      <x:c r="AK77" s="48" t="n">
        <x:f>A77</x:f>
        <x:v>-0.375</x:v>
      </x:c>
      <x:c r="AL77" s="48" t="n">
        <x:f>(-2*((1000*((((Inputs!$I$6+(((A77)+1)/2)*(Inputs!$J$6-Inputs!$I$6)))*Inputs!$C$11+((Inputs!$H$6+Inputs!$L$6*(((Inputs!$I$6+(((A77)+1)/2)*(Inputs!$J$6-Inputs!$I$6)))/Inputs!$K$6)^2))*((2*Inputs!$L$6*((Inputs!$I$6+(((A77)+1)/2)*(Inputs!$J$6-Inputs!$I$6)))/(Inputs!$K$6^2)*Inputs!$C$11)))/(SQRT(((Inputs!$I$6+(((A77)+1)/2)*(Inputs!$J$6-Inputs!$I$6)))^2+Inputs!$C$6^2+((Inputs!$H$6+Inputs!$L$6*(((Inputs!$I$6+(((A77)+1)/2)*(Inputs!$J$6-Inputs!$I$6)))/Inputs!$K$6)^2))^2)))))/Inputs!$C$13)</x:f>
        <x:v>169.27791899911475</x:v>
      </x:c>
      <x:c r="AM77" s="48" t="n">
        <x:f>(-2*((1000*((((Inputs!$I$7+(((A77)+1)/2)*(Inputs!$J$7-Inputs!$I$7)))*Inputs!$C$11+((Inputs!$H$7+Inputs!$L$7*(((Inputs!$I$7+(((A77)+1)/2)*(Inputs!$J$7-Inputs!$I$7)))/Inputs!$K$7)^2))*((2*Inputs!$L$7*((Inputs!$I$7+(((A77)+1)/2)*(Inputs!$J$7-Inputs!$I$7)))/(Inputs!$K$7^2)*Inputs!$C$11)))/(SQRT(((Inputs!$I$7+(((A77)+1)/2)*(Inputs!$J$7-Inputs!$I$7)))^2+Inputs!$C$6^2+((Inputs!$H$7+Inputs!$L$7*(((Inputs!$I$7+(((A77)+1)/2)*(Inputs!$J$7-Inputs!$I$7)))/Inputs!$K$7)^2))^2)))))/Inputs!$C$13)</x:f>
        <x:v>1913.0787581584004</x:v>
      </x:c>
      <x:c r="AN77" s="48" t="n">
        <x:f>(-2*((1000*((((Inputs!$I$8+(((A77)+1)/2)*(Inputs!$J$8-Inputs!$I$8)))*Inputs!$C$11+((Inputs!$H$8+Inputs!$L$8*(((Inputs!$I$8+(((A77)+1)/2)*(Inputs!$J$8-Inputs!$I$8)))/Inputs!$K$8)^2))*((2*Inputs!$L$8*((Inputs!$I$8+(((A77)+1)/2)*(Inputs!$J$8-Inputs!$I$8)))/(Inputs!$K$8^2)*Inputs!$C$11)))/(SQRT(((Inputs!$I$8+(((A77)+1)/2)*(Inputs!$J$8-Inputs!$I$8)))^2+Inputs!$C$6^2+((Inputs!$H$8+Inputs!$L$8*(((Inputs!$I$8+(((A77)+1)/2)*(Inputs!$J$8-Inputs!$I$8)))/Inputs!$K$8)^2))^2)))))/Inputs!$C$13)</x:f>
        <x:v>2100.998160795966</x:v>
      </x:c>
      <x:c r="AO77" s="48" t="n">
        <x:f>(-2*((1000*((((Inputs!$I$9+(((A77)+1)/2)*(Inputs!$J$9-Inputs!$I$9)))*Inputs!$C$11+((Inputs!$H$9+Inputs!$L$9*(((Inputs!$I$9+(((A77)+1)/2)*(Inputs!$J$9-Inputs!$I$9)))/Inputs!$K$9)^2))*((2*Inputs!$L$9*((Inputs!$I$9+(((A77)+1)/2)*(Inputs!$J$9-Inputs!$I$9)))/(Inputs!$K$9^2)*Inputs!$C$11)))/(SQRT(((Inputs!$I$9+(((A77)+1)/2)*(Inputs!$J$9-Inputs!$I$9)))^2+Inputs!$C$6^2+((Inputs!$H$9+Inputs!$L$9*(((Inputs!$I$9+(((A77)+1)/2)*(Inputs!$J$9-Inputs!$I$9)))/Inputs!$K$9)^2))^2)))))/Inputs!$C$13)</x:f>
        <x:v>2097.2736181760724</x:v>
      </x:c>
    </x:row>
    <x:row r="78">
      <x:c r="A78" s="48" t="n">
        <x:f>ROUND(-1+76*2/240,3)</x:f>
        <x:v>-0.367</x:v>
      </x:c>
      <x:c r="B78" s="48" t="n">
        <x:f>IF(OR(Inputs!$F$6=TRUE,Inputs!$F$6="TRUE",Inputs!$F$6=1),(Inputs!$H$6+Inputs!$L$6*(((Inputs!$I$6+(((A78)+1)/2)*(Inputs!$J$6-Inputs!$I$6)))/Inputs!$K$6)^2),NA())</x:f>
        <x:v>400.538756</x:v>
      </x:c>
      <x:c r="C78" s="48" t="n">
        <x:f>IF(OR(Inputs!$F$7=TRUE,Inputs!$F$7="TRUE",Inputs!$F$7=1),(Inputs!$H$7+Inputs!$L$7*(((Inputs!$I$7+(((A78)+1)/2)*(Inputs!$J$7-Inputs!$I$7)))/Inputs!$K$7)^2),NA())</x:f>
        <x:v>84.16148500000001</x:v>
      </x:c>
      <x:c r="D78" s="48" t="n">
        <x:f>IF(OR(Inputs!$F$8=TRUE,Inputs!$F$8="TRUE",Inputs!$F$8=1),(Inputs!$H$8+Inputs!$L$8*(((Inputs!$I$8+(((A78)+1)/2)*(Inputs!$J$8-Inputs!$I$8)))/Inputs!$K$8)^2),NA())</x:f>
        <x:v>164.97488500000003</x:v>
      </x:c>
      <x:c r="E78" s="48" t="n">
        <x:f>IF(OR(Inputs!$F$9=TRUE,Inputs!$F$9="TRUE",Inputs!$F$9=1),(Inputs!$H$9+Inputs!$L$9*(((Inputs!$I$9+(((A78)+1)/2)*(Inputs!$J$9-Inputs!$I$9)))/Inputs!$K$9)^2),NA())</x:f>
        <x:v>156.32177500000003</x:v>
      </x:c>
      <x:c r="F78" s="49"/>
      <x:c r="G78" s="48" t="n">
        <x:f>A78</x:f>
        <x:v>-0.367</x:v>
      </x:c>
      <x:c r="H78" s="48" t="n">
        <x:f>IF(OR(Inputs!$F$6=TRUE,Inputs!$F$6="TRUE",Inputs!$F$6=1),(((SQRT(((Inputs!$I$6+(((A78)+1)/2)*(Inputs!$J$6-Inputs!$I$6)))^2+Inputs!$C$6^2+((Inputs!$H$6+Inputs!$L$6*(((Inputs!$I$6+(((A78)+1)/2)*(Inputs!$J$6-Inputs!$I$6)))/Inputs!$K$6)^2))^2))-((Inputs!$H$6+Inputs!$L$6*(((Inputs!$I$6+(((A78)+1)/2)*(Inputs!$J$6-Inputs!$I$6)))/Inputs!$K$6)^2)))*1000/Inputs!$C$12),NA())</x:f>
        <x:v>777.0204643805484</x:v>
      </x:c>
      <x:c r="I78" s="48" t="n">
        <x:f>IF(OR(Inputs!$F$7=TRUE,Inputs!$F$7="TRUE",Inputs!$F$7=1),(((SQRT(((Inputs!$I$7+(((A78)+1)/2)*(Inputs!$J$7-Inputs!$I$7)))^2+Inputs!$C$6^2+((Inputs!$H$7+Inputs!$L$7*(((Inputs!$I$7+(((A78)+1)/2)*(Inputs!$J$7-Inputs!$I$7)))/Inputs!$K$7)^2))^2))-((Inputs!$H$7+Inputs!$L$7*(((Inputs!$I$7+(((A78)+1)/2)*(Inputs!$J$7-Inputs!$I$7)))/Inputs!$K$7)^2)))*1000/Inputs!$C$12),NA())</x:f>
        <x:v>48814.25373054628</x:v>
      </x:c>
      <x:c r="J78" s="48" t="n">
        <x:f>IF(OR(Inputs!$F$8=TRUE,Inputs!$F$8="TRUE",Inputs!$F$8=1),(((SQRT(((Inputs!$I$8+(((A78)+1)/2)*(Inputs!$J$8-Inputs!$I$8)))^2+Inputs!$C$6^2+((Inputs!$H$8+Inputs!$L$8*(((Inputs!$I$8+(((A78)+1)/2)*(Inputs!$J$8-Inputs!$I$8)))/Inputs!$K$8)^2))^2))-((Inputs!$H$8+Inputs!$L$8*(((Inputs!$I$8+(((A78)+1)/2)*(Inputs!$J$8-Inputs!$I$8)))/Inputs!$K$8)^2)))*1000/Inputs!$C$12),NA())</x:f>
        <x:v>97037.7315711141</x:v>
      </x:c>
      <x:c r="K78" s="48" t="n">
        <x:f>IF(OR(Inputs!$F$9=TRUE,Inputs!$F$9="TRUE",Inputs!$F$9=1),(((SQRT(((Inputs!$I$9+(((A78)+1)/2)*(Inputs!$J$9-Inputs!$I$9)))^2+Inputs!$C$6^2+((Inputs!$H$9+Inputs!$L$9*(((Inputs!$I$9+(((A78)+1)/2)*(Inputs!$J$9-Inputs!$I$9)))/Inputs!$K$9)^2))^2))-((Inputs!$H$9+Inputs!$L$9*(((Inputs!$I$9+(((A78)+1)/2)*(Inputs!$J$9-Inputs!$I$9)))/Inputs!$K$9)^2)))*1000/Inputs!$C$12),NA())</x:f>
        <x:v>99572.19124793576</x:v>
      </x:c>
      <x:c r="L78" s="49"/>
      <x:c r="M78" s="48" t="n">
        <x:f>A78</x:f>
        <x:v>-0.367</x:v>
      </x:c>
      <x:c r="N78" s="48" t="n">
        <x:f>IF(OR(Inputs!$F$6=TRUE,Inputs!$F$6="TRUE",Inputs!$F$6=1),(-2*((1000*((((Inputs!$I$6+(((A78)+1)/2)*(Inputs!$J$6-Inputs!$I$6)))*Inputs!$C$11+((Inputs!$H$6+Inputs!$L$6*(((Inputs!$I$6+(((A78)+1)/2)*(Inputs!$J$6-Inputs!$I$6)))/Inputs!$K$6)^2))*((2*Inputs!$L$6*((Inputs!$I$6+(((A78)+1)/2)*(Inputs!$J$6-Inputs!$I$6)))/(Inputs!$K$6^2)*Inputs!$C$11)))/(SQRT(((Inputs!$I$6+(((A78)+1)/2)*(Inputs!$J$6-Inputs!$I$6)))^2+Inputs!$C$6^2+((Inputs!$H$6+Inputs!$L$6*(((Inputs!$I$6+(((A78)+1)/2)*(Inputs!$J$6-Inputs!$I$6)))/Inputs!$K$6)^2))^2)))))/Inputs!$C$13),NA())</x:f>
        <x:v>165.68274139458043</x:v>
      </x:c>
      <x:c r="O78" s="48" t="n">
        <x:f>IF(OR(Inputs!$F$7=TRUE,Inputs!$F$7="TRUE",Inputs!$F$7=1),(-2*((1000*((((Inputs!$I$7+(((A78)+1)/2)*(Inputs!$J$7-Inputs!$I$7)))*Inputs!$C$11+((Inputs!$H$7+Inputs!$L$7*(((Inputs!$I$7+(((A78)+1)/2)*(Inputs!$J$7-Inputs!$I$7)))/Inputs!$K$7)^2))*((2*Inputs!$L$7*((Inputs!$I$7+(((A78)+1)/2)*(Inputs!$J$7-Inputs!$I$7)))/(Inputs!$K$7^2)*Inputs!$C$11)))/(SQRT(((Inputs!$I$7+(((A78)+1)/2)*(Inputs!$J$7-Inputs!$I$7)))^2+Inputs!$C$6^2+((Inputs!$H$7+Inputs!$L$7*(((Inputs!$I$7+(((A78)+1)/2)*(Inputs!$J$7-Inputs!$I$7)))/Inputs!$K$7)^2))^2)))))/Inputs!$C$13),NA())</x:f>
        <x:v>1900.4337082558347</x:v>
      </x:c>
      <x:c r="P78" s="48" t="n">
        <x:f>IF(OR(Inputs!$F$8=TRUE,Inputs!$F$8="TRUE",Inputs!$F$8=1),(-2*((1000*((((Inputs!$I$8+(((A78)+1)/2)*(Inputs!$J$8-Inputs!$I$8)))*Inputs!$C$11+((Inputs!$H$8+Inputs!$L$8*(((Inputs!$I$8+(((A78)+1)/2)*(Inputs!$J$8-Inputs!$I$8)))/Inputs!$K$8)^2))*((2*Inputs!$L$8*((Inputs!$I$8+(((A78)+1)/2)*(Inputs!$J$8-Inputs!$I$8)))/(Inputs!$K$8^2)*Inputs!$C$11)))/(SQRT(((Inputs!$I$8+(((A78)+1)/2)*(Inputs!$J$8-Inputs!$I$8)))^2+Inputs!$C$6^2+((Inputs!$H$8+Inputs!$L$8*(((Inputs!$I$8+(((A78)+1)/2)*(Inputs!$J$8-Inputs!$I$8)))/Inputs!$K$8)^2))^2)))))/Inputs!$C$13),NA())</x:f>
        <x:v>2083.0987772460794</x:v>
      </x:c>
      <x:c r="Q78" s="48" t="n">
        <x:f>IF(OR(Inputs!$F$9=TRUE,Inputs!$F$9="TRUE",Inputs!$F$9=1),(-2*((1000*((((Inputs!$I$9+(((A78)+1)/2)*(Inputs!$J$9-Inputs!$I$9)))*Inputs!$C$11+((Inputs!$H$9+Inputs!$L$9*(((Inputs!$I$9+(((A78)+1)/2)*(Inputs!$J$9-Inputs!$I$9)))/Inputs!$K$9)^2))*((2*Inputs!$L$9*((Inputs!$I$9+(((A78)+1)/2)*(Inputs!$J$9-Inputs!$I$9)))/(Inputs!$K$9^2)*Inputs!$C$11)))/(SQRT(((Inputs!$I$9+(((A78)+1)/2)*(Inputs!$J$9-Inputs!$I$9)))^2+Inputs!$C$6^2+((Inputs!$H$9+Inputs!$L$9*(((Inputs!$I$9+(((A78)+1)/2)*(Inputs!$J$9-Inputs!$I$9)))/Inputs!$K$9)^2))^2)))))/Inputs!$C$13),NA())</x:f>
        <x:v>2079.094567485664</x:v>
      </x:c>
      <x:c r="R78" s="49"/>
      <x:c r="S78" s="48" t="n">
        <x:f>A78</x:f>
        <x:v>-0.367</x:v>
      </x:c>
      <x:c r="T78" s="48" t="n">
        <x:f>(Inputs!$I$6+(((A78)+1)/2)*(Inputs!$J$6-Inputs!$I$6))</x:f>
        <x:v>-22.019999999999996</x:v>
      </x:c>
      <x:c r="U78" s="48" t="n">
        <x:f>(Inputs!$I$7+(((A78)+1)/2)*(Inputs!$J$7-Inputs!$I$7))</x:f>
        <x:v>-146.8</x:v>
      </x:c>
      <x:c r="V78" s="48" t="n">
        <x:f>(Inputs!$I$8+(((A78)+1)/2)*(Inputs!$J$8-Inputs!$I$8))</x:f>
        <x:v>-293.6</x:v>
      </x:c>
      <x:c r="W78" s="48" t="n">
        <x:f>(Inputs!$I$9+(((A78)+1)/2)*(Inputs!$J$9-Inputs!$I$9))</x:f>
        <x:v>-293.6</x:v>
      </x:c>
      <x:c r="X78" s="49"/>
      <x:c r="Y78" s="48" t="n">
        <x:f>A78</x:f>
        <x:v>-0.367</x:v>
      </x:c>
      <x:c r="Z78" s="48" t="n">
        <x:f>(Inputs!$H$6+Inputs!$L$6*(((Inputs!$I$6+(((A78)+1)/2)*(Inputs!$J$6-Inputs!$I$6)))/Inputs!$K$6)^2)</x:f>
        <x:v>400.538756</x:v>
      </x:c>
      <x:c r="AA78" s="48" t="n">
        <x:f>(Inputs!$H$7+Inputs!$L$7*(((Inputs!$I$7+(((A78)+1)/2)*(Inputs!$J$7-Inputs!$I$7)))/Inputs!$K$7)^2)</x:f>
        <x:v>84.16148500000001</x:v>
      </x:c>
      <x:c r="AB78" s="48" t="n">
        <x:f>(Inputs!$H$8+Inputs!$L$8*(((Inputs!$I$8+(((A78)+1)/2)*(Inputs!$J$8-Inputs!$I$8)))/Inputs!$K$8)^2)</x:f>
        <x:v>164.97488500000003</x:v>
      </x:c>
      <x:c r="AC78" s="48" t="n">
        <x:f>(Inputs!$H$9+Inputs!$L$9*(((Inputs!$I$9+(((A78)+1)/2)*(Inputs!$J$9-Inputs!$I$9)))/Inputs!$K$9)^2)</x:f>
        <x:v>156.32177500000003</x:v>
      </x:c>
      <x:c r="AD78" s="49"/>
      <x:c r="AE78" s="48" t="n">
        <x:f>A78</x:f>
        <x:v>-0.367</x:v>
      </x:c>
      <x:c r="AF78" s="48" t="n">
        <x:f>(((SQRT(((Inputs!$I$6+(((A78)+1)/2)*(Inputs!$J$6-Inputs!$I$6)))^2+Inputs!$C$6^2+((Inputs!$H$6+Inputs!$L$6*(((Inputs!$I$6+(((A78)+1)/2)*(Inputs!$J$6-Inputs!$I$6)))/Inputs!$K$6)^2))^2))-((Inputs!$H$6+Inputs!$L$6*(((Inputs!$I$6+(((A78)+1)/2)*(Inputs!$J$6-Inputs!$I$6)))/Inputs!$K$6)^2)))*1000/Inputs!$C$12)</x:f>
        <x:v>777.0204643805484</x:v>
      </x:c>
      <x:c r="AG78" s="48" t="n">
        <x:f>(((SQRT(((Inputs!$I$7+(((A78)+1)/2)*(Inputs!$J$7-Inputs!$I$7)))^2+Inputs!$C$6^2+((Inputs!$H$7+Inputs!$L$7*(((Inputs!$I$7+(((A78)+1)/2)*(Inputs!$J$7-Inputs!$I$7)))/Inputs!$K$7)^2))^2))-((Inputs!$H$7+Inputs!$L$7*(((Inputs!$I$7+(((A78)+1)/2)*(Inputs!$J$7-Inputs!$I$7)))/Inputs!$K$7)^2)))*1000/Inputs!$C$12)</x:f>
        <x:v>48814.25373054628</x:v>
      </x:c>
      <x:c r="AH78" s="48" t="n">
        <x:f>(((SQRT(((Inputs!$I$8+(((A78)+1)/2)*(Inputs!$J$8-Inputs!$I$8)))^2+Inputs!$C$6^2+((Inputs!$H$8+Inputs!$L$8*(((Inputs!$I$8+(((A78)+1)/2)*(Inputs!$J$8-Inputs!$I$8)))/Inputs!$K$8)^2))^2))-((Inputs!$H$8+Inputs!$L$8*(((Inputs!$I$8+(((A78)+1)/2)*(Inputs!$J$8-Inputs!$I$8)))/Inputs!$K$8)^2)))*1000/Inputs!$C$12)</x:f>
        <x:v>97037.7315711141</x:v>
      </x:c>
      <x:c r="AI78" s="48" t="n">
        <x:f>(((SQRT(((Inputs!$I$9+(((A78)+1)/2)*(Inputs!$J$9-Inputs!$I$9)))^2+Inputs!$C$6^2+((Inputs!$H$9+Inputs!$L$9*(((Inputs!$I$9+(((A78)+1)/2)*(Inputs!$J$9-Inputs!$I$9)))/Inputs!$K$9)^2))^2))-((Inputs!$H$9+Inputs!$L$9*(((Inputs!$I$9+(((A78)+1)/2)*(Inputs!$J$9-Inputs!$I$9)))/Inputs!$K$9)^2)))*1000/Inputs!$C$12)</x:f>
        <x:v>99572.19124793576</x:v>
      </x:c>
      <x:c r="AJ78" s="49"/>
      <x:c r="AK78" s="48" t="n">
        <x:f>A78</x:f>
        <x:v>-0.367</x:v>
      </x:c>
      <x:c r="AL78" s="48" t="n">
        <x:f>(-2*((1000*((((Inputs!$I$6+(((A78)+1)/2)*(Inputs!$J$6-Inputs!$I$6)))*Inputs!$C$11+((Inputs!$H$6+Inputs!$L$6*(((Inputs!$I$6+(((A78)+1)/2)*(Inputs!$J$6-Inputs!$I$6)))/Inputs!$K$6)^2))*((2*Inputs!$L$6*((Inputs!$I$6+(((A78)+1)/2)*(Inputs!$J$6-Inputs!$I$6)))/(Inputs!$K$6^2)*Inputs!$C$11)))/(SQRT(((Inputs!$I$6+(((A78)+1)/2)*(Inputs!$J$6-Inputs!$I$6)))^2+Inputs!$C$6^2+((Inputs!$H$6+Inputs!$L$6*(((Inputs!$I$6+(((A78)+1)/2)*(Inputs!$J$6-Inputs!$I$6)))/Inputs!$K$6)^2))^2)))))/Inputs!$C$13)</x:f>
        <x:v>165.68274139458043</x:v>
      </x:c>
      <x:c r="AM78" s="48" t="n">
        <x:f>(-2*((1000*((((Inputs!$I$7+(((A78)+1)/2)*(Inputs!$J$7-Inputs!$I$7)))*Inputs!$C$11+((Inputs!$H$7+Inputs!$L$7*(((Inputs!$I$7+(((A78)+1)/2)*(Inputs!$J$7-Inputs!$I$7)))/Inputs!$K$7)^2))*((2*Inputs!$L$7*((Inputs!$I$7+(((A78)+1)/2)*(Inputs!$J$7-Inputs!$I$7)))/(Inputs!$K$7^2)*Inputs!$C$11)))/(SQRT(((Inputs!$I$7+(((A78)+1)/2)*(Inputs!$J$7-Inputs!$I$7)))^2+Inputs!$C$6^2+((Inputs!$H$7+Inputs!$L$7*(((Inputs!$I$7+(((A78)+1)/2)*(Inputs!$J$7-Inputs!$I$7)))/Inputs!$K$7)^2))^2)))))/Inputs!$C$13)</x:f>
        <x:v>1900.4337082558347</x:v>
      </x:c>
      <x:c r="AN78" s="48" t="n">
        <x:f>(-2*((1000*((((Inputs!$I$8+(((A78)+1)/2)*(Inputs!$J$8-Inputs!$I$8)))*Inputs!$C$11+((Inputs!$H$8+Inputs!$L$8*(((Inputs!$I$8+(((A78)+1)/2)*(Inputs!$J$8-Inputs!$I$8)))/Inputs!$K$8)^2))*((2*Inputs!$L$8*((Inputs!$I$8+(((A78)+1)/2)*(Inputs!$J$8-Inputs!$I$8)))/(Inputs!$K$8^2)*Inputs!$C$11)))/(SQRT(((Inputs!$I$8+(((A78)+1)/2)*(Inputs!$J$8-Inputs!$I$8)))^2+Inputs!$C$6^2+((Inputs!$H$8+Inputs!$L$8*(((Inputs!$I$8+(((A78)+1)/2)*(Inputs!$J$8-Inputs!$I$8)))/Inputs!$K$8)^2))^2)))))/Inputs!$C$13)</x:f>
        <x:v>2083.0987772460794</x:v>
      </x:c>
      <x:c r="AO78" s="48" t="n">
        <x:f>(-2*((1000*((((Inputs!$I$9+(((A78)+1)/2)*(Inputs!$J$9-Inputs!$I$9)))*Inputs!$C$11+((Inputs!$H$9+Inputs!$L$9*(((Inputs!$I$9+(((A78)+1)/2)*(Inputs!$J$9-Inputs!$I$9)))/Inputs!$K$9)^2))*((2*Inputs!$L$9*((Inputs!$I$9+(((A78)+1)/2)*(Inputs!$J$9-Inputs!$I$9)))/(Inputs!$K$9^2)*Inputs!$C$11)))/(SQRT(((Inputs!$I$9+(((A78)+1)/2)*(Inputs!$J$9-Inputs!$I$9)))^2+Inputs!$C$6^2+((Inputs!$H$9+Inputs!$L$9*(((Inputs!$I$9+(((A78)+1)/2)*(Inputs!$J$9-Inputs!$I$9)))/Inputs!$K$9)^2))^2)))))/Inputs!$C$13)</x:f>
        <x:v>2079.094567485664</x:v>
      </x:c>
    </x:row>
    <x:row r="79">
      <x:c r="A79" s="48" t="n">
        <x:f>ROUND(-1+77*2/240,3)</x:f>
        <x:v>-0.358</x:v>
      </x:c>
      <x:c r="B79" s="48" t="n">
        <x:f>IF(OR(Inputs!$F$6=TRUE,Inputs!$F$6="TRUE",Inputs!$F$6=1),(Inputs!$H$6+Inputs!$L$6*(((Inputs!$I$6+(((A79)+1)/2)*(Inputs!$J$6-Inputs!$I$6)))/Inputs!$K$6)^2),NA())</x:f>
        <x:v>400.512656</x:v>
      </x:c>
      <x:c r="C79" s="48" t="n">
        <x:f>IF(OR(Inputs!$F$7=TRUE,Inputs!$F$7="TRUE",Inputs!$F$7=1),(Inputs!$H$7+Inputs!$L$7*(((Inputs!$I$7+(((A79)+1)/2)*(Inputs!$J$7-Inputs!$I$7)))/Inputs!$K$7)^2),NA())</x:f>
        <x:v>81.77986</x:v>
      </x:c>
      <x:c r="D79" s="48" t="n">
        <x:f>IF(OR(Inputs!$F$8=TRUE,Inputs!$F$8="TRUE",Inputs!$F$8=1),(Inputs!$H$8+Inputs!$L$8*(((Inputs!$I$8+(((A79)+1)/2)*(Inputs!$J$8-Inputs!$I$8)))/Inputs!$K$8)^2),NA())</x:f>
        <x:v>158.67826</x:v>
      </x:c>
      <x:c r="E79" s="48" t="n">
        <x:f>IF(OR(Inputs!$F$9=TRUE,Inputs!$F$9="TRUE",Inputs!$F$9=1),(Inputs!$H$9+Inputs!$L$9*(((Inputs!$I$9+(((A79)+1)/2)*(Inputs!$J$9-Inputs!$I$9)))/Inputs!$K$9)^2),NA())</x:f>
        <x:v>149.9599</x:v>
      </x:c>
      <x:c r="F79" s="49"/>
      <x:c r="G79" s="48" t="n">
        <x:f>A79</x:f>
        <x:v>-0.358</x:v>
      </x:c>
      <x:c r="H79" s="48" t="n">
        <x:f>IF(OR(Inputs!$F$6=TRUE,Inputs!$F$6="TRUE",Inputs!$F$6=1),(((SQRT(((Inputs!$I$6+(((A79)+1)/2)*(Inputs!$J$6-Inputs!$I$6)))^2+Inputs!$C$6^2+((Inputs!$H$6+Inputs!$L$6*(((Inputs!$I$6+(((A79)+1)/2)*(Inputs!$J$6-Inputs!$I$6)))/Inputs!$K$6)^2))^2))-((Inputs!$H$6+Inputs!$L$6*(((Inputs!$I$6+(((A79)+1)/2)*(Inputs!$J$6-Inputs!$I$6)))/Inputs!$K$6)^2)))*1000/Inputs!$C$12),NA())</x:f>
        <x:v>760.6523570363026</x:v>
      </x:c>
      <x:c r="I79" s="48" t="n">
        <x:f>IF(OR(Inputs!$F$7=TRUE,Inputs!$F$7="TRUE",Inputs!$F$7=1),(((SQRT(((Inputs!$I$7+(((A79)+1)/2)*(Inputs!$J$7-Inputs!$I$7)))^2+Inputs!$C$6^2+((Inputs!$H$7+Inputs!$L$7*(((Inputs!$I$7+(((A79)+1)/2)*(Inputs!$J$7-Inputs!$I$7)))/Inputs!$K$7)^2))^2))-((Inputs!$H$7+Inputs!$L$7*(((Inputs!$I$7+(((A79)+1)/2)*(Inputs!$J$7-Inputs!$I$7)))/Inputs!$K$7)^2)))*1000/Inputs!$C$12),NA())</x:f>
        <x:v>47758.97953846958</x:v>
      </x:c>
      <x:c r="J79" s="48" t="n">
        <x:f>IF(OR(Inputs!$F$8=TRUE,Inputs!$F$8="TRUE",Inputs!$F$8=1),(((SQRT(((Inputs!$I$8+(((A79)+1)/2)*(Inputs!$J$8-Inputs!$I$8)))^2+Inputs!$C$6^2+((Inputs!$H$8+Inputs!$L$8*(((Inputs!$I$8+(((A79)+1)/2)*(Inputs!$J$8-Inputs!$I$8)))/Inputs!$K$8)^2))^2))-((Inputs!$H$8+Inputs!$L$8*(((Inputs!$I$8+(((A79)+1)/2)*(Inputs!$J$8-Inputs!$I$8)))/Inputs!$K$8)^2)))*1000/Inputs!$C$12),NA())</x:f>
        <x:v>95334.05778552481</x:v>
      </x:c>
      <x:c r="K79" s="48" t="n">
        <x:f>IF(OR(Inputs!$F$9=TRUE,Inputs!$F$9="TRUE",Inputs!$F$9=1),(((SQRT(((Inputs!$I$9+(((A79)+1)/2)*(Inputs!$J$9-Inputs!$I$9)))^2+Inputs!$C$6^2+((Inputs!$H$9+Inputs!$L$9*(((Inputs!$I$9+(((A79)+1)/2)*(Inputs!$J$9-Inputs!$I$9)))/Inputs!$K$9)^2))^2))-((Inputs!$H$9+Inputs!$L$9*(((Inputs!$I$9+(((A79)+1)/2)*(Inputs!$J$9-Inputs!$I$9)))/Inputs!$K$9)^2)))*1000/Inputs!$C$12),NA())</x:f>
        <x:v>97915.67312464309</x:v>
      </x:c>
      <x:c r="L79" s="49"/>
      <x:c r="M79" s="48" t="n">
        <x:f>A79</x:f>
        <x:v>-0.358</x:v>
      </x:c>
      <x:c r="N79" s="48" t="n">
        <x:f>IF(OR(Inputs!$F$6=TRUE,Inputs!$F$6="TRUE",Inputs!$F$6=1),(-2*((1000*((((Inputs!$I$6+(((A79)+1)/2)*(Inputs!$J$6-Inputs!$I$6)))*Inputs!$C$11+((Inputs!$H$6+Inputs!$L$6*(((Inputs!$I$6+(((A79)+1)/2)*(Inputs!$J$6-Inputs!$I$6)))/Inputs!$K$6)^2))*((2*Inputs!$L$6*((Inputs!$I$6+(((A79)+1)/2)*(Inputs!$J$6-Inputs!$I$6)))/(Inputs!$K$6^2)*Inputs!$C$11)))/(SQRT(((Inputs!$I$6+(((A79)+1)/2)*(Inputs!$J$6-Inputs!$I$6)))^2+Inputs!$C$6^2+((Inputs!$H$6+Inputs!$L$6*(((Inputs!$I$6+(((A79)+1)/2)*(Inputs!$J$6-Inputs!$I$6)))/Inputs!$K$6)^2))^2)))))/Inputs!$C$13),NA())</x:f>
        <x:v>161.6369307662663</x:v>
      </x:c>
      <x:c r="O79" s="48" t="n">
        <x:f>IF(OR(Inputs!$F$7=TRUE,Inputs!$F$7="TRUE",Inputs!$F$7=1),(-2*((1000*((((Inputs!$I$7+(((A79)+1)/2)*(Inputs!$J$7-Inputs!$I$7)))*Inputs!$C$11+((Inputs!$H$7+Inputs!$L$7*(((Inputs!$I$7+(((A79)+1)/2)*(Inputs!$J$7-Inputs!$I$7)))/Inputs!$K$7)^2))*((2*Inputs!$L$7*((Inputs!$I$7+(((A79)+1)/2)*(Inputs!$J$7-Inputs!$I$7)))/(Inputs!$K$7^2)*Inputs!$C$11)))/(SQRT(((Inputs!$I$7+(((A79)+1)/2)*(Inputs!$J$7-Inputs!$I$7)))^2+Inputs!$C$6^2+((Inputs!$H$7+Inputs!$L$7*(((Inputs!$I$7+(((A79)+1)/2)*(Inputs!$J$7-Inputs!$I$7)))/Inputs!$K$7)^2))^2)))))/Inputs!$C$13),NA())</x:f>
        <x:v>1886.2509937577888</x:v>
      </x:c>
      <x:c r="P79" s="48" t="n">
        <x:f>IF(OR(Inputs!$F$8=TRUE,Inputs!$F$8="TRUE",Inputs!$F$8=1),(-2*((1000*((((Inputs!$I$8+(((A79)+1)/2)*(Inputs!$J$8-Inputs!$I$8)))*Inputs!$C$11+((Inputs!$H$8+Inputs!$L$8*(((Inputs!$I$8+(((A79)+1)/2)*(Inputs!$J$8-Inputs!$I$8)))/Inputs!$K$8)^2))*((2*Inputs!$L$8*((Inputs!$I$8+(((A79)+1)/2)*(Inputs!$J$8-Inputs!$I$8)))/(Inputs!$K$8^2)*Inputs!$C$11)))/(SQRT(((Inputs!$I$8+(((A79)+1)/2)*(Inputs!$J$8-Inputs!$I$8)))^2+Inputs!$C$6^2+((Inputs!$H$8+Inputs!$L$8*(((Inputs!$I$8+(((A79)+1)/2)*(Inputs!$J$8-Inputs!$I$8)))/Inputs!$K$8)^2))^2)))))/Inputs!$C$13),NA())</x:f>
        <x:v>2063.246843136246</x:v>
      </x:c>
      <x:c r="Q79" s="48" t="n">
        <x:f>IF(OR(Inputs!$F$9=TRUE,Inputs!$F$9="TRUE",Inputs!$F$9=1),(-2*((1000*((((Inputs!$I$9+(((A79)+1)/2)*(Inputs!$J$9-Inputs!$I$9)))*Inputs!$C$11+((Inputs!$H$9+Inputs!$L$9*(((Inputs!$I$9+(((A79)+1)/2)*(Inputs!$J$9-Inputs!$I$9)))/Inputs!$K$9)^2))*((2*Inputs!$L$9*((Inputs!$I$9+(((A79)+1)/2)*(Inputs!$J$9-Inputs!$I$9)))/(Inputs!$K$9^2)*Inputs!$C$11)))/(SQRT(((Inputs!$I$9+(((A79)+1)/2)*(Inputs!$J$9-Inputs!$I$9)))^2+Inputs!$C$6^2+((Inputs!$H$9+Inputs!$L$9*(((Inputs!$I$9+(((A79)+1)/2)*(Inputs!$J$9-Inputs!$I$9)))/Inputs!$K$9)^2))^2)))))/Inputs!$C$13),NA())</x:f>
        <x:v>2058.9496621574726</x:v>
      </x:c>
      <x:c r="R79" s="49"/>
      <x:c r="S79" s="48" t="n">
        <x:f>A79</x:f>
        <x:v>-0.358</x:v>
      </x:c>
      <x:c r="T79" s="48" t="n">
        <x:f>(Inputs!$I$6+(((A79)+1)/2)*(Inputs!$J$6-Inputs!$I$6))</x:f>
        <x:v>-21.479999999999997</x:v>
      </x:c>
      <x:c r="U79" s="48" t="n">
        <x:f>(Inputs!$I$7+(((A79)+1)/2)*(Inputs!$J$7-Inputs!$I$7))</x:f>
        <x:v>-143.2</x:v>
      </x:c>
      <x:c r="V79" s="48" t="n">
        <x:f>(Inputs!$I$8+(((A79)+1)/2)*(Inputs!$J$8-Inputs!$I$8))</x:f>
        <x:v>-286.4</x:v>
      </x:c>
      <x:c r="W79" s="48" t="n">
        <x:f>(Inputs!$I$9+(((A79)+1)/2)*(Inputs!$J$9-Inputs!$I$9))</x:f>
        <x:v>-286.4</x:v>
      </x:c>
      <x:c r="X79" s="49"/>
      <x:c r="Y79" s="48" t="n">
        <x:f>A79</x:f>
        <x:v>-0.358</x:v>
      </x:c>
      <x:c r="Z79" s="48" t="n">
        <x:f>(Inputs!$H$6+Inputs!$L$6*(((Inputs!$I$6+(((A79)+1)/2)*(Inputs!$J$6-Inputs!$I$6)))/Inputs!$K$6)^2)</x:f>
        <x:v>400.512656</x:v>
      </x:c>
      <x:c r="AA79" s="48" t="n">
        <x:f>(Inputs!$H$7+Inputs!$L$7*(((Inputs!$I$7+(((A79)+1)/2)*(Inputs!$J$7-Inputs!$I$7)))/Inputs!$K$7)^2)</x:f>
        <x:v>81.77986</x:v>
      </x:c>
      <x:c r="AB79" s="48" t="n">
        <x:f>(Inputs!$H$8+Inputs!$L$8*(((Inputs!$I$8+(((A79)+1)/2)*(Inputs!$J$8-Inputs!$I$8)))/Inputs!$K$8)^2)</x:f>
        <x:v>158.67826</x:v>
      </x:c>
      <x:c r="AC79" s="48" t="n">
        <x:f>(Inputs!$H$9+Inputs!$L$9*(((Inputs!$I$9+(((A79)+1)/2)*(Inputs!$J$9-Inputs!$I$9)))/Inputs!$K$9)^2)</x:f>
        <x:v>149.9599</x:v>
      </x:c>
      <x:c r="AD79" s="49"/>
      <x:c r="AE79" s="48" t="n">
        <x:f>A79</x:f>
        <x:v>-0.358</x:v>
      </x:c>
      <x:c r="AF79" s="48" t="n">
        <x:f>(((SQRT(((Inputs!$I$6+(((A79)+1)/2)*(Inputs!$J$6-Inputs!$I$6)))^2+Inputs!$C$6^2+((Inputs!$H$6+Inputs!$L$6*(((Inputs!$I$6+(((A79)+1)/2)*(Inputs!$J$6-Inputs!$I$6)))/Inputs!$K$6)^2))^2))-((Inputs!$H$6+Inputs!$L$6*(((Inputs!$I$6+(((A79)+1)/2)*(Inputs!$J$6-Inputs!$I$6)))/Inputs!$K$6)^2)))*1000/Inputs!$C$12)</x:f>
        <x:v>760.6523570363026</x:v>
      </x:c>
      <x:c r="AG79" s="48" t="n">
        <x:f>(((SQRT(((Inputs!$I$7+(((A79)+1)/2)*(Inputs!$J$7-Inputs!$I$7)))^2+Inputs!$C$6^2+((Inputs!$H$7+Inputs!$L$7*(((Inputs!$I$7+(((A79)+1)/2)*(Inputs!$J$7-Inputs!$I$7)))/Inputs!$K$7)^2))^2))-((Inputs!$H$7+Inputs!$L$7*(((Inputs!$I$7+(((A79)+1)/2)*(Inputs!$J$7-Inputs!$I$7)))/Inputs!$K$7)^2)))*1000/Inputs!$C$12)</x:f>
        <x:v>47758.97953846958</x:v>
      </x:c>
      <x:c r="AH79" s="48" t="n">
        <x:f>(((SQRT(((Inputs!$I$8+(((A79)+1)/2)*(Inputs!$J$8-Inputs!$I$8)))^2+Inputs!$C$6^2+((Inputs!$H$8+Inputs!$L$8*(((Inputs!$I$8+(((A79)+1)/2)*(Inputs!$J$8-Inputs!$I$8)))/Inputs!$K$8)^2))^2))-((Inputs!$H$8+Inputs!$L$8*(((Inputs!$I$8+(((A79)+1)/2)*(Inputs!$J$8-Inputs!$I$8)))/Inputs!$K$8)^2)))*1000/Inputs!$C$12)</x:f>
        <x:v>95334.05778552481</x:v>
      </x:c>
      <x:c r="AI79" s="48" t="n">
        <x:f>(((SQRT(((Inputs!$I$9+(((A79)+1)/2)*(Inputs!$J$9-Inputs!$I$9)))^2+Inputs!$C$6^2+((Inputs!$H$9+Inputs!$L$9*(((Inputs!$I$9+(((A79)+1)/2)*(Inputs!$J$9-Inputs!$I$9)))/Inputs!$K$9)^2))^2))-((Inputs!$H$9+Inputs!$L$9*(((Inputs!$I$9+(((A79)+1)/2)*(Inputs!$J$9-Inputs!$I$9)))/Inputs!$K$9)^2)))*1000/Inputs!$C$12)</x:f>
        <x:v>97915.67312464309</x:v>
      </x:c>
      <x:c r="AJ79" s="49"/>
      <x:c r="AK79" s="48" t="n">
        <x:f>A79</x:f>
        <x:v>-0.358</x:v>
      </x:c>
      <x:c r="AL79" s="48" t="n">
        <x:f>(-2*((1000*((((Inputs!$I$6+(((A79)+1)/2)*(Inputs!$J$6-Inputs!$I$6)))*Inputs!$C$11+((Inputs!$H$6+Inputs!$L$6*(((Inputs!$I$6+(((A79)+1)/2)*(Inputs!$J$6-Inputs!$I$6)))/Inputs!$K$6)^2))*((2*Inputs!$L$6*((Inputs!$I$6+(((A79)+1)/2)*(Inputs!$J$6-Inputs!$I$6)))/(Inputs!$K$6^2)*Inputs!$C$11)))/(SQRT(((Inputs!$I$6+(((A79)+1)/2)*(Inputs!$J$6-Inputs!$I$6)))^2+Inputs!$C$6^2+((Inputs!$H$6+Inputs!$L$6*(((Inputs!$I$6+(((A79)+1)/2)*(Inputs!$J$6-Inputs!$I$6)))/Inputs!$K$6)^2))^2)))))/Inputs!$C$13)</x:f>
        <x:v>161.6369307662663</x:v>
      </x:c>
      <x:c r="AM79" s="48" t="n">
        <x:f>(-2*((1000*((((Inputs!$I$7+(((A79)+1)/2)*(Inputs!$J$7-Inputs!$I$7)))*Inputs!$C$11+((Inputs!$H$7+Inputs!$L$7*(((Inputs!$I$7+(((A79)+1)/2)*(Inputs!$J$7-Inputs!$I$7)))/Inputs!$K$7)^2))*((2*Inputs!$L$7*((Inputs!$I$7+(((A79)+1)/2)*(Inputs!$J$7-Inputs!$I$7)))/(Inputs!$K$7^2)*Inputs!$C$11)))/(SQRT(((Inputs!$I$7+(((A79)+1)/2)*(Inputs!$J$7-Inputs!$I$7)))^2+Inputs!$C$6^2+((Inputs!$H$7+Inputs!$L$7*(((Inputs!$I$7+(((A79)+1)/2)*(Inputs!$J$7-Inputs!$I$7)))/Inputs!$K$7)^2))^2)))))/Inputs!$C$13)</x:f>
        <x:v>1886.2509937577888</x:v>
      </x:c>
      <x:c r="AN79" s="48" t="n">
        <x:f>(-2*((1000*((((Inputs!$I$8+(((A79)+1)/2)*(Inputs!$J$8-Inputs!$I$8)))*Inputs!$C$11+((Inputs!$H$8+Inputs!$L$8*(((Inputs!$I$8+(((A79)+1)/2)*(Inputs!$J$8-Inputs!$I$8)))/Inputs!$K$8)^2))*((2*Inputs!$L$8*((Inputs!$I$8+(((A79)+1)/2)*(Inputs!$J$8-Inputs!$I$8)))/(Inputs!$K$8^2)*Inputs!$C$11)))/(SQRT(((Inputs!$I$8+(((A79)+1)/2)*(Inputs!$J$8-Inputs!$I$8)))^2+Inputs!$C$6^2+((Inputs!$H$8+Inputs!$L$8*(((Inputs!$I$8+(((A79)+1)/2)*(Inputs!$J$8-Inputs!$I$8)))/Inputs!$K$8)^2))^2)))))/Inputs!$C$13)</x:f>
        <x:v>2063.246843136246</x:v>
      </x:c>
      <x:c r="AO79" s="48" t="n">
        <x:f>(-2*((1000*((((Inputs!$I$9+(((A79)+1)/2)*(Inputs!$J$9-Inputs!$I$9)))*Inputs!$C$11+((Inputs!$H$9+Inputs!$L$9*(((Inputs!$I$9+(((A79)+1)/2)*(Inputs!$J$9-Inputs!$I$9)))/Inputs!$K$9)^2))*((2*Inputs!$L$9*((Inputs!$I$9+(((A79)+1)/2)*(Inputs!$J$9-Inputs!$I$9)))/(Inputs!$K$9^2)*Inputs!$C$11)))/(SQRT(((Inputs!$I$9+(((A79)+1)/2)*(Inputs!$J$9-Inputs!$I$9)))^2+Inputs!$C$6^2+((Inputs!$H$9+Inputs!$L$9*(((Inputs!$I$9+(((A79)+1)/2)*(Inputs!$J$9-Inputs!$I$9)))/Inputs!$K$9)^2))^2)))))/Inputs!$C$13)</x:f>
        <x:v>2058.9496621574726</x:v>
      </x:c>
    </x:row>
    <x:row r="80">
      <x:c r="A80" s="48" t="n">
        <x:f>ROUND(-1+78*2/240,3)</x:f>
        <x:v>-0.35</x:v>
      </x:c>
      <x:c r="B80" s="48" t="n">
        <x:f>IF(OR(Inputs!$F$6=TRUE,Inputs!$F$6="TRUE",Inputs!$F$6=1),(Inputs!$H$6+Inputs!$L$6*(((Inputs!$I$6+(((A80)+1)/2)*(Inputs!$J$6-Inputs!$I$6)))/Inputs!$K$6)^2),NA())</x:f>
        <x:v>400.49</x:v>
      </x:c>
      <x:c r="C80" s="48" t="n">
        <x:f>IF(OR(Inputs!$F$7=TRUE,Inputs!$F$7="TRUE",Inputs!$F$7=1),(Inputs!$H$7+Inputs!$L$7*(((Inputs!$I$7+(((A80)+1)/2)*(Inputs!$J$7-Inputs!$I$7)))/Inputs!$K$7)^2),NA())</x:f>
        <x:v>79.71249999999999</x:v>
      </x:c>
      <x:c r="D80" s="48" t="n">
        <x:f>IF(OR(Inputs!$F$8=TRUE,Inputs!$F$8="TRUE",Inputs!$F$8=1),(Inputs!$H$8+Inputs!$L$8*(((Inputs!$I$8+(((A80)+1)/2)*(Inputs!$J$8-Inputs!$I$8)))/Inputs!$K$8)^2),NA())</x:f>
        <x:v>153.21249999999998</x:v>
      </x:c>
      <x:c r="E80" s="48" t="n">
        <x:f>IF(OR(Inputs!$F$9=TRUE,Inputs!$F$9="TRUE",Inputs!$F$9=1),(Inputs!$H$9+Inputs!$L$9*(((Inputs!$I$9+(((A80)+1)/2)*(Inputs!$J$9-Inputs!$I$9)))/Inputs!$K$9)^2),NA())</x:f>
        <x:v>144.4375</x:v>
      </x:c>
      <x:c r="F80" s="49"/>
      <x:c r="G80" s="48" t="n">
        <x:f>A80</x:f>
        <x:v>-0.35</x:v>
      </x:c>
      <x:c r="H80" s="48" t="n">
        <x:f>IF(OR(Inputs!$F$6=TRUE,Inputs!$F$6="TRUE",Inputs!$F$6=1),(((SQRT(((Inputs!$I$6+(((A80)+1)/2)*(Inputs!$J$6-Inputs!$I$6)))^2+Inputs!$C$6^2+((Inputs!$H$6+Inputs!$L$6*(((Inputs!$I$6+(((A80)+1)/2)*(Inputs!$J$6-Inputs!$I$6)))/Inputs!$K$6)^2))^2))-((Inputs!$H$6+Inputs!$L$6*(((Inputs!$I$6+(((A80)+1)/2)*(Inputs!$J$6-Inputs!$I$6)))/Inputs!$K$6)^2)))*1000/Inputs!$C$12),NA())</x:f>
        <x:v>746.441401049121</x:v>
      </x:c>
      <x:c r="I80" s="48" t="n">
        <x:f>IF(OR(Inputs!$F$7=TRUE,Inputs!$F$7="TRUE",Inputs!$F$7=1),(((SQRT(((Inputs!$I$7+(((A80)+1)/2)*(Inputs!$J$7-Inputs!$I$7)))^2+Inputs!$C$6^2+((Inputs!$H$7+Inputs!$L$7*(((Inputs!$I$7+(((A80)+1)/2)*(Inputs!$J$7-Inputs!$I$7)))/Inputs!$K$7)^2))^2))-((Inputs!$H$7+Inputs!$L$7*(((Inputs!$I$7+(((A80)+1)/2)*(Inputs!$J$7-Inputs!$I$7)))/Inputs!$K$7)^2)))*1000/Inputs!$C$12),NA())</x:f>
        <x:v>46808.10419084915</x:v>
      </x:c>
      <x:c r="J80" s="48" t="n">
        <x:f>IF(OR(Inputs!$F$8=TRUE,Inputs!$F$8="TRUE",Inputs!$F$8=1),(((SQRT(((Inputs!$I$8+(((A80)+1)/2)*(Inputs!$J$8-Inputs!$I$8)))^2+Inputs!$C$6^2+((Inputs!$H$8+Inputs!$L$8*(((Inputs!$I$8+(((A80)+1)/2)*(Inputs!$J$8-Inputs!$I$8)))/Inputs!$K$8)^2))^2))-((Inputs!$H$8+Inputs!$L$8*(((Inputs!$I$8+(((A80)+1)/2)*(Inputs!$J$8-Inputs!$I$8)))/Inputs!$K$8)^2)))*1000/Inputs!$C$12),NA())</x:f>
        <x:v>93787.78634628368</x:v>
      </x:c>
      <x:c r="K80" s="48" t="n">
        <x:f>IF(OR(Inputs!$F$9=TRUE,Inputs!$F$9="TRUE",Inputs!$F$9=1),(((SQRT(((Inputs!$I$9+(((A80)+1)/2)*(Inputs!$J$9-Inputs!$I$9)))^2+Inputs!$C$6^2+((Inputs!$H$9+Inputs!$L$9*(((Inputs!$I$9+(((A80)+1)/2)*(Inputs!$J$9-Inputs!$I$9)))/Inputs!$K$9)^2))^2))-((Inputs!$H$9+Inputs!$L$9*(((Inputs!$I$9+(((A80)+1)/2)*(Inputs!$J$9-Inputs!$I$9)))/Inputs!$K$9)^2)))*1000/Inputs!$C$12),NA())</x:f>
        <x:v>96411.15148170892</x:v>
      </x:c>
      <x:c r="L80" s="49"/>
      <x:c r="M80" s="48" t="n">
        <x:f>A80</x:f>
        <x:v>-0.35</x:v>
      </x:c>
      <x:c r="N80" s="48" t="n">
        <x:f>IF(OR(Inputs!$F$6=TRUE,Inputs!$F$6="TRUE",Inputs!$F$6=1),(-2*((1000*((((Inputs!$I$6+(((A80)+1)/2)*(Inputs!$J$6-Inputs!$I$6)))*Inputs!$C$11+((Inputs!$H$6+Inputs!$L$6*(((Inputs!$I$6+(((A80)+1)/2)*(Inputs!$J$6-Inputs!$I$6)))/Inputs!$K$6)^2))*((2*Inputs!$L$6*((Inputs!$I$6+(((A80)+1)/2)*(Inputs!$J$6-Inputs!$I$6)))/(Inputs!$K$6^2)*Inputs!$C$11)))/(SQRT(((Inputs!$I$6+(((A80)+1)/2)*(Inputs!$J$6-Inputs!$I$6)))^2+Inputs!$C$6^2+((Inputs!$H$6+Inputs!$L$6*(((Inputs!$I$6+(((A80)+1)/2)*(Inputs!$J$6-Inputs!$I$6)))/Inputs!$K$6)^2))^2)))))/Inputs!$C$13),NA())</x:f>
        <x:v>158.03958042535132</x:v>
      </x:c>
      <x:c r="O80" s="48" t="n">
        <x:f>IF(OR(Inputs!$F$7=TRUE,Inputs!$F$7="TRUE",Inputs!$F$7=1),(-2*((1000*((((Inputs!$I$7+(((A80)+1)/2)*(Inputs!$J$7-Inputs!$I$7)))*Inputs!$C$11+((Inputs!$H$7+Inputs!$L$7*(((Inputs!$I$7+(((A80)+1)/2)*(Inputs!$J$7-Inputs!$I$7)))/Inputs!$K$7)^2))*((2*Inputs!$L$7*((Inputs!$I$7+(((A80)+1)/2)*(Inputs!$J$7-Inputs!$I$7)))/(Inputs!$K$7^2)*Inputs!$C$11)))/(SQRT(((Inputs!$I$7+(((A80)+1)/2)*(Inputs!$J$7-Inputs!$I$7)))^2+Inputs!$C$6^2+((Inputs!$H$7+Inputs!$L$7*(((Inputs!$I$7+(((A80)+1)/2)*(Inputs!$J$7-Inputs!$I$7)))/Inputs!$K$7)^2))^2)))))/Inputs!$C$13),NA())</x:f>
        <x:v>1873.6701281591352</x:v>
      </x:c>
      <x:c r="P80" s="48" t="n">
        <x:f>IF(OR(Inputs!$F$8=TRUE,Inputs!$F$8="TRUE",Inputs!$F$8=1),(-2*((1000*((((Inputs!$I$8+(((A80)+1)/2)*(Inputs!$J$8-Inputs!$I$8)))*Inputs!$C$11+((Inputs!$H$8+Inputs!$L$8*(((Inputs!$I$8+(((A80)+1)/2)*(Inputs!$J$8-Inputs!$I$8)))/Inputs!$K$8)^2))*((2*Inputs!$L$8*((Inputs!$I$8+(((A80)+1)/2)*(Inputs!$J$8-Inputs!$I$8)))/(Inputs!$K$8^2)*Inputs!$C$11)))/(SQRT(((Inputs!$I$8+(((A80)+1)/2)*(Inputs!$J$8-Inputs!$I$8)))^2+Inputs!$C$6^2+((Inputs!$H$8+Inputs!$L$8*(((Inputs!$I$8+(((A80)+1)/2)*(Inputs!$J$8-Inputs!$I$8)))/Inputs!$K$8)^2))^2)))))/Inputs!$C$13),NA())</x:f>
        <x:v>2045.8545989481845</x:v>
      </x:c>
      <x:c r="Q80" s="48" t="n">
        <x:f>IF(OR(Inputs!$F$9=TRUE,Inputs!$F$9="TRUE",Inputs!$F$9=1),(-2*((1000*((((Inputs!$I$9+(((A80)+1)/2)*(Inputs!$J$9-Inputs!$I$9)))*Inputs!$C$11+((Inputs!$H$9+Inputs!$L$9*(((Inputs!$I$9+(((A80)+1)/2)*(Inputs!$J$9-Inputs!$I$9)))/Inputs!$K$9)^2))*((2*Inputs!$L$9*((Inputs!$I$9+(((A80)+1)/2)*(Inputs!$J$9-Inputs!$I$9)))/(Inputs!$K$9^2)*Inputs!$C$11)))/(SQRT(((Inputs!$I$9+(((A80)+1)/2)*(Inputs!$J$9-Inputs!$I$9)))^2+Inputs!$C$6^2+((Inputs!$H$9+Inputs!$L$9*(((Inputs!$I$9+(((A80)+1)/2)*(Inputs!$J$9-Inputs!$I$9)))/Inputs!$K$9)^2))^2)))))/Inputs!$C$13),NA())</x:f>
        <x:v>2041.3178772242259</x:v>
      </x:c>
      <x:c r="R80" s="49"/>
      <x:c r="S80" s="48" t="n">
        <x:f>A80</x:f>
        <x:v>-0.35</x:v>
      </x:c>
      <x:c r="T80" s="48" t="n">
        <x:f>(Inputs!$I$6+(((A80)+1)/2)*(Inputs!$J$6-Inputs!$I$6))</x:f>
        <x:v>-21</x:v>
      </x:c>
      <x:c r="U80" s="48" t="n">
        <x:f>(Inputs!$I$7+(((A80)+1)/2)*(Inputs!$J$7-Inputs!$I$7))</x:f>
        <x:v>-140</x:v>
      </x:c>
      <x:c r="V80" s="48" t="n">
        <x:f>(Inputs!$I$8+(((A80)+1)/2)*(Inputs!$J$8-Inputs!$I$8))</x:f>
        <x:v>-280</x:v>
      </x:c>
      <x:c r="W80" s="48" t="n">
        <x:f>(Inputs!$I$9+(((A80)+1)/2)*(Inputs!$J$9-Inputs!$I$9))</x:f>
        <x:v>-280</x:v>
      </x:c>
      <x:c r="X80" s="49"/>
      <x:c r="Y80" s="48" t="n">
        <x:f>A80</x:f>
        <x:v>-0.35</x:v>
      </x:c>
      <x:c r="Z80" s="48" t="n">
        <x:f>(Inputs!$H$6+Inputs!$L$6*(((Inputs!$I$6+(((A80)+1)/2)*(Inputs!$J$6-Inputs!$I$6)))/Inputs!$K$6)^2)</x:f>
        <x:v>400.49</x:v>
      </x:c>
      <x:c r="AA80" s="48" t="n">
        <x:f>(Inputs!$H$7+Inputs!$L$7*(((Inputs!$I$7+(((A80)+1)/2)*(Inputs!$J$7-Inputs!$I$7)))/Inputs!$K$7)^2)</x:f>
        <x:v>79.71249999999999</x:v>
      </x:c>
      <x:c r="AB80" s="48" t="n">
        <x:f>(Inputs!$H$8+Inputs!$L$8*(((Inputs!$I$8+(((A80)+1)/2)*(Inputs!$J$8-Inputs!$I$8)))/Inputs!$K$8)^2)</x:f>
        <x:v>153.21249999999998</x:v>
      </x:c>
      <x:c r="AC80" s="48" t="n">
        <x:f>(Inputs!$H$9+Inputs!$L$9*(((Inputs!$I$9+(((A80)+1)/2)*(Inputs!$J$9-Inputs!$I$9)))/Inputs!$K$9)^2)</x:f>
        <x:v>144.4375</x:v>
      </x:c>
      <x:c r="AD80" s="49"/>
      <x:c r="AE80" s="48" t="n">
        <x:f>A80</x:f>
        <x:v>-0.35</x:v>
      </x:c>
      <x:c r="AF80" s="48" t="n">
        <x:f>(((SQRT(((Inputs!$I$6+(((A80)+1)/2)*(Inputs!$J$6-Inputs!$I$6)))^2+Inputs!$C$6^2+((Inputs!$H$6+Inputs!$L$6*(((Inputs!$I$6+(((A80)+1)/2)*(Inputs!$J$6-Inputs!$I$6)))/Inputs!$K$6)^2))^2))-((Inputs!$H$6+Inputs!$L$6*(((Inputs!$I$6+(((A80)+1)/2)*(Inputs!$J$6-Inputs!$I$6)))/Inputs!$K$6)^2)))*1000/Inputs!$C$12)</x:f>
        <x:v>746.441401049121</x:v>
      </x:c>
      <x:c r="AG80" s="48" t="n">
        <x:f>(((SQRT(((Inputs!$I$7+(((A80)+1)/2)*(Inputs!$J$7-Inputs!$I$7)))^2+Inputs!$C$6^2+((Inputs!$H$7+Inputs!$L$7*(((Inputs!$I$7+(((A80)+1)/2)*(Inputs!$J$7-Inputs!$I$7)))/Inputs!$K$7)^2))^2))-((Inputs!$H$7+Inputs!$L$7*(((Inputs!$I$7+(((A80)+1)/2)*(Inputs!$J$7-Inputs!$I$7)))/Inputs!$K$7)^2)))*1000/Inputs!$C$12)</x:f>
        <x:v>46808.10419084915</x:v>
      </x:c>
      <x:c r="AH80" s="48" t="n">
        <x:f>(((SQRT(((Inputs!$I$8+(((A80)+1)/2)*(Inputs!$J$8-Inputs!$I$8)))^2+Inputs!$C$6^2+((Inputs!$H$8+Inputs!$L$8*(((Inputs!$I$8+(((A80)+1)/2)*(Inputs!$J$8-Inputs!$I$8)))/Inputs!$K$8)^2))^2))-((Inputs!$H$8+Inputs!$L$8*(((Inputs!$I$8+(((A80)+1)/2)*(Inputs!$J$8-Inputs!$I$8)))/Inputs!$K$8)^2)))*1000/Inputs!$C$12)</x:f>
        <x:v>93787.78634628368</x:v>
      </x:c>
      <x:c r="AI80" s="48" t="n">
        <x:f>(((SQRT(((Inputs!$I$9+(((A80)+1)/2)*(Inputs!$J$9-Inputs!$I$9)))^2+Inputs!$C$6^2+((Inputs!$H$9+Inputs!$L$9*(((Inputs!$I$9+(((A80)+1)/2)*(Inputs!$J$9-Inputs!$I$9)))/Inputs!$K$9)^2))^2))-((Inputs!$H$9+Inputs!$L$9*(((Inputs!$I$9+(((A80)+1)/2)*(Inputs!$J$9-Inputs!$I$9)))/Inputs!$K$9)^2)))*1000/Inputs!$C$12)</x:f>
        <x:v>96411.15148170892</x:v>
      </x:c>
      <x:c r="AJ80" s="49"/>
      <x:c r="AK80" s="48" t="n">
        <x:f>A80</x:f>
        <x:v>-0.35</x:v>
      </x:c>
      <x:c r="AL80" s="48" t="n">
        <x:f>(-2*((1000*((((Inputs!$I$6+(((A80)+1)/2)*(Inputs!$J$6-Inputs!$I$6)))*Inputs!$C$11+((Inputs!$H$6+Inputs!$L$6*(((Inputs!$I$6+(((A80)+1)/2)*(Inputs!$J$6-Inputs!$I$6)))/Inputs!$K$6)^2))*((2*Inputs!$L$6*((Inputs!$I$6+(((A80)+1)/2)*(Inputs!$J$6-Inputs!$I$6)))/(Inputs!$K$6^2)*Inputs!$C$11)))/(SQRT(((Inputs!$I$6+(((A80)+1)/2)*(Inputs!$J$6-Inputs!$I$6)))^2+Inputs!$C$6^2+((Inputs!$H$6+Inputs!$L$6*(((Inputs!$I$6+(((A80)+1)/2)*(Inputs!$J$6-Inputs!$I$6)))/Inputs!$K$6)^2))^2)))))/Inputs!$C$13)</x:f>
        <x:v>158.03958042535132</x:v>
      </x:c>
      <x:c r="AM80" s="48" t="n">
        <x:f>(-2*((1000*((((Inputs!$I$7+(((A80)+1)/2)*(Inputs!$J$7-Inputs!$I$7)))*Inputs!$C$11+((Inputs!$H$7+Inputs!$L$7*(((Inputs!$I$7+(((A80)+1)/2)*(Inputs!$J$7-Inputs!$I$7)))/Inputs!$K$7)^2))*((2*Inputs!$L$7*((Inputs!$I$7+(((A80)+1)/2)*(Inputs!$J$7-Inputs!$I$7)))/(Inputs!$K$7^2)*Inputs!$C$11)))/(SQRT(((Inputs!$I$7+(((A80)+1)/2)*(Inputs!$J$7-Inputs!$I$7)))^2+Inputs!$C$6^2+((Inputs!$H$7+Inputs!$L$7*(((Inputs!$I$7+(((A80)+1)/2)*(Inputs!$J$7-Inputs!$I$7)))/Inputs!$K$7)^2))^2)))))/Inputs!$C$13)</x:f>
        <x:v>1873.6701281591352</x:v>
      </x:c>
      <x:c r="AN80" s="48" t="n">
        <x:f>(-2*((1000*((((Inputs!$I$8+(((A80)+1)/2)*(Inputs!$J$8-Inputs!$I$8)))*Inputs!$C$11+((Inputs!$H$8+Inputs!$L$8*(((Inputs!$I$8+(((A80)+1)/2)*(Inputs!$J$8-Inputs!$I$8)))/Inputs!$K$8)^2))*((2*Inputs!$L$8*((Inputs!$I$8+(((A80)+1)/2)*(Inputs!$J$8-Inputs!$I$8)))/(Inputs!$K$8^2)*Inputs!$C$11)))/(SQRT(((Inputs!$I$8+(((A80)+1)/2)*(Inputs!$J$8-Inputs!$I$8)))^2+Inputs!$C$6^2+((Inputs!$H$8+Inputs!$L$8*(((Inputs!$I$8+(((A80)+1)/2)*(Inputs!$J$8-Inputs!$I$8)))/Inputs!$K$8)^2))^2)))))/Inputs!$C$13)</x:f>
        <x:v>2045.8545989481845</x:v>
      </x:c>
      <x:c r="AO80" s="48" t="n">
        <x:f>(-2*((1000*((((Inputs!$I$9+(((A80)+1)/2)*(Inputs!$J$9-Inputs!$I$9)))*Inputs!$C$11+((Inputs!$H$9+Inputs!$L$9*(((Inputs!$I$9+(((A80)+1)/2)*(Inputs!$J$9-Inputs!$I$9)))/Inputs!$K$9)^2))*((2*Inputs!$L$9*((Inputs!$I$9+(((A80)+1)/2)*(Inputs!$J$9-Inputs!$I$9)))/(Inputs!$K$9^2)*Inputs!$C$11)))/(SQRT(((Inputs!$I$9+(((A80)+1)/2)*(Inputs!$J$9-Inputs!$I$9)))^2+Inputs!$C$6^2+((Inputs!$H$9+Inputs!$L$9*(((Inputs!$I$9+(((A80)+1)/2)*(Inputs!$J$9-Inputs!$I$9)))/Inputs!$K$9)^2))^2)))))/Inputs!$C$13)</x:f>
        <x:v>2041.3178772242259</x:v>
      </x:c>
    </x:row>
    <x:row r="81">
      <x:c r="A81" s="48" t="n">
        <x:f>ROUND(-1+79*2/240,3)</x:f>
        <x:v>-0.342</x:v>
      </x:c>
      <x:c r="B81" s="48" t="n">
        <x:f>IF(OR(Inputs!$F$6=TRUE,Inputs!$F$6="TRUE",Inputs!$F$6=1),(Inputs!$H$6+Inputs!$L$6*(((Inputs!$I$6+(((A81)+1)/2)*(Inputs!$J$6-Inputs!$I$6)))/Inputs!$K$6)^2),NA())</x:f>
        <x:v>400.467856</x:v>
      </x:c>
      <x:c r="C81" s="48" t="n">
        <x:f>IF(OR(Inputs!$F$7=TRUE,Inputs!$F$7="TRUE",Inputs!$F$7=1),(Inputs!$H$7+Inputs!$L$7*(((Inputs!$I$7+(((A81)+1)/2)*(Inputs!$J$7-Inputs!$I$7)))/Inputs!$K$7)^2),NA())</x:f>
        <x:v>77.69186</x:v>
      </x:c>
      <x:c r="D81" s="48" t="n">
        <x:f>IF(OR(Inputs!$F$8=TRUE,Inputs!$F$8="TRUE",Inputs!$F$8=1),(Inputs!$H$8+Inputs!$L$8*(((Inputs!$I$8+(((A81)+1)/2)*(Inputs!$J$8-Inputs!$I$8)))/Inputs!$K$8)^2),NA())</x:f>
        <x:v>147.87026000000003</x:v>
      </x:c>
      <x:c r="E81" s="48" t="n">
        <x:f>IF(OR(Inputs!$F$9=TRUE,Inputs!$F$9="TRUE",Inputs!$F$9=1),(Inputs!$H$9+Inputs!$L$9*(((Inputs!$I$9+(((A81)+1)/2)*(Inputs!$J$9-Inputs!$I$9)))/Inputs!$K$9)^2),NA())</x:f>
        <x:v>139.03990000000002</x:v>
      </x:c>
      <x:c r="F81" s="49"/>
      <x:c r="G81" s="48" t="n">
        <x:f>A81</x:f>
        <x:v>-0.342</x:v>
      </x:c>
      <x:c r="H81" s="48" t="n">
        <x:f>IF(OR(Inputs!$F$6=TRUE,Inputs!$F$6="TRUE",Inputs!$F$6=1),(((SQRT(((Inputs!$I$6+(((A81)+1)/2)*(Inputs!$J$6-Inputs!$I$6)))^2+Inputs!$C$6^2+((Inputs!$H$6+Inputs!$L$6*(((Inputs!$I$6+(((A81)+1)/2)*(Inputs!$J$6-Inputs!$I$6)))/Inputs!$K$6)^2))^2))-((Inputs!$H$6+Inputs!$L$6*(((Inputs!$I$6+(((A81)+1)/2)*(Inputs!$J$6-Inputs!$I$6)))/Inputs!$K$6)^2)))*1000/Inputs!$C$12),NA())</x:f>
        <x:v>732.5491831929713</x:v>
      </x:c>
      <x:c r="I81" s="48" t="n">
        <x:f>IF(OR(Inputs!$F$7=TRUE,Inputs!$F$7="TRUE",Inputs!$F$7=1),(((SQRT(((Inputs!$I$7+(((A81)+1)/2)*(Inputs!$J$7-Inputs!$I$7)))^2+Inputs!$C$6^2+((Inputs!$H$7+Inputs!$L$7*(((Inputs!$I$7+(((A81)+1)/2)*(Inputs!$J$7-Inputs!$I$7)))/Inputs!$K$7)^2))^2))-((Inputs!$H$7+Inputs!$L$7*(((Inputs!$I$7+(((A81)+1)/2)*(Inputs!$J$7-Inputs!$I$7)))/Inputs!$K$7)^2)))*1000/Inputs!$C$12),NA())</x:f>
        <x:v>45845.10974889843</x:v>
      </x:c>
      <x:c r="J81" s="48" t="n">
        <x:f>IF(OR(Inputs!$F$8=TRUE,Inputs!$F$8="TRUE",Inputs!$F$8=1),(((SQRT(((Inputs!$I$8+(((A81)+1)/2)*(Inputs!$J$8-Inputs!$I$8)))^2+Inputs!$C$6^2+((Inputs!$H$8+Inputs!$L$8*(((Inputs!$I$8+(((A81)+1)/2)*(Inputs!$J$8-Inputs!$I$8)))/Inputs!$K$8)^2))^2))-((Inputs!$H$8+Inputs!$L$8*(((Inputs!$I$8+(((A81)+1)/2)*(Inputs!$J$8-Inputs!$I$8)))/Inputs!$K$8)^2)))*1000/Inputs!$C$12),NA())</x:f>
        <x:v>92210.93661738963</x:v>
      </x:c>
      <x:c r="K81" s="48" t="n">
        <x:f>IF(OR(Inputs!$F$9=TRUE,Inputs!$F$9="TRUE",Inputs!$F$9=1),(((SQRT(((Inputs!$I$9+(((A81)+1)/2)*(Inputs!$J$9-Inputs!$I$9)))^2+Inputs!$C$6^2+((Inputs!$H$9+Inputs!$L$9*(((Inputs!$I$9+(((A81)+1)/2)*(Inputs!$J$9-Inputs!$I$9)))/Inputs!$K$9)^2))^2))-((Inputs!$H$9+Inputs!$L$9*(((Inputs!$I$9+(((A81)+1)/2)*(Inputs!$J$9-Inputs!$I$9)))/Inputs!$K$9)^2)))*1000/Inputs!$C$12),NA())</x:f>
        <x:v>94875.84708892826</x:v>
      </x:c>
      <x:c r="L81" s="49"/>
      <x:c r="M81" s="48" t="n">
        <x:f>A81</x:f>
        <x:v>-0.342</x:v>
      </x:c>
      <x:c r="N81" s="48" t="n">
        <x:f>IF(OR(Inputs!$F$6=TRUE,Inputs!$F$6="TRUE",Inputs!$F$6=1),(-2*((1000*((((Inputs!$I$6+(((A81)+1)/2)*(Inputs!$J$6-Inputs!$I$6)))*Inputs!$C$11+((Inputs!$H$6+Inputs!$L$6*(((Inputs!$I$6+(((A81)+1)/2)*(Inputs!$J$6-Inputs!$I$6)))/Inputs!$K$6)^2))*((2*Inputs!$L$6*((Inputs!$I$6+(((A81)+1)/2)*(Inputs!$J$6-Inputs!$I$6)))/(Inputs!$K$6^2)*Inputs!$C$11)))/(SQRT(((Inputs!$I$6+(((A81)+1)/2)*(Inputs!$J$6-Inputs!$I$6)))^2+Inputs!$C$6^2+((Inputs!$H$6+Inputs!$L$6*(((Inputs!$I$6+(((A81)+1)/2)*(Inputs!$J$6-Inputs!$I$6)))/Inputs!$K$6)^2))^2)))))/Inputs!$C$13),NA())</x:f>
        <x:v>154.4412419450815</x:v>
      </x:c>
      <x:c r="O81" s="48" t="n">
        <x:f>IF(OR(Inputs!$F$7=TRUE,Inputs!$F$7="TRUE",Inputs!$F$7=1),(-2*((1000*((((Inputs!$I$7+(((A81)+1)/2)*(Inputs!$J$7-Inputs!$I$7)))*Inputs!$C$11+((Inputs!$H$7+Inputs!$L$7*(((Inputs!$I$7+(((A81)+1)/2)*(Inputs!$J$7-Inputs!$I$7)))/Inputs!$K$7)^2))*((2*Inputs!$L$7*((Inputs!$I$7+(((A81)+1)/2)*(Inputs!$J$7-Inputs!$I$7)))/(Inputs!$K$7^2)*Inputs!$C$11)))/(SQRT(((Inputs!$I$7+(((A81)+1)/2)*(Inputs!$J$7-Inputs!$I$7)))^2+Inputs!$C$6^2+((Inputs!$H$7+Inputs!$L$7*(((Inputs!$I$7+(((A81)+1)/2)*(Inputs!$J$7-Inputs!$I$7)))/Inputs!$K$7)^2))^2)))))/Inputs!$C$13),NA())</x:f>
        <x:v>1861.1007805766465</x:v>
      </x:c>
      <x:c r="P81" s="48" t="n">
        <x:f>IF(OR(Inputs!$F$8=TRUE,Inputs!$F$8="TRUE",Inputs!$F$8=1),(-2*((1000*((((Inputs!$I$8+(((A81)+1)/2)*(Inputs!$J$8-Inputs!$I$8)))*Inputs!$C$11+((Inputs!$H$8+Inputs!$L$8*(((Inputs!$I$8+(((A81)+1)/2)*(Inputs!$J$8-Inputs!$I$8)))/Inputs!$K$8)^2))*((2*Inputs!$L$8*((Inputs!$I$8+(((A81)+1)/2)*(Inputs!$J$8-Inputs!$I$8)))/(Inputs!$K$8^2)*Inputs!$C$11)))/(SQRT(((Inputs!$I$8+(((A81)+1)/2)*(Inputs!$J$8-Inputs!$I$8)))^2+Inputs!$C$6^2+((Inputs!$H$8+Inputs!$L$8*(((Inputs!$I$8+(((A81)+1)/2)*(Inputs!$J$8-Inputs!$I$8)))/Inputs!$K$8)^2))^2)))))/Inputs!$C$13),NA())</x:f>
        <x:v>2028.7015028674673</x:v>
      </x:c>
      <x:c r="Q81" s="48" t="n">
        <x:f>IF(OR(Inputs!$F$9=TRUE,Inputs!$F$9="TRUE",Inputs!$F$9=1),(-2*((1000*((((Inputs!$I$9+(((A81)+1)/2)*(Inputs!$J$9-Inputs!$I$9)))*Inputs!$C$11+((Inputs!$H$9+Inputs!$L$9*(((Inputs!$I$9+(((A81)+1)/2)*(Inputs!$J$9-Inputs!$I$9)))/Inputs!$K$9)^2))*((2*Inputs!$L$9*((Inputs!$I$9+(((A81)+1)/2)*(Inputs!$J$9-Inputs!$I$9)))/(Inputs!$K$9^2)*Inputs!$C$11)))/(SQRT(((Inputs!$I$9+(((A81)+1)/2)*(Inputs!$J$9-Inputs!$I$9)))^2+Inputs!$C$6^2+((Inputs!$H$9+Inputs!$L$9*(((Inputs!$I$9+(((A81)+1)/2)*(Inputs!$J$9-Inputs!$I$9)))/Inputs!$K$9)^2))^2)))))/Inputs!$C$13),NA())</x:f>
        <x:v>2023.9465742317025</x:v>
      </x:c>
      <x:c r="R81" s="49"/>
      <x:c r="S81" s="48" t="n">
        <x:f>A81</x:f>
        <x:v>-0.342</x:v>
      </x:c>
      <x:c r="T81" s="48" t="n">
        <x:f>(Inputs!$I$6+(((A81)+1)/2)*(Inputs!$J$6-Inputs!$I$6))</x:f>
        <x:v>-20.520000000000003</x:v>
      </x:c>
      <x:c r="U81" s="48" t="n">
        <x:f>(Inputs!$I$7+(((A81)+1)/2)*(Inputs!$J$7-Inputs!$I$7))</x:f>
        <x:v>-136.8</x:v>
      </x:c>
      <x:c r="V81" s="48" t="n">
        <x:f>(Inputs!$I$8+(((A81)+1)/2)*(Inputs!$J$8-Inputs!$I$8))</x:f>
        <x:v>-273.6</x:v>
      </x:c>
      <x:c r="W81" s="48" t="n">
        <x:f>(Inputs!$I$9+(((A81)+1)/2)*(Inputs!$J$9-Inputs!$I$9))</x:f>
        <x:v>-273.6</x:v>
      </x:c>
      <x:c r="X81" s="49"/>
      <x:c r="Y81" s="48" t="n">
        <x:f>A81</x:f>
        <x:v>-0.342</x:v>
      </x:c>
      <x:c r="Z81" s="48" t="n">
        <x:f>(Inputs!$H$6+Inputs!$L$6*(((Inputs!$I$6+(((A81)+1)/2)*(Inputs!$J$6-Inputs!$I$6)))/Inputs!$K$6)^2)</x:f>
        <x:v>400.467856</x:v>
      </x:c>
      <x:c r="AA81" s="48" t="n">
        <x:f>(Inputs!$H$7+Inputs!$L$7*(((Inputs!$I$7+(((A81)+1)/2)*(Inputs!$J$7-Inputs!$I$7)))/Inputs!$K$7)^2)</x:f>
        <x:v>77.69186</x:v>
      </x:c>
      <x:c r="AB81" s="48" t="n">
        <x:f>(Inputs!$H$8+Inputs!$L$8*(((Inputs!$I$8+(((A81)+1)/2)*(Inputs!$J$8-Inputs!$I$8)))/Inputs!$K$8)^2)</x:f>
        <x:v>147.87026000000003</x:v>
      </x:c>
      <x:c r="AC81" s="48" t="n">
        <x:f>(Inputs!$H$9+Inputs!$L$9*(((Inputs!$I$9+(((A81)+1)/2)*(Inputs!$J$9-Inputs!$I$9)))/Inputs!$K$9)^2)</x:f>
        <x:v>139.03990000000002</x:v>
      </x:c>
      <x:c r="AD81" s="49"/>
      <x:c r="AE81" s="48" t="n">
        <x:f>A81</x:f>
        <x:v>-0.342</x:v>
      </x:c>
      <x:c r="AF81" s="48" t="n">
        <x:f>(((SQRT(((Inputs!$I$6+(((A81)+1)/2)*(Inputs!$J$6-Inputs!$I$6)))^2+Inputs!$C$6^2+((Inputs!$H$6+Inputs!$L$6*(((Inputs!$I$6+(((A81)+1)/2)*(Inputs!$J$6-Inputs!$I$6)))/Inputs!$K$6)^2))^2))-((Inputs!$H$6+Inputs!$L$6*(((Inputs!$I$6+(((A81)+1)/2)*(Inputs!$J$6-Inputs!$I$6)))/Inputs!$K$6)^2)))*1000/Inputs!$C$12)</x:f>
        <x:v>732.5491831929713</x:v>
      </x:c>
      <x:c r="AG81" s="48" t="n">
        <x:f>(((SQRT(((Inputs!$I$7+(((A81)+1)/2)*(Inputs!$J$7-Inputs!$I$7)))^2+Inputs!$C$6^2+((Inputs!$H$7+Inputs!$L$7*(((Inputs!$I$7+(((A81)+1)/2)*(Inputs!$J$7-Inputs!$I$7)))/Inputs!$K$7)^2))^2))-((Inputs!$H$7+Inputs!$L$7*(((Inputs!$I$7+(((A81)+1)/2)*(Inputs!$J$7-Inputs!$I$7)))/Inputs!$K$7)^2)))*1000/Inputs!$C$12)</x:f>
        <x:v>45845.10974889843</x:v>
      </x:c>
      <x:c r="AH81" s="48" t="n">
        <x:f>(((SQRT(((Inputs!$I$8+(((A81)+1)/2)*(Inputs!$J$8-Inputs!$I$8)))^2+Inputs!$C$6^2+((Inputs!$H$8+Inputs!$L$8*(((Inputs!$I$8+(((A81)+1)/2)*(Inputs!$J$8-Inputs!$I$8)))/Inputs!$K$8)^2))^2))-((Inputs!$H$8+Inputs!$L$8*(((Inputs!$I$8+(((A81)+1)/2)*(Inputs!$J$8-Inputs!$I$8)))/Inputs!$K$8)^2)))*1000/Inputs!$C$12)</x:f>
        <x:v>92210.93661738963</x:v>
      </x:c>
      <x:c r="AI81" s="48" t="n">
        <x:f>(((SQRT(((Inputs!$I$9+(((A81)+1)/2)*(Inputs!$J$9-Inputs!$I$9)))^2+Inputs!$C$6^2+((Inputs!$H$9+Inputs!$L$9*(((Inputs!$I$9+(((A81)+1)/2)*(Inputs!$J$9-Inputs!$I$9)))/Inputs!$K$9)^2))^2))-((Inputs!$H$9+Inputs!$L$9*(((Inputs!$I$9+(((A81)+1)/2)*(Inputs!$J$9-Inputs!$I$9)))/Inputs!$K$9)^2)))*1000/Inputs!$C$12)</x:f>
        <x:v>94875.84708892826</x:v>
      </x:c>
      <x:c r="AJ81" s="49"/>
      <x:c r="AK81" s="48" t="n">
        <x:f>A81</x:f>
        <x:v>-0.342</x:v>
      </x:c>
      <x:c r="AL81" s="48" t="n">
        <x:f>(-2*((1000*((((Inputs!$I$6+(((A81)+1)/2)*(Inputs!$J$6-Inputs!$I$6)))*Inputs!$C$11+((Inputs!$H$6+Inputs!$L$6*(((Inputs!$I$6+(((A81)+1)/2)*(Inputs!$J$6-Inputs!$I$6)))/Inputs!$K$6)^2))*((2*Inputs!$L$6*((Inputs!$I$6+(((A81)+1)/2)*(Inputs!$J$6-Inputs!$I$6)))/(Inputs!$K$6^2)*Inputs!$C$11)))/(SQRT(((Inputs!$I$6+(((A81)+1)/2)*(Inputs!$J$6-Inputs!$I$6)))^2+Inputs!$C$6^2+((Inputs!$H$6+Inputs!$L$6*(((Inputs!$I$6+(((A81)+1)/2)*(Inputs!$J$6-Inputs!$I$6)))/Inputs!$K$6)^2))^2)))))/Inputs!$C$13)</x:f>
        <x:v>154.4412419450815</x:v>
      </x:c>
      <x:c r="AM81" s="48" t="n">
        <x:f>(-2*((1000*((((Inputs!$I$7+(((A81)+1)/2)*(Inputs!$J$7-Inputs!$I$7)))*Inputs!$C$11+((Inputs!$H$7+Inputs!$L$7*(((Inputs!$I$7+(((A81)+1)/2)*(Inputs!$J$7-Inputs!$I$7)))/Inputs!$K$7)^2))*((2*Inputs!$L$7*((Inputs!$I$7+(((A81)+1)/2)*(Inputs!$J$7-Inputs!$I$7)))/(Inputs!$K$7^2)*Inputs!$C$11)))/(SQRT(((Inputs!$I$7+(((A81)+1)/2)*(Inputs!$J$7-Inputs!$I$7)))^2+Inputs!$C$6^2+((Inputs!$H$7+Inputs!$L$7*(((Inputs!$I$7+(((A81)+1)/2)*(Inputs!$J$7-Inputs!$I$7)))/Inputs!$K$7)^2))^2)))))/Inputs!$C$13)</x:f>
        <x:v>1861.1007805766465</x:v>
      </x:c>
      <x:c r="AN81" s="48" t="n">
        <x:f>(-2*((1000*((((Inputs!$I$8+(((A81)+1)/2)*(Inputs!$J$8-Inputs!$I$8)))*Inputs!$C$11+((Inputs!$H$8+Inputs!$L$8*(((Inputs!$I$8+(((A81)+1)/2)*(Inputs!$J$8-Inputs!$I$8)))/Inputs!$K$8)^2))*((2*Inputs!$L$8*((Inputs!$I$8+(((A81)+1)/2)*(Inputs!$J$8-Inputs!$I$8)))/(Inputs!$K$8^2)*Inputs!$C$11)))/(SQRT(((Inputs!$I$8+(((A81)+1)/2)*(Inputs!$J$8-Inputs!$I$8)))^2+Inputs!$C$6^2+((Inputs!$H$8+Inputs!$L$8*(((Inputs!$I$8+(((A81)+1)/2)*(Inputs!$J$8-Inputs!$I$8)))/Inputs!$K$8)^2))^2)))))/Inputs!$C$13)</x:f>
        <x:v>2028.7015028674673</x:v>
      </x:c>
      <x:c r="AO81" s="48" t="n">
        <x:f>(-2*((1000*((((Inputs!$I$9+(((A81)+1)/2)*(Inputs!$J$9-Inputs!$I$9)))*Inputs!$C$11+((Inputs!$H$9+Inputs!$L$9*(((Inputs!$I$9+(((A81)+1)/2)*(Inputs!$J$9-Inputs!$I$9)))/Inputs!$K$9)^2))*((2*Inputs!$L$9*((Inputs!$I$9+(((A81)+1)/2)*(Inputs!$J$9-Inputs!$I$9)))/(Inputs!$K$9^2)*Inputs!$C$11)))/(SQRT(((Inputs!$I$9+(((A81)+1)/2)*(Inputs!$J$9-Inputs!$I$9)))^2+Inputs!$C$6^2+((Inputs!$H$9+Inputs!$L$9*(((Inputs!$I$9+(((A81)+1)/2)*(Inputs!$J$9-Inputs!$I$9)))/Inputs!$K$9)^2))^2)))))/Inputs!$C$13)</x:f>
        <x:v>2023.9465742317025</x:v>
      </x:c>
    </x:row>
    <x:row r="82">
      <x:c r="A82" s="48" t="n">
        <x:f>ROUND(-1+80*2/240,3)</x:f>
        <x:v>-0.333</x:v>
      </x:c>
      <x:c r="B82" s="48" t="n">
        <x:f>IF(OR(Inputs!$F$6=TRUE,Inputs!$F$6="TRUE",Inputs!$F$6=1),(Inputs!$H$6+Inputs!$L$6*(((Inputs!$I$6+(((A82)+1)/2)*(Inputs!$J$6-Inputs!$I$6)))/Inputs!$K$6)^2),NA())</x:f>
        <x:v>400.443556</x:v>
      </x:c>
      <x:c r="C82" s="48" t="n">
        <x:f>IF(OR(Inputs!$F$7=TRUE,Inputs!$F$7="TRUE",Inputs!$F$7=1),(Inputs!$H$7+Inputs!$L$7*(((Inputs!$I$7+(((A82)+1)/2)*(Inputs!$J$7-Inputs!$I$7)))/Inputs!$K$7)^2),NA())</x:f>
        <x:v>75.47448499999999</x:v>
      </x:c>
      <x:c r="D82" s="48" t="n">
        <x:f>IF(OR(Inputs!$F$8=TRUE,Inputs!$F$8="TRUE",Inputs!$F$8=1),(Inputs!$H$8+Inputs!$L$8*(((Inputs!$I$8+(((A82)+1)/2)*(Inputs!$J$8-Inputs!$I$8)))/Inputs!$K$8)^2),NA())</x:f>
        <x:v>142.007885</x:v>
      </x:c>
      <x:c r="E82" s="48" t="n">
        <x:f>IF(OR(Inputs!$F$9=TRUE,Inputs!$F$9="TRUE",Inputs!$F$9=1),(Inputs!$H$9+Inputs!$L$9*(((Inputs!$I$9+(((A82)+1)/2)*(Inputs!$J$9-Inputs!$I$9)))/Inputs!$K$9)^2),NA())</x:f>
        <x:v>133.11677499999996</x:v>
      </x:c>
      <x:c r="F82" s="49"/>
      <x:c r="G82" s="48" t="n">
        <x:f>A82</x:f>
        <x:v>-0.333</x:v>
      </x:c>
      <x:c r="H82" s="48" t="n">
        <x:f>IF(OR(Inputs!$F$6=TRUE,Inputs!$F$6="TRUE",Inputs!$F$6=1),(((SQRT(((Inputs!$I$6+(((A82)+1)/2)*(Inputs!$J$6-Inputs!$I$6)))^2+Inputs!$C$6^2+((Inputs!$H$6+Inputs!$L$6*(((Inputs!$I$6+(((A82)+1)/2)*(Inputs!$J$6-Inputs!$I$6)))/Inputs!$K$6)^2))^2))-((Inputs!$H$6+Inputs!$L$6*(((Inputs!$I$6+(((A82)+1)/2)*(Inputs!$J$6-Inputs!$I$6)))/Inputs!$K$6)^2)))*1000/Inputs!$C$12),NA())</x:f>
        <x:v>717.3016346847704</x:v>
      </x:c>
      <x:c r="I82" s="48" t="n">
        <x:f>IF(OR(Inputs!$F$7=TRUE,Inputs!$F$7="TRUE",Inputs!$F$7=1),(((SQRT(((Inputs!$I$7+(((A82)+1)/2)*(Inputs!$J$7-Inputs!$I$7)))^2+Inputs!$C$6^2+((Inputs!$H$7+Inputs!$L$7*(((Inputs!$I$7+(((A82)+1)/2)*(Inputs!$J$7-Inputs!$I$7)))/Inputs!$K$7)^2))^2))-((Inputs!$H$7+Inputs!$L$7*(((Inputs!$I$7+(((A82)+1)/2)*(Inputs!$J$7-Inputs!$I$7)))/Inputs!$K$7)^2)))*1000/Inputs!$C$12),NA())</x:f>
        <x:v>44747.2490282315</x:v>
      </x:c>
      <x:c r="J82" s="48" t="n">
        <x:f>IF(OR(Inputs!$F$8=TRUE,Inputs!$F$8="TRUE",Inputs!$F$8=1),(((SQRT(((Inputs!$I$8+(((A82)+1)/2)*(Inputs!$J$8-Inputs!$I$8)))^2+Inputs!$C$6^2+((Inputs!$H$8+Inputs!$L$8*(((Inputs!$I$8+(((A82)+1)/2)*(Inputs!$J$8-Inputs!$I$8)))/Inputs!$K$8)^2))^2))-((Inputs!$H$8+Inputs!$L$8*(((Inputs!$I$8+(((A82)+1)/2)*(Inputs!$J$8-Inputs!$I$8)))/Inputs!$K$8)^2)))*1000/Inputs!$C$12),NA())</x:f>
        <x:v>90399.761380134</x:v>
      </x:c>
      <x:c r="K82" s="48" t="n">
        <x:f>IF(OR(Inputs!$F$9=TRUE,Inputs!$F$9="TRUE",Inputs!$F$9=1),(((SQRT(((Inputs!$I$9+(((A82)+1)/2)*(Inputs!$J$9-Inputs!$I$9)))^2+Inputs!$C$6^2+((Inputs!$H$9+Inputs!$L$9*(((Inputs!$I$9+(((A82)+1)/2)*(Inputs!$J$9-Inputs!$I$9)))/Inputs!$K$9)^2))^2))-((Inputs!$H$9+Inputs!$L$9*(((Inputs!$I$9+(((A82)+1)/2)*(Inputs!$J$9-Inputs!$I$9)))/Inputs!$K$9)^2)))*1000/Inputs!$C$12),NA())</x:f>
        <x:v>93111.10365792981</x:v>
      </x:c>
      <x:c r="L82" s="49"/>
      <x:c r="M82" s="48" t="n">
        <x:f>A82</x:f>
        <x:v>-0.333</x:v>
      </x:c>
      <x:c r="N82" s="48" t="n">
        <x:f>IF(OR(Inputs!$F$6=TRUE,Inputs!$F$6="TRUE",Inputs!$F$6=1),(-2*((1000*((((Inputs!$I$6+(((A82)+1)/2)*(Inputs!$J$6-Inputs!$I$6)))*Inputs!$C$11+((Inputs!$H$6+Inputs!$L$6*(((Inputs!$I$6+(((A82)+1)/2)*(Inputs!$J$6-Inputs!$I$6)))/Inputs!$K$6)^2))*((2*Inputs!$L$6*((Inputs!$I$6+(((A82)+1)/2)*(Inputs!$J$6-Inputs!$I$6)))/(Inputs!$K$6^2)*Inputs!$C$11)))/(SQRT(((Inputs!$I$6+(((A82)+1)/2)*(Inputs!$J$6-Inputs!$I$6)))^2+Inputs!$C$6^2+((Inputs!$H$6+Inputs!$L$6*(((Inputs!$I$6+(((A82)+1)/2)*(Inputs!$J$6-Inputs!$I$6)))/Inputs!$K$6)^2))^2)))))/Inputs!$C$13),NA())</x:f>
        <x:v>150.39195744163487</x:v>
      </x:c>
      <x:c r="O82" s="48" t="n">
        <x:f>IF(OR(Inputs!$F$7=TRUE,Inputs!$F$7="TRUE",Inputs!$F$7=1),(-2*((1000*((((Inputs!$I$7+(((A82)+1)/2)*(Inputs!$J$7-Inputs!$I$7)))*Inputs!$C$11+((Inputs!$H$7+Inputs!$L$7*(((Inputs!$I$7+(((A82)+1)/2)*(Inputs!$J$7-Inputs!$I$7)))/Inputs!$K$7)^2))*((2*Inputs!$L$7*((Inputs!$I$7+(((A82)+1)/2)*(Inputs!$J$7-Inputs!$I$7)))/(Inputs!$K$7^2)*Inputs!$C$11)))/(SQRT(((Inputs!$I$7+(((A82)+1)/2)*(Inputs!$J$7-Inputs!$I$7)))^2+Inputs!$C$6^2+((Inputs!$H$7+Inputs!$L$7*(((Inputs!$I$7+(((A82)+1)/2)*(Inputs!$J$7-Inputs!$I$7)))/Inputs!$K$7)^2))^2)))))/Inputs!$C$13),NA())</x:f>
        <x:v>1846.9565233298551</x:v>
      </x:c>
      <x:c r="P82" s="48" t="n">
        <x:f>IF(OR(Inputs!$F$8=TRUE,Inputs!$F$8="TRUE",Inputs!$F$8=1),(-2*((1000*((((Inputs!$I$8+(((A82)+1)/2)*(Inputs!$J$8-Inputs!$I$8)))*Inputs!$C$11+((Inputs!$H$8+Inputs!$L$8*(((Inputs!$I$8+(((A82)+1)/2)*(Inputs!$J$8-Inputs!$I$8)))/Inputs!$K$8)^2))*((2*Inputs!$L$8*((Inputs!$I$8+(((A82)+1)/2)*(Inputs!$J$8-Inputs!$I$8)))/(Inputs!$K$8^2)*Inputs!$C$11)))/(SQRT(((Inputs!$I$8+(((A82)+1)/2)*(Inputs!$J$8-Inputs!$I$8)))^2+Inputs!$C$6^2+((Inputs!$H$8+Inputs!$L$8*(((Inputs!$I$8+(((A82)+1)/2)*(Inputs!$J$8-Inputs!$I$8)))/Inputs!$K$8)^2))^2)))))/Inputs!$C$13),NA())</x:f>
        <x:v>2009.689620817151</x:v>
      </x:c>
      <x:c r="Q82" s="48" t="n">
        <x:f>IF(OR(Inputs!$F$9=TRUE,Inputs!$F$9="TRUE",Inputs!$F$9=1),(-2*((1000*((((Inputs!$I$9+(((A82)+1)/2)*(Inputs!$J$9-Inputs!$I$9)))*Inputs!$C$11+((Inputs!$H$9+Inputs!$L$9*(((Inputs!$I$9+(((A82)+1)/2)*(Inputs!$J$9-Inputs!$I$9)))/Inputs!$K$9)^2))*((2*Inputs!$L$9*((Inputs!$I$9+(((A82)+1)/2)*(Inputs!$J$9-Inputs!$I$9)))/(Inputs!$K$9^2)*Inputs!$C$11)))/(SQRT(((Inputs!$I$9+(((A82)+1)/2)*(Inputs!$J$9-Inputs!$I$9)))^2+Inputs!$C$6^2+((Inputs!$H$9+Inputs!$L$9*(((Inputs!$I$9+(((A82)+1)/2)*(Inputs!$J$9-Inputs!$I$9)))/Inputs!$K$9)^2))^2)))))/Inputs!$C$13),NA())</x:f>
        <x:v>2004.7169324333365</x:v>
      </x:c>
      <x:c r="R82" s="49"/>
      <x:c r="S82" s="48" t="n">
        <x:f>A82</x:f>
        <x:v>-0.333</x:v>
      </x:c>
      <x:c r="T82" s="48" t="n">
        <x:f>(Inputs!$I$6+(((A82)+1)/2)*(Inputs!$J$6-Inputs!$I$6))</x:f>
        <x:v>-19.979999999999997</x:v>
      </x:c>
      <x:c r="U82" s="48" t="n">
        <x:f>(Inputs!$I$7+(((A82)+1)/2)*(Inputs!$J$7-Inputs!$I$7))</x:f>
        <x:v>-133.2</x:v>
      </x:c>
      <x:c r="V82" s="48" t="n">
        <x:f>(Inputs!$I$8+(((A82)+1)/2)*(Inputs!$J$8-Inputs!$I$8))</x:f>
        <x:v>-266.4</x:v>
      </x:c>
      <x:c r="W82" s="48" t="n">
        <x:f>(Inputs!$I$9+(((A82)+1)/2)*(Inputs!$J$9-Inputs!$I$9))</x:f>
        <x:v>-266.4</x:v>
      </x:c>
      <x:c r="X82" s="49"/>
      <x:c r="Y82" s="48" t="n">
        <x:f>A82</x:f>
        <x:v>-0.333</x:v>
      </x:c>
      <x:c r="Z82" s="48" t="n">
        <x:f>(Inputs!$H$6+Inputs!$L$6*(((Inputs!$I$6+(((A82)+1)/2)*(Inputs!$J$6-Inputs!$I$6)))/Inputs!$K$6)^2)</x:f>
        <x:v>400.443556</x:v>
      </x:c>
      <x:c r="AA82" s="48" t="n">
        <x:f>(Inputs!$H$7+Inputs!$L$7*(((Inputs!$I$7+(((A82)+1)/2)*(Inputs!$J$7-Inputs!$I$7)))/Inputs!$K$7)^2)</x:f>
        <x:v>75.47448499999999</x:v>
      </x:c>
      <x:c r="AB82" s="48" t="n">
        <x:f>(Inputs!$H$8+Inputs!$L$8*(((Inputs!$I$8+(((A82)+1)/2)*(Inputs!$J$8-Inputs!$I$8)))/Inputs!$K$8)^2)</x:f>
        <x:v>142.007885</x:v>
      </x:c>
      <x:c r="AC82" s="48" t="n">
        <x:f>(Inputs!$H$9+Inputs!$L$9*(((Inputs!$I$9+(((A82)+1)/2)*(Inputs!$J$9-Inputs!$I$9)))/Inputs!$K$9)^2)</x:f>
        <x:v>133.11677499999996</x:v>
      </x:c>
      <x:c r="AD82" s="49"/>
      <x:c r="AE82" s="48" t="n">
        <x:f>A82</x:f>
        <x:v>-0.333</x:v>
      </x:c>
      <x:c r="AF82" s="48" t="n">
        <x:f>(((SQRT(((Inputs!$I$6+(((A82)+1)/2)*(Inputs!$J$6-Inputs!$I$6)))^2+Inputs!$C$6^2+((Inputs!$H$6+Inputs!$L$6*(((Inputs!$I$6+(((A82)+1)/2)*(Inputs!$J$6-Inputs!$I$6)))/Inputs!$K$6)^2))^2))-((Inputs!$H$6+Inputs!$L$6*(((Inputs!$I$6+(((A82)+1)/2)*(Inputs!$J$6-Inputs!$I$6)))/Inputs!$K$6)^2)))*1000/Inputs!$C$12)</x:f>
        <x:v>717.3016346847704</x:v>
      </x:c>
      <x:c r="AG82" s="48" t="n">
        <x:f>(((SQRT(((Inputs!$I$7+(((A82)+1)/2)*(Inputs!$J$7-Inputs!$I$7)))^2+Inputs!$C$6^2+((Inputs!$H$7+Inputs!$L$7*(((Inputs!$I$7+(((A82)+1)/2)*(Inputs!$J$7-Inputs!$I$7)))/Inputs!$K$7)^2))^2))-((Inputs!$H$7+Inputs!$L$7*(((Inputs!$I$7+(((A82)+1)/2)*(Inputs!$J$7-Inputs!$I$7)))/Inputs!$K$7)^2)))*1000/Inputs!$C$12)</x:f>
        <x:v>44747.2490282315</x:v>
      </x:c>
      <x:c r="AH82" s="48" t="n">
        <x:f>(((SQRT(((Inputs!$I$8+(((A82)+1)/2)*(Inputs!$J$8-Inputs!$I$8)))^2+Inputs!$C$6^2+((Inputs!$H$8+Inputs!$L$8*(((Inputs!$I$8+(((A82)+1)/2)*(Inputs!$J$8-Inputs!$I$8)))/Inputs!$K$8)^2))^2))-((Inputs!$H$8+Inputs!$L$8*(((Inputs!$I$8+(((A82)+1)/2)*(Inputs!$J$8-Inputs!$I$8)))/Inputs!$K$8)^2)))*1000/Inputs!$C$12)</x:f>
        <x:v>90399.761380134</x:v>
      </x:c>
      <x:c r="AI82" s="48" t="n">
        <x:f>(((SQRT(((Inputs!$I$9+(((A82)+1)/2)*(Inputs!$J$9-Inputs!$I$9)))^2+Inputs!$C$6^2+((Inputs!$H$9+Inputs!$L$9*(((Inputs!$I$9+(((A82)+1)/2)*(Inputs!$J$9-Inputs!$I$9)))/Inputs!$K$9)^2))^2))-((Inputs!$H$9+Inputs!$L$9*(((Inputs!$I$9+(((A82)+1)/2)*(Inputs!$J$9-Inputs!$I$9)))/Inputs!$K$9)^2)))*1000/Inputs!$C$12)</x:f>
        <x:v>93111.10365792981</x:v>
      </x:c>
      <x:c r="AJ82" s="49"/>
      <x:c r="AK82" s="48" t="n">
        <x:f>A82</x:f>
        <x:v>-0.333</x:v>
      </x:c>
      <x:c r="AL82" s="48" t="n">
        <x:f>(-2*((1000*((((Inputs!$I$6+(((A82)+1)/2)*(Inputs!$J$6-Inputs!$I$6)))*Inputs!$C$11+((Inputs!$H$6+Inputs!$L$6*(((Inputs!$I$6+(((A82)+1)/2)*(Inputs!$J$6-Inputs!$I$6)))/Inputs!$K$6)^2))*((2*Inputs!$L$6*((Inputs!$I$6+(((A82)+1)/2)*(Inputs!$J$6-Inputs!$I$6)))/(Inputs!$K$6^2)*Inputs!$C$11)))/(SQRT(((Inputs!$I$6+(((A82)+1)/2)*(Inputs!$J$6-Inputs!$I$6)))^2+Inputs!$C$6^2+((Inputs!$H$6+Inputs!$L$6*(((Inputs!$I$6+(((A82)+1)/2)*(Inputs!$J$6-Inputs!$I$6)))/Inputs!$K$6)^2))^2)))))/Inputs!$C$13)</x:f>
        <x:v>150.39195744163487</x:v>
      </x:c>
      <x:c r="AM82" s="48" t="n">
        <x:f>(-2*((1000*((((Inputs!$I$7+(((A82)+1)/2)*(Inputs!$J$7-Inputs!$I$7)))*Inputs!$C$11+((Inputs!$H$7+Inputs!$L$7*(((Inputs!$I$7+(((A82)+1)/2)*(Inputs!$J$7-Inputs!$I$7)))/Inputs!$K$7)^2))*((2*Inputs!$L$7*((Inputs!$I$7+(((A82)+1)/2)*(Inputs!$J$7-Inputs!$I$7)))/(Inputs!$K$7^2)*Inputs!$C$11)))/(SQRT(((Inputs!$I$7+(((A82)+1)/2)*(Inputs!$J$7-Inputs!$I$7)))^2+Inputs!$C$6^2+((Inputs!$H$7+Inputs!$L$7*(((Inputs!$I$7+(((A82)+1)/2)*(Inputs!$J$7-Inputs!$I$7)))/Inputs!$K$7)^2))^2)))))/Inputs!$C$13)</x:f>
        <x:v>1846.9565233298551</x:v>
      </x:c>
      <x:c r="AN82" s="48" t="n">
        <x:f>(-2*((1000*((((Inputs!$I$8+(((A82)+1)/2)*(Inputs!$J$8-Inputs!$I$8)))*Inputs!$C$11+((Inputs!$H$8+Inputs!$L$8*(((Inputs!$I$8+(((A82)+1)/2)*(Inputs!$J$8-Inputs!$I$8)))/Inputs!$K$8)^2))*((2*Inputs!$L$8*((Inputs!$I$8+(((A82)+1)/2)*(Inputs!$J$8-Inputs!$I$8)))/(Inputs!$K$8^2)*Inputs!$C$11)))/(SQRT(((Inputs!$I$8+(((A82)+1)/2)*(Inputs!$J$8-Inputs!$I$8)))^2+Inputs!$C$6^2+((Inputs!$H$8+Inputs!$L$8*(((Inputs!$I$8+(((A82)+1)/2)*(Inputs!$J$8-Inputs!$I$8)))/Inputs!$K$8)^2))^2)))))/Inputs!$C$13)</x:f>
        <x:v>2009.689620817151</x:v>
      </x:c>
      <x:c r="AO82" s="48" t="n">
        <x:f>(-2*((1000*((((Inputs!$I$9+(((A82)+1)/2)*(Inputs!$J$9-Inputs!$I$9)))*Inputs!$C$11+((Inputs!$H$9+Inputs!$L$9*(((Inputs!$I$9+(((A82)+1)/2)*(Inputs!$J$9-Inputs!$I$9)))/Inputs!$K$9)^2))*((2*Inputs!$L$9*((Inputs!$I$9+(((A82)+1)/2)*(Inputs!$J$9-Inputs!$I$9)))/(Inputs!$K$9^2)*Inputs!$C$11)))/(SQRT(((Inputs!$I$9+(((A82)+1)/2)*(Inputs!$J$9-Inputs!$I$9)))^2+Inputs!$C$6^2+((Inputs!$H$9+Inputs!$L$9*(((Inputs!$I$9+(((A82)+1)/2)*(Inputs!$J$9-Inputs!$I$9)))/Inputs!$K$9)^2))^2)))))/Inputs!$C$13)</x:f>
        <x:v>2004.7169324333365</x:v>
      </x:c>
    </x:row>
    <x:row r="83">
      <x:c r="A83" s="48" t="n">
        <x:f>ROUND(-1+81*2/240,3)</x:f>
        <x:v>-0.325</x:v>
      </x:c>
      <x:c r="B83" s="48" t="n">
        <x:f>IF(OR(Inputs!$F$6=TRUE,Inputs!$F$6="TRUE",Inputs!$F$6=1),(Inputs!$H$6+Inputs!$L$6*(((Inputs!$I$6+(((A83)+1)/2)*(Inputs!$J$6-Inputs!$I$6)))/Inputs!$K$6)^2),NA())</x:f>
        <x:v>400.4225</x:v>
      </x:c>
      <x:c r="C83" s="48" t="n">
        <x:f>IF(OR(Inputs!$F$7=TRUE,Inputs!$F$7="TRUE",Inputs!$F$7=1),(Inputs!$H$7+Inputs!$L$7*(((Inputs!$I$7+(((A83)+1)/2)*(Inputs!$J$7-Inputs!$I$7)))/Inputs!$K$7)^2),NA())</x:f>
        <x:v>73.553125</x:v>
      </x:c>
      <x:c r="D83" s="48" t="n">
        <x:f>IF(OR(Inputs!$F$8=TRUE,Inputs!$F$8="TRUE",Inputs!$F$8=1),(Inputs!$H$8+Inputs!$L$8*(((Inputs!$I$8+(((A83)+1)/2)*(Inputs!$J$8-Inputs!$I$8)))/Inputs!$K$8)^2),NA())</x:f>
        <x:v>136.92812500000002</x:v>
      </x:c>
      <x:c r="E83" s="48" t="n">
        <x:f>IF(OR(Inputs!$F$9=TRUE,Inputs!$F$9="TRUE",Inputs!$F$9=1),(Inputs!$H$9+Inputs!$L$9*(((Inputs!$I$9+(((A83)+1)/2)*(Inputs!$J$9-Inputs!$I$9)))/Inputs!$K$9)^2),NA())</x:f>
        <x:v>127.98437500000001</x:v>
      </x:c>
      <x:c r="F83" s="49"/>
      <x:c r="G83" s="48" t="n">
        <x:f>A83</x:f>
        <x:v>-0.325</x:v>
      </x:c>
      <x:c r="H83" s="48" t="n">
        <x:f>IF(OR(Inputs!$F$6=TRUE,Inputs!$F$6="TRUE",Inputs!$F$6=1),(((SQRT(((Inputs!$I$6+(((A83)+1)/2)*(Inputs!$J$6-Inputs!$I$6)))^2+Inputs!$C$6^2+((Inputs!$H$6+Inputs!$L$6*(((Inputs!$I$6+(((A83)+1)/2)*(Inputs!$J$6-Inputs!$I$6)))/Inputs!$K$6)^2))^2))-((Inputs!$H$6+Inputs!$L$6*(((Inputs!$I$6+(((A83)+1)/2)*(Inputs!$J$6-Inputs!$I$6)))/Inputs!$K$6)^2)))*1000/Inputs!$C$12),NA())</x:f>
        <x:v>704.0872775371171</x:v>
      </x:c>
      <x:c r="I83" s="48" t="n">
        <x:f>IF(OR(Inputs!$F$7=TRUE,Inputs!$F$7="TRUE",Inputs!$F$7=1),(((SQRT(((Inputs!$I$7+(((A83)+1)/2)*(Inputs!$J$7-Inputs!$I$7)))^2+Inputs!$C$6^2+((Inputs!$H$7+Inputs!$L$7*(((Inputs!$I$7+(((A83)+1)/2)*(Inputs!$J$7-Inputs!$I$7)))/Inputs!$K$7)^2))^2))-((Inputs!$H$7+Inputs!$L$7*(((Inputs!$I$7+(((A83)+1)/2)*(Inputs!$J$7-Inputs!$I$7)))/Inputs!$K$7)^2)))*1000/Inputs!$C$12),NA())</x:f>
        <x:v>43758.50503075387</x:v>
      </x:c>
      <x:c r="J83" s="48" t="n">
        <x:f>IF(OR(Inputs!$F$8=TRUE,Inputs!$F$8="TRUE",Inputs!$F$8=1),(((SQRT(((Inputs!$I$8+(((A83)+1)/2)*(Inputs!$J$8-Inputs!$I$8)))^2+Inputs!$C$6^2+((Inputs!$H$8+Inputs!$L$8*(((Inputs!$I$8+(((A83)+1)/2)*(Inputs!$J$8-Inputs!$I$8)))/Inputs!$K$8)^2))^2))-((Inputs!$H$8+Inputs!$L$8*(((Inputs!$I$8+(((A83)+1)/2)*(Inputs!$J$8-Inputs!$I$8)))/Inputs!$K$8)^2)))*1000/Inputs!$C$12),NA())</x:f>
        <x:v>88756.15147862001</x:v>
      </x:c>
      <x:c r="K83" s="48" t="n">
        <x:f>IF(OR(Inputs!$F$9=TRUE,Inputs!$F$9="TRUE",Inputs!$F$9=1),(((SQRT(((Inputs!$I$9+(((A83)+1)/2)*(Inputs!$J$9-Inputs!$I$9)))^2+Inputs!$C$6^2+((Inputs!$H$9+Inputs!$L$9*(((Inputs!$I$9+(((A83)+1)/2)*(Inputs!$J$9-Inputs!$I$9)))/Inputs!$K$9)^2))^2))-((Inputs!$H$9+Inputs!$L$9*(((Inputs!$I$9+(((A83)+1)/2)*(Inputs!$J$9-Inputs!$I$9)))/Inputs!$K$9)^2)))*1000/Inputs!$C$12),NA())</x:f>
        <x:v>91508.43365995074</x:v>
      </x:c>
      <x:c r="L83" s="49"/>
      <x:c r="M83" s="48" t="n">
        <x:f>A83</x:f>
        <x:v>-0.325</x:v>
      </x:c>
      <x:c r="N83" s="48" t="n">
        <x:f>IF(OR(Inputs!$F$6=TRUE,Inputs!$F$6="TRUE",Inputs!$F$6=1),(-2*((1000*((((Inputs!$I$6+(((A83)+1)/2)*(Inputs!$J$6-Inputs!$I$6)))*Inputs!$C$11+((Inputs!$H$6+Inputs!$L$6*(((Inputs!$I$6+(((A83)+1)/2)*(Inputs!$J$6-Inputs!$I$6)))/Inputs!$K$6)^2))*((2*Inputs!$L$6*((Inputs!$I$6+(((A83)+1)/2)*(Inputs!$J$6-Inputs!$I$6)))/(Inputs!$K$6^2)*Inputs!$C$11)))/(SQRT(((Inputs!$I$6+(((A83)+1)/2)*(Inputs!$J$6-Inputs!$I$6)))^2+Inputs!$C$6^2+((Inputs!$H$6+Inputs!$L$6*(((Inputs!$I$6+(((A83)+1)/2)*(Inputs!$J$6-Inputs!$I$6)))/Inputs!$K$6)^2))^2)))))/Inputs!$C$13),NA())</x:f>
        <x:v>146.79159233513667</x:v>
      </x:c>
      <x:c r="O83" s="48" t="n">
        <x:f>IF(OR(Inputs!$F$7=TRUE,Inputs!$F$7="TRUE",Inputs!$F$7=1),(-2*((1000*((((Inputs!$I$7+(((A83)+1)/2)*(Inputs!$J$7-Inputs!$I$7)))*Inputs!$C$11+((Inputs!$H$7+Inputs!$L$7*(((Inputs!$I$7+(((A83)+1)/2)*(Inputs!$J$7-Inputs!$I$7)))/Inputs!$K$7)^2))*((2*Inputs!$L$7*((Inputs!$I$7+(((A83)+1)/2)*(Inputs!$J$7-Inputs!$I$7)))/(Inputs!$K$7^2)*Inputs!$C$11)))/(SQRT(((Inputs!$I$7+(((A83)+1)/2)*(Inputs!$J$7-Inputs!$I$7)))^2+Inputs!$C$6^2+((Inputs!$H$7+Inputs!$L$7*(((Inputs!$I$7+(((A83)+1)/2)*(Inputs!$J$7-Inputs!$I$7)))/Inputs!$K$7)^2))^2)))))/Inputs!$C$13),NA())</x:f>
        <x:v>1834.3629711257395</x:v>
      </x:c>
      <x:c r="P83" s="48" t="n">
        <x:f>IF(OR(Inputs!$F$8=TRUE,Inputs!$F$8="TRUE",Inputs!$F$8=1),(-2*((1000*((((Inputs!$I$8+(((A83)+1)/2)*(Inputs!$J$8-Inputs!$I$8)))*Inputs!$C$11+((Inputs!$H$8+Inputs!$L$8*(((Inputs!$I$8+(((A83)+1)/2)*(Inputs!$J$8-Inputs!$I$8)))/Inputs!$K$8)^2))*((2*Inputs!$L$8*((Inputs!$I$8+(((A83)+1)/2)*(Inputs!$J$8-Inputs!$I$8)))/(Inputs!$K$8^2)*Inputs!$C$11)))/(SQRT(((Inputs!$I$8+(((A83)+1)/2)*(Inputs!$J$8-Inputs!$I$8)))^2+Inputs!$C$6^2+((Inputs!$H$8+Inputs!$L$8*(((Inputs!$I$8+(((A83)+1)/2)*(Inputs!$J$8-Inputs!$I$8)))/Inputs!$K$8)^2))^2)))))/Inputs!$C$13),NA())</x:f>
        <x:v>1993.0426635149645</x:v>
      </x:c>
      <x:c r="Q83" s="48" t="n">
        <x:f>IF(OR(Inputs!$F$9=TRUE,Inputs!$F$9="TRUE",Inputs!$F$9=1),(-2*((1000*((((Inputs!$I$9+(((A83)+1)/2)*(Inputs!$J$9-Inputs!$I$9)))*Inputs!$C$11+((Inputs!$H$9+Inputs!$L$9*(((Inputs!$I$9+(((A83)+1)/2)*(Inputs!$J$9-Inputs!$I$9)))/Inputs!$K$9)^2))*((2*Inputs!$L$9*((Inputs!$I$9+(((A83)+1)/2)*(Inputs!$J$9-Inputs!$I$9)))/(Inputs!$K$9^2)*Inputs!$C$11)))/(SQRT(((Inputs!$I$9+(((A83)+1)/2)*(Inputs!$J$9-Inputs!$I$9)))^2+Inputs!$C$6^2+((Inputs!$H$9+Inputs!$L$9*(((Inputs!$I$9+(((A83)+1)/2)*(Inputs!$J$9-Inputs!$I$9)))/Inputs!$K$9)^2))^2)))))/Inputs!$C$13),NA())</x:f>
        <x:v>1987.9032353516245</x:v>
      </x:c>
      <x:c r="R83" s="49"/>
      <x:c r="S83" s="48" t="n">
        <x:f>A83</x:f>
        <x:v>-0.325</x:v>
      </x:c>
      <x:c r="T83" s="48" t="n">
        <x:f>(Inputs!$I$6+(((A83)+1)/2)*(Inputs!$J$6-Inputs!$I$6))</x:f>
        <x:v>-19.5</x:v>
      </x:c>
      <x:c r="U83" s="48" t="n">
        <x:f>(Inputs!$I$7+(((A83)+1)/2)*(Inputs!$J$7-Inputs!$I$7))</x:f>
        <x:v>-130</x:v>
      </x:c>
      <x:c r="V83" s="48" t="n">
        <x:f>(Inputs!$I$8+(((A83)+1)/2)*(Inputs!$J$8-Inputs!$I$8))</x:f>
        <x:v>-260</x:v>
      </x:c>
      <x:c r="W83" s="48" t="n">
        <x:f>(Inputs!$I$9+(((A83)+1)/2)*(Inputs!$J$9-Inputs!$I$9))</x:f>
        <x:v>-260</x:v>
      </x:c>
      <x:c r="X83" s="49"/>
      <x:c r="Y83" s="48" t="n">
        <x:f>A83</x:f>
        <x:v>-0.325</x:v>
      </x:c>
      <x:c r="Z83" s="48" t="n">
        <x:f>(Inputs!$H$6+Inputs!$L$6*(((Inputs!$I$6+(((A83)+1)/2)*(Inputs!$J$6-Inputs!$I$6)))/Inputs!$K$6)^2)</x:f>
        <x:v>400.4225</x:v>
      </x:c>
      <x:c r="AA83" s="48" t="n">
        <x:f>(Inputs!$H$7+Inputs!$L$7*(((Inputs!$I$7+(((A83)+1)/2)*(Inputs!$J$7-Inputs!$I$7)))/Inputs!$K$7)^2)</x:f>
        <x:v>73.553125</x:v>
      </x:c>
      <x:c r="AB83" s="48" t="n">
        <x:f>(Inputs!$H$8+Inputs!$L$8*(((Inputs!$I$8+(((A83)+1)/2)*(Inputs!$J$8-Inputs!$I$8)))/Inputs!$K$8)^2)</x:f>
        <x:v>136.92812500000002</x:v>
      </x:c>
      <x:c r="AC83" s="48" t="n">
        <x:f>(Inputs!$H$9+Inputs!$L$9*(((Inputs!$I$9+(((A83)+1)/2)*(Inputs!$J$9-Inputs!$I$9)))/Inputs!$K$9)^2)</x:f>
        <x:v>127.98437500000001</x:v>
      </x:c>
      <x:c r="AD83" s="49"/>
      <x:c r="AE83" s="48" t="n">
        <x:f>A83</x:f>
        <x:v>-0.325</x:v>
      </x:c>
      <x:c r="AF83" s="48" t="n">
        <x:f>(((SQRT(((Inputs!$I$6+(((A83)+1)/2)*(Inputs!$J$6-Inputs!$I$6)))^2+Inputs!$C$6^2+((Inputs!$H$6+Inputs!$L$6*(((Inputs!$I$6+(((A83)+1)/2)*(Inputs!$J$6-Inputs!$I$6)))/Inputs!$K$6)^2))^2))-((Inputs!$H$6+Inputs!$L$6*(((Inputs!$I$6+(((A83)+1)/2)*(Inputs!$J$6-Inputs!$I$6)))/Inputs!$K$6)^2)))*1000/Inputs!$C$12)</x:f>
        <x:v>704.0872775371171</x:v>
      </x:c>
      <x:c r="AG83" s="48" t="n">
        <x:f>(((SQRT(((Inputs!$I$7+(((A83)+1)/2)*(Inputs!$J$7-Inputs!$I$7)))^2+Inputs!$C$6^2+((Inputs!$H$7+Inputs!$L$7*(((Inputs!$I$7+(((A83)+1)/2)*(Inputs!$J$7-Inputs!$I$7)))/Inputs!$K$7)^2))^2))-((Inputs!$H$7+Inputs!$L$7*(((Inputs!$I$7+(((A83)+1)/2)*(Inputs!$J$7-Inputs!$I$7)))/Inputs!$K$7)^2)))*1000/Inputs!$C$12)</x:f>
        <x:v>43758.50503075387</x:v>
      </x:c>
      <x:c r="AH83" s="48" t="n">
        <x:f>(((SQRT(((Inputs!$I$8+(((A83)+1)/2)*(Inputs!$J$8-Inputs!$I$8)))^2+Inputs!$C$6^2+((Inputs!$H$8+Inputs!$L$8*(((Inputs!$I$8+(((A83)+1)/2)*(Inputs!$J$8-Inputs!$I$8)))/Inputs!$K$8)^2))^2))-((Inputs!$H$8+Inputs!$L$8*(((Inputs!$I$8+(((A83)+1)/2)*(Inputs!$J$8-Inputs!$I$8)))/Inputs!$K$8)^2)))*1000/Inputs!$C$12)</x:f>
        <x:v>88756.15147862001</x:v>
      </x:c>
      <x:c r="AI83" s="48" t="n">
        <x:f>(((SQRT(((Inputs!$I$9+(((A83)+1)/2)*(Inputs!$J$9-Inputs!$I$9)))^2+Inputs!$C$6^2+((Inputs!$H$9+Inputs!$L$9*(((Inputs!$I$9+(((A83)+1)/2)*(Inputs!$J$9-Inputs!$I$9)))/Inputs!$K$9)^2))^2))-((Inputs!$H$9+Inputs!$L$9*(((Inputs!$I$9+(((A83)+1)/2)*(Inputs!$J$9-Inputs!$I$9)))/Inputs!$K$9)^2)))*1000/Inputs!$C$12)</x:f>
        <x:v>91508.43365995074</x:v>
      </x:c>
      <x:c r="AJ83" s="49"/>
      <x:c r="AK83" s="48" t="n">
        <x:f>A83</x:f>
        <x:v>-0.325</x:v>
      </x:c>
      <x:c r="AL83" s="48" t="n">
        <x:f>(-2*((1000*((((Inputs!$I$6+(((A83)+1)/2)*(Inputs!$J$6-Inputs!$I$6)))*Inputs!$C$11+((Inputs!$H$6+Inputs!$L$6*(((Inputs!$I$6+(((A83)+1)/2)*(Inputs!$J$6-Inputs!$I$6)))/Inputs!$K$6)^2))*((2*Inputs!$L$6*((Inputs!$I$6+(((A83)+1)/2)*(Inputs!$J$6-Inputs!$I$6)))/(Inputs!$K$6^2)*Inputs!$C$11)))/(SQRT(((Inputs!$I$6+(((A83)+1)/2)*(Inputs!$J$6-Inputs!$I$6)))^2+Inputs!$C$6^2+((Inputs!$H$6+Inputs!$L$6*(((Inputs!$I$6+(((A83)+1)/2)*(Inputs!$J$6-Inputs!$I$6)))/Inputs!$K$6)^2))^2)))))/Inputs!$C$13)</x:f>
        <x:v>146.79159233513667</x:v>
      </x:c>
      <x:c r="AM83" s="48" t="n">
        <x:f>(-2*((1000*((((Inputs!$I$7+(((A83)+1)/2)*(Inputs!$J$7-Inputs!$I$7)))*Inputs!$C$11+((Inputs!$H$7+Inputs!$L$7*(((Inputs!$I$7+(((A83)+1)/2)*(Inputs!$J$7-Inputs!$I$7)))/Inputs!$K$7)^2))*((2*Inputs!$L$7*((Inputs!$I$7+(((A83)+1)/2)*(Inputs!$J$7-Inputs!$I$7)))/(Inputs!$K$7^2)*Inputs!$C$11)))/(SQRT(((Inputs!$I$7+(((A83)+1)/2)*(Inputs!$J$7-Inputs!$I$7)))^2+Inputs!$C$6^2+((Inputs!$H$7+Inputs!$L$7*(((Inputs!$I$7+(((A83)+1)/2)*(Inputs!$J$7-Inputs!$I$7)))/Inputs!$K$7)^2))^2)))))/Inputs!$C$13)</x:f>
        <x:v>1834.3629711257395</x:v>
      </x:c>
      <x:c r="AN83" s="48" t="n">
        <x:f>(-2*((1000*((((Inputs!$I$8+(((A83)+1)/2)*(Inputs!$J$8-Inputs!$I$8)))*Inputs!$C$11+((Inputs!$H$8+Inputs!$L$8*(((Inputs!$I$8+(((A83)+1)/2)*(Inputs!$J$8-Inputs!$I$8)))/Inputs!$K$8)^2))*((2*Inputs!$L$8*((Inputs!$I$8+(((A83)+1)/2)*(Inputs!$J$8-Inputs!$I$8)))/(Inputs!$K$8^2)*Inputs!$C$11)))/(SQRT(((Inputs!$I$8+(((A83)+1)/2)*(Inputs!$J$8-Inputs!$I$8)))^2+Inputs!$C$6^2+((Inputs!$H$8+Inputs!$L$8*(((Inputs!$I$8+(((A83)+1)/2)*(Inputs!$J$8-Inputs!$I$8)))/Inputs!$K$8)^2))^2)))))/Inputs!$C$13)</x:f>
        <x:v>1993.0426635149645</x:v>
      </x:c>
      <x:c r="AO83" s="48" t="n">
        <x:f>(-2*((1000*((((Inputs!$I$9+(((A83)+1)/2)*(Inputs!$J$9-Inputs!$I$9)))*Inputs!$C$11+((Inputs!$H$9+Inputs!$L$9*(((Inputs!$I$9+(((A83)+1)/2)*(Inputs!$J$9-Inputs!$I$9)))/Inputs!$K$9)^2))*((2*Inputs!$L$9*((Inputs!$I$9+(((A83)+1)/2)*(Inputs!$J$9-Inputs!$I$9)))/(Inputs!$K$9^2)*Inputs!$C$11)))/(SQRT(((Inputs!$I$9+(((A83)+1)/2)*(Inputs!$J$9-Inputs!$I$9)))^2+Inputs!$C$6^2+((Inputs!$H$9+Inputs!$L$9*(((Inputs!$I$9+(((A83)+1)/2)*(Inputs!$J$9-Inputs!$I$9)))/Inputs!$K$9)^2))^2)))))/Inputs!$C$13)</x:f>
        <x:v>1987.9032353516245</x:v>
      </x:c>
    </x:row>
    <x:row r="84">
      <x:c r="A84" s="48" t="n">
        <x:f>ROUND(-1+82*2/240,3)</x:f>
        <x:v>-0.317</x:v>
      </x:c>
      <x:c r="B84" s="48" t="n">
        <x:f>IF(OR(Inputs!$F$6=TRUE,Inputs!$F$6="TRUE",Inputs!$F$6=1),(Inputs!$H$6+Inputs!$L$6*(((Inputs!$I$6+(((A84)+1)/2)*(Inputs!$J$6-Inputs!$I$6)))/Inputs!$K$6)^2),NA())</x:f>
        <x:v>400.401956</x:v>
      </x:c>
      <x:c r="C84" s="48" t="n">
        <x:f>IF(OR(Inputs!$F$7=TRUE,Inputs!$F$7="TRUE",Inputs!$F$7=1),(Inputs!$H$7+Inputs!$L$7*(((Inputs!$I$7+(((A84)+1)/2)*(Inputs!$J$7-Inputs!$I$7)))/Inputs!$K$7)^2),NA())</x:f>
        <x:v>71.67848499999997</x:v>
      </x:c>
      <x:c r="D84" s="48" t="n">
        <x:f>IF(OR(Inputs!$F$8=TRUE,Inputs!$F$8="TRUE",Inputs!$F$8=1),(Inputs!$H$8+Inputs!$L$8*(((Inputs!$I$8+(((A84)+1)/2)*(Inputs!$J$8-Inputs!$I$8)))/Inputs!$K$8)^2),NA())</x:f>
        <x:v>131.97188499999993</x:v>
      </x:c>
      <x:c r="E84" s="48" t="n">
        <x:f>IF(OR(Inputs!$F$9=TRUE,Inputs!$F$9="TRUE",Inputs!$F$9=1),(Inputs!$H$9+Inputs!$L$9*(((Inputs!$I$9+(((A84)+1)/2)*(Inputs!$J$9-Inputs!$I$9)))/Inputs!$K$9)^2),NA())</x:f>
        <x:v>122.97677499999993</x:v>
      </x:c>
      <x:c r="F84" s="49"/>
      <x:c r="G84" s="48" t="n">
        <x:f>A84</x:f>
        <x:v>-0.317</x:v>
      </x:c>
      <x:c r="H84" s="48" t="n">
        <x:f>IF(OR(Inputs!$F$6=TRUE,Inputs!$F$6="TRUE",Inputs!$F$6=1),(((SQRT(((Inputs!$I$6+(((A84)+1)/2)*(Inputs!$J$6-Inputs!$I$6)))^2+Inputs!$C$6^2+((Inputs!$H$6+Inputs!$L$6*(((Inputs!$I$6+(((A84)+1)/2)*(Inputs!$J$6-Inputs!$I$6)))/Inputs!$K$6)^2))^2))-((Inputs!$H$6+Inputs!$L$6*(((Inputs!$I$6+(((A84)+1)/2)*(Inputs!$J$6-Inputs!$I$6)))/Inputs!$K$6)^2)))*1000/Inputs!$C$12),NA())</x:f>
        <x:v>691.1921608185479</x:v>
      </x:c>
      <x:c r="I84" s="48" t="n">
        <x:f>IF(OR(Inputs!$F$7=TRUE,Inputs!$F$7="TRUE",Inputs!$F$7=1),(((SQRT(((Inputs!$I$7+(((A84)+1)/2)*(Inputs!$J$7-Inputs!$I$7)))^2+Inputs!$C$6^2+((Inputs!$H$7+Inputs!$L$7*(((Inputs!$I$7+(((A84)+1)/2)*(Inputs!$J$7-Inputs!$I$7)))/Inputs!$K$7)^2))^2))-((Inputs!$H$7+Inputs!$L$7*(((Inputs!$I$7+(((A84)+1)/2)*(Inputs!$J$7-Inputs!$I$7)))/Inputs!$K$7)^2)))*1000/Inputs!$C$12),NA())</x:f>
        <x:v>42757.68363161098</x:v>
      </x:c>
      <x:c r="J84" s="48" t="n">
        <x:f>IF(OR(Inputs!$F$8=TRUE,Inputs!$F$8="TRUE",Inputs!$F$8=1),(((SQRT(((Inputs!$I$8+(((A84)+1)/2)*(Inputs!$J$8-Inputs!$I$8)))^2+Inputs!$C$6^2+((Inputs!$H$8+Inputs!$L$8*(((Inputs!$I$8+(((A84)+1)/2)*(Inputs!$J$8-Inputs!$I$8)))/Inputs!$K$8)^2))^2))-((Inputs!$H$8+Inputs!$L$8*(((Inputs!$I$8+(((A84)+1)/2)*(Inputs!$J$8-Inputs!$I$8)))/Inputs!$K$8)^2)))*1000/Inputs!$C$12),NA())</x:f>
        <x:v>87080.29186630493</x:v>
      </x:c>
      <x:c r="K84" s="48" t="n">
        <x:f>IF(OR(Inputs!$F$9=TRUE,Inputs!$F$9="TRUE",Inputs!$F$9=1),(((SQRT(((Inputs!$I$9+(((A84)+1)/2)*(Inputs!$J$9-Inputs!$I$9)))^2+Inputs!$C$6^2+((Inputs!$H$9+Inputs!$L$9*(((Inputs!$I$9+(((A84)+1)/2)*(Inputs!$J$9-Inputs!$I$9)))/Inputs!$K$9)^2))^2))-((Inputs!$H$9+Inputs!$L$9*(((Inputs!$I$9+(((A84)+1)/2)*(Inputs!$J$9-Inputs!$I$9)))/Inputs!$K$9)^2)))*1000/Inputs!$C$12),NA())</x:f>
        <x:v>89873.13905459752</x:v>
      </x:c>
      <x:c r="L84" s="49"/>
      <x:c r="M84" s="48" t="n">
        <x:f>A84</x:f>
        <x:v>-0.317</x:v>
      </x:c>
      <x:c r="N84" s="48" t="n">
        <x:f>IF(OR(Inputs!$F$6=TRUE,Inputs!$F$6="TRUE",Inputs!$F$6=1),(-2*((1000*((((Inputs!$I$6+(((A84)+1)/2)*(Inputs!$J$6-Inputs!$I$6)))*Inputs!$C$11+((Inputs!$H$6+Inputs!$L$6*(((Inputs!$I$6+(((A84)+1)/2)*(Inputs!$J$6-Inputs!$I$6)))/Inputs!$K$6)^2))*((2*Inputs!$L$6*((Inputs!$I$6+(((A84)+1)/2)*(Inputs!$J$6-Inputs!$I$6)))/(Inputs!$K$6^2)*Inputs!$C$11)))/(SQRT(((Inputs!$I$6+(((A84)+1)/2)*(Inputs!$J$6-Inputs!$I$6)))^2+Inputs!$C$6^2+((Inputs!$H$6+Inputs!$L$6*(((Inputs!$I$6+(((A84)+1)/2)*(Inputs!$J$6-Inputs!$I$6)))/Inputs!$K$6)^2))^2)))))/Inputs!$C$13),NA())</x:f>
        <x:v>143.19030803711888</x:v>
      </x:c>
      <x:c r="O84" s="48" t="n">
        <x:f>IF(OR(Inputs!$F$7=TRUE,Inputs!$F$7="TRUE",Inputs!$F$7=1),(-2*((1000*((((Inputs!$I$7+(((A84)+1)/2)*(Inputs!$J$7-Inputs!$I$7)))*Inputs!$C$11+((Inputs!$H$7+Inputs!$L$7*(((Inputs!$I$7+(((A84)+1)/2)*(Inputs!$J$7-Inputs!$I$7)))/Inputs!$K$7)^2))*((2*Inputs!$L$7*((Inputs!$I$7+(((A84)+1)/2)*(Inputs!$J$7-Inputs!$I$7)))/(Inputs!$K$7^2)*Inputs!$C$11)))/(SQRT(((Inputs!$I$7+(((A84)+1)/2)*(Inputs!$J$7-Inputs!$I$7)))^2+Inputs!$C$6^2+((Inputs!$H$7+Inputs!$L$7*(((Inputs!$I$7+(((A84)+1)/2)*(Inputs!$J$7-Inputs!$I$7)))/Inputs!$K$7)^2))^2)))))/Inputs!$C$13),NA())</x:f>
        <x:v>1821.7311264334853</x:v>
      </x:c>
      <x:c r="P84" s="48" t="n">
        <x:f>IF(OR(Inputs!$F$8=TRUE,Inputs!$F$8="TRUE",Inputs!$F$8=1),(-2*((1000*((((Inputs!$I$8+(((A84)+1)/2)*(Inputs!$J$8-Inputs!$I$8)))*Inputs!$C$11+((Inputs!$H$8+Inputs!$L$8*(((Inputs!$I$8+(((A84)+1)/2)*(Inputs!$J$8-Inputs!$I$8)))/Inputs!$K$8)^2))*((2*Inputs!$L$8*((Inputs!$I$8+(((A84)+1)/2)*(Inputs!$J$8-Inputs!$I$8)))/(Inputs!$K$8^2)*Inputs!$C$11)))/(SQRT(((Inputs!$I$8+(((A84)+1)/2)*(Inputs!$J$8-Inputs!$I$8)))^2+Inputs!$C$6^2+((Inputs!$H$8+Inputs!$L$8*(((Inputs!$I$8+(((A84)+1)/2)*(Inputs!$J$8-Inputs!$I$8)))/Inputs!$K$8)^2))^2)))))/Inputs!$C$13),NA())</x:f>
        <x:v>1976.6314986031077</x:v>
      </x:c>
      <x:c r="Q84" s="48" t="n">
        <x:f>IF(OR(Inputs!$F$9=TRUE,Inputs!$F$9="TRUE",Inputs!$F$9=1),(-2*((1000*((((Inputs!$I$9+(((A84)+1)/2)*(Inputs!$J$9-Inputs!$I$9)))*Inputs!$C$11+((Inputs!$H$9+Inputs!$L$9*(((Inputs!$I$9+(((A84)+1)/2)*(Inputs!$J$9-Inputs!$I$9)))/Inputs!$K$9)^2))*((2*Inputs!$L$9*((Inputs!$I$9+(((A84)+1)/2)*(Inputs!$J$9-Inputs!$I$9)))/(Inputs!$K$9^2)*Inputs!$C$11)))/(SQRT(((Inputs!$I$9+(((A84)+1)/2)*(Inputs!$J$9-Inputs!$I$9)))^2+Inputs!$C$6^2+((Inputs!$H$9+Inputs!$L$9*(((Inputs!$I$9+(((A84)+1)/2)*(Inputs!$J$9-Inputs!$I$9)))/Inputs!$K$9)^2))^2)))))/Inputs!$C$13),NA())</x:f>
        <x:v>1971.352851993303</x:v>
      </x:c>
      <x:c r="R84" s="49"/>
      <x:c r="S84" s="48" t="n">
        <x:f>A84</x:f>
        <x:v>-0.317</x:v>
      </x:c>
      <x:c r="T84" s="48" t="n">
        <x:f>(Inputs!$I$6+(((A84)+1)/2)*(Inputs!$J$6-Inputs!$I$6))</x:f>
        <x:v>-19.019999999999996</x:v>
      </x:c>
      <x:c r="U84" s="48" t="n">
        <x:f>(Inputs!$I$7+(((A84)+1)/2)*(Inputs!$J$7-Inputs!$I$7))</x:f>
        <x:v>-126.79999999999995</x:v>
      </x:c>
      <x:c r="V84" s="48" t="n">
        <x:f>(Inputs!$I$8+(((A84)+1)/2)*(Inputs!$J$8-Inputs!$I$8))</x:f>
        <x:v>-253.5999999999999</x:v>
      </x:c>
      <x:c r="W84" s="48" t="n">
        <x:f>(Inputs!$I$9+(((A84)+1)/2)*(Inputs!$J$9-Inputs!$I$9))</x:f>
        <x:v>-253.5999999999999</x:v>
      </x:c>
      <x:c r="X84" s="49"/>
      <x:c r="Y84" s="48" t="n">
        <x:f>A84</x:f>
        <x:v>-0.317</x:v>
      </x:c>
      <x:c r="Z84" s="48" t="n">
        <x:f>(Inputs!$H$6+Inputs!$L$6*(((Inputs!$I$6+(((A84)+1)/2)*(Inputs!$J$6-Inputs!$I$6)))/Inputs!$K$6)^2)</x:f>
        <x:v>400.401956</x:v>
      </x:c>
      <x:c r="AA84" s="48" t="n">
        <x:f>(Inputs!$H$7+Inputs!$L$7*(((Inputs!$I$7+(((A84)+1)/2)*(Inputs!$J$7-Inputs!$I$7)))/Inputs!$K$7)^2)</x:f>
        <x:v>71.67848499999997</x:v>
      </x:c>
      <x:c r="AB84" s="48" t="n">
        <x:f>(Inputs!$H$8+Inputs!$L$8*(((Inputs!$I$8+(((A84)+1)/2)*(Inputs!$J$8-Inputs!$I$8)))/Inputs!$K$8)^2)</x:f>
        <x:v>131.97188499999993</x:v>
      </x:c>
      <x:c r="AC84" s="48" t="n">
        <x:f>(Inputs!$H$9+Inputs!$L$9*(((Inputs!$I$9+(((A84)+1)/2)*(Inputs!$J$9-Inputs!$I$9)))/Inputs!$K$9)^2)</x:f>
        <x:v>122.97677499999993</x:v>
      </x:c>
      <x:c r="AD84" s="49"/>
      <x:c r="AE84" s="48" t="n">
        <x:f>A84</x:f>
        <x:v>-0.317</x:v>
      </x:c>
      <x:c r="AF84" s="48" t="n">
        <x:f>(((SQRT(((Inputs!$I$6+(((A84)+1)/2)*(Inputs!$J$6-Inputs!$I$6)))^2+Inputs!$C$6^2+((Inputs!$H$6+Inputs!$L$6*(((Inputs!$I$6+(((A84)+1)/2)*(Inputs!$J$6-Inputs!$I$6)))/Inputs!$K$6)^2))^2))-((Inputs!$H$6+Inputs!$L$6*(((Inputs!$I$6+(((A84)+1)/2)*(Inputs!$J$6-Inputs!$I$6)))/Inputs!$K$6)^2)))*1000/Inputs!$C$12)</x:f>
        <x:v>691.1921608185479</x:v>
      </x:c>
      <x:c r="AG84" s="48" t="n">
        <x:f>(((SQRT(((Inputs!$I$7+(((A84)+1)/2)*(Inputs!$J$7-Inputs!$I$7)))^2+Inputs!$C$6^2+((Inputs!$H$7+Inputs!$L$7*(((Inputs!$I$7+(((A84)+1)/2)*(Inputs!$J$7-Inputs!$I$7)))/Inputs!$K$7)^2))^2))-((Inputs!$H$7+Inputs!$L$7*(((Inputs!$I$7+(((A84)+1)/2)*(Inputs!$J$7-Inputs!$I$7)))/Inputs!$K$7)^2)))*1000/Inputs!$C$12)</x:f>
        <x:v>42757.68363161098</x:v>
      </x:c>
      <x:c r="AH84" s="48" t="n">
        <x:f>(((SQRT(((Inputs!$I$8+(((A84)+1)/2)*(Inputs!$J$8-Inputs!$I$8)))^2+Inputs!$C$6^2+((Inputs!$H$8+Inputs!$L$8*(((Inputs!$I$8+(((A84)+1)/2)*(Inputs!$J$8-Inputs!$I$8)))/Inputs!$K$8)^2))^2))-((Inputs!$H$8+Inputs!$L$8*(((Inputs!$I$8+(((A84)+1)/2)*(Inputs!$J$8-Inputs!$I$8)))/Inputs!$K$8)^2)))*1000/Inputs!$C$12)</x:f>
        <x:v>87080.29186630493</x:v>
      </x:c>
      <x:c r="AI84" s="48" t="n">
        <x:f>(((SQRT(((Inputs!$I$9+(((A84)+1)/2)*(Inputs!$J$9-Inputs!$I$9)))^2+Inputs!$C$6^2+((Inputs!$H$9+Inputs!$L$9*(((Inputs!$I$9+(((A84)+1)/2)*(Inputs!$J$9-Inputs!$I$9)))/Inputs!$K$9)^2))^2))-((Inputs!$H$9+Inputs!$L$9*(((Inputs!$I$9+(((A84)+1)/2)*(Inputs!$J$9-Inputs!$I$9)))/Inputs!$K$9)^2)))*1000/Inputs!$C$12)</x:f>
        <x:v>89873.13905459752</x:v>
      </x:c>
      <x:c r="AJ84" s="49"/>
      <x:c r="AK84" s="48" t="n">
        <x:f>A84</x:f>
        <x:v>-0.317</x:v>
      </x:c>
      <x:c r="AL84" s="48" t="n">
        <x:f>(-2*((1000*((((Inputs!$I$6+(((A84)+1)/2)*(Inputs!$J$6-Inputs!$I$6)))*Inputs!$C$11+((Inputs!$H$6+Inputs!$L$6*(((Inputs!$I$6+(((A84)+1)/2)*(Inputs!$J$6-Inputs!$I$6)))/Inputs!$K$6)^2))*((2*Inputs!$L$6*((Inputs!$I$6+(((A84)+1)/2)*(Inputs!$J$6-Inputs!$I$6)))/(Inputs!$K$6^2)*Inputs!$C$11)))/(SQRT(((Inputs!$I$6+(((A84)+1)/2)*(Inputs!$J$6-Inputs!$I$6)))^2+Inputs!$C$6^2+((Inputs!$H$6+Inputs!$L$6*(((Inputs!$I$6+(((A84)+1)/2)*(Inputs!$J$6-Inputs!$I$6)))/Inputs!$K$6)^2))^2)))))/Inputs!$C$13)</x:f>
        <x:v>143.19030803711888</x:v>
      </x:c>
      <x:c r="AM84" s="48" t="n">
        <x:f>(-2*((1000*((((Inputs!$I$7+(((A84)+1)/2)*(Inputs!$J$7-Inputs!$I$7)))*Inputs!$C$11+((Inputs!$H$7+Inputs!$L$7*(((Inputs!$I$7+(((A84)+1)/2)*(Inputs!$J$7-Inputs!$I$7)))/Inputs!$K$7)^2))*((2*Inputs!$L$7*((Inputs!$I$7+(((A84)+1)/2)*(Inputs!$J$7-Inputs!$I$7)))/(Inputs!$K$7^2)*Inputs!$C$11)))/(SQRT(((Inputs!$I$7+(((A84)+1)/2)*(Inputs!$J$7-Inputs!$I$7)))^2+Inputs!$C$6^2+((Inputs!$H$7+Inputs!$L$7*(((Inputs!$I$7+(((A84)+1)/2)*(Inputs!$J$7-Inputs!$I$7)))/Inputs!$K$7)^2))^2)))))/Inputs!$C$13)</x:f>
        <x:v>1821.7311264334853</x:v>
      </x:c>
      <x:c r="AN84" s="48" t="n">
        <x:f>(-2*((1000*((((Inputs!$I$8+(((A84)+1)/2)*(Inputs!$J$8-Inputs!$I$8)))*Inputs!$C$11+((Inputs!$H$8+Inputs!$L$8*(((Inputs!$I$8+(((A84)+1)/2)*(Inputs!$J$8-Inputs!$I$8)))/Inputs!$K$8)^2))*((2*Inputs!$L$8*((Inputs!$I$8+(((A84)+1)/2)*(Inputs!$J$8-Inputs!$I$8)))/(Inputs!$K$8^2)*Inputs!$C$11)))/(SQRT(((Inputs!$I$8+(((A84)+1)/2)*(Inputs!$J$8-Inputs!$I$8)))^2+Inputs!$C$6^2+((Inputs!$H$8+Inputs!$L$8*(((Inputs!$I$8+(((A84)+1)/2)*(Inputs!$J$8-Inputs!$I$8)))/Inputs!$K$8)^2))^2)))))/Inputs!$C$13)</x:f>
        <x:v>1976.6314986031077</x:v>
      </x:c>
      <x:c r="AO84" s="48" t="n">
        <x:f>(-2*((1000*((((Inputs!$I$9+(((A84)+1)/2)*(Inputs!$J$9-Inputs!$I$9)))*Inputs!$C$11+((Inputs!$H$9+Inputs!$L$9*(((Inputs!$I$9+(((A84)+1)/2)*(Inputs!$J$9-Inputs!$I$9)))/Inputs!$K$9)^2))*((2*Inputs!$L$9*((Inputs!$I$9+(((A84)+1)/2)*(Inputs!$J$9-Inputs!$I$9)))/(Inputs!$K$9^2)*Inputs!$C$11)))/(SQRT(((Inputs!$I$9+(((A84)+1)/2)*(Inputs!$J$9-Inputs!$I$9)))^2+Inputs!$C$6^2+((Inputs!$H$9+Inputs!$L$9*(((Inputs!$I$9+(((A84)+1)/2)*(Inputs!$J$9-Inputs!$I$9)))/Inputs!$K$9)^2))^2)))))/Inputs!$C$13)</x:f>
        <x:v>1971.352851993303</x:v>
      </x:c>
    </x:row>
    <x:row r="85">
      <x:c r="A85" s="48" t="n">
        <x:f>ROUND(-1+83*2/240,3)</x:f>
        <x:v>-0.308</x:v>
      </x:c>
      <x:c r="B85" s="48" t="n">
        <x:f>IF(OR(Inputs!$F$6=TRUE,Inputs!$F$6="TRUE",Inputs!$F$6=1),(Inputs!$H$6+Inputs!$L$6*(((Inputs!$I$6+(((A85)+1)/2)*(Inputs!$J$6-Inputs!$I$6)))/Inputs!$K$6)^2),NA())</x:f>
        <x:v>400.379456</x:v>
      </x:c>
      <x:c r="C85" s="48" t="n">
        <x:f>IF(OR(Inputs!$F$7=TRUE,Inputs!$F$7="TRUE",Inputs!$F$7=1),(Inputs!$H$7+Inputs!$L$7*(((Inputs!$I$7+(((A85)+1)/2)*(Inputs!$J$7-Inputs!$I$7)))/Inputs!$K$7)^2),NA())</x:f>
        <x:v>69.62536000000003</x:v>
      </x:c>
      <x:c r="D85" s="48" t="n">
        <x:f>IF(OR(Inputs!$F$8=TRUE,Inputs!$F$8="TRUE",Inputs!$F$8=1),(Inputs!$H$8+Inputs!$L$8*(((Inputs!$I$8+(((A85)+1)/2)*(Inputs!$J$8-Inputs!$I$8)))/Inputs!$K$8)^2),NA())</x:f>
        <x:v>126.54376000000006</x:v>
      </x:c>
      <x:c r="E85" s="48" t="n">
        <x:f>IF(OR(Inputs!$F$9=TRUE,Inputs!$F$9="TRUE",Inputs!$F$9=1),(Inputs!$H$9+Inputs!$L$9*(((Inputs!$I$9+(((A85)+1)/2)*(Inputs!$J$9-Inputs!$I$9)))/Inputs!$K$9)^2),NA())</x:f>
        <x:v>117.49240000000006</x:v>
      </x:c>
      <x:c r="F85" s="49"/>
      <x:c r="G85" s="48" t="n">
        <x:f>A85</x:f>
        <x:v>-0.308</x:v>
      </x:c>
      <x:c r="H85" s="48" t="n">
        <x:f>IF(OR(Inputs!$F$6=TRUE,Inputs!$F$6="TRUE",Inputs!$F$6=1),(((SQRT(((Inputs!$I$6+(((A85)+1)/2)*(Inputs!$J$6-Inputs!$I$6)))^2+Inputs!$C$6^2+((Inputs!$H$6+Inputs!$L$6*(((Inputs!$I$6+(((A85)+1)/2)*(Inputs!$J$6-Inputs!$I$6)))/Inputs!$K$6)^2))^2))-((Inputs!$H$6+Inputs!$L$6*(((Inputs!$I$6+(((A85)+1)/2)*(Inputs!$J$6-Inputs!$I$6)))/Inputs!$K$6)^2)))*1000/Inputs!$C$12),NA())</x:f>
        <x:v>677.0669370112773</x:v>
      </x:c>
      <x:c r="I85" s="48" t="n">
        <x:f>IF(OR(Inputs!$F$7=TRUE,Inputs!$F$7="TRUE",Inputs!$F$7=1),(((SQRT(((Inputs!$I$7+(((A85)+1)/2)*(Inputs!$J$7-Inputs!$I$7)))^2+Inputs!$C$6^2+((Inputs!$H$7+Inputs!$L$7*(((Inputs!$I$7+(((A85)+1)/2)*(Inputs!$J$7-Inputs!$I$7)))/Inputs!$K$7)^2))^2))-((Inputs!$H$7+Inputs!$L$7*(((Inputs!$I$7+(((A85)+1)/2)*(Inputs!$J$7-Inputs!$I$7)))/Inputs!$K$7)^2)))*1000/Inputs!$C$12),NA())</x:f>
        <x:v>41617.39163302956</x:v>
      </x:c>
      <x:c r="J85" s="48" t="n">
        <x:f>IF(OR(Inputs!$F$8=TRUE,Inputs!$F$8="TRUE",Inputs!$F$8=1),(((SQRT(((Inputs!$I$8+(((A85)+1)/2)*(Inputs!$J$8-Inputs!$I$8)))^2+Inputs!$C$6^2+((Inputs!$H$8+Inputs!$L$8*(((Inputs!$I$8+(((A85)+1)/2)*(Inputs!$J$8-Inputs!$I$8)))/Inputs!$K$8)^2))^2))-((Inputs!$H$8+Inputs!$L$8*(((Inputs!$I$8+(((A85)+1)/2)*(Inputs!$J$8-Inputs!$I$8)))/Inputs!$K$8)^2)))*1000/Inputs!$C$12),NA())</x:f>
        <x:v>85155.74528855483</x:v>
      </x:c>
      <x:c r="K85" s="48" t="n">
        <x:f>IF(OR(Inputs!$F$9=TRUE,Inputs!$F$9="TRUE",Inputs!$F$9=1),(((SQRT(((Inputs!$I$9+(((A85)+1)/2)*(Inputs!$J$9-Inputs!$I$9)))^2+Inputs!$C$6^2+((Inputs!$H$9+Inputs!$L$9*(((Inputs!$I$9+(((A85)+1)/2)*(Inputs!$J$9-Inputs!$I$9)))/Inputs!$K$9)^2))^2))-((Inputs!$H$9+Inputs!$L$9*(((Inputs!$I$9+(((A85)+1)/2)*(Inputs!$J$9-Inputs!$I$9)))/Inputs!$K$9)^2)))*1000/Inputs!$C$12),NA())</x:f>
        <x:v>87993.69942995916</x:v>
      </x:c>
      <x:c r="L85" s="49"/>
      <x:c r="M85" s="48" t="n">
        <x:f>A85</x:f>
        <x:v>-0.308</x:v>
      </x:c>
      <x:c r="N85" s="48" t="n">
        <x:f>IF(OR(Inputs!$F$6=TRUE,Inputs!$F$6="TRUE",Inputs!$F$6=1),(-2*((1000*((((Inputs!$I$6+(((A85)+1)/2)*(Inputs!$J$6-Inputs!$I$6)))*Inputs!$C$11+((Inputs!$H$6+Inputs!$L$6*(((Inputs!$I$6+(((A85)+1)/2)*(Inputs!$J$6-Inputs!$I$6)))/Inputs!$K$6)^2))*((2*Inputs!$L$6*((Inputs!$I$6+(((A85)+1)/2)*(Inputs!$J$6-Inputs!$I$6)))/(Inputs!$K$6^2)*Inputs!$C$11)))/(SQRT(((Inputs!$I$6+(((A85)+1)/2)*(Inputs!$J$6-Inputs!$I$6)))^2+Inputs!$C$6^2+((Inputs!$H$6+Inputs!$L$6*(((Inputs!$I$6+(((A85)+1)/2)*(Inputs!$J$6-Inputs!$I$6)))/Inputs!$K$6)^2))^2)))))/Inputs!$C$13),NA())</x:f>
        <x:v>139.13779204973227</x:v>
      </x:c>
      <x:c r="O85" s="48" t="n">
        <x:f>IF(OR(Inputs!$F$7=TRUE,Inputs!$F$7="TRUE",Inputs!$F$7=1),(-2*((1000*((((Inputs!$I$7+(((A85)+1)/2)*(Inputs!$J$7-Inputs!$I$7)))*Inputs!$C$11+((Inputs!$H$7+Inputs!$L$7*(((Inputs!$I$7+(((A85)+1)/2)*(Inputs!$J$7-Inputs!$I$7)))/Inputs!$K$7)^2))*((2*Inputs!$L$7*((Inputs!$I$7+(((A85)+1)/2)*(Inputs!$J$7-Inputs!$I$7)))/(Inputs!$K$7^2)*Inputs!$C$11)))/(SQRT(((Inputs!$I$7+(((A85)+1)/2)*(Inputs!$J$7-Inputs!$I$7)))^2+Inputs!$C$6^2+((Inputs!$H$7+Inputs!$L$7*(((Inputs!$I$7+(((A85)+1)/2)*(Inputs!$J$7-Inputs!$I$7)))/Inputs!$K$7)^2))^2)))))/Inputs!$C$13),NA())</x:f>
        <x:v>1807.4492750038808</x:v>
      </x:c>
      <x:c r="P85" s="48" t="n">
        <x:f>IF(OR(Inputs!$F$8=TRUE,Inputs!$F$8="TRUE",Inputs!$F$8=1),(-2*((1000*((((Inputs!$I$8+(((A85)+1)/2)*(Inputs!$J$8-Inputs!$I$8)))*Inputs!$C$11+((Inputs!$H$8+Inputs!$L$8*(((Inputs!$I$8+(((A85)+1)/2)*(Inputs!$J$8-Inputs!$I$8)))/Inputs!$K$8)^2))*((2*Inputs!$L$8*((Inputs!$I$8+(((A85)+1)/2)*(Inputs!$J$8-Inputs!$I$8)))/(Inputs!$K$8^2)*Inputs!$C$11)))/(SQRT(((Inputs!$I$8+(((A85)+1)/2)*(Inputs!$J$8-Inputs!$I$8)))^2+Inputs!$C$6^2+((Inputs!$H$8+Inputs!$L$8*(((Inputs!$I$8+(((A85)+1)/2)*(Inputs!$J$8-Inputs!$I$8)))/Inputs!$K$8)^2))^2)))))/Inputs!$C$13),NA())</x:f>
        <x:v>1958.447480072729</x:v>
      </x:c>
      <x:c r="Q85" s="48" t="n">
        <x:f>IF(OR(Inputs!$F$9=TRUE,Inputs!$F$9="TRUE",Inputs!$F$9=1),(-2*((1000*((((Inputs!$I$9+(((A85)+1)/2)*(Inputs!$J$9-Inputs!$I$9)))*Inputs!$C$11+((Inputs!$H$9+Inputs!$L$9*(((Inputs!$I$9+(((A85)+1)/2)*(Inputs!$J$9-Inputs!$I$9)))/Inputs!$K$9)^2))*((2*Inputs!$L$9*((Inputs!$I$9+(((A85)+1)/2)*(Inputs!$J$9-Inputs!$I$9)))/(Inputs!$K$9^2)*Inputs!$C$11)))/(SQRT(((Inputs!$I$9+(((A85)+1)/2)*(Inputs!$J$9-Inputs!$I$9)))^2+Inputs!$C$6^2+((Inputs!$H$9+Inputs!$L$9*(((Inputs!$I$9+(((A85)+1)/2)*(Inputs!$J$9-Inputs!$I$9)))/Inputs!$K$9)^2))^2)))))/Inputs!$C$13),NA())</x:f>
        <x:v>1953.0481414949984</x:v>
      </x:c>
      <x:c r="R85" s="49"/>
      <x:c r="S85" s="48" t="n">
        <x:f>A85</x:f>
        <x:v>-0.308</x:v>
      </x:c>
      <x:c r="T85" s="48" t="n">
        <x:f>(Inputs!$I$6+(((A85)+1)/2)*(Inputs!$J$6-Inputs!$I$6))</x:f>
        <x:v>-18.480000000000004</x:v>
      </x:c>
      <x:c r="U85" s="48" t="n">
        <x:f>(Inputs!$I$7+(((A85)+1)/2)*(Inputs!$J$7-Inputs!$I$7))</x:f>
        <x:v>-123.20000000000005</x:v>
      </x:c>
      <x:c r="V85" s="48" t="n">
        <x:f>(Inputs!$I$8+(((A85)+1)/2)*(Inputs!$J$8-Inputs!$I$8))</x:f>
        <x:v>-246.4000000000001</x:v>
      </x:c>
      <x:c r="W85" s="48" t="n">
        <x:f>(Inputs!$I$9+(((A85)+1)/2)*(Inputs!$J$9-Inputs!$I$9))</x:f>
        <x:v>-246.4000000000001</x:v>
      </x:c>
      <x:c r="X85" s="49"/>
      <x:c r="Y85" s="48" t="n">
        <x:f>A85</x:f>
        <x:v>-0.308</x:v>
      </x:c>
      <x:c r="Z85" s="48" t="n">
        <x:f>(Inputs!$H$6+Inputs!$L$6*(((Inputs!$I$6+(((A85)+1)/2)*(Inputs!$J$6-Inputs!$I$6)))/Inputs!$K$6)^2)</x:f>
        <x:v>400.379456</x:v>
      </x:c>
      <x:c r="AA85" s="48" t="n">
        <x:f>(Inputs!$H$7+Inputs!$L$7*(((Inputs!$I$7+(((A85)+1)/2)*(Inputs!$J$7-Inputs!$I$7)))/Inputs!$K$7)^2)</x:f>
        <x:v>69.62536000000003</x:v>
      </x:c>
      <x:c r="AB85" s="48" t="n">
        <x:f>(Inputs!$H$8+Inputs!$L$8*(((Inputs!$I$8+(((A85)+1)/2)*(Inputs!$J$8-Inputs!$I$8)))/Inputs!$K$8)^2)</x:f>
        <x:v>126.54376000000006</x:v>
      </x:c>
      <x:c r="AC85" s="48" t="n">
        <x:f>(Inputs!$H$9+Inputs!$L$9*(((Inputs!$I$9+(((A85)+1)/2)*(Inputs!$J$9-Inputs!$I$9)))/Inputs!$K$9)^2)</x:f>
        <x:v>117.49240000000006</x:v>
      </x:c>
      <x:c r="AD85" s="49"/>
      <x:c r="AE85" s="48" t="n">
        <x:f>A85</x:f>
        <x:v>-0.308</x:v>
      </x:c>
      <x:c r="AF85" s="48" t="n">
        <x:f>(((SQRT(((Inputs!$I$6+(((A85)+1)/2)*(Inputs!$J$6-Inputs!$I$6)))^2+Inputs!$C$6^2+((Inputs!$H$6+Inputs!$L$6*(((Inputs!$I$6+(((A85)+1)/2)*(Inputs!$J$6-Inputs!$I$6)))/Inputs!$K$6)^2))^2))-((Inputs!$H$6+Inputs!$L$6*(((Inputs!$I$6+(((A85)+1)/2)*(Inputs!$J$6-Inputs!$I$6)))/Inputs!$K$6)^2)))*1000/Inputs!$C$12)</x:f>
        <x:v>677.0669370112773</x:v>
      </x:c>
      <x:c r="AG85" s="48" t="n">
        <x:f>(((SQRT(((Inputs!$I$7+(((A85)+1)/2)*(Inputs!$J$7-Inputs!$I$7)))^2+Inputs!$C$6^2+((Inputs!$H$7+Inputs!$L$7*(((Inputs!$I$7+(((A85)+1)/2)*(Inputs!$J$7-Inputs!$I$7)))/Inputs!$K$7)^2))^2))-((Inputs!$H$7+Inputs!$L$7*(((Inputs!$I$7+(((A85)+1)/2)*(Inputs!$J$7-Inputs!$I$7)))/Inputs!$K$7)^2)))*1000/Inputs!$C$12)</x:f>
        <x:v>41617.39163302956</x:v>
      </x:c>
      <x:c r="AH85" s="48" t="n">
        <x:f>(((SQRT(((Inputs!$I$8+(((A85)+1)/2)*(Inputs!$J$8-Inputs!$I$8)))^2+Inputs!$C$6^2+((Inputs!$H$8+Inputs!$L$8*(((Inputs!$I$8+(((A85)+1)/2)*(Inputs!$J$8-Inputs!$I$8)))/Inputs!$K$8)^2))^2))-((Inputs!$H$8+Inputs!$L$8*(((Inputs!$I$8+(((A85)+1)/2)*(Inputs!$J$8-Inputs!$I$8)))/Inputs!$K$8)^2)))*1000/Inputs!$C$12)</x:f>
        <x:v>85155.74528855483</x:v>
      </x:c>
      <x:c r="AI85" s="48" t="n">
        <x:f>(((SQRT(((Inputs!$I$9+(((A85)+1)/2)*(Inputs!$J$9-Inputs!$I$9)))^2+Inputs!$C$6^2+((Inputs!$H$9+Inputs!$L$9*(((Inputs!$I$9+(((A85)+1)/2)*(Inputs!$J$9-Inputs!$I$9)))/Inputs!$K$9)^2))^2))-((Inputs!$H$9+Inputs!$L$9*(((Inputs!$I$9+(((A85)+1)/2)*(Inputs!$J$9-Inputs!$I$9)))/Inputs!$K$9)^2)))*1000/Inputs!$C$12)</x:f>
        <x:v>87993.69942995916</x:v>
      </x:c>
      <x:c r="AJ85" s="49"/>
      <x:c r="AK85" s="48" t="n">
        <x:f>A85</x:f>
        <x:v>-0.308</x:v>
      </x:c>
      <x:c r="AL85" s="48" t="n">
        <x:f>(-2*((1000*((((Inputs!$I$6+(((A85)+1)/2)*(Inputs!$J$6-Inputs!$I$6)))*Inputs!$C$11+((Inputs!$H$6+Inputs!$L$6*(((Inputs!$I$6+(((A85)+1)/2)*(Inputs!$J$6-Inputs!$I$6)))/Inputs!$K$6)^2))*((2*Inputs!$L$6*((Inputs!$I$6+(((A85)+1)/2)*(Inputs!$J$6-Inputs!$I$6)))/(Inputs!$K$6^2)*Inputs!$C$11)))/(SQRT(((Inputs!$I$6+(((A85)+1)/2)*(Inputs!$J$6-Inputs!$I$6)))^2+Inputs!$C$6^2+((Inputs!$H$6+Inputs!$L$6*(((Inputs!$I$6+(((A85)+1)/2)*(Inputs!$J$6-Inputs!$I$6)))/Inputs!$K$6)^2))^2)))))/Inputs!$C$13)</x:f>
        <x:v>139.13779204973227</x:v>
      </x:c>
      <x:c r="AM85" s="48" t="n">
        <x:f>(-2*((1000*((((Inputs!$I$7+(((A85)+1)/2)*(Inputs!$J$7-Inputs!$I$7)))*Inputs!$C$11+((Inputs!$H$7+Inputs!$L$7*(((Inputs!$I$7+(((A85)+1)/2)*(Inputs!$J$7-Inputs!$I$7)))/Inputs!$K$7)^2))*((2*Inputs!$L$7*((Inputs!$I$7+(((A85)+1)/2)*(Inputs!$J$7-Inputs!$I$7)))/(Inputs!$K$7^2)*Inputs!$C$11)))/(SQRT(((Inputs!$I$7+(((A85)+1)/2)*(Inputs!$J$7-Inputs!$I$7)))^2+Inputs!$C$6^2+((Inputs!$H$7+Inputs!$L$7*(((Inputs!$I$7+(((A85)+1)/2)*(Inputs!$J$7-Inputs!$I$7)))/Inputs!$K$7)^2))^2)))))/Inputs!$C$13)</x:f>
        <x:v>1807.4492750038808</x:v>
      </x:c>
      <x:c r="AN85" s="48" t="n">
        <x:f>(-2*((1000*((((Inputs!$I$8+(((A85)+1)/2)*(Inputs!$J$8-Inputs!$I$8)))*Inputs!$C$11+((Inputs!$H$8+Inputs!$L$8*(((Inputs!$I$8+(((A85)+1)/2)*(Inputs!$J$8-Inputs!$I$8)))/Inputs!$K$8)^2))*((2*Inputs!$L$8*((Inputs!$I$8+(((A85)+1)/2)*(Inputs!$J$8-Inputs!$I$8)))/(Inputs!$K$8^2)*Inputs!$C$11)))/(SQRT(((Inputs!$I$8+(((A85)+1)/2)*(Inputs!$J$8-Inputs!$I$8)))^2+Inputs!$C$6^2+((Inputs!$H$8+Inputs!$L$8*(((Inputs!$I$8+(((A85)+1)/2)*(Inputs!$J$8-Inputs!$I$8)))/Inputs!$K$8)^2))^2)))))/Inputs!$C$13)</x:f>
        <x:v>1958.447480072729</x:v>
      </x:c>
      <x:c r="AO85" s="48" t="n">
        <x:f>(-2*((1000*((((Inputs!$I$9+(((A85)+1)/2)*(Inputs!$J$9-Inputs!$I$9)))*Inputs!$C$11+((Inputs!$H$9+Inputs!$L$9*(((Inputs!$I$9+(((A85)+1)/2)*(Inputs!$J$9-Inputs!$I$9)))/Inputs!$K$9)^2))*((2*Inputs!$L$9*((Inputs!$I$9+(((A85)+1)/2)*(Inputs!$J$9-Inputs!$I$9)))/(Inputs!$K$9^2)*Inputs!$C$11)))/(SQRT(((Inputs!$I$9+(((A85)+1)/2)*(Inputs!$J$9-Inputs!$I$9)))^2+Inputs!$C$6^2+((Inputs!$H$9+Inputs!$L$9*(((Inputs!$I$9+(((A85)+1)/2)*(Inputs!$J$9-Inputs!$I$9)))/Inputs!$K$9)^2))^2)))))/Inputs!$C$13)</x:f>
        <x:v>1953.0481414949984</x:v>
      </x:c>
    </x:row>
    <x:row r="86">
      <x:c r="A86" s="48" t="n">
        <x:f>ROUND(-1+84*2/240,3)</x:f>
        <x:v>-0.3</x:v>
      </x:c>
      <x:c r="B86" s="48" t="n">
        <x:f>IF(OR(Inputs!$F$6=TRUE,Inputs!$F$6="TRUE",Inputs!$F$6=1),(Inputs!$H$6+Inputs!$L$6*(((Inputs!$I$6+(((A86)+1)/2)*(Inputs!$J$6-Inputs!$I$6)))/Inputs!$K$6)^2),NA())</x:f>
        <x:v>400.36</x:v>
      </x:c>
      <x:c r="C86" s="48" t="n">
        <x:f>IF(OR(Inputs!$F$7=TRUE,Inputs!$F$7="TRUE",Inputs!$F$7=1),(Inputs!$H$7+Inputs!$L$7*(((Inputs!$I$7+(((A86)+1)/2)*(Inputs!$J$7-Inputs!$I$7)))/Inputs!$K$7)^2),NA())</x:f>
        <x:v>67.85</x:v>
      </x:c>
      <x:c r="D86" s="48" t="n">
        <x:f>IF(OR(Inputs!$F$8=TRUE,Inputs!$F$8="TRUE",Inputs!$F$8=1),(Inputs!$H$8+Inputs!$L$8*(((Inputs!$I$8+(((A86)+1)/2)*(Inputs!$J$8-Inputs!$I$8)))/Inputs!$K$8)^2),NA())</x:f>
        <x:v>121.85</x:v>
      </x:c>
      <x:c r="E86" s="48" t="n">
        <x:f>IF(OR(Inputs!$F$9=TRUE,Inputs!$F$9="TRUE",Inputs!$F$9=1),(Inputs!$H$9+Inputs!$L$9*(((Inputs!$I$9+(((A86)+1)/2)*(Inputs!$J$9-Inputs!$I$9)))/Inputs!$K$9)^2),NA())</x:f>
        <x:v>112.75</x:v>
      </x:c>
      <x:c r="F86" s="49"/>
      <x:c r="G86" s="48" t="n">
        <x:f>A86</x:f>
        <x:v>-0.3</x:v>
      </x:c>
      <x:c r="H86" s="48" t="n">
        <x:f>IF(OR(Inputs!$F$6=TRUE,Inputs!$F$6="TRUE",Inputs!$F$6=1),(((SQRT(((Inputs!$I$6+(((A86)+1)/2)*(Inputs!$J$6-Inputs!$I$6)))^2+Inputs!$C$6^2+((Inputs!$H$6+Inputs!$L$6*(((Inputs!$I$6+(((A86)+1)/2)*(Inputs!$J$6-Inputs!$I$6)))/Inputs!$K$6)^2))^2))-((Inputs!$H$6+Inputs!$L$6*(((Inputs!$I$6+(((A86)+1)/2)*(Inputs!$J$6-Inputs!$I$6)))/Inputs!$K$6)^2)))*1000/Inputs!$C$12),NA())</x:f>
        <x:v>664.8507097434994</x:v>
      </x:c>
      <x:c r="I86" s="48" t="n">
        <x:f>IF(OR(Inputs!$F$7=TRUE,Inputs!$F$7="TRUE",Inputs!$F$7=1),(((SQRT(((Inputs!$I$7+(((A86)+1)/2)*(Inputs!$J$7-Inputs!$I$7)))^2+Inputs!$C$6^2+((Inputs!$H$7+Inputs!$L$7*(((Inputs!$I$7+(((A86)+1)/2)*(Inputs!$J$7-Inputs!$I$7)))/Inputs!$K$7)^2))^2))-((Inputs!$H$7+Inputs!$L$7*(((Inputs!$I$7+(((A86)+1)/2)*(Inputs!$J$7-Inputs!$I$7)))/Inputs!$K$7)^2)))*1000/Inputs!$C$12),NA())</x:f>
        <x:v>40591.11568627094</x:v>
      </x:c>
      <x:c r="J86" s="48" t="n">
        <x:f>IF(OR(Inputs!$F$8=TRUE,Inputs!$F$8="TRUE",Inputs!$F$8=1),(((SQRT(((Inputs!$I$8+(((A86)+1)/2)*(Inputs!$J$8-Inputs!$I$8)))^2+Inputs!$C$6^2+((Inputs!$H$8+Inputs!$L$8*(((Inputs!$I$8+(((A86)+1)/2)*(Inputs!$J$8-Inputs!$I$8)))/Inputs!$K$8)^2))^2))-((Inputs!$H$8+Inputs!$L$8*(((Inputs!$I$8+(((A86)+1)/2)*(Inputs!$J$8-Inputs!$I$8)))/Inputs!$K$8)^2)))*1000/Inputs!$C$12),NA())</x:f>
        <x:v>83409.61367801714</x:v>
      </x:c>
      <x:c r="K86" s="48" t="n">
        <x:f>IF(OR(Inputs!$F$9=TRUE,Inputs!$F$9="TRUE",Inputs!$F$9=1),(((SQRT(((Inputs!$I$9+(((A86)+1)/2)*(Inputs!$J$9-Inputs!$I$9)))^2+Inputs!$C$6^2+((Inputs!$H$9+Inputs!$L$9*(((Inputs!$I$9+(((A86)+1)/2)*(Inputs!$J$9-Inputs!$I$9)))/Inputs!$K$9)^2))^2))-((Inputs!$H$9+Inputs!$L$9*(((Inputs!$I$9+(((A86)+1)/2)*(Inputs!$J$9-Inputs!$I$9)))/Inputs!$K$9)^2)))*1000/Inputs!$C$12),NA())</x:f>
        <x:v>86287.11474105013</x:v>
      </x:c>
      <x:c r="L86" s="49"/>
      <x:c r="M86" s="48" t="n">
        <x:f>A86</x:f>
        <x:v>-0.3</x:v>
      </x:c>
      <x:c r="N86" s="48" t="n">
        <x:f>IF(OR(Inputs!$F$6=TRUE,Inputs!$F$6="TRUE",Inputs!$F$6=1),(-2*((1000*((((Inputs!$I$6+(((A86)+1)/2)*(Inputs!$J$6-Inputs!$I$6)))*Inputs!$C$11+((Inputs!$H$6+Inputs!$L$6*(((Inputs!$I$6+(((A86)+1)/2)*(Inputs!$J$6-Inputs!$I$6)))/Inputs!$K$6)^2))*((2*Inputs!$L$6*((Inputs!$I$6+(((A86)+1)/2)*(Inputs!$J$6-Inputs!$I$6)))/(Inputs!$K$6^2)*Inputs!$C$11)))/(SQRT(((Inputs!$I$6+(((A86)+1)/2)*(Inputs!$J$6-Inputs!$I$6)))^2+Inputs!$C$6^2+((Inputs!$H$6+Inputs!$L$6*(((Inputs!$I$6+(((A86)+1)/2)*(Inputs!$J$6-Inputs!$I$6)))/Inputs!$K$6)^2))^2)))))/Inputs!$C$13),NA())</x:f>
        <x:v>135.5346280280799</x:v>
      </x:c>
      <x:c r="O86" s="48" t="n">
        <x:f>IF(OR(Inputs!$F$7=TRUE,Inputs!$F$7="TRUE",Inputs!$F$7=1),(-2*((1000*((((Inputs!$I$7+(((A86)+1)/2)*(Inputs!$J$7-Inputs!$I$7)))*Inputs!$C$11+((Inputs!$H$7+Inputs!$L$7*(((Inputs!$I$7+(((A86)+1)/2)*(Inputs!$J$7-Inputs!$I$7)))/Inputs!$K$7)^2))*((2*Inputs!$L$7*((Inputs!$I$7+(((A86)+1)/2)*(Inputs!$J$7-Inputs!$I$7)))/(Inputs!$K$7^2)*Inputs!$C$11)))/(SQRT(((Inputs!$I$7+(((A86)+1)/2)*(Inputs!$J$7-Inputs!$I$7)))^2+Inputs!$C$6^2+((Inputs!$H$7+Inputs!$L$7*(((Inputs!$I$7+(((A86)+1)/2)*(Inputs!$J$7-Inputs!$I$7)))/Inputs!$K$7)^2))^2)))))/Inputs!$C$13),NA())</x:f>
        <x:v>1794.6657887320155</x:v>
      </x:c>
      <x:c r="P86" s="48" t="n">
        <x:f>IF(OR(Inputs!$F$8=TRUE,Inputs!$F$8="TRUE",Inputs!$F$8=1),(-2*((1000*((((Inputs!$I$8+(((A86)+1)/2)*(Inputs!$J$8-Inputs!$I$8)))*Inputs!$C$11+((Inputs!$H$8+Inputs!$L$8*(((Inputs!$I$8+(((A86)+1)/2)*(Inputs!$J$8-Inputs!$I$8)))/Inputs!$K$8)^2))*((2*Inputs!$L$8*((Inputs!$I$8+(((A86)+1)/2)*(Inputs!$J$8-Inputs!$I$8)))/(Inputs!$K$8^2)*Inputs!$C$11)))/(SQRT(((Inputs!$I$8+(((A86)+1)/2)*(Inputs!$J$8-Inputs!$I$8)))^2+Inputs!$C$6^2+((Inputs!$H$8+Inputs!$L$8*(((Inputs!$I$8+(((A86)+1)/2)*(Inputs!$J$8-Inputs!$I$8)))/Inputs!$K$8)^2))^2)))))/Inputs!$C$13),NA())</x:f>
        <x:v>1942.527464821631</x:v>
      </x:c>
      <x:c r="Q86" s="48" t="n">
        <x:f>IF(OR(Inputs!$F$9=TRUE,Inputs!$F$9="TRUE",Inputs!$F$9=1),(-2*((1000*((((Inputs!$I$9+(((A86)+1)/2)*(Inputs!$J$9-Inputs!$I$9)))*Inputs!$C$11+((Inputs!$H$9+Inputs!$L$9*(((Inputs!$I$9+(((A86)+1)/2)*(Inputs!$J$9-Inputs!$I$9)))/Inputs!$K$9)^2))*((2*Inputs!$L$9*((Inputs!$I$9+(((A86)+1)/2)*(Inputs!$J$9-Inputs!$I$9)))/(Inputs!$K$9^2)*Inputs!$C$11)))/(SQRT(((Inputs!$I$9+(((A86)+1)/2)*(Inputs!$J$9-Inputs!$I$9)))^2+Inputs!$C$6^2+((Inputs!$H$9+Inputs!$L$9*(((Inputs!$I$9+(((A86)+1)/2)*(Inputs!$J$9-Inputs!$I$9)))/Inputs!$K$9)^2))^2)))))/Inputs!$C$13),NA())</x:f>
        <x:v>1937.0557877508127</x:v>
      </x:c>
      <x:c r="R86" s="49"/>
      <x:c r="S86" s="48" t="n">
        <x:f>A86</x:f>
        <x:v>-0.3</x:v>
      </x:c>
      <x:c r="T86" s="48" t="n">
        <x:f>(Inputs!$I$6+(((A86)+1)/2)*(Inputs!$J$6-Inputs!$I$6))</x:f>
        <x:v>-18</x:v>
      </x:c>
      <x:c r="U86" s="48" t="n">
        <x:f>(Inputs!$I$7+(((A86)+1)/2)*(Inputs!$J$7-Inputs!$I$7))</x:f>
        <x:v>-120</x:v>
      </x:c>
      <x:c r="V86" s="48" t="n">
        <x:f>(Inputs!$I$8+(((A86)+1)/2)*(Inputs!$J$8-Inputs!$I$8))</x:f>
        <x:v>-240</x:v>
      </x:c>
      <x:c r="W86" s="48" t="n">
        <x:f>(Inputs!$I$9+(((A86)+1)/2)*(Inputs!$J$9-Inputs!$I$9))</x:f>
        <x:v>-240</x:v>
      </x:c>
      <x:c r="X86" s="49"/>
      <x:c r="Y86" s="48" t="n">
        <x:f>A86</x:f>
        <x:v>-0.3</x:v>
      </x:c>
      <x:c r="Z86" s="48" t="n">
        <x:f>(Inputs!$H$6+Inputs!$L$6*(((Inputs!$I$6+(((A86)+1)/2)*(Inputs!$J$6-Inputs!$I$6)))/Inputs!$K$6)^2)</x:f>
        <x:v>400.36</x:v>
      </x:c>
      <x:c r="AA86" s="48" t="n">
        <x:f>(Inputs!$H$7+Inputs!$L$7*(((Inputs!$I$7+(((A86)+1)/2)*(Inputs!$J$7-Inputs!$I$7)))/Inputs!$K$7)^2)</x:f>
        <x:v>67.85</x:v>
      </x:c>
      <x:c r="AB86" s="48" t="n">
        <x:f>(Inputs!$H$8+Inputs!$L$8*(((Inputs!$I$8+(((A86)+1)/2)*(Inputs!$J$8-Inputs!$I$8)))/Inputs!$K$8)^2)</x:f>
        <x:v>121.85</x:v>
      </x:c>
      <x:c r="AC86" s="48" t="n">
        <x:f>(Inputs!$H$9+Inputs!$L$9*(((Inputs!$I$9+(((A86)+1)/2)*(Inputs!$J$9-Inputs!$I$9)))/Inputs!$K$9)^2)</x:f>
        <x:v>112.75</x:v>
      </x:c>
      <x:c r="AD86" s="49"/>
      <x:c r="AE86" s="48" t="n">
        <x:f>A86</x:f>
        <x:v>-0.3</x:v>
      </x:c>
      <x:c r="AF86" s="48" t="n">
        <x:f>(((SQRT(((Inputs!$I$6+(((A86)+1)/2)*(Inputs!$J$6-Inputs!$I$6)))^2+Inputs!$C$6^2+((Inputs!$H$6+Inputs!$L$6*(((Inputs!$I$6+(((A86)+1)/2)*(Inputs!$J$6-Inputs!$I$6)))/Inputs!$K$6)^2))^2))-((Inputs!$H$6+Inputs!$L$6*(((Inputs!$I$6+(((A86)+1)/2)*(Inputs!$J$6-Inputs!$I$6)))/Inputs!$K$6)^2)))*1000/Inputs!$C$12)</x:f>
        <x:v>664.8507097434994</x:v>
      </x:c>
      <x:c r="AG86" s="48" t="n">
        <x:f>(((SQRT(((Inputs!$I$7+(((A86)+1)/2)*(Inputs!$J$7-Inputs!$I$7)))^2+Inputs!$C$6^2+((Inputs!$H$7+Inputs!$L$7*(((Inputs!$I$7+(((A86)+1)/2)*(Inputs!$J$7-Inputs!$I$7)))/Inputs!$K$7)^2))^2))-((Inputs!$H$7+Inputs!$L$7*(((Inputs!$I$7+(((A86)+1)/2)*(Inputs!$J$7-Inputs!$I$7)))/Inputs!$K$7)^2)))*1000/Inputs!$C$12)</x:f>
        <x:v>40591.11568627094</x:v>
      </x:c>
      <x:c r="AH86" s="48" t="n">
        <x:f>(((SQRT(((Inputs!$I$8+(((A86)+1)/2)*(Inputs!$J$8-Inputs!$I$8)))^2+Inputs!$C$6^2+((Inputs!$H$8+Inputs!$L$8*(((Inputs!$I$8+(((A86)+1)/2)*(Inputs!$J$8-Inputs!$I$8)))/Inputs!$K$8)^2))^2))-((Inputs!$H$8+Inputs!$L$8*(((Inputs!$I$8+(((A86)+1)/2)*(Inputs!$J$8-Inputs!$I$8)))/Inputs!$K$8)^2)))*1000/Inputs!$C$12)</x:f>
        <x:v>83409.61367801714</x:v>
      </x:c>
      <x:c r="AI86" s="48" t="n">
        <x:f>(((SQRT(((Inputs!$I$9+(((A86)+1)/2)*(Inputs!$J$9-Inputs!$I$9)))^2+Inputs!$C$6^2+((Inputs!$H$9+Inputs!$L$9*(((Inputs!$I$9+(((A86)+1)/2)*(Inputs!$J$9-Inputs!$I$9)))/Inputs!$K$9)^2))^2))-((Inputs!$H$9+Inputs!$L$9*(((Inputs!$I$9+(((A86)+1)/2)*(Inputs!$J$9-Inputs!$I$9)))/Inputs!$K$9)^2)))*1000/Inputs!$C$12)</x:f>
        <x:v>86287.11474105013</x:v>
      </x:c>
      <x:c r="AJ86" s="49"/>
      <x:c r="AK86" s="48" t="n">
        <x:f>A86</x:f>
        <x:v>-0.3</x:v>
      </x:c>
      <x:c r="AL86" s="48" t="n">
        <x:f>(-2*((1000*((((Inputs!$I$6+(((A86)+1)/2)*(Inputs!$J$6-Inputs!$I$6)))*Inputs!$C$11+((Inputs!$H$6+Inputs!$L$6*(((Inputs!$I$6+(((A86)+1)/2)*(Inputs!$J$6-Inputs!$I$6)))/Inputs!$K$6)^2))*((2*Inputs!$L$6*((Inputs!$I$6+(((A86)+1)/2)*(Inputs!$J$6-Inputs!$I$6)))/(Inputs!$K$6^2)*Inputs!$C$11)))/(SQRT(((Inputs!$I$6+(((A86)+1)/2)*(Inputs!$J$6-Inputs!$I$6)))^2+Inputs!$C$6^2+((Inputs!$H$6+Inputs!$L$6*(((Inputs!$I$6+(((A86)+1)/2)*(Inputs!$J$6-Inputs!$I$6)))/Inputs!$K$6)^2))^2)))))/Inputs!$C$13)</x:f>
        <x:v>135.5346280280799</x:v>
      </x:c>
      <x:c r="AM86" s="48" t="n">
        <x:f>(-2*((1000*((((Inputs!$I$7+(((A86)+1)/2)*(Inputs!$J$7-Inputs!$I$7)))*Inputs!$C$11+((Inputs!$H$7+Inputs!$L$7*(((Inputs!$I$7+(((A86)+1)/2)*(Inputs!$J$7-Inputs!$I$7)))/Inputs!$K$7)^2))*((2*Inputs!$L$7*((Inputs!$I$7+(((A86)+1)/2)*(Inputs!$J$7-Inputs!$I$7)))/(Inputs!$K$7^2)*Inputs!$C$11)))/(SQRT(((Inputs!$I$7+(((A86)+1)/2)*(Inputs!$J$7-Inputs!$I$7)))^2+Inputs!$C$6^2+((Inputs!$H$7+Inputs!$L$7*(((Inputs!$I$7+(((A86)+1)/2)*(Inputs!$J$7-Inputs!$I$7)))/Inputs!$K$7)^2))^2)))))/Inputs!$C$13)</x:f>
        <x:v>1794.6657887320155</x:v>
      </x:c>
      <x:c r="AN86" s="48" t="n">
        <x:f>(-2*((1000*((((Inputs!$I$8+(((A86)+1)/2)*(Inputs!$J$8-Inputs!$I$8)))*Inputs!$C$11+((Inputs!$H$8+Inputs!$L$8*(((Inputs!$I$8+(((A86)+1)/2)*(Inputs!$J$8-Inputs!$I$8)))/Inputs!$K$8)^2))*((2*Inputs!$L$8*((Inputs!$I$8+(((A86)+1)/2)*(Inputs!$J$8-Inputs!$I$8)))/(Inputs!$K$8^2)*Inputs!$C$11)))/(SQRT(((Inputs!$I$8+(((A86)+1)/2)*(Inputs!$J$8-Inputs!$I$8)))^2+Inputs!$C$6^2+((Inputs!$H$8+Inputs!$L$8*(((Inputs!$I$8+(((A86)+1)/2)*(Inputs!$J$8-Inputs!$I$8)))/Inputs!$K$8)^2))^2)))))/Inputs!$C$13)</x:f>
        <x:v>1942.527464821631</x:v>
      </x:c>
      <x:c r="AO86" s="48" t="n">
        <x:f>(-2*((1000*((((Inputs!$I$9+(((A86)+1)/2)*(Inputs!$J$9-Inputs!$I$9)))*Inputs!$C$11+((Inputs!$H$9+Inputs!$L$9*(((Inputs!$I$9+(((A86)+1)/2)*(Inputs!$J$9-Inputs!$I$9)))/Inputs!$K$9)^2))*((2*Inputs!$L$9*((Inputs!$I$9+(((A86)+1)/2)*(Inputs!$J$9-Inputs!$I$9)))/(Inputs!$K$9^2)*Inputs!$C$11)))/(SQRT(((Inputs!$I$9+(((A86)+1)/2)*(Inputs!$J$9-Inputs!$I$9)))^2+Inputs!$C$6^2+((Inputs!$H$9+Inputs!$L$9*(((Inputs!$I$9+(((A86)+1)/2)*(Inputs!$J$9-Inputs!$I$9)))/Inputs!$K$9)^2))^2)))))/Inputs!$C$13)</x:f>
        <x:v>1937.0557877508127</x:v>
      </x:c>
    </x:row>
    <x:row r="87">
      <x:c r="A87" s="48" t="n">
        <x:f>ROUND(-1+85*2/240,3)</x:f>
        <x:v>-0.292</x:v>
      </x:c>
      <x:c r="B87" s="48" t="n">
        <x:f>IF(OR(Inputs!$F$6=TRUE,Inputs!$F$6="TRUE",Inputs!$F$6=1),(Inputs!$H$6+Inputs!$L$6*(((Inputs!$I$6+(((A87)+1)/2)*(Inputs!$J$6-Inputs!$I$6)))/Inputs!$K$6)^2),NA())</x:f>
        <x:v>400.341056</x:v>
      </x:c>
      <x:c r="C87" s="48" t="n">
        <x:f>IF(OR(Inputs!$F$7=TRUE,Inputs!$F$7="TRUE",Inputs!$F$7=1),(Inputs!$H$7+Inputs!$L$7*(((Inputs!$I$7+(((A87)+1)/2)*(Inputs!$J$7-Inputs!$I$7)))/Inputs!$K$7)^2),NA())</x:f>
        <x:v>66.12136000000001</x:v>
      </x:c>
      <x:c r="D87" s="48" t="n">
        <x:f>IF(OR(Inputs!$F$8=TRUE,Inputs!$F$8="TRUE",Inputs!$F$8=1),(Inputs!$H$8+Inputs!$L$8*(((Inputs!$I$8+(((A87)+1)/2)*(Inputs!$J$8-Inputs!$I$8)))/Inputs!$K$8)^2),NA())</x:f>
        <x:v>117.27976000000002</x:v>
      </x:c>
      <x:c r="E87" s="48" t="n">
        <x:f>IF(OR(Inputs!$F$9=TRUE,Inputs!$F$9="TRUE",Inputs!$F$9=1),(Inputs!$H$9+Inputs!$L$9*(((Inputs!$I$9+(((A87)+1)/2)*(Inputs!$J$9-Inputs!$I$9)))/Inputs!$K$9)^2),NA())</x:f>
        <x:v>108.13240000000002</x:v>
      </x:c>
      <x:c r="F87" s="49"/>
      <x:c r="G87" s="48" t="n">
        <x:f>A87</x:f>
        <x:v>-0.292</x:v>
      </x:c>
      <x:c r="H87" s="48" t="n">
        <x:f>IF(OR(Inputs!$F$6=TRUE,Inputs!$F$6="TRUE",Inputs!$F$6=1),(((SQRT(((Inputs!$I$6+(((A87)+1)/2)*(Inputs!$J$6-Inputs!$I$6)))^2+Inputs!$C$6^2+((Inputs!$H$6+Inputs!$L$6*(((Inputs!$I$6+(((A87)+1)/2)*(Inputs!$J$6-Inputs!$I$6)))/Inputs!$K$6)^2))^2))-((Inputs!$H$6+Inputs!$L$6*(((Inputs!$I$6+(((A87)+1)/2)*(Inputs!$J$6-Inputs!$I$6)))/Inputs!$K$6)^2)))*1000/Inputs!$C$12),NA())</x:f>
        <x:v>652.9541887930834</x:v>
      </x:c>
      <x:c r="I87" s="48" t="n">
        <x:f>IF(OR(Inputs!$F$7=TRUE,Inputs!$F$7="TRUE",Inputs!$F$7=1),(((SQRT(((Inputs!$I$7+(((A87)+1)/2)*(Inputs!$J$7-Inputs!$I$7)))^2+Inputs!$C$6^2+((Inputs!$H$7+Inputs!$L$7*(((Inputs!$I$7+(((A87)+1)/2)*(Inputs!$J$7-Inputs!$I$7)))/Inputs!$K$7)^2))^2))-((Inputs!$H$7+Inputs!$L$7*(((Inputs!$I$7+(((A87)+1)/2)*(Inputs!$J$7-Inputs!$I$7)))/Inputs!$K$7)^2)))*1000/Inputs!$C$12),NA())</x:f>
        <x:v>39553.01540591293</x:v>
      </x:c>
      <x:c r="J87" s="48" t="n">
        <x:f>IF(OR(Inputs!$F$8=TRUE,Inputs!$F$8="TRUE",Inputs!$F$8=1),(((SQRT(((Inputs!$I$8+(((A87)+1)/2)*(Inputs!$J$8-Inputs!$I$8)))^2+Inputs!$C$6^2+((Inputs!$H$8+Inputs!$L$8*(((Inputs!$I$8+(((A87)+1)/2)*(Inputs!$J$8-Inputs!$I$8)))/Inputs!$K$8)^2))^2))-((Inputs!$H$8+Inputs!$L$8*(((Inputs!$I$8+(((A87)+1)/2)*(Inputs!$J$8-Inputs!$I$8)))/Inputs!$K$8)^2)))*1000/Inputs!$C$12),NA())</x:f>
        <x:v>81629.61116166919</x:v>
      </x:c>
      <x:c r="K87" s="48" t="n">
        <x:f>IF(OR(Inputs!$F$9=TRUE,Inputs!$F$9="TRUE",Inputs!$F$9=1),(((SQRT(((Inputs!$I$9+(((A87)+1)/2)*(Inputs!$J$9-Inputs!$I$9)))^2+Inputs!$C$6^2+((Inputs!$H$9+Inputs!$L$9*(((Inputs!$I$9+(((A87)+1)/2)*(Inputs!$J$9-Inputs!$I$9)))/Inputs!$K$9)^2))^2))-((Inputs!$H$9+Inputs!$L$9*(((Inputs!$I$9+(((A87)+1)/2)*(Inputs!$J$9-Inputs!$I$9)))/Inputs!$K$9)^2)))*1000/Inputs!$C$12),NA())</x:f>
        <x:v>84546.0626958579</x:v>
      </x:c>
      <x:c r="L87" s="49"/>
      <x:c r="M87" s="48" t="n">
        <x:f>A87</x:f>
        <x:v>-0.292</x:v>
      </x:c>
      <x:c r="N87" s="48" t="n">
        <x:f>IF(OR(Inputs!$F$6=TRUE,Inputs!$F$6="TRUE",Inputs!$F$6=1),(-2*((1000*((((Inputs!$I$6+(((A87)+1)/2)*(Inputs!$J$6-Inputs!$I$6)))*Inputs!$C$11+((Inputs!$H$6+Inputs!$L$6*(((Inputs!$I$6+(((A87)+1)/2)*(Inputs!$J$6-Inputs!$I$6)))/Inputs!$K$6)^2))*((2*Inputs!$L$6*((Inputs!$I$6+(((A87)+1)/2)*(Inputs!$J$6-Inputs!$I$6)))/(Inputs!$K$6^2)*Inputs!$C$11)))/(SQRT(((Inputs!$I$6+(((A87)+1)/2)*(Inputs!$J$6-Inputs!$I$6)))^2+Inputs!$C$6^2+((Inputs!$H$6+Inputs!$L$6*(((Inputs!$I$6+(((A87)+1)/2)*(Inputs!$J$6-Inputs!$I$6)))/Inputs!$K$6)^2))^2)))))/Inputs!$C$13),NA())</x:f>
        <x:v>131.93061412255116</x:v>
      </x:c>
      <x:c r="O87" s="48" t="n">
        <x:f>IF(OR(Inputs!$F$7=TRUE,Inputs!$F$7="TRUE",Inputs!$F$7=1),(-2*((1000*((((Inputs!$I$7+(((A87)+1)/2)*(Inputs!$J$7-Inputs!$I$7)))*Inputs!$C$11+((Inputs!$H$7+Inputs!$L$7*(((Inputs!$I$7+(((A87)+1)/2)*(Inputs!$J$7-Inputs!$I$7)))/Inputs!$K$7)^2))*((2*Inputs!$L$7*((Inputs!$I$7+(((A87)+1)/2)*(Inputs!$J$7-Inputs!$I$7)))/(Inputs!$K$7^2)*Inputs!$C$11)))/(SQRT(((Inputs!$I$7+(((A87)+1)/2)*(Inputs!$J$7-Inputs!$I$7)))^2+Inputs!$C$6^2+((Inputs!$H$7+Inputs!$L$7*(((Inputs!$I$7+(((A87)+1)/2)*(Inputs!$J$7-Inputs!$I$7)))/Inputs!$K$7)^2))^2)))))/Inputs!$C$13),NA())</x:f>
        <x:v>1781.7719852724665</x:v>
      </x:c>
      <x:c r="P87" s="48" t="n">
        <x:f>IF(OR(Inputs!$F$8=TRUE,Inputs!$F$8="TRUE",Inputs!$F$8=1),(-2*((1000*((((Inputs!$I$8+(((A87)+1)/2)*(Inputs!$J$8-Inputs!$I$8)))*Inputs!$C$11+((Inputs!$H$8+Inputs!$L$8*(((Inputs!$I$8+(((A87)+1)/2)*(Inputs!$J$8-Inputs!$I$8)))/Inputs!$K$8)^2))*((2*Inputs!$L$8*((Inputs!$I$8+(((A87)+1)/2)*(Inputs!$J$8-Inputs!$I$8)))/(Inputs!$K$8^2)*Inputs!$C$11)))/(SQRT(((Inputs!$I$8+(((A87)+1)/2)*(Inputs!$J$8-Inputs!$I$8)))^2+Inputs!$C$6^2+((Inputs!$H$8+Inputs!$L$8*(((Inputs!$I$8+(((A87)+1)/2)*(Inputs!$J$8-Inputs!$I$8)))/Inputs!$K$8)^2))^2)))))/Inputs!$C$13),NA())</x:f>
        <x:v>1926.8316763986527</x:v>
      </x:c>
      <x:c r="Q87" s="48" t="n">
        <x:f>IF(OR(Inputs!$F$9=TRUE,Inputs!$F$9="TRUE",Inputs!$F$9=1),(-2*((1000*((((Inputs!$I$9+(((A87)+1)/2)*(Inputs!$J$9-Inputs!$I$9)))*Inputs!$C$11+((Inputs!$H$9+Inputs!$L$9*(((Inputs!$I$9+(((A87)+1)/2)*(Inputs!$J$9-Inputs!$I$9)))/Inputs!$K$9)^2))*((2*Inputs!$L$9*((Inputs!$I$9+(((A87)+1)/2)*(Inputs!$J$9-Inputs!$I$9)))/(Inputs!$K$9^2)*Inputs!$C$11)))/(SQRT(((Inputs!$I$9+(((A87)+1)/2)*(Inputs!$J$9-Inputs!$I$9)))^2+Inputs!$C$6^2+((Inputs!$H$9+Inputs!$L$9*(((Inputs!$I$9+(((A87)+1)/2)*(Inputs!$J$9-Inputs!$I$9)))/Inputs!$K$9)^2))^2)))))/Inputs!$C$13),NA())</x:f>
        <x:v>1921.323716021215</x:v>
      </x:c>
      <x:c r="R87" s="49"/>
      <x:c r="S87" s="48" t="n">
        <x:f>A87</x:f>
        <x:v>-0.292</x:v>
      </x:c>
      <x:c r="T87" s="48" t="n">
        <x:f>(Inputs!$I$6+(((A87)+1)/2)*(Inputs!$J$6-Inputs!$I$6))</x:f>
        <x:v>-17.520000000000003</x:v>
      </x:c>
      <x:c r="U87" s="48" t="n">
        <x:f>(Inputs!$I$7+(((A87)+1)/2)*(Inputs!$J$7-Inputs!$I$7))</x:f>
        <x:v>-116.80000000000001</x:v>
      </x:c>
      <x:c r="V87" s="48" t="n">
        <x:f>(Inputs!$I$8+(((A87)+1)/2)*(Inputs!$J$8-Inputs!$I$8))</x:f>
        <x:v>-233.60000000000002</x:v>
      </x:c>
      <x:c r="W87" s="48" t="n">
        <x:f>(Inputs!$I$9+(((A87)+1)/2)*(Inputs!$J$9-Inputs!$I$9))</x:f>
        <x:v>-233.60000000000002</x:v>
      </x:c>
      <x:c r="X87" s="49"/>
      <x:c r="Y87" s="48" t="n">
        <x:f>A87</x:f>
        <x:v>-0.292</x:v>
      </x:c>
      <x:c r="Z87" s="48" t="n">
        <x:f>(Inputs!$H$6+Inputs!$L$6*(((Inputs!$I$6+(((A87)+1)/2)*(Inputs!$J$6-Inputs!$I$6)))/Inputs!$K$6)^2)</x:f>
        <x:v>400.341056</x:v>
      </x:c>
      <x:c r="AA87" s="48" t="n">
        <x:f>(Inputs!$H$7+Inputs!$L$7*(((Inputs!$I$7+(((A87)+1)/2)*(Inputs!$J$7-Inputs!$I$7)))/Inputs!$K$7)^2)</x:f>
        <x:v>66.12136000000001</x:v>
      </x:c>
      <x:c r="AB87" s="48" t="n">
        <x:f>(Inputs!$H$8+Inputs!$L$8*(((Inputs!$I$8+(((A87)+1)/2)*(Inputs!$J$8-Inputs!$I$8)))/Inputs!$K$8)^2)</x:f>
        <x:v>117.27976000000002</x:v>
      </x:c>
      <x:c r="AC87" s="48" t="n">
        <x:f>(Inputs!$H$9+Inputs!$L$9*(((Inputs!$I$9+(((A87)+1)/2)*(Inputs!$J$9-Inputs!$I$9)))/Inputs!$K$9)^2)</x:f>
        <x:v>108.13240000000002</x:v>
      </x:c>
      <x:c r="AD87" s="49"/>
      <x:c r="AE87" s="48" t="n">
        <x:f>A87</x:f>
        <x:v>-0.292</x:v>
      </x:c>
      <x:c r="AF87" s="48" t="n">
        <x:f>(((SQRT(((Inputs!$I$6+(((A87)+1)/2)*(Inputs!$J$6-Inputs!$I$6)))^2+Inputs!$C$6^2+((Inputs!$H$6+Inputs!$L$6*(((Inputs!$I$6+(((A87)+1)/2)*(Inputs!$J$6-Inputs!$I$6)))/Inputs!$K$6)^2))^2))-((Inputs!$H$6+Inputs!$L$6*(((Inputs!$I$6+(((A87)+1)/2)*(Inputs!$J$6-Inputs!$I$6)))/Inputs!$K$6)^2)))*1000/Inputs!$C$12)</x:f>
        <x:v>652.9541887930834</x:v>
      </x:c>
      <x:c r="AG87" s="48" t="n">
        <x:f>(((SQRT(((Inputs!$I$7+(((A87)+1)/2)*(Inputs!$J$7-Inputs!$I$7)))^2+Inputs!$C$6^2+((Inputs!$H$7+Inputs!$L$7*(((Inputs!$I$7+(((A87)+1)/2)*(Inputs!$J$7-Inputs!$I$7)))/Inputs!$K$7)^2))^2))-((Inputs!$H$7+Inputs!$L$7*(((Inputs!$I$7+(((A87)+1)/2)*(Inputs!$J$7-Inputs!$I$7)))/Inputs!$K$7)^2)))*1000/Inputs!$C$12)</x:f>
        <x:v>39553.01540591293</x:v>
      </x:c>
      <x:c r="AH87" s="48" t="n">
        <x:f>(((SQRT(((Inputs!$I$8+(((A87)+1)/2)*(Inputs!$J$8-Inputs!$I$8)))^2+Inputs!$C$6^2+((Inputs!$H$8+Inputs!$L$8*(((Inputs!$I$8+(((A87)+1)/2)*(Inputs!$J$8-Inputs!$I$8)))/Inputs!$K$8)^2))^2))-((Inputs!$H$8+Inputs!$L$8*(((Inputs!$I$8+(((A87)+1)/2)*(Inputs!$J$8-Inputs!$I$8)))/Inputs!$K$8)^2)))*1000/Inputs!$C$12)</x:f>
        <x:v>81629.61116166919</x:v>
      </x:c>
      <x:c r="AI87" s="48" t="n">
        <x:f>(((SQRT(((Inputs!$I$9+(((A87)+1)/2)*(Inputs!$J$9-Inputs!$I$9)))^2+Inputs!$C$6^2+((Inputs!$H$9+Inputs!$L$9*(((Inputs!$I$9+(((A87)+1)/2)*(Inputs!$J$9-Inputs!$I$9)))/Inputs!$K$9)^2))^2))-((Inputs!$H$9+Inputs!$L$9*(((Inputs!$I$9+(((A87)+1)/2)*(Inputs!$J$9-Inputs!$I$9)))/Inputs!$K$9)^2)))*1000/Inputs!$C$12)</x:f>
        <x:v>84546.0626958579</x:v>
      </x:c>
      <x:c r="AJ87" s="49"/>
      <x:c r="AK87" s="48" t="n">
        <x:f>A87</x:f>
        <x:v>-0.292</x:v>
      </x:c>
      <x:c r="AL87" s="48" t="n">
        <x:f>(-2*((1000*((((Inputs!$I$6+(((A87)+1)/2)*(Inputs!$J$6-Inputs!$I$6)))*Inputs!$C$11+((Inputs!$H$6+Inputs!$L$6*(((Inputs!$I$6+(((A87)+1)/2)*(Inputs!$J$6-Inputs!$I$6)))/Inputs!$K$6)^2))*((2*Inputs!$L$6*((Inputs!$I$6+(((A87)+1)/2)*(Inputs!$J$6-Inputs!$I$6)))/(Inputs!$K$6^2)*Inputs!$C$11)))/(SQRT(((Inputs!$I$6+(((A87)+1)/2)*(Inputs!$J$6-Inputs!$I$6)))^2+Inputs!$C$6^2+((Inputs!$H$6+Inputs!$L$6*(((Inputs!$I$6+(((A87)+1)/2)*(Inputs!$J$6-Inputs!$I$6)))/Inputs!$K$6)^2))^2)))))/Inputs!$C$13)</x:f>
        <x:v>131.93061412255116</x:v>
      </x:c>
      <x:c r="AM87" s="48" t="n">
        <x:f>(-2*((1000*((((Inputs!$I$7+(((A87)+1)/2)*(Inputs!$J$7-Inputs!$I$7)))*Inputs!$C$11+((Inputs!$H$7+Inputs!$L$7*(((Inputs!$I$7+(((A87)+1)/2)*(Inputs!$J$7-Inputs!$I$7)))/Inputs!$K$7)^2))*((2*Inputs!$L$7*((Inputs!$I$7+(((A87)+1)/2)*(Inputs!$J$7-Inputs!$I$7)))/(Inputs!$K$7^2)*Inputs!$C$11)))/(SQRT(((Inputs!$I$7+(((A87)+1)/2)*(Inputs!$J$7-Inputs!$I$7)))^2+Inputs!$C$6^2+((Inputs!$H$7+Inputs!$L$7*(((Inputs!$I$7+(((A87)+1)/2)*(Inputs!$J$7-Inputs!$I$7)))/Inputs!$K$7)^2))^2)))))/Inputs!$C$13)</x:f>
        <x:v>1781.7719852724665</x:v>
      </x:c>
      <x:c r="AN87" s="48" t="n">
        <x:f>(-2*((1000*((((Inputs!$I$8+(((A87)+1)/2)*(Inputs!$J$8-Inputs!$I$8)))*Inputs!$C$11+((Inputs!$H$8+Inputs!$L$8*(((Inputs!$I$8+(((A87)+1)/2)*(Inputs!$J$8-Inputs!$I$8)))/Inputs!$K$8)^2))*((2*Inputs!$L$8*((Inputs!$I$8+(((A87)+1)/2)*(Inputs!$J$8-Inputs!$I$8)))/(Inputs!$K$8^2)*Inputs!$C$11)))/(SQRT(((Inputs!$I$8+(((A87)+1)/2)*(Inputs!$J$8-Inputs!$I$8)))^2+Inputs!$C$6^2+((Inputs!$H$8+Inputs!$L$8*(((Inputs!$I$8+(((A87)+1)/2)*(Inputs!$J$8-Inputs!$I$8)))/Inputs!$K$8)^2))^2)))))/Inputs!$C$13)</x:f>
        <x:v>1926.8316763986527</x:v>
      </x:c>
      <x:c r="AO87" s="48" t="n">
        <x:f>(-2*((1000*((((Inputs!$I$9+(((A87)+1)/2)*(Inputs!$J$9-Inputs!$I$9)))*Inputs!$C$11+((Inputs!$H$9+Inputs!$L$9*(((Inputs!$I$9+(((A87)+1)/2)*(Inputs!$J$9-Inputs!$I$9)))/Inputs!$K$9)^2))*((2*Inputs!$L$9*((Inputs!$I$9+(((A87)+1)/2)*(Inputs!$J$9-Inputs!$I$9)))/(Inputs!$K$9^2)*Inputs!$C$11)))/(SQRT(((Inputs!$I$9+(((A87)+1)/2)*(Inputs!$J$9-Inputs!$I$9)))^2+Inputs!$C$6^2+((Inputs!$H$9+Inputs!$L$9*(((Inputs!$I$9+(((A87)+1)/2)*(Inputs!$J$9-Inputs!$I$9)))/Inputs!$K$9)^2))^2)))))/Inputs!$C$13)</x:f>
        <x:v>1921.323716021215</x:v>
      </x:c>
    </x:row>
    <x:row r="88">
      <x:c r="A88" s="48" t="n">
        <x:f>ROUND(-1+86*2/240,3)</x:f>
        <x:v>-0.283</x:v>
      </x:c>
      <x:c r="B88" s="48" t="n">
        <x:f>IF(OR(Inputs!$F$6=TRUE,Inputs!$F$6="TRUE",Inputs!$F$6=1),(Inputs!$H$6+Inputs!$L$6*(((Inputs!$I$6+(((A88)+1)/2)*(Inputs!$J$6-Inputs!$I$6)))/Inputs!$K$6)^2),NA())</x:f>
        <x:v>400.320356</x:v>
      </x:c>
      <x:c r="C88" s="48" t="n">
        <x:f>IF(OR(Inputs!$F$7=TRUE,Inputs!$F$7="TRUE",Inputs!$F$7=1),(Inputs!$H$7+Inputs!$L$7*(((Inputs!$I$7+(((A88)+1)/2)*(Inputs!$J$7-Inputs!$I$7)))/Inputs!$K$7)^2),NA())</x:f>
        <x:v>64.232485</x:v>
      </x:c>
      <x:c r="D88" s="48" t="n">
        <x:f>IF(OR(Inputs!$F$8=TRUE,Inputs!$F$8="TRUE",Inputs!$F$8=1),(Inputs!$H$8+Inputs!$L$8*(((Inputs!$I$8+(((A88)+1)/2)*(Inputs!$J$8-Inputs!$I$8)))/Inputs!$K$8)^2),NA())</x:f>
        <x:v>112.28588499999998</x:v>
      </x:c>
      <x:c r="E88" s="48" t="n">
        <x:f>IF(OR(Inputs!$F$9=TRUE,Inputs!$F$9="TRUE",Inputs!$F$9=1),(Inputs!$H$9+Inputs!$L$9*(((Inputs!$I$9+(((A88)+1)/2)*(Inputs!$J$9-Inputs!$I$9)))/Inputs!$K$9)^2),NA())</x:f>
        <x:v>103.08677499999997</x:v>
      </x:c>
      <x:c r="F88" s="49"/>
      <x:c r="G88" s="48" t="n">
        <x:f>A88</x:f>
        <x:v>-0.283</x:v>
      </x:c>
      <x:c r="H88" s="48" t="n">
        <x:f>IF(OR(Inputs!$F$6=TRUE,Inputs!$F$6="TRUE",Inputs!$F$6=1),(((SQRT(((Inputs!$I$6+(((A88)+1)/2)*(Inputs!$J$6-Inputs!$I$6)))^2+Inputs!$C$6^2+((Inputs!$H$6+Inputs!$L$6*(((Inputs!$I$6+(((A88)+1)/2)*(Inputs!$J$6-Inputs!$I$6)))/Inputs!$K$6)^2))^2))-((Inputs!$H$6+Inputs!$L$6*(((Inputs!$I$6+(((A88)+1)/2)*(Inputs!$J$6-Inputs!$I$6)))/Inputs!$K$6)^2)))*1000/Inputs!$C$12),NA())</x:f>
        <x:v>639.9529275505324</x:v>
      </x:c>
      <x:c r="I88" s="48" t="n">
        <x:f>IF(OR(Inputs!$F$7=TRUE,Inputs!$F$7="TRUE",Inputs!$F$7=1),(((SQRT(((Inputs!$I$7+(((A88)+1)/2)*(Inputs!$J$7-Inputs!$I$7)))^2+Inputs!$C$6^2+((Inputs!$H$7+Inputs!$L$7*(((Inputs!$I$7+(((A88)+1)/2)*(Inputs!$J$7-Inputs!$I$7)))/Inputs!$K$7)^2))^2))-((Inputs!$H$7+Inputs!$L$7*(((Inputs!$I$7+(((A88)+1)/2)*(Inputs!$J$7-Inputs!$I$7)))/Inputs!$K$7)^2)))*1000/Inputs!$C$12),NA())</x:f>
        <x:v>38371.19461792838</x:v>
      </x:c>
      <x:c r="J88" s="48" t="n">
        <x:f>IF(OR(Inputs!$F$8=TRUE,Inputs!$F$8="TRUE",Inputs!$F$8=1),(((SQRT(((Inputs!$I$8+(((A88)+1)/2)*(Inputs!$J$8-Inputs!$I$8)))^2+Inputs!$C$6^2+((Inputs!$H$8+Inputs!$L$8*(((Inputs!$I$8+(((A88)+1)/2)*(Inputs!$J$8-Inputs!$I$8)))/Inputs!$K$8)^2))^2))-((Inputs!$H$8+Inputs!$L$8*(((Inputs!$I$8+(((A88)+1)/2)*(Inputs!$J$8-Inputs!$I$8)))/Inputs!$K$8)^2)))*1000/Inputs!$C$12),NA())</x:f>
        <x:v>79586.0034794901</x:v>
      </x:c>
      <x:c r="K88" s="48" t="n">
        <x:f>IF(OR(Inputs!$F$9=TRUE,Inputs!$F$9="TRUE",Inputs!$F$9=1),(((SQRT(((Inputs!$I$9+(((A88)+1)/2)*(Inputs!$J$9-Inputs!$I$9)))^2+Inputs!$C$6^2+((Inputs!$H$9+Inputs!$L$9*(((Inputs!$I$9+(((A88)+1)/2)*(Inputs!$J$9-Inputs!$I$9)))/Inputs!$K$9)^2))^2))-((Inputs!$H$9+Inputs!$L$9*(((Inputs!$I$9+(((A88)+1)/2)*(Inputs!$J$9-Inputs!$I$9)))/Inputs!$K$9)^2)))*1000/Inputs!$C$12),NA())</x:f>
        <x:v>82545.45546866902</x:v>
      </x:c>
      <x:c r="L88" s="49"/>
      <x:c r="M88" s="48" t="n">
        <x:f>A88</x:f>
        <x:v>-0.283</x:v>
      </x:c>
      <x:c r="N88" s="48" t="n">
        <x:f>IF(OR(Inputs!$F$6=TRUE,Inputs!$F$6="TRUE",Inputs!$F$6=1),(-2*((1000*((((Inputs!$I$6+(((A88)+1)/2)*(Inputs!$J$6-Inputs!$I$6)))*Inputs!$C$11+((Inputs!$H$6+Inputs!$L$6*(((Inputs!$I$6+(((A88)+1)/2)*(Inputs!$J$6-Inputs!$I$6)))/Inputs!$K$6)^2))*((2*Inputs!$L$6*((Inputs!$I$6+(((A88)+1)/2)*(Inputs!$J$6-Inputs!$I$6)))/(Inputs!$K$6^2)*Inputs!$C$11)))/(SQRT(((Inputs!$I$6+(((A88)+1)/2)*(Inputs!$J$6-Inputs!$I$6)))^2+Inputs!$C$6^2+((Inputs!$H$6+Inputs!$L$6*(((Inputs!$I$6+(((A88)+1)/2)*(Inputs!$J$6-Inputs!$I$6)))/Inputs!$K$6)^2))^2)))))/Inputs!$C$13),NA())</x:f>
        <x:v>127.87511030732364</x:v>
      </x:c>
      <x:c r="O88" s="48" t="n">
        <x:f>IF(OR(Inputs!$F$7=TRUE,Inputs!$F$7="TRUE",Inputs!$F$7=1),(-2*((1000*((((Inputs!$I$7+(((A88)+1)/2)*(Inputs!$J$7-Inputs!$I$7)))*Inputs!$C$11+((Inputs!$H$7+Inputs!$L$7*(((Inputs!$I$7+(((A88)+1)/2)*(Inputs!$J$7-Inputs!$I$7)))/Inputs!$K$7)^2))*((2*Inputs!$L$7*((Inputs!$I$7+(((A88)+1)/2)*(Inputs!$J$7-Inputs!$I$7)))/(Inputs!$K$7^2)*Inputs!$C$11)))/(SQRT(((Inputs!$I$7+(((A88)+1)/2)*(Inputs!$J$7-Inputs!$I$7)))^2+Inputs!$C$6^2+((Inputs!$H$7+Inputs!$L$7*(((Inputs!$I$7+(((A88)+1)/2)*(Inputs!$J$7-Inputs!$I$7)))/Inputs!$K$7)^2))^2)))))/Inputs!$C$13),NA())</x:f>
        <x:v>1767.0978752833012</x:v>
      </x:c>
      <x:c r="P88" s="48" t="n">
        <x:f>IF(OR(Inputs!$F$8=TRUE,Inputs!$F$8="TRUE",Inputs!$F$8=1),(-2*((1000*((((Inputs!$I$8+(((A88)+1)/2)*(Inputs!$J$8-Inputs!$I$8)))*Inputs!$C$11+((Inputs!$H$8+Inputs!$L$8*(((Inputs!$I$8+(((A88)+1)/2)*(Inputs!$J$8-Inputs!$I$8)))/Inputs!$K$8)^2))*((2*Inputs!$L$8*((Inputs!$I$8+(((A88)+1)/2)*(Inputs!$J$8-Inputs!$I$8)))/(Inputs!$K$8^2)*Inputs!$C$11)))/(SQRT(((Inputs!$I$8+(((A88)+1)/2)*(Inputs!$J$8-Inputs!$I$8)))^2+Inputs!$C$6^2+((Inputs!$H$8+Inputs!$L$8*(((Inputs!$I$8+(((A88)+1)/2)*(Inputs!$J$8-Inputs!$I$8)))/Inputs!$K$8)^2))^2)))))/Inputs!$C$13),NA())</x:f>
        <x:v>1909.4342173445507</x:v>
      </x:c>
      <x:c r="Q88" s="48" t="n">
        <x:f>IF(OR(Inputs!$F$9=TRUE,Inputs!$F$9="TRUE",Inputs!$F$9=1),(-2*((1000*((((Inputs!$I$9+(((A88)+1)/2)*(Inputs!$J$9-Inputs!$I$9)))*Inputs!$C$11+((Inputs!$H$9+Inputs!$L$9*(((Inputs!$I$9+(((A88)+1)/2)*(Inputs!$J$9-Inputs!$I$9)))/Inputs!$K$9)^2))*((2*Inputs!$L$9*((Inputs!$I$9+(((A88)+1)/2)*(Inputs!$J$9-Inputs!$I$9)))/(Inputs!$K$9^2)*Inputs!$C$11)))/(SQRT(((Inputs!$I$9+(((A88)+1)/2)*(Inputs!$J$9-Inputs!$I$9)))^2+Inputs!$C$6^2+((Inputs!$H$9+Inputs!$L$9*(((Inputs!$I$9+(((A88)+1)/2)*(Inputs!$J$9-Inputs!$I$9)))/Inputs!$K$9)^2))^2)))))/Inputs!$C$13),NA())</x:f>
        <x:v>1903.9328044717065</x:v>
      </x:c>
      <x:c r="R88" s="49"/>
      <x:c r="S88" s="48" t="n">
        <x:f>A88</x:f>
        <x:v>-0.283</x:v>
      </x:c>
      <x:c r="T88" s="48" t="n">
        <x:f>(Inputs!$I$6+(((A88)+1)/2)*(Inputs!$J$6-Inputs!$I$6))</x:f>
        <x:v>-16.979999999999997</x:v>
      </x:c>
      <x:c r="U88" s="48" t="n">
        <x:f>(Inputs!$I$7+(((A88)+1)/2)*(Inputs!$J$7-Inputs!$I$7))</x:f>
        <x:v>-113.19999999999999</x:v>
      </x:c>
      <x:c r="V88" s="48" t="n">
        <x:f>(Inputs!$I$8+(((A88)+1)/2)*(Inputs!$J$8-Inputs!$I$8))</x:f>
        <x:v>-226.39999999999998</x:v>
      </x:c>
      <x:c r="W88" s="48" t="n">
        <x:f>(Inputs!$I$9+(((A88)+1)/2)*(Inputs!$J$9-Inputs!$I$9))</x:f>
        <x:v>-226.39999999999998</x:v>
      </x:c>
      <x:c r="X88" s="49"/>
      <x:c r="Y88" s="48" t="n">
        <x:f>A88</x:f>
        <x:v>-0.283</x:v>
      </x:c>
      <x:c r="Z88" s="48" t="n">
        <x:f>(Inputs!$H$6+Inputs!$L$6*(((Inputs!$I$6+(((A88)+1)/2)*(Inputs!$J$6-Inputs!$I$6)))/Inputs!$K$6)^2)</x:f>
        <x:v>400.320356</x:v>
      </x:c>
      <x:c r="AA88" s="48" t="n">
        <x:f>(Inputs!$H$7+Inputs!$L$7*(((Inputs!$I$7+(((A88)+1)/2)*(Inputs!$J$7-Inputs!$I$7)))/Inputs!$K$7)^2)</x:f>
        <x:v>64.232485</x:v>
      </x:c>
      <x:c r="AB88" s="48" t="n">
        <x:f>(Inputs!$H$8+Inputs!$L$8*(((Inputs!$I$8+(((A88)+1)/2)*(Inputs!$J$8-Inputs!$I$8)))/Inputs!$K$8)^2)</x:f>
        <x:v>112.28588499999998</x:v>
      </x:c>
      <x:c r="AC88" s="48" t="n">
        <x:f>(Inputs!$H$9+Inputs!$L$9*(((Inputs!$I$9+(((A88)+1)/2)*(Inputs!$J$9-Inputs!$I$9)))/Inputs!$K$9)^2)</x:f>
        <x:v>103.08677499999997</x:v>
      </x:c>
      <x:c r="AD88" s="49"/>
      <x:c r="AE88" s="48" t="n">
        <x:f>A88</x:f>
        <x:v>-0.283</x:v>
      </x:c>
      <x:c r="AF88" s="48" t="n">
        <x:f>(((SQRT(((Inputs!$I$6+(((A88)+1)/2)*(Inputs!$J$6-Inputs!$I$6)))^2+Inputs!$C$6^2+((Inputs!$H$6+Inputs!$L$6*(((Inputs!$I$6+(((A88)+1)/2)*(Inputs!$J$6-Inputs!$I$6)))/Inputs!$K$6)^2))^2))-((Inputs!$H$6+Inputs!$L$6*(((Inputs!$I$6+(((A88)+1)/2)*(Inputs!$J$6-Inputs!$I$6)))/Inputs!$K$6)^2)))*1000/Inputs!$C$12)</x:f>
        <x:v>639.9529275505324</x:v>
      </x:c>
      <x:c r="AG88" s="48" t="n">
        <x:f>(((SQRT(((Inputs!$I$7+(((A88)+1)/2)*(Inputs!$J$7-Inputs!$I$7)))^2+Inputs!$C$6^2+((Inputs!$H$7+Inputs!$L$7*(((Inputs!$I$7+(((A88)+1)/2)*(Inputs!$J$7-Inputs!$I$7)))/Inputs!$K$7)^2))^2))-((Inputs!$H$7+Inputs!$L$7*(((Inputs!$I$7+(((A88)+1)/2)*(Inputs!$J$7-Inputs!$I$7)))/Inputs!$K$7)^2)))*1000/Inputs!$C$12)</x:f>
        <x:v>38371.19461792838</x:v>
      </x:c>
      <x:c r="AH88" s="48" t="n">
        <x:f>(((SQRT(((Inputs!$I$8+(((A88)+1)/2)*(Inputs!$J$8-Inputs!$I$8)))^2+Inputs!$C$6^2+((Inputs!$H$8+Inputs!$L$8*(((Inputs!$I$8+(((A88)+1)/2)*(Inputs!$J$8-Inputs!$I$8)))/Inputs!$K$8)^2))^2))-((Inputs!$H$8+Inputs!$L$8*(((Inputs!$I$8+(((A88)+1)/2)*(Inputs!$J$8-Inputs!$I$8)))/Inputs!$K$8)^2)))*1000/Inputs!$C$12)</x:f>
        <x:v>79586.0034794901</x:v>
      </x:c>
      <x:c r="AI88" s="48" t="n">
        <x:f>(((SQRT(((Inputs!$I$9+(((A88)+1)/2)*(Inputs!$J$9-Inputs!$I$9)))^2+Inputs!$C$6^2+((Inputs!$H$9+Inputs!$L$9*(((Inputs!$I$9+(((A88)+1)/2)*(Inputs!$J$9-Inputs!$I$9)))/Inputs!$K$9)^2))^2))-((Inputs!$H$9+Inputs!$L$9*(((Inputs!$I$9+(((A88)+1)/2)*(Inputs!$J$9-Inputs!$I$9)))/Inputs!$K$9)^2)))*1000/Inputs!$C$12)</x:f>
        <x:v>82545.45546866902</x:v>
      </x:c>
      <x:c r="AJ88" s="49"/>
      <x:c r="AK88" s="48" t="n">
        <x:f>A88</x:f>
        <x:v>-0.283</x:v>
      </x:c>
      <x:c r="AL88" s="48" t="n">
        <x:f>(-2*((1000*((((Inputs!$I$6+(((A88)+1)/2)*(Inputs!$J$6-Inputs!$I$6)))*Inputs!$C$11+((Inputs!$H$6+Inputs!$L$6*(((Inputs!$I$6+(((A88)+1)/2)*(Inputs!$J$6-Inputs!$I$6)))/Inputs!$K$6)^2))*((2*Inputs!$L$6*((Inputs!$I$6+(((A88)+1)/2)*(Inputs!$J$6-Inputs!$I$6)))/(Inputs!$K$6^2)*Inputs!$C$11)))/(SQRT(((Inputs!$I$6+(((A88)+1)/2)*(Inputs!$J$6-Inputs!$I$6)))^2+Inputs!$C$6^2+((Inputs!$H$6+Inputs!$L$6*(((Inputs!$I$6+(((A88)+1)/2)*(Inputs!$J$6-Inputs!$I$6)))/Inputs!$K$6)^2))^2)))))/Inputs!$C$13)</x:f>
        <x:v>127.87511030732364</x:v>
      </x:c>
      <x:c r="AM88" s="48" t="n">
        <x:f>(-2*((1000*((((Inputs!$I$7+(((A88)+1)/2)*(Inputs!$J$7-Inputs!$I$7)))*Inputs!$C$11+((Inputs!$H$7+Inputs!$L$7*(((Inputs!$I$7+(((A88)+1)/2)*(Inputs!$J$7-Inputs!$I$7)))/Inputs!$K$7)^2))*((2*Inputs!$L$7*((Inputs!$I$7+(((A88)+1)/2)*(Inputs!$J$7-Inputs!$I$7)))/(Inputs!$K$7^2)*Inputs!$C$11)))/(SQRT(((Inputs!$I$7+(((A88)+1)/2)*(Inputs!$J$7-Inputs!$I$7)))^2+Inputs!$C$6^2+((Inputs!$H$7+Inputs!$L$7*(((Inputs!$I$7+(((A88)+1)/2)*(Inputs!$J$7-Inputs!$I$7)))/Inputs!$K$7)^2))^2)))))/Inputs!$C$13)</x:f>
        <x:v>1767.0978752833012</x:v>
      </x:c>
      <x:c r="AN88" s="48" t="n">
        <x:f>(-2*((1000*((((Inputs!$I$8+(((A88)+1)/2)*(Inputs!$J$8-Inputs!$I$8)))*Inputs!$C$11+((Inputs!$H$8+Inputs!$L$8*(((Inputs!$I$8+(((A88)+1)/2)*(Inputs!$J$8-Inputs!$I$8)))/Inputs!$K$8)^2))*((2*Inputs!$L$8*((Inputs!$I$8+(((A88)+1)/2)*(Inputs!$J$8-Inputs!$I$8)))/(Inputs!$K$8^2)*Inputs!$C$11)))/(SQRT(((Inputs!$I$8+(((A88)+1)/2)*(Inputs!$J$8-Inputs!$I$8)))^2+Inputs!$C$6^2+((Inputs!$H$8+Inputs!$L$8*(((Inputs!$I$8+(((A88)+1)/2)*(Inputs!$J$8-Inputs!$I$8)))/Inputs!$K$8)^2))^2)))))/Inputs!$C$13)</x:f>
        <x:v>1909.4342173445507</x:v>
      </x:c>
      <x:c r="AO88" s="48" t="n">
        <x:f>(-2*((1000*((((Inputs!$I$9+(((A88)+1)/2)*(Inputs!$J$9-Inputs!$I$9)))*Inputs!$C$11+((Inputs!$H$9+Inputs!$L$9*(((Inputs!$I$9+(((A88)+1)/2)*(Inputs!$J$9-Inputs!$I$9)))/Inputs!$K$9)^2))*((2*Inputs!$L$9*((Inputs!$I$9+(((A88)+1)/2)*(Inputs!$J$9-Inputs!$I$9)))/(Inputs!$K$9^2)*Inputs!$C$11)))/(SQRT(((Inputs!$I$9+(((A88)+1)/2)*(Inputs!$J$9-Inputs!$I$9)))^2+Inputs!$C$6^2+((Inputs!$H$9+Inputs!$L$9*(((Inputs!$I$9+(((A88)+1)/2)*(Inputs!$J$9-Inputs!$I$9)))/Inputs!$K$9)^2))^2)))))/Inputs!$C$13)</x:f>
        <x:v>1903.9328044717065</x:v>
      </x:c>
    </x:row>
    <x:row r="89">
      <x:c r="A89" s="48" t="n">
        <x:f>ROUND(-1+87*2/240,3)</x:f>
        <x:v>-0.275</x:v>
      </x:c>
      <x:c r="B89" s="48" t="n">
        <x:f>IF(OR(Inputs!$F$6=TRUE,Inputs!$F$6="TRUE",Inputs!$F$6=1),(Inputs!$H$6+Inputs!$L$6*(((Inputs!$I$6+(((A89)+1)/2)*(Inputs!$J$6-Inputs!$I$6)))/Inputs!$K$6)^2),NA())</x:f>
        <x:v>400.3025</x:v>
      </x:c>
      <x:c r="C89" s="48" t="n">
        <x:f>IF(OR(Inputs!$F$7=TRUE,Inputs!$F$7="TRUE",Inputs!$F$7=1),(Inputs!$H$7+Inputs!$L$7*(((Inputs!$I$7+(((A89)+1)/2)*(Inputs!$J$7-Inputs!$I$7)))/Inputs!$K$7)^2),NA())</x:f>
        <x:v>62.603125000000006</x:v>
      </x:c>
      <x:c r="D89" s="48" t="n">
        <x:f>IF(OR(Inputs!$F$8=TRUE,Inputs!$F$8="TRUE",Inputs!$F$8=1),(Inputs!$H$8+Inputs!$L$8*(((Inputs!$I$8+(((A89)+1)/2)*(Inputs!$J$8-Inputs!$I$8)))/Inputs!$K$8)^2),NA())</x:f>
        <x:v>107.978125</x:v>
      </x:c>
      <x:c r="E89" s="48" t="n">
        <x:f>IF(OR(Inputs!$F$9=TRUE,Inputs!$F$9="TRUE",Inputs!$F$9=1),(Inputs!$H$9+Inputs!$L$9*(((Inputs!$I$9+(((A89)+1)/2)*(Inputs!$J$9-Inputs!$I$9)))/Inputs!$K$9)^2),NA())</x:f>
        <x:v>98.73437500000001</x:v>
      </x:c>
      <x:c r="F89" s="49"/>
      <x:c r="G89" s="48" t="n">
        <x:f>A89</x:f>
        <x:v>-0.275</x:v>
      </x:c>
      <x:c r="H89" s="48" t="n">
        <x:f>IF(OR(Inputs!$F$6=TRUE,Inputs!$F$6="TRUE",Inputs!$F$6=1),(((SQRT(((Inputs!$I$6+(((A89)+1)/2)*(Inputs!$J$6-Inputs!$I$6)))^2+Inputs!$C$6^2+((Inputs!$H$6+Inputs!$L$6*(((Inputs!$I$6+(((A89)+1)/2)*(Inputs!$J$6-Inputs!$I$6)))/Inputs!$K$6)^2))^2))-((Inputs!$H$6+Inputs!$L$6*(((Inputs!$I$6+(((A89)+1)/2)*(Inputs!$J$6-Inputs!$I$6)))/Inputs!$K$6)^2)))*1000/Inputs!$C$12),NA())</x:f>
        <x:v>628.7362472252798</x:v>
      </x:c>
      <x:c r="I89" s="48" t="n">
        <x:f>IF(OR(Inputs!$F$7=TRUE,Inputs!$F$7="TRUE",Inputs!$F$7=1),(((SQRT(((Inputs!$I$7+(((A89)+1)/2)*(Inputs!$J$7-Inputs!$I$7)))^2+Inputs!$C$6^2+((Inputs!$H$7+Inputs!$L$7*(((Inputs!$I$7+(((A89)+1)/2)*(Inputs!$J$7-Inputs!$I$7)))/Inputs!$K$7)^2))^2))-((Inputs!$H$7+Inputs!$L$7*(((Inputs!$I$7+(((A89)+1)/2)*(Inputs!$J$7-Inputs!$I$7)))/Inputs!$K$7)^2)))*1000/Inputs!$C$12),NA())</x:f>
        <x:v>37308.476745478256</x:v>
      </x:c>
      <x:c r="J89" s="48" t="n">
        <x:f>IF(OR(Inputs!$F$8=TRUE,Inputs!$F$8="TRUE",Inputs!$F$8=1),(((SQRT(((Inputs!$I$8+(((A89)+1)/2)*(Inputs!$J$8-Inputs!$I$8)))^2+Inputs!$C$6^2+((Inputs!$H$8+Inputs!$L$8*(((Inputs!$I$8+(((A89)+1)/2)*(Inputs!$J$8-Inputs!$I$8)))/Inputs!$K$8)^2))^2))-((Inputs!$H$8+Inputs!$L$8*(((Inputs!$I$8+(((A89)+1)/2)*(Inputs!$J$8-Inputs!$I$8)))/Inputs!$K$8)^2)))*1000/Inputs!$C$12),NA())</x:f>
        <x:v>77732.3937618946</x:v>
      </x:c>
      <x:c r="K89" s="48" t="n">
        <x:f>IF(OR(Inputs!$F$9=TRUE,Inputs!$F$9="TRUE",Inputs!$F$9=1),(((SQRT(((Inputs!$I$9+(((A89)+1)/2)*(Inputs!$J$9-Inputs!$I$9)))^2+Inputs!$C$6^2+((Inputs!$H$9+Inputs!$L$9*(((Inputs!$I$9+(((A89)+1)/2)*(Inputs!$J$9-Inputs!$I$9)))/Inputs!$K$9)^2))^2))-((Inputs!$H$9+Inputs!$L$9*(((Inputs!$I$9+(((A89)+1)/2)*(Inputs!$J$9-Inputs!$I$9)))/Inputs!$K$9)^2)))*1000/Inputs!$C$12),NA())</x:f>
        <x:v>80729.23707190677</x:v>
      </x:c>
      <x:c r="L89" s="49"/>
      <x:c r="M89" s="48" t="n">
        <x:f>A89</x:f>
        <x:v>-0.275</x:v>
      </x:c>
      <x:c r="N89" s="48" t="n">
        <x:f>IF(OR(Inputs!$F$6=TRUE,Inputs!$F$6="TRUE",Inputs!$F$6=1),(-2*((1000*((((Inputs!$I$6+(((A89)+1)/2)*(Inputs!$J$6-Inputs!$I$6)))*Inputs!$C$11+((Inputs!$H$6+Inputs!$L$6*(((Inputs!$I$6+(((A89)+1)/2)*(Inputs!$J$6-Inputs!$I$6)))/Inputs!$K$6)^2))*((2*Inputs!$L$6*((Inputs!$I$6+(((A89)+1)/2)*(Inputs!$J$6-Inputs!$I$6)))/(Inputs!$K$6^2)*Inputs!$C$11)))/(SQRT(((Inputs!$I$6+(((A89)+1)/2)*(Inputs!$J$6-Inputs!$I$6)))^2+Inputs!$C$6^2+((Inputs!$H$6+Inputs!$L$6*(((Inputs!$I$6+(((A89)+1)/2)*(Inputs!$J$6-Inputs!$I$6)))/Inputs!$K$6)^2))^2)))))/Inputs!$C$13),NA())</x:f>
        <x:v>124.26936431730994</x:v>
      </x:c>
      <x:c r="O89" s="48" t="n">
        <x:f>IF(OR(Inputs!$F$7=TRUE,Inputs!$F$7="TRUE",Inputs!$F$7=1),(-2*((1000*((((Inputs!$I$7+(((A89)+1)/2)*(Inputs!$J$7-Inputs!$I$7)))*Inputs!$C$11+((Inputs!$H$7+Inputs!$L$7*(((Inputs!$I$7+(((A89)+1)/2)*(Inputs!$J$7-Inputs!$I$7)))/Inputs!$K$7)^2))*((2*Inputs!$L$7*((Inputs!$I$7+(((A89)+1)/2)*(Inputs!$J$7-Inputs!$I$7)))/(Inputs!$K$7^2)*Inputs!$C$11)))/(SQRT(((Inputs!$I$7+(((A89)+1)/2)*(Inputs!$J$7-Inputs!$I$7)))^2+Inputs!$C$6^2+((Inputs!$H$7+Inputs!$L$7*(((Inputs!$I$7+(((A89)+1)/2)*(Inputs!$J$7-Inputs!$I$7)))/Inputs!$K$7)^2))^2)))))/Inputs!$C$13),NA())</x:f>
        <x:v>1753.8673513839185</x:v>
      </x:c>
      <x:c r="P89" s="48" t="n">
        <x:f>IF(OR(Inputs!$F$8=TRUE,Inputs!$F$8="TRUE",Inputs!$F$8=1),(-2*((1000*((((Inputs!$I$8+(((A89)+1)/2)*(Inputs!$J$8-Inputs!$I$8)))*Inputs!$C$11+((Inputs!$H$8+Inputs!$L$8*(((Inputs!$I$8+(((A89)+1)/2)*(Inputs!$J$8-Inputs!$I$8)))/Inputs!$K$8)^2))*((2*Inputs!$L$8*((Inputs!$I$8+(((A89)+1)/2)*(Inputs!$J$8-Inputs!$I$8)))/(Inputs!$K$8^2)*Inputs!$C$11)))/(SQRT(((Inputs!$I$8+(((A89)+1)/2)*(Inputs!$J$8-Inputs!$I$8)))^2+Inputs!$C$6^2+((Inputs!$H$8+Inputs!$L$8*(((Inputs!$I$8+(((A89)+1)/2)*(Inputs!$J$8-Inputs!$I$8)))/Inputs!$K$8)^2))^2)))))/Inputs!$C$13),NA())</x:f>
        <x:v>1894.192566600006</x:v>
      </x:c>
      <x:c r="Q89" s="48" t="n">
        <x:f>IF(OR(Inputs!$F$9=TRUE,Inputs!$F$9="TRUE",Inputs!$F$9=1),(-2*((1000*((((Inputs!$I$9+(((A89)+1)/2)*(Inputs!$J$9-Inputs!$I$9)))*Inputs!$C$11+((Inputs!$H$9+Inputs!$L$9*(((Inputs!$I$9+(((A89)+1)/2)*(Inputs!$J$9-Inputs!$I$9)))/Inputs!$K$9)^2))*((2*Inputs!$L$9*((Inputs!$I$9+(((A89)+1)/2)*(Inputs!$J$9-Inputs!$I$9)))/(Inputs!$K$9^2)*Inputs!$C$11)))/(SQRT(((Inputs!$I$9+(((A89)+1)/2)*(Inputs!$J$9-Inputs!$I$9)))^2+Inputs!$C$6^2+((Inputs!$H$9+Inputs!$L$9*(((Inputs!$I$9+(((A89)+1)/2)*(Inputs!$J$9-Inputs!$I$9)))/Inputs!$K$9)^2))^2)))))/Inputs!$C$13),NA())</x:f>
        <x:v>1888.7433573298745</x:v>
      </x:c>
      <x:c r="R89" s="49"/>
      <x:c r="S89" s="48" t="n">
        <x:f>A89</x:f>
        <x:v>-0.275</x:v>
      </x:c>
      <x:c r="T89" s="48" t="n">
        <x:f>(Inputs!$I$6+(((A89)+1)/2)*(Inputs!$J$6-Inputs!$I$6))</x:f>
        <x:v>-16.5</x:v>
      </x:c>
      <x:c r="U89" s="48" t="n">
        <x:f>(Inputs!$I$7+(((A89)+1)/2)*(Inputs!$J$7-Inputs!$I$7))</x:f>
        <x:v>-110</x:v>
      </x:c>
      <x:c r="V89" s="48" t="n">
        <x:f>(Inputs!$I$8+(((A89)+1)/2)*(Inputs!$J$8-Inputs!$I$8))</x:f>
        <x:v>-220</x:v>
      </x:c>
      <x:c r="W89" s="48" t="n">
        <x:f>(Inputs!$I$9+(((A89)+1)/2)*(Inputs!$J$9-Inputs!$I$9))</x:f>
        <x:v>-220</x:v>
      </x:c>
      <x:c r="X89" s="49"/>
      <x:c r="Y89" s="48" t="n">
        <x:f>A89</x:f>
        <x:v>-0.275</x:v>
      </x:c>
      <x:c r="Z89" s="48" t="n">
        <x:f>(Inputs!$H$6+Inputs!$L$6*(((Inputs!$I$6+(((A89)+1)/2)*(Inputs!$J$6-Inputs!$I$6)))/Inputs!$K$6)^2)</x:f>
        <x:v>400.3025</x:v>
      </x:c>
      <x:c r="AA89" s="48" t="n">
        <x:f>(Inputs!$H$7+Inputs!$L$7*(((Inputs!$I$7+(((A89)+1)/2)*(Inputs!$J$7-Inputs!$I$7)))/Inputs!$K$7)^2)</x:f>
        <x:v>62.603125000000006</x:v>
      </x:c>
      <x:c r="AB89" s="48" t="n">
        <x:f>(Inputs!$H$8+Inputs!$L$8*(((Inputs!$I$8+(((A89)+1)/2)*(Inputs!$J$8-Inputs!$I$8)))/Inputs!$K$8)^2)</x:f>
        <x:v>107.978125</x:v>
      </x:c>
      <x:c r="AC89" s="48" t="n">
        <x:f>(Inputs!$H$9+Inputs!$L$9*(((Inputs!$I$9+(((A89)+1)/2)*(Inputs!$J$9-Inputs!$I$9)))/Inputs!$K$9)^2)</x:f>
        <x:v>98.73437500000001</x:v>
      </x:c>
      <x:c r="AD89" s="49"/>
      <x:c r="AE89" s="48" t="n">
        <x:f>A89</x:f>
        <x:v>-0.275</x:v>
      </x:c>
      <x:c r="AF89" s="48" t="n">
        <x:f>(((SQRT(((Inputs!$I$6+(((A89)+1)/2)*(Inputs!$J$6-Inputs!$I$6)))^2+Inputs!$C$6^2+((Inputs!$H$6+Inputs!$L$6*(((Inputs!$I$6+(((A89)+1)/2)*(Inputs!$J$6-Inputs!$I$6)))/Inputs!$K$6)^2))^2))-((Inputs!$H$6+Inputs!$L$6*(((Inputs!$I$6+(((A89)+1)/2)*(Inputs!$J$6-Inputs!$I$6)))/Inputs!$K$6)^2)))*1000/Inputs!$C$12)</x:f>
        <x:v>628.7362472252798</x:v>
      </x:c>
      <x:c r="AG89" s="48" t="n">
        <x:f>(((SQRT(((Inputs!$I$7+(((A89)+1)/2)*(Inputs!$J$7-Inputs!$I$7)))^2+Inputs!$C$6^2+((Inputs!$H$7+Inputs!$L$7*(((Inputs!$I$7+(((A89)+1)/2)*(Inputs!$J$7-Inputs!$I$7)))/Inputs!$K$7)^2))^2))-((Inputs!$H$7+Inputs!$L$7*(((Inputs!$I$7+(((A89)+1)/2)*(Inputs!$J$7-Inputs!$I$7)))/Inputs!$K$7)^2)))*1000/Inputs!$C$12)</x:f>
        <x:v>37308.476745478256</x:v>
      </x:c>
      <x:c r="AH89" s="48" t="n">
        <x:f>(((SQRT(((Inputs!$I$8+(((A89)+1)/2)*(Inputs!$J$8-Inputs!$I$8)))^2+Inputs!$C$6^2+((Inputs!$H$8+Inputs!$L$8*(((Inputs!$I$8+(((A89)+1)/2)*(Inputs!$J$8-Inputs!$I$8)))/Inputs!$K$8)^2))^2))-((Inputs!$H$8+Inputs!$L$8*(((Inputs!$I$8+(((A89)+1)/2)*(Inputs!$J$8-Inputs!$I$8)))/Inputs!$K$8)^2)))*1000/Inputs!$C$12)</x:f>
        <x:v>77732.3937618946</x:v>
      </x:c>
      <x:c r="AI89" s="48" t="n">
        <x:f>(((SQRT(((Inputs!$I$9+(((A89)+1)/2)*(Inputs!$J$9-Inputs!$I$9)))^2+Inputs!$C$6^2+((Inputs!$H$9+Inputs!$L$9*(((Inputs!$I$9+(((A89)+1)/2)*(Inputs!$J$9-Inputs!$I$9)))/Inputs!$K$9)^2))^2))-((Inputs!$H$9+Inputs!$L$9*(((Inputs!$I$9+(((A89)+1)/2)*(Inputs!$J$9-Inputs!$I$9)))/Inputs!$K$9)^2)))*1000/Inputs!$C$12)</x:f>
        <x:v>80729.23707190677</x:v>
      </x:c>
      <x:c r="AJ89" s="49"/>
      <x:c r="AK89" s="48" t="n">
        <x:f>A89</x:f>
        <x:v>-0.275</x:v>
      </x:c>
      <x:c r="AL89" s="48" t="n">
        <x:f>(-2*((1000*((((Inputs!$I$6+(((A89)+1)/2)*(Inputs!$J$6-Inputs!$I$6)))*Inputs!$C$11+((Inputs!$H$6+Inputs!$L$6*(((Inputs!$I$6+(((A89)+1)/2)*(Inputs!$J$6-Inputs!$I$6)))/Inputs!$K$6)^2))*((2*Inputs!$L$6*((Inputs!$I$6+(((A89)+1)/2)*(Inputs!$J$6-Inputs!$I$6)))/(Inputs!$K$6^2)*Inputs!$C$11)))/(SQRT(((Inputs!$I$6+(((A89)+1)/2)*(Inputs!$J$6-Inputs!$I$6)))^2+Inputs!$C$6^2+((Inputs!$H$6+Inputs!$L$6*(((Inputs!$I$6+(((A89)+1)/2)*(Inputs!$J$6-Inputs!$I$6)))/Inputs!$K$6)^2))^2)))))/Inputs!$C$13)</x:f>
        <x:v>124.26936431730994</x:v>
      </x:c>
      <x:c r="AM89" s="48" t="n">
        <x:f>(-2*((1000*((((Inputs!$I$7+(((A89)+1)/2)*(Inputs!$J$7-Inputs!$I$7)))*Inputs!$C$11+((Inputs!$H$7+Inputs!$L$7*(((Inputs!$I$7+(((A89)+1)/2)*(Inputs!$J$7-Inputs!$I$7)))/Inputs!$K$7)^2))*((2*Inputs!$L$7*((Inputs!$I$7+(((A89)+1)/2)*(Inputs!$J$7-Inputs!$I$7)))/(Inputs!$K$7^2)*Inputs!$C$11)))/(SQRT(((Inputs!$I$7+(((A89)+1)/2)*(Inputs!$J$7-Inputs!$I$7)))^2+Inputs!$C$6^2+((Inputs!$H$7+Inputs!$L$7*(((Inputs!$I$7+(((A89)+1)/2)*(Inputs!$J$7-Inputs!$I$7)))/Inputs!$K$7)^2))^2)))))/Inputs!$C$13)</x:f>
        <x:v>1753.8673513839185</x:v>
      </x:c>
      <x:c r="AN89" s="48" t="n">
        <x:f>(-2*((1000*((((Inputs!$I$8+(((A89)+1)/2)*(Inputs!$J$8-Inputs!$I$8)))*Inputs!$C$11+((Inputs!$H$8+Inputs!$L$8*(((Inputs!$I$8+(((A89)+1)/2)*(Inputs!$J$8-Inputs!$I$8)))/Inputs!$K$8)^2))*((2*Inputs!$L$8*((Inputs!$I$8+(((A89)+1)/2)*(Inputs!$J$8-Inputs!$I$8)))/(Inputs!$K$8^2)*Inputs!$C$11)))/(SQRT(((Inputs!$I$8+(((A89)+1)/2)*(Inputs!$J$8-Inputs!$I$8)))^2+Inputs!$C$6^2+((Inputs!$H$8+Inputs!$L$8*(((Inputs!$I$8+(((A89)+1)/2)*(Inputs!$J$8-Inputs!$I$8)))/Inputs!$K$8)^2))^2)))))/Inputs!$C$13)</x:f>
        <x:v>1894.192566600006</x:v>
      </x:c>
      <x:c r="AO89" s="48" t="n">
        <x:f>(-2*((1000*((((Inputs!$I$9+(((A89)+1)/2)*(Inputs!$J$9-Inputs!$I$9)))*Inputs!$C$11+((Inputs!$H$9+Inputs!$L$9*(((Inputs!$I$9+(((A89)+1)/2)*(Inputs!$J$9-Inputs!$I$9)))/Inputs!$K$9)^2))*((2*Inputs!$L$9*((Inputs!$I$9+(((A89)+1)/2)*(Inputs!$J$9-Inputs!$I$9)))/(Inputs!$K$9^2)*Inputs!$C$11)))/(SQRT(((Inputs!$I$9+(((A89)+1)/2)*(Inputs!$J$9-Inputs!$I$9)))^2+Inputs!$C$6^2+((Inputs!$H$9+Inputs!$L$9*(((Inputs!$I$9+(((A89)+1)/2)*(Inputs!$J$9-Inputs!$I$9)))/Inputs!$K$9)^2))^2)))))/Inputs!$C$13)</x:f>
        <x:v>1888.7433573298745</x:v>
      </x:c>
    </x:row>
    <x:row r="90">
      <x:c r="A90" s="48" t="n">
        <x:f>ROUND(-1+88*2/240,3)</x:f>
        <x:v>-0.267</x:v>
      </x:c>
      <x:c r="B90" s="48" t="n">
        <x:f>IF(OR(Inputs!$F$6=TRUE,Inputs!$F$6="TRUE",Inputs!$F$6=1),(Inputs!$H$6+Inputs!$L$6*(((Inputs!$I$6+(((A90)+1)/2)*(Inputs!$J$6-Inputs!$I$6)))/Inputs!$K$6)^2),NA())</x:f>
        <x:v>400.285156</x:v>
      </x:c>
      <x:c r="C90" s="48" t="n">
        <x:f>IF(OR(Inputs!$F$7=TRUE,Inputs!$F$7="TRUE",Inputs!$F$7=1),(Inputs!$H$7+Inputs!$L$7*(((Inputs!$I$7+(((A90)+1)/2)*(Inputs!$J$7-Inputs!$I$7)))/Inputs!$K$7)^2),NA())</x:f>
        <x:v>61.020485</x:v>
      </x:c>
      <x:c r="D90" s="48" t="n">
        <x:f>IF(OR(Inputs!$F$8=TRUE,Inputs!$F$8="TRUE",Inputs!$F$8=1),(Inputs!$H$8+Inputs!$L$8*(((Inputs!$I$8+(((A90)+1)/2)*(Inputs!$J$8-Inputs!$I$8)))/Inputs!$K$8)^2),NA())</x:f>
        <x:v>103.793885</x:v>
      </x:c>
      <x:c r="E90" s="48" t="n">
        <x:f>IF(OR(Inputs!$F$9=TRUE,Inputs!$F$9="TRUE",Inputs!$F$9=1),(Inputs!$H$9+Inputs!$L$9*(((Inputs!$I$9+(((A90)+1)/2)*(Inputs!$J$9-Inputs!$I$9)))/Inputs!$K$9)^2),NA())</x:f>
        <x:v>94.506775</x:v>
      </x:c>
      <x:c r="F90" s="49"/>
      <x:c r="G90" s="48" t="n">
        <x:f>A90</x:f>
        <x:v>-0.267</x:v>
      </x:c>
      <x:c r="H90" s="48" t="n">
        <x:f>IF(OR(Inputs!$F$6=TRUE,Inputs!$F$6="TRUE",Inputs!$F$6=1),(((SQRT(((Inputs!$I$6+(((A90)+1)/2)*(Inputs!$J$6-Inputs!$I$6)))^2+Inputs!$C$6^2+((Inputs!$H$6+Inputs!$L$6*(((Inputs!$I$6+(((A90)+1)/2)*(Inputs!$J$6-Inputs!$I$6)))/Inputs!$K$6)^2))^2))-((Inputs!$H$6+Inputs!$L$6*(((Inputs!$I$6+(((A90)+1)/2)*(Inputs!$J$6-Inputs!$I$6)))/Inputs!$K$6)^2)))*1000/Inputs!$C$12),NA())</x:f>
        <x:v>617.8397025134506</x:v>
      </x:c>
      <x:c r="I90" s="48" t="n">
        <x:f>IF(OR(Inputs!$F$7=TRUE,Inputs!$F$7="TRUE",Inputs!$F$7=1),(((SQRT(((Inputs!$I$7+(((A90)+1)/2)*(Inputs!$J$7-Inputs!$I$7)))^2+Inputs!$C$6^2+((Inputs!$H$7+Inputs!$L$7*(((Inputs!$I$7+(((A90)+1)/2)*(Inputs!$J$7-Inputs!$I$7)))/Inputs!$K$7)^2))^2))-((Inputs!$H$7+Inputs!$L$7*(((Inputs!$I$7+(((A90)+1)/2)*(Inputs!$J$7-Inputs!$I$7)))/Inputs!$K$7)^2)))*1000/Inputs!$C$12),NA())</x:f>
        <x:v>36234.49468360893</x:v>
      </x:c>
      <x:c r="J90" s="48" t="n">
        <x:f>IF(OR(Inputs!$F$8=TRUE,Inputs!$F$8="TRUE",Inputs!$F$8=1),(((SQRT(((Inputs!$I$8+(((A90)+1)/2)*(Inputs!$J$8-Inputs!$I$8)))^2+Inputs!$C$6^2+((Inputs!$H$8+Inputs!$L$8*(((Inputs!$I$8+(((A90)+1)/2)*(Inputs!$J$8-Inputs!$I$8)))/Inputs!$K$8)^2))^2))-((Inputs!$H$8+Inputs!$L$8*(((Inputs!$I$8+(((A90)+1)/2)*(Inputs!$J$8-Inputs!$I$8)))/Inputs!$K$8)^2)))*1000/Inputs!$C$12),NA())</x:f>
        <x:v>75843.41541980817</x:v>
      </x:c>
      <x:c r="K90" s="48" t="n">
        <x:f>IF(OR(Inputs!$F$9=TRUE,Inputs!$F$9="TRUE",Inputs!$F$9=1),(((SQRT(((Inputs!$I$9+(((A90)+1)/2)*(Inputs!$J$9-Inputs!$I$9)))^2+Inputs!$C$6^2+((Inputs!$H$9+Inputs!$L$9*(((Inputs!$I$9+(((A90)+1)/2)*(Inputs!$J$9-Inputs!$I$9)))/Inputs!$K$9)^2))^2))-((Inputs!$H$9+Inputs!$L$9*(((Inputs!$I$9+(((A90)+1)/2)*(Inputs!$J$9-Inputs!$I$9)))/Inputs!$K$9)^2)))*1000/Inputs!$C$12),NA())</x:f>
        <x:v>78876.76033671542</x:v>
      </x:c>
      <x:c r="L90" s="49"/>
      <x:c r="M90" s="48" t="n">
        <x:f>A90</x:f>
        <x:v>-0.267</x:v>
      </x:c>
      <x:c r="N90" s="48" t="n">
        <x:f>IF(OR(Inputs!$F$6=TRUE,Inputs!$F$6="TRUE",Inputs!$F$6=1),(-2*((1000*((((Inputs!$I$6+(((A90)+1)/2)*(Inputs!$J$6-Inputs!$I$6)))*Inputs!$C$11+((Inputs!$H$6+Inputs!$L$6*(((Inputs!$I$6+(((A90)+1)/2)*(Inputs!$J$6-Inputs!$I$6)))/Inputs!$K$6)^2))*((2*Inputs!$L$6*((Inputs!$I$6+(((A90)+1)/2)*(Inputs!$J$6-Inputs!$I$6)))/(Inputs!$K$6^2)*Inputs!$C$11)))/(SQRT(((Inputs!$I$6+(((A90)+1)/2)*(Inputs!$J$6-Inputs!$I$6)))^2+Inputs!$C$6^2+((Inputs!$H$6+Inputs!$L$6*(((Inputs!$I$6+(((A90)+1)/2)*(Inputs!$J$6-Inputs!$I$6)))/Inputs!$K$6)^2))^2)))))/Inputs!$C$13),NA())</x:f>
        <x:v>120.66283808441808</x:v>
      </x:c>
      <x:c r="O90" s="48" t="n">
        <x:f>IF(OR(Inputs!$F$7=TRUE,Inputs!$F$7="TRUE",Inputs!$F$7=1),(-2*((1000*((((Inputs!$I$7+(((A90)+1)/2)*(Inputs!$J$7-Inputs!$I$7)))*Inputs!$C$11+((Inputs!$H$7+Inputs!$L$7*(((Inputs!$I$7+(((A90)+1)/2)*(Inputs!$J$7-Inputs!$I$7)))/Inputs!$K$7)^2))*((2*Inputs!$L$7*((Inputs!$I$7+(((A90)+1)/2)*(Inputs!$J$7-Inputs!$I$7)))/(Inputs!$K$7^2)*Inputs!$C$11)))/(SQRT(((Inputs!$I$7+(((A90)+1)/2)*(Inputs!$J$7-Inputs!$I$7)))^2+Inputs!$C$6^2+((Inputs!$H$7+Inputs!$L$7*(((Inputs!$I$7+(((A90)+1)/2)*(Inputs!$J$7-Inputs!$I$7)))/Inputs!$K$7)^2))^2)))))/Inputs!$C$13),NA())</x:f>
        <x:v>1740.4213749387206</x:v>
      </x:c>
      <x:c r="P90" s="48" t="n">
        <x:f>IF(OR(Inputs!$F$8=TRUE,Inputs!$F$8="TRUE",Inputs!$F$8=1),(-2*((1000*((((Inputs!$I$8+(((A90)+1)/2)*(Inputs!$J$8-Inputs!$I$8)))*Inputs!$C$11+((Inputs!$H$8+Inputs!$L$8*(((Inputs!$I$8+(((A90)+1)/2)*(Inputs!$J$8-Inputs!$I$8)))/Inputs!$K$8)^2))*((2*Inputs!$L$8*((Inputs!$I$8+(((A90)+1)/2)*(Inputs!$J$8-Inputs!$I$8)))/(Inputs!$K$8^2)*Inputs!$C$11)))/(SQRT(((Inputs!$I$8+(((A90)+1)/2)*(Inputs!$J$8-Inputs!$I$8)))^2+Inputs!$C$6^2+((Inputs!$H$8+Inputs!$L$8*(((Inputs!$I$8+(((A90)+1)/2)*(Inputs!$J$8-Inputs!$I$8)))/Inputs!$K$8)^2))^2)))))/Inputs!$C$13),NA())</x:f>
        <x:v>1879.1505045647991</x:v>
      </x:c>
      <x:c r="Q90" s="48" t="n">
        <x:f>IF(OR(Inputs!$F$9=TRUE,Inputs!$F$9="TRUE",Inputs!$F$9=1),(-2*((1000*((((Inputs!$I$9+(((A90)+1)/2)*(Inputs!$J$9-Inputs!$I$9)))*Inputs!$C$11+((Inputs!$H$9+Inputs!$L$9*(((Inputs!$I$9+(((A90)+1)/2)*(Inputs!$J$9-Inputs!$I$9)))/Inputs!$K$9)^2))*((2*Inputs!$L$9*((Inputs!$I$9+(((A90)+1)/2)*(Inputs!$J$9-Inputs!$I$9)))/(Inputs!$K$9^2)*Inputs!$C$11)))/(SQRT(((Inputs!$I$9+(((A90)+1)/2)*(Inputs!$J$9-Inputs!$I$9)))^2+Inputs!$C$6^2+((Inputs!$H$9+Inputs!$L$9*(((Inputs!$I$9+(((A90)+1)/2)*(Inputs!$J$9-Inputs!$I$9)))/Inputs!$K$9)^2))^2)))))/Inputs!$C$13),NA())</x:f>
        <x:v>1873.801715351569</x:v>
      </x:c>
      <x:c r="R90" s="49"/>
      <x:c r="S90" s="48" t="n">
        <x:f>A90</x:f>
        <x:v>-0.267</x:v>
      </x:c>
      <x:c r="T90" s="48" t="n">
        <x:f>(Inputs!$I$6+(((A90)+1)/2)*(Inputs!$J$6-Inputs!$I$6))</x:f>
        <x:v>-16.020000000000003</x:v>
      </x:c>
      <x:c r="U90" s="48" t="n">
        <x:f>(Inputs!$I$7+(((A90)+1)/2)*(Inputs!$J$7-Inputs!$I$7))</x:f>
        <x:v>-106.80000000000001</x:v>
      </x:c>
      <x:c r="V90" s="48" t="n">
        <x:f>(Inputs!$I$8+(((A90)+1)/2)*(Inputs!$J$8-Inputs!$I$8))</x:f>
        <x:v>-213.60000000000002</x:v>
      </x:c>
      <x:c r="W90" s="48" t="n">
        <x:f>(Inputs!$I$9+(((A90)+1)/2)*(Inputs!$J$9-Inputs!$I$9))</x:f>
        <x:v>-213.60000000000002</x:v>
      </x:c>
      <x:c r="X90" s="49"/>
      <x:c r="Y90" s="48" t="n">
        <x:f>A90</x:f>
        <x:v>-0.267</x:v>
      </x:c>
      <x:c r="Z90" s="48" t="n">
        <x:f>(Inputs!$H$6+Inputs!$L$6*(((Inputs!$I$6+(((A90)+1)/2)*(Inputs!$J$6-Inputs!$I$6)))/Inputs!$K$6)^2)</x:f>
        <x:v>400.285156</x:v>
      </x:c>
      <x:c r="AA90" s="48" t="n">
        <x:f>(Inputs!$H$7+Inputs!$L$7*(((Inputs!$I$7+(((A90)+1)/2)*(Inputs!$J$7-Inputs!$I$7)))/Inputs!$K$7)^2)</x:f>
        <x:v>61.020485</x:v>
      </x:c>
      <x:c r="AB90" s="48" t="n">
        <x:f>(Inputs!$H$8+Inputs!$L$8*(((Inputs!$I$8+(((A90)+1)/2)*(Inputs!$J$8-Inputs!$I$8)))/Inputs!$K$8)^2)</x:f>
        <x:v>103.793885</x:v>
      </x:c>
      <x:c r="AC90" s="48" t="n">
        <x:f>(Inputs!$H$9+Inputs!$L$9*(((Inputs!$I$9+(((A90)+1)/2)*(Inputs!$J$9-Inputs!$I$9)))/Inputs!$K$9)^2)</x:f>
        <x:v>94.506775</x:v>
      </x:c>
      <x:c r="AD90" s="49"/>
      <x:c r="AE90" s="48" t="n">
        <x:f>A90</x:f>
        <x:v>-0.267</x:v>
      </x:c>
      <x:c r="AF90" s="48" t="n">
        <x:f>(((SQRT(((Inputs!$I$6+(((A90)+1)/2)*(Inputs!$J$6-Inputs!$I$6)))^2+Inputs!$C$6^2+((Inputs!$H$6+Inputs!$L$6*(((Inputs!$I$6+(((A90)+1)/2)*(Inputs!$J$6-Inputs!$I$6)))/Inputs!$K$6)^2))^2))-((Inputs!$H$6+Inputs!$L$6*(((Inputs!$I$6+(((A90)+1)/2)*(Inputs!$J$6-Inputs!$I$6)))/Inputs!$K$6)^2)))*1000/Inputs!$C$12)</x:f>
        <x:v>617.8397025134506</x:v>
      </x:c>
      <x:c r="AG90" s="48" t="n">
        <x:f>(((SQRT(((Inputs!$I$7+(((A90)+1)/2)*(Inputs!$J$7-Inputs!$I$7)))^2+Inputs!$C$6^2+((Inputs!$H$7+Inputs!$L$7*(((Inputs!$I$7+(((A90)+1)/2)*(Inputs!$J$7-Inputs!$I$7)))/Inputs!$K$7)^2))^2))-((Inputs!$H$7+Inputs!$L$7*(((Inputs!$I$7+(((A90)+1)/2)*(Inputs!$J$7-Inputs!$I$7)))/Inputs!$K$7)^2)))*1000/Inputs!$C$12)</x:f>
        <x:v>36234.49468360893</x:v>
      </x:c>
      <x:c r="AH90" s="48" t="n">
        <x:f>(((SQRT(((Inputs!$I$8+(((A90)+1)/2)*(Inputs!$J$8-Inputs!$I$8)))^2+Inputs!$C$6^2+((Inputs!$H$8+Inputs!$L$8*(((Inputs!$I$8+(((A90)+1)/2)*(Inputs!$J$8-Inputs!$I$8)))/Inputs!$K$8)^2))^2))-((Inputs!$H$8+Inputs!$L$8*(((Inputs!$I$8+(((A90)+1)/2)*(Inputs!$J$8-Inputs!$I$8)))/Inputs!$K$8)^2)))*1000/Inputs!$C$12)</x:f>
        <x:v>75843.41541980817</x:v>
      </x:c>
      <x:c r="AI90" s="48" t="n">
        <x:f>(((SQRT(((Inputs!$I$9+(((A90)+1)/2)*(Inputs!$J$9-Inputs!$I$9)))^2+Inputs!$C$6^2+((Inputs!$H$9+Inputs!$L$9*(((Inputs!$I$9+(((A90)+1)/2)*(Inputs!$J$9-Inputs!$I$9)))/Inputs!$K$9)^2))^2))-((Inputs!$H$9+Inputs!$L$9*(((Inputs!$I$9+(((A90)+1)/2)*(Inputs!$J$9-Inputs!$I$9)))/Inputs!$K$9)^2)))*1000/Inputs!$C$12)</x:f>
        <x:v>78876.76033671542</x:v>
      </x:c>
      <x:c r="AJ90" s="49"/>
      <x:c r="AK90" s="48" t="n">
        <x:f>A90</x:f>
        <x:v>-0.267</x:v>
      </x:c>
      <x:c r="AL90" s="48" t="n">
        <x:f>(-2*((1000*((((Inputs!$I$6+(((A90)+1)/2)*(Inputs!$J$6-Inputs!$I$6)))*Inputs!$C$11+((Inputs!$H$6+Inputs!$L$6*(((Inputs!$I$6+(((A90)+1)/2)*(Inputs!$J$6-Inputs!$I$6)))/Inputs!$K$6)^2))*((2*Inputs!$L$6*((Inputs!$I$6+(((A90)+1)/2)*(Inputs!$J$6-Inputs!$I$6)))/(Inputs!$K$6^2)*Inputs!$C$11)))/(SQRT(((Inputs!$I$6+(((A90)+1)/2)*(Inputs!$J$6-Inputs!$I$6)))^2+Inputs!$C$6^2+((Inputs!$H$6+Inputs!$L$6*(((Inputs!$I$6+(((A90)+1)/2)*(Inputs!$J$6-Inputs!$I$6)))/Inputs!$K$6)^2))^2)))))/Inputs!$C$13)</x:f>
        <x:v>120.66283808441808</x:v>
      </x:c>
      <x:c r="AM90" s="48" t="n">
        <x:f>(-2*((1000*((((Inputs!$I$7+(((A90)+1)/2)*(Inputs!$J$7-Inputs!$I$7)))*Inputs!$C$11+((Inputs!$H$7+Inputs!$L$7*(((Inputs!$I$7+(((A90)+1)/2)*(Inputs!$J$7-Inputs!$I$7)))/Inputs!$K$7)^2))*((2*Inputs!$L$7*((Inputs!$I$7+(((A90)+1)/2)*(Inputs!$J$7-Inputs!$I$7)))/(Inputs!$K$7^2)*Inputs!$C$11)))/(SQRT(((Inputs!$I$7+(((A90)+1)/2)*(Inputs!$J$7-Inputs!$I$7)))^2+Inputs!$C$6^2+((Inputs!$H$7+Inputs!$L$7*(((Inputs!$I$7+(((A90)+1)/2)*(Inputs!$J$7-Inputs!$I$7)))/Inputs!$K$7)^2))^2)))))/Inputs!$C$13)</x:f>
        <x:v>1740.4213749387206</x:v>
      </x:c>
      <x:c r="AN90" s="48" t="n">
        <x:f>(-2*((1000*((((Inputs!$I$8+(((A90)+1)/2)*(Inputs!$J$8-Inputs!$I$8)))*Inputs!$C$11+((Inputs!$H$8+Inputs!$L$8*(((Inputs!$I$8+(((A90)+1)/2)*(Inputs!$J$8-Inputs!$I$8)))/Inputs!$K$8)^2))*((2*Inputs!$L$8*((Inputs!$I$8+(((A90)+1)/2)*(Inputs!$J$8-Inputs!$I$8)))/(Inputs!$K$8^2)*Inputs!$C$11)))/(SQRT(((Inputs!$I$8+(((A90)+1)/2)*(Inputs!$J$8-Inputs!$I$8)))^2+Inputs!$C$6^2+((Inputs!$H$8+Inputs!$L$8*(((Inputs!$I$8+(((A90)+1)/2)*(Inputs!$J$8-Inputs!$I$8)))/Inputs!$K$8)^2))^2)))))/Inputs!$C$13)</x:f>
        <x:v>1879.1505045647991</x:v>
      </x:c>
      <x:c r="AO90" s="48" t="n">
        <x:f>(-2*((1000*((((Inputs!$I$9+(((A90)+1)/2)*(Inputs!$J$9-Inputs!$I$9)))*Inputs!$C$11+((Inputs!$H$9+Inputs!$L$9*(((Inputs!$I$9+(((A90)+1)/2)*(Inputs!$J$9-Inputs!$I$9)))/Inputs!$K$9)^2))*((2*Inputs!$L$9*((Inputs!$I$9+(((A90)+1)/2)*(Inputs!$J$9-Inputs!$I$9)))/(Inputs!$K$9^2)*Inputs!$C$11)))/(SQRT(((Inputs!$I$9+(((A90)+1)/2)*(Inputs!$J$9-Inputs!$I$9)))^2+Inputs!$C$6^2+((Inputs!$H$9+Inputs!$L$9*(((Inputs!$I$9+(((A90)+1)/2)*(Inputs!$J$9-Inputs!$I$9)))/Inputs!$K$9)^2))^2)))))/Inputs!$C$13)</x:f>
        <x:v>1873.801715351569</x:v>
      </x:c>
    </x:row>
    <x:row r="91">
      <x:c r="A91" s="48" t="n">
        <x:f>ROUND(-1+89*2/240,3)</x:f>
        <x:v>-0.258</x:v>
      </x:c>
      <x:c r="B91" s="48" t="n">
        <x:f>IF(OR(Inputs!$F$6=TRUE,Inputs!$F$6="TRUE",Inputs!$F$6=1),(Inputs!$H$6+Inputs!$L$6*(((Inputs!$I$6+(((A91)+1)/2)*(Inputs!$J$6-Inputs!$I$6)))/Inputs!$K$6)^2),NA())</x:f>
        <x:v>400.266256</x:v>
      </x:c>
      <x:c r="C91" s="48" t="n">
        <x:f>IF(OR(Inputs!$F$7=TRUE,Inputs!$F$7="TRUE",Inputs!$F$7=1),(Inputs!$H$7+Inputs!$L$7*(((Inputs!$I$7+(((A91)+1)/2)*(Inputs!$J$7-Inputs!$I$7)))/Inputs!$K$7)^2),NA())</x:f>
        <x:v>59.29585999999999</x:v>
      </x:c>
      <x:c r="D91" s="48" t="n">
        <x:f>IF(OR(Inputs!$F$8=TRUE,Inputs!$F$8="TRUE",Inputs!$F$8=1),(Inputs!$H$8+Inputs!$L$8*(((Inputs!$I$8+(((A91)+1)/2)*(Inputs!$J$8-Inputs!$I$8)))/Inputs!$K$8)^2),NA())</x:f>
        <x:v>99.23425999999998</x:v>
      </x:c>
      <x:c r="E91" s="48" t="n">
        <x:f>IF(OR(Inputs!$F$9=TRUE,Inputs!$F$9="TRUE",Inputs!$F$9=1),(Inputs!$H$9+Inputs!$L$9*(((Inputs!$I$9+(((A91)+1)/2)*(Inputs!$J$9-Inputs!$I$9)))/Inputs!$K$9)^2),NA())</x:f>
        <x:v>89.89989999999997</x:v>
      </x:c>
      <x:c r="F91" s="49"/>
      <x:c r="G91" s="48" t="n">
        <x:f>A91</x:f>
        <x:v>-0.258</x:v>
      </x:c>
      <x:c r="H91" s="48" t="n">
        <x:f>IF(OR(Inputs!$F$6=TRUE,Inputs!$F$6="TRUE",Inputs!$F$6=1),(((SQRT(((Inputs!$I$6+(((A91)+1)/2)*(Inputs!$J$6-Inputs!$I$6)))^2+Inputs!$C$6^2+((Inputs!$H$6+Inputs!$L$6*(((Inputs!$I$6+(((A91)+1)/2)*(Inputs!$J$6-Inputs!$I$6)))/Inputs!$K$6)^2))^2))-((Inputs!$H$6+Inputs!$L$6*(((Inputs!$I$6+(((A91)+1)/2)*(Inputs!$J$6-Inputs!$I$6)))/Inputs!$K$6)^2)))*1000/Inputs!$C$12),NA())</x:f>
        <x:v>605.9639130565881</x:v>
      </x:c>
      <x:c r="I91" s="48" t="n">
        <x:f>IF(OR(Inputs!$F$7=TRUE,Inputs!$F$7="TRUE",Inputs!$F$7=1),(((SQRT(((Inputs!$I$7+(((A91)+1)/2)*(Inputs!$J$7-Inputs!$I$7)))^2+Inputs!$C$6^2+((Inputs!$H$7+Inputs!$L$7*(((Inputs!$I$7+(((A91)+1)/2)*(Inputs!$J$7-Inputs!$I$7)))/Inputs!$K$7)^2))^2))-((Inputs!$H$7+Inputs!$L$7*(((Inputs!$I$7+(((A91)+1)/2)*(Inputs!$J$7-Inputs!$I$7)))/Inputs!$K$7)^2)))*1000/Inputs!$C$12),NA())</x:f>
        <x:v>35013.133618802334</x:v>
      </x:c>
      <x:c r="J91" s="48" t="n">
        <x:f>IF(OR(Inputs!$F$8=TRUE,Inputs!$F$8="TRUE",Inputs!$F$8=1),(((SQRT(((Inputs!$I$8+(((A91)+1)/2)*(Inputs!$J$8-Inputs!$I$8)))^2+Inputs!$C$6^2+((Inputs!$H$8+Inputs!$L$8*(((Inputs!$I$8+(((A91)+1)/2)*(Inputs!$J$8-Inputs!$I$8)))/Inputs!$K$8)^2))^2))-((Inputs!$H$8+Inputs!$L$8*(((Inputs!$I$8+(((A91)+1)/2)*(Inputs!$J$8-Inputs!$I$8)))/Inputs!$K$8)^2)))*1000/Inputs!$C$12),NA())</x:f>
        <x:v>73675.496942629</x:v>
      </x:c>
      <x:c r="K91" s="48" t="n">
        <x:f>IF(OR(Inputs!$F$9=TRUE,Inputs!$F$9="TRUE",Inputs!$F$9=1),(((SQRT(((Inputs!$I$9+(((A91)+1)/2)*(Inputs!$J$9-Inputs!$I$9)))^2+Inputs!$C$6^2+((Inputs!$H$9+Inputs!$L$9*(((Inputs!$I$9+(((A91)+1)/2)*(Inputs!$J$9-Inputs!$I$9)))/Inputs!$K$9)^2))^2))-((Inputs!$H$9+Inputs!$L$9*(((Inputs!$I$9+(((A91)+1)/2)*(Inputs!$J$9-Inputs!$I$9)))/Inputs!$K$9)^2)))*1000/Inputs!$C$12),NA())</x:f>
        <x:v>76748.7005005087</x:v>
      </x:c>
      <x:c r="L91" s="49"/>
      <x:c r="M91" s="48" t="n">
        <x:f>A91</x:f>
        <x:v>-0.258</x:v>
      </x:c>
      <x:c r="N91" s="48" t="n">
        <x:f>IF(OR(Inputs!$F$6=TRUE,Inputs!$F$6="TRUE",Inputs!$F$6=1),(-2*((1000*((((Inputs!$I$6+(((A91)+1)/2)*(Inputs!$J$6-Inputs!$I$6)))*Inputs!$C$11+((Inputs!$H$6+Inputs!$L$6*(((Inputs!$I$6+(((A91)+1)/2)*(Inputs!$J$6-Inputs!$I$6)))/Inputs!$K$6)^2))*((2*Inputs!$L$6*((Inputs!$I$6+(((A91)+1)/2)*(Inputs!$J$6-Inputs!$I$6)))/(Inputs!$K$6^2)*Inputs!$C$11)))/(SQRT(((Inputs!$I$6+(((A91)+1)/2)*(Inputs!$J$6-Inputs!$I$6)))^2+Inputs!$C$6^2+((Inputs!$H$6+Inputs!$L$6*(((Inputs!$I$6+(((A91)+1)/2)*(Inputs!$J$6-Inputs!$I$6)))/Inputs!$K$6)^2))^2)))))/Inputs!$C$13),NA())</x:f>
        <x:v>116.60459126936105</x:v>
      </x:c>
      <x:c r="O91" s="48" t="n">
        <x:f>IF(OR(Inputs!$F$7=TRUE,Inputs!$F$7="TRUE",Inputs!$F$7=1),(-2*((1000*((((Inputs!$I$7+(((A91)+1)/2)*(Inputs!$J$7-Inputs!$I$7)))*Inputs!$C$11+((Inputs!$H$7+Inputs!$L$7*(((Inputs!$I$7+(((A91)+1)/2)*(Inputs!$J$7-Inputs!$I$7)))/Inputs!$K$7)^2))*((2*Inputs!$L$7*((Inputs!$I$7+(((A91)+1)/2)*(Inputs!$J$7-Inputs!$I$7)))/(Inputs!$K$7^2)*Inputs!$C$11)))/(SQRT(((Inputs!$I$7+(((A91)+1)/2)*(Inputs!$J$7-Inputs!$I$7)))^2+Inputs!$C$6^2+((Inputs!$H$7+Inputs!$L$7*(((Inputs!$I$7+(((A91)+1)/2)*(Inputs!$J$7-Inputs!$I$7)))/Inputs!$K$7)^2))^2)))))/Inputs!$C$13),NA())</x:f>
        <x:v>1724.983093242738</x:v>
      </x:c>
      <x:c r="P91" s="48" t="n">
        <x:f>IF(OR(Inputs!$F$8=TRUE,Inputs!$F$8="TRUE",Inputs!$F$8=1),(-2*((1000*((((Inputs!$I$8+(((A91)+1)/2)*(Inputs!$J$8-Inputs!$I$8)))*Inputs!$C$11+((Inputs!$H$8+Inputs!$L$8*(((Inputs!$I$8+(((A91)+1)/2)*(Inputs!$J$8-Inputs!$I$8)))/Inputs!$K$8)^2))*((2*Inputs!$L$8*((Inputs!$I$8+(((A91)+1)/2)*(Inputs!$J$8-Inputs!$I$8)))/(Inputs!$K$8^2)*Inputs!$C$11)))/(SQRT(((Inputs!$I$8+(((A91)+1)/2)*(Inputs!$J$8-Inputs!$I$8)))^2+Inputs!$C$6^2+((Inputs!$H$8+Inputs!$L$8*(((Inputs!$I$8+(((A91)+1)/2)*(Inputs!$J$8-Inputs!$I$8)))/Inputs!$K$8)^2))^2)))))/Inputs!$C$13),NA())</x:f>
        <x:v>1862.4518803641222</x:v>
      </x:c>
      <x:c r="Q91" s="48" t="n">
        <x:f>IF(OR(Inputs!$F$9=TRUE,Inputs!$F$9="TRUE",Inputs!$F$9=1),(-2*((1000*((((Inputs!$I$9+(((A91)+1)/2)*(Inputs!$J$9-Inputs!$I$9)))*Inputs!$C$11+((Inputs!$H$9+Inputs!$L$9*(((Inputs!$I$9+(((A91)+1)/2)*(Inputs!$J$9-Inputs!$I$9)))/Inputs!$K$9)^2))*((2*Inputs!$L$9*((Inputs!$I$9+(((A91)+1)/2)*(Inputs!$J$9-Inputs!$I$9)))/(Inputs!$K$9^2)*Inputs!$C$11)))/(SQRT(((Inputs!$I$9+(((A91)+1)/2)*(Inputs!$J$9-Inputs!$I$9)))^2+Inputs!$C$6^2+((Inputs!$H$9+Inputs!$L$9*(((Inputs!$I$9+(((A91)+1)/2)*(Inputs!$J$9-Inputs!$I$9)))/Inputs!$K$9)^2))^2)))))/Inputs!$C$13),NA())</x:f>
        <x:v>1857.2799205309464</x:v>
      </x:c>
      <x:c r="R91" s="49"/>
      <x:c r="S91" s="48" t="n">
        <x:f>A91</x:f>
        <x:v>-0.258</x:v>
      </x:c>
      <x:c r="T91" s="48" t="n">
        <x:f>(Inputs!$I$6+(((A91)+1)/2)*(Inputs!$J$6-Inputs!$I$6))</x:f>
        <x:v>-15.480000000000004</x:v>
      </x:c>
      <x:c r="U91" s="48" t="n">
        <x:f>(Inputs!$I$7+(((A91)+1)/2)*(Inputs!$J$7-Inputs!$I$7))</x:f>
        <x:v>-103.19999999999999</x:v>
      </x:c>
      <x:c r="V91" s="48" t="n">
        <x:f>(Inputs!$I$8+(((A91)+1)/2)*(Inputs!$J$8-Inputs!$I$8))</x:f>
        <x:v>-206.39999999999998</x:v>
      </x:c>
      <x:c r="W91" s="48" t="n">
        <x:f>(Inputs!$I$9+(((A91)+1)/2)*(Inputs!$J$9-Inputs!$I$9))</x:f>
        <x:v>-206.39999999999998</x:v>
      </x:c>
      <x:c r="X91" s="49"/>
      <x:c r="Y91" s="48" t="n">
        <x:f>A91</x:f>
        <x:v>-0.258</x:v>
      </x:c>
      <x:c r="Z91" s="48" t="n">
        <x:f>(Inputs!$H$6+Inputs!$L$6*(((Inputs!$I$6+(((A91)+1)/2)*(Inputs!$J$6-Inputs!$I$6)))/Inputs!$K$6)^2)</x:f>
        <x:v>400.266256</x:v>
      </x:c>
      <x:c r="AA91" s="48" t="n">
        <x:f>(Inputs!$H$7+Inputs!$L$7*(((Inputs!$I$7+(((A91)+1)/2)*(Inputs!$J$7-Inputs!$I$7)))/Inputs!$K$7)^2)</x:f>
        <x:v>59.29585999999999</x:v>
      </x:c>
      <x:c r="AB91" s="48" t="n">
        <x:f>(Inputs!$H$8+Inputs!$L$8*(((Inputs!$I$8+(((A91)+1)/2)*(Inputs!$J$8-Inputs!$I$8)))/Inputs!$K$8)^2)</x:f>
        <x:v>99.23425999999998</x:v>
      </x:c>
      <x:c r="AC91" s="48" t="n">
        <x:f>(Inputs!$H$9+Inputs!$L$9*(((Inputs!$I$9+(((A91)+1)/2)*(Inputs!$J$9-Inputs!$I$9)))/Inputs!$K$9)^2)</x:f>
        <x:v>89.89989999999997</x:v>
      </x:c>
      <x:c r="AD91" s="49"/>
      <x:c r="AE91" s="48" t="n">
        <x:f>A91</x:f>
        <x:v>-0.258</x:v>
      </x:c>
      <x:c r="AF91" s="48" t="n">
        <x:f>(((SQRT(((Inputs!$I$6+(((A91)+1)/2)*(Inputs!$J$6-Inputs!$I$6)))^2+Inputs!$C$6^2+((Inputs!$H$6+Inputs!$L$6*(((Inputs!$I$6+(((A91)+1)/2)*(Inputs!$J$6-Inputs!$I$6)))/Inputs!$K$6)^2))^2))-((Inputs!$H$6+Inputs!$L$6*(((Inputs!$I$6+(((A91)+1)/2)*(Inputs!$J$6-Inputs!$I$6)))/Inputs!$K$6)^2)))*1000/Inputs!$C$12)</x:f>
        <x:v>605.9639130565881</x:v>
      </x:c>
      <x:c r="AG91" s="48" t="n">
        <x:f>(((SQRT(((Inputs!$I$7+(((A91)+1)/2)*(Inputs!$J$7-Inputs!$I$7)))^2+Inputs!$C$6^2+((Inputs!$H$7+Inputs!$L$7*(((Inputs!$I$7+(((A91)+1)/2)*(Inputs!$J$7-Inputs!$I$7)))/Inputs!$K$7)^2))^2))-((Inputs!$H$7+Inputs!$L$7*(((Inputs!$I$7+(((A91)+1)/2)*(Inputs!$J$7-Inputs!$I$7)))/Inputs!$K$7)^2)))*1000/Inputs!$C$12)</x:f>
        <x:v>35013.133618802334</x:v>
      </x:c>
      <x:c r="AH91" s="48" t="n">
        <x:f>(((SQRT(((Inputs!$I$8+(((A91)+1)/2)*(Inputs!$J$8-Inputs!$I$8)))^2+Inputs!$C$6^2+((Inputs!$H$8+Inputs!$L$8*(((Inputs!$I$8+(((A91)+1)/2)*(Inputs!$J$8-Inputs!$I$8)))/Inputs!$K$8)^2))^2))-((Inputs!$H$8+Inputs!$L$8*(((Inputs!$I$8+(((A91)+1)/2)*(Inputs!$J$8-Inputs!$I$8)))/Inputs!$K$8)^2)))*1000/Inputs!$C$12)</x:f>
        <x:v>73675.496942629</x:v>
      </x:c>
      <x:c r="AI91" s="48" t="n">
        <x:f>(((SQRT(((Inputs!$I$9+(((A91)+1)/2)*(Inputs!$J$9-Inputs!$I$9)))^2+Inputs!$C$6^2+((Inputs!$H$9+Inputs!$L$9*(((Inputs!$I$9+(((A91)+1)/2)*(Inputs!$J$9-Inputs!$I$9)))/Inputs!$K$9)^2))^2))-((Inputs!$H$9+Inputs!$L$9*(((Inputs!$I$9+(((A91)+1)/2)*(Inputs!$J$9-Inputs!$I$9)))/Inputs!$K$9)^2)))*1000/Inputs!$C$12)</x:f>
        <x:v>76748.7005005087</x:v>
      </x:c>
      <x:c r="AJ91" s="49"/>
      <x:c r="AK91" s="48" t="n">
        <x:f>A91</x:f>
        <x:v>-0.258</x:v>
      </x:c>
      <x:c r="AL91" s="48" t="n">
        <x:f>(-2*((1000*((((Inputs!$I$6+(((A91)+1)/2)*(Inputs!$J$6-Inputs!$I$6)))*Inputs!$C$11+((Inputs!$H$6+Inputs!$L$6*(((Inputs!$I$6+(((A91)+1)/2)*(Inputs!$J$6-Inputs!$I$6)))/Inputs!$K$6)^2))*((2*Inputs!$L$6*((Inputs!$I$6+(((A91)+1)/2)*(Inputs!$J$6-Inputs!$I$6)))/(Inputs!$K$6^2)*Inputs!$C$11)))/(SQRT(((Inputs!$I$6+(((A91)+1)/2)*(Inputs!$J$6-Inputs!$I$6)))^2+Inputs!$C$6^2+((Inputs!$H$6+Inputs!$L$6*(((Inputs!$I$6+(((A91)+1)/2)*(Inputs!$J$6-Inputs!$I$6)))/Inputs!$K$6)^2))^2)))))/Inputs!$C$13)</x:f>
        <x:v>116.60459126936105</x:v>
      </x:c>
      <x:c r="AM91" s="48" t="n">
        <x:f>(-2*((1000*((((Inputs!$I$7+(((A91)+1)/2)*(Inputs!$J$7-Inputs!$I$7)))*Inputs!$C$11+((Inputs!$H$7+Inputs!$L$7*(((Inputs!$I$7+(((A91)+1)/2)*(Inputs!$J$7-Inputs!$I$7)))/Inputs!$K$7)^2))*((2*Inputs!$L$7*((Inputs!$I$7+(((A91)+1)/2)*(Inputs!$J$7-Inputs!$I$7)))/(Inputs!$K$7^2)*Inputs!$C$11)))/(SQRT(((Inputs!$I$7+(((A91)+1)/2)*(Inputs!$J$7-Inputs!$I$7)))^2+Inputs!$C$6^2+((Inputs!$H$7+Inputs!$L$7*(((Inputs!$I$7+(((A91)+1)/2)*(Inputs!$J$7-Inputs!$I$7)))/Inputs!$K$7)^2))^2)))))/Inputs!$C$13)</x:f>
        <x:v>1724.983093242738</x:v>
      </x:c>
      <x:c r="AN91" s="48" t="n">
        <x:f>(-2*((1000*((((Inputs!$I$8+(((A91)+1)/2)*(Inputs!$J$8-Inputs!$I$8)))*Inputs!$C$11+((Inputs!$H$8+Inputs!$L$8*(((Inputs!$I$8+(((A91)+1)/2)*(Inputs!$J$8-Inputs!$I$8)))/Inputs!$K$8)^2))*((2*Inputs!$L$8*((Inputs!$I$8+(((A91)+1)/2)*(Inputs!$J$8-Inputs!$I$8)))/(Inputs!$K$8^2)*Inputs!$C$11)))/(SQRT(((Inputs!$I$8+(((A91)+1)/2)*(Inputs!$J$8-Inputs!$I$8)))^2+Inputs!$C$6^2+((Inputs!$H$8+Inputs!$L$8*(((Inputs!$I$8+(((A91)+1)/2)*(Inputs!$J$8-Inputs!$I$8)))/Inputs!$K$8)^2))^2)))))/Inputs!$C$13)</x:f>
        <x:v>1862.4518803641222</x:v>
      </x:c>
      <x:c r="AO91" s="48" t="n">
        <x:f>(-2*((1000*((((Inputs!$I$9+(((A91)+1)/2)*(Inputs!$J$9-Inputs!$I$9)))*Inputs!$C$11+((Inputs!$H$9+Inputs!$L$9*(((Inputs!$I$9+(((A91)+1)/2)*(Inputs!$J$9-Inputs!$I$9)))/Inputs!$K$9)^2))*((2*Inputs!$L$9*((Inputs!$I$9+(((A91)+1)/2)*(Inputs!$J$9-Inputs!$I$9)))/(Inputs!$K$9^2)*Inputs!$C$11)))/(SQRT(((Inputs!$I$9+(((A91)+1)/2)*(Inputs!$J$9-Inputs!$I$9)))^2+Inputs!$C$6^2+((Inputs!$H$9+Inputs!$L$9*(((Inputs!$I$9+(((A91)+1)/2)*(Inputs!$J$9-Inputs!$I$9)))/Inputs!$K$9)^2))^2)))))/Inputs!$C$13)</x:f>
        <x:v>1857.2799205309464</x:v>
      </x:c>
    </x:row>
    <x:row r="92">
      <x:c r="A92" s="48" t="n">
        <x:f>ROUND(-1+90*2/240,3)</x:f>
        <x:v>-0.25</x:v>
      </x:c>
      <x:c r="B92" s="48" t="n">
        <x:f>IF(OR(Inputs!$F$6=TRUE,Inputs!$F$6="TRUE",Inputs!$F$6=1),(Inputs!$H$6+Inputs!$L$6*(((Inputs!$I$6+(((A92)+1)/2)*(Inputs!$J$6-Inputs!$I$6)))/Inputs!$K$6)^2),NA())</x:f>
        <x:v>400.25</x:v>
      </x:c>
      <x:c r="C92" s="48" t="n">
        <x:f>IF(OR(Inputs!$F$7=TRUE,Inputs!$F$7="TRUE",Inputs!$F$7=1),(Inputs!$H$7+Inputs!$L$7*(((Inputs!$I$7+(((A92)+1)/2)*(Inputs!$J$7-Inputs!$I$7)))/Inputs!$K$7)^2),NA())</x:f>
        <x:v>57.8125</x:v>
      </x:c>
      <x:c r="D92" s="48" t="n">
        <x:f>IF(OR(Inputs!$F$8=TRUE,Inputs!$F$8="TRUE",Inputs!$F$8=1),(Inputs!$H$8+Inputs!$L$8*(((Inputs!$I$8+(((A92)+1)/2)*(Inputs!$J$8-Inputs!$I$8)))/Inputs!$K$8)^2),NA())</x:f>
        <x:v>95.3125</x:v>
      </x:c>
      <x:c r="E92" s="48" t="n">
        <x:f>IF(OR(Inputs!$F$9=TRUE,Inputs!$F$9="TRUE",Inputs!$F$9=1),(Inputs!$H$9+Inputs!$L$9*(((Inputs!$I$9+(((A92)+1)/2)*(Inputs!$J$9-Inputs!$I$9)))/Inputs!$K$9)^2),NA())</x:f>
        <x:v>85.9375</x:v>
      </x:c>
      <x:c r="F92" s="49"/>
      <x:c r="G92" s="48" t="n">
        <x:f>A92</x:f>
        <x:v>-0.25</x:v>
      </x:c>
      <x:c r="H92" s="48" t="n">
        <x:f>IF(OR(Inputs!$F$6=TRUE,Inputs!$F$6="TRUE",Inputs!$F$6=1),(((SQRT(((Inputs!$I$6+(((A92)+1)/2)*(Inputs!$J$6-Inputs!$I$6)))^2+Inputs!$C$6^2+((Inputs!$H$6+Inputs!$L$6*(((Inputs!$I$6+(((A92)+1)/2)*(Inputs!$J$6-Inputs!$I$6)))/Inputs!$K$6)^2))^2))-((Inputs!$H$6+Inputs!$L$6*(((Inputs!$I$6+(((A92)+1)/2)*(Inputs!$J$6-Inputs!$I$6)))/Inputs!$K$6)^2)))*1000/Inputs!$C$12),NA())</x:f>
        <x:v>595.7480822033449</x:v>
      </x:c>
      <x:c r="I92" s="48" t="n">
        <x:f>IF(OR(Inputs!$F$7=TRUE,Inputs!$F$7="TRUE",Inputs!$F$7=1),(((SQRT(((Inputs!$I$7+(((A92)+1)/2)*(Inputs!$J$7-Inputs!$I$7)))^2+Inputs!$C$6^2+((Inputs!$H$7+Inputs!$L$7*(((Inputs!$I$7+(((A92)+1)/2)*(Inputs!$J$7-Inputs!$I$7)))/Inputs!$K$7)^2))^2))-((Inputs!$H$7+Inputs!$L$7*(((Inputs!$I$7+(((A92)+1)/2)*(Inputs!$J$7-Inputs!$I$7)))/Inputs!$K$7)^2)))*1000/Inputs!$C$12),NA())</x:f>
        <x:v>33916.16256092234</x:v>
      </x:c>
      <x:c r="J92" s="48" t="n">
        <x:f>IF(OR(Inputs!$F$8=TRUE,Inputs!$F$8="TRUE",Inputs!$F$8=1),(((SQRT(((Inputs!$I$8+(((A92)+1)/2)*(Inputs!$J$8-Inputs!$I$8)))^2+Inputs!$C$6^2+((Inputs!$H$8+Inputs!$L$8*(((Inputs!$I$8+(((A92)+1)/2)*(Inputs!$J$8-Inputs!$I$8)))/Inputs!$K$8)^2))^2))-((Inputs!$H$8+Inputs!$L$8*(((Inputs!$I$8+(((A92)+1)/2)*(Inputs!$J$8-Inputs!$I$8)))/Inputs!$K$8)^2)))*1000/Inputs!$C$12),NA())</x:f>
        <x:v>71709.95079722094</x:v>
      </x:c>
      <x:c r="K92" s="48" t="n">
        <x:f>IF(OR(Inputs!$F$9=TRUE,Inputs!$F$9="TRUE",Inputs!$F$9=1),(((SQRT(((Inputs!$I$9+(((A92)+1)/2)*(Inputs!$J$9-Inputs!$I$9)))^2+Inputs!$C$6^2+((Inputs!$H$9+Inputs!$L$9*(((Inputs!$I$9+(((A92)+1)/2)*(Inputs!$J$9-Inputs!$I$9)))/Inputs!$K$9)^2))^2))-((Inputs!$H$9+Inputs!$L$9*(((Inputs!$I$9+(((A92)+1)/2)*(Inputs!$J$9-Inputs!$I$9)))/Inputs!$K$9)^2)))*1000/Inputs!$C$12),NA())</x:f>
        <x:v>74817.37246334527</x:v>
      </x:c>
      <x:c r="L92" s="49"/>
      <x:c r="M92" s="48" t="n">
        <x:f>A92</x:f>
        <x:v>-0.25</x:v>
      </x:c>
      <x:c r="N92" s="48" t="n">
        <x:f>IF(OR(Inputs!$F$6=TRUE,Inputs!$F$6="TRUE",Inputs!$F$6=1),(-2*((1000*((((Inputs!$I$6+(((A92)+1)/2)*(Inputs!$J$6-Inputs!$I$6)))*Inputs!$C$11+((Inputs!$H$6+Inputs!$L$6*(((Inputs!$I$6+(((A92)+1)/2)*(Inputs!$J$6-Inputs!$I$6)))/Inputs!$K$6)^2))*((2*Inputs!$L$6*((Inputs!$I$6+(((A92)+1)/2)*(Inputs!$J$6-Inputs!$I$6)))/(Inputs!$K$6^2)*Inputs!$C$11)))/(SQRT(((Inputs!$I$6+(((A92)+1)/2)*(Inputs!$J$6-Inputs!$I$6)))^2+Inputs!$C$6^2+((Inputs!$H$6+Inputs!$L$6*(((Inputs!$I$6+(((A92)+1)/2)*(Inputs!$J$6-Inputs!$I$6)))/Inputs!$K$6)^2))^2)))))/Inputs!$C$13),NA())</x:f>
        <x:v>112.99648127116424</x:v>
      </x:c>
      <x:c r="O92" s="48" t="n">
        <x:f>IF(OR(Inputs!$F$7=TRUE,Inputs!$F$7="TRUE",Inputs!$F$7=1),(-2*((1000*((((Inputs!$I$7+(((A92)+1)/2)*(Inputs!$J$7-Inputs!$I$7)))*Inputs!$C$11+((Inputs!$H$7+Inputs!$L$7*(((Inputs!$I$7+(((A92)+1)/2)*(Inputs!$J$7-Inputs!$I$7)))/Inputs!$K$7)^2))*((2*Inputs!$L$7*((Inputs!$I$7+(((A92)+1)/2)*(Inputs!$J$7-Inputs!$I$7)))/(Inputs!$K$7^2)*Inputs!$C$11)))/(SQRT(((Inputs!$I$7+(((A92)+1)/2)*(Inputs!$J$7-Inputs!$I$7)))^2+Inputs!$C$6^2+((Inputs!$H$7+Inputs!$L$7*(((Inputs!$I$7+(((A92)+1)/2)*(Inputs!$J$7-Inputs!$I$7)))/Inputs!$K$7)^2))^2)))))/Inputs!$C$13),NA())</x:f>
        <x:v>1710.928510419963</x:v>
      </x:c>
      <x:c r="P92" s="48" t="n">
        <x:f>IF(OR(Inputs!$F$8=TRUE,Inputs!$F$8="TRUE",Inputs!$F$8=1),(-2*((1000*((((Inputs!$I$8+(((A92)+1)/2)*(Inputs!$J$8-Inputs!$I$8)))*Inputs!$C$11+((Inputs!$H$8+Inputs!$L$8*(((Inputs!$I$8+(((A92)+1)/2)*(Inputs!$J$8-Inputs!$I$8)))/Inputs!$K$8)^2))*((2*Inputs!$L$8*((Inputs!$I$8+(((A92)+1)/2)*(Inputs!$J$8-Inputs!$I$8)))/(Inputs!$K$8^2)*Inputs!$C$11)))/(SQRT(((Inputs!$I$8+(((A92)+1)/2)*(Inputs!$J$8-Inputs!$I$8)))^2+Inputs!$C$6^2+((Inputs!$H$8+Inputs!$L$8*(((Inputs!$I$8+(((A92)+1)/2)*(Inputs!$J$8-Inputs!$I$8)))/Inputs!$K$8)^2))^2)))))/Inputs!$C$13),NA())</x:f>
        <x:v>1847.7913579087763</x:v>
      </x:c>
      <x:c r="Q92" s="48" t="n">
        <x:f>IF(OR(Inputs!$F$9=TRUE,Inputs!$F$9="TRUE",Inputs!$F$9=1),(-2*((1000*((((Inputs!$I$9+(((A92)+1)/2)*(Inputs!$J$9-Inputs!$I$9)))*Inputs!$C$11+((Inputs!$H$9+Inputs!$L$9*(((Inputs!$I$9+(((A92)+1)/2)*(Inputs!$J$9-Inputs!$I$9)))/Inputs!$K$9)^2))*((2*Inputs!$L$9*((Inputs!$I$9+(((A92)+1)/2)*(Inputs!$J$9-Inputs!$I$9)))/(Inputs!$K$9^2)*Inputs!$C$11)))/(SQRT(((Inputs!$I$9+(((A92)+1)/2)*(Inputs!$J$9-Inputs!$I$9)))^2+Inputs!$C$6^2+((Inputs!$H$9+Inputs!$L$9*(((Inputs!$I$9+(((A92)+1)/2)*(Inputs!$J$9-Inputs!$I$9)))/Inputs!$K$9)^2))^2)))))/Inputs!$C$13),NA())</x:f>
        <x:v>1842.8396573757705</x:v>
      </x:c>
      <x:c r="R92" s="49"/>
      <x:c r="S92" s="48" t="n">
        <x:f>A92</x:f>
        <x:v>-0.25</x:v>
      </x:c>
      <x:c r="T92" s="48" t="n">
        <x:f>(Inputs!$I$6+(((A92)+1)/2)*(Inputs!$J$6-Inputs!$I$6))</x:f>
        <x:v>-15</x:v>
      </x:c>
      <x:c r="U92" s="48" t="n">
        <x:f>(Inputs!$I$7+(((A92)+1)/2)*(Inputs!$J$7-Inputs!$I$7))</x:f>
        <x:v>-100</x:v>
      </x:c>
      <x:c r="V92" s="48" t="n">
        <x:f>(Inputs!$I$8+(((A92)+1)/2)*(Inputs!$J$8-Inputs!$I$8))</x:f>
        <x:v>-200</x:v>
      </x:c>
      <x:c r="W92" s="48" t="n">
        <x:f>(Inputs!$I$9+(((A92)+1)/2)*(Inputs!$J$9-Inputs!$I$9))</x:f>
        <x:v>-200</x:v>
      </x:c>
      <x:c r="X92" s="49"/>
      <x:c r="Y92" s="48" t="n">
        <x:f>A92</x:f>
        <x:v>-0.25</x:v>
      </x:c>
      <x:c r="Z92" s="48" t="n">
        <x:f>(Inputs!$H$6+Inputs!$L$6*(((Inputs!$I$6+(((A92)+1)/2)*(Inputs!$J$6-Inputs!$I$6)))/Inputs!$K$6)^2)</x:f>
        <x:v>400.25</x:v>
      </x:c>
      <x:c r="AA92" s="48" t="n">
        <x:f>(Inputs!$H$7+Inputs!$L$7*(((Inputs!$I$7+(((A92)+1)/2)*(Inputs!$J$7-Inputs!$I$7)))/Inputs!$K$7)^2)</x:f>
        <x:v>57.8125</x:v>
      </x:c>
      <x:c r="AB92" s="48" t="n">
        <x:f>(Inputs!$H$8+Inputs!$L$8*(((Inputs!$I$8+(((A92)+1)/2)*(Inputs!$J$8-Inputs!$I$8)))/Inputs!$K$8)^2)</x:f>
        <x:v>95.3125</x:v>
      </x:c>
      <x:c r="AC92" s="48" t="n">
        <x:f>(Inputs!$H$9+Inputs!$L$9*(((Inputs!$I$9+(((A92)+1)/2)*(Inputs!$J$9-Inputs!$I$9)))/Inputs!$K$9)^2)</x:f>
        <x:v>85.9375</x:v>
      </x:c>
      <x:c r="AD92" s="49"/>
      <x:c r="AE92" s="48" t="n">
        <x:f>A92</x:f>
        <x:v>-0.25</x:v>
      </x:c>
      <x:c r="AF92" s="48" t="n">
        <x:f>(((SQRT(((Inputs!$I$6+(((A92)+1)/2)*(Inputs!$J$6-Inputs!$I$6)))^2+Inputs!$C$6^2+((Inputs!$H$6+Inputs!$L$6*(((Inputs!$I$6+(((A92)+1)/2)*(Inputs!$J$6-Inputs!$I$6)))/Inputs!$K$6)^2))^2))-((Inputs!$H$6+Inputs!$L$6*(((Inputs!$I$6+(((A92)+1)/2)*(Inputs!$J$6-Inputs!$I$6)))/Inputs!$K$6)^2)))*1000/Inputs!$C$12)</x:f>
        <x:v>595.7480822033449</x:v>
      </x:c>
      <x:c r="AG92" s="48" t="n">
        <x:f>(((SQRT(((Inputs!$I$7+(((A92)+1)/2)*(Inputs!$J$7-Inputs!$I$7)))^2+Inputs!$C$6^2+((Inputs!$H$7+Inputs!$L$7*(((Inputs!$I$7+(((A92)+1)/2)*(Inputs!$J$7-Inputs!$I$7)))/Inputs!$K$7)^2))^2))-((Inputs!$H$7+Inputs!$L$7*(((Inputs!$I$7+(((A92)+1)/2)*(Inputs!$J$7-Inputs!$I$7)))/Inputs!$K$7)^2)))*1000/Inputs!$C$12)</x:f>
        <x:v>33916.16256092234</x:v>
      </x:c>
      <x:c r="AH92" s="48" t="n">
        <x:f>(((SQRT(((Inputs!$I$8+(((A92)+1)/2)*(Inputs!$J$8-Inputs!$I$8)))^2+Inputs!$C$6^2+((Inputs!$H$8+Inputs!$L$8*(((Inputs!$I$8+(((A92)+1)/2)*(Inputs!$J$8-Inputs!$I$8)))/Inputs!$K$8)^2))^2))-((Inputs!$H$8+Inputs!$L$8*(((Inputs!$I$8+(((A92)+1)/2)*(Inputs!$J$8-Inputs!$I$8)))/Inputs!$K$8)^2)))*1000/Inputs!$C$12)</x:f>
        <x:v>71709.95079722094</x:v>
      </x:c>
      <x:c r="AI92" s="48" t="n">
        <x:f>(((SQRT(((Inputs!$I$9+(((A92)+1)/2)*(Inputs!$J$9-Inputs!$I$9)))^2+Inputs!$C$6^2+((Inputs!$H$9+Inputs!$L$9*(((Inputs!$I$9+(((A92)+1)/2)*(Inputs!$J$9-Inputs!$I$9)))/Inputs!$K$9)^2))^2))-((Inputs!$H$9+Inputs!$L$9*(((Inputs!$I$9+(((A92)+1)/2)*(Inputs!$J$9-Inputs!$I$9)))/Inputs!$K$9)^2)))*1000/Inputs!$C$12)</x:f>
        <x:v>74817.37246334527</x:v>
      </x:c>
      <x:c r="AJ92" s="49"/>
      <x:c r="AK92" s="48" t="n">
        <x:f>A92</x:f>
        <x:v>-0.25</x:v>
      </x:c>
      <x:c r="AL92" s="48" t="n">
        <x:f>(-2*((1000*((((Inputs!$I$6+(((A92)+1)/2)*(Inputs!$J$6-Inputs!$I$6)))*Inputs!$C$11+((Inputs!$H$6+Inputs!$L$6*(((Inputs!$I$6+(((A92)+1)/2)*(Inputs!$J$6-Inputs!$I$6)))/Inputs!$K$6)^2))*((2*Inputs!$L$6*((Inputs!$I$6+(((A92)+1)/2)*(Inputs!$J$6-Inputs!$I$6)))/(Inputs!$K$6^2)*Inputs!$C$11)))/(SQRT(((Inputs!$I$6+(((A92)+1)/2)*(Inputs!$J$6-Inputs!$I$6)))^2+Inputs!$C$6^2+((Inputs!$H$6+Inputs!$L$6*(((Inputs!$I$6+(((A92)+1)/2)*(Inputs!$J$6-Inputs!$I$6)))/Inputs!$K$6)^2))^2)))))/Inputs!$C$13)</x:f>
        <x:v>112.99648127116424</x:v>
      </x:c>
      <x:c r="AM92" s="48" t="n">
        <x:f>(-2*((1000*((((Inputs!$I$7+(((A92)+1)/2)*(Inputs!$J$7-Inputs!$I$7)))*Inputs!$C$11+((Inputs!$H$7+Inputs!$L$7*(((Inputs!$I$7+(((A92)+1)/2)*(Inputs!$J$7-Inputs!$I$7)))/Inputs!$K$7)^2))*((2*Inputs!$L$7*((Inputs!$I$7+(((A92)+1)/2)*(Inputs!$J$7-Inputs!$I$7)))/(Inputs!$K$7^2)*Inputs!$C$11)))/(SQRT(((Inputs!$I$7+(((A92)+1)/2)*(Inputs!$J$7-Inputs!$I$7)))^2+Inputs!$C$6^2+((Inputs!$H$7+Inputs!$L$7*(((Inputs!$I$7+(((A92)+1)/2)*(Inputs!$J$7-Inputs!$I$7)))/Inputs!$K$7)^2))^2)))))/Inputs!$C$13)</x:f>
        <x:v>1710.928510419963</x:v>
      </x:c>
      <x:c r="AN92" s="48" t="n">
        <x:f>(-2*((1000*((((Inputs!$I$8+(((A92)+1)/2)*(Inputs!$J$8-Inputs!$I$8)))*Inputs!$C$11+((Inputs!$H$8+Inputs!$L$8*(((Inputs!$I$8+(((A92)+1)/2)*(Inputs!$J$8-Inputs!$I$8)))/Inputs!$K$8)^2))*((2*Inputs!$L$8*((Inputs!$I$8+(((A92)+1)/2)*(Inputs!$J$8-Inputs!$I$8)))/(Inputs!$K$8^2)*Inputs!$C$11)))/(SQRT(((Inputs!$I$8+(((A92)+1)/2)*(Inputs!$J$8-Inputs!$I$8)))^2+Inputs!$C$6^2+((Inputs!$H$8+Inputs!$L$8*(((Inputs!$I$8+(((A92)+1)/2)*(Inputs!$J$8-Inputs!$I$8)))/Inputs!$K$8)^2))^2)))))/Inputs!$C$13)</x:f>
        <x:v>1847.7913579087763</x:v>
      </x:c>
      <x:c r="AO92" s="48" t="n">
        <x:f>(-2*((1000*((((Inputs!$I$9+(((A92)+1)/2)*(Inputs!$J$9-Inputs!$I$9)))*Inputs!$C$11+((Inputs!$H$9+Inputs!$L$9*(((Inputs!$I$9+(((A92)+1)/2)*(Inputs!$J$9-Inputs!$I$9)))/Inputs!$K$9)^2))*((2*Inputs!$L$9*((Inputs!$I$9+(((A92)+1)/2)*(Inputs!$J$9-Inputs!$I$9)))/(Inputs!$K$9^2)*Inputs!$C$11)))/(SQRT(((Inputs!$I$9+(((A92)+1)/2)*(Inputs!$J$9-Inputs!$I$9)))^2+Inputs!$C$6^2+((Inputs!$H$9+Inputs!$L$9*(((Inputs!$I$9+(((A92)+1)/2)*(Inputs!$J$9-Inputs!$I$9)))/Inputs!$K$9)^2))^2)))))/Inputs!$C$13)</x:f>
        <x:v>1842.8396573757705</x:v>
      </x:c>
    </x:row>
    <x:row r="93">
      <x:c r="A93" s="48" t="n">
        <x:f>ROUND(-1+91*2/240,3)</x:f>
        <x:v>-0.242</x:v>
      </x:c>
      <x:c r="B93" s="48" t="n">
        <x:f>IF(OR(Inputs!$F$6=TRUE,Inputs!$F$6="TRUE",Inputs!$F$6=1),(Inputs!$H$6+Inputs!$L$6*(((Inputs!$I$6+(((A93)+1)/2)*(Inputs!$J$6-Inputs!$I$6)))/Inputs!$K$6)^2),NA())</x:f>
        <x:v>400.234256</x:v>
      </x:c>
      <x:c r="C93" s="48" t="n">
        <x:f>IF(OR(Inputs!$F$7=TRUE,Inputs!$F$7="TRUE",Inputs!$F$7=1),(Inputs!$H$7+Inputs!$L$7*(((Inputs!$I$7+(((A93)+1)/2)*(Inputs!$J$7-Inputs!$I$7)))/Inputs!$K$7)^2),NA())</x:f>
        <x:v>56.37586</x:v>
      </x:c>
      <x:c r="D93" s="48" t="n">
        <x:f>IF(OR(Inputs!$F$8=TRUE,Inputs!$F$8="TRUE",Inputs!$F$8=1),(Inputs!$H$8+Inputs!$L$8*(((Inputs!$I$8+(((A93)+1)/2)*(Inputs!$J$8-Inputs!$I$8)))/Inputs!$K$8)^2),NA())</x:f>
        <x:v>91.51426000000001</x:v>
      </x:c>
      <x:c r="E93" s="48" t="n">
        <x:f>IF(OR(Inputs!$F$9=TRUE,Inputs!$F$9="TRUE",Inputs!$F$9=1),(Inputs!$H$9+Inputs!$L$9*(((Inputs!$I$9+(((A93)+1)/2)*(Inputs!$J$9-Inputs!$I$9)))/Inputs!$K$9)^2),NA())</x:f>
        <x:v>82.09990000000002</x:v>
      </x:c>
      <x:c r="F93" s="49"/>
      <x:c r="G93" s="48" t="n">
        <x:f>A93</x:f>
        <x:v>-0.242</x:v>
      </x:c>
      <x:c r="H93" s="48" t="n">
        <x:f>IF(OR(Inputs!$F$6=TRUE,Inputs!$F$6="TRUE",Inputs!$F$6=1),(((SQRT(((Inputs!$I$6+(((A93)+1)/2)*(Inputs!$J$6-Inputs!$I$6)))^2+Inputs!$C$6^2+((Inputs!$H$6+Inputs!$L$6*(((Inputs!$I$6+(((A93)+1)/2)*(Inputs!$J$6-Inputs!$I$6)))/Inputs!$K$6)^2))^2))-((Inputs!$H$6+Inputs!$L$6*(((Inputs!$I$6+(((A93)+1)/2)*(Inputs!$J$6-Inputs!$I$6)))/Inputs!$K$6)^2)))*1000/Inputs!$C$12),NA())</x:f>
        <x:v>585.852779498692</x:v>
      </x:c>
      <x:c r="I93" s="48" t="n">
        <x:f>IF(OR(Inputs!$F$7=TRUE,Inputs!$F$7="TRUE",Inputs!$F$7=1),(((SQRT(((Inputs!$I$7+(((A93)+1)/2)*(Inputs!$J$7-Inputs!$I$7)))^2+Inputs!$C$6^2+((Inputs!$H$7+Inputs!$L$7*(((Inputs!$I$7+(((A93)+1)/2)*(Inputs!$J$7-Inputs!$I$7)))/Inputs!$K$7)^2))^2))-((Inputs!$H$7+Inputs!$L$7*(((Inputs!$I$7+(((A93)+1)/2)*(Inputs!$J$7-Inputs!$I$7)))/Inputs!$K$7)^2)))*1000/Inputs!$C$12),NA())</x:f>
        <x:v>32808.93872022516</x:v>
      </x:c>
      <x:c r="J93" s="48" t="n">
        <x:f>IF(OR(Inputs!$F$8=TRUE,Inputs!$F$8="TRUE",Inputs!$F$8=1),(((SQRT(((Inputs!$I$8+(((A93)+1)/2)*(Inputs!$J$8-Inputs!$I$8)))^2+Inputs!$C$6^2+((Inputs!$H$8+Inputs!$L$8*(((Inputs!$I$8+(((A93)+1)/2)*(Inputs!$J$8-Inputs!$I$8)))/Inputs!$K$8)^2))^2))-((Inputs!$H$8+Inputs!$L$8*(((Inputs!$I$8+(((A93)+1)/2)*(Inputs!$J$8-Inputs!$I$8)))/Inputs!$K$8)^2)))*1000/Inputs!$C$12),NA())</x:f>
        <x:v>69707.78026912392</x:v>
      </x:c>
      <x:c r="K93" s="48" t="n">
        <x:f>IF(OR(Inputs!$F$9=TRUE,Inputs!$F$9="TRUE",Inputs!$F$9=1),(((SQRT(((Inputs!$I$9+(((A93)+1)/2)*(Inputs!$J$9-Inputs!$I$9)))^2+Inputs!$C$6^2+((Inputs!$H$9+Inputs!$L$9*(((Inputs!$I$9+(((A93)+1)/2)*(Inputs!$J$9-Inputs!$I$9)))/Inputs!$K$9)^2))^2))-((Inputs!$H$9+Inputs!$L$9*(((Inputs!$I$9+(((A93)+1)/2)*(Inputs!$J$9-Inputs!$I$9)))/Inputs!$K$9)^2)))*1000/Inputs!$C$12),NA())</x:f>
        <x:v>72848.1329301913</x:v>
      </x:c>
      <x:c r="L93" s="49"/>
      <x:c r="M93" s="48" t="n">
        <x:f>A93</x:f>
        <x:v>-0.242</x:v>
      </x:c>
      <x:c r="N93" s="48" t="n">
        <x:f>IF(OR(Inputs!$F$6=TRUE,Inputs!$F$6="TRUE",Inputs!$F$6=1),(-2*((1000*((((Inputs!$I$6+(((A93)+1)/2)*(Inputs!$J$6-Inputs!$I$6)))*Inputs!$C$11+((Inputs!$H$6+Inputs!$L$6*(((Inputs!$I$6+(((A93)+1)/2)*(Inputs!$J$6-Inputs!$I$6)))/Inputs!$K$6)^2))*((2*Inputs!$L$6*((Inputs!$I$6+(((A93)+1)/2)*(Inputs!$J$6-Inputs!$I$6)))/(Inputs!$K$6^2)*Inputs!$C$11)))/(SQRT(((Inputs!$I$6+(((A93)+1)/2)*(Inputs!$J$6-Inputs!$I$6)))^2+Inputs!$C$6^2+((Inputs!$H$6+Inputs!$L$6*(((Inputs!$I$6+(((A93)+1)/2)*(Inputs!$J$6-Inputs!$I$6)))/Inputs!$K$6)^2))^2)))))/Inputs!$C$13),NA())</x:f>
        <x:v>109.38766097769974</x:v>
      </x:c>
      <x:c r="O93" s="48" t="n">
        <x:f>IF(OR(Inputs!$F$7=TRUE,Inputs!$F$7="TRUE",Inputs!$F$7=1),(-2*((1000*((((Inputs!$I$7+(((A93)+1)/2)*(Inputs!$J$7-Inputs!$I$7)))*Inputs!$C$11+((Inputs!$H$7+Inputs!$L$7*(((Inputs!$I$7+(((A93)+1)/2)*(Inputs!$J$7-Inputs!$I$7)))/Inputs!$K$7)^2))*((2*Inputs!$L$7*((Inputs!$I$7+(((A93)+1)/2)*(Inputs!$J$7-Inputs!$I$7)))/(Inputs!$K$7^2)*Inputs!$C$11)))/(SQRT(((Inputs!$I$7+(((A93)+1)/2)*(Inputs!$J$7-Inputs!$I$7)))^2+Inputs!$C$6^2+((Inputs!$H$7+Inputs!$L$7*(((Inputs!$I$7+(((A93)+1)/2)*(Inputs!$J$7-Inputs!$I$7)))/Inputs!$K$7)^2))^2)))))/Inputs!$C$13),NA())</x:f>
        <x:v>1696.5029826959376</x:v>
      </x:c>
      <x:c r="P93" s="48" t="n">
        <x:f>IF(OR(Inputs!$F$8=TRUE,Inputs!$F$8="TRUE",Inputs!$F$8=1),(-2*((1000*((((Inputs!$I$8+(((A93)+1)/2)*(Inputs!$J$8-Inputs!$I$8)))*Inputs!$C$11+((Inputs!$H$8+Inputs!$L$8*(((Inputs!$I$8+(((A93)+1)/2)*(Inputs!$J$8-Inputs!$I$8)))/Inputs!$K$8)^2))*((2*Inputs!$L$8*((Inputs!$I$8+(((A93)+1)/2)*(Inputs!$J$8-Inputs!$I$8)))/(Inputs!$K$8^2)*Inputs!$C$11)))/(SQRT(((Inputs!$I$8+(((A93)+1)/2)*(Inputs!$J$8-Inputs!$I$8)))^2+Inputs!$C$6^2+((Inputs!$H$8+Inputs!$L$8*(((Inputs!$I$8+(((A93)+1)/2)*(Inputs!$J$8-Inputs!$I$8)))/Inputs!$K$8)^2))^2)))))/Inputs!$C$13),NA())</x:f>
        <x:v>1833.2843258391306</x:v>
      </x:c>
      <x:c r="Q93" s="48" t="n">
        <x:f>IF(OR(Inputs!$F$9=TRUE,Inputs!$F$9="TRUE",Inputs!$F$9=1),(-2*((1000*((((Inputs!$I$9+(((A93)+1)/2)*(Inputs!$J$9-Inputs!$I$9)))*Inputs!$C$11+((Inputs!$H$9+Inputs!$L$9*(((Inputs!$I$9+(((A93)+1)/2)*(Inputs!$J$9-Inputs!$I$9)))/Inputs!$K$9)^2))*((2*Inputs!$L$9*((Inputs!$I$9+(((A93)+1)/2)*(Inputs!$J$9-Inputs!$I$9)))/(Inputs!$K$9^2)*Inputs!$C$11)))/(SQRT(((Inputs!$I$9+(((A93)+1)/2)*(Inputs!$J$9-Inputs!$I$9)))^2+Inputs!$C$6^2+((Inputs!$H$9+Inputs!$L$9*(((Inputs!$I$9+(((A93)+1)/2)*(Inputs!$J$9-Inputs!$I$9)))/Inputs!$K$9)^2))^2)))))/Inputs!$C$13),NA())</x:f>
        <x:v>1828.6190670469357</x:v>
      </x:c>
      <x:c r="R93" s="49"/>
      <x:c r="S93" s="48" t="n">
        <x:f>A93</x:f>
        <x:v>-0.242</x:v>
      </x:c>
      <x:c r="T93" s="48" t="n">
        <x:f>(Inputs!$I$6+(((A93)+1)/2)*(Inputs!$J$6-Inputs!$I$6))</x:f>
        <x:v>-14.519999999999996</x:v>
      </x:c>
      <x:c r="U93" s="48" t="n">
        <x:f>(Inputs!$I$7+(((A93)+1)/2)*(Inputs!$J$7-Inputs!$I$7))</x:f>
        <x:v>-96.80000000000001</x:v>
      </x:c>
      <x:c r="V93" s="48" t="n">
        <x:f>(Inputs!$I$8+(((A93)+1)/2)*(Inputs!$J$8-Inputs!$I$8))</x:f>
        <x:v>-193.60000000000002</x:v>
      </x:c>
      <x:c r="W93" s="48" t="n">
        <x:f>(Inputs!$I$9+(((A93)+1)/2)*(Inputs!$J$9-Inputs!$I$9))</x:f>
        <x:v>-193.60000000000002</x:v>
      </x:c>
      <x:c r="X93" s="49"/>
      <x:c r="Y93" s="48" t="n">
        <x:f>A93</x:f>
        <x:v>-0.242</x:v>
      </x:c>
      <x:c r="Z93" s="48" t="n">
        <x:f>(Inputs!$H$6+Inputs!$L$6*(((Inputs!$I$6+(((A93)+1)/2)*(Inputs!$J$6-Inputs!$I$6)))/Inputs!$K$6)^2)</x:f>
        <x:v>400.234256</x:v>
      </x:c>
      <x:c r="AA93" s="48" t="n">
        <x:f>(Inputs!$H$7+Inputs!$L$7*(((Inputs!$I$7+(((A93)+1)/2)*(Inputs!$J$7-Inputs!$I$7)))/Inputs!$K$7)^2)</x:f>
        <x:v>56.37586</x:v>
      </x:c>
      <x:c r="AB93" s="48" t="n">
        <x:f>(Inputs!$H$8+Inputs!$L$8*(((Inputs!$I$8+(((A93)+1)/2)*(Inputs!$J$8-Inputs!$I$8)))/Inputs!$K$8)^2)</x:f>
        <x:v>91.51426000000001</x:v>
      </x:c>
      <x:c r="AC93" s="48" t="n">
        <x:f>(Inputs!$H$9+Inputs!$L$9*(((Inputs!$I$9+(((A93)+1)/2)*(Inputs!$J$9-Inputs!$I$9)))/Inputs!$K$9)^2)</x:f>
        <x:v>82.09990000000002</x:v>
      </x:c>
      <x:c r="AD93" s="49"/>
      <x:c r="AE93" s="48" t="n">
        <x:f>A93</x:f>
        <x:v>-0.242</x:v>
      </x:c>
      <x:c r="AF93" s="48" t="n">
        <x:f>(((SQRT(((Inputs!$I$6+(((A93)+1)/2)*(Inputs!$J$6-Inputs!$I$6)))^2+Inputs!$C$6^2+((Inputs!$H$6+Inputs!$L$6*(((Inputs!$I$6+(((A93)+1)/2)*(Inputs!$J$6-Inputs!$I$6)))/Inputs!$K$6)^2))^2))-((Inputs!$H$6+Inputs!$L$6*(((Inputs!$I$6+(((A93)+1)/2)*(Inputs!$J$6-Inputs!$I$6)))/Inputs!$K$6)^2)))*1000/Inputs!$C$12)</x:f>
        <x:v>585.852779498692</x:v>
      </x:c>
      <x:c r="AG93" s="48" t="n">
        <x:f>(((SQRT(((Inputs!$I$7+(((A93)+1)/2)*(Inputs!$J$7-Inputs!$I$7)))^2+Inputs!$C$6^2+((Inputs!$H$7+Inputs!$L$7*(((Inputs!$I$7+(((A93)+1)/2)*(Inputs!$J$7-Inputs!$I$7)))/Inputs!$K$7)^2))^2))-((Inputs!$H$7+Inputs!$L$7*(((Inputs!$I$7+(((A93)+1)/2)*(Inputs!$J$7-Inputs!$I$7)))/Inputs!$K$7)^2)))*1000/Inputs!$C$12)</x:f>
        <x:v>32808.93872022516</x:v>
      </x:c>
      <x:c r="AH93" s="48" t="n">
        <x:f>(((SQRT(((Inputs!$I$8+(((A93)+1)/2)*(Inputs!$J$8-Inputs!$I$8)))^2+Inputs!$C$6^2+((Inputs!$H$8+Inputs!$L$8*(((Inputs!$I$8+(((A93)+1)/2)*(Inputs!$J$8-Inputs!$I$8)))/Inputs!$K$8)^2))^2))-((Inputs!$H$8+Inputs!$L$8*(((Inputs!$I$8+(((A93)+1)/2)*(Inputs!$J$8-Inputs!$I$8)))/Inputs!$K$8)^2)))*1000/Inputs!$C$12)</x:f>
        <x:v>69707.78026912392</x:v>
      </x:c>
      <x:c r="AI93" s="48" t="n">
        <x:f>(((SQRT(((Inputs!$I$9+(((A93)+1)/2)*(Inputs!$J$9-Inputs!$I$9)))^2+Inputs!$C$6^2+((Inputs!$H$9+Inputs!$L$9*(((Inputs!$I$9+(((A93)+1)/2)*(Inputs!$J$9-Inputs!$I$9)))/Inputs!$K$9)^2))^2))-((Inputs!$H$9+Inputs!$L$9*(((Inputs!$I$9+(((A93)+1)/2)*(Inputs!$J$9-Inputs!$I$9)))/Inputs!$K$9)^2)))*1000/Inputs!$C$12)</x:f>
        <x:v>72848.1329301913</x:v>
      </x:c>
      <x:c r="AJ93" s="49"/>
      <x:c r="AK93" s="48" t="n">
        <x:f>A93</x:f>
        <x:v>-0.242</x:v>
      </x:c>
      <x:c r="AL93" s="48" t="n">
        <x:f>(-2*((1000*((((Inputs!$I$6+(((A93)+1)/2)*(Inputs!$J$6-Inputs!$I$6)))*Inputs!$C$11+((Inputs!$H$6+Inputs!$L$6*(((Inputs!$I$6+(((A93)+1)/2)*(Inputs!$J$6-Inputs!$I$6)))/Inputs!$K$6)^2))*((2*Inputs!$L$6*((Inputs!$I$6+(((A93)+1)/2)*(Inputs!$J$6-Inputs!$I$6)))/(Inputs!$K$6^2)*Inputs!$C$11)))/(SQRT(((Inputs!$I$6+(((A93)+1)/2)*(Inputs!$J$6-Inputs!$I$6)))^2+Inputs!$C$6^2+((Inputs!$H$6+Inputs!$L$6*(((Inputs!$I$6+(((A93)+1)/2)*(Inputs!$J$6-Inputs!$I$6)))/Inputs!$K$6)^2))^2)))))/Inputs!$C$13)</x:f>
        <x:v>109.38766097769974</x:v>
      </x:c>
      <x:c r="AM93" s="48" t="n">
        <x:f>(-2*((1000*((((Inputs!$I$7+(((A93)+1)/2)*(Inputs!$J$7-Inputs!$I$7)))*Inputs!$C$11+((Inputs!$H$7+Inputs!$L$7*(((Inputs!$I$7+(((A93)+1)/2)*(Inputs!$J$7-Inputs!$I$7)))/Inputs!$K$7)^2))*((2*Inputs!$L$7*((Inputs!$I$7+(((A93)+1)/2)*(Inputs!$J$7-Inputs!$I$7)))/(Inputs!$K$7^2)*Inputs!$C$11)))/(SQRT(((Inputs!$I$7+(((A93)+1)/2)*(Inputs!$J$7-Inputs!$I$7)))^2+Inputs!$C$6^2+((Inputs!$H$7+Inputs!$L$7*(((Inputs!$I$7+(((A93)+1)/2)*(Inputs!$J$7-Inputs!$I$7)))/Inputs!$K$7)^2))^2)))))/Inputs!$C$13)</x:f>
        <x:v>1696.5029826959376</x:v>
      </x:c>
      <x:c r="AN93" s="48" t="n">
        <x:f>(-2*((1000*((((Inputs!$I$8+(((A93)+1)/2)*(Inputs!$J$8-Inputs!$I$8)))*Inputs!$C$11+((Inputs!$H$8+Inputs!$L$8*(((Inputs!$I$8+(((A93)+1)/2)*(Inputs!$J$8-Inputs!$I$8)))/Inputs!$K$8)^2))*((2*Inputs!$L$8*((Inputs!$I$8+(((A93)+1)/2)*(Inputs!$J$8-Inputs!$I$8)))/(Inputs!$K$8^2)*Inputs!$C$11)))/(SQRT(((Inputs!$I$8+(((A93)+1)/2)*(Inputs!$J$8-Inputs!$I$8)))^2+Inputs!$C$6^2+((Inputs!$H$8+Inputs!$L$8*(((Inputs!$I$8+(((A93)+1)/2)*(Inputs!$J$8-Inputs!$I$8)))/Inputs!$K$8)^2))^2)))))/Inputs!$C$13)</x:f>
        <x:v>1833.2843258391306</x:v>
      </x:c>
      <x:c r="AO93" s="48" t="n">
        <x:f>(-2*((1000*((((Inputs!$I$9+(((A93)+1)/2)*(Inputs!$J$9-Inputs!$I$9)))*Inputs!$C$11+((Inputs!$H$9+Inputs!$L$9*(((Inputs!$I$9+(((A93)+1)/2)*(Inputs!$J$9-Inputs!$I$9)))/Inputs!$K$9)^2))*((2*Inputs!$L$9*((Inputs!$I$9+(((A93)+1)/2)*(Inputs!$J$9-Inputs!$I$9)))/(Inputs!$K$9^2)*Inputs!$C$11)))/(SQRT(((Inputs!$I$9+(((A93)+1)/2)*(Inputs!$J$9-Inputs!$I$9)))^2+Inputs!$C$6^2+((Inputs!$H$9+Inputs!$L$9*(((Inputs!$I$9+(((A93)+1)/2)*(Inputs!$J$9-Inputs!$I$9)))/Inputs!$K$9)^2))^2)))))/Inputs!$C$13)</x:f>
        <x:v>1828.6190670469357</x:v>
      </x:c>
    </x:row>
    <x:row r="94">
      <x:c r="A94" s="48" t="n">
        <x:f>ROUND(-1+92*2/240,3)</x:f>
        <x:v>-0.233</x:v>
      </x:c>
      <x:c r="B94" s="48" t="n">
        <x:f>IF(OR(Inputs!$F$6=TRUE,Inputs!$F$6="TRUE",Inputs!$F$6=1),(Inputs!$H$6+Inputs!$L$6*(((Inputs!$I$6+(((A94)+1)/2)*(Inputs!$J$6-Inputs!$I$6)))/Inputs!$K$6)^2),NA())</x:f>
        <x:v>400.217156</x:v>
      </x:c>
      <x:c r="C94" s="48" t="n">
        <x:f>IF(OR(Inputs!$F$7=TRUE,Inputs!$F$7="TRUE",Inputs!$F$7=1),(Inputs!$H$7+Inputs!$L$7*(((Inputs!$I$7+(((A94)+1)/2)*(Inputs!$J$7-Inputs!$I$7)))/Inputs!$K$7)^2),NA())</x:f>
        <x:v>54.815484999999995</x:v>
      </x:c>
      <x:c r="D94" s="48" t="n">
        <x:f>IF(OR(Inputs!$F$8=TRUE,Inputs!$F$8="TRUE",Inputs!$F$8=1),(Inputs!$H$8+Inputs!$L$8*(((Inputs!$I$8+(((A94)+1)/2)*(Inputs!$J$8-Inputs!$I$8)))/Inputs!$K$8)^2),NA())</x:f>
        <x:v>87.38888499999999</x:v>
      </x:c>
      <x:c r="E94" s="48" t="n">
        <x:f>IF(OR(Inputs!$F$9=TRUE,Inputs!$F$9="TRUE",Inputs!$F$9=1),(Inputs!$H$9+Inputs!$L$9*(((Inputs!$I$9+(((A94)+1)/2)*(Inputs!$J$9-Inputs!$I$9)))/Inputs!$K$9)^2),NA())</x:f>
        <x:v>77.93177499999999</x:v>
      </x:c>
      <x:c r="F94" s="49"/>
      <x:c r="G94" s="48" t="n">
        <x:f>A94</x:f>
        <x:v>-0.233</x:v>
      </x:c>
      <x:c r="H94" s="48" t="n">
        <x:f>IF(OR(Inputs!$F$6=TRUE,Inputs!$F$6="TRUE",Inputs!$F$6=1),(((SQRT(((Inputs!$I$6+(((A94)+1)/2)*(Inputs!$J$6-Inputs!$I$6)))^2+Inputs!$C$6^2+((Inputs!$H$6+Inputs!$L$6*(((Inputs!$I$6+(((A94)+1)/2)*(Inputs!$J$6-Inputs!$I$6)))/Inputs!$K$6)^2))^2))-((Inputs!$H$6+Inputs!$L$6*(((Inputs!$I$6+(((A94)+1)/2)*(Inputs!$J$6-Inputs!$I$6)))/Inputs!$K$6)^2)))*1000/Inputs!$C$12),NA())</x:f>
        <x:v>575.1038418132177</x:v>
      </x:c>
      <x:c r="I94" s="48" t="n">
        <x:f>IF(OR(Inputs!$F$7=TRUE,Inputs!$F$7="TRUE",Inputs!$F$7=1),(((SQRT(((Inputs!$I$7+(((A94)+1)/2)*(Inputs!$J$7-Inputs!$I$7)))^2+Inputs!$C$6^2+((Inputs!$H$7+Inputs!$L$7*(((Inputs!$I$7+(((A94)+1)/2)*(Inputs!$J$7-Inputs!$I$7)))/Inputs!$K$7)^2))^2))-((Inputs!$H$7+Inputs!$L$7*(((Inputs!$I$7+(((A94)+1)/2)*(Inputs!$J$7-Inputs!$I$7)))/Inputs!$K$7)^2)))*1000/Inputs!$C$12),NA())</x:f>
        <x:v>31551.622668842894</x:v>
      </x:c>
      <x:c r="J94" s="48" t="n">
        <x:f>IF(OR(Inputs!$F$8=TRUE,Inputs!$F$8="TRUE",Inputs!$F$8=1),(((SQRT(((Inputs!$I$8+(((A94)+1)/2)*(Inputs!$J$8-Inputs!$I$8)))^2+Inputs!$C$6^2+((Inputs!$H$8+Inputs!$L$8*(((Inputs!$I$8+(((A94)+1)/2)*(Inputs!$J$8-Inputs!$I$8)))/Inputs!$K$8)^2))^2))-((Inputs!$H$8+Inputs!$L$8*(((Inputs!$I$8+(((A94)+1)/2)*(Inputs!$J$8-Inputs!$I$8)))/Inputs!$K$8)^2)))*1000/Inputs!$C$12),NA())</x:f>
        <x:v>67411.16248407683</x:v>
      </x:c>
      <x:c r="K94" s="48" t="n">
        <x:f>IF(OR(Inputs!$F$9=TRUE,Inputs!$F$9="TRUE",Inputs!$F$9=1),(((SQRT(((Inputs!$I$9+(((A94)+1)/2)*(Inputs!$J$9-Inputs!$I$9)))^2+Inputs!$C$6^2+((Inputs!$H$9+Inputs!$L$9*(((Inputs!$I$9+(((A94)+1)/2)*(Inputs!$J$9-Inputs!$I$9)))/Inputs!$K$9)^2))^2))-((Inputs!$H$9+Inputs!$L$9*(((Inputs!$I$9+(((A94)+1)/2)*(Inputs!$J$9-Inputs!$I$9)))/Inputs!$K$9)^2)))*1000/Inputs!$C$12),NA())</x:f>
        <x:v>70586.82784915634</x:v>
      </x:c>
      <x:c r="L94" s="49"/>
      <x:c r="M94" s="48" t="n">
        <x:f>A94</x:f>
        <x:v>-0.233</x:v>
      </x:c>
      <x:c r="N94" s="48" t="n">
        <x:f>IF(OR(Inputs!$F$6=TRUE,Inputs!$F$6="TRUE",Inputs!$F$6=1),(-2*((1000*((((Inputs!$I$6+(((A94)+1)/2)*(Inputs!$J$6-Inputs!$I$6)))*Inputs!$C$11+((Inputs!$H$6+Inputs!$L$6*(((Inputs!$I$6+(((A94)+1)/2)*(Inputs!$J$6-Inputs!$I$6)))/Inputs!$K$6)^2))*((2*Inputs!$L$6*((Inputs!$I$6+(((A94)+1)/2)*(Inputs!$J$6-Inputs!$I$6)))/(Inputs!$K$6^2)*Inputs!$C$11)))/(SQRT(((Inputs!$I$6+(((A94)+1)/2)*(Inputs!$J$6-Inputs!$I$6)))^2+Inputs!$C$6^2+((Inputs!$H$6+Inputs!$L$6*(((Inputs!$I$6+(((A94)+1)/2)*(Inputs!$J$6-Inputs!$I$6)))/Inputs!$K$6)^2))^2)))))/Inputs!$C$13),NA())</x:f>
        <x:v>105.32691706872197</x:v>
      </x:c>
      <x:c r="O94" s="48" t="n">
        <x:f>IF(OR(Inputs!$F$7=TRUE,Inputs!$F$7="TRUE",Inputs!$F$7=1),(-2*((1000*((((Inputs!$I$7+(((A94)+1)/2)*(Inputs!$J$7-Inputs!$I$7)))*Inputs!$C$11+((Inputs!$H$7+Inputs!$L$7*(((Inputs!$I$7+(((A94)+1)/2)*(Inputs!$J$7-Inputs!$I$7)))/Inputs!$K$7)^2))*((2*Inputs!$L$7*((Inputs!$I$7+(((A94)+1)/2)*(Inputs!$J$7-Inputs!$I$7)))/(Inputs!$K$7^2)*Inputs!$C$11)))/(SQRT(((Inputs!$I$7+(((A94)+1)/2)*(Inputs!$J$7-Inputs!$I$7)))^2+Inputs!$C$6^2+((Inputs!$H$7+Inputs!$L$7*(((Inputs!$I$7+(((A94)+1)/2)*(Inputs!$J$7-Inputs!$I$7)))/Inputs!$K$7)^2))^2)))))/Inputs!$C$13),NA())</x:f>
        <x:v>1679.7501846234886</x:v>
      </x:c>
      <x:c r="P94" s="48" t="n">
        <x:f>IF(OR(Inputs!$F$8=TRUE,Inputs!$F$8="TRUE",Inputs!$F$8=1),(-2*((1000*((((Inputs!$I$8+(((A94)+1)/2)*(Inputs!$J$8-Inputs!$I$8)))*Inputs!$C$11+((Inputs!$H$8+Inputs!$L$8*(((Inputs!$I$8+(((A94)+1)/2)*(Inputs!$J$8-Inputs!$I$8)))/Inputs!$K$8)^2))*((2*Inputs!$L$8*((Inputs!$I$8+(((A94)+1)/2)*(Inputs!$J$8-Inputs!$I$8)))/(Inputs!$K$8^2)*Inputs!$C$11)))/(SQRT(((Inputs!$I$8+(((A94)+1)/2)*(Inputs!$J$8-Inputs!$I$8)))^2+Inputs!$C$6^2+((Inputs!$H$8+Inputs!$L$8*(((Inputs!$I$8+(((A94)+1)/2)*(Inputs!$J$8-Inputs!$I$8)))/Inputs!$K$8)^2))^2)))))/Inputs!$C$13),NA())</x:f>
        <x:v>1817.120478733156</x:v>
      </x:c>
      <x:c r="Q94" s="48" t="n">
        <x:f>IF(OR(Inputs!$F$9=TRUE,Inputs!$F$9="TRUE",Inputs!$F$9=1),(-2*((1000*((((Inputs!$I$9+(((A94)+1)/2)*(Inputs!$J$9-Inputs!$I$9)))*Inputs!$C$11+((Inputs!$H$9+Inputs!$L$9*(((Inputs!$I$9+(((A94)+1)/2)*(Inputs!$J$9-Inputs!$I$9)))/Inputs!$K$9)^2))*((2*Inputs!$L$9*((Inputs!$I$9+(((A94)+1)/2)*(Inputs!$J$9-Inputs!$I$9)))/(Inputs!$K$9^2)*Inputs!$C$11)))/(SQRT(((Inputs!$I$9+(((A94)+1)/2)*(Inputs!$J$9-Inputs!$I$9)))^2+Inputs!$C$6^2+((Inputs!$H$9+Inputs!$L$9*(((Inputs!$I$9+(((A94)+1)/2)*(Inputs!$J$9-Inputs!$I$9)))/Inputs!$K$9)^2))^2)))))/Inputs!$C$13),NA())</x:f>
        <x:v>1812.8659973985293</x:v>
      </x:c>
      <x:c r="R94" s="49"/>
      <x:c r="S94" s="48" t="n">
        <x:f>A94</x:f>
        <x:v>-0.233</x:v>
      </x:c>
      <x:c r="T94" s="48" t="n">
        <x:f>(Inputs!$I$6+(((A94)+1)/2)*(Inputs!$J$6-Inputs!$I$6))</x:f>
        <x:v>-13.979999999999997</x:v>
      </x:c>
      <x:c r="U94" s="48" t="n">
        <x:f>(Inputs!$I$7+(((A94)+1)/2)*(Inputs!$J$7-Inputs!$I$7))</x:f>
        <x:v>-93.19999999999999</x:v>
      </x:c>
      <x:c r="V94" s="48" t="n">
        <x:f>(Inputs!$I$8+(((A94)+1)/2)*(Inputs!$J$8-Inputs!$I$8))</x:f>
        <x:v>-186.39999999999998</x:v>
      </x:c>
      <x:c r="W94" s="48" t="n">
        <x:f>(Inputs!$I$9+(((A94)+1)/2)*(Inputs!$J$9-Inputs!$I$9))</x:f>
        <x:v>-186.39999999999998</x:v>
      </x:c>
      <x:c r="X94" s="49"/>
      <x:c r="Y94" s="48" t="n">
        <x:f>A94</x:f>
        <x:v>-0.233</x:v>
      </x:c>
      <x:c r="Z94" s="48" t="n">
        <x:f>(Inputs!$H$6+Inputs!$L$6*(((Inputs!$I$6+(((A94)+1)/2)*(Inputs!$J$6-Inputs!$I$6)))/Inputs!$K$6)^2)</x:f>
        <x:v>400.217156</x:v>
      </x:c>
      <x:c r="AA94" s="48" t="n">
        <x:f>(Inputs!$H$7+Inputs!$L$7*(((Inputs!$I$7+(((A94)+1)/2)*(Inputs!$J$7-Inputs!$I$7)))/Inputs!$K$7)^2)</x:f>
        <x:v>54.815484999999995</x:v>
      </x:c>
      <x:c r="AB94" s="48" t="n">
        <x:f>(Inputs!$H$8+Inputs!$L$8*(((Inputs!$I$8+(((A94)+1)/2)*(Inputs!$J$8-Inputs!$I$8)))/Inputs!$K$8)^2)</x:f>
        <x:v>87.38888499999999</x:v>
      </x:c>
      <x:c r="AC94" s="48" t="n">
        <x:f>(Inputs!$H$9+Inputs!$L$9*(((Inputs!$I$9+(((A94)+1)/2)*(Inputs!$J$9-Inputs!$I$9)))/Inputs!$K$9)^2)</x:f>
        <x:v>77.93177499999999</x:v>
      </x:c>
      <x:c r="AD94" s="49"/>
      <x:c r="AE94" s="48" t="n">
        <x:f>A94</x:f>
        <x:v>-0.233</x:v>
      </x:c>
      <x:c r="AF94" s="48" t="n">
        <x:f>(((SQRT(((Inputs!$I$6+(((A94)+1)/2)*(Inputs!$J$6-Inputs!$I$6)))^2+Inputs!$C$6^2+((Inputs!$H$6+Inputs!$L$6*(((Inputs!$I$6+(((A94)+1)/2)*(Inputs!$J$6-Inputs!$I$6)))/Inputs!$K$6)^2))^2))-((Inputs!$H$6+Inputs!$L$6*(((Inputs!$I$6+(((A94)+1)/2)*(Inputs!$J$6-Inputs!$I$6)))/Inputs!$K$6)^2)))*1000/Inputs!$C$12)</x:f>
        <x:v>575.1038418132177</x:v>
      </x:c>
      <x:c r="AG94" s="48" t="n">
        <x:f>(((SQRT(((Inputs!$I$7+(((A94)+1)/2)*(Inputs!$J$7-Inputs!$I$7)))^2+Inputs!$C$6^2+((Inputs!$H$7+Inputs!$L$7*(((Inputs!$I$7+(((A94)+1)/2)*(Inputs!$J$7-Inputs!$I$7)))/Inputs!$K$7)^2))^2))-((Inputs!$H$7+Inputs!$L$7*(((Inputs!$I$7+(((A94)+1)/2)*(Inputs!$J$7-Inputs!$I$7)))/Inputs!$K$7)^2)))*1000/Inputs!$C$12)</x:f>
        <x:v>31551.622668842894</x:v>
      </x:c>
      <x:c r="AH94" s="48" t="n">
        <x:f>(((SQRT(((Inputs!$I$8+(((A94)+1)/2)*(Inputs!$J$8-Inputs!$I$8)))^2+Inputs!$C$6^2+((Inputs!$H$8+Inputs!$L$8*(((Inputs!$I$8+(((A94)+1)/2)*(Inputs!$J$8-Inputs!$I$8)))/Inputs!$K$8)^2))^2))-((Inputs!$H$8+Inputs!$L$8*(((Inputs!$I$8+(((A94)+1)/2)*(Inputs!$J$8-Inputs!$I$8)))/Inputs!$K$8)^2)))*1000/Inputs!$C$12)</x:f>
        <x:v>67411.16248407683</x:v>
      </x:c>
      <x:c r="AI94" s="48" t="n">
        <x:f>(((SQRT(((Inputs!$I$9+(((A94)+1)/2)*(Inputs!$J$9-Inputs!$I$9)))^2+Inputs!$C$6^2+((Inputs!$H$9+Inputs!$L$9*(((Inputs!$I$9+(((A94)+1)/2)*(Inputs!$J$9-Inputs!$I$9)))/Inputs!$K$9)^2))^2))-((Inputs!$H$9+Inputs!$L$9*(((Inputs!$I$9+(((A94)+1)/2)*(Inputs!$J$9-Inputs!$I$9)))/Inputs!$K$9)^2)))*1000/Inputs!$C$12)</x:f>
        <x:v>70586.82784915634</x:v>
      </x:c>
      <x:c r="AJ94" s="49"/>
      <x:c r="AK94" s="48" t="n">
        <x:f>A94</x:f>
        <x:v>-0.233</x:v>
      </x:c>
      <x:c r="AL94" s="48" t="n">
        <x:f>(-2*((1000*((((Inputs!$I$6+(((A94)+1)/2)*(Inputs!$J$6-Inputs!$I$6)))*Inputs!$C$11+((Inputs!$H$6+Inputs!$L$6*(((Inputs!$I$6+(((A94)+1)/2)*(Inputs!$J$6-Inputs!$I$6)))/Inputs!$K$6)^2))*((2*Inputs!$L$6*((Inputs!$I$6+(((A94)+1)/2)*(Inputs!$J$6-Inputs!$I$6)))/(Inputs!$K$6^2)*Inputs!$C$11)))/(SQRT(((Inputs!$I$6+(((A94)+1)/2)*(Inputs!$J$6-Inputs!$I$6)))^2+Inputs!$C$6^2+((Inputs!$H$6+Inputs!$L$6*(((Inputs!$I$6+(((A94)+1)/2)*(Inputs!$J$6-Inputs!$I$6)))/Inputs!$K$6)^2))^2)))))/Inputs!$C$13)</x:f>
        <x:v>105.32691706872197</x:v>
      </x:c>
      <x:c r="AM94" s="48" t="n">
        <x:f>(-2*((1000*((((Inputs!$I$7+(((A94)+1)/2)*(Inputs!$J$7-Inputs!$I$7)))*Inputs!$C$11+((Inputs!$H$7+Inputs!$L$7*(((Inputs!$I$7+(((A94)+1)/2)*(Inputs!$J$7-Inputs!$I$7)))/Inputs!$K$7)^2))*((2*Inputs!$L$7*((Inputs!$I$7+(((A94)+1)/2)*(Inputs!$J$7-Inputs!$I$7)))/(Inputs!$K$7^2)*Inputs!$C$11)))/(SQRT(((Inputs!$I$7+(((A94)+1)/2)*(Inputs!$J$7-Inputs!$I$7)))^2+Inputs!$C$6^2+((Inputs!$H$7+Inputs!$L$7*(((Inputs!$I$7+(((A94)+1)/2)*(Inputs!$J$7-Inputs!$I$7)))/Inputs!$K$7)^2))^2)))))/Inputs!$C$13)</x:f>
        <x:v>1679.7501846234886</x:v>
      </x:c>
      <x:c r="AN94" s="48" t="n">
        <x:f>(-2*((1000*((((Inputs!$I$8+(((A94)+1)/2)*(Inputs!$J$8-Inputs!$I$8)))*Inputs!$C$11+((Inputs!$H$8+Inputs!$L$8*(((Inputs!$I$8+(((A94)+1)/2)*(Inputs!$J$8-Inputs!$I$8)))/Inputs!$K$8)^2))*((2*Inputs!$L$8*((Inputs!$I$8+(((A94)+1)/2)*(Inputs!$J$8-Inputs!$I$8)))/(Inputs!$K$8^2)*Inputs!$C$11)))/(SQRT(((Inputs!$I$8+(((A94)+1)/2)*(Inputs!$J$8-Inputs!$I$8)))^2+Inputs!$C$6^2+((Inputs!$H$8+Inputs!$L$8*(((Inputs!$I$8+(((A94)+1)/2)*(Inputs!$J$8-Inputs!$I$8)))/Inputs!$K$8)^2))^2)))))/Inputs!$C$13)</x:f>
        <x:v>1817.120478733156</x:v>
      </x:c>
      <x:c r="AO94" s="48" t="n">
        <x:f>(-2*((1000*((((Inputs!$I$9+(((A94)+1)/2)*(Inputs!$J$9-Inputs!$I$9)))*Inputs!$C$11+((Inputs!$H$9+Inputs!$L$9*(((Inputs!$I$9+(((A94)+1)/2)*(Inputs!$J$9-Inputs!$I$9)))/Inputs!$K$9)^2))*((2*Inputs!$L$9*((Inputs!$I$9+(((A94)+1)/2)*(Inputs!$J$9-Inputs!$I$9)))/(Inputs!$K$9^2)*Inputs!$C$11)))/(SQRT(((Inputs!$I$9+(((A94)+1)/2)*(Inputs!$J$9-Inputs!$I$9)))^2+Inputs!$C$6^2+((Inputs!$H$9+Inputs!$L$9*(((Inputs!$I$9+(((A94)+1)/2)*(Inputs!$J$9-Inputs!$I$9)))/Inputs!$K$9)^2))^2)))))/Inputs!$C$13)</x:f>
        <x:v>1812.8659973985293</x:v>
      </x:c>
    </x:row>
    <x:row r="95">
      <x:c r="A95" s="48" t="n">
        <x:f>ROUND(-1+93*2/240,3)</x:f>
        <x:v>-0.225</x:v>
      </x:c>
      <x:c r="B95" s="48" t="n">
        <x:f>IF(OR(Inputs!$F$6=TRUE,Inputs!$F$6="TRUE",Inputs!$F$6=1),(Inputs!$H$6+Inputs!$L$6*(((Inputs!$I$6+(((A95)+1)/2)*(Inputs!$J$6-Inputs!$I$6)))/Inputs!$K$6)^2),NA())</x:f>
        <x:v>400.2025</x:v>
      </x:c>
      <x:c r="C95" s="48" t="n">
        <x:f>IF(OR(Inputs!$F$7=TRUE,Inputs!$F$7="TRUE",Inputs!$F$7=1),(Inputs!$H$7+Inputs!$L$7*(((Inputs!$I$7+(((A95)+1)/2)*(Inputs!$J$7-Inputs!$I$7)))/Inputs!$K$7)^2),NA())</x:f>
        <x:v>53.478125000000006</x:v>
      </x:c>
      <x:c r="D95" s="48" t="n">
        <x:f>IF(OR(Inputs!$F$8=TRUE,Inputs!$F$8="TRUE",Inputs!$F$8=1),(Inputs!$H$8+Inputs!$L$8*(((Inputs!$I$8+(((A95)+1)/2)*(Inputs!$J$8-Inputs!$I$8)))/Inputs!$K$8)^2),NA())</x:f>
        <x:v>83.853125</x:v>
      </x:c>
      <x:c r="E95" s="48" t="n">
        <x:f>IF(OR(Inputs!$F$9=TRUE,Inputs!$F$9="TRUE",Inputs!$F$9=1),(Inputs!$H$9+Inputs!$L$9*(((Inputs!$I$9+(((A95)+1)/2)*(Inputs!$J$9-Inputs!$I$9)))/Inputs!$K$9)^2),NA())</x:f>
        <x:v>74.359375</x:v>
      </x:c>
      <x:c r="F95" s="49"/>
      <x:c r="G95" s="48" t="n">
        <x:f>A95</x:f>
        <x:v>-0.225</x:v>
      </x:c>
      <x:c r="H95" s="48" t="n">
        <x:f>IF(OR(Inputs!$F$6=TRUE,Inputs!$F$6="TRUE",Inputs!$F$6=1),(((SQRT(((Inputs!$I$6+(((A95)+1)/2)*(Inputs!$J$6-Inputs!$I$6)))^2+Inputs!$C$6^2+((Inputs!$H$6+Inputs!$L$6*(((Inputs!$I$6+(((A95)+1)/2)*(Inputs!$J$6-Inputs!$I$6)))/Inputs!$K$6)^2))^2))-((Inputs!$H$6+Inputs!$L$6*(((Inputs!$I$6+(((A95)+1)/2)*(Inputs!$J$6-Inputs!$I$6)))/Inputs!$K$6)^2)))*1000/Inputs!$C$12),NA())</x:f>
        <x:v>565.8900479164877</x:v>
      </x:c>
      <x:c r="I95" s="48" t="n">
        <x:f>IF(OR(Inputs!$F$7=TRUE,Inputs!$F$7="TRUE",Inputs!$F$7=1),(((SQRT(((Inputs!$I$7+(((A95)+1)/2)*(Inputs!$J$7-Inputs!$I$7)))^2+Inputs!$C$6^2+((Inputs!$H$7+Inputs!$L$7*(((Inputs!$I$7+(((A95)+1)/2)*(Inputs!$J$7-Inputs!$I$7)))/Inputs!$K$7)^2))^2))-((Inputs!$H$7+Inputs!$L$7*(((Inputs!$I$7+(((A95)+1)/2)*(Inputs!$J$7-Inputs!$I$7)))/Inputs!$K$7)^2)))*1000/Inputs!$C$12),NA())</x:f>
        <x:v>30424.21016772252</x:v>
      </x:c>
      <x:c r="J95" s="48" t="n">
        <x:f>IF(OR(Inputs!$F$8=TRUE,Inputs!$F$8="TRUE",Inputs!$F$8=1),(((SQRT(((Inputs!$I$8+(((A95)+1)/2)*(Inputs!$J$8-Inputs!$I$8)))^2+Inputs!$C$6^2+((Inputs!$H$8+Inputs!$L$8*(((Inputs!$I$8+(((A95)+1)/2)*(Inputs!$J$8-Inputs!$I$8)))/Inputs!$K$8)^2))^2))-((Inputs!$H$8+Inputs!$L$8*(((Inputs!$I$8+(((A95)+1)/2)*(Inputs!$J$8-Inputs!$I$8)))/Inputs!$K$8)^2)))*1000/Inputs!$C$12),NA())</x:f>
        <x:v>65330.16396471678</x:v>
      </x:c>
      <x:c r="K95" s="48" t="n">
        <x:f>IF(OR(Inputs!$F$9=TRUE,Inputs!$F$9="TRUE",Inputs!$F$9=1),(((SQRT(((Inputs!$I$9+(((A95)+1)/2)*(Inputs!$J$9-Inputs!$I$9)))^2+Inputs!$C$6^2+((Inputs!$H$9+Inputs!$L$9*(((Inputs!$I$9+(((A95)+1)/2)*(Inputs!$J$9-Inputs!$I$9)))/Inputs!$K$9)^2))^2))-((Inputs!$H$9+Inputs!$L$9*(((Inputs!$I$9+(((A95)+1)/2)*(Inputs!$J$9-Inputs!$I$9)))/Inputs!$K$9)^2)))*1000/Inputs!$C$12),NA())</x:f>
        <x:v>68535.48121401221</x:v>
      </x:c>
      <x:c r="L95" s="49"/>
      <x:c r="M95" s="48" t="n">
        <x:f>A95</x:f>
        <x:v>-0.225</x:v>
      </x:c>
      <x:c r="N95" s="48" t="n">
        <x:f>IF(OR(Inputs!$F$6=TRUE,Inputs!$F$6="TRUE",Inputs!$F$6=1),(-2*((1000*((((Inputs!$I$6+(((A95)+1)/2)*(Inputs!$J$6-Inputs!$I$6)))*Inputs!$C$11+((Inputs!$H$6+Inputs!$L$6*(((Inputs!$I$6+(((A95)+1)/2)*(Inputs!$J$6-Inputs!$I$6)))/Inputs!$K$6)^2))*((2*Inputs!$L$6*((Inputs!$I$6+(((A95)+1)/2)*(Inputs!$J$6-Inputs!$I$6)))/(Inputs!$K$6^2)*Inputs!$C$11)))/(SQRT(((Inputs!$I$6+(((A95)+1)/2)*(Inputs!$J$6-Inputs!$I$6)))^2+Inputs!$C$6^2+((Inputs!$H$6+Inputs!$L$6*(((Inputs!$I$6+(((A95)+1)/2)*(Inputs!$J$6-Inputs!$I$6)))/Inputs!$K$6)^2))^2)))))/Inputs!$C$13),NA())</x:f>
        <x:v>101.71666195204531</x:v>
      </x:c>
      <x:c r="O95" s="48" t="n">
        <x:f>IF(OR(Inputs!$F$7=TRUE,Inputs!$F$7="TRUE",Inputs!$F$7=1),(-2*((1000*((((Inputs!$I$7+(((A95)+1)/2)*(Inputs!$J$7-Inputs!$I$7)))*Inputs!$C$11+((Inputs!$H$7+Inputs!$L$7*(((Inputs!$I$7+(((A95)+1)/2)*(Inputs!$J$7-Inputs!$I$7)))/Inputs!$K$7)^2))*((2*Inputs!$L$7*((Inputs!$I$7+(((A95)+1)/2)*(Inputs!$J$7-Inputs!$I$7)))/(Inputs!$K$7^2)*Inputs!$C$11)))/(SQRT(((Inputs!$I$7+(((A95)+1)/2)*(Inputs!$J$7-Inputs!$I$7)))^2+Inputs!$C$6^2+((Inputs!$H$7+Inputs!$L$7*(((Inputs!$I$7+(((A95)+1)/2)*(Inputs!$J$7-Inputs!$I$7)))/Inputs!$K$7)^2))^2)))))/Inputs!$C$13),NA())</x:f>
        <x:v>1664.3107920147654</x:v>
      </x:c>
      <x:c r="P95" s="48" t="n">
        <x:f>IF(OR(Inputs!$F$8=TRUE,Inputs!$F$8="TRUE",Inputs!$F$8=1),(-2*((1000*((((Inputs!$I$8+(((A95)+1)/2)*(Inputs!$J$8-Inputs!$I$8)))*Inputs!$C$11+((Inputs!$H$8+Inputs!$L$8*(((Inputs!$I$8+(((A95)+1)/2)*(Inputs!$J$8-Inputs!$I$8)))/Inputs!$K$8)^2))*((2*Inputs!$L$8*((Inputs!$I$8+(((A95)+1)/2)*(Inputs!$J$8-Inputs!$I$8)))/(Inputs!$K$8^2)*Inputs!$C$11)))/(SQRT(((Inputs!$I$8+(((A95)+1)/2)*(Inputs!$J$8-Inputs!$I$8)))^2+Inputs!$C$6^2+((Inputs!$H$8+Inputs!$L$8*(((Inputs!$I$8+(((A95)+1)/2)*(Inputs!$J$8-Inputs!$I$8)))/Inputs!$K$8)^2))^2)))))/Inputs!$C$13),NA())</x:f>
        <x:v>1802.8628279255813</x:v>
      </x:c>
      <x:c r="Q95" s="48" t="n">
        <x:f>IF(OR(Inputs!$F$9=TRUE,Inputs!$F$9="TRUE",Inputs!$F$9=1),(-2*((1000*((((Inputs!$I$9+(((A95)+1)/2)*(Inputs!$J$9-Inputs!$I$9)))*Inputs!$C$11+((Inputs!$H$9+Inputs!$L$9*(((Inputs!$I$9+(((A95)+1)/2)*(Inputs!$J$9-Inputs!$I$9)))/Inputs!$K$9)^2))*((2*Inputs!$L$9*((Inputs!$I$9+(((A95)+1)/2)*(Inputs!$J$9-Inputs!$I$9)))/(Inputs!$K$9^2)*Inputs!$C$11)))/(SQRT(((Inputs!$I$9+(((A95)+1)/2)*(Inputs!$J$9-Inputs!$I$9)))^2+Inputs!$C$6^2+((Inputs!$H$9+Inputs!$L$9*(((Inputs!$I$9+(((A95)+1)/2)*(Inputs!$J$9-Inputs!$I$9)))/Inputs!$K$9)^2))^2)))))/Inputs!$C$13),NA())</x:f>
        <x:v>1799.0618646689668</x:v>
      </x:c>
      <x:c r="R95" s="49"/>
      <x:c r="S95" s="48" t="n">
        <x:f>A95</x:f>
        <x:v>-0.225</x:v>
      </x:c>
      <x:c r="T95" s="48" t="n">
        <x:f>(Inputs!$I$6+(((A95)+1)/2)*(Inputs!$J$6-Inputs!$I$6))</x:f>
        <x:v>-13.5</x:v>
      </x:c>
      <x:c r="U95" s="48" t="n">
        <x:f>(Inputs!$I$7+(((A95)+1)/2)*(Inputs!$J$7-Inputs!$I$7))</x:f>
        <x:v>-90</x:v>
      </x:c>
      <x:c r="V95" s="48" t="n">
        <x:f>(Inputs!$I$8+(((A95)+1)/2)*(Inputs!$J$8-Inputs!$I$8))</x:f>
        <x:v>-180</x:v>
      </x:c>
      <x:c r="W95" s="48" t="n">
        <x:f>(Inputs!$I$9+(((A95)+1)/2)*(Inputs!$J$9-Inputs!$I$9))</x:f>
        <x:v>-180</x:v>
      </x:c>
      <x:c r="X95" s="49"/>
      <x:c r="Y95" s="48" t="n">
        <x:f>A95</x:f>
        <x:v>-0.225</x:v>
      </x:c>
      <x:c r="Z95" s="48" t="n">
        <x:f>(Inputs!$H$6+Inputs!$L$6*(((Inputs!$I$6+(((A95)+1)/2)*(Inputs!$J$6-Inputs!$I$6)))/Inputs!$K$6)^2)</x:f>
        <x:v>400.2025</x:v>
      </x:c>
      <x:c r="AA95" s="48" t="n">
        <x:f>(Inputs!$H$7+Inputs!$L$7*(((Inputs!$I$7+(((A95)+1)/2)*(Inputs!$J$7-Inputs!$I$7)))/Inputs!$K$7)^2)</x:f>
        <x:v>53.478125000000006</x:v>
      </x:c>
      <x:c r="AB95" s="48" t="n">
        <x:f>(Inputs!$H$8+Inputs!$L$8*(((Inputs!$I$8+(((A95)+1)/2)*(Inputs!$J$8-Inputs!$I$8)))/Inputs!$K$8)^2)</x:f>
        <x:v>83.853125</x:v>
      </x:c>
      <x:c r="AC95" s="48" t="n">
        <x:f>(Inputs!$H$9+Inputs!$L$9*(((Inputs!$I$9+(((A95)+1)/2)*(Inputs!$J$9-Inputs!$I$9)))/Inputs!$K$9)^2)</x:f>
        <x:v>74.359375</x:v>
      </x:c>
      <x:c r="AD95" s="49"/>
      <x:c r="AE95" s="48" t="n">
        <x:f>A95</x:f>
        <x:v>-0.225</x:v>
      </x:c>
      <x:c r="AF95" s="48" t="n">
        <x:f>(((SQRT(((Inputs!$I$6+(((A95)+1)/2)*(Inputs!$J$6-Inputs!$I$6)))^2+Inputs!$C$6^2+((Inputs!$H$6+Inputs!$L$6*(((Inputs!$I$6+(((A95)+1)/2)*(Inputs!$J$6-Inputs!$I$6)))/Inputs!$K$6)^2))^2))-((Inputs!$H$6+Inputs!$L$6*(((Inputs!$I$6+(((A95)+1)/2)*(Inputs!$J$6-Inputs!$I$6)))/Inputs!$K$6)^2)))*1000/Inputs!$C$12)</x:f>
        <x:v>565.8900479164877</x:v>
      </x:c>
      <x:c r="AG95" s="48" t="n">
        <x:f>(((SQRT(((Inputs!$I$7+(((A95)+1)/2)*(Inputs!$J$7-Inputs!$I$7)))^2+Inputs!$C$6^2+((Inputs!$H$7+Inputs!$L$7*(((Inputs!$I$7+(((A95)+1)/2)*(Inputs!$J$7-Inputs!$I$7)))/Inputs!$K$7)^2))^2))-((Inputs!$H$7+Inputs!$L$7*(((Inputs!$I$7+(((A95)+1)/2)*(Inputs!$J$7-Inputs!$I$7)))/Inputs!$K$7)^2)))*1000/Inputs!$C$12)</x:f>
        <x:v>30424.21016772252</x:v>
      </x:c>
      <x:c r="AH95" s="48" t="n">
        <x:f>(((SQRT(((Inputs!$I$8+(((A95)+1)/2)*(Inputs!$J$8-Inputs!$I$8)))^2+Inputs!$C$6^2+((Inputs!$H$8+Inputs!$L$8*(((Inputs!$I$8+(((A95)+1)/2)*(Inputs!$J$8-Inputs!$I$8)))/Inputs!$K$8)^2))^2))-((Inputs!$H$8+Inputs!$L$8*(((Inputs!$I$8+(((A95)+1)/2)*(Inputs!$J$8-Inputs!$I$8)))/Inputs!$K$8)^2)))*1000/Inputs!$C$12)</x:f>
        <x:v>65330.16396471678</x:v>
      </x:c>
      <x:c r="AI95" s="48" t="n">
        <x:f>(((SQRT(((Inputs!$I$9+(((A95)+1)/2)*(Inputs!$J$9-Inputs!$I$9)))^2+Inputs!$C$6^2+((Inputs!$H$9+Inputs!$L$9*(((Inputs!$I$9+(((A95)+1)/2)*(Inputs!$J$9-Inputs!$I$9)))/Inputs!$K$9)^2))^2))-((Inputs!$H$9+Inputs!$L$9*(((Inputs!$I$9+(((A95)+1)/2)*(Inputs!$J$9-Inputs!$I$9)))/Inputs!$K$9)^2)))*1000/Inputs!$C$12)</x:f>
        <x:v>68535.48121401221</x:v>
      </x:c>
      <x:c r="AJ95" s="49"/>
      <x:c r="AK95" s="48" t="n">
        <x:f>A95</x:f>
        <x:v>-0.225</x:v>
      </x:c>
      <x:c r="AL95" s="48" t="n">
        <x:f>(-2*((1000*((((Inputs!$I$6+(((A95)+1)/2)*(Inputs!$J$6-Inputs!$I$6)))*Inputs!$C$11+((Inputs!$H$6+Inputs!$L$6*(((Inputs!$I$6+(((A95)+1)/2)*(Inputs!$J$6-Inputs!$I$6)))/Inputs!$K$6)^2))*((2*Inputs!$L$6*((Inputs!$I$6+(((A95)+1)/2)*(Inputs!$J$6-Inputs!$I$6)))/(Inputs!$K$6^2)*Inputs!$C$11)))/(SQRT(((Inputs!$I$6+(((A95)+1)/2)*(Inputs!$J$6-Inputs!$I$6)))^2+Inputs!$C$6^2+((Inputs!$H$6+Inputs!$L$6*(((Inputs!$I$6+(((A95)+1)/2)*(Inputs!$J$6-Inputs!$I$6)))/Inputs!$K$6)^2))^2)))))/Inputs!$C$13)</x:f>
        <x:v>101.71666195204531</x:v>
      </x:c>
      <x:c r="AM95" s="48" t="n">
        <x:f>(-2*((1000*((((Inputs!$I$7+(((A95)+1)/2)*(Inputs!$J$7-Inputs!$I$7)))*Inputs!$C$11+((Inputs!$H$7+Inputs!$L$7*(((Inputs!$I$7+(((A95)+1)/2)*(Inputs!$J$7-Inputs!$I$7)))/Inputs!$K$7)^2))*((2*Inputs!$L$7*((Inputs!$I$7+(((A95)+1)/2)*(Inputs!$J$7-Inputs!$I$7)))/(Inputs!$K$7^2)*Inputs!$C$11)))/(SQRT(((Inputs!$I$7+(((A95)+1)/2)*(Inputs!$J$7-Inputs!$I$7)))^2+Inputs!$C$6^2+((Inputs!$H$7+Inputs!$L$7*(((Inputs!$I$7+(((A95)+1)/2)*(Inputs!$J$7-Inputs!$I$7)))/Inputs!$K$7)^2))^2)))))/Inputs!$C$13)</x:f>
        <x:v>1664.3107920147654</x:v>
      </x:c>
      <x:c r="AN95" s="48" t="n">
        <x:f>(-2*((1000*((((Inputs!$I$8+(((A95)+1)/2)*(Inputs!$J$8-Inputs!$I$8)))*Inputs!$C$11+((Inputs!$H$8+Inputs!$L$8*(((Inputs!$I$8+(((A95)+1)/2)*(Inputs!$J$8-Inputs!$I$8)))/Inputs!$K$8)^2))*((2*Inputs!$L$8*((Inputs!$I$8+(((A95)+1)/2)*(Inputs!$J$8-Inputs!$I$8)))/(Inputs!$K$8^2)*Inputs!$C$11)))/(SQRT(((Inputs!$I$8+(((A95)+1)/2)*(Inputs!$J$8-Inputs!$I$8)))^2+Inputs!$C$6^2+((Inputs!$H$8+Inputs!$L$8*(((Inputs!$I$8+(((A95)+1)/2)*(Inputs!$J$8-Inputs!$I$8)))/Inputs!$K$8)^2))^2)))))/Inputs!$C$13)</x:f>
        <x:v>1802.8628279255813</x:v>
      </x:c>
      <x:c r="AO95" s="48" t="n">
        <x:f>(-2*((1000*((((Inputs!$I$9+(((A95)+1)/2)*(Inputs!$J$9-Inputs!$I$9)))*Inputs!$C$11+((Inputs!$H$9+Inputs!$L$9*(((Inputs!$I$9+(((A95)+1)/2)*(Inputs!$J$9-Inputs!$I$9)))/Inputs!$K$9)^2))*((2*Inputs!$L$9*((Inputs!$I$9+(((A95)+1)/2)*(Inputs!$J$9-Inputs!$I$9)))/(Inputs!$K$9^2)*Inputs!$C$11)))/(SQRT(((Inputs!$I$9+(((A95)+1)/2)*(Inputs!$J$9-Inputs!$I$9)))^2+Inputs!$C$6^2+((Inputs!$H$9+Inputs!$L$9*(((Inputs!$I$9+(((A95)+1)/2)*(Inputs!$J$9-Inputs!$I$9)))/Inputs!$K$9)^2))^2)))))/Inputs!$C$13)</x:f>
        <x:v>1799.0618646689668</x:v>
      </x:c>
    </x:row>
    <x:row r="96">
      <x:c r="A96" s="48" t="n">
        <x:f>ROUND(-1+94*2/240,3)</x:f>
        <x:v>-0.217</x:v>
      </x:c>
      <x:c r="B96" s="48" t="n">
        <x:f>IF(OR(Inputs!$F$6=TRUE,Inputs!$F$6="TRUE",Inputs!$F$6=1),(Inputs!$H$6+Inputs!$L$6*(((Inputs!$I$6+(((A96)+1)/2)*(Inputs!$J$6-Inputs!$I$6)))/Inputs!$K$6)^2),NA())</x:f>
        <x:v>400.188356</x:v>
      </x:c>
      <x:c r="C96" s="48" t="n">
        <x:f>IF(OR(Inputs!$F$7=TRUE,Inputs!$F$7="TRUE",Inputs!$F$7=1),(Inputs!$H$7+Inputs!$L$7*(((Inputs!$I$7+(((A96)+1)/2)*(Inputs!$J$7-Inputs!$I$7)))/Inputs!$K$7)^2),NA())</x:f>
        <x:v>52.18748500000001</x:v>
      </x:c>
      <x:c r="D96" s="48" t="n">
        <x:f>IF(OR(Inputs!$F$8=TRUE,Inputs!$F$8="TRUE",Inputs!$F$8=1),(Inputs!$H$8+Inputs!$L$8*(((Inputs!$I$8+(((A96)+1)/2)*(Inputs!$J$8-Inputs!$I$8)))/Inputs!$K$8)^2),NA())</x:f>
        <x:v>80.44088500000001</x:v>
      </x:c>
      <x:c r="E96" s="48" t="n">
        <x:f>IF(OR(Inputs!$F$9=TRUE,Inputs!$F$9="TRUE",Inputs!$F$9=1),(Inputs!$H$9+Inputs!$L$9*(((Inputs!$I$9+(((A96)+1)/2)*(Inputs!$J$9-Inputs!$I$9)))/Inputs!$K$9)^2),NA())</x:f>
        <x:v>70.911775</x:v>
      </x:c>
      <x:c r="F96" s="49"/>
      <x:c r="G96" s="48" t="n">
        <x:f>A96</x:f>
        <x:v>-0.217</x:v>
      </x:c>
      <x:c r="H96" s="48" t="n">
        <x:f>IF(OR(Inputs!$F$6=TRUE,Inputs!$F$6="TRUE",Inputs!$F$6=1),(((SQRT(((Inputs!$I$6+(((A96)+1)/2)*(Inputs!$J$6-Inputs!$I$6)))^2+Inputs!$C$6^2+((Inputs!$H$6+Inputs!$L$6*(((Inputs!$I$6+(((A96)+1)/2)*(Inputs!$J$6-Inputs!$I$6)))/Inputs!$K$6)^2))^2))-((Inputs!$H$6+Inputs!$L$6*(((Inputs!$I$6+(((A96)+1)/2)*(Inputs!$J$6-Inputs!$I$6)))/Inputs!$K$6)^2)))*1000/Inputs!$C$12),NA())</x:f>
        <x:v>556.9971377883129</x:v>
      </x:c>
      <x:c r="I96" s="48" t="n">
        <x:f>IF(OR(Inputs!$F$7=TRUE,Inputs!$F$7="TRUE",Inputs!$F$7=1),(((SQRT(((Inputs!$I$7+(((A96)+1)/2)*(Inputs!$J$7-Inputs!$I$7)))^2+Inputs!$C$6^2+((Inputs!$H$7+Inputs!$L$7*(((Inputs!$I$7+(((A96)+1)/2)*(Inputs!$J$7-Inputs!$I$7)))/Inputs!$K$7)^2))^2))-((Inputs!$H$7+Inputs!$L$7*(((Inputs!$I$7+(((A96)+1)/2)*(Inputs!$J$7-Inputs!$I$7)))/Inputs!$K$7)^2)))*1000/Inputs!$C$12),NA())</x:f>
        <x:v>29288.22917368881</x:v>
      </x:c>
      <x:c r="J96" s="48" t="n">
        <x:f>IF(OR(Inputs!$F$8=TRUE,Inputs!$F$8="TRUE",Inputs!$F$8=1),(((SQRT(((Inputs!$I$8+(((A96)+1)/2)*(Inputs!$J$8-Inputs!$I$8)))^2+Inputs!$C$6^2+((Inputs!$H$8+Inputs!$L$8*(((Inputs!$I$8+(((A96)+1)/2)*(Inputs!$J$8-Inputs!$I$8)))/Inputs!$K$8)^2))^2))-((Inputs!$H$8+Inputs!$L$8*(((Inputs!$I$8+(((A96)+1)/2)*(Inputs!$J$8-Inputs!$I$8)))/Inputs!$K$8)^2)))*1000/Inputs!$C$12),NA())</x:f>
        <x:v>63211.725832669654</x:v>
      </x:c>
      <x:c r="K96" s="48" t="n">
        <x:f>IF(OR(Inputs!$F$9=TRUE,Inputs!$F$9="TRUE",Inputs!$F$9=1),(((SQRT(((Inputs!$I$9+(((A96)+1)/2)*(Inputs!$J$9-Inputs!$I$9)))^2+Inputs!$C$6^2+((Inputs!$H$9+Inputs!$L$9*(((Inputs!$I$9+(((A96)+1)/2)*(Inputs!$J$9-Inputs!$I$9)))/Inputs!$K$9)^2))^2))-((Inputs!$H$9+Inputs!$L$9*(((Inputs!$I$9+(((A96)+1)/2)*(Inputs!$J$9-Inputs!$I$9)))/Inputs!$K$9)^2)))*1000/Inputs!$C$12),NA())</x:f>
        <x:v>66444.85341169208</x:v>
      </x:c>
      <x:c r="L96" s="49"/>
      <x:c r="M96" s="48" t="n">
        <x:f>A96</x:f>
        <x:v>-0.217</x:v>
      </x:c>
      <x:c r="N96" s="48" t="n">
        <x:f>IF(OR(Inputs!$F$6=TRUE,Inputs!$F$6="TRUE",Inputs!$F$6=1),(-2*((1000*((((Inputs!$I$6+(((A96)+1)/2)*(Inputs!$J$6-Inputs!$I$6)))*Inputs!$C$11+((Inputs!$H$6+Inputs!$L$6*(((Inputs!$I$6+(((A96)+1)/2)*(Inputs!$J$6-Inputs!$I$6)))/Inputs!$K$6)^2))*((2*Inputs!$L$6*((Inputs!$I$6+(((A96)+1)/2)*(Inputs!$J$6-Inputs!$I$6)))/(Inputs!$K$6^2)*Inputs!$C$11)))/(SQRT(((Inputs!$I$6+(((A96)+1)/2)*(Inputs!$J$6-Inputs!$I$6)))^2+Inputs!$C$6^2+((Inputs!$H$6+Inputs!$L$6*(((Inputs!$I$6+(((A96)+1)/2)*(Inputs!$J$6-Inputs!$I$6)))/Inputs!$K$6)^2))^2)))))/Inputs!$C$13),NA())</x:f>
        <x:v>98.10576676731343</x:v>
      </x:c>
      <x:c r="O96" s="48" t="n">
        <x:f>IF(OR(Inputs!$F$7=TRUE,Inputs!$F$7="TRUE",Inputs!$F$7=1),(-2*((1000*((((Inputs!$I$7+(((A96)+1)/2)*(Inputs!$J$7-Inputs!$I$7)))*Inputs!$C$11+((Inputs!$H$7+Inputs!$L$7*(((Inputs!$I$7+(((A96)+1)/2)*(Inputs!$J$7-Inputs!$I$7)))/Inputs!$K$7)^2))*((2*Inputs!$L$7*((Inputs!$I$7+(((A96)+1)/2)*(Inputs!$J$7-Inputs!$I$7)))/(Inputs!$K$7^2)*Inputs!$C$11)))/(SQRT(((Inputs!$I$7+(((A96)+1)/2)*(Inputs!$J$7-Inputs!$I$7)))^2+Inputs!$C$6^2+((Inputs!$H$7+Inputs!$L$7*(((Inputs!$I$7+(((A96)+1)/2)*(Inputs!$J$7-Inputs!$I$7)))/Inputs!$K$7)^2))^2)))))/Inputs!$C$13),NA())</x:f>
        <x:v>1648.2668671962517</x:v>
      </x:c>
      <x:c r="P96" s="48" t="n">
        <x:f>IF(OR(Inputs!$F$8=TRUE,Inputs!$F$8="TRUE",Inputs!$F$8=1),(-2*((1000*((((Inputs!$I$8+(((A96)+1)/2)*(Inputs!$J$8-Inputs!$I$8)))*Inputs!$C$11+((Inputs!$H$8+Inputs!$L$8*(((Inputs!$I$8+(((A96)+1)/2)*(Inputs!$J$8-Inputs!$I$8)))/Inputs!$K$8)^2))*((2*Inputs!$L$8*((Inputs!$I$8+(((A96)+1)/2)*(Inputs!$J$8-Inputs!$I$8)))/(Inputs!$K$8^2)*Inputs!$C$11)))/(SQRT(((Inputs!$I$8+(((A96)+1)/2)*(Inputs!$J$8-Inputs!$I$8)))^2+Inputs!$C$6^2+((Inputs!$H$8+Inputs!$L$8*(((Inputs!$I$8+(((A96)+1)/2)*(Inputs!$J$8-Inputs!$I$8)))/Inputs!$K$8)^2))^2)))))/Inputs!$C$13),NA())</x:f>
        <x:v>1788.675923122512</x:v>
      </x:c>
      <x:c r="Q96" s="48" t="n">
        <x:f>IF(OR(Inputs!$F$9=TRUE,Inputs!$F$9="TRUE",Inputs!$F$9=1),(-2*((1000*((((Inputs!$I$9+(((A96)+1)/2)*(Inputs!$J$9-Inputs!$I$9)))*Inputs!$C$11+((Inputs!$H$9+Inputs!$L$9*(((Inputs!$I$9+(((A96)+1)/2)*(Inputs!$J$9-Inputs!$I$9)))/Inputs!$K$9)^2))*((2*Inputs!$L$9*((Inputs!$I$9+(((A96)+1)/2)*(Inputs!$J$9-Inputs!$I$9)))/(Inputs!$K$9^2)*Inputs!$C$11)))/(SQRT(((Inputs!$I$9+(((A96)+1)/2)*(Inputs!$J$9-Inputs!$I$9)))^2+Inputs!$C$6^2+((Inputs!$H$9+Inputs!$L$9*(((Inputs!$I$9+(((A96)+1)/2)*(Inputs!$J$9-Inputs!$I$9)))/Inputs!$K$9)^2))^2)))))/Inputs!$C$13),NA())</x:f>
        <x:v>1785.4222567737822</x:v>
      </x:c>
      <x:c r="R96" s="49"/>
      <x:c r="S96" s="48" t="n">
        <x:f>A96</x:f>
        <x:v>-0.217</x:v>
      </x:c>
      <x:c r="T96" s="48" t="n">
        <x:f>(Inputs!$I$6+(((A96)+1)/2)*(Inputs!$J$6-Inputs!$I$6))</x:f>
        <x:v>-13.019999999999996</x:v>
      </x:c>
      <x:c r="U96" s="48" t="n">
        <x:f>(Inputs!$I$7+(((A96)+1)/2)*(Inputs!$J$7-Inputs!$I$7))</x:f>
        <x:v>-86.80000000000001</x:v>
      </x:c>
      <x:c r="V96" s="48" t="n">
        <x:f>(Inputs!$I$8+(((A96)+1)/2)*(Inputs!$J$8-Inputs!$I$8))</x:f>
        <x:v>-173.60000000000002</x:v>
      </x:c>
      <x:c r="W96" s="48" t="n">
        <x:f>(Inputs!$I$9+(((A96)+1)/2)*(Inputs!$J$9-Inputs!$I$9))</x:f>
        <x:v>-173.60000000000002</x:v>
      </x:c>
      <x:c r="X96" s="49"/>
      <x:c r="Y96" s="48" t="n">
        <x:f>A96</x:f>
        <x:v>-0.217</x:v>
      </x:c>
      <x:c r="Z96" s="48" t="n">
        <x:f>(Inputs!$H$6+Inputs!$L$6*(((Inputs!$I$6+(((A96)+1)/2)*(Inputs!$J$6-Inputs!$I$6)))/Inputs!$K$6)^2)</x:f>
        <x:v>400.188356</x:v>
      </x:c>
      <x:c r="AA96" s="48" t="n">
        <x:f>(Inputs!$H$7+Inputs!$L$7*(((Inputs!$I$7+(((A96)+1)/2)*(Inputs!$J$7-Inputs!$I$7)))/Inputs!$K$7)^2)</x:f>
        <x:v>52.18748500000001</x:v>
      </x:c>
      <x:c r="AB96" s="48" t="n">
        <x:f>(Inputs!$H$8+Inputs!$L$8*(((Inputs!$I$8+(((A96)+1)/2)*(Inputs!$J$8-Inputs!$I$8)))/Inputs!$K$8)^2)</x:f>
        <x:v>80.44088500000001</x:v>
      </x:c>
      <x:c r="AC96" s="48" t="n">
        <x:f>(Inputs!$H$9+Inputs!$L$9*(((Inputs!$I$9+(((A96)+1)/2)*(Inputs!$J$9-Inputs!$I$9)))/Inputs!$K$9)^2)</x:f>
        <x:v>70.911775</x:v>
      </x:c>
      <x:c r="AD96" s="49"/>
      <x:c r="AE96" s="48" t="n">
        <x:f>A96</x:f>
        <x:v>-0.217</x:v>
      </x:c>
      <x:c r="AF96" s="48" t="n">
        <x:f>(((SQRT(((Inputs!$I$6+(((A96)+1)/2)*(Inputs!$J$6-Inputs!$I$6)))^2+Inputs!$C$6^2+((Inputs!$H$6+Inputs!$L$6*(((Inputs!$I$6+(((A96)+1)/2)*(Inputs!$J$6-Inputs!$I$6)))/Inputs!$K$6)^2))^2))-((Inputs!$H$6+Inputs!$L$6*(((Inputs!$I$6+(((A96)+1)/2)*(Inputs!$J$6-Inputs!$I$6)))/Inputs!$K$6)^2)))*1000/Inputs!$C$12)</x:f>
        <x:v>556.9971377883129</x:v>
      </x:c>
      <x:c r="AG96" s="48" t="n">
        <x:f>(((SQRT(((Inputs!$I$7+(((A96)+1)/2)*(Inputs!$J$7-Inputs!$I$7)))^2+Inputs!$C$6^2+((Inputs!$H$7+Inputs!$L$7*(((Inputs!$I$7+(((A96)+1)/2)*(Inputs!$J$7-Inputs!$I$7)))/Inputs!$K$7)^2))^2))-((Inputs!$H$7+Inputs!$L$7*(((Inputs!$I$7+(((A96)+1)/2)*(Inputs!$J$7-Inputs!$I$7)))/Inputs!$K$7)^2)))*1000/Inputs!$C$12)</x:f>
        <x:v>29288.22917368881</x:v>
      </x:c>
      <x:c r="AH96" s="48" t="n">
        <x:f>(((SQRT(((Inputs!$I$8+(((A96)+1)/2)*(Inputs!$J$8-Inputs!$I$8)))^2+Inputs!$C$6^2+((Inputs!$H$8+Inputs!$L$8*(((Inputs!$I$8+(((A96)+1)/2)*(Inputs!$J$8-Inputs!$I$8)))/Inputs!$K$8)^2))^2))-((Inputs!$H$8+Inputs!$L$8*(((Inputs!$I$8+(((A96)+1)/2)*(Inputs!$J$8-Inputs!$I$8)))/Inputs!$K$8)^2)))*1000/Inputs!$C$12)</x:f>
        <x:v>63211.725832669654</x:v>
      </x:c>
      <x:c r="AI96" s="48" t="n">
        <x:f>(((SQRT(((Inputs!$I$9+(((A96)+1)/2)*(Inputs!$J$9-Inputs!$I$9)))^2+Inputs!$C$6^2+((Inputs!$H$9+Inputs!$L$9*(((Inputs!$I$9+(((A96)+1)/2)*(Inputs!$J$9-Inputs!$I$9)))/Inputs!$K$9)^2))^2))-((Inputs!$H$9+Inputs!$L$9*(((Inputs!$I$9+(((A96)+1)/2)*(Inputs!$J$9-Inputs!$I$9)))/Inputs!$K$9)^2)))*1000/Inputs!$C$12)</x:f>
        <x:v>66444.85341169208</x:v>
      </x:c>
      <x:c r="AJ96" s="49"/>
      <x:c r="AK96" s="48" t="n">
        <x:f>A96</x:f>
        <x:v>-0.217</x:v>
      </x:c>
      <x:c r="AL96" s="48" t="n">
        <x:f>(-2*((1000*((((Inputs!$I$6+(((A96)+1)/2)*(Inputs!$J$6-Inputs!$I$6)))*Inputs!$C$11+((Inputs!$H$6+Inputs!$L$6*(((Inputs!$I$6+(((A96)+1)/2)*(Inputs!$J$6-Inputs!$I$6)))/Inputs!$K$6)^2))*((2*Inputs!$L$6*((Inputs!$I$6+(((A96)+1)/2)*(Inputs!$J$6-Inputs!$I$6)))/(Inputs!$K$6^2)*Inputs!$C$11)))/(SQRT(((Inputs!$I$6+(((A96)+1)/2)*(Inputs!$J$6-Inputs!$I$6)))^2+Inputs!$C$6^2+((Inputs!$H$6+Inputs!$L$6*(((Inputs!$I$6+(((A96)+1)/2)*(Inputs!$J$6-Inputs!$I$6)))/Inputs!$K$6)^2))^2)))))/Inputs!$C$13)</x:f>
        <x:v>98.10576676731343</x:v>
      </x:c>
      <x:c r="AM96" s="48" t="n">
        <x:f>(-2*((1000*((((Inputs!$I$7+(((A96)+1)/2)*(Inputs!$J$7-Inputs!$I$7)))*Inputs!$C$11+((Inputs!$H$7+Inputs!$L$7*(((Inputs!$I$7+(((A96)+1)/2)*(Inputs!$J$7-Inputs!$I$7)))/Inputs!$K$7)^2))*((2*Inputs!$L$7*((Inputs!$I$7+(((A96)+1)/2)*(Inputs!$J$7-Inputs!$I$7)))/(Inputs!$K$7^2)*Inputs!$C$11)))/(SQRT(((Inputs!$I$7+(((A96)+1)/2)*(Inputs!$J$7-Inputs!$I$7)))^2+Inputs!$C$6^2+((Inputs!$H$7+Inputs!$L$7*(((Inputs!$I$7+(((A96)+1)/2)*(Inputs!$J$7-Inputs!$I$7)))/Inputs!$K$7)^2))^2)))))/Inputs!$C$13)</x:f>
        <x:v>1648.2668671962517</x:v>
      </x:c>
      <x:c r="AN96" s="48" t="n">
        <x:f>(-2*((1000*((((Inputs!$I$8+(((A96)+1)/2)*(Inputs!$J$8-Inputs!$I$8)))*Inputs!$C$11+((Inputs!$H$8+Inputs!$L$8*(((Inputs!$I$8+(((A96)+1)/2)*(Inputs!$J$8-Inputs!$I$8)))/Inputs!$K$8)^2))*((2*Inputs!$L$8*((Inputs!$I$8+(((A96)+1)/2)*(Inputs!$J$8-Inputs!$I$8)))/(Inputs!$K$8^2)*Inputs!$C$11)))/(SQRT(((Inputs!$I$8+(((A96)+1)/2)*(Inputs!$J$8-Inputs!$I$8)))^2+Inputs!$C$6^2+((Inputs!$H$8+Inputs!$L$8*(((Inputs!$I$8+(((A96)+1)/2)*(Inputs!$J$8-Inputs!$I$8)))/Inputs!$K$8)^2))^2)))))/Inputs!$C$13)</x:f>
        <x:v>1788.675923122512</x:v>
      </x:c>
      <x:c r="AO96" s="48" t="n">
        <x:f>(-2*((1000*((((Inputs!$I$9+(((A96)+1)/2)*(Inputs!$J$9-Inputs!$I$9)))*Inputs!$C$11+((Inputs!$H$9+Inputs!$L$9*(((Inputs!$I$9+(((A96)+1)/2)*(Inputs!$J$9-Inputs!$I$9)))/Inputs!$K$9)^2))*((2*Inputs!$L$9*((Inputs!$I$9+(((A96)+1)/2)*(Inputs!$J$9-Inputs!$I$9)))/(Inputs!$K$9^2)*Inputs!$C$11)))/(SQRT(((Inputs!$I$9+(((A96)+1)/2)*(Inputs!$J$9-Inputs!$I$9)))^2+Inputs!$C$6^2+((Inputs!$H$9+Inputs!$L$9*(((Inputs!$I$9+(((A96)+1)/2)*(Inputs!$J$9-Inputs!$I$9)))/Inputs!$K$9)^2))^2)))))/Inputs!$C$13)</x:f>
        <x:v>1785.4222567737822</x:v>
      </x:c>
    </x:row>
    <x:row r="97">
      <x:c r="A97" s="48" t="n">
        <x:f>ROUND(-1+95*2/240,3)</x:f>
        <x:v>-0.208</x:v>
      </x:c>
      <x:c r="B97" s="48" t="n">
        <x:f>IF(OR(Inputs!$F$6=TRUE,Inputs!$F$6="TRUE",Inputs!$F$6=1),(Inputs!$H$6+Inputs!$L$6*(((Inputs!$I$6+(((A97)+1)/2)*(Inputs!$J$6-Inputs!$I$6)))/Inputs!$K$6)^2),NA())</x:f>
        <x:v>400.173056</x:v>
      </x:c>
      <x:c r="C97" s="48" t="n">
        <x:f>IF(OR(Inputs!$F$7=TRUE,Inputs!$F$7="TRUE",Inputs!$F$7=1),(Inputs!$H$7+Inputs!$L$7*(((Inputs!$I$7+(((A97)+1)/2)*(Inputs!$J$7-Inputs!$I$7)))/Inputs!$K$7)^2),NA())</x:f>
        <x:v>50.79136</x:v>
      </x:c>
      <x:c r="D97" s="48" t="n">
        <x:f>IF(OR(Inputs!$F$8=TRUE,Inputs!$F$8="TRUE",Inputs!$F$8=1),(Inputs!$H$8+Inputs!$L$8*(((Inputs!$I$8+(((A97)+1)/2)*(Inputs!$J$8-Inputs!$I$8)))/Inputs!$K$8)^2),NA())</x:f>
        <x:v>76.74975999999998</x:v>
      </x:c>
      <x:c r="E97" s="48" t="n">
        <x:f>IF(OR(Inputs!$F$9=TRUE,Inputs!$F$9="TRUE",Inputs!$F$9=1),(Inputs!$H$9+Inputs!$L$9*(((Inputs!$I$9+(((A97)+1)/2)*(Inputs!$J$9-Inputs!$I$9)))/Inputs!$K$9)^2),NA())</x:f>
        <x:v>67.18239999999997</x:v>
      </x:c>
      <x:c r="F97" s="49"/>
      <x:c r="G97" s="48" t="n">
        <x:f>A97</x:f>
        <x:v>-0.208</x:v>
      </x:c>
      <x:c r="H97" s="48" t="n">
        <x:f>IF(OR(Inputs!$F$6=TRUE,Inputs!$F$6="TRUE",Inputs!$F$6=1),(((SQRT(((Inputs!$I$6+(((A97)+1)/2)*(Inputs!$J$6-Inputs!$I$6)))^2+Inputs!$C$6^2+((Inputs!$H$6+Inputs!$L$6*(((Inputs!$I$6+(((A97)+1)/2)*(Inputs!$J$6-Inputs!$I$6)))/Inputs!$K$6)^2))^2))-((Inputs!$H$6+Inputs!$L$6*(((Inputs!$I$6+(((A97)+1)/2)*(Inputs!$J$6-Inputs!$I$6)))/Inputs!$K$6)^2)))*1000/Inputs!$C$12),NA())</x:f>
        <x:v>547.3763020817709</x:v>
      </x:c>
      <x:c r="I97" s="48" t="n">
        <x:f>IF(OR(Inputs!$F$7=TRUE,Inputs!$F$7="TRUE",Inputs!$F$7=1),(((SQRT(((Inputs!$I$7+(((A97)+1)/2)*(Inputs!$J$7-Inputs!$I$7)))^2+Inputs!$C$6^2+((Inputs!$H$7+Inputs!$L$7*(((Inputs!$I$7+(((A97)+1)/2)*(Inputs!$J$7-Inputs!$I$7)))/Inputs!$K$7)^2))^2))-((Inputs!$H$7+Inputs!$L$7*(((Inputs!$I$7+(((A97)+1)/2)*(Inputs!$J$7-Inputs!$I$7)))/Inputs!$K$7)^2)))*1000/Inputs!$C$12),NA())</x:f>
        <x:v>28000.925707377744</x:v>
      </x:c>
      <x:c r="J97" s="48" t="n">
        <x:f>IF(OR(Inputs!$F$8=TRUE,Inputs!$F$8="TRUE",Inputs!$F$8=1),(((SQRT(((Inputs!$I$8+(((A97)+1)/2)*(Inputs!$J$8-Inputs!$I$8)))^2+Inputs!$C$6^2+((Inputs!$H$8+Inputs!$L$8*(((Inputs!$I$8+(((A97)+1)/2)*(Inputs!$J$8-Inputs!$I$8)))/Inputs!$K$8)^2))^2))-((Inputs!$H$8+Inputs!$L$8*(((Inputs!$I$8+(((A97)+1)/2)*(Inputs!$J$8-Inputs!$I$8)))/Inputs!$K$8)^2)))*1000/Inputs!$C$12),NA())</x:f>
        <x:v>60783.58849845258</x:v>
      </x:c>
      <x:c r="K97" s="48" t="n">
        <x:f>IF(OR(Inputs!$F$9=TRUE,Inputs!$F$9="TRUE",Inputs!$F$9=1),(((SQRT(((Inputs!$I$9+(((A97)+1)/2)*(Inputs!$J$9-Inputs!$I$9)))^2+Inputs!$C$6^2+((Inputs!$H$9+Inputs!$L$9*(((Inputs!$I$9+(((A97)+1)/2)*(Inputs!$J$9-Inputs!$I$9)))/Inputs!$K$9)^2))^2))-((Inputs!$H$9+Inputs!$L$9*(((Inputs!$I$9+(((A97)+1)/2)*(Inputs!$J$9-Inputs!$I$9)))/Inputs!$K$9)^2)))*1000/Inputs!$C$12),NA())</x:f>
        <x:v>64045.52179470687</x:v>
      </x:c>
      <x:c r="L97" s="49"/>
      <x:c r="M97" s="48" t="n">
        <x:f>A97</x:f>
        <x:v>-0.208</x:v>
      </x:c>
      <x:c r="N97" s="48" t="n">
        <x:f>IF(OR(Inputs!$F$6=TRUE,Inputs!$F$6="TRUE",Inputs!$F$6=1),(-2*((1000*((((Inputs!$I$6+(((A97)+1)/2)*(Inputs!$J$6-Inputs!$I$6)))*Inputs!$C$11+((Inputs!$H$6+Inputs!$L$6*(((Inputs!$I$6+(((A97)+1)/2)*(Inputs!$J$6-Inputs!$I$6)))/Inputs!$K$6)^2))*((2*Inputs!$L$6*((Inputs!$I$6+(((A97)+1)/2)*(Inputs!$J$6-Inputs!$I$6)))/(Inputs!$K$6^2)*Inputs!$C$11)))/(SQRT(((Inputs!$I$6+(((A97)+1)/2)*(Inputs!$J$6-Inputs!$I$6)))^2+Inputs!$C$6^2+((Inputs!$H$6+Inputs!$L$6*(((Inputs!$I$6+(((A97)+1)/2)*(Inputs!$J$6-Inputs!$I$6)))/Inputs!$K$6)^2))^2)))))/Inputs!$C$13),NA())</x:f>
        <x:v>94.0427726532665</x:v>
      </x:c>
      <x:c r="O97" s="48" t="n">
        <x:f>IF(OR(Inputs!$F$7=TRUE,Inputs!$F$7="TRUE",Inputs!$F$7=1),(-2*((1000*((((Inputs!$I$7+(((A97)+1)/2)*(Inputs!$J$7-Inputs!$I$7)))*Inputs!$C$11+((Inputs!$H$7+Inputs!$L$7*(((Inputs!$I$7+(((A97)+1)/2)*(Inputs!$J$7-Inputs!$I$7)))/Inputs!$K$7)^2))*((2*Inputs!$L$7*((Inputs!$I$7+(((A97)+1)/2)*(Inputs!$J$7-Inputs!$I$7)))/(Inputs!$K$7^2)*Inputs!$C$11)))/(SQRT(((Inputs!$I$7+(((A97)+1)/2)*(Inputs!$J$7-Inputs!$I$7)))^2+Inputs!$C$6^2+((Inputs!$H$7+Inputs!$L$7*(((Inputs!$I$7+(((A97)+1)/2)*(Inputs!$J$7-Inputs!$I$7)))/Inputs!$K$7)^2))^2)))))/Inputs!$C$13),NA())</x:f>
        <x:v>1629.3723506909682</x:v>
      </x:c>
      <x:c r="P97" s="48" t="n">
        <x:f>IF(OR(Inputs!$F$8=TRUE,Inputs!$F$8="TRUE",Inputs!$F$8=1),(-2*((1000*((((Inputs!$I$8+(((A97)+1)/2)*(Inputs!$J$8-Inputs!$I$8)))*Inputs!$C$11+((Inputs!$H$8+Inputs!$L$8*(((Inputs!$I$8+(((A97)+1)/2)*(Inputs!$J$8-Inputs!$I$8)))/Inputs!$K$8)^2))*((2*Inputs!$L$8*((Inputs!$I$8+(((A97)+1)/2)*(Inputs!$J$8-Inputs!$I$8)))/(Inputs!$K$8^2)*Inputs!$C$11)))/(SQRT(((Inputs!$I$8+(((A97)+1)/2)*(Inputs!$J$8-Inputs!$I$8)))^2+Inputs!$C$6^2+((Inputs!$H$8+Inputs!$L$8*(((Inputs!$I$8+(((A97)+1)/2)*(Inputs!$J$8-Inputs!$I$8)))/Inputs!$K$8)^2))^2)))))/Inputs!$C$13),NA())</x:f>
        <x:v>1772.7521664865533</x:v>
      </x:c>
      <x:c r="Q97" s="48" t="n">
        <x:f>IF(OR(Inputs!$F$9=TRUE,Inputs!$F$9="TRUE",Inputs!$F$9=1),(-2*((1000*((((Inputs!$I$9+(((A97)+1)/2)*(Inputs!$J$9-Inputs!$I$9)))*Inputs!$C$11+((Inputs!$H$9+Inputs!$L$9*(((Inputs!$I$9+(((A97)+1)/2)*(Inputs!$J$9-Inputs!$I$9)))/Inputs!$K$9)^2))*((2*Inputs!$L$9*((Inputs!$I$9+(((A97)+1)/2)*(Inputs!$J$9-Inputs!$I$9)))/(Inputs!$K$9^2)*Inputs!$C$11)))/(SQRT(((Inputs!$I$9+(((A97)+1)/2)*(Inputs!$J$9-Inputs!$I$9)))^2+Inputs!$C$6^2+((Inputs!$H$9+Inputs!$L$9*(((Inputs!$I$9+(((A97)+1)/2)*(Inputs!$J$9-Inputs!$I$9)))/Inputs!$K$9)^2))^2)))))/Inputs!$C$13),NA())</x:f>
        <x:v>1770.241158443061</x:v>
      </x:c>
      <x:c r="R97" s="49"/>
      <x:c r="S97" s="48" t="n">
        <x:f>A97</x:f>
        <x:v>-0.208</x:v>
      </x:c>
      <x:c r="T97" s="48" t="n">
        <x:f>(Inputs!$I$6+(((A97)+1)/2)*(Inputs!$J$6-Inputs!$I$6))</x:f>
        <x:v>-12.479999999999997</x:v>
      </x:c>
      <x:c r="U97" s="48" t="n">
        <x:f>(Inputs!$I$7+(((A97)+1)/2)*(Inputs!$J$7-Inputs!$I$7))</x:f>
        <x:v>-83.19999999999999</x:v>
      </x:c>
      <x:c r="V97" s="48" t="n">
        <x:f>(Inputs!$I$8+(((A97)+1)/2)*(Inputs!$J$8-Inputs!$I$8))</x:f>
        <x:v>-166.39999999999998</x:v>
      </x:c>
      <x:c r="W97" s="48" t="n">
        <x:f>(Inputs!$I$9+(((A97)+1)/2)*(Inputs!$J$9-Inputs!$I$9))</x:f>
        <x:v>-166.39999999999998</x:v>
      </x:c>
      <x:c r="X97" s="49"/>
      <x:c r="Y97" s="48" t="n">
        <x:f>A97</x:f>
        <x:v>-0.208</x:v>
      </x:c>
      <x:c r="Z97" s="48" t="n">
        <x:f>(Inputs!$H$6+Inputs!$L$6*(((Inputs!$I$6+(((A97)+1)/2)*(Inputs!$J$6-Inputs!$I$6)))/Inputs!$K$6)^2)</x:f>
        <x:v>400.173056</x:v>
      </x:c>
      <x:c r="AA97" s="48" t="n">
        <x:f>(Inputs!$H$7+Inputs!$L$7*(((Inputs!$I$7+(((A97)+1)/2)*(Inputs!$J$7-Inputs!$I$7)))/Inputs!$K$7)^2)</x:f>
        <x:v>50.79136</x:v>
      </x:c>
      <x:c r="AB97" s="48" t="n">
        <x:f>(Inputs!$H$8+Inputs!$L$8*(((Inputs!$I$8+(((A97)+1)/2)*(Inputs!$J$8-Inputs!$I$8)))/Inputs!$K$8)^2)</x:f>
        <x:v>76.74975999999998</x:v>
      </x:c>
      <x:c r="AC97" s="48" t="n">
        <x:f>(Inputs!$H$9+Inputs!$L$9*(((Inputs!$I$9+(((A97)+1)/2)*(Inputs!$J$9-Inputs!$I$9)))/Inputs!$K$9)^2)</x:f>
        <x:v>67.18239999999997</x:v>
      </x:c>
      <x:c r="AD97" s="49"/>
      <x:c r="AE97" s="48" t="n">
        <x:f>A97</x:f>
        <x:v>-0.208</x:v>
      </x:c>
      <x:c r="AF97" s="48" t="n">
        <x:f>(((SQRT(((Inputs!$I$6+(((A97)+1)/2)*(Inputs!$J$6-Inputs!$I$6)))^2+Inputs!$C$6^2+((Inputs!$H$6+Inputs!$L$6*(((Inputs!$I$6+(((A97)+1)/2)*(Inputs!$J$6-Inputs!$I$6)))/Inputs!$K$6)^2))^2))-((Inputs!$H$6+Inputs!$L$6*(((Inputs!$I$6+(((A97)+1)/2)*(Inputs!$J$6-Inputs!$I$6)))/Inputs!$K$6)^2)))*1000/Inputs!$C$12)</x:f>
        <x:v>547.3763020817709</x:v>
      </x:c>
      <x:c r="AG97" s="48" t="n">
        <x:f>(((SQRT(((Inputs!$I$7+(((A97)+1)/2)*(Inputs!$J$7-Inputs!$I$7)))^2+Inputs!$C$6^2+((Inputs!$H$7+Inputs!$L$7*(((Inputs!$I$7+(((A97)+1)/2)*(Inputs!$J$7-Inputs!$I$7)))/Inputs!$K$7)^2))^2))-((Inputs!$H$7+Inputs!$L$7*(((Inputs!$I$7+(((A97)+1)/2)*(Inputs!$J$7-Inputs!$I$7)))/Inputs!$K$7)^2)))*1000/Inputs!$C$12)</x:f>
        <x:v>28000.925707377744</x:v>
      </x:c>
      <x:c r="AH97" s="48" t="n">
        <x:f>(((SQRT(((Inputs!$I$8+(((A97)+1)/2)*(Inputs!$J$8-Inputs!$I$8)))^2+Inputs!$C$6^2+((Inputs!$H$8+Inputs!$L$8*(((Inputs!$I$8+(((A97)+1)/2)*(Inputs!$J$8-Inputs!$I$8)))/Inputs!$K$8)^2))^2))-((Inputs!$H$8+Inputs!$L$8*(((Inputs!$I$8+(((A97)+1)/2)*(Inputs!$J$8-Inputs!$I$8)))/Inputs!$K$8)^2)))*1000/Inputs!$C$12)</x:f>
        <x:v>60783.58849845258</x:v>
      </x:c>
      <x:c r="AI97" s="48" t="n">
        <x:f>(((SQRT(((Inputs!$I$9+(((A97)+1)/2)*(Inputs!$J$9-Inputs!$I$9)))^2+Inputs!$C$6^2+((Inputs!$H$9+Inputs!$L$9*(((Inputs!$I$9+(((A97)+1)/2)*(Inputs!$J$9-Inputs!$I$9)))/Inputs!$K$9)^2))^2))-((Inputs!$H$9+Inputs!$L$9*(((Inputs!$I$9+(((A97)+1)/2)*(Inputs!$J$9-Inputs!$I$9)))/Inputs!$K$9)^2)))*1000/Inputs!$C$12)</x:f>
        <x:v>64045.52179470687</x:v>
      </x:c>
      <x:c r="AJ97" s="49"/>
      <x:c r="AK97" s="48" t="n">
        <x:f>A97</x:f>
        <x:v>-0.208</x:v>
      </x:c>
      <x:c r="AL97" s="48" t="n">
        <x:f>(-2*((1000*((((Inputs!$I$6+(((A97)+1)/2)*(Inputs!$J$6-Inputs!$I$6)))*Inputs!$C$11+((Inputs!$H$6+Inputs!$L$6*(((Inputs!$I$6+(((A97)+1)/2)*(Inputs!$J$6-Inputs!$I$6)))/Inputs!$K$6)^2))*((2*Inputs!$L$6*((Inputs!$I$6+(((A97)+1)/2)*(Inputs!$J$6-Inputs!$I$6)))/(Inputs!$K$6^2)*Inputs!$C$11)))/(SQRT(((Inputs!$I$6+(((A97)+1)/2)*(Inputs!$J$6-Inputs!$I$6)))^2+Inputs!$C$6^2+((Inputs!$H$6+Inputs!$L$6*(((Inputs!$I$6+(((A97)+1)/2)*(Inputs!$J$6-Inputs!$I$6)))/Inputs!$K$6)^2))^2)))))/Inputs!$C$13)</x:f>
        <x:v>94.0427726532665</x:v>
      </x:c>
      <x:c r="AM97" s="48" t="n">
        <x:f>(-2*((1000*((((Inputs!$I$7+(((A97)+1)/2)*(Inputs!$J$7-Inputs!$I$7)))*Inputs!$C$11+((Inputs!$H$7+Inputs!$L$7*(((Inputs!$I$7+(((A97)+1)/2)*(Inputs!$J$7-Inputs!$I$7)))/Inputs!$K$7)^2))*((2*Inputs!$L$7*((Inputs!$I$7+(((A97)+1)/2)*(Inputs!$J$7-Inputs!$I$7)))/(Inputs!$K$7^2)*Inputs!$C$11)))/(SQRT(((Inputs!$I$7+(((A97)+1)/2)*(Inputs!$J$7-Inputs!$I$7)))^2+Inputs!$C$6^2+((Inputs!$H$7+Inputs!$L$7*(((Inputs!$I$7+(((A97)+1)/2)*(Inputs!$J$7-Inputs!$I$7)))/Inputs!$K$7)^2))^2)))))/Inputs!$C$13)</x:f>
        <x:v>1629.3723506909682</x:v>
      </x:c>
      <x:c r="AN97" s="48" t="n">
        <x:f>(-2*((1000*((((Inputs!$I$8+(((A97)+1)/2)*(Inputs!$J$8-Inputs!$I$8)))*Inputs!$C$11+((Inputs!$H$8+Inputs!$L$8*(((Inputs!$I$8+(((A97)+1)/2)*(Inputs!$J$8-Inputs!$I$8)))/Inputs!$K$8)^2))*((2*Inputs!$L$8*((Inputs!$I$8+(((A97)+1)/2)*(Inputs!$J$8-Inputs!$I$8)))/(Inputs!$K$8^2)*Inputs!$C$11)))/(SQRT(((Inputs!$I$8+(((A97)+1)/2)*(Inputs!$J$8-Inputs!$I$8)))^2+Inputs!$C$6^2+((Inputs!$H$8+Inputs!$L$8*(((Inputs!$I$8+(((A97)+1)/2)*(Inputs!$J$8-Inputs!$I$8)))/Inputs!$K$8)^2))^2)))))/Inputs!$C$13)</x:f>
        <x:v>1772.7521664865533</x:v>
      </x:c>
      <x:c r="AO97" s="48" t="n">
        <x:f>(-2*((1000*((((Inputs!$I$9+(((A97)+1)/2)*(Inputs!$J$9-Inputs!$I$9)))*Inputs!$C$11+((Inputs!$H$9+Inputs!$L$9*(((Inputs!$I$9+(((A97)+1)/2)*(Inputs!$J$9-Inputs!$I$9)))/Inputs!$K$9)^2))*((2*Inputs!$L$9*((Inputs!$I$9+(((A97)+1)/2)*(Inputs!$J$9-Inputs!$I$9)))/(Inputs!$K$9^2)*Inputs!$C$11)))/(SQRT(((Inputs!$I$9+(((A97)+1)/2)*(Inputs!$J$9-Inputs!$I$9)))^2+Inputs!$C$6^2+((Inputs!$H$9+Inputs!$L$9*(((Inputs!$I$9+(((A97)+1)/2)*(Inputs!$J$9-Inputs!$I$9)))/Inputs!$K$9)^2))^2)))))/Inputs!$C$13)</x:f>
        <x:v>1770.241158443061</x:v>
      </x:c>
    </x:row>
    <x:row r="98">
      <x:c r="A98" s="48" t="n">
        <x:f>ROUND(-1+96*2/240,3)</x:f>
        <x:v>-0.2</x:v>
      </x:c>
      <x:c r="B98" s="48" t="n">
        <x:f>IF(OR(Inputs!$F$6=TRUE,Inputs!$F$6="TRUE",Inputs!$F$6=1),(Inputs!$H$6+Inputs!$L$6*(((Inputs!$I$6+(((A98)+1)/2)*(Inputs!$J$6-Inputs!$I$6)))/Inputs!$K$6)^2),NA())</x:f>
        <x:v>400.16</x:v>
      </x:c>
      <x:c r="C98" s="48" t="n">
        <x:f>IF(OR(Inputs!$F$7=TRUE,Inputs!$F$7="TRUE",Inputs!$F$7=1),(Inputs!$H$7+Inputs!$L$7*(((Inputs!$I$7+(((A98)+1)/2)*(Inputs!$J$7-Inputs!$I$7)))/Inputs!$K$7)^2),NA())</x:f>
        <x:v>49.6</x:v>
      </x:c>
      <x:c r="D98" s="48" t="n">
        <x:f>IF(OR(Inputs!$F$8=TRUE,Inputs!$F$8="TRUE",Inputs!$F$8=1),(Inputs!$H$8+Inputs!$L$8*(((Inputs!$I$8+(((A98)+1)/2)*(Inputs!$J$8-Inputs!$I$8)))/Inputs!$K$8)^2),NA())</x:f>
        <x:v>73.60000000000001</x:v>
      </x:c>
      <x:c r="E98" s="48" t="n">
        <x:f>IF(OR(Inputs!$F$9=TRUE,Inputs!$F$9="TRUE",Inputs!$F$9=1),(Inputs!$H$9+Inputs!$L$9*(((Inputs!$I$9+(((A98)+1)/2)*(Inputs!$J$9-Inputs!$I$9)))/Inputs!$K$9)^2),NA())</x:f>
        <x:v>64</x:v>
      </x:c>
      <x:c r="F98" s="49"/>
      <x:c r="G98" s="48" t="n">
        <x:f>A98</x:f>
        <x:v>-0.2</x:v>
      </x:c>
      <x:c r="H98" s="48" t="n">
        <x:f>IF(OR(Inputs!$F$6=TRUE,Inputs!$F$6="TRUE",Inputs!$F$6=1),(((SQRT(((Inputs!$I$6+(((A98)+1)/2)*(Inputs!$J$6-Inputs!$I$6)))^2+Inputs!$C$6^2+((Inputs!$H$6+Inputs!$L$6*(((Inputs!$I$6+(((A98)+1)/2)*(Inputs!$J$6-Inputs!$I$6)))/Inputs!$K$6)^2))^2))-((Inputs!$H$6+Inputs!$L$6*(((Inputs!$I$6+(((A98)+1)/2)*(Inputs!$J$6-Inputs!$I$6)))/Inputs!$K$6)^2)))*1000/Inputs!$C$12),NA())</x:f>
        <x:v>539.1656171138436</x:v>
      </x:c>
      <x:c r="I98" s="48" t="n">
        <x:f>IF(OR(Inputs!$F$7=TRUE,Inputs!$F$7="TRUE",Inputs!$F$7=1),(((SQRT(((Inputs!$I$7+(((A98)+1)/2)*(Inputs!$J$7-Inputs!$I$7)))^2+Inputs!$C$6^2+((Inputs!$H$7+Inputs!$L$7*(((Inputs!$I$7+(((A98)+1)/2)*(Inputs!$J$7-Inputs!$I$7)))/Inputs!$K$7)^2))^2))-((Inputs!$H$7+Inputs!$L$7*(((Inputs!$I$7+(((A98)+1)/2)*(Inputs!$J$7-Inputs!$I$7)))/Inputs!$K$7)^2)))*1000/Inputs!$C$12),NA())</x:f>
        <x:v>26849.31803443424</x:v>
      </x:c>
      <x:c r="J98" s="48" t="n">
        <x:f>IF(OR(Inputs!$F$8=TRUE,Inputs!$F$8="TRUE",Inputs!$F$8=1),(((SQRT(((Inputs!$I$8+(((A98)+1)/2)*(Inputs!$J$8-Inputs!$I$8)))^2+Inputs!$C$6^2+((Inputs!$H$8+Inputs!$L$8*(((Inputs!$I$8+(((A98)+1)/2)*(Inputs!$J$8-Inputs!$I$8)))/Inputs!$K$8)^2))^2))-((Inputs!$H$8+Inputs!$L$8*(((Inputs!$I$8+(((A98)+1)/2)*(Inputs!$J$8-Inputs!$I$8)))/Inputs!$K$8)^2)))*1000/Inputs!$C$12),NA())</x:f>
        <x:v>58585.320738415496</x:v>
      </x:c>
      <x:c r="K98" s="48" t="n">
        <x:f>IF(OR(Inputs!$F$9=TRUE,Inputs!$F$9="TRUE",Inputs!$F$9=1),(((SQRT(((Inputs!$I$9+(((A98)+1)/2)*(Inputs!$J$9-Inputs!$I$9)))^2+Inputs!$C$6^2+((Inputs!$H$9+Inputs!$L$9*(((Inputs!$I$9+(((A98)+1)/2)*(Inputs!$J$9-Inputs!$I$9)))/Inputs!$K$9)^2))^2))-((Inputs!$H$9+Inputs!$L$9*(((Inputs!$I$9+(((A98)+1)/2)*(Inputs!$J$9-Inputs!$I$9)))/Inputs!$K$9)^2)))*1000/Inputs!$C$12),NA())</x:f>
        <x:v>61870.37209616709</x:v>
      </x:c>
      <x:c r="L98" s="49"/>
      <x:c r="M98" s="48" t="n">
        <x:f>A98</x:f>
        <x:v>-0.2</x:v>
      </x:c>
      <x:c r="N98" s="48" t="n">
        <x:f>IF(OR(Inputs!$F$6=TRUE,Inputs!$F$6="TRUE",Inputs!$F$6=1),(-2*((1000*((((Inputs!$I$6+(((A98)+1)/2)*(Inputs!$J$6-Inputs!$I$6)))*Inputs!$C$11+((Inputs!$H$6+Inputs!$L$6*(((Inputs!$I$6+(((A98)+1)/2)*(Inputs!$J$6-Inputs!$I$6)))/Inputs!$K$6)^2))*((2*Inputs!$L$6*((Inputs!$I$6+(((A98)+1)/2)*(Inputs!$J$6-Inputs!$I$6)))/(Inputs!$K$6^2)*Inputs!$C$11)))/(SQRT(((Inputs!$I$6+(((A98)+1)/2)*(Inputs!$J$6-Inputs!$I$6)))^2+Inputs!$C$6^2+((Inputs!$H$6+Inputs!$L$6*(((Inputs!$I$6+(((A98)+1)/2)*(Inputs!$J$6-Inputs!$I$6)))/Inputs!$K$6)^2))^2)))))/Inputs!$C$13),NA())</x:f>
        <x:v>90.43059215266564</x:v>
      </x:c>
      <x:c r="O98" s="48" t="n">
        <x:f>IF(OR(Inputs!$F$7=TRUE,Inputs!$F$7="TRUE",Inputs!$F$7=1),(-2*((1000*((((Inputs!$I$7+(((A98)+1)/2)*(Inputs!$J$7-Inputs!$I$7)))*Inputs!$C$11+((Inputs!$H$7+Inputs!$L$7*(((Inputs!$I$7+(((A98)+1)/2)*(Inputs!$J$7-Inputs!$I$7)))/Inputs!$K$7)^2))*((2*Inputs!$L$7*((Inputs!$I$7+(((A98)+1)/2)*(Inputs!$J$7-Inputs!$I$7)))/(Inputs!$K$7^2)*Inputs!$C$11)))/(SQRT(((Inputs!$I$7+(((A98)+1)/2)*(Inputs!$J$7-Inputs!$I$7)))^2+Inputs!$C$6^2+((Inputs!$H$7+Inputs!$L$7*(((Inputs!$I$7+(((A98)+1)/2)*(Inputs!$J$7-Inputs!$I$7)))/Inputs!$K$7)^2))^2)))))/Inputs!$C$13),NA())</x:f>
        <x:v>1611.7005990294304</x:v>
      </x:c>
      <x:c r="P98" s="48" t="n">
        <x:f>IF(OR(Inputs!$F$8=TRUE,Inputs!$F$8="TRUE",Inputs!$F$8=1),(-2*((1000*((((Inputs!$I$8+(((A98)+1)/2)*(Inputs!$J$8-Inputs!$I$8)))*Inputs!$C$11+((Inputs!$H$8+Inputs!$L$8*(((Inputs!$I$8+(((A98)+1)/2)*(Inputs!$J$8-Inputs!$I$8)))/Inputs!$K$8)^2))*((2*Inputs!$L$8*((Inputs!$I$8+(((A98)+1)/2)*(Inputs!$J$8-Inputs!$I$8)))/(Inputs!$K$8^2)*Inputs!$C$11)))/(SQRT(((Inputs!$I$8+(((A98)+1)/2)*(Inputs!$J$8-Inputs!$I$8)))^2+Inputs!$C$6^2+((Inputs!$H$8+Inputs!$L$8*(((Inputs!$I$8+(((A98)+1)/2)*(Inputs!$J$8-Inputs!$I$8)))/Inputs!$K$8)^2))^2)))))/Inputs!$C$13),NA())</x:f>
        <x:v>1758.578310380883</x:v>
      </x:c>
      <x:c r="Q98" s="48" t="n">
        <x:f>IF(OR(Inputs!$F$9=TRUE,Inputs!$F$9="TRUE",Inputs!$F$9=1),(-2*((1000*((((Inputs!$I$9+(((A98)+1)/2)*(Inputs!$J$9-Inputs!$I$9)))*Inputs!$C$11+((Inputs!$H$9+Inputs!$L$9*(((Inputs!$I$9+(((A98)+1)/2)*(Inputs!$J$9-Inputs!$I$9)))/Inputs!$K$9)^2))*((2*Inputs!$L$9*((Inputs!$I$9+(((A98)+1)/2)*(Inputs!$J$9-Inputs!$I$9)))/(Inputs!$K$9^2)*Inputs!$C$11)))/(SQRT(((Inputs!$I$9+(((A98)+1)/2)*(Inputs!$J$9-Inputs!$I$9)))^2+Inputs!$C$6^2+((Inputs!$H$9+Inputs!$L$9*(((Inputs!$I$9+(((A98)+1)/2)*(Inputs!$J$9-Inputs!$I$9)))/Inputs!$K$9)^2))^2)))))/Inputs!$C$13),NA())</x:f>
        <x:v>1756.855774293519</x:v>
      </x:c>
      <x:c r="R98" s="49"/>
      <x:c r="S98" s="48" t="n">
        <x:f>A98</x:f>
        <x:v>-0.2</x:v>
      </x:c>
      <x:c r="T98" s="48" t="n">
        <x:f>(Inputs!$I$6+(((A98)+1)/2)*(Inputs!$J$6-Inputs!$I$6))</x:f>
        <x:v>-12</x:v>
      </x:c>
      <x:c r="U98" s="48" t="n">
        <x:f>(Inputs!$I$7+(((A98)+1)/2)*(Inputs!$J$7-Inputs!$I$7))</x:f>
        <x:v>-80</x:v>
      </x:c>
      <x:c r="V98" s="48" t="n">
        <x:f>(Inputs!$I$8+(((A98)+1)/2)*(Inputs!$J$8-Inputs!$I$8))</x:f>
        <x:v>-160</x:v>
      </x:c>
      <x:c r="W98" s="48" t="n">
        <x:f>(Inputs!$I$9+(((A98)+1)/2)*(Inputs!$J$9-Inputs!$I$9))</x:f>
        <x:v>-160</x:v>
      </x:c>
      <x:c r="X98" s="49"/>
      <x:c r="Y98" s="48" t="n">
        <x:f>A98</x:f>
        <x:v>-0.2</x:v>
      </x:c>
      <x:c r="Z98" s="48" t="n">
        <x:f>(Inputs!$H$6+Inputs!$L$6*(((Inputs!$I$6+(((A98)+1)/2)*(Inputs!$J$6-Inputs!$I$6)))/Inputs!$K$6)^2)</x:f>
        <x:v>400.16</x:v>
      </x:c>
      <x:c r="AA98" s="48" t="n">
        <x:f>(Inputs!$H$7+Inputs!$L$7*(((Inputs!$I$7+(((A98)+1)/2)*(Inputs!$J$7-Inputs!$I$7)))/Inputs!$K$7)^2)</x:f>
        <x:v>49.6</x:v>
      </x:c>
      <x:c r="AB98" s="48" t="n">
        <x:f>(Inputs!$H$8+Inputs!$L$8*(((Inputs!$I$8+(((A98)+1)/2)*(Inputs!$J$8-Inputs!$I$8)))/Inputs!$K$8)^2)</x:f>
        <x:v>73.60000000000001</x:v>
      </x:c>
      <x:c r="AC98" s="48" t="n">
        <x:f>(Inputs!$H$9+Inputs!$L$9*(((Inputs!$I$9+(((A98)+1)/2)*(Inputs!$J$9-Inputs!$I$9)))/Inputs!$K$9)^2)</x:f>
        <x:v>64</x:v>
      </x:c>
      <x:c r="AD98" s="49"/>
      <x:c r="AE98" s="48" t="n">
        <x:f>A98</x:f>
        <x:v>-0.2</x:v>
      </x:c>
      <x:c r="AF98" s="48" t="n">
        <x:f>(((SQRT(((Inputs!$I$6+(((A98)+1)/2)*(Inputs!$J$6-Inputs!$I$6)))^2+Inputs!$C$6^2+((Inputs!$H$6+Inputs!$L$6*(((Inputs!$I$6+(((A98)+1)/2)*(Inputs!$J$6-Inputs!$I$6)))/Inputs!$K$6)^2))^2))-((Inputs!$H$6+Inputs!$L$6*(((Inputs!$I$6+(((A98)+1)/2)*(Inputs!$J$6-Inputs!$I$6)))/Inputs!$K$6)^2)))*1000/Inputs!$C$12)</x:f>
        <x:v>539.1656171138436</x:v>
      </x:c>
      <x:c r="AG98" s="48" t="n">
        <x:f>(((SQRT(((Inputs!$I$7+(((A98)+1)/2)*(Inputs!$J$7-Inputs!$I$7)))^2+Inputs!$C$6^2+((Inputs!$H$7+Inputs!$L$7*(((Inputs!$I$7+(((A98)+1)/2)*(Inputs!$J$7-Inputs!$I$7)))/Inputs!$K$7)^2))^2))-((Inputs!$H$7+Inputs!$L$7*(((Inputs!$I$7+(((A98)+1)/2)*(Inputs!$J$7-Inputs!$I$7)))/Inputs!$K$7)^2)))*1000/Inputs!$C$12)</x:f>
        <x:v>26849.31803443424</x:v>
      </x:c>
      <x:c r="AH98" s="48" t="n">
        <x:f>(((SQRT(((Inputs!$I$8+(((A98)+1)/2)*(Inputs!$J$8-Inputs!$I$8)))^2+Inputs!$C$6^2+((Inputs!$H$8+Inputs!$L$8*(((Inputs!$I$8+(((A98)+1)/2)*(Inputs!$J$8-Inputs!$I$8)))/Inputs!$K$8)^2))^2))-((Inputs!$H$8+Inputs!$L$8*(((Inputs!$I$8+(((A98)+1)/2)*(Inputs!$J$8-Inputs!$I$8)))/Inputs!$K$8)^2)))*1000/Inputs!$C$12)</x:f>
        <x:v>58585.320738415496</x:v>
      </x:c>
      <x:c r="AI98" s="48" t="n">
        <x:f>(((SQRT(((Inputs!$I$9+(((A98)+1)/2)*(Inputs!$J$9-Inputs!$I$9)))^2+Inputs!$C$6^2+((Inputs!$H$9+Inputs!$L$9*(((Inputs!$I$9+(((A98)+1)/2)*(Inputs!$J$9-Inputs!$I$9)))/Inputs!$K$9)^2))^2))-((Inputs!$H$9+Inputs!$L$9*(((Inputs!$I$9+(((A98)+1)/2)*(Inputs!$J$9-Inputs!$I$9)))/Inputs!$K$9)^2)))*1000/Inputs!$C$12)</x:f>
        <x:v>61870.37209616709</x:v>
      </x:c>
      <x:c r="AJ98" s="49"/>
      <x:c r="AK98" s="48" t="n">
        <x:f>A98</x:f>
        <x:v>-0.2</x:v>
      </x:c>
      <x:c r="AL98" s="48" t="n">
        <x:f>(-2*((1000*((((Inputs!$I$6+(((A98)+1)/2)*(Inputs!$J$6-Inputs!$I$6)))*Inputs!$C$11+((Inputs!$H$6+Inputs!$L$6*(((Inputs!$I$6+(((A98)+1)/2)*(Inputs!$J$6-Inputs!$I$6)))/Inputs!$K$6)^2))*((2*Inputs!$L$6*((Inputs!$I$6+(((A98)+1)/2)*(Inputs!$J$6-Inputs!$I$6)))/(Inputs!$K$6^2)*Inputs!$C$11)))/(SQRT(((Inputs!$I$6+(((A98)+1)/2)*(Inputs!$J$6-Inputs!$I$6)))^2+Inputs!$C$6^2+((Inputs!$H$6+Inputs!$L$6*(((Inputs!$I$6+(((A98)+1)/2)*(Inputs!$J$6-Inputs!$I$6)))/Inputs!$K$6)^2))^2)))))/Inputs!$C$13)</x:f>
        <x:v>90.43059215266564</x:v>
      </x:c>
      <x:c r="AM98" s="48" t="n">
        <x:f>(-2*((1000*((((Inputs!$I$7+(((A98)+1)/2)*(Inputs!$J$7-Inputs!$I$7)))*Inputs!$C$11+((Inputs!$H$7+Inputs!$L$7*(((Inputs!$I$7+(((A98)+1)/2)*(Inputs!$J$7-Inputs!$I$7)))/Inputs!$K$7)^2))*((2*Inputs!$L$7*((Inputs!$I$7+(((A98)+1)/2)*(Inputs!$J$7-Inputs!$I$7)))/(Inputs!$K$7^2)*Inputs!$C$11)))/(SQRT(((Inputs!$I$7+(((A98)+1)/2)*(Inputs!$J$7-Inputs!$I$7)))^2+Inputs!$C$6^2+((Inputs!$H$7+Inputs!$L$7*(((Inputs!$I$7+(((A98)+1)/2)*(Inputs!$J$7-Inputs!$I$7)))/Inputs!$K$7)^2))^2)))))/Inputs!$C$13)</x:f>
        <x:v>1611.7005990294304</x:v>
      </x:c>
      <x:c r="AN98" s="48" t="n">
        <x:f>(-2*((1000*((((Inputs!$I$8+(((A98)+1)/2)*(Inputs!$J$8-Inputs!$I$8)))*Inputs!$C$11+((Inputs!$H$8+Inputs!$L$8*(((Inputs!$I$8+(((A98)+1)/2)*(Inputs!$J$8-Inputs!$I$8)))/Inputs!$K$8)^2))*((2*Inputs!$L$8*((Inputs!$I$8+(((A98)+1)/2)*(Inputs!$J$8-Inputs!$I$8)))/(Inputs!$K$8^2)*Inputs!$C$11)))/(SQRT(((Inputs!$I$8+(((A98)+1)/2)*(Inputs!$J$8-Inputs!$I$8)))^2+Inputs!$C$6^2+((Inputs!$H$8+Inputs!$L$8*(((Inputs!$I$8+(((A98)+1)/2)*(Inputs!$J$8-Inputs!$I$8)))/Inputs!$K$8)^2))^2)))))/Inputs!$C$13)</x:f>
        <x:v>1758.578310380883</x:v>
      </x:c>
      <x:c r="AO98" s="48" t="n">
        <x:f>(-2*((1000*((((Inputs!$I$9+(((A98)+1)/2)*(Inputs!$J$9-Inputs!$I$9)))*Inputs!$C$11+((Inputs!$H$9+Inputs!$L$9*(((Inputs!$I$9+(((A98)+1)/2)*(Inputs!$J$9-Inputs!$I$9)))/Inputs!$K$9)^2))*((2*Inputs!$L$9*((Inputs!$I$9+(((A98)+1)/2)*(Inputs!$J$9-Inputs!$I$9)))/(Inputs!$K$9^2)*Inputs!$C$11)))/(SQRT(((Inputs!$I$9+(((A98)+1)/2)*(Inputs!$J$9-Inputs!$I$9)))^2+Inputs!$C$6^2+((Inputs!$H$9+Inputs!$L$9*(((Inputs!$I$9+(((A98)+1)/2)*(Inputs!$J$9-Inputs!$I$9)))/Inputs!$K$9)^2))^2)))))/Inputs!$C$13)</x:f>
        <x:v>1756.855774293519</x:v>
      </x:c>
    </x:row>
    <x:row r="99">
      <x:c r="A99" s="48" t="n">
        <x:f>ROUND(-1+97*2/240,3)</x:f>
        <x:v>-0.192</x:v>
      </x:c>
      <x:c r="B99" s="48" t="n">
        <x:f>IF(OR(Inputs!$F$6=TRUE,Inputs!$F$6="TRUE",Inputs!$F$6=1),(Inputs!$H$6+Inputs!$L$6*(((Inputs!$I$6+(((A99)+1)/2)*(Inputs!$J$6-Inputs!$I$6)))/Inputs!$K$6)^2),NA())</x:f>
        <x:v>400.147456</x:v>
      </x:c>
      <x:c r="C99" s="48" t="n">
        <x:f>IF(OR(Inputs!$F$7=TRUE,Inputs!$F$7="TRUE",Inputs!$F$7=1),(Inputs!$H$7+Inputs!$L$7*(((Inputs!$I$7+(((A99)+1)/2)*(Inputs!$J$7-Inputs!$I$7)))/Inputs!$K$7)^2),NA())</x:f>
        <x:v>48.455359999999985</x:v>
      </x:c>
      <x:c r="D99" s="48" t="n">
        <x:f>IF(OR(Inputs!$F$8=TRUE,Inputs!$F$8="TRUE",Inputs!$F$8=1),(Inputs!$H$8+Inputs!$L$8*(((Inputs!$I$8+(((A99)+1)/2)*(Inputs!$J$8-Inputs!$I$8)))/Inputs!$K$8)^2),NA())</x:f>
        <x:v>70.57375999999996</x:v>
      </x:c>
      <x:c r="E99" s="48" t="n">
        <x:f>IF(OR(Inputs!$F$9=TRUE,Inputs!$F$9="TRUE",Inputs!$F$9=1),(Inputs!$H$9+Inputs!$L$9*(((Inputs!$I$9+(((A99)+1)/2)*(Inputs!$J$9-Inputs!$I$9)))/Inputs!$K$9)^2),NA())</x:f>
        <x:v>60.942399999999964</x:v>
      </x:c>
      <x:c r="F99" s="49"/>
      <x:c r="G99" s="48" t="n">
        <x:f>A99</x:f>
        <x:v>-0.192</x:v>
      </x:c>
      <x:c r="H99" s="48" t="n">
        <x:f>IF(OR(Inputs!$F$6=TRUE,Inputs!$F$6="TRUE",Inputs!$F$6=1),(((SQRT(((Inputs!$I$6+(((A99)+1)/2)*(Inputs!$J$6-Inputs!$I$6)))^2+Inputs!$C$6^2+((Inputs!$H$6+Inputs!$L$6*(((Inputs!$I$6+(((A99)+1)/2)*(Inputs!$J$6-Inputs!$I$6)))/Inputs!$K$6)^2))^2))-((Inputs!$H$6+Inputs!$L$6*(((Inputs!$I$6+(((A99)+1)/2)*(Inputs!$J$6-Inputs!$I$6)))/Inputs!$K$6)^2)))*1000/Inputs!$C$12),NA())</x:f>
        <x:v>531.2761344791699</x:v>
      </x:c>
      <x:c r="I99" s="48" t="n">
        <x:f>IF(OR(Inputs!$F$7=TRUE,Inputs!$F$7="TRUE",Inputs!$F$7=1),(((SQRT(((Inputs!$I$7+(((A99)+1)/2)*(Inputs!$J$7-Inputs!$I$7)))^2+Inputs!$C$6^2+((Inputs!$H$7+Inputs!$L$7*(((Inputs!$I$7+(((A99)+1)/2)*(Inputs!$J$7-Inputs!$I$7)))/Inputs!$K$7)^2))^2))-((Inputs!$H$7+Inputs!$L$7*(((Inputs!$I$7+(((A99)+1)/2)*(Inputs!$J$7-Inputs!$I$7)))/Inputs!$K$7)^2)))*1000/Inputs!$C$12),NA())</x:f>
        <x:v>25691.84592814523</x:v>
      </x:c>
      <x:c r="J99" s="48" t="n">
        <x:f>IF(OR(Inputs!$F$8=TRUE,Inputs!$F$8="TRUE",Inputs!$F$8=1),(((SQRT(((Inputs!$I$8+(((A99)+1)/2)*(Inputs!$J$8-Inputs!$I$8)))^2+Inputs!$C$6^2+((Inputs!$H$8+Inputs!$L$8*(((Inputs!$I$8+(((A99)+1)/2)*(Inputs!$J$8-Inputs!$I$8)))/Inputs!$K$8)^2))^2))-((Inputs!$H$8+Inputs!$L$8*(((Inputs!$I$8+(((A99)+1)/2)*(Inputs!$J$8-Inputs!$I$8)))/Inputs!$K$8)^2)))*1000/Inputs!$C$12),NA())</x:f>
        <x:v>56349.58655382304</x:v>
      </x:c>
      <x:c r="K99" s="48" t="n">
        <x:f>IF(OR(Inputs!$F$9=TRUE,Inputs!$F$9="TRUE",Inputs!$F$9=1),(((SQRT(((Inputs!$I$9+(((A99)+1)/2)*(Inputs!$J$9-Inputs!$I$9)))^2+Inputs!$C$6^2+((Inputs!$H$9+Inputs!$L$9*(((Inputs!$I$9+(((A99)+1)/2)*(Inputs!$J$9-Inputs!$I$9)))/Inputs!$K$9)^2))^2))-((Inputs!$H$9+Inputs!$L$9*(((Inputs!$I$9+(((A99)+1)/2)*(Inputs!$J$9-Inputs!$I$9)))/Inputs!$K$9)^2)))*1000/Inputs!$C$12),NA())</x:f>
        <x:v>59655.11337725294</x:v>
      </x:c>
      <x:c r="L99" s="49"/>
      <x:c r="M99" s="48" t="n">
        <x:f>A99</x:f>
        <x:v>-0.192</x:v>
      </x:c>
      <x:c r="N99" s="48" t="n">
        <x:f>IF(OR(Inputs!$F$6=TRUE,Inputs!$F$6="TRUE",Inputs!$F$6=1),(-2*((1000*((((Inputs!$I$6+(((A99)+1)/2)*(Inputs!$J$6-Inputs!$I$6)))*Inputs!$C$11+((Inputs!$H$6+Inputs!$L$6*(((Inputs!$I$6+(((A99)+1)/2)*(Inputs!$J$6-Inputs!$I$6)))/Inputs!$K$6)^2))*((2*Inputs!$L$6*((Inputs!$I$6+(((A99)+1)/2)*(Inputs!$J$6-Inputs!$I$6)))/(Inputs!$K$6^2)*Inputs!$C$11)))/(SQRT(((Inputs!$I$6+(((A99)+1)/2)*(Inputs!$J$6-Inputs!$I$6)))^2+Inputs!$C$6^2+((Inputs!$H$6+Inputs!$L$6*(((Inputs!$I$6+(((A99)+1)/2)*(Inputs!$J$6-Inputs!$I$6)))/Inputs!$K$6)^2))^2)))))/Inputs!$C$13),NA())</x:f>
        <x:v>86.81784206356933</x:v>
      </x:c>
      <x:c r="O99" s="48" t="n">
        <x:f>IF(OR(Inputs!$F$7=TRUE,Inputs!$F$7="TRUE",Inputs!$F$7=1),(-2*((1000*((((Inputs!$I$7+(((A99)+1)/2)*(Inputs!$J$7-Inputs!$I$7)))*Inputs!$C$11+((Inputs!$H$7+Inputs!$L$7*(((Inputs!$I$7+(((A99)+1)/2)*(Inputs!$J$7-Inputs!$I$7)))/Inputs!$K$7)^2))*((2*Inputs!$L$7*((Inputs!$I$7+(((A99)+1)/2)*(Inputs!$J$7-Inputs!$I$7)))/(Inputs!$K$7^2)*Inputs!$C$11)))/(SQRT(((Inputs!$I$7+(((A99)+1)/2)*(Inputs!$J$7-Inputs!$I$7)))^2+Inputs!$C$6^2+((Inputs!$H$7+Inputs!$L$7*(((Inputs!$I$7+(((A99)+1)/2)*(Inputs!$J$7-Inputs!$I$7)))/Inputs!$K$7)^2))^2)))))/Inputs!$C$13),NA())</x:f>
        <x:v>1593.067607607582</x:v>
      </x:c>
      <x:c r="P99" s="48" t="n">
        <x:f>IF(OR(Inputs!$F$8=TRUE,Inputs!$F$8="TRUE",Inputs!$F$8=1),(-2*((1000*((((Inputs!$I$8+(((A99)+1)/2)*(Inputs!$J$8-Inputs!$I$8)))*Inputs!$C$11+((Inputs!$H$8+Inputs!$L$8*(((Inputs!$I$8+(((A99)+1)/2)*(Inputs!$J$8-Inputs!$I$8)))/Inputs!$K$8)^2))*((2*Inputs!$L$8*((Inputs!$I$8+(((A99)+1)/2)*(Inputs!$J$8-Inputs!$I$8)))/(Inputs!$K$8^2)*Inputs!$C$11)))/(SQRT(((Inputs!$I$8+(((A99)+1)/2)*(Inputs!$J$8-Inputs!$I$8)))^2+Inputs!$C$6^2+((Inputs!$H$8+Inputs!$L$8*(((Inputs!$I$8+(((A99)+1)/2)*(Inputs!$J$8-Inputs!$I$8)))/Inputs!$K$8)^2))^2)))))/Inputs!$C$13),NA())</x:f>
        <x:v>1744.326781014137</x:v>
      </x:c>
      <x:c r="Q99" s="48" t="n">
        <x:f>IF(OR(Inputs!$F$9=TRUE,Inputs!$F$9="TRUE",Inputs!$F$9=1),(-2*((1000*((((Inputs!$I$9+(((A99)+1)/2)*(Inputs!$J$9-Inputs!$I$9)))*Inputs!$C$11+((Inputs!$H$9+Inputs!$L$9*(((Inputs!$I$9+(((A99)+1)/2)*(Inputs!$J$9-Inputs!$I$9)))/Inputs!$K$9)^2))*((2*Inputs!$L$9*((Inputs!$I$9+(((A99)+1)/2)*(Inputs!$J$9-Inputs!$I$9)))/(Inputs!$K$9^2)*Inputs!$C$11)))/(SQRT(((Inputs!$I$9+(((A99)+1)/2)*(Inputs!$J$9-Inputs!$I$9)))^2+Inputs!$C$6^2+((Inputs!$H$9+Inputs!$L$9*(((Inputs!$I$9+(((A99)+1)/2)*(Inputs!$J$9-Inputs!$I$9)))/Inputs!$K$9)^2))^2)))))/Inputs!$C$13),NA())</x:f>
        <x:v>1743.5306722765788</x:v>
      </x:c>
      <x:c r="R99" s="49"/>
      <x:c r="S99" s="48" t="n">
        <x:f>A99</x:f>
        <x:v>-0.192</x:v>
      </x:c>
      <x:c r="T99" s="48" t="n">
        <x:f>(Inputs!$I$6+(((A99)+1)/2)*(Inputs!$J$6-Inputs!$I$6))</x:f>
        <x:v>-11.519999999999996</x:v>
      </x:c>
      <x:c r="U99" s="48" t="n">
        <x:f>(Inputs!$I$7+(((A99)+1)/2)*(Inputs!$J$7-Inputs!$I$7))</x:f>
        <x:v>-76.79999999999995</x:v>
      </x:c>
      <x:c r="V99" s="48" t="n">
        <x:f>(Inputs!$I$8+(((A99)+1)/2)*(Inputs!$J$8-Inputs!$I$8))</x:f>
        <x:v>-153.5999999999999</x:v>
      </x:c>
      <x:c r="W99" s="48" t="n">
        <x:f>(Inputs!$I$9+(((A99)+1)/2)*(Inputs!$J$9-Inputs!$I$9))</x:f>
        <x:v>-153.5999999999999</x:v>
      </x:c>
      <x:c r="X99" s="49"/>
      <x:c r="Y99" s="48" t="n">
        <x:f>A99</x:f>
        <x:v>-0.192</x:v>
      </x:c>
      <x:c r="Z99" s="48" t="n">
        <x:f>(Inputs!$H$6+Inputs!$L$6*(((Inputs!$I$6+(((A99)+1)/2)*(Inputs!$J$6-Inputs!$I$6)))/Inputs!$K$6)^2)</x:f>
        <x:v>400.147456</x:v>
      </x:c>
      <x:c r="AA99" s="48" t="n">
        <x:f>(Inputs!$H$7+Inputs!$L$7*(((Inputs!$I$7+(((A99)+1)/2)*(Inputs!$J$7-Inputs!$I$7)))/Inputs!$K$7)^2)</x:f>
        <x:v>48.455359999999985</x:v>
      </x:c>
      <x:c r="AB99" s="48" t="n">
        <x:f>(Inputs!$H$8+Inputs!$L$8*(((Inputs!$I$8+(((A99)+1)/2)*(Inputs!$J$8-Inputs!$I$8)))/Inputs!$K$8)^2)</x:f>
        <x:v>70.57375999999996</x:v>
      </x:c>
      <x:c r="AC99" s="48" t="n">
        <x:f>(Inputs!$H$9+Inputs!$L$9*(((Inputs!$I$9+(((A99)+1)/2)*(Inputs!$J$9-Inputs!$I$9)))/Inputs!$K$9)^2)</x:f>
        <x:v>60.942399999999964</x:v>
      </x:c>
      <x:c r="AD99" s="49"/>
      <x:c r="AE99" s="48" t="n">
        <x:f>A99</x:f>
        <x:v>-0.192</x:v>
      </x:c>
      <x:c r="AF99" s="48" t="n">
        <x:f>(((SQRT(((Inputs!$I$6+(((A99)+1)/2)*(Inputs!$J$6-Inputs!$I$6)))^2+Inputs!$C$6^2+((Inputs!$H$6+Inputs!$L$6*(((Inputs!$I$6+(((A99)+1)/2)*(Inputs!$J$6-Inputs!$I$6)))/Inputs!$K$6)^2))^2))-((Inputs!$H$6+Inputs!$L$6*(((Inputs!$I$6+(((A99)+1)/2)*(Inputs!$J$6-Inputs!$I$6)))/Inputs!$K$6)^2)))*1000/Inputs!$C$12)</x:f>
        <x:v>531.2761344791699</x:v>
      </x:c>
      <x:c r="AG99" s="48" t="n">
        <x:f>(((SQRT(((Inputs!$I$7+(((A99)+1)/2)*(Inputs!$J$7-Inputs!$I$7)))^2+Inputs!$C$6^2+((Inputs!$H$7+Inputs!$L$7*(((Inputs!$I$7+(((A99)+1)/2)*(Inputs!$J$7-Inputs!$I$7)))/Inputs!$K$7)^2))^2))-((Inputs!$H$7+Inputs!$L$7*(((Inputs!$I$7+(((A99)+1)/2)*(Inputs!$J$7-Inputs!$I$7)))/Inputs!$K$7)^2)))*1000/Inputs!$C$12)</x:f>
        <x:v>25691.84592814523</x:v>
      </x:c>
      <x:c r="AH99" s="48" t="n">
        <x:f>(((SQRT(((Inputs!$I$8+(((A99)+1)/2)*(Inputs!$J$8-Inputs!$I$8)))^2+Inputs!$C$6^2+((Inputs!$H$8+Inputs!$L$8*(((Inputs!$I$8+(((A99)+1)/2)*(Inputs!$J$8-Inputs!$I$8)))/Inputs!$K$8)^2))^2))-((Inputs!$H$8+Inputs!$L$8*(((Inputs!$I$8+(((A99)+1)/2)*(Inputs!$J$8-Inputs!$I$8)))/Inputs!$K$8)^2)))*1000/Inputs!$C$12)</x:f>
        <x:v>56349.58655382304</x:v>
      </x:c>
      <x:c r="AI99" s="48" t="n">
        <x:f>(((SQRT(((Inputs!$I$9+(((A99)+1)/2)*(Inputs!$J$9-Inputs!$I$9)))^2+Inputs!$C$6^2+((Inputs!$H$9+Inputs!$L$9*(((Inputs!$I$9+(((A99)+1)/2)*(Inputs!$J$9-Inputs!$I$9)))/Inputs!$K$9)^2))^2))-((Inputs!$H$9+Inputs!$L$9*(((Inputs!$I$9+(((A99)+1)/2)*(Inputs!$J$9-Inputs!$I$9)))/Inputs!$K$9)^2)))*1000/Inputs!$C$12)</x:f>
        <x:v>59655.11337725294</x:v>
      </x:c>
      <x:c r="AJ99" s="49"/>
      <x:c r="AK99" s="48" t="n">
        <x:f>A99</x:f>
        <x:v>-0.192</x:v>
      </x:c>
      <x:c r="AL99" s="48" t="n">
        <x:f>(-2*((1000*((((Inputs!$I$6+(((A99)+1)/2)*(Inputs!$J$6-Inputs!$I$6)))*Inputs!$C$11+((Inputs!$H$6+Inputs!$L$6*(((Inputs!$I$6+(((A99)+1)/2)*(Inputs!$J$6-Inputs!$I$6)))/Inputs!$K$6)^2))*((2*Inputs!$L$6*((Inputs!$I$6+(((A99)+1)/2)*(Inputs!$J$6-Inputs!$I$6)))/(Inputs!$K$6^2)*Inputs!$C$11)))/(SQRT(((Inputs!$I$6+(((A99)+1)/2)*(Inputs!$J$6-Inputs!$I$6)))^2+Inputs!$C$6^2+((Inputs!$H$6+Inputs!$L$6*(((Inputs!$I$6+(((A99)+1)/2)*(Inputs!$J$6-Inputs!$I$6)))/Inputs!$K$6)^2))^2)))))/Inputs!$C$13)</x:f>
        <x:v>86.81784206356933</x:v>
      </x:c>
      <x:c r="AM99" s="48" t="n">
        <x:f>(-2*((1000*((((Inputs!$I$7+(((A99)+1)/2)*(Inputs!$J$7-Inputs!$I$7)))*Inputs!$C$11+((Inputs!$H$7+Inputs!$L$7*(((Inputs!$I$7+(((A99)+1)/2)*(Inputs!$J$7-Inputs!$I$7)))/Inputs!$K$7)^2))*((2*Inputs!$L$7*((Inputs!$I$7+(((A99)+1)/2)*(Inputs!$J$7-Inputs!$I$7)))/(Inputs!$K$7^2)*Inputs!$C$11)))/(SQRT(((Inputs!$I$7+(((A99)+1)/2)*(Inputs!$J$7-Inputs!$I$7)))^2+Inputs!$C$6^2+((Inputs!$H$7+Inputs!$L$7*(((Inputs!$I$7+(((A99)+1)/2)*(Inputs!$J$7-Inputs!$I$7)))/Inputs!$K$7)^2))^2)))))/Inputs!$C$13)</x:f>
        <x:v>1593.067607607582</x:v>
      </x:c>
      <x:c r="AN99" s="48" t="n">
        <x:f>(-2*((1000*((((Inputs!$I$8+(((A99)+1)/2)*(Inputs!$J$8-Inputs!$I$8)))*Inputs!$C$11+((Inputs!$H$8+Inputs!$L$8*(((Inputs!$I$8+(((A99)+1)/2)*(Inputs!$J$8-Inputs!$I$8)))/Inputs!$K$8)^2))*((2*Inputs!$L$8*((Inputs!$I$8+(((A99)+1)/2)*(Inputs!$J$8-Inputs!$I$8)))/(Inputs!$K$8^2)*Inputs!$C$11)))/(SQRT(((Inputs!$I$8+(((A99)+1)/2)*(Inputs!$J$8-Inputs!$I$8)))^2+Inputs!$C$6^2+((Inputs!$H$8+Inputs!$L$8*(((Inputs!$I$8+(((A99)+1)/2)*(Inputs!$J$8-Inputs!$I$8)))/Inputs!$K$8)^2))^2)))))/Inputs!$C$13)</x:f>
        <x:v>1744.326781014137</x:v>
      </x:c>
      <x:c r="AO99" s="48" t="n">
        <x:f>(-2*((1000*((((Inputs!$I$9+(((A99)+1)/2)*(Inputs!$J$9-Inputs!$I$9)))*Inputs!$C$11+((Inputs!$H$9+Inputs!$L$9*(((Inputs!$I$9+(((A99)+1)/2)*(Inputs!$J$9-Inputs!$I$9)))/Inputs!$K$9)^2))*((2*Inputs!$L$9*((Inputs!$I$9+(((A99)+1)/2)*(Inputs!$J$9-Inputs!$I$9)))/(Inputs!$K$9^2)*Inputs!$C$11)))/(SQRT(((Inputs!$I$9+(((A99)+1)/2)*(Inputs!$J$9-Inputs!$I$9)))^2+Inputs!$C$6^2+((Inputs!$H$9+Inputs!$L$9*(((Inputs!$I$9+(((A99)+1)/2)*(Inputs!$J$9-Inputs!$I$9)))/Inputs!$K$9)^2))^2)))))/Inputs!$C$13)</x:f>
        <x:v>1743.5306722765788</x:v>
      </x:c>
    </x:row>
    <x:row r="100">
      <x:c r="A100" s="48" t="n">
        <x:f>ROUND(-1+98*2/240,3)</x:f>
        <x:v>-0.183</x:v>
      </x:c>
      <x:c r="B100" s="48" t="n">
        <x:f>IF(OR(Inputs!$F$6=TRUE,Inputs!$F$6="TRUE",Inputs!$F$6=1),(Inputs!$H$6+Inputs!$L$6*(((Inputs!$I$6+(((A100)+1)/2)*(Inputs!$J$6-Inputs!$I$6)))/Inputs!$K$6)^2),NA())</x:f>
        <x:v>400.133956</x:v>
      </x:c>
      <x:c r="C100" s="48" t="n">
        <x:f>IF(OR(Inputs!$F$7=TRUE,Inputs!$F$7="TRUE",Inputs!$F$7=1),(Inputs!$H$7+Inputs!$L$7*(((Inputs!$I$7+(((A100)+1)/2)*(Inputs!$J$7-Inputs!$I$7)))/Inputs!$K$7)^2),NA())</x:f>
        <x:v>47.22348500000001</x:v>
      </x:c>
      <x:c r="D100" s="48" t="n">
        <x:f>IF(OR(Inputs!$F$8=TRUE,Inputs!$F$8="TRUE",Inputs!$F$8=1),(Inputs!$H$8+Inputs!$L$8*(((Inputs!$I$8+(((A100)+1)/2)*(Inputs!$J$8-Inputs!$I$8)))/Inputs!$K$8)^2),NA())</x:f>
        <x:v>67.31688500000004</x:v>
      </x:c>
      <x:c r="E100" s="48" t="n">
        <x:f>IF(OR(Inputs!$F$9=TRUE,Inputs!$F$9="TRUE",Inputs!$F$9=1),(Inputs!$H$9+Inputs!$L$9*(((Inputs!$I$9+(((A100)+1)/2)*(Inputs!$J$9-Inputs!$I$9)))/Inputs!$K$9)^2),NA())</x:f>
        <x:v>57.651775000000036</x:v>
      </x:c>
      <x:c r="F100" s="49"/>
      <x:c r="G100" s="48" t="n">
        <x:f>A100</x:f>
        <x:v>-0.183</x:v>
      </x:c>
      <x:c r="H100" s="48" t="n">
        <x:f>IF(OR(Inputs!$F$6=TRUE,Inputs!$F$6="TRUE",Inputs!$F$6=1),(((SQRT(((Inputs!$I$6+(((A100)+1)/2)*(Inputs!$J$6-Inputs!$I$6)))^2+Inputs!$C$6^2+((Inputs!$H$6+Inputs!$L$6*(((Inputs!$I$6+(((A100)+1)/2)*(Inputs!$J$6-Inputs!$I$6)))/Inputs!$K$6)^2))^2))-((Inputs!$H$6+Inputs!$L$6*(((Inputs!$I$6+(((A100)+1)/2)*(Inputs!$J$6-Inputs!$I$6)))/Inputs!$K$6)^2)))*1000/Inputs!$C$12),NA())</x:f>
        <x:v>522.7845206885502</x:v>
      </x:c>
      <x:c r="I100" s="48" t="n">
        <x:f>IF(OR(Inputs!$F$7=TRUE,Inputs!$F$7="TRUE",Inputs!$F$7=1),(((SQRT(((Inputs!$I$7+(((A100)+1)/2)*(Inputs!$J$7-Inputs!$I$7)))^2+Inputs!$C$6^2+((Inputs!$H$7+Inputs!$L$7*(((Inputs!$I$7+(((A100)+1)/2)*(Inputs!$J$7-Inputs!$I$7)))/Inputs!$K$7)^2))^2))-((Inputs!$H$7+Inputs!$L$7*(((Inputs!$I$7+(((A100)+1)/2)*(Inputs!$J$7-Inputs!$I$7)))/Inputs!$K$7)^2)))*1000/Inputs!$C$12),NA())</x:f>
        <x:v>24384.13482915219</x:v>
      </x:c>
      <x:c r="J100" s="48" t="n">
        <x:f>IF(OR(Inputs!$F$8=TRUE,Inputs!$F$8="TRUE",Inputs!$F$8=1),(((SQRT(((Inputs!$I$8+(((A100)+1)/2)*(Inputs!$J$8-Inputs!$I$8)))^2+Inputs!$C$6^2+((Inputs!$H$8+Inputs!$L$8*(((Inputs!$I$8+(((A100)+1)/2)*(Inputs!$J$8-Inputs!$I$8)))/Inputs!$K$8)^2))^2))-((Inputs!$H$8+Inputs!$L$8*(((Inputs!$I$8+(((A100)+1)/2)*(Inputs!$J$8-Inputs!$I$8)))/Inputs!$K$8)^2)))*1000/Inputs!$C$12),NA())</x:f>
        <x:v>53789.919580937225</x:v>
      </x:c>
      <x:c r="K100" s="48" t="n">
        <x:f>IF(OR(Inputs!$F$9=TRUE,Inputs!$F$9="TRUE",Inputs!$F$9=1),(((SQRT(((Inputs!$I$9+(((A100)+1)/2)*(Inputs!$J$9-Inputs!$I$9)))^2+Inputs!$C$6^2+((Inputs!$H$9+Inputs!$L$9*(((Inputs!$I$9+(((A100)+1)/2)*(Inputs!$J$9-Inputs!$I$9)))/Inputs!$K$9)^2))^2))-((Inputs!$H$9+Inputs!$L$9*(((Inputs!$I$9+(((A100)+1)/2)*(Inputs!$J$9-Inputs!$I$9)))/Inputs!$K$9)^2)))*1000/Inputs!$C$12),NA())</x:f>
        <x:v>57114.90823543386</x:v>
      </x:c>
      <x:c r="L100" s="49"/>
      <x:c r="M100" s="48" t="n">
        <x:f>A100</x:f>
        <x:v>-0.183</x:v>
      </x:c>
      <x:c r="N100" s="48" t="n">
        <x:f>IF(OR(Inputs!$F$6=TRUE,Inputs!$F$6="TRUE",Inputs!$F$6=1),(-2*((1000*((((Inputs!$I$6+(((A100)+1)/2)*(Inputs!$J$6-Inputs!$I$6)))*Inputs!$C$11+((Inputs!$H$6+Inputs!$L$6*(((Inputs!$I$6+(((A100)+1)/2)*(Inputs!$J$6-Inputs!$I$6)))/Inputs!$K$6)^2))*((2*Inputs!$L$6*((Inputs!$I$6+(((A100)+1)/2)*(Inputs!$J$6-Inputs!$I$6)))/(Inputs!$K$6^2)*Inputs!$C$11)))/(SQRT(((Inputs!$I$6+(((A100)+1)/2)*(Inputs!$J$6-Inputs!$I$6)))^2+Inputs!$C$6^2+((Inputs!$H$6+Inputs!$L$6*(((Inputs!$I$6+(((A100)+1)/2)*(Inputs!$J$6-Inputs!$I$6)))/Inputs!$K$6)^2))^2)))))/Inputs!$C$13),NA())</x:f>
        <x:v>82.75284552043318</x:v>
      </x:c>
      <x:c r="O100" s="48" t="n">
        <x:f>IF(OR(Inputs!$F$7=TRUE,Inputs!$F$7="TRUE",Inputs!$F$7=1),(-2*((1000*((((Inputs!$I$7+(((A100)+1)/2)*(Inputs!$J$7-Inputs!$I$7)))*Inputs!$C$11+((Inputs!$H$7+Inputs!$L$7*(((Inputs!$I$7+(((A100)+1)/2)*(Inputs!$J$7-Inputs!$I$7)))/Inputs!$K$7)^2))*((2*Inputs!$L$7*((Inputs!$I$7+(((A100)+1)/2)*(Inputs!$J$7-Inputs!$I$7)))/(Inputs!$K$7^2)*Inputs!$C$11)))/(SQRT(((Inputs!$I$7+(((A100)+1)/2)*(Inputs!$J$7-Inputs!$I$7)))^2+Inputs!$C$6^2+((Inputs!$H$7+Inputs!$L$7*(((Inputs!$I$7+(((A100)+1)/2)*(Inputs!$J$7-Inputs!$I$7)))/Inputs!$K$7)^2))^2)))))/Inputs!$C$13),NA())</x:f>
        <x:v>1570.7676146511408</x:v>
      </x:c>
      <x:c r="P100" s="48" t="n">
        <x:f>IF(OR(Inputs!$F$8=TRUE,Inputs!$F$8="TRUE",Inputs!$F$8=1),(-2*((1000*((((Inputs!$I$8+(((A100)+1)/2)*(Inputs!$J$8-Inputs!$I$8)))*Inputs!$C$11+((Inputs!$H$8+Inputs!$L$8*(((Inputs!$I$8+(((A100)+1)/2)*(Inputs!$J$8-Inputs!$I$8)))/Inputs!$K$8)^2))*((2*Inputs!$L$8*((Inputs!$I$8+(((A100)+1)/2)*(Inputs!$J$8-Inputs!$I$8)))/(Inputs!$K$8^2)*Inputs!$C$11)))/(SQRT(((Inputs!$I$8+(((A100)+1)/2)*(Inputs!$J$8-Inputs!$I$8)))^2+Inputs!$C$6^2+((Inputs!$H$8+Inputs!$L$8*(((Inputs!$I$8+(((A100)+1)/2)*(Inputs!$J$8-Inputs!$I$8)))/Inputs!$K$8)^2))^2)))))/Inputs!$C$13),NA())</x:f>
        <x:v>1728.1136843372224</x:v>
      </x:c>
      <x:c r="Q100" s="48" t="n">
        <x:f>IF(OR(Inputs!$F$9=TRUE,Inputs!$F$9="TRUE",Inputs!$F$9=1),(-2*((1000*((((Inputs!$I$9+(((A100)+1)/2)*(Inputs!$J$9-Inputs!$I$9)))*Inputs!$C$11+((Inputs!$H$9+Inputs!$L$9*(((Inputs!$I$9+(((A100)+1)/2)*(Inputs!$J$9-Inputs!$I$9)))/Inputs!$K$9)^2))*((2*Inputs!$L$9*((Inputs!$I$9+(((A100)+1)/2)*(Inputs!$J$9-Inputs!$I$9)))/(Inputs!$K$9^2)*Inputs!$C$11)))/(SQRT(((Inputs!$I$9+(((A100)+1)/2)*(Inputs!$J$9-Inputs!$I$9)))^2+Inputs!$C$6^2+((Inputs!$H$9+Inputs!$L$9*(((Inputs!$I$9+(((A100)+1)/2)*(Inputs!$J$9-Inputs!$I$9)))/Inputs!$K$9)^2))^2)))))/Inputs!$C$13),NA())</x:f>
        <x:v>1728.549129399948</x:v>
      </x:c>
      <x:c r="R100" s="49"/>
      <x:c r="S100" s="48" t="n">
        <x:f>A100</x:f>
        <x:v>-0.183</x:v>
      </x:c>
      <x:c r="T100" s="48" t="n">
        <x:f>(Inputs!$I$6+(((A100)+1)/2)*(Inputs!$J$6-Inputs!$I$6))</x:f>
        <x:v>-10.980000000000004</x:v>
      </x:c>
      <x:c r="U100" s="48" t="n">
        <x:f>(Inputs!$I$7+(((A100)+1)/2)*(Inputs!$J$7-Inputs!$I$7))</x:f>
        <x:v>-73.20000000000005</x:v>
      </x:c>
      <x:c r="V100" s="48" t="n">
        <x:f>(Inputs!$I$8+(((A100)+1)/2)*(Inputs!$J$8-Inputs!$I$8))</x:f>
        <x:v>-146.4000000000001</x:v>
      </x:c>
      <x:c r="W100" s="48" t="n">
        <x:f>(Inputs!$I$9+(((A100)+1)/2)*(Inputs!$J$9-Inputs!$I$9))</x:f>
        <x:v>-146.4000000000001</x:v>
      </x:c>
      <x:c r="X100" s="49"/>
      <x:c r="Y100" s="48" t="n">
        <x:f>A100</x:f>
        <x:v>-0.183</x:v>
      </x:c>
      <x:c r="Z100" s="48" t="n">
        <x:f>(Inputs!$H$6+Inputs!$L$6*(((Inputs!$I$6+(((A100)+1)/2)*(Inputs!$J$6-Inputs!$I$6)))/Inputs!$K$6)^2)</x:f>
        <x:v>400.133956</x:v>
      </x:c>
      <x:c r="AA100" s="48" t="n">
        <x:f>(Inputs!$H$7+Inputs!$L$7*(((Inputs!$I$7+(((A100)+1)/2)*(Inputs!$J$7-Inputs!$I$7)))/Inputs!$K$7)^2)</x:f>
        <x:v>47.22348500000001</x:v>
      </x:c>
      <x:c r="AB100" s="48" t="n">
        <x:f>(Inputs!$H$8+Inputs!$L$8*(((Inputs!$I$8+(((A100)+1)/2)*(Inputs!$J$8-Inputs!$I$8)))/Inputs!$K$8)^2)</x:f>
        <x:v>67.31688500000004</x:v>
      </x:c>
      <x:c r="AC100" s="48" t="n">
        <x:f>(Inputs!$H$9+Inputs!$L$9*(((Inputs!$I$9+(((A100)+1)/2)*(Inputs!$J$9-Inputs!$I$9)))/Inputs!$K$9)^2)</x:f>
        <x:v>57.651775000000036</x:v>
      </x:c>
      <x:c r="AD100" s="49"/>
      <x:c r="AE100" s="48" t="n">
        <x:f>A100</x:f>
        <x:v>-0.183</x:v>
      </x:c>
      <x:c r="AF100" s="48" t="n">
        <x:f>(((SQRT(((Inputs!$I$6+(((A100)+1)/2)*(Inputs!$J$6-Inputs!$I$6)))^2+Inputs!$C$6^2+((Inputs!$H$6+Inputs!$L$6*(((Inputs!$I$6+(((A100)+1)/2)*(Inputs!$J$6-Inputs!$I$6)))/Inputs!$K$6)^2))^2))-((Inputs!$H$6+Inputs!$L$6*(((Inputs!$I$6+(((A100)+1)/2)*(Inputs!$J$6-Inputs!$I$6)))/Inputs!$K$6)^2)))*1000/Inputs!$C$12)</x:f>
        <x:v>522.7845206885502</x:v>
      </x:c>
      <x:c r="AG100" s="48" t="n">
        <x:f>(((SQRT(((Inputs!$I$7+(((A100)+1)/2)*(Inputs!$J$7-Inputs!$I$7)))^2+Inputs!$C$6^2+((Inputs!$H$7+Inputs!$L$7*(((Inputs!$I$7+(((A100)+1)/2)*(Inputs!$J$7-Inputs!$I$7)))/Inputs!$K$7)^2))^2))-((Inputs!$H$7+Inputs!$L$7*(((Inputs!$I$7+(((A100)+1)/2)*(Inputs!$J$7-Inputs!$I$7)))/Inputs!$K$7)^2)))*1000/Inputs!$C$12)</x:f>
        <x:v>24384.13482915219</x:v>
      </x:c>
      <x:c r="AH100" s="48" t="n">
        <x:f>(((SQRT(((Inputs!$I$8+(((A100)+1)/2)*(Inputs!$J$8-Inputs!$I$8)))^2+Inputs!$C$6^2+((Inputs!$H$8+Inputs!$L$8*(((Inputs!$I$8+(((A100)+1)/2)*(Inputs!$J$8-Inputs!$I$8)))/Inputs!$K$8)^2))^2))-((Inputs!$H$8+Inputs!$L$8*(((Inputs!$I$8+(((A100)+1)/2)*(Inputs!$J$8-Inputs!$I$8)))/Inputs!$K$8)^2)))*1000/Inputs!$C$12)</x:f>
        <x:v>53789.919580937225</x:v>
      </x:c>
      <x:c r="AI100" s="48" t="n">
        <x:f>(((SQRT(((Inputs!$I$9+(((A100)+1)/2)*(Inputs!$J$9-Inputs!$I$9)))^2+Inputs!$C$6^2+((Inputs!$H$9+Inputs!$L$9*(((Inputs!$I$9+(((A100)+1)/2)*(Inputs!$J$9-Inputs!$I$9)))/Inputs!$K$9)^2))^2))-((Inputs!$H$9+Inputs!$L$9*(((Inputs!$I$9+(((A100)+1)/2)*(Inputs!$J$9-Inputs!$I$9)))/Inputs!$K$9)^2)))*1000/Inputs!$C$12)</x:f>
        <x:v>57114.90823543386</x:v>
      </x:c>
      <x:c r="AJ100" s="49"/>
      <x:c r="AK100" s="48" t="n">
        <x:f>A100</x:f>
        <x:v>-0.183</x:v>
      </x:c>
      <x:c r="AL100" s="48" t="n">
        <x:f>(-2*((1000*((((Inputs!$I$6+(((A100)+1)/2)*(Inputs!$J$6-Inputs!$I$6)))*Inputs!$C$11+((Inputs!$H$6+Inputs!$L$6*(((Inputs!$I$6+(((A100)+1)/2)*(Inputs!$J$6-Inputs!$I$6)))/Inputs!$K$6)^2))*((2*Inputs!$L$6*((Inputs!$I$6+(((A100)+1)/2)*(Inputs!$J$6-Inputs!$I$6)))/(Inputs!$K$6^2)*Inputs!$C$11)))/(SQRT(((Inputs!$I$6+(((A100)+1)/2)*(Inputs!$J$6-Inputs!$I$6)))^2+Inputs!$C$6^2+((Inputs!$H$6+Inputs!$L$6*(((Inputs!$I$6+(((A100)+1)/2)*(Inputs!$J$6-Inputs!$I$6)))/Inputs!$K$6)^2))^2)))))/Inputs!$C$13)</x:f>
        <x:v>82.75284552043318</x:v>
      </x:c>
      <x:c r="AM100" s="48" t="n">
        <x:f>(-2*((1000*((((Inputs!$I$7+(((A100)+1)/2)*(Inputs!$J$7-Inputs!$I$7)))*Inputs!$C$11+((Inputs!$H$7+Inputs!$L$7*(((Inputs!$I$7+(((A100)+1)/2)*(Inputs!$J$7-Inputs!$I$7)))/Inputs!$K$7)^2))*((2*Inputs!$L$7*((Inputs!$I$7+(((A100)+1)/2)*(Inputs!$J$7-Inputs!$I$7)))/(Inputs!$K$7^2)*Inputs!$C$11)))/(SQRT(((Inputs!$I$7+(((A100)+1)/2)*(Inputs!$J$7-Inputs!$I$7)))^2+Inputs!$C$6^2+((Inputs!$H$7+Inputs!$L$7*(((Inputs!$I$7+(((A100)+1)/2)*(Inputs!$J$7-Inputs!$I$7)))/Inputs!$K$7)^2))^2)))))/Inputs!$C$13)</x:f>
        <x:v>1570.7676146511408</x:v>
      </x:c>
      <x:c r="AN100" s="48" t="n">
        <x:f>(-2*((1000*((((Inputs!$I$8+(((A100)+1)/2)*(Inputs!$J$8-Inputs!$I$8)))*Inputs!$C$11+((Inputs!$H$8+Inputs!$L$8*(((Inputs!$I$8+(((A100)+1)/2)*(Inputs!$J$8-Inputs!$I$8)))/Inputs!$K$8)^2))*((2*Inputs!$L$8*((Inputs!$I$8+(((A100)+1)/2)*(Inputs!$J$8-Inputs!$I$8)))/(Inputs!$K$8^2)*Inputs!$C$11)))/(SQRT(((Inputs!$I$8+(((A100)+1)/2)*(Inputs!$J$8-Inputs!$I$8)))^2+Inputs!$C$6^2+((Inputs!$H$8+Inputs!$L$8*(((Inputs!$I$8+(((A100)+1)/2)*(Inputs!$J$8-Inputs!$I$8)))/Inputs!$K$8)^2))^2)))))/Inputs!$C$13)</x:f>
        <x:v>1728.1136843372224</x:v>
      </x:c>
      <x:c r="AO100" s="48" t="n">
        <x:f>(-2*((1000*((((Inputs!$I$9+(((A100)+1)/2)*(Inputs!$J$9-Inputs!$I$9)))*Inputs!$C$11+((Inputs!$H$9+Inputs!$L$9*(((Inputs!$I$9+(((A100)+1)/2)*(Inputs!$J$9-Inputs!$I$9)))/Inputs!$K$9)^2))*((2*Inputs!$L$9*((Inputs!$I$9+(((A100)+1)/2)*(Inputs!$J$9-Inputs!$I$9)))/(Inputs!$K$9^2)*Inputs!$C$11)))/(SQRT(((Inputs!$I$9+(((A100)+1)/2)*(Inputs!$J$9-Inputs!$I$9)))^2+Inputs!$C$6^2+((Inputs!$H$9+Inputs!$L$9*(((Inputs!$I$9+(((A100)+1)/2)*(Inputs!$J$9-Inputs!$I$9)))/Inputs!$K$9)^2))^2)))))/Inputs!$C$13)</x:f>
        <x:v>1728.549129399948</x:v>
      </x:c>
    </x:row>
    <x:row r="101">
      <x:c r="A101" s="48" t="n">
        <x:f>ROUND(-1+99*2/240,3)</x:f>
        <x:v>-0.175</x:v>
      </x:c>
      <x:c r="B101" s="48" t="n">
        <x:f>IF(OR(Inputs!$F$6=TRUE,Inputs!$F$6="TRUE",Inputs!$F$6=1),(Inputs!$H$6+Inputs!$L$6*(((Inputs!$I$6+(((A101)+1)/2)*(Inputs!$J$6-Inputs!$I$6)))/Inputs!$K$6)^2),NA())</x:f>
        <x:v>400.1225</x:v>
      </x:c>
      <x:c r="C101" s="48" t="n">
        <x:f>IF(OR(Inputs!$F$7=TRUE,Inputs!$F$7="TRUE",Inputs!$F$7=1),(Inputs!$H$7+Inputs!$L$7*(((Inputs!$I$7+(((A101)+1)/2)*(Inputs!$J$7-Inputs!$I$7)))/Inputs!$K$7)^2),NA())</x:f>
        <x:v>46.178124999999994</x:v>
      </x:c>
      <x:c r="D101" s="48" t="n">
        <x:f>IF(OR(Inputs!$F$8=TRUE,Inputs!$F$8="TRUE",Inputs!$F$8=1),(Inputs!$H$8+Inputs!$L$8*(((Inputs!$I$8+(((A101)+1)/2)*(Inputs!$J$8-Inputs!$I$8)))/Inputs!$K$8)^2),NA())</x:f>
        <x:v>64.553125</x:v>
      </x:c>
      <x:c r="E101" s="48" t="n">
        <x:f>IF(OR(Inputs!$F$9=TRUE,Inputs!$F$9="TRUE",Inputs!$F$9=1),(Inputs!$H$9+Inputs!$L$9*(((Inputs!$I$9+(((A101)+1)/2)*(Inputs!$J$9-Inputs!$I$9)))/Inputs!$K$9)^2),NA())</x:f>
        <x:v>54.859375</x:v>
      </x:c>
      <x:c r="F101" s="49"/>
      <x:c r="G101" s="48" t="n">
        <x:f>A101</x:f>
        <x:v>-0.175</x:v>
      </x:c>
      <x:c r="H101" s="48" t="n">
        <x:f>IF(OR(Inputs!$F$6=TRUE,Inputs!$F$6="TRUE",Inputs!$F$6=1),(((SQRT(((Inputs!$I$6+(((A101)+1)/2)*(Inputs!$J$6-Inputs!$I$6)))^2+Inputs!$C$6^2+((Inputs!$H$6+Inputs!$L$6*(((Inputs!$I$6+(((A101)+1)/2)*(Inputs!$J$6-Inputs!$I$6)))/Inputs!$K$6)^2))^2))-((Inputs!$H$6+Inputs!$L$6*(((Inputs!$I$6+(((A101)+1)/2)*(Inputs!$J$6-Inputs!$I$6)))/Inputs!$K$6)^2)))*1000/Inputs!$C$12),NA())</x:f>
        <x:v>515.5779006869442</x:v>
      </x:c>
      <x:c r="I101" s="48" t="n">
        <x:f>IF(OR(Inputs!$F$7=TRUE,Inputs!$F$7="TRUE",Inputs!$F$7=1),(((SQRT(((Inputs!$I$7+(((A101)+1)/2)*(Inputs!$J$7-Inputs!$I$7)))^2+Inputs!$C$6^2+((Inputs!$H$7+Inputs!$L$7*(((Inputs!$I$7+(((A101)+1)/2)*(Inputs!$J$7-Inputs!$I$7)))/Inputs!$K$7)^2))^2))-((Inputs!$H$7+Inputs!$L$7*(((Inputs!$I$7+(((A101)+1)/2)*(Inputs!$J$7-Inputs!$I$7)))/Inputs!$K$7)^2)))*1000/Inputs!$C$12),NA())</x:f>
        <x:v>23218.28991614506</x:v>
      </x:c>
      <x:c r="J101" s="48" t="n">
        <x:f>IF(OR(Inputs!$F$8=TRUE,Inputs!$F$8="TRUE",Inputs!$F$8=1),(((SQRT(((Inputs!$I$8+(((A101)+1)/2)*(Inputs!$J$8-Inputs!$I$8)))^2+Inputs!$C$6^2+((Inputs!$H$8+Inputs!$L$8*(((Inputs!$I$8+(((A101)+1)/2)*(Inputs!$J$8-Inputs!$I$8)))/Inputs!$K$8)^2))^2))-((Inputs!$H$8+Inputs!$L$8*(((Inputs!$I$8+(((A101)+1)/2)*(Inputs!$J$8-Inputs!$I$8)))/Inputs!$K$8)^2)))*1000/Inputs!$C$12),NA())</x:f>
        <x:v>51475.61698146661</x:v>
      </x:c>
      <x:c r="K101" s="48" t="n">
        <x:f>IF(OR(Inputs!$F$9=TRUE,Inputs!$F$9="TRUE",Inputs!$F$9=1),(((SQRT(((Inputs!$I$9+(((A101)+1)/2)*(Inputs!$J$9-Inputs!$I$9)))^2+Inputs!$C$6^2+((Inputs!$H$9+Inputs!$L$9*(((Inputs!$I$9+(((A101)+1)/2)*(Inputs!$J$9-Inputs!$I$9)))/Inputs!$K$9)^2))^2))-((Inputs!$H$9+Inputs!$L$9*(((Inputs!$I$9+(((A101)+1)/2)*(Inputs!$J$9-Inputs!$I$9)))/Inputs!$K$9)^2)))*1000/Inputs!$C$12),NA())</x:f>
        <x:v>54814.30574053003</x:v>
      </x:c>
      <x:c r="L101" s="49"/>
      <x:c r="M101" s="48" t="n">
        <x:f>A101</x:f>
        <x:v>-0.175</x:v>
      </x:c>
      <x:c r="N101" s="48" t="n">
        <x:f>IF(OR(Inputs!$F$6=TRUE,Inputs!$F$6="TRUE",Inputs!$F$6=1),(-2*((1000*((((Inputs!$I$6+(((A101)+1)/2)*(Inputs!$J$6-Inputs!$I$6)))*Inputs!$C$11+((Inputs!$H$6+Inputs!$L$6*(((Inputs!$I$6+(((A101)+1)/2)*(Inputs!$J$6-Inputs!$I$6)))/Inputs!$K$6)^2))*((2*Inputs!$L$6*((Inputs!$I$6+(((A101)+1)/2)*(Inputs!$J$6-Inputs!$I$6)))/(Inputs!$K$6^2)*Inputs!$C$11)))/(SQRT(((Inputs!$I$6+(((A101)+1)/2)*(Inputs!$J$6-Inputs!$I$6)))^2+Inputs!$C$6^2+((Inputs!$H$6+Inputs!$L$6*(((Inputs!$I$6+(((A101)+1)/2)*(Inputs!$J$6-Inputs!$I$6)))/Inputs!$K$6)^2))^2)))))/Inputs!$C$13),NA())</x:f>
        <x:v>79.13896012990475</x:v>
      </x:c>
      <x:c r="O101" s="48" t="n">
        <x:f>IF(OR(Inputs!$F$7=TRUE,Inputs!$F$7="TRUE",Inputs!$F$7=1),(-2*((1000*((((Inputs!$I$7+(((A101)+1)/2)*(Inputs!$J$7-Inputs!$I$7)))*Inputs!$C$11+((Inputs!$H$7+Inputs!$L$7*(((Inputs!$I$7+(((A101)+1)/2)*(Inputs!$J$7-Inputs!$I$7)))/Inputs!$K$7)^2))*((2*Inputs!$L$7*((Inputs!$I$7+(((A101)+1)/2)*(Inputs!$J$7-Inputs!$I$7)))/(Inputs!$K$7^2)*Inputs!$C$11)))/(SQRT(((Inputs!$I$7+(((A101)+1)/2)*(Inputs!$J$7-Inputs!$I$7)))^2+Inputs!$C$6^2+((Inputs!$H$7+Inputs!$L$7*(((Inputs!$I$7+(((A101)+1)/2)*(Inputs!$J$7-Inputs!$I$7)))/Inputs!$K$7)^2))^2)))))/Inputs!$C$13),NA())</x:f>
        <x:v>1549.5619334068679</x:v>
      </x:c>
      <x:c r="P101" s="48" t="n">
        <x:f>IF(OR(Inputs!$F$8=TRUE,Inputs!$F$8="TRUE",Inputs!$F$8=1),(-2*((1000*((((Inputs!$I$8+(((A101)+1)/2)*(Inputs!$J$8-Inputs!$I$8)))*Inputs!$C$11+((Inputs!$H$8+Inputs!$L$8*(((Inputs!$I$8+(((A101)+1)/2)*(Inputs!$J$8-Inputs!$I$8)))/Inputs!$K$8)^2))*((2*Inputs!$L$8*((Inputs!$I$8+(((A101)+1)/2)*(Inputs!$J$8-Inputs!$I$8)))/(Inputs!$K$8^2)*Inputs!$C$11)))/(SQRT(((Inputs!$I$8+(((A101)+1)/2)*(Inputs!$J$8-Inputs!$I$8)))^2+Inputs!$C$6^2+((Inputs!$H$8+Inputs!$L$8*(((Inputs!$I$8+(((A101)+1)/2)*(Inputs!$J$8-Inputs!$I$8)))/Inputs!$K$8)^2))^2)))))/Inputs!$C$13),NA())</x:f>
        <x:v>1713.4467292436516</x:v>
      </x:c>
      <x:c r="Q101" s="48" t="n">
        <x:f>IF(OR(Inputs!$F$9=TRUE,Inputs!$F$9="TRUE",Inputs!$F$9=1),(-2*((1000*((((Inputs!$I$9+(((A101)+1)/2)*(Inputs!$J$9-Inputs!$I$9)))*Inputs!$C$11+((Inputs!$H$9+Inputs!$L$9*(((Inputs!$I$9+(((A101)+1)/2)*(Inputs!$J$9-Inputs!$I$9)))/Inputs!$K$9)^2))*((2*Inputs!$L$9*((Inputs!$I$9+(((A101)+1)/2)*(Inputs!$J$9-Inputs!$I$9)))/(Inputs!$K$9^2)*Inputs!$C$11)))/(SQRT(((Inputs!$I$9+(((A101)+1)/2)*(Inputs!$J$9-Inputs!$I$9)))^2+Inputs!$C$6^2+((Inputs!$H$9+Inputs!$L$9*(((Inputs!$I$9+(((A101)+1)/2)*(Inputs!$J$9-Inputs!$I$9)))/Inputs!$K$9)^2))^2)))))/Inputs!$C$13),NA())</x:f>
        <x:v>1715.170992435012</x:v>
      </x:c>
      <x:c r="R101" s="49"/>
      <x:c r="S101" s="48" t="n">
        <x:f>A101</x:f>
        <x:v>-0.175</x:v>
      </x:c>
      <x:c r="T101" s="48" t="n">
        <x:f>(Inputs!$I$6+(((A101)+1)/2)*(Inputs!$J$6-Inputs!$I$6))</x:f>
        <x:v>-10.5</x:v>
      </x:c>
      <x:c r="U101" s="48" t="n">
        <x:f>(Inputs!$I$7+(((A101)+1)/2)*(Inputs!$J$7-Inputs!$I$7))</x:f>
        <x:v>-70</x:v>
      </x:c>
      <x:c r="V101" s="48" t="n">
        <x:f>(Inputs!$I$8+(((A101)+1)/2)*(Inputs!$J$8-Inputs!$I$8))</x:f>
        <x:v>-140</x:v>
      </x:c>
      <x:c r="W101" s="48" t="n">
        <x:f>(Inputs!$I$9+(((A101)+1)/2)*(Inputs!$J$9-Inputs!$I$9))</x:f>
        <x:v>-140</x:v>
      </x:c>
      <x:c r="X101" s="49"/>
      <x:c r="Y101" s="48" t="n">
        <x:f>A101</x:f>
        <x:v>-0.175</x:v>
      </x:c>
      <x:c r="Z101" s="48" t="n">
        <x:f>(Inputs!$H$6+Inputs!$L$6*(((Inputs!$I$6+(((A101)+1)/2)*(Inputs!$J$6-Inputs!$I$6)))/Inputs!$K$6)^2)</x:f>
        <x:v>400.1225</x:v>
      </x:c>
      <x:c r="AA101" s="48" t="n">
        <x:f>(Inputs!$H$7+Inputs!$L$7*(((Inputs!$I$7+(((A101)+1)/2)*(Inputs!$J$7-Inputs!$I$7)))/Inputs!$K$7)^2)</x:f>
        <x:v>46.178124999999994</x:v>
      </x:c>
      <x:c r="AB101" s="48" t="n">
        <x:f>(Inputs!$H$8+Inputs!$L$8*(((Inputs!$I$8+(((A101)+1)/2)*(Inputs!$J$8-Inputs!$I$8)))/Inputs!$K$8)^2)</x:f>
        <x:v>64.553125</x:v>
      </x:c>
      <x:c r="AC101" s="48" t="n">
        <x:f>(Inputs!$H$9+Inputs!$L$9*(((Inputs!$I$9+(((A101)+1)/2)*(Inputs!$J$9-Inputs!$I$9)))/Inputs!$K$9)^2)</x:f>
        <x:v>54.859375</x:v>
      </x:c>
      <x:c r="AD101" s="49"/>
      <x:c r="AE101" s="48" t="n">
        <x:f>A101</x:f>
        <x:v>-0.175</x:v>
      </x:c>
      <x:c r="AF101" s="48" t="n">
        <x:f>(((SQRT(((Inputs!$I$6+(((A101)+1)/2)*(Inputs!$J$6-Inputs!$I$6)))^2+Inputs!$C$6^2+((Inputs!$H$6+Inputs!$L$6*(((Inputs!$I$6+(((A101)+1)/2)*(Inputs!$J$6-Inputs!$I$6)))/Inputs!$K$6)^2))^2))-((Inputs!$H$6+Inputs!$L$6*(((Inputs!$I$6+(((A101)+1)/2)*(Inputs!$J$6-Inputs!$I$6)))/Inputs!$K$6)^2)))*1000/Inputs!$C$12)</x:f>
        <x:v>515.5779006869442</x:v>
      </x:c>
      <x:c r="AG101" s="48" t="n">
        <x:f>(((SQRT(((Inputs!$I$7+(((A101)+1)/2)*(Inputs!$J$7-Inputs!$I$7)))^2+Inputs!$C$6^2+((Inputs!$H$7+Inputs!$L$7*(((Inputs!$I$7+(((A101)+1)/2)*(Inputs!$J$7-Inputs!$I$7)))/Inputs!$K$7)^2))^2))-((Inputs!$H$7+Inputs!$L$7*(((Inputs!$I$7+(((A101)+1)/2)*(Inputs!$J$7-Inputs!$I$7)))/Inputs!$K$7)^2)))*1000/Inputs!$C$12)</x:f>
        <x:v>23218.28991614506</x:v>
      </x:c>
      <x:c r="AH101" s="48" t="n">
        <x:f>(((SQRT(((Inputs!$I$8+(((A101)+1)/2)*(Inputs!$J$8-Inputs!$I$8)))^2+Inputs!$C$6^2+((Inputs!$H$8+Inputs!$L$8*(((Inputs!$I$8+(((A101)+1)/2)*(Inputs!$J$8-Inputs!$I$8)))/Inputs!$K$8)^2))^2))-((Inputs!$H$8+Inputs!$L$8*(((Inputs!$I$8+(((A101)+1)/2)*(Inputs!$J$8-Inputs!$I$8)))/Inputs!$K$8)^2)))*1000/Inputs!$C$12)</x:f>
        <x:v>51475.61698146661</x:v>
      </x:c>
      <x:c r="AI101" s="48" t="n">
        <x:f>(((SQRT(((Inputs!$I$9+(((A101)+1)/2)*(Inputs!$J$9-Inputs!$I$9)))^2+Inputs!$C$6^2+((Inputs!$H$9+Inputs!$L$9*(((Inputs!$I$9+(((A101)+1)/2)*(Inputs!$J$9-Inputs!$I$9)))/Inputs!$K$9)^2))^2))-((Inputs!$H$9+Inputs!$L$9*(((Inputs!$I$9+(((A101)+1)/2)*(Inputs!$J$9-Inputs!$I$9)))/Inputs!$K$9)^2)))*1000/Inputs!$C$12)</x:f>
        <x:v>54814.30574053003</x:v>
      </x:c>
      <x:c r="AJ101" s="49"/>
      <x:c r="AK101" s="48" t="n">
        <x:f>A101</x:f>
        <x:v>-0.175</x:v>
      </x:c>
      <x:c r="AL101" s="48" t="n">
        <x:f>(-2*((1000*((((Inputs!$I$6+(((A101)+1)/2)*(Inputs!$J$6-Inputs!$I$6)))*Inputs!$C$11+((Inputs!$H$6+Inputs!$L$6*(((Inputs!$I$6+(((A101)+1)/2)*(Inputs!$J$6-Inputs!$I$6)))/Inputs!$K$6)^2))*((2*Inputs!$L$6*((Inputs!$I$6+(((A101)+1)/2)*(Inputs!$J$6-Inputs!$I$6)))/(Inputs!$K$6^2)*Inputs!$C$11)))/(SQRT(((Inputs!$I$6+(((A101)+1)/2)*(Inputs!$J$6-Inputs!$I$6)))^2+Inputs!$C$6^2+((Inputs!$H$6+Inputs!$L$6*(((Inputs!$I$6+(((A101)+1)/2)*(Inputs!$J$6-Inputs!$I$6)))/Inputs!$K$6)^2))^2)))))/Inputs!$C$13)</x:f>
        <x:v>79.13896012990475</x:v>
      </x:c>
      <x:c r="AM101" s="48" t="n">
        <x:f>(-2*((1000*((((Inputs!$I$7+(((A101)+1)/2)*(Inputs!$J$7-Inputs!$I$7)))*Inputs!$C$11+((Inputs!$H$7+Inputs!$L$7*(((Inputs!$I$7+(((A101)+1)/2)*(Inputs!$J$7-Inputs!$I$7)))/Inputs!$K$7)^2))*((2*Inputs!$L$7*((Inputs!$I$7+(((A101)+1)/2)*(Inputs!$J$7-Inputs!$I$7)))/(Inputs!$K$7^2)*Inputs!$C$11)))/(SQRT(((Inputs!$I$7+(((A101)+1)/2)*(Inputs!$J$7-Inputs!$I$7)))^2+Inputs!$C$6^2+((Inputs!$H$7+Inputs!$L$7*(((Inputs!$I$7+(((A101)+1)/2)*(Inputs!$J$7-Inputs!$I$7)))/Inputs!$K$7)^2))^2)))))/Inputs!$C$13)</x:f>
        <x:v>1549.5619334068679</x:v>
      </x:c>
      <x:c r="AN101" s="48" t="n">
        <x:f>(-2*((1000*((((Inputs!$I$8+(((A101)+1)/2)*(Inputs!$J$8-Inputs!$I$8)))*Inputs!$C$11+((Inputs!$H$8+Inputs!$L$8*(((Inputs!$I$8+(((A101)+1)/2)*(Inputs!$J$8-Inputs!$I$8)))/Inputs!$K$8)^2))*((2*Inputs!$L$8*((Inputs!$I$8+(((A101)+1)/2)*(Inputs!$J$8-Inputs!$I$8)))/(Inputs!$K$8^2)*Inputs!$C$11)))/(SQRT(((Inputs!$I$8+(((A101)+1)/2)*(Inputs!$J$8-Inputs!$I$8)))^2+Inputs!$C$6^2+((Inputs!$H$8+Inputs!$L$8*(((Inputs!$I$8+(((A101)+1)/2)*(Inputs!$J$8-Inputs!$I$8)))/Inputs!$K$8)^2))^2)))))/Inputs!$C$13)</x:f>
        <x:v>1713.4467292436516</x:v>
      </x:c>
      <x:c r="AO101" s="48" t="n">
        <x:f>(-2*((1000*((((Inputs!$I$9+(((A101)+1)/2)*(Inputs!$J$9-Inputs!$I$9)))*Inputs!$C$11+((Inputs!$H$9+Inputs!$L$9*(((Inputs!$I$9+(((A101)+1)/2)*(Inputs!$J$9-Inputs!$I$9)))/Inputs!$K$9)^2))*((2*Inputs!$L$9*((Inputs!$I$9+(((A101)+1)/2)*(Inputs!$J$9-Inputs!$I$9)))/(Inputs!$K$9^2)*Inputs!$C$11)))/(SQRT(((Inputs!$I$9+(((A101)+1)/2)*(Inputs!$J$9-Inputs!$I$9)))^2+Inputs!$C$6^2+((Inputs!$H$9+Inputs!$L$9*(((Inputs!$I$9+(((A101)+1)/2)*(Inputs!$J$9-Inputs!$I$9)))/Inputs!$K$9)^2))^2)))))/Inputs!$C$13)</x:f>
        <x:v>1715.170992435012</x:v>
      </x:c>
    </x:row>
    <x:row r="102">
      <x:c r="A102" s="48" t="n">
        <x:f>ROUND(-1+100*2/240,3)</x:f>
        <x:v>-0.167</x:v>
      </x:c>
      <x:c r="B102" s="48" t="n">
        <x:f>IF(OR(Inputs!$F$6=TRUE,Inputs!$F$6="TRUE",Inputs!$F$6=1),(Inputs!$H$6+Inputs!$L$6*(((Inputs!$I$6+(((A102)+1)/2)*(Inputs!$J$6-Inputs!$I$6)))/Inputs!$K$6)^2),NA())</x:f>
        <x:v>400.111556</x:v>
      </x:c>
      <x:c r="C102" s="48" t="n">
        <x:f>IF(OR(Inputs!$F$7=TRUE,Inputs!$F$7="TRUE",Inputs!$F$7=1),(Inputs!$H$7+Inputs!$L$7*(((Inputs!$I$7+(((A102)+1)/2)*(Inputs!$J$7-Inputs!$I$7)))/Inputs!$K$7)^2),NA())</x:f>
        <x:v>45.179485</x:v>
      </x:c>
      <x:c r="D102" s="48" t="n">
        <x:f>IF(OR(Inputs!$F$8=TRUE,Inputs!$F$8="TRUE",Inputs!$F$8=1),(Inputs!$H$8+Inputs!$L$8*(((Inputs!$I$8+(((A102)+1)/2)*(Inputs!$J$8-Inputs!$I$8)))/Inputs!$K$8)^2),NA())</x:f>
        <x:v>61.91288500000001</x:v>
      </x:c>
      <x:c r="E102" s="48" t="n">
        <x:f>IF(OR(Inputs!$F$9=TRUE,Inputs!$F$9="TRUE",Inputs!$F$9=1),(Inputs!$H$9+Inputs!$L$9*(((Inputs!$I$9+(((A102)+1)/2)*(Inputs!$J$9-Inputs!$I$9)))/Inputs!$K$9)^2),NA())</x:f>
        <x:v>52.19177500000001</x:v>
      </x:c>
      <x:c r="F102" s="49"/>
      <x:c r="G102" s="48" t="n">
        <x:f>A102</x:f>
        <x:v>-0.167</x:v>
      </x:c>
      <x:c r="H102" s="48" t="n">
        <x:f>IF(OR(Inputs!$F$6=TRUE,Inputs!$F$6="TRUE",Inputs!$F$6=1),(((SQRT(((Inputs!$I$6+(((A102)+1)/2)*(Inputs!$J$6-Inputs!$I$6)))^2+Inputs!$C$6^2+((Inputs!$H$6+Inputs!$L$6*(((Inputs!$I$6+(((A102)+1)/2)*(Inputs!$J$6-Inputs!$I$6)))/Inputs!$K$6)^2))^2))-((Inputs!$H$6+Inputs!$L$6*(((Inputs!$I$6+(((A102)+1)/2)*(Inputs!$J$6-Inputs!$I$6)))/Inputs!$K$6)^2)))*1000/Inputs!$C$12),NA())</x:f>
        <x:v>508.6927644023288</x:v>
      </x:c>
      <x:c r="I102" s="48" t="n">
        <x:f>IF(OR(Inputs!$F$7=TRUE,Inputs!$F$7="TRUE",Inputs!$F$7=1),(((SQRT(((Inputs!$I$7+(((A102)+1)/2)*(Inputs!$J$7-Inputs!$I$7)))^2+Inputs!$C$6^2+((Inputs!$H$7+Inputs!$L$7*(((Inputs!$I$7+(((A102)+1)/2)*(Inputs!$J$7-Inputs!$I$7)))/Inputs!$K$7)^2))^2))-((Inputs!$H$7+Inputs!$L$7*(((Inputs!$I$7+(((A102)+1)/2)*(Inputs!$J$7-Inputs!$I$7)))/Inputs!$K$7)^2)))*1000/Inputs!$C$12),NA())</x:f>
        <x:v>22050.854333705047</x:v>
      </x:c>
      <x:c r="J102" s="48" t="n">
        <x:f>IF(OR(Inputs!$F$8=TRUE,Inputs!$F$8="TRUE",Inputs!$F$8=1),(((SQRT(((Inputs!$I$8+(((A102)+1)/2)*(Inputs!$J$8-Inputs!$I$8)))^2+Inputs!$C$6^2+((Inputs!$H$8+Inputs!$L$8*(((Inputs!$I$8+(((A102)+1)/2)*(Inputs!$J$8-Inputs!$I$8)))/Inputs!$K$8)^2))^2))-((Inputs!$H$8+Inputs!$L$8*(((Inputs!$I$8+(((A102)+1)/2)*(Inputs!$J$8-Inputs!$I$8)))/Inputs!$K$8)^2)))*1000/Inputs!$C$12),NA())</x:f>
        <x:v>49125.252584195696</x:v>
      </x:c>
      <x:c r="K102" s="48" t="n">
        <x:f>IF(OR(Inputs!$F$9=TRUE,Inputs!$F$9="TRUE",Inputs!$F$9=1),(((SQRT(((Inputs!$I$9+(((A102)+1)/2)*(Inputs!$J$9-Inputs!$I$9)))^2+Inputs!$C$6^2+((Inputs!$H$9+Inputs!$L$9*(((Inputs!$I$9+(((A102)+1)/2)*(Inputs!$J$9-Inputs!$I$9)))/Inputs!$K$9)^2))^2))-((Inputs!$H$9+Inputs!$L$9*(((Inputs!$I$9+(((A102)+1)/2)*(Inputs!$J$9-Inputs!$I$9)))/Inputs!$K$9)^2)))*1000/Inputs!$C$12),NA())</x:f>
        <x:v>52473.79397517621</x:v>
      </x:c>
      <x:c r="L102" s="49"/>
      <x:c r="M102" s="48" t="n">
        <x:f>A102</x:f>
        <x:v>-0.167</x:v>
      </x:c>
      <x:c r="N102" s="48" t="n">
        <x:f>IF(OR(Inputs!$F$6=TRUE,Inputs!$F$6="TRUE",Inputs!$F$6=1),(-2*((1000*((((Inputs!$I$6+(((A102)+1)/2)*(Inputs!$J$6-Inputs!$I$6)))*Inputs!$C$11+((Inputs!$H$6+Inputs!$L$6*(((Inputs!$I$6+(((A102)+1)/2)*(Inputs!$J$6-Inputs!$I$6)))/Inputs!$K$6)^2))*((2*Inputs!$L$6*((Inputs!$I$6+(((A102)+1)/2)*(Inputs!$J$6-Inputs!$I$6)))/(Inputs!$K$6^2)*Inputs!$C$11)))/(SQRT(((Inputs!$I$6+(((A102)+1)/2)*(Inputs!$J$6-Inputs!$I$6)))^2+Inputs!$C$6^2+((Inputs!$H$6+Inputs!$L$6*(((Inputs!$I$6+(((A102)+1)/2)*(Inputs!$J$6-Inputs!$I$6)))/Inputs!$K$6)^2))^2)))))/Inputs!$C$13),NA())</x:f>
        <x:v>75.52457585531198</x:v>
      </x:c>
      <x:c r="O102" s="48" t="n">
        <x:f>IF(OR(Inputs!$F$7=TRUE,Inputs!$F$7="TRUE",Inputs!$F$7=1),(-2*((1000*((((Inputs!$I$7+(((A102)+1)/2)*(Inputs!$J$7-Inputs!$I$7)))*Inputs!$C$11+((Inputs!$H$7+Inputs!$L$7*(((Inputs!$I$7+(((A102)+1)/2)*(Inputs!$J$7-Inputs!$I$7)))/Inputs!$K$7)^2))*((2*Inputs!$L$7*((Inputs!$I$7+(((A102)+1)/2)*(Inputs!$J$7-Inputs!$I$7)))/(Inputs!$K$7^2)*Inputs!$C$11)))/(SQRT(((Inputs!$I$7+(((A102)+1)/2)*(Inputs!$J$7-Inputs!$I$7)))^2+Inputs!$C$6^2+((Inputs!$H$7+Inputs!$L$7*(((Inputs!$I$7+(((A102)+1)/2)*(Inputs!$J$7-Inputs!$I$7)))/Inputs!$K$7)^2))^2)))))/Inputs!$C$13),NA())</x:f>
        <x:v>1526.842536314455</x:v>
      </x:c>
      <x:c r="P102" s="48" t="n">
        <x:f>IF(OR(Inputs!$F$8=TRUE,Inputs!$F$8="TRUE",Inputs!$F$8=1),(-2*((1000*((((Inputs!$I$8+(((A102)+1)/2)*(Inputs!$J$8-Inputs!$I$8)))*Inputs!$C$11+((Inputs!$H$8+Inputs!$L$8*(((Inputs!$I$8+(((A102)+1)/2)*(Inputs!$J$8-Inputs!$I$8)))/Inputs!$K$8)^2))*((2*Inputs!$L$8*((Inputs!$I$8+(((A102)+1)/2)*(Inputs!$J$8-Inputs!$I$8)))/(Inputs!$K$8^2)*Inputs!$C$11)))/(SQRT(((Inputs!$I$8+(((A102)+1)/2)*(Inputs!$J$8-Inputs!$I$8)))^2+Inputs!$C$6^2+((Inputs!$H$8+Inputs!$L$8*(((Inputs!$I$8+(((A102)+1)/2)*(Inputs!$J$8-Inputs!$I$8)))/Inputs!$K$8)^2))^2)))))/Inputs!$C$13),NA())</x:f>
        <x:v>1698.4290209237238</x:v>
      </x:c>
      <x:c r="Q102" s="48" t="n">
        <x:f>IF(OR(Inputs!$F$9=TRUE,Inputs!$F$9="TRUE",Inputs!$F$9=1),(-2*((1000*((((Inputs!$I$9+(((A102)+1)/2)*(Inputs!$J$9-Inputs!$I$9)))*Inputs!$C$11+((Inputs!$H$9+Inputs!$L$9*(((Inputs!$I$9+(((A102)+1)/2)*(Inputs!$J$9-Inputs!$I$9)))/Inputs!$K$9)^2))*((2*Inputs!$L$9*((Inputs!$I$9+(((A102)+1)/2)*(Inputs!$J$9-Inputs!$I$9)))/(Inputs!$K$9^2)*Inputs!$C$11)))/(SQRT(((Inputs!$I$9+(((A102)+1)/2)*(Inputs!$J$9-Inputs!$I$9)))^2+Inputs!$C$6^2+((Inputs!$H$9+Inputs!$L$9*(((Inputs!$I$9+(((A102)+1)/2)*(Inputs!$J$9-Inputs!$I$9)))/Inputs!$K$9)^2))^2)))))/Inputs!$C$13),NA())</x:f>
        <x:v>1701.6537983891926</x:v>
      </x:c>
      <x:c r="R102" s="49"/>
      <x:c r="S102" s="48" t="n">
        <x:f>A102</x:f>
        <x:v>-0.167</x:v>
      </x:c>
      <x:c r="T102" s="48" t="n">
        <x:f>(Inputs!$I$6+(((A102)+1)/2)*(Inputs!$J$6-Inputs!$I$6))</x:f>
        <x:v>-10.020000000000003</x:v>
      </x:c>
      <x:c r="U102" s="48" t="n">
        <x:f>(Inputs!$I$7+(((A102)+1)/2)*(Inputs!$J$7-Inputs!$I$7))</x:f>
        <x:v>-66.80000000000001</x:v>
      </x:c>
      <x:c r="V102" s="48" t="n">
        <x:f>(Inputs!$I$8+(((A102)+1)/2)*(Inputs!$J$8-Inputs!$I$8))</x:f>
        <x:v>-133.60000000000002</x:v>
      </x:c>
      <x:c r="W102" s="48" t="n">
        <x:f>(Inputs!$I$9+(((A102)+1)/2)*(Inputs!$J$9-Inputs!$I$9))</x:f>
        <x:v>-133.60000000000002</x:v>
      </x:c>
      <x:c r="X102" s="49"/>
      <x:c r="Y102" s="48" t="n">
        <x:f>A102</x:f>
        <x:v>-0.167</x:v>
      </x:c>
      <x:c r="Z102" s="48" t="n">
        <x:f>(Inputs!$H$6+Inputs!$L$6*(((Inputs!$I$6+(((A102)+1)/2)*(Inputs!$J$6-Inputs!$I$6)))/Inputs!$K$6)^2)</x:f>
        <x:v>400.111556</x:v>
      </x:c>
      <x:c r="AA102" s="48" t="n">
        <x:f>(Inputs!$H$7+Inputs!$L$7*(((Inputs!$I$7+(((A102)+1)/2)*(Inputs!$J$7-Inputs!$I$7)))/Inputs!$K$7)^2)</x:f>
        <x:v>45.179485</x:v>
      </x:c>
      <x:c r="AB102" s="48" t="n">
        <x:f>(Inputs!$H$8+Inputs!$L$8*(((Inputs!$I$8+(((A102)+1)/2)*(Inputs!$J$8-Inputs!$I$8)))/Inputs!$K$8)^2)</x:f>
        <x:v>61.91288500000001</x:v>
      </x:c>
      <x:c r="AC102" s="48" t="n">
        <x:f>(Inputs!$H$9+Inputs!$L$9*(((Inputs!$I$9+(((A102)+1)/2)*(Inputs!$J$9-Inputs!$I$9)))/Inputs!$K$9)^2)</x:f>
        <x:v>52.19177500000001</x:v>
      </x:c>
      <x:c r="AD102" s="49"/>
      <x:c r="AE102" s="48" t="n">
        <x:f>A102</x:f>
        <x:v>-0.167</x:v>
      </x:c>
      <x:c r="AF102" s="48" t="n">
        <x:f>(((SQRT(((Inputs!$I$6+(((A102)+1)/2)*(Inputs!$J$6-Inputs!$I$6)))^2+Inputs!$C$6^2+((Inputs!$H$6+Inputs!$L$6*(((Inputs!$I$6+(((A102)+1)/2)*(Inputs!$J$6-Inputs!$I$6)))/Inputs!$K$6)^2))^2))-((Inputs!$H$6+Inputs!$L$6*(((Inputs!$I$6+(((A102)+1)/2)*(Inputs!$J$6-Inputs!$I$6)))/Inputs!$K$6)^2)))*1000/Inputs!$C$12)</x:f>
        <x:v>508.6927644023288</x:v>
      </x:c>
      <x:c r="AG102" s="48" t="n">
        <x:f>(((SQRT(((Inputs!$I$7+(((A102)+1)/2)*(Inputs!$J$7-Inputs!$I$7)))^2+Inputs!$C$6^2+((Inputs!$H$7+Inputs!$L$7*(((Inputs!$I$7+(((A102)+1)/2)*(Inputs!$J$7-Inputs!$I$7)))/Inputs!$K$7)^2))^2))-((Inputs!$H$7+Inputs!$L$7*(((Inputs!$I$7+(((A102)+1)/2)*(Inputs!$J$7-Inputs!$I$7)))/Inputs!$K$7)^2)))*1000/Inputs!$C$12)</x:f>
        <x:v>22050.854333705047</x:v>
      </x:c>
      <x:c r="AH102" s="48" t="n">
        <x:f>(((SQRT(((Inputs!$I$8+(((A102)+1)/2)*(Inputs!$J$8-Inputs!$I$8)))^2+Inputs!$C$6^2+((Inputs!$H$8+Inputs!$L$8*(((Inputs!$I$8+(((A102)+1)/2)*(Inputs!$J$8-Inputs!$I$8)))/Inputs!$K$8)^2))^2))-((Inputs!$H$8+Inputs!$L$8*(((Inputs!$I$8+(((A102)+1)/2)*(Inputs!$J$8-Inputs!$I$8)))/Inputs!$K$8)^2)))*1000/Inputs!$C$12)</x:f>
        <x:v>49125.252584195696</x:v>
      </x:c>
      <x:c r="AI102" s="48" t="n">
        <x:f>(((SQRT(((Inputs!$I$9+(((A102)+1)/2)*(Inputs!$J$9-Inputs!$I$9)))^2+Inputs!$C$6^2+((Inputs!$H$9+Inputs!$L$9*(((Inputs!$I$9+(((A102)+1)/2)*(Inputs!$J$9-Inputs!$I$9)))/Inputs!$K$9)^2))^2))-((Inputs!$H$9+Inputs!$L$9*(((Inputs!$I$9+(((A102)+1)/2)*(Inputs!$J$9-Inputs!$I$9)))/Inputs!$K$9)^2)))*1000/Inputs!$C$12)</x:f>
        <x:v>52473.79397517621</x:v>
      </x:c>
      <x:c r="AJ102" s="49"/>
      <x:c r="AK102" s="48" t="n">
        <x:f>A102</x:f>
        <x:v>-0.167</x:v>
      </x:c>
      <x:c r="AL102" s="48" t="n">
        <x:f>(-2*((1000*((((Inputs!$I$6+(((A102)+1)/2)*(Inputs!$J$6-Inputs!$I$6)))*Inputs!$C$11+((Inputs!$H$6+Inputs!$L$6*(((Inputs!$I$6+(((A102)+1)/2)*(Inputs!$J$6-Inputs!$I$6)))/Inputs!$K$6)^2))*((2*Inputs!$L$6*((Inputs!$I$6+(((A102)+1)/2)*(Inputs!$J$6-Inputs!$I$6)))/(Inputs!$K$6^2)*Inputs!$C$11)))/(SQRT(((Inputs!$I$6+(((A102)+1)/2)*(Inputs!$J$6-Inputs!$I$6)))^2+Inputs!$C$6^2+((Inputs!$H$6+Inputs!$L$6*(((Inputs!$I$6+(((A102)+1)/2)*(Inputs!$J$6-Inputs!$I$6)))/Inputs!$K$6)^2))^2)))))/Inputs!$C$13)</x:f>
        <x:v>75.52457585531198</x:v>
      </x:c>
      <x:c r="AM102" s="48" t="n">
        <x:f>(-2*((1000*((((Inputs!$I$7+(((A102)+1)/2)*(Inputs!$J$7-Inputs!$I$7)))*Inputs!$C$11+((Inputs!$H$7+Inputs!$L$7*(((Inputs!$I$7+(((A102)+1)/2)*(Inputs!$J$7-Inputs!$I$7)))/Inputs!$K$7)^2))*((2*Inputs!$L$7*((Inputs!$I$7+(((A102)+1)/2)*(Inputs!$J$7-Inputs!$I$7)))/(Inputs!$K$7^2)*Inputs!$C$11)))/(SQRT(((Inputs!$I$7+(((A102)+1)/2)*(Inputs!$J$7-Inputs!$I$7)))^2+Inputs!$C$6^2+((Inputs!$H$7+Inputs!$L$7*(((Inputs!$I$7+(((A102)+1)/2)*(Inputs!$J$7-Inputs!$I$7)))/Inputs!$K$7)^2))^2)))))/Inputs!$C$13)</x:f>
        <x:v>1526.842536314455</x:v>
      </x:c>
      <x:c r="AN102" s="48" t="n">
        <x:f>(-2*((1000*((((Inputs!$I$8+(((A102)+1)/2)*(Inputs!$J$8-Inputs!$I$8)))*Inputs!$C$11+((Inputs!$H$8+Inputs!$L$8*(((Inputs!$I$8+(((A102)+1)/2)*(Inputs!$J$8-Inputs!$I$8)))/Inputs!$K$8)^2))*((2*Inputs!$L$8*((Inputs!$I$8+(((A102)+1)/2)*(Inputs!$J$8-Inputs!$I$8)))/(Inputs!$K$8^2)*Inputs!$C$11)))/(SQRT(((Inputs!$I$8+(((A102)+1)/2)*(Inputs!$J$8-Inputs!$I$8)))^2+Inputs!$C$6^2+((Inputs!$H$8+Inputs!$L$8*(((Inputs!$I$8+(((A102)+1)/2)*(Inputs!$J$8-Inputs!$I$8)))/Inputs!$K$8)^2))^2)))))/Inputs!$C$13)</x:f>
        <x:v>1698.4290209237238</x:v>
      </x:c>
      <x:c r="AO102" s="48" t="n">
        <x:f>(-2*((1000*((((Inputs!$I$9+(((A102)+1)/2)*(Inputs!$J$9-Inputs!$I$9)))*Inputs!$C$11+((Inputs!$H$9+Inputs!$L$9*(((Inputs!$I$9+(((A102)+1)/2)*(Inputs!$J$9-Inputs!$I$9)))/Inputs!$K$9)^2))*((2*Inputs!$L$9*((Inputs!$I$9+(((A102)+1)/2)*(Inputs!$J$9-Inputs!$I$9)))/(Inputs!$K$9^2)*Inputs!$C$11)))/(SQRT(((Inputs!$I$9+(((A102)+1)/2)*(Inputs!$J$9-Inputs!$I$9)))^2+Inputs!$C$6^2+((Inputs!$H$9+Inputs!$L$9*(((Inputs!$I$9+(((A102)+1)/2)*(Inputs!$J$9-Inputs!$I$9)))/Inputs!$K$9)^2))^2)))))/Inputs!$C$13)</x:f>
        <x:v>1701.6537983891926</x:v>
      </x:c>
    </x:row>
    <x:row r="103">
      <x:c r="A103" s="48" t="n">
        <x:f>ROUND(-1+101*2/240,3)</x:f>
        <x:v>-0.158</x:v>
      </x:c>
      <x:c r="B103" s="48" t="n">
        <x:f>IF(OR(Inputs!$F$6=TRUE,Inputs!$F$6="TRUE",Inputs!$F$6=1),(Inputs!$H$6+Inputs!$L$6*(((Inputs!$I$6+(((A103)+1)/2)*(Inputs!$J$6-Inputs!$I$6)))/Inputs!$K$6)^2),NA())</x:f>
        <x:v>400.099856</x:v>
      </x:c>
      <x:c r="C103" s="48" t="n">
        <x:f>IF(OR(Inputs!$F$7=TRUE,Inputs!$F$7="TRUE",Inputs!$F$7=1),(Inputs!$H$7+Inputs!$L$7*(((Inputs!$I$7+(((A103)+1)/2)*(Inputs!$J$7-Inputs!$I$7)))/Inputs!$K$7)^2),NA())</x:f>
        <x:v>44.11186</x:v>
      </x:c>
      <x:c r="D103" s="48" t="n">
        <x:f>IF(OR(Inputs!$F$8=TRUE,Inputs!$F$8="TRUE",Inputs!$F$8=1),(Inputs!$H$8+Inputs!$L$8*(((Inputs!$I$8+(((A103)+1)/2)*(Inputs!$J$8-Inputs!$I$8)))/Inputs!$K$8)^2),NA())</x:f>
        <x:v>59.090259999999994</x:v>
      </x:c>
      <x:c r="E103" s="48" t="n">
        <x:f>IF(OR(Inputs!$F$9=TRUE,Inputs!$F$9="TRUE",Inputs!$F$9=1),(Inputs!$H$9+Inputs!$L$9*(((Inputs!$I$9+(((A103)+1)/2)*(Inputs!$J$9-Inputs!$I$9)))/Inputs!$K$9)^2),NA())</x:f>
        <x:v>49.33989999999999</x:v>
      </x:c>
      <x:c r="F103" s="49"/>
      <x:c r="G103" s="48" t="n">
        <x:f>A103</x:f>
        <x:v>-0.158</x:v>
      </x:c>
      <x:c r="H103" s="48" t="n">
        <x:f>IF(OR(Inputs!$F$6=TRUE,Inputs!$F$6="TRUE",Inputs!$F$6=1),(((SQRT(((Inputs!$I$6+(((A103)+1)/2)*(Inputs!$J$6-Inputs!$I$6)))^2+Inputs!$C$6^2+((Inputs!$H$6+Inputs!$L$6*(((Inputs!$I$6+(((A103)+1)/2)*(Inputs!$J$6-Inputs!$I$6)))/Inputs!$K$6)^2))^2))-((Inputs!$H$6+Inputs!$L$6*(((Inputs!$I$6+(((A103)+1)/2)*(Inputs!$J$6-Inputs!$I$6)))/Inputs!$K$6)^2)))*1000/Inputs!$C$12),NA())</x:f>
        <x:v>501.33136175215793</x:v>
      </x:c>
      <x:c r="I103" s="48" t="n">
        <x:f>IF(OR(Inputs!$F$7=TRUE,Inputs!$F$7="TRUE",Inputs!$F$7=1),(((SQRT(((Inputs!$I$7+(((A103)+1)/2)*(Inputs!$J$7-Inputs!$I$7)))^2+Inputs!$C$6^2+((Inputs!$H$7+Inputs!$L$7*(((Inputs!$I$7+(((A103)+1)/2)*(Inputs!$J$7-Inputs!$I$7)))/Inputs!$K$7)^2))^2))-((Inputs!$H$7+Inputs!$L$7*(((Inputs!$I$7+(((A103)+1)/2)*(Inputs!$J$7-Inputs!$I$7)))/Inputs!$K$7)^2)))*1000/Inputs!$C$12),NA())</x:f>
        <x:v>20737.87707560272</x:v>
      </x:c>
      <x:c r="J103" s="48" t="n">
        <x:f>IF(OR(Inputs!$F$8=TRUE,Inputs!$F$8="TRUE",Inputs!$F$8=1),(((SQRT(((Inputs!$I$8+(((A103)+1)/2)*(Inputs!$J$8-Inputs!$I$8)))^2+Inputs!$C$6^2+((Inputs!$H$8+Inputs!$L$8*(((Inputs!$I$8+(((A103)+1)/2)*(Inputs!$J$8-Inputs!$I$8)))/Inputs!$K$8)^2))^2))-((Inputs!$H$8+Inputs!$L$8*(((Inputs!$I$8+(((A103)+1)/2)*(Inputs!$J$8-Inputs!$I$8)))/Inputs!$K$8)^2)))*1000/Inputs!$C$12),NA())</x:f>
        <x:v>46439.158617238005</x:v>
      </x:c>
      <x:c r="K103" s="48" t="n">
        <x:f>IF(OR(Inputs!$F$9=TRUE,Inputs!$F$9="TRUE",Inputs!$F$9=1),(((SQRT(((Inputs!$I$9+(((A103)+1)/2)*(Inputs!$J$9-Inputs!$I$9)))^2+Inputs!$C$6^2+((Inputs!$H$9+Inputs!$L$9*(((Inputs!$I$9+(((A103)+1)/2)*(Inputs!$J$9-Inputs!$I$9)))/Inputs!$K$9)^2))^2))-((Inputs!$H$9+Inputs!$L$9*(((Inputs!$I$9+(((A103)+1)/2)*(Inputs!$J$9-Inputs!$I$9)))/Inputs!$K$9)^2)))*1000/Inputs!$C$12),NA())</x:f>
        <x:v>49793.54455863063</x:v>
      </x:c>
      <x:c r="L103" s="49"/>
      <x:c r="M103" s="48" t="n">
        <x:f>A103</x:f>
        <x:v>-0.158</x:v>
      </x:c>
      <x:c r="N103" s="48" t="n">
        <x:f>IF(OR(Inputs!$F$6=TRUE,Inputs!$F$6="TRUE",Inputs!$F$6=1),(-2*((1000*((((Inputs!$I$6+(((A103)+1)/2)*(Inputs!$J$6-Inputs!$I$6)))*Inputs!$C$11+((Inputs!$H$6+Inputs!$L$6*(((Inputs!$I$6+(((A103)+1)/2)*(Inputs!$J$6-Inputs!$I$6)))/Inputs!$K$6)^2))*((2*Inputs!$L$6*((Inputs!$I$6+(((A103)+1)/2)*(Inputs!$J$6-Inputs!$I$6)))/(Inputs!$K$6^2)*Inputs!$C$11)))/(SQRT(((Inputs!$I$6+(((A103)+1)/2)*(Inputs!$J$6-Inputs!$I$6)))^2+Inputs!$C$6^2+((Inputs!$H$6+Inputs!$L$6*(((Inputs!$I$6+(((A103)+1)/2)*(Inputs!$J$6-Inputs!$I$6)))/Inputs!$K$6)^2))^2)))))/Inputs!$C$13),NA())</x:f>
        <x:v>71.45782544960292</x:v>
      </x:c>
      <x:c r="O103" s="48" t="n">
        <x:f>IF(OR(Inputs!$F$7=TRUE,Inputs!$F$7="TRUE",Inputs!$F$7=1),(-2*((1000*((((Inputs!$I$7+(((A103)+1)/2)*(Inputs!$J$7-Inputs!$I$7)))*Inputs!$C$11+((Inputs!$H$7+Inputs!$L$7*(((Inputs!$I$7+(((A103)+1)/2)*(Inputs!$J$7-Inputs!$I$7)))/Inputs!$K$7)^2))*((2*Inputs!$L$7*((Inputs!$I$7+(((A103)+1)/2)*(Inputs!$J$7-Inputs!$I$7)))/(Inputs!$K$7^2)*Inputs!$C$11)))/(SQRT(((Inputs!$I$7+(((A103)+1)/2)*(Inputs!$J$7-Inputs!$I$7)))^2+Inputs!$C$6^2+((Inputs!$H$7+Inputs!$L$7*(((Inputs!$I$7+(((A103)+1)/2)*(Inputs!$J$7-Inputs!$I$7)))/Inputs!$K$7)^2))^2)))))/Inputs!$C$13),NA())</x:f>
        <x:v>1499.1795886261764</x:v>
      </x:c>
      <x:c r="P103" s="48" t="n">
        <x:f>IF(OR(Inputs!$F$8=TRUE,Inputs!$F$8="TRUE",Inputs!$F$8=1),(-2*((1000*((((Inputs!$I$8+(((A103)+1)/2)*(Inputs!$J$8-Inputs!$I$8)))*Inputs!$C$11+((Inputs!$H$8+Inputs!$L$8*(((Inputs!$I$8+(((A103)+1)/2)*(Inputs!$J$8-Inputs!$I$8)))/Inputs!$K$8)^2))*((2*Inputs!$L$8*((Inputs!$I$8+(((A103)+1)/2)*(Inputs!$J$8-Inputs!$I$8)))/(Inputs!$K$8^2)*Inputs!$C$11)))/(SQRT(((Inputs!$I$8+(((A103)+1)/2)*(Inputs!$J$8-Inputs!$I$8)))^2+Inputs!$C$6^2+((Inputs!$H$8+Inputs!$L$8*(((Inputs!$I$8+(((A103)+1)/2)*(Inputs!$J$8-Inputs!$I$8)))/Inputs!$K$8)^2))^2)))))/Inputs!$C$13),NA())</x:f>
        <x:v>1680.9500470934552</x:v>
      </x:c>
      <x:c r="Q103" s="48" t="n">
        <x:f>IF(OR(Inputs!$F$9=TRUE,Inputs!$F$9="TRUE",Inputs!$F$9=1),(-2*((1000*((((Inputs!$I$9+(((A103)+1)/2)*(Inputs!$J$9-Inputs!$I$9)))*Inputs!$C$11+((Inputs!$H$9+Inputs!$L$9*(((Inputs!$I$9+(((A103)+1)/2)*(Inputs!$J$9-Inputs!$I$9)))/Inputs!$K$9)^2))*((2*Inputs!$L$9*((Inputs!$I$9+(((A103)+1)/2)*(Inputs!$J$9-Inputs!$I$9)))/(Inputs!$K$9^2)*Inputs!$C$11)))/(SQRT(((Inputs!$I$9+(((A103)+1)/2)*(Inputs!$J$9-Inputs!$I$9)))^2+Inputs!$C$6^2+((Inputs!$H$9+Inputs!$L$9*(((Inputs!$I$9+(((A103)+1)/2)*(Inputs!$J$9-Inputs!$I$9)))/Inputs!$K$9)^2))^2)))))/Inputs!$C$13),NA())</x:f>
        <x:v>1686.1577436829066</x:v>
      </x:c>
      <x:c r="R103" s="49"/>
      <x:c r="S103" s="48" t="n">
        <x:f>A103</x:f>
        <x:v>-0.158</x:v>
      </x:c>
      <x:c r="T103" s="48" t="n">
        <x:f>(Inputs!$I$6+(((A103)+1)/2)*(Inputs!$J$6-Inputs!$I$6))</x:f>
        <x:v>-9.480000000000004</x:v>
      </x:c>
      <x:c r="U103" s="48" t="n">
        <x:f>(Inputs!$I$7+(((A103)+1)/2)*(Inputs!$J$7-Inputs!$I$7))</x:f>
        <x:v>-63.19999999999999</x:v>
      </x:c>
      <x:c r="V103" s="48" t="n">
        <x:f>(Inputs!$I$8+(((A103)+1)/2)*(Inputs!$J$8-Inputs!$I$8))</x:f>
        <x:v>-126.39999999999998</x:v>
      </x:c>
      <x:c r="W103" s="48" t="n">
        <x:f>(Inputs!$I$9+(((A103)+1)/2)*(Inputs!$J$9-Inputs!$I$9))</x:f>
        <x:v>-126.39999999999998</x:v>
      </x:c>
      <x:c r="X103" s="49"/>
      <x:c r="Y103" s="48" t="n">
        <x:f>A103</x:f>
        <x:v>-0.158</x:v>
      </x:c>
      <x:c r="Z103" s="48" t="n">
        <x:f>(Inputs!$H$6+Inputs!$L$6*(((Inputs!$I$6+(((A103)+1)/2)*(Inputs!$J$6-Inputs!$I$6)))/Inputs!$K$6)^2)</x:f>
        <x:v>400.099856</x:v>
      </x:c>
      <x:c r="AA103" s="48" t="n">
        <x:f>(Inputs!$H$7+Inputs!$L$7*(((Inputs!$I$7+(((A103)+1)/2)*(Inputs!$J$7-Inputs!$I$7)))/Inputs!$K$7)^2)</x:f>
        <x:v>44.11186</x:v>
      </x:c>
      <x:c r="AB103" s="48" t="n">
        <x:f>(Inputs!$H$8+Inputs!$L$8*(((Inputs!$I$8+(((A103)+1)/2)*(Inputs!$J$8-Inputs!$I$8)))/Inputs!$K$8)^2)</x:f>
        <x:v>59.090259999999994</x:v>
      </x:c>
      <x:c r="AC103" s="48" t="n">
        <x:f>(Inputs!$H$9+Inputs!$L$9*(((Inputs!$I$9+(((A103)+1)/2)*(Inputs!$J$9-Inputs!$I$9)))/Inputs!$K$9)^2)</x:f>
        <x:v>49.33989999999999</x:v>
      </x:c>
      <x:c r="AD103" s="49"/>
      <x:c r="AE103" s="48" t="n">
        <x:f>A103</x:f>
        <x:v>-0.158</x:v>
      </x:c>
      <x:c r="AF103" s="48" t="n">
        <x:f>(((SQRT(((Inputs!$I$6+(((A103)+1)/2)*(Inputs!$J$6-Inputs!$I$6)))^2+Inputs!$C$6^2+((Inputs!$H$6+Inputs!$L$6*(((Inputs!$I$6+(((A103)+1)/2)*(Inputs!$J$6-Inputs!$I$6)))/Inputs!$K$6)^2))^2))-((Inputs!$H$6+Inputs!$L$6*(((Inputs!$I$6+(((A103)+1)/2)*(Inputs!$J$6-Inputs!$I$6)))/Inputs!$K$6)^2)))*1000/Inputs!$C$12)</x:f>
        <x:v>501.33136175215793</x:v>
      </x:c>
      <x:c r="AG103" s="48" t="n">
        <x:f>(((SQRT(((Inputs!$I$7+(((A103)+1)/2)*(Inputs!$J$7-Inputs!$I$7)))^2+Inputs!$C$6^2+((Inputs!$H$7+Inputs!$L$7*(((Inputs!$I$7+(((A103)+1)/2)*(Inputs!$J$7-Inputs!$I$7)))/Inputs!$K$7)^2))^2))-((Inputs!$H$7+Inputs!$L$7*(((Inputs!$I$7+(((A103)+1)/2)*(Inputs!$J$7-Inputs!$I$7)))/Inputs!$K$7)^2)))*1000/Inputs!$C$12)</x:f>
        <x:v>20737.87707560272</x:v>
      </x:c>
      <x:c r="AH103" s="48" t="n">
        <x:f>(((SQRT(((Inputs!$I$8+(((A103)+1)/2)*(Inputs!$J$8-Inputs!$I$8)))^2+Inputs!$C$6^2+((Inputs!$H$8+Inputs!$L$8*(((Inputs!$I$8+(((A103)+1)/2)*(Inputs!$J$8-Inputs!$I$8)))/Inputs!$K$8)^2))^2))-((Inputs!$H$8+Inputs!$L$8*(((Inputs!$I$8+(((A103)+1)/2)*(Inputs!$J$8-Inputs!$I$8)))/Inputs!$K$8)^2)))*1000/Inputs!$C$12)</x:f>
        <x:v>46439.158617238005</x:v>
      </x:c>
      <x:c r="AI103" s="48" t="n">
        <x:f>(((SQRT(((Inputs!$I$9+(((A103)+1)/2)*(Inputs!$J$9-Inputs!$I$9)))^2+Inputs!$C$6^2+((Inputs!$H$9+Inputs!$L$9*(((Inputs!$I$9+(((A103)+1)/2)*(Inputs!$J$9-Inputs!$I$9)))/Inputs!$K$9)^2))^2))-((Inputs!$H$9+Inputs!$L$9*(((Inputs!$I$9+(((A103)+1)/2)*(Inputs!$J$9-Inputs!$I$9)))/Inputs!$K$9)^2)))*1000/Inputs!$C$12)</x:f>
        <x:v>49793.54455863063</x:v>
      </x:c>
      <x:c r="AJ103" s="49"/>
      <x:c r="AK103" s="48" t="n">
        <x:f>A103</x:f>
        <x:v>-0.158</x:v>
      </x:c>
      <x:c r="AL103" s="48" t="n">
        <x:f>(-2*((1000*((((Inputs!$I$6+(((A103)+1)/2)*(Inputs!$J$6-Inputs!$I$6)))*Inputs!$C$11+((Inputs!$H$6+Inputs!$L$6*(((Inputs!$I$6+(((A103)+1)/2)*(Inputs!$J$6-Inputs!$I$6)))/Inputs!$K$6)^2))*((2*Inputs!$L$6*((Inputs!$I$6+(((A103)+1)/2)*(Inputs!$J$6-Inputs!$I$6)))/(Inputs!$K$6^2)*Inputs!$C$11)))/(SQRT(((Inputs!$I$6+(((A103)+1)/2)*(Inputs!$J$6-Inputs!$I$6)))^2+Inputs!$C$6^2+((Inputs!$H$6+Inputs!$L$6*(((Inputs!$I$6+(((A103)+1)/2)*(Inputs!$J$6-Inputs!$I$6)))/Inputs!$K$6)^2))^2)))))/Inputs!$C$13)</x:f>
        <x:v>71.45782544960292</x:v>
      </x:c>
      <x:c r="AM103" s="48" t="n">
        <x:f>(-2*((1000*((((Inputs!$I$7+(((A103)+1)/2)*(Inputs!$J$7-Inputs!$I$7)))*Inputs!$C$11+((Inputs!$H$7+Inputs!$L$7*(((Inputs!$I$7+(((A103)+1)/2)*(Inputs!$J$7-Inputs!$I$7)))/Inputs!$K$7)^2))*((2*Inputs!$L$7*((Inputs!$I$7+(((A103)+1)/2)*(Inputs!$J$7-Inputs!$I$7)))/(Inputs!$K$7^2)*Inputs!$C$11)))/(SQRT(((Inputs!$I$7+(((A103)+1)/2)*(Inputs!$J$7-Inputs!$I$7)))^2+Inputs!$C$6^2+((Inputs!$H$7+Inputs!$L$7*(((Inputs!$I$7+(((A103)+1)/2)*(Inputs!$J$7-Inputs!$I$7)))/Inputs!$K$7)^2))^2)))))/Inputs!$C$13)</x:f>
        <x:v>1499.1795886261764</x:v>
      </x:c>
      <x:c r="AN103" s="48" t="n">
        <x:f>(-2*((1000*((((Inputs!$I$8+(((A103)+1)/2)*(Inputs!$J$8-Inputs!$I$8)))*Inputs!$C$11+((Inputs!$H$8+Inputs!$L$8*(((Inputs!$I$8+(((A103)+1)/2)*(Inputs!$J$8-Inputs!$I$8)))/Inputs!$K$8)^2))*((2*Inputs!$L$8*((Inputs!$I$8+(((A103)+1)/2)*(Inputs!$J$8-Inputs!$I$8)))/(Inputs!$K$8^2)*Inputs!$C$11)))/(SQRT(((Inputs!$I$8+(((A103)+1)/2)*(Inputs!$J$8-Inputs!$I$8)))^2+Inputs!$C$6^2+((Inputs!$H$8+Inputs!$L$8*(((Inputs!$I$8+(((A103)+1)/2)*(Inputs!$J$8-Inputs!$I$8)))/Inputs!$K$8)^2))^2)))))/Inputs!$C$13)</x:f>
        <x:v>1680.9500470934552</x:v>
      </x:c>
      <x:c r="AO103" s="48" t="n">
        <x:f>(-2*((1000*((((Inputs!$I$9+(((A103)+1)/2)*(Inputs!$J$9-Inputs!$I$9)))*Inputs!$C$11+((Inputs!$H$9+Inputs!$L$9*(((Inputs!$I$9+(((A103)+1)/2)*(Inputs!$J$9-Inputs!$I$9)))/Inputs!$K$9)^2))*((2*Inputs!$L$9*((Inputs!$I$9+(((A103)+1)/2)*(Inputs!$J$9-Inputs!$I$9)))/(Inputs!$K$9^2)*Inputs!$C$11)))/(SQRT(((Inputs!$I$9+(((A103)+1)/2)*(Inputs!$J$9-Inputs!$I$9)))^2+Inputs!$C$6^2+((Inputs!$H$9+Inputs!$L$9*(((Inputs!$I$9+(((A103)+1)/2)*(Inputs!$J$9-Inputs!$I$9)))/Inputs!$K$9)^2))^2)))))/Inputs!$C$13)</x:f>
        <x:v>1686.1577436829066</x:v>
      </x:c>
    </x:row>
    <x:row r="104">
      <x:c r="A104" s="48" t="n">
        <x:f>ROUND(-1+102*2/240,3)</x:f>
        <x:v>-0.15</x:v>
      </x:c>
      <x:c r="B104" s="48" t="n">
        <x:f>IF(OR(Inputs!$F$6=TRUE,Inputs!$F$6="TRUE",Inputs!$F$6=1),(Inputs!$H$6+Inputs!$L$6*(((Inputs!$I$6+(((A104)+1)/2)*(Inputs!$J$6-Inputs!$I$6)))/Inputs!$K$6)^2),NA())</x:f>
        <x:v>400.09</x:v>
      </x:c>
      <x:c r="C104" s="48" t="n">
        <x:f>IF(OR(Inputs!$F$7=TRUE,Inputs!$F$7="TRUE",Inputs!$F$7=1),(Inputs!$H$7+Inputs!$L$7*(((Inputs!$I$7+(((A104)+1)/2)*(Inputs!$J$7-Inputs!$I$7)))/Inputs!$K$7)^2),NA())</x:f>
        <x:v>43.2125</x:v>
      </x:c>
      <x:c r="D104" s="48" t="n">
        <x:f>IF(OR(Inputs!$F$8=TRUE,Inputs!$F$8="TRUE",Inputs!$F$8=1),(Inputs!$H$8+Inputs!$L$8*(((Inputs!$I$8+(((A104)+1)/2)*(Inputs!$J$8-Inputs!$I$8)))/Inputs!$K$8)^2),NA())</x:f>
        <x:v>56.7125</x:v>
      </x:c>
      <x:c r="E104" s="48" t="n">
        <x:f>IF(OR(Inputs!$F$9=TRUE,Inputs!$F$9="TRUE",Inputs!$F$9=1),(Inputs!$H$9+Inputs!$L$9*(((Inputs!$I$9+(((A104)+1)/2)*(Inputs!$J$9-Inputs!$I$9)))/Inputs!$K$9)^2),NA())</x:f>
        <x:v>46.9375</x:v>
      </x:c>
      <x:c r="F104" s="49"/>
      <x:c r="G104" s="48" t="n">
        <x:f>A104</x:f>
        <x:v>-0.15</x:v>
      </x:c>
      <x:c r="H104" s="48" t="n">
        <x:f>IF(OR(Inputs!$F$6=TRUE,Inputs!$F$6="TRUE",Inputs!$F$6=1),(((SQRT(((Inputs!$I$6+(((A104)+1)/2)*(Inputs!$J$6-Inputs!$I$6)))^2+Inputs!$C$6^2+((Inputs!$H$6+Inputs!$L$6*(((Inputs!$I$6+(((A104)+1)/2)*(Inputs!$J$6-Inputs!$I$6)))/Inputs!$K$6)^2))^2))-((Inputs!$H$6+Inputs!$L$6*(((Inputs!$I$6+(((A104)+1)/2)*(Inputs!$J$6-Inputs!$I$6)))/Inputs!$K$6)^2)))*1000/Inputs!$C$12),NA())</x:f>
        <x:v>495.1296464423777</x:v>
      </x:c>
      <x:c r="I104" s="48" t="n">
        <x:f>IF(OR(Inputs!$F$7=TRUE,Inputs!$F$7="TRUE",Inputs!$F$7=1),(((SQRT(((Inputs!$I$7+(((A104)+1)/2)*(Inputs!$J$7-Inputs!$I$7)))^2+Inputs!$C$6^2+((Inputs!$H$7+Inputs!$L$7*(((Inputs!$I$7+(((A104)+1)/2)*(Inputs!$J$7-Inputs!$I$7)))/Inputs!$K$7)^2))^2))-((Inputs!$H$7+Inputs!$L$7*(((Inputs!$I$7+(((A104)+1)/2)*(Inputs!$J$7-Inputs!$I$7)))/Inputs!$K$7)^2)))*1000/Inputs!$C$12),NA())</x:f>
        <x:v>19573.49219836533</x:v>
      </x:c>
      <x:c r="J104" s="48" t="n">
        <x:f>IF(OR(Inputs!$F$8=TRUE,Inputs!$F$8="TRUE",Inputs!$F$8=1),(((SQRT(((Inputs!$I$8+(((A104)+1)/2)*(Inputs!$J$8-Inputs!$I$8)))^2+Inputs!$C$6^2+((Inputs!$H$8+Inputs!$L$8*(((Inputs!$I$8+(((A104)+1)/2)*(Inputs!$J$8-Inputs!$I$8)))/Inputs!$K$8)^2))^2))-((Inputs!$H$8+Inputs!$L$8*(((Inputs!$I$8+(((A104)+1)/2)*(Inputs!$J$8-Inputs!$I$8)))/Inputs!$K$8)^2)))*1000/Inputs!$C$12),NA())</x:f>
        <x:v>44015.6658549209</x:v>
      </x:c>
      <x:c r="K104" s="48" t="n">
        <x:f>IF(OR(Inputs!$F$9=TRUE,Inputs!$F$9="TRUE",Inputs!$F$9=1),(((SQRT(((Inputs!$I$9+(((A104)+1)/2)*(Inputs!$J$9-Inputs!$I$9)))^2+Inputs!$C$6^2+((Inputs!$H$9+Inputs!$L$9*(((Inputs!$I$9+(((A104)+1)/2)*(Inputs!$J$9-Inputs!$I$9)))/Inputs!$K$9)^2))^2))-((Inputs!$H$9+Inputs!$L$9*(((Inputs!$I$9+(((A104)+1)/2)*(Inputs!$J$9-Inputs!$I$9)))/Inputs!$K$9)^2)))*1000/Inputs!$C$12),NA())</x:f>
        <x:v>47369.92535183179</x:v>
      </x:c>
      <x:c r="L104" s="49"/>
      <x:c r="M104" s="48" t="n">
        <x:f>A104</x:f>
        <x:v>-0.15</x:v>
      </x:c>
      <x:c r="N104" s="48" t="n">
        <x:f>IF(OR(Inputs!$F$6=TRUE,Inputs!$F$6="TRUE",Inputs!$F$6=1),(-2*((1000*((((Inputs!$I$6+(((A104)+1)/2)*(Inputs!$J$6-Inputs!$I$6)))*Inputs!$C$11+((Inputs!$H$6+Inputs!$L$6*(((Inputs!$I$6+(((A104)+1)/2)*(Inputs!$J$6-Inputs!$I$6)))/Inputs!$K$6)^2))*((2*Inputs!$L$6*((Inputs!$I$6+(((A104)+1)/2)*(Inputs!$J$6-Inputs!$I$6)))/(Inputs!$K$6^2)*Inputs!$C$11)))/(SQRT(((Inputs!$I$6+(((A104)+1)/2)*(Inputs!$J$6-Inputs!$I$6)))^2+Inputs!$C$6^2+((Inputs!$H$6+Inputs!$L$6*(((Inputs!$I$6+(((A104)+1)/2)*(Inputs!$J$6-Inputs!$I$6)))/Inputs!$K$6)^2))^2)))))/Inputs!$C$13),NA())</x:f>
        <x:v>67.84245633650673</x:v>
      </x:c>
      <x:c r="O104" s="48" t="n">
        <x:f>IF(OR(Inputs!$F$7=TRUE,Inputs!$F$7="TRUE",Inputs!$F$7=1),(-2*((1000*((((Inputs!$I$7+(((A104)+1)/2)*(Inputs!$J$7-Inputs!$I$7)))*Inputs!$C$11+((Inputs!$H$7+Inputs!$L$7*(((Inputs!$I$7+(((A104)+1)/2)*(Inputs!$J$7-Inputs!$I$7)))/Inputs!$K$7)^2))*((2*Inputs!$L$7*((Inputs!$I$7+(((A104)+1)/2)*(Inputs!$J$7-Inputs!$I$7)))/(Inputs!$K$7^2)*Inputs!$C$11)))/(SQRT(((Inputs!$I$7+(((A104)+1)/2)*(Inputs!$J$7-Inputs!$I$7)))^2+Inputs!$C$6^2+((Inputs!$H$7+Inputs!$L$7*(((Inputs!$I$7+(((A104)+1)/2)*(Inputs!$J$7-Inputs!$I$7)))/Inputs!$K$7)^2))^2)))))/Inputs!$C$13),NA())</x:f>
        <x:v>1472.4175822777838</x:v>
      </x:c>
      <x:c r="P104" s="48" t="n">
        <x:f>IF(OR(Inputs!$F$8=TRUE,Inputs!$F$8="TRUE",Inputs!$F$8=1),(-2*((1000*((((Inputs!$I$8+(((A104)+1)/2)*(Inputs!$J$8-Inputs!$I$8)))*Inputs!$C$11+((Inputs!$H$8+Inputs!$L$8*(((Inputs!$I$8+(((A104)+1)/2)*(Inputs!$J$8-Inputs!$I$8)))/Inputs!$K$8)^2))*((2*Inputs!$L$8*((Inputs!$I$8+(((A104)+1)/2)*(Inputs!$J$8-Inputs!$I$8)))/(Inputs!$K$8^2)*Inputs!$C$11)))/(SQRT(((Inputs!$I$8+(((A104)+1)/2)*(Inputs!$J$8-Inputs!$I$8)))^2+Inputs!$C$6^2+((Inputs!$H$8+Inputs!$L$8*(((Inputs!$I$8+(((A104)+1)/2)*(Inputs!$J$8-Inputs!$I$8)))/Inputs!$K$8)^2))^2)))))/Inputs!$C$13),NA())</x:f>
        <x:v>1664.7112114394974</x:v>
      </x:c>
      <x:c r="Q104" s="48" t="n">
        <x:f>IF(OR(Inputs!$F$9=TRUE,Inputs!$F$9="TRUE",Inputs!$F$9=1),(-2*((1000*((((Inputs!$I$9+(((A104)+1)/2)*(Inputs!$J$9-Inputs!$I$9)))*Inputs!$C$11+((Inputs!$H$9+Inputs!$L$9*(((Inputs!$I$9+(((A104)+1)/2)*(Inputs!$J$9-Inputs!$I$9)))/Inputs!$K$9)^2))*((2*Inputs!$L$9*((Inputs!$I$9+(((A104)+1)/2)*(Inputs!$J$9-Inputs!$I$9)))/(Inputs!$K$9^2)*Inputs!$C$11)))/(SQRT(((Inputs!$I$9+(((A104)+1)/2)*(Inputs!$J$9-Inputs!$I$9)))^2+Inputs!$C$6^2+((Inputs!$H$9+Inputs!$L$9*(((Inputs!$I$9+(((A104)+1)/2)*(Inputs!$J$9-Inputs!$I$9)))/Inputs!$K$9)^2))^2)))))/Inputs!$C$13),NA())</x:f>
        <x:v>1671.9882707419597</x:v>
      </x:c>
      <x:c r="R104" s="49"/>
      <x:c r="S104" s="48" t="n">
        <x:f>A104</x:f>
        <x:v>-0.15</x:v>
      </x:c>
      <x:c r="T104" s="48" t="n">
        <x:f>(Inputs!$I$6+(((A104)+1)/2)*(Inputs!$J$6-Inputs!$I$6))</x:f>
        <x:v>-9</x:v>
      </x:c>
      <x:c r="U104" s="48" t="n">
        <x:f>(Inputs!$I$7+(((A104)+1)/2)*(Inputs!$J$7-Inputs!$I$7))</x:f>
        <x:v>-60</x:v>
      </x:c>
      <x:c r="V104" s="48" t="n">
        <x:f>(Inputs!$I$8+(((A104)+1)/2)*(Inputs!$J$8-Inputs!$I$8))</x:f>
        <x:v>-120</x:v>
      </x:c>
      <x:c r="W104" s="48" t="n">
        <x:f>(Inputs!$I$9+(((A104)+1)/2)*(Inputs!$J$9-Inputs!$I$9))</x:f>
        <x:v>-120</x:v>
      </x:c>
      <x:c r="X104" s="49"/>
      <x:c r="Y104" s="48" t="n">
        <x:f>A104</x:f>
        <x:v>-0.15</x:v>
      </x:c>
      <x:c r="Z104" s="48" t="n">
        <x:f>(Inputs!$H$6+Inputs!$L$6*(((Inputs!$I$6+(((A104)+1)/2)*(Inputs!$J$6-Inputs!$I$6)))/Inputs!$K$6)^2)</x:f>
        <x:v>400.09</x:v>
      </x:c>
      <x:c r="AA104" s="48" t="n">
        <x:f>(Inputs!$H$7+Inputs!$L$7*(((Inputs!$I$7+(((A104)+1)/2)*(Inputs!$J$7-Inputs!$I$7)))/Inputs!$K$7)^2)</x:f>
        <x:v>43.2125</x:v>
      </x:c>
      <x:c r="AB104" s="48" t="n">
        <x:f>(Inputs!$H$8+Inputs!$L$8*(((Inputs!$I$8+(((A104)+1)/2)*(Inputs!$J$8-Inputs!$I$8)))/Inputs!$K$8)^2)</x:f>
        <x:v>56.7125</x:v>
      </x:c>
      <x:c r="AC104" s="48" t="n">
        <x:f>(Inputs!$H$9+Inputs!$L$9*(((Inputs!$I$9+(((A104)+1)/2)*(Inputs!$J$9-Inputs!$I$9)))/Inputs!$K$9)^2)</x:f>
        <x:v>46.9375</x:v>
      </x:c>
      <x:c r="AD104" s="49"/>
      <x:c r="AE104" s="48" t="n">
        <x:f>A104</x:f>
        <x:v>-0.15</x:v>
      </x:c>
      <x:c r="AF104" s="48" t="n">
        <x:f>(((SQRT(((Inputs!$I$6+(((A104)+1)/2)*(Inputs!$J$6-Inputs!$I$6)))^2+Inputs!$C$6^2+((Inputs!$H$6+Inputs!$L$6*(((Inputs!$I$6+(((A104)+1)/2)*(Inputs!$J$6-Inputs!$I$6)))/Inputs!$K$6)^2))^2))-((Inputs!$H$6+Inputs!$L$6*(((Inputs!$I$6+(((A104)+1)/2)*(Inputs!$J$6-Inputs!$I$6)))/Inputs!$K$6)^2)))*1000/Inputs!$C$12)</x:f>
        <x:v>495.1296464423777</x:v>
      </x:c>
      <x:c r="AG104" s="48" t="n">
        <x:f>(((SQRT(((Inputs!$I$7+(((A104)+1)/2)*(Inputs!$J$7-Inputs!$I$7)))^2+Inputs!$C$6^2+((Inputs!$H$7+Inputs!$L$7*(((Inputs!$I$7+(((A104)+1)/2)*(Inputs!$J$7-Inputs!$I$7)))/Inputs!$K$7)^2))^2))-((Inputs!$H$7+Inputs!$L$7*(((Inputs!$I$7+(((A104)+1)/2)*(Inputs!$J$7-Inputs!$I$7)))/Inputs!$K$7)^2)))*1000/Inputs!$C$12)</x:f>
        <x:v>19573.49219836533</x:v>
      </x:c>
      <x:c r="AH104" s="48" t="n">
        <x:f>(((SQRT(((Inputs!$I$8+(((A104)+1)/2)*(Inputs!$J$8-Inputs!$I$8)))^2+Inputs!$C$6^2+((Inputs!$H$8+Inputs!$L$8*(((Inputs!$I$8+(((A104)+1)/2)*(Inputs!$J$8-Inputs!$I$8)))/Inputs!$K$8)^2))^2))-((Inputs!$H$8+Inputs!$L$8*(((Inputs!$I$8+(((A104)+1)/2)*(Inputs!$J$8-Inputs!$I$8)))/Inputs!$K$8)^2)))*1000/Inputs!$C$12)</x:f>
        <x:v>44015.6658549209</x:v>
      </x:c>
      <x:c r="AI104" s="48" t="n">
        <x:f>(((SQRT(((Inputs!$I$9+(((A104)+1)/2)*(Inputs!$J$9-Inputs!$I$9)))^2+Inputs!$C$6^2+((Inputs!$H$9+Inputs!$L$9*(((Inputs!$I$9+(((A104)+1)/2)*(Inputs!$J$9-Inputs!$I$9)))/Inputs!$K$9)^2))^2))-((Inputs!$H$9+Inputs!$L$9*(((Inputs!$I$9+(((A104)+1)/2)*(Inputs!$J$9-Inputs!$I$9)))/Inputs!$K$9)^2)))*1000/Inputs!$C$12)</x:f>
        <x:v>47369.92535183179</x:v>
      </x:c>
      <x:c r="AJ104" s="49"/>
      <x:c r="AK104" s="48" t="n">
        <x:f>A104</x:f>
        <x:v>-0.15</x:v>
      </x:c>
      <x:c r="AL104" s="48" t="n">
        <x:f>(-2*((1000*((((Inputs!$I$6+(((A104)+1)/2)*(Inputs!$J$6-Inputs!$I$6)))*Inputs!$C$11+((Inputs!$H$6+Inputs!$L$6*(((Inputs!$I$6+(((A104)+1)/2)*(Inputs!$J$6-Inputs!$I$6)))/Inputs!$K$6)^2))*((2*Inputs!$L$6*((Inputs!$I$6+(((A104)+1)/2)*(Inputs!$J$6-Inputs!$I$6)))/(Inputs!$K$6^2)*Inputs!$C$11)))/(SQRT(((Inputs!$I$6+(((A104)+1)/2)*(Inputs!$J$6-Inputs!$I$6)))^2+Inputs!$C$6^2+((Inputs!$H$6+Inputs!$L$6*(((Inputs!$I$6+(((A104)+1)/2)*(Inputs!$J$6-Inputs!$I$6)))/Inputs!$K$6)^2))^2)))))/Inputs!$C$13)</x:f>
        <x:v>67.84245633650673</x:v>
      </x:c>
      <x:c r="AM104" s="48" t="n">
        <x:f>(-2*((1000*((((Inputs!$I$7+(((A104)+1)/2)*(Inputs!$J$7-Inputs!$I$7)))*Inputs!$C$11+((Inputs!$H$7+Inputs!$L$7*(((Inputs!$I$7+(((A104)+1)/2)*(Inputs!$J$7-Inputs!$I$7)))/Inputs!$K$7)^2))*((2*Inputs!$L$7*((Inputs!$I$7+(((A104)+1)/2)*(Inputs!$J$7-Inputs!$I$7)))/(Inputs!$K$7^2)*Inputs!$C$11)))/(SQRT(((Inputs!$I$7+(((A104)+1)/2)*(Inputs!$J$7-Inputs!$I$7)))^2+Inputs!$C$6^2+((Inputs!$H$7+Inputs!$L$7*(((Inputs!$I$7+(((A104)+1)/2)*(Inputs!$J$7-Inputs!$I$7)))/Inputs!$K$7)^2))^2)))))/Inputs!$C$13)</x:f>
        <x:v>1472.4175822777838</x:v>
      </x:c>
      <x:c r="AN104" s="48" t="n">
        <x:f>(-2*((1000*((((Inputs!$I$8+(((A104)+1)/2)*(Inputs!$J$8-Inputs!$I$8)))*Inputs!$C$11+((Inputs!$H$8+Inputs!$L$8*(((Inputs!$I$8+(((A104)+1)/2)*(Inputs!$J$8-Inputs!$I$8)))/Inputs!$K$8)^2))*((2*Inputs!$L$8*((Inputs!$I$8+(((A104)+1)/2)*(Inputs!$J$8-Inputs!$I$8)))/(Inputs!$K$8^2)*Inputs!$C$11)))/(SQRT(((Inputs!$I$8+(((A104)+1)/2)*(Inputs!$J$8-Inputs!$I$8)))^2+Inputs!$C$6^2+((Inputs!$H$8+Inputs!$L$8*(((Inputs!$I$8+(((A104)+1)/2)*(Inputs!$J$8-Inputs!$I$8)))/Inputs!$K$8)^2))^2)))))/Inputs!$C$13)</x:f>
        <x:v>1664.7112114394974</x:v>
      </x:c>
      <x:c r="AO104" s="48" t="n">
        <x:f>(-2*((1000*((((Inputs!$I$9+(((A104)+1)/2)*(Inputs!$J$9-Inputs!$I$9)))*Inputs!$C$11+((Inputs!$H$9+Inputs!$L$9*(((Inputs!$I$9+(((A104)+1)/2)*(Inputs!$J$9-Inputs!$I$9)))/Inputs!$K$9)^2))*((2*Inputs!$L$9*((Inputs!$I$9+(((A104)+1)/2)*(Inputs!$J$9-Inputs!$I$9)))/(Inputs!$K$9^2)*Inputs!$C$11)))/(SQRT(((Inputs!$I$9+(((A104)+1)/2)*(Inputs!$J$9-Inputs!$I$9)))^2+Inputs!$C$6^2+((Inputs!$H$9+Inputs!$L$9*(((Inputs!$I$9+(((A104)+1)/2)*(Inputs!$J$9-Inputs!$I$9)))/Inputs!$K$9)^2))^2)))))/Inputs!$C$13)</x:f>
        <x:v>1671.9882707419597</x:v>
      </x:c>
    </x:row>
    <x:row r="105">
      <x:c r="A105" s="48" t="n">
        <x:f>ROUND(-1+103*2/240,3)</x:f>
        <x:v>-0.142</x:v>
      </x:c>
      <x:c r="B105" s="48" t="n">
        <x:f>IF(OR(Inputs!$F$6=TRUE,Inputs!$F$6="TRUE",Inputs!$F$6=1),(Inputs!$H$6+Inputs!$L$6*(((Inputs!$I$6+(((A105)+1)/2)*(Inputs!$J$6-Inputs!$I$6)))/Inputs!$K$6)^2),NA())</x:f>
        <x:v>400.080656</x:v>
      </x:c>
      <x:c r="C105" s="48" t="n">
        <x:f>IF(OR(Inputs!$F$7=TRUE,Inputs!$F$7="TRUE",Inputs!$F$7=1),(Inputs!$H$7+Inputs!$L$7*(((Inputs!$I$7+(((A105)+1)/2)*(Inputs!$J$7-Inputs!$I$7)))/Inputs!$K$7)^2),NA())</x:f>
        <x:v>42.359860000000005</x:v>
      </x:c>
      <x:c r="D105" s="48" t="n">
        <x:f>IF(OR(Inputs!$F$8=TRUE,Inputs!$F$8="TRUE",Inputs!$F$8=1),(Inputs!$H$8+Inputs!$L$8*(((Inputs!$I$8+(((A105)+1)/2)*(Inputs!$J$8-Inputs!$I$8)))/Inputs!$K$8)^2),NA())</x:f>
        <x:v>54.45826000000001</x:v>
      </x:c>
      <x:c r="E105" s="48" t="n">
        <x:f>IF(OR(Inputs!$F$9=TRUE,Inputs!$F$9="TRUE",Inputs!$F$9=1),(Inputs!$H$9+Inputs!$L$9*(((Inputs!$I$9+(((A105)+1)/2)*(Inputs!$J$9-Inputs!$I$9)))/Inputs!$K$9)^2),NA())</x:f>
        <x:v>44.65990000000001</x:v>
      </x:c>
      <x:c r="F105" s="49"/>
      <x:c r="G105" s="48" t="n">
        <x:f>A105</x:f>
        <x:v>-0.142</x:v>
      </x:c>
      <x:c r="H105" s="48" t="n">
        <x:f>IF(OR(Inputs!$F$6=TRUE,Inputs!$F$6="TRUE",Inputs!$F$6=1),(((SQRT(((Inputs!$I$6+(((A105)+1)/2)*(Inputs!$J$6-Inputs!$I$6)))^2+Inputs!$C$6^2+((Inputs!$H$6+Inputs!$L$6*(((Inputs!$I$6+(((A105)+1)/2)*(Inputs!$J$6-Inputs!$I$6)))/Inputs!$K$6)^2))^2))-((Inputs!$H$6+Inputs!$L$6*(((Inputs!$I$6+(((A105)+1)/2)*(Inputs!$J$6-Inputs!$I$6)))/Inputs!$K$6)^2)))*1000/Inputs!$C$12),NA())</x:f>
        <x:v>489.24965894113654</x:v>
      </x:c>
      <x:c r="I105" s="48" t="n">
        <x:f>IF(OR(Inputs!$F$7=TRUE,Inputs!$F$7="TRUE",Inputs!$F$7=1),(((SQRT(((Inputs!$I$7+(((A105)+1)/2)*(Inputs!$J$7-Inputs!$I$7)))^2+Inputs!$C$6^2+((Inputs!$H$7+Inputs!$L$7*(((Inputs!$I$7+(((A105)+1)/2)*(Inputs!$J$7-Inputs!$I$7)))/Inputs!$K$7)^2))^2))-((Inputs!$H$7+Inputs!$L$7*(((Inputs!$I$7+(((A105)+1)/2)*(Inputs!$J$7-Inputs!$I$7)))/Inputs!$K$7)^2)))*1000/Inputs!$C$12),NA())</x:f>
        <x:v>18414.231900224935</x:v>
      </x:c>
      <x:c r="J105" s="48" t="n">
        <x:f>IF(OR(Inputs!$F$8=TRUE,Inputs!$F$8="TRUE",Inputs!$F$8=1),(((SQRT(((Inputs!$I$8+(((A105)+1)/2)*(Inputs!$J$8-Inputs!$I$8)))^2+Inputs!$C$6^2+((Inputs!$H$8+Inputs!$L$8*(((Inputs!$I$8+(((A105)+1)/2)*(Inputs!$J$8-Inputs!$I$8)))/Inputs!$K$8)^2))^2))-((Inputs!$H$8+Inputs!$L$8*(((Inputs!$I$8+(((A105)+1)/2)*(Inputs!$J$8-Inputs!$I$8)))/Inputs!$K$8)^2)))*1000/Inputs!$C$12),NA())</x:f>
        <x:v>41560.21312060218</x:v>
      </x:c>
      <x:c r="K105" s="48" t="n">
        <x:f>IF(OR(Inputs!$F$9=TRUE,Inputs!$F$9="TRUE",Inputs!$F$9=1),(((SQRT(((Inputs!$I$9+(((A105)+1)/2)*(Inputs!$J$9-Inputs!$I$9)))^2+Inputs!$C$6^2+((Inputs!$H$9+Inputs!$L$9*(((Inputs!$I$9+(((A105)+1)/2)*(Inputs!$J$9-Inputs!$I$9)))/Inputs!$K$9)^2))^2))-((Inputs!$H$9+Inputs!$L$9*(((Inputs!$I$9+(((A105)+1)/2)*(Inputs!$J$9-Inputs!$I$9)))/Inputs!$K$9)^2)))*1000/Inputs!$C$12),NA())</x:f>
        <x:v>44908.60547069503</x:v>
      </x:c>
      <x:c r="L105" s="49"/>
      <x:c r="M105" s="48" t="n">
        <x:f>A105</x:f>
        <x:v>-0.142</x:v>
      </x:c>
      <x:c r="N105" s="48" t="n">
        <x:f>IF(OR(Inputs!$F$6=TRUE,Inputs!$F$6="TRUE",Inputs!$F$6=1),(-2*((1000*((((Inputs!$I$6+(((A105)+1)/2)*(Inputs!$J$6-Inputs!$I$6)))*Inputs!$C$11+((Inputs!$H$6+Inputs!$L$6*(((Inputs!$I$6+(((A105)+1)/2)*(Inputs!$J$6-Inputs!$I$6)))/Inputs!$K$6)^2))*((2*Inputs!$L$6*((Inputs!$I$6+(((A105)+1)/2)*(Inputs!$J$6-Inputs!$I$6)))/(Inputs!$K$6^2)*Inputs!$C$11)))/(SQRT(((Inputs!$I$6+(((A105)+1)/2)*(Inputs!$J$6-Inputs!$I$6)))^2+Inputs!$C$6^2+((Inputs!$H$6+Inputs!$L$6*(((Inputs!$I$6+(((A105)+1)/2)*(Inputs!$J$6-Inputs!$I$6)))/Inputs!$K$6)^2))^2)))))/Inputs!$C$13),NA())</x:f>
        <x:v>64.22665924097518</x:v>
      </x:c>
      <x:c r="O105" s="48" t="n">
        <x:f>IF(OR(Inputs!$F$7=TRUE,Inputs!$F$7="TRUE",Inputs!$F$7=1),(-2*((1000*((((Inputs!$I$7+(((A105)+1)/2)*(Inputs!$J$7-Inputs!$I$7)))*Inputs!$C$11+((Inputs!$H$7+Inputs!$L$7*(((Inputs!$I$7+(((A105)+1)/2)*(Inputs!$J$7-Inputs!$I$7)))/Inputs!$K$7)^2))*((2*Inputs!$L$7*((Inputs!$I$7+(((A105)+1)/2)*(Inputs!$J$7-Inputs!$I$7)))/(Inputs!$K$7^2)*Inputs!$C$11)))/(SQRT(((Inputs!$I$7+(((A105)+1)/2)*(Inputs!$J$7-Inputs!$I$7)))^2+Inputs!$C$6^2+((Inputs!$H$7+Inputs!$L$7*(((Inputs!$I$7+(((A105)+1)/2)*(Inputs!$J$7-Inputs!$I$7)))/Inputs!$K$7)^2))^2)))))/Inputs!$C$13),NA())</x:f>
        <x:v>1443.2811279555976</x:v>
      </x:c>
      <x:c r="P105" s="48" t="n">
        <x:f>IF(OR(Inputs!$F$8=TRUE,Inputs!$F$8="TRUE",Inputs!$F$8=1),(-2*((1000*((((Inputs!$I$8+(((A105)+1)/2)*(Inputs!$J$8-Inputs!$I$8)))*Inputs!$C$11+((Inputs!$H$8+Inputs!$L$8*(((Inputs!$I$8+(((A105)+1)/2)*(Inputs!$J$8-Inputs!$I$8)))/Inputs!$K$8)^2))*((2*Inputs!$L$8*((Inputs!$I$8+(((A105)+1)/2)*(Inputs!$J$8-Inputs!$I$8)))/(Inputs!$K$8^2)*Inputs!$C$11)))/(SQRT(((Inputs!$I$8+(((A105)+1)/2)*(Inputs!$J$8-Inputs!$I$8)))^2+Inputs!$C$6^2+((Inputs!$H$8+Inputs!$L$8*(((Inputs!$I$8+(((A105)+1)/2)*(Inputs!$J$8-Inputs!$I$8)))/Inputs!$K$8)^2))^2)))))/Inputs!$C$13),NA())</x:f>
        <x:v>1647.5955743557993</x:v>
      </x:c>
      <x:c r="Q105" s="48" t="n">
        <x:f>IF(OR(Inputs!$F$9=TRUE,Inputs!$F$9="TRUE",Inputs!$F$9=1),(-2*((1000*((((Inputs!$I$9+(((A105)+1)/2)*(Inputs!$J$9-Inputs!$I$9)))*Inputs!$C$11+((Inputs!$H$9+Inputs!$L$9*(((Inputs!$I$9+(((A105)+1)/2)*(Inputs!$J$9-Inputs!$I$9)))/Inputs!$K$9)^2))*((2*Inputs!$L$9*((Inputs!$I$9+(((A105)+1)/2)*(Inputs!$J$9-Inputs!$I$9)))/(Inputs!$K$9^2)*Inputs!$C$11)))/(SQRT(((Inputs!$I$9+(((A105)+1)/2)*(Inputs!$J$9-Inputs!$I$9)))^2+Inputs!$C$6^2+((Inputs!$H$9+Inputs!$L$9*(((Inputs!$I$9+(((A105)+1)/2)*(Inputs!$J$9-Inputs!$I$9)))/Inputs!$K$9)^2))^2)))))/Inputs!$C$13),NA())</x:f>
        <x:v>1657.2814094009514</x:v>
      </x:c>
      <x:c r="R105" s="49"/>
      <x:c r="S105" s="48" t="n">
        <x:f>A105</x:f>
        <x:v>-0.142</x:v>
      </x:c>
      <x:c r="T105" s="48" t="n">
        <x:f>(Inputs!$I$6+(((A105)+1)/2)*(Inputs!$J$6-Inputs!$I$6))</x:f>
        <x:v>-8.520000000000003</x:v>
      </x:c>
      <x:c r="U105" s="48" t="n">
        <x:f>(Inputs!$I$7+(((A105)+1)/2)*(Inputs!$J$7-Inputs!$I$7))</x:f>
        <x:v>-56.80000000000001</x:v>
      </x:c>
      <x:c r="V105" s="48" t="n">
        <x:f>(Inputs!$I$8+(((A105)+1)/2)*(Inputs!$J$8-Inputs!$I$8))</x:f>
        <x:v>-113.60000000000002</x:v>
      </x:c>
      <x:c r="W105" s="48" t="n">
        <x:f>(Inputs!$I$9+(((A105)+1)/2)*(Inputs!$J$9-Inputs!$I$9))</x:f>
        <x:v>-113.60000000000002</x:v>
      </x:c>
      <x:c r="X105" s="49"/>
      <x:c r="Y105" s="48" t="n">
        <x:f>A105</x:f>
        <x:v>-0.142</x:v>
      </x:c>
      <x:c r="Z105" s="48" t="n">
        <x:f>(Inputs!$H$6+Inputs!$L$6*(((Inputs!$I$6+(((A105)+1)/2)*(Inputs!$J$6-Inputs!$I$6)))/Inputs!$K$6)^2)</x:f>
        <x:v>400.080656</x:v>
      </x:c>
      <x:c r="AA105" s="48" t="n">
        <x:f>(Inputs!$H$7+Inputs!$L$7*(((Inputs!$I$7+(((A105)+1)/2)*(Inputs!$J$7-Inputs!$I$7)))/Inputs!$K$7)^2)</x:f>
        <x:v>42.359860000000005</x:v>
      </x:c>
      <x:c r="AB105" s="48" t="n">
        <x:f>(Inputs!$H$8+Inputs!$L$8*(((Inputs!$I$8+(((A105)+1)/2)*(Inputs!$J$8-Inputs!$I$8)))/Inputs!$K$8)^2)</x:f>
        <x:v>54.45826000000001</x:v>
      </x:c>
      <x:c r="AC105" s="48" t="n">
        <x:f>(Inputs!$H$9+Inputs!$L$9*(((Inputs!$I$9+(((A105)+1)/2)*(Inputs!$J$9-Inputs!$I$9)))/Inputs!$K$9)^2)</x:f>
        <x:v>44.65990000000001</x:v>
      </x:c>
      <x:c r="AD105" s="49"/>
      <x:c r="AE105" s="48" t="n">
        <x:f>A105</x:f>
        <x:v>-0.142</x:v>
      </x:c>
      <x:c r="AF105" s="48" t="n">
        <x:f>(((SQRT(((Inputs!$I$6+(((A105)+1)/2)*(Inputs!$J$6-Inputs!$I$6)))^2+Inputs!$C$6^2+((Inputs!$H$6+Inputs!$L$6*(((Inputs!$I$6+(((A105)+1)/2)*(Inputs!$J$6-Inputs!$I$6)))/Inputs!$K$6)^2))^2))-((Inputs!$H$6+Inputs!$L$6*(((Inputs!$I$6+(((A105)+1)/2)*(Inputs!$J$6-Inputs!$I$6)))/Inputs!$K$6)^2)))*1000/Inputs!$C$12)</x:f>
        <x:v>489.24965894113654</x:v>
      </x:c>
      <x:c r="AG105" s="48" t="n">
        <x:f>(((SQRT(((Inputs!$I$7+(((A105)+1)/2)*(Inputs!$J$7-Inputs!$I$7)))^2+Inputs!$C$6^2+((Inputs!$H$7+Inputs!$L$7*(((Inputs!$I$7+(((A105)+1)/2)*(Inputs!$J$7-Inputs!$I$7)))/Inputs!$K$7)^2))^2))-((Inputs!$H$7+Inputs!$L$7*(((Inputs!$I$7+(((A105)+1)/2)*(Inputs!$J$7-Inputs!$I$7)))/Inputs!$K$7)^2)))*1000/Inputs!$C$12)</x:f>
        <x:v>18414.231900224935</x:v>
      </x:c>
      <x:c r="AH105" s="48" t="n">
        <x:f>(((SQRT(((Inputs!$I$8+(((A105)+1)/2)*(Inputs!$J$8-Inputs!$I$8)))^2+Inputs!$C$6^2+((Inputs!$H$8+Inputs!$L$8*(((Inputs!$I$8+(((A105)+1)/2)*(Inputs!$J$8-Inputs!$I$8)))/Inputs!$K$8)^2))^2))-((Inputs!$H$8+Inputs!$L$8*(((Inputs!$I$8+(((A105)+1)/2)*(Inputs!$J$8-Inputs!$I$8)))/Inputs!$K$8)^2)))*1000/Inputs!$C$12)</x:f>
        <x:v>41560.21312060218</x:v>
      </x:c>
      <x:c r="AI105" s="48" t="n">
        <x:f>(((SQRT(((Inputs!$I$9+(((A105)+1)/2)*(Inputs!$J$9-Inputs!$I$9)))^2+Inputs!$C$6^2+((Inputs!$H$9+Inputs!$L$9*(((Inputs!$I$9+(((A105)+1)/2)*(Inputs!$J$9-Inputs!$I$9)))/Inputs!$K$9)^2))^2))-((Inputs!$H$9+Inputs!$L$9*(((Inputs!$I$9+(((A105)+1)/2)*(Inputs!$J$9-Inputs!$I$9)))/Inputs!$K$9)^2)))*1000/Inputs!$C$12)</x:f>
        <x:v>44908.60547069503</x:v>
      </x:c>
      <x:c r="AJ105" s="49"/>
      <x:c r="AK105" s="48" t="n">
        <x:f>A105</x:f>
        <x:v>-0.142</x:v>
      </x:c>
      <x:c r="AL105" s="48" t="n">
        <x:f>(-2*((1000*((((Inputs!$I$6+(((A105)+1)/2)*(Inputs!$J$6-Inputs!$I$6)))*Inputs!$C$11+((Inputs!$H$6+Inputs!$L$6*(((Inputs!$I$6+(((A105)+1)/2)*(Inputs!$J$6-Inputs!$I$6)))/Inputs!$K$6)^2))*((2*Inputs!$L$6*((Inputs!$I$6+(((A105)+1)/2)*(Inputs!$J$6-Inputs!$I$6)))/(Inputs!$K$6^2)*Inputs!$C$11)))/(SQRT(((Inputs!$I$6+(((A105)+1)/2)*(Inputs!$J$6-Inputs!$I$6)))^2+Inputs!$C$6^2+((Inputs!$H$6+Inputs!$L$6*(((Inputs!$I$6+(((A105)+1)/2)*(Inputs!$J$6-Inputs!$I$6)))/Inputs!$K$6)^2))^2)))))/Inputs!$C$13)</x:f>
        <x:v>64.22665924097518</x:v>
      </x:c>
      <x:c r="AM105" s="48" t="n">
        <x:f>(-2*((1000*((((Inputs!$I$7+(((A105)+1)/2)*(Inputs!$J$7-Inputs!$I$7)))*Inputs!$C$11+((Inputs!$H$7+Inputs!$L$7*(((Inputs!$I$7+(((A105)+1)/2)*(Inputs!$J$7-Inputs!$I$7)))/Inputs!$K$7)^2))*((2*Inputs!$L$7*((Inputs!$I$7+(((A105)+1)/2)*(Inputs!$J$7-Inputs!$I$7)))/(Inputs!$K$7^2)*Inputs!$C$11)))/(SQRT(((Inputs!$I$7+(((A105)+1)/2)*(Inputs!$J$7-Inputs!$I$7)))^2+Inputs!$C$6^2+((Inputs!$H$7+Inputs!$L$7*(((Inputs!$I$7+(((A105)+1)/2)*(Inputs!$J$7-Inputs!$I$7)))/Inputs!$K$7)^2))^2)))))/Inputs!$C$13)</x:f>
        <x:v>1443.2811279555976</x:v>
      </x:c>
      <x:c r="AN105" s="48" t="n">
        <x:f>(-2*((1000*((((Inputs!$I$8+(((A105)+1)/2)*(Inputs!$J$8-Inputs!$I$8)))*Inputs!$C$11+((Inputs!$H$8+Inputs!$L$8*(((Inputs!$I$8+(((A105)+1)/2)*(Inputs!$J$8-Inputs!$I$8)))/Inputs!$K$8)^2))*((2*Inputs!$L$8*((Inputs!$I$8+(((A105)+1)/2)*(Inputs!$J$8-Inputs!$I$8)))/(Inputs!$K$8^2)*Inputs!$C$11)))/(SQRT(((Inputs!$I$8+(((A105)+1)/2)*(Inputs!$J$8-Inputs!$I$8)))^2+Inputs!$C$6^2+((Inputs!$H$8+Inputs!$L$8*(((Inputs!$I$8+(((A105)+1)/2)*(Inputs!$J$8-Inputs!$I$8)))/Inputs!$K$8)^2))^2)))))/Inputs!$C$13)</x:f>
        <x:v>1647.5955743557993</x:v>
      </x:c>
      <x:c r="AO105" s="48" t="n">
        <x:f>(-2*((1000*((((Inputs!$I$9+(((A105)+1)/2)*(Inputs!$J$9-Inputs!$I$9)))*Inputs!$C$11+((Inputs!$H$9+Inputs!$L$9*(((Inputs!$I$9+(((A105)+1)/2)*(Inputs!$J$9-Inputs!$I$9)))/Inputs!$K$9)^2))*((2*Inputs!$L$9*((Inputs!$I$9+(((A105)+1)/2)*(Inputs!$J$9-Inputs!$I$9)))/(Inputs!$K$9^2)*Inputs!$C$11)))/(SQRT(((Inputs!$I$9+(((A105)+1)/2)*(Inputs!$J$9-Inputs!$I$9)))^2+Inputs!$C$6^2+((Inputs!$H$9+Inputs!$L$9*(((Inputs!$I$9+(((A105)+1)/2)*(Inputs!$J$9-Inputs!$I$9)))/Inputs!$K$9)^2))^2)))))/Inputs!$C$13)</x:f>
        <x:v>1657.2814094009514</x:v>
      </x:c>
    </x:row>
    <x:row r="106">
      <x:c r="A106" s="48" t="n">
        <x:f>ROUND(-1+104*2/240,3)</x:f>
        <x:v>-0.133</x:v>
      </x:c>
      <x:c r="B106" s="48" t="n">
        <x:f>IF(OR(Inputs!$F$6=TRUE,Inputs!$F$6="TRUE",Inputs!$F$6=1),(Inputs!$H$6+Inputs!$L$6*(((Inputs!$I$6+(((A106)+1)/2)*(Inputs!$J$6-Inputs!$I$6)))/Inputs!$K$6)^2),NA())</x:f>
        <x:v>400.070756</x:v>
      </x:c>
      <x:c r="C106" s="48" t="n">
        <x:f>IF(OR(Inputs!$F$7=TRUE,Inputs!$F$7="TRUE",Inputs!$F$7=1),(Inputs!$H$7+Inputs!$L$7*(((Inputs!$I$7+(((A106)+1)/2)*(Inputs!$J$7-Inputs!$I$7)))/Inputs!$K$7)^2),NA())</x:f>
        <x:v>41.456485</x:v>
      </x:c>
      <x:c r="D106" s="48" t="n">
        <x:f>IF(OR(Inputs!$F$8=TRUE,Inputs!$F$8="TRUE",Inputs!$F$8=1),(Inputs!$H$8+Inputs!$L$8*(((Inputs!$I$8+(((A106)+1)/2)*(Inputs!$J$8-Inputs!$I$8)))/Inputs!$K$8)^2),NA())</x:f>
        <x:v>52.06988499999999</x:v>
      </x:c>
      <x:c r="E106" s="48" t="n">
        <x:f>IF(OR(Inputs!$F$9=TRUE,Inputs!$F$9="TRUE",Inputs!$F$9=1),(Inputs!$H$9+Inputs!$L$9*(((Inputs!$I$9+(((A106)+1)/2)*(Inputs!$J$9-Inputs!$I$9)))/Inputs!$K$9)^2),NA())</x:f>
        <x:v>42.24677499999999</x:v>
      </x:c>
      <x:c r="F106" s="49"/>
      <x:c r="G106" s="48" t="n">
        <x:f>A106</x:f>
        <x:v>-0.133</x:v>
      </x:c>
      <x:c r="H106" s="48" t="n">
        <x:f>IF(OR(Inputs!$F$6=TRUE,Inputs!$F$6="TRUE",Inputs!$F$6=1),(((SQRT(((Inputs!$I$6+(((A106)+1)/2)*(Inputs!$J$6-Inputs!$I$6)))^2+Inputs!$C$6^2+((Inputs!$H$6+Inputs!$L$6*(((Inputs!$I$6+(((A106)+1)/2)*(Inputs!$J$6-Inputs!$I$6)))/Inputs!$K$6)^2))^2))-((Inputs!$H$6+Inputs!$L$6*(((Inputs!$I$6+(((A106)+1)/2)*(Inputs!$J$6-Inputs!$I$6)))/Inputs!$K$6)^2)))*1000/Inputs!$C$12),NA())</x:f>
        <x:v>483.01932555279075</x:v>
      </x:c>
      <x:c r="I106" s="48" t="n">
        <x:f>IF(OR(Inputs!$F$7=TRUE,Inputs!$F$7="TRUE",Inputs!$F$7=1),(((SQRT(((Inputs!$I$7+(((A106)+1)/2)*(Inputs!$J$7-Inputs!$I$7)))^2+Inputs!$C$6^2+((Inputs!$H$7+Inputs!$L$7*(((Inputs!$I$7+(((A106)+1)/2)*(Inputs!$J$7-Inputs!$I$7)))/Inputs!$K$7)^2))^2))-((Inputs!$H$7+Inputs!$L$7*(((Inputs!$I$7+(((A106)+1)/2)*(Inputs!$J$7-Inputs!$I$7)))/Inputs!$K$7)^2)))*1000/Inputs!$C$12),NA())</x:f>
        <x:v>17119.777484814567</x:v>
      </x:c>
      <x:c r="J106" s="48" t="n">
        <x:f>IF(OR(Inputs!$F$8=TRUE,Inputs!$F$8="TRUE",Inputs!$F$8=1),(((SQRT(((Inputs!$I$8+(((A106)+1)/2)*(Inputs!$J$8-Inputs!$I$8)))^2+Inputs!$C$6^2+((Inputs!$H$8+Inputs!$L$8*(((Inputs!$I$8+(((A106)+1)/2)*(Inputs!$J$8-Inputs!$I$8)))/Inputs!$K$8)^2))^2))-((Inputs!$H$8+Inputs!$L$8*(((Inputs!$I$8+(((A106)+1)/2)*(Inputs!$J$8-Inputs!$I$8)))/Inputs!$K$8)^2)))*1000/Inputs!$C$12),NA())</x:f>
        <x:v>38762.45764908813</x:v>
      </x:c>
      <x:c r="K106" s="48" t="n">
        <x:f>IF(OR(Inputs!$F$9=TRUE,Inputs!$F$9="TRUE",Inputs!$F$9=1),(((SQRT(((Inputs!$I$9+(((A106)+1)/2)*(Inputs!$J$9-Inputs!$I$9)))^2+Inputs!$C$6^2+((Inputs!$H$9+Inputs!$L$9*(((Inputs!$I$9+(((A106)+1)/2)*(Inputs!$J$9-Inputs!$I$9)))/Inputs!$K$9)^2))^2))-((Inputs!$H$9+Inputs!$L$9*(((Inputs!$I$9+(((A106)+1)/2)*(Inputs!$J$9-Inputs!$I$9)))/Inputs!$K$9)^2)))*1000/Inputs!$C$12),NA())</x:f>
        <x:v>42096.35278758791</x:v>
      </x:c>
      <x:c r="L106" s="49"/>
      <x:c r="M106" s="48" t="n">
        <x:f>A106</x:f>
        <x:v>-0.133</x:v>
      </x:c>
      <x:c r="N106" s="48" t="n">
        <x:f>IF(OR(Inputs!$F$6=TRUE,Inputs!$F$6="TRUE",Inputs!$F$6=1),(-2*((1000*((((Inputs!$I$6+(((A106)+1)/2)*(Inputs!$J$6-Inputs!$I$6)))*Inputs!$C$11+((Inputs!$H$6+Inputs!$L$6*(((Inputs!$I$6+(((A106)+1)/2)*(Inputs!$J$6-Inputs!$I$6)))/Inputs!$K$6)^2))*((2*Inputs!$L$6*((Inputs!$I$6+(((A106)+1)/2)*(Inputs!$J$6-Inputs!$I$6)))/(Inputs!$K$6^2)*Inputs!$C$11)))/(SQRT(((Inputs!$I$6+(((A106)+1)/2)*(Inputs!$J$6-Inputs!$I$6)))^2+Inputs!$C$6^2+((Inputs!$H$6+Inputs!$L$6*(((Inputs!$I$6+(((A106)+1)/2)*(Inputs!$J$6-Inputs!$I$6)))/Inputs!$K$6)^2))^2)))))/Inputs!$C$13),NA())</x:f>
        <x:v>60.15840423245983</x:v>
      </x:c>
      <x:c r="O106" s="48" t="n">
        <x:f>IF(OR(Inputs!$F$7=TRUE,Inputs!$F$7="TRUE",Inputs!$F$7=1),(-2*((1000*((((Inputs!$I$7+(((A106)+1)/2)*(Inputs!$J$7-Inputs!$I$7)))*Inputs!$C$11+((Inputs!$H$7+Inputs!$L$7*(((Inputs!$I$7+(((A106)+1)/2)*(Inputs!$J$7-Inputs!$I$7)))/Inputs!$K$7)^2))*((2*Inputs!$L$7*((Inputs!$I$7+(((A106)+1)/2)*(Inputs!$J$7-Inputs!$I$7)))/(Inputs!$K$7^2)*Inputs!$C$11)))/(SQRT(((Inputs!$I$7+(((A106)+1)/2)*(Inputs!$J$7-Inputs!$I$7)))^2+Inputs!$C$6^2+((Inputs!$H$7+Inputs!$L$7*(((Inputs!$I$7+(((A106)+1)/2)*(Inputs!$J$7-Inputs!$I$7)))/Inputs!$K$7)^2))^2)))))/Inputs!$C$13),NA())</x:f>
        <x:v>1407.2080948799503</x:v>
      </x:c>
      <x:c r="P106" s="48" t="n">
        <x:f>IF(OR(Inputs!$F$8=TRUE,Inputs!$F$8="TRUE",Inputs!$F$8=1),(-2*((1000*((((Inputs!$I$8+(((A106)+1)/2)*(Inputs!$J$8-Inputs!$I$8)))*Inputs!$C$11+((Inputs!$H$8+Inputs!$L$8*(((Inputs!$I$8+(((A106)+1)/2)*(Inputs!$J$8-Inputs!$I$8)))/Inputs!$K$8)^2))*((2*Inputs!$L$8*((Inputs!$I$8+(((A106)+1)/2)*(Inputs!$J$8-Inputs!$I$8)))/(Inputs!$K$8^2)*Inputs!$C$11)))/(SQRT(((Inputs!$I$8+(((A106)+1)/2)*(Inputs!$J$8-Inputs!$I$8)))^2+Inputs!$C$6^2+((Inputs!$H$8+Inputs!$L$8*(((Inputs!$I$8+(((A106)+1)/2)*(Inputs!$J$8-Inputs!$I$8)))/Inputs!$K$8)^2))^2)))))/Inputs!$C$13),NA())</x:f>
        <x:v>1626.9630912575853</x:v>
      </x:c>
      <x:c r="Q106" s="48" t="n">
        <x:f>IF(OR(Inputs!$F$9=TRUE,Inputs!$F$9="TRUE",Inputs!$F$9=1),(-2*((1000*((((Inputs!$I$9+(((A106)+1)/2)*(Inputs!$J$9-Inputs!$I$9)))*Inputs!$C$11+((Inputs!$H$9+Inputs!$L$9*(((Inputs!$I$9+(((A106)+1)/2)*(Inputs!$J$9-Inputs!$I$9)))/Inputs!$K$9)^2))*((2*Inputs!$L$9*((Inputs!$I$9+(((A106)+1)/2)*(Inputs!$J$9-Inputs!$I$9)))/(Inputs!$K$9^2)*Inputs!$C$11)))/(SQRT(((Inputs!$I$9+(((A106)+1)/2)*(Inputs!$J$9-Inputs!$I$9)))^2+Inputs!$C$6^2+((Inputs!$H$9+Inputs!$L$9*(((Inputs!$I$9+(((A106)+1)/2)*(Inputs!$J$9-Inputs!$I$9)))/Inputs!$K$9)^2))^2)))))/Inputs!$C$13),NA())</x:f>
        <x:v>1639.8380086774882</x:v>
      </x:c>
      <x:c r="R106" s="49"/>
      <x:c r="S106" s="48" t="n">
        <x:f>A106</x:f>
        <x:v>-0.133</x:v>
      </x:c>
      <x:c r="T106" s="48" t="n">
        <x:f>(Inputs!$I$6+(((A106)+1)/2)*(Inputs!$J$6-Inputs!$I$6))</x:f>
        <x:v>-7.980000000000004</x:v>
      </x:c>
      <x:c r="U106" s="48" t="n">
        <x:f>(Inputs!$I$7+(((A106)+1)/2)*(Inputs!$J$7-Inputs!$I$7))</x:f>
        <x:v>-53.19999999999999</x:v>
      </x:c>
      <x:c r="V106" s="48" t="n">
        <x:f>(Inputs!$I$8+(((A106)+1)/2)*(Inputs!$J$8-Inputs!$I$8))</x:f>
        <x:v>-106.39999999999998</x:v>
      </x:c>
      <x:c r="W106" s="48" t="n">
        <x:f>(Inputs!$I$9+(((A106)+1)/2)*(Inputs!$J$9-Inputs!$I$9))</x:f>
        <x:v>-106.39999999999998</x:v>
      </x:c>
      <x:c r="X106" s="49"/>
      <x:c r="Y106" s="48" t="n">
        <x:f>A106</x:f>
        <x:v>-0.133</x:v>
      </x:c>
      <x:c r="Z106" s="48" t="n">
        <x:f>(Inputs!$H$6+Inputs!$L$6*(((Inputs!$I$6+(((A106)+1)/2)*(Inputs!$J$6-Inputs!$I$6)))/Inputs!$K$6)^2)</x:f>
        <x:v>400.070756</x:v>
      </x:c>
      <x:c r="AA106" s="48" t="n">
        <x:f>(Inputs!$H$7+Inputs!$L$7*(((Inputs!$I$7+(((A106)+1)/2)*(Inputs!$J$7-Inputs!$I$7)))/Inputs!$K$7)^2)</x:f>
        <x:v>41.456485</x:v>
      </x:c>
      <x:c r="AB106" s="48" t="n">
        <x:f>(Inputs!$H$8+Inputs!$L$8*(((Inputs!$I$8+(((A106)+1)/2)*(Inputs!$J$8-Inputs!$I$8)))/Inputs!$K$8)^2)</x:f>
        <x:v>52.06988499999999</x:v>
      </x:c>
      <x:c r="AC106" s="48" t="n">
        <x:f>(Inputs!$H$9+Inputs!$L$9*(((Inputs!$I$9+(((A106)+1)/2)*(Inputs!$J$9-Inputs!$I$9)))/Inputs!$K$9)^2)</x:f>
        <x:v>42.24677499999999</x:v>
      </x:c>
      <x:c r="AD106" s="49"/>
      <x:c r="AE106" s="48" t="n">
        <x:f>A106</x:f>
        <x:v>-0.133</x:v>
      </x:c>
      <x:c r="AF106" s="48" t="n">
        <x:f>(((SQRT(((Inputs!$I$6+(((A106)+1)/2)*(Inputs!$J$6-Inputs!$I$6)))^2+Inputs!$C$6^2+((Inputs!$H$6+Inputs!$L$6*(((Inputs!$I$6+(((A106)+1)/2)*(Inputs!$J$6-Inputs!$I$6)))/Inputs!$K$6)^2))^2))-((Inputs!$H$6+Inputs!$L$6*(((Inputs!$I$6+(((A106)+1)/2)*(Inputs!$J$6-Inputs!$I$6)))/Inputs!$K$6)^2)))*1000/Inputs!$C$12)</x:f>
        <x:v>483.01932555279075</x:v>
      </x:c>
      <x:c r="AG106" s="48" t="n">
        <x:f>(((SQRT(((Inputs!$I$7+(((A106)+1)/2)*(Inputs!$J$7-Inputs!$I$7)))^2+Inputs!$C$6^2+((Inputs!$H$7+Inputs!$L$7*(((Inputs!$I$7+(((A106)+1)/2)*(Inputs!$J$7-Inputs!$I$7)))/Inputs!$K$7)^2))^2))-((Inputs!$H$7+Inputs!$L$7*(((Inputs!$I$7+(((A106)+1)/2)*(Inputs!$J$7-Inputs!$I$7)))/Inputs!$K$7)^2)))*1000/Inputs!$C$12)</x:f>
        <x:v>17119.777484814567</x:v>
      </x:c>
      <x:c r="AH106" s="48" t="n">
        <x:f>(((SQRT(((Inputs!$I$8+(((A106)+1)/2)*(Inputs!$J$8-Inputs!$I$8)))^2+Inputs!$C$6^2+((Inputs!$H$8+Inputs!$L$8*(((Inputs!$I$8+(((A106)+1)/2)*(Inputs!$J$8-Inputs!$I$8)))/Inputs!$K$8)^2))^2))-((Inputs!$H$8+Inputs!$L$8*(((Inputs!$I$8+(((A106)+1)/2)*(Inputs!$J$8-Inputs!$I$8)))/Inputs!$K$8)^2)))*1000/Inputs!$C$12)</x:f>
        <x:v>38762.45764908813</x:v>
      </x:c>
      <x:c r="AI106" s="48" t="n">
        <x:f>(((SQRT(((Inputs!$I$9+(((A106)+1)/2)*(Inputs!$J$9-Inputs!$I$9)))^2+Inputs!$C$6^2+((Inputs!$H$9+Inputs!$L$9*(((Inputs!$I$9+(((A106)+1)/2)*(Inputs!$J$9-Inputs!$I$9)))/Inputs!$K$9)^2))^2))-((Inputs!$H$9+Inputs!$L$9*(((Inputs!$I$9+(((A106)+1)/2)*(Inputs!$J$9-Inputs!$I$9)))/Inputs!$K$9)^2)))*1000/Inputs!$C$12)</x:f>
        <x:v>42096.35278758791</x:v>
      </x:c>
      <x:c r="AJ106" s="49"/>
      <x:c r="AK106" s="48" t="n">
        <x:f>A106</x:f>
        <x:v>-0.133</x:v>
      </x:c>
      <x:c r="AL106" s="48" t="n">
        <x:f>(-2*((1000*((((Inputs!$I$6+(((A106)+1)/2)*(Inputs!$J$6-Inputs!$I$6)))*Inputs!$C$11+((Inputs!$H$6+Inputs!$L$6*(((Inputs!$I$6+(((A106)+1)/2)*(Inputs!$J$6-Inputs!$I$6)))/Inputs!$K$6)^2))*((2*Inputs!$L$6*((Inputs!$I$6+(((A106)+1)/2)*(Inputs!$J$6-Inputs!$I$6)))/(Inputs!$K$6^2)*Inputs!$C$11)))/(SQRT(((Inputs!$I$6+(((A106)+1)/2)*(Inputs!$J$6-Inputs!$I$6)))^2+Inputs!$C$6^2+((Inputs!$H$6+Inputs!$L$6*(((Inputs!$I$6+(((A106)+1)/2)*(Inputs!$J$6-Inputs!$I$6)))/Inputs!$K$6)^2))^2)))))/Inputs!$C$13)</x:f>
        <x:v>60.15840423245983</x:v>
      </x:c>
      <x:c r="AM106" s="48" t="n">
        <x:f>(-2*((1000*((((Inputs!$I$7+(((A106)+1)/2)*(Inputs!$J$7-Inputs!$I$7)))*Inputs!$C$11+((Inputs!$H$7+Inputs!$L$7*(((Inputs!$I$7+(((A106)+1)/2)*(Inputs!$J$7-Inputs!$I$7)))/Inputs!$K$7)^2))*((2*Inputs!$L$7*((Inputs!$I$7+(((A106)+1)/2)*(Inputs!$J$7-Inputs!$I$7)))/(Inputs!$K$7^2)*Inputs!$C$11)))/(SQRT(((Inputs!$I$7+(((A106)+1)/2)*(Inputs!$J$7-Inputs!$I$7)))^2+Inputs!$C$6^2+((Inputs!$H$7+Inputs!$L$7*(((Inputs!$I$7+(((A106)+1)/2)*(Inputs!$J$7-Inputs!$I$7)))/Inputs!$K$7)^2))^2)))))/Inputs!$C$13)</x:f>
        <x:v>1407.2080948799503</x:v>
      </x:c>
      <x:c r="AN106" s="48" t="n">
        <x:f>(-2*((1000*((((Inputs!$I$8+(((A106)+1)/2)*(Inputs!$J$8-Inputs!$I$8)))*Inputs!$C$11+((Inputs!$H$8+Inputs!$L$8*(((Inputs!$I$8+(((A106)+1)/2)*(Inputs!$J$8-Inputs!$I$8)))/Inputs!$K$8)^2))*((2*Inputs!$L$8*((Inputs!$I$8+(((A106)+1)/2)*(Inputs!$J$8-Inputs!$I$8)))/(Inputs!$K$8^2)*Inputs!$C$11)))/(SQRT(((Inputs!$I$8+(((A106)+1)/2)*(Inputs!$J$8-Inputs!$I$8)))^2+Inputs!$C$6^2+((Inputs!$H$8+Inputs!$L$8*(((Inputs!$I$8+(((A106)+1)/2)*(Inputs!$J$8-Inputs!$I$8)))/Inputs!$K$8)^2))^2)))))/Inputs!$C$13)</x:f>
        <x:v>1626.9630912575853</x:v>
      </x:c>
      <x:c r="AO106" s="48" t="n">
        <x:f>(-2*((1000*((((Inputs!$I$9+(((A106)+1)/2)*(Inputs!$J$9-Inputs!$I$9)))*Inputs!$C$11+((Inputs!$H$9+Inputs!$L$9*(((Inputs!$I$9+(((A106)+1)/2)*(Inputs!$J$9-Inputs!$I$9)))/Inputs!$K$9)^2))*((2*Inputs!$L$9*((Inputs!$I$9+(((A106)+1)/2)*(Inputs!$J$9-Inputs!$I$9)))/(Inputs!$K$9^2)*Inputs!$C$11)))/(SQRT(((Inputs!$I$9+(((A106)+1)/2)*(Inputs!$J$9-Inputs!$I$9)))^2+Inputs!$C$6^2+((Inputs!$H$9+Inputs!$L$9*(((Inputs!$I$9+(((A106)+1)/2)*(Inputs!$J$9-Inputs!$I$9)))/Inputs!$K$9)^2))^2)))))/Inputs!$C$13)</x:f>
        <x:v>1639.8380086774882</x:v>
      </x:c>
    </x:row>
    <x:row r="107">
      <x:c r="A107" s="48" t="n">
        <x:f>ROUND(-1+105*2/240,3)</x:f>
        <x:v>-0.125</x:v>
      </x:c>
      <x:c r="B107" s="48" t="n">
        <x:f>IF(OR(Inputs!$F$6=TRUE,Inputs!$F$6="TRUE",Inputs!$F$6=1),(Inputs!$H$6+Inputs!$L$6*(((Inputs!$I$6+(((A107)+1)/2)*(Inputs!$J$6-Inputs!$I$6)))/Inputs!$K$6)^2),NA())</x:f>
        <x:v>400.0625</x:v>
      </x:c>
      <x:c r="C107" s="48" t="n">
        <x:f>IF(OR(Inputs!$F$7=TRUE,Inputs!$F$7="TRUE",Inputs!$F$7=1),(Inputs!$H$7+Inputs!$L$7*(((Inputs!$I$7+(((A107)+1)/2)*(Inputs!$J$7-Inputs!$I$7)))/Inputs!$K$7)^2),NA())</x:f>
        <x:v>40.703125</x:v>
      </x:c>
      <x:c r="D107" s="48" t="n">
        <x:f>IF(OR(Inputs!$F$8=TRUE,Inputs!$F$8="TRUE",Inputs!$F$8=1),(Inputs!$H$8+Inputs!$L$8*(((Inputs!$I$8+(((A107)+1)/2)*(Inputs!$J$8-Inputs!$I$8)))/Inputs!$K$8)^2),NA())</x:f>
        <x:v>50.078125</x:v>
      </x:c>
      <x:c r="E107" s="48" t="n">
        <x:f>IF(OR(Inputs!$F$9=TRUE,Inputs!$F$9="TRUE",Inputs!$F$9=1),(Inputs!$H$9+Inputs!$L$9*(((Inputs!$I$9+(((A107)+1)/2)*(Inputs!$J$9-Inputs!$I$9)))/Inputs!$K$9)^2),NA())</x:f>
        <x:v>40.234375</x:v>
      </x:c>
      <x:c r="F107" s="49"/>
      <x:c r="G107" s="48" t="n">
        <x:f>A107</x:f>
        <x:v>-0.125</x:v>
      </x:c>
      <x:c r="H107" s="48" t="n">
        <x:f>IF(OR(Inputs!$F$6=TRUE,Inputs!$F$6="TRUE",Inputs!$F$6=1),(((SQRT(((Inputs!$I$6+(((A107)+1)/2)*(Inputs!$J$6-Inputs!$I$6)))^2+Inputs!$C$6^2+((Inputs!$H$6+Inputs!$L$6*(((Inputs!$I$6+(((A107)+1)/2)*(Inputs!$J$6-Inputs!$I$6)))/Inputs!$K$6)^2))^2))-((Inputs!$H$6+Inputs!$L$6*(((Inputs!$I$6+(((A107)+1)/2)*(Inputs!$J$6-Inputs!$I$6)))/Inputs!$K$6)^2)))*1000/Inputs!$C$12),NA())</x:f>
        <x:v>477.82323801636795</x:v>
      </x:c>
      <x:c r="I107" s="48" t="n">
        <x:f>IF(OR(Inputs!$F$7=TRUE,Inputs!$F$7="TRUE",Inputs!$F$7=1),(((SQRT(((Inputs!$I$7+(((A107)+1)/2)*(Inputs!$J$7-Inputs!$I$7)))^2+Inputs!$C$6^2+((Inputs!$H$7+Inputs!$L$7*(((Inputs!$I$7+(((A107)+1)/2)*(Inputs!$J$7-Inputs!$I$7)))/Inputs!$K$7)^2))^2))-((Inputs!$H$7+Inputs!$L$7*(((Inputs!$I$7+(((A107)+1)/2)*(Inputs!$J$7-Inputs!$I$7)))/Inputs!$K$7)^2)))*1000/Inputs!$C$12),NA())</x:f>
        <x:v>15981.479348918183</x:v>
      </x:c>
      <x:c r="J107" s="48" t="n">
        <x:f>IF(OR(Inputs!$F$8=TRUE,Inputs!$F$8="TRUE",Inputs!$F$8=1),(((SQRT(((Inputs!$I$8+(((A107)+1)/2)*(Inputs!$J$8-Inputs!$I$8)))^2+Inputs!$C$6^2+((Inputs!$H$8+Inputs!$L$8*(((Inputs!$I$8+(((A107)+1)/2)*(Inputs!$J$8-Inputs!$I$8)))/Inputs!$K$8)^2))^2))-((Inputs!$H$8+Inputs!$L$8*(((Inputs!$I$8+(((A107)+1)/2)*(Inputs!$J$8-Inputs!$I$8)))/Inputs!$K$8)^2)))*1000/Inputs!$C$12),NA())</x:f>
        <x:v>36247.40757127122</x:v>
      </x:c>
      <x:c r="K107" s="48" t="n">
        <x:f>IF(OR(Inputs!$F$9=TRUE,Inputs!$F$9="TRUE",Inputs!$F$9=1),(((SQRT(((Inputs!$I$9+(((A107)+1)/2)*(Inputs!$J$9-Inputs!$I$9)))^2+Inputs!$C$6^2+((Inputs!$H$9+Inputs!$L$9*(((Inputs!$I$9+(((A107)+1)/2)*(Inputs!$J$9-Inputs!$I$9)))/Inputs!$K$9)^2))^2))-((Inputs!$H$9+Inputs!$L$9*(((Inputs!$I$9+(((A107)+1)/2)*(Inputs!$J$9-Inputs!$I$9)))/Inputs!$K$9)^2)))*1000/Inputs!$C$12),NA())</x:f>
        <x:v>39560.310730652614</x:v>
      </x:c>
      <x:c r="L107" s="49"/>
      <x:c r="M107" s="48" t="n">
        <x:f>A107</x:f>
        <x:v>-0.125</x:v>
      </x:c>
      <x:c r="N107" s="48" t="n">
        <x:f>IF(OR(Inputs!$F$6=TRUE,Inputs!$F$6="TRUE",Inputs!$F$6=1),(-2*((1000*((((Inputs!$I$6+(((A107)+1)/2)*(Inputs!$J$6-Inputs!$I$6)))*Inputs!$C$11+((Inputs!$H$6+Inputs!$L$6*(((Inputs!$I$6+(((A107)+1)/2)*(Inputs!$J$6-Inputs!$I$6)))/Inputs!$K$6)^2))*((2*Inputs!$L$6*((Inputs!$I$6+(((A107)+1)/2)*(Inputs!$J$6-Inputs!$I$6)))/(Inputs!$K$6^2)*Inputs!$C$11)))/(SQRT(((Inputs!$I$6+(((A107)+1)/2)*(Inputs!$J$6-Inputs!$I$6)))^2+Inputs!$C$6^2+((Inputs!$H$6+Inputs!$L$6*(((Inputs!$I$6+(((A107)+1)/2)*(Inputs!$J$6-Inputs!$I$6)))/Inputs!$K$6)^2))^2)))))/Inputs!$C$13),NA())</x:f>
        <x:v>56.54177315084945</x:v>
      </x:c>
      <x:c r="O107" s="48" t="n">
        <x:f>IF(OR(Inputs!$F$7=TRUE,Inputs!$F$7="TRUE",Inputs!$F$7=1),(-2*((1000*((((Inputs!$I$7+(((A107)+1)/2)*(Inputs!$J$7-Inputs!$I$7)))*Inputs!$C$11+((Inputs!$H$7+Inputs!$L$7*(((Inputs!$I$7+(((A107)+1)/2)*(Inputs!$J$7-Inputs!$I$7)))/Inputs!$K$7)^2))*((2*Inputs!$L$7*((Inputs!$I$7+(((A107)+1)/2)*(Inputs!$J$7-Inputs!$I$7)))/(Inputs!$K$7^2)*Inputs!$C$11)))/(SQRT(((Inputs!$I$7+(((A107)+1)/2)*(Inputs!$J$7-Inputs!$I$7)))^2+Inputs!$C$6^2+((Inputs!$H$7+Inputs!$L$7*(((Inputs!$I$7+(((A107)+1)/2)*(Inputs!$J$7-Inputs!$I$7)))/Inputs!$K$7)^2))^2)))))/Inputs!$C$13),NA())</x:f>
        <x:v>1371.7487137817755</x:v>
      </x:c>
      <x:c r="P107" s="48" t="n">
        <x:f>IF(OR(Inputs!$F$8=TRUE,Inputs!$F$8="TRUE",Inputs!$F$8=1),(-2*((1000*((((Inputs!$I$8+(((A107)+1)/2)*(Inputs!$J$8-Inputs!$I$8)))*Inputs!$C$11+((Inputs!$H$8+Inputs!$L$8*(((Inputs!$I$8+(((A107)+1)/2)*(Inputs!$J$8-Inputs!$I$8)))/Inputs!$K$8)^2))*((2*Inputs!$L$8*((Inputs!$I$8+(((A107)+1)/2)*(Inputs!$J$8-Inputs!$I$8)))/(Inputs!$K$8^2)*Inputs!$C$11)))/(SQRT(((Inputs!$I$8+(((A107)+1)/2)*(Inputs!$J$8-Inputs!$I$8)))^2+Inputs!$C$6^2+((Inputs!$H$8+Inputs!$L$8*(((Inputs!$I$8+(((A107)+1)/2)*(Inputs!$J$8-Inputs!$I$8)))/Inputs!$K$8)^2))^2)))))/Inputs!$C$13),NA())</x:f>
        <x:v>1607.0252095439068</x:v>
      </x:c>
      <x:c r="Q107" s="48" t="n">
        <x:f>IF(OR(Inputs!$F$9=TRUE,Inputs!$F$9="TRUE",Inputs!$F$9=1),(-2*((1000*((((Inputs!$I$9+(((A107)+1)/2)*(Inputs!$J$9-Inputs!$I$9)))*Inputs!$C$11+((Inputs!$H$9+Inputs!$L$9*(((Inputs!$I$9+(((A107)+1)/2)*(Inputs!$J$9-Inputs!$I$9)))/Inputs!$K$9)^2))*((2*Inputs!$L$9*((Inputs!$I$9+(((A107)+1)/2)*(Inputs!$J$9-Inputs!$I$9)))/(Inputs!$K$9^2)*Inputs!$C$11)))/(SQRT(((Inputs!$I$9+(((A107)+1)/2)*(Inputs!$J$9-Inputs!$I$9)))^2+Inputs!$C$6^2+((Inputs!$H$9+Inputs!$L$9*(((Inputs!$I$9+(((A107)+1)/2)*(Inputs!$J$9-Inputs!$I$9)))/Inputs!$K$9)^2))^2)))))/Inputs!$C$13),NA())</x:f>
        <x:v>1623.239518223017</x:v>
      </x:c>
      <x:c r="R107" s="49"/>
      <x:c r="S107" s="48" t="n">
        <x:f>A107</x:f>
        <x:v>-0.125</x:v>
      </x:c>
      <x:c r="T107" s="48" t="n">
        <x:f>(Inputs!$I$6+(((A107)+1)/2)*(Inputs!$J$6-Inputs!$I$6))</x:f>
        <x:v>-7.5</x:v>
      </x:c>
      <x:c r="U107" s="48" t="n">
        <x:f>(Inputs!$I$7+(((A107)+1)/2)*(Inputs!$J$7-Inputs!$I$7))</x:f>
        <x:v>-50</x:v>
      </x:c>
      <x:c r="V107" s="48" t="n">
        <x:f>(Inputs!$I$8+(((A107)+1)/2)*(Inputs!$J$8-Inputs!$I$8))</x:f>
        <x:v>-100</x:v>
      </x:c>
      <x:c r="W107" s="48" t="n">
        <x:f>(Inputs!$I$9+(((A107)+1)/2)*(Inputs!$J$9-Inputs!$I$9))</x:f>
        <x:v>-100</x:v>
      </x:c>
      <x:c r="X107" s="49"/>
      <x:c r="Y107" s="48" t="n">
        <x:f>A107</x:f>
        <x:v>-0.125</x:v>
      </x:c>
      <x:c r="Z107" s="48" t="n">
        <x:f>(Inputs!$H$6+Inputs!$L$6*(((Inputs!$I$6+(((A107)+1)/2)*(Inputs!$J$6-Inputs!$I$6)))/Inputs!$K$6)^2)</x:f>
        <x:v>400.0625</x:v>
      </x:c>
      <x:c r="AA107" s="48" t="n">
        <x:f>(Inputs!$H$7+Inputs!$L$7*(((Inputs!$I$7+(((A107)+1)/2)*(Inputs!$J$7-Inputs!$I$7)))/Inputs!$K$7)^2)</x:f>
        <x:v>40.703125</x:v>
      </x:c>
      <x:c r="AB107" s="48" t="n">
        <x:f>(Inputs!$H$8+Inputs!$L$8*(((Inputs!$I$8+(((A107)+1)/2)*(Inputs!$J$8-Inputs!$I$8)))/Inputs!$K$8)^2)</x:f>
        <x:v>50.078125</x:v>
      </x:c>
      <x:c r="AC107" s="48" t="n">
        <x:f>(Inputs!$H$9+Inputs!$L$9*(((Inputs!$I$9+(((A107)+1)/2)*(Inputs!$J$9-Inputs!$I$9)))/Inputs!$K$9)^2)</x:f>
        <x:v>40.234375</x:v>
      </x:c>
      <x:c r="AD107" s="49"/>
      <x:c r="AE107" s="48" t="n">
        <x:f>A107</x:f>
        <x:v>-0.125</x:v>
      </x:c>
      <x:c r="AF107" s="48" t="n">
        <x:f>(((SQRT(((Inputs!$I$6+(((A107)+1)/2)*(Inputs!$J$6-Inputs!$I$6)))^2+Inputs!$C$6^2+((Inputs!$H$6+Inputs!$L$6*(((Inputs!$I$6+(((A107)+1)/2)*(Inputs!$J$6-Inputs!$I$6)))/Inputs!$K$6)^2))^2))-((Inputs!$H$6+Inputs!$L$6*(((Inputs!$I$6+(((A107)+1)/2)*(Inputs!$J$6-Inputs!$I$6)))/Inputs!$K$6)^2)))*1000/Inputs!$C$12)</x:f>
        <x:v>477.82323801636795</x:v>
      </x:c>
      <x:c r="AG107" s="48" t="n">
        <x:f>(((SQRT(((Inputs!$I$7+(((A107)+1)/2)*(Inputs!$J$7-Inputs!$I$7)))^2+Inputs!$C$6^2+((Inputs!$H$7+Inputs!$L$7*(((Inputs!$I$7+(((A107)+1)/2)*(Inputs!$J$7-Inputs!$I$7)))/Inputs!$K$7)^2))^2))-((Inputs!$H$7+Inputs!$L$7*(((Inputs!$I$7+(((A107)+1)/2)*(Inputs!$J$7-Inputs!$I$7)))/Inputs!$K$7)^2)))*1000/Inputs!$C$12)</x:f>
        <x:v>15981.479348918183</x:v>
      </x:c>
      <x:c r="AH107" s="48" t="n">
        <x:f>(((SQRT(((Inputs!$I$8+(((A107)+1)/2)*(Inputs!$J$8-Inputs!$I$8)))^2+Inputs!$C$6^2+((Inputs!$H$8+Inputs!$L$8*(((Inputs!$I$8+(((A107)+1)/2)*(Inputs!$J$8-Inputs!$I$8)))/Inputs!$K$8)^2))^2))-((Inputs!$H$8+Inputs!$L$8*(((Inputs!$I$8+(((A107)+1)/2)*(Inputs!$J$8-Inputs!$I$8)))/Inputs!$K$8)^2)))*1000/Inputs!$C$12)</x:f>
        <x:v>36247.40757127122</x:v>
      </x:c>
      <x:c r="AI107" s="48" t="n">
        <x:f>(((SQRT(((Inputs!$I$9+(((A107)+1)/2)*(Inputs!$J$9-Inputs!$I$9)))^2+Inputs!$C$6^2+((Inputs!$H$9+Inputs!$L$9*(((Inputs!$I$9+(((A107)+1)/2)*(Inputs!$J$9-Inputs!$I$9)))/Inputs!$K$9)^2))^2))-((Inputs!$H$9+Inputs!$L$9*(((Inputs!$I$9+(((A107)+1)/2)*(Inputs!$J$9-Inputs!$I$9)))/Inputs!$K$9)^2)))*1000/Inputs!$C$12)</x:f>
        <x:v>39560.310730652614</x:v>
      </x:c>
      <x:c r="AJ107" s="49"/>
      <x:c r="AK107" s="48" t="n">
        <x:f>A107</x:f>
        <x:v>-0.125</x:v>
      </x:c>
      <x:c r="AL107" s="48" t="n">
        <x:f>(-2*((1000*((((Inputs!$I$6+(((A107)+1)/2)*(Inputs!$J$6-Inputs!$I$6)))*Inputs!$C$11+((Inputs!$H$6+Inputs!$L$6*(((Inputs!$I$6+(((A107)+1)/2)*(Inputs!$J$6-Inputs!$I$6)))/Inputs!$K$6)^2))*((2*Inputs!$L$6*((Inputs!$I$6+(((A107)+1)/2)*(Inputs!$J$6-Inputs!$I$6)))/(Inputs!$K$6^2)*Inputs!$C$11)))/(SQRT(((Inputs!$I$6+(((A107)+1)/2)*(Inputs!$J$6-Inputs!$I$6)))^2+Inputs!$C$6^2+((Inputs!$H$6+Inputs!$L$6*(((Inputs!$I$6+(((A107)+1)/2)*(Inputs!$J$6-Inputs!$I$6)))/Inputs!$K$6)^2))^2)))))/Inputs!$C$13)</x:f>
        <x:v>56.54177315084945</x:v>
      </x:c>
      <x:c r="AM107" s="48" t="n">
        <x:f>(-2*((1000*((((Inputs!$I$7+(((A107)+1)/2)*(Inputs!$J$7-Inputs!$I$7)))*Inputs!$C$11+((Inputs!$H$7+Inputs!$L$7*(((Inputs!$I$7+(((A107)+1)/2)*(Inputs!$J$7-Inputs!$I$7)))/Inputs!$K$7)^2))*((2*Inputs!$L$7*((Inputs!$I$7+(((A107)+1)/2)*(Inputs!$J$7-Inputs!$I$7)))/(Inputs!$K$7^2)*Inputs!$C$11)))/(SQRT(((Inputs!$I$7+(((A107)+1)/2)*(Inputs!$J$7-Inputs!$I$7)))^2+Inputs!$C$6^2+((Inputs!$H$7+Inputs!$L$7*(((Inputs!$I$7+(((A107)+1)/2)*(Inputs!$J$7-Inputs!$I$7)))/Inputs!$K$7)^2))^2)))))/Inputs!$C$13)</x:f>
        <x:v>1371.7487137817755</x:v>
      </x:c>
      <x:c r="AN107" s="48" t="n">
        <x:f>(-2*((1000*((((Inputs!$I$8+(((A107)+1)/2)*(Inputs!$J$8-Inputs!$I$8)))*Inputs!$C$11+((Inputs!$H$8+Inputs!$L$8*(((Inputs!$I$8+(((A107)+1)/2)*(Inputs!$J$8-Inputs!$I$8)))/Inputs!$K$8)^2))*((2*Inputs!$L$8*((Inputs!$I$8+(((A107)+1)/2)*(Inputs!$J$8-Inputs!$I$8)))/(Inputs!$K$8^2)*Inputs!$C$11)))/(SQRT(((Inputs!$I$8+(((A107)+1)/2)*(Inputs!$J$8-Inputs!$I$8)))^2+Inputs!$C$6^2+((Inputs!$H$8+Inputs!$L$8*(((Inputs!$I$8+(((A107)+1)/2)*(Inputs!$J$8-Inputs!$I$8)))/Inputs!$K$8)^2))^2)))))/Inputs!$C$13)</x:f>
        <x:v>1607.0252095439068</x:v>
      </x:c>
      <x:c r="AO107" s="48" t="n">
        <x:f>(-2*((1000*((((Inputs!$I$9+(((A107)+1)/2)*(Inputs!$J$9-Inputs!$I$9)))*Inputs!$C$11+((Inputs!$H$9+Inputs!$L$9*(((Inputs!$I$9+(((A107)+1)/2)*(Inputs!$J$9-Inputs!$I$9)))/Inputs!$K$9)^2))*((2*Inputs!$L$9*((Inputs!$I$9+(((A107)+1)/2)*(Inputs!$J$9-Inputs!$I$9)))/(Inputs!$K$9^2)*Inputs!$C$11)))/(SQRT(((Inputs!$I$9+(((A107)+1)/2)*(Inputs!$J$9-Inputs!$I$9)))^2+Inputs!$C$6^2+((Inputs!$H$9+Inputs!$L$9*(((Inputs!$I$9+(((A107)+1)/2)*(Inputs!$J$9-Inputs!$I$9)))/Inputs!$K$9)^2))^2)))))/Inputs!$C$13)</x:f>
        <x:v>1623.239518223017</x:v>
      </x:c>
    </x:row>
    <x:row r="108">
      <x:c r="A108" s="48" t="n">
        <x:f>ROUND(-1+106*2/240,3)</x:f>
        <x:v>-0.117</x:v>
      </x:c>
      <x:c r="B108" s="48" t="n">
        <x:f>IF(OR(Inputs!$F$6=TRUE,Inputs!$F$6="TRUE",Inputs!$F$6=1),(Inputs!$H$6+Inputs!$L$6*(((Inputs!$I$6+(((A108)+1)/2)*(Inputs!$J$6-Inputs!$I$6)))/Inputs!$K$6)^2),NA())</x:f>
        <x:v>400.054756</x:v>
      </x:c>
      <x:c r="C108" s="48" t="n">
        <x:f>IF(OR(Inputs!$F$7=TRUE,Inputs!$F$7="TRUE",Inputs!$F$7=1),(Inputs!$H$7+Inputs!$L$7*(((Inputs!$I$7+(((A108)+1)/2)*(Inputs!$J$7-Inputs!$I$7)))/Inputs!$K$7)^2),NA())</x:f>
        <x:v>39.99648500000001</x:v>
      </x:c>
      <x:c r="D108" s="48" t="n">
        <x:f>IF(OR(Inputs!$F$8=TRUE,Inputs!$F$8="TRUE",Inputs!$F$8=1),(Inputs!$H$8+Inputs!$L$8*(((Inputs!$I$8+(((A108)+1)/2)*(Inputs!$J$8-Inputs!$I$8)))/Inputs!$K$8)^2),NA())</x:f>
        <x:v>48.20988500000001</x:v>
      </x:c>
      <x:c r="E108" s="48" t="n">
        <x:f>IF(OR(Inputs!$F$9=TRUE,Inputs!$F$9="TRUE",Inputs!$F$9=1),(Inputs!$H$9+Inputs!$L$9*(((Inputs!$I$9+(((A108)+1)/2)*(Inputs!$J$9-Inputs!$I$9)))/Inputs!$K$9)^2),NA())</x:f>
        <x:v>38.34677500000001</x:v>
      </x:c>
      <x:c r="F108" s="49"/>
      <x:c r="G108" s="48" t="n">
        <x:f>A108</x:f>
        <x:v>-0.117</x:v>
      </x:c>
      <x:c r="H108" s="48" t="n">
        <x:f>IF(OR(Inputs!$F$6=TRUE,Inputs!$F$6="TRUE",Inputs!$F$6=1),(((SQRT(((Inputs!$I$6+(((A108)+1)/2)*(Inputs!$J$6-Inputs!$I$6)))^2+Inputs!$C$6^2+((Inputs!$H$6+Inputs!$L$6*(((Inputs!$I$6+(((A108)+1)/2)*(Inputs!$J$6-Inputs!$I$6)))/Inputs!$K$6)^2))^2))-((Inputs!$H$6+Inputs!$L$6*(((Inputs!$I$6+(((A108)+1)/2)*(Inputs!$J$6-Inputs!$I$6)))/Inputs!$K$6)^2)))*1000/Inputs!$C$12),NA())</x:f>
        <x:v>472.9490849913699</x:v>
      </x:c>
      <x:c r="I108" s="48" t="n">
        <x:f>IF(OR(Inputs!$F$7=TRUE,Inputs!$F$7="TRUE",Inputs!$F$7=1),(((SQRT(((Inputs!$I$7+(((A108)+1)/2)*(Inputs!$J$7-Inputs!$I$7)))^2+Inputs!$C$6^2+((Inputs!$H$7+Inputs!$L$7*(((Inputs!$I$7+(((A108)+1)/2)*(Inputs!$J$7-Inputs!$I$7)))/Inputs!$K$7)^2))^2))-((Inputs!$H$7+Inputs!$L$7*(((Inputs!$I$7+(((A108)+1)/2)*(Inputs!$J$7-Inputs!$I$7)))/Inputs!$K$7)^2)))*1000/Inputs!$C$12),NA())</x:f>
        <x:v>14858.80417140119</x:v>
      </x:c>
      <x:c r="J108" s="48" t="n">
        <x:f>IF(OR(Inputs!$F$8=TRUE,Inputs!$F$8="TRUE",Inputs!$F$8=1),(((SQRT(((Inputs!$I$8+(((A108)+1)/2)*(Inputs!$J$8-Inputs!$I$8)))^2+Inputs!$C$6^2+((Inputs!$H$8+Inputs!$L$8*(((Inputs!$I$8+(((A108)+1)/2)*(Inputs!$J$8-Inputs!$I$8)))/Inputs!$K$8)^2))^2))-((Inputs!$H$8+Inputs!$L$8*(((Inputs!$I$8+(((A108)+1)/2)*(Inputs!$J$8-Inputs!$I$8)))/Inputs!$K$8)^2)))*1000/Inputs!$C$12),NA())</x:f>
        <x:v>33709.87382014908</x:v>
      </x:c>
      <x:c r="K108" s="48" t="n">
        <x:f>IF(OR(Inputs!$F$9=TRUE,Inputs!$F$9="TRUE",Inputs!$F$9=1),(((SQRT(((Inputs!$I$9+(((A108)+1)/2)*(Inputs!$J$9-Inputs!$I$9)))^2+Inputs!$C$6^2+((Inputs!$H$9+Inputs!$L$9*(((Inputs!$I$9+(((A108)+1)/2)*(Inputs!$J$9-Inputs!$I$9)))/Inputs!$K$9)^2))^2))-((Inputs!$H$9+Inputs!$L$9*(((Inputs!$I$9+(((A108)+1)/2)*(Inputs!$J$9-Inputs!$I$9)))/Inputs!$K$9)^2)))*1000/Inputs!$C$12),NA())</x:f>
        <x:v>36992.94574358409</x:v>
      </x:c>
      <x:c r="L108" s="49"/>
      <x:c r="M108" s="48" t="n">
        <x:f>A108</x:f>
        <x:v>-0.117</x:v>
      </x:c>
      <x:c r="N108" s="48" t="n">
        <x:f>IF(OR(Inputs!$F$6=TRUE,Inputs!$F$6="TRUE",Inputs!$F$6=1),(-2*((1000*((((Inputs!$I$6+(((A108)+1)/2)*(Inputs!$J$6-Inputs!$I$6)))*Inputs!$C$11+((Inputs!$H$6+Inputs!$L$6*(((Inputs!$I$6+(((A108)+1)/2)*(Inputs!$J$6-Inputs!$I$6)))/Inputs!$K$6)^2))*((2*Inputs!$L$6*((Inputs!$I$6+(((A108)+1)/2)*(Inputs!$J$6-Inputs!$I$6)))/(Inputs!$K$6^2)*Inputs!$C$11)))/(SQRT(((Inputs!$I$6+(((A108)+1)/2)*(Inputs!$J$6-Inputs!$I$6)))^2+Inputs!$C$6^2+((Inputs!$H$6+Inputs!$L$6*(((Inputs!$I$6+(((A108)+1)/2)*(Inputs!$J$6-Inputs!$I$6)))/Inputs!$K$6)^2))^2)))))/Inputs!$C$13),NA())</x:f>
        <x:v>52.92478515778358</x:v>
      </x:c>
      <x:c r="O108" s="48" t="n">
        <x:f>IF(OR(Inputs!$F$7=TRUE,Inputs!$F$7="TRUE",Inputs!$F$7=1),(-2*((1000*((((Inputs!$I$7+(((A108)+1)/2)*(Inputs!$J$7-Inputs!$I$7)))*Inputs!$C$11+((Inputs!$H$7+Inputs!$L$7*(((Inputs!$I$7+(((A108)+1)/2)*(Inputs!$J$7-Inputs!$I$7)))/Inputs!$K$7)^2))*((2*Inputs!$L$7*((Inputs!$I$7+(((A108)+1)/2)*(Inputs!$J$7-Inputs!$I$7)))/(Inputs!$K$7^2)*Inputs!$C$11)))/(SQRT(((Inputs!$I$7+(((A108)+1)/2)*(Inputs!$J$7-Inputs!$I$7)))^2+Inputs!$C$6^2+((Inputs!$H$7+Inputs!$L$7*(((Inputs!$I$7+(((A108)+1)/2)*(Inputs!$J$7-Inputs!$I$7)))/Inputs!$K$7)^2))^2)))))/Inputs!$C$13),NA())</x:f>
        <x:v>1332.5937344314798</x:v>
      </x:c>
      <x:c r="P108" s="48" t="n">
        <x:f>IF(OR(Inputs!$F$8=TRUE,Inputs!$F$8="TRUE",Inputs!$F$8=1),(-2*((1000*((((Inputs!$I$8+(((A108)+1)/2)*(Inputs!$J$8-Inputs!$I$8)))*Inputs!$C$11+((Inputs!$H$8+Inputs!$L$8*(((Inputs!$I$8+(((A108)+1)/2)*(Inputs!$J$8-Inputs!$I$8)))/Inputs!$K$8)^2))*((2*Inputs!$L$8*((Inputs!$I$8+(((A108)+1)/2)*(Inputs!$J$8-Inputs!$I$8)))/(Inputs!$K$8^2)*Inputs!$C$11)))/(SQRT(((Inputs!$I$8+(((A108)+1)/2)*(Inputs!$J$8-Inputs!$I$8)))^2+Inputs!$C$6^2+((Inputs!$H$8+Inputs!$L$8*(((Inputs!$I$8+(((A108)+1)/2)*(Inputs!$J$8-Inputs!$I$8)))/Inputs!$K$8)^2))^2)))))/Inputs!$C$13),NA())</x:f>
        <x:v>1585.1313471527565</x:v>
      </x:c>
      <x:c r="Q108" s="48" t="n">
        <x:f>IF(OR(Inputs!$F$9=TRUE,Inputs!$F$9="TRUE",Inputs!$F$9=1),(-2*((1000*((((Inputs!$I$9+(((A108)+1)/2)*(Inputs!$J$9-Inputs!$I$9)))*Inputs!$C$11+((Inputs!$H$9+Inputs!$L$9*(((Inputs!$I$9+(((A108)+1)/2)*(Inputs!$J$9-Inputs!$I$9)))/Inputs!$K$9)^2))*((2*Inputs!$L$9*((Inputs!$I$9+(((A108)+1)/2)*(Inputs!$J$9-Inputs!$I$9)))/(Inputs!$K$9^2)*Inputs!$C$11)))/(SQRT(((Inputs!$I$9+(((A108)+1)/2)*(Inputs!$J$9-Inputs!$I$9)))^2+Inputs!$C$6^2+((Inputs!$H$9+Inputs!$L$9*(((Inputs!$I$9+(((A108)+1)/2)*(Inputs!$J$9-Inputs!$I$9)))/Inputs!$K$9)^2))^2)))))/Inputs!$C$13),NA())</x:f>
        <x:v>1605.248697701722</x:v>
      </x:c>
      <x:c r="R108" s="49"/>
      <x:c r="S108" s="48" t="n">
        <x:f>A108</x:f>
        <x:v>-0.117</x:v>
      </x:c>
      <x:c r="T108" s="48" t="n">
        <x:f>(Inputs!$I$6+(((A108)+1)/2)*(Inputs!$J$6-Inputs!$I$6))</x:f>
        <x:v>-7.019999999999996</x:v>
      </x:c>
      <x:c r="U108" s="48" t="n">
        <x:f>(Inputs!$I$7+(((A108)+1)/2)*(Inputs!$J$7-Inputs!$I$7))</x:f>
        <x:v>-46.80000000000001</x:v>
      </x:c>
      <x:c r="V108" s="48" t="n">
        <x:f>(Inputs!$I$8+(((A108)+1)/2)*(Inputs!$J$8-Inputs!$I$8))</x:f>
        <x:v>-93.60000000000002</x:v>
      </x:c>
      <x:c r="W108" s="48" t="n">
        <x:f>(Inputs!$I$9+(((A108)+1)/2)*(Inputs!$J$9-Inputs!$I$9))</x:f>
        <x:v>-93.60000000000002</x:v>
      </x:c>
      <x:c r="X108" s="49"/>
      <x:c r="Y108" s="48" t="n">
        <x:f>A108</x:f>
        <x:v>-0.117</x:v>
      </x:c>
      <x:c r="Z108" s="48" t="n">
        <x:f>(Inputs!$H$6+Inputs!$L$6*(((Inputs!$I$6+(((A108)+1)/2)*(Inputs!$J$6-Inputs!$I$6)))/Inputs!$K$6)^2)</x:f>
        <x:v>400.054756</x:v>
      </x:c>
      <x:c r="AA108" s="48" t="n">
        <x:f>(Inputs!$H$7+Inputs!$L$7*(((Inputs!$I$7+(((A108)+1)/2)*(Inputs!$J$7-Inputs!$I$7)))/Inputs!$K$7)^2)</x:f>
        <x:v>39.99648500000001</x:v>
      </x:c>
      <x:c r="AB108" s="48" t="n">
        <x:f>(Inputs!$H$8+Inputs!$L$8*(((Inputs!$I$8+(((A108)+1)/2)*(Inputs!$J$8-Inputs!$I$8)))/Inputs!$K$8)^2)</x:f>
        <x:v>48.20988500000001</x:v>
      </x:c>
      <x:c r="AC108" s="48" t="n">
        <x:f>(Inputs!$H$9+Inputs!$L$9*(((Inputs!$I$9+(((A108)+1)/2)*(Inputs!$J$9-Inputs!$I$9)))/Inputs!$K$9)^2)</x:f>
        <x:v>38.34677500000001</x:v>
      </x:c>
      <x:c r="AD108" s="49"/>
      <x:c r="AE108" s="48" t="n">
        <x:f>A108</x:f>
        <x:v>-0.117</x:v>
      </x:c>
      <x:c r="AF108" s="48" t="n">
        <x:f>(((SQRT(((Inputs!$I$6+(((A108)+1)/2)*(Inputs!$J$6-Inputs!$I$6)))^2+Inputs!$C$6^2+((Inputs!$H$6+Inputs!$L$6*(((Inputs!$I$6+(((A108)+1)/2)*(Inputs!$J$6-Inputs!$I$6)))/Inputs!$K$6)^2))^2))-((Inputs!$H$6+Inputs!$L$6*(((Inputs!$I$6+(((A108)+1)/2)*(Inputs!$J$6-Inputs!$I$6)))/Inputs!$K$6)^2)))*1000/Inputs!$C$12)</x:f>
        <x:v>472.9490849913699</x:v>
      </x:c>
      <x:c r="AG108" s="48" t="n">
        <x:f>(((SQRT(((Inputs!$I$7+(((A108)+1)/2)*(Inputs!$J$7-Inputs!$I$7)))^2+Inputs!$C$6^2+((Inputs!$H$7+Inputs!$L$7*(((Inputs!$I$7+(((A108)+1)/2)*(Inputs!$J$7-Inputs!$I$7)))/Inputs!$K$7)^2))^2))-((Inputs!$H$7+Inputs!$L$7*(((Inputs!$I$7+(((A108)+1)/2)*(Inputs!$J$7-Inputs!$I$7)))/Inputs!$K$7)^2)))*1000/Inputs!$C$12)</x:f>
        <x:v>14858.80417140119</x:v>
      </x:c>
      <x:c r="AH108" s="48" t="n">
        <x:f>(((SQRT(((Inputs!$I$8+(((A108)+1)/2)*(Inputs!$J$8-Inputs!$I$8)))^2+Inputs!$C$6^2+((Inputs!$H$8+Inputs!$L$8*(((Inputs!$I$8+(((A108)+1)/2)*(Inputs!$J$8-Inputs!$I$8)))/Inputs!$K$8)^2))^2))-((Inputs!$H$8+Inputs!$L$8*(((Inputs!$I$8+(((A108)+1)/2)*(Inputs!$J$8-Inputs!$I$8)))/Inputs!$K$8)^2)))*1000/Inputs!$C$12)</x:f>
        <x:v>33709.87382014908</x:v>
      </x:c>
      <x:c r="AI108" s="48" t="n">
        <x:f>(((SQRT(((Inputs!$I$9+(((A108)+1)/2)*(Inputs!$J$9-Inputs!$I$9)))^2+Inputs!$C$6^2+((Inputs!$H$9+Inputs!$L$9*(((Inputs!$I$9+(((A108)+1)/2)*(Inputs!$J$9-Inputs!$I$9)))/Inputs!$K$9)^2))^2))-((Inputs!$H$9+Inputs!$L$9*(((Inputs!$I$9+(((A108)+1)/2)*(Inputs!$J$9-Inputs!$I$9)))/Inputs!$K$9)^2)))*1000/Inputs!$C$12)</x:f>
        <x:v>36992.94574358409</x:v>
      </x:c>
      <x:c r="AJ108" s="49"/>
      <x:c r="AK108" s="48" t="n">
        <x:f>A108</x:f>
        <x:v>-0.117</x:v>
      </x:c>
      <x:c r="AL108" s="48" t="n">
        <x:f>(-2*((1000*((((Inputs!$I$6+(((A108)+1)/2)*(Inputs!$J$6-Inputs!$I$6)))*Inputs!$C$11+((Inputs!$H$6+Inputs!$L$6*(((Inputs!$I$6+(((A108)+1)/2)*(Inputs!$J$6-Inputs!$I$6)))/Inputs!$K$6)^2))*((2*Inputs!$L$6*((Inputs!$I$6+(((A108)+1)/2)*(Inputs!$J$6-Inputs!$I$6)))/(Inputs!$K$6^2)*Inputs!$C$11)))/(SQRT(((Inputs!$I$6+(((A108)+1)/2)*(Inputs!$J$6-Inputs!$I$6)))^2+Inputs!$C$6^2+((Inputs!$H$6+Inputs!$L$6*(((Inputs!$I$6+(((A108)+1)/2)*(Inputs!$J$6-Inputs!$I$6)))/Inputs!$K$6)^2))^2)))))/Inputs!$C$13)</x:f>
        <x:v>52.92478515778358</x:v>
      </x:c>
      <x:c r="AM108" s="48" t="n">
        <x:f>(-2*((1000*((((Inputs!$I$7+(((A108)+1)/2)*(Inputs!$J$7-Inputs!$I$7)))*Inputs!$C$11+((Inputs!$H$7+Inputs!$L$7*(((Inputs!$I$7+(((A108)+1)/2)*(Inputs!$J$7-Inputs!$I$7)))/Inputs!$K$7)^2))*((2*Inputs!$L$7*((Inputs!$I$7+(((A108)+1)/2)*(Inputs!$J$7-Inputs!$I$7)))/(Inputs!$K$7^2)*Inputs!$C$11)))/(SQRT(((Inputs!$I$7+(((A108)+1)/2)*(Inputs!$J$7-Inputs!$I$7)))^2+Inputs!$C$6^2+((Inputs!$H$7+Inputs!$L$7*(((Inputs!$I$7+(((A108)+1)/2)*(Inputs!$J$7-Inputs!$I$7)))/Inputs!$K$7)^2))^2)))))/Inputs!$C$13)</x:f>
        <x:v>1332.5937344314798</x:v>
      </x:c>
      <x:c r="AN108" s="48" t="n">
        <x:f>(-2*((1000*((((Inputs!$I$8+(((A108)+1)/2)*(Inputs!$J$8-Inputs!$I$8)))*Inputs!$C$11+((Inputs!$H$8+Inputs!$L$8*(((Inputs!$I$8+(((A108)+1)/2)*(Inputs!$J$8-Inputs!$I$8)))/Inputs!$K$8)^2))*((2*Inputs!$L$8*((Inputs!$I$8+(((A108)+1)/2)*(Inputs!$J$8-Inputs!$I$8)))/(Inputs!$K$8^2)*Inputs!$C$11)))/(SQRT(((Inputs!$I$8+(((A108)+1)/2)*(Inputs!$J$8-Inputs!$I$8)))^2+Inputs!$C$6^2+((Inputs!$H$8+Inputs!$L$8*(((Inputs!$I$8+(((A108)+1)/2)*(Inputs!$J$8-Inputs!$I$8)))/Inputs!$K$8)^2))^2)))))/Inputs!$C$13)</x:f>
        <x:v>1585.1313471527565</x:v>
      </x:c>
      <x:c r="AO108" s="48" t="n">
        <x:f>(-2*((1000*((((Inputs!$I$9+(((A108)+1)/2)*(Inputs!$J$9-Inputs!$I$9)))*Inputs!$C$11+((Inputs!$H$9+Inputs!$L$9*(((Inputs!$I$9+(((A108)+1)/2)*(Inputs!$J$9-Inputs!$I$9)))/Inputs!$K$9)^2))*((2*Inputs!$L$9*((Inputs!$I$9+(((A108)+1)/2)*(Inputs!$J$9-Inputs!$I$9)))/(Inputs!$K$9^2)*Inputs!$C$11)))/(SQRT(((Inputs!$I$9+(((A108)+1)/2)*(Inputs!$J$9-Inputs!$I$9)))^2+Inputs!$C$6^2+((Inputs!$H$9+Inputs!$L$9*(((Inputs!$I$9+(((A108)+1)/2)*(Inputs!$J$9-Inputs!$I$9)))/Inputs!$K$9)^2))^2)))))/Inputs!$C$13)</x:f>
        <x:v>1605.248697701722</x:v>
      </x:c>
    </x:row>
    <x:row r="109">
      <x:c r="A109" s="48" t="n">
        <x:f>ROUND(-1+107*2/240,3)</x:f>
        <x:v>-0.108</x:v>
      </x:c>
      <x:c r="B109" s="48" t="n">
        <x:f>IF(OR(Inputs!$F$6=TRUE,Inputs!$F$6="TRUE",Inputs!$F$6=1),(Inputs!$H$6+Inputs!$L$6*(((Inputs!$I$6+(((A109)+1)/2)*(Inputs!$J$6-Inputs!$I$6)))/Inputs!$K$6)^2),NA())</x:f>
        <x:v>400.046656</x:v>
      </x:c>
      <x:c r="C109" s="48" t="n">
        <x:f>IF(OR(Inputs!$F$7=TRUE,Inputs!$F$7="TRUE",Inputs!$F$7=1),(Inputs!$H$7+Inputs!$L$7*(((Inputs!$I$7+(((A109)+1)/2)*(Inputs!$J$7-Inputs!$I$7)))/Inputs!$K$7)^2),NA())</x:f>
        <x:v>39.25736</x:v>
      </x:c>
      <x:c r="D109" s="48" t="n">
        <x:f>IF(OR(Inputs!$F$8=TRUE,Inputs!$F$8="TRUE",Inputs!$F$8=1),(Inputs!$H$8+Inputs!$L$8*(((Inputs!$I$8+(((A109)+1)/2)*(Inputs!$J$8-Inputs!$I$8)))/Inputs!$K$8)^2),NA())</x:f>
        <x:v>46.255759999999995</x:v>
      </x:c>
      <x:c r="E109" s="48" t="n">
        <x:f>IF(OR(Inputs!$F$9=TRUE,Inputs!$F$9="TRUE",Inputs!$F$9=1),(Inputs!$H$9+Inputs!$L$9*(((Inputs!$I$9+(((A109)+1)/2)*(Inputs!$J$9-Inputs!$I$9)))/Inputs!$K$9)^2),NA())</x:f>
        <x:v>36.37239999999999</x:v>
      </x:c>
      <x:c r="F109" s="49"/>
      <x:c r="G109" s="48" t="n">
        <x:f>A109</x:f>
        <x:v>-0.108</x:v>
      </x:c>
      <x:c r="H109" s="48" t="n">
        <x:f>IF(OR(Inputs!$F$6=TRUE,Inputs!$F$6="TRUE",Inputs!$F$6=1),(((SQRT(((Inputs!$I$6+(((A109)+1)/2)*(Inputs!$J$6-Inputs!$I$6)))^2+Inputs!$C$6^2+((Inputs!$H$6+Inputs!$L$6*(((Inputs!$I$6+(((A109)+1)/2)*(Inputs!$J$6-Inputs!$I$6)))/Inputs!$K$6)^2))^2))-((Inputs!$H$6+Inputs!$L$6*(((Inputs!$I$6+(((A109)+1)/2)*(Inputs!$J$6-Inputs!$I$6)))/Inputs!$K$6)^2)))*1000/Inputs!$C$12),NA())</x:f>
        <x:v>467.85054754357924</x:v>
      </x:c>
      <x:c r="I109" s="48" t="n">
        <x:f>IF(OR(Inputs!$F$7=TRUE,Inputs!$F$7="TRUE",Inputs!$F$7=1),(((SQRT(((Inputs!$I$7+(((A109)+1)/2)*(Inputs!$J$7-Inputs!$I$7)))^2+Inputs!$C$6^2+((Inputs!$H$7+Inputs!$L$7*(((Inputs!$I$7+(((A109)+1)/2)*(Inputs!$J$7-Inputs!$I$7)))/Inputs!$K$7)^2))^2))-((Inputs!$H$7+Inputs!$L$7*(((Inputs!$I$7+(((A109)+1)/2)*(Inputs!$J$7-Inputs!$I$7)))/Inputs!$K$7)^2)))*1000/Inputs!$C$12),NA())</x:f>
        <x:v>13620.03712782776</x:v>
      </x:c>
      <x:c r="J109" s="48" t="n">
        <x:f>IF(OR(Inputs!$F$8=TRUE,Inputs!$F$8="TRUE",Inputs!$F$8=1),(((SQRT(((Inputs!$I$8+(((A109)+1)/2)*(Inputs!$J$8-Inputs!$I$8)))^2+Inputs!$C$6^2+((Inputs!$H$8+Inputs!$L$8*(((Inputs!$I$8+(((A109)+1)/2)*(Inputs!$J$8-Inputs!$I$8)))/Inputs!$K$8)^2))^2))-((Inputs!$H$8+Inputs!$L$8*(((Inputs!$I$8+(((A109)+1)/2)*(Inputs!$J$8-Inputs!$I$8)))/Inputs!$K$8)^2)))*1000/Inputs!$C$12),NA())</x:f>
        <x:v>30834.552946908836</x:v>
      </x:c>
      <x:c r="K109" s="48" t="n">
        <x:f>IF(OR(Inputs!$F$9=TRUE,Inputs!$F$9="TRUE",Inputs!$F$9=1),(((SQRT(((Inputs!$I$9+(((A109)+1)/2)*(Inputs!$J$9-Inputs!$I$9)))^2+Inputs!$C$6^2+((Inputs!$H$9+Inputs!$L$9*(((Inputs!$I$9+(((A109)+1)/2)*(Inputs!$J$9-Inputs!$I$9)))/Inputs!$K$9)^2))^2))-((Inputs!$H$9+Inputs!$L$9*(((Inputs!$I$9+(((A109)+1)/2)*(Inputs!$J$9-Inputs!$I$9)))/Inputs!$K$9)^2)))*1000/Inputs!$C$12),NA())</x:f>
        <x:v>34071.775383201246</x:v>
      </x:c>
      <x:c r="L109" s="49"/>
      <x:c r="M109" s="48" t="n">
        <x:f>A109</x:f>
        <x:v>-0.108</x:v>
      </x:c>
      <x:c r="N109" s="48" t="n">
        <x:f>IF(OR(Inputs!$F$6=TRUE,Inputs!$F$6="TRUE",Inputs!$F$6=1),(-2*((1000*((((Inputs!$I$6+(((A109)+1)/2)*(Inputs!$J$6-Inputs!$I$6)))*Inputs!$C$11+((Inputs!$H$6+Inputs!$L$6*(((Inputs!$I$6+(((A109)+1)/2)*(Inputs!$J$6-Inputs!$I$6)))/Inputs!$K$6)^2))*((2*Inputs!$L$6*((Inputs!$I$6+(((A109)+1)/2)*(Inputs!$J$6-Inputs!$I$6)))/(Inputs!$K$6^2)*Inputs!$C$11)))/(SQRT(((Inputs!$I$6+(((A109)+1)/2)*(Inputs!$J$6-Inputs!$I$6)))^2+Inputs!$C$6^2+((Inputs!$H$6+Inputs!$L$6*(((Inputs!$I$6+(((A109)+1)/2)*(Inputs!$J$6-Inputs!$I$6)))/Inputs!$K$6)^2))^2)))))/Inputs!$C$13),NA())</x:f>
        <x:v>48.85527540158289</x:v>
      </x:c>
      <x:c r="O109" s="48" t="n">
        <x:f>IF(OR(Inputs!$F$7=TRUE,Inputs!$F$7="TRUE",Inputs!$F$7=1),(-2*((1000*((((Inputs!$I$7+(((A109)+1)/2)*(Inputs!$J$7-Inputs!$I$7)))*Inputs!$C$11+((Inputs!$H$7+Inputs!$L$7*(((Inputs!$I$7+(((A109)+1)/2)*(Inputs!$J$7-Inputs!$I$7)))/Inputs!$K$7)^2))*((2*Inputs!$L$7*((Inputs!$I$7+(((A109)+1)/2)*(Inputs!$J$7-Inputs!$I$7)))/(Inputs!$K$7^2)*Inputs!$C$11)))/(SQRT(((Inputs!$I$7+(((A109)+1)/2)*(Inputs!$J$7-Inputs!$I$7)))^2+Inputs!$C$6^2+((Inputs!$H$7+Inputs!$L$7*(((Inputs!$I$7+(((A109)+1)/2)*(Inputs!$J$7-Inputs!$I$7)))/Inputs!$K$7)^2))^2)))))/Inputs!$C$13),NA())</x:f>
        <x:v>1283.446994025821</x:v>
      </x:c>
      <x:c r="P109" s="48" t="n">
        <x:f>IF(OR(Inputs!$F$8=TRUE,Inputs!$F$8="TRUE",Inputs!$F$8=1),(-2*((1000*((((Inputs!$I$8+(((A109)+1)/2)*(Inputs!$J$8-Inputs!$I$8)))*Inputs!$C$11+((Inputs!$H$8+Inputs!$L$8*(((Inputs!$I$8+(((A109)+1)/2)*(Inputs!$J$8-Inputs!$I$8)))/Inputs!$K$8)^2))*((2*Inputs!$L$8*((Inputs!$I$8+(((A109)+1)/2)*(Inputs!$J$8-Inputs!$I$8)))/(Inputs!$K$8^2)*Inputs!$C$11)))/(SQRT(((Inputs!$I$8+(((A109)+1)/2)*(Inputs!$J$8-Inputs!$I$8)))^2+Inputs!$C$6^2+((Inputs!$H$8+Inputs!$L$8*(((Inputs!$I$8+(((A109)+1)/2)*(Inputs!$J$8-Inputs!$I$8)))/Inputs!$K$8)^2))^2)))))/Inputs!$C$13),NA())</x:f>
        <x:v>1557.4563201666924</x:v>
      </x:c>
      <x:c r="Q109" s="48" t="n">
        <x:f>IF(OR(Inputs!$F$9=TRUE,Inputs!$F$9="TRUE",Inputs!$F$9=1),(-2*((1000*((((Inputs!$I$9+(((A109)+1)/2)*(Inputs!$J$9-Inputs!$I$9)))*Inputs!$C$11+((Inputs!$H$9+Inputs!$L$9*(((Inputs!$I$9+(((A109)+1)/2)*(Inputs!$J$9-Inputs!$I$9)))/Inputs!$K$9)^2))*((2*Inputs!$L$9*((Inputs!$I$9+(((A109)+1)/2)*(Inputs!$J$9-Inputs!$I$9)))/(Inputs!$K$9^2)*Inputs!$C$11)))/(SQRT(((Inputs!$I$9+(((A109)+1)/2)*(Inputs!$J$9-Inputs!$I$9)))^2+Inputs!$C$6^2+((Inputs!$H$9+Inputs!$L$9*(((Inputs!$I$9+(((A109)+1)/2)*(Inputs!$J$9-Inputs!$I$9)))/Inputs!$K$9)^2))^2)))))/Inputs!$C$13),NA())</x:f>
        <x:v>1582.764392387947</x:v>
      </x:c>
      <x:c r="R109" s="49"/>
      <x:c r="S109" s="48" t="n">
        <x:f>A109</x:f>
        <x:v>-0.108</x:v>
      </x:c>
      <x:c r="T109" s="48" t="n">
        <x:f>(Inputs!$I$6+(((A109)+1)/2)*(Inputs!$J$6-Inputs!$I$6))</x:f>
        <x:v>-6.479999999999997</x:v>
      </x:c>
      <x:c r="U109" s="48" t="n">
        <x:f>(Inputs!$I$7+(((A109)+1)/2)*(Inputs!$J$7-Inputs!$I$7))</x:f>
        <x:v>-43.19999999999999</x:v>
      </x:c>
      <x:c r="V109" s="48" t="n">
        <x:f>(Inputs!$I$8+(((A109)+1)/2)*(Inputs!$J$8-Inputs!$I$8))</x:f>
        <x:v>-86.39999999999998</x:v>
      </x:c>
      <x:c r="W109" s="48" t="n">
        <x:f>(Inputs!$I$9+(((A109)+1)/2)*(Inputs!$J$9-Inputs!$I$9))</x:f>
        <x:v>-86.39999999999998</x:v>
      </x:c>
      <x:c r="X109" s="49"/>
      <x:c r="Y109" s="48" t="n">
        <x:f>A109</x:f>
        <x:v>-0.108</x:v>
      </x:c>
      <x:c r="Z109" s="48" t="n">
        <x:f>(Inputs!$H$6+Inputs!$L$6*(((Inputs!$I$6+(((A109)+1)/2)*(Inputs!$J$6-Inputs!$I$6)))/Inputs!$K$6)^2)</x:f>
        <x:v>400.046656</x:v>
      </x:c>
      <x:c r="AA109" s="48" t="n">
        <x:f>(Inputs!$H$7+Inputs!$L$7*(((Inputs!$I$7+(((A109)+1)/2)*(Inputs!$J$7-Inputs!$I$7)))/Inputs!$K$7)^2)</x:f>
        <x:v>39.25736</x:v>
      </x:c>
      <x:c r="AB109" s="48" t="n">
        <x:f>(Inputs!$H$8+Inputs!$L$8*(((Inputs!$I$8+(((A109)+1)/2)*(Inputs!$J$8-Inputs!$I$8)))/Inputs!$K$8)^2)</x:f>
        <x:v>46.255759999999995</x:v>
      </x:c>
      <x:c r="AC109" s="48" t="n">
        <x:f>(Inputs!$H$9+Inputs!$L$9*(((Inputs!$I$9+(((A109)+1)/2)*(Inputs!$J$9-Inputs!$I$9)))/Inputs!$K$9)^2)</x:f>
        <x:v>36.37239999999999</x:v>
      </x:c>
      <x:c r="AD109" s="49"/>
      <x:c r="AE109" s="48" t="n">
        <x:f>A109</x:f>
        <x:v>-0.108</x:v>
      </x:c>
      <x:c r="AF109" s="48" t="n">
        <x:f>(((SQRT(((Inputs!$I$6+(((A109)+1)/2)*(Inputs!$J$6-Inputs!$I$6)))^2+Inputs!$C$6^2+((Inputs!$H$6+Inputs!$L$6*(((Inputs!$I$6+(((A109)+1)/2)*(Inputs!$J$6-Inputs!$I$6)))/Inputs!$K$6)^2))^2))-((Inputs!$H$6+Inputs!$L$6*(((Inputs!$I$6+(((A109)+1)/2)*(Inputs!$J$6-Inputs!$I$6)))/Inputs!$K$6)^2)))*1000/Inputs!$C$12)</x:f>
        <x:v>467.85054754357924</x:v>
      </x:c>
      <x:c r="AG109" s="48" t="n">
        <x:f>(((SQRT(((Inputs!$I$7+(((A109)+1)/2)*(Inputs!$J$7-Inputs!$I$7)))^2+Inputs!$C$6^2+((Inputs!$H$7+Inputs!$L$7*(((Inputs!$I$7+(((A109)+1)/2)*(Inputs!$J$7-Inputs!$I$7)))/Inputs!$K$7)^2))^2))-((Inputs!$H$7+Inputs!$L$7*(((Inputs!$I$7+(((A109)+1)/2)*(Inputs!$J$7-Inputs!$I$7)))/Inputs!$K$7)^2)))*1000/Inputs!$C$12)</x:f>
        <x:v>13620.03712782776</x:v>
      </x:c>
      <x:c r="AH109" s="48" t="n">
        <x:f>(((SQRT(((Inputs!$I$8+(((A109)+1)/2)*(Inputs!$J$8-Inputs!$I$8)))^2+Inputs!$C$6^2+((Inputs!$H$8+Inputs!$L$8*(((Inputs!$I$8+(((A109)+1)/2)*(Inputs!$J$8-Inputs!$I$8)))/Inputs!$K$8)^2))^2))-((Inputs!$H$8+Inputs!$L$8*(((Inputs!$I$8+(((A109)+1)/2)*(Inputs!$J$8-Inputs!$I$8)))/Inputs!$K$8)^2)))*1000/Inputs!$C$12)</x:f>
        <x:v>30834.552946908836</x:v>
      </x:c>
      <x:c r="AI109" s="48" t="n">
        <x:f>(((SQRT(((Inputs!$I$9+(((A109)+1)/2)*(Inputs!$J$9-Inputs!$I$9)))^2+Inputs!$C$6^2+((Inputs!$H$9+Inputs!$L$9*(((Inputs!$I$9+(((A109)+1)/2)*(Inputs!$J$9-Inputs!$I$9)))/Inputs!$K$9)^2))^2))-((Inputs!$H$9+Inputs!$L$9*(((Inputs!$I$9+(((A109)+1)/2)*(Inputs!$J$9-Inputs!$I$9)))/Inputs!$K$9)^2)))*1000/Inputs!$C$12)</x:f>
        <x:v>34071.775383201246</x:v>
      </x:c>
      <x:c r="AJ109" s="49"/>
      <x:c r="AK109" s="48" t="n">
        <x:f>A109</x:f>
        <x:v>-0.108</x:v>
      </x:c>
      <x:c r="AL109" s="48" t="n">
        <x:f>(-2*((1000*((((Inputs!$I$6+(((A109)+1)/2)*(Inputs!$J$6-Inputs!$I$6)))*Inputs!$C$11+((Inputs!$H$6+Inputs!$L$6*(((Inputs!$I$6+(((A109)+1)/2)*(Inputs!$J$6-Inputs!$I$6)))/Inputs!$K$6)^2))*((2*Inputs!$L$6*((Inputs!$I$6+(((A109)+1)/2)*(Inputs!$J$6-Inputs!$I$6)))/(Inputs!$K$6^2)*Inputs!$C$11)))/(SQRT(((Inputs!$I$6+(((A109)+1)/2)*(Inputs!$J$6-Inputs!$I$6)))^2+Inputs!$C$6^2+((Inputs!$H$6+Inputs!$L$6*(((Inputs!$I$6+(((A109)+1)/2)*(Inputs!$J$6-Inputs!$I$6)))/Inputs!$K$6)^2))^2)))))/Inputs!$C$13)</x:f>
        <x:v>48.85527540158289</x:v>
      </x:c>
      <x:c r="AM109" s="48" t="n">
        <x:f>(-2*((1000*((((Inputs!$I$7+(((A109)+1)/2)*(Inputs!$J$7-Inputs!$I$7)))*Inputs!$C$11+((Inputs!$H$7+Inputs!$L$7*(((Inputs!$I$7+(((A109)+1)/2)*(Inputs!$J$7-Inputs!$I$7)))/Inputs!$K$7)^2))*((2*Inputs!$L$7*((Inputs!$I$7+(((A109)+1)/2)*(Inputs!$J$7-Inputs!$I$7)))/(Inputs!$K$7^2)*Inputs!$C$11)))/(SQRT(((Inputs!$I$7+(((A109)+1)/2)*(Inputs!$J$7-Inputs!$I$7)))^2+Inputs!$C$6^2+((Inputs!$H$7+Inputs!$L$7*(((Inputs!$I$7+(((A109)+1)/2)*(Inputs!$J$7-Inputs!$I$7)))/Inputs!$K$7)^2))^2)))))/Inputs!$C$13)</x:f>
        <x:v>1283.446994025821</x:v>
      </x:c>
      <x:c r="AN109" s="48" t="n">
        <x:f>(-2*((1000*((((Inputs!$I$8+(((A109)+1)/2)*(Inputs!$J$8-Inputs!$I$8)))*Inputs!$C$11+((Inputs!$H$8+Inputs!$L$8*(((Inputs!$I$8+(((A109)+1)/2)*(Inputs!$J$8-Inputs!$I$8)))/Inputs!$K$8)^2))*((2*Inputs!$L$8*((Inputs!$I$8+(((A109)+1)/2)*(Inputs!$J$8-Inputs!$I$8)))/(Inputs!$K$8^2)*Inputs!$C$11)))/(SQRT(((Inputs!$I$8+(((A109)+1)/2)*(Inputs!$J$8-Inputs!$I$8)))^2+Inputs!$C$6^2+((Inputs!$H$8+Inputs!$L$8*(((Inputs!$I$8+(((A109)+1)/2)*(Inputs!$J$8-Inputs!$I$8)))/Inputs!$K$8)^2))^2)))))/Inputs!$C$13)</x:f>
        <x:v>1557.4563201666924</x:v>
      </x:c>
      <x:c r="AO109" s="48" t="n">
        <x:f>(-2*((1000*((((Inputs!$I$9+(((A109)+1)/2)*(Inputs!$J$9-Inputs!$I$9)))*Inputs!$C$11+((Inputs!$H$9+Inputs!$L$9*(((Inputs!$I$9+(((A109)+1)/2)*(Inputs!$J$9-Inputs!$I$9)))/Inputs!$K$9)^2))*((2*Inputs!$L$9*((Inputs!$I$9+(((A109)+1)/2)*(Inputs!$J$9-Inputs!$I$9)))/(Inputs!$K$9^2)*Inputs!$C$11)))/(SQRT(((Inputs!$I$9+(((A109)+1)/2)*(Inputs!$J$9-Inputs!$I$9)))^2+Inputs!$C$6^2+((Inputs!$H$9+Inputs!$L$9*(((Inputs!$I$9+(((A109)+1)/2)*(Inputs!$J$9-Inputs!$I$9)))/Inputs!$K$9)^2))^2)))))/Inputs!$C$13)</x:f>
        <x:v>1582.764392387947</x:v>
      </x:c>
    </x:row>
    <x:row r="110">
      <x:c r="A110" s="48" t="n">
        <x:f>ROUND(-1+108*2/240,3)</x:f>
        <x:v>-0.1</x:v>
      </x:c>
      <x:c r="B110" s="48" t="n">
        <x:f>IF(OR(Inputs!$F$6=TRUE,Inputs!$F$6="TRUE",Inputs!$F$6=1),(Inputs!$H$6+Inputs!$L$6*(((Inputs!$I$6+(((A110)+1)/2)*(Inputs!$J$6-Inputs!$I$6)))/Inputs!$K$6)^2),NA())</x:f>
        <x:v>400.04</x:v>
      </x:c>
      <x:c r="C110" s="48" t="n">
        <x:f>IF(OR(Inputs!$F$7=TRUE,Inputs!$F$7="TRUE",Inputs!$F$7=1),(Inputs!$H$7+Inputs!$L$7*(((Inputs!$I$7+(((A110)+1)/2)*(Inputs!$J$7-Inputs!$I$7)))/Inputs!$K$7)^2),NA())</x:f>
        <x:v>38.65</x:v>
      </x:c>
      <x:c r="D110" s="48" t="n">
        <x:f>IF(OR(Inputs!$F$8=TRUE,Inputs!$F$8="TRUE",Inputs!$F$8=1),(Inputs!$H$8+Inputs!$L$8*(((Inputs!$I$8+(((A110)+1)/2)*(Inputs!$J$8-Inputs!$I$8)))/Inputs!$K$8)^2),NA())</x:f>
        <x:v>44.650000000000006</x:v>
      </x:c>
      <x:c r="E110" s="48" t="n">
        <x:f>IF(OR(Inputs!$F$9=TRUE,Inputs!$F$9="TRUE",Inputs!$F$9=1),(Inputs!$H$9+Inputs!$L$9*(((Inputs!$I$9+(((A110)+1)/2)*(Inputs!$J$9-Inputs!$I$9)))/Inputs!$K$9)^2),NA())</x:f>
        <x:v>34.75</x:v>
      </x:c>
      <x:c r="F110" s="49"/>
      <x:c r="G110" s="48" t="n">
        <x:f>A110</x:f>
        <x:v>-0.1</x:v>
      </x:c>
      <x:c r="H110" s="48" t="n">
        <x:f>IF(OR(Inputs!$F$6=TRUE,Inputs!$F$6="TRUE",Inputs!$F$6=1),(((SQRT(((Inputs!$I$6+(((A110)+1)/2)*(Inputs!$J$6-Inputs!$I$6)))^2+Inputs!$C$6^2+((Inputs!$H$6+Inputs!$L$6*(((Inputs!$I$6+(((A110)+1)/2)*(Inputs!$J$6-Inputs!$I$6)))/Inputs!$K$6)^2))^2))-((Inputs!$H$6+Inputs!$L$6*(((Inputs!$I$6+(((A110)+1)/2)*(Inputs!$J$6-Inputs!$I$6)))/Inputs!$K$6)^2)))*1000/Inputs!$C$12),NA())</x:f>
        <x:v>463.6606939320355</x:v>
      </x:c>
      <x:c r="I110" s="48" t="n">
        <x:f>IF(OR(Inputs!$F$7=TRUE,Inputs!$F$7="TRUE",Inputs!$F$7=1),(((SQRT(((Inputs!$I$7+(((A110)+1)/2)*(Inputs!$J$7-Inputs!$I$7)))^2+Inputs!$C$6^2+((Inputs!$H$7+Inputs!$L$7*(((Inputs!$I$7+(((A110)+1)/2)*(Inputs!$J$7-Inputs!$I$7)))/Inputs!$K$7)^2))^2))-((Inputs!$H$7+Inputs!$L$7*(((Inputs!$I$7+(((A110)+1)/2)*(Inputs!$J$7-Inputs!$I$7)))/Inputs!$K$7)^2)))*1000/Inputs!$C$12),NA())</x:f>
        <x:v>12546.151138988658</x:v>
      </x:c>
      <x:c r="J110" s="48" t="n">
        <x:f>IF(OR(Inputs!$F$8=TRUE,Inputs!$F$8="TRUE",Inputs!$F$8=1),(((SQRT(((Inputs!$I$8+(((A110)+1)/2)*(Inputs!$J$8-Inputs!$I$8)))^2+Inputs!$C$6^2+((Inputs!$H$8+Inputs!$L$8*(((Inputs!$I$8+(((A110)+1)/2)*(Inputs!$J$8-Inputs!$I$8)))/Inputs!$K$8)^2))^2))-((Inputs!$H$8+Inputs!$L$8*(((Inputs!$I$8+(((A110)+1)/2)*(Inputs!$J$8-Inputs!$I$8)))/Inputs!$K$8)^2)))*1000/Inputs!$C$12),NA())</x:f>
        <x:v>28267.65633630847</x:v>
      </x:c>
      <x:c r="K110" s="48" t="n">
        <x:f>IF(OR(Inputs!$F$9=TRUE,Inputs!$F$9="TRUE",Inputs!$F$9=1),(((SQRT(((Inputs!$I$9+(((A110)+1)/2)*(Inputs!$J$9-Inputs!$I$9)))^2+Inputs!$C$6^2+((Inputs!$H$9+Inputs!$L$9*(((Inputs!$I$9+(((A110)+1)/2)*(Inputs!$J$9-Inputs!$I$9)))/Inputs!$K$9)^2))^2))-((Inputs!$H$9+Inputs!$L$9*(((Inputs!$I$9+(((A110)+1)/2)*(Inputs!$J$9-Inputs!$I$9)))/Inputs!$K$9)^2)))*1000/Inputs!$C$12),NA())</x:f>
        <x:v>31451.387398225914</x:v>
      </x:c>
      <x:c r="L110" s="49"/>
      <x:c r="M110" s="48" t="n">
        <x:f>A110</x:f>
        <x:v>-0.1</x:v>
      </x:c>
      <x:c r="N110" s="48" t="n">
        <x:f>IF(OR(Inputs!$F$6=TRUE,Inputs!$F$6="TRUE",Inputs!$F$6=1),(-2*((1000*((((Inputs!$I$6+(((A110)+1)/2)*(Inputs!$J$6-Inputs!$I$6)))*Inputs!$C$11+((Inputs!$H$6+Inputs!$L$6*(((Inputs!$I$6+(((A110)+1)/2)*(Inputs!$J$6-Inputs!$I$6)))/Inputs!$K$6)^2))*((2*Inputs!$L$6*((Inputs!$I$6+(((A110)+1)/2)*(Inputs!$J$6-Inputs!$I$6)))/(Inputs!$K$6^2)*Inputs!$C$11)))/(SQRT(((Inputs!$I$6+(((A110)+1)/2)*(Inputs!$J$6-Inputs!$I$6)))^2+Inputs!$C$6^2+((Inputs!$H$6+Inputs!$L$6*(((Inputs!$I$6+(((A110)+1)/2)*(Inputs!$J$6-Inputs!$I$6)))/Inputs!$K$6)^2))^2)))))/Inputs!$C$13),NA())</x:f>
        <x:v>45.237604605019875</x:v>
      </x:c>
      <x:c r="O110" s="48" t="n">
        <x:f>IF(OR(Inputs!$F$7=TRUE,Inputs!$F$7="TRUE",Inputs!$F$7=1),(-2*((1000*((((Inputs!$I$7+(((A110)+1)/2)*(Inputs!$J$7-Inputs!$I$7)))*Inputs!$C$11+((Inputs!$H$7+Inputs!$L$7*(((Inputs!$I$7+(((A110)+1)/2)*(Inputs!$J$7-Inputs!$I$7)))/Inputs!$K$7)^2))*((2*Inputs!$L$7*((Inputs!$I$7+(((A110)+1)/2)*(Inputs!$J$7-Inputs!$I$7)))/(Inputs!$K$7^2)*Inputs!$C$11)))/(SQRT(((Inputs!$I$7+(((A110)+1)/2)*(Inputs!$J$7-Inputs!$I$7)))^2+Inputs!$C$6^2+((Inputs!$H$7+Inputs!$L$7*(((Inputs!$I$7+(((A110)+1)/2)*(Inputs!$J$7-Inputs!$I$7)))/Inputs!$K$7)^2))^2)))))/Inputs!$C$13),NA())</x:f>
        <x:v>1234.5547213525292</x:v>
      </x:c>
      <x:c r="P110" s="48" t="n">
        <x:f>IF(OR(Inputs!$F$8=TRUE,Inputs!$F$8="TRUE",Inputs!$F$8=1),(-2*((1000*((((Inputs!$I$8+(((A110)+1)/2)*(Inputs!$J$8-Inputs!$I$8)))*Inputs!$C$11+((Inputs!$H$8+Inputs!$L$8*(((Inputs!$I$8+(((A110)+1)/2)*(Inputs!$J$8-Inputs!$I$8)))/Inputs!$K$8)^2))*((2*Inputs!$L$8*((Inputs!$I$8+(((A110)+1)/2)*(Inputs!$J$8-Inputs!$I$8)))/(Inputs!$K$8^2)*Inputs!$C$11)))/(SQRT(((Inputs!$I$8+(((A110)+1)/2)*(Inputs!$J$8-Inputs!$I$8)))^2+Inputs!$C$6^2+((Inputs!$H$8+Inputs!$L$8*(((Inputs!$I$8+(((A110)+1)/2)*(Inputs!$J$8-Inputs!$I$8)))/Inputs!$K$8)^2))^2)))))/Inputs!$C$13),NA())</x:f>
        <x:v>1529.32886529</x:v>
      </x:c>
      <x:c r="Q110" s="48" t="n">
        <x:f>IF(OR(Inputs!$F$9=TRUE,Inputs!$F$9="TRUE",Inputs!$F$9=1),(-2*((1000*((((Inputs!$I$9+(((A110)+1)/2)*(Inputs!$J$9-Inputs!$I$9)))*Inputs!$C$11+((Inputs!$H$9+Inputs!$L$9*(((Inputs!$I$9+(((A110)+1)/2)*(Inputs!$J$9-Inputs!$I$9)))/Inputs!$K$9)^2))*((2*Inputs!$L$9*((Inputs!$I$9+(((A110)+1)/2)*(Inputs!$J$9-Inputs!$I$9)))/(Inputs!$K$9^2)*Inputs!$C$11)))/(SQRT(((Inputs!$I$9+(((A110)+1)/2)*(Inputs!$J$9-Inputs!$I$9)))^2+Inputs!$C$6^2+((Inputs!$H$9+Inputs!$L$9*(((Inputs!$I$9+(((A110)+1)/2)*(Inputs!$J$9-Inputs!$I$9)))/Inputs!$K$9)^2))^2)))))/Inputs!$C$13),NA())</x:f>
        <x:v>1560.0913386498464</x:v>
      </x:c>
      <x:c r="R110" s="49"/>
      <x:c r="S110" s="48" t="n">
        <x:f>A110</x:f>
        <x:v>-0.1</x:v>
      </x:c>
      <x:c r="T110" s="48" t="n">
        <x:f>(Inputs!$I$6+(((A110)+1)/2)*(Inputs!$J$6-Inputs!$I$6))</x:f>
        <x:v>-6</x:v>
      </x:c>
      <x:c r="U110" s="48" t="n">
        <x:f>(Inputs!$I$7+(((A110)+1)/2)*(Inputs!$J$7-Inputs!$I$7))</x:f>
        <x:v>-40</x:v>
      </x:c>
      <x:c r="V110" s="48" t="n">
        <x:f>(Inputs!$I$8+(((A110)+1)/2)*(Inputs!$J$8-Inputs!$I$8))</x:f>
        <x:v>-80</x:v>
      </x:c>
      <x:c r="W110" s="48" t="n">
        <x:f>(Inputs!$I$9+(((A110)+1)/2)*(Inputs!$J$9-Inputs!$I$9))</x:f>
        <x:v>-80</x:v>
      </x:c>
      <x:c r="X110" s="49"/>
      <x:c r="Y110" s="48" t="n">
        <x:f>A110</x:f>
        <x:v>-0.1</x:v>
      </x:c>
      <x:c r="Z110" s="48" t="n">
        <x:f>(Inputs!$H$6+Inputs!$L$6*(((Inputs!$I$6+(((A110)+1)/2)*(Inputs!$J$6-Inputs!$I$6)))/Inputs!$K$6)^2)</x:f>
        <x:v>400.04</x:v>
      </x:c>
      <x:c r="AA110" s="48" t="n">
        <x:f>(Inputs!$H$7+Inputs!$L$7*(((Inputs!$I$7+(((A110)+1)/2)*(Inputs!$J$7-Inputs!$I$7)))/Inputs!$K$7)^2)</x:f>
        <x:v>38.65</x:v>
      </x:c>
      <x:c r="AB110" s="48" t="n">
        <x:f>(Inputs!$H$8+Inputs!$L$8*(((Inputs!$I$8+(((A110)+1)/2)*(Inputs!$J$8-Inputs!$I$8)))/Inputs!$K$8)^2)</x:f>
        <x:v>44.650000000000006</x:v>
      </x:c>
      <x:c r="AC110" s="48" t="n">
        <x:f>(Inputs!$H$9+Inputs!$L$9*(((Inputs!$I$9+(((A110)+1)/2)*(Inputs!$J$9-Inputs!$I$9)))/Inputs!$K$9)^2)</x:f>
        <x:v>34.75</x:v>
      </x:c>
      <x:c r="AD110" s="49"/>
      <x:c r="AE110" s="48" t="n">
        <x:f>A110</x:f>
        <x:v>-0.1</x:v>
      </x:c>
      <x:c r="AF110" s="48" t="n">
        <x:f>(((SQRT(((Inputs!$I$6+(((A110)+1)/2)*(Inputs!$J$6-Inputs!$I$6)))^2+Inputs!$C$6^2+((Inputs!$H$6+Inputs!$L$6*(((Inputs!$I$6+(((A110)+1)/2)*(Inputs!$J$6-Inputs!$I$6)))/Inputs!$K$6)^2))^2))-((Inputs!$H$6+Inputs!$L$6*(((Inputs!$I$6+(((A110)+1)/2)*(Inputs!$J$6-Inputs!$I$6)))/Inputs!$K$6)^2)))*1000/Inputs!$C$12)</x:f>
        <x:v>463.6606939320355</x:v>
      </x:c>
      <x:c r="AG110" s="48" t="n">
        <x:f>(((SQRT(((Inputs!$I$7+(((A110)+1)/2)*(Inputs!$J$7-Inputs!$I$7)))^2+Inputs!$C$6^2+((Inputs!$H$7+Inputs!$L$7*(((Inputs!$I$7+(((A110)+1)/2)*(Inputs!$J$7-Inputs!$I$7)))/Inputs!$K$7)^2))^2))-((Inputs!$H$7+Inputs!$L$7*(((Inputs!$I$7+(((A110)+1)/2)*(Inputs!$J$7-Inputs!$I$7)))/Inputs!$K$7)^2)))*1000/Inputs!$C$12)</x:f>
        <x:v>12546.151138988658</x:v>
      </x:c>
      <x:c r="AH110" s="48" t="n">
        <x:f>(((SQRT(((Inputs!$I$8+(((A110)+1)/2)*(Inputs!$J$8-Inputs!$I$8)))^2+Inputs!$C$6^2+((Inputs!$H$8+Inputs!$L$8*(((Inputs!$I$8+(((A110)+1)/2)*(Inputs!$J$8-Inputs!$I$8)))/Inputs!$K$8)^2))^2))-((Inputs!$H$8+Inputs!$L$8*(((Inputs!$I$8+(((A110)+1)/2)*(Inputs!$J$8-Inputs!$I$8)))/Inputs!$K$8)^2)))*1000/Inputs!$C$12)</x:f>
        <x:v>28267.65633630847</x:v>
      </x:c>
      <x:c r="AI110" s="48" t="n">
        <x:f>(((SQRT(((Inputs!$I$9+(((A110)+1)/2)*(Inputs!$J$9-Inputs!$I$9)))^2+Inputs!$C$6^2+((Inputs!$H$9+Inputs!$L$9*(((Inputs!$I$9+(((A110)+1)/2)*(Inputs!$J$9-Inputs!$I$9)))/Inputs!$K$9)^2))^2))-((Inputs!$H$9+Inputs!$L$9*(((Inputs!$I$9+(((A110)+1)/2)*(Inputs!$J$9-Inputs!$I$9)))/Inputs!$K$9)^2)))*1000/Inputs!$C$12)</x:f>
        <x:v>31451.387398225914</x:v>
      </x:c>
      <x:c r="AJ110" s="49"/>
      <x:c r="AK110" s="48" t="n">
        <x:f>A110</x:f>
        <x:v>-0.1</x:v>
      </x:c>
      <x:c r="AL110" s="48" t="n">
        <x:f>(-2*((1000*((((Inputs!$I$6+(((A110)+1)/2)*(Inputs!$J$6-Inputs!$I$6)))*Inputs!$C$11+((Inputs!$H$6+Inputs!$L$6*(((Inputs!$I$6+(((A110)+1)/2)*(Inputs!$J$6-Inputs!$I$6)))/Inputs!$K$6)^2))*((2*Inputs!$L$6*((Inputs!$I$6+(((A110)+1)/2)*(Inputs!$J$6-Inputs!$I$6)))/(Inputs!$K$6^2)*Inputs!$C$11)))/(SQRT(((Inputs!$I$6+(((A110)+1)/2)*(Inputs!$J$6-Inputs!$I$6)))^2+Inputs!$C$6^2+((Inputs!$H$6+Inputs!$L$6*(((Inputs!$I$6+(((A110)+1)/2)*(Inputs!$J$6-Inputs!$I$6)))/Inputs!$K$6)^2))^2)))))/Inputs!$C$13)</x:f>
        <x:v>45.237604605019875</x:v>
      </x:c>
      <x:c r="AM110" s="48" t="n">
        <x:f>(-2*((1000*((((Inputs!$I$7+(((A110)+1)/2)*(Inputs!$J$7-Inputs!$I$7)))*Inputs!$C$11+((Inputs!$H$7+Inputs!$L$7*(((Inputs!$I$7+(((A110)+1)/2)*(Inputs!$J$7-Inputs!$I$7)))/Inputs!$K$7)^2))*((2*Inputs!$L$7*((Inputs!$I$7+(((A110)+1)/2)*(Inputs!$J$7-Inputs!$I$7)))/(Inputs!$K$7^2)*Inputs!$C$11)))/(SQRT(((Inputs!$I$7+(((A110)+1)/2)*(Inputs!$J$7-Inputs!$I$7)))^2+Inputs!$C$6^2+((Inputs!$H$7+Inputs!$L$7*(((Inputs!$I$7+(((A110)+1)/2)*(Inputs!$J$7-Inputs!$I$7)))/Inputs!$K$7)^2))^2)))))/Inputs!$C$13)</x:f>
        <x:v>1234.5547213525292</x:v>
      </x:c>
      <x:c r="AN110" s="48" t="n">
        <x:f>(-2*((1000*((((Inputs!$I$8+(((A110)+1)/2)*(Inputs!$J$8-Inputs!$I$8)))*Inputs!$C$11+((Inputs!$H$8+Inputs!$L$8*(((Inputs!$I$8+(((A110)+1)/2)*(Inputs!$J$8-Inputs!$I$8)))/Inputs!$K$8)^2))*((2*Inputs!$L$8*((Inputs!$I$8+(((A110)+1)/2)*(Inputs!$J$8-Inputs!$I$8)))/(Inputs!$K$8^2)*Inputs!$C$11)))/(SQRT(((Inputs!$I$8+(((A110)+1)/2)*(Inputs!$J$8-Inputs!$I$8)))^2+Inputs!$C$6^2+((Inputs!$H$8+Inputs!$L$8*(((Inputs!$I$8+(((A110)+1)/2)*(Inputs!$J$8-Inputs!$I$8)))/Inputs!$K$8)^2))^2)))))/Inputs!$C$13)</x:f>
        <x:v>1529.32886529</x:v>
      </x:c>
      <x:c r="AO110" s="48" t="n">
        <x:f>(-2*((1000*((((Inputs!$I$9+(((A110)+1)/2)*(Inputs!$J$9-Inputs!$I$9)))*Inputs!$C$11+((Inputs!$H$9+Inputs!$L$9*(((Inputs!$I$9+(((A110)+1)/2)*(Inputs!$J$9-Inputs!$I$9)))/Inputs!$K$9)^2))*((2*Inputs!$L$9*((Inputs!$I$9+(((A110)+1)/2)*(Inputs!$J$9-Inputs!$I$9)))/(Inputs!$K$9^2)*Inputs!$C$11)))/(SQRT(((Inputs!$I$9+(((A110)+1)/2)*(Inputs!$J$9-Inputs!$I$9)))^2+Inputs!$C$6^2+((Inputs!$H$9+Inputs!$L$9*(((Inputs!$I$9+(((A110)+1)/2)*(Inputs!$J$9-Inputs!$I$9)))/Inputs!$K$9)^2))^2)))))/Inputs!$C$13)</x:f>
        <x:v>1560.0913386498464</x:v>
      </x:c>
    </x:row>
    <x:row r="111">
      <x:c r="A111" s="48" t="n">
        <x:f>ROUND(-1+109*2/240,3)</x:f>
        <x:v>-0.092</x:v>
      </x:c>
      <x:c r="B111" s="48" t="n">
        <x:f>IF(OR(Inputs!$F$6=TRUE,Inputs!$F$6="TRUE",Inputs!$F$6=1),(Inputs!$H$6+Inputs!$L$6*(((Inputs!$I$6+(((A111)+1)/2)*(Inputs!$J$6-Inputs!$I$6)))/Inputs!$K$6)^2),NA())</x:f>
        <x:v>400.033856</x:v>
      </x:c>
      <x:c r="C111" s="48" t="n">
        <x:f>IF(OR(Inputs!$F$7=TRUE,Inputs!$F$7="TRUE",Inputs!$F$7=1),(Inputs!$H$7+Inputs!$L$7*(((Inputs!$I$7+(((A111)+1)/2)*(Inputs!$J$7-Inputs!$I$7)))/Inputs!$K$7)^2),NA())</x:f>
        <x:v>38.08936</x:v>
      </x:c>
      <x:c r="D111" s="48" t="n">
        <x:f>IF(OR(Inputs!$F$8=TRUE,Inputs!$F$8="TRUE",Inputs!$F$8=1),(Inputs!$H$8+Inputs!$L$8*(((Inputs!$I$8+(((A111)+1)/2)*(Inputs!$J$8-Inputs!$I$8)))/Inputs!$K$8)^2),NA())</x:f>
        <x:v>43.16776</x:v>
      </x:c>
      <x:c r="E111" s="48" t="n">
        <x:f>IF(OR(Inputs!$F$9=TRUE,Inputs!$F$9="TRUE",Inputs!$F$9=1),(Inputs!$H$9+Inputs!$L$9*(((Inputs!$I$9+(((A111)+1)/2)*(Inputs!$J$9-Inputs!$I$9)))/Inputs!$K$9)^2),NA())</x:f>
        <x:v>33.25240000000001</x:v>
      </x:c>
      <x:c r="F111" s="49"/>
      <x:c r="G111" s="48" t="n">
        <x:f>A111</x:f>
        <x:v>-0.092</x:v>
      </x:c>
      <x:c r="H111" s="48" t="n">
        <x:f>IF(OR(Inputs!$F$6=TRUE,Inputs!$F$6="TRUE",Inputs!$F$6=1),(((SQRT(((Inputs!$I$6+(((A111)+1)/2)*(Inputs!$J$6-Inputs!$I$6)))^2+Inputs!$C$6^2+((Inputs!$H$6+Inputs!$L$6*(((Inputs!$I$6+(((A111)+1)/2)*(Inputs!$J$6-Inputs!$I$6)))/Inputs!$K$6)^2))^2))-((Inputs!$H$6+Inputs!$L$6*(((Inputs!$I$6+(((A111)+1)/2)*(Inputs!$J$6-Inputs!$I$6)))/Inputs!$K$6)^2)))*1000/Inputs!$C$12),NA())</x:f>
        <x:v>459.7929440643228</x:v>
      </x:c>
      <x:c r="I111" s="48" t="n">
        <x:f>IF(OR(Inputs!$F$7=TRUE,Inputs!$F$7="TRUE",Inputs!$F$7=1),(((SQRT(((Inputs!$I$7+(((A111)+1)/2)*(Inputs!$J$7-Inputs!$I$7)))^2+Inputs!$C$6^2+((Inputs!$H$7+Inputs!$L$7*(((Inputs!$I$7+(((A111)+1)/2)*(Inputs!$J$7-Inputs!$I$7)))/Inputs!$K$7)^2))^2))-((Inputs!$H$7+Inputs!$L$7*(((Inputs!$I$7+(((A111)+1)/2)*(Inputs!$J$7-Inputs!$I$7)))/Inputs!$K$7)^2)))*1000/Inputs!$C$12),NA())</x:f>
        <x:v>11504.032449515398</x:v>
      </x:c>
      <x:c r="J111" s="48" t="n">
        <x:f>IF(OR(Inputs!$F$8=TRUE,Inputs!$F$8="TRUE",Inputs!$F$8=1),(((SQRT(((Inputs!$I$8+(((A111)+1)/2)*(Inputs!$J$8-Inputs!$I$8)))^2+Inputs!$C$6^2+((Inputs!$H$8+Inputs!$L$8*(((Inputs!$I$8+(((A111)+1)/2)*(Inputs!$J$8-Inputs!$I$8)))/Inputs!$K$8)^2))^2))-((Inputs!$H$8+Inputs!$L$8*(((Inputs!$I$8+(((A111)+1)/2)*(Inputs!$J$8-Inputs!$I$8)))/Inputs!$K$8)^2)))*1000/Inputs!$C$12),NA())</x:f>
        <x:v>25699.237944318753</x:v>
      </x:c>
      <x:c r="K111" s="48" t="n">
        <x:f>IF(OR(Inputs!$F$9=TRUE,Inputs!$F$9="TRUE",Inputs!$F$9=1),(((SQRT(((Inputs!$I$9+(((A111)+1)/2)*(Inputs!$J$9-Inputs!$I$9)))^2+Inputs!$C$6^2+((Inputs!$H$9+Inputs!$L$9*(((Inputs!$I$9+(((A111)+1)/2)*(Inputs!$J$9-Inputs!$I$9)))/Inputs!$K$9)^2))^2))-((Inputs!$H$9+Inputs!$L$9*(((Inputs!$I$9+(((A111)+1)/2)*(Inputs!$J$9-Inputs!$I$9)))/Inputs!$K$9)^2)))*1000/Inputs!$C$12),NA())</x:f>
        <x:v>28815.486246902132</x:v>
      </x:c>
      <x:c r="L111" s="49"/>
      <x:c r="M111" s="48" t="n">
        <x:f>A111</x:f>
        <x:v>-0.092</x:v>
      </x:c>
      <x:c r="N111" s="48" t="n">
        <x:f>IF(OR(Inputs!$F$6=TRUE,Inputs!$F$6="TRUE",Inputs!$F$6=1),(-2*((1000*((((Inputs!$I$6+(((A111)+1)/2)*(Inputs!$J$6-Inputs!$I$6)))*Inputs!$C$11+((Inputs!$H$6+Inputs!$L$6*(((Inputs!$I$6+(((A111)+1)/2)*(Inputs!$J$6-Inputs!$I$6)))/Inputs!$K$6)^2))*((2*Inputs!$L$6*((Inputs!$I$6+(((A111)+1)/2)*(Inputs!$J$6-Inputs!$I$6)))/(Inputs!$K$6^2)*Inputs!$C$11)))/(SQRT(((Inputs!$I$6+(((A111)+1)/2)*(Inputs!$J$6-Inputs!$I$6)))^2+Inputs!$C$6^2+((Inputs!$H$6+Inputs!$L$6*(((Inputs!$I$6+(((A111)+1)/2)*(Inputs!$J$6-Inputs!$I$6)))/Inputs!$K$6)^2))^2)))))/Inputs!$C$13),NA())</x:f>
        <x:v>41.619648109336076</x:v>
      </x:c>
      <x:c r="O111" s="48" t="n">
        <x:f>IF(OR(Inputs!$F$7=TRUE,Inputs!$F$7="TRUE",Inputs!$F$7=1),(-2*((1000*((((Inputs!$I$7+(((A111)+1)/2)*(Inputs!$J$7-Inputs!$I$7)))*Inputs!$C$11+((Inputs!$H$7+Inputs!$L$7*(((Inputs!$I$7+(((A111)+1)/2)*(Inputs!$J$7-Inputs!$I$7)))/Inputs!$K$7)^2))*((2*Inputs!$L$7*((Inputs!$I$7+(((A111)+1)/2)*(Inputs!$J$7-Inputs!$I$7)))/(Inputs!$K$7^2)*Inputs!$C$11)))/(SQRT(((Inputs!$I$7+(((A111)+1)/2)*(Inputs!$J$7-Inputs!$I$7)))^2+Inputs!$C$6^2+((Inputs!$H$7+Inputs!$L$7*(((Inputs!$I$7+(((A111)+1)/2)*(Inputs!$J$7-Inputs!$I$7)))/Inputs!$K$7)^2))^2)))))/Inputs!$C$13),NA())</x:f>
        <x:v>1180.065073224125</x:v>
      </x:c>
      <x:c r="P111" s="48" t="n">
        <x:f>IF(OR(Inputs!$F$8=TRUE,Inputs!$F$8="TRUE",Inputs!$F$8=1),(-2*((1000*((((Inputs!$I$8+(((A111)+1)/2)*(Inputs!$J$8-Inputs!$I$8)))*Inputs!$C$11+((Inputs!$H$8+Inputs!$L$8*(((Inputs!$I$8+(((A111)+1)/2)*(Inputs!$J$8-Inputs!$I$8)))/Inputs!$K$8)^2))*((2*Inputs!$L$8*((Inputs!$I$8+(((A111)+1)/2)*(Inputs!$J$8-Inputs!$I$8)))/(Inputs!$K$8^2)*Inputs!$C$11)))/(SQRT(((Inputs!$I$8+(((A111)+1)/2)*(Inputs!$J$8-Inputs!$I$8)))^2+Inputs!$C$6^2+((Inputs!$H$8+Inputs!$L$8*(((Inputs!$I$8+(((A111)+1)/2)*(Inputs!$J$8-Inputs!$I$8)))/Inputs!$K$8)^2))^2)))))/Inputs!$C$13),NA())</x:f>
        <x:v>1496.863537942681</x:v>
      </x:c>
      <x:c r="Q111" s="48" t="n">
        <x:f>IF(OR(Inputs!$F$9=TRUE,Inputs!$F$9="TRUE",Inputs!$F$9=1),(-2*((1000*((((Inputs!$I$9+(((A111)+1)/2)*(Inputs!$J$9-Inputs!$I$9)))*Inputs!$C$11+((Inputs!$H$9+Inputs!$L$9*(((Inputs!$I$9+(((A111)+1)/2)*(Inputs!$J$9-Inputs!$I$9)))/Inputs!$K$9)^2))*((2*Inputs!$L$9*((Inputs!$I$9+(((A111)+1)/2)*(Inputs!$J$9-Inputs!$I$9)))/(Inputs!$K$9^2)*Inputs!$C$11)))/(SQRT(((Inputs!$I$9+(((A111)+1)/2)*(Inputs!$J$9-Inputs!$I$9)))^2+Inputs!$C$6^2+((Inputs!$H$9+Inputs!$L$9*(((Inputs!$I$9+(((A111)+1)/2)*(Inputs!$J$9-Inputs!$I$9)))/Inputs!$K$9)^2))^2)))))/Inputs!$C$13),NA())</x:f>
        <x:v>1534.006127144683</x:v>
      </x:c>
      <x:c r="R111" s="49"/>
      <x:c r="S111" s="48" t="n">
        <x:f>A111</x:f>
        <x:v>-0.092</x:v>
      </x:c>
      <x:c r="T111" s="48" t="n">
        <x:f>(Inputs!$I$6+(((A111)+1)/2)*(Inputs!$J$6-Inputs!$I$6))</x:f>
        <x:v>-5.519999999999996</x:v>
      </x:c>
      <x:c r="U111" s="48" t="n">
        <x:f>(Inputs!$I$7+(((A111)+1)/2)*(Inputs!$J$7-Inputs!$I$7))</x:f>
        <x:v>-36.80000000000001</x:v>
      </x:c>
      <x:c r="V111" s="48" t="n">
        <x:f>(Inputs!$I$8+(((A111)+1)/2)*(Inputs!$J$8-Inputs!$I$8))</x:f>
        <x:v>-73.60000000000002</x:v>
      </x:c>
      <x:c r="W111" s="48" t="n">
        <x:f>(Inputs!$I$9+(((A111)+1)/2)*(Inputs!$J$9-Inputs!$I$9))</x:f>
        <x:v>-73.60000000000002</x:v>
      </x:c>
      <x:c r="X111" s="49"/>
      <x:c r="Y111" s="48" t="n">
        <x:f>A111</x:f>
        <x:v>-0.092</x:v>
      </x:c>
      <x:c r="Z111" s="48" t="n">
        <x:f>(Inputs!$H$6+Inputs!$L$6*(((Inputs!$I$6+(((A111)+1)/2)*(Inputs!$J$6-Inputs!$I$6)))/Inputs!$K$6)^2)</x:f>
        <x:v>400.033856</x:v>
      </x:c>
      <x:c r="AA111" s="48" t="n">
        <x:f>(Inputs!$H$7+Inputs!$L$7*(((Inputs!$I$7+(((A111)+1)/2)*(Inputs!$J$7-Inputs!$I$7)))/Inputs!$K$7)^2)</x:f>
        <x:v>38.08936</x:v>
      </x:c>
      <x:c r="AB111" s="48" t="n">
        <x:f>(Inputs!$H$8+Inputs!$L$8*(((Inputs!$I$8+(((A111)+1)/2)*(Inputs!$J$8-Inputs!$I$8)))/Inputs!$K$8)^2)</x:f>
        <x:v>43.16776</x:v>
      </x:c>
      <x:c r="AC111" s="48" t="n">
        <x:f>(Inputs!$H$9+Inputs!$L$9*(((Inputs!$I$9+(((A111)+1)/2)*(Inputs!$J$9-Inputs!$I$9)))/Inputs!$K$9)^2)</x:f>
        <x:v>33.25240000000001</x:v>
      </x:c>
      <x:c r="AD111" s="49"/>
      <x:c r="AE111" s="48" t="n">
        <x:f>A111</x:f>
        <x:v>-0.092</x:v>
      </x:c>
      <x:c r="AF111" s="48" t="n">
        <x:f>(((SQRT(((Inputs!$I$6+(((A111)+1)/2)*(Inputs!$J$6-Inputs!$I$6)))^2+Inputs!$C$6^2+((Inputs!$H$6+Inputs!$L$6*(((Inputs!$I$6+(((A111)+1)/2)*(Inputs!$J$6-Inputs!$I$6)))/Inputs!$K$6)^2))^2))-((Inputs!$H$6+Inputs!$L$6*(((Inputs!$I$6+(((A111)+1)/2)*(Inputs!$J$6-Inputs!$I$6)))/Inputs!$K$6)^2)))*1000/Inputs!$C$12)</x:f>
        <x:v>459.7929440643228</x:v>
      </x:c>
      <x:c r="AG111" s="48" t="n">
        <x:f>(((SQRT(((Inputs!$I$7+(((A111)+1)/2)*(Inputs!$J$7-Inputs!$I$7)))^2+Inputs!$C$6^2+((Inputs!$H$7+Inputs!$L$7*(((Inputs!$I$7+(((A111)+1)/2)*(Inputs!$J$7-Inputs!$I$7)))/Inputs!$K$7)^2))^2))-((Inputs!$H$7+Inputs!$L$7*(((Inputs!$I$7+(((A111)+1)/2)*(Inputs!$J$7-Inputs!$I$7)))/Inputs!$K$7)^2)))*1000/Inputs!$C$12)</x:f>
        <x:v>11504.032449515398</x:v>
      </x:c>
      <x:c r="AH111" s="48" t="n">
        <x:f>(((SQRT(((Inputs!$I$8+(((A111)+1)/2)*(Inputs!$J$8-Inputs!$I$8)))^2+Inputs!$C$6^2+((Inputs!$H$8+Inputs!$L$8*(((Inputs!$I$8+(((A111)+1)/2)*(Inputs!$J$8-Inputs!$I$8)))/Inputs!$K$8)^2))^2))-((Inputs!$H$8+Inputs!$L$8*(((Inputs!$I$8+(((A111)+1)/2)*(Inputs!$J$8-Inputs!$I$8)))/Inputs!$K$8)^2)))*1000/Inputs!$C$12)</x:f>
        <x:v>25699.237944318753</x:v>
      </x:c>
      <x:c r="AI111" s="48" t="n">
        <x:f>(((SQRT(((Inputs!$I$9+(((A111)+1)/2)*(Inputs!$J$9-Inputs!$I$9)))^2+Inputs!$C$6^2+((Inputs!$H$9+Inputs!$L$9*(((Inputs!$I$9+(((A111)+1)/2)*(Inputs!$J$9-Inputs!$I$9)))/Inputs!$K$9)^2))^2))-((Inputs!$H$9+Inputs!$L$9*(((Inputs!$I$9+(((A111)+1)/2)*(Inputs!$J$9-Inputs!$I$9)))/Inputs!$K$9)^2)))*1000/Inputs!$C$12)</x:f>
        <x:v>28815.486246902132</x:v>
      </x:c>
      <x:c r="AJ111" s="49"/>
      <x:c r="AK111" s="48" t="n">
        <x:f>A111</x:f>
        <x:v>-0.092</x:v>
      </x:c>
      <x:c r="AL111" s="48" t="n">
        <x:f>(-2*((1000*((((Inputs!$I$6+(((A111)+1)/2)*(Inputs!$J$6-Inputs!$I$6)))*Inputs!$C$11+((Inputs!$H$6+Inputs!$L$6*(((Inputs!$I$6+(((A111)+1)/2)*(Inputs!$J$6-Inputs!$I$6)))/Inputs!$K$6)^2))*((2*Inputs!$L$6*((Inputs!$I$6+(((A111)+1)/2)*(Inputs!$J$6-Inputs!$I$6)))/(Inputs!$K$6^2)*Inputs!$C$11)))/(SQRT(((Inputs!$I$6+(((A111)+1)/2)*(Inputs!$J$6-Inputs!$I$6)))^2+Inputs!$C$6^2+((Inputs!$H$6+Inputs!$L$6*(((Inputs!$I$6+(((A111)+1)/2)*(Inputs!$J$6-Inputs!$I$6)))/Inputs!$K$6)^2))^2)))))/Inputs!$C$13)</x:f>
        <x:v>41.619648109336076</x:v>
      </x:c>
      <x:c r="AM111" s="48" t="n">
        <x:f>(-2*((1000*((((Inputs!$I$7+(((A111)+1)/2)*(Inputs!$J$7-Inputs!$I$7)))*Inputs!$C$11+((Inputs!$H$7+Inputs!$L$7*(((Inputs!$I$7+(((A111)+1)/2)*(Inputs!$J$7-Inputs!$I$7)))/Inputs!$K$7)^2))*((2*Inputs!$L$7*((Inputs!$I$7+(((A111)+1)/2)*(Inputs!$J$7-Inputs!$I$7)))/(Inputs!$K$7^2)*Inputs!$C$11)))/(SQRT(((Inputs!$I$7+(((A111)+1)/2)*(Inputs!$J$7-Inputs!$I$7)))^2+Inputs!$C$6^2+((Inputs!$H$7+Inputs!$L$7*(((Inputs!$I$7+(((A111)+1)/2)*(Inputs!$J$7-Inputs!$I$7)))/Inputs!$K$7)^2))^2)))))/Inputs!$C$13)</x:f>
        <x:v>1180.065073224125</x:v>
      </x:c>
      <x:c r="AN111" s="48" t="n">
        <x:f>(-2*((1000*((((Inputs!$I$8+(((A111)+1)/2)*(Inputs!$J$8-Inputs!$I$8)))*Inputs!$C$11+((Inputs!$H$8+Inputs!$L$8*(((Inputs!$I$8+(((A111)+1)/2)*(Inputs!$J$8-Inputs!$I$8)))/Inputs!$K$8)^2))*((2*Inputs!$L$8*((Inputs!$I$8+(((A111)+1)/2)*(Inputs!$J$8-Inputs!$I$8)))/(Inputs!$K$8^2)*Inputs!$C$11)))/(SQRT(((Inputs!$I$8+(((A111)+1)/2)*(Inputs!$J$8-Inputs!$I$8)))^2+Inputs!$C$6^2+((Inputs!$H$8+Inputs!$L$8*(((Inputs!$I$8+(((A111)+1)/2)*(Inputs!$J$8-Inputs!$I$8)))/Inputs!$K$8)^2))^2)))))/Inputs!$C$13)</x:f>
        <x:v>1496.863537942681</x:v>
      </x:c>
      <x:c r="AO111" s="48" t="n">
        <x:f>(-2*((1000*((((Inputs!$I$9+(((A111)+1)/2)*(Inputs!$J$9-Inputs!$I$9)))*Inputs!$C$11+((Inputs!$H$9+Inputs!$L$9*(((Inputs!$I$9+(((A111)+1)/2)*(Inputs!$J$9-Inputs!$I$9)))/Inputs!$K$9)^2))*((2*Inputs!$L$9*((Inputs!$I$9+(((A111)+1)/2)*(Inputs!$J$9-Inputs!$I$9)))/(Inputs!$K$9^2)*Inputs!$C$11)))/(SQRT(((Inputs!$I$9+(((A111)+1)/2)*(Inputs!$J$9-Inputs!$I$9)))^2+Inputs!$C$6^2+((Inputs!$H$9+Inputs!$L$9*(((Inputs!$I$9+(((A111)+1)/2)*(Inputs!$J$9-Inputs!$I$9)))/Inputs!$K$9)^2))^2)))))/Inputs!$C$13)</x:f>
        <x:v>1534.006127144683</x:v>
      </x:c>
    </x:row>
    <x:row r="112">
      <x:c r="A112" s="48" t="n">
        <x:f>ROUND(-1+110*2/240,3)</x:f>
        <x:v>-0.083</x:v>
      </x:c>
      <x:c r="B112" s="48" t="n">
        <x:f>IF(OR(Inputs!$F$6=TRUE,Inputs!$F$6="TRUE",Inputs!$F$6=1),(Inputs!$H$6+Inputs!$L$6*(((Inputs!$I$6+(((A112)+1)/2)*(Inputs!$J$6-Inputs!$I$6)))/Inputs!$K$6)^2),NA())</x:f>
        <x:v>400.027556</x:v>
      </x:c>
      <x:c r="C112" s="48" t="n">
        <x:f>IF(OR(Inputs!$F$7=TRUE,Inputs!$F$7="TRUE",Inputs!$F$7=1),(Inputs!$H$7+Inputs!$L$7*(((Inputs!$I$7+(((A112)+1)/2)*(Inputs!$J$7-Inputs!$I$7)))/Inputs!$K$7)^2),NA())</x:f>
        <x:v>37.514485</x:v>
      </x:c>
      <x:c r="D112" s="48" t="n">
        <x:f>IF(OR(Inputs!$F$8=TRUE,Inputs!$F$8="TRUE",Inputs!$F$8=1),(Inputs!$H$8+Inputs!$L$8*(((Inputs!$I$8+(((A112)+1)/2)*(Inputs!$J$8-Inputs!$I$8)))/Inputs!$K$8)^2),NA())</x:f>
        <x:v>41.647884999999995</x:v>
      </x:c>
      <x:c r="E112" s="48" t="n">
        <x:f>IF(OR(Inputs!$F$9=TRUE,Inputs!$F$9="TRUE",Inputs!$F$9=1),(Inputs!$H$9+Inputs!$L$9*(((Inputs!$I$9+(((A112)+1)/2)*(Inputs!$J$9-Inputs!$I$9)))/Inputs!$K$9)^2),NA())</x:f>
        <x:v>31.716774999999995</x:v>
      </x:c>
      <x:c r="F112" s="49"/>
      <x:c r="G112" s="48" t="n">
        <x:f>A112</x:f>
        <x:v>-0.083</x:v>
      </x:c>
      <x:c r="H112" s="48" t="n">
        <x:f>IF(OR(Inputs!$F$6=TRUE,Inputs!$F$6="TRUE",Inputs!$F$6=1),(((SQRT(((Inputs!$I$6+(((A112)+1)/2)*(Inputs!$J$6-Inputs!$I$6)))^2+Inputs!$C$6^2+((Inputs!$H$6+Inputs!$L$6*(((Inputs!$I$6+(((A112)+1)/2)*(Inputs!$J$6-Inputs!$I$6)))/Inputs!$K$6)^2))^2))-((Inputs!$H$6+Inputs!$L$6*(((Inputs!$I$6+(((A112)+1)/2)*(Inputs!$J$6-Inputs!$I$6)))/Inputs!$K$6)^2)))*1000/Inputs!$C$12),NA())</x:f>
        <x:v>455.8267975056651</x:v>
      </x:c>
      <x:c r="I112" s="48" t="n">
        <x:f>IF(OR(Inputs!$F$7=TRUE,Inputs!$F$7="TRUE",Inputs!$F$7=1),(((SQRT(((Inputs!$I$7+(((A112)+1)/2)*(Inputs!$J$7-Inputs!$I$7)))^2+Inputs!$C$6^2+((Inputs!$H$7+Inputs!$L$7*(((Inputs!$I$7+(((A112)+1)/2)*(Inputs!$J$7-Inputs!$I$7)))/Inputs!$K$7)^2))^2))-((Inputs!$H$7+Inputs!$L$7*(((Inputs!$I$7+(((A112)+1)/2)*(Inputs!$J$7-Inputs!$I$7)))/Inputs!$K$7)^2)))*1000/Inputs!$C$12),NA())</x:f>
        <x:v>10377.980052459096</x:v>
      </x:c>
      <x:c r="J112" s="48" t="n">
        <x:f>IF(OR(Inputs!$F$8=TRUE,Inputs!$F$8="TRUE",Inputs!$F$8=1),(((SQRT(((Inputs!$I$8+(((A112)+1)/2)*(Inputs!$J$8-Inputs!$I$8)))^2+Inputs!$C$6^2+((Inputs!$H$8+Inputs!$L$8*(((Inputs!$I$8+(((A112)+1)/2)*(Inputs!$J$8-Inputs!$I$8)))/Inputs!$K$8)^2))^2))-((Inputs!$H$8+Inputs!$L$8*(((Inputs!$I$8+(((A112)+1)/2)*(Inputs!$J$8-Inputs!$I$8)))/Inputs!$K$8)^2)))*1000/Inputs!$C$12),NA())</x:f>
        <x:v>22821.936765500046</x:v>
      </x:c>
      <x:c r="K112" s="48" t="n">
        <x:f>IF(OR(Inputs!$F$9=TRUE,Inputs!$F$9="TRUE",Inputs!$F$9=1),(((SQRT(((Inputs!$I$9+(((A112)+1)/2)*(Inputs!$J$9-Inputs!$I$9)))^2+Inputs!$C$6^2+((Inputs!$H$9+Inputs!$L$9*(((Inputs!$I$9+(((A112)+1)/2)*(Inputs!$J$9-Inputs!$I$9)))/Inputs!$K$9)^2))^2))-((Inputs!$H$9+Inputs!$L$9*(((Inputs!$I$9+(((A112)+1)/2)*(Inputs!$J$9-Inputs!$I$9)))/Inputs!$K$9)^2)))*1000/Inputs!$C$12),NA())</x:f>
        <x:v>25842.756989515266</x:v>
      </x:c>
      <x:c r="L112" s="49"/>
      <x:c r="M112" s="48" t="n">
        <x:f>A112</x:f>
        <x:v>-0.083</x:v>
      </x:c>
      <x:c r="N112" s="48" t="n">
        <x:f>IF(OR(Inputs!$F$6=TRUE,Inputs!$F$6="TRUE",Inputs!$F$6=1),(-2*((1000*((((Inputs!$I$6+(((A112)+1)/2)*(Inputs!$J$6-Inputs!$I$6)))*Inputs!$C$11+((Inputs!$H$6+Inputs!$L$6*(((Inputs!$I$6+(((A112)+1)/2)*(Inputs!$J$6-Inputs!$I$6)))/Inputs!$K$6)^2))*((2*Inputs!$L$6*((Inputs!$I$6+(((A112)+1)/2)*(Inputs!$J$6-Inputs!$I$6)))/(Inputs!$K$6^2)*Inputs!$C$11)))/(SQRT(((Inputs!$I$6+(((A112)+1)/2)*(Inputs!$J$6-Inputs!$I$6)))^2+Inputs!$C$6^2+((Inputs!$H$6+Inputs!$L$6*(((Inputs!$I$6+(((A112)+1)/2)*(Inputs!$J$6-Inputs!$I$6)))/Inputs!$K$6)^2))^2)))))/Inputs!$C$13),NA())</x:f>
        <x:v>37.54913395750471</x:v>
      </x:c>
      <x:c r="O112" s="48" t="n">
        <x:f>IF(OR(Inputs!$F$7=TRUE,Inputs!$F$7="TRUE",Inputs!$F$7=1),(-2*((1000*((((Inputs!$I$7+(((A112)+1)/2)*(Inputs!$J$7-Inputs!$I$7)))*Inputs!$C$11+((Inputs!$H$7+Inputs!$L$7*(((Inputs!$I$7+(((A112)+1)/2)*(Inputs!$J$7-Inputs!$I$7)))/Inputs!$K$7)^2))*((2*Inputs!$L$7*((Inputs!$I$7+(((A112)+1)/2)*(Inputs!$J$7-Inputs!$I$7)))/(Inputs!$K$7^2)*Inputs!$C$11)))/(SQRT(((Inputs!$I$7+(((A112)+1)/2)*(Inputs!$J$7-Inputs!$I$7)))^2+Inputs!$C$6^2+((Inputs!$H$7+Inputs!$L$7*(((Inputs!$I$7+(((A112)+1)/2)*(Inputs!$J$7-Inputs!$I$7)))/Inputs!$K$7)^2))^2)))))/Inputs!$C$13),NA())</x:f>
        <x:v>1111.18096888686</x:v>
      </x:c>
      <x:c r="P112" s="48" t="n">
        <x:f>IF(OR(Inputs!$F$8=TRUE,Inputs!$F$8="TRUE",Inputs!$F$8=1),(-2*((1000*((((Inputs!$I$8+(((A112)+1)/2)*(Inputs!$J$8-Inputs!$I$8)))*Inputs!$C$11+((Inputs!$H$8+Inputs!$L$8*(((Inputs!$I$8+(((A112)+1)/2)*(Inputs!$J$8-Inputs!$I$8)))/Inputs!$K$8)^2))*((2*Inputs!$L$8*((Inputs!$I$8+(((A112)+1)/2)*(Inputs!$J$8-Inputs!$I$8)))/(Inputs!$K$8^2)*Inputs!$C$11)))/(SQRT(((Inputs!$I$8+(((A112)+1)/2)*(Inputs!$J$8-Inputs!$I$8)))^2+Inputs!$C$6^2+((Inputs!$H$8+Inputs!$L$8*(((Inputs!$I$8+(((A112)+1)/2)*(Inputs!$J$8-Inputs!$I$8)))/Inputs!$K$8)^2))^2)))))/Inputs!$C$13),NA())</x:f>
        <x:v>1453.528553110139</x:v>
      </x:c>
      <x:c r="Q112" s="48" t="n">
        <x:f>IF(OR(Inputs!$F$9=TRUE,Inputs!$F$9="TRUE",Inputs!$F$9=1),(-2*((1000*((((Inputs!$I$9+(((A112)+1)/2)*(Inputs!$J$9-Inputs!$I$9)))*Inputs!$C$11+((Inputs!$H$9+Inputs!$L$9*(((Inputs!$I$9+(((A112)+1)/2)*(Inputs!$J$9-Inputs!$I$9)))/Inputs!$K$9)^2))*((2*Inputs!$L$9*((Inputs!$I$9+(((A112)+1)/2)*(Inputs!$J$9-Inputs!$I$9)))/(Inputs!$K$9^2)*Inputs!$C$11)))/(SQRT(((Inputs!$I$9+(((A112)+1)/2)*(Inputs!$J$9-Inputs!$I$9)))^2+Inputs!$C$6^2+((Inputs!$H$9+Inputs!$L$9*(((Inputs!$I$9+(((A112)+1)/2)*(Inputs!$J$9-Inputs!$I$9)))/Inputs!$K$9)^2))^2)))))/Inputs!$C$13),NA())</x:f>
        <x:v>1499.1172626545128</x:v>
      </x:c>
      <x:c r="R112" s="49"/>
      <x:c r="S112" s="48" t="n">
        <x:f>A112</x:f>
        <x:v>-0.083</x:v>
      </x:c>
      <x:c r="T112" s="48" t="n">
        <x:f>(Inputs!$I$6+(((A112)+1)/2)*(Inputs!$J$6-Inputs!$I$6))</x:f>
        <x:v>-4.979999999999997</x:v>
      </x:c>
      <x:c r="U112" s="48" t="n">
        <x:f>(Inputs!$I$7+(((A112)+1)/2)*(Inputs!$J$7-Inputs!$I$7))</x:f>
        <x:v>-33.19999999999999</x:v>
      </x:c>
      <x:c r="V112" s="48" t="n">
        <x:f>(Inputs!$I$8+(((A112)+1)/2)*(Inputs!$J$8-Inputs!$I$8))</x:f>
        <x:v>-66.39999999999998</x:v>
      </x:c>
      <x:c r="W112" s="48" t="n">
        <x:f>(Inputs!$I$9+(((A112)+1)/2)*(Inputs!$J$9-Inputs!$I$9))</x:f>
        <x:v>-66.39999999999998</x:v>
      </x:c>
      <x:c r="X112" s="49"/>
      <x:c r="Y112" s="48" t="n">
        <x:f>A112</x:f>
        <x:v>-0.083</x:v>
      </x:c>
      <x:c r="Z112" s="48" t="n">
        <x:f>(Inputs!$H$6+Inputs!$L$6*(((Inputs!$I$6+(((A112)+1)/2)*(Inputs!$J$6-Inputs!$I$6)))/Inputs!$K$6)^2)</x:f>
        <x:v>400.027556</x:v>
      </x:c>
      <x:c r="AA112" s="48" t="n">
        <x:f>(Inputs!$H$7+Inputs!$L$7*(((Inputs!$I$7+(((A112)+1)/2)*(Inputs!$J$7-Inputs!$I$7)))/Inputs!$K$7)^2)</x:f>
        <x:v>37.514485</x:v>
      </x:c>
      <x:c r="AB112" s="48" t="n">
        <x:f>(Inputs!$H$8+Inputs!$L$8*(((Inputs!$I$8+(((A112)+1)/2)*(Inputs!$J$8-Inputs!$I$8)))/Inputs!$K$8)^2)</x:f>
        <x:v>41.647884999999995</x:v>
      </x:c>
      <x:c r="AC112" s="48" t="n">
        <x:f>(Inputs!$H$9+Inputs!$L$9*(((Inputs!$I$9+(((A112)+1)/2)*(Inputs!$J$9-Inputs!$I$9)))/Inputs!$K$9)^2)</x:f>
        <x:v>31.716774999999995</x:v>
      </x:c>
      <x:c r="AD112" s="49"/>
      <x:c r="AE112" s="48" t="n">
        <x:f>A112</x:f>
        <x:v>-0.083</x:v>
      </x:c>
      <x:c r="AF112" s="48" t="n">
        <x:f>(((SQRT(((Inputs!$I$6+(((A112)+1)/2)*(Inputs!$J$6-Inputs!$I$6)))^2+Inputs!$C$6^2+((Inputs!$H$6+Inputs!$L$6*(((Inputs!$I$6+(((A112)+1)/2)*(Inputs!$J$6-Inputs!$I$6)))/Inputs!$K$6)^2))^2))-((Inputs!$H$6+Inputs!$L$6*(((Inputs!$I$6+(((A112)+1)/2)*(Inputs!$J$6-Inputs!$I$6)))/Inputs!$K$6)^2)))*1000/Inputs!$C$12)</x:f>
        <x:v>455.8267975056651</x:v>
      </x:c>
      <x:c r="AG112" s="48" t="n">
        <x:f>(((SQRT(((Inputs!$I$7+(((A112)+1)/2)*(Inputs!$J$7-Inputs!$I$7)))^2+Inputs!$C$6^2+((Inputs!$H$7+Inputs!$L$7*(((Inputs!$I$7+(((A112)+1)/2)*(Inputs!$J$7-Inputs!$I$7)))/Inputs!$K$7)^2))^2))-((Inputs!$H$7+Inputs!$L$7*(((Inputs!$I$7+(((A112)+1)/2)*(Inputs!$J$7-Inputs!$I$7)))/Inputs!$K$7)^2)))*1000/Inputs!$C$12)</x:f>
        <x:v>10377.980052459096</x:v>
      </x:c>
      <x:c r="AH112" s="48" t="n">
        <x:f>(((SQRT(((Inputs!$I$8+(((A112)+1)/2)*(Inputs!$J$8-Inputs!$I$8)))^2+Inputs!$C$6^2+((Inputs!$H$8+Inputs!$L$8*(((Inputs!$I$8+(((A112)+1)/2)*(Inputs!$J$8-Inputs!$I$8)))/Inputs!$K$8)^2))^2))-((Inputs!$H$8+Inputs!$L$8*(((Inputs!$I$8+(((A112)+1)/2)*(Inputs!$J$8-Inputs!$I$8)))/Inputs!$K$8)^2)))*1000/Inputs!$C$12)</x:f>
        <x:v>22821.936765500046</x:v>
      </x:c>
      <x:c r="AI112" s="48" t="n">
        <x:f>(((SQRT(((Inputs!$I$9+(((A112)+1)/2)*(Inputs!$J$9-Inputs!$I$9)))^2+Inputs!$C$6^2+((Inputs!$H$9+Inputs!$L$9*(((Inputs!$I$9+(((A112)+1)/2)*(Inputs!$J$9-Inputs!$I$9)))/Inputs!$K$9)^2))^2))-((Inputs!$H$9+Inputs!$L$9*(((Inputs!$I$9+(((A112)+1)/2)*(Inputs!$J$9-Inputs!$I$9)))/Inputs!$K$9)^2)))*1000/Inputs!$C$12)</x:f>
        <x:v>25842.756989515266</x:v>
      </x:c>
      <x:c r="AJ112" s="49"/>
      <x:c r="AK112" s="48" t="n">
        <x:f>A112</x:f>
        <x:v>-0.083</x:v>
      </x:c>
      <x:c r="AL112" s="48" t="n">
        <x:f>(-2*((1000*((((Inputs!$I$6+(((A112)+1)/2)*(Inputs!$J$6-Inputs!$I$6)))*Inputs!$C$11+((Inputs!$H$6+Inputs!$L$6*(((Inputs!$I$6+(((A112)+1)/2)*(Inputs!$J$6-Inputs!$I$6)))/Inputs!$K$6)^2))*((2*Inputs!$L$6*((Inputs!$I$6+(((A112)+1)/2)*(Inputs!$J$6-Inputs!$I$6)))/(Inputs!$K$6^2)*Inputs!$C$11)))/(SQRT(((Inputs!$I$6+(((A112)+1)/2)*(Inputs!$J$6-Inputs!$I$6)))^2+Inputs!$C$6^2+((Inputs!$H$6+Inputs!$L$6*(((Inputs!$I$6+(((A112)+1)/2)*(Inputs!$J$6-Inputs!$I$6)))/Inputs!$K$6)^2))^2)))))/Inputs!$C$13)</x:f>
        <x:v>37.54913395750471</x:v>
      </x:c>
      <x:c r="AM112" s="48" t="n">
        <x:f>(-2*((1000*((((Inputs!$I$7+(((A112)+1)/2)*(Inputs!$J$7-Inputs!$I$7)))*Inputs!$C$11+((Inputs!$H$7+Inputs!$L$7*(((Inputs!$I$7+(((A112)+1)/2)*(Inputs!$J$7-Inputs!$I$7)))/Inputs!$K$7)^2))*((2*Inputs!$L$7*((Inputs!$I$7+(((A112)+1)/2)*(Inputs!$J$7-Inputs!$I$7)))/(Inputs!$K$7^2)*Inputs!$C$11)))/(SQRT(((Inputs!$I$7+(((A112)+1)/2)*(Inputs!$J$7-Inputs!$I$7)))^2+Inputs!$C$6^2+((Inputs!$H$7+Inputs!$L$7*(((Inputs!$I$7+(((A112)+1)/2)*(Inputs!$J$7-Inputs!$I$7)))/Inputs!$K$7)^2))^2)))))/Inputs!$C$13)</x:f>
        <x:v>1111.18096888686</x:v>
      </x:c>
      <x:c r="AN112" s="48" t="n">
        <x:f>(-2*((1000*((((Inputs!$I$8+(((A112)+1)/2)*(Inputs!$J$8-Inputs!$I$8)))*Inputs!$C$11+((Inputs!$H$8+Inputs!$L$8*(((Inputs!$I$8+(((A112)+1)/2)*(Inputs!$J$8-Inputs!$I$8)))/Inputs!$K$8)^2))*((2*Inputs!$L$8*((Inputs!$I$8+(((A112)+1)/2)*(Inputs!$J$8-Inputs!$I$8)))/(Inputs!$K$8^2)*Inputs!$C$11)))/(SQRT(((Inputs!$I$8+(((A112)+1)/2)*(Inputs!$J$8-Inputs!$I$8)))^2+Inputs!$C$6^2+((Inputs!$H$8+Inputs!$L$8*(((Inputs!$I$8+(((A112)+1)/2)*(Inputs!$J$8-Inputs!$I$8)))/Inputs!$K$8)^2))^2)))))/Inputs!$C$13)</x:f>
        <x:v>1453.528553110139</x:v>
      </x:c>
      <x:c r="AO112" s="48" t="n">
        <x:f>(-2*((1000*((((Inputs!$I$9+(((A112)+1)/2)*(Inputs!$J$9-Inputs!$I$9)))*Inputs!$C$11+((Inputs!$H$9+Inputs!$L$9*(((Inputs!$I$9+(((A112)+1)/2)*(Inputs!$J$9-Inputs!$I$9)))/Inputs!$K$9)^2))*((2*Inputs!$L$9*((Inputs!$I$9+(((A112)+1)/2)*(Inputs!$J$9-Inputs!$I$9)))/(Inputs!$K$9^2)*Inputs!$C$11)))/(SQRT(((Inputs!$I$9+(((A112)+1)/2)*(Inputs!$J$9-Inputs!$I$9)))^2+Inputs!$C$6^2+((Inputs!$H$9+Inputs!$L$9*(((Inputs!$I$9+(((A112)+1)/2)*(Inputs!$J$9-Inputs!$I$9)))/Inputs!$K$9)^2))^2)))))/Inputs!$C$13)</x:f>
        <x:v>1499.1172626545128</x:v>
      </x:c>
    </x:row>
    <x:row r="113">
      <x:c r="A113" s="48" t="n">
        <x:f>ROUND(-1+111*2/240,3)</x:f>
        <x:v>-0.075</x:v>
      </x:c>
      <x:c r="B113" s="48" t="n">
        <x:f>IF(OR(Inputs!$F$6=TRUE,Inputs!$F$6="TRUE",Inputs!$F$6=1),(Inputs!$H$6+Inputs!$L$6*(((Inputs!$I$6+(((A113)+1)/2)*(Inputs!$J$6-Inputs!$I$6)))/Inputs!$K$6)^2),NA())</x:f>
        <x:v>400.0225</x:v>
      </x:c>
      <x:c r="C113" s="48" t="n">
        <x:f>IF(OR(Inputs!$F$7=TRUE,Inputs!$F$7="TRUE",Inputs!$F$7=1),(Inputs!$H$7+Inputs!$L$7*(((Inputs!$I$7+(((A113)+1)/2)*(Inputs!$J$7-Inputs!$I$7)))/Inputs!$K$7)^2),NA())</x:f>
        <x:v>37.053125</x:v>
      </x:c>
      <x:c r="D113" s="48" t="n">
        <x:f>IF(OR(Inputs!$F$8=TRUE,Inputs!$F$8="TRUE",Inputs!$F$8=1),(Inputs!$H$8+Inputs!$L$8*(((Inputs!$I$8+(((A113)+1)/2)*(Inputs!$J$8-Inputs!$I$8)))/Inputs!$K$8)^2),NA())</x:f>
        <x:v>40.428125</x:v>
      </x:c>
      <x:c r="E113" s="48" t="n">
        <x:f>IF(OR(Inputs!$F$9=TRUE,Inputs!$F$9="TRUE",Inputs!$F$9=1),(Inputs!$H$9+Inputs!$L$9*(((Inputs!$I$9+(((A113)+1)/2)*(Inputs!$J$9-Inputs!$I$9)))/Inputs!$K$9)^2),NA())</x:f>
        <x:v>30.484375</x:v>
      </x:c>
      <x:c r="F113" s="49"/>
      <x:c r="G113" s="48" t="n">
        <x:f>A113</x:f>
        <x:v>-0.075</x:v>
      </x:c>
      <x:c r="H113" s="48" t="n">
        <x:f>IF(OR(Inputs!$F$6=TRUE,Inputs!$F$6="TRUE",Inputs!$F$6=1),(((SQRT(((Inputs!$I$6+(((A113)+1)/2)*(Inputs!$J$6-Inputs!$I$6)))^2+Inputs!$C$6^2+((Inputs!$H$6+Inputs!$L$6*(((Inputs!$I$6+(((A113)+1)/2)*(Inputs!$J$6-Inputs!$I$6)))/Inputs!$K$6)^2))^2))-((Inputs!$H$6+Inputs!$L$6*(((Inputs!$I$6+(((A113)+1)/2)*(Inputs!$J$6-Inputs!$I$6)))/Inputs!$K$6)^2)))*1000/Inputs!$C$12),NA())</x:f>
        <x:v>452.64366680049187</x:v>
      </x:c>
      <x:c r="I113" s="48" t="n">
        <x:f>IF(OR(Inputs!$F$7=TRUE,Inputs!$F$7="TRUE",Inputs!$F$7=1),(((SQRT(((Inputs!$I$7+(((A113)+1)/2)*(Inputs!$J$7-Inputs!$I$7)))^2+Inputs!$C$6^2+((Inputs!$H$7+Inputs!$L$7*(((Inputs!$I$7+(((A113)+1)/2)*(Inputs!$J$7-Inputs!$I$7)))/Inputs!$K$7)^2))^2))-((Inputs!$H$7+Inputs!$L$7*(((Inputs!$I$7+(((A113)+1)/2)*(Inputs!$J$7-Inputs!$I$7)))/Inputs!$K$7)^2)))*1000/Inputs!$C$12),NA())</x:f>
        <x:v>9426.594380035745</x:v>
      </x:c>
      <x:c r="J113" s="48" t="n">
        <x:f>IF(OR(Inputs!$F$8=TRUE,Inputs!$F$8="TRUE",Inputs!$F$8=1),(((SQRT(((Inputs!$I$8+(((A113)+1)/2)*(Inputs!$J$8-Inputs!$I$8)))^2+Inputs!$C$6^2+((Inputs!$H$8+Inputs!$L$8*(((Inputs!$I$8+(((A113)+1)/2)*(Inputs!$J$8-Inputs!$I$8)))/Inputs!$K$8)^2))^2))-((Inputs!$H$8+Inputs!$L$8*(((Inputs!$I$8+(((A113)+1)/2)*(Inputs!$J$8-Inputs!$I$8)))/Inputs!$K$8)^2)))*1000/Inputs!$C$12),NA())</x:f>
        <x:v>20291.466413678096</x:v>
      </x:c>
      <x:c r="K113" s="48" t="n">
        <x:f>IF(OR(Inputs!$F$9=TRUE,Inputs!$F$9="TRUE",Inputs!$F$9=1),(((SQRT(((Inputs!$I$9+(((A113)+1)/2)*(Inputs!$J$9-Inputs!$I$9)))^2+Inputs!$C$6^2+((Inputs!$H$9+Inputs!$L$9*(((Inputs!$I$9+(((A113)+1)/2)*(Inputs!$J$9-Inputs!$I$9)))/Inputs!$K$9)^2))^2))-((Inputs!$H$9+Inputs!$L$9*(((Inputs!$I$9+(((A113)+1)/2)*(Inputs!$J$9-Inputs!$I$9)))/Inputs!$K$9)^2)))*1000/Inputs!$C$12),NA())</x:f>
        <x:v>23207.33633541997</x:v>
      </x:c>
      <x:c r="L113" s="49"/>
      <x:c r="M113" s="48" t="n">
        <x:f>A113</x:f>
        <x:v>-0.075</x:v>
      </x:c>
      <x:c r="N113" s="48" t="n">
        <x:f>IF(OR(Inputs!$F$6=TRUE,Inputs!$F$6="TRUE",Inputs!$F$6=1),(-2*((1000*((((Inputs!$I$6+(((A113)+1)/2)*(Inputs!$J$6-Inputs!$I$6)))*Inputs!$C$11+((Inputs!$H$6+Inputs!$L$6*(((Inputs!$I$6+(((A113)+1)/2)*(Inputs!$J$6-Inputs!$I$6)))/Inputs!$K$6)^2))*((2*Inputs!$L$6*((Inputs!$I$6+(((A113)+1)/2)*(Inputs!$J$6-Inputs!$I$6)))/(Inputs!$K$6^2)*Inputs!$C$11)))/(SQRT(((Inputs!$I$6+(((A113)+1)/2)*(Inputs!$J$6-Inputs!$I$6)))^2+Inputs!$C$6^2+((Inputs!$H$6+Inputs!$L$6*(((Inputs!$I$6+(((A113)+1)/2)*(Inputs!$J$6-Inputs!$I$6)))/Inputs!$K$6)^2))^2)))))/Inputs!$C$13),NA())</x:f>
        <x:v>33.930646111432324</x:v>
      </x:c>
      <x:c r="O113" s="48" t="n">
        <x:f>IF(OR(Inputs!$F$7=TRUE,Inputs!$F$7="TRUE",Inputs!$F$7=1),(-2*((1000*((((Inputs!$I$7+(((A113)+1)/2)*(Inputs!$J$7-Inputs!$I$7)))*Inputs!$C$11+((Inputs!$H$7+Inputs!$L$7*(((Inputs!$I$7+(((A113)+1)/2)*(Inputs!$J$7-Inputs!$I$7)))/Inputs!$K$7)^2))*((2*Inputs!$L$7*((Inputs!$I$7+(((A113)+1)/2)*(Inputs!$J$7-Inputs!$I$7)))/(Inputs!$K$7^2)*Inputs!$C$11)))/(SQRT(((Inputs!$I$7+(((A113)+1)/2)*(Inputs!$J$7-Inputs!$I$7)))^2+Inputs!$C$6^2+((Inputs!$H$7+Inputs!$L$7*(((Inputs!$I$7+(((A113)+1)/2)*(Inputs!$J$7-Inputs!$I$7)))/Inputs!$K$7)^2))^2)))))/Inputs!$C$13),NA())</x:f>
        <x:v>1042.3939617751896</x:v>
      </x:c>
      <x:c r="P113" s="48" t="n">
        <x:f>IF(OR(Inputs!$F$8=TRUE,Inputs!$F$8="TRUE",Inputs!$F$8=1),(-2*((1000*((((Inputs!$I$8+(((A113)+1)/2)*(Inputs!$J$8-Inputs!$I$8)))*Inputs!$C$11+((Inputs!$H$8+Inputs!$L$8*(((Inputs!$I$8+(((A113)+1)/2)*(Inputs!$J$8-Inputs!$I$8)))/Inputs!$K$8)^2))*((2*Inputs!$L$8*((Inputs!$I$8+(((A113)+1)/2)*(Inputs!$J$8-Inputs!$I$8)))/(Inputs!$K$8^2)*Inputs!$C$11)))/(SQRT(((Inputs!$I$8+(((A113)+1)/2)*(Inputs!$J$8-Inputs!$I$8)))^2+Inputs!$C$6^2+((Inputs!$H$8+Inputs!$L$8*(((Inputs!$I$8+(((A113)+1)/2)*(Inputs!$J$8-Inputs!$I$8)))/Inputs!$K$8)^2))^2)))))/Inputs!$C$13),NA())</x:f>
        <x:v>1407.0314099851676</x:v>
      </x:c>
      <x:c r="Q113" s="48" t="n">
        <x:f>IF(OR(Inputs!$F$9=TRUE,Inputs!$F$9="TRUE",Inputs!$F$9=1),(-2*((1000*((((Inputs!$I$9+(((A113)+1)/2)*(Inputs!$J$9-Inputs!$I$9)))*Inputs!$C$11+((Inputs!$H$9+Inputs!$L$9*(((Inputs!$I$9+(((A113)+1)/2)*(Inputs!$J$9-Inputs!$I$9)))/Inputs!$K$9)^2))*((2*Inputs!$L$9*((Inputs!$I$9+(((A113)+1)/2)*(Inputs!$J$9-Inputs!$I$9)))/(Inputs!$K$9^2)*Inputs!$C$11)))/(SQRT(((Inputs!$I$9+(((A113)+1)/2)*(Inputs!$J$9-Inputs!$I$9)))^2+Inputs!$C$6^2+((Inputs!$H$9+Inputs!$L$9*(((Inputs!$I$9+(((A113)+1)/2)*(Inputs!$J$9-Inputs!$I$9)))/Inputs!$K$9)^2))^2)))))/Inputs!$C$13),NA())</x:f>
        <x:v>1461.3687396461996</x:v>
      </x:c>
      <x:c r="R113" s="49"/>
      <x:c r="S113" s="48" t="n">
        <x:f>A113</x:f>
        <x:v>-0.075</x:v>
      </x:c>
      <x:c r="T113" s="48" t="n">
        <x:f>(Inputs!$I$6+(((A113)+1)/2)*(Inputs!$J$6-Inputs!$I$6))</x:f>
        <x:v>-4.5</x:v>
      </x:c>
      <x:c r="U113" s="48" t="n">
        <x:f>(Inputs!$I$7+(((A113)+1)/2)*(Inputs!$J$7-Inputs!$I$7))</x:f>
        <x:v>-30</x:v>
      </x:c>
      <x:c r="V113" s="48" t="n">
        <x:f>(Inputs!$I$8+(((A113)+1)/2)*(Inputs!$J$8-Inputs!$I$8))</x:f>
        <x:v>-60</x:v>
      </x:c>
      <x:c r="W113" s="48" t="n">
        <x:f>(Inputs!$I$9+(((A113)+1)/2)*(Inputs!$J$9-Inputs!$I$9))</x:f>
        <x:v>-60</x:v>
      </x:c>
      <x:c r="X113" s="49"/>
      <x:c r="Y113" s="48" t="n">
        <x:f>A113</x:f>
        <x:v>-0.075</x:v>
      </x:c>
      <x:c r="Z113" s="48" t="n">
        <x:f>(Inputs!$H$6+Inputs!$L$6*(((Inputs!$I$6+(((A113)+1)/2)*(Inputs!$J$6-Inputs!$I$6)))/Inputs!$K$6)^2)</x:f>
        <x:v>400.0225</x:v>
      </x:c>
      <x:c r="AA113" s="48" t="n">
        <x:f>(Inputs!$H$7+Inputs!$L$7*(((Inputs!$I$7+(((A113)+1)/2)*(Inputs!$J$7-Inputs!$I$7)))/Inputs!$K$7)^2)</x:f>
        <x:v>37.053125</x:v>
      </x:c>
      <x:c r="AB113" s="48" t="n">
        <x:f>(Inputs!$H$8+Inputs!$L$8*(((Inputs!$I$8+(((A113)+1)/2)*(Inputs!$J$8-Inputs!$I$8)))/Inputs!$K$8)^2)</x:f>
        <x:v>40.428125</x:v>
      </x:c>
      <x:c r="AC113" s="48" t="n">
        <x:f>(Inputs!$H$9+Inputs!$L$9*(((Inputs!$I$9+(((A113)+1)/2)*(Inputs!$J$9-Inputs!$I$9)))/Inputs!$K$9)^2)</x:f>
        <x:v>30.484375</x:v>
      </x:c>
      <x:c r="AD113" s="49"/>
      <x:c r="AE113" s="48" t="n">
        <x:f>A113</x:f>
        <x:v>-0.075</x:v>
      </x:c>
      <x:c r="AF113" s="48" t="n">
        <x:f>(((SQRT(((Inputs!$I$6+(((A113)+1)/2)*(Inputs!$J$6-Inputs!$I$6)))^2+Inputs!$C$6^2+((Inputs!$H$6+Inputs!$L$6*(((Inputs!$I$6+(((A113)+1)/2)*(Inputs!$J$6-Inputs!$I$6)))/Inputs!$K$6)^2))^2))-((Inputs!$H$6+Inputs!$L$6*(((Inputs!$I$6+(((A113)+1)/2)*(Inputs!$J$6-Inputs!$I$6)))/Inputs!$K$6)^2)))*1000/Inputs!$C$12)</x:f>
        <x:v>452.64366680049187</x:v>
      </x:c>
      <x:c r="AG113" s="48" t="n">
        <x:f>(((SQRT(((Inputs!$I$7+(((A113)+1)/2)*(Inputs!$J$7-Inputs!$I$7)))^2+Inputs!$C$6^2+((Inputs!$H$7+Inputs!$L$7*(((Inputs!$I$7+(((A113)+1)/2)*(Inputs!$J$7-Inputs!$I$7)))/Inputs!$K$7)^2))^2))-((Inputs!$H$7+Inputs!$L$7*(((Inputs!$I$7+(((A113)+1)/2)*(Inputs!$J$7-Inputs!$I$7)))/Inputs!$K$7)^2)))*1000/Inputs!$C$12)</x:f>
        <x:v>9426.594380035745</x:v>
      </x:c>
      <x:c r="AH113" s="48" t="n">
        <x:f>(((SQRT(((Inputs!$I$8+(((A113)+1)/2)*(Inputs!$J$8-Inputs!$I$8)))^2+Inputs!$C$6^2+((Inputs!$H$8+Inputs!$L$8*(((Inputs!$I$8+(((A113)+1)/2)*(Inputs!$J$8-Inputs!$I$8)))/Inputs!$K$8)^2))^2))-((Inputs!$H$8+Inputs!$L$8*(((Inputs!$I$8+(((A113)+1)/2)*(Inputs!$J$8-Inputs!$I$8)))/Inputs!$K$8)^2)))*1000/Inputs!$C$12)</x:f>
        <x:v>20291.466413678096</x:v>
      </x:c>
      <x:c r="AI113" s="48" t="n">
        <x:f>(((SQRT(((Inputs!$I$9+(((A113)+1)/2)*(Inputs!$J$9-Inputs!$I$9)))^2+Inputs!$C$6^2+((Inputs!$H$9+Inputs!$L$9*(((Inputs!$I$9+(((A113)+1)/2)*(Inputs!$J$9-Inputs!$I$9)))/Inputs!$K$9)^2))^2))-((Inputs!$H$9+Inputs!$L$9*(((Inputs!$I$9+(((A113)+1)/2)*(Inputs!$J$9-Inputs!$I$9)))/Inputs!$K$9)^2)))*1000/Inputs!$C$12)</x:f>
        <x:v>23207.33633541997</x:v>
      </x:c>
      <x:c r="AJ113" s="49"/>
      <x:c r="AK113" s="48" t="n">
        <x:f>A113</x:f>
        <x:v>-0.075</x:v>
      </x:c>
      <x:c r="AL113" s="48" t="n">
        <x:f>(-2*((1000*((((Inputs!$I$6+(((A113)+1)/2)*(Inputs!$J$6-Inputs!$I$6)))*Inputs!$C$11+((Inputs!$H$6+Inputs!$L$6*(((Inputs!$I$6+(((A113)+1)/2)*(Inputs!$J$6-Inputs!$I$6)))/Inputs!$K$6)^2))*((2*Inputs!$L$6*((Inputs!$I$6+(((A113)+1)/2)*(Inputs!$J$6-Inputs!$I$6)))/(Inputs!$K$6^2)*Inputs!$C$11)))/(SQRT(((Inputs!$I$6+(((A113)+1)/2)*(Inputs!$J$6-Inputs!$I$6)))^2+Inputs!$C$6^2+((Inputs!$H$6+Inputs!$L$6*(((Inputs!$I$6+(((A113)+1)/2)*(Inputs!$J$6-Inputs!$I$6)))/Inputs!$K$6)^2))^2)))))/Inputs!$C$13)</x:f>
        <x:v>33.930646111432324</x:v>
      </x:c>
      <x:c r="AM113" s="48" t="n">
        <x:f>(-2*((1000*((((Inputs!$I$7+(((A113)+1)/2)*(Inputs!$J$7-Inputs!$I$7)))*Inputs!$C$11+((Inputs!$H$7+Inputs!$L$7*(((Inputs!$I$7+(((A113)+1)/2)*(Inputs!$J$7-Inputs!$I$7)))/Inputs!$K$7)^2))*((2*Inputs!$L$7*((Inputs!$I$7+(((A113)+1)/2)*(Inputs!$J$7-Inputs!$I$7)))/(Inputs!$K$7^2)*Inputs!$C$11)))/(SQRT(((Inputs!$I$7+(((A113)+1)/2)*(Inputs!$J$7-Inputs!$I$7)))^2+Inputs!$C$6^2+((Inputs!$H$7+Inputs!$L$7*(((Inputs!$I$7+(((A113)+1)/2)*(Inputs!$J$7-Inputs!$I$7)))/Inputs!$K$7)^2))^2)))))/Inputs!$C$13)</x:f>
        <x:v>1042.3939617751896</x:v>
      </x:c>
      <x:c r="AN113" s="48" t="n">
        <x:f>(-2*((1000*((((Inputs!$I$8+(((A113)+1)/2)*(Inputs!$J$8-Inputs!$I$8)))*Inputs!$C$11+((Inputs!$H$8+Inputs!$L$8*(((Inputs!$I$8+(((A113)+1)/2)*(Inputs!$J$8-Inputs!$I$8)))/Inputs!$K$8)^2))*((2*Inputs!$L$8*((Inputs!$I$8+(((A113)+1)/2)*(Inputs!$J$8-Inputs!$I$8)))/(Inputs!$K$8^2)*Inputs!$C$11)))/(SQRT(((Inputs!$I$8+(((A113)+1)/2)*(Inputs!$J$8-Inputs!$I$8)))^2+Inputs!$C$6^2+((Inputs!$H$8+Inputs!$L$8*(((Inputs!$I$8+(((A113)+1)/2)*(Inputs!$J$8-Inputs!$I$8)))/Inputs!$K$8)^2))^2)))))/Inputs!$C$13)</x:f>
        <x:v>1407.0314099851676</x:v>
      </x:c>
      <x:c r="AO113" s="48" t="n">
        <x:f>(-2*((1000*((((Inputs!$I$9+(((A113)+1)/2)*(Inputs!$J$9-Inputs!$I$9)))*Inputs!$C$11+((Inputs!$H$9+Inputs!$L$9*(((Inputs!$I$9+(((A113)+1)/2)*(Inputs!$J$9-Inputs!$I$9)))/Inputs!$K$9)^2))*((2*Inputs!$L$9*((Inputs!$I$9+(((A113)+1)/2)*(Inputs!$J$9-Inputs!$I$9)))/(Inputs!$K$9^2)*Inputs!$C$11)))/(SQRT(((Inputs!$I$9+(((A113)+1)/2)*(Inputs!$J$9-Inputs!$I$9)))^2+Inputs!$C$6^2+((Inputs!$H$9+Inputs!$L$9*(((Inputs!$I$9+(((A113)+1)/2)*(Inputs!$J$9-Inputs!$I$9)))/Inputs!$K$9)^2))^2)))))/Inputs!$C$13)</x:f>
        <x:v>1461.3687396461996</x:v>
      </x:c>
    </x:row>
    <x:row r="114">
      <x:c r="A114" s="48" t="n">
        <x:f>ROUND(-1+112*2/240,3)</x:f>
        <x:v>-0.067</x:v>
      </x:c>
      <x:c r="B114" s="48" t="n">
        <x:f>IF(OR(Inputs!$F$6=TRUE,Inputs!$F$6="TRUE",Inputs!$F$6=1),(Inputs!$H$6+Inputs!$L$6*(((Inputs!$I$6+(((A114)+1)/2)*(Inputs!$J$6-Inputs!$I$6)))/Inputs!$K$6)^2),NA())</x:f>
        <x:v>400.017956</x:v>
      </x:c>
      <x:c r="C114" s="48" t="n">
        <x:f>IF(OR(Inputs!$F$7=TRUE,Inputs!$F$7="TRUE",Inputs!$F$7=1),(Inputs!$H$7+Inputs!$L$7*(((Inputs!$I$7+(((A114)+1)/2)*(Inputs!$J$7-Inputs!$I$7)))/Inputs!$K$7)^2),NA())</x:f>
        <x:v>36.638484999999996</x:v>
      </x:c>
      <x:c r="D114" s="48" t="n">
        <x:f>IF(OR(Inputs!$F$8=TRUE,Inputs!$F$8="TRUE",Inputs!$F$8=1),(Inputs!$H$8+Inputs!$L$8*(((Inputs!$I$8+(((A114)+1)/2)*(Inputs!$J$8-Inputs!$I$8)))/Inputs!$K$8)^2),NA())</x:f>
        <x:v>39.331884999999986</x:v>
      </x:c>
      <x:c r="E114" s="48" t="n">
        <x:f>IF(OR(Inputs!$F$9=TRUE,Inputs!$F$9="TRUE",Inputs!$F$9=1),(Inputs!$H$9+Inputs!$L$9*(((Inputs!$I$9+(((A114)+1)/2)*(Inputs!$J$9-Inputs!$I$9)))/Inputs!$K$9)^2),NA())</x:f>
        <x:v>29.376774999999988</x:v>
      </x:c>
      <x:c r="F114" s="49"/>
      <x:c r="G114" s="48" t="n">
        <x:f>A114</x:f>
        <x:v>-0.067</x:v>
      </x:c>
      <x:c r="H114" s="48" t="n">
        <x:f>IF(OR(Inputs!$F$6=TRUE,Inputs!$F$6="TRUE",Inputs!$F$6=1),(((SQRT(((Inputs!$I$6+(((A114)+1)/2)*(Inputs!$J$6-Inputs!$I$6)))^2+Inputs!$C$6^2+((Inputs!$H$6+Inputs!$L$6*(((Inputs!$I$6+(((A114)+1)/2)*(Inputs!$J$6-Inputs!$I$6)))/Inputs!$K$6)^2))^2))-((Inputs!$H$6+Inputs!$L$6*(((Inputs!$I$6+(((A114)+1)/2)*(Inputs!$J$6-Inputs!$I$6)))/Inputs!$K$6)^2)))*1000/Inputs!$C$12),NA())</x:f>
        <x:v>449.7827715340144</x:v>
      </x:c>
      <x:c r="I114" s="48" t="n">
        <x:f>IF(OR(Inputs!$F$7=TRUE,Inputs!$F$7="TRUE",Inputs!$F$7=1),(((SQRT(((Inputs!$I$7+(((A114)+1)/2)*(Inputs!$J$7-Inputs!$I$7)))^2+Inputs!$C$6^2+((Inputs!$H$7+Inputs!$L$7*(((Inputs!$I$7+(((A114)+1)/2)*(Inputs!$J$7-Inputs!$I$7)))/Inputs!$K$7)^2))^2))-((Inputs!$H$7+Inputs!$L$7*(((Inputs!$I$7+(((A114)+1)/2)*(Inputs!$J$7-Inputs!$I$7)))/Inputs!$K$7)^2)))*1000/Inputs!$C$12),NA())</x:f>
        <x:v>8530.600680010883</x:v>
      </x:c>
      <x:c r="J114" s="48" t="n">
        <x:f>IF(OR(Inputs!$F$8=TRUE,Inputs!$F$8="TRUE",Inputs!$F$8=1),(((SQRT(((Inputs!$I$8+(((A114)+1)/2)*(Inputs!$J$8-Inputs!$I$8)))^2+Inputs!$C$6^2+((Inputs!$H$8+Inputs!$L$8*(((Inputs!$I$8+(((A114)+1)/2)*(Inputs!$J$8-Inputs!$I$8)))/Inputs!$K$8)^2))^2))-((Inputs!$H$8+Inputs!$L$8*(((Inputs!$I$8+(((A114)+1)/2)*(Inputs!$J$8-Inputs!$I$8)))/Inputs!$K$8)^2)))*1000/Inputs!$C$12),NA())</x:f>
        <x:v>17806.728641253387</x:v>
      </x:c>
      <x:c r="K114" s="48" t="n">
        <x:f>IF(OR(Inputs!$F$9=TRUE,Inputs!$F$9="TRUE",Inputs!$F$9=1),(((SQRT(((Inputs!$I$9+(((A114)+1)/2)*(Inputs!$J$9-Inputs!$I$9)))^2+Inputs!$C$6^2+((Inputs!$H$9+Inputs!$L$9*(((Inputs!$I$9+(((A114)+1)/2)*(Inputs!$J$9-Inputs!$I$9)))/Inputs!$K$9)^2))^2))-((Inputs!$H$9+Inputs!$L$9*(((Inputs!$I$9+(((A114)+1)/2)*(Inputs!$J$9-Inputs!$I$9)))/Inputs!$K$9)^2)))*1000/Inputs!$C$12),NA())</x:f>
        <x:v>20595.927822440484</x:v>
      </x:c>
      <x:c r="L114" s="49"/>
      <x:c r="M114" s="48" t="n">
        <x:f>A114</x:f>
        <x:v>-0.067</x:v>
      </x:c>
      <x:c r="N114" s="48" t="n">
        <x:f>IF(OR(Inputs!$F$6=TRUE,Inputs!$F$6="TRUE",Inputs!$F$6=1),(-2*((1000*((((Inputs!$I$6+(((A114)+1)/2)*(Inputs!$J$6-Inputs!$I$6)))*Inputs!$C$11+((Inputs!$H$6+Inputs!$L$6*(((Inputs!$I$6+(((A114)+1)/2)*(Inputs!$J$6-Inputs!$I$6)))/Inputs!$K$6)^2))*((2*Inputs!$L$6*((Inputs!$I$6+(((A114)+1)/2)*(Inputs!$J$6-Inputs!$I$6)))/(Inputs!$K$6^2)*Inputs!$C$11)))/(SQRT(((Inputs!$I$6+(((A114)+1)/2)*(Inputs!$J$6-Inputs!$I$6)))^2+Inputs!$C$6^2+((Inputs!$H$6+Inputs!$L$6*(((Inputs!$I$6+(((A114)+1)/2)*(Inputs!$J$6-Inputs!$I$6)))/Inputs!$K$6)^2))^2)))))/Inputs!$C$13),NA())</x:f>
        <x:v>30.31194389180796</x:v>
      </x:c>
      <x:c r="O114" s="48" t="n">
        <x:f>IF(OR(Inputs!$F$7=TRUE,Inputs!$F$7="TRUE",Inputs!$F$7=1),(-2*((1000*((((Inputs!$I$7+(((A114)+1)/2)*(Inputs!$J$7-Inputs!$I$7)))*Inputs!$C$11+((Inputs!$H$7+Inputs!$L$7*(((Inputs!$I$7+(((A114)+1)/2)*(Inputs!$J$7-Inputs!$I$7)))/Inputs!$K$7)^2))*((2*Inputs!$L$7*((Inputs!$I$7+(((A114)+1)/2)*(Inputs!$J$7-Inputs!$I$7)))/(Inputs!$K$7^2)*Inputs!$C$11)))/(SQRT(((Inputs!$I$7+(((A114)+1)/2)*(Inputs!$J$7-Inputs!$I$7)))^2+Inputs!$C$6^2+((Inputs!$H$7+Inputs!$L$7*(((Inputs!$I$7+(((A114)+1)/2)*(Inputs!$J$7-Inputs!$I$7)))/Inputs!$K$7)^2))^2)))))/Inputs!$C$13),NA())</x:f>
        <x:v>965.748749138995</x:v>
      </x:c>
      <x:c r="P114" s="48" t="n">
        <x:f>IF(OR(Inputs!$F$8=TRUE,Inputs!$F$8="TRUE",Inputs!$F$8=1),(-2*((1000*((((Inputs!$I$8+(((A114)+1)/2)*(Inputs!$J$8-Inputs!$I$8)))*Inputs!$C$11+((Inputs!$H$8+Inputs!$L$8*(((Inputs!$I$8+(((A114)+1)/2)*(Inputs!$J$8-Inputs!$I$8)))/Inputs!$K$8)^2))*((2*Inputs!$L$8*((Inputs!$I$8+(((A114)+1)/2)*(Inputs!$J$8-Inputs!$I$8)))/(Inputs!$K$8^2)*Inputs!$C$11)))/(SQRT(((Inputs!$I$8+(((A114)+1)/2)*(Inputs!$J$8-Inputs!$I$8)))^2+Inputs!$C$6^2+((Inputs!$H$8+Inputs!$L$8*(((Inputs!$I$8+(((A114)+1)/2)*(Inputs!$J$8-Inputs!$I$8)))/Inputs!$K$8)^2))^2)))))/Inputs!$C$13),NA())</x:f>
        <x:v>1350.625084615099</x:v>
      </x:c>
      <x:c r="Q114" s="48" t="n">
        <x:f>IF(OR(Inputs!$F$9=TRUE,Inputs!$F$9="TRUE",Inputs!$F$9=1),(-2*((1000*((((Inputs!$I$9+(((A114)+1)/2)*(Inputs!$J$9-Inputs!$I$9)))*Inputs!$C$11+((Inputs!$H$9+Inputs!$L$9*(((Inputs!$I$9+(((A114)+1)/2)*(Inputs!$J$9-Inputs!$I$9)))/Inputs!$K$9)^2))*((2*Inputs!$L$9*((Inputs!$I$9+(((A114)+1)/2)*(Inputs!$J$9-Inputs!$I$9)))/(Inputs!$K$9^2)*Inputs!$C$11)))/(SQRT(((Inputs!$I$9+(((A114)+1)/2)*(Inputs!$J$9-Inputs!$I$9)))^2+Inputs!$C$6^2+((Inputs!$H$9+Inputs!$L$9*(((Inputs!$I$9+(((A114)+1)/2)*(Inputs!$J$9-Inputs!$I$9)))/Inputs!$K$9)^2))^2)))))/Inputs!$C$13),NA())</x:f>
        <x:v>1414.8947761334084</x:v>
      </x:c>
      <x:c r="R114" s="49"/>
      <x:c r="S114" s="48" t="n">
        <x:f>A114</x:f>
        <x:v>-0.067</x:v>
      </x:c>
      <x:c r="T114" s="48" t="n">
        <x:f>(Inputs!$I$6+(((A114)+1)/2)*(Inputs!$J$6-Inputs!$I$6))</x:f>
        <x:v>-4.019999999999996</x:v>
      </x:c>
      <x:c r="U114" s="48" t="n">
        <x:f>(Inputs!$I$7+(((A114)+1)/2)*(Inputs!$J$7-Inputs!$I$7))</x:f>
        <x:v>-26.799999999999955</x:v>
      </x:c>
      <x:c r="V114" s="48" t="n">
        <x:f>(Inputs!$I$8+(((A114)+1)/2)*(Inputs!$J$8-Inputs!$I$8))</x:f>
        <x:v>-53.59999999999991</x:v>
      </x:c>
      <x:c r="W114" s="48" t="n">
        <x:f>(Inputs!$I$9+(((A114)+1)/2)*(Inputs!$J$9-Inputs!$I$9))</x:f>
        <x:v>-53.59999999999991</x:v>
      </x:c>
      <x:c r="X114" s="49"/>
      <x:c r="Y114" s="48" t="n">
        <x:f>A114</x:f>
        <x:v>-0.067</x:v>
      </x:c>
      <x:c r="Z114" s="48" t="n">
        <x:f>(Inputs!$H$6+Inputs!$L$6*(((Inputs!$I$6+(((A114)+1)/2)*(Inputs!$J$6-Inputs!$I$6)))/Inputs!$K$6)^2)</x:f>
        <x:v>400.017956</x:v>
      </x:c>
      <x:c r="AA114" s="48" t="n">
        <x:f>(Inputs!$H$7+Inputs!$L$7*(((Inputs!$I$7+(((A114)+1)/2)*(Inputs!$J$7-Inputs!$I$7)))/Inputs!$K$7)^2)</x:f>
        <x:v>36.638484999999996</x:v>
      </x:c>
      <x:c r="AB114" s="48" t="n">
        <x:f>(Inputs!$H$8+Inputs!$L$8*(((Inputs!$I$8+(((A114)+1)/2)*(Inputs!$J$8-Inputs!$I$8)))/Inputs!$K$8)^2)</x:f>
        <x:v>39.331884999999986</x:v>
      </x:c>
      <x:c r="AC114" s="48" t="n">
        <x:f>(Inputs!$H$9+Inputs!$L$9*(((Inputs!$I$9+(((A114)+1)/2)*(Inputs!$J$9-Inputs!$I$9)))/Inputs!$K$9)^2)</x:f>
        <x:v>29.376774999999988</x:v>
      </x:c>
      <x:c r="AD114" s="49"/>
      <x:c r="AE114" s="48" t="n">
        <x:f>A114</x:f>
        <x:v>-0.067</x:v>
      </x:c>
      <x:c r="AF114" s="48" t="n">
        <x:f>(((SQRT(((Inputs!$I$6+(((A114)+1)/2)*(Inputs!$J$6-Inputs!$I$6)))^2+Inputs!$C$6^2+((Inputs!$H$6+Inputs!$L$6*(((Inputs!$I$6+(((A114)+1)/2)*(Inputs!$J$6-Inputs!$I$6)))/Inputs!$K$6)^2))^2))-((Inputs!$H$6+Inputs!$L$6*(((Inputs!$I$6+(((A114)+1)/2)*(Inputs!$J$6-Inputs!$I$6)))/Inputs!$K$6)^2)))*1000/Inputs!$C$12)</x:f>
        <x:v>449.7827715340144</x:v>
      </x:c>
      <x:c r="AG114" s="48" t="n">
        <x:f>(((SQRT(((Inputs!$I$7+(((A114)+1)/2)*(Inputs!$J$7-Inputs!$I$7)))^2+Inputs!$C$6^2+((Inputs!$H$7+Inputs!$L$7*(((Inputs!$I$7+(((A114)+1)/2)*(Inputs!$J$7-Inputs!$I$7)))/Inputs!$K$7)^2))^2))-((Inputs!$H$7+Inputs!$L$7*(((Inputs!$I$7+(((A114)+1)/2)*(Inputs!$J$7-Inputs!$I$7)))/Inputs!$K$7)^2)))*1000/Inputs!$C$12)</x:f>
        <x:v>8530.600680010883</x:v>
      </x:c>
      <x:c r="AH114" s="48" t="n">
        <x:f>(((SQRT(((Inputs!$I$8+(((A114)+1)/2)*(Inputs!$J$8-Inputs!$I$8)))^2+Inputs!$C$6^2+((Inputs!$H$8+Inputs!$L$8*(((Inputs!$I$8+(((A114)+1)/2)*(Inputs!$J$8-Inputs!$I$8)))/Inputs!$K$8)^2))^2))-((Inputs!$H$8+Inputs!$L$8*(((Inputs!$I$8+(((A114)+1)/2)*(Inputs!$J$8-Inputs!$I$8)))/Inputs!$K$8)^2)))*1000/Inputs!$C$12)</x:f>
        <x:v>17806.728641253387</x:v>
      </x:c>
      <x:c r="AI114" s="48" t="n">
        <x:f>(((SQRT(((Inputs!$I$9+(((A114)+1)/2)*(Inputs!$J$9-Inputs!$I$9)))^2+Inputs!$C$6^2+((Inputs!$H$9+Inputs!$L$9*(((Inputs!$I$9+(((A114)+1)/2)*(Inputs!$J$9-Inputs!$I$9)))/Inputs!$K$9)^2))^2))-((Inputs!$H$9+Inputs!$L$9*(((Inputs!$I$9+(((A114)+1)/2)*(Inputs!$J$9-Inputs!$I$9)))/Inputs!$K$9)^2)))*1000/Inputs!$C$12)</x:f>
        <x:v>20595.927822440484</x:v>
      </x:c>
      <x:c r="AJ114" s="49"/>
      <x:c r="AK114" s="48" t="n">
        <x:f>A114</x:f>
        <x:v>-0.067</x:v>
      </x:c>
      <x:c r="AL114" s="48" t="n">
        <x:f>(-2*((1000*((((Inputs!$I$6+(((A114)+1)/2)*(Inputs!$J$6-Inputs!$I$6)))*Inputs!$C$11+((Inputs!$H$6+Inputs!$L$6*(((Inputs!$I$6+(((A114)+1)/2)*(Inputs!$J$6-Inputs!$I$6)))/Inputs!$K$6)^2))*((2*Inputs!$L$6*((Inputs!$I$6+(((A114)+1)/2)*(Inputs!$J$6-Inputs!$I$6)))/(Inputs!$K$6^2)*Inputs!$C$11)))/(SQRT(((Inputs!$I$6+(((A114)+1)/2)*(Inputs!$J$6-Inputs!$I$6)))^2+Inputs!$C$6^2+((Inputs!$H$6+Inputs!$L$6*(((Inputs!$I$6+(((A114)+1)/2)*(Inputs!$J$6-Inputs!$I$6)))/Inputs!$K$6)^2))^2)))))/Inputs!$C$13)</x:f>
        <x:v>30.31194389180796</x:v>
      </x:c>
      <x:c r="AM114" s="48" t="n">
        <x:f>(-2*((1000*((((Inputs!$I$7+(((A114)+1)/2)*(Inputs!$J$7-Inputs!$I$7)))*Inputs!$C$11+((Inputs!$H$7+Inputs!$L$7*(((Inputs!$I$7+(((A114)+1)/2)*(Inputs!$J$7-Inputs!$I$7)))/Inputs!$K$7)^2))*((2*Inputs!$L$7*((Inputs!$I$7+(((A114)+1)/2)*(Inputs!$J$7-Inputs!$I$7)))/(Inputs!$K$7^2)*Inputs!$C$11)))/(SQRT(((Inputs!$I$7+(((A114)+1)/2)*(Inputs!$J$7-Inputs!$I$7)))^2+Inputs!$C$6^2+((Inputs!$H$7+Inputs!$L$7*(((Inputs!$I$7+(((A114)+1)/2)*(Inputs!$J$7-Inputs!$I$7)))/Inputs!$K$7)^2))^2)))))/Inputs!$C$13)</x:f>
        <x:v>965.748749138995</x:v>
      </x:c>
      <x:c r="AN114" s="48" t="n">
        <x:f>(-2*((1000*((((Inputs!$I$8+(((A114)+1)/2)*(Inputs!$J$8-Inputs!$I$8)))*Inputs!$C$11+((Inputs!$H$8+Inputs!$L$8*(((Inputs!$I$8+(((A114)+1)/2)*(Inputs!$J$8-Inputs!$I$8)))/Inputs!$K$8)^2))*((2*Inputs!$L$8*((Inputs!$I$8+(((A114)+1)/2)*(Inputs!$J$8-Inputs!$I$8)))/(Inputs!$K$8^2)*Inputs!$C$11)))/(SQRT(((Inputs!$I$8+(((A114)+1)/2)*(Inputs!$J$8-Inputs!$I$8)))^2+Inputs!$C$6^2+((Inputs!$H$8+Inputs!$L$8*(((Inputs!$I$8+(((A114)+1)/2)*(Inputs!$J$8-Inputs!$I$8)))/Inputs!$K$8)^2))^2)))))/Inputs!$C$13)</x:f>
        <x:v>1350.625084615099</x:v>
      </x:c>
      <x:c r="AO114" s="48" t="n">
        <x:f>(-2*((1000*((((Inputs!$I$9+(((A114)+1)/2)*(Inputs!$J$9-Inputs!$I$9)))*Inputs!$C$11+((Inputs!$H$9+Inputs!$L$9*(((Inputs!$I$9+(((A114)+1)/2)*(Inputs!$J$9-Inputs!$I$9)))/Inputs!$K$9)^2))*((2*Inputs!$L$9*((Inputs!$I$9+(((A114)+1)/2)*(Inputs!$J$9-Inputs!$I$9)))/(Inputs!$K$9^2)*Inputs!$C$11)))/(SQRT(((Inputs!$I$9+(((A114)+1)/2)*(Inputs!$J$9-Inputs!$I$9)))^2+Inputs!$C$6^2+((Inputs!$H$9+Inputs!$L$9*(((Inputs!$I$9+(((A114)+1)/2)*(Inputs!$J$9-Inputs!$I$9)))/Inputs!$K$9)^2))^2)))))/Inputs!$C$13)</x:f>
        <x:v>1414.8947761334084</x:v>
      </x:c>
    </x:row>
    <x:row r="115">
      <x:c r="A115" s="48" t="n">
        <x:f>ROUND(-1+113*2/240,3)</x:f>
        <x:v>-0.058</x:v>
      </x:c>
      <x:c r="B115" s="48" t="n">
        <x:f>IF(OR(Inputs!$F$6=TRUE,Inputs!$F$6="TRUE",Inputs!$F$6=1),(Inputs!$H$6+Inputs!$L$6*(((Inputs!$I$6+(((A115)+1)/2)*(Inputs!$J$6-Inputs!$I$6)))/Inputs!$K$6)^2),NA())</x:f>
        <x:v>400.013456</x:v>
      </x:c>
      <x:c r="C115" s="48" t="n">
        <x:f>IF(OR(Inputs!$F$7=TRUE,Inputs!$F$7="TRUE",Inputs!$F$7=1),(Inputs!$H$7+Inputs!$L$7*(((Inputs!$I$7+(((A115)+1)/2)*(Inputs!$J$7-Inputs!$I$7)))/Inputs!$K$7)^2),NA())</x:f>
        <x:v>36.22786000000001</x:v>
      </x:c>
      <x:c r="D115" s="48" t="n">
        <x:f>IF(OR(Inputs!$F$8=TRUE,Inputs!$F$8="TRUE",Inputs!$F$8=1),(Inputs!$H$8+Inputs!$L$8*(((Inputs!$I$8+(((A115)+1)/2)*(Inputs!$J$8-Inputs!$I$8)))/Inputs!$K$8)^2),NA())</x:f>
        <x:v>38.246260000000014</x:v>
      </x:c>
      <x:c r="E115" s="48" t="n">
        <x:f>IF(OR(Inputs!$F$9=TRUE,Inputs!$F$9="TRUE",Inputs!$F$9=1),(Inputs!$H$9+Inputs!$L$9*(((Inputs!$I$9+(((A115)+1)/2)*(Inputs!$J$9-Inputs!$I$9)))/Inputs!$K$9)^2),NA())</x:f>
        <x:v>28.279900000000012</x:v>
      </x:c>
      <x:c r="F115" s="49"/>
      <x:c r="G115" s="48" t="n">
        <x:f>A115</x:f>
        <x:v>-0.058</x:v>
      </x:c>
      <x:c r="H115" s="48" t="n">
        <x:f>IF(OR(Inputs!$F$6=TRUE,Inputs!$F$6="TRUE",Inputs!$F$6=1),(((SQRT(((Inputs!$I$6+(((A115)+1)/2)*(Inputs!$J$6-Inputs!$I$6)))^2+Inputs!$C$6^2+((Inputs!$H$6+Inputs!$L$6*(((Inputs!$I$6+(((A115)+1)/2)*(Inputs!$J$6-Inputs!$I$6)))/Inputs!$K$6)^2))^2))-((Inputs!$H$6+Inputs!$L$6*(((Inputs!$I$6+(((A115)+1)/2)*(Inputs!$J$6-Inputs!$I$6)))/Inputs!$K$6)^2)))*1000/Inputs!$C$12),NA())</x:f>
        <x:v>446.94947884704686</x:v>
      </x:c>
      <x:c r="I115" s="48" t="n">
        <x:f>IF(OR(Inputs!$F$7=TRUE,Inputs!$F$7="TRUE",Inputs!$F$7=1),(((SQRT(((Inputs!$I$7+(((A115)+1)/2)*(Inputs!$J$7-Inputs!$I$7)))^2+Inputs!$C$6^2+((Inputs!$H$7+Inputs!$L$7*(((Inputs!$I$7+(((A115)+1)/2)*(Inputs!$J$7-Inputs!$I$7)))/Inputs!$K$7)^2))^2))-((Inputs!$H$7+Inputs!$L$7*(((Inputs!$I$7+(((A115)+1)/2)*(Inputs!$J$7-Inputs!$I$7)))/Inputs!$K$7)^2)))*1000/Inputs!$C$12),NA())</x:f>
        <x:v>7600.294898156031</x:v>
      </x:c>
      <x:c r="J115" s="48" t="n">
        <x:f>IF(OR(Inputs!$F$8=TRUE,Inputs!$F$8="TRUE",Inputs!$F$8=1),(((SQRT(((Inputs!$I$8+(((A115)+1)/2)*(Inputs!$J$8-Inputs!$I$8)))^2+Inputs!$C$6^2+((Inputs!$H$8+Inputs!$L$8*(((Inputs!$I$8+(((A115)+1)/2)*(Inputs!$J$8-Inputs!$I$8)))/Inputs!$K$8)^2))^2))-((Inputs!$H$8+Inputs!$L$8*(((Inputs!$I$8+(((A115)+1)/2)*(Inputs!$J$8-Inputs!$I$8)))/Inputs!$K$8)^2)))*1000/Inputs!$C$12),NA())</x:f>
        <x:v>15098.133009026098</x:v>
      </x:c>
      <x:c r="K115" s="48" t="n">
        <x:f>IF(OR(Inputs!$F$9=TRUE,Inputs!$F$9="TRUE",Inputs!$F$9=1),(((SQRT(((Inputs!$I$9+(((A115)+1)/2)*(Inputs!$J$9-Inputs!$I$9)))^2+Inputs!$C$6^2+((Inputs!$H$9+Inputs!$L$9*(((Inputs!$I$9+(((A115)+1)/2)*(Inputs!$J$9-Inputs!$I$9)))/Inputs!$K$9)^2))^2))-((Inputs!$H$9+Inputs!$L$9*(((Inputs!$I$9+(((A115)+1)/2)*(Inputs!$J$9-Inputs!$I$9)))/Inputs!$K$9)^2)))*1000/Inputs!$C$12),NA())</x:f>
        <x:v>17715.77781952596</x:v>
      </x:c>
      <x:c r="L115" s="49"/>
      <x:c r="M115" s="48" t="n">
        <x:f>A115</x:f>
        <x:v>-0.058</x:v>
      </x:c>
      <x:c r="N115" s="48" t="n">
        <x:f>IF(OR(Inputs!$F$6=TRUE,Inputs!$F$6="TRUE",Inputs!$F$6=1),(-2*((1000*((((Inputs!$I$6+(((A115)+1)/2)*(Inputs!$J$6-Inputs!$I$6)))*Inputs!$C$11+((Inputs!$H$6+Inputs!$L$6*(((Inputs!$I$6+(((A115)+1)/2)*(Inputs!$J$6-Inputs!$I$6)))/Inputs!$K$6)^2))*((2*Inputs!$L$6*((Inputs!$I$6+(((A115)+1)/2)*(Inputs!$J$6-Inputs!$I$6)))/(Inputs!$K$6^2)*Inputs!$C$11)))/(SQRT(((Inputs!$I$6+(((A115)+1)/2)*(Inputs!$J$6-Inputs!$I$6)))^2+Inputs!$C$6^2+((Inputs!$H$6+Inputs!$L$6*(((Inputs!$I$6+(((A115)+1)/2)*(Inputs!$J$6-Inputs!$I$6)))/Inputs!$K$6)^2))^2)))))/Inputs!$C$13),NA())</x:f>
        <x:v>26.24067609447554</x:v>
      </x:c>
      <x:c r="O115" s="48" t="n">
        <x:f>IF(OR(Inputs!$F$7=TRUE,Inputs!$F$7="TRUE",Inputs!$F$7=1),(-2*((1000*((((Inputs!$I$7+(((A115)+1)/2)*(Inputs!$J$7-Inputs!$I$7)))*Inputs!$C$11+((Inputs!$H$7+Inputs!$L$7*(((Inputs!$I$7+(((A115)+1)/2)*(Inputs!$J$7-Inputs!$I$7)))/Inputs!$K$7)^2))*((2*Inputs!$L$7*((Inputs!$I$7+(((A115)+1)/2)*(Inputs!$J$7-Inputs!$I$7)))/(Inputs!$K$7^2)*Inputs!$C$11)))/(SQRT(((Inputs!$I$7+(((A115)+1)/2)*(Inputs!$J$7-Inputs!$I$7)))^2+Inputs!$C$6^2+((Inputs!$H$7+Inputs!$L$7*(((Inputs!$I$7+(((A115)+1)/2)*(Inputs!$J$7-Inputs!$I$7)))/Inputs!$K$7)^2))^2)))))/Inputs!$C$13),NA())</x:f>
        <x:v>869.3467268625434</x:v>
      </x:c>
      <x:c r="P115" s="48" t="n">
        <x:f>IF(OR(Inputs!$F$8=TRUE,Inputs!$F$8="TRUE",Inputs!$F$8=1),(-2*((1000*((((Inputs!$I$8+(((A115)+1)/2)*(Inputs!$J$8-Inputs!$I$8)))*Inputs!$C$11+((Inputs!$H$8+Inputs!$L$8*(((Inputs!$I$8+(((A115)+1)/2)*(Inputs!$J$8-Inputs!$I$8)))/Inputs!$K$8)^2))*((2*Inputs!$L$8*((Inputs!$I$8+(((A115)+1)/2)*(Inputs!$J$8-Inputs!$I$8)))/(Inputs!$K$8^2)*Inputs!$C$11)))/(SQRT(((Inputs!$I$8+(((A115)+1)/2)*(Inputs!$J$8-Inputs!$I$8)))^2+Inputs!$C$6^2+((Inputs!$H$8+Inputs!$L$8*(((Inputs!$I$8+(((A115)+1)/2)*(Inputs!$J$8-Inputs!$I$8)))/Inputs!$K$8)^2))^2)))))/Inputs!$C$13),NA())</x:f>
        <x:v>1271.5199874806242</x:v>
      </x:c>
      <x:c r="Q115" s="48" t="n">
        <x:f>IF(OR(Inputs!$F$9=TRUE,Inputs!$F$9="TRUE",Inputs!$F$9=1),(-2*((1000*((((Inputs!$I$9+(((A115)+1)/2)*(Inputs!$J$9-Inputs!$I$9)))*Inputs!$C$11+((Inputs!$H$9+Inputs!$L$9*(((Inputs!$I$9+(((A115)+1)/2)*(Inputs!$J$9-Inputs!$I$9)))/Inputs!$K$9)^2))*((2*Inputs!$L$9*((Inputs!$I$9+(((A115)+1)/2)*(Inputs!$J$9-Inputs!$I$9)))/(Inputs!$K$9^2)*Inputs!$C$11)))/(SQRT(((Inputs!$I$9+(((A115)+1)/2)*(Inputs!$J$9-Inputs!$I$9)))^2+Inputs!$C$6^2+((Inputs!$H$9+Inputs!$L$9*(((Inputs!$I$9+(((A115)+1)/2)*(Inputs!$J$9-Inputs!$I$9)))/Inputs!$K$9)^2))^2)))))/Inputs!$C$13),NA())</x:f>
        <x:v>1348.1281012923387</x:v>
      </x:c>
      <x:c r="R115" s="49"/>
      <x:c r="S115" s="48" t="n">
        <x:f>A115</x:f>
        <x:v>-0.058</x:v>
      </x:c>
      <x:c r="T115" s="48" t="n">
        <x:f>(Inputs!$I$6+(((A115)+1)/2)*(Inputs!$J$6-Inputs!$I$6))</x:f>
        <x:v>-3.480000000000004</x:v>
      </x:c>
      <x:c r="U115" s="48" t="n">
        <x:f>(Inputs!$I$7+(((A115)+1)/2)*(Inputs!$J$7-Inputs!$I$7))</x:f>
        <x:v>-23.200000000000045</x:v>
      </x:c>
      <x:c r="V115" s="48" t="n">
        <x:f>(Inputs!$I$8+(((A115)+1)/2)*(Inputs!$J$8-Inputs!$I$8))</x:f>
        <x:v>-46.40000000000009</x:v>
      </x:c>
      <x:c r="W115" s="48" t="n">
        <x:f>(Inputs!$I$9+(((A115)+1)/2)*(Inputs!$J$9-Inputs!$I$9))</x:f>
        <x:v>-46.40000000000009</x:v>
      </x:c>
      <x:c r="X115" s="49"/>
      <x:c r="Y115" s="48" t="n">
        <x:f>A115</x:f>
        <x:v>-0.058</x:v>
      </x:c>
      <x:c r="Z115" s="48" t="n">
        <x:f>(Inputs!$H$6+Inputs!$L$6*(((Inputs!$I$6+(((A115)+1)/2)*(Inputs!$J$6-Inputs!$I$6)))/Inputs!$K$6)^2)</x:f>
        <x:v>400.013456</x:v>
      </x:c>
      <x:c r="AA115" s="48" t="n">
        <x:f>(Inputs!$H$7+Inputs!$L$7*(((Inputs!$I$7+(((A115)+1)/2)*(Inputs!$J$7-Inputs!$I$7)))/Inputs!$K$7)^2)</x:f>
        <x:v>36.22786000000001</x:v>
      </x:c>
      <x:c r="AB115" s="48" t="n">
        <x:f>(Inputs!$H$8+Inputs!$L$8*(((Inputs!$I$8+(((A115)+1)/2)*(Inputs!$J$8-Inputs!$I$8)))/Inputs!$K$8)^2)</x:f>
        <x:v>38.246260000000014</x:v>
      </x:c>
      <x:c r="AC115" s="48" t="n">
        <x:f>(Inputs!$H$9+Inputs!$L$9*(((Inputs!$I$9+(((A115)+1)/2)*(Inputs!$J$9-Inputs!$I$9)))/Inputs!$K$9)^2)</x:f>
        <x:v>28.279900000000012</x:v>
      </x:c>
      <x:c r="AD115" s="49"/>
      <x:c r="AE115" s="48" t="n">
        <x:f>A115</x:f>
        <x:v>-0.058</x:v>
      </x:c>
      <x:c r="AF115" s="48" t="n">
        <x:f>(((SQRT(((Inputs!$I$6+(((A115)+1)/2)*(Inputs!$J$6-Inputs!$I$6)))^2+Inputs!$C$6^2+((Inputs!$H$6+Inputs!$L$6*(((Inputs!$I$6+(((A115)+1)/2)*(Inputs!$J$6-Inputs!$I$6)))/Inputs!$K$6)^2))^2))-((Inputs!$H$6+Inputs!$L$6*(((Inputs!$I$6+(((A115)+1)/2)*(Inputs!$J$6-Inputs!$I$6)))/Inputs!$K$6)^2)))*1000/Inputs!$C$12)</x:f>
        <x:v>446.94947884704686</x:v>
      </x:c>
      <x:c r="AG115" s="48" t="n">
        <x:f>(((SQRT(((Inputs!$I$7+(((A115)+1)/2)*(Inputs!$J$7-Inputs!$I$7)))^2+Inputs!$C$6^2+((Inputs!$H$7+Inputs!$L$7*(((Inputs!$I$7+(((A115)+1)/2)*(Inputs!$J$7-Inputs!$I$7)))/Inputs!$K$7)^2))^2))-((Inputs!$H$7+Inputs!$L$7*(((Inputs!$I$7+(((A115)+1)/2)*(Inputs!$J$7-Inputs!$I$7)))/Inputs!$K$7)^2)))*1000/Inputs!$C$12)</x:f>
        <x:v>7600.294898156031</x:v>
      </x:c>
      <x:c r="AH115" s="48" t="n">
        <x:f>(((SQRT(((Inputs!$I$8+(((A115)+1)/2)*(Inputs!$J$8-Inputs!$I$8)))^2+Inputs!$C$6^2+((Inputs!$H$8+Inputs!$L$8*(((Inputs!$I$8+(((A115)+1)/2)*(Inputs!$J$8-Inputs!$I$8)))/Inputs!$K$8)^2))^2))-((Inputs!$H$8+Inputs!$L$8*(((Inputs!$I$8+(((A115)+1)/2)*(Inputs!$J$8-Inputs!$I$8)))/Inputs!$K$8)^2)))*1000/Inputs!$C$12)</x:f>
        <x:v>15098.133009026098</x:v>
      </x:c>
      <x:c r="AI115" s="48" t="n">
        <x:f>(((SQRT(((Inputs!$I$9+(((A115)+1)/2)*(Inputs!$J$9-Inputs!$I$9)))^2+Inputs!$C$6^2+((Inputs!$H$9+Inputs!$L$9*(((Inputs!$I$9+(((A115)+1)/2)*(Inputs!$J$9-Inputs!$I$9)))/Inputs!$K$9)^2))^2))-((Inputs!$H$9+Inputs!$L$9*(((Inputs!$I$9+(((A115)+1)/2)*(Inputs!$J$9-Inputs!$I$9)))/Inputs!$K$9)^2)))*1000/Inputs!$C$12)</x:f>
        <x:v>17715.77781952596</x:v>
      </x:c>
      <x:c r="AJ115" s="49"/>
      <x:c r="AK115" s="48" t="n">
        <x:f>A115</x:f>
        <x:v>-0.058</x:v>
      </x:c>
      <x:c r="AL115" s="48" t="n">
        <x:f>(-2*((1000*((((Inputs!$I$6+(((A115)+1)/2)*(Inputs!$J$6-Inputs!$I$6)))*Inputs!$C$11+((Inputs!$H$6+Inputs!$L$6*(((Inputs!$I$6+(((A115)+1)/2)*(Inputs!$J$6-Inputs!$I$6)))/Inputs!$K$6)^2))*((2*Inputs!$L$6*((Inputs!$I$6+(((A115)+1)/2)*(Inputs!$J$6-Inputs!$I$6)))/(Inputs!$K$6^2)*Inputs!$C$11)))/(SQRT(((Inputs!$I$6+(((A115)+1)/2)*(Inputs!$J$6-Inputs!$I$6)))^2+Inputs!$C$6^2+((Inputs!$H$6+Inputs!$L$6*(((Inputs!$I$6+(((A115)+1)/2)*(Inputs!$J$6-Inputs!$I$6)))/Inputs!$K$6)^2))^2)))))/Inputs!$C$13)</x:f>
        <x:v>26.24067609447554</x:v>
      </x:c>
      <x:c r="AM115" s="48" t="n">
        <x:f>(-2*((1000*((((Inputs!$I$7+(((A115)+1)/2)*(Inputs!$J$7-Inputs!$I$7)))*Inputs!$C$11+((Inputs!$H$7+Inputs!$L$7*(((Inputs!$I$7+(((A115)+1)/2)*(Inputs!$J$7-Inputs!$I$7)))/Inputs!$K$7)^2))*((2*Inputs!$L$7*((Inputs!$I$7+(((A115)+1)/2)*(Inputs!$J$7-Inputs!$I$7)))/(Inputs!$K$7^2)*Inputs!$C$11)))/(SQRT(((Inputs!$I$7+(((A115)+1)/2)*(Inputs!$J$7-Inputs!$I$7)))^2+Inputs!$C$6^2+((Inputs!$H$7+Inputs!$L$7*(((Inputs!$I$7+(((A115)+1)/2)*(Inputs!$J$7-Inputs!$I$7)))/Inputs!$K$7)^2))^2)))))/Inputs!$C$13)</x:f>
        <x:v>869.3467268625434</x:v>
      </x:c>
      <x:c r="AN115" s="48" t="n">
        <x:f>(-2*((1000*((((Inputs!$I$8+(((A115)+1)/2)*(Inputs!$J$8-Inputs!$I$8)))*Inputs!$C$11+((Inputs!$H$8+Inputs!$L$8*(((Inputs!$I$8+(((A115)+1)/2)*(Inputs!$J$8-Inputs!$I$8)))/Inputs!$K$8)^2))*((2*Inputs!$L$8*((Inputs!$I$8+(((A115)+1)/2)*(Inputs!$J$8-Inputs!$I$8)))/(Inputs!$K$8^2)*Inputs!$C$11)))/(SQRT(((Inputs!$I$8+(((A115)+1)/2)*(Inputs!$J$8-Inputs!$I$8)))^2+Inputs!$C$6^2+((Inputs!$H$8+Inputs!$L$8*(((Inputs!$I$8+(((A115)+1)/2)*(Inputs!$J$8-Inputs!$I$8)))/Inputs!$K$8)^2))^2)))))/Inputs!$C$13)</x:f>
        <x:v>1271.5199874806242</x:v>
      </x:c>
      <x:c r="AO115" s="48" t="n">
        <x:f>(-2*((1000*((((Inputs!$I$9+(((A115)+1)/2)*(Inputs!$J$9-Inputs!$I$9)))*Inputs!$C$11+((Inputs!$H$9+Inputs!$L$9*(((Inputs!$I$9+(((A115)+1)/2)*(Inputs!$J$9-Inputs!$I$9)))/Inputs!$K$9)^2))*((2*Inputs!$L$9*((Inputs!$I$9+(((A115)+1)/2)*(Inputs!$J$9-Inputs!$I$9)))/(Inputs!$K$9^2)*Inputs!$C$11)))/(SQRT(((Inputs!$I$9+(((A115)+1)/2)*(Inputs!$J$9-Inputs!$I$9)))^2+Inputs!$C$6^2+((Inputs!$H$9+Inputs!$L$9*(((Inputs!$I$9+(((A115)+1)/2)*(Inputs!$J$9-Inputs!$I$9)))/Inputs!$K$9)^2))^2)))))/Inputs!$C$13)</x:f>
        <x:v>1348.1281012923387</x:v>
      </x:c>
    </x:row>
    <x:row r="116">
      <x:c r="A116" s="48" t="n">
        <x:f>ROUND(-1+114*2/240,3)</x:f>
        <x:v>-0.05</x:v>
      </x:c>
      <x:c r="B116" s="48" t="n">
        <x:f>IF(OR(Inputs!$F$6=TRUE,Inputs!$F$6="TRUE",Inputs!$F$6=1),(Inputs!$H$6+Inputs!$L$6*(((Inputs!$I$6+(((A116)+1)/2)*(Inputs!$J$6-Inputs!$I$6)))/Inputs!$K$6)^2),NA())</x:f>
        <x:v>400.01</x:v>
      </x:c>
      <x:c r="C116" s="48" t="n">
        <x:f>IF(OR(Inputs!$F$7=TRUE,Inputs!$F$7="TRUE",Inputs!$F$7=1),(Inputs!$H$7+Inputs!$L$7*(((Inputs!$I$7+(((A116)+1)/2)*(Inputs!$J$7-Inputs!$I$7)))/Inputs!$K$7)^2),NA())</x:f>
        <x:v>35.9125</x:v>
      </x:c>
      <x:c r="D116" s="48" t="n">
        <x:f>IF(OR(Inputs!$F$8=TRUE,Inputs!$F$8="TRUE",Inputs!$F$8=1),(Inputs!$H$8+Inputs!$L$8*(((Inputs!$I$8+(((A116)+1)/2)*(Inputs!$J$8-Inputs!$I$8)))/Inputs!$K$8)^2),NA())</x:f>
        <x:v>37.4125</x:v>
      </x:c>
      <x:c r="E116" s="48" t="n">
        <x:f>IF(OR(Inputs!$F$9=TRUE,Inputs!$F$9="TRUE",Inputs!$F$9=1),(Inputs!$H$9+Inputs!$L$9*(((Inputs!$I$9+(((A116)+1)/2)*(Inputs!$J$9-Inputs!$I$9)))/Inputs!$K$9)^2),NA())</x:f>
        <x:v>27.4375</x:v>
      </x:c>
      <x:c r="F116" s="49"/>
      <x:c r="G116" s="48" t="n">
        <x:f>A116</x:f>
        <x:v>-0.05</x:v>
      </x:c>
      <x:c r="H116" s="48" t="n">
        <x:f>IF(OR(Inputs!$F$6=TRUE,Inputs!$F$6="TRUE",Inputs!$F$6=1),(((SQRT(((Inputs!$I$6+(((A116)+1)/2)*(Inputs!$J$6-Inputs!$I$6)))^2+Inputs!$C$6^2+((Inputs!$H$6+Inputs!$L$6*(((Inputs!$I$6+(((A116)+1)/2)*(Inputs!$J$6-Inputs!$I$6)))/Inputs!$K$6)^2))^2))-((Inputs!$H$6+Inputs!$L$6*(((Inputs!$I$6+(((A116)+1)/2)*(Inputs!$J$6-Inputs!$I$6)))/Inputs!$K$6)^2)))*1000/Inputs!$C$12),NA())</x:f>
        <x:v>444.77344266602285</x:v>
      </x:c>
      <x:c r="I116" s="48" t="n">
        <x:f>IF(OR(Inputs!$F$7=TRUE,Inputs!$F$7="TRUE",Inputs!$F$7=1),(((SQRT(((Inputs!$I$7+(((A116)+1)/2)*(Inputs!$J$7-Inputs!$I$7)))^2+Inputs!$C$6^2+((Inputs!$H$7+Inputs!$L$7*(((Inputs!$I$7+(((A116)+1)/2)*(Inputs!$J$7-Inputs!$I$7)))/Inputs!$K$7)^2))^2))-((Inputs!$H$7+Inputs!$L$7*(((Inputs!$I$7+(((A116)+1)/2)*(Inputs!$J$7-Inputs!$I$7)))/Inputs!$K$7)^2)))*1000/Inputs!$C$12),NA())</x:f>
        <x:v>6853.3195478135085</x:v>
      </x:c>
      <x:c r="J116" s="48" t="n">
        <x:f>IF(OR(Inputs!$F$8=TRUE,Inputs!$F$8="TRUE",Inputs!$F$8=1),(((SQRT(((Inputs!$I$8+(((A116)+1)/2)*(Inputs!$J$8-Inputs!$I$8)))^2+Inputs!$C$6^2+((Inputs!$H$8+Inputs!$L$8*(((Inputs!$I$8+(((A116)+1)/2)*(Inputs!$J$8-Inputs!$I$8)))/Inputs!$K$8)^2))^2))-((Inputs!$H$8+Inputs!$L$8*(((Inputs!$I$8+(((A116)+1)/2)*(Inputs!$J$8-Inputs!$I$8)))/Inputs!$K$8)^2)))*1000/Inputs!$C$12),NA())</x:f>
        <x:v>12805.023174823551</x:v>
      </x:c>
      <x:c r="K116" s="48" t="n">
        <x:f>IF(OR(Inputs!$F$9=TRUE,Inputs!$F$9="TRUE",Inputs!$F$9=1),(((SQRT(((Inputs!$I$9+(((A116)+1)/2)*(Inputs!$J$9-Inputs!$I$9)))^2+Inputs!$C$6^2+((Inputs!$H$9+Inputs!$L$9*(((Inputs!$I$9+(((A116)+1)/2)*(Inputs!$J$9-Inputs!$I$9)))/Inputs!$K$9)^2))^2))-((Inputs!$H$9+Inputs!$L$9*(((Inputs!$I$9+(((A116)+1)/2)*(Inputs!$J$9-Inputs!$I$9)))/Inputs!$K$9)^2)))*1000/Inputs!$C$12),NA())</x:f>
        <x:v>15242.62495473365</x:v>
      </x:c>
      <x:c r="L116" s="49"/>
      <x:c r="M116" s="48" t="n">
        <x:f>A116</x:f>
        <x:v>-0.05</x:v>
      </x:c>
      <x:c r="N116" s="48" t="n">
        <x:f>IF(OR(Inputs!$F$6=TRUE,Inputs!$F$6="TRUE",Inputs!$F$6=1),(-2*((1000*((((Inputs!$I$6+(((A116)+1)/2)*(Inputs!$J$6-Inputs!$I$6)))*Inputs!$C$11+((Inputs!$H$6+Inputs!$L$6*(((Inputs!$I$6+(((A116)+1)/2)*(Inputs!$J$6-Inputs!$I$6)))/Inputs!$K$6)^2))*((2*Inputs!$L$6*((Inputs!$I$6+(((A116)+1)/2)*(Inputs!$J$6-Inputs!$I$6)))/(Inputs!$K$6^2)*Inputs!$C$11)))/(SQRT(((Inputs!$I$6+(((A116)+1)/2)*(Inputs!$J$6-Inputs!$I$6)))^2+Inputs!$C$6^2+((Inputs!$H$6+Inputs!$L$6*(((Inputs!$I$6+(((A116)+1)/2)*(Inputs!$J$6-Inputs!$I$6)))/Inputs!$K$6)^2))^2)))))/Inputs!$C$13),NA())</x:f>
        <x:v>22.621594188229295</x:v>
      </x:c>
      <x:c r="O116" s="48" t="n">
        <x:f>IF(OR(Inputs!$F$7=TRUE,Inputs!$F$7="TRUE",Inputs!$F$7=1),(-2*((1000*((((Inputs!$I$7+(((A116)+1)/2)*(Inputs!$J$7-Inputs!$I$7)))*Inputs!$C$11+((Inputs!$H$7+Inputs!$L$7*(((Inputs!$I$7+(((A116)+1)/2)*(Inputs!$J$7-Inputs!$I$7)))/Inputs!$K$7)^2))*((2*Inputs!$L$7*((Inputs!$I$7+(((A116)+1)/2)*(Inputs!$J$7-Inputs!$I$7)))/(Inputs!$K$7^2)*Inputs!$C$11)))/(SQRT(((Inputs!$I$7+(((A116)+1)/2)*(Inputs!$J$7-Inputs!$I$7)))^2+Inputs!$C$6^2+((Inputs!$H$7+Inputs!$L$7*(((Inputs!$I$7+(((A116)+1)/2)*(Inputs!$J$7-Inputs!$I$7)))/Inputs!$K$7)^2))^2)))))/Inputs!$C$13),NA())</x:f>
        <x:v>774.1038130603833</x:v>
      </x:c>
      <x:c r="P116" s="48" t="n">
        <x:f>IF(OR(Inputs!$F$8=TRUE,Inputs!$F$8="TRUE",Inputs!$F$8=1),(-2*((1000*((((Inputs!$I$8+(((A116)+1)/2)*(Inputs!$J$8-Inputs!$I$8)))*Inputs!$C$11+((Inputs!$H$8+Inputs!$L$8*(((Inputs!$I$8+(((A116)+1)/2)*(Inputs!$J$8-Inputs!$I$8)))/Inputs!$K$8)^2))*((2*Inputs!$L$8*((Inputs!$I$8+(((A116)+1)/2)*(Inputs!$J$8-Inputs!$I$8)))/(Inputs!$K$8^2)*Inputs!$C$11)))/(SQRT(((Inputs!$I$8+(((A116)+1)/2)*(Inputs!$J$8-Inputs!$I$8)))^2+Inputs!$C$6^2+((Inputs!$H$8+Inputs!$L$8*(((Inputs!$I$8+(((A116)+1)/2)*(Inputs!$J$8-Inputs!$I$8)))/Inputs!$K$8)^2))^2)))))/Inputs!$C$13),NA())</x:f>
        <x:v>1182.9597295509748</x:v>
      </x:c>
      <x:c r="Q116" s="48" t="n">
        <x:f>IF(OR(Inputs!$F$9=TRUE,Inputs!$F$9="TRUE",Inputs!$F$9=1),(-2*((1000*((((Inputs!$I$9+(((A116)+1)/2)*(Inputs!$J$9-Inputs!$I$9)))*Inputs!$C$11+((Inputs!$H$9+Inputs!$L$9*(((Inputs!$I$9+(((A116)+1)/2)*(Inputs!$J$9-Inputs!$I$9)))/Inputs!$K$9)^2))*((2*Inputs!$L$9*((Inputs!$I$9+(((A116)+1)/2)*(Inputs!$J$9-Inputs!$I$9)))/(Inputs!$K$9^2)*Inputs!$C$11)))/(SQRT(((Inputs!$I$9+(((A116)+1)/2)*(Inputs!$J$9-Inputs!$I$9)))^2+Inputs!$C$6^2+((Inputs!$H$9+Inputs!$L$9*(((Inputs!$I$9+(((A116)+1)/2)*(Inputs!$J$9-Inputs!$I$9)))/Inputs!$K$9)^2))^2)))))/Inputs!$C$13),NA())</x:f>
        <x:v>1270.8651286470044</x:v>
      </x:c>
      <x:c r="R116" s="49"/>
      <x:c r="S116" s="48" t="n">
        <x:f>A116</x:f>
        <x:v>-0.05</x:v>
      </x:c>
      <x:c r="T116" s="48" t="n">
        <x:f>(Inputs!$I$6+(((A116)+1)/2)*(Inputs!$J$6-Inputs!$I$6))</x:f>
        <x:v>-3</x:v>
      </x:c>
      <x:c r="U116" s="48" t="n">
        <x:f>(Inputs!$I$7+(((A116)+1)/2)*(Inputs!$J$7-Inputs!$I$7))</x:f>
        <x:v>-20</x:v>
      </x:c>
      <x:c r="V116" s="48" t="n">
        <x:f>(Inputs!$I$8+(((A116)+1)/2)*(Inputs!$J$8-Inputs!$I$8))</x:f>
        <x:v>-40</x:v>
      </x:c>
      <x:c r="W116" s="48" t="n">
        <x:f>(Inputs!$I$9+(((A116)+1)/2)*(Inputs!$J$9-Inputs!$I$9))</x:f>
        <x:v>-40</x:v>
      </x:c>
      <x:c r="X116" s="49"/>
      <x:c r="Y116" s="48" t="n">
        <x:f>A116</x:f>
        <x:v>-0.05</x:v>
      </x:c>
      <x:c r="Z116" s="48" t="n">
        <x:f>(Inputs!$H$6+Inputs!$L$6*(((Inputs!$I$6+(((A116)+1)/2)*(Inputs!$J$6-Inputs!$I$6)))/Inputs!$K$6)^2)</x:f>
        <x:v>400.01</x:v>
      </x:c>
      <x:c r="AA116" s="48" t="n">
        <x:f>(Inputs!$H$7+Inputs!$L$7*(((Inputs!$I$7+(((A116)+1)/2)*(Inputs!$J$7-Inputs!$I$7)))/Inputs!$K$7)^2)</x:f>
        <x:v>35.9125</x:v>
      </x:c>
      <x:c r="AB116" s="48" t="n">
        <x:f>(Inputs!$H$8+Inputs!$L$8*(((Inputs!$I$8+(((A116)+1)/2)*(Inputs!$J$8-Inputs!$I$8)))/Inputs!$K$8)^2)</x:f>
        <x:v>37.4125</x:v>
      </x:c>
      <x:c r="AC116" s="48" t="n">
        <x:f>(Inputs!$H$9+Inputs!$L$9*(((Inputs!$I$9+(((A116)+1)/2)*(Inputs!$J$9-Inputs!$I$9)))/Inputs!$K$9)^2)</x:f>
        <x:v>27.4375</x:v>
      </x:c>
      <x:c r="AD116" s="49"/>
      <x:c r="AE116" s="48" t="n">
        <x:f>A116</x:f>
        <x:v>-0.05</x:v>
      </x:c>
      <x:c r="AF116" s="48" t="n">
        <x:f>(((SQRT(((Inputs!$I$6+(((A116)+1)/2)*(Inputs!$J$6-Inputs!$I$6)))^2+Inputs!$C$6^2+((Inputs!$H$6+Inputs!$L$6*(((Inputs!$I$6+(((A116)+1)/2)*(Inputs!$J$6-Inputs!$I$6)))/Inputs!$K$6)^2))^2))-((Inputs!$H$6+Inputs!$L$6*(((Inputs!$I$6+(((A116)+1)/2)*(Inputs!$J$6-Inputs!$I$6)))/Inputs!$K$6)^2)))*1000/Inputs!$C$12)</x:f>
        <x:v>444.77344266602285</x:v>
      </x:c>
      <x:c r="AG116" s="48" t="n">
        <x:f>(((SQRT(((Inputs!$I$7+(((A116)+1)/2)*(Inputs!$J$7-Inputs!$I$7)))^2+Inputs!$C$6^2+((Inputs!$H$7+Inputs!$L$7*(((Inputs!$I$7+(((A116)+1)/2)*(Inputs!$J$7-Inputs!$I$7)))/Inputs!$K$7)^2))^2))-((Inputs!$H$7+Inputs!$L$7*(((Inputs!$I$7+(((A116)+1)/2)*(Inputs!$J$7-Inputs!$I$7)))/Inputs!$K$7)^2)))*1000/Inputs!$C$12)</x:f>
        <x:v>6853.3195478135085</x:v>
      </x:c>
      <x:c r="AH116" s="48" t="n">
        <x:f>(((SQRT(((Inputs!$I$8+(((A116)+1)/2)*(Inputs!$J$8-Inputs!$I$8)))^2+Inputs!$C$6^2+((Inputs!$H$8+Inputs!$L$8*(((Inputs!$I$8+(((A116)+1)/2)*(Inputs!$J$8-Inputs!$I$8)))/Inputs!$K$8)^2))^2))-((Inputs!$H$8+Inputs!$L$8*(((Inputs!$I$8+(((A116)+1)/2)*(Inputs!$J$8-Inputs!$I$8)))/Inputs!$K$8)^2)))*1000/Inputs!$C$12)</x:f>
        <x:v>12805.023174823551</x:v>
      </x:c>
      <x:c r="AI116" s="48" t="n">
        <x:f>(((SQRT(((Inputs!$I$9+(((A116)+1)/2)*(Inputs!$J$9-Inputs!$I$9)))^2+Inputs!$C$6^2+((Inputs!$H$9+Inputs!$L$9*(((Inputs!$I$9+(((A116)+1)/2)*(Inputs!$J$9-Inputs!$I$9)))/Inputs!$K$9)^2))^2))-((Inputs!$H$9+Inputs!$L$9*(((Inputs!$I$9+(((A116)+1)/2)*(Inputs!$J$9-Inputs!$I$9)))/Inputs!$K$9)^2)))*1000/Inputs!$C$12)</x:f>
        <x:v>15242.62495473365</x:v>
      </x:c>
      <x:c r="AJ116" s="49"/>
      <x:c r="AK116" s="48" t="n">
        <x:f>A116</x:f>
        <x:v>-0.05</x:v>
      </x:c>
      <x:c r="AL116" s="48" t="n">
        <x:f>(-2*((1000*((((Inputs!$I$6+(((A116)+1)/2)*(Inputs!$J$6-Inputs!$I$6)))*Inputs!$C$11+((Inputs!$H$6+Inputs!$L$6*(((Inputs!$I$6+(((A116)+1)/2)*(Inputs!$J$6-Inputs!$I$6)))/Inputs!$K$6)^2))*((2*Inputs!$L$6*((Inputs!$I$6+(((A116)+1)/2)*(Inputs!$J$6-Inputs!$I$6)))/(Inputs!$K$6^2)*Inputs!$C$11)))/(SQRT(((Inputs!$I$6+(((A116)+1)/2)*(Inputs!$J$6-Inputs!$I$6)))^2+Inputs!$C$6^2+((Inputs!$H$6+Inputs!$L$6*(((Inputs!$I$6+(((A116)+1)/2)*(Inputs!$J$6-Inputs!$I$6)))/Inputs!$K$6)^2))^2)))))/Inputs!$C$13)</x:f>
        <x:v>22.621594188229295</x:v>
      </x:c>
      <x:c r="AM116" s="48" t="n">
        <x:f>(-2*((1000*((((Inputs!$I$7+(((A116)+1)/2)*(Inputs!$J$7-Inputs!$I$7)))*Inputs!$C$11+((Inputs!$H$7+Inputs!$L$7*(((Inputs!$I$7+(((A116)+1)/2)*(Inputs!$J$7-Inputs!$I$7)))/Inputs!$K$7)^2))*((2*Inputs!$L$7*((Inputs!$I$7+(((A116)+1)/2)*(Inputs!$J$7-Inputs!$I$7)))/(Inputs!$K$7^2)*Inputs!$C$11)))/(SQRT(((Inputs!$I$7+(((A116)+1)/2)*(Inputs!$J$7-Inputs!$I$7)))^2+Inputs!$C$6^2+((Inputs!$H$7+Inputs!$L$7*(((Inputs!$I$7+(((A116)+1)/2)*(Inputs!$J$7-Inputs!$I$7)))/Inputs!$K$7)^2))^2)))))/Inputs!$C$13)</x:f>
        <x:v>774.1038130603833</x:v>
      </x:c>
      <x:c r="AN116" s="48" t="n">
        <x:f>(-2*((1000*((((Inputs!$I$8+(((A116)+1)/2)*(Inputs!$J$8-Inputs!$I$8)))*Inputs!$C$11+((Inputs!$H$8+Inputs!$L$8*(((Inputs!$I$8+(((A116)+1)/2)*(Inputs!$J$8-Inputs!$I$8)))/Inputs!$K$8)^2))*((2*Inputs!$L$8*((Inputs!$I$8+(((A116)+1)/2)*(Inputs!$J$8-Inputs!$I$8)))/(Inputs!$K$8^2)*Inputs!$C$11)))/(SQRT(((Inputs!$I$8+(((A116)+1)/2)*(Inputs!$J$8-Inputs!$I$8)))^2+Inputs!$C$6^2+((Inputs!$H$8+Inputs!$L$8*(((Inputs!$I$8+(((A116)+1)/2)*(Inputs!$J$8-Inputs!$I$8)))/Inputs!$K$8)^2))^2)))))/Inputs!$C$13)</x:f>
        <x:v>1182.9597295509748</x:v>
      </x:c>
      <x:c r="AO116" s="48" t="n">
        <x:f>(-2*((1000*((((Inputs!$I$9+(((A116)+1)/2)*(Inputs!$J$9-Inputs!$I$9)))*Inputs!$C$11+((Inputs!$H$9+Inputs!$L$9*(((Inputs!$I$9+(((A116)+1)/2)*(Inputs!$J$9-Inputs!$I$9)))/Inputs!$K$9)^2))*((2*Inputs!$L$9*((Inputs!$I$9+(((A116)+1)/2)*(Inputs!$J$9-Inputs!$I$9)))/(Inputs!$K$9^2)*Inputs!$C$11)))/(SQRT(((Inputs!$I$9+(((A116)+1)/2)*(Inputs!$J$9-Inputs!$I$9)))^2+Inputs!$C$6^2+((Inputs!$H$9+Inputs!$L$9*(((Inputs!$I$9+(((A116)+1)/2)*(Inputs!$J$9-Inputs!$I$9)))/Inputs!$K$9)^2))^2)))))/Inputs!$C$13)</x:f>
        <x:v>1270.8651286470044</x:v>
      </x:c>
    </x:row>
    <x:row r="117">
      <x:c r="A117" s="48" t="n">
        <x:f>ROUND(-1+115*2/240,3)</x:f>
        <x:v>-0.042</x:v>
      </x:c>
      <x:c r="B117" s="48" t="n">
        <x:f>IF(OR(Inputs!$F$6=TRUE,Inputs!$F$6="TRUE",Inputs!$F$6=1),(Inputs!$H$6+Inputs!$L$6*(((Inputs!$I$6+(((A117)+1)/2)*(Inputs!$J$6-Inputs!$I$6)))/Inputs!$K$6)^2),NA())</x:f>
        <x:v>400.007056</x:v>
      </x:c>
      <x:c r="C117" s="48" t="n">
        <x:f>IF(OR(Inputs!$F$7=TRUE,Inputs!$F$7="TRUE",Inputs!$F$7=1),(Inputs!$H$7+Inputs!$L$7*(((Inputs!$I$7+(((A117)+1)/2)*(Inputs!$J$7-Inputs!$I$7)))/Inputs!$K$7)^2),NA())</x:f>
        <x:v>35.643860000000004</x:v>
      </x:c>
      <x:c r="D117" s="48" t="n">
        <x:f>IF(OR(Inputs!$F$8=TRUE,Inputs!$F$8="TRUE",Inputs!$F$8=1),(Inputs!$H$8+Inputs!$L$8*(((Inputs!$I$8+(((A117)+1)/2)*(Inputs!$J$8-Inputs!$I$8)))/Inputs!$K$8)^2),NA())</x:f>
        <x:v>36.70226</x:v>
      </x:c>
      <x:c r="E117" s="48" t="n">
        <x:f>IF(OR(Inputs!$F$9=TRUE,Inputs!$F$9="TRUE",Inputs!$F$9=1),(Inputs!$H$9+Inputs!$L$9*(((Inputs!$I$9+(((A117)+1)/2)*(Inputs!$J$9-Inputs!$I$9)))/Inputs!$K$9)^2),NA())</x:f>
        <x:v>26.719900000000003</x:v>
      </x:c>
      <x:c r="F117" s="49"/>
      <x:c r="G117" s="48" t="n">
        <x:f>A117</x:f>
        <x:v>-0.042</x:v>
      </x:c>
      <x:c r="H117" s="48" t="n">
        <x:f>IF(OR(Inputs!$F$6=TRUE,Inputs!$F$6="TRUE",Inputs!$F$6=1),(((SQRT(((Inputs!$I$6+(((A117)+1)/2)*(Inputs!$J$6-Inputs!$I$6)))^2+Inputs!$C$6^2+((Inputs!$H$6+Inputs!$L$6*(((Inputs!$I$6+(((A117)+1)/2)*(Inputs!$J$6-Inputs!$I$6)))/Inputs!$K$6)^2))^2))-((Inputs!$H$6+Inputs!$L$6*(((Inputs!$I$6+(((A117)+1)/2)*(Inputs!$J$6-Inputs!$I$6)))/Inputs!$K$6)^2)))*1000/Inputs!$C$12),NA())</x:f>
        <x:v>442.91973602870905</x:v>
      </x:c>
      <x:c r="I117" s="48" t="n">
        <x:f>IF(OR(Inputs!$F$7=TRUE,Inputs!$F$7="TRUE",Inputs!$F$7=1),(((SQRT(((Inputs!$I$7+(((A117)+1)/2)*(Inputs!$J$7-Inputs!$I$7)))^2+Inputs!$C$6^2+((Inputs!$H$7+Inputs!$L$7*(((Inputs!$I$7+(((A117)+1)/2)*(Inputs!$J$7-Inputs!$I$7)))/Inputs!$K$7)^2))^2))-((Inputs!$H$7+Inputs!$L$7*(((Inputs!$I$7+(((A117)+1)/2)*(Inputs!$J$7-Inputs!$I$7)))/Inputs!$K$7)^2)))*1000/Inputs!$C$12),NA())</x:f>
        <x:v>6192.268859277553</x:v>
      </x:c>
      <x:c r="J117" s="48" t="n">
        <x:f>IF(OR(Inputs!$F$8=TRUE,Inputs!$F$8="TRUE",Inputs!$F$8=1),(((SQRT(((Inputs!$I$8+(((A117)+1)/2)*(Inputs!$J$8-Inputs!$I$8)))^2+Inputs!$C$6^2+((Inputs!$H$8+Inputs!$L$8*(((Inputs!$I$8+(((A117)+1)/2)*(Inputs!$J$8-Inputs!$I$8)))/Inputs!$K$8)^2))^2))-((Inputs!$H$8+Inputs!$L$8*(((Inputs!$I$8+(((A117)+1)/2)*(Inputs!$J$8-Inputs!$I$8)))/Inputs!$K$8)^2)))*1000/Inputs!$C$12),NA())</x:f>
        <x:v>10665.452716017111</x:v>
      </x:c>
      <x:c r="K117" s="48" t="n">
        <x:f>IF(OR(Inputs!$F$9=TRUE,Inputs!$F$9="TRUE",Inputs!$F$9=1),(((SQRT(((Inputs!$I$9+(((A117)+1)/2)*(Inputs!$J$9-Inputs!$I$9)))^2+Inputs!$C$6^2+((Inputs!$H$9+Inputs!$L$9*(((Inputs!$I$9+(((A117)+1)/2)*(Inputs!$J$9-Inputs!$I$9)))/Inputs!$K$9)^2))^2))-((Inputs!$H$9+Inputs!$L$9*(((Inputs!$I$9+(((A117)+1)/2)*(Inputs!$J$9-Inputs!$I$9)))/Inputs!$K$9)^2)))*1000/Inputs!$C$12),NA())</x:f>
        <x:v>12897.861981730344</x:v>
      </x:c>
      <x:c r="L117" s="49"/>
      <x:c r="M117" s="48" t="n">
        <x:f>A117</x:f>
        <x:v>-0.042</x:v>
      </x:c>
      <x:c r="N117" s="48" t="n">
        <x:f>IF(OR(Inputs!$F$6=TRUE,Inputs!$F$6="TRUE",Inputs!$F$6=1),(-2*((1000*((((Inputs!$I$6+(((A117)+1)/2)*(Inputs!$J$6-Inputs!$I$6)))*Inputs!$C$11+((Inputs!$H$6+Inputs!$L$6*(((Inputs!$I$6+(((A117)+1)/2)*(Inputs!$J$6-Inputs!$I$6)))/Inputs!$K$6)^2))*((2*Inputs!$L$6*((Inputs!$I$6+(((A117)+1)/2)*(Inputs!$J$6-Inputs!$I$6)))/(Inputs!$K$6^2)*Inputs!$C$11)))/(SQRT(((Inputs!$I$6+(((A117)+1)/2)*(Inputs!$J$6-Inputs!$I$6)))^2+Inputs!$C$6^2+((Inputs!$H$6+Inputs!$L$6*(((Inputs!$I$6+(((A117)+1)/2)*(Inputs!$J$6-Inputs!$I$6)))/Inputs!$K$6)^2))^2)))))/Inputs!$C$13),NA())</x:f>
        <x:v>19.002369319013233</x:v>
      </x:c>
      <x:c r="O117" s="48" t="n">
        <x:f>IF(OR(Inputs!$F$7=TRUE,Inputs!$F$7="TRUE",Inputs!$F$7=1),(-2*((1000*((((Inputs!$I$7+(((A117)+1)/2)*(Inputs!$J$7-Inputs!$I$7)))*Inputs!$C$11+((Inputs!$H$7+Inputs!$L$7*(((Inputs!$I$7+(((A117)+1)/2)*(Inputs!$J$7-Inputs!$I$7)))/Inputs!$K$7)^2))*((2*Inputs!$L$7*((Inputs!$I$7+(((A117)+1)/2)*(Inputs!$J$7-Inputs!$I$7)))/(Inputs!$K$7^2)*Inputs!$C$11)))/(SQRT(((Inputs!$I$7+(((A117)+1)/2)*(Inputs!$J$7-Inputs!$I$7)))^2+Inputs!$C$6^2+((Inputs!$H$7+Inputs!$L$7*(((Inputs!$I$7+(((A117)+1)/2)*(Inputs!$J$7-Inputs!$I$7)))/Inputs!$K$7)^2))^2)))))/Inputs!$C$13),NA())</x:f>
        <x:v>669.6802164390888</x:v>
      </x:c>
      <x:c r="P117" s="48" t="n">
        <x:f>IF(OR(Inputs!$F$8=TRUE,Inputs!$F$8="TRUE",Inputs!$F$8=1),(-2*((1000*((((Inputs!$I$8+(((A117)+1)/2)*(Inputs!$J$8-Inputs!$I$8)))*Inputs!$C$11+((Inputs!$H$8+Inputs!$L$8*(((Inputs!$I$8+(((A117)+1)/2)*(Inputs!$J$8-Inputs!$I$8)))/Inputs!$K$8)^2))*((2*Inputs!$L$8*((Inputs!$I$8+(((A117)+1)/2)*(Inputs!$J$8-Inputs!$I$8)))/(Inputs!$K$8^2)*Inputs!$C$11)))/(SQRT(((Inputs!$I$8+(((A117)+1)/2)*(Inputs!$J$8-Inputs!$I$8)))^2+Inputs!$C$6^2+((Inputs!$H$8+Inputs!$L$8*(((Inputs!$I$8+(((A117)+1)/2)*(Inputs!$J$8-Inputs!$I$8)))/Inputs!$K$8)^2))^2)))))/Inputs!$C$13),NA())</x:f>
        <x:v>1072.250641537458</x:v>
      </x:c>
      <x:c r="Q117" s="48" t="n">
        <x:f>IF(OR(Inputs!$F$9=TRUE,Inputs!$F$9="TRUE",Inputs!$F$9=1),(-2*((1000*((((Inputs!$I$9+(((A117)+1)/2)*(Inputs!$J$9-Inputs!$I$9)))*Inputs!$C$11+((Inputs!$H$9+Inputs!$L$9*(((Inputs!$I$9+(((A117)+1)/2)*(Inputs!$J$9-Inputs!$I$9)))/Inputs!$K$9)^2))*((2*Inputs!$L$9*((Inputs!$I$9+(((A117)+1)/2)*(Inputs!$J$9-Inputs!$I$9)))/(Inputs!$K$9^2)*Inputs!$C$11)))/(SQRT(((Inputs!$I$9+(((A117)+1)/2)*(Inputs!$J$9-Inputs!$I$9)))^2+Inputs!$C$6^2+((Inputs!$H$9+Inputs!$L$9*(((Inputs!$I$9+(((A117)+1)/2)*(Inputs!$J$9-Inputs!$I$9)))/Inputs!$K$9)^2))^2)))))/Inputs!$C$13),NA())</x:f>
        <x:v>1170.268715155626</x:v>
      </x:c>
      <x:c r="R117" s="49"/>
      <x:c r="S117" s="48" t="n">
        <x:f>A117</x:f>
        <x:v>-0.042</x:v>
      </x:c>
      <x:c r="T117" s="48" t="n">
        <x:f>(Inputs!$I$6+(((A117)+1)/2)*(Inputs!$J$6-Inputs!$I$6))</x:f>
        <x:v>-2.520000000000003</x:v>
      </x:c>
      <x:c r="U117" s="48" t="n">
        <x:f>(Inputs!$I$7+(((A117)+1)/2)*(Inputs!$J$7-Inputs!$I$7))</x:f>
        <x:v>-16.80000000000001</x:v>
      </x:c>
      <x:c r="V117" s="48" t="n">
        <x:f>(Inputs!$I$8+(((A117)+1)/2)*(Inputs!$J$8-Inputs!$I$8))</x:f>
        <x:v>-33.60000000000002</x:v>
      </x:c>
      <x:c r="W117" s="48" t="n">
        <x:f>(Inputs!$I$9+(((A117)+1)/2)*(Inputs!$J$9-Inputs!$I$9))</x:f>
        <x:v>-33.60000000000002</x:v>
      </x:c>
      <x:c r="X117" s="49"/>
      <x:c r="Y117" s="48" t="n">
        <x:f>A117</x:f>
        <x:v>-0.042</x:v>
      </x:c>
      <x:c r="Z117" s="48" t="n">
        <x:f>(Inputs!$H$6+Inputs!$L$6*(((Inputs!$I$6+(((A117)+1)/2)*(Inputs!$J$6-Inputs!$I$6)))/Inputs!$K$6)^2)</x:f>
        <x:v>400.007056</x:v>
      </x:c>
      <x:c r="AA117" s="48" t="n">
        <x:f>(Inputs!$H$7+Inputs!$L$7*(((Inputs!$I$7+(((A117)+1)/2)*(Inputs!$J$7-Inputs!$I$7)))/Inputs!$K$7)^2)</x:f>
        <x:v>35.643860000000004</x:v>
      </x:c>
      <x:c r="AB117" s="48" t="n">
        <x:f>(Inputs!$H$8+Inputs!$L$8*(((Inputs!$I$8+(((A117)+1)/2)*(Inputs!$J$8-Inputs!$I$8)))/Inputs!$K$8)^2)</x:f>
        <x:v>36.70226</x:v>
      </x:c>
      <x:c r="AC117" s="48" t="n">
        <x:f>(Inputs!$H$9+Inputs!$L$9*(((Inputs!$I$9+(((A117)+1)/2)*(Inputs!$J$9-Inputs!$I$9)))/Inputs!$K$9)^2)</x:f>
        <x:v>26.719900000000003</x:v>
      </x:c>
      <x:c r="AD117" s="49"/>
      <x:c r="AE117" s="48" t="n">
        <x:f>A117</x:f>
        <x:v>-0.042</x:v>
      </x:c>
      <x:c r="AF117" s="48" t="n">
        <x:f>(((SQRT(((Inputs!$I$6+(((A117)+1)/2)*(Inputs!$J$6-Inputs!$I$6)))^2+Inputs!$C$6^2+((Inputs!$H$6+Inputs!$L$6*(((Inputs!$I$6+(((A117)+1)/2)*(Inputs!$J$6-Inputs!$I$6)))/Inputs!$K$6)^2))^2))-((Inputs!$H$6+Inputs!$L$6*(((Inputs!$I$6+(((A117)+1)/2)*(Inputs!$J$6-Inputs!$I$6)))/Inputs!$K$6)^2)))*1000/Inputs!$C$12)</x:f>
        <x:v>442.91973602870905</x:v>
      </x:c>
      <x:c r="AG117" s="48" t="n">
        <x:f>(((SQRT(((Inputs!$I$7+(((A117)+1)/2)*(Inputs!$J$7-Inputs!$I$7)))^2+Inputs!$C$6^2+((Inputs!$H$7+Inputs!$L$7*(((Inputs!$I$7+(((A117)+1)/2)*(Inputs!$J$7-Inputs!$I$7)))/Inputs!$K$7)^2))^2))-((Inputs!$H$7+Inputs!$L$7*(((Inputs!$I$7+(((A117)+1)/2)*(Inputs!$J$7-Inputs!$I$7)))/Inputs!$K$7)^2)))*1000/Inputs!$C$12)</x:f>
        <x:v>6192.268859277553</x:v>
      </x:c>
      <x:c r="AH117" s="48" t="n">
        <x:f>(((SQRT(((Inputs!$I$8+(((A117)+1)/2)*(Inputs!$J$8-Inputs!$I$8)))^2+Inputs!$C$6^2+((Inputs!$H$8+Inputs!$L$8*(((Inputs!$I$8+(((A117)+1)/2)*(Inputs!$J$8-Inputs!$I$8)))/Inputs!$K$8)^2))^2))-((Inputs!$H$8+Inputs!$L$8*(((Inputs!$I$8+(((A117)+1)/2)*(Inputs!$J$8-Inputs!$I$8)))/Inputs!$K$8)^2)))*1000/Inputs!$C$12)</x:f>
        <x:v>10665.452716017111</x:v>
      </x:c>
      <x:c r="AI117" s="48" t="n">
        <x:f>(((SQRT(((Inputs!$I$9+(((A117)+1)/2)*(Inputs!$J$9-Inputs!$I$9)))^2+Inputs!$C$6^2+((Inputs!$H$9+Inputs!$L$9*(((Inputs!$I$9+(((A117)+1)/2)*(Inputs!$J$9-Inputs!$I$9)))/Inputs!$K$9)^2))^2))-((Inputs!$H$9+Inputs!$L$9*(((Inputs!$I$9+(((A117)+1)/2)*(Inputs!$J$9-Inputs!$I$9)))/Inputs!$K$9)^2)))*1000/Inputs!$C$12)</x:f>
        <x:v>12897.861981730344</x:v>
      </x:c>
      <x:c r="AJ117" s="49"/>
      <x:c r="AK117" s="48" t="n">
        <x:f>A117</x:f>
        <x:v>-0.042</x:v>
      </x:c>
      <x:c r="AL117" s="48" t="n">
        <x:f>(-2*((1000*((((Inputs!$I$6+(((A117)+1)/2)*(Inputs!$J$6-Inputs!$I$6)))*Inputs!$C$11+((Inputs!$H$6+Inputs!$L$6*(((Inputs!$I$6+(((A117)+1)/2)*(Inputs!$J$6-Inputs!$I$6)))/Inputs!$K$6)^2))*((2*Inputs!$L$6*((Inputs!$I$6+(((A117)+1)/2)*(Inputs!$J$6-Inputs!$I$6)))/(Inputs!$K$6^2)*Inputs!$C$11)))/(SQRT(((Inputs!$I$6+(((A117)+1)/2)*(Inputs!$J$6-Inputs!$I$6)))^2+Inputs!$C$6^2+((Inputs!$H$6+Inputs!$L$6*(((Inputs!$I$6+(((A117)+1)/2)*(Inputs!$J$6-Inputs!$I$6)))/Inputs!$K$6)^2))^2)))))/Inputs!$C$13)</x:f>
        <x:v>19.002369319013233</x:v>
      </x:c>
      <x:c r="AM117" s="48" t="n">
        <x:f>(-2*((1000*((((Inputs!$I$7+(((A117)+1)/2)*(Inputs!$J$7-Inputs!$I$7)))*Inputs!$C$11+((Inputs!$H$7+Inputs!$L$7*(((Inputs!$I$7+(((A117)+1)/2)*(Inputs!$J$7-Inputs!$I$7)))/Inputs!$K$7)^2))*((2*Inputs!$L$7*((Inputs!$I$7+(((A117)+1)/2)*(Inputs!$J$7-Inputs!$I$7)))/(Inputs!$K$7^2)*Inputs!$C$11)))/(SQRT(((Inputs!$I$7+(((A117)+1)/2)*(Inputs!$J$7-Inputs!$I$7)))^2+Inputs!$C$6^2+((Inputs!$H$7+Inputs!$L$7*(((Inputs!$I$7+(((A117)+1)/2)*(Inputs!$J$7-Inputs!$I$7)))/Inputs!$K$7)^2))^2)))))/Inputs!$C$13)</x:f>
        <x:v>669.6802164390888</x:v>
      </x:c>
      <x:c r="AN117" s="48" t="n">
        <x:f>(-2*((1000*((((Inputs!$I$8+(((A117)+1)/2)*(Inputs!$J$8-Inputs!$I$8)))*Inputs!$C$11+((Inputs!$H$8+Inputs!$L$8*(((Inputs!$I$8+(((A117)+1)/2)*(Inputs!$J$8-Inputs!$I$8)))/Inputs!$K$8)^2))*((2*Inputs!$L$8*((Inputs!$I$8+(((A117)+1)/2)*(Inputs!$J$8-Inputs!$I$8)))/(Inputs!$K$8^2)*Inputs!$C$11)))/(SQRT(((Inputs!$I$8+(((A117)+1)/2)*(Inputs!$J$8-Inputs!$I$8)))^2+Inputs!$C$6^2+((Inputs!$H$8+Inputs!$L$8*(((Inputs!$I$8+(((A117)+1)/2)*(Inputs!$J$8-Inputs!$I$8)))/Inputs!$K$8)^2))^2)))))/Inputs!$C$13)</x:f>
        <x:v>1072.250641537458</x:v>
      </x:c>
      <x:c r="AO117" s="48" t="n">
        <x:f>(-2*((1000*((((Inputs!$I$9+(((A117)+1)/2)*(Inputs!$J$9-Inputs!$I$9)))*Inputs!$C$11+((Inputs!$H$9+Inputs!$L$9*(((Inputs!$I$9+(((A117)+1)/2)*(Inputs!$J$9-Inputs!$I$9)))/Inputs!$K$9)^2))*((2*Inputs!$L$9*((Inputs!$I$9+(((A117)+1)/2)*(Inputs!$J$9-Inputs!$I$9)))/(Inputs!$K$9^2)*Inputs!$C$11)))/(SQRT(((Inputs!$I$9+(((A117)+1)/2)*(Inputs!$J$9-Inputs!$I$9)))^2+Inputs!$C$6^2+((Inputs!$H$9+Inputs!$L$9*(((Inputs!$I$9+(((A117)+1)/2)*(Inputs!$J$9-Inputs!$I$9)))/Inputs!$K$9)^2))^2)))))/Inputs!$C$13)</x:f>
        <x:v>1170.268715155626</x:v>
      </x:c>
    </x:row>
    <x:row r="118">
      <x:c r="A118" s="48" t="n">
        <x:f>ROUND(-1+116*2/240,3)</x:f>
        <x:v>-0.033</x:v>
      </x:c>
      <x:c r="B118" s="48" t="n">
        <x:f>IF(OR(Inputs!$F$6=TRUE,Inputs!$F$6="TRUE",Inputs!$F$6=1),(Inputs!$H$6+Inputs!$L$6*(((Inputs!$I$6+(((A118)+1)/2)*(Inputs!$J$6-Inputs!$I$6)))/Inputs!$K$6)^2),NA())</x:f>
        <x:v>400.004356</x:v>
      </x:c>
      <x:c r="C118" s="48" t="n">
        <x:f>IF(OR(Inputs!$F$7=TRUE,Inputs!$F$7="TRUE",Inputs!$F$7=1),(Inputs!$H$7+Inputs!$L$7*(((Inputs!$I$7+(((A118)+1)/2)*(Inputs!$J$7-Inputs!$I$7)))/Inputs!$K$7)^2),NA())</x:f>
        <x:v>35.397484999999996</x:v>
      </x:c>
      <x:c r="D118" s="48" t="n">
        <x:f>IF(OR(Inputs!$F$8=TRUE,Inputs!$F$8="TRUE",Inputs!$F$8=1),(Inputs!$H$8+Inputs!$L$8*(((Inputs!$I$8+(((A118)+1)/2)*(Inputs!$J$8-Inputs!$I$8)))/Inputs!$K$8)^2),NA())</x:f>
        <x:v>36.050885</x:v>
      </x:c>
      <x:c r="E118" s="48" t="n">
        <x:f>IF(OR(Inputs!$F$9=TRUE,Inputs!$F$9="TRUE",Inputs!$F$9=1),(Inputs!$H$9+Inputs!$L$9*(((Inputs!$I$9+(((A118)+1)/2)*(Inputs!$J$9-Inputs!$I$9)))/Inputs!$K$9)^2),NA())</x:f>
        <x:v>26.061774999999997</x:v>
      </x:c>
      <x:c r="F118" s="49"/>
      <x:c r="G118" s="48" t="n">
        <x:f>A118</x:f>
        <x:v>-0.033</x:v>
      </x:c>
      <x:c r="H118" s="48" t="n">
        <x:f>IF(OR(Inputs!$F$6=TRUE,Inputs!$F$6="TRUE",Inputs!$F$6=1),(((SQRT(((Inputs!$I$6+(((A118)+1)/2)*(Inputs!$J$6-Inputs!$I$6)))^2+Inputs!$C$6^2+((Inputs!$H$6+Inputs!$L$6*(((Inputs!$I$6+(((A118)+1)/2)*(Inputs!$J$6-Inputs!$I$6)))/Inputs!$K$6)^2))^2))-((Inputs!$H$6+Inputs!$L$6*(((Inputs!$I$6+(((A118)+1)/2)*(Inputs!$J$6-Inputs!$I$6)))/Inputs!$K$6)^2)))*1000/Inputs!$C$12),NA())</x:f>
        <x:v>441.21962804653646</x:v>
      </x:c>
      <x:c r="I118" s="48" t="n">
        <x:f>IF(OR(Inputs!$F$7=TRUE,Inputs!$F$7="TRUE",Inputs!$F$7=1),(((SQRT(((Inputs!$I$7+(((A118)+1)/2)*(Inputs!$J$7-Inputs!$I$7)))^2+Inputs!$C$6^2+((Inputs!$H$7+Inputs!$L$7*(((Inputs!$I$7+(((A118)+1)/2)*(Inputs!$J$7-Inputs!$I$7)))/Inputs!$K$7)^2))^2))-((Inputs!$H$7+Inputs!$L$7*(((Inputs!$I$7+(((A118)+1)/2)*(Inputs!$J$7-Inputs!$I$7)))/Inputs!$K$7)^2)))*1000/Inputs!$C$12),NA())</x:f>
        <x:v>5564.02882905703</x:v>
      </x:c>
      <x:c r="J118" s="48" t="n">
        <x:f>IF(OR(Inputs!$F$8=TRUE,Inputs!$F$8="TRUE",Inputs!$F$8=1),(((SQRT(((Inputs!$I$8+(((A118)+1)/2)*(Inputs!$J$8-Inputs!$I$8)))^2+Inputs!$C$6^2+((Inputs!$H$8+Inputs!$L$8*(((Inputs!$I$8+(((A118)+1)/2)*(Inputs!$J$8-Inputs!$I$8)))/Inputs!$K$8)^2))^2))-((Inputs!$H$8+Inputs!$L$8*(((Inputs!$I$8+(((A118)+1)/2)*(Inputs!$J$8-Inputs!$I$8)))/Inputs!$K$8)^2)))*1000/Inputs!$C$12),NA())</x:f>
        <x:v>8511.760895656094</x:v>
      </x:c>
      <x:c r="K118" s="48" t="n">
        <x:f>IF(OR(Inputs!$F$9=TRUE,Inputs!$F$9="TRUE",Inputs!$F$9=1),(((SQRT(((Inputs!$I$9+(((A118)+1)/2)*(Inputs!$J$9-Inputs!$I$9)))^2+Inputs!$C$6^2+((Inputs!$H$9+Inputs!$L$9*(((Inputs!$I$9+(((A118)+1)/2)*(Inputs!$J$9-Inputs!$I$9)))/Inputs!$K$9)^2))^2))-((Inputs!$H$9+Inputs!$L$9*(((Inputs!$I$9+(((A118)+1)/2)*(Inputs!$J$9-Inputs!$I$9)))/Inputs!$K$9)^2)))*1000/Inputs!$C$12),NA())</x:f>
        <x:v>10490.298874003152</x:v>
      </x:c>
      <x:c r="L118" s="49"/>
      <x:c r="M118" s="48" t="n">
        <x:f>A118</x:f>
        <x:v>-0.033</x:v>
      </x:c>
      <x:c r="N118" s="48" t="n">
        <x:f>IF(OR(Inputs!$F$6=TRUE,Inputs!$F$6="TRUE",Inputs!$F$6=1),(-2*((1000*((((Inputs!$I$6+(((A118)+1)/2)*(Inputs!$J$6-Inputs!$I$6)))*Inputs!$C$11+((Inputs!$H$6+Inputs!$L$6*(((Inputs!$I$6+(((A118)+1)/2)*(Inputs!$J$6-Inputs!$I$6)))/Inputs!$K$6)^2))*((2*Inputs!$L$6*((Inputs!$I$6+(((A118)+1)/2)*(Inputs!$J$6-Inputs!$I$6)))/(Inputs!$K$6^2)*Inputs!$C$11)))/(SQRT(((Inputs!$I$6+(((A118)+1)/2)*(Inputs!$J$6-Inputs!$I$6)))^2+Inputs!$C$6^2+((Inputs!$H$6+Inputs!$L$6*(((Inputs!$I$6+(((A118)+1)/2)*(Inputs!$J$6-Inputs!$I$6)))/Inputs!$K$6)^2))^2)))))/Inputs!$C$13),NA())</x:f>
        <x:v>14.930598925173706</x:v>
      </x:c>
      <x:c r="O118" s="48" t="n">
        <x:f>IF(OR(Inputs!$F$7=TRUE,Inputs!$F$7="TRUE",Inputs!$F$7=1),(-2*((1000*((((Inputs!$I$7+(((A118)+1)/2)*(Inputs!$J$7-Inputs!$I$7)))*Inputs!$C$11+((Inputs!$H$7+Inputs!$L$7*(((Inputs!$I$7+(((A118)+1)/2)*(Inputs!$J$7-Inputs!$I$7)))/Inputs!$K$7)^2))*((2*Inputs!$L$7*((Inputs!$I$7+(((A118)+1)/2)*(Inputs!$J$7-Inputs!$I$7)))/(Inputs!$K$7^2)*Inputs!$C$11)))/(SQRT(((Inputs!$I$7+(((A118)+1)/2)*(Inputs!$J$7-Inputs!$I$7)))^2+Inputs!$C$6^2+((Inputs!$H$7+Inputs!$L$7*(((Inputs!$I$7+(((A118)+1)/2)*(Inputs!$J$7-Inputs!$I$7)))/Inputs!$K$7)^2))^2)))))/Inputs!$C$13),NA())</x:f>
        <x:v>541.5035994347652</x:v>
      </x:c>
      <x:c r="P118" s="48" t="n">
        <x:f>IF(OR(Inputs!$F$8=TRUE,Inputs!$F$8="TRUE",Inputs!$F$8=1),(-2*((1000*((((Inputs!$I$8+(((A118)+1)/2)*(Inputs!$J$8-Inputs!$I$8)))*Inputs!$C$11+((Inputs!$H$8+Inputs!$L$8*(((Inputs!$I$8+(((A118)+1)/2)*(Inputs!$J$8-Inputs!$I$8)))/Inputs!$K$8)^2))*((2*Inputs!$L$8*((Inputs!$I$8+(((A118)+1)/2)*(Inputs!$J$8-Inputs!$I$8)))/(Inputs!$K$8^2)*Inputs!$C$11)))/(SQRT(((Inputs!$I$8+(((A118)+1)/2)*(Inputs!$J$8-Inputs!$I$8)))^2+Inputs!$C$6^2+((Inputs!$H$8+Inputs!$L$8*(((Inputs!$I$8+(((A118)+1)/2)*(Inputs!$J$8-Inputs!$I$8)))/Inputs!$K$8)^2))^2)))))/Inputs!$C$13),NA())</x:f>
        <x:v>914.6581563963509</x:v>
      </x:c>
      <x:c r="Q118" s="48" t="n">
        <x:f>IF(OR(Inputs!$F$9=TRUE,Inputs!$F$9="TRUE",Inputs!$F$9=1),(-2*((1000*((((Inputs!$I$9+(((A118)+1)/2)*(Inputs!$J$9-Inputs!$I$9)))*Inputs!$C$11+((Inputs!$H$9+Inputs!$L$9*(((Inputs!$I$9+(((A118)+1)/2)*(Inputs!$J$9-Inputs!$I$9)))/Inputs!$K$9)^2))*((2*Inputs!$L$9*((Inputs!$I$9+(((A118)+1)/2)*(Inputs!$J$9-Inputs!$I$9)))/(Inputs!$K$9^2)*Inputs!$C$11)))/(SQRT(((Inputs!$I$9+(((A118)+1)/2)*(Inputs!$J$9-Inputs!$I$9)))^2+Inputs!$C$6^2+((Inputs!$H$9+Inputs!$L$9*(((Inputs!$I$9+(((A118)+1)/2)*(Inputs!$J$9-Inputs!$I$9)))/Inputs!$K$9)^2))^2)))))/Inputs!$C$13),NA())</x:f>
        <x:v>1019.2165624370576</x:v>
      </x:c>
      <x:c r="R118" s="49"/>
      <x:c r="S118" s="48" t="n">
        <x:f>A118</x:f>
        <x:v>-0.033</x:v>
      </x:c>
      <x:c r="T118" s="48" t="n">
        <x:f>(Inputs!$I$6+(((A118)+1)/2)*(Inputs!$J$6-Inputs!$I$6))</x:f>
        <x:v>-1.980000000000004</x:v>
      </x:c>
      <x:c r="U118" s="48" t="n">
        <x:f>(Inputs!$I$7+(((A118)+1)/2)*(Inputs!$J$7-Inputs!$I$7))</x:f>
        <x:v>-13.199999999999989</x:v>
      </x:c>
      <x:c r="V118" s="48" t="n">
        <x:f>(Inputs!$I$8+(((A118)+1)/2)*(Inputs!$J$8-Inputs!$I$8))</x:f>
        <x:v>-26.399999999999977</x:v>
      </x:c>
      <x:c r="W118" s="48" t="n">
        <x:f>(Inputs!$I$9+(((A118)+1)/2)*(Inputs!$J$9-Inputs!$I$9))</x:f>
        <x:v>-26.399999999999977</x:v>
      </x:c>
      <x:c r="X118" s="49"/>
      <x:c r="Y118" s="48" t="n">
        <x:f>A118</x:f>
        <x:v>-0.033</x:v>
      </x:c>
      <x:c r="Z118" s="48" t="n">
        <x:f>(Inputs!$H$6+Inputs!$L$6*(((Inputs!$I$6+(((A118)+1)/2)*(Inputs!$J$6-Inputs!$I$6)))/Inputs!$K$6)^2)</x:f>
        <x:v>400.004356</x:v>
      </x:c>
      <x:c r="AA118" s="48" t="n">
        <x:f>(Inputs!$H$7+Inputs!$L$7*(((Inputs!$I$7+(((A118)+1)/2)*(Inputs!$J$7-Inputs!$I$7)))/Inputs!$K$7)^2)</x:f>
        <x:v>35.397484999999996</x:v>
      </x:c>
      <x:c r="AB118" s="48" t="n">
        <x:f>(Inputs!$H$8+Inputs!$L$8*(((Inputs!$I$8+(((A118)+1)/2)*(Inputs!$J$8-Inputs!$I$8)))/Inputs!$K$8)^2)</x:f>
        <x:v>36.050885</x:v>
      </x:c>
      <x:c r="AC118" s="48" t="n">
        <x:f>(Inputs!$H$9+Inputs!$L$9*(((Inputs!$I$9+(((A118)+1)/2)*(Inputs!$J$9-Inputs!$I$9)))/Inputs!$K$9)^2)</x:f>
        <x:v>26.061774999999997</x:v>
      </x:c>
      <x:c r="AD118" s="49"/>
      <x:c r="AE118" s="48" t="n">
        <x:f>A118</x:f>
        <x:v>-0.033</x:v>
      </x:c>
      <x:c r="AF118" s="48" t="n">
        <x:f>(((SQRT(((Inputs!$I$6+(((A118)+1)/2)*(Inputs!$J$6-Inputs!$I$6)))^2+Inputs!$C$6^2+((Inputs!$H$6+Inputs!$L$6*(((Inputs!$I$6+(((A118)+1)/2)*(Inputs!$J$6-Inputs!$I$6)))/Inputs!$K$6)^2))^2))-((Inputs!$H$6+Inputs!$L$6*(((Inputs!$I$6+(((A118)+1)/2)*(Inputs!$J$6-Inputs!$I$6)))/Inputs!$K$6)^2)))*1000/Inputs!$C$12)</x:f>
        <x:v>441.21962804653646</x:v>
      </x:c>
      <x:c r="AG118" s="48" t="n">
        <x:f>(((SQRT(((Inputs!$I$7+(((A118)+1)/2)*(Inputs!$J$7-Inputs!$I$7)))^2+Inputs!$C$6^2+((Inputs!$H$7+Inputs!$L$7*(((Inputs!$I$7+(((A118)+1)/2)*(Inputs!$J$7-Inputs!$I$7)))/Inputs!$K$7)^2))^2))-((Inputs!$H$7+Inputs!$L$7*(((Inputs!$I$7+(((A118)+1)/2)*(Inputs!$J$7-Inputs!$I$7)))/Inputs!$K$7)^2)))*1000/Inputs!$C$12)</x:f>
        <x:v>5564.02882905703</x:v>
      </x:c>
      <x:c r="AH118" s="48" t="n">
        <x:f>(((SQRT(((Inputs!$I$8+(((A118)+1)/2)*(Inputs!$J$8-Inputs!$I$8)))^2+Inputs!$C$6^2+((Inputs!$H$8+Inputs!$L$8*(((Inputs!$I$8+(((A118)+1)/2)*(Inputs!$J$8-Inputs!$I$8)))/Inputs!$K$8)^2))^2))-((Inputs!$H$8+Inputs!$L$8*(((Inputs!$I$8+(((A118)+1)/2)*(Inputs!$J$8-Inputs!$I$8)))/Inputs!$K$8)^2)))*1000/Inputs!$C$12)</x:f>
        <x:v>8511.760895656094</x:v>
      </x:c>
      <x:c r="AI118" s="48" t="n">
        <x:f>(((SQRT(((Inputs!$I$9+(((A118)+1)/2)*(Inputs!$J$9-Inputs!$I$9)))^2+Inputs!$C$6^2+((Inputs!$H$9+Inputs!$L$9*(((Inputs!$I$9+(((A118)+1)/2)*(Inputs!$J$9-Inputs!$I$9)))/Inputs!$K$9)^2))^2))-((Inputs!$H$9+Inputs!$L$9*(((Inputs!$I$9+(((A118)+1)/2)*(Inputs!$J$9-Inputs!$I$9)))/Inputs!$K$9)^2)))*1000/Inputs!$C$12)</x:f>
        <x:v>10490.298874003152</x:v>
      </x:c>
      <x:c r="AJ118" s="49"/>
      <x:c r="AK118" s="48" t="n">
        <x:f>A118</x:f>
        <x:v>-0.033</x:v>
      </x:c>
      <x:c r="AL118" s="48" t="n">
        <x:f>(-2*((1000*((((Inputs!$I$6+(((A118)+1)/2)*(Inputs!$J$6-Inputs!$I$6)))*Inputs!$C$11+((Inputs!$H$6+Inputs!$L$6*(((Inputs!$I$6+(((A118)+1)/2)*(Inputs!$J$6-Inputs!$I$6)))/Inputs!$K$6)^2))*((2*Inputs!$L$6*((Inputs!$I$6+(((A118)+1)/2)*(Inputs!$J$6-Inputs!$I$6)))/(Inputs!$K$6^2)*Inputs!$C$11)))/(SQRT(((Inputs!$I$6+(((A118)+1)/2)*(Inputs!$J$6-Inputs!$I$6)))^2+Inputs!$C$6^2+((Inputs!$H$6+Inputs!$L$6*(((Inputs!$I$6+(((A118)+1)/2)*(Inputs!$J$6-Inputs!$I$6)))/Inputs!$K$6)^2))^2)))))/Inputs!$C$13)</x:f>
        <x:v>14.930598925173706</x:v>
      </x:c>
      <x:c r="AM118" s="48" t="n">
        <x:f>(-2*((1000*((((Inputs!$I$7+(((A118)+1)/2)*(Inputs!$J$7-Inputs!$I$7)))*Inputs!$C$11+((Inputs!$H$7+Inputs!$L$7*(((Inputs!$I$7+(((A118)+1)/2)*(Inputs!$J$7-Inputs!$I$7)))/Inputs!$K$7)^2))*((2*Inputs!$L$7*((Inputs!$I$7+(((A118)+1)/2)*(Inputs!$J$7-Inputs!$I$7)))/(Inputs!$K$7^2)*Inputs!$C$11)))/(SQRT(((Inputs!$I$7+(((A118)+1)/2)*(Inputs!$J$7-Inputs!$I$7)))^2+Inputs!$C$6^2+((Inputs!$H$7+Inputs!$L$7*(((Inputs!$I$7+(((A118)+1)/2)*(Inputs!$J$7-Inputs!$I$7)))/Inputs!$K$7)^2))^2)))))/Inputs!$C$13)</x:f>
        <x:v>541.5035994347652</x:v>
      </x:c>
      <x:c r="AN118" s="48" t="n">
        <x:f>(-2*((1000*((((Inputs!$I$8+(((A118)+1)/2)*(Inputs!$J$8-Inputs!$I$8)))*Inputs!$C$11+((Inputs!$H$8+Inputs!$L$8*(((Inputs!$I$8+(((A118)+1)/2)*(Inputs!$J$8-Inputs!$I$8)))/Inputs!$K$8)^2))*((2*Inputs!$L$8*((Inputs!$I$8+(((A118)+1)/2)*(Inputs!$J$8-Inputs!$I$8)))/(Inputs!$K$8^2)*Inputs!$C$11)))/(SQRT(((Inputs!$I$8+(((A118)+1)/2)*(Inputs!$J$8-Inputs!$I$8)))^2+Inputs!$C$6^2+((Inputs!$H$8+Inputs!$L$8*(((Inputs!$I$8+(((A118)+1)/2)*(Inputs!$J$8-Inputs!$I$8)))/Inputs!$K$8)^2))^2)))))/Inputs!$C$13)</x:f>
        <x:v>914.6581563963509</x:v>
      </x:c>
      <x:c r="AO118" s="48" t="n">
        <x:f>(-2*((1000*((((Inputs!$I$9+(((A118)+1)/2)*(Inputs!$J$9-Inputs!$I$9)))*Inputs!$C$11+((Inputs!$H$9+Inputs!$L$9*(((Inputs!$I$9+(((A118)+1)/2)*(Inputs!$J$9-Inputs!$I$9)))/Inputs!$K$9)^2))*((2*Inputs!$L$9*((Inputs!$I$9+(((A118)+1)/2)*(Inputs!$J$9-Inputs!$I$9)))/(Inputs!$K$9^2)*Inputs!$C$11)))/(SQRT(((Inputs!$I$9+(((A118)+1)/2)*(Inputs!$J$9-Inputs!$I$9)))^2+Inputs!$C$6^2+((Inputs!$H$9+Inputs!$L$9*(((Inputs!$I$9+(((A118)+1)/2)*(Inputs!$J$9-Inputs!$I$9)))/Inputs!$K$9)^2))^2)))))/Inputs!$C$13)</x:f>
        <x:v>1019.2165624370576</x:v>
      </x:c>
    </x:row>
    <x:row r="119">
      <x:c r="A119" s="48" t="n">
        <x:f>ROUND(-1+117*2/240,3)</x:f>
        <x:v>-0.025</x:v>
      </x:c>
      <x:c r="B119" s="48" t="n">
        <x:f>IF(OR(Inputs!$F$6=TRUE,Inputs!$F$6="TRUE",Inputs!$F$6=1),(Inputs!$H$6+Inputs!$L$6*(((Inputs!$I$6+(((A119)+1)/2)*(Inputs!$J$6-Inputs!$I$6)))/Inputs!$K$6)^2),NA())</x:f>
        <x:v>400.0025</x:v>
      </x:c>
      <x:c r="C119" s="48" t="n">
        <x:f>IF(OR(Inputs!$F$7=TRUE,Inputs!$F$7="TRUE",Inputs!$F$7=1),(Inputs!$H$7+Inputs!$L$7*(((Inputs!$I$7+(((A119)+1)/2)*(Inputs!$J$7-Inputs!$I$7)))/Inputs!$K$7)^2),NA())</x:f>
        <x:v>35.228125</x:v>
      </x:c>
      <x:c r="D119" s="48" t="n">
        <x:f>IF(OR(Inputs!$F$8=TRUE,Inputs!$F$8="TRUE",Inputs!$F$8=1),(Inputs!$H$8+Inputs!$L$8*(((Inputs!$I$8+(((A119)+1)/2)*(Inputs!$J$8-Inputs!$I$8)))/Inputs!$K$8)^2),NA())</x:f>
        <x:v>35.603125</x:v>
      </x:c>
      <x:c r="E119" s="48" t="n">
        <x:f>IF(OR(Inputs!$F$9=TRUE,Inputs!$F$9="TRUE",Inputs!$F$9=1),(Inputs!$H$9+Inputs!$L$9*(((Inputs!$I$9+(((A119)+1)/2)*(Inputs!$J$9-Inputs!$I$9)))/Inputs!$K$9)^2),NA())</x:f>
        <x:v>25.609375</x:v>
      </x:c>
      <x:c r="F119" s="49"/>
      <x:c r="G119" s="48" t="n">
        <x:f>A119</x:f>
        <x:v>-0.025</x:v>
      </x:c>
      <x:c r="H119" s="48" t="n">
        <x:f>IF(OR(Inputs!$F$6=TRUE,Inputs!$F$6="TRUE",Inputs!$F$6=1),(((SQRT(((Inputs!$I$6+(((A119)+1)/2)*(Inputs!$J$6-Inputs!$I$6)))^2+Inputs!$C$6^2+((Inputs!$H$6+Inputs!$L$6*(((Inputs!$I$6+(((A119)+1)/2)*(Inputs!$J$6-Inputs!$I$6)))/Inputs!$K$6)^2))^2))-((Inputs!$H$6+Inputs!$L$6*(((Inputs!$I$6+(((A119)+1)/2)*(Inputs!$J$6-Inputs!$I$6)))/Inputs!$K$6)^2)))*1000/Inputs!$C$12),NA())</x:f>
        <x:v>440.0509404961583</x:v>
      </x:c>
      <x:c r="I119" s="48" t="n">
        <x:f>IF(OR(Inputs!$F$7=TRUE,Inputs!$F$7="TRUE",Inputs!$F$7=1),(((SQRT(((Inputs!$I$7+(((A119)+1)/2)*(Inputs!$J$7-Inputs!$I$7)))^2+Inputs!$C$6^2+((Inputs!$H$7+Inputs!$L$7*(((Inputs!$I$7+(((A119)+1)/2)*(Inputs!$J$7-Inputs!$I$7)))/Inputs!$K$7)^2))^2))-((Inputs!$H$7+Inputs!$L$7*(((Inputs!$I$7+(((A119)+1)/2)*(Inputs!$J$7-Inputs!$I$7)))/Inputs!$K$7)^2)))*1000/Inputs!$C$12),NA())</x:f>
        <x:v>5118.937082121669</x:v>
      </x:c>
      <x:c r="J119" s="48" t="n">
        <x:f>IF(OR(Inputs!$F$8=TRUE,Inputs!$F$8="TRUE",Inputs!$F$8=1),(((SQRT(((Inputs!$I$8+(((A119)+1)/2)*(Inputs!$J$8-Inputs!$I$8)))^2+Inputs!$C$6^2+((Inputs!$H$8+Inputs!$L$8*(((Inputs!$I$8+(((A119)+1)/2)*(Inputs!$J$8-Inputs!$I$8)))/Inputs!$K$8)^2))^2))-((Inputs!$H$8+Inputs!$L$8*(((Inputs!$I$8+(((A119)+1)/2)*(Inputs!$J$8-Inputs!$I$8)))/Inputs!$K$8)^2)))*1000/Inputs!$C$12),NA())</x:f>
        <x:v>6897.6376974683835</x:v>
      </x:c>
      <x:c r="K119" s="48" t="n">
        <x:f>IF(OR(Inputs!$F$9=TRUE,Inputs!$F$9="TRUE",Inputs!$F$9=1),(((SQRT(((Inputs!$I$9+(((A119)+1)/2)*(Inputs!$J$9-Inputs!$I$9)))^2+Inputs!$C$6^2+((Inputs!$H$9+Inputs!$L$9*(((Inputs!$I$9+(((A119)+1)/2)*(Inputs!$J$9-Inputs!$I$9)))/Inputs!$K$9)^2))^2))-((Inputs!$H$9+Inputs!$L$9*(((Inputs!$I$9+(((A119)+1)/2)*(Inputs!$J$9-Inputs!$I$9)))/Inputs!$K$9)^2)))*1000/Inputs!$C$12),NA())</x:f>
        <x:v>8645.322924687369</x:v>
      </x:c>
      <x:c r="L119" s="49"/>
      <x:c r="M119" s="48" t="n">
        <x:f>A119</x:f>
        <x:v>-0.025</x:v>
      </x:c>
      <x:c r="N119" s="48" t="n">
        <x:f>IF(OR(Inputs!$F$6=TRUE,Inputs!$F$6="TRUE",Inputs!$F$6=1),(-2*((1000*((((Inputs!$I$6+(((A119)+1)/2)*(Inputs!$J$6-Inputs!$I$6)))*Inputs!$C$11+((Inputs!$H$6+Inputs!$L$6*(((Inputs!$I$6+(((A119)+1)/2)*(Inputs!$J$6-Inputs!$I$6)))/Inputs!$K$6)^2))*((2*Inputs!$L$6*((Inputs!$I$6+(((A119)+1)/2)*(Inputs!$J$6-Inputs!$I$6)))/(Inputs!$K$6^2)*Inputs!$C$11)))/(SQRT(((Inputs!$I$6+(((A119)+1)/2)*(Inputs!$J$6-Inputs!$I$6)))^2+Inputs!$C$6^2+((Inputs!$H$6+Inputs!$L$6*(((Inputs!$I$6+(((A119)+1)/2)*(Inputs!$J$6-Inputs!$I$6)))/Inputs!$K$6)^2))^2)))))/Inputs!$C$13),NA())</x:f>
        <x:v>11.311146183705798</x:v>
      </x:c>
      <x:c r="O119" s="48" t="n">
        <x:f>IF(OR(Inputs!$F$7=TRUE,Inputs!$F$7="TRUE",Inputs!$F$7=1),(-2*((1000*((((Inputs!$I$7+(((A119)+1)/2)*(Inputs!$J$7-Inputs!$I$7)))*Inputs!$C$11+((Inputs!$H$7+Inputs!$L$7*(((Inputs!$I$7+(((A119)+1)/2)*(Inputs!$J$7-Inputs!$I$7)))/Inputs!$K$7)^2))*((2*Inputs!$L$7*((Inputs!$I$7+(((A119)+1)/2)*(Inputs!$J$7-Inputs!$I$7)))/(Inputs!$K$7^2)*Inputs!$C$11)))/(SQRT(((Inputs!$I$7+(((A119)+1)/2)*(Inputs!$J$7-Inputs!$I$7)))^2+Inputs!$C$6^2+((Inputs!$H$7+Inputs!$L$7*(((Inputs!$I$7+(((A119)+1)/2)*(Inputs!$J$7-Inputs!$I$7)))/Inputs!$K$7)^2))^2)))))/Inputs!$C$13),NA())</x:f>
        <x:v>418.84806202163537</x:v>
      </x:c>
      <x:c r="P119" s="48" t="n">
        <x:f>IF(OR(Inputs!$F$8=TRUE,Inputs!$F$8="TRUE",Inputs!$F$8=1),(-2*((1000*((((Inputs!$I$8+(((A119)+1)/2)*(Inputs!$J$8-Inputs!$I$8)))*Inputs!$C$11+((Inputs!$H$8+Inputs!$L$8*(((Inputs!$I$8+(((A119)+1)/2)*(Inputs!$J$8-Inputs!$I$8)))/Inputs!$K$8)^2))*((2*Inputs!$L$8*((Inputs!$I$8+(((A119)+1)/2)*(Inputs!$J$8-Inputs!$I$8)))/(Inputs!$K$8^2)*Inputs!$C$11)))/(SQRT(((Inputs!$I$8+(((A119)+1)/2)*(Inputs!$J$8-Inputs!$I$8)))^2+Inputs!$C$6^2+((Inputs!$H$8+Inputs!$L$8*(((Inputs!$I$8+(((A119)+1)/2)*(Inputs!$J$8-Inputs!$I$8)))/Inputs!$K$8)^2))^2)))))/Inputs!$C$13),NA())</x:f>
        <x:v>740.0797956135042</x:v>
      </x:c>
      <x:c r="Q119" s="48" t="n">
        <x:f>IF(OR(Inputs!$F$9=TRUE,Inputs!$F$9="TRUE",Inputs!$F$9=1),(-2*((1000*((((Inputs!$I$9+(((A119)+1)/2)*(Inputs!$J$9-Inputs!$I$9)))*Inputs!$C$11+((Inputs!$H$9+Inputs!$L$9*(((Inputs!$I$9+(((A119)+1)/2)*(Inputs!$J$9-Inputs!$I$9)))/Inputs!$K$9)^2))*((2*Inputs!$L$9*((Inputs!$I$9+(((A119)+1)/2)*(Inputs!$J$9-Inputs!$I$9)))/(Inputs!$K$9^2)*Inputs!$C$11)))/(SQRT(((Inputs!$I$9+(((A119)+1)/2)*(Inputs!$J$9-Inputs!$I$9)))^2+Inputs!$C$6^2+((Inputs!$H$9+Inputs!$L$9*(((Inputs!$I$9+(((A119)+1)/2)*(Inputs!$J$9-Inputs!$I$9)))/Inputs!$K$9)^2))^2)))))/Inputs!$C$13),NA())</x:f>
        <x:v>841.4281709931226</x:v>
      </x:c>
      <x:c r="R119" s="49"/>
      <x:c r="S119" s="48" t="n">
        <x:f>A119</x:f>
        <x:v>-0.025</x:v>
      </x:c>
      <x:c r="T119" s="48" t="n">
        <x:f>(Inputs!$I$6+(((A119)+1)/2)*(Inputs!$J$6-Inputs!$I$6))</x:f>
        <x:v>-1.5</x:v>
      </x:c>
      <x:c r="U119" s="48" t="n">
        <x:f>(Inputs!$I$7+(((A119)+1)/2)*(Inputs!$J$7-Inputs!$I$7))</x:f>
        <x:v>-10</x:v>
      </x:c>
      <x:c r="V119" s="48" t="n">
        <x:f>(Inputs!$I$8+(((A119)+1)/2)*(Inputs!$J$8-Inputs!$I$8))</x:f>
        <x:v>-20</x:v>
      </x:c>
      <x:c r="W119" s="48" t="n">
        <x:f>(Inputs!$I$9+(((A119)+1)/2)*(Inputs!$J$9-Inputs!$I$9))</x:f>
        <x:v>-20</x:v>
      </x:c>
      <x:c r="X119" s="49"/>
      <x:c r="Y119" s="48" t="n">
        <x:f>A119</x:f>
        <x:v>-0.025</x:v>
      </x:c>
      <x:c r="Z119" s="48" t="n">
        <x:f>(Inputs!$H$6+Inputs!$L$6*(((Inputs!$I$6+(((A119)+1)/2)*(Inputs!$J$6-Inputs!$I$6)))/Inputs!$K$6)^2)</x:f>
        <x:v>400.0025</x:v>
      </x:c>
      <x:c r="AA119" s="48" t="n">
        <x:f>(Inputs!$H$7+Inputs!$L$7*(((Inputs!$I$7+(((A119)+1)/2)*(Inputs!$J$7-Inputs!$I$7)))/Inputs!$K$7)^2)</x:f>
        <x:v>35.228125</x:v>
      </x:c>
      <x:c r="AB119" s="48" t="n">
        <x:f>(Inputs!$H$8+Inputs!$L$8*(((Inputs!$I$8+(((A119)+1)/2)*(Inputs!$J$8-Inputs!$I$8)))/Inputs!$K$8)^2)</x:f>
        <x:v>35.603125</x:v>
      </x:c>
      <x:c r="AC119" s="48" t="n">
        <x:f>(Inputs!$H$9+Inputs!$L$9*(((Inputs!$I$9+(((A119)+1)/2)*(Inputs!$J$9-Inputs!$I$9)))/Inputs!$K$9)^2)</x:f>
        <x:v>25.609375</x:v>
      </x:c>
      <x:c r="AD119" s="49"/>
      <x:c r="AE119" s="48" t="n">
        <x:f>A119</x:f>
        <x:v>-0.025</x:v>
      </x:c>
      <x:c r="AF119" s="48" t="n">
        <x:f>(((SQRT(((Inputs!$I$6+(((A119)+1)/2)*(Inputs!$J$6-Inputs!$I$6)))^2+Inputs!$C$6^2+((Inputs!$H$6+Inputs!$L$6*(((Inputs!$I$6+(((A119)+1)/2)*(Inputs!$J$6-Inputs!$I$6)))/Inputs!$K$6)^2))^2))-((Inputs!$H$6+Inputs!$L$6*(((Inputs!$I$6+(((A119)+1)/2)*(Inputs!$J$6-Inputs!$I$6)))/Inputs!$K$6)^2)))*1000/Inputs!$C$12)</x:f>
        <x:v>440.0509404961583</x:v>
      </x:c>
      <x:c r="AG119" s="48" t="n">
        <x:f>(((SQRT(((Inputs!$I$7+(((A119)+1)/2)*(Inputs!$J$7-Inputs!$I$7)))^2+Inputs!$C$6^2+((Inputs!$H$7+Inputs!$L$7*(((Inputs!$I$7+(((A119)+1)/2)*(Inputs!$J$7-Inputs!$I$7)))/Inputs!$K$7)^2))^2))-((Inputs!$H$7+Inputs!$L$7*(((Inputs!$I$7+(((A119)+1)/2)*(Inputs!$J$7-Inputs!$I$7)))/Inputs!$K$7)^2)))*1000/Inputs!$C$12)</x:f>
        <x:v>5118.937082121669</x:v>
      </x:c>
      <x:c r="AH119" s="48" t="n">
        <x:f>(((SQRT(((Inputs!$I$8+(((A119)+1)/2)*(Inputs!$J$8-Inputs!$I$8)))^2+Inputs!$C$6^2+((Inputs!$H$8+Inputs!$L$8*(((Inputs!$I$8+(((A119)+1)/2)*(Inputs!$J$8-Inputs!$I$8)))/Inputs!$K$8)^2))^2))-((Inputs!$H$8+Inputs!$L$8*(((Inputs!$I$8+(((A119)+1)/2)*(Inputs!$J$8-Inputs!$I$8)))/Inputs!$K$8)^2)))*1000/Inputs!$C$12)</x:f>
        <x:v>6897.6376974683835</x:v>
      </x:c>
      <x:c r="AI119" s="48" t="n">
        <x:f>(((SQRT(((Inputs!$I$9+(((A119)+1)/2)*(Inputs!$J$9-Inputs!$I$9)))^2+Inputs!$C$6^2+((Inputs!$H$9+Inputs!$L$9*(((Inputs!$I$9+(((A119)+1)/2)*(Inputs!$J$9-Inputs!$I$9)))/Inputs!$K$9)^2))^2))-((Inputs!$H$9+Inputs!$L$9*(((Inputs!$I$9+(((A119)+1)/2)*(Inputs!$J$9-Inputs!$I$9)))/Inputs!$K$9)^2)))*1000/Inputs!$C$12)</x:f>
        <x:v>8645.322924687369</x:v>
      </x:c>
      <x:c r="AJ119" s="49"/>
      <x:c r="AK119" s="48" t="n">
        <x:f>A119</x:f>
        <x:v>-0.025</x:v>
      </x:c>
      <x:c r="AL119" s="48" t="n">
        <x:f>(-2*((1000*((((Inputs!$I$6+(((A119)+1)/2)*(Inputs!$J$6-Inputs!$I$6)))*Inputs!$C$11+((Inputs!$H$6+Inputs!$L$6*(((Inputs!$I$6+(((A119)+1)/2)*(Inputs!$J$6-Inputs!$I$6)))/Inputs!$K$6)^2))*((2*Inputs!$L$6*((Inputs!$I$6+(((A119)+1)/2)*(Inputs!$J$6-Inputs!$I$6)))/(Inputs!$K$6^2)*Inputs!$C$11)))/(SQRT(((Inputs!$I$6+(((A119)+1)/2)*(Inputs!$J$6-Inputs!$I$6)))^2+Inputs!$C$6^2+((Inputs!$H$6+Inputs!$L$6*(((Inputs!$I$6+(((A119)+1)/2)*(Inputs!$J$6-Inputs!$I$6)))/Inputs!$K$6)^2))^2)))))/Inputs!$C$13)</x:f>
        <x:v>11.311146183705798</x:v>
      </x:c>
      <x:c r="AM119" s="48" t="n">
        <x:f>(-2*((1000*((((Inputs!$I$7+(((A119)+1)/2)*(Inputs!$J$7-Inputs!$I$7)))*Inputs!$C$11+((Inputs!$H$7+Inputs!$L$7*(((Inputs!$I$7+(((A119)+1)/2)*(Inputs!$J$7-Inputs!$I$7)))/Inputs!$K$7)^2))*((2*Inputs!$L$7*((Inputs!$I$7+(((A119)+1)/2)*(Inputs!$J$7-Inputs!$I$7)))/(Inputs!$K$7^2)*Inputs!$C$11)))/(SQRT(((Inputs!$I$7+(((A119)+1)/2)*(Inputs!$J$7-Inputs!$I$7)))^2+Inputs!$C$6^2+((Inputs!$H$7+Inputs!$L$7*(((Inputs!$I$7+(((A119)+1)/2)*(Inputs!$J$7-Inputs!$I$7)))/Inputs!$K$7)^2))^2)))))/Inputs!$C$13)</x:f>
        <x:v>418.84806202163537</x:v>
      </x:c>
      <x:c r="AN119" s="48" t="n">
        <x:f>(-2*((1000*((((Inputs!$I$8+(((A119)+1)/2)*(Inputs!$J$8-Inputs!$I$8)))*Inputs!$C$11+((Inputs!$H$8+Inputs!$L$8*(((Inputs!$I$8+(((A119)+1)/2)*(Inputs!$J$8-Inputs!$I$8)))/Inputs!$K$8)^2))*((2*Inputs!$L$8*((Inputs!$I$8+(((A119)+1)/2)*(Inputs!$J$8-Inputs!$I$8)))/(Inputs!$K$8^2)*Inputs!$C$11)))/(SQRT(((Inputs!$I$8+(((A119)+1)/2)*(Inputs!$J$8-Inputs!$I$8)))^2+Inputs!$C$6^2+((Inputs!$H$8+Inputs!$L$8*(((Inputs!$I$8+(((A119)+1)/2)*(Inputs!$J$8-Inputs!$I$8)))/Inputs!$K$8)^2))^2)))))/Inputs!$C$13)</x:f>
        <x:v>740.0797956135042</x:v>
      </x:c>
      <x:c r="AO119" s="48" t="n">
        <x:f>(-2*((1000*((((Inputs!$I$9+(((A119)+1)/2)*(Inputs!$J$9-Inputs!$I$9)))*Inputs!$C$11+((Inputs!$H$9+Inputs!$L$9*(((Inputs!$I$9+(((A119)+1)/2)*(Inputs!$J$9-Inputs!$I$9)))/Inputs!$K$9)^2))*((2*Inputs!$L$9*((Inputs!$I$9+(((A119)+1)/2)*(Inputs!$J$9-Inputs!$I$9)))/(Inputs!$K$9^2)*Inputs!$C$11)))/(SQRT(((Inputs!$I$9+(((A119)+1)/2)*(Inputs!$J$9-Inputs!$I$9)))^2+Inputs!$C$6^2+((Inputs!$H$9+Inputs!$L$9*(((Inputs!$I$9+(((A119)+1)/2)*(Inputs!$J$9-Inputs!$I$9)))/Inputs!$K$9)^2))^2)))))/Inputs!$C$13)</x:f>
        <x:v>841.4281709931226</x:v>
      </x:c>
    </x:row>
    <x:row r="120">
      <x:c r="A120" s="48" t="n">
        <x:f>ROUND(-1+118*2/240,3)</x:f>
        <x:v>-0.017</x:v>
      </x:c>
      <x:c r="B120" s="48" t="n">
        <x:f>IF(OR(Inputs!$F$6=TRUE,Inputs!$F$6="TRUE",Inputs!$F$6=1),(Inputs!$H$6+Inputs!$L$6*(((Inputs!$I$6+(((A120)+1)/2)*(Inputs!$J$6-Inputs!$I$6)))/Inputs!$K$6)^2),NA())</x:f>
        <x:v>400.001156</x:v>
      </x:c>
      <x:c r="C120" s="48" t="n">
        <x:f>IF(OR(Inputs!$F$7=TRUE,Inputs!$F$7="TRUE",Inputs!$F$7=1),(Inputs!$H$7+Inputs!$L$7*(((Inputs!$I$7+(((A120)+1)/2)*(Inputs!$J$7-Inputs!$I$7)))/Inputs!$K$7)^2),NA())</x:f>
        <x:v>35.105485</x:v>
      </x:c>
      <x:c r="D120" s="48" t="n">
        <x:f>IF(OR(Inputs!$F$8=TRUE,Inputs!$F$8="TRUE",Inputs!$F$8=1),(Inputs!$H$8+Inputs!$L$8*(((Inputs!$I$8+(((A120)+1)/2)*(Inputs!$J$8-Inputs!$I$8)))/Inputs!$K$8)^2),NA())</x:f>
        <x:v>35.278885</x:v>
      </x:c>
      <x:c r="E120" s="48" t="n">
        <x:f>IF(OR(Inputs!$F$9=TRUE,Inputs!$F$9="TRUE",Inputs!$F$9=1),(Inputs!$H$9+Inputs!$L$9*(((Inputs!$I$9+(((A120)+1)/2)*(Inputs!$J$9-Inputs!$I$9)))/Inputs!$K$9)^2),NA())</x:f>
        <x:v>25.281775</x:v>
      </x:c>
      <x:c r="F120" s="49"/>
      <x:c r="G120" s="48" t="n">
        <x:f>A120</x:f>
        <x:v>-0.017</x:v>
      </x:c>
      <x:c r="H120" s="48" t="n">
        <x:f>IF(OR(Inputs!$F$6=TRUE,Inputs!$F$6="TRUE",Inputs!$F$6=1),(((SQRT(((Inputs!$I$6+(((A120)+1)/2)*(Inputs!$J$6-Inputs!$I$6)))^2+Inputs!$C$6^2+((Inputs!$H$6+Inputs!$L$6*(((Inputs!$I$6+(((A120)+1)/2)*(Inputs!$J$6-Inputs!$I$6)))/Inputs!$K$6)^2))^2))-((Inputs!$H$6+Inputs!$L$6*(((Inputs!$I$6+(((A120)+1)/2)*(Inputs!$J$6-Inputs!$I$6)))/Inputs!$K$6)^2)))*1000/Inputs!$C$12),NA())</x:f>
        <x:v>439.20463896751465</x:v>
      </x:c>
      <x:c r="I120" s="48" t="n">
        <x:f>IF(OR(Inputs!$F$7=TRUE,Inputs!$F$7="TRUE",Inputs!$F$7=1),(((SQRT(((Inputs!$I$7+(((A120)+1)/2)*(Inputs!$J$7-Inputs!$I$7)))^2+Inputs!$C$6^2+((Inputs!$H$7+Inputs!$L$7*(((Inputs!$I$7+(((A120)+1)/2)*(Inputs!$J$7-Inputs!$I$7)))/Inputs!$K$7)^2))^2))-((Inputs!$H$7+Inputs!$L$7*(((Inputs!$I$7+(((A120)+1)/2)*(Inputs!$J$7-Inputs!$I$7)))/Inputs!$K$7)^2)))*1000/Inputs!$C$12),NA())</x:f>
        <x:v>4789.42792391542</x:v>
      </x:c>
      <x:c r="J120" s="48" t="n">
        <x:f>IF(OR(Inputs!$F$8=TRUE,Inputs!$F$8="TRUE",Inputs!$F$8=1),(((SQRT(((Inputs!$I$8+(((A120)+1)/2)*(Inputs!$J$8-Inputs!$I$8)))^2+Inputs!$C$6^2+((Inputs!$H$8+Inputs!$L$8*(((Inputs!$I$8+(((A120)+1)/2)*(Inputs!$J$8-Inputs!$I$8)))/Inputs!$K$8)^2))^2))-((Inputs!$H$8+Inputs!$L$8*(((Inputs!$I$8+(((A120)+1)/2)*(Inputs!$J$8-Inputs!$I$8)))/Inputs!$K$8)^2)))*1000/Inputs!$C$12),NA())</x:f>
        <x:v>5645.149708559639</x:v>
      </x:c>
      <x:c r="K120" s="48" t="n">
        <x:f>IF(OR(Inputs!$F$9=TRUE,Inputs!$F$9="TRUE",Inputs!$F$9=1),(((SQRT(((Inputs!$I$9+(((A120)+1)/2)*(Inputs!$J$9-Inputs!$I$9)))^2+Inputs!$C$6^2+((Inputs!$H$9+Inputs!$L$9*(((Inputs!$I$9+(((A120)+1)/2)*(Inputs!$J$9-Inputs!$I$9)))/Inputs!$K$9)^2))^2))-((Inputs!$H$9+Inputs!$L$9*(((Inputs!$I$9+(((A120)+1)/2)*(Inputs!$J$9-Inputs!$I$9)))/Inputs!$K$9)^2)))*1000/Inputs!$C$12),NA())</x:f>
        <x:v>7182.944280440194</x:v>
      </x:c>
      <x:c r="L120" s="49"/>
      <x:c r="M120" s="48" t="n">
        <x:f>A120</x:f>
        <x:v>-0.017</x:v>
      </x:c>
      <x:c r="N120" s="48" t="n">
        <x:f>IF(OR(Inputs!$F$6=TRUE,Inputs!$F$6="TRUE",Inputs!$F$6=1),(-2*((1000*((((Inputs!$I$6+(((A120)+1)/2)*(Inputs!$J$6-Inputs!$I$6)))*Inputs!$C$11+((Inputs!$H$6+Inputs!$L$6*(((Inputs!$I$6+(((A120)+1)/2)*(Inputs!$J$6-Inputs!$I$6)))/Inputs!$K$6)^2))*((2*Inputs!$L$6*((Inputs!$I$6+(((A120)+1)/2)*(Inputs!$J$6-Inputs!$I$6)))/(Inputs!$K$6^2)*Inputs!$C$11)))/(SQRT(((Inputs!$I$6+(((A120)+1)/2)*(Inputs!$J$6-Inputs!$I$6)))^2+Inputs!$C$6^2+((Inputs!$H$6+Inputs!$L$6*(((Inputs!$I$6+(((A120)+1)/2)*(Inputs!$J$6-Inputs!$I$6)))/Inputs!$K$6)^2))^2)))))/Inputs!$C$13),NA())</x:f>
        <x:v>7.691621946567412</x:v>
      </x:c>
      <x:c r="O120" s="48" t="n">
        <x:f>IF(OR(Inputs!$F$7=TRUE,Inputs!$F$7="TRUE",Inputs!$F$7=1),(-2*((1000*((((Inputs!$I$7+(((A120)+1)/2)*(Inputs!$J$7-Inputs!$I$7)))*Inputs!$C$11+((Inputs!$H$7+Inputs!$L$7*(((Inputs!$I$7+(((A120)+1)/2)*(Inputs!$J$7-Inputs!$I$7)))/Inputs!$K$7)^2))*((2*Inputs!$L$7*((Inputs!$I$7+(((A120)+1)/2)*(Inputs!$J$7-Inputs!$I$7)))/(Inputs!$K$7^2)*Inputs!$C$11)))/(SQRT(((Inputs!$I$7+(((A120)+1)/2)*(Inputs!$J$7-Inputs!$I$7)))^2+Inputs!$C$6^2+((Inputs!$H$7+Inputs!$L$7*(((Inputs!$I$7+(((A120)+1)/2)*(Inputs!$J$7-Inputs!$I$7)))/Inputs!$K$7)^2))^2)))))/Inputs!$C$13),NA())</x:f>
        <x:v>289.3065182998464</x:v>
      </x:c>
      <x:c r="P120" s="48" t="n">
        <x:f>IF(OR(Inputs!$F$8=TRUE,Inputs!$F$8="TRUE",Inputs!$F$8=1),(-2*((1000*((((Inputs!$I$8+(((A120)+1)/2)*(Inputs!$J$8-Inputs!$I$8)))*Inputs!$C$11+((Inputs!$H$8+Inputs!$L$8*(((Inputs!$I$8+(((A120)+1)/2)*(Inputs!$J$8-Inputs!$I$8)))/Inputs!$K$8)^2))*((2*Inputs!$L$8*((Inputs!$I$8+(((A120)+1)/2)*(Inputs!$J$8-Inputs!$I$8)))/(Inputs!$K$8^2)*Inputs!$C$11)))/(SQRT(((Inputs!$I$8+(((A120)+1)/2)*(Inputs!$J$8-Inputs!$I$8)))^2+Inputs!$C$6^2+((Inputs!$H$8+Inputs!$L$8*(((Inputs!$I$8+(((A120)+1)/2)*(Inputs!$J$8-Inputs!$I$8)))/Inputs!$K$8)^2))^2)))))/Inputs!$C$13),NA())</x:f>
        <x:v>531.137442641238</x:v>
      </x:c>
      <x:c r="Q120" s="48" t="n">
        <x:f>IF(OR(Inputs!$F$9=TRUE,Inputs!$F$9="TRUE",Inputs!$F$9=1),(-2*((1000*((((Inputs!$I$9+(((A120)+1)/2)*(Inputs!$J$9-Inputs!$I$9)))*Inputs!$C$11+((Inputs!$H$9+Inputs!$L$9*(((Inputs!$I$9+(((A120)+1)/2)*(Inputs!$J$9-Inputs!$I$9)))/Inputs!$K$9)^2))*((2*Inputs!$L$9*((Inputs!$I$9+(((A120)+1)/2)*(Inputs!$J$9-Inputs!$I$9)))/(Inputs!$K$9^2)*Inputs!$C$11)))/(SQRT(((Inputs!$I$9+(((A120)+1)/2)*(Inputs!$J$9-Inputs!$I$9)))^2+Inputs!$C$6^2+((Inputs!$H$9+Inputs!$L$9*(((Inputs!$I$9+(((A120)+1)/2)*(Inputs!$J$9-Inputs!$I$9)))/Inputs!$K$9)^2))^2)))))/Inputs!$C$13),NA())</x:f>
        <x:v>615.6493993135647</x:v>
      </x:c>
      <x:c r="R120" s="49"/>
      <x:c r="S120" s="48" t="n">
        <x:f>A120</x:f>
        <x:v>-0.017</x:v>
      </x:c>
      <x:c r="T120" s="48" t="n">
        <x:f>(Inputs!$I$6+(((A120)+1)/2)*(Inputs!$J$6-Inputs!$I$6))</x:f>
        <x:v>-1.0200000000000031</x:v>
      </x:c>
      <x:c r="U120" s="48" t="n">
        <x:f>(Inputs!$I$7+(((A120)+1)/2)*(Inputs!$J$7-Inputs!$I$7))</x:f>
        <x:v>-6.800000000000011</x:v>
      </x:c>
      <x:c r="V120" s="48" t="n">
        <x:f>(Inputs!$I$8+(((A120)+1)/2)*(Inputs!$J$8-Inputs!$I$8))</x:f>
        <x:v>-13.600000000000023</x:v>
      </x:c>
      <x:c r="W120" s="48" t="n">
        <x:f>(Inputs!$I$9+(((A120)+1)/2)*(Inputs!$J$9-Inputs!$I$9))</x:f>
        <x:v>-13.600000000000023</x:v>
      </x:c>
      <x:c r="X120" s="49"/>
      <x:c r="Y120" s="48" t="n">
        <x:f>A120</x:f>
        <x:v>-0.017</x:v>
      </x:c>
      <x:c r="Z120" s="48" t="n">
        <x:f>(Inputs!$H$6+Inputs!$L$6*(((Inputs!$I$6+(((A120)+1)/2)*(Inputs!$J$6-Inputs!$I$6)))/Inputs!$K$6)^2)</x:f>
        <x:v>400.001156</x:v>
      </x:c>
      <x:c r="AA120" s="48" t="n">
        <x:f>(Inputs!$H$7+Inputs!$L$7*(((Inputs!$I$7+(((A120)+1)/2)*(Inputs!$J$7-Inputs!$I$7)))/Inputs!$K$7)^2)</x:f>
        <x:v>35.105485</x:v>
      </x:c>
      <x:c r="AB120" s="48" t="n">
        <x:f>(Inputs!$H$8+Inputs!$L$8*(((Inputs!$I$8+(((A120)+1)/2)*(Inputs!$J$8-Inputs!$I$8)))/Inputs!$K$8)^2)</x:f>
        <x:v>35.278885</x:v>
      </x:c>
      <x:c r="AC120" s="48" t="n">
        <x:f>(Inputs!$H$9+Inputs!$L$9*(((Inputs!$I$9+(((A120)+1)/2)*(Inputs!$J$9-Inputs!$I$9)))/Inputs!$K$9)^2)</x:f>
        <x:v>25.281775</x:v>
      </x:c>
      <x:c r="AD120" s="49"/>
      <x:c r="AE120" s="48" t="n">
        <x:f>A120</x:f>
        <x:v>-0.017</x:v>
      </x:c>
      <x:c r="AF120" s="48" t="n">
        <x:f>(((SQRT(((Inputs!$I$6+(((A120)+1)/2)*(Inputs!$J$6-Inputs!$I$6)))^2+Inputs!$C$6^2+((Inputs!$H$6+Inputs!$L$6*(((Inputs!$I$6+(((A120)+1)/2)*(Inputs!$J$6-Inputs!$I$6)))/Inputs!$K$6)^2))^2))-((Inputs!$H$6+Inputs!$L$6*(((Inputs!$I$6+(((A120)+1)/2)*(Inputs!$J$6-Inputs!$I$6)))/Inputs!$K$6)^2)))*1000/Inputs!$C$12)</x:f>
        <x:v>439.20463896751465</x:v>
      </x:c>
      <x:c r="AG120" s="48" t="n">
        <x:f>(((SQRT(((Inputs!$I$7+(((A120)+1)/2)*(Inputs!$J$7-Inputs!$I$7)))^2+Inputs!$C$6^2+((Inputs!$H$7+Inputs!$L$7*(((Inputs!$I$7+(((A120)+1)/2)*(Inputs!$J$7-Inputs!$I$7)))/Inputs!$K$7)^2))^2))-((Inputs!$H$7+Inputs!$L$7*(((Inputs!$I$7+(((A120)+1)/2)*(Inputs!$J$7-Inputs!$I$7)))/Inputs!$K$7)^2)))*1000/Inputs!$C$12)</x:f>
        <x:v>4789.42792391542</x:v>
      </x:c>
      <x:c r="AH120" s="48" t="n">
        <x:f>(((SQRT(((Inputs!$I$8+(((A120)+1)/2)*(Inputs!$J$8-Inputs!$I$8)))^2+Inputs!$C$6^2+((Inputs!$H$8+Inputs!$L$8*(((Inputs!$I$8+(((A120)+1)/2)*(Inputs!$J$8-Inputs!$I$8)))/Inputs!$K$8)^2))^2))-((Inputs!$H$8+Inputs!$L$8*(((Inputs!$I$8+(((A120)+1)/2)*(Inputs!$J$8-Inputs!$I$8)))/Inputs!$K$8)^2)))*1000/Inputs!$C$12)</x:f>
        <x:v>5645.149708559639</x:v>
      </x:c>
      <x:c r="AI120" s="48" t="n">
        <x:f>(((SQRT(((Inputs!$I$9+(((A120)+1)/2)*(Inputs!$J$9-Inputs!$I$9)))^2+Inputs!$C$6^2+((Inputs!$H$9+Inputs!$L$9*(((Inputs!$I$9+(((A120)+1)/2)*(Inputs!$J$9-Inputs!$I$9)))/Inputs!$K$9)^2))^2))-((Inputs!$H$9+Inputs!$L$9*(((Inputs!$I$9+(((A120)+1)/2)*(Inputs!$J$9-Inputs!$I$9)))/Inputs!$K$9)^2)))*1000/Inputs!$C$12)</x:f>
        <x:v>7182.944280440194</x:v>
      </x:c>
      <x:c r="AJ120" s="49"/>
      <x:c r="AK120" s="48" t="n">
        <x:f>A120</x:f>
        <x:v>-0.017</x:v>
      </x:c>
      <x:c r="AL120" s="48" t="n">
        <x:f>(-2*((1000*((((Inputs!$I$6+(((A120)+1)/2)*(Inputs!$J$6-Inputs!$I$6)))*Inputs!$C$11+((Inputs!$H$6+Inputs!$L$6*(((Inputs!$I$6+(((A120)+1)/2)*(Inputs!$J$6-Inputs!$I$6)))/Inputs!$K$6)^2))*((2*Inputs!$L$6*((Inputs!$I$6+(((A120)+1)/2)*(Inputs!$J$6-Inputs!$I$6)))/(Inputs!$K$6^2)*Inputs!$C$11)))/(SQRT(((Inputs!$I$6+(((A120)+1)/2)*(Inputs!$J$6-Inputs!$I$6)))^2+Inputs!$C$6^2+((Inputs!$H$6+Inputs!$L$6*(((Inputs!$I$6+(((A120)+1)/2)*(Inputs!$J$6-Inputs!$I$6)))/Inputs!$K$6)^2))^2)))))/Inputs!$C$13)</x:f>
        <x:v>7.691621946567412</x:v>
      </x:c>
      <x:c r="AM120" s="48" t="n">
        <x:f>(-2*((1000*((((Inputs!$I$7+(((A120)+1)/2)*(Inputs!$J$7-Inputs!$I$7)))*Inputs!$C$11+((Inputs!$H$7+Inputs!$L$7*(((Inputs!$I$7+(((A120)+1)/2)*(Inputs!$J$7-Inputs!$I$7)))/Inputs!$K$7)^2))*((2*Inputs!$L$7*((Inputs!$I$7+(((A120)+1)/2)*(Inputs!$J$7-Inputs!$I$7)))/(Inputs!$K$7^2)*Inputs!$C$11)))/(SQRT(((Inputs!$I$7+(((A120)+1)/2)*(Inputs!$J$7-Inputs!$I$7)))^2+Inputs!$C$6^2+((Inputs!$H$7+Inputs!$L$7*(((Inputs!$I$7+(((A120)+1)/2)*(Inputs!$J$7-Inputs!$I$7)))/Inputs!$K$7)^2))^2)))))/Inputs!$C$13)</x:f>
        <x:v>289.3065182998464</x:v>
      </x:c>
      <x:c r="AN120" s="48" t="n">
        <x:f>(-2*((1000*((((Inputs!$I$8+(((A120)+1)/2)*(Inputs!$J$8-Inputs!$I$8)))*Inputs!$C$11+((Inputs!$H$8+Inputs!$L$8*(((Inputs!$I$8+(((A120)+1)/2)*(Inputs!$J$8-Inputs!$I$8)))/Inputs!$K$8)^2))*((2*Inputs!$L$8*((Inputs!$I$8+(((A120)+1)/2)*(Inputs!$J$8-Inputs!$I$8)))/(Inputs!$K$8^2)*Inputs!$C$11)))/(SQRT(((Inputs!$I$8+(((A120)+1)/2)*(Inputs!$J$8-Inputs!$I$8)))^2+Inputs!$C$6^2+((Inputs!$H$8+Inputs!$L$8*(((Inputs!$I$8+(((A120)+1)/2)*(Inputs!$J$8-Inputs!$I$8)))/Inputs!$K$8)^2))^2)))))/Inputs!$C$13)</x:f>
        <x:v>531.137442641238</x:v>
      </x:c>
      <x:c r="AO120" s="48" t="n">
        <x:f>(-2*((1000*((((Inputs!$I$9+(((A120)+1)/2)*(Inputs!$J$9-Inputs!$I$9)))*Inputs!$C$11+((Inputs!$H$9+Inputs!$L$9*(((Inputs!$I$9+(((A120)+1)/2)*(Inputs!$J$9-Inputs!$I$9)))/Inputs!$K$9)^2))*((2*Inputs!$L$9*((Inputs!$I$9+(((A120)+1)/2)*(Inputs!$J$9-Inputs!$I$9)))/(Inputs!$K$9^2)*Inputs!$C$11)))/(SQRT(((Inputs!$I$9+(((A120)+1)/2)*(Inputs!$J$9-Inputs!$I$9)))^2+Inputs!$C$6^2+((Inputs!$H$9+Inputs!$L$9*(((Inputs!$I$9+(((A120)+1)/2)*(Inputs!$J$9-Inputs!$I$9)))/Inputs!$K$9)^2))^2)))))/Inputs!$C$13)</x:f>
        <x:v>615.6493993135647</x:v>
      </x:c>
    </x:row>
    <x:row r="121">
      <x:c r="A121" s="48" t="n">
        <x:f>ROUND(-1+119*2/240,3)</x:f>
        <x:v>-0.008</x:v>
      </x:c>
      <x:c r="B121" s="48" t="n">
        <x:f>IF(OR(Inputs!$F$6=TRUE,Inputs!$F$6="TRUE",Inputs!$F$6=1),(Inputs!$H$6+Inputs!$L$6*(((Inputs!$I$6+(((A121)+1)/2)*(Inputs!$J$6-Inputs!$I$6)))/Inputs!$K$6)^2),NA())</x:f>
        <x:v>400.000256</x:v>
      </x:c>
      <x:c r="C121" s="48" t="n">
        <x:f>IF(OR(Inputs!$F$7=TRUE,Inputs!$F$7="TRUE",Inputs!$F$7=1),(Inputs!$H$7+Inputs!$L$7*(((Inputs!$I$7+(((A121)+1)/2)*(Inputs!$J$7-Inputs!$I$7)))/Inputs!$K$7)^2),NA())</x:f>
        <x:v>35.02336</x:v>
      </x:c>
      <x:c r="D121" s="48" t="n">
        <x:f>IF(OR(Inputs!$F$8=TRUE,Inputs!$F$8="TRUE",Inputs!$F$8=1),(Inputs!$H$8+Inputs!$L$8*(((Inputs!$I$8+(((A121)+1)/2)*(Inputs!$J$8-Inputs!$I$8)))/Inputs!$K$8)^2),NA())</x:f>
        <x:v>35.06176</x:v>
      </x:c>
      <x:c r="E121" s="48" t="n">
        <x:f>IF(OR(Inputs!$F$9=TRUE,Inputs!$F$9="TRUE",Inputs!$F$9=1),(Inputs!$H$9+Inputs!$L$9*(((Inputs!$I$9+(((A121)+1)/2)*(Inputs!$J$9-Inputs!$I$9)))/Inputs!$K$9)^2),NA())</x:f>
        <x:v>25.0624</x:v>
      </x:c>
      <x:c r="F121" s="49"/>
      <x:c r="G121" s="48" t="n">
        <x:f>A121</x:f>
        <x:v>-0.008</x:v>
      </x:c>
      <x:c r="H121" s="48" t="n">
        <x:f>IF(OR(Inputs!$F$6=TRUE,Inputs!$F$6="TRUE",Inputs!$F$6=1),(((SQRT(((Inputs!$I$6+(((A121)+1)/2)*(Inputs!$J$6-Inputs!$I$6)))^2+Inputs!$C$6^2+((Inputs!$H$6+Inputs!$L$6*(((Inputs!$I$6+(((A121)+1)/2)*(Inputs!$J$6-Inputs!$I$6)))/Inputs!$K$6)^2))^2))-((Inputs!$H$6+Inputs!$L$6*(((Inputs!$I$6+(((A121)+1)/2)*(Inputs!$J$6-Inputs!$I$6)))/Inputs!$K$6)^2)))*1000/Inputs!$C$12),NA())</x:f>
        <x:v>438.6379142424745</x:v>
      </x:c>
      <x:c r="I121" s="48" t="n">
        <x:f>IF(OR(Inputs!$F$7=TRUE,Inputs!$F$7="TRUE",Inputs!$F$7=1),(((SQRT(((Inputs!$I$7+(((A121)+1)/2)*(Inputs!$J$7-Inputs!$I$7)))^2+Inputs!$C$6^2+((Inputs!$H$7+Inputs!$L$7*(((Inputs!$I$7+(((A121)+1)/2)*(Inputs!$J$7-Inputs!$I$7)))/Inputs!$K$7)^2))^2))-((Inputs!$H$7+Inputs!$L$7*(((Inputs!$I$7+(((A121)+1)/2)*(Inputs!$J$7-Inputs!$I$7)))/Inputs!$K$7)^2)))*1000/Inputs!$C$12),NA())</x:f>
        <x:v>4565.223725676611</x:v>
      </x:c>
      <x:c r="J121" s="48" t="n">
        <x:f>IF(OR(Inputs!$F$8=TRUE,Inputs!$F$8="TRUE",Inputs!$F$8=1),(((SQRT(((Inputs!$I$8+(((A121)+1)/2)*(Inputs!$J$8-Inputs!$I$8)))^2+Inputs!$C$6^2+((Inputs!$H$8+Inputs!$L$8*(((Inputs!$I$8+(((A121)+1)/2)*(Inputs!$J$8-Inputs!$I$8)))/Inputs!$K$8)^2))^2))-((Inputs!$H$8+Inputs!$L$8*(((Inputs!$I$8+(((A121)+1)/2)*(Inputs!$J$8-Inputs!$I$8)))/Inputs!$K$8)^2)))*1000/Inputs!$C$12),NA())</x:f>
        <x:v>4760.18776114794</x:v>
      </x:c>
      <x:c r="K121" s="48" t="n">
        <x:f>IF(OR(Inputs!$F$9=TRUE,Inputs!$F$9="TRUE",Inputs!$F$9=1),(((SQRT(((Inputs!$I$9+(((A121)+1)/2)*(Inputs!$J$9-Inputs!$I$9)))^2+Inputs!$C$6^2+((Inputs!$H$9+Inputs!$L$9*(((Inputs!$I$9+(((A121)+1)/2)*(Inputs!$J$9-Inputs!$I$9)))/Inputs!$K$9)^2))^2))-((Inputs!$H$9+Inputs!$L$9*(((Inputs!$I$9+(((A121)+1)/2)*(Inputs!$J$9-Inputs!$I$9)))/Inputs!$K$9)^2)))*1000/Inputs!$C$12),NA())</x:f>
        <x:v>6129.762679511511</x:v>
      </x:c>
      <x:c r="L121" s="49"/>
      <x:c r="M121" s="48" t="n">
        <x:f>A121</x:f>
        <x:v>-0.008</x:v>
      </x:c>
      <x:c r="N121" s="48" t="n">
        <x:f>IF(OR(Inputs!$F$6=TRUE,Inputs!$F$6="TRUE",Inputs!$F$6=1),(-2*((1000*((((Inputs!$I$6+(((A121)+1)/2)*(Inputs!$J$6-Inputs!$I$6)))*Inputs!$C$11+((Inputs!$H$6+Inputs!$L$6*(((Inputs!$I$6+(((A121)+1)/2)*(Inputs!$J$6-Inputs!$I$6)))/Inputs!$K$6)^2))*((2*Inputs!$L$6*((Inputs!$I$6+(((A121)+1)/2)*(Inputs!$J$6-Inputs!$I$6)))/(Inputs!$K$6^2)*Inputs!$C$11)))/(SQRT(((Inputs!$I$6+(((A121)+1)/2)*(Inputs!$J$6-Inputs!$I$6)))^2+Inputs!$C$6^2+((Inputs!$H$6+Inputs!$L$6*(((Inputs!$I$6+(((A121)+1)/2)*(Inputs!$J$6-Inputs!$I$6)))/Inputs!$K$6)^2))^2)))))/Inputs!$C$13),NA())</x:f>
        <x:v>3.6196002046048124</x:v>
      </x:c>
      <x:c r="O121" s="48" t="n">
        <x:f>IF(OR(Inputs!$F$7=TRUE,Inputs!$F$7="TRUE",Inputs!$F$7=1),(-2*((1000*((((Inputs!$I$7+(((A121)+1)/2)*(Inputs!$J$7-Inputs!$I$7)))*Inputs!$C$11+((Inputs!$H$7+Inputs!$L$7*(((Inputs!$I$7+(((A121)+1)/2)*(Inputs!$J$7-Inputs!$I$7)))/Inputs!$K$7)^2))*((2*Inputs!$L$7*((Inputs!$I$7+(((A121)+1)/2)*(Inputs!$J$7-Inputs!$I$7)))/(Inputs!$K$7^2)*Inputs!$C$11)))/(SQRT(((Inputs!$I$7+(((A121)+1)/2)*(Inputs!$J$7-Inputs!$I$7)))^2+Inputs!$C$6^2+((Inputs!$H$7+Inputs!$L$7*(((Inputs!$I$7+(((A121)+1)/2)*(Inputs!$J$7-Inputs!$I$7)))/Inputs!$K$7)^2))^2)))))/Inputs!$C$13),NA())</x:f>
        <x:v>137.61808219499</x:v>
      </x:c>
      <x:c r="P121" s="48" t="n">
        <x:f>IF(OR(Inputs!$F$8=TRUE,Inputs!$F$8="TRUE",Inputs!$F$8=1),(-2*((1000*((((Inputs!$I$8+(((A121)+1)/2)*(Inputs!$J$8-Inputs!$I$8)))*Inputs!$C$11+((Inputs!$H$8+Inputs!$L$8*(((Inputs!$I$8+(((A121)+1)/2)*(Inputs!$J$8-Inputs!$I$8)))/Inputs!$K$8)^2))*((2*Inputs!$L$8*((Inputs!$I$8+(((A121)+1)/2)*(Inputs!$J$8-Inputs!$I$8)))/(Inputs!$K$8^2)*Inputs!$C$11)))/(SQRT(((Inputs!$I$8+(((A121)+1)/2)*(Inputs!$J$8-Inputs!$I$8)))^2+Inputs!$C$6^2+((Inputs!$H$8+Inputs!$L$8*(((Inputs!$I$8+(((A121)+1)/2)*(Inputs!$J$8-Inputs!$I$8)))/Inputs!$K$8)^2))^2)))))/Inputs!$C$13),NA())</x:f>
        <x:v>260.0834882685773</x:v>
      </x:c>
      <x:c r="Q121" s="48" t="n">
        <x:f>IF(OR(Inputs!$F$9=TRUE,Inputs!$F$9="TRUE",Inputs!$F$9=1),(-2*((1000*((((Inputs!$I$9+(((A121)+1)/2)*(Inputs!$J$9-Inputs!$I$9)))*Inputs!$C$11+((Inputs!$H$9+Inputs!$L$9*(((Inputs!$I$9+(((A121)+1)/2)*(Inputs!$J$9-Inputs!$I$9)))/Inputs!$K$9)^2))*((2*Inputs!$L$9*((Inputs!$I$9+(((A121)+1)/2)*(Inputs!$J$9-Inputs!$I$9)))/(Inputs!$K$9^2)*Inputs!$C$11)))/(SQRT(((Inputs!$I$9+(((A121)+1)/2)*(Inputs!$J$9-Inputs!$I$9)))^2+Inputs!$C$6^2+((Inputs!$H$9+Inputs!$L$9*(((Inputs!$I$9+(((A121)+1)/2)*(Inputs!$J$9-Inputs!$I$9)))/Inputs!$K$9)^2))^2)))))/Inputs!$C$13),NA())</x:f>
        <x:v>306.3917714898021</x:v>
      </x:c>
      <x:c r="R121" s="49"/>
      <x:c r="S121" s="48" t="n">
        <x:f>A121</x:f>
        <x:v>-0.008</x:v>
      </x:c>
      <x:c r="T121" s="48" t="n">
        <x:f>(Inputs!$I$6+(((A121)+1)/2)*(Inputs!$J$6-Inputs!$I$6))</x:f>
        <x:v>-0.480000000000004</x:v>
      </x:c>
      <x:c r="U121" s="48" t="n">
        <x:f>(Inputs!$I$7+(((A121)+1)/2)*(Inputs!$J$7-Inputs!$I$7))</x:f>
        <x:v>-3.1999999999999886</x:v>
      </x:c>
      <x:c r="V121" s="48" t="n">
        <x:f>(Inputs!$I$8+(((A121)+1)/2)*(Inputs!$J$8-Inputs!$I$8))</x:f>
        <x:v>-6.399999999999977</x:v>
      </x:c>
      <x:c r="W121" s="48" t="n">
        <x:f>(Inputs!$I$9+(((A121)+1)/2)*(Inputs!$J$9-Inputs!$I$9))</x:f>
        <x:v>-6.399999999999977</x:v>
      </x:c>
      <x:c r="X121" s="49"/>
      <x:c r="Y121" s="48" t="n">
        <x:f>A121</x:f>
        <x:v>-0.008</x:v>
      </x:c>
      <x:c r="Z121" s="48" t="n">
        <x:f>(Inputs!$H$6+Inputs!$L$6*(((Inputs!$I$6+(((A121)+1)/2)*(Inputs!$J$6-Inputs!$I$6)))/Inputs!$K$6)^2)</x:f>
        <x:v>400.000256</x:v>
      </x:c>
      <x:c r="AA121" s="48" t="n">
        <x:f>(Inputs!$H$7+Inputs!$L$7*(((Inputs!$I$7+(((A121)+1)/2)*(Inputs!$J$7-Inputs!$I$7)))/Inputs!$K$7)^2)</x:f>
        <x:v>35.02336</x:v>
      </x:c>
      <x:c r="AB121" s="48" t="n">
        <x:f>(Inputs!$H$8+Inputs!$L$8*(((Inputs!$I$8+(((A121)+1)/2)*(Inputs!$J$8-Inputs!$I$8)))/Inputs!$K$8)^2)</x:f>
        <x:v>35.06176</x:v>
      </x:c>
      <x:c r="AC121" s="48" t="n">
        <x:f>(Inputs!$H$9+Inputs!$L$9*(((Inputs!$I$9+(((A121)+1)/2)*(Inputs!$J$9-Inputs!$I$9)))/Inputs!$K$9)^2)</x:f>
        <x:v>25.0624</x:v>
      </x:c>
      <x:c r="AD121" s="49"/>
      <x:c r="AE121" s="48" t="n">
        <x:f>A121</x:f>
        <x:v>-0.008</x:v>
      </x:c>
      <x:c r="AF121" s="48" t="n">
        <x:f>(((SQRT(((Inputs!$I$6+(((A121)+1)/2)*(Inputs!$J$6-Inputs!$I$6)))^2+Inputs!$C$6^2+((Inputs!$H$6+Inputs!$L$6*(((Inputs!$I$6+(((A121)+1)/2)*(Inputs!$J$6-Inputs!$I$6)))/Inputs!$K$6)^2))^2))-((Inputs!$H$6+Inputs!$L$6*(((Inputs!$I$6+(((A121)+1)/2)*(Inputs!$J$6-Inputs!$I$6)))/Inputs!$K$6)^2)))*1000/Inputs!$C$12)</x:f>
        <x:v>438.6379142424745</x:v>
      </x:c>
      <x:c r="AG121" s="48" t="n">
        <x:f>(((SQRT(((Inputs!$I$7+(((A121)+1)/2)*(Inputs!$J$7-Inputs!$I$7)))^2+Inputs!$C$6^2+((Inputs!$H$7+Inputs!$L$7*(((Inputs!$I$7+(((A121)+1)/2)*(Inputs!$J$7-Inputs!$I$7)))/Inputs!$K$7)^2))^2))-((Inputs!$H$7+Inputs!$L$7*(((Inputs!$I$7+(((A121)+1)/2)*(Inputs!$J$7-Inputs!$I$7)))/Inputs!$K$7)^2)))*1000/Inputs!$C$12)</x:f>
        <x:v>4565.223725676611</x:v>
      </x:c>
      <x:c r="AH121" s="48" t="n">
        <x:f>(((SQRT(((Inputs!$I$8+(((A121)+1)/2)*(Inputs!$J$8-Inputs!$I$8)))^2+Inputs!$C$6^2+((Inputs!$H$8+Inputs!$L$8*(((Inputs!$I$8+(((A121)+1)/2)*(Inputs!$J$8-Inputs!$I$8)))/Inputs!$K$8)^2))^2))-((Inputs!$H$8+Inputs!$L$8*(((Inputs!$I$8+(((A121)+1)/2)*(Inputs!$J$8-Inputs!$I$8)))/Inputs!$K$8)^2)))*1000/Inputs!$C$12)</x:f>
        <x:v>4760.18776114794</x:v>
      </x:c>
      <x:c r="AI121" s="48" t="n">
        <x:f>(((SQRT(((Inputs!$I$9+(((A121)+1)/2)*(Inputs!$J$9-Inputs!$I$9)))^2+Inputs!$C$6^2+((Inputs!$H$9+Inputs!$L$9*(((Inputs!$I$9+(((A121)+1)/2)*(Inputs!$J$9-Inputs!$I$9)))/Inputs!$K$9)^2))^2))-((Inputs!$H$9+Inputs!$L$9*(((Inputs!$I$9+(((A121)+1)/2)*(Inputs!$J$9-Inputs!$I$9)))/Inputs!$K$9)^2)))*1000/Inputs!$C$12)</x:f>
        <x:v>6129.762679511511</x:v>
      </x:c>
      <x:c r="AJ121" s="49"/>
      <x:c r="AK121" s="48" t="n">
        <x:f>A121</x:f>
        <x:v>-0.008</x:v>
      </x:c>
      <x:c r="AL121" s="48" t="n">
        <x:f>(-2*((1000*((((Inputs!$I$6+(((A121)+1)/2)*(Inputs!$J$6-Inputs!$I$6)))*Inputs!$C$11+((Inputs!$H$6+Inputs!$L$6*(((Inputs!$I$6+(((A121)+1)/2)*(Inputs!$J$6-Inputs!$I$6)))/Inputs!$K$6)^2))*((2*Inputs!$L$6*((Inputs!$I$6+(((A121)+1)/2)*(Inputs!$J$6-Inputs!$I$6)))/(Inputs!$K$6^2)*Inputs!$C$11)))/(SQRT(((Inputs!$I$6+(((A121)+1)/2)*(Inputs!$J$6-Inputs!$I$6)))^2+Inputs!$C$6^2+((Inputs!$H$6+Inputs!$L$6*(((Inputs!$I$6+(((A121)+1)/2)*(Inputs!$J$6-Inputs!$I$6)))/Inputs!$K$6)^2))^2)))))/Inputs!$C$13)</x:f>
        <x:v>3.6196002046048124</x:v>
      </x:c>
      <x:c r="AM121" s="48" t="n">
        <x:f>(-2*((1000*((((Inputs!$I$7+(((A121)+1)/2)*(Inputs!$J$7-Inputs!$I$7)))*Inputs!$C$11+((Inputs!$H$7+Inputs!$L$7*(((Inputs!$I$7+(((A121)+1)/2)*(Inputs!$J$7-Inputs!$I$7)))/Inputs!$K$7)^2))*((2*Inputs!$L$7*((Inputs!$I$7+(((A121)+1)/2)*(Inputs!$J$7-Inputs!$I$7)))/(Inputs!$K$7^2)*Inputs!$C$11)))/(SQRT(((Inputs!$I$7+(((A121)+1)/2)*(Inputs!$J$7-Inputs!$I$7)))^2+Inputs!$C$6^2+((Inputs!$H$7+Inputs!$L$7*(((Inputs!$I$7+(((A121)+1)/2)*(Inputs!$J$7-Inputs!$I$7)))/Inputs!$K$7)^2))^2)))))/Inputs!$C$13)</x:f>
        <x:v>137.61808219499</x:v>
      </x:c>
      <x:c r="AN121" s="48" t="n">
        <x:f>(-2*((1000*((((Inputs!$I$8+(((A121)+1)/2)*(Inputs!$J$8-Inputs!$I$8)))*Inputs!$C$11+((Inputs!$H$8+Inputs!$L$8*(((Inputs!$I$8+(((A121)+1)/2)*(Inputs!$J$8-Inputs!$I$8)))/Inputs!$K$8)^2))*((2*Inputs!$L$8*((Inputs!$I$8+(((A121)+1)/2)*(Inputs!$J$8-Inputs!$I$8)))/(Inputs!$K$8^2)*Inputs!$C$11)))/(SQRT(((Inputs!$I$8+(((A121)+1)/2)*(Inputs!$J$8-Inputs!$I$8)))^2+Inputs!$C$6^2+((Inputs!$H$8+Inputs!$L$8*(((Inputs!$I$8+(((A121)+1)/2)*(Inputs!$J$8-Inputs!$I$8)))/Inputs!$K$8)^2))^2)))))/Inputs!$C$13)</x:f>
        <x:v>260.0834882685773</x:v>
      </x:c>
      <x:c r="AO121" s="48" t="n">
        <x:f>(-2*((1000*((((Inputs!$I$9+(((A121)+1)/2)*(Inputs!$J$9-Inputs!$I$9)))*Inputs!$C$11+((Inputs!$H$9+Inputs!$L$9*(((Inputs!$I$9+(((A121)+1)/2)*(Inputs!$J$9-Inputs!$I$9)))/Inputs!$K$9)^2))*((2*Inputs!$L$9*((Inputs!$I$9+(((A121)+1)/2)*(Inputs!$J$9-Inputs!$I$9)))/(Inputs!$K$9^2)*Inputs!$C$11)))/(SQRT(((Inputs!$I$9+(((A121)+1)/2)*(Inputs!$J$9-Inputs!$I$9)))^2+Inputs!$C$6^2+((Inputs!$H$9+Inputs!$L$9*(((Inputs!$I$9+(((A121)+1)/2)*(Inputs!$J$9-Inputs!$I$9)))/Inputs!$K$9)^2))^2)))))/Inputs!$C$13)</x:f>
        <x:v>306.3917714898021</x:v>
      </x:c>
    </x:row>
    <x:row r="122">
      <x:c r="A122" s="48" t="n">
        <x:f>ROUND(-1+120*2/240,3)</x:f>
        <x:v>0</x:v>
      </x:c>
      <x:c r="B122" s="48" t="n">
        <x:f>IF(OR(Inputs!$F$6=TRUE,Inputs!$F$6="TRUE",Inputs!$F$6=1),(Inputs!$H$6+Inputs!$L$6*(((Inputs!$I$6+(((A122)+1)/2)*(Inputs!$J$6-Inputs!$I$6)))/Inputs!$K$6)^2),NA())</x:f>
        <x:v>400</x:v>
      </x:c>
      <x:c r="C122" s="48" t="n">
        <x:f>IF(OR(Inputs!$F$7=TRUE,Inputs!$F$7="TRUE",Inputs!$F$7=1),(Inputs!$H$7+Inputs!$L$7*(((Inputs!$I$7+(((A122)+1)/2)*(Inputs!$J$7-Inputs!$I$7)))/Inputs!$K$7)^2),NA())</x:f>
        <x:v>35</x:v>
      </x:c>
      <x:c r="D122" s="48" t="n">
        <x:f>IF(OR(Inputs!$F$8=TRUE,Inputs!$F$8="TRUE",Inputs!$F$8=1),(Inputs!$H$8+Inputs!$L$8*(((Inputs!$I$8+(((A122)+1)/2)*(Inputs!$J$8-Inputs!$I$8)))/Inputs!$K$8)^2),NA())</x:f>
        <x:v>35</x:v>
      </x:c>
      <x:c r="E122" s="48" t="n">
        <x:f>IF(OR(Inputs!$F$9=TRUE,Inputs!$F$9="TRUE",Inputs!$F$9=1),(Inputs!$H$9+Inputs!$L$9*(((Inputs!$I$9+(((A122)+1)/2)*(Inputs!$J$9-Inputs!$I$9)))/Inputs!$K$9)^2),NA())</x:f>
        <x:v>25</x:v>
      </x:c>
      <x:c r="F122" s="49"/>
      <x:c r="G122" s="48" t="n">
        <x:f>A122</x:f>
        <x:v>0</x:v>
      </x:c>
      <x:c r="H122" s="48" t="n">
        <x:f>IF(OR(Inputs!$F$6=TRUE,Inputs!$F$6="TRUE",Inputs!$F$6=1),(((SQRT(((Inputs!$I$6+(((A122)+1)/2)*(Inputs!$J$6-Inputs!$I$6)))^2+Inputs!$C$6^2+((Inputs!$H$6+Inputs!$L$6*(((Inputs!$I$6+(((A122)+1)/2)*(Inputs!$J$6-Inputs!$I$6)))/Inputs!$K$6)^2))^2))-((Inputs!$H$6+Inputs!$L$6*(((Inputs!$I$6+(((A122)+1)/2)*(Inputs!$J$6-Inputs!$I$6)))/Inputs!$K$6)^2)))*1000/Inputs!$C$12),NA())</x:f>
        <x:v>438.4767118173631</x:v>
      </x:c>
      <x:c r="I122" s="48" t="n">
        <x:f>IF(OR(Inputs!$F$7=TRUE,Inputs!$F$7="TRUE",Inputs!$F$7=1),(((SQRT(((Inputs!$I$7+(((A122)+1)/2)*(Inputs!$J$7-Inputs!$I$7)))^2+Inputs!$C$6^2+((Inputs!$H$7+Inputs!$L$7*(((Inputs!$I$7+(((A122)+1)/2)*(Inputs!$J$7-Inputs!$I$7)))/Inputs!$K$7)^2))^2))-((Inputs!$H$7+Inputs!$L$7*(((Inputs!$I$7+(((A122)+1)/2)*(Inputs!$J$7-Inputs!$I$7)))/Inputs!$K$7)^2)))*1000/Inputs!$C$12),NA())</x:f>
        <x:v>4500.913671468054</x:v>
      </x:c>
      <x:c r="J122" s="48" t="n">
        <x:f>IF(OR(Inputs!$F$8=TRUE,Inputs!$F$8="TRUE",Inputs!$F$8=1),(((SQRT(((Inputs!$I$8+(((A122)+1)/2)*(Inputs!$J$8-Inputs!$I$8)))^2+Inputs!$C$6^2+((Inputs!$H$8+Inputs!$L$8*(((Inputs!$I$8+(((A122)+1)/2)*(Inputs!$J$8-Inputs!$I$8)))/Inputs!$K$8)^2))^2))-((Inputs!$H$8+Inputs!$L$8*(((Inputs!$I$8+(((A122)+1)/2)*(Inputs!$J$8-Inputs!$I$8)))/Inputs!$K$8)^2)))*1000/Inputs!$C$12),NA())</x:f>
        <x:v>4500.913671468054</x:v>
      </x:c>
      <x:c r="K122" s="48" t="n">
        <x:f>IF(OR(Inputs!$F$9=TRUE,Inputs!$F$9="TRUE",Inputs!$F$9=1),(((SQRT(((Inputs!$I$9+(((A122)+1)/2)*(Inputs!$J$9-Inputs!$I$9)))^2+Inputs!$C$6^2+((Inputs!$H$9+Inputs!$L$9*(((Inputs!$I$9+(((A122)+1)/2)*(Inputs!$J$9-Inputs!$I$9)))/Inputs!$K$9)^2))^2))-((Inputs!$H$9+Inputs!$L$9*(((Inputs!$I$9+(((A122)+1)/2)*(Inputs!$J$9-Inputs!$I$9)))/Inputs!$K$9)^2)))*1000/Inputs!$C$12),NA())</x:f>
        <x:v>5817.606213105269</x:v>
      </x:c>
      <x:c r="L122" s="49"/>
      <x:c r="M122" s="48" t="n">
        <x:f>A122</x:f>
        <x:v>0</x:v>
      </x:c>
      <x:c r="N122" s="48" t="n">
        <x:f>IF(OR(Inputs!$F$6=TRUE,Inputs!$F$6="TRUE",Inputs!$F$6=1),(-2*((1000*((((Inputs!$I$6+(((A122)+1)/2)*(Inputs!$J$6-Inputs!$I$6)))*Inputs!$C$11+((Inputs!$H$6+Inputs!$L$6*(((Inputs!$I$6+(((A122)+1)/2)*(Inputs!$J$6-Inputs!$I$6)))/Inputs!$K$6)^2))*((2*Inputs!$L$6*((Inputs!$I$6+(((A122)+1)/2)*(Inputs!$J$6-Inputs!$I$6)))/(Inputs!$K$6^2)*Inputs!$C$11)))/(SQRT(((Inputs!$I$6+(((A122)+1)/2)*(Inputs!$J$6-Inputs!$I$6)))^2+Inputs!$C$6^2+((Inputs!$H$6+Inputs!$L$6*(((Inputs!$I$6+(((A122)+1)/2)*(Inputs!$J$6-Inputs!$I$6)))/Inputs!$K$6)^2))^2)))))/Inputs!$C$13),NA())</x:f>
        <x:v>0</x:v>
      </x:c>
      <x:c r="O122" s="48" t="n">
        <x:f>IF(OR(Inputs!$F$7=TRUE,Inputs!$F$7="TRUE",Inputs!$F$7=1),(-2*((1000*((((Inputs!$I$7+(((A122)+1)/2)*(Inputs!$J$7-Inputs!$I$7)))*Inputs!$C$11+((Inputs!$H$7+Inputs!$L$7*(((Inputs!$I$7+(((A122)+1)/2)*(Inputs!$J$7-Inputs!$I$7)))/Inputs!$K$7)^2))*((2*Inputs!$L$7*((Inputs!$I$7+(((A122)+1)/2)*(Inputs!$J$7-Inputs!$I$7)))/(Inputs!$K$7^2)*Inputs!$C$11)))/(SQRT(((Inputs!$I$7+(((A122)+1)/2)*(Inputs!$J$7-Inputs!$I$7)))^2+Inputs!$C$6^2+((Inputs!$H$7+Inputs!$L$7*(((Inputs!$I$7+(((A122)+1)/2)*(Inputs!$J$7-Inputs!$I$7)))/Inputs!$K$7)^2))^2)))))/Inputs!$C$13),NA())</x:f>
        <x:v>0</x:v>
      </x:c>
      <x:c r="P122" s="48" t="n">
        <x:f>IF(OR(Inputs!$F$8=TRUE,Inputs!$F$8="TRUE",Inputs!$F$8=1),(-2*((1000*((((Inputs!$I$8+(((A122)+1)/2)*(Inputs!$J$8-Inputs!$I$8)))*Inputs!$C$11+((Inputs!$H$8+Inputs!$L$8*(((Inputs!$I$8+(((A122)+1)/2)*(Inputs!$J$8-Inputs!$I$8)))/Inputs!$K$8)^2))*((2*Inputs!$L$8*((Inputs!$I$8+(((A122)+1)/2)*(Inputs!$J$8-Inputs!$I$8)))/(Inputs!$K$8^2)*Inputs!$C$11)))/(SQRT(((Inputs!$I$8+(((A122)+1)/2)*(Inputs!$J$8-Inputs!$I$8)))^2+Inputs!$C$6^2+((Inputs!$H$8+Inputs!$L$8*(((Inputs!$I$8+(((A122)+1)/2)*(Inputs!$J$8-Inputs!$I$8)))/Inputs!$K$8)^2))^2)))))/Inputs!$C$13),NA())</x:f>
        <x:v>0</x:v>
      </x:c>
      <x:c r="Q122" s="48" t="n">
        <x:f>IF(OR(Inputs!$F$9=TRUE,Inputs!$F$9="TRUE",Inputs!$F$9=1),(-2*((1000*((((Inputs!$I$9+(((A122)+1)/2)*(Inputs!$J$9-Inputs!$I$9)))*Inputs!$C$11+((Inputs!$H$9+Inputs!$L$9*(((Inputs!$I$9+(((A122)+1)/2)*(Inputs!$J$9-Inputs!$I$9)))/Inputs!$K$9)^2))*((2*Inputs!$L$9*((Inputs!$I$9+(((A122)+1)/2)*(Inputs!$J$9-Inputs!$I$9)))/(Inputs!$K$9^2)*Inputs!$C$11)))/(SQRT(((Inputs!$I$9+(((A122)+1)/2)*(Inputs!$J$9-Inputs!$I$9)))^2+Inputs!$C$6^2+((Inputs!$H$9+Inputs!$L$9*(((Inputs!$I$9+(((A122)+1)/2)*(Inputs!$J$9-Inputs!$I$9)))/Inputs!$K$9)^2))^2)))))/Inputs!$C$13),NA())</x:f>
        <x:v>0</x:v>
      </x:c>
      <x:c r="R122" s="49"/>
      <x:c r="S122" s="48" t="n">
        <x:f>A122</x:f>
        <x:v>0</x:v>
      </x:c>
      <x:c r="T122" s="48" t="n">
        <x:f>(Inputs!$I$6+(((A122)+1)/2)*(Inputs!$J$6-Inputs!$I$6))</x:f>
        <x:v>0</x:v>
      </x:c>
      <x:c r="U122" s="48" t="n">
        <x:f>(Inputs!$I$7+(((A122)+1)/2)*(Inputs!$J$7-Inputs!$I$7))</x:f>
        <x:v>0</x:v>
      </x:c>
      <x:c r="V122" s="48" t="n">
        <x:f>(Inputs!$I$8+(((A122)+1)/2)*(Inputs!$J$8-Inputs!$I$8))</x:f>
        <x:v>0</x:v>
      </x:c>
      <x:c r="W122" s="48" t="n">
        <x:f>(Inputs!$I$9+(((A122)+1)/2)*(Inputs!$J$9-Inputs!$I$9))</x:f>
        <x:v>0</x:v>
      </x:c>
      <x:c r="X122" s="49"/>
      <x:c r="Y122" s="48" t="n">
        <x:f>A122</x:f>
        <x:v>0</x:v>
      </x:c>
      <x:c r="Z122" s="48" t="n">
        <x:f>(Inputs!$H$6+Inputs!$L$6*(((Inputs!$I$6+(((A122)+1)/2)*(Inputs!$J$6-Inputs!$I$6)))/Inputs!$K$6)^2)</x:f>
        <x:v>400</x:v>
      </x:c>
      <x:c r="AA122" s="48" t="n">
        <x:f>(Inputs!$H$7+Inputs!$L$7*(((Inputs!$I$7+(((A122)+1)/2)*(Inputs!$J$7-Inputs!$I$7)))/Inputs!$K$7)^2)</x:f>
        <x:v>35</x:v>
      </x:c>
      <x:c r="AB122" s="48" t="n">
        <x:f>(Inputs!$H$8+Inputs!$L$8*(((Inputs!$I$8+(((A122)+1)/2)*(Inputs!$J$8-Inputs!$I$8)))/Inputs!$K$8)^2)</x:f>
        <x:v>35</x:v>
      </x:c>
      <x:c r="AC122" s="48" t="n">
        <x:f>(Inputs!$H$9+Inputs!$L$9*(((Inputs!$I$9+(((A122)+1)/2)*(Inputs!$J$9-Inputs!$I$9)))/Inputs!$K$9)^2)</x:f>
        <x:v>25</x:v>
      </x:c>
      <x:c r="AD122" s="49"/>
      <x:c r="AE122" s="48" t="n">
        <x:f>A122</x:f>
        <x:v>0</x:v>
      </x:c>
      <x:c r="AF122" s="48" t="n">
        <x:f>(((SQRT(((Inputs!$I$6+(((A122)+1)/2)*(Inputs!$J$6-Inputs!$I$6)))^2+Inputs!$C$6^2+((Inputs!$H$6+Inputs!$L$6*(((Inputs!$I$6+(((A122)+1)/2)*(Inputs!$J$6-Inputs!$I$6)))/Inputs!$K$6)^2))^2))-((Inputs!$H$6+Inputs!$L$6*(((Inputs!$I$6+(((A122)+1)/2)*(Inputs!$J$6-Inputs!$I$6)))/Inputs!$K$6)^2)))*1000/Inputs!$C$12)</x:f>
        <x:v>438.4767118173631</x:v>
      </x:c>
      <x:c r="AG122" s="48" t="n">
        <x:f>(((SQRT(((Inputs!$I$7+(((A122)+1)/2)*(Inputs!$J$7-Inputs!$I$7)))^2+Inputs!$C$6^2+((Inputs!$H$7+Inputs!$L$7*(((Inputs!$I$7+(((A122)+1)/2)*(Inputs!$J$7-Inputs!$I$7)))/Inputs!$K$7)^2))^2))-((Inputs!$H$7+Inputs!$L$7*(((Inputs!$I$7+(((A122)+1)/2)*(Inputs!$J$7-Inputs!$I$7)))/Inputs!$K$7)^2)))*1000/Inputs!$C$12)</x:f>
        <x:v>4500.913671468054</x:v>
      </x:c>
      <x:c r="AH122" s="48" t="n">
        <x:f>(((SQRT(((Inputs!$I$8+(((A122)+1)/2)*(Inputs!$J$8-Inputs!$I$8)))^2+Inputs!$C$6^2+((Inputs!$H$8+Inputs!$L$8*(((Inputs!$I$8+(((A122)+1)/2)*(Inputs!$J$8-Inputs!$I$8)))/Inputs!$K$8)^2))^2))-((Inputs!$H$8+Inputs!$L$8*(((Inputs!$I$8+(((A122)+1)/2)*(Inputs!$J$8-Inputs!$I$8)))/Inputs!$K$8)^2)))*1000/Inputs!$C$12)</x:f>
        <x:v>4500.913671468054</x:v>
      </x:c>
      <x:c r="AI122" s="48" t="n">
        <x:f>(((SQRT(((Inputs!$I$9+(((A122)+1)/2)*(Inputs!$J$9-Inputs!$I$9)))^2+Inputs!$C$6^2+((Inputs!$H$9+Inputs!$L$9*(((Inputs!$I$9+(((A122)+1)/2)*(Inputs!$J$9-Inputs!$I$9)))/Inputs!$K$9)^2))^2))-((Inputs!$H$9+Inputs!$L$9*(((Inputs!$I$9+(((A122)+1)/2)*(Inputs!$J$9-Inputs!$I$9)))/Inputs!$K$9)^2)))*1000/Inputs!$C$12)</x:f>
        <x:v>5817.606213105269</x:v>
      </x:c>
      <x:c r="AJ122" s="49"/>
      <x:c r="AK122" s="48" t="n">
        <x:f>A122</x:f>
        <x:v>0</x:v>
      </x:c>
      <x:c r="AL122" s="48" t="n">
        <x:f>(-2*((1000*((((Inputs!$I$6+(((A122)+1)/2)*(Inputs!$J$6-Inputs!$I$6)))*Inputs!$C$11+((Inputs!$H$6+Inputs!$L$6*(((Inputs!$I$6+(((A122)+1)/2)*(Inputs!$J$6-Inputs!$I$6)))/Inputs!$K$6)^2))*((2*Inputs!$L$6*((Inputs!$I$6+(((A122)+1)/2)*(Inputs!$J$6-Inputs!$I$6)))/(Inputs!$K$6^2)*Inputs!$C$11)))/(SQRT(((Inputs!$I$6+(((A122)+1)/2)*(Inputs!$J$6-Inputs!$I$6)))^2+Inputs!$C$6^2+((Inputs!$H$6+Inputs!$L$6*(((Inputs!$I$6+(((A122)+1)/2)*(Inputs!$J$6-Inputs!$I$6)))/Inputs!$K$6)^2))^2)))))/Inputs!$C$13)</x:f>
        <x:v>0</x:v>
      </x:c>
      <x:c r="AM122" s="48" t="n">
        <x:f>(-2*((1000*((((Inputs!$I$7+(((A122)+1)/2)*(Inputs!$J$7-Inputs!$I$7)))*Inputs!$C$11+((Inputs!$H$7+Inputs!$L$7*(((Inputs!$I$7+(((A122)+1)/2)*(Inputs!$J$7-Inputs!$I$7)))/Inputs!$K$7)^2))*((2*Inputs!$L$7*((Inputs!$I$7+(((A122)+1)/2)*(Inputs!$J$7-Inputs!$I$7)))/(Inputs!$K$7^2)*Inputs!$C$11)))/(SQRT(((Inputs!$I$7+(((A122)+1)/2)*(Inputs!$J$7-Inputs!$I$7)))^2+Inputs!$C$6^2+((Inputs!$H$7+Inputs!$L$7*(((Inputs!$I$7+(((A122)+1)/2)*(Inputs!$J$7-Inputs!$I$7)))/Inputs!$K$7)^2))^2)))))/Inputs!$C$13)</x:f>
        <x:v>0</x:v>
      </x:c>
      <x:c r="AN122" s="48" t="n">
        <x:f>(-2*((1000*((((Inputs!$I$8+(((A122)+1)/2)*(Inputs!$J$8-Inputs!$I$8)))*Inputs!$C$11+((Inputs!$H$8+Inputs!$L$8*(((Inputs!$I$8+(((A122)+1)/2)*(Inputs!$J$8-Inputs!$I$8)))/Inputs!$K$8)^2))*((2*Inputs!$L$8*((Inputs!$I$8+(((A122)+1)/2)*(Inputs!$J$8-Inputs!$I$8)))/(Inputs!$K$8^2)*Inputs!$C$11)))/(SQRT(((Inputs!$I$8+(((A122)+1)/2)*(Inputs!$J$8-Inputs!$I$8)))^2+Inputs!$C$6^2+((Inputs!$H$8+Inputs!$L$8*(((Inputs!$I$8+(((A122)+1)/2)*(Inputs!$J$8-Inputs!$I$8)))/Inputs!$K$8)^2))^2)))))/Inputs!$C$13)</x:f>
        <x:v>0</x:v>
      </x:c>
      <x:c r="AO122" s="48" t="n">
        <x:f>(-2*((1000*((((Inputs!$I$9+(((A122)+1)/2)*(Inputs!$J$9-Inputs!$I$9)))*Inputs!$C$11+((Inputs!$H$9+Inputs!$L$9*(((Inputs!$I$9+(((A122)+1)/2)*(Inputs!$J$9-Inputs!$I$9)))/Inputs!$K$9)^2))*((2*Inputs!$L$9*((Inputs!$I$9+(((A122)+1)/2)*(Inputs!$J$9-Inputs!$I$9)))/(Inputs!$K$9^2)*Inputs!$C$11)))/(SQRT(((Inputs!$I$9+(((A122)+1)/2)*(Inputs!$J$9-Inputs!$I$9)))^2+Inputs!$C$6^2+((Inputs!$H$9+Inputs!$L$9*(((Inputs!$I$9+(((A122)+1)/2)*(Inputs!$J$9-Inputs!$I$9)))/Inputs!$K$9)^2))^2)))))/Inputs!$C$13)</x:f>
        <x:v>0</x:v>
      </x:c>
    </x:row>
    <x:row r="123">
      <x:c r="A123" s="48" t="n">
        <x:f>ROUND(-1+121*2/240,3)</x:f>
        <x:v>0.008</x:v>
      </x:c>
      <x:c r="B123" s="48" t="n">
        <x:f>IF(OR(Inputs!$F$6=TRUE,Inputs!$F$6="TRUE",Inputs!$F$6=1),(Inputs!$H$6+Inputs!$L$6*(((Inputs!$I$6+(((A123)+1)/2)*(Inputs!$J$6-Inputs!$I$6)))/Inputs!$K$6)^2),NA())</x:f>
        <x:v>400.000256</x:v>
      </x:c>
      <x:c r="C123" s="48" t="n">
        <x:f>IF(OR(Inputs!$F$7=TRUE,Inputs!$F$7="TRUE",Inputs!$F$7=1),(Inputs!$H$7+Inputs!$L$7*(((Inputs!$I$7+(((A123)+1)/2)*(Inputs!$J$7-Inputs!$I$7)))/Inputs!$K$7)^2),NA())</x:f>
        <x:v>35.02336</x:v>
      </x:c>
      <x:c r="D123" s="48" t="n">
        <x:f>IF(OR(Inputs!$F$8=TRUE,Inputs!$F$8="TRUE",Inputs!$F$8=1),(Inputs!$H$8+Inputs!$L$8*(((Inputs!$I$8+(((A123)+1)/2)*(Inputs!$J$8-Inputs!$I$8)))/Inputs!$K$8)^2),NA())</x:f>
        <x:v>35.06176</x:v>
      </x:c>
      <x:c r="E123" s="48" t="n">
        <x:f>IF(OR(Inputs!$F$9=TRUE,Inputs!$F$9="TRUE",Inputs!$F$9=1),(Inputs!$H$9+Inputs!$L$9*(((Inputs!$I$9+(((A123)+1)/2)*(Inputs!$J$9-Inputs!$I$9)))/Inputs!$K$9)^2),NA())</x:f>
        <x:v>25.0624</x:v>
      </x:c>
      <x:c r="F123" s="49"/>
      <x:c r="G123" s="48" t="n">
        <x:f>A123</x:f>
        <x:v>0.008</x:v>
      </x:c>
      <x:c r="H123" s="48" t="n">
        <x:f>IF(OR(Inputs!$F$6=TRUE,Inputs!$F$6="TRUE",Inputs!$F$6=1),(((SQRT(((Inputs!$I$6+(((A123)+1)/2)*(Inputs!$J$6-Inputs!$I$6)))^2+Inputs!$C$6^2+((Inputs!$H$6+Inputs!$L$6*(((Inputs!$I$6+(((A123)+1)/2)*(Inputs!$J$6-Inputs!$I$6)))/Inputs!$K$6)^2))^2))-((Inputs!$H$6+Inputs!$L$6*(((Inputs!$I$6+(((A123)+1)/2)*(Inputs!$J$6-Inputs!$I$6)))/Inputs!$K$6)^2)))*1000/Inputs!$C$12),NA())</x:f>
        <x:v>438.6379142424745</x:v>
      </x:c>
      <x:c r="I123" s="48" t="n">
        <x:f>IF(OR(Inputs!$F$7=TRUE,Inputs!$F$7="TRUE",Inputs!$F$7=1),(((SQRT(((Inputs!$I$7+(((A123)+1)/2)*(Inputs!$J$7-Inputs!$I$7)))^2+Inputs!$C$6^2+((Inputs!$H$7+Inputs!$L$7*(((Inputs!$I$7+(((A123)+1)/2)*(Inputs!$J$7-Inputs!$I$7)))/Inputs!$K$7)^2))^2))-((Inputs!$H$7+Inputs!$L$7*(((Inputs!$I$7+(((A123)+1)/2)*(Inputs!$J$7-Inputs!$I$7)))/Inputs!$K$7)^2)))*1000/Inputs!$C$12),NA())</x:f>
        <x:v>4565.223725676611</x:v>
      </x:c>
      <x:c r="J123" s="48" t="n">
        <x:f>IF(OR(Inputs!$F$8=TRUE,Inputs!$F$8="TRUE",Inputs!$F$8=1),(((SQRT(((Inputs!$I$8+(((A123)+1)/2)*(Inputs!$J$8-Inputs!$I$8)))^2+Inputs!$C$6^2+((Inputs!$H$8+Inputs!$L$8*(((Inputs!$I$8+(((A123)+1)/2)*(Inputs!$J$8-Inputs!$I$8)))/Inputs!$K$8)^2))^2))-((Inputs!$H$8+Inputs!$L$8*(((Inputs!$I$8+(((A123)+1)/2)*(Inputs!$J$8-Inputs!$I$8)))/Inputs!$K$8)^2)))*1000/Inputs!$C$12),NA())</x:f>
        <x:v>4760.18776114794</x:v>
      </x:c>
      <x:c r="K123" s="48" t="n">
        <x:f>IF(OR(Inputs!$F$9=TRUE,Inputs!$F$9="TRUE",Inputs!$F$9=1),(((SQRT(((Inputs!$I$9+(((A123)+1)/2)*(Inputs!$J$9-Inputs!$I$9)))^2+Inputs!$C$6^2+((Inputs!$H$9+Inputs!$L$9*(((Inputs!$I$9+(((A123)+1)/2)*(Inputs!$J$9-Inputs!$I$9)))/Inputs!$K$9)^2))^2))-((Inputs!$H$9+Inputs!$L$9*(((Inputs!$I$9+(((A123)+1)/2)*(Inputs!$J$9-Inputs!$I$9)))/Inputs!$K$9)^2)))*1000/Inputs!$C$12),NA())</x:f>
        <x:v>6129.762679511511</x:v>
      </x:c>
      <x:c r="L123" s="49"/>
      <x:c r="M123" s="48" t="n">
        <x:f>A123</x:f>
        <x:v>0.008</x:v>
      </x:c>
      <x:c r="N123" s="48" t="n">
        <x:f>IF(OR(Inputs!$F$6=TRUE,Inputs!$F$6="TRUE",Inputs!$F$6=1),(-2*((1000*((((Inputs!$I$6+(((A123)+1)/2)*(Inputs!$J$6-Inputs!$I$6)))*Inputs!$C$11+((Inputs!$H$6+Inputs!$L$6*(((Inputs!$I$6+(((A123)+1)/2)*(Inputs!$J$6-Inputs!$I$6)))/Inputs!$K$6)^2))*((2*Inputs!$L$6*((Inputs!$I$6+(((A123)+1)/2)*(Inputs!$J$6-Inputs!$I$6)))/(Inputs!$K$6^2)*Inputs!$C$11)))/(SQRT(((Inputs!$I$6+(((A123)+1)/2)*(Inputs!$J$6-Inputs!$I$6)))^2+Inputs!$C$6^2+((Inputs!$H$6+Inputs!$L$6*(((Inputs!$I$6+(((A123)+1)/2)*(Inputs!$J$6-Inputs!$I$6)))/Inputs!$K$6)^2))^2)))))/Inputs!$C$13),NA())</x:f>
        <x:v>-3.6196002046048124</x:v>
      </x:c>
      <x:c r="O123" s="48" t="n">
        <x:f>IF(OR(Inputs!$F$7=TRUE,Inputs!$F$7="TRUE",Inputs!$F$7=1),(-2*((1000*((((Inputs!$I$7+(((A123)+1)/2)*(Inputs!$J$7-Inputs!$I$7)))*Inputs!$C$11+((Inputs!$H$7+Inputs!$L$7*(((Inputs!$I$7+(((A123)+1)/2)*(Inputs!$J$7-Inputs!$I$7)))/Inputs!$K$7)^2))*((2*Inputs!$L$7*((Inputs!$I$7+(((A123)+1)/2)*(Inputs!$J$7-Inputs!$I$7)))/(Inputs!$K$7^2)*Inputs!$C$11)))/(SQRT(((Inputs!$I$7+(((A123)+1)/2)*(Inputs!$J$7-Inputs!$I$7)))^2+Inputs!$C$6^2+((Inputs!$H$7+Inputs!$L$7*(((Inputs!$I$7+(((A123)+1)/2)*(Inputs!$J$7-Inputs!$I$7)))/Inputs!$K$7)^2))^2)))))/Inputs!$C$13),NA())</x:f>
        <x:v>-137.61808219499</x:v>
      </x:c>
      <x:c r="P123" s="48" t="n">
        <x:f>IF(OR(Inputs!$F$8=TRUE,Inputs!$F$8="TRUE",Inputs!$F$8=1),(-2*((1000*((((Inputs!$I$8+(((A123)+1)/2)*(Inputs!$J$8-Inputs!$I$8)))*Inputs!$C$11+((Inputs!$H$8+Inputs!$L$8*(((Inputs!$I$8+(((A123)+1)/2)*(Inputs!$J$8-Inputs!$I$8)))/Inputs!$K$8)^2))*((2*Inputs!$L$8*((Inputs!$I$8+(((A123)+1)/2)*(Inputs!$J$8-Inputs!$I$8)))/(Inputs!$K$8^2)*Inputs!$C$11)))/(SQRT(((Inputs!$I$8+(((A123)+1)/2)*(Inputs!$J$8-Inputs!$I$8)))^2+Inputs!$C$6^2+((Inputs!$H$8+Inputs!$L$8*(((Inputs!$I$8+(((A123)+1)/2)*(Inputs!$J$8-Inputs!$I$8)))/Inputs!$K$8)^2))^2)))))/Inputs!$C$13),NA())</x:f>
        <x:v>-260.0834882685773</x:v>
      </x:c>
      <x:c r="Q123" s="48" t="n">
        <x:f>IF(OR(Inputs!$F$9=TRUE,Inputs!$F$9="TRUE",Inputs!$F$9=1),(-2*((1000*((((Inputs!$I$9+(((A123)+1)/2)*(Inputs!$J$9-Inputs!$I$9)))*Inputs!$C$11+((Inputs!$H$9+Inputs!$L$9*(((Inputs!$I$9+(((A123)+1)/2)*(Inputs!$J$9-Inputs!$I$9)))/Inputs!$K$9)^2))*((2*Inputs!$L$9*((Inputs!$I$9+(((A123)+1)/2)*(Inputs!$J$9-Inputs!$I$9)))/(Inputs!$K$9^2)*Inputs!$C$11)))/(SQRT(((Inputs!$I$9+(((A123)+1)/2)*(Inputs!$J$9-Inputs!$I$9)))^2+Inputs!$C$6^2+((Inputs!$H$9+Inputs!$L$9*(((Inputs!$I$9+(((A123)+1)/2)*(Inputs!$J$9-Inputs!$I$9)))/Inputs!$K$9)^2))^2)))))/Inputs!$C$13),NA())</x:f>
        <x:v>-306.3917714898021</x:v>
      </x:c>
      <x:c r="R123" s="49"/>
      <x:c r="S123" s="48" t="n">
        <x:f>A123</x:f>
        <x:v>0.008</x:v>
      </x:c>
      <x:c r="T123" s="48" t="n">
        <x:f>(Inputs!$I$6+(((A123)+1)/2)*(Inputs!$J$6-Inputs!$I$6))</x:f>
        <x:v>0.480000000000004</x:v>
      </x:c>
      <x:c r="U123" s="48" t="n">
        <x:f>(Inputs!$I$7+(((A123)+1)/2)*(Inputs!$J$7-Inputs!$I$7))</x:f>
        <x:v>3.1999999999999886</x:v>
      </x:c>
      <x:c r="V123" s="48" t="n">
        <x:f>(Inputs!$I$8+(((A123)+1)/2)*(Inputs!$J$8-Inputs!$I$8))</x:f>
        <x:v>6.399999999999977</x:v>
      </x:c>
      <x:c r="W123" s="48" t="n">
        <x:f>(Inputs!$I$9+(((A123)+1)/2)*(Inputs!$J$9-Inputs!$I$9))</x:f>
        <x:v>6.399999999999977</x:v>
      </x:c>
      <x:c r="X123" s="49"/>
      <x:c r="Y123" s="48" t="n">
        <x:f>A123</x:f>
        <x:v>0.008</x:v>
      </x:c>
      <x:c r="Z123" s="48" t="n">
        <x:f>(Inputs!$H$6+Inputs!$L$6*(((Inputs!$I$6+(((A123)+1)/2)*(Inputs!$J$6-Inputs!$I$6)))/Inputs!$K$6)^2)</x:f>
        <x:v>400.000256</x:v>
      </x:c>
      <x:c r="AA123" s="48" t="n">
        <x:f>(Inputs!$H$7+Inputs!$L$7*(((Inputs!$I$7+(((A123)+1)/2)*(Inputs!$J$7-Inputs!$I$7)))/Inputs!$K$7)^2)</x:f>
        <x:v>35.02336</x:v>
      </x:c>
      <x:c r="AB123" s="48" t="n">
        <x:f>(Inputs!$H$8+Inputs!$L$8*(((Inputs!$I$8+(((A123)+1)/2)*(Inputs!$J$8-Inputs!$I$8)))/Inputs!$K$8)^2)</x:f>
        <x:v>35.06176</x:v>
      </x:c>
      <x:c r="AC123" s="48" t="n">
        <x:f>(Inputs!$H$9+Inputs!$L$9*(((Inputs!$I$9+(((A123)+1)/2)*(Inputs!$J$9-Inputs!$I$9)))/Inputs!$K$9)^2)</x:f>
        <x:v>25.0624</x:v>
      </x:c>
      <x:c r="AD123" s="49"/>
      <x:c r="AE123" s="48" t="n">
        <x:f>A123</x:f>
        <x:v>0.008</x:v>
      </x:c>
      <x:c r="AF123" s="48" t="n">
        <x:f>(((SQRT(((Inputs!$I$6+(((A123)+1)/2)*(Inputs!$J$6-Inputs!$I$6)))^2+Inputs!$C$6^2+((Inputs!$H$6+Inputs!$L$6*(((Inputs!$I$6+(((A123)+1)/2)*(Inputs!$J$6-Inputs!$I$6)))/Inputs!$K$6)^2))^2))-((Inputs!$H$6+Inputs!$L$6*(((Inputs!$I$6+(((A123)+1)/2)*(Inputs!$J$6-Inputs!$I$6)))/Inputs!$K$6)^2)))*1000/Inputs!$C$12)</x:f>
        <x:v>438.6379142424745</x:v>
      </x:c>
      <x:c r="AG123" s="48" t="n">
        <x:f>(((SQRT(((Inputs!$I$7+(((A123)+1)/2)*(Inputs!$J$7-Inputs!$I$7)))^2+Inputs!$C$6^2+((Inputs!$H$7+Inputs!$L$7*(((Inputs!$I$7+(((A123)+1)/2)*(Inputs!$J$7-Inputs!$I$7)))/Inputs!$K$7)^2))^2))-((Inputs!$H$7+Inputs!$L$7*(((Inputs!$I$7+(((A123)+1)/2)*(Inputs!$J$7-Inputs!$I$7)))/Inputs!$K$7)^2)))*1000/Inputs!$C$12)</x:f>
        <x:v>4565.223725676611</x:v>
      </x:c>
      <x:c r="AH123" s="48" t="n">
        <x:f>(((SQRT(((Inputs!$I$8+(((A123)+1)/2)*(Inputs!$J$8-Inputs!$I$8)))^2+Inputs!$C$6^2+((Inputs!$H$8+Inputs!$L$8*(((Inputs!$I$8+(((A123)+1)/2)*(Inputs!$J$8-Inputs!$I$8)))/Inputs!$K$8)^2))^2))-((Inputs!$H$8+Inputs!$L$8*(((Inputs!$I$8+(((A123)+1)/2)*(Inputs!$J$8-Inputs!$I$8)))/Inputs!$K$8)^2)))*1000/Inputs!$C$12)</x:f>
        <x:v>4760.18776114794</x:v>
      </x:c>
      <x:c r="AI123" s="48" t="n">
        <x:f>(((SQRT(((Inputs!$I$9+(((A123)+1)/2)*(Inputs!$J$9-Inputs!$I$9)))^2+Inputs!$C$6^2+((Inputs!$H$9+Inputs!$L$9*(((Inputs!$I$9+(((A123)+1)/2)*(Inputs!$J$9-Inputs!$I$9)))/Inputs!$K$9)^2))^2))-((Inputs!$H$9+Inputs!$L$9*(((Inputs!$I$9+(((A123)+1)/2)*(Inputs!$J$9-Inputs!$I$9)))/Inputs!$K$9)^2)))*1000/Inputs!$C$12)</x:f>
        <x:v>6129.762679511511</x:v>
      </x:c>
      <x:c r="AJ123" s="49"/>
      <x:c r="AK123" s="48" t="n">
        <x:f>A123</x:f>
        <x:v>0.008</x:v>
      </x:c>
      <x:c r="AL123" s="48" t="n">
        <x:f>(-2*((1000*((((Inputs!$I$6+(((A123)+1)/2)*(Inputs!$J$6-Inputs!$I$6)))*Inputs!$C$11+((Inputs!$H$6+Inputs!$L$6*(((Inputs!$I$6+(((A123)+1)/2)*(Inputs!$J$6-Inputs!$I$6)))/Inputs!$K$6)^2))*((2*Inputs!$L$6*((Inputs!$I$6+(((A123)+1)/2)*(Inputs!$J$6-Inputs!$I$6)))/(Inputs!$K$6^2)*Inputs!$C$11)))/(SQRT(((Inputs!$I$6+(((A123)+1)/2)*(Inputs!$J$6-Inputs!$I$6)))^2+Inputs!$C$6^2+((Inputs!$H$6+Inputs!$L$6*(((Inputs!$I$6+(((A123)+1)/2)*(Inputs!$J$6-Inputs!$I$6)))/Inputs!$K$6)^2))^2)))))/Inputs!$C$13)</x:f>
        <x:v>-3.6196002046048124</x:v>
      </x:c>
      <x:c r="AM123" s="48" t="n">
        <x:f>(-2*((1000*((((Inputs!$I$7+(((A123)+1)/2)*(Inputs!$J$7-Inputs!$I$7)))*Inputs!$C$11+((Inputs!$H$7+Inputs!$L$7*(((Inputs!$I$7+(((A123)+1)/2)*(Inputs!$J$7-Inputs!$I$7)))/Inputs!$K$7)^2))*((2*Inputs!$L$7*((Inputs!$I$7+(((A123)+1)/2)*(Inputs!$J$7-Inputs!$I$7)))/(Inputs!$K$7^2)*Inputs!$C$11)))/(SQRT(((Inputs!$I$7+(((A123)+1)/2)*(Inputs!$J$7-Inputs!$I$7)))^2+Inputs!$C$6^2+((Inputs!$H$7+Inputs!$L$7*(((Inputs!$I$7+(((A123)+1)/2)*(Inputs!$J$7-Inputs!$I$7)))/Inputs!$K$7)^2))^2)))))/Inputs!$C$13)</x:f>
        <x:v>-137.61808219499</x:v>
      </x:c>
      <x:c r="AN123" s="48" t="n">
        <x:f>(-2*((1000*((((Inputs!$I$8+(((A123)+1)/2)*(Inputs!$J$8-Inputs!$I$8)))*Inputs!$C$11+((Inputs!$H$8+Inputs!$L$8*(((Inputs!$I$8+(((A123)+1)/2)*(Inputs!$J$8-Inputs!$I$8)))/Inputs!$K$8)^2))*((2*Inputs!$L$8*((Inputs!$I$8+(((A123)+1)/2)*(Inputs!$J$8-Inputs!$I$8)))/(Inputs!$K$8^2)*Inputs!$C$11)))/(SQRT(((Inputs!$I$8+(((A123)+1)/2)*(Inputs!$J$8-Inputs!$I$8)))^2+Inputs!$C$6^2+((Inputs!$H$8+Inputs!$L$8*(((Inputs!$I$8+(((A123)+1)/2)*(Inputs!$J$8-Inputs!$I$8)))/Inputs!$K$8)^2))^2)))))/Inputs!$C$13)</x:f>
        <x:v>-260.0834882685773</x:v>
      </x:c>
      <x:c r="AO123" s="48" t="n">
        <x:f>(-2*((1000*((((Inputs!$I$9+(((A123)+1)/2)*(Inputs!$J$9-Inputs!$I$9)))*Inputs!$C$11+((Inputs!$H$9+Inputs!$L$9*(((Inputs!$I$9+(((A123)+1)/2)*(Inputs!$J$9-Inputs!$I$9)))/Inputs!$K$9)^2))*((2*Inputs!$L$9*((Inputs!$I$9+(((A123)+1)/2)*(Inputs!$J$9-Inputs!$I$9)))/(Inputs!$K$9^2)*Inputs!$C$11)))/(SQRT(((Inputs!$I$9+(((A123)+1)/2)*(Inputs!$J$9-Inputs!$I$9)))^2+Inputs!$C$6^2+((Inputs!$H$9+Inputs!$L$9*(((Inputs!$I$9+(((A123)+1)/2)*(Inputs!$J$9-Inputs!$I$9)))/Inputs!$K$9)^2))^2)))))/Inputs!$C$13)</x:f>
        <x:v>-306.3917714898021</x:v>
      </x:c>
    </x:row>
    <x:row r="124">
      <x:c r="A124" s="48" t="n">
        <x:f>ROUND(-1+122*2/240,3)</x:f>
        <x:v>0.017</x:v>
      </x:c>
      <x:c r="B124" s="48" t="n">
        <x:f>IF(OR(Inputs!$F$6=TRUE,Inputs!$F$6="TRUE",Inputs!$F$6=1),(Inputs!$H$6+Inputs!$L$6*(((Inputs!$I$6+(((A124)+1)/2)*(Inputs!$J$6-Inputs!$I$6)))/Inputs!$K$6)^2),NA())</x:f>
        <x:v>400.001156</x:v>
      </x:c>
      <x:c r="C124" s="48" t="n">
        <x:f>IF(OR(Inputs!$F$7=TRUE,Inputs!$F$7="TRUE",Inputs!$F$7=1),(Inputs!$H$7+Inputs!$L$7*(((Inputs!$I$7+(((A124)+1)/2)*(Inputs!$J$7-Inputs!$I$7)))/Inputs!$K$7)^2),NA())</x:f>
        <x:v>35.105485</x:v>
      </x:c>
      <x:c r="D124" s="48" t="n">
        <x:f>IF(OR(Inputs!$F$8=TRUE,Inputs!$F$8="TRUE",Inputs!$F$8=1),(Inputs!$H$8+Inputs!$L$8*(((Inputs!$I$8+(((A124)+1)/2)*(Inputs!$J$8-Inputs!$I$8)))/Inputs!$K$8)^2),NA())</x:f>
        <x:v>35.278884999999995</x:v>
      </x:c>
      <x:c r="E124" s="48" t="n">
        <x:f>IF(OR(Inputs!$F$9=TRUE,Inputs!$F$9="TRUE",Inputs!$F$9=1),(Inputs!$H$9+Inputs!$L$9*(((Inputs!$I$9+(((A124)+1)/2)*(Inputs!$J$9-Inputs!$I$9)))/Inputs!$K$9)^2),NA())</x:f>
        <x:v>25.281774999999996</x:v>
      </x:c>
      <x:c r="F124" s="49"/>
      <x:c r="G124" s="48" t="n">
        <x:f>A124</x:f>
        <x:v>0.017</x:v>
      </x:c>
      <x:c r="H124" s="48" t="n">
        <x:f>IF(OR(Inputs!$F$6=TRUE,Inputs!$F$6="TRUE",Inputs!$F$6=1),(((SQRT(((Inputs!$I$6+(((A124)+1)/2)*(Inputs!$J$6-Inputs!$I$6)))^2+Inputs!$C$6^2+((Inputs!$H$6+Inputs!$L$6*(((Inputs!$I$6+(((A124)+1)/2)*(Inputs!$J$6-Inputs!$I$6)))/Inputs!$K$6)^2))^2))-((Inputs!$H$6+Inputs!$L$6*(((Inputs!$I$6+(((A124)+1)/2)*(Inputs!$J$6-Inputs!$I$6)))/Inputs!$K$6)^2)))*1000/Inputs!$C$12),NA())</x:f>
        <x:v>439.20463896751465</x:v>
      </x:c>
      <x:c r="I124" s="48" t="n">
        <x:f>IF(OR(Inputs!$F$7=TRUE,Inputs!$F$7="TRUE",Inputs!$F$7=1),(((SQRT(((Inputs!$I$7+(((A124)+1)/2)*(Inputs!$J$7-Inputs!$I$7)))^2+Inputs!$C$6^2+((Inputs!$H$7+Inputs!$L$7*(((Inputs!$I$7+(((A124)+1)/2)*(Inputs!$J$7-Inputs!$I$7)))/Inputs!$K$7)^2))^2))-((Inputs!$H$7+Inputs!$L$7*(((Inputs!$I$7+(((A124)+1)/2)*(Inputs!$J$7-Inputs!$I$7)))/Inputs!$K$7)^2)))*1000/Inputs!$C$12),NA())</x:f>
        <x:v>4789.427923915416</x:v>
      </x:c>
      <x:c r="J124" s="48" t="n">
        <x:f>IF(OR(Inputs!$F$8=TRUE,Inputs!$F$8="TRUE",Inputs!$F$8=1),(((SQRT(((Inputs!$I$8+(((A124)+1)/2)*(Inputs!$J$8-Inputs!$I$8)))^2+Inputs!$C$6^2+((Inputs!$H$8+Inputs!$L$8*(((Inputs!$I$8+(((A124)+1)/2)*(Inputs!$J$8-Inputs!$I$8)))/Inputs!$K$8)^2))^2))-((Inputs!$H$8+Inputs!$L$8*(((Inputs!$I$8+(((A124)+1)/2)*(Inputs!$J$8-Inputs!$I$8)))/Inputs!$K$8)^2)))*1000/Inputs!$C$12),NA())</x:f>
        <x:v>5645.149708559619</x:v>
      </x:c>
      <x:c r="K124" s="48" t="n">
        <x:f>IF(OR(Inputs!$F$9=TRUE,Inputs!$F$9="TRUE",Inputs!$F$9=1),(((SQRT(((Inputs!$I$9+(((A124)+1)/2)*(Inputs!$J$9-Inputs!$I$9)))^2+Inputs!$C$6^2+((Inputs!$H$9+Inputs!$L$9*(((Inputs!$I$9+(((A124)+1)/2)*(Inputs!$J$9-Inputs!$I$9)))/Inputs!$K$9)^2))^2))-((Inputs!$H$9+Inputs!$L$9*(((Inputs!$I$9+(((A124)+1)/2)*(Inputs!$J$9-Inputs!$I$9)))/Inputs!$K$9)^2)))*1000/Inputs!$C$12),NA())</x:f>
        <x:v>7182.9442804401715</x:v>
      </x:c>
      <x:c r="L124" s="49"/>
      <x:c r="M124" s="48" t="n">
        <x:f>A124</x:f>
        <x:v>0.017</x:v>
      </x:c>
      <x:c r="N124" s="48" t="n">
        <x:f>IF(OR(Inputs!$F$6=TRUE,Inputs!$F$6="TRUE",Inputs!$F$6=1),(-2*((1000*((((Inputs!$I$6+(((A124)+1)/2)*(Inputs!$J$6-Inputs!$I$6)))*Inputs!$C$11+((Inputs!$H$6+Inputs!$L$6*(((Inputs!$I$6+(((A124)+1)/2)*(Inputs!$J$6-Inputs!$I$6)))/Inputs!$K$6)^2))*((2*Inputs!$L$6*((Inputs!$I$6+(((A124)+1)/2)*(Inputs!$J$6-Inputs!$I$6)))/(Inputs!$K$6^2)*Inputs!$C$11)))/(SQRT(((Inputs!$I$6+(((A124)+1)/2)*(Inputs!$J$6-Inputs!$I$6)))^2+Inputs!$C$6^2+((Inputs!$H$6+Inputs!$L$6*(((Inputs!$I$6+(((A124)+1)/2)*(Inputs!$J$6-Inputs!$I$6)))/Inputs!$K$6)^2))^2)))))/Inputs!$C$13),NA())</x:f>
        <x:v>-7.691621946567357</x:v>
      </x:c>
      <x:c r="O124" s="48" t="n">
        <x:f>IF(OR(Inputs!$F$7=TRUE,Inputs!$F$7="TRUE",Inputs!$F$7=1),(-2*((1000*((((Inputs!$I$7+(((A124)+1)/2)*(Inputs!$J$7-Inputs!$I$7)))*Inputs!$C$11+((Inputs!$H$7+Inputs!$L$7*(((Inputs!$I$7+(((A124)+1)/2)*(Inputs!$J$7-Inputs!$I$7)))/Inputs!$K$7)^2))*((2*Inputs!$L$7*((Inputs!$I$7+(((A124)+1)/2)*(Inputs!$J$7-Inputs!$I$7)))/(Inputs!$K$7^2)*Inputs!$C$11)))/(SQRT(((Inputs!$I$7+(((A124)+1)/2)*(Inputs!$J$7-Inputs!$I$7)))^2+Inputs!$C$6^2+((Inputs!$H$7+Inputs!$L$7*(((Inputs!$I$7+(((A124)+1)/2)*(Inputs!$J$7-Inputs!$I$7)))/Inputs!$K$7)^2))^2)))))/Inputs!$C$13),NA())</x:f>
        <x:v>-289.306518299844</x:v>
      </x:c>
      <x:c r="P124" s="48" t="n">
        <x:f>IF(OR(Inputs!$F$8=TRUE,Inputs!$F$8="TRUE",Inputs!$F$8=1),(-2*((1000*((((Inputs!$I$8+(((A124)+1)/2)*(Inputs!$J$8-Inputs!$I$8)))*Inputs!$C$11+((Inputs!$H$8+Inputs!$L$8*(((Inputs!$I$8+(((A124)+1)/2)*(Inputs!$J$8-Inputs!$I$8)))/Inputs!$K$8)^2))*((2*Inputs!$L$8*((Inputs!$I$8+(((A124)+1)/2)*(Inputs!$J$8-Inputs!$I$8)))/(Inputs!$K$8^2)*Inputs!$C$11)))/(SQRT(((Inputs!$I$8+(((A124)+1)/2)*(Inputs!$J$8-Inputs!$I$8)))^2+Inputs!$C$6^2+((Inputs!$H$8+Inputs!$L$8*(((Inputs!$I$8+(((A124)+1)/2)*(Inputs!$J$8-Inputs!$I$8)))/Inputs!$K$8)^2))^2)))))/Inputs!$C$13),NA())</x:f>
        <x:v>-531.137442641234</x:v>
      </x:c>
      <x:c r="Q124" s="48" t="n">
        <x:f>IF(OR(Inputs!$F$9=TRUE,Inputs!$F$9="TRUE",Inputs!$F$9=1),(-2*((1000*((((Inputs!$I$9+(((A124)+1)/2)*(Inputs!$J$9-Inputs!$I$9)))*Inputs!$C$11+((Inputs!$H$9+Inputs!$L$9*(((Inputs!$I$9+(((A124)+1)/2)*(Inputs!$J$9-Inputs!$I$9)))/Inputs!$K$9)^2))*((2*Inputs!$L$9*((Inputs!$I$9+(((A124)+1)/2)*(Inputs!$J$9-Inputs!$I$9)))/(Inputs!$K$9^2)*Inputs!$C$11)))/(SQRT(((Inputs!$I$9+(((A124)+1)/2)*(Inputs!$J$9-Inputs!$I$9)))^2+Inputs!$C$6^2+((Inputs!$H$9+Inputs!$L$9*(((Inputs!$I$9+(((A124)+1)/2)*(Inputs!$J$9-Inputs!$I$9)))/Inputs!$K$9)^2))^2)))))/Inputs!$C$13),NA())</x:f>
        <x:v>-615.6493993135603</x:v>
      </x:c>
      <x:c r="R124" s="49"/>
      <x:c r="S124" s="48" t="n">
        <x:f>A124</x:f>
        <x:v>0.017</x:v>
      </x:c>
      <x:c r="T124" s="48" t="n">
        <x:f>(Inputs!$I$6+(((A124)+1)/2)*(Inputs!$J$6-Inputs!$I$6))</x:f>
        <x:v>1.019999999999996</x:v>
      </x:c>
      <x:c r="U124" s="48" t="n">
        <x:f>(Inputs!$I$7+(((A124)+1)/2)*(Inputs!$J$7-Inputs!$I$7))</x:f>
        <x:v>6.7999999999999545</x:v>
      </x:c>
      <x:c r="V124" s="48" t="n">
        <x:f>(Inputs!$I$8+(((A124)+1)/2)*(Inputs!$J$8-Inputs!$I$8))</x:f>
        <x:v>13.599999999999909</x:v>
      </x:c>
      <x:c r="W124" s="48" t="n">
        <x:f>(Inputs!$I$9+(((A124)+1)/2)*(Inputs!$J$9-Inputs!$I$9))</x:f>
        <x:v>13.599999999999909</x:v>
      </x:c>
      <x:c r="X124" s="49"/>
      <x:c r="Y124" s="48" t="n">
        <x:f>A124</x:f>
        <x:v>0.017</x:v>
      </x:c>
      <x:c r="Z124" s="48" t="n">
        <x:f>(Inputs!$H$6+Inputs!$L$6*(((Inputs!$I$6+(((A124)+1)/2)*(Inputs!$J$6-Inputs!$I$6)))/Inputs!$K$6)^2)</x:f>
        <x:v>400.001156</x:v>
      </x:c>
      <x:c r="AA124" s="48" t="n">
        <x:f>(Inputs!$H$7+Inputs!$L$7*(((Inputs!$I$7+(((A124)+1)/2)*(Inputs!$J$7-Inputs!$I$7)))/Inputs!$K$7)^2)</x:f>
        <x:v>35.105485</x:v>
      </x:c>
      <x:c r="AB124" s="48" t="n">
        <x:f>(Inputs!$H$8+Inputs!$L$8*(((Inputs!$I$8+(((A124)+1)/2)*(Inputs!$J$8-Inputs!$I$8)))/Inputs!$K$8)^2)</x:f>
        <x:v>35.278884999999995</x:v>
      </x:c>
      <x:c r="AC124" s="48" t="n">
        <x:f>(Inputs!$H$9+Inputs!$L$9*(((Inputs!$I$9+(((A124)+1)/2)*(Inputs!$J$9-Inputs!$I$9)))/Inputs!$K$9)^2)</x:f>
        <x:v>25.281774999999996</x:v>
      </x:c>
      <x:c r="AD124" s="49"/>
      <x:c r="AE124" s="48" t="n">
        <x:f>A124</x:f>
        <x:v>0.017</x:v>
      </x:c>
      <x:c r="AF124" s="48" t="n">
        <x:f>(((SQRT(((Inputs!$I$6+(((A124)+1)/2)*(Inputs!$J$6-Inputs!$I$6)))^2+Inputs!$C$6^2+((Inputs!$H$6+Inputs!$L$6*(((Inputs!$I$6+(((A124)+1)/2)*(Inputs!$J$6-Inputs!$I$6)))/Inputs!$K$6)^2))^2))-((Inputs!$H$6+Inputs!$L$6*(((Inputs!$I$6+(((A124)+1)/2)*(Inputs!$J$6-Inputs!$I$6)))/Inputs!$K$6)^2)))*1000/Inputs!$C$12)</x:f>
        <x:v>439.20463896751465</x:v>
      </x:c>
      <x:c r="AG124" s="48" t="n">
        <x:f>(((SQRT(((Inputs!$I$7+(((A124)+1)/2)*(Inputs!$J$7-Inputs!$I$7)))^2+Inputs!$C$6^2+((Inputs!$H$7+Inputs!$L$7*(((Inputs!$I$7+(((A124)+1)/2)*(Inputs!$J$7-Inputs!$I$7)))/Inputs!$K$7)^2))^2))-((Inputs!$H$7+Inputs!$L$7*(((Inputs!$I$7+(((A124)+1)/2)*(Inputs!$J$7-Inputs!$I$7)))/Inputs!$K$7)^2)))*1000/Inputs!$C$12)</x:f>
        <x:v>4789.427923915416</x:v>
      </x:c>
      <x:c r="AH124" s="48" t="n">
        <x:f>(((SQRT(((Inputs!$I$8+(((A124)+1)/2)*(Inputs!$J$8-Inputs!$I$8)))^2+Inputs!$C$6^2+((Inputs!$H$8+Inputs!$L$8*(((Inputs!$I$8+(((A124)+1)/2)*(Inputs!$J$8-Inputs!$I$8)))/Inputs!$K$8)^2))^2))-((Inputs!$H$8+Inputs!$L$8*(((Inputs!$I$8+(((A124)+1)/2)*(Inputs!$J$8-Inputs!$I$8)))/Inputs!$K$8)^2)))*1000/Inputs!$C$12)</x:f>
        <x:v>5645.149708559619</x:v>
      </x:c>
      <x:c r="AI124" s="48" t="n">
        <x:f>(((SQRT(((Inputs!$I$9+(((A124)+1)/2)*(Inputs!$J$9-Inputs!$I$9)))^2+Inputs!$C$6^2+((Inputs!$H$9+Inputs!$L$9*(((Inputs!$I$9+(((A124)+1)/2)*(Inputs!$J$9-Inputs!$I$9)))/Inputs!$K$9)^2))^2))-((Inputs!$H$9+Inputs!$L$9*(((Inputs!$I$9+(((A124)+1)/2)*(Inputs!$J$9-Inputs!$I$9)))/Inputs!$K$9)^2)))*1000/Inputs!$C$12)</x:f>
        <x:v>7182.9442804401715</x:v>
      </x:c>
      <x:c r="AJ124" s="49"/>
      <x:c r="AK124" s="48" t="n">
        <x:f>A124</x:f>
        <x:v>0.017</x:v>
      </x:c>
      <x:c r="AL124" s="48" t="n">
        <x:f>(-2*((1000*((((Inputs!$I$6+(((A124)+1)/2)*(Inputs!$J$6-Inputs!$I$6)))*Inputs!$C$11+((Inputs!$H$6+Inputs!$L$6*(((Inputs!$I$6+(((A124)+1)/2)*(Inputs!$J$6-Inputs!$I$6)))/Inputs!$K$6)^2))*((2*Inputs!$L$6*((Inputs!$I$6+(((A124)+1)/2)*(Inputs!$J$6-Inputs!$I$6)))/(Inputs!$K$6^2)*Inputs!$C$11)))/(SQRT(((Inputs!$I$6+(((A124)+1)/2)*(Inputs!$J$6-Inputs!$I$6)))^2+Inputs!$C$6^2+((Inputs!$H$6+Inputs!$L$6*(((Inputs!$I$6+(((A124)+1)/2)*(Inputs!$J$6-Inputs!$I$6)))/Inputs!$K$6)^2))^2)))))/Inputs!$C$13)</x:f>
        <x:v>-7.691621946567357</x:v>
      </x:c>
      <x:c r="AM124" s="48" t="n">
        <x:f>(-2*((1000*((((Inputs!$I$7+(((A124)+1)/2)*(Inputs!$J$7-Inputs!$I$7)))*Inputs!$C$11+((Inputs!$H$7+Inputs!$L$7*(((Inputs!$I$7+(((A124)+1)/2)*(Inputs!$J$7-Inputs!$I$7)))/Inputs!$K$7)^2))*((2*Inputs!$L$7*((Inputs!$I$7+(((A124)+1)/2)*(Inputs!$J$7-Inputs!$I$7)))/(Inputs!$K$7^2)*Inputs!$C$11)))/(SQRT(((Inputs!$I$7+(((A124)+1)/2)*(Inputs!$J$7-Inputs!$I$7)))^2+Inputs!$C$6^2+((Inputs!$H$7+Inputs!$L$7*(((Inputs!$I$7+(((A124)+1)/2)*(Inputs!$J$7-Inputs!$I$7)))/Inputs!$K$7)^2))^2)))))/Inputs!$C$13)</x:f>
        <x:v>-289.306518299844</x:v>
      </x:c>
      <x:c r="AN124" s="48" t="n">
        <x:f>(-2*((1000*((((Inputs!$I$8+(((A124)+1)/2)*(Inputs!$J$8-Inputs!$I$8)))*Inputs!$C$11+((Inputs!$H$8+Inputs!$L$8*(((Inputs!$I$8+(((A124)+1)/2)*(Inputs!$J$8-Inputs!$I$8)))/Inputs!$K$8)^2))*((2*Inputs!$L$8*((Inputs!$I$8+(((A124)+1)/2)*(Inputs!$J$8-Inputs!$I$8)))/(Inputs!$K$8^2)*Inputs!$C$11)))/(SQRT(((Inputs!$I$8+(((A124)+1)/2)*(Inputs!$J$8-Inputs!$I$8)))^2+Inputs!$C$6^2+((Inputs!$H$8+Inputs!$L$8*(((Inputs!$I$8+(((A124)+1)/2)*(Inputs!$J$8-Inputs!$I$8)))/Inputs!$K$8)^2))^2)))))/Inputs!$C$13)</x:f>
        <x:v>-531.137442641234</x:v>
      </x:c>
      <x:c r="AO124" s="48" t="n">
        <x:f>(-2*((1000*((((Inputs!$I$9+(((A124)+1)/2)*(Inputs!$J$9-Inputs!$I$9)))*Inputs!$C$11+((Inputs!$H$9+Inputs!$L$9*(((Inputs!$I$9+(((A124)+1)/2)*(Inputs!$J$9-Inputs!$I$9)))/Inputs!$K$9)^2))*((2*Inputs!$L$9*((Inputs!$I$9+(((A124)+1)/2)*(Inputs!$J$9-Inputs!$I$9)))/(Inputs!$K$9^2)*Inputs!$C$11)))/(SQRT(((Inputs!$I$9+(((A124)+1)/2)*(Inputs!$J$9-Inputs!$I$9)))^2+Inputs!$C$6^2+((Inputs!$H$9+Inputs!$L$9*(((Inputs!$I$9+(((A124)+1)/2)*(Inputs!$J$9-Inputs!$I$9)))/Inputs!$K$9)^2))^2)))))/Inputs!$C$13)</x:f>
        <x:v>-615.6493993135603</x:v>
      </x:c>
    </x:row>
    <x:row r="125">
      <x:c r="A125" s="48" t="n">
        <x:f>ROUND(-1+123*2/240,3)</x:f>
        <x:v>0.025</x:v>
      </x:c>
      <x:c r="B125" s="48" t="n">
        <x:f>IF(OR(Inputs!$F$6=TRUE,Inputs!$F$6="TRUE",Inputs!$F$6=1),(Inputs!$H$6+Inputs!$L$6*(((Inputs!$I$6+(((A125)+1)/2)*(Inputs!$J$6-Inputs!$I$6)))/Inputs!$K$6)^2),NA())</x:f>
        <x:v>400.0025</x:v>
      </x:c>
      <x:c r="C125" s="48" t="n">
        <x:f>IF(OR(Inputs!$F$7=TRUE,Inputs!$F$7="TRUE",Inputs!$F$7=1),(Inputs!$H$7+Inputs!$L$7*(((Inputs!$I$7+(((A125)+1)/2)*(Inputs!$J$7-Inputs!$I$7)))/Inputs!$K$7)^2),NA())</x:f>
        <x:v>35.228125</x:v>
      </x:c>
      <x:c r="D125" s="48" t="n">
        <x:f>IF(OR(Inputs!$F$8=TRUE,Inputs!$F$8="TRUE",Inputs!$F$8=1),(Inputs!$H$8+Inputs!$L$8*(((Inputs!$I$8+(((A125)+1)/2)*(Inputs!$J$8-Inputs!$I$8)))/Inputs!$K$8)^2),NA())</x:f>
        <x:v>35.60312499999999</x:v>
      </x:c>
      <x:c r="E125" s="48" t="n">
        <x:f>IF(OR(Inputs!$F$9=TRUE,Inputs!$F$9="TRUE",Inputs!$F$9=1),(Inputs!$H$9+Inputs!$L$9*(((Inputs!$I$9+(((A125)+1)/2)*(Inputs!$J$9-Inputs!$I$9)))/Inputs!$K$9)^2),NA())</x:f>
        <x:v>25.609374999999993</x:v>
      </x:c>
      <x:c r="F125" s="49"/>
      <x:c r="G125" s="48" t="n">
        <x:f>A125</x:f>
        <x:v>0.025</x:v>
      </x:c>
      <x:c r="H125" s="48" t="n">
        <x:f>IF(OR(Inputs!$F$6=TRUE,Inputs!$F$6="TRUE",Inputs!$F$6=1),(((SQRT(((Inputs!$I$6+(((A125)+1)/2)*(Inputs!$J$6-Inputs!$I$6)))^2+Inputs!$C$6^2+((Inputs!$H$6+Inputs!$L$6*(((Inputs!$I$6+(((A125)+1)/2)*(Inputs!$J$6-Inputs!$I$6)))/Inputs!$K$6)^2))^2))-((Inputs!$H$6+Inputs!$L$6*(((Inputs!$I$6+(((A125)+1)/2)*(Inputs!$J$6-Inputs!$I$6)))/Inputs!$K$6)^2)))*1000/Inputs!$C$12),NA())</x:f>
        <x:v>440.0509404961583</x:v>
      </x:c>
      <x:c r="I125" s="48" t="n">
        <x:f>IF(OR(Inputs!$F$7=TRUE,Inputs!$F$7="TRUE",Inputs!$F$7=1),(((SQRT(((Inputs!$I$7+(((A125)+1)/2)*(Inputs!$J$7-Inputs!$I$7)))^2+Inputs!$C$6^2+((Inputs!$H$7+Inputs!$L$7*(((Inputs!$I$7+(((A125)+1)/2)*(Inputs!$J$7-Inputs!$I$7)))/Inputs!$K$7)^2))^2))-((Inputs!$H$7+Inputs!$L$7*(((Inputs!$I$7+(((A125)+1)/2)*(Inputs!$J$7-Inputs!$I$7)))/Inputs!$K$7)^2)))*1000/Inputs!$C$12),NA())</x:f>
        <x:v>5118.937082121661</x:v>
      </x:c>
      <x:c r="J125" s="48" t="n">
        <x:f>IF(OR(Inputs!$F$8=TRUE,Inputs!$F$8="TRUE",Inputs!$F$8=1),(((SQRT(((Inputs!$I$8+(((A125)+1)/2)*(Inputs!$J$8-Inputs!$I$8)))^2+Inputs!$C$6^2+((Inputs!$H$8+Inputs!$L$8*(((Inputs!$I$8+(((A125)+1)/2)*(Inputs!$J$8-Inputs!$I$8)))/Inputs!$K$8)^2))^2))-((Inputs!$H$8+Inputs!$L$8*(((Inputs!$I$8+(((A125)+1)/2)*(Inputs!$J$8-Inputs!$I$8)))/Inputs!$K$8)^2)))*1000/Inputs!$C$12),NA())</x:f>
        <x:v>6897.637697468355</x:v>
      </x:c>
      <x:c r="K125" s="48" t="n">
        <x:f>IF(OR(Inputs!$F$9=TRUE,Inputs!$F$9="TRUE",Inputs!$F$9=1),(((SQRT(((Inputs!$I$9+(((A125)+1)/2)*(Inputs!$J$9-Inputs!$I$9)))^2+Inputs!$C$6^2+((Inputs!$H$9+Inputs!$L$9*(((Inputs!$I$9+(((A125)+1)/2)*(Inputs!$J$9-Inputs!$I$9)))/Inputs!$K$9)^2))^2))-((Inputs!$H$9+Inputs!$L$9*(((Inputs!$I$9+(((A125)+1)/2)*(Inputs!$J$9-Inputs!$I$9)))/Inputs!$K$9)^2)))*1000/Inputs!$C$12),NA())</x:f>
        <x:v>8645.322924687336</x:v>
      </x:c>
      <x:c r="L125" s="49"/>
      <x:c r="M125" s="48" t="n">
        <x:f>A125</x:f>
        <x:v>0.025</x:v>
      </x:c>
      <x:c r="N125" s="48" t="n">
        <x:f>IF(OR(Inputs!$F$6=TRUE,Inputs!$F$6="TRUE",Inputs!$F$6=1),(-2*((1000*((((Inputs!$I$6+(((A125)+1)/2)*(Inputs!$J$6-Inputs!$I$6)))*Inputs!$C$11+((Inputs!$H$6+Inputs!$L$6*(((Inputs!$I$6+(((A125)+1)/2)*(Inputs!$J$6-Inputs!$I$6)))/Inputs!$K$6)^2))*((2*Inputs!$L$6*((Inputs!$I$6+(((A125)+1)/2)*(Inputs!$J$6-Inputs!$I$6)))/(Inputs!$K$6^2)*Inputs!$C$11)))/(SQRT(((Inputs!$I$6+(((A125)+1)/2)*(Inputs!$J$6-Inputs!$I$6)))^2+Inputs!$C$6^2+((Inputs!$H$6+Inputs!$L$6*(((Inputs!$I$6+(((A125)+1)/2)*(Inputs!$J$6-Inputs!$I$6)))/Inputs!$K$6)^2))^2)))))/Inputs!$C$13),NA())</x:f>
        <x:v>-11.311146183705745</x:v>
      </x:c>
      <x:c r="O125" s="48" t="n">
        <x:f>IF(OR(Inputs!$F$7=TRUE,Inputs!$F$7="TRUE",Inputs!$F$7=1),(-2*((1000*((((Inputs!$I$7+(((A125)+1)/2)*(Inputs!$J$7-Inputs!$I$7)))*Inputs!$C$11+((Inputs!$H$7+Inputs!$L$7*(((Inputs!$I$7+(((A125)+1)/2)*(Inputs!$J$7-Inputs!$I$7)))/Inputs!$K$7)^2))*((2*Inputs!$L$7*((Inputs!$I$7+(((A125)+1)/2)*(Inputs!$J$7-Inputs!$I$7)))/(Inputs!$K$7^2)*Inputs!$C$11)))/(SQRT(((Inputs!$I$7+(((A125)+1)/2)*(Inputs!$J$7-Inputs!$I$7)))^2+Inputs!$C$6^2+((Inputs!$H$7+Inputs!$L$7*(((Inputs!$I$7+(((A125)+1)/2)*(Inputs!$J$7-Inputs!$I$7)))/Inputs!$K$7)^2))^2)))))/Inputs!$C$13),NA())</x:f>
        <x:v>-418.84806202163315</x:v>
      </x:c>
      <x:c r="P125" s="48" t="n">
        <x:f>IF(OR(Inputs!$F$8=TRUE,Inputs!$F$8="TRUE",Inputs!$F$8=1),(-2*((1000*((((Inputs!$I$8+(((A125)+1)/2)*(Inputs!$J$8-Inputs!$I$8)))*Inputs!$C$11+((Inputs!$H$8+Inputs!$L$8*(((Inputs!$I$8+(((A125)+1)/2)*(Inputs!$J$8-Inputs!$I$8)))/Inputs!$K$8)^2))*((2*Inputs!$L$8*((Inputs!$I$8+(((A125)+1)/2)*(Inputs!$J$8-Inputs!$I$8)))/(Inputs!$K$8^2)*Inputs!$C$11)))/(SQRT(((Inputs!$I$8+(((A125)+1)/2)*(Inputs!$J$8-Inputs!$I$8)))^2+Inputs!$C$6^2+((Inputs!$H$8+Inputs!$L$8*(((Inputs!$I$8+(((A125)+1)/2)*(Inputs!$J$8-Inputs!$I$8)))/Inputs!$K$8)^2))^2)))))/Inputs!$C$13),NA())</x:f>
        <x:v>-740.0797956135009</x:v>
      </x:c>
      <x:c r="Q125" s="48" t="n">
        <x:f>IF(OR(Inputs!$F$9=TRUE,Inputs!$F$9="TRUE",Inputs!$F$9=1),(-2*((1000*((((Inputs!$I$9+(((A125)+1)/2)*(Inputs!$J$9-Inputs!$I$9)))*Inputs!$C$11+((Inputs!$H$9+Inputs!$L$9*(((Inputs!$I$9+(((A125)+1)/2)*(Inputs!$J$9-Inputs!$I$9)))/Inputs!$K$9)^2))*((2*Inputs!$L$9*((Inputs!$I$9+(((A125)+1)/2)*(Inputs!$J$9-Inputs!$I$9)))/(Inputs!$K$9^2)*Inputs!$C$11)))/(SQRT(((Inputs!$I$9+(((A125)+1)/2)*(Inputs!$J$9-Inputs!$I$9)))^2+Inputs!$C$6^2+((Inputs!$H$9+Inputs!$L$9*(((Inputs!$I$9+(((A125)+1)/2)*(Inputs!$J$9-Inputs!$I$9)))/Inputs!$K$9)^2))^2)))))/Inputs!$C$13),NA())</x:f>
        <x:v>-841.4281709931192</x:v>
      </x:c>
      <x:c r="R125" s="49"/>
      <x:c r="S125" s="48" t="n">
        <x:f>A125</x:f>
        <x:v>0.025</x:v>
      </x:c>
      <x:c r="T125" s="48" t="n">
        <x:f>(Inputs!$I$6+(((A125)+1)/2)*(Inputs!$J$6-Inputs!$I$6))</x:f>
        <x:v>1.499999999999993</x:v>
      </x:c>
      <x:c r="U125" s="48" t="n">
        <x:f>(Inputs!$I$7+(((A125)+1)/2)*(Inputs!$J$7-Inputs!$I$7))</x:f>
        <x:v>9.999999999999943</x:v>
      </x:c>
      <x:c r="V125" s="48" t="n">
        <x:f>(Inputs!$I$8+(((A125)+1)/2)*(Inputs!$J$8-Inputs!$I$8))</x:f>
        <x:v>19.999999999999886</x:v>
      </x:c>
      <x:c r="W125" s="48" t="n">
        <x:f>(Inputs!$I$9+(((A125)+1)/2)*(Inputs!$J$9-Inputs!$I$9))</x:f>
        <x:v>19.999999999999886</x:v>
      </x:c>
      <x:c r="X125" s="49"/>
      <x:c r="Y125" s="48" t="n">
        <x:f>A125</x:f>
        <x:v>0.025</x:v>
      </x:c>
      <x:c r="Z125" s="48" t="n">
        <x:f>(Inputs!$H$6+Inputs!$L$6*(((Inputs!$I$6+(((A125)+1)/2)*(Inputs!$J$6-Inputs!$I$6)))/Inputs!$K$6)^2)</x:f>
        <x:v>400.0025</x:v>
      </x:c>
      <x:c r="AA125" s="48" t="n">
        <x:f>(Inputs!$H$7+Inputs!$L$7*(((Inputs!$I$7+(((A125)+1)/2)*(Inputs!$J$7-Inputs!$I$7)))/Inputs!$K$7)^2)</x:f>
        <x:v>35.228125</x:v>
      </x:c>
      <x:c r="AB125" s="48" t="n">
        <x:f>(Inputs!$H$8+Inputs!$L$8*(((Inputs!$I$8+(((A125)+1)/2)*(Inputs!$J$8-Inputs!$I$8)))/Inputs!$K$8)^2)</x:f>
        <x:v>35.60312499999999</x:v>
      </x:c>
      <x:c r="AC125" s="48" t="n">
        <x:f>(Inputs!$H$9+Inputs!$L$9*(((Inputs!$I$9+(((A125)+1)/2)*(Inputs!$J$9-Inputs!$I$9)))/Inputs!$K$9)^2)</x:f>
        <x:v>25.609374999999993</x:v>
      </x:c>
      <x:c r="AD125" s="49"/>
      <x:c r="AE125" s="48" t="n">
        <x:f>A125</x:f>
        <x:v>0.025</x:v>
      </x:c>
      <x:c r="AF125" s="48" t="n">
        <x:f>(((SQRT(((Inputs!$I$6+(((A125)+1)/2)*(Inputs!$J$6-Inputs!$I$6)))^2+Inputs!$C$6^2+((Inputs!$H$6+Inputs!$L$6*(((Inputs!$I$6+(((A125)+1)/2)*(Inputs!$J$6-Inputs!$I$6)))/Inputs!$K$6)^2))^2))-((Inputs!$H$6+Inputs!$L$6*(((Inputs!$I$6+(((A125)+1)/2)*(Inputs!$J$6-Inputs!$I$6)))/Inputs!$K$6)^2)))*1000/Inputs!$C$12)</x:f>
        <x:v>440.0509404961583</x:v>
      </x:c>
      <x:c r="AG125" s="48" t="n">
        <x:f>(((SQRT(((Inputs!$I$7+(((A125)+1)/2)*(Inputs!$J$7-Inputs!$I$7)))^2+Inputs!$C$6^2+((Inputs!$H$7+Inputs!$L$7*(((Inputs!$I$7+(((A125)+1)/2)*(Inputs!$J$7-Inputs!$I$7)))/Inputs!$K$7)^2))^2))-((Inputs!$H$7+Inputs!$L$7*(((Inputs!$I$7+(((A125)+1)/2)*(Inputs!$J$7-Inputs!$I$7)))/Inputs!$K$7)^2)))*1000/Inputs!$C$12)</x:f>
        <x:v>5118.937082121661</x:v>
      </x:c>
      <x:c r="AH125" s="48" t="n">
        <x:f>(((SQRT(((Inputs!$I$8+(((A125)+1)/2)*(Inputs!$J$8-Inputs!$I$8)))^2+Inputs!$C$6^2+((Inputs!$H$8+Inputs!$L$8*(((Inputs!$I$8+(((A125)+1)/2)*(Inputs!$J$8-Inputs!$I$8)))/Inputs!$K$8)^2))^2))-((Inputs!$H$8+Inputs!$L$8*(((Inputs!$I$8+(((A125)+1)/2)*(Inputs!$J$8-Inputs!$I$8)))/Inputs!$K$8)^2)))*1000/Inputs!$C$12)</x:f>
        <x:v>6897.637697468355</x:v>
      </x:c>
      <x:c r="AI125" s="48" t="n">
        <x:f>(((SQRT(((Inputs!$I$9+(((A125)+1)/2)*(Inputs!$J$9-Inputs!$I$9)))^2+Inputs!$C$6^2+((Inputs!$H$9+Inputs!$L$9*(((Inputs!$I$9+(((A125)+1)/2)*(Inputs!$J$9-Inputs!$I$9)))/Inputs!$K$9)^2))^2))-((Inputs!$H$9+Inputs!$L$9*(((Inputs!$I$9+(((A125)+1)/2)*(Inputs!$J$9-Inputs!$I$9)))/Inputs!$K$9)^2)))*1000/Inputs!$C$12)</x:f>
        <x:v>8645.322924687336</x:v>
      </x:c>
      <x:c r="AJ125" s="49"/>
      <x:c r="AK125" s="48" t="n">
        <x:f>A125</x:f>
        <x:v>0.025</x:v>
      </x:c>
      <x:c r="AL125" s="48" t="n">
        <x:f>(-2*((1000*((((Inputs!$I$6+(((A125)+1)/2)*(Inputs!$J$6-Inputs!$I$6)))*Inputs!$C$11+((Inputs!$H$6+Inputs!$L$6*(((Inputs!$I$6+(((A125)+1)/2)*(Inputs!$J$6-Inputs!$I$6)))/Inputs!$K$6)^2))*((2*Inputs!$L$6*((Inputs!$I$6+(((A125)+1)/2)*(Inputs!$J$6-Inputs!$I$6)))/(Inputs!$K$6^2)*Inputs!$C$11)))/(SQRT(((Inputs!$I$6+(((A125)+1)/2)*(Inputs!$J$6-Inputs!$I$6)))^2+Inputs!$C$6^2+((Inputs!$H$6+Inputs!$L$6*(((Inputs!$I$6+(((A125)+1)/2)*(Inputs!$J$6-Inputs!$I$6)))/Inputs!$K$6)^2))^2)))))/Inputs!$C$13)</x:f>
        <x:v>-11.311146183705745</x:v>
      </x:c>
      <x:c r="AM125" s="48" t="n">
        <x:f>(-2*((1000*((((Inputs!$I$7+(((A125)+1)/2)*(Inputs!$J$7-Inputs!$I$7)))*Inputs!$C$11+((Inputs!$H$7+Inputs!$L$7*(((Inputs!$I$7+(((A125)+1)/2)*(Inputs!$J$7-Inputs!$I$7)))/Inputs!$K$7)^2))*((2*Inputs!$L$7*((Inputs!$I$7+(((A125)+1)/2)*(Inputs!$J$7-Inputs!$I$7)))/(Inputs!$K$7^2)*Inputs!$C$11)))/(SQRT(((Inputs!$I$7+(((A125)+1)/2)*(Inputs!$J$7-Inputs!$I$7)))^2+Inputs!$C$6^2+((Inputs!$H$7+Inputs!$L$7*(((Inputs!$I$7+(((A125)+1)/2)*(Inputs!$J$7-Inputs!$I$7)))/Inputs!$K$7)^2))^2)))))/Inputs!$C$13)</x:f>
        <x:v>-418.84806202163315</x:v>
      </x:c>
      <x:c r="AN125" s="48" t="n">
        <x:f>(-2*((1000*((((Inputs!$I$8+(((A125)+1)/2)*(Inputs!$J$8-Inputs!$I$8)))*Inputs!$C$11+((Inputs!$H$8+Inputs!$L$8*(((Inputs!$I$8+(((A125)+1)/2)*(Inputs!$J$8-Inputs!$I$8)))/Inputs!$K$8)^2))*((2*Inputs!$L$8*((Inputs!$I$8+(((A125)+1)/2)*(Inputs!$J$8-Inputs!$I$8)))/(Inputs!$K$8^2)*Inputs!$C$11)))/(SQRT(((Inputs!$I$8+(((A125)+1)/2)*(Inputs!$J$8-Inputs!$I$8)))^2+Inputs!$C$6^2+((Inputs!$H$8+Inputs!$L$8*(((Inputs!$I$8+(((A125)+1)/2)*(Inputs!$J$8-Inputs!$I$8)))/Inputs!$K$8)^2))^2)))))/Inputs!$C$13)</x:f>
        <x:v>-740.0797956135009</x:v>
      </x:c>
      <x:c r="AO125" s="48" t="n">
        <x:f>(-2*((1000*((((Inputs!$I$9+(((A125)+1)/2)*(Inputs!$J$9-Inputs!$I$9)))*Inputs!$C$11+((Inputs!$H$9+Inputs!$L$9*(((Inputs!$I$9+(((A125)+1)/2)*(Inputs!$J$9-Inputs!$I$9)))/Inputs!$K$9)^2))*((2*Inputs!$L$9*((Inputs!$I$9+(((A125)+1)/2)*(Inputs!$J$9-Inputs!$I$9)))/(Inputs!$K$9^2)*Inputs!$C$11)))/(SQRT(((Inputs!$I$9+(((A125)+1)/2)*(Inputs!$J$9-Inputs!$I$9)))^2+Inputs!$C$6^2+((Inputs!$H$9+Inputs!$L$9*(((Inputs!$I$9+(((A125)+1)/2)*(Inputs!$J$9-Inputs!$I$9)))/Inputs!$K$9)^2))^2)))))/Inputs!$C$13)</x:f>
        <x:v>-841.4281709931192</x:v>
      </x:c>
    </x:row>
    <x:row r="126">
      <x:c r="A126" s="48" t="n">
        <x:f>ROUND(-1+124*2/240,3)</x:f>
        <x:v>0.033</x:v>
      </x:c>
      <x:c r="B126" s="48" t="n">
        <x:f>IF(OR(Inputs!$F$6=TRUE,Inputs!$F$6="TRUE",Inputs!$F$6=1),(Inputs!$H$6+Inputs!$L$6*(((Inputs!$I$6+(((A126)+1)/2)*(Inputs!$J$6-Inputs!$I$6)))/Inputs!$K$6)^2),NA())</x:f>
        <x:v>400.004356</x:v>
      </x:c>
      <x:c r="C126" s="48" t="n">
        <x:f>IF(OR(Inputs!$F$7=TRUE,Inputs!$F$7="TRUE",Inputs!$F$7=1),(Inputs!$H$7+Inputs!$L$7*(((Inputs!$I$7+(((A126)+1)/2)*(Inputs!$J$7-Inputs!$I$7)))/Inputs!$K$7)^2),NA())</x:f>
        <x:v>35.397484999999996</x:v>
      </x:c>
      <x:c r="D126" s="48" t="n">
        <x:f>IF(OR(Inputs!$F$8=TRUE,Inputs!$F$8="TRUE",Inputs!$F$8=1),(Inputs!$H$8+Inputs!$L$8*(((Inputs!$I$8+(((A126)+1)/2)*(Inputs!$J$8-Inputs!$I$8)))/Inputs!$K$8)^2),NA())</x:f>
        <x:v>36.050885</x:v>
      </x:c>
      <x:c r="E126" s="48" t="n">
        <x:f>IF(OR(Inputs!$F$9=TRUE,Inputs!$F$9="TRUE",Inputs!$F$9=1),(Inputs!$H$9+Inputs!$L$9*(((Inputs!$I$9+(((A126)+1)/2)*(Inputs!$J$9-Inputs!$I$9)))/Inputs!$K$9)^2),NA())</x:f>
        <x:v>26.061774999999997</x:v>
      </x:c>
      <x:c r="F126" s="49"/>
      <x:c r="G126" s="48" t="n">
        <x:f>A126</x:f>
        <x:v>0.033</x:v>
      </x:c>
      <x:c r="H126" s="48" t="n">
        <x:f>IF(OR(Inputs!$F$6=TRUE,Inputs!$F$6="TRUE",Inputs!$F$6=1),(((SQRT(((Inputs!$I$6+(((A126)+1)/2)*(Inputs!$J$6-Inputs!$I$6)))^2+Inputs!$C$6^2+((Inputs!$H$6+Inputs!$L$6*(((Inputs!$I$6+(((A126)+1)/2)*(Inputs!$J$6-Inputs!$I$6)))/Inputs!$K$6)^2))^2))-((Inputs!$H$6+Inputs!$L$6*(((Inputs!$I$6+(((A126)+1)/2)*(Inputs!$J$6-Inputs!$I$6)))/Inputs!$K$6)^2)))*1000/Inputs!$C$12),NA())</x:f>
        <x:v>441.21962804653646</x:v>
      </x:c>
      <x:c r="I126" s="48" t="n">
        <x:f>IF(OR(Inputs!$F$7=TRUE,Inputs!$F$7="TRUE",Inputs!$F$7=1),(((SQRT(((Inputs!$I$7+(((A126)+1)/2)*(Inputs!$J$7-Inputs!$I$7)))^2+Inputs!$C$6^2+((Inputs!$H$7+Inputs!$L$7*(((Inputs!$I$7+(((A126)+1)/2)*(Inputs!$J$7-Inputs!$I$7)))/Inputs!$K$7)^2))^2))-((Inputs!$H$7+Inputs!$L$7*(((Inputs!$I$7+(((A126)+1)/2)*(Inputs!$J$7-Inputs!$I$7)))/Inputs!$K$7)^2)))*1000/Inputs!$C$12),NA())</x:f>
        <x:v>5564.02882905703</x:v>
      </x:c>
      <x:c r="J126" s="48" t="n">
        <x:f>IF(OR(Inputs!$F$8=TRUE,Inputs!$F$8="TRUE",Inputs!$F$8=1),(((SQRT(((Inputs!$I$8+(((A126)+1)/2)*(Inputs!$J$8-Inputs!$I$8)))^2+Inputs!$C$6^2+((Inputs!$H$8+Inputs!$L$8*(((Inputs!$I$8+(((A126)+1)/2)*(Inputs!$J$8-Inputs!$I$8)))/Inputs!$K$8)^2))^2))-((Inputs!$H$8+Inputs!$L$8*(((Inputs!$I$8+(((A126)+1)/2)*(Inputs!$J$8-Inputs!$I$8)))/Inputs!$K$8)^2)))*1000/Inputs!$C$12),NA())</x:f>
        <x:v>8511.760895656094</x:v>
      </x:c>
      <x:c r="K126" s="48" t="n">
        <x:f>IF(OR(Inputs!$F$9=TRUE,Inputs!$F$9="TRUE",Inputs!$F$9=1),(((SQRT(((Inputs!$I$9+(((A126)+1)/2)*(Inputs!$J$9-Inputs!$I$9)))^2+Inputs!$C$6^2+((Inputs!$H$9+Inputs!$L$9*(((Inputs!$I$9+(((A126)+1)/2)*(Inputs!$J$9-Inputs!$I$9)))/Inputs!$K$9)^2))^2))-((Inputs!$H$9+Inputs!$L$9*(((Inputs!$I$9+(((A126)+1)/2)*(Inputs!$J$9-Inputs!$I$9)))/Inputs!$K$9)^2)))*1000/Inputs!$C$12),NA())</x:f>
        <x:v>10490.298874003152</x:v>
      </x:c>
      <x:c r="L126" s="49"/>
      <x:c r="M126" s="48" t="n">
        <x:f>A126</x:f>
        <x:v>0.033</x:v>
      </x:c>
      <x:c r="N126" s="48" t="n">
        <x:f>IF(OR(Inputs!$F$6=TRUE,Inputs!$F$6="TRUE",Inputs!$F$6=1),(-2*((1000*((((Inputs!$I$6+(((A126)+1)/2)*(Inputs!$J$6-Inputs!$I$6)))*Inputs!$C$11+((Inputs!$H$6+Inputs!$L$6*(((Inputs!$I$6+(((A126)+1)/2)*(Inputs!$J$6-Inputs!$I$6)))/Inputs!$K$6)^2))*((2*Inputs!$L$6*((Inputs!$I$6+(((A126)+1)/2)*(Inputs!$J$6-Inputs!$I$6)))/(Inputs!$K$6^2)*Inputs!$C$11)))/(SQRT(((Inputs!$I$6+(((A126)+1)/2)*(Inputs!$J$6-Inputs!$I$6)))^2+Inputs!$C$6^2+((Inputs!$H$6+Inputs!$L$6*(((Inputs!$I$6+(((A126)+1)/2)*(Inputs!$J$6-Inputs!$I$6)))/Inputs!$K$6)^2))^2)))))/Inputs!$C$13),NA())</x:f>
        <x:v>-14.93059892517365</x:v>
      </x:c>
      <x:c r="O126" s="48" t="n">
        <x:f>IF(OR(Inputs!$F$7=TRUE,Inputs!$F$7="TRUE",Inputs!$F$7=1),(-2*((1000*((((Inputs!$I$7+(((A126)+1)/2)*(Inputs!$J$7-Inputs!$I$7)))*Inputs!$C$11+((Inputs!$H$7+Inputs!$L$7*(((Inputs!$I$7+(((A126)+1)/2)*(Inputs!$J$7-Inputs!$I$7)))/Inputs!$K$7)^2))*((2*Inputs!$L$7*((Inputs!$I$7+(((A126)+1)/2)*(Inputs!$J$7-Inputs!$I$7)))/(Inputs!$K$7^2)*Inputs!$C$11)))/(SQRT(((Inputs!$I$7+(((A126)+1)/2)*(Inputs!$J$7-Inputs!$I$7)))^2+Inputs!$C$6^2+((Inputs!$H$7+Inputs!$L$7*(((Inputs!$I$7+(((A126)+1)/2)*(Inputs!$J$7-Inputs!$I$7)))/Inputs!$K$7)^2))^2)))))/Inputs!$C$13),NA())</x:f>
        <x:v>-541.5035994347652</x:v>
      </x:c>
      <x:c r="P126" s="48" t="n">
        <x:f>IF(OR(Inputs!$F$8=TRUE,Inputs!$F$8="TRUE",Inputs!$F$8=1),(-2*((1000*((((Inputs!$I$8+(((A126)+1)/2)*(Inputs!$J$8-Inputs!$I$8)))*Inputs!$C$11+((Inputs!$H$8+Inputs!$L$8*(((Inputs!$I$8+(((A126)+1)/2)*(Inputs!$J$8-Inputs!$I$8)))/Inputs!$K$8)^2))*((2*Inputs!$L$8*((Inputs!$I$8+(((A126)+1)/2)*(Inputs!$J$8-Inputs!$I$8)))/(Inputs!$K$8^2)*Inputs!$C$11)))/(SQRT(((Inputs!$I$8+(((A126)+1)/2)*(Inputs!$J$8-Inputs!$I$8)))^2+Inputs!$C$6^2+((Inputs!$H$8+Inputs!$L$8*(((Inputs!$I$8+(((A126)+1)/2)*(Inputs!$J$8-Inputs!$I$8)))/Inputs!$K$8)^2))^2)))))/Inputs!$C$13),NA())</x:f>
        <x:v>-914.6581563963509</x:v>
      </x:c>
      <x:c r="Q126" s="48" t="n">
        <x:f>IF(OR(Inputs!$F$9=TRUE,Inputs!$F$9="TRUE",Inputs!$F$9=1),(-2*((1000*((((Inputs!$I$9+(((A126)+1)/2)*(Inputs!$J$9-Inputs!$I$9)))*Inputs!$C$11+((Inputs!$H$9+Inputs!$L$9*(((Inputs!$I$9+(((A126)+1)/2)*(Inputs!$J$9-Inputs!$I$9)))/Inputs!$K$9)^2))*((2*Inputs!$L$9*((Inputs!$I$9+(((A126)+1)/2)*(Inputs!$J$9-Inputs!$I$9)))/(Inputs!$K$9^2)*Inputs!$C$11)))/(SQRT(((Inputs!$I$9+(((A126)+1)/2)*(Inputs!$J$9-Inputs!$I$9)))^2+Inputs!$C$6^2+((Inputs!$H$9+Inputs!$L$9*(((Inputs!$I$9+(((A126)+1)/2)*(Inputs!$J$9-Inputs!$I$9)))/Inputs!$K$9)^2))^2)))))/Inputs!$C$13),NA())</x:f>
        <x:v>-1019.2165624370576</x:v>
      </x:c>
      <x:c r="R126" s="49"/>
      <x:c r="S126" s="48" t="n">
        <x:f>A126</x:f>
        <x:v>0.033</x:v>
      </x:c>
      <x:c r="T126" s="48" t="n">
        <x:f>(Inputs!$I$6+(((A126)+1)/2)*(Inputs!$J$6-Inputs!$I$6))</x:f>
        <x:v>1.9799999999999969</x:v>
      </x:c>
      <x:c r="U126" s="48" t="n">
        <x:f>(Inputs!$I$7+(((A126)+1)/2)*(Inputs!$J$7-Inputs!$I$7))</x:f>
        <x:v>13.199999999999989</x:v>
      </x:c>
      <x:c r="V126" s="48" t="n">
        <x:f>(Inputs!$I$8+(((A126)+1)/2)*(Inputs!$J$8-Inputs!$I$8))</x:f>
        <x:v>26.399999999999977</x:v>
      </x:c>
      <x:c r="W126" s="48" t="n">
        <x:f>(Inputs!$I$9+(((A126)+1)/2)*(Inputs!$J$9-Inputs!$I$9))</x:f>
        <x:v>26.399999999999977</x:v>
      </x:c>
      <x:c r="X126" s="49"/>
      <x:c r="Y126" s="48" t="n">
        <x:f>A126</x:f>
        <x:v>0.033</x:v>
      </x:c>
      <x:c r="Z126" s="48" t="n">
        <x:f>(Inputs!$H$6+Inputs!$L$6*(((Inputs!$I$6+(((A126)+1)/2)*(Inputs!$J$6-Inputs!$I$6)))/Inputs!$K$6)^2)</x:f>
        <x:v>400.004356</x:v>
      </x:c>
      <x:c r="AA126" s="48" t="n">
        <x:f>(Inputs!$H$7+Inputs!$L$7*(((Inputs!$I$7+(((A126)+1)/2)*(Inputs!$J$7-Inputs!$I$7)))/Inputs!$K$7)^2)</x:f>
        <x:v>35.397484999999996</x:v>
      </x:c>
      <x:c r="AB126" s="48" t="n">
        <x:f>(Inputs!$H$8+Inputs!$L$8*(((Inputs!$I$8+(((A126)+1)/2)*(Inputs!$J$8-Inputs!$I$8)))/Inputs!$K$8)^2)</x:f>
        <x:v>36.050885</x:v>
      </x:c>
      <x:c r="AC126" s="48" t="n">
        <x:f>(Inputs!$H$9+Inputs!$L$9*(((Inputs!$I$9+(((A126)+1)/2)*(Inputs!$J$9-Inputs!$I$9)))/Inputs!$K$9)^2)</x:f>
        <x:v>26.061774999999997</x:v>
      </x:c>
      <x:c r="AD126" s="49"/>
      <x:c r="AE126" s="48" t="n">
        <x:f>A126</x:f>
        <x:v>0.033</x:v>
      </x:c>
      <x:c r="AF126" s="48" t="n">
        <x:f>(((SQRT(((Inputs!$I$6+(((A126)+1)/2)*(Inputs!$J$6-Inputs!$I$6)))^2+Inputs!$C$6^2+((Inputs!$H$6+Inputs!$L$6*(((Inputs!$I$6+(((A126)+1)/2)*(Inputs!$J$6-Inputs!$I$6)))/Inputs!$K$6)^2))^2))-((Inputs!$H$6+Inputs!$L$6*(((Inputs!$I$6+(((A126)+1)/2)*(Inputs!$J$6-Inputs!$I$6)))/Inputs!$K$6)^2)))*1000/Inputs!$C$12)</x:f>
        <x:v>441.21962804653646</x:v>
      </x:c>
      <x:c r="AG126" s="48" t="n">
        <x:f>(((SQRT(((Inputs!$I$7+(((A126)+1)/2)*(Inputs!$J$7-Inputs!$I$7)))^2+Inputs!$C$6^2+((Inputs!$H$7+Inputs!$L$7*(((Inputs!$I$7+(((A126)+1)/2)*(Inputs!$J$7-Inputs!$I$7)))/Inputs!$K$7)^2))^2))-((Inputs!$H$7+Inputs!$L$7*(((Inputs!$I$7+(((A126)+1)/2)*(Inputs!$J$7-Inputs!$I$7)))/Inputs!$K$7)^2)))*1000/Inputs!$C$12)</x:f>
        <x:v>5564.02882905703</x:v>
      </x:c>
      <x:c r="AH126" s="48" t="n">
        <x:f>(((SQRT(((Inputs!$I$8+(((A126)+1)/2)*(Inputs!$J$8-Inputs!$I$8)))^2+Inputs!$C$6^2+((Inputs!$H$8+Inputs!$L$8*(((Inputs!$I$8+(((A126)+1)/2)*(Inputs!$J$8-Inputs!$I$8)))/Inputs!$K$8)^2))^2))-((Inputs!$H$8+Inputs!$L$8*(((Inputs!$I$8+(((A126)+1)/2)*(Inputs!$J$8-Inputs!$I$8)))/Inputs!$K$8)^2)))*1000/Inputs!$C$12)</x:f>
        <x:v>8511.760895656094</x:v>
      </x:c>
      <x:c r="AI126" s="48" t="n">
        <x:f>(((SQRT(((Inputs!$I$9+(((A126)+1)/2)*(Inputs!$J$9-Inputs!$I$9)))^2+Inputs!$C$6^2+((Inputs!$H$9+Inputs!$L$9*(((Inputs!$I$9+(((A126)+1)/2)*(Inputs!$J$9-Inputs!$I$9)))/Inputs!$K$9)^2))^2))-((Inputs!$H$9+Inputs!$L$9*(((Inputs!$I$9+(((A126)+1)/2)*(Inputs!$J$9-Inputs!$I$9)))/Inputs!$K$9)^2)))*1000/Inputs!$C$12)</x:f>
        <x:v>10490.298874003152</x:v>
      </x:c>
      <x:c r="AJ126" s="49"/>
      <x:c r="AK126" s="48" t="n">
        <x:f>A126</x:f>
        <x:v>0.033</x:v>
      </x:c>
      <x:c r="AL126" s="48" t="n">
        <x:f>(-2*((1000*((((Inputs!$I$6+(((A126)+1)/2)*(Inputs!$J$6-Inputs!$I$6)))*Inputs!$C$11+((Inputs!$H$6+Inputs!$L$6*(((Inputs!$I$6+(((A126)+1)/2)*(Inputs!$J$6-Inputs!$I$6)))/Inputs!$K$6)^2))*((2*Inputs!$L$6*((Inputs!$I$6+(((A126)+1)/2)*(Inputs!$J$6-Inputs!$I$6)))/(Inputs!$K$6^2)*Inputs!$C$11)))/(SQRT(((Inputs!$I$6+(((A126)+1)/2)*(Inputs!$J$6-Inputs!$I$6)))^2+Inputs!$C$6^2+((Inputs!$H$6+Inputs!$L$6*(((Inputs!$I$6+(((A126)+1)/2)*(Inputs!$J$6-Inputs!$I$6)))/Inputs!$K$6)^2))^2)))))/Inputs!$C$13)</x:f>
        <x:v>-14.93059892517365</x:v>
      </x:c>
      <x:c r="AM126" s="48" t="n">
        <x:f>(-2*((1000*((((Inputs!$I$7+(((A126)+1)/2)*(Inputs!$J$7-Inputs!$I$7)))*Inputs!$C$11+((Inputs!$H$7+Inputs!$L$7*(((Inputs!$I$7+(((A126)+1)/2)*(Inputs!$J$7-Inputs!$I$7)))/Inputs!$K$7)^2))*((2*Inputs!$L$7*((Inputs!$I$7+(((A126)+1)/2)*(Inputs!$J$7-Inputs!$I$7)))/(Inputs!$K$7^2)*Inputs!$C$11)))/(SQRT(((Inputs!$I$7+(((A126)+1)/2)*(Inputs!$J$7-Inputs!$I$7)))^2+Inputs!$C$6^2+((Inputs!$H$7+Inputs!$L$7*(((Inputs!$I$7+(((A126)+1)/2)*(Inputs!$J$7-Inputs!$I$7)))/Inputs!$K$7)^2))^2)))))/Inputs!$C$13)</x:f>
        <x:v>-541.5035994347652</x:v>
      </x:c>
      <x:c r="AN126" s="48" t="n">
        <x:f>(-2*((1000*((((Inputs!$I$8+(((A126)+1)/2)*(Inputs!$J$8-Inputs!$I$8)))*Inputs!$C$11+((Inputs!$H$8+Inputs!$L$8*(((Inputs!$I$8+(((A126)+1)/2)*(Inputs!$J$8-Inputs!$I$8)))/Inputs!$K$8)^2))*((2*Inputs!$L$8*((Inputs!$I$8+(((A126)+1)/2)*(Inputs!$J$8-Inputs!$I$8)))/(Inputs!$K$8^2)*Inputs!$C$11)))/(SQRT(((Inputs!$I$8+(((A126)+1)/2)*(Inputs!$J$8-Inputs!$I$8)))^2+Inputs!$C$6^2+((Inputs!$H$8+Inputs!$L$8*(((Inputs!$I$8+(((A126)+1)/2)*(Inputs!$J$8-Inputs!$I$8)))/Inputs!$K$8)^2))^2)))))/Inputs!$C$13)</x:f>
        <x:v>-914.6581563963509</x:v>
      </x:c>
      <x:c r="AO126" s="48" t="n">
        <x:f>(-2*((1000*((((Inputs!$I$9+(((A126)+1)/2)*(Inputs!$J$9-Inputs!$I$9)))*Inputs!$C$11+((Inputs!$H$9+Inputs!$L$9*(((Inputs!$I$9+(((A126)+1)/2)*(Inputs!$J$9-Inputs!$I$9)))/Inputs!$K$9)^2))*((2*Inputs!$L$9*((Inputs!$I$9+(((A126)+1)/2)*(Inputs!$J$9-Inputs!$I$9)))/(Inputs!$K$9^2)*Inputs!$C$11)))/(SQRT(((Inputs!$I$9+(((A126)+1)/2)*(Inputs!$J$9-Inputs!$I$9)))^2+Inputs!$C$6^2+((Inputs!$H$9+Inputs!$L$9*(((Inputs!$I$9+(((A126)+1)/2)*(Inputs!$J$9-Inputs!$I$9)))/Inputs!$K$9)^2))^2)))))/Inputs!$C$13)</x:f>
        <x:v>-1019.2165624370576</x:v>
      </x:c>
    </x:row>
    <x:row r="127">
      <x:c r="A127" s="48" t="n">
        <x:f>ROUND(-1+125*2/240,3)</x:f>
        <x:v>0.042</x:v>
      </x:c>
      <x:c r="B127" s="48" t="n">
        <x:f>IF(OR(Inputs!$F$6=TRUE,Inputs!$F$6="TRUE",Inputs!$F$6=1),(Inputs!$H$6+Inputs!$L$6*(((Inputs!$I$6+(((A127)+1)/2)*(Inputs!$J$6-Inputs!$I$6)))/Inputs!$K$6)^2),NA())</x:f>
        <x:v>400.007056</x:v>
      </x:c>
      <x:c r="C127" s="48" t="n">
        <x:f>IF(OR(Inputs!$F$7=TRUE,Inputs!$F$7="TRUE",Inputs!$F$7=1),(Inputs!$H$7+Inputs!$L$7*(((Inputs!$I$7+(((A127)+1)/2)*(Inputs!$J$7-Inputs!$I$7)))/Inputs!$K$7)^2),NA())</x:f>
        <x:v>35.643860000000004</x:v>
      </x:c>
      <x:c r="D127" s="48" t="n">
        <x:f>IF(OR(Inputs!$F$8=TRUE,Inputs!$F$8="TRUE",Inputs!$F$8=1),(Inputs!$H$8+Inputs!$L$8*(((Inputs!$I$8+(((A127)+1)/2)*(Inputs!$J$8-Inputs!$I$8)))/Inputs!$K$8)^2),NA())</x:f>
        <x:v>36.70226</x:v>
      </x:c>
      <x:c r="E127" s="48" t="n">
        <x:f>IF(OR(Inputs!$F$9=TRUE,Inputs!$F$9="TRUE",Inputs!$F$9=1),(Inputs!$H$9+Inputs!$L$9*(((Inputs!$I$9+(((A127)+1)/2)*(Inputs!$J$9-Inputs!$I$9)))/Inputs!$K$9)^2),NA())</x:f>
        <x:v>26.719900000000003</x:v>
      </x:c>
      <x:c r="F127" s="49"/>
      <x:c r="G127" s="48" t="n">
        <x:f>A127</x:f>
        <x:v>0.042</x:v>
      </x:c>
      <x:c r="H127" s="48" t="n">
        <x:f>IF(OR(Inputs!$F$6=TRUE,Inputs!$F$6="TRUE",Inputs!$F$6=1),(((SQRT(((Inputs!$I$6+(((A127)+1)/2)*(Inputs!$J$6-Inputs!$I$6)))^2+Inputs!$C$6^2+((Inputs!$H$6+Inputs!$L$6*(((Inputs!$I$6+(((A127)+1)/2)*(Inputs!$J$6-Inputs!$I$6)))/Inputs!$K$6)^2))^2))-((Inputs!$H$6+Inputs!$L$6*(((Inputs!$I$6+(((A127)+1)/2)*(Inputs!$J$6-Inputs!$I$6)))/Inputs!$K$6)^2)))*1000/Inputs!$C$12),NA())</x:f>
        <x:v>442.91973602870905</x:v>
      </x:c>
      <x:c r="I127" s="48" t="n">
        <x:f>IF(OR(Inputs!$F$7=TRUE,Inputs!$F$7="TRUE",Inputs!$F$7=1),(((SQRT(((Inputs!$I$7+(((A127)+1)/2)*(Inputs!$J$7-Inputs!$I$7)))^2+Inputs!$C$6^2+((Inputs!$H$7+Inputs!$L$7*(((Inputs!$I$7+(((A127)+1)/2)*(Inputs!$J$7-Inputs!$I$7)))/Inputs!$K$7)^2))^2))-((Inputs!$H$7+Inputs!$L$7*(((Inputs!$I$7+(((A127)+1)/2)*(Inputs!$J$7-Inputs!$I$7)))/Inputs!$K$7)^2)))*1000/Inputs!$C$12),NA())</x:f>
        <x:v>6192.268859277553</x:v>
      </x:c>
      <x:c r="J127" s="48" t="n">
        <x:f>IF(OR(Inputs!$F$8=TRUE,Inputs!$F$8="TRUE",Inputs!$F$8=1),(((SQRT(((Inputs!$I$8+(((A127)+1)/2)*(Inputs!$J$8-Inputs!$I$8)))^2+Inputs!$C$6^2+((Inputs!$H$8+Inputs!$L$8*(((Inputs!$I$8+(((A127)+1)/2)*(Inputs!$J$8-Inputs!$I$8)))/Inputs!$K$8)^2))^2))-((Inputs!$H$8+Inputs!$L$8*(((Inputs!$I$8+(((A127)+1)/2)*(Inputs!$J$8-Inputs!$I$8)))/Inputs!$K$8)^2)))*1000/Inputs!$C$12),NA())</x:f>
        <x:v>10665.452716017111</x:v>
      </x:c>
      <x:c r="K127" s="48" t="n">
        <x:f>IF(OR(Inputs!$F$9=TRUE,Inputs!$F$9="TRUE",Inputs!$F$9=1),(((SQRT(((Inputs!$I$9+(((A127)+1)/2)*(Inputs!$J$9-Inputs!$I$9)))^2+Inputs!$C$6^2+((Inputs!$H$9+Inputs!$L$9*(((Inputs!$I$9+(((A127)+1)/2)*(Inputs!$J$9-Inputs!$I$9)))/Inputs!$K$9)^2))^2))-((Inputs!$H$9+Inputs!$L$9*(((Inputs!$I$9+(((A127)+1)/2)*(Inputs!$J$9-Inputs!$I$9)))/Inputs!$K$9)^2)))*1000/Inputs!$C$12),NA())</x:f>
        <x:v>12897.861981730344</x:v>
      </x:c>
      <x:c r="L127" s="49"/>
      <x:c r="M127" s="48" t="n">
        <x:f>A127</x:f>
        <x:v>0.042</x:v>
      </x:c>
      <x:c r="N127" s="48" t="n">
        <x:f>IF(OR(Inputs!$F$6=TRUE,Inputs!$F$6="TRUE",Inputs!$F$6=1),(-2*((1000*((((Inputs!$I$6+(((A127)+1)/2)*(Inputs!$J$6-Inputs!$I$6)))*Inputs!$C$11+((Inputs!$H$6+Inputs!$L$6*(((Inputs!$I$6+(((A127)+1)/2)*(Inputs!$J$6-Inputs!$I$6)))/Inputs!$K$6)^2))*((2*Inputs!$L$6*((Inputs!$I$6+(((A127)+1)/2)*(Inputs!$J$6-Inputs!$I$6)))/(Inputs!$K$6^2)*Inputs!$C$11)))/(SQRT(((Inputs!$I$6+(((A127)+1)/2)*(Inputs!$J$6-Inputs!$I$6)))^2+Inputs!$C$6^2+((Inputs!$H$6+Inputs!$L$6*(((Inputs!$I$6+(((A127)+1)/2)*(Inputs!$J$6-Inputs!$I$6)))/Inputs!$K$6)^2))^2)))))/Inputs!$C$13),NA())</x:f>
        <x:v>-19.002369319013233</x:v>
      </x:c>
      <x:c r="O127" s="48" t="n">
        <x:f>IF(OR(Inputs!$F$7=TRUE,Inputs!$F$7="TRUE",Inputs!$F$7=1),(-2*((1000*((((Inputs!$I$7+(((A127)+1)/2)*(Inputs!$J$7-Inputs!$I$7)))*Inputs!$C$11+((Inputs!$H$7+Inputs!$L$7*(((Inputs!$I$7+(((A127)+1)/2)*(Inputs!$J$7-Inputs!$I$7)))/Inputs!$K$7)^2))*((2*Inputs!$L$7*((Inputs!$I$7+(((A127)+1)/2)*(Inputs!$J$7-Inputs!$I$7)))/(Inputs!$K$7^2)*Inputs!$C$11)))/(SQRT(((Inputs!$I$7+(((A127)+1)/2)*(Inputs!$J$7-Inputs!$I$7)))^2+Inputs!$C$6^2+((Inputs!$H$7+Inputs!$L$7*(((Inputs!$I$7+(((A127)+1)/2)*(Inputs!$J$7-Inputs!$I$7)))/Inputs!$K$7)^2))^2)))))/Inputs!$C$13),NA())</x:f>
        <x:v>-669.6802164390888</x:v>
      </x:c>
      <x:c r="P127" s="48" t="n">
        <x:f>IF(OR(Inputs!$F$8=TRUE,Inputs!$F$8="TRUE",Inputs!$F$8=1),(-2*((1000*((((Inputs!$I$8+(((A127)+1)/2)*(Inputs!$J$8-Inputs!$I$8)))*Inputs!$C$11+((Inputs!$H$8+Inputs!$L$8*(((Inputs!$I$8+(((A127)+1)/2)*(Inputs!$J$8-Inputs!$I$8)))/Inputs!$K$8)^2))*((2*Inputs!$L$8*((Inputs!$I$8+(((A127)+1)/2)*(Inputs!$J$8-Inputs!$I$8)))/(Inputs!$K$8^2)*Inputs!$C$11)))/(SQRT(((Inputs!$I$8+(((A127)+1)/2)*(Inputs!$J$8-Inputs!$I$8)))^2+Inputs!$C$6^2+((Inputs!$H$8+Inputs!$L$8*(((Inputs!$I$8+(((A127)+1)/2)*(Inputs!$J$8-Inputs!$I$8)))/Inputs!$K$8)^2))^2)))))/Inputs!$C$13),NA())</x:f>
        <x:v>-1072.250641537458</x:v>
      </x:c>
      <x:c r="Q127" s="48" t="n">
        <x:f>IF(OR(Inputs!$F$9=TRUE,Inputs!$F$9="TRUE",Inputs!$F$9=1),(-2*((1000*((((Inputs!$I$9+(((A127)+1)/2)*(Inputs!$J$9-Inputs!$I$9)))*Inputs!$C$11+((Inputs!$H$9+Inputs!$L$9*(((Inputs!$I$9+(((A127)+1)/2)*(Inputs!$J$9-Inputs!$I$9)))/Inputs!$K$9)^2))*((2*Inputs!$L$9*((Inputs!$I$9+(((A127)+1)/2)*(Inputs!$J$9-Inputs!$I$9)))/(Inputs!$K$9^2)*Inputs!$C$11)))/(SQRT(((Inputs!$I$9+(((A127)+1)/2)*(Inputs!$J$9-Inputs!$I$9)))^2+Inputs!$C$6^2+((Inputs!$H$9+Inputs!$L$9*(((Inputs!$I$9+(((A127)+1)/2)*(Inputs!$J$9-Inputs!$I$9)))/Inputs!$K$9)^2))^2)))))/Inputs!$C$13),NA())</x:f>
        <x:v>-1170.268715155626</x:v>
      </x:c>
      <x:c r="R127" s="49"/>
      <x:c r="S127" s="48" t="n">
        <x:f>A127</x:f>
        <x:v>0.042</x:v>
      </x:c>
      <x:c r="T127" s="48" t="n">
        <x:f>(Inputs!$I$6+(((A127)+1)/2)*(Inputs!$J$6-Inputs!$I$6))</x:f>
        <x:v>2.520000000000003</x:v>
      </x:c>
      <x:c r="U127" s="48" t="n">
        <x:f>(Inputs!$I$7+(((A127)+1)/2)*(Inputs!$J$7-Inputs!$I$7))</x:f>
        <x:v>16.80000000000001</x:v>
      </x:c>
      <x:c r="V127" s="48" t="n">
        <x:f>(Inputs!$I$8+(((A127)+1)/2)*(Inputs!$J$8-Inputs!$I$8))</x:f>
        <x:v>33.60000000000002</x:v>
      </x:c>
      <x:c r="W127" s="48" t="n">
        <x:f>(Inputs!$I$9+(((A127)+1)/2)*(Inputs!$J$9-Inputs!$I$9))</x:f>
        <x:v>33.60000000000002</x:v>
      </x:c>
      <x:c r="X127" s="49"/>
      <x:c r="Y127" s="48" t="n">
        <x:f>A127</x:f>
        <x:v>0.042</x:v>
      </x:c>
      <x:c r="Z127" s="48" t="n">
        <x:f>(Inputs!$H$6+Inputs!$L$6*(((Inputs!$I$6+(((A127)+1)/2)*(Inputs!$J$6-Inputs!$I$6)))/Inputs!$K$6)^2)</x:f>
        <x:v>400.007056</x:v>
      </x:c>
      <x:c r="AA127" s="48" t="n">
        <x:f>(Inputs!$H$7+Inputs!$L$7*(((Inputs!$I$7+(((A127)+1)/2)*(Inputs!$J$7-Inputs!$I$7)))/Inputs!$K$7)^2)</x:f>
        <x:v>35.643860000000004</x:v>
      </x:c>
      <x:c r="AB127" s="48" t="n">
        <x:f>(Inputs!$H$8+Inputs!$L$8*(((Inputs!$I$8+(((A127)+1)/2)*(Inputs!$J$8-Inputs!$I$8)))/Inputs!$K$8)^2)</x:f>
        <x:v>36.70226</x:v>
      </x:c>
      <x:c r="AC127" s="48" t="n">
        <x:f>(Inputs!$H$9+Inputs!$L$9*(((Inputs!$I$9+(((A127)+1)/2)*(Inputs!$J$9-Inputs!$I$9)))/Inputs!$K$9)^2)</x:f>
        <x:v>26.719900000000003</x:v>
      </x:c>
      <x:c r="AD127" s="49"/>
      <x:c r="AE127" s="48" t="n">
        <x:f>A127</x:f>
        <x:v>0.042</x:v>
      </x:c>
      <x:c r="AF127" s="48" t="n">
        <x:f>(((SQRT(((Inputs!$I$6+(((A127)+1)/2)*(Inputs!$J$6-Inputs!$I$6)))^2+Inputs!$C$6^2+((Inputs!$H$6+Inputs!$L$6*(((Inputs!$I$6+(((A127)+1)/2)*(Inputs!$J$6-Inputs!$I$6)))/Inputs!$K$6)^2))^2))-((Inputs!$H$6+Inputs!$L$6*(((Inputs!$I$6+(((A127)+1)/2)*(Inputs!$J$6-Inputs!$I$6)))/Inputs!$K$6)^2)))*1000/Inputs!$C$12)</x:f>
        <x:v>442.91973602870905</x:v>
      </x:c>
      <x:c r="AG127" s="48" t="n">
        <x:f>(((SQRT(((Inputs!$I$7+(((A127)+1)/2)*(Inputs!$J$7-Inputs!$I$7)))^2+Inputs!$C$6^2+((Inputs!$H$7+Inputs!$L$7*(((Inputs!$I$7+(((A127)+1)/2)*(Inputs!$J$7-Inputs!$I$7)))/Inputs!$K$7)^2))^2))-((Inputs!$H$7+Inputs!$L$7*(((Inputs!$I$7+(((A127)+1)/2)*(Inputs!$J$7-Inputs!$I$7)))/Inputs!$K$7)^2)))*1000/Inputs!$C$12)</x:f>
        <x:v>6192.268859277553</x:v>
      </x:c>
      <x:c r="AH127" s="48" t="n">
        <x:f>(((SQRT(((Inputs!$I$8+(((A127)+1)/2)*(Inputs!$J$8-Inputs!$I$8)))^2+Inputs!$C$6^2+((Inputs!$H$8+Inputs!$L$8*(((Inputs!$I$8+(((A127)+1)/2)*(Inputs!$J$8-Inputs!$I$8)))/Inputs!$K$8)^2))^2))-((Inputs!$H$8+Inputs!$L$8*(((Inputs!$I$8+(((A127)+1)/2)*(Inputs!$J$8-Inputs!$I$8)))/Inputs!$K$8)^2)))*1000/Inputs!$C$12)</x:f>
        <x:v>10665.452716017111</x:v>
      </x:c>
      <x:c r="AI127" s="48" t="n">
        <x:f>(((SQRT(((Inputs!$I$9+(((A127)+1)/2)*(Inputs!$J$9-Inputs!$I$9)))^2+Inputs!$C$6^2+((Inputs!$H$9+Inputs!$L$9*(((Inputs!$I$9+(((A127)+1)/2)*(Inputs!$J$9-Inputs!$I$9)))/Inputs!$K$9)^2))^2))-((Inputs!$H$9+Inputs!$L$9*(((Inputs!$I$9+(((A127)+1)/2)*(Inputs!$J$9-Inputs!$I$9)))/Inputs!$K$9)^2)))*1000/Inputs!$C$12)</x:f>
        <x:v>12897.861981730344</x:v>
      </x:c>
      <x:c r="AJ127" s="49"/>
      <x:c r="AK127" s="48" t="n">
        <x:f>A127</x:f>
        <x:v>0.042</x:v>
      </x:c>
      <x:c r="AL127" s="48" t="n">
        <x:f>(-2*((1000*((((Inputs!$I$6+(((A127)+1)/2)*(Inputs!$J$6-Inputs!$I$6)))*Inputs!$C$11+((Inputs!$H$6+Inputs!$L$6*(((Inputs!$I$6+(((A127)+1)/2)*(Inputs!$J$6-Inputs!$I$6)))/Inputs!$K$6)^2))*((2*Inputs!$L$6*((Inputs!$I$6+(((A127)+1)/2)*(Inputs!$J$6-Inputs!$I$6)))/(Inputs!$K$6^2)*Inputs!$C$11)))/(SQRT(((Inputs!$I$6+(((A127)+1)/2)*(Inputs!$J$6-Inputs!$I$6)))^2+Inputs!$C$6^2+((Inputs!$H$6+Inputs!$L$6*(((Inputs!$I$6+(((A127)+1)/2)*(Inputs!$J$6-Inputs!$I$6)))/Inputs!$K$6)^2))^2)))))/Inputs!$C$13)</x:f>
        <x:v>-19.002369319013233</x:v>
      </x:c>
      <x:c r="AM127" s="48" t="n">
        <x:f>(-2*((1000*((((Inputs!$I$7+(((A127)+1)/2)*(Inputs!$J$7-Inputs!$I$7)))*Inputs!$C$11+((Inputs!$H$7+Inputs!$L$7*(((Inputs!$I$7+(((A127)+1)/2)*(Inputs!$J$7-Inputs!$I$7)))/Inputs!$K$7)^2))*((2*Inputs!$L$7*((Inputs!$I$7+(((A127)+1)/2)*(Inputs!$J$7-Inputs!$I$7)))/(Inputs!$K$7^2)*Inputs!$C$11)))/(SQRT(((Inputs!$I$7+(((A127)+1)/2)*(Inputs!$J$7-Inputs!$I$7)))^2+Inputs!$C$6^2+((Inputs!$H$7+Inputs!$L$7*(((Inputs!$I$7+(((A127)+1)/2)*(Inputs!$J$7-Inputs!$I$7)))/Inputs!$K$7)^2))^2)))))/Inputs!$C$13)</x:f>
        <x:v>-669.6802164390888</x:v>
      </x:c>
      <x:c r="AN127" s="48" t="n">
        <x:f>(-2*((1000*((((Inputs!$I$8+(((A127)+1)/2)*(Inputs!$J$8-Inputs!$I$8)))*Inputs!$C$11+((Inputs!$H$8+Inputs!$L$8*(((Inputs!$I$8+(((A127)+1)/2)*(Inputs!$J$8-Inputs!$I$8)))/Inputs!$K$8)^2))*((2*Inputs!$L$8*((Inputs!$I$8+(((A127)+1)/2)*(Inputs!$J$8-Inputs!$I$8)))/(Inputs!$K$8^2)*Inputs!$C$11)))/(SQRT(((Inputs!$I$8+(((A127)+1)/2)*(Inputs!$J$8-Inputs!$I$8)))^2+Inputs!$C$6^2+((Inputs!$H$8+Inputs!$L$8*(((Inputs!$I$8+(((A127)+1)/2)*(Inputs!$J$8-Inputs!$I$8)))/Inputs!$K$8)^2))^2)))))/Inputs!$C$13)</x:f>
        <x:v>-1072.250641537458</x:v>
      </x:c>
      <x:c r="AO127" s="48" t="n">
        <x:f>(-2*((1000*((((Inputs!$I$9+(((A127)+1)/2)*(Inputs!$J$9-Inputs!$I$9)))*Inputs!$C$11+((Inputs!$H$9+Inputs!$L$9*(((Inputs!$I$9+(((A127)+1)/2)*(Inputs!$J$9-Inputs!$I$9)))/Inputs!$K$9)^2))*((2*Inputs!$L$9*((Inputs!$I$9+(((A127)+1)/2)*(Inputs!$J$9-Inputs!$I$9)))/(Inputs!$K$9^2)*Inputs!$C$11)))/(SQRT(((Inputs!$I$9+(((A127)+1)/2)*(Inputs!$J$9-Inputs!$I$9)))^2+Inputs!$C$6^2+((Inputs!$H$9+Inputs!$L$9*(((Inputs!$I$9+(((A127)+1)/2)*(Inputs!$J$9-Inputs!$I$9)))/Inputs!$K$9)^2))^2)))))/Inputs!$C$13)</x:f>
        <x:v>-1170.268715155626</x:v>
      </x:c>
    </x:row>
    <x:row r="128">
      <x:c r="A128" s="48" t="n">
        <x:f>ROUND(-1+126*2/240,3)</x:f>
        <x:v>0.05</x:v>
      </x:c>
      <x:c r="B128" s="48" t="n">
        <x:f>IF(OR(Inputs!$F$6=TRUE,Inputs!$F$6="TRUE",Inputs!$F$6=1),(Inputs!$H$6+Inputs!$L$6*(((Inputs!$I$6+(((A128)+1)/2)*(Inputs!$J$6-Inputs!$I$6)))/Inputs!$K$6)^2),NA())</x:f>
        <x:v>400.01</x:v>
      </x:c>
      <x:c r="C128" s="48" t="n">
        <x:f>IF(OR(Inputs!$F$7=TRUE,Inputs!$F$7="TRUE",Inputs!$F$7=1),(Inputs!$H$7+Inputs!$L$7*(((Inputs!$I$7+(((A128)+1)/2)*(Inputs!$J$7-Inputs!$I$7)))/Inputs!$K$7)^2),NA())</x:f>
        <x:v>35.9125</x:v>
      </x:c>
      <x:c r="D128" s="48" t="n">
        <x:f>IF(OR(Inputs!$F$8=TRUE,Inputs!$F$8="TRUE",Inputs!$F$8=1),(Inputs!$H$8+Inputs!$L$8*(((Inputs!$I$8+(((A128)+1)/2)*(Inputs!$J$8-Inputs!$I$8)))/Inputs!$K$8)^2),NA())</x:f>
        <x:v>37.4125</x:v>
      </x:c>
      <x:c r="E128" s="48" t="n">
        <x:f>IF(OR(Inputs!$F$9=TRUE,Inputs!$F$9="TRUE",Inputs!$F$9=1),(Inputs!$H$9+Inputs!$L$9*(((Inputs!$I$9+(((A128)+1)/2)*(Inputs!$J$9-Inputs!$I$9)))/Inputs!$K$9)^2),NA())</x:f>
        <x:v>27.4375</x:v>
      </x:c>
      <x:c r="F128" s="49"/>
      <x:c r="G128" s="48" t="n">
        <x:f>A128</x:f>
        <x:v>0.05</x:v>
      </x:c>
      <x:c r="H128" s="48" t="n">
        <x:f>IF(OR(Inputs!$F$6=TRUE,Inputs!$F$6="TRUE",Inputs!$F$6=1),(((SQRT(((Inputs!$I$6+(((A128)+1)/2)*(Inputs!$J$6-Inputs!$I$6)))^2+Inputs!$C$6^2+((Inputs!$H$6+Inputs!$L$6*(((Inputs!$I$6+(((A128)+1)/2)*(Inputs!$J$6-Inputs!$I$6)))/Inputs!$K$6)^2))^2))-((Inputs!$H$6+Inputs!$L$6*(((Inputs!$I$6+(((A128)+1)/2)*(Inputs!$J$6-Inputs!$I$6)))/Inputs!$K$6)^2)))*1000/Inputs!$C$12),NA())</x:f>
        <x:v>444.77344266602285</x:v>
      </x:c>
      <x:c r="I128" s="48" t="n">
        <x:f>IF(OR(Inputs!$F$7=TRUE,Inputs!$F$7="TRUE",Inputs!$F$7=1),(((SQRT(((Inputs!$I$7+(((A128)+1)/2)*(Inputs!$J$7-Inputs!$I$7)))^2+Inputs!$C$6^2+((Inputs!$H$7+Inputs!$L$7*(((Inputs!$I$7+(((A128)+1)/2)*(Inputs!$J$7-Inputs!$I$7)))/Inputs!$K$7)^2))^2))-((Inputs!$H$7+Inputs!$L$7*(((Inputs!$I$7+(((A128)+1)/2)*(Inputs!$J$7-Inputs!$I$7)))/Inputs!$K$7)^2)))*1000/Inputs!$C$12),NA())</x:f>
        <x:v>6853.3195478135085</x:v>
      </x:c>
      <x:c r="J128" s="48" t="n">
        <x:f>IF(OR(Inputs!$F$8=TRUE,Inputs!$F$8="TRUE",Inputs!$F$8=1),(((SQRT(((Inputs!$I$8+(((A128)+1)/2)*(Inputs!$J$8-Inputs!$I$8)))^2+Inputs!$C$6^2+((Inputs!$H$8+Inputs!$L$8*(((Inputs!$I$8+(((A128)+1)/2)*(Inputs!$J$8-Inputs!$I$8)))/Inputs!$K$8)^2))^2))-((Inputs!$H$8+Inputs!$L$8*(((Inputs!$I$8+(((A128)+1)/2)*(Inputs!$J$8-Inputs!$I$8)))/Inputs!$K$8)^2)))*1000/Inputs!$C$12),NA())</x:f>
        <x:v>12805.023174823551</x:v>
      </x:c>
      <x:c r="K128" s="48" t="n">
        <x:f>IF(OR(Inputs!$F$9=TRUE,Inputs!$F$9="TRUE",Inputs!$F$9=1),(((SQRT(((Inputs!$I$9+(((A128)+1)/2)*(Inputs!$J$9-Inputs!$I$9)))^2+Inputs!$C$6^2+((Inputs!$H$9+Inputs!$L$9*(((Inputs!$I$9+(((A128)+1)/2)*(Inputs!$J$9-Inputs!$I$9)))/Inputs!$K$9)^2))^2))-((Inputs!$H$9+Inputs!$L$9*(((Inputs!$I$9+(((A128)+1)/2)*(Inputs!$J$9-Inputs!$I$9)))/Inputs!$K$9)^2)))*1000/Inputs!$C$12),NA())</x:f>
        <x:v>15242.62495473365</x:v>
      </x:c>
      <x:c r="L128" s="49"/>
      <x:c r="M128" s="48" t="n">
        <x:f>A128</x:f>
        <x:v>0.05</x:v>
      </x:c>
      <x:c r="N128" s="48" t="n">
        <x:f>IF(OR(Inputs!$F$6=TRUE,Inputs!$F$6="TRUE",Inputs!$F$6=1),(-2*((1000*((((Inputs!$I$6+(((A128)+1)/2)*(Inputs!$J$6-Inputs!$I$6)))*Inputs!$C$11+((Inputs!$H$6+Inputs!$L$6*(((Inputs!$I$6+(((A128)+1)/2)*(Inputs!$J$6-Inputs!$I$6)))/Inputs!$K$6)^2))*((2*Inputs!$L$6*((Inputs!$I$6+(((A128)+1)/2)*(Inputs!$J$6-Inputs!$I$6)))/(Inputs!$K$6^2)*Inputs!$C$11)))/(SQRT(((Inputs!$I$6+(((A128)+1)/2)*(Inputs!$J$6-Inputs!$I$6)))^2+Inputs!$C$6^2+((Inputs!$H$6+Inputs!$L$6*(((Inputs!$I$6+(((A128)+1)/2)*(Inputs!$J$6-Inputs!$I$6)))/Inputs!$K$6)^2))^2)))))/Inputs!$C$13),NA())</x:f>
        <x:v>-22.621594188229295</x:v>
      </x:c>
      <x:c r="O128" s="48" t="n">
        <x:f>IF(OR(Inputs!$F$7=TRUE,Inputs!$F$7="TRUE",Inputs!$F$7=1),(-2*((1000*((((Inputs!$I$7+(((A128)+1)/2)*(Inputs!$J$7-Inputs!$I$7)))*Inputs!$C$11+((Inputs!$H$7+Inputs!$L$7*(((Inputs!$I$7+(((A128)+1)/2)*(Inputs!$J$7-Inputs!$I$7)))/Inputs!$K$7)^2))*((2*Inputs!$L$7*((Inputs!$I$7+(((A128)+1)/2)*(Inputs!$J$7-Inputs!$I$7)))/(Inputs!$K$7^2)*Inputs!$C$11)))/(SQRT(((Inputs!$I$7+(((A128)+1)/2)*(Inputs!$J$7-Inputs!$I$7)))^2+Inputs!$C$6^2+((Inputs!$H$7+Inputs!$L$7*(((Inputs!$I$7+(((A128)+1)/2)*(Inputs!$J$7-Inputs!$I$7)))/Inputs!$K$7)^2))^2)))))/Inputs!$C$13),NA())</x:f>
        <x:v>-774.1038130603833</x:v>
      </x:c>
      <x:c r="P128" s="48" t="n">
        <x:f>IF(OR(Inputs!$F$8=TRUE,Inputs!$F$8="TRUE",Inputs!$F$8=1),(-2*((1000*((((Inputs!$I$8+(((A128)+1)/2)*(Inputs!$J$8-Inputs!$I$8)))*Inputs!$C$11+((Inputs!$H$8+Inputs!$L$8*(((Inputs!$I$8+(((A128)+1)/2)*(Inputs!$J$8-Inputs!$I$8)))/Inputs!$K$8)^2))*((2*Inputs!$L$8*((Inputs!$I$8+(((A128)+1)/2)*(Inputs!$J$8-Inputs!$I$8)))/(Inputs!$K$8^2)*Inputs!$C$11)))/(SQRT(((Inputs!$I$8+(((A128)+1)/2)*(Inputs!$J$8-Inputs!$I$8)))^2+Inputs!$C$6^2+((Inputs!$H$8+Inputs!$L$8*(((Inputs!$I$8+(((A128)+1)/2)*(Inputs!$J$8-Inputs!$I$8)))/Inputs!$K$8)^2))^2)))))/Inputs!$C$13),NA())</x:f>
        <x:v>-1182.9597295509748</x:v>
      </x:c>
      <x:c r="Q128" s="48" t="n">
        <x:f>IF(OR(Inputs!$F$9=TRUE,Inputs!$F$9="TRUE",Inputs!$F$9=1),(-2*((1000*((((Inputs!$I$9+(((A128)+1)/2)*(Inputs!$J$9-Inputs!$I$9)))*Inputs!$C$11+((Inputs!$H$9+Inputs!$L$9*(((Inputs!$I$9+(((A128)+1)/2)*(Inputs!$J$9-Inputs!$I$9)))/Inputs!$K$9)^2))*((2*Inputs!$L$9*((Inputs!$I$9+(((A128)+1)/2)*(Inputs!$J$9-Inputs!$I$9)))/(Inputs!$K$9^2)*Inputs!$C$11)))/(SQRT(((Inputs!$I$9+(((A128)+1)/2)*(Inputs!$J$9-Inputs!$I$9)))^2+Inputs!$C$6^2+((Inputs!$H$9+Inputs!$L$9*(((Inputs!$I$9+(((A128)+1)/2)*(Inputs!$J$9-Inputs!$I$9)))/Inputs!$K$9)^2))^2)))))/Inputs!$C$13),NA())</x:f>
        <x:v>-1270.8651286470044</x:v>
      </x:c>
      <x:c r="R128" s="49"/>
      <x:c r="S128" s="48" t="n">
        <x:f>A128</x:f>
        <x:v>0.05</x:v>
      </x:c>
      <x:c r="T128" s="48" t="n">
        <x:f>(Inputs!$I$6+(((A128)+1)/2)*(Inputs!$J$6-Inputs!$I$6))</x:f>
        <x:v>3</x:v>
      </x:c>
      <x:c r="U128" s="48" t="n">
        <x:f>(Inputs!$I$7+(((A128)+1)/2)*(Inputs!$J$7-Inputs!$I$7))</x:f>
        <x:v>20</x:v>
      </x:c>
      <x:c r="V128" s="48" t="n">
        <x:f>(Inputs!$I$8+(((A128)+1)/2)*(Inputs!$J$8-Inputs!$I$8))</x:f>
        <x:v>40</x:v>
      </x:c>
      <x:c r="W128" s="48" t="n">
        <x:f>(Inputs!$I$9+(((A128)+1)/2)*(Inputs!$J$9-Inputs!$I$9))</x:f>
        <x:v>40</x:v>
      </x:c>
      <x:c r="X128" s="49"/>
      <x:c r="Y128" s="48" t="n">
        <x:f>A128</x:f>
        <x:v>0.05</x:v>
      </x:c>
      <x:c r="Z128" s="48" t="n">
        <x:f>(Inputs!$H$6+Inputs!$L$6*(((Inputs!$I$6+(((A128)+1)/2)*(Inputs!$J$6-Inputs!$I$6)))/Inputs!$K$6)^2)</x:f>
        <x:v>400.01</x:v>
      </x:c>
      <x:c r="AA128" s="48" t="n">
        <x:f>(Inputs!$H$7+Inputs!$L$7*(((Inputs!$I$7+(((A128)+1)/2)*(Inputs!$J$7-Inputs!$I$7)))/Inputs!$K$7)^2)</x:f>
        <x:v>35.9125</x:v>
      </x:c>
      <x:c r="AB128" s="48" t="n">
        <x:f>(Inputs!$H$8+Inputs!$L$8*(((Inputs!$I$8+(((A128)+1)/2)*(Inputs!$J$8-Inputs!$I$8)))/Inputs!$K$8)^2)</x:f>
        <x:v>37.4125</x:v>
      </x:c>
      <x:c r="AC128" s="48" t="n">
        <x:f>(Inputs!$H$9+Inputs!$L$9*(((Inputs!$I$9+(((A128)+1)/2)*(Inputs!$J$9-Inputs!$I$9)))/Inputs!$K$9)^2)</x:f>
        <x:v>27.4375</x:v>
      </x:c>
      <x:c r="AD128" s="49"/>
      <x:c r="AE128" s="48" t="n">
        <x:f>A128</x:f>
        <x:v>0.05</x:v>
      </x:c>
      <x:c r="AF128" s="48" t="n">
        <x:f>(((SQRT(((Inputs!$I$6+(((A128)+1)/2)*(Inputs!$J$6-Inputs!$I$6)))^2+Inputs!$C$6^2+((Inputs!$H$6+Inputs!$L$6*(((Inputs!$I$6+(((A128)+1)/2)*(Inputs!$J$6-Inputs!$I$6)))/Inputs!$K$6)^2))^2))-((Inputs!$H$6+Inputs!$L$6*(((Inputs!$I$6+(((A128)+1)/2)*(Inputs!$J$6-Inputs!$I$6)))/Inputs!$K$6)^2)))*1000/Inputs!$C$12)</x:f>
        <x:v>444.77344266602285</x:v>
      </x:c>
      <x:c r="AG128" s="48" t="n">
        <x:f>(((SQRT(((Inputs!$I$7+(((A128)+1)/2)*(Inputs!$J$7-Inputs!$I$7)))^2+Inputs!$C$6^2+((Inputs!$H$7+Inputs!$L$7*(((Inputs!$I$7+(((A128)+1)/2)*(Inputs!$J$7-Inputs!$I$7)))/Inputs!$K$7)^2))^2))-((Inputs!$H$7+Inputs!$L$7*(((Inputs!$I$7+(((A128)+1)/2)*(Inputs!$J$7-Inputs!$I$7)))/Inputs!$K$7)^2)))*1000/Inputs!$C$12)</x:f>
        <x:v>6853.3195478135085</x:v>
      </x:c>
      <x:c r="AH128" s="48" t="n">
        <x:f>(((SQRT(((Inputs!$I$8+(((A128)+1)/2)*(Inputs!$J$8-Inputs!$I$8)))^2+Inputs!$C$6^2+((Inputs!$H$8+Inputs!$L$8*(((Inputs!$I$8+(((A128)+1)/2)*(Inputs!$J$8-Inputs!$I$8)))/Inputs!$K$8)^2))^2))-((Inputs!$H$8+Inputs!$L$8*(((Inputs!$I$8+(((A128)+1)/2)*(Inputs!$J$8-Inputs!$I$8)))/Inputs!$K$8)^2)))*1000/Inputs!$C$12)</x:f>
        <x:v>12805.023174823551</x:v>
      </x:c>
      <x:c r="AI128" s="48" t="n">
        <x:f>(((SQRT(((Inputs!$I$9+(((A128)+1)/2)*(Inputs!$J$9-Inputs!$I$9)))^2+Inputs!$C$6^2+((Inputs!$H$9+Inputs!$L$9*(((Inputs!$I$9+(((A128)+1)/2)*(Inputs!$J$9-Inputs!$I$9)))/Inputs!$K$9)^2))^2))-((Inputs!$H$9+Inputs!$L$9*(((Inputs!$I$9+(((A128)+1)/2)*(Inputs!$J$9-Inputs!$I$9)))/Inputs!$K$9)^2)))*1000/Inputs!$C$12)</x:f>
        <x:v>15242.62495473365</x:v>
      </x:c>
      <x:c r="AJ128" s="49"/>
      <x:c r="AK128" s="48" t="n">
        <x:f>A128</x:f>
        <x:v>0.05</x:v>
      </x:c>
      <x:c r="AL128" s="48" t="n">
        <x:f>(-2*((1000*((((Inputs!$I$6+(((A128)+1)/2)*(Inputs!$J$6-Inputs!$I$6)))*Inputs!$C$11+((Inputs!$H$6+Inputs!$L$6*(((Inputs!$I$6+(((A128)+1)/2)*(Inputs!$J$6-Inputs!$I$6)))/Inputs!$K$6)^2))*((2*Inputs!$L$6*((Inputs!$I$6+(((A128)+1)/2)*(Inputs!$J$6-Inputs!$I$6)))/(Inputs!$K$6^2)*Inputs!$C$11)))/(SQRT(((Inputs!$I$6+(((A128)+1)/2)*(Inputs!$J$6-Inputs!$I$6)))^2+Inputs!$C$6^2+((Inputs!$H$6+Inputs!$L$6*(((Inputs!$I$6+(((A128)+1)/2)*(Inputs!$J$6-Inputs!$I$6)))/Inputs!$K$6)^2))^2)))))/Inputs!$C$13)</x:f>
        <x:v>-22.621594188229295</x:v>
      </x:c>
      <x:c r="AM128" s="48" t="n">
        <x:f>(-2*((1000*((((Inputs!$I$7+(((A128)+1)/2)*(Inputs!$J$7-Inputs!$I$7)))*Inputs!$C$11+((Inputs!$H$7+Inputs!$L$7*(((Inputs!$I$7+(((A128)+1)/2)*(Inputs!$J$7-Inputs!$I$7)))/Inputs!$K$7)^2))*((2*Inputs!$L$7*((Inputs!$I$7+(((A128)+1)/2)*(Inputs!$J$7-Inputs!$I$7)))/(Inputs!$K$7^2)*Inputs!$C$11)))/(SQRT(((Inputs!$I$7+(((A128)+1)/2)*(Inputs!$J$7-Inputs!$I$7)))^2+Inputs!$C$6^2+((Inputs!$H$7+Inputs!$L$7*(((Inputs!$I$7+(((A128)+1)/2)*(Inputs!$J$7-Inputs!$I$7)))/Inputs!$K$7)^2))^2)))))/Inputs!$C$13)</x:f>
        <x:v>-774.1038130603833</x:v>
      </x:c>
      <x:c r="AN128" s="48" t="n">
        <x:f>(-2*((1000*((((Inputs!$I$8+(((A128)+1)/2)*(Inputs!$J$8-Inputs!$I$8)))*Inputs!$C$11+((Inputs!$H$8+Inputs!$L$8*(((Inputs!$I$8+(((A128)+1)/2)*(Inputs!$J$8-Inputs!$I$8)))/Inputs!$K$8)^2))*((2*Inputs!$L$8*((Inputs!$I$8+(((A128)+1)/2)*(Inputs!$J$8-Inputs!$I$8)))/(Inputs!$K$8^2)*Inputs!$C$11)))/(SQRT(((Inputs!$I$8+(((A128)+1)/2)*(Inputs!$J$8-Inputs!$I$8)))^2+Inputs!$C$6^2+((Inputs!$H$8+Inputs!$L$8*(((Inputs!$I$8+(((A128)+1)/2)*(Inputs!$J$8-Inputs!$I$8)))/Inputs!$K$8)^2))^2)))))/Inputs!$C$13)</x:f>
        <x:v>-1182.9597295509748</x:v>
      </x:c>
      <x:c r="AO128" s="48" t="n">
        <x:f>(-2*((1000*((((Inputs!$I$9+(((A128)+1)/2)*(Inputs!$J$9-Inputs!$I$9)))*Inputs!$C$11+((Inputs!$H$9+Inputs!$L$9*(((Inputs!$I$9+(((A128)+1)/2)*(Inputs!$J$9-Inputs!$I$9)))/Inputs!$K$9)^2))*((2*Inputs!$L$9*((Inputs!$I$9+(((A128)+1)/2)*(Inputs!$J$9-Inputs!$I$9)))/(Inputs!$K$9^2)*Inputs!$C$11)))/(SQRT(((Inputs!$I$9+(((A128)+1)/2)*(Inputs!$J$9-Inputs!$I$9)))^2+Inputs!$C$6^2+((Inputs!$H$9+Inputs!$L$9*(((Inputs!$I$9+(((A128)+1)/2)*(Inputs!$J$9-Inputs!$I$9)))/Inputs!$K$9)^2))^2)))))/Inputs!$C$13)</x:f>
        <x:v>-1270.8651286470044</x:v>
      </x:c>
    </x:row>
    <x:row r="129">
      <x:c r="A129" s="48" t="n">
        <x:f>ROUND(-1+127*2/240,3)</x:f>
        <x:v>0.058</x:v>
      </x:c>
      <x:c r="B129" s="48" t="n">
        <x:f>IF(OR(Inputs!$F$6=TRUE,Inputs!$F$6="TRUE",Inputs!$F$6=1),(Inputs!$H$6+Inputs!$L$6*(((Inputs!$I$6+(((A129)+1)/2)*(Inputs!$J$6-Inputs!$I$6)))/Inputs!$K$6)^2),NA())</x:f>
        <x:v>400.013456</x:v>
      </x:c>
      <x:c r="C129" s="48" t="n">
        <x:f>IF(OR(Inputs!$F$7=TRUE,Inputs!$F$7="TRUE",Inputs!$F$7=1),(Inputs!$H$7+Inputs!$L$7*(((Inputs!$I$7+(((A129)+1)/2)*(Inputs!$J$7-Inputs!$I$7)))/Inputs!$K$7)^2),NA())</x:f>
        <x:v>36.22786000000001</x:v>
      </x:c>
      <x:c r="D129" s="48" t="n">
        <x:f>IF(OR(Inputs!$F$8=TRUE,Inputs!$F$8="TRUE",Inputs!$F$8=1),(Inputs!$H$8+Inputs!$L$8*(((Inputs!$I$8+(((A129)+1)/2)*(Inputs!$J$8-Inputs!$I$8)))/Inputs!$K$8)^2),NA())</x:f>
        <x:v>38.246260000000014</x:v>
      </x:c>
      <x:c r="E129" s="48" t="n">
        <x:f>IF(OR(Inputs!$F$9=TRUE,Inputs!$F$9="TRUE",Inputs!$F$9=1),(Inputs!$H$9+Inputs!$L$9*(((Inputs!$I$9+(((A129)+1)/2)*(Inputs!$J$9-Inputs!$I$9)))/Inputs!$K$9)^2),NA())</x:f>
        <x:v>28.279900000000012</x:v>
      </x:c>
      <x:c r="F129" s="49"/>
      <x:c r="G129" s="48" t="n">
        <x:f>A129</x:f>
        <x:v>0.058</x:v>
      </x:c>
      <x:c r="H129" s="48" t="n">
        <x:f>IF(OR(Inputs!$F$6=TRUE,Inputs!$F$6="TRUE",Inputs!$F$6=1),(((SQRT(((Inputs!$I$6+(((A129)+1)/2)*(Inputs!$J$6-Inputs!$I$6)))^2+Inputs!$C$6^2+((Inputs!$H$6+Inputs!$L$6*(((Inputs!$I$6+(((A129)+1)/2)*(Inputs!$J$6-Inputs!$I$6)))/Inputs!$K$6)^2))^2))-((Inputs!$H$6+Inputs!$L$6*(((Inputs!$I$6+(((A129)+1)/2)*(Inputs!$J$6-Inputs!$I$6)))/Inputs!$K$6)^2)))*1000/Inputs!$C$12),NA())</x:f>
        <x:v>446.94947884704686</x:v>
      </x:c>
      <x:c r="I129" s="48" t="n">
        <x:f>IF(OR(Inputs!$F$7=TRUE,Inputs!$F$7="TRUE",Inputs!$F$7=1),(((SQRT(((Inputs!$I$7+(((A129)+1)/2)*(Inputs!$J$7-Inputs!$I$7)))^2+Inputs!$C$6^2+((Inputs!$H$7+Inputs!$L$7*(((Inputs!$I$7+(((A129)+1)/2)*(Inputs!$J$7-Inputs!$I$7)))/Inputs!$K$7)^2))^2))-((Inputs!$H$7+Inputs!$L$7*(((Inputs!$I$7+(((A129)+1)/2)*(Inputs!$J$7-Inputs!$I$7)))/Inputs!$K$7)^2)))*1000/Inputs!$C$12),NA())</x:f>
        <x:v>7600.294898156031</x:v>
      </x:c>
      <x:c r="J129" s="48" t="n">
        <x:f>IF(OR(Inputs!$F$8=TRUE,Inputs!$F$8="TRUE",Inputs!$F$8=1),(((SQRT(((Inputs!$I$8+(((A129)+1)/2)*(Inputs!$J$8-Inputs!$I$8)))^2+Inputs!$C$6^2+((Inputs!$H$8+Inputs!$L$8*(((Inputs!$I$8+(((A129)+1)/2)*(Inputs!$J$8-Inputs!$I$8)))/Inputs!$K$8)^2))^2))-((Inputs!$H$8+Inputs!$L$8*(((Inputs!$I$8+(((A129)+1)/2)*(Inputs!$J$8-Inputs!$I$8)))/Inputs!$K$8)^2)))*1000/Inputs!$C$12),NA())</x:f>
        <x:v>15098.133009026098</x:v>
      </x:c>
      <x:c r="K129" s="48" t="n">
        <x:f>IF(OR(Inputs!$F$9=TRUE,Inputs!$F$9="TRUE",Inputs!$F$9=1),(((SQRT(((Inputs!$I$9+(((A129)+1)/2)*(Inputs!$J$9-Inputs!$I$9)))^2+Inputs!$C$6^2+((Inputs!$H$9+Inputs!$L$9*(((Inputs!$I$9+(((A129)+1)/2)*(Inputs!$J$9-Inputs!$I$9)))/Inputs!$K$9)^2))^2))-((Inputs!$H$9+Inputs!$L$9*(((Inputs!$I$9+(((A129)+1)/2)*(Inputs!$J$9-Inputs!$I$9)))/Inputs!$K$9)^2)))*1000/Inputs!$C$12),NA())</x:f>
        <x:v>17715.77781952596</x:v>
      </x:c>
      <x:c r="L129" s="49"/>
      <x:c r="M129" s="48" t="n">
        <x:f>A129</x:f>
        <x:v>0.058</x:v>
      </x:c>
      <x:c r="N129" s="48" t="n">
        <x:f>IF(OR(Inputs!$F$6=TRUE,Inputs!$F$6="TRUE",Inputs!$F$6=1),(-2*((1000*((((Inputs!$I$6+(((A129)+1)/2)*(Inputs!$J$6-Inputs!$I$6)))*Inputs!$C$11+((Inputs!$H$6+Inputs!$L$6*(((Inputs!$I$6+(((A129)+1)/2)*(Inputs!$J$6-Inputs!$I$6)))/Inputs!$K$6)^2))*((2*Inputs!$L$6*((Inputs!$I$6+(((A129)+1)/2)*(Inputs!$J$6-Inputs!$I$6)))/(Inputs!$K$6^2)*Inputs!$C$11)))/(SQRT(((Inputs!$I$6+(((A129)+1)/2)*(Inputs!$J$6-Inputs!$I$6)))^2+Inputs!$C$6^2+((Inputs!$H$6+Inputs!$L$6*(((Inputs!$I$6+(((A129)+1)/2)*(Inputs!$J$6-Inputs!$I$6)))/Inputs!$K$6)^2))^2)))))/Inputs!$C$13),NA())</x:f>
        <x:v>-26.24067609447554</x:v>
      </x:c>
      <x:c r="O129" s="48" t="n">
        <x:f>IF(OR(Inputs!$F$7=TRUE,Inputs!$F$7="TRUE",Inputs!$F$7=1),(-2*((1000*((((Inputs!$I$7+(((A129)+1)/2)*(Inputs!$J$7-Inputs!$I$7)))*Inputs!$C$11+((Inputs!$H$7+Inputs!$L$7*(((Inputs!$I$7+(((A129)+1)/2)*(Inputs!$J$7-Inputs!$I$7)))/Inputs!$K$7)^2))*((2*Inputs!$L$7*((Inputs!$I$7+(((A129)+1)/2)*(Inputs!$J$7-Inputs!$I$7)))/(Inputs!$K$7^2)*Inputs!$C$11)))/(SQRT(((Inputs!$I$7+(((A129)+1)/2)*(Inputs!$J$7-Inputs!$I$7)))^2+Inputs!$C$6^2+((Inputs!$H$7+Inputs!$L$7*(((Inputs!$I$7+(((A129)+1)/2)*(Inputs!$J$7-Inputs!$I$7)))/Inputs!$K$7)^2))^2)))))/Inputs!$C$13),NA())</x:f>
        <x:v>-869.3467268625434</x:v>
      </x:c>
      <x:c r="P129" s="48" t="n">
        <x:f>IF(OR(Inputs!$F$8=TRUE,Inputs!$F$8="TRUE",Inputs!$F$8=1),(-2*((1000*((((Inputs!$I$8+(((A129)+1)/2)*(Inputs!$J$8-Inputs!$I$8)))*Inputs!$C$11+((Inputs!$H$8+Inputs!$L$8*(((Inputs!$I$8+(((A129)+1)/2)*(Inputs!$J$8-Inputs!$I$8)))/Inputs!$K$8)^2))*((2*Inputs!$L$8*((Inputs!$I$8+(((A129)+1)/2)*(Inputs!$J$8-Inputs!$I$8)))/(Inputs!$K$8^2)*Inputs!$C$11)))/(SQRT(((Inputs!$I$8+(((A129)+1)/2)*(Inputs!$J$8-Inputs!$I$8)))^2+Inputs!$C$6^2+((Inputs!$H$8+Inputs!$L$8*(((Inputs!$I$8+(((A129)+1)/2)*(Inputs!$J$8-Inputs!$I$8)))/Inputs!$K$8)^2))^2)))))/Inputs!$C$13),NA())</x:f>
        <x:v>-1271.5199874806242</x:v>
      </x:c>
      <x:c r="Q129" s="48" t="n">
        <x:f>IF(OR(Inputs!$F$9=TRUE,Inputs!$F$9="TRUE",Inputs!$F$9=1),(-2*((1000*((((Inputs!$I$9+(((A129)+1)/2)*(Inputs!$J$9-Inputs!$I$9)))*Inputs!$C$11+((Inputs!$H$9+Inputs!$L$9*(((Inputs!$I$9+(((A129)+1)/2)*(Inputs!$J$9-Inputs!$I$9)))/Inputs!$K$9)^2))*((2*Inputs!$L$9*((Inputs!$I$9+(((A129)+1)/2)*(Inputs!$J$9-Inputs!$I$9)))/(Inputs!$K$9^2)*Inputs!$C$11)))/(SQRT(((Inputs!$I$9+(((A129)+1)/2)*(Inputs!$J$9-Inputs!$I$9)))^2+Inputs!$C$6^2+((Inputs!$H$9+Inputs!$L$9*(((Inputs!$I$9+(((A129)+1)/2)*(Inputs!$J$9-Inputs!$I$9)))/Inputs!$K$9)^2))^2)))))/Inputs!$C$13),NA())</x:f>
        <x:v>-1348.1281012923387</x:v>
      </x:c>
      <x:c r="R129" s="49"/>
      <x:c r="S129" s="48" t="n">
        <x:f>A129</x:f>
        <x:v>0.058</x:v>
      </x:c>
      <x:c r="T129" s="48" t="n">
        <x:f>(Inputs!$I$6+(((A129)+1)/2)*(Inputs!$J$6-Inputs!$I$6))</x:f>
        <x:v>3.480000000000004</x:v>
      </x:c>
      <x:c r="U129" s="48" t="n">
        <x:f>(Inputs!$I$7+(((A129)+1)/2)*(Inputs!$J$7-Inputs!$I$7))</x:f>
        <x:v>23.200000000000045</x:v>
      </x:c>
      <x:c r="V129" s="48" t="n">
        <x:f>(Inputs!$I$8+(((A129)+1)/2)*(Inputs!$J$8-Inputs!$I$8))</x:f>
        <x:v>46.40000000000009</x:v>
      </x:c>
      <x:c r="W129" s="48" t="n">
        <x:f>(Inputs!$I$9+(((A129)+1)/2)*(Inputs!$J$9-Inputs!$I$9))</x:f>
        <x:v>46.40000000000009</x:v>
      </x:c>
      <x:c r="X129" s="49"/>
      <x:c r="Y129" s="48" t="n">
        <x:f>A129</x:f>
        <x:v>0.058</x:v>
      </x:c>
      <x:c r="Z129" s="48" t="n">
        <x:f>(Inputs!$H$6+Inputs!$L$6*(((Inputs!$I$6+(((A129)+1)/2)*(Inputs!$J$6-Inputs!$I$6)))/Inputs!$K$6)^2)</x:f>
        <x:v>400.013456</x:v>
      </x:c>
      <x:c r="AA129" s="48" t="n">
        <x:f>(Inputs!$H$7+Inputs!$L$7*(((Inputs!$I$7+(((A129)+1)/2)*(Inputs!$J$7-Inputs!$I$7)))/Inputs!$K$7)^2)</x:f>
        <x:v>36.22786000000001</x:v>
      </x:c>
      <x:c r="AB129" s="48" t="n">
        <x:f>(Inputs!$H$8+Inputs!$L$8*(((Inputs!$I$8+(((A129)+1)/2)*(Inputs!$J$8-Inputs!$I$8)))/Inputs!$K$8)^2)</x:f>
        <x:v>38.246260000000014</x:v>
      </x:c>
      <x:c r="AC129" s="48" t="n">
        <x:f>(Inputs!$H$9+Inputs!$L$9*(((Inputs!$I$9+(((A129)+1)/2)*(Inputs!$J$9-Inputs!$I$9)))/Inputs!$K$9)^2)</x:f>
        <x:v>28.279900000000012</x:v>
      </x:c>
      <x:c r="AD129" s="49"/>
      <x:c r="AE129" s="48" t="n">
        <x:f>A129</x:f>
        <x:v>0.058</x:v>
      </x:c>
      <x:c r="AF129" s="48" t="n">
        <x:f>(((SQRT(((Inputs!$I$6+(((A129)+1)/2)*(Inputs!$J$6-Inputs!$I$6)))^2+Inputs!$C$6^2+((Inputs!$H$6+Inputs!$L$6*(((Inputs!$I$6+(((A129)+1)/2)*(Inputs!$J$6-Inputs!$I$6)))/Inputs!$K$6)^2))^2))-((Inputs!$H$6+Inputs!$L$6*(((Inputs!$I$6+(((A129)+1)/2)*(Inputs!$J$6-Inputs!$I$6)))/Inputs!$K$6)^2)))*1000/Inputs!$C$12)</x:f>
        <x:v>446.94947884704686</x:v>
      </x:c>
      <x:c r="AG129" s="48" t="n">
        <x:f>(((SQRT(((Inputs!$I$7+(((A129)+1)/2)*(Inputs!$J$7-Inputs!$I$7)))^2+Inputs!$C$6^2+((Inputs!$H$7+Inputs!$L$7*(((Inputs!$I$7+(((A129)+1)/2)*(Inputs!$J$7-Inputs!$I$7)))/Inputs!$K$7)^2))^2))-((Inputs!$H$7+Inputs!$L$7*(((Inputs!$I$7+(((A129)+1)/2)*(Inputs!$J$7-Inputs!$I$7)))/Inputs!$K$7)^2)))*1000/Inputs!$C$12)</x:f>
        <x:v>7600.294898156031</x:v>
      </x:c>
      <x:c r="AH129" s="48" t="n">
        <x:f>(((SQRT(((Inputs!$I$8+(((A129)+1)/2)*(Inputs!$J$8-Inputs!$I$8)))^2+Inputs!$C$6^2+((Inputs!$H$8+Inputs!$L$8*(((Inputs!$I$8+(((A129)+1)/2)*(Inputs!$J$8-Inputs!$I$8)))/Inputs!$K$8)^2))^2))-((Inputs!$H$8+Inputs!$L$8*(((Inputs!$I$8+(((A129)+1)/2)*(Inputs!$J$8-Inputs!$I$8)))/Inputs!$K$8)^2)))*1000/Inputs!$C$12)</x:f>
        <x:v>15098.133009026098</x:v>
      </x:c>
      <x:c r="AI129" s="48" t="n">
        <x:f>(((SQRT(((Inputs!$I$9+(((A129)+1)/2)*(Inputs!$J$9-Inputs!$I$9)))^2+Inputs!$C$6^2+((Inputs!$H$9+Inputs!$L$9*(((Inputs!$I$9+(((A129)+1)/2)*(Inputs!$J$9-Inputs!$I$9)))/Inputs!$K$9)^2))^2))-((Inputs!$H$9+Inputs!$L$9*(((Inputs!$I$9+(((A129)+1)/2)*(Inputs!$J$9-Inputs!$I$9)))/Inputs!$K$9)^2)))*1000/Inputs!$C$12)</x:f>
        <x:v>17715.77781952596</x:v>
      </x:c>
      <x:c r="AJ129" s="49"/>
      <x:c r="AK129" s="48" t="n">
        <x:f>A129</x:f>
        <x:v>0.058</x:v>
      </x:c>
      <x:c r="AL129" s="48" t="n">
        <x:f>(-2*((1000*((((Inputs!$I$6+(((A129)+1)/2)*(Inputs!$J$6-Inputs!$I$6)))*Inputs!$C$11+((Inputs!$H$6+Inputs!$L$6*(((Inputs!$I$6+(((A129)+1)/2)*(Inputs!$J$6-Inputs!$I$6)))/Inputs!$K$6)^2))*((2*Inputs!$L$6*((Inputs!$I$6+(((A129)+1)/2)*(Inputs!$J$6-Inputs!$I$6)))/(Inputs!$K$6^2)*Inputs!$C$11)))/(SQRT(((Inputs!$I$6+(((A129)+1)/2)*(Inputs!$J$6-Inputs!$I$6)))^2+Inputs!$C$6^2+((Inputs!$H$6+Inputs!$L$6*(((Inputs!$I$6+(((A129)+1)/2)*(Inputs!$J$6-Inputs!$I$6)))/Inputs!$K$6)^2))^2)))))/Inputs!$C$13)</x:f>
        <x:v>-26.24067609447554</x:v>
      </x:c>
      <x:c r="AM129" s="48" t="n">
        <x:f>(-2*((1000*((((Inputs!$I$7+(((A129)+1)/2)*(Inputs!$J$7-Inputs!$I$7)))*Inputs!$C$11+((Inputs!$H$7+Inputs!$L$7*(((Inputs!$I$7+(((A129)+1)/2)*(Inputs!$J$7-Inputs!$I$7)))/Inputs!$K$7)^2))*((2*Inputs!$L$7*((Inputs!$I$7+(((A129)+1)/2)*(Inputs!$J$7-Inputs!$I$7)))/(Inputs!$K$7^2)*Inputs!$C$11)))/(SQRT(((Inputs!$I$7+(((A129)+1)/2)*(Inputs!$J$7-Inputs!$I$7)))^2+Inputs!$C$6^2+((Inputs!$H$7+Inputs!$L$7*(((Inputs!$I$7+(((A129)+1)/2)*(Inputs!$J$7-Inputs!$I$7)))/Inputs!$K$7)^2))^2)))))/Inputs!$C$13)</x:f>
        <x:v>-869.3467268625434</x:v>
      </x:c>
      <x:c r="AN129" s="48" t="n">
        <x:f>(-2*((1000*((((Inputs!$I$8+(((A129)+1)/2)*(Inputs!$J$8-Inputs!$I$8)))*Inputs!$C$11+((Inputs!$H$8+Inputs!$L$8*(((Inputs!$I$8+(((A129)+1)/2)*(Inputs!$J$8-Inputs!$I$8)))/Inputs!$K$8)^2))*((2*Inputs!$L$8*((Inputs!$I$8+(((A129)+1)/2)*(Inputs!$J$8-Inputs!$I$8)))/(Inputs!$K$8^2)*Inputs!$C$11)))/(SQRT(((Inputs!$I$8+(((A129)+1)/2)*(Inputs!$J$8-Inputs!$I$8)))^2+Inputs!$C$6^2+((Inputs!$H$8+Inputs!$L$8*(((Inputs!$I$8+(((A129)+1)/2)*(Inputs!$J$8-Inputs!$I$8)))/Inputs!$K$8)^2))^2)))))/Inputs!$C$13)</x:f>
        <x:v>-1271.5199874806242</x:v>
      </x:c>
      <x:c r="AO129" s="48" t="n">
        <x:f>(-2*((1000*((((Inputs!$I$9+(((A129)+1)/2)*(Inputs!$J$9-Inputs!$I$9)))*Inputs!$C$11+((Inputs!$H$9+Inputs!$L$9*(((Inputs!$I$9+(((A129)+1)/2)*(Inputs!$J$9-Inputs!$I$9)))/Inputs!$K$9)^2))*((2*Inputs!$L$9*((Inputs!$I$9+(((A129)+1)/2)*(Inputs!$J$9-Inputs!$I$9)))/(Inputs!$K$9^2)*Inputs!$C$11)))/(SQRT(((Inputs!$I$9+(((A129)+1)/2)*(Inputs!$J$9-Inputs!$I$9)))^2+Inputs!$C$6^2+((Inputs!$H$9+Inputs!$L$9*(((Inputs!$I$9+(((A129)+1)/2)*(Inputs!$J$9-Inputs!$I$9)))/Inputs!$K$9)^2))^2)))))/Inputs!$C$13)</x:f>
        <x:v>-1348.1281012923387</x:v>
      </x:c>
    </x:row>
    <x:row r="130">
      <x:c r="A130" s="48" t="n">
        <x:f>ROUND(-1+128*2/240,3)</x:f>
        <x:v>0.067</x:v>
      </x:c>
      <x:c r="B130" s="48" t="n">
        <x:f>IF(OR(Inputs!$F$6=TRUE,Inputs!$F$6="TRUE",Inputs!$F$6=1),(Inputs!$H$6+Inputs!$L$6*(((Inputs!$I$6+(((A130)+1)/2)*(Inputs!$J$6-Inputs!$I$6)))/Inputs!$K$6)^2),NA())</x:f>
        <x:v>400.017956</x:v>
      </x:c>
      <x:c r="C130" s="48" t="n">
        <x:f>IF(OR(Inputs!$F$7=TRUE,Inputs!$F$7="TRUE",Inputs!$F$7=1),(Inputs!$H$7+Inputs!$L$7*(((Inputs!$I$7+(((A130)+1)/2)*(Inputs!$J$7-Inputs!$I$7)))/Inputs!$K$7)^2),NA())</x:f>
        <x:v>36.638484999999996</x:v>
      </x:c>
      <x:c r="D130" s="48" t="n">
        <x:f>IF(OR(Inputs!$F$8=TRUE,Inputs!$F$8="TRUE",Inputs!$F$8=1),(Inputs!$H$8+Inputs!$L$8*(((Inputs!$I$8+(((A130)+1)/2)*(Inputs!$J$8-Inputs!$I$8)))/Inputs!$K$8)^2),NA())</x:f>
        <x:v>39.331884999999986</x:v>
      </x:c>
      <x:c r="E130" s="48" t="n">
        <x:f>IF(OR(Inputs!$F$9=TRUE,Inputs!$F$9="TRUE",Inputs!$F$9=1),(Inputs!$H$9+Inputs!$L$9*(((Inputs!$I$9+(((A130)+1)/2)*(Inputs!$J$9-Inputs!$I$9)))/Inputs!$K$9)^2),NA())</x:f>
        <x:v>29.376774999999988</x:v>
      </x:c>
      <x:c r="F130" s="49"/>
      <x:c r="G130" s="48" t="n">
        <x:f>A130</x:f>
        <x:v>0.067</x:v>
      </x:c>
      <x:c r="H130" s="48" t="n">
        <x:f>IF(OR(Inputs!$F$6=TRUE,Inputs!$F$6="TRUE",Inputs!$F$6=1),(((SQRT(((Inputs!$I$6+(((A130)+1)/2)*(Inputs!$J$6-Inputs!$I$6)))^2+Inputs!$C$6^2+((Inputs!$H$6+Inputs!$L$6*(((Inputs!$I$6+(((A130)+1)/2)*(Inputs!$J$6-Inputs!$I$6)))/Inputs!$K$6)^2))^2))-((Inputs!$H$6+Inputs!$L$6*(((Inputs!$I$6+(((A130)+1)/2)*(Inputs!$J$6-Inputs!$I$6)))/Inputs!$K$6)^2)))*1000/Inputs!$C$12),NA())</x:f>
        <x:v>449.7827715340144</x:v>
      </x:c>
      <x:c r="I130" s="48" t="n">
        <x:f>IF(OR(Inputs!$F$7=TRUE,Inputs!$F$7="TRUE",Inputs!$F$7=1),(((SQRT(((Inputs!$I$7+(((A130)+1)/2)*(Inputs!$J$7-Inputs!$I$7)))^2+Inputs!$C$6^2+((Inputs!$H$7+Inputs!$L$7*(((Inputs!$I$7+(((A130)+1)/2)*(Inputs!$J$7-Inputs!$I$7)))/Inputs!$K$7)^2))^2))-((Inputs!$H$7+Inputs!$L$7*(((Inputs!$I$7+(((A130)+1)/2)*(Inputs!$J$7-Inputs!$I$7)))/Inputs!$K$7)^2)))*1000/Inputs!$C$12),NA())</x:f>
        <x:v>8530.600680010883</x:v>
      </x:c>
      <x:c r="J130" s="48" t="n">
        <x:f>IF(OR(Inputs!$F$8=TRUE,Inputs!$F$8="TRUE",Inputs!$F$8=1),(((SQRT(((Inputs!$I$8+(((A130)+1)/2)*(Inputs!$J$8-Inputs!$I$8)))^2+Inputs!$C$6^2+((Inputs!$H$8+Inputs!$L$8*(((Inputs!$I$8+(((A130)+1)/2)*(Inputs!$J$8-Inputs!$I$8)))/Inputs!$K$8)^2))^2))-((Inputs!$H$8+Inputs!$L$8*(((Inputs!$I$8+(((A130)+1)/2)*(Inputs!$J$8-Inputs!$I$8)))/Inputs!$K$8)^2)))*1000/Inputs!$C$12),NA())</x:f>
        <x:v>17806.728641253387</x:v>
      </x:c>
      <x:c r="K130" s="48" t="n">
        <x:f>IF(OR(Inputs!$F$9=TRUE,Inputs!$F$9="TRUE",Inputs!$F$9=1),(((SQRT(((Inputs!$I$9+(((A130)+1)/2)*(Inputs!$J$9-Inputs!$I$9)))^2+Inputs!$C$6^2+((Inputs!$H$9+Inputs!$L$9*(((Inputs!$I$9+(((A130)+1)/2)*(Inputs!$J$9-Inputs!$I$9)))/Inputs!$K$9)^2))^2))-((Inputs!$H$9+Inputs!$L$9*(((Inputs!$I$9+(((A130)+1)/2)*(Inputs!$J$9-Inputs!$I$9)))/Inputs!$K$9)^2)))*1000/Inputs!$C$12),NA())</x:f>
        <x:v>20595.927822440484</x:v>
      </x:c>
      <x:c r="L130" s="49"/>
      <x:c r="M130" s="48" t="n">
        <x:f>A130</x:f>
        <x:v>0.067</x:v>
      </x:c>
      <x:c r="N130" s="48" t="n">
        <x:f>IF(OR(Inputs!$F$6=TRUE,Inputs!$F$6="TRUE",Inputs!$F$6=1),(-2*((1000*((((Inputs!$I$6+(((A130)+1)/2)*(Inputs!$J$6-Inputs!$I$6)))*Inputs!$C$11+((Inputs!$H$6+Inputs!$L$6*(((Inputs!$I$6+(((A130)+1)/2)*(Inputs!$J$6-Inputs!$I$6)))/Inputs!$K$6)^2))*((2*Inputs!$L$6*((Inputs!$I$6+(((A130)+1)/2)*(Inputs!$J$6-Inputs!$I$6)))/(Inputs!$K$6^2)*Inputs!$C$11)))/(SQRT(((Inputs!$I$6+(((A130)+1)/2)*(Inputs!$J$6-Inputs!$I$6)))^2+Inputs!$C$6^2+((Inputs!$H$6+Inputs!$L$6*(((Inputs!$I$6+(((A130)+1)/2)*(Inputs!$J$6-Inputs!$I$6)))/Inputs!$K$6)^2))^2)))))/Inputs!$C$13),NA())</x:f>
        <x:v>-30.31194389180796</x:v>
      </x:c>
      <x:c r="O130" s="48" t="n">
        <x:f>IF(OR(Inputs!$F$7=TRUE,Inputs!$F$7="TRUE",Inputs!$F$7=1),(-2*((1000*((((Inputs!$I$7+(((A130)+1)/2)*(Inputs!$J$7-Inputs!$I$7)))*Inputs!$C$11+((Inputs!$H$7+Inputs!$L$7*(((Inputs!$I$7+(((A130)+1)/2)*(Inputs!$J$7-Inputs!$I$7)))/Inputs!$K$7)^2))*((2*Inputs!$L$7*((Inputs!$I$7+(((A130)+1)/2)*(Inputs!$J$7-Inputs!$I$7)))/(Inputs!$K$7^2)*Inputs!$C$11)))/(SQRT(((Inputs!$I$7+(((A130)+1)/2)*(Inputs!$J$7-Inputs!$I$7)))^2+Inputs!$C$6^2+((Inputs!$H$7+Inputs!$L$7*(((Inputs!$I$7+(((A130)+1)/2)*(Inputs!$J$7-Inputs!$I$7)))/Inputs!$K$7)^2))^2)))))/Inputs!$C$13),NA())</x:f>
        <x:v>-965.748749138995</x:v>
      </x:c>
      <x:c r="P130" s="48" t="n">
        <x:f>IF(OR(Inputs!$F$8=TRUE,Inputs!$F$8="TRUE",Inputs!$F$8=1),(-2*((1000*((((Inputs!$I$8+(((A130)+1)/2)*(Inputs!$J$8-Inputs!$I$8)))*Inputs!$C$11+((Inputs!$H$8+Inputs!$L$8*(((Inputs!$I$8+(((A130)+1)/2)*(Inputs!$J$8-Inputs!$I$8)))/Inputs!$K$8)^2))*((2*Inputs!$L$8*((Inputs!$I$8+(((A130)+1)/2)*(Inputs!$J$8-Inputs!$I$8)))/(Inputs!$K$8^2)*Inputs!$C$11)))/(SQRT(((Inputs!$I$8+(((A130)+1)/2)*(Inputs!$J$8-Inputs!$I$8)))^2+Inputs!$C$6^2+((Inputs!$H$8+Inputs!$L$8*(((Inputs!$I$8+(((A130)+1)/2)*(Inputs!$J$8-Inputs!$I$8)))/Inputs!$K$8)^2))^2)))))/Inputs!$C$13),NA())</x:f>
        <x:v>-1350.625084615099</x:v>
      </x:c>
      <x:c r="Q130" s="48" t="n">
        <x:f>IF(OR(Inputs!$F$9=TRUE,Inputs!$F$9="TRUE",Inputs!$F$9=1),(-2*((1000*((((Inputs!$I$9+(((A130)+1)/2)*(Inputs!$J$9-Inputs!$I$9)))*Inputs!$C$11+((Inputs!$H$9+Inputs!$L$9*(((Inputs!$I$9+(((A130)+1)/2)*(Inputs!$J$9-Inputs!$I$9)))/Inputs!$K$9)^2))*((2*Inputs!$L$9*((Inputs!$I$9+(((A130)+1)/2)*(Inputs!$J$9-Inputs!$I$9)))/(Inputs!$K$9^2)*Inputs!$C$11)))/(SQRT(((Inputs!$I$9+(((A130)+1)/2)*(Inputs!$J$9-Inputs!$I$9)))^2+Inputs!$C$6^2+((Inputs!$H$9+Inputs!$L$9*(((Inputs!$I$9+(((A130)+1)/2)*(Inputs!$J$9-Inputs!$I$9)))/Inputs!$K$9)^2))^2)))))/Inputs!$C$13),NA())</x:f>
        <x:v>-1414.8947761334084</x:v>
      </x:c>
      <x:c r="R130" s="49"/>
      <x:c r="S130" s="48" t="n">
        <x:f>A130</x:f>
        <x:v>0.067</x:v>
      </x:c>
      <x:c r="T130" s="48" t="n">
        <x:f>(Inputs!$I$6+(((A130)+1)/2)*(Inputs!$J$6-Inputs!$I$6))</x:f>
        <x:v>4.019999999999996</x:v>
      </x:c>
      <x:c r="U130" s="48" t="n">
        <x:f>(Inputs!$I$7+(((A130)+1)/2)*(Inputs!$J$7-Inputs!$I$7))</x:f>
        <x:v>26.799999999999955</x:v>
      </x:c>
      <x:c r="V130" s="48" t="n">
        <x:f>(Inputs!$I$8+(((A130)+1)/2)*(Inputs!$J$8-Inputs!$I$8))</x:f>
        <x:v>53.59999999999991</x:v>
      </x:c>
      <x:c r="W130" s="48" t="n">
        <x:f>(Inputs!$I$9+(((A130)+1)/2)*(Inputs!$J$9-Inputs!$I$9))</x:f>
        <x:v>53.59999999999991</x:v>
      </x:c>
      <x:c r="X130" s="49"/>
      <x:c r="Y130" s="48" t="n">
        <x:f>A130</x:f>
        <x:v>0.067</x:v>
      </x:c>
      <x:c r="Z130" s="48" t="n">
        <x:f>(Inputs!$H$6+Inputs!$L$6*(((Inputs!$I$6+(((A130)+1)/2)*(Inputs!$J$6-Inputs!$I$6)))/Inputs!$K$6)^2)</x:f>
        <x:v>400.017956</x:v>
      </x:c>
      <x:c r="AA130" s="48" t="n">
        <x:f>(Inputs!$H$7+Inputs!$L$7*(((Inputs!$I$7+(((A130)+1)/2)*(Inputs!$J$7-Inputs!$I$7)))/Inputs!$K$7)^2)</x:f>
        <x:v>36.638484999999996</x:v>
      </x:c>
      <x:c r="AB130" s="48" t="n">
        <x:f>(Inputs!$H$8+Inputs!$L$8*(((Inputs!$I$8+(((A130)+1)/2)*(Inputs!$J$8-Inputs!$I$8)))/Inputs!$K$8)^2)</x:f>
        <x:v>39.331884999999986</x:v>
      </x:c>
      <x:c r="AC130" s="48" t="n">
        <x:f>(Inputs!$H$9+Inputs!$L$9*(((Inputs!$I$9+(((A130)+1)/2)*(Inputs!$J$9-Inputs!$I$9)))/Inputs!$K$9)^2)</x:f>
        <x:v>29.376774999999988</x:v>
      </x:c>
      <x:c r="AD130" s="49"/>
      <x:c r="AE130" s="48" t="n">
        <x:f>A130</x:f>
        <x:v>0.067</x:v>
      </x:c>
      <x:c r="AF130" s="48" t="n">
        <x:f>(((SQRT(((Inputs!$I$6+(((A130)+1)/2)*(Inputs!$J$6-Inputs!$I$6)))^2+Inputs!$C$6^2+((Inputs!$H$6+Inputs!$L$6*(((Inputs!$I$6+(((A130)+1)/2)*(Inputs!$J$6-Inputs!$I$6)))/Inputs!$K$6)^2))^2))-((Inputs!$H$6+Inputs!$L$6*(((Inputs!$I$6+(((A130)+1)/2)*(Inputs!$J$6-Inputs!$I$6)))/Inputs!$K$6)^2)))*1000/Inputs!$C$12)</x:f>
        <x:v>449.7827715340144</x:v>
      </x:c>
      <x:c r="AG130" s="48" t="n">
        <x:f>(((SQRT(((Inputs!$I$7+(((A130)+1)/2)*(Inputs!$J$7-Inputs!$I$7)))^2+Inputs!$C$6^2+((Inputs!$H$7+Inputs!$L$7*(((Inputs!$I$7+(((A130)+1)/2)*(Inputs!$J$7-Inputs!$I$7)))/Inputs!$K$7)^2))^2))-((Inputs!$H$7+Inputs!$L$7*(((Inputs!$I$7+(((A130)+1)/2)*(Inputs!$J$7-Inputs!$I$7)))/Inputs!$K$7)^2)))*1000/Inputs!$C$12)</x:f>
        <x:v>8530.600680010883</x:v>
      </x:c>
      <x:c r="AH130" s="48" t="n">
        <x:f>(((SQRT(((Inputs!$I$8+(((A130)+1)/2)*(Inputs!$J$8-Inputs!$I$8)))^2+Inputs!$C$6^2+((Inputs!$H$8+Inputs!$L$8*(((Inputs!$I$8+(((A130)+1)/2)*(Inputs!$J$8-Inputs!$I$8)))/Inputs!$K$8)^2))^2))-((Inputs!$H$8+Inputs!$L$8*(((Inputs!$I$8+(((A130)+1)/2)*(Inputs!$J$8-Inputs!$I$8)))/Inputs!$K$8)^2)))*1000/Inputs!$C$12)</x:f>
        <x:v>17806.728641253387</x:v>
      </x:c>
      <x:c r="AI130" s="48" t="n">
        <x:f>(((SQRT(((Inputs!$I$9+(((A130)+1)/2)*(Inputs!$J$9-Inputs!$I$9)))^2+Inputs!$C$6^2+((Inputs!$H$9+Inputs!$L$9*(((Inputs!$I$9+(((A130)+1)/2)*(Inputs!$J$9-Inputs!$I$9)))/Inputs!$K$9)^2))^2))-((Inputs!$H$9+Inputs!$L$9*(((Inputs!$I$9+(((A130)+1)/2)*(Inputs!$J$9-Inputs!$I$9)))/Inputs!$K$9)^2)))*1000/Inputs!$C$12)</x:f>
        <x:v>20595.927822440484</x:v>
      </x:c>
      <x:c r="AJ130" s="49"/>
      <x:c r="AK130" s="48" t="n">
        <x:f>A130</x:f>
        <x:v>0.067</x:v>
      </x:c>
      <x:c r="AL130" s="48" t="n">
        <x:f>(-2*((1000*((((Inputs!$I$6+(((A130)+1)/2)*(Inputs!$J$6-Inputs!$I$6)))*Inputs!$C$11+((Inputs!$H$6+Inputs!$L$6*(((Inputs!$I$6+(((A130)+1)/2)*(Inputs!$J$6-Inputs!$I$6)))/Inputs!$K$6)^2))*((2*Inputs!$L$6*((Inputs!$I$6+(((A130)+1)/2)*(Inputs!$J$6-Inputs!$I$6)))/(Inputs!$K$6^2)*Inputs!$C$11)))/(SQRT(((Inputs!$I$6+(((A130)+1)/2)*(Inputs!$J$6-Inputs!$I$6)))^2+Inputs!$C$6^2+((Inputs!$H$6+Inputs!$L$6*(((Inputs!$I$6+(((A130)+1)/2)*(Inputs!$J$6-Inputs!$I$6)))/Inputs!$K$6)^2))^2)))))/Inputs!$C$13)</x:f>
        <x:v>-30.31194389180796</x:v>
      </x:c>
      <x:c r="AM130" s="48" t="n">
        <x:f>(-2*((1000*((((Inputs!$I$7+(((A130)+1)/2)*(Inputs!$J$7-Inputs!$I$7)))*Inputs!$C$11+((Inputs!$H$7+Inputs!$L$7*(((Inputs!$I$7+(((A130)+1)/2)*(Inputs!$J$7-Inputs!$I$7)))/Inputs!$K$7)^2))*((2*Inputs!$L$7*((Inputs!$I$7+(((A130)+1)/2)*(Inputs!$J$7-Inputs!$I$7)))/(Inputs!$K$7^2)*Inputs!$C$11)))/(SQRT(((Inputs!$I$7+(((A130)+1)/2)*(Inputs!$J$7-Inputs!$I$7)))^2+Inputs!$C$6^2+((Inputs!$H$7+Inputs!$L$7*(((Inputs!$I$7+(((A130)+1)/2)*(Inputs!$J$7-Inputs!$I$7)))/Inputs!$K$7)^2))^2)))))/Inputs!$C$13)</x:f>
        <x:v>-965.748749138995</x:v>
      </x:c>
      <x:c r="AN130" s="48" t="n">
        <x:f>(-2*((1000*((((Inputs!$I$8+(((A130)+1)/2)*(Inputs!$J$8-Inputs!$I$8)))*Inputs!$C$11+((Inputs!$H$8+Inputs!$L$8*(((Inputs!$I$8+(((A130)+1)/2)*(Inputs!$J$8-Inputs!$I$8)))/Inputs!$K$8)^2))*((2*Inputs!$L$8*((Inputs!$I$8+(((A130)+1)/2)*(Inputs!$J$8-Inputs!$I$8)))/(Inputs!$K$8^2)*Inputs!$C$11)))/(SQRT(((Inputs!$I$8+(((A130)+1)/2)*(Inputs!$J$8-Inputs!$I$8)))^2+Inputs!$C$6^2+((Inputs!$H$8+Inputs!$L$8*(((Inputs!$I$8+(((A130)+1)/2)*(Inputs!$J$8-Inputs!$I$8)))/Inputs!$K$8)^2))^2)))))/Inputs!$C$13)</x:f>
        <x:v>-1350.625084615099</x:v>
      </x:c>
      <x:c r="AO130" s="48" t="n">
        <x:f>(-2*((1000*((((Inputs!$I$9+(((A130)+1)/2)*(Inputs!$J$9-Inputs!$I$9)))*Inputs!$C$11+((Inputs!$H$9+Inputs!$L$9*(((Inputs!$I$9+(((A130)+1)/2)*(Inputs!$J$9-Inputs!$I$9)))/Inputs!$K$9)^2))*((2*Inputs!$L$9*((Inputs!$I$9+(((A130)+1)/2)*(Inputs!$J$9-Inputs!$I$9)))/(Inputs!$K$9^2)*Inputs!$C$11)))/(SQRT(((Inputs!$I$9+(((A130)+1)/2)*(Inputs!$J$9-Inputs!$I$9)))^2+Inputs!$C$6^2+((Inputs!$H$9+Inputs!$L$9*(((Inputs!$I$9+(((A130)+1)/2)*(Inputs!$J$9-Inputs!$I$9)))/Inputs!$K$9)^2))^2)))))/Inputs!$C$13)</x:f>
        <x:v>-1414.8947761334084</x:v>
      </x:c>
    </x:row>
    <x:row r="131">
      <x:c r="A131" s="48" t="n">
        <x:f>ROUND(-1+129*2/240,3)</x:f>
        <x:v>0.075</x:v>
      </x:c>
      <x:c r="B131" s="48" t="n">
        <x:f>IF(OR(Inputs!$F$6=TRUE,Inputs!$F$6="TRUE",Inputs!$F$6=1),(Inputs!$H$6+Inputs!$L$6*(((Inputs!$I$6+(((A131)+1)/2)*(Inputs!$J$6-Inputs!$I$6)))/Inputs!$K$6)^2),NA())</x:f>
        <x:v>400.0225</x:v>
      </x:c>
      <x:c r="C131" s="48" t="n">
        <x:f>IF(OR(Inputs!$F$7=TRUE,Inputs!$F$7="TRUE",Inputs!$F$7=1),(Inputs!$H$7+Inputs!$L$7*(((Inputs!$I$7+(((A131)+1)/2)*(Inputs!$J$7-Inputs!$I$7)))/Inputs!$K$7)^2),NA())</x:f>
        <x:v>37.053125</x:v>
      </x:c>
      <x:c r="D131" s="48" t="n">
        <x:f>IF(OR(Inputs!$F$8=TRUE,Inputs!$F$8="TRUE",Inputs!$F$8=1),(Inputs!$H$8+Inputs!$L$8*(((Inputs!$I$8+(((A131)+1)/2)*(Inputs!$J$8-Inputs!$I$8)))/Inputs!$K$8)^2),NA())</x:f>
        <x:v>40.428125</x:v>
      </x:c>
      <x:c r="E131" s="48" t="n">
        <x:f>IF(OR(Inputs!$F$9=TRUE,Inputs!$F$9="TRUE",Inputs!$F$9=1),(Inputs!$H$9+Inputs!$L$9*(((Inputs!$I$9+(((A131)+1)/2)*(Inputs!$J$9-Inputs!$I$9)))/Inputs!$K$9)^2),NA())</x:f>
        <x:v>30.484375</x:v>
      </x:c>
      <x:c r="F131" s="49"/>
      <x:c r="G131" s="48" t="n">
        <x:f>A131</x:f>
        <x:v>0.075</x:v>
      </x:c>
      <x:c r="H131" s="48" t="n">
        <x:f>IF(OR(Inputs!$F$6=TRUE,Inputs!$F$6="TRUE",Inputs!$F$6=1),(((SQRT(((Inputs!$I$6+(((A131)+1)/2)*(Inputs!$J$6-Inputs!$I$6)))^2+Inputs!$C$6^2+((Inputs!$H$6+Inputs!$L$6*(((Inputs!$I$6+(((A131)+1)/2)*(Inputs!$J$6-Inputs!$I$6)))/Inputs!$K$6)^2))^2))-((Inputs!$H$6+Inputs!$L$6*(((Inputs!$I$6+(((A131)+1)/2)*(Inputs!$J$6-Inputs!$I$6)))/Inputs!$K$6)^2)))*1000/Inputs!$C$12),NA())</x:f>
        <x:v>452.64366680049187</x:v>
      </x:c>
      <x:c r="I131" s="48" t="n">
        <x:f>IF(OR(Inputs!$F$7=TRUE,Inputs!$F$7="TRUE",Inputs!$F$7=1),(((SQRT(((Inputs!$I$7+(((A131)+1)/2)*(Inputs!$J$7-Inputs!$I$7)))^2+Inputs!$C$6^2+((Inputs!$H$7+Inputs!$L$7*(((Inputs!$I$7+(((A131)+1)/2)*(Inputs!$J$7-Inputs!$I$7)))/Inputs!$K$7)^2))^2))-((Inputs!$H$7+Inputs!$L$7*(((Inputs!$I$7+(((A131)+1)/2)*(Inputs!$J$7-Inputs!$I$7)))/Inputs!$K$7)^2)))*1000/Inputs!$C$12),NA())</x:f>
        <x:v>9426.594380035745</x:v>
      </x:c>
      <x:c r="J131" s="48" t="n">
        <x:f>IF(OR(Inputs!$F$8=TRUE,Inputs!$F$8="TRUE",Inputs!$F$8=1),(((SQRT(((Inputs!$I$8+(((A131)+1)/2)*(Inputs!$J$8-Inputs!$I$8)))^2+Inputs!$C$6^2+((Inputs!$H$8+Inputs!$L$8*(((Inputs!$I$8+(((A131)+1)/2)*(Inputs!$J$8-Inputs!$I$8)))/Inputs!$K$8)^2))^2))-((Inputs!$H$8+Inputs!$L$8*(((Inputs!$I$8+(((A131)+1)/2)*(Inputs!$J$8-Inputs!$I$8)))/Inputs!$K$8)^2)))*1000/Inputs!$C$12),NA())</x:f>
        <x:v>20291.466413678096</x:v>
      </x:c>
      <x:c r="K131" s="48" t="n">
        <x:f>IF(OR(Inputs!$F$9=TRUE,Inputs!$F$9="TRUE",Inputs!$F$9=1),(((SQRT(((Inputs!$I$9+(((A131)+1)/2)*(Inputs!$J$9-Inputs!$I$9)))^2+Inputs!$C$6^2+((Inputs!$H$9+Inputs!$L$9*(((Inputs!$I$9+(((A131)+1)/2)*(Inputs!$J$9-Inputs!$I$9)))/Inputs!$K$9)^2))^2))-((Inputs!$H$9+Inputs!$L$9*(((Inputs!$I$9+(((A131)+1)/2)*(Inputs!$J$9-Inputs!$I$9)))/Inputs!$K$9)^2)))*1000/Inputs!$C$12),NA())</x:f>
        <x:v>23207.33633541997</x:v>
      </x:c>
      <x:c r="L131" s="49"/>
      <x:c r="M131" s="48" t="n">
        <x:f>A131</x:f>
        <x:v>0.075</x:v>
      </x:c>
      <x:c r="N131" s="48" t="n">
        <x:f>IF(OR(Inputs!$F$6=TRUE,Inputs!$F$6="TRUE",Inputs!$F$6=1),(-2*((1000*((((Inputs!$I$6+(((A131)+1)/2)*(Inputs!$J$6-Inputs!$I$6)))*Inputs!$C$11+((Inputs!$H$6+Inputs!$L$6*(((Inputs!$I$6+(((A131)+1)/2)*(Inputs!$J$6-Inputs!$I$6)))/Inputs!$K$6)^2))*((2*Inputs!$L$6*((Inputs!$I$6+(((A131)+1)/2)*(Inputs!$J$6-Inputs!$I$6)))/(Inputs!$K$6^2)*Inputs!$C$11)))/(SQRT(((Inputs!$I$6+(((A131)+1)/2)*(Inputs!$J$6-Inputs!$I$6)))^2+Inputs!$C$6^2+((Inputs!$H$6+Inputs!$L$6*(((Inputs!$I$6+(((A131)+1)/2)*(Inputs!$J$6-Inputs!$I$6)))/Inputs!$K$6)^2))^2)))))/Inputs!$C$13),NA())</x:f>
        <x:v>-33.930646111432324</x:v>
      </x:c>
      <x:c r="O131" s="48" t="n">
        <x:f>IF(OR(Inputs!$F$7=TRUE,Inputs!$F$7="TRUE",Inputs!$F$7=1),(-2*((1000*((((Inputs!$I$7+(((A131)+1)/2)*(Inputs!$J$7-Inputs!$I$7)))*Inputs!$C$11+((Inputs!$H$7+Inputs!$L$7*(((Inputs!$I$7+(((A131)+1)/2)*(Inputs!$J$7-Inputs!$I$7)))/Inputs!$K$7)^2))*((2*Inputs!$L$7*((Inputs!$I$7+(((A131)+1)/2)*(Inputs!$J$7-Inputs!$I$7)))/(Inputs!$K$7^2)*Inputs!$C$11)))/(SQRT(((Inputs!$I$7+(((A131)+1)/2)*(Inputs!$J$7-Inputs!$I$7)))^2+Inputs!$C$6^2+((Inputs!$H$7+Inputs!$L$7*(((Inputs!$I$7+(((A131)+1)/2)*(Inputs!$J$7-Inputs!$I$7)))/Inputs!$K$7)^2))^2)))))/Inputs!$C$13),NA())</x:f>
        <x:v>-1042.3939617751896</x:v>
      </x:c>
      <x:c r="P131" s="48" t="n">
        <x:f>IF(OR(Inputs!$F$8=TRUE,Inputs!$F$8="TRUE",Inputs!$F$8=1),(-2*((1000*((((Inputs!$I$8+(((A131)+1)/2)*(Inputs!$J$8-Inputs!$I$8)))*Inputs!$C$11+((Inputs!$H$8+Inputs!$L$8*(((Inputs!$I$8+(((A131)+1)/2)*(Inputs!$J$8-Inputs!$I$8)))/Inputs!$K$8)^2))*((2*Inputs!$L$8*((Inputs!$I$8+(((A131)+1)/2)*(Inputs!$J$8-Inputs!$I$8)))/(Inputs!$K$8^2)*Inputs!$C$11)))/(SQRT(((Inputs!$I$8+(((A131)+1)/2)*(Inputs!$J$8-Inputs!$I$8)))^2+Inputs!$C$6^2+((Inputs!$H$8+Inputs!$L$8*(((Inputs!$I$8+(((A131)+1)/2)*(Inputs!$J$8-Inputs!$I$8)))/Inputs!$K$8)^2))^2)))))/Inputs!$C$13),NA())</x:f>
        <x:v>-1407.0314099851676</x:v>
      </x:c>
      <x:c r="Q131" s="48" t="n">
        <x:f>IF(OR(Inputs!$F$9=TRUE,Inputs!$F$9="TRUE",Inputs!$F$9=1),(-2*((1000*((((Inputs!$I$9+(((A131)+1)/2)*(Inputs!$J$9-Inputs!$I$9)))*Inputs!$C$11+((Inputs!$H$9+Inputs!$L$9*(((Inputs!$I$9+(((A131)+1)/2)*(Inputs!$J$9-Inputs!$I$9)))/Inputs!$K$9)^2))*((2*Inputs!$L$9*((Inputs!$I$9+(((A131)+1)/2)*(Inputs!$J$9-Inputs!$I$9)))/(Inputs!$K$9^2)*Inputs!$C$11)))/(SQRT(((Inputs!$I$9+(((A131)+1)/2)*(Inputs!$J$9-Inputs!$I$9)))^2+Inputs!$C$6^2+((Inputs!$H$9+Inputs!$L$9*(((Inputs!$I$9+(((A131)+1)/2)*(Inputs!$J$9-Inputs!$I$9)))/Inputs!$K$9)^2))^2)))))/Inputs!$C$13),NA())</x:f>
        <x:v>-1461.3687396461996</x:v>
      </x:c>
      <x:c r="R131" s="49"/>
      <x:c r="S131" s="48" t="n">
        <x:f>A131</x:f>
        <x:v>0.075</x:v>
      </x:c>
      <x:c r="T131" s="48" t="n">
        <x:f>(Inputs!$I$6+(((A131)+1)/2)*(Inputs!$J$6-Inputs!$I$6))</x:f>
        <x:v>4.5</x:v>
      </x:c>
      <x:c r="U131" s="48" t="n">
        <x:f>(Inputs!$I$7+(((A131)+1)/2)*(Inputs!$J$7-Inputs!$I$7))</x:f>
        <x:v>30</x:v>
      </x:c>
      <x:c r="V131" s="48" t="n">
        <x:f>(Inputs!$I$8+(((A131)+1)/2)*(Inputs!$J$8-Inputs!$I$8))</x:f>
        <x:v>60</x:v>
      </x:c>
      <x:c r="W131" s="48" t="n">
        <x:f>(Inputs!$I$9+(((A131)+1)/2)*(Inputs!$J$9-Inputs!$I$9))</x:f>
        <x:v>60</x:v>
      </x:c>
      <x:c r="X131" s="49"/>
      <x:c r="Y131" s="48" t="n">
        <x:f>A131</x:f>
        <x:v>0.075</x:v>
      </x:c>
      <x:c r="Z131" s="48" t="n">
        <x:f>(Inputs!$H$6+Inputs!$L$6*(((Inputs!$I$6+(((A131)+1)/2)*(Inputs!$J$6-Inputs!$I$6)))/Inputs!$K$6)^2)</x:f>
        <x:v>400.0225</x:v>
      </x:c>
      <x:c r="AA131" s="48" t="n">
        <x:f>(Inputs!$H$7+Inputs!$L$7*(((Inputs!$I$7+(((A131)+1)/2)*(Inputs!$J$7-Inputs!$I$7)))/Inputs!$K$7)^2)</x:f>
        <x:v>37.053125</x:v>
      </x:c>
      <x:c r="AB131" s="48" t="n">
        <x:f>(Inputs!$H$8+Inputs!$L$8*(((Inputs!$I$8+(((A131)+1)/2)*(Inputs!$J$8-Inputs!$I$8)))/Inputs!$K$8)^2)</x:f>
        <x:v>40.428125</x:v>
      </x:c>
      <x:c r="AC131" s="48" t="n">
        <x:f>(Inputs!$H$9+Inputs!$L$9*(((Inputs!$I$9+(((A131)+1)/2)*(Inputs!$J$9-Inputs!$I$9)))/Inputs!$K$9)^2)</x:f>
        <x:v>30.484375</x:v>
      </x:c>
      <x:c r="AD131" s="49"/>
      <x:c r="AE131" s="48" t="n">
        <x:f>A131</x:f>
        <x:v>0.075</x:v>
      </x:c>
      <x:c r="AF131" s="48" t="n">
        <x:f>(((SQRT(((Inputs!$I$6+(((A131)+1)/2)*(Inputs!$J$6-Inputs!$I$6)))^2+Inputs!$C$6^2+((Inputs!$H$6+Inputs!$L$6*(((Inputs!$I$6+(((A131)+1)/2)*(Inputs!$J$6-Inputs!$I$6)))/Inputs!$K$6)^2))^2))-((Inputs!$H$6+Inputs!$L$6*(((Inputs!$I$6+(((A131)+1)/2)*(Inputs!$J$6-Inputs!$I$6)))/Inputs!$K$6)^2)))*1000/Inputs!$C$12)</x:f>
        <x:v>452.64366680049187</x:v>
      </x:c>
      <x:c r="AG131" s="48" t="n">
        <x:f>(((SQRT(((Inputs!$I$7+(((A131)+1)/2)*(Inputs!$J$7-Inputs!$I$7)))^2+Inputs!$C$6^2+((Inputs!$H$7+Inputs!$L$7*(((Inputs!$I$7+(((A131)+1)/2)*(Inputs!$J$7-Inputs!$I$7)))/Inputs!$K$7)^2))^2))-((Inputs!$H$7+Inputs!$L$7*(((Inputs!$I$7+(((A131)+1)/2)*(Inputs!$J$7-Inputs!$I$7)))/Inputs!$K$7)^2)))*1000/Inputs!$C$12)</x:f>
        <x:v>9426.594380035745</x:v>
      </x:c>
      <x:c r="AH131" s="48" t="n">
        <x:f>(((SQRT(((Inputs!$I$8+(((A131)+1)/2)*(Inputs!$J$8-Inputs!$I$8)))^2+Inputs!$C$6^2+((Inputs!$H$8+Inputs!$L$8*(((Inputs!$I$8+(((A131)+1)/2)*(Inputs!$J$8-Inputs!$I$8)))/Inputs!$K$8)^2))^2))-((Inputs!$H$8+Inputs!$L$8*(((Inputs!$I$8+(((A131)+1)/2)*(Inputs!$J$8-Inputs!$I$8)))/Inputs!$K$8)^2)))*1000/Inputs!$C$12)</x:f>
        <x:v>20291.466413678096</x:v>
      </x:c>
      <x:c r="AI131" s="48" t="n">
        <x:f>(((SQRT(((Inputs!$I$9+(((A131)+1)/2)*(Inputs!$J$9-Inputs!$I$9)))^2+Inputs!$C$6^2+((Inputs!$H$9+Inputs!$L$9*(((Inputs!$I$9+(((A131)+1)/2)*(Inputs!$J$9-Inputs!$I$9)))/Inputs!$K$9)^2))^2))-((Inputs!$H$9+Inputs!$L$9*(((Inputs!$I$9+(((A131)+1)/2)*(Inputs!$J$9-Inputs!$I$9)))/Inputs!$K$9)^2)))*1000/Inputs!$C$12)</x:f>
        <x:v>23207.33633541997</x:v>
      </x:c>
      <x:c r="AJ131" s="49"/>
      <x:c r="AK131" s="48" t="n">
        <x:f>A131</x:f>
        <x:v>0.075</x:v>
      </x:c>
      <x:c r="AL131" s="48" t="n">
        <x:f>(-2*((1000*((((Inputs!$I$6+(((A131)+1)/2)*(Inputs!$J$6-Inputs!$I$6)))*Inputs!$C$11+((Inputs!$H$6+Inputs!$L$6*(((Inputs!$I$6+(((A131)+1)/2)*(Inputs!$J$6-Inputs!$I$6)))/Inputs!$K$6)^2))*((2*Inputs!$L$6*((Inputs!$I$6+(((A131)+1)/2)*(Inputs!$J$6-Inputs!$I$6)))/(Inputs!$K$6^2)*Inputs!$C$11)))/(SQRT(((Inputs!$I$6+(((A131)+1)/2)*(Inputs!$J$6-Inputs!$I$6)))^2+Inputs!$C$6^2+((Inputs!$H$6+Inputs!$L$6*(((Inputs!$I$6+(((A131)+1)/2)*(Inputs!$J$6-Inputs!$I$6)))/Inputs!$K$6)^2))^2)))))/Inputs!$C$13)</x:f>
        <x:v>-33.930646111432324</x:v>
      </x:c>
      <x:c r="AM131" s="48" t="n">
        <x:f>(-2*((1000*((((Inputs!$I$7+(((A131)+1)/2)*(Inputs!$J$7-Inputs!$I$7)))*Inputs!$C$11+((Inputs!$H$7+Inputs!$L$7*(((Inputs!$I$7+(((A131)+1)/2)*(Inputs!$J$7-Inputs!$I$7)))/Inputs!$K$7)^2))*((2*Inputs!$L$7*((Inputs!$I$7+(((A131)+1)/2)*(Inputs!$J$7-Inputs!$I$7)))/(Inputs!$K$7^2)*Inputs!$C$11)))/(SQRT(((Inputs!$I$7+(((A131)+1)/2)*(Inputs!$J$7-Inputs!$I$7)))^2+Inputs!$C$6^2+((Inputs!$H$7+Inputs!$L$7*(((Inputs!$I$7+(((A131)+1)/2)*(Inputs!$J$7-Inputs!$I$7)))/Inputs!$K$7)^2))^2)))))/Inputs!$C$13)</x:f>
        <x:v>-1042.3939617751896</x:v>
      </x:c>
      <x:c r="AN131" s="48" t="n">
        <x:f>(-2*((1000*((((Inputs!$I$8+(((A131)+1)/2)*(Inputs!$J$8-Inputs!$I$8)))*Inputs!$C$11+((Inputs!$H$8+Inputs!$L$8*(((Inputs!$I$8+(((A131)+1)/2)*(Inputs!$J$8-Inputs!$I$8)))/Inputs!$K$8)^2))*((2*Inputs!$L$8*((Inputs!$I$8+(((A131)+1)/2)*(Inputs!$J$8-Inputs!$I$8)))/(Inputs!$K$8^2)*Inputs!$C$11)))/(SQRT(((Inputs!$I$8+(((A131)+1)/2)*(Inputs!$J$8-Inputs!$I$8)))^2+Inputs!$C$6^2+((Inputs!$H$8+Inputs!$L$8*(((Inputs!$I$8+(((A131)+1)/2)*(Inputs!$J$8-Inputs!$I$8)))/Inputs!$K$8)^2))^2)))))/Inputs!$C$13)</x:f>
        <x:v>-1407.0314099851676</x:v>
      </x:c>
      <x:c r="AO131" s="48" t="n">
        <x:f>(-2*((1000*((((Inputs!$I$9+(((A131)+1)/2)*(Inputs!$J$9-Inputs!$I$9)))*Inputs!$C$11+((Inputs!$H$9+Inputs!$L$9*(((Inputs!$I$9+(((A131)+1)/2)*(Inputs!$J$9-Inputs!$I$9)))/Inputs!$K$9)^2))*((2*Inputs!$L$9*((Inputs!$I$9+(((A131)+1)/2)*(Inputs!$J$9-Inputs!$I$9)))/(Inputs!$K$9^2)*Inputs!$C$11)))/(SQRT(((Inputs!$I$9+(((A131)+1)/2)*(Inputs!$J$9-Inputs!$I$9)))^2+Inputs!$C$6^2+((Inputs!$H$9+Inputs!$L$9*(((Inputs!$I$9+(((A131)+1)/2)*(Inputs!$J$9-Inputs!$I$9)))/Inputs!$K$9)^2))^2)))))/Inputs!$C$13)</x:f>
        <x:v>-1461.3687396461996</x:v>
      </x:c>
    </x:row>
    <x:row r="132">
      <x:c r="A132" s="48" t="n">
        <x:f>ROUND(-1+130*2/240,3)</x:f>
        <x:v>0.083</x:v>
      </x:c>
      <x:c r="B132" s="48" t="n">
        <x:f>IF(OR(Inputs!$F$6=TRUE,Inputs!$F$6="TRUE",Inputs!$F$6=1),(Inputs!$H$6+Inputs!$L$6*(((Inputs!$I$6+(((A132)+1)/2)*(Inputs!$J$6-Inputs!$I$6)))/Inputs!$K$6)^2),NA())</x:f>
        <x:v>400.027556</x:v>
      </x:c>
      <x:c r="C132" s="48" t="n">
        <x:f>IF(OR(Inputs!$F$7=TRUE,Inputs!$F$7="TRUE",Inputs!$F$7=1),(Inputs!$H$7+Inputs!$L$7*(((Inputs!$I$7+(((A132)+1)/2)*(Inputs!$J$7-Inputs!$I$7)))/Inputs!$K$7)^2),NA())</x:f>
        <x:v>37.514485</x:v>
      </x:c>
      <x:c r="D132" s="48" t="n">
        <x:f>IF(OR(Inputs!$F$8=TRUE,Inputs!$F$8="TRUE",Inputs!$F$8=1),(Inputs!$H$8+Inputs!$L$8*(((Inputs!$I$8+(((A132)+1)/2)*(Inputs!$J$8-Inputs!$I$8)))/Inputs!$K$8)^2),NA())</x:f>
        <x:v>41.647884999999995</x:v>
      </x:c>
      <x:c r="E132" s="48" t="n">
        <x:f>IF(OR(Inputs!$F$9=TRUE,Inputs!$F$9="TRUE",Inputs!$F$9=1),(Inputs!$H$9+Inputs!$L$9*(((Inputs!$I$9+(((A132)+1)/2)*(Inputs!$J$9-Inputs!$I$9)))/Inputs!$K$9)^2),NA())</x:f>
        <x:v>31.716774999999995</x:v>
      </x:c>
      <x:c r="F132" s="49"/>
      <x:c r="G132" s="48" t="n">
        <x:f>A132</x:f>
        <x:v>0.083</x:v>
      </x:c>
      <x:c r="H132" s="48" t="n">
        <x:f>IF(OR(Inputs!$F$6=TRUE,Inputs!$F$6="TRUE",Inputs!$F$6=1),(((SQRT(((Inputs!$I$6+(((A132)+1)/2)*(Inputs!$J$6-Inputs!$I$6)))^2+Inputs!$C$6^2+((Inputs!$H$6+Inputs!$L$6*(((Inputs!$I$6+(((A132)+1)/2)*(Inputs!$J$6-Inputs!$I$6)))/Inputs!$K$6)^2))^2))-((Inputs!$H$6+Inputs!$L$6*(((Inputs!$I$6+(((A132)+1)/2)*(Inputs!$J$6-Inputs!$I$6)))/Inputs!$K$6)^2)))*1000/Inputs!$C$12),NA())</x:f>
        <x:v>455.8267975056651</x:v>
      </x:c>
      <x:c r="I132" s="48" t="n">
        <x:f>IF(OR(Inputs!$F$7=TRUE,Inputs!$F$7="TRUE",Inputs!$F$7=1),(((SQRT(((Inputs!$I$7+(((A132)+1)/2)*(Inputs!$J$7-Inputs!$I$7)))^2+Inputs!$C$6^2+((Inputs!$H$7+Inputs!$L$7*(((Inputs!$I$7+(((A132)+1)/2)*(Inputs!$J$7-Inputs!$I$7)))/Inputs!$K$7)^2))^2))-((Inputs!$H$7+Inputs!$L$7*(((Inputs!$I$7+(((A132)+1)/2)*(Inputs!$J$7-Inputs!$I$7)))/Inputs!$K$7)^2)))*1000/Inputs!$C$12),NA())</x:f>
        <x:v>10377.980052459096</x:v>
      </x:c>
      <x:c r="J132" s="48" t="n">
        <x:f>IF(OR(Inputs!$F$8=TRUE,Inputs!$F$8="TRUE",Inputs!$F$8=1),(((SQRT(((Inputs!$I$8+(((A132)+1)/2)*(Inputs!$J$8-Inputs!$I$8)))^2+Inputs!$C$6^2+((Inputs!$H$8+Inputs!$L$8*(((Inputs!$I$8+(((A132)+1)/2)*(Inputs!$J$8-Inputs!$I$8)))/Inputs!$K$8)^2))^2))-((Inputs!$H$8+Inputs!$L$8*(((Inputs!$I$8+(((A132)+1)/2)*(Inputs!$J$8-Inputs!$I$8)))/Inputs!$K$8)^2)))*1000/Inputs!$C$12),NA())</x:f>
        <x:v>22821.936765500046</x:v>
      </x:c>
      <x:c r="K132" s="48" t="n">
        <x:f>IF(OR(Inputs!$F$9=TRUE,Inputs!$F$9="TRUE",Inputs!$F$9=1),(((SQRT(((Inputs!$I$9+(((A132)+1)/2)*(Inputs!$J$9-Inputs!$I$9)))^2+Inputs!$C$6^2+((Inputs!$H$9+Inputs!$L$9*(((Inputs!$I$9+(((A132)+1)/2)*(Inputs!$J$9-Inputs!$I$9)))/Inputs!$K$9)^2))^2))-((Inputs!$H$9+Inputs!$L$9*(((Inputs!$I$9+(((A132)+1)/2)*(Inputs!$J$9-Inputs!$I$9)))/Inputs!$K$9)^2)))*1000/Inputs!$C$12),NA())</x:f>
        <x:v>25842.756989515266</x:v>
      </x:c>
      <x:c r="L132" s="49"/>
      <x:c r="M132" s="48" t="n">
        <x:f>A132</x:f>
        <x:v>0.083</x:v>
      </x:c>
      <x:c r="N132" s="48" t="n">
        <x:f>IF(OR(Inputs!$F$6=TRUE,Inputs!$F$6="TRUE",Inputs!$F$6=1),(-2*((1000*((((Inputs!$I$6+(((A132)+1)/2)*(Inputs!$J$6-Inputs!$I$6)))*Inputs!$C$11+((Inputs!$H$6+Inputs!$L$6*(((Inputs!$I$6+(((A132)+1)/2)*(Inputs!$J$6-Inputs!$I$6)))/Inputs!$K$6)^2))*((2*Inputs!$L$6*((Inputs!$I$6+(((A132)+1)/2)*(Inputs!$J$6-Inputs!$I$6)))/(Inputs!$K$6^2)*Inputs!$C$11)))/(SQRT(((Inputs!$I$6+(((A132)+1)/2)*(Inputs!$J$6-Inputs!$I$6)))^2+Inputs!$C$6^2+((Inputs!$H$6+Inputs!$L$6*(((Inputs!$I$6+(((A132)+1)/2)*(Inputs!$J$6-Inputs!$I$6)))/Inputs!$K$6)^2))^2)))))/Inputs!$C$13),NA())</x:f>
        <x:v>-37.54913395750476</x:v>
      </x:c>
      <x:c r="O132" s="48" t="n">
        <x:f>IF(OR(Inputs!$F$7=TRUE,Inputs!$F$7="TRUE",Inputs!$F$7=1),(-2*((1000*((((Inputs!$I$7+(((A132)+1)/2)*(Inputs!$J$7-Inputs!$I$7)))*Inputs!$C$11+((Inputs!$H$7+Inputs!$L$7*(((Inputs!$I$7+(((A132)+1)/2)*(Inputs!$J$7-Inputs!$I$7)))/Inputs!$K$7)^2))*((2*Inputs!$L$7*((Inputs!$I$7+(((A132)+1)/2)*(Inputs!$J$7-Inputs!$I$7)))/(Inputs!$K$7^2)*Inputs!$C$11)))/(SQRT(((Inputs!$I$7+(((A132)+1)/2)*(Inputs!$J$7-Inputs!$I$7)))^2+Inputs!$C$6^2+((Inputs!$H$7+Inputs!$L$7*(((Inputs!$I$7+(((A132)+1)/2)*(Inputs!$J$7-Inputs!$I$7)))/Inputs!$K$7)^2))^2)))))/Inputs!$C$13),NA())</x:f>
        <x:v>-1111.18096888686</x:v>
      </x:c>
      <x:c r="P132" s="48" t="n">
        <x:f>IF(OR(Inputs!$F$8=TRUE,Inputs!$F$8="TRUE",Inputs!$F$8=1),(-2*((1000*((((Inputs!$I$8+(((A132)+1)/2)*(Inputs!$J$8-Inputs!$I$8)))*Inputs!$C$11+((Inputs!$H$8+Inputs!$L$8*(((Inputs!$I$8+(((A132)+1)/2)*(Inputs!$J$8-Inputs!$I$8)))/Inputs!$K$8)^2))*((2*Inputs!$L$8*((Inputs!$I$8+(((A132)+1)/2)*(Inputs!$J$8-Inputs!$I$8)))/(Inputs!$K$8^2)*Inputs!$C$11)))/(SQRT(((Inputs!$I$8+(((A132)+1)/2)*(Inputs!$J$8-Inputs!$I$8)))^2+Inputs!$C$6^2+((Inputs!$H$8+Inputs!$L$8*(((Inputs!$I$8+(((A132)+1)/2)*(Inputs!$J$8-Inputs!$I$8)))/Inputs!$K$8)^2))^2)))))/Inputs!$C$13),NA())</x:f>
        <x:v>-1453.528553110139</x:v>
      </x:c>
      <x:c r="Q132" s="48" t="n">
        <x:f>IF(OR(Inputs!$F$9=TRUE,Inputs!$F$9="TRUE",Inputs!$F$9=1),(-2*((1000*((((Inputs!$I$9+(((A132)+1)/2)*(Inputs!$J$9-Inputs!$I$9)))*Inputs!$C$11+((Inputs!$H$9+Inputs!$L$9*(((Inputs!$I$9+(((A132)+1)/2)*(Inputs!$J$9-Inputs!$I$9)))/Inputs!$K$9)^2))*((2*Inputs!$L$9*((Inputs!$I$9+(((A132)+1)/2)*(Inputs!$J$9-Inputs!$I$9)))/(Inputs!$K$9^2)*Inputs!$C$11)))/(SQRT(((Inputs!$I$9+(((A132)+1)/2)*(Inputs!$J$9-Inputs!$I$9)))^2+Inputs!$C$6^2+((Inputs!$H$9+Inputs!$L$9*(((Inputs!$I$9+(((A132)+1)/2)*(Inputs!$J$9-Inputs!$I$9)))/Inputs!$K$9)^2))^2)))))/Inputs!$C$13),NA())</x:f>
        <x:v>-1499.1172626545128</x:v>
      </x:c>
      <x:c r="R132" s="49"/>
      <x:c r="S132" s="48" t="n">
        <x:f>A132</x:f>
        <x:v>0.083</x:v>
      </x:c>
      <x:c r="T132" s="48" t="n">
        <x:f>(Inputs!$I$6+(((A132)+1)/2)*(Inputs!$J$6-Inputs!$I$6))</x:f>
        <x:v>4.980000000000004</x:v>
      </x:c>
      <x:c r="U132" s="48" t="n">
        <x:f>(Inputs!$I$7+(((A132)+1)/2)*(Inputs!$J$7-Inputs!$I$7))</x:f>
        <x:v>33.19999999999999</x:v>
      </x:c>
      <x:c r="V132" s="48" t="n">
        <x:f>(Inputs!$I$8+(((A132)+1)/2)*(Inputs!$J$8-Inputs!$I$8))</x:f>
        <x:v>66.39999999999998</x:v>
      </x:c>
      <x:c r="W132" s="48" t="n">
        <x:f>(Inputs!$I$9+(((A132)+1)/2)*(Inputs!$J$9-Inputs!$I$9))</x:f>
        <x:v>66.39999999999998</x:v>
      </x:c>
      <x:c r="X132" s="49"/>
      <x:c r="Y132" s="48" t="n">
        <x:f>A132</x:f>
        <x:v>0.083</x:v>
      </x:c>
      <x:c r="Z132" s="48" t="n">
        <x:f>(Inputs!$H$6+Inputs!$L$6*(((Inputs!$I$6+(((A132)+1)/2)*(Inputs!$J$6-Inputs!$I$6)))/Inputs!$K$6)^2)</x:f>
        <x:v>400.027556</x:v>
      </x:c>
      <x:c r="AA132" s="48" t="n">
        <x:f>(Inputs!$H$7+Inputs!$L$7*(((Inputs!$I$7+(((A132)+1)/2)*(Inputs!$J$7-Inputs!$I$7)))/Inputs!$K$7)^2)</x:f>
        <x:v>37.514485</x:v>
      </x:c>
      <x:c r="AB132" s="48" t="n">
        <x:f>(Inputs!$H$8+Inputs!$L$8*(((Inputs!$I$8+(((A132)+1)/2)*(Inputs!$J$8-Inputs!$I$8)))/Inputs!$K$8)^2)</x:f>
        <x:v>41.647884999999995</x:v>
      </x:c>
      <x:c r="AC132" s="48" t="n">
        <x:f>(Inputs!$H$9+Inputs!$L$9*(((Inputs!$I$9+(((A132)+1)/2)*(Inputs!$J$9-Inputs!$I$9)))/Inputs!$K$9)^2)</x:f>
        <x:v>31.716774999999995</x:v>
      </x:c>
      <x:c r="AD132" s="49"/>
      <x:c r="AE132" s="48" t="n">
        <x:f>A132</x:f>
        <x:v>0.083</x:v>
      </x:c>
      <x:c r="AF132" s="48" t="n">
        <x:f>(((SQRT(((Inputs!$I$6+(((A132)+1)/2)*(Inputs!$J$6-Inputs!$I$6)))^2+Inputs!$C$6^2+((Inputs!$H$6+Inputs!$L$6*(((Inputs!$I$6+(((A132)+1)/2)*(Inputs!$J$6-Inputs!$I$6)))/Inputs!$K$6)^2))^2))-((Inputs!$H$6+Inputs!$L$6*(((Inputs!$I$6+(((A132)+1)/2)*(Inputs!$J$6-Inputs!$I$6)))/Inputs!$K$6)^2)))*1000/Inputs!$C$12)</x:f>
        <x:v>455.8267975056651</x:v>
      </x:c>
      <x:c r="AG132" s="48" t="n">
        <x:f>(((SQRT(((Inputs!$I$7+(((A132)+1)/2)*(Inputs!$J$7-Inputs!$I$7)))^2+Inputs!$C$6^2+((Inputs!$H$7+Inputs!$L$7*(((Inputs!$I$7+(((A132)+1)/2)*(Inputs!$J$7-Inputs!$I$7)))/Inputs!$K$7)^2))^2))-((Inputs!$H$7+Inputs!$L$7*(((Inputs!$I$7+(((A132)+1)/2)*(Inputs!$J$7-Inputs!$I$7)))/Inputs!$K$7)^2)))*1000/Inputs!$C$12)</x:f>
        <x:v>10377.980052459096</x:v>
      </x:c>
      <x:c r="AH132" s="48" t="n">
        <x:f>(((SQRT(((Inputs!$I$8+(((A132)+1)/2)*(Inputs!$J$8-Inputs!$I$8)))^2+Inputs!$C$6^2+((Inputs!$H$8+Inputs!$L$8*(((Inputs!$I$8+(((A132)+1)/2)*(Inputs!$J$8-Inputs!$I$8)))/Inputs!$K$8)^2))^2))-((Inputs!$H$8+Inputs!$L$8*(((Inputs!$I$8+(((A132)+1)/2)*(Inputs!$J$8-Inputs!$I$8)))/Inputs!$K$8)^2)))*1000/Inputs!$C$12)</x:f>
        <x:v>22821.936765500046</x:v>
      </x:c>
      <x:c r="AI132" s="48" t="n">
        <x:f>(((SQRT(((Inputs!$I$9+(((A132)+1)/2)*(Inputs!$J$9-Inputs!$I$9)))^2+Inputs!$C$6^2+((Inputs!$H$9+Inputs!$L$9*(((Inputs!$I$9+(((A132)+1)/2)*(Inputs!$J$9-Inputs!$I$9)))/Inputs!$K$9)^2))^2))-((Inputs!$H$9+Inputs!$L$9*(((Inputs!$I$9+(((A132)+1)/2)*(Inputs!$J$9-Inputs!$I$9)))/Inputs!$K$9)^2)))*1000/Inputs!$C$12)</x:f>
        <x:v>25842.756989515266</x:v>
      </x:c>
      <x:c r="AJ132" s="49"/>
      <x:c r="AK132" s="48" t="n">
        <x:f>A132</x:f>
        <x:v>0.083</x:v>
      </x:c>
      <x:c r="AL132" s="48" t="n">
        <x:f>(-2*((1000*((((Inputs!$I$6+(((A132)+1)/2)*(Inputs!$J$6-Inputs!$I$6)))*Inputs!$C$11+((Inputs!$H$6+Inputs!$L$6*(((Inputs!$I$6+(((A132)+1)/2)*(Inputs!$J$6-Inputs!$I$6)))/Inputs!$K$6)^2))*((2*Inputs!$L$6*((Inputs!$I$6+(((A132)+1)/2)*(Inputs!$J$6-Inputs!$I$6)))/(Inputs!$K$6^2)*Inputs!$C$11)))/(SQRT(((Inputs!$I$6+(((A132)+1)/2)*(Inputs!$J$6-Inputs!$I$6)))^2+Inputs!$C$6^2+((Inputs!$H$6+Inputs!$L$6*(((Inputs!$I$6+(((A132)+1)/2)*(Inputs!$J$6-Inputs!$I$6)))/Inputs!$K$6)^2))^2)))))/Inputs!$C$13)</x:f>
        <x:v>-37.54913395750476</x:v>
      </x:c>
      <x:c r="AM132" s="48" t="n">
        <x:f>(-2*((1000*((((Inputs!$I$7+(((A132)+1)/2)*(Inputs!$J$7-Inputs!$I$7)))*Inputs!$C$11+((Inputs!$H$7+Inputs!$L$7*(((Inputs!$I$7+(((A132)+1)/2)*(Inputs!$J$7-Inputs!$I$7)))/Inputs!$K$7)^2))*((2*Inputs!$L$7*((Inputs!$I$7+(((A132)+1)/2)*(Inputs!$J$7-Inputs!$I$7)))/(Inputs!$K$7^2)*Inputs!$C$11)))/(SQRT(((Inputs!$I$7+(((A132)+1)/2)*(Inputs!$J$7-Inputs!$I$7)))^2+Inputs!$C$6^2+((Inputs!$H$7+Inputs!$L$7*(((Inputs!$I$7+(((A132)+1)/2)*(Inputs!$J$7-Inputs!$I$7)))/Inputs!$K$7)^2))^2)))))/Inputs!$C$13)</x:f>
        <x:v>-1111.18096888686</x:v>
      </x:c>
      <x:c r="AN132" s="48" t="n">
        <x:f>(-2*((1000*((((Inputs!$I$8+(((A132)+1)/2)*(Inputs!$J$8-Inputs!$I$8)))*Inputs!$C$11+((Inputs!$H$8+Inputs!$L$8*(((Inputs!$I$8+(((A132)+1)/2)*(Inputs!$J$8-Inputs!$I$8)))/Inputs!$K$8)^2))*((2*Inputs!$L$8*((Inputs!$I$8+(((A132)+1)/2)*(Inputs!$J$8-Inputs!$I$8)))/(Inputs!$K$8^2)*Inputs!$C$11)))/(SQRT(((Inputs!$I$8+(((A132)+1)/2)*(Inputs!$J$8-Inputs!$I$8)))^2+Inputs!$C$6^2+((Inputs!$H$8+Inputs!$L$8*(((Inputs!$I$8+(((A132)+1)/2)*(Inputs!$J$8-Inputs!$I$8)))/Inputs!$K$8)^2))^2)))))/Inputs!$C$13)</x:f>
        <x:v>-1453.528553110139</x:v>
      </x:c>
      <x:c r="AO132" s="48" t="n">
        <x:f>(-2*((1000*((((Inputs!$I$9+(((A132)+1)/2)*(Inputs!$J$9-Inputs!$I$9)))*Inputs!$C$11+((Inputs!$H$9+Inputs!$L$9*(((Inputs!$I$9+(((A132)+1)/2)*(Inputs!$J$9-Inputs!$I$9)))/Inputs!$K$9)^2))*((2*Inputs!$L$9*((Inputs!$I$9+(((A132)+1)/2)*(Inputs!$J$9-Inputs!$I$9)))/(Inputs!$K$9^2)*Inputs!$C$11)))/(SQRT(((Inputs!$I$9+(((A132)+1)/2)*(Inputs!$J$9-Inputs!$I$9)))^2+Inputs!$C$6^2+((Inputs!$H$9+Inputs!$L$9*(((Inputs!$I$9+(((A132)+1)/2)*(Inputs!$J$9-Inputs!$I$9)))/Inputs!$K$9)^2))^2)))))/Inputs!$C$13)</x:f>
        <x:v>-1499.1172626545128</x:v>
      </x:c>
    </x:row>
    <x:row r="133">
      <x:c r="A133" s="48" t="n">
        <x:f>ROUND(-1+131*2/240,3)</x:f>
        <x:v>0.092</x:v>
      </x:c>
      <x:c r="B133" s="48" t="n">
        <x:f>IF(OR(Inputs!$F$6=TRUE,Inputs!$F$6="TRUE",Inputs!$F$6=1),(Inputs!$H$6+Inputs!$L$6*(((Inputs!$I$6+(((A133)+1)/2)*(Inputs!$J$6-Inputs!$I$6)))/Inputs!$K$6)^2),NA())</x:f>
        <x:v>400.033856</x:v>
      </x:c>
      <x:c r="C133" s="48" t="n">
        <x:f>IF(OR(Inputs!$F$7=TRUE,Inputs!$F$7="TRUE",Inputs!$F$7=1),(Inputs!$H$7+Inputs!$L$7*(((Inputs!$I$7+(((A133)+1)/2)*(Inputs!$J$7-Inputs!$I$7)))/Inputs!$K$7)^2),NA())</x:f>
        <x:v>38.08936</x:v>
      </x:c>
      <x:c r="D133" s="48" t="n">
        <x:f>IF(OR(Inputs!$F$8=TRUE,Inputs!$F$8="TRUE",Inputs!$F$8=1),(Inputs!$H$8+Inputs!$L$8*(((Inputs!$I$8+(((A133)+1)/2)*(Inputs!$J$8-Inputs!$I$8)))/Inputs!$K$8)^2),NA())</x:f>
        <x:v>43.16776</x:v>
      </x:c>
      <x:c r="E133" s="48" t="n">
        <x:f>IF(OR(Inputs!$F$9=TRUE,Inputs!$F$9="TRUE",Inputs!$F$9=1),(Inputs!$H$9+Inputs!$L$9*(((Inputs!$I$9+(((A133)+1)/2)*(Inputs!$J$9-Inputs!$I$9)))/Inputs!$K$9)^2),NA())</x:f>
        <x:v>33.25240000000001</x:v>
      </x:c>
      <x:c r="F133" s="49"/>
      <x:c r="G133" s="48" t="n">
        <x:f>A133</x:f>
        <x:v>0.092</x:v>
      </x:c>
      <x:c r="H133" s="48" t="n">
        <x:f>IF(OR(Inputs!$F$6=TRUE,Inputs!$F$6="TRUE",Inputs!$F$6=1),(((SQRT(((Inputs!$I$6+(((A133)+1)/2)*(Inputs!$J$6-Inputs!$I$6)))^2+Inputs!$C$6^2+((Inputs!$H$6+Inputs!$L$6*(((Inputs!$I$6+(((A133)+1)/2)*(Inputs!$J$6-Inputs!$I$6)))/Inputs!$K$6)^2))^2))-((Inputs!$H$6+Inputs!$L$6*(((Inputs!$I$6+(((A133)+1)/2)*(Inputs!$J$6-Inputs!$I$6)))/Inputs!$K$6)^2)))*1000/Inputs!$C$12),NA())</x:f>
        <x:v>459.7929440643228</x:v>
      </x:c>
      <x:c r="I133" s="48" t="n">
        <x:f>IF(OR(Inputs!$F$7=TRUE,Inputs!$F$7="TRUE",Inputs!$F$7=1),(((SQRT(((Inputs!$I$7+(((A133)+1)/2)*(Inputs!$J$7-Inputs!$I$7)))^2+Inputs!$C$6^2+((Inputs!$H$7+Inputs!$L$7*(((Inputs!$I$7+(((A133)+1)/2)*(Inputs!$J$7-Inputs!$I$7)))/Inputs!$K$7)^2))^2))-((Inputs!$H$7+Inputs!$L$7*(((Inputs!$I$7+(((A133)+1)/2)*(Inputs!$J$7-Inputs!$I$7)))/Inputs!$K$7)^2)))*1000/Inputs!$C$12),NA())</x:f>
        <x:v>11504.032449515398</x:v>
      </x:c>
      <x:c r="J133" s="48" t="n">
        <x:f>IF(OR(Inputs!$F$8=TRUE,Inputs!$F$8="TRUE",Inputs!$F$8=1),(((SQRT(((Inputs!$I$8+(((A133)+1)/2)*(Inputs!$J$8-Inputs!$I$8)))^2+Inputs!$C$6^2+((Inputs!$H$8+Inputs!$L$8*(((Inputs!$I$8+(((A133)+1)/2)*(Inputs!$J$8-Inputs!$I$8)))/Inputs!$K$8)^2))^2))-((Inputs!$H$8+Inputs!$L$8*(((Inputs!$I$8+(((A133)+1)/2)*(Inputs!$J$8-Inputs!$I$8)))/Inputs!$K$8)^2)))*1000/Inputs!$C$12),NA())</x:f>
        <x:v>25699.237944318753</x:v>
      </x:c>
      <x:c r="K133" s="48" t="n">
        <x:f>IF(OR(Inputs!$F$9=TRUE,Inputs!$F$9="TRUE",Inputs!$F$9=1),(((SQRT(((Inputs!$I$9+(((A133)+1)/2)*(Inputs!$J$9-Inputs!$I$9)))^2+Inputs!$C$6^2+((Inputs!$H$9+Inputs!$L$9*(((Inputs!$I$9+(((A133)+1)/2)*(Inputs!$J$9-Inputs!$I$9)))/Inputs!$K$9)^2))^2))-((Inputs!$H$9+Inputs!$L$9*(((Inputs!$I$9+(((A133)+1)/2)*(Inputs!$J$9-Inputs!$I$9)))/Inputs!$K$9)^2)))*1000/Inputs!$C$12),NA())</x:f>
        <x:v>28815.486246902132</x:v>
      </x:c>
      <x:c r="L133" s="49"/>
      <x:c r="M133" s="48" t="n">
        <x:f>A133</x:f>
        <x:v>0.092</x:v>
      </x:c>
      <x:c r="N133" s="48" t="n">
        <x:f>IF(OR(Inputs!$F$6=TRUE,Inputs!$F$6="TRUE",Inputs!$F$6=1),(-2*((1000*((((Inputs!$I$6+(((A133)+1)/2)*(Inputs!$J$6-Inputs!$I$6)))*Inputs!$C$11+((Inputs!$H$6+Inputs!$L$6*(((Inputs!$I$6+(((A133)+1)/2)*(Inputs!$J$6-Inputs!$I$6)))/Inputs!$K$6)^2))*((2*Inputs!$L$6*((Inputs!$I$6+(((A133)+1)/2)*(Inputs!$J$6-Inputs!$I$6)))/(Inputs!$K$6^2)*Inputs!$C$11)))/(SQRT(((Inputs!$I$6+(((A133)+1)/2)*(Inputs!$J$6-Inputs!$I$6)))^2+Inputs!$C$6^2+((Inputs!$H$6+Inputs!$L$6*(((Inputs!$I$6+(((A133)+1)/2)*(Inputs!$J$6-Inputs!$I$6)))/Inputs!$K$6)^2))^2)))))/Inputs!$C$13),NA())</x:f>
        <x:v>-41.61964810933618</x:v>
      </x:c>
      <x:c r="O133" s="48" t="n">
        <x:f>IF(OR(Inputs!$F$7=TRUE,Inputs!$F$7="TRUE",Inputs!$F$7=1),(-2*((1000*((((Inputs!$I$7+(((A133)+1)/2)*(Inputs!$J$7-Inputs!$I$7)))*Inputs!$C$11+((Inputs!$H$7+Inputs!$L$7*(((Inputs!$I$7+(((A133)+1)/2)*(Inputs!$J$7-Inputs!$I$7)))/Inputs!$K$7)^2))*((2*Inputs!$L$7*((Inputs!$I$7+(((A133)+1)/2)*(Inputs!$J$7-Inputs!$I$7)))/(Inputs!$K$7^2)*Inputs!$C$11)))/(SQRT(((Inputs!$I$7+(((A133)+1)/2)*(Inputs!$J$7-Inputs!$I$7)))^2+Inputs!$C$6^2+((Inputs!$H$7+Inputs!$L$7*(((Inputs!$I$7+(((A133)+1)/2)*(Inputs!$J$7-Inputs!$I$7)))/Inputs!$K$7)^2))^2)))))/Inputs!$C$13),NA())</x:f>
        <x:v>-1180.065073224125</x:v>
      </x:c>
      <x:c r="P133" s="48" t="n">
        <x:f>IF(OR(Inputs!$F$8=TRUE,Inputs!$F$8="TRUE",Inputs!$F$8=1),(-2*((1000*((((Inputs!$I$8+(((A133)+1)/2)*(Inputs!$J$8-Inputs!$I$8)))*Inputs!$C$11+((Inputs!$H$8+Inputs!$L$8*(((Inputs!$I$8+(((A133)+1)/2)*(Inputs!$J$8-Inputs!$I$8)))/Inputs!$K$8)^2))*((2*Inputs!$L$8*((Inputs!$I$8+(((A133)+1)/2)*(Inputs!$J$8-Inputs!$I$8)))/(Inputs!$K$8^2)*Inputs!$C$11)))/(SQRT(((Inputs!$I$8+(((A133)+1)/2)*(Inputs!$J$8-Inputs!$I$8)))^2+Inputs!$C$6^2+((Inputs!$H$8+Inputs!$L$8*(((Inputs!$I$8+(((A133)+1)/2)*(Inputs!$J$8-Inputs!$I$8)))/Inputs!$K$8)^2))^2)))))/Inputs!$C$13),NA())</x:f>
        <x:v>-1496.863537942681</x:v>
      </x:c>
      <x:c r="Q133" s="48" t="n">
        <x:f>IF(OR(Inputs!$F$9=TRUE,Inputs!$F$9="TRUE",Inputs!$F$9=1),(-2*((1000*((((Inputs!$I$9+(((A133)+1)/2)*(Inputs!$J$9-Inputs!$I$9)))*Inputs!$C$11+((Inputs!$H$9+Inputs!$L$9*(((Inputs!$I$9+(((A133)+1)/2)*(Inputs!$J$9-Inputs!$I$9)))/Inputs!$K$9)^2))*((2*Inputs!$L$9*((Inputs!$I$9+(((A133)+1)/2)*(Inputs!$J$9-Inputs!$I$9)))/(Inputs!$K$9^2)*Inputs!$C$11)))/(SQRT(((Inputs!$I$9+(((A133)+1)/2)*(Inputs!$J$9-Inputs!$I$9)))^2+Inputs!$C$6^2+((Inputs!$H$9+Inputs!$L$9*(((Inputs!$I$9+(((A133)+1)/2)*(Inputs!$J$9-Inputs!$I$9)))/Inputs!$K$9)^2))^2)))))/Inputs!$C$13),NA())</x:f>
        <x:v>-1534.006127144683</x:v>
      </x:c>
      <x:c r="R133" s="49"/>
      <x:c r="S133" s="48" t="n">
        <x:f>A133</x:f>
        <x:v>0.092</x:v>
      </x:c>
      <x:c r="T133" s="48" t="n">
        <x:f>(Inputs!$I$6+(((A133)+1)/2)*(Inputs!$J$6-Inputs!$I$6))</x:f>
        <x:v>5.52000000000001</x:v>
      </x:c>
      <x:c r="U133" s="48" t="n">
        <x:f>(Inputs!$I$7+(((A133)+1)/2)*(Inputs!$J$7-Inputs!$I$7))</x:f>
        <x:v>36.80000000000001</x:v>
      </x:c>
      <x:c r="V133" s="48" t="n">
        <x:f>(Inputs!$I$8+(((A133)+1)/2)*(Inputs!$J$8-Inputs!$I$8))</x:f>
        <x:v>73.60000000000002</x:v>
      </x:c>
      <x:c r="W133" s="48" t="n">
        <x:f>(Inputs!$I$9+(((A133)+1)/2)*(Inputs!$J$9-Inputs!$I$9))</x:f>
        <x:v>73.60000000000002</x:v>
      </x:c>
      <x:c r="X133" s="49"/>
      <x:c r="Y133" s="48" t="n">
        <x:f>A133</x:f>
        <x:v>0.092</x:v>
      </x:c>
      <x:c r="Z133" s="48" t="n">
        <x:f>(Inputs!$H$6+Inputs!$L$6*(((Inputs!$I$6+(((A133)+1)/2)*(Inputs!$J$6-Inputs!$I$6)))/Inputs!$K$6)^2)</x:f>
        <x:v>400.033856</x:v>
      </x:c>
      <x:c r="AA133" s="48" t="n">
        <x:f>(Inputs!$H$7+Inputs!$L$7*(((Inputs!$I$7+(((A133)+1)/2)*(Inputs!$J$7-Inputs!$I$7)))/Inputs!$K$7)^2)</x:f>
        <x:v>38.08936</x:v>
      </x:c>
      <x:c r="AB133" s="48" t="n">
        <x:f>(Inputs!$H$8+Inputs!$L$8*(((Inputs!$I$8+(((A133)+1)/2)*(Inputs!$J$8-Inputs!$I$8)))/Inputs!$K$8)^2)</x:f>
        <x:v>43.16776</x:v>
      </x:c>
      <x:c r="AC133" s="48" t="n">
        <x:f>(Inputs!$H$9+Inputs!$L$9*(((Inputs!$I$9+(((A133)+1)/2)*(Inputs!$J$9-Inputs!$I$9)))/Inputs!$K$9)^2)</x:f>
        <x:v>33.25240000000001</x:v>
      </x:c>
      <x:c r="AD133" s="49"/>
      <x:c r="AE133" s="48" t="n">
        <x:f>A133</x:f>
        <x:v>0.092</x:v>
      </x:c>
      <x:c r="AF133" s="48" t="n">
        <x:f>(((SQRT(((Inputs!$I$6+(((A133)+1)/2)*(Inputs!$J$6-Inputs!$I$6)))^2+Inputs!$C$6^2+((Inputs!$H$6+Inputs!$L$6*(((Inputs!$I$6+(((A133)+1)/2)*(Inputs!$J$6-Inputs!$I$6)))/Inputs!$K$6)^2))^2))-((Inputs!$H$6+Inputs!$L$6*(((Inputs!$I$6+(((A133)+1)/2)*(Inputs!$J$6-Inputs!$I$6)))/Inputs!$K$6)^2)))*1000/Inputs!$C$12)</x:f>
        <x:v>459.7929440643228</x:v>
      </x:c>
      <x:c r="AG133" s="48" t="n">
        <x:f>(((SQRT(((Inputs!$I$7+(((A133)+1)/2)*(Inputs!$J$7-Inputs!$I$7)))^2+Inputs!$C$6^2+((Inputs!$H$7+Inputs!$L$7*(((Inputs!$I$7+(((A133)+1)/2)*(Inputs!$J$7-Inputs!$I$7)))/Inputs!$K$7)^2))^2))-((Inputs!$H$7+Inputs!$L$7*(((Inputs!$I$7+(((A133)+1)/2)*(Inputs!$J$7-Inputs!$I$7)))/Inputs!$K$7)^2)))*1000/Inputs!$C$12)</x:f>
        <x:v>11504.032449515398</x:v>
      </x:c>
      <x:c r="AH133" s="48" t="n">
        <x:f>(((SQRT(((Inputs!$I$8+(((A133)+1)/2)*(Inputs!$J$8-Inputs!$I$8)))^2+Inputs!$C$6^2+((Inputs!$H$8+Inputs!$L$8*(((Inputs!$I$8+(((A133)+1)/2)*(Inputs!$J$8-Inputs!$I$8)))/Inputs!$K$8)^2))^2))-((Inputs!$H$8+Inputs!$L$8*(((Inputs!$I$8+(((A133)+1)/2)*(Inputs!$J$8-Inputs!$I$8)))/Inputs!$K$8)^2)))*1000/Inputs!$C$12)</x:f>
        <x:v>25699.237944318753</x:v>
      </x:c>
      <x:c r="AI133" s="48" t="n">
        <x:f>(((SQRT(((Inputs!$I$9+(((A133)+1)/2)*(Inputs!$J$9-Inputs!$I$9)))^2+Inputs!$C$6^2+((Inputs!$H$9+Inputs!$L$9*(((Inputs!$I$9+(((A133)+1)/2)*(Inputs!$J$9-Inputs!$I$9)))/Inputs!$K$9)^2))^2))-((Inputs!$H$9+Inputs!$L$9*(((Inputs!$I$9+(((A133)+1)/2)*(Inputs!$J$9-Inputs!$I$9)))/Inputs!$K$9)^2)))*1000/Inputs!$C$12)</x:f>
        <x:v>28815.486246902132</x:v>
      </x:c>
      <x:c r="AJ133" s="49"/>
      <x:c r="AK133" s="48" t="n">
        <x:f>A133</x:f>
        <x:v>0.092</x:v>
      </x:c>
      <x:c r="AL133" s="48" t="n">
        <x:f>(-2*((1000*((((Inputs!$I$6+(((A133)+1)/2)*(Inputs!$J$6-Inputs!$I$6)))*Inputs!$C$11+((Inputs!$H$6+Inputs!$L$6*(((Inputs!$I$6+(((A133)+1)/2)*(Inputs!$J$6-Inputs!$I$6)))/Inputs!$K$6)^2))*((2*Inputs!$L$6*((Inputs!$I$6+(((A133)+1)/2)*(Inputs!$J$6-Inputs!$I$6)))/(Inputs!$K$6^2)*Inputs!$C$11)))/(SQRT(((Inputs!$I$6+(((A133)+1)/2)*(Inputs!$J$6-Inputs!$I$6)))^2+Inputs!$C$6^2+((Inputs!$H$6+Inputs!$L$6*(((Inputs!$I$6+(((A133)+1)/2)*(Inputs!$J$6-Inputs!$I$6)))/Inputs!$K$6)^2))^2)))))/Inputs!$C$13)</x:f>
        <x:v>-41.61964810933618</x:v>
      </x:c>
      <x:c r="AM133" s="48" t="n">
        <x:f>(-2*((1000*((((Inputs!$I$7+(((A133)+1)/2)*(Inputs!$J$7-Inputs!$I$7)))*Inputs!$C$11+((Inputs!$H$7+Inputs!$L$7*(((Inputs!$I$7+(((A133)+1)/2)*(Inputs!$J$7-Inputs!$I$7)))/Inputs!$K$7)^2))*((2*Inputs!$L$7*((Inputs!$I$7+(((A133)+1)/2)*(Inputs!$J$7-Inputs!$I$7)))/(Inputs!$K$7^2)*Inputs!$C$11)))/(SQRT(((Inputs!$I$7+(((A133)+1)/2)*(Inputs!$J$7-Inputs!$I$7)))^2+Inputs!$C$6^2+((Inputs!$H$7+Inputs!$L$7*(((Inputs!$I$7+(((A133)+1)/2)*(Inputs!$J$7-Inputs!$I$7)))/Inputs!$K$7)^2))^2)))))/Inputs!$C$13)</x:f>
        <x:v>-1180.065073224125</x:v>
      </x:c>
      <x:c r="AN133" s="48" t="n">
        <x:f>(-2*((1000*((((Inputs!$I$8+(((A133)+1)/2)*(Inputs!$J$8-Inputs!$I$8)))*Inputs!$C$11+((Inputs!$H$8+Inputs!$L$8*(((Inputs!$I$8+(((A133)+1)/2)*(Inputs!$J$8-Inputs!$I$8)))/Inputs!$K$8)^2))*((2*Inputs!$L$8*((Inputs!$I$8+(((A133)+1)/2)*(Inputs!$J$8-Inputs!$I$8)))/(Inputs!$K$8^2)*Inputs!$C$11)))/(SQRT(((Inputs!$I$8+(((A133)+1)/2)*(Inputs!$J$8-Inputs!$I$8)))^2+Inputs!$C$6^2+((Inputs!$H$8+Inputs!$L$8*(((Inputs!$I$8+(((A133)+1)/2)*(Inputs!$J$8-Inputs!$I$8)))/Inputs!$K$8)^2))^2)))))/Inputs!$C$13)</x:f>
        <x:v>-1496.863537942681</x:v>
      </x:c>
      <x:c r="AO133" s="48" t="n">
        <x:f>(-2*((1000*((((Inputs!$I$9+(((A133)+1)/2)*(Inputs!$J$9-Inputs!$I$9)))*Inputs!$C$11+((Inputs!$H$9+Inputs!$L$9*(((Inputs!$I$9+(((A133)+1)/2)*(Inputs!$J$9-Inputs!$I$9)))/Inputs!$K$9)^2))*((2*Inputs!$L$9*((Inputs!$I$9+(((A133)+1)/2)*(Inputs!$J$9-Inputs!$I$9)))/(Inputs!$K$9^2)*Inputs!$C$11)))/(SQRT(((Inputs!$I$9+(((A133)+1)/2)*(Inputs!$J$9-Inputs!$I$9)))^2+Inputs!$C$6^2+((Inputs!$H$9+Inputs!$L$9*(((Inputs!$I$9+(((A133)+1)/2)*(Inputs!$J$9-Inputs!$I$9)))/Inputs!$K$9)^2))^2)))))/Inputs!$C$13)</x:f>
        <x:v>-1534.006127144683</x:v>
      </x:c>
    </x:row>
    <x:row r="134">
      <x:c r="A134" s="48" t="n">
        <x:f>ROUND(-1+132*2/240,3)</x:f>
        <x:v>0.1</x:v>
      </x:c>
      <x:c r="B134" s="48" t="n">
        <x:f>IF(OR(Inputs!$F$6=TRUE,Inputs!$F$6="TRUE",Inputs!$F$6=1),(Inputs!$H$6+Inputs!$L$6*(((Inputs!$I$6+(((A134)+1)/2)*(Inputs!$J$6-Inputs!$I$6)))/Inputs!$K$6)^2),NA())</x:f>
        <x:v>400.04</x:v>
      </x:c>
      <x:c r="C134" s="48" t="n">
        <x:f>IF(OR(Inputs!$F$7=TRUE,Inputs!$F$7="TRUE",Inputs!$F$7=1),(Inputs!$H$7+Inputs!$L$7*(((Inputs!$I$7+(((A134)+1)/2)*(Inputs!$J$7-Inputs!$I$7)))/Inputs!$K$7)^2),NA())</x:f>
        <x:v>38.65000000000001</x:v>
      </x:c>
      <x:c r="D134" s="48" t="n">
        <x:f>IF(OR(Inputs!$F$8=TRUE,Inputs!$F$8="TRUE",Inputs!$F$8=1),(Inputs!$H$8+Inputs!$L$8*(((Inputs!$I$8+(((A134)+1)/2)*(Inputs!$J$8-Inputs!$I$8)))/Inputs!$K$8)^2),NA())</x:f>
        <x:v>44.65000000000003</x:v>
      </x:c>
      <x:c r="E134" s="48" t="n">
        <x:f>IF(OR(Inputs!$F$9=TRUE,Inputs!$F$9="TRUE",Inputs!$F$9=1),(Inputs!$H$9+Inputs!$L$9*(((Inputs!$I$9+(((A134)+1)/2)*(Inputs!$J$9-Inputs!$I$9)))/Inputs!$K$9)^2),NA())</x:f>
        <x:v>34.75000000000003</x:v>
      </x:c>
      <x:c r="F134" s="49"/>
      <x:c r="G134" s="48" t="n">
        <x:f>A134</x:f>
        <x:v>0.1</x:v>
      </x:c>
      <x:c r="H134" s="48" t="n">
        <x:f>IF(OR(Inputs!$F$6=TRUE,Inputs!$F$6="TRUE",Inputs!$F$6=1),(((SQRT(((Inputs!$I$6+(((A134)+1)/2)*(Inputs!$J$6-Inputs!$I$6)))^2+Inputs!$C$6^2+((Inputs!$H$6+Inputs!$L$6*(((Inputs!$I$6+(((A134)+1)/2)*(Inputs!$J$6-Inputs!$I$6)))/Inputs!$K$6)^2))^2))-((Inputs!$H$6+Inputs!$L$6*(((Inputs!$I$6+(((A134)+1)/2)*(Inputs!$J$6-Inputs!$I$6)))/Inputs!$K$6)^2)))*1000/Inputs!$C$12),NA())</x:f>
        <x:v>463.6606939320355</x:v>
      </x:c>
      <x:c r="I134" s="48" t="n">
        <x:f>IF(OR(Inputs!$F$7=TRUE,Inputs!$F$7="TRUE",Inputs!$F$7=1),(((SQRT(((Inputs!$I$7+(((A134)+1)/2)*(Inputs!$J$7-Inputs!$I$7)))^2+Inputs!$C$6^2+((Inputs!$H$7+Inputs!$L$7*(((Inputs!$I$7+(((A134)+1)/2)*(Inputs!$J$7-Inputs!$I$7)))/Inputs!$K$7)^2))^2))-((Inputs!$H$7+Inputs!$L$7*(((Inputs!$I$7+(((A134)+1)/2)*(Inputs!$J$7-Inputs!$I$7)))/Inputs!$K$7)^2)))*1000/Inputs!$C$12),NA())</x:f>
        <x:v>12546.151138988675</x:v>
      </x:c>
      <x:c r="J134" s="48" t="n">
        <x:f>IF(OR(Inputs!$F$8=TRUE,Inputs!$F$8="TRUE",Inputs!$F$8=1),(((SQRT(((Inputs!$I$8+(((A134)+1)/2)*(Inputs!$J$8-Inputs!$I$8)))^2+Inputs!$C$6^2+((Inputs!$H$8+Inputs!$L$8*(((Inputs!$I$8+(((A134)+1)/2)*(Inputs!$J$8-Inputs!$I$8)))/Inputs!$K$8)^2))^2))-((Inputs!$H$8+Inputs!$L$8*(((Inputs!$I$8+(((A134)+1)/2)*(Inputs!$J$8-Inputs!$I$8)))/Inputs!$K$8)^2)))*1000/Inputs!$C$12),NA())</x:f>
        <x:v>28267.65633630851</x:v>
      </x:c>
      <x:c r="K134" s="48" t="n">
        <x:f>IF(OR(Inputs!$F$9=TRUE,Inputs!$F$9="TRUE",Inputs!$F$9=1),(((SQRT(((Inputs!$I$9+(((A134)+1)/2)*(Inputs!$J$9-Inputs!$I$9)))^2+Inputs!$C$6^2+((Inputs!$H$9+Inputs!$L$9*(((Inputs!$I$9+(((A134)+1)/2)*(Inputs!$J$9-Inputs!$I$9)))/Inputs!$K$9)^2))^2))-((Inputs!$H$9+Inputs!$L$9*(((Inputs!$I$9+(((A134)+1)/2)*(Inputs!$J$9-Inputs!$I$9)))/Inputs!$K$9)^2)))*1000/Inputs!$C$12),NA())</x:f>
        <x:v>31451.387398225957</x:v>
      </x:c>
      <x:c r="L134" s="49"/>
      <x:c r="M134" s="48" t="n">
        <x:f>A134</x:f>
        <x:v>0.1</x:v>
      </x:c>
      <x:c r="N134" s="48" t="n">
        <x:f>IF(OR(Inputs!$F$6=TRUE,Inputs!$F$6="TRUE",Inputs!$F$6=1),(-2*((1000*((((Inputs!$I$6+(((A134)+1)/2)*(Inputs!$J$6-Inputs!$I$6)))*Inputs!$C$11+((Inputs!$H$6+Inputs!$L$6*(((Inputs!$I$6+(((A134)+1)/2)*(Inputs!$J$6-Inputs!$I$6)))/Inputs!$K$6)^2))*((2*Inputs!$L$6*((Inputs!$I$6+(((A134)+1)/2)*(Inputs!$J$6-Inputs!$I$6)))/(Inputs!$K$6^2)*Inputs!$C$11)))/(SQRT(((Inputs!$I$6+(((A134)+1)/2)*(Inputs!$J$6-Inputs!$I$6)))^2+Inputs!$C$6^2+((Inputs!$H$6+Inputs!$L$6*(((Inputs!$I$6+(((A134)+1)/2)*(Inputs!$J$6-Inputs!$I$6)))/Inputs!$K$6)^2))^2)))))/Inputs!$C$13),NA())</x:f>
        <x:v>-45.237604605019875</x:v>
      </x:c>
      <x:c r="O134" s="48" t="n">
        <x:f>IF(OR(Inputs!$F$7=TRUE,Inputs!$F$7="TRUE",Inputs!$F$7=1),(-2*((1000*((((Inputs!$I$7+(((A134)+1)/2)*(Inputs!$J$7-Inputs!$I$7)))*Inputs!$C$11+((Inputs!$H$7+Inputs!$L$7*(((Inputs!$I$7+(((A134)+1)/2)*(Inputs!$J$7-Inputs!$I$7)))/Inputs!$K$7)^2))*((2*Inputs!$L$7*((Inputs!$I$7+(((A134)+1)/2)*(Inputs!$J$7-Inputs!$I$7)))/(Inputs!$K$7^2)*Inputs!$C$11)))/(SQRT(((Inputs!$I$7+(((A134)+1)/2)*(Inputs!$J$7-Inputs!$I$7)))^2+Inputs!$C$6^2+((Inputs!$H$7+Inputs!$L$7*(((Inputs!$I$7+(((A134)+1)/2)*(Inputs!$J$7-Inputs!$I$7)))/Inputs!$K$7)^2))^2)))))/Inputs!$C$13),NA())</x:f>
        <x:v>-1234.5547213525304</x:v>
      </x:c>
      <x:c r="P134" s="48" t="n">
        <x:f>IF(OR(Inputs!$F$8=TRUE,Inputs!$F$8="TRUE",Inputs!$F$8=1),(-2*((1000*((((Inputs!$I$8+(((A134)+1)/2)*(Inputs!$J$8-Inputs!$I$8)))*Inputs!$C$11+((Inputs!$H$8+Inputs!$L$8*(((Inputs!$I$8+(((A134)+1)/2)*(Inputs!$J$8-Inputs!$I$8)))/Inputs!$K$8)^2))*((2*Inputs!$L$8*((Inputs!$I$8+(((A134)+1)/2)*(Inputs!$J$8-Inputs!$I$8)))/(Inputs!$K$8^2)*Inputs!$C$11)))/(SQRT(((Inputs!$I$8+(((A134)+1)/2)*(Inputs!$J$8-Inputs!$I$8)))^2+Inputs!$C$6^2+((Inputs!$H$8+Inputs!$L$8*(((Inputs!$I$8+(((A134)+1)/2)*(Inputs!$J$8-Inputs!$I$8)))/Inputs!$K$8)^2))^2)))))/Inputs!$C$13),NA())</x:f>
        <x:v>-1529.328865290001</x:v>
      </x:c>
      <x:c r="Q134" s="48" t="n">
        <x:f>IF(OR(Inputs!$F$9=TRUE,Inputs!$F$9="TRUE",Inputs!$F$9=1),(-2*((1000*((((Inputs!$I$9+(((A134)+1)/2)*(Inputs!$J$9-Inputs!$I$9)))*Inputs!$C$11+((Inputs!$H$9+Inputs!$L$9*(((Inputs!$I$9+(((A134)+1)/2)*(Inputs!$J$9-Inputs!$I$9)))/Inputs!$K$9)^2))*((2*Inputs!$L$9*((Inputs!$I$9+(((A134)+1)/2)*(Inputs!$J$9-Inputs!$I$9)))/(Inputs!$K$9^2)*Inputs!$C$11)))/(SQRT(((Inputs!$I$9+(((A134)+1)/2)*(Inputs!$J$9-Inputs!$I$9)))^2+Inputs!$C$6^2+((Inputs!$H$9+Inputs!$L$9*(((Inputs!$I$9+(((A134)+1)/2)*(Inputs!$J$9-Inputs!$I$9)))/Inputs!$K$9)^2))^2)))))/Inputs!$C$13),NA())</x:f>
        <x:v>-1560.0913386498466</x:v>
      </x:c>
      <x:c r="R134" s="49"/>
      <x:c r="S134" s="48" t="n">
        <x:f>A134</x:f>
        <x:v>0.1</x:v>
      </x:c>
      <x:c r="T134" s="48" t="n">
        <x:f>(Inputs!$I$6+(((A134)+1)/2)*(Inputs!$J$6-Inputs!$I$6))</x:f>
        <x:v>6</x:v>
      </x:c>
      <x:c r="U134" s="48" t="n">
        <x:f>(Inputs!$I$7+(((A134)+1)/2)*(Inputs!$J$7-Inputs!$I$7))</x:f>
        <x:v>40.00000000000006</x:v>
      </x:c>
      <x:c r="V134" s="48" t="n">
        <x:f>(Inputs!$I$8+(((A134)+1)/2)*(Inputs!$J$8-Inputs!$I$8))</x:f>
        <x:v>80.00000000000011</x:v>
      </x:c>
      <x:c r="W134" s="48" t="n">
        <x:f>(Inputs!$I$9+(((A134)+1)/2)*(Inputs!$J$9-Inputs!$I$9))</x:f>
        <x:v>80.00000000000011</x:v>
      </x:c>
      <x:c r="X134" s="49"/>
      <x:c r="Y134" s="48" t="n">
        <x:f>A134</x:f>
        <x:v>0.1</x:v>
      </x:c>
      <x:c r="Z134" s="48" t="n">
        <x:f>(Inputs!$H$6+Inputs!$L$6*(((Inputs!$I$6+(((A134)+1)/2)*(Inputs!$J$6-Inputs!$I$6)))/Inputs!$K$6)^2)</x:f>
        <x:v>400.04</x:v>
      </x:c>
      <x:c r="AA134" s="48" t="n">
        <x:f>(Inputs!$H$7+Inputs!$L$7*(((Inputs!$I$7+(((A134)+1)/2)*(Inputs!$J$7-Inputs!$I$7)))/Inputs!$K$7)^2)</x:f>
        <x:v>38.65000000000001</x:v>
      </x:c>
      <x:c r="AB134" s="48" t="n">
        <x:f>(Inputs!$H$8+Inputs!$L$8*(((Inputs!$I$8+(((A134)+1)/2)*(Inputs!$J$8-Inputs!$I$8)))/Inputs!$K$8)^2)</x:f>
        <x:v>44.65000000000003</x:v>
      </x:c>
      <x:c r="AC134" s="48" t="n">
        <x:f>(Inputs!$H$9+Inputs!$L$9*(((Inputs!$I$9+(((A134)+1)/2)*(Inputs!$J$9-Inputs!$I$9)))/Inputs!$K$9)^2)</x:f>
        <x:v>34.75000000000003</x:v>
      </x:c>
      <x:c r="AD134" s="49"/>
      <x:c r="AE134" s="48" t="n">
        <x:f>A134</x:f>
        <x:v>0.1</x:v>
      </x:c>
      <x:c r="AF134" s="48" t="n">
        <x:f>(((SQRT(((Inputs!$I$6+(((A134)+1)/2)*(Inputs!$J$6-Inputs!$I$6)))^2+Inputs!$C$6^2+((Inputs!$H$6+Inputs!$L$6*(((Inputs!$I$6+(((A134)+1)/2)*(Inputs!$J$6-Inputs!$I$6)))/Inputs!$K$6)^2))^2))-((Inputs!$H$6+Inputs!$L$6*(((Inputs!$I$6+(((A134)+1)/2)*(Inputs!$J$6-Inputs!$I$6)))/Inputs!$K$6)^2)))*1000/Inputs!$C$12)</x:f>
        <x:v>463.6606939320355</x:v>
      </x:c>
      <x:c r="AG134" s="48" t="n">
        <x:f>(((SQRT(((Inputs!$I$7+(((A134)+1)/2)*(Inputs!$J$7-Inputs!$I$7)))^2+Inputs!$C$6^2+((Inputs!$H$7+Inputs!$L$7*(((Inputs!$I$7+(((A134)+1)/2)*(Inputs!$J$7-Inputs!$I$7)))/Inputs!$K$7)^2))^2))-((Inputs!$H$7+Inputs!$L$7*(((Inputs!$I$7+(((A134)+1)/2)*(Inputs!$J$7-Inputs!$I$7)))/Inputs!$K$7)^2)))*1000/Inputs!$C$12)</x:f>
        <x:v>12546.151138988675</x:v>
      </x:c>
      <x:c r="AH134" s="48" t="n">
        <x:f>(((SQRT(((Inputs!$I$8+(((A134)+1)/2)*(Inputs!$J$8-Inputs!$I$8)))^2+Inputs!$C$6^2+((Inputs!$H$8+Inputs!$L$8*(((Inputs!$I$8+(((A134)+1)/2)*(Inputs!$J$8-Inputs!$I$8)))/Inputs!$K$8)^2))^2))-((Inputs!$H$8+Inputs!$L$8*(((Inputs!$I$8+(((A134)+1)/2)*(Inputs!$J$8-Inputs!$I$8)))/Inputs!$K$8)^2)))*1000/Inputs!$C$12)</x:f>
        <x:v>28267.65633630851</x:v>
      </x:c>
      <x:c r="AI134" s="48" t="n">
        <x:f>(((SQRT(((Inputs!$I$9+(((A134)+1)/2)*(Inputs!$J$9-Inputs!$I$9)))^2+Inputs!$C$6^2+((Inputs!$H$9+Inputs!$L$9*(((Inputs!$I$9+(((A134)+1)/2)*(Inputs!$J$9-Inputs!$I$9)))/Inputs!$K$9)^2))^2))-((Inputs!$H$9+Inputs!$L$9*(((Inputs!$I$9+(((A134)+1)/2)*(Inputs!$J$9-Inputs!$I$9)))/Inputs!$K$9)^2)))*1000/Inputs!$C$12)</x:f>
        <x:v>31451.387398225957</x:v>
      </x:c>
      <x:c r="AJ134" s="49"/>
      <x:c r="AK134" s="48" t="n">
        <x:f>A134</x:f>
        <x:v>0.1</x:v>
      </x:c>
      <x:c r="AL134" s="48" t="n">
        <x:f>(-2*((1000*((((Inputs!$I$6+(((A134)+1)/2)*(Inputs!$J$6-Inputs!$I$6)))*Inputs!$C$11+((Inputs!$H$6+Inputs!$L$6*(((Inputs!$I$6+(((A134)+1)/2)*(Inputs!$J$6-Inputs!$I$6)))/Inputs!$K$6)^2))*((2*Inputs!$L$6*((Inputs!$I$6+(((A134)+1)/2)*(Inputs!$J$6-Inputs!$I$6)))/(Inputs!$K$6^2)*Inputs!$C$11)))/(SQRT(((Inputs!$I$6+(((A134)+1)/2)*(Inputs!$J$6-Inputs!$I$6)))^2+Inputs!$C$6^2+((Inputs!$H$6+Inputs!$L$6*(((Inputs!$I$6+(((A134)+1)/2)*(Inputs!$J$6-Inputs!$I$6)))/Inputs!$K$6)^2))^2)))))/Inputs!$C$13)</x:f>
        <x:v>-45.237604605019875</x:v>
      </x:c>
      <x:c r="AM134" s="48" t="n">
        <x:f>(-2*((1000*((((Inputs!$I$7+(((A134)+1)/2)*(Inputs!$J$7-Inputs!$I$7)))*Inputs!$C$11+((Inputs!$H$7+Inputs!$L$7*(((Inputs!$I$7+(((A134)+1)/2)*(Inputs!$J$7-Inputs!$I$7)))/Inputs!$K$7)^2))*((2*Inputs!$L$7*((Inputs!$I$7+(((A134)+1)/2)*(Inputs!$J$7-Inputs!$I$7)))/(Inputs!$K$7^2)*Inputs!$C$11)))/(SQRT(((Inputs!$I$7+(((A134)+1)/2)*(Inputs!$J$7-Inputs!$I$7)))^2+Inputs!$C$6^2+((Inputs!$H$7+Inputs!$L$7*(((Inputs!$I$7+(((A134)+1)/2)*(Inputs!$J$7-Inputs!$I$7)))/Inputs!$K$7)^2))^2)))))/Inputs!$C$13)</x:f>
        <x:v>-1234.5547213525304</x:v>
      </x:c>
      <x:c r="AN134" s="48" t="n">
        <x:f>(-2*((1000*((((Inputs!$I$8+(((A134)+1)/2)*(Inputs!$J$8-Inputs!$I$8)))*Inputs!$C$11+((Inputs!$H$8+Inputs!$L$8*(((Inputs!$I$8+(((A134)+1)/2)*(Inputs!$J$8-Inputs!$I$8)))/Inputs!$K$8)^2))*((2*Inputs!$L$8*((Inputs!$I$8+(((A134)+1)/2)*(Inputs!$J$8-Inputs!$I$8)))/(Inputs!$K$8^2)*Inputs!$C$11)))/(SQRT(((Inputs!$I$8+(((A134)+1)/2)*(Inputs!$J$8-Inputs!$I$8)))^2+Inputs!$C$6^2+((Inputs!$H$8+Inputs!$L$8*(((Inputs!$I$8+(((A134)+1)/2)*(Inputs!$J$8-Inputs!$I$8)))/Inputs!$K$8)^2))^2)))))/Inputs!$C$13)</x:f>
        <x:v>-1529.328865290001</x:v>
      </x:c>
      <x:c r="AO134" s="48" t="n">
        <x:f>(-2*((1000*((((Inputs!$I$9+(((A134)+1)/2)*(Inputs!$J$9-Inputs!$I$9)))*Inputs!$C$11+((Inputs!$H$9+Inputs!$L$9*(((Inputs!$I$9+(((A134)+1)/2)*(Inputs!$J$9-Inputs!$I$9)))/Inputs!$K$9)^2))*((2*Inputs!$L$9*((Inputs!$I$9+(((A134)+1)/2)*(Inputs!$J$9-Inputs!$I$9)))/(Inputs!$K$9^2)*Inputs!$C$11)))/(SQRT(((Inputs!$I$9+(((A134)+1)/2)*(Inputs!$J$9-Inputs!$I$9)))^2+Inputs!$C$6^2+((Inputs!$H$9+Inputs!$L$9*(((Inputs!$I$9+(((A134)+1)/2)*(Inputs!$J$9-Inputs!$I$9)))/Inputs!$K$9)^2))^2)))))/Inputs!$C$13)</x:f>
        <x:v>-1560.0913386498466</x:v>
      </x:c>
    </x:row>
    <x:row r="135">
      <x:c r="A135" s="48" t="n">
        <x:f>ROUND(-1+133*2/240,3)</x:f>
        <x:v>0.108</x:v>
      </x:c>
      <x:c r="B135" s="48" t="n">
        <x:f>IF(OR(Inputs!$F$6=TRUE,Inputs!$F$6="TRUE",Inputs!$F$6=1),(Inputs!$H$6+Inputs!$L$6*(((Inputs!$I$6+(((A135)+1)/2)*(Inputs!$J$6-Inputs!$I$6)))/Inputs!$K$6)^2),NA())</x:f>
        <x:v>400.046656</x:v>
      </x:c>
      <x:c r="C135" s="48" t="n">
        <x:f>IF(OR(Inputs!$F$7=TRUE,Inputs!$F$7="TRUE",Inputs!$F$7=1),(Inputs!$H$7+Inputs!$L$7*(((Inputs!$I$7+(((A135)+1)/2)*(Inputs!$J$7-Inputs!$I$7)))/Inputs!$K$7)^2),NA())</x:f>
        <x:v>39.257360000000006</x:v>
      </x:c>
      <x:c r="D135" s="48" t="n">
        <x:f>IF(OR(Inputs!$F$8=TRUE,Inputs!$F$8="TRUE",Inputs!$F$8=1),(Inputs!$H$8+Inputs!$L$8*(((Inputs!$I$8+(((A135)+1)/2)*(Inputs!$J$8-Inputs!$I$8)))/Inputs!$K$8)^2),NA())</x:f>
        <x:v>46.25576000000002</x:v>
      </x:c>
      <x:c r="E135" s="48" t="n">
        <x:f>IF(OR(Inputs!$F$9=TRUE,Inputs!$F$9="TRUE",Inputs!$F$9=1),(Inputs!$H$9+Inputs!$L$9*(((Inputs!$I$9+(((A135)+1)/2)*(Inputs!$J$9-Inputs!$I$9)))/Inputs!$K$9)^2),NA())</x:f>
        <x:v>36.37240000000002</x:v>
      </x:c>
      <x:c r="F135" s="49"/>
      <x:c r="G135" s="48" t="n">
        <x:f>A135</x:f>
        <x:v>0.108</x:v>
      </x:c>
      <x:c r="H135" s="48" t="n">
        <x:f>IF(OR(Inputs!$F$6=TRUE,Inputs!$F$6="TRUE",Inputs!$F$6=1),(((SQRT(((Inputs!$I$6+(((A135)+1)/2)*(Inputs!$J$6-Inputs!$I$6)))^2+Inputs!$C$6^2+((Inputs!$H$6+Inputs!$L$6*(((Inputs!$I$6+(((A135)+1)/2)*(Inputs!$J$6-Inputs!$I$6)))/Inputs!$K$6)^2))^2))-((Inputs!$H$6+Inputs!$L$6*(((Inputs!$I$6+(((A135)+1)/2)*(Inputs!$J$6-Inputs!$I$6)))/Inputs!$K$6)^2)))*1000/Inputs!$C$12),NA())</x:f>
        <x:v>467.85054754357924</x:v>
      </x:c>
      <x:c r="I135" s="48" t="n">
        <x:f>IF(OR(Inputs!$F$7=TRUE,Inputs!$F$7="TRUE",Inputs!$F$7=1),(((SQRT(((Inputs!$I$7+(((A135)+1)/2)*(Inputs!$J$7-Inputs!$I$7)))^2+Inputs!$C$6^2+((Inputs!$H$7+Inputs!$L$7*(((Inputs!$I$7+(((A135)+1)/2)*(Inputs!$J$7-Inputs!$I$7)))/Inputs!$K$7)^2))^2))-((Inputs!$H$7+Inputs!$L$7*(((Inputs!$I$7+(((A135)+1)/2)*(Inputs!$J$7-Inputs!$I$7)))/Inputs!$K$7)^2)))*1000/Inputs!$C$12),NA())</x:f>
        <x:v>13620.03712782778</x:v>
      </x:c>
      <x:c r="J135" s="48" t="n">
        <x:f>IF(OR(Inputs!$F$8=TRUE,Inputs!$F$8="TRUE",Inputs!$F$8=1),(((SQRT(((Inputs!$I$8+(((A135)+1)/2)*(Inputs!$J$8-Inputs!$I$8)))^2+Inputs!$C$6^2+((Inputs!$H$8+Inputs!$L$8*(((Inputs!$I$8+(((A135)+1)/2)*(Inputs!$J$8-Inputs!$I$8)))/Inputs!$K$8)^2))^2))-((Inputs!$H$8+Inputs!$L$8*(((Inputs!$I$8+(((A135)+1)/2)*(Inputs!$J$8-Inputs!$I$8)))/Inputs!$K$8)^2)))*1000/Inputs!$C$12),NA())</x:f>
        <x:v>30834.552946908872</x:v>
      </x:c>
      <x:c r="K135" s="48" t="n">
        <x:f>IF(OR(Inputs!$F$9=TRUE,Inputs!$F$9="TRUE",Inputs!$F$9=1),(((SQRT(((Inputs!$I$9+(((A135)+1)/2)*(Inputs!$J$9-Inputs!$I$9)))^2+Inputs!$C$6^2+((Inputs!$H$9+Inputs!$L$9*(((Inputs!$I$9+(((A135)+1)/2)*(Inputs!$J$9-Inputs!$I$9)))/Inputs!$K$9)^2))^2))-((Inputs!$H$9+Inputs!$L$9*(((Inputs!$I$9+(((A135)+1)/2)*(Inputs!$J$9-Inputs!$I$9)))/Inputs!$K$9)^2)))*1000/Inputs!$C$12),NA())</x:f>
        <x:v>34071.7753832013</x:v>
      </x:c>
      <x:c r="L135" s="49"/>
      <x:c r="M135" s="48" t="n">
        <x:f>A135</x:f>
        <x:v>0.108</x:v>
      </x:c>
      <x:c r="N135" s="48" t="n">
        <x:f>IF(OR(Inputs!$F$6=TRUE,Inputs!$F$6="TRUE",Inputs!$F$6=1),(-2*((1000*((((Inputs!$I$6+(((A135)+1)/2)*(Inputs!$J$6-Inputs!$I$6)))*Inputs!$C$11+((Inputs!$H$6+Inputs!$L$6*(((Inputs!$I$6+(((A135)+1)/2)*(Inputs!$J$6-Inputs!$I$6)))/Inputs!$K$6)^2))*((2*Inputs!$L$6*((Inputs!$I$6+(((A135)+1)/2)*(Inputs!$J$6-Inputs!$I$6)))/(Inputs!$K$6^2)*Inputs!$C$11)))/(SQRT(((Inputs!$I$6+(((A135)+1)/2)*(Inputs!$J$6-Inputs!$I$6)))^2+Inputs!$C$6^2+((Inputs!$H$6+Inputs!$L$6*(((Inputs!$I$6+(((A135)+1)/2)*(Inputs!$J$6-Inputs!$I$6)))/Inputs!$K$6)^2))^2)))))/Inputs!$C$13),NA())</x:f>
        <x:v>-48.85527540158294</x:v>
      </x:c>
      <x:c r="O135" s="48" t="n">
        <x:f>IF(OR(Inputs!$F$7=TRUE,Inputs!$F$7="TRUE",Inputs!$F$7=1),(-2*((1000*((((Inputs!$I$7+(((A135)+1)/2)*(Inputs!$J$7-Inputs!$I$7)))*Inputs!$C$11+((Inputs!$H$7+Inputs!$L$7*(((Inputs!$I$7+(((A135)+1)/2)*(Inputs!$J$7-Inputs!$I$7)))/Inputs!$K$7)^2))*((2*Inputs!$L$7*((Inputs!$I$7+(((A135)+1)/2)*(Inputs!$J$7-Inputs!$I$7)))/(Inputs!$K$7^2)*Inputs!$C$11)))/(SQRT(((Inputs!$I$7+(((A135)+1)/2)*(Inputs!$J$7-Inputs!$I$7)))^2+Inputs!$C$6^2+((Inputs!$H$7+Inputs!$L$7*(((Inputs!$I$7+(((A135)+1)/2)*(Inputs!$J$7-Inputs!$I$7)))/Inputs!$K$7)^2))^2)))))/Inputs!$C$13),NA())</x:f>
        <x:v>-1283.4469940258216</x:v>
      </x:c>
      <x:c r="P135" s="48" t="n">
        <x:f>IF(OR(Inputs!$F$8=TRUE,Inputs!$F$8="TRUE",Inputs!$F$8=1),(-2*((1000*((((Inputs!$I$8+(((A135)+1)/2)*(Inputs!$J$8-Inputs!$I$8)))*Inputs!$C$11+((Inputs!$H$8+Inputs!$L$8*(((Inputs!$I$8+(((A135)+1)/2)*(Inputs!$J$8-Inputs!$I$8)))/Inputs!$K$8)^2))*((2*Inputs!$L$8*((Inputs!$I$8+(((A135)+1)/2)*(Inputs!$J$8-Inputs!$I$8)))/(Inputs!$K$8^2)*Inputs!$C$11)))/(SQRT(((Inputs!$I$8+(((A135)+1)/2)*(Inputs!$J$8-Inputs!$I$8)))^2+Inputs!$C$6^2+((Inputs!$H$8+Inputs!$L$8*(((Inputs!$I$8+(((A135)+1)/2)*(Inputs!$J$8-Inputs!$I$8)))/Inputs!$K$8)^2))^2)))))/Inputs!$C$13),NA())</x:f>
        <x:v>-1557.456320166693</x:v>
      </x:c>
      <x:c r="Q135" s="48" t="n">
        <x:f>IF(OR(Inputs!$F$9=TRUE,Inputs!$F$9="TRUE",Inputs!$F$9=1),(-2*((1000*((((Inputs!$I$9+(((A135)+1)/2)*(Inputs!$J$9-Inputs!$I$9)))*Inputs!$C$11+((Inputs!$H$9+Inputs!$L$9*(((Inputs!$I$9+(((A135)+1)/2)*(Inputs!$J$9-Inputs!$I$9)))/Inputs!$K$9)^2))*((2*Inputs!$L$9*((Inputs!$I$9+(((A135)+1)/2)*(Inputs!$J$9-Inputs!$I$9)))/(Inputs!$K$9^2)*Inputs!$C$11)))/(SQRT(((Inputs!$I$9+(((A135)+1)/2)*(Inputs!$J$9-Inputs!$I$9)))^2+Inputs!$C$6^2+((Inputs!$H$9+Inputs!$L$9*(((Inputs!$I$9+(((A135)+1)/2)*(Inputs!$J$9-Inputs!$I$9)))/Inputs!$K$9)^2))^2)))))/Inputs!$C$13),NA())</x:f>
        <x:v>-1582.7643923879473</x:v>
      </x:c>
      <x:c r="R135" s="49"/>
      <x:c r="S135" s="48" t="n">
        <x:f>A135</x:f>
        <x:v>0.108</x:v>
      </x:c>
      <x:c r="T135" s="48" t="n">
        <x:f>(Inputs!$I$6+(((A135)+1)/2)*(Inputs!$J$6-Inputs!$I$6))</x:f>
        <x:v>6.480000000000004</x:v>
      </x:c>
      <x:c r="U135" s="48" t="n">
        <x:f>(Inputs!$I$7+(((A135)+1)/2)*(Inputs!$J$7-Inputs!$I$7))</x:f>
        <x:v>43.200000000000045</x:v>
      </x:c>
      <x:c r="V135" s="48" t="n">
        <x:f>(Inputs!$I$8+(((A135)+1)/2)*(Inputs!$J$8-Inputs!$I$8))</x:f>
        <x:v>86.40000000000009</x:v>
      </x:c>
      <x:c r="W135" s="48" t="n">
        <x:f>(Inputs!$I$9+(((A135)+1)/2)*(Inputs!$J$9-Inputs!$I$9))</x:f>
        <x:v>86.40000000000009</x:v>
      </x:c>
      <x:c r="X135" s="49"/>
      <x:c r="Y135" s="48" t="n">
        <x:f>A135</x:f>
        <x:v>0.108</x:v>
      </x:c>
      <x:c r="Z135" s="48" t="n">
        <x:f>(Inputs!$H$6+Inputs!$L$6*(((Inputs!$I$6+(((A135)+1)/2)*(Inputs!$J$6-Inputs!$I$6)))/Inputs!$K$6)^2)</x:f>
        <x:v>400.046656</x:v>
      </x:c>
      <x:c r="AA135" s="48" t="n">
        <x:f>(Inputs!$H$7+Inputs!$L$7*(((Inputs!$I$7+(((A135)+1)/2)*(Inputs!$J$7-Inputs!$I$7)))/Inputs!$K$7)^2)</x:f>
        <x:v>39.257360000000006</x:v>
      </x:c>
      <x:c r="AB135" s="48" t="n">
        <x:f>(Inputs!$H$8+Inputs!$L$8*(((Inputs!$I$8+(((A135)+1)/2)*(Inputs!$J$8-Inputs!$I$8)))/Inputs!$K$8)^2)</x:f>
        <x:v>46.25576000000002</x:v>
      </x:c>
      <x:c r="AC135" s="48" t="n">
        <x:f>(Inputs!$H$9+Inputs!$L$9*(((Inputs!$I$9+(((A135)+1)/2)*(Inputs!$J$9-Inputs!$I$9)))/Inputs!$K$9)^2)</x:f>
        <x:v>36.37240000000002</x:v>
      </x:c>
      <x:c r="AD135" s="49"/>
      <x:c r="AE135" s="48" t="n">
        <x:f>A135</x:f>
        <x:v>0.108</x:v>
      </x:c>
      <x:c r="AF135" s="48" t="n">
        <x:f>(((SQRT(((Inputs!$I$6+(((A135)+1)/2)*(Inputs!$J$6-Inputs!$I$6)))^2+Inputs!$C$6^2+((Inputs!$H$6+Inputs!$L$6*(((Inputs!$I$6+(((A135)+1)/2)*(Inputs!$J$6-Inputs!$I$6)))/Inputs!$K$6)^2))^2))-((Inputs!$H$6+Inputs!$L$6*(((Inputs!$I$6+(((A135)+1)/2)*(Inputs!$J$6-Inputs!$I$6)))/Inputs!$K$6)^2)))*1000/Inputs!$C$12)</x:f>
        <x:v>467.85054754357924</x:v>
      </x:c>
      <x:c r="AG135" s="48" t="n">
        <x:f>(((SQRT(((Inputs!$I$7+(((A135)+1)/2)*(Inputs!$J$7-Inputs!$I$7)))^2+Inputs!$C$6^2+((Inputs!$H$7+Inputs!$L$7*(((Inputs!$I$7+(((A135)+1)/2)*(Inputs!$J$7-Inputs!$I$7)))/Inputs!$K$7)^2))^2))-((Inputs!$H$7+Inputs!$L$7*(((Inputs!$I$7+(((A135)+1)/2)*(Inputs!$J$7-Inputs!$I$7)))/Inputs!$K$7)^2)))*1000/Inputs!$C$12)</x:f>
        <x:v>13620.03712782778</x:v>
      </x:c>
      <x:c r="AH135" s="48" t="n">
        <x:f>(((SQRT(((Inputs!$I$8+(((A135)+1)/2)*(Inputs!$J$8-Inputs!$I$8)))^2+Inputs!$C$6^2+((Inputs!$H$8+Inputs!$L$8*(((Inputs!$I$8+(((A135)+1)/2)*(Inputs!$J$8-Inputs!$I$8)))/Inputs!$K$8)^2))^2))-((Inputs!$H$8+Inputs!$L$8*(((Inputs!$I$8+(((A135)+1)/2)*(Inputs!$J$8-Inputs!$I$8)))/Inputs!$K$8)^2)))*1000/Inputs!$C$12)</x:f>
        <x:v>30834.552946908872</x:v>
      </x:c>
      <x:c r="AI135" s="48" t="n">
        <x:f>(((SQRT(((Inputs!$I$9+(((A135)+1)/2)*(Inputs!$J$9-Inputs!$I$9)))^2+Inputs!$C$6^2+((Inputs!$H$9+Inputs!$L$9*(((Inputs!$I$9+(((A135)+1)/2)*(Inputs!$J$9-Inputs!$I$9)))/Inputs!$K$9)^2))^2))-((Inputs!$H$9+Inputs!$L$9*(((Inputs!$I$9+(((A135)+1)/2)*(Inputs!$J$9-Inputs!$I$9)))/Inputs!$K$9)^2)))*1000/Inputs!$C$12)</x:f>
        <x:v>34071.7753832013</x:v>
      </x:c>
      <x:c r="AJ135" s="49"/>
      <x:c r="AK135" s="48" t="n">
        <x:f>A135</x:f>
        <x:v>0.108</x:v>
      </x:c>
      <x:c r="AL135" s="48" t="n">
        <x:f>(-2*((1000*((((Inputs!$I$6+(((A135)+1)/2)*(Inputs!$J$6-Inputs!$I$6)))*Inputs!$C$11+((Inputs!$H$6+Inputs!$L$6*(((Inputs!$I$6+(((A135)+1)/2)*(Inputs!$J$6-Inputs!$I$6)))/Inputs!$K$6)^2))*((2*Inputs!$L$6*((Inputs!$I$6+(((A135)+1)/2)*(Inputs!$J$6-Inputs!$I$6)))/(Inputs!$K$6^2)*Inputs!$C$11)))/(SQRT(((Inputs!$I$6+(((A135)+1)/2)*(Inputs!$J$6-Inputs!$I$6)))^2+Inputs!$C$6^2+((Inputs!$H$6+Inputs!$L$6*(((Inputs!$I$6+(((A135)+1)/2)*(Inputs!$J$6-Inputs!$I$6)))/Inputs!$K$6)^2))^2)))))/Inputs!$C$13)</x:f>
        <x:v>-48.85527540158294</x:v>
      </x:c>
      <x:c r="AM135" s="48" t="n">
        <x:f>(-2*((1000*((((Inputs!$I$7+(((A135)+1)/2)*(Inputs!$J$7-Inputs!$I$7)))*Inputs!$C$11+((Inputs!$H$7+Inputs!$L$7*(((Inputs!$I$7+(((A135)+1)/2)*(Inputs!$J$7-Inputs!$I$7)))/Inputs!$K$7)^2))*((2*Inputs!$L$7*((Inputs!$I$7+(((A135)+1)/2)*(Inputs!$J$7-Inputs!$I$7)))/(Inputs!$K$7^2)*Inputs!$C$11)))/(SQRT(((Inputs!$I$7+(((A135)+1)/2)*(Inputs!$J$7-Inputs!$I$7)))^2+Inputs!$C$6^2+((Inputs!$H$7+Inputs!$L$7*(((Inputs!$I$7+(((A135)+1)/2)*(Inputs!$J$7-Inputs!$I$7)))/Inputs!$K$7)^2))^2)))))/Inputs!$C$13)</x:f>
        <x:v>-1283.4469940258216</x:v>
      </x:c>
      <x:c r="AN135" s="48" t="n">
        <x:f>(-2*((1000*((((Inputs!$I$8+(((A135)+1)/2)*(Inputs!$J$8-Inputs!$I$8)))*Inputs!$C$11+((Inputs!$H$8+Inputs!$L$8*(((Inputs!$I$8+(((A135)+1)/2)*(Inputs!$J$8-Inputs!$I$8)))/Inputs!$K$8)^2))*((2*Inputs!$L$8*((Inputs!$I$8+(((A135)+1)/2)*(Inputs!$J$8-Inputs!$I$8)))/(Inputs!$K$8^2)*Inputs!$C$11)))/(SQRT(((Inputs!$I$8+(((A135)+1)/2)*(Inputs!$J$8-Inputs!$I$8)))^2+Inputs!$C$6^2+((Inputs!$H$8+Inputs!$L$8*(((Inputs!$I$8+(((A135)+1)/2)*(Inputs!$J$8-Inputs!$I$8)))/Inputs!$K$8)^2))^2)))))/Inputs!$C$13)</x:f>
        <x:v>-1557.456320166693</x:v>
      </x:c>
      <x:c r="AO135" s="48" t="n">
        <x:f>(-2*((1000*((((Inputs!$I$9+(((A135)+1)/2)*(Inputs!$J$9-Inputs!$I$9)))*Inputs!$C$11+((Inputs!$H$9+Inputs!$L$9*(((Inputs!$I$9+(((A135)+1)/2)*(Inputs!$J$9-Inputs!$I$9)))/Inputs!$K$9)^2))*((2*Inputs!$L$9*((Inputs!$I$9+(((A135)+1)/2)*(Inputs!$J$9-Inputs!$I$9)))/(Inputs!$K$9^2)*Inputs!$C$11)))/(SQRT(((Inputs!$I$9+(((A135)+1)/2)*(Inputs!$J$9-Inputs!$I$9)))^2+Inputs!$C$6^2+((Inputs!$H$9+Inputs!$L$9*(((Inputs!$I$9+(((A135)+1)/2)*(Inputs!$J$9-Inputs!$I$9)))/Inputs!$K$9)^2))^2)))))/Inputs!$C$13)</x:f>
        <x:v>-1582.7643923879473</x:v>
      </x:c>
    </x:row>
    <x:row r="136">
      <x:c r="A136" s="48" t="n">
        <x:f>ROUND(-1+134*2/240,3)</x:f>
        <x:v>0.117</x:v>
      </x:c>
      <x:c r="B136" s="48" t="n">
        <x:f>IF(OR(Inputs!$F$6=TRUE,Inputs!$F$6="TRUE",Inputs!$F$6=1),(Inputs!$H$6+Inputs!$L$6*(((Inputs!$I$6+(((A136)+1)/2)*(Inputs!$J$6-Inputs!$I$6)))/Inputs!$K$6)^2),NA())</x:f>
        <x:v>400.054756</x:v>
      </x:c>
      <x:c r="C136" s="48" t="n">
        <x:f>IF(OR(Inputs!$F$7=TRUE,Inputs!$F$7="TRUE",Inputs!$F$7=1),(Inputs!$H$7+Inputs!$L$7*(((Inputs!$I$7+(((A136)+1)/2)*(Inputs!$J$7-Inputs!$I$7)))/Inputs!$K$7)^2),NA())</x:f>
        <x:v>39.99648500000001</x:v>
      </x:c>
      <x:c r="D136" s="48" t="n">
        <x:f>IF(OR(Inputs!$F$8=TRUE,Inputs!$F$8="TRUE",Inputs!$F$8=1),(Inputs!$H$8+Inputs!$L$8*(((Inputs!$I$8+(((A136)+1)/2)*(Inputs!$J$8-Inputs!$I$8)))/Inputs!$K$8)^2),NA())</x:f>
        <x:v>48.20988500000001</x:v>
      </x:c>
      <x:c r="E136" s="48" t="n">
        <x:f>IF(OR(Inputs!$F$9=TRUE,Inputs!$F$9="TRUE",Inputs!$F$9=1),(Inputs!$H$9+Inputs!$L$9*(((Inputs!$I$9+(((A136)+1)/2)*(Inputs!$J$9-Inputs!$I$9)))/Inputs!$K$9)^2),NA())</x:f>
        <x:v>38.34677500000001</x:v>
      </x:c>
      <x:c r="F136" s="49"/>
      <x:c r="G136" s="48" t="n">
        <x:f>A136</x:f>
        <x:v>0.117</x:v>
      </x:c>
      <x:c r="H136" s="48" t="n">
        <x:f>IF(OR(Inputs!$F$6=TRUE,Inputs!$F$6="TRUE",Inputs!$F$6=1),(((SQRT(((Inputs!$I$6+(((A136)+1)/2)*(Inputs!$J$6-Inputs!$I$6)))^2+Inputs!$C$6^2+((Inputs!$H$6+Inputs!$L$6*(((Inputs!$I$6+(((A136)+1)/2)*(Inputs!$J$6-Inputs!$I$6)))/Inputs!$K$6)^2))^2))-((Inputs!$H$6+Inputs!$L$6*(((Inputs!$I$6+(((A136)+1)/2)*(Inputs!$J$6-Inputs!$I$6)))/Inputs!$K$6)^2)))*1000/Inputs!$C$12),NA())</x:f>
        <x:v>472.9490849913699</x:v>
      </x:c>
      <x:c r="I136" s="48" t="n">
        <x:f>IF(OR(Inputs!$F$7=TRUE,Inputs!$F$7="TRUE",Inputs!$F$7=1),(((SQRT(((Inputs!$I$7+(((A136)+1)/2)*(Inputs!$J$7-Inputs!$I$7)))^2+Inputs!$C$6^2+((Inputs!$H$7+Inputs!$L$7*(((Inputs!$I$7+(((A136)+1)/2)*(Inputs!$J$7-Inputs!$I$7)))/Inputs!$K$7)^2))^2))-((Inputs!$H$7+Inputs!$L$7*(((Inputs!$I$7+(((A136)+1)/2)*(Inputs!$J$7-Inputs!$I$7)))/Inputs!$K$7)^2)))*1000/Inputs!$C$12),NA())</x:f>
        <x:v>14858.80417140119</x:v>
      </x:c>
      <x:c r="J136" s="48" t="n">
        <x:f>IF(OR(Inputs!$F$8=TRUE,Inputs!$F$8="TRUE",Inputs!$F$8=1),(((SQRT(((Inputs!$I$8+(((A136)+1)/2)*(Inputs!$J$8-Inputs!$I$8)))^2+Inputs!$C$6^2+((Inputs!$H$8+Inputs!$L$8*(((Inputs!$I$8+(((A136)+1)/2)*(Inputs!$J$8-Inputs!$I$8)))/Inputs!$K$8)^2))^2))-((Inputs!$H$8+Inputs!$L$8*(((Inputs!$I$8+(((A136)+1)/2)*(Inputs!$J$8-Inputs!$I$8)))/Inputs!$K$8)^2)))*1000/Inputs!$C$12),NA())</x:f>
        <x:v>33709.87382014908</x:v>
      </x:c>
      <x:c r="K136" s="48" t="n">
        <x:f>IF(OR(Inputs!$F$9=TRUE,Inputs!$F$9="TRUE",Inputs!$F$9=1),(((SQRT(((Inputs!$I$9+(((A136)+1)/2)*(Inputs!$J$9-Inputs!$I$9)))^2+Inputs!$C$6^2+((Inputs!$H$9+Inputs!$L$9*(((Inputs!$I$9+(((A136)+1)/2)*(Inputs!$J$9-Inputs!$I$9)))/Inputs!$K$9)^2))^2))-((Inputs!$H$9+Inputs!$L$9*(((Inputs!$I$9+(((A136)+1)/2)*(Inputs!$J$9-Inputs!$I$9)))/Inputs!$K$9)^2)))*1000/Inputs!$C$12),NA())</x:f>
        <x:v>36992.94574358409</x:v>
      </x:c>
      <x:c r="L136" s="49"/>
      <x:c r="M136" s="48" t="n">
        <x:f>A136</x:f>
        <x:v>0.117</x:v>
      </x:c>
      <x:c r="N136" s="48" t="n">
        <x:f>IF(OR(Inputs!$F$6=TRUE,Inputs!$F$6="TRUE",Inputs!$F$6=1),(-2*((1000*((((Inputs!$I$6+(((A136)+1)/2)*(Inputs!$J$6-Inputs!$I$6)))*Inputs!$C$11+((Inputs!$H$6+Inputs!$L$6*(((Inputs!$I$6+(((A136)+1)/2)*(Inputs!$J$6-Inputs!$I$6)))/Inputs!$K$6)^2))*((2*Inputs!$L$6*((Inputs!$I$6+(((A136)+1)/2)*(Inputs!$J$6-Inputs!$I$6)))/(Inputs!$K$6^2)*Inputs!$C$11)))/(SQRT(((Inputs!$I$6+(((A136)+1)/2)*(Inputs!$J$6-Inputs!$I$6)))^2+Inputs!$C$6^2+((Inputs!$H$6+Inputs!$L$6*(((Inputs!$I$6+(((A136)+1)/2)*(Inputs!$J$6-Inputs!$I$6)))/Inputs!$K$6)^2))^2)))))/Inputs!$C$13),NA())</x:f>
        <x:v>-52.92478515778358</x:v>
      </x:c>
      <x:c r="O136" s="48" t="n">
        <x:f>IF(OR(Inputs!$F$7=TRUE,Inputs!$F$7="TRUE",Inputs!$F$7=1),(-2*((1000*((((Inputs!$I$7+(((A136)+1)/2)*(Inputs!$J$7-Inputs!$I$7)))*Inputs!$C$11+((Inputs!$H$7+Inputs!$L$7*(((Inputs!$I$7+(((A136)+1)/2)*(Inputs!$J$7-Inputs!$I$7)))/Inputs!$K$7)^2))*((2*Inputs!$L$7*((Inputs!$I$7+(((A136)+1)/2)*(Inputs!$J$7-Inputs!$I$7)))/(Inputs!$K$7^2)*Inputs!$C$11)))/(SQRT(((Inputs!$I$7+(((A136)+1)/2)*(Inputs!$J$7-Inputs!$I$7)))^2+Inputs!$C$6^2+((Inputs!$H$7+Inputs!$L$7*(((Inputs!$I$7+(((A136)+1)/2)*(Inputs!$J$7-Inputs!$I$7)))/Inputs!$K$7)^2))^2)))))/Inputs!$C$13),NA())</x:f>
        <x:v>-1332.5937344314798</x:v>
      </x:c>
      <x:c r="P136" s="48" t="n">
        <x:f>IF(OR(Inputs!$F$8=TRUE,Inputs!$F$8="TRUE",Inputs!$F$8=1),(-2*((1000*((((Inputs!$I$8+(((A136)+1)/2)*(Inputs!$J$8-Inputs!$I$8)))*Inputs!$C$11+((Inputs!$H$8+Inputs!$L$8*(((Inputs!$I$8+(((A136)+1)/2)*(Inputs!$J$8-Inputs!$I$8)))/Inputs!$K$8)^2))*((2*Inputs!$L$8*((Inputs!$I$8+(((A136)+1)/2)*(Inputs!$J$8-Inputs!$I$8)))/(Inputs!$K$8^2)*Inputs!$C$11)))/(SQRT(((Inputs!$I$8+(((A136)+1)/2)*(Inputs!$J$8-Inputs!$I$8)))^2+Inputs!$C$6^2+((Inputs!$H$8+Inputs!$L$8*(((Inputs!$I$8+(((A136)+1)/2)*(Inputs!$J$8-Inputs!$I$8)))/Inputs!$K$8)^2))^2)))))/Inputs!$C$13),NA())</x:f>
        <x:v>-1585.1313471527565</x:v>
      </x:c>
      <x:c r="Q136" s="48" t="n">
        <x:f>IF(OR(Inputs!$F$9=TRUE,Inputs!$F$9="TRUE",Inputs!$F$9=1),(-2*((1000*((((Inputs!$I$9+(((A136)+1)/2)*(Inputs!$J$9-Inputs!$I$9)))*Inputs!$C$11+((Inputs!$H$9+Inputs!$L$9*(((Inputs!$I$9+(((A136)+1)/2)*(Inputs!$J$9-Inputs!$I$9)))/Inputs!$K$9)^2))*((2*Inputs!$L$9*((Inputs!$I$9+(((A136)+1)/2)*(Inputs!$J$9-Inputs!$I$9)))/(Inputs!$K$9^2)*Inputs!$C$11)))/(SQRT(((Inputs!$I$9+(((A136)+1)/2)*(Inputs!$J$9-Inputs!$I$9)))^2+Inputs!$C$6^2+((Inputs!$H$9+Inputs!$L$9*(((Inputs!$I$9+(((A136)+1)/2)*(Inputs!$J$9-Inputs!$I$9)))/Inputs!$K$9)^2))^2)))))/Inputs!$C$13),NA())</x:f>
        <x:v>-1605.248697701722</x:v>
      </x:c>
      <x:c r="R136" s="49"/>
      <x:c r="S136" s="48" t="n">
        <x:f>A136</x:f>
        <x:v>0.117</x:v>
      </x:c>
      <x:c r="T136" s="48" t="n">
        <x:f>(Inputs!$I$6+(((A136)+1)/2)*(Inputs!$J$6-Inputs!$I$6))</x:f>
        <x:v>7.019999999999996</x:v>
      </x:c>
      <x:c r="U136" s="48" t="n">
        <x:f>(Inputs!$I$7+(((A136)+1)/2)*(Inputs!$J$7-Inputs!$I$7))</x:f>
        <x:v>46.80000000000001</x:v>
      </x:c>
      <x:c r="V136" s="48" t="n">
        <x:f>(Inputs!$I$8+(((A136)+1)/2)*(Inputs!$J$8-Inputs!$I$8))</x:f>
        <x:v>93.60000000000002</x:v>
      </x:c>
      <x:c r="W136" s="48" t="n">
        <x:f>(Inputs!$I$9+(((A136)+1)/2)*(Inputs!$J$9-Inputs!$I$9))</x:f>
        <x:v>93.60000000000002</x:v>
      </x:c>
      <x:c r="X136" s="49"/>
      <x:c r="Y136" s="48" t="n">
        <x:f>A136</x:f>
        <x:v>0.117</x:v>
      </x:c>
      <x:c r="Z136" s="48" t="n">
        <x:f>(Inputs!$H$6+Inputs!$L$6*(((Inputs!$I$6+(((A136)+1)/2)*(Inputs!$J$6-Inputs!$I$6)))/Inputs!$K$6)^2)</x:f>
        <x:v>400.054756</x:v>
      </x:c>
      <x:c r="AA136" s="48" t="n">
        <x:f>(Inputs!$H$7+Inputs!$L$7*(((Inputs!$I$7+(((A136)+1)/2)*(Inputs!$J$7-Inputs!$I$7)))/Inputs!$K$7)^2)</x:f>
        <x:v>39.99648500000001</x:v>
      </x:c>
      <x:c r="AB136" s="48" t="n">
        <x:f>(Inputs!$H$8+Inputs!$L$8*(((Inputs!$I$8+(((A136)+1)/2)*(Inputs!$J$8-Inputs!$I$8)))/Inputs!$K$8)^2)</x:f>
        <x:v>48.20988500000001</x:v>
      </x:c>
      <x:c r="AC136" s="48" t="n">
        <x:f>(Inputs!$H$9+Inputs!$L$9*(((Inputs!$I$9+(((A136)+1)/2)*(Inputs!$J$9-Inputs!$I$9)))/Inputs!$K$9)^2)</x:f>
        <x:v>38.34677500000001</x:v>
      </x:c>
      <x:c r="AD136" s="49"/>
      <x:c r="AE136" s="48" t="n">
        <x:f>A136</x:f>
        <x:v>0.117</x:v>
      </x:c>
      <x:c r="AF136" s="48" t="n">
        <x:f>(((SQRT(((Inputs!$I$6+(((A136)+1)/2)*(Inputs!$J$6-Inputs!$I$6)))^2+Inputs!$C$6^2+((Inputs!$H$6+Inputs!$L$6*(((Inputs!$I$6+(((A136)+1)/2)*(Inputs!$J$6-Inputs!$I$6)))/Inputs!$K$6)^2))^2))-((Inputs!$H$6+Inputs!$L$6*(((Inputs!$I$6+(((A136)+1)/2)*(Inputs!$J$6-Inputs!$I$6)))/Inputs!$K$6)^2)))*1000/Inputs!$C$12)</x:f>
        <x:v>472.9490849913699</x:v>
      </x:c>
      <x:c r="AG136" s="48" t="n">
        <x:f>(((SQRT(((Inputs!$I$7+(((A136)+1)/2)*(Inputs!$J$7-Inputs!$I$7)))^2+Inputs!$C$6^2+((Inputs!$H$7+Inputs!$L$7*(((Inputs!$I$7+(((A136)+1)/2)*(Inputs!$J$7-Inputs!$I$7)))/Inputs!$K$7)^2))^2))-((Inputs!$H$7+Inputs!$L$7*(((Inputs!$I$7+(((A136)+1)/2)*(Inputs!$J$7-Inputs!$I$7)))/Inputs!$K$7)^2)))*1000/Inputs!$C$12)</x:f>
        <x:v>14858.80417140119</x:v>
      </x:c>
      <x:c r="AH136" s="48" t="n">
        <x:f>(((SQRT(((Inputs!$I$8+(((A136)+1)/2)*(Inputs!$J$8-Inputs!$I$8)))^2+Inputs!$C$6^2+((Inputs!$H$8+Inputs!$L$8*(((Inputs!$I$8+(((A136)+1)/2)*(Inputs!$J$8-Inputs!$I$8)))/Inputs!$K$8)^2))^2))-((Inputs!$H$8+Inputs!$L$8*(((Inputs!$I$8+(((A136)+1)/2)*(Inputs!$J$8-Inputs!$I$8)))/Inputs!$K$8)^2)))*1000/Inputs!$C$12)</x:f>
        <x:v>33709.87382014908</x:v>
      </x:c>
      <x:c r="AI136" s="48" t="n">
        <x:f>(((SQRT(((Inputs!$I$9+(((A136)+1)/2)*(Inputs!$J$9-Inputs!$I$9)))^2+Inputs!$C$6^2+((Inputs!$H$9+Inputs!$L$9*(((Inputs!$I$9+(((A136)+1)/2)*(Inputs!$J$9-Inputs!$I$9)))/Inputs!$K$9)^2))^2))-((Inputs!$H$9+Inputs!$L$9*(((Inputs!$I$9+(((A136)+1)/2)*(Inputs!$J$9-Inputs!$I$9)))/Inputs!$K$9)^2)))*1000/Inputs!$C$12)</x:f>
        <x:v>36992.94574358409</x:v>
      </x:c>
      <x:c r="AJ136" s="49"/>
      <x:c r="AK136" s="48" t="n">
        <x:f>A136</x:f>
        <x:v>0.117</x:v>
      </x:c>
      <x:c r="AL136" s="48" t="n">
        <x:f>(-2*((1000*((((Inputs!$I$6+(((A136)+1)/2)*(Inputs!$J$6-Inputs!$I$6)))*Inputs!$C$11+((Inputs!$H$6+Inputs!$L$6*(((Inputs!$I$6+(((A136)+1)/2)*(Inputs!$J$6-Inputs!$I$6)))/Inputs!$K$6)^2))*((2*Inputs!$L$6*((Inputs!$I$6+(((A136)+1)/2)*(Inputs!$J$6-Inputs!$I$6)))/(Inputs!$K$6^2)*Inputs!$C$11)))/(SQRT(((Inputs!$I$6+(((A136)+1)/2)*(Inputs!$J$6-Inputs!$I$6)))^2+Inputs!$C$6^2+((Inputs!$H$6+Inputs!$L$6*(((Inputs!$I$6+(((A136)+1)/2)*(Inputs!$J$6-Inputs!$I$6)))/Inputs!$K$6)^2))^2)))))/Inputs!$C$13)</x:f>
        <x:v>-52.92478515778358</x:v>
      </x:c>
      <x:c r="AM136" s="48" t="n">
        <x:f>(-2*((1000*((((Inputs!$I$7+(((A136)+1)/2)*(Inputs!$J$7-Inputs!$I$7)))*Inputs!$C$11+((Inputs!$H$7+Inputs!$L$7*(((Inputs!$I$7+(((A136)+1)/2)*(Inputs!$J$7-Inputs!$I$7)))/Inputs!$K$7)^2))*((2*Inputs!$L$7*((Inputs!$I$7+(((A136)+1)/2)*(Inputs!$J$7-Inputs!$I$7)))/(Inputs!$K$7^2)*Inputs!$C$11)))/(SQRT(((Inputs!$I$7+(((A136)+1)/2)*(Inputs!$J$7-Inputs!$I$7)))^2+Inputs!$C$6^2+((Inputs!$H$7+Inputs!$L$7*(((Inputs!$I$7+(((A136)+1)/2)*(Inputs!$J$7-Inputs!$I$7)))/Inputs!$K$7)^2))^2)))))/Inputs!$C$13)</x:f>
        <x:v>-1332.5937344314798</x:v>
      </x:c>
      <x:c r="AN136" s="48" t="n">
        <x:f>(-2*((1000*((((Inputs!$I$8+(((A136)+1)/2)*(Inputs!$J$8-Inputs!$I$8)))*Inputs!$C$11+((Inputs!$H$8+Inputs!$L$8*(((Inputs!$I$8+(((A136)+1)/2)*(Inputs!$J$8-Inputs!$I$8)))/Inputs!$K$8)^2))*((2*Inputs!$L$8*((Inputs!$I$8+(((A136)+1)/2)*(Inputs!$J$8-Inputs!$I$8)))/(Inputs!$K$8^2)*Inputs!$C$11)))/(SQRT(((Inputs!$I$8+(((A136)+1)/2)*(Inputs!$J$8-Inputs!$I$8)))^2+Inputs!$C$6^2+((Inputs!$H$8+Inputs!$L$8*(((Inputs!$I$8+(((A136)+1)/2)*(Inputs!$J$8-Inputs!$I$8)))/Inputs!$K$8)^2))^2)))))/Inputs!$C$13)</x:f>
        <x:v>-1585.1313471527565</x:v>
      </x:c>
      <x:c r="AO136" s="48" t="n">
        <x:f>(-2*((1000*((((Inputs!$I$9+(((A136)+1)/2)*(Inputs!$J$9-Inputs!$I$9)))*Inputs!$C$11+((Inputs!$H$9+Inputs!$L$9*(((Inputs!$I$9+(((A136)+1)/2)*(Inputs!$J$9-Inputs!$I$9)))/Inputs!$K$9)^2))*((2*Inputs!$L$9*((Inputs!$I$9+(((A136)+1)/2)*(Inputs!$J$9-Inputs!$I$9)))/(Inputs!$K$9^2)*Inputs!$C$11)))/(SQRT(((Inputs!$I$9+(((A136)+1)/2)*(Inputs!$J$9-Inputs!$I$9)))^2+Inputs!$C$6^2+((Inputs!$H$9+Inputs!$L$9*(((Inputs!$I$9+(((A136)+1)/2)*(Inputs!$J$9-Inputs!$I$9)))/Inputs!$K$9)^2))^2)))))/Inputs!$C$13)</x:f>
        <x:v>-1605.248697701722</x:v>
      </x:c>
    </x:row>
    <x:row r="137">
      <x:c r="A137" s="48" t="n">
        <x:f>ROUND(-1+135*2/240,3)</x:f>
        <x:v>0.125</x:v>
      </x:c>
      <x:c r="B137" s="48" t="n">
        <x:f>IF(OR(Inputs!$F$6=TRUE,Inputs!$F$6="TRUE",Inputs!$F$6=1),(Inputs!$H$6+Inputs!$L$6*(((Inputs!$I$6+(((A137)+1)/2)*(Inputs!$J$6-Inputs!$I$6)))/Inputs!$K$6)^2),NA())</x:f>
        <x:v>400.0625</x:v>
      </x:c>
      <x:c r="C137" s="48" t="n">
        <x:f>IF(OR(Inputs!$F$7=TRUE,Inputs!$F$7="TRUE",Inputs!$F$7=1),(Inputs!$H$7+Inputs!$L$7*(((Inputs!$I$7+(((A137)+1)/2)*(Inputs!$J$7-Inputs!$I$7)))/Inputs!$K$7)^2),NA())</x:f>
        <x:v>40.703125</x:v>
      </x:c>
      <x:c r="D137" s="48" t="n">
        <x:f>IF(OR(Inputs!$F$8=TRUE,Inputs!$F$8="TRUE",Inputs!$F$8=1),(Inputs!$H$8+Inputs!$L$8*(((Inputs!$I$8+(((A137)+1)/2)*(Inputs!$J$8-Inputs!$I$8)))/Inputs!$K$8)^2),NA())</x:f>
        <x:v>50.078125</x:v>
      </x:c>
      <x:c r="E137" s="48" t="n">
        <x:f>IF(OR(Inputs!$F$9=TRUE,Inputs!$F$9="TRUE",Inputs!$F$9=1),(Inputs!$H$9+Inputs!$L$9*(((Inputs!$I$9+(((A137)+1)/2)*(Inputs!$J$9-Inputs!$I$9)))/Inputs!$K$9)^2),NA())</x:f>
        <x:v>40.234375</x:v>
      </x:c>
      <x:c r="F137" s="49"/>
      <x:c r="G137" s="48" t="n">
        <x:f>A137</x:f>
        <x:v>0.125</x:v>
      </x:c>
      <x:c r="H137" s="48" t="n">
        <x:f>IF(OR(Inputs!$F$6=TRUE,Inputs!$F$6="TRUE",Inputs!$F$6=1),(((SQRT(((Inputs!$I$6+(((A137)+1)/2)*(Inputs!$J$6-Inputs!$I$6)))^2+Inputs!$C$6^2+((Inputs!$H$6+Inputs!$L$6*(((Inputs!$I$6+(((A137)+1)/2)*(Inputs!$J$6-Inputs!$I$6)))/Inputs!$K$6)^2))^2))-((Inputs!$H$6+Inputs!$L$6*(((Inputs!$I$6+(((A137)+1)/2)*(Inputs!$J$6-Inputs!$I$6)))/Inputs!$K$6)^2)))*1000/Inputs!$C$12),NA())</x:f>
        <x:v>477.82323801636795</x:v>
      </x:c>
      <x:c r="I137" s="48" t="n">
        <x:f>IF(OR(Inputs!$F$7=TRUE,Inputs!$F$7="TRUE",Inputs!$F$7=1),(((SQRT(((Inputs!$I$7+(((A137)+1)/2)*(Inputs!$J$7-Inputs!$I$7)))^2+Inputs!$C$6^2+((Inputs!$H$7+Inputs!$L$7*(((Inputs!$I$7+(((A137)+1)/2)*(Inputs!$J$7-Inputs!$I$7)))/Inputs!$K$7)^2))^2))-((Inputs!$H$7+Inputs!$L$7*(((Inputs!$I$7+(((A137)+1)/2)*(Inputs!$J$7-Inputs!$I$7)))/Inputs!$K$7)^2)))*1000/Inputs!$C$12),NA())</x:f>
        <x:v>15981.479348918183</x:v>
      </x:c>
      <x:c r="J137" s="48" t="n">
        <x:f>IF(OR(Inputs!$F$8=TRUE,Inputs!$F$8="TRUE",Inputs!$F$8=1),(((SQRT(((Inputs!$I$8+(((A137)+1)/2)*(Inputs!$J$8-Inputs!$I$8)))^2+Inputs!$C$6^2+((Inputs!$H$8+Inputs!$L$8*(((Inputs!$I$8+(((A137)+1)/2)*(Inputs!$J$8-Inputs!$I$8)))/Inputs!$K$8)^2))^2))-((Inputs!$H$8+Inputs!$L$8*(((Inputs!$I$8+(((A137)+1)/2)*(Inputs!$J$8-Inputs!$I$8)))/Inputs!$K$8)^2)))*1000/Inputs!$C$12),NA())</x:f>
        <x:v>36247.40757127122</x:v>
      </x:c>
      <x:c r="K137" s="48" t="n">
        <x:f>IF(OR(Inputs!$F$9=TRUE,Inputs!$F$9="TRUE",Inputs!$F$9=1),(((SQRT(((Inputs!$I$9+(((A137)+1)/2)*(Inputs!$J$9-Inputs!$I$9)))^2+Inputs!$C$6^2+((Inputs!$H$9+Inputs!$L$9*(((Inputs!$I$9+(((A137)+1)/2)*(Inputs!$J$9-Inputs!$I$9)))/Inputs!$K$9)^2))^2))-((Inputs!$H$9+Inputs!$L$9*(((Inputs!$I$9+(((A137)+1)/2)*(Inputs!$J$9-Inputs!$I$9)))/Inputs!$K$9)^2)))*1000/Inputs!$C$12),NA())</x:f>
        <x:v>39560.310730652614</x:v>
      </x:c>
      <x:c r="L137" s="49"/>
      <x:c r="M137" s="48" t="n">
        <x:f>A137</x:f>
        <x:v>0.125</x:v>
      </x:c>
      <x:c r="N137" s="48" t="n">
        <x:f>IF(OR(Inputs!$F$6=TRUE,Inputs!$F$6="TRUE",Inputs!$F$6=1),(-2*((1000*((((Inputs!$I$6+(((A137)+1)/2)*(Inputs!$J$6-Inputs!$I$6)))*Inputs!$C$11+((Inputs!$H$6+Inputs!$L$6*(((Inputs!$I$6+(((A137)+1)/2)*(Inputs!$J$6-Inputs!$I$6)))/Inputs!$K$6)^2))*((2*Inputs!$L$6*((Inputs!$I$6+(((A137)+1)/2)*(Inputs!$J$6-Inputs!$I$6)))/(Inputs!$K$6^2)*Inputs!$C$11)))/(SQRT(((Inputs!$I$6+(((A137)+1)/2)*(Inputs!$J$6-Inputs!$I$6)))^2+Inputs!$C$6^2+((Inputs!$H$6+Inputs!$L$6*(((Inputs!$I$6+(((A137)+1)/2)*(Inputs!$J$6-Inputs!$I$6)))/Inputs!$K$6)^2))^2)))))/Inputs!$C$13),NA())</x:f>
        <x:v>-56.54177315084945</x:v>
      </x:c>
      <x:c r="O137" s="48" t="n">
        <x:f>IF(OR(Inputs!$F$7=TRUE,Inputs!$F$7="TRUE",Inputs!$F$7=1),(-2*((1000*((((Inputs!$I$7+(((A137)+1)/2)*(Inputs!$J$7-Inputs!$I$7)))*Inputs!$C$11+((Inputs!$H$7+Inputs!$L$7*(((Inputs!$I$7+(((A137)+1)/2)*(Inputs!$J$7-Inputs!$I$7)))/Inputs!$K$7)^2))*((2*Inputs!$L$7*((Inputs!$I$7+(((A137)+1)/2)*(Inputs!$J$7-Inputs!$I$7)))/(Inputs!$K$7^2)*Inputs!$C$11)))/(SQRT(((Inputs!$I$7+(((A137)+1)/2)*(Inputs!$J$7-Inputs!$I$7)))^2+Inputs!$C$6^2+((Inputs!$H$7+Inputs!$L$7*(((Inputs!$I$7+(((A137)+1)/2)*(Inputs!$J$7-Inputs!$I$7)))/Inputs!$K$7)^2))^2)))))/Inputs!$C$13),NA())</x:f>
        <x:v>-1371.7487137817755</x:v>
      </x:c>
      <x:c r="P137" s="48" t="n">
        <x:f>IF(OR(Inputs!$F$8=TRUE,Inputs!$F$8="TRUE",Inputs!$F$8=1),(-2*((1000*((((Inputs!$I$8+(((A137)+1)/2)*(Inputs!$J$8-Inputs!$I$8)))*Inputs!$C$11+((Inputs!$H$8+Inputs!$L$8*(((Inputs!$I$8+(((A137)+1)/2)*(Inputs!$J$8-Inputs!$I$8)))/Inputs!$K$8)^2))*((2*Inputs!$L$8*((Inputs!$I$8+(((A137)+1)/2)*(Inputs!$J$8-Inputs!$I$8)))/(Inputs!$K$8^2)*Inputs!$C$11)))/(SQRT(((Inputs!$I$8+(((A137)+1)/2)*(Inputs!$J$8-Inputs!$I$8)))^2+Inputs!$C$6^2+((Inputs!$H$8+Inputs!$L$8*(((Inputs!$I$8+(((A137)+1)/2)*(Inputs!$J$8-Inputs!$I$8)))/Inputs!$K$8)^2))^2)))))/Inputs!$C$13),NA())</x:f>
        <x:v>-1607.0252095439068</x:v>
      </x:c>
      <x:c r="Q137" s="48" t="n">
        <x:f>IF(OR(Inputs!$F$9=TRUE,Inputs!$F$9="TRUE",Inputs!$F$9=1),(-2*((1000*((((Inputs!$I$9+(((A137)+1)/2)*(Inputs!$J$9-Inputs!$I$9)))*Inputs!$C$11+((Inputs!$H$9+Inputs!$L$9*(((Inputs!$I$9+(((A137)+1)/2)*(Inputs!$J$9-Inputs!$I$9)))/Inputs!$K$9)^2))*((2*Inputs!$L$9*((Inputs!$I$9+(((A137)+1)/2)*(Inputs!$J$9-Inputs!$I$9)))/(Inputs!$K$9^2)*Inputs!$C$11)))/(SQRT(((Inputs!$I$9+(((A137)+1)/2)*(Inputs!$J$9-Inputs!$I$9)))^2+Inputs!$C$6^2+((Inputs!$H$9+Inputs!$L$9*(((Inputs!$I$9+(((A137)+1)/2)*(Inputs!$J$9-Inputs!$I$9)))/Inputs!$K$9)^2))^2)))))/Inputs!$C$13),NA())</x:f>
        <x:v>-1623.239518223017</x:v>
      </x:c>
      <x:c r="R137" s="49"/>
      <x:c r="S137" s="48" t="n">
        <x:f>A137</x:f>
        <x:v>0.125</x:v>
      </x:c>
      <x:c r="T137" s="48" t="n">
        <x:f>(Inputs!$I$6+(((A137)+1)/2)*(Inputs!$J$6-Inputs!$I$6))</x:f>
        <x:v>7.5</x:v>
      </x:c>
      <x:c r="U137" s="48" t="n">
        <x:f>(Inputs!$I$7+(((A137)+1)/2)*(Inputs!$J$7-Inputs!$I$7))</x:f>
        <x:v>50</x:v>
      </x:c>
      <x:c r="V137" s="48" t="n">
        <x:f>(Inputs!$I$8+(((A137)+1)/2)*(Inputs!$J$8-Inputs!$I$8))</x:f>
        <x:v>100</x:v>
      </x:c>
      <x:c r="W137" s="48" t="n">
        <x:f>(Inputs!$I$9+(((A137)+1)/2)*(Inputs!$J$9-Inputs!$I$9))</x:f>
        <x:v>100</x:v>
      </x:c>
      <x:c r="X137" s="49"/>
      <x:c r="Y137" s="48" t="n">
        <x:f>A137</x:f>
        <x:v>0.125</x:v>
      </x:c>
      <x:c r="Z137" s="48" t="n">
        <x:f>(Inputs!$H$6+Inputs!$L$6*(((Inputs!$I$6+(((A137)+1)/2)*(Inputs!$J$6-Inputs!$I$6)))/Inputs!$K$6)^2)</x:f>
        <x:v>400.0625</x:v>
      </x:c>
      <x:c r="AA137" s="48" t="n">
        <x:f>(Inputs!$H$7+Inputs!$L$7*(((Inputs!$I$7+(((A137)+1)/2)*(Inputs!$J$7-Inputs!$I$7)))/Inputs!$K$7)^2)</x:f>
        <x:v>40.703125</x:v>
      </x:c>
      <x:c r="AB137" s="48" t="n">
        <x:f>(Inputs!$H$8+Inputs!$L$8*(((Inputs!$I$8+(((A137)+1)/2)*(Inputs!$J$8-Inputs!$I$8)))/Inputs!$K$8)^2)</x:f>
        <x:v>50.078125</x:v>
      </x:c>
      <x:c r="AC137" s="48" t="n">
        <x:f>(Inputs!$H$9+Inputs!$L$9*(((Inputs!$I$9+(((A137)+1)/2)*(Inputs!$J$9-Inputs!$I$9)))/Inputs!$K$9)^2)</x:f>
        <x:v>40.234375</x:v>
      </x:c>
      <x:c r="AD137" s="49"/>
      <x:c r="AE137" s="48" t="n">
        <x:f>A137</x:f>
        <x:v>0.125</x:v>
      </x:c>
      <x:c r="AF137" s="48" t="n">
        <x:f>(((SQRT(((Inputs!$I$6+(((A137)+1)/2)*(Inputs!$J$6-Inputs!$I$6)))^2+Inputs!$C$6^2+((Inputs!$H$6+Inputs!$L$6*(((Inputs!$I$6+(((A137)+1)/2)*(Inputs!$J$6-Inputs!$I$6)))/Inputs!$K$6)^2))^2))-((Inputs!$H$6+Inputs!$L$6*(((Inputs!$I$6+(((A137)+1)/2)*(Inputs!$J$6-Inputs!$I$6)))/Inputs!$K$6)^2)))*1000/Inputs!$C$12)</x:f>
        <x:v>477.82323801636795</x:v>
      </x:c>
      <x:c r="AG137" s="48" t="n">
        <x:f>(((SQRT(((Inputs!$I$7+(((A137)+1)/2)*(Inputs!$J$7-Inputs!$I$7)))^2+Inputs!$C$6^2+((Inputs!$H$7+Inputs!$L$7*(((Inputs!$I$7+(((A137)+1)/2)*(Inputs!$J$7-Inputs!$I$7)))/Inputs!$K$7)^2))^2))-((Inputs!$H$7+Inputs!$L$7*(((Inputs!$I$7+(((A137)+1)/2)*(Inputs!$J$7-Inputs!$I$7)))/Inputs!$K$7)^2)))*1000/Inputs!$C$12)</x:f>
        <x:v>15981.479348918183</x:v>
      </x:c>
      <x:c r="AH137" s="48" t="n">
        <x:f>(((SQRT(((Inputs!$I$8+(((A137)+1)/2)*(Inputs!$J$8-Inputs!$I$8)))^2+Inputs!$C$6^2+((Inputs!$H$8+Inputs!$L$8*(((Inputs!$I$8+(((A137)+1)/2)*(Inputs!$J$8-Inputs!$I$8)))/Inputs!$K$8)^2))^2))-((Inputs!$H$8+Inputs!$L$8*(((Inputs!$I$8+(((A137)+1)/2)*(Inputs!$J$8-Inputs!$I$8)))/Inputs!$K$8)^2)))*1000/Inputs!$C$12)</x:f>
        <x:v>36247.40757127122</x:v>
      </x:c>
      <x:c r="AI137" s="48" t="n">
        <x:f>(((SQRT(((Inputs!$I$9+(((A137)+1)/2)*(Inputs!$J$9-Inputs!$I$9)))^2+Inputs!$C$6^2+((Inputs!$H$9+Inputs!$L$9*(((Inputs!$I$9+(((A137)+1)/2)*(Inputs!$J$9-Inputs!$I$9)))/Inputs!$K$9)^2))^2))-((Inputs!$H$9+Inputs!$L$9*(((Inputs!$I$9+(((A137)+1)/2)*(Inputs!$J$9-Inputs!$I$9)))/Inputs!$K$9)^2)))*1000/Inputs!$C$12)</x:f>
        <x:v>39560.310730652614</x:v>
      </x:c>
      <x:c r="AJ137" s="49"/>
      <x:c r="AK137" s="48" t="n">
        <x:f>A137</x:f>
        <x:v>0.125</x:v>
      </x:c>
      <x:c r="AL137" s="48" t="n">
        <x:f>(-2*((1000*((((Inputs!$I$6+(((A137)+1)/2)*(Inputs!$J$6-Inputs!$I$6)))*Inputs!$C$11+((Inputs!$H$6+Inputs!$L$6*(((Inputs!$I$6+(((A137)+1)/2)*(Inputs!$J$6-Inputs!$I$6)))/Inputs!$K$6)^2))*((2*Inputs!$L$6*((Inputs!$I$6+(((A137)+1)/2)*(Inputs!$J$6-Inputs!$I$6)))/(Inputs!$K$6^2)*Inputs!$C$11)))/(SQRT(((Inputs!$I$6+(((A137)+1)/2)*(Inputs!$J$6-Inputs!$I$6)))^2+Inputs!$C$6^2+((Inputs!$H$6+Inputs!$L$6*(((Inputs!$I$6+(((A137)+1)/2)*(Inputs!$J$6-Inputs!$I$6)))/Inputs!$K$6)^2))^2)))))/Inputs!$C$13)</x:f>
        <x:v>-56.54177315084945</x:v>
      </x:c>
      <x:c r="AM137" s="48" t="n">
        <x:f>(-2*((1000*((((Inputs!$I$7+(((A137)+1)/2)*(Inputs!$J$7-Inputs!$I$7)))*Inputs!$C$11+((Inputs!$H$7+Inputs!$L$7*(((Inputs!$I$7+(((A137)+1)/2)*(Inputs!$J$7-Inputs!$I$7)))/Inputs!$K$7)^2))*((2*Inputs!$L$7*((Inputs!$I$7+(((A137)+1)/2)*(Inputs!$J$7-Inputs!$I$7)))/(Inputs!$K$7^2)*Inputs!$C$11)))/(SQRT(((Inputs!$I$7+(((A137)+1)/2)*(Inputs!$J$7-Inputs!$I$7)))^2+Inputs!$C$6^2+((Inputs!$H$7+Inputs!$L$7*(((Inputs!$I$7+(((A137)+1)/2)*(Inputs!$J$7-Inputs!$I$7)))/Inputs!$K$7)^2))^2)))))/Inputs!$C$13)</x:f>
        <x:v>-1371.7487137817755</x:v>
      </x:c>
      <x:c r="AN137" s="48" t="n">
        <x:f>(-2*((1000*((((Inputs!$I$8+(((A137)+1)/2)*(Inputs!$J$8-Inputs!$I$8)))*Inputs!$C$11+((Inputs!$H$8+Inputs!$L$8*(((Inputs!$I$8+(((A137)+1)/2)*(Inputs!$J$8-Inputs!$I$8)))/Inputs!$K$8)^2))*((2*Inputs!$L$8*((Inputs!$I$8+(((A137)+1)/2)*(Inputs!$J$8-Inputs!$I$8)))/(Inputs!$K$8^2)*Inputs!$C$11)))/(SQRT(((Inputs!$I$8+(((A137)+1)/2)*(Inputs!$J$8-Inputs!$I$8)))^2+Inputs!$C$6^2+((Inputs!$H$8+Inputs!$L$8*(((Inputs!$I$8+(((A137)+1)/2)*(Inputs!$J$8-Inputs!$I$8)))/Inputs!$K$8)^2))^2)))))/Inputs!$C$13)</x:f>
        <x:v>-1607.0252095439068</x:v>
      </x:c>
      <x:c r="AO137" s="48" t="n">
        <x:f>(-2*((1000*((((Inputs!$I$9+(((A137)+1)/2)*(Inputs!$J$9-Inputs!$I$9)))*Inputs!$C$11+((Inputs!$H$9+Inputs!$L$9*(((Inputs!$I$9+(((A137)+1)/2)*(Inputs!$J$9-Inputs!$I$9)))/Inputs!$K$9)^2))*((2*Inputs!$L$9*((Inputs!$I$9+(((A137)+1)/2)*(Inputs!$J$9-Inputs!$I$9)))/(Inputs!$K$9^2)*Inputs!$C$11)))/(SQRT(((Inputs!$I$9+(((A137)+1)/2)*(Inputs!$J$9-Inputs!$I$9)))^2+Inputs!$C$6^2+((Inputs!$H$9+Inputs!$L$9*(((Inputs!$I$9+(((A137)+1)/2)*(Inputs!$J$9-Inputs!$I$9)))/Inputs!$K$9)^2))^2)))))/Inputs!$C$13)</x:f>
        <x:v>-1623.239518223017</x:v>
      </x:c>
    </x:row>
    <x:row r="138">
      <x:c r="A138" s="48" t="n">
        <x:f>ROUND(-1+136*2/240,3)</x:f>
        <x:v>0.133</x:v>
      </x:c>
      <x:c r="B138" s="48" t="n">
        <x:f>IF(OR(Inputs!$F$6=TRUE,Inputs!$F$6="TRUE",Inputs!$F$6=1),(Inputs!$H$6+Inputs!$L$6*(((Inputs!$I$6+(((A138)+1)/2)*(Inputs!$J$6-Inputs!$I$6)))/Inputs!$K$6)^2),NA())</x:f>
        <x:v>400.070756</x:v>
      </x:c>
      <x:c r="C138" s="48" t="n">
        <x:f>IF(OR(Inputs!$F$7=TRUE,Inputs!$F$7="TRUE",Inputs!$F$7=1),(Inputs!$H$7+Inputs!$L$7*(((Inputs!$I$7+(((A138)+1)/2)*(Inputs!$J$7-Inputs!$I$7)))/Inputs!$K$7)^2),NA())</x:f>
        <x:v>41.456485</x:v>
      </x:c>
      <x:c r="D138" s="48" t="n">
        <x:f>IF(OR(Inputs!$F$8=TRUE,Inputs!$F$8="TRUE",Inputs!$F$8=1),(Inputs!$H$8+Inputs!$L$8*(((Inputs!$I$8+(((A138)+1)/2)*(Inputs!$J$8-Inputs!$I$8)))/Inputs!$K$8)^2),NA())</x:f>
        <x:v>52.06988499999999</x:v>
      </x:c>
      <x:c r="E138" s="48" t="n">
        <x:f>IF(OR(Inputs!$F$9=TRUE,Inputs!$F$9="TRUE",Inputs!$F$9=1),(Inputs!$H$9+Inputs!$L$9*(((Inputs!$I$9+(((A138)+1)/2)*(Inputs!$J$9-Inputs!$I$9)))/Inputs!$K$9)^2),NA())</x:f>
        <x:v>42.24677499999999</x:v>
      </x:c>
      <x:c r="F138" s="49"/>
      <x:c r="G138" s="48" t="n">
        <x:f>A138</x:f>
        <x:v>0.133</x:v>
      </x:c>
      <x:c r="H138" s="48" t="n">
        <x:f>IF(OR(Inputs!$F$6=TRUE,Inputs!$F$6="TRUE",Inputs!$F$6=1),(((SQRT(((Inputs!$I$6+(((A138)+1)/2)*(Inputs!$J$6-Inputs!$I$6)))^2+Inputs!$C$6^2+((Inputs!$H$6+Inputs!$L$6*(((Inputs!$I$6+(((A138)+1)/2)*(Inputs!$J$6-Inputs!$I$6)))/Inputs!$K$6)^2))^2))-((Inputs!$H$6+Inputs!$L$6*(((Inputs!$I$6+(((A138)+1)/2)*(Inputs!$J$6-Inputs!$I$6)))/Inputs!$K$6)^2)))*1000/Inputs!$C$12),NA())</x:f>
        <x:v>483.01932555279075</x:v>
      </x:c>
      <x:c r="I138" s="48" t="n">
        <x:f>IF(OR(Inputs!$F$7=TRUE,Inputs!$F$7="TRUE",Inputs!$F$7=1),(((SQRT(((Inputs!$I$7+(((A138)+1)/2)*(Inputs!$J$7-Inputs!$I$7)))^2+Inputs!$C$6^2+((Inputs!$H$7+Inputs!$L$7*(((Inputs!$I$7+(((A138)+1)/2)*(Inputs!$J$7-Inputs!$I$7)))/Inputs!$K$7)^2))^2))-((Inputs!$H$7+Inputs!$L$7*(((Inputs!$I$7+(((A138)+1)/2)*(Inputs!$J$7-Inputs!$I$7)))/Inputs!$K$7)^2)))*1000/Inputs!$C$12),NA())</x:f>
        <x:v>17119.777484814567</x:v>
      </x:c>
      <x:c r="J138" s="48" t="n">
        <x:f>IF(OR(Inputs!$F$8=TRUE,Inputs!$F$8="TRUE",Inputs!$F$8=1),(((SQRT(((Inputs!$I$8+(((A138)+1)/2)*(Inputs!$J$8-Inputs!$I$8)))^2+Inputs!$C$6^2+((Inputs!$H$8+Inputs!$L$8*(((Inputs!$I$8+(((A138)+1)/2)*(Inputs!$J$8-Inputs!$I$8)))/Inputs!$K$8)^2))^2))-((Inputs!$H$8+Inputs!$L$8*(((Inputs!$I$8+(((A138)+1)/2)*(Inputs!$J$8-Inputs!$I$8)))/Inputs!$K$8)^2)))*1000/Inputs!$C$12),NA())</x:f>
        <x:v>38762.45764908813</x:v>
      </x:c>
      <x:c r="K138" s="48" t="n">
        <x:f>IF(OR(Inputs!$F$9=TRUE,Inputs!$F$9="TRUE",Inputs!$F$9=1),(((SQRT(((Inputs!$I$9+(((A138)+1)/2)*(Inputs!$J$9-Inputs!$I$9)))^2+Inputs!$C$6^2+((Inputs!$H$9+Inputs!$L$9*(((Inputs!$I$9+(((A138)+1)/2)*(Inputs!$J$9-Inputs!$I$9)))/Inputs!$K$9)^2))^2))-((Inputs!$H$9+Inputs!$L$9*(((Inputs!$I$9+(((A138)+1)/2)*(Inputs!$J$9-Inputs!$I$9)))/Inputs!$K$9)^2)))*1000/Inputs!$C$12),NA())</x:f>
        <x:v>42096.35278758791</x:v>
      </x:c>
      <x:c r="L138" s="49"/>
      <x:c r="M138" s="48" t="n">
        <x:f>A138</x:f>
        <x:v>0.133</x:v>
      </x:c>
      <x:c r="N138" s="48" t="n">
        <x:f>IF(OR(Inputs!$F$6=TRUE,Inputs!$F$6="TRUE",Inputs!$F$6=1),(-2*((1000*((((Inputs!$I$6+(((A138)+1)/2)*(Inputs!$J$6-Inputs!$I$6)))*Inputs!$C$11+((Inputs!$H$6+Inputs!$L$6*(((Inputs!$I$6+(((A138)+1)/2)*(Inputs!$J$6-Inputs!$I$6)))/Inputs!$K$6)^2))*((2*Inputs!$L$6*((Inputs!$I$6+(((A138)+1)/2)*(Inputs!$J$6-Inputs!$I$6)))/(Inputs!$K$6^2)*Inputs!$C$11)))/(SQRT(((Inputs!$I$6+(((A138)+1)/2)*(Inputs!$J$6-Inputs!$I$6)))^2+Inputs!$C$6^2+((Inputs!$H$6+Inputs!$L$6*(((Inputs!$I$6+(((A138)+1)/2)*(Inputs!$J$6-Inputs!$I$6)))/Inputs!$K$6)^2))^2)))))/Inputs!$C$13),NA())</x:f>
        <x:v>-60.15840423245983</x:v>
      </x:c>
      <x:c r="O138" s="48" t="n">
        <x:f>IF(OR(Inputs!$F$7=TRUE,Inputs!$F$7="TRUE",Inputs!$F$7=1),(-2*((1000*((((Inputs!$I$7+(((A138)+1)/2)*(Inputs!$J$7-Inputs!$I$7)))*Inputs!$C$11+((Inputs!$H$7+Inputs!$L$7*(((Inputs!$I$7+(((A138)+1)/2)*(Inputs!$J$7-Inputs!$I$7)))/Inputs!$K$7)^2))*((2*Inputs!$L$7*((Inputs!$I$7+(((A138)+1)/2)*(Inputs!$J$7-Inputs!$I$7)))/(Inputs!$K$7^2)*Inputs!$C$11)))/(SQRT(((Inputs!$I$7+(((A138)+1)/2)*(Inputs!$J$7-Inputs!$I$7)))^2+Inputs!$C$6^2+((Inputs!$H$7+Inputs!$L$7*(((Inputs!$I$7+(((A138)+1)/2)*(Inputs!$J$7-Inputs!$I$7)))/Inputs!$K$7)^2))^2)))))/Inputs!$C$13),NA())</x:f>
        <x:v>-1407.2080948799503</x:v>
      </x:c>
      <x:c r="P138" s="48" t="n">
        <x:f>IF(OR(Inputs!$F$8=TRUE,Inputs!$F$8="TRUE",Inputs!$F$8=1),(-2*((1000*((((Inputs!$I$8+(((A138)+1)/2)*(Inputs!$J$8-Inputs!$I$8)))*Inputs!$C$11+((Inputs!$H$8+Inputs!$L$8*(((Inputs!$I$8+(((A138)+1)/2)*(Inputs!$J$8-Inputs!$I$8)))/Inputs!$K$8)^2))*((2*Inputs!$L$8*((Inputs!$I$8+(((A138)+1)/2)*(Inputs!$J$8-Inputs!$I$8)))/(Inputs!$K$8^2)*Inputs!$C$11)))/(SQRT(((Inputs!$I$8+(((A138)+1)/2)*(Inputs!$J$8-Inputs!$I$8)))^2+Inputs!$C$6^2+((Inputs!$H$8+Inputs!$L$8*(((Inputs!$I$8+(((A138)+1)/2)*(Inputs!$J$8-Inputs!$I$8)))/Inputs!$K$8)^2))^2)))))/Inputs!$C$13),NA())</x:f>
        <x:v>-1626.9630912575853</x:v>
      </x:c>
      <x:c r="Q138" s="48" t="n">
        <x:f>IF(OR(Inputs!$F$9=TRUE,Inputs!$F$9="TRUE",Inputs!$F$9=1),(-2*((1000*((((Inputs!$I$9+(((A138)+1)/2)*(Inputs!$J$9-Inputs!$I$9)))*Inputs!$C$11+((Inputs!$H$9+Inputs!$L$9*(((Inputs!$I$9+(((A138)+1)/2)*(Inputs!$J$9-Inputs!$I$9)))/Inputs!$K$9)^2))*((2*Inputs!$L$9*((Inputs!$I$9+(((A138)+1)/2)*(Inputs!$J$9-Inputs!$I$9)))/(Inputs!$K$9^2)*Inputs!$C$11)))/(SQRT(((Inputs!$I$9+(((A138)+1)/2)*(Inputs!$J$9-Inputs!$I$9)))^2+Inputs!$C$6^2+((Inputs!$H$9+Inputs!$L$9*(((Inputs!$I$9+(((A138)+1)/2)*(Inputs!$J$9-Inputs!$I$9)))/Inputs!$K$9)^2))^2)))))/Inputs!$C$13),NA())</x:f>
        <x:v>-1639.8380086774882</x:v>
      </x:c>
      <x:c r="R138" s="49"/>
      <x:c r="S138" s="48" t="n">
        <x:f>A138</x:f>
        <x:v>0.133</x:v>
      </x:c>
      <x:c r="T138" s="48" t="n">
        <x:f>(Inputs!$I$6+(((A138)+1)/2)*(Inputs!$J$6-Inputs!$I$6))</x:f>
        <x:v>7.980000000000004</x:v>
      </x:c>
      <x:c r="U138" s="48" t="n">
        <x:f>(Inputs!$I$7+(((A138)+1)/2)*(Inputs!$J$7-Inputs!$I$7))</x:f>
        <x:v>53.19999999999999</x:v>
      </x:c>
      <x:c r="V138" s="48" t="n">
        <x:f>(Inputs!$I$8+(((A138)+1)/2)*(Inputs!$J$8-Inputs!$I$8))</x:f>
        <x:v>106.39999999999998</x:v>
      </x:c>
      <x:c r="W138" s="48" t="n">
        <x:f>(Inputs!$I$9+(((A138)+1)/2)*(Inputs!$J$9-Inputs!$I$9))</x:f>
        <x:v>106.39999999999998</x:v>
      </x:c>
      <x:c r="X138" s="49"/>
      <x:c r="Y138" s="48" t="n">
        <x:f>A138</x:f>
        <x:v>0.133</x:v>
      </x:c>
      <x:c r="Z138" s="48" t="n">
        <x:f>(Inputs!$H$6+Inputs!$L$6*(((Inputs!$I$6+(((A138)+1)/2)*(Inputs!$J$6-Inputs!$I$6)))/Inputs!$K$6)^2)</x:f>
        <x:v>400.070756</x:v>
      </x:c>
      <x:c r="AA138" s="48" t="n">
        <x:f>(Inputs!$H$7+Inputs!$L$7*(((Inputs!$I$7+(((A138)+1)/2)*(Inputs!$J$7-Inputs!$I$7)))/Inputs!$K$7)^2)</x:f>
        <x:v>41.456485</x:v>
      </x:c>
      <x:c r="AB138" s="48" t="n">
        <x:f>(Inputs!$H$8+Inputs!$L$8*(((Inputs!$I$8+(((A138)+1)/2)*(Inputs!$J$8-Inputs!$I$8)))/Inputs!$K$8)^2)</x:f>
        <x:v>52.06988499999999</x:v>
      </x:c>
      <x:c r="AC138" s="48" t="n">
        <x:f>(Inputs!$H$9+Inputs!$L$9*(((Inputs!$I$9+(((A138)+1)/2)*(Inputs!$J$9-Inputs!$I$9)))/Inputs!$K$9)^2)</x:f>
        <x:v>42.24677499999999</x:v>
      </x:c>
      <x:c r="AD138" s="49"/>
      <x:c r="AE138" s="48" t="n">
        <x:f>A138</x:f>
        <x:v>0.133</x:v>
      </x:c>
      <x:c r="AF138" s="48" t="n">
        <x:f>(((SQRT(((Inputs!$I$6+(((A138)+1)/2)*(Inputs!$J$6-Inputs!$I$6)))^2+Inputs!$C$6^2+((Inputs!$H$6+Inputs!$L$6*(((Inputs!$I$6+(((A138)+1)/2)*(Inputs!$J$6-Inputs!$I$6)))/Inputs!$K$6)^2))^2))-((Inputs!$H$6+Inputs!$L$6*(((Inputs!$I$6+(((A138)+1)/2)*(Inputs!$J$6-Inputs!$I$6)))/Inputs!$K$6)^2)))*1000/Inputs!$C$12)</x:f>
        <x:v>483.01932555279075</x:v>
      </x:c>
      <x:c r="AG138" s="48" t="n">
        <x:f>(((SQRT(((Inputs!$I$7+(((A138)+1)/2)*(Inputs!$J$7-Inputs!$I$7)))^2+Inputs!$C$6^2+((Inputs!$H$7+Inputs!$L$7*(((Inputs!$I$7+(((A138)+1)/2)*(Inputs!$J$7-Inputs!$I$7)))/Inputs!$K$7)^2))^2))-((Inputs!$H$7+Inputs!$L$7*(((Inputs!$I$7+(((A138)+1)/2)*(Inputs!$J$7-Inputs!$I$7)))/Inputs!$K$7)^2)))*1000/Inputs!$C$12)</x:f>
        <x:v>17119.777484814567</x:v>
      </x:c>
      <x:c r="AH138" s="48" t="n">
        <x:f>(((SQRT(((Inputs!$I$8+(((A138)+1)/2)*(Inputs!$J$8-Inputs!$I$8)))^2+Inputs!$C$6^2+((Inputs!$H$8+Inputs!$L$8*(((Inputs!$I$8+(((A138)+1)/2)*(Inputs!$J$8-Inputs!$I$8)))/Inputs!$K$8)^2))^2))-((Inputs!$H$8+Inputs!$L$8*(((Inputs!$I$8+(((A138)+1)/2)*(Inputs!$J$8-Inputs!$I$8)))/Inputs!$K$8)^2)))*1000/Inputs!$C$12)</x:f>
        <x:v>38762.45764908813</x:v>
      </x:c>
      <x:c r="AI138" s="48" t="n">
        <x:f>(((SQRT(((Inputs!$I$9+(((A138)+1)/2)*(Inputs!$J$9-Inputs!$I$9)))^2+Inputs!$C$6^2+((Inputs!$H$9+Inputs!$L$9*(((Inputs!$I$9+(((A138)+1)/2)*(Inputs!$J$9-Inputs!$I$9)))/Inputs!$K$9)^2))^2))-((Inputs!$H$9+Inputs!$L$9*(((Inputs!$I$9+(((A138)+1)/2)*(Inputs!$J$9-Inputs!$I$9)))/Inputs!$K$9)^2)))*1000/Inputs!$C$12)</x:f>
        <x:v>42096.35278758791</x:v>
      </x:c>
      <x:c r="AJ138" s="49"/>
      <x:c r="AK138" s="48" t="n">
        <x:f>A138</x:f>
        <x:v>0.133</x:v>
      </x:c>
      <x:c r="AL138" s="48" t="n">
        <x:f>(-2*((1000*((((Inputs!$I$6+(((A138)+1)/2)*(Inputs!$J$6-Inputs!$I$6)))*Inputs!$C$11+((Inputs!$H$6+Inputs!$L$6*(((Inputs!$I$6+(((A138)+1)/2)*(Inputs!$J$6-Inputs!$I$6)))/Inputs!$K$6)^2))*((2*Inputs!$L$6*((Inputs!$I$6+(((A138)+1)/2)*(Inputs!$J$6-Inputs!$I$6)))/(Inputs!$K$6^2)*Inputs!$C$11)))/(SQRT(((Inputs!$I$6+(((A138)+1)/2)*(Inputs!$J$6-Inputs!$I$6)))^2+Inputs!$C$6^2+((Inputs!$H$6+Inputs!$L$6*(((Inputs!$I$6+(((A138)+1)/2)*(Inputs!$J$6-Inputs!$I$6)))/Inputs!$K$6)^2))^2)))))/Inputs!$C$13)</x:f>
        <x:v>-60.15840423245983</x:v>
      </x:c>
      <x:c r="AM138" s="48" t="n">
        <x:f>(-2*((1000*((((Inputs!$I$7+(((A138)+1)/2)*(Inputs!$J$7-Inputs!$I$7)))*Inputs!$C$11+((Inputs!$H$7+Inputs!$L$7*(((Inputs!$I$7+(((A138)+1)/2)*(Inputs!$J$7-Inputs!$I$7)))/Inputs!$K$7)^2))*((2*Inputs!$L$7*((Inputs!$I$7+(((A138)+1)/2)*(Inputs!$J$7-Inputs!$I$7)))/(Inputs!$K$7^2)*Inputs!$C$11)))/(SQRT(((Inputs!$I$7+(((A138)+1)/2)*(Inputs!$J$7-Inputs!$I$7)))^2+Inputs!$C$6^2+((Inputs!$H$7+Inputs!$L$7*(((Inputs!$I$7+(((A138)+1)/2)*(Inputs!$J$7-Inputs!$I$7)))/Inputs!$K$7)^2))^2)))))/Inputs!$C$13)</x:f>
        <x:v>-1407.2080948799503</x:v>
      </x:c>
      <x:c r="AN138" s="48" t="n">
        <x:f>(-2*((1000*((((Inputs!$I$8+(((A138)+1)/2)*(Inputs!$J$8-Inputs!$I$8)))*Inputs!$C$11+((Inputs!$H$8+Inputs!$L$8*(((Inputs!$I$8+(((A138)+1)/2)*(Inputs!$J$8-Inputs!$I$8)))/Inputs!$K$8)^2))*((2*Inputs!$L$8*((Inputs!$I$8+(((A138)+1)/2)*(Inputs!$J$8-Inputs!$I$8)))/(Inputs!$K$8^2)*Inputs!$C$11)))/(SQRT(((Inputs!$I$8+(((A138)+1)/2)*(Inputs!$J$8-Inputs!$I$8)))^2+Inputs!$C$6^2+((Inputs!$H$8+Inputs!$L$8*(((Inputs!$I$8+(((A138)+1)/2)*(Inputs!$J$8-Inputs!$I$8)))/Inputs!$K$8)^2))^2)))))/Inputs!$C$13)</x:f>
        <x:v>-1626.9630912575853</x:v>
      </x:c>
      <x:c r="AO138" s="48" t="n">
        <x:f>(-2*((1000*((((Inputs!$I$9+(((A138)+1)/2)*(Inputs!$J$9-Inputs!$I$9)))*Inputs!$C$11+((Inputs!$H$9+Inputs!$L$9*(((Inputs!$I$9+(((A138)+1)/2)*(Inputs!$J$9-Inputs!$I$9)))/Inputs!$K$9)^2))*((2*Inputs!$L$9*((Inputs!$I$9+(((A138)+1)/2)*(Inputs!$J$9-Inputs!$I$9)))/(Inputs!$K$9^2)*Inputs!$C$11)))/(SQRT(((Inputs!$I$9+(((A138)+1)/2)*(Inputs!$J$9-Inputs!$I$9)))^2+Inputs!$C$6^2+((Inputs!$H$9+Inputs!$L$9*(((Inputs!$I$9+(((A138)+1)/2)*(Inputs!$J$9-Inputs!$I$9)))/Inputs!$K$9)^2))^2)))))/Inputs!$C$13)</x:f>
        <x:v>-1639.8380086774882</x:v>
      </x:c>
    </x:row>
    <x:row r="139">
      <x:c r="A139" s="48" t="n">
        <x:f>ROUND(-1+137*2/240,3)</x:f>
        <x:v>0.142</x:v>
      </x:c>
      <x:c r="B139" s="48" t="n">
        <x:f>IF(OR(Inputs!$F$6=TRUE,Inputs!$F$6="TRUE",Inputs!$F$6=1),(Inputs!$H$6+Inputs!$L$6*(((Inputs!$I$6+(((A139)+1)/2)*(Inputs!$J$6-Inputs!$I$6)))/Inputs!$K$6)^2),NA())</x:f>
        <x:v>400.080656</x:v>
      </x:c>
      <x:c r="C139" s="48" t="n">
        <x:f>IF(OR(Inputs!$F$7=TRUE,Inputs!$F$7="TRUE",Inputs!$F$7=1),(Inputs!$H$7+Inputs!$L$7*(((Inputs!$I$7+(((A139)+1)/2)*(Inputs!$J$7-Inputs!$I$7)))/Inputs!$K$7)^2),NA())</x:f>
        <x:v>42.35985999999998</x:v>
      </x:c>
      <x:c r="D139" s="48" t="n">
        <x:f>IF(OR(Inputs!$F$8=TRUE,Inputs!$F$8="TRUE",Inputs!$F$8=1),(Inputs!$H$8+Inputs!$L$8*(((Inputs!$I$8+(((A139)+1)/2)*(Inputs!$J$8-Inputs!$I$8)))/Inputs!$K$8)^2),NA())</x:f>
        <x:v>54.45825999999997</x:v>
      </x:c>
      <x:c r="E139" s="48" t="n">
        <x:f>IF(OR(Inputs!$F$9=TRUE,Inputs!$F$9="TRUE",Inputs!$F$9=1),(Inputs!$H$9+Inputs!$L$9*(((Inputs!$I$9+(((A139)+1)/2)*(Inputs!$J$9-Inputs!$I$9)))/Inputs!$K$9)^2),NA())</x:f>
        <x:v>44.659899999999965</x:v>
      </x:c>
      <x:c r="F139" s="49"/>
      <x:c r="G139" s="48" t="n">
        <x:f>A139</x:f>
        <x:v>0.142</x:v>
      </x:c>
      <x:c r="H139" s="48" t="n">
        <x:f>IF(OR(Inputs!$F$6=TRUE,Inputs!$F$6="TRUE",Inputs!$F$6=1),(((SQRT(((Inputs!$I$6+(((A139)+1)/2)*(Inputs!$J$6-Inputs!$I$6)))^2+Inputs!$C$6^2+((Inputs!$H$6+Inputs!$L$6*(((Inputs!$I$6+(((A139)+1)/2)*(Inputs!$J$6-Inputs!$I$6)))/Inputs!$K$6)^2))^2))-((Inputs!$H$6+Inputs!$L$6*(((Inputs!$I$6+(((A139)+1)/2)*(Inputs!$J$6-Inputs!$I$6)))/Inputs!$K$6)^2)))*1000/Inputs!$C$12),NA())</x:f>
        <x:v>489.24965894113654</x:v>
      </x:c>
      <x:c r="I139" s="48" t="n">
        <x:f>IF(OR(Inputs!$F$7=TRUE,Inputs!$F$7="TRUE",Inputs!$F$7=1),(((SQRT(((Inputs!$I$7+(((A139)+1)/2)*(Inputs!$J$7-Inputs!$I$7)))^2+Inputs!$C$6^2+((Inputs!$H$7+Inputs!$L$7*(((Inputs!$I$7+(((A139)+1)/2)*(Inputs!$J$7-Inputs!$I$7)))/Inputs!$K$7)^2))^2))-((Inputs!$H$7+Inputs!$L$7*(((Inputs!$I$7+(((A139)+1)/2)*(Inputs!$J$7-Inputs!$I$7)))/Inputs!$K$7)^2)))*1000/Inputs!$C$12),NA())</x:f>
        <x:v>18414.231900224917</x:v>
      </x:c>
      <x:c r="J139" s="48" t="n">
        <x:f>IF(OR(Inputs!$F$8=TRUE,Inputs!$F$8="TRUE",Inputs!$F$8=1),(((SQRT(((Inputs!$I$8+(((A139)+1)/2)*(Inputs!$J$8-Inputs!$I$8)))^2+Inputs!$C$6^2+((Inputs!$H$8+Inputs!$L$8*(((Inputs!$I$8+(((A139)+1)/2)*(Inputs!$J$8-Inputs!$I$8)))/Inputs!$K$8)^2))^2))-((Inputs!$H$8+Inputs!$L$8*(((Inputs!$I$8+(((A139)+1)/2)*(Inputs!$J$8-Inputs!$I$8)))/Inputs!$K$8)^2)))*1000/Inputs!$C$12),NA())</x:f>
        <x:v>41560.21312060215</x:v>
      </x:c>
      <x:c r="K139" s="48" t="n">
        <x:f>IF(OR(Inputs!$F$9=TRUE,Inputs!$F$9="TRUE",Inputs!$F$9=1),(((SQRT(((Inputs!$I$9+(((A139)+1)/2)*(Inputs!$J$9-Inputs!$I$9)))^2+Inputs!$C$6^2+((Inputs!$H$9+Inputs!$L$9*(((Inputs!$I$9+(((A139)+1)/2)*(Inputs!$J$9-Inputs!$I$9)))/Inputs!$K$9)^2))^2))-((Inputs!$H$9+Inputs!$L$9*(((Inputs!$I$9+(((A139)+1)/2)*(Inputs!$J$9-Inputs!$I$9)))/Inputs!$K$9)^2)))*1000/Inputs!$C$12),NA())</x:f>
        <x:v>44908.605470694994</x:v>
      </x:c>
      <x:c r="L139" s="49"/>
      <x:c r="M139" s="48" t="n">
        <x:f>A139</x:f>
        <x:v>0.142</x:v>
      </x:c>
      <x:c r="N139" s="48" t="n">
        <x:f>IF(OR(Inputs!$F$6=TRUE,Inputs!$F$6="TRUE",Inputs!$F$6=1),(-2*((1000*((((Inputs!$I$6+(((A139)+1)/2)*(Inputs!$J$6-Inputs!$I$6)))*Inputs!$C$11+((Inputs!$H$6+Inputs!$L$6*(((Inputs!$I$6+(((A139)+1)/2)*(Inputs!$J$6-Inputs!$I$6)))/Inputs!$K$6)^2))*((2*Inputs!$L$6*((Inputs!$I$6+(((A139)+1)/2)*(Inputs!$J$6-Inputs!$I$6)))/(Inputs!$K$6^2)*Inputs!$C$11)))/(SQRT(((Inputs!$I$6+(((A139)+1)/2)*(Inputs!$J$6-Inputs!$I$6)))^2+Inputs!$C$6^2+((Inputs!$H$6+Inputs!$L$6*(((Inputs!$I$6+(((A139)+1)/2)*(Inputs!$J$6-Inputs!$I$6)))/Inputs!$K$6)^2))^2)))))/Inputs!$C$13),NA())</x:f>
        <x:v>-64.22665924097512</x:v>
      </x:c>
      <x:c r="O139" s="48" t="n">
        <x:f>IF(OR(Inputs!$F$7=TRUE,Inputs!$F$7="TRUE",Inputs!$F$7=1),(-2*((1000*((((Inputs!$I$7+(((A139)+1)/2)*(Inputs!$J$7-Inputs!$I$7)))*Inputs!$C$11+((Inputs!$H$7+Inputs!$L$7*(((Inputs!$I$7+(((A139)+1)/2)*(Inputs!$J$7-Inputs!$I$7)))/Inputs!$K$7)^2))*((2*Inputs!$L$7*((Inputs!$I$7+(((A139)+1)/2)*(Inputs!$J$7-Inputs!$I$7)))/(Inputs!$K$7^2)*Inputs!$C$11)))/(SQRT(((Inputs!$I$7+(((A139)+1)/2)*(Inputs!$J$7-Inputs!$I$7)))^2+Inputs!$C$6^2+((Inputs!$H$7+Inputs!$L$7*(((Inputs!$I$7+(((A139)+1)/2)*(Inputs!$J$7-Inputs!$I$7)))/Inputs!$K$7)^2))^2)))))/Inputs!$C$13),NA())</x:f>
        <x:v>-1443.2811279555972</x:v>
      </x:c>
      <x:c r="P139" s="48" t="n">
        <x:f>IF(OR(Inputs!$F$8=TRUE,Inputs!$F$8="TRUE",Inputs!$F$8=1),(-2*((1000*((((Inputs!$I$8+(((A139)+1)/2)*(Inputs!$J$8-Inputs!$I$8)))*Inputs!$C$11+((Inputs!$H$8+Inputs!$L$8*(((Inputs!$I$8+(((A139)+1)/2)*(Inputs!$J$8-Inputs!$I$8)))/Inputs!$K$8)^2))*((2*Inputs!$L$8*((Inputs!$I$8+(((A139)+1)/2)*(Inputs!$J$8-Inputs!$I$8)))/(Inputs!$K$8^2)*Inputs!$C$11)))/(SQRT(((Inputs!$I$8+(((A139)+1)/2)*(Inputs!$J$8-Inputs!$I$8)))^2+Inputs!$C$6^2+((Inputs!$H$8+Inputs!$L$8*(((Inputs!$I$8+(((A139)+1)/2)*(Inputs!$J$8-Inputs!$I$8)))/Inputs!$K$8)^2))^2)))))/Inputs!$C$13),NA())</x:f>
        <x:v>-1647.5955743557984</x:v>
      </x:c>
      <x:c r="Q139" s="48" t="n">
        <x:f>IF(OR(Inputs!$F$9=TRUE,Inputs!$F$9="TRUE",Inputs!$F$9=1),(-2*((1000*((((Inputs!$I$9+(((A139)+1)/2)*(Inputs!$J$9-Inputs!$I$9)))*Inputs!$C$11+((Inputs!$H$9+Inputs!$L$9*(((Inputs!$I$9+(((A139)+1)/2)*(Inputs!$J$9-Inputs!$I$9)))/Inputs!$K$9)^2))*((2*Inputs!$L$9*((Inputs!$I$9+(((A139)+1)/2)*(Inputs!$J$9-Inputs!$I$9)))/(Inputs!$K$9^2)*Inputs!$C$11)))/(SQRT(((Inputs!$I$9+(((A139)+1)/2)*(Inputs!$J$9-Inputs!$I$9)))^2+Inputs!$C$6^2+((Inputs!$H$9+Inputs!$L$9*(((Inputs!$I$9+(((A139)+1)/2)*(Inputs!$J$9-Inputs!$I$9)))/Inputs!$K$9)^2))^2)))))/Inputs!$C$13),NA())</x:f>
        <x:v>-1657.2814094009511</x:v>
      </x:c>
      <x:c r="R139" s="49"/>
      <x:c r="S139" s="48" t="n">
        <x:f>A139</x:f>
        <x:v>0.142</x:v>
      </x:c>
      <x:c r="T139" s="48" t="n">
        <x:f>(Inputs!$I$6+(((A139)+1)/2)*(Inputs!$J$6-Inputs!$I$6))</x:f>
        <x:v>8.519999999999996</x:v>
      </x:c>
      <x:c r="U139" s="48" t="n">
        <x:f>(Inputs!$I$7+(((A139)+1)/2)*(Inputs!$J$7-Inputs!$I$7))</x:f>
        <x:v>56.799999999999955</x:v>
      </x:c>
      <x:c r="V139" s="48" t="n">
        <x:f>(Inputs!$I$8+(((A139)+1)/2)*(Inputs!$J$8-Inputs!$I$8))</x:f>
        <x:v>113.59999999999991</x:v>
      </x:c>
      <x:c r="W139" s="48" t="n">
        <x:f>(Inputs!$I$9+(((A139)+1)/2)*(Inputs!$J$9-Inputs!$I$9))</x:f>
        <x:v>113.59999999999991</x:v>
      </x:c>
      <x:c r="X139" s="49"/>
      <x:c r="Y139" s="48" t="n">
        <x:f>A139</x:f>
        <x:v>0.142</x:v>
      </x:c>
      <x:c r="Z139" s="48" t="n">
        <x:f>(Inputs!$H$6+Inputs!$L$6*(((Inputs!$I$6+(((A139)+1)/2)*(Inputs!$J$6-Inputs!$I$6)))/Inputs!$K$6)^2)</x:f>
        <x:v>400.080656</x:v>
      </x:c>
      <x:c r="AA139" s="48" t="n">
        <x:f>(Inputs!$H$7+Inputs!$L$7*(((Inputs!$I$7+(((A139)+1)/2)*(Inputs!$J$7-Inputs!$I$7)))/Inputs!$K$7)^2)</x:f>
        <x:v>42.35985999999998</x:v>
      </x:c>
      <x:c r="AB139" s="48" t="n">
        <x:f>(Inputs!$H$8+Inputs!$L$8*(((Inputs!$I$8+(((A139)+1)/2)*(Inputs!$J$8-Inputs!$I$8)))/Inputs!$K$8)^2)</x:f>
        <x:v>54.45825999999997</x:v>
      </x:c>
      <x:c r="AC139" s="48" t="n">
        <x:f>(Inputs!$H$9+Inputs!$L$9*(((Inputs!$I$9+(((A139)+1)/2)*(Inputs!$J$9-Inputs!$I$9)))/Inputs!$K$9)^2)</x:f>
        <x:v>44.659899999999965</x:v>
      </x:c>
      <x:c r="AD139" s="49"/>
      <x:c r="AE139" s="48" t="n">
        <x:f>A139</x:f>
        <x:v>0.142</x:v>
      </x:c>
      <x:c r="AF139" s="48" t="n">
        <x:f>(((SQRT(((Inputs!$I$6+(((A139)+1)/2)*(Inputs!$J$6-Inputs!$I$6)))^2+Inputs!$C$6^2+((Inputs!$H$6+Inputs!$L$6*(((Inputs!$I$6+(((A139)+1)/2)*(Inputs!$J$6-Inputs!$I$6)))/Inputs!$K$6)^2))^2))-((Inputs!$H$6+Inputs!$L$6*(((Inputs!$I$6+(((A139)+1)/2)*(Inputs!$J$6-Inputs!$I$6)))/Inputs!$K$6)^2)))*1000/Inputs!$C$12)</x:f>
        <x:v>489.24965894113654</x:v>
      </x:c>
      <x:c r="AG139" s="48" t="n">
        <x:f>(((SQRT(((Inputs!$I$7+(((A139)+1)/2)*(Inputs!$J$7-Inputs!$I$7)))^2+Inputs!$C$6^2+((Inputs!$H$7+Inputs!$L$7*(((Inputs!$I$7+(((A139)+1)/2)*(Inputs!$J$7-Inputs!$I$7)))/Inputs!$K$7)^2))^2))-((Inputs!$H$7+Inputs!$L$7*(((Inputs!$I$7+(((A139)+1)/2)*(Inputs!$J$7-Inputs!$I$7)))/Inputs!$K$7)^2)))*1000/Inputs!$C$12)</x:f>
        <x:v>18414.231900224917</x:v>
      </x:c>
      <x:c r="AH139" s="48" t="n">
        <x:f>(((SQRT(((Inputs!$I$8+(((A139)+1)/2)*(Inputs!$J$8-Inputs!$I$8)))^2+Inputs!$C$6^2+((Inputs!$H$8+Inputs!$L$8*(((Inputs!$I$8+(((A139)+1)/2)*(Inputs!$J$8-Inputs!$I$8)))/Inputs!$K$8)^2))^2))-((Inputs!$H$8+Inputs!$L$8*(((Inputs!$I$8+(((A139)+1)/2)*(Inputs!$J$8-Inputs!$I$8)))/Inputs!$K$8)^2)))*1000/Inputs!$C$12)</x:f>
        <x:v>41560.21312060215</x:v>
      </x:c>
      <x:c r="AI139" s="48" t="n">
        <x:f>(((SQRT(((Inputs!$I$9+(((A139)+1)/2)*(Inputs!$J$9-Inputs!$I$9)))^2+Inputs!$C$6^2+((Inputs!$H$9+Inputs!$L$9*(((Inputs!$I$9+(((A139)+1)/2)*(Inputs!$J$9-Inputs!$I$9)))/Inputs!$K$9)^2))^2))-((Inputs!$H$9+Inputs!$L$9*(((Inputs!$I$9+(((A139)+1)/2)*(Inputs!$J$9-Inputs!$I$9)))/Inputs!$K$9)^2)))*1000/Inputs!$C$12)</x:f>
        <x:v>44908.605470694994</x:v>
      </x:c>
      <x:c r="AJ139" s="49"/>
      <x:c r="AK139" s="48" t="n">
        <x:f>A139</x:f>
        <x:v>0.142</x:v>
      </x:c>
      <x:c r="AL139" s="48" t="n">
        <x:f>(-2*((1000*((((Inputs!$I$6+(((A139)+1)/2)*(Inputs!$J$6-Inputs!$I$6)))*Inputs!$C$11+((Inputs!$H$6+Inputs!$L$6*(((Inputs!$I$6+(((A139)+1)/2)*(Inputs!$J$6-Inputs!$I$6)))/Inputs!$K$6)^2))*((2*Inputs!$L$6*((Inputs!$I$6+(((A139)+1)/2)*(Inputs!$J$6-Inputs!$I$6)))/(Inputs!$K$6^2)*Inputs!$C$11)))/(SQRT(((Inputs!$I$6+(((A139)+1)/2)*(Inputs!$J$6-Inputs!$I$6)))^2+Inputs!$C$6^2+((Inputs!$H$6+Inputs!$L$6*(((Inputs!$I$6+(((A139)+1)/2)*(Inputs!$J$6-Inputs!$I$6)))/Inputs!$K$6)^2))^2)))))/Inputs!$C$13)</x:f>
        <x:v>-64.22665924097512</x:v>
      </x:c>
      <x:c r="AM139" s="48" t="n">
        <x:f>(-2*((1000*((((Inputs!$I$7+(((A139)+1)/2)*(Inputs!$J$7-Inputs!$I$7)))*Inputs!$C$11+((Inputs!$H$7+Inputs!$L$7*(((Inputs!$I$7+(((A139)+1)/2)*(Inputs!$J$7-Inputs!$I$7)))/Inputs!$K$7)^2))*((2*Inputs!$L$7*((Inputs!$I$7+(((A139)+1)/2)*(Inputs!$J$7-Inputs!$I$7)))/(Inputs!$K$7^2)*Inputs!$C$11)))/(SQRT(((Inputs!$I$7+(((A139)+1)/2)*(Inputs!$J$7-Inputs!$I$7)))^2+Inputs!$C$6^2+((Inputs!$H$7+Inputs!$L$7*(((Inputs!$I$7+(((A139)+1)/2)*(Inputs!$J$7-Inputs!$I$7)))/Inputs!$K$7)^2))^2)))))/Inputs!$C$13)</x:f>
        <x:v>-1443.2811279555972</x:v>
      </x:c>
      <x:c r="AN139" s="48" t="n">
        <x:f>(-2*((1000*((((Inputs!$I$8+(((A139)+1)/2)*(Inputs!$J$8-Inputs!$I$8)))*Inputs!$C$11+((Inputs!$H$8+Inputs!$L$8*(((Inputs!$I$8+(((A139)+1)/2)*(Inputs!$J$8-Inputs!$I$8)))/Inputs!$K$8)^2))*((2*Inputs!$L$8*((Inputs!$I$8+(((A139)+1)/2)*(Inputs!$J$8-Inputs!$I$8)))/(Inputs!$K$8^2)*Inputs!$C$11)))/(SQRT(((Inputs!$I$8+(((A139)+1)/2)*(Inputs!$J$8-Inputs!$I$8)))^2+Inputs!$C$6^2+((Inputs!$H$8+Inputs!$L$8*(((Inputs!$I$8+(((A139)+1)/2)*(Inputs!$J$8-Inputs!$I$8)))/Inputs!$K$8)^2))^2)))))/Inputs!$C$13)</x:f>
        <x:v>-1647.5955743557984</x:v>
      </x:c>
      <x:c r="AO139" s="48" t="n">
        <x:f>(-2*((1000*((((Inputs!$I$9+(((A139)+1)/2)*(Inputs!$J$9-Inputs!$I$9)))*Inputs!$C$11+((Inputs!$H$9+Inputs!$L$9*(((Inputs!$I$9+(((A139)+1)/2)*(Inputs!$J$9-Inputs!$I$9)))/Inputs!$K$9)^2))*((2*Inputs!$L$9*((Inputs!$I$9+(((A139)+1)/2)*(Inputs!$J$9-Inputs!$I$9)))/(Inputs!$K$9^2)*Inputs!$C$11)))/(SQRT(((Inputs!$I$9+(((A139)+1)/2)*(Inputs!$J$9-Inputs!$I$9)))^2+Inputs!$C$6^2+((Inputs!$H$9+Inputs!$L$9*(((Inputs!$I$9+(((A139)+1)/2)*(Inputs!$J$9-Inputs!$I$9)))/Inputs!$K$9)^2))^2)))))/Inputs!$C$13)</x:f>
        <x:v>-1657.2814094009511</x:v>
      </x:c>
    </x:row>
    <x:row r="140">
      <x:c r="A140" s="48" t="n">
        <x:f>ROUND(-1+138*2/240,3)</x:f>
        <x:v>0.15</x:v>
      </x:c>
      <x:c r="B140" s="48" t="n">
        <x:f>IF(OR(Inputs!$F$6=TRUE,Inputs!$F$6="TRUE",Inputs!$F$6=1),(Inputs!$H$6+Inputs!$L$6*(((Inputs!$I$6+(((A140)+1)/2)*(Inputs!$J$6-Inputs!$I$6)))/Inputs!$K$6)^2),NA())</x:f>
        <x:v>400.09</x:v>
      </x:c>
      <x:c r="C140" s="48" t="n">
        <x:f>IF(OR(Inputs!$F$7=TRUE,Inputs!$F$7="TRUE",Inputs!$F$7=1),(Inputs!$H$7+Inputs!$L$7*(((Inputs!$I$7+(((A140)+1)/2)*(Inputs!$J$7-Inputs!$I$7)))/Inputs!$K$7)^2),NA())</x:f>
        <x:v>43.212499999999984</x:v>
      </x:c>
      <x:c r="D140" s="48" t="n">
        <x:f>IF(OR(Inputs!$F$8=TRUE,Inputs!$F$8="TRUE",Inputs!$F$8=1),(Inputs!$H$8+Inputs!$L$8*(((Inputs!$I$8+(((A140)+1)/2)*(Inputs!$J$8-Inputs!$I$8)))/Inputs!$K$8)^2),NA())</x:f>
        <x:v>56.71249999999996</x:v>
      </x:c>
      <x:c r="E140" s="48" t="n">
        <x:f>IF(OR(Inputs!$F$9=TRUE,Inputs!$F$9="TRUE",Inputs!$F$9=1),(Inputs!$H$9+Inputs!$L$9*(((Inputs!$I$9+(((A140)+1)/2)*(Inputs!$J$9-Inputs!$I$9)))/Inputs!$K$9)^2),NA())</x:f>
        <x:v>46.93749999999996</x:v>
      </x:c>
      <x:c r="F140" s="49"/>
      <x:c r="G140" s="48" t="n">
        <x:f>A140</x:f>
        <x:v>0.15</x:v>
      </x:c>
      <x:c r="H140" s="48" t="n">
        <x:f>IF(OR(Inputs!$F$6=TRUE,Inputs!$F$6="TRUE",Inputs!$F$6=1),(((SQRT(((Inputs!$I$6+(((A140)+1)/2)*(Inputs!$J$6-Inputs!$I$6)))^2+Inputs!$C$6^2+((Inputs!$H$6+Inputs!$L$6*(((Inputs!$I$6+(((A140)+1)/2)*(Inputs!$J$6-Inputs!$I$6)))/Inputs!$K$6)^2))^2))-((Inputs!$H$6+Inputs!$L$6*(((Inputs!$I$6+(((A140)+1)/2)*(Inputs!$J$6-Inputs!$I$6)))/Inputs!$K$6)^2)))*1000/Inputs!$C$12),NA())</x:f>
        <x:v>495.1296464423777</x:v>
      </x:c>
      <x:c r="I140" s="48" t="n">
        <x:f>IF(OR(Inputs!$F$7=TRUE,Inputs!$F$7="TRUE",Inputs!$F$7=1),(((SQRT(((Inputs!$I$7+(((A140)+1)/2)*(Inputs!$J$7-Inputs!$I$7)))^2+Inputs!$C$6^2+((Inputs!$H$7+Inputs!$L$7*(((Inputs!$I$7+(((A140)+1)/2)*(Inputs!$J$7-Inputs!$I$7)))/Inputs!$K$7)^2))^2))-((Inputs!$H$7+Inputs!$L$7*(((Inputs!$I$7+(((A140)+1)/2)*(Inputs!$J$7-Inputs!$I$7)))/Inputs!$K$7)^2)))*1000/Inputs!$C$12),NA())</x:f>
        <x:v>19573.49219836531</x:v>
      </x:c>
      <x:c r="J140" s="48" t="n">
        <x:f>IF(OR(Inputs!$F$8=TRUE,Inputs!$F$8="TRUE",Inputs!$F$8=1),(((SQRT(((Inputs!$I$8+(((A140)+1)/2)*(Inputs!$J$8-Inputs!$I$8)))^2+Inputs!$C$6^2+((Inputs!$H$8+Inputs!$L$8*(((Inputs!$I$8+(((A140)+1)/2)*(Inputs!$J$8-Inputs!$I$8)))/Inputs!$K$8)^2))^2))-((Inputs!$H$8+Inputs!$L$8*(((Inputs!$I$8+(((A140)+1)/2)*(Inputs!$J$8-Inputs!$I$8)))/Inputs!$K$8)^2)))*1000/Inputs!$C$12),NA())</x:f>
        <x:v>44015.66585492089</x:v>
      </x:c>
      <x:c r="K140" s="48" t="n">
        <x:f>IF(OR(Inputs!$F$9=TRUE,Inputs!$F$9="TRUE",Inputs!$F$9=1),(((SQRT(((Inputs!$I$9+(((A140)+1)/2)*(Inputs!$J$9-Inputs!$I$9)))^2+Inputs!$C$6^2+((Inputs!$H$9+Inputs!$L$9*(((Inputs!$I$9+(((A140)+1)/2)*(Inputs!$J$9-Inputs!$I$9)))/Inputs!$K$9)^2))^2))-((Inputs!$H$9+Inputs!$L$9*(((Inputs!$I$9+(((A140)+1)/2)*(Inputs!$J$9-Inputs!$I$9)))/Inputs!$K$9)^2)))*1000/Inputs!$C$12),NA())</x:f>
        <x:v>47369.92535183174</x:v>
      </x:c>
      <x:c r="L140" s="49"/>
      <x:c r="M140" s="48" t="n">
        <x:f>A140</x:f>
        <x:v>0.15</x:v>
      </x:c>
      <x:c r="N140" s="48" t="n">
        <x:f>IF(OR(Inputs!$F$6=TRUE,Inputs!$F$6="TRUE",Inputs!$F$6=1),(-2*((1000*((((Inputs!$I$6+(((A140)+1)/2)*(Inputs!$J$6-Inputs!$I$6)))*Inputs!$C$11+((Inputs!$H$6+Inputs!$L$6*(((Inputs!$I$6+(((A140)+1)/2)*(Inputs!$J$6-Inputs!$I$6)))/Inputs!$K$6)^2))*((2*Inputs!$L$6*((Inputs!$I$6+(((A140)+1)/2)*(Inputs!$J$6-Inputs!$I$6)))/(Inputs!$K$6^2)*Inputs!$C$11)))/(SQRT(((Inputs!$I$6+(((A140)+1)/2)*(Inputs!$J$6-Inputs!$I$6)))^2+Inputs!$C$6^2+((Inputs!$H$6+Inputs!$L$6*(((Inputs!$I$6+(((A140)+1)/2)*(Inputs!$J$6-Inputs!$I$6)))/Inputs!$K$6)^2))^2)))))/Inputs!$C$13),NA())</x:f>
        <x:v>-67.84245633650673</x:v>
      </x:c>
      <x:c r="O140" s="48" t="n">
        <x:f>IF(OR(Inputs!$F$7=TRUE,Inputs!$F$7="TRUE",Inputs!$F$7=1),(-2*((1000*((((Inputs!$I$7+(((A140)+1)/2)*(Inputs!$J$7-Inputs!$I$7)))*Inputs!$C$11+((Inputs!$H$7+Inputs!$L$7*(((Inputs!$I$7+(((A140)+1)/2)*(Inputs!$J$7-Inputs!$I$7)))/Inputs!$K$7)^2))*((2*Inputs!$L$7*((Inputs!$I$7+(((A140)+1)/2)*(Inputs!$J$7-Inputs!$I$7)))/(Inputs!$K$7^2)*Inputs!$C$11)))/(SQRT(((Inputs!$I$7+(((A140)+1)/2)*(Inputs!$J$7-Inputs!$I$7)))^2+Inputs!$C$6^2+((Inputs!$H$7+Inputs!$L$7*(((Inputs!$I$7+(((A140)+1)/2)*(Inputs!$J$7-Inputs!$I$7)))/Inputs!$K$7)^2))^2)))))/Inputs!$C$13),NA())</x:f>
        <x:v>-1472.4175822777834</x:v>
      </x:c>
      <x:c r="P140" s="48" t="n">
        <x:f>IF(OR(Inputs!$F$8=TRUE,Inputs!$F$8="TRUE",Inputs!$F$8=1),(-2*((1000*((((Inputs!$I$8+(((A140)+1)/2)*(Inputs!$J$8-Inputs!$I$8)))*Inputs!$C$11+((Inputs!$H$8+Inputs!$L$8*(((Inputs!$I$8+(((A140)+1)/2)*(Inputs!$J$8-Inputs!$I$8)))/Inputs!$K$8)^2))*((2*Inputs!$L$8*((Inputs!$I$8+(((A140)+1)/2)*(Inputs!$J$8-Inputs!$I$8)))/(Inputs!$K$8^2)*Inputs!$C$11)))/(SQRT(((Inputs!$I$8+(((A140)+1)/2)*(Inputs!$J$8-Inputs!$I$8)))^2+Inputs!$C$6^2+((Inputs!$H$8+Inputs!$L$8*(((Inputs!$I$8+(((A140)+1)/2)*(Inputs!$J$8-Inputs!$I$8)))/Inputs!$K$8)^2))^2)))))/Inputs!$C$13),NA())</x:f>
        <x:v>-1664.7112114394968</x:v>
      </x:c>
      <x:c r="Q140" s="48" t="n">
        <x:f>IF(OR(Inputs!$F$9=TRUE,Inputs!$F$9="TRUE",Inputs!$F$9=1),(-2*((1000*((((Inputs!$I$9+(((A140)+1)/2)*(Inputs!$J$9-Inputs!$I$9)))*Inputs!$C$11+((Inputs!$H$9+Inputs!$L$9*(((Inputs!$I$9+(((A140)+1)/2)*(Inputs!$J$9-Inputs!$I$9)))/Inputs!$K$9)^2))*((2*Inputs!$L$9*((Inputs!$I$9+(((A140)+1)/2)*(Inputs!$J$9-Inputs!$I$9)))/(Inputs!$K$9^2)*Inputs!$C$11)))/(SQRT(((Inputs!$I$9+(((A140)+1)/2)*(Inputs!$J$9-Inputs!$I$9)))^2+Inputs!$C$6^2+((Inputs!$H$9+Inputs!$L$9*(((Inputs!$I$9+(((A140)+1)/2)*(Inputs!$J$9-Inputs!$I$9)))/Inputs!$K$9)^2))^2)))))/Inputs!$C$13),NA())</x:f>
        <x:v>-1671.9882707419602</x:v>
      </x:c>
      <x:c r="R140" s="49"/>
      <x:c r="S140" s="48" t="n">
        <x:f>A140</x:f>
        <x:v>0.15</x:v>
      </x:c>
      <x:c r="T140" s="48" t="n">
        <x:f>(Inputs!$I$6+(((A140)+1)/2)*(Inputs!$J$6-Inputs!$I$6))</x:f>
        <x:v>9</x:v>
      </x:c>
      <x:c r="U140" s="48" t="n">
        <x:f>(Inputs!$I$7+(((A140)+1)/2)*(Inputs!$J$7-Inputs!$I$7))</x:f>
        <x:v>59.99999999999994</x:v>
      </x:c>
      <x:c r="V140" s="48" t="n">
        <x:f>(Inputs!$I$8+(((A140)+1)/2)*(Inputs!$J$8-Inputs!$I$8))</x:f>
        <x:v>119.99999999999989</x:v>
      </x:c>
      <x:c r="W140" s="48" t="n">
        <x:f>(Inputs!$I$9+(((A140)+1)/2)*(Inputs!$J$9-Inputs!$I$9))</x:f>
        <x:v>119.99999999999989</x:v>
      </x:c>
      <x:c r="X140" s="49"/>
      <x:c r="Y140" s="48" t="n">
        <x:f>A140</x:f>
        <x:v>0.15</x:v>
      </x:c>
      <x:c r="Z140" s="48" t="n">
        <x:f>(Inputs!$H$6+Inputs!$L$6*(((Inputs!$I$6+(((A140)+1)/2)*(Inputs!$J$6-Inputs!$I$6)))/Inputs!$K$6)^2)</x:f>
        <x:v>400.09</x:v>
      </x:c>
      <x:c r="AA140" s="48" t="n">
        <x:f>(Inputs!$H$7+Inputs!$L$7*(((Inputs!$I$7+(((A140)+1)/2)*(Inputs!$J$7-Inputs!$I$7)))/Inputs!$K$7)^2)</x:f>
        <x:v>43.212499999999984</x:v>
      </x:c>
      <x:c r="AB140" s="48" t="n">
        <x:f>(Inputs!$H$8+Inputs!$L$8*(((Inputs!$I$8+(((A140)+1)/2)*(Inputs!$J$8-Inputs!$I$8)))/Inputs!$K$8)^2)</x:f>
        <x:v>56.71249999999996</x:v>
      </x:c>
      <x:c r="AC140" s="48" t="n">
        <x:f>(Inputs!$H$9+Inputs!$L$9*(((Inputs!$I$9+(((A140)+1)/2)*(Inputs!$J$9-Inputs!$I$9)))/Inputs!$K$9)^2)</x:f>
        <x:v>46.93749999999996</x:v>
      </x:c>
      <x:c r="AD140" s="49"/>
      <x:c r="AE140" s="48" t="n">
        <x:f>A140</x:f>
        <x:v>0.15</x:v>
      </x:c>
      <x:c r="AF140" s="48" t="n">
        <x:f>(((SQRT(((Inputs!$I$6+(((A140)+1)/2)*(Inputs!$J$6-Inputs!$I$6)))^2+Inputs!$C$6^2+((Inputs!$H$6+Inputs!$L$6*(((Inputs!$I$6+(((A140)+1)/2)*(Inputs!$J$6-Inputs!$I$6)))/Inputs!$K$6)^2))^2))-((Inputs!$H$6+Inputs!$L$6*(((Inputs!$I$6+(((A140)+1)/2)*(Inputs!$J$6-Inputs!$I$6)))/Inputs!$K$6)^2)))*1000/Inputs!$C$12)</x:f>
        <x:v>495.1296464423777</x:v>
      </x:c>
      <x:c r="AG140" s="48" t="n">
        <x:f>(((SQRT(((Inputs!$I$7+(((A140)+1)/2)*(Inputs!$J$7-Inputs!$I$7)))^2+Inputs!$C$6^2+((Inputs!$H$7+Inputs!$L$7*(((Inputs!$I$7+(((A140)+1)/2)*(Inputs!$J$7-Inputs!$I$7)))/Inputs!$K$7)^2))^2))-((Inputs!$H$7+Inputs!$L$7*(((Inputs!$I$7+(((A140)+1)/2)*(Inputs!$J$7-Inputs!$I$7)))/Inputs!$K$7)^2)))*1000/Inputs!$C$12)</x:f>
        <x:v>19573.49219836531</x:v>
      </x:c>
      <x:c r="AH140" s="48" t="n">
        <x:f>(((SQRT(((Inputs!$I$8+(((A140)+1)/2)*(Inputs!$J$8-Inputs!$I$8)))^2+Inputs!$C$6^2+((Inputs!$H$8+Inputs!$L$8*(((Inputs!$I$8+(((A140)+1)/2)*(Inputs!$J$8-Inputs!$I$8)))/Inputs!$K$8)^2))^2))-((Inputs!$H$8+Inputs!$L$8*(((Inputs!$I$8+(((A140)+1)/2)*(Inputs!$J$8-Inputs!$I$8)))/Inputs!$K$8)^2)))*1000/Inputs!$C$12)</x:f>
        <x:v>44015.66585492089</x:v>
      </x:c>
      <x:c r="AI140" s="48" t="n">
        <x:f>(((SQRT(((Inputs!$I$9+(((A140)+1)/2)*(Inputs!$J$9-Inputs!$I$9)))^2+Inputs!$C$6^2+((Inputs!$H$9+Inputs!$L$9*(((Inputs!$I$9+(((A140)+1)/2)*(Inputs!$J$9-Inputs!$I$9)))/Inputs!$K$9)^2))^2))-((Inputs!$H$9+Inputs!$L$9*(((Inputs!$I$9+(((A140)+1)/2)*(Inputs!$J$9-Inputs!$I$9)))/Inputs!$K$9)^2)))*1000/Inputs!$C$12)</x:f>
        <x:v>47369.92535183174</x:v>
      </x:c>
      <x:c r="AJ140" s="49"/>
      <x:c r="AK140" s="48" t="n">
        <x:f>A140</x:f>
        <x:v>0.15</x:v>
      </x:c>
      <x:c r="AL140" s="48" t="n">
        <x:f>(-2*((1000*((((Inputs!$I$6+(((A140)+1)/2)*(Inputs!$J$6-Inputs!$I$6)))*Inputs!$C$11+((Inputs!$H$6+Inputs!$L$6*(((Inputs!$I$6+(((A140)+1)/2)*(Inputs!$J$6-Inputs!$I$6)))/Inputs!$K$6)^2))*((2*Inputs!$L$6*((Inputs!$I$6+(((A140)+1)/2)*(Inputs!$J$6-Inputs!$I$6)))/(Inputs!$K$6^2)*Inputs!$C$11)))/(SQRT(((Inputs!$I$6+(((A140)+1)/2)*(Inputs!$J$6-Inputs!$I$6)))^2+Inputs!$C$6^2+((Inputs!$H$6+Inputs!$L$6*(((Inputs!$I$6+(((A140)+1)/2)*(Inputs!$J$6-Inputs!$I$6)))/Inputs!$K$6)^2))^2)))))/Inputs!$C$13)</x:f>
        <x:v>-67.84245633650673</x:v>
      </x:c>
      <x:c r="AM140" s="48" t="n">
        <x:f>(-2*((1000*((((Inputs!$I$7+(((A140)+1)/2)*(Inputs!$J$7-Inputs!$I$7)))*Inputs!$C$11+((Inputs!$H$7+Inputs!$L$7*(((Inputs!$I$7+(((A140)+1)/2)*(Inputs!$J$7-Inputs!$I$7)))/Inputs!$K$7)^2))*((2*Inputs!$L$7*((Inputs!$I$7+(((A140)+1)/2)*(Inputs!$J$7-Inputs!$I$7)))/(Inputs!$K$7^2)*Inputs!$C$11)))/(SQRT(((Inputs!$I$7+(((A140)+1)/2)*(Inputs!$J$7-Inputs!$I$7)))^2+Inputs!$C$6^2+((Inputs!$H$7+Inputs!$L$7*(((Inputs!$I$7+(((A140)+1)/2)*(Inputs!$J$7-Inputs!$I$7)))/Inputs!$K$7)^2))^2)))))/Inputs!$C$13)</x:f>
        <x:v>-1472.4175822777834</x:v>
      </x:c>
      <x:c r="AN140" s="48" t="n">
        <x:f>(-2*((1000*((((Inputs!$I$8+(((A140)+1)/2)*(Inputs!$J$8-Inputs!$I$8)))*Inputs!$C$11+((Inputs!$H$8+Inputs!$L$8*(((Inputs!$I$8+(((A140)+1)/2)*(Inputs!$J$8-Inputs!$I$8)))/Inputs!$K$8)^2))*((2*Inputs!$L$8*((Inputs!$I$8+(((A140)+1)/2)*(Inputs!$J$8-Inputs!$I$8)))/(Inputs!$K$8^2)*Inputs!$C$11)))/(SQRT(((Inputs!$I$8+(((A140)+1)/2)*(Inputs!$J$8-Inputs!$I$8)))^2+Inputs!$C$6^2+((Inputs!$H$8+Inputs!$L$8*(((Inputs!$I$8+(((A140)+1)/2)*(Inputs!$J$8-Inputs!$I$8)))/Inputs!$K$8)^2))^2)))))/Inputs!$C$13)</x:f>
        <x:v>-1664.7112114394968</x:v>
      </x:c>
      <x:c r="AO140" s="48" t="n">
        <x:f>(-2*((1000*((((Inputs!$I$9+(((A140)+1)/2)*(Inputs!$J$9-Inputs!$I$9)))*Inputs!$C$11+((Inputs!$H$9+Inputs!$L$9*(((Inputs!$I$9+(((A140)+1)/2)*(Inputs!$J$9-Inputs!$I$9)))/Inputs!$K$9)^2))*((2*Inputs!$L$9*((Inputs!$I$9+(((A140)+1)/2)*(Inputs!$J$9-Inputs!$I$9)))/(Inputs!$K$9^2)*Inputs!$C$11)))/(SQRT(((Inputs!$I$9+(((A140)+1)/2)*(Inputs!$J$9-Inputs!$I$9)))^2+Inputs!$C$6^2+((Inputs!$H$9+Inputs!$L$9*(((Inputs!$I$9+(((A140)+1)/2)*(Inputs!$J$9-Inputs!$I$9)))/Inputs!$K$9)^2))^2)))))/Inputs!$C$13)</x:f>
        <x:v>-1671.9882707419602</x:v>
      </x:c>
    </x:row>
    <x:row r="141">
      <x:c r="A141" s="48" t="n">
        <x:f>ROUND(-1+139*2/240,3)</x:f>
        <x:v>0.158</x:v>
      </x:c>
      <x:c r="B141" s="48" t="n">
        <x:f>IF(OR(Inputs!$F$6=TRUE,Inputs!$F$6="TRUE",Inputs!$F$6=1),(Inputs!$H$6+Inputs!$L$6*(((Inputs!$I$6+(((A141)+1)/2)*(Inputs!$J$6-Inputs!$I$6)))/Inputs!$K$6)^2),NA())</x:f>
        <x:v>400.099856</x:v>
      </x:c>
      <x:c r="C141" s="48" t="n">
        <x:f>IF(OR(Inputs!$F$7=TRUE,Inputs!$F$7="TRUE",Inputs!$F$7=1),(Inputs!$H$7+Inputs!$L$7*(((Inputs!$I$7+(((A141)+1)/2)*(Inputs!$J$7-Inputs!$I$7)))/Inputs!$K$7)^2),NA())</x:f>
        <x:v>44.11186</x:v>
      </x:c>
      <x:c r="D141" s="48" t="n">
        <x:f>IF(OR(Inputs!$F$8=TRUE,Inputs!$F$8="TRUE",Inputs!$F$8=1),(Inputs!$H$8+Inputs!$L$8*(((Inputs!$I$8+(((A141)+1)/2)*(Inputs!$J$8-Inputs!$I$8)))/Inputs!$K$8)^2),NA())</x:f>
        <x:v>59.090259999999994</x:v>
      </x:c>
      <x:c r="E141" s="48" t="n">
        <x:f>IF(OR(Inputs!$F$9=TRUE,Inputs!$F$9="TRUE",Inputs!$F$9=1),(Inputs!$H$9+Inputs!$L$9*(((Inputs!$I$9+(((A141)+1)/2)*(Inputs!$J$9-Inputs!$I$9)))/Inputs!$K$9)^2),NA())</x:f>
        <x:v>49.33989999999999</x:v>
      </x:c>
      <x:c r="F141" s="49"/>
      <x:c r="G141" s="48" t="n">
        <x:f>A141</x:f>
        <x:v>0.158</x:v>
      </x:c>
      <x:c r="H141" s="48" t="n">
        <x:f>IF(OR(Inputs!$F$6=TRUE,Inputs!$F$6="TRUE",Inputs!$F$6=1),(((SQRT(((Inputs!$I$6+(((A141)+1)/2)*(Inputs!$J$6-Inputs!$I$6)))^2+Inputs!$C$6^2+((Inputs!$H$6+Inputs!$L$6*(((Inputs!$I$6+(((A141)+1)/2)*(Inputs!$J$6-Inputs!$I$6)))/Inputs!$K$6)^2))^2))-((Inputs!$H$6+Inputs!$L$6*(((Inputs!$I$6+(((A141)+1)/2)*(Inputs!$J$6-Inputs!$I$6)))/Inputs!$K$6)^2)))*1000/Inputs!$C$12),NA())</x:f>
        <x:v>501.33136175215793</x:v>
      </x:c>
      <x:c r="I141" s="48" t="n">
        <x:f>IF(OR(Inputs!$F$7=TRUE,Inputs!$F$7="TRUE",Inputs!$F$7=1),(((SQRT(((Inputs!$I$7+(((A141)+1)/2)*(Inputs!$J$7-Inputs!$I$7)))^2+Inputs!$C$6^2+((Inputs!$H$7+Inputs!$L$7*(((Inputs!$I$7+(((A141)+1)/2)*(Inputs!$J$7-Inputs!$I$7)))/Inputs!$K$7)^2))^2))-((Inputs!$H$7+Inputs!$L$7*(((Inputs!$I$7+(((A141)+1)/2)*(Inputs!$J$7-Inputs!$I$7)))/Inputs!$K$7)^2)))*1000/Inputs!$C$12),NA())</x:f>
        <x:v>20737.87707560272</x:v>
      </x:c>
      <x:c r="J141" s="48" t="n">
        <x:f>IF(OR(Inputs!$F$8=TRUE,Inputs!$F$8="TRUE",Inputs!$F$8=1),(((SQRT(((Inputs!$I$8+(((A141)+1)/2)*(Inputs!$J$8-Inputs!$I$8)))^2+Inputs!$C$6^2+((Inputs!$H$8+Inputs!$L$8*(((Inputs!$I$8+(((A141)+1)/2)*(Inputs!$J$8-Inputs!$I$8)))/Inputs!$K$8)^2))^2))-((Inputs!$H$8+Inputs!$L$8*(((Inputs!$I$8+(((A141)+1)/2)*(Inputs!$J$8-Inputs!$I$8)))/Inputs!$K$8)^2)))*1000/Inputs!$C$12),NA())</x:f>
        <x:v>46439.158617238005</x:v>
      </x:c>
      <x:c r="K141" s="48" t="n">
        <x:f>IF(OR(Inputs!$F$9=TRUE,Inputs!$F$9="TRUE",Inputs!$F$9=1),(((SQRT(((Inputs!$I$9+(((A141)+1)/2)*(Inputs!$J$9-Inputs!$I$9)))^2+Inputs!$C$6^2+((Inputs!$H$9+Inputs!$L$9*(((Inputs!$I$9+(((A141)+1)/2)*(Inputs!$J$9-Inputs!$I$9)))/Inputs!$K$9)^2))^2))-((Inputs!$H$9+Inputs!$L$9*(((Inputs!$I$9+(((A141)+1)/2)*(Inputs!$J$9-Inputs!$I$9)))/Inputs!$K$9)^2)))*1000/Inputs!$C$12),NA())</x:f>
        <x:v>49793.54455863063</x:v>
      </x:c>
      <x:c r="L141" s="49"/>
      <x:c r="M141" s="48" t="n">
        <x:f>A141</x:f>
        <x:v>0.158</x:v>
      </x:c>
      <x:c r="N141" s="48" t="n">
        <x:f>IF(OR(Inputs!$F$6=TRUE,Inputs!$F$6="TRUE",Inputs!$F$6=1),(-2*((1000*((((Inputs!$I$6+(((A141)+1)/2)*(Inputs!$J$6-Inputs!$I$6)))*Inputs!$C$11+((Inputs!$H$6+Inputs!$L$6*(((Inputs!$I$6+(((A141)+1)/2)*(Inputs!$J$6-Inputs!$I$6)))/Inputs!$K$6)^2))*((2*Inputs!$L$6*((Inputs!$I$6+(((A141)+1)/2)*(Inputs!$J$6-Inputs!$I$6)))/(Inputs!$K$6^2)*Inputs!$C$11)))/(SQRT(((Inputs!$I$6+(((A141)+1)/2)*(Inputs!$J$6-Inputs!$I$6)))^2+Inputs!$C$6^2+((Inputs!$H$6+Inputs!$L$6*(((Inputs!$I$6+(((A141)+1)/2)*(Inputs!$J$6-Inputs!$I$6)))/Inputs!$K$6)^2))^2)))))/Inputs!$C$13),NA())</x:f>
        <x:v>-71.4578254496028</x:v>
      </x:c>
      <x:c r="O141" s="48" t="n">
        <x:f>IF(OR(Inputs!$F$7=TRUE,Inputs!$F$7="TRUE",Inputs!$F$7=1),(-2*((1000*((((Inputs!$I$7+(((A141)+1)/2)*(Inputs!$J$7-Inputs!$I$7)))*Inputs!$C$11+((Inputs!$H$7+Inputs!$L$7*(((Inputs!$I$7+(((A141)+1)/2)*(Inputs!$J$7-Inputs!$I$7)))/Inputs!$K$7)^2))*((2*Inputs!$L$7*((Inputs!$I$7+(((A141)+1)/2)*(Inputs!$J$7-Inputs!$I$7)))/(Inputs!$K$7^2)*Inputs!$C$11)))/(SQRT(((Inputs!$I$7+(((A141)+1)/2)*(Inputs!$J$7-Inputs!$I$7)))^2+Inputs!$C$6^2+((Inputs!$H$7+Inputs!$L$7*(((Inputs!$I$7+(((A141)+1)/2)*(Inputs!$J$7-Inputs!$I$7)))/Inputs!$K$7)^2))^2)))))/Inputs!$C$13),NA())</x:f>
        <x:v>-1499.1795886261764</x:v>
      </x:c>
      <x:c r="P141" s="48" t="n">
        <x:f>IF(OR(Inputs!$F$8=TRUE,Inputs!$F$8="TRUE",Inputs!$F$8=1),(-2*((1000*((((Inputs!$I$8+(((A141)+1)/2)*(Inputs!$J$8-Inputs!$I$8)))*Inputs!$C$11+((Inputs!$H$8+Inputs!$L$8*(((Inputs!$I$8+(((A141)+1)/2)*(Inputs!$J$8-Inputs!$I$8)))/Inputs!$K$8)^2))*((2*Inputs!$L$8*((Inputs!$I$8+(((A141)+1)/2)*(Inputs!$J$8-Inputs!$I$8)))/(Inputs!$K$8^2)*Inputs!$C$11)))/(SQRT(((Inputs!$I$8+(((A141)+1)/2)*(Inputs!$J$8-Inputs!$I$8)))^2+Inputs!$C$6^2+((Inputs!$H$8+Inputs!$L$8*(((Inputs!$I$8+(((A141)+1)/2)*(Inputs!$J$8-Inputs!$I$8)))/Inputs!$K$8)^2))^2)))))/Inputs!$C$13),NA())</x:f>
        <x:v>-1680.9500470934552</x:v>
      </x:c>
      <x:c r="Q141" s="48" t="n">
        <x:f>IF(OR(Inputs!$F$9=TRUE,Inputs!$F$9="TRUE",Inputs!$F$9=1),(-2*((1000*((((Inputs!$I$9+(((A141)+1)/2)*(Inputs!$J$9-Inputs!$I$9)))*Inputs!$C$11+((Inputs!$H$9+Inputs!$L$9*(((Inputs!$I$9+(((A141)+1)/2)*(Inputs!$J$9-Inputs!$I$9)))/Inputs!$K$9)^2))*((2*Inputs!$L$9*((Inputs!$I$9+(((A141)+1)/2)*(Inputs!$J$9-Inputs!$I$9)))/(Inputs!$K$9^2)*Inputs!$C$11)))/(SQRT(((Inputs!$I$9+(((A141)+1)/2)*(Inputs!$J$9-Inputs!$I$9)))^2+Inputs!$C$6^2+((Inputs!$H$9+Inputs!$L$9*(((Inputs!$I$9+(((A141)+1)/2)*(Inputs!$J$9-Inputs!$I$9)))/Inputs!$K$9)^2))^2)))))/Inputs!$C$13),NA())</x:f>
        <x:v>-1686.1577436829066</x:v>
      </x:c>
      <x:c r="R141" s="49"/>
      <x:c r="S141" s="48" t="n">
        <x:f>A141</x:f>
        <x:v>0.158</x:v>
      </x:c>
      <x:c r="T141" s="48" t="n">
        <x:f>(Inputs!$I$6+(((A141)+1)/2)*(Inputs!$J$6-Inputs!$I$6))</x:f>
        <x:v>9.47999999999999</x:v>
      </x:c>
      <x:c r="U141" s="48" t="n">
        <x:f>(Inputs!$I$7+(((A141)+1)/2)*(Inputs!$J$7-Inputs!$I$7))</x:f>
        <x:v>63.19999999999999</x:v>
      </x:c>
      <x:c r="V141" s="48" t="n">
        <x:f>(Inputs!$I$8+(((A141)+1)/2)*(Inputs!$J$8-Inputs!$I$8))</x:f>
        <x:v>126.39999999999998</x:v>
      </x:c>
      <x:c r="W141" s="48" t="n">
        <x:f>(Inputs!$I$9+(((A141)+1)/2)*(Inputs!$J$9-Inputs!$I$9))</x:f>
        <x:v>126.39999999999998</x:v>
      </x:c>
      <x:c r="X141" s="49"/>
      <x:c r="Y141" s="48" t="n">
        <x:f>A141</x:f>
        <x:v>0.158</x:v>
      </x:c>
      <x:c r="Z141" s="48" t="n">
        <x:f>(Inputs!$H$6+Inputs!$L$6*(((Inputs!$I$6+(((A141)+1)/2)*(Inputs!$J$6-Inputs!$I$6)))/Inputs!$K$6)^2)</x:f>
        <x:v>400.099856</x:v>
      </x:c>
      <x:c r="AA141" s="48" t="n">
        <x:f>(Inputs!$H$7+Inputs!$L$7*(((Inputs!$I$7+(((A141)+1)/2)*(Inputs!$J$7-Inputs!$I$7)))/Inputs!$K$7)^2)</x:f>
        <x:v>44.11186</x:v>
      </x:c>
      <x:c r="AB141" s="48" t="n">
        <x:f>(Inputs!$H$8+Inputs!$L$8*(((Inputs!$I$8+(((A141)+1)/2)*(Inputs!$J$8-Inputs!$I$8)))/Inputs!$K$8)^2)</x:f>
        <x:v>59.090259999999994</x:v>
      </x:c>
      <x:c r="AC141" s="48" t="n">
        <x:f>(Inputs!$H$9+Inputs!$L$9*(((Inputs!$I$9+(((A141)+1)/2)*(Inputs!$J$9-Inputs!$I$9)))/Inputs!$K$9)^2)</x:f>
        <x:v>49.33989999999999</x:v>
      </x:c>
      <x:c r="AD141" s="49"/>
      <x:c r="AE141" s="48" t="n">
        <x:f>A141</x:f>
        <x:v>0.158</x:v>
      </x:c>
      <x:c r="AF141" s="48" t="n">
        <x:f>(((SQRT(((Inputs!$I$6+(((A141)+1)/2)*(Inputs!$J$6-Inputs!$I$6)))^2+Inputs!$C$6^2+((Inputs!$H$6+Inputs!$L$6*(((Inputs!$I$6+(((A141)+1)/2)*(Inputs!$J$6-Inputs!$I$6)))/Inputs!$K$6)^2))^2))-((Inputs!$H$6+Inputs!$L$6*(((Inputs!$I$6+(((A141)+1)/2)*(Inputs!$J$6-Inputs!$I$6)))/Inputs!$K$6)^2)))*1000/Inputs!$C$12)</x:f>
        <x:v>501.33136175215793</x:v>
      </x:c>
      <x:c r="AG141" s="48" t="n">
        <x:f>(((SQRT(((Inputs!$I$7+(((A141)+1)/2)*(Inputs!$J$7-Inputs!$I$7)))^2+Inputs!$C$6^2+((Inputs!$H$7+Inputs!$L$7*(((Inputs!$I$7+(((A141)+1)/2)*(Inputs!$J$7-Inputs!$I$7)))/Inputs!$K$7)^2))^2))-((Inputs!$H$7+Inputs!$L$7*(((Inputs!$I$7+(((A141)+1)/2)*(Inputs!$J$7-Inputs!$I$7)))/Inputs!$K$7)^2)))*1000/Inputs!$C$12)</x:f>
        <x:v>20737.87707560272</x:v>
      </x:c>
      <x:c r="AH141" s="48" t="n">
        <x:f>(((SQRT(((Inputs!$I$8+(((A141)+1)/2)*(Inputs!$J$8-Inputs!$I$8)))^2+Inputs!$C$6^2+((Inputs!$H$8+Inputs!$L$8*(((Inputs!$I$8+(((A141)+1)/2)*(Inputs!$J$8-Inputs!$I$8)))/Inputs!$K$8)^2))^2))-((Inputs!$H$8+Inputs!$L$8*(((Inputs!$I$8+(((A141)+1)/2)*(Inputs!$J$8-Inputs!$I$8)))/Inputs!$K$8)^2)))*1000/Inputs!$C$12)</x:f>
        <x:v>46439.158617238005</x:v>
      </x:c>
      <x:c r="AI141" s="48" t="n">
        <x:f>(((SQRT(((Inputs!$I$9+(((A141)+1)/2)*(Inputs!$J$9-Inputs!$I$9)))^2+Inputs!$C$6^2+((Inputs!$H$9+Inputs!$L$9*(((Inputs!$I$9+(((A141)+1)/2)*(Inputs!$J$9-Inputs!$I$9)))/Inputs!$K$9)^2))^2))-((Inputs!$H$9+Inputs!$L$9*(((Inputs!$I$9+(((A141)+1)/2)*(Inputs!$J$9-Inputs!$I$9)))/Inputs!$K$9)^2)))*1000/Inputs!$C$12)</x:f>
        <x:v>49793.54455863063</x:v>
      </x:c>
      <x:c r="AJ141" s="49"/>
      <x:c r="AK141" s="48" t="n">
        <x:f>A141</x:f>
        <x:v>0.158</x:v>
      </x:c>
      <x:c r="AL141" s="48" t="n">
        <x:f>(-2*((1000*((((Inputs!$I$6+(((A141)+1)/2)*(Inputs!$J$6-Inputs!$I$6)))*Inputs!$C$11+((Inputs!$H$6+Inputs!$L$6*(((Inputs!$I$6+(((A141)+1)/2)*(Inputs!$J$6-Inputs!$I$6)))/Inputs!$K$6)^2))*((2*Inputs!$L$6*((Inputs!$I$6+(((A141)+1)/2)*(Inputs!$J$6-Inputs!$I$6)))/(Inputs!$K$6^2)*Inputs!$C$11)))/(SQRT(((Inputs!$I$6+(((A141)+1)/2)*(Inputs!$J$6-Inputs!$I$6)))^2+Inputs!$C$6^2+((Inputs!$H$6+Inputs!$L$6*(((Inputs!$I$6+(((A141)+1)/2)*(Inputs!$J$6-Inputs!$I$6)))/Inputs!$K$6)^2))^2)))))/Inputs!$C$13)</x:f>
        <x:v>-71.4578254496028</x:v>
      </x:c>
      <x:c r="AM141" s="48" t="n">
        <x:f>(-2*((1000*((((Inputs!$I$7+(((A141)+1)/2)*(Inputs!$J$7-Inputs!$I$7)))*Inputs!$C$11+((Inputs!$H$7+Inputs!$L$7*(((Inputs!$I$7+(((A141)+1)/2)*(Inputs!$J$7-Inputs!$I$7)))/Inputs!$K$7)^2))*((2*Inputs!$L$7*((Inputs!$I$7+(((A141)+1)/2)*(Inputs!$J$7-Inputs!$I$7)))/(Inputs!$K$7^2)*Inputs!$C$11)))/(SQRT(((Inputs!$I$7+(((A141)+1)/2)*(Inputs!$J$7-Inputs!$I$7)))^2+Inputs!$C$6^2+((Inputs!$H$7+Inputs!$L$7*(((Inputs!$I$7+(((A141)+1)/2)*(Inputs!$J$7-Inputs!$I$7)))/Inputs!$K$7)^2))^2)))))/Inputs!$C$13)</x:f>
        <x:v>-1499.1795886261764</x:v>
      </x:c>
      <x:c r="AN141" s="48" t="n">
        <x:f>(-2*((1000*((((Inputs!$I$8+(((A141)+1)/2)*(Inputs!$J$8-Inputs!$I$8)))*Inputs!$C$11+((Inputs!$H$8+Inputs!$L$8*(((Inputs!$I$8+(((A141)+1)/2)*(Inputs!$J$8-Inputs!$I$8)))/Inputs!$K$8)^2))*((2*Inputs!$L$8*((Inputs!$I$8+(((A141)+1)/2)*(Inputs!$J$8-Inputs!$I$8)))/(Inputs!$K$8^2)*Inputs!$C$11)))/(SQRT(((Inputs!$I$8+(((A141)+1)/2)*(Inputs!$J$8-Inputs!$I$8)))^2+Inputs!$C$6^2+((Inputs!$H$8+Inputs!$L$8*(((Inputs!$I$8+(((A141)+1)/2)*(Inputs!$J$8-Inputs!$I$8)))/Inputs!$K$8)^2))^2)))))/Inputs!$C$13)</x:f>
        <x:v>-1680.9500470934552</x:v>
      </x:c>
      <x:c r="AO141" s="48" t="n">
        <x:f>(-2*((1000*((((Inputs!$I$9+(((A141)+1)/2)*(Inputs!$J$9-Inputs!$I$9)))*Inputs!$C$11+((Inputs!$H$9+Inputs!$L$9*(((Inputs!$I$9+(((A141)+1)/2)*(Inputs!$J$9-Inputs!$I$9)))/Inputs!$K$9)^2))*((2*Inputs!$L$9*((Inputs!$I$9+(((A141)+1)/2)*(Inputs!$J$9-Inputs!$I$9)))/(Inputs!$K$9^2)*Inputs!$C$11)))/(SQRT(((Inputs!$I$9+(((A141)+1)/2)*(Inputs!$J$9-Inputs!$I$9)))^2+Inputs!$C$6^2+((Inputs!$H$9+Inputs!$L$9*(((Inputs!$I$9+(((A141)+1)/2)*(Inputs!$J$9-Inputs!$I$9)))/Inputs!$K$9)^2))^2)))))/Inputs!$C$13)</x:f>
        <x:v>-1686.1577436829066</x:v>
      </x:c>
    </x:row>
    <x:row r="142">
      <x:c r="A142" s="48" t="n">
        <x:f>ROUND(-1+140*2/240,3)</x:f>
        <x:v>0.167</x:v>
      </x:c>
      <x:c r="B142" s="48" t="n">
        <x:f>IF(OR(Inputs!$F$6=TRUE,Inputs!$F$6="TRUE",Inputs!$F$6=1),(Inputs!$H$6+Inputs!$L$6*(((Inputs!$I$6+(((A142)+1)/2)*(Inputs!$J$6-Inputs!$I$6)))/Inputs!$K$6)^2),NA())</x:f>
        <x:v>400.111556</x:v>
      </x:c>
      <x:c r="C142" s="48" t="n">
        <x:f>IF(OR(Inputs!$F$7=TRUE,Inputs!$F$7="TRUE",Inputs!$F$7=1),(Inputs!$H$7+Inputs!$L$7*(((Inputs!$I$7+(((A142)+1)/2)*(Inputs!$J$7-Inputs!$I$7)))/Inputs!$K$7)^2),NA())</x:f>
        <x:v>45.179485</x:v>
      </x:c>
      <x:c r="D142" s="48" t="n">
        <x:f>IF(OR(Inputs!$F$8=TRUE,Inputs!$F$8="TRUE",Inputs!$F$8=1),(Inputs!$H$8+Inputs!$L$8*(((Inputs!$I$8+(((A142)+1)/2)*(Inputs!$J$8-Inputs!$I$8)))/Inputs!$K$8)^2),NA())</x:f>
        <x:v>61.91288500000001</x:v>
      </x:c>
      <x:c r="E142" s="48" t="n">
        <x:f>IF(OR(Inputs!$F$9=TRUE,Inputs!$F$9="TRUE",Inputs!$F$9=1),(Inputs!$H$9+Inputs!$L$9*(((Inputs!$I$9+(((A142)+1)/2)*(Inputs!$J$9-Inputs!$I$9)))/Inputs!$K$9)^2),NA())</x:f>
        <x:v>52.19177500000001</x:v>
      </x:c>
      <x:c r="F142" s="49"/>
      <x:c r="G142" s="48" t="n">
        <x:f>A142</x:f>
        <x:v>0.167</x:v>
      </x:c>
      <x:c r="H142" s="48" t="n">
        <x:f>IF(OR(Inputs!$F$6=TRUE,Inputs!$F$6="TRUE",Inputs!$F$6=1),(((SQRT(((Inputs!$I$6+(((A142)+1)/2)*(Inputs!$J$6-Inputs!$I$6)))^2+Inputs!$C$6^2+((Inputs!$H$6+Inputs!$L$6*(((Inputs!$I$6+(((A142)+1)/2)*(Inputs!$J$6-Inputs!$I$6)))/Inputs!$K$6)^2))^2))-((Inputs!$H$6+Inputs!$L$6*(((Inputs!$I$6+(((A142)+1)/2)*(Inputs!$J$6-Inputs!$I$6)))/Inputs!$K$6)^2)))*1000/Inputs!$C$12),NA())</x:f>
        <x:v>508.6927644023288</x:v>
      </x:c>
      <x:c r="I142" s="48" t="n">
        <x:f>IF(OR(Inputs!$F$7=TRUE,Inputs!$F$7="TRUE",Inputs!$F$7=1),(((SQRT(((Inputs!$I$7+(((A142)+1)/2)*(Inputs!$J$7-Inputs!$I$7)))^2+Inputs!$C$6^2+((Inputs!$H$7+Inputs!$L$7*(((Inputs!$I$7+(((A142)+1)/2)*(Inputs!$J$7-Inputs!$I$7)))/Inputs!$K$7)^2))^2))-((Inputs!$H$7+Inputs!$L$7*(((Inputs!$I$7+(((A142)+1)/2)*(Inputs!$J$7-Inputs!$I$7)))/Inputs!$K$7)^2)))*1000/Inputs!$C$12),NA())</x:f>
        <x:v>22050.854333705047</x:v>
      </x:c>
      <x:c r="J142" s="48" t="n">
        <x:f>IF(OR(Inputs!$F$8=TRUE,Inputs!$F$8="TRUE",Inputs!$F$8=1),(((SQRT(((Inputs!$I$8+(((A142)+1)/2)*(Inputs!$J$8-Inputs!$I$8)))^2+Inputs!$C$6^2+((Inputs!$H$8+Inputs!$L$8*(((Inputs!$I$8+(((A142)+1)/2)*(Inputs!$J$8-Inputs!$I$8)))/Inputs!$K$8)^2))^2))-((Inputs!$H$8+Inputs!$L$8*(((Inputs!$I$8+(((A142)+1)/2)*(Inputs!$J$8-Inputs!$I$8)))/Inputs!$K$8)^2)))*1000/Inputs!$C$12),NA())</x:f>
        <x:v>49125.252584195696</x:v>
      </x:c>
      <x:c r="K142" s="48" t="n">
        <x:f>IF(OR(Inputs!$F$9=TRUE,Inputs!$F$9="TRUE",Inputs!$F$9=1),(((SQRT(((Inputs!$I$9+(((A142)+1)/2)*(Inputs!$J$9-Inputs!$I$9)))^2+Inputs!$C$6^2+((Inputs!$H$9+Inputs!$L$9*(((Inputs!$I$9+(((A142)+1)/2)*(Inputs!$J$9-Inputs!$I$9)))/Inputs!$K$9)^2))^2))-((Inputs!$H$9+Inputs!$L$9*(((Inputs!$I$9+(((A142)+1)/2)*(Inputs!$J$9-Inputs!$I$9)))/Inputs!$K$9)^2)))*1000/Inputs!$C$12),NA())</x:f>
        <x:v>52473.79397517621</x:v>
      </x:c>
      <x:c r="L142" s="49"/>
      <x:c r="M142" s="48" t="n">
        <x:f>A142</x:f>
        <x:v>0.167</x:v>
      </x:c>
      <x:c r="N142" s="48" t="n">
        <x:f>IF(OR(Inputs!$F$6=TRUE,Inputs!$F$6="TRUE",Inputs!$F$6=1),(-2*((1000*((((Inputs!$I$6+(((A142)+1)/2)*(Inputs!$J$6-Inputs!$I$6)))*Inputs!$C$11+((Inputs!$H$6+Inputs!$L$6*(((Inputs!$I$6+(((A142)+1)/2)*(Inputs!$J$6-Inputs!$I$6)))/Inputs!$K$6)^2))*((2*Inputs!$L$6*((Inputs!$I$6+(((A142)+1)/2)*(Inputs!$J$6-Inputs!$I$6)))/(Inputs!$K$6^2)*Inputs!$C$11)))/(SQRT(((Inputs!$I$6+(((A142)+1)/2)*(Inputs!$J$6-Inputs!$I$6)))^2+Inputs!$C$6^2+((Inputs!$H$6+Inputs!$L$6*(((Inputs!$I$6+(((A142)+1)/2)*(Inputs!$J$6-Inputs!$I$6)))/Inputs!$K$6)^2))^2)))))/Inputs!$C$13),NA())</x:f>
        <x:v>-75.52457585531194</x:v>
      </x:c>
      <x:c r="O142" s="48" t="n">
        <x:f>IF(OR(Inputs!$F$7=TRUE,Inputs!$F$7="TRUE",Inputs!$F$7=1),(-2*((1000*((((Inputs!$I$7+(((A142)+1)/2)*(Inputs!$J$7-Inputs!$I$7)))*Inputs!$C$11+((Inputs!$H$7+Inputs!$L$7*(((Inputs!$I$7+(((A142)+1)/2)*(Inputs!$J$7-Inputs!$I$7)))/Inputs!$K$7)^2))*((2*Inputs!$L$7*((Inputs!$I$7+(((A142)+1)/2)*(Inputs!$J$7-Inputs!$I$7)))/(Inputs!$K$7^2)*Inputs!$C$11)))/(SQRT(((Inputs!$I$7+(((A142)+1)/2)*(Inputs!$J$7-Inputs!$I$7)))^2+Inputs!$C$6^2+((Inputs!$H$7+Inputs!$L$7*(((Inputs!$I$7+(((A142)+1)/2)*(Inputs!$J$7-Inputs!$I$7)))/Inputs!$K$7)^2))^2)))))/Inputs!$C$13),NA())</x:f>
        <x:v>-1526.842536314455</x:v>
      </x:c>
      <x:c r="P142" s="48" t="n">
        <x:f>IF(OR(Inputs!$F$8=TRUE,Inputs!$F$8="TRUE",Inputs!$F$8=1),(-2*((1000*((((Inputs!$I$8+(((A142)+1)/2)*(Inputs!$J$8-Inputs!$I$8)))*Inputs!$C$11+((Inputs!$H$8+Inputs!$L$8*(((Inputs!$I$8+(((A142)+1)/2)*(Inputs!$J$8-Inputs!$I$8)))/Inputs!$K$8)^2))*((2*Inputs!$L$8*((Inputs!$I$8+(((A142)+1)/2)*(Inputs!$J$8-Inputs!$I$8)))/(Inputs!$K$8^2)*Inputs!$C$11)))/(SQRT(((Inputs!$I$8+(((A142)+1)/2)*(Inputs!$J$8-Inputs!$I$8)))^2+Inputs!$C$6^2+((Inputs!$H$8+Inputs!$L$8*(((Inputs!$I$8+(((A142)+1)/2)*(Inputs!$J$8-Inputs!$I$8)))/Inputs!$K$8)^2))^2)))))/Inputs!$C$13),NA())</x:f>
        <x:v>-1698.4290209237238</x:v>
      </x:c>
      <x:c r="Q142" s="48" t="n">
        <x:f>IF(OR(Inputs!$F$9=TRUE,Inputs!$F$9="TRUE",Inputs!$F$9=1),(-2*((1000*((((Inputs!$I$9+(((A142)+1)/2)*(Inputs!$J$9-Inputs!$I$9)))*Inputs!$C$11+((Inputs!$H$9+Inputs!$L$9*(((Inputs!$I$9+(((A142)+1)/2)*(Inputs!$J$9-Inputs!$I$9)))/Inputs!$K$9)^2))*((2*Inputs!$L$9*((Inputs!$I$9+(((A142)+1)/2)*(Inputs!$J$9-Inputs!$I$9)))/(Inputs!$K$9^2)*Inputs!$C$11)))/(SQRT(((Inputs!$I$9+(((A142)+1)/2)*(Inputs!$J$9-Inputs!$I$9)))^2+Inputs!$C$6^2+((Inputs!$H$9+Inputs!$L$9*(((Inputs!$I$9+(((A142)+1)/2)*(Inputs!$J$9-Inputs!$I$9)))/Inputs!$K$9)^2))^2)))))/Inputs!$C$13),NA())</x:f>
        <x:v>-1701.6537983891926</x:v>
      </x:c>
      <x:c r="R142" s="49"/>
      <x:c r="S142" s="48" t="n">
        <x:f>A142</x:f>
        <x:v>0.167</x:v>
      </x:c>
      <x:c r="T142" s="48" t="n">
        <x:f>(Inputs!$I$6+(((A142)+1)/2)*(Inputs!$J$6-Inputs!$I$6))</x:f>
        <x:v>10.019999999999996</x:v>
      </x:c>
      <x:c r="U142" s="48" t="n">
        <x:f>(Inputs!$I$7+(((A142)+1)/2)*(Inputs!$J$7-Inputs!$I$7))</x:f>
        <x:v>66.80000000000001</x:v>
      </x:c>
      <x:c r="V142" s="48" t="n">
        <x:f>(Inputs!$I$8+(((A142)+1)/2)*(Inputs!$J$8-Inputs!$I$8))</x:f>
        <x:v>133.60000000000002</x:v>
      </x:c>
      <x:c r="W142" s="48" t="n">
        <x:f>(Inputs!$I$9+(((A142)+1)/2)*(Inputs!$J$9-Inputs!$I$9))</x:f>
        <x:v>133.60000000000002</x:v>
      </x:c>
      <x:c r="X142" s="49"/>
      <x:c r="Y142" s="48" t="n">
        <x:f>A142</x:f>
        <x:v>0.167</x:v>
      </x:c>
      <x:c r="Z142" s="48" t="n">
        <x:f>(Inputs!$H$6+Inputs!$L$6*(((Inputs!$I$6+(((A142)+1)/2)*(Inputs!$J$6-Inputs!$I$6)))/Inputs!$K$6)^2)</x:f>
        <x:v>400.111556</x:v>
      </x:c>
      <x:c r="AA142" s="48" t="n">
        <x:f>(Inputs!$H$7+Inputs!$L$7*(((Inputs!$I$7+(((A142)+1)/2)*(Inputs!$J$7-Inputs!$I$7)))/Inputs!$K$7)^2)</x:f>
        <x:v>45.179485</x:v>
      </x:c>
      <x:c r="AB142" s="48" t="n">
        <x:f>(Inputs!$H$8+Inputs!$L$8*(((Inputs!$I$8+(((A142)+1)/2)*(Inputs!$J$8-Inputs!$I$8)))/Inputs!$K$8)^2)</x:f>
        <x:v>61.91288500000001</x:v>
      </x:c>
      <x:c r="AC142" s="48" t="n">
        <x:f>(Inputs!$H$9+Inputs!$L$9*(((Inputs!$I$9+(((A142)+1)/2)*(Inputs!$J$9-Inputs!$I$9)))/Inputs!$K$9)^2)</x:f>
        <x:v>52.19177500000001</x:v>
      </x:c>
      <x:c r="AD142" s="49"/>
      <x:c r="AE142" s="48" t="n">
        <x:f>A142</x:f>
        <x:v>0.167</x:v>
      </x:c>
      <x:c r="AF142" s="48" t="n">
        <x:f>(((SQRT(((Inputs!$I$6+(((A142)+1)/2)*(Inputs!$J$6-Inputs!$I$6)))^2+Inputs!$C$6^2+((Inputs!$H$6+Inputs!$L$6*(((Inputs!$I$6+(((A142)+1)/2)*(Inputs!$J$6-Inputs!$I$6)))/Inputs!$K$6)^2))^2))-((Inputs!$H$6+Inputs!$L$6*(((Inputs!$I$6+(((A142)+1)/2)*(Inputs!$J$6-Inputs!$I$6)))/Inputs!$K$6)^2)))*1000/Inputs!$C$12)</x:f>
        <x:v>508.6927644023288</x:v>
      </x:c>
      <x:c r="AG142" s="48" t="n">
        <x:f>(((SQRT(((Inputs!$I$7+(((A142)+1)/2)*(Inputs!$J$7-Inputs!$I$7)))^2+Inputs!$C$6^2+((Inputs!$H$7+Inputs!$L$7*(((Inputs!$I$7+(((A142)+1)/2)*(Inputs!$J$7-Inputs!$I$7)))/Inputs!$K$7)^2))^2))-((Inputs!$H$7+Inputs!$L$7*(((Inputs!$I$7+(((A142)+1)/2)*(Inputs!$J$7-Inputs!$I$7)))/Inputs!$K$7)^2)))*1000/Inputs!$C$12)</x:f>
        <x:v>22050.854333705047</x:v>
      </x:c>
      <x:c r="AH142" s="48" t="n">
        <x:f>(((SQRT(((Inputs!$I$8+(((A142)+1)/2)*(Inputs!$J$8-Inputs!$I$8)))^2+Inputs!$C$6^2+((Inputs!$H$8+Inputs!$L$8*(((Inputs!$I$8+(((A142)+1)/2)*(Inputs!$J$8-Inputs!$I$8)))/Inputs!$K$8)^2))^2))-((Inputs!$H$8+Inputs!$L$8*(((Inputs!$I$8+(((A142)+1)/2)*(Inputs!$J$8-Inputs!$I$8)))/Inputs!$K$8)^2)))*1000/Inputs!$C$12)</x:f>
        <x:v>49125.252584195696</x:v>
      </x:c>
      <x:c r="AI142" s="48" t="n">
        <x:f>(((SQRT(((Inputs!$I$9+(((A142)+1)/2)*(Inputs!$J$9-Inputs!$I$9)))^2+Inputs!$C$6^2+((Inputs!$H$9+Inputs!$L$9*(((Inputs!$I$9+(((A142)+1)/2)*(Inputs!$J$9-Inputs!$I$9)))/Inputs!$K$9)^2))^2))-((Inputs!$H$9+Inputs!$L$9*(((Inputs!$I$9+(((A142)+1)/2)*(Inputs!$J$9-Inputs!$I$9)))/Inputs!$K$9)^2)))*1000/Inputs!$C$12)</x:f>
        <x:v>52473.79397517621</x:v>
      </x:c>
      <x:c r="AJ142" s="49"/>
      <x:c r="AK142" s="48" t="n">
        <x:f>A142</x:f>
        <x:v>0.167</x:v>
      </x:c>
      <x:c r="AL142" s="48" t="n">
        <x:f>(-2*((1000*((((Inputs!$I$6+(((A142)+1)/2)*(Inputs!$J$6-Inputs!$I$6)))*Inputs!$C$11+((Inputs!$H$6+Inputs!$L$6*(((Inputs!$I$6+(((A142)+1)/2)*(Inputs!$J$6-Inputs!$I$6)))/Inputs!$K$6)^2))*((2*Inputs!$L$6*((Inputs!$I$6+(((A142)+1)/2)*(Inputs!$J$6-Inputs!$I$6)))/(Inputs!$K$6^2)*Inputs!$C$11)))/(SQRT(((Inputs!$I$6+(((A142)+1)/2)*(Inputs!$J$6-Inputs!$I$6)))^2+Inputs!$C$6^2+((Inputs!$H$6+Inputs!$L$6*(((Inputs!$I$6+(((A142)+1)/2)*(Inputs!$J$6-Inputs!$I$6)))/Inputs!$K$6)^2))^2)))))/Inputs!$C$13)</x:f>
        <x:v>-75.52457585531194</x:v>
      </x:c>
      <x:c r="AM142" s="48" t="n">
        <x:f>(-2*((1000*((((Inputs!$I$7+(((A142)+1)/2)*(Inputs!$J$7-Inputs!$I$7)))*Inputs!$C$11+((Inputs!$H$7+Inputs!$L$7*(((Inputs!$I$7+(((A142)+1)/2)*(Inputs!$J$7-Inputs!$I$7)))/Inputs!$K$7)^2))*((2*Inputs!$L$7*((Inputs!$I$7+(((A142)+1)/2)*(Inputs!$J$7-Inputs!$I$7)))/(Inputs!$K$7^2)*Inputs!$C$11)))/(SQRT(((Inputs!$I$7+(((A142)+1)/2)*(Inputs!$J$7-Inputs!$I$7)))^2+Inputs!$C$6^2+((Inputs!$H$7+Inputs!$L$7*(((Inputs!$I$7+(((A142)+1)/2)*(Inputs!$J$7-Inputs!$I$7)))/Inputs!$K$7)^2))^2)))))/Inputs!$C$13)</x:f>
        <x:v>-1526.842536314455</x:v>
      </x:c>
      <x:c r="AN142" s="48" t="n">
        <x:f>(-2*((1000*((((Inputs!$I$8+(((A142)+1)/2)*(Inputs!$J$8-Inputs!$I$8)))*Inputs!$C$11+((Inputs!$H$8+Inputs!$L$8*(((Inputs!$I$8+(((A142)+1)/2)*(Inputs!$J$8-Inputs!$I$8)))/Inputs!$K$8)^2))*((2*Inputs!$L$8*((Inputs!$I$8+(((A142)+1)/2)*(Inputs!$J$8-Inputs!$I$8)))/(Inputs!$K$8^2)*Inputs!$C$11)))/(SQRT(((Inputs!$I$8+(((A142)+1)/2)*(Inputs!$J$8-Inputs!$I$8)))^2+Inputs!$C$6^2+((Inputs!$H$8+Inputs!$L$8*(((Inputs!$I$8+(((A142)+1)/2)*(Inputs!$J$8-Inputs!$I$8)))/Inputs!$K$8)^2))^2)))))/Inputs!$C$13)</x:f>
        <x:v>-1698.4290209237238</x:v>
      </x:c>
      <x:c r="AO142" s="48" t="n">
        <x:f>(-2*((1000*((((Inputs!$I$9+(((A142)+1)/2)*(Inputs!$J$9-Inputs!$I$9)))*Inputs!$C$11+((Inputs!$H$9+Inputs!$L$9*(((Inputs!$I$9+(((A142)+1)/2)*(Inputs!$J$9-Inputs!$I$9)))/Inputs!$K$9)^2))*((2*Inputs!$L$9*((Inputs!$I$9+(((A142)+1)/2)*(Inputs!$J$9-Inputs!$I$9)))/(Inputs!$K$9^2)*Inputs!$C$11)))/(SQRT(((Inputs!$I$9+(((A142)+1)/2)*(Inputs!$J$9-Inputs!$I$9)))^2+Inputs!$C$6^2+((Inputs!$H$9+Inputs!$L$9*(((Inputs!$I$9+(((A142)+1)/2)*(Inputs!$J$9-Inputs!$I$9)))/Inputs!$K$9)^2))^2)))))/Inputs!$C$13)</x:f>
        <x:v>-1701.6537983891926</x:v>
      </x:c>
    </x:row>
    <x:row r="143">
      <x:c r="A143" s="48" t="n">
        <x:f>ROUND(-1+141*2/240,3)</x:f>
        <x:v>0.175</x:v>
      </x:c>
      <x:c r="B143" s="48" t="n">
        <x:f>IF(OR(Inputs!$F$6=TRUE,Inputs!$F$6="TRUE",Inputs!$F$6=1),(Inputs!$H$6+Inputs!$L$6*(((Inputs!$I$6+(((A143)+1)/2)*(Inputs!$J$6-Inputs!$I$6)))/Inputs!$K$6)^2),NA())</x:f>
        <x:v>400.1225</x:v>
      </x:c>
      <x:c r="C143" s="48" t="n">
        <x:f>IF(OR(Inputs!$F$7=TRUE,Inputs!$F$7="TRUE",Inputs!$F$7=1),(Inputs!$H$7+Inputs!$L$7*(((Inputs!$I$7+(((A143)+1)/2)*(Inputs!$J$7-Inputs!$I$7)))/Inputs!$K$7)^2),NA())</x:f>
        <x:v>46.178124999999994</x:v>
      </x:c>
      <x:c r="D143" s="48" t="n">
        <x:f>IF(OR(Inputs!$F$8=TRUE,Inputs!$F$8="TRUE",Inputs!$F$8=1),(Inputs!$H$8+Inputs!$L$8*(((Inputs!$I$8+(((A143)+1)/2)*(Inputs!$J$8-Inputs!$I$8)))/Inputs!$K$8)^2),NA())</x:f>
        <x:v>64.553125</x:v>
      </x:c>
      <x:c r="E143" s="48" t="n">
        <x:f>IF(OR(Inputs!$F$9=TRUE,Inputs!$F$9="TRUE",Inputs!$F$9=1),(Inputs!$H$9+Inputs!$L$9*(((Inputs!$I$9+(((A143)+1)/2)*(Inputs!$J$9-Inputs!$I$9)))/Inputs!$K$9)^2),NA())</x:f>
        <x:v>54.859375</x:v>
      </x:c>
      <x:c r="F143" s="49"/>
      <x:c r="G143" s="48" t="n">
        <x:f>A143</x:f>
        <x:v>0.175</x:v>
      </x:c>
      <x:c r="H143" s="48" t="n">
        <x:f>IF(OR(Inputs!$F$6=TRUE,Inputs!$F$6="TRUE",Inputs!$F$6=1),(((SQRT(((Inputs!$I$6+(((A143)+1)/2)*(Inputs!$J$6-Inputs!$I$6)))^2+Inputs!$C$6^2+((Inputs!$H$6+Inputs!$L$6*(((Inputs!$I$6+(((A143)+1)/2)*(Inputs!$J$6-Inputs!$I$6)))/Inputs!$K$6)^2))^2))-((Inputs!$H$6+Inputs!$L$6*(((Inputs!$I$6+(((A143)+1)/2)*(Inputs!$J$6-Inputs!$I$6)))/Inputs!$K$6)^2)))*1000/Inputs!$C$12),NA())</x:f>
        <x:v>515.5779006869442</x:v>
      </x:c>
      <x:c r="I143" s="48" t="n">
        <x:f>IF(OR(Inputs!$F$7=TRUE,Inputs!$F$7="TRUE",Inputs!$F$7=1),(((SQRT(((Inputs!$I$7+(((A143)+1)/2)*(Inputs!$J$7-Inputs!$I$7)))^2+Inputs!$C$6^2+((Inputs!$H$7+Inputs!$L$7*(((Inputs!$I$7+(((A143)+1)/2)*(Inputs!$J$7-Inputs!$I$7)))/Inputs!$K$7)^2))^2))-((Inputs!$H$7+Inputs!$L$7*(((Inputs!$I$7+(((A143)+1)/2)*(Inputs!$J$7-Inputs!$I$7)))/Inputs!$K$7)^2)))*1000/Inputs!$C$12),NA())</x:f>
        <x:v>23218.28991614506</x:v>
      </x:c>
      <x:c r="J143" s="48" t="n">
        <x:f>IF(OR(Inputs!$F$8=TRUE,Inputs!$F$8="TRUE",Inputs!$F$8=1),(((SQRT(((Inputs!$I$8+(((A143)+1)/2)*(Inputs!$J$8-Inputs!$I$8)))^2+Inputs!$C$6^2+((Inputs!$H$8+Inputs!$L$8*(((Inputs!$I$8+(((A143)+1)/2)*(Inputs!$J$8-Inputs!$I$8)))/Inputs!$K$8)^2))^2))-((Inputs!$H$8+Inputs!$L$8*(((Inputs!$I$8+(((A143)+1)/2)*(Inputs!$J$8-Inputs!$I$8)))/Inputs!$K$8)^2)))*1000/Inputs!$C$12),NA())</x:f>
        <x:v>51475.61698146661</x:v>
      </x:c>
      <x:c r="K143" s="48" t="n">
        <x:f>IF(OR(Inputs!$F$9=TRUE,Inputs!$F$9="TRUE",Inputs!$F$9=1),(((SQRT(((Inputs!$I$9+(((A143)+1)/2)*(Inputs!$J$9-Inputs!$I$9)))^2+Inputs!$C$6^2+((Inputs!$H$9+Inputs!$L$9*(((Inputs!$I$9+(((A143)+1)/2)*(Inputs!$J$9-Inputs!$I$9)))/Inputs!$K$9)^2))^2))-((Inputs!$H$9+Inputs!$L$9*(((Inputs!$I$9+(((A143)+1)/2)*(Inputs!$J$9-Inputs!$I$9)))/Inputs!$K$9)^2)))*1000/Inputs!$C$12),NA())</x:f>
        <x:v>54814.30574053003</x:v>
      </x:c>
      <x:c r="L143" s="49"/>
      <x:c r="M143" s="48" t="n">
        <x:f>A143</x:f>
        <x:v>0.175</x:v>
      </x:c>
      <x:c r="N143" s="48" t="n">
        <x:f>IF(OR(Inputs!$F$6=TRUE,Inputs!$F$6="TRUE",Inputs!$F$6=1),(-2*((1000*((((Inputs!$I$6+(((A143)+1)/2)*(Inputs!$J$6-Inputs!$I$6)))*Inputs!$C$11+((Inputs!$H$6+Inputs!$L$6*(((Inputs!$I$6+(((A143)+1)/2)*(Inputs!$J$6-Inputs!$I$6)))/Inputs!$K$6)^2))*((2*Inputs!$L$6*((Inputs!$I$6+(((A143)+1)/2)*(Inputs!$J$6-Inputs!$I$6)))/(Inputs!$K$6^2)*Inputs!$C$11)))/(SQRT(((Inputs!$I$6+(((A143)+1)/2)*(Inputs!$J$6-Inputs!$I$6)))^2+Inputs!$C$6^2+((Inputs!$H$6+Inputs!$L$6*(((Inputs!$I$6+(((A143)+1)/2)*(Inputs!$J$6-Inputs!$I$6)))/Inputs!$K$6)^2))^2)))))/Inputs!$C$13),NA())</x:f>
        <x:v>-79.13896012990475</x:v>
      </x:c>
      <x:c r="O143" s="48" t="n">
        <x:f>IF(OR(Inputs!$F$7=TRUE,Inputs!$F$7="TRUE",Inputs!$F$7=1),(-2*((1000*((((Inputs!$I$7+(((A143)+1)/2)*(Inputs!$J$7-Inputs!$I$7)))*Inputs!$C$11+((Inputs!$H$7+Inputs!$L$7*(((Inputs!$I$7+(((A143)+1)/2)*(Inputs!$J$7-Inputs!$I$7)))/Inputs!$K$7)^2))*((2*Inputs!$L$7*((Inputs!$I$7+(((A143)+1)/2)*(Inputs!$J$7-Inputs!$I$7)))/(Inputs!$K$7^2)*Inputs!$C$11)))/(SQRT(((Inputs!$I$7+(((A143)+1)/2)*(Inputs!$J$7-Inputs!$I$7)))^2+Inputs!$C$6^2+((Inputs!$H$7+Inputs!$L$7*(((Inputs!$I$7+(((A143)+1)/2)*(Inputs!$J$7-Inputs!$I$7)))/Inputs!$K$7)^2))^2)))))/Inputs!$C$13),NA())</x:f>
        <x:v>-1549.5619334068679</x:v>
      </x:c>
      <x:c r="P143" s="48" t="n">
        <x:f>IF(OR(Inputs!$F$8=TRUE,Inputs!$F$8="TRUE",Inputs!$F$8=1),(-2*((1000*((((Inputs!$I$8+(((A143)+1)/2)*(Inputs!$J$8-Inputs!$I$8)))*Inputs!$C$11+((Inputs!$H$8+Inputs!$L$8*(((Inputs!$I$8+(((A143)+1)/2)*(Inputs!$J$8-Inputs!$I$8)))/Inputs!$K$8)^2))*((2*Inputs!$L$8*((Inputs!$I$8+(((A143)+1)/2)*(Inputs!$J$8-Inputs!$I$8)))/(Inputs!$K$8^2)*Inputs!$C$11)))/(SQRT(((Inputs!$I$8+(((A143)+1)/2)*(Inputs!$J$8-Inputs!$I$8)))^2+Inputs!$C$6^2+((Inputs!$H$8+Inputs!$L$8*(((Inputs!$I$8+(((A143)+1)/2)*(Inputs!$J$8-Inputs!$I$8)))/Inputs!$K$8)^2))^2)))))/Inputs!$C$13),NA())</x:f>
        <x:v>-1713.4467292436516</x:v>
      </x:c>
      <x:c r="Q143" s="48" t="n">
        <x:f>IF(OR(Inputs!$F$9=TRUE,Inputs!$F$9="TRUE",Inputs!$F$9=1),(-2*((1000*((((Inputs!$I$9+(((A143)+1)/2)*(Inputs!$J$9-Inputs!$I$9)))*Inputs!$C$11+((Inputs!$H$9+Inputs!$L$9*(((Inputs!$I$9+(((A143)+1)/2)*(Inputs!$J$9-Inputs!$I$9)))/Inputs!$K$9)^2))*((2*Inputs!$L$9*((Inputs!$I$9+(((A143)+1)/2)*(Inputs!$J$9-Inputs!$I$9)))/(Inputs!$K$9^2)*Inputs!$C$11)))/(SQRT(((Inputs!$I$9+(((A143)+1)/2)*(Inputs!$J$9-Inputs!$I$9)))^2+Inputs!$C$6^2+((Inputs!$H$9+Inputs!$L$9*(((Inputs!$I$9+(((A143)+1)/2)*(Inputs!$J$9-Inputs!$I$9)))/Inputs!$K$9)^2))^2)))))/Inputs!$C$13),NA())</x:f>
        <x:v>-1715.170992435012</x:v>
      </x:c>
      <x:c r="R143" s="49"/>
      <x:c r="S143" s="48" t="n">
        <x:f>A143</x:f>
        <x:v>0.175</x:v>
      </x:c>
      <x:c r="T143" s="48" t="n">
        <x:f>(Inputs!$I$6+(((A143)+1)/2)*(Inputs!$J$6-Inputs!$I$6))</x:f>
        <x:v>10.5</x:v>
      </x:c>
      <x:c r="U143" s="48" t="n">
        <x:f>(Inputs!$I$7+(((A143)+1)/2)*(Inputs!$J$7-Inputs!$I$7))</x:f>
        <x:v>70</x:v>
      </x:c>
      <x:c r="V143" s="48" t="n">
        <x:f>(Inputs!$I$8+(((A143)+1)/2)*(Inputs!$J$8-Inputs!$I$8))</x:f>
        <x:v>140</x:v>
      </x:c>
      <x:c r="W143" s="48" t="n">
        <x:f>(Inputs!$I$9+(((A143)+1)/2)*(Inputs!$J$9-Inputs!$I$9))</x:f>
        <x:v>140</x:v>
      </x:c>
      <x:c r="X143" s="49"/>
      <x:c r="Y143" s="48" t="n">
        <x:f>A143</x:f>
        <x:v>0.175</x:v>
      </x:c>
      <x:c r="Z143" s="48" t="n">
        <x:f>(Inputs!$H$6+Inputs!$L$6*(((Inputs!$I$6+(((A143)+1)/2)*(Inputs!$J$6-Inputs!$I$6)))/Inputs!$K$6)^2)</x:f>
        <x:v>400.1225</x:v>
      </x:c>
      <x:c r="AA143" s="48" t="n">
        <x:f>(Inputs!$H$7+Inputs!$L$7*(((Inputs!$I$7+(((A143)+1)/2)*(Inputs!$J$7-Inputs!$I$7)))/Inputs!$K$7)^2)</x:f>
        <x:v>46.178124999999994</x:v>
      </x:c>
      <x:c r="AB143" s="48" t="n">
        <x:f>(Inputs!$H$8+Inputs!$L$8*(((Inputs!$I$8+(((A143)+1)/2)*(Inputs!$J$8-Inputs!$I$8)))/Inputs!$K$8)^2)</x:f>
        <x:v>64.553125</x:v>
      </x:c>
      <x:c r="AC143" s="48" t="n">
        <x:f>(Inputs!$H$9+Inputs!$L$9*(((Inputs!$I$9+(((A143)+1)/2)*(Inputs!$J$9-Inputs!$I$9)))/Inputs!$K$9)^2)</x:f>
        <x:v>54.859375</x:v>
      </x:c>
      <x:c r="AD143" s="49"/>
      <x:c r="AE143" s="48" t="n">
        <x:f>A143</x:f>
        <x:v>0.175</x:v>
      </x:c>
      <x:c r="AF143" s="48" t="n">
        <x:f>(((SQRT(((Inputs!$I$6+(((A143)+1)/2)*(Inputs!$J$6-Inputs!$I$6)))^2+Inputs!$C$6^2+((Inputs!$H$6+Inputs!$L$6*(((Inputs!$I$6+(((A143)+1)/2)*(Inputs!$J$6-Inputs!$I$6)))/Inputs!$K$6)^2))^2))-((Inputs!$H$6+Inputs!$L$6*(((Inputs!$I$6+(((A143)+1)/2)*(Inputs!$J$6-Inputs!$I$6)))/Inputs!$K$6)^2)))*1000/Inputs!$C$12)</x:f>
        <x:v>515.5779006869442</x:v>
      </x:c>
      <x:c r="AG143" s="48" t="n">
        <x:f>(((SQRT(((Inputs!$I$7+(((A143)+1)/2)*(Inputs!$J$7-Inputs!$I$7)))^2+Inputs!$C$6^2+((Inputs!$H$7+Inputs!$L$7*(((Inputs!$I$7+(((A143)+1)/2)*(Inputs!$J$7-Inputs!$I$7)))/Inputs!$K$7)^2))^2))-((Inputs!$H$7+Inputs!$L$7*(((Inputs!$I$7+(((A143)+1)/2)*(Inputs!$J$7-Inputs!$I$7)))/Inputs!$K$7)^2)))*1000/Inputs!$C$12)</x:f>
        <x:v>23218.28991614506</x:v>
      </x:c>
      <x:c r="AH143" s="48" t="n">
        <x:f>(((SQRT(((Inputs!$I$8+(((A143)+1)/2)*(Inputs!$J$8-Inputs!$I$8)))^2+Inputs!$C$6^2+((Inputs!$H$8+Inputs!$L$8*(((Inputs!$I$8+(((A143)+1)/2)*(Inputs!$J$8-Inputs!$I$8)))/Inputs!$K$8)^2))^2))-((Inputs!$H$8+Inputs!$L$8*(((Inputs!$I$8+(((A143)+1)/2)*(Inputs!$J$8-Inputs!$I$8)))/Inputs!$K$8)^2)))*1000/Inputs!$C$12)</x:f>
        <x:v>51475.61698146661</x:v>
      </x:c>
      <x:c r="AI143" s="48" t="n">
        <x:f>(((SQRT(((Inputs!$I$9+(((A143)+1)/2)*(Inputs!$J$9-Inputs!$I$9)))^2+Inputs!$C$6^2+((Inputs!$H$9+Inputs!$L$9*(((Inputs!$I$9+(((A143)+1)/2)*(Inputs!$J$9-Inputs!$I$9)))/Inputs!$K$9)^2))^2))-((Inputs!$H$9+Inputs!$L$9*(((Inputs!$I$9+(((A143)+1)/2)*(Inputs!$J$9-Inputs!$I$9)))/Inputs!$K$9)^2)))*1000/Inputs!$C$12)</x:f>
        <x:v>54814.30574053003</x:v>
      </x:c>
      <x:c r="AJ143" s="49"/>
      <x:c r="AK143" s="48" t="n">
        <x:f>A143</x:f>
        <x:v>0.175</x:v>
      </x:c>
      <x:c r="AL143" s="48" t="n">
        <x:f>(-2*((1000*((((Inputs!$I$6+(((A143)+1)/2)*(Inputs!$J$6-Inputs!$I$6)))*Inputs!$C$11+((Inputs!$H$6+Inputs!$L$6*(((Inputs!$I$6+(((A143)+1)/2)*(Inputs!$J$6-Inputs!$I$6)))/Inputs!$K$6)^2))*((2*Inputs!$L$6*((Inputs!$I$6+(((A143)+1)/2)*(Inputs!$J$6-Inputs!$I$6)))/(Inputs!$K$6^2)*Inputs!$C$11)))/(SQRT(((Inputs!$I$6+(((A143)+1)/2)*(Inputs!$J$6-Inputs!$I$6)))^2+Inputs!$C$6^2+((Inputs!$H$6+Inputs!$L$6*(((Inputs!$I$6+(((A143)+1)/2)*(Inputs!$J$6-Inputs!$I$6)))/Inputs!$K$6)^2))^2)))))/Inputs!$C$13)</x:f>
        <x:v>-79.13896012990475</x:v>
      </x:c>
      <x:c r="AM143" s="48" t="n">
        <x:f>(-2*((1000*((((Inputs!$I$7+(((A143)+1)/2)*(Inputs!$J$7-Inputs!$I$7)))*Inputs!$C$11+((Inputs!$H$7+Inputs!$L$7*(((Inputs!$I$7+(((A143)+1)/2)*(Inputs!$J$7-Inputs!$I$7)))/Inputs!$K$7)^2))*((2*Inputs!$L$7*((Inputs!$I$7+(((A143)+1)/2)*(Inputs!$J$7-Inputs!$I$7)))/(Inputs!$K$7^2)*Inputs!$C$11)))/(SQRT(((Inputs!$I$7+(((A143)+1)/2)*(Inputs!$J$7-Inputs!$I$7)))^2+Inputs!$C$6^2+((Inputs!$H$7+Inputs!$L$7*(((Inputs!$I$7+(((A143)+1)/2)*(Inputs!$J$7-Inputs!$I$7)))/Inputs!$K$7)^2))^2)))))/Inputs!$C$13)</x:f>
        <x:v>-1549.5619334068679</x:v>
      </x:c>
      <x:c r="AN143" s="48" t="n">
        <x:f>(-2*((1000*((((Inputs!$I$8+(((A143)+1)/2)*(Inputs!$J$8-Inputs!$I$8)))*Inputs!$C$11+((Inputs!$H$8+Inputs!$L$8*(((Inputs!$I$8+(((A143)+1)/2)*(Inputs!$J$8-Inputs!$I$8)))/Inputs!$K$8)^2))*((2*Inputs!$L$8*((Inputs!$I$8+(((A143)+1)/2)*(Inputs!$J$8-Inputs!$I$8)))/(Inputs!$K$8^2)*Inputs!$C$11)))/(SQRT(((Inputs!$I$8+(((A143)+1)/2)*(Inputs!$J$8-Inputs!$I$8)))^2+Inputs!$C$6^2+((Inputs!$H$8+Inputs!$L$8*(((Inputs!$I$8+(((A143)+1)/2)*(Inputs!$J$8-Inputs!$I$8)))/Inputs!$K$8)^2))^2)))))/Inputs!$C$13)</x:f>
        <x:v>-1713.4467292436516</x:v>
      </x:c>
      <x:c r="AO143" s="48" t="n">
        <x:f>(-2*((1000*((((Inputs!$I$9+(((A143)+1)/2)*(Inputs!$J$9-Inputs!$I$9)))*Inputs!$C$11+((Inputs!$H$9+Inputs!$L$9*(((Inputs!$I$9+(((A143)+1)/2)*(Inputs!$J$9-Inputs!$I$9)))/Inputs!$K$9)^2))*((2*Inputs!$L$9*((Inputs!$I$9+(((A143)+1)/2)*(Inputs!$J$9-Inputs!$I$9)))/(Inputs!$K$9^2)*Inputs!$C$11)))/(SQRT(((Inputs!$I$9+(((A143)+1)/2)*(Inputs!$J$9-Inputs!$I$9)))^2+Inputs!$C$6^2+((Inputs!$H$9+Inputs!$L$9*(((Inputs!$I$9+(((A143)+1)/2)*(Inputs!$J$9-Inputs!$I$9)))/Inputs!$K$9)^2))^2)))))/Inputs!$C$13)</x:f>
        <x:v>-1715.170992435012</x:v>
      </x:c>
    </x:row>
    <x:row r="144">
      <x:c r="A144" s="48" t="n">
        <x:f>ROUND(-1+142*2/240,3)</x:f>
        <x:v>0.183</x:v>
      </x:c>
      <x:c r="B144" s="48" t="n">
        <x:f>IF(OR(Inputs!$F$6=TRUE,Inputs!$F$6="TRUE",Inputs!$F$6=1),(Inputs!$H$6+Inputs!$L$6*(((Inputs!$I$6+(((A144)+1)/2)*(Inputs!$J$6-Inputs!$I$6)))/Inputs!$K$6)^2),NA())</x:f>
        <x:v>400.133956</x:v>
      </x:c>
      <x:c r="C144" s="48" t="n">
        <x:f>IF(OR(Inputs!$F$7=TRUE,Inputs!$F$7="TRUE",Inputs!$F$7=1),(Inputs!$H$7+Inputs!$L$7*(((Inputs!$I$7+(((A144)+1)/2)*(Inputs!$J$7-Inputs!$I$7)))/Inputs!$K$7)^2),NA())</x:f>
        <x:v>47.22348500000001</x:v>
      </x:c>
      <x:c r="D144" s="48" t="n">
        <x:f>IF(OR(Inputs!$F$8=TRUE,Inputs!$F$8="TRUE",Inputs!$F$8=1),(Inputs!$H$8+Inputs!$L$8*(((Inputs!$I$8+(((A144)+1)/2)*(Inputs!$J$8-Inputs!$I$8)))/Inputs!$K$8)^2),NA())</x:f>
        <x:v>67.31688500000004</x:v>
      </x:c>
      <x:c r="E144" s="48" t="n">
        <x:f>IF(OR(Inputs!$F$9=TRUE,Inputs!$F$9="TRUE",Inputs!$F$9=1),(Inputs!$H$9+Inputs!$L$9*(((Inputs!$I$9+(((A144)+1)/2)*(Inputs!$J$9-Inputs!$I$9)))/Inputs!$K$9)^2),NA())</x:f>
        <x:v>57.651775000000036</x:v>
      </x:c>
      <x:c r="F144" s="49"/>
      <x:c r="G144" s="48" t="n">
        <x:f>A144</x:f>
        <x:v>0.183</x:v>
      </x:c>
      <x:c r="H144" s="48" t="n">
        <x:f>IF(OR(Inputs!$F$6=TRUE,Inputs!$F$6="TRUE",Inputs!$F$6=1),(((SQRT(((Inputs!$I$6+(((A144)+1)/2)*(Inputs!$J$6-Inputs!$I$6)))^2+Inputs!$C$6^2+((Inputs!$H$6+Inputs!$L$6*(((Inputs!$I$6+(((A144)+1)/2)*(Inputs!$J$6-Inputs!$I$6)))/Inputs!$K$6)^2))^2))-((Inputs!$H$6+Inputs!$L$6*(((Inputs!$I$6+(((A144)+1)/2)*(Inputs!$J$6-Inputs!$I$6)))/Inputs!$K$6)^2)))*1000/Inputs!$C$12),NA())</x:f>
        <x:v>522.7845206885502</x:v>
      </x:c>
      <x:c r="I144" s="48" t="n">
        <x:f>IF(OR(Inputs!$F$7=TRUE,Inputs!$F$7="TRUE",Inputs!$F$7=1),(((SQRT(((Inputs!$I$7+(((A144)+1)/2)*(Inputs!$J$7-Inputs!$I$7)))^2+Inputs!$C$6^2+((Inputs!$H$7+Inputs!$L$7*(((Inputs!$I$7+(((A144)+1)/2)*(Inputs!$J$7-Inputs!$I$7)))/Inputs!$K$7)^2))^2))-((Inputs!$H$7+Inputs!$L$7*(((Inputs!$I$7+(((A144)+1)/2)*(Inputs!$J$7-Inputs!$I$7)))/Inputs!$K$7)^2)))*1000/Inputs!$C$12),NA())</x:f>
        <x:v>24384.13482915219</x:v>
      </x:c>
      <x:c r="J144" s="48" t="n">
        <x:f>IF(OR(Inputs!$F$8=TRUE,Inputs!$F$8="TRUE",Inputs!$F$8=1),(((SQRT(((Inputs!$I$8+(((A144)+1)/2)*(Inputs!$J$8-Inputs!$I$8)))^2+Inputs!$C$6^2+((Inputs!$H$8+Inputs!$L$8*(((Inputs!$I$8+(((A144)+1)/2)*(Inputs!$J$8-Inputs!$I$8)))/Inputs!$K$8)^2))^2))-((Inputs!$H$8+Inputs!$L$8*(((Inputs!$I$8+(((A144)+1)/2)*(Inputs!$J$8-Inputs!$I$8)))/Inputs!$K$8)^2)))*1000/Inputs!$C$12),NA())</x:f>
        <x:v>53789.919580937225</x:v>
      </x:c>
      <x:c r="K144" s="48" t="n">
        <x:f>IF(OR(Inputs!$F$9=TRUE,Inputs!$F$9="TRUE",Inputs!$F$9=1),(((SQRT(((Inputs!$I$9+(((A144)+1)/2)*(Inputs!$J$9-Inputs!$I$9)))^2+Inputs!$C$6^2+((Inputs!$H$9+Inputs!$L$9*(((Inputs!$I$9+(((A144)+1)/2)*(Inputs!$J$9-Inputs!$I$9)))/Inputs!$K$9)^2))^2))-((Inputs!$H$9+Inputs!$L$9*(((Inputs!$I$9+(((A144)+1)/2)*(Inputs!$J$9-Inputs!$I$9)))/Inputs!$K$9)^2)))*1000/Inputs!$C$12),NA())</x:f>
        <x:v>57114.90823543386</x:v>
      </x:c>
      <x:c r="L144" s="49"/>
      <x:c r="M144" s="48" t="n">
        <x:f>A144</x:f>
        <x:v>0.183</x:v>
      </x:c>
      <x:c r="N144" s="48" t="n">
        <x:f>IF(OR(Inputs!$F$6=TRUE,Inputs!$F$6="TRUE",Inputs!$F$6=1),(-2*((1000*((((Inputs!$I$6+(((A144)+1)/2)*(Inputs!$J$6-Inputs!$I$6)))*Inputs!$C$11+((Inputs!$H$6+Inputs!$L$6*(((Inputs!$I$6+(((A144)+1)/2)*(Inputs!$J$6-Inputs!$I$6)))/Inputs!$K$6)^2))*((2*Inputs!$L$6*((Inputs!$I$6+(((A144)+1)/2)*(Inputs!$J$6-Inputs!$I$6)))/(Inputs!$K$6^2)*Inputs!$C$11)))/(SQRT(((Inputs!$I$6+(((A144)+1)/2)*(Inputs!$J$6-Inputs!$I$6)))^2+Inputs!$C$6^2+((Inputs!$H$6+Inputs!$L$6*(((Inputs!$I$6+(((A144)+1)/2)*(Inputs!$J$6-Inputs!$I$6)))/Inputs!$K$6)^2))^2)))))/Inputs!$C$13),NA())</x:f>
        <x:v>-82.75284552043318</x:v>
      </x:c>
      <x:c r="O144" s="48" t="n">
        <x:f>IF(OR(Inputs!$F$7=TRUE,Inputs!$F$7="TRUE",Inputs!$F$7=1),(-2*((1000*((((Inputs!$I$7+(((A144)+1)/2)*(Inputs!$J$7-Inputs!$I$7)))*Inputs!$C$11+((Inputs!$H$7+Inputs!$L$7*(((Inputs!$I$7+(((A144)+1)/2)*(Inputs!$J$7-Inputs!$I$7)))/Inputs!$K$7)^2))*((2*Inputs!$L$7*((Inputs!$I$7+(((A144)+1)/2)*(Inputs!$J$7-Inputs!$I$7)))/(Inputs!$K$7^2)*Inputs!$C$11)))/(SQRT(((Inputs!$I$7+(((A144)+1)/2)*(Inputs!$J$7-Inputs!$I$7)))^2+Inputs!$C$6^2+((Inputs!$H$7+Inputs!$L$7*(((Inputs!$I$7+(((A144)+1)/2)*(Inputs!$J$7-Inputs!$I$7)))/Inputs!$K$7)^2))^2)))))/Inputs!$C$13),NA())</x:f>
        <x:v>-1570.7676146511408</x:v>
      </x:c>
      <x:c r="P144" s="48" t="n">
        <x:f>IF(OR(Inputs!$F$8=TRUE,Inputs!$F$8="TRUE",Inputs!$F$8=1),(-2*((1000*((((Inputs!$I$8+(((A144)+1)/2)*(Inputs!$J$8-Inputs!$I$8)))*Inputs!$C$11+((Inputs!$H$8+Inputs!$L$8*(((Inputs!$I$8+(((A144)+1)/2)*(Inputs!$J$8-Inputs!$I$8)))/Inputs!$K$8)^2))*((2*Inputs!$L$8*((Inputs!$I$8+(((A144)+1)/2)*(Inputs!$J$8-Inputs!$I$8)))/(Inputs!$K$8^2)*Inputs!$C$11)))/(SQRT(((Inputs!$I$8+(((A144)+1)/2)*(Inputs!$J$8-Inputs!$I$8)))^2+Inputs!$C$6^2+((Inputs!$H$8+Inputs!$L$8*(((Inputs!$I$8+(((A144)+1)/2)*(Inputs!$J$8-Inputs!$I$8)))/Inputs!$K$8)^2))^2)))))/Inputs!$C$13),NA())</x:f>
        <x:v>-1728.1136843372224</x:v>
      </x:c>
      <x:c r="Q144" s="48" t="n">
        <x:f>IF(OR(Inputs!$F$9=TRUE,Inputs!$F$9="TRUE",Inputs!$F$9=1),(-2*((1000*((((Inputs!$I$9+(((A144)+1)/2)*(Inputs!$J$9-Inputs!$I$9)))*Inputs!$C$11+((Inputs!$H$9+Inputs!$L$9*(((Inputs!$I$9+(((A144)+1)/2)*(Inputs!$J$9-Inputs!$I$9)))/Inputs!$K$9)^2))*((2*Inputs!$L$9*((Inputs!$I$9+(((A144)+1)/2)*(Inputs!$J$9-Inputs!$I$9)))/(Inputs!$K$9^2)*Inputs!$C$11)))/(SQRT(((Inputs!$I$9+(((A144)+1)/2)*(Inputs!$J$9-Inputs!$I$9)))^2+Inputs!$C$6^2+((Inputs!$H$9+Inputs!$L$9*(((Inputs!$I$9+(((A144)+1)/2)*(Inputs!$J$9-Inputs!$I$9)))/Inputs!$K$9)^2))^2)))))/Inputs!$C$13),NA())</x:f>
        <x:v>-1728.549129399948</x:v>
      </x:c>
      <x:c r="R144" s="49"/>
      <x:c r="S144" s="48" t="n">
        <x:f>A144</x:f>
        <x:v>0.183</x:v>
      </x:c>
      <x:c r="T144" s="48" t="n">
        <x:f>(Inputs!$I$6+(((A144)+1)/2)*(Inputs!$J$6-Inputs!$I$6))</x:f>
        <x:v>10.980000000000004</x:v>
      </x:c>
      <x:c r="U144" s="48" t="n">
        <x:f>(Inputs!$I$7+(((A144)+1)/2)*(Inputs!$J$7-Inputs!$I$7))</x:f>
        <x:v>73.20000000000005</x:v>
      </x:c>
      <x:c r="V144" s="48" t="n">
        <x:f>(Inputs!$I$8+(((A144)+1)/2)*(Inputs!$J$8-Inputs!$I$8))</x:f>
        <x:v>146.4000000000001</x:v>
      </x:c>
      <x:c r="W144" s="48" t="n">
        <x:f>(Inputs!$I$9+(((A144)+1)/2)*(Inputs!$J$9-Inputs!$I$9))</x:f>
        <x:v>146.4000000000001</x:v>
      </x:c>
      <x:c r="X144" s="49"/>
      <x:c r="Y144" s="48" t="n">
        <x:f>A144</x:f>
        <x:v>0.183</x:v>
      </x:c>
      <x:c r="Z144" s="48" t="n">
        <x:f>(Inputs!$H$6+Inputs!$L$6*(((Inputs!$I$6+(((A144)+1)/2)*(Inputs!$J$6-Inputs!$I$6)))/Inputs!$K$6)^2)</x:f>
        <x:v>400.133956</x:v>
      </x:c>
      <x:c r="AA144" s="48" t="n">
        <x:f>(Inputs!$H$7+Inputs!$L$7*(((Inputs!$I$7+(((A144)+1)/2)*(Inputs!$J$7-Inputs!$I$7)))/Inputs!$K$7)^2)</x:f>
        <x:v>47.22348500000001</x:v>
      </x:c>
      <x:c r="AB144" s="48" t="n">
        <x:f>(Inputs!$H$8+Inputs!$L$8*(((Inputs!$I$8+(((A144)+1)/2)*(Inputs!$J$8-Inputs!$I$8)))/Inputs!$K$8)^2)</x:f>
        <x:v>67.31688500000004</x:v>
      </x:c>
      <x:c r="AC144" s="48" t="n">
        <x:f>(Inputs!$H$9+Inputs!$L$9*(((Inputs!$I$9+(((A144)+1)/2)*(Inputs!$J$9-Inputs!$I$9)))/Inputs!$K$9)^2)</x:f>
        <x:v>57.651775000000036</x:v>
      </x:c>
      <x:c r="AD144" s="49"/>
      <x:c r="AE144" s="48" t="n">
        <x:f>A144</x:f>
        <x:v>0.183</x:v>
      </x:c>
      <x:c r="AF144" s="48" t="n">
        <x:f>(((SQRT(((Inputs!$I$6+(((A144)+1)/2)*(Inputs!$J$6-Inputs!$I$6)))^2+Inputs!$C$6^2+((Inputs!$H$6+Inputs!$L$6*(((Inputs!$I$6+(((A144)+1)/2)*(Inputs!$J$6-Inputs!$I$6)))/Inputs!$K$6)^2))^2))-((Inputs!$H$6+Inputs!$L$6*(((Inputs!$I$6+(((A144)+1)/2)*(Inputs!$J$6-Inputs!$I$6)))/Inputs!$K$6)^2)))*1000/Inputs!$C$12)</x:f>
        <x:v>522.7845206885502</x:v>
      </x:c>
      <x:c r="AG144" s="48" t="n">
        <x:f>(((SQRT(((Inputs!$I$7+(((A144)+1)/2)*(Inputs!$J$7-Inputs!$I$7)))^2+Inputs!$C$6^2+((Inputs!$H$7+Inputs!$L$7*(((Inputs!$I$7+(((A144)+1)/2)*(Inputs!$J$7-Inputs!$I$7)))/Inputs!$K$7)^2))^2))-((Inputs!$H$7+Inputs!$L$7*(((Inputs!$I$7+(((A144)+1)/2)*(Inputs!$J$7-Inputs!$I$7)))/Inputs!$K$7)^2)))*1000/Inputs!$C$12)</x:f>
        <x:v>24384.13482915219</x:v>
      </x:c>
      <x:c r="AH144" s="48" t="n">
        <x:f>(((SQRT(((Inputs!$I$8+(((A144)+1)/2)*(Inputs!$J$8-Inputs!$I$8)))^2+Inputs!$C$6^2+((Inputs!$H$8+Inputs!$L$8*(((Inputs!$I$8+(((A144)+1)/2)*(Inputs!$J$8-Inputs!$I$8)))/Inputs!$K$8)^2))^2))-((Inputs!$H$8+Inputs!$L$8*(((Inputs!$I$8+(((A144)+1)/2)*(Inputs!$J$8-Inputs!$I$8)))/Inputs!$K$8)^2)))*1000/Inputs!$C$12)</x:f>
        <x:v>53789.919580937225</x:v>
      </x:c>
      <x:c r="AI144" s="48" t="n">
        <x:f>(((SQRT(((Inputs!$I$9+(((A144)+1)/2)*(Inputs!$J$9-Inputs!$I$9)))^2+Inputs!$C$6^2+((Inputs!$H$9+Inputs!$L$9*(((Inputs!$I$9+(((A144)+1)/2)*(Inputs!$J$9-Inputs!$I$9)))/Inputs!$K$9)^2))^2))-((Inputs!$H$9+Inputs!$L$9*(((Inputs!$I$9+(((A144)+1)/2)*(Inputs!$J$9-Inputs!$I$9)))/Inputs!$K$9)^2)))*1000/Inputs!$C$12)</x:f>
        <x:v>57114.90823543386</x:v>
      </x:c>
      <x:c r="AJ144" s="49"/>
      <x:c r="AK144" s="48" t="n">
        <x:f>A144</x:f>
        <x:v>0.183</x:v>
      </x:c>
      <x:c r="AL144" s="48" t="n">
        <x:f>(-2*((1000*((((Inputs!$I$6+(((A144)+1)/2)*(Inputs!$J$6-Inputs!$I$6)))*Inputs!$C$11+((Inputs!$H$6+Inputs!$L$6*(((Inputs!$I$6+(((A144)+1)/2)*(Inputs!$J$6-Inputs!$I$6)))/Inputs!$K$6)^2))*((2*Inputs!$L$6*((Inputs!$I$6+(((A144)+1)/2)*(Inputs!$J$6-Inputs!$I$6)))/(Inputs!$K$6^2)*Inputs!$C$11)))/(SQRT(((Inputs!$I$6+(((A144)+1)/2)*(Inputs!$J$6-Inputs!$I$6)))^2+Inputs!$C$6^2+((Inputs!$H$6+Inputs!$L$6*(((Inputs!$I$6+(((A144)+1)/2)*(Inputs!$J$6-Inputs!$I$6)))/Inputs!$K$6)^2))^2)))))/Inputs!$C$13)</x:f>
        <x:v>-82.75284552043318</x:v>
      </x:c>
      <x:c r="AM144" s="48" t="n">
        <x:f>(-2*((1000*((((Inputs!$I$7+(((A144)+1)/2)*(Inputs!$J$7-Inputs!$I$7)))*Inputs!$C$11+((Inputs!$H$7+Inputs!$L$7*(((Inputs!$I$7+(((A144)+1)/2)*(Inputs!$J$7-Inputs!$I$7)))/Inputs!$K$7)^2))*((2*Inputs!$L$7*((Inputs!$I$7+(((A144)+1)/2)*(Inputs!$J$7-Inputs!$I$7)))/(Inputs!$K$7^2)*Inputs!$C$11)))/(SQRT(((Inputs!$I$7+(((A144)+1)/2)*(Inputs!$J$7-Inputs!$I$7)))^2+Inputs!$C$6^2+((Inputs!$H$7+Inputs!$L$7*(((Inputs!$I$7+(((A144)+1)/2)*(Inputs!$J$7-Inputs!$I$7)))/Inputs!$K$7)^2))^2)))))/Inputs!$C$13)</x:f>
        <x:v>-1570.7676146511408</x:v>
      </x:c>
      <x:c r="AN144" s="48" t="n">
        <x:f>(-2*((1000*((((Inputs!$I$8+(((A144)+1)/2)*(Inputs!$J$8-Inputs!$I$8)))*Inputs!$C$11+((Inputs!$H$8+Inputs!$L$8*(((Inputs!$I$8+(((A144)+1)/2)*(Inputs!$J$8-Inputs!$I$8)))/Inputs!$K$8)^2))*((2*Inputs!$L$8*((Inputs!$I$8+(((A144)+1)/2)*(Inputs!$J$8-Inputs!$I$8)))/(Inputs!$K$8^2)*Inputs!$C$11)))/(SQRT(((Inputs!$I$8+(((A144)+1)/2)*(Inputs!$J$8-Inputs!$I$8)))^2+Inputs!$C$6^2+((Inputs!$H$8+Inputs!$L$8*(((Inputs!$I$8+(((A144)+1)/2)*(Inputs!$J$8-Inputs!$I$8)))/Inputs!$K$8)^2))^2)))))/Inputs!$C$13)</x:f>
        <x:v>-1728.1136843372224</x:v>
      </x:c>
      <x:c r="AO144" s="48" t="n">
        <x:f>(-2*((1000*((((Inputs!$I$9+(((A144)+1)/2)*(Inputs!$J$9-Inputs!$I$9)))*Inputs!$C$11+((Inputs!$H$9+Inputs!$L$9*(((Inputs!$I$9+(((A144)+1)/2)*(Inputs!$J$9-Inputs!$I$9)))/Inputs!$K$9)^2))*((2*Inputs!$L$9*((Inputs!$I$9+(((A144)+1)/2)*(Inputs!$J$9-Inputs!$I$9)))/(Inputs!$K$9^2)*Inputs!$C$11)))/(SQRT(((Inputs!$I$9+(((A144)+1)/2)*(Inputs!$J$9-Inputs!$I$9)))^2+Inputs!$C$6^2+((Inputs!$H$9+Inputs!$L$9*(((Inputs!$I$9+(((A144)+1)/2)*(Inputs!$J$9-Inputs!$I$9)))/Inputs!$K$9)^2))^2)))))/Inputs!$C$13)</x:f>
        <x:v>-1728.549129399948</x:v>
      </x:c>
    </x:row>
    <x:row r="145">
      <x:c r="A145" s="48" t="n">
        <x:f>ROUND(-1+143*2/240,3)</x:f>
        <x:v>0.192</x:v>
      </x:c>
      <x:c r="B145" s="48" t="n">
        <x:f>IF(OR(Inputs!$F$6=TRUE,Inputs!$F$6="TRUE",Inputs!$F$6=1),(Inputs!$H$6+Inputs!$L$6*(((Inputs!$I$6+(((A145)+1)/2)*(Inputs!$J$6-Inputs!$I$6)))/Inputs!$K$6)^2),NA())</x:f>
        <x:v>400.147456</x:v>
      </x:c>
      <x:c r="C145" s="48" t="n">
        <x:f>IF(OR(Inputs!$F$7=TRUE,Inputs!$F$7="TRUE",Inputs!$F$7=1),(Inputs!$H$7+Inputs!$L$7*(((Inputs!$I$7+(((A145)+1)/2)*(Inputs!$J$7-Inputs!$I$7)))/Inputs!$K$7)^2),NA())</x:f>
        <x:v>48.455359999999985</x:v>
      </x:c>
      <x:c r="D145" s="48" t="n">
        <x:f>IF(OR(Inputs!$F$8=TRUE,Inputs!$F$8="TRUE",Inputs!$F$8=1),(Inputs!$H$8+Inputs!$L$8*(((Inputs!$I$8+(((A145)+1)/2)*(Inputs!$J$8-Inputs!$I$8)))/Inputs!$K$8)^2),NA())</x:f>
        <x:v>70.57375999999996</x:v>
      </x:c>
      <x:c r="E145" s="48" t="n">
        <x:f>IF(OR(Inputs!$F$9=TRUE,Inputs!$F$9="TRUE",Inputs!$F$9=1),(Inputs!$H$9+Inputs!$L$9*(((Inputs!$I$9+(((A145)+1)/2)*(Inputs!$J$9-Inputs!$I$9)))/Inputs!$K$9)^2),NA())</x:f>
        <x:v>60.942399999999964</x:v>
      </x:c>
      <x:c r="F145" s="49"/>
      <x:c r="G145" s="48" t="n">
        <x:f>A145</x:f>
        <x:v>0.192</x:v>
      </x:c>
      <x:c r="H145" s="48" t="n">
        <x:f>IF(OR(Inputs!$F$6=TRUE,Inputs!$F$6="TRUE",Inputs!$F$6=1),(((SQRT(((Inputs!$I$6+(((A145)+1)/2)*(Inputs!$J$6-Inputs!$I$6)))^2+Inputs!$C$6^2+((Inputs!$H$6+Inputs!$L$6*(((Inputs!$I$6+(((A145)+1)/2)*(Inputs!$J$6-Inputs!$I$6)))/Inputs!$K$6)^2))^2))-((Inputs!$H$6+Inputs!$L$6*(((Inputs!$I$6+(((A145)+1)/2)*(Inputs!$J$6-Inputs!$I$6)))/Inputs!$K$6)^2)))*1000/Inputs!$C$12),NA())</x:f>
        <x:v>531.2761344791699</x:v>
      </x:c>
      <x:c r="I145" s="48" t="n">
        <x:f>IF(OR(Inputs!$F$7=TRUE,Inputs!$F$7="TRUE",Inputs!$F$7=1),(((SQRT(((Inputs!$I$7+(((A145)+1)/2)*(Inputs!$J$7-Inputs!$I$7)))^2+Inputs!$C$6^2+((Inputs!$H$7+Inputs!$L$7*(((Inputs!$I$7+(((A145)+1)/2)*(Inputs!$J$7-Inputs!$I$7)))/Inputs!$K$7)^2))^2))-((Inputs!$H$7+Inputs!$L$7*(((Inputs!$I$7+(((A145)+1)/2)*(Inputs!$J$7-Inputs!$I$7)))/Inputs!$K$7)^2)))*1000/Inputs!$C$12),NA())</x:f>
        <x:v>25691.84592814523</x:v>
      </x:c>
      <x:c r="J145" s="48" t="n">
        <x:f>IF(OR(Inputs!$F$8=TRUE,Inputs!$F$8="TRUE",Inputs!$F$8=1),(((SQRT(((Inputs!$I$8+(((A145)+1)/2)*(Inputs!$J$8-Inputs!$I$8)))^2+Inputs!$C$6^2+((Inputs!$H$8+Inputs!$L$8*(((Inputs!$I$8+(((A145)+1)/2)*(Inputs!$J$8-Inputs!$I$8)))/Inputs!$K$8)^2))^2))-((Inputs!$H$8+Inputs!$L$8*(((Inputs!$I$8+(((A145)+1)/2)*(Inputs!$J$8-Inputs!$I$8)))/Inputs!$K$8)^2)))*1000/Inputs!$C$12),NA())</x:f>
        <x:v>56349.58655382304</x:v>
      </x:c>
      <x:c r="K145" s="48" t="n">
        <x:f>IF(OR(Inputs!$F$9=TRUE,Inputs!$F$9="TRUE",Inputs!$F$9=1),(((SQRT(((Inputs!$I$9+(((A145)+1)/2)*(Inputs!$J$9-Inputs!$I$9)))^2+Inputs!$C$6^2+((Inputs!$H$9+Inputs!$L$9*(((Inputs!$I$9+(((A145)+1)/2)*(Inputs!$J$9-Inputs!$I$9)))/Inputs!$K$9)^2))^2))-((Inputs!$H$9+Inputs!$L$9*(((Inputs!$I$9+(((A145)+1)/2)*(Inputs!$J$9-Inputs!$I$9)))/Inputs!$K$9)^2)))*1000/Inputs!$C$12),NA())</x:f>
        <x:v>59655.11337725294</x:v>
      </x:c>
      <x:c r="L145" s="49"/>
      <x:c r="M145" s="48" t="n">
        <x:f>A145</x:f>
        <x:v>0.192</x:v>
      </x:c>
      <x:c r="N145" s="48" t="n">
        <x:f>IF(OR(Inputs!$F$6=TRUE,Inputs!$F$6="TRUE",Inputs!$F$6=1),(-2*((1000*((((Inputs!$I$6+(((A145)+1)/2)*(Inputs!$J$6-Inputs!$I$6)))*Inputs!$C$11+((Inputs!$H$6+Inputs!$L$6*(((Inputs!$I$6+(((A145)+1)/2)*(Inputs!$J$6-Inputs!$I$6)))/Inputs!$K$6)^2))*((2*Inputs!$L$6*((Inputs!$I$6+(((A145)+1)/2)*(Inputs!$J$6-Inputs!$I$6)))/(Inputs!$K$6^2)*Inputs!$C$11)))/(SQRT(((Inputs!$I$6+(((A145)+1)/2)*(Inputs!$J$6-Inputs!$I$6)))^2+Inputs!$C$6^2+((Inputs!$H$6+Inputs!$L$6*(((Inputs!$I$6+(((A145)+1)/2)*(Inputs!$J$6-Inputs!$I$6)))/Inputs!$K$6)^2))^2)))))/Inputs!$C$13),NA())</x:f>
        <x:v>-86.81784206356933</x:v>
      </x:c>
      <x:c r="O145" s="48" t="n">
        <x:f>IF(OR(Inputs!$F$7=TRUE,Inputs!$F$7="TRUE",Inputs!$F$7=1),(-2*((1000*((((Inputs!$I$7+(((A145)+1)/2)*(Inputs!$J$7-Inputs!$I$7)))*Inputs!$C$11+((Inputs!$H$7+Inputs!$L$7*(((Inputs!$I$7+(((A145)+1)/2)*(Inputs!$J$7-Inputs!$I$7)))/Inputs!$K$7)^2))*((2*Inputs!$L$7*((Inputs!$I$7+(((A145)+1)/2)*(Inputs!$J$7-Inputs!$I$7)))/(Inputs!$K$7^2)*Inputs!$C$11)))/(SQRT(((Inputs!$I$7+(((A145)+1)/2)*(Inputs!$J$7-Inputs!$I$7)))^2+Inputs!$C$6^2+((Inputs!$H$7+Inputs!$L$7*(((Inputs!$I$7+(((A145)+1)/2)*(Inputs!$J$7-Inputs!$I$7)))/Inputs!$K$7)^2))^2)))))/Inputs!$C$13),NA())</x:f>
        <x:v>-1593.067607607582</x:v>
      </x:c>
      <x:c r="P145" s="48" t="n">
        <x:f>IF(OR(Inputs!$F$8=TRUE,Inputs!$F$8="TRUE",Inputs!$F$8=1),(-2*((1000*((((Inputs!$I$8+(((A145)+1)/2)*(Inputs!$J$8-Inputs!$I$8)))*Inputs!$C$11+((Inputs!$H$8+Inputs!$L$8*(((Inputs!$I$8+(((A145)+1)/2)*(Inputs!$J$8-Inputs!$I$8)))/Inputs!$K$8)^2))*((2*Inputs!$L$8*((Inputs!$I$8+(((A145)+1)/2)*(Inputs!$J$8-Inputs!$I$8)))/(Inputs!$K$8^2)*Inputs!$C$11)))/(SQRT(((Inputs!$I$8+(((A145)+1)/2)*(Inputs!$J$8-Inputs!$I$8)))^2+Inputs!$C$6^2+((Inputs!$H$8+Inputs!$L$8*(((Inputs!$I$8+(((A145)+1)/2)*(Inputs!$J$8-Inputs!$I$8)))/Inputs!$K$8)^2))^2)))))/Inputs!$C$13),NA())</x:f>
        <x:v>-1744.326781014137</x:v>
      </x:c>
      <x:c r="Q145" s="48" t="n">
        <x:f>IF(OR(Inputs!$F$9=TRUE,Inputs!$F$9="TRUE",Inputs!$F$9=1),(-2*((1000*((((Inputs!$I$9+(((A145)+1)/2)*(Inputs!$J$9-Inputs!$I$9)))*Inputs!$C$11+((Inputs!$H$9+Inputs!$L$9*(((Inputs!$I$9+(((A145)+1)/2)*(Inputs!$J$9-Inputs!$I$9)))/Inputs!$K$9)^2))*((2*Inputs!$L$9*((Inputs!$I$9+(((A145)+1)/2)*(Inputs!$J$9-Inputs!$I$9)))/(Inputs!$K$9^2)*Inputs!$C$11)))/(SQRT(((Inputs!$I$9+(((A145)+1)/2)*(Inputs!$J$9-Inputs!$I$9)))^2+Inputs!$C$6^2+((Inputs!$H$9+Inputs!$L$9*(((Inputs!$I$9+(((A145)+1)/2)*(Inputs!$J$9-Inputs!$I$9)))/Inputs!$K$9)^2))^2)))))/Inputs!$C$13),NA())</x:f>
        <x:v>-1743.5306722765788</x:v>
      </x:c>
      <x:c r="R145" s="49"/>
      <x:c r="S145" s="48" t="n">
        <x:f>A145</x:f>
        <x:v>0.192</x:v>
      </x:c>
      <x:c r="T145" s="48" t="n">
        <x:f>(Inputs!$I$6+(((A145)+1)/2)*(Inputs!$J$6-Inputs!$I$6))</x:f>
        <x:v>11.519999999999996</x:v>
      </x:c>
      <x:c r="U145" s="48" t="n">
        <x:f>(Inputs!$I$7+(((A145)+1)/2)*(Inputs!$J$7-Inputs!$I$7))</x:f>
        <x:v>76.79999999999995</x:v>
      </x:c>
      <x:c r="V145" s="48" t="n">
        <x:f>(Inputs!$I$8+(((A145)+1)/2)*(Inputs!$J$8-Inputs!$I$8))</x:f>
        <x:v>153.5999999999999</x:v>
      </x:c>
      <x:c r="W145" s="48" t="n">
        <x:f>(Inputs!$I$9+(((A145)+1)/2)*(Inputs!$J$9-Inputs!$I$9))</x:f>
        <x:v>153.5999999999999</x:v>
      </x:c>
      <x:c r="X145" s="49"/>
      <x:c r="Y145" s="48" t="n">
        <x:f>A145</x:f>
        <x:v>0.192</x:v>
      </x:c>
      <x:c r="Z145" s="48" t="n">
        <x:f>(Inputs!$H$6+Inputs!$L$6*(((Inputs!$I$6+(((A145)+1)/2)*(Inputs!$J$6-Inputs!$I$6)))/Inputs!$K$6)^2)</x:f>
        <x:v>400.147456</x:v>
      </x:c>
      <x:c r="AA145" s="48" t="n">
        <x:f>(Inputs!$H$7+Inputs!$L$7*(((Inputs!$I$7+(((A145)+1)/2)*(Inputs!$J$7-Inputs!$I$7)))/Inputs!$K$7)^2)</x:f>
        <x:v>48.455359999999985</x:v>
      </x:c>
      <x:c r="AB145" s="48" t="n">
        <x:f>(Inputs!$H$8+Inputs!$L$8*(((Inputs!$I$8+(((A145)+1)/2)*(Inputs!$J$8-Inputs!$I$8)))/Inputs!$K$8)^2)</x:f>
        <x:v>70.57375999999996</x:v>
      </x:c>
      <x:c r="AC145" s="48" t="n">
        <x:f>(Inputs!$H$9+Inputs!$L$9*(((Inputs!$I$9+(((A145)+1)/2)*(Inputs!$J$9-Inputs!$I$9)))/Inputs!$K$9)^2)</x:f>
        <x:v>60.942399999999964</x:v>
      </x:c>
      <x:c r="AD145" s="49"/>
      <x:c r="AE145" s="48" t="n">
        <x:f>A145</x:f>
        <x:v>0.192</x:v>
      </x:c>
      <x:c r="AF145" s="48" t="n">
        <x:f>(((SQRT(((Inputs!$I$6+(((A145)+1)/2)*(Inputs!$J$6-Inputs!$I$6)))^2+Inputs!$C$6^2+((Inputs!$H$6+Inputs!$L$6*(((Inputs!$I$6+(((A145)+1)/2)*(Inputs!$J$6-Inputs!$I$6)))/Inputs!$K$6)^2))^2))-((Inputs!$H$6+Inputs!$L$6*(((Inputs!$I$6+(((A145)+1)/2)*(Inputs!$J$6-Inputs!$I$6)))/Inputs!$K$6)^2)))*1000/Inputs!$C$12)</x:f>
        <x:v>531.2761344791699</x:v>
      </x:c>
      <x:c r="AG145" s="48" t="n">
        <x:f>(((SQRT(((Inputs!$I$7+(((A145)+1)/2)*(Inputs!$J$7-Inputs!$I$7)))^2+Inputs!$C$6^2+((Inputs!$H$7+Inputs!$L$7*(((Inputs!$I$7+(((A145)+1)/2)*(Inputs!$J$7-Inputs!$I$7)))/Inputs!$K$7)^2))^2))-((Inputs!$H$7+Inputs!$L$7*(((Inputs!$I$7+(((A145)+1)/2)*(Inputs!$J$7-Inputs!$I$7)))/Inputs!$K$7)^2)))*1000/Inputs!$C$12)</x:f>
        <x:v>25691.84592814523</x:v>
      </x:c>
      <x:c r="AH145" s="48" t="n">
        <x:f>(((SQRT(((Inputs!$I$8+(((A145)+1)/2)*(Inputs!$J$8-Inputs!$I$8)))^2+Inputs!$C$6^2+((Inputs!$H$8+Inputs!$L$8*(((Inputs!$I$8+(((A145)+1)/2)*(Inputs!$J$8-Inputs!$I$8)))/Inputs!$K$8)^2))^2))-((Inputs!$H$8+Inputs!$L$8*(((Inputs!$I$8+(((A145)+1)/2)*(Inputs!$J$8-Inputs!$I$8)))/Inputs!$K$8)^2)))*1000/Inputs!$C$12)</x:f>
        <x:v>56349.58655382304</x:v>
      </x:c>
      <x:c r="AI145" s="48" t="n">
        <x:f>(((SQRT(((Inputs!$I$9+(((A145)+1)/2)*(Inputs!$J$9-Inputs!$I$9)))^2+Inputs!$C$6^2+((Inputs!$H$9+Inputs!$L$9*(((Inputs!$I$9+(((A145)+1)/2)*(Inputs!$J$9-Inputs!$I$9)))/Inputs!$K$9)^2))^2))-((Inputs!$H$9+Inputs!$L$9*(((Inputs!$I$9+(((A145)+1)/2)*(Inputs!$J$9-Inputs!$I$9)))/Inputs!$K$9)^2)))*1000/Inputs!$C$12)</x:f>
        <x:v>59655.11337725294</x:v>
      </x:c>
      <x:c r="AJ145" s="49"/>
      <x:c r="AK145" s="48" t="n">
        <x:f>A145</x:f>
        <x:v>0.192</x:v>
      </x:c>
      <x:c r="AL145" s="48" t="n">
        <x:f>(-2*((1000*((((Inputs!$I$6+(((A145)+1)/2)*(Inputs!$J$6-Inputs!$I$6)))*Inputs!$C$11+((Inputs!$H$6+Inputs!$L$6*(((Inputs!$I$6+(((A145)+1)/2)*(Inputs!$J$6-Inputs!$I$6)))/Inputs!$K$6)^2))*((2*Inputs!$L$6*((Inputs!$I$6+(((A145)+1)/2)*(Inputs!$J$6-Inputs!$I$6)))/(Inputs!$K$6^2)*Inputs!$C$11)))/(SQRT(((Inputs!$I$6+(((A145)+1)/2)*(Inputs!$J$6-Inputs!$I$6)))^2+Inputs!$C$6^2+((Inputs!$H$6+Inputs!$L$6*(((Inputs!$I$6+(((A145)+1)/2)*(Inputs!$J$6-Inputs!$I$6)))/Inputs!$K$6)^2))^2)))))/Inputs!$C$13)</x:f>
        <x:v>-86.81784206356933</x:v>
      </x:c>
      <x:c r="AM145" s="48" t="n">
        <x:f>(-2*((1000*((((Inputs!$I$7+(((A145)+1)/2)*(Inputs!$J$7-Inputs!$I$7)))*Inputs!$C$11+((Inputs!$H$7+Inputs!$L$7*(((Inputs!$I$7+(((A145)+1)/2)*(Inputs!$J$7-Inputs!$I$7)))/Inputs!$K$7)^2))*((2*Inputs!$L$7*((Inputs!$I$7+(((A145)+1)/2)*(Inputs!$J$7-Inputs!$I$7)))/(Inputs!$K$7^2)*Inputs!$C$11)))/(SQRT(((Inputs!$I$7+(((A145)+1)/2)*(Inputs!$J$7-Inputs!$I$7)))^2+Inputs!$C$6^2+((Inputs!$H$7+Inputs!$L$7*(((Inputs!$I$7+(((A145)+1)/2)*(Inputs!$J$7-Inputs!$I$7)))/Inputs!$K$7)^2))^2)))))/Inputs!$C$13)</x:f>
        <x:v>-1593.067607607582</x:v>
      </x:c>
      <x:c r="AN145" s="48" t="n">
        <x:f>(-2*((1000*((((Inputs!$I$8+(((A145)+1)/2)*(Inputs!$J$8-Inputs!$I$8)))*Inputs!$C$11+((Inputs!$H$8+Inputs!$L$8*(((Inputs!$I$8+(((A145)+1)/2)*(Inputs!$J$8-Inputs!$I$8)))/Inputs!$K$8)^2))*((2*Inputs!$L$8*((Inputs!$I$8+(((A145)+1)/2)*(Inputs!$J$8-Inputs!$I$8)))/(Inputs!$K$8^2)*Inputs!$C$11)))/(SQRT(((Inputs!$I$8+(((A145)+1)/2)*(Inputs!$J$8-Inputs!$I$8)))^2+Inputs!$C$6^2+((Inputs!$H$8+Inputs!$L$8*(((Inputs!$I$8+(((A145)+1)/2)*(Inputs!$J$8-Inputs!$I$8)))/Inputs!$K$8)^2))^2)))))/Inputs!$C$13)</x:f>
        <x:v>-1744.326781014137</x:v>
      </x:c>
      <x:c r="AO145" s="48" t="n">
        <x:f>(-2*((1000*((((Inputs!$I$9+(((A145)+1)/2)*(Inputs!$J$9-Inputs!$I$9)))*Inputs!$C$11+((Inputs!$H$9+Inputs!$L$9*(((Inputs!$I$9+(((A145)+1)/2)*(Inputs!$J$9-Inputs!$I$9)))/Inputs!$K$9)^2))*((2*Inputs!$L$9*((Inputs!$I$9+(((A145)+1)/2)*(Inputs!$J$9-Inputs!$I$9)))/(Inputs!$K$9^2)*Inputs!$C$11)))/(SQRT(((Inputs!$I$9+(((A145)+1)/2)*(Inputs!$J$9-Inputs!$I$9)))^2+Inputs!$C$6^2+((Inputs!$H$9+Inputs!$L$9*(((Inputs!$I$9+(((A145)+1)/2)*(Inputs!$J$9-Inputs!$I$9)))/Inputs!$K$9)^2))^2)))))/Inputs!$C$13)</x:f>
        <x:v>-1743.5306722765788</x:v>
      </x:c>
    </x:row>
    <x:row r="146">
      <x:c r="A146" s="48" t="n">
        <x:f>ROUND(-1+144*2/240,3)</x:f>
        <x:v>0.2</x:v>
      </x:c>
      <x:c r="B146" s="48" t="n">
        <x:f>IF(OR(Inputs!$F$6=TRUE,Inputs!$F$6="TRUE",Inputs!$F$6=1),(Inputs!$H$6+Inputs!$L$6*(((Inputs!$I$6+(((A146)+1)/2)*(Inputs!$J$6-Inputs!$I$6)))/Inputs!$K$6)^2),NA())</x:f>
        <x:v>400.16</x:v>
      </x:c>
      <x:c r="C146" s="48" t="n">
        <x:f>IF(OR(Inputs!$F$7=TRUE,Inputs!$F$7="TRUE",Inputs!$F$7=1),(Inputs!$H$7+Inputs!$L$7*(((Inputs!$I$7+(((A146)+1)/2)*(Inputs!$J$7-Inputs!$I$7)))/Inputs!$K$7)^2),NA())</x:f>
        <x:v>49.6</x:v>
      </x:c>
      <x:c r="D146" s="48" t="n">
        <x:f>IF(OR(Inputs!$F$8=TRUE,Inputs!$F$8="TRUE",Inputs!$F$8=1),(Inputs!$H$8+Inputs!$L$8*(((Inputs!$I$8+(((A146)+1)/2)*(Inputs!$J$8-Inputs!$I$8)))/Inputs!$K$8)^2),NA())</x:f>
        <x:v>73.60000000000001</x:v>
      </x:c>
      <x:c r="E146" s="48" t="n">
        <x:f>IF(OR(Inputs!$F$9=TRUE,Inputs!$F$9="TRUE",Inputs!$F$9=1),(Inputs!$H$9+Inputs!$L$9*(((Inputs!$I$9+(((A146)+1)/2)*(Inputs!$J$9-Inputs!$I$9)))/Inputs!$K$9)^2),NA())</x:f>
        <x:v>64</x:v>
      </x:c>
      <x:c r="F146" s="49"/>
      <x:c r="G146" s="48" t="n">
        <x:f>A146</x:f>
        <x:v>0.2</x:v>
      </x:c>
      <x:c r="H146" s="48" t="n">
        <x:f>IF(OR(Inputs!$F$6=TRUE,Inputs!$F$6="TRUE",Inputs!$F$6=1),(((SQRT(((Inputs!$I$6+(((A146)+1)/2)*(Inputs!$J$6-Inputs!$I$6)))^2+Inputs!$C$6^2+((Inputs!$H$6+Inputs!$L$6*(((Inputs!$I$6+(((A146)+1)/2)*(Inputs!$J$6-Inputs!$I$6)))/Inputs!$K$6)^2))^2))-((Inputs!$H$6+Inputs!$L$6*(((Inputs!$I$6+(((A146)+1)/2)*(Inputs!$J$6-Inputs!$I$6)))/Inputs!$K$6)^2)))*1000/Inputs!$C$12),NA())</x:f>
        <x:v>539.1656171138436</x:v>
      </x:c>
      <x:c r="I146" s="48" t="n">
        <x:f>IF(OR(Inputs!$F$7=TRUE,Inputs!$F$7="TRUE",Inputs!$F$7=1),(((SQRT(((Inputs!$I$7+(((A146)+1)/2)*(Inputs!$J$7-Inputs!$I$7)))^2+Inputs!$C$6^2+((Inputs!$H$7+Inputs!$L$7*(((Inputs!$I$7+(((A146)+1)/2)*(Inputs!$J$7-Inputs!$I$7)))/Inputs!$K$7)^2))^2))-((Inputs!$H$7+Inputs!$L$7*(((Inputs!$I$7+(((A146)+1)/2)*(Inputs!$J$7-Inputs!$I$7)))/Inputs!$K$7)^2)))*1000/Inputs!$C$12),NA())</x:f>
        <x:v>26849.31803443424</x:v>
      </x:c>
      <x:c r="J146" s="48" t="n">
        <x:f>IF(OR(Inputs!$F$8=TRUE,Inputs!$F$8="TRUE",Inputs!$F$8=1),(((SQRT(((Inputs!$I$8+(((A146)+1)/2)*(Inputs!$J$8-Inputs!$I$8)))^2+Inputs!$C$6^2+((Inputs!$H$8+Inputs!$L$8*(((Inputs!$I$8+(((A146)+1)/2)*(Inputs!$J$8-Inputs!$I$8)))/Inputs!$K$8)^2))^2))-((Inputs!$H$8+Inputs!$L$8*(((Inputs!$I$8+(((A146)+1)/2)*(Inputs!$J$8-Inputs!$I$8)))/Inputs!$K$8)^2)))*1000/Inputs!$C$12),NA())</x:f>
        <x:v>58585.320738415496</x:v>
      </x:c>
      <x:c r="K146" s="48" t="n">
        <x:f>IF(OR(Inputs!$F$9=TRUE,Inputs!$F$9="TRUE",Inputs!$F$9=1),(((SQRT(((Inputs!$I$9+(((A146)+1)/2)*(Inputs!$J$9-Inputs!$I$9)))^2+Inputs!$C$6^2+((Inputs!$H$9+Inputs!$L$9*(((Inputs!$I$9+(((A146)+1)/2)*(Inputs!$J$9-Inputs!$I$9)))/Inputs!$K$9)^2))^2))-((Inputs!$H$9+Inputs!$L$9*(((Inputs!$I$9+(((A146)+1)/2)*(Inputs!$J$9-Inputs!$I$9)))/Inputs!$K$9)^2)))*1000/Inputs!$C$12),NA())</x:f>
        <x:v>61870.37209616709</x:v>
      </x:c>
      <x:c r="L146" s="49"/>
      <x:c r="M146" s="48" t="n">
        <x:f>A146</x:f>
        <x:v>0.2</x:v>
      </x:c>
      <x:c r="N146" s="48" t="n">
        <x:f>IF(OR(Inputs!$F$6=TRUE,Inputs!$F$6="TRUE",Inputs!$F$6=1),(-2*((1000*((((Inputs!$I$6+(((A146)+1)/2)*(Inputs!$J$6-Inputs!$I$6)))*Inputs!$C$11+((Inputs!$H$6+Inputs!$L$6*(((Inputs!$I$6+(((A146)+1)/2)*(Inputs!$J$6-Inputs!$I$6)))/Inputs!$K$6)^2))*((2*Inputs!$L$6*((Inputs!$I$6+(((A146)+1)/2)*(Inputs!$J$6-Inputs!$I$6)))/(Inputs!$K$6^2)*Inputs!$C$11)))/(SQRT(((Inputs!$I$6+(((A146)+1)/2)*(Inputs!$J$6-Inputs!$I$6)))^2+Inputs!$C$6^2+((Inputs!$H$6+Inputs!$L$6*(((Inputs!$I$6+(((A146)+1)/2)*(Inputs!$J$6-Inputs!$I$6)))/Inputs!$K$6)^2))^2)))))/Inputs!$C$13),NA())</x:f>
        <x:v>-90.43059215266564</x:v>
      </x:c>
      <x:c r="O146" s="48" t="n">
        <x:f>IF(OR(Inputs!$F$7=TRUE,Inputs!$F$7="TRUE",Inputs!$F$7=1),(-2*((1000*((((Inputs!$I$7+(((A146)+1)/2)*(Inputs!$J$7-Inputs!$I$7)))*Inputs!$C$11+((Inputs!$H$7+Inputs!$L$7*(((Inputs!$I$7+(((A146)+1)/2)*(Inputs!$J$7-Inputs!$I$7)))/Inputs!$K$7)^2))*((2*Inputs!$L$7*((Inputs!$I$7+(((A146)+1)/2)*(Inputs!$J$7-Inputs!$I$7)))/(Inputs!$K$7^2)*Inputs!$C$11)))/(SQRT(((Inputs!$I$7+(((A146)+1)/2)*(Inputs!$J$7-Inputs!$I$7)))^2+Inputs!$C$6^2+((Inputs!$H$7+Inputs!$L$7*(((Inputs!$I$7+(((A146)+1)/2)*(Inputs!$J$7-Inputs!$I$7)))/Inputs!$K$7)^2))^2)))))/Inputs!$C$13),NA())</x:f>
        <x:v>-1611.7005990294304</x:v>
      </x:c>
      <x:c r="P146" s="48" t="n">
        <x:f>IF(OR(Inputs!$F$8=TRUE,Inputs!$F$8="TRUE",Inputs!$F$8=1),(-2*((1000*((((Inputs!$I$8+(((A146)+1)/2)*(Inputs!$J$8-Inputs!$I$8)))*Inputs!$C$11+((Inputs!$H$8+Inputs!$L$8*(((Inputs!$I$8+(((A146)+1)/2)*(Inputs!$J$8-Inputs!$I$8)))/Inputs!$K$8)^2))*((2*Inputs!$L$8*((Inputs!$I$8+(((A146)+1)/2)*(Inputs!$J$8-Inputs!$I$8)))/(Inputs!$K$8^2)*Inputs!$C$11)))/(SQRT(((Inputs!$I$8+(((A146)+1)/2)*(Inputs!$J$8-Inputs!$I$8)))^2+Inputs!$C$6^2+((Inputs!$H$8+Inputs!$L$8*(((Inputs!$I$8+(((A146)+1)/2)*(Inputs!$J$8-Inputs!$I$8)))/Inputs!$K$8)^2))^2)))))/Inputs!$C$13),NA())</x:f>
        <x:v>-1758.578310380883</x:v>
      </x:c>
      <x:c r="Q146" s="48" t="n">
        <x:f>IF(OR(Inputs!$F$9=TRUE,Inputs!$F$9="TRUE",Inputs!$F$9=1),(-2*((1000*((((Inputs!$I$9+(((A146)+1)/2)*(Inputs!$J$9-Inputs!$I$9)))*Inputs!$C$11+((Inputs!$H$9+Inputs!$L$9*(((Inputs!$I$9+(((A146)+1)/2)*(Inputs!$J$9-Inputs!$I$9)))/Inputs!$K$9)^2))*((2*Inputs!$L$9*((Inputs!$I$9+(((A146)+1)/2)*(Inputs!$J$9-Inputs!$I$9)))/(Inputs!$K$9^2)*Inputs!$C$11)))/(SQRT(((Inputs!$I$9+(((A146)+1)/2)*(Inputs!$J$9-Inputs!$I$9)))^2+Inputs!$C$6^2+((Inputs!$H$9+Inputs!$L$9*(((Inputs!$I$9+(((A146)+1)/2)*(Inputs!$J$9-Inputs!$I$9)))/Inputs!$K$9)^2))^2)))))/Inputs!$C$13),NA())</x:f>
        <x:v>-1756.855774293519</x:v>
      </x:c>
      <x:c r="R146" s="49"/>
      <x:c r="S146" s="48" t="n">
        <x:f>A146</x:f>
        <x:v>0.2</x:v>
      </x:c>
      <x:c r="T146" s="48" t="n">
        <x:f>(Inputs!$I$6+(((A146)+1)/2)*(Inputs!$J$6-Inputs!$I$6))</x:f>
        <x:v>12</x:v>
      </x:c>
      <x:c r="U146" s="48" t="n">
        <x:f>(Inputs!$I$7+(((A146)+1)/2)*(Inputs!$J$7-Inputs!$I$7))</x:f>
        <x:v>80</x:v>
      </x:c>
      <x:c r="V146" s="48" t="n">
        <x:f>(Inputs!$I$8+(((A146)+1)/2)*(Inputs!$J$8-Inputs!$I$8))</x:f>
        <x:v>160</x:v>
      </x:c>
      <x:c r="W146" s="48" t="n">
        <x:f>(Inputs!$I$9+(((A146)+1)/2)*(Inputs!$J$9-Inputs!$I$9))</x:f>
        <x:v>160</x:v>
      </x:c>
      <x:c r="X146" s="49"/>
      <x:c r="Y146" s="48" t="n">
        <x:f>A146</x:f>
        <x:v>0.2</x:v>
      </x:c>
      <x:c r="Z146" s="48" t="n">
        <x:f>(Inputs!$H$6+Inputs!$L$6*(((Inputs!$I$6+(((A146)+1)/2)*(Inputs!$J$6-Inputs!$I$6)))/Inputs!$K$6)^2)</x:f>
        <x:v>400.16</x:v>
      </x:c>
      <x:c r="AA146" s="48" t="n">
        <x:f>(Inputs!$H$7+Inputs!$L$7*(((Inputs!$I$7+(((A146)+1)/2)*(Inputs!$J$7-Inputs!$I$7)))/Inputs!$K$7)^2)</x:f>
        <x:v>49.6</x:v>
      </x:c>
      <x:c r="AB146" s="48" t="n">
        <x:f>(Inputs!$H$8+Inputs!$L$8*(((Inputs!$I$8+(((A146)+1)/2)*(Inputs!$J$8-Inputs!$I$8)))/Inputs!$K$8)^2)</x:f>
        <x:v>73.60000000000001</x:v>
      </x:c>
      <x:c r="AC146" s="48" t="n">
        <x:f>(Inputs!$H$9+Inputs!$L$9*(((Inputs!$I$9+(((A146)+1)/2)*(Inputs!$J$9-Inputs!$I$9)))/Inputs!$K$9)^2)</x:f>
        <x:v>64</x:v>
      </x:c>
      <x:c r="AD146" s="49"/>
      <x:c r="AE146" s="48" t="n">
        <x:f>A146</x:f>
        <x:v>0.2</x:v>
      </x:c>
      <x:c r="AF146" s="48" t="n">
        <x:f>(((SQRT(((Inputs!$I$6+(((A146)+1)/2)*(Inputs!$J$6-Inputs!$I$6)))^2+Inputs!$C$6^2+((Inputs!$H$6+Inputs!$L$6*(((Inputs!$I$6+(((A146)+1)/2)*(Inputs!$J$6-Inputs!$I$6)))/Inputs!$K$6)^2))^2))-((Inputs!$H$6+Inputs!$L$6*(((Inputs!$I$6+(((A146)+1)/2)*(Inputs!$J$6-Inputs!$I$6)))/Inputs!$K$6)^2)))*1000/Inputs!$C$12)</x:f>
        <x:v>539.1656171138436</x:v>
      </x:c>
      <x:c r="AG146" s="48" t="n">
        <x:f>(((SQRT(((Inputs!$I$7+(((A146)+1)/2)*(Inputs!$J$7-Inputs!$I$7)))^2+Inputs!$C$6^2+((Inputs!$H$7+Inputs!$L$7*(((Inputs!$I$7+(((A146)+1)/2)*(Inputs!$J$7-Inputs!$I$7)))/Inputs!$K$7)^2))^2))-((Inputs!$H$7+Inputs!$L$7*(((Inputs!$I$7+(((A146)+1)/2)*(Inputs!$J$7-Inputs!$I$7)))/Inputs!$K$7)^2)))*1000/Inputs!$C$12)</x:f>
        <x:v>26849.31803443424</x:v>
      </x:c>
      <x:c r="AH146" s="48" t="n">
        <x:f>(((SQRT(((Inputs!$I$8+(((A146)+1)/2)*(Inputs!$J$8-Inputs!$I$8)))^2+Inputs!$C$6^2+((Inputs!$H$8+Inputs!$L$8*(((Inputs!$I$8+(((A146)+1)/2)*(Inputs!$J$8-Inputs!$I$8)))/Inputs!$K$8)^2))^2))-((Inputs!$H$8+Inputs!$L$8*(((Inputs!$I$8+(((A146)+1)/2)*(Inputs!$J$8-Inputs!$I$8)))/Inputs!$K$8)^2)))*1000/Inputs!$C$12)</x:f>
        <x:v>58585.320738415496</x:v>
      </x:c>
      <x:c r="AI146" s="48" t="n">
        <x:f>(((SQRT(((Inputs!$I$9+(((A146)+1)/2)*(Inputs!$J$9-Inputs!$I$9)))^2+Inputs!$C$6^2+((Inputs!$H$9+Inputs!$L$9*(((Inputs!$I$9+(((A146)+1)/2)*(Inputs!$J$9-Inputs!$I$9)))/Inputs!$K$9)^2))^2))-((Inputs!$H$9+Inputs!$L$9*(((Inputs!$I$9+(((A146)+1)/2)*(Inputs!$J$9-Inputs!$I$9)))/Inputs!$K$9)^2)))*1000/Inputs!$C$12)</x:f>
        <x:v>61870.37209616709</x:v>
      </x:c>
      <x:c r="AJ146" s="49"/>
      <x:c r="AK146" s="48" t="n">
        <x:f>A146</x:f>
        <x:v>0.2</x:v>
      </x:c>
      <x:c r="AL146" s="48" t="n">
        <x:f>(-2*((1000*((((Inputs!$I$6+(((A146)+1)/2)*(Inputs!$J$6-Inputs!$I$6)))*Inputs!$C$11+((Inputs!$H$6+Inputs!$L$6*(((Inputs!$I$6+(((A146)+1)/2)*(Inputs!$J$6-Inputs!$I$6)))/Inputs!$K$6)^2))*((2*Inputs!$L$6*((Inputs!$I$6+(((A146)+1)/2)*(Inputs!$J$6-Inputs!$I$6)))/(Inputs!$K$6^2)*Inputs!$C$11)))/(SQRT(((Inputs!$I$6+(((A146)+1)/2)*(Inputs!$J$6-Inputs!$I$6)))^2+Inputs!$C$6^2+((Inputs!$H$6+Inputs!$L$6*(((Inputs!$I$6+(((A146)+1)/2)*(Inputs!$J$6-Inputs!$I$6)))/Inputs!$K$6)^2))^2)))))/Inputs!$C$13)</x:f>
        <x:v>-90.43059215266564</x:v>
      </x:c>
      <x:c r="AM146" s="48" t="n">
        <x:f>(-2*((1000*((((Inputs!$I$7+(((A146)+1)/2)*(Inputs!$J$7-Inputs!$I$7)))*Inputs!$C$11+((Inputs!$H$7+Inputs!$L$7*(((Inputs!$I$7+(((A146)+1)/2)*(Inputs!$J$7-Inputs!$I$7)))/Inputs!$K$7)^2))*((2*Inputs!$L$7*((Inputs!$I$7+(((A146)+1)/2)*(Inputs!$J$7-Inputs!$I$7)))/(Inputs!$K$7^2)*Inputs!$C$11)))/(SQRT(((Inputs!$I$7+(((A146)+1)/2)*(Inputs!$J$7-Inputs!$I$7)))^2+Inputs!$C$6^2+((Inputs!$H$7+Inputs!$L$7*(((Inputs!$I$7+(((A146)+1)/2)*(Inputs!$J$7-Inputs!$I$7)))/Inputs!$K$7)^2))^2)))))/Inputs!$C$13)</x:f>
        <x:v>-1611.7005990294304</x:v>
      </x:c>
      <x:c r="AN146" s="48" t="n">
        <x:f>(-2*((1000*((((Inputs!$I$8+(((A146)+1)/2)*(Inputs!$J$8-Inputs!$I$8)))*Inputs!$C$11+((Inputs!$H$8+Inputs!$L$8*(((Inputs!$I$8+(((A146)+1)/2)*(Inputs!$J$8-Inputs!$I$8)))/Inputs!$K$8)^2))*((2*Inputs!$L$8*((Inputs!$I$8+(((A146)+1)/2)*(Inputs!$J$8-Inputs!$I$8)))/(Inputs!$K$8^2)*Inputs!$C$11)))/(SQRT(((Inputs!$I$8+(((A146)+1)/2)*(Inputs!$J$8-Inputs!$I$8)))^2+Inputs!$C$6^2+((Inputs!$H$8+Inputs!$L$8*(((Inputs!$I$8+(((A146)+1)/2)*(Inputs!$J$8-Inputs!$I$8)))/Inputs!$K$8)^2))^2)))))/Inputs!$C$13)</x:f>
        <x:v>-1758.578310380883</x:v>
      </x:c>
      <x:c r="AO146" s="48" t="n">
        <x:f>(-2*((1000*((((Inputs!$I$9+(((A146)+1)/2)*(Inputs!$J$9-Inputs!$I$9)))*Inputs!$C$11+((Inputs!$H$9+Inputs!$L$9*(((Inputs!$I$9+(((A146)+1)/2)*(Inputs!$J$9-Inputs!$I$9)))/Inputs!$K$9)^2))*((2*Inputs!$L$9*((Inputs!$I$9+(((A146)+1)/2)*(Inputs!$J$9-Inputs!$I$9)))/(Inputs!$K$9^2)*Inputs!$C$11)))/(SQRT(((Inputs!$I$9+(((A146)+1)/2)*(Inputs!$J$9-Inputs!$I$9)))^2+Inputs!$C$6^2+((Inputs!$H$9+Inputs!$L$9*(((Inputs!$I$9+(((A146)+1)/2)*(Inputs!$J$9-Inputs!$I$9)))/Inputs!$K$9)^2))^2)))))/Inputs!$C$13)</x:f>
        <x:v>-1756.855774293519</x:v>
      </x:c>
    </x:row>
    <x:row r="147">
      <x:c r="A147" s="48" t="n">
        <x:f>ROUND(-1+145*2/240,3)</x:f>
        <x:v>0.208</x:v>
      </x:c>
      <x:c r="B147" s="48" t="n">
        <x:f>IF(OR(Inputs!$F$6=TRUE,Inputs!$F$6="TRUE",Inputs!$F$6=1),(Inputs!$H$6+Inputs!$L$6*(((Inputs!$I$6+(((A147)+1)/2)*(Inputs!$J$6-Inputs!$I$6)))/Inputs!$K$6)^2),NA())</x:f>
        <x:v>400.173056</x:v>
      </x:c>
      <x:c r="C147" s="48" t="n">
        <x:f>IF(OR(Inputs!$F$7=TRUE,Inputs!$F$7="TRUE",Inputs!$F$7=1),(Inputs!$H$7+Inputs!$L$7*(((Inputs!$I$7+(((A147)+1)/2)*(Inputs!$J$7-Inputs!$I$7)))/Inputs!$K$7)^2),NA())</x:f>
        <x:v>50.79136</x:v>
      </x:c>
      <x:c r="D147" s="48" t="n">
        <x:f>IF(OR(Inputs!$F$8=TRUE,Inputs!$F$8="TRUE",Inputs!$F$8=1),(Inputs!$H$8+Inputs!$L$8*(((Inputs!$I$8+(((A147)+1)/2)*(Inputs!$J$8-Inputs!$I$8)))/Inputs!$K$8)^2),NA())</x:f>
        <x:v>76.74975999999998</x:v>
      </x:c>
      <x:c r="E147" s="48" t="n">
        <x:f>IF(OR(Inputs!$F$9=TRUE,Inputs!$F$9="TRUE",Inputs!$F$9=1),(Inputs!$H$9+Inputs!$L$9*(((Inputs!$I$9+(((A147)+1)/2)*(Inputs!$J$9-Inputs!$I$9)))/Inputs!$K$9)^2),NA())</x:f>
        <x:v>67.18239999999997</x:v>
      </x:c>
      <x:c r="F147" s="49"/>
      <x:c r="G147" s="48" t="n">
        <x:f>A147</x:f>
        <x:v>0.208</x:v>
      </x:c>
      <x:c r="H147" s="48" t="n">
        <x:f>IF(OR(Inputs!$F$6=TRUE,Inputs!$F$6="TRUE",Inputs!$F$6=1),(((SQRT(((Inputs!$I$6+(((A147)+1)/2)*(Inputs!$J$6-Inputs!$I$6)))^2+Inputs!$C$6^2+((Inputs!$H$6+Inputs!$L$6*(((Inputs!$I$6+(((A147)+1)/2)*(Inputs!$J$6-Inputs!$I$6)))/Inputs!$K$6)^2))^2))-((Inputs!$H$6+Inputs!$L$6*(((Inputs!$I$6+(((A147)+1)/2)*(Inputs!$J$6-Inputs!$I$6)))/Inputs!$K$6)^2)))*1000/Inputs!$C$12),NA())</x:f>
        <x:v>547.3763020817709</x:v>
      </x:c>
      <x:c r="I147" s="48" t="n">
        <x:f>IF(OR(Inputs!$F$7=TRUE,Inputs!$F$7="TRUE",Inputs!$F$7=1),(((SQRT(((Inputs!$I$7+(((A147)+1)/2)*(Inputs!$J$7-Inputs!$I$7)))^2+Inputs!$C$6^2+((Inputs!$H$7+Inputs!$L$7*(((Inputs!$I$7+(((A147)+1)/2)*(Inputs!$J$7-Inputs!$I$7)))/Inputs!$K$7)^2))^2))-((Inputs!$H$7+Inputs!$L$7*(((Inputs!$I$7+(((A147)+1)/2)*(Inputs!$J$7-Inputs!$I$7)))/Inputs!$K$7)^2)))*1000/Inputs!$C$12),NA())</x:f>
        <x:v>28000.925707377744</x:v>
      </x:c>
      <x:c r="J147" s="48" t="n">
        <x:f>IF(OR(Inputs!$F$8=TRUE,Inputs!$F$8="TRUE",Inputs!$F$8=1),(((SQRT(((Inputs!$I$8+(((A147)+1)/2)*(Inputs!$J$8-Inputs!$I$8)))^2+Inputs!$C$6^2+((Inputs!$H$8+Inputs!$L$8*(((Inputs!$I$8+(((A147)+1)/2)*(Inputs!$J$8-Inputs!$I$8)))/Inputs!$K$8)^2))^2))-((Inputs!$H$8+Inputs!$L$8*(((Inputs!$I$8+(((A147)+1)/2)*(Inputs!$J$8-Inputs!$I$8)))/Inputs!$K$8)^2)))*1000/Inputs!$C$12),NA())</x:f>
        <x:v>60783.58849845258</x:v>
      </x:c>
      <x:c r="K147" s="48" t="n">
        <x:f>IF(OR(Inputs!$F$9=TRUE,Inputs!$F$9="TRUE",Inputs!$F$9=1),(((SQRT(((Inputs!$I$9+(((A147)+1)/2)*(Inputs!$J$9-Inputs!$I$9)))^2+Inputs!$C$6^2+((Inputs!$H$9+Inputs!$L$9*(((Inputs!$I$9+(((A147)+1)/2)*(Inputs!$J$9-Inputs!$I$9)))/Inputs!$K$9)^2))^2))-((Inputs!$H$9+Inputs!$L$9*(((Inputs!$I$9+(((A147)+1)/2)*(Inputs!$J$9-Inputs!$I$9)))/Inputs!$K$9)^2)))*1000/Inputs!$C$12),NA())</x:f>
        <x:v>64045.52179470687</x:v>
      </x:c>
      <x:c r="L147" s="49"/>
      <x:c r="M147" s="48" t="n">
        <x:f>A147</x:f>
        <x:v>0.208</x:v>
      </x:c>
      <x:c r="N147" s="48" t="n">
        <x:f>IF(OR(Inputs!$F$6=TRUE,Inputs!$F$6="TRUE",Inputs!$F$6=1),(-2*((1000*((((Inputs!$I$6+(((A147)+1)/2)*(Inputs!$J$6-Inputs!$I$6)))*Inputs!$C$11+((Inputs!$H$6+Inputs!$L$6*(((Inputs!$I$6+(((A147)+1)/2)*(Inputs!$J$6-Inputs!$I$6)))/Inputs!$K$6)^2))*((2*Inputs!$L$6*((Inputs!$I$6+(((A147)+1)/2)*(Inputs!$J$6-Inputs!$I$6)))/(Inputs!$K$6^2)*Inputs!$C$11)))/(SQRT(((Inputs!$I$6+(((A147)+1)/2)*(Inputs!$J$6-Inputs!$I$6)))^2+Inputs!$C$6^2+((Inputs!$H$6+Inputs!$L$6*(((Inputs!$I$6+(((A147)+1)/2)*(Inputs!$J$6-Inputs!$I$6)))/Inputs!$K$6)^2))^2)))))/Inputs!$C$13),NA())</x:f>
        <x:v>-94.04277265326655</x:v>
      </x:c>
      <x:c r="O147" s="48" t="n">
        <x:f>IF(OR(Inputs!$F$7=TRUE,Inputs!$F$7="TRUE",Inputs!$F$7=1),(-2*((1000*((((Inputs!$I$7+(((A147)+1)/2)*(Inputs!$J$7-Inputs!$I$7)))*Inputs!$C$11+((Inputs!$H$7+Inputs!$L$7*(((Inputs!$I$7+(((A147)+1)/2)*(Inputs!$J$7-Inputs!$I$7)))/Inputs!$K$7)^2))*((2*Inputs!$L$7*((Inputs!$I$7+(((A147)+1)/2)*(Inputs!$J$7-Inputs!$I$7)))/(Inputs!$K$7^2)*Inputs!$C$11)))/(SQRT(((Inputs!$I$7+(((A147)+1)/2)*(Inputs!$J$7-Inputs!$I$7)))^2+Inputs!$C$6^2+((Inputs!$H$7+Inputs!$L$7*(((Inputs!$I$7+(((A147)+1)/2)*(Inputs!$J$7-Inputs!$I$7)))/Inputs!$K$7)^2))^2)))))/Inputs!$C$13),NA())</x:f>
        <x:v>-1629.3723506909682</x:v>
      </x:c>
      <x:c r="P147" s="48" t="n">
        <x:f>IF(OR(Inputs!$F$8=TRUE,Inputs!$F$8="TRUE",Inputs!$F$8=1),(-2*((1000*((((Inputs!$I$8+(((A147)+1)/2)*(Inputs!$J$8-Inputs!$I$8)))*Inputs!$C$11+((Inputs!$H$8+Inputs!$L$8*(((Inputs!$I$8+(((A147)+1)/2)*(Inputs!$J$8-Inputs!$I$8)))/Inputs!$K$8)^2))*((2*Inputs!$L$8*((Inputs!$I$8+(((A147)+1)/2)*(Inputs!$J$8-Inputs!$I$8)))/(Inputs!$K$8^2)*Inputs!$C$11)))/(SQRT(((Inputs!$I$8+(((A147)+1)/2)*(Inputs!$J$8-Inputs!$I$8)))^2+Inputs!$C$6^2+((Inputs!$H$8+Inputs!$L$8*(((Inputs!$I$8+(((A147)+1)/2)*(Inputs!$J$8-Inputs!$I$8)))/Inputs!$K$8)^2))^2)))))/Inputs!$C$13),NA())</x:f>
        <x:v>-1772.7521664865533</x:v>
      </x:c>
      <x:c r="Q147" s="48" t="n">
        <x:f>IF(OR(Inputs!$F$9=TRUE,Inputs!$F$9="TRUE",Inputs!$F$9=1),(-2*((1000*((((Inputs!$I$9+(((A147)+1)/2)*(Inputs!$J$9-Inputs!$I$9)))*Inputs!$C$11+((Inputs!$H$9+Inputs!$L$9*(((Inputs!$I$9+(((A147)+1)/2)*(Inputs!$J$9-Inputs!$I$9)))/Inputs!$K$9)^2))*((2*Inputs!$L$9*((Inputs!$I$9+(((A147)+1)/2)*(Inputs!$J$9-Inputs!$I$9)))/(Inputs!$K$9^2)*Inputs!$C$11)))/(SQRT(((Inputs!$I$9+(((A147)+1)/2)*(Inputs!$J$9-Inputs!$I$9)))^2+Inputs!$C$6^2+((Inputs!$H$9+Inputs!$L$9*(((Inputs!$I$9+(((A147)+1)/2)*(Inputs!$J$9-Inputs!$I$9)))/Inputs!$K$9)^2))^2)))))/Inputs!$C$13),NA())</x:f>
        <x:v>-1770.241158443061</x:v>
      </x:c>
      <x:c r="R147" s="49"/>
      <x:c r="S147" s="48" t="n">
        <x:f>A147</x:f>
        <x:v>0.208</x:v>
      </x:c>
      <x:c r="T147" s="48" t="n">
        <x:f>(Inputs!$I$6+(((A147)+1)/2)*(Inputs!$J$6-Inputs!$I$6))</x:f>
        <x:v>12.480000000000004</x:v>
      </x:c>
      <x:c r="U147" s="48" t="n">
        <x:f>(Inputs!$I$7+(((A147)+1)/2)*(Inputs!$J$7-Inputs!$I$7))</x:f>
        <x:v>83.19999999999999</x:v>
      </x:c>
      <x:c r="V147" s="48" t="n">
        <x:f>(Inputs!$I$8+(((A147)+1)/2)*(Inputs!$J$8-Inputs!$I$8))</x:f>
        <x:v>166.39999999999998</x:v>
      </x:c>
      <x:c r="W147" s="48" t="n">
        <x:f>(Inputs!$I$9+(((A147)+1)/2)*(Inputs!$J$9-Inputs!$I$9))</x:f>
        <x:v>166.39999999999998</x:v>
      </x:c>
      <x:c r="X147" s="49"/>
      <x:c r="Y147" s="48" t="n">
        <x:f>A147</x:f>
        <x:v>0.208</x:v>
      </x:c>
      <x:c r="Z147" s="48" t="n">
        <x:f>(Inputs!$H$6+Inputs!$L$6*(((Inputs!$I$6+(((A147)+1)/2)*(Inputs!$J$6-Inputs!$I$6)))/Inputs!$K$6)^2)</x:f>
        <x:v>400.173056</x:v>
      </x:c>
      <x:c r="AA147" s="48" t="n">
        <x:f>(Inputs!$H$7+Inputs!$L$7*(((Inputs!$I$7+(((A147)+1)/2)*(Inputs!$J$7-Inputs!$I$7)))/Inputs!$K$7)^2)</x:f>
        <x:v>50.79136</x:v>
      </x:c>
      <x:c r="AB147" s="48" t="n">
        <x:f>(Inputs!$H$8+Inputs!$L$8*(((Inputs!$I$8+(((A147)+1)/2)*(Inputs!$J$8-Inputs!$I$8)))/Inputs!$K$8)^2)</x:f>
        <x:v>76.74975999999998</x:v>
      </x:c>
      <x:c r="AC147" s="48" t="n">
        <x:f>(Inputs!$H$9+Inputs!$L$9*(((Inputs!$I$9+(((A147)+1)/2)*(Inputs!$J$9-Inputs!$I$9)))/Inputs!$K$9)^2)</x:f>
        <x:v>67.18239999999997</x:v>
      </x:c>
      <x:c r="AD147" s="49"/>
      <x:c r="AE147" s="48" t="n">
        <x:f>A147</x:f>
        <x:v>0.208</x:v>
      </x:c>
      <x:c r="AF147" s="48" t="n">
        <x:f>(((SQRT(((Inputs!$I$6+(((A147)+1)/2)*(Inputs!$J$6-Inputs!$I$6)))^2+Inputs!$C$6^2+((Inputs!$H$6+Inputs!$L$6*(((Inputs!$I$6+(((A147)+1)/2)*(Inputs!$J$6-Inputs!$I$6)))/Inputs!$K$6)^2))^2))-((Inputs!$H$6+Inputs!$L$6*(((Inputs!$I$6+(((A147)+1)/2)*(Inputs!$J$6-Inputs!$I$6)))/Inputs!$K$6)^2)))*1000/Inputs!$C$12)</x:f>
        <x:v>547.3763020817709</x:v>
      </x:c>
      <x:c r="AG147" s="48" t="n">
        <x:f>(((SQRT(((Inputs!$I$7+(((A147)+1)/2)*(Inputs!$J$7-Inputs!$I$7)))^2+Inputs!$C$6^2+((Inputs!$H$7+Inputs!$L$7*(((Inputs!$I$7+(((A147)+1)/2)*(Inputs!$J$7-Inputs!$I$7)))/Inputs!$K$7)^2))^2))-((Inputs!$H$7+Inputs!$L$7*(((Inputs!$I$7+(((A147)+1)/2)*(Inputs!$J$7-Inputs!$I$7)))/Inputs!$K$7)^2)))*1000/Inputs!$C$12)</x:f>
        <x:v>28000.925707377744</x:v>
      </x:c>
      <x:c r="AH147" s="48" t="n">
        <x:f>(((SQRT(((Inputs!$I$8+(((A147)+1)/2)*(Inputs!$J$8-Inputs!$I$8)))^2+Inputs!$C$6^2+((Inputs!$H$8+Inputs!$L$8*(((Inputs!$I$8+(((A147)+1)/2)*(Inputs!$J$8-Inputs!$I$8)))/Inputs!$K$8)^2))^2))-((Inputs!$H$8+Inputs!$L$8*(((Inputs!$I$8+(((A147)+1)/2)*(Inputs!$J$8-Inputs!$I$8)))/Inputs!$K$8)^2)))*1000/Inputs!$C$12)</x:f>
        <x:v>60783.58849845258</x:v>
      </x:c>
      <x:c r="AI147" s="48" t="n">
        <x:f>(((SQRT(((Inputs!$I$9+(((A147)+1)/2)*(Inputs!$J$9-Inputs!$I$9)))^2+Inputs!$C$6^2+((Inputs!$H$9+Inputs!$L$9*(((Inputs!$I$9+(((A147)+1)/2)*(Inputs!$J$9-Inputs!$I$9)))/Inputs!$K$9)^2))^2))-((Inputs!$H$9+Inputs!$L$9*(((Inputs!$I$9+(((A147)+1)/2)*(Inputs!$J$9-Inputs!$I$9)))/Inputs!$K$9)^2)))*1000/Inputs!$C$12)</x:f>
        <x:v>64045.52179470687</x:v>
      </x:c>
      <x:c r="AJ147" s="49"/>
      <x:c r="AK147" s="48" t="n">
        <x:f>A147</x:f>
        <x:v>0.208</x:v>
      </x:c>
      <x:c r="AL147" s="48" t="n">
        <x:f>(-2*((1000*((((Inputs!$I$6+(((A147)+1)/2)*(Inputs!$J$6-Inputs!$I$6)))*Inputs!$C$11+((Inputs!$H$6+Inputs!$L$6*(((Inputs!$I$6+(((A147)+1)/2)*(Inputs!$J$6-Inputs!$I$6)))/Inputs!$K$6)^2))*((2*Inputs!$L$6*((Inputs!$I$6+(((A147)+1)/2)*(Inputs!$J$6-Inputs!$I$6)))/(Inputs!$K$6^2)*Inputs!$C$11)))/(SQRT(((Inputs!$I$6+(((A147)+1)/2)*(Inputs!$J$6-Inputs!$I$6)))^2+Inputs!$C$6^2+((Inputs!$H$6+Inputs!$L$6*(((Inputs!$I$6+(((A147)+1)/2)*(Inputs!$J$6-Inputs!$I$6)))/Inputs!$K$6)^2))^2)))))/Inputs!$C$13)</x:f>
        <x:v>-94.04277265326655</x:v>
      </x:c>
      <x:c r="AM147" s="48" t="n">
        <x:f>(-2*((1000*((((Inputs!$I$7+(((A147)+1)/2)*(Inputs!$J$7-Inputs!$I$7)))*Inputs!$C$11+((Inputs!$H$7+Inputs!$L$7*(((Inputs!$I$7+(((A147)+1)/2)*(Inputs!$J$7-Inputs!$I$7)))/Inputs!$K$7)^2))*((2*Inputs!$L$7*((Inputs!$I$7+(((A147)+1)/2)*(Inputs!$J$7-Inputs!$I$7)))/(Inputs!$K$7^2)*Inputs!$C$11)))/(SQRT(((Inputs!$I$7+(((A147)+1)/2)*(Inputs!$J$7-Inputs!$I$7)))^2+Inputs!$C$6^2+((Inputs!$H$7+Inputs!$L$7*(((Inputs!$I$7+(((A147)+1)/2)*(Inputs!$J$7-Inputs!$I$7)))/Inputs!$K$7)^2))^2)))))/Inputs!$C$13)</x:f>
        <x:v>-1629.3723506909682</x:v>
      </x:c>
      <x:c r="AN147" s="48" t="n">
        <x:f>(-2*((1000*((((Inputs!$I$8+(((A147)+1)/2)*(Inputs!$J$8-Inputs!$I$8)))*Inputs!$C$11+((Inputs!$H$8+Inputs!$L$8*(((Inputs!$I$8+(((A147)+1)/2)*(Inputs!$J$8-Inputs!$I$8)))/Inputs!$K$8)^2))*((2*Inputs!$L$8*((Inputs!$I$8+(((A147)+1)/2)*(Inputs!$J$8-Inputs!$I$8)))/(Inputs!$K$8^2)*Inputs!$C$11)))/(SQRT(((Inputs!$I$8+(((A147)+1)/2)*(Inputs!$J$8-Inputs!$I$8)))^2+Inputs!$C$6^2+((Inputs!$H$8+Inputs!$L$8*(((Inputs!$I$8+(((A147)+1)/2)*(Inputs!$J$8-Inputs!$I$8)))/Inputs!$K$8)^2))^2)))))/Inputs!$C$13)</x:f>
        <x:v>-1772.7521664865533</x:v>
      </x:c>
      <x:c r="AO147" s="48" t="n">
        <x:f>(-2*((1000*((((Inputs!$I$9+(((A147)+1)/2)*(Inputs!$J$9-Inputs!$I$9)))*Inputs!$C$11+((Inputs!$H$9+Inputs!$L$9*(((Inputs!$I$9+(((A147)+1)/2)*(Inputs!$J$9-Inputs!$I$9)))/Inputs!$K$9)^2))*((2*Inputs!$L$9*((Inputs!$I$9+(((A147)+1)/2)*(Inputs!$J$9-Inputs!$I$9)))/(Inputs!$K$9^2)*Inputs!$C$11)))/(SQRT(((Inputs!$I$9+(((A147)+1)/2)*(Inputs!$J$9-Inputs!$I$9)))^2+Inputs!$C$6^2+((Inputs!$H$9+Inputs!$L$9*(((Inputs!$I$9+(((A147)+1)/2)*(Inputs!$J$9-Inputs!$I$9)))/Inputs!$K$9)^2))^2)))))/Inputs!$C$13)</x:f>
        <x:v>-1770.241158443061</x:v>
      </x:c>
    </x:row>
    <x:row r="148">
      <x:c r="A148" s="48" t="n">
        <x:f>ROUND(-1+146*2/240,3)</x:f>
        <x:v>0.217</x:v>
      </x:c>
      <x:c r="B148" s="48" t="n">
        <x:f>IF(OR(Inputs!$F$6=TRUE,Inputs!$F$6="TRUE",Inputs!$F$6=1),(Inputs!$H$6+Inputs!$L$6*(((Inputs!$I$6+(((A148)+1)/2)*(Inputs!$J$6-Inputs!$I$6)))/Inputs!$K$6)^2),NA())</x:f>
        <x:v>400.188356</x:v>
      </x:c>
      <x:c r="C148" s="48" t="n">
        <x:f>IF(OR(Inputs!$F$7=TRUE,Inputs!$F$7="TRUE",Inputs!$F$7=1),(Inputs!$H$7+Inputs!$L$7*(((Inputs!$I$7+(((A148)+1)/2)*(Inputs!$J$7-Inputs!$I$7)))/Inputs!$K$7)^2),NA())</x:f>
        <x:v>52.18748500000001</x:v>
      </x:c>
      <x:c r="D148" s="48" t="n">
        <x:f>IF(OR(Inputs!$F$8=TRUE,Inputs!$F$8="TRUE",Inputs!$F$8=1),(Inputs!$H$8+Inputs!$L$8*(((Inputs!$I$8+(((A148)+1)/2)*(Inputs!$J$8-Inputs!$I$8)))/Inputs!$K$8)^2),NA())</x:f>
        <x:v>80.44088500000001</x:v>
      </x:c>
      <x:c r="E148" s="48" t="n">
        <x:f>IF(OR(Inputs!$F$9=TRUE,Inputs!$F$9="TRUE",Inputs!$F$9=1),(Inputs!$H$9+Inputs!$L$9*(((Inputs!$I$9+(((A148)+1)/2)*(Inputs!$J$9-Inputs!$I$9)))/Inputs!$K$9)^2),NA())</x:f>
        <x:v>70.911775</x:v>
      </x:c>
      <x:c r="F148" s="49"/>
      <x:c r="G148" s="48" t="n">
        <x:f>A148</x:f>
        <x:v>0.217</x:v>
      </x:c>
      <x:c r="H148" s="48" t="n">
        <x:f>IF(OR(Inputs!$F$6=TRUE,Inputs!$F$6="TRUE",Inputs!$F$6=1),(((SQRT(((Inputs!$I$6+(((A148)+1)/2)*(Inputs!$J$6-Inputs!$I$6)))^2+Inputs!$C$6^2+((Inputs!$H$6+Inputs!$L$6*(((Inputs!$I$6+(((A148)+1)/2)*(Inputs!$J$6-Inputs!$I$6)))/Inputs!$K$6)^2))^2))-((Inputs!$H$6+Inputs!$L$6*(((Inputs!$I$6+(((A148)+1)/2)*(Inputs!$J$6-Inputs!$I$6)))/Inputs!$K$6)^2)))*1000/Inputs!$C$12),NA())</x:f>
        <x:v>556.9971377883129</x:v>
      </x:c>
      <x:c r="I148" s="48" t="n">
        <x:f>IF(OR(Inputs!$F$7=TRUE,Inputs!$F$7="TRUE",Inputs!$F$7=1),(((SQRT(((Inputs!$I$7+(((A148)+1)/2)*(Inputs!$J$7-Inputs!$I$7)))^2+Inputs!$C$6^2+((Inputs!$H$7+Inputs!$L$7*(((Inputs!$I$7+(((A148)+1)/2)*(Inputs!$J$7-Inputs!$I$7)))/Inputs!$K$7)^2))^2))-((Inputs!$H$7+Inputs!$L$7*(((Inputs!$I$7+(((A148)+1)/2)*(Inputs!$J$7-Inputs!$I$7)))/Inputs!$K$7)^2)))*1000/Inputs!$C$12),NA())</x:f>
        <x:v>29288.22917368881</x:v>
      </x:c>
      <x:c r="J148" s="48" t="n">
        <x:f>IF(OR(Inputs!$F$8=TRUE,Inputs!$F$8="TRUE",Inputs!$F$8=1),(((SQRT(((Inputs!$I$8+(((A148)+1)/2)*(Inputs!$J$8-Inputs!$I$8)))^2+Inputs!$C$6^2+((Inputs!$H$8+Inputs!$L$8*(((Inputs!$I$8+(((A148)+1)/2)*(Inputs!$J$8-Inputs!$I$8)))/Inputs!$K$8)^2))^2))-((Inputs!$H$8+Inputs!$L$8*(((Inputs!$I$8+(((A148)+1)/2)*(Inputs!$J$8-Inputs!$I$8)))/Inputs!$K$8)^2)))*1000/Inputs!$C$12),NA())</x:f>
        <x:v>63211.725832669654</x:v>
      </x:c>
      <x:c r="K148" s="48" t="n">
        <x:f>IF(OR(Inputs!$F$9=TRUE,Inputs!$F$9="TRUE",Inputs!$F$9=1),(((SQRT(((Inputs!$I$9+(((A148)+1)/2)*(Inputs!$J$9-Inputs!$I$9)))^2+Inputs!$C$6^2+((Inputs!$H$9+Inputs!$L$9*(((Inputs!$I$9+(((A148)+1)/2)*(Inputs!$J$9-Inputs!$I$9)))/Inputs!$K$9)^2))^2))-((Inputs!$H$9+Inputs!$L$9*(((Inputs!$I$9+(((A148)+1)/2)*(Inputs!$J$9-Inputs!$I$9)))/Inputs!$K$9)^2)))*1000/Inputs!$C$12),NA())</x:f>
        <x:v>66444.85341169208</x:v>
      </x:c>
      <x:c r="L148" s="49"/>
      <x:c r="M148" s="48" t="n">
        <x:f>A148</x:f>
        <x:v>0.217</x:v>
      </x:c>
      <x:c r="N148" s="48" t="n">
        <x:f>IF(OR(Inputs!$F$6=TRUE,Inputs!$F$6="TRUE",Inputs!$F$6=1),(-2*((1000*((((Inputs!$I$6+(((A148)+1)/2)*(Inputs!$J$6-Inputs!$I$6)))*Inputs!$C$11+((Inputs!$H$6+Inputs!$L$6*(((Inputs!$I$6+(((A148)+1)/2)*(Inputs!$J$6-Inputs!$I$6)))/Inputs!$K$6)^2))*((2*Inputs!$L$6*((Inputs!$I$6+(((A148)+1)/2)*(Inputs!$J$6-Inputs!$I$6)))/(Inputs!$K$6^2)*Inputs!$C$11)))/(SQRT(((Inputs!$I$6+(((A148)+1)/2)*(Inputs!$J$6-Inputs!$I$6)))^2+Inputs!$C$6^2+((Inputs!$H$6+Inputs!$L$6*(((Inputs!$I$6+(((A148)+1)/2)*(Inputs!$J$6-Inputs!$I$6)))/Inputs!$K$6)^2))^2)))))/Inputs!$C$13),NA())</x:f>
        <x:v>-98.10576676731354</x:v>
      </x:c>
      <x:c r="O148" s="48" t="n">
        <x:f>IF(OR(Inputs!$F$7=TRUE,Inputs!$F$7="TRUE",Inputs!$F$7=1),(-2*((1000*((((Inputs!$I$7+(((A148)+1)/2)*(Inputs!$J$7-Inputs!$I$7)))*Inputs!$C$11+((Inputs!$H$7+Inputs!$L$7*(((Inputs!$I$7+(((A148)+1)/2)*(Inputs!$J$7-Inputs!$I$7)))/Inputs!$K$7)^2))*((2*Inputs!$L$7*((Inputs!$I$7+(((A148)+1)/2)*(Inputs!$J$7-Inputs!$I$7)))/(Inputs!$K$7^2)*Inputs!$C$11)))/(SQRT(((Inputs!$I$7+(((A148)+1)/2)*(Inputs!$J$7-Inputs!$I$7)))^2+Inputs!$C$6^2+((Inputs!$H$7+Inputs!$L$7*(((Inputs!$I$7+(((A148)+1)/2)*(Inputs!$J$7-Inputs!$I$7)))/Inputs!$K$7)^2))^2)))))/Inputs!$C$13),NA())</x:f>
        <x:v>-1648.2668671962517</x:v>
      </x:c>
      <x:c r="P148" s="48" t="n">
        <x:f>IF(OR(Inputs!$F$8=TRUE,Inputs!$F$8="TRUE",Inputs!$F$8=1),(-2*((1000*((((Inputs!$I$8+(((A148)+1)/2)*(Inputs!$J$8-Inputs!$I$8)))*Inputs!$C$11+((Inputs!$H$8+Inputs!$L$8*(((Inputs!$I$8+(((A148)+1)/2)*(Inputs!$J$8-Inputs!$I$8)))/Inputs!$K$8)^2))*((2*Inputs!$L$8*((Inputs!$I$8+(((A148)+1)/2)*(Inputs!$J$8-Inputs!$I$8)))/(Inputs!$K$8^2)*Inputs!$C$11)))/(SQRT(((Inputs!$I$8+(((A148)+1)/2)*(Inputs!$J$8-Inputs!$I$8)))^2+Inputs!$C$6^2+((Inputs!$H$8+Inputs!$L$8*(((Inputs!$I$8+(((A148)+1)/2)*(Inputs!$J$8-Inputs!$I$8)))/Inputs!$K$8)^2))^2)))))/Inputs!$C$13),NA())</x:f>
        <x:v>-1788.675923122512</x:v>
      </x:c>
      <x:c r="Q148" s="48" t="n">
        <x:f>IF(OR(Inputs!$F$9=TRUE,Inputs!$F$9="TRUE",Inputs!$F$9=1),(-2*((1000*((((Inputs!$I$9+(((A148)+1)/2)*(Inputs!$J$9-Inputs!$I$9)))*Inputs!$C$11+((Inputs!$H$9+Inputs!$L$9*(((Inputs!$I$9+(((A148)+1)/2)*(Inputs!$J$9-Inputs!$I$9)))/Inputs!$K$9)^2))*((2*Inputs!$L$9*((Inputs!$I$9+(((A148)+1)/2)*(Inputs!$J$9-Inputs!$I$9)))/(Inputs!$K$9^2)*Inputs!$C$11)))/(SQRT(((Inputs!$I$9+(((A148)+1)/2)*(Inputs!$J$9-Inputs!$I$9)))^2+Inputs!$C$6^2+((Inputs!$H$9+Inputs!$L$9*(((Inputs!$I$9+(((A148)+1)/2)*(Inputs!$J$9-Inputs!$I$9)))/Inputs!$K$9)^2))^2)))))/Inputs!$C$13),NA())</x:f>
        <x:v>-1785.4222567737822</x:v>
      </x:c>
      <x:c r="R148" s="49"/>
      <x:c r="S148" s="48" t="n">
        <x:f>A148</x:f>
        <x:v>0.217</x:v>
      </x:c>
      <x:c r="T148" s="48" t="n">
        <x:f>(Inputs!$I$6+(((A148)+1)/2)*(Inputs!$J$6-Inputs!$I$6))</x:f>
        <x:v>13.02000000000001</x:v>
      </x:c>
      <x:c r="U148" s="48" t="n">
        <x:f>(Inputs!$I$7+(((A148)+1)/2)*(Inputs!$J$7-Inputs!$I$7))</x:f>
        <x:v>86.80000000000001</x:v>
      </x:c>
      <x:c r="V148" s="48" t="n">
        <x:f>(Inputs!$I$8+(((A148)+1)/2)*(Inputs!$J$8-Inputs!$I$8))</x:f>
        <x:v>173.60000000000002</x:v>
      </x:c>
      <x:c r="W148" s="48" t="n">
        <x:f>(Inputs!$I$9+(((A148)+1)/2)*(Inputs!$J$9-Inputs!$I$9))</x:f>
        <x:v>173.60000000000002</x:v>
      </x:c>
      <x:c r="X148" s="49"/>
      <x:c r="Y148" s="48" t="n">
        <x:f>A148</x:f>
        <x:v>0.217</x:v>
      </x:c>
      <x:c r="Z148" s="48" t="n">
        <x:f>(Inputs!$H$6+Inputs!$L$6*(((Inputs!$I$6+(((A148)+1)/2)*(Inputs!$J$6-Inputs!$I$6)))/Inputs!$K$6)^2)</x:f>
        <x:v>400.188356</x:v>
      </x:c>
      <x:c r="AA148" s="48" t="n">
        <x:f>(Inputs!$H$7+Inputs!$L$7*(((Inputs!$I$7+(((A148)+1)/2)*(Inputs!$J$7-Inputs!$I$7)))/Inputs!$K$7)^2)</x:f>
        <x:v>52.18748500000001</x:v>
      </x:c>
      <x:c r="AB148" s="48" t="n">
        <x:f>(Inputs!$H$8+Inputs!$L$8*(((Inputs!$I$8+(((A148)+1)/2)*(Inputs!$J$8-Inputs!$I$8)))/Inputs!$K$8)^2)</x:f>
        <x:v>80.44088500000001</x:v>
      </x:c>
      <x:c r="AC148" s="48" t="n">
        <x:f>(Inputs!$H$9+Inputs!$L$9*(((Inputs!$I$9+(((A148)+1)/2)*(Inputs!$J$9-Inputs!$I$9)))/Inputs!$K$9)^2)</x:f>
        <x:v>70.911775</x:v>
      </x:c>
      <x:c r="AD148" s="49"/>
      <x:c r="AE148" s="48" t="n">
        <x:f>A148</x:f>
        <x:v>0.217</x:v>
      </x:c>
      <x:c r="AF148" s="48" t="n">
        <x:f>(((SQRT(((Inputs!$I$6+(((A148)+1)/2)*(Inputs!$J$6-Inputs!$I$6)))^2+Inputs!$C$6^2+((Inputs!$H$6+Inputs!$L$6*(((Inputs!$I$6+(((A148)+1)/2)*(Inputs!$J$6-Inputs!$I$6)))/Inputs!$K$6)^2))^2))-((Inputs!$H$6+Inputs!$L$6*(((Inputs!$I$6+(((A148)+1)/2)*(Inputs!$J$6-Inputs!$I$6)))/Inputs!$K$6)^2)))*1000/Inputs!$C$12)</x:f>
        <x:v>556.9971377883129</x:v>
      </x:c>
      <x:c r="AG148" s="48" t="n">
        <x:f>(((SQRT(((Inputs!$I$7+(((A148)+1)/2)*(Inputs!$J$7-Inputs!$I$7)))^2+Inputs!$C$6^2+((Inputs!$H$7+Inputs!$L$7*(((Inputs!$I$7+(((A148)+1)/2)*(Inputs!$J$7-Inputs!$I$7)))/Inputs!$K$7)^2))^2))-((Inputs!$H$7+Inputs!$L$7*(((Inputs!$I$7+(((A148)+1)/2)*(Inputs!$J$7-Inputs!$I$7)))/Inputs!$K$7)^2)))*1000/Inputs!$C$12)</x:f>
        <x:v>29288.22917368881</x:v>
      </x:c>
      <x:c r="AH148" s="48" t="n">
        <x:f>(((SQRT(((Inputs!$I$8+(((A148)+1)/2)*(Inputs!$J$8-Inputs!$I$8)))^2+Inputs!$C$6^2+((Inputs!$H$8+Inputs!$L$8*(((Inputs!$I$8+(((A148)+1)/2)*(Inputs!$J$8-Inputs!$I$8)))/Inputs!$K$8)^2))^2))-((Inputs!$H$8+Inputs!$L$8*(((Inputs!$I$8+(((A148)+1)/2)*(Inputs!$J$8-Inputs!$I$8)))/Inputs!$K$8)^2)))*1000/Inputs!$C$12)</x:f>
        <x:v>63211.725832669654</x:v>
      </x:c>
      <x:c r="AI148" s="48" t="n">
        <x:f>(((SQRT(((Inputs!$I$9+(((A148)+1)/2)*(Inputs!$J$9-Inputs!$I$9)))^2+Inputs!$C$6^2+((Inputs!$H$9+Inputs!$L$9*(((Inputs!$I$9+(((A148)+1)/2)*(Inputs!$J$9-Inputs!$I$9)))/Inputs!$K$9)^2))^2))-((Inputs!$H$9+Inputs!$L$9*(((Inputs!$I$9+(((A148)+1)/2)*(Inputs!$J$9-Inputs!$I$9)))/Inputs!$K$9)^2)))*1000/Inputs!$C$12)</x:f>
        <x:v>66444.85341169208</x:v>
      </x:c>
      <x:c r="AJ148" s="49"/>
      <x:c r="AK148" s="48" t="n">
        <x:f>A148</x:f>
        <x:v>0.217</x:v>
      </x:c>
      <x:c r="AL148" s="48" t="n">
        <x:f>(-2*((1000*((((Inputs!$I$6+(((A148)+1)/2)*(Inputs!$J$6-Inputs!$I$6)))*Inputs!$C$11+((Inputs!$H$6+Inputs!$L$6*(((Inputs!$I$6+(((A148)+1)/2)*(Inputs!$J$6-Inputs!$I$6)))/Inputs!$K$6)^2))*((2*Inputs!$L$6*((Inputs!$I$6+(((A148)+1)/2)*(Inputs!$J$6-Inputs!$I$6)))/(Inputs!$K$6^2)*Inputs!$C$11)))/(SQRT(((Inputs!$I$6+(((A148)+1)/2)*(Inputs!$J$6-Inputs!$I$6)))^2+Inputs!$C$6^2+((Inputs!$H$6+Inputs!$L$6*(((Inputs!$I$6+(((A148)+1)/2)*(Inputs!$J$6-Inputs!$I$6)))/Inputs!$K$6)^2))^2)))))/Inputs!$C$13)</x:f>
        <x:v>-98.10576676731354</x:v>
      </x:c>
      <x:c r="AM148" s="48" t="n">
        <x:f>(-2*((1000*((((Inputs!$I$7+(((A148)+1)/2)*(Inputs!$J$7-Inputs!$I$7)))*Inputs!$C$11+((Inputs!$H$7+Inputs!$L$7*(((Inputs!$I$7+(((A148)+1)/2)*(Inputs!$J$7-Inputs!$I$7)))/Inputs!$K$7)^2))*((2*Inputs!$L$7*((Inputs!$I$7+(((A148)+1)/2)*(Inputs!$J$7-Inputs!$I$7)))/(Inputs!$K$7^2)*Inputs!$C$11)))/(SQRT(((Inputs!$I$7+(((A148)+1)/2)*(Inputs!$J$7-Inputs!$I$7)))^2+Inputs!$C$6^2+((Inputs!$H$7+Inputs!$L$7*(((Inputs!$I$7+(((A148)+1)/2)*(Inputs!$J$7-Inputs!$I$7)))/Inputs!$K$7)^2))^2)))))/Inputs!$C$13)</x:f>
        <x:v>-1648.2668671962517</x:v>
      </x:c>
      <x:c r="AN148" s="48" t="n">
        <x:f>(-2*((1000*((((Inputs!$I$8+(((A148)+1)/2)*(Inputs!$J$8-Inputs!$I$8)))*Inputs!$C$11+((Inputs!$H$8+Inputs!$L$8*(((Inputs!$I$8+(((A148)+1)/2)*(Inputs!$J$8-Inputs!$I$8)))/Inputs!$K$8)^2))*((2*Inputs!$L$8*((Inputs!$I$8+(((A148)+1)/2)*(Inputs!$J$8-Inputs!$I$8)))/(Inputs!$K$8^2)*Inputs!$C$11)))/(SQRT(((Inputs!$I$8+(((A148)+1)/2)*(Inputs!$J$8-Inputs!$I$8)))^2+Inputs!$C$6^2+((Inputs!$H$8+Inputs!$L$8*(((Inputs!$I$8+(((A148)+1)/2)*(Inputs!$J$8-Inputs!$I$8)))/Inputs!$K$8)^2))^2)))))/Inputs!$C$13)</x:f>
        <x:v>-1788.675923122512</x:v>
      </x:c>
      <x:c r="AO148" s="48" t="n">
        <x:f>(-2*((1000*((((Inputs!$I$9+(((A148)+1)/2)*(Inputs!$J$9-Inputs!$I$9)))*Inputs!$C$11+((Inputs!$H$9+Inputs!$L$9*(((Inputs!$I$9+(((A148)+1)/2)*(Inputs!$J$9-Inputs!$I$9)))/Inputs!$K$9)^2))*((2*Inputs!$L$9*((Inputs!$I$9+(((A148)+1)/2)*(Inputs!$J$9-Inputs!$I$9)))/(Inputs!$K$9^2)*Inputs!$C$11)))/(SQRT(((Inputs!$I$9+(((A148)+1)/2)*(Inputs!$J$9-Inputs!$I$9)))^2+Inputs!$C$6^2+((Inputs!$H$9+Inputs!$L$9*(((Inputs!$I$9+(((A148)+1)/2)*(Inputs!$J$9-Inputs!$I$9)))/Inputs!$K$9)^2))^2)))))/Inputs!$C$13)</x:f>
        <x:v>-1785.4222567737822</x:v>
      </x:c>
    </x:row>
    <x:row r="149">
      <x:c r="A149" s="48" t="n">
        <x:f>ROUND(-1+147*2/240,3)</x:f>
        <x:v>0.225</x:v>
      </x:c>
      <x:c r="B149" s="48" t="n">
        <x:f>IF(OR(Inputs!$F$6=TRUE,Inputs!$F$6="TRUE",Inputs!$F$6=1),(Inputs!$H$6+Inputs!$L$6*(((Inputs!$I$6+(((A149)+1)/2)*(Inputs!$J$6-Inputs!$I$6)))/Inputs!$K$6)^2),NA())</x:f>
        <x:v>400.2025</x:v>
      </x:c>
      <x:c r="C149" s="48" t="n">
        <x:f>IF(OR(Inputs!$F$7=TRUE,Inputs!$F$7="TRUE",Inputs!$F$7=1),(Inputs!$H$7+Inputs!$L$7*(((Inputs!$I$7+(((A149)+1)/2)*(Inputs!$J$7-Inputs!$I$7)))/Inputs!$K$7)^2),NA())</x:f>
        <x:v>53.47812500000002</x:v>
      </x:c>
      <x:c r="D149" s="48" t="n">
        <x:f>IF(OR(Inputs!$F$8=TRUE,Inputs!$F$8="TRUE",Inputs!$F$8=1),(Inputs!$H$8+Inputs!$L$8*(((Inputs!$I$8+(((A149)+1)/2)*(Inputs!$J$8-Inputs!$I$8)))/Inputs!$K$8)^2),NA())</x:f>
        <x:v>83.85312500000006</x:v>
      </x:c>
      <x:c r="E149" s="48" t="n">
        <x:f>IF(OR(Inputs!$F$9=TRUE,Inputs!$F$9="TRUE",Inputs!$F$9=1),(Inputs!$H$9+Inputs!$L$9*(((Inputs!$I$9+(((A149)+1)/2)*(Inputs!$J$9-Inputs!$I$9)))/Inputs!$K$9)^2),NA())</x:f>
        <x:v>74.35937500000006</x:v>
      </x:c>
      <x:c r="F149" s="49"/>
      <x:c r="G149" s="48" t="n">
        <x:f>A149</x:f>
        <x:v>0.225</x:v>
      </x:c>
      <x:c r="H149" s="48" t="n">
        <x:f>IF(OR(Inputs!$F$6=TRUE,Inputs!$F$6="TRUE",Inputs!$F$6=1),(((SQRT(((Inputs!$I$6+(((A149)+1)/2)*(Inputs!$J$6-Inputs!$I$6)))^2+Inputs!$C$6^2+((Inputs!$H$6+Inputs!$L$6*(((Inputs!$I$6+(((A149)+1)/2)*(Inputs!$J$6-Inputs!$I$6)))/Inputs!$K$6)^2))^2))-((Inputs!$H$6+Inputs!$L$6*(((Inputs!$I$6+(((A149)+1)/2)*(Inputs!$J$6-Inputs!$I$6)))/Inputs!$K$6)^2)))*1000/Inputs!$C$12),NA())</x:f>
        <x:v>565.8900479164877</x:v>
      </x:c>
      <x:c r="I149" s="48" t="n">
        <x:f>IF(OR(Inputs!$F$7=TRUE,Inputs!$F$7="TRUE",Inputs!$F$7=1),(((SQRT(((Inputs!$I$7+(((A149)+1)/2)*(Inputs!$J$7-Inputs!$I$7)))^2+Inputs!$C$6^2+((Inputs!$H$7+Inputs!$L$7*(((Inputs!$I$7+(((A149)+1)/2)*(Inputs!$J$7-Inputs!$I$7)))/Inputs!$K$7)^2))^2))-((Inputs!$H$7+Inputs!$L$7*(((Inputs!$I$7+(((A149)+1)/2)*(Inputs!$J$7-Inputs!$I$7)))/Inputs!$K$7)^2)))*1000/Inputs!$C$12),NA())</x:f>
        <x:v>30424.210167722536</x:v>
      </x:c>
      <x:c r="J149" s="48" t="n">
        <x:f>IF(OR(Inputs!$F$8=TRUE,Inputs!$F$8="TRUE",Inputs!$F$8=1),(((SQRT(((Inputs!$I$8+(((A149)+1)/2)*(Inputs!$J$8-Inputs!$I$8)))^2+Inputs!$C$6^2+((Inputs!$H$8+Inputs!$L$8*(((Inputs!$I$8+(((A149)+1)/2)*(Inputs!$J$8-Inputs!$I$8)))/Inputs!$K$8)^2))^2))-((Inputs!$H$8+Inputs!$L$8*(((Inputs!$I$8+(((A149)+1)/2)*(Inputs!$J$8-Inputs!$I$8)))/Inputs!$K$8)^2)))*1000/Inputs!$C$12),NA())</x:f>
        <x:v>65330.163964716834</x:v>
      </x:c>
      <x:c r="K149" s="48" t="n">
        <x:f>IF(OR(Inputs!$F$9=TRUE,Inputs!$F$9="TRUE",Inputs!$F$9=1),(((SQRT(((Inputs!$I$9+(((A149)+1)/2)*(Inputs!$J$9-Inputs!$I$9)))^2+Inputs!$C$6^2+((Inputs!$H$9+Inputs!$L$9*(((Inputs!$I$9+(((A149)+1)/2)*(Inputs!$J$9-Inputs!$I$9)))/Inputs!$K$9)^2))^2))-((Inputs!$H$9+Inputs!$L$9*(((Inputs!$I$9+(((A149)+1)/2)*(Inputs!$J$9-Inputs!$I$9)))/Inputs!$K$9)^2)))*1000/Inputs!$C$12),NA())</x:f>
        <x:v>68535.48121401227</x:v>
      </x:c>
      <x:c r="L149" s="49"/>
      <x:c r="M149" s="48" t="n">
        <x:f>A149</x:f>
        <x:v>0.225</x:v>
      </x:c>
      <x:c r="N149" s="48" t="n">
        <x:f>IF(OR(Inputs!$F$6=TRUE,Inputs!$F$6="TRUE",Inputs!$F$6=1),(-2*((1000*((((Inputs!$I$6+(((A149)+1)/2)*(Inputs!$J$6-Inputs!$I$6)))*Inputs!$C$11+((Inputs!$H$6+Inputs!$L$6*(((Inputs!$I$6+(((A149)+1)/2)*(Inputs!$J$6-Inputs!$I$6)))/Inputs!$K$6)^2))*((2*Inputs!$L$6*((Inputs!$I$6+(((A149)+1)/2)*(Inputs!$J$6-Inputs!$I$6)))/(Inputs!$K$6^2)*Inputs!$C$11)))/(SQRT(((Inputs!$I$6+(((A149)+1)/2)*(Inputs!$J$6-Inputs!$I$6)))^2+Inputs!$C$6^2+((Inputs!$H$6+Inputs!$L$6*(((Inputs!$I$6+(((A149)+1)/2)*(Inputs!$J$6-Inputs!$I$6)))/Inputs!$K$6)^2))^2)))))/Inputs!$C$13),NA())</x:f>
        <x:v>-101.71666195204531</x:v>
      </x:c>
      <x:c r="O149" s="48" t="n">
        <x:f>IF(OR(Inputs!$F$7=TRUE,Inputs!$F$7="TRUE",Inputs!$F$7=1),(-2*((1000*((((Inputs!$I$7+(((A149)+1)/2)*(Inputs!$J$7-Inputs!$I$7)))*Inputs!$C$11+((Inputs!$H$7+Inputs!$L$7*(((Inputs!$I$7+(((A149)+1)/2)*(Inputs!$J$7-Inputs!$I$7)))/Inputs!$K$7)^2))*((2*Inputs!$L$7*((Inputs!$I$7+(((A149)+1)/2)*(Inputs!$J$7-Inputs!$I$7)))/(Inputs!$K$7^2)*Inputs!$C$11)))/(SQRT(((Inputs!$I$7+(((A149)+1)/2)*(Inputs!$J$7-Inputs!$I$7)))^2+Inputs!$C$6^2+((Inputs!$H$7+Inputs!$L$7*(((Inputs!$I$7+(((A149)+1)/2)*(Inputs!$J$7-Inputs!$I$7)))/Inputs!$K$7)^2))^2)))))/Inputs!$C$13),NA())</x:f>
        <x:v>-1664.3107920147656</x:v>
      </x:c>
      <x:c r="P149" s="48" t="n">
        <x:f>IF(OR(Inputs!$F$8=TRUE,Inputs!$F$8="TRUE",Inputs!$F$8=1),(-2*((1000*((((Inputs!$I$8+(((A149)+1)/2)*(Inputs!$J$8-Inputs!$I$8)))*Inputs!$C$11+((Inputs!$H$8+Inputs!$L$8*(((Inputs!$I$8+(((A149)+1)/2)*(Inputs!$J$8-Inputs!$I$8)))/Inputs!$K$8)^2))*((2*Inputs!$L$8*((Inputs!$I$8+(((A149)+1)/2)*(Inputs!$J$8-Inputs!$I$8)))/(Inputs!$K$8^2)*Inputs!$C$11)))/(SQRT(((Inputs!$I$8+(((A149)+1)/2)*(Inputs!$J$8-Inputs!$I$8)))^2+Inputs!$C$6^2+((Inputs!$H$8+Inputs!$L$8*(((Inputs!$I$8+(((A149)+1)/2)*(Inputs!$J$8-Inputs!$I$8)))/Inputs!$K$8)^2))^2)))))/Inputs!$C$13),NA())</x:f>
        <x:v>-1802.8628279255813</x:v>
      </x:c>
      <x:c r="Q149" s="48" t="n">
        <x:f>IF(OR(Inputs!$F$9=TRUE,Inputs!$F$9="TRUE",Inputs!$F$9=1),(-2*((1000*((((Inputs!$I$9+(((A149)+1)/2)*(Inputs!$J$9-Inputs!$I$9)))*Inputs!$C$11+((Inputs!$H$9+Inputs!$L$9*(((Inputs!$I$9+(((A149)+1)/2)*(Inputs!$J$9-Inputs!$I$9)))/Inputs!$K$9)^2))*((2*Inputs!$L$9*((Inputs!$I$9+(((A149)+1)/2)*(Inputs!$J$9-Inputs!$I$9)))/(Inputs!$K$9^2)*Inputs!$C$11)))/(SQRT(((Inputs!$I$9+(((A149)+1)/2)*(Inputs!$J$9-Inputs!$I$9)))^2+Inputs!$C$6^2+((Inputs!$H$9+Inputs!$L$9*(((Inputs!$I$9+(((A149)+1)/2)*(Inputs!$J$9-Inputs!$I$9)))/Inputs!$K$9)^2))^2)))))/Inputs!$C$13),NA())</x:f>
        <x:v>-1799.0618646689668</x:v>
      </x:c>
      <x:c r="R149" s="49"/>
      <x:c r="S149" s="48" t="n">
        <x:f>A149</x:f>
        <x:v>0.225</x:v>
      </x:c>
      <x:c r="T149" s="48" t="n">
        <x:f>(Inputs!$I$6+(((A149)+1)/2)*(Inputs!$J$6-Inputs!$I$6))</x:f>
        <x:v>13.5</x:v>
      </x:c>
      <x:c r="U149" s="48" t="n">
        <x:f>(Inputs!$I$7+(((A149)+1)/2)*(Inputs!$J$7-Inputs!$I$7))</x:f>
        <x:v>90.00000000000006</x:v>
      </x:c>
      <x:c r="V149" s="48" t="n">
        <x:f>(Inputs!$I$8+(((A149)+1)/2)*(Inputs!$J$8-Inputs!$I$8))</x:f>
        <x:v>180.0000000000001</x:v>
      </x:c>
      <x:c r="W149" s="48" t="n">
        <x:f>(Inputs!$I$9+(((A149)+1)/2)*(Inputs!$J$9-Inputs!$I$9))</x:f>
        <x:v>180.0000000000001</x:v>
      </x:c>
      <x:c r="X149" s="49"/>
      <x:c r="Y149" s="48" t="n">
        <x:f>A149</x:f>
        <x:v>0.225</x:v>
      </x:c>
      <x:c r="Z149" s="48" t="n">
        <x:f>(Inputs!$H$6+Inputs!$L$6*(((Inputs!$I$6+(((A149)+1)/2)*(Inputs!$J$6-Inputs!$I$6)))/Inputs!$K$6)^2)</x:f>
        <x:v>400.2025</x:v>
      </x:c>
      <x:c r="AA149" s="48" t="n">
        <x:f>(Inputs!$H$7+Inputs!$L$7*(((Inputs!$I$7+(((A149)+1)/2)*(Inputs!$J$7-Inputs!$I$7)))/Inputs!$K$7)^2)</x:f>
        <x:v>53.47812500000002</x:v>
      </x:c>
      <x:c r="AB149" s="48" t="n">
        <x:f>(Inputs!$H$8+Inputs!$L$8*(((Inputs!$I$8+(((A149)+1)/2)*(Inputs!$J$8-Inputs!$I$8)))/Inputs!$K$8)^2)</x:f>
        <x:v>83.85312500000006</x:v>
      </x:c>
      <x:c r="AC149" s="48" t="n">
        <x:f>(Inputs!$H$9+Inputs!$L$9*(((Inputs!$I$9+(((A149)+1)/2)*(Inputs!$J$9-Inputs!$I$9)))/Inputs!$K$9)^2)</x:f>
        <x:v>74.35937500000006</x:v>
      </x:c>
      <x:c r="AD149" s="49"/>
      <x:c r="AE149" s="48" t="n">
        <x:f>A149</x:f>
        <x:v>0.225</x:v>
      </x:c>
      <x:c r="AF149" s="48" t="n">
        <x:f>(((SQRT(((Inputs!$I$6+(((A149)+1)/2)*(Inputs!$J$6-Inputs!$I$6)))^2+Inputs!$C$6^2+((Inputs!$H$6+Inputs!$L$6*(((Inputs!$I$6+(((A149)+1)/2)*(Inputs!$J$6-Inputs!$I$6)))/Inputs!$K$6)^2))^2))-((Inputs!$H$6+Inputs!$L$6*(((Inputs!$I$6+(((A149)+1)/2)*(Inputs!$J$6-Inputs!$I$6)))/Inputs!$K$6)^2)))*1000/Inputs!$C$12)</x:f>
        <x:v>565.8900479164877</x:v>
      </x:c>
      <x:c r="AG149" s="48" t="n">
        <x:f>(((SQRT(((Inputs!$I$7+(((A149)+1)/2)*(Inputs!$J$7-Inputs!$I$7)))^2+Inputs!$C$6^2+((Inputs!$H$7+Inputs!$L$7*(((Inputs!$I$7+(((A149)+1)/2)*(Inputs!$J$7-Inputs!$I$7)))/Inputs!$K$7)^2))^2))-((Inputs!$H$7+Inputs!$L$7*(((Inputs!$I$7+(((A149)+1)/2)*(Inputs!$J$7-Inputs!$I$7)))/Inputs!$K$7)^2)))*1000/Inputs!$C$12)</x:f>
        <x:v>30424.210167722536</x:v>
      </x:c>
      <x:c r="AH149" s="48" t="n">
        <x:f>(((SQRT(((Inputs!$I$8+(((A149)+1)/2)*(Inputs!$J$8-Inputs!$I$8)))^2+Inputs!$C$6^2+((Inputs!$H$8+Inputs!$L$8*(((Inputs!$I$8+(((A149)+1)/2)*(Inputs!$J$8-Inputs!$I$8)))/Inputs!$K$8)^2))^2))-((Inputs!$H$8+Inputs!$L$8*(((Inputs!$I$8+(((A149)+1)/2)*(Inputs!$J$8-Inputs!$I$8)))/Inputs!$K$8)^2)))*1000/Inputs!$C$12)</x:f>
        <x:v>65330.163964716834</x:v>
      </x:c>
      <x:c r="AI149" s="48" t="n">
        <x:f>(((SQRT(((Inputs!$I$9+(((A149)+1)/2)*(Inputs!$J$9-Inputs!$I$9)))^2+Inputs!$C$6^2+((Inputs!$H$9+Inputs!$L$9*(((Inputs!$I$9+(((A149)+1)/2)*(Inputs!$J$9-Inputs!$I$9)))/Inputs!$K$9)^2))^2))-((Inputs!$H$9+Inputs!$L$9*(((Inputs!$I$9+(((A149)+1)/2)*(Inputs!$J$9-Inputs!$I$9)))/Inputs!$K$9)^2)))*1000/Inputs!$C$12)</x:f>
        <x:v>68535.48121401227</x:v>
      </x:c>
      <x:c r="AJ149" s="49"/>
      <x:c r="AK149" s="48" t="n">
        <x:f>A149</x:f>
        <x:v>0.225</x:v>
      </x:c>
      <x:c r="AL149" s="48" t="n">
        <x:f>(-2*((1000*((((Inputs!$I$6+(((A149)+1)/2)*(Inputs!$J$6-Inputs!$I$6)))*Inputs!$C$11+((Inputs!$H$6+Inputs!$L$6*(((Inputs!$I$6+(((A149)+1)/2)*(Inputs!$J$6-Inputs!$I$6)))/Inputs!$K$6)^2))*((2*Inputs!$L$6*((Inputs!$I$6+(((A149)+1)/2)*(Inputs!$J$6-Inputs!$I$6)))/(Inputs!$K$6^2)*Inputs!$C$11)))/(SQRT(((Inputs!$I$6+(((A149)+1)/2)*(Inputs!$J$6-Inputs!$I$6)))^2+Inputs!$C$6^2+((Inputs!$H$6+Inputs!$L$6*(((Inputs!$I$6+(((A149)+1)/2)*(Inputs!$J$6-Inputs!$I$6)))/Inputs!$K$6)^2))^2)))))/Inputs!$C$13)</x:f>
        <x:v>-101.71666195204531</x:v>
      </x:c>
      <x:c r="AM149" s="48" t="n">
        <x:f>(-2*((1000*((((Inputs!$I$7+(((A149)+1)/2)*(Inputs!$J$7-Inputs!$I$7)))*Inputs!$C$11+((Inputs!$H$7+Inputs!$L$7*(((Inputs!$I$7+(((A149)+1)/2)*(Inputs!$J$7-Inputs!$I$7)))/Inputs!$K$7)^2))*((2*Inputs!$L$7*((Inputs!$I$7+(((A149)+1)/2)*(Inputs!$J$7-Inputs!$I$7)))/(Inputs!$K$7^2)*Inputs!$C$11)))/(SQRT(((Inputs!$I$7+(((A149)+1)/2)*(Inputs!$J$7-Inputs!$I$7)))^2+Inputs!$C$6^2+((Inputs!$H$7+Inputs!$L$7*(((Inputs!$I$7+(((A149)+1)/2)*(Inputs!$J$7-Inputs!$I$7)))/Inputs!$K$7)^2))^2)))))/Inputs!$C$13)</x:f>
        <x:v>-1664.3107920147656</x:v>
      </x:c>
      <x:c r="AN149" s="48" t="n">
        <x:f>(-2*((1000*((((Inputs!$I$8+(((A149)+1)/2)*(Inputs!$J$8-Inputs!$I$8)))*Inputs!$C$11+((Inputs!$H$8+Inputs!$L$8*(((Inputs!$I$8+(((A149)+1)/2)*(Inputs!$J$8-Inputs!$I$8)))/Inputs!$K$8)^2))*((2*Inputs!$L$8*((Inputs!$I$8+(((A149)+1)/2)*(Inputs!$J$8-Inputs!$I$8)))/(Inputs!$K$8^2)*Inputs!$C$11)))/(SQRT(((Inputs!$I$8+(((A149)+1)/2)*(Inputs!$J$8-Inputs!$I$8)))^2+Inputs!$C$6^2+((Inputs!$H$8+Inputs!$L$8*(((Inputs!$I$8+(((A149)+1)/2)*(Inputs!$J$8-Inputs!$I$8)))/Inputs!$K$8)^2))^2)))))/Inputs!$C$13)</x:f>
        <x:v>-1802.8628279255813</x:v>
      </x:c>
      <x:c r="AO149" s="48" t="n">
        <x:f>(-2*((1000*((((Inputs!$I$9+(((A149)+1)/2)*(Inputs!$J$9-Inputs!$I$9)))*Inputs!$C$11+((Inputs!$H$9+Inputs!$L$9*(((Inputs!$I$9+(((A149)+1)/2)*(Inputs!$J$9-Inputs!$I$9)))/Inputs!$K$9)^2))*((2*Inputs!$L$9*((Inputs!$I$9+(((A149)+1)/2)*(Inputs!$J$9-Inputs!$I$9)))/(Inputs!$K$9^2)*Inputs!$C$11)))/(SQRT(((Inputs!$I$9+(((A149)+1)/2)*(Inputs!$J$9-Inputs!$I$9)))^2+Inputs!$C$6^2+((Inputs!$H$9+Inputs!$L$9*(((Inputs!$I$9+(((A149)+1)/2)*(Inputs!$J$9-Inputs!$I$9)))/Inputs!$K$9)^2))^2)))))/Inputs!$C$13)</x:f>
        <x:v>-1799.0618646689668</x:v>
      </x:c>
    </x:row>
    <x:row r="150">
      <x:c r="A150" s="48" t="n">
        <x:f>ROUND(-1+148*2/240,3)</x:f>
        <x:v>0.233</x:v>
      </x:c>
      <x:c r="B150" s="48" t="n">
        <x:f>IF(OR(Inputs!$F$6=TRUE,Inputs!$F$6="TRUE",Inputs!$F$6=1),(Inputs!$H$6+Inputs!$L$6*(((Inputs!$I$6+(((A150)+1)/2)*(Inputs!$J$6-Inputs!$I$6)))/Inputs!$K$6)^2),NA())</x:f>
        <x:v>400.217156</x:v>
      </x:c>
      <x:c r="C150" s="48" t="n">
        <x:f>IF(OR(Inputs!$F$7=TRUE,Inputs!$F$7="TRUE",Inputs!$F$7=1),(Inputs!$H$7+Inputs!$L$7*(((Inputs!$I$7+(((A150)+1)/2)*(Inputs!$J$7-Inputs!$I$7)))/Inputs!$K$7)^2),NA())</x:f>
        <x:v>54.815485000000024</x:v>
      </x:c>
      <x:c r="D150" s="48" t="n">
        <x:f>IF(OR(Inputs!$F$8=TRUE,Inputs!$F$8="TRUE",Inputs!$F$8=1),(Inputs!$H$8+Inputs!$L$8*(((Inputs!$I$8+(((A150)+1)/2)*(Inputs!$J$8-Inputs!$I$8)))/Inputs!$K$8)^2),NA())</x:f>
        <x:v>87.38888500000006</x:v>
      </x:c>
      <x:c r="E150" s="48" t="n">
        <x:f>IF(OR(Inputs!$F$9=TRUE,Inputs!$F$9="TRUE",Inputs!$F$9=1),(Inputs!$H$9+Inputs!$L$9*(((Inputs!$I$9+(((A150)+1)/2)*(Inputs!$J$9-Inputs!$I$9)))/Inputs!$K$9)^2),NA())</x:f>
        <x:v>77.93177500000006</x:v>
      </x:c>
      <x:c r="F150" s="49"/>
      <x:c r="G150" s="48" t="n">
        <x:f>A150</x:f>
        <x:v>0.233</x:v>
      </x:c>
      <x:c r="H150" s="48" t="n">
        <x:f>IF(OR(Inputs!$F$6=TRUE,Inputs!$F$6="TRUE",Inputs!$F$6=1),(((SQRT(((Inputs!$I$6+(((A150)+1)/2)*(Inputs!$J$6-Inputs!$I$6)))^2+Inputs!$C$6^2+((Inputs!$H$6+Inputs!$L$6*(((Inputs!$I$6+(((A150)+1)/2)*(Inputs!$J$6-Inputs!$I$6)))/Inputs!$K$6)^2))^2))-((Inputs!$H$6+Inputs!$L$6*(((Inputs!$I$6+(((A150)+1)/2)*(Inputs!$J$6-Inputs!$I$6)))/Inputs!$K$6)^2)))*1000/Inputs!$C$12),NA())</x:f>
        <x:v>575.1038418132177</x:v>
      </x:c>
      <x:c r="I150" s="48" t="n">
        <x:f>IF(OR(Inputs!$F$7=TRUE,Inputs!$F$7="TRUE",Inputs!$F$7=1),(((SQRT(((Inputs!$I$7+(((A150)+1)/2)*(Inputs!$J$7-Inputs!$I$7)))^2+Inputs!$C$6^2+((Inputs!$H$7+Inputs!$L$7*(((Inputs!$I$7+(((A150)+1)/2)*(Inputs!$J$7-Inputs!$I$7)))/Inputs!$K$7)^2))^2))-((Inputs!$H$7+Inputs!$L$7*(((Inputs!$I$7+(((A150)+1)/2)*(Inputs!$J$7-Inputs!$I$7)))/Inputs!$K$7)^2)))*1000/Inputs!$C$12),NA())</x:f>
        <x:v>31551.622668842916</x:v>
      </x:c>
      <x:c r="J150" s="48" t="n">
        <x:f>IF(OR(Inputs!$F$8=TRUE,Inputs!$F$8="TRUE",Inputs!$F$8=1),(((SQRT(((Inputs!$I$8+(((A150)+1)/2)*(Inputs!$J$8-Inputs!$I$8)))^2+Inputs!$C$6^2+((Inputs!$H$8+Inputs!$L$8*(((Inputs!$I$8+(((A150)+1)/2)*(Inputs!$J$8-Inputs!$I$8)))/Inputs!$K$8)^2))^2))-((Inputs!$H$8+Inputs!$L$8*(((Inputs!$I$8+(((A150)+1)/2)*(Inputs!$J$8-Inputs!$I$8)))/Inputs!$K$8)^2)))*1000/Inputs!$C$12),NA())</x:f>
        <x:v>67411.16248407688</x:v>
      </x:c>
      <x:c r="K150" s="48" t="n">
        <x:f>IF(OR(Inputs!$F$9=TRUE,Inputs!$F$9="TRUE",Inputs!$F$9=1),(((SQRT(((Inputs!$I$9+(((A150)+1)/2)*(Inputs!$J$9-Inputs!$I$9)))^2+Inputs!$C$6^2+((Inputs!$H$9+Inputs!$L$9*(((Inputs!$I$9+(((A150)+1)/2)*(Inputs!$J$9-Inputs!$I$9)))/Inputs!$K$9)^2))^2))-((Inputs!$H$9+Inputs!$L$9*(((Inputs!$I$9+(((A150)+1)/2)*(Inputs!$J$9-Inputs!$I$9)))/Inputs!$K$9)^2)))*1000/Inputs!$C$12),NA())</x:f>
        <x:v>70586.82784915637</x:v>
      </x:c>
      <x:c r="L150" s="49"/>
      <x:c r="M150" s="48" t="n">
        <x:f>A150</x:f>
        <x:v>0.233</x:v>
      </x:c>
      <x:c r="N150" s="48" t="n">
        <x:f>IF(OR(Inputs!$F$6=TRUE,Inputs!$F$6="TRUE",Inputs!$F$6=1),(-2*((1000*((((Inputs!$I$6+(((A150)+1)/2)*(Inputs!$J$6-Inputs!$I$6)))*Inputs!$C$11+((Inputs!$H$6+Inputs!$L$6*(((Inputs!$I$6+(((A150)+1)/2)*(Inputs!$J$6-Inputs!$I$6)))/Inputs!$K$6)^2))*((2*Inputs!$L$6*((Inputs!$I$6+(((A150)+1)/2)*(Inputs!$J$6-Inputs!$I$6)))/(Inputs!$K$6^2)*Inputs!$C$11)))/(SQRT(((Inputs!$I$6+(((A150)+1)/2)*(Inputs!$J$6-Inputs!$I$6)))^2+Inputs!$C$6^2+((Inputs!$H$6+Inputs!$L$6*(((Inputs!$I$6+(((A150)+1)/2)*(Inputs!$J$6-Inputs!$I$6)))/Inputs!$K$6)^2))^2)))))/Inputs!$C$13),NA())</x:f>
        <x:v>-105.32691706872201</x:v>
      </x:c>
      <x:c r="O150" s="48" t="n">
        <x:f>IF(OR(Inputs!$F$7=TRUE,Inputs!$F$7="TRUE",Inputs!$F$7=1),(-2*((1000*((((Inputs!$I$7+(((A150)+1)/2)*(Inputs!$J$7-Inputs!$I$7)))*Inputs!$C$11+((Inputs!$H$7+Inputs!$L$7*(((Inputs!$I$7+(((A150)+1)/2)*(Inputs!$J$7-Inputs!$I$7)))/Inputs!$K$7)^2))*((2*Inputs!$L$7*((Inputs!$I$7+(((A150)+1)/2)*(Inputs!$J$7-Inputs!$I$7)))/(Inputs!$K$7^2)*Inputs!$C$11)))/(SQRT(((Inputs!$I$7+(((A150)+1)/2)*(Inputs!$J$7-Inputs!$I$7)))^2+Inputs!$C$6^2+((Inputs!$H$7+Inputs!$L$7*(((Inputs!$I$7+(((A150)+1)/2)*(Inputs!$J$7-Inputs!$I$7)))/Inputs!$K$7)^2))^2)))))/Inputs!$C$13),NA())</x:f>
        <x:v>-1679.7501846234886</x:v>
      </x:c>
      <x:c r="P150" s="48" t="n">
        <x:f>IF(OR(Inputs!$F$8=TRUE,Inputs!$F$8="TRUE",Inputs!$F$8=1),(-2*((1000*((((Inputs!$I$8+(((A150)+1)/2)*(Inputs!$J$8-Inputs!$I$8)))*Inputs!$C$11+((Inputs!$H$8+Inputs!$L$8*(((Inputs!$I$8+(((A150)+1)/2)*(Inputs!$J$8-Inputs!$I$8)))/Inputs!$K$8)^2))*((2*Inputs!$L$8*((Inputs!$I$8+(((A150)+1)/2)*(Inputs!$J$8-Inputs!$I$8)))/(Inputs!$K$8^2)*Inputs!$C$11)))/(SQRT(((Inputs!$I$8+(((A150)+1)/2)*(Inputs!$J$8-Inputs!$I$8)))^2+Inputs!$C$6^2+((Inputs!$H$8+Inputs!$L$8*(((Inputs!$I$8+(((A150)+1)/2)*(Inputs!$J$8-Inputs!$I$8)))/Inputs!$K$8)^2))^2)))))/Inputs!$C$13),NA())</x:f>
        <x:v>-1817.1204787331565</x:v>
      </x:c>
      <x:c r="Q150" s="48" t="n">
        <x:f>IF(OR(Inputs!$F$9=TRUE,Inputs!$F$9="TRUE",Inputs!$F$9=1),(-2*((1000*((((Inputs!$I$9+(((A150)+1)/2)*(Inputs!$J$9-Inputs!$I$9)))*Inputs!$C$11+((Inputs!$H$9+Inputs!$L$9*(((Inputs!$I$9+(((A150)+1)/2)*(Inputs!$J$9-Inputs!$I$9)))/Inputs!$K$9)^2))*((2*Inputs!$L$9*((Inputs!$I$9+(((A150)+1)/2)*(Inputs!$J$9-Inputs!$I$9)))/(Inputs!$K$9^2)*Inputs!$C$11)))/(SQRT(((Inputs!$I$9+(((A150)+1)/2)*(Inputs!$J$9-Inputs!$I$9)))^2+Inputs!$C$6^2+((Inputs!$H$9+Inputs!$L$9*(((Inputs!$I$9+(((A150)+1)/2)*(Inputs!$J$9-Inputs!$I$9)))/Inputs!$K$9)^2))^2)))))/Inputs!$C$13),NA())</x:f>
        <x:v>-1812.86599739853</x:v>
      </x:c>
      <x:c r="R150" s="49"/>
      <x:c r="S150" s="48" t="n">
        <x:f>A150</x:f>
        <x:v>0.233</x:v>
      </x:c>
      <x:c r="T150" s="48" t="n">
        <x:f>(Inputs!$I$6+(((A150)+1)/2)*(Inputs!$J$6-Inputs!$I$6))</x:f>
        <x:v>13.980000000000004</x:v>
      </x:c>
      <x:c r="U150" s="48" t="n">
        <x:f>(Inputs!$I$7+(((A150)+1)/2)*(Inputs!$J$7-Inputs!$I$7))</x:f>
        <x:v>93.20000000000005</x:v>
      </x:c>
      <x:c r="V150" s="48" t="n">
        <x:f>(Inputs!$I$8+(((A150)+1)/2)*(Inputs!$J$8-Inputs!$I$8))</x:f>
        <x:v>186.4000000000001</x:v>
      </x:c>
      <x:c r="W150" s="48" t="n">
        <x:f>(Inputs!$I$9+(((A150)+1)/2)*(Inputs!$J$9-Inputs!$I$9))</x:f>
        <x:v>186.4000000000001</x:v>
      </x:c>
      <x:c r="X150" s="49"/>
      <x:c r="Y150" s="48" t="n">
        <x:f>A150</x:f>
        <x:v>0.233</x:v>
      </x:c>
      <x:c r="Z150" s="48" t="n">
        <x:f>(Inputs!$H$6+Inputs!$L$6*(((Inputs!$I$6+(((A150)+1)/2)*(Inputs!$J$6-Inputs!$I$6)))/Inputs!$K$6)^2)</x:f>
        <x:v>400.217156</x:v>
      </x:c>
      <x:c r="AA150" s="48" t="n">
        <x:f>(Inputs!$H$7+Inputs!$L$7*(((Inputs!$I$7+(((A150)+1)/2)*(Inputs!$J$7-Inputs!$I$7)))/Inputs!$K$7)^2)</x:f>
        <x:v>54.815485000000024</x:v>
      </x:c>
      <x:c r="AB150" s="48" t="n">
        <x:f>(Inputs!$H$8+Inputs!$L$8*(((Inputs!$I$8+(((A150)+1)/2)*(Inputs!$J$8-Inputs!$I$8)))/Inputs!$K$8)^2)</x:f>
        <x:v>87.38888500000006</x:v>
      </x:c>
      <x:c r="AC150" s="48" t="n">
        <x:f>(Inputs!$H$9+Inputs!$L$9*(((Inputs!$I$9+(((A150)+1)/2)*(Inputs!$J$9-Inputs!$I$9)))/Inputs!$K$9)^2)</x:f>
        <x:v>77.93177500000006</x:v>
      </x:c>
      <x:c r="AD150" s="49"/>
      <x:c r="AE150" s="48" t="n">
        <x:f>A150</x:f>
        <x:v>0.233</x:v>
      </x:c>
      <x:c r="AF150" s="48" t="n">
        <x:f>(((SQRT(((Inputs!$I$6+(((A150)+1)/2)*(Inputs!$J$6-Inputs!$I$6)))^2+Inputs!$C$6^2+((Inputs!$H$6+Inputs!$L$6*(((Inputs!$I$6+(((A150)+1)/2)*(Inputs!$J$6-Inputs!$I$6)))/Inputs!$K$6)^2))^2))-((Inputs!$H$6+Inputs!$L$6*(((Inputs!$I$6+(((A150)+1)/2)*(Inputs!$J$6-Inputs!$I$6)))/Inputs!$K$6)^2)))*1000/Inputs!$C$12)</x:f>
        <x:v>575.1038418132177</x:v>
      </x:c>
      <x:c r="AG150" s="48" t="n">
        <x:f>(((SQRT(((Inputs!$I$7+(((A150)+1)/2)*(Inputs!$J$7-Inputs!$I$7)))^2+Inputs!$C$6^2+((Inputs!$H$7+Inputs!$L$7*(((Inputs!$I$7+(((A150)+1)/2)*(Inputs!$J$7-Inputs!$I$7)))/Inputs!$K$7)^2))^2))-((Inputs!$H$7+Inputs!$L$7*(((Inputs!$I$7+(((A150)+1)/2)*(Inputs!$J$7-Inputs!$I$7)))/Inputs!$K$7)^2)))*1000/Inputs!$C$12)</x:f>
        <x:v>31551.622668842916</x:v>
      </x:c>
      <x:c r="AH150" s="48" t="n">
        <x:f>(((SQRT(((Inputs!$I$8+(((A150)+1)/2)*(Inputs!$J$8-Inputs!$I$8)))^2+Inputs!$C$6^2+((Inputs!$H$8+Inputs!$L$8*(((Inputs!$I$8+(((A150)+1)/2)*(Inputs!$J$8-Inputs!$I$8)))/Inputs!$K$8)^2))^2))-((Inputs!$H$8+Inputs!$L$8*(((Inputs!$I$8+(((A150)+1)/2)*(Inputs!$J$8-Inputs!$I$8)))/Inputs!$K$8)^2)))*1000/Inputs!$C$12)</x:f>
        <x:v>67411.16248407688</x:v>
      </x:c>
      <x:c r="AI150" s="48" t="n">
        <x:f>(((SQRT(((Inputs!$I$9+(((A150)+1)/2)*(Inputs!$J$9-Inputs!$I$9)))^2+Inputs!$C$6^2+((Inputs!$H$9+Inputs!$L$9*(((Inputs!$I$9+(((A150)+1)/2)*(Inputs!$J$9-Inputs!$I$9)))/Inputs!$K$9)^2))^2))-((Inputs!$H$9+Inputs!$L$9*(((Inputs!$I$9+(((A150)+1)/2)*(Inputs!$J$9-Inputs!$I$9)))/Inputs!$K$9)^2)))*1000/Inputs!$C$12)</x:f>
        <x:v>70586.82784915637</x:v>
      </x:c>
      <x:c r="AJ150" s="49"/>
      <x:c r="AK150" s="48" t="n">
        <x:f>A150</x:f>
        <x:v>0.233</x:v>
      </x:c>
      <x:c r="AL150" s="48" t="n">
        <x:f>(-2*((1000*((((Inputs!$I$6+(((A150)+1)/2)*(Inputs!$J$6-Inputs!$I$6)))*Inputs!$C$11+((Inputs!$H$6+Inputs!$L$6*(((Inputs!$I$6+(((A150)+1)/2)*(Inputs!$J$6-Inputs!$I$6)))/Inputs!$K$6)^2))*((2*Inputs!$L$6*((Inputs!$I$6+(((A150)+1)/2)*(Inputs!$J$6-Inputs!$I$6)))/(Inputs!$K$6^2)*Inputs!$C$11)))/(SQRT(((Inputs!$I$6+(((A150)+1)/2)*(Inputs!$J$6-Inputs!$I$6)))^2+Inputs!$C$6^2+((Inputs!$H$6+Inputs!$L$6*(((Inputs!$I$6+(((A150)+1)/2)*(Inputs!$J$6-Inputs!$I$6)))/Inputs!$K$6)^2))^2)))))/Inputs!$C$13)</x:f>
        <x:v>-105.32691706872201</x:v>
      </x:c>
      <x:c r="AM150" s="48" t="n">
        <x:f>(-2*((1000*((((Inputs!$I$7+(((A150)+1)/2)*(Inputs!$J$7-Inputs!$I$7)))*Inputs!$C$11+((Inputs!$H$7+Inputs!$L$7*(((Inputs!$I$7+(((A150)+1)/2)*(Inputs!$J$7-Inputs!$I$7)))/Inputs!$K$7)^2))*((2*Inputs!$L$7*((Inputs!$I$7+(((A150)+1)/2)*(Inputs!$J$7-Inputs!$I$7)))/(Inputs!$K$7^2)*Inputs!$C$11)))/(SQRT(((Inputs!$I$7+(((A150)+1)/2)*(Inputs!$J$7-Inputs!$I$7)))^2+Inputs!$C$6^2+((Inputs!$H$7+Inputs!$L$7*(((Inputs!$I$7+(((A150)+1)/2)*(Inputs!$J$7-Inputs!$I$7)))/Inputs!$K$7)^2))^2)))))/Inputs!$C$13)</x:f>
        <x:v>-1679.7501846234886</x:v>
      </x:c>
      <x:c r="AN150" s="48" t="n">
        <x:f>(-2*((1000*((((Inputs!$I$8+(((A150)+1)/2)*(Inputs!$J$8-Inputs!$I$8)))*Inputs!$C$11+((Inputs!$H$8+Inputs!$L$8*(((Inputs!$I$8+(((A150)+1)/2)*(Inputs!$J$8-Inputs!$I$8)))/Inputs!$K$8)^2))*((2*Inputs!$L$8*((Inputs!$I$8+(((A150)+1)/2)*(Inputs!$J$8-Inputs!$I$8)))/(Inputs!$K$8^2)*Inputs!$C$11)))/(SQRT(((Inputs!$I$8+(((A150)+1)/2)*(Inputs!$J$8-Inputs!$I$8)))^2+Inputs!$C$6^2+((Inputs!$H$8+Inputs!$L$8*(((Inputs!$I$8+(((A150)+1)/2)*(Inputs!$J$8-Inputs!$I$8)))/Inputs!$K$8)^2))^2)))))/Inputs!$C$13)</x:f>
        <x:v>-1817.1204787331565</x:v>
      </x:c>
      <x:c r="AO150" s="48" t="n">
        <x:f>(-2*((1000*((((Inputs!$I$9+(((A150)+1)/2)*(Inputs!$J$9-Inputs!$I$9)))*Inputs!$C$11+((Inputs!$H$9+Inputs!$L$9*(((Inputs!$I$9+(((A150)+1)/2)*(Inputs!$J$9-Inputs!$I$9)))/Inputs!$K$9)^2))*((2*Inputs!$L$9*((Inputs!$I$9+(((A150)+1)/2)*(Inputs!$J$9-Inputs!$I$9)))/(Inputs!$K$9^2)*Inputs!$C$11)))/(SQRT(((Inputs!$I$9+(((A150)+1)/2)*(Inputs!$J$9-Inputs!$I$9)))^2+Inputs!$C$6^2+((Inputs!$H$9+Inputs!$L$9*(((Inputs!$I$9+(((A150)+1)/2)*(Inputs!$J$9-Inputs!$I$9)))/Inputs!$K$9)^2))^2)))))/Inputs!$C$13)</x:f>
        <x:v>-1812.86599739853</x:v>
      </x:c>
    </x:row>
    <x:row r="151">
      <x:c r="A151" s="48" t="n">
        <x:f>ROUND(-1+149*2/240,3)</x:f>
        <x:v>0.242</x:v>
      </x:c>
      <x:c r="B151" s="48" t="n">
        <x:f>IF(OR(Inputs!$F$6=TRUE,Inputs!$F$6="TRUE",Inputs!$F$6=1),(Inputs!$H$6+Inputs!$L$6*(((Inputs!$I$6+(((A151)+1)/2)*(Inputs!$J$6-Inputs!$I$6)))/Inputs!$K$6)^2),NA())</x:f>
        <x:v>400.234256</x:v>
      </x:c>
      <x:c r="C151" s="48" t="n">
        <x:f>IF(OR(Inputs!$F$7=TRUE,Inputs!$F$7="TRUE",Inputs!$F$7=1),(Inputs!$H$7+Inputs!$L$7*(((Inputs!$I$7+(((A151)+1)/2)*(Inputs!$J$7-Inputs!$I$7)))/Inputs!$K$7)^2),NA())</x:f>
        <x:v>56.37586</x:v>
      </x:c>
      <x:c r="D151" s="48" t="n">
        <x:f>IF(OR(Inputs!$F$8=TRUE,Inputs!$F$8="TRUE",Inputs!$F$8=1),(Inputs!$H$8+Inputs!$L$8*(((Inputs!$I$8+(((A151)+1)/2)*(Inputs!$J$8-Inputs!$I$8)))/Inputs!$K$8)^2),NA())</x:f>
        <x:v>91.51426000000001</x:v>
      </x:c>
      <x:c r="E151" s="48" t="n">
        <x:f>IF(OR(Inputs!$F$9=TRUE,Inputs!$F$9="TRUE",Inputs!$F$9=1),(Inputs!$H$9+Inputs!$L$9*(((Inputs!$I$9+(((A151)+1)/2)*(Inputs!$J$9-Inputs!$I$9)))/Inputs!$K$9)^2),NA())</x:f>
        <x:v>82.09990000000002</x:v>
      </x:c>
      <x:c r="F151" s="49"/>
      <x:c r="G151" s="48" t="n">
        <x:f>A151</x:f>
        <x:v>0.242</x:v>
      </x:c>
      <x:c r="H151" s="48" t="n">
        <x:f>IF(OR(Inputs!$F$6=TRUE,Inputs!$F$6="TRUE",Inputs!$F$6=1),(((SQRT(((Inputs!$I$6+(((A151)+1)/2)*(Inputs!$J$6-Inputs!$I$6)))^2+Inputs!$C$6^2+((Inputs!$H$6+Inputs!$L$6*(((Inputs!$I$6+(((A151)+1)/2)*(Inputs!$J$6-Inputs!$I$6)))/Inputs!$K$6)^2))^2))-((Inputs!$H$6+Inputs!$L$6*(((Inputs!$I$6+(((A151)+1)/2)*(Inputs!$J$6-Inputs!$I$6)))/Inputs!$K$6)^2)))*1000/Inputs!$C$12),NA())</x:f>
        <x:v>585.852779498692</x:v>
      </x:c>
      <x:c r="I151" s="48" t="n">
        <x:f>IF(OR(Inputs!$F$7=TRUE,Inputs!$F$7="TRUE",Inputs!$F$7=1),(((SQRT(((Inputs!$I$7+(((A151)+1)/2)*(Inputs!$J$7-Inputs!$I$7)))^2+Inputs!$C$6^2+((Inputs!$H$7+Inputs!$L$7*(((Inputs!$I$7+(((A151)+1)/2)*(Inputs!$J$7-Inputs!$I$7)))/Inputs!$K$7)^2))^2))-((Inputs!$H$7+Inputs!$L$7*(((Inputs!$I$7+(((A151)+1)/2)*(Inputs!$J$7-Inputs!$I$7)))/Inputs!$K$7)^2)))*1000/Inputs!$C$12),NA())</x:f>
        <x:v>32808.93872022516</x:v>
      </x:c>
      <x:c r="J151" s="48" t="n">
        <x:f>IF(OR(Inputs!$F$8=TRUE,Inputs!$F$8="TRUE",Inputs!$F$8=1),(((SQRT(((Inputs!$I$8+(((A151)+1)/2)*(Inputs!$J$8-Inputs!$I$8)))^2+Inputs!$C$6^2+((Inputs!$H$8+Inputs!$L$8*(((Inputs!$I$8+(((A151)+1)/2)*(Inputs!$J$8-Inputs!$I$8)))/Inputs!$K$8)^2))^2))-((Inputs!$H$8+Inputs!$L$8*(((Inputs!$I$8+(((A151)+1)/2)*(Inputs!$J$8-Inputs!$I$8)))/Inputs!$K$8)^2)))*1000/Inputs!$C$12),NA())</x:f>
        <x:v>69707.78026912392</x:v>
      </x:c>
      <x:c r="K151" s="48" t="n">
        <x:f>IF(OR(Inputs!$F$9=TRUE,Inputs!$F$9="TRUE",Inputs!$F$9=1),(((SQRT(((Inputs!$I$9+(((A151)+1)/2)*(Inputs!$J$9-Inputs!$I$9)))^2+Inputs!$C$6^2+((Inputs!$H$9+Inputs!$L$9*(((Inputs!$I$9+(((A151)+1)/2)*(Inputs!$J$9-Inputs!$I$9)))/Inputs!$K$9)^2))^2))-((Inputs!$H$9+Inputs!$L$9*(((Inputs!$I$9+(((A151)+1)/2)*(Inputs!$J$9-Inputs!$I$9)))/Inputs!$K$9)^2)))*1000/Inputs!$C$12),NA())</x:f>
        <x:v>72848.1329301913</x:v>
      </x:c>
      <x:c r="L151" s="49"/>
      <x:c r="M151" s="48" t="n">
        <x:f>A151</x:f>
        <x:v>0.242</x:v>
      </x:c>
      <x:c r="N151" s="48" t="n">
        <x:f>IF(OR(Inputs!$F$6=TRUE,Inputs!$F$6="TRUE",Inputs!$F$6=1),(-2*((1000*((((Inputs!$I$6+(((A151)+1)/2)*(Inputs!$J$6-Inputs!$I$6)))*Inputs!$C$11+((Inputs!$H$6+Inputs!$L$6*(((Inputs!$I$6+(((A151)+1)/2)*(Inputs!$J$6-Inputs!$I$6)))/Inputs!$K$6)^2))*((2*Inputs!$L$6*((Inputs!$I$6+(((A151)+1)/2)*(Inputs!$J$6-Inputs!$I$6)))/(Inputs!$K$6^2)*Inputs!$C$11)))/(SQRT(((Inputs!$I$6+(((A151)+1)/2)*(Inputs!$J$6-Inputs!$I$6)))^2+Inputs!$C$6^2+((Inputs!$H$6+Inputs!$L$6*(((Inputs!$I$6+(((A151)+1)/2)*(Inputs!$J$6-Inputs!$I$6)))/Inputs!$K$6)^2))^2)))))/Inputs!$C$13),NA())</x:f>
        <x:v>-109.38766097769974</x:v>
      </x:c>
      <x:c r="O151" s="48" t="n">
        <x:f>IF(OR(Inputs!$F$7=TRUE,Inputs!$F$7="TRUE",Inputs!$F$7=1),(-2*((1000*((((Inputs!$I$7+(((A151)+1)/2)*(Inputs!$J$7-Inputs!$I$7)))*Inputs!$C$11+((Inputs!$H$7+Inputs!$L$7*(((Inputs!$I$7+(((A151)+1)/2)*(Inputs!$J$7-Inputs!$I$7)))/Inputs!$K$7)^2))*((2*Inputs!$L$7*((Inputs!$I$7+(((A151)+1)/2)*(Inputs!$J$7-Inputs!$I$7)))/(Inputs!$K$7^2)*Inputs!$C$11)))/(SQRT(((Inputs!$I$7+(((A151)+1)/2)*(Inputs!$J$7-Inputs!$I$7)))^2+Inputs!$C$6^2+((Inputs!$H$7+Inputs!$L$7*(((Inputs!$I$7+(((A151)+1)/2)*(Inputs!$J$7-Inputs!$I$7)))/Inputs!$K$7)^2))^2)))))/Inputs!$C$13),NA())</x:f>
        <x:v>-1696.5029826959376</x:v>
      </x:c>
      <x:c r="P151" s="48" t="n">
        <x:f>IF(OR(Inputs!$F$8=TRUE,Inputs!$F$8="TRUE",Inputs!$F$8=1),(-2*((1000*((((Inputs!$I$8+(((A151)+1)/2)*(Inputs!$J$8-Inputs!$I$8)))*Inputs!$C$11+((Inputs!$H$8+Inputs!$L$8*(((Inputs!$I$8+(((A151)+1)/2)*(Inputs!$J$8-Inputs!$I$8)))/Inputs!$K$8)^2))*((2*Inputs!$L$8*((Inputs!$I$8+(((A151)+1)/2)*(Inputs!$J$8-Inputs!$I$8)))/(Inputs!$K$8^2)*Inputs!$C$11)))/(SQRT(((Inputs!$I$8+(((A151)+1)/2)*(Inputs!$J$8-Inputs!$I$8)))^2+Inputs!$C$6^2+((Inputs!$H$8+Inputs!$L$8*(((Inputs!$I$8+(((A151)+1)/2)*(Inputs!$J$8-Inputs!$I$8)))/Inputs!$K$8)^2))^2)))))/Inputs!$C$13),NA())</x:f>
        <x:v>-1833.2843258391306</x:v>
      </x:c>
      <x:c r="Q151" s="48" t="n">
        <x:f>IF(OR(Inputs!$F$9=TRUE,Inputs!$F$9="TRUE",Inputs!$F$9=1),(-2*((1000*((((Inputs!$I$9+(((A151)+1)/2)*(Inputs!$J$9-Inputs!$I$9)))*Inputs!$C$11+((Inputs!$H$9+Inputs!$L$9*(((Inputs!$I$9+(((A151)+1)/2)*(Inputs!$J$9-Inputs!$I$9)))/Inputs!$K$9)^2))*((2*Inputs!$L$9*((Inputs!$I$9+(((A151)+1)/2)*(Inputs!$J$9-Inputs!$I$9)))/(Inputs!$K$9^2)*Inputs!$C$11)))/(SQRT(((Inputs!$I$9+(((A151)+1)/2)*(Inputs!$J$9-Inputs!$I$9)))^2+Inputs!$C$6^2+((Inputs!$H$9+Inputs!$L$9*(((Inputs!$I$9+(((A151)+1)/2)*(Inputs!$J$9-Inputs!$I$9)))/Inputs!$K$9)^2))^2)))))/Inputs!$C$13),NA())</x:f>
        <x:v>-1828.6190670469357</x:v>
      </x:c>
      <x:c r="R151" s="49"/>
      <x:c r="S151" s="48" t="n">
        <x:f>A151</x:f>
        <x:v>0.242</x:v>
      </x:c>
      <x:c r="T151" s="48" t="n">
        <x:f>(Inputs!$I$6+(((A151)+1)/2)*(Inputs!$J$6-Inputs!$I$6))</x:f>
        <x:v>14.519999999999996</x:v>
      </x:c>
      <x:c r="U151" s="48" t="n">
        <x:f>(Inputs!$I$7+(((A151)+1)/2)*(Inputs!$J$7-Inputs!$I$7))</x:f>
        <x:v>96.80000000000001</x:v>
      </x:c>
      <x:c r="V151" s="48" t="n">
        <x:f>(Inputs!$I$8+(((A151)+1)/2)*(Inputs!$J$8-Inputs!$I$8))</x:f>
        <x:v>193.60000000000002</x:v>
      </x:c>
      <x:c r="W151" s="48" t="n">
        <x:f>(Inputs!$I$9+(((A151)+1)/2)*(Inputs!$J$9-Inputs!$I$9))</x:f>
        <x:v>193.60000000000002</x:v>
      </x:c>
      <x:c r="X151" s="49"/>
      <x:c r="Y151" s="48" t="n">
        <x:f>A151</x:f>
        <x:v>0.242</x:v>
      </x:c>
      <x:c r="Z151" s="48" t="n">
        <x:f>(Inputs!$H$6+Inputs!$L$6*(((Inputs!$I$6+(((A151)+1)/2)*(Inputs!$J$6-Inputs!$I$6)))/Inputs!$K$6)^2)</x:f>
        <x:v>400.234256</x:v>
      </x:c>
      <x:c r="AA151" s="48" t="n">
        <x:f>(Inputs!$H$7+Inputs!$L$7*(((Inputs!$I$7+(((A151)+1)/2)*(Inputs!$J$7-Inputs!$I$7)))/Inputs!$K$7)^2)</x:f>
        <x:v>56.37586</x:v>
      </x:c>
      <x:c r="AB151" s="48" t="n">
        <x:f>(Inputs!$H$8+Inputs!$L$8*(((Inputs!$I$8+(((A151)+1)/2)*(Inputs!$J$8-Inputs!$I$8)))/Inputs!$K$8)^2)</x:f>
        <x:v>91.51426000000001</x:v>
      </x:c>
      <x:c r="AC151" s="48" t="n">
        <x:f>(Inputs!$H$9+Inputs!$L$9*(((Inputs!$I$9+(((A151)+1)/2)*(Inputs!$J$9-Inputs!$I$9)))/Inputs!$K$9)^2)</x:f>
        <x:v>82.09990000000002</x:v>
      </x:c>
      <x:c r="AD151" s="49"/>
      <x:c r="AE151" s="48" t="n">
        <x:f>A151</x:f>
        <x:v>0.242</x:v>
      </x:c>
      <x:c r="AF151" s="48" t="n">
        <x:f>(((SQRT(((Inputs!$I$6+(((A151)+1)/2)*(Inputs!$J$6-Inputs!$I$6)))^2+Inputs!$C$6^2+((Inputs!$H$6+Inputs!$L$6*(((Inputs!$I$6+(((A151)+1)/2)*(Inputs!$J$6-Inputs!$I$6)))/Inputs!$K$6)^2))^2))-((Inputs!$H$6+Inputs!$L$6*(((Inputs!$I$6+(((A151)+1)/2)*(Inputs!$J$6-Inputs!$I$6)))/Inputs!$K$6)^2)))*1000/Inputs!$C$12)</x:f>
        <x:v>585.852779498692</x:v>
      </x:c>
      <x:c r="AG151" s="48" t="n">
        <x:f>(((SQRT(((Inputs!$I$7+(((A151)+1)/2)*(Inputs!$J$7-Inputs!$I$7)))^2+Inputs!$C$6^2+((Inputs!$H$7+Inputs!$L$7*(((Inputs!$I$7+(((A151)+1)/2)*(Inputs!$J$7-Inputs!$I$7)))/Inputs!$K$7)^2))^2))-((Inputs!$H$7+Inputs!$L$7*(((Inputs!$I$7+(((A151)+1)/2)*(Inputs!$J$7-Inputs!$I$7)))/Inputs!$K$7)^2)))*1000/Inputs!$C$12)</x:f>
        <x:v>32808.93872022516</x:v>
      </x:c>
      <x:c r="AH151" s="48" t="n">
        <x:f>(((SQRT(((Inputs!$I$8+(((A151)+1)/2)*(Inputs!$J$8-Inputs!$I$8)))^2+Inputs!$C$6^2+((Inputs!$H$8+Inputs!$L$8*(((Inputs!$I$8+(((A151)+1)/2)*(Inputs!$J$8-Inputs!$I$8)))/Inputs!$K$8)^2))^2))-((Inputs!$H$8+Inputs!$L$8*(((Inputs!$I$8+(((A151)+1)/2)*(Inputs!$J$8-Inputs!$I$8)))/Inputs!$K$8)^2)))*1000/Inputs!$C$12)</x:f>
        <x:v>69707.78026912392</x:v>
      </x:c>
      <x:c r="AI151" s="48" t="n">
        <x:f>(((SQRT(((Inputs!$I$9+(((A151)+1)/2)*(Inputs!$J$9-Inputs!$I$9)))^2+Inputs!$C$6^2+((Inputs!$H$9+Inputs!$L$9*(((Inputs!$I$9+(((A151)+1)/2)*(Inputs!$J$9-Inputs!$I$9)))/Inputs!$K$9)^2))^2))-((Inputs!$H$9+Inputs!$L$9*(((Inputs!$I$9+(((A151)+1)/2)*(Inputs!$J$9-Inputs!$I$9)))/Inputs!$K$9)^2)))*1000/Inputs!$C$12)</x:f>
        <x:v>72848.1329301913</x:v>
      </x:c>
      <x:c r="AJ151" s="49"/>
      <x:c r="AK151" s="48" t="n">
        <x:f>A151</x:f>
        <x:v>0.242</x:v>
      </x:c>
      <x:c r="AL151" s="48" t="n">
        <x:f>(-2*((1000*((((Inputs!$I$6+(((A151)+1)/2)*(Inputs!$J$6-Inputs!$I$6)))*Inputs!$C$11+((Inputs!$H$6+Inputs!$L$6*(((Inputs!$I$6+(((A151)+1)/2)*(Inputs!$J$6-Inputs!$I$6)))/Inputs!$K$6)^2))*((2*Inputs!$L$6*((Inputs!$I$6+(((A151)+1)/2)*(Inputs!$J$6-Inputs!$I$6)))/(Inputs!$K$6^2)*Inputs!$C$11)))/(SQRT(((Inputs!$I$6+(((A151)+1)/2)*(Inputs!$J$6-Inputs!$I$6)))^2+Inputs!$C$6^2+((Inputs!$H$6+Inputs!$L$6*(((Inputs!$I$6+(((A151)+1)/2)*(Inputs!$J$6-Inputs!$I$6)))/Inputs!$K$6)^2))^2)))))/Inputs!$C$13)</x:f>
        <x:v>-109.38766097769974</x:v>
      </x:c>
      <x:c r="AM151" s="48" t="n">
        <x:f>(-2*((1000*((((Inputs!$I$7+(((A151)+1)/2)*(Inputs!$J$7-Inputs!$I$7)))*Inputs!$C$11+((Inputs!$H$7+Inputs!$L$7*(((Inputs!$I$7+(((A151)+1)/2)*(Inputs!$J$7-Inputs!$I$7)))/Inputs!$K$7)^2))*((2*Inputs!$L$7*((Inputs!$I$7+(((A151)+1)/2)*(Inputs!$J$7-Inputs!$I$7)))/(Inputs!$K$7^2)*Inputs!$C$11)))/(SQRT(((Inputs!$I$7+(((A151)+1)/2)*(Inputs!$J$7-Inputs!$I$7)))^2+Inputs!$C$6^2+((Inputs!$H$7+Inputs!$L$7*(((Inputs!$I$7+(((A151)+1)/2)*(Inputs!$J$7-Inputs!$I$7)))/Inputs!$K$7)^2))^2)))))/Inputs!$C$13)</x:f>
        <x:v>-1696.5029826959376</x:v>
      </x:c>
      <x:c r="AN151" s="48" t="n">
        <x:f>(-2*((1000*((((Inputs!$I$8+(((A151)+1)/2)*(Inputs!$J$8-Inputs!$I$8)))*Inputs!$C$11+((Inputs!$H$8+Inputs!$L$8*(((Inputs!$I$8+(((A151)+1)/2)*(Inputs!$J$8-Inputs!$I$8)))/Inputs!$K$8)^2))*((2*Inputs!$L$8*((Inputs!$I$8+(((A151)+1)/2)*(Inputs!$J$8-Inputs!$I$8)))/(Inputs!$K$8^2)*Inputs!$C$11)))/(SQRT(((Inputs!$I$8+(((A151)+1)/2)*(Inputs!$J$8-Inputs!$I$8)))^2+Inputs!$C$6^2+((Inputs!$H$8+Inputs!$L$8*(((Inputs!$I$8+(((A151)+1)/2)*(Inputs!$J$8-Inputs!$I$8)))/Inputs!$K$8)^2))^2)))))/Inputs!$C$13)</x:f>
        <x:v>-1833.2843258391306</x:v>
      </x:c>
      <x:c r="AO151" s="48" t="n">
        <x:f>(-2*((1000*((((Inputs!$I$9+(((A151)+1)/2)*(Inputs!$J$9-Inputs!$I$9)))*Inputs!$C$11+((Inputs!$H$9+Inputs!$L$9*(((Inputs!$I$9+(((A151)+1)/2)*(Inputs!$J$9-Inputs!$I$9)))/Inputs!$K$9)^2))*((2*Inputs!$L$9*((Inputs!$I$9+(((A151)+1)/2)*(Inputs!$J$9-Inputs!$I$9)))/(Inputs!$K$9^2)*Inputs!$C$11)))/(SQRT(((Inputs!$I$9+(((A151)+1)/2)*(Inputs!$J$9-Inputs!$I$9)))^2+Inputs!$C$6^2+((Inputs!$H$9+Inputs!$L$9*(((Inputs!$I$9+(((A151)+1)/2)*(Inputs!$J$9-Inputs!$I$9)))/Inputs!$K$9)^2))^2)))))/Inputs!$C$13)</x:f>
        <x:v>-1828.6190670469357</x:v>
      </x:c>
    </x:row>
    <x:row r="152">
      <x:c r="A152" s="48" t="n">
        <x:f>ROUND(-1+150*2/240,3)</x:f>
        <x:v>0.25</x:v>
      </x:c>
      <x:c r="B152" s="48" t="n">
        <x:f>IF(OR(Inputs!$F$6=TRUE,Inputs!$F$6="TRUE",Inputs!$F$6=1),(Inputs!$H$6+Inputs!$L$6*(((Inputs!$I$6+(((A152)+1)/2)*(Inputs!$J$6-Inputs!$I$6)))/Inputs!$K$6)^2),NA())</x:f>
        <x:v>400.25</x:v>
      </x:c>
      <x:c r="C152" s="48" t="n">
        <x:f>IF(OR(Inputs!$F$7=TRUE,Inputs!$F$7="TRUE",Inputs!$F$7=1),(Inputs!$H$7+Inputs!$L$7*(((Inputs!$I$7+(((A152)+1)/2)*(Inputs!$J$7-Inputs!$I$7)))/Inputs!$K$7)^2),NA())</x:f>
        <x:v>57.8125</x:v>
      </x:c>
      <x:c r="D152" s="48" t="n">
        <x:f>IF(OR(Inputs!$F$8=TRUE,Inputs!$F$8="TRUE",Inputs!$F$8=1),(Inputs!$H$8+Inputs!$L$8*(((Inputs!$I$8+(((A152)+1)/2)*(Inputs!$J$8-Inputs!$I$8)))/Inputs!$K$8)^2),NA())</x:f>
        <x:v>95.3125</x:v>
      </x:c>
      <x:c r="E152" s="48" t="n">
        <x:f>IF(OR(Inputs!$F$9=TRUE,Inputs!$F$9="TRUE",Inputs!$F$9=1),(Inputs!$H$9+Inputs!$L$9*(((Inputs!$I$9+(((A152)+1)/2)*(Inputs!$J$9-Inputs!$I$9)))/Inputs!$K$9)^2),NA())</x:f>
        <x:v>85.9375</x:v>
      </x:c>
      <x:c r="F152" s="49"/>
      <x:c r="G152" s="48" t="n">
        <x:f>A152</x:f>
        <x:v>0.25</x:v>
      </x:c>
      <x:c r="H152" s="48" t="n">
        <x:f>IF(OR(Inputs!$F$6=TRUE,Inputs!$F$6="TRUE",Inputs!$F$6=1),(((SQRT(((Inputs!$I$6+(((A152)+1)/2)*(Inputs!$J$6-Inputs!$I$6)))^2+Inputs!$C$6^2+((Inputs!$H$6+Inputs!$L$6*(((Inputs!$I$6+(((A152)+1)/2)*(Inputs!$J$6-Inputs!$I$6)))/Inputs!$K$6)^2))^2))-((Inputs!$H$6+Inputs!$L$6*(((Inputs!$I$6+(((A152)+1)/2)*(Inputs!$J$6-Inputs!$I$6)))/Inputs!$K$6)^2)))*1000/Inputs!$C$12),NA())</x:f>
        <x:v>595.7480822033449</x:v>
      </x:c>
      <x:c r="I152" s="48" t="n">
        <x:f>IF(OR(Inputs!$F$7=TRUE,Inputs!$F$7="TRUE",Inputs!$F$7=1),(((SQRT(((Inputs!$I$7+(((A152)+1)/2)*(Inputs!$J$7-Inputs!$I$7)))^2+Inputs!$C$6^2+((Inputs!$H$7+Inputs!$L$7*(((Inputs!$I$7+(((A152)+1)/2)*(Inputs!$J$7-Inputs!$I$7)))/Inputs!$K$7)^2))^2))-((Inputs!$H$7+Inputs!$L$7*(((Inputs!$I$7+(((A152)+1)/2)*(Inputs!$J$7-Inputs!$I$7)))/Inputs!$K$7)^2)))*1000/Inputs!$C$12),NA())</x:f>
        <x:v>33916.16256092234</x:v>
      </x:c>
      <x:c r="J152" s="48" t="n">
        <x:f>IF(OR(Inputs!$F$8=TRUE,Inputs!$F$8="TRUE",Inputs!$F$8=1),(((SQRT(((Inputs!$I$8+(((A152)+1)/2)*(Inputs!$J$8-Inputs!$I$8)))^2+Inputs!$C$6^2+((Inputs!$H$8+Inputs!$L$8*(((Inputs!$I$8+(((A152)+1)/2)*(Inputs!$J$8-Inputs!$I$8)))/Inputs!$K$8)^2))^2))-((Inputs!$H$8+Inputs!$L$8*(((Inputs!$I$8+(((A152)+1)/2)*(Inputs!$J$8-Inputs!$I$8)))/Inputs!$K$8)^2)))*1000/Inputs!$C$12),NA())</x:f>
        <x:v>71709.95079722094</x:v>
      </x:c>
      <x:c r="K152" s="48" t="n">
        <x:f>IF(OR(Inputs!$F$9=TRUE,Inputs!$F$9="TRUE",Inputs!$F$9=1),(((SQRT(((Inputs!$I$9+(((A152)+1)/2)*(Inputs!$J$9-Inputs!$I$9)))^2+Inputs!$C$6^2+((Inputs!$H$9+Inputs!$L$9*(((Inputs!$I$9+(((A152)+1)/2)*(Inputs!$J$9-Inputs!$I$9)))/Inputs!$K$9)^2))^2))-((Inputs!$H$9+Inputs!$L$9*(((Inputs!$I$9+(((A152)+1)/2)*(Inputs!$J$9-Inputs!$I$9)))/Inputs!$K$9)^2)))*1000/Inputs!$C$12),NA())</x:f>
        <x:v>74817.37246334527</x:v>
      </x:c>
      <x:c r="L152" s="49"/>
      <x:c r="M152" s="48" t="n">
        <x:f>A152</x:f>
        <x:v>0.25</x:v>
      </x:c>
      <x:c r="N152" s="48" t="n">
        <x:f>IF(OR(Inputs!$F$6=TRUE,Inputs!$F$6="TRUE",Inputs!$F$6=1),(-2*((1000*((((Inputs!$I$6+(((A152)+1)/2)*(Inputs!$J$6-Inputs!$I$6)))*Inputs!$C$11+((Inputs!$H$6+Inputs!$L$6*(((Inputs!$I$6+(((A152)+1)/2)*(Inputs!$J$6-Inputs!$I$6)))/Inputs!$K$6)^2))*((2*Inputs!$L$6*((Inputs!$I$6+(((A152)+1)/2)*(Inputs!$J$6-Inputs!$I$6)))/(Inputs!$K$6^2)*Inputs!$C$11)))/(SQRT(((Inputs!$I$6+(((A152)+1)/2)*(Inputs!$J$6-Inputs!$I$6)))^2+Inputs!$C$6^2+((Inputs!$H$6+Inputs!$L$6*(((Inputs!$I$6+(((A152)+1)/2)*(Inputs!$J$6-Inputs!$I$6)))/Inputs!$K$6)^2))^2)))))/Inputs!$C$13),NA())</x:f>
        <x:v>-112.99648127116424</x:v>
      </x:c>
      <x:c r="O152" s="48" t="n">
        <x:f>IF(OR(Inputs!$F$7=TRUE,Inputs!$F$7="TRUE",Inputs!$F$7=1),(-2*((1000*((((Inputs!$I$7+(((A152)+1)/2)*(Inputs!$J$7-Inputs!$I$7)))*Inputs!$C$11+((Inputs!$H$7+Inputs!$L$7*(((Inputs!$I$7+(((A152)+1)/2)*(Inputs!$J$7-Inputs!$I$7)))/Inputs!$K$7)^2))*((2*Inputs!$L$7*((Inputs!$I$7+(((A152)+1)/2)*(Inputs!$J$7-Inputs!$I$7)))/(Inputs!$K$7^2)*Inputs!$C$11)))/(SQRT(((Inputs!$I$7+(((A152)+1)/2)*(Inputs!$J$7-Inputs!$I$7)))^2+Inputs!$C$6^2+((Inputs!$H$7+Inputs!$L$7*(((Inputs!$I$7+(((A152)+1)/2)*(Inputs!$J$7-Inputs!$I$7)))/Inputs!$K$7)^2))^2)))))/Inputs!$C$13),NA())</x:f>
        <x:v>-1710.928510419963</x:v>
      </x:c>
      <x:c r="P152" s="48" t="n">
        <x:f>IF(OR(Inputs!$F$8=TRUE,Inputs!$F$8="TRUE",Inputs!$F$8=1),(-2*((1000*((((Inputs!$I$8+(((A152)+1)/2)*(Inputs!$J$8-Inputs!$I$8)))*Inputs!$C$11+((Inputs!$H$8+Inputs!$L$8*(((Inputs!$I$8+(((A152)+1)/2)*(Inputs!$J$8-Inputs!$I$8)))/Inputs!$K$8)^2))*((2*Inputs!$L$8*((Inputs!$I$8+(((A152)+1)/2)*(Inputs!$J$8-Inputs!$I$8)))/(Inputs!$K$8^2)*Inputs!$C$11)))/(SQRT(((Inputs!$I$8+(((A152)+1)/2)*(Inputs!$J$8-Inputs!$I$8)))^2+Inputs!$C$6^2+((Inputs!$H$8+Inputs!$L$8*(((Inputs!$I$8+(((A152)+1)/2)*(Inputs!$J$8-Inputs!$I$8)))/Inputs!$K$8)^2))^2)))))/Inputs!$C$13),NA())</x:f>
        <x:v>-1847.7913579087763</x:v>
      </x:c>
      <x:c r="Q152" s="48" t="n">
        <x:f>IF(OR(Inputs!$F$9=TRUE,Inputs!$F$9="TRUE",Inputs!$F$9=1),(-2*((1000*((((Inputs!$I$9+(((A152)+1)/2)*(Inputs!$J$9-Inputs!$I$9)))*Inputs!$C$11+((Inputs!$H$9+Inputs!$L$9*(((Inputs!$I$9+(((A152)+1)/2)*(Inputs!$J$9-Inputs!$I$9)))/Inputs!$K$9)^2))*((2*Inputs!$L$9*((Inputs!$I$9+(((A152)+1)/2)*(Inputs!$J$9-Inputs!$I$9)))/(Inputs!$K$9^2)*Inputs!$C$11)))/(SQRT(((Inputs!$I$9+(((A152)+1)/2)*(Inputs!$J$9-Inputs!$I$9)))^2+Inputs!$C$6^2+((Inputs!$H$9+Inputs!$L$9*(((Inputs!$I$9+(((A152)+1)/2)*(Inputs!$J$9-Inputs!$I$9)))/Inputs!$K$9)^2))^2)))))/Inputs!$C$13),NA())</x:f>
        <x:v>-1842.8396573757705</x:v>
      </x:c>
      <x:c r="R152" s="49"/>
      <x:c r="S152" s="48" t="n">
        <x:f>A152</x:f>
        <x:v>0.25</x:v>
      </x:c>
      <x:c r="T152" s="48" t="n">
        <x:f>(Inputs!$I$6+(((A152)+1)/2)*(Inputs!$J$6-Inputs!$I$6))</x:f>
        <x:v>15</x:v>
      </x:c>
      <x:c r="U152" s="48" t="n">
        <x:f>(Inputs!$I$7+(((A152)+1)/2)*(Inputs!$J$7-Inputs!$I$7))</x:f>
        <x:v>100</x:v>
      </x:c>
      <x:c r="V152" s="48" t="n">
        <x:f>(Inputs!$I$8+(((A152)+1)/2)*(Inputs!$J$8-Inputs!$I$8))</x:f>
        <x:v>200</x:v>
      </x:c>
      <x:c r="W152" s="48" t="n">
        <x:f>(Inputs!$I$9+(((A152)+1)/2)*(Inputs!$J$9-Inputs!$I$9))</x:f>
        <x:v>200</x:v>
      </x:c>
      <x:c r="X152" s="49"/>
      <x:c r="Y152" s="48" t="n">
        <x:f>A152</x:f>
        <x:v>0.25</x:v>
      </x:c>
      <x:c r="Z152" s="48" t="n">
        <x:f>(Inputs!$H$6+Inputs!$L$6*(((Inputs!$I$6+(((A152)+1)/2)*(Inputs!$J$6-Inputs!$I$6)))/Inputs!$K$6)^2)</x:f>
        <x:v>400.25</x:v>
      </x:c>
      <x:c r="AA152" s="48" t="n">
        <x:f>(Inputs!$H$7+Inputs!$L$7*(((Inputs!$I$7+(((A152)+1)/2)*(Inputs!$J$7-Inputs!$I$7)))/Inputs!$K$7)^2)</x:f>
        <x:v>57.8125</x:v>
      </x:c>
      <x:c r="AB152" s="48" t="n">
        <x:f>(Inputs!$H$8+Inputs!$L$8*(((Inputs!$I$8+(((A152)+1)/2)*(Inputs!$J$8-Inputs!$I$8)))/Inputs!$K$8)^2)</x:f>
        <x:v>95.3125</x:v>
      </x:c>
      <x:c r="AC152" s="48" t="n">
        <x:f>(Inputs!$H$9+Inputs!$L$9*(((Inputs!$I$9+(((A152)+1)/2)*(Inputs!$J$9-Inputs!$I$9)))/Inputs!$K$9)^2)</x:f>
        <x:v>85.9375</x:v>
      </x:c>
      <x:c r="AD152" s="49"/>
      <x:c r="AE152" s="48" t="n">
        <x:f>A152</x:f>
        <x:v>0.25</x:v>
      </x:c>
      <x:c r="AF152" s="48" t="n">
        <x:f>(((SQRT(((Inputs!$I$6+(((A152)+1)/2)*(Inputs!$J$6-Inputs!$I$6)))^2+Inputs!$C$6^2+((Inputs!$H$6+Inputs!$L$6*(((Inputs!$I$6+(((A152)+1)/2)*(Inputs!$J$6-Inputs!$I$6)))/Inputs!$K$6)^2))^2))-((Inputs!$H$6+Inputs!$L$6*(((Inputs!$I$6+(((A152)+1)/2)*(Inputs!$J$6-Inputs!$I$6)))/Inputs!$K$6)^2)))*1000/Inputs!$C$12)</x:f>
        <x:v>595.7480822033449</x:v>
      </x:c>
      <x:c r="AG152" s="48" t="n">
        <x:f>(((SQRT(((Inputs!$I$7+(((A152)+1)/2)*(Inputs!$J$7-Inputs!$I$7)))^2+Inputs!$C$6^2+((Inputs!$H$7+Inputs!$L$7*(((Inputs!$I$7+(((A152)+1)/2)*(Inputs!$J$7-Inputs!$I$7)))/Inputs!$K$7)^2))^2))-((Inputs!$H$7+Inputs!$L$7*(((Inputs!$I$7+(((A152)+1)/2)*(Inputs!$J$7-Inputs!$I$7)))/Inputs!$K$7)^2)))*1000/Inputs!$C$12)</x:f>
        <x:v>33916.16256092234</x:v>
      </x:c>
      <x:c r="AH152" s="48" t="n">
        <x:f>(((SQRT(((Inputs!$I$8+(((A152)+1)/2)*(Inputs!$J$8-Inputs!$I$8)))^2+Inputs!$C$6^2+((Inputs!$H$8+Inputs!$L$8*(((Inputs!$I$8+(((A152)+1)/2)*(Inputs!$J$8-Inputs!$I$8)))/Inputs!$K$8)^2))^2))-((Inputs!$H$8+Inputs!$L$8*(((Inputs!$I$8+(((A152)+1)/2)*(Inputs!$J$8-Inputs!$I$8)))/Inputs!$K$8)^2)))*1000/Inputs!$C$12)</x:f>
        <x:v>71709.95079722094</x:v>
      </x:c>
      <x:c r="AI152" s="48" t="n">
        <x:f>(((SQRT(((Inputs!$I$9+(((A152)+1)/2)*(Inputs!$J$9-Inputs!$I$9)))^2+Inputs!$C$6^2+((Inputs!$H$9+Inputs!$L$9*(((Inputs!$I$9+(((A152)+1)/2)*(Inputs!$J$9-Inputs!$I$9)))/Inputs!$K$9)^2))^2))-((Inputs!$H$9+Inputs!$L$9*(((Inputs!$I$9+(((A152)+1)/2)*(Inputs!$J$9-Inputs!$I$9)))/Inputs!$K$9)^2)))*1000/Inputs!$C$12)</x:f>
        <x:v>74817.37246334527</x:v>
      </x:c>
      <x:c r="AJ152" s="49"/>
      <x:c r="AK152" s="48" t="n">
        <x:f>A152</x:f>
        <x:v>0.25</x:v>
      </x:c>
      <x:c r="AL152" s="48" t="n">
        <x:f>(-2*((1000*((((Inputs!$I$6+(((A152)+1)/2)*(Inputs!$J$6-Inputs!$I$6)))*Inputs!$C$11+((Inputs!$H$6+Inputs!$L$6*(((Inputs!$I$6+(((A152)+1)/2)*(Inputs!$J$6-Inputs!$I$6)))/Inputs!$K$6)^2))*((2*Inputs!$L$6*((Inputs!$I$6+(((A152)+1)/2)*(Inputs!$J$6-Inputs!$I$6)))/(Inputs!$K$6^2)*Inputs!$C$11)))/(SQRT(((Inputs!$I$6+(((A152)+1)/2)*(Inputs!$J$6-Inputs!$I$6)))^2+Inputs!$C$6^2+((Inputs!$H$6+Inputs!$L$6*(((Inputs!$I$6+(((A152)+1)/2)*(Inputs!$J$6-Inputs!$I$6)))/Inputs!$K$6)^2))^2)))))/Inputs!$C$13)</x:f>
        <x:v>-112.99648127116424</x:v>
      </x:c>
      <x:c r="AM152" s="48" t="n">
        <x:f>(-2*((1000*((((Inputs!$I$7+(((A152)+1)/2)*(Inputs!$J$7-Inputs!$I$7)))*Inputs!$C$11+((Inputs!$H$7+Inputs!$L$7*(((Inputs!$I$7+(((A152)+1)/2)*(Inputs!$J$7-Inputs!$I$7)))/Inputs!$K$7)^2))*((2*Inputs!$L$7*((Inputs!$I$7+(((A152)+1)/2)*(Inputs!$J$7-Inputs!$I$7)))/(Inputs!$K$7^2)*Inputs!$C$11)))/(SQRT(((Inputs!$I$7+(((A152)+1)/2)*(Inputs!$J$7-Inputs!$I$7)))^2+Inputs!$C$6^2+((Inputs!$H$7+Inputs!$L$7*(((Inputs!$I$7+(((A152)+1)/2)*(Inputs!$J$7-Inputs!$I$7)))/Inputs!$K$7)^2))^2)))))/Inputs!$C$13)</x:f>
        <x:v>-1710.928510419963</x:v>
      </x:c>
      <x:c r="AN152" s="48" t="n">
        <x:f>(-2*((1000*((((Inputs!$I$8+(((A152)+1)/2)*(Inputs!$J$8-Inputs!$I$8)))*Inputs!$C$11+((Inputs!$H$8+Inputs!$L$8*(((Inputs!$I$8+(((A152)+1)/2)*(Inputs!$J$8-Inputs!$I$8)))/Inputs!$K$8)^2))*((2*Inputs!$L$8*((Inputs!$I$8+(((A152)+1)/2)*(Inputs!$J$8-Inputs!$I$8)))/(Inputs!$K$8^2)*Inputs!$C$11)))/(SQRT(((Inputs!$I$8+(((A152)+1)/2)*(Inputs!$J$8-Inputs!$I$8)))^2+Inputs!$C$6^2+((Inputs!$H$8+Inputs!$L$8*(((Inputs!$I$8+(((A152)+1)/2)*(Inputs!$J$8-Inputs!$I$8)))/Inputs!$K$8)^2))^2)))))/Inputs!$C$13)</x:f>
        <x:v>-1847.7913579087763</x:v>
      </x:c>
      <x:c r="AO152" s="48" t="n">
        <x:f>(-2*((1000*((((Inputs!$I$9+(((A152)+1)/2)*(Inputs!$J$9-Inputs!$I$9)))*Inputs!$C$11+((Inputs!$H$9+Inputs!$L$9*(((Inputs!$I$9+(((A152)+1)/2)*(Inputs!$J$9-Inputs!$I$9)))/Inputs!$K$9)^2))*((2*Inputs!$L$9*((Inputs!$I$9+(((A152)+1)/2)*(Inputs!$J$9-Inputs!$I$9)))/(Inputs!$K$9^2)*Inputs!$C$11)))/(SQRT(((Inputs!$I$9+(((A152)+1)/2)*(Inputs!$J$9-Inputs!$I$9)))^2+Inputs!$C$6^2+((Inputs!$H$9+Inputs!$L$9*(((Inputs!$I$9+(((A152)+1)/2)*(Inputs!$J$9-Inputs!$I$9)))/Inputs!$K$9)^2))^2)))))/Inputs!$C$13)</x:f>
        <x:v>-1842.8396573757705</x:v>
      </x:c>
    </x:row>
    <x:row r="153">
      <x:c r="A153" s="48" t="n">
        <x:f>ROUND(-1+151*2/240,3)</x:f>
        <x:v>0.258</x:v>
      </x:c>
      <x:c r="B153" s="48" t="n">
        <x:f>IF(OR(Inputs!$F$6=TRUE,Inputs!$F$6="TRUE",Inputs!$F$6=1),(Inputs!$H$6+Inputs!$L$6*(((Inputs!$I$6+(((A153)+1)/2)*(Inputs!$J$6-Inputs!$I$6)))/Inputs!$K$6)^2),NA())</x:f>
        <x:v>400.266256</x:v>
      </x:c>
      <x:c r="C153" s="48" t="n">
        <x:f>IF(OR(Inputs!$F$7=TRUE,Inputs!$F$7="TRUE",Inputs!$F$7=1),(Inputs!$H$7+Inputs!$L$7*(((Inputs!$I$7+(((A153)+1)/2)*(Inputs!$J$7-Inputs!$I$7)))/Inputs!$K$7)^2),NA())</x:f>
        <x:v>59.29585999999999</x:v>
      </x:c>
      <x:c r="D153" s="48" t="n">
        <x:f>IF(OR(Inputs!$F$8=TRUE,Inputs!$F$8="TRUE",Inputs!$F$8=1),(Inputs!$H$8+Inputs!$L$8*(((Inputs!$I$8+(((A153)+1)/2)*(Inputs!$J$8-Inputs!$I$8)))/Inputs!$K$8)^2),NA())</x:f>
        <x:v>99.23425999999998</x:v>
      </x:c>
      <x:c r="E153" s="48" t="n">
        <x:f>IF(OR(Inputs!$F$9=TRUE,Inputs!$F$9="TRUE",Inputs!$F$9=1),(Inputs!$H$9+Inputs!$L$9*(((Inputs!$I$9+(((A153)+1)/2)*(Inputs!$J$9-Inputs!$I$9)))/Inputs!$K$9)^2),NA())</x:f>
        <x:v>89.89989999999997</x:v>
      </x:c>
      <x:c r="F153" s="49"/>
      <x:c r="G153" s="48" t="n">
        <x:f>A153</x:f>
        <x:v>0.258</x:v>
      </x:c>
      <x:c r="H153" s="48" t="n">
        <x:f>IF(OR(Inputs!$F$6=TRUE,Inputs!$F$6="TRUE",Inputs!$F$6=1),(((SQRT(((Inputs!$I$6+(((A153)+1)/2)*(Inputs!$J$6-Inputs!$I$6)))^2+Inputs!$C$6^2+((Inputs!$H$6+Inputs!$L$6*(((Inputs!$I$6+(((A153)+1)/2)*(Inputs!$J$6-Inputs!$I$6)))/Inputs!$K$6)^2))^2))-((Inputs!$H$6+Inputs!$L$6*(((Inputs!$I$6+(((A153)+1)/2)*(Inputs!$J$6-Inputs!$I$6)))/Inputs!$K$6)^2)))*1000/Inputs!$C$12),NA())</x:f>
        <x:v>605.9639130565881</x:v>
      </x:c>
      <x:c r="I153" s="48" t="n">
        <x:f>IF(OR(Inputs!$F$7=TRUE,Inputs!$F$7="TRUE",Inputs!$F$7=1),(((SQRT(((Inputs!$I$7+(((A153)+1)/2)*(Inputs!$J$7-Inputs!$I$7)))^2+Inputs!$C$6^2+((Inputs!$H$7+Inputs!$L$7*(((Inputs!$I$7+(((A153)+1)/2)*(Inputs!$J$7-Inputs!$I$7)))/Inputs!$K$7)^2))^2))-((Inputs!$H$7+Inputs!$L$7*(((Inputs!$I$7+(((A153)+1)/2)*(Inputs!$J$7-Inputs!$I$7)))/Inputs!$K$7)^2)))*1000/Inputs!$C$12),NA())</x:f>
        <x:v>35013.133618802334</x:v>
      </x:c>
      <x:c r="J153" s="48" t="n">
        <x:f>IF(OR(Inputs!$F$8=TRUE,Inputs!$F$8="TRUE",Inputs!$F$8=1),(((SQRT(((Inputs!$I$8+(((A153)+1)/2)*(Inputs!$J$8-Inputs!$I$8)))^2+Inputs!$C$6^2+((Inputs!$H$8+Inputs!$L$8*(((Inputs!$I$8+(((A153)+1)/2)*(Inputs!$J$8-Inputs!$I$8)))/Inputs!$K$8)^2))^2))-((Inputs!$H$8+Inputs!$L$8*(((Inputs!$I$8+(((A153)+1)/2)*(Inputs!$J$8-Inputs!$I$8)))/Inputs!$K$8)^2)))*1000/Inputs!$C$12),NA())</x:f>
        <x:v>73675.496942629</x:v>
      </x:c>
      <x:c r="K153" s="48" t="n">
        <x:f>IF(OR(Inputs!$F$9=TRUE,Inputs!$F$9="TRUE",Inputs!$F$9=1),(((SQRT(((Inputs!$I$9+(((A153)+1)/2)*(Inputs!$J$9-Inputs!$I$9)))^2+Inputs!$C$6^2+((Inputs!$H$9+Inputs!$L$9*(((Inputs!$I$9+(((A153)+1)/2)*(Inputs!$J$9-Inputs!$I$9)))/Inputs!$K$9)^2))^2))-((Inputs!$H$9+Inputs!$L$9*(((Inputs!$I$9+(((A153)+1)/2)*(Inputs!$J$9-Inputs!$I$9)))/Inputs!$K$9)^2)))*1000/Inputs!$C$12),NA())</x:f>
        <x:v>76748.7005005087</x:v>
      </x:c>
      <x:c r="L153" s="49"/>
      <x:c r="M153" s="48" t="n">
        <x:f>A153</x:f>
        <x:v>0.258</x:v>
      </x:c>
      <x:c r="N153" s="48" t="n">
        <x:f>IF(OR(Inputs!$F$6=TRUE,Inputs!$F$6="TRUE",Inputs!$F$6=1),(-2*((1000*((((Inputs!$I$6+(((A153)+1)/2)*(Inputs!$J$6-Inputs!$I$6)))*Inputs!$C$11+((Inputs!$H$6+Inputs!$L$6*(((Inputs!$I$6+(((A153)+1)/2)*(Inputs!$J$6-Inputs!$I$6)))/Inputs!$K$6)^2))*((2*Inputs!$L$6*((Inputs!$I$6+(((A153)+1)/2)*(Inputs!$J$6-Inputs!$I$6)))/(Inputs!$K$6^2)*Inputs!$C$11)))/(SQRT(((Inputs!$I$6+(((A153)+1)/2)*(Inputs!$J$6-Inputs!$I$6)))^2+Inputs!$C$6^2+((Inputs!$H$6+Inputs!$L$6*(((Inputs!$I$6+(((A153)+1)/2)*(Inputs!$J$6-Inputs!$I$6)))/Inputs!$K$6)^2))^2)))))/Inputs!$C$13),NA())</x:f>
        <x:v>-116.60459126936105</x:v>
      </x:c>
      <x:c r="O153" s="48" t="n">
        <x:f>IF(OR(Inputs!$F$7=TRUE,Inputs!$F$7="TRUE",Inputs!$F$7=1),(-2*((1000*((((Inputs!$I$7+(((A153)+1)/2)*(Inputs!$J$7-Inputs!$I$7)))*Inputs!$C$11+((Inputs!$H$7+Inputs!$L$7*(((Inputs!$I$7+(((A153)+1)/2)*(Inputs!$J$7-Inputs!$I$7)))/Inputs!$K$7)^2))*((2*Inputs!$L$7*((Inputs!$I$7+(((A153)+1)/2)*(Inputs!$J$7-Inputs!$I$7)))/(Inputs!$K$7^2)*Inputs!$C$11)))/(SQRT(((Inputs!$I$7+(((A153)+1)/2)*(Inputs!$J$7-Inputs!$I$7)))^2+Inputs!$C$6^2+((Inputs!$H$7+Inputs!$L$7*(((Inputs!$I$7+(((A153)+1)/2)*(Inputs!$J$7-Inputs!$I$7)))/Inputs!$K$7)^2))^2)))))/Inputs!$C$13),NA())</x:f>
        <x:v>-1724.983093242738</x:v>
      </x:c>
      <x:c r="P153" s="48" t="n">
        <x:f>IF(OR(Inputs!$F$8=TRUE,Inputs!$F$8="TRUE",Inputs!$F$8=1),(-2*((1000*((((Inputs!$I$8+(((A153)+1)/2)*(Inputs!$J$8-Inputs!$I$8)))*Inputs!$C$11+((Inputs!$H$8+Inputs!$L$8*(((Inputs!$I$8+(((A153)+1)/2)*(Inputs!$J$8-Inputs!$I$8)))/Inputs!$K$8)^2))*((2*Inputs!$L$8*((Inputs!$I$8+(((A153)+1)/2)*(Inputs!$J$8-Inputs!$I$8)))/(Inputs!$K$8^2)*Inputs!$C$11)))/(SQRT(((Inputs!$I$8+(((A153)+1)/2)*(Inputs!$J$8-Inputs!$I$8)))^2+Inputs!$C$6^2+((Inputs!$H$8+Inputs!$L$8*(((Inputs!$I$8+(((A153)+1)/2)*(Inputs!$J$8-Inputs!$I$8)))/Inputs!$K$8)^2))^2)))))/Inputs!$C$13),NA())</x:f>
        <x:v>-1862.4518803641222</x:v>
      </x:c>
      <x:c r="Q153" s="48" t="n">
        <x:f>IF(OR(Inputs!$F$9=TRUE,Inputs!$F$9="TRUE",Inputs!$F$9=1),(-2*((1000*((((Inputs!$I$9+(((A153)+1)/2)*(Inputs!$J$9-Inputs!$I$9)))*Inputs!$C$11+((Inputs!$H$9+Inputs!$L$9*(((Inputs!$I$9+(((A153)+1)/2)*(Inputs!$J$9-Inputs!$I$9)))/Inputs!$K$9)^2))*((2*Inputs!$L$9*((Inputs!$I$9+(((A153)+1)/2)*(Inputs!$J$9-Inputs!$I$9)))/(Inputs!$K$9^2)*Inputs!$C$11)))/(SQRT(((Inputs!$I$9+(((A153)+1)/2)*(Inputs!$J$9-Inputs!$I$9)))^2+Inputs!$C$6^2+((Inputs!$H$9+Inputs!$L$9*(((Inputs!$I$9+(((A153)+1)/2)*(Inputs!$J$9-Inputs!$I$9)))/Inputs!$K$9)^2))^2)))))/Inputs!$C$13),NA())</x:f>
        <x:v>-1857.2799205309464</x:v>
      </x:c>
      <x:c r="R153" s="49"/>
      <x:c r="S153" s="48" t="n">
        <x:f>A153</x:f>
        <x:v>0.258</x:v>
      </x:c>
      <x:c r="T153" s="48" t="n">
        <x:f>(Inputs!$I$6+(((A153)+1)/2)*(Inputs!$J$6-Inputs!$I$6))</x:f>
        <x:v>15.480000000000004</x:v>
      </x:c>
      <x:c r="U153" s="48" t="n">
        <x:f>(Inputs!$I$7+(((A153)+1)/2)*(Inputs!$J$7-Inputs!$I$7))</x:f>
        <x:v>103.19999999999999</x:v>
      </x:c>
      <x:c r="V153" s="48" t="n">
        <x:f>(Inputs!$I$8+(((A153)+1)/2)*(Inputs!$J$8-Inputs!$I$8))</x:f>
        <x:v>206.39999999999998</x:v>
      </x:c>
      <x:c r="W153" s="48" t="n">
        <x:f>(Inputs!$I$9+(((A153)+1)/2)*(Inputs!$J$9-Inputs!$I$9))</x:f>
        <x:v>206.39999999999998</x:v>
      </x:c>
      <x:c r="X153" s="49"/>
      <x:c r="Y153" s="48" t="n">
        <x:f>A153</x:f>
        <x:v>0.258</x:v>
      </x:c>
      <x:c r="Z153" s="48" t="n">
        <x:f>(Inputs!$H$6+Inputs!$L$6*(((Inputs!$I$6+(((A153)+1)/2)*(Inputs!$J$6-Inputs!$I$6)))/Inputs!$K$6)^2)</x:f>
        <x:v>400.266256</x:v>
      </x:c>
      <x:c r="AA153" s="48" t="n">
        <x:f>(Inputs!$H$7+Inputs!$L$7*(((Inputs!$I$7+(((A153)+1)/2)*(Inputs!$J$7-Inputs!$I$7)))/Inputs!$K$7)^2)</x:f>
        <x:v>59.29585999999999</x:v>
      </x:c>
      <x:c r="AB153" s="48" t="n">
        <x:f>(Inputs!$H$8+Inputs!$L$8*(((Inputs!$I$8+(((A153)+1)/2)*(Inputs!$J$8-Inputs!$I$8)))/Inputs!$K$8)^2)</x:f>
        <x:v>99.23425999999998</x:v>
      </x:c>
      <x:c r="AC153" s="48" t="n">
        <x:f>(Inputs!$H$9+Inputs!$L$9*(((Inputs!$I$9+(((A153)+1)/2)*(Inputs!$J$9-Inputs!$I$9)))/Inputs!$K$9)^2)</x:f>
        <x:v>89.89989999999997</x:v>
      </x:c>
      <x:c r="AD153" s="49"/>
      <x:c r="AE153" s="48" t="n">
        <x:f>A153</x:f>
        <x:v>0.258</x:v>
      </x:c>
      <x:c r="AF153" s="48" t="n">
        <x:f>(((SQRT(((Inputs!$I$6+(((A153)+1)/2)*(Inputs!$J$6-Inputs!$I$6)))^2+Inputs!$C$6^2+((Inputs!$H$6+Inputs!$L$6*(((Inputs!$I$6+(((A153)+1)/2)*(Inputs!$J$6-Inputs!$I$6)))/Inputs!$K$6)^2))^2))-((Inputs!$H$6+Inputs!$L$6*(((Inputs!$I$6+(((A153)+1)/2)*(Inputs!$J$6-Inputs!$I$6)))/Inputs!$K$6)^2)))*1000/Inputs!$C$12)</x:f>
        <x:v>605.9639130565881</x:v>
      </x:c>
      <x:c r="AG153" s="48" t="n">
        <x:f>(((SQRT(((Inputs!$I$7+(((A153)+1)/2)*(Inputs!$J$7-Inputs!$I$7)))^2+Inputs!$C$6^2+((Inputs!$H$7+Inputs!$L$7*(((Inputs!$I$7+(((A153)+1)/2)*(Inputs!$J$7-Inputs!$I$7)))/Inputs!$K$7)^2))^2))-((Inputs!$H$7+Inputs!$L$7*(((Inputs!$I$7+(((A153)+1)/2)*(Inputs!$J$7-Inputs!$I$7)))/Inputs!$K$7)^2)))*1000/Inputs!$C$12)</x:f>
        <x:v>35013.133618802334</x:v>
      </x:c>
      <x:c r="AH153" s="48" t="n">
        <x:f>(((SQRT(((Inputs!$I$8+(((A153)+1)/2)*(Inputs!$J$8-Inputs!$I$8)))^2+Inputs!$C$6^2+((Inputs!$H$8+Inputs!$L$8*(((Inputs!$I$8+(((A153)+1)/2)*(Inputs!$J$8-Inputs!$I$8)))/Inputs!$K$8)^2))^2))-((Inputs!$H$8+Inputs!$L$8*(((Inputs!$I$8+(((A153)+1)/2)*(Inputs!$J$8-Inputs!$I$8)))/Inputs!$K$8)^2)))*1000/Inputs!$C$12)</x:f>
        <x:v>73675.496942629</x:v>
      </x:c>
      <x:c r="AI153" s="48" t="n">
        <x:f>(((SQRT(((Inputs!$I$9+(((A153)+1)/2)*(Inputs!$J$9-Inputs!$I$9)))^2+Inputs!$C$6^2+((Inputs!$H$9+Inputs!$L$9*(((Inputs!$I$9+(((A153)+1)/2)*(Inputs!$J$9-Inputs!$I$9)))/Inputs!$K$9)^2))^2))-((Inputs!$H$9+Inputs!$L$9*(((Inputs!$I$9+(((A153)+1)/2)*(Inputs!$J$9-Inputs!$I$9)))/Inputs!$K$9)^2)))*1000/Inputs!$C$12)</x:f>
        <x:v>76748.7005005087</x:v>
      </x:c>
      <x:c r="AJ153" s="49"/>
      <x:c r="AK153" s="48" t="n">
        <x:f>A153</x:f>
        <x:v>0.258</x:v>
      </x:c>
      <x:c r="AL153" s="48" t="n">
        <x:f>(-2*((1000*((((Inputs!$I$6+(((A153)+1)/2)*(Inputs!$J$6-Inputs!$I$6)))*Inputs!$C$11+((Inputs!$H$6+Inputs!$L$6*(((Inputs!$I$6+(((A153)+1)/2)*(Inputs!$J$6-Inputs!$I$6)))/Inputs!$K$6)^2))*((2*Inputs!$L$6*((Inputs!$I$6+(((A153)+1)/2)*(Inputs!$J$6-Inputs!$I$6)))/(Inputs!$K$6^2)*Inputs!$C$11)))/(SQRT(((Inputs!$I$6+(((A153)+1)/2)*(Inputs!$J$6-Inputs!$I$6)))^2+Inputs!$C$6^2+((Inputs!$H$6+Inputs!$L$6*(((Inputs!$I$6+(((A153)+1)/2)*(Inputs!$J$6-Inputs!$I$6)))/Inputs!$K$6)^2))^2)))))/Inputs!$C$13)</x:f>
        <x:v>-116.60459126936105</x:v>
      </x:c>
      <x:c r="AM153" s="48" t="n">
        <x:f>(-2*((1000*((((Inputs!$I$7+(((A153)+1)/2)*(Inputs!$J$7-Inputs!$I$7)))*Inputs!$C$11+((Inputs!$H$7+Inputs!$L$7*(((Inputs!$I$7+(((A153)+1)/2)*(Inputs!$J$7-Inputs!$I$7)))/Inputs!$K$7)^2))*((2*Inputs!$L$7*((Inputs!$I$7+(((A153)+1)/2)*(Inputs!$J$7-Inputs!$I$7)))/(Inputs!$K$7^2)*Inputs!$C$11)))/(SQRT(((Inputs!$I$7+(((A153)+1)/2)*(Inputs!$J$7-Inputs!$I$7)))^2+Inputs!$C$6^2+((Inputs!$H$7+Inputs!$L$7*(((Inputs!$I$7+(((A153)+1)/2)*(Inputs!$J$7-Inputs!$I$7)))/Inputs!$K$7)^2))^2)))))/Inputs!$C$13)</x:f>
        <x:v>-1724.983093242738</x:v>
      </x:c>
      <x:c r="AN153" s="48" t="n">
        <x:f>(-2*((1000*((((Inputs!$I$8+(((A153)+1)/2)*(Inputs!$J$8-Inputs!$I$8)))*Inputs!$C$11+((Inputs!$H$8+Inputs!$L$8*(((Inputs!$I$8+(((A153)+1)/2)*(Inputs!$J$8-Inputs!$I$8)))/Inputs!$K$8)^2))*((2*Inputs!$L$8*((Inputs!$I$8+(((A153)+1)/2)*(Inputs!$J$8-Inputs!$I$8)))/(Inputs!$K$8^2)*Inputs!$C$11)))/(SQRT(((Inputs!$I$8+(((A153)+1)/2)*(Inputs!$J$8-Inputs!$I$8)))^2+Inputs!$C$6^2+((Inputs!$H$8+Inputs!$L$8*(((Inputs!$I$8+(((A153)+1)/2)*(Inputs!$J$8-Inputs!$I$8)))/Inputs!$K$8)^2))^2)))))/Inputs!$C$13)</x:f>
        <x:v>-1862.4518803641222</x:v>
      </x:c>
      <x:c r="AO153" s="48" t="n">
        <x:f>(-2*((1000*((((Inputs!$I$9+(((A153)+1)/2)*(Inputs!$J$9-Inputs!$I$9)))*Inputs!$C$11+((Inputs!$H$9+Inputs!$L$9*(((Inputs!$I$9+(((A153)+1)/2)*(Inputs!$J$9-Inputs!$I$9)))/Inputs!$K$9)^2))*((2*Inputs!$L$9*((Inputs!$I$9+(((A153)+1)/2)*(Inputs!$J$9-Inputs!$I$9)))/(Inputs!$K$9^2)*Inputs!$C$11)))/(SQRT(((Inputs!$I$9+(((A153)+1)/2)*(Inputs!$J$9-Inputs!$I$9)))^2+Inputs!$C$6^2+((Inputs!$H$9+Inputs!$L$9*(((Inputs!$I$9+(((A153)+1)/2)*(Inputs!$J$9-Inputs!$I$9)))/Inputs!$K$9)^2))^2)))))/Inputs!$C$13)</x:f>
        <x:v>-1857.2799205309464</x:v>
      </x:c>
    </x:row>
    <x:row r="154">
      <x:c r="A154" s="48" t="n">
        <x:f>ROUND(-1+152*2/240,3)</x:f>
        <x:v>0.267</x:v>
      </x:c>
      <x:c r="B154" s="48" t="n">
        <x:f>IF(OR(Inputs!$F$6=TRUE,Inputs!$F$6="TRUE",Inputs!$F$6=1),(Inputs!$H$6+Inputs!$L$6*(((Inputs!$I$6+(((A154)+1)/2)*(Inputs!$J$6-Inputs!$I$6)))/Inputs!$K$6)^2),NA())</x:f>
        <x:v>400.285156</x:v>
      </x:c>
      <x:c r="C154" s="48" t="n">
        <x:f>IF(OR(Inputs!$F$7=TRUE,Inputs!$F$7="TRUE",Inputs!$F$7=1),(Inputs!$H$7+Inputs!$L$7*(((Inputs!$I$7+(((A154)+1)/2)*(Inputs!$J$7-Inputs!$I$7)))/Inputs!$K$7)^2),NA())</x:f>
        <x:v>61.02048499999998</x:v>
      </x:c>
      <x:c r="D154" s="48" t="n">
        <x:f>IF(OR(Inputs!$F$8=TRUE,Inputs!$F$8="TRUE",Inputs!$F$8=1),(Inputs!$H$8+Inputs!$L$8*(((Inputs!$I$8+(((A154)+1)/2)*(Inputs!$J$8-Inputs!$I$8)))/Inputs!$K$8)^2),NA())</x:f>
        <x:v>103.79388499999995</x:v>
      </x:c>
      <x:c r="E154" s="48" t="n">
        <x:f>IF(OR(Inputs!$F$9=TRUE,Inputs!$F$9="TRUE",Inputs!$F$9=1),(Inputs!$H$9+Inputs!$L$9*(((Inputs!$I$9+(((A154)+1)/2)*(Inputs!$J$9-Inputs!$I$9)))/Inputs!$K$9)^2),NA())</x:f>
        <x:v>94.50677499999995</x:v>
      </x:c>
      <x:c r="F154" s="49"/>
      <x:c r="G154" s="48" t="n">
        <x:f>A154</x:f>
        <x:v>0.267</x:v>
      </x:c>
      <x:c r="H154" s="48" t="n">
        <x:f>IF(OR(Inputs!$F$6=TRUE,Inputs!$F$6="TRUE",Inputs!$F$6=1),(((SQRT(((Inputs!$I$6+(((A154)+1)/2)*(Inputs!$J$6-Inputs!$I$6)))^2+Inputs!$C$6^2+((Inputs!$H$6+Inputs!$L$6*(((Inputs!$I$6+(((A154)+1)/2)*(Inputs!$J$6-Inputs!$I$6)))/Inputs!$K$6)^2))^2))-((Inputs!$H$6+Inputs!$L$6*(((Inputs!$I$6+(((A154)+1)/2)*(Inputs!$J$6-Inputs!$I$6)))/Inputs!$K$6)^2)))*1000/Inputs!$C$12),NA())</x:f>
        <x:v>617.8397025134506</x:v>
      </x:c>
      <x:c r="I154" s="48" t="n">
        <x:f>IF(OR(Inputs!$F$7=TRUE,Inputs!$F$7="TRUE",Inputs!$F$7=1),(((SQRT(((Inputs!$I$7+(((A154)+1)/2)*(Inputs!$J$7-Inputs!$I$7)))^2+Inputs!$C$6^2+((Inputs!$H$7+Inputs!$L$7*(((Inputs!$I$7+(((A154)+1)/2)*(Inputs!$J$7-Inputs!$I$7)))/Inputs!$K$7)^2))^2))-((Inputs!$H$7+Inputs!$L$7*(((Inputs!$I$7+(((A154)+1)/2)*(Inputs!$J$7-Inputs!$I$7)))/Inputs!$K$7)^2)))*1000/Inputs!$C$12),NA())</x:f>
        <x:v>36234.494683608915</x:v>
      </x:c>
      <x:c r="J154" s="48" t="n">
        <x:f>IF(OR(Inputs!$F$8=TRUE,Inputs!$F$8="TRUE",Inputs!$F$8=1),(((SQRT(((Inputs!$I$8+(((A154)+1)/2)*(Inputs!$J$8-Inputs!$I$8)))^2+Inputs!$C$6^2+((Inputs!$H$8+Inputs!$L$8*(((Inputs!$I$8+(((A154)+1)/2)*(Inputs!$J$8-Inputs!$I$8)))/Inputs!$K$8)^2))^2))-((Inputs!$H$8+Inputs!$L$8*(((Inputs!$I$8+(((A154)+1)/2)*(Inputs!$J$8-Inputs!$I$8)))/Inputs!$K$8)^2)))*1000/Inputs!$C$12),NA())</x:f>
        <x:v>75843.41541980814</x:v>
      </x:c>
      <x:c r="K154" s="48" t="n">
        <x:f>IF(OR(Inputs!$F$9=TRUE,Inputs!$F$9="TRUE",Inputs!$F$9=1),(((SQRT(((Inputs!$I$9+(((A154)+1)/2)*(Inputs!$J$9-Inputs!$I$9)))^2+Inputs!$C$6^2+((Inputs!$H$9+Inputs!$L$9*(((Inputs!$I$9+(((A154)+1)/2)*(Inputs!$J$9-Inputs!$I$9)))/Inputs!$K$9)^2))^2))-((Inputs!$H$9+Inputs!$L$9*(((Inputs!$I$9+(((A154)+1)/2)*(Inputs!$J$9-Inputs!$I$9)))/Inputs!$K$9)^2)))*1000/Inputs!$C$12),NA())</x:f>
        <x:v>78876.7603367154</x:v>
      </x:c>
      <x:c r="L154" s="49"/>
      <x:c r="M154" s="48" t="n">
        <x:f>A154</x:f>
        <x:v>0.267</x:v>
      </x:c>
      <x:c r="N154" s="48" t="n">
        <x:f>IF(OR(Inputs!$F$6=TRUE,Inputs!$F$6="TRUE",Inputs!$F$6=1),(-2*((1000*((((Inputs!$I$6+(((A154)+1)/2)*(Inputs!$J$6-Inputs!$I$6)))*Inputs!$C$11+((Inputs!$H$6+Inputs!$L$6*(((Inputs!$I$6+(((A154)+1)/2)*(Inputs!$J$6-Inputs!$I$6)))/Inputs!$K$6)^2))*((2*Inputs!$L$6*((Inputs!$I$6+(((A154)+1)/2)*(Inputs!$J$6-Inputs!$I$6)))/(Inputs!$K$6^2)*Inputs!$C$11)))/(SQRT(((Inputs!$I$6+(((A154)+1)/2)*(Inputs!$J$6-Inputs!$I$6)))^2+Inputs!$C$6^2+((Inputs!$H$6+Inputs!$L$6*(((Inputs!$I$6+(((A154)+1)/2)*(Inputs!$J$6-Inputs!$I$6)))/Inputs!$K$6)^2))^2)))))/Inputs!$C$13),NA())</x:f>
        <x:v>-120.66283808441804</x:v>
      </x:c>
      <x:c r="O154" s="48" t="n">
        <x:f>IF(OR(Inputs!$F$7=TRUE,Inputs!$F$7="TRUE",Inputs!$F$7=1),(-2*((1000*((((Inputs!$I$7+(((A154)+1)/2)*(Inputs!$J$7-Inputs!$I$7)))*Inputs!$C$11+((Inputs!$H$7+Inputs!$L$7*(((Inputs!$I$7+(((A154)+1)/2)*(Inputs!$J$7-Inputs!$I$7)))/Inputs!$K$7)^2))*((2*Inputs!$L$7*((Inputs!$I$7+(((A154)+1)/2)*(Inputs!$J$7-Inputs!$I$7)))/(Inputs!$K$7^2)*Inputs!$C$11)))/(SQRT(((Inputs!$I$7+(((A154)+1)/2)*(Inputs!$J$7-Inputs!$I$7)))^2+Inputs!$C$6^2+((Inputs!$H$7+Inputs!$L$7*(((Inputs!$I$7+(((A154)+1)/2)*(Inputs!$J$7-Inputs!$I$7)))/Inputs!$K$7)^2))^2)))))/Inputs!$C$13),NA())</x:f>
        <x:v>-1740.4213749387204</x:v>
      </x:c>
      <x:c r="P154" s="48" t="n">
        <x:f>IF(OR(Inputs!$F$8=TRUE,Inputs!$F$8="TRUE",Inputs!$F$8=1),(-2*((1000*((((Inputs!$I$8+(((A154)+1)/2)*(Inputs!$J$8-Inputs!$I$8)))*Inputs!$C$11+((Inputs!$H$8+Inputs!$L$8*(((Inputs!$I$8+(((A154)+1)/2)*(Inputs!$J$8-Inputs!$I$8)))/Inputs!$K$8)^2))*((2*Inputs!$L$8*((Inputs!$I$8+(((A154)+1)/2)*(Inputs!$J$8-Inputs!$I$8)))/(Inputs!$K$8^2)*Inputs!$C$11)))/(SQRT(((Inputs!$I$8+(((A154)+1)/2)*(Inputs!$J$8-Inputs!$I$8)))^2+Inputs!$C$6^2+((Inputs!$H$8+Inputs!$L$8*(((Inputs!$I$8+(((A154)+1)/2)*(Inputs!$J$8-Inputs!$I$8)))/Inputs!$K$8)^2))^2)))))/Inputs!$C$13),NA())</x:f>
        <x:v>-1879.1505045647987</x:v>
      </x:c>
      <x:c r="Q154" s="48" t="n">
        <x:f>IF(OR(Inputs!$F$9=TRUE,Inputs!$F$9="TRUE",Inputs!$F$9=1),(-2*((1000*((((Inputs!$I$9+(((A154)+1)/2)*(Inputs!$J$9-Inputs!$I$9)))*Inputs!$C$11+((Inputs!$H$9+Inputs!$L$9*(((Inputs!$I$9+(((A154)+1)/2)*(Inputs!$J$9-Inputs!$I$9)))/Inputs!$K$9)^2))*((2*Inputs!$L$9*((Inputs!$I$9+(((A154)+1)/2)*(Inputs!$J$9-Inputs!$I$9)))/(Inputs!$K$9^2)*Inputs!$C$11)))/(SQRT(((Inputs!$I$9+(((A154)+1)/2)*(Inputs!$J$9-Inputs!$I$9)))^2+Inputs!$C$6^2+((Inputs!$H$9+Inputs!$L$9*(((Inputs!$I$9+(((A154)+1)/2)*(Inputs!$J$9-Inputs!$I$9)))/Inputs!$K$9)^2))^2)))))/Inputs!$C$13),NA())</x:f>
        <x:v>-1873.8017153515684</x:v>
      </x:c>
      <x:c r="R154" s="49"/>
      <x:c r="S154" s="48" t="n">
        <x:f>A154</x:f>
        <x:v>0.267</x:v>
      </x:c>
      <x:c r="T154" s="48" t="n">
        <x:f>(Inputs!$I$6+(((A154)+1)/2)*(Inputs!$J$6-Inputs!$I$6))</x:f>
        <x:v>16.019999999999996</x:v>
      </x:c>
      <x:c r="U154" s="48" t="n">
        <x:f>(Inputs!$I$7+(((A154)+1)/2)*(Inputs!$J$7-Inputs!$I$7))</x:f>
        <x:v>106.79999999999995</x:v>
      </x:c>
      <x:c r="V154" s="48" t="n">
        <x:f>(Inputs!$I$8+(((A154)+1)/2)*(Inputs!$J$8-Inputs!$I$8))</x:f>
        <x:v>213.5999999999999</x:v>
      </x:c>
      <x:c r="W154" s="48" t="n">
        <x:f>(Inputs!$I$9+(((A154)+1)/2)*(Inputs!$J$9-Inputs!$I$9))</x:f>
        <x:v>213.5999999999999</x:v>
      </x:c>
      <x:c r="X154" s="49"/>
      <x:c r="Y154" s="48" t="n">
        <x:f>A154</x:f>
        <x:v>0.267</x:v>
      </x:c>
      <x:c r="Z154" s="48" t="n">
        <x:f>(Inputs!$H$6+Inputs!$L$6*(((Inputs!$I$6+(((A154)+1)/2)*(Inputs!$J$6-Inputs!$I$6)))/Inputs!$K$6)^2)</x:f>
        <x:v>400.285156</x:v>
      </x:c>
      <x:c r="AA154" s="48" t="n">
        <x:f>(Inputs!$H$7+Inputs!$L$7*(((Inputs!$I$7+(((A154)+1)/2)*(Inputs!$J$7-Inputs!$I$7)))/Inputs!$K$7)^2)</x:f>
        <x:v>61.02048499999998</x:v>
      </x:c>
      <x:c r="AB154" s="48" t="n">
        <x:f>(Inputs!$H$8+Inputs!$L$8*(((Inputs!$I$8+(((A154)+1)/2)*(Inputs!$J$8-Inputs!$I$8)))/Inputs!$K$8)^2)</x:f>
        <x:v>103.79388499999995</x:v>
      </x:c>
      <x:c r="AC154" s="48" t="n">
        <x:f>(Inputs!$H$9+Inputs!$L$9*(((Inputs!$I$9+(((A154)+1)/2)*(Inputs!$J$9-Inputs!$I$9)))/Inputs!$K$9)^2)</x:f>
        <x:v>94.50677499999995</x:v>
      </x:c>
      <x:c r="AD154" s="49"/>
      <x:c r="AE154" s="48" t="n">
        <x:f>A154</x:f>
        <x:v>0.267</x:v>
      </x:c>
      <x:c r="AF154" s="48" t="n">
        <x:f>(((SQRT(((Inputs!$I$6+(((A154)+1)/2)*(Inputs!$J$6-Inputs!$I$6)))^2+Inputs!$C$6^2+((Inputs!$H$6+Inputs!$L$6*(((Inputs!$I$6+(((A154)+1)/2)*(Inputs!$J$6-Inputs!$I$6)))/Inputs!$K$6)^2))^2))-((Inputs!$H$6+Inputs!$L$6*(((Inputs!$I$6+(((A154)+1)/2)*(Inputs!$J$6-Inputs!$I$6)))/Inputs!$K$6)^2)))*1000/Inputs!$C$12)</x:f>
        <x:v>617.8397025134506</x:v>
      </x:c>
      <x:c r="AG154" s="48" t="n">
        <x:f>(((SQRT(((Inputs!$I$7+(((A154)+1)/2)*(Inputs!$J$7-Inputs!$I$7)))^2+Inputs!$C$6^2+((Inputs!$H$7+Inputs!$L$7*(((Inputs!$I$7+(((A154)+1)/2)*(Inputs!$J$7-Inputs!$I$7)))/Inputs!$K$7)^2))^2))-((Inputs!$H$7+Inputs!$L$7*(((Inputs!$I$7+(((A154)+1)/2)*(Inputs!$J$7-Inputs!$I$7)))/Inputs!$K$7)^2)))*1000/Inputs!$C$12)</x:f>
        <x:v>36234.494683608915</x:v>
      </x:c>
      <x:c r="AH154" s="48" t="n">
        <x:f>(((SQRT(((Inputs!$I$8+(((A154)+1)/2)*(Inputs!$J$8-Inputs!$I$8)))^2+Inputs!$C$6^2+((Inputs!$H$8+Inputs!$L$8*(((Inputs!$I$8+(((A154)+1)/2)*(Inputs!$J$8-Inputs!$I$8)))/Inputs!$K$8)^2))^2))-((Inputs!$H$8+Inputs!$L$8*(((Inputs!$I$8+(((A154)+1)/2)*(Inputs!$J$8-Inputs!$I$8)))/Inputs!$K$8)^2)))*1000/Inputs!$C$12)</x:f>
        <x:v>75843.41541980814</x:v>
      </x:c>
      <x:c r="AI154" s="48" t="n">
        <x:f>(((SQRT(((Inputs!$I$9+(((A154)+1)/2)*(Inputs!$J$9-Inputs!$I$9)))^2+Inputs!$C$6^2+((Inputs!$H$9+Inputs!$L$9*(((Inputs!$I$9+(((A154)+1)/2)*(Inputs!$J$9-Inputs!$I$9)))/Inputs!$K$9)^2))^2))-((Inputs!$H$9+Inputs!$L$9*(((Inputs!$I$9+(((A154)+1)/2)*(Inputs!$J$9-Inputs!$I$9)))/Inputs!$K$9)^2)))*1000/Inputs!$C$12)</x:f>
        <x:v>78876.7603367154</x:v>
      </x:c>
      <x:c r="AJ154" s="49"/>
      <x:c r="AK154" s="48" t="n">
        <x:f>A154</x:f>
        <x:v>0.267</x:v>
      </x:c>
      <x:c r="AL154" s="48" t="n">
        <x:f>(-2*((1000*((((Inputs!$I$6+(((A154)+1)/2)*(Inputs!$J$6-Inputs!$I$6)))*Inputs!$C$11+((Inputs!$H$6+Inputs!$L$6*(((Inputs!$I$6+(((A154)+1)/2)*(Inputs!$J$6-Inputs!$I$6)))/Inputs!$K$6)^2))*((2*Inputs!$L$6*((Inputs!$I$6+(((A154)+1)/2)*(Inputs!$J$6-Inputs!$I$6)))/(Inputs!$K$6^2)*Inputs!$C$11)))/(SQRT(((Inputs!$I$6+(((A154)+1)/2)*(Inputs!$J$6-Inputs!$I$6)))^2+Inputs!$C$6^2+((Inputs!$H$6+Inputs!$L$6*(((Inputs!$I$6+(((A154)+1)/2)*(Inputs!$J$6-Inputs!$I$6)))/Inputs!$K$6)^2))^2)))))/Inputs!$C$13)</x:f>
        <x:v>-120.66283808441804</x:v>
      </x:c>
      <x:c r="AM154" s="48" t="n">
        <x:f>(-2*((1000*((((Inputs!$I$7+(((A154)+1)/2)*(Inputs!$J$7-Inputs!$I$7)))*Inputs!$C$11+((Inputs!$H$7+Inputs!$L$7*(((Inputs!$I$7+(((A154)+1)/2)*(Inputs!$J$7-Inputs!$I$7)))/Inputs!$K$7)^2))*((2*Inputs!$L$7*((Inputs!$I$7+(((A154)+1)/2)*(Inputs!$J$7-Inputs!$I$7)))/(Inputs!$K$7^2)*Inputs!$C$11)))/(SQRT(((Inputs!$I$7+(((A154)+1)/2)*(Inputs!$J$7-Inputs!$I$7)))^2+Inputs!$C$6^2+((Inputs!$H$7+Inputs!$L$7*(((Inputs!$I$7+(((A154)+1)/2)*(Inputs!$J$7-Inputs!$I$7)))/Inputs!$K$7)^2))^2)))))/Inputs!$C$13)</x:f>
        <x:v>-1740.4213749387204</x:v>
      </x:c>
      <x:c r="AN154" s="48" t="n">
        <x:f>(-2*((1000*((((Inputs!$I$8+(((A154)+1)/2)*(Inputs!$J$8-Inputs!$I$8)))*Inputs!$C$11+((Inputs!$H$8+Inputs!$L$8*(((Inputs!$I$8+(((A154)+1)/2)*(Inputs!$J$8-Inputs!$I$8)))/Inputs!$K$8)^2))*((2*Inputs!$L$8*((Inputs!$I$8+(((A154)+1)/2)*(Inputs!$J$8-Inputs!$I$8)))/(Inputs!$K$8^2)*Inputs!$C$11)))/(SQRT(((Inputs!$I$8+(((A154)+1)/2)*(Inputs!$J$8-Inputs!$I$8)))^2+Inputs!$C$6^2+((Inputs!$H$8+Inputs!$L$8*(((Inputs!$I$8+(((A154)+1)/2)*(Inputs!$J$8-Inputs!$I$8)))/Inputs!$K$8)^2))^2)))))/Inputs!$C$13)</x:f>
        <x:v>-1879.1505045647987</x:v>
      </x:c>
      <x:c r="AO154" s="48" t="n">
        <x:f>(-2*((1000*((((Inputs!$I$9+(((A154)+1)/2)*(Inputs!$J$9-Inputs!$I$9)))*Inputs!$C$11+((Inputs!$H$9+Inputs!$L$9*(((Inputs!$I$9+(((A154)+1)/2)*(Inputs!$J$9-Inputs!$I$9)))/Inputs!$K$9)^2))*((2*Inputs!$L$9*((Inputs!$I$9+(((A154)+1)/2)*(Inputs!$J$9-Inputs!$I$9)))/(Inputs!$K$9^2)*Inputs!$C$11)))/(SQRT(((Inputs!$I$9+(((A154)+1)/2)*(Inputs!$J$9-Inputs!$I$9)))^2+Inputs!$C$6^2+((Inputs!$H$9+Inputs!$L$9*(((Inputs!$I$9+(((A154)+1)/2)*(Inputs!$J$9-Inputs!$I$9)))/Inputs!$K$9)^2))^2)))))/Inputs!$C$13)</x:f>
        <x:v>-1873.8017153515684</x:v>
      </x:c>
    </x:row>
    <x:row r="155">
      <x:c r="A155" s="48" t="n">
        <x:f>ROUND(-1+153*2/240,3)</x:f>
        <x:v>0.275</x:v>
      </x:c>
      <x:c r="B155" s="48" t="n">
        <x:f>IF(OR(Inputs!$F$6=TRUE,Inputs!$F$6="TRUE",Inputs!$F$6=1),(Inputs!$H$6+Inputs!$L$6*(((Inputs!$I$6+(((A155)+1)/2)*(Inputs!$J$6-Inputs!$I$6)))/Inputs!$K$6)^2),NA())</x:f>
        <x:v>400.3025</x:v>
      </x:c>
      <x:c r="C155" s="48" t="n">
        <x:f>IF(OR(Inputs!$F$7=TRUE,Inputs!$F$7="TRUE",Inputs!$F$7=1),(Inputs!$H$7+Inputs!$L$7*(((Inputs!$I$7+(((A155)+1)/2)*(Inputs!$J$7-Inputs!$I$7)))/Inputs!$K$7)^2),NA())</x:f>
        <x:v>62.60312499999997</x:v>
      </x:c>
      <x:c r="D155" s="48" t="n">
        <x:f>IF(OR(Inputs!$F$8=TRUE,Inputs!$F$8="TRUE",Inputs!$F$8=1),(Inputs!$H$8+Inputs!$L$8*(((Inputs!$I$8+(((A155)+1)/2)*(Inputs!$J$8-Inputs!$I$8)))/Inputs!$K$8)^2),NA())</x:f>
        <x:v>107.97812499999992</x:v>
      </x:c>
      <x:c r="E155" s="48" t="n">
        <x:f>IF(OR(Inputs!$F$9=TRUE,Inputs!$F$9="TRUE",Inputs!$F$9=1),(Inputs!$H$9+Inputs!$L$9*(((Inputs!$I$9+(((A155)+1)/2)*(Inputs!$J$9-Inputs!$I$9)))/Inputs!$K$9)^2),NA())</x:f>
        <x:v>98.73437499999991</x:v>
      </x:c>
      <x:c r="F155" s="49"/>
      <x:c r="G155" s="48" t="n">
        <x:f>A155</x:f>
        <x:v>0.275</x:v>
      </x:c>
      <x:c r="H155" s="48" t="n">
        <x:f>IF(OR(Inputs!$F$6=TRUE,Inputs!$F$6="TRUE",Inputs!$F$6=1),(((SQRT(((Inputs!$I$6+(((A155)+1)/2)*(Inputs!$J$6-Inputs!$I$6)))^2+Inputs!$C$6^2+((Inputs!$H$6+Inputs!$L$6*(((Inputs!$I$6+(((A155)+1)/2)*(Inputs!$J$6-Inputs!$I$6)))/Inputs!$K$6)^2))^2))-((Inputs!$H$6+Inputs!$L$6*(((Inputs!$I$6+(((A155)+1)/2)*(Inputs!$J$6-Inputs!$I$6)))/Inputs!$K$6)^2)))*1000/Inputs!$C$12),NA())</x:f>
        <x:v>628.7362472252798</x:v>
      </x:c>
      <x:c r="I155" s="48" t="n">
        <x:f>IF(OR(Inputs!$F$7=TRUE,Inputs!$F$7="TRUE",Inputs!$F$7=1),(((SQRT(((Inputs!$I$7+(((A155)+1)/2)*(Inputs!$J$7-Inputs!$I$7)))^2+Inputs!$C$6^2+((Inputs!$H$7+Inputs!$L$7*(((Inputs!$I$7+(((A155)+1)/2)*(Inputs!$J$7-Inputs!$I$7)))/Inputs!$K$7)^2))^2))-((Inputs!$H$7+Inputs!$L$7*(((Inputs!$I$7+(((A155)+1)/2)*(Inputs!$J$7-Inputs!$I$7)))/Inputs!$K$7)^2)))*1000/Inputs!$C$12),NA())</x:f>
        <x:v>37308.47674547822</x:v>
      </x:c>
      <x:c r="J155" s="48" t="n">
        <x:f>IF(OR(Inputs!$F$8=TRUE,Inputs!$F$8="TRUE",Inputs!$F$8=1),(((SQRT(((Inputs!$I$8+(((A155)+1)/2)*(Inputs!$J$8-Inputs!$I$8)))^2+Inputs!$C$6^2+((Inputs!$H$8+Inputs!$L$8*(((Inputs!$I$8+(((A155)+1)/2)*(Inputs!$J$8-Inputs!$I$8)))/Inputs!$K$8)^2))^2))-((Inputs!$H$8+Inputs!$L$8*(((Inputs!$I$8+(((A155)+1)/2)*(Inputs!$J$8-Inputs!$I$8)))/Inputs!$K$8)^2)))*1000/Inputs!$C$12),NA())</x:f>
        <x:v>77732.39376189453</x:v>
      </x:c>
      <x:c r="K155" s="48" t="n">
        <x:f>IF(OR(Inputs!$F$9=TRUE,Inputs!$F$9="TRUE",Inputs!$F$9=1),(((SQRT(((Inputs!$I$9+(((A155)+1)/2)*(Inputs!$J$9-Inputs!$I$9)))^2+Inputs!$C$6^2+((Inputs!$H$9+Inputs!$L$9*(((Inputs!$I$9+(((A155)+1)/2)*(Inputs!$J$9-Inputs!$I$9)))/Inputs!$K$9)^2))^2))-((Inputs!$H$9+Inputs!$L$9*(((Inputs!$I$9+(((A155)+1)/2)*(Inputs!$J$9-Inputs!$I$9)))/Inputs!$K$9)^2)))*1000/Inputs!$C$12),NA())</x:f>
        <x:v>80729.23707190675</x:v>
      </x:c>
      <x:c r="L155" s="49"/>
      <x:c r="M155" s="48" t="n">
        <x:f>A155</x:f>
        <x:v>0.275</x:v>
      </x:c>
      <x:c r="N155" s="48" t="n">
        <x:f>IF(OR(Inputs!$F$6=TRUE,Inputs!$F$6="TRUE",Inputs!$F$6=1),(-2*((1000*((((Inputs!$I$6+(((A155)+1)/2)*(Inputs!$J$6-Inputs!$I$6)))*Inputs!$C$11+((Inputs!$H$6+Inputs!$L$6*(((Inputs!$I$6+(((A155)+1)/2)*(Inputs!$J$6-Inputs!$I$6)))/Inputs!$K$6)^2))*((2*Inputs!$L$6*((Inputs!$I$6+(((A155)+1)/2)*(Inputs!$J$6-Inputs!$I$6)))/(Inputs!$K$6^2)*Inputs!$C$11)))/(SQRT(((Inputs!$I$6+(((A155)+1)/2)*(Inputs!$J$6-Inputs!$I$6)))^2+Inputs!$C$6^2+((Inputs!$H$6+Inputs!$L$6*(((Inputs!$I$6+(((A155)+1)/2)*(Inputs!$J$6-Inputs!$I$6)))/Inputs!$K$6)^2))^2)))))/Inputs!$C$13),NA())</x:f>
        <x:v>-124.26936431730994</x:v>
      </x:c>
      <x:c r="O155" s="48" t="n">
        <x:f>IF(OR(Inputs!$F$7=TRUE,Inputs!$F$7="TRUE",Inputs!$F$7=1),(-2*((1000*((((Inputs!$I$7+(((A155)+1)/2)*(Inputs!$J$7-Inputs!$I$7)))*Inputs!$C$11+((Inputs!$H$7+Inputs!$L$7*(((Inputs!$I$7+(((A155)+1)/2)*(Inputs!$J$7-Inputs!$I$7)))/Inputs!$K$7)^2))*((2*Inputs!$L$7*((Inputs!$I$7+(((A155)+1)/2)*(Inputs!$J$7-Inputs!$I$7)))/(Inputs!$K$7^2)*Inputs!$C$11)))/(SQRT(((Inputs!$I$7+(((A155)+1)/2)*(Inputs!$J$7-Inputs!$I$7)))^2+Inputs!$C$6^2+((Inputs!$H$7+Inputs!$L$7*(((Inputs!$I$7+(((A155)+1)/2)*(Inputs!$J$7-Inputs!$I$7)))/Inputs!$K$7)^2))^2)))))/Inputs!$C$13),NA())</x:f>
        <x:v>-1753.8673513839185</x:v>
      </x:c>
      <x:c r="P155" s="48" t="n">
        <x:f>IF(OR(Inputs!$F$8=TRUE,Inputs!$F$8="TRUE",Inputs!$F$8=1),(-2*((1000*((((Inputs!$I$8+(((A155)+1)/2)*(Inputs!$J$8-Inputs!$I$8)))*Inputs!$C$11+((Inputs!$H$8+Inputs!$L$8*(((Inputs!$I$8+(((A155)+1)/2)*(Inputs!$J$8-Inputs!$I$8)))/Inputs!$K$8)^2))*((2*Inputs!$L$8*((Inputs!$I$8+(((A155)+1)/2)*(Inputs!$J$8-Inputs!$I$8)))/(Inputs!$K$8^2)*Inputs!$C$11)))/(SQRT(((Inputs!$I$8+(((A155)+1)/2)*(Inputs!$J$8-Inputs!$I$8)))^2+Inputs!$C$6^2+((Inputs!$H$8+Inputs!$L$8*(((Inputs!$I$8+(((A155)+1)/2)*(Inputs!$J$8-Inputs!$I$8)))/Inputs!$K$8)^2))^2)))))/Inputs!$C$13),NA())</x:f>
        <x:v>-1894.1925666000066</x:v>
      </x:c>
      <x:c r="Q155" s="48" t="n">
        <x:f>IF(OR(Inputs!$F$9=TRUE,Inputs!$F$9="TRUE",Inputs!$F$9=1),(-2*((1000*((((Inputs!$I$9+(((A155)+1)/2)*(Inputs!$J$9-Inputs!$I$9)))*Inputs!$C$11+((Inputs!$H$9+Inputs!$L$9*(((Inputs!$I$9+(((A155)+1)/2)*(Inputs!$J$9-Inputs!$I$9)))/Inputs!$K$9)^2))*((2*Inputs!$L$9*((Inputs!$I$9+(((A155)+1)/2)*(Inputs!$J$9-Inputs!$I$9)))/(Inputs!$K$9^2)*Inputs!$C$11)))/(SQRT(((Inputs!$I$9+(((A155)+1)/2)*(Inputs!$J$9-Inputs!$I$9)))^2+Inputs!$C$6^2+((Inputs!$H$9+Inputs!$L$9*(((Inputs!$I$9+(((A155)+1)/2)*(Inputs!$J$9-Inputs!$I$9)))/Inputs!$K$9)^2))^2)))))/Inputs!$C$13),NA())</x:f>
        <x:v>-1888.7433573298742</x:v>
      </x:c>
      <x:c r="R155" s="49"/>
      <x:c r="S155" s="48" t="n">
        <x:f>A155</x:f>
        <x:v>0.275</x:v>
      </x:c>
      <x:c r="T155" s="48" t="n">
        <x:f>(Inputs!$I$6+(((A155)+1)/2)*(Inputs!$J$6-Inputs!$I$6))</x:f>
        <x:v>16.5</x:v>
      </x:c>
      <x:c r="U155" s="48" t="n">
        <x:f>(Inputs!$I$7+(((A155)+1)/2)*(Inputs!$J$7-Inputs!$I$7))</x:f>
        <x:v>109.99999999999994</x:v>
      </x:c>
      <x:c r="V155" s="48" t="n">
        <x:f>(Inputs!$I$8+(((A155)+1)/2)*(Inputs!$J$8-Inputs!$I$8))</x:f>
        <x:v>219.9999999999999</x:v>
      </x:c>
      <x:c r="W155" s="48" t="n">
        <x:f>(Inputs!$I$9+(((A155)+1)/2)*(Inputs!$J$9-Inputs!$I$9))</x:f>
        <x:v>219.9999999999999</x:v>
      </x:c>
      <x:c r="X155" s="49"/>
      <x:c r="Y155" s="48" t="n">
        <x:f>A155</x:f>
        <x:v>0.275</x:v>
      </x:c>
      <x:c r="Z155" s="48" t="n">
        <x:f>(Inputs!$H$6+Inputs!$L$6*(((Inputs!$I$6+(((A155)+1)/2)*(Inputs!$J$6-Inputs!$I$6)))/Inputs!$K$6)^2)</x:f>
        <x:v>400.3025</x:v>
      </x:c>
      <x:c r="AA155" s="48" t="n">
        <x:f>(Inputs!$H$7+Inputs!$L$7*(((Inputs!$I$7+(((A155)+1)/2)*(Inputs!$J$7-Inputs!$I$7)))/Inputs!$K$7)^2)</x:f>
        <x:v>62.60312499999997</x:v>
      </x:c>
      <x:c r="AB155" s="48" t="n">
        <x:f>(Inputs!$H$8+Inputs!$L$8*(((Inputs!$I$8+(((A155)+1)/2)*(Inputs!$J$8-Inputs!$I$8)))/Inputs!$K$8)^2)</x:f>
        <x:v>107.97812499999992</x:v>
      </x:c>
      <x:c r="AC155" s="48" t="n">
        <x:f>(Inputs!$H$9+Inputs!$L$9*(((Inputs!$I$9+(((A155)+1)/2)*(Inputs!$J$9-Inputs!$I$9)))/Inputs!$K$9)^2)</x:f>
        <x:v>98.73437499999991</x:v>
      </x:c>
      <x:c r="AD155" s="49"/>
      <x:c r="AE155" s="48" t="n">
        <x:f>A155</x:f>
        <x:v>0.275</x:v>
      </x:c>
      <x:c r="AF155" s="48" t="n">
        <x:f>(((SQRT(((Inputs!$I$6+(((A155)+1)/2)*(Inputs!$J$6-Inputs!$I$6)))^2+Inputs!$C$6^2+((Inputs!$H$6+Inputs!$L$6*(((Inputs!$I$6+(((A155)+1)/2)*(Inputs!$J$6-Inputs!$I$6)))/Inputs!$K$6)^2))^2))-((Inputs!$H$6+Inputs!$L$6*(((Inputs!$I$6+(((A155)+1)/2)*(Inputs!$J$6-Inputs!$I$6)))/Inputs!$K$6)^2)))*1000/Inputs!$C$12)</x:f>
        <x:v>628.7362472252798</x:v>
      </x:c>
      <x:c r="AG155" s="48" t="n">
        <x:f>(((SQRT(((Inputs!$I$7+(((A155)+1)/2)*(Inputs!$J$7-Inputs!$I$7)))^2+Inputs!$C$6^2+((Inputs!$H$7+Inputs!$L$7*(((Inputs!$I$7+(((A155)+1)/2)*(Inputs!$J$7-Inputs!$I$7)))/Inputs!$K$7)^2))^2))-((Inputs!$H$7+Inputs!$L$7*(((Inputs!$I$7+(((A155)+1)/2)*(Inputs!$J$7-Inputs!$I$7)))/Inputs!$K$7)^2)))*1000/Inputs!$C$12)</x:f>
        <x:v>37308.47674547822</x:v>
      </x:c>
      <x:c r="AH155" s="48" t="n">
        <x:f>(((SQRT(((Inputs!$I$8+(((A155)+1)/2)*(Inputs!$J$8-Inputs!$I$8)))^2+Inputs!$C$6^2+((Inputs!$H$8+Inputs!$L$8*(((Inputs!$I$8+(((A155)+1)/2)*(Inputs!$J$8-Inputs!$I$8)))/Inputs!$K$8)^2))^2))-((Inputs!$H$8+Inputs!$L$8*(((Inputs!$I$8+(((A155)+1)/2)*(Inputs!$J$8-Inputs!$I$8)))/Inputs!$K$8)^2)))*1000/Inputs!$C$12)</x:f>
        <x:v>77732.39376189453</x:v>
      </x:c>
      <x:c r="AI155" s="48" t="n">
        <x:f>(((SQRT(((Inputs!$I$9+(((A155)+1)/2)*(Inputs!$J$9-Inputs!$I$9)))^2+Inputs!$C$6^2+((Inputs!$H$9+Inputs!$L$9*(((Inputs!$I$9+(((A155)+1)/2)*(Inputs!$J$9-Inputs!$I$9)))/Inputs!$K$9)^2))^2))-((Inputs!$H$9+Inputs!$L$9*(((Inputs!$I$9+(((A155)+1)/2)*(Inputs!$J$9-Inputs!$I$9)))/Inputs!$K$9)^2)))*1000/Inputs!$C$12)</x:f>
        <x:v>80729.23707190675</x:v>
      </x:c>
      <x:c r="AJ155" s="49"/>
      <x:c r="AK155" s="48" t="n">
        <x:f>A155</x:f>
        <x:v>0.275</x:v>
      </x:c>
      <x:c r="AL155" s="48" t="n">
        <x:f>(-2*((1000*((((Inputs!$I$6+(((A155)+1)/2)*(Inputs!$J$6-Inputs!$I$6)))*Inputs!$C$11+((Inputs!$H$6+Inputs!$L$6*(((Inputs!$I$6+(((A155)+1)/2)*(Inputs!$J$6-Inputs!$I$6)))/Inputs!$K$6)^2))*((2*Inputs!$L$6*((Inputs!$I$6+(((A155)+1)/2)*(Inputs!$J$6-Inputs!$I$6)))/(Inputs!$K$6^2)*Inputs!$C$11)))/(SQRT(((Inputs!$I$6+(((A155)+1)/2)*(Inputs!$J$6-Inputs!$I$6)))^2+Inputs!$C$6^2+((Inputs!$H$6+Inputs!$L$6*(((Inputs!$I$6+(((A155)+1)/2)*(Inputs!$J$6-Inputs!$I$6)))/Inputs!$K$6)^2))^2)))))/Inputs!$C$13)</x:f>
        <x:v>-124.26936431730994</x:v>
      </x:c>
      <x:c r="AM155" s="48" t="n">
        <x:f>(-2*((1000*((((Inputs!$I$7+(((A155)+1)/2)*(Inputs!$J$7-Inputs!$I$7)))*Inputs!$C$11+((Inputs!$H$7+Inputs!$L$7*(((Inputs!$I$7+(((A155)+1)/2)*(Inputs!$J$7-Inputs!$I$7)))/Inputs!$K$7)^2))*((2*Inputs!$L$7*((Inputs!$I$7+(((A155)+1)/2)*(Inputs!$J$7-Inputs!$I$7)))/(Inputs!$K$7^2)*Inputs!$C$11)))/(SQRT(((Inputs!$I$7+(((A155)+1)/2)*(Inputs!$J$7-Inputs!$I$7)))^2+Inputs!$C$6^2+((Inputs!$H$7+Inputs!$L$7*(((Inputs!$I$7+(((A155)+1)/2)*(Inputs!$J$7-Inputs!$I$7)))/Inputs!$K$7)^2))^2)))))/Inputs!$C$13)</x:f>
        <x:v>-1753.8673513839185</x:v>
      </x:c>
      <x:c r="AN155" s="48" t="n">
        <x:f>(-2*((1000*((((Inputs!$I$8+(((A155)+1)/2)*(Inputs!$J$8-Inputs!$I$8)))*Inputs!$C$11+((Inputs!$H$8+Inputs!$L$8*(((Inputs!$I$8+(((A155)+1)/2)*(Inputs!$J$8-Inputs!$I$8)))/Inputs!$K$8)^2))*((2*Inputs!$L$8*((Inputs!$I$8+(((A155)+1)/2)*(Inputs!$J$8-Inputs!$I$8)))/(Inputs!$K$8^2)*Inputs!$C$11)))/(SQRT(((Inputs!$I$8+(((A155)+1)/2)*(Inputs!$J$8-Inputs!$I$8)))^2+Inputs!$C$6^2+((Inputs!$H$8+Inputs!$L$8*(((Inputs!$I$8+(((A155)+1)/2)*(Inputs!$J$8-Inputs!$I$8)))/Inputs!$K$8)^2))^2)))))/Inputs!$C$13)</x:f>
        <x:v>-1894.1925666000066</x:v>
      </x:c>
      <x:c r="AO155" s="48" t="n">
        <x:f>(-2*((1000*((((Inputs!$I$9+(((A155)+1)/2)*(Inputs!$J$9-Inputs!$I$9)))*Inputs!$C$11+((Inputs!$H$9+Inputs!$L$9*(((Inputs!$I$9+(((A155)+1)/2)*(Inputs!$J$9-Inputs!$I$9)))/Inputs!$K$9)^2))*((2*Inputs!$L$9*((Inputs!$I$9+(((A155)+1)/2)*(Inputs!$J$9-Inputs!$I$9)))/(Inputs!$K$9^2)*Inputs!$C$11)))/(SQRT(((Inputs!$I$9+(((A155)+1)/2)*(Inputs!$J$9-Inputs!$I$9)))^2+Inputs!$C$6^2+((Inputs!$H$9+Inputs!$L$9*(((Inputs!$I$9+(((A155)+1)/2)*(Inputs!$J$9-Inputs!$I$9)))/Inputs!$K$9)^2))^2)))))/Inputs!$C$13)</x:f>
        <x:v>-1888.7433573298742</x:v>
      </x:c>
    </x:row>
    <x:row r="156">
      <x:c r="A156" s="48" t="n">
        <x:f>ROUND(-1+154*2/240,3)</x:f>
        <x:v>0.283</x:v>
      </x:c>
      <x:c r="B156" s="48" t="n">
        <x:f>IF(OR(Inputs!$F$6=TRUE,Inputs!$F$6="TRUE",Inputs!$F$6=1),(Inputs!$H$6+Inputs!$L$6*(((Inputs!$I$6+(((A156)+1)/2)*(Inputs!$J$6-Inputs!$I$6)))/Inputs!$K$6)^2),NA())</x:f>
        <x:v>400.320356</x:v>
      </x:c>
      <x:c r="C156" s="48" t="n">
        <x:f>IF(OR(Inputs!$F$7=TRUE,Inputs!$F$7="TRUE",Inputs!$F$7=1),(Inputs!$H$7+Inputs!$L$7*(((Inputs!$I$7+(((A156)+1)/2)*(Inputs!$J$7-Inputs!$I$7)))/Inputs!$K$7)^2),NA())</x:f>
        <x:v>64.23248499999997</x:v>
      </x:c>
      <x:c r="D156" s="48" t="n">
        <x:f>IF(OR(Inputs!$F$8=TRUE,Inputs!$F$8="TRUE",Inputs!$F$8=1),(Inputs!$H$8+Inputs!$L$8*(((Inputs!$I$8+(((A156)+1)/2)*(Inputs!$J$8-Inputs!$I$8)))/Inputs!$K$8)^2),NA())</x:f>
        <x:v>112.2858849999999</x:v>
      </x:c>
      <x:c r="E156" s="48" t="n">
        <x:f>IF(OR(Inputs!$F$9=TRUE,Inputs!$F$9="TRUE",Inputs!$F$9=1),(Inputs!$H$9+Inputs!$L$9*(((Inputs!$I$9+(((A156)+1)/2)*(Inputs!$J$9-Inputs!$I$9)))/Inputs!$K$9)^2),NA())</x:f>
        <x:v>103.0867749999999</x:v>
      </x:c>
      <x:c r="F156" s="49"/>
      <x:c r="G156" s="48" t="n">
        <x:f>A156</x:f>
        <x:v>0.283</x:v>
      </x:c>
      <x:c r="H156" s="48" t="n">
        <x:f>IF(OR(Inputs!$F$6=TRUE,Inputs!$F$6="TRUE",Inputs!$F$6=1),(((SQRT(((Inputs!$I$6+(((A156)+1)/2)*(Inputs!$J$6-Inputs!$I$6)))^2+Inputs!$C$6^2+((Inputs!$H$6+Inputs!$L$6*(((Inputs!$I$6+(((A156)+1)/2)*(Inputs!$J$6-Inputs!$I$6)))/Inputs!$K$6)^2))^2))-((Inputs!$H$6+Inputs!$L$6*(((Inputs!$I$6+(((A156)+1)/2)*(Inputs!$J$6-Inputs!$I$6)))/Inputs!$K$6)^2)))*1000/Inputs!$C$12),NA())</x:f>
        <x:v>639.9529275505324</x:v>
      </x:c>
      <x:c r="I156" s="48" t="n">
        <x:f>IF(OR(Inputs!$F$7=TRUE,Inputs!$F$7="TRUE",Inputs!$F$7=1),(((SQRT(((Inputs!$I$7+(((A156)+1)/2)*(Inputs!$J$7-Inputs!$I$7)))^2+Inputs!$C$6^2+((Inputs!$H$7+Inputs!$L$7*(((Inputs!$I$7+(((A156)+1)/2)*(Inputs!$J$7-Inputs!$I$7)))/Inputs!$K$7)^2))^2))-((Inputs!$H$7+Inputs!$L$7*(((Inputs!$I$7+(((A156)+1)/2)*(Inputs!$J$7-Inputs!$I$7)))/Inputs!$K$7)^2)))*1000/Inputs!$C$12),NA())</x:f>
        <x:v>38371.19461792834</x:v>
      </x:c>
      <x:c r="J156" s="48" t="n">
        <x:f>IF(OR(Inputs!$F$8=TRUE,Inputs!$F$8="TRUE",Inputs!$F$8=1),(((SQRT(((Inputs!$I$8+(((A156)+1)/2)*(Inputs!$J$8-Inputs!$I$8)))^2+Inputs!$C$6^2+((Inputs!$H$8+Inputs!$L$8*(((Inputs!$I$8+(((A156)+1)/2)*(Inputs!$J$8-Inputs!$I$8)))/Inputs!$K$8)^2))^2))-((Inputs!$H$8+Inputs!$L$8*(((Inputs!$I$8+(((A156)+1)/2)*(Inputs!$J$8-Inputs!$I$8)))/Inputs!$K$8)^2)))*1000/Inputs!$C$12),NA())</x:f>
        <x:v>79586.00347949007</x:v>
      </x:c>
      <x:c r="K156" s="48" t="n">
        <x:f>IF(OR(Inputs!$F$9=TRUE,Inputs!$F$9="TRUE",Inputs!$F$9=1),(((SQRT(((Inputs!$I$9+(((A156)+1)/2)*(Inputs!$J$9-Inputs!$I$9)))^2+Inputs!$C$6^2+((Inputs!$H$9+Inputs!$L$9*(((Inputs!$I$9+(((A156)+1)/2)*(Inputs!$J$9-Inputs!$I$9)))/Inputs!$K$9)^2))^2))-((Inputs!$H$9+Inputs!$L$9*(((Inputs!$I$9+(((A156)+1)/2)*(Inputs!$J$9-Inputs!$I$9)))/Inputs!$K$9)^2)))*1000/Inputs!$C$12),NA())</x:f>
        <x:v>82545.45546866898</x:v>
      </x:c>
      <x:c r="L156" s="49"/>
      <x:c r="M156" s="48" t="n">
        <x:f>A156</x:f>
        <x:v>0.283</x:v>
      </x:c>
      <x:c r="N156" s="48" t="n">
        <x:f>IF(OR(Inputs!$F$6=TRUE,Inputs!$F$6="TRUE",Inputs!$F$6=1),(-2*((1000*((((Inputs!$I$6+(((A156)+1)/2)*(Inputs!$J$6-Inputs!$I$6)))*Inputs!$C$11+((Inputs!$H$6+Inputs!$L$6*(((Inputs!$I$6+(((A156)+1)/2)*(Inputs!$J$6-Inputs!$I$6)))/Inputs!$K$6)^2))*((2*Inputs!$L$6*((Inputs!$I$6+(((A156)+1)/2)*(Inputs!$J$6-Inputs!$I$6)))/(Inputs!$K$6^2)*Inputs!$C$11)))/(SQRT(((Inputs!$I$6+(((A156)+1)/2)*(Inputs!$J$6-Inputs!$I$6)))^2+Inputs!$C$6^2+((Inputs!$H$6+Inputs!$L$6*(((Inputs!$I$6+(((A156)+1)/2)*(Inputs!$J$6-Inputs!$I$6)))/Inputs!$K$6)^2))^2)))))/Inputs!$C$13),NA())</x:f>
        <x:v>-127.87511030732358</x:v>
      </x:c>
      <x:c r="O156" s="48" t="n">
        <x:f>IF(OR(Inputs!$F$7=TRUE,Inputs!$F$7="TRUE",Inputs!$F$7=1),(-2*((1000*((((Inputs!$I$7+(((A156)+1)/2)*(Inputs!$J$7-Inputs!$I$7)))*Inputs!$C$11+((Inputs!$H$7+Inputs!$L$7*(((Inputs!$I$7+(((A156)+1)/2)*(Inputs!$J$7-Inputs!$I$7)))/Inputs!$K$7)^2))*((2*Inputs!$L$7*((Inputs!$I$7+(((A156)+1)/2)*(Inputs!$J$7-Inputs!$I$7)))/(Inputs!$K$7^2)*Inputs!$C$11)))/(SQRT(((Inputs!$I$7+(((A156)+1)/2)*(Inputs!$J$7-Inputs!$I$7)))^2+Inputs!$C$6^2+((Inputs!$H$7+Inputs!$L$7*(((Inputs!$I$7+(((A156)+1)/2)*(Inputs!$J$7-Inputs!$I$7)))/Inputs!$K$7)^2))^2)))))/Inputs!$C$13),NA())</x:f>
        <x:v>-1767.0978752833016</x:v>
      </x:c>
      <x:c r="P156" s="48" t="n">
        <x:f>IF(OR(Inputs!$F$8=TRUE,Inputs!$F$8="TRUE",Inputs!$F$8=1),(-2*((1000*((((Inputs!$I$8+(((A156)+1)/2)*(Inputs!$J$8-Inputs!$I$8)))*Inputs!$C$11+((Inputs!$H$8+Inputs!$L$8*(((Inputs!$I$8+(((A156)+1)/2)*(Inputs!$J$8-Inputs!$I$8)))/Inputs!$K$8)^2))*((2*Inputs!$L$8*((Inputs!$I$8+(((A156)+1)/2)*(Inputs!$J$8-Inputs!$I$8)))/(Inputs!$K$8^2)*Inputs!$C$11)))/(SQRT(((Inputs!$I$8+(((A156)+1)/2)*(Inputs!$J$8-Inputs!$I$8)))^2+Inputs!$C$6^2+((Inputs!$H$8+Inputs!$L$8*(((Inputs!$I$8+(((A156)+1)/2)*(Inputs!$J$8-Inputs!$I$8)))/Inputs!$K$8)^2))^2)))))/Inputs!$C$13),NA())</x:f>
        <x:v>-1909.4342173445505</x:v>
      </x:c>
      <x:c r="Q156" s="48" t="n">
        <x:f>IF(OR(Inputs!$F$9=TRUE,Inputs!$F$9="TRUE",Inputs!$F$9=1),(-2*((1000*((((Inputs!$I$9+(((A156)+1)/2)*(Inputs!$J$9-Inputs!$I$9)))*Inputs!$C$11+((Inputs!$H$9+Inputs!$L$9*(((Inputs!$I$9+(((A156)+1)/2)*(Inputs!$J$9-Inputs!$I$9)))/Inputs!$K$9)^2))*((2*Inputs!$L$9*((Inputs!$I$9+(((A156)+1)/2)*(Inputs!$J$9-Inputs!$I$9)))/(Inputs!$K$9^2)*Inputs!$C$11)))/(SQRT(((Inputs!$I$9+(((A156)+1)/2)*(Inputs!$J$9-Inputs!$I$9)))^2+Inputs!$C$6^2+((Inputs!$H$9+Inputs!$L$9*(((Inputs!$I$9+(((A156)+1)/2)*(Inputs!$J$9-Inputs!$I$9)))/Inputs!$K$9)^2))^2)))))/Inputs!$C$13),NA())</x:f>
        <x:v>-1903.9328044717065</x:v>
      </x:c>
      <x:c r="R156" s="49"/>
      <x:c r="S156" s="48" t="n">
        <x:f>A156</x:f>
        <x:v>0.283</x:v>
      </x:c>
      <x:c r="T156" s="48" t="n">
        <x:f>(Inputs!$I$6+(((A156)+1)/2)*(Inputs!$J$6-Inputs!$I$6))</x:f>
        <x:v>16.97999999999999</x:v>
      </x:c>
      <x:c r="U156" s="48" t="n">
        <x:f>(Inputs!$I$7+(((A156)+1)/2)*(Inputs!$J$7-Inputs!$I$7))</x:f>
        <x:v>113.19999999999993</x:v>
      </x:c>
      <x:c r="V156" s="48" t="n">
        <x:f>(Inputs!$I$8+(((A156)+1)/2)*(Inputs!$J$8-Inputs!$I$8))</x:f>
        <x:v>226.39999999999986</x:v>
      </x:c>
      <x:c r="W156" s="48" t="n">
        <x:f>(Inputs!$I$9+(((A156)+1)/2)*(Inputs!$J$9-Inputs!$I$9))</x:f>
        <x:v>226.39999999999986</x:v>
      </x:c>
      <x:c r="X156" s="49"/>
      <x:c r="Y156" s="48" t="n">
        <x:f>A156</x:f>
        <x:v>0.283</x:v>
      </x:c>
      <x:c r="Z156" s="48" t="n">
        <x:f>(Inputs!$H$6+Inputs!$L$6*(((Inputs!$I$6+(((A156)+1)/2)*(Inputs!$J$6-Inputs!$I$6)))/Inputs!$K$6)^2)</x:f>
        <x:v>400.320356</x:v>
      </x:c>
      <x:c r="AA156" s="48" t="n">
        <x:f>(Inputs!$H$7+Inputs!$L$7*(((Inputs!$I$7+(((A156)+1)/2)*(Inputs!$J$7-Inputs!$I$7)))/Inputs!$K$7)^2)</x:f>
        <x:v>64.23248499999997</x:v>
      </x:c>
      <x:c r="AB156" s="48" t="n">
        <x:f>(Inputs!$H$8+Inputs!$L$8*(((Inputs!$I$8+(((A156)+1)/2)*(Inputs!$J$8-Inputs!$I$8)))/Inputs!$K$8)^2)</x:f>
        <x:v>112.2858849999999</x:v>
      </x:c>
      <x:c r="AC156" s="48" t="n">
        <x:f>(Inputs!$H$9+Inputs!$L$9*(((Inputs!$I$9+(((A156)+1)/2)*(Inputs!$J$9-Inputs!$I$9)))/Inputs!$K$9)^2)</x:f>
        <x:v>103.0867749999999</x:v>
      </x:c>
      <x:c r="AD156" s="49"/>
      <x:c r="AE156" s="48" t="n">
        <x:f>A156</x:f>
        <x:v>0.283</x:v>
      </x:c>
      <x:c r="AF156" s="48" t="n">
        <x:f>(((SQRT(((Inputs!$I$6+(((A156)+1)/2)*(Inputs!$J$6-Inputs!$I$6)))^2+Inputs!$C$6^2+((Inputs!$H$6+Inputs!$L$6*(((Inputs!$I$6+(((A156)+1)/2)*(Inputs!$J$6-Inputs!$I$6)))/Inputs!$K$6)^2))^2))-((Inputs!$H$6+Inputs!$L$6*(((Inputs!$I$6+(((A156)+1)/2)*(Inputs!$J$6-Inputs!$I$6)))/Inputs!$K$6)^2)))*1000/Inputs!$C$12)</x:f>
        <x:v>639.9529275505324</x:v>
      </x:c>
      <x:c r="AG156" s="48" t="n">
        <x:f>(((SQRT(((Inputs!$I$7+(((A156)+1)/2)*(Inputs!$J$7-Inputs!$I$7)))^2+Inputs!$C$6^2+((Inputs!$H$7+Inputs!$L$7*(((Inputs!$I$7+(((A156)+1)/2)*(Inputs!$J$7-Inputs!$I$7)))/Inputs!$K$7)^2))^2))-((Inputs!$H$7+Inputs!$L$7*(((Inputs!$I$7+(((A156)+1)/2)*(Inputs!$J$7-Inputs!$I$7)))/Inputs!$K$7)^2)))*1000/Inputs!$C$12)</x:f>
        <x:v>38371.19461792834</x:v>
      </x:c>
      <x:c r="AH156" s="48" t="n">
        <x:f>(((SQRT(((Inputs!$I$8+(((A156)+1)/2)*(Inputs!$J$8-Inputs!$I$8)))^2+Inputs!$C$6^2+((Inputs!$H$8+Inputs!$L$8*(((Inputs!$I$8+(((A156)+1)/2)*(Inputs!$J$8-Inputs!$I$8)))/Inputs!$K$8)^2))^2))-((Inputs!$H$8+Inputs!$L$8*(((Inputs!$I$8+(((A156)+1)/2)*(Inputs!$J$8-Inputs!$I$8)))/Inputs!$K$8)^2)))*1000/Inputs!$C$12)</x:f>
        <x:v>79586.00347949007</x:v>
      </x:c>
      <x:c r="AI156" s="48" t="n">
        <x:f>(((SQRT(((Inputs!$I$9+(((A156)+1)/2)*(Inputs!$J$9-Inputs!$I$9)))^2+Inputs!$C$6^2+((Inputs!$H$9+Inputs!$L$9*(((Inputs!$I$9+(((A156)+1)/2)*(Inputs!$J$9-Inputs!$I$9)))/Inputs!$K$9)^2))^2))-((Inputs!$H$9+Inputs!$L$9*(((Inputs!$I$9+(((A156)+1)/2)*(Inputs!$J$9-Inputs!$I$9)))/Inputs!$K$9)^2)))*1000/Inputs!$C$12)</x:f>
        <x:v>82545.45546866898</x:v>
      </x:c>
      <x:c r="AJ156" s="49"/>
      <x:c r="AK156" s="48" t="n">
        <x:f>A156</x:f>
        <x:v>0.283</x:v>
      </x:c>
      <x:c r="AL156" s="48" t="n">
        <x:f>(-2*((1000*((((Inputs!$I$6+(((A156)+1)/2)*(Inputs!$J$6-Inputs!$I$6)))*Inputs!$C$11+((Inputs!$H$6+Inputs!$L$6*(((Inputs!$I$6+(((A156)+1)/2)*(Inputs!$J$6-Inputs!$I$6)))/Inputs!$K$6)^2))*((2*Inputs!$L$6*((Inputs!$I$6+(((A156)+1)/2)*(Inputs!$J$6-Inputs!$I$6)))/(Inputs!$K$6^2)*Inputs!$C$11)))/(SQRT(((Inputs!$I$6+(((A156)+1)/2)*(Inputs!$J$6-Inputs!$I$6)))^2+Inputs!$C$6^2+((Inputs!$H$6+Inputs!$L$6*(((Inputs!$I$6+(((A156)+1)/2)*(Inputs!$J$6-Inputs!$I$6)))/Inputs!$K$6)^2))^2)))))/Inputs!$C$13)</x:f>
        <x:v>-127.87511030732358</x:v>
      </x:c>
      <x:c r="AM156" s="48" t="n">
        <x:f>(-2*((1000*((((Inputs!$I$7+(((A156)+1)/2)*(Inputs!$J$7-Inputs!$I$7)))*Inputs!$C$11+((Inputs!$H$7+Inputs!$L$7*(((Inputs!$I$7+(((A156)+1)/2)*(Inputs!$J$7-Inputs!$I$7)))/Inputs!$K$7)^2))*((2*Inputs!$L$7*((Inputs!$I$7+(((A156)+1)/2)*(Inputs!$J$7-Inputs!$I$7)))/(Inputs!$K$7^2)*Inputs!$C$11)))/(SQRT(((Inputs!$I$7+(((A156)+1)/2)*(Inputs!$J$7-Inputs!$I$7)))^2+Inputs!$C$6^2+((Inputs!$H$7+Inputs!$L$7*(((Inputs!$I$7+(((A156)+1)/2)*(Inputs!$J$7-Inputs!$I$7)))/Inputs!$K$7)^2))^2)))))/Inputs!$C$13)</x:f>
        <x:v>-1767.0978752833016</x:v>
      </x:c>
      <x:c r="AN156" s="48" t="n">
        <x:f>(-2*((1000*((((Inputs!$I$8+(((A156)+1)/2)*(Inputs!$J$8-Inputs!$I$8)))*Inputs!$C$11+((Inputs!$H$8+Inputs!$L$8*(((Inputs!$I$8+(((A156)+1)/2)*(Inputs!$J$8-Inputs!$I$8)))/Inputs!$K$8)^2))*((2*Inputs!$L$8*((Inputs!$I$8+(((A156)+1)/2)*(Inputs!$J$8-Inputs!$I$8)))/(Inputs!$K$8^2)*Inputs!$C$11)))/(SQRT(((Inputs!$I$8+(((A156)+1)/2)*(Inputs!$J$8-Inputs!$I$8)))^2+Inputs!$C$6^2+((Inputs!$H$8+Inputs!$L$8*(((Inputs!$I$8+(((A156)+1)/2)*(Inputs!$J$8-Inputs!$I$8)))/Inputs!$K$8)^2))^2)))))/Inputs!$C$13)</x:f>
        <x:v>-1909.4342173445505</x:v>
      </x:c>
      <x:c r="AO156" s="48" t="n">
        <x:f>(-2*((1000*((((Inputs!$I$9+(((A156)+1)/2)*(Inputs!$J$9-Inputs!$I$9)))*Inputs!$C$11+((Inputs!$H$9+Inputs!$L$9*(((Inputs!$I$9+(((A156)+1)/2)*(Inputs!$J$9-Inputs!$I$9)))/Inputs!$K$9)^2))*((2*Inputs!$L$9*((Inputs!$I$9+(((A156)+1)/2)*(Inputs!$J$9-Inputs!$I$9)))/(Inputs!$K$9^2)*Inputs!$C$11)))/(SQRT(((Inputs!$I$9+(((A156)+1)/2)*(Inputs!$J$9-Inputs!$I$9)))^2+Inputs!$C$6^2+((Inputs!$H$9+Inputs!$L$9*(((Inputs!$I$9+(((A156)+1)/2)*(Inputs!$J$9-Inputs!$I$9)))/Inputs!$K$9)^2))^2)))))/Inputs!$C$13)</x:f>
        <x:v>-1903.9328044717065</x:v>
      </x:c>
    </x:row>
    <x:row r="157">
      <x:c r="A157" s="48" t="n">
        <x:f>ROUND(-1+155*2/240,3)</x:f>
        <x:v>0.292</x:v>
      </x:c>
      <x:c r="B157" s="48" t="n">
        <x:f>IF(OR(Inputs!$F$6=TRUE,Inputs!$F$6="TRUE",Inputs!$F$6=1),(Inputs!$H$6+Inputs!$L$6*(((Inputs!$I$6+(((A157)+1)/2)*(Inputs!$J$6-Inputs!$I$6)))/Inputs!$K$6)^2),NA())</x:f>
        <x:v>400.341056</x:v>
      </x:c>
      <x:c r="C157" s="48" t="n">
        <x:f>IF(OR(Inputs!$F$7=TRUE,Inputs!$F$7="TRUE",Inputs!$F$7=1),(Inputs!$H$7+Inputs!$L$7*(((Inputs!$I$7+(((A157)+1)/2)*(Inputs!$J$7-Inputs!$I$7)))/Inputs!$K$7)^2),NA())</x:f>
        <x:v>66.12136000000004</x:v>
      </x:c>
      <x:c r="D157" s="48" t="n">
        <x:f>IF(OR(Inputs!$F$8=TRUE,Inputs!$F$8="TRUE",Inputs!$F$8=1),(Inputs!$H$8+Inputs!$L$8*(((Inputs!$I$8+(((A157)+1)/2)*(Inputs!$J$8-Inputs!$I$8)))/Inputs!$K$8)^2),NA())</x:f>
        <x:v>117.27976000000008</x:v>
      </x:c>
      <x:c r="E157" s="48" t="n">
        <x:f>IF(OR(Inputs!$F$9=TRUE,Inputs!$F$9="TRUE",Inputs!$F$9=1),(Inputs!$H$9+Inputs!$L$9*(((Inputs!$I$9+(((A157)+1)/2)*(Inputs!$J$9-Inputs!$I$9)))/Inputs!$K$9)^2),NA())</x:f>
        <x:v>108.13240000000009</x:v>
      </x:c>
      <x:c r="F157" s="49"/>
      <x:c r="G157" s="48" t="n">
        <x:f>A157</x:f>
        <x:v>0.292</x:v>
      </x:c>
      <x:c r="H157" s="48" t="n">
        <x:f>IF(OR(Inputs!$F$6=TRUE,Inputs!$F$6="TRUE",Inputs!$F$6=1),(((SQRT(((Inputs!$I$6+(((A157)+1)/2)*(Inputs!$J$6-Inputs!$I$6)))^2+Inputs!$C$6^2+((Inputs!$H$6+Inputs!$L$6*(((Inputs!$I$6+(((A157)+1)/2)*(Inputs!$J$6-Inputs!$I$6)))/Inputs!$K$6)^2))^2))-((Inputs!$H$6+Inputs!$L$6*(((Inputs!$I$6+(((A157)+1)/2)*(Inputs!$J$6-Inputs!$I$6)))/Inputs!$K$6)^2)))*1000/Inputs!$C$12),NA())</x:f>
        <x:v>652.9541887930834</x:v>
      </x:c>
      <x:c r="I157" s="48" t="n">
        <x:f>IF(OR(Inputs!$F$7=TRUE,Inputs!$F$7="TRUE",Inputs!$F$7=1),(((SQRT(((Inputs!$I$7+(((A157)+1)/2)*(Inputs!$J$7-Inputs!$I$7)))^2+Inputs!$C$6^2+((Inputs!$H$7+Inputs!$L$7*(((Inputs!$I$7+(((A157)+1)/2)*(Inputs!$J$7-Inputs!$I$7)))/Inputs!$K$7)^2))^2))-((Inputs!$H$7+Inputs!$L$7*(((Inputs!$I$7+(((A157)+1)/2)*(Inputs!$J$7-Inputs!$I$7)))/Inputs!$K$7)^2)))*1000/Inputs!$C$12),NA())</x:f>
        <x:v>39553.01540591296</x:v>
      </x:c>
      <x:c r="J157" s="48" t="n">
        <x:f>IF(OR(Inputs!$F$8=TRUE,Inputs!$F$8="TRUE",Inputs!$F$8=1),(((SQRT(((Inputs!$I$8+(((A157)+1)/2)*(Inputs!$J$8-Inputs!$I$8)))^2+Inputs!$C$6^2+((Inputs!$H$8+Inputs!$L$8*(((Inputs!$I$8+(((A157)+1)/2)*(Inputs!$J$8-Inputs!$I$8)))/Inputs!$K$8)^2))^2))-((Inputs!$H$8+Inputs!$L$8*(((Inputs!$I$8+(((A157)+1)/2)*(Inputs!$J$8-Inputs!$I$8)))/Inputs!$K$8)^2)))*1000/Inputs!$C$12),NA())</x:f>
        <x:v>81629.61116166922</x:v>
      </x:c>
      <x:c r="K157" s="48" t="n">
        <x:f>IF(OR(Inputs!$F$9=TRUE,Inputs!$F$9="TRUE",Inputs!$F$9=1),(((SQRT(((Inputs!$I$9+(((A157)+1)/2)*(Inputs!$J$9-Inputs!$I$9)))^2+Inputs!$C$6^2+((Inputs!$H$9+Inputs!$L$9*(((Inputs!$I$9+(((A157)+1)/2)*(Inputs!$J$9-Inputs!$I$9)))/Inputs!$K$9)^2))^2))-((Inputs!$H$9+Inputs!$L$9*(((Inputs!$I$9+(((A157)+1)/2)*(Inputs!$J$9-Inputs!$I$9)))/Inputs!$K$9)^2)))*1000/Inputs!$C$12),NA())</x:f>
        <x:v>84546.06269585797</x:v>
      </x:c>
      <x:c r="L157" s="49"/>
      <x:c r="M157" s="48" t="n">
        <x:f>A157</x:f>
        <x:v>0.292</x:v>
      </x:c>
      <x:c r="N157" s="48" t="n">
        <x:f>IF(OR(Inputs!$F$6=TRUE,Inputs!$F$6="TRUE",Inputs!$F$6=1),(-2*((1000*((((Inputs!$I$6+(((A157)+1)/2)*(Inputs!$J$6-Inputs!$I$6)))*Inputs!$C$11+((Inputs!$H$6+Inputs!$L$6*(((Inputs!$I$6+(((A157)+1)/2)*(Inputs!$J$6-Inputs!$I$6)))/Inputs!$K$6)^2))*((2*Inputs!$L$6*((Inputs!$I$6+(((A157)+1)/2)*(Inputs!$J$6-Inputs!$I$6)))/(Inputs!$K$6^2)*Inputs!$C$11)))/(SQRT(((Inputs!$I$6+(((A157)+1)/2)*(Inputs!$J$6-Inputs!$I$6)))^2+Inputs!$C$6^2+((Inputs!$H$6+Inputs!$L$6*(((Inputs!$I$6+(((A157)+1)/2)*(Inputs!$J$6-Inputs!$I$6)))/Inputs!$K$6)^2))^2)))))/Inputs!$C$13),NA())</x:f>
        <x:v>-131.93061412255113</x:v>
      </x:c>
      <x:c r="O157" s="48" t="n">
        <x:f>IF(OR(Inputs!$F$7=TRUE,Inputs!$F$7="TRUE",Inputs!$F$7=1),(-2*((1000*((((Inputs!$I$7+(((A157)+1)/2)*(Inputs!$J$7-Inputs!$I$7)))*Inputs!$C$11+((Inputs!$H$7+Inputs!$L$7*(((Inputs!$I$7+(((A157)+1)/2)*(Inputs!$J$7-Inputs!$I$7)))/Inputs!$K$7)^2))*((2*Inputs!$L$7*((Inputs!$I$7+(((A157)+1)/2)*(Inputs!$J$7-Inputs!$I$7)))/(Inputs!$K$7^2)*Inputs!$C$11)))/(SQRT(((Inputs!$I$7+(((A157)+1)/2)*(Inputs!$J$7-Inputs!$I$7)))^2+Inputs!$C$6^2+((Inputs!$H$7+Inputs!$L$7*(((Inputs!$I$7+(((A157)+1)/2)*(Inputs!$J$7-Inputs!$I$7)))/Inputs!$K$7)^2))^2)))))/Inputs!$C$13),NA())</x:f>
        <x:v>-1781.7719852724665</x:v>
      </x:c>
      <x:c r="P157" s="48" t="n">
        <x:f>IF(OR(Inputs!$F$8=TRUE,Inputs!$F$8="TRUE",Inputs!$F$8=1),(-2*((1000*((((Inputs!$I$8+(((A157)+1)/2)*(Inputs!$J$8-Inputs!$I$8)))*Inputs!$C$11+((Inputs!$H$8+Inputs!$L$8*(((Inputs!$I$8+(((A157)+1)/2)*(Inputs!$J$8-Inputs!$I$8)))/Inputs!$K$8)^2))*((2*Inputs!$L$8*((Inputs!$I$8+(((A157)+1)/2)*(Inputs!$J$8-Inputs!$I$8)))/(Inputs!$K$8^2)*Inputs!$C$11)))/(SQRT(((Inputs!$I$8+(((A157)+1)/2)*(Inputs!$J$8-Inputs!$I$8)))^2+Inputs!$C$6^2+((Inputs!$H$8+Inputs!$L$8*(((Inputs!$I$8+(((A157)+1)/2)*(Inputs!$J$8-Inputs!$I$8)))/Inputs!$K$8)^2))^2)))))/Inputs!$C$13),NA())</x:f>
        <x:v>-1926.8316763986527</x:v>
      </x:c>
      <x:c r="Q157" s="48" t="n">
        <x:f>IF(OR(Inputs!$F$9=TRUE,Inputs!$F$9="TRUE",Inputs!$F$9=1),(-2*((1000*((((Inputs!$I$9+(((A157)+1)/2)*(Inputs!$J$9-Inputs!$I$9)))*Inputs!$C$11+((Inputs!$H$9+Inputs!$L$9*(((Inputs!$I$9+(((A157)+1)/2)*(Inputs!$J$9-Inputs!$I$9)))/Inputs!$K$9)^2))*((2*Inputs!$L$9*((Inputs!$I$9+(((A157)+1)/2)*(Inputs!$J$9-Inputs!$I$9)))/(Inputs!$K$9^2)*Inputs!$C$11)))/(SQRT(((Inputs!$I$9+(((A157)+1)/2)*(Inputs!$J$9-Inputs!$I$9)))^2+Inputs!$C$6^2+((Inputs!$H$9+Inputs!$L$9*(((Inputs!$I$9+(((A157)+1)/2)*(Inputs!$J$9-Inputs!$I$9)))/Inputs!$K$9)^2))^2)))))/Inputs!$C$13),NA())</x:f>
        <x:v>-1921.323716021215</x:v>
      </x:c>
      <x:c r="R157" s="49"/>
      <x:c r="S157" s="48" t="n">
        <x:f>A157</x:f>
        <x:v>0.292</x:v>
      </x:c>
      <x:c r="T157" s="48" t="n">
        <x:f>(Inputs!$I$6+(((A157)+1)/2)*(Inputs!$J$6-Inputs!$I$6))</x:f>
        <x:v>17.519999999999996</x:v>
      </x:c>
      <x:c r="U157" s="48" t="n">
        <x:f>(Inputs!$I$7+(((A157)+1)/2)*(Inputs!$J$7-Inputs!$I$7))</x:f>
        <x:v>116.80000000000007</x:v>
      </x:c>
      <x:c r="V157" s="48" t="n">
        <x:f>(Inputs!$I$8+(((A157)+1)/2)*(Inputs!$J$8-Inputs!$I$8))</x:f>
        <x:v>233.60000000000014</x:v>
      </x:c>
      <x:c r="W157" s="48" t="n">
        <x:f>(Inputs!$I$9+(((A157)+1)/2)*(Inputs!$J$9-Inputs!$I$9))</x:f>
        <x:v>233.60000000000014</x:v>
      </x:c>
      <x:c r="X157" s="49"/>
      <x:c r="Y157" s="48" t="n">
        <x:f>A157</x:f>
        <x:v>0.292</x:v>
      </x:c>
      <x:c r="Z157" s="48" t="n">
        <x:f>(Inputs!$H$6+Inputs!$L$6*(((Inputs!$I$6+(((A157)+1)/2)*(Inputs!$J$6-Inputs!$I$6)))/Inputs!$K$6)^2)</x:f>
        <x:v>400.341056</x:v>
      </x:c>
      <x:c r="AA157" s="48" t="n">
        <x:f>(Inputs!$H$7+Inputs!$L$7*(((Inputs!$I$7+(((A157)+1)/2)*(Inputs!$J$7-Inputs!$I$7)))/Inputs!$K$7)^2)</x:f>
        <x:v>66.12136000000004</x:v>
      </x:c>
      <x:c r="AB157" s="48" t="n">
        <x:f>(Inputs!$H$8+Inputs!$L$8*(((Inputs!$I$8+(((A157)+1)/2)*(Inputs!$J$8-Inputs!$I$8)))/Inputs!$K$8)^2)</x:f>
        <x:v>117.27976000000008</x:v>
      </x:c>
      <x:c r="AC157" s="48" t="n">
        <x:f>(Inputs!$H$9+Inputs!$L$9*(((Inputs!$I$9+(((A157)+1)/2)*(Inputs!$J$9-Inputs!$I$9)))/Inputs!$K$9)^2)</x:f>
        <x:v>108.13240000000009</x:v>
      </x:c>
      <x:c r="AD157" s="49"/>
      <x:c r="AE157" s="48" t="n">
        <x:f>A157</x:f>
        <x:v>0.292</x:v>
      </x:c>
      <x:c r="AF157" s="48" t="n">
        <x:f>(((SQRT(((Inputs!$I$6+(((A157)+1)/2)*(Inputs!$J$6-Inputs!$I$6)))^2+Inputs!$C$6^2+((Inputs!$H$6+Inputs!$L$6*(((Inputs!$I$6+(((A157)+1)/2)*(Inputs!$J$6-Inputs!$I$6)))/Inputs!$K$6)^2))^2))-((Inputs!$H$6+Inputs!$L$6*(((Inputs!$I$6+(((A157)+1)/2)*(Inputs!$J$6-Inputs!$I$6)))/Inputs!$K$6)^2)))*1000/Inputs!$C$12)</x:f>
        <x:v>652.9541887930834</x:v>
      </x:c>
      <x:c r="AG157" s="48" t="n">
        <x:f>(((SQRT(((Inputs!$I$7+(((A157)+1)/2)*(Inputs!$J$7-Inputs!$I$7)))^2+Inputs!$C$6^2+((Inputs!$H$7+Inputs!$L$7*(((Inputs!$I$7+(((A157)+1)/2)*(Inputs!$J$7-Inputs!$I$7)))/Inputs!$K$7)^2))^2))-((Inputs!$H$7+Inputs!$L$7*(((Inputs!$I$7+(((A157)+1)/2)*(Inputs!$J$7-Inputs!$I$7)))/Inputs!$K$7)^2)))*1000/Inputs!$C$12)</x:f>
        <x:v>39553.01540591296</x:v>
      </x:c>
      <x:c r="AH157" s="48" t="n">
        <x:f>(((SQRT(((Inputs!$I$8+(((A157)+1)/2)*(Inputs!$J$8-Inputs!$I$8)))^2+Inputs!$C$6^2+((Inputs!$H$8+Inputs!$L$8*(((Inputs!$I$8+(((A157)+1)/2)*(Inputs!$J$8-Inputs!$I$8)))/Inputs!$K$8)^2))^2))-((Inputs!$H$8+Inputs!$L$8*(((Inputs!$I$8+(((A157)+1)/2)*(Inputs!$J$8-Inputs!$I$8)))/Inputs!$K$8)^2)))*1000/Inputs!$C$12)</x:f>
        <x:v>81629.61116166922</x:v>
      </x:c>
      <x:c r="AI157" s="48" t="n">
        <x:f>(((SQRT(((Inputs!$I$9+(((A157)+1)/2)*(Inputs!$J$9-Inputs!$I$9)))^2+Inputs!$C$6^2+((Inputs!$H$9+Inputs!$L$9*(((Inputs!$I$9+(((A157)+1)/2)*(Inputs!$J$9-Inputs!$I$9)))/Inputs!$K$9)^2))^2))-((Inputs!$H$9+Inputs!$L$9*(((Inputs!$I$9+(((A157)+1)/2)*(Inputs!$J$9-Inputs!$I$9)))/Inputs!$K$9)^2)))*1000/Inputs!$C$12)</x:f>
        <x:v>84546.06269585797</x:v>
      </x:c>
      <x:c r="AJ157" s="49"/>
      <x:c r="AK157" s="48" t="n">
        <x:f>A157</x:f>
        <x:v>0.292</x:v>
      </x:c>
      <x:c r="AL157" s="48" t="n">
        <x:f>(-2*((1000*((((Inputs!$I$6+(((A157)+1)/2)*(Inputs!$J$6-Inputs!$I$6)))*Inputs!$C$11+((Inputs!$H$6+Inputs!$L$6*(((Inputs!$I$6+(((A157)+1)/2)*(Inputs!$J$6-Inputs!$I$6)))/Inputs!$K$6)^2))*((2*Inputs!$L$6*((Inputs!$I$6+(((A157)+1)/2)*(Inputs!$J$6-Inputs!$I$6)))/(Inputs!$K$6^2)*Inputs!$C$11)))/(SQRT(((Inputs!$I$6+(((A157)+1)/2)*(Inputs!$J$6-Inputs!$I$6)))^2+Inputs!$C$6^2+((Inputs!$H$6+Inputs!$L$6*(((Inputs!$I$6+(((A157)+1)/2)*(Inputs!$J$6-Inputs!$I$6)))/Inputs!$K$6)^2))^2)))))/Inputs!$C$13)</x:f>
        <x:v>-131.93061412255113</x:v>
      </x:c>
      <x:c r="AM157" s="48" t="n">
        <x:f>(-2*((1000*((((Inputs!$I$7+(((A157)+1)/2)*(Inputs!$J$7-Inputs!$I$7)))*Inputs!$C$11+((Inputs!$H$7+Inputs!$L$7*(((Inputs!$I$7+(((A157)+1)/2)*(Inputs!$J$7-Inputs!$I$7)))/Inputs!$K$7)^2))*((2*Inputs!$L$7*((Inputs!$I$7+(((A157)+1)/2)*(Inputs!$J$7-Inputs!$I$7)))/(Inputs!$K$7^2)*Inputs!$C$11)))/(SQRT(((Inputs!$I$7+(((A157)+1)/2)*(Inputs!$J$7-Inputs!$I$7)))^2+Inputs!$C$6^2+((Inputs!$H$7+Inputs!$L$7*(((Inputs!$I$7+(((A157)+1)/2)*(Inputs!$J$7-Inputs!$I$7)))/Inputs!$K$7)^2))^2)))))/Inputs!$C$13)</x:f>
        <x:v>-1781.7719852724665</x:v>
      </x:c>
      <x:c r="AN157" s="48" t="n">
        <x:f>(-2*((1000*((((Inputs!$I$8+(((A157)+1)/2)*(Inputs!$J$8-Inputs!$I$8)))*Inputs!$C$11+((Inputs!$H$8+Inputs!$L$8*(((Inputs!$I$8+(((A157)+1)/2)*(Inputs!$J$8-Inputs!$I$8)))/Inputs!$K$8)^2))*((2*Inputs!$L$8*((Inputs!$I$8+(((A157)+1)/2)*(Inputs!$J$8-Inputs!$I$8)))/(Inputs!$K$8^2)*Inputs!$C$11)))/(SQRT(((Inputs!$I$8+(((A157)+1)/2)*(Inputs!$J$8-Inputs!$I$8)))^2+Inputs!$C$6^2+((Inputs!$H$8+Inputs!$L$8*(((Inputs!$I$8+(((A157)+1)/2)*(Inputs!$J$8-Inputs!$I$8)))/Inputs!$K$8)^2))^2)))))/Inputs!$C$13)</x:f>
        <x:v>-1926.8316763986527</x:v>
      </x:c>
      <x:c r="AO157" s="48" t="n">
        <x:f>(-2*((1000*((((Inputs!$I$9+(((A157)+1)/2)*(Inputs!$J$9-Inputs!$I$9)))*Inputs!$C$11+((Inputs!$H$9+Inputs!$L$9*(((Inputs!$I$9+(((A157)+1)/2)*(Inputs!$J$9-Inputs!$I$9)))/Inputs!$K$9)^2))*((2*Inputs!$L$9*((Inputs!$I$9+(((A157)+1)/2)*(Inputs!$J$9-Inputs!$I$9)))/(Inputs!$K$9^2)*Inputs!$C$11)))/(SQRT(((Inputs!$I$9+(((A157)+1)/2)*(Inputs!$J$9-Inputs!$I$9)))^2+Inputs!$C$6^2+((Inputs!$H$9+Inputs!$L$9*(((Inputs!$I$9+(((A157)+1)/2)*(Inputs!$J$9-Inputs!$I$9)))/Inputs!$K$9)^2))^2)))))/Inputs!$C$13)</x:f>
        <x:v>-1921.323716021215</x:v>
      </x:c>
    </x:row>
    <x:row r="158">
      <x:c r="A158" s="48" t="n">
        <x:f>ROUND(-1+156*2/240,3)</x:f>
        <x:v>0.3</x:v>
      </x:c>
      <x:c r="B158" s="48" t="n">
        <x:f>IF(OR(Inputs!$F$6=TRUE,Inputs!$F$6="TRUE",Inputs!$F$6=1),(Inputs!$H$6+Inputs!$L$6*(((Inputs!$I$6+(((A158)+1)/2)*(Inputs!$J$6-Inputs!$I$6)))/Inputs!$K$6)^2),NA())</x:f>
        <x:v>400.36</x:v>
      </x:c>
      <x:c r="C158" s="48" t="n">
        <x:f>IF(OR(Inputs!$F$7=TRUE,Inputs!$F$7="TRUE",Inputs!$F$7=1),(Inputs!$H$7+Inputs!$L$7*(((Inputs!$I$7+(((A158)+1)/2)*(Inputs!$J$7-Inputs!$I$7)))/Inputs!$K$7)^2),NA())</x:f>
        <x:v>67.85</x:v>
      </x:c>
      <x:c r="D158" s="48" t="n">
        <x:f>IF(OR(Inputs!$F$8=TRUE,Inputs!$F$8="TRUE",Inputs!$F$8=1),(Inputs!$H$8+Inputs!$L$8*(((Inputs!$I$8+(((A158)+1)/2)*(Inputs!$J$8-Inputs!$I$8)))/Inputs!$K$8)^2),NA())</x:f>
        <x:v>121.85</x:v>
      </x:c>
      <x:c r="E158" s="48" t="n">
        <x:f>IF(OR(Inputs!$F$9=TRUE,Inputs!$F$9="TRUE",Inputs!$F$9=1),(Inputs!$H$9+Inputs!$L$9*(((Inputs!$I$9+(((A158)+1)/2)*(Inputs!$J$9-Inputs!$I$9)))/Inputs!$K$9)^2),NA())</x:f>
        <x:v>112.75</x:v>
      </x:c>
      <x:c r="F158" s="49"/>
      <x:c r="G158" s="48" t="n">
        <x:f>A158</x:f>
        <x:v>0.3</x:v>
      </x:c>
      <x:c r="H158" s="48" t="n">
        <x:f>IF(OR(Inputs!$F$6=TRUE,Inputs!$F$6="TRUE",Inputs!$F$6=1),(((SQRT(((Inputs!$I$6+(((A158)+1)/2)*(Inputs!$J$6-Inputs!$I$6)))^2+Inputs!$C$6^2+((Inputs!$H$6+Inputs!$L$6*(((Inputs!$I$6+(((A158)+1)/2)*(Inputs!$J$6-Inputs!$I$6)))/Inputs!$K$6)^2))^2))-((Inputs!$H$6+Inputs!$L$6*(((Inputs!$I$6+(((A158)+1)/2)*(Inputs!$J$6-Inputs!$I$6)))/Inputs!$K$6)^2)))*1000/Inputs!$C$12),NA())</x:f>
        <x:v>664.8507097434994</x:v>
      </x:c>
      <x:c r="I158" s="48" t="n">
        <x:f>IF(OR(Inputs!$F$7=TRUE,Inputs!$F$7="TRUE",Inputs!$F$7=1),(((SQRT(((Inputs!$I$7+(((A158)+1)/2)*(Inputs!$J$7-Inputs!$I$7)))^2+Inputs!$C$6^2+((Inputs!$H$7+Inputs!$L$7*(((Inputs!$I$7+(((A158)+1)/2)*(Inputs!$J$7-Inputs!$I$7)))/Inputs!$K$7)^2))^2))-((Inputs!$H$7+Inputs!$L$7*(((Inputs!$I$7+(((A158)+1)/2)*(Inputs!$J$7-Inputs!$I$7)))/Inputs!$K$7)^2)))*1000/Inputs!$C$12),NA())</x:f>
        <x:v>40591.11568627094</x:v>
      </x:c>
      <x:c r="J158" s="48" t="n">
        <x:f>IF(OR(Inputs!$F$8=TRUE,Inputs!$F$8="TRUE",Inputs!$F$8=1),(((SQRT(((Inputs!$I$8+(((A158)+1)/2)*(Inputs!$J$8-Inputs!$I$8)))^2+Inputs!$C$6^2+((Inputs!$H$8+Inputs!$L$8*(((Inputs!$I$8+(((A158)+1)/2)*(Inputs!$J$8-Inputs!$I$8)))/Inputs!$K$8)^2))^2))-((Inputs!$H$8+Inputs!$L$8*(((Inputs!$I$8+(((A158)+1)/2)*(Inputs!$J$8-Inputs!$I$8)))/Inputs!$K$8)^2)))*1000/Inputs!$C$12),NA())</x:f>
        <x:v>83409.61367801714</x:v>
      </x:c>
      <x:c r="K158" s="48" t="n">
        <x:f>IF(OR(Inputs!$F$9=TRUE,Inputs!$F$9="TRUE",Inputs!$F$9=1),(((SQRT(((Inputs!$I$9+(((A158)+1)/2)*(Inputs!$J$9-Inputs!$I$9)))^2+Inputs!$C$6^2+((Inputs!$H$9+Inputs!$L$9*(((Inputs!$I$9+(((A158)+1)/2)*(Inputs!$J$9-Inputs!$I$9)))/Inputs!$K$9)^2))^2))-((Inputs!$H$9+Inputs!$L$9*(((Inputs!$I$9+(((A158)+1)/2)*(Inputs!$J$9-Inputs!$I$9)))/Inputs!$K$9)^2)))*1000/Inputs!$C$12),NA())</x:f>
        <x:v>86287.11474105013</x:v>
      </x:c>
      <x:c r="L158" s="49"/>
      <x:c r="M158" s="48" t="n">
        <x:f>A158</x:f>
        <x:v>0.3</x:v>
      </x:c>
      <x:c r="N158" s="48" t="n">
        <x:f>IF(OR(Inputs!$F$6=TRUE,Inputs!$F$6="TRUE",Inputs!$F$6=1),(-2*((1000*((((Inputs!$I$6+(((A158)+1)/2)*(Inputs!$J$6-Inputs!$I$6)))*Inputs!$C$11+((Inputs!$H$6+Inputs!$L$6*(((Inputs!$I$6+(((A158)+1)/2)*(Inputs!$J$6-Inputs!$I$6)))/Inputs!$K$6)^2))*((2*Inputs!$L$6*((Inputs!$I$6+(((A158)+1)/2)*(Inputs!$J$6-Inputs!$I$6)))/(Inputs!$K$6^2)*Inputs!$C$11)))/(SQRT(((Inputs!$I$6+(((A158)+1)/2)*(Inputs!$J$6-Inputs!$I$6)))^2+Inputs!$C$6^2+((Inputs!$H$6+Inputs!$L$6*(((Inputs!$I$6+(((A158)+1)/2)*(Inputs!$J$6-Inputs!$I$6)))/Inputs!$K$6)^2))^2)))))/Inputs!$C$13),NA())</x:f>
        <x:v>-135.5346280280799</x:v>
      </x:c>
      <x:c r="O158" s="48" t="n">
        <x:f>IF(OR(Inputs!$F$7=TRUE,Inputs!$F$7="TRUE",Inputs!$F$7=1),(-2*((1000*((((Inputs!$I$7+(((A158)+1)/2)*(Inputs!$J$7-Inputs!$I$7)))*Inputs!$C$11+((Inputs!$H$7+Inputs!$L$7*(((Inputs!$I$7+(((A158)+1)/2)*(Inputs!$J$7-Inputs!$I$7)))/Inputs!$K$7)^2))*((2*Inputs!$L$7*((Inputs!$I$7+(((A158)+1)/2)*(Inputs!$J$7-Inputs!$I$7)))/(Inputs!$K$7^2)*Inputs!$C$11)))/(SQRT(((Inputs!$I$7+(((A158)+1)/2)*(Inputs!$J$7-Inputs!$I$7)))^2+Inputs!$C$6^2+((Inputs!$H$7+Inputs!$L$7*(((Inputs!$I$7+(((A158)+1)/2)*(Inputs!$J$7-Inputs!$I$7)))/Inputs!$K$7)^2))^2)))))/Inputs!$C$13),NA())</x:f>
        <x:v>-1794.6657887320155</x:v>
      </x:c>
      <x:c r="P158" s="48" t="n">
        <x:f>IF(OR(Inputs!$F$8=TRUE,Inputs!$F$8="TRUE",Inputs!$F$8=1),(-2*((1000*((((Inputs!$I$8+(((A158)+1)/2)*(Inputs!$J$8-Inputs!$I$8)))*Inputs!$C$11+((Inputs!$H$8+Inputs!$L$8*(((Inputs!$I$8+(((A158)+1)/2)*(Inputs!$J$8-Inputs!$I$8)))/Inputs!$K$8)^2))*((2*Inputs!$L$8*((Inputs!$I$8+(((A158)+1)/2)*(Inputs!$J$8-Inputs!$I$8)))/(Inputs!$K$8^2)*Inputs!$C$11)))/(SQRT(((Inputs!$I$8+(((A158)+1)/2)*(Inputs!$J$8-Inputs!$I$8)))^2+Inputs!$C$6^2+((Inputs!$H$8+Inputs!$L$8*(((Inputs!$I$8+(((A158)+1)/2)*(Inputs!$J$8-Inputs!$I$8)))/Inputs!$K$8)^2))^2)))))/Inputs!$C$13),NA())</x:f>
        <x:v>-1942.527464821631</x:v>
      </x:c>
      <x:c r="Q158" s="48" t="n">
        <x:f>IF(OR(Inputs!$F$9=TRUE,Inputs!$F$9="TRUE",Inputs!$F$9=1),(-2*((1000*((((Inputs!$I$9+(((A158)+1)/2)*(Inputs!$J$9-Inputs!$I$9)))*Inputs!$C$11+((Inputs!$H$9+Inputs!$L$9*(((Inputs!$I$9+(((A158)+1)/2)*(Inputs!$J$9-Inputs!$I$9)))/Inputs!$K$9)^2))*((2*Inputs!$L$9*((Inputs!$I$9+(((A158)+1)/2)*(Inputs!$J$9-Inputs!$I$9)))/(Inputs!$K$9^2)*Inputs!$C$11)))/(SQRT(((Inputs!$I$9+(((A158)+1)/2)*(Inputs!$J$9-Inputs!$I$9)))^2+Inputs!$C$6^2+((Inputs!$H$9+Inputs!$L$9*(((Inputs!$I$9+(((A158)+1)/2)*(Inputs!$J$9-Inputs!$I$9)))/Inputs!$K$9)^2))^2)))))/Inputs!$C$13),NA())</x:f>
        <x:v>-1937.0557877508127</x:v>
      </x:c>
      <x:c r="R158" s="49"/>
      <x:c r="S158" s="48" t="n">
        <x:f>A158</x:f>
        <x:v>0.3</x:v>
      </x:c>
      <x:c r="T158" s="48" t="n">
        <x:f>(Inputs!$I$6+(((A158)+1)/2)*(Inputs!$J$6-Inputs!$I$6))</x:f>
        <x:v>18</x:v>
      </x:c>
      <x:c r="U158" s="48" t="n">
        <x:f>(Inputs!$I$7+(((A158)+1)/2)*(Inputs!$J$7-Inputs!$I$7))</x:f>
        <x:v>120</x:v>
      </x:c>
      <x:c r="V158" s="48" t="n">
        <x:f>(Inputs!$I$8+(((A158)+1)/2)*(Inputs!$J$8-Inputs!$I$8))</x:f>
        <x:v>240</x:v>
      </x:c>
      <x:c r="W158" s="48" t="n">
        <x:f>(Inputs!$I$9+(((A158)+1)/2)*(Inputs!$J$9-Inputs!$I$9))</x:f>
        <x:v>240</x:v>
      </x:c>
      <x:c r="X158" s="49"/>
      <x:c r="Y158" s="48" t="n">
        <x:f>A158</x:f>
        <x:v>0.3</x:v>
      </x:c>
      <x:c r="Z158" s="48" t="n">
        <x:f>(Inputs!$H$6+Inputs!$L$6*(((Inputs!$I$6+(((A158)+1)/2)*(Inputs!$J$6-Inputs!$I$6)))/Inputs!$K$6)^2)</x:f>
        <x:v>400.36</x:v>
      </x:c>
      <x:c r="AA158" s="48" t="n">
        <x:f>(Inputs!$H$7+Inputs!$L$7*(((Inputs!$I$7+(((A158)+1)/2)*(Inputs!$J$7-Inputs!$I$7)))/Inputs!$K$7)^2)</x:f>
        <x:v>67.85</x:v>
      </x:c>
      <x:c r="AB158" s="48" t="n">
        <x:f>(Inputs!$H$8+Inputs!$L$8*(((Inputs!$I$8+(((A158)+1)/2)*(Inputs!$J$8-Inputs!$I$8)))/Inputs!$K$8)^2)</x:f>
        <x:v>121.85</x:v>
      </x:c>
      <x:c r="AC158" s="48" t="n">
        <x:f>(Inputs!$H$9+Inputs!$L$9*(((Inputs!$I$9+(((A158)+1)/2)*(Inputs!$J$9-Inputs!$I$9)))/Inputs!$K$9)^2)</x:f>
        <x:v>112.75</x:v>
      </x:c>
      <x:c r="AD158" s="49"/>
      <x:c r="AE158" s="48" t="n">
        <x:f>A158</x:f>
        <x:v>0.3</x:v>
      </x:c>
      <x:c r="AF158" s="48" t="n">
        <x:f>(((SQRT(((Inputs!$I$6+(((A158)+1)/2)*(Inputs!$J$6-Inputs!$I$6)))^2+Inputs!$C$6^2+((Inputs!$H$6+Inputs!$L$6*(((Inputs!$I$6+(((A158)+1)/2)*(Inputs!$J$6-Inputs!$I$6)))/Inputs!$K$6)^2))^2))-((Inputs!$H$6+Inputs!$L$6*(((Inputs!$I$6+(((A158)+1)/2)*(Inputs!$J$6-Inputs!$I$6)))/Inputs!$K$6)^2)))*1000/Inputs!$C$12)</x:f>
        <x:v>664.8507097434994</x:v>
      </x:c>
      <x:c r="AG158" s="48" t="n">
        <x:f>(((SQRT(((Inputs!$I$7+(((A158)+1)/2)*(Inputs!$J$7-Inputs!$I$7)))^2+Inputs!$C$6^2+((Inputs!$H$7+Inputs!$L$7*(((Inputs!$I$7+(((A158)+1)/2)*(Inputs!$J$7-Inputs!$I$7)))/Inputs!$K$7)^2))^2))-((Inputs!$H$7+Inputs!$L$7*(((Inputs!$I$7+(((A158)+1)/2)*(Inputs!$J$7-Inputs!$I$7)))/Inputs!$K$7)^2)))*1000/Inputs!$C$12)</x:f>
        <x:v>40591.11568627094</x:v>
      </x:c>
      <x:c r="AH158" s="48" t="n">
        <x:f>(((SQRT(((Inputs!$I$8+(((A158)+1)/2)*(Inputs!$J$8-Inputs!$I$8)))^2+Inputs!$C$6^2+((Inputs!$H$8+Inputs!$L$8*(((Inputs!$I$8+(((A158)+1)/2)*(Inputs!$J$8-Inputs!$I$8)))/Inputs!$K$8)^2))^2))-((Inputs!$H$8+Inputs!$L$8*(((Inputs!$I$8+(((A158)+1)/2)*(Inputs!$J$8-Inputs!$I$8)))/Inputs!$K$8)^2)))*1000/Inputs!$C$12)</x:f>
        <x:v>83409.61367801714</x:v>
      </x:c>
      <x:c r="AI158" s="48" t="n">
        <x:f>(((SQRT(((Inputs!$I$9+(((A158)+1)/2)*(Inputs!$J$9-Inputs!$I$9)))^2+Inputs!$C$6^2+((Inputs!$H$9+Inputs!$L$9*(((Inputs!$I$9+(((A158)+1)/2)*(Inputs!$J$9-Inputs!$I$9)))/Inputs!$K$9)^2))^2))-((Inputs!$H$9+Inputs!$L$9*(((Inputs!$I$9+(((A158)+1)/2)*(Inputs!$J$9-Inputs!$I$9)))/Inputs!$K$9)^2)))*1000/Inputs!$C$12)</x:f>
        <x:v>86287.11474105013</x:v>
      </x:c>
      <x:c r="AJ158" s="49"/>
      <x:c r="AK158" s="48" t="n">
        <x:f>A158</x:f>
        <x:v>0.3</x:v>
      </x:c>
      <x:c r="AL158" s="48" t="n">
        <x:f>(-2*((1000*((((Inputs!$I$6+(((A158)+1)/2)*(Inputs!$J$6-Inputs!$I$6)))*Inputs!$C$11+((Inputs!$H$6+Inputs!$L$6*(((Inputs!$I$6+(((A158)+1)/2)*(Inputs!$J$6-Inputs!$I$6)))/Inputs!$K$6)^2))*((2*Inputs!$L$6*((Inputs!$I$6+(((A158)+1)/2)*(Inputs!$J$6-Inputs!$I$6)))/(Inputs!$K$6^2)*Inputs!$C$11)))/(SQRT(((Inputs!$I$6+(((A158)+1)/2)*(Inputs!$J$6-Inputs!$I$6)))^2+Inputs!$C$6^2+((Inputs!$H$6+Inputs!$L$6*(((Inputs!$I$6+(((A158)+1)/2)*(Inputs!$J$6-Inputs!$I$6)))/Inputs!$K$6)^2))^2)))))/Inputs!$C$13)</x:f>
        <x:v>-135.5346280280799</x:v>
      </x:c>
      <x:c r="AM158" s="48" t="n">
        <x:f>(-2*((1000*((((Inputs!$I$7+(((A158)+1)/2)*(Inputs!$J$7-Inputs!$I$7)))*Inputs!$C$11+((Inputs!$H$7+Inputs!$L$7*(((Inputs!$I$7+(((A158)+1)/2)*(Inputs!$J$7-Inputs!$I$7)))/Inputs!$K$7)^2))*((2*Inputs!$L$7*((Inputs!$I$7+(((A158)+1)/2)*(Inputs!$J$7-Inputs!$I$7)))/(Inputs!$K$7^2)*Inputs!$C$11)))/(SQRT(((Inputs!$I$7+(((A158)+1)/2)*(Inputs!$J$7-Inputs!$I$7)))^2+Inputs!$C$6^2+((Inputs!$H$7+Inputs!$L$7*(((Inputs!$I$7+(((A158)+1)/2)*(Inputs!$J$7-Inputs!$I$7)))/Inputs!$K$7)^2))^2)))))/Inputs!$C$13)</x:f>
        <x:v>-1794.6657887320155</x:v>
      </x:c>
      <x:c r="AN158" s="48" t="n">
        <x:f>(-2*((1000*((((Inputs!$I$8+(((A158)+1)/2)*(Inputs!$J$8-Inputs!$I$8)))*Inputs!$C$11+((Inputs!$H$8+Inputs!$L$8*(((Inputs!$I$8+(((A158)+1)/2)*(Inputs!$J$8-Inputs!$I$8)))/Inputs!$K$8)^2))*((2*Inputs!$L$8*((Inputs!$I$8+(((A158)+1)/2)*(Inputs!$J$8-Inputs!$I$8)))/(Inputs!$K$8^2)*Inputs!$C$11)))/(SQRT(((Inputs!$I$8+(((A158)+1)/2)*(Inputs!$J$8-Inputs!$I$8)))^2+Inputs!$C$6^2+((Inputs!$H$8+Inputs!$L$8*(((Inputs!$I$8+(((A158)+1)/2)*(Inputs!$J$8-Inputs!$I$8)))/Inputs!$K$8)^2))^2)))))/Inputs!$C$13)</x:f>
        <x:v>-1942.527464821631</x:v>
      </x:c>
      <x:c r="AO158" s="48" t="n">
        <x:f>(-2*((1000*((((Inputs!$I$9+(((A158)+1)/2)*(Inputs!$J$9-Inputs!$I$9)))*Inputs!$C$11+((Inputs!$H$9+Inputs!$L$9*(((Inputs!$I$9+(((A158)+1)/2)*(Inputs!$J$9-Inputs!$I$9)))/Inputs!$K$9)^2))*((2*Inputs!$L$9*((Inputs!$I$9+(((A158)+1)/2)*(Inputs!$J$9-Inputs!$I$9)))/(Inputs!$K$9^2)*Inputs!$C$11)))/(SQRT(((Inputs!$I$9+(((A158)+1)/2)*(Inputs!$J$9-Inputs!$I$9)))^2+Inputs!$C$6^2+((Inputs!$H$9+Inputs!$L$9*(((Inputs!$I$9+(((A158)+1)/2)*(Inputs!$J$9-Inputs!$I$9)))/Inputs!$K$9)^2))^2)))))/Inputs!$C$13)</x:f>
        <x:v>-1937.0557877508127</x:v>
      </x:c>
    </x:row>
    <x:row r="159">
      <x:c r="A159" s="48" t="n">
        <x:f>ROUND(-1+157*2/240,3)</x:f>
        <x:v>0.308</x:v>
      </x:c>
      <x:c r="B159" s="48" t="n">
        <x:f>IF(OR(Inputs!$F$6=TRUE,Inputs!$F$6="TRUE",Inputs!$F$6=1),(Inputs!$H$6+Inputs!$L$6*(((Inputs!$I$6+(((A159)+1)/2)*(Inputs!$J$6-Inputs!$I$6)))/Inputs!$K$6)^2),NA())</x:f>
        <x:v>400.379456</x:v>
      </x:c>
      <x:c r="C159" s="48" t="n">
        <x:f>IF(OR(Inputs!$F$7=TRUE,Inputs!$F$7="TRUE",Inputs!$F$7=1),(Inputs!$H$7+Inputs!$L$7*(((Inputs!$I$7+(((A159)+1)/2)*(Inputs!$J$7-Inputs!$I$7)))/Inputs!$K$7)^2),NA())</x:f>
        <x:v>69.62536000000003</x:v>
      </x:c>
      <x:c r="D159" s="48" t="n">
        <x:f>IF(OR(Inputs!$F$8=TRUE,Inputs!$F$8="TRUE",Inputs!$F$8=1),(Inputs!$H$8+Inputs!$L$8*(((Inputs!$I$8+(((A159)+1)/2)*(Inputs!$J$8-Inputs!$I$8)))/Inputs!$K$8)^2),NA())</x:f>
        <x:v>126.54376000000006</x:v>
      </x:c>
      <x:c r="E159" s="48" t="n">
        <x:f>IF(OR(Inputs!$F$9=TRUE,Inputs!$F$9="TRUE",Inputs!$F$9=1),(Inputs!$H$9+Inputs!$L$9*(((Inputs!$I$9+(((A159)+1)/2)*(Inputs!$J$9-Inputs!$I$9)))/Inputs!$K$9)^2),NA())</x:f>
        <x:v>117.49240000000006</x:v>
      </x:c>
      <x:c r="F159" s="49"/>
      <x:c r="G159" s="48" t="n">
        <x:f>A159</x:f>
        <x:v>0.308</x:v>
      </x:c>
      <x:c r="H159" s="48" t="n">
        <x:f>IF(OR(Inputs!$F$6=TRUE,Inputs!$F$6="TRUE",Inputs!$F$6=1),(((SQRT(((Inputs!$I$6+(((A159)+1)/2)*(Inputs!$J$6-Inputs!$I$6)))^2+Inputs!$C$6^2+((Inputs!$H$6+Inputs!$L$6*(((Inputs!$I$6+(((A159)+1)/2)*(Inputs!$J$6-Inputs!$I$6)))/Inputs!$K$6)^2))^2))-((Inputs!$H$6+Inputs!$L$6*(((Inputs!$I$6+(((A159)+1)/2)*(Inputs!$J$6-Inputs!$I$6)))/Inputs!$K$6)^2)))*1000/Inputs!$C$12),NA())</x:f>
        <x:v>677.0669370112773</x:v>
      </x:c>
      <x:c r="I159" s="48" t="n">
        <x:f>IF(OR(Inputs!$F$7=TRUE,Inputs!$F$7="TRUE",Inputs!$F$7=1),(((SQRT(((Inputs!$I$7+(((A159)+1)/2)*(Inputs!$J$7-Inputs!$I$7)))^2+Inputs!$C$6^2+((Inputs!$H$7+Inputs!$L$7*(((Inputs!$I$7+(((A159)+1)/2)*(Inputs!$J$7-Inputs!$I$7)))/Inputs!$K$7)^2))^2))-((Inputs!$H$7+Inputs!$L$7*(((Inputs!$I$7+(((A159)+1)/2)*(Inputs!$J$7-Inputs!$I$7)))/Inputs!$K$7)^2)))*1000/Inputs!$C$12),NA())</x:f>
        <x:v>41617.39163302956</x:v>
      </x:c>
      <x:c r="J159" s="48" t="n">
        <x:f>IF(OR(Inputs!$F$8=TRUE,Inputs!$F$8="TRUE",Inputs!$F$8=1),(((SQRT(((Inputs!$I$8+(((A159)+1)/2)*(Inputs!$J$8-Inputs!$I$8)))^2+Inputs!$C$6^2+((Inputs!$H$8+Inputs!$L$8*(((Inputs!$I$8+(((A159)+1)/2)*(Inputs!$J$8-Inputs!$I$8)))/Inputs!$K$8)^2))^2))-((Inputs!$H$8+Inputs!$L$8*(((Inputs!$I$8+(((A159)+1)/2)*(Inputs!$J$8-Inputs!$I$8)))/Inputs!$K$8)^2)))*1000/Inputs!$C$12),NA())</x:f>
        <x:v>85155.74528855483</x:v>
      </x:c>
      <x:c r="K159" s="48" t="n">
        <x:f>IF(OR(Inputs!$F$9=TRUE,Inputs!$F$9="TRUE",Inputs!$F$9=1),(((SQRT(((Inputs!$I$9+(((A159)+1)/2)*(Inputs!$J$9-Inputs!$I$9)))^2+Inputs!$C$6^2+((Inputs!$H$9+Inputs!$L$9*(((Inputs!$I$9+(((A159)+1)/2)*(Inputs!$J$9-Inputs!$I$9)))/Inputs!$K$9)^2))^2))-((Inputs!$H$9+Inputs!$L$9*(((Inputs!$I$9+(((A159)+1)/2)*(Inputs!$J$9-Inputs!$I$9)))/Inputs!$K$9)^2)))*1000/Inputs!$C$12),NA())</x:f>
        <x:v>87993.69942995916</x:v>
      </x:c>
      <x:c r="L159" s="49"/>
      <x:c r="M159" s="48" t="n">
        <x:f>A159</x:f>
        <x:v>0.308</x:v>
      </x:c>
      <x:c r="N159" s="48" t="n">
        <x:f>IF(OR(Inputs!$F$6=TRUE,Inputs!$F$6="TRUE",Inputs!$F$6=1),(-2*((1000*((((Inputs!$I$6+(((A159)+1)/2)*(Inputs!$J$6-Inputs!$I$6)))*Inputs!$C$11+((Inputs!$H$6+Inputs!$L$6*(((Inputs!$I$6+(((A159)+1)/2)*(Inputs!$J$6-Inputs!$I$6)))/Inputs!$K$6)^2))*((2*Inputs!$L$6*((Inputs!$I$6+(((A159)+1)/2)*(Inputs!$J$6-Inputs!$I$6)))/(Inputs!$K$6^2)*Inputs!$C$11)))/(SQRT(((Inputs!$I$6+(((A159)+1)/2)*(Inputs!$J$6-Inputs!$I$6)))^2+Inputs!$C$6^2+((Inputs!$H$6+Inputs!$L$6*(((Inputs!$I$6+(((A159)+1)/2)*(Inputs!$J$6-Inputs!$I$6)))/Inputs!$K$6)^2))^2)))))/Inputs!$C$13),NA())</x:f>
        <x:v>-139.13779204973227</x:v>
      </x:c>
      <x:c r="O159" s="48" t="n">
        <x:f>IF(OR(Inputs!$F$7=TRUE,Inputs!$F$7="TRUE",Inputs!$F$7=1),(-2*((1000*((((Inputs!$I$7+(((A159)+1)/2)*(Inputs!$J$7-Inputs!$I$7)))*Inputs!$C$11+((Inputs!$H$7+Inputs!$L$7*(((Inputs!$I$7+(((A159)+1)/2)*(Inputs!$J$7-Inputs!$I$7)))/Inputs!$K$7)^2))*((2*Inputs!$L$7*((Inputs!$I$7+(((A159)+1)/2)*(Inputs!$J$7-Inputs!$I$7)))/(Inputs!$K$7^2)*Inputs!$C$11)))/(SQRT(((Inputs!$I$7+(((A159)+1)/2)*(Inputs!$J$7-Inputs!$I$7)))^2+Inputs!$C$6^2+((Inputs!$H$7+Inputs!$L$7*(((Inputs!$I$7+(((A159)+1)/2)*(Inputs!$J$7-Inputs!$I$7)))/Inputs!$K$7)^2))^2)))))/Inputs!$C$13),NA())</x:f>
        <x:v>-1807.4492750038808</x:v>
      </x:c>
      <x:c r="P159" s="48" t="n">
        <x:f>IF(OR(Inputs!$F$8=TRUE,Inputs!$F$8="TRUE",Inputs!$F$8=1),(-2*((1000*((((Inputs!$I$8+(((A159)+1)/2)*(Inputs!$J$8-Inputs!$I$8)))*Inputs!$C$11+((Inputs!$H$8+Inputs!$L$8*(((Inputs!$I$8+(((A159)+1)/2)*(Inputs!$J$8-Inputs!$I$8)))/Inputs!$K$8)^2))*((2*Inputs!$L$8*((Inputs!$I$8+(((A159)+1)/2)*(Inputs!$J$8-Inputs!$I$8)))/(Inputs!$K$8^2)*Inputs!$C$11)))/(SQRT(((Inputs!$I$8+(((A159)+1)/2)*(Inputs!$J$8-Inputs!$I$8)))^2+Inputs!$C$6^2+((Inputs!$H$8+Inputs!$L$8*(((Inputs!$I$8+(((A159)+1)/2)*(Inputs!$J$8-Inputs!$I$8)))/Inputs!$K$8)^2))^2)))))/Inputs!$C$13),NA())</x:f>
        <x:v>-1958.447480072729</x:v>
      </x:c>
      <x:c r="Q159" s="48" t="n">
        <x:f>IF(OR(Inputs!$F$9=TRUE,Inputs!$F$9="TRUE",Inputs!$F$9=1),(-2*((1000*((((Inputs!$I$9+(((A159)+1)/2)*(Inputs!$J$9-Inputs!$I$9)))*Inputs!$C$11+((Inputs!$H$9+Inputs!$L$9*(((Inputs!$I$9+(((A159)+1)/2)*(Inputs!$J$9-Inputs!$I$9)))/Inputs!$K$9)^2))*((2*Inputs!$L$9*((Inputs!$I$9+(((A159)+1)/2)*(Inputs!$J$9-Inputs!$I$9)))/(Inputs!$K$9^2)*Inputs!$C$11)))/(SQRT(((Inputs!$I$9+(((A159)+1)/2)*(Inputs!$J$9-Inputs!$I$9)))^2+Inputs!$C$6^2+((Inputs!$H$9+Inputs!$L$9*(((Inputs!$I$9+(((A159)+1)/2)*(Inputs!$J$9-Inputs!$I$9)))/Inputs!$K$9)^2))^2)))))/Inputs!$C$13),NA())</x:f>
        <x:v>-1953.0481414949984</x:v>
      </x:c>
      <x:c r="R159" s="49"/>
      <x:c r="S159" s="48" t="n">
        <x:f>A159</x:f>
        <x:v>0.308</x:v>
      </x:c>
      <x:c r="T159" s="48" t="n">
        <x:f>(Inputs!$I$6+(((A159)+1)/2)*(Inputs!$J$6-Inputs!$I$6))</x:f>
        <x:v>18.480000000000004</x:v>
      </x:c>
      <x:c r="U159" s="48" t="n">
        <x:f>(Inputs!$I$7+(((A159)+1)/2)*(Inputs!$J$7-Inputs!$I$7))</x:f>
        <x:v>123.20000000000005</x:v>
      </x:c>
      <x:c r="V159" s="48" t="n">
        <x:f>(Inputs!$I$8+(((A159)+1)/2)*(Inputs!$J$8-Inputs!$I$8))</x:f>
        <x:v>246.4000000000001</x:v>
      </x:c>
      <x:c r="W159" s="48" t="n">
        <x:f>(Inputs!$I$9+(((A159)+1)/2)*(Inputs!$J$9-Inputs!$I$9))</x:f>
        <x:v>246.4000000000001</x:v>
      </x:c>
      <x:c r="X159" s="49"/>
      <x:c r="Y159" s="48" t="n">
        <x:f>A159</x:f>
        <x:v>0.308</x:v>
      </x:c>
      <x:c r="Z159" s="48" t="n">
        <x:f>(Inputs!$H$6+Inputs!$L$6*(((Inputs!$I$6+(((A159)+1)/2)*(Inputs!$J$6-Inputs!$I$6)))/Inputs!$K$6)^2)</x:f>
        <x:v>400.379456</x:v>
      </x:c>
      <x:c r="AA159" s="48" t="n">
        <x:f>(Inputs!$H$7+Inputs!$L$7*(((Inputs!$I$7+(((A159)+1)/2)*(Inputs!$J$7-Inputs!$I$7)))/Inputs!$K$7)^2)</x:f>
        <x:v>69.62536000000003</x:v>
      </x:c>
      <x:c r="AB159" s="48" t="n">
        <x:f>(Inputs!$H$8+Inputs!$L$8*(((Inputs!$I$8+(((A159)+1)/2)*(Inputs!$J$8-Inputs!$I$8)))/Inputs!$K$8)^2)</x:f>
        <x:v>126.54376000000006</x:v>
      </x:c>
      <x:c r="AC159" s="48" t="n">
        <x:f>(Inputs!$H$9+Inputs!$L$9*(((Inputs!$I$9+(((A159)+1)/2)*(Inputs!$J$9-Inputs!$I$9)))/Inputs!$K$9)^2)</x:f>
        <x:v>117.49240000000006</x:v>
      </x:c>
      <x:c r="AD159" s="49"/>
      <x:c r="AE159" s="48" t="n">
        <x:f>A159</x:f>
        <x:v>0.308</x:v>
      </x:c>
      <x:c r="AF159" s="48" t="n">
        <x:f>(((SQRT(((Inputs!$I$6+(((A159)+1)/2)*(Inputs!$J$6-Inputs!$I$6)))^2+Inputs!$C$6^2+((Inputs!$H$6+Inputs!$L$6*(((Inputs!$I$6+(((A159)+1)/2)*(Inputs!$J$6-Inputs!$I$6)))/Inputs!$K$6)^2))^2))-((Inputs!$H$6+Inputs!$L$6*(((Inputs!$I$6+(((A159)+1)/2)*(Inputs!$J$6-Inputs!$I$6)))/Inputs!$K$6)^2)))*1000/Inputs!$C$12)</x:f>
        <x:v>677.0669370112773</x:v>
      </x:c>
      <x:c r="AG159" s="48" t="n">
        <x:f>(((SQRT(((Inputs!$I$7+(((A159)+1)/2)*(Inputs!$J$7-Inputs!$I$7)))^2+Inputs!$C$6^2+((Inputs!$H$7+Inputs!$L$7*(((Inputs!$I$7+(((A159)+1)/2)*(Inputs!$J$7-Inputs!$I$7)))/Inputs!$K$7)^2))^2))-((Inputs!$H$7+Inputs!$L$7*(((Inputs!$I$7+(((A159)+1)/2)*(Inputs!$J$7-Inputs!$I$7)))/Inputs!$K$7)^2)))*1000/Inputs!$C$12)</x:f>
        <x:v>41617.39163302956</x:v>
      </x:c>
      <x:c r="AH159" s="48" t="n">
        <x:f>(((SQRT(((Inputs!$I$8+(((A159)+1)/2)*(Inputs!$J$8-Inputs!$I$8)))^2+Inputs!$C$6^2+((Inputs!$H$8+Inputs!$L$8*(((Inputs!$I$8+(((A159)+1)/2)*(Inputs!$J$8-Inputs!$I$8)))/Inputs!$K$8)^2))^2))-((Inputs!$H$8+Inputs!$L$8*(((Inputs!$I$8+(((A159)+1)/2)*(Inputs!$J$8-Inputs!$I$8)))/Inputs!$K$8)^2)))*1000/Inputs!$C$12)</x:f>
        <x:v>85155.74528855483</x:v>
      </x:c>
      <x:c r="AI159" s="48" t="n">
        <x:f>(((SQRT(((Inputs!$I$9+(((A159)+1)/2)*(Inputs!$J$9-Inputs!$I$9)))^2+Inputs!$C$6^2+((Inputs!$H$9+Inputs!$L$9*(((Inputs!$I$9+(((A159)+1)/2)*(Inputs!$J$9-Inputs!$I$9)))/Inputs!$K$9)^2))^2))-((Inputs!$H$9+Inputs!$L$9*(((Inputs!$I$9+(((A159)+1)/2)*(Inputs!$J$9-Inputs!$I$9)))/Inputs!$K$9)^2)))*1000/Inputs!$C$12)</x:f>
        <x:v>87993.69942995916</x:v>
      </x:c>
      <x:c r="AJ159" s="49"/>
      <x:c r="AK159" s="48" t="n">
        <x:f>A159</x:f>
        <x:v>0.308</x:v>
      </x:c>
      <x:c r="AL159" s="48" t="n">
        <x:f>(-2*((1000*((((Inputs!$I$6+(((A159)+1)/2)*(Inputs!$J$6-Inputs!$I$6)))*Inputs!$C$11+((Inputs!$H$6+Inputs!$L$6*(((Inputs!$I$6+(((A159)+1)/2)*(Inputs!$J$6-Inputs!$I$6)))/Inputs!$K$6)^2))*((2*Inputs!$L$6*((Inputs!$I$6+(((A159)+1)/2)*(Inputs!$J$6-Inputs!$I$6)))/(Inputs!$K$6^2)*Inputs!$C$11)))/(SQRT(((Inputs!$I$6+(((A159)+1)/2)*(Inputs!$J$6-Inputs!$I$6)))^2+Inputs!$C$6^2+((Inputs!$H$6+Inputs!$L$6*(((Inputs!$I$6+(((A159)+1)/2)*(Inputs!$J$6-Inputs!$I$6)))/Inputs!$K$6)^2))^2)))))/Inputs!$C$13)</x:f>
        <x:v>-139.13779204973227</x:v>
      </x:c>
      <x:c r="AM159" s="48" t="n">
        <x:f>(-2*((1000*((((Inputs!$I$7+(((A159)+1)/2)*(Inputs!$J$7-Inputs!$I$7)))*Inputs!$C$11+((Inputs!$H$7+Inputs!$L$7*(((Inputs!$I$7+(((A159)+1)/2)*(Inputs!$J$7-Inputs!$I$7)))/Inputs!$K$7)^2))*((2*Inputs!$L$7*((Inputs!$I$7+(((A159)+1)/2)*(Inputs!$J$7-Inputs!$I$7)))/(Inputs!$K$7^2)*Inputs!$C$11)))/(SQRT(((Inputs!$I$7+(((A159)+1)/2)*(Inputs!$J$7-Inputs!$I$7)))^2+Inputs!$C$6^2+((Inputs!$H$7+Inputs!$L$7*(((Inputs!$I$7+(((A159)+1)/2)*(Inputs!$J$7-Inputs!$I$7)))/Inputs!$K$7)^2))^2)))))/Inputs!$C$13)</x:f>
        <x:v>-1807.4492750038808</x:v>
      </x:c>
      <x:c r="AN159" s="48" t="n">
        <x:f>(-2*((1000*((((Inputs!$I$8+(((A159)+1)/2)*(Inputs!$J$8-Inputs!$I$8)))*Inputs!$C$11+((Inputs!$H$8+Inputs!$L$8*(((Inputs!$I$8+(((A159)+1)/2)*(Inputs!$J$8-Inputs!$I$8)))/Inputs!$K$8)^2))*((2*Inputs!$L$8*((Inputs!$I$8+(((A159)+1)/2)*(Inputs!$J$8-Inputs!$I$8)))/(Inputs!$K$8^2)*Inputs!$C$11)))/(SQRT(((Inputs!$I$8+(((A159)+1)/2)*(Inputs!$J$8-Inputs!$I$8)))^2+Inputs!$C$6^2+((Inputs!$H$8+Inputs!$L$8*(((Inputs!$I$8+(((A159)+1)/2)*(Inputs!$J$8-Inputs!$I$8)))/Inputs!$K$8)^2))^2)))))/Inputs!$C$13)</x:f>
        <x:v>-1958.447480072729</x:v>
      </x:c>
      <x:c r="AO159" s="48" t="n">
        <x:f>(-2*((1000*((((Inputs!$I$9+(((A159)+1)/2)*(Inputs!$J$9-Inputs!$I$9)))*Inputs!$C$11+((Inputs!$H$9+Inputs!$L$9*(((Inputs!$I$9+(((A159)+1)/2)*(Inputs!$J$9-Inputs!$I$9)))/Inputs!$K$9)^2))*((2*Inputs!$L$9*((Inputs!$I$9+(((A159)+1)/2)*(Inputs!$J$9-Inputs!$I$9)))/(Inputs!$K$9^2)*Inputs!$C$11)))/(SQRT(((Inputs!$I$9+(((A159)+1)/2)*(Inputs!$J$9-Inputs!$I$9)))^2+Inputs!$C$6^2+((Inputs!$H$9+Inputs!$L$9*(((Inputs!$I$9+(((A159)+1)/2)*(Inputs!$J$9-Inputs!$I$9)))/Inputs!$K$9)^2))^2)))))/Inputs!$C$13)</x:f>
        <x:v>-1953.0481414949984</x:v>
      </x:c>
    </x:row>
    <x:row r="160">
      <x:c r="A160" s="48" t="n">
        <x:f>ROUND(-1+158*2/240,3)</x:f>
        <x:v>0.317</x:v>
      </x:c>
      <x:c r="B160" s="48" t="n">
        <x:f>IF(OR(Inputs!$F$6=TRUE,Inputs!$F$6="TRUE",Inputs!$F$6=1),(Inputs!$H$6+Inputs!$L$6*(((Inputs!$I$6+(((A160)+1)/2)*(Inputs!$J$6-Inputs!$I$6)))/Inputs!$K$6)^2),NA())</x:f>
        <x:v>400.401956</x:v>
      </x:c>
      <x:c r="C160" s="48" t="n">
        <x:f>IF(OR(Inputs!$F$7=TRUE,Inputs!$F$7="TRUE",Inputs!$F$7=1),(Inputs!$H$7+Inputs!$L$7*(((Inputs!$I$7+(((A160)+1)/2)*(Inputs!$J$7-Inputs!$I$7)))/Inputs!$K$7)^2),NA())</x:f>
        <x:v>71.67848499999997</x:v>
      </x:c>
      <x:c r="D160" s="48" t="n">
        <x:f>IF(OR(Inputs!$F$8=TRUE,Inputs!$F$8="TRUE",Inputs!$F$8=1),(Inputs!$H$8+Inputs!$L$8*(((Inputs!$I$8+(((A160)+1)/2)*(Inputs!$J$8-Inputs!$I$8)))/Inputs!$K$8)^2),NA())</x:f>
        <x:v>131.97188499999993</x:v>
      </x:c>
      <x:c r="E160" s="48" t="n">
        <x:f>IF(OR(Inputs!$F$9=TRUE,Inputs!$F$9="TRUE",Inputs!$F$9=1),(Inputs!$H$9+Inputs!$L$9*(((Inputs!$I$9+(((A160)+1)/2)*(Inputs!$J$9-Inputs!$I$9)))/Inputs!$K$9)^2),NA())</x:f>
        <x:v>122.97677499999993</x:v>
      </x:c>
      <x:c r="F160" s="49"/>
      <x:c r="G160" s="48" t="n">
        <x:f>A160</x:f>
        <x:v>0.317</x:v>
      </x:c>
      <x:c r="H160" s="48" t="n">
        <x:f>IF(OR(Inputs!$F$6=TRUE,Inputs!$F$6="TRUE",Inputs!$F$6=1),(((SQRT(((Inputs!$I$6+(((A160)+1)/2)*(Inputs!$J$6-Inputs!$I$6)))^2+Inputs!$C$6^2+((Inputs!$H$6+Inputs!$L$6*(((Inputs!$I$6+(((A160)+1)/2)*(Inputs!$J$6-Inputs!$I$6)))/Inputs!$K$6)^2))^2))-((Inputs!$H$6+Inputs!$L$6*(((Inputs!$I$6+(((A160)+1)/2)*(Inputs!$J$6-Inputs!$I$6)))/Inputs!$K$6)^2)))*1000/Inputs!$C$12),NA())</x:f>
        <x:v>691.1921608185479</x:v>
      </x:c>
      <x:c r="I160" s="48" t="n">
        <x:f>IF(OR(Inputs!$F$7=TRUE,Inputs!$F$7="TRUE",Inputs!$F$7=1),(((SQRT(((Inputs!$I$7+(((A160)+1)/2)*(Inputs!$J$7-Inputs!$I$7)))^2+Inputs!$C$6^2+((Inputs!$H$7+Inputs!$L$7*(((Inputs!$I$7+(((A160)+1)/2)*(Inputs!$J$7-Inputs!$I$7)))/Inputs!$K$7)^2))^2))-((Inputs!$H$7+Inputs!$L$7*(((Inputs!$I$7+(((A160)+1)/2)*(Inputs!$J$7-Inputs!$I$7)))/Inputs!$K$7)^2)))*1000/Inputs!$C$12),NA())</x:f>
        <x:v>42757.68363161098</x:v>
      </x:c>
      <x:c r="J160" s="48" t="n">
        <x:f>IF(OR(Inputs!$F$8=TRUE,Inputs!$F$8="TRUE",Inputs!$F$8=1),(((SQRT(((Inputs!$I$8+(((A160)+1)/2)*(Inputs!$J$8-Inputs!$I$8)))^2+Inputs!$C$6^2+((Inputs!$H$8+Inputs!$L$8*(((Inputs!$I$8+(((A160)+1)/2)*(Inputs!$J$8-Inputs!$I$8)))/Inputs!$K$8)^2))^2))-((Inputs!$H$8+Inputs!$L$8*(((Inputs!$I$8+(((A160)+1)/2)*(Inputs!$J$8-Inputs!$I$8)))/Inputs!$K$8)^2)))*1000/Inputs!$C$12),NA())</x:f>
        <x:v>87080.29186630493</x:v>
      </x:c>
      <x:c r="K160" s="48" t="n">
        <x:f>IF(OR(Inputs!$F$9=TRUE,Inputs!$F$9="TRUE",Inputs!$F$9=1),(((SQRT(((Inputs!$I$9+(((A160)+1)/2)*(Inputs!$J$9-Inputs!$I$9)))^2+Inputs!$C$6^2+((Inputs!$H$9+Inputs!$L$9*(((Inputs!$I$9+(((A160)+1)/2)*(Inputs!$J$9-Inputs!$I$9)))/Inputs!$K$9)^2))^2))-((Inputs!$H$9+Inputs!$L$9*(((Inputs!$I$9+(((A160)+1)/2)*(Inputs!$J$9-Inputs!$I$9)))/Inputs!$K$9)^2)))*1000/Inputs!$C$12),NA())</x:f>
        <x:v>89873.13905459752</x:v>
      </x:c>
      <x:c r="L160" s="49"/>
      <x:c r="M160" s="48" t="n">
        <x:f>A160</x:f>
        <x:v>0.317</x:v>
      </x:c>
      <x:c r="N160" s="48" t="n">
        <x:f>IF(OR(Inputs!$F$6=TRUE,Inputs!$F$6="TRUE",Inputs!$F$6=1),(-2*((1000*((((Inputs!$I$6+(((A160)+1)/2)*(Inputs!$J$6-Inputs!$I$6)))*Inputs!$C$11+((Inputs!$H$6+Inputs!$L$6*(((Inputs!$I$6+(((A160)+1)/2)*(Inputs!$J$6-Inputs!$I$6)))/Inputs!$K$6)^2))*((2*Inputs!$L$6*((Inputs!$I$6+(((A160)+1)/2)*(Inputs!$J$6-Inputs!$I$6)))/(Inputs!$K$6^2)*Inputs!$C$11)))/(SQRT(((Inputs!$I$6+(((A160)+1)/2)*(Inputs!$J$6-Inputs!$I$6)))^2+Inputs!$C$6^2+((Inputs!$H$6+Inputs!$L$6*(((Inputs!$I$6+(((A160)+1)/2)*(Inputs!$J$6-Inputs!$I$6)))/Inputs!$K$6)^2))^2)))))/Inputs!$C$13),NA())</x:f>
        <x:v>-143.19030803711888</x:v>
      </x:c>
      <x:c r="O160" s="48" t="n">
        <x:f>IF(OR(Inputs!$F$7=TRUE,Inputs!$F$7="TRUE",Inputs!$F$7=1),(-2*((1000*((((Inputs!$I$7+(((A160)+1)/2)*(Inputs!$J$7-Inputs!$I$7)))*Inputs!$C$11+((Inputs!$H$7+Inputs!$L$7*(((Inputs!$I$7+(((A160)+1)/2)*(Inputs!$J$7-Inputs!$I$7)))/Inputs!$K$7)^2))*((2*Inputs!$L$7*((Inputs!$I$7+(((A160)+1)/2)*(Inputs!$J$7-Inputs!$I$7)))/(Inputs!$K$7^2)*Inputs!$C$11)))/(SQRT(((Inputs!$I$7+(((A160)+1)/2)*(Inputs!$J$7-Inputs!$I$7)))^2+Inputs!$C$6^2+((Inputs!$H$7+Inputs!$L$7*(((Inputs!$I$7+(((A160)+1)/2)*(Inputs!$J$7-Inputs!$I$7)))/Inputs!$K$7)^2))^2)))))/Inputs!$C$13),NA())</x:f>
        <x:v>-1821.7311264334853</x:v>
      </x:c>
      <x:c r="P160" s="48" t="n">
        <x:f>IF(OR(Inputs!$F$8=TRUE,Inputs!$F$8="TRUE",Inputs!$F$8=1),(-2*((1000*((((Inputs!$I$8+(((A160)+1)/2)*(Inputs!$J$8-Inputs!$I$8)))*Inputs!$C$11+((Inputs!$H$8+Inputs!$L$8*(((Inputs!$I$8+(((A160)+1)/2)*(Inputs!$J$8-Inputs!$I$8)))/Inputs!$K$8)^2))*((2*Inputs!$L$8*((Inputs!$I$8+(((A160)+1)/2)*(Inputs!$J$8-Inputs!$I$8)))/(Inputs!$K$8^2)*Inputs!$C$11)))/(SQRT(((Inputs!$I$8+(((A160)+1)/2)*(Inputs!$J$8-Inputs!$I$8)))^2+Inputs!$C$6^2+((Inputs!$H$8+Inputs!$L$8*(((Inputs!$I$8+(((A160)+1)/2)*(Inputs!$J$8-Inputs!$I$8)))/Inputs!$K$8)^2))^2)))))/Inputs!$C$13),NA())</x:f>
        <x:v>-1976.6314986031077</x:v>
      </x:c>
      <x:c r="Q160" s="48" t="n">
        <x:f>IF(OR(Inputs!$F$9=TRUE,Inputs!$F$9="TRUE",Inputs!$F$9=1),(-2*((1000*((((Inputs!$I$9+(((A160)+1)/2)*(Inputs!$J$9-Inputs!$I$9)))*Inputs!$C$11+((Inputs!$H$9+Inputs!$L$9*(((Inputs!$I$9+(((A160)+1)/2)*(Inputs!$J$9-Inputs!$I$9)))/Inputs!$K$9)^2))*((2*Inputs!$L$9*((Inputs!$I$9+(((A160)+1)/2)*(Inputs!$J$9-Inputs!$I$9)))/(Inputs!$K$9^2)*Inputs!$C$11)))/(SQRT(((Inputs!$I$9+(((A160)+1)/2)*(Inputs!$J$9-Inputs!$I$9)))^2+Inputs!$C$6^2+((Inputs!$H$9+Inputs!$L$9*(((Inputs!$I$9+(((A160)+1)/2)*(Inputs!$J$9-Inputs!$I$9)))/Inputs!$K$9)^2))^2)))))/Inputs!$C$13),NA())</x:f>
        <x:v>-1971.352851993303</x:v>
      </x:c>
      <x:c r="R160" s="49"/>
      <x:c r="S160" s="48" t="n">
        <x:f>A160</x:f>
        <x:v>0.317</x:v>
      </x:c>
      <x:c r="T160" s="48" t="n">
        <x:f>(Inputs!$I$6+(((A160)+1)/2)*(Inputs!$J$6-Inputs!$I$6))</x:f>
        <x:v>19.019999999999996</x:v>
      </x:c>
      <x:c r="U160" s="48" t="n">
        <x:f>(Inputs!$I$7+(((A160)+1)/2)*(Inputs!$J$7-Inputs!$I$7))</x:f>
        <x:v>126.79999999999995</x:v>
      </x:c>
      <x:c r="V160" s="48" t="n">
        <x:f>(Inputs!$I$8+(((A160)+1)/2)*(Inputs!$J$8-Inputs!$I$8))</x:f>
        <x:v>253.5999999999999</x:v>
      </x:c>
      <x:c r="W160" s="48" t="n">
        <x:f>(Inputs!$I$9+(((A160)+1)/2)*(Inputs!$J$9-Inputs!$I$9))</x:f>
        <x:v>253.5999999999999</x:v>
      </x:c>
      <x:c r="X160" s="49"/>
      <x:c r="Y160" s="48" t="n">
        <x:f>A160</x:f>
        <x:v>0.317</x:v>
      </x:c>
      <x:c r="Z160" s="48" t="n">
        <x:f>(Inputs!$H$6+Inputs!$L$6*(((Inputs!$I$6+(((A160)+1)/2)*(Inputs!$J$6-Inputs!$I$6)))/Inputs!$K$6)^2)</x:f>
        <x:v>400.401956</x:v>
      </x:c>
      <x:c r="AA160" s="48" t="n">
        <x:f>(Inputs!$H$7+Inputs!$L$7*(((Inputs!$I$7+(((A160)+1)/2)*(Inputs!$J$7-Inputs!$I$7)))/Inputs!$K$7)^2)</x:f>
        <x:v>71.67848499999997</x:v>
      </x:c>
      <x:c r="AB160" s="48" t="n">
        <x:f>(Inputs!$H$8+Inputs!$L$8*(((Inputs!$I$8+(((A160)+1)/2)*(Inputs!$J$8-Inputs!$I$8)))/Inputs!$K$8)^2)</x:f>
        <x:v>131.97188499999993</x:v>
      </x:c>
      <x:c r="AC160" s="48" t="n">
        <x:f>(Inputs!$H$9+Inputs!$L$9*(((Inputs!$I$9+(((A160)+1)/2)*(Inputs!$J$9-Inputs!$I$9)))/Inputs!$K$9)^2)</x:f>
        <x:v>122.97677499999993</x:v>
      </x:c>
      <x:c r="AD160" s="49"/>
      <x:c r="AE160" s="48" t="n">
        <x:f>A160</x:f>
        <x:v>0.317</x:v>
      </x:c>
      <x:c r="AF160" s="48" t="n">
        <x:f>(((SQRT(((Inputs!$I$6+(((A160)+1)/2)*(Inputs!$J$6-Inputs!$I$6)))^2+Inputs!$C$6^2+((Inputs!$H$6+Inputs!$L$6*(((Inputs!$I$6+(((A160)+1)/2)*(Inputs!$J$6-Inputs!$I$6)))/Inputs!$K$6)^2))^2))-((Inputs!$H$6+Inputs!$L$6*(((Inputs!$I$6+(((A160)+1)/2)*(Inputs!$J$6-Inputs!$I$6)))/Inputs!$K$6)^2)))*1000/Inputs!$C$12)</x:f>
        <x:v>691.1921608185479</x:v>
      </x:c>
      <x:c r="AG160" s="48" t="n">
        <x:f>(((SQRT(((Inputs!$I$7+(((A160)+1)/2)*(Inputs!$J$7-Inputs!$I$7)))^2+Inputs!$C$6^2+((Inputs!$H$7+Inputs!$L$7*(((Inputs!$I$7+(((A160)+1)/2)*(Inputs!$J$7-Inputs!$I$7)))/Inputs!$K$7)^2))^2))-((Inputs!$H$7+Inputs!$L$7*(((Inputs!$I$7+(((A160)+1)/2)*(Inputs!$J$7-Inputs!$I$7)))/Inputs!$K$7)^2)))*1000/Inputs!$C$12)</x:f>
        <x:v>42757.68363161098</x:v>
      </x:c>
      <x:c r="AH160" s="48" t="n">
        <x:f>(((SQRT(((Inputs!$I$8+(((A160)+1)/2)*(Inputs!$J$8-Inputs!$I$8)))^2+Inputs!$C$6^2+((Inputs!$H$8+Inputs!$L$8*(((Inputs!$I$8+(((A160)+1)/2)*(Inputs!$J$8-Inputs!$I$8)))/Inputs!$K$8)^2))^2))-((Inputs!$H$8+Inputs!$L$8*(((Inputs!$I$8+(((A160)+1)/2)*(Inputs!$J$8-Inputs!$I$8)))/Inputs!$K$8)^2)))*1000/Inputs!$C$12)</x:f>
        <x:v>87080.29186630493</x:v>
      </x:c>
      <x:c r="AI160" s="48" t="n">
        <x:f>(((SQRT(((Inputs!$I$9+(((A160)+1)/2)*(Inputs!$J$9-Inputs!$I$9)))^2+Inputs!$C$6^2+((Inputs!$H$9+Inputs!$L$9*(((Inputs!$I$9+(((A160)+1)/2)*(Inputs!$J$9-Inputs!$I$9)))/Inputs!$K$9)^2))^2))-((Inputs!$H$9+Inputs!$L$9*(((Inputs!$I$9+(((A160)+1)/2)*(Inputs!$J$9-Inputs!$I$9)))/Inputs!$K$9)^2)))*1000/Inputs!$C$12)</x:f>
        <x:v>89873.13905459752</x:v>
      </x:c>
      <x:c r="AJ160" s="49"/>
      <x:c r="AK160" s="48" t="n">
        <x:f>A160</x:f>
        <x:v>0.317</x:v>
      </x:c>
      <x:c r="AL160" s="48" t="n">
        <x:f>(-2*((1000*((((Inputs!$I$6+(((A160)+1)/2)*(Inputs!$J$6-Inputs!$I$6)))*Inputs!$C$11+((Inputs!$H$6+Inputs!$L$6*(((Inputs!$I$6+(((A160)+1)/2)*(Inputs!$J$6-Inputs!$I$6)))/Inputs!$K$6)^2))*((2*Inputs!$L$6*((Inputs!$I$6+(((A160)+1)/2)*(Inputs!$J$6-Inputs!$I$6)))/(Inputs!$K$6^2)*Inputs!$C$11)))/(SQRT(((Inputs!$I$6+(((A160)+1)/2)*(Inputs!$J$6-Inputs!$I$6)))^2+Inputs!$C$6^2+((Inputs!$H$6+Inputs!$L$6*(((Inputs!$I$6+(((A160)+1)/2)*(Inputs!$J$6-Inputs!$I$6)))/Inputs!$K$6)^2))^2)))))/Inputs!$C$13)</x:f>
        <x:v>-143.19030803711888</x:v>
      </x:c>
      <x:c r="AM160" s="48" t="n">
        <x:f>(-2*((1000*((((Inputs!$I$7+(((A160)+1)/2)*(Inputs!$J$7-Inputs!$I$7)))*Inputs!$C$11+((Inputs!$H$7+Inputs!$L$7*(((Inputs!$I$7+(((A160)+1)/2)*(Inputs!$J$7-Inputs!$I$7)))/Inputs!$K$7)^2))*((2*Inputs!$L$7*((Inputs!$I$7+(((A160)+1)/2)*(Inputs!$J$7-Inputs!$I$7)))/(Inputs!$K$7^2)*Inputs!$C$11)))/(SQRT(((Inputs!$I$7+(((A160)+1)/2)*(Inputs!$J$7-Inputs!$I$7)))^2+Inputs!$C$6^2+((Inputs!$H$7+Inputs!$L$7*(((Inputs!$I$7+(((A160)+1)/2)*(Inputs!$J$7-Inputs!$I$7)))/Inputs!$K$7)^2))^2)))))/Inputs!$C$13)</x:f>
        <x:v>-1821.7311264334853</x:v>
      </x:c>
      <x:c r="AN160" s="48" t="n">
        <x:f>(-2*((1000*((((Inputs!$I$8+(((A160)+1)/2)*(Inputs!$J$8-Inputs!$I$8)))*Inputs!$C$11+((Inputs!$H$8+Inputs!$L$8*(((Inputs!$I$8+(((A160)+1)/2)*(Inputs!$J$8-Inputs!$I$8)))/Inputs!$K$8)^2))*((2*Inputs!$L$8*((Inputs!$I$8+(((A160)+1)/2)*(Inputs!$J$8-Inputs!$I$8)))/(Inputs!$K$8^2)*Inputs!$C$11)))/(SQRT(((Inputs!$I$8+(((A160)+1)/2)*(Inputs!$J$8-Inputs!$I$8)))^2+Inputs!$C$6^2+((Inputs!$H$8+Inputs!$L$8*(((Inputs!$I$8+(((A160)+1)/2)*(Inputs!$J$8-Inputs!$I$8)))/Inputs!$K$8)^2))^2)))))/Inputs!$C$13)</x:f>
        <x:v>-1976.6314986031077</x:v>
      </x:c>
      <x:c r="AO160" s="48" t="n">
        <x:f>(-2*((1000*((((Inputs!$I$9+(((A160)+1)/2)*(Inputs!$J$9-Inputs!$I$9)))*Inputs!$C$11+((Inputs!$H$9+Inputs!$L$9*(((Inputs!$I$9+(((A160)+1)/2)*(Inputs!$J$9-Inputs!$I$9)))/Inputs!$K$9)^2))*((2*Inputs!$L$9*((Inputs!$I$9+(((A160)+1)/2)*(Inputs!$J$9-Inputs!$I$9)))/(Inputs!$K$9^2)*Inputs!$C$11)))/(SQRT(((Inputs!$I$9+(((A160)+1)/2)*(Inputs!$J$9-Inputs!$I$9)))^2+Inputs!$C$6^2+((Inputs!$H$9+Inputs!$L$9*(((Inputs!$I$9+(((A160)+1)/2)*(Inputs!$J$9-Inputs!$I$9)))/Inputs!$K$9)^2))^2)))))/Inputs!$C$13)</x:f>
        <x:v>-1971.352851993303</x:v>
      </x:c>
    </x:row>
    <x:row r="161">
      <x:c r="A161" s="48" t="n">
        <x:f>ROUND(-1+159*2/240,3)</x:f>
        <x:v>0.325</x:v>
      </x:c>
      <x:c r="B161" s="48" t="n">
        <x:f>IF(OR(Inputs!$F$6=TRUE,Inputs!$F$6="TRUE",Inputs!$F$6=1),(Inputs!$H$6+Inputs!$L$6*(((Inputs!$I$6+(((A161)+1)/2)*(Inputs!$J$6-Inputs!$I$6)))/Inputs!$K$6)^2),NA())</x:f>
        <x:v>400.4225</x:v>
      </x:c>
      <x:c r="C161" s="48" t="n">
        <x:f>IF(OR(Inputs!$F$7=TRUE,Inputs!$F$7="TRUE",Inputs!$F$7=1),(Inputs!$H$7+Inputs!$L$7*(((Inputs!$I$7+(((A161)+1)/2)*(Inputs!$J$7-Inputs!$I$7)))/Inputs!$K$7)^2),NA())</x:f>
        <x:v>73.553125</x:v>
      </x:c>
      <x:c r="D161" s="48" t="n">
        <x:f>IF(OR(Inputs!$F$8=TRUE,Inputs!$F$8="TRUE",Inputs!$F$8=1),(Inputs!$H$8+Inputs!$L$8*(((Inputs!$I$8+(((A161)+1)/2)*(Inputs!$J$8-Inputs!$I$8)))/Inputs!$K$8)^2),NA())</x:f>
        <x:v>136.92812500000002</x:v>
      </x:c>
      <x:c r="E161" s="48" t="n">
        <x:f>IF(OR(Inputs!$F$9=TRUE,Inputs!$F$9="TRUE",Inputs!$F$9=1),(Inputs!$H$9+Inputs!$L$9*(((Inputs!$I$9+(((A161)+1)/2)*(Inputs!$J$9-Inputs!$I$9)))/Inputs!$K$9)^2),NA())</x:f>
        <x:v>127.98437500000001</x:v>
      </x:c>
      <x:c r="F161" s="49"/>
      <x:c r="G161" s="48" t="n">
        <x:f>A161</x:f>
        <x:v>0.325</x:v>
      </x:c>
      <x:c r="H161" s="48" t="n">
        <x:f>IF(OR(Inputs!$F$6=TRUE,Inputs!$F$6="TRUE",Inputs!$F$6=1),(((SQRT(((Inputs!$I$6+(((A161)+1)/2)*(Inputs!$J$6-Inputs!$I$6)))^2+Inputs!$C$6^2+((Inputs!$H$6+Inputs!$L$6*(((Inputs!$I$6+(((A161)+1)/2)*(Inputs!$J$6-Inputs!$I$6)))/Inputs!$K$6)^2))^2))-((Inputs!$H$6+Inputs!$L$6*(((Inputs!$I$6+(((A161)+1)/2)*(Inputs!$J$6-Inputs!$I$6)))/Inputs!$K$6)^2)))*1000/Inputs!$C$12),NA())</x:f>
        <x:v>704.0872775371171</x:v>
      </x:c>
      <x:c r="I161" s="48" t="n">
        <x:f>IF(OR(Inputs!$F$7=TRUE,Inputs!$F$7="TRUE",Inputs!$F$7=1),(((SQRT(((Inputs!$I$7+(((A161)+1)/2)*(Inputs!$J$7-Inputs!$I$7)))^2+Inputs!$C$6^2+((Inputs!$H$7+Inputs!$L$7*(((Inputs!$I$7+(((A161)+1)/2)*(Inputs!$J$7-Inputs!$I$7)))/Inputs!$K$7)^2))^2))-((Inputs!$H$7+Inputs!$L$7*(((Inputs!$I$7+(((A161)+1)/2)*(Inputs!$J$7-Inputs!$I$7)))/Inputs!$K$7)^2)))*1000/Inputs!$C$12),NA())</x:f>
        <x:v>43758.50503075387</x:v>
      </x:c>
      <x:c r="J161" s="48" t="n">
        <x:f>IF(OR(Inputs!$F$8=TRUE,Inputs!$F$8="TRUE",Inputs!$F$8=1),(((SQRT(((Inputs!$I$8+(((A161)+1)/2)*(Inputs!$J$8-Inputs!$I$8)))^2+Inputs!$C$6^2+((Inputs!$H$8+Inputs!$L$8*(((Inputs!$I$8+(((A161)+1)/2)*(Inputs!$J$8-Inputs!$I$8)))/Inputs!$K$8)^2))^2))-((Inputs!$H$8+Inputs!$L$8*(((Inputs!$I$8+(((A161)+1)/2)*(Inputs!$J$8-Inputs!$I$8)))/Inputs!$K$8)^2)))*1000/Inputs!$C$12),NA())</x:f>
        <x:v>88756.15147862001</x:v>
      </x:c>
      <x:c r="K161" s="48" t="n">
        <x:f>IF(OR(Inputs!$F$9=TRUE,Inputs!$F$9="TRUE",Inputs!$F$9=1),(((SQRT(((Inputs!$I$9+(((A161)+1)/2)*(Inputs!$J$9-Inputs!$I$9)))^2+Inputs!$C$6^2+((Inputs!$H$9+Inputs!$L$9*(((Inputs!$I$9+(((A161)+1)/2)*(Inputs!$J$9-Inputs!$I$9)))/Inputs!$K$9)^2))^2))-((Inputs!$H$9+Inputs!$L$9*(((Inputs!$I$9+(((A161)+1)/2)*(Inputs!$J$9-Inputs!$I$9)))/Inputs!$K$9)^2)))*1000/Inputs!$C$12),NA())</x:f>
        <x:v>91508.43365995074</x:v>
      </x:c>
      <x:c r="L161" s="49"/>
      <x:c r="M161" s="48" t="n">
        <x:f>A161</x:f>
        <x:v>0.325</x:v>
      </x:c>
      <x:c r="N161" s="48" t="n">
        <x:f>IF(OR(Inputs!$F$6=TRUE,Inputs!$F$6="TRUE",Inputs!$F$6=1),(-2*((1000*((((Inputs!$I$6+(((A161)+1)/2)*(Inputs!$J$6-Inputs!$I$6)))*Inputs!$C$11+((Inputs!$H$6+Inputs!$L$6*(((Inputs!$I$6+(((A161)+1)/2)*(Inputs!$J$6-Inputs!$I$6)))/Inputs!$K$6)^2))*((2*Inputs!$L$6*((Inputs!$I$6+(((A161)+1)/2)*(Inputs!$J$6-Inputs!$I$6)))/(Inputs!$K$6^2)*Inputs!$C$11)))/(SQRT(((Inputs!$I$6+(((A161)+1)/2)*(Inputs!$J$6-Inputs!$I$6)))^2+Inputs!$C$6^2+((Inputs!$H$6+Inputs!$L$6*(((Inputs!$I$6+(((A161)+1)/2)*(Inputs!$J$6-Inputs!$I$6)))/Inputs!$K$6)^2))^2)))))/Inputs!$C$13),NA())</x:f>
        <x:v>-146.79159233513667</x:v>
      </x:c>
      <x:c r="O161" s="48" t="n">
        <x:f>IF(OR(Inputs!$F$7=TRUE,Inputs!$F$7="TRUE",Inputs!$F$7=1),(-2*((1000*((((Inputs!$I$7+(((A161)+1)/2)*(Inputs!$J$7-Inputs!$I$7)))*Inputs!$C$11+((Inputs!$H$7+Inputs!$L$7*(((Inputs!$I$7+(((A161)+1)/2)*(Inputs!$J$7-Inputs!$I$7)))/Inputs!$K$7)^2))*((2*Inputs!$L$7*((Inputs!$I$7+(((A161)+1)/2)*(Inputs!$J$7-Inputs!$I$7)))/(Inputs!$K$7^2)*Inputs!$C$11)))/(SQRT(((Inputs!$I$7+(((A161)+1)/2)*(Inputs!$J$7-Inputs!$I$7)))^2+Inputs!$C$6^2+((Inputs!$H$7+Inputs!$L$7*(((Inputs!$I$7+(((A161)+1)/2)*(Inputs!$J$7-Inputs!$I$7)))/Inputs!$K$7)^2))^2)))))/Inputs!$C$13),NA())</x:f>
        <x:v>-1834.3629711257395</x:v>
      </x:c>
      <x:c r="P161" s="48" t="n">
        <x:f>IF(OR(Inputs!$F$8=TRUE,Inputs!$F$8="TRUE",Inputs!$F$8=1),(-2*((1000*((((Inputs!$I$8+(((A161)+1)/2)*(Inputs!$J$8-Inputs!$I$8)))*Inputs!$C$11+((Inputs!$H$8+Inputs!$L$8*(((Inputs!$I$8+(((A161)+1)/2)*(Inputs!$J$8-Inputs!$I$8)))/Inputs!$K$8)^2))*((2*Inputs!$L$8*((Inputs!$I$8+(((A161)+1)/2)*(Inputs!$J$8-Inputs!$I$8)))/(Inputs!$K$8^2)*Inputs!$C$11)))/(SQRT(((Inputs!$I$8+(((A161)+1)/2)*(Inputs!$J$8-Inputs!$I$8)))^2+Inputs!$C$6^2+((Inputs!$H$8+Inputs!$L$8*(((Inputs!$I$8+(((A161)+1)/2)*(Inputs!$J$8-Inputs!$I$8)))/Inputs!$K$8)^2))^2)))))/Inputs!$C$13),NA())</x:f>
        <x:v>-1993.0426635149645</x:v>
      </x:c>
      <x:c r="Q161" s="48" t="n">
        <x:f>IF(OR(Inputs!$F$9=TRUE,Inputs!$F$9="TRUE",Inputs!$F$9=1),(-2*((1000*((((Inputs!$I$9+(((A161)+1)/2)*(Inputs!$J$9-Inputs!$I$9)))*Inputs!$C$11+((Inputs!$H$9+Inputs!$L$9*(((Inputs!$I$9+(((A161)+1)/2)*(Inputs!$J$9-Inputs!$I$9)))/Inputs!$K$9)^2))*((2*Inputs!$L$9*((Inputs!$I$9+(((A161)+1)/2)*(Inputs!$J$9-Inputs!$I$9)))/(Inputs!$K$9^2)*Inputs!$C$11)))/(SQRT(((Inputs!$I$9+(((A161)+1)/2)*(Inputs!$J$9-Inputs!$I$9)))^2+Inputs!$C$6^2+((Inputs!$H$9+Inputs!$L$9*(((Inputs!$I$9+(((A161)+1)/2)*(Inputs!$J$9-Inputs!$I$9)))/Inputs!$K$9)^2))^2)))))/Inputs!$C$13),NA())</x:f>
        <x:v>-1987.9032353516245</x:v>
      </x:c>
      <x:c r="R161" s="49"/>
      <x:c r="S161" s="48" t="n">
        <x:f>A161</x:f>
        <x:v>0.325</x:v>
      </x:c>
      <x:c r="T161" s="48" t="n">
        <x:f>(Inputs!$I$6+(((A161)+1)/2)*(Inputs!$J$6-Inputs!$I$6))</x:f>
        <x:v>19.5</x:v>
      </x:c>
      <x:c r="U161" s="48" t="n">
        <x:f>(Inputs!$I$7+(((A161)+1)/2)*(Inputs!$J$7-Inputs!$I$7))</x:f>
        <x:v>130</x:v>
      </x:c>
      <x:c r="V161" s="48" t="n">
        <x:f>(Inputs!$I$8+(((A161)+1)/2)*(Inputs!$J$8-Inputs!$I$8))</x:f>
        <x:v>260</x:v>
      </x:c>
      <x:c r="W161" s="48" t="n">
        <x:f>(Inputs!$I$9+(((A161)+1)/2)*(Inputs!$J$9-Inputs!$I$9))</x:f>
        <x:v>260</x:v>
      </x:c>
      <x:c r="X161" s="49"/>
      <x:c r="Y161" s="48" t="n">
        <x:f>A161</x:f>
        <x:v>0.325</x:v>
      </x:c>
      <x:c r="Z161" s="48" t="n">
        <x:f>(Inputs!$H$6+Inputs!$L$6*(((Inputs!$I$6+(((A161)+1)/2)*(Inputs!$J$6-Inputs!$I$6)))/Inputs!$K$6)^2)</x:f>
        <x:v>400.4225</x:v>
      </x:c>
      <x:c r="AA161" s="48" t="n">
        <x:f>(Inputs!$H$7+Inputs!$L$7*(((Inputs!$I$7+(((A161)+1)/2)*(Inputs!$J$7-Inputs!$I$7)))/Inputs!$K$7)^2)</x:f>
        <x:v>73.553125</x:v>
      </x:c>
      <x:c r="AB161" s="48" t="n">
        <x:f>(Inputs!$H$8+Inputs!$L$8*(((Inputs!$I$8+(((A161)+1)/2)*(Inputs!$J$8-Inputs!$I$8)))/Inputs!$K$8)^2)</x:f>
        <x:v>136.92812500000002</x:v>
      </x:c>
      <x:c r="AC161" s="48" t="n">
        <x:f>(Inputs!$H$9+Inputs!$L$9*(((Inputs!$I$9+(((A161)+1)/2)*(Inputs!$J$9-Inputs!$I$9)))/Inputs!$K$9)^2)</x:f>
        <x:v>127.98437500000001</x:v>
      </x:c>
      <x:c r="AD161" s="49"/>
      <x:c r="AE161" s="48" t="n">
        <x:f>A161</x:f>
        <x:v>0.325</x:v>
      </x:c>
      <x:c r="AF161" s="48" t="n">
        <x:f>(((SQRT(((Inputs!$I$6+(((A161)+1)/2)*(Inputs!$J$6-Inputs!$I$6)))^2+Inputs!$C$6^2+((Inputs!$H$6+Inputs!$L$6*(((Inputs!$I$6+(((A161)+1)/2)*(Inputs!$J$6-Inputs!$I$6)))/Inputs!$K$6)^2))^2))-((Inputs!$H$6+Inputs!$L$6*(((Inputs!$I$6+(((A161)+1)/2)*(Inputs!$J$6-Inputs!$I$6)))/Inputs!$K$6)^2)))*1000/Inputs!$C$12)</x:f>
        <x:v>704.0872775371171</x:v>
      </x:c>
      <x:c r="AG161" s="48" t="n">
        <x:f>(((SQRT(((Inputs!$I$7+(((A161)+1)/2)*(Inputs!$J$7-Inputs!$I$7)))^2+Inputs!$C$6^2+((Inputs!$H$7+Inputs!$L$7*(((Inputs!$I$7+(((A161)+1)/2)*(Inputs!$J$7-Inputs!$I$7)))/Inputs!$K$7)^2))^2))-((Inputs!$H$7+Inputs!$L$7*(((Inputs!$I$7+(((A161)+1)/2)*(Inputs!$J$7-Inputs!$I$7)))/Inputs!$K$7)^2)))*1000/Inputs!$C$12)</x:f>
        <x:v>43758.50503075387</x:v>
      </x:c>
      <x:c r="AH161" s="48" t="n">
        <x:f>(((SQRT(((Inputs!$I$8+(((A161)+1)/2)*(Inputs!$J$8-Inputs!$I$8)))^2+Inputs!$C$6^2+((Inputs!$H$8+Inputs!$L$8*(((Inputs!$I$8+(((A161)+1)/2)*(Inputs!$J$8-Inputs!$I$8)))/Inputs!$K$8)^2))^2))-((Inputs!$H$8+Inputs!$L$8*(((Inputs!$I$8+(((A161)+1)/2)*(Inputs!$J$8-Inputs!$I$8)))/Inputs!$K$8)^2)))*1000/Inputs!$C$12)</x:f>
        <x:v>88756.15147862001</x:v>
      </x:c>
      <x:c r="AI161" s="48" t="n">
        <x:f>(((SQRT(((Inputs!$I$9+(((A161)+1)/2)*(Inputs!$J$9-Inputs!$I$9)))^2+Inputs!$C$6^2+((Inputs!$H$9+Inputs!$L$9*(((Inputs!$I$9+(((A161)+1)/2)*(Inputs!$J$9-Inputs!$I$9)))/Inputs!$K$9)^2))^2))-((Inputs!$H$9+Inputs!$L$9*(((Inputs!$I$9+(((A161)+1)/2)*(Inputs!$J$9-Inputs!$I$9)))/Inputs!$K$9)^2)))*1000/Inputs!$C$12)</x:f>
        <x:v>91508.43365995074</x:v>
      </x:c>
      <x:c r="AJ161" s="49"/>
      <x:c r="AK161" s="48" t="n">
        <x:f>A161</x:f>
        <x:v>0.325</x:v>
      </x:c>
      <x:c r="AL161" s="48" t="n">
        <x:f>(-2*((1000*((((Inputs!$I$6+(((A161)+1)/2)*(Inputs!$J$6-Inputs!$I$6)))*Inputs!$C$11+((Inputs!$H$6+Inputs!$L$6*(((Inputs!$I$6+(((A161)+1)/2)*(Inputs!$J$6-Inputs!$I$6)))/Inputs!$K$6)^2))*((2*Inputs!$L$6*((Inputs!$I$6+(((A161)+1)/2)*(Inputs!$J$6-Inputs!$I$6)))/(Inputs!$K$6^2)*Inputs!$C$11)))/(SQRT(((Inputs!$I$6+(((A161)+1)/2)*(Inputs!$J$6-Inputs!$I$6)))^2+Inputs!$C$6^2+((Inputs!$H$6+Inputs!$L$6*(((Inputs!$I$6+(((A161)+1)/2)*(Inputs!$J$6-Inputs!$I$6)))/Inputs!$K$6)^2))^2)))))/Inputs!$C$13)</x:f>
        <x:v>-146.79159233513667</x:v>
      </x:c>
      <x:c r="AM161" s="48" t="n">
        <x:f>(-2*((1000*((((Inputs!$I$7+(((A161)+1)/2)*(Inputs!$J$7-Inputs!$I$7)))*Inputs!$C$11+((Inputs!$H$7+Inputs!$L$7*(((Inputs!$I$7+(((A161)+1)/2)*(Inputs!$J$7-Inputs!$I$7)))/Inputs!$K$7)^2))*((2*Inputs!$L$7*((Inputs!$I$7+(((A161)+1)/2)*(Inputs!$J$7-Inputs!$I$7)))/(Inputs!$K$7^2)*Inputs!$C$11)))/(SQRT(((Inputs!$I$7+(((A161)+1)/2)*(Inputs!$J$7-Inputs!$I$7)))^2+Inputs!$C$6^2+((Inputs!$H$7+Inputs!$L$7*(((Inputs!$I$7+(((A161)+1)/2)*(Inputs!$J$7-Inputs!$I$7)))/Inputs!$K$7)^2))^2)))))/Inputs!$C$13)</x:f>
        <x:v>-1834.3629711257395</x:v>
      </x:c>
      <x:c r="AN161" s="48" t="n">
        <x:f>(-2*((1000*((((Inputs!$I$8+(((A161)+1)/2)*(Inputs!$J$8-Inputs!$I$8)))*Inputs!$C$11+((Inputs!$H$8+Inputs!$L$8*(((Inputs!$I$8+(((A161)+1)/2)*(Inputs!$J$8-Inputs!$I$8)))/Inputs!$K$8)^2))*((2*Inputs!$L$8*((Inputs!$I$8+(((A161)+1)/2)*(Inputs!$J$8-Inputs!$I$8)))/(Inputs!$K$8^2)*Inputs!$C$11)))/(SQRT(((Inputs!$I$8+(((A161)+1)/2)*(Inputs!$J$8-Inputs!$I$8)))^2+Inputs!$C$6^2+((Inputs!$H$8+Inputs!$L$8*(((Inputs!$I$8+(((A161)+1)/2)*(Inputs!$J$8-Inputs!$I$8)))/Inputs!$K$8)^2))^2)))))/Inputs!$C$13)</x:f>
        <x:v>-1993.0426635149645</x:v>
      </x:c>
      <x:c r="AO161" s="48" t="n">
        <x:f>(-2*((1000*((((Inputs!$I$9+(((A161)+1)/2)*(Inputs!$J$9-Inputs!$I$9)))*Inputs!$C$11+((Inputs!$H$9+Inputs!$L$9*(((Inputs!$I$9+(((A161)+1)/2)*(Inputs!$J$9-Inputs!$I$9)))/Inputs!$K$9)^2))*((2*Inputs!$L$9*((Inputs!$I$9+(((A161)+1)/2)*(Inputs!$J$9-Inputs!$I$9)))/(Inputs!$K$9^2)*Inputs!$C$11)))/(SQRT(((Inputs!$I$9+(((A161)+1)/2)*(Inputs!$J$9-Inputs!$I$9)))^2+Inputs!$C$6^2+((Inputs!$H$9+Inputs!$L$9*(((Inputs!$I$9+(((A161)+1)/2)*(Inputs!$J$9-Inputs!$I$9)))/Inputs!$K$9)^2))^2)))))/Inputs!$C$13)</x:f>
        <x:v>-1987.9032353516245</x:v>
      </x:c>
    </x:row>
    <x:row r="162">
      <x:c r="A162" s="48" t="n">
        <x:f>ROUND(-1+160*2/240,3)</x:f>
        <x:v>0.333</x:v>
      </x:c>
      <x:c r="B162" s="48" t="n">
        <x:f>IF(OR(Inputs!$F$6=TRUE,Inputs!$F$6="TRUE",Inputs!$F$6=1),(Inputs!$H$6+Inputs!$L$6*(((Inputs!$I$6+(((A162)+1)/2)*(Inputs!$J$6-Inputs!$I$6)))/Inputs!$K$6)^2),NA())</x:f>
        <x:v>400.443556</x:v>
      </x:c>
      <x:c r="C162" s="48" t="n">
        <x:f>IF(OR(Inputs!$F$7=TRUE,Inputs!$F$7="TRUE",Inputs!$F$7=1),(Inputs!$H$7+Inputs!$L$7*(((Inputs!$I$7+(((A162)+1)/2)*(Inputs!$J$7-Inputs!$I$7)))/Inputs!$K$7)^2),NA())</x:f>
        <x:v>75.47448499999996</x:v>
      </x:c>
      <x:c r="D162" s="48" t="n">
        <x:f>IF(OR(Inputs!$F$8=TRUE,Inputs!$F$8="TRUE",Inputs!$F$8=1),(Inputs!$H$8+Inputs!$L$8*(((Inputs!$I$8+(((A162)+1)/2)*(Inputs!$J$8-Inputs!$I$8)))/Inputs!$K$8)^2),NA())</x:f>
        <x:v>142.0078849999999</x:v>
      </x:c>
      <x:c r="E162" s="48" t="n">
        <x:f>IF(OR(Inputs!$F$9=TRUE,Inputs!$F$9="TRUE",Inputs!$F$9=1),(Inputs!$H$9+Inputs!$L$9*(((Inputs!$I$9+(((A162)+1)/2)*(Inputs!$J$9-Inputs!$I$9)))/Inputs!$K$9)^2),NA())</x:f>
        <x:v>133.1167749999999</x:v>
      </x:c>
      <x:c r="F162" s="49"/>
      <x:c r="G162" s="48" t="n">
        <x:f>A162</x:f>
        <x:v>0.333</x:v>
      </x:c>
      <x:c r="H162" s="48" t="n">
        <x:f>IF(OR(Inputs!$F$6=TRUE,Inputs!$F$6="TRUE",Inputs!$F$6=1),(((SQRT(((Inputs!$I$6+(((A162)+1)/2)*(Inputs!$J$6-Inputs!$I$6)))^2+Inputs!$C$6^2+((Inputs!$H$6+Inputs!$L$6*(((Inputs!$I$6+(((A162)+1)/2)*(Inputs!$J$6-Inputs!$I$6)))/Inputs!$K$6)^2))^2))-((Inputs!$H$6+Inputs!$L$6*(((Inputs!$I$6+(((A162)+1)/2)*(Inputs!$J$6-Inputs!$I$6)))/Inputs!$K$6)^2)))*1000/Inputs!$C$12),NA())</x:f>
        <x:v>717.3016346847704</x:v>
      </x:c>
      <x:c r="I162" s="48" t="n">
        <x:f>IF(OR(Inputs!$F$7=TRUE,Inputs!$F$7="TRUE",Inputs!$F$7=1),(((SQRT(((Inputs!$I$7+(((A162)+1)/2)*(Inputs!$J$7-Inputs!$I$7)))^2+Inputs!$C$6^2+((Inputs!$H$7+Inputs!$L$7*(((Inputs!$I$7+(((A162)+1)/2)*(Inputs!$J$7-Inputs!$I$7)))/Inputs!$K$7)^2))^2))-((Inputs!$H$7+Inputs!$L$7*(((Inputs!$I$7+(((A162)+1)/2)*(Inputs!$J$7-Inputs!$I$7)))/Inputs!$K$7)^2)))*1000/Inputs!$C$12),NA())</x:f>
        <x:v>44747.249028231476</x:v>
      </x:c>
      <x:c r="J162" s="48" t="n">
        <x:f>IF(OR(Inputs!$F$8=TRUE,Inputs!$F$8="TRUE",Inputs!$F$8=1),(((SQRT(((Inputs!$I$8+(((A162)+1)/2)*(Inputs!$J$8-Inputs!$I$8)))^2+Inputs!$C$6^2+((Inputs!$H$8+Inputs!$L$8*(((Inputs!$I$8+(((A162)+1)/2)*(Inputs!$J$8-Inputs!$I$8)))/Inputs!$K$8)^2))^2))-((Inputs!$H$8+Inputs!$L$8*(((Inputs!$I$8+(((A162)+1)/2)*(Inputs!$J$8-Inputs!$I$8)))/Inputs!$K$8)^2)))*1000/Inputs!$C$12),NA())</x:f>
        <x:v>90399.76138013398</x:v>
      </x:c>
      <x:c r="K162" s="48" t="n">
        <x:f>IF(OR(Inputs!$F$9=TRUE,Inputs!$F$9="TRUE",Inputs!$F$9=1),(((SQRT(((Inputs!$I$9+(((A162)+1)/2)*(Inputs!$J$9-Inputs!$I$9)))^2+Inputs!$C$6^2+((Inputs!$H$9+Inputs!$L$9*(((Inputs!$I$9+(((A162)+1)/2)*(Inputs!$J$9-Inputs!$I$9)))/Inputs!$K$9)^2))^2))-((Inputs!$H$9+Inputs!$L$9*(((Inputs!$I$9+(((A162)+1)/2)*(Inputs!$J$9-Inputs!$I$9)))/Inputs!$K$9)^2)))*1000/Inputs!$C$12),NA())</x:f>
        <x:v>93111.10365792978</x:v>
      </x:c>
      <x:c r="L162" s="49"/>
      <x:c r="M162" s="48" t="n">
        <x:f>A162</x:f>
        <x:v>0.333</x:v>
      </x:c>
      <x:c r="N162" s="48" t="n">
        <x:f>IF(OR(Inputs!$F$6=TRUE,Inputs!$F$6="TRUE",Inputs!$F$6=1),(-2*((1000*((((Inputs!$I$6+(((A162)+1)/2)*(Inputs!$J$6-Inputs!$I$6)))*Inputs!$C$11+((Inputs!$H$6+Inputs!$L$6*(((Inputs!$I$6+(((A162)+1)/2)*(Inputs!$J$6-Inputs!$I$6)))/Inputs!$K$6)^2))*((2*Inputs!$L$6*((Inputs!$I$6+(((A162)+1)/2)*(Inputs!$J$6-Inputs!$I$6)))/(Inputs!$K$6^2)*Inputs!$C$11)))/(SQRT(((Inputs!$I$6+(((A162)+1)/2)*(Inputs!$J$6-Inputs!$I$6)))^2+Inputs!$C$6^2+((Inputs!$H$6+Inputs!$L$6*(((Inputs!$I$6+(((A162)+1)/2)*(Inputs!$J$6-Inputs!$I$6)))/Inputs!$K$6)^2))^2)))))/Inputs!$C$13),NA())</x:f>
        <x:v>-150.39195744163493</x:v>
      </x:c>
      <x:c r="O162" s="48" t="n">
        <x:f>IF(OR(Inputs!$F$7=TRUE,Inputs!$F$7="TRUE",Inputs!$F$7=1),(-2*((1000*((((Inputs!$I$7+(((A162)+1)/2)*(Inputs!$J$7-Inputs!$I$7)))*Inputs!$C$11+((Inputs!$H$7+Inputs!$L$7*(((Inputs!$I$7+(((A162)+1)/2)*(Inputs!$J$7-Inputs!$I$7)))/Inputs!$K$7)^2))*((2*Inputs!$L$7*((Inputs!$I$7+(((A162)+1)/2)*(Inputs!$J$7-Inputs!$I$7)))/(Inputs!$K$7^2)*Inputs!$C$11)))/(SQRT(((Inputs!$I$7+(((A162)+1)/2)*(Inputs!$J$7-Inputs!$I$7)))^2+Inputs!$C$6^2+((Inputs!$H$7+Inputs!$L$7*(((Inputs!$I$7+(((A162)+1)/2)*(Inputs!$J$7-Inputs!$I$7)))/Inputs!$K$7)^2))^2)))))/Inputs!$C$13),NA())</x:f>
        <x:v>-1846.956523329855</x:v>
      </x:c>
      <x:c r="P162" s="48" t="n">
        <x:f>IF(OR(Inputs!$F$8=TRUE,Inputs!$F$8="TRUE",Inputs!$F$8=1),(-2*((1000*((((Inputs!$I$8+(((A162)+1)/2)*(Inputs!$J$8-Inputs!$I$8)))*Inputs!$C$11+((Inputs!$H$8+Inputs!$L$8*(((Inputs!$I$8+(((A162)+1)/2)*(Inputs!$J$8-Inputs!$I$8)))/Inputs!$K$8)^2))*((2*Inputs!$L$8*((Inputs!$I$8+(((A162)+1)/2)*(Inputs!$J$8-Inputs!$I$8)))/(Inputs!$K$8^2)*Inputs!$C$11)))/(SQRT(((Inputs!$I$8+(((A162)+1)/2)*(Inputs!$J$8-Inputs!$I$8)))^2+Inputs!$C$6^2+((Inputs!$H$8+Inputs!$L$8*(((Inputs!$I$8+(((A162)+1)/2)*(Inputs!$J$8-Inputs!$I$8)))/Inputs!$K$8)^2))^2)))))/Inputs!$C$13),NA())</x:f>
        <x:v>-2009.6896208171506</x:v>
      </x:c>
      <x:c r="Q162" s="48" t="n">
        <x:f>IF(OR(Inputs!$F$9=TRUE,Inputs!$F$9="TRUE",Inputs!$F$9=1),(-2*((1000*((((Inputs!$I$9+(((A162)+1)/2)*(Inputs!$J$9-Inputs!$I$9)))*Inputs!$C$11+((Inputs!$H$9+Inputs!$L$9*(((Inputs!$I$9+(((A162)+1)/2)*(Inputs!$J$9-Inputs!$I$9)))/Inputs!$K$9)^2))*((2*Inputs!$L$9*((Inputs!$I$9+(((A162)+1)/2)*(Inputs!$J$9-Inputs!$I$9)))/(Inputs!$K$9^2)*Inputs!$C$11)))/(SQRT(((Inputs!$I$9+(((A162)+1)/2)*(Inputs!$J$9-Inputs!$I$9)))^2+Inputs!$C$6^2+((Inputs!$H$9+Inputs!$L$9*(((Inputs!$I$9+(((A162)+1)/2)*(Inputs!$J$9-Inputs!$I$9)))/Inputs!$K$9)^2))^2)))))/Inputs!$C$13),NA())</x:f>
        <x:v>-2004.716932433336</x:v>
      </x:c>
      <x:c r="R162" s="49"/>
      <x:c r="S162" s="48" t="n">
        <x:f>A162</x:f>
        <x:v>0.333</x:v>
      </x:c>
      <x:c r="T162" s="48" t="n">
        <x:f>(Inputs!$I$6+(((A162)+1)/2)*(Inputs!$J$6-Inputs!$I$6))</x:f>
        <x:v>19.980000000000004</x:v>
      </x:c>
      <x:c r="U162" s="48" t="n">
        <x:f>(Inputs!$I$7+(((A162)+1)/2)*(Inputs!$J$7-Inputs!$I$7))</x:f>
        <x:v>133.19999999999993</x:v>
      </x:c>
      <x:c r="V162" s="48" t="n">
        <x:f>(Inputs!$I$8+(((A162)+1)/2)*(Inputs!$J$8-Inputs!$I$8))</x:f>
        <x:v>266.39999999999986</x:v>
      </x:c>
      <x:c r="W162" s="48" t="n">
        <x:f>(Inputs!$I$9+(((A162)+1)/2)*(Inputs!$J$9-Inputs!$I$9))</x:f>
        <x:v>266.39999999999986</x:v>
      </x:c>
      <x:c r="X162" s="49"/>
      <x:c r="Y162" s="48" t="n">
        <x:f>A162</x:f>
        <x:v>0.333</x:v>
      </x:c>
      <x:c r="Z162" s="48" t="n">
        <x:f>(Inputs!$H$6+Inputs!$L$6*(((Inputs!$I$6+(((A162)+1)/2)*(Inputs!$J$6-Inputs!$I$6)))/Inputs!$K$6)^2)</x:f>
        <x:v>400.443556</x:v>
      </x:c>
      <x:c r="AA162" s="48" t="n">
        <x:f>(Inputs!$H$7+Inputs!$L$7*(((Inputs!$I$7+(((A162)+1)/2)*(Inputs!$J$7-Inputs!$I$7)))/Inputs!$K$7)^2)</x:f>
        <x:v>75.47448499999996</x:v>
      </x:c>
      <x:c r="AB162" s="48" t="n">
        <x:f>(Inputs!$H$8+Inputs!$L$8*(((Inputs!$I$8+(((A162)+1)/2)*(Inputs!$J$8-Inputs!$I$8)))/Inputs!$K$8)^2)</x:f>
        <x:v>142.0078849999999</x:v>
      </x:c>
      <x:c r="AC162" s="48" t="n">
        <x:f>(Inputs!$H$9+Inputs!$L$9*(((Inputs!$I$9+(((A162)+1)/2)*(Inputs!$J$9-Inputs!$I$9)))/Inputs!$K$9)^2)</x:f>
        <x:v>133.1167749999999</x:v>
      </x:c>
      <x:c r="AD162" s="49"/>
      <x:c r="AE162" s="48" t="n">
        <x:f>A162</x:f>
        <x:v>0.333</x:v>
      </x:c>
      <x:c r="AF162" s="48" t="n">
        <x:f>(((SQRT(((Inputs!$I$6+(((A162)+1)/2)*(Inputs!$J$6-Inputs!$I$6)))^2+Inputs!$C$6^2+((Inputs!$H$6+Inputs!$L$6*(((Inputs!$I$6+(((A162)+1)/2)*(Inputs!$J$6-Inputs!$I$6)))/Inputs!$K$6)^2))^2))-((Inputs!$H$6+Inputs!$L$6*(((Inputs!$I$6+(((A162)+1)/2)*(Inputs!$J$6-Inputs!$I$6)))/Inputs!$K$6)^2)))*1000/Inputs!$C$12)</x:f>
        <x:v>717.3016346847704</x:v>
      </x:c>
      <x:c r="AG162" s="48" t="n">
        <x:f>(((SQRT(((Inputs!$I$7+(((A162)+1)/2)*(Inputs!$J$7-Inputs!$I$7)))^2+Inputs!$C$6^2+((Inputs!$H$7+Inputs!$L$7*(((Inputs!$I$7+(((A162)+1)/2)*(Inputs!$J$7-Inputs!$I$7)))/Inputs!$K$7)^2))^2))-((Inputs!$H$7+Inputs!$L$7*(((Inputs!$I$7+(((A162)+1)/2)*(Inputs!$J$7-Inputs!$I$7)))/Inputs!$K$7)^2)))*1000/Inputs!$C$12)</x:f>
        <x:v>44747.249028231476</x:v>
      </x:c>
      <x:c r="AH162" s="48" t="n">
        <x:f>(((SQRT(((Inputs!$I$8+(((A162)+1)/2)*(Inputs!$J$8-Inputs!$I$8)))^2+Inputs!$C$6^2+((Inputs!$H$8+Inputs!$L$8*(((Inputs!$I$8+(((A162)+1)/2)*(Inputs!$J$8-Inputs!$I$8)))/Inputs!$K$8)^2))^2))-((Inputs!$H$8+Inputs!$L$8*(((Inputs!$I$8+(((A162)+1)/2)*(Inputs!$J$8-Inputs!$I$8)))/Inputs!$K$8)^2)))*1000/Inputs!$C$12)</x:f>
        <x:v>90399.76138013398</x:v>
      </x:c>
      <x:c r="AI162" s="48" t="n">
        <x:f>(((SQRT(((Inputs!$I$9+(((A162)+1)/2)*(Inputs!$J$9-Inputs!$I$9)))^2+Inputs!$C$6^2+((Inputs!$H$9+Inputs!$L$9*(((Inputs!$I$9+(((A162)+1)/2)*(Inputs!$J$9-Inputs!$I$9)))/Inputs!$K$9)^2))^2))-((Inputs!$H$9+Inputs!$L$9*(((Inputs!$I$9+(((A162)+1)/2)*(Inputs!$J$9-Inputs!$I$9)))/Inputs!$K$9)^2)))*1000/Inputs!$C$12)</x:f>
        <x:v>93111.10365792978</x:v>
      </x:c>
      <x:c r="AJ162" s="49"/>
      <x:c r="AK162" s="48" t="n">
        <x:f>A162</x:f>
        <x:v>0.333</x:v>
      </x:c>
      <x:c r="AL162" s="48" t="n">
        <x:f>(-2*((1000*((((Inputs!$I$6+(((A162)+1)/2)*(Inputs!$J$6-Inputs!$I$6)))*Inputs!$C$11+((Inputs!$H$6+Inputs!$L$6*(((Inputs!$I$6+(((A162)+1)/2)*(Inputs!$J$6-Inputs!$I$6)))/Inputs!$K$6)^2))*((2*Inputs!$L$6*((Inputs!$I$6+(((A162)+1)/2)*(Inputs!$J$6-Inputs!$I$6)))/(Inputs!$K$6^2)*Inputs!$C$11)))/(SQRT(((Inputs!$I$6+(((A162)+1)/2)*(Inputs!$J$6-Inputs!$I$6)))^2+Inputs!$C$6^2+((Inputs!$H$6+Inputs!$L$6*(((Inputs!$I$6+(((A162)+1)/2)*(Inputs!$J$6-Inputs!$I$6)))/Inputs!$K$6)^2))^2)))))/Inputs!$C$13)</x:f>
        <x:v>-150.39195744163493</x:v>
      </x:c>
      <x:c r="AM162" s="48" t="n">
        <x:f>(-2*((1000*((((Inputs!$I$7+(((A162)+1)/2)*(Inputs!$J$7-Inputs!$I$7)))*Inputs!$C$11+((Inputs!$H$7+Inputs!$L$7*(((Inputs!$I$7+(((A162)+1)/2)*(Inputs!$J$7-Inputs!$I$7)))/Inputs!$K$7)^2))*((2*Inputs!$L$7*((Inputs!$I$7+(((A162)+1)/2)*(Inputs!$J$7-Inputs!$I$7)))/(Inputs!$K$7^2)*Inputs!$C$11)))/(SQRT(((Inputs!$I$7+(((A162)+1)/2)*(Inputs!$J$7-Inputs!$I$7)))^2+Inputs!$C$6^2+((Inputs!$H$7+Inputs!$L$7*(((Inputs!$I$7+(((A162)+1)/2)*(Inputs!$J$7-Inputs!$I$7)))/Inputs!$K$7)^2))^2)))))/Inputs!$C$13)</x:f>
        <x:v>-1846.956523329855</x:v>
      </x:c>
      <x:c r="AN162" s="48" t="n">
        <x:f>(-2*((1000*((((Inputs!$I$8+(((A162)+1)/2)*(Inputs!$J$8-Inputs!$I$8)))*Inputs!$C$11+((Inputs!$H$8+Inputs!$L$8*(((Inputs!$I$8+(((A162)+1)/2)*(Inputs!$J$8-Inputs!$I$8)))/Inputs!$K$8)^2))*((2*Inputs!$L$8*((Inputs!$I$8+(((A162)+1)/2)*(Inputs!$J$8-Inputs!$I$8)))/(Inputs!$K$8^2)*Inputs!$C$11)))/(SQRT(((Inputs!$I$8+(((A162)+1)/2)*(Inputs!$J$8-Inputs!$I$8)))^2+Inputs!$C$6^2+((Inputs!$H$8+Inputs!$L$8*(((Inputs!$I$8+(((A162)+1)/2)*(Inputs!$J$8-Inputs!$I$8)))/Inputs!$K$8)^2))^2)))))/Inputs!$C$13)</x:f>
        <x:v>-2009.6896208171506</x:v>
      </x:c>
      <x:c r="AO162" s="48" t="n">
        <x:f>(-2*((1000*((((Inputs!$I$9+(((A162)+1)/2)*(Inputs!$J$9-Inputs!$I$9)))*Inputs!$C$11+((Inputs!$H$9+Inputs!$L$9*(((Inputs!$I$9+(((A162)+1)/2)*(Inputs!$J$9-Inputs!$I$9)))/Inputs!$K$9)^2))*((2*Inputs!$L$9*((Inputs!$I$9+(((A162)+1)/2)*(Inputs!$J$9-Inputs!$I$9)))/(Inputs!$K$9^2)*Inputs!$C$11)))/(SQRT(((Inputs!$I$9+(((A162)+1)/2)*(Inputs!$J$9-Inputs!$I$9)))^2+Inputs!$C$6^2+((Inputs!$H$9+Inputs!$L$9*(((Inputs!$I$9+(((A162)+1)/2)*(Inputs!$J$9-Inputs!$I$9)))/Inputs!$K$9)^2))^2)))))/Inputs!$C$13)</x:f>
        <x:v>-2004.716932433336</x:v>
      </x:c>
    </x:row>
    <x:row r="163">
      <x:c r="A163" s="48" t="n">
        <x:f>ROUND(-1+161*2/240,3)</x:f>
        <x:v>0.342</x:v>
      </x:c>
      <x:c r="B163" s="48" t="n">
        <x:f>IF(OR(Inputs!$F$6=TRUE,Inputs!$F$6="TRUE",Inputs!$F$6=1),(Inputs!$H$6+Inputs!$L$6*(((Inputs!$I$6+(((A163)+1)/2)*(Inputs!$J$6-Inputs!$I$6)))/Inputs!$K$6)^2),NA())</x:f>
        <x:v>400.467856</x:v>
      </x:c>
      <x:c r="C163" s="48" t="n">
        <x:f>IF(OR(Inputs!$F$7=TRUE,Inputs!$F$7="TRUE",Inputs!$F$7=1),(Inputs!$H$7+Inputs!$L$7*(((Inputs!$I$7+(((A163)+1)/2)*(Inputs!$J$7-Inputs!$I$7)))/Inputs!$K$7)^2),NA())</x:f>
        <x:v>77.69186000000005</x:v>
      </x:c>
      <x:c r="D163" s="48" t="n">
        <x:f>IF(OR(Inputs!$F$8=TRUE,Inputs!$F$8="TRUE",Inputs!$F$8=1),(Inputs!$H$8+Inputs!$L$8*(((Inputs!$I$8+(((A163)+1)/2)*(Inputs!$J$8-Inputs!$I$8)))/Inputs!$K$8)^2),NA())</x:f>
        <x:v>147.87026000000014</x:v>
      </x:c>
      <x:c r="E163" s="48" t="n">
        <x:f>IF(OR(Inputs!$F$9=TRUE,Inputs!$F$9="TRUE",Inputs!$F$9=1),(Inputs!$H$9+Inputs!$L$9*(((Inputs!$I$9+(((A163)+1)/2)*(Inputs!$J$9-Inputs!$I$9)))/Inputs!$K$9)^2),NA())</x:f>
        <x:v>139.03990000000013</x:v>
      </x:c>
      <x:c r="F163" s="49"/>
      <x:c r="G163" s="48" t="n">
        <x:f>A163</x:f>
        <x:v>0.342</x:v>
      </x:c>
      <x:c r="H163" s="48" t="n">
        <x:f>IF(OR(Inputs!$F$6=TRUE,Inputs!$F$6="TRUE",Inputs!$F$6=1),(((SQRT(((Inputs!$I$6+(((A163)+1)/2)*(Inputs!$J$6-Inputs!$I$6)))^2+Inputs!$C$6^2+((Inputs!$H$6+Inputs!$L$6*(((Inputs!$I$6+(((A163)+1)/2)*(Inputs!$J$6-Inputs!$I$6)))/Inputs!$K$6)^2))^2))-((Inputs!$H$6+Inputs!$L$6*(((Inputs!$I$6+(((A163)+1)/2)*(Inputs!$J$6-Inputs!$I$6)))/Inputs!$K$6)^2)))*1000/Inputs!$C$12),NA())</x:f>
        <x:v>732.5491831929713</x:v>
      </x:c>
      <x:c r="I163" s="48" t="n">
        <x:f>IF(OR(Inputs!$F$7=TRUE,Inputs!$F$7="TRUE",Inputs!$F$7=1),(((SQRT(((Inputs!$I$7+(((A163)+1)/2)*(Inputs!$J$7-Inputs!$I$7)))^2+Inputs!$C$6^2+((Inputs!$H$7+Inputs!$L$7*(((Inputs!$I$7+(((A163)+1)/2)*(Inputs!$J$7-Inputs!$I$7)))/Inputs!$K$7)^2))^2))-((Inputs!$H$7+Inputs!$L$7*(((Inputs!$I$7+(((A163)+1)/2)*(Inputs!$J$7-Inputs!$I$7)))/Inputs!$K$7)^2)))*1000/Inputs!$C$12),NA())</x:f>
        <x:v>45845.10974889846</x:v>
      </x:c>
      <x:c r="J163" s="48" t="n">
        <x:f>IF(OR(Inputs!$F$8=TRUE,Inputs!$F$8="TRUE",Inputs!$F$8=1),(((SQRT(((Inputs!$I$8+(((A163)+1)/2)*(Inputs!$J$8-Inputs!$I$8)))^2+Inputs!$C$6^2+((Inputs!$H$8+Inputs!$L$8*(((Inputs!$I$8+(((A163)+1)/2)*(Inputs!$J$8-Inputs!$I$8)))/Inputs!$K$8)^2))^2))-((Inputs!$H$8+Inputs!$L$8*(((Inputs!$I$8+(((A163)+1)/2)*(Inputs!$J$8-Inputs!$I$8)))/Inputs!$K$8)^2)))*1000/Inputs!$C$12),NA())</x:f>
        <x:v>92210.93661738967</x:v>
      </x:c>
      <x:c r="K163" s="48" t="n">
        <x:f>IF(OR(Inputs!$F$9=TRUE,Inputs!$F$9="TRUE",Inputs!$F$9=1),(((SQRT(((Inputs!$I$9+(((A163)+1)/2)*(Inputs!$J$9-Inputs!$I$9)))^2+Inputs!$C$6^2+((Inputs!$H$9+Inputs!$L$9*(((Inputs!$I$9+(((A163)+1)/2)*(Inputs!$J$9-Inputs!$I$9)))/Inputs!$K$9)^2))^2))-((Inputs!$H$9+Inputs!$L$9*(((Inputs!$I$9+(((A163)+1)/2)*(Inputs!$J$9-Inputs!$I$9)))/Inputs!$K$9)^2)))*1000/Inputs!$C$12),NA())</x:f>
        <x:v>94875.84708892829</x:v>
      </x:c>
      <x:c r="L163" s="49"/>
      <x:c r="M163" s="48" t="n">
        <x:f>A163</x:f>
        <x:v>0.342</x:v>
      </x:c>
      <x:c r="N163" s="48" t="n">
        <x:f>IF(OR(Inputs!$F$6=TRUE,Inputs!$F$6="TRUE",Inputs!$F$6=1),(-2*((1000*((((Inputs!$I$6+(((A163)+1)/2)*(Inputs!$J$6-Inputs!$I$6)))*Inputs!$C$11+((Inputs!$H$6+Inputs!$L$6*(((Inputs!$I$6+(((A163)+1)/2)*(Inputs!$J$6-Inputs!$I$6)))/Inputs!$K$6)^2))*((2*Inputs!$L$6*((Inputs!$I$6+(((A163)+1)/2)*(Inputs!$J$6-Inputs!$I$6)))/(Inputs!$K$6^2)*Inputs!$C$11)))/(SQRT(((Inputs!$I$6+(((A163)+1)/2)*(Inputs!$J$6-Inputs!$I$6)))^2+Inputs!$C$6^2+((Inputs!$H$6+Inputs!$L$6*(((Inputs!$I$6+(((A163)+1)/2)*(Inputs!$J$6-Inputs!$I$6)))/Inputs!$K$6)^2))^2)))))/Inputs!$C$13),NA())</x:f>
        <x:v>-154.44124194508157</x:v>
      </x:c>
      <x:c r="O163" s="48" t="n">
        <x:f>IF(OR(Inputs!$F$7=TRUE,Inputs!$F$7="TRUE",Inputs!$F$7=1),(-2*((1000*((((Inputs!$I$7+(((A163)+1)/2)*(Inputs!$J$7-Inputs!$I$7)))*Inputs!$C$11+((Inputs!$H$7+Inputs!$L$7*(((Inputs!$I$7+(((A163)+1)/2)*(Inputs!$J$7-Inputs!$I$7)))/Inputs!$K$7)^2))*((2*Inputs!$L$7*((Inputs!$I$7+(((A163)+1)/2)*(Inputs!$J$7-Inputs!$I$7)))/(Inputs!$K$7^2)*Inputs!$C$11)))/(SQRT(((Inputs!$I$7+(((A163)+1)/2)*(Inputs!$J$7-Inputs!$I$7)))^2+Inputs!$C$6^2+((Inputs!$H$7+Inputs!$L$7*(((Inputs!$I$7+(((A163)+1)/2)*(Inputs!$J$7-Inputs!$I$7)))/Inputs!$K$7)^2))^2)))))/Inputs!$C$13),NA())</x:f>
        <x:v>-1861.1007805766465</x:v>
      </x:c>
      <x:c r="P163" s="48" t="n">
        <x:f>IF(OR(Inputs!$F$8=TRUE,Inputs!$F$8="TRUE",Inputs!$F$8=1),(-2*((1000*((((Inputs!$I$8+(((A163)+1)/2)*(Inputs!$J$8-Inputs!$I$8)))*Inputs!$C$11+((Inputs!$H$8+Inputs!$L$8*(((Inputs!$I$8+(((A163)+1)/2)*(Inputs!$J$8-Inputs!$I$8)))/Inputs!$K$8)^2))*((2*Inputs!$L$8*((Inputs!$I$8+(((A163)+1)/2)*(Inputs!$J$8-Inputs!$I$8)))/(Inputs!$K$8^2)*Inputs!$C$11)))/(SQRT(((Inputs!$I$8+(((A163)+1)/2)*(Inputs!$J$8-Inputs!$I$8)))^2+Inputs!$C$6^2+((Inputs!$H$8+Inputs!$L$8*(((Inputs!$I$8+(((A163)+1)/2)*(Inputs!$J$8-Inputs!$I$8)))/Inputs!$K$8)^2))^2)))))/Inputs!$C$13),NA())</x:f>
        <x:v>-2028.7015028674673</x:v>
      </x:c>
      <x:c r="Q163" s="48" t="n">
        <x:f>IF(OR(Inputs!$F$9=TRUE,Inputs!$F$9="TRUE",Inputs!$F$9=1),(-2*((1000*((((Inputs!$I$9+(((A163)+1)/2)*(Inputs!$J$9-Inputs!$I$9)))*Inputs!$C$11+((Inputs!$H$9+Inputs!$L$9*(((Inputs!$I$9+(((A163)+1)/2)*(Inputs!$J$9-Inputs!$I$9)))/Inputs!$K$9)^2))*((2*Inputs!$L$9*((Inputs!$I$9+(((A163)+1)/2)*(Inputs!$J$9-Inputs!$I$9)))/(Inputs!$K$9^2)*Inputs!$C$11)))/(SQRT(((Inputs!$I$9+(((A163)+1)/2)*(Inputs!$J$9-Inputs!$I$9)))^2+Inputs!$C$6^2+((Inputs!$H$9+Inputs!$L$9*(((Inputs!$I$9+(((A163)+1)/2)*(Inputs!$J$9-Inputs!$I$9)))/Inputs!$K$9)^2))^2)))))/Inputs!$C$13),NA())</x:f>
        <x:v>-2023.946574231703</x:v>
      </x:c>
      <x:c r="R163" s="49"/>
      <x:c r="S163" s="48" t="n">
        <x:f>A163</x:f>
        <x:v>0.342</x:v>
      </x:c>
      <x:c r="T163" s="48" t="n">
        <x:f>(Inputs!$I$6+(((A163)+1)/2)*(Inputs!$J$6-Inputs!$I$6))</x:f>
        <x:v>20.52000000000001</x:v>
      </x:c>
      <x:c r="U163" s="48" t="n">
        <x:f>(Inputs!$I$7+(((A163)+1)/2)*(Inputs!$J$7-Inputs!$I$7))</x:f>
        <x:v>136.80000000000007</x:v>
      </x:c>
      <x:c r="V163" s="48" t="n">
        <x:f>(Inputs!$I$8+(((A163)+1)/2)*(Inputs!$J$8-Inputs!$I$8))</x:f>
        <x:v>273.60000000000014</x:v>
      </x:c>
      <x:c r="W163" s="48" t="n">
        <x:f>(Inputs!$I$9+(((A163)+1)/2)*(Inputs!$J$9-Inputs!$I$9))</x:f>
        <x:v>273.60000000000014</x:v>
      </x:c>
      <x:c r="X163" s="49"/>
      <x:c r="Y163" s="48" t="n">
        <x:f>A163</x:f>
        <x:v>0.342</x:v>
      </x:c>
      <x:c r="Z163" s="48" t="n">
        <x:f>(Inputs!$H$6+Inputs!$L$6*(((Inputs!$I$6+(((A163)+1)/2)*(Inputs!$J$6-Inputs!$I$6)))/Inputs!$K$6)^2)</x:f>
        <x:v>400.467856</x:v>
      </x:c>
      <x:c r="AA163" s="48" t="n">
        <x:f>(Inputs!$H$7+Inputs!$L$7*(((Inputs!$I$7+(((A163)+1)/2)*(Inputs!$J$7-Inputs!$I$7)))/Inputs!$K$7)^2)</x:f>
        <x:v>77.69186000000005</x:v>
      </x:c>
      <x:c r="AB163" s="48" t="n">
        <x:f>(Inputs!$H$8+Inputs!$L$8*(((Inputs!$I$8+(((A163)+1)/2)*(Inputs!$J$8-Inputs!$I$8)))/Inputs!$K$8)^2)</x:f>
        <x:v>147.87026000000014</x:v>
      </x:c>
      <x:c r="AC163" s="48" t="n">
        <x:f>(Inputs!$H$9+Inputs!$L$9*(((Inputs!$I$9+(((A163)+1)/2)*(Inputs!$J$9-Inputs!$I$9)))/Inputs!$K$9)^2)</x:f>
        <x:v>139.03990000000013</x:v>
      </x:c>
      <x:c r="AD163" s="49"/>
      <x:c r="AE163" s="48" t="n">
        <x:f>A163</x:f>
        <x:v>0.342</x:v>
      </x:c>
      <x:c r="AF163" s="48" t="n">
        <x:f>(((SQRT(((Inputs!$I$6+(((A163)+1)/2)*(Inputs!$J$6-Inputs!$I$6)))^2+Inputs!$C$6^2+((Inputs!$H$6+Inputs!$L$6*(((Inputs!$I$6+(((A163)+1)/2)*(Inputs!$J$6-Inputs!$I$6)))/Inputs!$K$6)^2))^2))-((Inputs!$H$6+Inputs!$L$6*(((Inputs!$I$6+(((A163)+1)/2)*(Inputs!$J$6-Inputs!$I$6)))/Inputs!$K$6)^2)))*1000/Inputs!$C$12)</x:f>
        <x:v>732.5491831929713</x:v>
      </x:c>
      <x:c r="AG163" s="48" t="n">
        <x:f>(((SQRT(((Inputs!$I$7+(((A163)+1)/2)*(Inputs!$J$7-Inputs!$I$7)))^2+Inputs!$C$6^2+((Inputs!$H$7+Inputs!$L$7*(((Inputs!$I$7+(((A163)+1)/2)*(Inputs!$J$7-Inputs!$I$7)))/Inputs!$K$7)^2))^2))-((Inputs!$H$7+Inputs!$L$7*(((Inputs!$I$7+(((A163)+1)/2)*(Inputs!$J$7-Inputs!$I$7)))/Inputs!$K$7)^2)))*1000/Inputs!$C$12)</x:f>
        <x:v>45845.10974889846</x:v>
      </x:c>
      <x:c r="AH163" s="48" t="n">
        <x:f>(((SQRT(((Inputs!$I$8+(((A163)+1)/2)*(Inputs!$J$8-Inputs!$I$8)))^2+Inputs!$C$6^2+((Inputs!$H$8+Inputs!$L$8*(((Inputs!$I$8+(((A163)+1)/2)*(Inputs!$J$8-Inputs!$I$8)))/Inputs!$K$8)^2))^2))-((Inputs!$H$8+Inputs!$L$8*(((Inputs!$I$8+(((A163)+1)/2)*(Inputs!$J$8-Inputs!$I$8)))/Inputs!$K$8)^2)))*1000/Inputs!$C$12)</x:f>
        <x:v>92210.93661738967</x:v>
      </x:c>
      <x:c r="AI163" s="48" t="n">
        <x:f>(((SQRT(((Inputs!$I$9+(((A163)+1)/2)*(Inputs!$J$9-Inputs!$I$9)))^2+Inputs!$C$6^2+((Inputs!$H$9+Inputs!$L$9*(((Inputs!$I$9+(((A163)+1)/2)*(Inputs!$J$9-Inputs!$I$9)))/Inputs!$K$9)^2))^2))-((Inputs!$H$9+Inputs!$L$9*(((Inputs!$I$9+(((A163)+1)/2)*(Inputs!$J$9-Inputs!$I$9)))/Inputs!$K$9)^2)))*1000/Inputs!$C$12)</x:f>
        <x:v>94875.84708892829</x:v>
      </x:c>
      <x:c r="AJ163" s="49"/>
      <x:c r="AK163" s="48" t="n">
        <x:f>A163</x:f>
        <x:v>0.342</x:v>
      </x:c>
      <x:c r="AL163" s="48" t="n">
        <x:f>(-2*((1000*((((Inputs!$I$6+(((A163)+1)/2)*(Inputs!$J$6-Inputs!$I$6)))*Inputs!$C$11+((Inputs!$H$6+Inputs!$L$6*(((Inputs!$I$6+(((A163)+1)/2)*(Inputs!$J$6-Inputs!$I$6)))/Inputs!$K$6)^2))*((2*Inputs!$L$6*((Inputs!$I$6+(((A163)+1)/2)*(Inputs!$J$6-Inputs!$I$6)))/(Inputs!$K$6^2)*Inputs!$C$11)))/(SQRT(((Inputs!$I$6+(((A163)+1)/2)*(Inputs!$J$6-Inputs!$I$6)))^2+Inputs!$C$6^2+((Inputs!$H$6+Inputs!$L$6*(((Inputs!$I$6+(((A163)+1)/2)*(Inputs!$J$6-Inputs!$I$6)))/Inputs!$K$6)^2))^2)))))/Inputs!$C$13)</x:f>
        <x:v>-154.44124194508157</x:v>
      </x:c>
      <x:c r="AM163" s="48" t="n">
        <x:f>(-2*((1000*((((Inputs!$I$7+(((A163)+1)/2)*(Inputs!$J$7-Inputs!$I$7)))*Inputs!$C$11+((Inputs!$H$7+Inputs!$L$7*(((Inputs!$I$7+(((A163)+1)/2)*(Inputs!$J$7-Inputs!$I$7)))/Inputs!$K$7)^2))*((2*Inputs!$L$7*((Inputs!$I$7+(((A163)+1)/2)*(Inputs!$J$7-Inputs!$I$7)))/(Inputs!$K$7^2)*Inputs!$C$11)))/(SQRT(((Inputs!$I$7+(((A163)+1)/2)*(Inputs!$J$7-Inputs!$I$7)))^2+Inputs!$C$6^2+((Inputs!$H$7+Inputs!$L$7*(((Inputs!$I$7+(((A163)+1)/2)*(Inputs!$J$7-Inputs!$I$7)))/Inputs!$K$7)^2))^2)))))/Inputs!$C$13)</x:f>
        <x:v>-1861.1007805766465</x:v>
      </x:c>
      <x:c r="AN163" s="48" t="n">
        <x:f>(-2*((1000*((((Inputs!$I$8+(((A163)+1)/2)*(Inputs!$J$8-Inputs!$I$8)))*Inputs!$C$11+((Inputs!$H$8+Inputs!$L$8*(((Inputs!$I$8+(((A163)+1)/2)*(Inputs!$J$8-Inputs!$I$8)))/Inputs!$K$8)^2))*((2*Inputs!$L$8*((Inputs!$I$8+(((A163)+1)/2)*(Inputs!$J$8-Inputs!$I$8)))/(Inputs!$K$8^2)*Inputs!$C$11)))/(SQRT(((Inputs!$I$8+(((A163)+1)/2)*(Inputs!$J$8-Inputs!$I$8)))^2+Inputs!$C$6^2+((Inputs!$H$8+Inputs!$L$8*(((Inputs!$I$8+(((A163)+1)/2)*(Inputs!$J$8-Inputs!$I$8)))/Inputs!$K$8)^2))^2)))))/Inputs!$C$13)</x:f>
        <x:v>-2028.7015028674673</x:v>
      </x:c>
      <x:c r="AO163" s="48" t="n">
        <x:f>(-2*((1000*((((Inputs!$I$9+(((A163)+1)/2)*(Inputs!$J$9-Inputs!$I$9)))*Inputs!$C$11+((Inputs!$H$9+Inputs!$L$9*(((Inputs!$I$9+(((A163)+1)/2)*(Inputs!$J$9-Inputs!$I$9)))/Inputs!$K$9)^2))*((2*Inputs!$L$9*((Inputs!$I$9+(((A163)+1)/2)*(Inputs!$J$9-Inputs!$I$9)))/(Inputs!$K$9^2)*Inputs!$C$11)))/(SQRT(((Inputs!$I$9+(((A163)+1)/2)*(Inputs!$J$9-Inputs!$I$9)))^2+Inputs!$C$6^2+((Inputs!$H$9+Inputs!$L$9*(((Inputs!$I$9+(((A163)+1)/2)*(Inputs!$J$9-Inputs!$I$9)))/Inputs!$K$9)^2))^2)))))/Inputs!$C$13)</x:f>
        <x:v>-2023.946574231703</x:v>
      </x:c>
    </x:row>
    <x:row r="164">
      <x:c r="A164" s="48" t="n">
        <x:f>ROUND(-1+162*2/240,3)</x:f>
        <x:v>0.35</x:v>
      </x:c>
      <x:c r="B164" s="48" t="n">
        <x:f>IF(OR(Inputs!$F$6=TRUE,Inputs!$F$6="TRUE",Inputs!$F$6=1),(Inputs!$H$6+Inputs!$L$6*(((Inputs!$I$6+(((A164)+1)/2)*(Inputs!$J$6-Inputs!$I$6)))/Inputs!$K$6)^2),NA())</x:f>
        <x:v>400.49</x:v>
      </x:c>
      <x:c r="C164" s="48" t="n">
        <x:f>IF(OR(Inputs!$F$7=TRUE,Inputs!$F$7="TRUE",Inputs!$F$7=1),(Inputs!$H$7+Inputs!$L$7*(((Inputs!$I$7+(((A164)+1)/2)*(Inputs!$J$7-Inputs!$I$7)))/Inputs!$K$7)^2),NA())</x:f>
        <x:v>79.71249999999999</x:v>
      </x:c>
      <x:c r="D164" s="48" t="n">
        <x:f>IF(OR(Inputs!$F$8=TRUE,Inputs!$F$8="TRUE",Inputs!$F$8=1),(Inputs!$H$8+Inputs!$L$8*(((Inputs!$I$8+(((A164)+1)/2)*(Inputs!$J$8-Inputs!$I$8)))/Inputs!$K$8)^2),NA())</x:f>
        <x:v>153.21249999999998</x:v>
      </x:c>
      <x:c r="E164" s="48" t="n">
        <x:f>IF(OR(Inputs!$F$9=TRUE,Inputs!$F$9="TRUE",Inputs!$F$9=1),(Inputs!$H$9+Inputs!$L$9*(((Inputs!$I$9+(((A164)+1)/2)*(Inputs!$J$9-Inputs!$I$9)))/Inputs!$K$9)^2),NA())</x:f>
        <x:v>144.4375</x:v>
      </x:c>
      <x:c r="F164" s="49"/>
      <x:c r="G164" s="48" t="n">
        <x:f>A164</x:f>
        <x:v>0.35</x:v>
      </x:c>
      <x:c r="H164" s="48" t="n">
        <x:f>IF(OR(Inputs!$F$6=TRUE,Inputs!$F$6="TRUE",Inputs!$F$6=1),(((SQRT(((Inputs!$I$6+(((A164)+1)/2)*(Inputs!$J$6-Inputs!$I$6)))^2+Inputs!$C$6^2+((Inputs!$H$6+Inputs!$L$6*(((Inputs!$I$6+(((A164)+1)/2)*(Inputs!$J$6-Inputs!$I$6)))/Inputs!$K$6)^2))^2))-((Inputs!$H$6+Inputs!$L$6*(((Inputs!$I$6+(((A164)+1)/2)*(Inputs!$J$6-Inputs!$I$6)))/Inputs!$K$6)^2)))*1000/Inputs!$C$12),NA())</x:f>
        <x:v>746.441401049121</x:v>
      </x:c>
      <x:c r="I164" s="48" t="n">
        <x:f>IF(OR(Inputs!$F$7=TRUE,Inputs!$F$7="TRUE",Inputs!$F$7=1),(((SQRT(((Inputs!$I$7+(((A164)+1)/2)*(Inputs!$J$7-Inputs!$I$7)))^2+Inputs!$C$6^2+((Inputs!$H$7+Inputs!$L$7*(((Inputs!$I$7+(((A164)+1)/2)*(Inputs!$J$7-Inputs!$I$7)))/Inputs!$K$7)^2))^2))-((Inputs!$H$7+Inputs!$L$7*(((Inputs!$I$7+(((A164)+1)/2)*(Inputs!$J$7-Inputs!$I$7)))/Inputs!$K$7)^2)))*1000/Inputs!$C$12),NA())</x:f>
        <x:v>46808.10419084915</x:v>
      </x:c>
      <x:c r="J164" s="48" t="n">
        <x:f>IF(OR(Inputs!$F$8=TRUE,Inputs!$F$8="TRUE",Inputs!$F$8=1),(((SQRT(((Inputs!$I$8+(((A164)+1)/2)*(Inputs!$J$8-Inputs!$I$8)))^2+Inputs!$C$6^2+((Inputs!$H$8+Inputs!$L$8*(((Inputs!$I$8+(((A164)+1)/2)*(Inputs!$J$8-Inputs!$I$8)))/Inputs!$K$8)^2))^2))-((Inputs!$H$8+Inputs!$L$8*(((Inputs!$I$8+(((A164)+1)/2)*(Inputs!$J$8-Inputs!$I$8)))/Inputs!$K$8)^2)))*1000/Inputs!$C$12),NA())</x:f>
        <x:v>93787.78634628368</x:v>
      </x:c>
      <x:c r="K164" s="48" t="n">
        <x:f>IF(OR(Inputs!$F$9=TRUE,Inputs!$F$9="TRUE",Inputs!$F$9=1),(((SQRT(((Inputs!$I$9+(((A164)+1)/2)*(Inputs!$J$9-Inputs!$I$9)))^2+Inputs!$C$6^2+((Inputs!$H$9+Inputs!$L$9*(((Inputs!$I$9+(((A164)+1)/2)*(Inputs!$J$9-Inputs!$I$9)))/Inputs!$K$9)^2))^2))-((Inputs!$H$9+Inputs!$L$9*(((Inputs!$I$9+(((A164)+1)/2)*(Inputs!$J$9-Inputs!$I$9)))/Inputs!$K$9)^2)))*1000/Inputs!$C$12),NA())</x:f>
        <x:v>96411.15148170892</x:v>
      </x:c>
      <x:c r="L164" s="49"/>
      <x:c r="M164" s="48" t="n">
        <x:f>A164</x:f>
        <x:v>0.35</x:v>
      </x:c>
      <x:c r="N164" s="48" t="n">
        <x:f>IF(OR(Inputs!$F$6=TRUE,Inputs!$F$6="TRUE",Inputs!$F$6=1),(-2*((1000*((((Inputs!$I$6+(((A164)+1)/2)*(Inputs!$J$6-Inputs!$I$6)))*Inputs!$C$11+((Inputs!$H$6+Inputs!$L$6*(((Inputs!$I$6+(((A164)+1)/2)*(Inputs!$J$6-Inputs!$I$6)))/Inputs!$K$6)^2))*((2*Inputs!$L$6*((Inputs!$I$6+(((A164)+1)/2)*(Inputs!$J$6-Inputs!$I$6)))/(Inputs!$K$6^2)*Inputs!$C$11)))/(SQRT(((Inputs!$I$6+(((A164)+1)/2)*(Inputs!$J$6-Inputs!$I$6)))^2+Inputs!$C$6^2+((Inputs!$H$6+Inputs!$L$6*(((Inputs!$I$6+(((A164)+1)/2)*(Inputs!$J$6-Inputs!$I$6)))/Inputs!$K$6)^2))^2)))))/Inputs!$C$13),NA())</x:f>
        <x:v>-158.03958042535132</x:v>
      </x:c>
      <x:c r="O164" s="48" t="n">
        <x:f>IF(OR(Inputs!$F$7=TRUE,Inputs!$F$7="TRUE",Inputs!$F$7=1),(-2*((1000*((((Inputs!$I$7+(((A164)+1)/2)*(Inputs!$J$7-Inputs!$I$7)))*Inputs!$C$11+((Inputs!$H$7+Inputs!$L$7*(((Inputs!$I$7+(((A164)+1)/2)*(Inputs!$J$7-Inputs!$I$7)))/Inputs!$K$7)^2))*((2*Inputs!$L$7*((Inputs!$I$7+(((A164)+1)/2)*(Inputs!$J$7-Inputs!$I$7)))/(Inputs!$K$7^2)*Inputs!$C$11)))/(SQRT(((Inputs!$I$7+(((A164)+1)/2)*(Inputs!$J$7-Inputs!$I$7)))^2+Inputs!$C$6^2+((Inputs!$H$7+Inputs!$L$7*(((Inputs!$I$7+(((A164)+1)/2)*(Inputs!$J$7-Inputs!$I$7)))/Inputs!$K$7)^2))^2)))))/Inputs!$C$13),NA())</x:f>
        <x:v>-1873.6701281591352</x:v>
      </x:c>
      <x:c r="P164" s="48" t="n">
        <x:f>IF(OR(Inputs!$F$8=TRUE,Inputs!$F$8="TRUE",Inputs!$F$8=1),(-2*((1000*((((Inputs!$I$8+(((A164)+1)/2)*(Inputs!$J$8-Inputs!$I$8)))*Inputs!$C$11+((Inputs!$H$8+Inputs!$L$8*(((Inputs!$I$8+(((A164)+1)/2)*(Inputs!$J$8-Inputs!$I$8)))/Inputs!$K$8)^2))*((2*Inputs!$L$8*((Inputs!$I$8+(((A164)+1)/2)*(Inputs!$J$8-Inputs!$I$8)))/(Inputs!$K$8^2)*Inputs!$C$11)))/(SQRT(((Inputs!$I$8+(((A164)+1)/2)*(Inputs!$J$8-Inputs!$I$8)))^2+Inputs!$C$6^2+((Inputs!$H$8+Inputs!$L$8*(((Inputs!$I$8+(((A164)+1)/2)*(Inputs!$J$8-Inputs!$I$8)))/Inputs!$K$8)^2))^2)))))/Inputs!$C$13),NA())</x:f>
        <x:v>-2045.8545989481845</x:v>
      </x:c>
      <x:c r="Q164" s="48" t="n">
        <x:f>IF(OR(Inputs!$F$9=TRUE,Inputs!$F$9="TRUE",Inputs!$F$9=1),(-2*((1000*((((Inputs!$I$9+(((A164)+1)/2)*(Inputs!$J$9-Inputs!$I$9)))*Inputs!$C$11+((Inputs!$H$9+Inputs!$L$9*(((Inputs!$I$9+(((A164)+1)/2)*(Inputs!$J$9-Inputs!$I$9)))/Inputs!$K$9)^2))*((2*Inputs!$L$9*((Inputs!$I$9+(((A164)+1)/2)*(Inputs!$J$9-Inputs!$I$9)))/(Inputs!$K$9^2)*Inputs!$C$11)))/(SQRT(((Inputs!$I$9+(((A164)+1)/2)*(Inputs!$J$9-Inputs!$I$9)))^2+Inputs!$C$6^2+((Inputs!$H$9+Inputs!$L$9*(((Inputs!$I$9+(((A164)+1)/2)*(Inputs!$J$9-Inputs!$I$9)))/Inputs!$K$9)^2))^2)))))/Inputs!$C$13),NA())</x:f>
        <x:v>-2041.3178772242259</x:v>
      </x:c>
      <x:c r="R164" s="49"/>
      <x:c r="S164" s="48" t="n">
        <x:f>A164</x:f>
        <x:v>0.35</x:v>
      </x:c>
      <x:c r="T164" s="48" t="n">
        <x:f>(Inputs!$I$6+(((A164)+1)/2)*(Inputs!$J$6-Inputs!$I$6))</x:f>
        <x:v>21</x:v>
      </x:c>
      <x:c r="U164" s="48" t="n">
        <x:f>(Inputs!$I$7+(((A164)+1)/2)*(Inputs!$J$7-Inputs!$I$7))</x:f>
        <x:v>140</x:v>
      </x:c>
      <x:c r="V164" s="48" t="n">
        <x:f>(Inputs!$I$8+(((A164)+1)/2)*(Inputs!$J$8-Inputs!$I$8))</x:f>
        <x:v>280</x:v>
      </x:c>
      <x:c r="W164" s="48" t="n">
        <x:f>(Inputs!$I$9+(((A164)+1)/2)*(Inputs!$J$9-Inputs!$I$9))</x:f>
        <x:v>280</x:v>
      </x:c>
      <x:c r="X164" s="49"/>
      <x:c r="Y164" s="48" t="n">
        <x:f>A164</x:f>
        <x:v>0.35</x:v>
      </x:c>
      <x:c r="Z164" s="48" t="n">
        <x:f>(Inputs!$H$6+Inputs!$L$6*(((Inputs!$I$6+(((A164)+1)/2)*(Inputs!$J$6-Inputs!$I$6)))/Inputs!$K$6)^2)</x:f>
        <x:v>400.49</x:v>
      </x:c>
      <x:c r="AA164" s="48" t="n">
        <x:f>(Inputs!$H$7+Inputs!$L$7*(((Inputs!$I$7+(((A164)+1)/2)*(Inputs!$J$7-Inputs!$I$7)))/Inputs!$K$7)^2)</x:f>
        <x:v>79.71249999999999</x:v>
      </x:c>
      <x:c r="AB164" s="48" t="n">
        <x:f>(Inputs!$H$8+Inputs!$L$8*(((Inputs!$I$8+(((A164)+1)/2)*(Inputs!$J$8-Inputs!$I$8)))/Inputs!$K$8)^2)</x:f>
        <x:v>153.21249999999998</x:v>
      </x:c>
      <x:c r="AC164" s="48" t="n">
        <x:f>(Inputs!$H$9+Inputs!$L$9*(((Inputs!$I$9+(((A164)+1)/2)*(Inputs!$J$9-Inputs!$I$9)))/Inputs!$K$9)^2)</x:f>
        <x:v>144.4375</x:v>
      </x:c>
      <x:c r="AD164" s="49"/>
      <x:c r="AE164" s="48" t="n">
        <x:f>A164</x:f>
        <x:v>0.35</x:v>
      </x:c>
      <x:c r="AF164" s="48" t="n">
        <x:f>(((SQRT(((Inputs!$I$6+(((A164)+1)/2)*(Inputs!$J$6-Inputs!$I$6)))^2+Inputs!$C$6^2+((Inputs!$H$6+Inputs!$L$6*(((Inputs!$I$6+(((A164)+1)/2)*(Inputs!$J$6-Inputs!$I$6)))/Inputs!$K$6)^2))^2))-((Inputs!$H$6+Inputs!$L$6*(((Inputs!$I$6+(((A164)+1)/2)*(Inputs!$J$6-Inputs!$I$6)))/Inputs!$K$6)^2)))*1000/Inputs!$C$12)</x:f>
        <x:v>746.441401049121</x:v>
      </x:c>
      <x:c r="AG164" s="48" t="n">
        <x:f>(((SQRT(((Inputs!$I$7+(((A164)+1)/2)*(Inputs!$J$7-Inputs!$I$7)))^2+Inputs!$C$6^2+((Inputs!$H$7+Inputs!$L$7*(((Inputs!$I$7+(((A164)+1)/2)*(Inputs!$J$7-Inputs!$I$7)))/Inputs!$K$7)^2))^2))-((Inputs!$H$7+Inputs!$L$7*(((Inputs!$I$7+(((A164)+1)/2)*(Inputs!$J$7-Inputs!$I$7)))/Inputs!$K$7)^2)))*1000/Inputs!$C$12)</x:f>
        <x:v>46808.10419084915</x:v>
      </x:c>
      <x:c r="AH164" s="48" t="n">
        <x:f>(((SQRT(((Inputs!$I$8+(((A164)+1)/2)*(Inputs!$J$8-Inputs!$I$8)))^2+Inputs!$C$6^2+((Inputs!$H$8+Inputs!$L$8*(((Inputs!$I$8+(((A164)+1)/2)*(Inputs!$J$8-Inputs!$I$8)))/Inputs!$K$8)^2))^2))-((Inputs!$H$8+Inputs!$L$8*(((Inputs!$I$8+(((A164)+1)/2)*(Inputs!$J$8-Inputs!$I$8)))/Inputs!$K$8)^2)))*1000/Inputs!$C$12)</x:f>
        <x:v>93787.78634628368</x:v>
      </x:c>
      <x:c r="AI164" s="48" t="n">
        <x:f>(((SQRT(((Inputs!$I$9+(((A164)+1)/2)*(Inputs!$J$9-Inputs!$I$9)))^2+Inputs!$C$6^2+((Inputs!$H$9+Inputs!$L$9*(((Inputs!$I$9+(((A164)+1)/2)*(Inputs!$J$9-Inputs!$I$9)))/Inputs!$K$9)^2))^2))-((Inputs!$H$9+Inputs!$L$9*(((Inputs!$I$9+(((A164)+1)/2)*(Inputs!$J$9-Inputs!$I$9)))/Inputs!$K$9)^2)))*1000/Inputs!$C$12)</x:f>
        <x:v>96411.15148170892</x:v>
      </x:c>
      <x:c r="AJ164" s="49"/>
      <x:c r="AK164" s="48" t="n">
        <x:f>A164</x:f>
        <x:v>0.35</x:v>
      </x:c>
      <x:c r="AL164" s="48" t="n">
        <x:f>(-2*((1000*((((Inputs!$I$6+(((A164)+1)/2)*(Inputs!$J$6-Inputs!$I$6)))*Inputs!$C$11+((Inputs!$H$6+Inputs!$L$6*(((Inputs!$I$6+(((A164)+1)/2)*(Inputs!$J$6-Inputs!$I$6)))/Inputs!$K$6)^2))*((2*Inputs!$L$6*((Inputs!$I$6+(((A164)+1)/2)*(Inputs!$J$6-Inputs!$I$6)))/(Inputs!$K$6^2)*Inputs!$C$11)))/(SQRT(((Inputs!$I$6+(((A164)+1)/2)*(Inputs!$J$6-Inputs!$I$6)))^2+Inputs!$C$6^2+((Inputs!$H$6+Inputs!$L$6*(((Inputs!$I$6+(((A164)+1)/2)*(Inputs!$J$6-Inputs!$I$6)))/Inputs!$K$6)^2))^2)))))/Inputs!$C$13)</x:f>
        <x:v>-158.03958042535132</x:v>
      </x:c>
      <x:c r="AM164" s="48" t="n">
        <x:f>(-2*((1000*((((Inputs!$I$7+(((A164)+1)/2)*(Inputs!$J$7-Inputs!$I$7)))*Inputs!$C$11+((Inputs!$H$7+Inputs!$L$7*(((Inputs!$I$7+(((A164)+1)/2)*(Inputs!$J$7-Inputs!$I$7)))/Inputs!$K$7)^2))*((2*Inputs!$L$7*((Inputs!$I$7+(((A164)+1)/2)*(Inputs!$J$7-Inputs!$I$7)))/(Inputs!$K$7^2)*Inputs!$C$11)))/(SQRT(((Inputs!$I$7+(((A164)+1)/2)*(Inputs!$J$7-Inputs!$I$7)))^2+Inputs!$C$6^2+((Inputs!$H$7+Inputs!$L$7*(((Inputs!$I$7+(((A164)+1)/2)*(Inputs!$J$7-Inputs!$I$7)))/Inputs!$K$7)^2))^2)))))/Inputs!$C$13)</x:f>
        <x:v>-1873.6701281591352</x:v>
      </x:c>
      <x:c r="AN164" s="48" t="n">
        <x:f>(-2*((1000*((((Inputs!$I$8+(((A164)+1)/2)*(Inputs!$J$8-Inputs!$I$8)))*Inputs!$C$11+((Inputs!$H$8+Inputs!$L$8*(((Inputs!$I$8+(((A164)+1)/2)*(Inputs!$J$8-Inputs!$I$8)))/Inputs!$K$8)^2))*((2*Inputs!$L$8*((Inputs!$I$8+(((A164)+1)/2)*(Inputs!$J$8-Inputs!$I$8)))/(Inputs!$K$8^2)*Inputs!$C$11)))/(SQRT(((Inputs!$I$8+(((A164)+1)/2)*(Inputs!$J$8-Inputs!$I$8)))^2+Inputs!$C$6^2+((Inputs!$H$8+Inputs!$L$8*(((Inputs!$I$8+(((A164)+1)/2)*(Inputs!$J$8-Inputs!$I$8)))/Inputs!$K$8)^2))^2)))))/Inputs!$C$13)</x:f>
        <x:v>-2045.8545989481845</x:v>
      </x:c>
      <x:c r="AO164" s="48" t="n">
        <x:f>(-2*((1000*((((Inputs!$I$9+(((A164)+1)/2)*(Inputs!$J$9-Inputs!$I$9)))*Inputs!$C$11+((Inputs!$H$9+Inputs!$L$9*(((Inputs!$I$9+(((A164)+1)/2)*(Inputs!$J$9-Inputs!$I$9)))/Inputs!$K$9)^2))*((2*Inputs!$L$9*((Inputs!$I$9+(((A164)+1)/2)*(Inputs!$J$9-Inputs!$I$9)))/(Inputs!$K$9^2)*Inputs!$C$11)))/(SQRT(((Inputs!$I$9+(((A164)+1)/2)*(Inputs!$J$9-Inputs!$I$9)))^2+Inputs!$C$6^2+((Inputs!$H$9+Inputs!$L$9*(((Inputs!$I$9+(((A164)+1)/2)*(Inputs!$J$9-Inputs!$I$9)))/Inputs!$K$9)^2))^2)))))/Inputs!$C$13)</x:f>
        <x:v>-2041.3178772242259</x:v>
      </x:c>
    </x:row>
    <x:row r="165">
      <x:c r="A165" s="48" t="n">
        <x:f>ROUND(-1+163*2/240,3)</x:f>
        <x:v>0.358</x:v>
      </x:c>
      <x:c r="B165" s="48" t="n">
        <x:f>IF(OR(Inputs!$F$6=TRUE,Inputs!$F$6="TRUE",Inputs!$F$6=1),(Inputs!$H$6+Inputs!$L$6*(((Inputs!$I$6+(((A165)+1)/2)*(Inputs!$J$6-Inputs!$I$6)))/Inputs!$K$6)^2),NA())</x:f>
        <x:v>400.512656</x:v>
      </x:c>
      <x:c r="C165" s="48" t="n">
        <x:f>IF(OR(Inputs!$F$7=TRUE,Inputs!$F$7="TRUE",Inputs!$F$7=1),(Inputs!$H$7+Inputs!$L$7*(((Inputs!$I$7+(((A165)+1)/2)*(Inputs!$J$7-Inputs!$I$7)))/Inputs!$K$7)^2),NA())</x:f>
        <x:v>81.77986000000001</x:v>
      </x:c>
      <x:c r="D165" s="48" t="n">
        <x:f>IF(OR(Inputs!$F$8=TRUE,Inputs!$F$8="TRUE",Inputs!$F$8=1),(Inputs!$H$8+Inputs!$L$8*(((Inputs!$I$8+(((A165)+1)/2)*(Inputs!$J$8-Inputs!$I$8)))/Inputs!$K$8)^2),NA())</x:f>
        <x:v>158.67826000000005</x:v>
      </x:c>
      <x:c r="E165" s="48" t="n">
        <x:f>IF(OR(Inputs!$F$9=TRUE,Inputs!$F$9="TRUE",Inputs!$F$9=1),(Inputs!$H$9+Inputs!$L$9*(((Inputs!$I$9+(((A165)+1)/2)*(Inputs!$J$9-Inputs!$I$9)))/Inputs!$K$9)^2),NA())</x:f>
        <x:v>149.95990000000006</x:v>
      </x:c>
      <x:c r="F165" s="49"/>
      <x:c r="G165" s="48" t="n">
        <x:f>A165</x:f>
        <x:v>0.358</x:v>
      </x:c>
      <x:c r="H165" s="48" t="n">
        <x:f>IF(OR(Inputs!$F$6=TRUE,Inputs!$F$6="TRUE",Inputs!$F$6=1),(((SQRT(((Inputs!$I$6+(((A165)+1)/2)*(Inputs!$J$6-Inputs!$I$6)))^2+Inputs!$C$6^2+((Inputs!$H$6+Inputs!$L$6*(((Inputs!$I$6+(((A165)+1)/2)*(Inputs!$J$6-Inputs!$I$6)))/Inputs!$K$6)^2))^2))-((Inputs!$H$6+Inputs!$L$6*(((Inputs!$I$6+(((A165)+1)/2)*(Inputs!$J$6-Inputs!$I$6)))/Inputs!$K$6)^2)))*1000/Inputs!$C$12),NA())</x:f>
        <x:v>760.6523570363026</x:v>
      </x:c>
      <x:c r="I165" s="48" t="n">
        <x:f>IF(OR(Inputs!$F$7=TRUE,Inputs!$F$7="TRUE",Inputs!$F$7=1),(((SQRT(((Inputs!$I$7+(((A165)+1)/2)*(Inputs!$J$7-Inputs!$I$7)))^2+Inputs!$C$6^2+((Inputs!$H$7+Inputs!$L$7*(((Inputs!$I$7+(((A165)+1)/2)*(Inputs!$J$7-Inputs!$I$7)))/Inputs!$K$7)^2))^2))-((Inputs!$H$7+Inputs!$L$7*(((Inputs!$I$7+(((A165)+1)/2)*(Inputs!$J$7-Inputs!$I$7)))/Inputs!$K$7)^2)))*1000/Inputs!$C$12),NA())</x:f>
        <x:v>47758.97953846959</x:v>
      </x:c>
      <x:c r="J165" s="48" t="n">
        <x:f>IF(OR(Inputs!$F$8=TRUE,Inputs!$F$8="TRUE",Inputs!$F$8=1),(((SQRT(((Inputs!$I$8+(((A165)+1)/2)*(Inputs!$J$8-Inputs!$I$8)))^2+Inputs!$C$6^2+((Inputs!$H$8+Inputs!$L$8*(((Inputs!$I$8+(((A165)+1)/2)*(Inputs!$J$8-Inputs!$I$8)))/Inputs!$K$8)^2))^2))-((Inputs!$H$8+Inputs!$L$8*(((Inputs!$I$8+(((A165)+1)/2)*(Inputs!$J$8-Inputs!$I$8)))/Inputs!$K$8)^2)))*1000/Inputs!$C$12),NA())</x:f>
        <x:v>95334.05778552484</x:v>
      </x:c>
      <x:c r="K165" s="48" t="n">
        <x:f>IF(OR(Inputs!$F$9=TRUE,Inputs!$F$9="TRUE",Inputs!$F$9=1),(((SQRT(((Inputs!$I$9+(((A165)+1)/2)*(Inputs!$J$9-Inputs!$I$9)))^2+Inputs!$C$6^2+((Inputs!$H$9+Inputs!$L$9*(((Inputs!$I$9+(((A165)+1)/2)*(Inputs!$J$9-Inputs!$I$9)))/Inputs!$K$9)^2))^2))-((Inputs!$H$9+Inputs!$L$9*(((Inputs!$I$9+(((A165)+1)/2)*(Inputs!$J$9-Inputs!$I$9)))/Inputs!$K$9)^2)))*1000/Inputs!$C$12),NA())</x:f>
        <x:v>97915.67312464312</x:v>
      </x:c>
      <x:c r="L165" s="49"/>
      <x:c r="M165" s="48" t="n">
        <x:f>A165</x:f>
        <x:v>0.358</x:v>
      </x:c>
      <x:c r="N165" s="48" t="n">
        <x:f>IF(OR(Inputs!$F$6=TRUE,Inputs!$F$6="TRUE",Inputs!$F$6=1),(-2*((1000*((((Inputs!$I$6+(((A165)+1)/2)*(Inputs!$J$6-Inputs!$I$6)))*Inputs!$C$11+((Inputs!$H$6+Inputs!$L$6*(((Inputs!$I$6+(((A165)+1)/2)*(Inputs!$J$6-Inputs!$I$6)))/Inputs!$K$6)^2))*((2*Inputs!$L$6*((Inputs!$I$6+(((A165)+1)/2)*(Inputs!$J$6-Inputs!$I$6)))/(Inputs!$K$6^2)*Inputs!$C$11)))/(SQRT(((Inputs!$I$6+(((A165)+1)/2)*(Inputs!$J$6-Inputs!$I$6)))^2+Inputs!$C$6^2+((Inputs!$H$6+Inputs!$L$6*(((Inputs!$I$6+(((A165)+1)/2)*(Inputs!$J$6-Inputs!$I$6)))/Inputs!$K$6)^2))^2)))))/Inputs!$C$13),NA())</x:f>
        <x:v>-161.63693076626635</x:v>
      </x:c>
      <x:c r="O165" s="48" t="n">
        <x:f>IF(OR(Inputs!$F$7=TRUE,Inputs!$F$7="TRUE",Inputs!$F$7=1),(-2*((1000*((((Inputs!$I$7+(((A165)+1)/2)*(Inputs!$J$7-Inputs!$I$7)))*Inputs!$C$11+((Inputs!$H$7+Inputs!$L$7*(((Inputs!$I$7+(((A165)+1)/2)*(Inputs!$J$7-Inputs!$I$7)))/Inputs!$K$7)^2))*((2*Inputs!$L$7*((Inputs!$I$7+(((A165)+1)/2)*(Inputs!$J$7-Inputs!$I$7)))/(Inputs!$K$7^2)*Inputs!$C$11)))/(SQRT(((Inputs!$I$7+(((A165)+1)/2)*(Inputs!$J$7-Inputs!$I$7)))^2+Inputs!$C$6^2+((Inputs!$H$7+Inputs!$L$7*(((Inputs!$I$7+(((A165)+1)/2)*(Inputs!$J$7-Inputs!$I$7)))/Inputs!$K$7)^2))^2)))))/Inputs!$C$13),NA())</x:f>
        <x:v>-1886.2509937577895</x:v>
      </x:c>
      <x:c r="P165" s="48" t="n">
        <x:f>IF(OR(Inputs!$F$8=TRUE,Inputs!$F$8="TRUE",Inputs!$F$8=1),(-2*((1000*((((Inputs!$I$8+(((A165)+1)/2)*(Inputs!$J$8-Inputs!$I$8)))*Inputs!$C$11+((Inputs!$H$8+Inputs!$L$8*(((Inputs!$I$8+(((A165)+1)/2)*(Inputs!$J$8-Inputs!$I$8)))/Inputs!$K$8)^2))*((2*Inputs!$L$8*((Inputs!$I$8+(((A165)+1)/2)*(Inputs!$J$8-Inputs!$I$8)))/(Inputs!$K$8^2)*Inputs!$C$11)))/(SQRT(((Inputs!$I$8+(((A165)+1)/2)*(Inputs!$J$8-Inputs!$I$8)))^2+Inputs!$C$6^2+((Inputs!$H$8+Inputs!$L$8*(((Inputs!$I$8+(((A165)+1)/2)*(Inputs!$J$8-Inputs!$I$8)))/Inputs!$K$8)^2))^2)))))/Inputs!$C$13),NA())</x:f>
        <x:v>-2063.2468431362463</x:v>
      </x:c>
      <x:c r="Q165" s="48" t="n">
        <x:f>IF(OR(Inputs!$F$9=TRUE,Inputs!$F$9="TRUE",Inputs!$F$9=1),(-2*((1000*((((Inputs!$I$9+(((A165)+1)/2)*(Inputs!$J$9-Inputs!$I$9)))*Inputs!$C$11+((Inputs!$H$9+Inputs!$L$9*(((Inputs!$I$9+(((A165)+1)/2)*(Inputs!$J$9-Inputs!$I$9)))/Inputs!$K$9)^2))*((2*Inputs!$L$9*((Inputs!$I$9+(((A165)+1)/2)*(Inputs!$J$9-Inputs!$I$9)))/(Inputs!$K$9^2)*Inputs!$C$11)))/(SQRT(((Inputs!$I$9+(((A165)+1)/2)*(Inputs!$J$9-Inputs!$I$9)))^2+Inputs!$C$6^2+((Inputs!$H$9+Inputs!$L$9*(((Inputs!$I$9+(((A165)+1)/2)*(Inputs!$J$9-Inputs!$I$9)))/Inputs!$K$9)^2))^2)))))/Inputs!$C$13),NA())</x:f>
        <x:v>-2058.949662157473</x:v>
      </x:c>
      <x:c r="R165" s="49"/>
      <x:c r="S165" s="48" t="n">
        <x:f>A165</x:f>
        <x:v>0.358</x:v>
      </x:c>
      <x:c r="T165" s="48" t="n">
        <x:f>(Inputs!$I$6+(((A165)+1)/2)*(Inputs!$J$6-Inputs!$I$6))</x:f>
        <x:v>21.480000000000004</x:v>
      </x:c>
      <x:c r="U165" s="48" t="n">
        <x:f>(Inputs!$I$7+(((A165)+1)/2)*(Inputs!$J$7-Inputs!$I$7))</x:f>
        <x:v>143.20000000000005</x:v>
      </x:c>
      <x:c r="V165" s="48" t="n">
        <x:f>(Inputs!$I$8+(((A165)+1)/2)*(Inputs!$J$8-Inputs!$I$8))</x:f>
        <x:v>286.4000000000001</x:v>
      </x:c>
      <x:c r="W165" s="48" t="n">
        <x:f>(Inputs!$I$9+(((A165)+1)/2)*(Inputs!$J$9-Inputs!$I$9))</x:f>
        <x:v>286.4000000000001</x:v>
      </x:c>
      <x:c r="X165" s="49"/>
      <x:c r="Y165" s="48" t="n">
        <x:f>A165</x:f>
        <x:v>0.358</x:v>
      </x:c>
      <x:c r="Z165" s="48" t="n">
        <x:f>(Inputs!$H$6+Inputs!$L$6*(((Inputs!$I$6+(((A165)+1)/2)*(Inputs!$J$6-Inputs!$I$6)))/Inputs!$K$6)^2)</x:f>
        <x:v>400.512656</x:v>
      </x:c>
      <x:c r="AA165" s="48" t="n">
        <x:f>(Inputs!$H$7+Inputs!$L$7*(((Inputs!$I$7+(((A165)+1)/2)*(Inputs!$J$7-Inputs!$I$7)))/Inputs!$K$7)^2)</x:f>
        <x:v>81.77986000000001</x:v>
      </x:c>
      <x:c r="AB165" s="48" t="n">
        <x:f>(Inputs!$H$8+Inputs!$L$8*(((Inputs!$I$8+(((A165)+1)/2)*(Inputs!$J$8-Inputs!$I$8)))/Inputs!$K$8)^2)</x:f>
        <x:v>158.67826000000005</x:v>
      </x:c>
      <x:c r="AC165" s="48" t="n">
        <x:f>(Inputs!$H$9+Inputs!$L$9*(((Inputs!$I$9+(((A165)+1)/2)*(Inputs!$J$9-Inputs!$I$9)))/Inputs!$K$9)^2)</x:f>
        <x:v>149.95990000000006</x:v>
      </x:c>
      <x:c r="AD165" s="49"/>
      <x:c r="AE165" s="48" t="n">
        <x:f>A165</x:f>
        <x:v>0.358</x:v>
      </x:c>
      <x:c r="AF165" s="48" t="n">
        <x:f>(((SQRT(((Inputs!$I$6+(((A165)+1)/2)*(Inputs!$J$6-Inputs!$I$6)))^2+Inputs!$C$6^2+((Inputs!$H$6+Inputs!$L$6*(((Inputs!$I$6+(((A165)+1)/2)*(Inputs!$J$6-Inputs!$I$6)))/Inputs!$K$6)^2))^2))-((Inputs!$H$6+Inputs!$L$6*(((Inputs!$I$6+(((A165)+1)/2)*(Inputs!$J$6-Inputs!$I$6)))/Inputs!$K$6)^2)))*1000/Inputs!$C$12)</x:f>
        <x:v>760.6523570363026</x:v>
      </x:c>
      <x:c r="AG165" s="48" t="n">
        <x:f>(((SQRT(((Inputs!$I$7+(((A165)+1)/2)*(Inputs!$J$7-Inputs!$I$7)))^2+Inputs!$C$6^2+((Inputs!$H$7+Inputs!$L$7*(((Inputs!$I$7+(((A165)+1)/2)*(Inputs!$J$7-Inputs!$I$7)))/Inputs!$K$7)^2))^2))-((Inputs!$H$7+Inputs!$L$7*(((Inputs!$I$7+(((A165)+1)/2)*(Inputs!$J$7-Inputs!$I$7)))/Inputs!$K$7)^2)))*1000/Inputs!$C$12)</x:f>
        <x:v>47758.97953846959</x:v>
      </x:c>
      <x:c r="AH165" s="48" t="n">
        <x:f>(((SQRT(((Inputs!$I$8+(((A165)+1)/2)*(Inputs!$J$8-Inputs!$I$8)))^2+Inputs!$C$6^2+((Inputs!$H$8+Inputs!$L$8*(((Inputs!$I$8+(((A165)+1)/2)*(Inputs!$J$8-Inputs!$I$8)))/Inputs!$K$8)^2))^2))-((Inputs!$H$8+Inputs!$L$8*(((Inputs!$I$8+(((A165)+1)/2)*(Inputs!$J$8-Inputs!$I$8)))/Inputs!$K$8)^2)))*1000/Inputs!$C$12)</x:f>
        <x:v>95334.05778552484</x:v>
      </x:c>
      <x:c r="AI165" s="48" t="n">
        <x:f>(((SQRT(((Inputs!$I$9+(((A165)+1)/2)*(Inputs!$J$9-Inputs!$I$9)))^2+Inputs!$C$6^2+((Inputs!$H$9+Inputs!$L$9*(((Inputs!$I$9+(((A165)+1)/2)*(Inputs!$J$9-Inputs!$I$9)))/Inputs!$K$9)^2))^2))-((Inputs!$H$9+Inputs!$L$9*(((Inputs!$I$9+(((A165)+1)/2)*(Inputs!$J$9-Inputs!$I$9)))/Inputs!$K$9)^2)))*1000/Inputs!$C$12)</x:f>
        <x:v>97915.67312464312</x:v>
      </x:c>
      <x:c r="AJ165" s="49"/>
      <x:c r="AK165" s="48" t="n">
        <x:f>A165</x:f>
        <x:v>0.358</x:v>
      </x:c>
      <x:c r="AL165" s="48" t="n">
        <x:f>(-2*((1000*((((Inputs!$I$6+(((A165)+1)/2)*(Inputs!$J$6-Inputs!$I$6)))*Inputs!$C$11+((Inputs!$H$6+Inputs!$L$6*(((Inputs!$I$6+(((A165)+1)/2)*(Inputs!$J$6-Inputs!$I$6)))/Inputs!$K$6)^2))*((2*Inputs!$L$6*((Inputs!$I$6+(((A165)+1)/2)*(Inputs!$J$6-Inputs!$I$6)))/(Inputs!$K$6^2)*Inputs!$C$11)))/(SQRT(((Inputs!$I$6+(((A165)+1)/2)*(Inputs!$J$6-Inputs!$I$6)))^2+Inputs!$C$6^2+((Inputs!$H$6+Inputs!$L$6*(((Inputs!$I$6+(((A165)+1)/2)*(Inputs!$J$6-Inputs!$I$6)))/Inputs!$K$6)^2))^2)))))/Inputs!$C$13)</x:f>
        <x:v>-161.63693076626635</x:v>
      </x:c>
      <x:c r="AM165" s="48" t="n">
        <x:f>(-2*((1000*((((Inputs!$I$7+(((A165)+1)/2)*(Inputs!$J$7-Inputs!$I$7)))*Inputs!$C$11+((Inputs!$H$7+Inputs!$L$7*(((Inputs!$I$7+(((A165)+1)/2)*(Inputs!$J$7-Inputs!$I$7)))/Inputs!$K$7)^2))*((2*Inputs!$L$7*((Inputs!$I$7+(((A165)+1)/2)*(Inputs!$J$7-Inputs!$I$7)))/(Inputs!$K$7^2)*Inputs!$C$11)))/(SQRT(((Inputs!$I$7+(((A165)+1)/2)*(Inputs!$J$7-Inputs!$I$7)))^2+Inputs!$C$6^2+((Inputs!$H$7+Inputs!$L$7*(((Inputs!$I$7+(((A165)+1)/2)*(Inputs!$J$7-Inputs!$I$7)))/Inputs!$K$7)^2))^2)))))/Inputs!$C$13)</x:f>
        <x:v>-1886.2509937577895</x:v>
      </x:c>
      <x:c r="AN165" s="48" t="n">
        <x:f>(-2*((1000*((((Inputs!$I$8+(((A165)+1)/2)*(Inputs!$J$8-Inputs!$I$8)))*Inputs!$C$11+((Inputs!$H$8+Inputs!$L$8*(((Inputs!$I$8+(((A165)+1)/2)*(Inputs!$J$8-Inputs!$I$8)))/Inputs!$K$8)^2))*((2*Inputs!$L$8*((Inputs!$I$8+(((A165)+1)/2)*(Inputs!$J$8-Inputs!$I$8)))/(Inputs!$K$8^2)*Inputs!$C$11)))/(SQRT(((Inputs!$I$8+(((A165)+1)/2)*(Inputs!$J$8-Inputs!$I$8)))^2+Inputs!$C$6^2+((Inputs!$H$8+Inputs!$L$8*(((Inputs!$I$8+(((A165)+1)/2)*(Inputs!$J$8-Inputs!$I$8)))/Inputs!$K$8)^2))^2)))))/Inputs!$C$13)</x:f>
        <x:v>-2063.2468431362463</x:v>
      </x:c>
      <x:c r="AO165" s="48" t="n">
        <x:f>(-2*((1000*((((Inputs!$I$9+(((A165)+1)/2)*(Inputs!$J$9-Inputs!$I$9)))*Inputs!$C$11+((Inputs!$H$9+Inputs!$L$9*(((Inputs!$I$9+(((A165)+1)/2)*(Inputs!$J$9-Inputs!$I$9)))/Inputs!$K$9)^2))*((2*Inputs!$L$9*((Inputs!$I$9+(((A165)+1)/2)*(Inputs!$J$9-Inputs!$I$9)))/(Inputs!$K$9^2)*Inputs!$C$11)))/(SQRT(((Inputs!$I$9+(((A165)+1)/2)*(Inputs!$J$9-Inputs!$I$9)))^2+Inputs!$C$6^2+((Inputs!$H$9+Inputs!$L$9*(((Inputs!$I$9+(((A165)+1)/2)*(Inputs!$J$9-Inputs!$I$9)))/Inputs!$K$9)^2))^2)))))/Inputs!$C$13)</x:f>
        <x:v>-2058.949662157473</x:v>
      </x:c>
    </x:row>
    <x:row r="166">
      <x:c r="A166" s="48" t="n">
        <x:f>ROUND(-1+164*2/240,3)</x:f>
        <x:v>0.367</x:v>
      </x:c>
      <x:c r="B166" s="48" t="n">
        <x:f>IF(OR(Inputs!$F$6=TRUE,Inputs!$F$6="TRUE",Inputs!$F$6=1),(Inputs!$H$6+Inputs!$L$6*(((Inputs!$I$6+(((A166)+1)/2)*(Inputs!$J$6-Inputs!$I$6)))/Inputs!$K$6)^2),NA())</x:f>
        <x:v>400.538756</x:v>
      </x:c>
      <x:c r="C166" s="48" t="n">
        <x:f>IF(OR(Inputs!$F$7=TRUE,Inputs!$F$7="TRUE",Inputs!$F$7=1),(Inputs!$H$7+Inputs!$L$7*(((Inputs!$I$7+(((A166)+1)/2)*(Inputs!$J$7-Inputs!$I$7)))/Inputs!$K$7)^2),NA())</x:f>
        <x:v>84.16148499999997</x:v>
      </x:c>
      <x:c r="D166" s="48" t="n">
        <x:f>IF(OR(Inputs!$F$8=TRUE,Inputs!$F$8="TRUE",Inputs!$F$8=1),(Inputs!$H$8+Inputs!$L$8*(((Inputs!$I$8+(((A166)+1)/2)*(Inputs!$J$8-Inputs!$I$8)))/Inputs!$K$8)^2),NA())</x:f>
        <x:v>164.97488499999992</x:v>
      </x:c>
      <x:c r="E166" s="48" t="n">
        <x:f>IF(OR(Inputs!$F$9=TRUE,Inputs!$F$9="TRUE",Inputs!$F$9=1),(Inputs!$H$9+Inputs!$L$9*(((Inputs!$I$9+(((A166)+1)/2)*(Inputs!$J$9-Inputs!$I$9)))/Inputs!$K$9)^2),NA())</x:f>
        <x:v>156.32177499999992</x:v>
      </x:c>
      <x:c r="F166" s="49"/>
      <x:c r="G166" s="48" t="n">
        <x:f>A166</x:f>
        <x:v>0.367</x:v>
      </x:c>
      <x:c r="H166" s="48" t="n">
        <x:f>IF(OR(Inputs!$F$6=TRUE,Inputs!$F$6="TRUE",Inputs!$F$6=1),(((SQRT(((Inputs!$I$6+(((A166)+1)/2)*(Inputs!$J$6-Inputs!$I$6)))^2+Inputs!$C$6^2+((Inputs!$H$6+Inputs!$L$6*(((Inputs!$I$6+(((A166)+1)/2)*(Inputs!$J$6-Inputs!$I$6)))/Inputs!$K$6)^2))^2))-((Inputs!$H$6+Inputs!$L$6*(((Inputs!$I$6+(((A166)+1)/2)*(Inputs!$J$6-Inputs!$I$6)))/Inputs!$K$6)^2)))*1000/Inputs!$C$12),NA())</x:f>
        <x:v>777.0204643805484</x:v>
      </x:c>
      <x:c r="I166" s="48" t="n">
        <x:f>IF(OR(Inputs!$F$7=TRUE,Inputs!$F$7="TRUE",Inputs!$F$7=1),(((SQRT(((Inputs!$I$7+(((A166)+1)/2)*(Inputs!$J$7-Inputs!$I$7)))^2+Inputs!$C$6^2+((Inputs!$H$7+Inputs!$L$7*(((Inputs!$I$7+(((A166)+1)/2)*(Inputs!$J$7-Inputs!$I$7)))/Inputs!$K$7)^2))^2))-((Inputs!$H$7+Inputs!$L$7*(((Inputs!$I$7+(((A166)+1)/2)*(Inputs!$J$7-Inputs!$I$7)))/Inputs!$K$7)^2)))*1000/Inputs!$C$12),NA())</x:f>
        <x:v>48814.253730546276</x:v>
      </x:c>
      <x:c r="J166" s="48" t="n">
        <x:f>IF(OR(Inputs!$F$8=TRUE,Inputs!$F$8="TRUE",Inputs!$F$8=1),(((SQRT(((Inputs!$I$8+(((A166)+1)/2)*(Inputs!$J$8-Inputs!$I$8)))^2+Inputs!$C$6^2+((Inputs!$H$8+Inputs!$L$8*(((Inputs!$I$8+(((A166)+1)/2)*(Inputs!$J$8-Inputs!$I$8)))/Inputs!$K$8)^2))^2))-((Inputs!$H$8+Inputs!$L$8*(((Inputs!$I$8+(((A166)+1)/2)*(Inputs!$J$8-Inputs!$I$8)))/Inputs!$K$8)^2)))*1000/Inputs!$C$12),NA())</x:f>
        <x:v>97037.73157111405</x:v>
      </x:c>
      <x:c r="K166" s="48" t="n">
        <x:f>IF(OR(Inputs!$F$9=TRUE,Inputs!$F$9="TRUE",Inputs!$F$9=1),(((SQRT(((Inputs!$I$9+(((A166)+1)/2)*(Inputs!$J$9-Inputs!$I$9)))^2+Inputs!$C$6^2+((Inputs!$H$9+Inputs!$L$9*(((Inputs!$I$9+(((A166)+1)/2)*(Inputs!$J$9-Inputs!$I$9)))/Inputs!$K$9)^2))^2))-((Inputs!$H$9+Inputs!$L$9*(((Inputs!$I$9+(((A166)+1)/2)*(Inputs!$J$9-Inputs!$I$9)))/Inputs!$K$9)^2)))*1000/Inputs!$C$12),NA())</x:f>
        <x:v>99572.19124793573</x:v>
      </x:c>
      <x:c r="L166" s="49"/>
      <x:c r="M166" s="48" t="n">
        <x:f>A166</x:f>
        <x:v>0.367</x:v>
      </x:c>
      <x:c r="N166" s="48" t="n">
        <x:f>IF(OR(Inputs!$F$6=TRUE,Inputs!$F$6="TRUE",Inputs!$F$6=1),(-2*((1000*((((Inputs!$I$6+(((A166)+1)/2)*(Inputs!$J$6-Inputs!$I$6)))*Inputs!$C$11+((Inputs!$H$6+Inputs!$L$6*(((Inputs!$I$6+(((A166)+1)/2)*(Inputs!$J$6-Inputs!$I$6)))/Inputs!$K$6)^2))*((2*Inputs!$L$6*((Inputs!$I$6+(((A166)+1)/2)*(Inputs!$J$6-Inputs!$I$6)))/(Inputs!$K$6^2)*Inputs!$C$11)))/(SQRT(((Inputs!$I$6+(((A166)+1)/2)*(Inputs!$J$6-Inputs!$I$6)))^2+Inputs!$C$6^2+((Inputs!$H$6+Inputs!$L$6*(((Inputs!$I$6+(((A166)+1)/2)*(Inputs!$J$6-Inputs!$I$6)))/Inputs!$K$6)^2))^2)))))/Inputs!$C$13),NA())</x:f>
        <x:v>-165.68274139458043</x:v>
      </x:c>
      <x:c r="O166" s="48" t="n">
        <x:f>IF(OR(Inputs!$F$7=TRUE,Inputs!$F$7="TRUE",Inputs!$F$7=1),(-2*((1000*((((Inputs!$I$7+(((A166)+1)/2)*(Inputs!$J$7-Inputs!$I$7)))*Inputs!$C$11+((Inputs!$H$7+Inputs!$L$7*(((Inputs!$I$7+(((A166)+1)/2)*(Inputs!$J$7-Inputs!$I$7)))/Inputs!$K$7)^2))*((2*Inputs!$L$7*((Inputs!$I$7+(((A166)+1)/2)*(Inputs!$J$7-Inputs!$I$7)))/(Inputs!$K$7^2)*Inputs!$C$11)))/(SQRT(((Inputs!$I$7+(((A166)+1)/2)*(Inputs!$J$7-Inputs!$I$7)))^2+Inputs!$C$6^2+((Inputs!$H$7+Inputs!$L$7*(((Inputs!$I$7+(((A166)+1)/2)*(Inputs!$J$7-Inputs!$I$7)))/Inputs!$K$7)^2))^2)))))/Inputs!$C$13),NA())</x:f>
        <x:v>-1900.4337082558345</x:v>
      </x:c>
      <x:c r="P166" s="48" t="n">
        <x:f>IF(OR(Inputs!$F$8=TRUE,Inputs!$F$8="TRUE",Inputs!$F$8=1),(-2*((1000*((((Inputs!$I$8+(((A166)+1)/2)*(Inputs!$J$8-Inputs!$I$8)))*Inputs!$C$11+((Inputs!$H$8+Inputs!$L$8*(((Inputs!$I$8+(((A166)+1)/2)*(Inputs!$J$8-Inputs!$I$8)))/Inputs!$K$8)^2))*((2*Inputs!$L$8*((Inputs!$I$8+(((A166)+1)/2)*(Inputs!$J$8-Inputs!$I$8)))/(Inputs!$K$8^2)*Inputs!$C$11)))/(SQRT(((Inputs!$I$8+(((A166)+1)/2)*(Inputs!$J$8-Inputs!$I$8)))^2+Inputs!$C$6^2+((Inputs!$H$8+Inputs!$L$8*(((Inputs!$I$8+(((A166)+1)/2)*(Inputs!$J$8-Inputs!$I$8)))/Inputs!$K$8)^2))^2)))))/Inputs!$C$13),NA())</x:f>
        <x:v>-2083.098777246079</x:v>
      </x:c>
      <x:c r="Q166" s="48" t="n">
        <x:f>IF(OR(Inputs!$F$9=TRUE,Inputs!$F$9="TRUE",Inputs!$F$9=1),(-2*((1000*((((Inputs!$I$9+(((A166)+1)/2)*(Inputs!$J$9-Inputs!$I$9)))*Inputs!$C$11+((Inputs!$H$9+Inputs!$L$9*(((Inputs!$I$9+(((A166)+1)/2)*(Inputs!$J$9-Inputs!$I$9)))/Inputs!$K$9)^2))*((2*Inputs!$L$9*((Inputs!$I$9+(((A166)+1)/2)*(Inputs!$J$9-Inputs!$I$9)))/(Inputs!$K$9^2)*Inputs!$C$11)))/(SQRT(((Inputs!$I$9+(((A166)+1)/2)*(Inputs!$J$9-Inputs!$I$9)))^2+Inputs!$C$6^2+((Inputs!$H$9+Inputs!$L$9*(((Inputs!$I$9+(((A166)+1)/2)*(Inputs!$J$9-Inputs!$I$9)))/Inputs!$K$9)^2))^2)))))/Inputs!$C$13),NA())</x:f>
        <x:v>-2079.094567485664</x:v>
      </x:c>
      <x:c r="R166" s="49"/>
      <x:c r="S166" s="48" t="n">
        <x:f>A166</x:f>
        <x:v>0.367</x:v>
      </x:c>
      <x:c r="T166" s="48" t="n">
        <x:f>(Inputs!$I$6+(((A166)+1)/2)*(Inputs!$J$6-Inputs!$I$6))</x:f>
        <x:v>22.019999999999996</x:v>
      </x:c>
      <x:c r="U166" s="48" t="n">
        <x:f>(Inputs!$I$7+(((A166)+1)/2)*(Inputs!$J$7-Inputs!$I$7))</x:f>
        <x:v>146.79999999999995</x:v>
      </x:c>
      <x:c r="V166" s="48" t="n">
        <x:f>(Inputs!$I$8+(((A166)+1)/2)*(Inputs!$J$8-Inputs!$I$8))</x:f>
        <x:v>293.5999999999999</x:v>
      </x:c>
      <x:c r="W166" s="48" t="n">
        <x:f>(Inputs!$I$9+(((A166)+1)/2)*(Inputs!$J$9-Inputs!$I$9))</x:f>
        <x:v>293.5999999999999</x:v>
      </x:c>
      <x:c r="X166" s="49"/>
      <x:c r="Y166" s="48" t="n">
        <x:f>A166</x:f>
        <x:v>0.367</x:v>
      </x:c>
      <x:c r="Z166" s="48" t="n">
        <x:f>(Inputs!$H$6+Inputs!$L$6*(((Inputs!$I$6+(((A166)+1)/2)*(Inputs!$J$6-Inputs!$I$6)))/Inputs!$K$6)^2)</x:f>
        <x:v>400.538756</x:v>
      </x:c>
      <x:c r="AA166" s="48" t="n">
        <x:f>(Inputs!$H$7+Inputs!$L$7*(((Inputs!$I$7+(((A166)+1)/2)*(Inputs!$J$7-Inputs!$I$7)))/Inputs!$K$7)^2)</x:f>
        <x:v>84.16148499999997</x:v>
      </x:c>
      <x:c r="AB166" s="48" t="n">
        <x:f>(Inputs!$H$8+Inputs!$L$8*(((Inputs!$I$8+(((A166)+1)/2)*(Inputs!$J$8-Inputs!$I$8)))/Inputs!$K$8)^2)</x:f>
        <x:v>164.97488499999992</x:v>
      </x:c>
      <x:c r="AC166" s="48" t="n">
        <x:f>(Inputs!$H$9+Inputs!$L$9*(((Inputs!$I$9+(((A166)+1)/2)*(Inputs!$J$9-Inputs!$I$9)))/Inputs!$K$9)^2)</x:f>
        <x:v>156.32177499999992</x:v>
      </x:c>
      <x:c r="AD166" s="49"/>
      <x:c r="AE166" s="48" t="n">
        <x:f>A166</x:f>
        <x:v>0.367</x:v>
      </x:c>
      <x:c r="AF166" s="48" t="n">
        <x:f>(((SQRT(((Inputs!$I$6+(((A166)+1)/2)*(Inputs!$J$6-Inputs!$I$6)))^2+Inputs!$C$6^2+((Inputs!$H$6+Inputs!$L$6*(((Inputs!$I$6+(((A166)+1)/2)*(Inputs!$J$6-Inputs!$I$6)))/Inputs!$K$6)^2))^2))-((Inputs!$H$6+Inputs!$L$6*(((Inputs!$I$6+(((A166)+1)/2)*(Inputs!$J$6-Inputs!$I$6)))/Inputs!$K$6)^2)))*1000/Inputs!$C$12)</x:f>
        <x:v>777.0204643805484</x:v>
      </x:c>
      <x:c r="AG166" s="48" t="n">
        <x:f>(((SQRT(((Inputs!$I$7+(((A166)+1)/2)*(Inputs!$J$7-Inputs!$I$7)))^2+Inputs!$C$6^2+((Inputs!$H$7+Inputs!$L$7*(((Inputs!$I$7+(((A166)+1)/2)*(Inputs!$J$7-Inputs!$I$7)))/Inputs!$K$7)^2))^2))-((Inputs!$H$7+Inputs!$L$7*(((Inputs!$I$7+(((A166)+1)/2)*(Inputs!$J$7-Inputs!$I$7)))/Inputs!$K$7)^2)))*1000/Inputs!$C$12)</x:f>
        <x:v>48814.253730546276</x:v>
      </x:c>
      <x:c r="AH166" s="48" t="n">
        <x:f>(((SQRT(((Inputs!$I$8+(((A166)+1)/2)*(Inputs!$J$8-Inputs!$I$8)))^2+Inputs!$C$6^2+((Inputs!$H$8+Inputs!$L$8*(((Inputs!$I$8+(((A166)+1)/2)*(Inputs!$J$8-Inputs!$I$8)))/Inputs!$K$8)^2))^2))-((Inputs!$H$8+Inputs!$L$8*(((Inputs!$I$8+(((A166)+1)/2)*(Inputs!$J$8-Inputs!$I$8)))/Inputs!$K$8)^2)))*1000/Inputs!$C$12)</x:f>
        <x:v>97037.73157111405</x:v>
      </x:c>
      <x:c r="AI166" s="48" t="n">
        <x:f>(((SQRT(((Inputs!$I$9+(((A166)+1)/2)*(Inputs!$J$9-Inputs!$I$9)))^2+Inputs!$C$6^2+((Inputs!$H$9+Inputs!$L$9*(((Inputs!$I$9+(((A166)+1)/2)*(Inputs!$J$9-Inputs!$I$9)))/Inputs!$K$9)^2))^2))-((Inputs!$H$9+Inputs!$L$9*(((Inputs!$I$9+(((A166)+1)/2)*(Inputs!$J$9-Inputs!$I$9)))/Inputs!$K$9)^2)))*1000/Inputs!$C$12)</x:f>
        <x:v>99572.19124793573</x:v>
      </x:c>
      <x:c r="AJ166" s="49"/>
      <x:c r="AK166" s="48" t="n">
        <x:f>A166</x:f>
        <x:v>0.367</x:v>
      </x:c>
      <x:c r="AL166" s="48" t="n">
        <x:f>(-2*((1000*((((Inputs!$I$6+(((A166)+1)/2)*(Inputs!$J$6-Inputs!$I$6)))*Inputs!$C$11+((Inputs!$H$6+Inputs!$L$6*(((Inputs!$I$6+(((A166)+1)/2)*(Inputs!$J$6-Inputs!$I$6)))/Inputs!$K$6)^2))*((2*Inputs!$L$6*((Inputs!$I$6+(((A166)+1)/2)*(Inputs!$J$6-Inputs!$I$6)))/(Inputs!$K$6^2)*Inputs!$C$11)))/(SQRT(((Inputs!$I$6+(((A166)+1)/2)*(Inputs!$J$6-Inputs!$I$6)))^2+Inputs!$C$6^2+((Inputs!$H$6+Inputs!$L$6*(((Inputs!$I$6+(((A166)+1)/2)*(Inputs!$J$6-Inputs!$I$6)))/Inputs!$K$6)^2))^2)))))/Inputs!$C$13)</x:f>
        <x:v>-165.68274139458043</x:v>
      </x:c>
      <x:c r="AM166" s="48" t="n">
        <x:f>(-2*((1000*((((Inputs!$I$7+(((A166)+1)/2)*(Inputs!$J$7-Inputs!$I$7)))*Inputs!$C$11+((Inputs!$H$7+Inputs!$L$7*(((Inputs!$I$7+(((A166)+1)/2)*(Inputs!$J$7-Inputs!$I$7)))/Inputs!$K$7)^2))*((2*Inputs!$L$7*((Inputs!$I$7+(((A166)+1)/2)*(Inputs!$J$7-Inputs!$I$7)))/(Inputs!$K$7^2)*Inputs!$C$11)))/(SQRT(((Inputs!$I$7+(((A166)+1)/2)*(Inputs!$J$7-Inputs!$I$7)))^2+Inputs!$C$6^2+((Inputs!$H$7+Inputs!$L$7*(((Inputs!$I$7+(((A166)+1)/2)*(Inputs!$J$7-Inputs!$I$7)))/Inputs!$K$7)^2))^2)))))/Inputs!$C$13)</x:f>
        <x:v>-1900.4337082558345</x:v>
      </x:c>
      <x:c r="AN166" s="48" t="n">
        <x:f>(-2*((1000*((((Inputs!$I$8+(((A166)+1)/2)*(Inputs!$J$8-Inputs!$I$8)))*Inputs!$C$11+((Inputs!$H$8+Inputs!$L$8*(((Inputs!$I$8+(((A166)+1)/2)*(Inputs!$J$8-Inputs!$I$8)))/Inputs!$K$8)^2))*((2*Inputs!$L$8*((Inputs!$I$8+(((A166)+1)/2)*(Inputs!$J$8-Inputs!$I$8)))/(Inputs!$K$8^2)*Inputs!$C$11)))/(SQRT(((Inputs!$I$8+(((A166)+1)/2)*(Inputs!$J$8-Inputs!$I$8)))^2+Inputs!$C$6^2+((Inputs!$H$8+Inputs!$L$8*(((Inputs!$I$8+(((A166)+1)/2)*(Inputs!$J$8-Inputs!$I$8)))/Inputs!$K$8)^2))^2)))))/Inputs!$C$13)</x:f>
        <x:v>-2083.098777246079</x:v>
      </x:c>
      <x:c r="AO166" s="48" t="n">
        <x:f>(-2*((1000*((((Inputs!$I$9+(((A166)+1)/2)*(Inputs!$J$9-Inputs!$I$9)))*Inputs!$C$11+((Inputs!$H$9+Inputs!$L$9*(((Inputs!$I$9+(((A166)+1)/2)*(Inputs!$J$9-Inputs!$I$9)))/Inputs!$K$9)^2))*((2*Inputs!$L$9*((Inputs!$I$9+(((A166)+1)/2)*(Inputs!$J$9-Inputs!$I$9)))/(Inputs!$K$9^2)*Inputs!$C$11)))/(SQRT(((Inputs!$I$9+(((A166)+1)/2)*(Inputs!$J$9-Inputs!$I$9)))^2+Inputs!$C$6^2+((Inputs!$H$9+Inputs!$L$9*(((Inputs!$I$9+(((A166)+1)/2)*(Inputs!$J$9-Inputs!$I$9)))/Inputs!$K$9)^2))^2)))))/Inputs!$C$13)</x:f>
        <x:v>-2079.094567485664</x:v>
      </x:c>
    </x:row>
    <x:row r="167">
      <x:c r="A167" s="48" t="n">
        <x:f>ROUND(-1+165*2/240,3)</x:f>
        <x:v>0.375</x:v>
      </x:c>
      <x:c r="B167" s="48" t="n">
        <x:f>IF(OR(Inputs!$F$6=TRUE,Inputs!$F$6="TRUE",Inputs!$F$6=1),(Inputs!$H$6+Inputs!$L$6*(((Inputs!$I$6+(((A167)+1)/2)*(Inputs!$J$6-Inputs!$I$6)))/Inputs!$K$6)^2),NA())</x:f>
        <x:v>400.5625</x:v>
      </x:c>
      <x:c r="C167" s="48" t="n">
        <x:f>IF(OR(Inputs!$F$7=TRUE,Inputs!$F$7="TRUE",Inputs!$F$7=1),(Inputs!$H$7+Inputs!$L$7*(((Inputs!$I$7+(((A167)+1)/2)*(Inputs!$J$7-Inputs!$I$7)))/Inputs!$K$7)^2),NA())</x:f>
        <x:v>86.328125</x:v>
      </x:c>
      <x:c r="D167" s="48" t="n">
        <x:f>IF(OR(Inputs!$F$8=TRUE,Inputs!$F$8="TRUE",Inputs!$F$8=1),(Inputs!$H$8+Inputs!$L$8*(((Inputs!$I$8+(((A167)+1)/2)*(Inputs!$J$8-Inputs!$I$8)))/Inputs!$K$8)^2),NA())</x:f>
        <x:v>170.703125</x:v>
      </x:c>
      <x:c r="E167" s="48" t="n">
        <x:f>IF(OR(Inputs!$F$9=TRUE,Inputs!$F$9="TRUE",Inputs!$F$9=1),(Inputs!$H$9+Inputs!$L$9*(((Inputs!$I$9+(((A167)+1)/2)*(Inputs!$J$9-Inputs!$I$9)))/Inputs!$K$9)^2),NA())</x:f>
        <x:v>162.109375</x:v>
      </x:c>
      <x:c r="F167" s="49"/>
      <x:c r="G167" s="48" t="n">
        <x:f>A167</x:f>
        <x:v>0.375</x:v>
      </x:c>
      <x:c r="H167" s="48" t="n">
        <x:f>IF(OR(Inputs!$F$6=TRUE,Inputs!$F$6="TRUE",Inputs!$F$6=1),(((SQRT(((Inputs!$I$6+(((A167)+1)/2)*(Inputs!$J$6-Inputs!$I$6)))^2+Inputs!$C$6^2+((Inputs!$H$6+Inputs!$L$6*(((Inputs!$I$6+(((A167)+1)/2)*(Inputs!$J$6-Inputs!$I$6)))/Inputs!$K$6)^2))^2))-((Inputs!$H$6+Inputs!$L$6*(((Inputs!$I$6+(((A167)+1)/2)*(Inputs!$J$6-Inputs!$I$6)))/Inputs!$K$6)^2)))*1000/Inputs!$C$12),NA())</x:f>
        <x:v>791.9081751687987</x:v>
      </x:c>
      <x:c r="I167" s="48" t="n">
        <x:f>IF(OR(Inputs!$F$7=TRUE,Inputs!$F$7="TRUE",Inputs!$F$7=1),(((SQRT(((Inputs!$I$7+(((A167)+1)/2)*(Inputs!$J$7-Inputs!$I$7)))^2+Inputs!$C$6^2+((Inputs!$H$7+Inputs!$L$7*(((Inputs!$I$7+(((A167)+1)/2)*(Inputs!$J$7-Inputs!$I$7)))/Inputs!$K$7)^2))^2))-((Inputs!$H$7+Inputs!$L$7*(((Inputs!$I$7+(((A167)+1)/2)*(Inputs!$J$7-Inputs!$I$7)))/Inputs!$K$7)^2)))*1000/Inputs!$C$12),NA())</x:f>
        <x:v>49739.45909855794</x:v>
      </x:c>
      <x:c r="J167" s="48" t="n">
        <x:f>IF(OR(Inputs!$F$8=TRUE,Inputs!$F$8="TRUE",Inputs!$F$8=1),(((SQRT(((Inputs!$I$8+(((A167)+1)/2)*(Inputs!$J$8-Inputs!$I$8)))^2+Inputs!$C$6^2+((Inputs!$H$8+Inputs!$L$8*(((Inputs!$I$8+(((A167)+1)/2)*(Inputs!$J$8-Inputs!$I$8)))/Inputs!$K$8)^2))^2))-((Inputs!$H$8+Inputs!$L$8*(((Inputs!$I$8+(((A167)+1)/2)*(Inputs!$J$8-Inputs!$I$8)))/Inputs!$K$8)^2)))*1000/Inputs!$C$12),NA())</x:f>
        <x:v>98520.80718816015</x:v>
      </x:c>
      <x:c r="K167" s="48" t="n">
        <x:f>IF(OR(Inputs!$F$9=TRUE,Inputs!$F$9="TRUE",Inputs!$F$9=1),(((SQRT(((Inputs!$I$9+(((A167)+1)/2)*(Inputs!$J$9-Inputs!$I$9)))^2+Inputs!$C$6^2+((Inputs!$H$9+Inputs!$L$9*(((Inputs!$I$9+(((A167)+1)/2)*(Inputs!$J$9-Inputs!$I$9)))/Inputs!$K$9)^2))^2))-((Inputs!$H$9+Inputs!$L$9*(((Inputs!$I$9+(((A167)+1)/2)*(Inputs!$J$9-Inputs!$I$9)))/Inputs!$K$9)^2)))*1000/Inputs!$C$12),NA())</x:f>
        <x:v>101013.23130719473</x:v>
      </x:c>
      <x:c r="L167" s="49"/>
      <x:c r="M167" s="48" t="n">
        <x:f>A167</x:f>
        <x:v>0.375</x:v>
      </x:c>
      <x:c r="N167" s="48" t="n">
        <x:f>IF(OR(Inputs!$F$6=TRUE,Inputs!$F$6="TRUE",Inputs!$F$6=1),(-2*((1000*((((Inputs!$I$6+(((A167)+1)/2)*(Inputs!$J$6-Inputs!$I$6)))*Inputs!$C$11+((Inputs!$H$6+Inputs!$L$6*(((Inputs!$I$6+(((A167)+1)/2)*(Inputs!$J$6-Inputs!$I$6)))/Inputs!$K$6)^2))*((2*Inputs!$L$6*((Inputs!$I$6+(((A167)+1)/2)*(Inputs!$J$6-Inputs!$I$6)))/(Inputs!$K$6^2)*Inputs!$C$11)))/(SQRT(((Inputs!$I$6+(((A167)+1)/2)*(Inputs!$J$6-Inputs!$I$6)))^2+Inputs!$C$6^2+((Inputs!$H$6+Inputs!$L$6*(((Inputs!$I$6+(((A167)+1)/2)*(Inputs!$J$6-Inputs!$I$6)))/Inputs!$K$6)^2))^2)))))/Inputs!$C$13),NA())</x:f>
        <x:v>-169.27791899911475</x:v>
      </x:c>
      <x:c r="O167" s="48" t="n">
        <x:f>IF(OR(Inputs!$F$7=TRUE,Inputs!$F$7="TRUE",Inputs!$F$7=1),(-2*((1000*((((Inputs!$I$7+(((A167)+1)/2)*(Inputs!$J$7-Inputs!$I$7)))*Inputs!$C$11+((Inputs!$H$7+Inputs!$L$7*(((Inputs!$I$7+(((A167)+1)/2)*(Inputs!$J$7-Inputs!$I$7)))/Inputs!$K$7)^2))*((2*Inputs!$L$7*((Inputs!$I$7+(((A167)+1)/2)*(Inputs!$J$7-Inputs!$I$7)))/(Inputs!$K$7^2)*Inputs!$C$11)))/(SQRT(((Inputs!$I$7+(((A167)+1)/2)*(Inputs!$J$7-Inputs!$I$7)))^2+Inputs!$C$6^2+((Inputs!$H$7+Inputs!$L$7*(((Inputs!$I$7+(((A167)+1)/2)*(Inputs!$J$7-Inputs!$I$7)))/Inputs!$K$7)^2))^2)))))/Inputs!$C$13),NA())</x:f>
        <x:v>-1913.0787581584004</x:v>
      </x:c>
      <x:c r="P167" s="48" t="n">
        <x:f>IF(OR(Inputs!$F$8=TRUE,Inputs!$F$8="TRUE",Inputs!$F$8=1),(-2*((1000*((((Inputs!$I$8+(((A167)+1)/2)*(Inputs!$J$8-Inputs!$I$8)))*Inputs!$C$11+((Inputs!$H$8+Inputs!$L$8*(((Inputs!$I$8+(((A167)+1)/2)*(Inputs!$J$8-Inputs!$I$8)))/Inputs!$K$8)^2))*((2*Inputs!$L$8*((Inputs!$I$8+(((A167)+1)/2)*(Inputs!$J$8-Inputs!$I$8)))/(Inputs!$K$8^2)*Inputs!$C$11)))/(SQRT(((Inputs!$I$8+(((A167)+1)/2)*(Inputs!$J$8-Inputs!$I$8)))^2+Inputs!$C$6^2+((Inputs!$H$8+Inputs!$L$8*(((Inputs!$I$8+(((A167)+1)/2)*(Inputs!$J$8-Inputs!$I$8)))/Inputs!$K$8)^2))^2)))))/Inputs!$C$13),NA())</x:f>
        <x:v>-2100.998160795966</x:v>
      </x:c>
      <x:c r="Q167" s="48" t="n">
        <x:f>IF(OR(Inputs!$F$9=TRUE,Inputs!$F$9="TRUE",Inputs!$F$9=1),(-2*((1000*((((Inputs!$I$9+(((A167)+1)/2)*(Inputs!$J$9-Inputs!$I$9)))*Inputs!$C$11+((Inputs!$H$9+Inputs!$L$9*(((Inputs!$I$9+(((A167)+1)/2)*(Inputs!$J$9-Inputs!$I$9)))/Inputs!$K$9)^2))*((2*Inputs!$L$9*((Inputs!$I$9+(((A167)+1)/2)*(Inputs!$J$9-Inputs!$I$9)))/(Inputs!$K$9^2)*Inputs!$C$11)))/(SQRT(((Inputs!$I$9+(((A167)+1)/2)*(Inputs!$J$9-Inputs!$I$9)))^2+Inputs!$C$6^2+((Inputs!$H$9+Inputs!$L$9*(((Inputs!$I$9+(((A167)+1)/2)*(Inputs!$J$9-Inputs!$I$9)))/Inputs!$K$9)^2))^2)))))/Inputs!$C$13),NA())</x:f>
        <x:v>-2097.2736181760724</x:v>
      </x:c>
      <x:c r="R167" s="49"/>
      <x:c r="S167" s="48" t="n">
        <x:f>A167</x:f>
        <x:v>0.375</x:v>
      </x:c>
      <x:c r="T167" s="48" t="n">
        <x:f>(Inputs!$I$6+(((A167)+1)/2)*(Inputs!$J$6-Inputs!$I$6))</x:f>
        <x:v>22.5</x:v>
      </x:c>
      <x:c r="U167" s="48" t="n">
        <x:f>(Inputs!$I$7+(((A167)+1)/2)*(Inputs!$J$7-Inputs!$I$7))</x:f>
        <x:v>150</x:v>
      </x:c>
      <x:c r="V167" s="48" t="n">
        <x:f>(Inputs!$I$8+(((A167)+1)/2)*(Inputs!$J$8-Inputs!$I$8))</x:f>
        <x:v>300</x:v>
      </x:c>
      <x:c r="W167" s="48" t="n">
        <x:f>(Inputs!$I$9+(((A167)+1)/2)*(Inputs!$J$9-Inputs!$I$9))</x:f>
        <x:v>300</x:v>
      </x:c>
      <x:c r="X167" s="49"/>
      <x:c r="Y167" s="48" t="n">
        <x:f>A167</x:f>
        <x:v>0.375</x:v>
      </x:c>
      <x:c r="Z167" s="48" t="n">
        <x:f>(Inputs!$H$6+Inputs!$L$6*(((Inputs!$I$6+(((A167)+1)/2)*(Inputs!$J$6-Inputs!$I$6)))/Inputs!$K$6)^2)</x:f>
        <x:v>400.5625</x:v>
      </x:c>
      <x:c r="AA167" s="48" t="n">
        <x:f>(Inputs!$H$7+Inputs!$L$7*(((Inputs!$I$7+(((A167)+1)/2)*(Inputs!$J$7-Inputs!$I$7)))/Inputs!$K$7)^2)</x:f>
        <x:v>86.328125</x:v>
      </x:c>
      <x:c r="AB167" s="48" t="n">
        <x:f>(Inputs!$H$8+Inputs!$L$8*(((Inputs!$I$8+(((A167)+1)/2)*(Inputs!$J$8-Inputs!$I$8)))/Inputs!$K$8)^2)</x:f>
        <x:v>170.703125</x:v>
      </x:c>
      <x:c r="AC167" s="48" t="n">
        <x:f>(Inputs!$H$9+Inputs!$L$9*(((Inputs!$I$9+(((A167)+1)/2)*(Inputs!$J$9-Inputs!$I$9)))/Inputs!$K$9)^2)</x:f>
        <x:v>162.109375</x:v>
      </x:c>
      <x:c r="AD167" s="49"/>
      <x:c r="AE167" s="48" t="n">
        <x:f>A167</x:f>
        <x:v>0.375</x:v>
      </x:c>
      <x:c r="AF167" s="48" t="n">
        <x:f>(((SQRT(((Inputs!$I$6+(((A167)+1)/2)*(Inputs!$J$6-Inputs!$I$6)))^2+Inputs!$C$6^2+((Inputs!$H$6+Inputs!$L$6*(((Inputs!$I$6+(((A167)+1)/2)*(Inputs!$J$6-Inputs!$I$6)))/Inputs!$K$6)^2))^2))-((Inputs!$H$6+Inputs!$L$6*(((Inputs!$I$6+(((A167)+1)/2)*(Inputs!$J$6-Inputs!$I$6)))/Inputs!$K$6)^2)))*1000/Inputs!$C$12)</x:f>
        <x:v>791.9081751687987</x:v>
      </x:c>
      <x:c r="AG167" s="48" t="n">
        <x:f>(((SQRT(((Inputs!$I$7+(((A167)+1)/2)*(Inputs!$J$7-Inputs!$I$7)))^2+Inputs!$C$6^2+((Inputs!$H$7+Inputs!$L$7*(((Inputs!$I$7+(((A167)+1)/2)*(Inputs!$J$7-Inputs!$I$7)))/Inputs!$K$7)^2))^2))-((Inputs!$H$7+Inputs!$L$7*(((Inputs!$I$7+(((A167)+1)/2)*(Inputs!$J$7-Inputs!$I$7)))/Inputs!$K$7)^2)))*1000/Inputs!$C$12)</x:f>
        <x:v>49739.45909855794</x:v>
      </x:c>
      <x:c r="AH167" s="48" t="n">
        <x:f>(((SQRT(((Inputs!$I$8+(((A167)+1)/2)*(Inputs!$J$8-Inputs!$I$8)))^2+Inputs!$C$6^2+((Inputs!$H$8+Inputs!$L$8*(((Inputs!$I$8+(((A167)+1)/2)*(Inputs!$J$8-Inputs!$I$8)))/Inputs!$K$8)^2))^2))-((Inputs!$H$8+Inputs!$L$8*(((Inputs!$I$8+(((A167)+1)/2)*(Inputs!$J$8-Inputs!$I$8)))/Inputs!$K$8)^2)))*1000/Inputs!$C$12)</x:f>
        <x:v>98520.80718816015</x:v>
      </x:c>
      <x:c r="AI167" s="48" t="n">
        <x:f>(((SQRT(((Inputs!$I$9+(((A167)+1)/2)*(Inputs!$J$9-Inputs!$I$9)))^2+Inputs!$C$6^2+((Inputs!$H$9+Inputs!$L$9*(((Inputs!$I$9+(((A167)+1)/2)*(Inputs!$J$9-Inputs!$I$9)))/Inputs!$K$9)^2))^2))-((Inputs!$H$9+Inputs!$L$9*(((Inputs!$I$9+(((A167)+1)/2)*(Inputs!$J$9-Inputs!$I$9)))/Inputs!$K$9)^2)))*1000/Inputs!$C$12)</x:f>
        <x:v>101013.23130719473</x:v>
      </x:c>
      <x:c r="AJ167" s="49"/>
      <x:c r="AK167" s="48" t="n">
        <x:f>A167</x:f>
        <x:v>0.375</x:v>
      </x:c>
      <x:c r="AL167" s="48" t="n">
        <x:f>(-2*((1000*((((Inputs!$I$6+(((A167)+1)/2)*(Inputs!$J$6-Inputs!$I$6)))*Inputs!$C$11+((Inputs!$H$6+Inputs!$L$6*(((Inputs!$I$6+(((A167)+1)/2)*(Inputs!$J$6-Inputs!$I$6)))/Inputs!$K$6)^2))*((2*Inputs!$L$6*((Inputs!$I$6+(((A167)+1)/2)*(Inputs!$J$6-Inputs!$I$6)))/(Inputs!$K$6^2)*Inputs!$C$11)))/(SQRT(((Inputs!$I$6+(((A167)+1)/2)*(Inputs!$J$6-Inputs!$I$6)))^2+Inputs!$C$6^2+((Inputs!$H$6+Inputs!$L$6*(((Inputs!$I$6+(((A167)+1)/2)*(Inputs!$J$6-Inputs!$I$6)))/Inputs!$K$6)^2))^2)))))/Inputs!$C$13)</x:f>
        <x:v>-169.27791899911475</x:v>
      </x:c>
      <x:c r="AM167" s="48" t="n">
        <x:f>(-2*((1000*((((Inputs!$I$7+(((A167)+1)/2)*(Inputs!$J$7-Inputs!$I$7)))*Inputs!$C$11+((Inputs!$H$7+Inputs!$L$7*(((Inputs!$I$7+(((A167)+1)/2)*(Inputs!$J$7-Inputs!$I$7)))/Inputs!$K$7)^2))*((2*Inputs!$L$7*((Inputs!$I$7+(((A167)+1)/2)*(Inputs!$J$7-Inputs!$I$7)))/(Inputs!$K$7^2)*Inputs!$C$11)))/(SQRT(((Inputs!$I$7+(((A167)+1)/2)*(Inputs!$J$7-Inputs!$I$7)))^2+Inputs!$C$6^2+((Inputs!$H$7+Inputs!$L$7*(((Inputs!$I$7+(((A167)+1)/2)*(Inputs!$J$7-Inputs!$I$7)))/Inputs!$K$7)^2))^2)))))/Inputs!$C$13)</x:f>
        <x:v>-1913.0787581584004</x:v>
      </x:c>
      <x:c r="AN167" s="48" t="n">
        <x:f>(-2*((1000*((((Inputs!$I$8+(((A167)+1)/2)*(Inputs!$J$8-Inputs!$I$8)))*Inputs!$C$11+((Inputs!$H$8+Inputs!$L$8*(((Inputs!$I$8+(((A167)+1)/2)*(Inputs!$J$8-Inputs!$I$8)))/Inputs!$K$8)^2))*((2*Inputs!$L$8*((Inputs!$I$8+(((A167)+1)/2)*(Inputs!$J$8-Inputs!$I$8)))/(Inputs!$K$8^2)*Inputs!$C$11)))/(SQRT(((Inputs!$I$8+(((A167)+1)/2)*(Inputs!$J$8-Inputs!$I$8)))^2+Inputs!$C$6^2+((Inputs!$H$8+Inputs!$L$8*(((Inputs!$I$8+(((A167)+1)/2)*(Inputs!$J$8-Inputs!$I$8)))/Inputs!$K$8)^2))^2)))))/Inputs!$C$13)</x:f>
        <x:v>-2100.998160795966</x:v>
      </x:c>
      <x:c r="AO167" s="48" t="n">
        <x:f>(-2*((1000*((((Inputs!$I$9+(((A167)+1)/2)*(Inputs!$J$9-Inputs!$I$9)))*Inputs!$C$11+((Inputs!$H$9+Inputs!$L$9*(((Inputs!$I$9+(((A167)+1)/2)*(Inputs!$J$9-Inputs!$I$9)))/Inputs!$K$9)^2))*((2*Inputs!$L$9*((Inputs!$I$9+(((A167)+1)/2)*(Inputs!$J$9-Inputs!$I$9)))/(Inputs!$K$9^2)*Inputs!$C$11)))/(SQRT(((Inputs!$I$9+(((A167)+1)/2)*(Inputs!$J$9-Inputs!$I$9)))^2+Inputs!$C$6^2+((Inputs!$H$9+Inputs!$L$9*(((Inputs!$I$9+(((A167)+1)/2)*(Inputs!$J$9-Inputs!$I$9)))/Inputs!$K$9)^2))^2)))))/Inputs!$C$13)</x:f>
        <x:v>-2097.2736181760724</x:v>
      </x:c>
    </x:row>
    <x:row r="168">
      <x:c r="A168" s="48" t="n">
        <x:f>ROUND(-1+166*2/240,3)</x:f>
        <x:v>0.383</x:v>
      </x:c>
      <x:c r="B168" s="48" t="n">
        <x:f>IF(OR(Inputs!$F$6=TRUE,Inputs!$F$6="TRUE",Inputs!$F$6=1),(Inputs!$H$6+Inputs!$L$6*(((Inputs!$I$6+(((A168)+1)/2)*(Inputs!$J$6-Inputs!$I$6)))/Inputs!$K$6)^2),NA())</x:f>
        <x:v>400.586756</x:v>
      </x:c>
      <x:c r="C168" s="48" t="n">
        <x:f>IF(OR(Inputs!$F$7=TRUE,Inputs!$F$7="TRUE",Inputs!$F$7=1),(Inputs!$H$7+Inputs!$L$7*(((Inputs!$I$7+(((A168)+1)/2)*(Inputs!$J$7-Inputs!$I$7)))/Inputs!$K$7)^2),NA())</x:f>
        <x:v>88.54148500000004</x:v>
      </x:c>
      <x:c r="D168" s="48" t="n">
        <x:f>IF(OR(Inputs!$F$8=TRUE,Inputs!$F$8="TRUE",Inputs!$F$8=1),(Inputs!$H$8+Inputs!$L$8*(((Inputs!$I$8+(((A168)+1)/2)*(Inputs!$J$8-Inputs!$I$8)))/Inputs!$K$8)^2),NA())</x:f>
        <x:v>176.5548850000001</x:v>
      </x:c>
      <x:c r="E168" s="48" t="n">
        <x:f>IF(OR(Inputs!$F$9=TRUE,Inputs!$F$9="TRUE",Inputs!$F$9=1),(Inputs!$H$9+Inputs!$L$9*(((Inputs!$I$9+(((A168)+1)/2)*(Inputs!$J$9-Inputs!$I$9)))/Inputs!$K$9)^2),NA())</x:f>
        <x:v>168.0217750000001</x:v>
      </x:c>
      <x:c r="F168" s="49"/>
      <x:c r="G168" s="48" t="n">
        <x:f>A168</x:f>
        <x:v>0.383</x:v>
      </x:c>
      <x:c r="H168" s="48" t="n">
        <x:f>IF(OR(Inputs!$F$6=TRUE,Inputs!$F$6="TRUE",Inputs!$F$6=1),(((SQRT(((Inputs!$I$6+(((A168)+1)/2)*(Inputs!$J$6-Inputs!$I$6)))^2+Inputs!$C$6^2+((Inputs!$H$6+Inputs!$L$6*(((Inputs!$I$6+(((A168)+1)/2)*(Inputs!$J$6-Inputs!$I$6)))/Inputs!$K$6)^2))^2))-((Inputs!$H$6+Inputs!$L$6*(((Inputs!$I$6+(((A168)+1)/2)*(Inputs!$J$6-Inputs!$I$6)))/Inputs!$K$6)^2)))*1000/Inputs!$C$12),NA())</x:f>
        <x:v>807.1140855767471</x:v>
      </x:c>
      <x:c r="I168" s="48" t="n">
        <x:f>IF(OR(Inputs!$F$7=TRUE,Inputs!$F$7="TRUE",Inputs!$F$7=1),(((SQRT(((Inputs!$I$7+(((A168)+1)/2)*(Inputs!$J$7-Inputs!$I$7)))^2+Inputs!$C$6^2+((Inputs!$H$7+Inputs!$L$7*(((Inputs!$I$7+(((A168)+1)/2)*(Inputs!$J$7-Inputs!$I$7)))/Inputs!$K$7)^2))^2))-((Inputs!$H$7+Inputs!$L$7*(((Inputs!$I$7+(((A168)+1)/2)*(Inputs!$J$7-Inputs!$I$7)))/Inputs!$K$7)^2)))*1000/Inputs!$C$12),NA())</x:f>
        <x:v>50652.65025299689</x:v>
      </x:c>
      <x:c r="J168" s="48" t="n">
        <x:f>IF(OR(Inputs!$F$8=TRUE,Inputs!$F$8="TRUE",Inputs!$F$8=1),(((SQRT(((Inputs!$I$8+(((A168)+1)/2)*(Inputs!$J$8-Inputs!$I$8)))^2+Inputs!$C$6^2+((Inputs!$H$8+Inputs!$L$8*(((Inputs!$I$8+(((A168)+1)/2)*(Inputs!$J$8-Inputs!$I$8)))/Inputs!$K$8)^2))^2))-((Inputs!$H$8+Inputs!$L$8*(((Inputs!$I$8+(((A168)+1)/2)*(Inputs!$J$8-Inputs!$I$8)))/Inputs!$K$8)^2)))*1000/Inputs!$C$12),NA())</x:f>
        <x:v>99974.97967168925</x:v>
      </x:c>
      <x:c r="K168" s="48" t="n">
        <x:f>IF(OR(Inputs!$F$9=TRUE,Inputs!$F$9="TRUE",Inputs!$F$9=1),(((SQRT(((Inputs!$I$9+(((A168)+1)/2)*(Inputs!$J$9-Inputs!$I$9)))^2+Inputs!$C$6^2+((Inputs!$H$9+Inputs!$L$9*(((Inputs!$I$9+(((A168)+1)/2)*(Inputs!$J$9-Inputs!$I$9)))/Inputs!$K$9)^2))^2))-((Inputs!$H$9+Inputs!$L$9*(((Inputs!$I$9+(((A168)+1)/2)*(Inputs!$J$9-Inputs!$I$9)))/Inputs!$K$9)^2)))*1000/Inputs!$C$12),NA())</x:f>
        <x:v>102425.29661853187</x:v>
      </x:c>
      <x:c r="L168" s="49"/>
      <x:c r="M168" s="48" t="n">
        <x:f>A168</x:f>
        <x:v>0.383</x:v>
      </x:c>
      <x:c r="N168" s="48" t="n">
        <x:f>IF(OR(Inputs!$F$6=TRUE,Inputs!$F$6="TRUE",Inputs!$F$6=1),(-2*((1000*((((Inputs!$I$6+(((A168)+1)/2)*(Inputs!$J$6-Inputs!$I$6)))*Inputs!$C$11+((Inputs!$H$6+Inputs!$L$6*(((Inputs!$I$6+(((A168)+1)/2)*(Inputs!$J$6-Inputs!$I$6)))/Inputs!$K$6)^2))*((2*Inputs!$L$6*((Inputs!$I$6+(((A168)+1)/2)*(Inputs!$J$6-Inputs!$I$6)))/(Inputs!$K$6^2)*Inputs!$C$11)))/(SQRT(((Inputs!$I$6+(((A168)+1)/2)*(Inputs!$J$6-Inputs!$I$6)))^2+Inputs!$C$6^2+((Inputs!$H$6+Inputs!$L$6*(((Inputs!$I$6+(((A168)+1)/2)*(Inputs!$J$6-Inputs!$I$6)))/Inputs!$K$6)^2))^2)))))/Inputs!$C$13),NA())</x:f>
        <x:v>-172.87203990240704</x:v>
      </x:c>
      <x:c r="O168" s="48" t="n">
        <x:f>IF(OR(Inputs!$F$7=TRUE,Inputs!$F$7="TRUE",Inputs!$F$7=1),(-2*((1000*((((Inputs!$I$7+(((A168)+1)/2)*(Inputs!$J$7-Inputs!$I$7)))*Inputs!$C$11+((Inputs!$H$7+Inputs!$L$7*(((Inputs!$I$7+(((A168)+1)/2)*(Inputs!$J$7-Inputs!$I$7)))/Inputs!$K$7)^2))*((2*Inputs!$L$7*((Inputs!$I$7+(((A168)+1)/2)*(Inputs!$J$7-Inputs!$I$7)))/(Inputs!$K$7^2)*Inputs!$C$11)))/(SQRT(((Inputs!$I$7+(((A168)+1)/2)*(Inputs!$J$7-Inputs!$I$7)))^2+Inputs!$C$6^2+((Inputs!$H$7+Inputs!$L$7*(((Inputs!$I$7+(((A168)+1)/2)*(Inputs!$J$7-Inputs!$I$7)))/Inputs!$K$7)^2))^2)))))/Inputs!$C$13),NA())</x:f>
        <x:v>-1925.7699383436873</x:v>
      </x:c>
      <x:c r="P168" s="48" t="n">
        <x:f>IF(OR(Inputs!$F$8=TRUE,Inputs!$F$8="TRUE",Inputs!$F$8=1),(-2*((1000*((((Inputs!$I$8+(((A168)+1)/2)*(Inputs!$J$8-Inputs!$I$8)))*Inputs!$C$11+((Inputs!$H$8+Inputs!$L$8*(((Inputs!$I$8+(((A168)+1)/2)*(Inputs!$J$8-Inputs!$I$8)))/Inputs!$K$8)^2))*((2*Inputs!$L$8*((Inputs!$I$8+(((A168)+1)/2)*(Inputs!$J$8-Inputs!$I$8)))/(Inputs!$K$8^2)*Inputs!$C$11)))/(SQRT(((Inputs!$I$8+(((A168)+1)/2)*(Inputs!$J$8-Inputs!$I$8)))^2+Inputs!$C$6^2+((Inputs!$H$8+Inputs!$L$8*(((Inputs!$I$8+(((A168)+1)/2)*(Inputs!$J$8-Inputs!$I$8)))/Inputs!$K$8)^2))^2)))))/Inputs!$C$13),NA())</x:f>
        <x:v>-2119.1347823728947</x:v>
      </x:c>
      <x:c r="Q168" s="48" t="n">
        <x:f>IF(OR(Inputs!$F$9=TRUE,Inputs!$F$9="TRUE",Inputs!$F$9=1),(-2*((1000*((((Inputs!$I$9+(((A168)+1)/2)*(Inputs!$J$9-Inputs!$I$9)))*Inputs!$C$11+((Inputs!$H$9+Inputs!$L$9*(((Inputs!$I$9+(((A168)+1)/2)*(Inputs!$J$9-Inputs!$I$9)))/Inputs!$K$9)^2))*((2*Inputs!$L$9*((Inputs!$I$9+(((A168)+1)/2)*(Inputs!$J$9-Inputs!$I$9)))/(Inputs!$K$9^2)*Inputs!$C$11)))/(SQRT(((Inputs!$I$9+(((A168)+1)/2)*(Inputs!$J$9-Inputs!$I$9)))^2+Inputs!$C$6^2+((Inputs!$H$9+Inputs!$L$9*(((Inputs!$I$9+(((A168)+1)/2)*(Inputs!$J$9-Inputs!$I$9)))/Inputs!$K$9)^2))^2)))))/Inputs!$C$13),NA())</x:f>
        <x:v>-2115.706621734752</x:v>
      </x:c>
      <x:c r="R168" s="49"/>
      <x:c r="S168" s="48" t="n">
        <x:f>A168</x:f>
        <x:v>0.383</x:v>
      </x:c>
      <x:c r="T168" s="48" t="n">
        <x:f>(Inputs!$I$6+(((A168)+1)/2)*(Inputs!$J$6-Inputs!$I$6))</x:f>
        <x:v>22.980000000000004</x:v>
      </x:c>
      <x:c r="U168" s="48" t="n">
        <x:f>(Inputs!$I$7+(((A168)+1)/2)*(Inputs!$J$7-Inputs!$I$7))</x:f>
        <x:v>153.20000000000005</x:v>
      </x:c>
      <x:c r="V168" s="48" t="n">
        <x:f>(Inputs!$I$8+(((A168)+1)/2)*(Inputs!$J$8-Inputs!$I$8))</x:f>
        <x:v>306.4000000000001</x:v>
      </x:c>
      <x:c r="W168" s="48" t="n">
        <x:f>(Inputs!$I$9+(((A168)+1)/2)*(Inputs!$J$9-Inputs!$I$9))</x:f>
        <x:v>306.4000000000001</x:v>
      </x:c>
      <x:c r="X168" s="49"/>
      <x:c r="Y168" s="48" t="n">
        <x:f>A168</x:f>
        <x:v>0.383</x:v>
      </x:c>
      <x:c r="Z168" s="48" t="n">
        <x:f>(Inputs!$H$6+Inputs!$L$6*(((Inputs!$I$6+(((A168)+1)/2)*(Inputs!$J$6-Inputs!$I$6)))/Inputs!$K$6)^2)</x:f>
        <x:v>400.586756</x:v>
      </x:c>
      <x:c r="AA168" s="48" t="n">
        <x:f>(Inputs!$H$7+Inputs!$L$7*(((Inputs!$I$7+(((A168)+1)/2)*(Inputs!$J$7-Inputs!$I$7)))/Inputs!$K$7)^2)</x:f>
        <x:v>88.54148500000004</x:v>
      </x:c>
      <x:c r="AB168" s="48" t="n">
        <x:f>(Inputs!$H$8+Inputs!$L$8*(((Inputs!$I$8+(((A168)+1)/2)*(Inputs!$J$8-Inputs!$I$8)))/Inputs!$K$8)^2)</x:f>
        <x:v>176.5548850000001</x:v>
      </x:c>
      <x:c r="AC168" s="48" t="n">
        <x:f>(Inputs!$H$9+Inputs!$L$9*(((Inputs!$I$9+(((A168)+1)/2)*(Inputs!$J$9-Inputs!$I$9)))/Inputs!$K$9)^2)</x:f>
        <x:v>168.0217750000001</x:v>
      </x:c>
      <x:c r="AD168" s="49"/>
      <x:c r="AE168" s="48" t="n">
        <x:f>A168</x:f>
        <x:v>0.383</x:v>
      </x:c>
      <x:c r="AF168" s="48" t="n">
        <x:f>(((SQRT(((Inputs!$I$6+(((A168)+1)/2)*(Inputs!$J$6-Inputs!$I$6)))^2+Inputs!$C$6^2+((Inputs!$H$6+Inputs!$L$6*(((Inputs!$I$6+(((A168)+1)/2)*(Inputs!$J$6-Inputs!$I$6)))/Inputs!$K$6)^2))^2))-((Inputs!$H$6+Inputs!$L$6*(((Inputs!$I$6+(((A168)+1)/2)*(Inputs!$J$6-Inputs!$I$6)))/Inputs!$K$6)^2)))*1000/Inputs!$C$12)</x:f>
        <x:v>807.1140855767471</x:v>
      </x:c>
      <x:c r="AG168" s="48" t="n">
        <x:f>(((SQRT(((Inputs!$I$7+(((A168)+1)/2)*(Inputs!$J$7-Inputs!$I$7)))^2+Inputs!$C$6^2+((Inputs!$H$7+Inputs!$L$7*(((Inputs!$I$7+(((A168)+1)/2)*(Inputs!$J$7-Inputs!$I$7)))/Inputs!$K$7)^2))^2))-((Inputs!$H$7+Inputs!$L$7*(((Inputs!$I$7+(((A168)+1)/2)*(Inputs!$J$7-Inputs!$I$7)))/Inputs!$K$7)^2)))*1000/Inputs!$C$12)</x:f>
        <x:v>50652.65025299689</x:v>
      </x:c>
      <x:c r="AH168" s="48" t="n">
        <x:f>(((SQRT(((Inputs!$I$8+(((A168)+1)/2)*(Inputs!$J$8-Inputs!$I$8)))^2+Inputs!$C$6^2+((Inputs!$H$8+Inputs!$L$8*(((Inputs!$I$8+(((A168)+1)/2)*(Inputs!$J$8-Inputs!$I$8)))/Inputs!$K$8)^2))^2))-((Inputs!$H$8+Inputs!$L$8*(((Inputs!$I$8+(((A168)+1)/2)*(Inputs!$J$8-Inputs!$I$8)))/Inputs!$K$8)^2)))*1000/Inputs!$C$12)</x:f>
        <x:v>99974.97967168925</x:v>
      </x:c>
      <x:c r="AI168" s="48" t="n">
        <x:f>(((SQRT(((Inputs!$I$9+(((A168)+1)/2)*(Inputs!$J$9-Inputs!$I$9)))^2+Inputs!$C$6^2+((Inputs!$H$9+Inputs!$L$9*(((Inputs!$I$9+(((A168)+1)/2)*(Inputs!$J$9-Inputs!$I$9)))/Inputs!$K$9)^2))^2))-((Inputs!$H$9+Inputs!$L$9*(((Inputs!$I$9+(((A168)+1)/2)*(Inputs!$J$9-Inputs!$I$9)))/Inputs!$K$9)^2)))*1000/Inputs!$C$12)</x:f>
        <x:v>102425.29661853187</x:v>
      </x:c>
      <x:c r="AJ168" s="49"/>
      <x:c r="AK168" s="48" t="n">
        <x:f>A168</x:f>
        <x:v>0.383</x:v>
      </x:c>
      <x:c r="AL168" s="48" t="n">
        <x:f>(-2*((1000*((((Inputs!$I$6+(((A168)+1)/2)*(Inputs!$J$6-Inputs!$I$6)))*Inputs!$C$11+((Inputs!$H$6+Inputs!$L$6*(((Inputs!$I$6+(((A168)+1)/2)*(Inputs!$J$6-Inputs!$I$6)))/Inputs!$K$6)^2))*((2*Inputs!$L$6*((Inputs!$I$6+(((A168)+1)/2)*(Inputs!$J$6-Inputs!$I$6)))/(Inputs!$K$6^2)*Inputs!$C$11)))/(SQRT(((Inputs!$I$6+(((A168)+1)/2)*(Inputs!$J$6-Inputs!$I$6)))^2+Inputs!$C$6^2+((Inputs!$H$6+Inputs!$L$6*(((Inputs!$I$6+(((A168)+1)/2)*(Inputs!$J$6-Inputs!$I$6)))/Inputs!$K$6)^2))^2)))))/Inputs!$C$13)</x:f>
        <x:v>-172.87203990240704</x:v>
      </x:c>
      <x:c r="AM168" s="48" t="n">
        <x:f>(-2*((1000*((((Inputs!$I$7+(((A168)+1)/2)*(Inputs!$J$7-Inputs!$I$7)))*Inputs!$C$11+((Inputs!$H$7+Inputs!$L$7*(((Inputs!$I$7+(((A168)+1)/2)*(Inputs!$J$7-Inputs!$I$7)))/Inputs!$K$7)^2))*((2*Inputs!$L$7*((Inputs!$I$7+(((A168)+1)/2)*(Inputs!$J$7-Inputs!$I$7)))/(Inputs!$K$7^2)*Inputs!$C$11)))/(SQRT(((Inputs!$I$7+(((A168)+1)/2)*(Inputs!$J$7-Inputs!$I$7)))^2+Inputs!$C$6^2+((Inputs!$H$7+Inputs!$L$7*(((Inputs!$I$7+(((A168)+1)/2)*(Inputs!$J$7-Inputs!$I$7)))/Inputs!$K$7)^2))^2)))))/Inputs!$C$13)</x:f>
        <x:v>-1925.7699383436873</x:v>
      </x:c>
      <x:c r="AN168" s="48" t="n">
        <x:f>(-2*((1000*((((Inputs!$I$8+(((A168)+1)/2)*(Inputs!$J$8-Inputs!$I$8)))*Inputs!$C$11+((Inputs!$H$8+Inputs!$L$8*(((Inputs!$I$8+(((A168)+1)/2)*(Inputs!$J$8-Inputs!$I$8)))/Inputs!$K$8)^2))*((2*Inputs!$L$8*((Inputs!$I$8+(((A168)+1)/2)*(Inputs!$J$8-Inputs!$I$8)))/(Inputs!$K$8^2)*Inputs!$C$11)))/(SQRT(((Inputs!$I$8+(((A168)+1)/2)*(Inputs!$J$8-Inputs!$I$8)))^2+Inputs!$C$6^2+((Inputs!$H$8+Inputs!$L$8*(((Inputs!$I$8+(((A168)+1)/2)*(Inputs!$J$8-Inputs!$I$8)))/Inputs!$K$8)^2))^2)))))/Inputs!$C$13)</x:f>
        <x:v>-2119.1347823728947</x:v>
      </x:c>
      <x:c r="AO168" s="48" t="n">
        <x:f>(-2*((1000*((((Inputs!$I$9+(((A168)+1)/2)*(Inputs!$J$9-Inputs!$I$9)))*Inputs!$C$11+((Inputs!$H$9+Inputs!$L$9*(((Inputs!$I$9+(((A168)+1)/2)*(Inputs!$J$9-Inputs!$I$9)))/Inputs!$K$9)^2))*((2*Inputs!$L$9*((Inputs!$I$9+(((A168)+1)/2)*(Inputs!$J$9-Inputs!$I$9)))/(Inputs!$K$9^2)*Inputs!$C$11)))/(SQRT(((Inputs!$I$9+(((A168)+1)/2)*(Inputs!$J$9-Inputs!$I$9)))^2+Inputs!$C$6^2+((Inputs!$H$9+Inputs!$L$9*(((Inputs!$I$9+(((A168)+1)/2)*(Inputs!$J$9-Inputs!$I$9)))/Inputs!$K$9)^2))^2)))))/Inputs!$C$13)</x:f>
        <x:v>-2115.706621734752</x:v>
      </x:c>
    </x:row>
    <x:row r="169">
      <x:c r="A169" s="48" t="n">
        <x:f>ROUND(-1+167*2/240,3)</x:f>
        <x:v>0.392</x:v>
      </x:c>
      <x:c r="B169" s="48" t="n">
        <x:f>IF(OR(Inputs!$F$6=TRUE,Inputs!$F$6="TRUE",Inputs!$F$6=1),(Inputs!$H$6+Inputs!$L$6*(((Inputs!$I$6+(((A169)+1)/2)*(Inputs!$J$6-Inputs!$I$6)))/Inputs!$K$6)^2),NA())</x:f>
        <x:v>400.614656</x:v>
      </x:c>
      <x:c r="C169" s="48" t="n">
        <x:f>IF(OR(Inputs!$F$7=TRUE,Inputs!$F$7="TRUE",Inputs!$F$7=1),(Inputs!$H$7+Inputs!$L$7*(((Inputs!$I$7+(((A169)+1)/2)*(Inputs!$J$7-Inputs!$I$7)))/Inputs!$K$7)^2),NA())</x:f>
        <x:v>91.08735999999996</x:v>
      </x:c>
      <x:c r="D169" s="48" t="n">
        <x:f>IF(OR(Inputs!$F$8=TRUE,Inputs!$F$8="TRUE",Inputs!$F$8=1),(Inputs!$H$8+Inputs!$L$8*(((Inputs!$I$8+(((A169)+1)/2)*(Inputs!$J$8-Inputs!$I$8)))/Inputs!$K$8)^2),NA())</x:f>
        <x:v>183.28575999999993</x:v>
      </x:c>
      <x:c r="E169" s="48" t="n">
        <x:f>IF(OR(Inputs!$F$9=TRUE,Inputs!$F$9="TRUE",Inputs!$F$9=1),(Inputs!$H$9+Inputs!$L$9*(((Inputs!$I$9+(((A169)+1)/2)*(Inputs!$J$9-Inputs!$I$9)))/Inputs!$K$9)^2),NA())</x:f>
        <x:v>174.8223999999999</x:v>
      </x:c>
      <x:c r="F169" s="49"/>
      <x:c r="G169" s="48" t="n">
        <x:f>A169</x:f>
        <x:v>0.392</x:v>
      </x:c>
      <x:c r="H169" s="48" t="n">
        <x:f>IF(OR(Inputs!$F$6=TRUE,Inputs!$F$6="TRUE",Inputs!$F$6=1),(((SQRT(((Inputs!$I$6+(((A169)+1)/2)*(Inputs!$J$6-Inputs!$I$6)))^2+Inputs!$C$6^2+((Inputs!$H$6+Inputs!$L$6*(((Inputs!$I$6+(((A169)+1)/2)*(Inputs!$J$6-Inputs!$I$6)))/Inputs!$K$6)^2))^2))-((Inputs!$H$6+Inputs!$L$6*(((Inputs!$I$6+(((A169)+1)/2)*(Inputs!$J$6-Inputs!$I$6)))/Inputs!$K$6)^2)))*1000/Inputs!$C$12),NA())</x:f>
        <x:v>824.6008585815438</x:v>
      </x:c>
      <x:c r="I169" s="48" t="n">
        <x:f>IF(OR(Inputs!$F$7=TRUE,Inputs!$F$7="TRUE",Inputs!$F$7=1),(((SQRT(((Inputs!$I$7+(((A169)+1)/2)*(Inputs!$J$7-Inputs!$I$7)))^2+Inputs!$C$6^2+((Inputs!$H$7+Inputs!$L$7*(((Inputs!$I$7+(((A169)+1)/2)*(Inputs!$J$7-Inputs!$I$7)))/Inputs!$K$7)^2))^2))-((Inputs!$H$7+Inputs!$L$7*(((Inputs!$I$7+(((A169)+1)/2)*(Inputs!$J$7-Inputs!$I$7)))/Inputs!$K$7)^2)))*1000/Inputs!$C$12),NA())</x:f>
        <x:v>51665.70064427456</x:v>
      </x:c>
      <x:c r="J169" s="48" t="n">
        <x:f>IF(OR(Inputs!$F$8=TRUE,Inputs!$F$8="TRUE",Inputs!$F$8=1),(((SQRT(((Inputs!$I$8+(((A169)+1)/2)*(Inputs!$J$8-Inputs!$I$8)))^2+Inputs!$C$6^2+((Inputs!$H$8+Inputs!$L$8*(((Inputs!$I$8+(((A169)+1)/2)*(Inputs!$J$8-Inputs!$I$8)))/Inputs!$K$8)^2))^2))-((Inputs!$H$8+Inputs!$L$8*(((Inputs!$I$8+(((A169)+1)/2)*(Inputs!$J$8-Inputs!$I$8)))/Inputs!$K$8)^2)))*1000/Inputs!$C$12),NA())</x:f>
        <x:v>101577.03721981257</x:v>
      </x:c>
      <x:c r="K169" s="48" t="n">
        <x:f>IF(OR(Inputs!$F$9=TRUE,Inputs!$F$9="TRUE",Inputs!$F$9=1),(((SQRT(((Inputs!$I$9+(((A169)+1)/2)*(Inputs!$J$9-Inputs!$I$9)))^2+Inputs!$C$6^2+((Inputs!$H$9+Inputs!$L$9*(((Inputs!$I$9+(((A169)+1)/2)*(Inputs!$J$9-Inputs!$I$9)))/Inputs!$K$9)^2))^2))-((Inputs!$H$9+Inputs!$L$9*(((Inputs!$I$9+(((A169)+1)/2)*(Inputs!$J$9-Inputs!$I$9)))/Inputs!$K$9)^2)))*1000/Inputs!$C$12),NA())</x:f>
        <x:v>103979.94291242858</x:v>
      </x:c>
      <x:c r="L169" s="49"/>
      <x:c r="M169" s="48" t="n">
        <x:f>A169</x:f>
        <x:v>0.392</x:v>
      </x:c>
      <x:c r="N169" s="48" t="n">
        <x:f>IF(OR(Inputs!$F$6=TRUE,Inputs!$F$6="TRUE",Inputs!$F$6=1),(-2*((1000*((((Inputs!$I$6+(((A169)+1)/2)*(Inputs!$J$6-Inputs!$I$6)))*Inputs!$C$11+((Inputs!$H$6+Inputs!$L$6*(((Inputs!$I$6+(((A169)+1)/2)*(Inputs!$J$6-Inputs!$I$6)))/Inputs!$K$6)^2))*((2*Inputs!$L$6*((Inputs!$I$6+(((A169)+1)/2)*(Inputs!$J$6-Inputs!$I$6)))/(Inputs!$K$6^2)*Inputs!$C$11)))/(SQRT(((Inputs!$I$6+(((A169)+1)/2)*(Inputs!$J$6-Inputs!$I$6)))^2+Inputs!$C$6^2+((Inputs!$H$6+Inputs!$L$6*(((Inputs!$I$6+(((A169)+1)/2)*(Inputs!$J$6-Inputs!$I$6)))/Inputs!$K$6)^2))^2)))))/Inputs!$C$13),NA())</x:f>
        <x:v>-176.9141356212007</x:v>
      </x:c>
      <x:c r="O169" s="48" t="n">
        <x:f>IF(OR(Inputs!$F$7=TRUE,Inputs!$F$7="TRUE",Inputs!$F$7=1),(-2*((1000*((((Inputs!$I$7+(((A169)+1)/2)*(Inputs!$J$7-Inputs!$I$7)))*Inputs!$C$11+((Inputs!$H$7+Inputs!$L$7*(((Inputs!$I$7+(((A169)+1)/2)*(Inputs!$J$7-Inputs!$I$7)))/Inputs!$K$7)^2))*((2*Inputs!$L$7*((Inputs!$I$7+(((A169)+1)/2)*(Inputs!$J$7-Inputs!$I$7)))/(Inputs!$K$7^2)*Inputs!$C$11)))/(SQRT(((Inputs!$I$7+(((A169)+1)/2)*(Inputs!$J$7-Inputs!$I$7)))^2+Inputs!$C$6^2+((Inputs!$H$7+Inputs!$L$7*(((Inputs!$I$7+(((A169)+1)/2)*(Inputs!$J$7-Inputs!$I$7)))/Inputs!$K$7)^2))^2)))))/Inputs!$C$13),NA())</x:f>
        <x:v>-1940.1134095817451</x:v>
      </x:c>
      <x:c r="P169" s="48" t="n">
        <x:f>IF(OR(Inputs!$F$8=TRUE,Inputs!$F$8="TRUE",Inputs!$F$8=1),(-2*((1000*((((Inputs!$I$8+(((A169)+1)/2)*(Inputs!$J$8-Inputs!$I$8)))*Inputs!$C$11+((Inputs!$H$8+Inputs!$L$8*(((Inputs!$I$8+(((A169)+1)/2)*(Inputs!$J$8-Inputs!$I$8)))/Inputs!$K$8)^2))*((2*Inputs!$L$8*((Inputs!$I$8+(((A169)+1)/2)*(Inputs!$J$8-Inputs!$I$8)))/(Inputs!$K$8^2)*Inputs!$C$11)))/(SQRT(((Inputs!$I$8+(((A169)+1)/2)*(Inputs!$J$8-Inputs!$I$8)))^2+Inputs!$C$6^2+((Inputs!$H$8+Inputs!$L$8*(((Inputs!$I$8+(((A169)+1)/2)*(Inputs!$J$8-Inputs!$I$8)))/Inputs!$K$8)^2))^2)))))/Inputs!$C$13),NA())</x:f>
        <x:v>-2139.8203002338664</x:v>
      </x:c>
      <x:c r="Q169" s="48" t="n">
        <x:f>IF(OR(Inputs!$F$9=TRUE,Inputs!$F$9="TRUE",Inputs!$F$9=1),(-2*((1000*((((Inputs!$I$9+(((A169)+1)/2)*(Inputs!$J$9-Inputs!$I$9)))*Inputs!$C$11+((Inputs!$H$9+Inputs!$L$9*(((Inputs!$I$9+(((A169)+1)/2)*(Inputs!$J$9-Inputs!$I$9)))/Inputs!$K$9)^2))*((2*Inputs!$L$9*((Inputs!$I$9+(((A169)+1)/2)*(Inputs!$J$9-Inputs!$I$9)))/(Inputs!$K$9^2)*Inputs!$C$11)))/(SQRT(((Inputs!$I$9+(((A169)+1)/2)*(Inputs!$J$9-Inputs!$I$9)))^2+Inputs!$C$6^2+((Inputs!$H$9+Inputs!$L$9*(((Inputs!$I$9+(((A169)+1)/2)*(Inputs!$J$9-Inputs!$I$9)))/Inputs!$K$9)^2))^2)))))/Inputs!$C$13),NA())</x:f>
        <x:v>-2136.7440188602095</x:v>
      </x:c>
      <x:c r="R169" s="49"/>
      <x:c r="S169" s="48" t="n">
        <x:f>A169</x:f>
        <x:v>0.392</x:v>
      </x:c>
      <x:c r="T169" s="48" t="n">
        <x:f>(Inputs!$I$6+(((A169)+1)/2)*(Inputs!$J$6-Inputs!$I$6))</x:f>
        <x:v>23.519999999999996</x:v>
      </x:c>
      <x:c r="U169" s="48" t="n">
        <x:f>(Inputs!$I$7+(((A169)+1)/2)*(Inputs!$J$7-Inputs!$I$7))</x:f>
        <x:v>156.79999999999995</x:v>
      </x:c>
      <x:c r="V169" s="48" t="n">
        <x:f>(Inputs!$I$8+(((A169)+1)/2)*(Inputs!$J$8-Inputs!$I$8))</x:f>
        <x:v>313.5999999999999</x:v>
      </x:c>
      <x:c r="W169" s="48" t="n">
        <x:f>(Inputs!$I$9+(((A169)+1)/2)*(Inputs!$J$9-Inputs!$I$9))</x:f>
        <x:v>313.5999999999999</x:v>
      </x:c>
      <x:c r="X169" s="49"/>
      <x:c r="Y169" s="48" t="n">
        <x:f>A169</x:f>
        <x:v>0.392</x:v>
      </x:c>
      <x:c r="Z169" s="48" t="n">
        <x:f>(Inputs!$H$6+Inputs!$L$6*(((Inputs!$I$6+(((A169)+1)/2)*(Inputs!$J$6-Inputs!$I$6)))/Inputs!$K$6)^2)</x:f>
        <x:v>400.614656</x:v>
      </x:c>
      <x:c r="AA169" s="48" t="n">
        <x:f>(Inputs!$H$7+Inputs!$L$7*(((Inputs!$I$7+(((A169)+1)/2)*(Inputs!$J$7-Inputs!$I$7)))/Inputs!$K$7)^2)</x:f>
        <x:v>91.08735999999996</x:v>
      </x:c>
      <x:c r="AB169" s="48" t="n">
        <x:f>(Inputs!$H$8+Inputs!$L$8*(((Inputs!$I$8+(((A169)+1)/2)*(Inputs!$J$8-Inputs!$I$8)))/Inputs!$K$8)^2)</x:f>
        <x:v>183.28575999999993</x:v>
      </x:c>
      <x:c r="AC169" s="48" t="n">
        <x:f>(Inputs!$H$9+Inputs!$L$9*(((Inputs!$I$9+(((A169)+1)/2)*(Inputs!$J$9-Inputs!$I$9)))/Inputs!$K$9)^2)</x:f>
        <x:v>174.8223999999999</x:v>
      </x:c>
      <x:c r="AD169" s="49"/>
      <x:c r="AE169" s="48" t="n">
        <x:f>A169</x:f>
        <x:v>0.392</x:v>
      </x:c>
      <x:c r="AF169" s="48" t="n">
        <x:f>(((SQRT(((Inputs!$I$6+(((A169)+1)/2)*(Inputs!$J$6-Inputs!$I$6)))^2+Inputs!$C$6^2+((Inputs!$H$6+Inputs!$L$6*(((Inputs!$I$6+(((A169)+1)/2)*(Inputs!$J$6-Inputs!$I$6)))/Inputs!$K$6)^2))^2))-((Inputs!$H$6+Inputs!$L$6*(((Inputs!$I$6+(((A169)+1)/2)*(Inputs!$J$6-Inputs!$I$6)))/Inputs!$K$6)^2)))*1000/Inputs!$C$12)</x:f>
        <x:v>824.6008585815438</x:v>
      </x:c>
      <x:c r="AG169" s="48" t="n">
        <x:f>(((SQRT(((Inputs!$I$7+(((A169)+1)/2)*(Inputs!$J$7-Inputs!$I$7)))^2+Inputs!$C$6^2+((Inputs!$H$7+Inputs!$L$7*(((Inputs!$I$7+(((A169)+1)/2)*(Inputs!$J$7-Inputs!$I$7)))/Inputs!$K$7)^2))^2))-((Inputs!$H$7+Inputs!$L$7*(((Inputs!$I$7+(((A169)+1)/2)*(Inputs!$J$7-Inputs!$I$7)))/Inputs!$K$7)^2)))*1000/Inputs!$C$12)</x:f>
        <x:v>51665.70064427456</x:v>
      </x:c>
      <x:c r="AH169" s="48" t="n">
        <x:f>(((SQRT(((Inputs!$I$8+(((A169)+1)/2)*(Inputs!$J$8-Inputs!$I$8)))^2+Inputs!$C$6^2+((Inputs!$H$8+Inputs!$L$8*(((Inputs!$I$8+(((A169)+1)/2)*(Inputs!$J$8-Inputs!$I$8)))/Inputs!$K$8)^2))^2))-((Inputs!$H$8+Inputs!$L$8*(((Inputs!$I$8+(((A169)+1)/2)*(Inputs!$J$8-Inputs!$I$8)))/Inputs!$K$8)^2)))*1000/Inputs!$C$12)</x:f>
        <x:v>101577.03721981257</x:v>
      </x:c>
      <x:c r="AI169" s="48" t="n">
        <x:f>(((SQRT(((Inputs!$I$9+(((A169)+1)/2)*(Inputs!$J$9-Inputs!$I$9)))^2+Inputs!$C$6^2+((Inputs!$H$9+Inputs!$L$9*(((Inputs!$I$9+(((A169)+1)/2)*(Inputs!$J$9-Inputs!$I$9)))/Inputs!$K$9)^2))^2))-((Inputs!$H$9+Inputs!$L$9*(((Inputs!$I$9+(((A169)+1)/2)*(Inputs!$J$9-Inputs!$I$9)))/Inputs!$K$9)^2)))*1000/Inputs!$C$12)</x:f>
        <x:v>103979.94291242858</x:v>
      </x:c>
      <x:c r="AJ169" s="49"/>
      <x:c r="AK169" s="48" t="n">
        <x:f>A169</x:f>
        <x:v>0.392</x:v>
      </x:c>
      <x:c r="AL169" s="48" t="n">
        <x:f>(-2*((1000*((((Inputs!$I$6+(((A169)+1)/2)*(Inputs!$J$6-Inputs!$I$6)))*Inputs!$C$11+((Inputs!$H$6+Inputs!$L$6*(((Inputs!$I$6+(((A169)+1)/2)*(Inputs!$J$6-Inputs!$I$6)))/Inputs!$K$6)^2))*((2*Inputs!$L$6*((Inputs!$I$6+(((A169)+1)/2)*(Inputs!$J$6-Inputs!$I$6)))/(Inputs!$K$6^2)*Inputs!$C$11)))/(SQRT(((Inputs!$I$6+(((A169)+1)/2)*(Inputs!$J$6-Inputs!$I$6)))^2+Inputs!$C$6^2+((Inputs!$H$6+Inputs!$L$6*(((Inputs!$I$6+(((A169)+1)/2)*(Inputs!$J$6-Inputs!$I$6)))/Inputs!$K$6)^2))^2)))))/Inputs!$C$13)</x:f>
        <x:v>-176.9141356212007</x:v>
      </x:c>
      <x:c r="AM169" s="48" t="n">
        <x:f>(-2*((1000*((((Inputs!$I$7+(((A169)+1)/2)*(Inputs!$J$7-Inputs!$I$7)))*Inputs!$C$11+((Inputs!$H$7+Inputs!$L$7*(((Inputs!$I$7+(((A169)+1)/2)*(Inputs!$J$7-Inputs!$I$7)))/Inputs!$K$7)^2))*((2*Inputs!$L$7*((Inputs!$I$7+(((A169)+1)/2)*(Inputs!$J$7-Inputs!$I$7)))/(Inputs!$K$7^2)*Inputs!$C$11)))/(SQRT(((Inputs!$I$7+(((A169)+1)/2)*(Inputs!$J$7-Inputs!$I$7)))^2+Inputs!$C$6^2+((Inputs!$H$7+Inputs!$L$7*(((Inputs!$I$7+(((A169)+1)/2)*(Inputs!$J$7-Inputs!$I$7)))/Inputs!$K$7)^2))^2)))))/Inputs!$C$13)</x:f>
        <x:v>-1940.1134095817451</x:v>
      </x:c>
      <x:c r="AN169" s="48" t="n">
        <x:f>(-2*((1000*((((Inputs!$I$8+(((A169)+1)/2)*(Inputs!$J$8-Inputs!$I$8)))*Inputs!$C$11+((Inputs!$H$8+Inputs!$L$8*(((Inputs!$I$8+(((A169)+1)/2)*(Inputs!$J$8-Inputs!$I$8)))/Inputs!$K$8)^2))*((2*Inputs!$L$8*((Inputs!$I$8+(((A169)+1)/2)*(Inputs!$J$8-Inputs!$I$8)))/(Inputs!$K$8^2)*Inputs!$C$11)))/(SQRT(((Inputs!$I$8+(((A169)+1)/2)*(Inputs!$J$8-Inputs!$I$8)))^2+Inputs!$C$6^2+((Inputs!$H$8+Inputs!$L$8*(((Inputs!$I$8+(((A169)+1)/2)*(Inputs!$J$8-Inputs!$I$8)))/Inputs!$K$8)^2))^2)))))/Inputs!$C$13)</x:f>
        <x:v>-2139.8203002338664</x:v>
      </x:c>
      <x:c r="AO169" s="48" t="n">
        <x:f>(-2*((1000*((((Inputs!$I$9+(((A169)+1)/2)*(Inputs!$J$9-Inputs!$I$9)))*Inputs!$C$11+((Inputs!$H$9+Inputs!$L$9*(((Inputs!$I$9+(((A169)+1)/2)*(Inputs!$J$9-Inputs!$I$9)))/Inputs!$K$9)^2))*((2*Inputs!$L$9*((Inputs!$I$9+(((A169)+1)/2)*(Inputs!$J$9-Inputs!$I$9)))/(Inputs!$K$9^2)*Inputs!$C$11)))/(SQRT(((Inputs!$I$9+(((A169)+1)/2)*(Inputs!$J$9-Inputs!$I$9)))^2+Inputs!$C$6^2+((Inputs!$H$9+Inputs!$L$9*(((Inputs!$I$9+(((A169)+1)/2)*(Inputs!$J$9-Inputs!$I$9)))/Inputs!$K$9)^2))^2)))))/Inputs!$C$13)</x:f>
        <x:v>-2136.7440188602095</x:v>
      </x:c>
    </x:row>
    <x:row r="170">
      <x:c r="A170" s="48" t="n">
        <x:f>ROUND(-1+168*2/240,3)</x:f>
        <x:v>0.4</x:v>
      </x:c>
      <x:c r="B170" s="48" t="n">
        <x:f>IF(OR(Inputs!$F$6=TRUE,Inputs!$F$6="TRUE",Inputs!$F$6=1),(Inputs!$H$6+Inputs!$L$6*(((Inputs!$I$6+(((A170)+1)/2)*(Inputs!$J$6-Inputs!$I$6)))/Inputs!$K$6)^2),NA())</x:f>
        <x:v>400.64</x:v>
      </x:c>
      <x:c r="C170" s="48" t="n">
        <x:f>IF(OR(Inputs!$F$7=TRUE,Inputs!$F$7="TRUE",Inputs!$F$7=1),(Inputs!$H$7+Inputs!$L$7*(((Inputs!$I$7+(((A170)+1)/2)*(Inputs!$J$7-Inputs!$I$7)))/Inputs!$K$7)^2),NA())</x:f>
        <x:v>93.4</x:v>
      </x:c>
      <x:c r="D170" s="48" t="n">
        <x:f>IF(OR(Inputs!$F$8=TRUE,Inputs!$F$8="TRUE",Inputs!$F$8=1),(Inputs!$H$8+Inputs!$L$8*(((Inputs!$I$8+(((A170)+1)/2)*(Inputs!$J$8-Inputs!$I$8)))/Inputs!$K$8)^2),NA())</x:f>
        <x:v>189.40000000000003</x:v>
      </x:c>
      <x:c r="E170" s="48" t="n">
        <x:f>IF(OR(Inputs!$F$9=TRUE,Inputs!$F$9="TRUE",Inputs!$F$9=1),(Inputs!$H$9+Inputs!$L$9*(((Inputs!$I$9+(((A170)+1)/2)*(Inputs!$J$9-Inputs!$I$9)))/Inputs!$K$9)^2),NA())</x:f>
        <x:v>181.00000000000003</x:v>
      </x:c>
      <x:c r="F170" s="49"/>
      <x:c r="G170" s="48" t="n">
        <x:f>A170</x:f>
        <x:v>0.4</x:v>
      </x:c>
      <x:c r="H170" s="48" t="n">
        <x:f>IF(OR(Inputs!$F$6=TRUE,Inputs!$F$6="TRUE",Inputs!$F$6=1),(((SQRT(((Inputs!$I$6+(((A170)+1)/2)*(Inputs!$J$6-Inputs!$I$6)))^2+Inputs!$C$6^2+((Inputs!$H$6+Inputs!$L$6*(((Inputs!$I$6+(((A170)+1)/2)*(Inputs!$J$6-Inputs!$I$6)))/Inputs!$K$6)^2))^2))-((Inputs!$H$6+Inputs!$L$6*(((Inputs!$I$6+(((A170)+1)/2)*(Inputs!$J$6-Inputs!$I$6)))/Inputs!$K$6)^2)))*1000/Inputs!$C$12),NA())</x:f>
        <x:v>840.482341149787</x:v>
      </x:c>
      <x:c r="I170" s="48" t="n">
        <x:f>IF(OR(Inputs!$F$7=TRUE,Inputs!$F$7="TRUE",Inputs!$F$7=1),(((SQRT(((Inputs!$I$7+(((A170)+1)/2)*(Inputs!$J$7-Inputs!$I$7)))^2+Inputs!$C$6^2+((Inputs!$H$7+Inputs!$L$7*(((Inputs!$I$7+(((A170)+1)/2)*(Inputs!$J$7-Inputs!$I$7)))/Inputs!$K$7)^2))^2))-((Inputs!$H$7+Inputs!$L$7*(((Inputs!$I$7+(((A170)+1)/2)*(Inputs!$J$7-Inputs!$I$7)))/Inputs!$K$7)^2)))*1000/Inputs!$C$12),NA())</x:f>
        <x:v>52553.56157579945</x:v>
      </x:c>
      <x:c r="J170" s="48" t="n">
        <x:f>IF(OR(Inputs!$F$8=TRUE,Inputs!$F$8="TRUE",Inputs!$F$8=1),(((SQRT(((Inputs!$I$8+(((A170)+1)/2)*(Inputs!$J$8-Inputs!$I$8)))^2+Inputs!$C$6^2+((Inputs!$H$8+Inputs!$L$8*(((Inputs!$I$8+(((A170)+1)/2)*(Inputs!$J$8-Inputs!$I$8)))/Inputs!$K$8)^2))^2))-((Inputs!$H$8+Inputs!$L$8*(((Inputs!$I$8+(((A170)+1)/2)*(Inputs!$J$8-Inputs!$I$8)))/Inputs!$K$8)^2)))*1000/Inputs!$C$12),NA())</x:f>
        <x:v>102971.5512723862</x:v>
      </x:c>
      <x:c r="K170" s="48" t="n">
        <x:f>IF(OR(Inputs!$F$9=TRUE,Inputs!$F$9="TRUE",Inputs!$F$9=1),(((SQRT(((Inputs!$I$9+(((A170)+1)/2)*(Inputs!$J$9-Inputs!$I$9)))^2+Inputs!$C$6^2+((Inputs!$H$9+Inputs!$L$9*(((Inputs!$I$9+(((A170)+1)/2)*(Inputs!$J$9-Inputs!$I$9)))/Inputs!$K$9)^2))^2))-((Inputs!$H$9+Inputs!$L$9*(((Inputs!$I$9+(((A170)+1)/2)*(Inputs!$J$9-Inputs!$I$9)))/Inputs!$K$9)^2)))*1000/Inputs!$C$12),NA())</x:f>
        <x:v>105332.31436897411</x:v>
      </x:c>
      <x:c r="L170" s="49"/>
      <x:c r="M170" s="48" t="n">
        <x:f>A170</x:f>
        <x:v>0.4</x:v>
      </x:c>
      <x:c r="N170" s="48" t="n">
        <x:f>IF(OR(Inputs!$F$6=TRUE,Inputs!$F$6="TRUE",Inputs!$F$6=1),(-2*((1000*((((Inputs!$I$6+(((A170)+1)/2)*(Inputs!$J$6-Inputs!$I$6)))*Inputs!$C$11+((Inputs!$H$6+Inputs!$L$6*(((Inputs!$I$6+(((A170)+1)/2)*(Inputs!$J$6-Inputs!$I$6)))/Inputs!$K$6)^2))*((2*Inputs!$L$6*((Inputs!$I$6+(((A170)+1)/2)*(Inputs!$J$6-Inputs!$I$6)))/(Inputs!$K$6^2)*Inputs!$C$11)))/(SQRT(((Inputs!$I$6+(((A170)+1)/2)*(Inputs!$J$6-Inputs!$I$6)))^2+Inputs!$C$6^2+((Inputs!$H$6+Inputs!$L$6*(((Inputs!$I$6+(((A170)+1)/2)*(Inputs!$J$6-Inputs!$I$6)))/Inputs!$K$6)^2))^2)))))/Inputs!$C$13),NA())</x:f>
        <x:v>-180.50593852560044</x:v>
      </x:c>
      <x:c r="O170" s="48" t="n">
        <x:f>IF(OR(Inputs!$F$7=TRUE,Inputs!$F$7="TRUE",Inputs!$F$7=1),(-2*((1000*((((Inputs!$I$7+(((A170)+1)/2)*(Inputs!$J$7-Inputs!$I$7)))*Inputs!$C$11+((Inputs!$H$7+Inputs!$L$7*(((Inputs!$I$7+(((A170)+1)/2)*(Inputs!$J$7-Inputs!$I$7)))/Inputs!$K$7)^2))*((2*Inputs!$L$7*((Inputs!$I$7+(((A170)+1)/2)*(Inputs!$J$7-Inputs!$I$7)))/(Inputs!$K$7^2)*Inputs!$C$11)))/(SQRT(((Inputs!$I$7+(((A170)+1)/2)*(Inputs!$J$7-Inputs!$I$7)))^2+Inputs!$C$6^2+((Inputs!$H$7+Inputs!$L$7*(((Inputs!$I$7+(((A170)+1)/2)*(Inputs!$J$7-Inputs!$I$7)))/Inputs!$K$7)^2))^2)))))/Inputs!$C$13),NA())</x:f>
        <x:v>-1952.9302028686984</x:v>
      </x:c>
      <x:c r="P170" s="48" t="n">
        <x:f>IF(OR(Inputs!$F$8=TRUE,Inputs!$F$8="TRUE",Inputs!$F$8=1),(-2*((1000*((((Inputs!$I$8+(((A170)+1)/2)*(Inputs!$J$8-Inputs!$I$8)))*Inputs!$C$11+((Inputs!$H$8+Inputs!$L$8*(((Inputs!$I$8+(((A170)+1)/2)*(Inputs!$J$8-Inputs!$I$8)))/Inputs!$K$8)^2))*((2*Inputs!$L$8*((Inputs!$I$8+(((A170)+1)/2)*(Inputs!$J$8-Inputs!$I$8)))/(Inputs!$K$8^2)*Inputs!$C$11)))/(SQRT(((Inputs!$I$8+(((A170)+1)/2)*(Inputs!$J$8-Inputs!$I$8)))^2+Inputs!$C$6^2+((Inputs!$H$8+Inputs!$L$8*(((Inputs!$I$8+(((A170)+1)/2)*(Inputs!$J$8-Inputs!$I$8)))/Inputs!$K$8)^2))^2)))))/Inputs!$C$13),NA())</x:f>
        <x:v>-2158.456032310346</x:v>
      </x:c>
      <x:c r="Q170" s="48" t="n">
        <x:f>IF(OR(Inputs!$F$9=TRUE,Inputs!$F$9="TRUE",Inputs!$F$9=1),(-2*((1000*((((Inputs!$I$9+(((A170)+1)/2)*(Inputs!$J$9-Inputs!$I$9)))*Inputs!$C$11+((Inputs!$H$9+Inputs!$L$9*(((Inputs!$I$9+(((A170)+1)/2)*(Inputs!$J$9-Inputs!$I$9)))/Inputs!$K$9)^2))*((2*Inputs!$L$9*((Inputs!$I$9+(((A170)+1)/2)*(Inputs!$J$9-Inputs!$I$9)))/(Inputs!$K$9^2)*Inputs!$C$11)))/(SQRT(((Inputs!$I$9+(((A170)+1)/2)*(Inputs!$J$9-Inputs!$I$9)))^2+Inputs!$C$6^2+((Inputs!$H$9+Inputs!$L$9*(((Inputs!$I$9+(((A170)+1)/2)*(Inputs!$J$9-Inputs!$I$9)))/Inputs!$K$9)^2))^2)))))/Inputs!$C$13),NA())</x:f>
        <x:v>-2155.7076833473716</x:v>
      </x:c>
      <x:c r="R170" s="49"/>
      <x:c r="S170" s="48" t="n">
        <x:f>A170</x:f>
        <x:v>0.4</x:v>
      </x:c>
      <x:c r="T170" s="48" t="n">
        <x:f>(Inputs!$I$6+(((A170)+1)/2)*(Inputs!$J$6-Inputs!$I$6))</x:f>
        <x:v>24</x:v>
      </x:c>
      <x:c r="U170" s="48" t="n">
        <x:f>(Inputs!$I$7+(((A170)+1)/2)*(Inputs!$J$7-Inputs!$I$7))</x:f>
        <x:v>160</x:v>
      </x:c>
      <x:c r="V170" s="48" t="n">
        <x:f>(Inputs!$I$8+(((A170)+1)/2)*(Inputs!$J$8-Inputs!$I$8))</x:f>
        <x:v>320</x:v>
      </x:c>
      <x:c r="W170" s="48" t="n">
        <x:f>(Inputs!$I$9+(((A170)+1)/2)*(Inputs!$J$9-Inputs!$I$9))</x:f>
        <x:v>320</x:v>
      </x:c>
      <x:c r="X170" s="49"/>
      <x:c r="Y170" s="48" t="n">
        <x:f>A170</x:f>
        <x:v>0.4</x:v>
      </x:c>
      <x:c r="Z170" s="48" t="n">
        <x:f>(Inputs!$H$6+Inputs!$L$6*(((Inputs!$I$6+(((A170)+1)/2)*(Inputs!$J$6-Inputs!$I$6)))/Inputs!$K$6)^2)</x:f>
        <x:v>400.64</x:v>
      </x:c>
      <x:c r="AA170" s="48" t="n">
        <x:f>(Inputs!$H$7+Inputs!$L$7*(((Inputs!$I$7+(((A170)+1)/2)*(Inputs!$J$7-Inputs!$I$7)))/Inputs!$K$7)^2)</x:f>
        <x:v>93.4</x:v>
      </x:c>
      <x:c r="AB170" s="48" t="n">
        <x:f>(Inputs!$H$8+Inputs!$L$8*(((Inputs!$I$8+(((A170)+1)/2)*(Inputs!$J$8-Inputs!$I$8)))/Inputs!$K$8)^2)</x:f>
        <x:v>189.40000000000003</x:v>
      </x:c>
      <x:c r="AC170" s="48" t="n">
        <x:f>(Inputs!$H$9+Inputs!$L$9*(((Inputs!$I$9+(((A170)+1)/2)*(Inputs!$J$9-Inputs!$I$9)))/Inputs!$K$9)^2)</x:f>
        <x:v>181.00000000000003</x:v>
      </x:c>
      <x:c r="AD170" s="49"/>
      <x:c r="AE170" s="48" t="n">
        <x:f>A170</x:f>
        <x:v>0.4</x:v>
      </x:c>
      <x:c r="AF170" s="48" t="n">
        <x:f>(((SQRT(((Inputs!$I$6+(((A170)+1)/2)*(Inputs!$J$6-Inputs!$I$6)))^2+Inputs!$C$6^2+((Inputs!$H$6+Inputs!$L$6*(((Inputs!$I$6+(((A170)+1)/2)*(Inputs!$J$6-Inputs!$I$6)))/Inputs!$K$6)^2))^2))-((Inputs!$H$6+Inputs!$L$6*(((Inputs!$I$6+(((A170)+1)/2)*(Inputs!$J$6-Inputs!$I$6)))/Inputs!$K$6)^2)))*1000/Inputs!$C$12)</x:f>
        <x:v>840.482341149787</x:v>
      </x:c>
      <x:c r="AG170" s="48" t="n">
        <x:f>(((SQRT(((Inputs!$I$7+(((A170)+1)/2)*(Inputs!$J$7-Inputs!$I$7)))^2+Inputs!$C$6^2+((Inputs!$H$7+Inputs!$L$7*(((Inputs!$I$7+(((A170)+1)/2)*(Inputs!$J$7-Inputs!$I$7)))/Inputs!$K$7)^2))^2))-((Inputs!$H$7+Inputs!$L$7*(((Inputs!$I$7+(((A170)+1)/2)*(Inputs!$J$7-Inputs!$I$7)))/Inputs!$K$7)^2)))*1000/Inputs!$C$12)</x:f>
        <x:v>52553.56157579945</x:v>
      </x:c>
      <x:c r="AH170" s="48" t="n">
        <x:f>(((SQRT(((Inputs!$I$8+(((A170)+1)/2)*(Inputs!$J$8-Inputs!$I$8)))^2+Inputs!$C$6^2+((Inputs!$H$8+Inputs!$L$8*(((Inputs!$I$8+(((A170)+1)/2)*(Inputs!$J$8-Inputs!$I$8)))/Inputs!$K$8)^2))^2))-((Inputs!$H$8+Inputs!$L$8*(((Inputs!$I$8+(((A170)+1)/2)*(Inputs!$J$8-Inputs!$I$8)))/Inputs!$K$8)^2)))*1000/Inputs!$C$12)</x:f>
        <x:v>102971.5512723862</x:v>
      </x:c>
      <x:c r="AI170" s="48" t="n">
        <x:f>(((SQRT(((Inputs!$I$9+(((A170)+1)/2)*(Inputs!$J$9-Inputs!$I$9)))^2+Inputs!$C$6^2+((Inputs!$H$9+Inputs!$L$9*(((Inputs!$I$9+(((A170)+1)/2)*(Inputs!$J$9-Inputs!$I$9)))/Inputs!$K$9)^2))^2))-((Inputs!$H$9+Inputs!$L$9*(((Inputs!$I$9+(((A170)+1)/2)*(Inputs!$J$9-Inputs!$I$9)))/Inputs!$K$9)^2)))*1000/Inputs!$C$12)</x:f>
        <x:v>105332.31436897411</x:v>
      </x:c>
      <x:c r="AJ170" s="49"/>
      <x:c r="AK170" s="48" t="n">
        <x:f>A170</x:f>
        <x:v>0.4</x:v>
      </x:c>
      <x:c r="AL170" s="48" t="n">
        <x:f>(-2*((1000*((((Inputs!$I$6+(((A170)+1)/2)*(Inputs!$J$6-Inputs!$I$6)))*Inputs!$C$11+((Inputs!$H$6+Inputs!$L$6*(((Inputs!$I$6+(((A170)+1)/2)*(Inputs!$J$6-Inputs!$I$6)))/Inputs!$K$6)^2))*((2*Inputs!$L$6*((Inputs!$I$6+(((A170)+1)/2)*(Inputs!$J$6-Inputs!$I$6)))/(Inputs!$K$6^2)*Inputs!$C$11)))/(SQRT(((Inputs!$I$6+(((A170)+1)/2)*(Inputs!$J$6-Inputs!$I$6)))^2+Inputs!$C$6^2+((Inputs!$H$6+Inputs!$L$6*(((Inputs!$I$6+(((A170)+1)/2)*(Inputs!$J$6-Inputs!$I$6)))/Inputs!$K$6)^2))^2)))))/Inputs!$C$13)</x:f>
        <x:v>-180.50593852560044</x:v>
      </x:c>
      <x:c r="AM170" s="48" t="n">
        <x:f>(-2*((1000*((((Inputs!$I$7+(((A170)+1)/2)*(Inputs!$J$7-Inputs!$I$7)))*Inputs!$C$11+((Inputs!$H$7+Inputs!$L$7*(((Inputs!$I$7+(((A170)+1)/2)*(Inputs!$J$7-Inputs!$I$7)))/Inputs!$K$7)^2))*((2*Inputs!$L$7*((Inputs!$I$7+(((A170)+1)/2)*(Inputs!$J$7-Inputs!$I$7)))/(Inputs!$K$7^2)*Inputs!$C$11)))/(SQRT(((Inputs!$I$7+(((A170)+1)/2)*(Inputs!$J$7-Inputs!$I$7)))^2+Inputs!$C$6^2+((Inputs!$H$7+Inputs!$L$7*(((Inputs!$I$7+(((A170)+1)/2)*(Inputs!$J$7-Inputs!$I$7)))/Inputs!$K$7)^2))^2)))))/Inputs!$C$13)</x:f>
        <x:v>-1952.9302028686984</x:v>
      </x:c>
      <x:c r="AN170" s="48" t="n">
        <x:f>(-2*((1000*((((Inputs!$I$8+(((A170)+1)/2)*(Inputs!$J$8-Inputs!$I$8)))*Inputs!$C$11+((Inputs!$H$8+Inputs!$L$8*(((Inputs!$I$8+(((A170)+1)/2)*(Inputs!$J$8-Inputs!$I$8)))/Inputs!$K$8)^2))*((2*Inputs!$L$8*((Inputs!$I$8+(((A170)+1)/2)*(Inputs!$J$8-Inputs!$I$8)))/(Inputs!$K$8^2)*Inputs!$C$11)))/(SQRT(((Inputs!$I$8+(((A170)+1)/2)*(Inputs!$J$8-Inputs!$I$8)))^2+Inputs!$C$6^2+((Inputs!$H$8+Inputs!$L$8*(((Inputs!$I$8+(((A170)+1)/2)*(Inputs!$J$8-Inputs!$I$8)))/Inputs!$K$8)^2))^2)))))/Inputs!$C$13)</x:f>
        <x:v>-2158.456032310346</x:v>
      </x:c>
      <x:c r="AO170" s="48" t="n">
        <x:f>(-2*((1000*((((Inputs!$I$9+(((A170)+1)/2)*(Inputs!$J$9-Inputs!$I$9)))*Inputs!$C$11+((Inputs!$H$9+Inputs!$L$9*(((Inputs!$I$9+(((A170)+1)/2)*(Inputs!$J$9-Inputs!$I$9)))/Inputs!$K$9)^2))*((2*Inputs!$L$9*((Inputs!$I$9+(((A170)+1)/2)*(Inputs!$J$9-Inputs!$I$9)))/(Inputs!$K$9^2)*Inputs!$C$11)))/(SQRT(((Inputs!$I$9+(((A170)+1)/2)*(Inputs!$J$9-Inputs!$I$9)))^2+Inputs!$C$6^2+((Inputs!$H$9+Inputs!$L$9*(((Inputs!$I$9+(((A170)+1)/2)*(Inputs!$J$9-Inputs!$I$9)))/Inputs!$K$9)^2))^2)))))/Inputs!$C$13)</x:f>
        <x:v>-2155.7076833473716</x:v>
      </x:c>
    </x:row>
    <x:row r="171">
      <x:c r="A171" s="48" t="n">
        <x:f>ROUND(-1+169*2/240,3)</x:f>
        <x:v>0.408</x:v>
      </x:c>
      <x:c r="B171" s="48" t="n">
        <x:f>IF(OR(Inputs!$F$6=TRUE,Inputs!$F$6="TRUE",Inputs!$F$6=1),(Inputs!$H$6+Inputs!$L$6*(((Inputs!$I$6+(((A171)+1)/2)*(Inputs!$J$6-Inputs!$I$6)))/Inputs!$K$6)^2),NA())</x:f>
        <x:v>400.665856</x:v>
      </x:c>
      <x:c r="C171" s="48" t="n">
        <x:f>IF(OR(Inputs!$F$7=TRUE,Inputs!$F$7="TRUE",Inputs!$F$7=1),(Inputs!$H$7+Inputs!$L$7*(((Inputs!$I$7+(((A171)+1)/2)*(Inputs!$J$7-Inputs!$I$7)))/Inputs!$K$7)^2),NA())</x:f>
        <x:v>95.75935999999993</x:v>
      </x:c>
      <x:c r="D171" s="48" t="n">
        <x:f>IF(OR(Inputs!$F$8=TRUE,Inputs!$F$8="TRUE",Inputs!$F$8=1),(Inputs!$H$8+Inputs!$L$8*(((Inputs!$I$8+(((A171)+1)/2)*(Inputs!$J$8-Inputs!$I$8)))/Inputs!$K$8)^2),NA())</x:f>
        <x:v>195.63775999999984</x:v>
      </x:c>
      <x:c r="E171" s="48" t="n">
        <x:f>IF(OR(Inputs!$F$9=TRUE,Inputs!$F$9="TRUE",Inputs!$F$9=1),(Inputs!$H$9+Inputs!$L$9*(((Inputs!$I$9+(((A171)+1)/2)*(Inputs!$J$9-Inputs!$I$9)))/Inputs!$K$9)^2),NA())</x:f>
        <x:v>187.30239999999984</x:v>
      </x:c>
      <x:c r="F171" s="49"/>
      <x:c r="G171" s="48" t="n">
        <x:f>A171</x:f>
        <x:v>0.408</x:v>
      </x:c>
      <x:c r="H171" s="48" t="n">
        <x:f>IF(OR(Inputs!$F$6=TRUE,Inputs!$F$6="TRUE",Inputs!$F$6=1),(((SQRT(((Inputs!$I$6+(((A171)+1)/2)*(Inputs!$J$6-Inputs!$I$6)))^2+Inputs!$C$6^2+((Inputs!$H$6+Inputs!$L$6*(((Inputs!$I$6+(((A171)+1)/2)*(Inputs!$J$6-Inputs!$I$6)))/Inputs!$K$6)^2))^2))-((Inputs!$H$6+Inputs!$L$6*(((Inputs!$I$6+(((A171)+1)/2)*(Inputs!$J$6-Inputs!$I$6)))/Inputs!$K$6)^2)))*1000/Inputs!$C$12),NA())</x:f>
        <x:v>856.681448823146</x:v>
      </x:c>
      <x:c r="I171" s="48" t="n">
        <x:f>IF(OR(Inputs!$F$7=TRUE,Inputs!$F$7="TRUE",Inputs!$F$7=1),(((SQRT(((Inputs!$I$7+(((A171)+1)/2)*(Inputs!$J$7-Inputs!$I$7)))^2+Inputs!$C$6^2+((Inputs!$H$7+Inputs!$L$7*(((Inputs!$I$7+(((A171)+1)/2)*(Inputs!$J$7-Inputs!$I$7)))/Inputs!$K$7)^2))^2))-((Inputs!$H$7+Inputs!$L$7*(((Inputs!$I$7+(((A171)+1)/2)*(Inputs!$J$7-Inputs!$I$7)))/Inputs!$K$7)^2)))*1000/Inputs!$C$12),NA())</x:f>
        <x:v>53429.615024316394</x:v>
      </x:c>
      <x:c r="J171" s="48" t="n">
        <x:f>IF(OR(Inputs!$F$8=TRUE,Inputs!$F$8="TRUE",Inputs!$F$8=1),(((SQRT(((Inputs!$I$8+(((A171)+1)/2)*(Inputs!$J$8-Inputs!$I$8)))^2+Inputs!$C$6^2+((Inputs!$H$8+Inputs!$L$8*(((Inputs!$I$8+(((A171)+1)/2)*(Inputs!$J$8-Inputs!$I$8)))/Inputs!$K$8)^2))^2))-((Inputs!$H$8+Inputs!$L$8*(((Inputs!$I$8+(((A171)+1)/2)*(Inputs!$J$8-Inputs!$I$8)))/Inputs!$K$8)^2)))*1000/Inputs!$C$12),NA())</x:f>
        <x:v>104338.81108969088</x:v>
      </x:c>
      <x:c r="K171" s="48" t="n">
        <x:f>IF(OR(Inputs!$F$9=TRUE,Inputs!$F$9="TRUE",Inputs!$F$9=1),(((SQRT(((Inputs!$I$9+(((A171)+1)/2)*(Inputs!$J$9-Inputs!$I$9)))^2+Inputs!$C$6^2+((Inputs!$H$9+Inputs!$L$9*(((Inputs!$I$9+(((A171)+1)/2)*(Inputs!$J$9-Inputs!$I$9)))/Inputs!$K$9)^2))^2))-((Inputs!$H$9+Inputs!$L$9*(((Inputs!$I$9+(((A171)+1)/2)*(Inputs!$J$9-Inputs!$I$9)))/Inputs!$K$9)^2)))*1000/Inputs!$C$12),NA())</x:f>
        <x:v>106657.46440895561</x:v>
      </x:c>
      <x:c r="L171" s="49"/>
      <x:c r="M171" s="48" t="n">
        <x:f>A171</x:f>
        <x:v>0.408</x:v>
      </x:c>
      <x:c r="N171" s="48" t="n">
        <x:f>IF(OR(Inputs!$F$6=TRUE,Inputs!$F$6="TRUE",Inputs!$F$6=1),(-2*((1000*((((Inputs!$I$6+(((A171)+1)/2)*(Inputs!$J$6-Inputs!$I$6)))*Inputs!$C$11+((Inputs!$H$6+Inputs!$L$6*(((Inputs!$I$6+(((A171)+1)/2)*(Inputs!$J$6-Inputs!$I$6)))/Inputs!$K$6)^2))*((2*Inputs!$L$6*((Inputs!$I$6+(((A171)+1)/2)*(Inputs!$J$6-Inputs!$I$6)))/(Inputs!$K$6^2)*Inputs!$C$11)))/(SQRT(((Inputs!$I$6+(((A171)+1)/2)*(Inputs!$J$6-Inputs!$I$6)))^2+Inputs!$C$6^2+((Inputs!$H$6+Inputs!$L$6*(((Inputs!$I$6+(((A171)+1)/2)*(Inputs!$J$6-Inputs!$I$6)))/Inputs!$K$6)^2))^2)))))/Inputs!$C$13),NA())</x:f>
        <x:v>-184.09661657862608</x:v>
      </x:c>
      <x:c r="O171" s="48" t="n">
        <x:f>IF(OR(Inputs!$F$7=TRUE,Inputs!$F$7="TRUE",Inputs!$F$7=1),(-2*((1000*((((Inputs!$I$7+(((A171)+1)/2)*(Inputs!$J$7-Inputs!$I$7)))*Inputs!$C$11+((Inputs!$H$7+Inputs!$L$7*(((Inputs!$I$7+(((A171)+1)/2)*(Inputs!$J$7-Inputs!$I$7)))/Inputs!$K$7)^2))*((2*Inputs!$L$7*((Inputs!$I$7+(((A171)+1)/2)*(Inputs!$J$7-Inputs!$I$7)))/(Inputs!$K$7^2)*Inputs!$C$11)))/(SQRT(((Inputs!$I$7+(((A171)+1)/2)*(Inputs!$J$7-Inputs!$I$7)))^2+Inputs!$C$6^2+((Inputs!$H$7+Inputs!$L$7*(((Inputs!$I$7+(((A171)+1)/2)*(Inputs!$J$7-Inputs!$I$7)))/Inputs!$K$7)^2))^2)))))/Inputs!$C$13),NA())</x:f>
        <x:v>-1965.8171483253632</x:v>
      </x:c>
      <x:c r="P171" s="48" t="n">
        <x:f>IF(OR(Inputs!$F$8=TRUE,Inputs!$F$8="TRUE",Inputs!$F$8=1),(-2*((1000*((((Inputs!$I$8+(((A171)+1)/2)*(Inputs!$J$8-Inputs!$I$8)))*Inputs!$C$11+((Inputs!$H$8+Inputs!$L$8*(((Inputs!$I$8+(((A171)+1)/2)*(Inputs!$J$8-Inputs!$I$8)))/Inputs!$K$8)^2))*((2*Inputs!$L$8*((Inputs!$I$8+(((A171)+1)/2)*(Inputs!$J$8-Inputs!$I$8)))/(Inputs!$K$8^2)*Inputs!$C$11)))/(SQRT(((Inputs!$I$8+(((A171)+1)/2)*(Inputs!$J$8-Inputs!$I$8)))^2+Inputs!$C$6^2+((Inputs!$H$8+Inputs!$L$8*(((Inputs!$I$8+(((A171)+1)/2)*(Inputs!$J$8-Inputs!$I$8)))/Inputs!$K$8)^2))^2)))))/Inputs!$C$13),NA())</x:f>
        <x:v>-2177.323679396059</x:v>
      </x:c>
      <x:c r="Q171" s="48" t="n">
        <x:f>IF(OR(Inputs!$F$9=TRUE,Inputs!$F$9="TRUE",Inputs!$F$9=1),(-2*((1000*((((Inputs!$I$9+(((A171)+1)/2)*(Inputs!$J$9-Inputs!$I$9)))*Inputs!$C$11+((Inputs!$H$9+Inputs!$L$9*(((Inputs!$I$9+(((A171)+1)/2)*(Inputs!$J$9-Inputs!$I$9)))/Inputs!$K$9)^2))*((2*Inputs!$L$9*((Inputs!$I$9+(((A171)+1)/2)*(Inputs!$J$9-Inputs!$I$9)))/(Inputs!$K$9^2)*Inputs!$C$11)))/(SQRT(((Inputs!$I$9+(((A171)+1)/2)*(Inputs!$J$9-Inputs!$I$9)))^2+Inputs!$C$6^2+((Inputs!$H$9+Inputs!$L$9*(((Inputs!$I$9+(((A171)+1)/2)*(Inputs!$J$9-Inputs!$I$9)))/Inputs!$K$9)^2))^2)))))/Inputs!$C$13),NA())</x:f>
        <x:v>-2174.916440793377</x:v>
      </x:c>
      <x:c r="R171" s="49"/>
      <x:c r="S171" s="48" t="n">
        <x:f>A171</x:f>
        <x:v>0.408</x:v>
      </x:c>
      <x:c r="T171" s="48" t="n">
        <x:f>(Inputs!$I$6+(((A171)+1)/2)*(Inputs!$J$6-Inputs!$I$6))</x:f>
        <x:v>24.47999999999999</x:v>
      </x:c>
      <x:c r="U171" s="48" t="n">
        <x:f>(Inputs!$I$7+(((A171)+1)/2)*(Inputs!$J$7-Inputs!$I$7))</x:f>
        <x:v>163.19999999999993</x:v>
      </x:c>
      <x:c r="V171" s="48" t="n">
        <x:f>(Inputs!$I$8+(((A171)+1)/2)*(Inputs!$J$8-Inputs!$I$8))</x:f>
        <x:v>326.39999999999986</x:v>
      </x:c>
      <x:c r="W171" s="48" t="n">
        <x:f>(Inputs!$I$9+(((A171)+1)/2)*(Inputs!$J$9-Inputs!$I$9))</x:f>
        <x:v>326.39999999999986</x:v>
      </x:c>
      <x:c r="X171" s="49"/>
      <x:c r="Y171" s="48" t="n">
        <x:f>A171</x:f>
        <x:v>0.408</x:v>
      </x:c>
      <x:c r="Z171" s="48" t="n">
        <x:f>(Inputs!$H$6+Inputs!$L$6*(((Inputs!$I$6+(((A171)+1)/2)*(Inputs!$J$6-Inputs!$I$6)))/Inputs!$K$6)^2)</x:f>
        <x:v>400.665856</x:v>
      </x:c>
      <x:c r="AA171" s="48" t="n">
        <x:f>(Inputs!$H$7+Inputs!$L$7*(((Inputs!$I$7+(((A171)+1)/2)*(Inputs!$J$7-Inputs!$I$7)))/Inputs!$K$7)^2)</x:f>
        <x:v>95.75935999999993</x:v>
      </x:c>
      <x:c r="AB171" s="48" t="n">
        <x:f>(Inputs!$H$8+Inputs!$L$8*(((Inputs!$I$8+(((A171)+1)/2)*(Inputs!$J$8-Inputs!$I$8)))/Inputs!$K$8)^2)</x:f>
        <x:v>195.63775999999984</x:v>
      </x:c>
      <x:c r="AC171" s="48" t="n">
        <x:f>(Inputs!$H$9+Inputs!$L$9*(((Inputs!$I$9+(((A171)+1)/2)*(Inputs!$J$9-Inputs!$I$9)))/Inputs!$K$9)^2)</x:f>
        <x:v>187.30239999999984</x:v>
      </x:c>
      <x:c r="AD171" s="49"/>
      <x:c r="AE171" s="48" t="n">
        <x:f>A171</x:f>
        <x:v>0.408</x:v>
      </x:c>
      <x:c r="AF171" s="48" t="n">
        <x:f>(((SQRT(((Inputs!$I$6+(((A171)+1)/2)*(Inputs!$J$6-Inputs!$I$6)))^2+Inputs!$C$6^2+((Inputs!$H$6+Inputs!$L$6*(((Inputs!$I$6+(((A171)+1)/2)*(Inputs!$J$6-Inputs!$I$6)))/Inputs!$K$6)^2))^2))-((Inputs!$H$6+Inputs!$L$6*(((Inputs!$I$6+(((A171)+1)/2)*(Inputs!$J$6-Inputs!$I$6)))/Inputs!$K$6)^2)))*1000/Inputs!$C$12)</x:f>
        <x:v>856.681448823146</x:v>
      </x:c>
      <x:c r="AG171" s="48" t="n">
        <x:f>(((SQRT(((Inputs!$I$7+(((A171)+1)/2)*(Inputs!$J$7-Inputs!$I$7)))^2+Inputs!$C$6^2+((Inputs!$H$7+Inputs!$L$7*(((Inputs!$I$7+(((A171)+1)/2)*(Inputs!$J$7-Inputs!$I$7)))/Inputs!$K$7)^2))^2))-((Inputs!$H$7+Inputs!$L$7*(((Inputs!$I$7+(((A171)+1)/2)*(Inputs!$J$7-Inputs!$I$7)))/Inputs!$K$7)^2)))*1000/Inputs!$C$12)</x:f>
        <x:v>53429.615024316394</x:v>
      </x:c>
      <x:c r="AH171" s="48" t="n">
        <x:f>(((SQRT(((Inputs!$I$8+(((A171)+1)/2)*(Inputs!$J$8-Inputs!$I$8)))^2+Inputs!$C$6^2+((Inputs!$H$8+Inputs!$L$8*(((Inputs!$I$8+(((A171)+1)/2)*(Inputs!$J$8-Inputs!$I$8)))/Inputs!$K$8)^2))^2))-((Inputs!$H$8+Inputs!$L$8*(((Inputs!$I$8+(((A171)+1)/2)*(Inputs!$J$8-Inputs!$I$8)))/Inputs!$K$8)^2)))*1000/Inputs!$C$12)</x:f>
        <x:v>104338.81108969088</x:v>
      </x:c>
      <x:c r="AI171" s="48" t="n">
        <x:f>(((SQRT(((Inputs!$I$9+(((A171)+1)/2)*(Inputs!$J$9-Inputs!$I$9)))^2+Inputs!$C$6^2+((Inputs!$H$9+Inputs!$L$9*(((Inputs!$I$9+(((A171)+1)/2)*(Inputs!$J$9-Inputs!$I$9)))/Inputs!$K$9)^2))^2))-((Inputs!$H$9+Inputs!$L$9*(((Inputs!$I$9+(((A171)+1)/2)*(Inputs!$J$9-Inputs!$I$9)))/Inputs!$K$9)^2)))*1000/Inputs!$C$12)</x:f>
        <x:v>106657.46440895561</x:v>
      </x:c>
      <x:c r="AJ171" s="49"/>
      <x:c r="AK171" s="48" t="n">
        <x:f>A171</x:f>
        <x:v>0.408</x:v>
      </x:c>
      <x:c r="AL171" s="48" t="n">
        <x:f>(-2*((1000*((((Inputs!$I$6+(((A171)+1)/2)*(Inputs!$J$6-Inputs!$I$6)))*Inputs!$C$11+((Inputs!$H$6+Inputs!$L$6*(((Inputs!$I$6+(((A171)+1)/2)*(Inputs!$J$6-Inputs!$I$6)))/Inputs!$K$6)^2))*((2*Inputs!$L$6*((Inputs!$I$6+(((A171)+1)/2)*(Inputs!$J$6-Inputs!$I$6)))/(Inputs!$K$6^2)*Inputs!$C$11)))/(SQRT(((Inputs!$I$6+(((A171)+1)/2)*(Inputs!$J$6-Inputs!$I$6)))^2+Inputs!$C$6^2+((Inputs!$H$6+Inputs!$L$6*(((Inputs!$I$6+(((A171)+1)/2)*(Inputs!$J$6-Inputs!$I$6)))/Inputs!$K$6)^2))^2)))))/Inputs!$C$13)</x:f>
        <x:v>-184.09661657862608</x:v>
      </x:c>
      <x:c r="AM171" s="48" t="n">
        <x:f>(-2*((1000*((((Inputs!$I$7+(((A171)+1)/2)*(Inputs!$J$7-Inputs!$I$7)))*Inputs!$C$11+((Inputs!$H$7+Inputs!$L$7*(((Inputs!$I$7+(((A171)+1)/2)*(Inputs!$J$7-Inputs!$I$7)))/Inputs!$K$7)^2))*((2*Inputs!$L$7*((Inputs!$I$7+(((A171)+1)/2)*(Inputs!$J$7-Inputs!$I$7)))/(Inputs!$K$7^2)*Inputs!$C$11)))/(SQRT(((Inputs!$I$7+(((A171)+1)/2)*(Inputs!$J$7-Inputs!$I$7)))^2+Inputs!$C$6^2+((Inputs!$H$7+Inputs!$L$7*(((Inputs!$I$7+(((A171)+1)/2)*(Inputs!$J$7-Inputs!$I$7)))/Inputs!$K$7)^2))^2)))))/Inputs!$C$13)</x:f>
        <x:v>-1965.8171483253632</x:v>
      </x:c>
      <x:c r="AN171" s="48" t="n">
        <x:f>(-2*((1000*((((Inputs!$I$8+(((A171)+1)/2)*(Inputs!$J$8-Inputs!$I$8)))*Inputs!$C$11+((Inputs!$H$8+Inputs!$L$8*(((Inputs!$I$8+(((A171)+1)/2)*(Inputs!$J$8-Inputs!$I$8)))/Inputs!$K$8)^2))*((2*Inputs!$L$8*((Inputs!$I$8+(((A171)+1)/2)*(Inputs!$J$8-Inputs!$I$8)))/(Inputs!$K$8^2)*Inputs!$C$11)))/(SQRT(((Inputs!$I$8+(((A171)+1)/2)*(Inputs!$J$8-Inputs!$I$8)))^2+Inputs!$C$6^2+((Inputs!$H$8+Inputs!$L$8*(((Inputs!$I$8+(((A171)+1)/2)*(Inputs!$J$8-Inputs!$I$8)))/Inputs!$K$8)^2))^2)))))/Inputs!$C$13)</x:f>
        <x:v>-2177.323679396059</x:v>
      </x:c>
      <x:c r="AO171" s="48" t="n">
        <x:f>(-2*((1000*((((Inputs!$I$9+(((A171)+1)/2)*(Inputs!$J$9-Inputs!$I$9)))*Inputs!$C$11+((Inputs!$H$9+Inputs!$L$9*(((Inputs!$I$9+(((A171)+1)/2)*(Inputs!$J$9-Inputs!$I$9)))/Inputs!$K$9)^2))*((2*Inputs!$L$9*((Inputs!$I$9+(((A171)+1)/2)*(Inputs!$J$9-Inputs!$I$9)))/(Inputs!$K$9^2)*Inputs!$C$11)))/(SQRT(((Inputs!$I$9+(((A171)+1)/2)*(Inputs!$J$9-Inputs!$I$9)))^2+Inputs!$C$6^2+((Inputs!$H$9+Inputs!$L$9*(((Inputs!$I$9+(((A171)+1)/2)*(Inputs!$J$9-Inputs!$I$9)))/Inputs!$K$9)^2))^2)))))/Inputs!$C$13)</x:f>
        <x:v>-2174.916440793377</x:v>
      </x:c>
    </x:row>
    <x:row r="172">
      <x:c r="A172" s="48" t="n">
        <x:f>ROUND(-1+170*2/240,3)</x:f>
        <x:v>0.417</x:v>
      </x:c>
      <x:c r="B172" s="48" t="n">
        <x:f>IF(OR(Inputs!$F$6=TRUE,Inputs!$F$6="TRUE",Inputs!$F$6=1),(Inputs!$H$6+Inputs!$L$6*(((Inputs!$I$6+(((A172)+1)/2)*(Inputs!$J$6-Inputs!$I$6)))/Inputs!$K$6)^2),NA())</x:f>
        <x:v>400.695556</x:v>
      </x:c>
      <x:c r="C172" s="48" t="n">
        <x:f>IF(OR(Inputs!$F$7=TRUE,Inputs!$F$7="TRUE",Inputs!$F$7=1),(Inputs!$H$7+Inputs!$L$7*(((Inputs!$I$7+(((A172)+1)/2)*(Inputs!$J$7-Inputs!$I$7)))/Inputs!$K$7)^2),NA())</x:f>
        <x:v>98.46948500000005</x:v>
      </x:c>
      <x:c r="D172" s="48" t="n">
        <x:f>IF(OR(Inputs!$F$8=TRUE,Inputs!$F$8="TRUE",Inputs!$F$8=1),(Inputs!$H$8+Inputs!$L$8*(((Inputs!$I$8+(((A172)+1)/2)*(Inputs!$J$8-Inputs!$I$8)))/Inputs!$K$8)^2),NA())</x:f>
        <x:v>202.80288500000012</x:v>
      </x:c>
      <x:c r="E172" s="48" t="n">
        <x:f>IF(OR(Inputs!$F$9=TRUE,Inputs!$F$9="TRUE",Inputs!$F$9=1),(Inputs!$H$9+Inputs!$L$9*(((Inputs!$I$9+(((A172)+1)/2)*(Inputs!$J$9-Inputs!$I$9)))/Inputs!$K$9)^2),NA())</x:f>
        <x:v>194.54177500000011</x:v>
      </x:c>
      <x:c r="F172" s="49"/>
      <x:c r="G172" s="48" t="n">
        <x:f>A172</x:f>
        <x:v>0.417</x:v>
      </x:c>
      <x:c r="H172" s="48" t="n">
        <x:f>IF(OR(Inputs!$F$6=TRUE,Inputs!$F$6="TRUE",Inputs!$F$6=1),(((SQRT(((Inputs!$I$6+(((A172)+1)/2)*(Inputs!$J$6-Inputs!$I$6)))^2+Inputs!$C$6^2+((Inputs!$H$6+Inputs!$L$6*(((Inputs!$I$6+(((A172)+1)/2)*(Inputs!$J$6-Inputs!$I$6)))/Inputs!$K$6)^2))^2))-((Inputs!$H$6+Inputs!$L$6*(((Inputs!$I$6+(((A172)+1)/2)*(Inputs!$J$6-Inputs!$I$6)))/Inputs!$K$6)^2)))*1000/Inputs!$C$12),NA())</x:f>
        <x:v>875.2848677409403</x:v>
      </x:c>
      <x:c r="I172" s="48" t="n">
        <x:f>IF(OR(Inputs!$F$7=TRUE,Inputs!$F$7="TRUE",Inputs!$F$7=1),(((SQRT(((Inputs!$I$7+(((A172)+1)/2)*(Inputs!$J$7-Inputs!$I$7)))^2+Inputs!$C$6^2+((Inputs!$H$7+Inputs!$L$7*(((Inputs!$I$7+(((A172)+1)/2)*(Inputs!$J$7-Inputs!$I$7)))/Inputs!$K$7)^2))^2))-((Inputs!$H$7+Inputs!$L$7*(((Inputs!$I$7+(((A172)+1)/2)*(Inputs!$J$7-Inputs!$I$7)))/Inputs!$K$7)^2)))*1000/Inputs!$C$12),NA())</x:f>
        <x:v>54401.164187782524</x:v>
      </x:c>
      <x:c r="J172" s="48" t="n">
        <x:f>IF(OR(Inputs!$F$8=TRUE,Inputs!$F$8="TRUE",Inputs!$F$8=1),(((SQRT(((Inputs!$I$8+(((A172)+1)/2)*(Inputs!$J$8-Inputs!$I$8)))^2+Inputs!$C$6^2+((Inputs!$H$8+Inputs!$L$8*(((Inputs!$I$8+(((A172)+1)/2)*(Inputs!$J$8-Inputs!$I$8)))/Inputs!$K$8)^2))^2))-((Inputs!$H$8+Inputs!$L$8*(((Inputs!$I$8+(((A172)+1)/2)*(Inputs!$J$8-Inputs!$I$8)))/Inputs!$K$8)^2)))*1000/Inputs!$C$12),NA())</x:f>
        <x:v>105845.0467090346</x:v>
      </x:c>
      <x:c r="K172" s="48" t="n">
        <x:f>IF(OR(Inputs!$F$9=TRUE,Inputs!$F$9="TRUE",Inputs!$F$9=1),(((SQRT(((Inputs!$I$9+(((A172)+1)/2)*(Inputs!$J$9-Inputs!$I$9)))^2+Inputs!$C$6^2+((Inputs!$H$9+Inputs!$L$9*(((Inputs!$I$9+(((A172)+1)/2)*(Inputs!$J$9-Inputs!$I$9)))/Inputs!$K$9)^2))^2))-((Inputs!$H$9+Inputs!$L$9*(((Inputs!$I$9+(((A172)+1)/2)*(Inputs!$J$9-Inputs!$I$9)))/Inputs!$K$9)^2)))*1000/Inputs!$C$12),NA())</x:f>
        <x:v>108116.40119071392</x:v>
      </x:c>
      <x:c r="L172" s="49"/>
      <x:c r="M172" s="48" t="n">
        <x:f>A172</x:f>
        <x:v>0.417</x:v>
      </x:c>
      <x:c r="N172" s="48" t="n">
        <x:f>IF(OR(Inputs!$F$6=TRUE,Inputs!$F$6="TRUE",Inputs!$F$6=1),(-2*((1000*((((Inputs!$I$6+(((A172)+1)/2)*(Inputs!$J$6-Inputs!$I$6)))*Inputs!$C$11+((Inputs!$H$6+Inputs!$L$6*(((Inputs!$I$6+(((A172)+1)/2)*(Inputs!$J$6-Inputs!$I$6)))/Inputs!$K$6)^2))*((2*Inputs!$L$6*((Inputs!$I$6+(((A172)+1)/2)*(Inputs!$J$6-Inputs!$I$6)))/(Inputs!$K$6^2)*Inputs!$C$11)))/(SQRT(((Inputs!$I$6+(((A172)+1)/2)*(Inputs!$J$6-Inputs!$I$6)))^2+Inputs!$C$6^2+((Inputs!$H$6+Inputs!$L$6*(((Inputs!$I$6+(((A172)+1)/2)*(Inputs!$J$6-Inputs!$I$6)))/Inputs!$K$6)^2))^2)))))/Inputs!$C$13),NA())</x:f>
        <x:v>-188.13475780104017</x:v>
      </x:c>
      <x:c r="O172" s="48" t="n">
        <x:f>IF(OR(Inputs!$F$7=TRUE,Inputs!$F$7="TRUE",Inputs!$F$7=1),(-2*((1000*((((Inputs!$I$7+(((A172)+1)/2)*(Inputs!$J$7-Inputs!$I$7)))*Inputs!$C$11+((Inputs!$H$7+Inputs!$L$7*(((Inputs!$I$7+(((A172)+1)/2)*(Inputs!$J$7-Inputs!$I$7)))/Inputs!$K$7)^2))*((2*Inputs!$L$7*((Inputs!$I$7+(((A172)+1)/2)*(Inputs!$J$7-Inputs!$I$7)))/(Inputs!$K$7^2)*Inputs!$C$11)))/(SQRT(((Inputs!$I$7+(((A172)+1)/2)*(Inputs!$J$7-Inputs!$I$7)))^2+Inputs!$C$6^2+((Inputs!$H$7+Inputs!$L$7*(((Inputs!$I$7+(((A172)+1)/2)*(Inputs!$J$7-Inputs!$I$7)))/Inputs!$K$7)^2))^2)))))/Inputs!$C$13),NA())</x:f>
        <x:v>-1980.4062412026428</x:v>
      </x:c>
      <x:c r="P172" s="48" t="n">
        <x:f>IF(OR(Inputs!$F$8=TRUE,Inputs!$F$8="TRUE",Inputs!$F$8=1),(-2*((1000*((((Inputs!$I$8+(((A172)+1)/2)*(Inputs!$J$8-Inputs!$I$8)))*Inputs!$C$11+((Inputs!$H$8+Inputs!$L$8*(((Inputs!$I$8+(((A172)+1)/2)*(Inputs!$J$8-Inputs!$I$8)))/Inputs!$K$8)^2))*((2*Inputs!$L$8*((Inputs!$I$8+(((A172)+1)/2)*(Inputs!$J$8-Inputs!$I$8)))/(Inputs!$K$8^2)*Inputs!$C$11)))/(SQRT(((Inputs!$I$8+(((A172)+1)/2)*(Inputs!$J$8-Inputs!$I$8)))^2+Inputs!$C$6^2+((Inputs!$H$8+Inputs!$L$8*(((Inputs!$I$8+(((A172)+1)/2)*(Inputs!$J$8-Inputs!$I$8)))/Inputs!$K$8)^2))^2)))))/Inputs!$C$13),NA())</x:f>
        <x:v>-2198.824228403991</x:v>
      </x:c>
      <x:c r="Q172" s="48" t="n">
        <x:f>IF(OR(Inputs!$F$9=TRUE,Inputs!$F$9="TRUE",Inputs!$F$9=1),(-2*((1000*((((Inputs!$I$9+(((A172)+1)/2)*(Inputs!$J$9-Inputs!$I$9)))*Inputs!$C$11+((Inputs!$H$9+Inputs!$L$9*(((Inputs!$I$9+(((A172)+1)/2)*(Inputs!$J$9-Inputs!$I$9)))/Inputs!$K$9)^2))*((2*Inputs!$L$9*((Inputs!$I$9+(((A172)+1)/2)*(Inputs!$J$9-Inputs!$I$9)))/(Inputs!$K$9^2)*Inputs!$C$11)))/(SQRT(((Inputs!$I$9+(((A172)+1)/2)*(Inputs!$J$9-Inputs!$I$9)))^2+Inputs!$C$6^2+((Inputs!$H$9+Inputs!$L$9*(((Inputs!$I$9+(((A172)+1)/2)*(Inputs!$J$9-Inputs!$I$9)))/Inputs!$K$9)^2))^2)))))/Inputs!$C$13),NA())</x:f>
        <x:v>-2196.815301006797</x:v>
      </x:c>
      <x:c r="R172" s="49"/>
      <x:c r="S172" s="48" t="n">
        <x:f>A172</x:f>
        <x:v>0.417</x:v>
      </x:c>
      <x:c r="T172" s="48" t="n">
        <x:f>(Inputs!$I$6+(((A172)+1)/2)*(Inputs!$J$6-Inputs!$I$6))</x:f>
        <x:v>25.019999999999996</x:v>
      </x:c>
      <x:c r="U172" s="48" t="n">
        <x:f>(Inputs!$I$7+(((A172)+1)/2)*(Inputs!$J$7-Inputs!$I$7))</x:f>
        <x:v>166.80000000000007</x:v>
      </x:c>
      <x:c r="V172" s="48" t="n">
        <x:f>(Inputs!$I$8+(((A172)+1)/2)*(Inputs!$J$8-Inputs!$I$8))</x:f>
        <x:v>333.60000000000014</x:v>
      </x:c>
      <x:c r="W172" s="48" t="n">
        <x:f>(Inputs!$I$9+(((A172)+1)/2)*(Inputs!$J$9-Inputs!$I$9))</x:f>
        <x:v>333.60000000000014</x:v>
      </x:c>
      <x:c r="X172" s="49"/>
      <x:c r="Y172" s="48" t="n">
        <x:f>A172</x:f>
        <x:v>0.417</x:v>
      </x:c>
      <x:c r="Z172" s="48" t="n">
        <x:f>(Inputs!$H$6+Inputs!$L$6*(((Inputs!$I$6+(((A172)+1)/2)*(Inputs!$J$6-Inputs!$I$6)))/Inputs!$K$6)^2)</x:f>
        <x:v>400.695556</x:v>
      </x:c>
      <x:c r="AA172" s="48" t="n">
        <x:f>(Inputs!$H$7+Inputs!$L$7*(((Inputs!$I$7+(((A172)+1)/2)*(Inputs!$J$7-Inputs!$I$7)))/Inputs!$K$7)^2)</x:f>
        <x:v>98.46948500000005</x:v>
      </x:c>
      <x:c r="AB172" s="48" t="n">
        <x:f>(Inputs!$H$8+Inputs!$L$8*(((Inputs!$I$8+(((A172)+1)/2)*(Inputs!$J$8-Inputs!$I$8)))/Inputs!$K$8)^2)</x:f>
        <x:v>202.80288500000012</x:v>
      </x:c>
      <x:c r="AC172" s="48" t="n">
        <x:f>(Inputs!$H$9+Inputs!$L$9*(((Inputs!$I$9+(((A172)+1)/2)*(Inputs!$J$9-Inputs!$I$9)))/Inputs!$K$9)^2)</x:f>
        <x:v>194.54177500000011</x:v>
      </x:c>
      <x:c r="AD172" s="49"/>
      <x:c r="AE172" s="48" t="n">
        <x:f>A172</x:f>
        <x:v>0.417</x:v>
      </x:c>
      <x:c r="AF172" s="48" t="n">
        <x:f>(((SQRT(((Inputs!$I$6+(((A172)+1)/2)*(Inputs!$J$6-Inputs!$I$6)))^2+Inputs!$C$6^2+((Inputs!$H$6+Inputs!$L$6*(((Inputs!$I$6+(((A172)+1)/2)*(Inputs!$J$6-Inputs!$I$6)))/Inputs!$K$6)^2))^2))-((Inputs!$H$6+Inputs!$L$6*(((Inputs!$I$6+(((A172)+1)/2)*(Inputs!$J$6-Inputs!$I$6)))/Inputs!$K$6)^2)))*1000/Inputs!$C$12)</x:f>
        <x:v>875.2848677409403</x:v>
      </x:c>
      <x:c r="AG172" s="48" t="n">
        <x:f>(((SQRT(((Inputs!$I$7+(((A172)+1)/2)*(Inputs!$J$7-Inputs!$I$7)))^2+Inputs!$C$6^2+((Inputs!$H$7+Inputs!$L$7*(((Inputs!$I$7+(((A172)+1)/2)*(Inputs!$J$7-Inputs!$I$7)))/Inputs!$K$7)^2))^2))-((Inputs!$H$7+Inputs!$L$7*(((Inputs!$I$7+(((A172)+1)/2)*(Inputs!$J$7-Inputs!$I$7)))/Inputs!$K$7)^2)))*1000/Inputs!$C$12)</x:f>
        <x:v>54401.164187782524</x:v>
      </x:c>
      <x:c r="AH172" s="48" t="n">
        <x:f>(((SQRT(((Inputs!$I$8+(((A172)+1)/2)*(Inputs!$J$8-Inputs!$I$8)))^2+Inputs!$C$6^2+((Inputs!$H$8+Inputs!$L$8*(((Inputs!$I$8+(((A172)+1)/2)*(Inputs!$J$8-Inputs!$I$8)))/Inputs!$K$8)^2))^2))-((Inputs!$H$8+Inputs!$L$8*(((Inputs!$I$8+(((A172)+1)/2)*(Inputs!$J$8-Inputs!$I$8)))/Inputs!$K$8)^2)))*1000/Inputs!$C$12)</x:f>
        <x:v>105845.0467090346</x:v>
      </x:c>
      <x:c r="AI172" s="48" t="n">
        <x:f>(((SQRT(((Inputs!$I$9+(((A172)+1)/2)*(Inputs!$J$9-Inputs!$I$9)))^2+Inputs!$C$6^2+((Inputs!$H$9+Inputs!$L$9*(((Inputs!$I$9+(((A172)+1)/2)*(Inputs!$J$9-Inputs!$I$9)))/Inputs!$K$9)^2))^2))-((Inputs!$H$9+Inputs!$L$9*(((Inputs!$I$9+(((A172)+1)/2)*(Inputs!$J$9-Inputs!$I$9)))/Inputs!$K$9)^2)))*1000/Inputs!$C$12)</x:f>
        <x:v>108116.40119071392</x:v>
      </x:c>
      <x:c r="AJ172" s="49"/>
      <x:c r="AK172" s="48" t="n">
        <x:f>A172</x:f>
        <x:v>0.417</x:v>
      </x:c>
      <x:c r="AL172" s="48" t="n">
        <x:f>(-2*((1000*((((Inputs!$I$6+(((A172)+1)/2)*(Inputs!$J$6-Inputs!$I$6)))*Inputs!$C$11+((Inputs!$H$6+Inputs!$L$6*(((Inputs!$I$6+(((A172)+1)/2)*(Inputs!$J$6-Inputs!$I$6)))/Inputs!$K$6)^2))*((2*Inputs!$L$6*((Inputs!$I$6+(((A172)+1)/2)*(Inputs!$J$6-Inputs!$I$6)))/(Inputs!$K$6^2)*Inputs!$C$11)))/(SQRT(((Inputs!$I$6+(((A172)+1)/2)*(Inputs!$J$6-Inputs!$I$6)))^2+Inputs!$C$6^2+((Inputs!$H$6+Inputs!$L$6*(((Inputs!$I$6+(((A172)+1)/2)*(Inputs!$J$6-Inputs!$I$6)))/Inputs!$K$6)^2))^2)))))/Inputs!$C$13)</x:f>
        <x:v>-188.13475780104017</x:v>
      </x:c>
      <x:c r="AM172" s="48" t="n">
        <x:f>(-2*((1000*((((Inputs!$I$7+(((A172)+1)/2)*(Inputs!$J$7-Inputs!$I$7)))*Inputs!$C$11+((Inputs!$H$7+Inputs!$L$7*(((Inputs!$I$7+(((A172)+1)/2)*(Inputs!$J$7-Inputs!$I$7)))/Inputs!$K$7)^2))*((2*Inputs!$L$7*((Inputs!$I$7+(((A172)+1)/2)*(Inputs!$J$7-Inputs!$I$7)))/(Inputs!$K$7^2)*Inputs!$C$11)))/(SQRT(((Inputs!$I$7+(((A172)+1)/2)*(Inputs!$J$7-Inputs!$I$7)))^2+Inputs!$C$6^2+((Inputs!$H$7+Inputs!$L$7*(((Inputs!$I$7+(((A172)+1)/2)*(Inputs!$J$7-Inputs!$I$7)))/Inputs!$K$7)^2))^2)))))/Inputs!$C$13)</x:f>
        <x:v>-1980.4062412026428</x:v>
      </x:c>
      <x:c r="AN172" s="48" t="n">
        <x:f>(-2*((1000*((((Inputs!$I$8+(((A172)+1)/2)*(Inputs!$J$8-Inputs!$I$8)))*Inputs!$C$11+((Inputs!$H$8+Inputs!$L$8*(((Inputs!$I$8+(((A172)+1)/2)*(Inputs!$J$8-Inputs!$I$8)))/Inputs!$K$8)^2))*((2*Inputs!$L$8*((Inputs!$I$8+(((A172)+1)/2)*(Inputs!$J$8-Inputs!$I$8)))/(Inputs!$K$8^2)*Inputs!$C$11)))/(SQRT(((Inputs!$I$8+(((A172)+1)/2)*(Inputs!$J$8-Inputs!$I$8)))^2+Inputs!$C$6^2+((Inputs!$H$8+Inputs!$L$8*(((Inputs!$I$8+(((A172)+1)/2)*(Inputs!$J$8-Inputs!$I$8)))/Inputs!$K$8)^2))^2)))))/Inputs!$C$13)</x:f>
        <x:v>-2198.824228403991</x:v>
      </x:c>
      <x:c r="AO172" s="48" t="n">
        <x:f>(-2*((1000*((((Inputs!$I$9+(((A172)+1)/2)*(Inputs!$J$9-Inputs!$I$9)))*Inputs!$C$11+((Inputs!$H$9+Inputs!$L$9*(((Inputs!$I$9+(((A172)+1)/2)*(Inputs!$J$9-Inputs!$I$9)))/Inputs!$K$9)^2))*((2*Inputs!$L$9*((Inputs!$I$9+(((A172)+1)/2)*(Inputs!$J$9-Inputs!$I$9)))/(Inputs!$K$9^2)*Inputs!$C$11)))/(SQRT(((Inputs!$I$9+(((A172)+1)/2)*(Inputs!$J$9-Inputs!$I$9)))^2+Inputs!$C$6^2+((Inputs!$H$9+Inputs!$L$9*(((Inputs!$I$9+(((A172)+1)/2)*(Inputs!$J$9-Inputs!$I$9)))/Inputs!$K$9)^2))^2)))))/Inputs!$C$13)</x:f>
        <x:v>-2196.815301006797</x:v>
      </x:c>
    </x:row>
    <x:row r="173">
      <x:c r="A173" s="48" t="n">
        <x:f>ROUND(-1+171*2/240,3)</x:f>
        <x:v>0.425</x:v>
      </x:c>
      <x:c r="B173" s="48" t="n">
        <x:f>IF(OR(Inputs!$F$6=TRUE,Inputs!$F$6="TRUE",Inputs!$F$6=1),(Inputs!$H$6+Inputs!$L$6*(((Inputs!$I$6+(((A173)+1)/2)*(Inputs!$J$6-Inputs!$I$6)))/Inputs!$K$6)^2),NA())</x:f>
        <x:v>400.7225</x:v>
      </x:c>
      <x:c r="C173" s="48" t="n">
        <x:f>IF(OR(Inputs!$F$7=TRUE,Inputs!$F$7="TRUE",Inputs!$F$7=1),(Inputs!$H$7+Inputs!$L$7*(((Inputs!$I$7+(((A173)+1)/2)*(Inputs!$J$7-Inputs!$I$7)))/Inputs!$K$7)^2),NA())</x:f>
        <x:v>100.928125</x:v>
      </x:c>
      <x:c r="D173" s="48" t="n">
        <x:f>IF(OR(Inputs!$F$8=TRUE,Inputs!$F$8="TRUE",Inputs!$F$8=1),(Inputs!$H$8+Inputs!$L$8*(((Inputs!$I$8+(((A173)+1)/2)*(Inputs!$J$8-Inputs!$I$8)))/Inputs!$K$8)^2),NA())</x:f>
        <x:v>209.303125</x:v>
      </x:c>
      <x:c r="E173" s="48" t="n">
        <x:f>IF(OR(Inputs!$F$9=TRUE,Inputs!$F$9="TRUE",Inputs!$F$9=1),(Inputs!$H$9+Inputs!$L$9*(((Inputs!$I$9+(((A173)+1)/2)*(Inputs!$J$9-Inputs!$I$9)))/Inputs!$K$9)^2),NA())</x:f>
        <x:v>201.10937499999997</x:v>
      </x:c>
      <x:c r="F173" s="49"/>
      <x:c r="G173" s="48" t="n">
        <x:f>A173</x:f>
        <x:v>0.425</x:v>
      </x:c>
      <x:c r="H173" s="48" t="n">
        <x:f>IF(OR(Inputs!$F$6=TRUE,Inputs!$F$6="TRUE",Inputs!$F$6=1),(((SQRT(((Inputs!$I$6+(((A173)+1)/2)*(Inputs!$J$6-Inputs!$I$6)))^2+Inputs!$C$6^2+((Inputs!$H$6+Inputs!$L$6*(((Inputs!$I$6+(((A173)+1)/2)*(Inputs!$J$6-Inputs!$I$6)))/Inputs!$K$6)^2))^2))-((Inputs!$H$6+Inputs!$L$6*(((Inputs!$I$6+(((A173)+1)/2)*(Inputs!$J$6-Inputs!$I$6)))/Inputs!$K$6)^2)))*1000/Inputs!$C$12),NA())</x:f>
        <x:v>892.1582886614168</x:v>
      </x:c>
      <x:c r="I173" s="48" t="n">
        <x:f>IF(OR(Inputs!$F$7=TRUE,Inputs!$F$7="TRUE",Inputs!$F$7=1),(((SQRT(((Inputs!$I$7+(((A173)+1)/2)*(Inputs!$J$7-Inputs!$I$7)))^2+Inputs!$C$6^2+((Inputs!$H$7+Inputs!$L$7*(((Inputs!$I$7+(((A173)+1)/2)*(Inputs!$J$7-Inputs!$I$7)))/Inputs!$K$7)^2))^2))-((Inputs!$H$7+Inputs!$L$7*(((Inputs!$I$7+(((A173)+1)/2)*(Inputs!$J$7-Inputs!$I$7)))/Inputs!$K$7)^2)))*1000/Inputs!$C$12),NA())</x:f>
        <x:v>55252.40769764292</x:v>
      </x:c>
      <x:c r="J173" s="48" t="n">
        <x:f>IF(OR(Inputs!$F$8=TRUE,Inputs!$F$8="TRUE",Inputs!$F$8=1),(((SQRT(((Inputs!$I$8+(((A173)+1)/2)*(Inputs!$J$8-Inputs!$I$8)))^2+Inputs!$C$6^2+((Inputs!$H$8+Inputs!$L$8*(((Inputs!$I$8+(((A173)+1)/2)*(Inputs!$J$8-Inputs!$I$8)))/Inputs!$K$8)^2))^2))-((Inputs!$H$8+Inputs!$L$8*(((Inputs!$I$8+(((A173)+1)/2)*(Inputs!$J$8-Inputs!$I$8)))/Inputs!$K$8)^2)))*1000/Inputs!$C$12),NA())</x:f>
        <x:v>107156.10706048388</x:v>
      </x:c>
      <x:c r="K173" s="48" t="n">
        <x:f>IF(OR(Inputs!$F$9=TRUE,Inputs!$F$9="TRUE",Inputs!$F$9=1),(((SQRT(((Inputs!$I$9+(((A173)+1)/2)*(Inputs!$J$9-Inputs!$I$9)))^2+Inputs!$C$6^2+((Inputs!$H$9+Inputs!$L$9*(((Inputs!$I$9+(((A173)+1)/2)*(Inputs!$J$9-Inputs!$I$9)))/Inputs!$K$9)^2))^2))-((Inputs!$H$9+Inputs!$L$9*(((Inputs!$I$9+(((A173)+1)/2)*(Inputs!$J$9-Inputs!$I$9)))/Inputs!$K$9)^2)))*1000/Inputs!$C$12),NA())</x:f>
        <x:v>109385.51363748086</x:v>
      </x:c>
      <x:c r="L173" s="49"/>
      <x:c r="M173" s="48" t="n">
        <x:f>A173</x:f>
        <x:v>0.425</x:v>
      </x:c>
      <x:c r="N173" s="48" t="n">
        <x:f>IF(OR(Inputs!$F$6=TRUE,Inputs!$F$6="TRUE",Inputs!$F$6=1),(-2*((1000*((((Inputs!$I$6+(((A173)+1)/2)*(Inputs!$J$6-Inputs!$I$6)))*Inputs!$C$11+((Inputs!$H$6+Inputs!$L$6*(((Inputs!$I$6+(((A173)+1)/2)*(Inputs!$J$6-Inputs!$I$6)))/Inputs!$K$6)^2))*((2*Inputs!$L$6*((Inputs!$I$6+(((A173)+1)/2)*(Inputs!$J$6-Inputs!$I$6)))/(Inputs!$K$6^2)*Inputs!$C$11)))/(SQRT(((Inputs!$I$6+(((A173)+1)/2)*(Inputs!$J$6-Inputs!$I$6)))^2+Inputs!$C$6^2+((Inputs!$H$6+Inputs!$L$6*(((Inputs!$I$6+(((A173)+1)/2)*(Inputs!$J$6-Inputs!$I$6)))/Inputs!$K$6)^2))^2)))))/Inputs!$C$13),NA())</x:f>
        <x:v>-191.72297349476912</x:v>
      </x:c>
      <x:c r="O173" s="48" t="n">
        <x:f>IF(OR(Inputs!$F$7=TRUE,Inputs!$F$7="TRUE",Inputs!$F$7=1),(-2*((1000*((((Inputs!$I$7+(((A173)+1)/2)*(Inputs!$J$7-Inputs!$I$7)))*Inputs!$C$11+((Inputs!$H$7+Inputs!$L$7*(((Inputs!$I$7+(((A173)+1)/2)*(Inputs!$J$7-Inputs!$I$7)))/Inputs!$K$7)^2))*((2*Inputs!$L$7*((Inputs!$I$7+(((A173)+1)/2)*(Inputs!$J$7-Inputs!$I$7)))/(Inputs!$K$7^2)*Inputs!$C$11)))/(SQRT(((Inputs!$I$7+(((A173)+1)/2)*(Inputs!$J$7-Inputs!$I$7)))^2+Inputs!$C$6^2+((Inputs!$H$7+Inputs!$L$7*(((Inputs!$I$7+(((A173)+1)/2)*(Inputs!$J$7-Inputs!$I$7)))/Inputs!$K$7)^2))^2)))))/Inputs!$C$13),NA())</x:f>
        <x:v>-1993.4612845780164</x:v>
      </x:c>
      <x:c r="P173" s="48" t="n">
        <x:f>IF(OR(Inputs!$F$8=TRUE,Inputs!$F$8="TRUE",Inputs!$F$8=1),(-2*((1000*((((Inputs!$I$8+(((A173)+1)/2)*(Inputs!$J$8-Inputs!$I$8)))*Inputs!$C$11+((Inputs!$H$8+Inputs!$L$8*(((Inputs!$I$8+(((A173)+1)/2)*(Inputs!$J$8-Inputs!$I$8)))/Inputs!$K$8)^2))*((2*Inputs!$L$8*((Inputs!$I$8+(((A173)+1)/2)*(Inputs!$J$8-Inputs!$I$8)))/(Inputs!$K$8^2)*Inputs!$C$11)))/(SQRT(((Inputs!$I$8+(((A173)+1)/2)*(Inputs!$J$8-Inputs!$I$8)))^2+Inputs!$C$6^2+((Inputs!$H$8+Inputs!$L$8*(((Inputs!$I$8+(((A173)+1)/2)*(Inputs!$J$8-Inputs!$I$8)))/Inputs!$K$8)^2))^2)))))/Inputs!$C$13),NA())</x:f>
        <x:v>-2218.17710283249</x:v>
      </x:c>
      <x:c r="Q173" s="48" t="n">
        <x:f>IF(OR(Inputs!$F$9=TRUE,Inputs!$F$9="TRUE",Inputs!$F$9=1),(-2*((1000*((((Inputs!$I$9+(((A173)+1)/2)*(Inputs!$J$9-Inputs!$I$9)))*Inputs!$C$11+((Inputs!$H$9+Inputs!$L$9*(((Inputs!$I$9+(((A173)+1)/2)*(Inputs!$J$9-Inputs!$I$9)))/Inputs!$K$9)^2))*((2*Inputs!$L$9*((Inputs!$I$9+(((A173)+1)/2)*(Inputs!$J$9-Inputs!$I$9)))/(Inputs!$K$9^2)*Inputs!$C$11)))/(SQRT(((Inputs!$I$9+(((A173)+1)/2)*(Inputs!$J$9-Inputs!$I$9)))^2+Inputs!$C$6^2+((Inputs!$H$9+Inputs!$L$9*(((Inputs!$I$9+(((A173)+1)/2)*(Inputs!$J$9-Inputs!$I$9)))/Inputs!$K$9)^2))^2)))))/Inputs!$C$13),NA())</x:f>
        <x:v>-2216.534196316312</x:v>
      </x:c>
      <x:c r="R173" s="49"/>
      <x:c r="S173" s="48" t="n">
        <x:f>A173</x:f>
        <x:v>0.425</x:v>
      </x:c>
      <x:c r="T173" s="48" t="n">
        <x:f>(Inputs!$I$6+(((A173)+1)/2)*(Inputs!$J$6-Inputs!$I$6))</x:f>
        <x:v>25.5</x:v>
      </x:c>
      <x:c r="U173" s="48" t="n">
        <x:f>(Inputs!$I$7+(((A173)+1)/2)*(Inputs!$J$7-Inputs!$I$7))</x:f>
        <x:v>170</x:v>
      </x:c>
      <x:c r="V173" s="48" t="n">
        <x:f>(Inputs!$I$8+(((A173)+1)/2)*(Inputs!$J$8-Inputs!$I$8))</x:f>
        <x:v>340</x:v>
      </x:c>
      <x:c r="W173" s="48" t="n">
        <x:f>(Inputs!$I$9+(((A173)+1)/2)*(Inputs!$J$9-Inputs!$I$9))</x:f>
        <x:v>340</x:v>
      </x:c>
      <x:c r="X173" s="49"/>
      <x:c r="Y173" s="48" t="n">
        <x:f>A173</x:f>
        <x:v>0.425</x:v>
      </x:c>
      <x:c r="Z173" s="48" t="n">
        <x:f>(Inputs!$H$6+Inputs!$L$6*(((Inputs!$I$6+(((A173)+1)/2)*(Inputs!$J$6-Inputs!$I$6)))/Inputs!$K$6)^2)</x:f>
        <x:v>400.7225</x:v>
      </x:c>
      <x:c r="AA173" s="48" t="n">
        <x:f>(Inputs!$H$7+Inputs!$L$7*(((Inputs!$I$7+(((A173)+1)/2)*(Inputs!$J$7-Inputs!$I$7)))/Inputs!$K$7)^2)</x:f>
        <x:v>100.928125</x:v>
      </x:c>
      <x:c r="AB173" s="48" t="n">
        <x:f>(Inputs!$H$8+Inputs!$L$8*(((Inputs!$I$8+(((A173)+1)/2)*(Inputs!$J$8-Inputs!$I$8)))/Inputs!$K$8)^2)</x:f>
        <x:v>209.303125</x:v>
      </x:c>
      <x:c r="AC173" s="48" t="n">
        <x:f>(Inputs!$H$9+Inputs!$L$9*(((Inputs!$I$9+(((A173)+1)/2)*(Inputs!$J$9-Inputs!$I$9)))/Inputs!$K$9)^2)</x:f>
        <x:v>201.10937499999997</x:v>
      </x:c>
      <x:c r="AD173" s="49"/>
      <x:c r="AE173" s="48" t="n">
        <x:f>A173</x:f>
        <x:v>0.425</x:v>
      </x:c>
      <x:c r="AF173" s="48" t="n">
        <x:f>(((SQRT(((Inputs!$I$6+(((A173)+1)/2)*(Inputs!$J$6-Inputs!$I$6)))^2+Inputs!$C$6^2+((Inputs!$H$6+Inputs!$L$6*(((Inputs!$I$6+(((A173)+1)/2)*(Inputs!$J$6-Inputs!$I$6)))/Inputs!$K$6)^2))^2))-((Inputs!$H$6+Inputs!$L$6*(((Inputs!$I$6+(((A173)+1)/2)*(Inputs!$J$6-Inputs!$I$6)))/Inputs!$K$6)^2)))*1000/Inputs!$C$12)</x:f>
        <x:v>892.1582886614168</x:v>
      </x:c>
      <x:c r="AG173" s="48" t="n">
        <x:f>(((SQRT(((Inputs!$I$7+(((A173)+1)/2)*(Inputs!$J$7-Inputs!$I$7)))^2+Inputs!$C$6^2+((Inputs!$H$7+Inputs!$L$7*(((Inputs!$I$7+(((A173)+1)/2)*(Inputs!$J$7-Inputs!$I$7)))/Inputs!$K$7)^2))^2))-((Inputs!$H$7+Inputs!$L$7*(((Inputs!$I$7+(((A173)+1)/2)*(Inputs!$J$7-Inputs!$I$7)))/Inputs!$K$7)^2)))*1000/Inputs!$C$12)</x:f>
        <x:v>55252.40769764292</x:v>
      </x:c>
      <x:c r="AH173" s="48" t="n">
        <x:f>(((SQRT(((Inputs!$I$8+(((A173)+1)/2)*(Inputs!$J$8-Inputs!$I$8)))^2+Inputs!$C$6^2+((Inputs!$H$8+Inputs!$L$8*(((Inputs!$I$8+(((A173)+1)/2)*(Inputs!$J$8-Inputs!$I$8)))/Inputs!$K$8)^2))^2))-((Inputs!$H$8+Inputs!$L$8*(((Inputs!$I$8+(((A173)+1)/2)*(Inputs!$J$8-Inputs!$I$8)))/Inputs!$K$8)^2)))*1000/Inputs!$C$12)</x:f>
        <x:v>107156.10706048388</x:v>
      </x:c>
      <x:c r="AI173" s="48" t="n">
        <x:f>(((SQRT(((Inputs!$I$9+(((A173)+1)/2)*(Inputs!$J$9-Inputs!$I$9)))^2+Inputs!$C$6^2+((Inputs!$H$9+Inputs!$L$9*(((Inputs!$I$9+(((A173)+1)/2)*(Inputs!$J$9-Inputs!$I$9)))/Inputs!$K$9)^2))^2))-((Inputs!$H$9+Inputs!$L$9*(((Inputs!$I$9+(((A173)+1)/2)*(Inputs!$J$9-Inputs!$I$9)))/Inputs!$K$9)^2)))*1000/Inputs!$C$12)</x:f>
        <x:v>109385.51363748086</x:v>
      </x:c>
      <x:c r="AJ173" s="49"/>
      <x:c r="AK173" s="48" t="n">
        <x:f>A173</x:f>
        <x:v>0.425</x:v>
      </x:c>
      <x:c r="AL173" s="48" t="n">
        <x:f>(-2*((1000*((((Inputs!$I$6+(((A173)+1)/2)*(Inputs!$J$6-Inputs!$I$6)))*Inputs!$C$11+((Inputs!$H$6+Inputs!$L$6*(((Inputs!$I$6+(((A173)+1)/2)*(Inputs!$J$6-Inputs!$I$6)))/Inputs!$K$6)^2))*((2*Inputs!$L$6*((Inputs!$I$6+(((A173)+1)/2)*(Inputs!$J$6-Inputs!$I$6)))/(Inputs!$K$6^2)*Inputs!$C$11)))/(SQRT(((Inputs!$I$6+(((A173)+1)/2)*(Inputs!$J$6-Inputs!$I$6)))^2+Inputs!$C$6^2+((Inputs!$H$6+Inputs!$L$6*(((Inputs!$I$6+(((A173)+1)/2)*(Inputs!$J$6-Inputs!$I$6)))/Inputs!$K$6)^2))^2)))))/Inputs!$C$13)</x:f>
        <x:v>-191.72297349476912</x:v>
      </x:c>
      <x:c r="AM173" s="48" t="n">
        <x:f>(-2*((1000*((((Inputs!$I$7+(((A173)+1)/2)*(Inputs!$J$7-Inputs!$I$7)))*Inputs!$C$11+((Inputs!$H$7+Inputs!$L$7*(((Inputs!$I$7+(((A173)+1)/2)*(Inputs!$J$7-Inputs!$I$7)))/Inputs!$K$7)^2))*((2*Inputs!$L$7*((Inputs!$I$7+(((A173)+1)/2)*(Inputs!$J$7-Inputs!$I$7)))/(Inputs!$K$7^2)*Inputs!$C$11)))/(SQRT(((Inputs!$I$7+(((A173)+1)/2)*(Inputs!$J$7-Inputs!$I$7)))^2+Inputs!$C$6^2+((Inputs!$H$7+Inputs!$L$7*(((Inputs!$I$7+(((A173)+1)/2)*(Inputs!$J$7-Inputs!$I$7)))/Inputs!$K$7)^2))^2)))))/Inputs!$C$13)</x:f>
        <x:v>-1993.4612845780164</x:v>
      </x:c>
      <x:c r="AN173" s="48" t="n">
        <x:f>(-2*((1000*((((Inputs!$I$8+(((A173)+1)/2)*(Inputs!$J$8-Inputs!$I$8)))*Inputs!$C$11+((Inputs!$H$8+Inputs!$L$8*(((Inputs!$I$8+(((A173)+1)/2)*(Inputs!$J$8-Inputs!$I$8)))/Inputs!$K$8)^2))*((2*Inputs!$L$8*((Inputs!$I$8+(((A173)+1)/2)*(Inputs!$J$8-Inputs!$I$8)))/(Inputs!$K$8^2)*Inputs!$C$11)))/(SQRT(((Inputs!$I$8+(((A173)+1)/2)*(Inputs!$J$8-Inputs!$I$8)))^2+Inputs!$C$6^2+((Inputs!$H$8+Inputs!$L$8*(((Inputs!$I$8+(((A173)+1)/2)*(Inputs!$J$8-Inputs!$I$8)))/Inputs!$K$8)^2))^2)))))/Inputs!$C$13)</x:f>
        <x:v>-2218.17710283249</x:v>
      </x:c>
      <x:c r="AO173" s="48" t="n">
        <x:f>(-2*((1000*((((Inputs!$I$9+(((A173)+1)/2)*(Inputs!$J$9-Inputs!$I$9)))*Inputs!$C$11+((Inputs!$H$9+Inputs!$L$9*(((Inputs!$I$9+(((A173)+1)/2)*(Inputs!$J$9-Inputs!$I$9)))/Inputs!$K$9)^2))*((2*Inputs!$L$9*((Inputs!$I$9+(((A173)+1)/2)*(Inputs!$J$9-Inputs!$I$9)))/(Inputs!$K$9^2)*Inputs!$C$11)))/(SQRT(((Inputs!$I$9+(((A173)+1)/2)*(Inputs!$J$9-Inputs!$I$9)))^2+Inputs!$C$6^2+((Inputs!$H$9+Inputs!$L$9*(((Inputs!$I$9+(((A173)+1)/2)*(Inputs!$J$9-Inputs!$I$9)))/Inputs!$K$9)^2))^2)))))/Inputs!$C$13)</x:f>
        <x:v>-2216.534196316312</x:v>
      </x:c>
    </x:row>
    <x:row r="174">
      <x:c r="A174" s="48" t="n">
        <x:f>ROUND(-1+172*2/240,3)</x:f>
        <x:v>0.433</x:v>
      </x:c>
      <x:c r="B174" s="48" t="n">
        <x:f>IF(OR(Inputs!$F$6=TRUE,Inputs!$F$6="TRUE",Inputs!$F$6=1),(Inputs!$H$6+Inputs!$L$6*(((Inputs!$I$6+(((A174)+1)/2)*(Inputs!$J$6-Inputs!$I$6)))/Inputs!$K$6)^2),NA())</x:f>
        <x:v>400.749956</x:v>
      </x:c>
      <x:c r="C174" s="48" t="n">
        <x:f>IF(OR(Inputs!$F$7=TRUE,Inputs!$F$7="TRUE",Inputs!$F$7=1),(Inputs!$H$7+Inputs!$L$7*(((Inputs!$I$7+(((A174)+1)/2)*(Inputs!$J$7-Inputs!$I$7)))/Inputs!$K$7)^2),NA())</x:f>
        <x:v>103.43348500000003</x:v>
      </x:c>
      <x:c r="D174" s="48" t="n">
        <x:f>IF(OR(Inputs!$F$8=TRUE,Inputs!$F$8="TRUE",Inputs!$F$8=1),(Inputs!$H$8+Inputs!$L$8*(((Inputs!$I$8+(((A174)+1)/2)*(Inputs!$J$8-Inputs!$I$8)))/Inputs!$K$8)^2),NA())</x:f>
        <x:v>215.92688500000008</x:v>
      </x:c>
      <x:c r="E174" s="48" t="n">
        <x:f>IF(OR(Inputs!$F$9=TRUE,Inputs!$F$9="TRUE",Inputs!$F$9=1),(Inputs!$H$9+Inputs!$L$9*(((Inputs!$I$9+(((A174)+1)/2)*(Inputs!$J$9-Inputs!$I$9)))/Inputs!$K$9)^2),NA())</x:f>
        <x:v>207.8017750000001</x:v>
      </x:c>
      <x:c r="F174" s="49"/>
      <x:c r="G174" s="48" t="n">
        <x:f>A174</x:f>
        <x:v>0.433</x:v>
      </x:c>
      <x:c r="H174" s="48" t="n">
        <x:f>IF(OR(Inputs!$F$6=TRUE,Inputs!$F$6="TRUE",Inputs!$F$6=1),(((SQRT(((Inputs!$I$6+(((A174)+1)/2)*(Inputs!$J$6-Inputs!$I$6)))^2+Inputs!$C$6^2+((Inputs!$H$6+Inputs!$L$6*(((Inputs!$I$6+(((A174)+1)/2)*(Inputs!$J$6-Inputs!$I$6)))/Inputs!$K$6)^2))^2))-((Inputs!$H$6+Inputs!$L$6*(((Inputs!$I$6+(((A174)+1)/2)*(Inputs!$J$6-Inputs!$I$6)))/Inputs!$K$6)^2)))*1000/Inputs!$C$12),NA())</x:f>
        <x:v>909.3487243927839</x:v>
      </x:c>
      <x:c r="I174" s="48" t="n">
        <x:f>IF(OR(Inputs!$F$7=TRUE,Inputs!$F$7="TRUE",Inputs!$F$7=1),(((SQRT(((Inputs!$I$7+(((A174)+1)/2)*(Inputs!$J$7-Inputs!$I$7)))^2+Inputs!$C$6^2+((Inputs!$H$7+Inputs!$L$7*(((Inputs!$I$7+(((A174)+1)/2)*(Inputs!$J$7-Inputs!$I$7)))/Inputs!$K$7)^2))^2))-((Inputs!$H$7+Inputs!$L$7*(((Inputs!$I$7+(((A174)+1)/2)*(Inputs!$J$7-Inputs!$I$7)))/Inputs!$K$7)^2)))*1000/Inputs!$C$12),NA())</x:f>
        <x:v>56092.120890423146</x:v>
      </x:c>
      <x:c r="J174" s="48" t="n">
        <x:f>IF(OR(Inputs!$F$8=TRUE,Inputs!$F$8="TRUE",Inputs!$F$8=1),(((SQRT(((Inputs!$I$8+(((A174)+1)/2)*(Inputs!$J$8-Inputs!$I$8)))^2+Inputs!$C$6^2+((Inputs!$H$8+Inputs!$L$8*(((Inputs!$I$8+(((A174)+1)/2)*(Inputs!$J$8-Inputs!$I$8)))/Inputs!$K$8)^2))^2))-((Inputs!$H$8+Inputs!$L$8*(((Inputs!$I$8+(((A174)+1)/2)*(Inputs!$J$8-Inputs!$I$8)))/Inputs!$K$8)^2)))*1000/Inputs!$C$12),NA())</x:f>
        <x:v>108441.51637761807</x:v>
      </x:c>
      <x:c r="K174" s="48" t="n">
        <x:f>IF(OR(Inputs!$F$9=TRUE,Inputs!$F$9="TRUE",Inputs!$F$9=1),(((SQRT(((Inputs!$I$9+(((A174)+1)/2)*(Inputs!$J$9-Inputs!$I$9)))^2+Inputs!$C$6^2+((Inputs!$H$9+Inputs!$L$9*(((Inputs!$I$9+(((A174)+1)/2)*(Inputs!$J$9-Inputs!$I$9)))/Inputs!$K$9)^2))^2))-((Inputs!$H$9+Inputs!$L$9*(((Inputs!$I$9+(((A174)+1)/2)*(Inputs!$J$9-Inputs!$I$9)))/Inputs!$K$9)^2)))*1000/Inputs!$C$12),NA())</x:f>
        <x:v>110629.09031207753</x:v>
      </x:c>
      <x:c r="L174" s="49"/>
      <x:c r="M174" s="48" t="n">
        <x:f>A174</x:f>
        <x:v>0.433</x:v>
      </x:c>
      <x:c r="N174" s="48" t="n">
        <x:f>IF(OR(Inputs!$F$6=TRUE,Inputs!$F$6="TRUE",Inputs!$F$6=1),(-2*((1000*((((Inputs!$I$6+(((A174)+1)/2)*(Inputs!$J$6-Inputs!$I$6)))*Inputs!$C$11+((Inputs!$H$6+Inputs!$L$6*(((Inputs!$I$6+(((A174)+1)/2)*(Inputs!$J$6-Inputs!$I$6)))/Inputs!$K$6)^2))*((2*Inputs!$L$6*((Inputs!$I$6+(((A174)+1)/2)*(Inputs!$J$6-Inputs!$I$6)))/(Inputs!$K$6^2)*Inputs!$C$11)))/(SQRT(((Inputs!$I$6+(((A174)+1)/2)*(Inputs!$J$6-Inputs!$I$6)))^2+Inputs!$C$6^2+((Inputs!$H$6+Inputs!$L$6*(((Inputs!$I$6+(((A174)+1)/2)*(Inputs!$J$6-Inputs!$I$6)))/Inputs!$K$6)^2))^2)))))/Inputs!$C$13),NA())</x:f>
        <x:v>-195.30999662419933</x:v>
      </x:c>
      <x:c r="O174" s="48" t="n">
        <x:f>IF(OR(Inputs!$F$7=TRUE,Inputs!$F$7="TRUE",Inputs!$F$7=1),(-2*((1000*((((Inputs!$I$7+(((A174)+1)/2)*(Inputs!$J$7-Inputs!$I$7)))*Inputs!$C$11+((Inputs!$H$7+Inputs!$L$7*(((Inputs!$I$7+(((A174)+1)/2)*(Inputs!$J$7-Inputs!$I$7)))/Inputs!$K$7)^2))*((2*Inputs!$L$7*((Inputs!$I$7+(((A174)+1)/2)*(Inputs!$J$7-Inputs!$I$7)))/(Inputs!$K$7^2)*Inputs!$C$11)))/(SQRT(((Inputs!$I$7+(((A174)+1)/2)*(Inputs!$J$7-Inputs!$I$7)))^2+Inputs!$C$6^2+((Inputs!$H$7+Inputs!$L$7*(((Inputs!$I$7+(((A174)+1)/2)*(Inputs!$J$7-Inputs!$I$7)))/Inputs!$K$7)^2))^2)))))/Inputs!$C$13),NA())</x:f>
        <x:v>-2006.602998303267</x:v>
      </x:c>
      <x:c r="P174" s="48" t="n">
        <x:f>IF(OR(Inputs!$F$8=TRUE,Inputs!$F$8="TRUE",Inputs!$F$8=1),(-2*((1000*((((Inputs!$I$8+(((A174)+1)/2)*(Inputs!$J$8-Inputs!$I$8)))*Inputs!$C$11+((Inputs!$H$8+Inputs!$L$8*(((Inputs!$I$8+(((A174)+1)/2)*(Inputs!$J$8-Inputs!$I$8)))/Inputs!$K$8)^2))*((2*Inputs!$L$8*((Inputs!$I$8+(((A174)+1)/2)*(Inputs!$J$8-Inputs!$I$8)))/(Inputs!$K$8^2)*Inputs!$C$11)))/(SQRT(((Inputs!$I$8+(((A174)+1)/2)*(Inputs!$J$8-Inputs!$I$8)))^2+Inputs!$C$6^2+((Inputs!$H$8+Inputs!$L$8*(((Inputs!$I$8+(((A174)+1)/2)*(Inputs!$J$8-Inputs!$I$8)))/Inputs!$K$8)^2))^2)))))/Inputs!$C$13),NA())</x:f>
        <x:v>-2237.754363131572</x:v>
      </x:c>
      <x:c r="Q174" s="48" t="n">
        <x:f>IF(OR(Inputs!$F$9=TRUE,Inputs!$F$9="TRUE",Inputs!$F$9=1),(-2*((1000*((((Inputs!$I$9+(((A174)+1)/2)*(Inputs!$J$9-Inputs!$I$9)))*Inputs!$C$11+((Inputs!$H$9+Inputs!$L$9*(((Inputs!$I$9+(((A174)+1)/2)*(Inputs!$J$9-Inputs!$I$9)))/Inputs!$K$9)^2))*((2*Inputs!$L$9*((Inputs!$I$9+(((A174)+1)/2)*(Inputs!$J$9-Inputs!$I$9)))/(Inputs!$K$9^2)*Inputs!$C$11)))/(SQRT(((Inputs!$I$9+(((A174)+1)/2)*(Inputs!$J$9-Inputs!$I$9)))^2+Inputs!$C$6^2+((Inputs!$H$9+Inputs!$L$9*(((Inputs!$I$9+(((A174)+1)/2)*(Inputs!$J$9-Inputs!$I$9)))/Inputs!$K$9)^2))^2)))))/Inputs!$C$13),NA())</x:f>
        <x:v>-2236.487887957532</x:v>
      </x:c>
      <x:c r="R174" s="49"/>
      <x:c r="S174" s="48" t="n">
        <x:f>A174</x:f>
        <x:v>0.433</x:v>
      </x:c>
      <x:c r="T174" s="48" t="n">
        <x:f>(Inputs!$I$6+(((A174)+1)/2)*(Inputs!$J$6-Inputs!$I$6))</x:f>
        <x:v>25.980000000000004</x:v>
      </x:c>
      <x:c r="U174" s="48" t="n">
        <x:f>(Inputs!$I$7+(((A174)+1)/2)*(Inputs!$J$7-Inputs!$I$7))</x:f>
        <x:v>173.20000000000005</x:v>
      </x:c>
      <x:c r="V174" s="48" t="n">
        <x:f>(Inputs!$I$8+(((A174)+1)/2)*(Inputs!$J$8-Inputs!$I$8))</x:f>
        <x:v>346.4000000000001</x:v>
      </x:c>
      <x:c r="W174" s="48" t="n">
        <x:f>(Inputs!$I$9+(((A174)+1)/2)*(Inputs!$J$9-Inputs!$I$9))</x:f>
        <x:v>346.4000000000001</x:v>
      </x:c>
      <x:c r="X174" s="49"/>
      <x:c r="Y174" s="48" t="n">
        <x:f>A174</x:f>
        <x:v>0.433</x:v>
      </x:c>
      <x:c r="Z174" s="48" t="n">
        <x:f>(Inputs!$H$6+Inputs!$L$6*(((Inputs!$I$6+(((A174)+1)/2)*(Inputs!$J$6-Inputs!$I$6)))/Inputs!$K$6)^2)</x:f>
        <x:v>400.749956</x:v>
      </x:c>
      <x:c r="AA174" s="48" t="n">
        <x:f>(Inputs!$H$7+Inputs!$L$7*(((Inputs!$I$7+(((A174)+1)/2)*(Inputs!$J$7-Inputs!$I$7)))/Inputs!$K$7)^2)</x:f>
        <x:v>103.43348500000003</x:v>
      </x:c>
      <x:c r="AB174" s="48" t="n">
        <x:f>(Inputs!$H$8+Inputs!$L$8*(((Inputs!$I$8+(((A174)+1)/2)*(Inputs!$J$8-Inputs!$I$8)))/Inputs!$K$8)^2)</x:f>
        <x:v>215.92688500000008</x:v>
      </x:c>
      <x:c r="AC174" s="48" t="n">
        <x:f>(Inputs!$H$9+Inputs!$L$9*(((Inputs!$I$9+(((A174)+1)/2)*(Inputs!$J$9-Inputs!$I$9)))/Inputs!$K$9)^2)</x:f>
        <x:v>207.8017750000001</x:v>
      </x:c>
      <x:c r="AD174" s="49"/>
      <x:c r="AE174" s="48" t="n">
        <x:f>A174</x:f>
        <x:v>0.433</x:v>
      </x:c>
      <x:c r="AF174" s="48" t="n">
        <x:f>(((SQRT(((Inputs!$I$6+(((A174)+1)/2)*(Inputs!$J$6-Inputs!$I$6)))^2+Inputs!$C$6^2+((Inputs!$H$6+Inputs!$L$6*(((Inputs!$I$6+(((A174)+1)/2)*(Inputs!$J$6-Inputs!$I$6)))/Inputs!$K$6)^2))^2))-((Inputs!$H$6+Inputs!$L$6*(((Inputs!$I$6+(((A174)+1)/2)*(Inputs!$J$6-Inputs!$I$6)))/Inputs!$K$6)^2)))*1000/Inputs!$C$12)</x:f>
        <x:v>909.3487243927839</x:v>
      </x:c>
      <x:c r="AG174" s="48" t="n">
        <x:f>(((SQRT(((Inputs!$I$7+(((A174)+1)/2)*(Inputs!$J$7-Inputs!$I$7)))^2+Inputs!$C$6^2+((Inputs!$H$7+Inputs!$L$7*(((Inputs!$I$7+(((A174)+1)/2)*(Inputs!$J$7-Inputs!$I$7)))/Inputs!$K$7)^2))^2))-((Inputs!$H$7+Inputs!$L$7*(((Inputs!$I$7+(((A174)+1)/2)*(Inputs!$J$7-Inputs!$I$7)))/Inputs!$K$7)^2)))*1000/Inputs!$C$12)</x:f>
        <x:v>56092.120890423146</x:v>
      </x:c>
      <x:c r="AH174" s="48" t="n">
        <x:f>(((SQRT(((Inputs!$I$8+(((A174)+1)/2)*(Inputs!$J$8-Inputs!$I$8)))^2+Inputs!$C$6^2+((Inputs!$H$8+Inputs!$L$8*(((Inputs!$I$8+(((A174)+1)/2)*(Inputs!$J$8-Inputs!$I$8)))/Inputs!$K$8)^2))^2))-((Inputs!$H$8+Inputs!$L$8*(((Inputs!$I$8+(((A174)+1)/2)*(Inputs!$J$8-Inputs!$I$8)))/Inputs!$K$8)^2)))*1000/Inputs!$C$12)</x:f>
        <x:v>108441.51637761807</x:v>
      </x:c>
      <x:c r="AI174" s="48" t="n">
        <x:f>(((SQRT(((Inputs!$I$9+(((A174)+1)/2)*(Inputs!$J$9-Inputs!$I$9)))^2+Inputs!$C$6^2+((Inputs!$H$9+Inputs!$L$9*(((Inputs!$I$9+(((A174)+1)/2)*(Inputs!$J$9-Inputs!$I$9)))/Inputs!$K$9)^2))^2))-((Inputs!$H$9+Inputs!$L$9*(((Inputs!$I$9+(((A174)+1)/2)*(Inputs!$J$9-Inputs!$I$9)))/Inputs!$K$9)^2)))*1000/Inputs!$C$12)</x:f>
        <x:v>110629.09031207753</x:v>
      </x:c>
      <x:c r="AJ174" s="49"/>
      <x:c r="AK174" s="48" t="n">
        <x:f>A174</x:f>
        <x:v>0.433</x:v>
      </x:c>
      <x:c r="AL174" s="48" t="n">
        <x:f>(-2*((1000*((((Inputs!$I$6+(((A174)+1)/2)*(Inputs!$J$6-Inputs!$I$6)))*Inputs!$C$11+((Inputs!$H$6+Inputs!$L$6*(((Inputs!$I$6+(((A174)+1)/2)*(Inputs!$J$6-Inputs!$I$6)))/Inputs!$K$6)^2))*((2*Inputs!$L$6*((Inputs!$I$6+(((A174)+1)/2)*(Inputs!$J$6-Inputs!$I$6)))/(Inputs!$K$6^2)*Inputs!$C$11)))/(SQRT(((Inputs!$I$6+(((A174)+1)/2)*(Inputs!$J$6-Inputs!$I$6)))^2+Inputs!$C$6^2+((Inputs!$H$6+Inputs!$L$6*(((Inputs!$I$6+(((A174)+1)/2)*(Inputs!$J$6-Inputs!$I$6)))/Inputs!$K$6)^2))^2)))))/Inputs!$C$13)</x:f>
        <x:v>-195.30999662419933</x:v>
      </x:c>
      <x:c r="AM174" s="48" t="n">
        <x:f>(-2*((1000*((((Inputs!$I$7+(((A174)+1)/2)*(Inputs!$J$7-Inputs!$I$7)))*Inputs!$C$11+((Inputs!$H$7+Inputs!$L$7*(((Inputs!$I$7+(((A174)+1)/2)*(Inputs!$J$7-Inputs!$I$7)))/Inputs!$K$7)^2))*((2*Inputs!$L$7*((Inputs!$I$7+(((A174)+1)/2)*(Inputs!$J$7-Inputs!$I$7)))/(Inputs!$K$7^2)*Inputs!$C$11)))/(SQRT(((Inputs!$I$7+(((A174)+1)/2)*(Inputs!$J$7-Inputs!$I$7)))^2+Inputs!$C$6^2+((Inputs!$H$7+Inputs!$L$7*(((Inputs!$I$7+(((A174)+1)/2)*(Inputs!$J$7-Inputs!$I$7)))/Inputs!$K$7)^2))^2)))))/Inputs!$C$13)</x:f>
        <x:v>-2006.602998303267</x:v>
      </x:c>
      <x:c r="AN174" s="48" t="n">
        <x:f>(-2*((1000*((((Inputs!$I$8+(((A174)+1)/2)*(Inputs!$J$8-Inputs!$I$8)))*Inputs!$C$11+((Inputs!$H$8+Inputs!$L$8*(((Inputs!$I$8+(((A174)+1)/2)*(Inputs!$J$8-Inputs!$I$8)))/Inputs!$K$8)^2))*((2*Inputs!$L$8*((Inputs!$I$8+(((A174)+1)/2)*(Inputs!$J$8-Inputs!$I$8)))/(Inputs!$K$8^2)*Inputs!$C$11)))/(SQRT(((Inputs!$I$8+(((A174)+1)/2)*(Inputs!$J$8-Inputs!$I$8)))^2+Inputs!$C$6^2+((Inputs!$H$8+Inputs!$L$8*(((Inputs!$I$8+(((A174)+1)/2)*(Inputs!$J$8-Inputs!$I$8)))/Inputs!$K$8)^2))^2)))))/Inputs!$C$13)</x:f>
        <x:v>-2237.754363131572</x:v>
      </x:c>
      <x:c r="AO174" s="48" t="n">
        <x:f>(-2*((1000*((((Inputs!$I$9+(((A174)+1)/2)*(Inputs!$J$9-Inputs!$I$9)))*Inputs!$C$11+((Inputs!$H$9+Inputs!$L$9*(((Inputs!$I$9+(((A174)+1)/2)*(Inputs!$J$9-Inputs!$I$9)))/Inputs!$K$9)^2))*((2*Inputs!$L$9*((Inputs!$I$9+(((A174)+1)/2)*(Inputs!$J$9-Inputs!$I$9)))/(Inputs!$K$9^2)*Inputs!$C$11)))/(SQRT(((Inputs!$I$9+(((A174)+1)/2)*(Inputs!$J$9-Inputs!$I$9)))^2+Inputs!$C$6^2+((Inputs!$H$9+Inputs!$L$9*(((Inputs!$I$9+(((A174)+1)/2)*(Inputs!$J$9-Inputs!$I$9)))/Inputs!$K$9)^2))^2)))))/Inputs!$C$13)</x:f>
        <x:v>-2236.487887957532</x:v>
      </x:c>
    </x:row>
    <x:row r="175">
      <x:c r="A175" s="48" t="n">
        <x:f>ROUND(-1+173*2/240,3)</x:f>
        <x:v>0.442</x:v>
      </x:c>
      <x:c r="B175" s="48" t="n">
        <x:f>IF(OR(Inputs!$F$6=TRUE,Inputs!$F$6="TRUE",Inputs!$F$6=1),(Inputs!$H$6+Inputs!$L$6*(((Inputs!$I$6+(((A175)+1)/2)*(Inputs!$J$6-Inputs!$I$6)))/Inputs!$K$6)^2),NA())</x:f>
        <x:v>400.781456</x:v>
      </x:c>
      <x:c r="C175" s="48" t="n">
        <x:f>IF(OR(Inputs!$F$7=TRUE,Inputs!$F$7="TRUE",Inputs!$F$7=1),(Inputs!$H$7+Inputs!$L$7*(((Inputs!$I$7+(((A175)+1)/2)*(Inputs!$J$7-Inputs!$I$7)))/Inputs!$K$7)^2),NA())</x:f>
        <x:v>106.30785999999996</x:v>
      </x:c>
      <x:c r="D175" s="48" t="n">
        <x:f>IF(OR(Inputs!$F$8=TRUE,Inputs!$F$8="TRUE",Inputs!$F$8=1),(Inputs!$H$8+Inputs!$L$8*(((Inputs!$I$8+(((A175)+1)/2)*(Inputs!$J$8-Inputs!$I$8)))/Inputs!$K$8)^2),NA())</x:f>
        <x:v>223.5262599999999</x:v>
      </x:c>
      <x:c r="E175" s="48" t="n">
        <x:f>IF(OR(Inputs!$F$9=TRUE,Inputs!$F$9="TRUE",Inputs!$F$9=1),(Inputs!$H$9+Inputs!$L$9*(((Inputs!$I$9+(((A175)+1)/2)*(Inputs!$J$9-Inputs!$I$9)))/Inputs!$K$9)^2),NA())</x:f>
        <x:v>215.4798999999999</x:v>
      </x:c>
      <x:c r="F175" s="49"/>
      <x:c r="G175" s="48" t="n">
        <x:f>A175</x:f>
        <x:v>0.442</x:v>
      </x:c>
      <x:c r="H175" s="48" t="n">
        <x:f>IF(OR(Inputs!$F$6=TRUE,Inputs!$F$6="TRUE",Inputs!$F$6=1),(((SQRT(((Inputs!$I$6+(((A175)+1)/2)*(Inputs!$J$6-Inputs!$I$6)))^2+Inputs!$C$6^2+((Inputs!$H$6+Inputs!$L$6*(((Inputs!$I$6+(((A175)+1)/2)*(Inputs!$J$6-Inputs!$I$6)))/Inputs!$K$6)^2))^2))-((Inputs!$H$6+Inputs!$L$6*(((Inputs!$I$6+(((A175)+1)/2)*(Inputs!$J$6-Inputs!$I$6)))/Inputs!$K$6)^2)))*1000/Inputs!$C$12),NA())</x:f>
        <x:v>929.0666436899993</x:v>
      </x:c>
      <x:c r="I175" s="48" t="n">
        <x:f>IF(OR(Inputs!$F$7=TRUE,Inputs!$F$7="TRUE",Inputs!$F$7=1),(((SQRT(((Inputs!$I$7+(((A175)+1)/2)*(Inputs!$J$7-Inputs!$I$7)))^2+Inputs!$C$6^2+((Inputs!$H$7+Inputs!$L$7*(((Inputs!$I$7+(((A175)+1)/2)*(Inputs!$J$7-Inputs!$I$7)))/Inputs!$K$7)^2))^2))-((Inputs!$H$7+Inputs!$L$7*(((Inputs!$I$7+(((A175)+1)/2)*(Inputs!$J$7-Inputs!$I$7)))/Inputs!$K$7)^2)))*1000/Inputs!$C$12),NA())</x:f>
        <x:v>57023.1402275906</x:v>
      </x:c>
      <x:c r="J175" s="48" t="n">
        <x:f>IF(OR(Inputs!$F$8=TRUE,Inputs!$F$8="TRUE",Inputs!$F$8=1),(((SQRT(((Inputs!$I$8+(((A175)+1)/2)*(Inputs!$J$8-Inputs!$I$8)))^2+Inputs!$C$6^2+((Inputs!$H$8+Inputs!$L$8*(((Inputs!$I$8+(((A175)+1)/2)*(Inputs!$J$8-Inputs!$I$8)))/Inputs!$K$8)^2))^2))-((Inputs!$H$8+Inputs!$L$8*(((Inputs!$I$8+(((A175)+1)/2)*(Inputs!$J$8-Inputs!$I$8)))/Inputs!$K$8)^2)))*1000/Inputs!$C$12),NA())</x:f>
        <x:v>109857.56465410536</x:v>
      </x:c>
      <x:c r="K175" s="48" t="n">
        <x:f>IF(OR(Inputs!$F$9=TRUE,Inputs!$F$9="TRUE",Inputs!$F$9=1),(((SQRT(((Inputs!$I$9+(((A175)+1)/2)*(Inputs!$J$9-Inputs!$I$9)))^2+Inputs!$C$6^2+((Inputs!$H$9+Inputs!$L$9*(((Inputs!$I$9+(((A175)+1)/2)*(Inputs!$J$9-Inputs!$I$9)))/Inputs!$K$9)^2))^2))-((Inputs!$H$9+Inputs!$L$9*(((Inputs!$I$9+(((A175)+1)/2)*(Inputs!$J$9-Inputs!$I$9)))/Inputs!$K$9)^2)))*1000/Inputs!$C$12),NA())</x:f>
        <x:v>111998.2426293427</x:v>
      </x:c>
      <x:c r="L175" s="49"/>
      <x:c r="M175" s="48" t="n">
        <x:f>A175</x:f>
        <x:v>0.442</x:v>
      </x:c>
      <x:c r="N175" s="48" t="n">
        <x:f>IF(OR(Inputs!$F$6=TRUE,Inputs!$F$6="TRUE",Inputs!$F$6=1),(-2*((1000*((((Inputs!$I$6+(((A175)+1)/2)*(Inputs!$J$6-Inputs!$I$6)))*Inputs!$C$11+((Inputs!$H$6+Inputs!$L$6*(((Inputs!$I$6+(((A175)+1)/2)*(Inputs!$J$6-Inputs!$I$6)))/Inputs!$K$6)^2))*((2*Inputs!$L$6*((Inputs!$I$6+(((A175)+1)/2)*(Inputs!$J$6-Inputs!$I$6)))/(Inputs!$K$6^2)*Inputs!$C$11)))/(SQRT(((Inputs!$I$6+(((A175)+1)/2)*(Inputs!$J$6-Inputs!$I$6)))^2+Inputs!$C$6^2+((Inputs!$H$6+Inputs!$L$6*(((Inputs!$I$6+(((A175)+1)/2)*(Inputs!$J$6-Inputs!$I$6)))/Inputs!$K$6)^2))^2)))))/Inputs!$C$13),NA())</x:f>
        <x:v>-199.34394530037937</x:v>
      </x:c>
      <x:c r="O175" s="48" t="n">
        <x:f>IF(OR(Inputs!$F$7=TRUE,Inputs!$F$7="TRUE",Inputs!$F$7=1),(-2*((1000*((((Inputs!$I$7+(((A175)+1)/2)*(Inputs!$J$7-Inputs!$I$7)))*Inputs!$C$11+((Inputs!$H$7+Inputs!$L$7*(((Inputs!$I$7+(((A175)+1)/2)*(Inputs!$J$7-Inputs!$I$7)))/Inputs!$K$7)^2))*((2*Inputs!$L$7*((Inputs!$I$7+(((A175)+1)/2)*(Inputs!$J$7-Inputs!$I$7)))/(Inputs!$K$7^2)*Inputs!$C$11)))/(SQRT(((Inputs!$I$7+(((A175)+1)/2)*(Inputs!$J$7-Inputs!$I$7)))^2+Inputs!$C$6^2+((Inputs!$H$7+Inputs!$L$7*(((Inputs!$I$7+(((A175)+1)/2)*(Inputs!$J$7-Inputs!$I$7)))/Inputs!$K$7)^2))^2)))))/Inputs!$C$13),NA())</x:f>
        <x:v>-2021.4960668395622</x:v>
      </x:c>
      <x:c r="P175" s="48" t="n">
        <x:f>IF(OR(Inputs!$F$8=TRUE,Inputs!$F$8="TRUE",Inputs!$F$8=1),(-2*((1000*((((Inputs!$I$8+(((A175)+1)/2)*(Inputs!$J$8-Inputs!$I$8)))*Inputs!$C$11+((Inputs!$H$8+Inputs!$L$8*(((Inputs!$I$8+(((A175)+1)/2)*(Inputs!$J$8-Inputs!$I$8)))/Inputs!$K$8)^2))*((2*Inputs!$L$8*((Inputs!$I$8+(((A175)+1)/2)*(Inputs!$J$8-Inputs!$I$8)))/(Inputs!$K$8^2)*Inputs!$C$11)))/(SQRT(((Inputs!$I$8+(((A175)+1)/2)*(Inputs!$J$8-Inputs!$I$8)))^2+Inputs!$C$6^2+((Inputs!$H$8+Inputs!$L$8*(((Inputs!$I$8+(((A175)+1)/2)*(Inputs!$J$8-Inputs!$I$8)))/Inputs!$K$8)^2))^2)))))/Inputs!$C$13),NA())</x:f>
        <x:v>-2260.0435819836785</x:v>
      </x:c>
      <x:c r="Q175" s="48" t="n">
        <x:f>IF(OR(Inputs!$F$9=TRUE,Inputs!$F$9="TRUE",Inputs!$F$9=1),(-2*((1000*((((Inputs!$I$9+(((A175)+1)/2)*(Inputs!$J$9-Inputs!$I$9)))*Inputs!$C$11+((Inputs!$H$9+Inputs!$L$9*(((Inputs!$I$9+(((A175)+1)/2)*(Inputs!$J$9-Inputs!$I$9)))/Inputs!$K$9)^2))*((2*Inputs!$L$9*((Inputs!$I$9+(((A175)+1)/2)*(Inputs!$J$9-Inputs!$I$9)))/(Inputs!$K$9^2)*Inputs!$C$11)))/(SQRT(((Inputs!$I$9+(((A175)+1)/2)*(Inputs!$J$9-Inputs!$I$9)))^2+Inputs!$C$6^2+((Inputs!$H$9+Inputs!$L$9*(((Inputs!$I$9+(((A175)+1)/2)*(Inputs!$J$9-Inputs!$I$9)))/Inputs!$K$9)^2))^2)))))/Inputs!$C$13),NA())</x:f>
        <x:v>-2259.2120929206963</x:v>
      </x:c>
      <x:c r="R175" s="49"/>
      <x:c r="S175" s="48" t="n">
        <x:f>A175</x:f>
        <x:v>0.442</x:v>
      </x:c>
      <x:c r="T175" s="48" t="n">
        <x:f>(Inputs!$I$6+(((A175)+1)/2)*(Inputs!$J$6-Inputs!$I$6))</x:f>
        <x:v>26.519999999999996</x:v>
      </x:c>
      <x:c r="U175" s="48" t="n">
        <x:f>(Inputs!$I$7+(((A175)+1)/2)*(Inputs!$J$7-Inputs!$I$7))</x:f>
        <x:v>176.79999999999995</x:v>
      </x:c>
      <x:c r="V175" s="48" t="n">
        <x:f>(Inputs!$I$8+(((A175)+1)/2)*(Inputs!$J$8-Inputs!$I$8))</x:f>
        <x:v>353.5999999999999</x:v>
      </x:c>
      <x:c r="W175" s="48" t="n">
        <x:f>(Inputs!$I$9+(((A175)+1)/2)*(Inputs!$J$9-Inputs!$I$9))</x:f>
        <x:v>353.5999999999999</x:v>
      </x:c>
      <x:c r="X175" s="49"/>
      <x:c r="Y175" s="48" t="n">
        <x:f>A175</x:f>
        <x:v>0.442</x:v>
      </x:c>
      <x:c r="Z175" s="48" t="n">
        <x:f>(Inputs!$H$6+Inputs!$L$6*(((Inputs!$I$6+(((A175)+1)/2)*(Inputs!$J$6-Inputs!$I$6)))/Inputs!$K$6)^2)</x:f>
        <x:v>400.781456</x:v>
      </x:c>
      <x:c r="AA175" s="48" t="n">
        <x:f>(Inputs!$H$7+Inputs!$L$7*(((Inputs!$I$7+(((A175)+1)/2)*(Inputs!$J$7-Inputs!$I$7)))/Inputs!$K$7)^2)</x:f>
        <x:v>106.30785999999996</x:v>
      </x:c>
      <x:c r="AB175" s="48" t="n">
        <x:f>(Inputs!$H$8+Inputs!$L$8*(((Inputs!$I$8+(((A175)+1)/2)*(Inputs!$J$8-Inputs!$I$8)))/Inputs!$K$8)^2)</x:f>
        <x:v>223.5262599999999</x:v>
      </x:c>
      <x:c r="AC175" s="48" t="n">
        <x:f>(Inputs!$H$9+Inputs!$L$9*(((Inputs!$I$9+(((A175)+1)/2)*(Inputs!$J$9-Inputs!$I$9)))/Inputs!$K$9)^2)</x:f>
        <x:v>215.4798999999999</x:v>
      </x:c>
      <x:c r="AD175" s="49"/>
      <x:c r="AE175" s="48" t="n">
        <x:f>A175</x:f>
        <x:v>0.442</x:v>
      </x:c>
      <x:c r="AF175" s="48" t="n">
        <x:f>(((SQRT(((Inputs!$I$6+(((A175)+1)/2)*(Inputs!$J$6-Inputs!$I$6)))^2+Inputs!$C$6^2+((Inputs!$H$6+Inputs!$L$6*(((Inputs!$I$6+(((A175)+1)/2)*(Inputs!$J$6-Inputs!$I$6)))/Inputs!$K$6)^2))^2))-((Inputs!$H$6+Inputs!$L$6*(((Inputs!$I$6+(((A175)+1)/2)*(Inputs!$J$6-Inputs!$I$6)))/Inputs!$K$6)^2)))*1000/Inputs!$C$12)</x:f>
        <x:v>929.0666436899993</x:v>
      </x:c>
      <x:c r="AG175" s="48" t="n">
        <x:f>(((SQRT(((Inputs!$I$7+(((A175)+1)/2)*(Inputs!$J$7-Inputs!$I$7)))^2+Inputs!$C$6^2+((Inputs!$H$7+Inputs!$L$7*(((Inputs!$I$7+(((A175)+1)/2)*(Inputs!$J$7-Inputs!$I$7)))/Inputs!$K$7)^2))^2))-((Inputs!$H$7+Inputs!$L$7*(((Inputs!$I$7+(((A175)+1)/2)*(Inputs!$J$7-Inputs!$I$7)))/Inputs!$K$7)^2)))*1000/Inputs!$C$12)</x:f>
        <x:v>57023.1402275906</x:v>
      </x:c>
      <x:c r="AH175" s="48" t="n">
        <x:f>(((SQRT(((Inputs!$I$8+(((A175)+1)/2)*(Inputs!$J$8-Inputs!$I$8)))^2+Inputs!$C$6^2+((Inputs!$H$8+Inputs!$L$8*(((Inputs!$I$8+(((A175)+1)/2)*(Inputs!$J$8-Inputs!$I$8)))/Inputs!$K$8)^2))^2))-((Inputs!$H$8+Inputs!$L$8*(((Inputs!$I$8+(((A175)+1)/2)*(Inputs!$J$8-Inputs!$I$8)))/Inputs!$K$8)^2)))*1000/Inputs!$C$12)</x:f>
        <x:v>109857.56465410536</x:v>
      </x:c>
      <x:c r="AI175" s="48" t="n">
        <x:f>(((SQRT(((Inputs!$I$9+(((A175)+1)/2)*(Inputs!$J$9-Inputs!$I$9)))^2+Inputs!$C$6^2+((Inputs!$H$9+Inputs!$L$9*(((Inputs!$I$9+(((A175)+1)/2)*(Inputs!$J$9-Inputs!$I$9)))/Inputs!$K$9)^2))^2))-((Inputs!$H$9+Inputs!$L$9*(((Inputs!$I$9+(((A175)+1)/2)*(Inputs!$J$9-Inputs!$I$9)))/Inputs!$K$9)^2)))*1000/Inputs!$C$12)</x:f>
        <x:v>111998.2426293427</x:v>
      </x:c>
      <x:c r="AJ175" s="49"/>
      <x:c r="AK175" s="48" t="n">
        <x:f>A175</x:f>
        <x:v>0.442</x:v>
      </x:c>
      <x:c r="AL175" s="48" t="n">
        <x:f>(-2*((1000*((((Inputs!$I$6+(((A175)+1)/2)*(Inputs!$J$6-Inputs!$I$6)))*Inputs!$C$11+((Inputs!$H$6+Inputs!$L$6*(((Inputs!$I$6+(((A175)+1)/2)*(Inputs!$J$6-Inputs!$I$6)))/Inputs!$K$6)^2))*((2*Inputs!$L$6*((Inputs!$I$6+(((A175)+1)/2)*(Inputs!$J$6-Inputs!$I$6)))/(Inputs!$K$6^2)*Inputs!$C$11)))/(SQRT(((Inputs!$I$6+(((A175)+1)/2)*(Inputs!$J$6-Inputs!$I$6)))^2+Inputs!$C$6^2+((Inputs!$H$6+Inputs!$L$6*(((Inputs!$I$6+(((A175)+1)/2)*(Inputs!$J$6-Inputs!$I$6)))/Inputs!$K$6)^2))^2)))))/Inputs!$C$13)</x:f>
        <x:v>-199.34394530037937</x:v>
      </x:c>
      <x:c r="AM175" s="48" t="n">
        <x:f>(-2*((1000*((((Inputs!$I$7+(((A175)+1)/2)*(Inputs!$J$7-Inputs!$I$7)))*Inputs!$C$11+((Inputs!$H$7+Inputs!$L$7*(((Inputs!$I$7+(((A175)+1)/2)*(Inputs!$J$7-Inputs!$I$7)))/Inputs!$K$7)^2))*((2*Inputs!$L$7*((Inputs!$I$7+(((A175)+1)/2)*(Inputs!$J$7-Inputs!$I$7)))/(Inputs!$K$7^2)*Inputs!$C$11)))/(SQRT(((Inputs!$I$7+(((A175)+1)/2)*(Inputs!$J$7-Inputs!$I$7)))^2+Inputs!$C$6^2+((Inputs!$H$7+Inputs!$L$7*(((Inputs!$I$7+(((A175)+1)/2)*(Inputs!$J$7-Inputs!$I$7)))/Inputs!$K$7)^2))^2)))))/Inputs!$C$13)</x:f>
        <x:v>-2021.4960668395622</x:v>
      </x:c>
      <x:c r="AN175" s="48" t="n">
        <x:f>(-2*((1000*((((Inputs!$I$8+(((A175)+1)/2)*(Inputs!$J$8-Inputs!$I$8)))*Inputs!$C$11+((Inputs!$H$8+Inputs!$L$8*(((Inputs!$I$8+(((A175)+1)/2)*(Inputs!$J$8-Inputs!$I$8)))/Inputs!$K$8)^2))*((2*Inputs!$L$8*((Inputs!$I$8+(((A175)+1)/2)*(Inputs!$J$8-Inputs!$I$8)))/(Inputs!$K$8^2)*Inputs!$C$11)))/(SQRT(((Inputs!$I$8+(((A175)+1)/2)*(Inputs!$J$8-Inputs!$I$8)))^2+Inputs!$C$6^2+((Inputs!$H$8+Inputs!$L$8*(((Inputs!$I$8+(((A175)+1)/2)*(Inputs!$J$8-Inputs!$I$8)))/Inputs!$K$8)^2))^2)))))/Inputs!$C$13)</x:f>
        <x:v>-2260.0435819836785</x:v>
      </x:c>
      <x:c r="AO175" s="48" t="n">
        <x:f>(-2*((1000*((((Inputs!$I$9+(((A175)+1)/2)*(Inputs!$J$9-Inputs!$I$9)))*Inputs!$C$11+((Inputs!$H$9+Inputs!$L$9*(((Inputs!$I$9+(((A175)+1)/2)*(Inputs!$J$9-Inputs!$I$9)))/Inputs!$K$9)^2))*((2*Inputs!$L$9*((Inputs!$I$9+(((A175)+1)/2)*(Inputs!$J$9-Inputs!$I$9)))/(Inputs!$K$9^2)*Inputs!$C$11)))/(SQRT(((Inputs!$I$9+(((A175)+1)/2)*(Inputs!$J$9-Inputs!$I$9)))^2+Inputs!$C$6^2+((Inputs!$H$9+Inputs!$L$9*(((Inputs!$I$9+(((A175)+1)/2)*(Inputs!$J$9-Inputs!$I$9)))/Inputs!$K$9)^2))^2)))))/Inputs!$C$13)</x:f>
        <x:v>-2259.2120929206963</x:v>
      </x:c>
    </x:row>
    <x:row r="176">
      <x:c r="A176" s="48" t="n">
        <x:f>ROUND(-1+174*2/240,3)</x:f>
        <x:v>0.45</x:v>
      </x:c>
      <x:c r="B176" s="48" t="n">
        <x:f>IF(OR(Inputs!$F$6=TRUE,Inputs!$F$6="TRUE",Inputs!$F$6=1),(Inputs!$H$6+Inputs!$L$6*(((Inputs!$I$6+(((A176)+1)/2)*(Inputs!$J$6-Inputs!$I$6)))/Inputs!$K$6)^2),NA())</x:f>
        <x:v>400.81</x:v>
      </x:c>
      <x:c r="C176" s="48" t="n">
        <x:f>IF(OR(Inputs!$F$7=TRUE,Inputs!$F$7="TRUE",Inputs!$F$7=1),(Inputs!$H$7+Inputs!$L$7*(((Inputs!$I$7+(((A176)+1)/2)*(Inputs!$J$7-Inputs!$I$7)))/Inputs!$K$7)^2),NA())</x:f>
        <x:v>108.91250000000001</x:v>
      </x:c>
      <x:c r="D176" s="48" t="n">
        <x:f>IF(OR(Inputs!$F$8=TRUE,Inputs!$F$8="TRUE",Inputs!$F$8=1),(Inputs!$H$8+Inputs!$L$8*(((Inputs!$I$8+(((A176)+1)/2)*(Inputs!$J$8-Inputs!$I$8)))/Inputs!$K$8)^2),NA())</x:f>
        <x:v>230.41250000000002</x:v>
      </x:c>
      <x:c r="E176" s="48" t="n">
        <x:f>IF(OR(Inputs!$F$9=TRUE,Inputs!$F$9="TRUE",Inputs!$F$9=1),(Inputs!$H$9+Inputs!$L$9*(((Inputs!$I$9+(((A176)+1)/2)*(Inputs!$J$9-Inputs!$I$9)))/Inputs!$K$9)^2),NA())</x:f>
        <x:v>222.4375</x:v>
      </x:c>
      <x:c r="F176" s="49"/>
      <x:c r="G176" s="48" t="n">
        <x:f>A176</x:f>
        <x:v>0.45</x:v>
      </x:c>
      <x:c r="H176" s="48" t="n">
        <x:f>IF(OR(Inputs!$F$6=TRUE,Inputs!$F$6="TRUE",Inputs!$F$6=1),(((SQRT(((Inputs!$I$6+(((A176)+1)/2)*(Inputs!$J$6-Inputs!$I$6)))^2+Inputs!$C$6^2+((Inputs!$H$6+Inputs!$L$6*(((Inputs!$I$6+(((A176)+1)/2)*(Inputs!$J$6-Inputs!$I$6)))/Inputs!$K$6)^2))^2))-((Inputs!$H$6+Inputs!$L$6*(((Inputs!$I$6+(((A176)+1)/2)*(Inputs!$J$6-Inputs!$I$6)))/Inputs!$K$6)^2)))*1000/Inputs!$C$12),NA())</x:f>
        <x:v>946.9300579721395</x:v>
      </x:c>
      <x:c r="I176" s="48" t="n">
        <x:f>IF(OR(Inputs!$F$7=TRUE,Inputs!$F$7="TRUE",Inputs!$F$7=1),(((SQRT(((Inputs!$I$7+(((A176)+1)/2)*(Inputs!$J$7-Inputs!$I$7)))^2+Inputs!$C$6^2+((Inputs!$H$7+Inputs!$L$7*(((Inputs!$I$7+(((A176)+1)/2)*(Inputs!$J$7-Inputs!$I$7)))/Inputs!$K$7)^2))^2))-((Inputs!$H$7+Inputs!$L$7*(((Inputs!$I$7+(((A176)+1)/2)*(Inputs!$J$7-Inputs!$I$7)))/Inputs!$K$7)^2)))*1000/Inputs!$C$12),NA())</x:f>
        <x:v>57838.68789686295</x:v>
      </x:c>
      <x:c r="J176" s="48" t="n">
        <x:f>IF(OR(Inputs!$F$8=TRUE,Inputs!$F$8="TRUE",Inputs!$F$8=1),(((SQRT(((Inputs!$I$8+(((A176)+1)/2)*(Inputs!$J$8-Inputs!$I$8)))^2+Inputs!$C$6^2+((Inputs!$H$8+Inputs!$L$8*(((Inputs!$I$8+(((A176)+1)/2)*(Inputs!$J$8-Inputs!$I$8)))/Inputs!$K$8)^2))^2))-((Inputs!$H$8+Inputs!$L$8*(((Inputs!$I$8+(((A176)+1)/2)*(Inputs!$J$8-Inputs!$I$8)))/Inputs!$K$8)^2)))*1000/Inputs!$C$12),NA())</x:f>
        <x:v>111090.12179244011</x:v>
      </x:c>
      <x:c r="K176" s="48" t="n">
        <x:f>IF(OR(Inputs!$F$9=TRUE,Inputs!$F$9="TRUE",Inputs!$F$9=1),(((SQRT(((Inputs!$I$9+(((A176)+1)/2)*(Inputs!$J$9-Inputs!$I$9)))^2+Inputs!$C$6^2+((Inputs!$H$9+Inputs!$L$9*(((Inputs!$I$9+(((A176)+1)/2)*(Inputs!$J$9-Inputs!$I$9)))/Inputs!$K$9)^2))^2))-((Inputs!$H$9+Inputs!$L$9*(((Inputs!$I$9+(((A176)+1)/2)*(Inputs!$J$9-Inputs!$I$9)))/Inputs!$K$9)^2)))*1000/Inputs!$C$12),NA())</x:f>
        <x:v>113189.2848231855</x:v>
      </x:c>
      <x:c r="L176" s="49"/>
      <x:c r="M176" s="48" t="n">
        <x:f>A176</x:f>
        <x:v>0.45</x:v>
      </x:c>
      <x:c r="N176" s="48" t="n">
        <x:f>IF(OR(Inputs!$F$6=TRUE,Inputs!$F$6="TRUE",Inputs!$F$6=1),(-2*((1000*((((Inputs!$I$6+(((A176)+1)/2)*(Inputs!$J$6-Inputs!$I$6)))*Inputs!$C$11+((Inputs!$H$6+Inputs!$L$6*(((Inputs!$I$6+(((A176)+1)/2)*(Inputs!$J$6-Inputs!$I$6)))/Inputs!$K$6)^2))*((2*Inputs!$L$6*((Inputs!$I$6+(((A176)+1)/2)*(Inputs!$J$6-Inputs!$I$6)))/(Inputs!$K$6^2)*Inputs!$C$11)))/(SQRT(((Inputs!$I$6+(((A176)+1)/2)*(Inputs!$J$6-Inputs!$I$6)))^2+Inputs!$C$6^2+((Inputs!$H$6+Inputs!$L$6*(((Inputs!$I$6+(((A176)+1)/2)*(Inputs!$J$6-Inputs!$I$6)))/Inputs!$K$6)^2))^2)))))/Inputs!$C$13),NA())</x:f>
        <x:v>-202.9283626659073</x:v>
      </x:c>
      <x:c r="O176" s="48" t="n">
        <x:f>IF(OR(Inputs!$F$7=TRUE,Inputs!$F$7="TRUE",Inputs!$F$7=1),(-2*((1000*((((Inputs!$I$7+(((A176)+1)/2)*(Inputs!$J$7-Inputs!$I$7)))*Inputs!$C$11+((Inputs!$H$7+Inputs!$L$7*(((Inputs!$I$7+(((A176)+1)/2)*(Inputs!$J$7-Inputs!$I$7)))/Inputs!$K$7)^2))*((2*Inputs!$L$7*((Inputs!$I$7+(((A176)+1)/2)*(Inputs!$J$7-Inputs!$I$7)))/(Inputs!$K$7^2)*Inputs!$C$11)))/(SQRT(((Inputs!$I$7+(((A176)+1)/2)*(Inputs!$J$7-Inputs!$I$7)))^2+Inputs!$C$6^2+((Inputs!$H$7+Inputs!$L$7*(((Inputs!$I$7+(((A176)+1)/2)*(Inputs!$J$7-Inputs!$I$7)))/Inputs!$K$7)^2))^2)))))/Inputs!$C$13),NA())</x:f>
        <x:v>-2034.8348400697937</x:v>
      </x:c>
      <x:c r="P176" s="48" t="n">
        <x:f>IF(OR(Inputs!$F$8=TRUE,Inputs!$F$8="TRUE",Inputs!$F$8=1),(-2*((1000*((((Inputs!$I$8+(((A176)+1)/2)*(Inputs!$J$8-Inputs!$I$8)))*Inputs!$C$11+((Inputs!$H$8+Inputs!$L$8*(((Inputs!$I$8+(((A176)+1)/2)*(Inputs!$J$8-Inputs!$I$8)))/Inputs!$K$8)^2))*((2*Inputs!$L$8*((Inputs!$I$8+(((A176)+1)/2)*(Inputs!$J$8-Inputs!$I$8)))/(Inputs!$K$8^2)*Inputs!$C$11)))/(SQRT(((Inputs!$I$8+(((A176)+1)/2)*(Inputs!$J$8-Inputs!$I$8)))^2+Inputs!$C$6^2+((Inputs!$H$8+Inputs!$L$8*(((Inputs!$I$8+(((A176)+1)/2)*(Inputs!$J$8-Inputs!$I$8)))/Inputs!$K$8)^2))^2)))))/Inputs!$C$13),NA())</x:f>
        <x:v>-2280.088431530129</x:v>
      </x:c>
      <x:c r="Q176" s="48" t="n">
        <x:f>IF(OR(Inputs!$F$9=TRUE,Inputs!$F$9="TRUE",Inputs!$F$9=1),(-2*((1000*((((Inputs!$I$9+(((A176)+1)/2)*(Inputs!$J$9-Inputs!$I$9)))*Inputs!$C$11+((Inputs!$H$9+Inputs!$L$9*(((Inputs!$I$9+(((A176)+1)/2)*(Inputs!$J$9-Inputs!$I$9)))/Inputs!$K$9)^2))*((2*Inputs!$L$9*((Inputs!$I$9+(((A176)+1)/2)*(Inputs!$J$9-Inputs!$I$9)))/(Inputs!$K$9^2)*Inputs!$C$11)))/(SQRT(((Inputs!$I$9+(((A176)+1)/2)*(Inputs!$J$9-Inputs!$I$9)))^2+Inputs!$C$6^2+((Inputs!$H$9+Inputs!$L$9*(((Inputs!$I$9+(((A176)+1)/2)*(Inputs!$J$9-Inputs!$I$9)))/Inputs!$K$9)^2))^2)))))/Inputs!$C$13),NA())</x:f>
        <x:v>-2279.6530407623495</x:v>
      </x:c>
      <x:c r="R176" s="49"/>
      <x:c r="S176" s="48" t="n">
        <x:f>A176</x:f>
        <x:v>0.45</x:v>
      </x:c>
      <x:c r="T176" s="48" t="n">
        <x:f>(Inputs!$I$6+(((A176)+1)/2)*(Inputs!$J$6-Inputs!$I$6))</x:f>
        <x:v>27</x:v>
      </x:c>
      <x:c r="U176" s="48" t="n">
        <x:f>(Inputs!$I$7+(((A176)+1)/2)*(Inputs!$J$7-Inputs!$I$7))</x:f>
        <x:v>180</x:v>
      </x:c>
      <x:c r="V176" s="48" t="n">
        <x:f>(Inputs!$I$8+(((A176)+1)/2)*(Inputs!$J$8-Inputs!$I$8))</x:f>
        <x:v>360</x:v>
      </x:c>
      <x:c r="W176" s="48" t="n">
        <x:f>(Inputs!$I$9+(((A176)+1)/2)*(Inputs!$J$9-Inputs!$I$9))</x:f>
        <x:v>360</x:v>
      </x:c>
      <x:c r="X176" s="49"/>
      <x:c r="Y176" s="48" t="n">
        <x:f>A176</x:f>
        <x:v>0.45</x:v>
      </x:c>
      <x:c r="Z176" s="48" t="n">
        <x:f>(Inputs!$H$6+Inputs!$L$6*(((Inputs!$I$6+(((A176)+1)/2)*(Inputs!$J$6-Inputs!$I$6)))/Inputs!$K$6)^2)</x:f>
        <x:v>400.81</x:v>
      </x:c>
      <x:c r="AA176" s="48" t="n">
        <x:f>(Inputs!$H$7+Inputs!$L$7*(((Inputs!$I$7+(((A176)+1)/2)*(Inputs!$J$7-Inputs!$I$7)))/Inputs!$K$7)^2)</x:f>
        <x:v>108.91250000000001</x:v>
      </x:c>
      <x:c r="AB176" s="48" t="n">
        <x:f>(Inputs!$H$8+Inputs!$L$8*(((Inputs!$I$8+(((A176)+1)/2)*(Inputs!$J$8-Inputs!$I$8)))/Inputs!$K$8)^2)</x:f>
        <x:v>230.41250000000002</x:v>
      </x:c>
      <x:c r="AC176" s="48" t="n">
        <x:f>(Inputs!$H$9+Inputs!$L$9*(((Inputs!$I$9+(((A176)+1)/2)*(Inputs!$J$9-Inputs!$I$9)))/Inputs!$K$9)^2)</x:f>
        <x:v>222.4375</x:v>
      </x:c>
      <x:c r="AD176" s="49"/>
      <x:c r="AE176" s="48" t="n">
        <x:f>A176</x:f>
        <x:v>0.45</x:v>
      </x:c>
      <x:c r="AF176" s="48" t="n">
        <x:f>(((SQRT(((Inputs!$I$6+(((A176)+1)/2)*(Inputs!$J$6-Inputs!$I$6)))^2+Inputs!$C$6^2+((Inputs!$H$6+Inputs!$L$6*(((Inputs!$I$6+(((A176)+1)/2)*(Inputs!$J$6-Inputs!$I$6)))/Inputs!$K$6)^2))^2))-((Inputs!$H$6+Inputs!$L$6*(((Inputs!$I$6+(((A176)+1)/2)*(Inputs!$J$6-Inputs!$I$6)))/Inputs!$K$6)^2)))*1000/Inputs!$C$12)</x:f>
        <x:v>946.9300579721395</x:v>
      </x:c>
      <x:c r="AG176" s="48" t="n">
        <x:f>(((SQRT(((Inputs!$I$7+(((A176)+1)/2)*(Inputs!$J$7-Inputs!$I$7)))^2+Inputs!$C$6^2+((Inputs!$H$7+Inputs!$L$7*(((Inputs!$I$7+(((A176)+1)/2)*(Inputs!$J$7-Inputs!$I$7)))/Inputs!$K$7)^2))^2))-((Inputs!$H$7+Inputs!$L$7*(((Inputs!$I$7+(((A176)+1)/2)*(Inputs!$J$7-Inputs!$I$7)))/Inputs!$K$7)^2)))*1000/Inputs!$C$12)</x:f>
        <x:v>57838.68789686295</x:v>
      </x:c>
      <x:c r="AH176" s="48" t="n">
        <x:f>(((SQRT(((Inputs!$I$8+(((A176)+1)/2)*(Inputs!$J$8-Inputs!$I$8)))^2+Inputs!$C$6^2+((Inputs!$H$8+Inputs!$L$8*(((Inputs!$I$8+(((A176)+1)/2)*(Inputs!$J$8-Inputs!$I$8)))/Inputs!$K$8)^2))^2))-((Inputs!$H$8+Inputs!$L$8*(((Inputs!$I$8+(((A176)+1)/2)*(Inputs!$J$8-Inputs!$I$8)))/Inputs!$K$8)^2)))*1000/Inputs!$C$12)</x:f>
        <x:v>111090.12179244011</x:v>
      </x:c>
      <x:c r="AI176" s="48" t="n">
        <x:f>(((SQRT(((Inputs!$I$9+(((A176)+1)/2)*(Inputs!$J$9-Inputs!$I$9)))^2+Inputs!$C$6^2+((Inputs!$H$9+Inputs!$L$9*(((Inputs!$I$9+(((A176)+1)/2)*(Inputs!$J$9-Inputs!$I$9)))/Inputs!$K$9)^2))^2))-((Inputs!$H$9+Inputs!$L$9*(((Inputs!$I$9+(((A176)+1)/2)*(Inputs!$J$9-Inputs!$I$9)))/Inputs!$K$9)^2)))*1000/Inputs!$C$12)</x:f>
        <x:v>113189.2848231855</x:v>
      </x:c>
      <x:c r="AJ176" s="49"/>
      <x:c r="AK176" s="48" t="n">
        <x:f>A176</x:f>
        <x:v>0.45</x:v>
      </x:c>
      <x:c r="AL176" s="48" t="n">
        <x:f>(-2*((1000*((((Inputs!$I$6+(((A176)+1)/2)*(Inputs!$J$6-Inputs!$I$6)))*Inputs!$C$11+((Inputs!$H$6+Inputs!$L$6*(((Inputs!$I$6+(((A176)+1)/2)*(Inputs!$J$6-Inputs!$I$6)))/Inputs!$K$6)^2))*((2*Inputs!$L$6*((Inputs!$I$6+(((A176)+1)/2)*(Inputs!$J$6-Inputs!$I$6)))/(Inputs!$K$6^2)*Inputs!$C$11)))/(SQRT(((Inputs!$I$6+(((A176)+1)/2)*(Inputs!$J$6-Inputs!$I$6)))^2+Inputs!$C$6^2+((Inputs!$H$6+Inputs!$L$6*(((Inputs!$I$6+(((A176)+1)/2)*(Inputs!$J$6-Inputs!$I$6)))/Inputs!$K$6)^2))^2)))))/Inputs!$C$13)</x:f>
        <x:v>-202.9283626659073</x:v>
      </x:c>
      <x:c r="AM176" s="48" t="n">
        <x:f>(-2*((1000*((((Inputs!$I$7+(((A176)+1)/2)*(Inputs!$J$7-Inputs!$I$7)))*Inputs!$C$11+((Inputs!$H$7+Inputs!$L$7*(((Inputs!$I$7+(((A176)+1)/2)*(Inputs!$J$7-Inputs!$I$7)))/Inputs!$K$7)^2))*((2*Inputs!$L$7*((Inputs!$I$7+(((A176)+1)/2)*(Inputs!$J$7-Inputs!$I$7)))/(Inputs!$K$7^2)*Inputs!$C$11)))/(SQRT(((Inputs!$I$7+(((A176)+1)/2)*(Inputs!$J$7-Inputs!$I$7)))^2+Inputs!$C$6^2+((Inputs!$H$7+Inputs!$L$7*(((Inputs!$I$7+(((A176)+1)/2)*(Inputs!$J$7-Inputs!$I$7)))/Inputs!$K$7)^2))^2)))))/Inputs!$C$13)</x:f>
        <x:v>-2034.8348400697937</x:v>
      </x:c>
      <x:c r="AN176" s="48" t="n">
        <x:f>(-2*((1000*((((Inputs!$I$8+(((A176)+1)/2)*(Inputs!$J$8-Inputs!$I$8)))*Inputs!$C$11+((Inputs!$H$8+Inputs!$L$8*(((Inputs!$I$8+(((A176)+1)/2)*(Inputs!$J$8-Inputs!$I$8)))/Inputs!$K$8)^2))*((2*Inputs!$L$8*((Inputs!$I$8+(((A176)+1)/2)*(Inputs!$J$8-Inputs!$I$8)))/(Inputs!$K$8^2)*Inputs!$C$11)))/(SQRT(((Inputs!$I$8+(((A176)+1)/2)*(Inputs!$J$8-Inputs!$I$8)))^2+Inputs!$C$6^2+((Inputs!$H$8+Inputs!$L$8*(((Inputs!$I$8+(((A176)+1)/2)*(Inputs!$J$8-Inputs!$I$8)))/Inputs!$K$8)^2))^2)))))/Inputs!$C$13)</x:f>
        <x:v>-2280.088431530129</x:v>
      </x:c>
      <x:c r="AO176" s="48" t="n">
        <x:f>(-2*((1000*((((Inputs!$I$9+(((A176)+1)/2)*(Inputs!$J$9-Inputs!$I$9)))*Inputs!$C$11+((Inputs!$H$9+Inputs!$L$9*(((Inputs!$I$9+(((A176)+1)/2)*(Inputs!$J$9-Inputs!$I$9)))/Inputs!$K$9)^2))*((2*Inputs!$L$9*((Inputs!$I$9+(((A176)+1)/2)*(Inputs!$J$9-Inputs!$I$9)))/(Inputs!$K$9^2)*Inputs!$C$11)))/(SQRT(((Inputs!$I$9+(((A176)+1)/2)*(Inputs!$J$9-Inputs!$I$9)))^2+Inputs!$C$6^2+((Inputs!$H$9+Inputs!$L$9*(((Inputs!$I$9+(((A176)+1)/2)*(Inputs!$J$9-Inputs!$I$9)))/Inputs!$K$9)^2))^2)))))/Inputs!$C$13)</x:f>
        <x:v>-2279.6530407623495</x:v>
      </x:c>
    </x:row>
    <x:row r="177">
      <x:c r="A177" s="48" t="n">
        <x:f>ROUND(-1+175*2/240,3)</x:f>
        <x:v>0.458</x:v>
      </x:c>
      <x:c r="B177" s="48" t="n">
        <x:f>IF(OR(Inputs!$F$6=TRUE,Inputs!$F$6="TRUE",Inputs!$F$6=1),(Inputs!$H$6+Inputs!$L$6*(((Inputs!$I$6+(((A177)+1)/2)*(Inputs!$J$6-Inputs!$I$6)))/Inputs!$K$6)^2),NA())</x:f>
        <x:v>400.839056</x:v>
      </x:c>
      <x:c r="C177" s="48" t="n">
        <x:f>IF(OR(Inputs!$F$7=TRUE,Inputs!$F$7="TRUE",Inputs!$F$7=1),(Inputs!$H$7+Inputs!$L$7*(((Inputs!$I$7+(((A177)+1)/2)*(Inputs!$J$7-Inputs!$I$7)))/Inputs!$K$7)^2),NA())</x:f>
        <x:v>111.56385999999995</x:v>
      </x:c>
      <x:c r="D177" s="48" t="n">
        <x:f>IF(OR(Inputs!$F$8=TRUE,Inputs!$F$8="TRUE",Inputs!$F$8=1),(Inputs!$H$8+Inputs!$L$8*(((Inputs!$I$8+(((A177)+1)/2)*(Inputs!$J$8-Inputs!$I$8)))/Inputs!$K$8)^2),NA())</x:f>
        <x:v>237.42225999999988</x:v>
      </x:c>
      <x:c r="E177" s="48" t="n">
        <x:f>IF(OR(Inputs!$F$9=TRUE,Inputs!$F$9="TRUE",Inputs!$F$9=1),(Inputs!$H$9+Inputs!$L$9*(((Inputs!$I$9+(((A177)+1)/2)*(Inputs!$J$9-Inputs!$I$9)))/Inputs!$K$9)^2),NA())</x:f>
        <x:v>229.51989999999986</x:v>
      </x:c>
      <x:c r="F177" s="49"/>
      <x:c r="G177" s="48" t="n">
        <x:f>A177</x:f>
        <x:v>0.458</x:v>
      </x:c>
      <x:c r="H177" s="48" t="n">
        <x:f>IF(OR(Inputs!$F$6=TRUE,Inputs!$F$6="TRUE",Inputs!$F$6=1),(((SQRT(((Inputs!$I$6+(((A177)+1)/2)*(Inputs!$J$6-Inputs!$I$6)))^2+Inputs!$C$6^2+((Inputs!$H$6+Inputs!$L$6*(((Inputs!$I$6+(((A177)+1)/2)*(Inputs!$J$6-Inputs!$I$6)))/Inputs!$K$6)^2))^2))-((Inputs!$H$6+Inputs!$L$6*(((Inputs!$I$6+(((A177)+1)/2)*(Inputs!$J$6-Inputs!$I$6)))/Inputs!$K$6)^2)))*1000/Inputs!$C$12),NA())</x:f>
        <x:v>965.1098412281603</x:v>
      </x:c>
      <x:c r="I177" s="48" t="n">
        <x:f>IF(OR(Inputs!$F$7=TRUE,Inputs!$F$7="TRUE",Inputs!$F$7=1),(((SQRT(((Inputs!$I$7+(((A177)+1)/2)*(Inputs!$J$7-Inputs!$I$7)))^2+Inputs!$C$6^2+((Inputs!$H$7+Inputs!$L$7*(((Inputs!$I$7+(((A177)+1)/2)*(Inputs!$J$7-Inputs!$I$7)))/Inputs!$K$7)^2))^2))-((Inputs!$H$7+Inputs!$L$7*(((Inputs!$I$7+(((A177)+1)/2)*(Inputs!$J$7-Inputs!$I$7)))/Inputs!$K$7)^2)))*1000/Inputs!$C$12),NA())</x:f>
        <x:v>58643.03043217711</x:v>
      </x:c>
      <x:c r="J177" s="48" t="n">
        <x:f>IF(OR(Inputs!$F$8=TRUE,Inputs!$F$8="TRUE",Inputs!$F$8=1),(((SQRT(((Inputs!$I$8+(((A177)+1)/2)*(Inputs!$J$8-Inputs!$I$8)))^2+Inputs!$C$6^2+((Inputs!$H$8+Inputs!$L$8*(((Inputs!$I$8+(((A177)+1)/2)*(Inputs!$J$8-Inputs!$I$8)))/Inputs!$K$8)^2))^2))-((Inputs!$H$8+Inputs!$L$8*(((Inputs!$I$8+(((A177)+1)/2)*(Inputs!$J$8-Inputs!$I$8)))/Inputs!$K$8)^2)))*1000/Inputs!$C$12),NA())</x:f>
        <x:v>112298.57293303522</x:v>
      </x:c>
      <x:c r="K177" s="48" t="n">
        <x:f>IF(OR(Inputs!$F$9=TRUE,Inputs!$F$9="TRUE",Inputs!$F$9=1),(((SQRT(((Inputs!$I$9+(((A177)+1)/2)*(Inputs!$J$9-Inputs!$I$9)))^2+Inputs!$C$6^2+((Inputs!$H$9+Inputs!$L$9*(((Inputs!$I$9+(((A177)+1)/2)*(Inputs!$J$9-Inputs!$I$9)))/Inputs!$K$9)^2))^2))-((Inputs!$H$9+Inputs!$L$9*(((Inputs!$I$9+(((A177)+1)/2)*(Inputs!$J$9-Inputs!$I$9)))/Inputs!$K$9)^2)))*1000/Inputs!$C$12),NA())</x:f>
        <x:v>114356.40136514754</x:v>
      </x:c>
      <x:c r="L177" s="49"/>
      <x:c r="M177" s="48" t="n">
        <x:f>A177</x:f>
        <x:v>0.458</x:v>
      </x:c>
      <x:c r="N177" s="48" t="n">
        <x:f>IF(OR(Inputs!$F$6=TRUE,Inputs!$F$6="TRUE",Inputs!$F$6=1),(-2*((1000*((((Inputs!$I$6+(((A177)+1)/2)*(Inputs!$J$6-Inputs!$I$6)))*Inputs!$C$11+((Inputs!$H$6+Inputs!$L$6*(((Inputs!$I$6+(((A177)+1)/2)*(Inputs!$J$6-Inputs!$I$6)))/Inputs!$K$6)^2))*((2*Inputs!$L$6*((Inputs!$I$6+(((A177)+1)/2)*(Inputs!$J$6-Inputs!$I$6)))/(Inputs!$K$6^2)*Inputs!$C$11)))/(SQRT(((Inputs!$I$6+(((A177)+1)/2)*(Inputs!$J$6-Inputs!$I$6)))^2+Inputs!$C$6^2+((Inputs!$H$6+Inputs!$L$6*(((Inputs!$I$6+(((A177)+1)/2)*(Inputs!$J$6-Inputs!$I$6)))/Inputs!$K$6)^2))^2)))))/Inputs!$C$13),NA())</x:f>
        <x:v>-206.51152021649514</x:v>
      </x:c>
      <x:c r="O177" s="48" t="n">
        <x:f>IF(OR(Inputs!$F$7=TRUE,Inputs!$F$7="TRUE",Inputs!$F$7=1),(-2*((1000*((((Inputs!$I$7+(((A177)+1)/2)*(Inputs!$J$7-Inputs!$I$7)))*Inputs!$C$11+((Inputs!$H$7+Inputs!$L$7*(((Inputs!$I$7+(((A177)+1)/2)*(Inputs!$J$7-Inputs!$I$7)))/Inputs!$K$7)^2))*((2*Inputs!$L$7*((Inputs!$I$7+(((A177)+1)/2)*(Inputs!$J$7-Inputs!$I$7)))/(Inputs!$K$7^2)*Inputs!$C$11)))/(SQRT(((Inputs!$I$7+(((A177)+1)/2)*(Inputs!$J$7-Inputs!$I$7)))^2+Inputs!$C$6^2+((Inputs!$H$7+Inputs!$L$7*(((Inputs!$I$7+(((A177)+1)/2)*(Inputs!$J$7-Inputs!$I$7)))/Inputs!$K$7)^2))^2)))))/Inputs!$C$13),NA())</x:f>
        <x:v>-2048.271405836868</x:v>
      </x:c>
      <x:c r="P177" s="48" t="n">
        <x:f>IF(OR(Inputs!$F$8=TRUE,Inputs!$F$8="TRUE",Inputs!$F$8=1),(-2*((1000*((((Inputs!$I$8+(((A177)+1)/2)*(Inputs!$J$8-Inputs!$I$8)))*Inputs!$C$11+((Inputs!$H$8+Inputs!$L$8*(((Inputs!$I$8+(((A177)+1)/2)*(Inputs!$J$8-Inputs!$I$8)))/Inputs!$K$8)^2))*((2*Inputs!$L$8*((Inputs!$I$8+(((A177)+1)/2)*(Inputs!$J$8-Inputs!$I$8)))/(Inputs!$K$8^2)*Inputs!$C$11)))/(SQRT(((Inputs!$I$8+(((A177)+1)/2)*(Inputs!$J$8-Inputs!$I$8)))^2+Inputs!$C$6^2+((Inputs!$H$8+Inputs!$L$8*(((Inputs!$I$8+(((A177)+1)/2)*(Inputs!$J$8-Inputs!$I$8)))/Inputs!$K$8)^2))^2)))))/Inputs!$C$13),NA())</x:f>
        <x:v>-2300.3487414504534</x:v>
      </x:c>
      <x:c r="Q177" s="48" t="n">
        <x:f>IF(OR(Inputs!$F$9=TRUE,Inputs!$F$9="TRUE",Inputs!$F$9=1),(-2*((1000*((((Inputs!$I$9+(((A177)+1)/2)*(Inputs!$J$9-Inputs!$I$9)))*Inputs!$C$11+((Inputs!$H$9+Inputs!$L$9*(((Inputs!$I$9+(((A177)+1)/2)*(Inputs!$J$9-Inputs!$I$9)))/Inputs!$K$9)^2))*((2*Inputs!$L$9*((Inputs!$I$9+(((A177)+1)/2)*(Inputs!$J$9-Inputs!$I$9)))/(Inputs!$K$9^2)*Inputs!$C$11)))/(SQRT(((Inputs!$I$9+(((A177)+1)/2)*(Inputs!$J$9-Inputs!$I$9)))^2+Inputs!$C$6^2+((Inputs!$H$9+Inputs!$L$9*(((Inputs!$I$9+(((A177)+1)/2)*(Inputs!$J$9-Inputs!$I$9)))/Inputs!$K$9)^2))^2)))))/Inputs!$C$13),NA())</x:f>
        <x:v>-2300.3176549447867</x:v>
      </x:c>
      <x:c r="R177" s="49"/>
      <x:c r="S177" s="48" t="n">
        <x:f>A177</x:f>
        <x:v>0.458</x:v>
      </x:c>
      <x:c r="T177" s="48" t="n">
        <x:f>(Inputs!$I$6+(((A177)+1)/2)*(Inputs!$J$6-Inputs!$I$6))</x:f>
        <x:v>27.480000000000004</x:v>
      </x:c>
      <x:c r="U177" s="48" t="n">
        <x:f>(Inputs!$I$7+(((A177)+1)/2)*(Inputs!$J$7-Inputs!$I$7))</x:f>
        <x:v>183.19999999999993</x:v>
      </x:c>
      <x:c r="V177" s="48" t="n">
        <x:f>(Inputs!$I$8+(((A177)+1)/2)*(Inputs!$J$8-Inputs!$I$8))</x:f>
        <x:v>366.39999999999986</x:v>
      </x:c>
      <x:c r="W177" s="48" t="n">
        <x:f>(Inputs!$I$9+(((A177)+1)/2)*(Inputs!$J$9-Inputs!$I$9))</x:f>
        <x:v>366.39999999999986</x:v>
      </x:c>
      <x:c r="X177" s="49"/>
      <x:c r="Y177" s="48" t="n">
        <x:f>A177</x:f>
        <x:v>0.458</x:v>
      </x:c>
      <x:c r="Z177" s="48" t="n">
        <x:f>(Inputs!$H$6+Inputs!$L$6*(((Inputs!$I$6+(((A177)+1)/2)*(Inputs!$J$6-Inputs!$I$6)))/Inputs!$K$6)^2)</x:f>
        <x:v>400.839056</x:v>
      </x:c>
      <x:c r="AA177" s="48" t="n">
        <x:f>(Inputs!$H$7+Inputs!$L$7*(((Inputs!$I$7+(((A177)+1)/2)*(Inputs!$J$7-Inputs!$I$7)))/Inputs!$K$7)^2)</x:f>
        <x:v>111.56385999999995</x:v>
      </x:c>
      <x:c r="AB177" s="48" t="n">
        <x:f>(Inputs!$H$8+Inputs!$L$8*(((Inputs!$I$8+(((A177)+1)/2)*(Inputs!$J$8-Inputs!$I$8)))/Inputs!$K$8)^2)</x:f>
        <x:v>237.42225999999988</x:v>
      </x:c>
      <x:c r="AC177" s="48" t="n">
        <x:f>(Inputs!$H$9+Inputs!$L$9*(((Inputs!$I$9+(((A177)+1)/2)*(Inputs!$J$9-Inputs!$I$9)))/Inputs!$K$9)^2)</x:f>
        <x:v>229.51989999999986</x:v>
      </x:c>
      <x:c r="AD177" s="49"/>
      <x:c r="AE177" s="48" t="n">
        <x:f>A177</x:f>
        <x:v>0.458</x:v>
      </x:c>
      <x:c r="AF177" s="48" t="n">
        <x:f>(((SQRT(((Inputs!$I$6+(((A177)+1)/2)*(Inputs!$J$6-Inputs!$I$6)))^2+Inputs!$C$6^2+((Inputs!$H$6+Inputs!$L$6*(((Inputs!$I$6+(((A177)+1)/2)*(Inputs!$J$6-Inputs!$I$6)))/Inputs!$K$6)^2))^2))-((Inputs!$H$6+Inputs!$L$6*(((Inputs!$I$6+(((A177)+1)/2)*(Inputs!$J$6-Inputs!$I$6)))/Inputs!$K$6)^2)))*1000/Inputs!$C$12)</x:f>
        <x:v>965.1098412281603</x:v>
      </x:c>
      <x:c r="AG177" s="48" t="n">
        <x:f>(((SQRT(((Inputs!$I$7+(((A177)+1)/2)*(Inputs!$J$7-Inputs!$I$7)))^2+Inputs!$C$6^2+((Inputs!$H$7+Inputs!$L$7*(((Inputs!$I$7+(((A177)+1)/2)*(Inputs!$J$7-Inputs!$I$7)))/Inputs!$K$7)^2))^2))-((Inputs!$H$7+Inputs!$L$7*(((Inputs!$I$7+(((A177)+1)/2)*(Inputs!$J$7-Inputs!$I$7)))/Inputs!$K$7)^2)))*1000/Inputs!$C$12)</x:f>
        <x:v>58643.03043217711</x:v>
      </x:c>
      <x:c r="AH177" s="48" t="n">
        <x:f>(((SQRT(((Inputs!$I$8+(((A177)+1)/2)*(Inputs!$J$8-Inputs!$I$8)))^2+Inputs!$C$6^2+((Inputs!$H$8+Inputs!$L$8*(((Inputs!$I$8+(((A177)+1)/2)*(Inputs!$J$8-Inputs!$I$8)))/Inputs!$K$8)^2))^2))-((Inputs!$H$8+Inputs!$L$8*(((Inputs!$I$8+(((A177)+1)/2)*(Inputs!$J$8-Inputs!$I$8)))/Inputs!$K$8)^2)))*1000/Inputs!$C$12)</x:f>
        <x:v>112298.57293303522</x:v>
      </x:c>
      <x:c r="AI177" s="48" t="n">
        <x:f>(((SQRT(((Inputs!$I$9+(((A177)+1)/2)*(Inputs!$J$9-Inputs!$I$9)))^2+Inputs!$C$6^2+((Inputs!$H$9+Inputs!$L$9*(((Inputs!$I$9+(((A177)+1)/2)*(Inputs!$J$9-Inputs!$I$9)))/Inputs!$K$9)^2))^2))-((Inputs!$H$9+Inputs!$L$9*(((Inputs!$I$9+(((A177)+1)/2)*(Inputs!$J$9-Inputs!$I$9)))/Inputs!$K$9)^2)))*1000/Inputs!$C$12)</x:f>
        <x:v>114356.40136514754</x:v>
      </x:c>
      <x:c r="AJ177" s="49"/>
      <x:c r="AK177" s="48" t="n">
        <x:f>A177</x:f>
        <x:v>0.458</x:v>
      </x:c>
      <x:c r="AL177" s="48" t="n">
        <x:f>(-2*((1000*((((Inputs!$I$6+(((A177)+1)/2)*(Inputs!$J$6-Inputs!$I$6)))*Inputs!$C$11+((Inputs!$H$6+Inputs!$L$6*(((Inputs!$I$6+(((A177)+1)/2)*(Inputs!$J$6-Inputs!$I$6)))/Inputs!$K$6)^2))*((2*Inputs!$L$6*((Inputs!$I$6+(((A177)+1)/2)*(Inputs!$J$6-Inputs!$I$6)))/(Inputs!$K$6^2)*Inputs!$C$11)))/(SQRT(((Inputs!$I$6+(((A177)+1)/2)*(Inputs!$J$6-Inputs!$I$6)))^2+Inputs!$C$6^2+((Inputs!$H$6+Inputs!$L$6*(((Inputs!$I$6+(((A177)+1)/2)*(Inputs!$J$6-Inputs!$I$6)))/Inputs!$K$6)^2))^2)))))/Inputs!$C$13)</x:f>
        <x:v>-206.51152021649514</x:v>
      </x:c>
      <x:c r="AM177" s="48" t="n">
        <x:f>(-2*((1000*((((Inputs!$I$7+(((A177)+1)/2)*(Inputs!$J$7-Inputs!$I$7)))*Inputs!$C$11+((Inputs!$H$7+Inputs!$L$7*(((Inputs!$I$7+(((A177)+1)/2)*(Inputs!$J$7-Inputs!$I$7)))/Inputs!$K$7)^2))*((2*Inputs!$L$7*((Inputs!$I$7+(((A177)+1)/2)*(Inputs!$J$7-Inputs!$I$7)))/(Inputs!$K$7^2)*Inputs!$C$11)))/(SQRT(((Inputs!$I$7+(((A177)+1)/2)*(Inputs!$J$7-Inputs!$I$7)))^2+Inputs!$C$6^2+((Inputs!$H$7+Inputs!$L$7*(((Inputs!$I$7+(((A177)+1)/2)*(Inputs!$J$7-Inputs!$I$7)))/Inputs!$K$7)^2))^2)))))/Inputs!$C$13)</x:f>
        <x:v>-2048.271405836868</x:v>
      </x:c>
      <x:c r="AN177" s="48" t="n">
        <x:f>(-2*((1000*((((Inputs!$I$8+(((A177)+1)/2)*(Inputs!$J$8-Inputs!$I$8)))*Inputs!$C$11+((Inputs!$H$8+Inputs!$L$8*(((Inputs!$I$8+(((A177)+1)/2)*(Inputs!$J$8-Inputs!$I$8)))/Inputs!$K$8)^2))*((2*Inputs!$L$8*((Inputs!$I$8+(((A177)+1)/2)*(Inputs!$J$8-Inputs!$I$8)))/(Inputs!$K$8^2)*Inputs!$C$11)))/(SQRT(((Inputs!$I$8+(((A177)+1)/2)*(Inputs!$J$8-Inputs!$I$8)))^2+Inputs!$C$6^2+((Inputs!$H$8+Inputs!$L$8*(((Inputs!$I$8+(((A177)+1)/2)*(Inputs!$J$8-Inputs!$I$8)))/Inputs!$K$8)^2))^2)))))/Inputs!$C$13)</x:f>
        <x:v>-2300.3487414504534</x:v>
      </x:c>
      <x:c r="AO177" s="48" t="n">
        <x:f>(-2*((1000*((((Inputs!$I$9+(((A177)+1)/2)*(Inputs!$J$9-Inputs!$I$9)))*Inputs!$C$11+((Inputs!$H$9+Inputs!$L$9*(((Inputs!$I$9+(((A177)+1)/2)*(Inputs!$J$9-Inputs!$I$9)))/Inputs!$K$9)^2))*((2*Inputs!$L$9*((Inputs!$I$9+(((A177)+1)/2)*(Inputs!$J$9-Inputs!$I$9)))/(Inputs!$K$9^2)*Inputs!$C$11)))/(SQRT(((Inputs!$I$9+(((A177)+1)/2)*(Inputs!$J$9-Inputs!$I$9)))^2+Inputs!$C$6^2+((Inputs!$H$9+Inputs!$L$9*(((Inputs!$I$9+(((A177)+1)/2)*(Inputs!$J$9-Inputs!$I$9)))/Inputs!$K$9)^2))^2)))))/Inputs!$C$13)</x:f>
        <x:v>-2300.3176549447867</x:v>
      </x:c>
    </x:row>
    <x:row r="178">
      <x:c r="A178" s="48" t="n">
        <x:f>ROUND(-1+176*2/240,3)</x:f>
        <x:v>0.467</x:v>
      </x:c>
      <x:c r="B178" s="48" t="n">
        <x:f>IF(OR(Inputs!$F$6=TRUE,Inputs!$F$6="TRUE",Inputs!$F$6=1),(Inputs!$H$6+Inputs!$L$6*(((Inputs!$I$6+(((A178)+1)/2)*(Inputs!$J$6-Inputs!$I$6)))/Inputs!$K$6)^2),NA())</x:f>
        <x:v>400.872356</x:v>
      </x:c>
      <x:c r="C178" s="48" t="n">
        <x:f>IF(OR(Inputs!$F$7=TRUE,Inputs!$F$7="TRUE",Inputs!$F$7=1),(Inputs!$H$7+Inputs!$L$7*(((Inputs!$I$7+(((A178)+1)/2)*(Inputs!$J$7-Inputs!$I$7)))/Inputs!$K$7)^2),NA())</x:f>
        <x:v>114.60248500000006</x:v>
      </x:c>
      <x:c r="D178" s="48" t="n">
        <x:f>IF(OR(Inputs!$F$8=TRUE,Inputs!$F$8="TRUE",Inputs!$F$8=1),(Inputs!$H$8+Inputs!$L$8*(((Inputs!$I$8+(((A178)+1)/2)*(Inputs!$J$8-Inputs!$I$8)))/Inputs!$K$8)^2),NA())</x:f>
        <x:v>245.45588500000017</x:v>
      </x:c>
      <x:c r="E178" s="48" t="n">
        <x:f>IF(OR(Inputs!$F$9=TRUE,Inputs!$F$9="TRUE",Inputs!$F$9=1),(Inputs!$H$9+Inputs!$L$9*(((Inputs!$I$9+(((A178)+1)/2)*(Inputs!$J$9-Inputs!$I$9)))/Inputs!$K$9)^2),NA())</x:f>
        <x:v>237.63677500000017</x:v>
      </x:c>
      <x:c r="F178" s="49"/>
      <x:c r="G178" s="48" t="n">
        <x:f>A178</x:f>
        <x:v>0.467</x:v>
      </x:c>
      <x:c r="H178" s="48" t="n">
        <x:f>IF(OR(Inputs!$F$6=TRUE,Inputs!$F$6="TRUE",Inputs!$F$6=1),(((SQRT(((Inputs!$I$6+(((A178)+1)/2)*(Inputs!$J$6-Inputs!$I$6)))^2+Inputs!$C$6^2+((Inputs!$H$6+Inputs!$L$6*(((Inputs!$I$6+(((A178)+1)/2)*(Inputs!$J$6-Inputs!$I$6)))/Inputs!$K$6)^2))^2))-((Inputs!$H$6+Inputs!$L$6*(((Inputs!$I$6+(((A178)+1)/2)*(Inputs!$J$6-Inputs!$I$6)))/Inputs!$K$6)^2)))*1000/Inputs!$C$12),NA())</x:f>
        <x:v>985.9399904179851</x:v>
      </x:c>
      <x:c r="I178" s="48" t="n">
        <x:f>IF(OR(Inputs!$F$7=TRUE,Inputs!$F$7="TRUE",Inputs!$F$7=1),(((SQRT(((Inputs!$I$7+(((A178)+1)/2)*(Inputs!$J$7-Inputs!$I$7)))^2+Inputs!$C$6^2+((Inputs!$H$7+Inputs!$L$7*(((Inputs!$I$7+(((A178)+1)/2)*(Inputs!$J$7-Inputs!$I$7)))/Inputs!$K$7)^2))^2))-((Inputs!$H$7+Inputs!$L$7*(((Inputs!$I$7+(((A178)+1)/2)*(Inputs!$J$7-Inputs!$I$7)))/Inputs!$K$7)^2)))*1000/Inputs!$C$12),NA())</x:f>
        <x:v>59534.66098534014</x:v>
      </x:c>
      <x:c r="J178" s="48" t="n">
        <x:f>IF(OR(Inputs!$F$8=TRUE,Inputs!$F$8="TRUE",Inputs!$F$8=1),(((SQRT(((Inputs!$I$8+(((A178)+1)/2)*(Inputs!$J$8-Inputs!$I$8)))^2+Inputs!$C$6^2+((Inputs!$H$8+Inputs!$L$8*(((Inputs!$I$8+(((A178)+1)/2)*(Inputs!$J$8-Inputs!$I$8)))/Inputs!$K$8)^2))^2))-((Inputs!$H$8+Inputs!$L$8*(((Inputs!$I$8+(((A178)+1)/2)*(Inputs!$J$8-Inputs!$I$8)))/Inputs!$K$8)^2)))*1000/Inputs!$C$12),NA())</x:f>
        <x:v>113629.8646023719</x:v>
      </x:c>
      <x:c r="K178" s="48" t="n">
        <x:f>IF(OR(Inputs!$F$9=TRUE,Inputs!$F$9="TRUE",Inputs!$F$9=1),(((SQRT(((Inputs!$I$9+(((A178)+1)/2)*(Inputs!$J$9-Inputs!$I$9)))^2+Inputs!$C$6^2+((Inputs!$H$9+Inputs!$L$9*(((Inputs!$I$9+(((A178)+1)/2)*(Inputs!$J$9-Inputs!$I$9)))/Inputs!$K$9)^2))^2))-((Inputs!$H$9+Inputs!$L$9*(((Inputs!$I$9+(((A178)+1)/2)*(Inputs!$J$9-Inputs!$I$9)))/Inputs!$K$9)^2)))*1000/Inputs!$C$12),NA())</x:f>
        <x:v>115641.4292248636</x:v>
      </x:c>
      <x:c r="L178" s="49"/>
      <x:c r="M178" s="48" t="n">
        <x:f>A178</x:f>
        <x:v>0.467</x:v>
      </x:c>
      <x:c r="N178" s="48" t="n">
        <x:f>IF(OR(Inputs!$F$6=TRUE,Inputs!$F$6="TRUE",Inputs!$F$6=1),(-2*((1000*((((Inputs!$I$6+(((A178)+1)/2)*(Inputs!$J$6-Inputs!$I$6)))*Inputs!$C$11+((Inputs!$H$6+Inputs!$L$6*(((Inputs!$I$6+(((A178)+1)/2)*(Inputs!$J$6-Inputs!$I$6)))/Inputs!$K$6)^2))*((2*Inputs!$L$6*((Inputs!$I$6+(((A178)+1)/2)*(Inputs!$J$6-Inputs!$I$6)))/(Inputs!$K$6^2)*Inputs!$C$11)))/(SQRT(((Inputs!$I$6+(((A178)+1)/2)*(Inputs!$J$6-Inputs!$I$6)))^2+Inputs!$C$6^2+((Inputs!$H$6+Inputs!$L$6*(((Inputs!$I$6+(((A178)+1)/2)*(Inputs!$J$6-Inputs!$I$6)))/Inputs!$K$6)^2))^2)))))/Inputs!$C$13),NA())</x:f>
        <x:v>-210.5410399217489</x:v>
      </x:c>
      <x:c r="O178" s="48" t="n">
        <x:f>IF(OR(Inputs!$F$7=TRUE,Inputs!$F$7="TRUE",Inputs!$F$7=1),(-2*((1000*((((Inputs!$I$7+(((A178)+1)/2)*(Inputs!$J$7-Inputs!$I$7)))*Inputs!$C$11+((Inputs!$H$7+Inputs!$L$7*(((Inputs!$I$7+(((A178)+1)/2)*(Inputs!$J$7-Inputs!$I$7)))/Inputs!$K$7)^2))*((2*Inputs!$L$7*((Inputs!$I$7+(((A178)+1)/2)*(Inputs!$J$7-Inputs!$I$7)))/(Inputs!$K$7^2)*Inputs!$C$11)))/(SQRT(((Inputs!$I$7+(((A178)+1)/2)*(Inputs!$J$7-Inputs!$I$7)))^2+Inputs!$C$6^2+((Inputs!$H$7+Inputs!$L$7*(((Inputs!$I$7+(((A178)+1)/2)*(Inputs!$J$7-Inputs!$I$7)))/Inputs!$K$7)^2))^2)))))/Inputs!$C$13),NA())</x:f>
        <x:v>-2063.5077480007144</x:v>
      </x:c>
      <x:c r="P178" s="48" t="n">
        <x:f>IF(OR(Inputs!$F$8=TRUE,Inputs!$F$8="TRUE",Inputs!$F$8=1),(-2*((1000*((((Inputs!$I$8+(((A178)+1)/2)*(Inputs!$J$8-Inputs!$I$8)))*Inputs!$C$11+((Inputs!$H$8+Inputs!$L$8*(((Inputs!$I$8+(((A178)+1)/2)*(Inputs!$J$8-Inputs!$I$8)))/Inputs!$K$8)^2))*((2*Inputs!$L$8*((Inputs!$I$8+(((A178)+1)/2)*(Inputs!$J$8-Inputs!$I$8)))/(Inputs!$K$8^2)*Inputs!$C$11)))/(SQRT(((Inputs!$I$8+(((A178)+1)/2)*(Inputs!$J$8-Inputs!$I$8)))^2+Inputs!$C$6^2+((Inputs!$H$8+Inputs!$L$8*(((Inputs!$I$8+(((A178)+1)/2)*(Inputs!$J$8-Inputs!$I$8)))/Inputs!$K$8)^2))^2)))))/Inputs!$C$13),NA())</x:f>
        <x:v>-2323.395326081827</x:v>
      </x:c>
      <x:c r="Q178" s="48" t="n">
        <x:f>IF(OR(Inputs!$F$9=TRUE,Inputs!$F$9="TRUE",Inputs!$F$9=1),(-2*((1000*((((Inputs!$I$9+(((A178)+1)/2)*(Inputs!$J$9-Inputs!$I$9)))*Inputs!$C$11+((Inputs!$H$9+Inputs!$L$9*(((Inputs!$I$9+(((A178)+1)/2)*(Inputs!$J$9-Inputs!$I$9)))/Inputs!$K$9)^2))*((2*Inputs!$L$9*((Inputs!$I$9+(((A178)+1)/2)*(Inputs!$J$9-Inputs!$I$9)))/(Inputs!$K$9^2)*Inputs!$C$11)))/(SQRT(((Inputs!$I$9+(((A178)+1)/2)*(Inputs!$J$9-Inputs!$I$9)))^2+Inputs!$C$6^2+((Inputs!$H$9+Inputs!$L$9*(((Inputs!$I$9+(((A178)+1)/2)*(Inputs!$J$9-Inputs!$I$9)))/Inputs!$K$9)^2))^2)))))/Inputs!$C$13),NA())</x:f>
        <x:v>-2323.8281317080564</x:v>
      </x:c>
      <x:c r="R178" s="49"/>
      <x:c r="S178" s="48" t="n">
        <x:f>A178</x:f>
        <x:v>0.467</x:v>
      </x:c>
      <x:c r="T178" s="48" t="n">
        <x:f>(Inputs!$I$6+(((A178)+1)/2)*(Inputs!$J$6-Inputs!$I$6))</x:f>
        <x:v>28.02000000000001</x:v>
      </x:c>
      <x:c r="U178" s="48" t="n">
        <x:f>(Inputs!$I$7+(((A178)+1)/2)*(Inputs!$J$7-Inputs!$I$7))</x:f>
        <x:v>186.80000000000007</x:v>
      </x:c>
      <x:c r="V178" s="48" t="n">
        <x:f>(Inputs!$I$8+(((A178)+1)/2)*(Inputs!$J$8-Inputs!$I$8))</x:f>
        <x:v>373.60000000000014</x:v>
      </x:c>
      <x:c r="W178" s="48" t="n">
        <x:f>(Inputs!$I$9+(((A178)+1)/2)*(Inputs!$J$9-Inputs!$I$9))</x:f>
        <x:v>373.60000000000014</x:v>
      </x:c>
      <x:c r="X178" s="49"/>
      <x:c r="Y178" s="48" t="n">
        <x:f>A178</x:f>
        <x:v>0.467</x:v>
      </x:c>
      <x:c r="Z178" s="48" t="n">
        <x:f>(Inputs!$H$6+Inputs!$L$6*(((Inputs!$I$6+(((A178)+1)/2)*(Inputs!$J$6-Inputs!$I$6)))/Inputs!$K$6)^2)</x:f>
        <x:v>400.872356</x:v>
      </x:c>
      <x:c r="AA178" s="48" t="n">
        <x:f>(Inputs!$H$7+Inputs!$L$7*(((Inputs!$I$7+(((A178)+1)/2)*(Inputs!$J$7-Inputs!$I$7)))/Inputs!$K$7)^2)</x:f>
        <x:v>114.60248500000006</x:v>
      </x:c>
      <x:c r="AB178" s="48" t="n">
        <x:f>(Inputs!$H$8+Inputs!$L$8*(((Inputs!$I$8+(((A178)+1)/2)*(Inputs!$J$8-Inputs!$I$8)))/Inputs!$K$8)^2)</x:f>
        <x:v>245.45588500000017</x:v>
      </x:c>
      <x:c r="AC178" s="48" t="n">
        <x:f>(Inputs!$H$9+Inputs!$L$9*(((Inputs!$I$9+(((A178)+1)/2)*(Inputs!$J$9-Inputs!$I$9)))/Inputs!$K$9)^2)</x:f>
        <x:v>237.63677500000017</x:v>
      </x:c>
      <x:c r="AD178" s="49"/>
      <x:c r="AE178" s="48" t="n">
        <x:f>A178</x:f>
        <x:v>0.467</x:v>
      </x:c>
      <x:c r="AF178" s="48" t="n">
        <x:f>(((SQRT(((Inputs!$I$6+(((A178)+1)/2)*(Inputs!$J$6-Inputs!$I$6)))^2+Inputs!$C$6^2+((Inputs!$H$6+Inputs!$L$6*(((Inputs!$I$6+(((A178)+1)/2)*(Inputs!$J$6-Inputs!$I$6)))/Inputs!$K$6)^2))^2))-((Inputs!$H$6+Inputs!$L$6*(((Inputs!$I$6+(((A178)+1)/2)*(Inputs!$J$6-Inputs!$I$6)))/Inputs!$K$6)^2)))*1000/Inputs!$C$12)</x:f>
        <x:v>985.9399904179851</x:v>
      </x:c>
      <x:c r="AG178" s="48" t="n">
        <x:f>(((SQRT(((Inputs!$I$7+(((A178)+1)/2)*(Inputs!$J$7-Inputs!$I$7)))^2+Inputs!$C$6^2+((Inputs!$H$7+Inputs!$L$7*(((Inputs!$I$7+(((A178)+1)/2)*(Inputs!$J$7-Inputs!$I$7)))/Inputs!$K$7)^2))^2))-((Inputs!$H$7+Inputs!$L$7*(((Inputs!$I$7+(((A178)+1)/2)*(Inputs!$J$7-Inputs!$I$7)))/Inputs!$K$7)^2)))*1000/Inputs!$C$12)</x:f>
        <x:v>59534.66098534014</x:v>
      </x:c>
      <x:c r="AH178" s="48" t="n">
        <x:f>(((SQRT(((Inputs!$I$8+(((A178)+1)/2)*(Inputs!$J$8-Inputs!$I$8)))^2+Inputs!$C$6^2+((Inputs!$H$8+Inputs!$L$8*(((Inputs!$I$8+(((A178)+1)/2)*(Inputs!$J$8-Inputs!$I$8)))/Inputs!$K$8)^2))^2))-((Inputs!$H$8+Inputs!$L$8*(((Inputs!$I$8+(((A178)+1)/2)*(Inputs!$J$8-Inputs!$I$8)))/Inputs!$K$8)^2)))*1000/Inputs!$C$12)</x:f>
        <x:v>113629.8646023719</x:v>
      </x:c>
      <x:c r="AI178" s="48" t="n">
        <x:f>(((SQRT(((Inputs!$I$9+(((A178)+1)/2)*(Inputs!$J$9-Inputs!$I$9)))^2+Inputs!$C$6^2+((Inputs!$H$9+Inputs!$L$9*(((Inputs!$I$9+(((A178)+1)/2)*(Inputs!$J$9-Inputs!$I$9)))/Inputs!$K$9)^2))^2))-((Inputs!$H$9+Inputs!$L$9*(((Inputs!$I$9+(((A178)+1)/2)*(Inputs!$J$9-Inputs!$I$9)))/Inputs!$K$9)^2)))*1000/Inputs!$C$12)</x:f>
        <x:v>115641.4292248636</x:v>
      </x:c>
      <x:c r="AJ178" s="49"/>
      <x:c r="AK178" s="48" t="n">
        <x:f>A178</x:f>
        <x:v>0.467</x:v>
      </x:c>
      <x:c r="AL178" s="48" t="n">
        <x:f>(-2*((1000*((((Inputs!$I$6+(((A178)+1)/2)*(Inputs!$J$6-Inputs!$I$6)))*Inputs!$C$11+((Inputs!$H$6+Inputs!$L$6*(((Inputs!$I$6+(((A178)+1)/2)*(Inputs!$J$6-Inputs!$I$6)))/Inputs!$K$6)^2))*((2*Inputs!$L$6*((Inputs!$I$6+(((A178)+1)/2)*(Inputs!$J$6-Inputs!$I$6)))/(Inputs!$K$6^2)*Inputs!$C$11)))/(SQRT(((Inputs!$I$6+(((A178)+1)/2)*(Inputs!$J$6-Inputs!$I$6)))^2+Inputs!$C$6^2+((Inputs!$H$6+Inputs!$L$6*(((Inputs!$I$6+(((A178)+1)/2)*(Inputs!$J$6-Inputs!$I$6)))/Inputs!$K$6)^2))^2)))))/Inputs!$C$13)</x:f>
        <x:v>-210.5410399217489</x:v>
      </x:c>
      <x:c r="AM178" s="48" t="n">
        <x:f>(-2*((1000*((((Inputs!$I$7+(((A178)+1)/2)*(Inputs!$J$7-Inputs!$I$7)))*Inputs!$C$11+((Inputs!$H$7+Inputs!$L$7*(((Inputs!$I$7+(((A178)+1)/2)*(Inputs!$J$7-Inputs!$I$7)))/Inputs!$K$7)^2))*((2*Inputs!$L$7*((Inputs!$I$7+(((A178)+1)/2)*(Inputs!$J$7-Inputs!$I$7)))/(Inputs!$K$7^2)*Inputs!$C$11)))/(SQRT(((Inputs!$I$7+(((A178)+1)/2)*(Inputs!$J$7-Inputs!$I$7)))^2+Inputs!$C$6^2+((Inputs!$H$7+Inputs!$L$7*(((Inputs!$I$7+(((A178)+1)/2)*(Inputs!$J$7-Inputs!$I$7)))/Inputs!$K$7)^2))^2)))))/Inputs!$C$13)</x:f>
        <x:v>-2063.5077480007144</x:v>
      </x:c>
      <x:c r="AN178" s="48" t="n">
        <x:f>(-2*((1000*((((Inputs!$I$8+(((A178)+1)/2)*(Inputs!$J$8-Inputs!$I$8)))*Inputs!$C$11+((Inputs!$H$8+Inputs!$L$8*(((Inputs!$I$8+(((A178)+1)/2)*(Inputs!$J$8-Inputs!$I$8)))/Inputs!$K$8)^2))*((2*Inputs!$L$8*((Inputs!$I$8+(((A178)+1)/2)*(Inputs!$J$8-Inputs!$I$8)))/(Inputs!$K$8^2)*Inputs!$C$11)))/(SQRT(((Inputs!$I$8+(((A178)+1)/2)*(Inputs!$J$8-Inputs!$I$8)))^2+Inputs!$C$6^2+((Inputs!$H$8+Inputs!$L$8*(((Inputs!$I$8+(((A178)+1)/2)*(Inputs!$J$8-Inputs!$I$8)))/Inputs!$K$8)^2))^2)))))/Inputs!$C$13)</x:f>
        <x:v>-2323.395326081827</x:v>
      </x:c>
      <x:c r="AO178" s="48" t="n">
        <x:f>(-2*((1000*((((Inputs!$I$9+(((A178)+1)/2)*(Inputs!$J$9-Inputs!$I$9)))*Inputs!$C$11+((Inputs!$H$9+Inputs!$L$9*(((Inputs!$I$9+(((A178)+1)/2)*(Inputs!$J$9-Inputs!$I$9)))/Inputs!$K$9)^2))*((2*Inputs!$L$9*((Inputs!$I$9+(((A178)+1)/2)*(Inputs!$J$9-Inputs!$I$9)))/(Inputs!$K$9^2)*Inputs!$C$11)))/(SQRT(((Inputs!$I$9+(((A178)+1)/2)*(Inputs!$J$9-Inputs!$I$9)))^2+Inputs!$C$6^2+((Inputs!$H$9+Inputs!$L$9*(((Inputs!$I$9+(((A178)+1)/2)*(Inputs!$J$9-Inputs!$I$9)))/Inputs!$K$9)^2))^2)))))/Inputs!$C$13)</x:f>
        <x:v>-2323.8281317080564</x:v>
      </x:c>
    </x:row>
    <x:row r="179">
      <x:c r="A179" s="48" t="n">
        <x:f>ROUND(-1+177*2/240,3)</x:f>
        <x:v>0.475</x:v>
      </x:c>
      <x:c r="B179" s="48" t="n">
        <x:f>IF(OR(Inputs!$F$6=TRUE,Inputs!$F$6="TRUE",Inputs!$F$6=1),(Inputs!$H$6+Inputs!$L$6*(((Inputs!$I$6+(((A179)+1)/2)*(Inputs!$J$6-Inputs!$I$6)))/Inputs!$K$6)^2),NA())</x:f>
        <x:v>400.9025</x:v>
      </x:c>
      <x:c r="C179" s="48" t="n">
        <x:f>IF(OR(Inputs!$F$7=TRUE,Inputs!$F$7="TRUE",Inputs!$F$7=1),(Inputs!$H$7+Inputs!$L$7*(((Inputs!$I$7+(((A179)+1)/2)*(Inputs!$J$7-Inputs!$I$7)))/Inputs!$K$7)^2),NA())</x:f>
        <x:v>117.35312499999999</x:v>
      </x:c>
      <x:c r="D179" s="48" t="n">
        <x:f>IF(OR(Inputs!$F$8=TRUE,Inputs!$F$8="TRUE",Inputs!$F$8=1),(Inputs!$H$8+Inputs!$L$8*(((Inputs!$I$8+(((A179)+1)/2)*(Inputs!$J$8-Inputs!$I$8)))/Inputs!$K$8)^2),NA())</x:f>
        <x:v>252.728125</x:v>
      </x:c>
      <x:c r="E179" s="48" t="n">
        <x:f>IF(OR(Inputs!$F$9=TRUE,Inputs!$F$9="TRUE",Inputs!$F$9=1),(Inputs!$H$9+Inputs!$L$9*(((Inputs!$I$9+(((A179)+1)/2)*(Inputs!$J$9-Inputs!$I$9)))/Inputs!$K$9)^2),NA())</x:f>
        <x:v>244.984375</x:v>
      </x:c>
      <x:c r="F179" s="49"/>
      <x:c r="G179" s="48" t="n">
        <x:f>A179</x:f>
        <x:v>0.475</x:v>
      </x:c>
      <x:c r="H179" s="48" t="n">
        <x:f>IF(OR(Inputs!$F$6=TRUE,Inputs!$F$6="TRUE",Inputs!$F$6=1),(((SQRT(((Inputs!$I$6+(((A179)+1)/2)*(Inputs!$J$6-Inputs!$I$6)))^2+Inputs!$C$6^2+((Inputs!$H$6+Inputs!$L$6*(((Inputs!$I$6+(((A179)+1)/2)*(Inputs!$J$6-Inputs!$I$6)))/Inputs!$K$6)^2))^2))-((Inputs!$H$6+Inputs!$L$6*(((Inputs!$I$6+(((A179)+1)/2)*(Inputs!$J$6-Inputs!$I$6)))/Inputs!$K$6)^2)))*1000/Inputs!$C$12),NA())</x:f>
        <x:v>1004.7913422626065</x:v>
      </x:c>
      <x:c r="I179" s="48" t="n">
        <x:f>IF(OR(Inputs!$F$7=TRUE,Inputs!$F$7="TRUE",Inputs!$F$7=1),(((SQRT(((Inputs!$I$7+(((A179)+1)/2)*(Inputs!$J$7-Inputs!$I$7)))^2+Inputs!$C$6^2+((Inputs!$H$7+Inputs!$L$7*(((Inputs!$I$7+(((A179)+1)/2)*(Inputs!$J$7-Inputs!$I$7)))/Inputs!$K$7)^2))^2))-((Inputs!$H$7+Inputs!$L$7*(((Inputs!$I$7+(((A179)+1)/2)*(Inputs!$J$7-Inputs!$I$7)))/Inputs!$K$7)^2)))*1000/Inputs!$C$12),NA())</x:f>
        <x:v>60315.566013439195</x:v>
      </x:c>
      <x:c r="J179" s="48" t="n">
        <x:f>IF(OR(Inputs!$F$8=TRUE,Inputs!$F$8="TRUE",Inputs!$F$8=1),(((SQRT(((Inputs!$I$8+(((A179)+1)/2)*(Inputs!$J$8-Inputs!$I$8)))^2+Inputs!$C$6^2+((Inputs!$H$8+Inputs!$L$8*(((Inputs!$I$8+(((A179)+1)/2)*(Inputs!$J$8-Inputs!$I$8)))/Inputs!$K$8)^2))^2))-((Inputs!$H$8+Inputs!$L$8*(((Inputs!$I$8+(((A179)+1)/2)*(Inputs!$J$8-Inputs!$I$8)))/Inputs!$K$8)^2)))*1000/Inputs!$C$12),NA())</x:f>
        <x:v>114788.67812487425</x:v>
      </x:c>
      <x:c r="K179" s="48" t="n">
        <x:f>IF(OR(Inputs!$F$9=TRUE,Inputs!$F$9="TRUE",Inputs!$F$9=1),(((SQRT(((Inputs!$I$9+(((A179)+1)/2)*(Inputs!$J$9-Inputs!$I$9)))^2+Inputs!$C$6^2+((Inputs!$H$9+Inputs!$L$9*(((Inputs!$I$9+(((A179)+1)/2)*(Inputs!$J$9-Inputs!$I$9)))/Inputs!$K$9)^2))^2))-((Inputs!$H$9+Inputs!$L$9*(((Inputs!$I$9+(((A179)+1)/2)*(Inputs!$J$9-Inputs!$I$9)))/Inputs!$K$9)^2)))*1000/Inputs!$C$12),NA())</x:f>
        <x:v>116759.34865806319</x:v>
      </x:c>
      <x:c r="L179" s="49"/>
      <x:c r="M179" s="48" t="n">
        <x:f>A179</x:f>
        <x:v>0.475</x:v>
      </x:c>
      <x:c r="N179" s="48" t="n">
        <x:f>IF(OR(Inputs!$F$6=TRUE,Inputs!$F$6="TRUE",Inputs!$F$6=1),(-2*((1000*((((Inputs!$I$6+(((A179)+1)/2)*(Inputs!$J$6-Inputs!$I$6)))*Inputs!$C$11+((Inputs!$H$6+Inputs!$L$6*(((Inputs!$I$6+(((A179)+1)/2)*(Inputs!$J$6-Inputs!$I$6)))/Inputs!$K$6)^2))*((2*Inputs!$L$6*((Inputs!$I$6+(((A179)+1)/2)*(Inputs!$J$6-Inputs!$I$6)))/(Inputs!$K$6^2)*Inputs!$C$11)))/(SQRT(((Inputs!$I$6+(((A179)+1)/2)*(Inputs!$J$6-Inputs!$I$6)))^2+Inputs!$C$6^2+((Inputs!$H$6+Inputs!$L$6*(((Inputs!$I$6+(((A179)+1)/2)*(Inputs!$J$6-Inputs!$I$6)))/Inputs!$K$6)^2))^2)))))/Inputs!$C$13),NA())</x:f>
        <x:v>-214.12144931249978</x:v>
      </x:c>
      <x:c r="O179" s="48" t="n">
        <x:f>IF(OR(Inputs!$F$7=TRUE,Inputs!$F$7="TRUE",Inputs!$F$7=1),(-2*((1000*((((Inputs!$I$7+(((A179)+1)/2)*(Inputs!$J$7-Inputs!$I$7)))*Inputs!$C$11+((Inputs!$H$7+Inputs!$L$7*(((Inputs!$I$7+(((A179)+1)/2)*(Inputs!$J$7-Inputs!$I$7)))/Inputs!$K$7)^2))*((2*Inputs!$L$7*((Inputs!$I$7+(((A179)+1)/2)*(Inputs!$J$7-Inputs!$I$7)))/(Inputs!$K$7^2)*Inputs!$C$11)))/(SQRT(((Inputs!$I$7+(((A179)+1)/2)*(Inputs!$J$7-Inputs!$I$7)))^2+Inputs!$C$6^2+((Inputs!$H$7+Inputs!$L$7*(((Inputs!$I$7+(((A179)+1)/2)*(Inputs!$J$7-Inputs!$I$7)))/Inputs!$K$7)^2))^2)))))/Inputs!$C$13),NA())</x:f>
        <x:v>-2077.1605468760226</x:v>
      </x:c>
      <x:c r="P179" s="48" t="n">
        <x:f>IF(OR(Inputs!$F$8=TRUE,Inputs!$F$8="TRUE",Inputs!$F$8=1),(-2*((1000*((((Inputs!$I$8+(((A179)+1)/2)*(Inputs!$J$8-Inputs!$I$8)))*Inputs!$C$11+((Inputs!$H$8+Inputs!$L$8*(((Inputs!$I$8+(((A179)+1)/2)*(Inputs!$J$8-Inputs!$I$8)))/Inputs!$K$8)^2))*((2*Inputs!$L$8*((Inputs!$I$8+(((A179)+1)/2)*(Inputs!$J$8-Inputs!$I$8)))/(Inputs!$K$8^2)*Inputs!$C$11)))/(SQRT(((Inputs!$I$8+(((A179)+1)/2)*(Inputs!$J$8-Inputs!$I$8)))^2+Inputs!$C$6^2+((Inputs!$H$8+Inputs!$L$8*(((Inputs!$I$8+(((A179)+1)/2)*(Inputs!$J$8-Inputs!$I$8)))/Inputs!$K$8)^2))^2)))))/Inputs!$C$13),NA())</x:f>
        <x:v>-2344.1032588773473</x:v>
      </x:c>
      <x:c r="Q179" s="48" t="n">
        <x:f>IF(OR(Inputs!$F$9=TRUE,Inputs!$F$9="TRUE",Inputs!$F$9=1),(-2*((1000*((((Inputs!$I$9+(((A179)+1)/2)*(Inputs!$J$9-Inputs!$I$9)))*Inputs!$C$11+((Inputs!$H$9+Inputs!$L$9*(((Inputs!$I$9+(((A179)+1)/2)*(Inputs!$J$9-Inputs!$I$9)))/Inputs!$K$9)^2))*((2*Inputs!$L$9*((Inputs!$I$9+(((A179)+1)/2)*(Inputs!$J$9-Inputs!$I$9)))/(Inputs!$K$9^2)*Inputs!$C$11)))/(SQRT(((Inputs!$I$9+(((A179)+1)/2)*(Inputs!$J$9-Inputs!$I$9)))^2+Inputs!$C$6^2+((Inputs!$H$9+Inputs!$L$9*(((Inputs!$I$9+(((A179)+1)/2)*(Inputs!$J$9-Inputs!$I$9)))/Inputs!$K$9)^2))^2)))))/Inputs!$C$13),NA())</x:f>
        <x:v>-2344.9558277083142</x:v>
      </x:c>
      <x:c r="R179" s="49"/>
      <x:c r="S179" s="48" t="n">
        <x:f>A179</x:f>
        <x:v>0.475</x:v>
      </x:c>
      <x:c r="T179" s="48" t="n">
        <x:f>(Inputs!$I$6+(((A179)+1)/2)*(Inputs!$J$6-Inputs!$I$6))</x:f>
        <x:v>28.5</x:v>
      </x:c>
      <x:c r="U179" s="48" t="n">
        <x:f>(Inputs!$I$7+(((A179)+1)/2)*(Inputs!$J$7-Inputs!$I$7))</x:f>
        <x:v>190</x:v>
      </x:c>
      <x:c r="V179" s="48" t="n">
        <x:f>(Inputs!$I$8+(((A179)+1)/2)*(Inputs!$J$8-Inputs!$I$8))</x:f>
        <x:v>380</x:v>
      </x:c>
      <x:c r="W179" s="48" t="n">
        <x:f>(Inputs!$I$9+(((A179)+1)/2)*(Inputs!$J$9-Inputs!$I$9))</x:f>
        <x:v>380</x:v>
      </x:c>
      <x:c r="X179" s="49"/>
      <x:c r="Y179" s="48" t="n">
        <x:f>A179</x:f>
        <x:v>0.475</x:v>
      </x:c>
      <x:c r="Z179" s="48" t="n">
        <x:f>(Inputs!$H$6+Inputs!$L$6*(((Inputs!$I$6+(((A179)+1)/2)*(Inputs!$J$6-Inputs!$I$6)))/Inputs!$K$6)^2)</x:f>
        <x:v>400.9025</x:v>
      </x:c>
      <x:c r="AA179" s="48" t="n">
        <x:f>(Inputs!$H$7+Inputs!$L$7*(((Inputs!$I$7+(((A179)+1)/2)*(Inputs!$J$7-Inputs!$I$7)))/Inputs!$K$7)^2)</x:f>
        <x:v>117.35312499999999</x:v>
      </x:c>
      <x:c r="AB179" s="48" t="n">
        <x:f>(Inputs!$H$8+Inputs!$L$8*(((Inputs!$I$8+(((A179)+1)/2)*(Inputs!$J$8-Inputs!$I$8)))/Inputs!$K$8)^2)</x:f>
        <x:v>252.728125</x:v>
      </x:c>
      <x:c r="AC179" s="48" t="n">
        <x:f>(Inputs!$H$9+Inputs!$L$9*(((Inputs!$I$9+(((A179)+1)/2)*(Inputs!$J$9-Inputs!$I$9)))/Inputs!$K$9)^2)</x:f>
        <x:v>244.984375</x:v>
      </x:c>
      <x:c r="AD179" s="49"/>
      <x:c r="AE179" s="48" t="n">
        <x:f>A179</x:f>
        <x:v>0.475</x:v>
      </x:c>
      <x:c r="AF179" s="48" t="n">
        <x:f>(((SQRT(((Inputs!$I$6+(((A179)+1)/2)*(Inputs!$J$6-Inputs!$I$6)))^2+Inputs!$C$6^2+((Inputs!$H$6+Inputs!$L$6*(((Inputs!$I$6+(((A179)+1)/2)*(Inputs!$J$6-Inputs!$I$6)))/Inputs!$K$6)^2))^2))-((Inputs!$H$6+Inputs!$L$6*(((Inputs!$I$6+(((A179)+1)/2)*(Inputs!$J$6-Inputs!$I$6)))/Inputs!$K$6)^2)))*1000/Inputs!$C$12)</x:f>
        <x:v>1004.7913422626065</x:v>
      </x:c>
      <x:c r="AG179" s="48" t="n">
        <x:f>(((SQRT(((Inputs!$I$7+(((A179)+1)/2)*(Inputs!$J$7-Inputs!$I$7)))^2+Inputs!$C$6^2+((Inputs!$H$7+Inputs!$L$7*(((Inputs!$I$7+(((A179)+1)/2)*(Inputs!$J$7-Inputs!$I$7)))/Inputs!$K$7)^2))^2))-((Inputs!$H$7+Inputs!$L$7*(((Inputs!$I$7+(((A179)+1)/2)*(Inputs!$J$7-Inputs!$I$7)))/Inputs!$K$7)^2)))*1000/Inputs!$C$12)</x:f>
        <x:v>60315.566013439195</x:v>
      </x:c>
      <x:c r="AH179" s="48" t="n">
        <x:f>(((SQRT(((Inputs!$I$8+(((A179)+1)/2)*(Inputs!$J$8-Inputs!$I$8)))^2+Inputs!$C$6^2+((Inputs!$H$8+Inputs!$L$8*(((Inputs!$I$8+(((A179)+1)/2)*(Inputs!$J$8-Inputs!$I$8)))/Inputs!$K$8)^2))^2))-((Inputs!$H$8+Inputs!$L$8*(((Inputs!$I$8+(((A179)+1)/2)*(Inputs!$J$8-Inputs!$I$8)))/Inputs!$K$8)^2)))*1000/Inputs!$C$12)</x:f>
        <x:v>114788.67812487425</x:v>
      </x:c>
      <x:c r="AI179" s="48" t="n">
        <x:f>(((SQRT(((Inputs!$I$9+(((A179)+1)/2)*(Inputs!$J$9-Inputs!$I$9)))^2+Inputs!$C$6^2+((Inputs!$H$9+Inputs!$L$9*(((Inputs!$I$9+(((A179)+1)/2)*(Inputs!$J$9-Inputs!$I$9)))/Inputs!$K$9)^2))^2))-((Inputs!$H$9+Inputs!$L$9*(((Inputs!$I$9+(((A179)+1)/2)*(Inputs!$J$9-Inputs!$I$9)))/Inputs!$K$9)^2)))*1000/Inputs!$C$12)</x:f>
        <x:v>116759.34865806319</x:v>
      </x:c>
      <x:c r="AJ179" s="49"/>
      <x:c r="AK179" s="48" t="n">
        <x:f>A179</x:f>
        <x:v>0.475</x:v>
      </x:c>
      <x:c r="AL179" s="48" t="n">
        <x:f>(-2*((1000*((((Inputs!$I$6+(((A179)+1)/2)*(Inputs!$J$6-Inputs!$I$6)))*Inputs!$C$11+((Inputs!$H$6+Inputs!$L$6*(((Inputs!$I$6+(((A179)+1)/2)*(Inputs!$J$6-Inputs!$I$6)))/Inputs!$K$6)^2))*((2*Inputs!$L$6*((Inputs!$I$6+(((A179)+1)/2)*(Inputs!$J$6-Inputs!$I$6)))/(Inputs!$K$6^2)*Inputs!$C$11)))/(SQRT(((Inputs!$I$6+(((A179)+1)/2)*(Inputs!$J$6-Inputs!$I$6)))^2+Inputs!$C$6^2+((Inputs!$H$6+Inputs!$L$6*(((Inputs!$I$6+(((A179)+1)/2)*(Inputs!$J$6-Inputs!$I$6)))/Inputs!$K$6)^2))^2)))))/Inputs!$C$13)</x:f>
        <x:v>-214.12144931249978</x:v>
      </x:c>
      <x:c r="AM179" s="48" t="n">
        <x:f>(-2*((1000*((((Inputs!$I$7+(((A179)+1)/2)*(Inputs!$J$7-Inputs!$I$7)))*Inputs!$C$11+((Inputs!$H$7+Inputs!$L$7*(((Inputs!$I$7+(((A179)+1)/2)*(Inputs!$J$7-Inputs!$I$7)))/Inputs!$K$7)^2))*((2*Inputs!$L$7*((Inputs!$I$7+(((A179)+1)/2)*(Inputs!$J$7-Inputs!$I$7)))/(Inputs!$K$7^2)*Inputs!$C$11)))/(SQRT(((Inputs!$I$7+(((A179)+1)/2)*(Inputs!$J$7-Inputs!$I$7)))^2+Inputs!$C$6^2+((Inputs!$H$7+Inputs!$L$7*(((Inputs!$I$7+(((A179)+1)/2)*(Inputs!$J$7-Inputs!$I$7)))/Inputs!$K$7)^2))^2)))))/Inputs!$C$13)</x:f>
        <x:v>-2077.1605468760226</x:v>
      </x:c>
      <x:c r="AN179" s="48" t="n">
        <x:f>(-2*((1000*((((Inputs!$I$8+(((A179)+1)/2)*(Inputs!$J$8-Inputs!$I$8)))*Inputs!$C$11+((Inputs!$H$8+Inputs!$L$8*(((Inputs!$I$8+(((A179)+1)/2)*(Inputs!$J$8-Inputs!$I$8)))/Inputs!$K$8)^2))*((2*Inputs!$L$8*((Inputs!$I$8+(((A179)+1)/2)*(Inputs!$J$8-Inputs!$I$8)))/(Inputs!$K$8^2)*Inputs!$C$11)))/(SQRT(((Inputs!$I$8+(((A179)+1)/2)*(Inputs!$J$8-Inputs!$I$8)))^2+Inputs!$C$6^2+((Inputs!$H$8+Inputs!$L$8*(((Inputs!$I$8+(((A179)+1)/2)*(Inputs!$J$8-Inputs!$I$8)))/Inputs!$K$8)^2))^2)))))/Inputs!$C$13)</x:f>
        <x:v>-2344.1032588773473</x:v>
      </x:c>
      <x:c r="AO179" s="48" t="n">
        <x:f>(-2*((1000*((((Inputs!$I$9+(((A179)+1)/2)*(Inputs!$J$9-Inputs!$I$9)))*Inputs!$C$11+((Inputs!$H$9+Inputs!$L$9*(((Inputs!$I$9+(((A179)+1)/2)*(Inputs!$J$9-Inputs!$I$9)))/Inputs!$K$9)^2))*((2*Inputs!$L$9*((Inputs!$I$9+(((A179)+1)/2)*(Inputs!$J$9-Inputs!$I$9)))/(Inputs!$K$9^2)*Inputs!$C$11)))/(SQRT(((Inputs!$I$9+(((A179)+1)/2)*(Inputs!$J$9-Inputs!$I$9)))^2+Inputs!$C$6^2+((Inputs!$H$9+Inputs!$L$9*(((Inputs!$I$9+(((A179)+1)/2)*(Inputs!$J$9-Inputs!$I$9)))/Inputs!$K$9)^2))^2)))))/Inputs!$C$13)</x:f>
        <x:v>-2344.9558277083142</x:v>
      </x:c>
    </x:row>
    <x:row r="180">
      <x:c r="A180" s="48" t="n">
        <x:f>ROUND(-1+178*2/240,3)</x:f>
        <x:v>0.483</x:v>
      </x:c>
      <x:c r="B180" s="48" t="n">
        <x:f>IF(OR(Inputs!$F$6=TRUE,Inputs!$F$6="TRUE",Inputs!$F$6=1),(Inputs!$H$6+Inputs!$L$6*(((Inputs!$I$6+(((A180)+1)/2)*(Inputs!$J$6-Inputs!$I$6)))/Inputs!$K$6)^2),NA())</x:f>
        <x:v>400.933156</x:v>
      </x:c>
      <x:c r="C180" s="48" t="n">
        <x:f>IF(OR(Inputs!$F$7=TRUE,Inputs!$F$7="TRUE",Inputs!$F$7=1),(Inputs!$H$7+Inputs!$L$7*(((Inputs!$I$7+(((A180)+1)/2)*(Inputs!$J$7-Inputs!$I$7)))/Inputs!$K$7)^2),NA())</x:f>
        <x:v>120.15048500000003</x:v>
      </x:c>
      <x:c r="D180" s="48" t="n">
        <x:f>IF(OR(Inputs!$F$8=TRUE,Inputs!$F$8="TRUE",Inputs!$F$8=1),(Inputs!$H$8+Inputs!$L$8*(((Inputs!$I$8+(((A180)+1)/2)*(Inputs!$J$8-Inputs!$I$8)))/Inputs!$K$8)^2),NA())</x:f>
        <x:v>260.1238850000001</x:v>
      </x:c>
      <x:c r="E180" s="48" t="n">
        <x:f>IF(OR(Inputs!$F$9=TRUE,Inputs!$F$9="TRUE",Inputs!$F$9=1),(Inputs!$H$9+Inputs!$L$9*(((Inputs!$I$9+(((A180)+1)/2)*(Inputs!$J$9-Inputs!$I$9)))/Inputs!$K$9)^2),NA())</x:f>
        <x:v>252.45677500000008</x:v>
      </x:c>
      <x:c r="F180" s="49"/>
      <x:c r="G180" s="48" t="n">
        <x:f>A180</x:f>
        <x:v>0.483</x:v>
      </x:c>
      <x:c r="H180" s="48" t="n">
        <x:f>IF(OR(Inputs!$F$6=TRUE,Inputs!$F$6="TRUE",Inputs!$F$6=1),(((SQRT(((Inputs!$I$6+(((A180)+1)/2)*(Inputs!$J$6-Inputs!$I$6)))^2+Inputs!$C$6^2+((Inputs!$H$6+Inputs!$L$6*(((Inputs!$I$6+(((A180)+1)/2)*(Inputs!$J$6-Inputs!$I$6)))/Inputs!$K$6)^2))^2))-((Inputs!$H$6+Inputs!$L$6*(((Inputs!$I$6+(((A180)+1)/2)*(Inputs!$J$6-Inputs!$I$6)))/Inputs!$K$6)^2)))*1000/Inputs!$C$12),NA())</x:f>
        <x:v>1023.9583819513614</x:v>
      </x:c>
      <x:c r="I180" s="48" t="n">
        <x:f>IF(OR(Inputs!$F$7=TRUE,Inputs!$F$7="TRUE",Inputs!$F$7=1),(((SQRT(((Inputs!$I$7+(((A180)+1)/2)*(Inputs!$J$7-Inputs!$I$7)))^2+Inputs!$C$6^2+((Inputs!$H$7+Inputs!$L$7*(((Inputs!$I$7+(((A180)+1)/2)*(Inputs!$J$7-Inputs!$I$7)))/Inputs!$K$7)^2))^2))-((Inputs!$H$7+Inputs!$L$7*(((Inputs!$I$7+(((A180)+1)/2)*(Inputs!$J$7-Inputs!$I$7)))/Inputs!$K$7)^2)))*1000/Inputs!$C$12),NA())</x:f>
        <x:v>61085.62288633845</x:v>
      </x:c>
      <x:c r="J180" s="48" t="n">
        <x:f>IF(OR(Inputs!$F$8=TRUE,Inputs!$F$8="TRUE",Inputs!$F$8=1),(((SQRT(((Inputs!$I$8+(((A180)+1)/2)*(Inputs!$J$8-Inputs!$I$8)))^2+Inputs!$C$6^2+((Inputs!$H$8+Inputs!$L$8*(((Inputs!$I$8+(((A180)+1)/2)*(Inputs!$J$8-Inputs!$I$8)))/Inputs!$K$8)^2))^2))-((Inputs!$H$8+Inputs!$L$8*(((Inputs!$I$8+(((A180)+1)/2)*(Inputs!$J$8-Inputs!$I$8)))/Inputs!$K$8)^2)))*1000/Inputs!$C$12),NA())</x:f>
        <x:v>115924.864789872</x:v>
      </x:c>
      <x:c r="K180" s="48" t="n">
        <x:f>IF(OR(Inputs!$F$9=TRUE,Inputs!$F$9="TRUE",Inputs!$F$9=1),(((SQRT(((Inputs!$I$9+(((A180)+1)/2)*(Inputs!$J$9-Inputs!$I$9)))^2+Inputs!$C$6^2+((Inputs!$H$9+Inputs!$L$9*(((Inputs!$I$9+(((A180)+1)/2)*(Inputs!$J$9-Inputs!$I$9)))/Inputs!$K$9)^2))^2))-((Inputs!$H$9+Inputs!$L$9*(((Inputs!$I$9+(((A180)+1)/2)*(Inputs!$J$9-Inputs!$I$9)))/Inputs!$K$9)^2)))*1000/Inputs!$C$12),NA())</x:f>
        <x:v>117854.8727356195</x:v>
      </x:c>
      <x:c r="L180" s="49"/>
      <x:c r="M180" s="48" t="n">
        <x:f>A180</x:f>
        <x:v>0.483</x:v>
      </x:c>
      <x:c r="N180" s="48" t="n">
        <x:f>IF(OR(Inputs!$F$6=TRUE,Inputs!$F$6="TRUE",Inputs!$F$6=1),(-2*((1000*((((Inputs!$I$6+(((A180)+1)/2)*(Inputs!$J$6-Inputs!$I$6)))*Inputs!$C$11+((Inputs!$H$6+Inputs!$L$6*(((Inputs!$I$6+(((A180)+1)/2)*(Inputs!$J$6-Inputs!$I$6)))/Inputs!$K$6)^2))*((2*Inputs!$L$6*((Inputs!$I$6+(((A180)+1)/2)*(Inputs!$J$6-Inputs!$I$6)))/(Inputs!$K$6^2)*Inputs!$C$11)))/(SQRT(((Inputs!$I$6+(((A180)+1)/2)*(Inputs!$J$6-Inputs!$I$6)))^2+Inputs!$C$6^2+((Inputs!$H$6+Inputs!$L$6*(((Inputs!$I$6+(((A180)+1)/2)*(Inputs!$J$6-Inputs!$I$6)))/Inputs!$K$6)^2))^2)))))/Inputs!$C$13),NA())</x:f>
        <x:v>-217.70053212463367</x:v>
      </x:c>
      <x:c r="O180" s="48" t="n">
        <x:f>IF(OR(Inputs!$F$7=TRUE,Inputs!$F$7="TRUE",Inputs!$F$7=1),(-2*((1000*((((Inputs!$I$7+(((A180)+1)/2)*(Inputs!$J$7-Inputs!$I$7)))*Inputs!$C$11+((Inputs!$H$7+Inputs!$L$7*(((Inputs!$I$7+(((A180)+1)/2)*(Inputs!$J$7-Inputs!$I$7)))/Inputs!$K$7)^2))*((2*Inputs!$L$7*((Inputs!$I$7+(((A180)+1)/2)*(Inputs!$J$7-Inputs!$I$7)))/(Inputs!$K$7^2)*Inputs!$C$11)))/(SQRT(((Inputs!$I$7+(((A180)+1)/2)*(Inputs!$J$7-Inputs!$I$7)))^2+Inputs!$C$6^2+((Inputs!$H$7+Inputs!$L$7*(((Inputs!$I$7+(((A180)+1)/2)*(Inputs!$J$7-Inputs!$I$7)))/Inputs!$K$7)^2))^2)))))/Inputs!$C$13),NA())</x:f>
        <x:v>-2090.9183303715336</x:v>
      </x:c>
      <x:c r="P180" s="48" t="n">
        <x:f>IF(OR(Inputs!$F$8=TRUE,Inputs!$F$8="TRUE",Inputs!$F$8=1),(-2*((1000*((((Inputs!$I$8+(((A180)+1)/2)*(Inputs!$J$8-Inputs!$I$8)))*Inputs!$C$11+((Inputs!$H$8+Inputs!$L$8*(((Inputs!$I$8+(((A180)+1)/2)*(Inputs!$J$8-Inputs!$I$8)))/Inputs!$K$8)^2))*((2*Inputs!$L$8*((Inputs!$I$8+(((A180)+1)/2)*(Inputs!$J$8-Inputs!$I$8)))/(Inputs!$K$8^2)*Inputs!$C$11)))/(SQRT(((Inputs!$I$8+(((A180)+1)/2)*(Inputs!$J$8-Inputs!$I$8)))^2+Inputs!$C$6^2+((Inputs!$H$8+Inputs!$L$8*(((Inputs!$I$8+(((A180)+1)/2)*(Inputs!$J$8-Inputs!$I$8)))/Inputs!$K$8)^2))^2)))))/Inputs!$C$13),NA())</x:f>
        <x:v>-2365.016887223056</x:v>
      </x:c>
      <x:c r="Q180" s="48" t="n">
        <x:f>IF(OR(Inputs!$F$9=TRUE,Inputs!$F$9="TRUE",Inputs!$F$9=1),(-2*((1000*((((Inputs!$I$9+(((A180)+1)/2)*(Inputs!$J$9-Inputs!$I$9)))*Inputs!$C$11+((Inputs!$H$9+Inputs!$L$9*(((Inputs!$I$9+(((A180)+1)/2)*(Inputs!$J$9-Inputs!$I$9)))/Inputs!$K$9)^2))*((2*Inputs!$L$9*((Inputs!$I$9+(((A180)+1)/2)*(Inputs!$J$9-Inputs!$I$9)))/(Inputs!$K$9^2)*Inputs!$C$11)))/(SQRT(((Inputs!$I$9+(((A180)+1)/2)*(Inputs!$J$9-Inputs!$I$9)))^2+Inputs!$C$6^2+((Inputs!$H$9+Inputs!$L$9*(((Inputs!$I$9+(((A180)+1)/2)*(Inputs!$J$9-Inputs!$I$9)))/Inputs!$K$9)^2))^2)))))/Inputs!$C$13),NA())</x:f>
        <x:v>-2366.2956439243558</x:v>
      </x:c>
      <x:c r="R180" s="49"/>
      <x:c r="S180" s="48" t="n">
        <x:f>A180</x:f>
        <x:v>0.483</x:v>
      </x:c>
      <x:c r="T180" s="48" t="n">
        <x:f>(Inputs!$I$6+(((A180)+1)/2)*(Inputs!$J$6-Inputs!$I$6))</x:f>
        <x:v>28.980000000000004</x:v>
      </x:c>
      <x:c r="U180" s="48" t="n">
        <x:f>(Inputs!$I$7+(((A180)+1)/2)*(Inputs!$J$7-Inputs!$I$7))</x:f>
        <x:v>193.20000000000005</x:v>
      </x:c>
      <x:c r="V180" s="48" t="n">
        <x:f>(Inputs!$I$8+(((A180)+1)/2)*(Inputs!$J$8-Inputs!$I$8))</x:f>
        <x:v>386.4000000000001</x:v>
      </x:c>
      <x:c r="W180" s="48" t="n">
        <x:f>(Inputs!$I$9+(((A180)+1)/2)*(Inputs!$J$9-Inputs!$I$9))</x:f>
        <x:v>386.4000000000001</x:v>
      </x:c>
      <x:c r="X180" s="49"/>
      <x:c r="Y180" s="48" t="n">
        <x:f>A180</x:f>
        <x:v>0.483</x:v>
      </x:c>
      <x:c r="Z180" s="48" t="n">
        <x:f>(Inputs!$H$6+Inputs!$L$6*(((Inputs!$I$6+(((A180)+1)/2)*(Inputs!$J$6-Inputs!$I$6)))/Inputs!$K$6)^2)</x:f>
        <x:v>400.933156</x:v>
      </x:c>
      <x:c r="AA180" s="48" t="n">
        <x:f>(Inputs!$H$7+Inputs!$L$7*(((Inputs!$I$7+(((A180)+1)/2)*(Inputs!$J$7-Inputs!$I$7)))/Inputs!$K$7)^2)</x:f>
        <x:v>120.15048500000003</x:v>
      </x:c>
      <x:c r="AB180" s="48" t="n">
        <x:f>(Inputs!$H$8+Inputs!$L$8*(((Inputs!$I$8+(((A180)+1)/2)*(Inputs!$J$8-Inputs!$I$8)))/Inputs!$K$8)^2)</x:f>
        <x:v>260.1238850000001</x:v>
      </x:c>
      <x:c r="AC180" s="48" t="n">
        <x:f>(Inputs!$H$9+Inputs!$L$9*(((Inputs!$I$9+(((A180)+1)/2)*(Inputs!$J$9-Inputs!$I$9)))/Inputs!$K$9)^2)</x:f>
        <x:v>252.45677500000008</x:v>
      </x:c>
      <x:c r="AD180" s="49"/>
      <x:c r="AE180" s="48" t="n">
        <x:f>A180</x:f>
        <x:v>0.483</x:v>
      </x:c>
      <x:c r="AF180" s="48" t="n">
        <x:f>(((SQRT(((Inputs!$I$6+(((A180)+1)/2)*(Inputs!$J$6-Inputs!$I$6)))^2+Inputs!$C$6^2+((Inputs!$H$6+Inputs!$L$6*(((Inputs!$I$6+(((A180)+1)/2)*(Inputs!$J$6-Inputs!$I$6)))/Inputs!$K$6)^2))^2))-((Inputs!$H$6+Inputs!$L$6*(((Inputs!$I$6+(((A180)+1)/2)*(Inputs!$J$6-Inputs!$I$6)))/Inputs!$K$6)^2)))*1000/Inputs!$C$12)</x:f>
        <x:v>1023.9583819513614</x:v>
      </x:c>
      <x:c r="AG180" s="48" t="n">
        <x:f>(((SQRT(((Inputs!$I$7+(((A180)+1)/2)*(Inputs!$J$7-Inputs!$I$7)))^2+Inputs!$C$6^2+((Inputs!$H$7+Inputs!$L$7*(((Inputs!$I$7+(((A180)+1)/2)*(Inputs!$J$7-Inputs!$I$7)))/Inputs!$K$7)^2))^2))-((Inputs!$H$7+Inputs!$L$7*(((Inputs!$I$7+(((A180)+1)/2)*(Inputs!$J$7-Inputs!$I$7)))/Inputs!$K$7)^2)))*1000/Inputs!$C$12)</x:f>
        <x:v>61085.62288633845</x:v>
      </x:c>
      <x:c r="AH180" s="48" t="n">
        <x:f>(((SQRT(((Inputs!$I$8+(((A180)+1)/2)*(Inputs!$J$8-Inputs!$I$8)))^2+Inputs!$C$6^2+((Inputs!$H$8+Inputs!$L$8*(((Inputs!$I$8+(((A180)+1)/2)*(Inputs!$J$8-Inputs!$I$8)))/Inputs!$K$8)^2))^2))-((Inputs!$H$8+Inputs!$L$8*(((Inputs!$I$8+(((A180)+1)/2)*(Inputs!$J$8-Inputs!$I$8)))/Inputs!$K$8)^2)))*1000/Inputs!$C$12)</x:f>
        <x:v>115924.864789872</x:v>
      </x:c>
      <x:c r="AI180" s="48" t="n">
        <x:f>(((SQRT(((Inputs!$I$9+(((A180)+1)/2)*(Inputs!$J$9-Inputs!$I$9)))^2+Inputs!$C$6^2+((Inputs!$H$9+Inputs!$L$9*(((Inputs!$I$9+(((A180)+1)/2)*(Inputs!$J$9-Inputs!$I$9)))/Inputs!$K$9)^2))^2))-((Inputs!$H$9+Inputs!$L$9*(((Inputs!$I$9+(((A180)+1)/2)*(Inputs!$J$9-Inputs!$I$9)))/Inputs!$K$9)^2)))*1000/Inputs!$C$12)</x:f>
        <x:v>117854.8727356195</x:v>
      </x:c>
      <x:c r="AJ180" s="49"/>
      <x:c r="AK180" s="48" t="n">
        <x:f>A180</x:f>
        <x:v>0.483</x:v>
      </x:c>
      <x:c r="AL180" s="48" t="n">
        <x:f>(-2*((1000*((((Inputs!$I$6+(((A180)+1)/2)*(Inputs!$J$6-Inputs!$I$6)))*Inputs!$C$11+((Inputs!$H$6+Inputs!$L$6*(((Inputs!$I$6+(((A180)+1)/2)*(Inputs!$J$6-Inputs!$I$6)))/Inputs!$K$6)^2))*((2*Inputs!$L$6*((Inputs!$I$6+(((A180)+1)/2)*(Inputs!$J$6-Inputs!$I$6)))/(Inputs!$K$6^2)*Inputs!$C$11)))/(SQRT(((Inputs!$I$6+(((A180)+1)/2)*(Inputs!$J$6-Inputs!$I$6)))^2+Inputs!$C$6^2+((Inputs!$H$6+Inputs!$L$6*(((Inputs!$I$6+(((A180)+1)/2)*(Inputs!$J$6-Inputs!$I$6)))/Inputs!$K$6)^2))^2)))))/Inputs!$C$13)</x:f>
        <x:v>-217.70053212463367</x:v>
      </x:c>
      <x:c r="AM180" s="48" t="n">
        <x:f>(-2*((1000*((((Inputs!$I$7+(((A180)+1)/2)*(Inputs!$J$7-Inputs!$I$7)))*Inputs!$C$11+((Inputs!$H$7+Inputs!$L$7*(((Inputs!$I$7+(((A180)+1)/2)*(Inputs!$J$7-Inputs!$I$7)))/Inputs!$K$7)^2))*((2*Inputs!$L$7*((Inputs!$I$7+(((A180)+1)/2)*(Inputs!$J$7-Inputs!$I$7)))/(Inputs!$K$7^2)*Inputs!$C$11)))/(SQRT(((Inputs!$I$7+(((A180)+1)/2)*(Inputs!$J$7-Inputs!$I$7)))^2+Inputs!$C$6^2+((Inputs!$H$7+Inputs!$L$7*(((Inputs!$I$7+(((A180)+1)/2)*(Inputs!$J$7-Inputs!$I$7)))/Inputs!$K$7)^2))^2)))))/Inputs!$C$13)</x:f>
        <x:v>-2090.9183303715336</x:v>
      </x:c>
      <x:c r="AN180" s="48" t="n">
        <x:f>(-2*((1000*((((Inputs!$I$8+(((A180)+1)/2)*(Inputs!$J$8-Inputs!$I$8)))*Inputs!$C$11+((Inputs!$H$8+Inputs!$L$8*(((Inputs!$I$8+(((A180)+1)/2)*(Inputs!$J$8-Inputs!$I$8)))/Inputs!$K$8)^2))*((2*Inputs!$L$8*((Inputs!$I$8+(((A180)+1)/2)*(Inputs!$J$8-Inputs!$I$8)))/(Inputs!$K$8^2)*Inputs!$C$11)))/(SQRT(((Inputs!$I$8+(((A180)+1)/2)*(Inputs!$J$8-Inputs!$I$8)))^2+Inputs!$C$6^2+((Inputs!$H$8+Inputs!$L$8*(((Inputs!$I$8+(((A180)+1)/2)*(Inputs!$J$8-Inputs!$I$8)))/Inputs!$K$8)^2))^2)))))/Inputs!$C$13)</x:f>
        <x:v>-2365.016887223056</x:v>
      </x:c>
      <x:c r="AO180" s="48" t="n">
        <x:f>(-2*((1000*((((Inputs!$I$9+(((A180)+1)/2)*(Inputs!$J$9-Inputs!$I$9)))*Inputs!$C$11+((Inputs!$H$9+Inputs!$L$9*(((Inputs!$I$9+(((A180)+1)/2)*(Inputs!$J$9-Inputs!$I$9)))/Inputs!$K$9)^2))*((2*Inputs!$L$9*((Inputs!$I$9+(((A180)+1)/2)*(Inputs!$J$9-Inputs!$I$9)))/(Inputs!$K$9^2)*Inputs!$C$11)))/(SQRT(((Inputs!$I$9+(((A180)+1)/2)*(Inputs!$J$9-Inputs!$I$9)))^2+Inputs!$C$6^2+((Inputs!$H$9+Inputs!$L$9*(((Inputs!$I$9+(((A180)+1)/2)*(Inputs!$J$9-Inputs!$I$9)))/Inputs!$K$9)^2))^2)))))/Inputs!$C$13)</x:f>
        <x:v>-2366.2956439243558</x:v>
      </x:c>
    </x:row>
    <x:row r="181">
      <x:c r="A181" s="48" t="n">
        <x:f>ROUND(-1+179*2/240,3)</x:f>
        <x:v>0.492</x:v>
      </x:c>
      <x:c r="B181" s="48" t="n">
        <x:f>IF(OR(Inputs!$F$6=TRUE,Inputs!$F$6="TRUE",Inputs!$F$6=1),(Inputs!$H$6+Inputs!$L$6*(((Inputs!$I$6+(((A181)+1)/2)*(Inputs!$J$6-Inputs!$I$6)))/Inputs!$K$6)^2),NA())</x:f>
        <x:v>400.968256</x:v>
      </x:c>
      <x:c r="C181" s="48" t="n">
        <x:f>IF(OR(Inputs!$F$7=TRUE,Inputs!$F$7="TRUE",Inputs!$F$7=1),(Inputs!$H$7+Inputs!$L$7*(((Inputs!$I$7+(((A181)+1)/2)*(Inputs!$J$7-Inputs!$I$7)))/Inputs!$K$7)^2),NA())</x:f>
        <x:v>123.35335999999997</x:v>
      </x:c>
      <x:c r="D181" s="48" t="n">
        <x:f>IF(OR(Inputs!$F$8=TRUE,Inputs!$F$8="TRUE",Inputs!$F$8=1),(Inputs!$H$8+Inputs!$L$8*(((Inputs!$I$8+(((A181)+1)/2)*(Inputs!$J$8-Inputs!$I$8)))/Inputs!$K$8)^2),NA())</x:f>
        <x:v>268.5917599999999</x:v>
      </x:c>
      <x:c r="E181" s="48" t="n">
        <x:f>IF(OR(Inputs!$F$9=TRUE,Inputs!$F$9="TRUE",Inputs!$F$9=1),(Inputs!$H$9+Inputs!$L$9*(((Inputs!$I$9+(((A181)+1)/2)*(Inputs!$J$9-Inputs!$I$9)))/Inputs!$K$9)^2),NA())</x:f>
        <x:v>261.0123999999999</x:v>
      </x:c>
      <x:c r="F181" s="49"/>
      <x:c r="G181" s="48" t="n">
        <x:f>A181</x:f>
        <x:v>0.492</x:v>
      </x:c>
      <x:c r="H181" s="48" t="n">
        <x:f>IF(OR(Inputs!$F$6=TRUE,Inputs!$F$6="TRUE",Inputs!$F$6=1),(((SQRT(((Inputs!$I$6+(((A181)+1)/2)*(Inputs!$J$6-Inputs!$I$6)))^2+Inputs!$C$6^2+((Inputs!$H$6+Inputs!$L$6*(((Inputs!$I$6+(((A181)+1)/2)*(Inputs!$J$6-Inputs!$I$6)))/Inputs!$K$6)^2))^2))-((Inputs!$H$6+Inputs!$L$6*(((Inputs!$I$6+(((A181)+1)/2)*(Inputs!$J$6-Inputs!$I$6)))/Inputs!$K$6)^2)))*1000/Inputs!$C$12),NA())</x:f>
        <x:v>1045.8983664725858</x:v>
      </x:c>
      <x:c r="I181" s="48" t="n">
        <x:f>IF(OR(Inputs!$F$7=TRUE,Inputs!$F$7="TRUE",Inputs!$F$7=1),(((SQRT(((Inputs!$I$7+(((A181)+1)/2)*(Inputs!$J$7-Inputs!$I$7)))^2+Inputs!$C$6^2+((Inputs!$H$7+Inputs!$L$7*(((Inputs!$I$7+(((A181)+1)/2)*(Inputs!$J$7-Inputs!$I$7)))/Inputs!$K$7)^2))^2))-((Inputs!$H$7+Inputs!$L$7*(((Inputs!$I$7+(((A181)+1)/2)*(Inputs!$J$7-Inputs!$I$7)))/Inputs!$K$7)^2)))*1000/Inputs!$C$12),NA())</x:f>
        <x:v>61939.1180621681</x:v>
      </x:c>
      <x:c r="J181" s="48" t="n">
        <x:f>IF(OR(Inputs!$F$8=TRUE,Inputs!$F$8="TRUE",Inputs!$F$8=1),(((SQRT(((Inputs!$I$8+(((A181)+1)/2)*(Inputs!$J$8-Inputs!$I$8)))^2+Inputs!$C$6^2+((Inputs!$H$8+Inputs!$L$8*(((Inputs!$I$8+(((A181)+1)/2)*(Inputs!$J$8-Inputs!$I$8)))/Inputs!$K$8)^2))^2))-((Inputs!$H$8+Inputs!$L$8*(((Inputs!$I$8+(((A181)+1)/2)*(Inputs!$J$8-Inputs!$I$8)))/Inputs!$K$8)^2)))*1000/Inputs!$C$12),NA())</x:f>
        <x:v>117176.59936188682</x:v>
      </x:c>
      <x:c r="K181" s="48" t="n">
        <x:f>IF(OR(Inputs!$F$9=TRUE,Inputs!$F$9="TRUE",Inputs!$F$9=1),(((SQRT(((Inputs!$I$9+(((A181)+1)/2)*(Inputs!$J$9-Inputs!$I$9)))^2+Inputs!$C$6^2+((Inputs!$H$9+Inputs!$L$9*(((Inputs!$I$9+(((A181)+1)/2)*(Inputs!$J$9-Inputs!$I$9)))/Inputs!$K$9)^2))^2))-((Inputs!$H$9+Inputs!$L$9*(((Inputs!$I$9+(((A181)+1)/2)*(Inputs!$J$9-Inputs!$I$9)))/Inputs!$K$9)^2)))*1000/Inputs!$C$12),NA())</x:f>
        <x:v>119061.15584428063</x:v>
      </x:c>
      <x:c r="L181" s="49"/>
      <x:c r="M181" s="48" t="n">
        <x:f>A181</x:f>
        <x:v>0.492</x:v>
      </x:c>
      <x:c r="N181" s="48" t="n">
        <x:f>IF(OR(Inputs!$F$6=TRUE,Inputs!$F$6="TRUE",Inputs!$F$6=1),(-2*((1000*((((Inputs!$I$6+(((A181)+1)/2)*(Inputs!$J$6-Inputs!$I$6)))*Inputs!$C$11+((Inputs!$H$6+Inputs!$L$6*(((Inputs!$I$6+(((A181)+1)/2)*(Inputs!$J$6-Inputs!$I$6)))/Inputs!$K$6)^2))*((2*Inputs!$L$6*((Inputs!$I$6+(((A181)+1)/2)*(Inputs!$J$6-Inputs!$I$6)))/(Inputs!$K$6^2)*Inputs!$C$11)))/(SQRT(((Inputs!$I$6+(((A181)+1)/2)*(Inputs!$J$6-Inputs!$I$6)))^2+Inputs!$C$6^2+((Inputs!$H$6+Inputs!$L$6*(((Inputs!$I$6+(((A181)+1)/2)*(Inputs!$J$6-Inputs!$I$6)))/Inputs!$K$6)^2))^2)))))/Inputs!$C$13),NA())</x:f>
        <x:v>-221.72538814619693</x:v>
      </x:c>
      <x:c r="O181" s="48" t="n">
        <x:f>IF(OR(Inputs!$F$7=TRUE,Inputs!$F$7="TRUE",Inputs!$F$7=1),(-2*((1000*((((Inputs!$I$7+(((A181)+1)/2)*(Inputs!$J$7-Inputs!$I$7)))*Inputs!$C$11+((Inputs!$H$7+Inputs!$L$7*(((Inputs!$I$7+(((A181)+1)/2)*(Inputs!$J$7-Inputs!$I$7)))/Inputs!$K$7)^2))*((2*Inputs!$L$7*((Inputs!$I$7+(((A181)+1)/2)*(Inputs!$J$7-Inputs!$I$7)))/(Inputs!$K$7^2)*Inputs!$C$11)))/(SQRT(((Inputs!$I$7+(((A181)+1)/2)*(Inputs!$J$7-Inputs!$I$7)))^2+Inputs!$C$6^2+((Inputs!$H$7+Inputs!$L$7*(((Inputs!$I$7+(((A181)+1)/2)*(Inputs!$J$7-Inputs!$I$7)))/Inputs!$K$7)^2))^2)))))/Inputs!$C$13),NA())</x:f>
        <x:v>-2106.5233700403096</x:v>
      </x:c>
      <x:c r="P181" s="48" t="n">
        <x:f>IF(OR(Inputs!$F$8=TRUE,Inputs!$F$8="TRUE",Inputs!$F$8=1),(-2*((1000*((((Inputs!$I$8+(((A181)+1)/2)*(Inputs!$J$8-Inputs!$I$8)))*Inputs!$C$11+((Inputs!$H$8+Inputs!$L$8*(((Inputs!$I$8+(((A181)+1)/2)*(Inputs!$J$8-Inputs!$I$8)))/Inputs!$K$8)^2))*((2*Inputs!$L$8*((Inputs!$I$8+(((A181)+1)/2)*(Inputs!$J$8-Inputs!$I$8)))/(Inputs!$K$8^2)*Inputs!$C$11)))/(SQRT(((Inputs!$I$8+(((A181)+1)/2)*(Inputs!$J$8-Inputs!$I$8)))^2+Inputs!$C$6^2+((Inputs!$H$8+Inputs!$L$8*(((Inputs!$I$8+(((A181)+1)/2)*(Inputs!$J$8-Inputs!$I$8)))/Inputs!$K$8)^2))^2)))))/Inputs!$C$13),NA())</x:f>
        <x:v>-2388.7865606005753</x:v>
      </x:c>
      <x:c r="Q181" s="48" t="n">
        <x:f>IF(OR(Inputs!$F$9=TRUE,Inputs!$F$9="TRUE",Inputs!$F$9=1),(-2*((1000*((((Inputs!$I$9+(((A181)+1)/2)*(Inputs!$J$9-Inputs!$I$9)))*Inputs!$C$11+((Inputs!$H$9+Inputs!$L$9*(((Inputs!$I$9+(((A181)+1)/2)*(Inputs!$J$9-Inputs!$I$9)))/Inputs!$K$9)^2))*((2*Inputs!$L$9*((Inputs!$I$9+(((A181)+1)/2)*(Inputs!$J$9-Inputs!$I$9)))/(Inputs!$K$9^2)*Inputs!$C$11)))/(SQRT(((Inputs!$I$9+(((A181)+1)/2)*(Inputs!$J$9-Inputs!$I$9)))^2+Inputs!$C$6^2+((Inputs!$H$9+Inputs!$L$9*(((Inputs!$I$9+(((A181)+1)/2)*(Inputs!$J$9-Inputs!$I$9)))/Inputs!$K$9)^2))^2)))))/Inputs!$C$13),NA())</x:f>
        <x:v>-2390.5518400502724</x:v>
      </x:c>
      <x:c r="R181" s="49"/>
      <x:c r="S181" s="48" t="n">
        <x:f>A181</x:f>
        <x:v>0.492</x:v>
      </x:c>
      <x:c r="T181" s="48" t="n">
        <x:f>(Inputs!$I$6+(((A181)+1)/2)*(Inputs!$J$6-Inputs!$I$6))</x:f>
        <x:v>29.519999999999996</x:v>
      </x:c>
      <x:c r="U181" s="48" t="n">
        <x:f>(Inputs!$I$7+(((A181)+1)/2)*(Inputs!$J$7-Inputs!$I$7))</x:f>
        <x:v>196.79999999999995</x:v>
      </x:c>
      <x:c r="V181" s="48" t="n">
        <x:f>(Inputs!$I$8+(((A181)+1)/2)*(Inputs!$J$8-Inputs!$I$8))</x:f>
        <x:v>393.5999999999999</x:v>
      </x:c>
      <x:c r="W181" s="48" t="n">
        <x:f>(Inputs!$I$9+(((A181)+1)/2)*(Inputs!$J$9-Inputs!$I$9))</x:f>
        <x:v>393.5999999999999</x:v>
      </x:c>
      <x:c r="X181" s="49"/>
      <x:c r="Y181" s="48" t="n">
        <x:f>A181</x:f>
        <x:v>0.492</x:v>
      </x:c>
      <x:c r="Z181" s="48" t="n">
        <x:f>(Inputs!$H$6+Inputs!$L$6*(((Inputs!$I$6+(((A181)+1)/2)*(Inputs!$J$6-Inputs!$I$6)))/Inputs!$K$6)^2)</x:f>
        <x:v>400.968256</x:v>
      </x:c>
      <x:c r="AA181" s="48" t="n">
        <x:f>(Inputs!$H$7+Inputs!$L$7*(((Inputs!$I$7+(((A181)+1)/2)*(Inputs!$J$7-Inputs!$I$7)))/Inputs!$K$7)^2)</x:f>
        <x:v>123.35335999999997</x:v>
      </x:c>
      <x:c r="AB181" s="48" t="n">
        <x:f>(Inputs!$H$8+Inputs!$L$8*(((Inputs!$I$8+(((A181)+1)/2)*(Inputs!$J$8-Inputs!$I$8)))/Inputs!$K$8)^2)</x:f>
        <x:v>268.5917599999999</x:v>
      </x:c>
      <x:c r="AC181" s="48" t="n">
        <x:f>(Inputs!$H$9+Inputs!$L$9*(((Inputs!$I$9+(((A181)+1)/2)*(Inputs!$J$9-Inputs!$I$9)))/Inputs!$K$9)^2)</x:f>
        <x:v>261.0123999999999</x:v>
      </x:c>
      <x:c r="AD181" s="49"/>
      <x:c r="AE181" s="48" t="n">
        <x:f>A181</x:f>
        <x:v>0.492</x:v>
      </x:c>
      <x:c r="AF181" s="48" t="n">
        <x:f>(((SQRT(((Inputs!$I$6+(((A181)+1)/2)*(Inputs!$J$6-Inputs!$I$6)))^2+Inputs!$C$6^2+((Inputs!$H$6+Inputs!$L$6*(((Inputs!$I$6+(((A181)+1)/2)*(Inputs!$J$6-Inputs!$I$6)))/Inputs!$K$6)^2))^2))-((Inputs!$H$6+Inputs!$L$6*(((Inputs!$I$6+(((A181)+1)/2)*(Inputs!$J$6-Inputs!$I$6)))/Inputs!$K$6)^2)))*1000/Inputs!$C$12)</x:f>
        <x:v>1045.8983664725858</x:v>
      </x:c>
      <x:c r="AG181" s="48" t="n">
        <x:f>(((SQRT(((Inputs!$I$7+(((A181)+1)/2)*(Inputs!$J$7-Inputs!$I$7)))^2+Inputs!$C$6^2+((Inputs!$H$7+Inputs!$L$7*(((Inputs!$I$7+(((A181)+1)/2)*(Inputs!$J$7-Inputs!$I$7)))/Inputs!$K$7)^2))^2))-((Inputs!$H$7+Inputs!$L$7*(((Inputs!$I$7+(((A181)+1)/2)*(Inputs!$J$7-Inputs!$I$7)))/Inputs!$K$7)^2)))*1000/Inputs!$C$12)</x:f>
        <x:v>61939.1180621681</x:v>
      </x:c>
      <x:c r="AH181" s="48" t="n">
        <x:f>(((SQRT(((Inputs!$I$8+(((A181)+1)/2)*(Inputs!$J$8-Inputs!$I$8)))^2+Inputs!$C$6^2+((Inputs!$H$8+Inputs!$L$8*(((Inputs!$I$8+(((A181)+1)/2)*(Inputs!$J$8-Inputs!$I$8)))/Inputs!$K$8)^2))^2))-((Inputs!$H$8+Inputs!$L$8*(((Inputs!$I$8+(((A181)+1)/2)*(Inputs!$J$8-Inputs!$I$8)))/Inputs!$K$8)^2)))*1000/Inputs!$C$12)</x:f>
        <x:v>117176.59936188682</x:v>
      </x:c>
      <x:c r="AI181" s="48" t="n">
        <x:f>(((SQRT(((Inputs!$I$9+(((A181)+1)/2)*(Inputs!$J$9-Inputs!$I$9)))^2+Inputs!$C$6^2+((Inputs!$H$9+Inputs!$L$9*(((Inputs!$I$9+(((A181)+1)/2)*(Inputs!$J$9-Inputs!$I$9)))/Inputs!$K$9)^2))^2))-((Inputs!$H$9+Inputs!$L$9*(((Inputs!$I$9+(((A181)+1)/2)*(Inputs!$J$9-Inputs!$I$9)))/Inputs!$K$9)^2)))*1000/Inputs!$C$12)</x:f>
        <x:v>119061.15584428063</x:v>
      </x:c>
      <x:c r="AJ181" s="49"/>
      <x:c r="AK181" s="48" t="n">
        <x:f>A181</x:f>
        <x:v>0.492</x:v>
      </x:c>
      <x:c r="AL181" s="48" t="n">
        <x:f>(-2*((1000*((((Inputs!$I$6+(((A181)+1)/2)*(Inputs!$J$6-Inputs!$I$6)))*Inputs!$C$11+((Inputs!$H$6+Inputs!$L$6*(((Inputs!$I$6+(((A181)+1)/2)*(Inputs!$J$6-Inputs!$I$6)))/Inputs!$K$6)^2))*((2*Inputs!$L$6*((Inputs!$I$6+(((A181)+1)/2)*(Inputs!$J$6-Inputs!$I$6)))/(Inputs!$K$6^2)*Inputs!$C$11)))/(SQRT(((Inputs!$I$6+(((A181)+1)/2)*(Inputs!$J$6-Inputs!$I$6)))^2+Inputs!$C$6^2+((Inputs!$H$6+Inputs!$L$6*(((Inputs!$I$6+(((A181)+1)/2)*(Inputs!$J$6-Inputs!$I$6)))/Inputs!$K$6)^2))^2)))))/Inputs!$C$13)</x:f>
        <x:v>-221.72538814619693</x:v>
      </x:c>
      <x:c r="AM181" s="48" t="n">
        <x:f>(-2*((1000*((((Inputs!$I$7+(((A181)+1)/2)*(Inputs!$J$7-Inputs!$I$7)))*Inputs!$C$11+((Inputs!$H$7+Inputs!$L$7*(((Inputs!$I$7+(((A181)+1)/2)*(Inputs!$J$7-Inputs!$I$7)))/Inputs!$K$7)^2))*((2*Inputs!$L$7*((Inputs!$I$7+(((A181)+1)/2)*(Inputs!$J$7-Inputs!$I$7)))/(Inputs!$K$7^2)*Inputs!$C$11)))/(SQRT(((Inputs!$I$7+(((A181)+1)/2)*(Inputs!$J$7-Inputs!$I$7)))^2+Inputs!$C$6^2+((Inputs!$H$7+Inputs!$L$7*(((Inputs!$I$7+(((A181)+1)/2)*(Inputs!$J$7-Inputs!$I$7)))/Inputs!$K$7)^2))^2)))))/Inputs!$C$13)</x:f>
        <x:v>-2106.5233700403096</x:v>
      </x:c>
      <x:c r="AN181" s="48" t="n">
        <x:f>(-2*((1000*((((Inputs!$I$8+(((A181)+1)/2)*(Inputs!$J$8-Inputs!$I$8)))*Inputs!$C$11+((Inputs!$H$8+Inputs!$L$8*(((Inputs!$I$8+(((A181)+1)/2)*(Inputs!$J$8-Inputs!$I$8)))/Inputs!$K$8)^2))*((2*Inputs!$L$8*((Inputs!$I$8+(((A181)+1)/2)*(Inputs!$J$8-Inputs!$I$8)))/(Inputs!$K$8^2)*Inputs!$C$11)))/(SQRT(((Inputs!$I$8+(((A181)+1)/2)*(Inputs!$J$8-Inputs!$I$8)))^2+Inputs!$C$6^2+((Inputs!$H$8+Inputs!$L$8*(((Inputs!$I$8+(((A181)+1)/2)*(Inputs!$J$8-Inputs!$I$8)))/Inputs!$K$8)^2))^2)))))/Inputs!$C$13)</x:f>
        <x:v>-2388.7865606005753</x:v>
      </x:c>
      <x:c r="AO181" s="48" t="n">
        <x:f>(-2*((1000*((((Inputs!$I$9+(((A181)+1)/2)*(Inputs!$J$9-Inputs!$I$9)))*Inputs!$C$11+((Inputs!$H$9+Inputs!$L$9*(((Inputs!$I$9+(((A181)+1)/2)*(Inputs!$J$9-Inputs!$I$9)))/Inputs!$K$9)^2))*((2*Inputs!$L$9*((Inputs!$I$9+(((A181)+1)/2)*(Inputs!$J$9-Inputs!$I$9)))/(Inputs!$K$9^2)*Inputs!$C$11)))/(SQRT(((Inputs!$I$9+(((A181)+1)/2)*(Inputs!$J$9-Inputs!$I$9)))^2+Inputs!$C$6^2+((Inputs!$H$9+Inputs!$L$9*(((Inputs!$I$9+(((A181)+1)/2)*(Inputs!$J$9-Inputs!$I$9)))/Inputs!$K$9)^2))^2)))))/Inputs!$C$13)</x:f>
        <x:v>-2390.5518400502724</x:v>
      </x:c>
    </x:row>
    <x:row r="182">
      <x:c r="A182" s="48" t="n">
        <x:f>ROUND(-1+180*2/240,3)</x:f>
        <x:v>0.5</x:v>
      </x:c>
      <x:c r="B182" s="48" t="n">
        <x:f>IF(OR(Inputs!$F$6=TRUE,Inputs!$F$6="TRUE",Inputs!$F$6=1),(Inputs!$H$6+Inputs!$L$6*(((Inputs!$I$6+(((A182)+1)/2)*(Inputs!$J$6-Inputs!$I$6)))/Inputs!$K$6)^2),NA())</x:f>
        <x:v>401</x:v>
      </x:c>
      <x:c r="C182" s="48" t="n">
        <x:f>IF(OR(Inputs!$F$7=TRUE,Inputs!$F$7="TRUE",Inputs!$F$7=1),(Inputs!$H$7+Inputs!$L$7*(((Inputs!$I$7+(((A182)+1)/2)*(Inputs!$J$7-Inputs!$I$7)))/Inputs!$K$7)^2),NA())</x:f>
        <x:v>126.25</x:v>
      </x:c>
      <x:c r="D182" s="48" t="n">
        <x:f>IF(OR(Inputs!$F$8=TRUE,Inputs!$F$8="TRUE",Inputs!$F$8=1),(Inputs!$H$8+Inputs!$L$8*(((Inputs!$I$8+(((A182)+1)/2)*(Inputs!$J$8-Inputs!$I$8)))/Inputs!$K$8)^2),NA())</x:f>
        <x:v>276.25</x:v>
      </x:c>
      <x:c r="E182" s="48" t="n">
        <x:f>IF(OR(Inputs!$F$9=TRUE,Inputs!$F$9="TRUE",Inputs!$F$9=1),(Inputs!$H$9+Inputs!$L$9*(((Inputs!$I$9+(((A182)+1)/2)*(Inputs!$J$9-Inputs!$I$9)))/Inputs!$K$9)^2),NA())</x:f>
        <x:v>268.75</x:v>
      </x:c>
      <x:c r="F182" s="49"/>
      <x:c r="G182" s="48" t="n">
        <x:f>A182</x:f>
        <x:v>0.5</x:v>
      </x:c>
      <x:c r="H182" s="48" t="n">
        <x:f>IF(OR(Inputs!$F$6=TRUE,Inputs!$F$6="TRUE",Inputs!$F$6=1),(((SQRT(((Inputs!$I$6+(((A182)+1)/2)*(Inputs!$J$6-Inputs!$I$6)))^2+Inputs!$C$6^2+((Inputs!$H$6+Inputs!$L$6*(((Inputs!$I$6+(((A182)+1)/2)*(Inputs!$J$6-Inputs!$I$6)))/Inputs!$K$6)^2))^2))-((Inputs!$H$6+Inputs!$L$6*(((Inputs!$I$6+(((A182)+1)/2)*(Inputs!$J$6-Inputs!$I$6)))/Inputs!$K$6)^2)))*1000/Inputs!$C$12),NA())</x:f>
        <x:v>1065.7354900670628</x:v>
      </x:c>
      <x:c r="I182" s="48" t="n">
        <x:f>IF(OR(Inputs!$F$7=TRUE,Inputs!$F$7="TRUE",Inputs!$F$7=1),(((SQRT(((Inputs!$I$7+(((A182)+1)/2)*(Inputs!$J$7-Inputs!$I$7)))^2+Inputs!$C$6^2+((Inputs!$H$7+Inputs!$L$7*(((Inputs!$I$7+(((A182)+1)/2)*(Inputs!$J$7-Inputs!$I$7)))/Inputs!$K$7)^2))^2))-((Inputs!$H$7+Inputs!$L$7*(((Inputs!$I$7+(((A182)+1)/2)*(Inputs!$J$7-Inputs!$I$7)))/Inputs!$K$7)^2)))*1000/Inputs!$C$12),NA())</x:f>
        <x:v>62686.5195420731</x:v>
      </x:c>
      <x:c r="J182" s="48" t="n">
        <x:f>IF(OR(Inputs!$F$8=TRUE,Inputs!$F$8="TRUE",Inputs!$F$8=1),(((SQRT(((Inputs!$I$8+(((A182)+1)/2)*(Inputs!$J$8-Inputs!$I$8)))^2+Inputs!$C$6^2+((Inputs!$H$8+Inputs!$L$8*(((Inputs!$I$8+(((A182)+1)/2)*(Inputs!$J$8-Inputs!$I$8)))/Inputs!$K$8)^2))^2))-((Inputs!$H$8+Inputs!$L$8*(((Inputs!$I$8+(((A182)+1)/2)*(Inputs!$J$8-Inputs!$I$8)))/Inputs!$K$8)^2)))*1000/Inputs!$C$12),NA())</x:f>
        <x:v>118266.21757916138</x:v>
      </x:c>
      <x:c r="K182" s="48" t="n">
        <x:f>IF(OR(Inputs!$F$9=TRUE,Inputs!$F$9="TRUE",Inputs!$F$9=1),(((SQRT(((Inputs!$I$9+(((A182)+1)/2)*(Inputs!$J$9-Inputs!$I$9)))^2+Inputs!$C$6^2+((Inputs!$H$9+Inputs!$L$9*(((Inputs!$I$9+(((A182)+1)/2)*(Inputs!$J$9-Inputs!$I$9)))/Inputs!$K$9)^2))^2))-((Inputs!$H$9+Inputs!$L$9*(((Inputs!$I$9+(((A182)+1)/2)*(Inputs!$J$9-Inputs!$I$9)))/Inputs!$K$9)^2)))*1000/Inputs!$C$12),NA())</x:f>
        <x:v>120110.64813142721</x:v>
      </x:c>
      <x:c r="L182" s="49"/>
      <x:c r="M182" s="48" t="n">
        <x:f>A182</x:f>
        <x:v>0.5</x:v>
      </x:c>
      <x:c r="N182" s="48" t="n">
        <x:f>IF(OR(Inputs!$F$6=TRUE,Inputs!$F$6="TRUE",Inputs!$F$6=1),(-2*((1000*((((Inputs!$I$6+(((A182)+1)/2)*(Inputs!$J$6-Inputs!$I$6)))*Inputs!$C$11+((Inputs!$H$6+Inputs!$L$6*(((Inputs!$I$6+(((A182)+1)/2)*(Inputs!$J$6-Inputs!$I$6)))/Inputs!$K$6)^2))*((2*Inputs!$L$6*((Inputs!$I$6+(((A182)+1)/2)*(Inputs!$J$6-Inputs!$I$6)))/(Inputs!$K$6^2)*Inputs!$C$11)))/(SQRT(((Inputs!$I$6+(((A182)+1)/2)*(Inputs!$J$6-Inputs!$I$6)))^2+Inputs!$C$6^2+((Inputs!$H$6+Inputs!$L$6*(((Inputs!$I$6+(((A182)+1)/2)*(Inputs!$J$6-Inputs!$I$6)))/Inputs!$K$6)^2))^2)))))/Inputs!$C$13),NA())</x:f>
        <x:v>-225.3015814632407</x:v>
      </x:c>
      <x:c r="O182" s="48" t="n">
        <x:f>IF(OR(Inputs!$F$7=TRUE,Inputs!$F$7="TRUE",Inputs!$F$7=1),(-2*((1000*((((Inputs!$I$7+(((A182)+1)/2)*(Inputs!$J$7-Inputs!$I$7)))*Inputs!$C$11+((Inputs!$H$7+Inputs!$L$7*(((Inputs!$I$7+(((A182)+1)/2)*(Inputs!$J$7-Inputs!$I$7)))/Inputs!$K$7)^2))*((2*Inputs!$L$7*((Inputs!$I$7+(((A182)+1)/2)*(Inputs!$J$7-Inputs!$I$7)))/(Inputs!$K$7^2)*Inputs!$C$11)))/(SQRT(((Inputs!$I$7+(((A182)+1)/2)*(Inputs!$J$7-Inputs!$I$7)))^2+Inputs!$C$6^2+((Inputs!$H$7+Inputs!$L$7*(((Inputs!$I$7+(((A182)+1)/2)*(Inputs!$J$7-Inputs!$I$7)))/Inputs!$K$7)^2))^2)))))/Inputs!$C$13),NA())</x:f>
        <x:v>-2120.5093925695264</x:v>
      </x:c>
      <x:c r="P182" s="48" t="n">
        <x:f>IF(OR(Inputs!$F$8=TRUE,Inputs!$F$8="TRUE",Inputs!$F$8=1),(-2*((1000*((((Inputs!$I$8+(((A182)+1)/2)*(Inputs!$J$8-Inputs!$I$8)))*Inputs!$C$11+((Inputs!$H$8+Inputs!$L$8*(((Inputs!$I$8+(((A182)+1)/2)*(Inputs!$J$8-Inputs!$I$8)))/Inputs!$K$8)^2))*((2*Inputs!$L$8*((Inputs!$I$8+(((A182)+1)/2)*(Inputs!$J$8-Inputs!$I$8)))/(Inputs!$K$8^2)*Inputs!$C$11)))/(SQRT(((Inputs!$I$8+(((A182)+1)/2)*(Inputs!$J$8-Inputs!$I$8)))^2+Inputs!$C$6^2+((Inputs!$H$8+Inputs!$L$8*(((Inputs!$I$8+(((A182)+1)/2)*(Inputs!$J$8-Inputs!$I$8)))/Inputs!$K$8)^2))^2)))))/Inputs!$C$13),NA())</x:f>
        <x:v>-2410.1265086278</x:v>
      </x:c>
      <x:c r="Q182" s="48" t="n">
        <x:f>IF(OR(Inputs!$F$9=TRUE,Inputs!$F$9="TRUE",Inputs!$F$9=1),(-2*((1000*((((Inputs!$I$9+(((A182)+1)/2)*(Inputs!$J$9-Inputs!$I$9)))*Inputs!$C$11+((Inputs!$H$9+Inputs!$L$9*(((Inputs!$I$9+(((A182)+1)/2)*(Inputs!$J$9-Inputs!$I$9)))/Inputs!$K$9)^2))*((2*Inputs!$L$9*((Inputs!$I$9+(((A182)+1)/2)*(Inputs!$J$9-Inputs!$I$9)))/(Inputs!$K$9^2)*Inputs!$C$11)))/(SQRT(((Inputs!$I$9+(((A182)+1)/2)*(Inputs!$J$9-Inputs!$I$9)))^2+Inputs!$C$6^2+((Inputs!$H$9+Inputs!$L$9*(((Inputs!$I$9+(((A182)+1)/2)*(Inputs!$J$9-Inputs!$I$9)))/Inputs!$K$9)^2))^2)))))/Inputs!$C$13),NA())</x:f>
        <x:v>-2412.3300150114787</x:v>
      </x:c>
      <x:c r="R182" s="49"/>
      <x:c r="S182" s="48" t="n">
        <x:f>A182</x:f>
        <x:v>0.5</x:v>
      </x:c>
      <x:c r="T182" s="48" t="n">
        <x:f>(Inputs!$I$6+(((A182)+1)/2)*(Inputs!$J$6-Inputs!$I$6))</x:f>
        <x:v>30</x:v>
      </x:c>
      <x:c r="U182" s="48" t="n">
        <x:f>(Inputs!$I$7+(((A182)+1)/2)*(Inputs!$J$7-Inputs!$I$7))</x:f>
        <x:v>200</x:v>
      </x:c>
      <x:c r="V182" s="48" t="n">
        <x:f>(Inputs!$I$8+(((A182)+1)/2)*(Inputs!$J$8-Inputs!$I$8))</x:f>
        <x:v>400</x:v>
      </x:c>
      <x:c r="W182" s="48" t="n">
        <x:f>(Inputs!$I$9+(((A182)+1)/2)*(Inputs!$J$9-Inputs!$I$9))</x:f>
        <x:v>400</x:v>
      </x:c>
      <x:c r="X182" s="49"/>
      <x:c r="Y182" s="48" t="n">
        <x:f>A182</x:f>
        <x:v>0.5</x:v>
      </x:c>
      <x:c r="Z182" s="48" t="n">
        <x:f>(Inputs!$H$6+Inputs!$L$6*(((Inputs!$I$6+(((A182)+1)/2)*(Inputs!$J$6-Inputs!$I$6)))/Inputs!$K$6)^2)</x:f>
        <x:v>401</x:v>
      </x:c>
      <x:c r="AA182" s="48" t="n">
        <x:f>(Inputs!$H$7+Inputs!$L$7*(((Inputs!$I$7+(((A182)+1)/2)*(Inputs!$J$7-Inputs!$I$7)))/Inputs!$K$7)^2)</x:f>
        <x:v>126.25</x:v>
      </x:c>
      <x:c r="AB182" s="48" t="n">
        <x:f>(Inputs!$H$8+Inputs!$L$8*(((Inputs!$I$8+(((A182)+1)/2)*(Inputs!$J$8-Inputs!$I$8)))/Inputs!$K$8)^2)</x:f>
        <x:v>276.25</x:v>
      </x:c>
      <x:c r="AC182" s="48" t="n">
        <x:f>(Inputs!$H$9+Inputs!$L$9*(((Inputs!$I$9+(((A182)+1)/2)*(Inputs!$J$9-Inputs!$I$9)))/Inputs!$K$9)^2)</x:f>
        <x:v>268.75</x:v>
      </x:c>
      <x:c r="AD182" s="49"/>
      <x:c r="AE182" s="48" t="n">
        <x:f>A182</x:f>
        <x:v>0.5</x:v>
      </x:c>
      <x:c r="AF182" s="48" t="n">
        <x:f>(((SQRT(((Inputs!$I$6+(((A182)+1)/2)*(Inputs!$J$6-Inputs!$I$6)))^2+Inputs!$C$6^2+((Inputs!$H$6+Inputs!$L$6*(((Inputs!$I$6+(((A182)+1)/2)*(Inputs!$J$6-Inputs!$I$6)))/Inputs!$K$6)^2))^2))-((Inputs!$H$6+Inputs!$L$6*(((Inputs!$I$6+(((A182)+1)/2)*(Inputs!$J$6-Inputs!$I$6)))/Inputs!$K$6)^2)))*1000/Inputs!$C$12)</x:f>
        <x:v>1065.7354900670628</x:v>
      </x:c>
      <x:c r="AG182" s="48" t="n">
        <x:f>(((SQRT(((Inputs!$I$7+(((A182)+1)/2)*(Inputs!$J$7-Inputs!$I$7)))^2+Inputs!$C$6^2+((Inputs!$H$7+Inputs!$L$7*(((Inputs!$I$7+(((A182)+1)/2)*(Inputs!$J$7-Inputs!$I$7)))/Inputs!$K$7)^2))^2))-((Inputs!$H$7+Inputs!$L$7*(((Inputs!$I$7+(((A182)+1)/2)*(Inputs!$J$7-Inputs!$I$7)))/Inputs!$K$7)^2)))*1000/Inputs!$C$12)</x:f>
        <x:v>62686.5195420731</x:v>
      </x:c>
      <x:c r="AH182" s="48" t="n">
        <x:f>(((SQRT(((Inputs!$I$8+(((A182)+1)/2)*(Inputs!$J$8-Inputs!$I$8)))^2+Inputs!$C$6^2+((Inputs!$H$8+Inputs!$L$8*(((Inputs!$I$8+(((A182)+1)/2)*(Inputs!$J$8-Inputs!$I$8)))/Inputs!$K$8)^2))^2))-((Inputs!$H$8+Inputs!$L$8*(((Inputs!$I$8+(((A182)+1)/2)*(Inputs!$J$8-Inputs!$I$8)))/Inputs!$K$8)^2)))*1000/Inputs!$C$12)</x:f>
        <x:v>118266.21757916138</x:v>
      </x:c>
      <x:c r="AI182" s="48" t="n">
        <x:f>(((SQRT(((Inputs!$I$9+(((A182)+1)/2)*(Inputs!$J$9-Inputs!$I$9)))^2+Inputs!$C$6^2+((Inputs!$H$9+Inputs!$L$9*(((Inputs!$I$9+(((A182)+1)/2)*(Inputs!$J$9-Inputs!$I$9)))/Inputs!$K$9)^2))^2))-((Inputs!$H$9+Inputs!$L$9*(((Inputs!$I$9+(((A182)+1)/2)*(Inputs!$J$9-Inputs!$I$9)))/Inputs!$K$9)^2)))*1000/Inputs!$C$12)</x:f>
        <x:v>120110.64813142721</x:v>
      </x:c>
      <x:c r="AJ182" s="49"/>
      <x:c r="AK182" s="48" t="n">
        <x:f>A182</x:f>
        <x:v>0.5</x:v>
      </x:c>
      <x:c r="AL182" s="48" t="n">
        <x:f>(-2*((1000*((((Inputs!$I$6+(((A182)+1)/2)*(Inputs!$J$6-Inputs!$I$6)))*Inputs!$C$11+((Inputs!$H$6+Inputs!$L$6*(((Inputs!$I$6+(((A182)+1)/2)*(Inputs!$J$6-Inputs!$I$6)))/Inputs!$K$6)^2))*((2*Inputs!$L$6*((Inputs!$I$6+(((A182)+1)/2)*(Inputs!$J$6-Inputs!$I$6)))/(Inputs!$K$6^2)*Inputs!$C$11)))/(SQRT(((Inputs!$I$6+(((A182)+1)/2)*(Inputs!$J$6-Inputs!$I$6)))^2+Inputs!$C$6^2+((Inputs!$H$6+Inputs!$L$6*(((Inputs!$I$6+(((A182)+1)/2)*(Inputs!$J$6-Inputs!$I$6)))/Inputs!$K$6)^2))^2)))))/Inputs!$C$13)</x:f>
        <x:v>-225.3015814632407</x:v>
      </x:c>
      <x:c r="AM182" s="48" t="n">
        <x:f>(-2*((1000*((((Inputs!$I$7+(((A182)+1)/2)*(Inputs!$J$7-Inputs!$I$7)))*Inputs!$C$11+((Inputs!$H$7+Inputs!$L$7*(((Inputs!$I$7+(((A182)+1)/2)*(Inputs!$J$7-Inputs!$I$7)))/Inputs!$K$7)^2))*((2*Inputs!$L$7*((Inputs!$I$7+(((A182)+1)/2)*(Inputs!$J$7-Inputs!$I$7)))/(Inputs!$K$7^2)*Inputs!$C$11)))/(SQRT(((Inputs!$I$7+(((A182)+1)/2)*(Inputs!$J$7-Inputs!$I$7)))^2+Inputs!$C$6^2+((Inputs!$H$7+Inputs!$L$7*(((Inputs!$I$7+(((A182)+1)/2)*(Inputs!$J$7-Inputs!$I$7)))/Inputs!$K$7)^2))^2)))))/Inputs!$C$13)</x:f>
        <x:v>-2120.5093925695264</x:v>
      </x:c>
      <x:c r="AN182" s="48" t="n">
        <x:f>(-2*((1000*((((Inputs!$I$8+(((A182)+1)/2)*(Inputs!$J$8-Inputs!$I$8)))*Inputs!$C$11+((Inputs!$H$8+Inputs!$L$8*(((Inputs!$I$8+(((A182)+1)/2)*(Inputs!$J$8-Inputs!$I$8)))/Inputs!$K$8)^2))*((2*Inputs!$L$8*((Inputs!$I$8+(((A182)+1)/2)*(Inputs!$J$8-Inputs!$I$8)))/(Inputs!$K$8^2)*Inputs!$C$11)))/(SQRT(((Inputs!$I$8+(((A182)+1)/2)*(Inputs!$J$8-Inputs!$I$8)))^2+Inputs!$C$6^2+((Inputs!$H$8+Inputs!$L$8*(((Inputs!$I$8+(((A182)+1)/2)*(Inputs!$J$8-Inputs!$I$8)))/Inputs!$K$8)^2))^2)))))/Inputs!$C$13)</x:f>
        <x:v>-2410.1265086278</x:v>
      </x:c>
      <x:c r="AO182" s="48" t="n">
        <x:f>(-2*((1000*((((Inputs!$I$9+(((A182)+1)/2)*(Inputs!$J$9-Inputs!$I$9)))*Inputs!$C$11+((Inputs!$H$9+Inputs!$L$9*(((Inputs!$I$9+(((A182)+1)/2)*(Inputs!$J$9-Inputs!$I$9)))/Inputs!$K$9)^2))*((2*Inputs!$L$9*((Inputs!$I$9+(((A182)+1)/2)*(Inputs!$J$9-Inputs!$I$9)))/(Inputs!$K$9^2)*Inputs!$C$11)))/(SQRT(((Inputs!$I$9+(((A182)+1)/2)*(Inputs!$J$9-Inputs!$I$9)))^2+Inputs!$C$6^2+((Inputs!$H$9+Inputs!$L$9*(((Inputs!$I$9+(((A182)+1)/2)*(Inputs!$J$9-Inputs!$I$9)))/Inputs!$K$9)^2))^2)))))/Inputs!$C$13)</x:f>
        <x:v>-2412.3300150114787</x:v>
      </x:c>
    </x:row>
    <x:row r="183">
      <x:c r="A183" s="48" t="n">
        <x:f>ROUND(-1+181*2/240,3)</x:f>
        <x:v>0.508</x:v>
      </x:c>
      <x:c r="B183" s="48" t="n">
        <x:f>IF(OR(Inputs!$F$6=TRUE,Inputs!$F$6="TRUE",Inputs!$F$6=1),(Inputs!$H$6+Inputs!$L$6*(((Inputs!$I$6+(((A183)+1)/2)*(Inputs!$J$6-Inputs!$I$6)))/Inputs!$K$6)^2),NA())</x:f>
        <x:v>401.032256</x:v>
      </x:c>
      <x:c r="C183" s="48" t="n">
        <x:f>IF(OR(Inputs!$F$7=TRUE,Inputs!$F$7="TRUE",Inputs!$F$7=1),(Inputs!$H$7+Inputs!$L$7*(((Inputs!$I$7+(((A183)+1)/2)*(Inputs!$J$7-Inputs!$I$7)))/Inputs!$K$7)^2),NA())</x:f>
        <x:v>129.19336000000004</x:v>
      </x:c>
      <x:c r="D183" s="48" t="n">
        <x:f>IF(OR(Inputs!$F$8=TRUE,Inputs!$F$8="TRUE",Inputs!$F$8=1),(Inputs!$H$8+Inputs!$L$8*(((Inputs!$I$8+(((A183)+1)/2)*(Inputs!$J$8-Inputs!$I$8)))/Inputs!$K$8)^2),NA())</x:f>
        <x:v>284.03176000000013</x:v>
      </x:c>
      <x:c r="E183" s="48" t="n">
        <x:f>IF(OR(Inputs!$F$9=TRUE,Inputs!$F$9="TRUE",Inputs!$F$9=1),(Inputs!$H$9+Inputs!$L$9*(((Inputs!$I$9+(((A183)+1)/2)*(Inputs!$J$9-Inputs!$I$9)))/Inputs!$K$9)^2),NA())</x:f>
        <x:v>276.6124000000001</x:v>
      </x:c>
      <x:c r="F183" s="49"/>
      <x:c r="G183" s="48" t="n">
        <x:f>A183</x:f>
        <x:v>0.508</x:v>
      </x:c>
      <x:c r="H183" s="48" t="n">
        <x:f>IF(OR(Inputs!$F$6=TRUE,Inputs!$F$6="TRUE",Inputs!$F$6=1),(((SQRT(((Inputs!$I$6+(((A183)+1)/2)*(Inputs!$J$6-Inputs!$I$6)))^2+Inputs!$C$6^2+((Inputs!$H$6+Inputs!$L$6*(((Inputs!$I$6+(((A183)+1)/2)*(Inputs!$J$6-Inputs!$I$6)))/Inputs!$K$6)^2))^2))-((Inputs!$H$6+Inputs!$L$6*(((Inputs!$I$6+(((A183)+1)/2)*(Inputs!$J$6-Inputs!$I$6)))/Inputs!$K$6)^2)))*1000/Inputs!$C$12),NA())</x:f>
        <x:v>1085.8875853460092</x:v>
      </x:c>
      <x:c r="I183" s="48" t="n">
        <x:f>IF(OR(Inputs!$F$7=TRUE,Inputs!$F$7="TRUE",Inputs!$F$7=1),(((SQRT(((Inputs!$I$7+(((A183)+1)/2)*(Inputs!$J$7-Inputs!$I$7)))^2+Inputs!$C$6^2+((Inputs!$H$7+Inputs!$L$7*(((Inputs!$I$7+(((A183)+1)/2)*(Inputs!$J$7-Inputs!$I$7)))/Inputs!$K$7)^2))^2))-((Inputs!$H$7+Inputs!$L$7*(((Inputs!$I$7+(((A183)+1)/2)*(Inputs!$J$7-Inputs!$I$7)))/Inputs!$K$7)^2)))*1000/Inputs!$C$12),NA())</x:f>
        <x:v>63423.449765041165</x:v>
      </x:c>
      <x:c r="J183" s="48" t="n">
        <x:f>IF(OR(Inputs!$F$8=TRUE,Inputs!$F$8="TRUE",Inputs!$F$8=1),(((SQRT(((Inputs!$I$8+(((A183)+1)/2)*(Inputs!$J$8-Inputs!$I$8)))^2+Inputs!$C$6^2+((Inputs!$H$8+Inputs!$L$8*(((Inputs!$I$8+(((A183)+1)/2)*(Inputs!$J$8-Inputs!$I$8)))/Inputs!$K$8)^2))^2))-((Inputs!$H$8+Inputs!$L$8*(((Inputs!$I$8+(((A183)+1)/2)*(Inputs!$J$8-Inputs!$I$8)))/Inputs!$K$8)^2)))*1000/Inputs!$C$12),NA())</x:f>
        <x:v>119334.61773979013</x:v>
      </x:c>
      <x:c r="K183" s="48" t="n">
        <x:f>IF(OR(Inputs!$F$9=TRUE,Inputs!$F$9="TRUE",Inputs!$F$9=1),(((SQRT(((Inputs!$I$9+(((A183)+1)/2)*(Inputs!$J$9-Inputs!$I$9)))^2+Inputs!$C$6^2+((Inputs!$H$9+Inputs!$L$9*(((Inputs!$I$9+(((A183)+1)/2)*(Inputs!$J$9-Inputs!$I$9)))/Inputs!$K$9)^2))^2))-((Inputs!$H$9+Inputs!$L$9*(((Inputs!$I$9+(((A183)+1)/2)*(Inputs!$J$9-Inputs!$I$9)))/Inputs!$K$9)^2)))*1000/Inputs!$C$12),NA())</x:f>
        <x:v>121139.19370297402</x:v>
      </x:c>
      <x:c r="L183" s="49"/>
      <x:c r="M183" s="48" t="n">
        <x:f>A183</x:f>
        <x:v>0.508</x:v>
      </x:c>
      <x:c r="N183" s="48" t="n">
        <x:f>IF(OR(Inputs!$F$6=TRUE,Inputs!$F$6="TRUE",Inputs!$F$6=1),(-2*((1000*((((Inputs!$I$6+(((A183)+1)/2)*(Inputs!$J$6-Inputs!$I$6)))*Inputs!$C$11+((Inputs!$H$6+Inputs!$L$6*(((Inputs!$I$6+(((A183)+1)/2)*(Inputs!$J$6-Inputs!$I$6)))/Inputs!$K$6)^2))*((2*Inputs!$L$6*((Inputs!$I$6+(((A183)+1)/2)*(Inputs!$J$6-Inputs!$I$6)))/(Inputs!$K$6^2)*Inputs!$C$11)))/(SQRT(((Inputs!$I$6+(((A183)+1)/2)*(Inputs!$J$6-Inputs!$I$6)))^2+Inputs!$C$6^2+((Inputs!$H$6+Inputs!$L$6*(((Inputs!$I$6+(((A183)+1)/2)*(Inputs!$J$6-Inputs!$I$6)))/Inputs!$K$6)^2))^2)))))/Inputs!$C$13),NA())</x:f>
        <x:v>-228.87638194922107</x:v>
      </x:c>
      <x:c r="O183" s="48" t="n">
        <x:f>IF(OR(Inputs!$F$7=TRUE,Inputs!$F$7="TRUE",Inputs!$F$7=1),(-2*((1000*((((Inputs!$I$7+(((A183)+1)/2)*(Inputs!$J$7-Inputs!$I$7)))*Inputs!$C$11+((Inputs!$H$7+Inputs!$L$7*(((Inputs!$I$7+(((A183)+1)/2)*(Inputs!$J$7-Inputs!$I$7)))/Inputs!$K$7)^2))*((2*Inputs!$L$7*((Inputs!$I$7+(((A183)+1)/2)*(Inputs!$J$7-Inputs!$I$7)))/(Inputs!$K$7^2)*Inputs!$C$11)))/(SQRT(((Inputs!$I$7+(((A183)+1)/2)*(Inputs!$J$7-Inputs!$I$7)))^2+Inputs!$C$6^2+((Inputs!$H$7+Inputs!$L$7*(((Inputs!$I$7+(((A183)+1)/2)*(Inputs!$J$7-Inputs!$I$7)))/Inputs!$K$7)^2))^2)))))/Inputs!$C$13),NA())</x:f>
        <x:v>-2134.60469908452</x:v>
      </x:c>
      <x:c r="P183" s="48" t="n">
        <x:f>IF(OR(Inputs!$F$8=TRUE,Inputs!$F$8="TRUE",Inputs!$F$8=1),(-2*((1000*((((Inputs!$I$8+(((A183)+1)/2)*(Inputs!$J$8-Inputs!$I$8)))*Inputs!$C$11+((Inputs!$H$8+Inputs!$L$8*(((Inputs!$I$8+(((A183)+1)/2)*(Inputs!$J$8-Inputs!$I$8)))/Inputs!$K$8)^2))*((2*Inputs!$L$8*((Inputs!$I$8+(((A183)+1)/2)*(Inputs!$J$8-Inputs!$I$8)))/(Inputs!$K$8^2)*Inputs!$C$11)))/(SQRT(((Inputs!$I$8+(((A183)+1)/2)*(Inputs!$J$8-Inputs!$I$8)))^2+Inputs!$C$6^2+((Inputs!$H$8+Inputs!$L$8*(((Inputs!$I$8+(((A183)+1)/2)*(Inputs!$J$8-Inputs!$I$8)))/Inputs!$K$8)^2))^2)))))/Inputs!$C$13),NA())</x:f>
        <x:v>-2431.6619388298827</x:v>
      </x:c>
      <x:c r="Q183" s="48" t="n">
        <x:f>IF(OR(Inputs!$F$9=TRUE,Inputs!$F$9="TRUE",Inputs!$F$9=1),(-2*((1000*((((Inputs!$I$9+(((A183)+1)/2)*(Inputs!$J$9-Inputs!$I$9)))*Inputs!$C$11+((Inputs!$H$9+Inputs!$L$9*(((Inputs!$I$9+(((A183)+1)/2)*(Inputs!$J$9-Inputs!$I$9)))/Inputs!$K$9)^2))*((2*Inputs!$L$9*((Inputs!$I$9+(((A183)+1)/2)*(Inputs!$J$9-Inputs!$I$9)))/(Inputs!$K$9^2)*Inputs!$C$11)))/(SQRT(((Inputs!$I$9+(((A183)+1)/2)*(Inputs!$J$9-Inputs!$I$9)))^2+Inputs!$C$6^2+((Inputs!$H$9+Inputs!$L$9*(((Inputs!$I$9+(((A183)+1)/2)*(Inputs!$J$9-Inputs!$I$9)))/Inputs!$K$9)^2))^2)))))/Inputs!$C$13),NA())</x:f>
        <x:v>-2434.308641571449</x:v>
      </x:c>
      <x:c r="R183" s="49"/>
      <x:c r="S183" s="48" t="n">
        <x:f>A183</x:f>
        <x:v>0.508</x:v>
      </x:c>
      <x:c r="T183" s="48" t="n">
        <x:f>(Inputs!$I$6+(((A183)+1)/2)*(Inputs!$J$6-Inputs!$I$6))</x:f>
        <x:v>30.480000000000004</x:v>
      </x:c>
      <x:c r="U183" s="48" t="n">
        <x:f>(Inputs!$I$7+(((A183)+1)/2)*(Inputs!$J$7-Inputs!$I$7))</x:f>
        <x:v>203.20000000000005</x:v>
      </x:c>
      <x:c r="V183" s="48" t="n">
        <x:f>(Inputs!$I$8+(((A183)+1)/2)*(Inputs!$J$8-Inputs!$I$8))</x:f>
        <x:v>406.4000000000001</x:v>
      </x:c>
      <x:c r="W183" s="48" t="n">
        <x:f>(Inputs!$I$9+(((A183)+1)/2)*(Inputs!$J$9-Inputs!$I$9))</x:f>
        <x:v>406.4000000000001</x:v>
      </x:c>
      <x:c r="X183" s="49"/>
      <x:c r="Y183" s="48" t="n">
        <x:f>A183</x:f>
        <x:v>0.508</x:v>
      </x:c>
      <x:c r="Z183" s="48" t="n">
        <x:f>(Inputs!$H$6+Inputs!$L$6*(((Inputs!$I$6+(((A183)+1)/2)*(Inputs!$J$6-Inputs!$I$6)))/Inputs!$K$6)^2)</x:f>
        <x:v>401.032256</x:v>
      </x:c>
      <x:c r="AA183" s="48" t="n">
        <x:f>(Inputs!$H$7+Inputs!$L$7*(((Inputs!$I$7+(((A183)+1)/2)*(Inputs!$J$7-Inputs!$I$7)))/Inputs!$K$7)^2)</x:f>
        <x:v>129.19336000000004</x:v>
      </x:c>
      <x:c r="AB183" s="48" t="n">
        <x:f>(Inputs!$H$8+Inputs!$L$8*(((Inputs!$I$8+(((A183)+1)/2)*(Inputs!$J$8-Inputs!$I$8)))/Inputs!$K$8)^2)</x:f>
        <x:v>284.03176000000013</x:v>
      </x:c>
      <x:c r="AC183" s="48" t="n">
        <x:f>(Inputs!$H$9+Inputs!$L$9*(((Inputs!$I$9+(((A183)+1)/2)*(Inputs!$J$9-Inputs!$I$9)))/Inputs!$K$9)^2)</x:f>
        <x:v>276.6124000000001</x:v>
      </x:c>
      <x:c r="AD183" s="49"/>
      <x:c r="AE183" s="48" t="n">
        <x:f>A183</x:f>
        <x:v>0.508</x:v>
      </x:c>
      <x:c r="AF183" s="48" t="n">
        <x:f>(((SQRT(((Inputs!$I$6+(((A183)+1)/2)*(Inputs!$J$6-Inputs!$I$6)))^2+Inputs!$C$6^2+((Inputs!$H$6+Inputs!$L$6*(((Inputs!$I$6+(((A183)+1)/2)*(Inputs!$J$6-Inputs!$I$6)))/Inputs!$K$6)^2))^2))-((Inputs!$H$6+Inputs!$L$6*(((Inputs!$I$6+(((A183)+1)/2)*(Inputs!$J$6-Inputs!$I$6)))/Inputs!$K$6)^2)))*1000/Inputs!$C$12)</x:f>
        <x:v>1085.8875853460092</x:v>
      </x:c>
      <x:c r="AG183" s="48" t="n">
        <x:f>(((SQRT(((Inputs!$I$7+(((A183)+1)/2)*(Inputs!$J$7-Inputs!$I$7)))^2+Inputs!$C$6^2+((Inputs!$H$7+Inputs!$L$7*(((Inputs!$I$7+(((A183)+1)/2)*(Inputs!$J$7-Inputs!$I$7)))/Inputs!$K$7)^2))^2))-((Inputs!$H$7+Inputs!$L$7*(((Inputs!$I$7+(((A183)+1)/2)*(Inputs!$J$7-Inputs!$I$7)))/Inputs!$K$7)^2)))*1000/Inputs!$C$12)</x:f>
        <x:v>63423.449765041165</x:v>
      </x:c>
      <x:c r="AH183" s="48" t="n">
        <x:f>(((SQRT(((Inputs!$I$8+(((A183)+1)/2)*(Inputs!$J$8-Inputs!$I$8)))^2+Inputs!$C$6^2+((Inputs!$H$8+Inputs!$L$8*(((Inputs!$I$8+(((A183)+1)/2)*(Inputs!$J$8-Inputs!$I$8)))/Inputs!$K$8)^2))^2))-((Inputs!$H$8+Inputs!$L$8*(((Inputs!$I$8+(((A183)+1)/2)*(Inputs!$J$8-Inputs!$I$8)))/Inputs!$K$8)^2)))*1000/Inputs!$C$12)</x:f>
        <x:v>119334.61773979013</x:v>
      </x:c>
      <x:c r="AI183" s="48" t="n">
        <x:f>(((SQRT(((Inputs!$I$9+(((A183)+1)/2)*(Inputs!$J$9-Inputs!$I$9)))^2+Inputs!$C$6^2+((Inputs!$H$9+Inputs!$L$9*(((Inputs!$I$9+(((A183)+1)/2)*(Inputs!$J$9-Inputs!$I$9)))/Inputs!$K$9)^2))^2))-((Inputs!$H$9+Inputs!$L$9*(((Inputs!$I$9+(((A183)+1)/2)*(Inputs!$J$9-Inputs!$I$9)))/Inputs!$K$9)^2)))*1000/Inputs!$C$12)</x:f>
        <x:v>121139.19370297402</x:v>
      </x:c>
      <x:c r="AJ183" s="49"/>
      <x:c r="AK183" s="48" t="n">
        <x:f>A183</x:f>
        <x:v>0.508</x:v>
      </x:c>
      <x:c r="AL183" s="48" t="n">
        <x:f>(-2*((1000*((((Inputs!$I$6+(((A183)+1)/2)*(Inputs!$J$6-Inputs!$I$6)))*Inputs!$C$11+((Inputs!$H$6+Inputs!$L$6*(((Inputs!$I$6+(((A183)+1)/2)*(Inputs!$J$6-Inputs!$I$6)))/Inputs!$K$6)^2))*((2*Inputs!$L$6*((Inputs!$I$6+(((A183)+1)/2)*(Inputs!$J$6-Inputs!$I$6)))/(Inputs!$K$6^2)*Inputs!$C$11)))/(SQRT(((Inputs!$I$6+(((A183)+1)/2)*(Inputs!$J$6-Inputs!$I$6)))^2+Inputs!$C$6^2+((Inputs!$H$6+Inputs!$L$6*(((Inputs!$I$6+(((A183)+1)/2)*(Inputs!$J$6-Inputs!$I$6)))/Inputs!$K$6)^2))^2)))))/Inputs!$C$13)</x:f>
        <x:v>-228.87638194922107</x:v>
      </x:c>
      <x:c r="AM183" s="48" t="n">
        <x:f>(-2*((1000*((((Inputs!$I$7+(((A183)+1)/2)*(Inputs!$J$7-Inputs!$I$7)))*Inputs!$C$11+((Inputs!$H$7+Inputs!$L$7*(((Inputs!$I$7+(((A183)+1)/2)*(Inputs!$J$7-Inputs!$I$7)))/Inputs!$K$7)^2))*((2*Inputs!$L$7*((Inputs!$I$7+(((A183)+1)/2)*(Inputs!$J$7-Inputs!$I$7)))/(Inputs!$K$7^2)*Inputs!$C$11)))/(SQRT(((Inputs!$I$7+(((A183)+1)/2)*(Inputs!$J$7-Inputs!$I$7)))^2+Inputs!$C$6^2+((Inputs!$H$7+Inputs!$L$7*(((Inputs!$I$7+(((A183)+1)/2)*(Inputs!$J$7-Inputs!$I$7)))/Inputs!$K$7)^2))^2)))))/Inputs!$C$13)</x:f>
        <x:v>-2134.60469908452</x:v>
      </x:c>
      <x:c r="AN183" s="48" t="n">
        <x:f>(-2*((1000*((((Inputs!$I$8+(((A183)+1)/2)*(Inputs!$J$8-Inputs!$I$8)))*Inputs!$C$11+((Inputs!$H$8+Inputs!$L$8*(((Inputs!$I$8+(((A183)+1)/2)*(Inputs!$J$8-Inputs!$I$8)))/Inputs!$K$8)^2))*((2*Inputs!$L$8*((Inputs!$I$8+(((A183)+1)/2)*(Inputs!$J$8-Inputs!$I$8)))/(Inputs!$K$8^2)*Inputs!$C$11)))/(SQRT(((Inputs!$I$8+(((A183)+1)/2)*(Inputs!$J$8-Inputs!$I$8)))^2+Inputs!$C$6^2+((Inputs!$H$8+Inputs!$L$8*(((Inputs!$I$8+(((A183)+1)/2)*(Inputs!$J$8-Inputs!$I$8)))/Inputs!$K$8)^2))^2)))))/Inputs!$C$13)</x:f>
        <x:v>-2431.6619388298827</x:v>
      </x:c>
      <x:c r="AO183" s="48" t="n">
        <x:f>(-2*((1000*((((Inputs!$I$9+(((A183)+1)/2)*(Inputs!$J$9-Inputs!$I$9)))*Inputs!$C$11+((Inputs!$H$9+Inputs!$L$9*(((Inputs!$I$9+(((A183)+1)/2)*(Inputs!$J$9-Inputs!$I$9)))/Inputs!$K$9)^2))*((2*Inputs!$L$9*((Inputs!$I$9+(((A183)+1)/2)*(Inputs!$J$9-Inputs!$I$9)))/(Inputs!$K$9^2)*Inputs!$C$11)))/(SQRT(((Inputs!$I$9+(((A183)+1)/2)*(Inputs!$J$9-Inputs!$I$9)))^2+Inputs!$C$6^2+((Inputs!$H$9+Inputs!$L$9*(((Inputs!$I$9+(((A183)+1)/2)*(Inputs!$J$9-Inputs!$I$9)))/Inputs!$K$9)^2))^2)))))/Inputs!$C$13)</x:f>
        <x:v>-2434.308641571449</x:v>
      </x:c>
    </x:row>
    <x:row r="184">
      <x:c r="A184" s="48" t="n">
        <x:f>ROUND(-1+182*2/240,3)</x:f>
        <x:v>0.517</x:v>
      </x:c>
      <x:c r="B184" s="48" t="n">
        <x:f>IF(OR(Inputs!$F$6=TRUE,Inputs!$F$6="TRUE",Inputs!$F$6=1),(Inputs!$H$6+Inputs!$L$6*(((Inputs!$I$6+(((A184)+1)/2)*(Inputs!$J$6-Inputs!$I$6)))/Inputs!$K$6)^2),NA())</x:f>
        <x:v>401.069156</x:v>
      </x:c>
      <x:c r="C184" s="48" t="n">
        <x:f>IF(OR(Inputs!$F$7=TRUE,Inputs!$F$7="TRUE",Inputs!$F$7=1),(Inputs!$H$7+Inputs!$L$7*(((Inputs!$I$7+(((A184)+1)/2)*(Inputs!$J$7-Inputs!$I$7)))/Inputs!$K$7)^2),NA())</x:f>
        <x:v>132.56048499999997</x:v>
      </x:c>
      <x:c r="D184" s="48" t="n">
        <x:f>IF(OR(Inputs!$F$8=TRUE,Inputs!$F$8="TRUE",Inputs!$F$8=1),(Inputs!$H$8+Inputs!$L$8*(((Inputs!$I$8+(((A184)+1)/2)*(Inputs!$J$8-Inputs!$I$8)))/Inputs!$K$8)^2),NA())</x:f>
        <x:v>292.9338849999999</x:v>
      </x:c>
      <x:c r="E184" s="48" t="n">
        <x:f>IF(OR(Inputs!$F$9=TRUE,Inputs!$F$9="TRUE",Inputs!$F$9=1),(Inputs!$H$9+Inputs!$L$9*(((Inputs!$I$9+(((A184)+1)/2)*(Inputs!$J$9-Inputs!$I$9)))/Inputs!$K$9)^2),NA())</x:f>
        <x:v>285.6067749999999</x:v>
      </x:c>
      <x:c r="F184" s="49"/>
      <x:c r="G184" s="48" t="n">
        <x:f>A184</x:f>
        <x:v>0.517</x:v>
      </x:c>
      <x:c r="H184" s="48" t="n">
        <x:f>IF(OR(Inputs!$F$6=TRUE,Inputs!$F$6="TRUE",Inputs!$F$6=1),(((SQRT(((Inputs!$I$6+(((A184)+1)/2)*(Inputs!$J$6-Inputs!$I$6)))^2+Inputs!$C$6^2+((Inputs!$H$6+Inputs!$L$6*(((Inputs!$I$6+(((A184)+1)/2)*(Inputs!$J$6-Inputs!$I$6)))/Inputs!$K$6)^2))^2))-((Inputs!$H$6+Inputs!$L$6*(((Inputs!$I$6+(((A184)+1)/2)*(Inputs!$J$6-Inputs!$I$6)))/Inputs!$K$6)^2)))*1000/Inputs!$C$12),NA())</x:f>
        <x:v>1108.934887487211</x:v>
      </x:c>
      <x:c r="I184" s="48" t="n">
        <x:f>IF(OR(Inputs!$F$7=TRUE,Inputs!$F$7="TRUE",Inputs!$F$7=1),(((SQRT(((Inputs!$I$7+(((A184)+1)/2)*(Inputs!$J$7-Inputs!$I$7)))^2+Inputs!$C$6^2+((Inputs!$H$7+Inputs!$L$7*(((Inputs!$I$7+(((A184)+1)/2)*(Inputs!$J$7-Inputs!$I$7)))/Inputs!$K$7)^2))^2))-((Inputs!$H$7+Inputs!$L$7*(((Inputs!$I$7+(((A184)+1)/2)*(Inputs!$J$7-Inputs!$I$7)))/Inputs!$K$7)^2)))*1000/Inputs!$C$12),NA())</x:f>
        <x:v>64240.13341578213</x:v>
      </x:c>
      <x:c r="J184" s="48" t="n">
        <x:f>IF(OR(Inputs!$F$8=TRUE,Inputs!$F$8="TRUE",Inputs!$F$8=1),(((SQRT(((Inputs!$I$8+(((A184)+1)/2)*(Inputs!$J$8-Inputs!$I$8)))^2+Inputs!$C$6^2+((Inputs!$H$8+Inputs!$L$8*(((Inputs!$I$8+(((A184)+1)/2)*(Inputs!$J$8-Inputs!$I$8)))/Inputs!$K$8)^2))^2))-((Inputs!$H$8+Inputs!$L$8*(((Inputs!$I$8+(((A184)+1)/2)*(Inputs!$J$8-Inputs!$I$8)))/Inputs!$K$8)^2)))*1000/Inputs!$C$12),NA())</x:f>
        <x:v>120511.74774932802</x:v>
      </x:c>
      <x:c r="K184" s="48" t="n">
        <x:f>IF(OR(Inputs!$F$9=TRUE,Inputs!$F$9="TRUE",Inputs!$F$9=1),(((SQRT(((Inputs!$I$9+(((A184)+1)/2)*(Inputs!$J$9-Inputs!$I$9)))^2+Inputs!$C$6^2+((Inputs!$H$9+Inputs!$L$9*(((Inputs!$I$9+(((A184)+1)/2)*(Inputs!$J$9-Inputs!$I$9)))/Inputs!$K$9)^2))^2))-((Inputs!$H$9+Inputs!$L$9*(((Inputs!$I$9+(((A184)+1)/2)*(Inputs!$J$9-Inputs!$I$9)))/Inputs!$K$9)^2)))*1000/Inputs!$C$12),NA())</x:f>
        <x:v>122271.82492897961</x:v>
      </x:c>
      <x:c r="L184" s="49"/>
      <x:c r="M184" s="48" t="n">
        <x:f>A184</x:f>
        <x:v>0.517</x:v>
      </x:c>
      <x:c r="N184" s="48" t="n">
        <x:f>IF(OR(Inputs!$F$6=TRUE,Inputs!$F$6="TRUE",Inputs!$F$6=1),(-2*((1000*((((Inputs!$I$6+(((A184)+1)/2)*(Inputs!$J$6-Inputs!$I$6)))*Inputs!$C$11+((Inputs!$H$6+Inputs!$L$6*(((Inputs!$I$6+(((A184)+1)/2)*(Inputs!$J$6-Inputs!$I$6)))/Inputs!$K$6)^2))*((2*Inputs!$L$6*((Inputs!$I$6+(((A184)+1)/2)*(Inputs!$J$6-Inputs!$I$6)))/(Inputs!$K$6^2)*Inputs!$C$11)))/(SQRT(((Inputs!$I$6+(((A184)+1)/2)*(Inputs!$J$6-Inputs!$I$6)))^2+Inputs!$C$6^2+((Inputs!$H$6+Inputs!$L$6*(((Inputs!$I$6+(((A184)+1)/2)*(Inputs!$J$6-Inputs!$I$6)))/Inputs!$K$6)^2))^2)))))/Inputs!$C$13),NA())</x:f>
        <x:v>-232.896341371566</x:v>
      </x:c>
      <x:c r="O184" s="48" t="n">
        <x:f>IF(OR(Inputs!$F$7=TRUE,Inputs!$F$7="TRUE",Inputs!$F$7=1),(-2*((1000*((((Inputs!$I$7+(((A184)+1)/2)*(Inputs!$J$7-Inputs!$I$7)))*Inputs!$C$11+((Inputs!$H$7+Inputs!$L$7*(((Inputs!$I$7+(((A184)+1)/2)*(Inputs!$J$7-Inputs!$I$7)))/Inputs!$K$7)^2))*((2*Inputs!$L$7*((Inputs!$I$7+(((A184)+1)/2)*(Inputs!$J$7-Inputs!$I$7)))/(Inputs!$K$7^2)*Inputs!$C$11)))/(SQRT(((Inputs!$I$7+(((A184)+1)/2)*(Inputs!$J$7-Inputs!$I$7)))^2+Inputs!$C$6^2+((Inputs!$H$7+Inputs!$L$7*(((Inputs!$I$7+(((A184)+1)/2)*(Inputs!$J$7-Inputs!$I$7)))/Inputs!$K$7)^2))^2)))))/Inputs!$C$13),NA())</x:f>
        <x:v>-2150.5936514378695</x:v>
      </x:c>
      <x:c r="P184" s="48" t="n">
        <x:f>IF(OR(Inputs!$F$8=TRUE,Inputs!$F$8="TRUE",Inputs!$F$8=1),(-2*((1000*((((Inputs!$I$8+(((A184)+1)/2)*(Inputs!$J$8-Inputs!$I$8)))*Inputs!$C$11+((Inputs!$H$8+Inputs!$L$8*(((Inputs!$I$8+(((A184)+1)/2)*(Inputs!$J$8-Inputs!$I$8)))/Inputs!$K$8)^2))*((2*Inputs!$L$8*((Inputs!$I$8+(((A184)+1)/2)*(Inputs!$J$8-Inputs!$I$8)))/(Inputs!$K$8^2)*Inputs!$C$11)))/(SQRT(((Inputs!$I$8+(((A184)+1)/2)*(Inputs!$J$8-Inputs!$I$8)))^2+Inputs!$C$6^2+((Inputs!$H$8+Inputs!$L$8*(((Inputs!$I$8+(((A184)+1)/2)*(Inputs!$J$8-Inputs!$I$8)))/Inputs!$K$8)^2))^2)))))/Inputs!$C$13),NA())</x:f>
        <x:v>-2456.1188318875147</x:v>
      </x:c>
      <x:c r="Q184" s="48" t="n">
        <x:f>IF(OR(Inputs!$F$9=TRUE,Inputs!$F$9="TRUE",Inputs!$F$9=1),(-2*((1000*((((Inputs!$I$9+(((A184)+1)/2)*(Inputs!$J$9-Inputs!$I$9)))*Inputs!$C$11+((Inputs!$H$9+Inputs!$L$9*(((Inputs!$I$9+(((A184)+1)/2)*(Inputs!$J$9-Inputs!$I$9)))/Inputs!$K$9)^2))*((2*Inputs!$L$9*((Inputs!$I$9+(((A184)+1)/2)*(Inputs!$J$9-Inputs!$I$9)))/(Inputs!$K$9^2)*Inputs!$C$11)))/(SQRT(((Inputs!$I$9+(((A184)+1)/2)*(Inputs!$J$9-Inputs!$I$9)))^2+Inputs!$C$6^2+((Inputs!$H$9+Inputs!$L$9*(((Inputs!$I$9+(((A184)+1)/2)*(Inputs!$J$9-Inputs!$I$9)))/Inputs!$K$9)^2))^2)))))/Inputs!$C$13),NA())</x:f>
        <x:v>-2459.2695626206046</x:v>
      </x:c>
      <x:c r="R184" s="49"/>
      <x:c r="S184" s="48" t="n">
        <x:f>A184</x:f>
        <x:v>0.517</x:v>
      </x:c>
      <x:c r="T184" s="48" t="n">
        <x:f>(Inputs!$I$6+(((A184)+1)/2)*(Inputs!$J$6-Inputs!$I$6))</x:f>
        <x:v>31.019999999999996</x:v>
      </x:c>
      <x:c r="U184" s="48" t="n">
        <x:f>(Inputs!$I$7+(((A184)+1)/2)*(Inputs!$J$7-Inputs!$I$7))</x:f>
        <x:v>206.79999999999995</x:v>
      </x:c>
      <x:c r="V184" s="48" t="n">
        <x:f>(Inputs!$I$8+(((A184)+1)/2)*(Inputs!$J$8-Inputs!$I$8))</x:f>
        <x:v>413.5999999999999</x:v>
      </x:c>
      <x:c r="W184" s="48" t="n">
        <x:f>(Inputs!$I$9+(((A184)+1)/2)*(Inputs!$J$9-Inputs!$I$9))</x:f>
        <x:v>413.5999999999999</x:v>
      </x:c>
      <x:c r="X184" s="49"/>
      <x:c r="Y184" s="48" t="n">
        <x:f>A184</x:f>
        <x:v>0.517</x:v>
      </x:c>
      <x:c r="Z184" s="48" t="n">
        <x:f>(Inputs!$H$6+Inputs!$L$6*(((Inputs!$I$6+(((A184)+1)/2)*(Inputs!$J$6-Inputs!$I$6)))/Inputs!$K$6)^2)</x:f>
        <x:v>401.069156</x:v>
      </x:c>
      <x:c r="AA184" s="48" t="n">
        <x:f>(Inputs!$H$7+Inputs!$L$7*(((Inputs!$I$7+(((A184)+1)/2)*(Inputs!$J$7-Inputs!$I$7)))/Inputs!$K$7)^2)</x:f>
        <x:v>132.56048499999997</x:v>
      </x:c>
      <x:c r="AB184" s="48" t="n">
        <x:f>(Inputs!$H$8+Inputs!$L$8*(((Inputs!$I$8+(((A184)+1)/2)*(Inputs!$J$8-Inputs!$I$8)))/Inputs!$K$8)^2)</x:f>
        <x:v>292.9338849999999</x:v>
      </x:c>
      <x:c r="AC184" s="48" t="n">
        <x:f>(Inputs!$H$9+Inputs!$L$9*(((Inputs!$I$9+(((A184)+1)/2)*(Inputs!$J$9-Inputs!$I$9)))/Inputs!$K$9)^2)</x:f>
        <x:v>285.6067749999999</x:v>
      </x:c>
      <x:c r="AD184" s="49"/>
      <x:c r="AE184" s="48" t="n">
        <x:f>A184</x:f>
        <x:v>0.517</x:v>
      </x:c>
      <x:c r="AF184" s="48" t="n">
        <x:f>(((SQRT(((Inputs!$I$6+(((A184)+1)/2)*(Inputs!$J$6-Inputs!$I$6)))^2+Inputs!$C$6^2+((Inputs!$H$6+Inputs!$L$6*(((Inputs!$I$6+(((A184)+1)/2)*(Inputs!$J$6-Inputs!$I$6)))/Inputs!$K$6)^2))^2))-((Inputs!$H$6+Inputs!$L$6*(((Inputs!$I$6+(((A184)+1)/2)*(Inputs!$J$6-Inputs!$I$6)))/Inputs!$K$6)^2)))*1000/Inputs!$C$12)</x:f>
        <x:v>1108.934887487211</x:v>
      </x:c>
      <x:c r="AG184" s="48" t="n">
        <x:f>(((SQRT(((Inputs!$I$7+(((A184)+1)/2)*(Inputs!$J$7-Inputs!$I$7)))^2+Inputs!$C$6^2+((Inputs!$H$7+Inputs!$L$7*(((Inputs!$I$7+(((A184)+1)/2)*(Inputs!$J$7-Inputs!$I$7)))/Inputs!$K$7)^2))^2))-((Inputs!$H$7+Inputs!$L$7*(((Inputs!$I$7+(((A184)+1)/2)*(Inputs!$J$7-Inputs!$I$7)))/Inputs!$K$7)^2)))*1000/Inputs!$C$12)</x:f>
        <x:v>64240.13341578213</x:v>
      </x:c>
      <x:c r="AH184" s="48" t="n">
        <x:f>(((SQRT(((Inputs!$I$8+(((A184)+1)/2)*(Inputs!$J$8-Inputs!$I$8)))^2+Inputs!$C$6^2+((Inputs!$H$8+Inputs!$L$8*(((Inputs!$I$8+(((A184)+1)/2)*(Inputs!$J$8-Inputs!$I$8)))/Inputs!$K$8)^2))^2))-((Inputs!$H$8+Inputs!$L$8*(((Inputs!$I$8+(((A184)+1)/2)*(Inputs!$J$8-Inputs!$I$8)))/Inputs!$K$8)^2)))*1000/Inputs!$C$12)</x:f>
        <x:v>120511.74774932802</x:v>
      </x:c>
      <x:c r="AI184" s="48" t="n">
        <x:f>(((SQRT(((Inputs!$I$9+(((A184)+1)/2)*(Inputs!$J$9-Inputs!$I$9)))^2+Inputs!$C$6^2+((Inputs!$H$9+Inputs!$L$9*(((Inputs!$I$9+(((A184)+1)/2)*(Inputs!$J$9-Inputs!$I$9)))/Inputs!$K$9)^2))^2))-((Inputs!$H$9+Inputs!$L$9*(((Inputs!$I$9+(((A184)+1)/2)*(Inputs!$J$9-Inputs!$I$9)))/Inputs!$K$9)^2)))*1000/Inputs!$C$12)</x:f>
        <x:v>122271.82492897961</x:v>
      </x:c>
      <x:c r="AJ184" s="49"/>
      <x:c r="AK184" s="48" t="n">
        <x:f>A184</x:f>
        <x:v>0.517</x:v>
      </x:c>
      <x:c r="AL184" s="48" t="n">
        <x:f>(-2*((1000*((((Inputs!$I$6+(((A184)+1)/2)*(Inputs!$J$6-Inputs!$I$6)))*Inputs!$C$11+((Inputs!$H$6+Inputs!$L$6*(((Inputs!$I$6+(((A184)+1)/2)*(Inputs!$J$6-Inputs!$I$6)))/Inputs!$K$6)^2))*((2*Inputs!$L$6*((Inputs!$I$6+(((A184)+1)/2)*(Inputs!$J$6-Inputs!$I$6)))/(Inputs!$K$6^2)*Inputs!$C$11)))/(SQRT(((Inputs!$I$6+(((A184)+1)/2)*(Inputs!$J$6-Inputs!$I$6)))^2+Inputs!$C$6^2+((Inputs!$H$6+Inputs!$L$6*(((Inputs!$I$6+(((A184)+1)/2)*(Inputs!$J$6-Inputs!$I$6)))/Inputs!$K$6)^2))^2)))))/Inputs!$C$13)</x:f>
        <x:v>-232.896341371566</x:v>
      </x:c>
      <x:c r="AM184" s="48" t="n">
        <x:f>(-2*((1000*((((Inputs!$I$7+(((A184)+1)/2)*(Inputs!$J$7-Inputs!$I$7)))*Inputs!$C$11+((Inputs!$H$7+Inputs!$L$7*(((Inputs!$I$7+(((A184)+1)/2)*(Inputs!$J$7-Inputs!$I$7)))/Inputs!$K$7)^2))*((2*Inputs!$L$7*((Inputs!$I$7+(((A184)+1)/2)*(Inputs!$J$7-Inputs!$I$7)))/(Inputs!$K$7^2)*Inputs!$C$11)))/(SQRT(((Inputs!$I$7+(((A184)+1)/2)*(Inputs!$J$7-Inputs!$I$7)))^2+Inputs!$C$6^2+((Inputs!$H$7+Inputs!$L$7*(((Inputs!$I$7+(((A184)+1)/2)*(Inputs!$J$7-Inputs!$I$7)))/Inputs!$K$7)^2))^2)))))/Inputs!$C$13)</x:f>
        <x:v>-2150.5936514378695</x:v>
      </x:c>
      <x:c r="AN184" s="48" t="n">
        <x:f>(-2*((1000*((((Inputs!$I$8+(((A184)+1)/2)*(Inputs!$J$8-Inputs!$I$8)))*Inputs!$C$11+((Inputs!$H$8+Inputs!$L$8*(((Inputs!$I$8+(((A184)+1)/2)*(Inputs!$J$8-Inputs!$I$8)))/Inputs!$K$8)^2))*((2*Inputs!$L$8*((Inputs!$I$8+(((A184)+1)/2)*(Inputs!$J$8-Inputs!$I$8)))/(Inputs!$K$8^2)*Inputs!$C$11)))/(SQRT(((Inputs!$I$8+(((A184)+1)/2)*(Inputs!$J$8-Inputs!$I$8)))^2+Inputs!$C$6^2+((Inputs!$H$8+Inputs!$L$8*(((Inputs!$I$8+(((A184)+1)/2)*(Inputs!$J$8-Inputs!$I$8)))/Inputs!$K$8)^2))^2)))))/Inputs!$C$13)</x:f>
        <x:v>-2456.1188318875147</x:v>
      </x:c>
      <x:c r="AO184" s="48" t="n">
        <x:f>(-2*((1000*((((Inputs!$I$9+(((A184)+1)/2)*(Inputs!$J$9-Inputs!$I$9)))*Inputs!$C$11+((Inputs!$H$9+Inputs!$L$9*(((Inputs!$I$9+(((A184)+1)/2)*(Inputs!$J$9-Inputs!$I$9)))/Inputs!$K$9)^2))*((2*Inputs!$L$9*((Inputs!$I$9+(((A184)+1)/2)*(Inputs!$J$9-Inputs!$I$9)))/(Inputs!$K$9^2)*Inputs!$C$11)))/(SQRT(((Inputs!$I$9+(((A184)+1)/2)*(Inputs!$J$9-Inputs!$I$9)))^2+Inputs!$C$6^2+((Inputs!$H$9+Inputs!$L$9*(((Inputs!$I$9+(((A184)+1)/2)*(Inputs!$J$9-Inputs!$I$9)))/Inputs!$K$9)^2))^2)))))/Inputs!$C$13)</x:f>
        <x:v>-2459.2695626206046</x:v>
      </x:c>
    </x:row>
    <x:row r="185">
      <x:c r="A185" s="48" t="n">
        <x:f>ROUND(-1+183*2/240,3)</x:f>
        <x:v>0.525</x:v>
      </x:c>
      <x:c r="B185" s="48" t="n">
        <x:f>IF(OR(Inputs!$F$6=TRUE,Inputs!$F$6="TRUE",Inputs!$F$6=1),(Inputs!$H$6+Inputs!$L$6*(((Inputs!$I$6+(((A185)+1)/2)*(Inputs!$J$6-Inputs!$I$6)))/Inputs!$K$6)^2),NA())</x:f>
        <x:v>401.1025</x:v>
      </x:c>
      <x:c r="C185" s="48" t="n">
        <x:f>IF(OR(Inputs!$F$7=TRUE,Inputs!$F$7="TRUE",Inputs!$F$7=1),(Inputs!$H$7+Inputs!$L$7*(((Inputs!$I$7+(((A185)+1)/2)*(Inputs!$J$7-Inputs!$I$7)))/Inputs!$K$7)^2),NA())</x:f>
        <x:v>135.603125</x:v>
      </x:c>
      <x:c r="D185" s="48" t="n">
        <x:f>IF(OR(Inputs!$F$8=TRUE,Inputs!$F$8="TRUE",Inputs!$F$8=1),(Inputs!$H$8+Inputs!$L$8*(((Inputs!$I$8+(((A185)+1)/2)*(Inputs!$J$8-Inputs!$I$8)))/Inputs!$K$8)^2),NA())</x:f>
        <x:v>300.97812500000003</x:v>
      </x:c>
      <x:c r="E185" s="48" t="n">
        <x:f>IF(OR(Inputs!$F$9=TRUE,Inputs!$F$9="TRUE",Inputs!$F$9=1),(Inputs!$H$9+Inputs!$L$9*(((Inputs!$I$9+(((A185)+1)/2)*(Inputs!$J$9-Inputs!$I$9)))/Inputs!$K$9)^2),NA())</x:f>
        <x:v>293.734375</x:v>
      </x:c>
      <x:c r="F185" s="49"/>
      <x:c r="G185" s="48" t="n">
        <x:f>A185</x:f>
        <x:v>0.525</x:v>
      </x:c>
      <x:c r="H185" s="48" t="n">
        <x:f>IF(OR(Inputs!$F$6=TRUE,Inputs!$F$6="TRUE",Inputs!$F$6=1),(((SQRT(((Inputs!$I$6+(((A185)+1)/2)*(Inputs!$J$6-Inputs!$I$6)))^2+Inputs!$C$6^2+((Inputs!$H$6+Inputs!$L$6*(((Inputs!$I$6+(((A185)+1)/2)*(Inputs!$J$6-Inputs!$I$6)))/Inputs!$K$6)^2))^2))-((Inputs!$H$6+Inputs!$L$6*(((Inputs!$I$6+(((A185)+1)/2)*(Inputs!$J$6-Inputs!$I$6)))/Inputs!$K$6)^2)))*1000/Inputs!$C$12),NA())</x:f>
        <x:v>1129.7555078402418</x:v>
      </x:c>
      <x:c r="I185" s="48" t="n">
        <x:f>IF(OR(Inputs!$F$7=TRUE,Inputs!$F$7="TRUE",Inputs!$F$7=1),(((SQRT(((Inputs!$I$7+(((A185)+1)/2)*(Inputs!$J$7-Inputs!$I$7)))^2+Inputs!$C$6^2+((Inputs!$H$7+Inputs!$L$7*(((Inputs!$I$7+(((A185)+1)/2)*(Inputs!$J$7-Inputs!$I$7)))/Inputs!$K$7)^2))^2))-((Inputs!$H$7+Inputs!$L$7*(((Inputs!$I$7+(((A185)+1)/2)*(Inputs!$J$7-Inputs!$I$7)))/Inputs!$K$7)^2)))*1000/Inputs!$C$12),NA())</x:f>
        <x:v>64955.222752360576</x:v>
      </x:c>
      <x:c r="J185" s="48" t="n">
        <x:f>IF(OR(Inputs!$F$8=TRUE,Inputs!$F$8="TRUE",Inputs!$F$8=1),(((SQRT(((Inputs!$I$8+(((A185)+1)/2)*(Inputs!$J$8-Inputs!$I$8)))^2+Inputs!$C$6^2+((Inputs!$H$8+Inputs!$L$8*(((Inputs!$I$8+(((A185)+1)/2)*(Inputs!$J$8-Inputs!$I$8)))/Inputs!$K$8)^2))^2))-((Inputs!$H$8+Inputs!$L$8*(((Inputs!$I$8+(((A185)+1)/2)*(Inputs!$J$8-Inputs!$I$8)))/Inputs!$K$8)^2)))*1000/Inputs!$C$12),NA())</x:f>
        <x:v>121536.49645425682</x:v>
      </x:c>
      <x:c r="K185" s="48" t="n">
        <x:f>IF(OR(Inputs!$F$9=TRUE,Inputs!$F$9="TRUE",Inputs!$F$9=1),(((SQRT(((Inputs!$I$9+(((A185)+1)/2)*(Inputs!$J$9-Inputs!$I$9)))^2+Inputs!$C$6^2+((Inputs!$H$9+Inputs!$L$9*(((Inputs!$I$9+(((A185)+1)/2)*(Inputs!$J$9-Inputs!$I$9)))/Inputs!$K$9)^2))^2))-((Inputs!$H$9+Inputs!$L$9*(((Inputs!$I$9+(((A185)+1)/2)*(Inputs!$J$9-Inputs!$I$9)))/Inputs!$K$9)^2)))*1000/Inputs!$C$12),NA())</x:f>
        <x:v>123257.33007584426</x:v>
      </x:c>
      <x:c r="L185" s="49"/>
      <x:c r="M185" s="48" t="n">
        <x:f>A185</x:f>
        <x:v>0.525</x:v>
      </x:c>
      <x:c r="N185" s="48" t="n">
        <x:f>IF(OR(Inputs!$F$6=TRUE,Inputs!$F$6="TRUE",Inputs!$F$6=1),(-2*((1000*((((Inputs!$I$6+(((A185)+1)/2)*(Inputs!$J$6-Inputs!$I$6)))*Inputs!$C$11+((Inputs!$H$6+Inputs!$L$6*(((Inputs!$I$6+(((A185)+1)/2)*(Inputs!$J$6-Inputs!$I$6)))/Inputs!$K$6)^2))*((2*Inputs!$L$6*((Inputs!$I$6+(((A185)+1)/2)*(Inputs!$J$6-Inputs!$I$6)))/(Inputs!$K$6^2)*Inputs!$C$11)))/(SQRT(((Inputs!$I$6+(((A185)+1)/2)*(Inputs!$J$6-Inputs!$I$6)))^2+Inputs!$C$6^2+((Inputs!$H$6+Inputs!$L$6*(((Inputs!$I$6+(((A185)+1)/2)*(Inputs!$J$6-Inputs!$I$6)))/Inputs!$K$6)^2))^2)))))/Inputs!$C$13),NA())</x:f>
        <x:v>-236.46811213899355</x:v>
      </x:c>
      <x:c r="O185" s="48" t="n">
        <x:f>IF(OR(Inputs!$F$7=TRUE,Inputs!$F$7="TRUE",Inputs!$F$7=1),(-2*((1000*((((Inputs!$I$7+(((A185)+1)/2)*(Inputs!$J$7-Inputs!$I$7)))*Inputs!$C$11+((Inputs!$H$7+Inputs!$L$7*(((Inputs!$I$7+(((A185)+1)/2)*(Inputs!$J$7-Inputs!$I$7)))/Inputs!$K$7)^2))*((2*Inputs!$L$7*((Inputs!$I$7+(((A185)+1)/2)*(Inputs!$J$7-Inputs!$I$7)))/(Inputs!$K$7^2)*Inputs!$C$11)))/(SQRT(((Inputs!$I$7+(((A185)+1)/2)*(Inputs!$J$7-Inputs!$I$7)))^2+Inputs!$C$6^2+((Inputs!$H$7+Inputs!$L$7*(((Inputs!$I$7+(((A185)+1)/2)*(Inputs!$J$7-Inputs!$I$7)))/Inputs!$K$7)^2))^2)))))/Inputs!$C$13),NA())</x:f>
        <x:v>-2164.9239047033993</x:v>
      </x:c>
      <x:c r="P185" s="48" t="n">
        <x:f>IF(OR(Inputs!$F$8=TRUE,Inputs!$F$8="TRUE",Inputs!$F$8=1),(-2*((1000*((((Inputs!$I$8+(((A185)+1)/2)*(Inputs!$J$8-Inputs!$I$8)))*Inputs!$C$11+((Inputs!$H$8+Inputs!$L$8*(((Inputs!$I$8+(((A185)+1)/2)*(Inputs!$J$8-Inputs!$I$8)))/Inputs!$K$8)^2))*((2*Inputs!$L$8*((Inputs!$I$8+(((A185)+1)/2)*(Inputs!$J$8-Inputs!$I$8)))/(Inputs!$K$8^2)*Inputs!$C$11)))/(SQRT(((Inputs!$I$8+(((A185)+1)/2)*(Inputs!$J$8-Inputs!$I$8)))^2+Inputs!$C$6^2+((Inputs!$H$8+Inputs!$L$8*(((Inputs!$I$8+(((A185)+1)/2)*(Inputs!$J$8-Inputs!$I$8)))/Inputs!$K$8)^2))^2)))))/Inputs!$C$13),NA())</x:f>
        <x:v>-2478.058642518175</x:v>
      </x:c>
      <x:c r="Q185" s="48" t="n">
        <x:f>IF(OR(Inputs!$F$9=TRUE,Inputs!$F$9="TRUE",Inputs!$F$9=1),(-2*((1000*((((Inputs!$I$9+(((A185)+1)/2)*(Inputs!$J$9-Inputs!$I$9)))*Inputs!$C$11+((Inputs!$H$9+Inputs!$L$9*(((Inputs!$I$9+(((A185)+1)/2)*(Inputs!$J$9-Inputs!$I$9)))/Inputs!$K$9)^2))*((2*Inputs!$L$9*((Inputs!$I$9+(((A185)+1)/2)*(Inputs!$J$9-Inputs!$I$9)))/(Inputs!$K$9^2)*Inputs!$C$11)))/(SQRT(((Inputs!$I$9+(((A185)+1)/2)*(Inputs!$J$9-Inputs!$I$9)))^2+Inputs!$C$6^2+((Inputs!$H$9+Inputs!$L$9*(((Inputs!$I$9+(((A185)+1)/2)*(Inputs!$J$9-Inputs!$I$9)))/Inputs!$K$9)^2))^2)))))/Inputs!$C$13),NA())</x:f>
        <x:v>-2481.661802856815</x:v>
      </x:c>
      <x:c r="R185" s="49"/>
      <x:c r="S185" s="48" t="n">
        <x:f>A185</x:f>
        <x:v>0.525</x:v>
      </x:c>
      <x:c r="T185" s="48" t="n">
        <x:f>(Inputs!$I$6+(((A185)+1)/2)*(Inputs!$J$6-Inputs!$I$6))</x:f>
        <x:v>31.5</x:v>
      </x:c>
      <x:c r="U185" s="48" t="n">
        <x:f>(Inputs!$I$7+(((A185)+1)/2)*(Inputs!$J$7-Inputs!$I$7))</x:f>
        <x:v>210</x:v>
      </x:c>
      <x:c r="V185" s="48" t="n">
        <x:f>(Inputs!$I$8+(((A185)+1)/2)*(Inputs!$J$8-Inputs!$I$8))</x:f>
        <x:v>420</x:v>
      </x:c>
      <x:c r="W185" s="48" t="n">
        <x:f>(Inputs!$I$9+(((A185)+1)/2)*(Inputs!$J$9-Inputs!$I$9))</x:f>
        <x:v>420</x:v>
      </x:c>
      <x:c r="X185" s="49"/>
      <x:c r="Y185" s="48" t="n">
        <x:f>A185</x:f>
        <x:v>0.525</x:v>
      </x:c>
      <x:c r="Z185" s="48" t="n">
        <x:f>(Inputs!$H$6+Inputs!$L$6*(((Inputs!$I$6+(((A185)+1)/2)*(Inputs!$J$6-Inputs!$I$6)))/Inputs!$K$6)^2)</x:f>
        <x:v>401.1025</x:v>
      </x:c>
      <x:c r="AA185" s="48" t="n">
        <x:f>(Inputs!$H$7+Inputs!$L$7*(((Inputs!$I$7+(((A185)+1)/2)*(Inputs!$J$7-Inputs!$I$7)))/Inputs!$K$7)^2)</x:f>
        <x:v>135.603125</x:v>
      </x:c>
      <x:c r="AB185" s="48" t="n">
        <x:f>(Inputs!$H$8+Inputs!$L$8*(((Inputs!$I$8+(((A185)+1)/2)*(Inputs!$J$8-Inputs!$I$8)))/Inputs!$K$8)^2)</x:f>
        <x:v>300.97812500000003</x:v>
      </x:c>
      <x:c r="AC185" s="48" t="n">
        <x:f>(Inputs!$H$9+Inputs!$L$9*(((Inputs!$I$9+(((A185)+1)/2)*(Inputs!$J$9-Inputs!$I$9)))/Inputs!$K$9)^2)</x:f>
        <x:v>293.734375</x:v>
      </x:c>
      <x:c r="AD185" s="49"/>
      <x:c r="AE185" s="48" t="n">
        <x:f>A185</x:f>
        <x:v>0.525</x:v>
      </x:c>
      <x:c r="AF185" s="48" t="n">
        <x:f>(((SQRT(((Inputs!$I$6+(((A185)+1)/2)*(Inputs!$J$6-Inputs!$I$6)))^2+Inputs!$C$6^2+((Inputs!$H$6+Inputs!$L$6*(((Inputs!$I$6+(((A185)+1)/2)*(Inputs!$J$6-Inputs!$I$6)))/Inputs!$K$6)^2))^2))-((Inputs!$H$6+Inputs!$L$6*(((Inputs!$I$6+(((A185)+1)/2)*(Inputs!$J$6-Inputs!$I$6)))/Inputs!$K$6)^2)))*1000/Inputs!$C$12)</x:f>
        <x:v>1129.7555078402418</x:v>
      </x:c>
      <x:c r="AG185" s="48" t="n">
        <x:f>(((SQRT(((Inputs!$I$7+(((A185)+1)/2)*(Inputs!$J$7-Inputs!$I$7)))^2+Inputs!$C$6^2+((Inputs!$H$7+Inputs!$L$7*(((Inputs!$I$7+(((A185)+1)/2)*(Inputs!$J$7-Inputs!$I$7)))/Inputs!$K$7)^2))^2))-((Inputs!$H$7+Inputs!$L$7*(((Inputs!$I$7+(((A185)+1)/2)*(Inputs!$J$7-Inputs!$I$7)))/Inputs!$K$7)^2)))*1000/Inputs!$C$12)</x:f>
        <x:v>64955.222752360576</x:v>
      </x:c>
      <x:c r="AH185" s="48" t="n">
        <x:f>(((SQRT(((Inputs!$I$8+(((A185)+1)/2)*(Inputs!$J$8-Inputs!$I$8)))^2+Inputs!$C$6^2+((Inputs!$H$8+Inputs!$L$8*(((Inputs!$I$8+(((A185)+1)/2)*(Inputs!$J$8-Inputs!$I$8)))/Inputs!$K$8)^2))^2))-((Inputs!$H$8+Inputs!$L$8*(((Inputs!$I$8+(((A185)+1)/2)*(Inputs!$J$8-Inputs!$I$8)))/Inputs!$K$8)^2)))*1000/Inputs!$C$12)</x:f>
        <x:v>121536.49645425682</x:v>
      </x:c>
      <x:c r="AI185" s="48" t="n">
        <x:f>(((SQRT(((Inputs!$I$9+(((A185)+1)/2)*(Inputs!$J$9-Inputs!$I$9)))^2+Inputs!$C$6^2+((Inputs!$H$9+Inputs!$L$9*(((Inputs!$I$9+(((A185)+1)/2)*(Inputs!$J$9-Inputs!$I$9)))/Inputs!$K$9)^2))^2))-((Inputs!$H$9+Inputs!$L$9*(((Inputs!$I$9+(((A185)+1)/2)*(Inputs!$J$9-Inputs!$I$9)))/Inputs!$K$9)^2)))*1000/Inputs!$C$12)</x:f>
        <x:v>123257.33007584426</x:v>
      </x:c>
      <x:c r="AJ185" s="49"/>
      <x:c r="AK185" s="48" t="n">
        <x:f>A185</x:f>
        <x:v>0.525</x:v>
      </x:c>
      <x:c r="AL185" s="48" t="n">
        <x:f>(-2*((1000*((((Inputs!$I$6+(((A185)+1)/2)*(Inputs!$J$6-Inputs!$I$6)))*Inputs!$C$11+((Inputs!$H$6+Inputs!$L$6*(((Inputs!$I$6+(((A185)+1)/2)*(Inputs!$J$6-Inputs!$I$6)))/Inputs!$K$6)^2))*((2*Inputs!$L$6*((Inputs!$I$6+(((A185)+1)/2)*(Inputs!$J$6-Inputs!$I$6)))/(Inputs!$K$6^2)*Inputs!$C$11)))/(SQRT(((Inputs!$I$6+(((A185)+1)/2)*(Inputs!$J$6-Inputs!$I$6)))^2+Inputs!$C$6^2+((Inputs!$H$6+Inputs!$L$6*(((Inputs!$I$6+(((A185)+1)/2)*(Inputs!$J$6-Inputs!$I$6)))/Inputs!$K$6)^2))^2)))))/Inputs!$C$13)</x:f>
        <x:v>-236.46811213899355</x:v>
      </x:c>
      <x:c r="AM185" s="48" t="n">
        <x:f>(-2*((1000*((((Inputs!$I$7+(((A185)+1)/2)*(Inputs!$J$7-Inputs!$I$7)))*Inputs!$C$11+((Inputs!$H$7+Inputs!$L$7*(((Inputs!$I$7+(((A185)+1)/2)*(Inputs!$J$7-Inputs!$I$7)))/Inputs!$K$7)^2))*((2*Inputs!$L$7*((Inputs!$I$7+(((A185)+1)/2)*(Inputs!$J$7-Inputs!$I$7)))/(Inputs!$K$7^2)*Inputs!$C$11)))/(SQRT(((Inputs!$I$7+(((A185)+1)/2)*(Inputs!$J$7-Inputs!$I$7)))^2+Inputs!$C$6^2+((Inputs!$H$7+Inputs!$L$7*(((Inputs!$I$7+(((A185)+1)/2)*(Inputs!$J$7-Inputs!$I$7)))/Inputs!$K$7)^2))^2)))))/Inputs!$C$13)</x:f>
        <x:v>-2164.9239047033993</x:v>
      </x:c>
      <x:c r="AN185" s="48" t="n">
        <x:f>(-2*((1000*((((Inputs!$I$8+(((A185)+1)/2)*(Inputs!$J$8-Inputs!$I$8)))*Inputs!$C$11+((Inputs!$H$8+Inputs!$L$8*(((Inputs!$I$8+(((A185)+1)/2)*(Inputs!$J$8-Inputs!$I$8)))/Inputs!$K$8)^2))*((2*Inputs!$L$8*((Inputs!$I$8+(((A185)+1)/2)*(Inputs!$J$8-Inputs!$I$8)))/(Inputs!$K$8^2)*Inputs!$C$11)))/(SQRT(((Inputs!$I$8+(((A185)+1)/2)*(Inputs!$J$8-Inputs!$I$8)))^2+Inputs!$C$6^2+((Inputs!$H$8+Inputs!$L$8*(((Inputs!$I$8+(((A185)+1)/2)*(Inputs!$J$8-Inputs!$I$8)))/Inputs!$K$8)^2))^2)))))/Inputs!$C$13)</x:f>
        <x:v>-2478.058642518175</x:v>
      </x:c>
      <x:c r="AO185" s="48" t="n">
        <x:f>(-2*((1000*((((Inputs!$I$9+(((A185)+1)/2)*(Inputs!$J$9-Inputs!$I$9)))*Inputs!$C$11+((Inputs!$H$9+Inputs!$L$9*(((Inputs!$I$9+(((A185)+1)/2)*(Inputs!$J$9-Inputs!$I$9)))/Inputs!$K$9)^2))*((2*Inputs!$L$9*((Inputs!$I$9+(((A185)+1)/2)*(Inputs!$J$9-Inputs!$I$9)))/(Inputs!$K$9^2)*Inputs!$C$11)))/(SQRT(((Inputs!$I$9+(((A185)+1)/2)*(Inputs!$J$9-Inputs!$I$9)))^2+Inputs!$C$6^2+((Inputs!$H$9+Inputs!$L$9*(((Inputs!$I$9+(((A185)+1)/2)*(Inputs!$J$9-Inputs!$I$9)))/Inputs!$K$9)^2))^2)))))/Inputs!$C$13)</x:f>
        <x:v>-2481.661802856815</x:v>
      </x:c>
    </x:row>
    <x:row r="186">
      <x:c r="A186" s="48" t="n">
        <x:f>ROUND(-1+184*2/240,3)</x:f>
        <x:v>0.533</x:v>
      </x:c>
      <x:c r="B186" s="48" t="n">
        <x:f>IF(OR(Inputs!$F$6=TRUE,Inputs!$F$6="TRUE",Inputs!$F$6=1),(Inputs!$H$6+Inputs!$L$6*(((Inputs!$I$6+(((A186)+1)/2)*(Inputs!$J$6-Inputs!$I$6)))/Inputs!$K$6)^2),NA())</x:f>
        <x:v>401.136356</x:v>
      </x:c>
      <x:c r="C186" s="48" t="n">
        <x:f>IF(OR(Inputs!$F$7=TRUE,Inputs!$F$7="TRUE",Inputs!$F$7=1),(Inputs!$H$7+Inputs!$L$7*(((Inputs!$I$7+(((A186)+1)/2)*(Inputs!$J$7-Inputs!$I$7)))/Inputs!$K$7)^2),NA())</x:f>
        <x:v>138.69248499999992</x:v>
      </x:c>
      <x:c r="D186" s="48" t="n">
        <x:f>IF(OR(Inputs!$F$8=TRUE,Inputs!$F$8="TRUE",Inputs!$F$8=1),(Inputs!$H$8+Inputs!$L$8*(((Inputs!$I$8+(((A186)+1)/2)*(Inputs!$J$8-Inputs!$I$8)))/Inputs!$K$8)^2),NA())</x:f>
        <x:v>309.1458849999998</x:v>
      </x:c>
      <x:c r="E186" s="48" t="n">
        <x:f>IF(OR(Inputs!$F$9=TRUE,Inputs!$F$9="TRUE",Inputs!$F$9=1),(Inputs!$H$9+Inputs!$L$9*(((Inputs!$I$9+(((A186)+1)/2)*(Inputs!$J$9-Inputs!$I$9)))/Inputs!$K$9)^2),NA())</x:f>
        <x:v>301.9867749999998</x:v>
      </x:c>
      <x:c r="F186" s="49"/>
      <x:c r="G186" s="48" t="n">
        <x:f>A186</x:f>
        <x:v>0.533</x:v>
      </x:c>
      <x:c r="H186" s="48" t="n">
        <x:f>IF(OR(Inputs!$F$6=TRUE,Inputs!$F$6="TRUE",Inputs!$F$6=1),(((SQRT(((Inputs!$I$6+(((A186)+1)/2)*(Inputs!$J$6-Inputs!$I$6)))^2+Inputs!$C$6^2+((Inputs!$H$6+Inputs!$L$6*(((Inputs!$I$6+(((A186)+1)/2)*(Inputs!$J$6-Inputs!$I$6)))/Inputs!$K$6)^2))^2))-((Inputs!$H$6+Inputs!$L$6*(((Inputs!$I$6+(((A186)+1)/2)*(Inputs!$J$6-Inputs!$I$6)))/Inputs!$K$6)^2)))*1000/Inputs!$C$12),NA())</x:f>
        <x:v>1150.8903489637885</x:v>
      </x:c>
      <x:c r="I186" s="48" t="n">
        <x:f>IF(OR(Inputs!$F$7=TRUE,Inputs!$F$7="TRUE",Inputs!$F$7=1),(((SQRT(((Inputs!$I$7+(((A186)+1)/2)*(Inputs!$J$7-Inputs!$I$7)))^2+Inputs!$C$6^2+((Inputs!$H$7+Inputs!$L$7*(((Inputs!$I$7+(((A186)+1)/2)*(Inputs!$J$7-Inputs!$I$7)))/Inputs!$K$7)^2))^2))-((Inputs!$H$7+Inputs!$L$7*(((Inputs!$I$7+(((A186)+1)/2)*(Inputs!$J$7-Inputs!$I$7)))/Inputs!$K$7)^2)))*1000/Inputs!$C$12),NA())</x:f>
        <x:v>65660.22887290292</x:v>
      </x:c>
      <x:c r="J186" s="48" t="n">
        <x:f>IF(OR(Inputs!$F$8=TRUE,Inputs!$F$8="TRUE",Inputs!$F$8=1),(((SQRT(((Inputs!$I$8+(((A186)+1)/2)*(Inputs!$J$8-Inputs!$I$8)))^2+Inputs!$C$6^2+((Inputs!$H$8+Inputs!$L$8*(((Inputs!$I$8+(((A186)+1)/2)*(Inputs!$J$8-Inputs!$I$8)))/Inputs!$K$8)^2))^2))-((Inputs!$H$8+Inputs!$L$8*(((Inputs!$I$8+(((A186)+1)/2)*(Inputs!$J$8-Inputs!$I$8)))/Inputs!$K$8)^2)))*1000/Inputs!$C$12),NA())</x:f>
        <x:v>122541.36344463678</x:v>
      </x:c>
      <x:c r="K186" s="48" t="n">
        <x:f>IF(OR(Inputs!$F$9=TRUE,Inputs!$F$9="TRUE",Inputs!$F$9=1),(((SQRT(((Inputs!$I$9+(((A186)+1)/2)*(Inputs!$J$9-Inputs!$I$9)))^2+Inputs!$C$6^2+((Inputs!$H$9+Inputs!$L$9*(((Inputs!$I$9+(((A186)+1)/2)*(Inputs!$J$9-Inputs!$I$9)))/Inputs!$K$9)^2))^2))-((Inputs!$H$9+Inputs!$L$9*(((Inputs!$I$9+(((A186)+1)/2)*(Inputs!$J$9-Inputs!$I$9)))/Inputs!$K$9)^2)))*1000/Inputs!$C$12),NA())</x:f>
        <x:v>124223.25540506939</x:v>
      </x:c>
      <x:c r="L186" s="49"/>
      <x:c r="M186" s="48" t="n">
        <x:f>A186</x:f>
        <x:v>0.533</x:v>
      </x:c>
      <x:c r="N186" s="48" t="n">
        <x:f>IF(OR(Inputs!$F$6=TRUE,Inputs!$F$6="TRUE",Inputs!$F$6=1),(-2*((1000*((((Inputs!$I$6+(((A186)+1)/2)*(Inputs!$J$6-Inputs!$I$6)))*Inputs!$C$11+((Inputs!$H$6+Inputs!$L$6*(((Inputs!$I$6+(((A186)+1)/2)*(Inputs!$J$6-Inputs!$I$6)))/Inputs!$K$6)^2))*((2*Inputs!$L$6*((Inputs!$I$6+(((A186)+1)/2)*(Inputs!$J$6-Inputs!$I$6)))/(Inputs!$K$6^2)*Inputs!$C$11)))/(SQRT(((Inputs!$I$6+(((A186)+1)/2)*(Inputs!$J$6-Inputs!$I$6)))^2+Inputs!$C$6^2+((Inputs!$H$6+Inputs!$L$6*(((Inputs!$I$6+(((A186)+1)/2)*(Inputs!$J$6-Inputs!$I$6)))/Inputs!$K$6)^2))^2)))))/Inputs!$C$13),NA())</x:f>
        <x:v>-240.03842435797432</x:v>
      </x:c>
      <x:c r="O186" s="48" t="n">
        <x:f>IF(OR(Inputs!$F$7=TRUE,Inputs!$F$7="TRUE",Inputs!$F$7=1),(-2*((1000*((((Inputs!$I$7+(((A186)+1)/2)*(Inputs!$J$7-Inputs!$I$7)))*Inputs!$C$11+((Inputs!$H$7+Inputs!$L$7*(((Inputs!$I$7+(((A186)+1)/2)*(Inputs!$J$7-Inputs!$I$7)))/Inputs!$K$7)^2))*((2*Inputs!$L$7*((Inputs!$I$7+(((A186)+1)/2)*(Inputs!$J$7-Inputs!$I$7)))/(Inputs!$K$7^2)*Inputs!$C$11)))/(SQRT(((Inputs!$I$7+(((A186)+1)/2)*(Inputs!$J$7-Inputs!$I$7)))^2+Inputs!$C$6^2+((Inputs!$H$7+Inputs!$L$7*(((Inputs!$I$7+(((A186)+1)/2)*(Inputs!$J$7-Inputs!$I$7)))/Inputs!$K$7)^2))^2)))))/Inputs!$C$13),NA())</x:f>
        <x:v>-2179.3655948359747</x:v>
      </x:c>
      <x:c r="P186" s="48" t="n">
        <x:f>IF(OR(Inputs!$F$8=TRUE,Inputs!$F$8="TRUE",Inputs!$F$8=1),(-2*((1000*((((Inputs!$I$8+(((A186)+1)/2)*(Inputs!$J$8-Inputs!$I$8)))*Inputs!$C$11+((Inputs!$H$8+Inputs!$L$8*(((Inputs!$I$8+(((A186)+1)/2)*(Inputs!$J$8-Inputs!$I$8)))/Inputs!$K$8)^2))*((2*Inputs!$L$8*((Inputs!$I$8+(((A186)+1)/2)*(Inputs!$J$8-Inputs!$I$8)))/(Inputs!$K$8^2)*Inputs!$C$11)))/(SQRT(((Inputs!$I$8+(((A186)+1)/2)*(Inputs!$J$8-Inputs!$I$8)))^2+Inputs!$C$6^2+((Inputs!$H$8+Inputs!$L$8*(((Inputs!$I$8+(((A186)+1)/2)*(Inputs!$J$8-Inputs!$I$8)))/Inputs!$K$8)^2))^2)))))/Inputs!$C$13),NA())</x:f>
        <x:v>-2500.1835513916053</x:v>
      </x:c>
      <x:c r="Q186" s="48" t="n">
        <x:f>IF(OR(Inputs!$F$9=TRUE,Inputs!$F$9="TRUE",Inputs!$F$9=1),(-2*((1000*((((Inputs!$I$9+(((A186)+1)/2)*(Inputs!$J$9-Inputs!$I$9)))*Inputs!$C$11+((Inputs!$H$9+Inputs!$L$9*(((Inputs!$I$9+(((A186)+1)/2)*(Inputs!$J$9-Inputs!$I$9)))/Inputs!$K$9)^2))*((2*Inputs!$L$9*((Inputs!$I$9+(((A186)+1)/2)*(Inputs!$J$9-Inputs!$I$9)))/(Inputs!$K$9^2)*Inputs!$C$11)))/(SQRT(((Inputs!$I$9+(((A186)+1)/2)*(Inputs!$J$9-Inputs!$I$9)))^2+Inputs!$C$6^2+((Inputs!$H$9+Inputs!$L$9*(((Inputs!$I$9+(((A186)+1)/2)*(Inputs!$J$9-Inputs!$I$9)))/Inputs!$K$9)^2))^2)))))/Inputs!$C$13),NA())</x:f>
        <x:v>-2504.2429123467873</x:v>
      </x:c>
      <x:c r="R186" s="49"/>
      <x:c r="S186" s="48" t="n">
        <x:f>A186</x:f>
        <x:v>0.533</x:v>
      </x:c>
      <x:c r="T186" s="48" t="n">
        <x:f>(Inputs!$I$6+(((A186)+1)/2)*(Inputs!$J$6-Inputs!$I$6))</x:f>
        <x:v>31.97999999999999</x:v>
      </x:c>
      <x:c r="U186" s="48" t="n">
        <x:f>(Inputs!$I$7+(((A186)+1)/2)*(Inputs!$J$7-Inputs!$I$7))</x:f>
        <x:v>213.19999999999993</x:v>
      </x:c>
      <x:c r="V186" s="48" t="n">
        <x:f>(Inputs!$I$8+(((A186)+1)/2)*(Inputs!$J$8-Inputs!$I$8))</x:f>
        <x:v>426.39999999999986</x:v>
      </x:c>
      <x:c r="W186" s="48" t="n">
        <x:f>(Inputs!$I$9+(((A186)+1)/2)*(Inputs!$J$9-Inputs!$I$9))</x:f>
        <x:v>426.39999999999986</x:v>
      </x:c>
      <x:c r="X186" s="49"/>
      <x:c r="Y186" s="48" t="n">
        <x:f>A186</x:f>
        <x:v>0.533</x:v>
      </x:c>
      <x:c r="Z186" s="48" t="n">
        <x:f>(Inputs!$H$6+Inputs!$L$6*(((Inputs!$I$6+(((A186)+1)/2)*(Inputs!$J$6-Inputs!$I$6)))/Inputs!$K$6)^2)</x:f>
        <x:v>401.136356</x:v>
      </x:c>
      <x:c r="AA186" s="48" t="n">
        <x:f>(Inputs!$H$7+Inputs!$L$7*(((Inputs!$I$7+(((A186)+1)/2)*(Inputs!$J$7-Inputs!$I$7)))/Inputs!$K$7)^2)</x:f>
        <x:v>138.69248499999992</x:v>
      </x:c>
      <x:c r="AB186" s="48" t="n">
        <x:f>(Inputs!$H$8+Inputs!$L$8*(((Inputs!$I$8+(((A186)+1)/2)*(Inputs!$J$8-Inputs!$I$8)))/Inputs!$K$8)^2)</x:f>
        <x:v>309.1458849999998</x:v>
      </x:c>
      <x:c r="AC186" s="48" t="n">
        <x:f>(Inputs!$H$9+Inputs!$L$9*(((Inputs!$I$9+(((A186)+1)/2)*(Inputs!$J$9-Inputs!$I$9)))/Inputs!$K$9)^2)</x:f>
        <x:v>301.9867749999998</x:v>
      </x:c>
      <x:c r="AD186" s="49"/>
      <x:c r="AE186" s="48" t="n">
        <x:f>A186</x:f>
        <x:v>0.533</x:v>
      </x:c>
      <x:c r="AF186" s="48" t="n">
        <x:f>(((SQRT(((Inputs!$I$6+(((A186)+1)/2)*(Inputs!$J$6-Inputs!$I$6)))^2+Inputs!$C$6^2+((Inputs!$H$6+Inputs!$L$6*(((Inputs!$I$6+(((A186)+1)/2)*(Inputs!$J$6-Inputs!$I$6)))/Inputs!$K$6)^2))^2))-((Inputs!$H$6+Inputs!$L$6*(((Inputs!$I$6+(((A186)+1)/2)*(Inputs!$J$6-Inputs!$I$6)))/Inputs!$K$6)^2)))*1000/Inputs!$C$12)</x:f>
        <x:v>1150.8903489637885</x:v>
      </x:c>
      <x:c r="AG186" s="48" t="n">
        <x:f>(((SQRT(((Inputs!$I$7+(((A186)+1)/2)*(Inputs!$J$7-Inputs!$I$7)))^2+Inputs!$C$6^2+((Inputs!$H$7+Inputs!$L$7*(((Inputs!$I$7+(((A186)+1)/2)*(Inputs!$J$7-Inputs!$I$7)))/Inputs!$K$7)^2))^2))-((Inputs!$H$7+Inputs!$L$7*(((Inputs!$I$7+(((A186)+1)/2)*(Inputs!$J$7-Inputs!$I$7)))/Inputs!$K$7)^2)))*1000/Inputs!$C$12)</x:f>
        <x:v>65660.22887290292</x:v>
      </x:c>
      <x:c r="AH186" s="48" t="n">
        <x:f>(((SQRT(((Inputs!$I$8+(((A186)+1)/2)*(Inputs!$J$8-Inputs!$I$8)))^2+Inputs!$C$6^2+((Inputs!$H$8+Inputs!$L$8*(((Inputs!$I$8+(((A186)+1)/2)*(Inputs!$J$8-Inputs!$I$8)))/Inputs!$K$8)^2))^2))-((Inputs!$H$8+Inputs!$L$8*(((Inputs!$I$8+(((A186)+1)/2)*(Inputs!$J$8-Inputs!$I$8)))/Inputs!$K$8)^2)))*1000/Inputs!$C$12)</x:f>
        <x:v>122541.36344463678</x:v>
      </x:c>
      <x:c r="AI186" s="48" t="n">
        <x:f>(((SQRT(((Inputs!$I$9+(((A186)+1)/2)*(Inputs!$J$9-Inputs!$I$9)))^2+Inputs!$C$6^2+((Inputs!$H$9+Inputs!$L$9*(((Inputs!$I$9+(((A186)+1)/2)*(Inputs!$J$9-Inputs!$I$9)))/Inputs!$K$9)^2))^2))-((Inputs!$H$9+Inputs!$L$9*(((Inputs!$I$9+(((A186)+1)/2)*(Inputs!$J$9-Inputs!$I$9)))/Inputs!$K$9)^2)))*1000/Inputs!$C$12)</x:f>
        <x:v>124223.25540506939</x:v>
      </x:c>
      <x:c r="AJ186" s="49"/>
      <x:c r="AK186" s="48" t="n">
        <x:f>A186</x:f>
        <x:v>0.533</x:v>
      </x:c>
      <x:c r="AL186" s="48" t="n">
        <x:f>(-2*((1000*((((Inputs!$I$6+(((A186)+1)/2)*(Inputs!$J$6-Inputs!$I$6)))*Inputs!$C$11+((Inputs!$H$6+Inputs!$L$6*(((Inputs!$I$6+(((A186)+1)/2)*(Inputs!$J$6-Inputs!$I$6)))/Inputs!$K$6)^2))*((2*Inputs!$L$6*((Inputs!$I$6+(((A186)+1)/2)*(Inputs!$J$6-Inputs!$I$6)))/(Inputs!$K$6^2)*Inputs!$C$11)))/(SQRT(((Inputs!$I$6+(((A186)+1)/2)*(Inputs!$J$6-Inputs!$I$6)))^2+Inputs!$C$6^2+((Inputs!$H$6+Inputs!$L$6*(((Inputs!$I$6+(((A186)+1)/2)*(Inputs!$J$6-Inputs!$I$6)))/Inputs!$K$6)^2))^2)))))/Inputs!$C$13)</x:f>
        <x:v>-240.03842435797432</x:v>
      </x:c>
      <x:c r="AM186" s="48" t="n">
        <x:f>(-2*((1000*((((Inputs!$I$7+(((A186)+1)/2)*(Inputs!$J$7-Inputs!$I$7)))*Inputs!$C$11+((Inputs!$H$7+Inputs!$L$7*(((Inputs!$I$7+(((A186)+1)/2)*(Inputs!$J$7-Inputs!$I$7)))/Inputs!$K$7)^2))*((2*Inputs!$L$7*((Inputs!$I$7+(((A186)+1)/2)*(Inputs!$J$7-Inputs!$I$7)))/(Inputs!$K$7^2)*Inputs!$C$11)))/(SQRT(((Inputs!$I$7+(((A186)+1)/2)*(Inputs!$J$7-Inputs!$I$7)))^2+Inputs!$C$6^2+((Inputs!$H$7+Inputs!$L$7*(((Inputs!$I$7+(((A186)+1)/2)*(Inputs!$J$7-Inputs!$I$7)))/Inputs!$K$7)^2))^2)))))/Inputs!$C$13)</x:f>
        <x:v>-2179.3655948359747</x:v>
      </x:c>
      <x:c r="AN186" s="48" t="n">
        <x:f>(-2*((1000*((((Inputs!$I$8+(((A186)+1)/2)*(Inputs!$J$8-Inputs!$I$8)))*Inputs!$C$11+((Inputs!$H$8+Inputs!$L$8*(((Inputs!$I$8+(((A186)+1)/2)*(Inputs!$J$8-Inputs!$I$8)))/Inputs!$K$8)^2))*((2*Inputs!$L$8*((Inputs!$I$8+(((A186)+1)/2)*(Inputs!$J$8-Inputs!$I$8)))/(Inputs!$K$8^2)*Inputs!$C$11)))/(SQRT(((Inputs!$I$8+(((A186)+1)/2)*(Inputs!$J$8-Inputs!$I$8)))^2+Inputs!$C$6^2+((Inputs!$H$8+Inputs!$L$8*(((Inputs!$I$8+(((A186)+1)/2)*(Inputs!$J$8-Inputs!$I$8)))/Inputs!$K$8)^2))^2)))))/Inputs!$C$13)</x:f>
        <x:v>-2500.1835513916053</x:v>
      </x:c>
      <x:c r="AO186" s="48" t="n">
        <x:f>(-2*((1000*((((Inputs!$I$9+(((A186)+1)/2)*(Inputs!$J$9-Inputs!$I$9)))*Inputs!$C$11+((Inputs!$H$9+Inputs!$L$9*(((Inputs!$I$9+(((A186)+1)/2)*(Inputs!$J$9-Inputs!$I$9)))/Inputs!$K$9)^2))*((2*Inputs!$L$9*((Inputs!$I$9+(((A186)+1)/2)*(Inputs!$J$9-Inputs!$I$9)))/(Inputs!$K$9^2)*Inputs!$C$11)))/(SQRT(((Inputs!$I$9+(((A186)+1)/2)*(Inputs!$J$9-Inputs!$I$9)))^2+Inputs!$C$6^2+((Inputs!$H$9+Inputs!$L$9*(((Inputs!$I$9+(((A186)+1)/2)*(Inputs!$J$9-Inputs!$I$9)))/Inputs!$K$9)^2))^2)))))/Inputs!$C$13)</x:f>
        <x:v>-2504.2429123467873</x:v>
      </x:c>
    </x:row>
    <x:row r="187">
      <x:c r="A187" s="48" t="n">
        <x:f>ROUND(-1+185*2/240,3)</x:f>
        <x:v>0.542</x:v>
      </x:c>
      <x:c r="B187" s="48" t="n">
        <x:f>IF(OR(Inputs!$F$6=TRUE,Inputs!$F$6="TRUE",Inputs!$F$6=1),(Inputs!$H$6+Inputs!$L$6*(((Inputs!$I$6+(((A187)+1)/2)*(Inputs!$J$6-Inputs!$I$6)))/Inputs!$K$6)^2),NA())</x:f>
        <x:v>401.175056</x:v>
      </x:c>
      <x:c r="C187" s="48" t="n">
        <x:f>IF(OR(Inputs!$F$7=TRUE,Inputs!$F$7="TRUE",Inputs!$F$7=1),(Inputs!$H$7+Inputs!$L$7*(((Inputs!$I$7+(((A187)+1)/2)*(Inputs!$J$7-Inputs!$I$7)))/Inputs!$K$7)^2),NA())</x:f>
        <x:v>142.22386000000006</x:v>
      </x:c>
      <x:c r="D187" s="48" t="n">
        <x:f>IF(OR(Inputs!$F$8=TRUE,Inputs!$F$8="TRUE",Inputs!$F$8=1),(Inputs!$H$8+Inputs!$L$8*(((Inputs!$I$8+(((A187)+1)/2)*(Inputs!$J$8-Inputs!$I$8)))/Inputs!$K$8)^2),NA())</x:f>
        <x:v>318.4822600000001</x:v>
      </x:c>
      <x:c r="E187" s="48" t="n">
        <x:f>IF(OR(Inputs!$F$9=TRUE,Inputs!$F$9="TRUE",Inputs!$F$9=1),(Inputs!$H$9+Inputs!$L$9*(((Inputs!$I$9+(((A187)+1)/2)*(Inputs!$J$9-Inputs!$I$9)))/Inputs!$K$9)^2),NA())</x:f>
        <x:v>311.41990000000015</x:v>
      </x:c>
      <x:c r="F187" s="49"/>
      <x:c r="G187" s="48" t="n">
        <x:f>A187</x:f>
        <x:v>0.542</x:v>
      </x:c>
      <x:c r="H187" s="48" t="n">
        <x:f>IF(OR(Inputs!$F$6=TRUE,Inputs!$F$6="TRUE",Inputs!$F$6=1),(((SQRT(((Inputs!$I$6+(((A187)+1)/2)*(Inputs!$J$6-Inputs!$I$6)))^2+Inputs!$C$6^2+((Inputs!$H$6+Inputs!$L$6*(((Inputs!$I$6+(((A187)+1)/2)*(Inputs!$J$6-Inputs!$I$6)))/Inputs!$K$6)^2))^2))-((Inputs!$H$6+Inputs!$L$6*(((Inputs!$I$6+(((A187)+1)/2)*(Inputs!$J$6-Inputs!$I$6)))/Inputs!$K$6)^2)))*1000/Inputs!$C$12),NA())</x:f>
        <x:v>1175.0423288320967</x:v>
      </x:c>
      <x:c r="I187" s="48" t="n">
        <x:f>IF(OR(Inputs!$F$7=TRUE,Inputs!$F$7="TRUE",Inputs!$F$7=1),(((SQRT(((Inputs!$I$7+(((A187)+1)/2)*(Inputs!$J$7-Inputs!$I$7)))^2+Inputs!$C$6^2+((Inputs!$H$7+Inputs!$L$7*(((Inputs!$I$7+(((A187)+1)/2)*(Inputs!$J$7-Inputs!$I$7)))/Inputs!$K$7)^2))^2))-((Inputs!$H$7+Inputs!$L$7*(((Inputs!$I$7+(((A187)+1)/2)*(Inputs!$J$7-Inputs!$I$7)))/Inputs!$K$7)^2)))*1000/Inputs!$C$12),NA())</x:f>
        <x:v>66441.46432586253</x:v>
      </x:c>
      <x:c r="J187" s="48" t="n">
        <x:f>IF(OR(Inputs!$F$8=TRUE,Inputs!$F$8="TRUE",Inputs!$F$8=1),(((SQRT(((Inputs!$I$8+(((A187)+1)/2)*(Inputs!$J$8-Inputs!$I$8)))^2+Inputs!$C$6^2+((Inputs!$H$8+Inputs!$L$8*(((Inputs!$I$8+(((A187)+1)/2)*(Inputs!$J$8-Inputs!$I$8)))/Inputs!$K$8)^2))^2))-((Inputs!$H$8+Inputs!$L$8*(((Inputs!$I$8+(((A187)+1)/2)*(Inputs!$J$8-Inputs!$I$8)))/Inputs!$K$8)^2)))*1000/Inputs!$C$12),NA())</x:f>
        <x:v>123648.58691170765</x:v>
      </x:c>
      <x:c r="K187" s="48" t="n">
        <x:f>IF(OR(Inputs!$F$9=TRUE,Inputs!$F$9="TRUE",Inputs!$F$9=1),(((SQRT(((Inputs!$I$9+(((A187)+1)/2)*(Inputs!$J$9-Inputs!$I$9)))^2+Inputs!$C$6^2+((Inputs!$H$9+Inputs!$L$9*(((Inputs!$I$9+(((A187)+1)/2)*(Inputs!$J$9-Inputs!$I$9)))/Inputs!$K$9)^2))^2))-((Inputs!$H$9+Inputs!$L$9*(((Inputs!$I$9+(((A187)+1)/2)*(Inputs!$J$9-Inputs!$I$9)))/Inputs!$K$9)^2)))*1000/Inputs!$C$12),NA())</x:f>
        <x:v>125287.04040938606</x:v>
      </x:c>
      <x:c r="L187" s="49"/>
      <x:c r="M187" s="48" t="n">
        <x:f>A187</x:f>
        <x:v>0.542</x:v>
      </x:c>
      <x:c r="N187" s="48" t="n">
        <x:f>IF(OR(Inputs!$F$6=TRUE,Inputs!$F$6="TRUE",Inputs!$F$6=1),(-2*((1000*((((Inputs!$I$6+(((A187)+1)/2)*(Inputs!$J$6-Inputs!$I$6)))*Inputs!$C$11+((Inputs!$H$6+Inputs!$L$6*(((Inputs!$I$6+(((A187)+1)/2)*(Inputs!$J$6-Inputs!$I$6)))/Inputs!$K$6)^2))*((2*Inputs!$L$6*((Inputs!$I$6+(((A187)+1)/2)*(Inputs!$J$6-Inputs!$I$6)))/(Inputs!$K$6^2)*Inputs!$C$11)))/(SQRT(((Inputs!$I$6+(((A187)+1)/2)*(Inputs!$J$6-Inputs!$I$6)))^2+Inputs!$C$6^2+((Inputs!$H$6+Inputs!$L$6*(((Inputs!$I$6+(((A187)+1)/2)*(Inputs!$J$6-Inputs!$I$6)))/Inputs!$K$6)^2))^2)))))/Inputs!$C$13),NA())</x:f>
        <x:v>-244.05325614659296</x:v>
      </x:c>
      <x:c r="O187" s="48" t="n">
        <x:f>IF(OR(Inputs!$F$7=TRUE,Inputs!$F$7="TRUE",Inputs!$F$7=1),(-2*((1000*((((Inputs!$I$7+(((A187)+1)/2)*(Inputs!$J$7-Inputs!$I$7)))*Inputs!$C$11+((Inputs!$H$7+Inputs!$L$7*(((Inputs!$I$7+(((A187)+1)/2)*(Inputs!$J$7-Inputs!$I$7)))/Inputs!$K$7)^2))*((2*Inputs!$L$7*((Inputs!$I$7+(((A187)+1)/2)*(Inputs!$J$7-Inputs!$I$7)))/(Inputs!$K$7^2)*Inputs!$C$11)))/(SQRT(((Inputs!$I$7+(((A187)+1)/2)*(Inputs!$J$7-Inputs!$I$7)))^2+Inputs!$C$6^2+((Inputs!$H$7+Inputs!$L$7*(((Inputs!$I$7+(((A187)+1)/2)*(Inputs!$J$7-Inputs!$I$7)))/Inputs!$K$7)^2))^2)))))/Inputs!$C$13),NA())</x:f>
        <x:v>-2195.746101852845</x:v>
      </x:c>
      <x:c r="P187" s="48" t="n">
        <x:f>IF(OR(Inputs!$F$8=TRUE,Inputs!$F$8="TRUE",Inputs!$F$8=1),(-2*((1000*((((Inputs!$I$8+(((A187)+1)/2)*(Inputs!$J$8-Inputs!$I$8)))*Inputs!$C$11+((Inputs!$H$8+Inputs!$L$8*(((Inputs!$I$8+(((A187)+1)/2)*(Inputs!$J$8-Inputs!$I$8)))/Inputs!$K$8)^2))*((2*Inputs!$L$8*((Inputs!$I$8+(((A187)+1)/2)*(Inputs!$J$8-Inputs!$I$8)))/(Inputs!$K$8^2)*Inputs!$C$11)))/(SQRT(((Inputs!$I$8+(((A187)+1)/2)*(Inputs!$J$8-Inputs!$I$8)))^2+Inputs!$C$6^2+((Inputs!$H$8+Inputs!$L$8*(((Inputs!$I$8+(((A187)+1)/2)*(Inputs!$J$8-Inputs!$I$8)))/Inputs!$K$8)^2))^2)))))/Inputs!$C$13),NA())</x:f>
        <x:v>-2525.291184901823</x:v>
      </x:c>
      <x:c r="Q187" s="48" t="n">
        <x:f>IF(OR(Inputs!$F$9=TRUE,Inputs!$F$9="TRUE",Inputs!$F$9=1),(-2*((1000*((((Inputs!$I$9+(((A187)+1)/2)*(Inputs!$J$9-Inputs!$I$9)))*Inputs!$C$11+((Inputs!$H$9+Inputs!$L$9*(((Inputs!$I$9+(((A187)+1)/2)*(Inputs!$J$9-Inputs!$I$9)))/Inputs!$K$9)^2))*((2*Inputs!$L$9*((Inputs!$I$9+(((A187)+1)/2)*(Inputs!$J$9-Inputs!$I$9)))/(Inputs!$K$9^2)*Inputs!$C$11)))/(SQRT(((Inputs!$I$9+(((A187)+1)/2)*(Inputs!$J$9-Inputs!$I$9)))^2+Inputs!$C$6^2+((Inputs!$H$9+Inputs!$L$9*(((Inputs!$I$9+(((A187)+1)/2)*(Inputs!$J$9-Inputs!$I$9)))/Inputs!$K$9)^2))^2)))))/Inputs!$C$13),NA())</x:f>
        <x:v>-2529.8678591214994</x:v>
      </x:c>
      <x:c r="R187" s="49"/>
      <x:c r="S187" s="48" t="n">
        <x:f>A187</x:f>
        <x:v>0.542</x:v>
      </x:c>
      <x:c r="T187" s="48" t="n">
        <x:f>(Inputs!$I$6+(((A187)+1)/2)*(Inputs!$J$6-Inputs!$I$6))</x:f>
        <x:v>32.519999999999996</x:v>
      </x:c>
      <x:c r="U187" s="48" t="n">
        <x:f>(Inputs!$I$7+(((A187)+1)/2)*(Inputs!$J$7-Inputs!$I$7))</x:f>
        <x:v>216.80000000000007</x:v>
      </x:c>
      <x:c r="V187" s="48" t="n">
        <x:f>(Inputs!$I$8+(((A187)+1)/2)*(Inputs!$J$8-Inputs!$I$8))</x:f>
        <x:v>433.60000000000014</x:v>
      </x:c>
      <x:c r="W187" s="48" t="n">
        <x:f>(Inputs!$I$9+(((A187)+1)/2)*(Inputs!$J$9-Inputs!$I$9))</x:f>
        <x:v>433.60000000000014</x:v>
      </x:c>
      <x:c r="X187" s="49"/>
      <x:c r="Y187" s="48" t="n">
        <x:f>A187</x:f>
        <x:v>0.542</x:v>
      </x:c>
      <x:c r="Z187" s="48" t="n">
        <x:f>(Inputs!$H$6+Inputs!$L$6*(((Inputs!$I$6+(((A187)+1)/2)*(Inputs!$J$6-Inputs!$I$6)))/Inputs!$K$6)^2)</x:f>
        <x:v>401.175056</x:v>
      </x:c>
      <x:c r="AA187" s="48" t="n">
        <x:f>(Inputs!$H$7+Inputs!$L$7*(((Inputs!$I$7+(((A187)+1)/2)*(Inputs!$J$7-Inputs!$I$7)))/Inputs!$K$7)^2)</x:f>
        <x:v>142.22386000000006</x:v>
      </x:c>
      <x:c r="AB187" s="48" t="n">
        <x:f>(Inputs!$H$8+Inputs!$L$8*(((Inputs!$I$8+(((A187)+1)/2)*(Inputs!$J$8-Inputs!$I$8)))/Inputs!$K$8)^2)</x:f>
        <x:v>318.4822600000001</x:v>
      </x:c>
      <x:c r="AC187" s="48" t="n">
        <x:f>(Inputs!$H$9+Inputs!$L$9*(((Inputs!$I$9+(((A187)+1)/2)*(Inputs!$J$9-Inputs!$I$9)))/Inputs!$K$9)^2)</x:f>
        <x:v>311.41990000000015</x:v>
      </x:c>
      <x:c r="AD187" s="49"/>
      <x:c r="AE187" s="48" t="n">
        <x:f>A187</x:f>
        <x:v>0.542</x:v>
      </x:c>
      <x:c r="AF187" s="48" t="n">
        <x:f>(((SQRT(((Inputs!$I$6+(((A187)+1)/2)*(Inputs!$J$6-Inputs!$I$6)))^2+Inputs!$C$6^2+((Inputs!$H$6+Inputs!$L$6*(((Inputs!$I$6+(((A187)+1)/2)*(Inputs!$J$6-Inputs!$I$6)))/Inputs!$K$6)^2))^2))-((Inputs!$H$6+Inputs!$L$6*(((Inputs!$I$6+(((A187)+1)/2)*(Inputs!$J$6-Inputs!$I$6)))/Inputs!$K$6)^2)))*1000/Inputs!$C$12)</x:f>
        <x:v>1175.0423288320967</x:v>
      </x:c>
      <x:c r="AG187" s="48" t="n">
        <x:f>(((SQRT(((Inputs!$I$7+(((A187)+1)/2)*(Inputs!$J$7-Inputs!$I$7)))^2+Inputs!$C$6^2+((Inputs!$H$7+Inputs!$L$7*(((Inputs!$I$7+(((A187)+1)/2)*(Inputs!$J$7-Inputs!$I$7)))/Inputs!$K$7)^2))^2))-((Inputs!$H$7+Inputs!$L$7*(((Inputs!$I$7+(((A187)+1)/2)*(Inputs!$J$7-Inputs!$I$7)))/Inputs!$K$7)^2)))*1000/Inputs!$C$12)</x:f>
        <x:v>66441.46432586253</x:v>
      </x:c>
      <x:c r="AH187" s="48" t="n">
        <x:f>(((SQRT(((Inputs!$I$8+(((A187)+1)/2)*(Inputs!$J$8-Inputs!$I$8)))^2+Inputs!$C$6^2+((Inputs!$H$8+Inputs!$L$8*(((Inputs!$I$8+(((A187)+1)/2)*(Inputs!$J$8-Inputs!$I$8)))/Inputs!$K$8)^2))^2))-((Inputs!$H$8+Inputs!$L$8*(((Inputs!$I$8+(((A187)+1)/2)*(Inputs!$J$8-Inputs!$I$8)))/Inputs!$K$8)^2)))*1000/Inputs!$C$12)</x:f>
        <x:v>123648.58691170765</x:v>
      </x:c>
      <x:c r="AI187" s="48" t="n">
        <x:f>(((SQRT(((Inputs!$I$9+(((A187)+1)/2)*(Inputs!$J$9-Inputs!$I$9)))^2+Inputs!$C$6^2+((Inputs!$H$9+Inputs!$L$9*(((Inputs!$I$9+(((A187)+1)/2)*(Inputs!$J$9-Inputs!$I$9)))/Inputs!$K$9)^2))^2))-((Inputs!$H$9+Inputs!$L$9*(((Inputs!$I$9+(((A187)+1)/2)*(Inputs!$J$9-Inputs!$I$9)))/Inputs!$K$9)^2)))*1000/Inputs!$C$12)</x:f>
        <x:v>125287.04040938606</x:v>
      </x:c>
      <x:c r="AJ187" s="49"/>
      <x:c r="AK187" s="48" t="n">
        <x:f>A187</x:f>
        <x:v>0.542</x:v>
      </x:c>
      <x:c r="AL187" s="48" t="n">
        <x:f>(-2*((1000*((((Inputs!$I$6+(((A187)+1)/2)*(Inputs!$J$6-Inputs!$I$6)))*Inputs!$C$11+((Inputs!$H$6+Inputs!$L$6*(((Inputs!$I$6+(((A187)+1)/2)*(Inputs!$J$6-Inputs!$I$6)))/Inputs!$K$6)^2))*((2*Inputs!$L$6*((Inputs!$I$6+(((A187)+1)/2)*(Inputs!$J$6-Inputs!$I$6)))/(Inputs!$K$6^2)*Inputs!$C$11)))/(SQRT(((Inputs!$I$6+(((A187)+1)/2)*(Inputs!$J$6-Inputs!$I$6)))^2+Inputs!$C$6^2+((Inputs!$H$6+Inputs!$L$6*(((Inputs!$I$6+(((A187)+1)/2)*(Inputs!$J$6-Inputs!$I$6)))/Inputs!$K$6)^2))^2)))))/Inputs!$C$13)</x:f>
        <x:v>-244.05325614659296</x:v>
      </x:c>
      <x:c r="AM187" s="48" t="n">
        <x:f>(-2*((1000*((((Inputs!$I$7+(((A187)+1)/2)*(Inputs!$J$7-Inputs!$I$7)))*Inputs!$C$11+((Inputs!$H$7+Inputs!$L$7*(((Inputs!$I$7+(((A187)+1)/2)*(Inputs!$J$7-Inputs!$I$7)))/Inputs!$K$7)^2))*((2*Inputs!$L$7*((Inputs!$I$7+(((A187)+1)/2)*(Inputs!$J$7-Inputs!$I$7)))/(Inputs!$K$7^2)*Inputs!$C$11)))/(SQRT(((Inputs!$I$7+(((A187)+1)/2)*(Inputs!$J$7-Inputs!$I$7)))^2+Inputs!$C$6^2+((Inputs!$H$7+Inputs!$L$7*(((Inputs!$I$7+(((A187)+1)/2)*(Inputs!$J$7-Inputs!$I$7)))/Inputs!$K$7)^2))^2)))))/Inputs!$C$13)</x:f>
        <x:v>-2195.746101852845</x:v>
      </x:c>
      <x:c r="AN187" s="48" t="n">
        <x:f>(-2*((1000*((((Inputs!$I$8+(((A187)+1)/2)*(Inputs!$J$8-Inputs!$I$8)))*Inputs!$C$11+((Inputs!$H$8+Inputs!$L$8*(((Inputs!$I$8+(((A187)+1)/2)*(Inputs!$J$8-Inputs!$I$8)))/Inputs!$K$8)^2))*((2*Inputs!$L$8*((Inputs!$I$8+(((A187)+1)/2)*(Inputs!$J$8-Inputs!$I$8)))/(Inputs!$K$8^2)*Inputs!$C$11)))/(SQRT(((Inputs!$I$8+(((A187)+1)/2)*(Inputs!$J$8-Inputs!$I$8)))^2+Inputs!$C$6^2+((Inputs!$H$8+Inputs!$L$8*(((Inputs!$I$8+(((A187)+1)/2)*(Inputs!$J$8-Inputs!$I$8)))/Inputs!$K$8)^2))^2)))))/Inputs!$C$13)</x:f>
        <x:v>-2525.291184901823</x:v>
      </x:c>
      <x:c r="AO187" s="48" t="n">
        <x:f>(-2*((1000*((((Inputs!$I$9+(((A187)+1)/2)*(Inputs!$J$9-Inputs!$I$9)))*Inputs!$C$11+((Inputs!$H$9+Inputs!$L$9*(((Inputs!$I$9+(((A187)+1)/2)*(Inputs!$J$9-Inputs!$I$9)))/Inputs!$K$9)^2))*((2*Inputs!$L$9*((Inputs!$I$9+(((A187)+1)/2)*(Inputs!$J$9-Inputs!$I$9)))/(Inputs!$K$9^2)*Inputs!$C$11)))/(SQRT(((Inputs!$I$9+(((A187)+1)/2)*(Inputs!$J$9-Inputs!$I$9)))^2+Inputs!$C$6^2+((Inputs!$H$9+Inputs!$L$9*(((Inputs!$I$9+(((A187)+1)/2)*(Inputs!$J$9-Inputs!$I$9)))/Inputs!$K$9)^2))^2)))))/Inputs!$C$13)</x:f>
        <x:v>-2529.8678591214994</x:v>
      </x:c>
    </x:row>
    <x:row r="188">
      <x:c r="A188" s="48" t="n">
        <x:f>ROUND(-1+186*2/240,3)</x:f>
        <x:v>0.55</x:v>
      </x:c>
      <x:c r="B188" s="48" t="n">
        <x:f>IF(OR(Inputs!$F$6=TRUE,Inputs!$F$6="TRUE",Inputs!$F$6=1),(Inputs!$H$6+Inputs!$L$6*(((Inputs!$I$6+(((A188)+1)/2)*(Inputs!$J$6-Inputs!$I$6)))/Inputs!$K$6)^2),NA())</x:f>
        <x:v>401.21</x:v>
      </x:c>
      <x:c r="C188" s="48" t="n">
        <x:f>IF(OR(Inputs!$F$7=TRUE,Inputs!$F$7="TRUE",Inputs!$F$7=1),(Inputs!$H$7+Inputs!$L$7*(((Inputs!$I$7+(((A188)+1)/2)*(Inputs!$J$7-Inputs!$I$7)))/Inputs!$K$7)^2),NA())</x:f>
        <x:v>145.41250000000002</x:v>
      </x:c>
      <x:c r="D188" s="48" t="n">
        <x:f>IF(OR(Inputs!$F$8=TRUE,Inputs!$F$8="TRUE",Inputs!$F$8=1),(Inputs!$H$8+Inputs!$L$8*(((Inputs!$I$8+(((A188)+1)/2)*(Inputs!$J$8-Inputs!$I$8)))/Inputs!$K$8)^2),NA())</x:f>
        <x:v>326.9125</x:v>
      </x:c>
      <x:c r="E188" s="48" t="n">
        <x:f>IF(OR(Inputs!$F$9=TRUE,Inputs!$F$9="TRUE",Inputs!$F$9=1),(Inputs!$H$9+Inputs!$L$9*(((Inputs!$I$9+(((A188)+1)/2)*(Inputs!$J$9-Inputs!$I$9)))/Inputs!$K$9)^2),NA())</x:f>
        <x:v>319.93750000000006</x:v>
      </x:c>
      <x:c r="F188" s="49"/>
      <x:c r="G188" s="48" t="n">
        <x:f>A188</x:f>
        <x:v>0.55</x:v>
      </x:c>
      <x:c r="H188" s="48" t="n">
        <x:f>IF(OR(Inputs!$F$6=TRUE,Inputs!$F$6="TRUE",Inputs!$F$6=1),(((SQRT(((Inputs!$I$6+(((A188)+1)/2)*(Inputs!$J$6-Inputs!$I$6)))^2+Inputs!$C$6^2+((Inputs!$H$6+Inputs!$L$6*(((Inputs!$I$6+(((A188)+1)/2)*(Inputs!$J$6-Inputs!$I$6)))/Inputs!$K$6)^2))^2))-((Inputs!$H$6+Inputs!$L$6*(((Inputs!$I$6+(((A188)+1)/2)*(Inputs!$J$6-Inputs!$I$6)))/Inputs!$K$6)^2)))*1000/Inputs!$C$12),NA())</x:f>
        <x:v>1196.8440626483268</x:v>
      </x:c>
      <x:c r="I188" s="48" t="n">
        <x:f>IF(OR(Inputs!$F$7=TRUE,Inputs!$F$7="TRUE",Inputs!$F$7=1),(((SQRT(((Inputs!$I$7+(((A188)+1)/2)*(Inputs!$J$7-Inputs!$I$7)))^2+Inputs!$C$6^2+((Inputs!$H$7+Inputs!$L$7*(((Inputs!$I$7+(((A188)+1)/2)*(Inputs!$J$7-Inputs!$I$7)))/Inputs!$K$7)^2))^2))-((Inputs!$H$7+Inputs!$L$7*(((Inputs!$I$7+(((A188)+1)/2)*(Inputs!$J$7-Inputs!$I$7)))/Inputs!$K$7)^2)))*1000/Inputs!$C$12),NA())</x:f>
        <x:v>67125.4603589789</x:v>
      </x:c>
      <x:c r="J188" s="48" t="n">
        <x:f>IF(OR(Inputs!$F$8=TRUE,Inputs!$F$8="TRUE",Inputs!$F$8=1),(((SQRT(((Inputs!$I$8+(((A188)+1)/2)*(Inputs!$J$8-Inputs!$I$8)))^2+Inputs!$C$6^2+((Inputs!$H$8+Inputs!$L$8*(((Inputs!$I$8+(((A188)+1)/2)*(Inputs!$J$8-Inputs!$I$8)))/Inputs!$K$8)^2))^2))-((Inputs!$H$8+Inputs!$L$8*(((Inputs!$I$8+(((A188)+1)/2)*(Inputs!$J$8-Inputs!$I$8)))/Inputs!$K$8)^2)))*1000/Inputs!$C$12),NA())</x:f>
        <x:v>124612.56464894464</x:v>
      </x:c>
      <x:c r="K188" s="48" t="n">
        <x:f>IF(OR(Inputs!$F$9=TRUE,Inputs!$F$9="TRUE",Inputs!$F$9=1),(((SQRT(((Inputs!$I$9+(((A188)+1)/2)*(Inputs!$J$9-Inputs!$I$9)))^2+Inputs!$C$6^2+((Inputs!$H$9+Inputs!$L$9*(((Inputs!$I$9+(((A188)+1)/2)*(Inputs!$J$9-Inputs!$I$9)))/Inputs!$K$9)^2))^2))-((Inputs!$H$9+Inputs!$L$9*(((Inputs!$I$9+(((A188)+1)/2)*(Inputs!$J$9-Inputs!$I$9)))/Inputs!$K$9)^2)))*1000/Inputs!$C$12),NA())</x:f>
        <x:v>126212.74396407322</x:v>
      </x:c>
      <x:c r="L188" s="49"/>
      <x:c r="M188" s="48" t="n">
        <x:f>A188</x:f>
        <x:v>0.55</x:v>
      </x:c>
      <x:c r="N188" s="48" t="n">
        <x:f>IF(OR(Inputs!$F$6=TRUE,Inputs!$F$6="TRUE",Inputs!$F$6=1),(-2*((1000*((((Inputs!$I$6+(((A188)+1)/2)*(Inputs!$J$6-Inputs!$I$6)))*Inputs!$C$11+((Inputs!$H$6+Inputs!$L$6*(((Inputs!$I$6+(((A188)+1)/2)*(Inputs!$J$6-Inputs!$I$6)))/Inputs!$K$6)^2))*((2*Inputs!$L$6*((Inputs!$I$6+(((A188)+1)/2)*(Inputs!$J$6-Inputs!$I$6)))/(Inputs!$K$6^2)*Inputs!$C$11)))/(SQRT(((Inputs!$I$6+(((A188)+1)/2)*(Inputs!$J$6-Inputs!$I$6)))^2+Inputs!$C$6^2+((Inputs!$H$6+Inputs!$L$6*(((Inputs!$I$6+(((A188)+1)/2)*(Inputs!$J$6-Inputs!$I$6)))/Inputs!$K$6)^2))^2)))))/Inputs!$C$13),NA())</x:f>
        <x:v>-247.62039958551682</x:v>
      </x:c>
      <x:c r="O188" s="48" t="n">
        <x:f>IF(OR(Inputs!$F$7=TRUE,Inputs!$F$7="TRUE",Inputs!$F$7=1),(-2*((1000*((((Inputs!$I$7+(((A188)+1)/2)*(Inputs!$J$7-Inputs!$I$7)))*Inputs!$C$11+((Inputs!$H$7+Inputs!$L$7*(((Inputs!$I$7+(((A188)+1)/2)*(Inputs!$J$7-Inputs!$I$7)))/Inputs!$K$7)^2))*((2*Inputs!$L$7*((Inputs!$I$7+(((A188)+1)/2)*(Inputs!$J$7-Inputs!$I$7)))/(Inputs!$K$7^2)*Inputs!$C$11)))/(SQRT(((Inputs!$I$7+(((A188)+1)/2)*(Inputs!$J$7-Inputs!$I$7)))^2+Inputs!$C$6^2+((Inputs!$H$7+Inputs!$L$7*(((Inputs!$I$7+(((A188)+1)/2)*(Inputs!$J$7-Inputs!$I$7)))/Inputs!$K$7)^2))^2)))))/Inputs!$C$13),NA())</x:f>
        <x:v>-2210.425503279317</x:v>
      </x:c>
      <x:c r="P188" s="48" t="n">
        <x:f>IF(OR(Inputs!$F$8=TRUE,Inputs!$F$8="TRUE",Inputs!$F$8=1),(-2*((1000*((((Inputs!$I$8+(((A188)+1)/2)*(Inputs!$J$8-Inputs!$I$8)))*Inputs!$C$11+((Inputs!$H$8+Inputs!$L$8*(((Inputs!$I$8+(((A188)+1)/2)*(Inputs!$J$8-Inputs!$I$8)))/Inputs!$K$8)^2))*((2*Inputs!$L$8*((Inputs!$I$8+(((A188)+1)/2)*(Inputs!$J$8-Inputs!$I$8)))/(Inputs!$K$8^2)*Inputs!$C$11)))/(SQRT(((Inputs!$I$8+(((A188)+1)/2)*(Inputs!$J$8-Inputs!$I$8)))^2+Inputs!$C$6^2+((Inputs!$H$8+Inputs!$L$8*(((Inputs!$I$8+(((A188)+1)/2)*(Inputs!$J$8-Inputs!$I$8)))/Inputs!$K$8)^2))^2)))))/Inputs!$C$13),NA())</x:f>
        <x:v>-2547.798399668666</x:v>
      </x:c>
      <x:c r="Q188" s="48" t="n">
        <x:f>IF(OR(Inputs!$F$9=TRUE,Inputs!$F$9="TRUE",Inputs!$F$9=1),(-2*((1000*((((Inputs!$I$9+(((A188)+1)/2)*(Inputs!$J$9-Inputs!$I$9)))*Inputs!$C$11+((Inputs!$H$9+Inputs!$L$9*(((Inputs!$I$9+(((A188)+1)/2)*(Inputs!$J$9-Inputs!$I$9)))/Inputs!$K$9)^2))*((2*Inputs!$L$9*((Inputs!$I$9+(((A188)+1)/2)*(Inputs!$J$9-Inputs!$I$9)))/(Inputs!$K$9^2)*Inputs!$C$11)))/(SQRT(((Inputs!$I$9+(((A188)+1)/2)*(Inputs!$J$9-Inputs!$I$9)))^2+Inputs!$C$6^2+((Inputs!$H$9+Inputs!$L$9*(((Inputs!$I$9+(((A188)+1)/2)*(Inputs!$J$9-Inputs!$I$9)))/Inputs!$K$9)^2))^2)))))/Inputs!$C$13),NA())</x:f>
        <x:v>-2552.8381903725294</x:v>
      </x:c>
      <x:c r="R188" s="49"/>
      <x:c r="S188" s="48" t="n">
        <x:f>A188</x:f>
        <x:v>0.55</x:v>
      </x:c>
      <x:c r="T188" s="48" t="n">
        <x:f>(Inputs!$I$6+(((A188)+1)/2)*(Inputs!$J$6-Inputs!$I$6))</x:f>
        <x:v>33</x:v>
      </x:c>
      <x:c r="U188" s="48" t="n">
        <x:f>(Inputs!$I$7+(((A188)+1)/2)*(Inputs!$J$7-Inputs!$I$7))</x:f>
        <x:v>220</x:v>
      </x:c>
      <x:c r="V188" s="48" t="n">
        <x:f>(Inputs!$I$8+(((A188)+1)/2)*(Inputs!$J$8-Inputs!$I$8))</x:f>
        <x:v>440</x:v>
      </x:c>
      <x:c r="W188" s="48" t="n">
        <x:f>(Inputs!$I$9+(((A188)+1)/2)*(Inputs!$J$9-Inputs!$I$9))</x:f>
        <x:v>440</x:v>
      </x:c>
      <x:c r="X188" s="49"/>
      <x:c r="Y188" s="48" t="n">
        <x:f>A188</x:f>
        <x:v>0.55</x:v>
      </x:c>
      <x:c r="Z188" s="48" t="n">
        <x:f>(Inputs!$H$6+Inputs!$L$6*(((Inputs!$I$6+(((A188)+1)/2)*(Inputs!$J$6-Inputs!$I$6)))/Inputs!$K$6)^2)</x:f>
        <x:v>401.21</x:v>
      </x:c>
      <x:c r="AA188" s="48" t="n">
        <x:f>(Inputs!$H$7+Inputs!$L$7*(((Inputs!$I$7+(((A188)+1)/2)*(Inputs!$J$7-Inputs!$I$7)))/Inputs!$K$7)^2)</x:f>
        <x:v>145.41250000000002</x:v>
      </x:c>
      <x:c r="AB188" s="48" t="n">
        <x:f>(Inputs!$H$8+Inputs!$L$8*(((Inputs!$I$8+(((A188)+1)/2)*(Inputs!$J$8-Inputs!$I$8)))/Inputs!$K$8)^2)</x:f>
        <x:v>326.9125</x:v>
      </x:c>
      <x:c r="AC188" s="48" t="n">
        <x:f>(Inputs!$H$9+Inputs!$L$9*(((Inputs!$I$9+(((A188)+1)/2)*(Inputs!$J$9-Inputs!$I$9)))/Inputs!$K$9)^2)</x:f>
        <x:v>319.93750000000006</x:v>
      </x:c>
      <x:c r="AD188" s="49"/>
      <x:c r="AE188" s="48" t="n">
        <x:f>A188</x:f>
        <x:v>0.55</x:v>
      </x:c>
      <x:c r="AF188" s="48" t="n">
        <x:f>(((SQRT(((Inputs!$I$6+(((A188)+1)/2)*(Inputs!$J$6-Inputs!$I$6)))^2+Inputs!$C$6^2+((Inputs!$H$6+Inputs!$L$6*(((Inputs!$I$6+(((A188)+1)/2)*(Inputs!$J$6-Inputs!$I$6)))/Inputs!$K$6)^2))^2))-((Inputs!$H$6+Inputs!$L$6*(((Inputs!$I$6+(((A188)+1)/2)*(Inputs!$J$6-Inputs!$I$6)))/Inputs!$K$6)^2)))*1000/Inputs!$C$12)</x:f>
        <x:v>1196.8440626483268</x:v>
      </x:c>
      <x:c r="AG188" s="48" t="n">
        <x:f>(((SQRT(((Inputs!$I$7+(((A188)+1)/2)*(Inputs!$J$7-Inputs!$I$7)))^2+Inputs!$C$6^2+((Inputs!$H$7+Inputs!$L$7*(((Inputs!$I$7+(((A188)+1)/2)*(Inputs!$J$7-Inputs!$I$7)))/Inputs!$K$7)^2))^2))-((Inputs!$H$7+Inputs!$L$7*(((Inputs!$I$7+(((A188)+1)/2)*(Inputs!$J$7-Inputs!$I$7)))/Inputs!$K$7)^2)))*1000/Inputs!$C$12)</x:f>
        <x:v>67125.4603589789</x:v>
      </x:c>
      <x:c r="AH188" s="48" t="n">
        <x:f>(((SQRT(((Inputs!$I$8+(((A188)+1)/2)*(Inputs!$J$8-Inputs!$I$8)))^2+Inputs!$C$6^2+((Inputs!$H$8+Inputs!$L$8*(((Inputs!$I$8+(((A188)+1)/2)*(Inputs!$J$8-Inputs!$I$8)))/Inputs!$K$8)^2))^2))-((Inputs!$H$8+Inputs!$L$8*(((Inputs!$I$8+(((A188)+1)/2)*(Inputs!$J$8-Inputs!$I$8)))/Inputs!$K$8)^2)))*1000/Inputs!$C$12)</x:f>
        <x:v>124612.56464894464</x:v>
      </x:c>
      <x:c r="AI188" s="48" t="n">
        <x:f>(((SQRT(((Inputs!$I$9+(((A188)+1)/2)*(Inputs!$J$9-Inputs!$I$9)))^2+Inputs!$C$6^2+((Inputs!$H$9+Inputs!$L$9*(((Inputs!$I$9+(((A188)+1)/2)*(Inputs!$J$9-Inputs!$I$9)))/Inputs!$K$9)^2))^2))-((Inputs!$H$9+Inputs!$L$9*(((Inputs!$I$9+(((A188)+1)/2)*(Inputs!$J$9-Inputs!$I$9)))/Inputs!$K$9)^2)))*1000/Inputs!$C$12)</x:f>
        <x:v>126212.74396407322</x:v>
      </x:c>
      <x:c r="AJ188" s="49"/>
      <x:c r="AK188" s="48" t="n">
        <x:f>A188</x:f>
        <x:v>0.55</x:v>
      </x:c>
      <x:c r="AL188" s="48" t="n">
        <x:f>(-2*((1000*((((Inputs!$I$6+(((A188)+1)/2)*(Inputs!$J$6-Inputs!$I$6)))*Inputs!$C$11+((Inputs!$H$6+Inputs!$L$6*(((Inputs!$I$6+(((A188)+1)/2)*(Inputs!$J$6-Inputs!$I$6)))/Inputs!$K$6)^2))*((2*Inputs!$L$6*((Inputs!$I$6+(((A188)+1)/2)*(Inputs!$J$6-Inputs!$I$6)))/(Inputs!$K$6^2)*Inputs!$C$11)))/(SQRT(((Inputs!$I$6+(((A188)+1)/2)*(Inputs!$J$6-Inputs!$I$6)))^2+Inputs!$C$6^2+((Inputs!$H$6+Inputs!$L$6*(((Inputs!$I$6+(((A188)+1)/2)*(Inputs!$J$6-Inputs!$I$6)))/Inputs!$K$6)^2))^2)))))/Inputs!$C$13)</x:f>
        <x:v>-247.62039958551682</x:v>
      </x:c>
      <x:c r="AM188" s="48" t="n">
        <x:f>(-2*((1000*((((Inputs!$I$7+(((A188)+1)/2)*(Inputs!$J$7-Inputs!$I$7)))*Inputs!$C$11+((Inputs!$H$7+Inputs!$L$7*(((Inputs!$I$7+(((A188)+1)/2)*(Inputs!$J$7-Inputs!$I$7)))/Inputs!$K$7)^2))*((2*Inputs!$L$7*((Inputs!$I$7+(((A188)+1)/2)*(Inputs!$J$7-Inputs!$I$7)))/(Inputs!$K$7^2)*Inputs!$C$11)))/(SQRT(((Inputs!$I$7+(((A188)+1)/2)*(Inputs!$J$7-Inputs!$I$7)))^2+Inputs!$C$6^2+((Inputs!$H$7+Inputs!$L$7*(((Inputs!$I$7+(((A188)+1)/2)*(Inputs!$J$7-Inputs!$I$7)))/Inputs!$K$7)^2))^2)))))/Inputs!$C$13)</x:f>
        <x:v>-2210.425503279317</x:v>
      </x:c>
      <x:c r="AN188" s="48" t="n">
        <x:f>(-2*((1000*((((Inputs!$I$8+(((A188)+1)/2)*(Inputs!$J$8-Inputs!$I$8)))*Inputs!$C$11+((Inputs!$H$8+Inputs!$L$8*(((Inputs!$I$8+(((A188)+1)/2)*(Inputs!$J$8-Inputs!$I$8)))/Inputs!$K$8)^2))*((2*Inputs!$L$8*((Inputs!$I$8+(((A188)+1)/2)*(Inputs!$J$8-Inputs!$I$8)))/(Inputs!$K$8^2)*Inputs!$C$11)))/(SQRT(((Inputs!$I$8+(((A188)+1)/2)*(Inputs!$J$8-Inputs!$I$8)))^2+Inputs!$C$6^2+((Inputs!$H$8+Inputs!$L$8*(((Inputs!$I$8+(((A188)+1)/2)*(Inputs!$J$8-Inputs!$I$8)))/Inputs!$K$8)^2))^2)))))/Inputs!$C$13)</x:f>
        <x:v>-2547.798399668666</x:v>
      </x:c>
      <x:c r="AO188" s="48" t="n">
        <x:f>(-2*((1000*((((Inputs!$I$9+(((A188)+1)/2)*(Inputs!$J$9-Inputs!$I$9)))*Inputs!$C$11+((Inputs!$H$9+Inputs!$L$9*(((Inputs!$I$9+(((A188)+1)/2)*(Inputs!$J$9-Inputs!$I$9)))/Inputs!$K$9)^2))*((2*Inputs!$L$9*((Inputs!$I$9+(((A188)+1)/2)*(Inputs!$J$9-Inputs!$I$9)))/(Inputs!$K$9^2)*Inputs!$C$11)))/(SQRT(((Inputs!$I$9+(((A188)+1)/2)*(Inputs!$J$9-Inputs!$I$9)))^2+Inputs!$C$6^2+((Inputs!$H$9+Inputs!$L$9*(((Inputs!$I$9+(((A188)+1)/2)*(Inputs!$J$9-Inputs!$I$9)))/Inputs!$K$9)^2))^2)))))/Inputs!$C$13)</x:f>
        <x:v>-2552.8381903725294</x:v>
      </x:c>
    </x:row>
    <x:row r="189">
      <x:c r="A189" s="48" t="n">
        <x:f>ROUND(-1+187*2/240,3)</x:f>
        <x:v>0.558</x:v>
      </x:c>
      <x:c r="B189" s="48" t="n">
        <x:f>IF(OR(Inputs!$F$6=TRUE,Inputs!$F$6="TRUE",Inputs!$F$6=1),(Inputs!$H$6+Inputs!$L$6*(((Inputs!$I$6+(((A189)+1)/2)*(Inputs!$J$6-Inputs!$I$6)))/Inputs!$K$6)^2),NA())</x:f>
        <x:v>401.245456</x:v>
      </x:c>
      <x:c r="C189" s="48" t="n">
        <x:f>IF(OR(Inputs!$F$7=TRUE,Inputs!$F$7="TRUE",Inputs!$F$7=1),(Inputs!$H$7+Inputs!$L$7*(((Inputs!$I$7+(((A189)+1)/2)*(Inputs!$J$7-Inputs!$I$7)))/Inputs!$K$7)^2),NA())</x:f>
        <x:v>148.64786000000007</x:v>
      </x:c>
      <x:c r="D189" s="48" t="n">
        <x:f>IF(OR(Inputs!$F$8=TRUE,Inputs!$F$8="TRUE",Inputs!$F$8=1),(Inputs!$H$8+Inputs!$L$8*(((Inputs!$I$8+(((A189)+1)/2)*(Inputs!$J$8-Inputs!$I$8)))/Inputs!$K$8)^2),NA())</x:f>
        <x:v>335.4662600000002</x:v>
      </x:c>
      <x:c r="E189" s="48" t="n">
        <x:f>IF(OR(Inputs!$F$9=TRUE,Inputs!$F$9="TRUE",Inputs!$F$9=1),(Inputs!$H$9+Inputs!$L$9*(((Inputs!$I$9+(((A189)+1)/2)*(Inputs!$J$9-Inputs!$I$9)))/Inputs!$K$9)^2),NA())</x:f>
        <x:v>328.5799000000002</x:v>
      </x:c>
      <x:c r="F189" s="49"/>
      <x:c r="G189" s="48" t="n">
        <x:f>A189</x:f>
        <x:v>0.558</x:v>
      </x:c>
      <x:c r="H189" s="48" t="n">
        <x:f>IF(OR(Inputs!$F$6=TRUE,Inputs!$F$6="TRUE",Inputs!$F$6=1),(((SQRT(((Inputs!$I$6+(((A189)+1)/2)*(Inputs!$J$6-Inputs!$I$6)))^2+Inputs!$C$6^2+((Inputs!$H$6+Inputs!$L$6*(((Inputs!$I$6+(((A189)+1)/2)*(Inputs!$J$6-Inputs!$I$6)))/Inputs!$K$6)^2))^2))-((Inputs!$H$6+Inputs!$L$6*(((Inputs!$I$6+(((A189)+1)/2)*(Inputs!$J$6-Inputs!$I$6)))/Inputs!$K$6)^2)))*1000/Inputs!$C$12),NA())</x:f>
        <x:v>1218.9592318547825</x:v>
      </x:c>
      <x:c r="I189" s="48" t="n">
        <x:f>IF(OR(Inputs!$F$7=TRUE,Inputs!$F$7="TRUE",Inputs!$F$7=1),(((SQRT(((Inputs!$I$7+(((A189)+1)/2)*(Inputs!$J$7-Inputs!$I$7)))^2+Inputs!$C$6^2+((Inputs!$H$7+Inputs!$L$7*(((Inputs!$I$7+(((A189)+1)/2)*(Inputs!$J$7-Inputs!$I$7)))/Inputs!$K$7)^2))^2))-((Inputs!$H$7+Inputs!$L$7*(((Inputs!$I$7+(((A189)+1)/2)*(Inputs!$J$7-Inputs!$I$7)))/Inputs!$K$7)^2)))*1000/Inputs!$C$12),NA())</x:f>
        <x:v>67799.76582849663</x:v>
      </x:c>
      <x:c r="J189" s="48" t="n">
        <x:f>IF(OR(Inputs!$F$8=TRUE,Inputs!$F$8="TRUE",Inputs!$F$8=1),(((SQRT(((Inputs!$I$8+(((A189)+1)/2)*(Inputs!$J$8-Inputs!$I$8)))^2+Inputs!$C$6^2+((Inputs!$H$8+Inputs!$L$8*(((Inputs!$I$8+(((A189)+1)/2)*(Inputs!$J$8-Inputs!$I$8)))/Inputs!$K$8)^2))^2))-((Inputs!$H$8+Inputs!$L$8*(((Inputs!$I$8+(((A189)+1)/2)*(Inputs!$J$8-Inputs!$I$8)))/Inputs!$K$8)^2)))*1000/Inputs!$C$12),NA())</x:f>
        <x:v>125557.92409558372</x:v>
      </x:c>
      <x:c r="K189" s="48" t="n">
        <x:f>IF(OR(Inputs!$F$9=TRUE,Inputs!$F$9="TRUE",Inputs!$F$9=1),(((SQRT(((Inputs!$I$9+(((A189)+1)/2)*(Inputs!$J$9-Inputs!$I$9)))^2+Inputs!$C$6^2+((Inputs!$H$9+Inputs!$L$9*(((Inputs!$I$9+(((A189)+1)/2)*(Inputs!$J$9-Inputs!$I$9)))/Inputs!$K$9)^2))^2))-((Inputs!$H$9+Inputs!$L$9*(((Inputs!$I$9+(((A189)+1)/2)*(Inputs!$J$9-Inputs!$I$9)))/Inputs!$K$9)^2)))*1000/Inputs!$C$12),NA())</x:f>
        <x:v>127120.1540145812</x:v>
      </x:c>
      <x:c r="L189" s="49"/>
      <x:c r="M189" s="48" t="n">
        <x:f>A189</x:f>
        <x:v>0.558</x:v>
      </x:c>
      <x:c r="N189" s="48" t="n">
        <x:f>IF(OR(Inputs!$F$6=TRUE,Inputs!$F$6="TRUE",Inputs!$F$6=1),(-2*((1000*((((Inputs!$I$6+(((A189)+1)/2)*(Inputs!$J$6-Inputs!$I$6)))*Inputs!$C$11+((Inputs!$H$6+Inputs!$L$6*(((Inputs!$I$6+(((A189)+1)/2)*(Inputs!$J$6-Inputs!$I$6)))/Inputs!$K$6)^2))*((2*Inputs!$L$6*((Inputs!$I$6+(((A189)+1)/2)*(Inputs!$J$6-Inputs!$I$6)))/(Inputs!$K$6^2)*Inputs!$C$11)))/(SQRT(((Inputs!$I$6+(((A189)+1)/2)*(Inputs!$J$6-Inputs!$I$6)))^2+Inputs!$C$6^2+((Inputs!$H$6+Inputs!$L$6*(((Inputs!$I$6+(((A189)+1)/2)*(Inputs!$J$6-Inputs!$I$6)))/Inputs!$K$6)^2))^2)))))/Inputs!$C$13),NA())</x:f>
        <x:v>-251.18601931705444</x:v>
      </x:c>
      <x:c r="O189" s="48" t="n">
        <x:f>IF(OR(Inputs!$F$7=TRUE,Inputs!$F$7="TRUE",Inputs!$F$7=1),(-2*((1000*((((Inputs!$I$7+(((A189)+1)/2)*(Inputs!$J$7-Inputs!$I$7)))*Inputs!$C$11+((Inputs!$H$7+Inputs!$L$7*(((Inputs!$I$7+(((A189)+1)/2)*(Inputs!$J$7-Inputs!$I$7)))/Inputs!$K$7)^2))*((2*Inputs!$L$7*((Inputs!$I$7+(((A189)+1)/2)*(Inputs!$J$7-Inputs!$I$7)))/(Inputs!$K$7^2)*Inputs!$C$11)))/(SQRT(((Inputs!$I$7+(((A189)+1)/2)*(Inputs!$J$7-Inputs!$I$7)))^2+Inputs!$C$6^2+((Inputs!$H$7+Inputs!$L$7*(((Inputs!$I$7+(((A189)+1)/2)*(Inputs!$J$7-Inputs!$I$7)))/Inputs!$K$7)^2))^2)))))/Inputs!$C$13),NA())</x:f>
        <x:v>-2225.2168930042126</x:v>
      </x:c>
      <x:c r="P189" s="48" t="n">
        <x:f>IF(OR(Inputs!$F$8=TRUE,Inputs!$F$8="TRUE",Inputs!$F$8=1),(-2*((1000*((((Inputs!$I$8+(((A189)+1)/2)*(Inputs!$J$8-Inputs!$I$8)))*Inputs!$C$11+((Inputs!$H$8+Inputs!$L$8*(((Inputs!$I$8+(((A189)+1)/2)*(Inputs!$J$8-Inputs!$I$8)))/Inputs!$K$8)^2))*((2*Inputs!$L$8*((Inputs!$I$8+(((A189)+1)/2)*(Inputs!$J$8-Inputs!$I$8)))/(Inputs!$K$8^2)*Inputs!$C$11)))/(SQRT(((Inputs!$I$8+(((A189)+1)/2)*(Inputs!$J$8-Inputs!$I$8)))^2+Inputs!$C$6^2+((Inputs!$H$8+Inputs!$L$8*(((Inputs!$I$8+(((A189)+1)/2)*(Inputs!$J$8-Inputs!$I$8)))/Inputs!$K$8)^2))^2)))))/Inputs!$C$13),NA())</x:f>
        <x:v>-2570.480357496463</x:v>
      </x:c>
      <x:c r="Q189" s="48" t="n">
        <x:f>IF(OR(Inputs!$F$9=TRUE,Inputs!$F$9="TRUE",Inputs!$F$9=1),(-2*((1000*((((Inputs!$I$9+(((A189)+1)/2)*(Inputs!$J$9-Inputs!$I$9)))*Inputs!$C$11+((Inputs!$H$9+Inputs!$L$9*(((Inputs!$I$9+(((A189)+1)/2)*(Inputs!$J$9-Inputs!$I$9)))/Inputs!$K$9)^2))*((2*Inputs!$L$9*((Inputs!$I$9+(((A189)+1)/2)*(Inputs!$J$9-Inputs!$I$9)))/(Inputs!$K$9^2)*Inputs!$C$11)))/(SQRT(((Inputs!$I$9+(((A189)+1)/2)*(Inputs!$J$9-Inputs!$I$9)))^2+Inputs!$C$6^2+((Inputs!$H$9+Inputs!$L$9*(((Inputs!$I$9+(((A189)+1)/2)*(Inputs!$J$9-Inputs!$I$9)))/Inputs!$K$9)^2))^2)))))/Inputs!$C$13),NA())</x:f>
        <x:v>-2575.986043494089</x:v>
      </x:c>
      <x:c r="R189" s="49"/>
      <x:c r="S189" s="48" t="n">
        <x:f>A189</x:f>
        <x:v>0.558</x:v>
      </x:c>
      <x:c r="T189" s="48" t="n">
        <x:f>(Inputs!$I$6+(((A189)+1)/2)*(Inputs!$J$6-Inputs!$I$6))</x:f>
        <x:v>33.480000000000004</x:v>
      </x:c>
      <x:c r="U189" s="48" t="n">
        <x:f>(Inputs!$I$7+(((A189)+1)/2)*(Inputs!$J$7-Inputs!$I$7))</x:f>
        <x:v>223.20000000000005</x:v>
      </x:c>
      <x:c r="V189" s="48" t="n">
        <x:f>(Inputs!$I$8+(((A189)+1)/2)*(Inputs!$J$8-Inputs!$I$8))</x:f>
        <x:v>446.4000000000001</x:v>
      </x:c>
      <x:c r="W189" s="48" t="n">
        <x:f>(Inputs!$I$9+(((A189)+1)/2)*(Inputs!$J$9-Inputs!$I$9))</x:f>
        <x:v>446.4000000000001</x:v>
      </x:c>
      <x:c r="X189" s="49"/>
      <x:c r="Y189" s="48" t="n">
        <x:f>A189</x:f>
        <x:v>0.558</x:v>
      </x:c>
      <x:c r="Z189" s="48" t="n">
        <x:f>(Inputs!$H$6+Inputs!$L$6*(((Inputs!$I$6+(((A189)+1)/2)*(Inputs!$J$6-Inputs!$I$6)))/Inputs!$K$6)^2)</x:f>
        <x:v>401.245456</x:v>
      </x:c>
      <x:c r="AA189" s="48" t="n">
        <x:f>(Inputs!$H$7+Inputs!$L$7*(((Inputs!$I$7+(((A189)+1)/2)*(Inputs!$J$7-Inputs!$I$7)))/Inputs!$K$7)^2)</x:f>
        <x:v>148.64786000000007</x:v>
      </x:c>
      <x:c r="AB189" s="48" t="n">
        <x:f>(Inputs!$H$8+Inputs!$L$8*(((Inputs!$I$8+(((A189)+1)/2)*(Inputs!$J$8-Inputs!$I$8)))/Inputs!$K$8)^2)</x:f>
        <x:v>335.4662600000002</x:v>
      </x:c>
      <x:c r="AC189" s="48" t="n">
        <x:f>(Inputs!$H$9+Inputs!$L$9*(((Inputs!$I$9+(((A189)+1)/2)*(Inputs!$J$9-Inputs!$I$9)))/Inputs!$K$9)^2)</x:f>
        <x:v>328.5799000000002</x:v>
      </x:c>
      <x:c r="AD189" s="49"/>
      <x:c r="AE189" s="48" t="n">
        <x:f>A189</x:f>
        <x:v>0.558</x:v>
      </x:c>
      <x:c r="AF189" s="48" t="n">
        <x:f>(((SQRT(((Inputs!$I$6+(((A189)+1)/2)*(Inputs!$J$6-Inputs!$I$6)))^2+Inputs!$C$6^2+((Inputs!$H$6+Inputs!$L$6*(((Inputs!$I$6+(((A189)+1)/2)*(Inputs!$J$6-Inputs!$I$6)))/Inputs!$K$6)^2))^2))-((Inputs!$H$6+Inputs!$L$6*(((Inputs!$I$6+(((A189)+1)/2)*(Inputs!$J$6-Inputs!$I$6)))/Inputs!$K$6)^2)))*1000/Inputs!$C$12)</x:f>
        <x:v>1218.9592318547825</x:v>
      </x:c>
      <x:c r="AG189" s="48" t="n">
        <x:f>(((SQRT(((Inputs!$I$7+(((A189)+1)/2)*(Inputs!$J$7-Inputs!$I$7)))^2+Inputs!$C$6^2+((Inputs!$H$7+Inputs!$L$7*(((Inputs!$I$7+(((A189)+1)/2)*(Inputs!$J$7-Inputs!$I$7)))/Inputs!$K$7)^2))^2))-((Inputs!$H$7+Inputs!$L$7*(((Inputs!$I$7+(((A189)+1)/2)*(Inputs!$J$7-Inputs!$I$7)))/Inputs!$K$7)^2)))*1000/Inputs!$C$12)</x:f>
        <x:v>67799.76582849663</x:v>
      </x:c>
      <x:c r="AH189" s="48" t="n">
        <x:f>(((SQRT(((Inputs!$I$8+(((A189)+1)/2)*(Inputs!$J$8-Inputs!$I$8)))^2+Inputs!$C$6^2+((Inputs!$H$8+Inputs!$L$8*(((Inputs!$I$8+(((A189)+1)/2)*(Inputs!$J$8-Inputs!$I$8)))/Inputs!$K$8)^2))^2))-((Inputs!$H$8+Inputs!$L$8*(((Inputs!$I$8+(((A189)+1)/2)*(Inputs!$J$8-Inputs!$I$8)))/Inputs!$K$8)^2)))*1000/Inputs!$C$12)</x:f>
        <x:v>125557.92409558372</x:v>
      </x:c>
      <x:c r="AI189" s="48" t="n">
        <x:f>(((SQRT(((Inputs!$I$9+(((A189)+1)/2)*(Inputs!$J$9-Inputs!$I$9)))^2+Inputs!$C$6^2+((Inputs!$H$9+Inputs!$L$9*(((Inputs!$I$9+(((A189)+1)/2)*(Inputs!$J$9-Inputs!$I$9)))/Inputs!$K$9)^2))^2))-((Inputs!$H$9+Inputs!$L$9*(((Inputs!$I$9+(((A189)+1)/2)*(Inputs!$J$9-Inputs!$I$9)))/Inputs!$K$9)^2)))*1000/Inputs!$C$12)</x:f>
        <x:v>127120.1540145812</x:v>
      </x:c>
      <x:c r="AJ189" s="49"/>
      <x:c r="AK189" s="48" t="n">
        <x:f>A189</x:f>
        <x:v>0.558</x:v>
      </x:c>
      <x:c r="AL189" s="48" t="n">
        <x:f>(-2*((1000*((((Inputs!$I$6+(((A189)+1)/2)*(Inputs!$J$6-Inputs!$I$6)))*Inputs!$C$11+((Inputs!$H$6+Inputs!$L$6*(((Inputs!$I$6+(((A189)+1)/2)*(Inputs!$J$6-Inputs!$I$6)))/Inputs!$K$6)^2))*((2*Inputs!$L$6*((Inputs!$I$6+(((A189)+1)/2)*(Inputs!$J$6-Inputs!$I$6)))/(Inputs!$K$6^2)*Inputs!$C$11)))/(SQRT(((Inputs!$I$6+(((A189)+1)/2)*(Inputs!$J$6-Inputs!$I$6)))^2+Inputs!$C$6^2+((Inputs!$H$6+Inputs!$L$6*(((Inputs!$I$6+(((A189)+1)/2)*(Inputs!$J$6-Inputs!$I$6)))/Inputs!$K$6)^2))^2)))))/Inputs!$C$13)</x:f>
        <x:v>-251.18601931705444</x:v>
      </x:c>
      <x:c r="AM189" s="48" t="n">
        <x:f>(-2*((1000*((((Inputs!$I$7+(((A189)+1)/2)*(Inputs!$J$7-Inputs!$I$7)))*Inputs!$C$11+((Inputs!$H$7+Inputs!$L$7*(((Inputs!$I$7+(((A189)+1)/2)*(Inputs!$J$7-Inputs!$I$7)))/Inputs!$K$7)^2))*((2*Inputs!$L$7*((Inputs!$I$7+(((A189)+1)/2)*(Inputs!$J$7-Inputs!$I$7)))/(Inputs!$K$7^2)*Inputs!$C$11)))/(SQRT(((Inputs!$I$7+(((A189)+1)/2)*(Inputs!$J$7-Inputs!$I$7)))^2+Inputs!$C$6^2+((Inputs!$H$7+Inputs!$L$7*(((Inputs!$I$7+(((A189)+1)/2)*(Inputs!$J$7-Inputs!$I$7)))/Inputs!$K$7)^2))^2)))))/Inputs!$C$13)</x:f>
        <x:v>-2225.2168930042126</x:v>
      </x:c>
      <x:c r="AN189" s="48" t="n">
        <x:f>(-2*((1000*((((Inputs!$I$8+(((A189)+1)/2)*(Inputs!$J$8-Inputs!$I$8)))*Inputs!$C$11+((Inputs!$H$8+Inputs!$L$8*(((Inputs!$I$8+(((A189)+1)/2)*(Inputs!$J$8-Inputs!$I$8)))/Inputs!$K$8)^2))*((2*Inputs!$L$8*((Inputs!$I$8+(((A189)+1)/2)*(Inputs!$J$8-Inputs!$I$8)))/(Inputs!$K$8^2)*Inputs!$C$11)))/(SQRT(((Inputs!$I$8+(((A189)+1)/2)*(Inputs!$J$8-Inputs!$I$8)))^2+Inputs!$C$6^2+((Inputs!$H$8+Inputs!$L$8*(((Inputs!$I$8+(((A189)+1)/2)*(Inputs!$J$8-Inputs!$I$8)))/Inputs!$K$8)^2))^2)))))/Inputs!$C$13)</x:f>
        <x:v>-2570.480357496463</x:v>
      </x:c>
      <x:c r="AO189" s="48" t="n">
        <x:f>(-2*((1000*((((Inputs!$I$9+(((A189)+1)/2)*(Inputs!$J$9-Inputs!$I$9)))*Inputs!$C$11+((Inputs!$H$9+Inputs!$L$9*(((Inputs!$I$9+(((A189)+1)/2)*(Inputs!$J$9-Inputs!$I$9)))/Inputs!$K$9)^2))*((2*Inputs!$L$9*((Inputs!$I$9+(((A189)+1)/2)*(Inputs!$J$9-Inputs!$I$9)))/(Inputs!$K$9^2)*Inputs!$C$11)))/(SQRT(((Inputs!$I$9+(((A189)+1)/2)*(Inputs!$J$9-Inputs!$I$9)))^2+Inputs!$C$6^2+((Inputs!$H$9+Inputs!$L$9*(((Inputs!$I$9+(((A189)+1)/2)*(Inputs!$J$9-Inputs!$I$9)))/Inputs!$K$9)^2))^2)))))/Inputs!$C$13)</x:f>
        <x:v>-2575.986043494089</x:v>
      </x:c>
    </x:row>
    <x:row r="190">
      <x:c r="A190" s="48" t="n">
        <x:f>ROUND(-1+188*2/240,3)</x:f>
        <x:v>0.567</x:v>
      </x:c>
      <x:c r="B190" s="48" t="n">
        <x:f>IF(OR(Inputs!$F$6=TRUE,Inputs!$F$6="TRUE",Inputs!$F$6=1),(Inputs!$H$6+Inputs!$L$6*(((Inputs!$I$6+(((A190)+1)/2)*(Inputs!$J$6-Inputs!$I$6)))/Inputs!$K$6)^2),NA())</x:f>
        <x:v>401.285956</x:v>
      </x:c>
      <x:c r="C190" s="48" t="n">
        <x:f>IF(OR(Inputs!$F$7=TRUE,Inputs!$F$7="TRUE",Inputs!$F$7=1),(Inputs!$H$7+Inputs!$L$7*(((Inputs!$I$7+(((A190)+1)/2)*(Inputs!$J$7-Inputs!$I$7)))/Inputs!$K$7)^2),NA())</x:f>
        <x:v>152.34348499999993</x:v>
      </x:c>
      <x:c r="D190" s="48" t="n">
        <x:f>IF(OR(Inputs!$F$8=TRUE,Inputs!$F$8="TRUE",Inputs!$F$8=1),(Inputs!$H$8+Inputs!$L$8*(((Inputs!$I$8+(((A190)+1)/2)*(Inputs!$J$8-Inputs!$I$8)))/Inputs!$K$8)^2),NA())</x:f>
        <x:v>345.2368849999998</x:v>
      </x:c>
      <x:c r="E190" s="48" t="n">
        <x:f>IF(OR(Inputs!$F$9=TRUE,Inputs!$F$9="TRUE",Inputs!$F$9=1),(Inputs!$H$9+Inputs!$L$9*(((Inputs!$I$9+(((A190)+1)/2)*(Inputs!$J$9-Inputs!$I$9)))/Inputs!$K$9)^2),NA())</x:f>
        <x:v>338.4517749999998</x:v>
      </x:c>
      <x:c r="F190" s="49"/>
      <x:c r="G190" s="48" t="n">
        <x:f>A190</x:f>
        <x:v>0.567</x:v>
      </x:c>
      <x:c r="H190" s="48" t="n">
        <x:f>IF(OR(Inputs!$F$6=TRUE,Inputs!$F$6="TRUE",Inputs!$F$6=1),(((SQRT(((Inputs!$I$6+(((A190)+1)/2)*(Inputs!$J$6-Inputs!$I$6)))^2+Inputs!$C$6^2+((Inputs!$H$6+Inputs!$L$6*(((Inputs!$I$6+(((A190)+1)/2)*(Inputs!$J$6-Inputs!$I$6)))/Inputs!$K$6)^2))^2))-((Inputs!$H$6+Inputs!$L$6*(((Inputs!$I$6+(((A190)+1)/2)*(Inputs!$J$6-Inputs!$I$6)))/Inputs!$K$6)^2)))*1000/Inputs!$C$12),NA())</x:f>
        <x:v>1244.2131283881388</x:v>
      </x:c>
      <x:c r="I190" s="48" t="n">
        <x:f>IF(OR(Inputs!$F$7=TRUE,Inputs!$F$7="TRUE",Inputs!$F$7=1),(((SQRT(((Inputs!$I$7+(((A190)+1)/2)*(Inputs!$J$7-Inputs!$I$7)))^2+Inputs!$C$6^2+((Inputs!$H$7+Inputs!$L$7*(((Inputs!$I$7+(((A190)+1)/2)*(Inputs!$J$7-Inputs!$I$7)))/Inputs!$K$7)^2))^2))-((Inputs!$H$7+Inputs!$L$7*(((Inputs!$I$7+(((A190)+1)/2)*(Inputs!$J$7-Inputs!$I$7)))/Inputs!$K$7)^2)))*1000/Inputs!$C$12),NA())</x:f>
        <x:v>68546.93284544679</x:v>
      </x:c>
      <x:c r="J190" s="48" t="n">
        <x:f>IF(OR(Inputs!$F$8=TRUE,Inputs!$F$8="TRUE",Inputs!$F$8=1),(((SQRT(((Inputs!$I$8+(((A190)+1)/2)*(Inputs!$J$8-Inputs!$I$8)))^2+Inputs!$C$6^2+((Inputs!$H$8+Inputs!$L$8*(((Inputs!$I$8+(((A190)+1)/2)*(Inputs!$J$8-Inputs!$I$8)))/Inputs!$K$8)^2))^2))-((Inputs!$H$8+Inputs!$L$8*(((Inputs!$I$8+(((A190)+1)/2)*(Inputs!$J$8-Inputs!$I$8)))/Inputs!$K$8)^2)))*1000/Inputs!$C$12),NA())</x:f>
        <x:v>126599.68284747354</x:v>
      </x:c>
      <x:c r="K190" s="48" t="n">
        <x:f>IF(OR(Inputs!$F$9=TRUE,Inputs!$F$9="TRUE",Inputs!$F$9=1),(((SQRT(((Inputs!$I$9+(((A190)+1)/2)*(Inputs!$J$9-Inputs!$I$9)))^2+Inputs!$C$6^2+((Inputs!$H$9+Inputs!$L$9*(((Inputs!$I$9+(((A190)+1)/2)*(Inputs!$J$9-Inputs!$I$9)))/Inputs!$K$9)^2))^2))-((Inputs!$H$9+Inputs!$L$9*(((Inputs!$I$9+(((A190)+1)/2)*(Inputs!$J$9-Inputs!$I$9)))/Inputs!$K$9)^2)))*1000/Inputs!$C$12),NA())</x:f>
        <x:v>128119.61527199973</x:v>
      </x:c>
      <x:c r="L190" s="49"/>
      <x:c r="M190" s="48" t="n">
        <x:f>A190</x:f>
        <x:v>0.567</x:v>
      </x:c>
      <x:c r="N190" s="48" t="n">
        <x:f>IF(OR(Inputs!$F$6=TRUE,Inputs!$F$6="TRUE",Inputs!$F$6=1),(-2*((1000*((((Inputs!$I$6+(((A190)+1)/2)*(Inputs!$J$6-Inputs!$I$6)))*Inputs!$C$11+((Inputs!$H$6+Inputs!$L$6*(((Inputs!$I$6+(((A190)+1)/2)*(Inputs!$J$6-Inputs!$I$6)))/Inputs!$K$6)^2))*((2*Inputs!$L$6*((Inputs!$I$6+(((A190)+1)/2)*(Inputs!$J$6-Inputs!$I$6)))/(Inputs!$K$6^2)*Inputs!$C$11)))/(SQRT(((Inputs!$I$6+(((A190)+1)/2)*(Inputs!$J$6-Inputs!$I$6)))^2+Inputs!$C$6^2+((Inputs!$H$6+Inputs!$L$6*(((Inputs!$I$6+(((A190)+1)/2)*(Inputs!$J$6-Inputs!$I$6)))/Inputs!$K$6)^2))^2)))))/Inputs!$C$13),NA())</x:f>
        <x:v>-255.19549440065356</x:v>
      </x:c>
      <x:c r="O190" s="48" t="n">
        <x:f>IF(OR(Inputs!$F$7=TRUE,Inputs!$F$7="TRUE",Inputs!$F$7=1),(-2*((1000*((((Inputs!$I$7+(((A190)+1)/2)*(Inputs!$J$7-Inputs!$I$7)))*Inputs!$C$11+((Inputs!$H$7+Inputs!$L$7*(((Inputs!$I$7+(((A190)+1)/2)*(Inputs!$J$7-Inputs!$I$7)))/Inputs!$K$7)^2))*((2*Inputs!$L$7*((Inputs!$I$7+(((A190)+1)/2)*(Inputs!$J$7-Inputs!$I$7)))/(Inputs!$K$7^2)*Inputs!$C$11)))/(SQRT(((Inputs!$I$7+(((A190)+1)/2)*(Inputs!$J$7-Inputs!$I$7)))^2+Inputs!$C$6^2+((Inputs!$H$7+Inputs!$L$7*(((Inputs!$I$7+(((A190)+1)/2)*(Inputs!$J$7-Inputs!$I$7)))/Inputs!$K$7)^2))^2)))))/Inputs!$C$13),NA())</x:f>
        <x:v>-2241.9909476096295</x:v>
      </x:c>
      <x:c r="P190" s="48" t="n">
        <x:f>IF(OR(Inputs!$F$8=TRUE,Inputs!$F$8="TRUE",Inputs!$F$8=1),(-2*((1000*((((Inputs!$I$8+(((A190)+1)/2)*(Inputs!$J$8-Inputs!$I$8)))*Inputs!$C$11+((Inputs!$H$8+Inputs!$L$8*(((Inputs!$I$8+(((A190)+1)/2)*(Inputs!$J$8-Inputs!$I$8)))/Inputs!$K$8)^2))*((2*Inputs!$L$8*((Inputs!$I$8+(((A190)+1)/2)*(Inputs!$J$8-Inputs!$I$8)))/(Inputs!$K$8^2)*Inputs!$C$11)))/(SQRT(((Inputs!$I$8+(((A190)+1)/2)*(Inputs!$J$8-Inputs!$I$8)))^2+Inputs!$C$6^2+((Inputs!$H$8+Inputs!$L$8*(((Inputs!$I$8+(((A190)+1)/2)*(Inputs!$J$8-Inputs!$I$8)))/Inputs!$K$8)^2))^2)))))/Inputs!$C$13),NA())</x:f>
        <x:v>-2596.202345750355</x:v>
      </x:c>
      <x:c r="Q190" s="48" t="n">
        <x:f>IF(OR(Inputs!$F$9=TRUE,Inputs!$F$9="TRUE",Inputs!$F$9=1),(-2*((1000*((((Inputs!$I$9+(((A190)+1)/2)*(Inputs!$J$9-Inputs!$I$9)))*Inputs!$C$11+((Inputs!$H$9+Inputs!$L$9*(((Inputs!$I$9+(((A190)+1)/2)*(Inputs!$J$9-Inputs!$I$9)))/Inputs!$K$9)^2))*((2*Inputs!$L$9*((Inputs!$I$9+(((A190)+1)/2)*(Inputs!$J$9-Inputs!$I$9)))/(Inputs!$K$9^2)*Inputs!$C$11)))/(SQRT(((Inputs!$I$9+(((A190)+1)/2)*(Inputs!$J$9-Inputs!$I$9)))^2+Inputs!$C$6^2+((Inputs!$H$9+Inputs!$L$9*(((Inputs!$I$9+(((A190)+1)/2)*(Inputs!$J$9-Inputs!$I$9)))/Inputs!$K$9)^2))^2)))))/Inputs!$C$13),NA())</x:f>
        <x:v>-2602.235136973488</x:v>
      </x:c>
      <x:c r="R190" s="49"/>
      <x:c r="S190" s="48" t="n">
        <x:f>A190</x:f>
        <x:v>0.567</x:v>
      </x:c>
      <x:c r="T190" s="48" t="n">
        <x:f>(Inputs!$I$6+(((A190)+1)/2)*(Inputs!$J$6-Inputs!$I$6))</x:f>
        <x:v>34.019999999999996</x:v>
      </x:c>
      <x:c r="U190" s="48" t="n">
        <x:f>(Inputs!$I$7+(((A190)+1)/2)*(Inputs!$J$7-Inputs!$I$7))</x:f>
        <x:v>226.79999999999995</x:v>
      </x:c>
      <x:c r="V190" s="48" t="n">
        <x:f>(Inputs!$I$8+(((A190)+1)/2)*(Inputs!$J$8-Inputs!$I$8))</x:f>
        <x:v>453.5999999999999</x:v>
      </x:c>
      <x:c r="W190" s="48" t="n">
        <x:f>(Inputs!$I$9+(((A190)+1)/2)*(Inputs!$J$9-Inputs!$I$9))</x:f>
        <x:v>453.5999999999999</x:v>
      </x:c>
      <x:c r="X190" s="49"/>
      <x:c r="Y190" s="48" t="n">
        <x:f>A190</x:f>
        <x:v>0.567</x:v>
      </x:c>
      <x:c r="Z190" s="48" t="n">
        <x:f>(Inputs!$H$6+Inputs!$L$6*(((Inputs!$I$6+(((A190)+1)/2)*(Inputs!$J$6-Inputs!$I$6)))/Inputs!$K$6)^2)</x:f>
        <x:v>401.285956</x:v>
      </x:c>
      <x:c r="AA190" s="48" t="n">
        <x:f>(Inputs!$H$7+Inputs!$L$7*(((Inputs!$I$7+(((A190)+1)/2)*(Inputs!$J$7-Inputs!$I$7)))/Inputs!$K$7)^2)</x:f>
        <x:v>152.34348499999993</x:v>
      </x:c>
      <x:c r="AB190" s="48" t="n">
        <x:f>(Inputs!$H$8+Inputs!$L$8*(((Inputs!$I$8+(((A190)+1)/2)*(Inputs!$J$8-Inputs!$I$8)))/Inputs!$K$8)^2)</x:f>
        <x:v>345.2368849999998</x:v>
      </x:c>
      <x:c r="AC190" s="48" t="n">
        <x:f>(Inputs!$H$9+Inputs!$L$9*(((Inputs!$I$9+(((A190)+1)/2)*(Inputs!$J$9-Inputs!$I$9)))/Inputs!$K$9)^2)</x:f>
        <x:v>338.4517749999998</x:v>
      </x:c>
      <x:c r="AD190" s="49"/>
      <x:c r="AE190" s="48" t="n">
        <x:f>A190</x:f>
        <x:v>0.567</x:v>
      </x:c>
      <x:c r="AF190" s="48" t="n">
        <x:f>(((SQRT(((Inputs!$I$6+(((A190)+1)/2)*(Inputs!$J$6-Inputs!$I$6)))^2+Inputs!$C$6^2+((Inputs!$H$6+Inputs!$L$6*(((Inputs!$I$6+(((A190)+1)/2)*(Inputs!$J$6-Inputs!$I$6)))/Inputs!$K$6)^2))^2))-((Inputs!$H$6+Inputs!$L$6*(((Inputs!$I$6+(((A190)+1)/2)*(Inputs!$J$6-Inputs!$I$6)))/Inputs!$K$6)^2)))*1000/Inputs!$C$12)</x:f>
        <x:v>1244.2131283881388</x:v>
      </x:c>
      <x:c r="AG190" s="48" t="n">
        <x:f>(((SQRT(((Inputs!$I$7+(((A190)+1)/2)*(Inputs!$J$7-Inputs!$I$7)))^2+Inputs!$C$6^2+((Inputs!$H$7+Inputs!$L$7*(((Inputs!$I$7+(((A190)+1)/2)*(Inputs!$J$7-Inputs!$I$7)))/Inputs!$K$7)^2))^2))-((Inputs!$H$7+Inputs!$L$7*(((Inputs!$I$7+(((A190)+1)/2)*(Inputs!$J$7-Inputs!$I$7)))/Inputs!$K$7)^2)))*1000/Inputs!$C$12)</x:f>
        <x:v>68546.93284544679</x:v>
      </x:c>
      <x:c r="AH190" s="48" t="n">
        <x:f>(((SQRT(((Inputs!$I$8+(((A190)+1)/2)*(Inputs!$J$8-Inputs!$I$8)))^2+Inputs!$C$6^2+((Inputs!$H$8+Inputs!$L$8*(((Inputs!$I$8+(((A190)+1)/2)*(Inputs!$J$8-Inputs!$I$8)))/Inputs!$K$8)^2))^2))-((Inputs!$H$8+Inputs!$L$8*(((Inputs!$I$8+(((A190)+1)/2)*(Inputs!$J$8-Inputs!$I$8)))/Inputs!$K$8)^2)))*1000/Inputs!$C$12)</x:f>
        <x:v>126599.68284747354</x:v>
      </x:c>
      <x:c r="AI190" s="48" t="n">
        <x:f>(((SQRT(((Inputs!$I$9+(((A190)+1)/2)*(Inputs!$J$9-Inputs!$I$9)))^2+Inputs!$C$6^2+((Inputs!$H$9+Inputs!$L$9*(((Inputs!$I$9+(((A190)+1)/2)*(Inputs!$J$9-Inputs!$I$9)))/Inputs!$K$9)^2))^2))-((Inputs!$H$9+Inputs!$L$9*(((Inputs!$I$9+(((A190)+1)/2)*(Inputs!$J$9-Inputs!$I$9)))/Inputs!$K$9)^2)))*1000/Inputs!$C$12)</x:f>
        <x:v>128119.61527199973</x:v>
      </x:c>
      <x:c r="AJ190" s="49"/>
      <x:c r="AK190" s="48" t="n">
        <x:f>A190</x:f>
        <x:v>0.567</x:v>
      </x:c>
      <x:c r="AL190" s="48" t="n">
        <x:f>(-2*((1000*((((Inputs!$I$6+(((A190)+1)/2)*(Inputs!$J$6-Inputs!$I$6)))*Inputs!$C$11+((Inputs!$H$6+Inputs!$L$6*(((Inputs!$I$6+(((A190)+1)/2)*(Inputs!$J$6-Inputs!$I$6)))/Inputs!$K$6)^2))*((2*Inputs!$L$6*((Inputs!$I$6+(((A190)+1)/2)*(Inputs!$J$6-Inputs!$I$6)))/(Inputs!$K$6^2)*Inputs!$C$11)))/(SQRT(((Inputs!$I$6+(((A190)+1)/2)*(Inputs!$J$6-Inputs!$I$6)))^2+Inputs!$C$6^2+((Inputs!$H$6+Inputs!$L$6*(((Inputs!$I$6+(((A190)+1)/2)*(Inputs!$J$6-Inputs!$I$6)))/Inputs!$K$6)^2))^2)))))/Inputs!$C$13)</x:f>
        <x:v>-255.19549440065356</x:v>
      </x:c>
      <x:c r="AM190" s="48" t="n">
        <x:f>(-2*((1000*((((Inputs!$I$7+(((A190)+1)/2)*(Inputs!$J$7-Inputs!$I$7)))*Inputs!$C$11+((Inputs!$H$7+Inputs!$L$7*(((Inputs!$I$7+(((A190)+1)/2)*(Inputs!$J$7-Inputs!$I$7)))/Inputs!$K$7)^2))*((2*Inputs!$L$7*((Inputs!$I$7+(((A190)+1)/2)*(Inputs!$J$7-Inputs!$I$7)))/(Inputs!$K$7^2)*Inputs!$C$11)))/(SQRT(((Inputs!$I$7+(((A190)+1)/2)*(Inputs!$J$7-Inputs!$I$7)))^2+Inputs!$C$6^2+((Inputs!$H$7+Inputs!$L$7*(((Inputs!$I$7+(((A190)+1)/2)*(Inputs!$J$7-Inputs!$I$7)))/Inputs!$K$7)^2))^2)))))/Inputs!$C$13)</x:f>
        <x:v>-2241.9909476096295</x:v>
      </x:c>
      <x:c r="AN190" s="48" t="n">
        <x:f>(-2*((1000*((((Inputs!$I$8+(((A190)+1)/2)*(Inputs!$J$8-Inputs!$I$8)))*Inputs!$C$11+((Inputs!$H$8+Inputs!$L$8*(((Inputs!$I$8+(((A190)+1)/2)*(Inputs!$J$8-Inputs!$I$8)))/Inputs!$K$8)^2))*((2*Inputs!$L$8*((Inputs!$I$8+(((A190)+1)/2)*(Inputs!$J$8-Inputs!$I$8)))/(Inputs!$K$8^2)*Inputs!$C$11)))/(SQRT(((Inputs!$I$8+(((A190)+1)/2)*(Inputs!$J$8-Inputs!$I$8)))^2+Inputs!$C$6^2+((Inputs!$H$8+Inputs!$L$8*(((Inputs!$I$8+(((A190)+1)/2)*(Inputs!$J$8-Inputs!$I$8)))/Inputs!$K$8)^2))^2)))))/Inputs!$C$13)</x:f>
        <x:v>-2596.202345750355</x:v>
      </x:c>
      <x:c r="AO190" s="48" t="n">
        <x:f>(-2*((1000*((((Inputs!$I$9+(((A190)+1)/2)*(Inputs!$J$9-Inputs!$I$9)))*Inputs!$C$11+((Inputs!$H$9+Inputs!$L$9*(((Inputs!$I$9+(((A190)+1)/2)*(Inputs!$J$9-Inputs!$I$9)))/Inputs!$K$9)^2))*((2*Inputs!$L$9*((Inputs!$I$9+(((A190)+1)/2)*(Inputs!$J$9-Inputs!$I$9)))/(Inputs!$K$9^2)*Inputs!$C$11)))/(SQRT(((Inputs!$I$9+(((A190)+1)/2)*(Inputs!$J$9-Inputs!$I$9)))^2+Inputs!$C$6^2+((Inputs!$H$9+Inputs!$L$9*(((Inputs!$I$9+(((A190)+1)/2)*(Inputs!$J$9-Inputs!$I$9)))/Inputs!$K$9)^2))^2)))))/Inputs!$C$13)</x:f>
        <x:v>-2602.235136973488</x:v>
      </x:c>
    </x:row>
    <x:row r="191">
      <x:c r="A191" s="48" t="n">
        <x:f>ROUND(-1+189*2/240,3)</x:f>
        <x:v>0.575</x:v>
      </x:c>
      <x:c r="B191" s="48" t="n">
        <x:f>IF(OR(Inputs!$F$6=TRUE,Inputs!$F$6="TRUE",Inputs!$F$6=1),(Inputs!$H$6+Inputs!$L$6*(((Inputs!$I$6+(((A191)+1)/2)*(Inputs!$J$6-Inputs!$I$6)))/Inputs!$K$6)^2),NA())</x:f>
        <x:v>401.3225</x:v>
      </x:c>
      <x:c r="C191" s="48" t="n">
        <x:f>IF(OR(Inputs!$F$7=TRUE,Inputs!$F$7="TRUE",Inputs!$F$7=1),(Inputs!$H$7+Inputs!$L$7*(((Inputs!$I$7+(((A191)+1)/2)*(Inputs!$J$7-Inputs!$I$7)))/Inputs!$K$7)^2),NA())</x:f>
        <x:v>155.67812499999997</x:v>
      </x:c>
      <x:c r="D191" s="48" t="n">
        <x:f>IF(OR(Inputs!$F$8=TRUE,Inputs!$F$8="TRUE",Inputs!$F$8=1),(Inputs!$H$8+Inputs!$L$8*(((Inputs!$I$8+(((A191)+1)/2)*(Inputs!$J$8-Inputs!$I$8)))/Inputs!$K$8)^2),NA())</x:f>
        <x:v>354.05312499999997</x:v>
      </x:c>
      <x:c r="E191" s="48" t="n">
        <x:f>IF(OR(Inputs!$F$9=TRUE,Inputs!$F$9="TRUE",Inputs!$F$9=1),(Inputs!$H$9+Inputs!$L$9*(((Inputs!$I$9+(((A191)+1)/2)*(Inputs!$J$9-Inputs!$I$9)))/Inputs!$K$9)^2),NA())</x:f>
        <x:v>347.35937499999994</x:v>
      </x:c>
      <x:c r="F191" s="49"/>
      <x:c r="G191" s="48" t="n">
        <x:f>A191</x:f>
        <x:v>0.575</x:v>
      </x:c>
      <x:c r="H191" s="48" t="n">
        <x:f>IF(OR(Inputs!$F$6=TRUE,Inputs!$F$6="TRUE",Inputs!$F$6=1),(((SQRT(((Inputs!$I$6+(((A191)+1)/2)*(Inputs!$J$6-Inputs!$I$6)))^2+Inputs!$C$6^2+((Inputs!$H$6+Inputs!$L$6*(((Inputs!$I$6+(((A191)+1)/2)*(Inputs!$J$6-Inputs!$I$6)))/Inputs!$K$6)^2))^2))-((Inputs!$H$6+Inputs!$L$6*(((Inputs!$I$6+(((A191)+1)/2)*(Inputs!$J$6-Inputs!$I$6)))/Inputs!$K$6)^2)))*1000/Inputs!$C$12),NA())</x:f>
        <x:v>1266.9934849810077</x:v>
      </x:c>
      <x:c r="I191" s="48" t="n">
        <x:f>IF(OR(Inputs!$F$7=TRUE,Inputs!$F$7="TRUE",Inputs!$F$7=1),(((SQRT(((Inputs!$I$7+(((A191)+1)/2)*(Inputs!$J$7-Inputs!$I$7)))^2+Inputs!$C$6^2+((Inputs!$H$7+Inputs!$L$7*(((Inputs!$I$7+(((A191)+1)/2)*(Inputs!$J$7-Inputs!$I$7)))/Inputs!$K$7)^2))^2))-((Inputs!$H$7+Inputs!$L$7*(((Inputs!$I$7+(((A191)+1)/2)*(Inputs!$J$7-Inputs!$I$7)))/Inputs!$K$7)^2)))*1000/Inputs!$C$12),NA())</x:f>
        <x:v>69201.06331059046</x:v>
      </x:c>
      <x:c r="J191" s="48" t="n">
        <x:f>IF(OR(Inputs!$F$8=TRUE,Inputs!$F$8="TRUE",Inputs!$F$8=1),(((SQRT(((Inputs!$I$8+(((A191)+1)/2)*(Inputs!$J$8-Inputs!$I$8)))^2+Inputs!$C$6^2+((Inputs!$H$8+Inputs!$L$8*(((Inputs!$I$8+(((A191)+1)/2)*(Inputs!$J$8-Inputs!$I$8)))/Inputs!$K$8)^2))^2))-((Inputs!$H$8+Inputs!$L$8*(((Inputs!$I$8+(((A191)+1)/2)*(Inputs!$J$8-Inputs!$I$8)))/Inputs!$K$8)^2)))*1000/Inputs!$C$12),NA())</x:f>
        <x:v>127506.7608358611</x:v>
      </x:c>
      <x:c r="K191" s="48" t="n">
        <x:f>IF(OR(Inputs!$F$9=TRUE,Inputs!$F$9="TRUE",Inputs!$F$9=1),(((SQRT(((Inputs!$I$9+(((A191)+1)/2)*(Inputs!$J$9-Inputs!$I$9)))^2+Inputs!$C$6^2+((Inputs!$H$9+Inputs!$L$9*(((Inputs!$I$9+(((A191)+1)/2)*(Inputs!$J$9-Inputs!$I$9)))/Inputs!$K$9)^2))^2))-((Inputs!$H$9+Inputs!$L$9*(((Inputs!$I$9+(((A191)+1)/2)*(Inputs!$J$9-Inputs!$I$9)))/Inputs!$K$9)^2)))*1000/Inputs!$C$12),NA())</x:f>
        <x:v>128989.45295217878</x:v>
      </x:c>
      <x:c r="L191" s="49"/>
      <x:c r="M191" s="48" t="n">
        <x:f>A191</x:f>
        <x:v>0.575</x:v>
      </x:c>
      <x:c r="N191" s="48" t="n">
        <x:f>IF(OR(Inputs!$F$6=TRUE,Inputs!$F$6="TRUE",Inputs!$F$6=1),(-2*((1000*((((Inputs!$I$6+(((A191)+1)/2)*(Inputs!$J$6-Inputs!$I$6)))*Inputs!$C$11+((Inputs!$H$6+Inputs!$L$6*(((Inputs!$I$6+(((A191)+1)/2)*(Inputs!$J$6-Inputs!$I$6)))/Inputs!$K$6)^2))*((2*Inputs!$L$6*((Inputs!$I$6+(((A191)+1)/2)*(Inputs!$J$6-Inputs!$I$6)))/(Inputs!$K$6^2)*Inputs!$C$11)))/(SQRT(((Inputs!$I$6+(((A191)+1)/2)*(Inputs!$J$6-Inputs!$I$6)))^2+Inputs!$C$6^2+((Inputs!$H$6+Inputs!$L$6*(((Inputs!$I$6+(((A191)+1)/2)*(Inputs!$J$6-Inputs!$I$6)))/Inputs!$K$6)^2))^2)))))/Inputs!$C$13),NA())</x:f>
        <x:v>-258.75780750177796</x:v>
      </x:c>
      <x:c r="O191" s="48" t="n">
        <x:f>IF(OR(Inputs!$F$7=TRUE,Inputs!$F$7="TRUE",Inputs!$F$7=1),(-2*((1000*((((Inputs!$I$7+(((A191)+1)/2)*(Inputs!$J$7-Inputs!$I$7)))*Inputs!$C$11+((Inputs!$H$7+Inputs!$L$7*(((Inputs!$I$7+(((A191)+1)/2)*(Inputs!$J$7-Inputs!$I$7)))/Inputs!$K$7)^2))*((2*Inputs!$L$7*((Inputs!$I$7+(((A191)+1)/2)*(Inputs!$J$7-Inputs!$I$7)))/(Inputs!$K$7^2)*Inputs!$C$11)))/(SQRT(((Inputs!$I$7+(((A191)+1)/2)*(Inputs!$J$7-Inputs!$I$7)))^2+Inputs!$C$6^2+((Inputs!$H$7+Inputs!$L$7*(((Inputs!$I$7+(((A191)+1)/2)*(Inputs!$J$7-Inputs!$I$7)))/Inputs!$K$7)^2))^2)))))/Inputs!$C$13),NA())</x:f>
        <x:v>-2257.019866676291</x:v>
      </x:c>
      <x:c r="P191" s="48" t="n">
        <x:f>IF(OR(Inputs!$F$8=TRUE,Inputs!$F$8="TRUE",Inputs!$F$8=1),(-2*((1000*((((Inputs!$I$8+(((A191)+1)/2)*(Inputs!$J$8-Inputs!$I$8)))*Inputs!$C$11+((Inputs!$H$8+Inputs!$L$8*(((Inputs!$I$8+(((A191)+1)/2)*(Inputs!$J$8-Inputs!$I$8)))/Inputs!$K$8)^2))*((2*Inputs!$L$8*((Inputs!$I$8+(((A191)+1)/2)*(Inputs!$J$8-Inputs!$I$8)))/(Inputs!$K$8^2)*Inputs!$C$11)))/(SQRT(((Inputs!$I$8+(((A191)+1)/2)*(Inputs!$J$8-Inputs!$I$8)))^2+Inputs!$C$6^2+((Inputs!$H$8+Inputs!$L$8*(((Inputs!$I$8+(((A191)+1)/2)*(Inputs!$J$8-Inputs!$I$8)))/Inputs!$K$8)^2))^2)))))/Inputs!$C$13),NA())</x:f>
        <x:v>-2619.244759126148</x:v>
      </x:c>
      <x:c r="Q191" s="48" t="n">
        <x:f>IF(OR(Inputs!$F$9=TRUE,Inputs!$F$9="TRUE",Inputs!$F$9=1),(-2*((1000*((((Inputs!$I$9+(((A191)+1)/2)*(Inputs!$J$9-Inputs!$I$9)))*Inputs!$C$11+((Inputs!$H$9+Inputs!$L$9*(((Inputs!$I$9+(((A191)+1)/2)*(Inputs!$J$9-Inputs!$I$9)))/Inputs!$K$9)^2))*((2*Inputs!$L$9*((Inputs!$I$9+(((A191)+1)/2)*(Inputs!$J$9-Inputs!$I$9)))/(Inputs!$K$9^2)*Inputs!$C$11)))/(SQRT(((Inputs!$I$9+(((A191)+1)/2)*(Inputs!$J$9-Inputs!$I$9)))^2+Inputs!$C$6^2+((Inputs!$H$9+Inputs!$L$9*(((Inputs!$I$9+(((A191)+1)/2)*(Inputs!$J$9-Inputs!$I$9)))/Inputs!$K$9)^2))^2)))))/Inputs!$C$13),NA())</x:f>
        <x:v>-2625.7484395685</x:v>
      </x:c>
      <x:c r="R191" s="49"/>
      <x:c r="S191" s="48" t="n">
        <x:f>A191</x:f>
        <x:v>0.575</x:v>
      </x:c>
      <x:c r="T191" s="48" t="n">
        <x:f>(Inputs!$I$6+(((A191)+1)/2)*(Inputs!$J$6-Inputs!$I$6))</x:f>
        <x:v>34.5</x:v>
      </x:c>
      <x:c r="U191" s="48" t="n">
        <x:f>(Inputs!$I$7+(((A191)+1)/2)*(Inputs!$J$7-Inputs!$I$7))</x:f>
        <x:v>230</x:v>
      </x:c>
      <x:c r="V191" s="48" t="n">
        <x:f>(Inputs!$I$8+(((A191)+1)/2)*(Inputs!$J$8-Inputs!$I$8))</x:f>
        <x:v>460</x:v>
      </x:c>
      <x:c r="W191" s="48" t="n">
        <x:f>(Inputs!$I$9+(((A191)+1)/2)*(Inputs!$J$9-Inputs!$I$9))</x:f>
        <x:v>460</x:v>
      </x:c>
      <x:c r="X191" s="49"/>
      <x:c r="Y191" s="48" t="n">
        <x:f>A191</x:f>
        <x:v>0.575</x:v>
      </x:c>
      <x:c r="Z191" s="48" t="n">
        <x:f>(Inputs!$H$6+Inputs!$L$6*(((Inputs!$I$6+(((A191)+1)/2)*(Inputs!$J$6-Inputs!$I$6)))/Inputs!$K$6)^2)</x:f>
        <x:v>401.3225</x:v>
      </x:c>
      <x:c r="AA191" s="48" t="n">
        <x:f>(Inputs!$H$7+Inputs!$L$7*(((Inputs!$I$7+(((A191)+1)/2)*(Inputs!$J$7-Inputs!$I$7)))/Inputs!$K$7)^2)</x:f>
        <x:v>155.67812499999997</x:v>
      </x:c>
      <x:c r="AB191" s="48" t="n">
        <x:f>(Inputs!$H$8+Inputs!$L$8*(((Inputs!$I$8+(((A191)+1)/2)*(Inputs!$J$8-Inputs!$I$8)))/Inputs!$K$8)^2)</x:f>
        <x:v>354.05312499999997</x:v>
      </x:c>
      <x:c r="AC191" s="48" t="n">
        <x:f>(Inputs!$H$9+Inputs!$L$9*(((Inputs!$I$9+(((A191)+1)/2)*(Inputs!$J$9-Inputs!$I$9)))/Inputs!$K$9)^2)</x:f>
        <x:v>347.35937499999994</x:v>
      </x:c>
      <x:c r="AD191" s="49"/>
      <x:c r="AE191" s="48" t="n">
        <x:f>A191</x:f>
        <x:v>0.575</x:v>
      </x:c>
      <x:c r="AF191" s="48" t="n">
        <x:f>(((SQRT(((Inputs!$I$6+(((A191)+1)/2)*(Inputs!$J$6-Inputs!$I$6)))^2+Inputs!$C$6^2+((Inputs!$H$6+Inputs!$L$6*(((Inputs!$I$6+(((A191)+1)/2)*(Inputs!$J$6-Inputs!$I$6)))/Inputs!$K$6)^2))^2))-((Inputs!$H$6+Inputs!$L$6*(((Inputs!$I$6+(((A191)+1)/2)*(Inputs!$J$6-Inputs!$I$6)))/Inputs!$K$6)^2)))*1000/Inputs!$C$12)</x:f>
        <x:v>1266.9934849810077</x:v>
      </x:c>
      <x:c r="AG191" s="48" t="n">
        <x:f>(((SQRT(((Inputs!$I$7+(((A191)+1)/2)*(Inputs!$J$7-Inputs!$I$7)))^2+Inputs!$C$6^2+((Inputs!$H$7+Inputs!$L$7*(((Inputs!$I$7+(((A191)+1)/2)*(Inputs!$J$7-Inputs!$I$7)))/Inputs!$K$7)^2))^2))-((Inputs!$H$7+Inputs!$L$7*(((Inputs!$I$7+(((A191)+1)/2)*(Inputs!$J$7-Inputs!$I$7)))/Inputs!$K$7)^2)))*1000/Inputs!$C$12)</x:f>
        <x:v>69201.06331059046</x:v>
      </x:c>
      <x:c r="AH191" s="48" t="n">
        <x:f>(((SQRT(((Inputs!$I$8+(((A191)+1)/2)*(Inputs!$J$8-Inputs!$I$8)))^2+Inputs!$C$6^2+((Inputs!$H$8+Inputs!$L$8*(((Inputs!$I$8+(((A191)+1)/2)*(Inputs!$J$8-Inputs!$I$8)))/Inputs!$K$8)^2))^2))-((Inputs!$H$8+Inputs!$L$8*(((Inputs!$I$8+(((A191)+1)/2)*(Inputs!$J$8-Inputs!$I$8)))/Inputs!$K$8)^2)))*1000/Inputs!$C$12)</x:f>
        <x:v>127506.7608358611</x:v>
      </x:c>
      <x:c r="AI191" s="48" t="n">
        <x:f>(((SQRT(((Inputs!$I$9+(((A191)+1)/2)*(Inputs!$J$9-Inputs!$I$9)))^2+Inputs!$C$6^2+((Inputs!$H$9+Inputs!$L$9*(((Inputs!$I$9+(((A191)+1)/2)*(Inputs!$J$9-Inputs!$I$9)))/Inputs!$K$9)^2))^2))-((Inputs!$H$9+Inputs!$L$9*(((Inputs!$I$9+(((A191)+1)/2)*(Inputs!$J$9-Inputs!$I$9)))/Inputs!$K$9)^2)))*1000/Inputs!$C$12)</x:f>
        <x:v>128989.45295217878</x:v>
      </x:c>
      <x:c r="AJ191" s="49"/>
      <x:c r="AK191" s="48" t="n">
        <x:f>A191</x:f>
        <x:v>0.575</x:v>
      </x:c>
      <x:c r="AL191" s="48" t="n">
        <x:f>(-2*((1000*((((Inputs!$I$6+(((A191)+1)/2)*(Inputs!$J$6-Inputs!$I$6)))*Inputs!$C$11+((Inputs!$H$6+Inputs!$L$6*(((Inputs!$I$6+(((A191)+1)/2)*(Inputs!$J$6-Inputs!$I$6)))/Inputs!$K$6)^2))*((2*Inputs!$L$6*((Inputs!$I$6+(((A191)+1)/2)*(Inputs!$J$6-Inputs!$I$6)))/(Inputs!$K$6^2)*Inputs!$C$11)))/(SQRT(((Inputs!$I$6+(((A191)+1)/2)*(Inputs!$J$6-Inputs!$I$6)))^2+Inputs!$C$6^2+((Inputs!$H$6+Inputs!$L$6*(((Inputs!$I$6+(((A191)+1)/2)*(Inputs!$J$6-Inputs!$I$6)))/Inputs!$K$6)^2))^2)))))/Inputs!$C$13)</x:f>
        <x:v>-258.75780750177796</x:v>
      </x:c>
      <x:c r="AM191" s="48" t="n">
        <x:f>(-2*((1000*((((Inputs!$I$7+(((A191)+1)/2)*(Inputs!$J$7-Inputs!$I$7)))*Inputs!$C$11+((Inputs!$H$7+Inputs!$L$7*(((Inputs!$I$7+(((A191)+1)/2)*(Inputs!$J$7-Inputs!$I$7)))/Inputs!$K$7)^2))*((2*Inputs!$L$7*((Inputs!$I$7+(((A191)+1)/2)*(Inputs!$J$7-Inputs!$I$7)))/(Inputs!$K$7^2)*Inputs!$C$11)))/(SQRT(((Inputs!$I$7+(((A191)+1)/2)*(Inputs!$J$7-Inputs!$I$7)))^2+Inputs!$C$6^2+((Inputs!$H$7+Inputs!$L$7*(((Inputs!$I$7+(((A191)+1)/2)*(Inputs!$J$7-Inputs!$I$7)))/Inputs!$K$7)^2))^2)))))/Inputs!$C$13)</x:f>
        <x:v>-2257.019866676291</x:v>
      </x:c>
      <x:c r="AN191" s="48" t="n">
        <x:f>(-2*((1000*((((Inputs!$I$8+(((A191)+1)/2)*(Inputs!$J$8-Inputs!$I$8)))*Inputs!$C$11+((Inputs!$H$8+Inputs!$L$8*(((Inputs!$I$8+(((A191)+1)/2)*(Inputs!$J$8-Inputs!$I$8)))/Inputs!$K$8)^2))*((2*Inputs!$L$8*((Inputs!$I$8+(((A191)+1)/2)*(Inputs!$J$8-Inputs!$I$8)))/(Inputs!$K$8^2)*Inputs!$C$11)))/(SQRT(((Inputs!$I$8+(((A191)+1)/2)*(Inputs!$J$8-Inputs!$I$8)))^2+Inputs!$C$6^2+((Inputs!$H$8+Inputs!$L$8*(((Inputs!$I$8+(((A191)+1)/2)*(Inputs!$J$8-Inputs!$I$8)))/Inputs!$K$8)^2))^2)))))/Inputs!$C$13)</x:f>
        <x:v>-2619.244759126148</x:v>
      </x:c>
      <x:c r="AO191" s="48" t="n">
        <x:f>(-2*((1000*((((Inputs!$I$9+(((A191)+1)/2)*(Inputs!$J$9-Inputs!$I$9)))*Inputs!$C$11+((Inputs!$H$9+Inputs!$L$9*(((Inputs!$I$9+(((A191)+1)/2)*(Inputs!$J$9-Inputs!$I$9)))/Inputs!$K$9)^2))*((2*Inputs!$L$9*((Inputs!$I$9+(((A191)+1)/2)*(Inputs!$J$9-Inputs!$I$9)))/(Inputs!$K$9^2)*Inputs!$C$11)))/(SQRT(((Inputs!$I$9+(((A191)+1)/2)*(Inputs!$J$9-Inputs!$I$9)))^2+Inputs!$C$6^2+((Inputs!$H$9+Inputs!$L$9*(((Inputs!$I$9+(((A191)+1)/2)*(Inputs!$J$9-Inputs!$I$9)))/Inputs!$K$9)^2))^2)))))/Inputs!$C$13)</x:f>
        <x:v>-2625.7484395685</x:v>
      </x:c>
    </x:row>
    <x:row r="192">
      <x:c r="A192" s="48" t="n">
        <x:f>ROUND(-1+190*2/240,3)</x:f>
        <x:v>0.583</x:v>
      </x:c>
      <x:c r="B192" s="48" t="n">
        <x:f>IF(OR(Inputs!$F$6=TRUE,Inputs!$F$6="TRUE",Inputs!$F$6=1),(Inputs!$H$6+Inputs!$L$6*(((Inputs!$I$6+(((A192)+1)/2)*(Inputs!$J$6-Inputs!$I$6)))/Inputs!$K$6)^2),NA())</x:f>
        <x:v>401.359556</x:v>
      </x:c>
      <x:c r="C192" s="48" t="n">
        <x:f>IF(OR(Inputs!$F$7=TRUE,Inputs!$F$7="TRUE",Inputs!$F$7=1),(Inputs!$H$7+Inputs!$L$7*(((Inputs!$I$7+(((A192)+1)/2)*(Inputs!$J$7-Inputs!$I$7)))/Inputs!$K$7)^2),NA())</x:f>
        <x:v>159.05948499999994</x:v>
      </x:c>
      <x:c r="D192" s="48" t="n">
        <x:f>IF(OR(Inputs!$F$8=TRUE,Inputs!$F$8="TRUE",Inputs!$F$8=1),(Inputs!$H$8+Inputs!$L$8*(((Inputs!$I$8+(((A192)+1)/2)*(Inputs!$J$8-Inputs!$I$8)))/Inputs!$K$8)^2),NA())</x:f>
        <x:v>362.99288499999983</x:v>
      </x:c>
      <x:c r="E192" s="48" t="n">
        <x:f>IF(OR(Inputs!$F$9=TRUE,Inputs!$F$9="TRUE",Inputs!$F$9=1),(Inputs!$H$9+Inputs!$L$9*(((Inputs!$I$9+(((A192)+1)/2)*(Inputs!$J$9-Inputs!$I$9)))/Inputs!$K$9)^2),NA())</x:f>
        <x:v>356.3917749999998</x:v>
      </x:c>
      <x:c r="F192" s="49"/>
      <x:c r="G192" s="48" t="n">
        <x:f>A192</x:f>
        <x:v>0.583</x:v>
      </x:c>
      <x:c r="H192" s="48" t="n">
        <x:f>IF(OR(Inputs!$F$6=TRUE,Inputs!$F$6="TRUE",Inputs!$F$6=1),(((SQRT(((Inputs!$I$6+(((A192)+1)/2)*(Inputs!$J$6-Inputs!$I$6)))^2+Inputs!$C$6^2+((Inputs!$H$6+Inputs!$L$6*(((Inputs!$I$6+(((A192)+1)/2)*(Inputs!$J$6-Inputs!$I$6)))/Inputs!$K$6)^2))^2))-((Inputs!$H$6+Inputs!$L$6*(((Inputs!$I$6+(((A192)+1)/2)*(Inputs!$J$6-Inputs!$I$6)))/Inputs!$K$6)^2)))*1000/Inputs!$C$12),NA())</x:f>
        <x:v>1290.0864574175641</x:v>
      </x:c>
      <x:c r="I192" s="48" t="n">
        <x:f>IF(OR(Inputs!$F$7=TRUE,Inputs!$F$7="TRUE",Inputs!$F$7=1),(((SQRT(((Inputs!$I$7+(((A192)+1)/2)*(Inputs!$J$7-Inputs!$I$7)))^2+Inputs!$C$6^2+((Inputs!$H$7+Inputs!$L$7*(((Inputs!$I$7+(((A192)+1)/2)*(Inputs!$J$7-Inputs!$I$7)))/Inputs!$K$7)^2))^2))-((Inputs!$H$7+Inputs!$L$7*(((Inputs!$I$7+(((A192)+1)/2)*(Inputs!$J$7-Inputs!$I$7)))/Inputs!$K$7)^2)))*1000/Inputs!$C$12),NA())</x:f>
        <x:v>69845.89559641745</x:v>
      </x:c>
      <x:c r="J192" s="48" t="n">
        <x:f>IF(OR(Inputs!$F$8=TRUE,Inputs!$F$8="TRUE",Inputs!$F$8=1),(((SQRT(((Inputs!$I$8+(((A192)+1)/2)*(Inputs!$J$8-Inputs!$I$8)))^2+Inputs!$C$6^2+((Inputs!$H$8+Inputs!$L$8*(((Inputs!$I$8+(((A192)+1)/2)*(Inputs!$J$8-Inputs!$I$8)))/Inputs!$K$8)^2))^2))-((Inputs!$H$8+Inputs!$L$8*(((Inputs!$I$8+(((A192)+1)/2)*(Inputs!$J$8-Inputs!$I$8)))/Inputs!$K$8)^2)))*1000/Inputs!$C$12),NA())</x:f>
        <x:v>128396.4117714109</x:v>
      </x:c>
      <x:c r="K192" s="48" t="n">
        <x:f>IF(OR(Inputs!$F$9=TRUE,Inputs!$F$9="TRUE",Inputs!$F$9=1),(((SQRT(((Inputs!$I$9+(((A192)+1)/2)*(Inputs!$J$9-Inputs!$I$9)))^2+Inputs!$C$6^2+((Inputs!$H$9+Inputs!$L$9*(((Inputs!$I$9+(((A192)+1)/2)*(Inputs!$J$9-Inputs!$I$9)))/Inputs!$K$9)^2))^2))-((Inputs!$H$9+Inputs!$L$9*(((Inputs!$I$9+(((A192)+1)/2)*(Inputs!$J$9-Inputs!$I$9)))/Inputs!$K$9)^2)))*1000/Inputs!$C$12),NA())</x:f>
        <x:v>129842.20489784688</x:v>
      </x:c>
      <x:c r="L192" s="49"/>
      <x:c r="M192" s="48" t="n">
        <x:f>A192</x:f>
        <x:v>0.583</x:v>
      </x:c>
      <x:c r="N192" s="48" t="n">
        <x:f>IF(OR(Inputs!$F$6=TRUE,Inputs!$F$6="TRUE",Inputs!$F$6=1),(-2*((1000*((((Inputs!$I$6+(((A192)+1)/2)*(Inputs!$J$6-Inputs!$I$6)))*Inputs!$C$11+((Inputs!$H$6+Inputs!$L$6*(((Inputs!$I$6+(((A192)+1)/2)*(Inputs!$J$6-Inputs!$I$6)))/Inputs!$K$6)^2))*((2*Inputs!$L$6*((Inputs!$I$6+(((A192)+1)/2)*(Inputs!$J$6-Inputs!$I$6)))/(Inputs!$K$6^2)*Inputs!$C$11)))/(SQRT(((Inputs!$I$6+(((A192)+1)/2)*(Inputs!$J$6-Inputs!$I$6)))^2+Inputs!$C$6^2+((Inputs!$H$6+Inputs!$L$6*(((Inputs!$I$6+(((A192)+1)/2)*(Inputs!$J$6-Inputs!$I$6)))/Inputs!$K$6)^2))^2)))))/Inputs!$C$13),NA())</x:f>
        <x:v>-262.31853231793167</x:v>
      </x:c>
      <x:c r="O192" s="48" t="n">
        <x:f>IF(OR(Inputs!$F$7=TRUE,Inputs!$F$7="TRUE",Inputs!$F$7=1),(-2*((1000*((((Inputs!$I$7+(((A192)+1)/2)*(Inputs!$J$7-Inputs!$I$7)))*Inputs!$C$11+((Inputs!$H$7+Inputs!$L$7*(((Inputs!$I$7+(((A192)+1)/2)*(Inputs!$J$7-Inputs!$I$7)))/Inputs!$K$7)^2))*((2*Inputs!$L$7*((Inputs!$I$7+(((A192)+1)/2)*(Inputs!$J$7-Inputs!$I$7)))/(Inputs!$K$7^2)*Inputs!$C$11)))/(SQRT(((Inputs!$I$7+(((A192)+1)/2)*(Inputs!$J$7-Inputs!$I$7)))^2+Inputs!$C$6^2+((Inputs!$H$7+Inputs!$L$7*(((Inputs!$I$7+(((A192)+1)/2)*(Inputs!$J$7-Inputs!$I$7)))/Inputs!$K$7)^2))^2)))))/Inputs!$C$13),NA())</x:f>
        <x:v>-2272.1601277438945</x:v>
      </x:c>
      <x:c r="P192" s="48" t="n">
        <x:f>IF(OR(Inputs!$F$8=TRUE,Inputs!$F$8="TRUE",Inputs!$F$8=1),(-2*((1000*((((Inputs!$I$8+(((A192)+1)/2)*(Inputs!$J$8-Inputs!$I$8)))*Inputs!$C$11+((Inputs!$H$8+Inputs!$L$8*(((Inputs!$I$8+(((A192)+1)/2)*(Inputs!$J$8-Inputs!$I$8)))/Inputs!$K$8)^2))*((2*Inputs!$L$8*((Inputs!$I$8+(((A192)+1)/2)*(Inputs!$J$8-Inputs!$I$8)))/(Inputs!$K$8^2)*Inputs!$C$11)))/(SQRT(((Inputs!$I$8+(((A192)+1)/2)*(Inputs!$J$8-Inputs!$I$8)))^2+Inputs!$C$6^2+((Inputs!$H$8+Inputs!$L$8*(((Inputs!$I$8+(((A192)+1)/2)*(Inputs!$J$8-Inputs!$I$8)))/Inputs!$K$8)^2))^2)))))/Inputs!$C$13),NA())</x:f>
        <x:v>-2642.4517321444064</x:v>
      </x:c>
      <x:c r="Q192" s="48" t="n">
        <x:f>IF(OR(Inputs!$F$9=TRUE,Inputs!$F$9="TRUE",Inputs!$F$9=1),(-2*((1000*((((Inputs!$I$9+(((A192)+1)/2)*(Inputs!$J$9-Inputs!$I$9)))*Inputs!$C$11+((Inputs!$H$9+Inputs!$L$9*(((Inputs!$I$9+(((A192)+1)/2)*(Inputs!$J$9-Inputs!$I$9)))/Inputs!$K$9)^2))*((2*Inputs!$L$9*((Inputs!$I$9+(((A192)+1)/2)*(Inputs!$J$9-Inputs!$I$9)))/(Inputs!$K$9^2)*Inputs!$C$11)))/(SQRT(((Inputs!$I$9+(((A192)+1)/2)*(Inputs!$J$9-Inputs!$I$9)))^2+Inputs!$C$6^2+((Inputs!$H$9+Inputs!$L$9*(((Inputs!$I$9+(((A192)+1)/2)*(Inputs!$J$9-Inputs!$I$9)))/Inputs!$K$9)^2))^2)))))/Inputs!$C$13),NA())</x:f>
        <x:v>-2649.4282566743777</x:v>
      </x:c>
      <x:c r="R192" s="49"/>
      <x:c r="S192" s="48" t="n">
        <x:f>A192</x:f>
        <x:v>0.583</x:v>
      </x:c>
      <x:c r="T192" s="48" t="n">
        <x:f>(Inputs!$I$6+(((A192)+1)/2)*(Inputs!$J$6-Inputs!$I$6))</x:f>
        <x:v>34.980000000000004</x:v>
      </x:c>
      <x:c r="U192" s="48" t="n">
        <x:f>(Inputs!$I$7+(((A192)+1)/2)*(Inputs!$J$7-Inputs!$I$7))</x:f>
        <x:v>233.19999999999993</x:v>
      </x:c>
      <x:c r="V192" s="48" t="n">
        <x:f>(Inputs!$I$8+(((A192)+1)/2)*(Inputs!$J$8-Inputs!$I$8))</x:f>
        <x:v>466.39999999999986</x:v>
      </x:c>
      <x:c r="W192" s="48" t="n">
        <x:f>(Inputs!$I$9+(((A192)+1)/2)*(Inputs!$J$9-Inputs!$I$9))</x:f>
        <x:v>466.39999999999986</x:v>
      </x:c>
      <x:c r="X192" s="49"/>
      <x:c r="Y192" s="48" t="n">
        <x:f>A192</x:f>
        <x:v>0.583</x:v>
      </x:c>
      <x:c r="Z192" s="48" t="n">
        <x:f>(Inputs!$H$6+Inputs!$L$6*(((Inputs!$I$6+(((A192)+1)/2)*(Inputs!$J$6-Inputs!$I$6)))/Inputs!$K$6)^2)</x:f>
        <x:v>401.359556</x:v>
      </x:c>
      <x:c r="AA192" s="48" t="n">
        <x:f>(Inputs!$H$7+Inputs!$L$7*(((Inputs!$I$7+(((A192)+1)/2)*(Inputs!$J$7-Inputs!$I$7)))/Inputs!$K$7)^2)</x:f>
        <x:v>159.05948499999994</x:v>
      </x:c>
      <x:c r="AB192" s="48" t="n">
        <x:f>(Inputs!$H$8+Inputs!$L$8*(((Inputs!$I$8+(((A192)+1)/2)*(Inputs!$J$8-Inputs!$I$8)))/Inputs!$K$8)^2)</x:f>
        <x:v>362.99288499999983</x:v>
      </x:c>
      <x:c r="AC192" s="48" t="n">
        <x:f>(Inputs!$H$9+Inputs!$L$9*(((Inputs!$I$9+(((A192)+1)/2)*(Inputs!$J$9-Inputs!$I$9)))/Inputs!$K$9)^2)</x:f>
        <x:v>356.3917749999998</x:v>
      </x:c>
      <x:c r="AD192" s="49"/>
      <x:c r="AE192" s="48" t="n">
        <x:f>A192</x:f>
        <x:v>0.583</x:v>
      </x:c>
      <x:c r="AF192" s="48" t="n">
        <x:f>(((SQRT(((Inputs!$I$6+(((A192)+1)/2)*(Inputs!$J$6-Inputs!$I$6)))^2+Inputs!$C$6^2+((Inputs!$H$6+Inputs!$L$6*(((Inputs!$I$6+(((A192)+1)/2)*(Inputs!$J$6-Inputs!$I$6)))/Inputs!$K$6)^2))^2))-((Inputs!$H$6+Inputs!$L$6*(((Inputs!$I$6+(((A192)+1)/2)*(Inputs!$J$6-Inputs!$I$6)))/Inputs!$K$6)^2)))*1000/Inputs!$C$12)</x:f>
        <x:v>1290.0864574175641</x:v>
      </x:c>
      <x:c r="AG192" s="48" t="n">
        <x:f>(((SQRT(((Inputs!$I$7+(((A192)+1)/2)*(Inputs!$J$7-Inputs!$I$7)))^2+Inputs!$C$6^2+((Inputs!$H$7+Inputs!$L$7*(((Inputs!$I$7+(((A192)+1)/2)*(Inputs!$J$7-Inputs!$I$7)))/Inputs!$K$7)^2))^2))-((Inputs!$H$7+Inputs!$L$7*(((Inputs!$I$7+(((A192)+1)/2)*(Inputs!$J$7-Inputs!$I$7)))/Inputs!$K$7)^2)))*1000/Inputs!$C$12)</x:f>
        <x:v>69845.89559641745</x:v>
      </x:c>
      <x:c r="AH192" s="48" t="n">
        <x:f>(((SQRT(((Inputs!$I$8+(((A192)+1)/2)*(Inputs!$J$8-Inputs!$I$8)))^2+Inputs!$C$6^2+((Inputs!$H$8+Inputs!$L$8*(((Inputs!$I$8+(((A192)+1)/2)*(Inputs!$J$8-Inputs!$I$8)))/Inputs!$K$8)^2))^2))-((Inputs!$H$8+Inputs!$L$8*(((Inputs!$I$8+(((A192)+1)/2)*(Inputs!$J$8-Inputs!$I$8)))/Inputs!$K$8)^2)))*1000/Inputs!$C$12)</x:f>
        <x:v>128396.4117714109</x:v>
      </x:c>
      <x:c r="AI192" s="48" t="n">
        <x:f>(((SQRT(((Inputs!$I$9+(((A192)+1)/2)*(Inputs!$J$9-Inputs!$I$9)))^2+Inputs!$C$6^2+((Inputs!$H$9+Inputs!$L$9*(((Inputs!$I$9+(((A192)+1)/2)*(Inputs!$J$9-Inputs!$I$9)))/Inputs!$K$9)^2))^2))-((Inputs!$H$9+Inputs!$L$9*(((Inputs!$I$9+(((A192)+1)/2)*(Inputs!$J$9-Inputs!$I$9)))/Inputs!$K$9)^2)))*1000/Inputs!$C$12)</x:f>
        <x:v>129842.20489784688</x:v>
      </x:c>
      <x:c r="AJ192" s="49"/>
      <x:c r="AK192" s="48" t="n">
        <x:f>A192</x:f>
        <x:v>0.583</x:v>
      </x:c>
      <x:c r="AL192" s="48" t="n">
        <x:f>(-2*((1000*((((Inputs!$I$6+(((A192)+1)/2)*(Inputs!$J$6-Inputs!$I$6)))*Inputs!$C$11+((Inputs!$H$6+Inputs!$L$6*(((Inputs!$I$6+(((A192)+1)/2)*(Inputs!$J$6-Inputs!$I$6)))/Inputs!$K$6)^2))*((2*Inputs!$L$6*((Inputs!$I$6+(((A192)+1)/2)*(Inputs!$J$6-Inputs!$I$6)))/(Inputs!$K$6^2)*Inputs!$C$11)))/(SQRT(((Inputs!$I$6+(((A192)+1)/2)*(Inputs!$J$6-Inputs!$I$6)))^2+Inputs!$C$6^2+((Inputs!$H$6+Inputs!$L$6*(((Inputs!$I$6+(((A192)+1)/2)*(Inputs!$J$6-Inputs!$I$6)))/Inputs!$K$6)^2))^2)))))/Inputs!$C$13)</x:f>
        <x:v>-262.31853231793167</x:v>
      </x:c>
      <x:c r="AM192" s="48" t="n">
        <x:f>(-2*((1000*((((Inputs!$I$7+(((A192)+1)/2)*(Inputs!$J$7-Inputs!$I$7)))*Inputs!$C$11+((Inputs!$H$7+Inputs!$L$7*(((Inputs!$I$7+(((A192)+1)/2)*(Inputs!$J$7-Inputs!$I$7)))/Inputs!$K$7)^2))*((2*Inputs!$L$7*((Inputs!$I$7+(((A192)+1)/2)*(Inputs!$J$7-Inputs!$I$7)))/(Inputs!$K$7^2)*Inputs!$C$11)))/(SQRT(((Inputs!$I$7+(((A192)+1)/2)*(Inputs!$J$7-Inputs!$I$7)))^2+Inputs!$C$6^2+((Inputs!$H$7+Inputs!$L$7*(((Inputs!$I$7+(((A192)+1)/2)*(Inputs!$J$7-Inputs!$I$7)))/Inputs!$K$7)^2))^2)))))/Inputs!$C$13)</x:f>
        <x:v>-2272.1601277438945</x:v>
      </x:c>
      <x:c r="AN192" s="48" t="n">
        <x:f>(-2*((1000*((((Inputs!$I$8+(((A192)+1)/2)*(Inputs!$J$8-Inputs!$I$8)))*Inputs!$C$11+((Inputs!$H$8+Inputs!$L$8*(((Inputs!$I$8+(((A192)+1)/2)*(Inputs!$J$8-Inputs!$I$8)))/Inputs!$K$8)^2))*((2*Inputs!$L$8*((Inputs!$I$8+(((A192)+1)/2)*(Inputs!$J$8-Inputs!$I$8)))/(Inputs!$K$8^2)*Inputs!$C$11)))/(SQRT(((Inputs!$I$8+(((A192)+1)/2)*(Inputs!$J$8-Inputs!$I$8)))^2+Inputs!$C$6^2+((Inputs!$H$8+Inputs!$L$8*(((Inputs!$I$8+(((A192)+1)/2)*(Inputs!$J$8-Inputs!$I$8)))/Inputs!$K$8)^2))^2)))))/Inputs!$C$13)</x:f>
        <x:v>-2642.4517321444064</x:v>
      </x:c>
      <x:c r="AO192" s="48" t="n">
        <x:f>(-2*((1000*((((Inputs!$I$9+(((A192)+1)/2)*(Inputs!$J$9-Inputs!$I$9)))*Inputs!$C$11+((Inputs!$H$9+Inputs!$L$9*(((Inputs!$I$9+(((A192)+1)/2)*(Inputs!$J$9-Inputs!$I$9)))/Inputs!$K$9)^2))*((2*Inputs!$L$9*((Inputs!$I$9+(((A192)+1)/2)*(Inputs!$J$9-Inputs!$I$9)))/(Inputs!$K$9^2)*Inputs!$C$11)))/(SQRT(((Inputs!$I$9+(((A192)+1)/2)*(Inputs!$J$9-Inputs!$I$9)))^2+Inputs!$C$6^2+((Inputs!$H$9+Inputs!$L$9*(((Inputs!$I$9+(((A192)+1)/2)*(Inputs!$J$9-Inputs!$I$9)))/Inputs!$K$9)^2))^2)))))/Inputs!$C$13)</x:f>
        <x:v>-2649.4282566743777</x:v>
      </x:c>
    </x:row>
    <x:row r="193">
      <x:c r="A193" s="48" t="n">
        <x:f>ROUND(-1+191*2/240,3)</x:f>
        <x:v>0.592</x:v>
      </x:c>
      <x:c r="B193" s="48" t="n">
        <x:f>IF(OR(Inputs!$F$6=TRUE,Inputs!$F$6="TRUE",Inputs!$F$6=1),(Inputs!$H$6+Inputs!$L$6*(((Inputs!$I$6+(((A193)+1)/2)*(Inputs!$J$6-Inputs!$I$6)))/Inputs!$K$6)^2),NA())</x:f>
        <x:v>401.401856</x:v>
      </x:c>
      <x:c r="C193" s="48" t="n">
        <x:f>IF(OR(Inputs!$F$7=TRUE,Inputs!$F$7="TRUE",Inputs!$F$7=1),(Inputs!$H$7+Inputs!$L$7*(((Inputs!$I$7+(((A193)+1)/2)*(Inputs!$J$7-Inputs!$I$7)))/Inputs!$K$7)^2),NA())</x:f>
        <x:v>162.9193600000001</x:v>
      </x:c>
      <x:c r="D193" s="48" t="n">
        <x:f>IF(OR(Inputs!$F$8=TRUE,Inputs!$F$8="TRUE",Inputs!$F$8=1),(Inputs!$H$8+Inputs!$L$8*(((Inputs!$I$8+(((A193)+1)/2)*(Inputs!$J$8-Inputs!$I$8)))/Inputs!$K$8)^2),NA())</x:f>
        <x:v>373.1977600000002</x:v>
      </x:c>
      <x:c r="E193" s="48" t="n">
        <x:f>IF(OR(Inputs!$F$9=TRUE,Inputs!$F$9="TRUE",Inputs!$F$9=1),(Inputs!$H$9+Inputs!$L$9*(((Inputs!$I$9+(((A193)+1)/2)*(Inputs!$J$9-Inputs!$I$9)))/Inputs!$K$9)^2),NA())</x:f>
        <x:v>366.70240000000024</x:v>
      </x:c>
      <x:c r="F193" s="49"/>
      <x:c r="G193" s="48" t="n">
        <x:f>A193</x:f>
        <x:v>0.592</x:v>
      </x:c>
      <x:c r="H193" s="48" t="n">
        <x:f>IF(OR(Inputs!$F$6=TRUE,Inputs!$F$6="TRUE",Inputs!$F$6=1),(((SQRT(((Inputs!$I$6+(((A193)+1)/2)*(Inputs!$J$6-Inputs!$I$6)))^2+Inputs!$C$6^2+((Inputs!$H$6+Inputs!$L$6*(((Inputs!$I$6+(((A193)+1)/2)*(Inputs!$J$6-Inputs!$I$6)))/Inputs!$K$6)^2))^2))-((Inputs!$H$6+Inputs!$L$6*(((Inputs!$I$6+(((A193)+1)/2)*(Inputs!$J$6-Inputs!$I$6)))/Inputs!$K$6)^2)))*1000/Inputs!$C$12),NA())</x:f>
        <x:v>1316.439389440221</x:v>
      </x:c>
      <x:c r="I193" s="48" t="n">
        <x:f>IF(OR(Inputs!$F$7=TRUE,Inputs!$F$7="TRUE",Inputs!$F$7=1),(((SQRT(((Inputs!$I$7+(((A193)+1)/2)*(Inputs!$J$7-Inputs!$I$7)))^2+Inputs!$C$6^2+((Inputs!$H$7+Inputs!$L$7*(((Inputs!$I$7+(((A193)+1)/2)*(Inputs!$J$7-Inputs!$I$7)))/Inputs!$K$7)^2))^2))-((Inputs!$H$7+Inputs!$L$7*(((Inputs!$I$7+(((A193)+1)/2)*(Inputs!$J$7-Inputs!$I$7)))/Inputs!$K$7)^2)))*1000/Inputs!$C$12),NA())</x:f>
        <x:v>70560.37316199145</x:v>
      </x:c>
      <x:c r="J193" s="48" t="n">
        <x:f>IF(OR(Inputs!$F$8=TRUE,Inputs!$F$8="TRUE",Inputs!$F$8=1),(((SQRT(((Inputs!$I$8+(((A193)+1)/2)*(Inputs!$J$8-Inputs!$I$8)))^2+Inputs!$C$6^2+((Inputs!$H$8+Inputs!$L$8*(((Inputs!$I$8+(((A193)+1)/2)*(Inputs!$J$8-Inputs!$I$8)))/Inputs!$K$8)^2))^2))-((Inputs!$H$8+Inputs!$L$8*(((Inputs!$I$8+(((A193)+1)/2)*(Inputs!$J$8-Inputs!$I$8)))/Inputs!$K$8)^2)))*1000/Inputs!$C$12),NA())</x:f>
        <x:v>129376.89397045772</x:v>
      </x:c>
      <x:c r="K193" s="48" t="n">
        <x:f>IF(OR(Inputs!$F$9=TRUE,Inputs!$F$9="TRUE",Inputs!$F$9=1),(((SQRT(((Inputs!$I$9+(((A193)+1)/2)*(Inputs!$J$9-Inputs!$I$9)))^2+Inputs!$C$6^2+((Inputs!$H$9+Inputs!$L$9*(((Inputs!$I$9+(((A193)+1)/2)*(Inputs!$J$9-Inputs!$I$9)))/Inputs!$K$9)^2))^2))-((Inputs!$H$9+Inputs!$L$9*(((Inputs!$I$9+(((A193)+1)/2)*(Inputs!$J$9-Inputs!$I$9)))/Inputs!$K$9)^2)))*1000/Inputs!$C$12),NA())</x:f>
        <x:v>130781.58883580852</x:v>
      </x:c>
      <x:c r="L193" s="49"/>
      <x:c r="M193" s="48" t="n">
        <x:f>A193</x:f>
        <x:v>0.592</x:v>
      </x:c>
      <x:c r="N193" s="48" t="n">
        <x:f>IF(OR(Inputs!$F$6=TRUE,Inputs!$F$6="TRUE",Inputs!$F$6=1),(-2*((1000*((((Inputs!$I$6+(((A193)+1)/2)*(Inputs!$J$6-Inputs!$I$6)))*Inputs!$C$11+((Inputs!$H$6+Inputs!$L$6*(((Inputs!$I$6+(((A193)+1)/2)*(Inputs!$J$6-Inputs!$I$6)))/Inputs!$K$6)^2))*((2*Inputs!$L$6*((Inputs!$I$6+(((A193)+1)/2)*(Inputs!$J$6-Inputs!$I$6)))/(Inputs!$K$6^2)*Inputs!$C$11)))/(SQRT(((Inputs!$I$6+(((A193)+1)/2)*(Inputs!$J$6-Inputs!$I$6)))^2+Inputs!$C$6^2+((Inputs!$H$6+Inputs!$L$6*(((Inputs!$I$6+(((A193)+1)/2)*(Inputs!$J$6-Inputs!$I$6)))/Inputs!$K$6)^2))^2)))))/Inputs!$C$13),NA())</x:f>
        <x:v>-266.3224236689793</x:v>
      </x:c>
      <x:c r="O193" s="48" t="n">
        <x:f>IF(OR(Inputs!$F$7=TRUE,Inputs!$F$7="TRUE",Inputs!$F$7=1),(-2*((1000*((((Inputs!$I$7+(((A193)+1)/2)*(Inputs!$J$7-Inputs!$I$7)))*Inputs!$C$11+((Inputs!$H$7+Inputs!$L$7*(((Inputs!$I$7+(((A193)+1)/2)*(Inputs!$J$7-Inputs!$I$7)))/Inputs!$K$7)^2))*((2*Inputs!$L$7*((Inputs!$I$7+(((A193)+1)/2)*(Inputs!$J$7-Inputs!$I$7)))/(Inputs!$K$7^2)*Inputs!$C$11)))/(SQRT(((Inputs!$I$7+(((A193)+1)/2)*(Inputs!$J$7-Inputs!$I$7)))^2+Inputs!$C$6^2+((Inputs!$H$7+Inputs!$L$7*(((Inputs!$I$7+(((A193)+1)/2)*(Inputs!$J$7-Inputs!$I$7)))/Inputs!$K$7)^2))^2)))))/Inputs!$C$13),NA())</x:f>
        <x:v>-2289.325498563109</x:v>
      </x:c>
      <x:c r="P193" s="48" t="n">
        <x:f>IF(OR(Inputs!$F$8=TRUE,Inputs!$F$8="TRUE",Inputs!$F$8=1),(-2*((1000*((((Inputs!$I$8+(((A193)+1)/2)*(Inputs!$J$8-Inputs!$I$8)))*Inputs!$C$11+((Inputs!$H$8+Inputs!$L$8*(((Inputs!$I$8+(((A193)+1)/2)*(Inputs!$J$8-Inputs!$I$8)))/Inputs!$K$8)^2))*((2*Inputs!$L$8*((Inputs!$I$8+(((A193)+1)/2)*(Inputs!$J$8-Inputs!$I$8)))/(Inputs!$K$8^2)*Inputs!$C$11)))/(SQRT(((Inputs!$I$8+(((A193)+1)/2)*(Inputs!$J$8-Inputs!$I$8)))^2+Inputs!$C$6^2+((Inputs!$H$8+Inputs!$L$8*(((Inputs!$I$8+(((A193)+1)/2)*(Inputs!$J$8-Inputs!$I$8)))/Inputs!$K$8)^2))^2)))))/Inputs!$C$13),NA())</x:f>
        <x:v>-2668.7522877585684</x:v>
      </x:c>
      <x:c r="Q193" s="48" t="n">
        <x:f>IF(OR(Inputs!$F$9=TRUE,Inputs!$F$9="TRUE",Inputs!$F$9=1),(-2*((1000*((((Inputs!$I$9+(((A193)+1)/2)*(Inputs!$J$9-Inputs!$I$9)))*Inputs!$C$11+((Inputs!$H$9+Inputs!$L$9*(((Inputs!$I$9+(((A193)+1)/2)*(Inputs!$J$9-Inputs!$I$9)))/Inputs!$K$9)^2))*((2*Inputs!$L$9*((Inputs!$I$9+(((A193)+1)/2)*(Inputs!$J$9-Inputs!$I$9)))/(Inputs!$K$9^2)*Inputs!$C$11)))/(SQRT(((Inputs!$I$9+(((A193)+1)/2)*(Inputs!$J$9-Inputs!$I$9)))^2+Inputs!$C$6^2+((Inputs!$H$9+Inputs!$L$9*(((Inputs!$I$9+(((A193)+1)/2)*(Inputs!$J$9-Inputs!$I$9)))/Inputs!$K$9)^2))^2)))))/Inputs!$C$13),NA())</x:f>
        <x:v>-2676.262808881993</x:v>
      </x:c>
      <x:c r="R193" s="49"/>
      <x:c r="S193" s="48" t="n">
        <x:f>A193</x:f>
        <x:v>0.592</x:v>
      </x:c>
      <x:c r="T193" s="48" t="n">
        <x:f>(Inputs!$I$6+(((A193)+1)/2)*(Inputs!$J$6-Inputs!$I$6))</x:f>
        <x:v>35.52000000000001</x:v>
      </x:c>
      <x:c r="U193" s="48" t="n">
        <x:f>(Inputs!$I$7+(((A193)+1)/2)*(Inputs!$J$7-Inputs!$I$7))</x:f>
        <x:v>236.80000000000007</x:v>
      </x:c>
      <x:c r="V193" s="48" t="n">
        <x:f>(Inputs!$I$8+(((A193)+1)/2)*(Inputs!$J$8-Inputs!$I$8))</x:f>
        <x:v>473.60000000000014</x:v>
      </x:c>
      <x:c r="W193" s="48" t="n">
        <x:f>(Inputs!$I$9+(((A193)+1)/2)*(Inputs!$J$9-Inputs!$I$9))</x:f>
        <x:v>473.60000000000014</x:v>
      </x:c>
      <x:c r="X193" s="49"/>
      <x:c r="Y193" s="48" t="n">
        <x:f>A193</x:f>
        <x:v>0.592</x:v>
      </x:c>
      <x:c r="Z193" s="48" t="n">
        <x:f>(Inputs!$H$6+Inputs!$L$6*(((Inputs!$I$6+(((A193)+1)/2)*(Inputs!$J$6-Inputs!$I$6)))/Inputs!$K$6)^2)</x:f>
        <x:v>401.401856</x:v>
      </x:c>
      <x:c r="AA193" s="48" t="n">
        <x:f>(Inputs!$H$7+Inputs!$L$7*(((Inputs!$I$7+(((A193)+1)/2)*(Inputs!$J$7-Inputs!$I$7)))/Inputs!$K$7)^2)</x:f>
        <x:v>162.9193600000001</x:v>
      </x:c>
      <x:c r="AB193" s="48" t="n">
        <x:f>(Inputs!$H$8+Inputs!$L$8*(((Inputs!$I$8+(((A193)+1)/2)*(Inputs!$J$8-Inputs!$I$8)))/Inputs!$K$8)^2)</x:f>
        <x:v>373.1977600000002</x:v>
      </x:c>
      <x:c r="AC193" s="48" t="n">
        <x:f>(Inputs!$H$9+Inputs!$L$9*(((Inputs!$I$9+(((A193)+1)/2)*(Inputs!$J$9-Inputs!$I$9)))/Inputs!$K$9)^2)</x:f>
        <x:v>366.70240000000024</x:v>
      </x:c>
      <x:c r="AD193" s="49"/>
      <x:c r="AE193" s="48" t="n">
        <x:f>A193</x:f>
        <x:v>0.592</x:v>
      </x:c>
      <x:c r="AF193" s="48" t="n">
        <x:f>(((SQRT(((Inputs!$I$6+(((A193)+1)/2)*(Inputs!$J$6-Inputs!$I$6)))^2+Inputs!$C$6^2+((Inputs!$H$6+Inputs!$L$6*(((Inputs!$I$6+(((A193)+1)/2)*(Inputs!$J$6-Inputs!$I$6)))/Inputs!$K$6)^2))^2))-((Inputs!$H$6+Inputs!$L$6*(((Inputs!$I$6+(((A193)+1)/2)*(Inputs!$J$6-Inputs!$I$6)))/Inputs!$K$6)^2)))*1000/Inputs!$C$12)</x:f>
        <x:v>1316.439389440221</x:v>
      </x:c>
      <x:c r="AG193" s="48" t="n">
        <x:f>(((SQRT(((Inputs!$I$7+(((A193)+1)/2)*(Inputs!$J$7-Inputs!$I$7)))^2+Inputs!$C$6^2+((Inputs!$H$7+Inputs!$L$7*(((Inputs!$I$7+(((A193)+1)/2)*(Inputs!$J$7-Inputs!$I$7)))/Inputs!$K$7)^2))^2))-((Inputs!$H$7+Inputs!$L$7*(((Inputs!$I$7+(((A193)+1)/2)*(Inputs!$J$7-Inputs!$I$7)))/Inputs!$K$7)^2)))*1000/Inputs!$C$12)</x:f>
        <x:v>70560.37316199145</x:v>
      </x:c>
      <x:c r="AH193" s="48" t="n">
        <x:f>(((SQRT(((Inputs!$I$8+(((A193)+1)/2)*(Inputs!$J$8-Inputs!$I$8)))^2+Inputs!$C$6^2+((Inputs!$H$8+Inputs!$L$8*(((Inputs!$I$8+(((A193)+1)/2)*(Inputs!$J$8-Inputs!$I$8)))/Inputs!$K$8)^2))^2))-((Inputs!$H$8+Inputs!$L$8*(((Inputs!$I$8+(((A193)+1)/2)*(Inputs!$J$8-Inputs!$I$8)))/Inputs!$K$8)^2)))*1000/Inputs!$C$12)</x:f>
        <x:v>129376.89397045772</x:v>
      </x:c>
      <x:c r="AI193" s="48" t="n">
        <x:f>(((SQRT(((Inputs!$I$9+(((A193)+1)/2)*(Inputs!$J$9-Inputs!$I$9)))^2+Inputs!$C$6^2+((Inputs!$H$9+Inputs!$L$9*(((Inputs!$I$9+(((A193)+1)/2)*(Inputs!$J$9-Inputs!$I$9)))/Inputs!$K$9)^2))^2))-((Inputs!$H$9+Inputs!$L$9*(((Inputs!$I$9+(((A193)+1)/2)*(Inputs!$J$9-Inputs!$I$9)))/Inputs!$K$9)^2)))*1000/Inputs!$C$12)</x:f>
        <x:v>130781.58883580852</x:v>
      </x:c>
      <x:c r="AJ193" s="49"/>
      <x:c r="AK193" s="48" t="n">
        <x:f>A193</x:f>
        <x:v>0.592</x:v>
      </x:c>
      <x:c r="AL193" s="48" t="n">
        <x:f>(-2*((1000*((((Inputs!$I$6+(((A193)+1)/2)*(Inputs!$J$6-Inputs!$I$6)))*Inputs!$C$11+((Inputs!$H$6+Inputs!$L$6*(((Inputs!$I$6+(((A193)+1)/2)*(Inputs!$J$6-Inputs!$I$6)))/Inputs!$K$6)^2))*((2*Inputs!$L$6*((Inputs!$I$6+(((A193)+1)/2)*(Inputs!$J$6-Inputs!$I$6)))/(Inputs!$K$6^2)*Inputs!$C$11)))/(SQRT(((Inputs!$I$6+(((A193)+1)/2)*(Inputs!$J$6-Inputs!$I$6)))^2+Inputs!$C$6^2+((Inputs!$H$6+Inputs!$L$6*(((Inputs!$I$6+(((A193)+1)/2)*(Inputs!$J$6-Inputs!$I$6)))/Inputs!$K$6)^2))^2)))))/Inputs!$C$13)</x:f>
        <x:v>-266.3224236689793</x:v>
      </x:c>
      <x:c r="AM193" s="48" t="n">
        <x:f>(-2*((1000*((((Inputs!$I$7+(((A193)+1)/2)*(Inputs!$J$7-Inputs!$I$7)))*Inputs!$C$11+((Inputs!$H$7+Inputs!$L$7*(((Inputs!$I$7+(((A193)+1)/2)*(Inputs!$J$7-Inputs!$I$7)))/Inputs!$K$7)^2))*((2*Inputs!$L$7*((Inputs!$I$7+(((A193)+1)/2)*(Inputs!$J$7-Inputs!$I$7)))/(Inputs!$K$7^2)*Inputs!$C$11)))/(SQRT(((Inputs!$I$7+(((A193)+1)/2)*(Inputs!$J$7-Inputs!$I$7)))^2+Inputs!$C$6^2+((Inputs!$H$7+Inputs!$L$7*(((Inputs!$I$7+(((A193)+1)/2)*(Inputs!$J$7-Inputs!$I$7)))/Inputs!$K$7)^2))^2)))))/Inputs!$C$13)</x:f>
        <x:v>-2289.325498563109</x:v>
      </x:c>
      <x:c r="AN193" s="48" t="n">
        <x:f>(-2*((1000*((((Inputs!$I$8+(((A193)+1)/2)*(Inputs!$J$8-Inputs!$I$8)))*Inputs!$C$11+((Inputs!$H$8+Inputs!$L$8*(((Inputs!$I$8+(((A193)+1)/2)*(Inputs!$J$8-Inputs!$I$8)))/Inputs!$K$8)^2))*((2*Inputs!$L$8*((Inputs!$I$8+(((A193)+1)/2)*(Inputs!$J$8-Inputs!$I$8)))/(Inputs!$K$8^2)*Inputs!$C$11)))/(SQRT(((Inputs!$I$8+(((A193)+1)/2)*(Inputs!$J$8-Inputs!$I$8)))^2+Inputs!$C$6^2+((Inputs!$H$8+Inputs!$L$8*(((Inputs!$I$8+(((A193)+1)/2)*(Inputs!$J$8-Inputs!$I$8)))/Inputs!$K$8)^2))^2)))))/Inputs!$C$13)</x:f>
        <x:v>-2668.7522877585684</x:v>
      </x:c>
      <x:c r="AO193" s="48" t="n">
        <x:f>(-2*((1000*((((Inputs!$I$9+(((A193)+1)/2)*(Inputs!$J$9-Inputs!$I$9)))*Inputs!$C$11+((Inputs!$H$9+Inputs!$L$9*(((Inputs!$I$9+(((A193)+1)/2)*(Inputs!$J$9-Inputs!$I$9)))/Inputs!$K$9)^2))*((2*Inputs!$L$9*((Inputs!$I$9+(((A193)+1)/2)*(Inputs!$J$9-Inputs!$I$9)))/(Inputs!$K$9^2)*Inputs!$C$11)))/(SQRT(((Inputs!$I$9+(((A193)+1)/2)*(Inputs!$J$9-Inputs!$I$9)))^2+Inputs!$C$6^2+((Inputs!$H$9+Inputs!$L$9*(((Inputs!$I$9+(((A193)+1)/2)*(Inputs!$J$9-Inputs!$I$9)))/Inputs!$K$9)^2))^2)))))/Inputs!$C$13)</x:f>
        <x:v>-2676.262808881993</x:v>
      </x:c>
    </x:row>
    <x:row r="194">
      <x:c r="A194" s="48" t="n">
        <x:f>ROUND(-1+192*2/240,3)</x:f>
        <x:v>0.6</x:v>
      </x:c>
      <x:c r="B194" s="48" t="n">
        <x:f>IF(OR(Inputs!$F$6=TRUE,Inputs!$F$6="TRUE",Inputs!$F$6=1),(Inputs!$H$6+Inputs!$L$6*(((Inputs!$I$6+(((A194)+1)/2)*(Inputs!$J$6-Inputs!$I$6)))/Inputs!$K$6)^2),NA())</x:f>
        <x:v>401.44</x:v>
      </x:c>
      <x:c r="C194" s="48" t="n">
        <x:f>IF(OR(Inputs!$F$7=TRUE,Inputs!$F$7="TRUE",Inputs!$F$7=1),(Inputs!$H$7+Inputs!$L$7*(((Inputs!$I$7+(((A194)+1)/2)*(Inputs!$J$7-Inputs!$I$7)))/Inputs!$K$7)^2),NA())</x:f>
        <x:v>166.4</x:v>
      </x:c>
      <x:c r="D194" s="48" t="n">
        <x:f>IF(OR(Inputs!$F$8=TRUE,Inputs!$F$8="TRUE",Inputs!$F$8=1),(Inputs!$H$8+Inputs!$L$8*(((Inputs!$I$8+(((A194)+1)/2)*(Inputs!$J$8-Inputs!$I$8)))/Inputs!$K$8)^2),NA())</x:f>
        <x:v>382.4</x:v>
      </x:c>
      <x:c r="E194" s="48" t="n">
        <x:f>IF(OR(Inputs!$F$9=TRUE,Inputs!$F$9="TRUE",Inputs!$F$9=1),(Inputs!$H$9+Inputs!$L$9*(((Inputs!$I$9+(((A194)+1)/2)*(Inputs!$J$9-Inputs!$I$9)))/Inputs!$K$9)^2),NA())</x:f>
        <x:v>376</x:v>
      </x:c>
      <x:c r="F194" s="49"/>
      <x:c r="G194" s="48" t="n">
        <x:f>A194</x:f>
        <x:v>0.6</x:v>
      </x:c>
      <x:c r="H194" s="48" t="n">
        <x:f>IF(OR(Inputs!$F$6=TRUE,Inputs!$F$6="TRUE",Inputs!$F$6=1),(((SQRT(((Inputs!$I$6+(((A194)+1)/2)*(Inputs!$J$6-Inputs!$I$6)))^2+Inputs!$C$6^2+((Inputs!$H$6+Inputs!$L$6*(((Inputs!$I$6+(((A194)+1)/2)*(Inputs!$J$6-Inputs!$I$6)))/Inputs!$K$6)^2))^2))-((Inputs!$H$6+Inputs!$L$6*(((Inputs!$I$6+(((A194)+1)/2)*(Inputs!$J$6-Inputs!$I$6)))/Inputs!$K$6)^2)))*1000/Inputs!$C$12),NA())</x:f>
        <x:v>1340.195771682717</x:v>
      </x:c>
      <x:c r="I194" s="48" t="n">
        <x:f>IF(OR(Inputs!$F$7=TRUE,Inputs!$F$7="TRUE",Inputs!$F$7=1),(((SQRT(((Inputs!$I$7+(((A194)+1)/2)*(Inputs!$J$7-Inputs!$I$7)))^2+Inputs!$C$6^2+((Inputs!$H$7+Inputs!$L$7*(((Inputs!$I$7+(((A194)+1)/2)*(Inputs!$J$7-Inputs!$I$7)))/Inputs!$K$7)^2))^2))-((Inputs!$H$7+Inputs!$L$7*(((Inputs!$I$7+(((A194)+1)/2)*(Inputs!$J$7-Inputs!$I$7)))/Inputs!$K$7)^2)))*1000/Inputs!$C$12),NA())</x:f>
        <x:v>71185.86083158114</x:v>
      </x:c>
      <x:c r="J194" s="48" t="n">
        <x:f>IF(OR(Inputs!$F$8=TRUE,Inputs!$F$8="TRUE",Inputs!$F$8=1),(((SQRT(((Inputs!$I$8+(((A194)+1)/2)*(Inputs!$J$8-Inputs!$I$8)))^2+Inputs!$C$6^2+((Inputs!$H$8+Inputs!$L$8*(((Inputs!$I$8+(((A194)+1)/2)*(Inputs!$J$8-Inputs!$I$8)))/Inputs!$K$8)^2))^2))-((Inputs!$H$8+Inputs!$L$8*(((Inputs!$I$8+(((A194)+1)/2)*(Inputs!$J$8-Inputs!$I$8)))/Inputs!$K$8)^2)))*1000/Inputs!$C$12),NA())</x:f>
        <x:v>130230.7193636043</x:v>
      </x:c>
      <x:c r="K194" s="48" t="n">
        <x:f>IF(OR(Inputs!$F$9=TRUE,Inputs!$F$9="TRUE",Inputs!$F$9=1),(((SQRT(((Inputs!$I$9+(((A194)+1)/2)*(Inputs!$J$9-Inputs!$I$9)))^2+Inputs!$C$6^2+((Inputs!$H$9+Inputs!$L$9*(((Inputs!$I$9+(((A194)+1)/2)*(Inputs!$J$9-Inputs!$I$9)))/Inputs!$K$9)^2))^2))-((Inputs!$H$9+Inputs!$L$9*(((Inputs!$I$9+(((A194)+1)/2)*(Inputs!$J$9-Inputs!$I$9)))/Inputs!$K$9)^2)))*1000/Inputs!$C$12),NA())</x:f>
        <x:v>131599.25361632076</x:v>
      </x:c>
      <x:c r="L194" s="49"/>
      <x:c r="M194" s="48" t="n">
        <x:f>A194</x:f>
        <x:v>0.6</x:v>
      </x:c>
      <x:c r="N194" s="48" t="n">
        <x:f>IF(OR(Inputs!$F$6=TRUE,Inputs!$F$6="TRUE",Inputs!$F$6=1),(-2*((1000*((((Inputs!$I$6+(((A194)+1)/2)*(Inputs!$J$6-Inputs!$I$6)))*Inputs!$C$11+((Inputs!$H$6+Inputs!$L$6*(((Inputs!$I$6+(((A194)+1)/2)*(Inputs!$J$6-Inputs!$I$6)))/Inputs!$K$6)^2))*((2*Inputs!$L$6*((Inputs!$I$6+(((A194)+1)/2)*(Inputs!$J$6-Inputs!$I$6)))/(Inputs!$K$6^2)*Inputs!$C$11)))/(SQRT(((Inputs!$I$6+(((A194)+1)/2)*(Inputs!$J$6-Inputs!$I$6)))^2+Inputs!$C$6^2+((Inputs!$H$6+Inputs!$L$6*(((Inputs!$I$6+(((A194)+1)/2)*(Inputs!$J$6-Inputs!$I$6)))/Inputs!$K$6)^2))^2)))))/Inputs!$C$13),NA())</x:f>
        <x:v>-269.8797052636854</x:v>
      </x:c>
      <x:c r="O194" s="48" t="n">
        <x:f>IF(OR(Inputs!$F$7=TRUE,Inputs!$F$7="TRUE",Inputs!$F$7=1),(-2*((1000*((((Inputs!$I$7+(((A194)+1)/2)*(Inputs!$J$7-Inputs!$I$7)))*Inputs!$C$11+((Inputs!$H$7+Inputs!$L$7*(((Inputs!$I$7+(((A194)+1)/2)*(Inputs!$J$7-Inputs!$I$7)))/Inputs!$K$7)^2))*((2*Inputs!$L$7*((Inputs!$I$7+(((A194)+1)/2)*(Inputs!$J$7-Inputs!$I$7)))/(Inputs!$K$7^2)*Inputs!$C$11)))/(SQRT(((Inputs!$I$7+(((A194)+1)/2)*(Inputs!$J$7-Inputs!$I$7)))^2+Inputs!$C$6^2+((Inputs!$H$7+Inputs!$L$7*(((Inputs!$I$7+(((A194)+1)/2)*(Inputs!$J$7-Inputs!$I$7)))/Inputs!$K$7)^2))^2)))))/Inputs!$C$13),NA())</x:f>
        <x:v>-2304.700903561931</x:v>
      </x:c>
      <x:c r="P194" s="48" t="n">
        <x:f>IF(OR(Inputs!$F$8=TRUE,Inputs!$F$8="TRUE",Inputs!$F$8=1),(-2*((1000*((((Inputs!$I$8+(((A194)+1)/2)*(Inputs!$J$8-Inputs!$I$8)))*Inputs!$C$11+((Inputs!$H$8+Inputs!$L$8*(((Inputs!$I$8+(((A194)+1)/2)*(Inputs!$J$8-Inputs!$I$8)))/Inputs!$K$8)^2))*((2*Inputs!$L$8*((Inputs!$I$8+(((A194)+1)/2)*(Inputs!$J$8-Inputs!$I$8)))/(Inputs!$K$8^2)*Inputs!$C$11)))/(SQRT(((Inputs!$I$8+(((A194)+1)/2)*(Inputs!$J$8-Inputs!$I$8)))^2+Inputs!$C$6^2+((Inputs!$H$8+Inputs!$L$8*(((Inputs!$I$8+(((A194)+1)/2)*(Inputs!$J$8-Inputs!$I$8)))/Inputs!$K$8)^2))^2)))))/Inputs!$C$13),NA())</x:f>
        <x:v>-2692.298347436935</x:v>
      </x:c>
      <x:c r="Q194" s="48" t="n">
        <x:f>IF(OR(Inputs!$F$9=TRUE,Inputs!$F$9="TRUE",Inputs!$F$9=1),(-2*((1000*((((Inputs!$I$9+(((A194)+1)/2)*(Inputs!$J$9-Inputs!$I$9)))*Inputs!$C$11+((Inputs!$H$9+Inputs!$L$9*(((Inputs!$I$9+(((A194)+1)/2)*(Inputs!$J$9-Inputs!$I$9)))/Inputs!$K$9)^2))*((2*Inputs!$L$9*((Inputs!$I$9+(((A194)+1)/2)*(Inputs!$J$9-Inputs!$I$9)))/(Inputs!$K$9^2)*Inputs!$C$11)))/(SQRT(((Inputs!$I$9+(((A194)+1)/2)*(Inputs!$J$9-Inputs!$I$9)))^2+Inputs!$C$6^2+((Inputs!$H$9+Inputs!$L$9*(((Inputs!$I$9+(((A194)+1)/2)*(Inputs!$J$9-Inputs!$I$9)))/Inputs!$K$9)^2))^2)))))/Inputs!$C$13),NA())</x:f>
        <x:v>-2700.2851094944162</x:v>
      </x:c>
      <x:c r="R194" s="49"/>
      <x:c r="S194" s="48" t="n">
        <x:f>A194</x:f>
        <x:v>0.6</x:v>
      </x:c>
      <x:c r="T194" s="48" t="n">
        <x:f>(Inputs!$I$6+(((A194)+1)/2)*(Inputs!$J$6-Inputs!$I$6))</x:f>
        <x:v>36</x:v>
      </x:c>
      <x:c r="U194" s="48" t="n">
        <x:f>(Inputs!$I$7+(((A194)+1)/2)*(Inputs!$J$7-Inputs!$I$7))</x:f>
        <x:v>240</x:v>
      </x:c>
      <x:c r="V194" s="48" t="n">
        <x:f>(Inputs!$I$8+(((A194)+1)/2)*(Inputs!$J$8-Inputs!$I$8))</x:f>
        <x:v>480</x:v>
      </x:c>
      <x:c r="W194" s="48" t="n">
        <x:f>(Inputs!$I$9+(((A194)+1)/2)*(Inputs!$J$9-Inputs!$I$9))</x:f>
        <x:v>480</x:v>
      </x:c>
      <x:c r="X194" s="49"/>
      <x:c r="Y194" s="48" t="n">
        <x:f>A194</x:f>
        <x:v>0.6</x:v>
      </x:c>
      <x:c r="Z194" s="48" t="n">
        <x:f>(Inputs!$H$6+Inputs!$L$6*(((Inputs!$I$6+(((A194)+1)/2)*(Inputs!$J$6-Inputs!$I$6)))/Inputs!$K$6)^2)</x:f>
        <x:v>401.44</x:v>
      </x:c>
      <x:c r="AA194" s="48" t="n">
        <x:f>(Inputs!$H$7+Inputs!$L$7*(((Inputs!$I$7+(((A194)+1)/2)*(Inputs!$J$7-Inputs!$I$7)))/Inputs!$K$7)^2)</x:f>
        <x:v>166.4</x:v>
      </x:c>
      <x:c r="AB194" s="48" t="n">
        <x:f>(Inputs!$H$8+Inputs!$L$8*(((Inputs!$I$8+(((A194)+1)/2)*(Inputs!$J$8-Inputs!$I$8)))/Inputs!$K$8)^2)</x:f>
        <x:v>382.4</x:v>
      </x:c>
      <x:c r="AC194" s="48" t="n">
        <x:f>(Inputs!$H$9+Inputs!$L$9*(((Inputs!$I$9+(((A194)+1)/2)*(Inputs!$J$9-Inputs!$I$9)))/Inputs!$K$9)^2)</x:f>
        <x:v>376</x:v>
      </x:c>
      <x:c r="AD194" s="49"/>
      <x:c r="AE194" s="48" t="n">
        <x:f>A194</x:f>
        <x:v>0.6</x:v>
      </x:c>
      <x:c r="AF194" s="48" t="n">
        <x:f>(((SQRT(((Inputs!$I$6+(((A194)+1)/2)*(Inputs!$J$6-Inputs!$I$6)))^2+Inputs!$C$6^2+((Inputs!$H$6+Inputs!$L$6*(((Inputs!$I$6+(((A194)+1)/2)*(Inputs!$J$6-Inputs!$I$6)))/Inputs!$K$6)^2))^2))-((Inputs!$H$6+Inputs!$L$6*(((Inputs!$I$6+(((A194)+1)/2)*(Inputs!$J$6-Inputs!$I$6)))/Inputs!$K$6)^2)))*1000/Inputs!$C$12)</x:f>
        <x:v>1340.195771682717</x:v>
      </x:c>
      <x:c r="AG194" s="48" t="n">
        <x:f>(((SQRT(((Inputs!$I$7+(((A194)+1)/2)*(Inputs!$J$7-Inputs!$I$7)))^2+Inputs!$C$6^2+((Inputs!$H$7+Inputs!$L$7*(((Inputs!$I$7+(((A194)+1)/2)*(Inputs!$J$7-Inputs!$I$7)))/Inputs!$K$7)^2))^2))-((Inputs!$H$7+Inputs!$L$7*(((Inputs!$I$7+(((A194)+1)/2)*(Inputs!$J$7-Inputs!$I$7)))/Inputs!$K$7)^2)))*1000/Inputs!$C$12)</x:f>
        <x:v>71185.86083158114</x:v>
      </x:c>
      <x:c r="AH194" s="48" t="n">
        <x:f>(((SQRT(((Inputs!$I$8+(((A194)+1)/2)*(Inputs!$J$8-Inputs!$I$8)))^2+Inputs!$C$6^2+((Inputs!$H$8+Inputs!$L$8*(((Inputs!$I$8+(((A194)+1)/2)*(Inputs!$J$8-Inputs!$I$8)))/Inputs!$K$8)^2))^2))-((Inputs!$H$8+Inputs!$L$8*(((Inputs!$I$8+(((A194)+1)/2)*(Inputs!$J$8-Inputs!$I$8)))/Inputs!$K$8)^2)))*1000/Inputs!$C$12)</x:f>
        <x:v>130230.7193636043</x:v>
      </x:c>
      <x:c r="AI194" s="48" t="n">
        <x:f>(((SQRT(((Inputs!$I$9+(((A194)+1)/2)*(Inputs!$J$9-Inputs!$I$9)))^2+Inputs!$C$6^2+((Inputs!$H$9+Inputs!$L$9*(((Inputs!$I$9+(((A194)+1)/2)*(Inputs!$J$9-Inputs!$I$9)))/Inputs!$K$9)^2))^2))-((Inputs!$H$9+Inputs!$L$9*(((Inputs!$I$9+(((A194)+1)/2)*(Inputs!$J$9-Inputs!$I$9)))/Inputs!$K$9)^2)))*1000/Inputs!$C$12)</x:f>
        <x:v>131599.25361632076</x:v>
      </x:c>
      <x:c r="AJ194" s="49"/>
      <x:c r="AK194" s="48" t="n">
        <x:f>A194</x:f>
        <x:v>0.6</x:v>
      </x:c>
      <x:c r="AL194" s="48" t="n">
        <x:f>(-2*((1000*((((Inputs!$I$6+(((A194)+1)/2)*(Inputs!$J$6-Inputs!$I$6)))*Inputs!$C$11+((Inputs!$H$6+Inputs!$L$6*(((Inputs!$I$6+(((A194)+1)/2)*(Inputs!$J$6-Inputs!$I$6)))/Inputs!$K$6)^2))*((2*Inputs!$L$6*((Inputs!$I$6+(((A194)+1)/2)*(Inputs!$J$6-Inputs!$I$6)))/(Inputs!$K$6^2)*Inputs!$C$11)))/(SQRT(((Inputs!$I$6+(((A194)+1)/2)*(Inputs!$J$6-Inputs!$I$6)))^2+Inputs!$C$6^2+((Inputs!$H$6+Inputs!$L$6*(((Inputs!$I$6+(((A194)+1)/2)*(Inputs!$J$6-Inputs!$I$6)))/Inputs!$K$6)^2))^2)))))/Inputs!$C$13)</x:f>
        <x:v>-269.8797052636854</x:v>
      </x:c>
      <x:c r="AM194" s="48" t="n">
        <x:f>(-2*((1000*((((Inputs!$I$7+(((A194)+1)/2)*(Inputs!$J$7-Inputs!$I$7)))*Inputs!$C$11+((Inputs!$H$7+Inputs!$L$7*(((Inputs!$I$7+(((A194)+1)/2)*(Inputs!$J$7-Inputs!$I$7)))/Inputs!$K$7)^2))*((2*Inputs!$L$7*((Inputs!$I$7+(((A194)+1)/2)*(Inputs!$J$7-Inputs!$I$7)))/(Inputs!$K$7^2)*Inputs!$C$11)))/(SQRT(((Inputs!$I$7+(((A194)+1)/2)*(Inputs!$J$7-Inputs!$I$7)))^2+Inputs!$C$6^2+((Inputs!$H$7+Inputs!$L$7*(((Inputs!$I$7+(((A194)+1)/2)*(Inputs!$J$7-Inputs!$I$7)))/Inputs!$K$7)^2))^2)))))/Inputs!$C$13)</x:f>
        <x:v>-2304.700903561931</x:v>
      </x:c>
      <x:c r="AN194" s="48" t="n">
        <x:f>(-2*((1000*((((Inputs!$I$8+(((A194)+1)/2)*(Inputs!$J$8-Inputs!$I$8)))*Inputs!$C$11+((Inputs!$H$8+Inputs!$L$8*(((Inputs!$I$8+(((A194)+1)/2)*(Inputs!$J$8-Inputs!$I$8)))/Inputs!$K$8)^2))*((2*Inputs!$L$8*((Inputs!$I$8+(((A194)+1)/2)*(Inputs!$J$8-Inputs!$I$8)))/(Inputs!$K$8^2)*Inputs!$C$11)))/(SQRT(((Inputs!$I$8+(((A194)+1)/2)*(Inputs!$J$8-Inputs!$I$8)))^2+Inputs!$C$6^2+((Inputs!$H$8+Inputs!$L$8*(((Inputs!$I$8+(((A194)+1)/2)*(Inputs!$J$8-Inputs!$I$8)))/Inputs!$K$8)^2))^2)))))/Inputs!$C$13)</x:f>
        <x:v>-2692.298347436935</x:v>
      </x:c>
      <x:c r="AO194" s="48" t="n">
        <x:f>(-2*((1000*((((Inputs!$I$9+(((A194)+1)/2)*(Inputs!$J$9-Inputs!$I$9)))*Inputs!$C$11+((Inputs!$H$9+Inputs!$L$9*(((Inputs!$I$9+(((A194)+1)/2)*(Inputs!$J$9-Inputs!$I$9)))/Inputs!$K$9)^2))*((2*Inputs!$L$9*((Inputs!$I$9+(((A194)+1)/2)*(Inputs!$J$9-Inputs!$I$9)))/(Inputs!$K$9^2)*Inputs!$C$11)))/(SQRT(((Inputs!$I$9+(((A194)+1)/2)*(Inputs!$J$9-Inputs!$I$9)))^2+Inputs!$C$6^2+((Inputs!$H$9+Inputs!$L$9*(((Inputs!$I$9+(((A194)+1)/2)*(Inputs!$J$9-Inputs!$I$9)))/Inputs!$K$9)^2))^2)))))/Inputs!$C$13)</x:f>
        <x:v>-2700.2851094944162</x:v>
      </x:c>
    </x:row>
    <x:row r="195">
      <x:c r="A195" s="48" t="n">
        <x:f>ROUND(-1+193*2/240,3)</x:f>
        <x:v>0.608</x:v>
      </x:c>
      <x:c r="B195" s="48" t="n">
        <x:f>IF(OR(Inputs!$F$6=TRUE,Inputs!$F$6="TRUE",Inputs!$F$6=1),(Inputs!$H$6+Inputs!$L$6*(((Inputs!$I$6+(((A195)+1)/2)*(Inputs!$J$6-Inputs!$I$6)))/Inputs!$K$6)^2),NA())</x:f>
        <x:v>401.478656</x:v>
      </x:c>
      <x:c r="C195" s="48" t="n">
        <x:f>IF(OR(Inputs!$F$7=TRUE,Inputs!$F$7="TRUE",Inputs!$F$7=1),(Inputs!$H$7+Inputs!$L$7*(((Inputs!$I$7+(((A195)+1)/2)*(Inputs!$J$7-Inputs!$I$7)))/Inputs!$K$7)^2),NA())</x:f>
        <x:v>169.92736000000005</x:v>
      </x:c>
      <x:c r="D195" s="48" t="n">
        <x:f>IF(OR(Inputs!$F$8=TRUE,Inputs!$F$8="TRUE",Inputs!$F$8=1),(Inputs!$H$8+Inputs!$L$8*(((Inputs!$I$8+(((A195)+1)/2)*(Inputs!$J$8-Inputs!$I$8)))/Inputs!$K$8)^2),NA())</x:f>
        <x:v>391.7257600000001</x:v>
      </x:c>
      <x:c r="E195" s="48" t="n">
        <x:f>IF(OR(Inputs!$F$9=TRUE,Inputs!$F$9="TRUE",Inputs!$F$9=1),(Inputs!$H$9+Inputs!$L$9*(((Inputs!$I$9+(((A195)+1)/2)*(Inputs!$J$9-Inputs!$I$9)))/Inputs!$K$9)^2),NA())</x:f>
        <x:v>385.4224000000001</x:v>
      </x:c>
      <x:c r="F195" s="49"/>
      <x:c r="G195" s="48" t="n">
        <x:f>A195</x:f>
        <x:v>0.608</x:v>
      </x:c>
      <x:c r="H195" s="48" t="n">
        <x:f>IF(OR(Inputs!$F$6=TRUE,Inputs!$F$6="TRUE",Inputs!$F$6=1),(((SQRT(((Inputs!$I$6+(((A195)+1)/2)*(Inputs!$J$6-Inputs!$I$6)))^2+Inputs!$C$6^2+((Inputs!$H$6+Inputs!$L$6*(((Inputs!$I$6+(((A195)+1)/2)*(Inputs!$J$6-Inputs!$I$6)))/Inputs!$K$6)^2))^2))-((Inputs!$H$6+Inputs!$L$6*(((Inputs!$I$6+(((A195)+1)/2)*(Inputs!$J$6-Inputs!$I$6)))/Inputs!$K$6)^2)))*1000/Inputs!$C$12),NA())</x:f>
        <x:v>1364.2639163684019</x:v>
      </x:c>
      <x:c r="I195" s="48" t="n">
        <x:f>IF(OR(Inputs!$F$7=TRUE,Inputs!$F$7="TRUE",Inputs!$F$7=1),(((SQRT(((Inputs!$I$7+(((A195)+1)/2)*(Inputs!$J$7-Inputs!$I$7)))^2+Inputs!$C$6^2+((Inputs!$H$7+Inputs!$L$7*(((Inputs!$I$7+(((A195)+1)/2)*(Inputs!$J$7-Inputs!$I$7)))/Inputs!$K$7)^2))^2))-((Inputs!$H$7+Inputs!$L$7*(((Inputs!$I$7+(((A195)+1)/2)*(Inputs!$J$7-Inputs!$I$7)))/Inputs!$K$7)^2)))*1000/Inputs!$C$12),NA())</x:f>
        <x:v>71802.43878914848</x:v>
      </x:c>
      <x:c r="J195" s="48" t="n">
        <x:f>IF(OR(Inputs!$F$8=TRUE,Inputs!$F$8="TRUE",Inputs!$F$8=1),(((SQRT(((Inputs!$I$8+(((A195)+1)/2)*(Inputs!$J$8-Inputs!$I$8)))^2+Inputs!$C$6^2+((Inputs!$H$8+Inputs!$L$8*(((Inputs!$I$8+(((A195)+1)/2)*(Inputs!$J$8-Inputs!$I$8)))/Inputs!$K$8)^2))^2))-((Inputs!$H$8+Inputs!$L$8*(((Inputs!$I$8+(((A195)+1)/2)*(Inputs!$J$8-Inputs!$I$8)))/Inputs!$K$8)^2)))*1000/Inputs!$C$12),NA())</x:f>
        <x:v>131068.23833996318</x:v>
      </x:c>
      <x:c r="K195" s="48" t="n">
        <x:f>IF(OR(Inputs!$F$9=TRUE,Inputs!$F$9="TRUE",Inputs!$F$9=1),(((SQRT(((Inputs!$I$9+(((A195)+1)/2)*(Inputs!$J$9-Inputs!$I$9)))^2+Inputs!$C$6^2+((Inputs!$H$9+Inputs!$L$9*(((Inputs!$I$9+(((A195)+1)/2)*(Inputs!$J$9-Inputs!$I$9)))/Inputs!$K$9)^2))^2))-((Inputs!$H$9+Inputs!$L$9*(((Inputs!$I$9+(((A195)+1)/2)*(Inputs!$J$9-Inputs!$I$9)))/Inputs!$K$9)^2)))*1000/Inputs!$C$12),NA())</x:f>
        <x:v>132400.9645476228</x:v>
      </x:c>
      <x:c r="L195" s="49"/>
      <x:c r="M195" s="48" t="n">
        <x:f>A195</x:f>
        <x:v>0.608</x:v>
      </x:c>
      <x:c r="N195" s="48" t="n">
        <x:f>IF(OR(Inputs!$F$6=TRUE,Inputs!$F$6="TRUE",Inputs!$F$6=1),(-2*((1000*((((Inputs!$I$6+(((A195)+1)/2)*(Inputs!$J$6-Inputs!$I$6)))*Inputs!$C$11+((Inputs!$H$6+Inputs!$L$6*(((Inputs!$I$6+(((A195)+1)/2)*(Inputs!$J$6-Inputs!$I$6)))/Inputs!$K$6)^2))*((2*Inputs!$L$6*((Inputs!$I$6+(((A195)+1)/2)*(Inputs!$J$6-Inputs!$I$6)))/(Inputs!$K$6^2)*Inputs!$C$11)))/(SQRT(((Inputs!$I$6+(((A195)+1)/2)*(Inputs!$J$6-Inputs!$I$6)))^2+Inputs!$C$6^2+((Inputs!$H$6+Inputs!$L$6*(((Inputs!$I$6+(((A195)+1)/2)*(Inputs!$J$6-Inputs!$I$6)))/Inputs!$K$6)^2))^2)))))/Inputs!$C$13),NA())</x:f>
        <x:v>-273.435334599617</x:v>
      </x:c>
      <x:c r="O195" s="48" t="n">
        <x:f>IF(OR(Inputs!$F$7=TRUE,Inputs!$F$7="TRUE",Inputs!$F$7=1),(-2*((1000*((((Inputs!$I$7+(((A195)+1)/2)*(Inputs!$J$7-Inputs!$I$7)))*Inputs!$C$11+((Inputs!$H$7+Inputs!$L$7*(((Inputs!$I$7+(((A195)+1)/2)*(Inputs!$J$7-Inputs!$I$7)))/Inputs!$K$7)^2))*((2*Inputs!$L$7*((Inputs!$I$7+(((A195)+1)/2)*(Inputs!$J$7-Inputs!$I$7)))/(Inputs!$K$7^2)*Inputs!$C$11)))/(SQRT(((Inputs!$I$7+(((A195)+1)/2)*(Inputs!$J$7-Inputs!$I$7)))^2+Inputs!$C$6^2+((Inputs!$H$7+Inputs!$L$7*(((Inputs!$I$7+(((A195)+1)/2)*(Inputs!$J$7-Inputs!$I$7)))/Inputs!$K$7)^2))^2)))))/Inputs!$C$13),NA())</x:f>
        <x:v>-2320.186109444511</x:v>
      </x:c>
      <x:c r="P195" s="48" t="n">
        <x:f>IF(OR(Inputs!$F$8=TRUE,Inputs!$F$8="TRUE",Inputs!$F$8=1),(-2*((1000*((((Inputs!$I$8+(((A195)+1)/2)*(Inputs!$J$8-Inputs!$I$8)))*Inputs!$C$11+((Inputs!$H$8+Inputs!$L$8*(((Inputs!$I$8+(((A195)+1)/2)*(Inputs!$J$8-Inputs!$I$8)))/Inputs!$K$8)^2))*((2*Inputs!$L$8*((Inputs!$I$8+(((A195)+1)/2)*(Inputs!$J$8-Inputs!$I$8)))/(Inputs!$K$8^2)*Inputs!$C$11)))/(SQRT(((Inputs!$I$8+(((A195)+1)/2)*(Inputs!$J$8-Inputs!$I$8)))^2+Inputs!$C$6^2+((Inputs!$H$8+Inputs!$L$8*(((Inputs!$I$8+(((A195)+1)/2)*(Inputs!$J$8-Inputs!$I$8)))/Inputs!$K$8)^2))^2)))))/Inputs!$C$13),NA())</x:f>
        <x:v>-2715.9990569675015</x:v>
      </x:c>
      <x:c r="Q195" s="48" t="n">
        <x:f>IF(OR(Inputs!$F$9=TRUE,Inputs!$F$9="TRUE",Inputs!$F$9=1),(-2*((1000*((((Inputs!$I$9+(((A195)+1)/2)*(Inputs!$J$9-Inputs!$I$9)))*Inputs!$C$11+((Inputs!$H$9+Inputs!$L$9*(((Inputs!$I$9+(((A195)+1)/2)*(Inputs!$J$9-Inputs!$I$9)))/Inputs!$K$9)^2))*((2*Inputs!$L$9*((Inputs!$I$9+(((A195)+1)/2)*(Inputs!$J$9-Inputs!$I$9)))/(Inputs!$K$9^2)*Inputs!$C$11)))/(SQRT(((Inputs!$I$9+(((A195)+1)/2)*(Inputs!$J$9-Inputs!$I$9)))^2+Inputs!$C$6^2+((Inputs!$H$9+Inputs!$L$9*(((Inputs!$I$9+(((A195)+1)/2)*(Inputs!$J$9-Inputs!$I$9)))/Inputs!$K$9)^2))^2)))))/Inputs!$C$13),NA())</x:f>
        <x:v>-2724.4633299916436</x:v>
      </x:c>
      <x:c r="R195" s="49"/>
      <x:c r="S195" s="48" t="n">
        <x:f>A195</x:f>
        <x:v>0.608</x:v>
      </x:c>
      <x:c r="T195" s="48" t="n">
        <x:f>(Inputs!$I$6+(((A195)+1)/2)*(Inputs!$J$6-Inputs!$I$6))</x:f>
        <x:v>36.480000000000004</x:v>
      </x:c>
      <x:c r="U195" s="48" t="n">
        <x:f>(Inputs!$I$7+(((A195)+1)/2)*(Inputs!$J$7-Inputs!$I$7))</x:f>
        <x:v>243.20000000000005</x:v>
      </x:c>
      <x:c r="V195" s="48" t="n">
        <x:f>(Inputs!$I$8+(((A195)+1)/2)*(Inputs!$J$8-Inputs!$I$8))</x:f>
        <x:v>486.4000000000001</x:v>
      </x:c>
      <x:c r="W195" s="48" t="n">
        <x:f>(Inputs!$I$9+(((A195)+1)/2)*(Inputs!$J$9-Inputs!$I$9))</x:f>
        <x:v>486.4000000000001</x:v>
      </x:c>
      <x:c r="X195" s="49"/>
      <x:c r="Y195" s="48" t="n">
        <x:f>A195</x:f>
        <x:v>0.608</x:v>
      </x:c>
      <x:c r="Z195" s="48" t="n">
        <x:f>(Inputs!$H$6+Inputs!$L$6*(((Inputs!$I$6+(((A195)+1)/2)*(Inputs!$J$6-Inputs!$I$6)))/Inputs!$K$6)^2)</x:f>
        <x:v>401.478656</x:v>
      </x:c>
      <x:c r="AA195" s="48" t="n">
        <x:f>(Inputs!$H$7+Inputs!$L$7*(((Inputs!$I$7+(((A195)+1)/2)*(Inputs!$J$7-Inputs!$I$7)))/Inputs!$K$7)^2)</x:f>
        <x:v>169.92736000000005</x:v>
      </x:c>
      <x:c r="AB195" s="48" t="n">
        <x:f>(Inputs!$H$8+Inputs!$L$8*(((Inputs!$I$8+(((A195)+1)/2)*(Inputs!$J$8-Inputs!$I$8)))/Inputs!$K$8)^2)</x:f>
        <x:v>391.7257600000001</x:v>
      </x:c>
      <x:c r="AC195" s="48" t="n">
        <x:f>(Inputs!$H$9+Inputs!$L$9*(((Inputs!$I$9+(((A195)+1)/2)*(Inputs!$J$9-Inputs!$I$9)))/Inputs!$K$9)^2)</x:f>
        <x:v>385.4224000000001</x:v>
      </x:c>
      <x:c r="AD195" s="49"/>
      <x:c r="AE195" s="48" t="n">
        <x:f>A195</x:f>
        <x:v>0.608</x:v>
      </x:c>
      <x:c r="AF195" s="48" t="n">
        <x:f>(((SQRT(((Inputs!$I$6+(((A195)+1)/2)*(Inputs!$J$6-Inputs!$I$6)))^2+Inputs!$C$6^2+((Inputs!$H$6+Inputs!$L$6*(((Inputs!$I$6+(((A195)+1)/2)*(Inputs!$J$6-Inputs!$I$6)))/Inputs!$K$6)^2))^2))-((Inputs!$H$6+Inputs!$L$6*(((Inputs!$I$6+(((A195)+1)/2)*(Inputs!$J$6-Inputs!$I$6)))/Inputs!$K$6)^2)))*1000/Inputs!$C$12)</x:f>
        <x:v>1364.2639163684019</x:v>
      </x:c>
      <x:c r="AG195" s="48" t="n">
        <x:f>(((SQRT(((Inputs!$I$7+(((A195)+1)/2)*(Inputs!$J$7-Inputs!$I$7)))^2+Inputs!$C$6^2+((Inputs!$H$7+Inputs!$L$7*(((Inputs!$I$7+(((A195)+1)/2)*(Inputs!$J$7-Inputs!$I$7)))/Inputs!$K$7)^2))^2))-((Inputs!$H$7+Inputs!$L$7*(((Inputs!$I$7+(((A195)+1)/2)*(Inputs!$J$7-Inputs!$I$7)))/Inputs!$K$7)^2)))*1000/Inputs!$C$12)</x:f>
        <x:v>71802.43878914848</x:v>
      </x:c>
      <x:c r="AH195" s="48" t="n">
        <x:f>(((SQRT(((Inputs!$I$8+(((A195)+1)/2)*(Inputs!$J$8-Inputs!$I$8)))^2+Inputs!$C$6^2+((Inputs!$H$8+Inputs!$L$8*(((Inputs!$I$8+(((A195)+1)/2)*(Inputs!$J$8-Inputs!$I$8)))/Inputs!$K$8)^2))^2))-((Inputs!$H$8+Inputs!$L$8*(((Inputs!$I$8+(((A195)+1)/2)*(Inputs!$J$8-Inputs!$I$8)))/Inputs!$K$8)^2)))*1000/Inputs!$C$12)</x:f>
        <x:v>131068.23833996318</x:v>
      </x:c>
      <x:c r="AI195" s="48" t="n">
        <x:f>(((SQRT(((Inputs!$I$9+(((A195)+1)/2)*(Inputs!$J$9-Inputs!$I$9)))^2+Inputs!$C$6^2+((Inputs!$H$9+Inputs!$L$9*(((Inputs!$I$9+(((A195)+1)/2)*(Inputs!$J$9-Inputs!$I$9)))/Inputs!$K$9)^2))^2))-((Inputs!$H$9+Inputs!$L$9*(((Inputs!$I$9+(((A195)+1)/2)*(Inputs!$J$9-Inputs!$I$9)))/Inputs!$K$9)^2)))*1000/Inputs!$C$12)</x:f>
        <x:v>132400.9645476228</x:v>
      </x:c>
      <x:c r="AJ195" s="49"/>
      <x:c r="AK195" s="48" t="n">
        <x:f>A195</x:f>
        <x:v>0.608</x:v>
      </x:c>
      <x:c r="AL195" s="48" t="n">
        <x:f>(-2*((1000*((((Inputs!$I$6+(((A195)+1)/2)*(Inputs!$J$6-Inputs!$I$6)))*Inputs!$C$11+((Inputs!$H$6+Inputs!$L$6*(((Inputs!$I$6+(((A195)+1)/2)*(Inputs!$J$6-Inputs!$I$6)))/Inputs!$K$6)^2))*((2*Inputs!$L$6*((Inputs!$I$6+(((A195)+1)/2)*(Inputs!$J$6-Inputs!$I$6)))/(Inputs!$K$6^2)*Inputs!$C$11)))/(SQRT(((Inputs!$I$6+(((A195)+1)/2)*(Inputs!$J$6-Inputs!$I$6)))^2+Inputs!$C$6^2+((Inputs!$H$6+Inputs!$L$6*(((Inputs!$I$6+(((A195)+1)/2)*(Inputs!$J$6-Inputs!$I$6)))/Inputs!$K$6)^2))^2)))))/Inputs!$C$13)</x:f>
        <x:v>-273.435334599617</x:v>
      </x:c>
      <x:c r="AM195" s="48" t="n">
        <x:f>(-2*((1000*((((Inputs!$I$7+(((A195)+1)/2)*(Inputs!$J$7-Inputs!$I$7)))*Inputs!$C$11+((Inputs!$H$7+Inputs!$L$7*(((Inputs!$I$7+(((A195)+1)/2)*(Inputs!$J$7-Inputs!$I$7)))/Inputs!$K$7)^2))*((2*Inputs!$L$7*((Inputs!$I$7+(((A195)+1)/2)*(Inputs!$J$7-Inputs!$I$7)))/(Inputs!$K$7^2)*Inputs!$C$11)))/(SQRT(((Inputs!$I$7+(((A195)+1)/2)*(Inputs!$J$7-Inputs!$I$7)))^2+Inputs!$C$6^2+((Inputs!$H$7+Inputs!$L$7*(((Inputs!$I$7+(((A195)+1)/2)*(Inputs!$J$7-Inputs!$I$7)))/Inputs!$K$7)^2))^2)))))/Inputs!$C$13)</x:f>
        <x:v>-2320.186109444511</x:v>
      </x:c>
      <x:c r="AN195" s="48" t="n">
        <x:f>(-2*((1000*((((Inputs!$I$8+(((A195)+1)/2)*(Inputs!$J$8-Inputs!$I$8)))*Inputs!$C$11+((Inputs!$H$8+Inputs!$L$8*(((Inputs!$I$8+(((A195)+1)/2)*(Inputs!$J$8-Inputs!$I$8)))/Inputs!$K$8)^2))*((2*Inputs!$L$8*((Inputs!$I$8+(((A195)+1)/2)*(Inputs!$J$8-Inputs!$I$8)))/(Inputs!$K$8^2)*Inputs!$C$11)))/(SQRT(((Inputs!$I$8+(((A195)+1)/2)*(Inputs!$J$8-Inputs!$I$8)))^2+Inputs!$C$6^2+((Inputs!$H$8+Inputs!$L$8*(((Inputs!$I$8+(((A195)+1)/2)*(Inputs!$J$8-Inputs!$I$8)))/Inputs!$K$8)^2))^2)))))/Inputs!$C$13)</x:f>
        <x:v>-2715.9990569675015</x:v>
      </x:c>
      <x:c r="AO195" s="48" t="n">
        <x:f>(-2*((1000*((((Inputs!$I$9+(((A195)+1)/2)*(Inputs!$J$9-Inputs!$I$9)))*Inputs!$C$11+((Inputs!$H$9+Inputs!$L$9*(((Inputs!$I$9+(((A195)+1)/2)*(Inputs!$J$9-Inputs!$I$9)))/Inputs!$K$9)^2))*((2*Inputs!$L$9*((Inputs!$I$9+(((A195)+1)/2)*(Inputs!$J$9-Inputs!$I$9)))/(Inputs!$K$9^2)*Inputs!$C$11)))/(SQRT(((Inputs!$I$9+(((A195)+1)/2)*(Inputs!$J$9-Inputs!$I$9)))^2+Inputs!$C$6^2+((Inputs!$H$9+Inputs!$L$9*(((Inputs!$I$9+(((A195)+1)/2)*(Inputs!$J$9-Inputs!$I$9)))/Inputs!$K$9)^2))^2)))))/Inputs!$C$13)</x:f>
        <x:v>-2724.4633299916436</x:v>
      </x:c>
    </x:row>
    <x:row r="196">
      <x:c r="A196" s="48" t="n">
        <x:f>ROUND(-1+194*2/240,3)</x:f>
        <x:v>0.617</x:v>
      </x:c>
      <x:c r="B196" s="48" t="n">
        <x:f>IF(OR(Inputs!$F$6=TRUE,Inputs!$F$6="TRUE",Inputs!$F$6=1),(Inputs!$H$6+Inputs!$L$6*(((Inputs!$I$6+(((A196)+1)/2)*(Inputs!$J$6-Inputs!$I$6)))/Inputs!$K$6)^2),NA())</x:f>
        <x:v>401.522756</x:v>
      </x:c>
      <x:c r="C196" s="48" t="n">
        <x:f>IF(OR(Inputs!$F$7=TRUE,Inputs!$F$7="TRUE",Inputs!$F$7=1),(Inputs!$H$7+Inputs!$L$7*(((Inputs!$I$7+(((A196)+1)/2)*(Inputs!$J$7-Inputs!$I$7)))/Inputs!$K$7)^2),NA())</x:f>
        <x:v>173.95148499999993</x:v>
      </x:c>
      <x:c r="D196" s="48" t="n">
        <x:f>IF(OR(Inputs!$F$8=TRUE,Inputs!$F$8="TRUE",Inputs!$F$8=1),(Inputs!$H$8+Inputs!$L$8*(((Inputs!$I$8+(((A196)+1)/2)*(Inputs!$J$8-Inputs!$I$8)))/Inputs!$K$8)^2),NA())</x:f>
        <x:v>402.36488499999984</x:v>
      </x:c>
      <x:c r="E196" s="48" t="n">
        <x:f>IF(OR(Inputs!$F$9=TRUE,Inputs!$F$9="TRUE",Inputs!$F$9=1),(Inputs!$H$9+Inputs!$L$9*(((Inputs!$I$9+(((A196)+1)/2)*(Inputs!$J$9-Inputs!$I$9)))/Inputs!$K$9)^2),NA())</x:f>
        <x:v>396.17177499999985</x:v>
      </x:c>
      <x:c r="F196" s="49"/>
      <x:c r="G196" s="48" t="n">
        <x:f>A196</x:f>
        <x:v>0.617</x:v>
      </x:c>
      <x:c r="H196" s="48" t="n">
        <x:f>IF(OR(Inputs!$F$6=TRUE,Inputs!$F$6="TRUE",Inputs!$F$6=1),(((SQRT(((Inputs!$I$6+(((A196)+1)/2)*(Inputs!$J$6-Inputs!$I$6)))^2+Inputs!$C$6^2+((Inputs!$H$6+Inputs!$L$6*(((Inputs!$I$6+(((A196)+1)/2)*(Inputs!$J$6-Inputs!$I$6)))/Inputs!$K$6)^2))^2))-((Inputs!$H$6+Inputs!$L$6*(((Inputs!$I$6+(((A196)+1)/2)*(Inputs!$J$6-Inputs!$I$6)))/Inputs!$K$6)^2)))*1000/Inputs!$C$12),NA())</x:f>
        <x:v>1391.712883688065</x:v>
      </x:c>
      <x:c r="I196" s="48" t="n">
        <x:f>IF(OR(Inputs!$F$7=TRUE,Inputs!$F$7="TRUE",Inputs!$F$7=1),(((SQRT(((Inputs!$I$7+(((A196)+1)/2)*(Inputs!$J$7-Inputs!$I$7)))^2+Inputs!$C$6^2+((Inputs!$H$7+Inputs!$L$7*(((Inputs!$I$7+(((A196)+1)/2)*(Inputs!$J$7-Inputs!$I$7)))/Inputs!$K$7)^2))^2))-((Inputs!$H$7+Inputs!$L$7*(((Inputs!$I$7+(((A196)+1)/2)*(Inputs!$J$7-Inputs!$I$7)))/Inputs!$K$7)^2)))*1000/Inputs!$C$12),NA())</x:f>
        <x:v>72485.59224233372</x:v>
      </x:c>
      <x:c r="J196" s="48" t="n">
        <x:f>IF(OR(Inputs!$F$8=TRUE,Inputs!$F$8="TRUE",Inputs!$F$8=1),(((SQRT(((Inputs!$I$8+(((A196)+1)/2)*(Inputs!$J$8-Inputs!$I$8)))^2+Inputs!$C$6^2+((Inputs!$H$8+Inputs!$L$8*(((Inputs!$I$8+(((A196)+1)/2)*(Inputs!$J$8-Inputs!$I$8)))/Inputs!$K$8)^2))^2))-((Inputs!$H$8+Inputs!$L$8*(((Inputs!$I$8+(((A196)+1)/2)*(Inputs!$J$8-Inputs!$I$8)))/Inputs!$K$8)^2)))*1000/Inputs!$C$12),NA())</x:f>
        <x:v>131991.38402040573</x:v>
      </x:c>
      <x:c r="K196" s="48" t="n">
        <x:f>IF(OR(Inputs!$F$9=TRUE,Inputs!$F$9="TRUE",Inputs!$F$9=1),(((SQRT(((Inputs!$I$9+(((A196)+1)/2)*(Inputs!$J$9-Inputs!$I$9)))^2+Inputs!$C$6^2+((Inputs!$H$9+Inputs!$L$9*(((Inputs!$I$9+(((A196)+1)/2)*(Inputs!$J$9-Inputs!$I$9)))/Inputs!$K$9)^2))^2))-((Inputs!$H$9+Inputs!$L$9*(((Inputs!$I$9+(((A196)+1)/2)*(Inputs!$J$9-Inputs!$I$9)))/Inputs!$K$9)^2)))*1000/Inputs!$C$12),NA())</x:f>
        <x:v>133284.25086916698</x:v>
      </x:c>
      <x:c r="L196" s="49"/>
      <x:c r="M196" s="48" t="n">
        <x:f>A196</x:f>
        <x:v>0.617</x:v>
      </x:c>
      <x:c r="N196" s="48" t="n">
        <x:f>IF(OR(Inputs!$F$6=TRUE,Inputs!$F$6="TRUE",Inputs!$F$6=1),(-2*((1000*((((Inputs!$I$6+(((A196)+1)/2)*(Inputs!$J$6-Inputs!$I$6)))*Inputs!$C$11+((Inputs!$H$6+Inputs!$L$6*(((Inputs!$I$6+(((A196)+1)/2)*(Inputs!$J$6-Inputs!$I$6)))/Inputs!$K$6)^2))*((2*Inputs!$L$6*((Inputs!$I$6+(((A196)+1)/2)*(Inputs!$J$6-Inputs!$I$6)))/(Inputs!$K$6^2)*Inputs!$C$11)))/(SQRT(((Inputs!$I$6+(((A196)+1)/2)*(Inputs!$J$6-Inputs!$I$6)))^2+Inputs!$C$6^2+((Inputs!$H$6+Inputs!$L$6*(((Inputs!$I$6+(((A196)+1)/2)*(Inputs!$J$6-Inputs!$I$6)))/Inputs!$K$6)^2))^2)))))/Inputs!$C$13),NA())</x:f>
        <x:v>-277.43341731317827</x:v>
      </x:c>
      <x:c r="O196" s="48" t="n">
        <x:f>IF(OR(Inputs!$F$7=TRUE,Inputs!$F$7="TRUE",Inputs!$F$7=1),(-2*((1000*((((Inputs!$I$7+(((A196)+1)/2)*(Inputs!$J$7-Inputs!$I$7)))*Inputs!$C$11+((Inputs!$H$7+Inputs!$L$7*(((Inputs!$I$7+(((A196)+1)/2)*(Inputs!$J$7-Inputs!$I$7)))/Inputs!$K$7)^2))*((2*Inputs!$L$7*((Inputs!$I$7+(((A196)+1)/2)*(Inputs!$J$7-Inputs!$I$7)))/(Inputs!$K$7^2)*Inputs!$C$11)))/(SQRT(((Inputs!$I$7+(((A196)+1)/2)*(Inputs!$J$7-Inputs!$I$7)))^2+Inputs!$C$6^2+((Inputs!$H$7+Inputs!$L$7*(((Inputs!$I$7+(((A196)+1)/2)*(Inputs!$J$7-Inputs!$I$7)))/Inputs!$K$7)^2))^2)))))/Inputs!$C$13),NA())</x:f>
        <x:v>-2337.7374094442707</x:v>
      </x:c>
      <x:c r="P196" s="48" t="n">
        <x:f>IF(OR(Inputs!$F$8=TRUE,Inputs!$F$8="TRUE",Inputs!$F$8=1),(-2*((1000*((((Inputs!$I$8+(((A196)+1)/2)*(Inputs!$J$8-Inputs!$I$8)))*Inputs!$C$11+((Inputs!$H$8+Inputs!$L$8*(((Inputs!$I$8+(((A196)+1)/2)*(Inputs!$J$8-Inputs!$I$8)))/Inputs!$K$8)^2))*((2*Inputs!$L$8*((Inputs!$I$8+(((A196)+1)/2)*(Inputs!$J$8-Inputs!$I$8)))/(Inputs!$K$8^2)*Inputs!$C$11)))/(SQRT(((Inputs!$I$8+(((A196)+1)/2)*(Inputs!$J$8-Inputs!$I$8)))^2+Inputs!$C$6^2+((Inputs!$H$8+Inputs!$L$8*(((Inputs!$I$8+(((A196)+1)/2)*(Inputs!$J$8-Inputs!$I$8)))/Inputs!$K$8)^2))^2)))))/Inputs!$C$13),NA())</x:f>
        <x:v>-2742.843350415009</x:v>
      </x:c>
      <x:c r="Q196" s="48" t="n">
        <x:f>IF(OR(Inputs!$F$9=TRUE,Inputs!$F$9="TRUE",Inputs!$F$9=1),(-2*((1000*((((Inputs!$I$9+(((A196)+1)/2)*(Inputs!$J$9-Inputs!$I$9)))*Inputs!$C$11+((Inputs!$H$9+Inputs!$L$9*(((Inputs!$I$9+(((A196)+1)/2)*(Inputs!$J$9-Inputs!$I$9)))/Inputs!$K$9)^2))*((2*Inputs!$L$9*((Inputs!$I$9+(((A196)+1)/2)*(Inputs!$J$9-Inputs!$I$9)))/(Inputs!$K$9^2)*Inputs!$C$11)))/(SQRT(((Inputs!$I$9+(((A196)+1)/2)*(Inputs!$J$9-Inputs!$I$9)))^2+Inputs!$C$6^2+((Inputs!$H$9+Inputs!$L$9*(((Inputs!$I$9+(((A196)+1)/2)*(Inputs!$J$9-Inputs!$I$9)))/Inputs!$K$9)^2))^2)))))/Inputs!$C$13),NA())</x:f>
        <x:v>-2751.8461006871566</x:v>
      </x:c>
      <x:c r="R196" s="49"/>
      <x:c r="S196" s="48" t="n">
        <x:f>A196</x:f>
        <x:v>0.617</x:v>
      </x:c>
      <x:c r="T196" s="48" t="n">
        <x:f>(Inputs!$I$6+(((A196)+1)/2)*(Inputs!$J$6-Inputs!$I$6))</x:f>
        <x:v>37.019999999999996</x:v>
      </x:c>
      <x:c r="U196" s="48" t="n">
        <x:f>(Inputs!$I$7+(((A196)+1)/2)*(Inputs!$J$7-Inputs!$I$7))</x:f>
        <x:v>246.79999999999995</x:v>
      </x:c>
      <x:c r="V196" s="48" t="n">
        <x:f>(Inputs!$I$8+(((A196)+1)/2)*(Inputs!$J$8-Inputs!$I$8))</x:f>
        <x:v>493.5999999999999</x:v>
      </x:c>
      <x:c r="W196" s="48" t="n">
        <x:f>(Inputs!$I$9+(((A196)+1)/2)*(Inputs!$J$9-Inputs!$I$9))</x:f>
        <x:v>493.5999999999999</x:v>
      </x:c>
      <x:c r="X196" s="49"/>
      <x:c r="Y196" s="48" t="n">
        <x:f>A196</x:f>
        <x:v>0.617</x:v>
      </x:c>
      <x:c r="Z196" s="48" t="n">
        <x:f>(Inputs!$H$6+Inputs!$L$6*(((Inputs!$I$6+(((A196)+1)/2)*(Inputs!$J$6-Inputs!$I$6)))/Inputs!$K$6)^2)</x:f>
        <x:v>401.522756</x:v>
      </x:c>
      <x:c r="AA196" s="48" t="n">
        <x:f>(Inputs!$H$7+Inputs!$L$7*(((Inputs!$I$7+(((A196)+1)/2)*(Inputs!$J$7-Inputs!$I$7)))/Inputs!$K$7)^2)</x:f>
        <x:v>173.95148499999993</x:v>
      </x:c>
      <x:c r="AB196" s="48" t="n">
        <x:f>(Inputs!$H$8+Inputs!$L$8*(((Inputs!$I$8+(((A196)+1)/2)*(Inputs!$J$8-Inputs!$I$8)))/Inputs!$K$8)^2)</x:f>
        <x:v>402.36488499999984</x:v>
      </x:c>
      <x:c r="AC196" s="48" t="n">
        <x:f>(Inputs!$H$9+Inputs!$L$9*(((Inputs!$I$9+(((A196)+1)/2)*(Inputs!$J$9-Inputs!$I$9)))/Inputs!$K$9)^2)</x:f>
        <x:v>396.17177499999985</x:v>
      </x:c>
      <x:c r="AD196" s="49"/>
      <x:c r="AE196" s="48" t="n">
        <x:f>A196</x:f>
        <x:v>0.617</x:v>
      </x:c>
      <x:c r="AF196" s="48" t="n">
        <x:f>(((SQRT(((Inputs!$I$6+(((A196)+1)/2)*(Inputs!$J$6-Inputs!$I$6)))^2+Inputs!$C$6^2+((Inputs!$H$6+Inputs!$L$6*(((Inputs!$I$6+(((A196)+1)/2)*(Inputs!$J$6-Inputs!$I$6)))/Inputs!$K$6)^2))^2))-((Inputs!$H$6+Inputs!$L$6*(((Inputs!$I$6+(((A196)+1)/2)*(Inputs!$J$6-Inputs!$I$6)))/Inputs!$K$6)^2)))*1000/Inputs!$C$12)</x:f>
        <x:v>1391.712883688065</x:v>
      </x:c>
      <x:c r="AG196" s="48" t="n">
        <x:f>(((SQRT(((Inputs!$I$7+(((A196)+1)/2)*(Inputs!$J$7-Inputs!$I$7)))^2+Inputs!$C$6^2+((Inputs!$H$7+Inputs!$L$7*(((Inputs!$I$7+(((A196)+1)/2)*(Inputs!$J$7-Inputs!$I$7)))/Inputs!$K$7)^2))^2))-((Inputs!$H$7+Inputs!$L$7*(((Inputs!$I$7+(((A196)+1)/2)*(Inputs!$J$7-Inputs!$I$7)))/Inputs!$K$7)^2)))*1000/Inputs!$C$12)</x:f>
        <x:v>72485.59224233372</x:v>
      </x:c>
      <x:c r="AH196" s="48" t="n">
        <x:f>(((SQRT(((Inputs!$I$8+(((A196)+1)/2)*(Inputs!$J$8-Inputs!$I$8)))^2+Inputs!$C$6^2+((Inputs!$H$8+Inputs!$L$8*(((Inputs!$I$8+(((A196)+1)/2)*(Inputs!$J$8-Inputs!$I$8)))/Inputs!$K$8)^2))^2))-((Inputs!$H$8+Inputs!$L$8*(((Inputs!$I$8+(((A196)+1)/2)*(Inputs!$J$8-Inputs!$I$8)))/Inputs!$K$8)^2)))*1000/Inputs!$C$12)</x:f>
        <x:v>131991.38402040573</x:v>
      </x:c>
      <x:c r="AI196" s="48" t="n">
        <x:f>(((SQRT(((Inputs!$I$9+(((A196)+1)/2)*(Inputs!$J$9-Inputs!$I$9)))^2+Inputs!$C$6^2+((Inputs!$H$9+Inputs!$L$9*(((Inputs!$I$9+(((A196)+1)/2)*(Inputs!$J$9-Inputs!$I$9)))/Inputs!$K$9)^2))^2))-((Inputs!$H$9+Inputs!$L$9*(((Inputs!$I$9+(((A196)+1)/2)*(Inputs!$J$9-Inputs!$I$9)))/Inputs!$K$9)^2)))*1000/Inputs!$C$12)</x:f>
        <x:v>133284.25086916698</x:v>
      </x:c>
      <x:c r="AJ196" s="49"/>
      <x:c r="AK196" s="48" t="n">
        <x:f>A196</x:f>
        <x:v>0.617</x:v>
      </x:c>
      <x:c r="AL196" s="48" t="n">
        <x:f>(-2*((1000*((((Inputs!$I$6+(((A196)+1)/2)*(Inputs!$J$6-Inputs!$I$6)))*Inputs!$C$11+((Inputs!$H$6+Inputs!$L$6*(((Inputs!$I$6+(((A196)+1)/2)*(Inputs!$J$6-Inputs!$I$6)))/Inputs!$K$6)^2))*((2*Inputs!$L$6*((Inputs!$I$6+(((A196)+1)/2)*(Inputs!$J$6-Inputs!$I$6)))/(Inputs!$K$6^2)*Inputs!$C$11)))/(SQRT(((Inputs!$I$6+(((A196)+1)/2)*(Inputs!$J$6-Inputs!$I$6)))^2+Inputs!$C$6^2+((Inputs!$H$6+Inputs!$L$6*(((Inputs!$I$6+(((A196)+1)/2)*(Inputs!$J$6-Inputs!$I$6)))/Inputs!$K$6)^2))^2)))))/Inputs!$C$13)</x:f>
        <x:v>-277.43341731317827</x:v>
      </x:c>
      <x:c r="AM196" s="48" t="n">
        <x:f>(-2*((1000*((((Inputs!$I$7+(((A196)+1)/2)*(Inputs!$J$7-Inputs!$I$7)))*Inputs!$C$11+((Inputs!$H$7+Inputs!$L$7*(((Inputs!$I$7+(((A196)+1)/2)*(Inputs!$J$7-Inputs!$I$7)))/Inputs!$K$7)^2))*((2*Inputs!$L$7*((Inputs!$I$7+(((A196)+1)/2)*(Inputs!$J$7-Inputs!$I$7)))/(Inputs!$K$7^2)*Inputs!$C$11)))/(SQRT(((Inputs!$I$7+(((A196)+1)/2)*(Inputs!$J$7-Inputs!$I$7)))^2+Inputs!$C$6^2+((Inputs!$H$7+Inputs!$L$7*(((Inputs!$I$7+(((A196)+1)/2)*(Inputs!$J$7-Inputs!$I$7)))/Inputs!$K$7)^2))^2)))))/Inputs!$C$13)</x:f>
        <x:v>-2337.7374094442707</x:v>
      </x:c>
      <x:c r="AN196" s="48" t="n">
        <x:f>(-2*((1000*((((Inputs!$I$8+(((A196)+1)/2)*(Inputs!$J$8-Inputs!$I$8)))*Inputs!$C$11+((Inputs!$H$8+Inputs!$L$8*(((Inputs!$I$8+(((A196)+1)/2)*(Inputs!$J$8-Inputs!$I$8)))/Inputs!$K$8)^2))*((2*Inputs!$L$8*((Inputs!$I$8+(((A196)+1)/2)*(Inputs!$J$8-Inputs!$I$8)))/(Inputs!$K$8^2)*Inputs!$C$11)))/(SQRT(((Inputs!$I$8+(((A196)+1)/2)*(Inputs!$J$8-Inputs!$I$8)))^2+Inputs!$C$6^2+((Inputs!$H$8+Inputs!$L$8*(((Inputs!$I$8+(((A196)+1)/2)*(Inputs!$J$8-Inputs!$I$8)))/Inputs!$K$8)^2))^2)))))/Inputs!$C$13)</x:f>
        <x:v>-2742.843350415009</x:v>
      </x:c>
      <x:c r="AO196" s="48" t="n">
        <x:f>(-2*((1000*((((Inputs!$I$9+(((A196)+1)/2)*(Inputs!$J$9-Inputs!$I$9)))*Inputs!$C$11+((Inputs!$H$9+Inputs!$L$9*(((Inputs!$I$9+(((A196)+1)/2)*(Inputs!$J$9-Inputs!$I$9)))/Inputs!$K$9)^2))*((2*Inputs!$L$9*((Inputs!$I$9+(((A196)+1)/2)*(Inputs!$J$9-Inputs!$I$9)))/(Inputs!$K$9^2)*Inputs!$C$11)))/(SQRT(((Inputs!$I$9+(((A196)+1)/2)*(Inputs!$J$9-Inputs!$I$9)))^2+Inputs!$C$6^2+((Inputs!$H$9+Inputs!$L$9*(((Inputs!$I$9+(((A196)+1)/2)*(Inputs!$J$9-Inputs!$I$9)))/Inputs!$K$9)^2))^2)))))/Inputs!$C$13)</x:f>
        <x:v>-2751.8461006871566</x:v>
      </x:c>
    </x:row>
    <x:row r="197">
      <x:c r="A197" s="48" t="n">
        <x:f>ROUND(-1+195*2/240,3)</x:f>
        <x:v>0.625</x:v>
      </x:c>
      <x:c r="B197" s="48" t="n">
        <x:f>IF(OR(Inputs!$F$6=TRUE,Inputs!$F$6="TRUE",Inputs!$F$6=1),(Inputs!$H$6+Inputs!$L$6*(((Inputs!$I$6+(((A197)+1)/2)*(Inputs!$J$6-Inputs!$I$6)))/Inputs!$K$6)^2),NA())</x:f>
        <x:v>401.5625</x:v>
      </x:c>
      <x:c r="C197" s="48" t="n">
        <x:f>IF(OR(Inputs!$F$7=TRUE,Inputs!$F$7="TRUE",Inputs!$F$7=1),(Inputs!$H$7+Inputs!$L$7*(((Inputs!$I$7+(((A197)+1)/2)*(Inputs!$J$7-Inputs!$I$7)))/Inputs!$K$7)^2),NA())</x:f>
        <x:v>177.578125</x:v>
      </x:c>
      <x:c r="D197" s="48" t="n">
        <x:f>IF(OR(Inputs!$F$8=TRUE,Inputs!$F$8="TRUE",Inputs!$F$8=1),(Inputs!$H$8+Inputs!$L$8*(((Inputs!$I$8+(((A197)+1)/2)*(Inputs!$J$8-Inputs!$I$8)))/Inputs!$K$8)^2),NA())</x:f>
        <x:v>411.953125</x:v>
      </x:c>
      <x:c r="E197" s="48" t="n">
        <x:f>IF(OR(Inputs!$F$9=TRUE,Inputs!$F$9="TRUE",Inputs!$F$9=1),(Inputs!$H$9+Inputs!$L$9*(((Inputs!$I$9+(((A197)+1)/2)*(Inputs!$J$9-Inputs!$I$9)))/Inputs!$K$9)^2),NA())</x:f>
        <x:v>405.859375</x:v>
      </x:c>
      <x:c r="F197" s="49"/>
      <x:c r="G197" s="48" t="n">
        <x:f>A197</x:f>
        <x:v>0.625</x:v>
      </x:c>
      <x:c r="H197" s="48" t="n">
        <x:f>IF(OR(Inputs!$F$6=TRUE,Inputs!$F$6="TRUE",Inputs!$F$6=1),(((SQRT(((Inputs!$I$6+(((A197)+1)/2)*(Inputs!$J$6-Inputs!$I$6)))^2+Inputs!$C$6^2+((Inputs!$H$6+Inputs!$L$6*(((Inputs!$I$6+(((A197)+1)/2)*(Inputs!$J$6-Inputs!$I$6)))/Inputs!$K$6)^2))^2))-((Inputs!$H$6+Inputs!$L$6*(((Inputs!$I$6+(((A197)+1)/2)*(Inputs!$J$6-Inputs!$I$6)))/Inputs!$K$6)^2)))*1000/Inputs!$C$12),NA())</x:f>
        <x:v>1416.4425890006503</x:v>
      </x:c>
      <x:c r="I197" s="48" t="n">
        <x:f>IF(OR(Inputs!$F$7=TRUE,Inputs!$F$7="TRUE",Inputs!$F$7=1),(((SQRT(((Inputs!$I$7+(((A197)+1)/2)*(Inputs!$J$7-Inputs!$I$7)))^2+Inputs!$C$6^2+((Inputs!$H$7+Inputs!$L$7*(((Inputs!$I$7+(((A197)+1)/2)*(Inputs!$J$7-Inputs!$I$7)))/Inputs!$K$7)^2))^2))-((Inputs!$H$7+Inputs!$L$7*(((Inputs!$I$7+(((A197)+1)/2)*(Inputs!$J$7-Inputs!$I$7)))/Inputs!$K$7)^2)))*1000/Inputs!$C$12),NA())</x:f>
        <x:v>73083.64456965007</x:v>
      </x:c>
      <x:c r="J197" s="48" t="n">
        <x:f>IF(OR(Inputs!$F$8=TRUE,Inputs!$F$8="TRUE",Inputs!$F$8=1),(((SQRT(((Inputs!$I$8+(((A197)+1)/2)*(Inputs!$J$8-Inputs!$I$8)))^2+Inputs!$C$6^2+((Inputs!$H$8+Inputs!$L$8*(((Inputs!$I$8+(((A197)+1)/2)*(Inputs!$J$8-Inputs!$I$8)))/Inputs!$K$8)^2))^2))-((Inputs!$H$8+Inputs!$L$8*(((Inputs!$I$8+(((A197)+1)/2)*(Inputs!$J$8-Inputs!$I$8)))/Inputs!$K$8)^2)))*1000/Inputs!$C$12),NA())</x:f>
        <x:v>132795.38554872278</x:v>
      </x:c>
      <x:c r="K197" s="48" t="n">
        <x:f>IF(OR(Inputs!$F$9=TRUE,Inputs!$F$9="TRUE",Inputs!$F$9=1),(((SQRT(((Inputs!$I$9+(((A197)+1)/2)*(Inputs!$J$9-Inputs!$I$9)))^2+Inputs!$C$6^2+((Inputs!$H$9+Inputs!$L$9*(((Inputs!$I$9+(((A197)+1)/2)*(Inputs!$J$9-Inputs!$I$9)))/Inputs!$K$9)^2))^2))-((Inputs!$H$9+Inputs!$L$9*(((Inputs!$I$9+(((A197)+1)/2)*(Inputs!$J$9-Inputs!$I$9)))/Inputs!$K$9)^2)))*1000/Inputs!$C$12),NA())</x:f>
        <x:v>134053.20178007596</x:v>
      </x:c>
      <x:c r="L197" s="49"/>
      <x:c r="M197" s="48" t="n">
        <x:f>A197</x:f>
        <x:v>0.625</x:v>
      </x:c>
      <x:c r="N197" s="48" t="n">
        <x:f>IF(OR(Inputs!$F$6=TRUE,Inputs!$F$6="TRUE",Inputs!$F$6=1),(-2*((1000*((((Inputs!$I$6+(((A197)+1)/2)*(Inputs!$J$6-Inputs!$I$6)))*Inputs!$C$11+((Inputs!$H$6+Inputs!$L$6*(((Inputs!$I$6+(((A197)+1)/2)*(Inputs!$J$6-Inputs!$I$6)))/Inputs!$K$6)^2))*((2*Inputs!$L$6*((Inputs!$I$6+(((A197)+1)/2)*(Inputs!$J$6-Inputs!$I$6)))/(Inputs!$K$6^2)*Inputs!$C$11)))/(SQRT(((Inputs!$I$6+(((A197)+1)/2)*(Inputs!$J$6-Inputs!$I$6)))^2+Inputs!$C$6^2+((Inputs!$H$6+Inputs!$L$6*(((Inputs!$I$6+(((A197)+1)/2)*(Inputs!$J$6-Inputs!$I$6)))/Inputs!$K$6)^2))^2)))))/Inputs!$C$13),NA())</x:f>
        <x:v>-280.9854681430745</x:v>
      </x:c>
      <x:c r="O197" s="48" t="n">
        <x:f>IF(OR(Inputs!$F$7=TRUE,Inputs!$F$7="TRUE",Inputs!$F$7=1),(-2*((1000*((((Inputs!$I$7+(((A197)+1)/2)*(Inputs!$J$7-Inputs!$I$7)))*Inputs!$C$11+((Inputs!$H$7+Inputs!$L$7*(((Inputs!$I$7+(((A197)+1)/2)*(Inputs!$J$7-Inputs!$I$7)))/Inputs!$K$7)^2))*((2*Inputs!$L$7*((Inputs!$I$7+(((A197)+1)/2)*(Inputs!$J$7-Inputs!$I$7)))/(Inputs!$K$7^2)*Inputs!$C$11)))/(SQRT(((Inputs!$I$7+(((A197)+1)/2)*(Inputs!$J$7-Inputs!$I$7)))^2+Inputs!$C$6^2+((Inputs!$H$7+Inputs!$L$7*(((Inputs!$I$7+(((A197)+1)/2)*(Inputs!$J$7-Inputs!$I$7)))/Inputs!$K$7)^2))^2)))))/Inputs!$C$13),NA())</x:f>
        <x:v>-2353.453731136441</x:v>
      </x:c>
      <x:c r="P197" s="48" t="n">
        <x:f>IF(OR(Inputs!$F$8=TRUE,Inputs!$F$8="TRUE",Inputs!$F$8=1),(-2*((1000*((((Inputs!$I$8+(((A197)+1)/2)*(Inputs!$J$8-Inputs!$I$8)))*Inputs!$C$11+((Inputs!$H$8+Inputs!$L$8*(((Inputs!$I$8+(((A197)+1)/2)*(Inputs!$J$8-Inputs!$I$8)))/Inputs!$K$8)^2))*((2*Inputs!$L$8*((Inputs!$I$8+(((A197)+1)/2)*(Inputs!$J$8-Inputs!$I$8)))/(Inputs!$K$8^2)*Inputs!$C$11)))/(SQRT(((Inputs!$I$8+(((A197)+1)/2)*(Inputs!$J$8-Inputs!$I$8)))^2+Inputs!$C$6^2+((Inputs!$H$8+Inputs!$L$8*(((Inputs!$I$8+(((A197)+1)/2)*(Inputs!$J$8-Inputs!$I$8)))/Inputs!$K$8)^2))^2)))))/Inputs!$C$13),NA())</x:f>
        <x:v>-2766.8624410563048</x:v>
      </x:c>
      <x:c r="Q197" s="48" t="n">
        <x:f>IF(OR(Inputs!$F$9=TRUE,Inputs!$F$9="TRUE",Inputs!$F$9=1),(-2*((1000*((((Inputs!$I$9+(((A197)+1)/2)*(Inputs!$J$9-Inputs!$I$9)))*Inputs!$C$11+((Inputs!$H$9+Inputs!$L$9*(((Inputs!$I$9+(((A197)+1)/2)*(Inputs!$J$9-Inputs!$I$9)))/Inputs!$K$9)^2))*((2*Inputs!$L$9*((Inputs!$I$9+(((A197)+1)/2)*(Inputs!$J$9-Inputs!$I$9)))/(Inputs!$K$9^2)*Inputs!$C$11)))/(SQRT(((Inputs!$I$9+(((A197)+1)/2)*(Inputs!$J$9-Inputs!$I$9)))^2+Inputs!$C$6^2+((Inputs!$H$9+Inputs!$L$9*(((Inputs!$I$9+(((A197)+1)/2)*(Inputs!$J$9-Inputs!$I$9)))/Inputs!$K$9)^2))^2)))))/Inputs!$C$13),NA())</x:f>
        <x:v>-2776.344772085569</x:v>
      </x:c>
      <x:c r="R197" s="49"/>
      <x:c r="S197" s="48" t="n">
        <x:f>A197</x:f>
        <x:v>0.625</x:v>
      </x:c>
      <x:c r="T197" s="48" t="n">
        <x:f>(Inputs!$I$6+(((A197)+1)/2)*(Inputs!$J$6-Inputs!$I$6))</x:f>
        <x:v>37.5</x:v>
      </x:c>
      <x:c r="U197" s="48" t="n">
        <x:f>(Inputs!$I$7+(((A197)+1)/2)*(Inputs!$J$7-Inputs!$I$7))</x:f>
        <x:v>250</x:v>
      </x:c>
      <x:c r="V197" s="48" t="n">
        <x:f>(Inputs!$I$8+(((A197)+1)/2)*(Inputs!$J$8-Inputs!$I$8))</x:f>
        <x:v>500</x:v>
      </x:c>
      <x:c r="W197" s="48" t="n">
        <x:f>(Inputs!$I$9+(((A197)+1)/2)*(Inputs!$J$9-Inputs!$I$9))</x:f>
        <x:v>500</x:v>
      </x:c>
      <x:c r="X197" s="49"/>
      <x:c r="Y197" s="48" t="n">
        <x:f>A197</x:f>
        <x:v>0.625</x:v>
      </x:c>
      <x:c r="Z197" s="48" t="n">
        <x:f>(Inputs!$H$6+Inputs!$L$6*(((Inputs!$I$6+(((A197)+1)/2)*(Inputs!$J$6-Inputs!$I$6)))/Inputs!$K$6)^2)</x:f>
        <x:v>401.5625</x:v>
      </x:c>
      <x:c r="AA197" s="48" t="n">
        <x:f>(Inputs!$H$7+Inputs!$L$7*(((Inputs!$I$7+(((A197)+1)/2)*(Inputs!$J$7-Inputs!$I$7)))/Inputs!$K$7)^2)</x:f>
        <x:v>177.578125</x:v>
      </x:c>
      <x:c r="AB197" s="48" t="n">
        <x:f>(Inputs!$H$8+Inputs!$L$8*(((Inputs!$I$8+(((A197)+1)/2)*(Inputs!$J$8-Inputs!$I$8)))/Inputs!$K$8)^2)</x:f>
        <x:v>411.953125</x:v>
      </x:c>
      <x:c r="AC197" s="48" t="n">
        <x:f>(Inputs!$H$9+Inputs!$L$9*(((Inputs!$I$9+(((A197)+1)/2)*(Inputs!$J$9-Inputs!$I$9)))/Inputs!$K$9)^2)</x:f>
        <x:v>405.859375</x:v>
      </x:c>
      <x:c r="AD197" s="49"/>
      <x:c r="AE197" s="48" t="n">
        <x:f>A197</x:f>
        <x:v>0.625</x:v>
      </x:c>
      <x:c r="AF197" s="48" t="n">
        <x:f>(((SQRT(((Inputs!$I$6+(((A197)+1)/2)*(Inputs!$J$6-Inputs!$I$6)))^2+Inputs!$C$6^2+((Inputs!$H$6+Inputs!$L$6*(((Inputs!$I$6+(((A197)+1)/2)*(Inputs!$J$6-Inputs!$I$6)))/Inputs!$K$6)^2))^2))-((Inputs!$H$6+Inputs!$L$6*(((Inputs!$I$6+(((A197)+1)/2)*(Inputs!$J$6-Inputs!$I$6)))/Inputs!$K$6)^2)))*1000/Inputs!$C$12)</x:f>
        <x:v>1416.4425890006503</x:v>
      </x:c>
      <x:c r="AG197" s="48" t="n">
        <x:f>(((SQRT(((Inputs!$I$7+(((A197)+1)/2)*(Inputs!$J$7-Inputs!$I$7)))^2+Inputs!$C$6^2+((Inputs!$H$7+Inputs!$L$7*(((Inputs!$I$7+(((A197)+1)/2)*(Inputs!$J$7-Inputs!$I$7)))/Inputs!$K$7)^2))^2))-((Inputs!$H$7+Inputs!$L$7*(((Inputs!$I$7+(((A197)+1)/2)*(Inputs!$J$7-Inputs!$I$7)))/Inputs!$K$7)^2)))*1000/Inputs!$C$12)</x:f>
        <x:v>73083.64456965007</x:v>
      </x:c>
      <x:c r="AH197" s="48" t="n">
        <x:f>(((SQRT(((Inputs!$I$8+(((A197)+1)/2)*(Inputs!$J$8-Inputs!$I$8)))^2+Inputs!$C$6^2+((Inputs!$H$8+Inputs!$L$8*(((Inputs!$I$8+(((A197)+1)/2)*(Inputs!$J$8-Inputs!$I$8)))/Inputs!$K$8)^2))^2))-((Inputs!$H$8+Inputs!$L$8*(((Inputs!$I$8+(((A197)+1)/2)*(Inputs!$J$8-Inputs!$I$8)))/Inputs!$K$8)^2)))*1000/Inputs!$C$12)</x:f>
        <x:v>132795.38554872278</x:v>
      </x:c>
      <x:c r="AI197" s="48" t="n">
        <x:f>(((SQRT(((Inputs!$I$9+(((A197)+1)/2)*(Inputs!$J$9-Inputs!$I$9)))^2+Inputs!$C$6^2+((Inputs!$H$9+Inputs!$L$9*(((Inputs!$I$9+(((A197)+1)/2)*(Inputs!$J$9-Inputs!$I$9)))/Inputs!$K$9)^2))^2))-((Inputs!$H$9+Inputs!$L$9*(((Inputs!$I$9+(((A197)+1)/2)*(Inputs!$J$9-Inputs!$I$9)))/Inputs!$K$9)^2)))*1000/Inputs!$C$12)</x:f>
        <x:v>134053.20178007596</x:v>
      </x:c>
      <x:c r="AJ197" s="49"/>
      <x:c r="AK197" s="48" t="n">
        <x:f>A197</x:f>
        <x:v>0.625</x:v>
      </x:c>
      <x:c r="AL197" s="48" t="n">
        <x:f>(-2*((1000*((((Inputs!$I$6+(((A197)+1)/2)*(Inputs!$J$6-Inputs!$I$6)))*Inputs!$C$11+((Inputs!$H$6+Inputs!$L$6*(((Inputs!$I$6+(((A197)+1)/2)*(Inputs!$J$6-Inputs!$I$6)))/Inputs!$K$6)^2))*((2*Inputs!$L$6*((Inputs!$I$6+(((A197)+1)/2)*(Inputs!$J$6-Inputs!$I$6)))/(Inputs!$K$6^2)*Inputs!$C$11)))/(SQRT(((Inputs!$I$6+(((A197)+1)/2)*(Inputs!$J$6-Inputs!$I$6)))^2+Inputs!$C$6^2+((Inputs!$H$6+Inputs!$L$6*(((Inputs!$I$6+(((A197)+1)/2)*(Inputs!$J$6-Inputs!$I$6)))/Inputs!$K$6)^2))^2)))))/Inputs!$C$13)</x:f>
        <x:v>-280.9854681430745</x:v>
      </x:c>
      <x:c r="AM197" s="48" t="n">
        <x:f>(-2*((1000*((((Inputs!$I$7+(((A197)+1)/2)*(Inputs!$J$7-Inputs!$I$7)))*Inputs!$C$11+((Inputs!$H$7+Inputs!$L$7*(((Inputs!$I$7+(((A197)+1)/2)*(Inputs!$J$7-Inputs!$I$7)))/Inputs!$K$7)^2))*((2*Inputs!$L$7*((Inputs!$I$7+(((A197)+1)/2)*(Inputs!$J$7-Inputs!$I$7)))/(Inputs!$K$7^2)*Inputs!$C$11)))/(SQRT(((Inputs!$I$7+(((A197)+1)/2)*(Inputs!$J$7-Inputs!$I$7)))^2+Inputs!$C$6^2+((Inputs!$H$7+Inputs!$L$7*(((Inputs!$I$7+(((A197)+1)/2)*(Inputs!$J$7-Inputs!$I$7)))/Inputs!$K$7)^2))^2)))))/Inputs!$C$13)</x:f>
        <x:v>-2353.453731136441</x:v>
      </x:c>
      <x:c r="AN197" s="48" t="n">
        <x:f>(-2*((1000*((((Inputs!$I$8+(((A197)+1)/2)*(Inputs!$J$8-Inputs!$I$8)))*Inputs!$C$11+((Inputs!$H$8+Inputs!$L$8*(((Inputs!$I$8+(((A197)+1)/2)*(Inputs!$J$8-Inputs!$I$8)))/Inputs!$K$8)^2))*((2*Inputs!$L$8*((Inputs!$I$8+(((A197)+1)/2)*(Inputs!$J$8-Inputs!$I$8)))/(Inputs!$K$8^2)*Inputs!$C$11)))/(SQRT(((Inputs!$I$8+(((A197)+1)/2)*(Inputs!$J$8-Inputs!$I$8)))^2+Inputs!$C$6^2+((Inputs!$H$8+Inputs!$L$8*(((Inputs!$I$8+(((A197)+1)/2)*(Inputs!$J$8-Inputs!$I$8)))/Inputs!$K$8)^2))^2)))))/Inputs!$C$13)</x:f>
        <x:v>-2766.8624410563048</x:v>
      </x:c>
      <x:c r="AO197" s="48" t="n">
        <x:f>(-2*((1000*((((Inputs!$I$9+(((A197)+1)/2)*(Inputs!$J$9-Inputs!$I$9)))*Inputs!$C$11+((Inputs!$H$9+Inputs!$L$9*(((Inputs!$I$9+(((A197)+1)/2)*(Inputs!$J$9-Inputs!$I$9)))/Inputs!$K$9)^2))*((2*Inputs!$L$9*((Inputs!$I$9+(((A197)+1)/2)*(Inputs!$J$9-Inputs!$I$9)))/(Inputs!$K$9^2)*Inputs!$C$11)))/(SQRT(((Inputs!$I$9+(((A197)+1)/2)*(Inputs!$J$9-Inputs!$I$9)))^2+Inputs!$C$6^2+((Inputs!$H$9+Inputs!$L$9*(((Inputs!$I$9+(((A197)+1)/2)*(Inputs!$J$9-Inputs!$I$9)))/Inputs!$K$9)^2))^2)))))/Inputs!$C$13)</x:f>
        <x:v>-2776.344772085569</x:v>
      </x:c>
    </x:row>
    <x:row r="198">
      <x:c r="A198" s="48" t="n">
        <x:f>ROUND(-1+196*2/240,3)</x:f>
        <x:v>0.633</x:v>
      </x:c>
      <x:c r="B198" s="48" t="n">
        <x:f>IF(OR(Inputs!$F$6=TRUE,Inputs!$F$6="TRUE",Inputs!$F$6=1),(Inputs!$H$6+Inputs!$L$6*(((Inputs!$I$6+(((A198)+1)/2)*(Inputs!$J$6-Inputs!$I$6)))/Inputs!$K$6)^2),NA())</x:f>
        <x:v>401.602756</x:v>
      </x:c>
      <x:c r="C198" s="48" t="n">
        <x:f>IF(OR(Inputs!$F$7=TRUE,Inputs!$F$7="TRUE",Inputs!$F$7=1),(Inputs!$H$7+Inputs!$L$7*(((Inputs!$I$7+(((A198)+1)/2)*(Inputs!$J$7-Inputs!$I$7)))/Inputs!$K$7)^2),NA())</x:f>
        <x:v>181.25148500000006</x:v>
      </x:c>
      <x:c r="D198" s="48" t="n">
        <x:f>IF(OR(Inputs!$F$8=TRUE,Inputs!$F$8="TRUE",Inputs!$F$8=1),(Inputs!$H$8+Inputs!$L$8*(((Inputs!$I$8+(((A198)+1)/2)*(Inputs!$J$8-Inputs!$I$8)))/Inputs!$K$8)^2),NA())</x:f>
        <x:v>421.66488500000014</x:v>
      </x:c>
      <x:c r="E198" s="48" t="n">
        <x:f>IF(OR(Inputs!$F$9=TRUE,Inputs!$F$9="TRUE",Inputs!$F$9=1),(Inputs!$H$9+Inputs!$L$9*(((Inputs!$I$9+(((A198)+1)/2)*(Inputs!$J$9-Inputs!$I$9)))/Inputs!$K$9)^2),NA())</x:f>
        <x:v>415.67177500000014</x:v>
      </x:c>
      <x:c r="F198" s="49"/>
      <x:c r="G198" s="48" t="n">
        <x:f>A198</x:f>
        <x:v>0.633</x:v>
      </x:c>
      <x:c r="H198" s="48" t="n">
        <x:f>IF(OR(Inputs!$F$6=TRUE,Inputs!$F$6="TRUE",Inputs!$F$6=1),(((SQRT(((Inputs!$I$6+(((A198)+1)/2)*(Inputs!$J$6-Inputs!$I$6)))^2+Inputs!$C$6^2+((Inputs!$H$6+Inputs!$L$6*(((Inputs!$I$6+(((A198)+1)/2)*(Inputs!$J$6-Inputs!$I$6)))/Inputs!$K$6)^2))^2))-((Inputs!$H$6+Inputs!$L$6*(((Inputs!$I$6+(((A198)+1)/2)*(Inputs!$J$6-Inputs!$I$6)))/Inputs!$K$6)^2)))*1000/Inputs!$C$12),NA())</x:f>
        <x:v>1441.4831698256544</x:v>
      </x:c>
      <x:c r="I198" s="48" t="n">
        <x:f>IF(OR(Inputs!$F$7=TRUE,Inputs!$F$7="TRUE",Inputs!$F$7=1),(((SQRT(((Inputs!$I$7+(((A198)+1)/2)*(Inputs!$J$7-Inputs!$I$7)))^2+Inputs!$C$6^2+((Inputs!$H$7+Inputs!$L$7*(((Inputs!$I$7+(((A198)+1)/2)*(Inputs!$J$7-Inputs!$I$7)))/Inputs!$K$7)^2))^2))-((Inputs!$H$7+Inputs!$L$7*(((Inputs!$I$7+(((A198)+1)/2)*(Inputs!$J$7-Inputs!$I$7)))/Inputs!$K$7)^2)))*1000/Inputs!$C$12),NA())</x:f>
        <x:v>73673.16901511585</x:v>
      </x:c>
      <x:c r="J198" s="48" t="n">
        <x:f>IF(OR(Inputs!$F$8=TRUE,Inputs!$F$8="TRUE",Inputs!$F$8=1),(((SQRT(((Inputs!$I$8+(((A198)+1)/2)*(Inputs!$J$8-Inputs!$I$8)))^2+Inputs!$C$6^2+((Inputs!$H$8+Inputs!$L$8*(((Inputs!$I$8+(((A198)+1)/2)*(Inputs!$J$8-Inputs!$I$8)))/Inputs!$K$8)^2))^2))-((Inputs!$H$8+Inputs!$L$8*(((Inputs!$I$8+(((A198)+1)/2)*(Inputs!$J$8-Inputs!$I$8)))/Inputs!$K$8)^2)))*1000/Inputs!$C$12),NA())</x:f>
        <x:v>133584.13288178097</x:v>
      </x:c>
      <x:c r="K198" s="48" t="n">
        <x:f>IF(OR(Inputs!$F$9=TRUE,Inputs!$F$9="TRUE",Inputs!$F$9=1),(((SQRT(((Inputs!$I$9+(((A198)+1)/2)*(Inputs!$J$9-Inputs!$I$9)))^2+Inputs!$C$6^2+((Inputs!$H$9+Inputs!$L$9*(((Inputs!$I$9+(((A198)+1)/2)*(Inputs!$J$9-Inputs!$I$9)))/Inputs!$K$9)^2))^2))-((Inputs!$H$9+Inputs!$L$9*(((Inputs!$I$9+(((A198)+1)/2)*(Inputs!$J$9-Inputs!$I$9)))/Inputs!$K$9)^2)))*1000/Inputs!$C$12),NA())</x:f>
        <x:v>134807.25792322456</x:v>
      </x:c>
      <x:c r="L198" s="49"/>
      <x:c r="M198" s="48" t="n">
        <x:f>A198</x:f>
        <x:v>0.633</x:v>
      </x:c>
      <x:c r="N198" s="48" t="n">
        <x:f>IF(OR(Inputs!$F$6=TRUE,Inputs!$F$6="TRUE",Inputs!$F$6=1),(-2*((1000*((((Inputs!$I$6+(((A198)+1)/2)*(Inputs!$J$6-Inputs!$I$6)))*Inputs!$C$11+((Inputs!$H$6+Inputs!$L$6*(((Inputs!$I$6+(((A198)+1)/2)*(Inputs!$J$6-Inputs!$I$6)))/Inputs!$K$6)^2))*((2*Inputs!$L$6*((Inputs!$I$6+(((A198)+1)/2)*(Inputs!$J$6-Inputs!$I$6)))/(Inputs!$K$6^2)*Inputs!$C$11)))/(SQRT(((Inputs!$I$6+(((A198)+1)/2)*(Inputs!$J$6-Inputs!$I$6)))^2+Inputs!$C$6^2+((Inputs!$H$6+Inputs!$L$6*(((Inputs!$I$6+(((A198)+1)/2)*(Inputs!$J$6-Inputs!$I$6)))/Inputs!$K$6)^2))^2)))))/Inputs!$C$13),NA())</x:f>
        <x:v>-284.535803366096</x:v>
      </x:c>
      <x:c r="O198" s="48" t="n">
        <x:f>IF(OR(Inputs!$F$7=TRUE,Inputs!$F$7="TRUE",Inputs!$F$7=1),(-2*((1000*((((Inputs!$I$7+(((A198)+1)/2)*(Inputs!$J$7-Inputs!$I$7)))*Inputs!$C$11+((Inputs!$H$7+Inputs!$L$7*(((Inputs!$I$7+(((A198)+1)/2)*(Inputs!$J$7-Inputs!$I$7)))/Inputs!$K$7)^2))*((2*Inputs!$L$7*((Inputs!$I$7+(((A198)+1)/2)*(Inputs!$J$7-Inputs!$I$7)))/(Inputs!$K$7^2)*Inputs!$C$11)))/(SQRT(((Inputs!$I$7+(((A198)+1)/2)*(Inputs!$J$7-Inputs!$I$7)))^2+Inputs!$C$6^2+((Inputs!$H$7+Inputs!$L$7*(((Inputs!$I$7+(((A198)+1)/2)*(Inputs!$J$7-Inputs!$I$7)))/Inputs!$K$7)^2))^2)))))/Inputs!$C$13),NA())</x:f>
        <x:v>-2369.2776476820554</x:v>
      </x:c>
      <x:c r="P198" s="48" t="n">
        <x:f>IF(OR(Inputs!$F$8=TRUE,Inputs!$F$8="TRUE",Inputs!$F$8=1),(-2*((1000*((((Inputs!$I$8+(((A198)+1)/2)*(Inputs!$J$8-Inputs!$I$8)))*Inputs!$C$11+((Inputs!$H$8+Inputs!$L$8*(((Inputs!$I$8+(((A198)+1)/2)*(Inputs!$J$8-Inputs!$I$8)))/Inputs!$K$8)^2))*((2*Inputs!$L$8*((Inputs!$I$8+(((A198)+1)/2)*(Inputs!$J$8-Inputs!$I$8)))/(Inputs!$K$8^2)*Inputs!$C$11)))/(SQRT(((Inputs!$I$8+(((A198)+1)/2)*(Inputs!$J$8-Inputs!$I$8)))^2+Inputs!$C$6^2+((Inputs!$H$8+Inputs!$L$8*(((Inputs!$I$8+(((A198)+1)/2)*(Inputs!$J$8-Inputs!$I$8)))/Inputs!$K$8)^2))^2)))))/Inputs!$C$13),NA())</x:f>
        <x:v>-2791.026616642497</x:v>
      </x:c>
      <x:c r="Q198" s="48" t="n">
        <x:f>IF(OR(Inputs!$F$9=TRUE,Inputs!$F$9="TRUE",Inputs!$F$9=1),(-2*((1000*((((Inputs!$I$9+(((A198)+1)/2)*(Inputs!$J$9-Inputs!$I$9)))*Inputs!$C$11+((Inputs!$H$9+Inputs!$L$9*(((Inputs!$I$9+(((A198)+1)/2)*(Inputs!$J$9-Inputs!$I$9)))/Inputs!$K$9)^2))*((2*Inputs!$L$9*((Inputs!$I$9+(((A198)+1)/2)*(Inputs!$J$9-Inputs!$I$9)))/(Inputs!$K$9^2)*Inputs!$C$11)))/(SQRT(((Inputs!$I$9+(((A198)+1)/2)*(Inputs!$J$9-Inputs!$I$9)))^2+Inputs!$C$6^2+((Inputs!$H$9+Inputs!$L$9*(((Inputs!$I$9+(((A198)+1)/2)*(Inputs!$J$9-Inputs!$I$9)))/Inputs!$K$9)^2))^2)))))/Inputs!$C$13),NA())</x:f>
        <x:v>-2800.9892298170935</x:v>
      </x:c>
      <x:c r="R198" s="49"/>
      <x:c r="S198" s="48" t="n">
        <x:f>A198</x:f>
        <x:v>0.633</x:v>
      </x:c>
      <x:c r="T198" s="48" t="n">
        <x:f>(Inputs!$I$6+(((A198)+1)/2)*(Inputs!$J$6-Inputs!$I$6))</x:f>
        <x:v>37.980000000000004</x:v>
      </x:c>
      <x:c r="U198" s="48" t="n">
        <x:f>(Inputs!$I$7+(((A198)+1)/2)*(Inputs!$J$7-Inputs!$I$7))</x:f>
        <x:v>253.20000000000005</x:v>
      </x:c>
      <x:c r="V198" s="48" t="n">
        <x:f>(Inputs!$I$8+(((A198)+1)/2)*(Inputs!$J$8-Inputs!$I$8))</x:f>
        <x:v>506.4000000000001</x:v>
      </x:c>
      <x:c r="W198" s="48" t="n">
        <x:f>(Inputs!$I$9+(((A198)+1)/2)*(Inputs!$J$9-Inputs!$I$9))</x:f>
        <x:v>506.4000000000001</x:v>
      </x:c>
      <x:c r="X198" s="49"/>
      <x:c r="Y198" s="48" t="n">
        <x:f>A198</x:f>
        <x:v>0.633</x:v>
      </x:c>
      <x:c r="Z198" s="48" t="n">
        <x:f>(Inputs!$H$6+Inputs!$L$6*(((Inputs!$I$6+(((A198)+1)/2)*(Inputs!$J$6-Inputs!$I$6)))/Inputs!$K$6)^2)</x:f>
        <x:v>401.602756</x:v>
      </x:c>
      <x:c r="AA198" s="48" t="n">
        <x:f>(Inputs!$H$7+Inputs!$L$7*(((Inputs!$I$7+(((A198)+1)/2)*(Inputs!$J$7-Inputs!$I$7)))/Inputs!$K$7)^2)</x:f>
        <x:v>181.25148500000006</x:v>
      </x:c>
      <x:c r="AB198" s="48" t="n">
        <x:f>(Inputs!$H$8+Inputs!$L$8*(((Inputs!$I$8+(((A198)+1)/2)*(Inputs!$J$8-Inputs!$I$8)))/Inputs!$K$8)^2)</x:f>
        <x:v>421.66488500000014</x:v>
      </x:c>
      <x:c r="AC198" s="48" t="n">
        <x:f>(Inputs!$H$9+Inputs!$L$9*(((Inputs!$I$9+(((A198)+1)/2)*(Inputs!$J$9-Inputs!$I$9)))/Inputs!$K$9)^2)</x:f>
        <x:v>415.67177500000014</x:v>
      </x:c>
      <x:c r="AD198" s="49"/>
      <x:c r="AE198" s="48" t="n">
        <x:f>A198</x:f>
        <x:v>0.633</x:v>
      </x:c>
      <x:c r="AF198" s="48" t="n">
        <x:f>(((SQRT(((Inputs!$I$6+(((A198)+1)/2)*(Inputs!$J$6-Inputs!$I$6)))^2+Inputs!$C$6^2+((Inputs!$H$6+Inputs!$L$6*(((Inputs!$I$6+(((A198)+1)/2)*(Inputs!$J$6-Inputs!$I$6)))/Inputs!$K$6)^2))^2))-((Inputs!$H$6+Inputs!$L$6*(((Inputs!$I$6+(((A198)+1)/2)*(Inputs!$J$6-Inputs!$I$6)))/Inputs!$K$6)^2)))*1000/Inputs!$C$12)</x:f>
        <x:v>1441.4831698256544</x:v>
      </x:c>
      <x:c r="AG198" s="48" t="n">
        <x:f>(((SQRT(((Inputs!$I$7+(((A198)+1)/2)*(Inputs!$J$7-Inputs!$I$7)))^2+Inputs!$C$6^2+((Inputs!$H$7+Inputs!$L$7*(((Inputs!$I$7+(((A198)+1)/2)*(Inputs!$J$7-Inputs!$I$7)))/Inputs!$K$7)^2))^2))-((Inputs!$H$7+Inputs!$L$7*(((Inputs!$I$7+(((A198)+1)/2)*(Inputs!$J$7-Inputs!$I$7)))/Inputs!$K$7)^2)))*1000/Inputs!$C$12)</x:f>
        <x:v>73673.16901511585</x:v>
      </x:c>
      <x:c r="AH198" s="48" t="n">
        <x:f>(((SQRT(((Inputs!$I$8+(((A198)+1)/2)*(Inputs!$J$8-Inputs!$I$8)))^2+Inputs!$C$6^2+((Inputs!$H$8+Inputs!$L$8*(((Inputs!$I$8+(((A198)+1)/2)*(Inputs!$J$8-Inputs!$I$8)))/Inputs!$K$8)^2))^2))-((Inputs!$H$8+Inputs!$L$8*(((Inputs!$I$8+(((A198)+1)/2)*(Inputs!$J$8-Inputs!$I$8)))/Inputs!$K$8)^2)))*1000/Inputs!$C$12)</x:f>
        <x:v>133584.13288178097</x:v>
      </x:c>
      <x:c r="AI198" s="48" t="n">
        <x:f>(((SQRT(((Inputs!$I$9+(((A198)+1)/2)*(Inputs!$J$9-Inputs!$I$9)))^2+Inputs!$C$6^2+((Inputs!$H$9+Inputs!$L$9*(((Inputs!$I$9+(((A198)+1)/2)*(Inputs!$J$9-Inputs!$I$9)))/Inputs!$K$9)^2))^2))-((Inputs!$H$9+Inputs!$L$9*(((Inputs!$I$9+(((A198)+1)/2)*(Inputs!$J$9-Inputs!$I$9)))/Inputs!$K$9)^2)))*1000/Inputs!$C$12)</x:f>
        <x:v>134807.25792322456</x:v>
      </x:c>
      <x:c r="AJ198" s="49"/>
      <x:c r="AK198" s="48" t="n">
        <x:f>A198</x:f>
        <x:v>0.633</x:v>
      </x:c>
      <x:c r="AL198" s="48" t="n">
        <x:f>(-2*((1000*((((Inputs!$I$6+(((A198)+1)/2)*(Inputs!$J$6-Inputs!$I$6)))*Inputs!$C$11+((Inputs!$H$6+Inputs!$L$6*(((Inputs!$I$6+(((A198)+1)/2)*(Inputs!$J$6-Inputs!$I$6)))/Inputs!$K$6)^2))*((2*Inputs!$L$6*((Inputs!$I$6+(((A198)+1)/2)*(Inputs!$J$6-Inputs!$I$6)))/(Inputs!$K$6^2)*Inputs!$C$11)))/(SQRT(((Inputs!$I$6+(((A198)+1)/2)*(Inputs!$J$6-Inputs!$I$6)))^2+Inputs!$C$6^2+((Inputs!$H$6+Inputs!$L$6*(((Inputs!$I$6+(((A198)+1)/2)*(Inputs!$J$6-Inputs!$I$6)))/Inputs!$K$6)^2))^2)))))/Inputs!$C$13)</x:f>
        <x:v>-284.535803366096</x:v>
      </x:c>
      <x:c r="AM198" s="48" t="n">
        <x:f>(-2*((1000*((((Inputs!$I$7+(((A198)+1)/2)*(Inputs!$J$7-Inputs!$I$7)))*Inputs!$C$11+((Inputs!$H$7+Inputs!$L$7*(((Inputs!$I$7+(((A198)+1)/2)*(Inputs!$J$7-Inputs!$I$7)))/Inputs!$K$7)^2))*((2*Inputs!$L$7*((Inputs!$I$7+(((A198)+1)/2)*(Inputs!$J$7-Inputs!$I$7)))/(Inputs!$K$7^2)*Inputs!$C$11)))/(SQRT(((Inputs!$I$7+(((A198)+1)/2)*(Inputs!$J$7-Inputs!$I$7)))^2+Inputs!$C$6^2+((Inputs!$H$7+Inputs!$L$7*(((Inputs!$I$7+(((A198)+1)/2)*(Inputs!$J$7-Inputs!$I$7)))/Inputs!$K$7)^2))^2)))))/Inputs!$C$13)</x:f>
        <x:v>-2369.2776476820554</x:v>
      </x:c>
      <x:c r="AN198" s="48" t="n">
        <x:f>(-2*((1000*((((Inputs!$I$8+(((A198)+1)/2)*(Inputs!$J$8-Inputs!$I$8)))*Inputs!$C$11+((Inputs!$H$8+Inputs!$L$8*(((Inputs!$I$8+(((A198)+1)/2)*(Inputs!$J$8-Inputs!$I$8)))/Inputs!$K$8)^2))*((2*Inputs!$L$8*((Inputs!$I$8+(((A198)+1)/2)*(Inputs!$J$8-Inputs!$I$8)))/(Inputs!$K$8^2)*Inputs!$C$11)))/(SQRT(((Inputs!$I$8+(((A198)+1)/2)*(Inputs!$J$8-Inputs!$I$8)))^2+Inputs!$C$6^2+((Inputs!$H$8+Inputs!$L$8*(((Inputs!$I$8+(((A198)+1)/2)*(Inputs!$J$8-Inputs!$I$8)))/Inputs!$K$8)^2))^2)))))/Inputs!$C$13)</x:f>
        <x:v>-2791.026616642497</x:v>
      </x:c>
      <x:c r="AO198" s="48" t="n">
        <x:f>(-2*((1000*((((Inputs!$I$9+(((A198)+1)/2)*(Inputs!$J$9-Inputs!$I$9)))*Inputs!$C$11+((Inputs!$H$9+Inputs!$L$9*(((Inputs!$I$9+(((A198)+1)/2)*(Inputs!$J$9-Inputs!$I$9)))/Inputs!$K$9)^2))*((2*Inputs!$L$9*((Inputs!$I$9+(((A198)+1)/2)*(Inputs!$J$9-Inputs!$I$9)))/(Inputs!$K$9^2)*Inputs!$C$11)))/(SQRT(((Inputs!$I$9+(((A198)+1)/2)*(Inputs!$J$9-Inputs!$I$9)))^2+Inputs!$C$6^2+((Inputs!$H$9+Inputs!$L$9*(((Inputs!$I$9+(((A198)+1)/2)*(Inputs!$J$9-Inputs!$I$9)))/Inputs!$K$9)^2))^2)))))/Inputs!$C$13)</x:f>
        <x:v>-2800.9892298170935</x:v>
      </x:c>
    </x:row>
    <x:row r="199">
      <x:c r="A199" s="48" t="n">
        <x:f>ROUND(-1+197*2/240,3)</x:f>
        <x:v>0.642</x:v>
      </x:c>
      <x:c r="B199" s="48" t="n">
        <x:f>IF(OR(Inputs!$F$6=TRUE,Inputs!$F$6="TRUE",Inputs!$F$6=1),(Inputs!$H$6+Inputs!$L$6*(((Inputs!$I$6+(((A199)+1)/2)*(Inputs!$J$6-Inputs!$I$6)))/Inputs!$K$6)^2),NA())</x:f>
        <x:v>401.648656</x:v>
      </x:c>
      <x:c r="C199" s="48" t="n">
        <x:f>IF(OR(Inputs!$F$7=TRUE,Inputs!$F$7="TRUE",Inputs!$F$7=1),(Inputs!$H$7+Inputs!$L$7*(((Inputs!$I$7+(((A199)+1)/2)*(Inputs!$J$7-Inputs!$I$7)))/Inputs!$K$7)^2),NA())</x:f>
        <x:v>185.43985999999995</x:v>
      </x:c>
      <x:c r="D199" s="48" t="n">
        <x:f>IF(OR(Inputs!$F$8=TRUE,Inputs!$F$8="TRUE",Inputs!$F$8=1),(Inputs!$H$8+Inputs!$L$8*(((Inputs!$I$8+(((A199)+1)/2)*(Inputs!$J$8-Inputs!$I$8)))/Inputs!$K$8)^2),NA())</x:f>
        <x:v>432.73825999999985</x:v>
      </x:c>
      <x:c r="E199" s="48" t="n">
        <x:f>IF(OR(Inputs!$F$9=TRUE,Inputs!$F$9="TRUE",Inputs!$F$9=1),(Inputs!$H$9+Inputs!$L$9*(((Inputs!$I$9+(((A199)+1)/2)*(Inputs!$J$9-Inputs!$I$9)))/Inputs!$K$9)^2),NA())</x:f>
        <x:v>426.85989999999987</x:v>
      </x:c>
      <x:c r="F199" s="49"/>
      <x:c r="G199" s="48" t="n">
        <x:f>A199</x:f>
        <x:v>0.642</x:v>
      </x:c>
      <x:c r="H199" s="48" t="n">
        <x:f>IF(OR(Inputs!$F$6=TRUE,Inputs!$F$6="TRUE",Inputs!$F$6=1),(((SQRT(((Inputs!$I$6+(((A199)+1)/2)*(Inputs!$J$6-Inputs!$I$6)))^2+Inputs!$C$6^2+((Inputs!$H$6+Inputs!$L$6*(((Inputs!$I$6+(((A199)+1)/2)*(Inputs!$J$6-Inputs!$I$6)))/Inputs!$K$6)^2))^2))-((Inputs!$H$6+Inputs!$L$6*(((Inputs!$I$6+(((A199)+1)/2)*(Inputs!$J$6-Inputs!$I$6)))/Inputs!$K$6)^2)))*1000/Inputs!$C$12),NA())</x:f>
        <x:v>1470.0250543717877</x:v>
      </x:c>
      <x:c r="I199" s="48" t="n">
        <x:f>IF(OR(Inputs!$F$7=TRUE,Inputs!$F$7="TRUE",Inputs!$F$7=1),(((SQRT(((Inputs!$I$7+(((A199)+1)/2)*(Inputs!$J$7-Inputs!$I$7)))^2+Inputs!$C$6^2+((Inputs!$H$7+Inputs!$L$7*(((Inputs!$I$7+(((A199)+1)/2)*(Inputs!$J$7-Inputs!$I$7)))/Inputs!$K$7)^2))^2))-((Inputs!$H$7+Inputs!$L$7*(((Inputs!$I$7+(((A199)+1)/2)*(Inputs!$J$7-Inputs!$I$7)))/Inputs!$K$7)^2)))*1000/Inputs!$C$12),NA())</x:f>
        <x:v>74326.34045667245</x:v>
      </x:c>
      <x:c r="J199" s="48" t="n">
        <x:f>IF(OR(Inputs!$F$8=TRUE,Inputs!$F$8="TRUE",Inputs!$F$8=1),(((SQRT(((Inputs!$I$8+(((A199)+1)/2)*(Inputs!$J$8-Inputs!$I$8)))^2+Inputs!$C$6^2+((Inputs!$H$8+Inputs!$L$8*(((Inputs!$I$8+(((A199)+1)/2)*(Inputs!$J$8-Inputs!$I$8)))/Inputs!$K$8)^2))^2))-((Inputs!$H$8+Inputs!$L$8*(((Inputs!$I$8+(((A199)+1)/2)*(Inputs!$J$8-Inputs!$I$8)))/Inputs!$K$8)^2)))*1000/Inputs!$C$12),NA())</x:f>
        <x:v>134453.64161391763</x:v>
      </x:c>
      <x:c r="K199" s="48" t="n">
        <x:f>IF(OR(Inputs!$F$9=TRUE,Inputs!$F$9="TRUE",Inputs!$F$9=1),(((SQRT(((Inputs!$I$9+(((A199)+1)/2)*(Inputs!$J$9-Inputs!$I$9)))^2+Inputs!$C$6^2+((Inputs!$H$9+Inputs!$L$9*(((Inputs!$I$9+(((A199)+1)/2)*(Inputs!$J$9-Inputs!$I$9)))/Inputs!$K$9)^2))^2))-((Inputs!$H$9+Inputs!$L$9*(((Inputs!$I$9+(((A199)+1)/2)*(Inputs!$J$9-Inputs!$I$9)))/Inputs!$K$9)^2)))*1000/Inputs!$C$12),NA())</x:f>
        <x:v>135638.17041677615</x:v>
      </x:c>
      <x:c r="L199" s="49"/>
      <x:c r="M199" s="48" t="n">
        <x:f>A199</x:f>
        <x:v>0.642</x:v>
      </x:c>
      <x:c r="N199" s="48" t="n">
        <x:f>IF(OR(Inputs!$F$6=TRUE,Inputs!$F$6="TRUE",Inputs!$F$6=1),(-2*((1000*((((Inputs!$I$6+(((A199)+1)/2)*(Inputs!$J$6-Inputs!$I$6)))*Inputs!$C$11+((Inputs!$H$6+Inputs!$L$6*(((Inputs!$I$6+(((A199)+1)/2)*(Inputs!$J$6-Inputs!$I$6)))/Inputs!$K$6)^2))*((2*Inputs!$L$6*((Inputs!$I$6+(((A199)+1)/2)*(Inputs!$J$6-Inputs!$I$6)))/(Inputs!$K$6^2)*Inputs!$C$11)))/(SQRT(((Inputs!$I$6+(((A199)+1)/2)*(Inputs!$J$6-Inputs!$I$6)))^2+Inputs!$C$6^2+((Inputs!$H$6+Inputs!$L$6*(((Inputs!$I$6+(((A199)+1)/2)*(Inputs!$J$6-Inputs!$I$6)))/Inputs!$K$6)^2))^2)))))/Inputs!$C$13),NA())</x:f>
        <x:v>-288.52785473690625</x:v>
      </x:c>
      <x:c r="O199" s="48" t="n">
        <x:f>IF(OR(Inputs!$F$7=TRUE,Inputs!$F$7="TRUE",Inputs!$F$7=1),(-2*((1000*((((Inputs!$I$7+(((A199)+1)/2)*(Inputs!$J$7-Inputs!$I$7)))*Inputs!$C$11+((Inputs!$H$7+Inputs!$L$7*(((Inputs!$I$7+(((A199)+1)/2)*(Inputs!$J$7-Inputs!$I$7)))/Inputs!$K$7)^2))*((2*Inputs!$L$7*((Inputs!$I$7+(((A199)+1)/2)*(Inputs!$J$7-Inputs!$I$7)))/(Inputs!$K$7^2)*Inputs!$C$11)))/(SQRT(((Inputs!$I$7+(((A199)+1)/2)*(Inputs!$J$7-Inputs!$I$7)))^2+Inputs!$C$6^2+((Inputs!$H$7+Inputs!$L$7*(((Inputs!$I$7+(((A199)+1)/2)*(Inputs!$J$7-Inputs!$I$7)))/Inputs!$K$7)^2))^2)))))/Inputs!$C$13),NA())</x:f>
        <x:v>-2387.2071450340836</x:v>
      </x:c>
      <x:c r="P199" s="48" t="n">
        <x:f>IF(OR(Inputs!$F$8=TRUE,Inputs!$F$8="TRUE",Inputs!$F$8=1),(-2*((1000*((((Inputs!$I$8+(((A199)+1)/2)*(Inputs!$J$8-Inputs!$I$8)))*Inputs!$C$11+((Inputs!$H$8+Inputs!$L$8*(((Inputs!$I$8+(((A199)+1)/2)*(Inputs!$J$8-Inputs!$I$8)))/Inputs!$K$8)^2))*((2*Inputs!$L$8*((Inputs!$I$8+(((A199)+1)/2)*(Inputs!$J$8-Inputs!$I$8)))/(Inputs!$K$8^2)*Inputs!$C$11)))/(SQRT(((Inputs!$I$8+(((A199)+1)/2)*(Inputs!$J$8-Inputs!$I$8)))^2+Inputs!$C$6^2+((Inputs!$H$8+Inputs!$L$8*(((Inputs!$I$8+(((A199)+1)/2)*(Inputs!$J$8-Inputs!$I$8)))/Inputs!$K$8)^2))^2)))))/Inputs!$C$13),NA())</x:f>
        <x:v>-2818.381027768704</x:v>
      </x:c>
      <x:c r="Q199" s="48" t="n">
        <x:f>IF(OR(Inputs!$F$9=TRUE,Inputs!$F$9="TRUE",Inputs!$F$9=1),(-2*((1000*((((Inputs!$I$9+(((A199)+1)/2)*(Inputs!$J$9-Inputs!$I$9)))*Inputs!$C$11+((Inputs!$H$9+Inputs!$L$9*(((Inputs!$I$9+(((A199)+1)/2)*(Inputs!$J$9-Inputs!$I$9)))/Inputs!$K$9)^2))*((2*Inputs!$L$9*((Inputs!$I$9+(((A199)+1)/2)*(Inputs!$J$9-Inputs!$I$9)))/(Inputs!$K$9^2)*Inputs!$C$11)))/(SQRT(((Inputs!$I$9+(((A199)+1)/2)*(Inputs!$J$9-Inputs!$I$9)))^2+Inputs!$C$6^2+((Inputs!$H$9+Inputs!$L$9*(((Inputs!$I$9+(((A199)+1)/2)*(Inputs!$J$9-Inputs!$I$9)))/Inputs!$K$9)^2))^2)))))/Inputs!$C$13),NA())</x:f>
        <x:v>-2828.8845972260715</x:v>
      </x:c>
      <x:c r="R199" s="49"/>
      <x:c r="S199" s="48" t="n">
        <x:f>A199</x:f>
        <x:v>0.642</x:v>
      </x:c>
      <x:c r="T199" s="48" t="n">
        <x:f>(Inputs!$I$6+(((A199)+1)/2)*(Inputs!$J$6-Inputs!$I$6))</x:f>
        <x:v>38.519999999999996</x:v>
      </x:c>
      <x:c r="U199" s="48" t="n">
        <x:f>(Inputs!$I$7+(((A199)+1)/2)*(Inputs!$J$7-Inputs!$I$7))</x:f>
        <x:v>256.79999999999995</x:v>
      </x:c>
      <x:c r="V199" s="48" t="n">
        <x:f>(Inputs!$I$8+(((A199)+1)/2)*(Inputs!$J$8-Inputs!$I$8))</x:f>
        <x:v>513.5999999999999</x:v>
      </x:c>
      <x:c r="W199" s="48" t="n">
        <x:f>(Inputs!$I$9+(((A199)+1)/2)*(Inputs!$J$9-Inputs!$I$9))</x:f>
        <x:v>513.5999999999999</x:v>
      </x:c>
      <x:c r="X199" s="49"/>
      <x:c r="Y199" s="48" t="n">
        <x:f>A199</x:f>
        <x:v>0.642</x:v>
      </x:c>
      <x:c r="Z199" s="48" t="n">
        <x:f>(Inputs!$H$6+Inputs!$L$6*(((Inputs!$I$6+(((A199)+1)/2)*(Inputs!$J$6-Inputs!$I$6)))/Inputs!$K$6)^2)</x:f>
        <x:v>401.648656</x:v>
      </x:c>
      <x:c r="AA199" s="48" t="n">
        <x:f>(Inputs!$H$7+Inputs!$L$7*(((Inputs!$I$7+(((A199)+1)/2)*(Inputs!$J$7-Inputs!$I$7)))/Inputs!$K$7)^2)</x:f>
        <x:v>185.43985999999995</x:v>
      </x:c>
      <x:c r="AB199" s="48" t="n">
        <x:f>(Inputs!$H$8+Inputs!$L$8*(((Inputs!$I$8+(((A199)+1)/2)*(Inputs!$J$8-Inputs!$I$8)))/Inputs!$K$8)^2)</x:f>
        <x:v>432.73825999999985</x:v>
      </x:c>
      <x:c r="AC199" s="48" t="n">
        <x:f>(Inputs!$H$9+Inputs!$L$9*(((Inputs!$I$9+(((A199)+1)/2)*(Inputs!$J$9-Inputs!$I$9)))/Inputs!$K$9)^2)</x:f>
        <x:v>426.85989999999987</x:v>
      </x:c>
      <x:c r="AD199" s="49"/>
      <x:c r="AE199" s="48" t="n">
        <x:f>A199</x:f>
        <x:v>0.642</x:v>
      </x:c>
      <x:c r="AF199" s="48" t="n">
        <x:f>(((SQRT(((Inputs!$I$6+(((A199)+1)/2)*(Inputs!$J$6-Inputs!$I$6)))^2+Inputs!$C$6^2+((Inputs!$H$6+Inputs!$L$6*(((Inputs!$I$6+(((A199)+1)/2)*(Inputs!$J$6-Inputs!$I$6)))/Inputs!$K$6)^2))^2))-((Inputs!$H$6+Inputs!$L$6*(((Inputs!$I$6+(((A199)+1)/2)*(Inputs!$J$6-Inputs!$I$6)))/Inputs!$K$6)^2)))*1000/Inputs!$C$12)</x:f>
        <x:v>1470.0250543717877</x:v>
      </x:c>
      <x:c r="AG199" s="48" t="n">
        <x:f>(((SQRT(((Inputs!$I$7+(((A199)+1)/2)*(Inputs!$J$7-Inputs!$I$7)))^2+Inputs!$C$6^2+((Inputs!$H$7+Inputs!$L$7*(((Inputs!$I$7+(((A199)+1)/2)*(Inputs!$J$7-Inputs!$I$7)))/Inputs!$K$7)^2))^2))-((Inputs!$H$7+Inputs!$L$7*(((Inputs!$I$7+(((A199)+1)/2)*(Inputs!$J$7-Inputs!$I$7)))/Inputs!$K$7)^2)))*1000/Inputs!$C$12)</x:f>
        <x:v>74326.34045667245</x:v>
      </x:c>
      <x:c r="AH199" s="48" t="n">
        <x:f>(((SQRT(((Inputs!$I$8+(((A199)+1)/2)*(Inputs!$J$8-Inputs!$I$8)))^2+Inputs!$C$6^2+((Inputs!$H$8+Inputs!$L$8*(((Inputs!$I$8+(((A199)+1)/2)*(Inputs!$J$8-Inputs!$I$8)))/Inputs!$K$8)^2))^2))-((Inputs!$H$8+Inputs!$L$8*(((Inputs!$I$8+(((A199)+1)/2)*(Inputs!$J$8-Inputs!$I$8)))/Inputs!$K$8)^2)))*1000/Inputs!$C$12)</x:f>
        <x:v>134453.64161391763</x:v>
      </x:c>
      <x:c r="AI199" s="48" t="n">
        <x:f>(((SQRT(((Inputs!$I$9+(((A199)+1)/2)*(Inputs!$J$9-Inputs!$I$9)))^2+Inputs!$C$6^2+((Inputs!$H$9+Inputs!$L$9*(((Inputs!$I$9+(((A199)+1)/2)*(Inputs!$J$9-Inputs!$I$9)))/Inputs!$K$9)^2))^2))-((Inputs!$H$9+Inputs!$L$9*(((Inputs!$I$9+(((A199)+1)/2)*(Inputs!$J$9-Inputs!$I$9)))/Inputs!$K$9)^2)))*1000/Inputs!$C$12)</x:f>
        <x:v>135638.17041677615</x:v>
      </x:c>
      <x:c r="AJ199" s="49"/>
      <x:c r="AK199" s="48" t="n">
        <x:f>A199</x:f>
        <x:v>0.642</x:v>
      </x:c>
      <x:c r="AL199" s="48" t="n">
        <x:f>(-2*((1000*((((Inputs!$I$6+(((A199)+1)/2)*(Inputs!$J$6-Inputs!$I$6)))*Inputs!$C$11+((Inputs!$H$6+Inputs!$L$6*(((Inputs!$I$6+(((A199)+1)/2)*(Inputs!$J$6-Inputs!$I$6)))/Inputs!$K$6)^2))*((2*Inputs!$L$6*((Inputs!$I$6+(((A199)+1)/2)*(Inputs!$J$6-Inputs!$I$6)))/(Inputs!$K$6^2)*Inputs!$C$11)))/(SQRT(((Inputs!$I$6+(((A199)+1)/2)*(Inputs!$J$6-Inputs!$I$6)))^2+Inputs!$C$6^2+((Inputs!$H$6+Inputs!$L$6*(((Inputs!$I$6+(((A199)+1)/2)*(Inputs!$J$6-Inputs!$I$6)))/Inputs!$K$6)^2))^2)))))/Inputs!$C$13)</x:f>
        <x:v>-288.52785473690625</x:v>
      </x:c>
      <x:c r="AM199" s="48" t="n">
        <x:f>(-2*((1000*((((Inputs!$I$7+(((A199)+1)/2)*(Inputs!$J$7-Inputs!$I$7)))*Inputs!$C$11+((Inputs!$H$7+Inputs!$L$7*(((Inputs!$I$7+(((A199)+1)/2)*(Inputs!$J$7-Inputs!$I$7)))/Inputs!$K$7)^2))*((2*Inputs!$L$7*((Inputs!$I$7+(((A199)+1)/2)*(Inputs!$J$7-Inputs!$I$7)))/(Inputs!$K$7^2)*Inputs!$C$11)))/(SQRT(((Inputs!$I$7+(((A199)+1)/2)*(Inputs!$J$7-Inputs!$I$7)))^2+Inputs!$C$6^2+((Inputs!$H$7+Inputs!$L$7*(((Inputs!$I$7+(((A199)+1)/2)*(Inputs!$J$7-Inputs!$I$7)))/Inputs!$K$7)^2))^2)))))/Inputs!$C$13)</x:f>
        <x:v>-2387.2071450340836</x:v>
      </x:c>
      <x:c r="AN199" s="48" t="n">
        <x:f>(-2*((1000*((((Inputs!$I$8+(((A199)+1)/2)*(Inputs!$J$8-Inputs!$I$8)))*Inputs!$C$11+((Inputs!$H$8+Inputs!$L$8*(((Inputs!$I$8+(((A199)+1)/2)*(Inputs!$J$8-Inputs!$I$8)))/Inputs!$K$8)^2))*((2*Inputs!$L$8*((Inputs!$I$8+(((A199)+1)/2)*(Inputs!$J$8-Inputs!$I$8)))/(Inputs!$K$8^2)*Inputs!$C$11)))/(SQRT(((Inputs!$I$8+(((A199)+1)/2)*(Inputs!$J$8-Inputs!$I$8)))^2+Inputs!$C$6^2+((Inputs!$H$8+Inputs!$L$8*(((Inputs!$I$8+(((A199)+1)/2)*(Inputs!$J$8-Inputs!$I$8)))/Inputs!$K$8)^2))^2)))))/Inputs!$C$13)</x:f>
        <x:v>-2818.381027768704</x:v>
      </x:c>
      <x:c r="AO199" s="48" t="n">
        <x:f>(-2*((1000*((((Inputs!$I$9+(((A199)+1)/2)*(Inputs!$J$9-Inputs!$I$9)))*Inputs!$C$11+((Inputs!$H$9+Inputs!$L$9*(((Inputs!$I$9+(((A199)+1)/2)*(Inputs!$J$9-Inputs!$I$9)))/Inputs!$K$9)^2))*((2*Inputs!$L$9*((Inputs!$I$9+(((A199)+1)/2)*(Inputs!$J$9-Inputs!$I$9)))/(Inputs!$K$9^2)*Inputs!$C$11)))/(SQRT(((Inputs!$I$9+(((A199)+1)/2)*(Inputs!$J$9-Inputs!$I$9)))^2+Inputs!$C$6^2+((Inputs!$H$9+Inputs!$L$9*(((Inputs!$I$9+(((A199)+1)/2)*(Inputs!$J$9-Inputs!$I$9)))/Inputs!$K$9)^2))^2)))))/Inputs!$C$13)</x:f>
        <x:v>-2828.8845972260715</x:v>
      </x:c>
    </x:row>
    <x:row r="200">
      <x:c r="A200" s="48" t="n">
        <x:f>ROUND(-1+198*2/240,3)</x:f>
        <x:v>0.65</x:v>
      </x:c>
      <x:c r="B200" s="48" t="n">
        <x:f>IF(OR(Inputs!$F$6=TRUE,Inputs!$F$6="TRUE",Inputs!$F$6=1),(Inputs!$H$6+Inputs!$L$6*(((Inputs!$I$6+(((A200)+1)/2)*(Inputs!$J$6-Inputs!$I$6)))/Inputs!$K$6)^2),NA())</x:f>
        <x:v>401.69</x:v>
      </x:c>
      <x:c r="C200" s="48" t="n">
        <x:f>IF(OR(Inputs!$F$7=TRUE,Inputs!$F$7="TRUE",Inputs!$F$7=1),(Inputs!$H$7+Inputs!$L$7*(((Inputs!$I$7+(((A200)+1)/2)*(Inputs!$J$7-Inputs!$I$7)))/Inputs!$K$7)^2),NA())</x:f>
        <x:v>189.2125</x:v>
      </x:c>
      <x:c r="D200" s="48" t="n">
        <x:f>IF(OR(Inputs!$F$8=TRUE,Inputs!$F$8="TRUE",Inputs!$F$8=1),(Inputs!$H$8+Inputs!$L$8*(((Inputs!$I$8+(((A200)+1)/2)*(Inputs!$J$8-Inputs!$I$8)))/Inputs!$K$8)^2),NA())</x:f>
        <x:v>442.71250000000003</x:v>
      </x:c>
      <x:c r="E200" s="48" t="n">
        <x:f>IF(OR(Inputs!$F$9=TRUE,Inputs!$F$9="TRUE",Inputs!$F$9=1),(Inputs!$H$9+Inputs!$L$9*(((Inputs!$I$9+(((A200)+1)/2)*(Inputs!$J$9-Inputs!$I$9)))/Inputs!$K$9)^2),NA())</x:f>
        <x:v>436.93750000000006</x:v>
      </x:c>
      <x:c r="F200" s="49"/>
      <x:c r="G200" s="48" t="n">
        <x:f>A200</x:f>
        <x:v>0.65</x:v>
      </x:c>
      <x:c r="H200" s="48" t="n">
        <x:f>IF(OR(Inputs!$F$6=TRUE,Inputs!$F$6="TRUE",Inputs!$F$6=1),(((SQRT(((Inputs!$I$6+(((A200)+1)/2)*(Inputs!$J$6-Inputs!$I$6)))^2+Inputs!$C$6^2+((Inputs!$H$6+Inputs!$L$6*(((Inputs!$I$6+(((A200)+1)/2)*(Inputs!$J$6-Inputs!$I$6)))/Inputs!$K$6)^2))^2))-((Inputs!$H$6+Inputs!$L$6*(((Inputs!$I$6+(((A200)+1)/2)*(Inputs!$J$6-Inputs!$I$6)))/Inputs!$K$6)^2)))*1000/Inputs!$C$12),NA())</x:f>
        <x:v>1495.7252757464753</x:v>
      </x:c>
      <x:c r="I200" s="48" t="n">
        <x:f>IF(OR(Inputs!$F$7=TRUE,Inputs!$F$7="TRUE",Inputs!$F$7=1),(((SQRT(((Inputs!$I$7+(((A200)+1)/2)*(Inputs!$J$7-Inputs!$I$7)))^2+Inputs!$C$6^2+((Inputs!$H$7+Inputs!$L$7*(((Inputs!$I$7+(((A200)+1)/2)*(Inputs!$J$7-Inputs!$I$7)))/Inputs!$K$7)^2))^2))-((Inputs!$H$7+Inputs!$L$7*(((Inputs!$I$7+(((A200)+1)/2)*(Inputs!$J$7-Inputs!$I$7)))/Inputs!$K$7)^2)))*1000/Inputs!$C$12),NA())</x:f>
        <x:v>74898.14187202851</x:v>
      </x:c>
      <x:c r="J200" s="48" t="n">
        <x:f>IF(OR(Inputs!$F$8=TRUE,Inputs!$F$8="TRUE",Inputs!$F$8=1),(((SQRT(((Inputs!$I$8+(((A200)+1)/2)*(Inputs!$J$8-Inputs!$I$8)))^2+Inputs!$C$6^2+((Inputs!$H$8+Inputs!$L$8*(((Inputs!$I$8+(((A200)+1)/2)*(Inputs!$J$8-Inputs!$I$8)))/Inputs!$K$8)^2))^2))-((Inputs!$H$8+Inputs!$L$8*(((Inputs!$I$8+(((A200)+1)/2)*(Inputs!$J$8-Inputs!$I$8)))/Inputs!$K$8)^2)))*1000/Inputs!$C$12),NA())</x:f>
        <x:v>135211.03689900014</x:v>
      </x:c>
      <x:c r="K200" s="48" t="n">
        <x:f>IF(OR(Inputs!$F$9=TRUE,Inputs!$F$9="TRUE",Inputs!$F$9=1),(((SQRT(((Inputs!$I$9+(((A200)+1)/2)*(Inputs!$J$9-Inputs!$I$9)))^2+Inputs!$C$6^2+((Inputs!$H$9+Inputs!$L$9*(((Inputs!$I$9+(((A200)+1)/2)*(Inputs!$J$9-Inputs!$I$9)))/Inputs!$K$9)^2))^2))-((Inputs!$H$9+Inputs!$L$9*(((Inputs!$I$9+(((A200)+1)/2)*(Inputs!$J$9-Inputs!$I$9)))/Inputs!$K$9)^2)))*1000/Inputs!$C$12),NA())</x:f>
        <x:v>136361.64248877275</x:v>
      </x:c>
      <x:c r="L200" s="49"/>
      <x:c r="M200" s="48" t="n">
        <x:f>A200</x:f>
        <x:v>0.65</x:v>
      </x:c>
      <x:c r="N200" s="48" t="n">
        <x:f>IF(OR(Inputs!$F$6=TRUE,Inputs!$F$6="TRUE",Inputs!$F$6=1),(-2*((1000*((((Inputs!$I$6+(((A200)+1)/2)*(Inputs!$J$6-Inputs!$I$6)))*Inputs!$C$11+((Inputs!$H$6+Inputs!$L$6*(((Inputs!$I$6+(((A200)+1)/2)*(Inputs!$J$6-Inputs!$I$6)))/Inputs!$K$6)^2))*((2*Inputs!$L$6*((Inputs!$I$6+(((A200)+1)/2)*(Inputs!$J$6-Inputs!$I$6)))/(Inputs!$K$6^2)*Inputs!$C$11)))/(SQRT(((Inputs!$I$6+(((A200)+1)/2)*(Inputs!$J$6-Inputs!$I$6)))^2+Inputs!$C$6^2+((Inputs!$H$6+Inputs!$L$6*(((Inputs!$I$6+(((A200)+1)/2)*(Inputs!$J$6-Inputs!$I$6)))/Inputs!$K$6)^2))^2)))))/Inputs!$C$13),NA())</x:f>
        <x:v>-292.0744775217912</x:v>
      </x:c>
      <x:c r="O200" s="48" t="n">
        <x:f>IF(OR(Inputs!$F$7=TRUE,Inputs!$F$7="TRUE",Inputs!$F$7=1),(-2*((1000*((((Inputs!$I$7+(((A200)+1)/2)*(Inputs!$J$7-Inputs!$I$7)))*Inputs!$C$11+((Inputs!$H$7+Inputs!$L$7*(((Inputs!$I$7+(((A200)+1)/2)*(Inputs!$J$7-Inputs!$I$7)))/Inputs!$K$7)^2))*((2*Inputs!$L$7*((Inputs!$I$7+(((A200)+1)/2)*(Inputs!$J$7-Inputs!$I$7)))/(Inputs!$K$7^2)*Inputs!$C$11)))/(SQRT(((Inputs!$I$7+(((A200)+1)/2)*(Inputs!$J$7-Inputs!$I$7)))^2+Inputs!$C$6^2+((Inputs!$H$7+Inputs!$L$7*(((Inputs!$I$7+(((A200)+1)/2)*(Inputs!$J$7-Inputs!$I$7)))/Inputs!$K$7)^2))^2)))))/Inputs!$C$13),NA())</x:f>
        <x:v>-2403.256934358649</x:v>
      </x:c>
      <x:c r="P200" s="48" t="n">
        <x:f>IF(OR(Inputs!$F$8=TRUE,Inputs!$F$8="TRUE",Inputs!$F$8=1),(-2*((1000*((((Inputs!$I$8+(((A200)+1)/2)*(Inputs!$J$8-Inputs!$I$8)))*Inputs!$C$11+((Inputs!$H$8+Inputs!$L$8*(((Inputs!$I$8+(((A200)+1)/2)*(Inputs!$J$8-Inputs!$I$8)))/Inputs!$K$8)^2))*((2*Inputs!$L$8*((Inputs!$I$8+(((A200)+1)/2)*(Inputs!$J$8-Inputs!$I$8)))/(Inputs!$K$8^2)*Inputs!$C$11)))/(SQRT(((Inputs!$I$8+(((A200)+1)/2)*(Inputs!$J$8-Inputs!$I$8)))^2+Inputs!$C$6^2+((Inputs!$H$8+Inputs!$L$8*(((Inputs!$I$8+(((A200)+1)/2)*(Inputs!$J$8-Inputs!$I$8)))/Inputs!$K$8)^2))^2)))))/Inputs!$C$13),NA())</x:f>
        <x:v>-2842.843667658649</x:v>
      </x:c>
      <x:c r="Q200" s="48" t="n">
        <x:f>IF(OR(Inputs!$F$9=TRUE,Inputs!$F$9="TRUE",Inputs!$F$9=1),(-2*((1000*((((Inputs!$I$9+(((A200)+1)/2)*(Inputs!$J$9-Inputs!$I$9)))*Inputs!$C$11+((Inputs!$H$9+Inputs!$L$9*(((Inputs!$I$9+(((A200)+1)/2)*(Inputs!$J$9-Inputs!$I$9)))/Inputs!$K$9)^2))*((2*Inputs!$L$9*((Inputs!$I$9+(((A200)+1)/2)*(Inputs!$J$9-Inputs!$I$9)))/(Inputs!$K$9^2)*Inputs!$C$11)))/(SQRT(((Inputs!$I$9+(((A200)+1)/2)*(Inputs!$J$9-Inputs!$I$9)))^2+Inputs!$C$6^2+((Inputs!$H$9+Inputs!$L$9*(((Inputs!$I$9+(((A200)+1)/2)*(Inputs!$J$9-Inputs!$I$9)))/Inputs!$K$9)^2))^2)))))/Inputs!$C$13),NA())</x:f>
        <x:v>-2853.82848846453</x:v>
      </x:c>
      <x:c r="R200" s="49"/>
      <x:c r="S200" s="48" t="n">
        <x:f>A200</x:f>
        <x:v>0.65</x:v>
      </x:c>
      <x:c r="T200" s="48" t="n">
        <x:f>(Inputs!$I$6+(((A200)+1)/2)*(Inputs!$J$6-Inputs!$I$6))</x:f>
        <x:v>39</x:v>
      </x:c>
      <x:c r="U200" s="48" t="n">
        <x:f>(Inputs!$I$7+(((A200)+1)/2)*(Inputs!$J$7-Inputs!$I$7))</x:f>
        <x:v>260</x:v>
      </x:c>
      <x:c r="V200" s="48" t="n">
        <x:f>(Inputs!$I$8+(((A200)+1)/2)*(Inputs!$J$8-Inputs!$I$8))</x:f>
        <x:v>520</x:v>
      </x:c>
      <x:c r="W200" s="48" t="n">
        <x:f>(Inputs!$I$9+(((A200)+1)/2)*(Inputs!$J$9-Inputs!$I$9))</x:f>
        <x:v>520</x:v>
      </x:c>
      <x:c r="X200" s="49"/>
      <x:c r="Y200" s="48" t="n">
        <x:f>A200</x:f>
        <x:v>0.65</x:v>
      </x:c>
      <x:c r="Z200" s="48" t="n">
        <x:f>(Inputs!$H$6+Inputs!$L$6*(((Inputs!$I$6+(((A200)+1)/2)*(Inputs!$J$6-Inputs!$I$6)))/Inputs!$K$6)^2)</x:f>
        <x:v>401.69</x:v>
      </x:c>
      <x:c r="AA200" s="48" t="n">
        <x:f>(Inputs!$H$7+Inputs!$L$7*(((Inputs!$I$7+(((A200)+1)/2)*(Inputs!$J$7-Inputs!$I$7)))/Inputs!$K$7)^2)</x:f>
        <x:v>189.2125</x:v>
      </x:c>
      <x:c r="AB200" s="48" t="n">
        <x:f>(Inputs!$H$8+Inputs!$L$8*(((Inputs!$I$8+(((A200)+1)/2)*(Inputs!$J$8-Inputs!$I$8)))/Inputs!$K$8)^2)</x:f>
        <x:v>442.71250000000003</x:v>
      </x:c>
      <x:c r="AC200" s="48" t="n">
        <x:f>(Inputs!$H$9+Inputs!$L$9*(((Inputs!$I$9+(((A200)+1)/2)*(Inputs!$J$9-Inputs!$I$9)))/Inputs!$K$9)^2)</x:f>
        <x:v>436.93750000000006</x:v>
      </x:c>
      <x:c r="AD200" s="49"/>
      <x:c r="AE200" s="48" t="n">
        <x:f>A200</x:f>
        <x:v>0.65</x:v>
      </x:c>
      <x:c r="AF200" s="48" t="n">
        <x:f>(((SQRT(((Inputs!$I$6+(((A200)+1)/2)*(Inputs!$J$6-Inputs!$I$6)))^2+Inputs!$C$6^2+((Inputs!$H$6+Inputs!$L$6*(((Inputs!$I$6+(((A200)+1)/2)*(Inputs!$J$6-Inputs!$I$6)))/Inputs!$K$6)^2))^2))-((Inputs!$H$6+Inputs!$L$6*(((Inputs!$I$6+(((A200)+1)/2)*(Inputs!$J$6-Inputs!$I$6)))/Inputs!$K$6)^2)))*1000/Inputs!$C$12)</x:f>
        <x:v>1495.7252757464753</x:v>
      </x:c>
      <x:c r="AG200" s="48" t="n">
        <x:f>(((SQRT(((Inputs!$I$7+(((A200)+1)/2)*(Inputs!$J$7-Inputs!$I$7)))^2+Inputs!$C$6^2+((Inputs!$H$7+Inputs!$L$7*(((Inputs!$I$7+(((A200)+1)/2)*(Inputs!$J$7-Inputs!$I$7)))/Inputs!$K$7)^2))^2))-((Inputs!$H$7+Inputs!$L$7*(((Inputs!$I$7+(((A200)+1)/2)*(Inputs!$J$7-Inputs!$I$7)))/Inputs!$K$7)^2)))*1000/Inputs!$C$12)</x:f>
        <x:v>74898.14187202851</x:v>
      </x:c>
      <x:c r="AH200" s="48" t="n">
        <x:f>(((SQRT(((Inputs!$I$8+(((A200)+1)/2)*(Inputs!$J$8-Inputs!$I$8)))^2+Inputs!$C$6^2+((Inputs!$H$8+Inputs!$L$8*(((Inputs!$I$8+(((A200)+1)/2)*(Inputs!$J$8-Inputs!$I$8)))/Inputs!$K$8)^2))^2))-((Inputs!$H$8+Inputs!$L$8*(((Inputs!$I$8+(((A200)+1)/2)*(Inputs!$J$8-Inputs!$I$8)))/Inputs!$K$8)^2)))*1000/Inputs!$C$12)</x:f>
        <x:v>135211.03689900014</x:v>
      </x:c>
      <x:c r="AI200" s="48" t="n">
        <x:f>(((SQRT(((Inputs!$I$9+(((A200)+1)/2)*(Inputs!$J$9-Inputs!$I$9)))^2+Inputs!$C$6^2+((Inputs!$H$9+Inputs!$L$9*(((Inputs!$I$9+(((A200)+1)/2)*(Inputs!$J$9-Inputs!$I$9)))/Inputs!$K$9)^2))^2))-((Inputs!$H$9+Inputs!$L$9*(((Inputs!$I$9+(((A200)+1)/2)*(Inputs!$J$9-Inputs!$I$9)))/Inputs!$K$9)^2)))*1000/Inputs!$C$12)</x:f>
        <x:v>136361.64248877275</x:v>
      </x:c>
      <x:c r="AJ200" s="49"/>
      <x:c r="AK200" s="48" t="n">
        <x:f>A200</x:f>
        <x:v>0.65</x:v>
      </x:c>
      <x:c r="AL200" s="48" t="n">
        <x:f>(-2*((1000*((((Inputs!$I$6+(((A200)+1)/2)*(Inputs!$J$6-Inputs!$I$6)))*Inputs!$C$11+((Inputs!$H$6+Inputs!$L$6*(((Inputs!$I$6+(((A200)+1)/2)*(Inputs!$J$6-Inputs!$I$6)))/Inputs!$K$6)^2))*((2*Inputs!$L$6*((Inputs!$I$6+(((A200)+1)/2)*(Inputs!$J$6-Inputs!$I$6)))/(Inputs!$K$6^2)*Inputs!$C$11)))/(SQRT(((Inputs!$I$6+(((A200)+1)/2)*(Inputs!$J$6-Inputs!$I$6)))^2+Inputs!$C$6^2+((Inputs!$H$6+Inputs!$L$6*(((Inputs!$I$6+(((A200)+1)/2)*(Inputs!$J$6-Inputs!$I$6)))/Inputs!$K$6)^2))^2)))))/Inputs!$C$13)</x:f>
        <x:v>-292.0744775217912</x:v>
      </x:c>
      <x:c r="AM200" s="48" t="n">
        <x:f>(-2*((1000*((((Inputs!$I$7+(((A200)+1)/2)*(Inputs!$J$7-Inputs!$I$7)))*Inputs!$C$11+((Inputs!$H$7+Inputs!$L$7*(((Inputs!$I$7+(((A200)+1)/2)*(Inputs!$J$7-Inputs!$I$7)))/Inputs!$K$7)^2))*((2*Inputs!$L$7*((Inputs!$I$7+(((A200)+1)/2)*(Inputs!$J$7-Inputs!$I$7)))/(Inputs!$K$7^2)*Inputs!$C$11)))/(SQRT(((Inputs!$I$7+(((A200)+1)/2)*(Inputs!$J$7-Inputs!$I$7)))^2+Inputs!$C$6^2+((Inputs!$H$7+Inputs!$L$7*(((Inputs!$I$7+(((A200)+1)/2)*(Inputs!$J$7-Inputs!$I$7)))/Inputs!$K$7)^2))^2)))))/Inputs!$C$13)</x:f>
        <x:v>-2403.256934358649</x:v>
      </x:c>
      <x:c r="AN200" s="48" t="n">
        <x:f>(-2*((1000*((((Inputs!$I$8+(((A200)+1)/2)*(Inputs!$J$8-Inputs!$I$8)))*Inputs!$C$11+((Inputs!$H$8+Inputs!$L$8*(((Inputs!$I$8+(((A200)+1)/2)*(Inputs!$J$8-Inputs!$I$8)))/Inputs!$K$8)^2))*((2*Inputs!$L$8*((Inputs!$I$8+(((A200)+1)/2)*(Inputs!$J$8-Inputs!$I$8)))/(Inputs!$K$8^2)*Inputs!$C$11)))/(SQRT(((Inputs!$I$8+(((A200)+1)/2)*(Inputs!$J$8-Inputs!$I$8)))^2+Inputs!$C$6^2+((Inputs!$H$8+Inputs!$L$8*(((Inputs!$I$8+(((A200)+1)/2)*(Inputs!$J$8-Inputs!$I$8)))/Inputs!$K$8)^2))^2)))))/Inputs!$C$13)</x:f>
        <x:v>-2842.843667658649</x:v>
      </x:c>
      <x:c r="AO200" s="48" t="n">
        <x:f>(-2*((1000*((((Inputs!$I$9+(((A200)+1)/2)*(Inputs!$J$9-Inputs!$I$9)))*Inputs!$C$11+((Inputs!$H$9+Inputs!$L$9*(((Inputs!$I$9+(((A200)+1)/2)*(Inputs!$J$9-Inputs!$I$9)))/Inputs!$K$9)^2))*((2*Inputs!$L$9*((Inputs!$I$9+(((A200)+1)/2)*(Inputs!$J$9-Inputs!$I$9)))/(Inputs!$K$9^2)*Inputs!$C$11)))/(SQRT(((Inputs!$I$9+(((A200)+1)/2)*(Inputs!$J$9-Inputs!$I$9)))^2+Inputs!$C$6^2+((Inputs!$H$9+Inputs!$L$9*(((Inputs!$I$9+(((A200)+1)/2)*(Inputs!$J$9-Inputs!$I$9)))/Inputs!$K$9)^2))^2)))))/Inputs!$C$13)</x:f>
        <x:v>-2853.82848846453</x:v>
      </x:c>
    </x:row>
    <x:row r="201">
      <x:c r="A201" s="48" t="n">
        <x:f>ROUND(-1+199*2/240,3)</x:f>
        <x:v>0.658</x:v>
      </x:c>
      <x:c r="B201" s="48" t="n">
        <x:f>IF(OR(Inputs!$F$6=TRUE,Inputs!$F$6="TRUE",Inputs!$F$6=1),(Inputs!$H$6+Inputs!$L$6*(((Inputs!$I$6+(((A201)+1)/2)*(Inputs!$J$6-Inputs!$I$6)))/Inputs!$K$6)^2),NA())</x:f>
        <x:v>401.731856</x:v>
      </x:c>
      <x:c r="C201" s="48" t="n">
        <x:f>IF(OR(Inputs!$F$7=TRUE,Inputs!$F$7="TRUE",Inputs!$F$7=1),(Inputs!$H$7+Inputs!$L$7*(((Inputs!$I$7+(((A201)+1)/2)*(Inputs!$J$7-Inputs!$I$7)))/Inputs!$K$7)^2),NA())</x:f>
        <x:v>193.0318599999999</x:v>
      </x:c>
      <x:c r="D201" s="48" t="n">
        <x:f>IF(OR(Inputs!$F$8=TRUE,Inputs!$F$8="TRUE",Inputs!$F$8=1),(Inputs!$H$8+Inputs!$L$8*(((Inputs!$I$8+(((A201)+1)/2)*(Inputs!$J$8-Inputs!$I$8)))/Inputs!$K$8)^2),NA())</x:f>
        <x:v>452.81025999999974</x:v>
      </x:c>
      <x:c r="E201" s="48" t="n">
        <x:f>IF(OR(Inputs!$F$9=TRUE,Inputs!$F$9="TRUE",Inputs!$F$9=1),(Inputs!$H$9+Inputs!$L$9*(((Inputs!$I$9+(((A201)+1)/2)*(Inputs!$J$9-Inputs!$I$9)))/Inputs!$K$9)^2),NA())</x:f>
        <x:v>447.1398999999997</x:v>
      </x:c>
      <x:c r="F201" s="49"/>
      <x:c r="G201" s="48" t="n">
        <x:f>A201</x:f>
        <x:v>0.658</x:v>
      </x:c>
      <x:c r="H201" s="48" t="n">
        <x:f>IF(OR(Inputs!$F$6=TRUE,Inputs!$F$6="TRUE",Inputs!$F$6=1),(((SQRT(((Inputs!$I$6+(((A201)+1)/2)*(Inputs!$J$6-Inputs!$I$6)))^2+Inputs!$C$6^2+((Inputs!$H$6+Inputs!$L$6*(((Inputs!$I$6+(((A201)+1)/2)*(Inputs!$J$6-Inputs!$I$6)))/Inputs!$K$6)^2))^2))-((Inputs!$H$6+Inputs!$L$6*(((Inputs!$I$6+(((A201)+1)/2)*(Inputs!$J$6-Inputs!$I$6)))/Inputs!$K$6)^2)))*1000/Inputs!$C$12),NA())</x:f>
        <x:v>1521.7354525077872</x:v>
      </x:c>
      <x:c r="I201" s="48" t="n">
        <x:f>IF(OR(Inputs!$F$7=TRUE,Inputs!$F$7="TRUE",Inputs!$F$7=1),(((SQRT(((Inputs!$I$7+(((A201)+1)/2)*(Inputs!$J$7-Inputs!$I$7)))^2+Inputs!$C$6^2+((Inputs!$H$7+Inputs!$L$7*(((Inputs!$I$7+(((A201)+1)/2)*(Inputs!$J$7-Inputs!$I$7)))/Inputs!$K$7)^2))^2))-((Inputs!$H$7+Inputs!$L$7*(((Inputs!$I$7+(((A201)+1)/2)*(Inputs!$J$7-Inputs!$I$7)))/Inputs!$K$7)^2)))*1000/Inputs!$C$12),NA())</x:f>
        <x:v>75461.78858683509</x:v>
      </x:c>
      <x:c r="J201" s="48" t="n">
        <x:f>IF(OR(Inputs!$F$8=TRUE,Inputs!$F$8="TRUE",Inputs!$F$8=1),(((SQRT(((Inputs!$I$8+(((A201)+1)/2)*(Inputs!$J$8-Inputs!$I$8)))^2+Inputs!$C$6^2+((Inputs!$H$8+Inputs!$L$8*(((Inputs!$I$8+(((A201)+1)/2)*(Inputs!$J$8-Inputs!$I$8)))/Inputs!$K$8)^2))^2))-((Inputs!$H$8+Inputs!$L$8*(((Inputs!$I$8+(((A201)+1)/2)*(Inputs!$J$8-Inputs!$I$8)))/Inputs!$K$8)^2)))*1000/Inputs!$C$12),NA())</x:f>
        <x:v>135954.16439863585</x:v>
      </x:c>
      <x:c r="K201" s="48" t="n">
        <x:f>IF(OR(Inputs!$F$9=TRUE,Inputs!$F$9="TRUE",Inputs!$F$9=1),(((SQRT(((Inputs!$I$9+(((A201)+1)/2)*(Inputs!$J$9-Inputs!$I$9)))^2+Inputs!$C$6^2+((Inputs!$H$9+Inputs!$L$9*(((Inputs!$I$9+(((A201)+1)/2)*(Inputs!$J$9-Inputs!$I$9)))/Inputs!$K$9)^2))^2))-((Inputs!$H$9+Inputs!$L$9*(((Inputs!$I$9+(((A201)+1)/2)*(Inputs!$J$9-Inputs!$I$9)))/Inputs!$K$9)^2)))*1000/Inputs!$C$12),NA())</x:f>
        <x:v>137071.2094225456</x:v>
      </x:c>
      <x:c r="L201" s="49"/>
      <x:c r="M201" s="48" t="n">
        <x:f>A201</x:f>
        <x:v>0.658</x:v>
      </x:c>
      <x:c r="N201" s="48" t="n">
        <x:f>IF(OR(Inputs!$F$6=TRUE,Inputs!$F$6="TRUE",Inputs!$F$6=1),(-2*((1000*((((Inputs!$I$6+(((A201)+1)/2)*(Inputs!$J$6-Inputs!$I$6)))*Inputs!$C$11+((Inputs!$H$6+Inputs!$L$6*(((Inputs!$I$6+(((A201)+1)/2)*(Inputs!$J$6-Inputs!$I$6)))/Inputs!$K$6)^2))*((2*Inputs!$L$6*((Inputs!$I$6+(((A201)+1)/2)*(Inputs!$J$6-Inputs!$I$6)))/(Inputs!$K$6^2)*Inputs!$C$11)))/(SQRT(((Inputs!$I$6+(((A201)+1)/2)*(Inputs!$J$6-Inputs!$I$6)))^2+Inputs!$C$6^2+((Inputs!$H$6+Inputs!$L$6*(((Inputs!$I$6+(((A201)+1)/2)*(Inputs!$J$6-Inputs!$I$6)))/Inputs!$K$6)^2))^2)))))/Inputs!$C$13),NA())</x:f>
        <x:v>-295.61932199881073</x:v>
      </x:c>
      <x:c r="O201" s="48" t="n">
        <x:f>IF(OR(Inputs!$F$7=TRUE,Inputs!$F$7="TRUE",Inputs!$F$7=1),(-2*((1000*((((Inputs!$I$7+(((A201)+1)/2)*(Inputs!$J$7-Inputs!$I$7)))*Inputs!$C$11+((Inputs!$H$7+Inputs!$L$7*(((Inputs!$I$7+(((A201)+1)/2)*(Inputs!$J$7-Inputs!$I$7)))/Inputs!$K$7)^2))*((2*Inputs!$L$7*((Inputs!$I$7+(((A201)+1)/2)*(Inputs!$J$7-Inputs!$I$7)))/(Inputs!$K$7^2)*Inputs!$C$11)))/(SQRT(((Inputs!$I$7+(((A201)+1)/2)*(Inputs!$J$7-Inputs!$I$7)))^2+Inputs!$C$6^2+((Inputs!$H$7+Inputs!$L$7*(((Inputs!$I$7+(((A201)+1)/2)*(Inputs!$J$7-Inputs!$I$7)))/Inputs!$K$7)^2))^2)))))/Inputs!$C$13),NA())</x:f>
        <x:v>-2419.4116238719453</x:v>
      </x:c>
      <x:c r="P201" s="48" t="n">
        <x:f>IF(OR(Inputs!$F$8=TRUE,Inputs!$F$8="TRUE",Inputs!$F$8=1),(-2*((1000*((((Inputs!$I$8+(((A201)+1)/2)*(Inputs!$J$8-Inputs!$I$8)))*Inputs!$C$11+((Inputs!$H$8+Inputs!$L$8*(((Inputs!$I$8+(((A201)+1)/2)*(Inputs!$J$8-Inputs!$I$8)))/Inputs!$K$8)^2))*((2*Inputs!$L$8*((Inputs!$I$8+(((A201)+1)/2)*(Inputs!$J$8-Inputs!$I$8)))/(Inputs!$K$8^2)*Inputs!$C$11)))/(SQRT(((Inputs!$I$8+(((A201)+1)/2)*(Inputs!$J$8-Inputs!$I$8)))^2+Inputs!$C$6^2+((Inputs!$H$8+Inputs!$L$8*(((Inputs!$I$8+(((A201)+1)/2)*(Inputs!$J$8-Inputs!$I$8)))/Inputs!$K$8)^2))^2)))))/Inputs!$C$13),NA())</x:f>
        <x:v>-2867.4422206456557</x:v>
      </x:c>
      <x:c r="Q201" s="48" t="n">
        <x:f>IF(OR(Inputs!$F$9=TRUE,Inputs!$F$9="TRUE",Inputs!$F$9=1),(-2*((1000*((((Inputs!$I$9+(((A201)+1)/2)*(Inputs!$J$9-Inputs!$I$9)))*Inputs!$C$11+((Inputs!$H$9+Inputs!$L$9*(((Inputs!$I$9+(((A201)+1)/2)*(Inputs!$J$9-Inputs!$I$9)))/Inputs!$K$9)^2))*((2*Inputs!$L$9*((Inputs!$I$9+(((A201)+1)/2)*(Inputs!$J$9-Inputs!$I$9)))/(Inputs!$K$9^2)*Inputs!$C$11)))/(SQRT(((Inputs!$I$9+(((A201)+1)/2)*(Inputs!$J$9-Inputs!$I$9)))^2+Inputs!$C$6^2+((Inputs!$H$9+Inputs!$L$9*(((Inputs!$I$9+(((A201)+1)/2)*(Inputs!$J$9-Inputs!$I$9)))/Inputs!$K$9)^2))^2)))))/Inputs!$C$13),NA())</x:f>
        <x:v>-2878.9085233499354</x:v>
      </x:c>
      <x:c r="R201" s="49"/>
      <x:c r="S201" s="48" t="n">
        <x:f>A201</x:f>
        <x:v>0.658</x:v>
      </x:c>
      <x:c r="T201" s="48" t="n">
        <x:f>(Inputs!$I$6+(((A201)+1)/2)*(Inputs!$J$6-Inputs!$I$6))</x:f>
        <x:v>39.47999999999999</x:v>
      </x:c>
      <x:c r="U201" s="48" t="n">
        <x:f>(Inputs!$I$7+(((A201)+1)/2)*(Inputs!$J$7-Inputs!$I$7))</x:f>
        <x:v>263.19999999999993</x:v>
      </x:c>
      <x:c r="V201" s="48" t="n">
        <x:f>(Inputs!$I$8+(((A201)+1)/2)*(Inputs!$J$8-Inputs!$I$8))</x:f>
        <x:v>526.3999999999999</x:v>
      </x:c>
      <x:c r="W201" s="48" t="n">
        <x:f>(Inputs!$I$9+(((A201)+1)/2)*(Inputs!$J$9-Inputs!$I$9))</x:f>
        <x:v>526.3999999999999</x:v>
      </x:c>
      <x:c r="X201" s="49"/>
      <x:c r="Y201" s="48" t="n">
        <x:f>A201</x:f>
        <x:v>0.658</x:v>
      </x:c>
      <x:c r="Z201" s="48" t="n">
        <x:f>(Inputs!$H$6+Inputs!$L$6*(((Inputs!$I$6+(((A201)+1)/2)*(Inputs!$J$6-Inputs!$I$6)))/Inputs!$K$6)^2)</x:f>
        <x:v>401.731856</x:v>
      </x:c>
      <x:c r="AA201" s="48" t="n">
        <x:f>(Inputs!$H$7+Inputs!$L$7*(((Inputs!$I$7+(((A201)+1)/2)*(Inputs!$J$7-Inputs!$I$7)))/Inputs!$K$7)^2)</x:f>
        <x:v>193.0318599999999</x:v>
      </x:c>
      <x:c r="AB201" s="48" t="n">
        <x:f>(Inputs!$H$8+Inputs!$L$8*(((Inputs!$I$8+(((A201)+1)/2)*(Inputs!$J$8-Inputs!$I$8)))/Inputs!$K$8)^2)</x:f>
        <x:v>452.81025999999974</x:v>
      </x:c>
      <x:c r="AC201" s="48" t="n">
        <x:f>(Inputs!$H$9+Inputs!$L$9*(((Inputs!$I$9+(((A201)+1)/2)*(Inputs!$J$9-Inputs!$I$9)))/Inputs!$K$9)^2)</x:f>
        <x:v>447.1398999999997</x:v>
      </x:c>
      <x:c r="AD201" s="49"/>
      <x:c r="AE201" s="48" t="n">
        <x:f>A201</x:f>
        <x:v>0.658</x:v>
      </x:c>
      <x:c r="AF201" s="48" t="n">
        <x:f>(((SQRT(((Inputs!$I$6+(((A201)+1)/2)*(Inputs!$J$6-Inputs!$I$6)))^2+Inputs!$C$6^2+((Inputs!$H$6+Inputs!$L$6*(((Inputs!$I$6+(((A201)+1)/2)*(Inputs!$J$6-Inputs!$I$6)))/Inputs!$K$6)^2))^2))-((Inputs!$H$6+Inputs!$L$6*(((Inputs!$I$6+(((A201)+1)/2)*(Inputs!$J$6-Inputs!$I$6)))/Inputs!$K$6)^2)))*1000/Inputs!$C$12)</x:f>
        <x:v>1521.7354525077872</x:v>
      </x:c>
      <x:c r="AG201" s="48" t="n">
        <x:f>(((SQRT(((Inputs!$I$7+(((A201)+1)/2)*(Inputs!$J$7-Inputs!$I$7)))^2+Inputs!$C$6^2+((Inputs!$H$7+Inputs!$L$7*(((Inputs!$I$7+(((A201)+1)/2)*(Inputs!$J$7-Inputs!$I$7)))/Inputs!$K$7)^2))^2))-((Inputs!$H$7+Inputs!$L$7*(((Inputs!$I$7+(((A201)+1)/2)*(Inputs!$J$7-Inputs!$I$7)))/Inputs!$K$7)^2)))*1000/Inputs!$C$12)</x:f>
        <x:v>75461.78858683509</x:v>
      </x:c>
      <x:c r="AH201" s="48" t="n">
        <x:f>(((SQRT(((Inputs!$I$8+(((A201)+1)/2)*(Inputs!$J$8-Inputs!$I$8)))^2+Inputs!$C$6^2+((Inputs!$H$8+Inputs!$L$8*(((Inputs!$I$8+(((A201)+1)/2)*(Inputs!$J$8-Inputs!$I$8)))/Inputs!$K$8)^2))^2))-((Inputs!$H$8+Inputs!$L$8*(((Inputs!$I$8+(((A201)+1)/2)*(Inputs!$J$8-Inputs!$I$8)))/Inputs!$K$8)^2)))*1000/Inputs!$C$12)</x:f>
        <x:v>135954.16439863585</x:v>
      </x:c>
      <x:c r="AI201" s="48" t="n">
        <x:f>(((SQRT(((Inputs!$I$9+(((A201)+1)/2)*(Inputs!$J$9-Inputs!$I$9)))^2+Inputs!$C$6^2+((Inputs!$H$9+Inputs!$L$9*(((Inputs!$I$9+(((A201)+1)/2)*(Inputs!$J$9-Inputs!$I$9)))/Inputs!$K$9)^2))^2))-((Inputs!$H$9+Inputs!$L$9*(((Inputs!$I$9+(((A201)+1)/2)*(Inputs!$J$9-Inputs!$I$9)))/Inputs!$K$9)^2)))*1000/Inputs!$C$12)</x:f>
        <x:v>137071.2094225456</x:v>
      </x:c>
      <x:c r="AJ201" s="49"/>
      <x:c r="AK201" s="48" t="n">
        <x:f>A201</x:f>
        <x:v>0.658</x:v>
      </x:c>
      <x:c r="AL201" s="48" t="n">
        <x:f>(-2*((1000*((((Inputs!$I$6+(((A201)+1)/2)*(Inputs!$J$6-Inputs!$I$6)))*Inputs!$C$11+((Inputs!$H$6+Inputs!$L$6*(((Inputs!$I$6+(((A201)+1)/2)*(Inputs!$J$6-Inputs!$I$6)))/Inputs!$K$6)^2))*((2*Inputs!$L$6*((Inputs!$I$6+(((A201)+1)/2)*(Inputs!$J$6-Inputs!$I$6)))/(Inputs!$K$6^2)*Inputs!$C$11)))/(SQRT(((Inputs!$I$6+(((A201)+1)/2)*(Inputs!$J$6-Inputs!$I$6)))^2+Inputs!$C$6^2+((Inputs!$H$6+Inputs!$L$6*(((Inputs!$I$6+(((A201)+1)/2)*(Inputs!$J$6-Inputs!$I$6)))/Inputs!$K$6)^2))^2)))))/Inputs!$C$13)</x:f>
        <x:v>-295.61932199881073</x:v>
      </x:c>
      <x:c r="AM201" s="48" t="n">
        <x:f>(-2*((1000*((((Inputs!$I$7+(((A201)+1)/2)*(Inputs!$J$7-Inputs!$I$7)))*Inputs!$C$11+((Inputs!$H$7+Inputs!$L$7*(((Inputs!$I$7+(((A201)+1)/2)*(Inputs!$J$7-Inputs!$I$7)))/Inputs!$K$7)^2))*((2*Inputs!$L$7*((Inputs!$I$7+(((A201)+1)/2)*(Inputs!$J$7-Inputs!$I$7)))/(Inputs!$K$7^2)*Inputs!$C$11)))/(SQRT(((Inputs!$I$7+(((A201)+1)/2)*(Inputs!$J$7-Inputs!$I$7)))^2+Inputs!$C$6^2+((Inputs!$H$7+Inputs!$L$7*(((Inputs!$I$7+(((A201)+1)/2)*(Inputs!$J$7-Inputs!$I$7)))/Inputs!$K$7)^2))^2)))))/Inputs!$C$13)</x:f>
        <x:v>-2419.4116238719453</x:v>
      </x:c>
      <x:c r="AN201" s="48" t="n">
        <x:f>(-2*((1000*((((Inputs!$I$8+(((A201)+1)/2)*(Inputs!$J$8-Inputs!$I$8)))*Inputs!$C$11+((Inputs!$H$8+Inputs!$L$8*(((Inputs!$I$8+(((A201)+1)/2)*(Inputs!$J$8-Inputs!$I$8)))/Inputs!$K$8)^2))*((2*Inputs!$L$8*((Inputs!$I$8+(((A201)+1)/2)*(Inputs!$J$8-Inputs!$I$8)))/(Inputs!$K$8^2)*Inputs!$C$11)))/(SQRT(((Inputs!$I$8+(((A201)+1)/2)*(Inputs!$J$8-Inputs!$I$8)))^2+Inputs!$C$6^2+((Inputs!$H$8+Inputs!$L$8*(((Inputs!$I$8+(((A201)+1)/2)*(Inputs!$J$8-Inputs!$I$8)))/Inputs!$K$8)^2))^2)))))/Inputs!$C$13)</x:f>
        <x:v>-2867.4422206456557</x:v>
      </x:c>
      <x:c r="AO201" s="48" t="n">
        <x:f>(-2*((1000*((((Inputs!$I$9+(((A201)+1)/2)*(Inputs!$J$9-Inputs!$I$9)))*Inputs!$C$11+((Inputs!$H$9+Inputs!$L$9*(((Inputs!$I$9+(((A201)+1)/2)*(Inputs!$J$9-Inputs!$I$9)))/Inputs!$K$9)^2))*((2*Inputs!$L$9*((Inputs!$I$9+(((A201)+1)/2)*(Inputs!$J$9-Inputs!$I$9)))/(Inputs!$K$9^2)*Inputs!$C$11)))/(SQRT(((Inputs!$I$9+(((A201)+1)/2)*(Inputs!$J$9-Inputs!$I$9)))^2+Inputs!$C$6^2+((Inputs!$H$9+Inputs!$L$9*(((Inputs!$I$9+(((A201)+1)/2)*(Inputs!$J$9-Inputs!$I$9)))/Inputs!$K$9)^2))^2)))))/Inputs!$C$13)</x:f>
        <x:v>-2878.9085233499354</x:v>
      </x:c>
    </x:row>
    <x:row r="202">
      <x:c r="A202" s="48" t="n">
        <x:f>ROUND(-1+200*2/240,3)</x:f>
        <x:v>0.667</x:v>
      </x:c>
      <x:c r="B202" s="48" t="n">
        <x:f>IF(OR(Inputs!$F$6=TRUE,Inputs!$F$6="TRUE",Inputs!$F$6=1),(Inputs!$H$6+Inputs!$L$6*(((Inputs!$I$6+(((A202)+1)/2)*(Inputs!$J$6-Inputs!$I$6)))/Inputs!$K$6)^2),NA())</x:f>
        <x:v>401.779556</x:v>
      </x:c>
      <x:c r="C202" s="48" t="n">
        <x:f>IF(OR(Inputs!$F$7=TRUE,Inputs!$F$7="TRUE",Inputs!$F$7=1),(Inputs!$H$7+Inputs!$L$7*(((Inputs!$I$7+(((A202)+1)/2)*(Inputs!$J$7-Inputs!$I$7)))/Inputs!$K$7)^2),NA())</x:f>
        <x:v>197.38448500000007</x:v>
      </x:c>
      <x:c r="D202" s="48" t="n">
        <x:f>IF(OR(Inputs!$F$8=TRUE,Inputs!$F$8="TRUE",Inputs!$F$8=1),(Inputs!$H$8+Inputs!$L$8*(((Inputs!$I$8+(((A202)+1)/2)*(Inputs!$J$8-Inputs!$I$8)))/Inputs!$K$8)^2),NA())</x:f>
        <x:v>464.3178850000002</x:v>
      </x:c>
      <x:c r="E202" s="48" t="n">
        <x:f>IF(OR(Inputs!$F$9=TRUE,Inputs!$F$9="TRUE",Inputs!$F$9=1),(Inputs!$H$9+Inputs!$L$9*(((Inputs!$I$9+(((A202)+1)/2)*(Inputs!$J$9-Inputs!$I$9)))/Inputs!$K$9)^2),NA())</x:f>
        <x:v>458.7667750000002</x:v>
      </x:c>
      <x:c r="F202" s="49"/>
      <x:c r="G202" s="48" t="n">
        <x:f>A202</x:f>
        <x:v>0.667</x:v>
      </x:c>
      <x:c r="H202" s="48" t="n">
        <x:f>IF(OR(Inputs!$F$6=TRUE,Inputs!$F$6="TRUE",Inputs!$F$6=1),(((SQRT(((Inputs!$I$6+(((A202)+1)/2)*(Inputs!$J$6-Inputs!$I$6)))^2+Inputs!$C$6^2+((Inputs!$H$6+Inputs!$L$6*(((Inputs!$I$6+(((A202)+1)/2)*(Inputs!$J$6-Inputs!$I$6)))/Inputs!$K$6)^2))^2))-((Inputs!$H$6+Inputs!$L$6*(((Inputs!$I$6+(((A202)+1)/2)*(Inputs!$J$6-Inputs!$I$6)))/Inputs!$K$6)^2)))*1000/Inputs!$C$12),NA())</x:f>
        <x:v>1551.3670195100287</x:v>
      </x:c>
      <x:c r="I202" s="48" t="n">
        <x:f>IF(OR(Inputs!$F$7=TRUE,Inputs!$F$7="TRUE",Inputs!$F$7=1),(((SQRT(((Inputs!$I$7+(((A202)+1)/2)*(Inputs!$J$7-Inputs!$I$7)))^2+Inputs!$C$6^2+((Inputs!$H$7+Inputs!$L$7*(((Inputs!$I$7+(((A202)+1)/2)*(Inputs!$J$7-Inputs!$I$7)))/Inputs!$K$7)^2))^2))-((Inputs!$H$7+Inputs!$L$7*(((Inputs!$I$7+(((A202)+1)/2)*(Inputs!$J$7-Inputs!$I$7)))/Inputs!$K$7)^2)))*1000/Inputs!$C$12),NA())</x:f>
        <x:v>76086.28978483491</x:v>
      </x:c>
      <x:c r="J202" s="48" t="n">
        <x:f>IF(OR(Inputs!$F$8=TRUE,Inputs!$F$8="TRUE",Inputs!$F$8=1),(((SQRT(((Inputs!$I$8+(((A202)+1)/2)*(Inputs!$J$8-Inputs!$I$8)))^2+Inputs!$C$6^2+((Inputs!$H$8+Inputs!$L$8*(((Inputs!$I$8+(((A202)+1)/2)*(Inputs!$J$8-Inputs!$I$8)))/Inputs!$K$8)^2))^2))-((Inputs!$H$8+Inputs!$L$8*(((Inputs!$I$8+(((A202)+1)/2)*(Inputs!$J$8-Inputs!$I$8)))/Inputs!$K$8)^2)))*1000/Inputs!$C$12),NA())</x:f>
        <x:v>136773.50442022434</x:v>
      </x:c>
      <x:c r="K202" s="48" t="n">
        <x:f>IF(OR(Inputs!$F$9=TRUE,Inputs!$F$9="TRUE",Inputs!$F$9=1),(((SQRT(((Inputs!$I$9+(((A202)+1)/2)*(Inputs!$J$9-Inputs!$I$9)))^2+Inputs!$C$6^2+((Inputs!$H$9+Inputs!$L$9*(((Inputs!$I$9+(((A202)+1)/2)*(Inputs!$J$9-Inputs!$I$9)))/Inputs!$K$9)^2))^2))-((Inputs!$H$9+Inputs!$L$9*(((Inputs!$I$9+(((A202)+1)/2)*(Inputs!$J$9-Inputs!$I$9)))/Inputs!$K$9)^2)))*1000/Inputs!$C$12),NA())</x:f>
        <x:v>137853.22773067435</x:v>
      </x:c>
      <x:c r="L202" s="49"/>
      <x:c r="M202" s="48" t="n">
        <x:f>A202</x:f>
        <x:v>0.667</x:v>
      </x:c>
      <x:c r="N202" s="48" t="n">
        <x:f>IF(OR(Inputs!$F$6=TRUE,Inputs!$F$6="TRUE",Inputs!$F$6=1),(-2*((1000*((((Inputs!$I$6+(((A202)+1)/2)*(Inputs!$J$6-Inputs!$I$6)))*Inputs!$C$11+((Inputs!$H$6+Inputs!$L$6*(((Inputs!$I$6+(((A202)+1)/2)*(Inputs!$J$6-Inputs!$I$6)))/Inputs!$K$6)^2))*((2*Inputs!$L$6*((Inputs!$I$6+(((A202)+1)/2)*(Inputs!$J$6-Inputs!$I$6)))/(Inputs!$K$6^2)*Inputs!$C$11)))/(SQRT(((Inputs!$I$6+(((A202)+1)/2)*(Inputs!$J$6-Inputs!$I$6)))^2+Inputs!$C$6^2+((Inputs!$H$6+Inputs!$L$6*(((Inputs!$I$6+(((A202)+1)/2)*(Inputs!$J$6-Inputs!$I$6)))/Inputs!$K$6)^2))^2)))))/Inputs!$C$13),NA())</x:f>
        <x:v>-299.60512159652797</x:v>
      </x:c>
      <x:c r="O202" s="48" t="n">
        <x:f>IF(OR(Inputs!$F$7=TRUE,Inputs!$F$7="TRUE",Inputs!$F$7=1),(-2*((1000*((((Inputs!$I$7+(((A202)+1)/2)*(Inputs!$J$7-Inputs!$I$7)))*Inputs!$C$11+((Inputs!$H$7+Inputs!$L$7*(((Inputs!$I$7+(((A202)+1)/2)*(Inputs!$J$7-Inputs!$I$7)))/Inputs!$K$7)^2))*((2*Inputs!$L$7*((Inputs!$I$7+(((A202)+1)/2)*(Inputs!$J$7-Inputs!$I$7)))/(Inputs!$K$7^2)*Inputs!$C$11)))/(SQRT(((Inputs!$I$7+(((A202)+1)/2)*(Inputs!$J$7-Inputs!$I$7)))^2+Inputs!$C$6^2+((Inputs!$H$7+Inputs!$L$7*(((Inputs!$I$7+(((A202)+1)/2)*(Inputs!$J$7-Inputs!$I$7)))/Inputs!$K$7)^2))^2)))))/Inputs!$C$13),NA())</x:f>
        <x:v>-2437.709863519963</x:v>
      </x:c>
      <x:c r="P202" s="48" t="n">
        <x:f>IF(OR(Inputs!$F$8=TRUE,Inputs!$F$8="TRUE",Inputs!$F$8=1),(-2*((1000*((((Inputs!$I$8+(((A202)+1)/2)*(Inputs!$J$8-Inputs!$I$8)))*Inputs!$C$11+((Inputs!$H$8+Inputs!$L$8*(((Inputs!$I$8+(((A202)+1)/2)*(Inputs!$J$8-Inputs!$I$8)))/Inputs!$K$8)^2))*((2*Inputs!$L$8*((Inputs!$I$8+(((A202)+1)/2)*(Inputs!$J$8-Inputs!$I$8)))/(Inputs!$K$8^2)*Inputs!$C$11)))/(SQRT(((Inputs!$I$8+(((A202)+1)/2)*(Inputs!$J$8-Inputs!$I$8)))^2+Inputs!$C$6^2+((Inputs!$H$8+Inputs!$L$8*(((Inputs!$I$8+(((A202)+1)/2)*(Inputs!$J$8-Inputs!$I$8)))/Inputs!$K$8)^2))^2)))))/Inputs!$C$13),NA())</x:f>
        <x:v>-2895.2745087802164</x:v>
      </x:c>
      <x:c r="Q202" s="48" t="n">
        <x:f>IF(OR(Inputs!$F$9=TRUE,Inputs!$F$9="TRUE",Inputs!$F$9=1),(-2*((1000*((((Inputs!$I$9+(((A202)+1)/2)*(Inputs!$J$9-Inputs!$I$9)))*Inputs!$C$11+((Inputs!$H$9+Inputs!$L$9*(((Inputs!$I$9+(((A202)+1)/2)*(Inputs!$J$9-Inputs!$I$9)))/Inputs!$K$9)^2))*((2*Inputs!$L$9*((Inputs!$I$9+(((A202)+1)/2)*(Inputs!$J$9-Inputs!$I$9)))/(Inputs!$K$9^2)*Inputs!$C$11)))/(SQRT(((Inputs!$I$9+(((A202)+1)/2)*(Inputs!$J$9-Inputs!$I$9)))^2+Inputs!$C$6^2+((Inputs!$H$9+Inputs!$L$9*(((Inputs!$I$9+(((A202)+1)/2)*(Inputs!$J$9-Inputs!$I$9)))/Inputs!$K$9)^2))^2)))))/Inputs!$C$13),NA())</x:f>
        <x:v>-2907.2825894839652</x:v>
      </x:c>
      <x:c r="R202" s="49"/>
      <x:c r="S202" s="48" t="n">
        <x:f>A202</x:f>
        <x:v>0.667</x:v>
      </x:c>
      <x:c r="T202" s="48" t="n">
        <x:f>(Inputs!$I$6+(((A202)+1)/2)*(Inputs!$J$6-Inputs!$I$6))</x:f>
        <x:v>40.019999999999996</x:v>
      </x:c>
      <x:c r="U202" s="48" t="n">
        <x:f>(Inputs!$I$7+(((A202)+1)/2)*(Inputs!$J$7-Inputs!$I$7))</x:f>
        <x:v>266.80000000000007</x:v>
      </x:c>
      <x:c r="V202" s="48" t="n">
        <x:f>(Inputs!$I$8+(((A202)+1)/2)*(Inputs!$J$8-Inputs!$I$8))</x:f>
        <x:v>533.6000000000001</x:v>
      </x:c>
      <x:c r="W202" s="48" t="n">
        <x:f>(Inputs!$I$9+(((A202)+1)/2)*(Inputs!$J$9-Inputs!$I$9))</x:f>
        <x:v>533.6000000000001</x:v>
      </x:c>
      <x:c r="X202" s="49"/>
      <x:c r="Y202" s="48" t="n">
        <x:f>A202</x:f>
        <x:v>0.667</x:v>
      </x:c>
      <x:c r="Z202" s="48" t="n">
        <x:f>(Inputs!$H$6+Inputs!$L$6*(((Inputs!$I$6+(((A202)+1)/2)*(Inputs!$J$6-Inputs!$I$6)))/Inputs!$K$6)^2)</x:f>
        <x:v>401.779556</x:v>
      </x:c>
      <x:c r="AA202" s="48" t="n">
        <x:f>(Inputs!$H$7+Inputs!$L$7*(((Inputs!$I$7+(((A202)+1)/2)*(Inputs!$J$7-Inputs!$I$7)))/Inputs!$K$7)^2)</x:f>
        <x:v>197.38448500000007</x:v>
      </x:c>
      <x:c r="AB202" s="48" t="n">
        <x:f>(Inputs!$H$8+Inputs!$L$8*(((Inputs!$I$8+(((A202)+1)/2)*(Inputs!$J$8-Inputs!$I$8)))/Inputs!$K$8)^2)</x:f>
        <x:v>464.3178850000002</x:v>
      </x:c>
      <x:c r="AC202" s="48" t="n">
        <x:f>(Inputs!$H$9+Inputs!$L$9*(((Inputs!$I$9+(((A202)+1)/2)*(Inputs!$J$9-Inputs!$I$9)))/Inputs!$K$9)^2)</x:f>
        <x:v>458.7667750000002</x:v>
      </x:c>
      <x:c r="AD202" s="49"/>
      <x:c r="AE202" s="48" t="n">
        <x:f>A202</x:f>
        <x:v>0.667</x:v>
      </x:c>
      <x:c r="AF202" s="48" t="n">
        <x:f>(((SQRT(((Inputs!$I$6+(((A202)+1)/2)*(Inputs!$J$6-Inputs!$I$6)))^2+Inputs!$C$6^2+((Inputs!$H$6+Inputs!$L$6*(((Inputs!$I$6+(((A202)+1)/2)*(Inputs!$J$6-Inputs!$I$6)))/Inputs!$K$6)^2))^2))-((Inputs!$H$6+Inputs!$L$6*(((Inputs!$I$6+(((A202)+1)/2)*(Inputs!$J$6-Inputs!$I$6)))/Inputs!$K$6)^2)))*1000/Inputs!$C$12)</x:f>
        <x:v>1551.3670195100287</x:v>
      </x:c>
      <x:c r="AG202" s="48" t="n">
        <x:f>(((SQRT(((Inputs!$I$7+(((A202)+1)/2)*(Inputs!$J$7-Inputs!$I$7)))^2+Inputs!$C$6^2+((Inputs!$H$7+Inputs!$L$7*(((Inputs!$I$7+(((A202)+1)/2)*(Inputs!$J$7-Inputs!$I$7)))/Inputs!$K$7)^2))^2))-((Inputs!$H$7+Inputs!$L$7*(((Inputs!$I$7+(((A202)+1)/2)*(Inputs!$J$7-Inputs!$I$7)))/Inputs!$K$7)^2)))*1000/Inputs!$C$12)</x:f>
        <x:v>76086.28978483491</x:v>
      </x:c>
      <x:c r="AH202" s="48" t="n">
        <x:f>(((SQRT(((Inputs!$I$8+(((A202)+1)/2)*(Inputs!$J$8-Inputs!$I$8)))^2+Inputs!$C$6^2+((Inputs!$H$8+Inputs!$L$8*(((Inputs!$I$8+(((A202)+1)/2)*(Inputs!$J$8-Inputs!$I$8)))/Inputs!$K$8)^2))^2))-((Inputs!$H$8+Inputs!$L$8*(((Inputs!$I$8+(((A202)+1)/2)*(Inputs!$J$8-Inputs!$I$8)))/Inputs!$K$8)^2)))*1000/Inputs!$C$12)</x:f>
        <x:v>136773.50442022434</x:v>
      </x:c>
      <x:c r="AI202" s="48" t="n">
        <x:f>(((SQRT(((Inputs!$I$9+(((A202)+1)/2)*(Inputs!$J$9-Inputs!$I$9)))^2+Inputs!$C$6^2+((Inputs!$H$9+Inputs!$L$9*(((Inputs!$I$9+(((A202)+1)/2)*(Inputs!$J$9-Inputs!$I$9)))/Inputs!$K$9)^2))^2))-((Inputs!$H$9+Inputs!$L$9*(((Inputs!$I$9+(((A202)+1)/2)*(Inputs!$J$9-Inputs!$I$9)))/Inputs!$K$9)^2)))*1000/Inputs!$C$12)</x:f>
        <x:v>137853.22773067435</x:v>
      </x:c>
      <x:c r="AJ202" s="49"/>
      <x:c r="AK202" s="48" t="n">
        <x:f>A202</x:f>
        <x:v>0.667</x:v>
      </x:c>
      <x:c r="AL202" s="48" t="n">
        <x:f>(-2*((1000*((((Inputs!$I$6+(((A202)+1)/2)*(Inputs!$J$6-Inputs!$I$6)))*Inputs!$C$11+((Inputs!$H$6+Inputs!$L$6*(((Inputs!$I$6+(((A202)+1)/2)*(Inputs!$J$6-Inputs!$I$6)))/Inputs!$K$6)^2))*((2*Inputs!$L$6*((Inputs!$I$6+(((A202)+1)/2)*(Inputs!$J$6-Inputs!$I$6)))/(Inputs!$K$6^2)*Inputs!$C$11)))/(SQRT(((Inputs!$I$6+(((A202)+1)/2)*(Inputs!$J$6-Inputs!$I$6)))^2+Inputs!$C$6^2+((Inputs!$H$6+Inputs!$L$6*(((Inputs!$I$6+(((A202)+1)/2)*(Inputs!$J$6-Inputs!$I$6)))/Inputs!$K$6)^2))^2)))))/Inputs!$C$13)</x:f>
        <x:v>-299.60512159652797</x:v>
      </x:c>
      <x:c r="AM202" s="48" t="n">
        <x:f>(-2*((1000*((((Inputs!$I$7+(((A202)+1)/2)*(Inputs!$J$7-Inputs!$I$7)))*Inputs!$C$11+((Inputs!$H$7+Inputs!$L$7*(((Inputs!$I$7+(((A202)+1)/2)*(Inputs!$J$7-Inputs!$I$7)))/Inputs!$K$7)^2))*((2*Inputs!$L$7*((Inputs!$I$7+(((A202)+1)/2)*(Inputs!$J$7-Inputs!$I$7)))/(Inputs!$K$7^2)*Inputs!$C$11)))/(SQRT(((Inputs!$I$7+(((A202)+1)/2)*(Inputs!$J$7-Inputs!$I$7)))^2+Inputs!$C$6^2+((Inputs!$H$7+Inputs!$L$7*(((Inputs!$I$7+(((A202)+1)/2)*(Inputs!$J$7-Inputs!$I$7)))/Inputs!$K$7)^2))^2)))))/Inputs!$C$13)</x:f>
        <x:v>-2437.709863519963</x:v>
      </x:c>
      <x:c r="AN202" s="48" t="n">
        <x:f>(-2*((1000*((((Inputs!$I$8+(((A202)+1)/2)*(Inputs!$J$8-Inputs!$I$8)))*Inputs!$C$11+((Inputs!$H$8+Inputs!$L$8*(((Inputs!$I$8+(((A202)+1)/2)*(Inputs!$J$8-Inputs!$I$8)))/Inputs!$K$8)^2))*((2*Inputs!$L$8*((Inputs!$I$8+(((A202)+1)/2)*(Inputs!$J$8-Inputs!$I$8)))/(Inputs!$K$8^2)*Inputs!$C$11)))/(SQRT(((Inputs!$I$8+(((A202)+1)/2)*(Inputs!$J$8-Inputs!$I$8)))^2+Inputs!$C$6^2+((Inputs!$H$8+Inputs!$L$8*(((Inputs!$I$8+(((A202)+1)/2)*(Inputs!$J$8-Inputs!$I$8)))/Inputs!$K$8)^2))^2)))))/Inputs!$C$13)</x:f>
        <x:v>-2895.2745087802164</x:v>
      </x:c>
      <x:c r="AO202" s="48" t="n">
        <x:f>(-2*((1000*((((Inputs!$I$9+(((A202)+1)/2)*(Inputs!$J$9-Inputs!$I$9)))*Inputs!$C$11+((Inputs!$H$9+Inputs!$L$9*(((Inputs!$I$9+(((A202)+1)/2)*(Inputs!$J$9-Inputs!$I$9)))/Inputs!$K$9)^2))*((2*Inputs!$L$9*((Inputs!$I$9+(((A202)+1)/2)*(Inputs!$J$9-Inputs!$I$9)))/(Inputs!$K$9^2)*Inputs!$C$11)))/(SQRT(((Inputs!$I$9+(((A202)+1)/2)*(Inputs!$J$9-Inputs!$I$9)))^2+Inputs!$C$6^2+((Inputs!$H$9+Inputs!$L$9*(((Inputs!$I$9+(((A202)+1)/2)*(Inputs!$J$9-Inputs!$I$9)))/Inputs!$K$9)^2))^2)))))/Inputs!$C$13)</x:f>
        <x:v>-2907.2825894839652</x:v>
      </x:c>
    </x:row>
    <x:row r="203">
      <x:c r="A203" s="48" t="n">
        <x:f>ROUND(-1+201*2/240,3)</x:f>
        <x:v>0.675</x:v>
      </x:c>
      <x:c r="B203" s="48" t="n">
        <x:f>IF(OR(Inputs!$F$6=TRUE,Inputs!$F$6="TRUE",Inputs!$F$6=1),(Inputs!$H$6+Inputs!$L$6*(((Inputs!$I$6+(((A203)+1)/2)*(Inputs!$J$6-Inputs!$I$6)))/Inputs!$K$6)^2),NA())</x:f>
        <x:v>401.8225</x:v>
      </x:c>
      <x:c r="C203" s="48" t="n">
        <x:f>IF(OR(Inputs!$F$7=TRUE,Inputs!$F$7="TRUE",Inputs!$F$7=1),(Inputs!$H$7+Inputs!$L$7*(((Inputs!$I$7+(((A203)+1)/2)*(Inputs!$J$7-Inputs!$I$7)))/Inputs!$K$7)^2),NA())</x:f>
        <x:v>201.30312500000002</x:v>
      </x:c>
      <x:c r="D203" s="48" t="n">
        <x:f>IF(OR(Inputs!$F$8=TRUE,Inputs!$F$8="TRUE",Inputs!$F$8=1),(Inputs!$H$8+Inputs!$L$8*(((Inputs!$I$8+(((A203)+1)/2)*(Inputs!$J$8-Inputs!$I$8)))/Inputs!$K$8)^2),NA())</x:f>
        <x:v>474.6781250000001</x:v>
      </x:c>
      <x:c r="E203" s="48" t="n">
        <x:f>IF(OR(Inputs!$F$9=TRUE,Inputs!$F$9="TRUE",Inputs!$F$9=1),(Inputs!$H$9+Inputs!$L$9*(((Inputs!$I$9+(((A203)+1)/2)*(Inputs!$J$9-Inputs!$I$9)))/Inputs!$K$9)^2),NA())</x:f>
        <x:v>469.23437500000006</x:v>
      </x:c>
      <x:c r="F203" s="49"/>
      <x:c r="G203" s="48" t="n">
        <x:f>A203</x:f>
        <x:v>0.675</x:v>
      </x:c>
      <x:c r="H203" s="48" t="n">
        <x:f>IF(OR(Inputs!$F$6=TRUE,Inputs!$F$6="TRUE",Inputs!$F$6=1),(((SQRT(((Inputs!$I$6+(((A203)+1)/2)*(Inputs!$J$6-Inputs!$I$6)))^2+Inputs!$C$6^2+((Inputs!$H$6+Inputs!$L$6*(((Inputs!$I$6+(((A203)+1)/2)*(Inputs!$J$6-Inputs!$I$6)))/Inputs!$K$6)^2))^2))-((Inputs!$H$6+Inputs!$L$6*(((Inputs!$I$6+(((A203)+1)/2)*(Inputs!$J$6-Inputs!$I$6)))/Inputs!$K$6)^2)))*1000/Inputs!$C$12),NA())</x:f>
        <x:v>1578.0348465697127</x:v>
      </x:c>
      <x:c r="I203" s="48" t="n">
        <x:f>IF(OR(Inputs!$F$7=TRUE,Inputs!$F$7="TRUE",Inputs!$F$7=1),(((SQRT(((Inputs!$I$7+(((A203)+1)/2)*(Inputs!$J$7-Inputs!$I$7)))^2+Inputs!$C$6^2+((Inputs!$H$7+Inputs!$L$7*(((Inputs!$I$7+(((A203)+1)/2)*(Inputs!$J$7-Inputs!$I$7)))/Inputs!$K$7)^2))^2))-((Inputs!$H$7+Inputs!$L$7*(((Inputs!$I$7+(((A203)+1)/2)*(Inputs!$J$7-Inputs!$I$7)))/Inputs!$K$7)^2)))*1000/Inputs!$C$12),NA())</x:f>
        <x:v>76632.9960211569</x:v>
      </x:c>
      <x:c r="J203" s="48" t="n">
        <x:f>IF(OR(Inputs!$F$8=TRUE,Inputs!$F$8="TRUE",Inputs!$F$8=1),(((SQRT(((Inputs!$I$8+(((A203)+1)/2)*(Inputs!$J$8-Inputs!$I$8)))^2+Inputs!$C$6^2+((Inputs!$H$8+Inputs!$L$8*(((Inputs!$I$8+(((A203)+1)/2)*(Inputs!$J$8-Inputs!$I$8)))/Inputs!$K$8)^2))^2))-((Inputs!$H$8+Inputs!$L$8*(((Inputs!$I$8+(((A203)+1)/2)*(Inputs!$J$8-Inputs!$I$8)))/Inputs!$K$8)^2)))*1000/Inputs!$C$12),NA())</x:f>
        <x:v>137487.30842840724</x:v>
      </x:c>
      <x:c r="K203" s="48" t="n">
        <x:f>IF(OR(Inputs!$F$9=TRUE,Inputs!$F$9="TRUE",Inputs!$F$9=1),(((SQRT(((Inputs!$I$9+(((A203)+1)/2)*(Inputs!$J$9-Inputs!$I$9)))^2+Inputs!$C$6^2+((Inputs!$H$9+Inputs!$L$9*(((Inputs!$I$9+(((A203)+1)/2)*(Inputs!$J$9-Inputs!$I$9)))/Inputs!$K$9)^2))^2))-((Inputs!$H$9+Inputs!$L$9*(((Inputs!$I$9+(((A203)+1)/2)*(Inputs!$J$9-Inputs!$I$9)))/Inputs!$K$9)^2)))*1000/Inputs!$C$12),NA())</x:f>
        <x:v>138534.24266012842</x:v>
      </x:c>
      <x:c r="L203" s="49"/>
      <x:c r="M203" s="48" t="n">
        <x:f>A203</x:f>
        <x:v>0.675</x:v>
      </x:c>
      <x:c r="N203" s="48" t="n">
        <x:f>IF(OR(Inputs!$F$6=TRUE,Inputs!$F$6="TRUE",Inputs!$F$6=1),(-2*((1000*((((Inputs!$I$6+(((A203)+1)/2)*(Inputs!$J$6-Inputs!$I$6)))*Inputs!$C$11+((Inputs!$H$6+Inputs!$L$6*(((Inputs!$I$6+(((A203)+1)/2)*(Inputs!$J$6-Inputs!$I$6)))/Inputs!$K$6)^2))*((2*Inputs!$L$6*((Inputs!$I$6+(((A203)+1)/2)*(Inputs!$J$6-Inputs!$I$6)))/(Inputs!$K$6^2)*Inputs!$C$11)))/(SQRT(((Inputs!$I$6+(((A203)+1)/2)*(Inputs!$J$6-Inputs!$I$6)))^2+Inputs!$C$6^2+((Inputs!$H$6+Inputs!$L$6*(((Inputs!$I$6+(((A203)+1)/2)*(Inputs!$J$6-Inputs!$I$6)))/Inputs!$K$6)^2))^2)))))/Inputs!$C$13),NA())</x:f>
        <x:v>-303.14612110072255</x:v>
      </x:c>
      <x:c r="O203" s="48" t="n">
        <x:f>IF(OR(Inputs!$F$7=TRUE,Inputs!$F$7="TRUE",Inputs!$F$7=1),(-2*((1000*((((Inputs!$I$7+(((A203)+1)/2)*(Inputs!$J$7-Inputs!$I$7)))*Inputs!$C$11+((Inputs!$H$7+Inputs!$L$7*(((Inputs!$I$7+(((A203)+1)/2)*(Inputs!$J$7-Inputs!$I$7)))/Inputs!$K$7)^2))*((2*Inputs!$L$7*((Inputs!$I$7+(((A203)+1)/2)*(Inputs!$J$7-Inputs!$I$7)))/(Inputs!$K$7^2)*Inputs!$C$11)))/(SQRT(((Inputs!$I$7+(((A203)+1)/2)*(Inputs!$J$7-Inputs!$I$7)))^2+Inputs!$C$6^2+((Inputs!$H$7+Inputs!$L$7*(((Inputs!$I$7+(((A203)+1)/2)*(Inputs!$J$7-Inputs!$I$7)))/Inputs!$K$7)^2))^2)))))/Inputs!$C$13),NA())</x:f>
        <x:v>-2454.084297346958</x:v>
      </x:c>
      <x:c r="P203" s="48" t="n">
        <x:f>IF(OR(Inputs!$F$8=TRUE,Inputs!$F$8="TRUE",Inputs!$F$8=1),(-2*((1000*((((Inputs!$I$8+(((A203)+1)/2)*(Inputs!$J$8-Inputs!$I$8)))*Inputs!$C$11+((Inputs!$H$8+Inputs!$L$8*(((Inputs!$I$8+(((A203)+1)/2)*(Inputs!$J$8-Inputs!$I$8)))/Inputs!$K$8)^2))*((2*Inputs!$L$8*((Inputs!$I$8+(((A203)+1)/2)*(Inputs!$J$8-Inputs!$I$8)))/(Inputs!$K$8^2)*Inputs!$C$11)))/(SQRT(((Inputs!$I$8+(((A203)+1)/2)*(Inputs!$J$8-Inputs!$I$8)))^2+Inputs!$C$6^2+((Inputs!$H$8+Inputs!$L$8*(((Inputs!$I$8+(((A203)+1)/2)*(Inputs!$J$8-Inputs!$I$8)))/Inputs!$K$8)^2))^2)))))/Inputs!$C$13),NA())</x:f>
        <x:v>-2920.152480617434</x:v>
      </x:c>
      <x:c r="Q203" s="48" t="n">
        <x:f>IF(OR(Inputs!$F$9=TRUE,Inputs!$F$9="TRUE",Inputs!$F$9=1),(-2*((1000*((((Inputs!$I$9+(((A203)+1)/2)*(Inputs!$J$9-Inputs!$I$9)))*Inputs!$C$11+((Inputs!$H$9+Inputs!$L$9*(((Inputs!$I$9+(((A203)+1)/2)*(Inputs!$J$9-Inputs!$I$9)))/Inputs!$K$9)^2))*((2*Inputs!$L$9*((Inputs!$I$9+(((A203)+1)/2)*(Inputs!$J$9-Inputs!$I$9)))/(Inputs!$K$9^2)*Inputs!$C$11)))/(SQRT(((Inputs!$I$9+(((A203)+1)/2)*(Inputs!$J$9-Inputs!$I$9)))^2+Inputs!$C$6^2+((Inputs!$H$9+Inputs!$L$9*(((Inputs!$I$9+(((A203)+1)/2)*(Inputs!$J$9-Inputs!$I$9)))/Inputs!$K$9)^2))^2)))))/Inputs!$C$13),NA())</x:f>
        <x:v>-2932.642103033661</x:v>
      </x:c>
      <x:c r="R203" s="49"/>
      <x:c r="S203" s="48" t="n">
        <x:f>A203</x:f>
        <x:v>0.675</x:v>
      </x:c>
      <x:c r="T203" s="48" t="n">
        <x:f>(Inputs!$I$6+(((A203)+1)/2)*(Inputs!$J$6-Inputs!$I$6))</x:f>
        <x:v>40.5</x:v>
      </x:c>
      <x:c r="U203" s="48" t="n">
        <x:f>(Inputs!$I$7+(((A203)+1)/2)*(Inputs!$J$7-Inputs!$I$7))</x:f>
        <x:v>270</x:v>
      </x:c>
      <x:c r="V203" s="48" t="n">
        <x:f>(Inputs!$I$8+(((A203)+1)/2)*(Inputs!$J$8-Inputs!$I$8))</x:f>
        <x:v>540</x:v>
      </x:c>
      <x:c r="W203" s="48" t="n">
        <x:f>(Inputs!$I$9+(((A203)+1)/2)*(Inputs!$J$9-Inputs!$I$9))</x:f>
        <x:v>540</x:v>
      </x:c>
      <x:c r="X203" s="49"/>
      <x:c r="Y203" s="48" t="n">
        <x:f>A203</x:f>
        <x:v>0.675</x:v>
      </x:c>
      <x:c r="Z203" s="48" t="n">
        <x:f>(Inputs!$H$6+Inputs!$L$6*(((Inputs!$I$6+(((A203)+1)/2)*(Inputs!$J$6-Inputs!$I$6)))/Inputs!$K$6)^2)</x:f>
        <x:v>401.8225</x:v>
      </x:c>
      <x:c r="AA203" s="48" t="n">
        <x:f>(Inputs!$H$7+Inputs!$L$7*(((Inputs!$I$7+(((A203)+1)/2)*(Inputs!$J$7-Inputs!$I$7)))/Inputs!$K$7)^2)</x:f>
        <x:v>201.30312500000002</x:v>
      </x:c>
      <x:c r="AB203" s="48" t="n">
        <x:f>(Inputs!$H$8+Inputs!$L$8*(((Inputs!$I$8+(((A203)+1)/2)*(Inputs!$J$8-Inputs!$I$8)))/Inputs!$K$8)^2)</x:f>
        <x:v>474.6781250000001</x:v>
      </x:c>
      <x:c r="AC203" s="48" t="n">
        <x:f>(Inputs!$H$9+Inputs!$L$9*(((Inputs!$I$9+(((A203)+1)/2)*(Inputs!$J$9-Inputs!$I$9)))/Inputs!$K$9)^2)</x:f>
        <x:v>469.23437500000006</x:v>
      </x:c>
      <x:c r="AD203" s="49"/>
      <x:c r="AE203" s="48" t="n">
        <x:f>A203</x:f>
        <x:v>0.675</x:v>
      </x:c>
      <x:c r="AF203" s="48" t="n">
        <x:f>(((SQRT(((Inputs!$I$6+(((A203)+1)/2)*(Inputs!$J$6-Inputs!$I$6)))^2+Inputs!$C$6^2+((Inputs!$H$6+Inputs!$L$6*(((Inputs!$I$6+(((A203)+1)/2)*(Inputs!$J$6-Inputs!$I$6)))/Inputs!$K$6)^2))^2))-((Inputs!$H$6+Inputs!$L$6*(((Inputs!$I$6+(((A203)+1)/2)*(Inputs!$J$6-Inputs!$I$6)))/Inputs!$K$6)^2)))*1000/Inputs!$C$12)</x:f>
        <x:v>1578.0348465697127</x:v>
      </x:c>
      <x:c r="AG203" s="48" t="n">
        <x:f>(((SQRT(((Inputs!$I$7+(((A203)+1)/2)*(Inputs!$J$7-Inputs!$I$7)))^2+Inputs!$C$6^2+((Inputs!$H$7+Inputs!$L$7*(((Inputs!$I$7+(((A203)+1)/2)*(Inputs!$J$7-Inputs!$I$7)))/Inputs!$K$7)^2))^2))-((Inputs!$H$7+Inputs!$L$7*(((Inputs!$I$7+(((A203)+1)/2)*(Inputs!$J$7-Inputs!$I$7)))/Inputs!$K$7)^2)))*1000/Inputs!$C$12)</x:f>
        <x:v>76632.9960211569</x:v>
      </x:c>
      <x:c r="AH203" s="48" t="n">
        <x:f>(((SQRT(((Inputs!$I$8+(((A203)+1)/2)*(Inputs!$J$8-Inputs!$I$8)))^2+Inputs!$C$6^2+((Inputs!$H$8+Inputs!$L$8*(((Inputs!$I$8+(((A203)+1)/2)*(Inputs!$J$8-Inputs!$I$8)))/Inputs!$K$8)^2))^2))-((Inputs!$H$8+Inputs!$L$8*(((Inputs!$I$8+(((A203)+1)/2)*(Inputs!$J$8-Inputs!$I$8)))/Inputs!$K$8)^2)))*1000/Inputs!$C$12)</x:f>
        <x:v>137487.30842840724</x:v>
      </x:c>
      <x:c r="AI203" s="48" t="n">
        <x:f>(((SQRT(((Inputs!$I$9+(((A203)+1)/2)*(Inputs!$J$9-Inputs!$I$9)))^2+Inputs!$C$6^2+((Inputs!$H$9+Inputs!$L$9*(((Inputs!$I$9+(((A203)+1)/2)*(Inputs!$J$9-Inputs!$I$9)))/Inputs!$K$9)^2))^2))-((Inputs!$H$9+Inputs!$L$9*(((Inputs!$I$9+(((A203)+1)/2)*(Inputs!$J$9-Inputs!$I$9)))/Inputs!$K$9)^2)))*1000/Inputs!$C$12)</x:f>
        <x:v>138534.24266012842</x:v>
      </x:c>
      <x:c r="AJ203" s="49"/>
      <x:c r="AK203" s="48" t="n">
        <x:f>A203</x:f>
        <x:v>0.675</x:v>
      </x:c>
      <x:c r="AL203" s="48" t="n">
        <x:f>(-2*((1000*((((Inputs!$I$6+(((A203)+1)/2)*(Inputs!$J$6-Inputs!$I$6)))*Inputs!$C$11+((Inputs!$H$6+Inputs!$L$6*(((Inputs!$I$6+(((A203)+1)/2)*(Inputs!$J$6-Inputs!$I$6)))/Inputs!$K$6)^2))*((2*Inputs!$L$6*((Inputs!$I$6+(((A203)+1)/2)*(Inputs!$J$6-Inputs!$I$6)))/(Inputs!$K$6^2)*Inputs!$C$11)))/(SQRT(((Inputs!$I$6+(((A203)+1)/2)*(Inputs!$J$6-Inputs!$I$6)))^2+Inputs!$C$6^2+((Inputs!$H$6+Inputs!$L$6*(((Inputs!$I$6+(((A203)+1)/2)*(Inputs!$J$6-Inputs!$I$6)))/Inputs!$K$6)^2))^2)))))/Inputs!$C$13)</x:f>
        <x:v>-303.14612110072255</x:v>
      </x:c>
      <x:c r="AM203" s="48" t="n">
        <x:f>(-2*((1000*((((Inputs!$I$7+(((A203)+1)/2)*(Inputs!$J$7-Inputs!$I$7)))*Inputs!$C$11+((Inputs!$H$7+Inputs!$L$7*(((Inputs!$I$7+(((A203)+1)/2)*(Inputs!$J$7-Inputs!$I$7)))/Inputs!$K$7)^2))*((2*Inputs!$L$7*((Inputs!$I$7+(((A203)+1)/2)*(Inputs!$J$7-Inputs!$I$7)))/(Inputs!$K$7^2)*Inputs!$C$11)))/(SQRT(((Inputs!$I$7+(((A203)+1)/2)*(Inputs!$J$7-Inputs!$I$7)))^2+Inputs!$C$6^2+((Inputs!$H$7+Inputs!$L$7*(((Inputs!$I$7+(((A203)+1)/2)*(Inputs!$J$7-Inputs!$I$7)))/Inputs!$K$7)^2))^2)))))/Inputs!$C$13)</x:f>
        <x:v>-2454.084297346958</x:v>
      </x:c>
      <x:c r="AN203" s="48" t="n">
        <x:f>(-2*((1000*((((Inputs!$I$8+(((A203)+1)/2)*(Inputs!$J$8-Inputs!$I$8)))*Inputs!$C$11+((Inputs!$H$8+Inputs!$L$8*(((Inputs!$I$8+(((A203)+1)/2)*(Inputs!$J$8-Inputs!$I$8)))/Inputs!$K$8)^2))*((2*Inputs!$L$8*((Inputs!$I$8+(((A203)+1)/2)*(Inputs!$J$8-Inputs!$I$8)))/(Inputs!$K$8^2)*Inputs!$C$11)))/(SQRT(((Inputs!$I$8+(((A203)+1)/2)*(Inputs!$J$8-Inputs!$I$8)))^2+Inputs!$C$6^2+((Inputs!$H$8+Inputs!$L$8*(((Inputs!$I$8+(((A203)+1)/2)*(Inputs!$J$8-Inputs!$I$8)))/Inputs!$K$8)^2))^2)))))/Inputs!$C$13)</x:f>
        <x:v>-2920.152480617434</x:v>
      </x:c>
      <x:c r="AO203" s="48" t="n">
        <x:f>(-2*((1000*((((Inputs!$I$9+(((A203)+1)/2)*(Inputs!$J$9-Inputs!$I$9)))*Inputs!$C$11+((Inputs!$H$9+Inputs!$L$9*(((Inputs!$I$9+(((A203)+1)/2)*(Inputs!$J$9-Inputs!$I$9)))/Inputs!$K$9)^2))*((2*Inputs!$L$9*((Inputs!$I$9+(((A203)+1)/2)*(Inputs!$J$9-Inputs!$I$9)))/(Inputs!$K$9^2)*Inputs!$C$11)))/(SQRT(((Inputs!$I$9+(((A203)+1)/2)*(Inputs!$J$9-Inputs!$I$9)))^2+Inputs!$C$6^2+((Inputs!$H$9+Inputs!$L$9*(((Inputs!$I$9+(((A203)+1)/2)*(Inputs!$J$9-Inputs!$I$9)))/Inputs!$K$9)^2))^2)))))/Inputs!$C$13)</x:f>
        <x:v>-2932.642103033661</x:v>
      </x:c>
    </x:row>
    <x:row r="204">
      <x:c r="A204" s="48" t="n">
        <x:f>ROUND(-1+202*2/240,3)</x:f>
        <x:v>0.683</x:v>
      </x:c>
      <x:c r="B204" s="48" t="n">
        <x:f>IF(OR(Inputs!$F$6=TRUE,Inputs!$F$6="TRUE",Inputs!$F$6=1),(Inputs!$H$6+Inputs!$L$6*(((Inputs!$I$6+(((A204)+1)/2)*(Inputs!$J$6-Inputs!$I$6)))/Inputs!$K$6)^2),NA())</x:f>
        <x:v>401.865956</x:v>
      </x:c>
      <x:c r="C204" s="48" t="n">
        <x:f>IF(OR(Inputs!$F$7=TRUE,Inputs!$F$7="TRUE",Inputs!$F$7=1),(Inputs!$H$7+Inputs!$L$7*(((Inputs!$I$7+(((A204)+1)/2)*(Inputs!$J$7-Inputs!$I$7)))/Inputs!$K$7)^2),NA())</x:f>
        <x:v>205.26848500000008</x:v>
      </x:c>
      <x:c r="D204" s="48" t="n">
        <x:f>IF(OR(Inputs!$F$8=TRUE,Inputs!$F$8="TRUE",Inputs!$F$8=1),(Inputs!$H$8+Inputs!$L$8*(((Inputs!$I$8+(((A204)+1)/2)*(Inputs!$J$8-Inputs!$I$8)))/Inputs!$K$8)^2),NA())</x:f>
        <x:v>485.1618850000002</x:v>
      </x:c>
      <x:c r="E204" s="48" t="n">
        <x:f>IF(OR(Inputs!$F$9=TRUE,Inputs!$F$9="TRUE",Inputs!$F$9=1),(Inputs!$H$9+Inputs!$L$9*(((Inputs!$I$9+(((A204)+1)/2)*(Inputs!$J$9-Inputs!$I$9)))/Inputs!$K$9)^2),NA())</x:f>
        <x:v>479.8267750000002</x:v>
      </x:c>
      <x:c r="F204" s="49"/>
      <x:c r="G204" s="48" t="n">
        <x:f>A204</x:f>
        <x:v>0.683</x:v>
      </x:c>
      <x:c r="H204" s="48" t="n">
        <x:f>IF(OR(Inputs!$F$6=TRUE,Inputs!$F$6="TRUE",Inputs!$F$6=1),(((SQRT(((Inputs!$I$6+(((A204)+1)/2)*(Inputs!$J$6-Inputs!$I$6)))^2+Inputs!$C$6^2+((Inputs!$H$6+Inputs!$L$6*(((Inputs!$I$6+(((A204)+1)/2)*(Inputs!$J$6-Inputs!$I$6)))/Inputs!$K$6)^2))^2))-((Inputs!$H$6+Inputs!$L$6*(((Inputs!$I$6+(((A204)+1)/2)*(Inputs!$J$6-Inputs!$I$6)))/Inputs!$K$6)^2)))*1000/Inputs!$C$12),NA())</x:f>
        <x:v>1605.0116760415644</x:v>
      </x:c>
      <x:c r="I204" s="48" t="n">
        <x:f>IF(OR(Inputs!$F$7=TRUE,Inputs!$F$7="TRUE",Inputs!$F$7=1),(((SQRT(((Inputs!$I$7+(((A204)+1)/2)*(Inputs!$J$7-Inputs!$I$7)))^2+Inputs!$C$6^2+((Inputs!$H$7+Inputs!$L$7*(((Inputs!$I$7+(((A204)+1)/2)*(Inputs!$J$7-Inputs!$I$7)))/Inputs!$K$7)^2))^2))-((Inputs!$H$7+Inputs!$L$7*(((Inputs!$I$7+(((A204)+1)/2)*(Inputs!$J$7-Inputs!$I$7)))/Inputs!$K$7)^2)))*1000/Inputs!$C$12),NA())</x:f>
        <x:v>77171.91062309152</x:v>
      </x:c>
      <x:c r="J204" s="48" t="n">
        <x:f>IF(OR(Inputs!$F$8=TRUE,Inputs!$F$8="TRUE",Inputs!$F$8=1),(((SQRT(((Inputs!$I$8+(((A204)+1)/2)*(Inputs!$J$8-Inputs!$I$8)))^2+Inputs!$C$6^2+((Inputs!$H$8+Inputs!$L$8*(((Inputs!$I$8+(((A204)+1)/2)*(Inputs!$J$8-Inputs!$I$8)))/Inputs!$K$8)^2))^2))-((Inputs!$H$8+Inputs!$L$8*(((Inputs!$I$8+(((A204)+1)/2)*(Inputs!$J$8-Inputs!$I$8)))/Inputs!$K$8)^2)))*1000/Inputs!$C$12),NA())</x:f>
        <x:v>138187.76812593368</x:v>
      </x:c>
      <x:c r="K204" s="48" t="n">
        <x:f>IF(OR(Inputs!$F$9=TRUE,Inputs!$F$9="TRUE",Inputs!$F$9=1),(((SQRT(((Inputs!$I$9+(((A204)+1)/2)*(Inputs!$J$9-Inputs!$I$9)))^2+Inputs!$C$6^2+((Inputs!$H$9+Inputs!$L$9*(((Inputs!$I$9+(((A204)+1)/2)*(Inputs!$J$9-Inputs!$I$9)))/Inputs!$K$9)^2))^2))-((Inputs!$H$9+Inputs!$L$9*(((Inputs!$I$9+(((A204)+1)/2)*(Inputs!$J$9-Inputs!$I$9)))/Inputs!$K$9)^2)))*1000/Inputs!$C$12),NA())</x:f>
        <x:v>139202.2761380725</x:v>
      </x:c>
      <x:c r="L204" s="49"/>
      <x:c r="M204" s="48" t="n">
        <x:f>A204</x:f>
        <x:v>0.683</x:v>
      </x:c>
      <x:c r="N204" s="48" t="n">
        <x:f>IF(OR(Inputs!$F$6=TRUE,Inputs!$F$6="TRUE",Inputs!$F$6=1),(-2*((1000*((((Inputs!$I$6+(((A204)+1)/2)*(Inputs!$J$6-Inputs!$I$6)))*Inputs!$C$11+((Inputs!$H$6+Inputs!$L$6*(((Inputs!$I$6+(((A204)+1)/2)*(Inputs!$J$6-Inputs!$I$6)))/Inputs!$K$6)^2))*((2*Inputs!$L$6*((Inputs!$I$6+(((A204)+1)/2)*(Inputs!$J$6-Inputs!$I$6)))/(Inputs!$K$6^2)*Inputs!$C$11)))/(SQRT(((Inputs!$I$6+(((A204)+1)/2)*(Inputs!$J$6-Inputs!$I$6)))^2+Inputs!$C$6^2+((Inputs!$H$6+Inputs!$L$6*(((Inputs!$I$6+(((A204)+1)/2)*(Inputs!$J$6-Inputs!$I$6)))/Inputs!$K$6)^2))^2)))))/Inputs!$C$13),NA())</x:f>
        <x:v>-306.6852802640447</x:v>
      </x:c>
      <x:c r="O204" s="48" t="n">
        <x:f>IF(OR(Inputs!$F$7=TRUE,Inputs!$F$7="TRUE",Inputs!$F$7=1),(-2*((1000*((((Inputs!$I$7+(((A204)+1)/2)*(Inputs!$J$7-Inputs!$I$7)))*Inputs!$C$11+((Inputs!$H$7+Inputs!$L$7*(((Inputs!$I$7+(((A204)+1)/2)*(Inputs!$J$7-Inputs!$I$7)))/Inputs!$K$7)^2))*((2*Inputs!$L$7*((Inputs!$I$7+(((A204)+1)/2)*(Inputs!$J$7-Inputs!$I$7)))/(Inputs!$K$7^2)*Inputs!$C$11)))/(SQRT(((Inputs!$I$7+(((A204)+1)/2)*(Inputs!$J$7-Inputs!$I$7)))^2+Inputs!$C$6^2+((Inputs!$H$7+Inputs!$L$7*(((Inputs!$I$7+(((A204)+1)/2)*(Inputs!$J$7-Inputs!$I$7)))/Inputs!$K$7)^2))^2)))))/Inputs!$C$13),NA())</x:f>
        <x:v>-2470.5605844041247</x:v>
      </x:c>
      <x:c r="P204" s="48" t="n">
        <x:f>IF(OR(Inputs!$F$8=TRUE,Inputs!$F$8="TRUE",Inputs!$F$8=1),(-2*((1000*((((Inputs!$I$8+(((A204)+1)/2)*(Inputs!$J$8-Inputs!$I$8)))*Inputs!$C$11+((Inputs!$H$8+Inputs!$L$8*(((Inputs!$I$8+(((A204)+1)/2)*(Inputs!$J$8-Inputs!$I$8)))/Inputs!$K$8)^2))*((2*Inputs!$L$8*((Inputs!$I$8+(((A204)+1)/2)*(Inputs!$J$8-Inputs!$I$8)))/(Inputs!$K$8^2)*Inputs!$C$11)))/(SQRT(((Inputs!$I$8+(((A204)+1)/2)*(Inputs!$J$8-Inputs!$I$8)))^2+Inputs!$C$6^2+((Inputs!$H$8+Inputs!$L$8*(((Inputs!$I$8+(((A204)+1)/2)*(Inputs!$J$8-Inputs!$I$8)))/Inputs!$K$8)^2))^2)))))/Inputs!$C$13),NA())</x:f>
        <x:v>-2945.1576173798694</x:v>
      </x:c>
      <x:c r="Q204" s="48" t="n">
        <x:f>IF(OR(Inputs!$F$9=TRUE,Inputs!$F$9="TRUE",Inputs!$F$9=1),(-2*((1000*((((Inputs!$I$9+(((A204)+1)/2)*(Inputs!$J$9-Inputs!$I$9)))*Inputs!$C$11+((Inputs!$H$9+Inputs!$L$9*(((Inputs!$I$9+(((A204)+1)/2)*(Inputs!$J$9-Inputs!$I$9)))/Inputs!$K$9)^2))*((2*Inputs!$L$9*((Inputs!$I$9+(((A204)+1)/2)*(Inputs!$J$9-Inputs!$I$9)))/(Inputs!$K$9^2)*Inputs!$C$11)))/(SQRT(((Inputs!$I$9+(((A204)+1)/2)*(Inputs!$J$9-Inputs!$I$9)))^2+Inputs!$C$6^2+((Inputs!$H$9+Inputs!$L$9*(((Inputs!$I$9+(((A204)+1)/2)*(Inputs!$J$9-Inputs!$I$9)))/Inputs!$K$9)^2))^2)))))/Inputs!$C$13),NA())</x:f>
        <x:v>-2958.1286240052505</x:v>
      </x:c>
      <x:c r="R204" s="49"/>
      <x:c r="S204" s="48" t="n">
        <x:f>A204</x:f>
        <x:v>0.683</x:v>
      </x:c>
      <x:c r="T204" s="48" t="n">
        <x:f>(Inputs!$I$6+(((A204)+1)/2)*(Inputs!$J$6-Inputs!$I$6))</x:f>
        <x:v>40.980000000000004</x:v>
      </x:c>
      <x:c r="U204" s="48" t="n">
        <x:f>(Inputs!$I$7+(((A204)+1)/2)*(Inputs!$J$7-Inputs!$I$7))</x:f>
        <x:v>273.20000000000005</x:v>
      </x:c>
      <x:c r="V204" s="48" t="n">
        <x:f>(Inputs!$I$8+(((A204)+1)/2)*(Inputs!$J$8-Inputs!$I$8))</x:f>
        <x:v>546.4000000000001</x:v>
      </x:c>
      <x:c r="W204" s="48" t="n">
        <x:f>(Inputs!$I$9+(((A204)+1)/2)*(Inputs!$J$9-Inputs!$I$9))</x:f>
        <x:v>546.4000000000001</x:v>
      </x:c>
      <x:c r="X204" s="49"/>
      <x:c r="Y204" s="48" t="n">
        <x:f>A204</x:f>
        <x:v>0.683</x:v>
      </x:c>
      <x:c r="Z204" s="48" t="n">
        <x:f>(Inputs!$H$6+Inputs!$L$6*(((Inputs!$I$6+(((A204)+1)/2)*(Inputs!$J$6-Inputs!$I$6)))/Inputs!$K$6)^2)</x:f>
        <x:v>401.865956</x:v>
      </x:c>
      <x:c r="AA204" s="48" t="n">
        <x:f>(Inputs!$H$7+Inputs!$L$7*(((Inputs!$I$7+(((A204)+1)/2)*(Inputs!$J$7-Inputs!$I$7)))/Inputs!$K$7)^2)</x:f>
        <x:v>205.26848500000008</x:v>
      </x:c>
      <x:c r="AB204" s="48" t="n">
        <x:f>(Inputs!$H$8+Inputs!$L$8*(((Inputs!$I$8+(((A204)+1)/2)*(Inputs!$J$8-Inputs!$I$8)))/Inputs!$K$8)^2)</x:f>
        <x:v>485.1618850000002</x:v>
      </x:c>
      <x:c r="AC204" s="48" t="n">
        <x:f>(Inputs!$H$9+Inputs!$L$9*(((Inputs!$I$9+(((A204)+1)/2)*(Inputs!$J$9-Inputs!$I$9)))/Inputs!$K$9)^2)</x:f>
        <x:v>479.8267750000002</x:v>
      </x:c>
      <x:c r="AD204" s="49"/>
      <x:c r="AE204" s="48" t="n">
        <x:f>A204</x:f>
        <x:v>0.683</x:v>
      </x:c>
      <x:c r="AF204" s="48" t="n">
        <x:f>(((SQRT(((Inputs!$I$6+(((A204)+1)/2)*(Inputs!$J$6-Inputs!$I$6)))^2+Inputs!$C$6^2+((Inputs!$H$6+Inputs!$L$6*(((Inputs!$I$6+(((A204)+1)/2)*(Inputs!$J$6-Inputs!$I$6)))/Inputs!$K$6)^2))^2))-((Inputs!$H$6+Inputs!$L$6*(((Inputs!$I$6+(((A204)+1)/2)*(Inputs!$J$6-Inputs!$I$6)))/Inputs!$K$6)^2)))*1000/Inputs!$C$12)</x:f>
        <x:v>1605.0116760415644</x:v>
      </x:c>
      <x:c r="AG204" s="48" t="n">
        <x:f>(((SQRT(((Inputs!$I$7+(((A204)+1)/2)*(Inputs!$J$7-Inputs!$I$7)))^2+Inputs!$C$6^2+((Inputs!$H$7+Inputs!$L$7*(((Inputs!$I$7+(((A204)+1)/2)*(Inputs!$J$7-Inputs!$I$7)))/Inputs!$K$7)^2))^2))-((Inputs!$H$7+Inputs!$L$7*(((Inputs!$I$7+(((A204)+1)/2)*(Inputs!$J$7-Inputs!$I$7)))/Inputs!$K$7)^2)))*1000/Inputs!$C$12)</x:f>
        <x:v>77171.91062309152</x:v>
      </x:c>
      <x:c r="AH204" s="48" t="n">
        <x:f>(((SQRT(((Inputs!$I$8+(((A204)+1)/2)*(Inputs!$J$8-Inputs!$I$8)))^2+Inputs!$C$6^2+((Inputs!$H$8+Inputs!$L$8*(((Inputs!$I$8+(((A204)+1)/2)*(Inputs!$J$8-Inputs!$I$8)))/Inputs!$K$8)^2))^2))-((Inputs!$H$8+Inputs!$L$8*(((Inputs!$I$8+(((A204)+1)/2)*(Inputs!$J$8-Inputs!$I$8)))/Inputs!$K$8)^2)))*1000/Inputs!$C$12)</x:f>
        <x:v>138187.76812593368</x:v>
      </x:c>
      <x:c r="AI204" s="48" t="n">
        <x:f>(((SQRT(((Inputs!$I$9+(((A204)+1)/2)*(Inputs!$J$9-Inputs!$I$9)))^2+Inputs!$C$6^2+((Inputs!$H$9+Inputs!$L$9*(((Inputs!$I$9+(((A204)+1)/2)*(Inputs!$J$9-Inputs!$I$9)))/Inputs!$K$9)^2))^2))-((Inputs!$H$9+Inputs!$L$9*(((Inputs!$I$9+(((A204)+1)/2)*(Inputs!$J$9-Inputs!$I$9)))/Inputs!$K$9)^2)))*1000/Inputs!$C$12)</x:f>
        <x:v>139202.2761380725</x:v>
      </x:c>
      <x:c r="AJ204" s="49"/>
      <x:c r="AK204" s="48" t="n">
        <x:f>A204</x:f>
        <x:v>0.683</x:v>
      </x:c>
      <x:c r="AL204" s="48" t="n">
        <x:f>(-2*((1000*((((Inputs!$I$6+(((A204)+1)/2)*(Inputs!$J$6-Inputs!$I$6)))*Inputs!$C$11+((Inputs!$H$6+Inputs!$L$6*(((Inputs!$I$6+(((A204)+1)/2)*(Inputs!$J$6-Inputs!$I$6)))/Inputs!$K$6)^2))*((2*Inputs!$L$6*((Inputs!$I$6+(((A204)+1)/2)*(Inputs!$J$6-Inputs!$I$6)))/(Inputs!$K$6^2)*Inputs!$C$11)))/(SQRT(((Inputs!$I$6+(((A204)+1)/2)*(Inputs!$J$6-Inputs!$I$6)))^2+Inputs!$C$6^2+((Inputs!$H$6+Inputs!$L$6*(((Inputs!$I$6+(((A204)+1)/2)*(Inputs!$J$6-Inputs!$I$6)))/Inputs!$K$6)^2))^2)))))/Inputs!$C$13)</x:f>
        <x:v>-306.6852802640447</x:v>
      </x:c>
      <x:c r="AM204" s="48" t="n">
        <x:f>(-2*((1000*((((Inputs!$I$7+(((A204)+1)/2)*(Inputs!$J$7-Inputs!$I$7)))*Inputs!$C$11+((Inputs!$H$7+Inputs!$L$7*(((Inputs!$I$7+(((A204)+1)/2)*(Inputs!$J$7-Inputs!$I$7)))/Inputs!$K$7)^2))*((2*Inputs!$L$7*((Inputs!$I$7+(((A204)+1)/2)*(Inputs!$J$7-Inputs!$I$7)))/(Inputs!$K$7^2)*Inputs!$C$11)))/(SQRT(((Inputs!$I$7+(((A204)+1)/2)*(Inputs!$J$7-Inputs!$I$7)))^2+Inputs!$C$6^2+((Inputs!$H$7+Inputs!$L$7*(((Inputs!$I$7+(((A204)+1)/2)*(Inputs!$J$7-Inputs!$I$7)))/Inputs!$K$7)^2))^2)))))/Inputs!$C$13)</x:f>
        <x:v>-2470.5605844041247</x:v>
      </x:c>
      <x:c r="AN204" s="48" t="n">
        <x:f>(-2*((1000*((((Inputs!$I$8+(((A204)+1)/2)*(Inputs!$J$8-Inputs!$I$8)))*Inputs!$C$11+((Inputs!$H$8+Inputs!$L$8*(((Inputs!$I$8+(((A204)+1)/2)*(Inputs!$J$8-Inputs!$I$8)))/Inputs!$K$8)^2))*((2*Inputs!$L$8*((Inputs!$I$8+(((A204)+1)/2)*(Inputs!$J$8-Inputs!$I$8)))/(Inputs!$K$8^2)*Inputs!$C$11)))/(SQRT(((Inputs!$I$8+(((A204)+1)/2)*(Inputs!$J$8-Inputs!$I$8)))^2+Inputs!$C$6^2+((Inputs!$H$8+Inputs!$L$8*(((Inputs!$I$8+(((A204)+1)/2)*(Inputs!$J$8-Inputs!$I$8)))/Inputs!$K$8)^2))^2)))))/Inputs!$C$13)</x:f>
        <x:v>-2945.1576173798694</x:v>
      </x:c>
      <x:c r="AO204" s="48" t="n">
        <x:f>(-2*((1000*((((Inputs!$I$9+(((A204)+1)/2)*(Inputs!$J$9-Inputs!$I$9)))*Inputs!$C$11+((Inputs!$H$9+Inputs!$L$9*(((Inputs!$I$9+(((A204)+1)/2)*(Inputs!$J$9-Inputs!$I$9)))/Inputs!$K$9)^2))*((2*Inputs!$L$9*((Inputs!$I$9+(((A204)+1)/2)*(Inputs!$J$9-Inputs!$I$9)))/(Inputs!$K$9^2)*Inputs!$C$11)))/(SQRT(((Inputs!$I$9+(((A204)+1)/2)*(Inputs!$J$9-Inputs!$I$9)))^2+Inputs!$C$6^2+((Inputs!$H$9+Inputs!$L$9*(((Inputs!$I$9+(((A204)+1)/2)*(Inputs!$J$9-Inputs!$I$9)))/Inputs!$K$9)^2))^2)))))/Inputs!$C$13)</x:f>
        <x:v>-2958.1286240052505</x:v>
      </x:c>
    </x:row>
    <x:row r="205">
      <x:c r="A205" s="48" t="n">
        <x:f>ROUND(-1+203*2/240,3)</x:f>
        <x:v>0.692</x:v>
      </x:c>
      <x:c r="B205" s="48" t="n">
        <x:f>IF(OR(Inputs!$F$6=TRUE,Inputs!$F$6="TRUE",Inputs!$F$6=1),(Inputs!$H$6+Inputs!$L$6*(((Inputs!$I$6+(((A205)+1)/2)*(Inputs!$J$6-Inputs!$I$6)))/Inputs!$K$6)^2),NA())</x:f>
        <x:v>401.915456</x:v>
      </x:c>
      <x:c r="C205" s="48" t="n">
        <x:f>IF(OR(Inputs!$F$7=TRUE,Inputs!$F$7="TRUE",Inputs!$F$7=1),(Inputs!$H$7+Inputs!$L$7*(((Inputs!$I$7+(((A205)+1)/2)*(Inputs!$J$7-Inputs!$I$7)))/Inputs!$K$7)^2),NA())</x:f>
        <x:v>209.7853599999999</x:v>
      </x:c>
      <x:c r="D205" s="48" t="n">
        <x:f>IF(OR(Inputs!$F$8=TRUE,Inputs!$F$8="TRUE",Inputs!$F$8=1),(Inputs!$H$8+Inputs!$L$8*(((Inputs!$I$8+(((A205)+1)/2)*(Inputs!$J$8-Inputs!$I$8)))/Inputs!$K$8)^2),NA())</x:f>
        <x:v>497.1037599999998</x:v>
      </x:c>
      <x:c r="E205" s="48" t="n">
        <x:f>IF(OR(Inputs!$F$9=TRUE,Inputs!$F$9="TRUE",Inputs!$F$9=1),(Inputs!$H$9+Inputs!$L$9*(((Inputs!$I$9+(((A205)+1)/2)*(Inputs!$J$9-Inputs!$I$9)))/Inputs!$K$9)^2),NA())</x:f>
        <x:v>491.8923999999998</x:v>
      </x:c>
      <x:c r="F205" s="49"/>
      <x:c r="G205" s="48" t="n">
        <x:f>A205</x:f>
        <x:v>0.692</x:v>
      </x:c>
      <x:c r="H205" s="48" t="n">
        <x:f>IF(OR(Inputs!$F$6=TRUE,Inputs!$F$6="TRUE",Inputs!$F$6=1),(((SQRT(((Inputs!$I$6+(((A205)+1)/2)*(Inputs!$J$6-Inputs!$I$6)))^2+Inputs!$C$6^2+((Inputs!$H$6+Inputs!$L$6*(((Inputs!$I$6+(((A205)+1)/2)*(Inputs!$J$6-Inputs!$I$6)))/Inputs!$K$6)^2))^2))-((Inputs!$H$6+Inputs!$L$6*(((Inputs!$I$6+(((A205)+1)/2)*(Inputs!$J$6-Inputs!$I$6)))/Inputs!$K$6)^2)))*1000/Inputs!$C$12),NA())</x:f>
        <x:v>1635.7295752474204</x:v>
      </x:c>
      <x:c r="I205" s="48" t="n">
        <x:f>IF(OR(Inputs!$F$7=TRUE,Inputs!$F$7="TRUE",Inputs!$F$7=1),(((SQRT(((Inputs!$I$7+(((A205)+1)/2)*(Inputs!$J$7-Inputs!$I$7)))^2+Inputs!$C$6^2+((Inputs!$H$7+Inputs!$L$7*(((Inputs!$I$7+(((A205)+1)/2)*(Inputs!$J$7-Inputs!$I$7)))/Inputs!$K$7)^2))^2))-((Inputs!$H$7+Inputs!$L$7*(((Inputs!$I$7+(((A205)+1)/2)*(Inputs!$J$7-Inputs!$I$7)))/Inputs!$K$7)^2)))*1000/Inputs!$C$12),NA())</x:f>
        <x:v>77769.01784164105</x:v>
      </x:c>
      <x:c r="J205" s="48" t="n">
        <x:f>IF(OR(Inputs!$F$8=TRUE,Inputs!$F$8="TRUE",Inputs!$F$8=1),(((SQRT(((Inputs!$I$8+(((A205)+1)/2)*(Inputs!$J$8-Inputs!$I$8)))^2+Inputs!$C$6^2+((Inputs!$H$8+Inputs!$L$8*(((Inputs!$I$8+(((A205)+1)/2)*(Inputs!$J$8-Inputs!$I$8)))/Inputs!$K$8)^2))^2))-((Inputs!$H$8+Inputs!$L$8*(((Inputs!$I$8+(((A205)+1)/2)*(Inputs!$J$8-Inputs!$I$8)))/Inputs!$K$8)^2)))*1000/Inputs!$C$12),NA())</x:f>
        <x:v>138960.18644100227</x:v>
      </x:c>
      <x:c r="K205" s="48" t="n">
        <x:f>IF(OR(Inputs!$F$9=TRUE,Inputs!$F$9="TRUE",Inputs!$F$9=1),(((SQRT(((Inputs!$I$9+(((A205)+1)/2)*(Inputs!$J$9-Inputs!$I$9)))^2+Inputs!$C$6^2+((Inputs!$H$9+Inputs!$L$9*(((Inputs!$I$9+(((A205)+1)/2)*(Inputs!$J$9-Inputs!$I$9)))/Inputs!$K$9)^2))^2))-((Inputs!$H$9+Inputs!$L$9*(((Inputs!$I$9+(((A205)+1)/2)*(Inputs!$J$9-Inputs!$I$9)))/Inputs!$K$9)^2)))*1000/Inputs!$C$12),NA())</x:f>
        <x:v>139938.64808234564</x:v>
      </x:c>
      <x:c r="L205" s="49"/>
      <x:c r="M205" s="48" t="n">
        <x:f>A205</x:f>
        <x:v>0.692</x:v>
      </x:c>
      <x:c r="N205" s="48" t="n">
        <x:f>IF(OR(Inputs!$F$6=TRUE,Inputs!$F$6="TRUE",Inputs!$F$6=1),(-2*((1000*((((Inputs!$I$6+(((A205)+1)/2)*(Inputs!$J$6-Inputs!$I$6)))*Inputs!$C$11+((Inputs!$H$6+Inputs!$L$6*(((Inputs!$I$6+(((A205)+1)/2)*(Inputs!$J$6-Inputs!$I$6)))/Inputs!$K$6)^2))*((2*Inputs!$L$6*((Inputs!$I$6+(((A205)+1)/2)*(Inputs!$J$6-Inputs!$I$6)))/(Inputs!$K$6^2)*Inputs!$C$11)))/(SQRT(((Inputs!$I$6+(((A205)+1)/2)*(Inputs!$J$6-Inputs!$I$6)))^2+Inputs!$C$6^2+((Inputs!$H$6+Inputs!$L$6*(((Inputs!$I$6+(((A205)+1)/2)*(Inputs!$J$6-Inputs!$I$6)))/Inputs!$K$6)^2))^2)))))/Inputs!$C$13),NA())</x:f>
        <x:v>-310.6646100066322</x:v>
      </x:c>
      <x:c r="O205" s="48" t="n">
        <x:f>IF(OR(Inputs!$F$7=TRUE,Inputs!$F$7="TRUE",Inputs!$F$7=1),(-2*((1000*((((Inputs!$I$7+(((A205)+1)/2)*(Inputs!$J$7-Inputs!$I$7)))*Inputs!$C$11+((Inputs!$H$7+Inputs!$L$7*(((Inputs!$I$7+(((A205)+1)/2)*(Inputs!$J$7-Inputs!$I$7)))/Inputs!$K$7)^2))*((2*Inputs!$L$7*((Inputs!$I$7+(((A205)+1)/2)*(Inputs!$J$7-Inputs!$I$7)))/(Inputs!$K$7^2)*Inputs!$C$11)))/(SQRT(((Inputs!$I$7+(((A205)+1)/2)*(Inputs!$J$7-Inputs!$I$7)))^2+Inputs!$C$6^2+((Inputs!$H$7+Inputs!$L$7*(((Inputs!$I$7+(((A205)+1)/2)*(Inputs!$J$7-Inputs!$I$7)))/Inputs!$K$7)^2))^2)))))/Inputs!$C$13),NA())</x:f>
        <x:v>-2489.216868702904</x:v>
      </x:c>
      <x:c r="P205" s="48" t="n">
        <x:f>IF(OR(Inputs!$F$8=TRUE,Inputs!$F$8="TRUE",Inputs!$F$8=1),(-2*((1000*((((Inputs!$I$8+(((A205)+1)/2)*(Inputs!$J$8-Inputs!$I$8)))*Inputs!$C$11+((Inputs!$H$8+Inputs!$L$8*(((Inputs!$I$8+(((A205)+1)/2)*(Inputs!$J$8-Inputs!$I$8)))/Inputs!$K$8)^2))*((2*Inputs!$L$8*((Inputs!$I$8+(((A205)+1)/2)*(Inputs!$J$8-Inputs!$I$8)))/(Inputs!$K$8^2)*Inputs!$C$11)))/(SQRT(((Inputs!$I$8+(((A205)+1)/2)*(Inputs!$J$8-Inputs!$I$8)))^2+Inputs!$C$6^2+((Inputs!$H$8+Inputs!$L$8*(((Inputs!$I$8+(((A205)+1)/2)*(Inputs!$J$8-Inputs!$I$8)))/Inputs!$K$8)^2))^2)))))/Inputs!$C$13),NA())</x:f>
        <x:v>-2973.437029528876</x:v>
      </x:c>
      <x:c r="Q205" s="48" t="n">
        <x:f>IF(OR(Inputs!$F$9=TRUE,Inputs!$F$9="TRUE",Inputs!$F$9=1),(-2*((1000*((((Inputs!$I$9+(((A205)+1)/2)*(Inputs!$J$9-Inputs!$I$9)))*Inputs!$C$11+((Inputs!$H$9+Inputs!$L$9*(((Inputs!$I$9+(((A205)+1)/2)*(Inputs!$J$9-Inputs!$I$9)))/Inputs!$K$9)^2))*((2*Inputs!$L$9*((Inputs!$I$9+(((A205)+1)/2)*(Inputs!$J$9-Inputs!$I$9)))/(Inputs!$K$9^2)*Inputs!$C$11)))/(SQRT(((Inputs!$I$9+(((A205)+1)/2)*(Inputs!$J$9-Inputs!$I$9)))^2+Inputs!$C$6^2+((Inputs!$H$9+Inputs!$L$9*(((Inputs!$I$9+(((A205)+1)/2)*(Inputs!$J$9-Inputs!$I$9)))/Inputs!$K$9)^2))^2)))))/Inputs!$C$13),NA())</x:f>
        <x:v>-2986.949269938339</x:v>
      </x:c>
      <x:c r="R205" s="49"/>
      <x:c r="S205" s="48" t="n">
        <x:f>A205</x:f>
        <x:v>0.692</x:v>
      </x:c>
      <x:c r="T205" s="48" t="n">
        <x:f>(Inputs!$I$6+(((A205)+1)/2)*(Inputs!$J$6-Inputs!$I$6))</x:f>
        <x:v>41.519999999999996</x:v>
      </x:c>
      <x:c r="U205" s="48" t="n">
        <x:f>(Inputs!$I$7+(((A205)+1)/2)*(Inputs!$J$7-Inputs!$I$7))</x:f>
        <x:v>276.79999999999995</x:v>
      </x:c>
      <x:c r="V205" s="48" t="n">
        <x:f>(Inputs!$I$8+(((A205)+1)/2)*(Inputs!$J$8-Inputs!$I$8))</x:f>
        <x:v>553.5999999999999</x:v>
      </x:c>
      <x:c r="W205" s="48" t="n">
        <x:f>(Inputs!$I$9+(((A205)+1)/2)*(Inputs!$J$9-Inputs!$I$9))</x:f>
        <x:v>553.5999999999999</x:v>
      </x:c>
      <x:c r="X205" s="49"/>
      <x:c r="Y205" s="48" t="n">
        <x:f>A205</x:f>
        <x:v>0.692</x:v>
      </x:c>
      <x:c r="Z205" s="48" t="n">
        <x:f>(Inputs!$H$6+Inputs!$L$6*(((Inputs!$I$6+(((A205)+1)/2)*(Inputs!$J$6-Inputs!$I$6)))/Inputs!$K$6)^2)</x:f>
        <x:v>401.915456</x:v>
      </x:c>
      <x:c r="AA205" s="48" t="n">
        <x:f>(Inputs!$H$7+Inputs!$L$7*(((Inputs!$I$7+(((A205)+1)/2)*(Inputs!$J$7-Inputs!$I$7)))/Inputs!$K$7)^2)</x:f>
        <x:v>209.7853599999999</x:v>
      </x:c>
      <x:c r="AB205" s="48" t="n">
        <x:f>(Inputs!$H$8+Inputs!$L$8*(((Inputs!$I$8+(((A205)+1)/2)*(Inputs!$J$8-Inputs!$I$8)))/Inputs!$K$8)^2)</x:f>
        <x:v>497.1037599999998</x:v>
      </x:c>
      <x:c r="AC205" s="48" t="n">
        <x:f>(Inputs!$H$9+Inputs!$L$9*(((Inputs!$I$9+(((A205)+1)/2)*(Inputs!$J$9-Inputs!$I$9)))/Inputs!$K$9)^2)</x:f>
        <x:v>491.8923999999998</x:v>
      </x:c>
      <x:c r="AD205" s="49"/>
      <x:c r="AE205" s="48" t="n">
        <x:f>A205</x:f>
        <x:v>0.692</x:v>
      </x:c>
      <x:c r="AF205" s="48" t="n">
        <x:f>(((SQRT(((Inputs!$I$6+(((A205)+1)/2)*(Inputs!$J$6-Inputs!$I$6)))^2+Inputs!$C$6^2+((Inputs!$H$6+Inputs!$L$6*(((Inputs!$I$6+(((A205)+1)/2)*(Inputs!$J$6-Inputs!$I$6)))/Inputs!$K$6)^2))^2))-((Inputs!$H$6+Inputs!$L$6*(((Inputs!$I$6+(((A205)+1)/2)*(Inputs!$J$6-Inputs!$I$6)))/Inputs!$K$6)^2)))*1000/Inputs!$C$12)</x:f>
        <x:v>1635.7295752474204</x:v>
      </x:c>
      <x:c r="AG205" s="48" t="n">
        <x:f>(((SQRT(((Inputs!$I$7+(((A205)+1)/2)*(Inputs!$J$7-Inputs!$I$7)))^2+Inputs!$C$6^2+((Inputs!$H$7+Inputs!$L$7*(((Inputs!$I$7+(((A205)+1)/2)*(Inputs!$J$7-Inputs!$I$7)))/Inputs!$K$7)^2))^2))-((Inputs!$H$7+Inputs!$L$7*(((Inputs!$I$7+(((A205)+1)/2)*(Inputs!$J$7-Inputs!$I$7)))/Inputs!$K$7)^2)))*1000/Inputs!$C$12)</x:f>
        <x:v>77769.01784164105</x:v>
      </x:c>
      <x:c r="AH205" s="48" t="n">
        <x:f>(((SQRT(((Inputs!$I$8+(((A205)+1)/2)*(Inputs!$J$8-Inputs!$I$8)))^2+Inputs!$C$6^2+((Inputs!$H$8+Inputs!$L$8*(((Inputs!$I$8+(((A205)+1)/2)*(Inputs!$J$8-Inputs!$I$8)))/Inputs!$K$8)^2))^2))-((Inputs!$H$8+Inputs!$L$8*(((Inputs!$I$8+(((A205)+1)/2)*(Inputs!$J$8-Inputs!$I$8)))/Inputs!$K$8)^2)))*1000/Inputs!$C$12)</x:f>
        <x:v>138960.18644100227</x:v>
      </x:c>
      <x:c r="AI205" s="48" t="n">
        <x:f>(((SQRT(((Inputs!$I$9+(((A205)+1)/2)*(Inputs!$J$9-Inputs!$I$9)))^2+Inputs!$C$6^2+((Inputs!$H$9+Inputs!$L$9*(((Inputs!$I$9+(((A205)+1)/2)*(Inputs!$J$9-Inputs!$I$9)))/Inputs!$K$9)^2))^2))-((Inputs!$H$9+Inputs!$L$9*(((Inputs!$I$9+(((A205)+1)/2)*(Inputs!$J$9-Inputs!$I$9)))/Inputs!$K$9)^2)))*1000/Inputs!$C$12)</x:f>
        <x:v>139938.64808234564</x:v>
      </x:c>
      <x:c r="AJ205" s="49"/>
      <x:c r="AK205" s="48" t="n">
        <x:f>A205</x:f>
        <x:v>0.692</x:v>
      </x:c>
      <x:c r="AL205" s="48" t="n">
        <x:f>(-2*((1000*((((Inputs!$I$6+(((A205)+1)/2)*(Inputs!$J$6-Inputs!$I$6)))*Inputs!$C$11+((Inputs!$H$6+Inputs!$L$6*(((Inputs!$I$6+(((A205)+1)/2)*(Inputs!$J$6-Inputs!$I$6)))/Inputs!$K$6)^2))*((2*Inputs!$L$6*((Inputs!$I$6+(((A205)+1)/2)*(Inputs!$J$6-Inputs!$I$6)))/(Inputs!$K$6^2)*Inputs!$C$11)))/(SQRT(((Inputs!$I$6+(((A205)+1)/2)*(Inputs!$J$6-Inputs!$I$6)))^2+Inputs!$C$6^2+((Inputs!$H$6+Inputs!$L$6*(((Inputs!$I$6+(((A205)+1)/2)*(Inputs!$J$6-Inputs!$I$6)))/Inputs!$K$6)^2))^2)))))/Inputs!$C$13)</x:f>
        <x:v>-310.6646100066322</x:v>
      </x:c>
      <x:c r="AM205" s="48" t="n">
        <x:f>(-2*((1000*((((Inputs!$I$7+(((A205)+1)/2)*(Inputs!$J$7-Inputs!$I$7)))*Inputs!$C$11+((Inputs!$H$7+Inputs!$L$7*(((Inputs!$I$7+(((A205)+1)/2)*(Inputs!$J$7-Inputs!$I$7)))/Inputs!$K$7)^2))*((2*Inputs!$L$7*((Inputs!$I$7+(((A205)+1)/2)*(Inputs!$J$7-Inputs!$I$7)))/(Inputs!$K$7^2)*Inputs!$C$11)))/(SQRT(((Inputs!$I$7+(((A205)+1)/2)*(Inputs!$J$7-Inputs!$I$7)))^2+Inputs!$C$6^2+((Inputs!$H$7+Inputs!$L$7*(((Inputs!$I$7+(((A205)+1)/2)*(Inputs!$J$7-Inputs!$I$7)))/Inputs!$K$7)^2))^2)))))/Inputs!$C$13)</x:f>
        <x:v>-2489.216868702904</x:v>
      </x:c>
      <x:c r="AN205" s="48" t="n">
        <x:f>(-2*((1000*((((Inputs!$I$8+(((A205)+1)/2)*(Inputs!$J$8-Inputs!$I$8)))*Inputs!$C$11+((Inputs!$H$8+Inputs!$L$8*(((Inputs!$I$8+(((A205)+1)/2)*(Inputs!$J$8-Inputs!$I$8)))/Inputs!$K$8)^2))*((2*Inputs!$L$8*((Inputs!$I$8+(((A205)+1)/2)*(Inputs!$J$8-Inputs!$I$8)))/(Inputs!$K$8^2)*Inputs!$C$11)))/(SQRT(((Inputs!$I$8+(((A205)+1)/2)*(Inputs!$J$8-Inputs!$I$8)))^2+Inputs!$C$6^2+((Inputs!$H$8+Inputs!$L$8*(((Inputs!$I$8+(((A205)+1)/2)*(Inputs!$J$8-Inputs!$I$8)))/Inputs!$K$8)^2))^2)))))/Inputs!$C$13)</x:f>
        <x:v>-2973.437029528876</x:v>
      </x:c>
      <x:c r="AO205" s="48" t="n">
        <x:f>(-2*((1000*((((Inputs!$I$9+(((A205)+1)/2)*(Inputs!$J$9-Inputs!$I$9)))*Inputs!$C$11+((Inputs!$H$9+Inputs!$L$9*(((Inputs!$I$9+(((A205)+1)/2)*(Inputs!$J$9-Inputs!$I$9)))/Inputs!$K$9)^2))*((2*Inputs!$L$9*((Inputs!$I$9+(((A205)+1)/2)*(Inputs!$J$9-Inputs!$I$9)))/(Inputs!$K$9^2)*Inputs!$C$11)))/(SQRT(((Inputs!$I$9+(((A205)+1)/2)*(Inputs!$J$9-Inputs!$I$9)))^2+Inputs!$C$6^2+((Inputs!$H$9+Inputs!$L$9*(((Inputs!$I$9+(((A205)+1)/2)*(Inputs!$J$9-Inputs!$I$9)))/Inputs!$K$9)^2))^2)))))/Inputs!$C$13)</x:f>
        <x:v>-2986.949269938339</x:v>
      </x:c>
    </x:row>
    <x:row r="206">
      <x:c r="A206" s="48" t="n">
        <x:f>ROUND(-1+204*2/240,3)</x:f>
        <x:v>0.7</x:v>
      </x:c>
      <x:c r="B206" s="48" t="n">
        <x:f>IF(OR(Inputs!$F$6=TRUE,Inputs!$F$6="TRUE",Inputs!$F$6=1),(Inputs!$H$6+Inputs!$L$6*(((Inputs!$I$6+(((A206)+1)/2)*(Inputs!$J$6-Inputs!$I$6)))/Inputs!$K$6)^2),NA())</x:f>
        <x:v>401.96</x:v>
      </x:c>
      <x:c r="C206" s="48" t="n">
        <x:f>IF(OR(Inputs!$F$7=TRUE,Inputs!$F$7="TRUE",Inputs!$F$7=1),(Inputs!$H$7+Inputs!$L$7*(((Inputs!$I$7+(((A206)+1)/2)*(Inputs!$J$7-Inputs!$I$7)))/Inputs!$K$7)^2),NA())</x:f>
        <x:v>213.84999999999997</x:v>
      </x:c>
      <x:c r="D206" s="48" t="n">
        <x:f>IF(OR(Inputs!$F$8=TRUE,Inputs!$F$8="TRUE",Inputs!$F$8=1),(Inputs!$H$8+Inputs!$L$8*(((Inputs!$I$8+(((A206)+1)/2)*(Inputs!$J$8-Inputs!$I$8)))/Inputs!$K$8)^2),NA())</x:f>
        <x:v>507.84999999999997</x:v>
      </x:c>
      <x:c r="E206" s="48" t="n">
        <x:f>IF(OR(Inputs!$F$9=TRUE,Inputs!$F$9="TRUE",Inputs!$F$9=1),(Inputs!$H$9+Inputs!$L$9*(((Inputs!$I$9+(((A206)+1)/2)*(Inputs!$J$9-Inputs!$I$9)))/Inputs!$K$9)^2),NA())</x:f>
        <x:v>502.74999999999994</x:v>
      </x:c>
      <x:c r="F206" s="49"/>
      <x:c r="G206" s="48" t="n">
        <x:f>A206</x:f>
        <x:v>0.7</x:v>
      </x:c>
      <x:c r="H206" s="48" t="n">
        <x:f>IF(OR(Inputs!$F$6=TRUE,Inputs!$F$6="TRUE",Inputs!$F$6=1),(((SQRT(((Inputs!$I$6+(((A206)+1)/2)*(Inputs!$J$6-Inputs!$I$6)))^2+Inputs!$C$6^2+((Inputs!$H$6+Inputs!$L$6*(((Inputs!$I$6+(((A206)+1)/2)*(Inputs!$J$6-Inputs!$I$6)))/Inputs!$K$6)^2))^2))-((Inputs!$H$6+Inputs!$L$6*(((Inputs!$I$6+(((A206)+1)/2)*(Inputs!$J$6-Inputs!$I$6)))/Inputs!$K$6)^2)))*1000/Inputs!$C$12),NA())</x:f>
        <x:v>1663.3619953398884</x:v>
      </x:c>
      <x:c r="I206" s="48" t="n">
        <x:f>IF(OR(Inputs!$F$7=TRUE,Inputs!$F$7="TRUE",Inputs!$F$7=1),(((SQRT(((Inputs!$I$7+(((A206)+1)/2)*(Inputs!$J$7-Inputs!$I$7)))^2+Inputs!$C$6^2+((Inputs!$H$7+Inputs!$L$7*(((Inputs!$I$7+(((A206)+1)/2)*(Inputs!$J$7-Inputs!$I$7)))/Inputs!$K$7)^2))^2))-((Inputs!$H$7+Inputs!$L$7*(((Inputs!$I$7+(((A206)+1)/2)*(Inputs!$J$7-Inputs!$I$7)))/Inputs!$K$7)^2)))*1000/Inputs!$C$12),NA())</x:f>
        <x:v>78291.75182693239</x:v>
      </x:c>
      <x:c r="J206" s="48" t="n">
        <x:f>IF(OR(Inputs!$F$8=TRUE,Inputs!$F$8="TRUE",Inputs!$F$8=1),(((SQRT(((Inputs!$I$8+(((A206)+1)/2)*(Inputs!$J$8-Inputs!$I$8)))^2+Inputs!$C$6^2+((Inputs!$H$8+Inputs!$L$8*(((Inputs!$I$8+(((A206)+1)/2)*(Inputs!$J$8-Inputs!$I$8)))/Inputs!$K$8)^2))^2))-((Inputs!$H$8+Inputs!$L$8*(((Inputs!$I$8+(((A206)+1)/2)*(Inputs!$J$8-Inputs!$I$8)))/Inputs!$K$8)^2)))*1000/Inputs!$C$12),NA())</x:f>
        <x:v>139633.22067116378</x:v>
      </x:c>
      <x:c r="K206" s="48" t="n">
        <x:f>IF(OR(Inputs!$F$9=TRUE,Inputs!$F$9="TRUE",Inputs!$F$9=1),(((SQRT(((Inputs!$I$9+(((A206)+1)/2)*(Inputs!$J$9-Inputs!$I$9)))^2+Inputs!$C$6^2+((Inputs!$H$9+Inputs!$L$9*(((Inputs!$I$9+(((A206)+1)/2)*(Inputs!$J$9-Inputs!$I$9)))/Inputs!$K$9)^2))^2))-((Inputs!$H$9+Inputs!$L$9*(((Inputs!$I$9+(((A206)+1)/2)*(Inputs!$J$9-Inputs!$I$9)))/Inputs!$K$9)^2)))*1000/Inputs!$C$12),NA())</x:f>
        <x:v>140580.0252890396</x:v>
      </x:c>
      <x:c r="L206" s="49"/>
      <x:c r="M206" s="48" t="n">
        <x:f>A206</x:f>
        <x:v>0.7</x:v>
      </x:c>
      <x:c r="N206" s="48" t="n">
        <x:f>IF(OR(Inputs!$F$6=TRUE,Inputs!$F$6="TRUE",Inputs!$F$6=1),(-2*((1000*((((Inputs!$I$6+(((A206)+1)/2)*(Inputs!$J$6-Inputs!$I$6)))*Inputs!$C$11+((Inputs!$H$6+Inputs!$L$6*(((Inputs!$I$6+(((A206)+1)/2)*(Inputs!$J$6-Inputs!$I$6)))/Inputs!$K$6)^2))*((2*Inputs!$L$6*((Inputs!$I$6+(((A206)+1)/2)*(Inputs!$J$6-Inputs!$I$6)))/(Inputs!$K$6^2)*Inputs!$C$11)))/(SQRT(((Inputs!$I$6+(((A206)+1)/2)*(Inputs!$J$6-Inputs!$I$6)))^2+Inputs!$C$6^2+((Inputs!$H$6+Inputs!$L$6*(((Inputs!$I$6+(((A206)+1)/2)*(Inputs!$J$6-Inputs!$I$6)))/Inputs!$K$6)^2))^2)))))/Inputs!$C$13),NA())</x:f>
        <x:v>-314.1997931036334</x:v>
      </x:c>
      <x:c r="O206" s="48" t="n">
        <x:f>IF(OR(Inputs!$F$7=TRUE,Inputs!$F$7="TRUE",Inputs!$F$7=1),(-2*((1000*((((Inputs!$I$7+(((A206)+1)/2)*(Inputs!$J$7-Inputs!$I$7)))*Inputs!$C$11+((Inputs!$H$7+Inputs!$L$7*(((Inputs!$I$7+(((A206)+1)/2)*(Inputs!$J$7-Inputs!$I$7)))/Inputs!$K$7)^2))*((2*Inputs!$L$7*((Inputs!$I$7+(((A206)+1)/2)*(Inputs!$J$7-Inputs!$I$7)))/(Inputs!$K$7^2)*Inputs!$C$11)))/(SQRT(((Inputs!$I$7+(((A206)+1)/2)*(Inputs!$J$7-Inputs!$I$7)))^2+Inputs!$C$6^2+((Inputs!$H$7+Inputs!$L$7*(((Inputs!$I$7+(((A206)+1)/2)*(Inputs!$J$7-Inputs!$I$7)))/Inputs!$K$7)^2))^2)))))/Inputs!$C$13),NA())</x:f>
        <x:v>-2505.906141945731</x:v>
      </x:c>
      <x:c r="P206" s="48" t="n">
        <x:f>IF(OR(Inputs!$F$8=TRUE,Inputs!$F$8="TRUE",Inputs!$F$8=1),(-2*((1000*((((Inputs!$I$8+(((A206)+1)/2)*(Inputs!$J$8-Inputs!$I$8)))*Inputs!$C$11+((Inputs!$H$8+Inputs!$L$8*(((Inputs!$I$8+(((A206)+1)/2)*(Inputs!$J$8-Inputs!$I$8)))/Inputs!$K$8)^2))*((2*Inputs!$L$8*((Inputs!$I$8+(((A206)+1)/2)*(Inputs!$J$8-Inputs!$I$8)))/(Inputs!$K$8^2)*Inputs!$C$11)))/(SQRT(((Inputs!$I$8+(((A206)+1)/2)*(Inputs!$J$8-Inputs!$I$8)))^2+Inputs!$C$6^2+((Inputs!$H$8+Inputs!$L$8*(((Inputs!$I$8+(((A206)+1)/2)*(Inputs!$J$8-Inputs!$I$8)))/Inputs!$K$8)^2))^2)))))/Inputs!$C$13),NA())</x:f>
        <x:v>-2998.703460997543</x:v>
      </x:c>
      <x:c r="Q206" s="48" t="n">
        <x:f>IF(OR(Inputs!$F$9=TRUE,Inputs!$F$9="TRUE",Inputs!$F$9=1),(-2*((1000*((((Inputs!$I$9+(((A206)+1)/2)*(Inputs!$J$9-Inputs!$I$9)))*Inputs!$C$11+((Inputs!$H$9+Inputs!$L$9*(((Inputs!$I$9+(((A206)+1)/2)*(Inputs!$J$9-Inputs!$I$9)))/Inputs!$K$9)^2))*((2*Inputs!$L$9*((Inputs!$I$9+(((A206)+1)/2)*(Inputs!$J$9-Inputs!$I$9)))/(Inputs!$K$9^2)*Inputs!$C$11)))/(SQRT(((Inputs!$I$9+(((A206)+1)/2)*(Inputs!$J$9-Inputs!$I$9)))^2+Inputs!$C$6^2+((Inputs!$H$9+Inputs!$L$9*(((Inputs!$I$9+(((A206)+1)/2)*(Inputs!$J$9-Inputs!$I$9)))/Inputs!$K$9)^2))^2)))))/Inputs!$C$13),NA())</x:f>
        <x:v>-3012.6963981960357</x:v>
      </x:c>
      <x:c r="R206" s="49"/>
      <x:c r="S206" s="48" t="n">
        <x:f>A206</x:f>
        <x:v>0.7</x:v>
      </x:c>
      <x:c r="T206" s="48" t="n">
        <x:f>(Inputs!$I$6+(((A206)+1)/2)*(Inputs!$J$6-Inputs!$I$6))</x:f>
        <x:v>42</x:v>
      </x:c>
      <x:c r="U206" s="48" t="n">
        <x:f>(Inputs!$I$7+(((A206)+1)/2)*(Inputs!$J$7-Inputs!$I$7))</x:f>
        <x:v>280</x:v>
      </x:c>
      <x:c r="V206" s="48" t="n">
        <x:f>(Inputs!$I$8+(((A206)+1)/2)*(Inputs!$J$8-Inputs!$I$8))</x:f>
        <x:v>560</x:v>
      </x:c>
      <x:c r="W206" s="48" t="n">
        <x:f>(Inputs!$I$9+(((A206)+1)/2)*(Inputs!$J$9-Inputs!$I$9))</x:f>
        <x:v>560</x:v>
      </x:c>
      <x:c r="X206" s="49"/>
      <x:c r="Y206" s="48" t="n">
        <x:f>A206</x:f>
        <x:v>0.7</x:v>
      </x:c>
      <x:c r="Z206" s="48" t="n">
        <x:f>(Inputs!$H$6+Inputs!$L$6*(((Inputs!$I$6+(((A206)+1)/2)*(Inputs!$J$6-Inputs!$I$6)))/Inputs!$K$6)^2)</x:f>
        <x:v>401.96</x:v>
      </x:c>
      <x:c r="AA206" s="48" t="n">
        <x:f>(Inputs!$H$7+Inputs!$L$7*(((Inputs!$I$7+(((A206)+1)/2)*(Inputs!$J$7-Inputs!$I$7)))/Inputs!$K$7)^2)</x:f>
        <x:v>213.84999999999997</x:v>
      </x:c>
      <x:c r="AB206" s="48" t="n">
        <x:f>(Inputs!$H$8+Inputs!$L$8*(((Inputs!$I$8+(((A206)+1)/2)*(Inputs!$J$8-Inputs!$I$8)))/Inputs!$K$8)^2)</x:f>
        <x:v>507.84999999999997</x:v>
      </x:c>
      <x:c r="AC206" s="48" t="n">
        <x:f>(Inputs!$H$9+Inputs!$L$9*(((Inputs!$I$9+(((A206)+1)/2)*(Inputs!$J$9-Inputs!$I$9)))/Inputs!$K$9)^2)</x:f>
        <x:v>502.74999999999994</x:v>
      </x:c>
      <x:c r="AD206" s="49"/>
      <x:c r="AE206" s="48" t="n">
        <x:f>A206</x:f>
        <x:v>0.7</x:v>
      </x:c>
      <x:c r="AF206" s="48" t="n">
        <x:f>(((SQRT(((Inputs!$I$6+(((A206)+1)/2)*(Inputs!$J$6-Inputs!$I$6)))^2+Inputs!$C$6^2+((Inputs!$H$6+Inputs!$L$6*(((Inputs!$I$6+(((A206)+1)/2)*(Inputs!$J$6-Inputs!$I$6)))/Inputs!$K$6)^2))^2))-((Inputs!$H$6+Inputs!$L$6*(((Inputs!$I$6+(((A206)+1)/2)*(Inputs!$J$6-Inputs!$I$6)))/Inputs!$K$6)^2)))*1000/Inputs!$C$12)</x:f>
        <x:v>1663.3619953398884</x:v>
      </x:c>
      <x:c r="AG206" s="48" t="n">
        <x:f>(((SQRT(((Inputs!$I$7+(((A206)+1)/2)*(Inputs!$J$7-Inputs!$I$7)))^2+Inputs!$C$6^2+((Inputs!$H$7+Inputs!$L$7*(((Inputs!$I$7+(((A206)+1)/2)*(Inputs!$J$7-Inputs!$I$7)))/Inputs!$K$7)^2))^2))-((Inputs!$H$7+Inputs!$L$7*(((Inputs!$I$7+(((A206)+1)/2)*(Inputs!$J$7-Inputs!$I$7)))/Inputs!$K$7)^2)))*1000/Inputs!$C$12)</x:f>
        <x:v>78291.75182693239</x:v>
      </x:c>
      <x:c r="AH206" s="48" t="n">
        <x:f>(((SQRT(((Inputs!$I$8+(((A206)+1)/2)*(Inputs!$J$8-Inputs!$I$8)))^2+Inputs!$C$6^2+((Inputs!$H$8+Inputs!$L$8*(((Inputs!$I$8+(((A206)+1)/2)*(Inputs!$J$8-Inputs!$I$8)))/Inputs!$K$8)^2))^2))-((Inputs!$H$8+Inputs!$L$8*(((Inputs!$I$8+(((A206)+1)/2)*(Inputs!$J$8-Inputs!$I$8)))/Inputs!$K$8)^2)))*1000/Inputs!$C$12)</x:f>
        <x:v>139633.22067116378</x:v>
      </x:c>
      <x:c r="AI206" s="48" t="n">
        <x:f>(((SQRT(((Inputs!$I$9+(((A206)+1)/2)*(Inputs!$J$9-Inputs!$I$9)))^2+Inputs!$C$6^2+((Inputs!$H$9+Inputs!$L$9*(((Inputs!$I$9+(((A206)+1)/2)*(Inputs!$J$9-Inputs!$I$9)))/Inputs!$K$9)^2))^2))-((Inputs!$H$9+Inputs!$L$9*(((Inputs!$I$9+(((A206)+1)/2)*(Inputs!$J$9-Inputs!$I$9)))/Inputs!$K$9)^2)))*1000/Inputs!$C$12)</x:f>
        <x:v>140580.0252890396</x:v>
      </x:c>
      <x:c r="AJ206" s="49"/>
      <x:c r="AK206" s="48" t="n">
        <x:f>A206</x:f>
        <x:v>0.7</x:v>
      </x:c>
      <x:c r="AL206" s="48" t="n">
        <x:f>(-2*((1000*((((Inputs!$I$6+(((A206)+1)/2)*(Inputs!$J$6-Inputs!$I$6)))*Inputs!$C$11+((Inputs!$H$6+Inputs!$L$6*(((Inputs!$I$6+(((A206)+1)/2)*(Inputs!$J$6-Inputs!$I$6)))/Inputs!$K$6)^2))*((2*Inputs!$L$6*((Inputs!$I$6+(((A206)+1)/2)*(Inputs!$J$6-Inputs!$I$6)))/(Inputs!$K$6^2)*Inputs!$C$11)))/(SQRT(((Inputs!$I$6+(((A206)+1)/2)*(Inputs!$J$6-Inputs!$I$6)))^2+Inputs!$C$6^2+((Inputs!$H$6+Inputs!$L$6*(((Inputs!$I$6+(((A206)+1)/2)*(Inputs!$J$6-Inputs!$I$6)))/Inputs!$K$6)^2))^2)))))/Inputs!$C$13)</x:f>
        <x:v>-314.1997931036334</x:v>
      </x:c>
      <x:c r="AM206" s="48" t="n">
        <x:f>(-2*((1000*((((Inputs!$I$7+(((A206)+1)/2)*(Inputs!$J$7-Inputs!$I$7)))*Inputs!$C$11+((Inputs!$H$7+Inputs!$L$7*(((Inputs!$I$7+(((A206)+1)/2)*(Inputs!$J$7-Inputs!$I$7)))/Inputs!$K$7)^2))*((2*Inputs!$L$7*((Inputs!$I$7+(((A206)+1)/2)*(Inputs!$J$7-Inputs!$I$7)))/(Inputs!$K$7^2)*Inputs!$C$11)))/(SQRT(((Inputs!$I$7+(((A206)+1)/2)*(Inputs!$J$7-Inputs!$I$7)))^2+Inputs!$C$6^2+((Inputs!$H$7+Inputs!$L$7*(((Inputs!$I$7+(((A206)+1)/2)*(Inputs!$J$7-Inputs!$I$7)))/Inputs!$K$7)^2))^2)))))/Inputs!$C$13)</x:f>
        <x:v>-2505.906141945731</x:v>
      </x:c>
      <x:c r="AN206" s="48" t="n">
        <x:f>(-2*((1000*((((Inputs!$I$8+(((A206)+1)/2)*(Inputs!$J$8-Inputs!$I$8)))*Inputs!$C$11+((Inputs!$H$8+Inputs!$L$8*(((Inputs!$I$8+(((A206)+1)/2)*(Inputs!$J$8-Inputs!$I$8)))/Inputs!$K$8)^2))*((2*Inputs!$L$8*((Inputs!$I$8+(((A206)+1)/2)*(Inputs!$J$8-Inputs!$I$8)))/(Inputs!$K$8^2)*Inputs!$C$11)))/(SQRT(((Inputs!$I$8+(((A206)+1)/2)*(Inputs!$J$8-Inputs!$I$8)))^2+Inputs!$C$6^2+((Inputs!$H$8+Inputs!$L$8*(((Inputs!$I$8+(((A206)+1)/2)*(Inputs!$J$8-Inputs!$I$8)))/Inputs!$K$8)^2))^2)))))/Inputs!$C$13)</x:f>
        <x:v>-2998.703460997543</x:v>
      </x:c>
      <x:c r="AO206" s="48" t="n">
        <x:f>(-2*((1000*((((Inputs!$I$9+(((A206)+1)/2)*(Inputs!$J$9-Inputs!$I$9)))*Inputs!$C$11+((Inputs!$H$9+Inputs!$L$9*(((Inputs!$I$9+(((A206)+1)/2)*(Inputs!$J$9-Inputs!$I$9)))/Inputs!$K$9)^2))*((2*Inputs!$L$9*((Inputs!$I$9+(((A206)+1)/2)*(Inputs!$J$9-Inputs!$I$9)))/(Inputs!$K$9^2)*Inputs!$C$11)))/(SQRT(((Inputs!$I$9+(((A206)+1)/2)*(Inputs!$J$9-Inputs!$I$9)))^2+Inputs!$C$6^2+((Inputs!$H$9+Inputs!$L$9*(((Inputs!$I$9+(((A206)+1)/2)*(Inputs!$J$9-Inputs!$I$9)))/Inputs!$K$9)^2))^2)))))/Inputs!$C$13)</x:f>
        <x:v>-3012.6963981960357</x:v>
      </x:c>
    </x:row>
    <x:row r="207">
      <x:c r="A207" s="48" t="n">
        <x:f>ROUND(-1+205*2/240,3)</x:f>
        <x:v>0.708</x:v>
      </x:c>
      <x:c r="B207" s="48" t="n">
        <x:f>IF(OR(Inputs!$F$6=TRUE,Inputs!$F$6="TRUE",Inputs!$F$6=1),(Inputs!$H$6+Inputs!$L$6*(((Inputs!$I$6+(((A207)+1)/2)*(Inputs!$J$6-Inputs!$I$6)))/Inputs!$K$6)^2),NA())</x:f>
        <x:v>402.005056</x:v>
      </x:c>
      <x:c r="C207" s="48" t="n">
        <x:f>IF(OR(Inputs!$F$7=TRUE,Inputs!$F$7="TRUE",Inputs!$F$7=1),(Inputs!$H$7+Inputs!$L$7*(((Inputs!$I$7+(((A207)+1)/2)*(Inputs!$J$7-Inputs!$I$7)))/Inputs!$K$7)^2),NA())</x:f>
        <x:v>217.96135999999993</x:v>
      </x:c>
      <x:c r="D207" s="48" t="n">
        <x:f>IF(OR(Inputs!$F$8=TRUE,Inputs!$F$8="TRUE",Inputs!$F$8=1),(Inputs!$H$8+Inputs!$L$8*(((Inputs!$I$8+(((A207)+1)/2)*(Inputs!$J$8-Inputs!$I$8)))/Inputs!$K$8)^2),NA())</x:f>
        <x:v>518.7197599999998</x:v>
      </x:c>
      <x:c r="E207" s="48" t="n">
        <x:f>IF(OR(Inputs!$F$9=TRUE,Inputs!$F$9="TRUE",Inputs!$F$9=1),(Inputs!$H$9+Inputs!$L$9*(((Inputs!$I$9+(((A207)+1)/2)*(Inputs!$J$9-Inputs!$I$9)))/Inputs!$K$9)^2),NA())</x:f>
        <x:v>513.7323999999999</x:v>
      </x:c>
      <x:c r="F207" s="49"/>
      <x:c r="G207" s="48" t="n">
        <x:f>A207</x:f>
        <x:v>0.708</x:v>
      </x:c>
      <x:c r="H207" s="48" t="n">
        <x:f>IF(OR(Inputs!$F$6=TRUE,Inputs!$F$6="TRUE",Inputs!$F$6=1),(((SQRT(((Inputs!$I$6+(((A207)+1)/2)*(Inputs!$J$6-Inputs!$I$6)))^2+Inputs!$C$6^2+((Inputs!$H$6+Inputs!$L$6*(((Inputs!$I$6+(((A207)+1)/2)*(Inputs!$J$6-Inputs!$I$6)))/Inputs!$K$6)^2))^2))-((Inputs!$H$6+Inputs!$L$6*(((Inputs!$I$6+(((A207)+1)/2)*(Inputs!$J$6-Inputs!$I$6)))/Inputs!$K$6)^2)))*1000/Inputs!$C$12),NA())</x:f>
        <x:v>1691.3024323785614</x:v>
      </x:c>
      <x:c r="I207" s="48" t="n">
        <x:f>IF(OR(Inputs!$F$7=TRUE,Inputs!$F$7="TRUE",Inputs!$F$7=1),(((SQRT(((Inputs!$I$7+(((A207)+1)/2)*(Inputs!$J$7-Inputs!$I$7)))^2+Inputs!$C$6^2+((Inputs!$H$7+Inputs!$L$7*(((Inputs!$I$7+(((A207)+1)/2)*(Inputs!$J$7-Inputs!$I$7)))/Inputs!$K$7)^2))^2))-((Inputs!$H$7+Inputs!$L$7*(((Inputs!$I$7+(((A207)+1)/2)*(Inputs!$J$7-Inputs!$I$7)))/Inputs!$K$7)^2)))*1000/Inputs!$C$12),NA())</x:f>
        <x:v>78807.04608598976</x:v>
      </x:c>
      <x:c r="J207" s="48" t="n">
        <x:f>IF(OR(Inputs!$F$8=TRUE,Inputs!$F$8="TRUE",Inputs!$F$8=1),(((SQRT(((Inputs!$I$8+(((A207)+1)/2)*(Inputs!$J$8-Inputs!$I$8)))^2+Inputs!$C$6^2+((Inputs!$H$8+Inputs!$L$8*(((Inputs!$I$8+(((A207)+1)/2)*(Inputs!$J$8-Inputs!$I$8)))/Inputs!$K$8)^2))^2))-((Inputs!$H$8+Inputs!$L$8*(((Inputs!$I$8+(((A207)+1)/2)*(Inputs!$J$8-Inputs!$I$8)))/Inputs!$K$8)^2)))*1000/Inputs!$C$12),NA())</x:f>
        <x:v>140293.77417289224</x:v>
      </x:c>
      <x:c r="K207" s="48" t="n">
        <x:f>IF(OR(Inputs!$F$9=TRUE,Inputs!$F$9="TRUE",Inputs!$F$9=1),(((SQRT(((Inputs!$I$9+(((A207)+1)/2)*(Inputs!$J$9-Inputs!$I$9)))^2+Inputs!$C$6^2+((Inputs!$H$9+Inputs!$L$9*(((Inputs!$I$9+(((A207)+1)/2)*(Inputs!$J$9-Inputs!$I$9)))/Inputs!$K$9)^2))^2))-((Inputs!$H$9+Inputs!$L$9*(((Inputs!$I$9+(((A207)+1)/2)*(Inputs!$J$9-Inputs!$I$9)))/Inputs!$K$9)^2)))*1000/Inputs!$C$12),NA())</x:f>
        <x:v>141209.28236686115</x:v>
      </x:c>
      <x:c r="L207" s="49"/>
      <x:c r="M207" s="48" t="n">
        <x:f>A207</x:f>
        <x:v>0.708</x:v>
      </x:c>
      <x:c r="N207" s="48" t="n">
        <x:f>IF(OR(Inputs!$F$6=TRUE,Inputs!$F$6="TRUE",Inputs!$F$6=1),(-2*((1000*((((Inputs!$I$6+(((A207)+1)/2)*(Inputs!$J$6-Inputs!$I$6)))*Inputs!$C$11+((Inputs!$H$6+Inputs!$L$6*(((Inputs!$I$6+(((A207)+1)/2)*(Inputs!$J$6-Inputs!$I$6)))/Inputs!$K$6)^2))*((2*Inputs!$L$6*((Inputs!$I$6+(((A207)+1)/2)*(Inputs!$J$6-Inputs!$I$6)))/(Inputs!$K$6^2)*Inputs!$C$11)))/(SQRT(((Inputs!$I$6+(((A207)+1)/2)*(Inputs!$J$6-Inputs!$I$6)))^2+Inputs!$C$6^2+((Inputs!$H$6+Inputs!$L$6*(((Inputs!$I$6+(((A207)+1)/2)*(Inputs!$J$6-Inputs!$I$6)))/Inputs!$K$6)^2))^2)))))/Inputs!$C$13),NA())</x:f>
        <x:v>-317.7330745150665</x:v>
      </x:c>
      <x:c r="O207" s="48" t="n">
        <x:f>IF(OR(Inputs!$F$7=TRUE,Inputs!$F$7="TRUE",Inputs!$F$7=1),(-2*((1000*((((Inputs!$I$7+(((A207)+1)/2)*(Inputs!$J$7-Inputs!$I$7)))*Inputs!$C$11+((Inputs!$H$7+Inputs!$L$7*(((Inputs!$I$7+(((A207)+1)/2)*(Inputs!$J$7-Inputs!$I$7)))/Inputs!$K$7)^2))*((2*Inputs!$L$7*((Inputs!$I$7+(((A207)+1)/2)*(Inputs!$J$7-Inputs!$I$7)))/(Inputs!$K$7^2)*Inputs!$C$11)))/(SQRT(((Inputs!$I$7+(((A207)+1)/2)*(Inputs!$J$7-Inputs!$I$7)))^2+Inputs!$C$6^2+((Inputs!$H$7+Inputs!$L$7*(((Inputs!$I$7+(((A207)+1)/2)*(Inputs!$J$7-Inputs!$I$7)))/Inputs!$K$7)^2))^2)))))/Inputs!$C$13),NA())</x:f>
        <x:v>-2522.693975374485</x:v>
      </x:c>
      <x:c r="P207" s="48" t="n">
        <x:f>IF(OR(Inputs!$F$8=TRUE,Inputs!$F$8="TRUE",Inputs!$F$8=1),(-2*((1000*((((Inputs!$I$8+(((A207)+1)/2)*(Inputs!$J$8-Inputs!$I$8)))*Inputs!$C$11+((Inputs!$H$8+Inputs!$L$8*(((Inputs!$I$8+(((A207)+1)/2)*(Inputs!$J$8-Inputs!$I$8)))/Inputs!$K$8)^2))*((2*Inputs!$L$8*((Inputs!$I$8+(((A207)+1)/2)*(Inputs!$J$8-Inputs!$I$8)))/(Inputs!$K$8^2)*Inputs!$C$11)))/(SQRT(((Inputs!$I$8+(((A207)+1)/2)*(Inputs!$J$8-Inputs!$I$8)))^2+Inputs!$C$6^2+((Inputs!$H$8+Inputs!$L$8*(((Inputs!$I$8+(((A207)+1)/2)*(Inputs!$J$8-Inputs!$I$8)))/Inputs!$K$8)^2))^2)))))/Inputs!$C$13),NA())</x:f>
        <x:v>-3024.088750084865</x:v>
      </x:c>
      <x:c r="Q207" s="48" t="n">
        <x:f>IF(OR(Inputs!$F$9=TRUE,Inputs!$F$9="TRUE",Inputs!$F$9=1),(-2*((1000*((((Inputs!$I$9+(((A207)+1)/2)*(Inputs!$J$9-Inputs!$I$9)))*Inputs!$C$11+((Inputs!$H$9+Inputs!$L$9*(((Inputs!$I$9+(((A207)+1)/2)*(Inputs!$J$9-Inputs!$I$9)))/Inputs!$K$9)^2))*((2*Inputs!$L$9*((Inputs!$I$9+(((A207)+1)/2)*(Inputs!$J$9-Inputs!$I$9)))/(Inputs!$K$9^2)*Inputs!$C$11)))/(SQRT(((Inputs!$I$9+(((A207)+1)/2)*(Inputs!$J$9-Inputs!$I$9)))^2+Inputs!$C$6^2+((Inputs!$H$9+Inputs!$L$9*(((Inputs!$I$9+(((A207)+1)/2)*(Inputs!$J$9-Inputs!$I$9)))/Inputs!$K$9)^2))^2)))))/Inputs!$C$13),NA())</x:f>
        <x:v>-3038.5619088403914</x:v>
      </x:c>
      <x:c r="R207" s="49"/>
      <x:c r="S207" s="48" t="n">
        <x:f>A207</x:f>
        <x:v>0.708</x:v>
      </x:c>
      <x:c r="T207" s="48" t="n">
        <x:f>(Inputs!$I$6+(((A207)+1)/2)*(Inputs!$J$6-Inputs!$I$6))</x:f>
        <x:v>42.480000000000004</x:v>
      </x:c>
      <x:c r="U207" s="48" t="n">
        <x:f>(Inputs!$I$7+(((A207)+1)/2)*(Inputs!$J$7-Inputs!$I$7))</x:f>
        <x:v>283.19999999999993</x:v>
      </x:c>
      <x:c r="V207" s="48" t="n">
        <x:f>(Inputs!$I$8+(((A207)+1)/2)*(Inputs!$J$8-Inputs!$I$8))</x:f>
        <x:v>566.3999999999999</x:v>
      </x:c>
      <x:c r="W207" s="48" t="n">
        <x:f>(Inputs!$I$9+(((A207)+1)/2)*(Inputs!$J$9-Inputs!$I$9))</x:f>
        <x:v>566.3999999999999</x:v>
      </x:c>
      <x:c r="X207" s="49"/>
      <x:c r="Y207" s="48" t="n">
        <x:f>A207</x:f>
        <x:v>0.708</x:v>
      </x:c>
      <x:c r="Z207" s="48" t="n">
        <x:f>(Inputs!$H$6+Inputs!$L$6*(((Inputs!$I$6+(((A207)+1)/2)*(Inputs!$J$6-Inputs!$I$6)))/Inputs!$K$6)^2)</x:f>
        <x:v>402.005056</x:v>
      </x:c>
      <x:c r="AA207" s="48" t="n">
        <x:f>(Inputs!$H$7+Inputs!$L$7*(((Inputs!$I$7+(((A207)+1)/2)*(Inputs!$J$7-Inputs!$I$7)))/Inputs!$K$7)^2)</x:f>
        <x:v>217.96135999999993</x:v>
      </x:c>
      <x:c r="AB207" s="48" t="n">
        <x:f>(Inputs!$H$8+Inputs!$L$8*(((Inputs!$I$8+(((A207)+1)/2)*(Inputs!$J$8-Inputs!$I$8)))/Inputs!$K$8)^2)</x:f>
        <x:v>518.7197599999998</x:v>
      </x:c>
      <x:c r="AC207" s="48" t="n">
        <x:f>(Inputs!$H$9+Inputs!$L$9*(((Inputs!$I$9+(((A207)+1)/2)*(Inputs!$J$9-Inputs!$I$9)))/Inputs!$K$9)^2)</x:f>
        <x:v>513.7323999999999</x:v>
      </x:c>
      <x:c r="AD207" s="49"/>
      <x:c r="AE207" s="48" t="n">
        <x:f>A207</x:f>
        <x:v>0.708</x:v>
      </x:c>
      <x:c r="AF207" s="48" t="n">
        <x:f>(((SQRT(((Inputs!$I$6+(((A207)+1)/2)*(Inputs!$J$6-Inputs!$I$6)))^2+Inputs!$C$6^2+((Inputs!$H$6+Inputs!$L$6*(((Inputs!$I$6+(((A207)+1)/2)*(Inputs!$J$6-Inputs!$I$6)))/Inputs!$K$6)^2))^2))-((Inputs!$H$6+Inputs!$L$6*(((Inputs!$I$6+(((A207)+1)/2)*(Inputs!$J$6-Inputs!$I$6)))/Inputs!$K$6)^2)))*1000/Inputs!$C$12)</x:f>
        <x:v>1691.3024323785614</x:v>
      </x:c>
      <x:c r="AG207" s="48" t="n">
        <x:f>(((SQRT(((Inputs!$I$7+(((A207)+1)/2)*(Inputs!$J$7-Inputs!$I$7)))^2+Inputs!$C$6^2+((Inputs!$H$7+Inputs!$L$7*(((Inputs!$I$7+(((A207)+1)/2)*(Inputs!$J$7-Inputs!$I$7)))/Inputs!$K$7)^2))^2))-((Inputs!$H$7+Inputs!$L$7*(((Inputs!$I$7+(((A207)+1)/2)*(Inputs!$J$7-Inputs!$I$7)))/Inputs!$K$7)^2)))*1000/Inputs!$C$12)</x:f>
        <x:v>78807.04608598976</x:v>
      </x:c>
      <x:c r="AH207" s="48" t="n">
        <x:f>(((SQRT(((Inputs!$I$8+(((A207)+1)/2)*(Inputs!$J$8-Inputs!$I$8)))^2+Inputs!$C$6^2+((Inputs!$H$8+Inputs!$L$8*(((Inputs!$I$8+(((A207)+1)/2)*(Inputs!$J$8-Inputs!$I$8)))/Inputs!$K$8)^2))^2))-((Inputs!$H$8+Inputs!$L$8*(((Inputs!$I$8+(((A207)+1)/2)*(Inputs!$J$8-Inputs!$I$8)))/Inputs!$K$8)^2)))*1000/Inputs!$C$12)</x:f>
        <x:v>140293.77417289224</x:v>
      </x:c>
      <x:c r="AI207" s="48" t="n">
        <x:f>(((SQRT(((Inputs!$I$9+(((A207)+1)/2)*(Inputs!$J$9-Inputs!$I$9)))^2+Inputs!$C$6^2+((Inputs!$H$9+Inputs!$L$9*(((Inputs!$I$9+(((A207)+1)/2)*(Inputs!$J$9-Inputs!$I$9)))/Inputs!$K$9)^2))^2))-((Inputs!$H$9+Inputs!$L$9*(((Inputs!$I$9+(((A207)+1)/2)*(Inputs!$J$9-Inputs!$I$9)))/Inputs!$K$9)^2)))*1000/Inputs!$C$12)</x:f>
        <x:v>141209.28236686115</x:v>
      </x:c>
      <x:c r="AJ207" s="49"/>
      <x:c r="AK207" s="48" t="n">
        <x:f>A207</x:f>
        <x:v>0.708</x:v>
      </x:c>
      <x:c r="AL207" s="48" t="n">
        <x:f>(-2*((1000*((((Inputs!$I$6+(((A207)+1)/2)*(Inputs!$J$6-Inputs!$I$6)))*Inputs!$C$11+((Inputs!$H$6+Inputs!$L$6*(((Inputs!$I$6+(((A207)+1)/2)*(Inputs!$J$6-Inputs!$I$6)))/Inputs!$K$6)^2))*((2*Inputs!$L$6*((Inputs!$I$6+(((A207)+1)/2)*(Inputs!$J$6-Inputs!$I$6)))/(Inputs!$K$6^2)*Inputs!$C$11)))/(SQRT(((Inputs!$I$6+(((A207)+1)/2)*(Inputs!$J$6-Inputs!$I$6)))^2+Inputs!$C$6^2+((Inputs!$H$6+Inputs!$L$6*(((Inputs!$I$6+(((A207)+1)/2)*(Inputs!$J$6-Inputs!$I$6)))/Inputs!$K$6)^2))^2)))))/Inputs!$C$13)</x:f>
        <x:v>-317.7330745150665</x:v>
      </x:c>
      <x:c r="AM207" s="48" t="n">
        <x:f>(-2*((1000*((((Inputs!$I$7+(((A207)+1)/2)*(Inputs!$J$7-Inputs!$I$7)))*Inputs!$C$11+((Inputs!$H$7+Inputs!$L$7*(((Inputs!$I$7+(((A207)+1)/2)*(Inputs!$J$7-Inputs!$I$7)))/Inputs!$K$7)^2))*((2*Inputs!$L$7*((Inputs!$I$7+(((A207)+1)/2)*(Inputs!$J$7-Inputs!$I$7)))/(Inputs!$K$7^2)*Inputs!$C$11)))/(SQRT(((Inputs!$I$7+(((A207)+1)/2)*(Inputs!$J$7-Inputs!$I$7)))^2+Inputs!$C$6^2+((Inputs!$H$7+Inputs!$L$7*(((Inputs!$I$7+(((A207)+1)/2)*(Inputs!$J$7-Inputs!$I$7)))/Inputs!$K$7)^2))^2)))))/Inputs!$C$13)</x:f>
        <x:v>-2522.693975374485</x:v>
      </x:c>
      <x:c r="AN207" s="48" t="n">
        <x:f>(-2*((1000*((((Inputs!$I$8+(((A207)+1)/2)*(Inputs!$J$8-Inputs!$I$8)))*Inputs!$C$11+((Inputs!$H$8+Inputs!$L$8*(((Inputs!$I$8+(((A207)+1)/2)*(Inputs!$J$8-Inputs!$I$8)))/Inputs!$K$8)^2))*((2*Inputs!$L$8*((Inputs!$I$8+(((A207)+1)/2)*(Inputs!$J$8-Inputs!$I$8)))/(Inputs!$K$8^2)*Inputs!$C$11)))/(SQRT(((Inputs!$I$8+(((A207)+1)/2)*(Inputs!$J$8-Inputs!$I$8)))^2+Inputs!$C$6^2+((Inputs!$H$8+Inputs!$L$8*(((Inputs!$I$8+(((A207)+1)/2)*(Inputs!$J$8-Inputs!$I$8)))/Inputs!$K$8)^2))^2)))))/Inputs!$C$13)</x:f>
        <x:v>-3024.088750084865</x:v>
      </x:c>
      <x:c r="AO207" s="48" t="n">
        <x:f>(-2*((1000*((((Inputs!$I$9+(((A207)+1)/2)*(Inputs!$J$9-Inputs!$I$9)))*Inputs!$C$11+((Inputs!$H$9+Inputs!$L$9*(((Inputs!$I$9+(((A207)+1)/2)*(Inputs!$J$9-Inputs!$I$9)))/Inputs!$K$9)^2))*((2*Inputs!$L$9*((Inputs!$I$9+(((A207)+1)/2)*(Inputs!$J$9-Inputs!$I$9)))/(Inputs!$K$9^2)*Inputs!$C$11)))/(SQRT(((Inputs!$I$9+(((A207)+1)/2)*(Inputs!$J$9-Inputs!$I$9)))^2+Inputs!$C$6^2+((Inputs!$H$9+Inputs!$L$9*(((Inputs!$I$9+(((A207)+1)/2)*(Inputs!$J$9-Inputs!$I$9)))/Inputs!$K$9)^2))^2)))))/Inputs!$C$13)</x:f>
        <x:v>-3038.5619088403914</x:v>
      </x:c>
    </x:row>
    <x:row r="208">
      <x:c r="A208" s="48" t="n">
        <x:f>ROUND(-1+206*2/240,3)</x:f>
        <x:v>0.717</x:v>
      </x:c>
      <x:c r="B208" s="48" t="n">
        <x:f>IF(OR(Inputs!$F$6=TRUE,Inputs!$F$6="TRUE",Inputs!$F$6=1),(Inputs!$H$6+Inputs!$L$6*(((Inputs!$I$6+(((A208)+1)/2)*(Inputs!$J$6-Inputs!$I$6)))/Inputs!$K$6)^2),NA())</x:f>
        <x:v>402.056356</x:v>
      </x:c>
      <x:c r="C208" s="48" t="n">
        <x:f>IF(OR(Inputs!$F$7=TRUE,Inputs!$F$7="TRUE",Inputs!$F$7=1),(Inputs!$H$7+Inputs!$L$7*(((Inputs!$I$7+(((A208)+1)/2)*(Inputs!$J$7-Inputs!$I$7)))/Inputs!$K$7)^2),NA())</x:f>
        <x:v>222.64248500000008</x:v>
      </x:c>
      <x:c r="D208" s="48" t="n">
        <x:f>IF(OR(Inputs!$F$8=TRUE,Inputs!$F$8="TRUE",Inputs!$F$8=1),(Inputs!$H$8+Inputs!$L$8*(((Inputs!$I$8+(((A208)+1)/2)*(Inputs!$J$8-Inputs!$I$8)))/Inputs!$K$8)^2),NA())</x:f>
        <x:v>531.0958850000002</x:v>
      </x:c>
      <x:c r="E208" s="48" t="n">
        <x:f>IF(OR(Inputs!$F$9=TRUE,Inputs!$F$9="TRUE",Inputs!$F$9=1),(Inputs!$H$9+Inputs!$L$9*(((Inputs!$I$9+(((A208)+1)/2)*(Inputs!$J$9-Inputs!$I$9)))/Inputs!$K$9)^2),NA())</x:f>
        <x:v>526.2367750000003</x:v>
      </x:c>
      <x:c r="F208" s="49"/>
      <x:c r="G208" s="48" t="n">
        <x:f>A208</x:f>
        <x:v>0.717</x:v>
      </x:c>
      <x:c r="H208" s="48" t="n">
        <x:f>IF(OR(Inputs!$F$6=TRUE,Inputs!$F$6="TRUE",Inputs!$F$6=1),(((SQRT(((Inputs!$I$6+(((A208)+1)/2)*(Inputs!$J$6-Inputs!$I$6)))^2+Inputs!$C$6^2+((Inputs!$H$6+Inputs!$L$6*(((Inputs!$I$6+(((A208)+1)/2)*(Inputs!$J$6-Inputs!$I$6)))/Inputs!$K$6)^2))^2))-((Inputs!$H$6+Inputs!$L$6*(((Inputs!$I$6+(((A208)+1)/2)*(Inputs!$J$6-Inputs!$I$6)))/Inputs!$K$6)^2)))*1000/Inputs!$C$12),NA())</x:f>
        <x:v>1723.1031993090069</x:v>
      </x:c>
      <x:c r="I208" s="48" t="n">
        <x:f>IF(OR(Inputs!$F$7=TRUE,Inputs!$F$7="TRUE",Inputs!$F$7=1),(((SQRT(((Inputs!$I$7+(((A208)+1)/2)*(Inputs!$J$7-Inputs!$I$7)))^2+Inputs!$C$6^2+((Inputs!$H$7+Inputs!$L$7*(((Inputs!$I$7+(((A208)+1)/2)*(Inputs!$J$7-Inputs!$I$7)))/Inputs!$K$7)^2))^2))-((Inputs!$H$7+Inputs!$L$7*(((Inputs!$I$7+(((A208)+1)/2)*(Inputs!$J$7-Inputs!$I$7)))/Inputs!$K$7)^2)))*1000/Inputs!$C$12),NA())</x:f>
        <x:v>79377.9964064176</x:v>
      </x:c>
      <x:c r="J208" s="48" t="n">
        <x:f>IF(OR(Inputs!$F$8=TRUE,Inputs!$F$8="TRUE",Inputs!$F$8=1),(((SQRT(((Inputs!$I$8+(((A208)+1)/2)*(Inputs!$J$8-Inputs!$I$8)))^2+Inputs!$C$6^2+((Inputs!$H$8+Inputs!$L$8*(((Inputs!$I$8+(((A208)+1)/2)*(Inputs!$J$8-Inputs!$I$8)))/Inputs!$K$8)^2))^2))-((Inputs!$H$8+Inputs!$L$8*(((Inputs!$I$8+(((A208)+1)/2)*(Inputs!$J$8-Inputs!$I$8)))/Inputs!$K$8)^2)))*1000/Inputs!$C$12),NA())</x:f>
        <x:v>141022.30723672023</x:v>
      </x:c>
      <x:c r="K208" s="48" t="n">
        <x:f>IF(OR(Inputs!$F$9=TRUE,Inputs!$F$9="TRUE",Inputs!$F$9=1),(((SQRT(((Inputs!$I$9+(((A208)+1)/2)*(Inputs!$J$9-Inputs!$I$9)))^2+Inputs!$C$6^2+((Inputs!$H$9+Inputs!$L$9*(((Inputs!$I$9+(((A208)+1)/2)*(Inputs!$J$9-Inputs!$I$9)))/Inputs!$K$9)^2))^2))-((Inputs!$H$9+Inputs!$L$9*(((Inputs!$I$9+(((A208)+1)/2)*(Inputs!$J$9-Inputs!$I$9)))/Inputs!$K$9)^2)))*1000/Inputs!$C$12),NA())</x:f>
        <x:v>141903.03652036257</x:v>
      </x:c>
      <x:c r="L208" s="49"/>
      <x:c r="M208" s="48" t="n">
        <x:f>A208</x:f>
        <x:v>0.717</x:v>
      </x:c>
      <x:c r="N208" s="48" t="n">
        <x:f>IF(OR(Inputs!$F$6=TRUE,Inputs!$F$6="TRUE",Inputs!$F$6=1),(-2*((1000*((((Inputs!$I$6+(((A208)+1)/2)*(Inputs!$J$6-Inputs!$I$6)))*Inputs!$C$11+((Inputs!$H$6+Inputs!$L$6*(((Inputs!$I$6+(((A208)+1)/2)*(Inputs!$J$6-Inputs!$I$6)))/Inputs!$K$6)^2))*((2*Inputs!$L$6*((Inputs!$I$6+(((A208)+1)/2)*(Inputs!$J$6-Inputs!$I$6)))/(Inputs!$K$6^2)*Inputs!$C$11)))/(SQRT(((Inputs!$I$6+(((A208)+1)/2)*(Inputs!$J$6-Inputs!$I$6)))^2+Inputs!$C$6^2+((Inputs!$H$6+Inputs!$L$6*(((Inputs!$I$6+(((A208)+1)/2)*(Inputs!$J$6-Inputs!$I$6)))/Inputs!$K$6)^2))^2)))))/Inputs!$C$13),NA())</x:f>
        <x:v>-321.7057187402573</x:v>
      </x:c>
      <x:c r="O208" s="48" t="n">
        <x:f>IF(OR(Inputs!$F$7=TRUE,Inputs!$F$7="TRUE",Inputs!$F$7=1),(-2*((1000*((((Inputs!$I$7+(((A208)+1)/2)*(Inputs!$J$7-Inputs!$I$7)))*Inputs!$C$11+((Inputs!$H$7+Inputs!$L$7*(((Inputs!$I$7+(((A208)+1)/2)*(Inputs!$J$7-Inputs!$I$7)))/Inputs!$K$7)^2))*((2*Inputs!$L$7*((Inputs!$I$7+(((A208)+1)/2)*(Inputs!$J$7-Inputs!$I$7)))/(Inputs!$K$7^2)*Inputs!$C$11)))/(SQRT(((Inputs!$I$7+(((A208)+1)/2)*(Inputs!$J$7-Inputs!$I$7)))^2+Inputs!$C$6^2+((Inputs!$H$7+Inputs!$L$7*(((Inputs!$I$7+(((A208)+1)/2)*(Inputs!$J$7-Inputs!$I$7)))/Inputs!$K$7)^2))^2)))))/Inputs!$C$13),NA())</x:f>
        <x:v>-2541.6967384343857</x:v>
      </x:c>
      <x:c r="P208" s="48" t="n">
        <x:f>IF(OR(Inputs!$F$8=TRUE,Inputs!$F$8="TRUE",Inputs!$F$8=1),(-2*((1000*((((Inputs!$I$8+(((A208)+1)/2)*(Inputs!$J$8-Inputs!$I$8)))*Inputs!$C$11+((Inputs!$H$8+Inputs!$L$8*(((Inputs!$I$8+(((A208)+1)/2)*(Inputs!$J$8-Inputs!$I$8)))/Inputs!$K$8)^2))*((2*Inputs!$L$8*((Inputs!$I$8+(((A208)+1)/2)*(Inputs!$J$8-Inputs!$I$8)))/(Inputs!$K$8^2)*Inputs!$C$11)))/(SQRT(((Inputs!$I$8+(((A208)+1)/2)*(Inputs!$J$8-Inputs!$I$8)))^2+Inputs!$C$6^2+((Inputs!$H$8+Inputs!$L$8*(((Inputs!$I$8+(((A208)+1)/2)*(Inputs!$J$8-Inputs!$I$8)))/Inputs!$K$8)^2))^2)))))/Inputs!$C$13),NA())</x:f>
        <x:v>-3052.7860817865867</x:v>
      </x:c>
      <x:c r="Q208" s="48" t="n">
        <x:f>IF(OR(Inputs!$F$9=TRUE,Inputs!$F$9="TRUE",Inputs!$F$9=1),(-2*((1000*((((Inputs!$I$9+(((A208)+1)/2)*(Inputs!$J$9-Inputs!$I$9)))*Inputs!$C$11+((Inputs!$H$9+Inputs!$L$9*(((Inputs!$I$9+(((A208)+1)/2)*(Inputs!$J$9-Inputs!$I$9)))/Inputs!$K$9)^2))*((2*Inputs!$L$9*((Inputs!$I$9+(((A208)+1)/2)*(Inputs!$J$9-Inputs!$I$9)))/(Inputs!$K$9^2)*Inputs!$C$11)))/(SQRT(((Inputs!$I$9+(((A208)+1)/2)*(Inputs!$J$9-Inputs!$I$9)))^2+Inputs!$C$6^2+((Inputs!$H$9+Inputs!$L$9*(((Inputs!$I$9+(((A208)+1)/2)*(Inputs!$J$9-Inputs!$I$9)))/Inputs!$K$9)^2))^2)))))/Inputs!$C$13),NA())</x:f>
        <x:v>-3067.7988116821703</x:v>
      </x:c>
      <x:c r="R208" s="49"/>
      <x:c r="S208" s="48" t="n">
        <x:f>A208</x:f>
        <x:v>0.717</x:v>
      </x:c>
      <x:c r="T208" s="48" t="n">
        <x:f>(Inputs!$I$6+(((A208)+1)/2)*(Inputs!$J$6-Inputs!$I$6))</x:f>
        <x:v>43.02000000000001</x:v>
      </x:c>
      <x:c r="U208" s="48" t="n">
        <x:f>(Inputs!$I$7+(((A208)+1)/2)*(Inputs!$J$7-Inputs!$I$7))</x:f>
        <x:v>286.80000000000007</x:v>
      </x:c>
      <x:c r="V208" s="48" t="n">
        <x:f>(Inputs!$I$8+(((A208)+1)/2)*(Inputs!$J$8-Inputs!$I$8))</x:f>
        <x:v>573.6000000000001</x:v>
      </x:c>
      <x:c r="W208" s="48" t="n">
        <x:f>(Inputs!$I$9+(((A208)+1)/2)*(Inputs!$J$9-Inputs!$I$9))</x:f>
        <x:v>573.6000000000001</x:v>
      </x:c>
      <x:c r="X208" s="49"/>
      <x:c r="Y208" s="48" t="n">
        <x:f>A208</x:f>
        <x:v>0.717</x:v>
      </x:c>
      <x:c r="Z208" s="48" t="n">
        <x:f>(Inputs!$H$6+Inputs!$L$6*(((Inputs!$I$6+(((A208)+1)/2)*(Inputs!$J$6-Inputs!$I$6)))/Inputs!$K$6)^2)</x:f>
        <x:v>402.056356</x:v>
      </x:c>
      <x:c r="AA208" s="48" t="n">
        <x:f>(Inputs!$H$7+Inputs!$L$7*(((Inputs!$I$7+(((A208)+1)/2)*(Inputs!$J$7-Inputs!$I$7)))/Inputs!$K$7)^2)</x:f>
        <x:v>222.64248500000008</x:v>
      </x:c>
      <x:c r="AB208" s="48" t="n">
        <x:f>(Inputs!$H$8+Inputs!$L$8*(((Inputs!$I$8+(((A208)+1)/2)*(Inputs!$J$8-Inputs!$I$8)))/Inputs!$K$8)^2)</x:f>
        <x:v>531.0958850000002</x:v>
      </x:c>
      <x:c r="AC208" s="48" t="n">
        <x:f>(Inputs!$H$9+Inputs!$L$9*(((Inputs!$I$9+(((A208)+1)/2)*(Inputs!$J$9-Inputs!$I$9)))/Inputs!$K$9)^2)</x:f>
        <x:v>526.2367750000003</x:v>
      </x:c>
      <x:c r="AD208" s="49"/>
      <x:c r="AE208" s="48" t="n">
        <x:f>A208</x:f>
        <x:v>0.717</x:v>
      </x:c>
      <x:c r="AF208" s="48" t="n">
        <x:f>(((SQRT(((Inputs!$I$6+(((A208)+1)/2)*(Inputs!$J$6-Inputs!$I$6)))^2+Inputs!$C$6^2+((Inputs!$H$6+Inputs!$L$6*(((Inputs!$I$6+(((A208)+1)/2)*(Inputs!$J$6-Inputs!$I$6)))/Inputs!$K$6)^2))^2))-((Inputs!$H$6+Inputs!$L$6*(((Inputs!$I$6+(((A208)+1)/2)*(Inputs!$J$6-Inputs!$I$6)))/Inputs!$K$6)^2)))*1000/Inputs!$C$12)</x:f>
        <x:v>1723.1031993090069</x:v>
      </x:c>
      <x:c r="AG208" s="48" t="n">
        <x:f>(((SQRT(((Inputs!$I$7+(((A208)+1)/2)*(Inputs!$J$7-Inputs!$I$7)))^2+Inputs!$C$6^2+((Inputs!$H$7+Inputs!$L$7*(((Inputs!$I$7+(((A208)+1)/2)*(Inputs!$J$7-Inputs!$I$7)))/Inputs!$K$7)^2))^2))-((Inputs!$H$7+Inputs!$L$7*(((Inputs!$I$7+(((A208)+1)/2)*(Inputs!$J$7-Inputs!$I$7)))/Inputs!$K$7)^2)))*1000/Inputs!$C$12)</x:f>
        <x:v>79377.9964064176</x:v>
      </x:c>
      <x:c r="AH208" s="48" t="n">
        <x:f>(((SQRT(((Inputs!$I$8+(((A208)+1)/2)*(Inputs!$J$8-Inputs!$I$8)))^2+Inputs!$C$6^2+((Inputs!$H$8+Inputs!$L$8*(((Inputs!$I$8+(((A208)+1)/2)*(Inputs!$J$8-Inputs!$I$8)))/Inputs!$K$8)^2))^2))-((Inputs!$H$8+Inputs!$L$8*(((Inputs!$I$8+(((A208)+1)/2)*(Inputs!$J$8-Inputs!$I$8)))/Inputs!$K$8)^2)))*1000/Inputs!$C$12)</x:f>
        <x:v>141022.30723672023</x:v>
      </x:c>
      <x:c r="AI208" s="48" t="n">
        <x:f>(((SQRT(((Inputs!$I$9+(((A208)+1)/2)*(Inputs!$J$9-Inputs!$I$9)))^2+Inputs!$C$6^2+((Inputs!$H$9+Inputs!$L$9*(((Inputs!$I$9+(((A208)+1)/2)*(Inputs!$J$9-Inputs!$I$9)))/Inputs!$K$9)^2))^2))-((Inputs!$H$9+Inputs!$L$9*(((Inputs!$I$9+(((A208)+1)/2)*(Inputs!$J$9-Inputs!$I$9)))/Inputs!$K$9)^2)))*1000/Inputs!$C$12)</x:f>
        <x:v>141903.03652036257</x:v>
      </x:c>
      <x:c r="AJ208" s="49"/>
      <x:c r="AK208" s="48" t="n">
        <x:f>A208</x:f>
        <x:v>0.717</x:v>
      </x:c>
      <x:c r="AL208" s="48" t="n">
        <x:f>(-2*((1000*((((Inputs!$I$6+(((A208)+1)/2)*(Inputs!$J$6-Inputs!$I$6)))*Inputs!$C$11+((Inputs!$H$6+Inputs!$L$6*(((Inputs!$I$6+(((A208)+1)/2)*(Inputs!$J$6-Inputs!$I$6)))/Inputs!$K$6)^2))*((2*Inputs!$L$6*((Inputs!$I$6+(((A208)+1)/2)*(Inputs!$J$6-Inputs!$I$6)))/(Inputs!$K$6^2)*Inputs!$C$11)))/(SQRT(((Inputs!$I$6+(((A208)+1)/2)*(Inputs!$J$6-Inputs!$I$6)))^2+Inputs!$C$6^2+((Inputs!$H$6+Inputs!$L$6*(((Inputs!$I$6+(((A208)+1)/2)*(Inputs!$J$6-Inputs!$I$6)))/Inputs!$K$6)^2))^2)))))/Inputs!$C$13)</x:f>
        <x:v>-321.7057187402573</x:v>
      </x:c>
      <x:c r="AM208" s="48" t="n">
        <x:f>(-2*((1000*((((Inputs!$I$7+(((A208)+1)/2)*(Inputs!$J$7-Inputs!$I$7)))*Inputs!$C$11+((Inputs!$H$7+Inputs!$L$7*(((Inputs!$I$7+(((A208)+1)/2)*(Inputs!$J$7-Inputs!$I$7)))/Inputs!$K$7)^2))*((2*Inputs!$L$7*((Inputs!$I$7+(((A208)+1)/2)*(Inputs!$J$7-Inputs!$I$7)))/(Inputs!$K$7^2)*Inputs!$C$11)))/(SQRT(((Inputs!$I$7+(((A208)+1)/2)*(Inputs!$J$7-Inputs!$I$7)))^2+Inputs!$C$6^2+((Inputs!$H$7+Inputs!$L$7*(((Inputs!$I$7+(((A208)+1)/2)*(Inputs!$J$7-Inputs!$I$7)))/Inputs!$K$7)^2))^2)))))/Inputs!$C$13)</x:f>
        <x:v>-2541.6967384343857</x:v>
      </x:c>
      <x:c r="AN208" s="48" t="n">
        <x:f>(-2*((1000*((((Inputs!$I$8+(((A208)+1)/2)*(Inputs!$J$8-Inputs!$I$8)))*Inputs!$C$11+((Inputs!$H$8+Inputs!$L$8*(((Inputs!$I$8+(((A208)+1)/2)*(Inputs!$J$8-Inputs!$I$8)))/Inputs!$K$8)^2))*((2*Inputs!$L$8*((Inputs!$I$8+(((A208)+1)/2)*(Inputs!$J$8-Inputs!$I$8)))/(Inputs!$K$8^2)*Inputs!$C$11)))/(SQRT(((Inputs!$I$8+(((A208)+1)/2)*(Inputs!$J$8-Inputs!$I$8)))^2+Inputs!$C$6^2+((Inputs!$H$8+Inputs!$L$8*(((Inputs!$I$8+(((A208)+1)/2)*(Inputs!$J$8-Inputs!$I$8)))/Inputs!$K$8)^2))^2)))))/Inputs!$C$13)</x:f>
        <x:v>-3052.7860817865867</x:v>
      </x:c>
      <x:c r="AO208" s="48" t="n">
        <x:f>(-2*((1000*((((Inputs!$I$9+(((A208)+1)/2)*(Inputs!$J$9-Inputs!$I$9)))*Inputs!$C$11+((Inputs!$H$9+Inputs!$L$9*(((Inputs!$I$9+(((A208)+1)/2)*(Inputs!$J$9-Inputs!$I$9)))/Inputs!$K$9)^2))*((2*Inputs!$L$9*((Inputs!$I$9+(((A208)+1)/2)*(Inputs!$J$9-Inputs!$I$9)))/(Inputs!$K$9^2)*Inputs!$C$11)))/(SQRT(((Inputs!$I$9+(((A208)+1)/2)*(Inputs!$J$9-Inputs!$I$9)))^2+Inputs!$C$6^2+((Inputs!$H$9+Inputs!$L$9*(((Inputs!$I$9+(((A208)+1)/2)*(Inputs!$J$9-Inputs!$I$9)))/Inputs!$K$9)^2))^2)))))/Inputs!$C$13)</x:f>
        <x:v>-3067.7988116821703</x:v>
      </x:c>
    </x:row>
    <x:row r="209">
      <x:c r="A209" s="48" t="n">
        <x:f>ROUND(-1+207*2/240,3)</x:f>
        <x:v>0.725</x:v>
      </x:c>
      <x:c r="B209" s="48" t="n">
        <x:f>IF(OR(Inputs!$F$6=TRUE,Inputs!$F$6="TRUE",Inputs!$F$6=1),(Inputs!$H$6+Inputs!$L$6*(((Inputs!$I$6+(((A209)+1)/2)*(Inputs!$J$6-Inputs!$I$6)))/Inputs!$K$6)^2),NA())</x:f>
        <x:v>402.1025</x:v>
      </x:c>
      <x:c r="C209" s="48" t="n">
        <x:f>IF(OR(Inputs!$F$7=TRUE,Inputs!$F$7="TRUE",Inputs!$F$7=1),(Inputs!$H$7+Inputs!$L$7*(((Inputs!$I$7+(((A209)+1)/2)*(Inputs!$J$7-Inputs!$I$7)))/Inputs!$K$7)^2),NA())</x:f>
        <x:v>226.853125</x:v>
      </x:c>
      <x:c r="D209" s="48" t="n">
        <x:f>IF(OR(Inputs!$F$8=TRUE,Inputs!$F$8="TRUE",Inputs!$F$8=1),(Inputs!$H$8+Inputs!$L$8*(((Inputs!$I$8+(((A209)+1)/2)*(Inputs!$J$8-Inputs!$I$8)))/Inputs!$K$8)^2),NA())</x:f>
        <x:v>542.2281250000001</x:v>
      </x:c>
      <x:c r="E209" s="48" t="n">
        <x:f>IF(OR(Inputs!$F$9=TRUE,Inputs!$F$9="TRUE",Inputs!$F$9=1),(Inputs!$H$9+Inputs!$L$9*(((Inputs!$I$9+(((A209)+1)/2)*(Inputs!$J$9-Inputs!$I$9)))/Inputs!$K$9)^2),NA())</x:f>
        <x:v>537.484375</x:v>
      </x:c>
      <x:c r="F209" s="49"/>
      <x:c r="G209" s="48" t="n">
        <x:f>A209</x:f>
        <x:v>0.725</x:v>
      </x:c>
      <x:c r="H209" s="48" t="n">
        <x:f>IF(OR(Inputs!$F$6=TRUE,Inputs!$F$6="TRUE",Inputs!$F$6=1),(((SQRT(((Inputs!$I$6+(((A209)+1)/2)*(Inputs!$J$6-Inputs!$I$6)))^2+Inputs!$C$6^2+((Inputs!$H$6+Inputs!$L$6*(((Inputs!$I$6+(((A209)+1)/2)*(Inputs!$J$6-Inputs!$I$6)))/Inputs!$K$6)^2))^2))-((Inputs!$H$6+Inputs!$L$6*(((Inputs!$I$6+(((A209)+1)/2)*(Inputs!$J$6-Inputs!$I$6)))/Inputs!$K$6)^2)))*1000/Inputs!$C$12),NA())</x:f>
        <x:v>1751.6970986344204</x:v>
      </x:c>
      <x:c r="I209" s="48" t="n">
        <x:f>IF(OR(Inputs!$F$7=TRUE,Inputs!$F$7="TRUE",Inputs!$F$7=1),(((SQRT(((Inputs!$I$7+(((A209)+1)/2)*(Inputs!$J$7-Inputs!$I$7)))^2+Inputs!$C$6^2+((Inputs!$H$7+Inputs!$L$7*(((Inputs!$I$7+(((A209)+1)/2)*(Inputs!$J$7-Inputs!$I$7)))/Inputs!$K$7)^2))^2))-((Inputs!$H$7+Inputs!$L$7*(((Inputs!$I$7+(((A209)+1)/2)*(Inputs!$J$7-Inputs!$I$7)))/Inputs!$K$7)^2)))*1000/Inputs!$C$12),NA())</x:f>
        <x:v>79877.84537506936</x:v>
      </x:c>
      <x:c r="J209" s="48" t="n">
        <x:f>IF(OR(Inputs!$F$8=TRUE,Inputs!$F$8="TRUE",Inputs!$F$8=1),(((SQRT(((Inputs!$I$8+(((A209)+1)/2)*(Inputs!$J$8-Inputs!$I$8)))^2+Inputs!$C$6^2+((Inputs!$H$8+Inputs!$L$8*(((Inputs!$I$8+(((A209)+1)/2)*(Inputs!$J$8-Inputs!$I$8)))/Inputs!$K$8)^2))^2))-((Inputs!$H$8+Inputs!$L$8*(((Inputs!$I$8+(((A209)+1)/2)*(Inputs!$J$8-Inputs!$I$8)))/Inputs!$K$8)^2)))*1000/Inputs!$C$12),NA())</x:f>
        <x:v>141657.20933300967</x:v>
      </x:c>
      <x:c r="K209" s="48" t="n">
        <x:f>IF(OR(Inputs!$F$9=TRUE,Inputs!$F$9="TRUE",Inputs!$F$9=1),(((SQRT(((Inputs!$I$9+(((A209)+1)/2)*(Inputs!$J$9-Inputs!$I$9)))^2+Inputs!$C$6^2+((Inputs!$H$9+Inputs!$L$9*(((Inputs!$I$9+(((A209)+1)/2)*(Inputs!$J$9-Inputs!$I$9)))/Inputs!$K$9)^2))^2))-((Inputs!$H$9+Inputs!$L$9*(((Inputs!$I$9+(((A209)+1)/2)*(Inputs!$J$9-Inputs!$I$9)))/Inputs!$K$9)^2)))*1000/Inputs!$C$12),NA())</x:f>
        <x:v>142507.40434762553</x:v>
      </x:c>
      <x:c r="L209" s="49"/>
      <x:c r="M209" s="48" t="n">
        <x:f>A209</x:f>
        <x:v>0.725</x:v>
      </x:c>
      <x:c r="N209" s="48" t="n">
        <x:f>IF(OR(Inputs!$F$6=TRUE,Inputs!$F$6="TRUE",Inputs!$F$6=1),(-2*((1000*((((Inputs!$I$6+(((A209)+1)/2)*(Inputs!$J$6-Inputs!$I$6)))*Inputs!$C$11+((Inputs!$H$6+Inputs!$L$6*(((Inputs!$I$6+(((A209)+1)/2)*(Inputs!$J$6-Inputs!$I$6)))/Inputs!$K$6)^2))*((2*Inputs!$L$6*((Inputs!$I$6+(((A209)+1)/2)*(Inputs!$J$6-Inputs!$I$6)))/(Inputs!$K$6^2)*Inputs!$C$11)))/(SQRT(((Inputs!$I$6+(((A209)+1)/2)*(Inputs!$J$6-Inputs!$I$6)))^2+Inputs!$C$6^2+((Inputs!$H$6+Inputs!$L$6*(((Inputs!$I$6+(((A209)+1)/2)*(Inputs!$J$6-Inputs!$I$6)))/Inputs!$K$6)^2))^2)))))/Inputs!$C$13),NA())</x:f>
        <x:v>-325.2348944756723</x:v>
      </x:c>
      <x:c r="O209" s="48" t="n">
        <x:f>IF(OR(Inputs!$F$7=TRUE,Inputs!$F$7="TRUE",Inputs!$F$7=1),(-2*((1000*((((Inputs!$I$7+(((A209)+1)/2)*(Inputs!$J$7-Inputs!$I$7)))*Inputs!$C$11+((Inputs!$H$7+Inputs!$L$7*(((Inputs!$I$7+(((A209)+1)/2)*(Inputs!$J$7-Inputs!$I$7)))/Inputs!$K$7)^2))*((2*Inputs!$L$7*((Inputs!$I$7+(((A209)+1)/2)*(Inputs!$J$7-Inputs!$I$7)))/(Inputs!$K$7^2)*Inputs!$C$11)))/(SQRT(((Inputs!$I$7+(((A209)+1)/2)*(Inputs!$J$7-Inputs!$I$7)))^2+Inputs!$C$6^2+((Inputs!$H$7+Inputs!$L$7*(((Inputs!$I$7+(((A209)+1)/2)*(Inputs!$J$7-Inputs!$I$7)))/Inputs!$K$7)^2))^2)))))/Inputs!$C$13),NA())</x:f>
        <x:v>-2558.6903700820367</x:v>
      </x:c>
      <x:c r="P209" s="48" t="n">
        <x:f>IF(OR(Inputs!$F$8=TRUE,Inputs!$F$8="TRUE",Inputs!$F$8=1),(-2*((1000*((((Inputs!$I$8+(((A209)+1)/2)*(Inputs!$J$8-Inputs!$I$8)))*Inputs!$C$11+((Inputs!$H$8+Inputs!$L$8*(((Inputs!$I$8+(((A209)+1)/2)*(Inputs!$J$8-Inputs!$I$8)))/Inputs!$K$8)^2))*((2*Inputs!$L$8*((Inputs!$I$8+(((A209)+1)/2)*(Inputs!$J$8-Inputs!$I$8)))/(Inputs!$K$8^2)*Inputs!$C$11)))/(SQRT(((Inputs!$I$8+(((A209)+1)/2)*(Inputs!$J$8-Inputs!$I$8)))^2+Inputs!$C$6^2+((Inputs!$H$8+Inputs!$L$8*(((Inputs!$I$8+(((A209)+1)/2)*(Inputs!$J$8-Inputs!$I$8)))/Inputs!$K$8)^2))^2)))))/Inputs!$C$13),NA())</x:f>
        <x:v>-3078.415487712455</x:v>
      </x:c>
      <x:c r="Q209" s="48" t="n">
        <x:f>IF(OR(Inputs!$F$9=TRUE,Inputs!$F$9="TRUE",Inputs!$F$9=1),(-2*((1000*((((Inputs!$I$9+(((A209)+1)/2)*(Inputs!$J$9-Inputs!$I$9)))*Inputs!$C$11+((Inputs!$H$9+Inputs!$L$9*(((Inputs!$I$9+(((A209)+1)/2)*(Inputs!$J$9-Inputs!$I$9)))/Inputs!$K$9)^2))*((2*Inputs!$L$9*((Inputs!$I$9+(((A209)+1)/2)*(Inputs!$J$9-Inputs!$I$9)))/(Inputs!$K$9^2)*Inputs!$C$11)))/(SQRT(((Inputs!$I$9+(((A209)+1)/2)*(Inputs!$J$9-Inputs!$I$9)))^2+Inputs!$C$6^2+((Inputs!$H$9+Inputs!$L$9*(((Inputs!$I$9+(((A209)+1)/2)*(Inputs!$J$9-Inputs!$I$9)))/Inputs!$K$9)^2))^2)))))/Inputs!$C$13),NA())</x:f>
        <x:v>-3093.9071424175872</x:v>
      </x:c>
      <x:c r="R209" s="49"/>
      <x:c r="S209" s="48" t="n">
        <x:f>A209</x:f>
        <x:v>0.725</x:v>
      </x:c>
      <x:c r="T209" s="48" t="n">
        <x:f>(Inputs!$I$6+(((A209)+1)/2)*(Inputs!$J$6-Inputs!$I$6))</x:f>
        <x:v>43.5</x:v>
      </x:c>
      <x:c r="U209" s="48" t="n">
        <x:f>(Inputs!$I$7+(((A209)+1)/2)*(Inputs!$J$7-Inputs!$I$7))</x:f>
        <x:v>290</x:v>
      </x:c>
      <x:c r="V209" s="48" t="n">
        <x:f>(Inputs!$I$8+(((A209)+1)/2)*(Inputs!$J$8-Inputs!$I$8))</x:f>
        <x:v>580</x:v>
      </x:c>
      <x:c r="W209" s="48" t="n">
        <x:f>(Inputs!$I$9+(((A209)+1)/2)*(Inputs!$J$9-Inputs!$I$9))</x:f>
        <x:v>580</x:v>
      </x:c>
      <x:c r="X209" s="49"/>
      <x:c r="Y209" s="48" t="n">
        <x:f>A209</x:f>
        <x:v>0.725</x:v>
      </x:c>
      <x:c r="Z209" s="48" t="n">
        <x:f>(Inputs!$H$6+Inputs!$L$6*(((Inputs!$I$6+(((A209)+1)/2)*(Inputs!$J$6-Inputs!$I$6)))/Inputs!$K$6)^2)</x:f>
        <x:v>402.1025</x:v>
      </x:c>
      <x:c r="AA209" s="48" t="n">
        <x:f>(Inputs!$H$7+Inputs!$L$7*(((Inputs!$I$7+(((A209)+1)/2)*(Inputs!$J$7-Inputs!$I$7)))/Inputs!$K$7)^2)</x:f>
        <x:v>226.853125</x:v>
      </x:c>
      <x:c r="AB209" s="48" t="n">
        <x:f>(Inputs!$H$8+Inputs!$L$8*(((Inputs!$I$8+(((A209)+1)/2)*(Inputs!$J$8-Inputs!$I$8)))/Inputs!$K$8)^2)</x:f>
        <x:v>542.2281250000001</x:v>
      </x:c>
      <x:c r="AC209" s="48" t="n">
        <x:f>(Inputs!$H$9+Inputs!$L$9*(((Inputs!$I$9+(((A209)+1)/2)*(Inputs!$J$9-Inputs!$I$9)))/Inputs!$K$9)^2)</x:f>
        <x:v>537.484375</x:v>
      </x:c>
      <x:c r="AD209" s="49"/>
      <x:c r="AE209" s="48" t="n">
        <x:f>A209</x:f>
        <x:v>0.725</x:v>
      </x:c>
      <x:c r="AF209" s="48" t="n">
        <x:f>(((SQRT(((Inputs!$I$6+(((A209)+1)/2)*(Inputs!$J$6-Inputs!$I$6)))^2+Inputs!$C$6^2+((Inputs!$H$6+Inputs!$L$6*(((Inputs!$I$6+(((A209)+1)/2)*(Inputs!$J$6-Inputs!$I$6)))/Inputs!$K$6)^2))^2))-((Inputs!$H$6+Inputs!$L$6*(((Inputs!$I$6+(((A209)+1)/2)*(Inputs!$J$6-Inputs!$I$6)))/Inputs!$K$6)^2)))*1000/Inputs!$C$12)</x:f>
        <x:v>1751.6970986344204</x:v>
      </x:c>
      <x:c r="AG209" s="48" t="n">
        <x:f>(((SQRT(((Inputs!$I$7+(((A209)+1)/2)*(Inputs!$J$7-Inputs!$I$7)))^2+Inputs!$C$6^2+((Inputs!$H$7+Inputs!$L$7*(((Inputs!$I$7+(((A209)+1)/2)*(Inputs!$J$7-Inputs!$I$7)))/Inputs!$K$7)^2))^2))-((Inputs!$H$7+Inputs!$L$7*(((Inputs!$I$7+(((A209)+1)/2)*(Inputs!$J$7-Inputs!$I$7)))/Inputs!$K$7)^2)))*1000/Inputs!$C$12)</x:f>
        <x:v>79877.84537506936</x:v>
      </x:c>
      <x:c r="AH209" s="48" t="n">
        <x:f>(((SQRT(((Inputs!$I$8+(((A209)+1)/2)*(Inputs!$J$8-Inputs!$I$8)))^2+Inputs!$C$6^2+((Inputs!$H$8+Inputs!$L$8*(((Inputs!$I$8+(((A209)+1)/2)*(Inputs!$J$8-Inputs!$I$8)))/Inputs!$K$8)^2))^2))-((Inputs!$H$8+Inputs!$L$8*(((Inputs!$I$8+(((A209)+1)/2)*(Inputs!$J$8-Inputs!$I$8)))/Inputs!$K$8)^2)))*1000/Inputs!$C$12)</x:f>
        <x:v>141657.20933300967</x:v>
      </x:c>
      <x:c r="AI209" s="48" t="n">
        <x:f>(((SQRT(((Inputs!$I$9+(((A209)+1)/2)*(Inputs!$J$9-Inputs!$I$9)))^2+Inputs!$C$6^2+((Inputs!$H$9+Inputs!$L$9*(((Inputs!$I$9+(((A209)+1)/2)*(Inputs!$J$9-Inputs!$I$9)))/Inputs!$K$9)^2))^2))-((Inputs!$H$9+Inputs!$L$9*(((Inputs!$I$9+(((A209)+1)/2)*(Inputs!$J$9-Inputs!$I$9)))/Inputs!$K$9)^2)))*1000/Inputs!$C$12)</x:f>
        <x:v>142507.40434762553</x:v>
      </x:c>
      <x:c r="AJ209" s="49"/>
      <x:c r="AK209" s="48" t="n">
        <x:f>A209</x:f>
        <x:v>0.725</x:v>
      </x:c>
      <x:c r="AL209" s="48" t="n">
        <x:f>(-2*((1000*((((Inputs!$I$6+(((A209)+1)/2)*(Inputs!$J$6-Inputs!$I$6)))*Inputs!$C$11+((Inputs!$H$6+Inputs!$L$6*(((Inputs!$I$6+(((A209)+1)/2)*(Inputs!$J$6-Inputs!$I$6)))/Inputs!$K$6)^2))*((2*Inputs!$L$6*((Inputs!$I$6+(((A209)+1)/2)*(Inputs!$J$6-Inputs!$I$6)))/(Inputs!$K$6^2)*Inputs!$C$11)))/(SQRT(((Inputs!$I$6+(((A209)+1)/2)*(Inputs!$J$6-Inputs!$I$6)))^2+Inputs!$C$6^2+((Inputs!$H$6+Inputs!$L$6*(((Inputs!$I$6+(((A209)+1)/2)*(Inputs!$J$6-Inputs!$I$6)))/Inputs!$K$6)^2))^2)))))/Inputs!$C$13)</x:f>
        <x:v>-325.2348944756723</x:v>
      </x:c>
      <x:c r="AM209" s="48" t="n">
        <x:f>(-2*((1000*((((Inputs!$I$7+(((A209)+1)/2)*(Inputs!$J$7-Inputs!$I$7)))*Inputs!$C$11+((Inputs!$H$7+Inputs!$L$7*(((Inputs!$I$7+(((A209)+1)/2)*(Inputs!$J$7-Inputs!$I$7)))/Inputs!$K$7)^2))*((2*Inputs!$L$7*((Inputs!$I$7+(((A209)+1)/2)*(Inputs!$J$7-Inputs!$I$7)))/(Inputs!$K$7^2)*Inputs!$C$11)))/(SQRT(((Inputs!$I$7+(((A209)+1)/2)*(Inputs!$J$7-Inputs!$I$7)))^2+Inputs!$C$6^2+((Inputs!$H$7+Inputs!$L$7*(((Inputs!$I$7+(((A209)+1)/2)*(Inputs!$J$7-Inputs!$I$7)))/Inputs!$K$7)^2))^2)))))/Inputs!$C$13)</x:f>
        <x:v>-2558.6903700820367</x:v>
      </x:c>
      <x:c r="AN209" s="48" t="n">
        <x:f>(-2*((1000*((((Inputs!$I$8+(((A209)+1)/2)*(Inputs!$J$8-Inputs!$I$8)))*Inputs!$C$11+((Inputs!$H$8+Inputs!$L$8*(((Inputs!$I$8+(((A209)+1)/2)*(Inputs!$J$8-Inputs!$I$8)))/Inputs!$K$8)^2))*((2*Inputs!$L$8*((Inputs!$I$8+(((A209)+1)/2)*(Inputs!$J$8-Inputs!$I$8)))/(Inputs!$K$8^2)*Inputs!$C$11)))/(SQRT(((Inputs!$I$8+(((A209)+1)/2)*(Inputs!$J$8-Inputs!$I$8)))^2+Inputs!$C$6^2+((Inputs!$H$8+Inputs!$L$8*(((Inputs!$I$8+(((A209)+1)/2)*(Inputs!$J$8-Inputs!$I$8)))/Inputs!$K$8)^2))^2)))))/Inputs!$C$13)</x:f>
        <x:v>-3078.415487712455</x:v>
      </x:c>
      <x:c r="AO209" s="48" t="n">
        <x:f>(-2*((1000*((((Inputs!$I$9+(((A209)+1)/2)*(Inputs!$J$9-Inputs!$I$9)))*Inputs!$C$11+((Inputs!$H$9+Inputs!$L$9*(((Inputs!$I$9+(((A209)+1)/2)*(Inputs!$J$9-Inputs!$I$9)))/Inputs!$K$9)^2))*((2*Inputs!$L$9*((Inputs!$I$9+(((A209)+1)/2)*(Inputs!$J$9-Inputs!$I$9)))/(Inputs!$K$9^2)*Inputs!$C$11)))/(SQRT(((Inputs!$I$9+(((A209)+1)/2)*(Inputs!$J$9-Inputs!$I$9)))^2+Inputs!$C$6^2+((Inputs!$H$9+Inputs!$L$9*(((Inputs!$I$9+(((A209)+1)/2)*(Inputs!$J$9-Inputs!$I$9)))/Inputs!$K$9)^2))^2)))))/Inputs!$C$13)</x:f>
        <x:v>-3093.9071424175872</x:v>
      </x:c>
    </x:row>
    <x:row r="210">
      <x:c r="A210" s="48" t="n">
        <x:f>ROUND(-1+208*2/240,3)</x:f>
        <x:v>0.733</x:v>
      </x:c>
      <x:c r="B210" s="48" t="n">
        <x:f>IF(OR(Inputs!$F$6=TRUE,Inputs!$F$6="TRUE",Inputs!$F$6=1),(Inputs!$H$6+Inputs!$L$6*(((Inputs!$I$6+(((A210)+1)/2)*(Inputs!$J$6-Inputs!$I$6)))/Inputs!$K$6)^2),NA())</x:f>
        <x:v>402.149156</x:v>
      </x:c>
      <x:c r="C210" s="48" t="n">
        <x:f>IF(OR(Inputs!$F$7=TRUE,Inputs!$F$7="TRUE",Inputs!$F$7=1),(Inputs!$H$7+Inputs!$L$7*(((Inputs!$I$7+(((A210)+1)/2)*(Inputs!$J$7-Inputs!$I$7)))/Inputs!$K$7)^2),NA())</x:f>
        <x:v>231.11048500000004</x:v>
      </x:c>
      <x:c r="D210" s="48" t="n">
        <x:f>IF(OR(Inputs!$F$8=TRUE,Inputs!$F$8="TRUE",Inputs!$F$8=1),(Inputs!$H$8+Inputs!$L$8*(((Inputs!$I$8+(((A210)+1)/2)*(Inputs!$J$8-Inputs!$I$8)))/Inputs!$K$8)^2),NA())</x:f>
        <x:v>553.4838850000001</x:v>
      </x:c>
      <x:c r="E210" s="48" t="n">
        <x:f>IF(OR(Inputs!$F$9=TRUE,Inputs!$F$9="TRUE",Inputs!$F$9=1),(Inputs!$H$9+Inputs!$L$9*(((Inputs!$I$9+(((A210)+1)/2)*(Inputs!$J$9-Inputs!$I$9)))/Inputs!$K$9)^2),NA())</x:f>
        <x:v>548.8567750000001</x:v>
      </x:c>
      <x:c r="F210" s="49"/>
      <x:c r="G210" s="48" t="n">
        <x:f>A210</x:f>
        <x:v>0.733</x:v>
      </x:c>
      <x:c r="H210" s="48" t="n">
        <x:f>IF(OR(Inputs!$F$6=TRUE,Inputs!$F$6="TRUE",Inputs!$F$6=1),(((SQRT(((Inputs!$I$6+(((A210)+1)/2)*(Inputs!$J$6-Inputs!$I$6)))^2+Inputs!$C$6^2+((Inputs!$H$6+Inputs!$L$6*(((Inputs!$I$6+(((A210)+1)/2)*(Inputs!$J$6-Inputs!$I$6)))/Inputs!$K$6)^2))^2))-((Inputs!$H$6+Inputs!$L$6*(((Inputs!$I$6+(((A210)+1)/2)*(Inputs!$J$6-Inputs!$I$6)))/Inputs!$K$6)^2)))*1000/Inputs!$C$12),NA())</x:f>
        <x:v>1780.5979973162634</x:v>
      </x:c>
      <x:c r="I210" s="48" t="n">
        <x:f>IF(OR(Inputs!$F$7=TRUE,Inputs!$F$7="TRUE",Inputs!$F$7=1),(((SQRT(((Inputs!$I$7+(((A210)+1)/2)*(Inputs!$J$7-Inputs!$I$7)))^2+Inputs!$C$6^2+((Inputs!$H$7+Inputs!$L$7*(((Inputs!$I$7+(((A210)+1)/2)*(Inputs!$J$7-Inputs!$I$7)))/Inputs!$K$7)^2))^2))-((Inputs!$H$7+Inputs!$L$7*(((Inputs!$I$7+(((A210)+1)/2)*(Inputs!$J$7-Inputs!$I$7)))/Inputs!$K$7)^2)))*1000/Inputs!$C$12),NA())</x:f>
        <x:v>80370.59465550767</x:v>
      </x:c>
      <x:c r="J210" s="48" t="n">
        <x:f>IF(OR(Inputs!$F$8=TRUE,Inputs!$F$8="TRUE",Inputs!$F$8=1),(((SQRT(((Inputs!$I$8+(((A210)+1)/2)*(Inputs!$J$8-Inputs!$I$8)))^2+Inputs!$C$6^2+((Inputs!$H$8+Inputs!$L$8*(((Inputs!$I$8+(((A210)+1)/2)*(Inputs!$J$8-Inputs!$I$8)))/Inputs!$K$8)^2))^2))-((Inputs!$H$8+Inputs!$L$8*(((Inputs!$I$8+(((A210)+1)/2)*(Inputs!$J$8-Inputs!$I$8)))/Inputs!$K$8)^2)))*1000/Inputs!$C$12),NA())</x:f>
        <x:v>142280.43751600158</x:v>
      </x:c>
      <x:c r="K210" s="48" t="n">
        <x:f>IF(OR(Inputs!$F$9=TRUE,Inputs!$F$9="TRUE",Inputs!$F$9=1),(((SQRT(((Inputs!$I$9+(((A210)+1)/2)*(Inputs!$J$9-Inputs!$I$9)))^2+Inputs!$C$6^2+((Inputs!$H$9+Inputs!$L$9*(((Inputs!$I$9+(((A210)+1)/2)*(Inputs!$J$9-Inputs!$I$9)))/Inputs!$K$9)^2))^2))-((Inputs!$H$9+Inputs!$L$9*(((Inputs!$I$9+(((A210)+1)/2)*(Inputs!$J$9-Inputs!$I$9)))/Inputs!$K$9)^2)))*1000/Inputs!$C$12),NA())</x:f>
        <x:v>143100.45458612774</x:v>
      </x:c>
      <x:c r="L210" s="49"/>
      <x:c r="M210" s="48" t="n">
        <x:f>A210</x:f>
        <x:v>0.733</x:v>
      </x:c>
      <x:c r="N210" s="48" t="n">
        <x:f>IF(OR(Inputs!$F$6=TRUE,Inputs!$F$6="TRUE",Inputs!$F$6=1),(-2*((1000*((((Inputs!$I$6+(((A210)+1)/2)*(Inputs!$J$6-Inputs!$I$6)))*Inputs!$C$11+((Inputs!$H$6+Inputs!$L$6*(((Inputs!$I$6+(((A210)+1)/2)*(Inputs!$J$6-Inputs!$I$6)))/Inputs!$K$6)^2))*((2*Inputs!$L$6*((Inputs!$I$6+(((A210)+1)/2)*(Inputs!$J$6-Inputs!$I$6)))/(Inputs!$K$6^2)*Inputs!$C$11)))/(SQRT(((Inputs!$I$6+(((A210)+1)/2)*(Inputs!$J$6-Inputs!$I$6)))^2+Inputs!$C$6^2+((Inputs!$H$6+Inputs!$L$6*(((Inputs!$I$6+(((A210)+1)/2)*(Inputs!$J$6-Inputs!$I$6)))/Inputs!$K$6)^2))^2)))))/Inputs!$C$13),NA())</x:f>
        <x:v>-328.7621078889045</x:v>
      </x:c>
      <x:c r="O210" s="48" t="n">
        <x:f>IF(OR(Inputs!$F$7=TRUE,Inputs!$F$7="TRUE",Inputs!$F$7=1),(-2*((1000*((((Inputs!$I$7+(((A210)+1)/2)*(Inputs!$J$7-Inputs!$I$7)))*Inputs!$C$11+((Inputs!$H$7+Inputs!$L$7*(((Inputs!$I$7+(((A210)+1)/2)*(Inputs!$J$7-Inputs!$I$7)))/Inputs!$K$7)^2))*((2*Inputs!$L$7*((Inputs!$I$7+(((A210)+1)/2)*(Inputs!$J$7-Inputs!$I$7)))/(Inputs!$K$7^2)*Inputs!$C$11)))/(SQRT(((Inputs!$I$7+(((A210)+1)/2)*(Inputs!$J$7-Inputs!$I$7)))^2+Inputs!$C$6^2+((Inputs!$H$7+Inputs!$L$7*(((Inputs!$I$7+(((A210)+1)/2)*(Inputs!$J$7-Inputs!$I$7)))/Inputs!$K$7)^2))^2)))))/Inputs!$C$13),NA())</x:f>
        <x:v>-2575.779105979339</x:v>
      </x:c>
      <x:c r="P210" s="48" t="n">
        <x:f>IF(OR(Inputs!$F$8=TRUE,Inputs!$F$8="TRUE",Inputs!$F$8=1),(-2*((1000*((((Inputs!$I$8+(((A210)+1)/2)*(Inputs!$J$8-Inputs!$I$8)))*Inputs!$C$11+((Inputs!$H$8+Inputs!$L$8*(((Inputs!$I$8+(((A210)+1)/2)*(Inputs!$J$8-Inputs!$I$8)))/Inputs!$K$8)^2))*((2*Inputs!$L$8*((Inputs!$I$8+(((A210)+1)/2)*(Inputs!$J$8-Inputs!$I$8)))/(Inputs!$K$8^2)*Inputs!$C$11)))/(SQRT(((Inputs!$I$8+(((A210)+1)/2)*(Inputs!$J$8-Inputs!$I$8)))^2+Inputs!$C$6^2+((Inputs!$H$8+Inputs!$L$8*(((Inputs!$I$8+(((A210)+1)/2)*(Inputs!$J$8-Inputs!$I$8)))/Inputs!$K$8)^2))^2)))))/Inputs!$C$13),NA())</x:f>
        <x:v>-3104.155891731254</x:v>
      </x:c>
      <x:c r="Q210" s="48" t="n">
        <x:f>IF(OR(Inputs!$F$9=TRUE,Inputs!$F$9="TRUE",Inputs!$F$9=1),(-2*((1000*((((Inputs!$I$9+(((A210)+1)/2)*(Inputs!$J$9-Inputs!$I$9)))*Inputs!$C$11+((Inputs!$H$9+Inputs!$L$9*(((Inputs!$I$9+(((A210)+1)/2)*(Inputs!$J$9-Inputs!$I$9)))/Inputs!$K$9)^2))*((2*Inputs!$L$9*((Inputs!$I$9+(((A210)+1)/2)*(Inputs!$J$9-Inputs!$I$9)))/(Inputs!$K$9^2)*Inputs!$C$11)))/(SQRT(((Inputs!$I$9+(((A210)+1)/2)*(Inputs!$J$9-Inputs!$I$9)))^2+Inputs!$C$6^2+((Inputs!$H$9+Inputs!$L$9*(((Inputs!$I$9+(((A210)+1)/2)*(Inputs!$J$9-Inputs!$I$9)))/Inputs!$K$9)^2))^2)))))/Inputs!$C$13),NA())</x:f>
        <x:v>-3120.125738144579</x:v>
      </x:c>
      <x:c r="R210" s="49"/>
      <x:c r="S210" s="48" t="n">
        <x:f>A210</x:f>
        <x:v>0.733</x:v>
      </x:c>
      <x:c r="T210" s="48" t="n">
        <x:f>(Inputs!$I$6+(((A210)+1)/2)*(Inputs!$J$6-Inputs!$I$6))</x:f>
        <x:v>43.980000000000004</x:v>
      </x:c>
      <x:c r="U210" s="48" t="n">
        <x:f>(Inputs!$I$7+(((A210)+1)/2)*(Inputs!$J$7-Inputs!$I$7))</x:f>
        <x:v>293.20000000000005</x:v>
      </x:c>
      <x:c r="V210" s="48" t="n">
        <x:f>(Inputs!$I$8+(((A210)+1)/2)*(Inputs!$J$8-Inputs!$I$8))</x:f>
        <x:v>586.4000000000001</x:v>
      </x:c>
      <x:c r="W210" s="48" t="n">
        <x:f>(Inputs!$I$9+(((A210)+1)/2)*(Inputs!$J$9-Inputs!$I$9))</x:f>
        <x:v>586.4000000000001</x:v>
      </x:c>
      <x:c r="X210" s="49"/>
      <x:c r="Y210" s="48" t="n">
        <x:f>A210</x:f>
        <x:v>0.733</x:v>
      </x:c>
      <x:c r="Z210" s="48" t="n">
        <x:f>(Inputs!$H$6+Inputs!$L$6*(((Inputs!$I$6+(((A210)+1)/2)*(Inputs!$J$6-Inputs!$I$6)))/Inputs!$K$6)^2)</x:f>
        <x:v>402.149156</x:v>
      </x:c>
      <x:c r="AA210" s="48" t="n">
        <x:f>(Inputs!$H$7+Inputs!$L$7*(((Inputs!$I$7+(((A210)+1)/2)*(Inputs!$J$7-Inputs!$I$7)))/Inputs!$K$7)^2)</x:f>
        <x:v>231.11048500000004</x:v>
      </x:c>
      <x:c r="AB210" s="48" t="n">
        <x:f>(Inputs!$H$8+Inputs!$L$8*(((Inputs!$I$8+(((A210)+1)/2)*(Inputs!$J$8-Inputs!$I$8)))/Inputs!$K$8)^2)</x:f>
        <x:v>553.4838850000001</x:v>
      </x:c>
      <x:c r="AC210" s="48" t="n">
        <x:f>(Inputs!$H$9+Inputs!$L$9*(((Inputs!$I$9+(((A210)+1)/2)*(Inputs!$J$9-Inputs!$I$9)))/Inputs!$K$9)^2)</x:f>
        <x:v>548.8567750000001</x:v>
      </x:c>
      <x:c r="AD210" s="49"/>
      <x:c r="AE210" s="48" t="n">
        <x:f>A210</x:f>
        <x:v>0.733</x:v>
      </x:c>
      <x:c r="AF210" s="48" t="n">
        <x:f>(((SQRT(((Inputs!$I$6+(((A210)+1)/2)*(Inputs!$J$6-Inputs!$I$6)))^2+Inputs!$C$6^2+((Inputs!$H$6+Inputs!$L$6*(((Inputs!$I$6+(((A210)+1)/2)*(Inputs!$J$6-Inputs!$I$6)))/Inputs!$K$6)^2))^2))-((Inputs!$H$6+Inputs!$L$6*(((Inputs!$I$6+(((A210)+1)/2)*(Inputs!$J$6-Inputs!$I$6)))/Inputs!$K$6)^2)))*1000/Inputs!$C$12)</x:f>
        <x:v>1780.5979973162634</x:v>
      </x:c>
      <x:c r="AG210" s="48" t="n">
        <x:f>(((SQRT(((Inputs!$I$7+(((A210)+1)/2)*(Inputs!$J$7-Inputs!$I$7)))^2+Inputs!$C$6^2+((Inputs!$H$7+Inputs!$L$7*(((Inputs!$I$7+(((A210)+1)/2)*(Inputs!$J$7-Inputs!$I$7)))/Inputs!$K$7)^2))^2))-((Inputs!$H$7+Inputs!$L$7*(((Inputs!$I$7+(((A210)+1)/2)*(Inputs!$J$7-Inputs!$I$7)))/Inputs!$K$7)^2)))*1000/Inputs!$C$12)</x:f>
        <x:v>80370.59465550767</x:v>
      </x:c>
      <x:c r="AH210" s="48" t="n">
        <x:f>(((SQRT(((Inputs!$I$8+(((A210)+1)/2)*(Inputs!$J$8-Inputs!$I$8)))^2+Inputs!$C$6^2+((Inputs!$H$8+Inputs!$L$8*(((Inputs!$I$8+(((A210)+1)/2)*(Inputs!$J$8-Inputs!$I$8)))/Inputs!$K$8)^2))^2))-((Inputs!$H$8+Inputs!$L$8*(((Inputs!$I$8+(((A210)+1)/2)*(Inputs!$J$8-Inputs!$I$8)))/Inputs!$K$8)^2)))*1000/Inputs!$C$12)</x:f>
        <x:v>142280.43751600158</x:v>
      </x:c>
      <x:c r="AI210" s="48" t="n">
        <x:f>(((SQRT(((Inputs!$I$9+(((A210)+1)/2)*(Inputs!$J$9-Inputs!$I$9)))^2+Inputs!$C$6^2+((Inputs!$H$9+Inputs!$L$9*(((Inputs!$I$9+(((A210)+1)/2)*(Inputs!$J$9-Inputs!$I$9)))/Inputs!$K$9)^2))^2))-((Inputs!$H$9+Inputs!$L$9*(((Inputs!$I$9+(((A210)+1)/2)*(Inputs!$J$9-Inputs!$I$9)))/Inputs!$K$9)^2)))*1000/Inputs!$C$12)</x:f>
        <x:v>143100.45458612774</x:v>
      </x:c>
      <x:c r="AJ210" s="49"/>
      <x:c r="AK210" s="48" t="n">
        <x:f>A210</x:f>
        <x:v>0.733</x:v>
      </x:c>
      <x:c r="AL210" s="48" t="n">
        <x:f>(-2*((1000*((((Inputs!$I$6+(((A210)+1)/2)*(Inputs!$J$6-Inputs!$I$6)))*Inputs!$C$11+((Inputs!$H$6+Inputs!$L$6*(((Inputs!$I$6+(((A210)+1)/2)*(Inputs!$J$6-Inputs!$I$6)))/Inputs!$K$6)^2))*((2*Inputs!$L$6*((Inputs!$I$6+(((A210)+1)/2)*(Inputs!$J$6-Inputs!$I$6)))/(Inputs!$K$6^2)*Inputs!$C$11)))/(SQRT(((Inputs!$I$6+(((A210)+1)/2)*(Inputs!$J$6-Inputs!$I$6)))^2+Inputs!$C$6^2+((Inputs!$H$6+Inputs!$L$6*(((Inputs!$I$6+(((A210)+1)/2)*(Inputs!$J$6-Inputs!$I$6)))/Inputs!$K$6)^2))^2)))))/Inputs!$C$13)</x:f>
        <x:v>-328.7621078889045</x:v>
      </x:c>
      <x:c r="AM210" s="48" t="n">
        <x:f>(-2*((1000*((((Inputs!$I$7+(((A210)+1)/2)*(Inputs!$J$7-Inputs!$I$7)))*Inputs!$C$11+((Inputs!$H$7+Inputs!$L$7*(((Inputs!$I$7+(((A210)+1)/2)*(Inputs!$J$7-Inputs!$I$7)))/Inputs!$K$7)^2))*((2*Inputs!$L$7*((Inputs!$I$7+(((A210)+1)/2)*(Inputs!$J$7-Inputs!$I$7)))/(Inputs!$K$7^2)*Inputs!$C$11)))/(SQRT(((Inputs!$I$7+(((A210)+1)/2)*(Inputs!$J$7-Inputs!$I$7)))^2+Inputs!$C$6^2+((Inputs!$H$7+Inputs!$L$7*(((Inputs!$I$7+(((A210)+1)/2)*(Inputs!$J$7-Inputs!$I$7)))/Inputs!$K$7)^2))^2)))))/Inputs!$C$13)</x:f>
        <x:v>-2575.779105979339</x:v>
      </x:c>
      <x:c r="AN210" s="48" t="n">
        <x:f>(-2*((1000*((((Inputs!$I$8+(((A210)+1)/2)*(Inputs!$J$8-Inputs!$I$8)))*Inputs!$C$11+((Inputs!$H$8+Inputs!$L$8*(((Inputs!$I$8+(((A210)+1)/2)*(Inputs!$J$8-Inputs!$I$8)))/Inputs!$K$8)^2))*((2*Inputs!$L$8*((Inputs!$I$8+(((A210)+1)/2)*(Inputs!$J$8-Inputs!$I$8)))/(Inputs!$K$8^2)*Inputs!$C$11)))/(SQRT(((Inputs!$I$8+(((A210)+1)/2)*(Inputs!$J$8-Inputs!$I$8)))^2+Inputs!$C$6^2+((Inputs!$H$8+Inputs!$L$8*(((Inputs!$I$8+(((A210)+1)/2)*(Inputs!$J$8-Inputs!$I$8)))/Inputs!$K$8)^2))^2)))))/Inputs!$C$13)</x:f>
        <x:v>-3104.155891731254</x:v>
      </x:c>
      <x:c r="AO210" s="48" t="n">
        <x:f>(-2*((1000*((((Inputs!$I$9+(((A210)+1)/2)*(Inputs!$J$9-Inputs!$I$9)))*Inputs!$C$11+((Inputs!$H$9+Inputs!$L$9*(((Inputs!$I$9+(((A210)+1)/2)*(Inputs!$J$9-Inputs!$I$9)))/Inputs!$K$9)^2))*((2*Inputs!$L$9*((Inputs!$I$9+(((A210)+1)/2)*(Inputs!$J$9-Inputs!$I$9)))/(Inputs!$K$9^2)*Inputs!$C$11)))/(SQRT(((Inputs!$I$9+(((A210)+1)/2)*(Inputs!$J$9-Inputs!$I$9)))^2+Inputs!$C$6^2+((Inputs!$H$9+Inputs!$L$9*(((Inputs!$I$9+(((A210)+1)/2)*(Inputs!$J$9-Inputs!$I$9)))/Inputs!$K$9)^2))^2)))))/Inputs!$C$13)</x:f>
        <x:v>-3120.125738144579</x:v>
      </x:c>
    </x:row>
    <x:row r="211">
      <x:c r="A211" s="48" t="n">
        <x:f>ROUND(-1+209*2/240,3)</x:f>
        <x:v>0.742</x:v>
      </x:c>
      <x:c r="B211" s="48" t="n">
        <x:f>IF(OR(Inputs!$F$6=TRUE,Inputs!$F$6="TRUE",Inputs!$F$6=1),(Inputs!$H$6+Inputs!$L$6*(((Inputs!$I$6+(((A211)+1)/2)*(Inputs!$J$6-Inputs!$I$6)))/Inputs!$K$6)^2),NA())</x:f>
        <x:v>402.202256</x:v>
      </x:c>
      <x:c r="C211" s="48" t="n">
        <x:f>IF(OR(Inputs!$F$7=TRUE,Inputs!$F$7="TRUE",Inputs!$F$7=1),(Inputs!$H$7+Inputs!$L$7*(((Inputs!$I$7+(((A211)+1)/2)*(Inputs!$J$7-Inputs!$I$7)))/Inputs!$K$7)^2),NA())</x:f>
        <x:v>235.95585999999994</x:v>
      </x:c>
      <x:c r="D211" s="48" t="n">
        <x:f>IF(OR(Inputs!$F$8=TRUE,Inputs!$F$8="TRUE",Inputs!$F$8=1),(Inputs!$H$8+Inputs!$L$8*(((Inputs!$I$8+(((A211)+1)/2)*(Inputs!$J$8-Inputs!$I$8)))/Inputs!$K$8)^2),NA())</x:f>
        <x:v>566.2942599999998</x:v>
      </x:c>
      <x:c r="E211" s="48" t="n">
        <x:f>IF(OR(Inputs!$F$9=TRUE,Inputs!$F$9="TRUE",Inputs!$F$9=1),(Inputs!$H$9+Inputs!$L$9*(((Inputs!$I$9+(((A211)+1)/2)*(Inputs!$J$9-Inputs!$I$9)))/Inputs!$K$9)^2),NA())</x:f>
        <x:v>561.7998999999999</x:v>
      </x:c>
      <x:c r="F211" s="49"/>
      <x:c r="G211" s="48" t="n">
        <x:f>A211</x:f>
        <x:v>0.742</x:v>
      </x:c>
      <x:c r="H211" s="48" t="n">
        <x:f>IF(OR(Inputs!$F$6=TRUE,Inputs!$F$6="TRUE",Inputs!$F$6=1),(((SQRT(((Inputs!$I$6+(((A211)+1)/2)*(Inputs!$J$6-Inputs!$I$6)))^2+Inputs!$C$6^2+((Inputs!$H$6+Inputs!$L$6*(((Inputs!$I$6+(((A211)+1)/2)*(Inputs!$J$6-Inputs!$I$6)))/Inputs!$K$6)^2))^2))-((Inputs!$H$6+Inputs!$L$6*(((Inputs!$I$6+(((A211)+1)/2)*(Inputs!$J$6-Inputs!$I$6)))/Inputs!$K$6)^2)))*1000/Inputs!$C$12),NA())</x:f>
        <x:v>1813.478054558611</x:v>
      </x:c>
      <x:c r="I211" s="48" t="n">
        <x:f>IF(OR(Inputs!$F$7=TRUE,Inputs!$F$7="TRUE",Inputs!$F$7=1),(((SQRT(((Inputs!$I$7+(((A211)+1)/2)*(Inputs!$J$7-Inputs!$I$7)))^2+Inputs!$C$6^2+((Inputs!$H$7+Inputs!$L$7*(((Inputs!$I$7+(((A211)+1)/2)*(Inputs!$J$7-Inputs!$I$7)))/Inputs!$K$7)^2))^2))-((Inputs!$H$7+Inputs!$L$7*(((Inputs!$I$7+(((A211)+1)/2)*(Inputs!$J$7-Inputs!$I$7)))/Inputs!$K$7)^2)))*1000/Inputs!$C$12),NA())</x:f>
        <x:v>80916.58346321627</x:v>
      </x:c>
      <x:c r="J211" s="48" t="n">
        <x:f>IF(OR(Inputs!$F$8=TRUE,Inputs!$F$8="TRUE",Inputs!$F$8=1),(((SQRT(((Inputs!$I$8+(((A211)+1)/2)*(Inputs!$J$8-Inputs!$I$8)))^2+Inputs!$C$6^2+((Inputs!$H$8+Inputs!$L$8*(((Inputs!$I$8+(((A211)+1)/2)*(Inputs!$J$8-Inputs!$I$8)))/Inputs!$K$8)^2))^2))-((Inputs!$H$8+Inputs!$L$8*(((Inputs!$I$8+(((A211)+1)/2)*(Inputs!$J$8-Inputs!$I$8)))/Inputs!$K$8)^2)))*1000/Inputs!$C$12),NA())</x:f>
        <x:v>142967.92221460855</x:v>
      </x:c>
      <x:c r="K211" s="48" t="n">
        <x:f>IF(OR(Inputs!$F$9=TRUE,Inputs!$F$9="TRUE",Inputs!$F$9=1),(((SQRT(((Inputs!$I$9+(((A211)+1)/2)*(Inputs!$J$9-Inputs!$I$9)))^2+Inputs!$C$6^2+((Inputs!$H$9+Inputs!$L$9*(((Inputs!$I$9+(((A211)+1)/2)*(Inputs!$J$9-Inputs!$I$9)))/Inputs!$K$9)^2))^2))-((Inputs!$H$9+Inputs!$L$9*(((Inputs!$I$9+(((A211)+1)/2)*(Inputs!$J$9-Inputs!$I$9)))/Inputs!$K$9)^2)))*1000/Inputs!$C$12),NA())</x:f>
        <x:v>143754.41285800817</x:v>
      </x:c>
      <x:c r="L211" s="49"/>
      <x:c r="M211" s="48" t="n">
        <x:f>A211</x:f>
        <x:v>0.742</x:v>
      </x:c>
      <x:c r="N211" s="48" t="n">
        <x:f>IF(OR(Inputs!$F$6=TRUE,Inputs!$F$6="TRUE",Inputs!$F$6=1),(-2*((1000*((((Inputs!$I$6+(((A211)+1)/2)*(Inputs!$J$6-Inputs!$I$6)))*Inputs!$C$11+((Inputs!$H$6+Inputs!$L$6*(((Inputs!$I$6+(((A211)+1)/2)*(Inputs!$J$6-Inputs!$I$6)))/Inputs!$K$6)^2))*((2*Inputs!$L$6*((Inputs!$I$6+(((A211)+1)/2)*(Inputs!$J$6-Inputs!$I$6)))/(Inputs!$K$6^2)*Inputs!$C$11)))/(SQRT(((Inputs!$I$6+(((A211)+1)/2)*(Inputs!$J$6-Inputs!$I$6)))^2+Inputs!$C$6^2+((Inputs!$H$6+Inputs!$L$6*(((Inputs!$I$6+(((A211)+1)/2)*(Inputs!$J$6-Inputs!$I$6)))/Inputs!$K$6)^2))^2)))))/Inputs!$C$13),NA())</x:f>
        <x:v>-332.7278534236999</x:v>
      </x:c>
      <x:c r="O211" s="48" t="n">
        <x:f>IF(OR(Inputs!$F$7=TRUE,Inputs!$F$7="TRUE",Inputs!$F$7=1),(-2*((1000*((((Inputs!$I$7+(((A211)+1)/2)*(Inputs!$J$7-Inputs!$I$7)))*Inputs!$C$11+((Inputs!$H$7+Inputs!$L$7*(((Inputs!$I$7+(((A211)+1)/2)*(Inputs!$J$7-Inputs!$I$7)))/Inputs!$K$7)^2))*((2*Inputs!$L$7*((Inputs!$I$7+(((A211)+1)/2)*(Inputs!$J$7-Inputs!$I$7)))/(Inputs!$K$7^2)*Inputs!$C$11)))/(SQRT(((Inputs!$I$7+(((A211)+1)/2)*(Inputs!$J$7-Inputs!$I$7)))^2+Inputs!$C$6^2+((Inputs!$H$7+Inputs!$L$7*(((Inputs!$I$7+(((A211)+1)/2)*(Inputs!$J$7-Inputs!$I$7)))/Inputs!$K$7)^2))^2)))))/Inputs!$C$13),NA())</x:f>
        <x:v>-2595.1162068477756</x:v>
      </x:c>
      <x:c r="P211" s="48" t="n">
        <x:f>IF(OR(Inputs!$F$8=TRUE,Inputs!$F$8="TRUE",Inputs!$F$8=1),(-2*((1000*((((Inputs!$I$8+(((A211)+1)/2)*(Inputs!$J$8-Inputs!$I$8)))*Inputs!$C$11+((Inputs!$H$8+Inputs!$L$8*(((Inputs!$I$8+(((A211)+1)/2)*(Inputs!$J$8-Inputs!$I$8)))/Inputs!$K$8)^2))*((2*Inputs!$L$8*((Inputs!$I$8+(((A211)+1)/2)*(Inputs!$J$8-Inputs!$I$8)))/(Inputs!$K$8^2)*Inputs!$C$11)))/(SQRT(((Inputs!$I$8+(((A211)+1)/2)*(Inputs!$J$8-Inputs!$I$8)))^2+Inputs!$C$6^2+((Inputs!$H$8+Inputs!$L$8*(((Inputs!$I$8+(((A211)+1)/2)*(Inputs!$J$8-Inputs!$I$8)))/Inputs!$K$8)^2))^2)))))/Inputs!$C$13),NA())</x:f>
        <x:v>-3133.2435116977767</x:v>
      </x:c>
      <x:c r="Q211" s="48" t="n">
        <x:f>IF(OR(Inputs!$F$9=TRUE,Inputs!$F$9="TRUE",Inputs!$F$9=1),(-2*((1000*((((Inputs!$I$9+(((A211)+1)/2)*(Inputs!$J$9-Inputs!$I$9)))*Inputs!$C$11+((Inputs!$H$9+Inputs!$L$9*(((Inputs!$I$9+(((A211)+1)/2)*(Inputs!$J$9-Inputs!$I$9)))/Inputs!$K$9)^2))*((2*Inputs!$L$9*((Inputs!$I$9+(((A211)+1)/2)*(Inputs!$J$9-Inputs!$I$9)))/(Inputs!$K$9^2)*Inputs!$C$11)))/(SQRT(((Inputs!$I$9+(((A211)+1)/2)*(Inputs!$J$9-Inputs!$I$9)))^2+Inputs!$C$6^2+((Inputs!$H$9+Inputs!$L$9*(((Inputs!$I$9+(((A211)+1)/2)*(Inputs!$J$9-Inputs!$I$9)))/Inputs!$K$9)^2))^2)))))/Inputs!$C$13),NA())</x:f>
        <x:v>-3149.75035883583</x:v>
      </x:c>
      <x:c r="R211" s="49"/>
      <x:c r="S211" s="48" t="n">
        <x:f>A211</x:f>
        <x:v>0.742</x:v>
      </x:c>
      <x:c r="T211" s="48" t="n">
        <x:f>(Inputs!$I$6+(((A211)+1)/2)*(Inputs!$J$6-Inputs!$I$6))</x:f>
        <x:v>44.519999999999996</x:v>
      </x:c>
      <x:c r="U211" s="48" t="n">
        <x:f>(Inputs!$I$7+(((A211)+1)/2)*(Inputs!$J$7-Inputs!$I$7))</x:f>
        <x:v>296.79999999999995</x:v>
      </x:c>
      <x:c r="V211" s="48" t="n">
        <x:f>(Inputs!$I$8+(((A211)+1)/2)*(Inputs!$J$8-Inputs!$I$8))</x:f>
        <x:v>593.5999999999999</x:v>
      </x:c>
      <x:c r="W211" s="48" t="n">
        <x:f>(Inputs!$I$9+(((A211)+1)/2)*(Inputs!$J$9-Inputs!$I$9))</x:f>
        <x:v>593.5999999999999</x:v>
      </x:c>
      <x:c r="X211" s="49"/>
      <x:c r="Y211" s="48" t="n">
        <x:f>A211</x:f>
        <x:v>0.742</x:v>
      </x:c>
      <x:c r="Z211" s="48" t="n">
        <x:f>(Inputs!$H$6+Inputs!$L$6*(((Inputs!$I$6+(((A211)+1)/2)*(Inputs!$J$6-Inputs!$I$6)))/Inputs!$K$6)^2)</x:f>
        <x:v>402.202256</x:v>
      </x:c>
      <x:c r="AA211" s="48" t="n">
        <x:f>(Inputs!$H$7+Inputs!$L$7*(((Inputs!$I$7+(((A211)+1)/2)*(Inputs!$J$7-Inputs!$I$7)))/Inputs!$K$7)^2)</x:f>
        <x:v>235.95585999999994</x:v>
      </x:c>
      <x:c r="AB211" s="48" t="n">
        <x:f>(Inputs!$H$8+Inputs!$L$8*(((Inputs!$I$8+(((A211)+1)/2)*(Inputs!$J$8-Inputs!$I$8)))/Inputs!$K$8)^2)</x:f>
        <x:v>566.2942599999998</x:v>
      </x:c>
      <x:c r="AC211" s="48" t="n">
        <x:f>(Inputs!$H$9+Inputs!$L$9*(((Inputs!$I$9+(((A211)+1)/2)*(Inputs!$J$9-Inputs!$I$9)))/Inputs!$K$9)^2)</x:f>
        <x:v>561.7998999999999</x:v>
      </x:c>
      <x:c r="AD211" s="49"/>
      <x:c r="AE211" s="48" t="n">
        <x:f>A211</x:f>
        <x:v>0.742</x:v>
      </x:c>
      <x:c r="AF211" s="48" t="n">
        <x:f>(((SQRT(((Inputs!$I$6+(((A211)+1)/2)*(Inputs!$J$6-Inputs!$I$6)))^2+Inputs!$C$6^2+((Inputs!$H$6+Inputs!$L$6*(((Inputs!$I$6+(((A211)+1)/2)*(Inputs!$J$6-Inputs!$I$6)))/Inputs!$K$6)^2))^2))-((Inputs!$H$6+Inputs!$L$6*(((Inputs!$I$6+(((A211)+1)/2)*(Inputs!$J$6-Inputs!$I$6)))/Inputs!$K$6)^2)))*1000/Inputs!$C$12)</x:f>
        <x:v>1813.478054558611</x:v>
      </x:c>
      <x:c r="AG211" s="48" t="n">
        <x:f>(((SQRT(((Inputs!$I$7+(((A211)+1)/2)*(Inputs!$J$7-Inputs!$I$7)))^2+Inputs!$C$6^2+((Inputs!$H$7+Inputs!$L$7*(((Inputs!$I$7+(((A211)+1)/2)*(Inputs!$J$7-Inputs!$I$7)))/Inputs!$K$7)^2))^2))-((Inputs!$H$7+Inputs!$L$7*(((Inputs!$I$7+(((A211)+1)/2)*(Inputs!$J$7-Inputs!$I$7)))/Inputs!$K$7)^2)))*1000/Inputs!$C$12)</x:f>
        <x:v>80916.58346321627</x:v>
      </x:c>
      <x:c r="AH211" s="48" t="n">
        <x:f>(((SQRT(((Inputs!$I$8+(((A211)+1)/2)*(Inputs!$J$8-Inputs!$I$8)))^2+Inputs!$C$6^2+((Inputs!$H$8+Inputs!$L$8*(((Inputs!$I$8+(((A211)+1)/2)*(Inputs!$J$8-Inputs!$I$8)))/Inputs!$K$8)^2))^2))-((Inputs!$H$8+Inputs!$L$8*(((Inputs!$I$8+(((A211)+1)/2)*(Inputs!$J$8-Inputs!$I$8)))/Inputs!$K$8)^2)))*1000/Inputs!$C$12)</x:f>
        <x:v>142967.92221460855</x:v>
      </x:c>
      <x:c r="AI211" s="48" t="n">
        <x:f>(((SQRT(((Inputs!$I$9+(((A211)+1)/2)*(Inputs!$J$9-Inputs!$I$9)))^2+Inputs!$C$6^2+((Inputs!$H$9+Inputs!$L$9*(((Inputs!$I$9+(((A211)+1)/2)*(Inputs!$J$9-Inputs!$I$9)))/Inputs!$K$9)^2))^2))-((Inputs!$H$9+Inputs!$L$9*(((Inputs!$I$9+(((A211)+1)/2)*(Inputs!$J$9-Inputs!$I$9)))/Inputs!$K$9)^2)))*1000/Inputs!$C$12)</x:f>
        <x:v>143754.41285800817</x:v>
      </x:c>
      <x:c r="AJ211" s="49"/>
      <x:c r="AK211" s="48" t="n">
        <x:f>A211</x:f>
        <x:v>0.742</x:v>
      </x:c>
      <x:c r="AL211" s="48" t="n">
        <x:f>(-2*((1000*((((Inputs!$I$6+(((A211)+1)/2)*(Inputs!$J$6-Inputs!$I$6)))*Inputs!$C$11+((Inputs!$H$6+Inputs!$L$6*(((Inputs!$I$6+(((A211)+1)/2)*(Inputs!$J$6-Inputs!$I$6)))/Inputs!$K$6)^2))*((2*Inputs!$L$6*((Inputs!$I$6+(((A211)+1)/2)*(Inputs!$J$6-Inputs!$I$6)))/(Inputs!$K$6^2)*Inputs!$C$11)))/(SQRT(((Inputs!$I$6+(((A211)+1)/2)*(Inputs!$J$6-Inputs!$I$6)))^2+Inputs!$C$6^2+((Inputs!$H$6+Inputs!$L$6*(((Inputs!$I$6+(((A211)+1)/2)*(Inputs!$J$6-Inputs!$I$6)))/Inputs!$K$6)^2))^2)))))/Inputs!$C$13)</x:f>
        <x:v>-332.7278534236999</x:v>
      </x:c>
      <x:c r="AM211" s="48" t="n">
        <x:f>(-2*((1000*((((Inputs!$I$7+(((A211)+1)/2)*(Inputs!$J$7-Inputs!$I$7)))*Inputs!$C$11+((Inputs!$H$7+Inputs!$L$7*(((Inputs!$I$7+(((A211)+1)/2)*(Inputs!$J$7-Inputs!$I$7)))/Inputs!$K$7)^2))*((2*Inputs!$L$7*((Inputs!$I$7+(((A211)+1)/2)*(Inputs!$J$7-Inputs!$I$7)))/(Inputs!$K$7^2)*Inputs!$C$11)))/(SQRT(((Inputs!$I$7+(((A211)+1)/2)*(Inputs!$J$7-Inputs!$I$7)))^2+Inputs!$C$6^2+((Inputs!$H$7+Inputs!$L$7*(((Inputs!$I$7+(((A211)+1)/2)*(Inputs!$J$7-Inputs!$I$7)))/Inputs!$K$7)^2))^2)))))/Inputs!$C$13)</x:f>
        <x:v>-2595.1162068477756</x:v>
      </x:c>
      <x:c r="AN211" s="48" t="n">
        <x:f>(-2*((1000*((((Inputs!$I$8+(((A211)+1)/2)*(Inputs!$J$8-Inputs!$I$8)))*Inputs!$C$11+((Inputs!$H$8+Inputs!$L$8*(((Inputs!$I$8+(((A211)+1)/2)*(Inputs!$J$8-Inputs!$I$8)))/Inputs!$K$8)^2))*((2*Inputs!$L$8*((Inputs!$I$8+(((A211)+1)/2)*(Inputs!$J$8-Inputs!$I$8)))/(Inputs!$K$8^2)*Inputs!$C$11)))/(SQRT(((Inputs!$I$8+(((A211)+1)/2)*(Inputs!$J$8-Inputs!$I$8)))^2+Inputs!$C$6^2+((Inputs!$H$8+Inputs!$L$8*(((Inputs!$I$8+(((A211)+1)/2)*(Inputs!$J$8-Inputs!$I$8)))/Inputs!$K$8)^2))^2)))))/Inputs!$C$13)</x:f>
        <x:v>-3133.2435116977767</x:v>
      </x:c>
      <x:c r="AO211" s="48" t="n">
        <x:f>(-2*((1000*((((Inputs!$I$9+(((A211)+1)/2)*(Inputs!$J$9-Inputs!$I$9)))*Inputs!$C$11+((Inputs!$H$9+Inputs!$L$9*(((Inputs!$I$9+(((A211)+1)/2)*(Inputs!$J$9-Inputs!$I$9)))/Inputs!$K$9)^2))*((2*Inputs!$L$9*((Inputs!$I$9+(((A211)+1)/2)*(Inputs!$J$9-Inputs!$I$9)))/(Inputs!$K$9^2)*Inputs!$C$11)))/(SQRT(((Inputs!$I$9+(((A211)+1)/2)*(Inputs!$J$9-Inputs!$I$9)))^2+Inputs!$C$6^2+((Inputs!$H$9+Inputs!$L$9*(((Inputs!$I$9+(((A211)+1)/2)*(Inputs!$J$9-Inputs!$I$9)))/Inputs!$K$9)^2))^2)))))/Inputs!$C$13)</x:f>
        <x:v>-3149.75035883583</x:v>
      </x:c>
    </x:row>
    <x:row r="212">
      <x:c r="A212" s="48" t="n">
        <x:f>ROUND(-1+210*2/240,3)</x:f>
        <x:v>0.75</x:v>
      </x:c>
      <x:c r="B212" s="48" t="n">
        <x:f>IF(OR(Inputs!$F$6=TRUE,Inputs!$F$6="TRUE",Inputs!$F$6=1),(Inputs!$H$6+Inputs!$L$6*(((Inputs!$I$6+(((A212)+1)/2)*(Inputs!$J$6-Inputs!$I$6)))/Inputs!$K$6)^2),NA())</x:f>
        <x:v>402.25</x:v>
      </x:c>
      <x:c r="C212" s="48" t="n">
        <x:f>IF(OR(Inputs!$F$7=TRUE,Inputs!$F$7="TRUE",Inputs!$F$7=1),(Inputs!$H$7+Inputs!$L$7*(((Inputs!$I$7+(((A212)+1)/2)*(Inputs!$J$7-Inputs!$I$7)))/Inputs!$K$7)^2),NA())</x:f>
        <x:v>240.3125</x:v>
      </x:c>
      <x:c r="D212" s="48" t="n">
        <x:f>IF(OR(Inputs!$F$8=TRUE,Inputs!$F$8="TRUE",Inputs!$F$8=1),(Inputs!$H$8+Inputs!$L$8*(((Inputs!$I$8+(((A212)+1)/2)*(Inputs!$J$8-Inputs!$I$8)))/Inputs!$K$8)^2),NA())</x:f>
        <x:v>577.8125</x:v>
      </x:c>
      <x:c r="E212" s="48" t="n">
        <x:f>IF(OR(Inputs!$F$9=TRUE,Inputs!$F$9="TRUE",Inputs!$F$9=1),(Inputs!$H$9+Inputs!$L$9*(((Inputs!$I$9+(((A212)+1)/2)*(Inputs!$J$9-Inputs!$I$9)))/Inputs!$K$9)^2),NA())</x:f>
        <x:v>573.4375</x:v>
      </x:c>
      <x:c r="F212" s="49"/>
      <x:c r="G212" s="48" t="n">
        <x:f>A212</x:f>
        <x:v>0.75</x:v>
      </x:c>
      <x:c r="H212" s="48" t="n">
        <x:f>IF(OR(Inputs!$F$6=TRUE,Inputs!$F$6="TRUE",Inputs!$F$6=1),(((SQRT(((Inputs!$I$6+(((A212)+1)/2)*(Inputs!$J$6-Inputs!$I$6)))^2+Inputs!$C$6^2+((Inputs!$H$6+Inputs!$L$6*(((Inputs!$I$6+(((A212)+1)/2)*(Inputs!$J$6-Inputs!$I$6)))/Inputs!$K$6)^2))^2))-((Inputs!$H$6+Inputs!$L$6*(((Inputs!$I$6+(((A212)+1)/2)*(Inputs!$J$6-Inputs!$I$6)))/Inputs!$K$6)^2)))*1000/Inputs!$C$12),NA())</x:f>
        <x:v>1843.0302193297173</x:v>
      </x:c>
      <x:c r="I212" s="48" t="n">
        <x:f>IF(OR(Inputs!$F$7=TRUE,Inputs!$F$7="TRUE",Inputs!$F$7=1),(((SQRT(((Inputs!$I$7+(((A212)+1)/2)*(Inputs!$J$7-Inputs!$I$7)))^2+Inputs!$C$6^2+((Inputs!$H$7+Inputs!$L$7*(((Inputs!$I$7+(((A212)+1)/2)*(Inputs!$J$7-Inputs!$I$7)))/Inputs!$K$7)^2))^2))-((Inputs!$H$7+Inputs!$L$7*(((Inputs!$I$7+(((A212)+1)/2)*(Inputs!$J$7-Inputs!$I$7)))/Inputs!$K$7)^2)))*1000/Inputs!$C$12),NA())</x:f>
        <x:v>81394.59702100123</x:v>
      </x:c>
      <x:c r="J212" s="48" t="n">
        <x:f>IF(OR(Inputs!$F$8=TRUE,Inputs!$F$8="TRUE",Inputs!$F$8=1),(((SQRT(((Inputs!$I$8+(((A212)+1)/2)*(Inputs!$J$8-Inputs!$I$8)))^2+Inputs!$C$6^2+((Inputs!$H$8+Inputs!$L$8*(((Inputs!$I$8+(((A212)+1)/2)*(Inputs!$J$8-Inputs!$I$8)))/Inputs!$K$8)^2))^2))-((Inputs!$H$8+Inputs!$L$8*(((Inputs!$I$8+(((A212)+1)/2)*(Inputs!$J$8-Inputs!$I$8)))/Inputs!$K$8)^2)))*1000/Inputs!$C$12),NA())</x:f>
        <x:v>143567.15576745349</x:v>
      </x:c>
      <x:c r="K212" s="48" t="n">
        <x:f>IF(OR(Inputs!$F$9=TRUE,Inputs!$F$9="TRUE",Inputs!$F$9=1),(((SQRT(((Inputs!$I$9+(((A212)+1)/2)*(Inputs!$J$9-Inputs!$I$9)))^2+Inputs!$C$6^2+((Inputs!$H$9+Inputs!$L$9*(((Inputs!$I$9+(((A212)+1)/2)*(Inputs!$J$9-Inputs!$I$9)))/Inputs!$K$9)^2))^2))-((Inputs!$H$9+Inputs!$L$9*(((Inputs!$I$9+(((A212)+1)/2)*(Inputs!$J$9-Inputs!$I$9)))/Inputs!$K$9)^2)))*1000/Inputs!$C$12),NA())</x:f>
        <x:v>144324.21972439942</x:v>
      </x:c>
      <x:c r="L212" s="49"/>
      <x:c r="M212" s="48" t="n">
        <x:f>A212</x:f>
        <x:v>0.75</x:v>
      </x:c>
      <x:c r="N212" s="48" t="n">
        <x:f>IF(OR(Inputs!$F$6=TRUE,Inputs!$F$6="TRUE",Inputs!$F$6=1),(-2*((1000*((((Inputs!$I$6+(((A212)+1)/2)*(Inputs!$J$6-Inputs!$I$6)))*Inputs!$C$11+((Inputs!$H$6+Inputs!$L$6*(((Inputs!$I$6+(((A212)+1)/2)*(Inputs!$J$6-Inputs!$I$6)))/Inputs!$K$6)^2))*((2*Inputs!$L$6*((Inputs!$I$6+(((A212)+1)/2)*(Inputs!$J$6-Inputs!$I$6)))/(Inputs!$K$6^2)*Inputs!$C$11)))/(SQRT(((Inputs!$I$6+(((A212)+1)/2)*(Inputs!$J$6-Inputs!$I$6)))^2+Inputs!$C$6^2+((Inputs!$H$6+Inputs!$L$6*(((Inputs!$I$6+(((A212)+1)/2)*(Inputs!$J$6-Inputs!$I$6)))/Inputs!$K$6)^2))^2)))))/Inputs!$C$13),NA())</x:f>
        <x:v>-336.250833076421</x:v>
      </x:c>
      <x:c r="O212" s="48" t="n">
        <x:f>IF(OR(Inputs!$F$7=TRUE,Inputs!$F$7="TRUE",Inputs!$F$7=1),(-2*((1000*((((Inputs!$I$7+(((A212)+1)/2)*(Inputs!$J$7-Inputs!$I$7)))*Inputs!$C$11+((Inputs!$H$7+Inputs!$L$7*(((Inputs!$I$7+(((A212)+1)/2)*(Inputs!$J$7-Inputs!$I$7)))/Inputs!$K$7)^2))*((2*Inputs!$L$7*((Inputs!$I$7+(((A212)+1)/2)*(Inputs!$J$7-Inputs!$I$7)))/(Inputs!$K$7^2)*Inputs!$C$11)))/(SQRT(((Inputs!$I$7+(((A212)+1)/2)*(Inputs!$J$7-Inputs!$I$7)))^2+Inputs!$C$6^2+((Inputs!$H$7+Inputs!$L$7*(((Inputs!$I$7+(((A212)+1)/2)*(Inputs!$J$7-Inputs!$I$7)))/Inputs!$K$7)^2))^2)))))/Inputs!$C$13),NA())</x:f>
        <x:v>-2612.4032800055647</x:v>
      </x:c>
      <x:c r="P212" s="48" t="n">
        <x:f>IF(OR(Inputs!$F$8=TRUE,Inputs!$F$8="TRUE",Inputs!$F$8=1),(-2*((1000*((((Inputs!$I$8+(((A212)+1)/2)*(Inputs!$J$8-Inputs!$I$8)))*Inputs!$C$11+((Inputs!$H$8+Inputs!$L$8*(((Inputs!$I$8+(((A212)+1)/2)*(Inputs!$J$8-Inputs!$I$8)))/Inputs!$K$8)^2))*((2*Inputs!$L$8*((Inputs!$I$8+(((A212)+1)/2)*(Inputs!$J$8-Inputs!$I$8)))/(Inputs!$K$8^2)*Inputs!$C$11)))/(SQRT(((Inputs!$I$8+(((A212)+1)/2)*(Inputs!$J$8-Inputs!$I$8)))^2+Inputs!$C$6^2+((Inputs!$H$8+Inputs!$L$8*(((Inputs!$I$8+(((A212)+1)/2)*(Inputs!$J$8-Inputs!$I$8)))/Inputs!$K$8)^2))^2)))))/Inputs!$C$13),NA())</x:f>
        <x:v>-3159.2118068361656</x:v>
      </x:c>
      <x:c r="Q212" s="48" t="n">
        <x:f>IF(OR(Inputs!$F$9=TRUE,Inputs!$F$9="TRUE",Inputs!$F$9=1),(-2*((1000*((((Inputs!$I$9+(((A212)+1)/2)*(Inputs!$J$9-Inputs!$I$9)))*Inputs!$C$11+((Inputs!$H$9+Inputs!$L$9*(((Inputs!$I$9+(((A212)+1)/2)*(Inputs!$J$9-Inputs!$I$9)))/Inputs!$K$9)^2))*((2*Inputs!$L$9*((Inputs!$I$9+(((A212)+1)/2)*(Inputs!$J$9-Inputs!$I$9)))/(Inputs!$K$9^2)*Inputs!$C$11)))/(SQRT(((Inputs!$I$9+(((A212)+1)/2)*(Inputs!$J$9-Inputs!$I$9)))^2+Inputs!$C$6^2+((Inputs!$H$9+Inputs!$L$9*(((Inputs!$I$9+(((A212)+1)/2)*(Inputs!$J$9-Inputs!$I$9)))/Inputs!$K$9)^2))^2)))))/Inputs!$C$13),NA())</x:f>
        <x:v>-3176.1950570460153</x:v>
      </x:c>
      <x:c r="R212" s="49"/>
      <x:c r="S212" s="48" t="n">
        <x:f>A212</x:f>
        <x:v>0.75</x:v>
      </x:c>
      <x:c r="T212" s="48" t="n">
        <x:f>(Inputs!$I$6+(((A212)+1)/2)*(Inputs!$J$6-Inputs!$I$6))</x:f>
        <x:v>45</x:v>
      </x:c>
      <x:c r="U212" s="48" t="n">
        <x:f>(Inputs!$I$7+(((A212)+1)/2)*(Inputs!$J$7-Inputs!$I$7))</x:f>
        <x:v>300</x:v>
      </x:c>
      <x:c r="V212" s="48" t="n">
        <x:f>(Inputs!$I$8+(((A212)+1)/2)*(Inputs!$J$8-Inputs!$I$8))</x:f>
        <x:v>600</x:v>
      </x:c>
      <x:c r="W212" s="48" t="n">
        <x:f>(Inputs!$I$9+(((A212)+1)/2)*(Inputs!$J$9-Inputs!$I$9))</x:f>
        <x:v>600</x:v>
      </x:c>
      <x:c r="X212" s="49"/>
      <x:c r="Y212" s="48" t="n">
        <x:f>A212</x:f>
        <x:v>0.75</x:v>
      </x:c>
      <x:c r="Z212" s="48" t="n">
        <x:f>(Inputs!$H$6+Inputs!$L$6*(((Inputs!$I$6+(((A212)+1)/2)*(Inputs!$J$6-Inputs!$I$6)))/Inputs!$K$6)^2)</x:f>
        <x:v>402.25</x:v>
      </x:c>
      <x:c r="AA212" s="48" t="n">
        <x:f>(Inputs!$H$7+Inputs!$L$7*(((Inputs!$I$7+(((A212)+1)/2)*(Inputs!$J$7-Inputs!$I$7)))/Inputs!$K$7)^2)</x:f>
        <x:v>240.3125</x:v>
      </x:c>
      <x:c r="AB212" s="48" t="n">
        <x:f>(Inputs!$H$8+Inputs!$L$8*(((Inputs!$I$8+(((A212)+1)/2)*(Inputs!$J$8-Inputs!$I$8)))/Inputs!$K$8)^2)</x:f>
        <x:v>577.8125</x:v>
      </x:c>
      <x:c r="AC212" s="48" t="n">
        <x:f>(Inputs!$H$9+Inputs!$L$9*(((Inputs!$I$9+(((A212)+1)/2)*(Inputs!$J$9-Inputs!$I$9)))/Inputs!$K$9)^2)</x:f>
        <x:v>573.4375</x:v>
      </x:c>
      <x:c r="AD212" s="49"/>
      <x:c r="AE212" s="48" t="n">
        <x:f>A212</x:f>
        <x:v>0.75</x:v>
      </x:c>
      <x:c r="AF212" s="48" t="n">
        <x:f>(((SQRT(((Inputs!$I$6+(((A212)+1)/2)*(Inputs!$J$6-Inputs!$I$6)))^2+Inputs!$C$6^2+((Inputs!$H$6+Inputs!$L$6*(((Inputs!$I$6+(((A212)+1)/2)*(Inputs!$J$6-Inputs!$I$6)))/Inputs!$K$6)^2))^2))-((Inputs!$H$6+Inputs!$L$6*(((Inputs!$I$6+(((A212)+1)/2)*(Inputs!$J$6-Inputs!$I$6)))/Inputs!$K$6)^2)))*1000/Inputs!$C$12)</x:f>
        <x:v>1843.0302193297173</x:v>
      </x:c>
      <x:c r="AG212" s="48" t="n">
        <x:f>(((SQRT(((Inputs!$I$7+(((A212)+1)/2)*(Inputs!$J$7-Inputs!$I$7)))^2+Inputs!$C$6^2+((Inputs!$H$7+Inputs!$L$7*(((Inputs!$I$7+(((A212)+1)/2)*(Inputs!$J$7-Inputs!$I$7)))/Inputs!$K$7)^2))^2))-((Inputs!$H$7+Inputs!$L$7*(((Inputs!$I$7+(((A212)+1)/2)*(Inputs!$J$7-Inputs!$I$7)))/Inputs!$K$7)^2)))*1000/Inputs!$C$12)</x:f>
        <x:v>81394.59702100123</x:v>
      </x:c>
      <x:c r="AH212" s="48" t="n">
        <x:f>(((SQRT(((Inputs!$I$8+(((A212)+1)/2)*(Inputs!$J$8-Inputs!$I$8)))^2+Inputs!$C$6^2+((Inputs!$H$8+Inputs!$L$8*(((Inputs!$I$8+(((A212)+1)/2)*(Inputs!$J$8-Inputs!$I$8)))/Inputs!$K$8)^2))^2))-((Inputs!$H$8+Inputs!$L$8*(((Inputs!$I$8+(((A212)+1)/2)*(Inputs!$J$8-Inputs!$I$8)))/Inputs!$K$8)^2)))*1000/Inputs!$C$12)</x:f>
        <x:v>143567.15576745349</x:v>
      </x:c>
      <x:c r="AI212" s="48" t="n">
        <x:f>(((SQRT(((Inputs!$I$9+(((A212)+1)/2)*(Inputs!$J$9-Inputs!$I$9)))^2+Inputs!$C$6^2+((Inputs!$H$9+Inputs!$L$9*(((Inputs!$I$9+(((A212)+1)/2)*(Inputs!$J$9-Inputs!$I$9)))/Inputs!$K$9)^2))^2))-((Inputs!$H$9+Inputs!$L$9*(((Inputs!$I$9+(((A212)+1)/2)*(Inputs!$J$9-Inputs!$I$9)))/Inputs!$K$9)^2)))*1000/Inputs!$C$12)</x:f>
        <x:v>144324.21972439942</x:v>
      </x:c>
      <x:c r="AJ212" s="49"/>
      <x:c r="AK212" s="48" t="n">
        <x:f>A212</x:f>
        <x:v>0.75</x:v>
      </x:c>
      <x:c r="AL212" s="48" t="n">
        <x:f>(-2*((1000*((((Inputs!$I$6+(((A212)+1)/2)*(Inputs!$J$6-Inputs!$I$6)))*Inputs!$C$11+((Inputs!$H$6+Inputs!$L$6*(((Inputs!$I$6+(((A212)+1)/2)*(Inputs!$J$6-Inputs!$I$6)))/Inputs!$K$6)^2))*((2*Inputs!$L$6*((Inputs!$I$6+(((A212)+1)/2)*(Inputs!$J$6-Inputs!$I$6)))/(Inputs!$K$6^2)*Inputs!$C$11)))/(SQRT(((Inputs!$I$6+(((A212)+1)/2)*(Inputs!$J$6-Inputs!$I$6)))^2+Inputs!$C$6^2+((Inputs!$H$6+Inputs!$L$6*(((Inputs!$I$6+(((A212)+1)/2)*(Inputs!$J$6-Inputs!$I$6)))/Inputs!$K$6)^2))^2)))))/Inputs!$C$13)</x:f>
        <x:v>-336.250833076421</x:v>
      </x:c>
      <x:c r="AM212" s="48" t="n">
        <x:f>(-2*((1000*((((Inputs!$I$7+(((A212)+1)/2)*(Inputs!$J$7-Inputs!$I$7)))*Inputs!$C$11+((Inputs!$H$7+Inputs!$L$7*(((Inputs!$I$7+(((A212)+1)/2)*(Inputs!$J$7-Inputs!$I$7)))/Inputs!$K$7)^2))*((2*Inputs!$L$7*((Inputs!$I$7+(((A212)+1)/2)*(Inputs!$J$7-Inputs!$I$7)))/(Inputs!$K$7^2)*Inputs!$C$11)))/(SQRT(((Inputs!$I$7+(((A212)+1)/2)*(Inputs!$J$7-Inputs!$I$7)))^2+Inputs!$C$6^2+((Inputs!$H$7+Inputs!$L$7*(((Inputs!$I$7+(((A212)+1)/2)*(Inputs!$J$7-Inputs!$I$7)))/Inputs!$K$7)^2))^2)))))/Inputs!$C$13)</x:f>
        <x:v>-2612.4032800055647</x:v>
      </x:c>
      <x:c r="AN212" s="48" t="n">
        <x:f>(-2*((1000*((((Inputs!$I$8+(((A212)+1)/2)*(Inputs!$J$8-Inputs!$I$8)))*Inputs!$C$11+((Inputs!$H$8+Inputs!$L$8*(((Inputs!$I$8+(((A212)+1)/2)*(Inputs!$J$8-Inputs!$I$8)))/Inputs!$K$8)^2))*((2*Inputs!$L$8*((Inputs!$I$8+(((A212)+1)/2)*(Inputs!$J$8-Inputs!$I$8)))/(Inputs!$K$8^2)*Inputs!$C$11)))/(SQRT(((Inputs!$I$8+(((A212)+1)/2)*(Inputs!$J$8-Inputs!$I$8)))^2+Inputs!$C$6^2+((Inputs!$H$8+Inputs!$L$8*(((Inputs!$I$8+(((A212)+1)/2)*(Inputs!$J$8-Inputs!$I$8)))/Inputs!$K$8)^2))^2)))))/Inputs!$C$13)</x:f>
        <x:v>-3159.2118068361656</x:v>
      </x:c>
      <x:c r="AO212" s="48" t="n">
        <x:f>(-2*((1000*((((Inputs!$I$9+(((A212)+1)/2)*(Inputs!$J$9-Inputs!$I$9)))*Inputs!$C$11+((Inputs!$H$9+Inputs!$L$9*(((Inputs!$I$9+(((A212)+1)/2)*(Inputs!$J$9-Inputs!$I$9)))/Inputs!$K$9)^2))*((2*Inputs!$L$9*((Inputs!$I$9+(((A212)+1)/2)*(Inputs!$J$9-Inputs!$I$9)))/(Inputs!$K$9^2)*Inputs!$C$11)))/(SQRT(((Inputs!$I$9+(((A212)+1)/2)*(Inputs!$J$9-Inputs!$I$9)))^2+Inputs!$C$6^2+((Inputs!$H$9+Inputs!$L$9*(((Inputs!$I$9+(((A212)+1)/2)*(Inputs!$J$9-Inputs!$I$9)))/Inputs!$K$9)^2))^2)))))/Inputs!$C$13)</x:f>
        <x:v>-3176.1950570460153</x:v>
      </x:c>
    </x:row>
    <x:row r="213">
      <x:c r="A213" s="48" t="n">
        <x:f>ROUND(-1+211*2/240,3)</x:f>
        <x:v>0.758</x:v>
      </x:c>
      <x:c r="B213" s="48" t="n">
        <x:f>IF(OR(Inputs!$F$6=TRUE,Inputs!$F$6="TRUE",Inputs!$F$6=1),(Inputs!$H$6+Inputs!$L$6*(((Inputs!$I$6+(((A213)+1)/2)*(Inputs!$J$6-Inputs!$I$6)))/Inputs!$K$6)^2),NA())</x:f>
        <x:v>402.298256</x:v>
      </x:c>
      <x:c r="C213" s="48" t="n">
        <x:f>IF(OR(Inputs!$F$7=TRUE,Inputs!$F$7="TRUE",Inputs!$F$7=1),(Inputs!$H$7+Inputs!$L$7*(((Inputs!$I$7+(((A213)+1)/2)*(Inputs!$J$7-Inputs!$I$7)))/Inputs!$K$7)^2),NA())</x:f>
        <x:v>244.71586000000008</x:v>
      </x:c>
      <x:c r="D213" s="48" t="n">
        <x:f>IF(OR(Inputs!$F$8=TRUE,Inputs!$F$8="TRUE",Inputs!$F$8=1),(Inputs!$H$8+Inputs!$L$8*(((Inputs!$I$8+(((A213)+1)/2)*(Inputs!$J$8-Inputs!$I$8)))/Inputs!$K$8)^2),NA())</x:f>
        <x:v>589.4542600000002</x:v>
      </x:c>
      <x:c r="E213" s="48" t="n">
        <x:f>IF(OR(Inputs!$F$9=TRUE,Inputs!$F$9="TRUE",Inputs!$F$9=1),(Inputs!$H$9+Inputs!$L$9*(((Inputs!$I$9+(((A213)+1)/2)*(Inputs!$J$9-Inputs!$I$9)))/Inputs!$K$9)^2),NA())</x:f>
        <x:v>585.1999000000002</x:v>
      </x:c>
      <x:c r="F213" s="49"/>
      <x:c r="G213" s="48" t="n">
        <x:f>A213</x:f>
        <x:v>0.758</x:v>
      </x:c>
      <x:c r="H213" s="48" t="n">
        <x:f>IF(OR(Inputs!$F$6=TRUE,Inputs!$F$6="TRUE",Inputs!$F$6=1),(((SQRT(((Inputs!$I$6+(((A213)+1)/2)*(Inputs!$J$6-Inputs!$I$6)))^2+Inputs!$C$6^2+((Inputs!$H$6+Inputs!$L$6*(((Inputs!$I$6+(((A213)+1)/2)*(Inputs!$J$6-Inputs!$I$6)))/Inputs!$K$6)^2))^2))-((Inputs!$H$6+Inputs!$L$6*(((Inputs!$I$6+(((A213)+1)/2)*(Inputs!$J$6-Inputs!$I$6)))/Inputs!$K$6)^2)))*1000/Inputs!$C$12),NA())</x:f>
        <x:v>1872.888334121801</x:v>
      </x:c>
      <x:c r="I213" s="48" t="n">
        <x:f>IF(OR(Inputs!$F$7=TRUE,Inputs!$F$7="TRUE",Inputs!$F$7=1),(((SQRT(((Inputs!$I$7+(((A213)+1)/2)*(Inputs!$J$7-Inputs!$I$7)))^2+Inputs!$C$6^2+((Inputs!$H$7+Inputs!$L$7*(((Inputs!$I$7+(((A213)+1)/2)*(Inputs!$J$7-Inputs!$I$7)))/Inputs!$K$7)^2))^2))-((Inputs!$H$7+Inputs!$L$7*(((Inputs!$I$7+(((A213)+1)/2)*(Inputs!$J$7-Inputs!$I$7)))/Inputs!$K$7)^2)))*1000/Inputs!$C$12),NA())</x:f>
        <x:v>81865.8386059211</x:v>
      </x:c>
      <x:c r="J213" s="48" t="n">
        <x:f>IF(OR(Inputs!$F$8=TRUE,Inputs!$F$8="TRUE",Inputs!$F$8=1),(((SQRT(((Inputs!$I$8+(((A213)+1)/2)*(Inputs!$J$8-Inputs!$I$8)))^2+Inputs!$C$6^2+((Inputs!$H$8+Inputs!$L$8*(((Inputs!$I$8+(((A213)+1)/2)*(Inputs!$J$8-Inputs!$I$8)))/Inputs!$K$8)^2))^2))-((Inputs!$H$8+Inputs!$L$8*(((Inputs!$I$8+(((A213)+1)/2)*(Inputs!$J$8-Inputs!$I$8)))/Inputs!$K$8)^2)))*1000/Inputs!$C$12),NA())</x:f>
        <x:v>144155.46860033617</x:v>
      </x:c>
      <x:c r="K213" s="48" t="n">
        <x:f>IF(OR(Inputs!$F$9=TRUE,Inputs!$F$9="TRUE",Inputs!$F$9=1),(((SQRT(((Inputs!$I$9+(((A213)+1)/2)*(Inputs!$J$9-Inputs!$I$9)))^2+Inputs!$C$6^2+((Inputs!$H$9+Inputs!$L$9*(((Inputs!$I$9+(((A213)+1)/2)*(Inputs!$J$9-Inputs!$I$9)))/Inputs!$K$9)^2))^2))-((Inputs!$H$9+Inputs!$L$9*(((Inputs!$I$9+(((A213)+1)/2)*(Inputs!$J$9-Inputs!$I$9)))/Inputs!$K$9)^2)))*1000/Inputs!$C$12),NA())</x:f>
        <x:v>144883.45629326784</x:v>
      </x:c>
      <x:c r="L213" s="49"/>
      <x:c r="M213" s="48" t="n">
        <x:f>A213</x:f>
        <x:v>0.758</x:v>
      </x:c>
      <x:c r="N213" s="48" t="n">
        <x:f>IF(OR(Inputs!$F$6=TRUE,Inputs!$F$6="TRUE",Inputs!$F$6=1),(-2*((1000*((((Inputs!$I$6+(((A213)+1)/2)*(Inputs!$J$6-Inputs!$I$6)))*Inputs!$C$11+((Inputs!$H$6+Inputs!$L$6*(((Inputs!$I$6+(((A213)+1)/2)*(Inputs!$J$6-Inputs!$I$6)))/Inputs!$K$6)^2))*((2*Inputs!$L$6*((Inputs!$I$6+(((A213)+1)/2)*(Inputs!$J$6-Inputs!$I$6)))/(Inputs!$K$6^2)*Inputs!$C$11)))/(SQRT(((Inputs!$I$6+(((A213)+1)/2)*(Inputs!$J$6-Inputs!$I$6)))^2+Inputs!$C$6^2+((Inputs!$H$6+Inputs!$L$6*(((Inputs!$I$6+(((A213)+1)/2)*(Inputs!$J$6-Inputs!$I$6)))/Inputs!$K$6)^2))^2)))))/Inputs!$C$13),NA())</x:f>
        <x:v>-339.77179049762293</x:v>
      </x:c>
      <x:c r="O213" s="48" t="n">
        <x:f>IF(OR(Inputs!$F$7=TRUE,Inputs!$F$7="TRUE",Inputs!$F$7=1),(-2*((1000*((((Inputs!$I$7+(((A213)+1)/2)*(Inputs!$J$7-Inputs!$I$7)))*Inputs!$C$11+((Inputs!$H$7+Inputs!$L$7*(((Inputs!$I$7+(((A213)+1)/2)*(Inputs!$J$7-Inputs!$I$7)))/Inputs!$K$7)^2))*((2*Inputs!$L$7*((Inputs!$I$7+(((A213)+1)/2)*(Inputs!$J$7-Inputs!$I$7)))/(Inputs!$K$7^2)*Inputs!$C$11)))/(SQRT(((Inputs!$I$7+(((A213)+1)/2)*(Inputs!$J$7-Inputs!$I$7)))^2+Inputs!$C$6^2+((Inputs!$H$7+Inputs!$L$7*(((Inputs!$I$7+(((A213)+1)/2)*(Inputs!$J$7-Inputs!$I$7)))/Inputs!$K$7)^2))^2)))))/Inputs!$C$13),NA())</x:f>
        <x:v>-2629.781903998183</x:v>
      </x:c>
      <x:c r="P213" s="48" t="n">
        <x:f>IF(OR(Inputs!$F$8=TRUE,Inputs!$F$8="TRUE",Inputs!$F$8=1),(-2*((1000*((((Inputs!$I$8+(((A213)+1)/2)*(Inputs!$J$8-Inputs!$I$8)))*Inputs!$C$11+((Inputs!$H$8+Inputs!$L$8*(((Inputs!$I$8+(((A213)+1)/2)*(Inputs!$J$8-Inputs!$I$8)))/Inputs!$K$8)^2))*((2*Inputs!$L$8*((Inputs!$I$8+(((A213)+1)/2)*(Inputs!$J$8-Inputs!$I$8)))/(Inputs!$K$8^2)*Inputs!$C$11)))/(SQRT(((Inputs!$I$8+(((A213)+1)/2)*(Inputs!$J$8-Inputs!$I$8)))^2+Inputs!$C$6^2+((Inputs!$H$8+Inputs!$L$8*(((Inputs!$I$8+(((A213)+1)/2)*(Inputs!$J$8-Inputs!$I$8)))/Inputs!$K$8)^2))^2)))))/Inputs!$C$13),NA())</x:f>
        <x:v>-3185.283687407243</x:v>
      </x:c>
      <x:c r="Q213" s="48" t="n">
        <x:f>IF(OR(Inputs!$F$9=TRUE,Inputs!$F$9="TRUE",Inputs!$F$9=1),(-2*((1000*((((Inputs!$I$9+(((A213)+1)/2)*(Inputs!$J$9-Inputs!$I$9)))*Inputs!$C$11+((Inputs!$H$9+Inputs!$L$9*(((Inputs!$I$9+(((A213)+1)/2)*(Inputs!$J$9-Inputs!$I$9)))/Inputs!$K$9)^2))*((2*Inputs!$L$9*((Inputs!$I$9+(((A213)+1)/2)*(Inputs!$J$9-Inputs!$I$9)))/(Inputs!$K$9^2)*Inputs!$C$11)))/(SQRT(((Inputs!$I$9+(((A213)+1)/2)*(Inputs!$J$9-Inputs!$I$9)))^2+Inputs!$C$6^2+((Inputs!$H$9+Inputs!$L$9*(((Inputs!$I$9+(((A213)+1)/2)*(Inputs!$J$9-Inputs!$I$9)))/Inputs!$K$9)^2))^2)))))/Inputs!$C$13),NA())</x:f>
        <x:v>-3202.7424007029217</x:v>
      </x:c>
      <x:c r="R213" s="49"/>
      <x:c r="S213" s="48" t="n">
        <x:f>A213</x:f>
        <x:v>0.758</x:v>
      </x:c>
      <x:c r="T213" s="48" t="n">
        <x:f>(Inputs!$I$6+(((A213)+1)/2)*(Inputs!$J$6-Inputs!$I$6))</x:f>
        <x:v>45.480000000000004</x:v>
      </x:c>
      <x:c r="U213" s="48" t="n">
        <x:f>(Inputs!$I$7+(((A213)+1)/2)*(Inputs!$J$7-Inputs!$I$7))</x:f>
        <x:v>303.20000000000005</x:v>
      </x:c>
      <x:c r="V213" s="48" t="n">
        <x:f>(Inputs!$I$8+(((A213)+1)/2)*(Inputs!$J$8-Inputs!$I$8))</x:f>
        <x:v>606.4000000000001</x:v>
      </x:c>
      <x:c r="W213" s="48" t="n">
        <x:f>(Inputs!$I$9+(((A213)+1)/2)*(Inputs!$J$9-Inputs!$I$9))</x:f>
        <x:v>606.4000000000001</x:v>
      </x:c>
      <x:c r="X213" s="49"/>
      <x:c r="Y213" s="48" t="n">
        <x:f>A213</x:f>
        <x:v>0.758</x:v>
      </x:c>
      <x:c r="Z213" s="48" t="n">
        <x:f>(Inputs!$H$6+Inputs!$L$6*(((Inputs!$I$6+(((A213)+1)/2)*(Inputs!$J$6-Inputs!$I$6)))/Inputs!$K$6)^2)</x:f>
        <x:v>402.298256</x:v>
      </x:c>
      <x:c r="AA213" s="48" t="n">
        <x:f>(Inputs!$H$7+Inputs!$L$7*(((Inputs!$I$7+(((A213)+1)/2)*(Inputs!$J$7-Inputs!$I$7)))/Inputs!$K$7)^2)</x:f>
        <x:v>244.71586000000008</x:v>
      </x:c>
      <x:c r="AB213" s="48" t="n">
        <x:f>(Inputs!$H$8+Inputs!$L$8*(((Inputs!$I$8+(((A213)+1)/2)*(Inputs!$J$8-Inputs!$I$8)))/Inputs!$K$8)^2)</x:f>
        <x:v>589.4542600000002</x:v>
      </x:c>
      <x:c r="AC213" s="48" t="n">
        <x:f>(Inputs!$H$9+Inputs!$L$9*(((Inputs!$I$9+(((A213)+1)/2)*(Inputs!$J$9-Inputs!$I$9)))/Inputs!$K$9)^2)</x:f>
        <x:v>585.1999000000002</x:v>
      </x:c>
      <x:c r="AD213" s="49"/>
      <x:c r="AE213" s="48" t="n">
        <x:f>A213</x:f>
        <x:v>0.758</x:v>
      </x:c>
      <x:c r="AF213" s="48" t="n">
        <x:f>(((SQRT(((Inputs!$I$6+(((A213)+1)/2)*(Inputs!$J$6-Inputs!$I$6)))^2+Inputs!$C$6^2+((Inputs!$H$6+Inputs!$L$6*(((Inputs!$I$6+(((A213)+1)/2)*(Inputs!$J$6-Inputs!$I$6)))/Inputs!$K$6)^2))^2))-((Inputs!$H$6+Inputs!$L$6*(((Inputs!$I$6+(((A213)+1)/2)*(Inputs!$J$6-Inputs!$I$6)))/Inputs!$K$6)^2)))*1000/Inputs!$C$12)</x:f>
        <x:v>1872.888334121801</x:v>
      </x:c>
      <x:c r="AG213" s="48" t="n">
        <x:f>(((SQRT(((Inputs!$I$7+(((A213)+1)/2)*(Inputs!$J$7-Inputs!$I$7)))^2+Inputs!$C$6^2+((Inputs!$H$7+Inputs!$L$7*(((Inputs!$I$7+(((A213)+1)/2)*(Inputs!$J$7-Inputs!$I$7)))/Inputs!$K$7)^2))^2))-((Inputs!$H$7+Inputs!$L$7*(((Inputs!$I$7+(((A213)+1)/2)*(Inputs!$J$7-Inputs!$I$7)))/Inputs!$K$7)^2)))*1000/Inputs!$C$12)</x:f>
        <x:v>81865.8386059211</x:v>
      </x:c>
      <x:c r="AH213" s="48" t="n">
        <x:f>(((SQRT(((Inputs!$I$8+(((A213)+1)/2)*(Inputs!$J$8-Inputs!$I$8)))^2+Inputs!$C$6^2+((Inputs!$H$8+Inputs!$L$8*(((Inputs!$I$8+(((A213)+1)/2)*(Inputs!$J$8-Inputs!$I$8)))/Inputs!$K$8)^2))^2))-((Inputs!$H$8+Inputs!$L$8*(((Inputs!$I$8+(((A213)+1)/2)*(Inputs!$J$8-Inputs!$I$8)))/Inputs!$K$8)^2)))*1000/Inputs!$C$12)</x:f>
        <x:v>144155.46860033617</x:v>
      </x:c>
      <x:c r="AI213" s="48" t="n">
        <x:f>(((SQRT(((Inputs!$I$9+(((A213)+1)/2)*(Inputs!$J$9-Inputs!$I$9)))^2+Inputs!$C$6^2+((Inputs!$H$9+Inputs!$L$9*(((Inputs!$I$9+(((A213)+1)/2)*(Inputs!$J$9-Inputs!$I$9)))/Inputs!$K$9)^2))^2))-((Inputs!$H$9+Inputs!$L$9*(((Inputs!$I$9+(((A213)+1)/2)*(Inputs!$J$9-Inputs!$I$9)))/Inputs!$K$9)^2)))*1000/Inputs!$C$12)</x:f>
        <x:v>144883.45629326784</x:v>
      </x:c>
      <x:c r="AJ213" s="49"/>
      <x:c r="AK213" s="48" t="n">
        <x:f>A213</x:f>
        <x:v>0.758</x:v>
      </x:c>
      <x:c r="AL213" s="48" t="n">
        <x:f>(-2*((1000*((((Inputs!$I$6+(((A213)+1)/2)*(Inputs!$J$6-Inputs!$I$6)))*Inputs!$C$11+((Inputs!$H$6+Inputs!$L$6*(((Inputs!$I$6+(((A213)+1)/2)*(Inputs!$J$6-Inputs!$I$6)))/Inputs!$K$6)^2))*((2*Inputs!$L$6*((Inputs!$I$6+(((A213)+1)/2)*(Inputs!$J$6-Inputs!$I$6)))/(Inputs!$K$6^2)*Inputs!$C$11)))/(SQRT(((Inputs!$I$6+(((A213)+1)/2)*(Inputs!$J$6-Inputs!$I$6)))^2+Inputs!$C$6^2+((Inputs!$H$6+Inputs!$L$6*(((Inputs!$I$6+(((A213)+1)/2)*(Inputs!$J$6-Inputs!$I$6)))/Inputs!$K$6)^2))^2)))))/Inputs!$C$13)</x:f>
        <x:v>-339.77179049762293</x:v>
      </x:c>
      <x:c r="AM213" s="48" t="n">
        <x:f>(-2*((1000*((((Inputs!$I$7+(((A213)+1)/2)*(Inputs!$J$7-Inputs!$I$7)))*Inputs!$C$11+((Inputs!$H$7+Inputs!$L$7*(((Inputs!$I$7+(((A213)+1)/2)*(Inputs!$J$7-Inputs!$I$7)))/Inputs!$K$7)^2))*((2*Inputs!$L$7*((Inputs!$I$7+(((A213)+1)/2)*(Inputs!$J$7-Inputs!$I$7)))/(Inputs!$K$7^2)*Inputs!$C$11)))/(SQRT(((Inputs!$I$7+(((A213)+1)/2)*(Inputs!$J$7-Inputs!$I$7)))^2+Inputs!$C$6^2+((Inputs!$H$7+Inputs!$L$7*(((Inputs!$I$7+(((A213)+1)/2)*(Inputs!$J$7-Inputs!$I$7)))/Inputs!$K$7)^2))^2)))))/Inputs!$C$13)</x:f>
        <x:v>-2629.781903998183</x:v>
      </x:c>
      <x:c r="AN213" s="48" t="n">
        <x:f>(-2*((1000*((((Inputs!$I$8+(((A213)+1)/2)*(Inputs!$J$8-Inputs!$I$8)))*Inputs!$C$11+((Inputs!$H$8+Inputs!$L$8*(((Inputs!$I$8+(((A213)+1)/2)*(Inputs!$J$8-Inputs!$I$8)))/Inputs!$K$8)^2))*((2*Inputs!$L$8*((Inputs!$I$8+(((A213)+1)/2)*(Inputs!$J$8-Inputs!$I$8)))/(Inputs!$K$8^2)*Inputs!$C$11)))/(SQRT(((Inputs!$I$8+(((A213)+1)/2)*(Inputs!$J$8-Inputs!$I$8)))^2+Inputs!$C$6^2+((Inputs!$H$8+Inputs!$L$8*(((Inputs!$I$8+(((A213)+1)/2)*(Inputs!$J$8-Inputs!$I$8)))/Inputs!$K$8)^2))^2)))))/Inputs!$C$13)</x:f>
        <x:v>-3185.283687407243</x:v>
      </x:c>
      <x:c r="AO213" s="48" t="n">
        <x:f>(-2*((1000*((((Inputs!$I$9+(((A213)+1)/2)*(Inputs!$J$9-Inputs!$I$9)))*Inputs!$C$11+((Inputs!$H$9+Inputs!$L$9*(((Inputs!$I$9+(((A213)+1)/2)*(Inputs!$J$9-Inputs!$I$9)))/Inputs!$K$9)^2))*((2*Inputs!$L$9*((Inputs!$I$9+(((A213)+1)/2)*(Inputs!$J$9-Inputs!$I$9)))/(Inputs!$K$9^2)*Inputs!$C$11)))/(SQRT(((Inputs!$I$9+(((A213)+1)/2)*(Inputs!$J$9-Inputs!$I$9)))^2+Inputs!$C$6^2+((Inputs!$H$9+Inputs!$L$9*(((Inputs!$I$9+(((A213)+1)/2)*(Inputs!$J$9-Inputs!$I$9)))/Inputs!$K$9)^2))^2)))))/Inputs!$C$13)</x:f>
        <x:v>-3202.7424007029217</x:v>
      </x:c>
    </x:row>
    <x:row r="214">
      <x:c r="A214" s="48" t="n">
        <x:f>ROUND(-1+212*2/240,3)</x:f>
        <x:v>0.767</x:v>
      </x:c>
      <x:c r="B214" s="48" t="n">
        <x:f>IF(OR(Inputs!$F$6=TRUE,Inputs!$F$6="TRUE",Inputs!$F$6=1),(Inputs!$H$6+Inputs!$L$6*(((Inputs!$I$6+(((A214)+1)/2)*(Inputs!$J$6-Inputs!$I$6)))/Inputs!$K$6)^2),NA())</x:f>
        <x:v>402.353156</x:v>
      </x:c>
      <x:c r="C214" s="48" t="n">
        <x:f>IF(OR(Inputs!$F$7=TRUE,Inputs!$F$7="TRUE",Inputs!$F$7=1),(Inputs!$H$7+Inputs!$L$7*(((Inputs!$I$7+(((A214)+1)/2)*(Inputs!$J$7-Inputs!$I$7)))/Inputs!$K$7)^2),NA())</x:f>
        <x:v>249.72548499999994</x:v>
      </x:c>
      <x:c r="D214" s="48" t="n">
        <x:f>IF(OR(Inputs!$F$8=TRUE,Inputs!$F$8="TRUE",Inputs!$F$8=1),(Inputs!$H$8+Inputs!$L$8*(((Inputs!$I$8+(((A214)+1)/2)*(Inputs!$J$8-Inputs!$I$8)))/Inputs!$K$8)^2),NA())</x:f>
        <x:v>602.6988849999998</x:v>
      </x:c>
      <x:c r="E214" s="48" t="n">
        <x:f>IF(OR(Inputs!$F$9=TRUE,Inputs!$F$9="TRUE",Inputs!$F$9=1),(Inputs!$H$9+Inputs!$L$9*(((Inputs!$I$9+(((A214)+1)/2)*(Inputs!$J$9-Inputs!$I$9)))/Inputs!$K$9)^2),NA())</x:f>
        <x:v>598.5817749999999</x:v>
      </x:c>
      <x:c r="F214" s="49"/>
      <x:c r="G214" s="48" t="n">
        <x:f>A214</x:f>
        <x:v>0.767</x:v>
      </x:c>
      <x:c r="H214" s="48" t="n">
        <x:f>IF(OR(Inputs!$F$6=TRUE,Inputs!$F$6="TRUE",Inputs!$F$6=1),(((SQRT(((Inputs!$I$6+(((A214)+1)/2)*(Inputs!$J$6-Inputs!$I$6)))^2+Inputs!$C$6^2+((Inputs!$H$6+Inputs!$L$6*(((Inputs!$I$6+(((A214)+1)/2)*(Inputs!$J$6-Inputs!$I$6)))/Inputs!$K$6)^2))^2))-((Inputs!$H$6+Inputs!$L$6*(((Inputs!$I$6+(((A214)+1)/2)*(Inputs!$J$6-Inputs!$I$6)))/Inputs!$K$6)^2)))*1000/Inputs!$C$12),NA())</x:f>
        <x:v>1906.8439926586877</x:v>
      </x:c>
      <x:c r="I214" s="48" t="n">
        <x:f>IF(OR(Inputs!$F$7=TRUE,Inputs!$F$7="TRUE",Inputs!$F$7=1),(((SQRT(((Inputs!$I$7+(((A214)+1)/2)*(Inputs!$J$7-Inputs!$I$7)))^2+Inputs!$C$6^2+((Inputs!$H$7+Inputs!$L$7*(((Inputs!$I$7+(((A214)+1)/2)*(Inputs!$J$7-Inputs!$I$7)))/Inputs!$K$7)^2))^2))-((Inputs!$H$7+Inputs!$L$7*(((Inputs!$I$7+(((A214)+1)/2)*(Inputs!$J$7-Inputs!$I$7)))/Inputs!$K$7)^2)))*1000/Inputs!$C$12),NA())</x:f>
        <x:v>82388.01799198247</x:v>
      </x:c>
      <x:c r="J214" s="48" t="n">
        <x:f>IF(OR(Inputs!$F$8=TRUE,Inputs!$F$8="TRUE",Inputs!$F$8=1),(((SQRT(((Inputs!$I$8+(((A214)+1)/2)*(Inputs!$J$8-Inputs!$I$8)))^2+Inputs!$C$6^2+((Inputs!$H$8+Inputs!$L$8*(((Inputs!$I$8+(((A214)+1)/2)*(Inputs!$J$8-Inputs!$I$8)))/Inputs!$K$8)^2))^2))-((Inputs!$H$8+Inputs!$L$8*(((Inputs!$I$8+(((A214)+1)/2)*(Inputs!$J$8-Inputs!$I$8)))/Inputs!$K$8)^2)))*1000/Inputs!$C$12),NA())</x:f>
        <x:v>144804.55330166384</x:v>
      </x:c>
      <x:c r="K214" s="48" t="n">
        <x:f>IF(OR(Inputs!$F$9=TRUE,Inputs!$F$9="TRUE",Inputs!$F$9=1),(((SQRT(((Inputs!$I$9+(((A214)+1)/2)*(Inputs!$J$9-Inputs!$I$9)))^2+Inputs!$C$6^2+((Inputs!$H$9+Inputs!$L$9*(((Inputs!$I$9+(((A214)+1)/2)*(Inputs!$J$9-Inputs!$I$9)))/Inputs!$K$9)^2))^2))-((Inputs!$H$9+Inputs!$L$9*(((Inputs!$I$9+(((A214)+1)/2)*(Inputs!$J$9-Inputs!$I$9)))/Inputs!$K$9)^2)))*1000/Inputs!$C$12),NA())</x:f>
        <x:v>145500.24634663132</x:v>
      </x:c>
      <x:c r="L214" s="49"/>
      <x:c r="M214" s="48" t="n">
        <x:f>A214</x:f>
        <x:v>0.767</x:v>
      </x:c>
      <x:c r="N214" s="48" t="n">
        <x:f>IF(OR(Inputs!$F$6=TRUE,Inputs!$F$6="TRUE",Inputs!$F$6=1),(-2*((1000*((((Inputs!$I$6+(((A214)+1)/2)*(Inputs!$J$6-Inputs!$I$6)))*Inputs!$C$11+((Inputs!$H$6+Inputs!$L$6*(((Inputs!$I$6+(((A214)+1)/2)*(Inputs!$J$6-Inputs!$I$6)))/Inputs!$K$6)^2))*((2*Inputs!$L$6*((Inputs!$I$6+(((A214)+1)/2)*(Inputs!$J$6-Inputs!$I$6)))/(Inputs!$K$6^2)*Inputs!$C$11)))/(SQRT(((Inputs!$I$6+(((A214)+1)/2)*(Inputs!$J$6-Inputs!$I$6)))^2+Inputs!$C$6^2+((Inputs!$H$6+Inputs!$L$6*(((Inputs!$I$6+(((A214)+1)/2)*(Inputs!$J$6-Inputs!$I$6)))/Inputs!$K$6)^2))^2)))))/Inputs!$C$13),NA())</x:f>
        <x:v>-343.7304267257849</x:v>
      </x:c>
      <x:c r="O214" s="48" t="n">
        <x:f>IF(OR(Inputs!$F$7=TRUE,Inputs!$F$7="TRUE",Inputs!$F$7=1),(-2*((1000*((((Inputs!$I$7+(((A214)+1)/2)*(Inputs!$J$7-Inputs!$I$7)))*Inputs!$C$11+((Inputs!$H$7+Inputs!$L$7*(((Inputs!$I$7+(((A214)+1)/2)*(Inputs!$J$7-Inputs!$I$7)))/Inputs!$K$7)^2))*((2*Inputs!$L$7*((Inputs!$I$7+(((A214)+1)/2)*(Inputs!$J$7-Inputs!$I$7)))/(Inputs!$K$7^2)*Inputs!$C$11)))/(SQRT(((Inputs!$I$7+(((A214)+1)/2)*(Inputs!$J$7-Inputs!$I$7)))^2+Inputs!$C$6^2+((Inputs!$H$7+Inputs!$L$7*(((Inputs!$I$7+(((A214)+1)/2)*(Inputs!$J$7-Inputs!$I$7)))/Inputs!$K$7)^2))^2)))))/Inputs!$C$13),NA())</x:f>
        <x:v>-2649.4408571533554</x:v>
      </x:c>
      <x:c r="P214" s="48" t="n">
        <x:f>IF(OR(Inputs!$F$8=TRUE,Inputs!$F$8="TRUE",Inputs!$F$8=1),(-2*((1000*((((Inputs!$I$8+(((A214)+1)/2)*(Inputs!$J$8-Inputs!$I$8)))*Inputs!$C$11+((Inputs!$H$8+Inputs!$L$8*(((Inputs!$I$8+(((A214)+1)/2)*(Inputs!$J$8-Inputs!$I$8)))/Inputs!$K$8)^2))*((2*Inputs!$L$8*((Inputs!$I$8+(((A214)+1)/2)*(Inputs!$J$8-Inputs!$I$8)))/(Inputs!$K$8^2)*Inputs!$C$11)))/(SQRT(((Inputs!$I$8+(((A214)+1)/2)*(Inputs!$J$8-Inputs!$I$8)))^2+Inputs!$C$6^2+((Inputs!$H$8+Inputs!$L$8*(((Inputs!$I$8+(((A214)+1)/2)*(Inputs!$J$8-Inputs!$I$8)))/Inputs!$K$8)^2))^2)))))/Inputs!$C$13),NA())</x:f>
        <x:v>-3214.7355345645374</x:v>
      </x:c>
      <x:c r="Q214" s="48" t="n">
        <x:f>IF(OR(Inputs!$F$9=TRUE,Inputs!$F$9="TRUE",Inputs!$F$9=1),(-2*((1000*((((Inputs!$I$9+(((A214)+1)/2)*(Inputs!$J$9-Inputs!$I$9)))*Inputs!$C$11+((Inputs!$H$9+Inputs!$L$9*(((Inputs!$I$9+(((A214)+1)/2)*(Inputs!$J$9-Inputs!$I$9)))/Inputs!$K$9)^2))*((2*Inputs!$L$9*((Inputs!$I$9+(((A214)+1)/2)*(Inputs!$J$9-Inputs!$I$9)))/(Inputs!$K$9^2)*Inputs!$C$11)))/(SQRT(((Inputs!$I$9+(((A214)+1)/2)*(Inputs!$J$9-Inputs!$I$9)))^2+Inputs!$C$6^2+((Inputs!$H$9+Inputs!$L$9*(((Inputs!$I$9+(((A214)+1)/2)*(Inputs!$J$9-Inputs!$I$9)))/Inputs!$K$9)^2))^2)))))/Inputs!$C$13),NA())</x:f>
        <x:v>-3232.727949816189</x:v>
      </x:c>
      <x:c r="R214" s="49"/>
      <x:c r="S214" s="48" t="n">
        <x:f>A214</x:f>
        <x:v>0.767</x:v>
      </x:c>
      <x:c r="T214" s="48" t="n">
        <x:f>(Inputs!$I$6+(((A214)+1)/2)*(Inputs!$J$6-Inputs!$I$6))</x:f>
        <x:v>46.019999999999996</x:v>
      </x:c>
      <x:c r="U214" s="48" t="n">
        <x:f>(Inputs!$I$7+(((A214)+1)/2)*(Inputs!$J$7-Inputs!$I$7))</x:f>
        <x:v>306.79999999999995</x:v>
      </x:c>
      <x:c r="V214" s="48" t="n">
        <x:f>(Inputs!$I$8+(((A214)+1)/2)*(Inputs!$J$8-Inputs!$I$8))</x:f>
        <x:v>613.5999999999999</x:v>
      </x:c>
      <x:c r="W214" s="48" t="n">
        <x:f>(Inputs!$I$9+(((A214)+1)/2)*(Inputs!$J$9-Inputs!$I$9))</x:f>
        <x:v>613.5999999999999</x:v>
      </x:c>
      <x:c r="X214" s="49"/>
      <x:c r="Y214" s="48" t="n">
        <x:f>A214</x:f>
        <x:v>0.767</x:v>
      </x:c>
      <x:c r="Z214" s="48" t="n">
        <x:f>(Inputs!$H$6+Inputs!$L$6*(((Inputs!$I$6+(((A214)+1)/2)*(Inputs!$J$6-Inputs!$I$6)))/Inputs!$K$6)^2)</x:f>
        <x:v>402.353156</x:v>
      </x:c>
      <x:c r="AA214" s="48" t="n">
        <x:f>(Inputs!$H$7+Inputs!$L$7*(((Inputs!$I$7+(((A214)+1)/2)*(Inputs!$J$7-Inputs!$I$7)))/Inputs!$K$7)^2)</x:f>
        <x:v>249.72548499999994</x:v>
      </x:c>
      <x:c r="AB214" s="48" t="n">
        <x:f>(Inputs!$H$8+Inputs!$L$8*(((Inputs!$I$8+(((A214)+1)/2)*(Inputs!$J$8-Inputs!$I$8)))/Inputs!$K$8)^2)</x:f>
        <x:v>602.6988849999998</x:v>
      </x:c>
      <x:c r="AC214" s="48" t="n">
        <x:f>(Inputs!$H$9+Inputs!$L$9*(((Inputs!$I$9+(((A214)+1)/2)*(Inputs!$J$9-Inputs!$I$9)))/Inputs!$K$9)^2)</x:f>
        <x:v>598.5817749999999</x:v>
      </x:c>
      <x:c r="AD214" s="49"/>
      <x:c r="AE214" s="48" t="n">
        <x:f>A214</x:f>
        <x:v>0.767</x:v>
      </x:c>
      <x:c r="AF214" s="48" t="n">
        <x:f>(((SQRT(((Inputs!$I$6+(((A214)+1)/2)*(Inputs!$J$6-Inputs!$I$6)))^2+Inputs!$C$6^2+((Inputs!$H$6+Inputs!$L$6*(((Inputs!$I$6+(((A214)+1)/2)*(Inputs!$J$6-Inputs!$I$6)))/Inputs!$K$6)^2))^2))-((Inputs!$H$6+Inputs!$L$6*(((Inputs!$I$6+(((A214)+1)/2)*(Inputs!$J$6-Inputs!$I$6)))/Inputs!$K$6)^2)))*1000/Inputs!$C$12)</x:f>
        <x:v>1906.8439926586877</x:v>
      </x:c>
      <x:c r="AG214" s="48" t="n">
        <x:f>(((SQRT(((Inputs!$I$7+(((A214)+1)/2)*(Inputs!$J$7-Inputs!$I$7)))^2+Inputs!$C$6^2+((Inputs!$H$7+Inputs!$L$7*(((Inputs!$I$7+(((A214)+1)/2)*(Inputs!$J$7-Inputs!$I$7)))/Inputs!$K$7)^2))^2))-((Inputs!$H$7+Inputs!$L$7*(((Inputs!$I$7+(((A214)+1)/2)*(Inputs!$J$7-Inputs!$I$7)))/Inputs!$K$7)^2)))*1000/Inputs!$C$12)</x:f>
        <x:v>82388.01799198247</x:v>
      </x:c>
      <x:c r="AH214" s="48" t="n">
        <x:f>(((SQRT(((Inputs!$I$8+(((A214)+1)/2)*(Inputs!$J$8-Inputs!$I$8)))^2+Inputs!$C$6^2+((Inputs!$H$8+Inputs!$L$8*(((Inputs!$I$8+(((A214)+1)/2)*(Inputs!$J$8-Inputs!$I$8)))/Inputs!$K$8)^2))^2))-((Inputs!$H$8+Inputs!$L$8*(((Inputs!$I$8+(((A214)+1)/2)*(Inputs!$J$8-Inputs!$I$8)))/Inputs!$K$8)^2)))*1000/Inputs!$C$12)</x:f>
        <x:v>144804.55330166384</x:v>
      </x:c>
      <x:c r="AI214" s="48" t="n">
        <x:f>(((SQRT(((Inputs!$I$9+(((A214)+1)/2)*(Inputs!$J$9-Inputs!$I$9)))^2+Inputs!$C$6^2+((Inputs!$H$9+Inputs!$L$9*(((Inputs!$I$9+(((A214)+1)/2)*(Inputs!$J$9-Inputs!$I$9)))/Inputs!$K$9)^2))^2))-((Inputs!$H$9+Inputs!$L$9*(((Inputs!$I$9+(((A214)+1)/2)*(Inputs!$J$9-Inputs!$I$9)))/Inputs!$K$9)^2)))*1000/Inputs!$C$12)</x:f>
        <x:v>145500.24634663132</x:v>
      </x:c>
      <x:c r="AJ214" s="49"/>
      <x:c r="AK214" s="48" t="n">
        <x:f>A214</x:f>
        <x:v>0.767</x:v>
      </x:c>
      <x:c r="AL214" s="48" t="n">
        <x:f>(-2*((1000*((((Inputs!$I$6+(((A214)+1)/2)*(Inputs!$J$6-Inputs!$I$6)))*Inputs!$C$11+((Inputs!$H$6+Inputs!$L$6*(((Inputs!$I$6+(((A214)+1)/2)*(Inputs!$J$6-Inputs!$I$6)))/Inputs!$K$6)^2))*((2*Inputs!$L$6*((Inputs!$I$6+(((A214)+1)/2)*(Inputs!$J$6-Inputs!$I$6)))/(Inputs!$K$6^2)*Inputs!$C$11)))/(SQRT(((Inputs!$I$6+(((A214)+1)/2)*(Inputs!$J$6-Inputs!$I$6)))^2+Inputs!$C$6^2+((Inputs!$H$6+Inputs!$L$6*(((Inputs!$I$6+(((A214)+1)/2)*(Inputs!$J$6-Inputs!$I$6)))/Inputs!$K$6)^2))^2)))))/Inputs!$C$13)</x:f>
        <x:v>-343.7304267257849</x:v>
      </x:c>
      <x:c r="AM214" s="48" t="n">
        <x:f>(-2*((1000*((((Inputs!$I$7+(((A214)+1)/2)*(Inputs!$J$7-Inputs!$I$7)))*Inputs!$C$11+((Inputs!$H$7+Inputs!$L$7*(((Inputs!$I$7+(((A214)+1)/2)*(Inputs!$J$7-Inputs!$I$7)))/Inputs!$K$7)^2))*((2*Inputs!$L$7*((Inputs!$I$7+(((A214)+1)/2)*(Inputs!$J$7-Inputs!$I$7)))/(Inputs!$K$7^2)*Inputs!$C$11)))/(SQRT(((Inputs!$I$7+(((A214)+1)/2)*(Inputs!$J$7-Inputs!$I$7)))^2+Inputs!$C$6^2+((Inputs!$H$7+Inputs!$L$7*(((Inputs!$I$7+(((A214)+1)/2)*(Inputs!$J$7-Inputs!$I$7)))/Inputs!$K$7)^2))^2)))))/Inputs!$C$13)</x:f>
        <x:v>-2649.4408571533554</x:v>
      </x:c>
      <x:c r="AN214" s="48" t="n">
        <x:f>(-2*((1000*((((Inputs!$I$8+(((A214)+1)/2)*(Inputs!$J$8-Inputs!$I$8)))*Inputs!$C$11+((Inputs!$H$8+Inputs!$L$8*(((Inputs!$I$8+(((A214)+1)/2)*(Inputs!$J$8-Inputs!$I$8)))/Inputs!$K$8)^2))*((2*Inputs!$L$8*((Inputs!$I$8+(((A214)+1)/2)*(Inputs!$J$8-Inputs!$I$8)))/(Inputs!$K$8^2)*Inputs!$C$11)))/(SQRT(((Inputs!$I$8+(((A214)+1)/2)*(Inputs!$J$8-Inputs!$I$8)))^2+Inputs!$C$6^2+((Inputs!$H$8+Inputs!$L$8*(((Inputs!$I$8+(((A214)+1)/2)*(Inputs!$J$8-Inputs!$I$8)))/Inputs!$K$8)^2))^2)))))/Inputs!$C$13)</x:f>
        <x:v>-3214.7355345645374</x:v>
      </x:c>
      <x:c r="AO214" s="48" t="n">
        <x:f>(-2*((1000*((((Inputs!$I$9+(((A214)+1)/2)*(Inputs!$J$9-Inputs!$I$9)))*Inputs!$C$11+((Inputs!$H$9+Inputs!$L$9*(((Inputs!$I$9+(((A214)+1)/2)*(Inputs!$J$9-Inputs!$I$9)))/Inputs!$K$9)^2))*((2*Inputs!$L$9*((Inputs!$I$9+(((A214)+1)/2)*(Inputs!$J$9-Inputs!$I$9)))/(Inputs!$K$9^2)*Inputs!$C$11)))/(SQRT(((Inputs!$I$9+(((A214)+1)/2)*(Inputs!$J$9-Inputs!$I$9)))^2+Inputs!$C$6^2+((Inputs!$H$9+Inputs!$L$9*(((Inputs!$I$9+(((A214)+1)/2)*(Inputs!$J$9-Inputs!$I$9)))/Inputs!$K$9)^2))^2)))))/Inputs!$C$13)</x:f>
        <x:v>-3232.727949816189</x:v>
      </x:c>
    </x:row>
    <x:row r="215">
      <x:c r="A215" s="48" t="n">
        <x:f>ROUND(-1+213*2/240,3)</x:f>
        <x:v>0.775</x:v>
      </x:c>
      <x:c r="B215" s="48" t="n">
        <x:f>IF(OR(Inputs!$F$6=TRUE,Inputs!$F$6="TRUE",Inputs!$F$6=1),(Inputs!$H$6+Inputs!$L$6*(((Inputs!$I$6+(((A215)+1)/2)*(Inputs!$J$6-Inputs!$I$6)))/Inputs!$K$6)^2),NA())</x:f>
        <x:v>402.4025</x:v>
      </x:c>
      <x:c r="C215" s="48" t="n">
        <x:f>IF(OR(Inputs!$F$7=TRUE,Inputs!$F$7="TRUE",Inputs!$F$7=1),(Inputs!$H$7+Inputs!$L$7*(((Inputs!$I$7+(((A215)+1)/2)*(Inputs!$J$7-Inputs!$I$7)))/Inputs!$K$7)^2),NA())</x:f>
        <x:v>254.22812500000003</x:v>
      </x:c>
      <x:c r="D215" s="48" t="n">
        <x:f>IF(OR(Inputs!$F$8=TRUE,Inputs!$F$8="TRUE",Inputs!$F$8=1),(Inputs!$H$8+Inputs!$L$8*(((Inputs!$I$8+(((A215)+1)/2)*(Inputs!$J$8-Inputs!$I$8)))/Inputs!$K$8)^2),NA())</x:f>
        <x:v>614.6031250000001</x:v>
      </x:c>
      <x:c r="E215" s="48" t="n">
        <x:f>IF(OR(Inputs!$F$9=TRUE,Inputs!$F$9="TRUE",Inputs!$F$9=1),(Inputs!$H$9+Inputs!$L$9*(((Inputs!$I$9+(((A215)+1)/2)*(Inputs!$J$9-Inputs!$I$9)))/Inputs!$K$9)^2),NA())</x:f>
        <x:v>610.6093750000001</x:v>
      </x:c>
      <x:c r="F215" s="49"/>
      <x:c r="G215" s="48" t="n">
        <x:f>A215</x:f>
        <x:v>0.775</x:v>
      </x:c>
      <x:c r="H215" s="48" t="n">
        <x:f>IF(OR(Inputs!$F$6=TRUE,Inputs!$F$6="TRUE",Inputs!$F$6=1),(((SQRT(((Inputs!$I$6+(((A215)+1)/2)*(Inputs!$J$6-Inputs!$I$6)))^2+Inputs!$C$6^2+((Inputs!$H$6+Inputs!$L$6*(((Inputs!$I$6+(((A215)+1)/2)*(Inputs!$J$6-Inputs!$I$6)))/Inputs!$K$6)^2))^2))-((Inputs!$H$6+Inputs!$L$6*(((Inputs!$I$6+(((A215)+1)/2)*(Inputs!$J$6-Inputs!$I$6)))/Inputs!$K$6)^2)))*1000/Inputs!$C$12),NA())</x:f>
        <x:v>1937.3511102927434</x:v>
      </x:c>
      <x:c r="I215" s="48" t="n">
        <x:f>IF(OR(Inputs!$F$7=TRUE,Inputs!$F$7="TRUE",Inputs!$F$7=1),(((SQRT(((Inputs!$I$7+(((A215)+1)/2)*(Inputs!$J$7-Inputs!$I$7)))^2+Inputs!$C$6^2+((Inputs!$H$7+Inputs!$L$7*(((Inputs!$I$7+(((A215)+1)/2)*(Inputs!$J$7-Inputs!$I$7)))/Inputs!$K$7)^2))^2))-((Inputs!$H$7+Inputs!$L$7*(((Inputs!$I$7+(((A215)+1)/2)*(Inputs!$J$7-Inputs!$I$7)))/Inputs!$K$7)^2)))*1000/Inputs!$C$12),NA())</x:f>
        <x:v>82845.20693034725</x:v>
      </x:c>
      <x:c r="J215" s="48" t="n">
        <x:f>IF(OR(Inputs!$F$8=TRUE,Inputs!$F$8="TRUE",Inputs!$F$8=1),(((SQRT(((Inputs!$I$8+(((A215)+1)/2)*(Inputs!$J$8-Inputs!$I$8)))^2+Inputs!$C$6^2+((Inputs!$H$8+Inputs!$L$8*(((Inputs!$I$8+(((A215)+1)/2)*(Inputs!$J$8-Inputs!$I$8)))/Inputs!$K$8)^2))^2))-((Inputs!$H$8+Inputs!$L$8*(((Inputs!$I$8+(((A215)+1)/2)*(Inputs!$J$8-Inputs!$I$8)))/Inputs!$K$8)^2)))*1000/Inputs!$C$12),NA())</x:f>
        <x:v>145370.41765653883</x:v>
      </x:c>
      <x:c r="K215" s="48" t="n">
        <x:f>IF(OR(Inputs!$F$9=TRUE,Inputs!$F$9="TRUE",Inputs!$F$9=1),(((SQRT(((Inputs!$I$9+(((A215)+1)/2)*(Inputs!$J$9-Inputs!$I$9)))^2+Inputs!$C$6^2+((Inputs!$H$9+Inputs!$L$9*(((Inputs!$I$9+(((A215)+1)/2)*(Inputs!$J$9-Inputs!$I$9)))/Inputs!$K$9)^2))^2))-((Inputs!$H$9+Inputs!$L$9*(((Inputs!$I$9+(((A215)+1)/2)*(Inputs!$J$9-Inputs!$I$9)))/Inputs!$K$9)^2)))*1000/Inputs!$C$12),NA())</x:f>
        <x:v>146037.77170499746</x:v>
      </x:c>
      <x:c r="L215" s="49"/>
      <x:c r="M215" s="48" t="n">
        <x:f>A215</x:f>
        <x:v>0.775</x:v>
      </x:c>
      <x:c r="N215" s="48" t="n">
        <x:f>IF(OR(Inputs!$F$6=TRUE,Inputs!$F$6="TRUE",Inputs!$F$6=1),(-2*((1000*((((Inputs!$I$6+(((A215)+1)/2)*(Inputs!$J$6-Inputs!$I$6)))*Inputs!$C$11+((Inputs!$H$6+Inputs!$L$6*(((Inputs!$I$6+(((A215)+1)/2)*(Inputs!$J$6-Inputs!$I$6)))/Inputs!$K$6)^2))*((2*Inputs!$L$6*((Inputs!$I$6+(((A215)+1)/2)*(Inputs!$J$6-Inputs!$I$6)))/(Inputs!$K$6^2)*Inputs!$C$11)))/(SQRT(((Inputs!$I$6+(((A215)+1)/2)*(Inputs!$J$6-Inputs!$I$6)))^2+Inputs!$C$6^2+((Inputs!$H$6+Inputs!$L$6*(((Inputs!$I$6+(((A215)+1)/2)*(Inputs!$J$6-Inputs!$I$6)))/Inputs!$K$6)^2))^2)))))/Inputs!$C$13),NA())</x:f>
        <x:v>-347.24702386736624</x:v>
      </x:c>
      <x:c r="O215" s="48" t="n">
        <x:f>IF(OR(Inputs!$F$7=TRUE,Inputs!$F$7="TRUE",Inputs!$F$7=1),(-2*((1000*((((Inputs!$I$7+(((A215)+1)/2)*(Inputs!$J$7-Inputs!$I$7)))*Inputs!$C$11+((Inputs!$H$7+Inputs!$L$7*(((Inputs!$I$7+(((A215)+1)/2)*(Inputs!$J$7-Inputs!$I$7)))/Inputs!$K$7)^2))*((2*Inputs!$L$7*((Inputs!$I$7+(((A215)+1)/2)*(Inputs!$J$7-Inputs!$I$7)))/(Inputs!$K$7^2)*Inputs!$C$11)))/(SQRT(((Inputs!$I$7+(((A215)+1)/2)*(Inputs!$J$7-Inputs!$I$7)))^2+Inputs!$C$6^2+((Inputs!$H$7+Inputs!$L$7*(((Inputs!$I$7+(((A215)+1)/2)*(Inputs!$J$7-Inputs!$I$7)))/Inputs!$K$7)^2))^2)))))/Inputs!$C$13),NA())</x:f>
        <x:v>-2667.010207924935</x:v>
      </x:c>
      <x:c r="P215" s="48" t="n">
        <x:f>IF(OR(Inputs!$F$8=TRUE,Inputs!$F$8="TRUE",Inputs!$F$8=1),(-2*((1000*((((Inputs!$I$8+(((A215)+1)/2)*(Inputs!$J$8-Inputs!$I$8)))*Inputs!$C$11+((Inputs!$H$8+Inputs!$L$8*(((Inputs!$I$8+(((A215)+1)/2)*(Inputs!$J$8-Inputs!$I$8)))/Inputs!$K$8)^2))*((2*Inputs!$L$8*((Inputs!$I$8+(((A215)+1)/2)*(Inputs!$J$8-Inputs!$I$8)))/(Inputs!$K$8^2)*Inputs!$C$11)))/(SQRT(((Inputs!$I$8+(((A215)+1)/2)*(Inputs!$J$8-Inputs!$I$8)))^2+Inputs!$C$6^2+((Inputs!$H$8+Inputs!$L$8*(((Inputs!$I$8+(((A215)+1)/2)*(Inputs!$J$8-Inputs!$I$8)))/Inputs!$K$8)^2))^2)))))/Inputs!$C$13),NA())</x:f>
        <x:v>-3241.0200240574936</x:v>
      </x:c>
      <x:c r="Q215" s="48" t="n">
        <x:f>IF(OR(Inputs!$F$9=TRUE,Inputs!$F$9="TRUE",Inputs!$F$9=1),(-2*((1000*((((Inputs!$I$9+(((A215)+1)/2)*(Inputs!$J$9-Inputs!$I$9)))*Inputs!$C$11+((Inputs!$H$9+Inputs!$L$9*(((Inputs!$I$9+(((A215)+1)/2)*(Inputs!$J$9-Inputs!$I$9)))/Inputs!$K$9)^2))*((2*Inputs!$L$9*((Inputs!$I$9+(((A215)+1)/2)*(Inputs!$J$9-Inputs!$I$9)))/(Inputs!$K$9^2)*Inputs!$C$11)))/(SQRT(((Inputs!$I$9+(((A215)+1)/2)*(Inputs!$J$9-Inputs!$I$9)))^2+Inputs!$C$6^2+((Inputs!$H$9+Inputs!$L$9*(((Inputs!$I$9+(((A215)+1)/2)*(Inputs!$J$9-Inputs!$I$9)))/Inputs!$K$9)^2))^2)))))/Inputs!$C$13),NA())</x:f>
        <x:v>-3259.485721884346</x:v>
      </x:c>
      <x:c r="R215" s="49"/>
      <x:c r="S215" s="48" t="n">
        <x:f>A215</x:f>
        <x:v>0.775</x:v>
      </x:c>
      <x:c r="T215" s="48" t="n">
        <x:f>(Inputs!$I$6+(((A215)+1)/2)*(Inputs!$J$6-Inputs!$I$6))</x:f>
        <x:v>46.5</x:v>
      </x:c>
      <x:c r="U215" s="48" t="n">
        <x:f>(Inputs!$I$7+(((A215)+1)/2)*(Inputs!$J$7-Inputs!$I$7))</x:f>
        <x:v>310</x:v>
      </x:c>
      <x:c r="V215" s="48" t="n">
        <x:f>(Inputs!$I$8+(((A215)+1)/2)*(Inputs!$J$8-Inputs!$I$8))</x:f>
        <x:v>620</x:v>
      </x:c>
      <x:c r="W215" s="48" t="n">
        <x:f>(Inputs!$I$9+(((A215)+1)/2)*(Inputs!$J$9-Inputs!$I$9))</x:f>
        <x:v>620</x:v>
      </x:c>
      <x:c r="X215" s="49"/>
      <x:c r="Y215" s="48" t="n">
        <x:f>A215</x:f>
        <x:v>0.775</x:v>
      </x:c>
      <x:c r="Z215" s="48" t="n">
        <x:f>(Inputs!$H$6+Inputs!$L$6*(((Inputs!$I$6+(((A215)+1)/2)*(Inputs!$J$6-Inputs!$I$6)))/Inputs!$K$6)^2)</x:f>
        <x:v>402.4025</x:v>
      </x:c>
      <x:c r="AA215" s="48" t="n">
        <x:f>(Inputs!$H$7+Inputs!$L$7*(((Inputs!$I$7+(((A215)+1)/2)*(Inputs!$J$7-Inputs!$I$7)))/Inputs!$K$7)^2)</x:f>
        <x:v>254.22812500000003</x:v>
      </x:c>
      <x:c r="AB215" s="48" t="n">
        <x:f>(Inputs!$H$8+Inputs!$L$8*(((Inputs!$I$8+(((A215)+1)/2)*(Inputs!$J$8-Inputs!$I$8)))/Inputs!$K$8)^2)</x:f>
        <x:v>614.6031250000001</x:v>
      </x:c>
      <x:c r="AC215" s="48" t="n">
        <x:f>(Inputs!$H$9+Inputs!$L$9*(((Inputs!$I$9+(((A215)+1)/2)*(Inputs!$J$9-Inputs!$I$9)))/Inputs!$K$9)^2)</x:f>
        <x:v>610.6093750000001</x:v>
      </x:c>
      <x:c r="AD215" s="49"/>
      <x:c r="AE215" s="48" t="n">
        <x:f>A215</x:f>
        <x:v>0.775</x:v>
      </x:c>
      <x:c r="AF215" s="48" t="n">
        <x:f>(((SQRT(((Inputs!$I$6+(((A215)+1)/2)*(Inputs!$J$6-Inputs!$I$6)))^2+Inputs!$C$6^2+((Inputs!$H$6+Inputs!$L$6*(((Inputs!$I$6+(((A215)+1)/2)*(Inputs!$J$6-Inputs!$I$6)))/Inputs!$K$6)^2))^2))-((Inputs!$H$6+Inputs!$L$6*(((Inputs!$I$6+(((A215)+1)/2)*(Inputs!$J$6-Inputs!$I$6)))/Inputs!$K$6)^2)))*1000/Inputs!$C$12)</x:f>
        <x:v>1937.3511102927434</x:v>
      </x:c>
      <x:c r="AG215" s="48" t="n">
        <x:f>(((SQRT(((Inputs!$I$7+(((A215)+1)/2)*(Inputs!$J$7-Inputs!$I$7)))^2+Inputs!$C$6^2+((Inputs!$H$7+Inputs!$L$7*(((Inputs!$I$7+(((A215)+1)/2)*(Inputs!$J$7-Inputs!$I$7)))/Inputs!$K$7)^2))^2))-((Inputs!$H$7+Inputs!$L$7*(((Inputs!$I$7+(((A215)+1)/2)*(Inputs!$J$7-Inputs!$I$7)))/Inputs!$K$7)^2)))*1000/Inputs!$C$12)</x:f>
        <x:v>82845.20693034725</x:v>
      </x:c>
      <x:c r="AH215" s="48" t="n">
        <x:f>(((SQRT(((Inputs!$I$8+(((A215)+1)/2)*(Inputs!$J$8-Inputs!$I$8)))^2+Inputs!$C$6^2+((Inputs!$H$8+Inputs!$L$8*(((Inputs!$I$8+(((A215)+1)/2)*(Inputs!$J$8-Inputs!$I$8)))/Inputs!$K$8)^2))^2))-((Inputs!$H$8+Inputs!$L$8*(((Inputs!$I$8+(((A215)+1)/2)*(Inputs!$J$8-Inputs!$I$8)))/Inputs!$K$8)^2)))*1000/Inputs!$C$12)</x:f>
        <x:v>145370.41765653883</x:v>
      </x:c>
      <x:c r="AI215" s="48" t="n">
        <x:f>(((SQRT(((Inputs!$I$9+(((A215)+1)/2)*(Inputs!$J$9-Inputs!$I$9)))^2+Inputs!$C$6^2+((Inputs!$H$9+Inputs!$L$9*(((Inputs!$I$9+(((A215)+1)/2)*(Inputs!$J$9-Inputs!$I$9)))/Inputs!$K$9)^2))^2))-((Inputs!$H$9+Inputs!$L$9*(((Inputs!$I$9+(((A215)+1)/2)*(Inputs!$J$9-Inputs!$I$9)))/Inputs!$K$9)^2)))*1000/Inputs!$C$12)</x:f>
        <x:v>146037.77170499746</x:v>
      </x:c>
      <x:c r="AJ215" s="49"/>
      <x:c r="AK215" s="48" t="n">
        <x:f>A215</x:f>
        <x:v>0.775</x:v>
      </x:c>
      <x:c r="AL215" s="48" t="n">
        <x:f>(-2*((1000*((((Inputs!$I$6+(((A215)+1)/2)*(Inputs!$J$6-Inputs!$I$6)))*Inputs!$C$11+((Inputs!$H$6+Inputs!$L$6*(((Inputs!$I$6+(((A215)+1)/2)*(Inputs!$J$6-Inputs!$I$6)))/Inputs!$K$6)^2))*((2*Inputs!$L$6*((Inputs!$I$6+(((A215)+1)/2)*(Inputs!$J$6-Inputs!$I$6)))/(Inputs!$K$6^2)*Inputs!$C$11)))/(SQRT(((Inputs!$I$6+(((A215)+1)/2)*(Inputs!$J$6-Inputs!$I$6)))^2+Inputs!$C$6^2+((Inputs!$H$6+Inputs!$L$6*(((Inputs!$I$6+(((A215)+1)/2)*(Inputs!$J$6-Inputs!$I$6)))/Inputs!$K$6)^2))^2)))))/Inputs!$C$13)</x:f>
        <x:v>-347.24702386736624</x:v>
      </x:c>
      <x:c r="AM215" s="48" t="n">
        <x:f>(-2*((1000*((((Inputs!$I$7+(((A215)+1)/2)*(Inputs!$J$7-Inputs!$I$7)))*Inputs!$C$11+((Inputs!$H$7+Inputs!$L$7*(((Inputs!$I$7+(((A215)+1)/2)*(Inputs!$J$7-Inputs!$I$7)))/Inputs!$K$7)^2))*((2*Inputs!$L$7*((Inputs!$I$7+(((A215)+1)/2)*(Inputs!$J$7-Inputs!$I$7)))/(Inputs!$K$7^2)*Inputs!$C$11)))/(SQRT(((Inputs!$I$7+(((A215)+1)/2)*(Inputs!$J$7-Inputs!$I$7)))^2+Inputs!$C$6^2+((Inputs!$H$7+Inputs!$L$7*(((Inputs!$I$7+(((A215)+1)/2)*(Inputs!$J$7-Inputs!$I$7)))/Inputs!$K$7)^2))^2)))))/Inputs!$C$13)</x:f>
        <x:v>-2667.010207924935</x:v>
      </x:c>
      <x:c r="AN215" s="48" t="n">
        <x:f>(-2*((1000*((((Inputs!$I$8+(((A215)+1)/2)*(Inputs!$J$8-Inputs!$I$8)))*Inputs!$C$11+((Inputs!$H$8+Inputs!$L$8*(((Inputs!$I$8+(((A215)+1)/2)*(Inputs!$J$8-Inputs!$I$8)))/Inputs!$K$8)^2))*((2*Inputs!$L$8*((Inputs!$I$8+(((A215)+1)/2)*(Inputs!$J$8-Inputs!$I$8)))/(Inputs!$K$8^2)*Inputs!$C$11)))/(SQRT(((Inputs!$I$8+(((A215)+1)/2)*(Inputs!$J$8-Inputs!$I$8)))^2+Inputs!$C$6^2+((Inputs!$H$8+Inputs!$L$8*(((Inputs!$I$8+(((A215)+1)/2)*(Inputs!$J$8-Inputs!$I$8)))/Inputs!$K$8)^2))^2)))))/Inputs!$C$13)</x:f>
        <x:v>-3241.0200240574936</x:v>
      </x:c>
      <x:c r="AO215" s="48" t="n">
        <x:f>(-2*((1000*((((Inputs!$I$9+(((A215)+1)/2)*(Inputs!$J$9-Inputs!$I$9)))*Inputs!$C$11+((Inputs!$H$9+Inputs!$L$9*(((Inputs!$I$9+(((A215)+1)/2)*(Inputs!$J$9-Inputs!$I$9)))/Inputs!$K$9)^2))*((2*Inputs!$L$9*((Inputs!$I$9+(((A215)+1)/2)*(Inputs!$J$9-Inputs!$I$9)))/(Inputs!$K$9^2)*Inputs!$C$11)))/(SQRT(((Inputs!$I$9+(((A215)+1)/2)*(Inputs!$J$9-Inputs!$I$9)))^2+Inputs!$C$6^2+((Inputs!$H$9+Inputs!$L$9*(((Inputs!$I$9+(((A215)+1)/2)*(Inputs!$J$9-Inputs!$I$9)))/Inputs!$K$9)^2))^2)))))/Inputs!$C$13)</x:f>
        <x:v>-3259.485721884346</x:v>
      </x:c>
    </x:row>
    <x:row r="216">
      <x:c r="A216" s="48" t="n">
        <x:f>ROUND(-1+214*2/240,3)</x:f>
        <x:v>0.783</x:v>
      </x:c>
      <x:c r="B216" s="48" t="n">
        <x:f>IF(OR(Inputs!$F$6=TRUE,Inputs!$F$6="TRUE",Inputs!$F$6=1),(Inputs!$H$6+Inputs!$L$6*(((Inputs!$I$6+(((A216)+1)/2)*(Inputs!$J$6-Inputs!$I$6)))/Inputs!$K$6)^2),NA())</x:f>
        <x:v>402.452356</x:v>
      </x:c>
      <x:c r="C216" s="48" t="n">
        <x:f>IF(OR(Inputs!$F$7=TRUE,Inputs!$F$7="TRUE",Inputs!$F$7=1),(Inputs!$H$7+Inputs!$L$7*(((Inputs!$I$7+(((A216)+1)/2)*(Inputs!$J$7-Inputs!$I$7)))/Inputs!$K$7)^2),NA())</x:f>
        <x:v>258.77748499999984</x:v>
      </x:c>
      <x:c r="D216" s="48" t="n">
        <x:f>IF(OR(Inputs!$F$8=TRUE,Inputs!$F$8="TRUE",Inputs!$F$8=1),(Inputs!$H$8+Inputs!$L$8*(((Inputs!$I$8+(((A216)+1)/2)*(Inputs!$J$8-Inputs!$I$8)))/Inputs!$K$8)^2),NA())</x:f>
        <x:v>626.6308849999997</x:v>
      </x:c>
      <x:c r="E216" s="48" t="n">
        <x:f>IF(OR(Inputs!$F$9=TRUE,Inputs!$F$9="TRUE",Inputs!$F$9=1),(Inputs!$H$9+Inputs!$L$9*(((Inputs!$I$9+(((A216)+1)/2)*(Inputs!$J$9-Inputs!$I$9)))/Inputs!$K$9)^2),NA())</x:f>
        <x:v>622.7617749999997</x:v>
      </x:c>
      <x:c r="F216" s="49"/>
      <x:c r="G216" s="48" t="n">
        <x:f>A216</x:f>
        <x:v>0.783</x:v>
      </x:c>
      <x:c r="H216" s="48" t="n">
        <x:f>IF(OR(Inputs!$F$6=TRUE,Inputs!$F$6="TRUE",Inputs!$F$6=1),(((SQRT(((Inputs!$I$6+(((A216)+1)/2)*(Inputs!$J$6-Inputs!$I$6)))^2+Inputs!$C$6^2+((Inputs!$H$6+Inputs!$L$6*(((Inputs!$I$6+(((A216)+1)/2)*(Inputs!$J$6-Inputs!$I$6)))/Inputs!$K$6)^2))^2))-((Inputs!$H$6+Inputs!$L$6*(((Inputs!$I$6+(((A216)+1)/2)*(Inputs!$J$6-Inputs!$I$6)))/Inputs!$K$6)^2)))*1000/Inputs!$C$12),NA())</x:f>
        <x:v>1968.1630972545884</x:v>
      </x:c>
      <x:c r="I216" s="48" t="n">
        <x:f>IF(OR(Inputs!$F$7=TRUE,Inputs!$F$7="TRUE",Inputs!$F$7=1),(((SQRT(((Inputs!$I$7+(((A216)+1)/2)*(Inputs!$J$7-Inputs!$I$7)))^2+Inputs!$C$6^2+((Inputs!$H$7+Inputs!$L$7*(((Inputs!$I$7+(((A216)+1)/2)*(Inputs!$J$7-Inputs!$I$7)))/Inputs!$K$7)^2))^2))-((Inputs!$H$7+Inputs!$L$7*(((Inputs!$I$7+(((A216)+1)/2)*(Inputs!$J$7-Inputs!$I$7)))/Inputs!$K$7)^2)))*1000/Inputs!$C$12),NA())</x:f>
        <x:v>83295.93904031154</x:v>
      </x:c>
      <x:c r="J216" s="48" t="n">
        <x:f>IF(OR(Inputs!$F$8=TRUE,Inputs!$F$8="TRUE",Inputs!$F$8=1),(((SQRT(((Inputs!$I$8+(((A216)+1)/2)*(Inputs!$J$8-Inputs!$I$8)))^2+Inputs!$C$6^2+((Inputs!$H$8+Inputs!$L$8*(((Inputs!$I$8+(((A216)+1)/2)*(Inputs!$J$8-Inputs!$I$8)))/Inputs!$K$8)^2))^2))-((Inputs!$H$8+Inputs!$L$8*(((Inputs!$I$8+(((A216)+1)/2)*(Inputs!$J$8-Inputs!$I$8)))/Inputs!$K$8)^2)))*1000/Inputs!$C$12),NA())</x:f>
        <x:v>145926.0639800806</x:v>
      </x:c>
      <x:c r="K216" s="48" t="n">
        <x:f>IF(OR(Inputs!$F$9=TRUE,Inputs!$F$9="TRUE",Inputs!$F$9=1),(((SQRT(((Inputs!$I$9+(((A216)+1)/2)*(Inputs!$J$9-Inputs!$I$9)))^2+Inputs!$C$6^2+((Inputs!$H$9+Inputs!$L$9*(((Inputs!$I$9+(((A216)+1)/2)*(Inputs!$J$9-Inputs!$I$9)))/Inputs!$K$9)^2))^2))-((Inputs!$H$9+Inputs!$L$9*(((Inputs!$I$9+(((A216)+1)/2)*(Inputs!$J$9-Inputs!$I$9)))/Inputs!$K$9)^2)))*1000/Inputs!$C$12),NA())</x:f>
        <x:v>146565.42225603634</x:v>
      </x:c>
      <x:c r="L216" s="49"/>
      <x:c r="M216" s="48" t="n">
        <x:f>A216</x:f>
        <x:v>0.783</x:v>
      </x:c>
      <x:c r="N216" s="48" t="n">
        <x:f>IF(OR(Inputs!$F$6=TRUE,Inputs!$F$6="TRUE",Inputs!$F$6=1),(-2*((1000*((((Inputs!$I$6+(((A216)+1)/2)*(Inputs!$J$6-Inputs!$I$6)))*Inputs!$C$11+((Inputs!$H$6+Inputs!$L$6*(((Inputs!$I$6+(((A216)+1)/2)*(Inputs!$J$6-Inputs!$I$6)))/Inputs!$K$6)^2))*((2*Inputs!$L$6*((Inputs!$I$6+(((A216)+1)/2)*(Inputs!$J$6-Inputs!$I$6)))/(Inputs!$K$6^2)*Inputs!$C$11)))/(SQRT(((Inputs!$I$6+(((A216)+1)/2)*(Inputs!$J$6-Inputs!$I$6)))^2+Inputs!$C$6^2+((Inputs!$H$6+Inputs!$L$6*(((Inputs!$I$6+(((A216)+1)/2)*(Inputs!$J$6-Inputs!$I$6)))/Inputs!$K$6)^2))^2)))))/Inputs!$C$13),NA())</x:f>
        <x:v>-350.76153961398614</x:v>
      </x:c>
      <x:c r="O216" s="48" t="n">
        <x:f>IF(OR(Inputs!$F$7=TRUE,Inputs!$F$7="TRUE",Inputs!$F$7=1),(-2*((1000*((((Inputs!$I$7+(((A216)+1)/2)*(Inputs!$J$7-Inputs!$I$7)))*Inputs!$C$11+((Inputs!$H$7+Inputs!$L$7*(((Inputs!$I$7+(((A216)+1)/2)*(Inputs!$J$7-Inputs!$I$7)))/Inputs!$K$7)^2))*((2*Inputs!$L$7*((Inputs!$I$7+(((A216)+1)/2)*(Inputs!$J$7-Inputs!$I$7)))/(Inputs!$K$7^2)*Inputs!$C$11)))/(SQRT(((Inputs!$I$7+(((A216)+1)/2)*(Inputs!$J$7-Inputs!$I$7)))^2+Inputs!$C$6^2+((Inputs!$H$7+Inputs!$L$7*(((Inputs!$I$7+(((A216)+1)/2)*(Inputs!$J$7-Inputs!$I$7)))/Inputs!$K$7)^2))^2)))))/Inputs!$C$13),NA())</x:f>
        <x:v>-2684.667510169711</x:v>
      </x:c>
      <x:c r="P216" s="48" t="n">
        <x:f>IF(OR(Inputs!$F$8=TRUE,Inputs!$F$8="TRUE",Inputs!$F$8=1),(-2*((1000*((((Inputs!$I$8+(((A216)+1)/2)*(Inputs!$J$8-Inputs!$I$8)))*Inputs!$C$11+((Inputs!$H$8+Inputs!$L$8*(((Inputs!$I$8+(((A216)+1)/2)*(Inputs!$J$8-Inputs!$I$8)))/Inputs!$K$8)^2))*((2*Inputs!$L$8*((Inputs!$I$8+(((A216)+1)/2)*(Inputs!$J$8-Inputs!$I$8)))/(Inputs!$K$8^2)*Inputs!$C$11)))/(SQRT(((Inputs!$I$8+(((A216)+1)/2)*(Inputs!$J$8-Inputs!$I$8)))^2+Inputs!$C$6^2+((Inputs!$H$8+Inputs!$L$8*(((Inputs!$I$8+(((A216)+1)/2)*(Inputs!$J$8-Inputs!$I$8)))/Inputs!$K$8)^2))^2)))))/Inputs!$C$13),NA())</x:f>
        <x:v>-3267.4011263563643</x:v>
      </x:c>
      <x:c r="Q216" s="48" t="n">
        <x:f>IF(OR(Inputs!$F$9=TRUE,Inputs!$F$9="TRUE",Inputs!$F$9=1),(-2*((1000*((((Inputs!$I$9+(((A216)+1)/2)*(Inputs!$J$9-Inputs!$I$9)))*Inputs!$C$11+((Inputs!$H$9+Inputs!$L$9*(((Inputs!$I$9+(((A216)+1)/2)*(Inputs!$J$9-Inputs!$I$9)))/Inputs!$K$9)^2))*((2*Inputs!$L$9*((Inputs!$I$9+(((A216)+1)/2)*(Inputs!$J$9-Inputs!$I$9)))/(Inputs!$K$9^2)*Inputs!$C$11)))/(SQRT(((Inputs!$I$9+(((A216)+1)/2)*(Inputs!$J$9-Inputs!$I$9)))^2+Inputs!$C$6^2+((Inputs!$H$9+Inputs!$L$9*(((Inputs!$I$9+(((A216)+1)/2)*(Inputs!$J$9-Inputs!$I$9)))/Inputs!$K$9)^2))^2)))))/Inputs!$C$13),NA())</x:f>
        <x:v>-3286.339003292419</x:v>
      </x:c>
      <x:c r="R216" s="49"/>
      <x:c r="S216" s="48" t="n">
        <x:f>A216</x:f>
        <x:v>0.783</x:v>
      </x:c>
      <x:c r="T216" s="48" t="n">
        <x:f>(Inputs!$I$6+(((A216)+1)/2)*(Inputs!$J$6-Inputs!$I$6))</x:f>
        <x:v>46.97999999999999</x:v>
      </x:c>
      <x:c r="U216" s="48" t="n">
        <x:f>(Inputs!$I$7+(((A216)+1)/2)*(Inputs!$J$7-Inputs!$I$7))</x:f>
        <x:v>313.19999999999993</x:v>
      </x:c>
      <x:c r="V216" s="48" t="n">
        <x:f>(Inputs!$I$8+(((A216)+1)/2)*(Inputs!$J$8-Inputs!$I$8))</x:f>
        <x:v>626.3999999999999</x:v>
      </x:c>
      <x:c r="W216" s="48" t="n">
        <x:f>(Inputs!$I$9+(((A216)+1)/2)*(Inputs!$J$9-Inputs!$I$9))</x:f>
        <x:v>626.3999999999999</x:v>
      </x:c>
      <x:c r="X216" s="49"/>
      <x:c r="Y216" s="48" t="n">
        <x:f>A216</x:f>
        <x:v>0.783</x:v>
      </x:c>
      <x:c r="Z216" s="48" t="n">
        <x:f>(Inputs!$H$6+Inputs!$L$6*(((Inputs!$I$6+(((A216)+1)/2)*(Inputs!$J$6-Inputs!$I$6)))/Inputs!$K$6)^2)</x:f>
        <x:v>402.452356</x:v>
      </x:c>
      <x:c r="AA216" s="48" t="n">
        <x:f>(Inputs!$H$7+Inputs!$L$7*(((Inputs!$I$7+(((A216)+1)/2)*(Inputs!$J$7-Inputs!$I$7)))/Inputs!$K$7)^2)</x:f>
        <x:v>258.77748499999984</x:v>
      </x:c>
      <x:c r="AB216" s="48" t="n">
        <x:f>(Inputs!$H$8+Inputs!$L$8*(((Inputs!$I$8+(((A216)+1)/2)*(Inputs!$J$8-Inputs!$I$8)))/Inputs!$K$8)^2)</x:f>
        <x:v>626.6308849999997</x:v>
      </x:c>
      <x:c r="AC216" s="48" t="n">
        <x:f>(Inputs!$H$9+Inputs!$L$9*(((Inputs!$I$9+(((A216)+1)/2)*(Inputs!$J$9-Inputs!$I$9)))/Inputs!$K$9)^2)</x:f>
        <x:v>622.7617749999997</x:v>
      </x:c>
      <x:c r="AD216" s="49"/>
      <x:c r="AE216" s="48" t="n">
        <x:f>A216</x:f>
        <x:v>0.783</x:v>
      </x:c>
      <x:c r="AF216" s="48" t="n">
        <x:f>(((SQRT(((Inputs!$I$6+(((A216)+1)/2)*(Inputs!$J$6-Inputs!$I$6)))^2+Inputs!$C$6^2+((Inputs!$H$6+Inputs!$L$6*(((Inputs!$I$6+(((A216)+1)/2)*(Inputs!$J$6-Inputs!$I$6)))/Inputs!$K$6)^2))^2))-((Inputs!$H$6+Inputs!$L$6*(((Inputs!$I$6+(((A216)+1)/2)*(Inputs!$J$6-Inputs!$I$6)))/Inputs!$K$6)^2)))*1000/Inputs!$C$12)</x:f>
        <x:v>1968.1630972545884</x:v>
      </x:c>
      <x:c r="AG216" s="48" t="n">
        <x:f>(((SQRT(((Inputs!$I$7+(((A216)+1)/2)*(Inputs!$J$7-Inputs!$I$7)))^2+Inputs!$C$6^2+((Inputs!$H$7+Inputs!$L$7*(((Inputs!$I$7+(((A216)+1)/2)*(Inputs!$J$7-Inputs!$I$7)))/Inputs!$K$7)^2))^2))-((Inputs!$H$7+Inputs!$L$7*(((Inputs!$I$7+(((A216)+1)/2)*(Inputs!$J$7-Inputs!$I$7)))/Inputs!$K$7)^2)))*1000/Inputs!$C$12)</x:f>
        <x:v>83295.93904031154</x:v>
      </x:c>
      <x:c r="AH216" s="48" t="n">
        <x:f>(((SQRT(((Inputs!$I$8+(((A216)+1)/2)*(Inputs!$J$8-Inputs!$I$8)))^2+Inputs!$C$6^2+((Inputs!$H$8+Inputs!$L$8*(((Inputs!$I$8+(((A216)+1)/2)*(Inputs!$J$8-Inputs!$I$8)))/Inputs!$K$8)^2))^2))-((Inputs!$H$8+Inputs!$L$8*(((Inputs!$I$8+(((A216)+1)/2)*(Inputs!$J$8-Inputs!$I$8)))/Inputs!$K$8)^2)))*1000/Inputs!$C$12)</x:f>
        <x:v>145926.0639800806</x:v>
      </x:c>
      <x:c r="AI216" s="48" t="n">
        <x:f>(((SQRT(((Inputs!$I$9+(((A216)+1)/2)*(Inputs!$J$9-Inputs!$I$9)))^2+Inputs!$C$6^2+((Inputs!$H$9+Inputs!$L$9*(((Inputs!$I$9+(((A216)+1)/2)*(Inputs!$J$9-Inputs!$I$9)))/Inputs!$K$9)^2))^2))-((Inputs!$H$9+Inputs!$L$9*(((Inputs!$I$9+(((A216)+1)/2)*(Inputs!$J$9-Inputs!$I$9)))/Inputs!$K$9)^2)))*1000/Inputs!$C$12)</x:f>
        <x:v>146565.42225603634</x:v>
      </x:c>
      <x:c r="AJ216" s="49"/>
      <x:c r="AK216" s="48" t="n">
        <x:f>A216</x:f>
        <x:v>0.783</x:v>
      </x:c>
      <x:c r="AL216" s="48" t="n">
        <x:f>(-2*((1000*((((Inputs!$I$6+(((A216)+1)/2)*(Inputs!$J$6-Inputs!$I$6)))*Inputs!$C$11+((Inputs!$H$6+Inputs!$L$6*(((Inputs!$I$6+(((A216)+1)/2)*(Inputs!$J$6-Inputs!$I$6)))/Inputs!$K$6)^2))*((2*Inputs!$L$6*((Inputs!$I$6+(((A216)+1)/2)*(Inputs!$J$6-Inputs!$I$6)))/(Inputs!$K$6^2)*Inputs!$C$11)))/(SQRT(((Inputs!$I$6+(((A216)+1)/2)*(Inputs!$J$6-Inputs!$I$6)))^2+Inputs!$C$6^2+((Inputs!$H$6+Inputs!$L$6*(((Inputs!$I$6+(((A216)+1)/2)*(Inputs!$J$6-Inputs!$I$6)))/Inputs!$K$6)^2))^2)))))/Inputs!$C$13)</x:f>
        <x:v>-350.76153961398614</x:v>
      </x:c>
      <x:c r="AM216" s="48" t="n">
        <x:f>(-2*((1000*((((Inputs!$I$7+(((A216)+1)/2)*(Inputs!$J$7-Inputs!$I$7)))*Inputs!$C$11+((Inputs!$H$7+Inputs!$L$7*(((Inputs!$I$7+(((A216)+1)/2)*(Inputs!$J$7-Inputs!$I$7)))/Inputs!$K$7)^2))*((2*Inputs!$L$7*((Inputs!$I$7+(((A216)+1)/2)*(Inputs!$J$7-Inputs!$I$7)))/(Inputs!$K$7^2)*Inputs!$C$11)))/(SQRT(((Inputs!$I$7+(((A216)+1)/2)*(Inputs!$J$7-Inputs!$I$7)))^2+Inputs!$C$6^2+((Inputs!$H$7+Inputs!$L$7*(((Inputs!$I$7+(((A216)+1)/2)*(Inputs!$J$7-Inputs!$I$7)))/Inputs!$K$7)^2))^2)))))/Inputs!$C$13)</x:f>
        <x:v>-2684.667510169711</x:v>
      </x:c>
      <x:c r="AN216" s="48" t="n">
        <x:f>(-2*((1000*((((Inputs!$I$8+(((A216)+1)/2)*(Inputs!$J$8-Inputs!$I$8)))*Inputs!$C$11+((Inputs!$H$8+Inputs!$L$8*(((Inputs!$I$8+(((A216)+1)/2)*(Inputs!$J$8-Inputs!$I$8)))/Inputs!$K$8)^2))*((2*Inputs!$L$8*((Inputs!$I$8+(((A216)+1)/2)*(Inputs!$J$8-Inputs!$I$8)))/(Inputs!$K$8^2)*Inputs!$C$11)))/(SQRT(((Inputs!$I$8+(((A216)+1)/2)*(Inputs!$J$8-Inputs!$I$8)))^2+Inputs!$C$6^2+((Inputs!$H$8+Inputs!$L$8*(((Inputs!$I$8+(((A216)+1)/2)*(Inputs!$J$8-Inputs!$I$8)))/Inputs!$K$8)^2))^2)))))/Inputs!$C$13)</x:f>
        <x:v>-3267.4011263563643</x:v>
      </x:c>
      <x:c r="AO216" s="48" t="n">
        <x:f>(-2*((1000*((((Inputs!$I$9+(((A216)+1)/2)*(Inputs!$J$9-Inputs!$I$9)))*Inputs!$C$11+((Inputs!$H$9+Inputs!$L$9*(((Inputs!$I$9+(((A216)+1)/2)*(Inputs!$J$9-Inputs!$I$9)))/Inputs!$K$9)^2))*((2*Inputs!$L$9*((Inputs!$I$9+(((A216)+1)/2)*(Inputs!$J$9-Inputs!$I$9)))/(Inputs!$K$9^2)*Inputs!$C$11)))/(SQRT(((Inputs!$I$9+(((A216)+1)/2)*(Inputs!$J$9-Inputs!$I$9)))^2+Inputs!$C$6^2+((Inputs!$H$9+Inputs!$L$9*(((Inputs!$I$9+(((A216)+1)/2)*(Inputs!$J$9-Inputs!$I$9)))/Inputs!$K$9)^2))^2)))))/Inputs!$C$13)</x:f>
        <x:v>-3286.339003292419</x:v>
      </x:c>
    </x:row>
    <x:row r="217">
      <x:c r="A217" s="48" t="n">
        <x:f>ROUND(-1+215*2/240,3)</x:f>
        <x:v>0.792</x:v>
      </x:c>
      <x:c r="B217" s="48" t="n">
        <x:f>IF(OR(Inputs!$F$6=TRUE,Inputs!$F$6="TRUE",Inputs!$F$6=1),(Inputs!$H$6+Inputs!$L$6*(((Inputs!$I$6+(((A217)+1)/2)*(Inputs!$J$6-Inputs!$I$6)))/Inputs!$K$6)^2),NA())</x:f>
        <x:v>402.509056</x:v>
      </x:c>
      <x:c r="C217" s="48" t="n">
        <x:f>IF(OR(Inputs!$F$7=TRUE,Inputs!$F$7="TRUE",Inputs!$F$7=1),(Inputs!$H$7+Inputs!$L$7*(((Inputs!$I$7+(((A217)+1)/2)*(Inputs!$J$7-Inputs!$I$7)))/Inputs!$K$7)^2),NA())</x:f>
        <x:v>263.95136000000014</x:v>
      </x:c>
      <x:c r="D217" s="48" t="n">
        <x:f>IF(OR(Inputs!$F$8=TRUE,Inputs!$F$8="TRUE",Inputs!$F$8=1),(Inputs!$H$8+Inputs!$L$8*(((Inputs!$I$8+(((A217)+1)/2)*(Inputs!$J$8-Inputs!$I$8)))/Inputs!$K$8)^2),NA())</x:f>
        <x:v>640.3097600000002</x:v>
      </x:c>
      <x:c r="E217" s="48" t="n">
        <x:f>IF(OR(Inputs!$F$9=TRUE,Inputs!$F$9="TRUE",Inputs!$F$9=1),(Inputs!$H$9+Inputs!$L$9*(((Inputs!$I$9+(((A217)+1)/2)*(Inputs!$J$9-Inputs!$I$9)))/Inputs!$K$9)^2),NA())</x:f>
        <x:v>636.5824000000002</x:v>
      </x:c>
      <x:c r="F217" s="49"/>
      <x:c r="G217" s="48" t="n">
        <x:f>A217</x:f>
        <x:v>0.792</x:v>
      </x:c>
      <x:c r="H217" s="48" t="n">
        <x:f>IF(OR(Inputs!$F$6=TRUE,Inputs!$F$6="TRUE",Inputs!$F$6=1),(((SQRT(((Inputs!$I$6+(((A217)+1)/2)*(Inputs!$J$6-Inputs!$I$6)))^2+Inputs!$C$6^2+((Inputs!$H$6+Inputs!$L$6*(((Inputs!$I$6+(((A217)+1)/2)*(Inputs!$J$6-Inputs!$I$6)))/Inputs!$K$6)^2))^2))-((Inputs!$H$6+Inputs!$L$6*(((Inputs!$I$6+(((A217)+1)/2)*(Inputs!$J$6-Inputs!$I$6)))/Inputs!$K$6)^2)))*1000/Inputs!$C$12),NA())</x:f>
        <x:v>2003.1905578278656</x:v>
      </x:c>
      <x:c r="I217" s="48" t="n">
        <x:f>IF(OR(Inputs!$F$7=TRUE,Inputs!$F$7="TRUE",Inputs!$F$7=1),(((SQRT(((Inputs!$I$7+(((A217)+1)/2)*(Inputs!$J$7-Inputs!$I$7)))^2+Inputs!$C$6^2+((Inputs!$H$7+Inputs!$L$7*(((Inputs!$I$7+(((A217)+1)/2)*(Inputs!$J$7-Inputs!$I$7)))/Inputs!$K$7)^2))^2))-((Inputs!$H$7+Inputs!$L$7*(((Inputs!$I$7+(((A217)+1)/2)*(Inputs!$J$7-Inputs!$I$7)))/Inputs!$K$7)^2)))*1000/Inputs!$C$12),NA())</x:f>
        <x:v>83795.41692300409</x:v>
      </x:c>
      <x:c r="J217" s="48" t="n">
        <x:f>IF(OR(Inputs!$F$8=TRUE,Inputs!$F$8="TRUE",Inputs!$F$8=1),(((SQRT(((Inputs!$I$8+(((A217)+1)/2)*(Inputs!$J$8-Inputs!$I$8)))^2+Inputs!$C$6^2+((Inputs!$H$8+Inputs!$L$8*(((Inputs!$I$8+(((A217)+1)/2)*(Inputs!$J$8-Inputs!$I$8)))/Inputs!$K$8)^2))^2))-((Inputs!$H$8+Inputs!$L$8*(((Inputs!$I$8+(((A217)+1)/2)*(Inputs!$J$8-Inputs!$I$8)))/Inputs!$K$8)^2)))*1000/Inputs!$C$12),NA())</x:f>
        <x:v>146539.21948766877</x:v>
      </x:c>
      <x:c r="K217" s="48" t="n">
        <x:f>IF(OR(Inputs!$F$9=TRUE,Inputs!$F$9="TRUE",Inputs!$F$9=1),(((SQRT(((Inputs!$I$9+(((A217)+1)/2)*(Inputs!$J$9-Inputs!$I$9)))^2+Inputs!$C$6^2+((Inputs!$H$9+Inputs!$L$9*(((Inputs!$I$9+(((A217)+1)/2)*(Inputs!$J$9-Inputs!$I$9)))/Inputs!$K$9)^2))^2))-((Inputs!$H$9+Inputs!$L$9*(((Inputs!$I$9+(((A217)+1)/2)*(Inputs!$J$9-Inputs!$I$9)))/Inputs!$K$9)^2)))*1000/Inputs!$C$12),NA())</x:f>
        <x:v>147147.48962548067</x:v>
      </x:c>
      <x:c r="L217" s="49"/>
      <x:c r="M217" s="48" t="n">
        <x:f>A217</x:f>
        <x:v>0.792</x:v>
      </x:c>
      <x:c r="N217" s="48" t="n">
        <x:f>IF(OR(Inputs!$F$6=TRUE,Inputs!$F$6="TRUE",Inputs!$F$6=1),(-2*((1000*((((Inputs!$I$6+(((A217)+1)/2)*(Inputs!$J$6-Inputs!$I$6)))*Inputs!$C$11+((Inputs!$H$6+Inputs!$L$6*(((Inputs!$I$6+(((A217)+1)/2)*(Inputs!$J$6-Inputs!$I$6)))/Inputs!$K$6)^2))*((2*Inputs!$L$6*((Inputs!$I$6+(((A217)+1)/2)*(Inputs!$J$6-Inputs!$I$6)))/(Inputs!$K$6^2)*Inputs!$C$11)))/(SQRT(((Inputs!$I$6+(((A217)+1)/2)*(Inputs!$J$6-Inputs!$I$6)))^2+Inputs!$C$6^2+((Inputs!$H$6+Inputs!$L$6*(((Inputs!$I$6+(((A217)+1)/2)*(Inputs!$J$6-Inputs!$I$6)))/Inputs!$K$6)^2))^2)))))/Inputs!$C$13),NA())</x:f>
        <x:v>-354.71285854147993</x:v>
      </x:c>
      <x:c r="O217" s="48" t="n">
        <x:f>IF(OR(Inputs!$F$7=TRUE,Inputs!$F$7="TRUE",Inputs!$F$7=1),(-2*((1000*((((Inputs!$I$7+(((A217)+1)/2)*(Inputs!$J$7-Inputs!$I$7)))*Inputs!$C$11+((Inputs!$H$7+Inputs!$L$7*(((Inputs!$I$7+(((A217)+1)/2)*(Inputs!$J$7-Inputs!$I$7)))/Inputs!$K$7)^2))*((2*Inputs!$L$7*((Inputs!$I$7+(((A217)+1)/2)*(Inputs!$J$7-Inputs!$I$7)))/(Inputs!$K$7^2)*Inputs!$C$11)))/(SQRT(((Inputs!$I$7+(((A217)+1)/2)*(Inputs!$J$7-Inputs!$I$7)))^2+Inputs!$C$6^2+((Inputs!$H$7+Inputs!$L$7*(((Inputs!$I$7+(((A217)+1)/2)*(Inputs!$J$7-Inputs!$I$7)))/Inputs!$K$7)^2))^2)))))/Inputs!$C$13),NA())</x:f>
        <x:v>-2704.635667082543</x:v>
      </x:c>
      <x:c r="P217" s="48" t="n">
        <x:f>IF(OR(Inputs!$F$8=TRUE,Inputs!$F$8="TRUE",Inputs!$F$8=1),(-2*((1000*((((Inputs!$I$8+(((A217)+1)/2)*(Inputs!$J$8-Inputs!$I$8)))*Inputs!$C$11+((Inputs!$H$8+Inputs!$L$8*(((Inputs!$I$8+(((A217)+1)/2)*(Inputs!$J$8-Inputs!$I$8)))/Inputs!$K$8)^2))*((2*Inputs!$L$8*((Inputs!$I$8+(((A217)+1)/2)*(Inputs!$J$8-Inputs!$I$8)))/(Inputs!$K$8^2)*Inputs!$C$11)))/(SQRT(((Inputs!$I$8+(((A217)+1)/2)*(Inputs!$J$8-Inputs!$I$8)))^2+Inputs!$C$6^2+((Inputs!$H$8+Inputs!$L$8*(((Inputs!$I$8+(((A217)+1)/2)*(Inputs!$J$8-Inputs!$I$8)))/Inputs!$K$8)^2))^2)))))/Inputs!$C$13),NA())</x:f>
        <x:v>-3297.1926860294298</x:v>
      </x:c>
      <x:c r="Q217" s="48" t="n">
        <x:f>IF(OR(Inputs!$F$9=TRUE,Inputs!$F$9="TRUE",Inputs!$F$9=1),(-2*((1000*((((Inputs!$I$9+(((A217)+1)/2)*(Inputs!$J$9-Inputs!$I$9)))*Inputs!$C$11+((Inputs!$H$9+Inputs!$L$9*(((Inputs!$I$9+(((A217)+1)/2)*(Inputs!$J$9-Inputs!$I$9)))/Inputs!$K$9)^2))*((2*Inputs!$L$9*((Inputs!$I$9+(((A217)+1)/2)*(Inputs!$J$9-Inputs!$I$9)))/(Inputs!$K$9^2)*Inputs!$C$11)))/(SQRT(((Inputs!$I$9+(((A217)+1)/2)*(Inputs!$J$9-Inputs!$I$9)))^2+Inputs!$C$6^2+((Inputs!$H$9+Inputs!$L$9*(((Inputs!$I$9+(((A217)+1)/2)*(Inputs!$J$9-Inputs!$I$9)))/Inputs!$K$9)^2))^2)))))/Inputs!$C$13),NA())</x:f>
        <x:v>-3316.660390538292</x:v>
      </x:c>
      <x:c r="R217" s="49"/>
      <x:c r="S217" s="48" t="n">
        <x:f>A217</x:f>
        <x:v>0.792</x:v>
      </x:c>
      <x:c r="T217" s="48" t="n">
        <x:f>(Inputs!$I$6+(((A217)+1)/2)*(Inputs!$J$6-Inputs!$I$6))</x:f>
        <x:v>47.519999999999996</x:v>
      </x:c>
      <x:c r="U217" s="48" t="n">
        <x:f>(Inputs!$I$7+(((A217)+1)/2)*(Inputs!$J$7-Inputs!$I$7))</x:f>
        <x:v>316.80000000000007</x:v>
      </x:c>
      <x:c r="V217" s="48" t="n">
        <x:f>(Inputs!$I$8+(((A217)+1)/2)*(Inputs!$J$8-Inputs!$I$8))</x:f>
        <x:v>633.6000000000001</x:v>
      </x:c>
      <x:c r="W217" s="48" t="n">
        <x:f>(Inputs!$I$9+(((A217)+1)/2)*(Inputs!$J$9-Inputs!$I$9))</x:f>
        <x:v>633.6000000000001</x:v>
      </x:c>
      <x:c r="X217" s="49"/>
      <x:c r="Y217" s="48" t="n">
        <x:f>A217</x:f>
        <x:v>0.792</x:v>
      </x:c>
      <x:c r="Z217" s="48" t="n">
        <x:f>(Inputs!$H$6+Inputs!$L$6*(((Inputs!$I$6+(((A217)+1)/2)*(Inputs!$J$6-Inputs!$I$6)))/Inputs!$K$6)^2)</x:f>
        <x:v>402.509056</x:v>
      </x:c>
      <x:c r="AA217" s="48" t="n">
        <x:f>(Inputs!$H$7+Inputs!$L$7*(((Inputs!$I$7+(((A217)+1)/2)*(Inputs!$J$7-Inputs!$I$7)))/Inputs!$K$7)^2)</x:f>
        <x:v>263.95136000000014</x:v>
      </x:c>
      <x:c r="AB217" s="48" t="n">
        <x:f>(Inputs!$H$8+Inputs!$L$8*(((Inputs!$I$8+(((A217)+1)/2)*(Inputs!$J$8-Inputs!$I$8)))/Inputs!$K$8)^2)</x:f>
        <x:v>640.3097600000002</x:v>
      </x:c>
      <x:c r="AC217" s="48" t="n">
        <x:f>(Inputs!$H$9+Inputs!$L$9*(((Inputs!$I$9+(((A217)+1)/2)*(Inputs!$J$9-Inputs!$I$9)))/Inputs!$K$9)^2)</x:f>
        <x:v>636.5824000000002</x:v>
      </x:c>
      <x:c r="AD217" s="49"/>
      <x:c r="AE217" s="48" t="n">
        <x:f>A217</x:f>
        <x:v>0.792</x:v>
      </x:c>
      <x:c r="AF217" s="48" t="n">
        <x:f>(((SQRT(((Inputs!$I$6+(((A217)+1)/2)*(Inputs!$J$6-Inputs!$I$6)))^2+Inputs!$C$6^2+((Inputs!$H$6+Inputs!$L$6*(((Inputs!$I$6+(((A217)+1)/2)*(Inputs!$J$6-Inputs!$I$6)))/Inputs!$K$6)^2))^2))-((Inputs!$H$6+Inputs!$L$6*(((Inputs!$I$6+(((A217)+1)/2)*(Inputs!$J$6-Inputs!$I$6)))/Inputs!$K$6)^2)))*1000/Inputs!$C$12)</x:f>
        <x:v>2003.1905578278656</x:v>
      </x:c>
      <x:c r="AG217" s="48" t="n">
        <x:f>(((SQRT(((Inputs!$I$7+(((A217)+1)/2)*(Inputs!$J$7-Inputs!$I$7)))^2+Inputs!$C$6^2+((Inputs!$H$7+Inputs!$L$7*(((Inputs!$I$7+(((A217)+1)/2)*(Inputs!$J$7-Inputs!$I$7)))/Inputs!$K$7)^2))^2))-((Inputs!$H$7+Inputs!$L$7*(((Inputs!$I$7+(((A217)+1)/2)*(Inputs!$J$7-Inputs!$I$7)))/Inputs!$K$7)^2)))*1000/Inputs!$C$12)</x:f>
        <x:v>83795.41692300409</x:v>
      </x:c>
      <x:c r="AH217" s="48" t="n">
        <x:f>(((SQRT(((Inputs!$I$8+(((A217)+1)/2)*(Inputs!$J$8-Inputs!$I$8)))^2+Inputs!$C$6^2+((Inputs!$H$8+Inputs!$L$8*(((Inputs!$I$8+(((A217)+1)/2)*(Inputs!$J$8-Inputs!$I$8)))/Inputs!$K$8)^2))^2))-((Inputs!$H$8+Inputs!$L$8*(((Inputs!$I$8+(((A217)+1)/2)*(Inputs!$J$8-Inputs!$I$8)))/Inputs!$K$8)^2)))*1000/Inputs!$C$12)</x:f>
        <x:v>146539.21948766877</x:v>
      </x:c>
      <x:c r="AI217" s="48" t="n">
        <x:f>(((SQRT(((Inputs!$I$9+(((A217)+1)/2)*(Inputs!$J$9-Inputs!$I$9)))^2+Inputs!$C$6^2+((Inputs!$H$9+Inputs!$L$9*(((Inputs!$I$9+(((A217)+1)/2)*(Inputs!$J$9-Inputs!$I$9)))/Inputs!$K$9)^2))^2))-((Inputs!$H$9+Inputs!$L$9*(((Inputs!$I$9+(((A217)+1)/2)*(Inputs!$J$9-Inputs!$I$9)))/Inputs!$K$9)^2)))*1000/Inputs!$C$12)</x:f>
        <x:v>147147.48962548067</x:v>
      </x:c>
      <x:c r="AJ217" s="49"/>
      <x:c r="AK217" s="48" t="n">
        <x:f>A217</x:f>
        <x:v>0.792</x:v>
      </x:c>
      <x:c r="AL217" s="48" t="n">
        <x:f>(-2*((1000*((((Inputs!$I$6+(((A217)+1)/2)*(Inputs!$J$6-Inputs!$I$6)))*Inputs!$C$11+((Inputs!$H$6+Inputs!$L$6*(((Inputs!$I$6+(((A217)+1)/2)*(Inputs!$J$6-Inputs!$I$6)))/Inputs!$K$6)^2))*((2*Inputs!$L$6*((Inputs!$I$6+(((A217)+1)/2)*(Inputs!$J$6-Inputs!$I$6)))/(Inputs!$K$6^2)*Inputs!$C$11)))/(SQRT(((Inputs!$I$6+(((A217)+1)/2)*(Inputs!$J$6-Inputs!$I$6)))^2+Inputs!$C$6^2+((Inputs!$H$6+Inputs!$L$6*(((Inputs!$I$6+(((A217)+1)/2)*(Inputs!$J$6-Inputs!$I$6)))/Inputs!$K$6)^2))^2)))))/Inputs!$C$13)</x:f>
        <x:v>-354.71285854147993</x:v>
      </x:c>
      <x:c r="AM217" s="48" t="n">
        <x:f>(-2*((1000*((((Inputs!$I$7+(((A217)+1)/2)*(Inputs!$J$7-Inputs!$I$7)))*Inputs!$C$11+((Inputs!$H$7+Inputs!$L$7*(((Inputs!$I$7+(((A217)+1)/2)*(Inputs!$J$7-Inputs!$I$7)))/Inputs!$K$7)^2))*((2*Inputs!$L$7*((Inputs!$I$7+(((A217)+1)/2)*(Inputs!$J$7-Inputs!$I$7)))/(Inputs!$K$7^2)*Inputs!$C$11)))/(SQRT(((Inputs!$I$7+(((A217)+1)/2)*(Inputs!$J$7-Inputs!$I$7)))^2+Inputs!$C$6^2+((Inputs!$H$7+Inputs!$L$7*(((Inputs!$I$7+(((A217)+1)/2)*(Inputs!$J$7-Inputs!$I$7)))/Inputs!$K$7)^2))^2)))))/Inputs!$C$13)</x:f>
        <x:v>-2704.635667082543</x:v>
      </x:c>
      <x:c r="AN217" s="48" t="n">
        <x:f>(-2*((1000*((((Inputs!$I$8+(((A217)+1)/2)*(Inputs!$J$8-Inputs!$I$8)))*Inputs!$C$11+((Inputs!$H$8+Inputs!$L$8*(((Inputs!$I$8+(((A217)+1)/2)*(Inputs!$J$8-Inputs!$I$8)))/Inputs!$K$8)^2))*((2*Inputs!$L$8*((Inputs!$I$8+(((A217)+1)/2)*(Inputs!$J$8-Inputs!$I$8)))/(Inputs!$K$8^2)*Inputs!$C$11)))/(SQRT(((Inputs!$I$8+(((A217)+1)/2)*(Inputs!$J$8-Inputs!$I$8)))^2+Inputs!$C$6^2+((Inputs!$H$8+Inputs!$L$8*(((Inputs!$I$8+(((A217)+1)/2)*(Inputs!$J$8-Inputs!$I$8)))/Inputs!$K$8)^2))^2)))))/Inputs!$C$13)</x:f>
        <x:v>-3297.1926860294298</x:v>
      </x:c>
      <x:c r="AO217" s="48" t="n">
        <x:f>(-2*((1000*((((Inputs!$I$9+(((A217)+1)/2)*(Inputs!$J$9-Inputs!$I$9)))*Inputs!$C$11+((Inputs!$H$9+Inputs!$L$9*(((Inputs!$I$9+(((A217)+1)/2)*(Inputs!$J$9-Inputs!$I$9)))/Inputs!$K$9)^2))*((2*Inputs!$L$9*((Inputs!$I$9+(((A217)+1)/2)*(Inputs!$J$9-Inputs!$I$9)))/(Inputs!$K$9^2)*Inputs!$C$11)))/(SQRT(((Inputs!$I$9+(((A217)+1)/2)*(Inputs!$J$9-Inputs!$I$9)))^2+Inputs!$C$6^2+((Inputs!$H$9+Inputs!$L$9*(((Inputs!$I$9+(((A217)+1)/2)*(Inputs!$J$9-Inputs!$I$9)))/Inputs!$K$9)^2))^2)))))/Inputs!$C$13)</x:f>
        <x:v>-3316.660390538292</x:v>
      </x:c>
    </x:row>
    <x:row r="218">
      <x:c r="A218" s="48" t="n">
        <x:f>ROUND(-1+216*2/240,3)</x:f>
        <x:v>0.8</x:v>
      </x:c>
      <x:c r="B218" s="48" t="n">
        <x:f>IF(OR(Inputs!$F$6=TRUE,Inputs!$F$6="TRUE",Inputs!$F$6=1),(Inputs!$H$6+Inputs!$L$6*(((Inputs!$I$6+(((A218)+1)/2)*(Inputs!$J$6-Inputs!$I$6)))/Inputs!$K$6)^2),NA())</x:f>
        <x:v>402.56</x:v>
      </x:c>
      <x:c r="C218" s="48" t="n">
        <x:f>IF(OR(Inputs!$F$7=TRUE,Inputs!$F$7="TRUE",Inputs!$F$7=1),(Inputs!$H$7+Inputs!$L$7*(((Inputs!$I$7+(((A218)+1)/2)*(Inputs!$J$7-Inputs!$I$7)))/Inputs!$K$7)^2),NA())</x:f>
        <x:v>268.6</x:v>
      </x:c>
      <x:c r="D218" s="48" t="n">
        <x:f>IF(OR(Inputs!$F$8=TRUE,Inputs!$F$8="TRUE",Inputs!$F$8=1),(Inputs!$H$8+Inputs!$L$8*(((Inputs!$I$8+(((A218)+1)/2)*(Inputs!$J$8-Inputs!$I$8)))/Inputs!$K$8)^2),NA())</x:f>
        <x:v>652.6000000000001</x:v>
      </x:c>
      <x:c r="E218" s="48" t="n">
        <x:f>IF(OR(Inputs!$F$9=TRUE,Inputs!$F$9="TRUE",Inputs!$F$9=1),(Inputs!$H$9+Inputs!$L$9*(((Inputs!$I$9+(((A218)+1)/2)*(Inputs!$J$9-Inputs!$I$9)))/Inputs!$K$9)^2),NA())</x:f>
        <x:v>649.0000000000001</x:v>
      </x:c>
      <x:c r="F218" s="49"/>
      <x:c r="G218" s="48" t="n">
        <x:f>A218</x:f>
        <x:v>0.8</x:v>
      </x:c>
      <x:c r="H218" s="48" t="n">
        <x:f>IF(OR(Inputs!$F$6=TRUE,Inputs!$F$6="TRUE",Inputs!$F$6=1),(((SQRT(((Inputs!$I$6+(((A218)+1)/2)*(Inputs!$J$6-Inputs!$I$6)))^2+Inputs!$C$6^2+((Inputs!$H$6+Inputs!$L$6*(((Inputs!$I$6+(((A218)+1)/2)*(Inputs!$J$6-Inputs!$I$6)))/Inputs!$K$6)^2))^2))-((Inputs!$H$6+Inputs!$L$6*(((Inputs!$I$6+(((A218)+1)/2)*(Inputs!$J$6-Inputs!$I$6)))/Inputs!$K$6)^2)))*1000/Inputs!$C$12),NA())</x:f>
        <x:v>2034.6492181694086</x:v>
      </x:c>
      <x:c r="I218" s="48" t="n">
        <x:f>IF(OR(Inputs!$F$7=TRUE,Inputs!$F$7="TRUE",Inputs!$F$7=1),(((SQRT(((Inputs!$I$7+(((A218)+1)/2)*(Inputs!$J$7-Inputs!$I$7)))^2+Inputs!$C$6^2+((Inputs!$H$7+Inputs!$L$7*(((Inputs!$I$7+(((A218)+1)/2)*(Inputs!$J$7-Inputs!$I$7)))/Inputs!$K$7)^2))^2))-((Inputs!$H$7+Inputs!$L$7*(((Inputs!$I$7+(((A218)+1)/2)*(Inputs!$J$7-Inputs!$I$7)))/Inputs!$K$7)^2)))*1000/Inputs!$C$12),NA())</x:f>
        <x:v>84232.75262342278</x:v>
      </x:c>
      <x:c r="J218" s="48" t="n">
        <x:f>IF(OR(Inputs!$F$8=TRUE,Inputs!$F$8="TRUE",Inputs!$F$8=1),(((SQRT(((Inputs!$I$8+(((A218)+1)/2)*(Inputs!$J$8-Inputs!$I$8)))^2+Inputs!$C$6^2+((Inputs!$H$8+Inputs!$L$8*(((Inputs!$I$8+(((A218)+1)/2)*(Inputs!$J$8-Inputs!$I$8)))/Inputs!$K$8)^2))^2))-((Inputs!$H$8+Inputs!$L$8*(((Inputs!$I$8+(((A218)+1)/2)*(Inputs!$J$8-Inputs!$I$8)))/Inputs!$K$8)^2)))*1000/Inputs!$C$12),NA())</x:f>
        <x:v>147073.85942499142</x:v>
      </x:c>
      <x:c r="K218" s="48" t="n">
        <x:f>IF(OR(Inputs!$F$9=TRUE,Inputs!$F$9="TRUE",Inputs!$F$9=1),(((SQRT(((Inputs!$I$9+(((A218)+1)/2)*(Inputs!$J$9-Inputs!$I$9)))^2+Inputs!$C$6^2+((Inputs!$H$9+Inputs!$L$9*(((Inputs!$I$9+(((A218)+1)/2)*(Inputs!$J$9-Inputs!$I$9)))/Inputs!$K$9)^2))^2))-((Inputs!$H$9+Inputs!$L$9*(((Inputs!$I$9+(((A218)+1)/2)*(Inputs!$J$9-Inputs!$I$9)))/Inputs!$K$9)^2)))*1000/Inputs!$C$12),NA())</x:f>
        <x:v>147654.854622209</x:v>
      </x:c>
      <x:c r="L218" s="49"/>
      <x:c r="M218" s="48" t="n">
        <x:f>A218</x:f>
        <x:v>0.8</x:v>
      </x:c>
      <x:c r="N218" s="48" t="n">
        <x:f>IF(OR(Inputs!$F$6=TRUE,Inputs!$F$6="TRUE",Inputs!$F$6=1),(-2*((1000*((((Inputs!$I$6+(((A218)+1)/2)*(Inputs!$J$6-Inputs!$I$6)))*Inputs!$C$11+((Inputs!$H$6+Inputs!$L$6*(((Inputs!$I$6+(((A218)+1)/2)*(Inputs!$J$6-Inputs!$I$6)))/Inputs!$K$6)^2))*((2*Inputs!$L$6*((Inputs!$I$6+(((A218)+1)/2)*(Inputs!$J$6-Inputs!$I$6)))/(Inputs!$K$6^2)*Inputs!$C$11)))/(SQRT(((Inputs!$I$6+(((A218)+1)/2)*(Inputs!$J$6-Inputs!$I$6)))^2+Inputs!$C$6^2+((Inputs!$H$6+Inputs!$L$6*(((Inputs!$I$6+(((A218)+1)/2)*(Inputs!$J$6-Inputs!$I$6)))/Inputs!$K$6)^2))^2)))))/Inputs!$C$13),NA())</x:f>
        <x:v>-358.2228890936832</x:v>
      </x:c>
      <x:c r="O218" s="48" t="n">
        <x:f>IF(OR(Inputs!$F$7=TRUE,Inputs!$F$7="TRUE",Inputs!$F$7=1),(-2*((1000*((((Inputs!$I$7+(((A218)+1)/2)*(Inputs!$J$7-Inputs!$I$7)))*Inputs!$C$11+((Inputs!$H$7+Inputs!$L$7*(((Inputs!$I$7+(((A218)+1)/2)*(Inputs!$J$7-Inputs!$I$7)))/Inputs!$K$7)^2))*((2*Inputs!$L$7*((Inputs!$I$7+(((A218)+1)/2)*(Inputs!$J$7-Inputs!$I$7)))/(Inputs!$K$7^2)*Inputs!$C$11)))/(SQRT(((Inputs!$I$7+(((A218)+1)/2)*(Inputs!$J$7-Inputs!$I$7)))^2+Inputs!$C$6^2+((Inputs!$H$7+Inputs!$L$7*(((Inputs!$I$7+(((A218)+1)/2)*(Inputs!$J$7-Inputs!$I$7)))/Inputs!$K$7)^2))^2)))))/Inputs!$C$13),NA())</x:f>
        <x:v>-2722.4760333842505</x:v>
      </x:c>
      <x:c r="P218" s="48" t="n">
        <x:f>IF(OR(Inputs!$F$8=TRUE,Inputs!$F$8="TRUE",Inputs!$F$8=1),(-2*((1000*((((Inputs!$I$8+(((A218)+1)/2)*(Inputs!$J$8-Inputs!$I$8)))*Inputs!$C$11+((Inputs!$H$8+Inputs!$L$8*(((Inputs!$I$8+(((A218)+1)/2)*(Inputs!$J$8-Inputs!$I$8)))/Inputs!$K$8)^2))*((2*Inputs!$L$8*((Inputs!$I$8+(((A218)+1)/2)*(Inputs!$J$8-Inputs!$I$8)))/(Inputs!$K$8^2)*Inputs!$C$11)))/(SQRT(((Inputs!$I$8+(((A218)+1)/2)*(Inputs!$J$8-Inputs!$I$8)))^2+Inputs!$C$6^2+((Inputs!$H$8+Inputs!$L$8*(((Inputs!$I$8+(((A218)+1)/2)*(Inputs!$J$8-Inputs!$I$8)))/Inputs!$K$8)^2))^2)))))/Inputs!$C$13),NA())</x:f>
        <x:v>-3323.7720390621243</x:v>
      </x:c>
      <x:c r="Q218" s="48" t="n">
        <x:f>IF(OR(Inputs!$F$9=TRUE,Inputs!$F$9="TRUE",Inputs!$F$9=1),(-2*((1000*((((Inputs!$I$9+(((A218)+1)/2)*(Inputs!$J$9-Inputs!$I$9)))*Inputs!$C$11+((Inputs!$H$9+Inputs!$L$9*(((Inputs!$I$9+(((A218)+1)/2)*(Inputs!$J$9-Inputs!$I$9)))/Inputs!$K$9)^2))*((2*Inputs!$L$9*((Inputs!$I$9+(((A218)+1)/2)*(Inputs!$J$9-Inputs!$I$9)))/(Inputs!$K$9^2)*Inputs!$C$11)))/(SQRT(((Inputs!$I$9+(((A218)+1)/2)*(Inputs!$J$9-Inputs!$I$9)))^2+Inputs!$C$6^2+((Inputs!$H$9+Inputs!$L$9*(((Inputs!$I$9+(((A218)+1)/2)*(Inputs!$J$9-Inputs!$I$9)))/Inputs!$K$9)^2))^2)))))/Inputs!$C$13),NA())</x:f>
        <x:v>-3343.7094353866705</x:v>
      </x:c>
      <x:c r="R218" s="49"/>
      <x:c r="S218" s="48" t="n">
        <x:f>A218</x:f>
        <x:v>0.8</x:v>
      </x:c>
      <x:c r="T218" s="48" t="n">
        <x:f>(Inputs!$I$6+(((A218)+1)/2)*(Inputs!$J$6-Inputs!$I$6))</x:f>
        <x:v>48</x:v>
      </x:c>
      <x:c r="U218" s="48" t="n">
        <x:f>(Inputs!$I$7+(((A218)+1)/2)*(Inputs!$J$7-Inputs!$I$7))</x:f>
        <x:v>320</x:v>
      </x:c>
      <x:c r="V218" s="48" t="n">
        <x:f>(Inputs!$I$8+(((A218)+1)/2)*(Inputs!$J$8-Inputs!$I$8))</x:f>
        <x:v>640</x:v>
      </x:c>
      <x:c r="W218" s="48" t="n">
        <x:f>(Inputs!$I$9+(((A218)+1)/2)*(Inputs!$J$9-Inputs!$I$9))</x:f>
        <x:v>640</x:v>
      </x:c>
      <x:c r="X218" s="49"/>
      <x:c r="Y218" s="48" t="n">
        <x:f>A218</x:f>
        <x:v>0.8</x:v>
      </x:c>
      <x:c r="Z218" s="48" t="n">
        <x:f>(Inputs!$H$6+Inputs!$L$6*(((Inputs!$I$6+(((A218)+1)/2)*(Inputs!$J$6-Inputs!$I$6)))/Inputs!$K$6)^2)</x:f>
        <x:v>402.56</x:v>
      </x:c>
      <x:c r="AA218" s="48" t="n">
        <x:f>(Inputs!$H$7+Inputs!$L$7*(((Inputs!$I$7+(((A218)+1)/2)*(Inputs!$J$7-Inputs!$I$7)))/Inputs!$K$7)^2)</x:f>
        <x:v>268.6</x:v>
      </x:c>
      <x:c r="AB218" s="48" t="n">
        <x:f>(Inputs!$H$8+Inputs!$L$8*(((Inputs!$I$8+(((A218)+1)/2)*(Inputs!$J$8-Inputs!$I$8)))/Inputs!$K$8)^2)</x:f>
        <x:v>652.6000000000001</x:v>
      </x:c>
      <x:c r="AC218" s="48" t="n">
        <x:f>(Inputs!$H$9+Inputs!$L$9*(((Inputs!$I$9+(((A218)+1)/2)*(Inputs!$J$9-Inputs!$I$9)))/Inputs!$K$9)^2)</x:f>
        <x:v>649.0000000000001</x:v>
      </x:c>
      <x:c r="AD218" s="49"/>
      <x:c r="AE218" s="48" t="n">
        <x:f>A218</x:f>
        <x:v>0.8</x:v>
      </x:c>
      <x:c r="AF218" s="48" t="n">
        <x:f>(((SQRT(((Inputs!$I$6+(((A218)+1)/2)*(Inputs!$J$6-Inputs!$I$6)))^2+Inputs!$C$6^2+((Inputs!$H$6+Inputs!$L$6*(((Inputs!$I$6+(((A218)+1)/2)*(Inputs!$J$6-Inputs!$I$6)))/Inputs!$K$6)^2))^2))-((Inputs!$H$6+Inputs!$L$6*(((Inputs!$I$6+(((A218)+1)/2)*(Inputs!$J$6-Inputs!$I$6)))/Inputs!$K$6)^2)))*1000/Inputs!$C$12)</x:f>
        <x:v>2034.6492181694086</x:v>
      </x:c>
      <x:c r="AG218" s="48" t="n">
        <x:f>(((SQRT(((Inputs!$I$7+(((A218)+1)/2)*(Inputs!$J$7-Inputs!$I$7)))^2+Inputs!$C$6^2+((Inputs!$H$7+Inputs!$L$7*(((Inputs!$I$7+(((A218)+1)/2)*(Inputs!$J$7-Inputs!$I$7)))/Inputs!$K$7)^2))^2))-((Inputs!$H$7+Inputs!$L$7*(((Inputs!$I$7+(((A218)+1)/2)*(Inputs!$J$7-Inputs!$I$7)))/Inputs!$K$7)^2)))*1000/Inputs!$C$12)</x:f>
        <x:v>84232.75262342278</x:v>
      </x:c>
      <x:c r="AH218" s="48" t="n">
        <x:f>(((SQRT(((Inputs!$I$8+(((A218)+1)/2)*(Inputs!$J$8-Inputs!$I$8)))^2+Inputs!$C$6^2+((Inputs!$H$8+Inputs!$L$8*(((Inputs!$I$8+(((A218)+1)/2)*(Inputs!$J$8-Inputs!$I$8)))/Inputs!$K$8)^2))^2))-((Inputs!$H$8+Inputs!$L$8*(((Inputs!$I$8+(((A218)+1)/2)*(Inputs!$J$8-Inputs!$I$8)))/Inputs!$K$8)^2)))*1000/Inputs!$C$12)</x:f>
        <x:v>147073.85942499142</x:v>
      </x:c>
      <x:c r="AI218" s="48" t="n">
        <x:f>(((SQRT(((Inputs!$I$9+(((A218)+1)/2)*(Inputs!$J$9-Inputs!$I$9)))^2+Inputs!$C$6^2+((Inputs!$H$9+Inputs!$L$9*(((Inputs!$I$9+(((A218)+1)/2)*(Inputs!$J$9-Inputs!$I$9)))/Inputs!$K$9)^2))^2))-((Inputs!$H$9+Inputs!$L$9*(((Inputs!$I$9+(((A218)+1)/2)*(Inputs!$J$9-Inputs!$I$9)))/Inputs!$K$9)^2)))*1000/Inputs!$C$12)</x:f>
        <x:v>147654.854622209</x:v>
      </x:c>
      <x:c r="AJ218" s="49"/>
      <x:c r="AK218" s="48" t="n">
        <x:f>A218</x:f>
        <x:v>0.8</x:v>
      </x:c>
      <x:c r="AL218" s="48" t="n">
        <x:f>(-2*((1000*((((Inputs!$I$6+(((A218)+1)/2)*(Inputs!$J$6-Inputs!$I$6)))*Inputs!$C$11+((Inputs!$H$6+Inputs!$L$6*(((Inputs!$I$6+(((A218)+1)/2)*(Inputs!$J$6-Inputs!$I$6)))/Inputs!$K$6)^2))*((2*Inputs!$L$6*((Inputs!$I$6+(((A218)+1)/2)*(Inputs!$J$6-Inputs!$I$6)))/(Inputs!$K$6^2)*Inputs!$C$11)))/(SQRT(((Inputs!$I$6+(((A218)+1)/2)*(Inputs!$J$6-Inputs!$I$6)))^2+Inputs!$C$6^2+((Inputs!$H$6+Inputs!$L$6*(((Inputs!$I$6+(((A218)+1)/2)*(Inputs!$J$6-Inputs!$I$6)))/Inputs!$K$6)^2))^2)))))/Inputs!$C$13)</x:f>
        <x:v>-358.2228890936832</x:v>
      </x:c>
      <x:c r="AM218" s="48" t="n">
        <x:f>(-2*((1000*((((Inputs!$I$7+(((A218)+1)/2)*(Inputs!$J$7-Inputs!$I$7)))*Inputs!$C$11+((Inputs!$H$7+Inputs!$L$7*(((Inputs!$I$7+(((A218)+1)/2)*(Inputs!$J$7-Inputs!$I$7)))/Inputs!$K$7)^2))*((2*Inputs!$L$7*((Inputs!$I$7+(((A218)+1)/2)*(Inputs!$J$7-Inputs!$I$7)))/(Inputs!$K$7^2)*Inputs!$C$11)))/(SQRT(((Inputs!$I$7+(((A218)+1)/2)*(Inputs!$J$7-Inputs!$I$7)))^2+Inputs!$C$6^2+((Inputs!$H$7+Inputs!$L$7*(((Inputs!$I$7+(((A218)+1)/2)*(Inputs!$J$7-Inputs!$I$7)))/Inputs!$K$7)^2))^2)))))/Inputs!$C$13)</x:f>
        <x:v>-2722.4760333842505</x:v>
      </x:c>
      <x:c r="AN218" s="48" t="n">
        <x:f>(-2*((1000*((((Inputs!$I$8+(((A218)+1)/2)*(Inputs!$J$8-Inputs!$I$8)))*Inputs!$C$11+((Inputs!$H$8+Inputs!$L$8*(((Inputs!$I$8+(((A218)+1)/2)*(Inputs!$J$8-Inputs!$I$8)))/Inputs!$K$8)^2))*((2*Inputs!$L$8*((Inputs!$I$8+(((A218)+1)/2)*(Inputs!$J$8-Inputs!$I$8)))/(Inputs!$K$8^2)*Inputs!$C$11)))/(SQRT(((Inputs!$I$8+(((A218)+1)/2)*(Inputs!$J$8-Inputs!$I$8)))^2+Inputs!$C$6^2+((Inputs!$H$8+Inputs!$L$8*(((Inputs!$I$8+(((A218)+1)/2)*(Inputs!$J$8-Inputs!$I$8)))/Inputs!$K$8)^2))^2)))))/Inputs!$C$13)</x:f>
        <x:v>-3323.7720390621243</x:v>
      </x:c>
      <x:c r="AO218" s="48" t="n">
        <x:f>(-2*((1000*((((Inputs!$I$9+(((A218)+1)/2)*(Inputs!$J$9-Inputs!$I$9)))*Inputs!$C$11+((Inputs!$H$9+Inputs!$L$9*(((Inputs!$I$9+(((A218)+1)/2)*(Inputs!$J$9-Inputs!$I$9)))/Inputs!$K$9)^2))*((2*Inputs!$L$9*((Inputs!$I$9+(((A218)+1)/2)*(Inputs!$J$9-Inputs!$I$9)))/(Inputs!$K$9^2)*Inputs!$C$11)))/(SQRT(((Inputs!$I$9+(((A218)+1)/2)*(Inputs!$J$9-Inputs!$I$9)))^2+Inputs!$C$6^2+((Inputs!$H$9+Inputs!$L$9*(((Inputs!$I$9+(((A218)+1)/2)*(Inputs!$J$9-Inputs!$I$9)))/Inputs!$K$9)^2))^2)))))/Inputs!$C$13)</x:f>
        <x:v>-3343.7094353866705</x:v>
      </x:c>
    </x:row>
    <x:row r="219">
      <x:c r="A219" s="48" t="n">
        <x:f>ROUND(-1+217*2/240,3)</x:f>
        <x:v>0.808</x:v>
      </x:c>
      <x:c r="B219" s="48" t="n">
        <x:f>IF(OR(Inputs!$F$6=TRUE,Inputs!$F$6="TRUE",Inputs!$F$6=1),(Inputs!$H$6+Inputs!$L$6*(((Inputs!$I$6+(((A219)+1)/2)*(Inputs!$J$6-Inputs!$I$6)))/Inputs!$K$6)^2),NA())</x:f>
        <x:v>402.611456</x:v>
      </x:c>
      <x:c r="C219" s="48" t="n">
        <x:f>IF(OR(Inputs!$F$7=TRUE,Inputs!$F$7="TRUE",Inputs!$F$7=1),(Inputs!$H$7+Inputs!$L$7*(((Inputs!$I$7+(((A219)+1)/2)*(Inputs!$J$7-Inputs!$I$7)))/Inputs!$K$7)^2),NA())</x:f>
        <x:v>273.2953600000001</x:v>
      </x:c>
      <x:c r="D219" s="48" t="n">
        <x:f>IF(OR(Inputs!$F$8=TRUE,Inputs!$F$8="TRUE",Inputs!$F$8=1),(Inputs!$H$8+Inputs!$L$8*(((Inputs!$I$8+(((A219)+1)/2)*(Inputs!$J$8-Inputs!$I$8)))/Inputs!$K$8)^2),NA())</x:f>
        <x:v>665.0137600000002</x:v>
      </x:c>
      <x:c r="E219" s="48" t="n">
        <x:f>IF(OR(Inputs!$F$9=TRUE,Inputs!$F$9="TRUE",Inputs!$F$9=1),(Inputs!$H$9+Inputs!$L$9*(((Inputs!$I$9+(((A219)+1)/2)*(Inputs!$J$9-Inputs!$I$9)))/Inputs!$K$9)^2),NA())</x:f>
        <x:v>661.5424000000003</x:v>
      </x:c>
      <x:c r="F219" s="49"/>
      <x:c r="G219" s="48" t="n">
        <x:f>A219</x:f>
        <x:v>0.808</x:v>
      </x:c>
      <x:c r="H219" s="48" t="n">
        <x:f>IF(OR(Inputs!$F$6=TRUE,Inputs!$F$6="TRUE",Inputs!$F$6=1),(((SQRT(((Inputs!$I$6+(((A219)+1)/2)*(Inputs!$J$6-Inputs!$I$6)))^2+Inputs!$C$6^2+((Inputs!$H$6+Inputs!$L$6*(((Inputs!$I$6+(((A219)+1)/2)*(Inputs!$J$6-Inputs!$I$6)))/Inputs!$K$6)^2))^2))-((Inputs!$H$6+Inputs!$L$6*(((Inputs!$I$6+(((A219)+1)/2)*(Inputs!$J$6-Inputs!$I$6)))/Inputs!$K$6)^2)))*1000/Inputs!$C$12),NA())</x:f>
        <x:v>2066.411636185434</x:v>
      </x:c>
      <x:c r="I219" s="48" t="n">
        <x:f>IF(OR(Inputs!$F$7=TRUE,Inputs!$F$7="TRUE",Inputs!$F$7=1),(((SQRT(((Inputs!$I$7+(((A219)+1)/2)*(Inputs!$J$7-Inputs!$I$7)))^2+Inputs!$C$6^2+((Inputs!$H$7+Inputs!$L$7*(((Inputs!$I$7+(((A219)+1)/2)*(Inputs!$J$7-Inputs!$I$7)))/Inputs!$K$7)^2))^2))-((Inputs!$H$7+Inputs!$L$7*(((Inputs!$I$7+(((A219)+1)/2)*(Inputs!$J$7-Inputs!$I$7)))/Inputs!$K$7)^2)))*1000/Inputs!$C$12),NA())</x:f>
        <x:v>84663.93398179335</x:v>
      </x:c>
      <x:c r="J219" s="48" t="n">
        <x:f>IF(OR(Inputs!$F$8=TRUE,Inputs!$F$8="TRUE",Inputs!$F$8=1),(((SQRT(((Inputs!$I$8+(((A219)+1)/2)*(Inputs!$J$8-Inputs!$I$8)))^2+Inputs!$C$6^2+((Inputs!$H$8+Inputs!$L$8*(((Inputs!$I$8+(((A219)+1)/2)*(Inputs!$J$8-Inputs!$I$8)))/Inputs!$K$8)^2))^2))-((Inputs!$H$8+Inputs!$L$8*(((Inputs!$I$8+(((A219)+1)/2)*(Inputs!$J$8-Inputs!$I$8)))/Inputs!$K$8)^2)))*1000/Inputs!$C$12),NA())</x:f>
        <x:v>147598.936567769</x:v>
      </x:c>
      <x:c r="K219" s="48" t="n">
        <x:f>IF(OR(Inputs!$F$9=TRUE,Inputs!$F$9="TRUE",Inputs!$F$9=1),(((SQRT(((Inputs!$I$9+(((A219)+1)/2)*(Inputs!$J$9-Inputs!$I$9)))^2+Inputs!$C$6^2+((Inputs!$H$9+Inputs!$L$9*(((Inputs!$I$9+(((A219)+1)/2)*(Inputs!$J$9-Inputs!$I$9)))/Inputs!$K$9)^2))^2))-((Inputs!$H$9+Inputs!$L$9*(((Inputs!$I$9+(((A219)+1)/2)*(Inputs!$J$9-Inputs!$I$9)))/Inputs!$K$9)^2)))*1000/Inputs!$C$12),NA())</x:f>
        <x:v>148152.99183501268</x:v>
      </x:c>
      <x:c r="L219" s="49"/>
      <x:c r="M219" s="48" t="n">
        <x:f>A219</x:f>
        <x:v>0.808</x:v>
      </x:c>
      <x:c r="N219" s="48" t="n">
        <x:f>IF(OR(Inputs!$F$6=TRUE,Inputs!$F$6="TRUE",Inputs!$F$6=1),(-2*((1000*((((Inputs!$I$6+(((A219)+1)/2)*(Inputs!$J$6-Inputs!$I$6)))*Inputs!$C$11+((Inputs!$H$6+Inputs!$L$6*(((Inputs!$I$6+(((A219)+1)/2)*(Inputs!$J$6-Inputs!$I$6)))/Inputs!$K$6)^2))*((2*Inputs!$L$6*((Inputs!$I$6+(((A219)+1)/2)*(Inputs!$J$6-Inputs!$I$6)))/(Inputs!$K$6^2)*Inputs!$C$11)))/(SQRT(((Inputs!$I$6+(((A219)+1)/2)*(Inputs!$J$6-Inputs!$I$6)))^2+Inputs!$C$6^2+((Inputs!$H$6+Inputs!$L$6*(((Inputs!$I$6+(((A219)+1)/2)*(Inputs!$J$6-Inputs!$I$6)))/Inputs!$K$6)^2))^2)))))/Inputs!$C$13),NA())</x:f>
        <x:v>-361.7307798513991</x:v>
      </x:c>
      <x:c r="O219" s="48" t="n">
        <x:f>IF(OR(Inputs!$F$7=TRUE,Inputs!$F$7="TRUE",Inputs!$F$7=1),(-2*((1000*((((Inputs!$I$7+(((A219)+1)/2)*(Inputs!$J$7-Inputs!$I$7)))*Inputs!$C$11+((Inputs!$H$7+Inputs!$L$7*(((Inputs!$I$7+(((A219)+1)/2)*(Inputs!$J$7-Inputs!$I$7)))/Inputs!$K$7)^2))*((2*Inputs!$L$7*((Inputs!$I$7+(((A219)+1)/2)*(Inputs!$J$7-Inputs!$I$7)))/(Inputs!$K$7^2)*Inputs!$C$11)))/(SQRT(((Inputs!$I$7+(((A219)+1)/2)*(Inputs!$J$7-Inputs!$I$7)))^2+Inputs!$C$6^2+((Inputs!$H$7+Inputs!$L$7*(((Inputs!$I$7+(((A219)+1)/2)*(Inputs!$J$7-Inputs!$I$7)))/Inputs!$K$7)^2))^2)))))/Inputs!$C$13),NA())</x:f>
        <x:v>-2740.400746440379</x:v>
      </x:c>
      <x:c r="P219" s="48" t="n">
        <x:f>IF(OR(Inputs!$F$8=TRUE,Inputs!$F$8="TRUE",Inputs!$F$8=1),(-2*((1000*((((Inputs!$I$8+(((A219)+1)/2)*(Inputs!$J$8-Inputs!$I$8)))*Inputs!$C$11+((Inputs!$H$8+Inputs!$L$8*(((Inputs!$I$8+(((A219)+1)/2)*(Inputs!$J$8-Inputs!$I$8)))/Inputs!$K$8)^2))*((2*Inputs!$L$8*((Inputs!$I$8+(((A219)+1)/2)*(Inputs!$J$8-Inputs!$I$8)))/(Inputs!$K$8^2)*Inputs!$C$11)))/(SQRT(((Inputs!$I$8+(((A219)+1)/2)*(Inputs!$J$8-Inputs!$I$8)))^2+Inputs!$C$6^2+((Inputs!$H$8+Inputs!$L$8*(((Inputs!$I$8+(((A219)+1)/2)*(Inputs!$J$8-Inputs!$I$8)))/Inputs!$K$8)^2))^2)))))/Inputs!$C$13),NA())</x:f>
        <x:v>-3350.4414610708473</x:v>
      </x:c>
      <x:c r="Q219" s="48" t="n">
        <x:f>IF(OR(Inputs!$F$9=TRUE,Inputs!$F$9="TRUE",Inputs!$F$9=1),(-2*((1000*((((Inputs!$I$9+(((A219)+1)/2)*(Inputs!$J$9-Inputs!$I$9)))*Inputs!$C$11+((Inputs!$H$9+Inputs!$L$9*(((Inputs!$I$9+(((A219)+1)/2)*(Inputs!$J$9-Inputs!$I$9)))/Inputs!$K$9)^2))*((2*Inputs!$L$9*((Inputs!$I$9+(((A219)+1)/2)*(Inputs!$J$9-Inputs!$I$9)))/(Inputs!$K$9^2)*Inputs!$C$11)))/(SQRT(((Inputs!$I$9+(((A219)+1)/2)*(Inputs!$J$9-Inputs!$I$9)))^2+Inputs!$C$6^2+((Inputs!$H$9+Inputs!$L$9*(((Inputs!$I$9+(((A219)+1)/2)*(Inputs!$J$9-Inputs!$I$9)))/Inputs!$K$9)^2))^2)))))/Inputs!$C$13),NA())</x:f>
        <x:v>-3370.847319161865</x:v>
      </x:c>
      <x:c r="R219" s="49"/>
      <x:c r="S219" s="48" t="n">
        <x:f>A219</x:f>
        <x:v>0.808</x:v>
      </x:c>
      <x:c r="T219" s="48" t="n">
        <x:f>(Inputs!$I$6+(((A219)+1)/2)*(Inputs!$J$6-Inputs!$I$6))</x:f>
        <x:v>48.480000000000004</x:v>
      </x:c>
      <x:c r="U219" s="48" t="n">
        <x:f>(Inputs!$I$7+(((A219)+1)/2)*(Inputs!$J$7-Inputs!$I$7))</x:f>
        <x:v>323.20000000000005</x:v>
      </x:c>
      <x:c r="V219" s="48" t="n">
        <x:f>(Inputs!$I$8+(((A219)+1)/2)*(Inputs!$J$8-Inputs!$I$8))</x:f>
        <x:v>646.4000000000001</x:v>
      </x:c>
      <x:c r="W219" s="48" t="n">
        <x:f>(Inputs!$I$9+(((A219)+1)/2)*(Inputs!$J$9-Inputs!$I$9))</x:f>
        <x:v>646.4000000000001</x:v>
      </x:c>
      <x:c r="X219" s="49"/>
      <x:c r="Y219" s="48" t="n">
        <x:f>A219</x:f>
        <x:v>0.808</x:v>
      </x:c>
      <x:c r="Z219" s="48" t="n">
        <x:f>(Inputs!$H$6+Inputs!$L$6*(((Inputs!$I$6+(((A219)+1)/2)*(Inputs!$J$6-Inputs!$I$6)))/Inputs!$K$6)^2)</x:f>
        <x:v>402.611456</x:v>
      </x:c>
      <x:c r="AA219" s="48" t="n">
        <x:f>(Inputs!$H$7+Inputs!$L$7*(((Inputs!$I$7+(((A219)+1)/2)*(Inputs!$J$7-Inputs!$I$7)))/Inputs!$K$7)^2)</x:f>
        <x:v>273.2953600000001</x:v>
      </x:c>
      <x:c r="AB219" s="48" t="n">
        <x:f>(Inputs!$H$8+Inputs!$L$8*(((Inputs!$I$8+(((A219)+1)/2)*(Inputs!$J$8-Inputs!$I$8)))/Inputs!$K$8)^2)</x:f>
        <x:v>665.0137600000002</x:v>
      </x:c>
      <x:c r="AC219" s="48" t="n">
        <x:f>(Inputs!$H$9+Inputs!$L$9*(((Inputs!$I$9+(((A219)+1)/2)*(Inputs!$J$9-Inputs!$I$9)))/Inputs!$K$9)^2)</x:f>
        <x:v>661.5424000000003</x:v>
      </x:c>
      <x:c r="AD219" s="49"/>
      <x:c r="AE219" s="48" t="n">
        <x:f>A219</x:f>
        <x:v>0.808</x:v>
      </x:c>
      <x:c r="AF219" s="48" t="n">
        <x:f>(((SQRT(((Inputs!$I$6+(((A219)+1)/2)*(Inputs!$J$6-Inputs!$I$6)))^2+Inputs!$C$6^2+((Inputs!$H$6+Inputs!$L$6*(((Inputs!$I$6+(((A219)+1)/2)*(Inputs!$J$6-Inputs!$I$6)))/Inputs!$K$6)^2))^2))-((Inputs!$H$6+Inputs!$L$6*(((Inputs!$I$6+(((A219)+1)/2)*(Inputs!$J$6-Inputs!$I$6)))/Inputs!$K$6)^2)))*1000/Inputs!$C$12)</x:f>
        <x:v>2066.411636185434</x:v>
      </x:c>
      <x:c r="AG219" s="48" t="n">
        <x:f>(((SQRT(((Inputs!$I$7+(((A219)+1)/2)*(Inputs!$J$7-Inputs!$I$7)))^2+Inputs!$C$6^2+((Inputs!$H$7+Inputs!$L$7*(((Inputs!$I$7+(((A219)+1)/2)*(Inputs!$J$7-Inputs!$I$7)))/Inputs!$K$7)^2))^2))-((Inputs!$H$7+Inputs!$L$7*(((Inputs!$I$7+(((A219)+1)/2)*(Inputs!$J$7-Inputs!$I$7)))/Inputs!$K$7)^2)))*1000/Inputs!$C$12)</x:f>
        <x:v>84663.93398179335</x:v>
      </x:c>
      <x:c r="AH219" s="48" t="n">
        <x:f>(((SQRT(((Inputs!$I$8+(((A219)+1)/2)*(Inputs!$J$8-Inputs!$I$8)))^2+Inputs!$C$6^2+((Inputs!$H$8+Inputs!$L$8*(((Inputs!$I$8+(((A219)+1)/2)*(Inputs!$J$8-Inputs!$I$8)))/Inputs!$K$8)^2))^2))-((Inputs!$H$8+Inputs!$L$8*(((Inputs!$I$8+(((A219)+1)/2)*(Inputs!$J$8-Inputs!$I$8)))/Inputs!$K$8)^2)))*1000/Inputs!$C$12)</x:f>
        <x:v>147598.936567769</x:v>
      </x:c>
      <x:c r="AI219" s="48" t="n">
        <x:f>(((SQRT(((Inputs!$I$9+(((A219)+1)/2)*(Inputs!$J$9-Inputs!$I$9)))^2+Inputs!$C$6^2+((Inputs!$H$9+Inputs!$L$9*(((Inputs!$I$9+(((A219)+1)/2)*(Inputs!$J$9-Inputs!$I$9)))/Inputs!$K$9)^2))^2))-((Inputs!$H$9+Inputs!$L$9*(((Inputs!$I$9+(((A219)+1)/2)*(Inputs!$J$9-Inputs!$I$9)))/Inputs!$K$9)^2)))*1000/Inputs!$C$12)</x:f>
        <x:v>148152.99183501268</x:v>
      </x:c>
      <x:c r="AJ219" s="49"/>
      <x:c r="AK219" s="48" t="n">
        <x:f>A219</x:f>
        <x:v>0.808</x:v>
      </x:c>
      <x:c r="AL219" s="48" t="n">
        <x:f>(-2*((1000*((((Inputs!$I$6+(((A219)+1)/2)*(Inputs!$J$6-Inputs!$I$6)))*Inputs!$C$11+((Inputs!$H$6+Inputs!$L$6*(((Inputs!$I$6+(((A219)+1)/2)*(Inputs!$J$6-Inputs!$I$6)))/Inputs!$K$6)^2))*((2*Inputs!$L$6*((Inputs!$I$6+(((A219)+1)/2)*(Inputs!$J$6-Inputs!$I$6)))/(Inputs!$K$6^2)*Inputs!$C$11)))/(SQRT(((Inputs!$I$6+(((A219)+1)/2)*(Inputs!$J$6-Inputs!$I$6)))^2+Inputs!$C$6^2+((Inputs!$H$6+Inputs!$L$6*(((Inputs!$I$6+(((A219)+1)/2)*(Inputs!$J$6-Inputs!$I$6)))/Inputs!$K$6)^2))^2)))))/Inputs!$C$13)</x:f>
        <x:v>-361.7307798513991</x:v>
      </x:c>
      <x:c r="AM219" s="48" t="n">
        <x:f>(-2*((1000*((((Inputs!$I$7+(((A219)+1)/2)*(Inputs!$J$7-Inputs!$I$7)))*Inputs!$C$11+((Inputs!$H$7+Inputs!$L$7*(((Inputs!$I$7+(((A219)+1)/2)*(Inputs!$J$7-Inputs!$I$7)))/Inputs!$K$7)^2))*((2*Inputs!$L$7*((Inputs!$I$7+(((A219)+1)/2)*(Inputs!$J$7-Inputs!$I$7)))/(Inputs!$K$7^2)*Inputs!$C$11)))/(SQRT(((Inputs!$I$7+(((A219)+1)/2)*(Inputs!$J$7-Inputs!$I$7)))^2+Inputs!$C$6^2+((Inputs!$H$7+Inputs!$L$7*(((Inputs!$I$7+(((A219)+1)/2)*(Inputs!$J$7-Inputs!$I$7)))/Inputs!$K$7)^2))^2)))))/Inputs!$C$13)</x:f>
        <x:v>-2740.400746440379</x:v>
      </x:c>
      <x:c r="AN219" s="48" t="n">
        <x:f>(-2*((1000*((((Inputs!$I$8+(((A219)+1)/2)*(Inputs!$J$8-Inputs!$I$8)))*Inputs!$C$11+((Inputs!$H$8+Inputs!$L$8*(((Inputs!$I$8+(((A219)+1)/2)*(Inputs!$J$8-Inputs!$I$8)))/Inputs!$K$8)^2))*((2*Inputs!$L$8*((Inputs!$I$8+(((A219)+1)/2)*(Inputs!$J$8-Inputs!$I$8)))/(Inputs!$K$8^2)*Inputs!$C$11)))/(SQRT(((Inputs!$I$8+(((A219)+1)/2)*(Inputs!$J$8-Inputs!$I$8)))^2+Inputs!$C$6^2+((Inputs!$H$8+Inputs!$L$8*(((Inputs!$I$8+(((A219)+1)/2)*(Inputs!$J$8-Inputs!$I$8)))/Inputs!$K$8)^2))^2)))))/Inputs!$C$13)</x:f>
        <x:v>-3350.4414610708473</x:v>
      </x:c>
      <x:c r="AO219" s="48" t="n">
        <x:f>(-2*((1000*((((Inputs!$I$9+(((A219)+1)/2)*(Inputs!$J$9-Inputs!$I$9)))*Inputs!$C$11+((Inputs!$H$9+Inputs!$L$9*(((Inputs!$I$9+(((A219)+1)/2)*(Inputs!$J$9-Inputs!$I$9)))/Inputs!$K$9)^2))*((2*Inputs!$L$9*((Inputs!$I$9+(((A219)+1)/2)*(Inputs!$J$9-Inputs!$I$9)))/(Inputs!$K$9^2)*Inputs!$C$11)))/(SQRT(((Inputs!$I$9+(((A219)+1)/2)*(Inputs!$J$9-Inputs!$I$9)))^2+Inputs!$C$6^2+((Inputs!$H$9+Inputs!$L$9*(((Inputs!$I$9+(((A219)+1)/2)*(Inputs!$J$9-Inputs!$I$9)))/Inputs!$K$9)^2))^2)))))/Inputs!$C$13)</x:f>
        <x:v>-3370.847319161865</x:v>
      </x:c>
    </x:row>
    <x:row r="220">
      <x:c r="A220" s="48" t="n">
        <x:f>ROUND(-1+218*2/240,3)</x:f>
        <x:v>0.817</x:v>
      </x:c>
      <x:c r="B220" s="48" t="n">
        <x:f>IF(OR(Inputs!$F$6=TRUE,Inputs!$F$6="TRUE",Inputs!$F$6=1),(Inputs!$H$6+Inputs!$L$6*(((Inputs!$I$6+(((A220)+1)/2)*(Inputs!$J$6-Inputs!$I$6)))/Inputs!$K$6)^2),NA())</x:f>
        <x:v>402.669956</x:v>
      </x:c>
      <x:c r="C220" s="48" t="n">
        <x:f>IF(OR(Inputs!$F$7=TRUE,Inputs!$F$7="TRUE",Inputs!$F$7=1),(Inputs!$H$7+Inputs!$L$7*(((Inputs!$I$7+(((A220)+1)/2)*(Inputs!$J$7-Inputs!$I$7)))/Inputs!$K$7)^2),NA())</x:f>
        <x:v>278.63348499999995</x:v>
      </x:c>
      <x:c r="D220" s="48" t="n">
        <x:f>IF(OR(Inputs!$F$8=TRUE,Inputs!$F$8="TRUE",Inputs!$F$8=1),(Inputs!$H$8+Inputs!$L$8*(((Inputs!$I$8+(((A220)+1)/2)*(Inputs!$J$8-Inputs!$I$8)))/Inputs!$K$8)^2),NA())</x:f>
        <x:v>679.1268849999998</x:v>
      </x:c>
      <x:c r="E220" s="48" t="n">
        <x:f>IF(OR(Inputs!$F$9=TRUE,Inputs!$F$9="TRUE",Inputs!$F$9=1),(Inputs!$H$9+Inputs!$L$9*(((Inputs!$I$9+(((A220)+1)/2)*(Inputs!$J$9-Inputs!$I$9)))/Inputs!$K$9)^2),NA())</x:f>
        <x:v>675.8017749999998</x:v>
      </x:c>
      <x:c r="F220" s="49"/>
      <x:c r="G220" s="48" t="n">
        <x:f>A220</x:f>
        <x:v>0.817</x:v>
      </x:c>
      <x:c r="H220" s="48" t="n">
        <x:f>IF(OR(Inputs!$F$6=TRUE,Inputs!$F$6="TRUE",Inputs!$F$6=1),(((SQRT(((Inputs!$I$6+(((A220)+1)/2)*(Inputs!$J$6-Inputs!$I$6)))^2+Inputs!$C$6^2+((Inputs!$H$6+Inputs!$L$6*(((Inputs!$I$6+(((A220)+1)/2)*(Inputs!$J$6-Inputs!$I$6)))/Inputs!$K$6)^2))^2))-((Inputs!$H$6+Inputs!$L$6*(((Inputs!$I$6+(((A220)+1)/2)*(Inputs!$J$6-Inputs!$I$6)))/Inputs!$K$6)^2)))*1000/Inputs!$C$12),NA())</x:f>
        <x:v>2102.5069906940053</x:v>
      </x:c>
      <x:c r="I220" s="48" t="n">
        <x:f>IF(OR(Inputs!$F$7=TRUE,Inputs!$F$7="TRUE",Inputs!$F$7=1),(((SQRT(((Inputs!$I$7+(((A220)+1)/2)*(Inputs!$J$7-Inputs!$I$7)))^2+Inputs!$C$6^2+((Inputs!$H$7+Inputs!$L$7*(((Inputs!$I$7+(((A220)+1)/2)*(Inputs!$J$7-Inputs!$I$7)))/Inputs!$K$7)^2))^2))-((Inputs!$H$7+Inputs!$L$7*(((Inputs!$I$7+(((A220)+1)/2)*(Inputs!$J$7-Inputs!$I$7)))/Inputs!$K$7)^2)))*1000/Inputs!$C$12),NA())</x:f>
        <x:v>85141.7737953123</x:v>
      </x:c>
      <x:c r="J220" s="48" t="n">
        <x:f>IF(OR(Inputs!$F$8=TRUE,Inputs!$F$8="TRUE",Inputs!$F$8=1),(((SQRT(((Inputs!$I$8+(((A220)+1)/2)*(Inputs!$J$8-Inputs!$I$8)))^2+Inputs!$C$6^2+((Inputs!$H$8+Inputs!$L$8*(((Inputs!$I$8+(((A220)+1)/2)*(Inputs!$J$8-Inputs!$I$8)))/Inputs!$K$8)^2))^2))-((Inputs!$H$8+Inputs!$L$8*(((Inputs!$I$8+(((A220)+1)/2)*(Inputs!$J$8-Inputs!$I$8)))/Inputs!$K$8)^2)))*1000/Inputs!$C$12),NA())</x:f>
        <x:v>148178.4668499066</x:v>
      </x:c>
      <x:c r="K220" s="48" t="n">
        <x:f>IF(OR(Inputs!$F$9=TRUE,Inputs!$F$9="TRUE",Inputs!$F$9=1),(((SQRT(((Inputs!$I$9+(((A220)+1)/2)*(Inputs!$J$9-Inputs!$I$9)))^2+Inputs!$C$6^2+((Inputs!$H$9+Inputs!$L$9*(((Inputs!$I$9+(((A220)+1)/2)*(Inputs!$J$9-Inputs!$I$9)))/Inputs!$K$9)^2))^2))-((Inputs!$H$9+Inputs!$L$9*(((Inputs!$I$9+(((A220)+1)/2)*(Inputs!$J$9-Inputs!$I$9)))/Inputs!$K$9)^2)))*1000/Inputs!$C$12),NA())</x:f>
        <x:v>148702.6116459541</x:v>
      </x:c>
      <x:c r="L220" s="49"/>
      <x:c r="M220" s="48" t="n">
        <x:f>A220</x:f>
        <x:v>0.817</x:v>
      </x:c>
      <x:c r="N220" s="48" t="n">
        <x:f>IF(OR(Inputs!$F$6=TRUE,Inputs!$F$6="TRUE",Inputs!$F$6=1),(-2*((1000*((((Inputs!$I$6+(((A220)+1)/2)*(Inputs!$J$6-Inputs!$I$6)))*Inputs!$C$11+((Inputs!$H$6+Inputs!$L$6*(((Inputs!$I$6+(((A220)+1)/2)*(Inputs!$J$6-Inputs!$I$6)))/Inputs!$K$6)^2))*((2*Inputs!$L$6*((Inputs!$I$6+(((A220)+1)/2)*(Inputs!$J$6-Inputs!$I$6)))/(Inputs!$K$6^2)*Inputs!$C$11)))/(SQRT(((Inputs!$I$6+(((A220)+1)/2)*(Inputs!$J$6-Inputs!$I$6)))^2+Inputs!$C$6^2+((Inputs!$H$6+Inputs!$L$6*(((Inputs!$I$6+(((A220)+1)/2)*(Inputs!$J$6-Inputs!$I$6)))/Inputs!$K$6)^2))^2)))))/Inputs!$C$13),NA())</x:f>
        <x:v>-365.6745761697509</x:v>
      </x:c>
      <x:c r="O220" s="48" t="n">
        <x:f>IF(OR(Inputs!$F$7=TRUE,Inputs!$F$7="TRUE",Inputs!$F$7=1),(-2*((1000*((((Inputs!$I$7+(((A220)+1)/2)*(Inputs!$J$7-Inputs!$I$7)))*Inputs!$C$11+((Inputs!$H$7+Inputs!$L$7*(((Inputs!$I$7+(((A220)+1)/2)*(Inputs!$J$7-Inputs!$I$7)))/Inputs!$K$7)^2))*((2*Inputs!$L$7*((Inputs!$I$7+(((A220)+1)/2)*(Inputs!$J$7-Inputs!$I$7)))/(Inputs!$K$7^2)*Inputs!$C$11)))/(SQRT(((Inputs!$I$7+(((A220)+1)/2)*(Inputs!$J$7-Inputs!$I$7)))^2+Inputs!$C$6^2+((Inputs!$H$7+Inputs!$L$7*(((Inputs!$I$7+(((A220)+1)/2)*(Inputs!$J$7-Inputs!$I$7)))/Inputs!$K$7)^2))^2)))))/Inputs!$C$13),NA())</x:f>
        <x:v>-2760.6654385746915</x:v>
      </x:c>
      <x:c r="P220" s="48" t="n">
        <x:f>IF(OR(Inputs!$F$8=TRUE,Inputs!$F$8="TRUE",Inputs!$F$8=1),(-2*((1000*((((Inputs!$I$8+(((A220)+1)/2)*(Inputs!$J$8-Inputs!$I$8)))*Inputs!$C$11+((Inputs!$H$8+Inputs!$L$8*(((Inputs!$I$8+(((A220)+1)/2)*(Inputs!$J$8-Inputs!$I$8)))/Inputs!$K$8)^2))*((2*Inputs!$L$8*((Inputs!$I$8+(((A220)+1)/2)*(Inputs!$J$8-Inputs!$I$8)))/(Inputs!$K$8^2)*Inputs!$C$11)))/(SQRT(((Inputs!$I$8+(((A220)+1)/2)*(Inputs!$J$8-Inputs!$I$8)))^2+Inputs!$C$6^2+((Inputs!$H$8+Inputs!$L$8*(((Inputs!$I$8+(((A220)+1)/2)*(Inputs!$J$8-Inputs!$I$8)))/Inputs!$K$8)^2))^2)))))/Inputs!$C$13),NA())</x:f>
        <x:v>-3380.5497256420495</x:v>
      </x:c>
      <x:c r="Q220" s="48" t="n">
        <x:f>IF(OR(Inputs!$F$9=TRUE,Inputs!$F$9="TRUE",Inputs!$F$9=1),(-2*((1000*((((Inputs!$I$9+(((A220)+1)/2)*(Inputs!$J$9-Inputs!$I$9)))*Inputs!$C$11+((Inputs!$H$9+Inputs!$L$9*(((Inputs!$I$9+(((A220)+1)/2)*(Inputs!$J$9-Inputs!$I$9)))/Inputs!$K$9)^2))*((2*Inputs!$L$9*((Inputs!$I$9+(((A220)+1)/2)*(Inputs!$J$9-Inputs!$I$9)))/(Inputs!$K$9^2)*Inputs!$C$11)))/(SQRT(((Inputs!$I$9+(((A220)+1)/2)*(Inputs!$J$9-Inputs!$I$9)))^2+Inputs!$C$6^2+((Inputs!$H$9+Inputs!$L$9*(((Inputs!$I$9+(((A220)+1)/2)*(Inputs!$J$9-Inputs!$I$9)))/Inputs!$K$9)^2))^2)))))/Inputs!$C$13),NA())</x:f>
        <x:v>-3401.481091145488</x:v>
      </x:c>
      <x:c r="R220" s="49"/>
      <x:c r="S220" s="48" t="n">
        <x:f>A220</x:f>
        <x:v>0.817</x:v>
      </x:c>
      <x:c r="T220" s="48" t="n">
        <x:f>(Inputs!$I$6+(((A220)+1)/2)*(Inputs!$J$6-Inputs!$I$6))</x:f>
        <x:v>49.019999999999996</x:v>
      </x:c>
      <x:c r="U220" s="48" t="n">
        <x:f>(Inputs!$I$7+(((A220)+1)/2)*(Inputs!$J$7-Inputs!$I$7))</x:f>
        <x:v>326.79999999999995</x:v>
      </x:c>
      <x:c r="V220" s="48" t="n">
        <x:f>(Inputs!$I$8+(((A220)+1)/2)*(Inputs!$J$8-Inputs!$I$8))</x:f>
        <x:v>653.5999999999999</x:v>
      </x:c>
      <x:c r="W220" s="48" t="n">
        <x:f>(Inputs!$I$9+(((A220)+1)/2)*(Inputs!$J$9-Inputs!$I$9))</x:f>
        <x:v>653.5999999999999</x:v>
      </x:c>
      <x:c r="X220" s="49"/>
      <x:c r="Y220" s="48" t="n">
        <x:f>A220</x:f>
        <x:v>0.817</x:v>
      </x:c>
      <x:c r="Z220" s="48" t="n">
        <x:f>(Inputs!$H$6+Inputs!$L$6*(((Inputs!$I$6+(((A220)+1)/2)*(Inputs!$J$6-Inputs!$I$6)))/Inputs!$K$6)^2)</x:f>
        <x:v>402.669956</x:v>
      </x:c>
      <x:c r="AA220" s="48" t="n">
        <x:f>(Inputs!$H$7+Inputs!$L$7*(((Inputs!$I$7+(((A220)+1)/2)*(Inputs!$J$7-Inputs!$I$7)))/Inputs!$K$7)^2)</x:f>
        <x:v>278.63348499999995</x:v>
      </x:c>
      <x:c r="AB220" s="48" t="n">
        <x:f>(Inputs!$H$8+Inputs!$L$8*(((Inputs!$I$8+(((A220)+1)/2)*(Inputs!$J$8-Inputs!$I$8)))/Inputs!$K$8)^2)</x:f>
        <x:v>679.1268849999998</x:v>
      </x:c>
      <x:c r="AC220" s="48" t="n">
        <x:f>(Inputs!$H$9+Inputs!$L$9*(((Inputs!$I$9+(((A220)+1)/2)*(Inputs!$J$9-Inputs!$I$9)))/Inputs!$K$9)^2)</x:f>
        <x:v>675.8017749999998</x:v>
      </x:c>
      <x:c r="AD220" s="49"/>
      <x:c r="AE220" s="48" t="n">
        <x:f>A220</x:f>
        <x:v>0.817</x:v>
      </x:c>
      <x:c r="AF220" s="48" t="n">
        <x:f>(((SQRT(((Inputs!$I$6+(((A220)+1)/2)*(Inputs!$J$6-Inputs!$I$6)))^2+Inputs!$C$6^2+((Inputs!$H$6+Inputs!$L$6*(((Inputs!$I$6+(((A220)+1)/2)*(Inputs!$J$6-Inputs!$I$6)))/Inputs!$K$6)^2))^2))-((Inputs!$H$6+Inputs!$L$6*(((Inputs!$I$6+(((A220)+1)/2)*(Inputs!$J$6-Inputs!$I$6)))/Inputs!$K$6)^2)))*1000/Inputs!$C$12)</x:f>
        <x:v>2102.5069906940053</x:v>
      </x:c>
      <x:c r="AG220" s="48" t="n">
        <x:f>(((SQRT(((Inputs!$I$7+(((A220)+1)/2)*(Inputs!$J$7-Inputs!$I$7)))^2+Inputs!$C$6^2+((Inputs!$H$7+Inputs!$L$7*(((Inputs!$I$7+(((A220)+1)/2)*(Inputs!$J$7-Inputs!$I$7)))/Inputs!$K$7)^2))^2))-((Inputs!$H$7+Inputs!$L$7*(((Inputs!$I$7+(((A220)+1)/2)*(Inputs!$J$7-Inputs!$I$7)))/Inputs!$K$7)^2)))*1000/Inputs!$C$12)</x:f>
        <x:v>85141.7737953123</x:v>
      </x:c>
      <x:c r="AH220" s="48" t="n">
        <x:f>(((SQRT(((Inputs!$I$8+(((A220)+1)/2)*(Inputs!$J$8-Inputs!$I$8)))^2+Inputs!$C$6^2+((Inputs!$H$8+Inputs!$L$8*(((Inputs!$I$8+(((A220)+1)/2)*(Inputs!$J$8-Inputs!$I$8)))/Inputs!$K$8)^2))^2))-((Inputs!$H$8+Inputs!$L$8*(((Inputs!$I$8+(((A220)+1)/2)*(Inputs!$J$8-Inputs!$I$8)))/Inputs!$K$8)^2)))*1000/Inputs!$C$12)</x:f>
        <x:v>148178.4668499066</x:v>
      </x:c>
      <x:c r="AI220" s="48" t="n">
        <x:f>(((SQRT(((Inputs!$I$9+(((A220)+1)/2)*(Inputs!$J$9-Inputs!$I$9)))^2+Inputs!$C$6^2+((Inputs!$H$9+Inputs!$L$9*(((Inputs!$I$9+(((A220)+1)/2)*(Inputs!$J$9-Inputs!$I$9)))/Inputs!$K$9)^2))^2))-((Inputs!$H$9+Inputs!$L$9*(((Inputs!$I$9+(((A220)+1)/2)*(Inputs!$J$9-Inputs!$I$9)))/Inputs!$K$9)^2)))*1000/Inputs!$C$12)</x:f>
        <x:v>148702.6116459541</x:v>
      </x:c>
      <x:c r="AJ220" s="49"/>
      <x:c r="AK220" s="48" t="n">
        <x:f>A220</x:f>
        <x:v>0.817</x:v>
      </x:c>
      <x:c r="AL220" s="48" t="n">
        <x:f>(-2*((1000*((((Inputs!$I$6+(((A220)+1)/2)*(Inputs!$J$6-Inputs!$I$6)))*Inputs!$C$11+((Inputs!$H$6+Inputs!$L$6*(((Inputs!$I$6+(((A220)+1)/2)*(Inputs!$J$6-Inputs!$I$6)))/Inputs!$K$6)^2))*((2*Inputs!$L$6*((Inputs!$I$6+(((A220)+1)/2)*(Inputs!$J$6-Inputs!$I$6)))/(Inputs!$K$6^2)*Inputs!$C$11)))/(SQRT(((Inputs!$I$6+(((A220)+1)/2)*(Inputs!$J$6-Inputs!$I$6)))^2+Inputs!$C$6^2+((Inputs!$H$6+Inputs!$L$6*(((Inputs!$I$6+(((A220)+1)/2)*(Inputs!$J$6-Inputs!$I$6)))/Inputs!$K$6)^2))^2)))))/Inputs!$C$13)</x:f>
        <x:v>-365.6745761697509</x:v>
      </x:c>
      <x:c r="AM220" s="48" t="n">
        <x:f>(-2*((1000*((((Inputs!$I$7+(((A220)+1)/2)*(Inputs!$J$7-Inputs!$I$7)))*Inputs!$C$11+((Inputs!$H$7+Inputs!$L$7*(((Inputs!$I$7+(((A220)+1)/2)*(Inputs!$J$7-Inputs!$I$7)))/Inputs!$K$7)^2))*((2*Inputs!$L$7*((Inputs!$I$7+(((A220)+1)/2)*(Inputs!$J$7-Inputs!$I$7)))/(Inputs!$K$7^2)*Inputs!$C$11)))/(SQRT(((Inputs!$I$7+(((A220)+1)/2)*(Inputs!$J$7-Inputs!$I$7)))^2+Inputs!$C$6^2+((Inputs!$H$7+Inputs!$L$7*(((Inputs!$I$7+(((A220)+1)/2)*(Inputs!$J$7-Inputs!$I$7)))/Inputs!$K$7)^2))^2)))))/Inputs!$C$13)</x:f>
        <x:v>-2760.6654385746915</x:v>
      </x:c>
      <x:c r="AN220" s="48" t="n">
        <x:f>(-2*((1000*((((Inputs!$I$8+(((A220)+1)/2)*(Inputs!$J$8-Inputs!$I$8)))*Inputs!$C$11+((Inputs!$H$8+Inputs!$L$8*(((Inputs!$I$8+(((A220)+1)/2)*(Inputs!$J$8-Inputs!$I$8)))/Inputs!$K$8)^2))*((2*Inputs!$L$8*((Inputs!$I$8+(((A220)+1)/2)*(Inputs!$J$8-Inputs!$I$8)))/(Inputs!$K$8^2)*Inputs!$C$11)))/(SQRT(((Inputs!$I$8+(((A220)+1)/2)*(Inputs!$J$8-Inputs!$I$8)))^2+Inputs!$C$6^2+((Inputs!$H$8+Inputs!$L$8*(((Inputs!$I$8+(((A220)+1)/2)*(Inputs!$J$8-Inputs!$I$8)))/Inputs!$K$8)^2))^2)))))/Inputs!$C$13)</x:f>
        <x:v>-3380.5497256420495</x:v>
      </x:c>
      <x:c r="AO220" s="48" t="n">
        <x:f>(-2*((1000*((((Inputs!$I$9+(((A220)+1)/2)*(Inputs!$J$9-Inputs!$I$9)))*Inputs!$C$11+((Inputs!$H$9+Inputs!$L$9*(((Inputs!$I$9+(((A220)+1)/2)*(Inputs!$J$9-Inputs!$I$9)))/Inputs!$K$9)^2))*((2*Inputs!$L$9*((Inputs!$I$9+(((A220)+1)/2)*(Inputs!$J$9-Inputs!$I$9)))/(Inputs!$K$9^2)*Inputs!$C$11)))/(SQRT(((Inputs!$I$9+(((A220)+1)/2)*(Inputs!$J$9-Inputs!$I$9)))^2+Inputs!$C$6^2+((Inputs!$H$9+Inputs!$L$9*(((Inputs!$I$9+(((A220)+1)/2)*(Inputs!$J$9-Inputs!$I$9)))/Inputs!$K$9)^2))^2)))))/Inputs!$C$13)</x:f>
        <x:v>-3401.481091145488</x:v>
      </x:c>
    </x:row>
    <x:row r="221">
      <x:c r="A221" s="48" t="n">
        <x:f>ROUND(-1+219*2/240,3)</x:f>
        <x:v>0.825</x:v>
      </x:c>
      <x:c r="B221" s="48" t="n">
        <x:f>IF(OR(Inputs!$F$6=TRUE,Inputs!$F$6="TRUE",Inputs!$F$6=1),(Inputs!$H$6+Inputs!$L$6*(((Inputs!$I$6+(((A221)+1)/2)*(Inputs!$J$6-Inputs!$I$6)))/Inputs!$K$6)^2),NA())</x:f>
        <x:v>402.7225</x:v>
      </x:c>
      <x:c r="C221" s="48" t="n">
        <x:f>IF(OR(Inputs!$F$7=TRUE,Inputs!$F$7="TRUE",Inputs!$F$7=1),(Inputs!$H$7+Inputs!$L$7*(((Inputs!$I$7+(((A221)+1)/2)*(Inputs!$J$7-Inputs!$I$7)))/Inputs!$K$7)^2),NA())</x:f>
        <x:v>283.42812499999997</x:v>
      </x:c>
      <x:c r="D221" s="48" t="n">
        <x:f>IF(OR(Inputs!$F$8=TRUE,Inputs!$F$8="TRUE",Inputs!$F$8=1),(Inputs!$H$8+Inputs!$L$8*(((Inputs!$I$8+(((A221)+1)/2)*(Inputs!$J$8-Inputs!$I$8)))/Inputs!$K$8)^2),NA())</x:f>
        <x:v>691.8031249999999</x:v>
      </x:c>
      <x:c r="E221" s="48" t="n">
        <x:f>IF(OR(Inputs!$F$9=TRUE,Inputs!$F$9="TRUE",Inputs!$F$9=1),(Inputs!$H$9+Inputs!$L$9*(((Inputs!$I$9+(((A221)+1)/2)*(Inputs!$J$9-Inputs!$I$9)))/Inputs!$K$9)^2),NA())</x:f>
        <x:v>688.6093749999999</x:v>
      </x:c>
      <x:c r="F221" s="49"/>
      <x:c r="G221" s="48" t="n">
        <x:f>A221</x:f>
        <x:v>0.825</x:v>
      </x:c>
      <x:c r="H221" s="48" t="n">
        <x:f>IF(OR(Inputs!$F$6=TRUE,Inputs!$F$6="TRUE",Inputs!$F$6=1),(((SQRT(((Inputs!$I$6+(((A221)+1)/2)*(Inputs!$J$6-Inputs!$I$6)))^2+Inputs!$C$6^2+((Inputs!$H$6+Inputs!$L$6*(((Inputs!$I$6+(((A221)+1)/2)*(Inputs!$J$6-Inputs!$I$6)))/Inputs!$K$6)^2))^2))-((Inputs!$H$6+Inputs!$L$6*(((Inputs!$I$6+(((A221)+1)/2)*(Inputs!$J$6-Inputs!$I$6)))/Inputs!$K$6)^2)))*1000/Inputs!$C$12),NA())</x:f>
        <x:v>2134.9136872674544</x:v>
      </x:c>
      <x:c r="I221" s="48" t="n">
        <x:f>IF(OR(Inputs!$F$7=TRUE,Inputs!$F$7="TRUE",Inputs!$F$7=1),(((SQRT(((Inputs!$I$7+(((A221)+1)/2)*(Inputs!$J$7-Inputs!$I$7)))^2+Inputs!$C$6^2+((Inputs!$H$7+Inputs!$L$7*(((Inputs!$I$7+(((A221)+1)/2)*(Inputs!$J$7-Inputs!$I$7)))/Inputs!$K$7)^2))^2))-((Inputs!$H$7+Inputs!$L$7*(((Inputs!$I$7+(((A221)+1)/2)*(Inputs!$J$7-Inputs!$I$7)))/Inputs!$K$7)^2)))*1000/Inputs!$C$12),NA())</x:f>
        <x:v>85560.18809842186</x:v>
      </x:c>
      <x:c r="J221" s="48" t="n">
        <x:f>IF(OR(Inputs!$F$8=TRUE,Inputs!$F$8="TRUE",Inputs!$F$8=1),(((SQRT(((Inputs!$I$8+(((A221)+1)/2)*(Inputs!$J$8-Inputs!$I$8)))^2+Inputs!$C$6^2+((Inputs!$H$8+Inputs!$L$8*(((Inputs!$I$8+(((A221)+1)/2)*(Inputs!$J$8-Inputs!$I$8)))/Inputs!$K$8)^2))^2))-((Inputs!$H$8+Inputs!$L$8*(((Inputs!$I$8+(((A221)+1)/2)*(Inputs!$J$8-Inputs!$I$8)))/Inputs!$K$8)^2)))*1000/Inputs!$C$12),NA())</x:f>
        <x:v>148683.88203403619</x:v>
      </x:c>
      <x:c r="K221" s="48" t="n">
        <x:f>IF(OR(Inputs!$F$9=TRUE,Inputs!$F$9="TRUE",Inputs!$F$9=1),(((SQRT(((Inputs!$I$9+(((A221)+1)/2)*(Inputs!$J$9-Inputs!$I$9)))^2+Inputs!$C$6^2+((Inputs!$H$9+Inputs!$L$9*(((Inputs!$I$9+(((A221)+1)/2)*(Inputs!$J$9-Inputs!$I$9)))/Inputs!$K$9)^2))^2))-((Inputs!$H$9+Inputs!$L$9*(((Inputs!$I$9+(((A221)+1)/2)*(Inputs!$J$9-Inputs!$I$9)))/Inputs!$K$9)^2)))*1000/Inputs!$C$12),NA())</x:f>
        <x:v>149181.78940271804</x:v>
      </x:c>
      <x:c r="L221" s="49"/>
      <x:c r="M221" s="48" t="n">
        <x:f>A221</x:f>
        <x:v>0.825</x:v>
      </x:c>
      <x:c r="N221" s="48" t="n">
        <x:f>IF(OR(Inputs!$F$6=TRUE,Inputs!$F$6="TRUE",Inputs!$F$6=1),(-2*((1000*((((Inputs!$I$6+(((A221)+1)/2)*(Inputs!$J$6-Inputs!$I$6)))*Inputs!$C$11+((Inputs!$H$6+Inputs!$L$6*(((Inputs!$I$6+(((A221)+1)/2)*(Inputs!$J$6-Inputs!$I$6)))/Inputs!$K$6)^2))*((2*Inputs!$L$6*((Inputs!$I$6+(((A221)+1)/2)*(Inputs!$J$6-Inputs!$I$6)))/(Inputs!$K$6^2)*Inputs!$C$11)))/(SQRT(((Inputs!$I$6+(((A221)+1)/2)*(Inputs!$J$6-Inputs!$I$6)))^2+Inputs!$C$6^2+((Inputs!$H$6+Inputs!$L$6*(((Inputs!$I$6+(((A221)+1)/2)*(Inputs!$J$6-Inputs!$I$6)))/Inputs!$K$6)^2))^2)))))/Inputs!$C$13),NA())</x:f>
        <x:v>-369.17785846022554</x:v>
      </x:c>
      <x:c r="O221" s="48" t="n">
        <x:f>IF(OR(Inputs!$F$7=TRUE,Inputs!$F$7="TRUE",Inputs!$F$7=1),(-2*((1000*((((Inputs!$I$7+(((A221)+1)/2)*(Inputs!$J$7-Inputs!$I$7)))*Inputs!$C$11+((Inputs!$H$7+Inputs!$L$7*(((Inputs!$I$7+(((A221)+1)/2)*(Inputs!$J$7-Inputs!$I$7)))/Inputs!$K$7)^2))*((2*Inputs!$L$7*((Inputs!$I$7+(((A221)+1)/2)*(Inputs!$J$7-Inputs!$I$7)))/(Inputs!$K$7^2)*Inputs!$C$11)))/(SQRT(((Inputs!$I$7+(((A221)+1)/2)*(Inputs!$J$7-Inputs!$I$7)))^2+Inputs!$C$6^2+((Inputs!$H$7+Inputs!$L$7*(((Inputs!$I$7+(((A221)+1)/2)*(Inputs!$J$7-Inputs!$I$7)))/Inputs!$K$7)^2))^2)))))/Inputs!$C$13),NA())</x:f>
        <x:v>-2778.765577278079</x:v>
      </x:c>
      <x:c r="P221" s="48" t="n">
        <x:f>IF(OR(Inputs!$F$8=TRUE,Inputs!$F$8="TRUE",Inputs!$F$8=1),(-2*((1000*((((Inputs!$I$8+(((A221)+1)/2)*(Inputs!$J$8-Inputs!$I$8)))*Inputs!$C$11+((Inputs!$H$8+Inputs!$L$8*(((Inputs!$I$8+(((A221)+1)/2)*(Inputs!$J$8-Inputs!$I$8)))/Inputs!$K$8)^2))*((2*Inputs!$L$8*((Inputs!$I$8+(((A221)+1)/2)*(Inputs!$J$8-Inputs!$I$8)))/(Inputs!$K$8^2)*Inputs!$C$11)))/(SQRT(((Inputs!$I$8+(((A221)+1)/2)*(Inputs!$J$8-Inputs!$I$8)))^2+Inputs!$C$6^2+((Inputs!$H$8+Inputs!$L$8*(((Inputs!$I$8+(((A221)+1)/2)*(Inputs!$J$8-Inputs!$I$8)))/Inputs!$K$8)^2))^2)))))/Inputs!$C$13),NA())</x:f>
        <x:v>-3407.4039366744537</x:v>
      </x:c>
      <x:c r="Q221" s="48" t="n">
        <x:f>IF(OR(Inputs!$F$9=TRUE,Inputs!$F$9="TRUE",Inputs!$F$9=1),(-2*((1000*((((Inputs!$I$9+(((A221)+1)/2)*(Inputs!$J$9-Inputs!$I$9)))*Inputs!$C$11+((Inputs!$H$9+Inputs!$L$9*(((Inputs!$I$9+(((A221)+1)/2)*(Inputs!$J$9-Inputs!$I$9)))/Inputs!$K$9)^2))*((2*Inputs!$L$9*((Inputs!$I$9+(((A221)+1)/2)*(Inputs!$J$9-Inputs!$I$9)))/(Inputs!$K$9^2)*Inputs!$C$11)))/(SQRT(((Inputs!$I$9+(((A221)+1)/2)*(Inputs!$J$9-Inputs!$I$9)))^2+Inputs!$C$6^2+((Inputs!$H$9+Inputs!$L$9*(((Inputs!$I$9+(((A221)+1)/2)*(Inputs!$J$9-Inputs!$I$9)))/Inputs!$K$9)^2))^2)))))/Inputs!$C$13),NA())</x:f>
        <x:v>-3428.801042123591</x:v>
      </x:c>
      <x:c r="R221" s="49"/>
      <x:c r="S221" s="48" t="n">
        <x:f>A221</x:f>
        <x:v>0.825</x:v>
      </x:c>
      <x:c r="T221" s="48" t="n">
        <x:f>(Inputs!$I$6+(((A221)+1)/2)*(Inputs!$J$6-Inputs!$I$6))</x:f>
        <x:v>49.5</x:v>
      </x:c>
      <x:c r="U221" s="48" t="n">
        <x:f>(Inputs!$I$7+(((A221)+1)/2)*(Inputs!$J$7-Inputs!$I$7))</x:f>
        <x:v>330</x:v>
      </x:c>
      <x:c r="V221" s="48" t="n">
        <x:f>(Inputs!$I$8+(((A221)+1)/2)*(Inputs!$J$8-Inputs!$I$8))</x:f>
        <x:v>660</x:v>
      </x:c>
      <x:c r="W221" s="48" t="n">
        <x:f>(Inputs!$I$9+(((A221)+1)/2)*(Inputs!$J$9-Inputs!$I$9))</x:f>
        <x:v>660</x:v>
      </x:c>
      <x:c r="X221" s="49"/>
      <x:c r="Y221" s="48" t="n">
        <x:f>A221</x:f>
        <x:v>0.825</x:v>
      </x:c>
      <x:c r="Z221" s="48" t="n">
        <x:f>(Inputs!$H$6+Inputs!$L$6*(((Inputs!$I$6+(((A221)+1)/2)*(Inputs!$J$6-Inputs!$I$6)))/Inputs!$K$6)^2)</x:f>
        <x:v>402.7225</x:v>
      </x:c>
      <x:c r="AA221" s="48" t="n">
        <x:f>(Inputs!$H$7+Inputs!$L$7*(((Inputs!$I$7+(((A221)+1)/2)*(Inputs!$J$7-Inputs!$I$7)))/Inputs!$K$7)^2)</x:f>
        <x:v>283.42812499999997</x:v>
      </x:c>
      <x:c r="AB221" s="48" t="n">
        <x:f>(Inputs!$H$8+Inputs!$L$8*(((Inputs!$I$8+(((A221)+1)/2)*(Inputs!$J$8-Inputs!$I$8)))/Inputs!$K$8)^2)</x:f>
        <x:v>691.8031249999999</x:v>
      </x:c>
      <x:c r="AC221" s="48" t="n">
        <x:f>(Inputs!$H$9+Inputs!$L$9*(((Inputs!$I$9+(((A221)+1)/2)*(Inputs!$J$9-Inputs!$I$9)))/Inputs!$K$9)^2)</x:f>
        <x:v>688.6093749999999</x:v>
      </x:c>
      <x:c r="AD221" s="49"/>
      <x:c r="AE221" s="48" t="n">
        <x:f>A221</x:f>
        <x:v>0.825</x:v>
      </x:c>
      <x:c r="AF221" s="48" t="n">
        <x:f>(((SQRT(((Inputs!$I$6+(((A221)+1)/2)*(Inputs!$J$6-Inputs!$I$6)))^2+Inputs!$C$6^2+((Inputs!$H$6+Inputs!$L$6*(((Inputs!$I$6+(((A221)+1)/2)*(Inputs!$J$6-Inputs!$I$6)))/Inputs!$K$6)^2))^2))-((Inputs!$H$6+Inputs!$L$6*(((Inputs!$I$6+(((A221)+1)/2)*(Inputs!$J$6-Inputs!$I$6)))/Inputs!$K$6)^2)))*1000/Inputs!$C$12)</x:f>
        <x:v>2134.9136872674544</x:v>
      </x:c>
      <x:c r="AG221" s="48" t="n">
        <x:f>(((SQRT(((Inputs!$I$7+(((A221)+1)/2)*(Inputs!$J$7-Inputs!$I$7)))^2+Inputs!$C$6^2+((Inputs!$H$7+Inputs!$L$7*(((Inputs!$I$7+(((A221)+1)/2)*(Inputs!$J$7-Inputs!$I$7)))/Inputs!$K$7)^2))^2))-((Inputs!$H$7+Inputs!$L$7*(((Inputs!$I$7+(((A221)+1)/2)*(Inputs!$J$7-Inputs!$I$7)))/Inputs!$K$7)^2)))*1000/Inputs!$C$12)</x:f>
        <x:v>85560.18809842186</x:v>
      </x:c>
      <x:c r="AH221" s="48" t="n">
        <x:f>(((SQRT(((Inputs!$I$8+(((A221)+1)/2)*(Inputs!$J$8-Inputs!$I$8)))^2+Inputs!$C$6^2+((Inputs!$H$8+Inputs!$L$8*(((Inputs!$I$8+(((A221)+1)/2)*(Inputs!$J$8-Inputs!$I$8)))/Inputs!$K$8)^2))^2))-((Inputs!$H$8+Inputs!$L$8*(((Inputs!$I$8+(((A221)+1)/2)*(Inputs!$J$8-Inputs!$I$8)))/Inputs!$K$8)^2)))*1000/Inputs!$C$12)</x:f>
        <x:v>148683.88203403619</x:v>
      </x:c>
      <x:c r="AI221" s="48" t="n">
        <x:f>(((SQRT(((Inputs!$I$9+(((A221)+1)/2)*(Inputs!$J$9-Inputs!$I$9)))^2+Inputs!$C$6^2+((Inputs!$H$9+Inputs!$L$9*(((Inputs!$I$9+(((A221)+1)/2)*(Inputs!$J$9-Inputs!$I$9)))/Inputs!$K$9)^2))^2))-((Inputs!$H$9+Inputs!$L$9*(((Inputs!$I$9+(((A221)+1)/2)*(Inputs!$J$9-Inputs!$I$9)))/Inputs!$K$9)^2)))*1000/Inputs!$C$12)</x:f>
        <x:v>149181.78940271804</x:v>
      </x:c>
      <x:c r="AJ221" s="49"/>
      <x:c r="AK221" s="48" t="n">
        <x:f>A221</x:f>
        <x:v>0.825</x:v>
      </x:c>
      <x:c r="AL221" s="48" t="n">
        <x:f>(-2*((1000*((((Inputs!$I$6+(((A221)+1)/2)*(Inputs!$J$6-Inputs!$I$6)))*Inputs!$C$11+((Inputs!$H$6+Inputs!$L$6*(((Inputs!$I$6+(((A221)+1)/2)*(Inputs!$J$6-Inputs!$I$6)))/Inputs!$K$6)^2))*((2*Inputs!$L$6*((Inputs!$I$6+(((A221)+1)/2)*(Inputs!$J$6-Inputs!$I$6)))/(Inputs!$K$6^2)*Inputs!$C$11)))/(SQRT(((Inputs!$I$6+(((A221)+1)/2)*(Inputs!$J$6-Inputs!$I$6)))^2+Inputs!$C$6^2+((Inputs!$H$6+Inputs!$L$6*(((Inputs!$I$6+(((A221)+1)/2)*(Inputs!$J$6-Inputs!$I$6)))/Inputs!$K$6)^2))^2)))))/Inputs!$C$13)</x:f>
        <x:v>-369.17785846022554</x:v>
      </x:c>
      <x:c r="AM221" s="48" t="n">
        <x:f>(-2*((1000*((((Inputs!$I$7+(((A221)+1)/2)*(Inputs!$J$7-Inputs!$I$7)))*Inputs!$C$11+((Inputs!$H$7+Inputs!$L$7*(((Inputs!$I$7+(((A221)+1)/2)*(Inputs!$J$7-Inputs!$I$7)))/Inputs!$K$7)^2))*((2*Inputs!$L$7*((Inputs!$I$7+(((A221)+1)/2)*(Inputs!$J$7-Inputs!$I$7)))/(Inputs!$K$7^2)*Inputs!$C$11)))/(SQRT(((Inputs!$I$7+(((A221)+1)/2)*(Inputs!$J$7-Inputs!$I$7)))^2+Inputs!$C$6^2+((Inputs!$H$7+Inputs!$L$7*(((Inputs!$I$7+(((A221)+1)/2)*(Inputs!$J$7-Inputs!$I$7)))/Inputs!$K$7)^2))^2)))))/Inputs!$C$13)</x:f>
        <x:v>-2778.765577278079</x:v>
      </x:c>
      <x:c r="AN221" s="48" t="n">
        <x:f>(-2*((1000*((((Inputs!$I$8+(((A221)+1)/2)*(Inputs!$J$8-Inputs!$I$8)))*Inputs!$C$11+((Inputs!$H$8+Inputs!$L$8*(((Inputs!$I$8+(((A221)+1)/2)*(Inputs!$J$8-Inputs!$I$8)))/Inputs!$K$8)^2))*((2*Inputs!$L$8*((Inputs!$I$8+(((A221)+1)/2)*(Inputs!$J$8-Inputs!$I$8)))/(Inputs!$K$8^2)*Inputs!$C$11)))/(SQRT(((Inputs!$I$8+(((A221)+1)/2)*(Inputs!$J$8-Inputs!$I$8)))^2+Inputs!$C$6^2+((Inputs!$H$8+Inputs!$L$8*(((Inputs!$I$8+(((A221)+1)/2)*(Inputs!$J$8-Inputs!$I$8)))/Inputs!$K$8)^2))^2)))))/Inputs!$C$13)</x:f>
        <x:v>-3407.4039366744537</x:v>
      </x:c>
      <x:c r="AO221" s="48" t="n">
        <x:f>(-2*((1000*((((Inputs!$I$9+(((A221)+1)/2)*(Inputs!$J$9-Inputs!$I$9)))*Inputs!$C$11+((Inputs!$H$9+Inputs!$L$9*(((Inputs!$I$9+(((A221)+1)/2)*(Inputs!$J$9-Inputs!$I$9)))/Inputs!$K$9)^2))*((2*Inputs!$L$9*((Inputs!$I$9+(((A221)+1)/2)*(Inputs!$J$9-Inputs!$I$9)))/(Inputs!$K$9^2)*Inputs!$C$11)))/(SQRT(((Inputs!$I$9+(((A221)+1)/2)*(Inputs!$J$9-Inputs!$I$9)))^2+Inputs!$C$6^2+((Inputs!$H$9+Inputs!$L$9*(((Inputs!$I$9+(((A221)+1)/2)*(Inputs!$J$9-Inputs!$I$9)))/Inputs!$K$9)^2))^2)))))/Inputs!$C$13)</x:f>
        <x:v>-3428.801042123591</x:v>
      </x:c>
    </x:row>
    <x:row r="222">
      <x:c r="A222" s="48" t="n">
        <x:f>ROUND(-1+220*2/240,3)</x:f>
        <x:v>0.833</x:v>
      </x:c>
      <x:c r="B222" s="48" t="n">
        <x:f>IF(OR(Inputs!$F$6=TRUE,Inputs!$F$6="TRUE",Inputs!$F$6=1),(Inputs!$H$6+Inputs!$L$6*(((Inputs!$I$6+(((A222)+1)/2)*(Inputs!$J$6-Inputs!$I$6)))/Inputs!$K$6)^2),NA())</x:f>
        <x:v>402.775556</x:v>
      </x:c>
      <x:c r="C222" s="48" t="n">
        <x:f>IF(OR(Inputs!$F$7=TRUE,Inputs!$F$7="TRUE",Inputs!$F$7=1),(Inputs!$H$7+Inputs!$L$7*(((Inputs!$I$7+(((A222)+1)/2)*(Inputs!$J$7-Inputs!$I$7)))/Inputs!$K$7)^2),NA())</x:f>
        <x:v>288.2694849999999</x:v>
      </x:c>
      <x:c r="D222" s="48" t="n">
        <x:f>IF(OR(Inputs!$F$8=TRUE,Inputs!$F$8="TRUE",Inputs!$F$8=1),(Inputs!$H$8+Inputs!$L$8*(((Inputs!$I$8+(((A222)+1)/2)*(Inputs!$J$8-Inputs!$I$8)))/Inputs!$K$8)^2),NA())</x:f>
        <x:v>704.6028849999998</x:v>
      </x:c>
      <x:c r="E222" s="48" t="n">
        <x:f>IF(OR(Inputs!$F$9=TRUE,Inputs!$F$9="TRUE",Inputs!$F$9=1),(Inputs!$H$9+Inputs!$L$9*(((Inputs!$I$9+(((A222)+1)/2)*(Inputs!$J$9-Inputs!$I$9)))/Inputs!$K$9)^2),NA())</x:f>
        <x:v>701.5417749999998</x:v>
      </x:c>
      <x:c r="F222" s="49"/>
      <x:c r="G222" s="48" t="n">
        <x:f>A222</x:f>
        <x:v>0.833</x:v>
      </x:c>
      <x:c r="H222" s="48" t="n">
        <x:f>IF(OR(Inputs!$F$6=TRUE,Inputs!$F$6="TRUE",Inputs!$F$6=1),(((SQRT(((Inputs!$I$6+(((A222)+1)/2)*(Inputs!$J$6-Inputs!$I$6)))^2+Inputs!$C$6^2+((Inputs!$H$6+Inputs!$L$6*(((Inputs!$I$6+(((A222)+1)/2)*(Inputs!$J$6-Inputs!$I$6)))/Inputs!$K$6)^2))^2))-((Inputs!$H$6+Inputs!$L$6*(((Inputs!$I$6+(((A222)+1)/2)*(Inputs!$J$6-Inputs!$I$6)))/Inputs!$K$6)^2)))*1000/Inputs!$C$12),NA())</x:f>
        <x:v>2167.6229993089323</x:v>
      </x:c>
      <x:c r="I222" s="48" t="n">
        <x:f>IF(OR(Inputs!$F$7=TRUE,Inputs!$F$7="TRUE",Inputs!$F$7=1),(((SQRT(((Inputs!$I$7+(((A222)+1)/2)*(Inputs!$J$7-Inputs!$I$7)))^2+Inputs!$C$6^2+((Inputs!$H$7+Inputs!$L$7*(((Inputs!$I$7+(((A222)+1)/2)*(Inputs!$J$7-Inputs!$I$7)))/Inputs!$K$7)^2))^2))-((Inputs!$H$7+Inputs!$L$7*(((Inputs!$I$7+(((A222)+1)/2)*(Inputs!$J$7-Inputs!$I$7)))/Inputs!$K$7)^2)))*1000/Inputs!$C$12),NA())</x:f>
        <x:v>85972.73792717027</x:v>
      </x:c>
      <x:c r="J222" s="48" t="n">
        <x:f>IF(OR(Inputs!$F$8=TRUE,Inputs!$F$8="TRUE",Inputs!$F$8=1),(((SQRT(((Inputs!$I$8+(((A222)+1)/2)*(Inputs!$J$8-Inputs!$I$8)))^2+Inputs!$C$6^2+((Inputs!$H$8+Inputs!$L$8*(((Inputs!$I$8+(((A222)+1)/2)*(Inputs!$J$8-Inputs!$I$8)))/Inputs!$K$8)^2))^2))-((Inputs!$H$8+Inputs!$L$8*(((Inputs!$I$8+(((A222)+1)/2)*(Inputs!$J$8-Inputs!$I$8)))/Inputs!$K$8)^2)))*1000/Inputs!$C$12),NA())</x:f>
        <x:v>149180.3451706489</x:v>
      </x:c>
      <x:c r="K222" s="48" t="n">
        <x:f>IF(OR(Inputs!$F$9=TRUE,Inputs!$F$9="TRUE",Inputs!$F$9=1),(((SQRT(((Inputs!$I$9+(((A222)+1)/2)*(Inputs!$J$9-Inputs!$I$9)))^2+Inputs!$C$6^2+((Inputs!$H$9+Inputs!$L$9*(((Inputs!$I$9+(((A222)+1)/2)*(Inputs!$J$9-Inputs!$I$9)))/Inputs!$K$9)^2))^2))-((Inputs!$H$9+Inputs!$L$9*(((Inputs!$I$9+(((A222)+1)/2)*(Inputs!$J$9-Inputs!$I$9)))/Inputs!$K$9)^2)))*1000/Inputs!$C$12),NA())</x:f>
        <x:v>149652.34113318572</x:v>
      </x:c>
      <x:c r="L222" s="49"/>
      <x:c r="M222" s="48" t="n">
        <x:f>A222</x:f>
        <x:v>0.833</x:v>
      </x:c>
      <x:c r="N222" s="48" t="n">
        <x:f>IF(OR(Inputs!$F$6=TRUE,Inputs!$F$6="TRUE",Inputs!$F$6=1),(-2*((1000*((((Inputs!$I$6+(((A222)+1)/2)*(Inputs!$J$6-Inputs!$I$6)))*Inputs!$C$11+((Inputs!$H$6+Inputs!$L$6*(((Inputs!$I$6+(((A222)+1)/2)*(Inputs!$J$6-Inputs!$I$6)))/Inputs!$K$6)^2))*((2*Inputs!$L$6*((Inputs!$I$6+(((A222)+1)/2)*(Inputs!$J$6-Inputs!$I$6)))/(Inputs!$K$6^2)*Inputs!$C$11)))/(SQRT(((Inputs!$I$6+(((A222)+1)/2)*(Inputs!$J$6-Inputs!$I$6)))^2+Inputs!$C$6^2+((Inputs!$H$6+Inputs!$L$6*(((Inputs!$I$6+(((A222)+1)/2)*(Inputs!$J$6-Inputs!$I$6)))/Inputs!$K$6)^2))^2)))))/Inputs!$C$13),NA())</x:f>
        <x:v>-372.67894333802207</x:v>
      </x:c>
      <x:c r="O222" s="48" t="n">
        <x:f>IF(OR(Inputs!$F$7=TRUE,Inputs!$F$7="TRUE",Inputs!$F$7=1),(-2*((1000*((((Inputs!$I$7+(((A222)+1)/2)*(Inputs!$J$7-Inputs!$I$7)))*Inputs!$C$11+((Inputs!$H$7+Inputs!$L$7*(((Inputs!$I$7+(((A222)+1)/2)*(Inputs!$J$7-Inputs!$I$7)))/Inputs!$K$7)^2))*((2*Inputs!$L$7*((Inputs!$I$7+(((A222)+1)/2)*(Inputs!$J$7-Inputs!$I$7)))/(Inputs!$K$7^2)*Inputs!$C$11)))/(SQRT(((Inputs!$I$7+(((A222)+1)/2)*(Inputs!$J$7-Inputs!$I$7)))^2+Inputs!$C$6^2+((Inputs!$H$7+Inputs!$L$7*(((Inputs!$I$7+(((A222)+1)/2)*(Inputs!$J$7-Inputs!$I$7)))/Inputs!$K$7)^2))^2)))))/Inputs!$C$13),NA())</x:f>
        <x:v>-2796.94648455112</x:v>
      </x:c>
      <x:c r="P222" s="48" t="n">
        <x:f>IF(OR(Inputs!$F$8=TRUE,Inputs!$F$8="TRUE",Inputs!$F$8=1),(-2*((1000*((((Inputs!$I$8+(((A222)+1)/2)*(Inputs!$J$8-Inputs!$I$8)))*Inputs!$C$11+((Inputs!$H$8+Inputs!$L$8*(((Inputs!$I$8+(((A222)+1)/2)*(Inputs!$J$8-Inputs!$I$8)))/Inputs!$K$8)^2))*((2*Inputs!$L$8*((Inputs!$I$8+(((A222)+1)/2)*(Inputs!$J$8-Inputs!$I$8)))/(Inputs!$K$8^2)*Inputs!$C$11)))/(SQRT(((Inputs!$I$8+(((A222)+1)/2)*(Inputs!$J$8-Inputs!$I$8)))^2+Inputs!$C$6^2+((Inputs!$H$8+Inputs!$L$8*(((Inputs!$I$8+(((A222)+1)/2)*(Inputs!$J$8-Inputs!$I$8)))/Inputs!$K$8)^2))^2)))))/Inputs!$C$13),NA())</x:f>
        <x:v>-3434.3420872089273</x:v>
      </x:c>
      <x:c r="Q222" s="48" t="n">
        <x:f>IF(OR(Inputs!$F$9=TRUE,Inputs!$F$9="TRUE",Inputs!$F$9=1),(-2*((1000*((((Inputs!$I$9+(((A222)+1)/2)*(Inputs!$J$9-Inputs!$I$9)))*Inputs!$C$11+((Inputs!$H$9+Inputs!$L$9*(((Inputs!$I$9+(((A222)+1)/2)*(Inputs!$J$9-Inputs!$I$9)))/Inputs!$K$9)^2))*((2*Inputs!$L$9*((Inputs!$I$9+(((A222)+1)/2)*(Inputs!$J$9-Inputs!$I$9)))/(Inputs!$K$9^2)*Inputs!$C$11)))/(SQRT(((Inputs!$I$9+(((A222)+1)/2)*(Inputs!$J$9-Inputs!$I$9)))^2+Inputs!$C$6^2+((Inputs!$H$9+Inputs!$L$9*(((Inputs!$I$9+(((A222)+1)/2)*(Inputs!$J$9-Inputs!$I$9)))/Inputs!$K$9)^2))^2)))))/Inputs!$C$13),NA())</x:f>
        <x:v>-3456.203607262219</x:v>
      </x:c>
      <x:c r="R222" s="49"/>
      <x:c r="S222" s="48" t="n">
        <x:f>A222</x:f>
        <x:v>0.833</x:v>
      </x:c>
      <x:c r="T222" s="48" t="n">
        <x:f>(Inputs!$I$6+(((A222)+1)/2)*(Inputs!$J$6-Inputs!$I$6))</x:f>
        <x:v>49.980000000000004</x:v>
      </x:c>
      <x:c r="U222" s="48" t="n">
        <x:f>(Inputs!$I$7+(((A222)+1)/2)*(Inputs!$J$7-Inputs!$I$7))</x:f>
        <x:v>333.19999999999993</x:v>
      </x:c>
      <x:c r="V222" s="48" t="n">
        <x:f>(Inputs!$I$8+(((A222)+1)/2)*(Inputs!$J$8-Inputs!$I$8))</x:f>
        <x:v>666.3999999999999</x:v>
      </x:c>
      <x:c r="W222" s="48" t="n">
        <x:f>(Inputs!$I$9+(((A222)+1)/2)*(Inputs!$J$9-Inputs!$I$9))</x:f>
        <x:v>666.3999999999999</x:v>
      </x:c>
      <x:c r="X222" s="49"/>
      <x:c r="Y222" s="48" t="n">
        <x:f>A222</x:f>
        <x:v>0.833</x:v>
      </x:c>
      <x:c r="Z222" s="48" t="n">
        <x:f>(Inputs!$H$6+Inputs!$L$6*(((Inputs!$I$6+(((A222)+1)/2)*(Inputs!$J$6-Inputs!$I$6)))/Inputs!$K$6)^2)</x:f>
        <x:v>402.775556</x:v>
      </x:c>
      <x:c r="AA222" s="48" t="n">
        <x:f>(Inputs!$H$7+Inputs!$L$7*(((Inputs!$I$7+(((A222)+1)/2)*(Inputs!$J$7-Inputs!$I$7)))/Inputs!$K$7)^2)</x:f>
        <x:v>288.2694849999999</x:v>
      </x:c>
      <x:c r="AB222" s="48" t="n">
        <x:f>(Inputs!$H$8+Inputs!$L$8*(((Inputs!$I$8+(((A222)+1)/2)*(Inputs!$J$8-Inputs!$I$8)))/Inputs!$K$8)^2)</x:f>
        <x:v>704.6028849999998</x:v>
      </x:c>
      <x:c r="AC222" s="48" t="n">
        <x:f>(Inputs!$H$9+Inputs!$L$9*(((Inputs!$I$9+(((A222)+1)/2)*(Inputs!$J$9-Inputs!$I$9)))/Inputs!$K$9)^2)</x:f>
        <x:v>701.5417749999998</x:v>
      </x:c>
      <x:c r="AD222" s="49"/>
      <x:c r="AE222" s="48" t="n">
        <x:f>A222</x:f>
        <x:v>0.833</x:v>
      </x:c>
      <x:c r="AF222" s="48" t="n">
        <x:f>(((SQRT(((Inputs!$I$6+(((A222)+1)/2)*(Inputs!$J$6-Inputs!$I$6)))^2+Inputs!$C$6^2+((Inputs!$H$6+Inputs!$L$6*(((Inputs!$I$6+(((A222)+1)/2)*(Inputs!$J$6-Inputs!$I$6)))/Inputs!$K$6)^2))^2))-((Inputs!$H$6+Inputs!$L$6*(((Inputs!$I$6+(((A222)+1)/2)*(Inputs!$J$6-Inputs!$I$6)))/Inputs!$K$6)^2)))*1000/Inputs!$C$12)</x:f>
        <x:v>2167.6229993089323</x:v>
      </x:c>
      <x:c r="AG222" s="48" t="n">
        <x:f>(((SQRT(((Inputs!$I$7+(((A222)+1)/2)*(Inputs!$J$7-Inputs!$I$7)))^2+Inputs!$C$6^2+((Inputs!$H$7+Inputs!$L$7*(((Inputs!$I$7+(((A222)+1)/2)*(Inputs!$J$7-Inputs!$I$7)))/Inputs!$K$7)^2))^2))-((Inputs!$H$7+Inputs!$L$7*(((Inputs!$I$7+(((A222)+1)/2)*(Inputs!$J$7-Inputs!$I$7)))/Inputs!$K$7)^2)))*1000/Inputs!$C$12)</x:f>
        <x:v>85972.73792717027</x:v>
      </x:c>
      <x:c r="AH222" s="48" t="n">
        <x:f>(((SQRT(((Inputs!$I$8+(((A222)+1)/2)*(Inputs!$J$8-Inputs!$I$8)))^2+Inputs!$C$6^2+((Inputs!$H$8+Inputs!$L$8*(((Inputs!$I$8+(((A222)+1)/2)*(Inputs!$J$8-Inputs!$I$8)))/Inputs!$K$8)^2))^2))-((Inputs!$H$8+Inputs!$L$8*(((Inputs!$I$8+(((A222)+1)/2)*(Inputs!$J$8-Inputs!$I$8)))/Inputs!$K$8)^2)))*1000/Inputs!$C$12)</x:f>
        <x:v>149180.3451706489</x:v>
      </x:c>
      <x:c r="AI222" s="48" t="n">
        <x:f>(((SQRT(((Inputs!$I$9+(((A222)+1)/2)*(Inputs!$J$9-Inputs!$I$9)))^2+Inputs!$C$6^2+((Inputs!$H$9+Inputs!$L$9*(((Inputs!$I$9+(((A222)+1)/2)*(Inputs!$J$9-Inputs!$I$9)))/Inputs!$K$9)^2))^2))-((Inputs!$H$9+Inputs!$L$9*(((Inputs!$I$9+(((A222)+1)/2)*(Inputs!$J$9-Inputs!$I$9)))/Inputs!$K$9)^2)))*1000/Inputs!$C$12)</x:f>
        <x:v>149652.34113318572</x:v>
      </x:c>
      <x:c r="AJ222" s="49"/>
      <x:c r="AK222" s="48" t="n">
        <x:f>A222</x:f>
        <x:v>0.833</x:v>
      </x:c>
      <x:c r="AL222" s="48" t="n">
        <x:f>(-2*((1000*((((Inputs!$I$6+(((A222)+1)/2)*(Inputs!$J$6-Inputs!$I$6)))*Inputs!$C$11+((Inputs!$H$6+Inputs!$L$6*(((Inputs!$I$6+(((A222)+1)/2)*(Inputs!$J$6-Inputs!$I$6)))/Inputs!$K$6)^2))*((2*Inputs!$L$6*((Inputs!$I$6+(((A222)+1)/2)*(Inputs!$J$6-Inputs!$I$6)))/(Inputs!$K$6^2)*Inputs!$C$11)))/(SQRT(((Inputs!$I$6+(((A222)+1)/2)*(Inputs!$J$6-Inputs!$I$6)))^2+Inputs!$C$6^2+((Inputs!$H$6+Inputs!$L$6*(((Inputs!$I$6+(((A222)+1)/2)*(Inputs!$J$6-Inputs!$I$6)))/Inputs!$K$6)^2))^2)))))/Inputs!$C$13)</x:f>
        <x:v>-372.67894333802207</x:v>
      </x:c>
      <x:c r="AM222" s="48" t="n">
        <x:f>(-2*((1000*((((Inputs!$I$7+(((A222)+1)/2)*(Inputs!$J$7-Inputs!$I$7)))*Inputs!$C$11+((Inputs!$H$7+Inputs!$L$7*(((Inputs!$I$7+(((A222)+1)/2)*(Inputs!$J$7-Inputs!$I$7)))/Inputs!$K$7)^2))*((2*Inputs!$L$7*((Inputs!$I$7+(((A222)+1)/2)*(Inputs!$J$7-Inputs!$I$7)))/(Inputs!$K$7^2)*Inputs!$C$11)))/(SQRT(((Inputs!$I$7+(((A222)+1)/2)*(Inputs!$J$7-Inputs!$I$7)))^2+Inputs!$C$6^2+((Inputs!$H$7+Inputs!$L$7*(((Inputs!$I$7+(((A222)+1)/2)*(Inputs!$J$7-Inputs!$I$7)))/Inputs!$K$7)^2))^2)))))/Inputs!$C$13)</x:f>
        <x:v>-2796.94648455112</x:v>
      </x:c>
      <x:c r="AN222" s="48" t="n">
        <x:f>(-2*((1000*((((Inputs!$I$8+(((A222)+1)/2)*(Inputs!$J$8-Inputs!$I$8)))*Inputs!$C$11+((Inputs!$H$8+Inputs!$L$8*(((Inputs!$I$8+(((A222)+1)/2)*(Inputs!$J$8-Inputs!$I$8)))/Inputs!$K$8)^2))*((2*Inputs!$L$8*((Inputs!$I$8+(((A222)+1)/2)*(Inputs!$J$8-Inputs!$I$8)))/(Inputs!$K$8^2)*Inputs!$C$11)))/(SQRT(((Inputs!$I$8+(((A222)+1)/2)*(Inputs!$J$8-Inputs!$I$8)))^2+Inputs!$C$6^2+((Inputs!$H$8+Inputs!$L$8*(((Inputs!$I$8+(((A222)+1)/2)*(Inputs!$J$8-Inputs!$I$8)))/Inputs!$K$8)^2))^2)))))/Inputs!$C$13)</x:f>
        <x:v>-3434.3420872089273</x:v>
      </x:c>
      <x:c r="AO222" s="48" t="n">
        <x:f>(-2*((1000*((((Inputs!$I$9+(((A222)+1)/2)*(Inputs!$J$9-Inputs!$I$9)))*Inputs!$C$11+((Inputs!$H$9+Inputs!$L$9*(((Inputs!$I$9+(((A222)+1)/2)*(Inputs!$J$9-Inputs!$I$9)))/Inputs!$K$9)^2))*((2*Inputs!$L$9*((Inputs!$I$9+(((A222)+1)/2)*(Inputs!$J$9-Inputs!$I$9)))/(Inputs!$K$9^2)*Inputs!$C$11)))/(SQRT(((Inputs!$I$9+(((A222)+1)/2)*(Inputs!$J$9-Inputs!$I$9)))^2+Inputs!$C$6^2+((Inputs!$H$9+Inputs!$L$9*(((Inputs!$I$9+(((A222)+1)/2)*(Inputs!$J$9-Inputs!$I$9)))/Inputs!$K$9)^2))^2)))))/Inputs!$C$13)</x:f>
        <x:v>-3456.203607262219</x:v>
      </x:c>
    </x:row>
    <x:row r="223">
      <x:c r="A223" s="48" t="n">
        <x:f>ROUND(-1+221*2/240,3)</x:f>
        <x:v>0.842</x:v>
      </x:c>
      <x:c r="B223" s="48" t="n">
        <x:f>IF(OR(Inputs!$F$6=TRUE,Inputs!$F$6="TRUE",Inputs!$F$6=1),(Inputs!$H$6+Inputs!$L$6*(((Inputs!$I$6+(((A223)+1)/2)*(Inputs!$J$6-Inputs!$I$6)))/Inputs!$K$6)^2),NA())</x:f>
        <x:v>402.835856</x:v>
      </x:c>
      <x:c r="C223" s="48" t="n">
        <x:f>IF(OR(Inputs!$F$7=TRUE,Inputs!$F$7="TRUE",Inputs!$F$7=1),(Inputs!$H$7+Inputs!$L$7*(((Inputs!$I$7+(((A223)+1)/2)*(Inputs!$J$7-Inputs!$I$7)))/Inputs!$K$7)^2),NA())</x:f>
        <x:v>293.7718600000001</x:v>
      </x:c>
      <x:c r="D223" s="48" t="n">
        <x:f>IF(OR(Inputs!$F$8=TRUE,Inputs!$F$8="TRUE",Inputs!$F$8=1),(Inputs!$H$8+Inputs!$L$8*(((Inputs!$I$8+(((A223)+1)/2)*(Inputs!$J$8-Inputs!$I$8)))/Inputs!$K$8)^2),NA())</x:f>
        <x:v>719.1502600000003</x:v>
      </x:c>
      <x:c r="E223" s="48" t="n">
        <x:f>IF(OR(Inputs!$F$9=TRUE,Inputs!$F$9="TRUE",Inputs!$F$9=1),(Inputs!$H$9+Inputs!$L$9*(((Inputs!$I$9+(((A223)+1)/2)*(Inputs!$J$9-Inputs!$I$9)))/Inputs!$K$9)^2),NA())</x:f>
        <x:v>716.2399000000004</x:v>
      </x:c>
      <x:c r="F223" s="49"/>
      <x:c r="G223" s="48" t="n">
        <x:f>A223</x:f>
        <x:v>0.842</x:v>
      </x:c>
      <x:c r="H223" s="48" t="n">
        <x:f>IF(OR(Inputs!$F$6=TRUE,Inputs!$F$6="TRUE",Inputs!$F$6=1),(((SQRT(((Inputs!$I$6+(((A223)+1)/2)*(Inputs!$J$6-Inputs!$I$6)))^2+Inputs!$C$6^2+((Inputs!$H$6+Inputs!$L$6*(((Inputs!$I$6+(((A223)+1)/2)*(Inputs!$J$6-Inputs!$I$6)))/Inputs!$K$6)^2))^2))-((Inputs!$H$6+Inputs!$L$6*(((Inputs!$I$6+(((A223)+1)/2)*(Inputs!$J$6-Inputs!$I$6)))/Inputs!$K$6)^2)))*1000/Inputs!$C$12),NA())</x:f>
        <x:v>2204.7822322393863</x:v>
      </x:c>
      <x:c r="I223" s="48" t="n">
        <x:f>IF(OR(Inputs!$F$7=TRUE,Inputs!$F$7="TRUE",Inputs!$F$7=1),(((SQRT(((Inputs!$I$7+(((A223)+1)/2)*(Inputs!$J$7-Inputs!$I$7)))^2+Inputs!$C$6^2+((Inputs!$H$7+Inputs!$L$7*(((Inputs!$I$7+(((A223)+1)/2)*(Inputs!$J$7-Inputs!$I$7)))/Inputs!$K$7)^2))^2))-((Inputs!$H$7+Inputs!$L$7*(((Inputs!$I$7+(((A223)+1)/2)*(Inputs!$J$7-Inputs!$I$7)))/Inputs!$K$7)^2)))*1000/Inputs!$C$12),NA())</x:f>
        <x:v>86429.95875661507</x:v>
      </x:c>
      <x:c r="J223" s="48" t="n">
        <x:f>IF(OR(Inputs!$F$8=TRUE,Inputs!$F$8="TRUE",Inputs!$F$8=1),(((SQRT(((Inputs!$I$8+(((A223)+1)/2)*(Inputs!$J$8-Inputs!$I$8)))^2+Inputs!$C$6^2+((Inputs!$H$8+Inputs!$L$8*(((Inputs!$I$8+(((A223)+1)/2)*(Inputs!$J$8-Inputs!$I$8)))/Inputs!$K$8)^2))^2))-((Inputs!$H$8+Inputs!$L$8*(((Inputs!$I$8+(((A223)+1)/2)*(Inputs!$J$8-Inputs!$I$8)))/Inputs!$K$8)^2)))*1000/Inputs!$C$12),NA())</x:f>
        <x:v>149728.39777137816</x:v>
      </x:c>
      <x:c r="K223" s="48" t="n">
        <x:f>IF(OR(Inputs!$F$9=TRUE,Inputs!$F$9="TRUE",Inputs!$F$9=1),(((SQRT(((Inputs!$I$9+(((A223)+1)/2)*(Inputs!$J$9-Inputs!$I$9)))^2+Inputs!$C$6^2+((Inputs!$H$9+Inputs!$L$9*(((Inputs!$I$9+(((A223)+1)/2)*(Inputs!$J$9-Inputs!$I$9)))/Inputs!$K$9)^2))^2))-((Inputs!$H$9+Inputs!$L$9*(((Inputs!$I$9+(((A223)+1)/2)*(Inputs!$J$9-Inputs!$I$9)))/Inputs!$K$9)^2)))*1000/Inputs!$C$12),NA())</x:f>
        <x:v>150171.62935366906</x:v>
      </x:c>
      <x:c r="L223" s="49"/>
      <x:c r="M223" s="48" t="n">
        <x:f>A223</x:f>
        <x:v>0.842</x:v>
      </x:c>
      <x:c r="N223" s="48" t="n">
        <x:f>IF(OR(Inputs!$F$6=TRUE,Inputs!$F$6="TRUE",Inputs!$F$6=1),(-2*((1000*((((Inputs!$I$6+(((A223)+1)/2)*(Inputs!$J$6-Inputs!$I$6)))*Inputs!$C$11+((Inputs!$H$6+Inputs!$L$6*(((Inputs!$I$6+(((A223)+1)/2)*(Inputs!$J$6-Inputs!$I$6)))/Inputs!$K$6)^2))*((2*Inputs!$L$6*((Inputs!$I$6+(((A223)+1)/2)*(Inputs!$J$6-Inputs!$I$6)))/(Inputs!$K$6^2)*Inputs!$C$11)))/(SQRT(((Inputs!$I$6+(((A223)+1)/2)*(Inputs!$J$6-Inputs!$I$6)))^2+Inputs!$C$6^2+((Inputs!$H$6+Inputs!$L$6*(((Inputs!$I$6+(((A223)+1)/2)*(Inputs!$J$6-Inputs!$I$6)))/Inputs!$K$6)^2))^2)))))/Inputs!$C$13),NA())</x:f>
        <x:v>-376.61501448555725</x:v>
      </x:c>
      <x:c r="O223" s="48" t="n">
        <x:f>IF(OR(Inputs!$F$7=TRUE,Inputs!$F$7="TRUE",Inputs!$F$7=1),(-2*((1000*((((Inputs!$I$7+(((A223)+1)/2)*(Inputs!$J$7-Inputs!$I$7)))*Inputs!$C$11+((Inputs!$H$7+Inputs!$L$7*(((Inputs!$I$7+(((A223)+1)/2)*(Inputs!$J$7-Inputs!$I$7)))/Inputs!$K$7)^2))*((2*Inputs!$L$7*((Inputs!$I$7+(((A223)+1)/2)*(Inputs!$J$7-Inputs!$I$7)))/(Inputs!$K$7^2)*Inputs!$C$11)))/(SQRT(((Inputs!$I$7+(((A223)+1)/2)*(Inputs!$J$7-Inputs!$I$7)))^2+Inputs!$C$6^2+((Inputs!$H$7+Inputs!$L$7*(((Inputs!$I$7+(((A223)+1)/2)*(Inputs!$J$7-Inputs!$I$7)))/Inputs!$K$7)^2))^2)))))/Inputs!$C$13),NA())</x:f>
        <x:v>-2817.4951357143937</x:v>
      </x:c>
      <x:c r="P223" s="48" t="n">
        <x:f>IF(OR(Inputs!$F$8=TRUE,Inputs!$F$8="TRUE",Inputs!$F$8=1),(-2*((1000*((((Inputs!$I$8+(((A223)+1)/2)*(Inputs!$J$8-Inputs!$I$8)))*Inputs!$C$11+((Inputs!$H$8+Inputs!$L$8*(((Inputs!$I$8+(((A223)+1)/2)*(Inputs!$J$8-Inputs!$I$8)))/Inputs!$K$8)^2))*((2*Inputs!$L$8*((Inputs!$I$8+(((A223)+1)/2)*(Inputs!$J$8-Inputs!$I$8)))/(Inputs!$K$8^2)*Inputs!$C$11)))/(SQRT(((Inputs!$I$8+(((A223)+1)/2)*(Inputs!$J$8-Inputs!$I$8)))^2+Inputs!$C$6^2+((Inputs!$H$8+Inputs!$L$8*(((Inputs!$I$8+(((A223)+1)/2)*(Inputs!$J$8-Inputs!$I$8)))/Inputs!$K$8)^2))^2)))))/Inputs!$C$13),NA())</x:f>
        <x:v>-3464.74550547783</x:v>
      </x:c>
      <x:c r="Q223" s="48" t="n">
        <x:f>IF(OR(Inputs!$F$9=TRUE,Inputs!$F$9="TRUE",Inputs!$F$9=1),(-2*((1000*((((Inputs!$I$9+(((A223)+1)/2)*(Inputs!$J$9-Inputs!$I$9)))*Inputs!$C$11+((Inputs!$H$9+Inputs!$L$9*(((Inputs!$I$9+(((A223)+1)/2)*(Inputs!$J$9-Inputs!$I$9)))/Inputs!$K$9)^2))*((2*Inputs!$L$9*((Inputs!$I$9+(((A223)+1)/2)*(Inputs!$J$9-Inputs!$I$9)))/(Inputs!$K$9^2)*Inputs!$C$11)))/(SQRT(((Inputs!$I$9+(((A223)+1)/2)*(Inputs!$J$9-Inputs!$I$9)))^2+Inputs!$C$6^2+((Inputs!$H$9+Inputs!$L$9*(((Inputs!$I$9+(((A223)+1)/2)*(Inputs!$J$9-Inputs!$I$9)))/Inputs!$K$9)^2))^2)))))/Inputs!$C$13),NA())</x:f>
        <x:v>-3487.127877116659</x:v>
      </x:c>
      <x:c r="R223" s="49"/>
      <x:c r="S223" s="48" t="n">
        <x:f>A223</x:f>
        <x:v>0.842</x:v>
      </x:c>
      <x:c r="T223" s="48" t="n">
        <x:f>(Inputs!$I$6+(((A223)+1)/2)*(Inputs!$J$6-Inputs!$I$6))</x:f>
        <x:v>50.52000000000001</x:v>
      </x:c>
      <x:c r="U223" s="48" t="n">
        <x:f>(Inputs!$I$7+(((A223)+1)/2)*(Inputs!$J$7-Inputs!$I$7))</x:f>
        <x:v>336.80000000000007</x:v>
      </x:c>
      <x:c r="V223" s="48" t="n">
        <x:f>(Inputs!$I$8+(((A223)+1)/2)*(Inputs!$J$8-Inputs!$I$8))</x:f>
        <x:v>673.6000000000001</x:v>
      </x:c>
      <x:c r="W223" s="48" t="n">
        <x:f>(Inputs!$I$9+(((A223)+1)/2)*(Inputs!$J$9-Inputs!$I$9))</x:f>
        <x:v>673.6000000000001</x:v>
      </x:c>
      <x:c r="X223" s="49"/>
      <x:c r="Y223" s="48" t="n">
        <x:f>A223</x:f>
        <x:v>0.842</x:v>
      </x:c>
      <x:c r="Z223" s="48" t="n">
        <x:f>(Inputs!$H$6+Inputs!$L$6*(((Inputs!$I$6+(((A223)+1)/2)*(Inputs!$J$6-Inputs!$I$6)))/Inputs!$K$6)^2)</x:f>
        <x:v>402.835856</x:v>
      </x:c>
      <x:c r="AA223" s="48" t="n">
        <x:f>(Inputs!$H$7+Inputs!$L$7*(((Inputs!$I$7+(((A223)+1)/2)*(Inputs!$J$7-Inputs!$I$7)))/Inputs!$K$7)^2)</x:f>
        <x:v>293.7718600000001</x:v>
      </x:c>
      <x:c r="AB223" s="48" t="n">
        <x:f>(Inputs!$H$8+Inputs!$L$8*(((Inputs!$I$8+(((A223)+1)/2)*(Inputs!$J$8-Inputs!$I$8)))/Inputs!$K$8)^2)</x:f>
        <x:v>719.1502600000003</x:v>
      </x:c>
      <x:c r="AC223" s="48" t="n">
        <x:f>(Inputs!$H$9+Inputs!$L$9*(((Inputs!$I$9+(((A223)+1)/2)*(Inputs!$J$9-Inputs!$I$9)))/Inputs!$K$9)^2)</x:f>
        <x:v>716.2399000000004</x:v>
      </x:c>
      <x:c r="AD223" s="49"/>
      <x:c r="AE223" s="48" t="n">
        <x:f>A223</x:f>
        <x:v>0.842</x:v>
      </x:c>
      <x:c r="AF223" s="48" t="n">
        <x:f>(((SQRT(((Inputs!$I$6+(((A223)+1)/2)*(Inputs!$J$6-Inputs!$I$6)))^2+Inputs!$C$6^2+((Inputs!$H$6+Inputs!$L$6*(((Inputs!$I$6+(((A223)+1)/2)*(Inputs!$J$6-Inputs!$I$6)))/Inputs!$K$6)^2))^2))-((Inputs!$H$6+Inputs!$L$6*(((Inputs!$I$6+(((A223)+1)/2)*(Inputs!$J$6-Inputs!$I$6)))/Inputs!$K$6)^2)))*1000/Inputs!$C$12)</x:f>
        <x:v>2204.7822322393863</x:v>
      </x:c>
      <x:c r="AG223" s="48" t="n">
        <x:f>(((SQRT(((Inputs!$I$7+(((A223)+1)/2)*(Inputs!$J$7-Inputs!$I$7)))^2+Inputs!$C$6^2+((Inputs!$H$7+Inputs!$L$7*(((Inputs!$I$7+(((A223)+1)/2)*(Inputs!$J$7-Inputs!$I$7)))/Inputs!$K$7)^2))^2))-((Inputs!$H$7+Inputs!$L$7*(((Inputs!$I$7+(((A223)+1)/2)*(Inputs!$J$7-Inputs!$I$7)))/Inputs!$K$7)^2)))*1000/Inputs!$C$12)</x:f>
        <x:v>86429.95875661507</x:v>
      </x:c>
      <x:c r="AH223" s="48" t="n">
        <x:f>(((SQRT(((Inputs!$I$8+(((A223)+1)/2)*(Inputs!$J$8-Inputs!$I$8)))^2+Inputs!$C$6^2+((Inputs!$H$8+Inputs!$L$8*(((Inputs!$I$8+(((A223)+1)/2)*(Inputs!$J$8-Inputs!$I$8)))/Inputs!$K$8)^2))^2))-((Inputs!$H$8+Inputs!$L$8*(((Inputs!$I$8+(((A223)+1)/2)*(Inputs!$J$8-Inputs!$I$8)))/Inputs!$K$8)^2)))*1000/Inputs!$C$12)</x:f>
        <x:v>149728.39777137816</x:v>
      </x:c>
      <x:c r="AI223" s="48" t="n">
        <x:f>(((SQRT(((Inputs!$I$9+(((A223)+1)/2)*(Inputs!$J$9-Inputs!$I$9)))^2+Inputs!$C$6^2+((Inputs!$H$9+Inputs!$L$9*(((Inputs!$I$9+(((A223)+1)/2)*(Inputs!$J$9-Inputs!$I$9)))/Inputs!$K$9)^2))^2))-((Inputs!$H$9+Inputs!$L$9*(((Inputs!$I$9+(((A223)+1)/2)*(Inputs!$J$9-Inputs!$I$9)))/Inputs!$K$9)^2)))*1000/Inputs!$C$12)</x:f>
        <x:v>150171.62935366906</x:v>
      </x:c>
      <x:c r="AJ223" s="49"/>
      <x:c r="AK223" s="48" t="n">
        <x:f>A223</x:f>
        <x:v>0.842</x:v>
      </x:c>
      <x:c r="AL223" s="48" t="n">
        <x:f>(-2*((1000*((((Inputs!$I$6+(((A223)+1)/2)*(Inputs!$J$6-Inputs!$I$6)))*Inputs!$C$11+((Inputs!$H$6+Inputs!$L$6*(((Inputs!$I$6+(((A223)+1)/2)*(Inputs!$J$6-Inputs!$I$6)))/Inputs!$K$6)^2))*((2*Inputs!$L$6*((Inputs!$I$6+(((A223)+1)/2)*(Inputs!$J$6-Inputs!$I$6)))/(Inputs!$K$6^2)*Inputs!$C$11)))/(SQRT(((Inputs!$I$6+(((A223)+1)/2)*(Inputs!$J$6-Inputs!$I$6)))^2+Inputs!$C$6^2+((Inputs!$H$6+Inputs!$L$6*(((Inputs!$I$6+(((A223)+1)/2)*(Inputs!$J$6-Inputs!$I$6)))/Inputs!$K$6)^2))^2)))))/Inputs!$C$13)</x:f>
        <x:v>-376.61501448555725</x:v>
      </x:c>
      <x:c r="AM223" s="48" t="n">
        <x:f>(-2*((1000*((((Inputs!$I$7+(((A223)+1)/2)*(Inputs!$J$7-Inputs!$I$7)))*Inputs!$C$11+((Inputs!$H$7+Inputs!$L$7*(((Inputs!$I$7+(((A223)+1)/2)*(Inputs!$J$7-Inputs!$I$7)))/Inputs!$K$7)^2))*((2*Inputs!$L$7*((Inputs!$I$7+(((A223)+1)/2)*(Inputs!$J$7-Inputs!$I$7)))/(Inputs!$K$7^2)*Inputs!$C$11)))/(SQRT(((Inputs!$I$7+(((A223)+1)/2)*(Inputs!$J$7-Inputs!$I$7)))^2+Inputs!$C$6^2+((Inputs!$H$7+Inputs!$L$7*(((Inputs!$I$7+(((A223)+1)/2)*(Inputs!$J$7-Inputs!$I$7)))/Inputs!$K$7)^2))^2)))))/Inputs!$C$13)</x:f>
        <x:v>-2817.4951357143937</x:v>
      </x:c>
      <x:c r="AN223" s="48" t="n">
        <x:f>(-2*((1000*((((Inputs!$I$8+(((A223)+1)/2)*(Inputs!$J$8-Inputs!$I$8)))*Inputs!$C$11+((Inputs!$H$8+Inputs!$L$8*(((Inputs!$I$8+(((A223)+1)/2)*(Inputs!$J$8-Inputs!$I$8)))/Inputs!$K$8)^2))*((2*Inputs!$L$8*((Inputs!$I$8+(((A223)+1)/2)*(Inputs!$J$8-Inputs!$I$8)))/(Inputs!$K$8^2)*Inputs!$C$11)))/(SQRT(((Inputs!$I$8+(((A223)+1)/2)*(Inputs!$J$8-Inputs!$I$8)))^2+Inputs!$C$6^2+((Inputs!$H$8+Inputs!$L$8*(((Inputs!$I$8+(((A223)+1)/2)*(Inputs!$J$8-Inputs!$I$8)))/Inputs!$K$8)^2))^2)))))/Inputs!$C$13)</x:f>
        <x:v>-3464.74550547783</x:v>
      </x:c>
      <x:c r="AO223" s="48" t="n">
        <x:f>(-2*((1000*((((Inputs!$I$9+(((A223)+1)/2)*(Inputs!$J$9-Inputs!$I$9)))*Inputs!$C$11+((Inputs!$H$9+Inputs!$L$9*(((Inputs!$I$9+(((A223)+1)/2)*(Inputs!$J$9-Inputs!$I$9)))/Inputs!$K$9)^2))*((2*Inputs!$L$9*((Inputs!$I$9+(((A223)+1)/2)*(Inputs!$J$9-Inputs!$I$9)))/(Inputs!$K$9^2)*Inputs!$C$11)))/(SQRT(((Inputs!$I$9+(((A223)+1)/2)*(Inputs!$J$9-Inputs!$I$9)))^2+Inputs!$C$6^2+((Inputs!$H$9+Inputs!$L$9*(((Inputs!$I$9+(((A223)+1)/2)*(Inputs!$J$9-Inputs!$I$9)))/Inputs!$K$9)^2))^2)))))/Inputs!$C$13)</x:f>
        <x:v>-3487.127877116659</x:v>
      </x:c>
    </x:row>
    <x:row r="224">
      <x:c r="A224" s="48" t="n">
        <x:f>ROUND(-1+222*2/240,3)</x:f>
        <x:v>0.85</x:v>
      </x:c>
      <x:c r="B224" s="48" t="n">
        <x:f>IF(OR(Inputs!$F$6=TRUE,Inputs!$F$6="TRUE",Inputs!$F$6=1),(Inputs!$H$6+Inputs!$L$6*(((Inputs!$I$6+(((A224)+1)/2)*(Inputs!$J$6-Inputs!$I$6)))/Inputs!$K$6)^2),NA())</x:f>
        <x:v>402.89</x:v>
      </x:c>
      <x:c r="C224" s="48" t="n">
        <x:f>IF(OR(Inputs!$F$7=TRUE,Inputs!$F$7="TRUE",Inputs!$F$7=1),(Inputs!$H$7+Inputs!$L$7*(((Inputs!$I$7+(((A224)+1)/2)*(Inputs!$J$7-Inputs!$I$7)))/Inputs!$K$7)^2),NA())</x:f>
        <x:v>298.7125</x:v>
      </x:c>
      <x:c r="D224" s="48" t="n">
        <x:f>IF(OR(Inputs!$F$8=TRUE,Inputs!$F$8="TRUE",Inputs!$F$8=1),(Inputs!$H$8+Inputs!$L$8*(((Inputs!$I$8+(((A224)+1)/2)*(Inputs!$J$8-Inputs!$I$8)))/Inputs!$K$8)^2),NA())</x:f>
        <x:v>732.2125</x:v>
      </x:c>
      <x:c r="E224" s="48" t="n">
        <x:f>IF(OR(Inputs!$F$9=TRUE,Inputs!$F$9="TRUE",Inputs!$F$9=1),(Inputs!$H$9+Inputs!$L$9*(((Inputs!$I$9+(((A224)+1)/2)*(Inputs!$J$9-Inputs!$I$9)))/Inputs!$K$9)^2),NA())</x:f>
        <x:v>729.4374999999999</x:v>
      </x:c>
      <x:c r="F224" s="49"/>
      <x:c r="G224" s="48" t="n">
        <x:f>A224</x:f>
        <x:v>0.85</x:v>
      </x:c>
      <x:c r="H224" s="48" t="n">
        <x:f>IF(OR(Inputs!$F$6=TRUE,Inputs!$F$6="TRUE",Inputs!$F$6=1),(((SQRT(((Inputs!$I$6+(((A224)+1)/2)*(Inputs!$J$6-Inputs!$I$6)))^2+Inputs!$C$6^2+((Inputs!$H$6+Inputs!$L$6*(((Inputs!$I$6+(((A224)+1)/2)*(Inputs!$J$6-Inputs!$I$6)))/Inputs!$K$6)^2))^2))-((Inputs!$H$6+Inputs!$L$6*(((Inputs!$I$6+(((A224)+1)/2)*(Inputs!$J$6-Inputs!$I$6)))/Inputs!$K$6)^2)))*1000/Inputs!$C$12),NA())</x:f>
        <x:v>2238.133363530445</x:v>
      </x:c>
      <x:c r="I224" s="48" t="n">
        <x:f>IF(OR(Inputs!$F$7=TRUE,Inputs!$F$7="TRUE",Inputs!$F$7=1),(((SQRT(((Inputs!$I$7+(((A224)+1)/2)*(Inputs!$J$7-Inputs!$I$7)))^2+Inputs!$C$6^2+((Inputs!$H$7+Inputs!$L$7*(((Inputs!$I$7+(((A224)+1)/2)*(Inputs!$J$7-Inputs!$I$7)))/Inputs!$K$7)^2))^2))-((Inputs!$H$7+Inputs!$L$7*(((Inputs!$I$7+(((A224)+1)/2)*(Inputs!$J$7-Inputs!$I$7)))/Inputs!$K$7)^2)))*1000/Inputs!$C$12),NA())</x:f>
        <x:v>86830.34419670692</x:v>
      </x:c>
      <x:c r="J224" s="48" t="n">
        <x:f>IF(OR(Inputs!$F$8=TRUE,Inputs!$F$8="TRUE",Inputs!$F$8=1),(((SQRT(((Inputs!$I$8+(((A224)+1)/2)*(Inputs!$J$8-Inputs!$I$8)))^2+Inputs!$C$6^2+((Inputs!$H$8+Inputs!$L$8*(((Inputs!$I$8+(((A224)+1)/2)*(Inputs!$J$8-Inputs!$I$8)))/Inputs!$K$8)^2))^2))-((Inputs!$H$8+Inputs!$L$8*(((Inputs!$I$8+(((A224)+1)/2)*(Inputs!$J$8-Inputs!$I$8)))/Inputs!$K$8)^2)))*1000/Inputs!$C$12),NA())</x:f>
        <x:v>150206.4518941354</x:v>
      </x:c>
      <x:c r="K224" s="48" t="n">
        <x:f>IF(OR(Inputs!$F$9=TRUE,Inputs!$F$9="TRUE",Inputs!$F$9=1),(((SQRT(((Inputs!$I$9+(((A224)+1)/2)*(Inputs!$J$9-Inputs!$I$9)))^2+Inputs!$C$6^2+((Inputs!$H$9+Inputs!$L$9*(((Inputs!$I$9+(((A224)+1)/2)*(Inputs!$J$9-Inputs!$I$9)))/Inputs!$K$9)^2))^2))-((Inputs!$H$9+Inputs!$L$9*(((Inputs!$I$9+(((A224)+1)/2)*(Inputs!$J$9-Inputs!$I$9)))/Inputs!$K$9)^2)))*1000/Inputs!$C$12),NA())</x:f>
        <x:v>150624.45481747933</x:v>
      </x:c>
      <x:c r="L224" s="49"/>
      <x:c r="M224" s="48" t="n">
        <x:f>A224</x:f>
        <x:v>0.85</x:v>
      </x:c>
      <x:c r="N224" s="48" t="n">
        <x:f>IF(OR(Inputs!$F$6=TRUE,Inputs!$F$6="TRUE",Inputs!$F$6=1),(-2*((1000*((((Inputs!$I$6+(((A224)+1)/2)*(Inputs!$J$6-Inputs!$I$6)))*Inputs!$C$11+((Inputs!$H$6+Inputs!$L$6*(((Inputs!$I$6+(((A224)+1)/2)*(Inputs!$J$6-Inputs!$I$6)))/Inputs!$K$6)^2))*((2*Inputs!$L$6*((Inputs!$I$6+(((A224)+1)/2)*(Inputs!$J$6-Inputs!$I$6)))/(Inputs!$K$6^2)*Inputs!$C$11)))/(SQRT(((Inputs!$I$6+(((A224)+1)/2)*(Inputs!$J$6-Inputs!$I$6)))^2+Inputs!$C$6^2+((Inputs!$H$6+Inputs!$L$6*(((Inputs!$I$6+(((A224)+1)/2)*(Inputs!$J$6-Inputs!$I$6)))/Inputs!$K$6)^2))^2)))))/Inputs!$C$13),NA())</x:f>
        <x:v>-380.1113693016265</x:v>
      </x:c>
      <x:c r="O224" s="48" t="n">
        <x:f>IF(OR(Inputs!$F$7=TRUE,Inputs!$F$7="TRUE",Inputs!$F$7=1),(-2*((1000*((((Inputs!$I$7+(((A224)+1)/2)*(Inputs!$J$7-Inputs!$I$7)))*Inputs!$C$11+((Inputs!$H$7+Inputs!$L$7*(((Inputs!$I$7+(((A224)+1)/2)*(Inputs!$J$7-Inputs!$I$7)))/Inputs!$K$7)^2))*((2*Inputs!$L$7*((Inputs!$I$7+(((A224)+1)/2)*(Inputs!$J$7-Inputs!$I$7)))/(Inputs!$K$7^2)*Inputs!$C$11)))/(SQRT(((Inputs!$I$7+(((A224)+1)/2)*(Inputs!$J$7-Inputs!$I$7)))^2+Inputs!$C$6^2+((Inputs!$H$7+Inputs!$L$7*(((Inputs!$I$7+(((A224)+1)/2)*(Inputs!$J$7-Inputs!$I$7)))/Inputs!$K$7)^2))^2)))))/Inputs!$C$13),NA())</x:f>
        <x:v>-2835.8439145487414</x:v>
      </x:c>
      <x:c r="P224" s="48" t="n">
        <x:f>IF(OR(Inputs!$F$8=TRUE,Inputs!$F$8="TRUE",Inputs!$F$8=1),(-2*((1000*((((Inputs!$I$8+(((A224)+1)/2)*(Inputs!$J$8-Inputs!$I$8)))*Inputs!$C$11+((Inputs!$H$8+Inputs!$L$8*(((Inputs!$I$8+(((A224)+1)/2)*(Inputs!$J$8-Inputs!$I$8)))/Inputs!$K$8)^2))*((2*Inputs!$L$8*((Inputs!$I$8+(((A224)+1)/2)*(Inputs!$J$8-Inputs!$I$8)))/(Inputs!$K$8^2)*Inputs!$C$11)))/(SQRT(((Inputs!$I$8+(((A224)+1)/2)*(Inputs!$J$8-Inputs!$I$8)))^2+Inputs!$C$6^2+((Inputs!$H$8+Inputs!$L$8*(((Inputs!$I$8+(((A224)+1)/2)*(Inputs!$J$8-Inputs!$I$8)))/Inputs!$K$8)^2))^2)))))/Inputs!$C$13),NA())</x:f>
        <x:v>-3491.8558465277974</x:v>
      </x:c>
      <x:c r="Q224" s="48" t="n">
        <x:f>IF(OR(Inputs!$F$9=TRUE,Inputs!$F$9="TRUE",Inputs!$F$9=1),(-2*((1000*((((Inputs!$I$9+(((A224)+1)/2)*(Inputs!$J$9-Inputs!$I$9)))*Inputs!$C$11+((Inputs!$H$9+Inputs!$L$9*(((Inputs!$I$9+(((A224)+1)/2)*(Inputs!$J$9-Inputs!$I$9)))/Inputs!$K$9)^2))*((2*Inputs!$L$9*((Inputs!$I$9+(((A224)+1)/2)*(Inputs!$J$9-Inputs!$I$9)))/(Inputs!$K$9^2)*Inputs!$C$11)))/(SQRT(((Inputs!$I$9+(((A224)+1)/2)*(Inputs!$J$9-Inputs!$I$9)))^2+Inputs!$C$6^2+((Inputs!$H$9+Inputs!$L$9*(((Inputs!$I$9+(((A224)+1)/2)*(Inputs!$J$9-Inputs!$I$9)))/Inputs!$K$9)^2))^2)))))/Inputs!$C$13),NA())</x:f>
        <x:v>-3514.6997376092377</x:v>
      </x:c>
      <x:c r="R224" s="49"/>
      <x:c r="S224" s="48" t="n">
        <x:f>A224</x:f>
        <x:v>0.85</x:v>
      </x:c>
      <x:c r="T224" s="48" t="n">
        <x:f>(Inputs!$I$6+(((A224)+1)/2)*(Inputs!$J$6-Inputs!$I$6))</x:f>
        <x:v>51</x:v>
      </x:c>
      <x:c r="U224" s="48" t="n">
        <x:f>(Inputs!$I$7+(((A224)+1)/2)*(Inputs!$J$7-Inputs!$I$7))</x:f>
        <x:v>340</x:v>
      </x:c>
      <x:c r="V224" s="48" t="n">
        <x:f>(Inputs!$I$8+(((A224)+1)/2)*(Inputs!$J$8-Inputs!$I$8))</x:f>
        <x:v>680</x:v>
      </x:c>
      <x:c r="W224" s="48" t="n">
        <x:f>(Inputs!$I$9+(((A224)+1)/2)*(Inputs!$J$9-Inputs!$I$9))</x:f>
        <x:v>680</x:v>
      </x:c>
      <x:c r="X224" s="49"/>
      <x:c r="Y224" s="48" t="n">
        <x:f>A224</x:f>
        <x:v>0.85</x:v>
      </x:c>
      <x:c r="Z224" s="48" t="n">
        <x:f>(Inputs!$H$6+Inputs!$L$6*(((Inputs!$I$6+(((A224)+1)/2)*(Inputs!$J$6-Inputs!$I$6)))/Inputs!$K$6)^2)</x:f>
        <x:v>402.89</x:v>
      </x:c>
      <x:c r="AA224" s="48" t="n">
        <x:f>(Inputs!$H$7+Inputs!$L$7*(((Inputs!$I$7+(((A224)+1)/2)*(Inputs!$J$7-Inputs!$I$7)))/Inputs!$K$7)^2)</x:f>
        <x:v>298.7125</x:v>
      </x:c>
      <x:c r="AB224" s="48" t="n">
        <x:f>(Inputs!$H$8+Inputs!$L$8*(((Inputs!$I$8+(((A224)+1)/2)*(Inputs!$J$8-Inputs!$I$8)))/Inputs!$K$8)^2)</x:f>
        <x:v>732.2125</x:v>
      </x:c>
      <x:c r="AC224" s="48" t="n">
        <x:f>(Inputs!$H$9+Inputs!$L$9*(((Inputs!$I$9+(((A224)+1)/2)*(Inputs!$J$9-Inputs!$I$9)))/Inputs!$K$9)^2)</x:f>
        <x:v>729.4374999999999</x:v>
      </x:c>
      <x:c r="AD224" s="49"/>
      <x:c r="AE224" s="48" t="n">
        <x:f>A224</x:f>
        <x:v>0.85</x:v>
      </x:c>
      <x:c r="AF224" s="48" t="n">
        <x:f>(((SQRT(((Inputs!$I$6+(((A224)+1)/2)*(Inputs!$J$6-Inputs!$I$6)))^2+Inputs!$C$6^2+((Inputs!$H$6+Inputs!$L$6*(((Inputs!$I$6+(((A224)+1)/2)*(Inputs!$J$6-Inputs!$I$6)))/Inputs!$K$6)^2))^2))-((Inputs!$H$6+Inputs!$L$6*(((Inputs!$I$6+(((A224)+1)/2)*(Inputs!$J$6-Inputs!$I$6)))/Inputs!$K$6)^2)))*1000/Inputs!$C$12)</x:f>
        <x:v>2238.133363530445</x:v>
      </x:c>
      <x:c r="AG224" s="48" t="n">
        <x:f>(((SQRT(((Inputs!$I$7+(((A224)+1)/2)*(Inputs!$J$7-Inputs!$I$7)))^2+Inputs!$C$6^2+((Inputs!$H$7+Inputs!$L$7*(((Inputs!$I$7+(((A224)+1)/2)*(Inputs!$J$7-Inputs!$I$7)))/Inputs!$K$7)^2))^2))-((Inputs!$H$7+Inputs!$L$7*(((Inputs!$I$7+(((A224)+1)/2)*(Inputs!$J$7-Inputs!$I$7)))/Inputs!$K$7)^2)))*1000/Inputs!$C$12)</x:f>
        <x:v>86830.34419670692</x:v>
      </x:c>
      <x:c r="AH224" s="48" t="n">
        <x:f>(((SQRT(((Inputs!$I$8+(((A224)+1)/2)*(Inputs!$J$8-Inputs!$I$8)))^2+Inputs!$C$6^2+((Inputs!$H$8+Inputs!$L$8*(((Inputs!$I$8+(((A224)+1)/2)*(Inputs!$J$8-Inputs!$I$8)))/Inputs!$K$8)^2))^2))-((Inputs!$H$8+Inputs!$L$8*(((Inputs!$I$8+(((A224)+1)/2)*(Inputs!$J$8-Inputs!$I$8)))/Inputs!$K$8)^2)))*1000/Inputs!$C$12)</x:f>
        <x:v>150206.4518941354</x:v>
      </x:c>
      <x:c r="AI224" s="48" t="n">
        <x:f>(((SQRT(((Inputs!$I$9+(((A224)+1)/2)*(Inputs!$J$9-Inputs!$I$9)))^2+Inputs!$C$6^2+((Inputs!$H$9+Inputs!$L$9*(((Inputs!$I$9+(((A224)+1)/2)*(Inputs!$J$9-Inputs!$I$9)))/Inputs!$K$9)^2))^2))-((Inputs!$H$9+Inputs!$L$9*(((Inputs!$I$9+(((A224)+1)/2)*(Inputs!$J$9-Inputs!$I$9)))/Inputs!$K$9)^2)))*1000/Inputs!$C$12)</x:f>
        <x:v>150624.45481747933</x:v>
      </x:c>
      <x:c r="AJ224" s="49"/>
      <x:c r="AK224" s="48" t="n">
        <x:f>A224</x:f>
        <x:v>0.85</x:v>
      </x:c>
      <x:c r="AL224" s="48" t="n">
        <x:f>(-2*((1000*((((Inputs!$I$6+(((A224)+1)/2)*(Inputs!$J$6-Inputs!$I$6)))*Inputs!$C$11+((Inputs!$H$6+Inputs!$L$6*(((Inputs!$I$6+(((A224)+1)/2)*(Inputs!$J$6-Inputs!$I$6)))/Inputs!$K$6)^2))*((2*Inputs!$L$6*((Inputs!$I$6+(((A224)+1)/2)*(Inputs!$J$6-Inputs!$I$6)))/(Inputs!$K$6^2)*Inputs!$C$11)))/(SQRT(((Inputs!$I$6+(((A224)+1)/2)*(Inputs!$J$6-Inputs!$I$6)))^2+Inputs!$C$6^2+((Inputs!$H$6+Inputs!$L$6*(((Inputs!$I$6+(((A224)+1)/2)*(Inputs!$J$6-Inputs!$I$6)))/Inputs!$K$6)^2))^2)))))/Inputs!$C$13)</x:f>
        <x:v>-380.1113693016265</x:v>
      </x:c>
      <x:c r="AM224" s="48" t="n">
        <x:f>(-2*((1000*((((Inputs!$I$7+(((A224)+1)/2)*(Inputs!$J$7-Inputs!$I$7)))*Inputs!$C$11+((Inputs!$H$7+Inputs!$L$7*(((Inputs!$I$7+(((A224)+1)/2)*(Inputs!$J$7-Inputs!$I$7)))/Inputs!$K$7)^2))*((2*Inputs!$L$7*((Inputs!$I$7+(((A224)+1)/2)*(Inputs!$J$7-Inputs!$I$7)))/(Inputs!$K$7^2)*Inputs!$C$11)))/(SQRT(((Inputs!$I$7+(((A224)+1)/2)*(Inputs!$J$7-Inputs!$I$7)))^2+Inputs!$C$6^2+((Inputs!$H$7+Inputs!$L$7*(((Inputs!$I$7+(((A224)+1)/2)*(Inputs!$J$7-Inputs!$I$7)))/Inputs!$K$7)^2))^2)))))/Inputs!$C$13)</x:f>
        <x:v>-2835.8439145487414</x:v>
      </x:c>
      <x:c r="AN224" s="48" t="n">
        <x:f>(-2*((1000*((((Inputs!$I$8+(((A224)+1)/2)*(Inputs!$J$8-Inputs!$I$8)))*Inputs!$C$11+((Inputs!$H$8+Inputs!$L$8*(((Inputs!$I$8+(((A224)+1)/2)*(Inputs!$J$8-Inputs!$I$8)))/Inputs!$K$8)^2))*((2*Inputs!$L$8*((Inputs!$I$8+(((A224)+1)/2)*(Inputs!$J$8-Inputs!$I$8)))/(Inputs!$K$8^2)*Inputs!$C$11)))/(SQRT(((Inputs!$I$8+(((A224)+1)/2)*(Inputs!$J$8-Inputs!$I$8)))^2+Inputs!$C$6^2+((Inputs!$H$8+Inputs!$L$8*(((Inputs!$I$8+(((A224)+1)/2)*(Inputs!$J$8-Inputs!$I$8)))/Inputs!$K$8)^2))^2)))))/Inputs!$C$13)</x:f>
        <x:v>-3491.8558465277974</x:v>
      </x:c>
      <x:c r="AO224" s="48" t="n">
        <x:f>(-2*((1000*((((Inputs!$I$9+(((A224)+1)/2)*(Inputs!$J$9-Inputs!$I$9)))*Inputs!$C$11+((Inputs!$H$9+Inputs!$L$9*(((Inputs!$I$9+(((A224)+1)/2)*(Inputs!$J$9-Inputs!$I$9)))/Inputs!$K$9)^2))*((2*Inputs!$L$9*((Inputs!$I$9+(((A224)+1)/2)*(Inputs!$J$9-Inputs!$I$9)))/(Inputs!$K$9^2)*Inputs!$C$11)))/(SQRT(((Inputs!$I$9+(((A224)+1)/2)*(Inputs!$J$9-Inputs!$I$9)))^2+Inputs!$C$6^2+((Inputs!$H$9+Inputs!$L$9*(((Inputs!$I$9+(((A224)+1)/2)*(Inputs!$J$9-Inputs!$I$9)))/Inputs!$K$9)^2))^2)))))/Inputs!$C$13)</x:f>
        <x:v>-3514.6997376092377</x:v>
      </x:c>
    </x:row>
    <x:row r="225">
      <x:c r="A225" s="48" t="n">
        <x:f>ROUND(-1+223*2/240,3)</x:f>
        <x:v>0.858</x:v>
      </x:c>
      <x:c r="B225" s="48" t="n">
        <x:f>IF(OR(Inputs!$F$6=TRUE,Inputs!$F$6="TRUE",Inputs!$F$6=1),(Inputs!$H$6+Inputs!$L$6*(((Inputs!$I$6+(((A225)+1)/2)*(Inputs!$J$6-Inputs!$I$6)))/Inputs!$K$6)^2),NA())</x:f>
        <x:v>402.944656</x:v>
      </x:c>
      <x:c r="C225" s="48" t="n">
        <x:f>IF(OR(Inputs!$F$7=TRUE,Inputs!$F$7="TRUE",Inputs!$F$7=1),(Inputs!$H$7+Inputs!$L$7*(((Inputs!$I$7+(((A225)+1)/2)*(Inputs!$J$7-Inputs!$I$7)))/Inputs!$K$7)^2),NA())</x:f>
        <x:v>303.69986000000006</x:v>
      </x:c>
      <x:c r="D225" s="48" t="n">
        <x:f>IF(OR(Inputs!$F$8=TRUE,Inputs!$F$8="TRUE",Inputs!$F$8=1),(Inputs!$H$8+Inputs!$L$8*(((Inputs!$I$8+(((A225)+1)/2)*(Inputs!$J$8-Inputs!$I$8)))/Inputs!$K$8)^2),NA())</x:f>
        <x:v>745.3982600000002</x:v>
      </x:c>
      <x:c r="E225" s="48" t="n">
        <x:f>IF(OR(Inputs!$F$9=TRUE,Inputs!$F$9="TRUE",Inputs!$F$9=1),(Inputs!$H$9+Inputs!$L$9*(((Inputs!$I$9+(((A225)+1)/2)*(Inputs!$J$9-Inputs!$I$9)))/Inputs!$K$9)^2),NA())</x:f>
        <x:v>742.7599000000001</x:v>
      </x:c>
      <x:c r="F225" s="49"/>
      <x:c r="G225" s="48" t="n">
        <x:f>A225</x:f>
        <x:v>0.858</x:v>
      </x:c>
      <x:c r="H225" s="48" t="n">
        <x:f>IF(OR(Inputs!$F$6=TRUE,Inputs!$F$6="TRUE",Inputs!$F$6=1),(((SQRT(((Inputs!$I$6+(((A225)+1)/2)*(Inputs!$J$6-Inputs!$I$6)))^2+Inputs!$C$6^2+((Inputs!$H$6+Inputs!$L$6*(((Inputs!$I$6+(((A225)+1)/2)*(Inputs!$J$6-Inputs!$I$6)))/Inputs!$K$6)^2))^2))-((Inputs!$H$6+Inputs!$L$6*(((Inputs!$I$6+(((A225)+1)/2)*(Inputs!$J$6-Inputs!$I$6)))/Inputs!$K$6)^2)))*1000/Inputs!$C$12),NA())</x:f>
        <x:v>2271.785937945784</x:v>
      </x:c>
      <x:c r="I225" s="48" t="n">
        <x:f>IF(OR(Inputs!$F$7=TRUE,Inputs!$F$7="TRUE",Inputs!$F$7=1),(((SQRT(((Inputs!$I$7+(((A225)+1)/2)*(Inputs!$J$7-Inputs!$I$7)))^2+Inputs!$C$6^2+((Inputs!$H$7+Inputs!$L$7*(((Inputs!$I$7+(((A225)+1)/2)*(Inputs!$J$7-Inputs!$I$7)))/Inputs!$K$7)^2))^2))-((Inputs!$H$7+Inputs!$L$7*(((Inputs!$I$7+(((A225)+1)/2)*(Inputs!$J$7-Inputs!$I$7)))/Inputs!$K$7)^2)))*1000/Inputs!$C$12),NA())</x:f>
        <x:v>87225.14255020811</x:v>
      </x:c>
      <x:c r="J225" s="48" t="n">
        <x:f>IF(OR(Inputs!$F$8=TRUE,Inputs!$F$8="TRUE",Inputs!$F$8=1),(((SQRT(((Inputs!$I$8+(((A225)+1)/2)*(Inputs!$J$8-Inputs!$I$8)))^2+Inputs!$C$6^2+((Inputs!$H$8+Inputs!$L$8*(((Inputs!$I$8+(((A225)+1)/2)*(Inputs!$J$8-Inputs!$I$8)))/Inputs!$K$8)^2))^2))-((Inputs!$H$8+Inputs!$L$8*(((Inputs!$I$8+(((A225)+1)/2)*(Inputs!$J$8-Inputs!$I$8)))/Inputs!$K$8)^2)))*1000/Inputs!$C$12),NA())</x:f>
        <x:v>150676.123078917</x:v>
      </x:c>
      <x:c r="K225" s="48" t="n">
        <x:f>IF(OR(Inputs!$F$9=TRUE,Inputs!$F$9="TRUE",Inputs!$F$9=1),(((SQRT(((Inputs!$I$9+(((A225)+1)/2)*(Inputs!$J$9-Inputs!$I$9)))^2+Inputs!$C$6^2+((Inputs!$H$9+Inputs!$L$9*(((Inputs!$I$9+(((A225)+1)/2)*(Inputs!$J$9-Inputs!$I$9)))/Inputs!$K$9)^2))^2))-((Inputs!$H$9+Inputs!$L$9*(((Inputs!$I$9+(((A225)+1)/2)*(Inputs!$J$9-Inputs!$I$9)))/Inputs!$K$9)^2)))*1000/Inputs!$C$12),NA())</x:f>
        <x:v>151069.2138014561</x:v>
      </x:c>
      <x:c r="L225" s="49"/>
      <x:c r="M225" s="48" t="n">
        <x:f>A225</x:f>
        <x:v>0.858</x:v>
      </x:c>
      <x:c r="N225" s="48" t="n">
        <x:f>IF(OR(Inputs!$F$6=TRUE,Inputs!$F$6="TRUE",Inputs!$F$6=1),(-2*((1000*((((Inputs!$I$6+(((A225)+1)/2)*(Inputs!$J$6-Inputs!$I$6)))*Inputs!$C$11+((Inputs!$H$6+Inputs!$L$6*(((Inputs!$I$6+(((A225)+1)/2)*(Inputs!$J$6-Inputs!$I$6)))/Inputs!$K$6)^2))*((2*Inputs!$L$6*((Inputs!$I$6+(((A225)+1)/2)*(Inputs!$J$6-Inputs!$I$6)))/(Inputs!$K$6^2)*Inputs!$C$11)))/(SQRT(((Inputs!$I$6+(((A225)+1)/2)*(Inputs!$J$6-Inputs!$I$6)))^2+Inputs!$C$6^2+((Inputs!$H$6+Inputs!$L$6*(((Inputs!$I$6+(((A225)+1)/2)*(Inputs!$J$6-Inputs!$I$6)))/Inputs!$K$6)^2))^2)))))/Inputs!$C$13),NA())</x:f>
        <x:v>-383.60546988496935</x:v>
      </x:c>
      <x:c r="O225" s="48" t="n">
        <x:f>IF(OR(Inputs!$F$7=TRUE,Inputs!$F$7="TRUE",Inputs!$F$7=1),(-2*((1000*((((Inputs!$I$7+(((A225)+1)/2)*(Inputs!$J$7-Inputs!$I$7)))*Inputs!$C$11+((Inputs!$H$7+Inputs!$L$7*(((Inputs!$I$7+(((A225)+1)/2)*(Inputs!$J$7-Inputs!$I$7)))/Inputs!$K$7)^2))*((2*Inputs!$L$7*((Inputs!$I$7+(((A225)+1)/2)*(Inputs!$J$7-Inputs!$I$7)))/(Inputs!$K$7^2)*Inputs!$C$11)))/(SQRT(((Inputs!$I$7+(((A225)+1)/2)*(Inputs!$J$7-Inputs!$I$7)))^2+Inputs!$C$6^2+((Inputs!$H$7+Inputs!$L$7*(((Inputs!$I$7+(((A225)+1)/2)*(Inputs!$J$7-Inputs!$I$7)))/Inputs!$K$7)^2))^2)))))/Inputs!$C$13),NA())</x:f>
        <x:v>-2854.269935226963</x:v>
      </x:c>
      <x:c r="P225" s="48" t="n">
        <x:f>IF(OR(Inputs!$F$8=TRUE,Inputs!$F$8="TRUE",Inputs!$F$8=1),(-2*((1000*((((Inputs!$I$8+(((A225)+1)/2)*(Inputs!$J$8-Inputs!$I$8)))*Inputs!$C$11+((Inputs!$H$8+Inputs!$L$8*(((Inputs!$I$8+(((A225)+1)/2)*(Inputs!$J$8-Inputs!$I$8)))/Inputs!$K$8)^2))*((2*Inputs!$L$8*((Inputs!$I$8+(((A225)+1)/2)*(Inputs!$J$8-Inputs!$I$8)))/(Inputs!$K$8^2)*Inputs!$C$11)))/(SQRT(((Inputs!$I$8+(((A225)+1)/2)*(Inputs!$J$8-Inputs!$I$8)))^2+Inputs!$C$6^2+((Inputs!$H$8+Inputs!$L$8*(((Inputs!$I$8+(((A225)+1)/2)*(Inputs!$J$8-Inputs!$I$8)))/Inputs!$K$8)^2))^2)))))/Inputs!$C$13),NA())</x:f>
        <x:v>-3519.04439527084</x:v>
      </x:c>
      <x:c r="Q225" s="48" t="n">
        <x:f>IF(OR(Inputs!$F$9=TRUE,Inputs!$F$9="TRUE",Inputs!$F$9=1),(-2*((1000*((((Inputs!$I$9+(((A225)+1)/2)*(Inputs!$J$9-Inputs!$I$9)))*Inputs!$C$11+((Inputs!$H$9+Inputs!$L$9*(((Inputs!$I$9+(((A225)+1)/2)*(Inputs!$J$9-Inputs!$I$9)))/Inputs!$K$9)^2))*((2*Inputs!$L$9*((Inputs!$I$9+(((A225)+1)/2)*(Inputs!$J$9-Inputs!$I$9)))/(Inputs!$K$9^2)*Inputs!$C$11)))/(SQRT(((Inputs!$I$9+(((A225)+1)/2)*(Inputs!$J$9-Inputs!$I$9)))^2+Inputs!$C$6^2+((Inputs!$H$9+Inputs!$L$9*(((Inputs!$I$9+(((A225)+1)/2)*(Inputs!$J$9-Inputs!$I$9)))/Inputs!$K$9)^2))^2)))))/Inputs!$C$13),NA())</x:f>
        <x:v>-3542.348411613445</x:v>
      </x:c>
      <x:c r="R225" s="49"/>
      <x:c r="S225" s="48" t="n">
        <x:f>A225</x:f>
        <x:v>0.858</x:v>
      </x:c>
      <x:c r="T225" s="48" t="n">
        <x:f>(Inputs!$I$6+(((A225)+1)/2)*(Inputs!$J$6-Inputs!$I$6))</x:f>
        <x:v>51.480000000000004</x:v>
      </x:c>
      <x:c r="U225" s="48" t="n">
        <x:f>(Inputs!$I$7+(((A225)+1)/2)*(Inputs!$J$7-Inputs!$I$7))</x:f>
        <x:v>343.20000000000005</x:v>
      </x:c>
      <x:c r="V225" s="48" t="n">
        <x:f>(Inputs!$I$8+(((A225)+1)/2)*(Inputs!$J$8-Inputs!$I$8))</x:f>
        <x:v>686.4000000000001</x:v>
      </x:c>
      <x:c r="W225" s="48" t="n">
        <x:f>(Inputs!$I$9+(((A225)+1)/2)*(Inputs!$J$9-Inputs!$I$9))</x:f>
        <x:v>686.4000000000001</x:v>
      </x:c>
      <x:c r="X225" s="49"/>
      <x:c r="Y225" s="48" t="n">
        <x:f>A225</x:f>
        <x:v>0.858</x:v>
      </x:c>
      <x:c r="Z225" s="48" t="n">
        <x:f>(Inputs!$H$6+Inputs!$L$6*(((Inputs!$I$6+(((A225)+1)/2)*(Inputs!$J$6-Inputs!$I$6)))/Inputs!$K$6)^2)</x:f>
        <x:v>402.944656</x:v>
      </x:c>
      <x:c r="AA225" s="48" t="n">
        <x:f>(Inputs!$H$7+Inputs!$L$7*(((Inputs!$I$7+(((A225)+1)/2)*(Inputs!$J$7-Inputs!$I$7)))/Inputs!$K$7)^2)</x:f>
        <x:v>303.69986000000006</x:v>
      </x:c>
      <x:c r="AB225" s="48" t="n">
        <x:f>(Inputs!$H$8+Inputs!$L$8*(((Inputs!$I$8+(((A225)+1)/2)*(Inputs!$J$8-Inputs!$I$8)))/Inputs!$K$8)^2)</x:f>
        <x:v>745.3982600000002</x:v>
      </x:c>
      <x:c r="AC225" s="48" t="n">
        <x:f>(Inputs!$H$9+Inputs!$L$9*(((Inputs!$I$9+(((A225)+1)/2)*(Inputs!$J$9-Inputs!$I$9)))/Inputs!$K$9)^2)</x:f>
        <x:v>742.7599000000001</x:v>
      </x:c>
      <x:c r="AD225" s="49"/>
      <x:c r="AE225" s="48" t="n">
        <x:f>A225</x:f>
        <x:v>0.858</x:v>
      </x:c>
      <x:c r="AF225" s="48" t="n">
        <x:f>(((SQRT(((Inputs!$I$6+(((A225)+1)/2)*(Inputs!$J$6-Inputs!$I$6)))^2+Inputs!$C$6^2+((Inputs!$H$6+Inputs!$L$6*(((Inputs!$I$6+(((A225)+1)/2)*(Inputs!$J$6-Inputs!$I$6)))/Inputs!$K$6)^2))^2))-((Inputs!$H$6+Inputs!$L$6*(((Inputs!$I$6+(((A225)+1)/2)*(Inputs!$J$6-Inputs!$I$6)))/Inputs!$K$6)^2)))*1000/Inputs!$C$12)</x:f>
        <x:v>2271.785937945784</x:v>
      </x:c>
      <x:c r="AG225" s="48" t="n">
        <x:f>(((SQRT(((Inputs!$I$7+(((A225)+1)/2)*(Inputs!$J$7-Inputs!$I$7)))^2+Inputs!$C$6^2+((Inputs!$H$7+Inputs!$L$7*(((Inputs!$I$7+(((A225)+1)/2)*(Inputs!$J$7-Inputs!$I$7)))/Inputs!$K$7)^2))^2))-((Inputs!$H$7+Inputs!$L$7*(((Inputs!$I$7+(((A225)+1)/2)*(Inputs!$J$7-Inputs!$I$7)))/Inputs!$K$7)^2)))*1000/Inputs!$C$12)</x:f>
        <x:v>87225.14255020811</x:v>
      </x:c>
      <x:c r="AH225" s="48" t="n">
        <x:f>(((SQRT(((Inputs!$I$8+(((A225)+1)/2)*(Inputs!$J$8-Inputs!$I$8)))^2+Inputs!$C$6^2+((Inputs!$H$8+Inputs!$L$8*(((Inputs!$I$8+(((A225)+1)/2)*(Inputs!$J$8-Inputs!$I$8)))/Inputs!$K$8)^2))^2))-((Inputs!$H$8+Inputs!$L$8*(((Inputs!$I$8+(((A225)+1)/2)*(Inputs!$J$8-Inputs!$I$8)))/Inputs!$K$8)^2)))*1000/Inputs!$C$12)</x:f>
        <x:v>150676.123078917</x:v>
      </x:c>
      <x:c r="AI225" s="48" t="n">
        <x:f>(((SQRT(((Inputs!$I$9+(((A225)+1)/2)*(Inputs!$J$9-Inputs!$I$9)))^2+Inputs!$C$6^2+((Inputs!$H$9+Inputs!$L$9*(((Inputs!$I$9+(((A225)+1)/2)*(Inputs!$J$9-Inputs!$I$9)))/Inputs!$K$9)^2))^2))-((Inputs!$H$9+Inputs!$L$9*(((Inputs!$I$9+(((A225)+1)/2)*(Inputs!$J$9-Inputs!$I$9)))/Inputs!$K$9)^2)))*1000/Inputs!$C$12)</x:f>
        <x:v>151069.2138014561</x:v>
      </x:c>
      <x:c r="AJ225" s="49"/>
      <x:c r="AK225" s="48" t="n">
        <x:f>A225</x:f>
        <x:v>0.858</x:v>
      </x:c>
      <x:c r="AL225" s="48" t="n">
        <x:f>(-2*((1000*((((Inputs!$I$6+(((A225)+1)/2)*(Inputs!$J$6-Inputs!$I$6)))*Inputs!$C$11+((Inputs!$H$6+Inputs!$L$6*(((Inputs!$I$6+(((A225)+1)/2)*(Inputs!$J$6-Inputs!$I$6)))/Inputs!$K$6)^2))*((2*Inputs!$L$6*((Inputs!$I$6+(((A225)+1)/2)*(Inputs!$J$6-Inputs!$I$6)))/(Inputs!$K$6^2)*Inputs!$C$11)))/(SQRT(((Inputs!$I$6+(((A225)+1)/2)*(Inputs!$J$6-Inputs!$I$6)))^2+Inputs!$C$6^2+((Inputs!$H$6+Inputs!$L$6*(((Inputs!$I$6+(((A225)+1)/2)*(Inputs!$J$6-Inputs!$I$6)))/Inputs!$K$6)^2))^2)))))/Inputs!$C$13)</x:f>
        <x:v>-383.60546988496935</x:v>
      </x:c>
      <x:c r="AM225" s="48" t="n">
        <x:f>(-2*((1000*((((Inputs!$I$7+(((A225)+1)/2)*(Inputs!$J$7-Inputs!$I$7)))*Inputs!$C$11+((Inputs!$H$7+Inputs!$L$7*(((Inputs!$I$7+(((A225)+1)/2)*(Inputs!$J$7-Inputs!$I$7)))/Inputs!$K$7)^2))*((2*Inputs!$L$7*((Inputs!$I$7+(((A225)+1)/2)*(Inputs!$J$7-Inputs!$I$7)))/(Inputs!$K$7^2)*Inputs!$C$11)))/(SQRT(((Inputs!$I$7+(((A225)+1)/2)*(Inputs!$J$7-Inputs!$I$7)))^2+Inputs!$C$6^2+((Inputs!$H$7+Inputs!$L$7*(((Inputs!$I$7+(((A225)+1)/2)*(Inputs!$J$7-Inputs!$I$7)))/Inputs!$K$7)^2))^2)))))/Inputs!$C$13)</x:f>
        <x:v>-2854.269935226963</x:v>
      </x:c>
      <x:c r="AN225" s="48" t="n">
        <x:f>(-2*((1000*((((Inputs!$I$8+(((A225)+1)/2)*(Inputs!$J$8-Inputs!$I$8)))*Inputs!$C$11+((Inputs!$H$8+Inputs!$L$8*(((Inputs!$I$8+(((A225)+1)/2)*(Inputs!$J$8-Inputs!$I$8)))/Inputs!$K$8)^2))*((2*Inputs!$L$8*((Inputs!$I$8+(((A225)+1)/2)*(Inputs!$J$8-Inputs!$I$8)))/(Inputs!$K$8^2)*Inputs!$C$11)))/(SQRT(((Inputs!$I$8+(((A225)+1)/2)*(Inputs!$J$8-Inputs!$I$8)))^2+Inputs!$C$6^2+((Inputs!$H$8+Inputs!$L$8*(((Inputs!$I$8+(((A225)+1)/2)*(Inputs!$J$8-Inputs!$I$8)))/Inputs!$K$8)^2))^2)))))/Inputs!$C$13)</x:f>
        <x:v>-3519.04439527084</x:v>
      </x:c>
      <x:c r="AO225" s="48" t="n">
        <x:f>(-2*((1000*((((Inputs!$I$9+(((A225)+1)/2)*(Inputs!$J$9-Inputs!$I$9)))*Inputs!$C$11+((Inputs!$H$9+Inputs!$L$9*(((Inputs!$I$9+(((A225)+1)/2)*(Inputs!$J$9-Inputs!$I$9)))/Inputs!$K$9)^2))*((2*Inputs!$L$9*((Inputs!$I$9+(((A225)+1)/2)*(Inputs!$J$9-Inputs!$I$9)))/(Inputs!$K$9^2)*Inputs!$C$11)))/(SQRT(((Inputs!$I$9+(((A225)+1)/2)*(Inputs!$J$9-Inputs!$I$9)))^2+Inputs!$C$6^2+((Inputs!$H$9+Inputs!$L$9*(((Inputs!$I$9+(((A225)+1)/2)*(Inputs!$J$9-Inputs!$I$9)))/Inputs!$K$9)^2))^2)))))/Inputs!$C$13)</x:f>
        <x:v>-3542.348411613445</x:v>
      </x:c>
    </x:row>
    <x:row r="226">
      <x:c r="A226" s="48" t="n">
        <x:f>ROUND(-1+224*2/240,3)</x:f>
        <x:v>0.867</x:v>
      </x:c>
      <x:c r="B226" s="48" t="n">
        <x:f>IF(OR(Inputs!$F$6=TRUE,Inputs!$F$6="TRUE",Inputs!$F$6=1),(Inputs!$H$6+Inputs!$L$6*(((Inputs!$I$6+(((A226)+1)/2)*(Inputs!$J$6-Inputs!$I$6)))/Inputs!$K$6)^2),NA())</x:f>
        <x:v>403.006756</x:v>
      </x:c>
      <x:c r="C226" s="48" t="n">
        <x:f>IF(OR(Inputs!$F$7=TRUE,Inputs!$F$7="TRUE",Inputs!$F$7=1),(Inputs!$H$7+Inputs!$L$7*(((Inputs!$I$7+(((A226)+1)/2)*(Inputs!$J$7-Inputs!$I$7)))/Inputs!$K$7)^2),NA())</x:f>
        <x:v>309.36648499999995</x:v>
      </x:c>
      <x:c r="D226" s="48" t="n">
        <x:f>IF(OR(Inputs!$F$8=TRUE,Inputs!$F$8="TRUE",Inputs!$F$8=1),(Inputs!$H$8+Inputs!$L$8*(((Inputs!$I$8+(((A226)+1)/2)*(Inputs!$J$8-Inputs!$I$8)))/Inputs!$K$8)^2),NA())</x:f>
        <x:v>760.3798849999998</x:v>
      </x:c>
      <x:c r="E226" s="48" t="n">
        <x:f>IF(OR(Inputs!$F$9=TRUE,Inputs!$F$9="TRUE",Inputs!$F$9=1),(Inputs!$H$9+Inputs!$L$9*(((Inputs!$I$9+(((A226)+1)/2)*(Inputs!$J$9-Inputs!$I$9)))/Inputs!$K$9)^2),NA())</x:f>
        <x:v>757.8967749999998</x:v>
      </x:c>
      <x:c r="F226" s="49"/>
      <x:c r="G226" s="48" t="n">
        <x:f>A226</x:f>
        <x:v>0.867</x:v>
      </x:c>
      <x:c r="H226" s="48" t="n">
        <x:f>IF(OR(Inputs!$F$6=TRUE,Inputs!$F$6="TRUE",Inputs!$F$6=1),(((SQRT(((Inputs!$I$6+(((A226)+1)/2)*(Inputs!$J$6-Inputs!$I$6)))^2+Inputs!$C$6^2+((Inputs!$H$6+Inputs!$L$6*(((Inputs!$I$6+(((A226)+1)/2)*(Inputs!$J$6-Inputs!$I$6)))/Inputs!$K$6)^2))^2))-((Inputs!$H$6+Inputs!$L$6*(((Inputs!$I$6+(((A226)+1)/2)*(Inputs!$J$6-Inputs!$I$6)))/Inputs!$K$6)^2)))*1000/Inputs!$C$12),NA())</x:f>
        <x:v>2310.0049278348683</x:v>
      </x:c>
      <x:c r="I226" s="48" t="n">
        <x:f>IF(OR(Inputs!$F$7=TRUE,Inputs!$F$7="TRUE",Inputs!$F$7=1),(((SQRT(((Inputs!$I$7+(((A226)+1)/2)*(Inputs!$J$7-Inputs!$I$7)))^2+Inputs!$C$6^2+((Inputs!$H$7+Inputs!$L$7*(((Inputs!$I$7+(((A226)+1)/2)*(Inputs!$J$7-Inputs!$I$7)))/Inputs!$K$7)^2))^2))-((Inputs!$H$7+Inputs!$L$7*(((Inputs!$I$7+(((A226)+1)/2)*(Inputs!$J$7-Inputs!$I$7)))/Inputs!$K$7)^2)))*1000/Inputs!$C$12),NA())</x:f>
        <x:v>87662.71961640363</x:v>
      </x:c>
      <x:c r="J226" s="48" t="n">
        <x:f>IF(OR(Inputs!$F$8=TRUE,Inputs!$F$8="TRUE",Inputs!$F$8=1),(((SQRT(((Inputs!$I$8+(((A226)+1)/2)*(Inputs!$J$8-Inputs!$I$8)))^2+Inputs!$C$6^2+((Inputs!$H$8+Inputs!$L$8*(((Inputs!$I$8+(((A226)+1)/2)*(Inputs!$J$8-Inputs!$I$8)))/Inputs!$K$8)^2))^2))-((Inputs!$H$8+Inputs!$L$8*(((Inputs!$I$8+(((A226)+1)/2)*(Inputs!$J$8-Inputs!$I$8)))/Inputs!$K$8)^2)))*1000/Inputs!$C$12),NA())</x:f>
        <x:v>151194.69914380202</x:v>
      </x:c>
      <x:c r="K226" s="48" t="n">
        <x:f>IF(OR(Inputs!$F$9=TRUE,Inputs!$F$9="TRUE",Inputs!$F$9=1),(((SQRT(((Inputs!$I$9+(((A226)+1)/2)*(Inputs!$J$9-Inputs!$I$9)))^2+Inputs!$C$6^2+((Inputs!$H$9+Inputs!$L$9*(((Inputs!$I$9+(((A226)+1)/2)*(Inputs!$J$9-Inputs!$I$9)))/Inputs!$K$9)^2))^2))-((Inputs!$H$9+Inputs!$L$9*(((Inputs!$I$9+(((A226)+1)/2)*(Inputs!$J$9-Inputs!$I$9)))/Inputs!$K$9)^2)))*1000/Inputs!$C$12),NA())</x:f>
        <x:v>151560.13797993338</x:v>
      </x:c>
      <x:c r="L226" s="49"/>
      <x:c r="M226" s="48" t="n">
        <x:f>A226</x:f>
        <x:v>0.867</x:v>
      </x:c>
      <x:c r="N226" s="48" t="n">
        <x:f>IF(OR(Inputs!$F$6=TRUE,Inputs!$F$6="TRUE",Inputs!$F$6=1),(-2*((1000*((((Inputs!$I$6+(((A226)+1)/2)*(Inputs!$J$6-Inputs!$I$6)))*Inputs!$C$11+((Inputs!$H$6+Inputs!$L$6*(((Inputs!$I$6+(((A226)+1)/2)*(Inputs!$J$6-Inputs!$I$6)))/Inputs!$K$6)^2))*((2*Inputs!$L$6*((Inputs!$I$6+(((A226)+1)/2)*(Inputs!$J$6-Inputs!$I$6)))/(Inputs!$K$6^2)*Inputs!$C$11)))/(SQRT(((Inputs!$I$6+(((A226)+1)/2)*(Inputs!$J$6-Inputs!$I$6)))^2+Inputs!$C$6^2+((Inputs!$H$6+Inputs!$L$6*(((Inputs!$I$6+(((A226)+1)/2)*(Inputs!$J$6-Inputs!$I$6)))/Inputs!$K$6)^2))^2)))))/Inputs!$C$13),NA())</x:f>
        <x:v>-387.5336161058967</x:v>
      </x:c>
      <x:c r="O226" s="48" t="n">
        <x:f>IF(OR(Inputs!$F$7=TRUE,Inputs!$F$7="TRUE",Inputs!$F$7=1),(-2*((1000*((((Inputs!$I$7+(((A226)+1)/2)*(Inputs!$J$7-Inputs!$I$7)))*Inputs!$C$11+((Inputs!$H$7+Inputs!$L$7*(((Inputs!$I$7+(((A226)+1)/2)*(Inputs!$J$7-Inputs!$I$7)))/Inputs!$K$7)^2))*((2*Inputs!$L$7*((Inputs!$I$7+(((A226)+1)/2)*(Inputs!$J$7-Inputs!$I$7)))/(Inputs!$K$7^2)*Inputs!$C$11)))/(SQRT(((Inputs!$I$7+(((A226)+1)/2)*(Inputs!$J$7-Inputs!$I$7)))^2+Inputs!$C$6^2+((Inputs!$H$7+Inputs!$L$7*(((Inputs!$I$7+(((A226)+1)/2)*(Inputs!$J$7-Inputs!$I$7)))/Inputs!$K$7)^2))^2)))))/Inputs!$C$13),NA())</x:f>
        <x:v>-2875.0901493794727</x:v>
      </x:c>
      <x:c r="P226" s="48" t="n">
        <x:f>IF(OR(Inputs!$F$8=TRUE,Inputs!$F$8="TRUE",Inputs!$F$8=1),(-2*((1000*((((Inputs!$I$8+(((A226)+1)/2)*(Inputs!$J$8-Inputs!$I$8)))*Inputs!$C$11+((Inputs!$H$8+Inputs!$L$8*(((Inputs!$I$8+(((A226)+1)/2)*(Inputs!$J$8-Inputs!$I$8)))/Inputs!$K$8)^2))*((2*Inputs!$L$8*((Inputs!$I$8+(((A226)+1)/2)*(Inputs!$J$8-Inputs!$I$8)))/(Inputs!$K$8^2)*Inputs!$C$11)))/(SQRT(((Inputs!$I$8+(((A226)+1)/2)*(Inputs!$J$8-Inputs!$I$8)))^2+Inputs!$C$6^2+((Inputs!$H$8+Inputs!$L$8*(((Inputs!$I$8+(((A226)+1)/2)*(Inputs!$J$8-Inputs!$I$8)))/Inputs!$K$8)^2))^2)))))/Inputs!$C$13),NA())</x:f>
        <x:v>-3549.722813877338</x:v>
      </x:c>
      <x:c r="Q226" s="48" t="n">
        <x:f>IF(OR(Inputs!$F$9=TRUE,Inputs!$F$9="TRUE",Inputs!$F$9=1),(-2*((1000*((((Inputs!$I$9+(((A226)+1)/2)*(Inputs!$J$9-Inputs!$I$9)))*Inputs!$C$11+((Inputs!$H$9+Inputs!$L$9*(((Inputs!$I$9+(((A226)+1)/2)*(Inputs!$J$9-Inputs!$I$9)))/Inputs!$K$9)^2))*((2*Inputs!$L$9*((Inputs!$I$9+(((A226)+1)/2)*(Inputs!$J$9-Inputs!$I$9)))/(Inputs!$K$9^2)*Inputs!$C$11)))/(SQRT(((Inputs!$I$9+(((A226)+1)/2)*(Inputs!$J$9-Inputs!$I$9)))^2+Inputs!$C$6^2+((Inputs!$H$9+Inputs!$L$9*(((Inputs!$I$9+(((A226)+1)/2)*(Inputs!$J$9-Inputs!$I$9)))/Inputs!$K$9)^2))^2)))))/Inputs!$C$13),NA())</x:f>
        <x:v>-3573.542783398019</x:v>
      </x:c>
      <x:c r="R226" s="49"/>
      <x:c r="S226" s="48" t="n">
        <x:f>A226</x:f>
        <x:v>0.867</x:v>
      </x:c>
      <x:c r="T226" s="48" t="n">
        <x:f>(Inputs!$I$6+(((A226)+1)/2)*(Inputs!$J$6-Inputs!$I$6))</x:f>
        <x:v>52.019999999999996</x:v>
      </x:c>
      <x:c r="U226" s="48" t="n">
        <x:f>(Inputs!$I$7+(((A226)+1)/2)*(Inputs!$J$7-Inputs!$I$7))</x:f>
        <x:v>346.79999999999995</x:v>
      </x:c>
      <x:c r="V226" s="48" t="n">
        <x:f>(Inputs!$I$8+(((A226)+1)/2)*(Inputs!$J$8-Inputs!$I$8))</x:f>
        <x:v>693.5999999999999</x:v>
      </x:c>
      <x:c r="W226" s="48" t="n">
        <x:f>(Inputs!$I$9+(((A226)+1)/2)*(Inputs!$J$9-Inputs!$I$9))</x:f>
        <x:v>693.5999999999999</x:v>
      </x:c>
      <x:c r="X226" s="49"/>
      <x:c r="Y226" s="48" t="n">
        <x:f>A226</x:f>
        <x:v>0.867</x:v>
      </x:c>
      <x:c r="Z226" s="48" t="n">
        <x:f>(Inputs!$H$6+Inputs!$L$6*(((Inputs!$I$6+(((A226)+1)/2)*(Inputs!$J$6-Inputs!$I$6)))/Inputs!$K$6)^2)</x:f>
        <x:v>403.006756</x:v>
      </x:c>
      <x:c r="AA226" s="48" t="n">
        <x:f>(Inputs!$H$7+Inputs!$L$7*(((Inputs!$I$7+(((A226)+1)/2)*(Inputs!$J$7-Inputs!$I$7)))/Inputs!$K$7)^2)</x:f>
        <x:v>309.36648499999995</x:v>
      </x:c>
      <x:c r="AB226" s="48" t="n">
        <x:f>(Inputs!$H$8+Inputs!$L$8*(((Inputs!$I$8+(((A226)+1)/2)*(Inputs!$J$8-Inputs!$I$8)))/Inputs!$K$8)^2)</x:f>
        <x:v>760.3798849999998</x:v>
      </x:c>
      <x:c r="AC226" s="48" t="n">
        <x:f>(Inputs!$H$9+Inputs!$L$9*(((Inputs!$I$9+(((A226)+1)/2)*(Inputs!$J$9-Inputs!$I$9)))/Inputs!$K$9)^2)</x:f>
        <x:v>757.8967749999998</x:v>
      </x:c>
      <x:c r="AD226" s="49"/>
      <x:c r="AE226" s="48" t="n">
        <x:f>A226</x:f>
        <x:v>0.867</x:v>
      </x:c>
      <x:c r="AF226" s="48" t="n">
        <x:f>(((SQRT(((Inputs!$I$6+(((A226)+1)/2)*(Inputs!$J$6-Inputs!$I$6)))^2+Inputs!$C$6^2+((Inputs!$H$6+Inputs!$L$6*(((Inputs!$I$6+(((A226)+1)/2)*(Inputs!$J$6-Inputs!$I$6)))/Inputs!$K$6)^2))^2))-((Inputs!$H$6+Inputs!$L$6*(((Inputs!$I$6+(((A226)+1)/2)*(Inputs!$J$6-Inputs!$I$6)))/Inputs!$K$6)^2)))*1000/Inputs!$C$12)</x:f>
        <x:v>2310.0049278348683</x:v>
      </x:c>
      <x:c r="AG226" s="48" t="n">
        <x:f>(((SQRT(((Inputs!$I$7+(((A226)+1)/2)*(Inputs!$J$7-Inputs!$I$7)))^2+Inputs!$C$6^2+((Inputs!$H$7+Inputs!$L$7*(((Inputs!$I$7+(((A226)+1)/2)*(Inputs!$J$7-Inputs!$I$7)))/Inputs!$K$7)^2))^2))-((Inputs!$H$7+Inputs!$L$7*(((Inputs!$I$7+(((A226)+1)/2)*(Inputs!$J$7-Inputs!$I$7)))/Inputs!$K$7)^2)))*1000/Inputs!$C$12)</x:f>
        <x:v>87662.71961640363</x:v>
      </x:c>
      <x:c r="AH226" s="48" t="n">
        <x:f>(((SQRT(((Inputs!$I$8+(((A226)+1)/2)*(Inputs!$J$8-Inputs!$I$8)))^2+Inputs!$C$6^2+((Inputs!$H$8+Inputs!$L$8*(((Inputs!$I$8+(((A226)+1)/2)*(Inputs!$J$8-Inputs!$I$8)))/Inputs!$K$8)^2))^2))-((Inputs!$H$8+Inputs!$L$8*(((Inputs!$I$8+(((A226)+1)/2)*(Inputs!$J$8-Inputs!$I$8)))/Inputs!$K$8)^2)))*1000/Inputs!$C$12)</x:f>
        <x:v>151194.69914380202</x:v>
      </x:c>
      <x:c r="AI226" s="48" t="n">
        <x:f>(((SQRT(((Inputs!$I$9+(((A226)+1)/2)*(Inputs!$J$9-Inputs!$I$9)))^2+Inputs!$C$6^2+((Inputs!$H$9+Inputs!$L$9*(((Inputs!$I$9+(((A226)+1)/2)*(Inputs!$J$9-Inputs!$I$9)))/Inputs!$K$9)^2))^2))-((Inputs!$H$9+Inputs!$L$9*(((Inputs!$I$9+(((A226)+1)/2)*(Inputs!$J$9-Inputs!$I$9)))/Inputs!$K$9)^2)))*1000/Inputs!$C$12)</x:f>
        <x:v>151560.13797993338</x:v>
      </x:c>
      <x:c r="AJ226" s="49"/>
      <x:c r="AK226" s="48" t="n">
        <x:f>A226</x:f>
        <x:v>0.867</x:v>
      </x:c>
      <x:c r="AL226" s="48" t="n">
        <x:f>(-2*((1000*((((Inputs!$I$6+(((A226)+1)/2)*(Inputs!$J$6-Inputs!$I$6)))*Inputs!$C$11+((Inputs!$H$6+Inputs!$L$6*(((Inputs!$I$6+(((A226)+1)/2)*(Inputs!$J$6-Inputs!$I$6)))/Inputs!$K$6)^2))*((2*Inputs!$L$6*((Inputs!$I$6+(((A226)+1)/2)*(Inputs!$J$6-Inputs!$I$6)))/(Inputs!$K$6^2)*Inputs!$C$11)))/(SQRT(((Inputs!$I$6+(((A226)+1)/2)*(Inputs!$J$6-Inputs!$I$6)))^2+Inputs!$C$6^2+((Inputs!$H$6+Inputs!$L$6*(((Inputs!$I$6+(((A226)+1)/2)*(Inputs!$J$6-Inputs!$I$6)))/Inputs!$K$6)^2))^2)))))/Inputs!$C$13)</x:f>
        <x:v>-387.5336161058967</x:v>
      </x:c>
      <x:c r="AM226" s="48" t="n">
        <x:f>(-2*((1000*((((Inputs!$I$7+(((A226)+1)/2)*(Inputs!$J$7-Inputs!$I$7)))*Inputs!$C$11+((Inputs!$H$7+Inputs!$L$7*(((Inputs!$I$7+(((A226)+1)/2)*(Inputs!$J$7-Inputs!$I$7)))/Inputs!$K$7)^2))*((2*Inputs!$L$7*((Inputs!$I$7+(((A226)+1)/2)*(Inputs!$J$7-Inputs!$I$7)))/(Inputs!$K$7^2)*Inputs!$C$11)))/(SQRT(((Inputs!$I$7+(((A226)+1)/2)*(Inputs!$J$7-Inputs!$I$7)))^2+Inputs!$C$6^2+((Inputs!$H$7+Inputs!$L$7*(((Inputs!$I$7+(((A226)+1)/2)*(Inputs!$J$7-Inputs!$I$7)))/Inputs!$K$7)^2))^2)))))/Inputs!$C$13)</x:f>
        <x:v>-2875.0901493794727</x:v>
      </x:c>
      <x:c r="AN226" s="48" t="n">
        <x:f>(-2*((1000*((((Inputs!$I$8+(((A226)+1)/2)*(Inputs!$J$8-Inputs!$I$8)))*Inputs!$C$11+((Inputs!$H$8+Inputs!$L$8*(((Inputs!$I$8+(((A226)+1)/2)*(Inputs!$J$8-Inputs!$I$8)))/Inputs!$K$8)^2))*((2*Inputs!$L$8*((Inputs!$I$8+(((A226)+1)/2)*(Inputs!$J$8-Inputs!$I$8)))/(Inputs!$K$8^2)*Inputs!$C$11)))/(SQRT(((Inputs!$I$8+(((A226)+1)/2)*(Inputs!$J$8-Inputs!$I$8)))^2+Inputs!$C$6^2+((Inputs!$H$8+Inputs!$L$8*(((Inputs!$I$8+(((A226)+1)/2)*(Inputs!$J$8-Inputs!$I$8)))/Inputs!$K$8)^2))^2)))))/Inputs!$C$13)</x:f>
        <x:v>-3549.722813877338</x:v>
      </x:c>
      <x:c r="AO226" s="48" t="n">
        <x:f>(-2*((1000*((((Inputs!$I$9+(((A226)+1)/2)*(Inputs!$J$9-Inputs!$I$9)))*Inputs!$C$11+((Inputs!$H$9+Inputs!$L$9*(((Inputs!$I$9+(((A226)+1)/2)*(Inputs!$J$9-Inputs!$I$9)))/Inputs!$K$9)^2))*((2*Inputs!$L$9*((Inputs!$I$9+(((A226)+1)/2)*(Inputs!$J$9-Inputs!$I$9)))/(Inputs!$K$9^2)*Inputs!$C$11)))/(SQRT(((Inputs!$I$9+(((A226)+1)/2)*(Inputs!$J$9-Inputs!$I$9)))^2+Inputs!$C$6^2+((Inputs!$H$9+Inputs!$L$9*(((Inputs!$I$9+(((A226)+1)/2)*(Inputs!$J$9-Inputs!$I$9)))/Inputs!$K$9)^2))^2)))))/Inputs!$C$13)</x:f>
        <x:v>-3573.542783398019</x:v>
      </x:c>
    </x:row>
    <x:row r="227">
      <x:c r="A227" s="48" t="n">
        <x:f>ROUND(-1+225*2/240,3)</x:f>
        <x:v>0.875</x:v>
      </x:c>
      <x:c r="B227" s="48" t="n">
        <x:f>IF(OR(Inputs!$F$6=TRUE,Inputs!$F$6="TRUE",Inputs!$F$6=1),(Inputs!$H$6+Inputs!$L$6*(((Inputs!$I$6+(((A227)+1)/2)*(Inputs!$J$6-Inputs!$I$6)))/Inputs!$K$6)^2),NA())</x:f>
        <x:v>403.0625</x:v>
      </x:c>
      <x:c r="C227" s="48" t="n">
        <x:f>IF(OR(Inputs!$F$7=TRUE,Inputs!$F$7="TRUE",Inputs!$F$7=1),(Inputs!$H$7+Inputs!$L$7*(((Inputs!$I$7+(((A227)+1)/2)*(Inputs!$J$7-Inputs!$I$7)))/Inputs!$K$7)^2),NA())</x:f>
        <x:v>314.453125</x:v>
      </x:c>
      <x:c r="D227" s="48" t="n">
        <x:f>IF(OR(Inputs!$F$8=TRUE,Inputs!$F$8="TRUE",Inputs!$F$8=1),(Inputs!$H$8+Inputs!$L$8*(((Inputs!$I$8+(((A227)+1)/2)*(Inputs!$J$8-Inputs!$I$8)))/Inputs!$K$8)^2),NA())</x:f>
        <x:v>773.828125</x:v>
      </x:c>
      <x:c r="E227" s="48" t="n">
        <x:f>IF(OR(Inputs!$F$9=TRUE,Inputs!$F$9="TRUE",Inputs!$F$9=1),(Inputs!$H$9+Inputs!$L$9*(((Inputs!$I$9+(((A227)+1)/2)*(Inputs!$J$9-Inputs!$I$9)))/Inputs!$K$9)^2),NA())</x:f>
        <x:v>771.484375</x:v>
      </x:c>
      <x:c r="F227" s="49"/>
      <x:c r="G227" s="48" t="n">
        <x:f>A227</x:f>
        <x:v>0.875</x:v>
      </x:c>
      <x:c r="H227" s="48" t="n">
        <x:f>IF(OR(Inputs!$F$6=TRUE,Inputs!$F$6="TRUE",Inputs!$F$6=1),(((SQRT(((Inputs!$I$6+(((A227)+1)/2)*(Inputs!$J$6-Inputs!$I$6)))^2+Inputs!$C$6^2+((Inputs!$H$6+Inputs!$L$6*(((Inputs!$I$6+(((A227)+1)/2)*(Inputs!$J$6-Inputs!$I$6)))/Inputs!$K$6)^2))^2))-((Inputs!$H$6+Inputs!$L$6*(((Inputs!$I$6+(((A227)+1)/2)*(Inputs!$J$6-Inputs!$I$6)))/Inputs!$K$6)^2)))*1000/Inputs!$C$12),NA())</x:f>
        <x:v>2344.296798599615</x:v>
      </x:c>
      <x:c r="I227" s="48" t="n">
        <x:f>IF(OR(Inputs!$F$7=TRUE,Inputs!$F$7="TRUE",Inputs!$F$7=1),(((SQRT(((Inputs!$I$7+(((A227)+1)/2)*(Inputs!$J$7-Inputs!$I$7)))^2+Inputs!$C$6^2+((Inputs!$H$7+Inputs!$L$7*(((Inputs!$I$7+(((A227)+1)/2)*(Inputs!$J$7-Inputs!$I$7)))/Inputs!$K$7)^2))^2))-((Inputs!$H$7+Inputs!$L$7*(((Inputs!$I$7+(((A227)+1)/2)*(Inputs!$J$7-Inputs!$I$7)))/Inputs!$K$7)^2)))*1000/Inputs!$C$12),NA())</x:f>
        <x:v>88045.92994176123</x:v>
      </x:c>
      <x:c r="J227" s="48" t="n">
        <x:f>IF(OR(Inputs!$F$8=TRUE,Inputs!$F$8="TRUE",Inputs!$F$8=1),(((SQRT(((Inputs!$I$8+(((A227)+1)/2)*(Inputs!$J$8-Inputs!$I$8)))^2+Inputs!$C$6^2+((Inputs!$H$8+Inputs!$L$8*(((Inputs!$I$8+(((A227)+1)/2)*(Inputs!$J$8-Inputs!$I$8)))/Inputs!$K$8)^2))^2))-((Inputs!$H$8+Inputs!$L$8*(((Inputs!$I$8+(((A227)+1)/2)*(Inputs!$J$8-Inputs!$I$8)))/Inputs!$K$8)^2)))*1000/Inputs!$C$12),NA())</x:f>
        <x:v>151647.1287097446</x:v>
      </x:c>
      <x:c r="K227" s="48" t="n">
        <x:f>IF(OR(Inputs!$F$9=TRUE,Inputs!$F$9="TRUE",Inputs!$F$9=1),(((SQRT(((Inputs!$I$9+(((A227)+1)/2)*(Inputs!$J$9-Inputs!$I$9)))^2+Inputs!$C$6^2+((Inputs!$H$9+Inputs!$L$9*(((Inputs!$I$9+(((A227)+1)/2)*(Inputs!$J$9-Inputs!$I$9)))/Inputs!$K$9)^2))^2))-((Inputs!$H$9+Inputs!$L$9*(((Inputs!$I$9+(((A227)+1)/2)*(Inputs!$J$9-Inputs!$I$9)))/Inputs!$K$9)^2)))*1000/Inputs!$C$12),NA())</x:f>
        <x:v>151988.31730604862</x:v>
      </x:c>
      <x:c r="L227" s="49"/>
      <x:c r="M227" s="48" t="n">
        <x:f>A227</x:f>
        <x:v>0.875</x:v>
      </x:c>
      <x:c r="N227" s="48" t="n">
        <x:f>IF(OR(Inputs!$F$6=TRUE,Inputs!$F$6="TRUE",Inputs!$F$6=1),(-2*((1000*((((Inputs!$I$6+(((A227)+1)/2)*(Inputs!$J$6-Inputs!$I$6)))*Inputs!$C$11+((Inputs!$H$6+Inputs!$L$6*(((Inputs!$I$6+(((A227)+1)/2)*(Inputs!$J$6-Inputs!$I$6)))/Inputs!$K$6)^2))*((2*Inputs!$L$6*((Inputs!$I$6+(((A227)+1)/2)*(Inputs!$J$6-Inputs!$I$6)))/(Inputs!$K$6^2)*Inputs!$C$11)))/(SQRT(((Inputs!$I$6+(((A227)+1)/2)*(Inputs!$J$6-Inputs!$I$6)))^2+Inputs!$C$6^2+((Inputs!$H$6+Inputs!$L$6*(((Inputs!$I$6+(((A227)+1)/2)*(Inputs!$J$6-Inputs!$I$6)))/Inputs!$K$6)^2))^2)))))/Inputs!$C$13),NA())</x:f>
        <x:v>-391.02286674642266</x:v>
      </x:c>
      <x:c r="O227" s="48" t="n">
        <x:f>IF(OR(Inputs!$F$7=TRUE,Inputs!$F$7="TRUE",Inputs!$F$7=1),(-2*((1000*((((Inputs!$I$7+(((A227)+1)/2)*(Inputs!$J$7-Inputs!$I$7)))*Inputs!$C$11+((Inputs!$H$7+Inputs!$L$7*(((Inputs!$I$7+(((A227)+1)/2)*(Inputs!$J$7-Inputs!$I$7)))/Inputs!$K$7)^2))*((2*Inputs!$L$7*((Inputs!$I$7+(((A227)+1)/2)*(Inputs!$J$7-Inputs!$I$7)))/(Inputs!$K$7^2)*Inputs!$C$11)))/(SQRT(((Inputs!$I$7+(((A227)+1)/2)*(Inputs!$J$7-Inputs!$I$7)))^2+Inputs!$C$6^2+((Inputs!$H$7+Inputs!$L$7*(((Inputs!$I$7+(((A227)+1)/2)*(Inputs!$J$7-Inputs!$I$7)))/Inputs!$K$7)^2))^2)))))/Inputs!$C$13),NA())</x:f>
        <x:v>-2893.6766185784404</x:v>
      </x:c>
      <x:c r="P227" s="48" t="n">
        <x:f>IF(OR(Inputs!$F$8=TRUE,Inputs!$F$8="TRUE",Inputs!$F$8=1),(-2*((1000*((((Inputs!$I$8+(((A227)+1)/2)*(Inputs!$J$8-Inputs!$I$8)))*Inputs!$C$11+((Inputs!$H$8+Inputs!$L$8*(((Inputs!$I$8+(((A227)+1)/2)*(Inputs!$J$8-Inputs!$I$8)))/Inputs!$K$8)^2))*((2*Inputs!$L$8*((Inputs!$I$8+(((A227)+1)/2)*(Inputs!$J$8-Inputs!$I$8)))/(Inputs!$K$8^2)*Inputs!$C$11)))/(SQRT(((Inputs!$I$8+(((A227)+1)/2)*(Inputs!$J$8-Inputs!$I$8)))^2+Inputs!$C$6^2+((Inputs!$H$8+Inputs!$L$8*(((Inputs!$I$8+(((A227)+1)/2)*(Inputs!$J$8-Inputs!$I$8)))/Inputs!$K$8)^2))^2)))))/Inputs!$C$13),NA())</x:f>
        <x:v>-3577.0717806189364</x:v>
      </x:c>
      <x:c r="Q227" s="48" t="n">
        <x:f>IF(OR(Inputs!$F$9=TRUE,Inputs!$F$9="TRUE",Inputs!$F$9=1),(-2*((1000*((((Inputs!$I$9+(((A227)+1)/2)*(Inputs!$J$9-Inputs!$I$9)))*Inputs!$C$11+((Inputs!$H$9+Inputs!$L$9*(((Inputs!$I$9+(((A227)+1)/2)*(Inputs!$J$9-Inputs!$I$9)))/Inputs!$K$9)^2))*((2*Inputs!$L$9*((Inputs!$I$9+(((A227)+1)/2)*(Inputs!$J$9-Inputs!$I$9)))/(Inputs!$K$9^2)*Inputs!$C$11)))/(SQRT(((Inputs!$I$9+(((A227)+1)/2)*(Inputs!$J$9-Inputs!$I$9)))^2+Inputs!$C$6^2+((Inputs!$H$9+Inputs!$L$9*(((Inputs!$I$9+(((A227)+1)/2)*(Inputs!$J$9-Inputs!$I$9)))/Inputs!$K$9)^2))^2)))))/Inputs!$C$13),NA())</x:f>
        <x:v>-3601.348858526411</x:v>
      </x:c>
      <x:c r="R227" s="49"/>
      <x:c r="S227" s="48" t="n">
        <x:f>A227</x:f>
        <x:v>0.875</x:v>
      </x:c>
      <x:c r="T227" s="48" t="n">
        <x:f>(Inputs!$I$6+(((A227)+1)/2)*(Inputs!$J$6-Inputs!$I$6))</x:f>
        <x:v>52.5</x:v>
      </x:c>
      <x:c r="U227" s="48" t="n">
        <x:f>(Inputs!$I$7+(((A227)+1)/2)*(Inputs!$J$7-Inputs!$I$7))</x:f>
        <x:v>350</x:v>
      </x:c>
      <x:c r="V227" s="48" t="n">
        <x:f>(Inputs!$I$8+(((A227)+1)/2)*(Inputs!$J$8-Inputs!$I$8))</x:f>
        <x:v>700</x:v>
      </x:c>
      <x:c r="W227" s="48" t="n">
        <x:f>(Inputs!$I$9+(((A227)+1)/2)*(Inputs!$J$9-Inputs!$I$9))</x:f>
        <x:v>700</x:v>
      </x:c>
      <x:c r="X227" s="49"/>
      <x:c r="Y227" s="48" t="n">
        <x:f>A227</x:f>
        <x:v>0.875</x:v>
      </x:c>
      <x:c r="Z227" s="48" t="n">
        <x:f>(Inputs!$H$6+Inputs!$L$6*(((Inputs!$I$6+(((A227)+1)/2)*(Inputs!$J$6-Inputs!$I$6)))/Inputs!$K$6)^2)</x:f>
        <x:v>403.0625</x:v>
      </x:c>
      <x:c r="AA227" s="48" t="n">
        <x:f>(Inputs!$H$7+Inputs!$L$7*(((Inputs!$I$7+(((A227)+1)/2)*(Inputs!$J$7-Inputs!$I$7)))/Inputs!$K$7)^2)</x:f>
        <x:v>314.453125</x:v>
      </x:c>
      <x:c r="AB227" s="48" t="n">
        <x:f>(Inputs!$H$8+Inputs!$L$8*(((Inputs!$I$8+(((A227)+1)/2)*(Inputs!$J$8-Inputs!$I$8)))/Inputs!$K$8)^2)</x:f>
        <x:v>773.828125</x:v>
      </x:c>
      <x:c r="AC227" s="48" t="n">
        <x:f>(Inputs!$H$9+Inputs!$L$9*(((Inputs!$I$9+(((A227)+1)/2)*(Inputs!$J$9-Inputs!$I$9)))/Inputs!$K$9)^2)</x:f>
        <x:v>771.484375</x:v>
      </x:c>
      <x:c r="AD227" s="49"/>
      <x:c r="AE227" s="48" t="n">
        <x:f>A227</x:f>
        <x:v>0.875</x:v>
      </x:c>
      <x:c r="AF227" s="48" t="n">
        <x:f>(((SQRT(((Inputs!$I$6+(((A227)+1)/2)*(Inputs!$J$6-Inputs!$I$6)))^2+Inputs!$C$6^2+((Inputs!$H$6+Inputs!$L$6*(((Inputs!$I$6+(((A227)+1)/2)*(Inputs!$J$6-Inputs!$I$6)))/Inputs!$K$6)^2))^2))-((Inputs!$H$6+Inputs!$L$6*(((Inputs!$I$6+(((A227)+1)/2)*(Inputs!$J$6-Inputs!$I$6)))/Inputs!$K$6)^2)))*1000/Inputs!$C$12)</x:f>
        <x:v>2344.296798599615</x:v>
      </x:c>
      <x:c r="AG227" s="48" t="n">
        <x:f>(((SQRT(((Inputs!$I$7+(((A227)+1)/2)*(Inputs!$J$7-Inputs!$I$7)))^2+Inputs!$C$6^2+((Inputs!$H$7+Inputs!$L$7*(((Inputs!$I$7+(((A227)+1)/2)*(Inputs!$J$7-Inputs!$I$7)))/Inputs!$K$7)^2))^2))-((Inputs!$H$7+Inputs!$L$7*(((Inputs!$I$7+(((A227)+1)/2)*(Inputs!$J$7-Inputs!$I$7)))/Inputs!$K$7)^2)))*1000/Inputs!$C$12)</x:f>
        <x:v>88045.92994176123</x:v>
      </x:c>
      <x:c r="AH227" s="48" t="n">
        <x:f>(((SQRT(((Inputs!$I$8+(((A227)+1)/2)*(Inputs!$J$8-Inputs!$I$8)))^2+Inputs!$C$6^2+((Inputs!$H$8+Inputs!$L$8*(((Inputs!$I$8+(((A227)+1)/2)*(Inputs!$J$8-Inputs!$I$8)))/Inputs!$K$8)^2))^2))-((Inputs!$H$8+Inputs!$L$8*(((Inputs!$I$8+(((A227)+1)/2)*(Inputs!$J$8-Inputs!$I$8)))/Inputs!$K$8)^2)))*1000/Inputs!$C$12)</x:f>
        <x:v>151647.1287097446</x:v>
      </x:c>
      <x:c r="AI227" s="48" t="n">
        <x:f>(((SQRT(((Inputs!$I$9+(((A227)+1)/2)*(Inputs!$J$9-Inputs!$I$9)))^2+Inputs!$C$6^2+((Inputs!$H$9+Inputs!$L$9*(((Inputs!$I$9+(((A227)+1)/2)*(Inputs!$J$9-Inputs!$I$9)))/Inputs!$K$9)^2))^2))-((Inputs!$H$9+Inputs!$L$9*(((Inputs!$I$9+(((A227)+1)/2)*(Inputs!$J$9-Inputs!$I$9)))/Inputs!$K$9)^2)))*1000/Inputs!$C$12)</x:f>
        <x:v>151988.31730604862</x:v>
      </x:c>
      <x:c r="AJ227" s="49"/>
      <x:c r="AK227" s="48" t="n">
        <x:f>A227</x:f>
        <x:v>0.875</x:v>
      </x:c>
      <x:c r="AL227" s="48" t="n">
        <x:f>(-2*((1000*((((Inputs!$I$6+(((A227)+1)/2)*(Inputs!$J$6-Inputs!$I$6)))*Inputs!$C$11+((Inputs!$H$6+Inputs!$L$6*(((Inputs!$I$6+(((A227)+1)/2)*(Inputs!$J$6-Inputs!$I$6)))/Inputs!$K$6)^2))*((2*Inputs!$L$6*((Inputs!$I$6+(((A227)+1)/2)*(Inputs!$J$6-Inputs!$I$6)))/(Inputs!$K$6^2)*Inputs!$C$11)))/(SQRT(((Inputs!$I$6+(((A227)+1)/2)*(Inputs!$J$6-Inputs!$I$6)))^2+Inputs!$C$6^2+((Inputs!$H$6+Inputs!$L$6*(((Inputs!$I$6+(((A227)+1)/2)*(Inputs!$J$6-Inputs!$I$6)))/Inputs!$K$6)^2))^2)))))/Inputs!$C$13)</x:f>
        <x:v>-391.02286674642266</x:v>
      </x:c>
      <x:c r="AM227" s="48" t="n">
        <x:f>(-2*((1000*((((Inputs!$I$7+(((A227)+1)/2)*(Inputs!$J$7-Inputs!$I$7)))*Inputs!$C$11+((Inputs!$H$7+Inputs!$L$7*(((Inputs!$I$7+(((A227)+1)/2)*(Inputs!$J$7-Inputs!$I$7)))/Inputs!$K$7)^2))*((2*Inputs!$L$7*((Inputs!$I$7+(((A227)+1)/2)*(Inputs!$J$7-Inputs!$I$7)))/(Inputs!$K$7^2)*Inputs!$C$11)))/(SQRT(((Inputs!$I$7+(((A227)+1)/2)*(Inputs!$J$7-Inputs!$I$7)))^2+Inputs!$C$6^2+((Inputs!$H$7+Inputs!$L$7*(((Inputs!$I$7+(((A227)+1)/2)*(Inputs!$J$7-Inputs!$I$7)))/Inputs!$K$7)^2))^2)))))/Inputs!$C$13)</x:f>
        <x:v>-2893.6766185784404</x:v>
      </x:c>
      <x:c r="AN227" s="48" t="n">
        <x:f>(-2*((1000*((((Inputs!$I$8+(((A227)+1)/2)*(Inputs!$J$8-Inputs!$I$8)))*Inputs!$C$11+((Inputs!$H$8+Inputs!$L$8*(((Inputs!$I$8+(((A227)+1)/2)*(Inputs!$J$8-Inputs!$I$8)))/Inputs!$K$8)^2))*((2*Inputs!$L$8*((Inputs!$I$8+(((A227)+1)/2)*(Inputs!$J$8-Inputs!$I$8)))/(Inputs!$K$8^2)*Inputs!$C$11)))/(SQRT(((Inputs!$I$8+(((A227)+1)/2)*(Inputs!$J$8-Inputs!$I$8)))^2+Inputs!$C$6^2+((Inputs!$H$8+Inputs!$L$8*(((Inputs!$I$8+(((A227)+1)/2)*(Inputs!$J$8-Inputs!$I$8)))/Inputs!$K$8)^2))^2)))))/Inputs!$C$13)</x:f>
        <x:v>-3577.0717806189364</x:v>
      </x:c>
      <x:c r="AO227" s="48" t="n">
        <x:f>(-2*((1000*((((Inputs!$I$9+(((A227)+1)/2)*(Inputs!$J$9-Inputs!$I$9)))*Inputs!$C$11+((Inputs!$H$9+Inputs!$L$9*(((Inputs!$I$9+(((A227)+1)/2)*(Inputs!$J$9-Inputs!$I$9)))/Inputs!$K$9)^2))*((2*Inputs!$L$9*((Inputs!$I$9+(((A227)+1)/2)*(Inputs!$J$9-Inputs!$I$9)))/(Inputs!$K$9^2)*Inputs!$C$11)))/(SQRT(((Inputs!$I$9+(((A227)+1)/2)*(Inputs!$J$9-Inputs!$I$9)))^2+Inputs!$C$6^2+((Inputs!$H$9+Inputs!$L$9*(((Inputs!$I$9+(((A227)+1)/2)*(Inputs!$J$9-Inputs!$I$9)))/Inputs!$K$9)^2))^2)))))/Inputs!$C$13)</x:f>
        <x:v>-3601.348858526411</x:v>
      </x:c>
    </x:row>
    <x:row r="228">
      <x:c r="A228" s="48" t="n">
        <x:f>ROUND(-1+226*2/240,3)</x:f>
        <x:v>0.883</x:v>
      </x:c>
      <x:c r="B228" s="48" t="n">
        <x:f>IF(OR(Inputs!$F$6=TRUE,Inputs!$F$6="TRUE",Inputs!$F$6=1),(Inputs!$H$6+Inputs!$L$6*(((Inputs!$I$6+(((A228)+1)/2)*(Inputs!$J$6-Inputs!$I$6)))/Inputs!$K$6)^2),NA())</x:f>
        <x:v>403.118756</x:v>
      </x:c>
      <x:c r="C228" s="48" t="n">
        <x:f>IF(OR(Inputs!$F$7=TRUE,Inputs!$F$7="TRUE",Inputs!$F$7=1),(Inputs!$H$7+Inputs!$L$7*(((Inputs!$I$7+(((A228)+1)/2)*(Inputs!$J$7-Inputs!$I$7)))/Inputs!$K$7)^2),NA())</x:f>
        <x:v>319.5864850000001</x:v>
      </x:c>
      <x:c r="D228" s="48" t="n">
        <x:f>IF(OR(Inputs!$F$8=TRUE,Inputs!$F$8="TRUE",Inputs!$F$8=1),(Inputs!$H$8+Inputs!$L$8*(((Inputs!$I$8+(((A228)+1)/2)*(Inputs!$J$8-Inputs!$I$8)))/Inputs!$K$8)^2),NA())</x:f>
        <x:v>787.3998850000002</x:v>
      </x:c>
      <x:c r="E228" s="48" t="n">
        <x:f>IF(OR(Inputs!$F$9=TRUE,Inputs!$F$9="TRUE",Inputs!$F$9=1),(Inputs!$H$9+Inputs!$L$9*(((Inputs!$I$9+(((A228)+1)/2)*(Inputs!$J$9-Inputs!$I$9)))/Inputs!$K$9)^2),NA())</x:f>
        <x:v>785.1967750000002</x:v>
      </x:c>
      <x:c r="F228" s="49"/>
      <x:c r="G228" s="48" t="n">
        <x:f>A228</x:f>
        <x:v>0.883</x:v>
      </x:c>
      <x:c r="H228" s="48" t="n">
        <x:f>IF(OR(Inputs!$F$6=TRUE,Inputs!$F$6="TRUE",Inputs!$F$6=1),(((SQRT(((Inputs!$I$6+(((A228)+1)/2)*(Inputs!$J$6-Inputs!$I$6)))^2+Inputs!$C$6^2+((Inputs!$H$6+Inputs!$L$6*(((Inputs!$I$6+(((A228)+1)/2)*(Inputs!$J$6-Inputs!$I$6)))/Inputs!$K$6)^2))^2))-((Inputs!$H$6+Inputs!$L$6*(((Inputs!$I$6+(((A228)+1)/2)*(Inputs!$J$6-Inputs!$I$6)))/Inputs!$K$6)^2)))*1000/Inputs!$C$12),NA())</x:f>
        <x:v>2378.888910432456</x:v>
      </x:c>
      <x:c r="I228" s="48" t="n">
        <x:f>IF(OR(Inputs!$F$7=TRUE,Inputs!$F$7="TRUE",Inputs!$F$7=1),(((SQRT(((Inputs!$I$7+(((A228)+1)/2)*(Inputs!$J$7-Inputs!$I$7)))^2+Inputs!$C$6^2+((Inputs!$H$7+Inputs!$L$7*(((Inputs!$I$7+(((A228)+1)/2)*(Inputs!$J$7-Inputs!$I$7)))/Inputs!$K$7)^2))^2))-((Inputs!$H$7+Inputs!$L$7*(((Inputs!$I$7+(((A228)+1)/2)*(Inputs!$J$7-Inputs!$I$7)))/Inputs!$K$7)^2)))*1000/Inputs!$C$12),NA())</x:f>
        <x:v>88423.81830444335</x:v>
      </x:c>
      <x:c r="J228" s="48" t="n">
        <x:f>IF(OR(Inputs!$F$8=TRUE,Inputs!$F$8="TRUE",Inputs!$F$8=1),(((SQRT(((Inputs!$I$8+(((A228)+1)/2)*(Inputs!$J$8-Inputs!$I$8)))^2+Inputs!$C$6^2+((Inputs!$H$8+Inputs!$L$8*(((Inputs!$I$8+(((A228)+1)/2)*(Inputs!$J$8-Inputs!$I$8)))/Inputs!$K$8)^2))^2))-((Inputs!$H$8+Inputs!$L$8*(((Inputs!$I$8+(((A228)+1)/2)*(Inputs!$J$8-Inputs!$I$8)))/Inputs!$K$8)^2)))*1000/Inputs!$C$12),NA())</x:f>
        <x:v>152091.70553919495</x:v>
      </x:c>
      <x:c r="K228" s="48" t="n">
        <x:f>IF(OR(Inputs!$F$9=TRUE,Inputs!$F$9="TRUE",Inputs!$F$9=1),(((SQRT(((Inputs!$I$9+(((A228)+1)/2)*(Inputs!$J$9-Inputs!$I$9)))^2+Inputs!$C$6^2+((Inputs!$H$9+Inputs!$L$9*(((Inputs!$I$9+(((A228)+1)/2)*(Inputs!$J$9-Inputs!$I$9)))/Inputs!$K$9)^2))^2))-((Inputs!$H$9+Inputs!$L$9*(((Inputs!$I$9+(((A228)+1)/2)*(Inputs!$J$9-Inputs!$I$9)))/Inputs!$K$9)^2)))*1000/Inputs!$C$12),NA())</x:f>
        <x:v>152408.95038778541</x:v>
      </x:c>
      <x:c r="L228" s="49"/>
      <x:c r="M228" s="48" t="n">
        <x:f>A228</x:f>
        <x:v>0.883</x:v>
      </x:c>
      <x:c r="N228" s="48" t="n">
        <x:f>IF(OR(Inputs!$F$6=TRUE,Inputs!$F$6="TRUE",Inputs!$F$6=1),(-2*((1000*((((Inputs!$I$6+(((A228)+1)/2)*(Inputs!$J$6-Inputs!$I$6)))*Inputs!$C$11+((Inputs!$H$6+Inputs!$L$6*(((Inputs!$I$6+(((A228)+1)/2)*(Inputs!$J$6-Inputs!$I$6)))/Inputs!$K$6)^2))*((2*Inputs!$L$6*((Inputs!$I$6+(((A228)+1)/2)*(Inputs!$J$6-Inputs!$I$6)))/(Inputs!$K$6^2)*Inputs!$C$11)))/(SQRT(((Inputs!$I$6+(((A228)+1)/2)*(Inputs!$J$6-Inputs!$I$6)))^2+Inputs!$C$6^2+((Inputs!$H$6+Inputs!$L$6*(((Inputs!$I$6+(((A228)+1)/2)*(Inputs!$J$6-Inputs!$I$6)))/Inputs!$K$6)^2))^2)))))/Inputs!$C$13),NA())</x:f>
        <x:v>-394.50980714850186</x:v>
      </x:c>
      <x:c r="O228" s="48" t="n">
        <x:f>IF(OR(Inputs!$F$7=TRUE,Inputs!$F$7="TRUE",Inputs!$F$7=1),(-2*((1000*((((Inputs!$I$7+(((A228)+1)/2)*(Inputs!$J$7-Inputs!$I$7)))*Inputs!$C$11+((Inputs!$H$7+Inputs!$L$7*(((Inputs!$I$7+(((A228)+1)/2)*(Inputs!$J$7-Inputs!$I$7)))/Inputs!$K$7)^2))*((2*Inputs!$L$7*((Inputs!$I$7+(((A228)+1)/2)*(Inputs!$J$7-Inputs!$I$7)))/(Inputs!$K$7^2)*Inputs!$C$11)))/(SQRT(((Inputs!$I$7+(((A228)+1)/2)*(Inputs!$J$7-Inputs!$I$7)))^2+Inputs!$C$6^2+((Inputs!$H$7+Inputs!$L$7*(((Inputs!$I$7+(((A228)+1)/2)*(Inputs!$J$7-Inputs!$I$7)))/Inputs!$K$7)^2))^2)))))/Inputs!$C$13),NA())</x:f>
        <x:v>-2912.33687366577</x:v>
      </x:c>
      <x:c r="P228" s="48" t="n">
        <x:f>IF(OR(Inputs!$F$8=TRUE,Inputs!$F$8="TRUE",Inputs!$F$8=1),(-2*((1000*((((Inputs!$I$8+(((A228)+1)/2)*(Inputs!$J$8-Inputs!$I$8)))*Inputs!$C$11+((Inputs!$H$8+Inputs!$L$8*(((Inputs!$I$8+(((A228)+1)/2)*(Inputs!$J$8-Inputs!$I$8)))/Inputs!$K$8)^2))*((2*Inputs!$L$8*((Inputs!$I$8+(((A228)+1)/2)*(Inputs!$J$8-Inputs!$I$8)))/(Inputs!$K$8^2)*Inputs!$C$11)))/(SQRT(((Inputs!$I$8+(((A228)+1)/2)*(Inputs!$J$8-Inputs!$I$8)))^2+Inputs!$C$6^2+((Inputs!$H$8+Inputs!$L$8*(((Inputs!$I$8+(((A228)+1)/2)*(Inputs!$J$8-Inputs!$I$8)))/Inputs!$K$8)^2))^2)))))/Inputs!$C$13),NA())</x:f>
        <x:v>-3604.4936027267563</x:v>
      </x:c>
      <x:c r="Q228" s="48" t="n">
        <x:f>IF(OR(Inputs!$F$9=TRUE,Inputs!$F$9="TRUE",Inputs!$F$9=1),(-2*((1000*((((Inputs!$I$9+(((A228)+1)/2)*(Inputs!$J$9-Inputs!$I$9)))*Inputs!$C$11+((Inputs!$H$9+Inputs!$L$9*(((Inputs!$I$9+(((A228)+1)/2)*(Inputs!$J$9-Inputs!$I$9)))/Inputs!$K$9)^2))*((2*Inputs!$L$9*((Inputs!$I$9+(((A228)+1)/2)*(Inputs!$J$9-Inputs!$I$9)))/(Inputs!$K$9^2)*Inputs!$C$11)))/(SQRT(((Inputs!$I$9+(((A228)+1)/2)*(Inputs!$J$9-Inputs!$I$9)))^2+Inputs!$C$6^2+((Inputs!$H$9+Inputs!$L$9*(((Inputs!$I$9+(((A228)+1)/2)*(Inputs!$J$9-Inputs!$I$9)))/Inputs!$K$9)^2))^2)))))/Inputs!$C$13),NA())</x:f>
        <x:v>-3629.2263482727567</x:v>
      </x:c>
      <x:c r="R228" s="49"/>
      <x:c r="S228" s="48" t="n">
        <x:f>A228</x:f>
        <x:v>0.883</x:v>
      </x:c>
      <x:c r="T228" s="48" t="n">
        <x:f>(Inputs!$I$6+(((A228)+1)/2)*(Inputs!$J$6-Inputs!$I$6))</x:f>
        <x:v>52.980000000000004</x:v>
      </x:c>
      <x:c r="U228" s="48" t="n">
        <x:f>(Inputs!$I$7+(((A228)+1)/2)*(Inputs!$J$7-Inputs!$I$7))</x:f>
        <x:v>353.20000000000005</x:v>
      </x:c>
      <x:c r="V228" s="48" t="n">
        <x:f>(Inputs!$I$8+(((A228)+1)/2)*(Inputs!$J$8-Inputs!$I$8))</x:f>
        <x:v>706.4000000000001</x:v>
      </x:c>
      <x:c r="W228" s="48" t="n">
        <x:f>(Inputs!$I$9+(((A228)+1)/2)*(Inputs!$J$9-Inputs!$I$9))</x:f>
        <x:v>706.4000000000001</x:v>
      </x:c>
      <x:c r="X228" s="49"/>
      <x:c r="Y228" s="48" t="n">
        <x:f>A228</x:f>
        <x:v>0.883</x:v>
      </x:c>
      <x:c r="Z228" s="48" t="n">
        <x:f>(Inputs!$H$6+Inputs!$L$6*(((Inputs!$I$6+(((A228)+1)/2)*(Inputs!$J$6-Inputs!$I$6)))/Inputs!$K$6)^2)</x:f>
        <x:v>403.118756</x:v>
      </x:c>
      <x:c r="AA228" s="48" t="n">
        <x:f>(Inputs!$H$7+Inputs!$L$7*(((Inputs!$I$7+(((A228)+1)/2)*(Inputs!$J$7-Inputs!$I$7)))/Inputs!$K$7)^2)</x:f>
        <x:v>319.5864850000001</x:v>
      </x:c>
      <x:c r="AB228" s="48" t="n">
        <x:f>(Inputs!$H$8+Inputs!$L$8*(((Inputs!$I$8+(((A228)+1)/2)*(Inputs!$J$8-Inputs!$I$8)))/Inputs!$K$8)^2)</x:f>
        <x:v>787.3998850000002</x:v>
      </x:c>
      <x:c r="AC228" s="48" t="n">
        <x:f>(Inputs!$H$9+Inputs!$L$9*(((Inputs!$I$9+(((A228)+1)/2)*(Inputs!$J$9-Inputs!$I$9)))/Inputs!$K$9)^2)</x:f>
        <x:v>785.1967750000002</x:v>
      </x:c>
      <x:c r="AD228" s="49"/>
      <x:c r="AE228" s="48" t="n">
        <x:f>A228</x:f>
        <x:v>0.883</x:v>
      </x:c>
      <x:c r="AF228" s="48" t="n">
        <x:f>(((SQRT(((Inputs!$I$6+(((A228)+1)/2)*(Inputs!$J$6-Inputs!$I$6)))^2+Inputs!$C$6^2+((Inputs!$H$6+Inputs!$L$6*(((Inputs!$I$6+(((A228)+1)/2)*(Inputs!$J$6-Inputs!$I$6)))/Inputs!$K$6)^2))^2))-((Inputs!$H$6+Inputs!$L$6*(((Inputs!$I$6+(((A228)+1)/2)*(Inputs!$J$6-Inputs!$I$6)))/Inputs!$K$6)^2)))*1000/Inputs!$C$12)</x:f>
        <x:v>2378.888910432456</x:v>
      </x:c>
      <x:c r="AG228" s="48" t="n">
        <x:f>(((SQRT(((Inputs!$I$7+(((A228)+1)/2)*(Inputs!$J$7-Inputs!$I$7)))^2+Inputs!$C$6^2+((Inputs!$H$7+Inputs!$L$7*(((Inputs!$I$7+(((A228)+1)/2)*(Inputs!$J$7-Inputs!$I$7)))/Inputs!$K$7)^2))^2))-((Inputs!$H$7+Inputs!$L$7*(((Inputs!$I$7+(((A228)+1)/2)*(Inputs!$J$7-Inputs!$I$7)))/Inputs!$K$7)^2)))*1000/Inputs!$C$12)</x:f>
        <x:v>88423.81830444335</x:v>
      </x:c>
      <x:c r="AH228" s="48" t="n">
        <x:f>(((SQRT(((Inputs!$I$8+(((A228)+1)/2)*(Inputs!$J$8-Inputs!$I$8)))^2+Inputs!$C$6^2+((Inputs!$H$8+Inputs!$L$8*(((Inputs!$I$8+(((A228)+1)/2)*(Inputs!$J$8-Inputs!$I$8)))/Inputs!$K$8)^2))^2))-((Inputs!$H$8+Inputs!$L$8*(((Inputs!$I$8+(((A228)+1)/2)*(Inputs!$J$8-Inputs!$I$8)))/Inputs!$K$8)^2)))*1000/Inputs!$C$12)</x:f>
        <x:v>152091.70553919495</x:v>
      </x:c>
      <x:c r="AI228" s="48" t="n">
        <x:f>(((SQRT(((Inputs!$I$9+(((A228)+1)/2)*(Inputs!$J$9-Inputs!$I$9)))^2+Inputs!$C$6^2+((Inputs!$H$9+Inputs!$L$9*(((Inputs!$I$9+(((A228)+1)/2)*(Inputs!$J$9-Inputs!$I$9)))/Inputs!$K$9)^2))^2))-((Inputs!$H$9+Inputs!$L$9*(((Inputs!$I$9+(((A228)+1)/2)*(Inputs!$J$9-Inputs!$I$9)))/Inputs!$K$9)^2)))*1000/Inputs!$C$12)</x:f>
        <x:v>152408.95038778541</x:v>
      </x:c>
      <x:c r="AJ228" s="49"/>
      <x:c r="AK228" s="48" t="n">
        <x:f>A228</x:f>
        <x:v>0.883</x:v>
      </x:c>
      <x:c r="AL228" s="48" t="n">
        <x:f>(-2*((1000*((((Inputs!$I$6+(((A228)+1)/2)*(Inputs!$J$6-Inputs!$I$6)))*Inputs!$C$11+((Inputs!$H$6+Inputs!$L$6*(((Inputs!$I$6+(((A228)+1)/2)*(Inputs!$J$6-Inputs!$I$6)))/Inputs!$K$6)^2))*((2*Inputs!$L$6*((Inputs!$I$6+(((A228)+1)/2)*(Inputs!$J$6-Inputs!$I$6)))/(Inputs!$K$6^2)*Inputs!$C$11)))/(SQRT(((Inputs!$I$6+(((A228)+1)/2)*(Inputs!$J$6-Inputs!$I$6)))^2+Inputs!$C$6^2+((Inputs!$H$6+Inputs!$L$6*(((Inputs!$I$6+(((A228)+1)/2)*(Inputs!$J$6-Inputs!$I$6)))/Inputs!$K$6)^2))^2)))))/Inputs!$C$13)</x:f>
        <x:v>-394.50980714850186</x:v>
      </x:c>
      <x:c r="AM228" s="48" t="n">
        <x:f>(-2*((1000*((((Inputs!$I$7+(((A228)+1)/2)*(Inputs!$J$7-Inputs!$I$7)))*Inputs!$C$11+((Inputs!$H$7+Inputs!$L$7*(((Inputs!$I$7+(((A228)+1)/2)*(Inputs!$J$7-Inputs!$I$7)))/Inputs!$K$7)^2))*((2*Inputs!$L$7*((Inputs!$I$7+(((A228)+1)/2)*(Inputs!$J$7-Inputs!$I$7)))/(Inputs!$K$7^2)*Inputs!$C$11)))/(SQRT(((Inputs!$I$7+(((A228)+1)/2)*(Inputs!$J$7-Inputs!$I$7)))^2+Inputs!$C$6^2+((Inputs!$H$7+Inputs!$L$7*(((Inputs!$I$7+(((A228)+1)/2)*(Inputs!$J$7-Inputs!$I$7)))/Inputs!$K$7)^2))^2)))))/Inputs!$C$13)</x:f>
        <x:v>-2912.33687366577</x:v>
      </x:c>
      <x:c r="AN228" s="48" t="n">
        <x:f>(-2*((1000*((((Inputs!$I$8+(((A228)+1)/2)*(Inputs!$J$8-Inputs!$I$8)))*Inputs!$C$11+((Inputs!$H$8+Inputs!$L$8*(((Inputs!$I$8+(((A228)+1)/2)*(Inputs!$J$8-Inputs!$I$8)))/Inputs!$K$8)^2))*((2*Inputs!$L$8*((Inputs!$I$8+(((A228)+1)/2)*(Inputs!$J$8-Inputs!$I$8)))/(Inputs!$K$8^2)*Inputs!$C$11)))/(SQRT(((Inputs!$I$8+(((A228)+1)/2)*(Inputs!$J$8-Inputs!$I$8)))^2+Inputs!$C$6^2+((Inputs!$H$8+Inputs!$L$8*(((Inputs!$I$8+(((A228)+1)/2)*(Inputs!$J$8-Inputs!$I$8)))/Inputs!$K$8)^2))^2)))))/Inputs!$C$13)</x:f>
        <x:v>-3604.4936027267563</x:v>
      </x:c>
      <x:c r="AO228" s="48" t="n">
        <x:f>(-2*((1000*((((Inputs!$I$9+(((A228)+1)/2)*(Inputs!$J$9-Inputs!$I$9)))*Inputs!$C$11+((Inputs!$H$9+Inputs!$L$9*(((Inputs!$I$9+(((A228)+1)/2)*(Inputs!$J$9-Inputs!$I$9)))/Inputs!$K$9)^2))*((2*Inputs!$L$9*((Inputs!$I$9+(((A228)+1)/2)*(Inputs!$J$9-Inputs!$I$9)))/(Inputs!$K$9^2)*Inputs!$C$11)))/(SQRT(((Inputs!$I$9+(((A228)+1)/2)*(Inputs!$J$9-Inputs!$I$9)))^2+Inputs!$C$6^2+((Inputs!$H$9+Inputs!$L$9*(((Inputs!$I$9+(((A228)+1)/2)*(Inputs!$J$9-Inputs!$I$9)))/Inputs!$K$9)^2))^2)))))/Inputs!$C$13)</x:f>
        <x:v>-3629.2263482727567</x:v>
      </x:c>
    </x:row>
    <x:row r="229">
      <x:c r="A229" s="48" t="n">
        <x:f>ROUND(-1+227*2/240,3)</x:f>
        <x:v>0.892</x:v>
      </x:c>
      <x:c r="B229" s="48" t="n">
        <x:f>IF(OR(Inputs!$F$6=TRUE,Inputs!$F$6="TRUE",Inputs!$F$6=1),(Inputs!$H$6+Inputs!$L$6*(((Inputs!$I$6+(((A229)+1)/2)*(Inputs!$J$6-Inputs!$I$6)))/Inputs!$K$6)^2),NA())</x:f>
        <x:v>403.182656</x:v>
      </x:c>
      <x:c r="C229" s="48" t="n">
        <x:f>IF(OR(Inputs!$F$7=TRUE,Inputs!$F$7="TRUE",Inputs!$F$7=1),(Inputs!$H$7+Inputs!$L$7*(((Inputs!$I$7+(((A229)+1)/2)*(Inputs!$J$7-Inputs!$I$7)))/Inputs!$K$7)^2),NA())</x:f>
        <x:v>325.4173599999999</x:v>
      </x:c>
      <x:c r="D229" s="48" t="n">
        <x:f>IF(OR(Inputs!$F$8=TRUE,Inputs!$F$8="TRUE",Inputs!$F$8=1),(Inputs!$H$8+Inputs!$L$8*(((Inputs!$I$8+(((A229)+1)/2)*(Inputs!$J$8-Inputs!$I$8)))/Inputs!$K$8)^2),NA())</x:f>
        <x:v>802.8157599999998</x:v>
      </x:c>
      <x:c r="E229" s="48" t="n">
        <x:f>IF(OR(Inputs!$F$9=TRUE,Inputs!$F$9="TRUE",Inputs!$F$9=1),(Inputs!$H$9+Inputs!$L$9*(((Inputs!$I$9+(((A229)+1)/2)*(Inputs!$J$9-Inputs!$I$9)))/Inputs!$K$9)^2),NA())</x:f>
        <x:v>800.7723999999998</x:v>
      </x:c>
      <x:c r="F229" s="49"/>
      <x:c r="G229" s="48" t="n">
        <x:f>A229</x:f>
        <x:v>0.892</x:v>
      </x:c>
      <x:c r="H229" s="48" t="n">
        <x:f>IF(OR(Inputs!$F$6=TRUE,Inputs!$F$6="TRUE",Inputs!$F$6=1),(((SQRT(((Inputs!$I$6+(((A229)+1)/2)*(Inputs!$J$6-Inputs!$I$6)))^2+Inputs!$C$6^2+((Inputs!$H$6+Inputs!$L$6*(((Inputs!$I$6+(((A229)+1)/2)*(Inputs!$J$6-Inputs!$I$6)))/Inputs!$K$6)^2))^2))-((Inputs!$H$6+Inputs!$L$6*(((Inputs!$I$6+(((A229)+1)/2)*(Inputs!$J$6-Inputs!$I$6)))/Inputs!$K$6)^2)))*1000/Inputs!$C$12),NA())</x:f>
        <x:v>2418.163431359855</x:v>
      </x:c>
      <x:c r="I229" s="48" t="n">
        <x:f>IF(OR(Inputs!$F$7=TRUE,Inputs!$F$7="TRUE",Inputs!$F$7=1),(((SQRT(((Inputs!$I$7+(((A229)+1)/2)*(Inputs!$J$7-Inputs!$I$7)))^2+Inputs!$C$6^2+((Inputs!$H$7+Inputs!$L$7*(((Inputs!$I$7+(((A229)+1)/2)*(Inputs!$J$7-Inputs!$I$7)))/Inputs!$K$7)^2))^2))-((Inputs!$H$7+Inputs!$L$7*(((Inputs!$I$7+(((A229)+1)/2)*(Inputs!$J$7-Inputs!$I$7)))/Inputs!$K$7)^2)))*1000/Inputs!$C$12),NA())</x:f>
        <x:v>88842.68372113182</x:v>
      </x:c>
      <x:c r="J229" s="48" t="n">
        <x:f>IF(OR(Inputs!$F$8=TRUE,Inputs!$F$8="TRUE",Inputs!$F$8=1),(((SQRT(((Inputs!$I$8+(((A229)+1)/2)*(Inputs!$J$8-Inputs!$I$8)))^2+Inputs!$C$6^2+((Inputs!$H$8+Inputs!$L$8*(((Inputs!$I$8+(((A229)+1)/2)*(Inputs!$J$8-Inputs!$I$8)))/Inputs!$K$8)^2))^2))-((Inputs!$H$8+Inputs!$L$8*(((Inputs!$I$8+(((A229)+1)/2)*(Inputs!$J$8-Inputs!$I$8)))/Inputs!$K$8)^2)))*1000/Inputs!$C$12),NA())</x:f>
        <x:v>152582.66940985864</x:v>
      </x:c>
      <x:c r="K229" s="48" t="n">
        <x:f>IF(OR(Inputs!$F$9=TRUE,Inputs!$F$9="TRUE",Inputs!$F$9=1),(((SQRT(((Inputs!$I$9+(((A229)+1)/2)*(Inputs!$J$9-Inputs!$I$9)))^2+Inputs!$C$6^2+((Inputs!$H$9+Inputs!$L$9*(((Inputs!$I$9+(((A229)+1)/2)*(Inputs!$J$9-Inputs!$I$9)))/Inputs!$K$9)^2))^2))-((Inputs!$H$9+Inputs!$L$9*(((Inputs!$I$9+(((A229)+1)/2)*(Inputs!$J$9-Inputs!$I$9)))/Inputs!$K$9)^2)))*1000/Inputs!$C$12),NA())</x:f>
        <x:v>152873.3398484537</x:v>
      </x:c>
      <x:c r="L229" s="49"/>
      <x:c r="M229" s="48" t="n">
        <x:f>A229</x:f>
        <x:v>0.892</x:v>
      </x:c>
      <x:c r="N229" s="48" t="n">
        <x:f>IF(OR(Inputs!$F$6=TRUE,Inputs!$F$6="TRUE",Inputs!$F$6=1),(-2*((1000*((((Inputs!$I$6+(((A229)+1)/2)*(Inputs!$J$6-Inputs!$I$6)))*Inputs!$C$11+((Inputs!$H$6+Inputs!$L$6*(((Inputs!$I$6+(((A229)+1)/2)*(Inputs!$J$6-Inputs!$I$6)))/Inputs!$K$6)^2))*((2*Inputs!$L$6*((Inputs!$I$6+(((A229)+1)/2)*(Inputs!$J$6-Inputs!$I$6)))/(Inputs!$K$6^2)*Inputs!$C$11)))/(SQRT(((Inputs!$I$6+(((A229)+1)/2)*(Inputs!$J$6-Inputs!$I$6)))^2+Inputs!$C$6^2+((Inputs!$H$6+Inputs!$L$6*(((Inputs!$I$6+(((A229)+1)/2)*(Inputs!$J$6-Inputs!$I$6)))/Inputs!$K$6)^2))^2)))))/Inputs!$C$13),NA())</x:f>
        <x:v>-398.42983154982</x:v>
      </x:c>
      <x:c r="O229" s="48" t="n">
        <x:f>IF(OR(Inputs!$F$7=TRUE,Inputs!$F$7="TRUE",Inputs!$F$7=1),(-2*((1000*((((Inputs!$I$7+(((A229)+1)/2)*(Inputs!$J$7-Inputs!$I$7)))*Inputs!$C$11+((Inputs!$H$7+Inputs!$L$7*(((Inputs!$I$7+(((A229)+1)/2)*(Inputs!$J$7-Inputs!$I$7)))/Inputs!$K$7)^2))*((2*Inputs!$L$7*((Inputs!$I$7+(((A229)+1)/2)*(Inputs!$J$7-Inputs!$I$7)))/(Inputs!$K$7^2)*Inputs!$C$11)))/(SQRT(((Inputs!$I$7+(((A229)+1)/2)*(Inputs!$J$7-Inputs!$I$7)))^2+Inputs!$C$6^2+((Inputs!$H$7+Inputs!$L$7*(((Inputs!$I$7+(((A229)+1)/2)*(Inputs!$J$7-Inputs!$I$7)))/Inputs!$K$7)^2))^2)))))/Inputs!$C$13),NA())</x:f>
        <x:v>-2933.416502955736</x:v>
      </x:c>
      <x:c r="P229" s="48" t="n">
        <x:f>IF(OR(Inputs!$F$8=TRUE,Inputs!$F$8="TRUE",Inputs!$F$8=1),(-2*((1000*((((Inputs!$I$8+(((A229)+1)/2)*(Inputs!$J$8-Inputs!$I$8)))*Inputs!$C$11+((Inputs!$H$8+Inputs!$L$8*(((Inputs!$I$8+(((A229)+1)/2)*(Inputs!$J$8-Inputs!$I$8)))/Inputs!$K$8)^2))*((2*Inputs!$L$8*((Inputs!$I$8+(((A229)+1)/2)*(Inputs!$J$8-Inputs!$I$8)))/(Inputs!$K$8^2)*Inputs!$C$11)))/(SQRT(((Inputs!$I$8+(((A229)+1)/2)*(Inputs!$J$8-Inputs!$I$8)))^2+Inputs!$C$6^2+((Inputs!$H$8+Inputs!$L$8*(((Inputs!$I$8+(((A229)+1)/2)*(Inputs!$J$8-Inputs!$I$8)))/Inputs!$K$8)^2))^2)))))/Inputs!$C$13),NA())</x:f>
        <x:v>-3635.4282023081128</x:v>
      </x:c>
      <x:c r="Q229" s="48" t="n">
        <x:f>IF(OR(Inputs!$F$9=TRUE,Inputs!$F$9="TRUE",Inputs!$F$9=1),(-2*((1000*((((Inputs!$I$9+(((A229)+1)/2)*(Inputs!$J$9-Inputs!$I$9)))*Inputs!$C$11+((Inputs!$H$9+Inputs!$L$9*(((Inputs!$I$9+(((A229)+1)/2)*(Inputs!$J$9-Inputs!$I$9)))/Inputs!$K$9)^2))*((2*Inputs!$L$9*((Inputs!$I$9+(((A229)+1)/2)*(Inputs!$J$9-Inputs!$I$9)))/(Inputs!$K$9^2)*Inputs!$C$11)))/(SQRT(((Inputs!$I$9+(((A229)+1)/2)*(Inputs!$J$9-Inputs!$I$9)))^2+Inputs!$C$6^2+((Inputs!$H$9+Inputs!$L$9*(((Inputs!$I$9+(((A229)+1)/2)*(Inputs!$J$9-Inputs!$I$9)))/Inputs!$K$9)^2))^2)))))/Inputs!$C$13),NA())</x:f>
        <x:v>-3660.671838425008</x:v>
      </x:c>
      <x:c r="R229" s="49"/>
      <x:c r="S229" s="48" t="n">
        <x:f>A229</x:f>
        <x:v>0.892</x:v>
      </x:c>
      <x:c r="T229" s="48" t="n">
        <x:f>(Inputs!$I$6+(((A229)+1)/2)*(Inputs!$J$6-Inputs!$I$6))</x:f>
        <x:v>53.519999999999996</x:v>
      </x:c>
      <x:c r="U229" s="48" t="n">
        <x:f>(Inputs!$I$7+(((A229)+1)/2)*(Inputs!$J$7-Inputs!$I$7))</x:f>
        <x:v>356.79999999999995</x:v>
      </x:c>
      <x:c r="V229" s="48" t="n">
        <x:f>(Inputs!$I$8+(((A229)+1)/2)*(Inputs!$J$8-Inputs!$I$8))</x:f>
        <x:v>713.5999999999999</x:v>
      </x:c>
      <x:c r="W229" s="48" t="n">
        <x:f>(Inputs!$I$9+(((A229)+1)/2)*(Inputs!$J$9-Inputs!$I$9))</x:f>
        <x:v>713.5999999999999</x:v>
      </x:c>
      <x:c r="X229" s="49"/>
      <x:c r="Y229" s="48" t="n">
        <x:f>A229</x:f>
        <x:v>0.892</x:v>
      </x:c>
      <x:c r="Z229" s="48" t="n">
        <x:f>(Inputs!$H$6+Inputs!$L$6*(((Inputs!$I$6+(((A229)+1)/2)*(Inputs!$J$6-Inputs!$I$6)))/Inputs!$K$6)^2)</x:f>
        <x:v>403.182656</x:v>
      </x:c>
      <x:c r="AA229" s="48" t="n">
        <x:f>(Inputs!$H$7+Inputs!$L$7*(((Inputs!$I$7+(((A229)+1)/2)*(Inputs!$J$7-Inputs!$I$7)))/Inputs!$K$7)^2)</x:f>
        <x:v>325.4173599999999</x:v>
      </x:c>
      <x:c r="AB229" s="48" t="n">
        <x:f>(Inputs!$H$8+Inputs!$L$8*(((Inputs!$I$8+(((A229)+1)/2)*(Inputs!$J$8-Inputs!$I$8)))/Inputs!$K$8)^2)</x:f>
        <x:v>802.8157599999998</x:v>
      </x:c>
      <x:c r="AC229" s="48" t="n">
        <x:f>(Inputs!$H$9+Inputs!$L$9*(((Inputs!$I$9+(((A229)+1)/2)*(Inputs!$J$9-Inputs!$I$9)))/Inputs!$K$9)^2)</x:f>
        <x:v>800.7723999999998</x:v>
      </x:c>
      <x:c r="AD229" s="49"/>
      <x:c r="AE229" s="48" t="n">
        <x:f>A229</x:f>
        <x:v>0.892</x:v>
      </x:c>
      <x:c r="AF229" s="48" t="n">
        <x:f>(((SQRT(((Inputs!$I$6+(((A229)+1)/2)*(Inputs!$J$6-Inputs!$I$6)))^2+Inputs!$C$6^2+((Inputs!$H$6+Inputs!$L$6*(((Inputs!$I$6+(((A229)+1)/2)*(Inputs!$J$6-Inputs!$I$6)))/Inputs!$K$6)^2))^2))-((Inputs!$H$6+Inputs!$L$6*(((Inputs!$I$6+(((A229)+1)/2)*(Inputs!$J$6-Inputs!$I$6)))/Inputs!$K$6)^2)))*1000/Inputs!$C$12)</x:f>
        <x:v>2418.163431359855</x:v>
      </x:c>
      <x:c r="AG229" s="48" t="n">
        <x:f>(((SQRT(((Inputs!$I$7+(((A229)+1)/2)*(Inputs!$J$7-Inputs!$I$7)))^2+Inputs!$C$6^2+((Inputs!$H$7+Inputs!$L$7*(((Inputs!$I$7+(((A229)+1)/2)*(Inputs!$J$7-Inputs!$I$7)))/Inputs!$K$7)^2))^2))-((Inputs!$H$7+Inputs!$L$7*(((Inputs!$I$7+(((A229)+1)/2)*(Inputs!$J$7-Inputs!$I$7)))/Inputs!$K$7)^2)))*1000/Inputs!$C$12)</x:f>
        <x:v>88842.68372113182</x:v>
      </x:c>
      <x:c r="AH229" s="48" t="n">
        <x:f>(((SQRT(((Inputs!$I$8+(((A229)+1)/2)*(Inputs!$J$8-Inputs!$I$8)))^2+Inputs!$C$6^2+((Inputs!$H$8+Inputs!$L$8*(((Inputs!$I$8+(((A229)+1)/2)*(Inputs!$J$8-Inputs!$I$8)))/Inputs!$K$8)^2))^2))-((Inputs!$H$8+Inputs!$L$8*(((Inputs!$I$8+(((A229)+1)/2)*(Inputs!$J$8-Inputs!$I$8)))/Inputs!$K$8)^2)))*1000/Inputs!$C$12)</x:f>
        <x:v>152582.66940985864</x:v>
      </x:c>
      <x:c r="AI229" s="48" t="n">
        <x:f>(((SQRT(((Inputs!$I$9+(((A229)+1)/2)*(Inputs!$J$9-Inputs!$I$9)))^2+Inputs!$C$6^2+((Inputs!$H$9+Inputs!$L$9*(((Inputs!$I$9+(((A229)+1)/2)*(Inputs!$J$9-Inputs!$I$9)))/Inputs!$K$9)^2))^2))-((Inputs!$H$9+Inputs!$L$9*(((Inputs!$I$9+(((A229)+1)/2)*(Inputs!$J$9-Inputs!$I$9)))/Inputs!$K$9)^2)))*1000/Inputs!$C$12)</x:f>
        <x:v>152873.3398484537</x:v>
      </x:c>
      <x:c r="AJ229" s="49"/>
      <x:c r="AK229" s="48" t="n">
        <x:f>A229</x:f>
        <x:v>0.892</x:v>
      </x:c>
      <x:c r="AL229" s="48" t="n">
        <x:f>(-2*((1000*((((Inputs!$I$6+(((A229)+1)/2)*(Inputs!$J$6-Inputs!$I$6)))*Inputs!$C$11+((Inputs!$H$6+Inputs!$L$6*(((Inputs!$I$6+(((A229)+1)/2)*(Inputs!$J$6-Inputs!$I$6)))/Inputs!$K$6)^2))*((2*Inputs!$L$6*((Inputs!$I$6+(((A229)+1)/2)*(Inputs!$J$6-Inputs!$I$6)))/(Inputs!$K$6^2)*Inputs!$C$11)))/(SQRT(((Inputs!$I$6+(((A229)+1)/2)*(Inputs!$J$6-Inputs!$I$6)))^2+Inputs!$C$6^2+((Inputs!$H$6+Inputs!$L$6*(((Inputs!$I$6+(((A229)+1)/2)*(Inputs!$J$6-Inputs!$I$6)))/Inputs!$K$6)^2))^2)))))/Inputs!$C$13)</x:f>
        <x:v>-398.42983154982</x:v>
      </x:c>
      <x:c r="AM229" s="48" t="n">
        <x:f>(-2*((1000*((((Inputs!$I$7+(((A229)+1)/2)*(Inputs!$J$7-Inputs!$I$7)))*Inputs!$C$11+((Inputs!$H$7+Inputs!$L$7*(((Inputs!$I$7+(((A229)+1)/2)*(Inputs!$J$7-Inputs!$I$7)))/Inputs!$K$7)^2))*((2*Inputs!$L$7*((Inputs!$I$7+(((A229)+1)/2)*(Inputs!$J$7-Inputs!$I$7)))/(Inputs!$K$7^2)*Inputs!$C$11)))/(SQRT(((Inputs!$I$7+(((A229)+1)/2)*(Inputs!$J$7-Inputs!$I$7)))^2+Inputs!$C$6^2+((Inputs!$H$7+Inputs!$L$7*(((Inputs!$I$7+(((A229)+1)/2)*(Inputs!$J$7-Inputs!$I$7)))/Inputs!$K$7)^2))^2)))))/Inputs!$C$13)</x:f>
        <x:v>-2933.416502955736</x:v>
      </x:c>
      <x:c r="AN229" s="48" t="n">
        <x:f>(-2*((1000*((((Inputs!$I$8+(((A229)+1)/2)*(Inputs!$J$8-Inputs!$I$8)))*Inputs!$C$11+((Inputs!$H$8+Inputs!$L$8*(((Inputs!$I$8+(((A229)+1)/2)*(Inputs!$J$8-Inputs!$I$8)))/Inputs!$K$8)^2))*((2*Inputs!$L$8*((Inputs!$I$8+(((A229)+1)/2)*(Inputs!$J$8-Inputs!$I$8)))/(Inputs!$K$8^2)*Inputs!$C$11)))/(SQRT(((Inputs!$I$8+(((A229)+1)/2)*(Inputs!$J$8-Inputs!$I$8)))^2+Inputs!$C$6^2+((Inputs!$H$8+Inputs!$L$8*(((Inputs!$I$8+(((A229)+1)/2)*(Inputs!$J$8-Inputs!$I$8)))/Inputs!$K$8)^2))^2)))))/Inputs!$C$13)</x:f>
        <x:v>-3635.4282023081128</x:v>
      </x:c>
      <x:c r="AO229" s="48" t="n">
        <x:f>(-2*((1000*((((Inputs!$I$9+(((A229)+1)/2)*(Inputs!$J$9-Inputs!$I$9)))*Inputs!$C$11+((Inputs!$H$9+Inputs!$L$9*(((Inputs!$I$9+(((A229)+1)/2)*(Inputs!$J$9-Inputs!$I$9)))/Inputs!$K$9)^2))*((2*Inputs!$L$9*((Inputs!$I$9+(((A229)+1)/2)*(Inputs!$J$9-Inputs!$I$9)))/(Inputs!$K$9^2)*Inputs!$C$11)))/(SQRT(((Inputs!$I$9+(((A229)+1)/2)*(Inputs!$J$9-Inputs!$I$9)))^2+Inputs!$C$6^2+((Inputs!$H$9+Inputs!$L$9*(((Inputs!$I$9+(((A229)+1)/2)*(Inputs!$J$9-Inputs!$I$9)))/Inputs!$K$9)^2))^2)))))/Inputs!$C$13)</x:f>
        <x:v>-3660.671838425008</x:v>
      </x:c>
    </x:row>
    <x:row r="230">
      <x:c r="A230" s="48" t="n">
        <x:f>ROUND(-1+228*2/240,3)</x:f>
        <x:v>0.9</x:v>
      </x:c>
      <x:c r="B230" s="48" t="n">
        <x:f>IF(OR(Inputs!$F$6=TRUE,Inputs!$F$6="TRUE",Inputs!$F$6=1),(Inputs!$H$6+Inputs!$L$6*(((Inputs!$I$6+(((A230)+1)/2)*(Inputs!$J$6-Inputs!$I$6)))/Inputs!$K$6)^2),NA())</x:f>
        <x:v>403.24</x:v>
      </x:c>
      <x:c r="C230" s="48" t="n">
        <x:f>IF(OR(Inputs!$F$7=TRUE,Inputs!$F$7="TRUE",Inputs!$F$7=1),(Inputs!$H$7+Inputs!$L$7*(((Inputs!$I$7+(((A230)+1)/2)*(Inputs!$J$7-Inputs!$I$7)))/Inputs!$K$7)^2),NA())</x:f>
        <x:v>330.65000000000003</x:v>
      </x:c>
      <x:c r="D230" s="48" t="n">
        <x:f>IF(OR(Inputs!$F$8=TRUE,Inputs!$F$8="TRUE",Inputs!$F$8=1),(Inputs!$H$8+Inputs!$L$8*(((Inputs!$I$8+(((A230)+1)/2)*(Inputs!$J$8-Inputs!$I$8)))/Inputs!$K$8)^2),NA())</x:f>
        <x:v>816.6500000000001</x:v>
      </x:c>
      <x:c r="E230" s="48" t="n">
        <x:f>IF(OR(Inputs!$F$9=TRUE,Inputs!$F$9="TRUE",Inputs!$F$9=1),(Inputs!$H$9+Inputs!$L$9*(((Inputs!$I$9+(((A230)+1)/2)*(Inputs!$J$9-Inputs!$I$9)))/Inputs!$K$9)^2),NA())</x:f>
        <x:v>814.75</x:v>
      </x:c>
      <x:c r="F230" s="49"/>
      <x:c r="G230" s="48" t="n">
        <x:f>A230</x:f>
        <x:v>0.9</x:v>
      </x:c>
      <x:c r="H230" s="48" t="n">
        <x:f>IF(OR(Inputs!$F$6=TRUE,Inputs!$F$6="TRUE",Inputs!$F$6=1),(((SQRT(((Inputs!$I$6+(((A230)+1)/2)*(Inputs!$J$6-Inputs!$I$6)))^2+Inputs!$C$6^2+((Inputs!$H$6+Inputs!$L$6*(((Inputs!$I$6+(((A230)+1)/2)*(Inputs!$J$6-Inputs!$I$6)))/Inputs!$K$6)^2))^2))-((Inputs!$H$6+Inputs!$L$6*(((Inputs!$I$6+(((A230)+1)/2)*(Inputs!$J$6-Inputs!$I$6)))/Inputs!$K$6)^2)))*1000/Inputs!$C$12),NA())</x:f>
        <x:v>2453.3922539609484</x:v>
      </x:c>
      <x:c r="I230" s="48" t="n">
        <x:f>IF(OR(Inputs!$F$7=TRUE,Inputs!$F$7="TRUE",Inputs!$F$7=1),(((SQRT(((Inputs!$I$7+(((A230)+1)/2)*(Inputs!$J$7-Inputs!$I$7)))^2+Inputs!$C$6^2+((Inputs!$H$7+Inputs!$L$7*(((Inputs!$I$7+(((A230)+1)/2)*(Inputs!$J$7-Inputs!$I$7)))/Inputs!$K$7)^2))^2))-((Inputs!$H$7+Inputs!$L$7*(((Inputs!$I$7+(((A230)+1)/2)*(Inputs!$J$7-Inputs!$I$7)))/Inputs!$K$7)^2)))*1000/Inputs!$C$12),NA())</x:f>
        <x:v>89209.53463621881</x:v>
      </x:c>
      <x:c r="J230" s="48" t="n">
        <x:f>IF(OR(Inputs!$F$8=TRUE,Inputs!$F$8="TRUE",Inputs!$F$8=1),(((SQRT(((Inputs!$I$8+(((A230)+1)/2)*(Inputs!$J$8-Inputs!$I$8)))^2+Inputs!$C$6^2+((Inputs!$H$8+Inputs!$L$8*(((Inputs!$I$8+(((A230)+1)/2)*(Inputs!$J$8-Inputs!$I$8)))/Inputs!$K$8)^2))^2))-((Inputs!$H$8+Inputs!$L$8*(((Inputs!$I$8+(((A230)+1)/2)*(Inputs!$J$8-Inputs!$I$8)))/Inputs!$K$8)^2)))*1000/Inputs!$C$12),NA())</x:f>
        <x:v>153011.09212788116</x:v>
      </x:c>
      <x:c r="K230" s="48" t="n">
        <x:f>IF(OR(Inputs!$F$9=TRUE,Inputs!$F$9="TRUE",Inputs!$F$9=1),(((SQRT(((Inputs!$I$9+(((A230)+1)/2)*(Inputs!$J$9-Inputs!$I$9)))^2+Inputs!$C$6^2+((Inputs!$H$9+Inputs!$L$9*(((Inputs!$I$9+(((A230)+1)/2)*(Inputs!$J$9-Inputs!$I$9)))/Inputs!$K$9)^2))^2))-((Inputs!$H$9+Inputs!$L$9*(((Inputs!$I$9+(((A230)+1)/2)*(Inputs!$J$9-Inputs!$I$9)))/Inputs!$K$9)^2)))*1000/Inputs!$C$12),NA())</x:f>
        <x:v>153278.45929556628</x:v>
      </x:c>
      <x:c r="L230" s="49"/>
      <x:c r="M230" s="48" t="n">
        <x:f>A230</x:f>
        <x:v>0.9</x:v>
      </x:c>
      <x:c r="N230" s="48" t="n">
        <x:f>IF(OR(Inputs!$F$6=TRUE,Inputs!$F$6="TRUE",Inputs!$F$6=1),(-2*((1000*((((Inputs!$I$6+(((A230)+1)/2)*(Inputs!$J$6-Inputs!$I$6)))*Inputs!$C$11+((Inputs!$H$6+Inputs!$L$6*(((Inputs!$I$6+(((A230)+1)/2)*(Inputs!$J$6-Inputs!$I$6)))/Inputs!$K$6)^2))*((2*Inputs!$L$6*((Inputs!$I$6+(((A230)+1)/2)*(Inputs!$J$6-Inputs!$I$6)))/(Inputs!$K$6^2)*Inputs!$C$11)))/(SQRT(((Inputs!$I$6+(((A230)+1)/2)*(Inputs!$J$6-Inputs!$I$6)))^2+Inputs!$C$6^2+((Inputs!$H$6+Inputs!$L$6*(((Inputs!$I$6+(((A230)+1)/2)*(Inputs!$J$6-Inputs!$I$6)))/Inputs!$K$6)^2))^2)))))/Inputs!$C$13),NA())</x:f>
        <x:v>-401.9118038751196</x:v>
      </x:c>
      <x:c r="O230" s="48" t="n">
        <x:f>IF(OR(Inputs!$F$7=TRUE,Inputs!$F$7="TRUE",Inputs!$F$7=1),(-2*((1000*((((Inputs!$I$7+(((A230)+1)/2)*(Inputs!$J$7-Inputs!$I$7)))*Inputs!$C$11+((Inputs!$H$7+Inputs!$L$7*(((Inputs!$I$7+(((A230)+1)/2)*(Inputs!$J$7-Inputs!$I$7)))/Inputs!$K$7)^2))*((2*Inputs!$L$7*((Inputs!$I$7+(((A230)+1)/2)*(Inputs!$J$7-Inputs!$I$7)))/(Inputs!$K$7^2)*Inputs!$C$11)))/(SQRT(((Inputs!$I$7+(((A230)+1)/2)*(Inputs!$J$7-Inputs!$I$7)))^2+Inputs!$C$6^2+((Inputs!$H$7+Inputs!$L$7*(((Inputs!$I$7+(((A230)+1)/2)*(Inputs!$J$7-Inputs!$I$7)))/Inputs!$K$7)^2))^2)))))/Inputs!$C$13),NA())</x:f>
        <x:v>-2952.22995055283</x:v>
      </x:c>
      <x:c r="P230" s="48" t="n">
        <x:f>IF(OR(Inputs!$F$8=TRUE,Inputs!$F$8="TRUE",Inputs!$F$8=1),(-2*((1000*((((Inputs!$I$8+(((A230)+1)/2)*(Inputs!$J$8-Inputs!$I$8)))*Inputs!$C$11+((Inputs!$H$8+Inputs!$L$8*(((Inputs!$I$8+(((A230)+1)/2)*(Inputs!$J$8-Inputs!$I$8)))/Inputs!$K$8)^2))*((2*Inputs!$L$8*((Inputs!$I$8+(((A230)+1)/2)*(Inputs!$J$8-Inputs!$I$8)))/(Inputs!$K$8^2)*Inputs!$C$11)))/(SQRT(((Inputs!$I$8+(((A230)+1)/2)*(Inputs!$J$8-Inputs!$I$8)))^2+Inputs!$C$6^2+((Inputs!$H$8+Inputs!$L$8*(((Inputs!$I$8+(((A230)+1)/2)*(Inputs!$J$8-Inputs!$I$8)))/Inputs!$K$8)^2))^2)))))/Inputs!$C$13),NA())</x:f>
        <x:v>-3662.9994561787107</x:v>
      </x:c>
      <x:c r="Q230" s="48" t="n">
        <x:f>IF(OR(Inputs!$F$9=TRUE,Inputs!$F$9="TRUE",Inputs!$F$9=1),(-2*((1000*((((Inputs!$I$9+(((A230)+1)/2)*(Inputs!$J$9-Inputs!$I$9)))*Inputs!$C$11+((Inputs!$H$9+Inputs!$L$9*(((Inputs!$I$9+(((A230)+1)/2)*(Inputs!$J$9-Inputs!$I$9)))/Inputs!$K$9)^2))*((2*Inputs!$L$9*((Inputs!$I$9+(((A230)+1)/2)*(Inputs!$J$9-Inputs!$I$9)))/(Inputs!$K$9^2)*Inputs!$C$11)))/(SQRT(((Inputs!$I$9+(((A230)+1)/2)*(Inputs!$J$9-Inputs!$I$9)))^2+Inputs!$C$6^2+((Inputs!$H$9+Inputs!$L$9*(((Inputs!$I$9+(((A230)+1)/2)*(Inputs!$J$9-Inputs!$I$9)))/Inputs!$K$9)^2))^2)))))/Inputs!$C$13),NA())</x:f>
        <x:v>-3688.6956647181805</x:v>
      </x:c>
      <x:c r="R230" s="49"/>
      <x:c r="S230" s="48" t="n">
        <x:f>A230</x:f>
        <x:v>0.9</x:v>
      </x:c>
      <x:c r="T230" s="48" t="n">
        <x:f>(Inputs!$I$6+(((A230)+1)/2)*(Inputs!$J$6-Inputs!$I$6))</x:f>
        <x:v>54</x:v>
      </x:c>
      <x:c r="U230" s="48" t="n">
        <x:f>(Inputs!$I$7+(((A230)+1)/2)*(Inputs!$J$7-Inputs!$I$7))</x:f>
        <x:v>360</x:v>
      </x:c>
      <x:c r="V230" s="48" t="n">
        <x:f>(Inputs!$I$8+(((A230)+1)/2)*(Inputs!$J$8-Inputs!$I$8))</x:f>
        <x:v>720</x:v>
      </x:c>
      <x:c r="W230" s="48" t="n">
        <x:f>(Inputs!$I$9+(((A230)+1)/2)*(Inputs!$J$9-Inputs!$I$9))</x:f>
        <x:v>720</x:v>
      </x:c>
      <x:c r="X230" s="49"/>
      <x:c r="Y230" s="48" t="n">
        <x:f>A230</x:f>
        <x:v>0.9</x:v>
      </x:c>
      <x:c r="Z230" s="48" t="n">
        <x:f>(Inputs!$H$6+Inputs!$L$6*(((Inputs!$I$6+(((A230)+1)/2)*(Inputs!$J$6-Inputs!$I$6)))/Inputs!$K$6)^2)</x:f>
        <x:v>403.24</x:v>
      </x:c>
      <x:c r="AA230" s="48" t="n">
        <x:f>(Inputs!$H$7+Inputs!$L$7*(((Inputs!$I$7+(((A230)+1)/2)*(Inputs!$J$7-Inputs!$I$7)))/Inputs!$K$7)^2)</x:f>
        <x:v>330.65000000000003</x:v>
      </x:c>
      <x:c r="AB230" s="48" t="n">
        <x:f>(Inputs!$H$8+Inputs!$L$8*(((Inputs!$I$8+(((A230)+1)/2)*(Inputs!$J$8-Inputs!$I$8)))/Inputs!$K$8)^2)</x:f>
        <x:v>816.6500000000001</x:v>
      </x:c>
      <x:c r="AC230" s="48" t="n">
        <x:f>(Inputs!$H$9+Inputs!$L$9*(((Inputs!$I$9+(((A230)+1)/2)*(Inputs!$J$9-Inputs!$I$9)))/Inputs!$K$9)^2)</x:f>
        <x:v>814.75</x:v>
      </x:c>
      <x:c r="AD230" s="49"/>
      <x:c r="AE230" s="48" t="n">
        <x:f>A230</x:f>
        <x:v>0.9</x:v>
      </x:c>
      <x:c r="AF230" s="48" t="n">
        <x:f>(((SQRT(((Inputs!$I$6+(((A230)+1)/2)*(Inputs!$J$6-Inputs!$I$6)))^2+Inputs!$C$6^2+((Inputs!$H$6+Inputs!$L$6*(((Inputs!$I$6+(((A230)+1)/2)*(Inputs!$J$6-Inputs!$I$6)))/Inputs!$K$6)^2))^2))-((Inputs!$H$6+Inputs!$L$6*(((Inputs!$I$6+(((A230)+1)/2)*(Inputs!$J$6-Inputs!$I$6)))/Inputs!$K$6)^2)))*1000/Inputs!$C$12)</x:f>
        <x:v>2453.3922539609484</x:v>
      </x:c>
      <x:c r="AG230" s="48" t="n">
        <x:f>(((SQRT(((Inputs!$I$7+(((A230)+1)/2)*(Inputs!$J$7-Inputs!$I$7)))^2+Inputs!$C$6^2+((Inputs!$H$7+Inputs!$L$7*(((Inputs!$I$7+(((A230)+1)/2)*(Inputs!$J$7-Inputs!$I$7)))/Inputs!$K$7)^2))^2))-((Inputs!$H$7+Inputs!$L$7*(((Inputs!$I$7+(((A230)+1)/2)*(Inputs!$J$7-Inputs!$I$7)))/Inputs!$K$7)^2)))*1000/Inputs!$C$12)</x:f>
        <x:v>89209.53463621881</x:v>
      </x:c>
      <x:c r="AH230" s="48" t="n">
        <x:f>(((SQRT(((Inputs!$I$8+(((A230)+1)/2)*(Inputs!$J$8-Inputs!$I$8)))^2+Inputs!$C$6^2+((Inputs!$H$8+Inputs!$L$8*(((Inputs!$I$8+(((A230)+1)/2)*(Inputs!$J$8-Inputs!$I$8)))/Inputs!$K$8)^2))^2))-((Inputs!$H$8+Inputs!$L$8*(((Inputs!$I$8+(((A230)+1)/2)*(Inputs!$J$8-Inputs!$I$8)))/Inputs!$K$8)^2)))*1000/Inputs!$C$12)</x:f>
        <x:v>153011.09212788116</x:v>
      </x:c>
      <x:c r="AI230" s="48" t="n">
        <x:f>(((SQRT(((Inputs!$I$9+(((A230)+1)/2)*(Inputs!$J$9-Inputs!$I$9)))^2+Inputs!$C$6^2+((Inputs!$H$9+Inputs!$L$9*(((Inputs!$I$9+(((A230)+1)/2)*(Inputs!$J$9-Inputs!$I$9)))/Inputs!$K$9)^2))^2))-((Inputs!$H$9+Inputs!$L$9*(((Inputs!$I$9+(((A230)+1)/2)*(Inputs!$J$9-Inputs!$I$9)))/Inputs!$K$9)^2)))*1000/Inputs!$C$12)</x:f>
        <x:v>153278.45929556628</x:v>
      </x:c>
      <x:c r="AJ230" s="49"/>
      <x:c r="AK230" s="48" t="n">
        <x:f>A230</x:f>
        <x:v>0.9</x:v>
      </x:c>
      <x:c r="AL230" s="48" t="n">
        <x:f>(-2*((1000*((((Inputs!$I$6+(((A230)+1)/2)*(Inputs!$J$6-Inputs!$I$6)))*Inputs!$C$11+((Inputs!$H$6+Inputs!$L$6*(((Inputs!$I$6+(((A230)+1)/2)*(Inputs!$J$6-Inputs!$I$6)))/Inputs!$K$6)^2))*((2*Inputs!$L$6*((Inputs!$I$6+(((A230)+1)/2)*(Inputs!$J$6-Inputs!$I$6)))/(Inputs!$K$6^2)*Inputs!$C$11)))/(SQRT(((Inputs!$I$6+(((A230)+1)/2)*(Inputs!$J$6-Inputs!$I$6)))^2+Inputs!$C$6^2+((Inputs!$H$6+Inputs!$L$6*(((Inputs!$I$6+(((A230)+1)/2)*(Inputs!$J$6-Inputs!$I$6)))/Inputs!$K$6)^2))^2)))))/Inputs!$C$13)</x:f>
        <x:v>-401.9118038751196</x:v>
      </x:c>
      <x:c r="AM230" s="48" t="n">
        <x:f>(-2*((1000*((((Inputs!$I$7+(((A230)+1)/2)*(Inputs!$J$7-Inputs!$I$7)))*Inputs!$C$11+((Inputs!$H$7+Inputs!$L$7*(((Inputs!$I$7+(((A230)+1)/2)*(Inputs!$J$7-Inputs!$I$7)))/Inputs!$K$7)^2))*((2*Inputs!$L$7*((Inputs!$I$7+(((A230)+1)/2)*(Inputs!$J$7-Inputs!$I$7)))/(Inputs!$K$7^2)*Inputs!$C$11)))/(SQRT(((Inputs!$I$7+(((A230)+1)/2)*(Inputs!$J$7-Inputs!$I$7)))^2+Inputs!$C$6^2+((Inputs!$H$7+Inputs!$L$7*(((Inputs!$I$7+(((A230)+1)/2)*(Inputs!$J$7-Inputs!$I$7)))/Inputs!$K$7)^2))^2)))))/Inputs!$C$13)</x:f>
        <x:v>-2952.22995055283</x:v>
      </x:c>
      <x:c r="AN230" s="48" t="n">
        <x:f>(-2*((1000*((((Inputs!$I$8+(((A230)+1)/2)*(Inputs!$J$8-Inputs!$I$8)))*Inputs!$C$11+((Inputs!$H$8+Inputs!$L$8*(((Inputs!$I$8+(((A230)+1)/2)*(Inputs!$J$8-Inputs!$I$8)))/Inputs!$K$8)^2))*((2*Inputs!$L$8*((Inputs!$I$8+(((A230)+1)/2)*(Inputs!$J$8-Inputs!$I$8)))/(Inputs!$K$8^2)*Inputs!$C$11)))/(SQRT(((Inputs!$I$8+(((A230)+1)/2)*(Inputs!$J$8-Inputs!$I$8)))^2+Inputs!$C$6^2+((Inputs!$H$8+Inputs!$L$8*(((Inputs!$I$8+(((A230)+1)/2)*(Inputs!$J$8-Inputs!$I$8)))/Inputs!$K$8)^2))^2)))))/Inputs!$C$13)</x:f>
        <x:v>-3662.9994561787107</x:v>
      </x:c>
      <x:c r="AO230" s="48" t="n">
        <x:f>(-2*((1000*((((Inputs!$I$9+(((A230)+1)/2)*(Inputs!$J$9-Inputs!$I$9)))*Inputs!$C$11+((Inputs!$H$9+Inputs!$L$9*(((Inputs!$I$9+(((A230)+1)/2)*(Inputs!$J$9-Inputs!$I$9)))/Inputs!$K$9)^2))*((2*Inputs!$L$9*((Inputs!$I$9+(((A230)+1)/2)*(Inputs!$J$9-Inputs!$I$9)))/(Inputs!$K$9^2)*Inputs!$C$11)))/(SQRT(((Inputs!$I$9+(((A230)+1)/2)*(Inputs!$J$9-Inputs!$I$9)))^2+Inputs!$C$6^2+((Inputs!$H$9+Inputs!$L$9*(((Inputs!$I$9+(((A230)+1)/2)*(Inputs!$J$9-Inputs!$I$9)))/Inputs!$K$9)^2))^2)))))/Inputs!$C$13)</x:f>
        <x:v>-3688.6956647181805</x:v>
      </x:c>
    </x:row>
    <x:row r="231">
      <x:c r="A231" s="48" t="n">
        <x:f>ROUND(-1+229*2/240,3)</x:f>
        <x:v>0.908</x:v>
      </x:c>
      <x:c r="B231" s="48" t="n">
        <x:f>IF(OR(Inputs!$F$6=TRUE,Inputs!$F$6="TRUE",Inputs!$F$6=1),(Inputs!$H$6+Inputs!$L$6*(((Inputs!$I$6+(((A231)+1)/2)*(Inputs!$J$6-Inputs!$I$6)))/Inputs!$K$6)^2),NA())</x:f>
        <x:v>403.297856</x:v>
      </x:c>
      <x:c r="C231" s="48" t="n">
        <x:f>IF(OR(Inputs!$F$7=TRUE,Inputs!$F$7="TRUE",Inputs!$F$7=1),(Inputs!$H$7+Inputs!$L$7*(((Inputs!$I$7+(((A231)+1)/2)*(Inputs!$J$7-Inputs!$I$7)))/Inputs!$K$7)^2),NA())</x:f>
        <x:v>335.92935999999986</x:v>
      </x:c>
      <x:c r="D231" s="48" t="n">
        <x:f>IF(OR(Inputs!$F$8=TRUE,Inputs!$F$8="TRUE",Inputs!$F$8=1),(Inputs!$H$8+Inputs!$L$8*(((Inputs!$I$8+(((A231)+1)/2)*(Inputs!$J$8-Inputs!$I$8)))/Inputs!$K$8)^2),NA())</x:f>
        <x:v>830.6077599999996</x:v>
      </x:c>
      <x:c r="E231" s="48" t="n">
        <x:f>IF(OR(Inputs!$F$9=TRUE,Inputs!$F$9="TRUE",Inputs!$F$9=1),(Inputs!$H$9+Inputs!$L$9*(((Inputs!$I$9+(((A231)+1)/2)*(Inputs!$J$9-Inputs!$I$9)))/Inputs!$K$9)^2),NA())</x:f>
        <x:v>828.8523999999996</x:v>
      </x:c>
      <x:c r="F231" s="49"/>
      <x:c r="G231" s="48" t="n">
        <x:f>A231</x:f>
        <x:v>0.908</x:v>
      </x:c>
      <x:c r="H231" s="48" t="n">
        <x:f>IF(OR(Inputs!$F$6=TRUE,Inputs!$F$6="TRUE",Inputs!$F$6=1),(((SQRT(((Inputs!$I$6+(((A231)+1)/2)*(Inputs!$J$6-Inputs!$I$6)))^2+Inputs!$C$6^2+((Inputs!$H$6+Inputs!$L$6*(((Inputs!$I$6+(((A231)+1)/2)*(Inputs!$J$6-Inputs!$I$6)))/Inputs!$K$6)^2))^2))-((Inputs!$H$6+Inputs!$L$6*(((Inputs!$I$6+(((A231)+1)/2)*(Inputs!$J$6-Inputs!$I$6)))/Inputs!$K$6)^2)))*1000/Inputs!$C$12),NA())</x:f>
        <x:v>2488.9200862943194</x:v>
      </x:c>
      <x:c r="I231" s="48" t="n">
        <x:f>IF(OR(Inputs!$F$7=TRUE,Inputs!$F$7="TRUE",Inputs!$F$7=1),(((SQRT(((Inputs!$I$7+(((A231)+1)/2)*(Inputs!$J$7-Inputs!$I$7)))^2+Inputs!$C$6^2+((Inputs!$H$7+Inputs!$L$7*(((Inputs!$I$7+(((A231)+1)/2)*(Inputs!$J$7-Inputs!$I$7)))/Inputs!$K$7)^2))^2))-((Inputs!$H$7+Inputs!$L$7*(((Inputs!$I$7+(((A231)+1)/2)*(Inputs!$J$7-Inputs!$I$7)))/Inputs!$K$7)^2)))*1000/Inputs!$C$12),NA())</x:f>
        <x:v>89571.31672429814</x:v>
      </x:c>
      <x:c r="J231" s="48" t="n">
        <x:f>IF(OR(Inputs!$F$8=TRUE,Inputs!$F$8="TRUE",Inputs!$F$8=1),(((SQRT(((Inputs!$I$8+(((A231)+1)/2)*(Inputs!$J$8-Inputs!$I$8)))^2+Inputs!$C$6^2+((Inputs!$H$8+Inputs!$L$8*(((Inputs!$I$8+(((A231)+1)/2)*(Inputs!$J$8-Inputs!$I$8)))/Inputs!$K$8)^2))^2))-((Inputs!$H$8+Inputs!$L$8*(((Inputs!$I$8+(((A231)+1)/2)*(Inputs!$J$8-Inputs!$I$8)))/Inputs!$K$8)^2)))*1000/Inputs!$C$12),NA())</x:f>
        <x:v>153432.1560011362</x:v>
      </x:c>
      <x:c r="K231" s="48" t="n">
        <x:f>IF(OR(Inputs!$F$9=TRUE,Inputs!$F$9="TRUE",Inputs!$F$9=1),(((SQRT(((Inputs!$I$9+(((A231)+1)/2)*(Inputs!$J$9-Inputs!$I$9)))^2+Inputs!$C$6^2+((Inputs!$H$9+Inputs!$L$9*(((Inputs!$I$9+(((A231)+1)/2)*(Inputs!$J$9-Inputs!$I$9)))/Inputs!$K$9)^2))^2))-((Inputs!$H$9+Inputs!$L$9*(((Inputs!$I$9+(((A231)+1)/2)*(Inputs!$J$9-Inputs!$I$9)))/Inputs!$K$9)^2)))*1000/Inputs!$C$12),NA())</x:f>
        <x:v>153676.51616447463</x:v>
      </x:c>
      <x:c r="L231" s="49"/>
      <x:c r="M231" s="48" t="n">
        <x:f>A231</x:f>
        <x:v>0.908</x:v>
      </x:c>
      <x:c r="N231" s="48" t="n">
        <x:f>IF(OR(Inputs!$F$6=TRUE,Inputs!$F$6="TRUE",Inputs!$F$6=1),(-2*((1000*((((Inputs!$I$6+(((A231)+1)/2)*(Inputs!$J$6-Inputs!$I$6)))*Inputs!$C$11+((Inputs!$H$6+Inputs!$L$6*(((Inputs!$I$6+(((A231)+1)/2)*(Inputs!$J$6-Inputs!$I$6)))/Inputs!$K$6)^2))*((2*Inputs!$L$6*((Inputs!$I$6+(((A231)+1)/2)*(Inputs!$J$6-Inputs!$I$6)))/(Inputs!$K$6^2)*Inputs!$C$11)))/(SQRT(((Inputs!$I$6+(((A231)+1)/2)*(Inputs!$J$6-Inputs!$I$6)))^2+Inputs!$C$6^2+((Inputs!$H$6+Inputs!$L$6*(((Inputs!$I$6+(((A231)+1)/2)*(Inputs!$J$6-Inputs!$I$6)))/Inputs!$K$6)^2))^2)))))/Inputs!$C$13),NA())</x:f>
        <x:v>-405.39141078613955</x:v>
      </x:c>
      <x:c r="O231" s="48" t="n">
        <x:f>IF(OR(Inputs!$F$7=TRUE,Inputs!$F$7="TRUE",Inputs!$F$7=1),(-2*((1000*((((Inputs!$I$7+(((A231)+1)/2)*(Inputs!$J$7-Inputs!$I$7)))*Inputs!$C$11+((Inputs!$H$7+Inputs!$L$7*(((Inputs!$I$7+(((A231)+1)/2)*(Inputs!$J$7-Inputs!$I$7)))/Inputs!$K$7)^2))*((2*Inputs!$L$7*((Inputs!$I$7+(((A231)+1)/2)*(Inputs!$J$7-Inputs!$I$7)))/(Inputs!$K$7^2)*Inputs!$C$11)))/(SQRT(((Inputs!$I$7+(((A231)+1)/2)*(Inputs!$J$7-Inputs!$I$7)))^2+Inputs!$C$6^2+((Inputs!$H$7+Inputs!$L$7*(((Inputs!$I$7+(((A231)+1)/2)*(Inputs!$J$7-Inputs!$I$7)))/Inputs!$K$7)^2))^2)))))/Inputs!$C$13),NA())</x:f>
        <x:v>-2971.113813617775</x:v>
      </x:c>
      <x:c r="P231" s="48" t="n">
        <x:f>IF(OR(Inputs!$F$8=TRUE,Inputs!$F$8="TRUE",Inputs!$F$8=1),(-2*((1000*((((Inputs!$I$8+(((A231)+1)/2)*(Inputs!$J$8-Inputs!$I$8)))*Inputs!$C$11+((Inputs!$H$8+Inputs!$L$8*(((Inputs!$I$8+(((A231)+1)/2)*(Inputs!$J$8-Inputs!$I$8)))/Inputs!$K$8)^2))*((2*Inputs!$L$8*((Inputs!$I$8+(((A231)+1)/2)*(Inputs!$J$8-Inputs!$I$8)))/(Inputs!$K$8^2)*Inputs!$C$11)))/(SQRT(((Inputs!$I$8+(((A231)+1)/2)*(Inputs!$J$8-Inputs!$I$8)))^2+Inputs!$C$6^2+((Inputs!$H$8+Inputs!$L$8*(((Inputs!$I$8+(((A231)+1)/2)*(Inputs!$J$8-Inputs!$I$8)))/Inputs!$K$8)^2))^2)))))/Inputs!$C$13),NA())</x:f>
        <x:v>-3690.6385734963014</x:v>
      </x:c>
      <x:c r="Q231" s="48" t="n">
        <x:f>IF(OR(Inputs!$F$9=TRUE,Inputs!$F$9="TRUE",Inputs!$F$9=1),(-2*((1000*((((Inputs!$I$9+(((A231)+1)/2)*(Inputs!$J$9-Inputs!$I$9)))*Inputs!$C$11+((Inputs!$H$9+Inputs!$L$9*(((Inputs!$I$9+(((A231)+1)/2)*(Inputs!$J$9-Inputs!$I$9)))/Inputs!$K$9)^2))*((2*Inputs!$L$9*((Inputs!$I$9+(((A231)+1)/2)*(Inputs!$J$9-Inputs!$I$9)))/(Inputs!$K$9^2)*Inputs!$C$11)))/(SQRT(((Inputs!$I$9+(((A231)+1)/2)*(Inputs!$J$9-Inputs!$I$9)))^2+Inputs!$C$6^2+((Inputs!$H$9+Inputs!$L$9*(((Inputs!$I$9+(((A231)+1)/2)*(Inputs!$J$9-Inputs!$I$9)))/Inputs!$K$9)^2))^2)))))/Inputs!$C$13),NA())</x:f>
        <x:v>-3716.785885806768</x:v>
      </x:c>
      <x:c r="R231" s="49"/>
      <x:c r="S231" s="48" t="n">
        <x:f>A231</x:f>
        <x:v>0.908</x:v>
      </x:c>
      <x:c r="T231" s="48" t="n">
        <x:f>(Inputs!$I$6+(((A231)+1)/2)*(Inputs!$J$6-Inputs!$I$6))</x:f>
        <x:v>54.47999999999999</x:v>
      </x:c>
      <x:c r="U231" s="48" t="n">
        <x:f>(Inputs!$I$7+(((A231)+1)/2)*(Inputs!$J$7-Inputs!$I$7))</x:f>
        <x:v>363.19999999999993</x:v>
      </x:c>
      <x:c r="V231" s="48" t="n">
        <x:f>(Inputs!$I$8+(((A231)+1)/2)*(Inputs!$J$8-Inputs!$I$8))</x:f>
        <x:v>726.3999999999999</x:v>
      </x:c>
      <x:c r="W231" s="48" t="n">
        <x:f>(Inputs!$I$9+(((A231)+1)/2)*(Inputs!$J$9-Inputs!$I$9))</x:f>
        <x:v>726.3999999999999</x:v>
      </x:c>
      <x:c r="X231" s="49"/>
      <x:c r="Y231" s="48" t="n">
        <x:f>A231</x:f>
        <x:v>0.908</x:v>
      </x:c>
      <x:c r="Z231" s="48" t="n">
        <x:f>(Inputs!$H$6+Inputs!$L$6*(((Inputs!$I$6+(((A231)+1)/2)*(Inputs!$J$6-Inputs!$I$6)))/Inputs!$K$6)^2)</x:f>
        <x:v>403.297856</x:v>
      </x:c>
      <x:c r="AA231" s="48" t="n">
        <x:f>(Inputs!$H$7+Inputs!$L$7*(((Inputs!$I$7+(((A231)+1)/2)*(Inputs!$J$7-Inputs!$I$7)))/Inputs!$K$7)^2)</x:f>
        <x:v>335.92935999999986</x:v>
      </x:c>
      <x:c r="AB231" s="48" t="n">
        <x:f>(Inputs!$H$8+Inputs!$L$8*(((Inputs!$I$8+(((A231)+1)/2)*(Inputs!$J$8-Inputs!$I$8)))/Inputs!$K$8)^2)</x:f>
        <x:v>830.6077599999996</x:v>
      </x:c>
      <x:c r="AC231" s="48" t="n">
        <x:f>(Inputs!$H$9+Inputs!$L$9*(((Inputs!$I$9+(((A231)+1)/2)*(Inputs!$J$9-Inputs!$I$9)))/Inputs!$K$9)^2)</x:f>
        <x:v>828.8523999999996</x:v>
      </x:c>
      <x:c r="AD231" s="49"/>
      <x:c r="AE231" s="48" t="n">
        <x:f>A231</x:f>
        <x:v>0.908</x:v>
      </x:c>
      <x:c r="AF231" s="48" t="n">
        <x:f>(((SQRT(((Inputs!$I$6+(((A231)+1)/2)*(Inputs!$J$6-Inputs!$I$6)))^2+Inputs!$C$6^2+((Inputs!$H$6+Inputs!$L$6*(((Inputs!$I$6+(((A231)+1)/2)*(Inputs!$J$6-Inputs!$I$6)))/Inputs!$K$6)^2))^2))-((Inputs!$H$6+Inputs!$L$6*(((Inputs!$I$6+(((A231)+1)/2)*(Inputs!$J$6-Inputs!$I$6)))/Inputs!$K$6)^2)))*1000/Inputs!$C$12)</x:f>
        <x:v>2488.9200862943194</x:v>
      </x:c>
      <x:c r="AG231" s="48" t="n">
        <x:f>(((SQRT(((Inputs!$I$7+(((A231)+1)/2)*(Inputs!$J$7-Inputs!$I$7)))^2+Inputs!$C$6^2+((Inputs!$H$7+Inputs!$L$7*(((Inputs!$I$7+(((A231)+1)/2)*(Inputs!$J$7-Inputs!$I$7)))/Inputs!$K$7)^2))^2))-((Inputs!$H$7+Inputs!$L$7*(((Inputs!$I$7+(((A231)+1)/2)*(Inputs!$J$7-Inputs!$I$7)))/Inputs!$K$7)^2)))*1000/Inputs!$C$12)</x:f>
        <x:v>89571.31672429814</x:v>
      </x:c>
      <x:c r="AH231" s="48" t="n">
        <x:f>(((SQRT(((Inputs!$I$8+(((A231)+1)/2)*(Inputs!$J$8-Inputs!$I$8)))^2+Inputs!$C$6^2+((Inputs!$H$8+Inputs!$L$8*(((Inputs!$I$8+(((A231)+1)/2)*(Inputs!$J$8-Inputs!$I$8)))/Inputs!$K$8)^2))^2))-((Inputs!$H$8+Inputs!$L$8*(((Inputs!$I$8+(((A231)+1)/2)*(Inputs!$J$8-Inputs!$I$8)))/Inputs!$K$8)^2)))*1000/Inputs!$C$12)</x:f>
        <x:v>153432.1560011362</x:v>
      </x:c>
      <x:c r="AI231" s="48" t="n">
        <x:f>(((SQRT(((Inputs!$I$9+(((A231)+1)/2)*(Inputs!$J$9-Inputs!$I$9)))^2+Inputs!$C$6^2+((Inputs!$H$9+Inputs!$L$9*(((Inputs!$I$9+(((A231)+1)/2)*(Inputs!$J$9-Inputs!$I$9)))/Inputs!$K$9)^2))^2))-((Inputs!$H$9+Inputs!$L$9*(((Inputs!$I$9+(((A231)+1)/2)*(Inputs!$J$9-Inputs!$I$9)))/Inputs!$K$9)^2)))*1000/Inputs!$C$12)</x:f>
        <x:v>153676.51616447463</x:v>
      </x:c>
      <x:c r="AJ231" s="49"/>
      <x:c r="AK231" s="48" t="n">
        <x:f>A231</x:f>
        <x:v>0.908</x:v>
      </x:c>
      <x:c r="AL231" s="48" t="n">
        <x:f>(-2*((1000*((((Inputs!$I$6+(((A231)+1)/2)*(Inputs!$J$6-Inputs!$I$6)))*Inputs!$C$11+((Inputs!$H$6+Inputs!$L$6*(((Inputs!$I$6+(((A231)+1)/2)*(Inputs!$J$6-Inputs!$I$6)))/Inputs!$K$6)^2))*((2*Inputs!$L$6*((Inputs!$I$6+(((A231)+1)/2)*(Inputs!$J$6-Inputs!$I$6)))/(Inputs!$K$6^2)*Inputs!$C$11)))/(SQRT(((Inputs!$I$6+(((A231)+1)/2)*(Inputs!$J$6-Inputs!$I$6)))^2+Inputs!$C$6^2+((Inputs!$H$6+Inputs!$L$6*(((Inputs!$I$6+(((A231)+1)/2)*(Inputs!$J$6-Inputs!$I$6)))/Inputs!$K$6)^2))^2)))))/Inputs!$C$13)</x:f>
        <x:v>-405.39141078613955</x:v>
      </x:c>
      <x:c r="AM231" s="48" t="n">
        <x:f>(-2*((1000*((((Inputs!$I$7+(((A231)+1)/2)*(Inputs!$J$7-Inputs!$I$7)))*Inputs!$C$11+((Inputs!$H$7+Inputs!$L$7*(((Inputs!$I$7+(((A231)+1)/2)*(Inputs!$J$7-Inputs!$I$7)))/Inputs!$K$7)^2))*((2*Inputs!$L$7*((Inputs!$I$7+(((A231)+1)/2)*(Inputs!$J$7-Inputs!$I$7)))/(Inputs!$K$7^2)*Inputs!$C$11)))/(SQRT(((Inputs!$I$7+(((A231)+1)/2)*(Inputs!$J$7-Inputs!$I$7)))^2+Inputs!$C$6^2+((Inputs!$H$7+Inputs!$L$7*(((Inputs!$I$7+(((A231)+1)/2)*(Inputs!$J$7-Inputs!$I$7)))/Inputs!$K$7)^2))^2)))))/Inputs!$C$13)</x:f>
        <x:v>-2971.113813617775</x:v>
      </x:c>
      <x:c r="AN231" s="48" t="n">
        <x:f>(-2*((1000*((((Inputs!$I$8+(((A231)+1)/2)*(Inputs!$J$8-Inputs!$I$8)))*Inputs!$C$11+((Inputs!$H$8+Inputs!$L$8*(((Inputs!$I$8+(((A231)+1)/2)*(Inputs!$J$8-Inputs!$I$8)))/Inputs!$K$8)^2))*((2*Inputs!$L$8*((Inputs!$I$8+(((A231)+1)/2)*(Inputs!$J$8-Inputs!$I$8)))/(Inputs!$K$8^2)*Inputs!$C$11)))/(SQRT(((Inputs!$I$8+(((A231)+1)/2)*(Inputs!$J$8-Inputs!$I$8)))^2+Inputs!$C$6^2+((Inputs!$H$8+Inputs!$L$8*(((Inputs!$I$8+(((A231)+1)/2)*(Inputs!$J$8-Inputs!$I$8)))/Inputs!$K$8)^2))^2)))))/Inputs!$C$13)</x:f>
        <x:v>-3690.6385734963014</x:v>
      </x:c>
      <x:c r="AO231" s="48" t="n">
        <x:f>(-2*((1000*((((Inputs!$I$9+(((A231)+1)/2)*(Inputs!$J$9-Inputs!$I$9)))*Inputs!$C$11+((Inputs!$H$9+Inputs!$L$9*(((Inputs!$I$9+(((A231)+1)/2)*(Inputs!$J$9-Inputs!$I$9)))/Inputs!$K$9)^2))*((2*Inputs!$L$9*((Inputs!$I$9+(((A231)+1)/2)*(Inputs!$J$9-Inputs!$I$9)))/(Inputs!$K$9^2)*Inputs!$C$11)))/(SQRT(((Inputs!$I$9+(((A231)+1)/2)*(Inputs!$J$9-Inputs!$I$9)))^2+Inputs!$C$6^2+((Inputs!$H$9+Inputs!$L$9*(((Inputs!$I$9+(((A231)+1)/2)*(Inputs!$J$9-Inputs!$I$9)))/Inputs!$K$9)^2))^2)))))/Inputs!$C$13)</x:f>
        <x:v>-3716.785885806768</x:v>
      </x:c>
    </x:row>
    <x:row r="232">
      <x:c r="A232" s="48" t="n">
        <x:f>ROUND(-1+230*2/240,3)</x:f>
        <x:v>0.917</x:v>
      </x:c>
      <x:c r="B232" s="48" t="n">
        <x:f>IF(OR(Inputs!$F$6=TRUE,Inputs!$F$6="TRUE",Inputs!$F$6=1),(Inputs!$H$6+Inputs!$L$6*(((Inputs!$I$6+(((A232)+1)/2)*(Inputs!$J$6-Inputs!$I$6)))/Inputs!$K$6)^2),NA())</x:f>
        <x:v>403.363556</x:v>
      </x:c>
      <x:c r="C232" s="48" t="n">
        <x:f>IF(OR(Inputs!$F$7=TRUE,Inputs!$F$7="TRUE",Inputs!$F$7=1),(Inputs!$H$7+Inputs!$L$7*(((Inputs!$I$7+(((A232)+1)/2)*(Inputs!$J$7-Inputs!$I$7)))/Inputs!$K$7)^2),NA())</x:f>
        <x:v>341.92448500000006</x:v>
      </x:c>
      <x:c r="D232" s="48" t="n">
        <x:f>IF(OR(Inputs!$F$8=TRUE,Inputs!$F$8="TRUE",Inputs!$F$8=1),(Inputs!$H$8+Inputs!$L$8*(((Inputs!$I$8+(((A232)+1)/2)*(Inputs!$J$8-Inputs!$I$8)))/Inputs!$K$8)^2),NA())</x:f>
        <x:v>846.4578850000003</x:v>
      </x:c>
      <x:c r="E232" s="48" t="n">
        <x:f>IF(OR(Inputs!$F$9=TRUE,Inputs!$F$9="TRUE",Inputs!$F$9=1),(Inputs!$H$9+Inputs!$L$9*(((Inputs!$I$9+(((A232)+1)/2)*(Inputs!$J$9-Inputs!$I$9)))/Inputs!$K$9)^2),NA())</x:f>
        <x:v>844.8667750000002</x:v>
      </x:c>
      <x:c r="F232" s="49"/>
      <x:c r="G232" s="48" t="n">
        <x:f>A232</x:f>
        <x:v>0.917</x:v>
      </x:c>
      <x:c r="H232" s="48" t="n">
        <x:f>IF(OR(Inputs!$F$6=TRUE,Inputs!$F$6="TRUE",Inputs!$F$6=1),(((SQRT(((Inputs!$I$6+(((A232)+1)/2)*(Inputs!$J$6-Inputs!$I$6)))^2+Inputs!$C$6^2+((Inputs!$H$6+Inputs!$L$6*(((Inputs!$I$6+(((A232)+1)/2)*(Inputs!$J$6-Inputs!$I$6)))/Inputs!$K$6)^2))^2))-((Inputs!$H$6+Inputs!$L$6*(((Inputs!$I$6+(((A232)+1)/2)*(Inputs!$J$6-Inputs!$I$6)))/Inputs!$K$6)^2)))*1000/Inputs!$C$12),NA())</x:f>
        <x:v>2529.2458094051</x:v>
      </x:c>
      <x:c r="I232" s="48" t="n">
        <x:f>IF(OR(Inputs!$F$7=TRUE,Inputs!$F$7="TRUE",Inputs!$F$7=1),(((SQRT(((Inputs!$I$7+(((A232)+1)/2)*(Inputs!$J$7-Inputs!$I$7)))^2+Inputs!$C$6^2+((Inputs!$H$7+Inputs!$L$7*(((Inputs!$I$7+(((A232)+1)/2)*(Inputs!$J$7-Inputs!$I$7)))/Inputs!$K$7)^2))^2))-((Inputs!$H$7+Inputs!$L$7*(((Inputs!$I$7+(((A232)+1)/2)*(Inputs!$J$7-Inputs!$I$7)))/Inputs!$K$7)^2)))*1000/Inputs!$C$12),NA())</x:f>
        <x:v>89972.36046512764</x:v>
      </x:c>
      <x:c r="J232" s="48" t="n">
        <x:f>IF(OR(Inputs!$F$8=TRUE,Inputs!$F$8="TRUE",Inputs!$F$8=1),(((SQRT(((Inputs!$I$8+(((A232)+1)/2)*(Inputs!$J$8-Inputs!$I$8)))^2+Inputs!$C$6^2+((Inputs!$H$8+Inputs!$L$8*(((Inputs!$I$8+(((A232)+1)/2)*(Inputs!$J$8-Inputs!$I$8)))/Inputs!$K$8)^2))^2))-((Inputs!$H$8+Inputs!$L$8*(((Inputs!$I$8+(((A232)+1)/2)*(Inputs!$J$8-Inputs!$I$8)))/Inputs!$K$8)^2)))*1000/Inputs!$C$12),NA())</x:f>
        <x:v>153897.2443492974</x:v>
      </x:c>
      <x:c r="K232" s="48" t="n">
        <x:f>IF(OR(Inputs!$F$9=TRUE,Inputs!$F$9="TRUE",Inputs!$F$9=1),(((SQRT(((Inputs!$I$9+(((A232)+1)/2)*(Inputs!$J$9-Inputs!$I$9)))^2+Inputs!$C$6^2+((Inputs!$H$9+Inputs!$L$9*(((Inputs!$I$9+(((A232)+1)/2)*(Inputs!$J$9-Inputs!$I$9)))/Inputs!$K$9)^2))^2))-((Inputs!$H$9+Inputs!$L$9*(((Inputs!$I$9+(((A232)+1)/2)*(Inputs!$J$9-Inputs!$I$9)))/Inputs!$K$9)^2)))*1000/Inputs!$C$12),NA())</x:f>
        <x:v>154116.07164605684</x:v>
      </x:c>
      <x:c r="L232" s="49"/>
      <x:c r="M232" s="48" t="n">
        <x:f>A232</x:f>
        <x:v>0.917</x:v>
      </x:c>
      <x:c r="N232" s="48" t="n">
        <x:f>IF(OR(Inputs!$F$6=TRUE,Inputs!$F$6="TRUE",Inputs!$F$6=1),(-2*((1000*((((Inputs!$I$6+(((A232)+1)/2)*(Inputs!$J$6-Inputs!$I$6)))*Inputs!$C$11+((Inputs!$H$6+Inputs!$L$6*(((Inputs!$I$6+(((A232)+1)/2)*(Inputs!$J$6-Inputs!$I$6)))/Inputs!$K$6)^2))*((2*Inputs!$L$6*((Inputs!$I$6+(((A232)+1)/2)*(Inputs!$J$6-Inputs!$I$6)))/(Inputs!$K$6^2)*Inputs!$C$11)))/(SQRT(((Inputs!$I$6+(((A232)+1)/2)*(Inputs!$J$6-Inputs!$I$6)))^2+Inputs!$C$6^2+((Inputs!$H$6+Inputs!$L$6*(((Inputs!$I$6+(((A232)+1)/2)*(Inputs!$J$6-Inputs!$I$6)))/Inputs!$K$6)^2))^2)))))/Inputs!$C$13),NA())</x:f>
        <x:v>-409.3031193923336</x:v>
      </x:c>
      <x:c r="O232" s="48" t="n">
        <x:f>IF(OR(Inputs!$F$7=TRUE,Inputs!$F$7="TRUE",Inputs!$F$7=1),(-2*((1000*((((Inputs!$I$7+(((A232)+1)/2)*(Inputs!$J$7-Inputs!$I$7)))*Inputs!$C$11+((Inputs!$H$7+Inputs!$L$7*(((Inputs!$I$7+(((A232)+1)/2)*(Inputs!$J$7-Inputs!$I$7)))/Inputs!$K$7)^2))*((2*Inputs!$L$7*((Inputs!$I$7+(((A232)+1)/2)*(Inputs!$J$7-Inputs!$I$7)))/(Inputs!$K$7^2)*Inputs!$C$11)))/(SQRT(((Inputs!$I$7+(((A232)+1)/2)*(Inputs!$J$7-Inputs!$I$7)))^2+Inputs!$C$6^2+((Inputs!$H$7+Inputs!$L$7*(((Inputs!$I$7+(((A232)+1)/2)*(Inputs!$J$7-Inputs!$I$7)))/Inputs!$K$7)^2))^2)))))/Inputs!$C$13),NA())</x:f>
        <x:v>-2992.441010403299</x:v>
      </x:c>
      <x:c r="P232" s="48" t="n">
        <x:f>IF(OR(Inputs!$F$8=TRUE,Inputs!$F$8="TRUE",Inputs!$F$8=1),(-2*((1000*((((Inputs!$I$8+(((A232)+1)/2)*(Inputs!$J$8-Inputs!$I$8)))*Inputs!$C$11+((Inputs!$H$8+Inputs!$L$8*(((Inputs!$I$8+(((A232)+1)/2)*(Inputs!$J$8-Inputs!$I$8)))/Inputs!$K$8)^2))*((2*Inputs!$L$8*((Inputs!$I$8+(((A232)+1)/2)*(Inputs!$J$8-Inputs!$I$8)))/(Inputs!$K$8^2)*Inputs!$C$11)))/(SQRT(((Inputs!$I$8+(((A232)+1)/2)*(Inputs!$J$8-Inputs!$I$8)))^2+Inputs!$C$6^2+((Inputs!$H$8+Inputs!$L$8*(((Inputs!$I$8+(((A232)+1)/2)*(Inputs!$J$8-Inputs!$I$8)))/Inputs!$K$8)^2))^2)))))/Inputs!$C$13),NA())</x:f>
        <x:v>-3721.8118016920234</x:v>
      </x:c>
      <x:c r="Q232" s="48" t="n">
        <x:f>IF(OR(Inputs!$F$9=TRUE,Inputs!$F$9="TRUE",Inputs!$F$9=1),(-2*((1000*((((Inputs!$I$9+(((A232)+1)/2)*(Inputs!$J$9-Inputs!$I$9)))*Inputs!$C$11+((Inputs!$H$9+Inputs!$L$9*(((Inputs!$I$9+(((A232)+1)/2)*(Inputs!$J$9-Inputs!$I$9)))/Inputs!$K$9)^2))*((2*Inputs!$L$9*((Inputs!$I$9+(((A232)+1)/2)*(Inputs!$J$9-Inputs!$I$9)))/(Inputs!$K$9^2)*Inputs!$C$11)))/(SQRT(((Inputs!$I$9+(((A232)+1)/2)*(Inputs!$J$9-Inputs!$I$9)))^2+Inputs!$C$6^2+((Inputs!$H$9+Inputs!$L$9*(((Inputs!$I$9+(((A232)+1)/2)*(Inputs!$J$9-Inputs!$I$9)))/Inputs!$K$9)^2))^2)))))/Inputs!$C$13),NA())</x:f>
        <x:v>-3748.4648434472997</x:v>
      </x:c>
      <x:c r="R232" s="49"/>
      <x:c r="S232" s="48" t="n">
        <x:f>A232</x:f>
        <x:v>0.917</x:v>
      </x:c>
      <x:c r="T232" s="48" t="n">
        <x:f>(Inputs!$I$6+(((A232)+1)/2)*(Inputs!$J$6-Inputs!$I$6))</x:f>
        <x:v>55.019999999999996</x:v>
      </x:c>
      <x:c r="U232" s="48" t="n">
        <x:f>(Inputs!$I$7+(((A232)+1)/2)*(Inputs!$J$7-Inputs!$I$7))</x:f>
        <x:v>366.80000000000007</x:v>
      </x:c>
      <x:c r="V232" s="48" t="n">
        <x:f>(Inputs!$I$8+(((A232)+1)/2)*(Inputs!$J$8-Inputs!$I$8))</x:f>
        <x:v>733.6000000000001</x:v>
      </x:c>
      <x:c r="W232" s="48" t="n">
        <x:f>(Inputs!$I$9+(((A232)+1)/2)*(Inputs!$J$9-Inputs!$I$9))</x:f>
        <x:v>733.6000000000001</x:v>
      </x:c>
      <x:c r="X232" s="49"/>
      <x:c r="Y232" s="48" t="n">
        <x:f>A232</x:f>
        <x:v>0.917</x:v>
      </x:c>
      <x:c r="Z232" s="48" t="n">
        <x:f>(Inputs!$H$6+Inputs!$L$6*(((Inputs!$I$6+(((A232)+1)/2)*(Inputs!$J$6-Inputs!$I$6)))/Inputs!$K$6)^2)</x:f>
        <x:v>403.363556</x:v>
      </x:c>
      <x:c r="AA232" s="48" t="n">
        <x:f>(Inputs!$H$7+Inputs!$L$7*(((Inputs!$I$7+(((A232)+1)/2)*(Inputs!$J$7-Inputs!$I$7)))/Inputs!$K$7)^2)</x:f>
        <x:v>341.92448500000006</x:v>
      </x:c>
      <x:c r="AB232" s="48" t="n">
        <x:f>(Inputs!$H$8+Inputs!$L$8*(((Inputs!$I$8+(((A232)+1)/2)*(Inputs!$J$8-Inputs!$I$8)))/Inputs!$K$8)^2)</x:f>
        <x:v>846.4578850000003</x:v>
      </x:c>
      <x:c r="AC232" s="48" t="n">
        <x:f>(Inputs!$H$9+Inputs!$L$9*(((Inputs!$I$9+(((A232)+1)/2)*(Inputs!$J$9-Inputs!$I$9)))/Inputs!$K$9)^2)</x:f>
        <x:v>844.8667750000002</x:v>
      </x:c>
      <x:c r="AD232" s="49"/>
      <x:c r="AE232" s="48" t="n">
        <x:f>A232</x:f>
        <x:v>0.917</x:v>
      </x:c>
      <x:c r="AF232" s="48" t="n">
        <x:f>(((SQRT(((Inputs!$I$6+(((A232)+1)/2)*(Inputs!$J$6-Inputs!$I$6)))^2+Inputs!$C$6^2+((Inputs!$H$6+Inputs!$L$6*(((Inputs!$I$6+(((A232)+1)/2)*(Inputs!$J$6-Inputs!$I$6)))/Inputs!$K$6)^2))^2))-((Inputs!$H$6+Inputs!$L$6*(((Inputs!$I$6+(((A232)+1)/2)*(Inputs!$J$6-Inputs!$I$6)))/Inputs!$K$6)^2)))*1000/Inputs!$C$12)</x:f>
        <x:v>2529.2458094051</x:v>
      </x:c>
      <x:c r="AG232" s="48" t="n">
        <x:f>(((SQRT(((Inputs!$I$7+(((A232)+1)/2)*(Inputs!$J$7-Inputs!$I$7)))^2+Inputs!$C$6^2+((Inputs!$H$7+Inputs!$L$7*(((Inputs!$I$7+(((A232)+1)/2)*(Inputs!$J$7-Inputs!$I$7)))/Inputs!$K$7)^2))^2))-((Inputs!$H$7+Inputs!$L$7*(((Inputs!$I$7+(((A232)+1)/2)*(Inputs!$J$7-Inputs!$I$7)))/Inputs!$K$7)^2)))*1000/Inputs!$C$12)</x:f>
        <x:v>89972.36046512764</x:v>
      </x:c>
      <x:c r="AH232" s="48" t="n">
        <x:f>(((SQRT(((Inputs!$I$8+(((A232)+1)/2)*(Inputs!$J$8-Inputs!$I$8)))^2+Inputs!$C$6^2+((Inputs!$H$8+Inputs!$L$8*(((Inputs!$I$8+(((A232)+1)/2)*(Inputs!$J$8-Inputs!$I$8)))/Inputs!$K$8)^2))^2))-((Inputs!$H$8+Inputs!$L$8*(((Inputs!$I$8+(((A232)+1)/2)*(Inputs!$J$8-Inputs!$I$8)))/Inputs!$K$8)^2)))*1000/Inputs!$C$12)</x:f>
        <x:v>153897.2443492974</x:v>
      </x:c>
      <x:c r="AI232" s="48" t="n">
        <x:f>(((SQRT(((Inputs!$I$9+(((A232)+1)/2)*(Inputs!$J$9-Inputs!$I$9)))^2+Inputs!$C$6^2+((Inputs!$H$9+Inputs!$L$9*(((Inputs!$I$9+(((A232)+1)/2)*(Inputs!$J$9-Inputs!$I$9)))/Inputs!$K$9)^2))^2))-((Inputs!$H$9+Inputs!$L$9*(((Inputs!$I$9+(((A232)+1)/2)*(Inputs!$J$9-Inputs!$I$9)))/Inputs!$K$9)^2)))*1000/Inputs!$C$12)</x:f>
        <x:v>154116.07164605684</x:v>
      </x:c>
      <x:c r="AJ232" s="49"/>
      <x:c r="AK232" s="48" t="n">
        <x:f>A232</x:f>
        <x:v>0.917</x:v>
      </x:c>
      <x:c r="AL232" s="48" t="n">
        <x:f>(-2*((1000*((((Inputs!$I$6+(((A232)+1)/2)*(Inputs!$J$6-Inputs!$I$6)))*Inputs!$C$11+((Inputs!$H$6+Inputs!$L$6*(((Inputs!$I$6+(((A232)+1)/2)*(Inputs!$J$6-Inputs!$I$6)))/Inputs!$K$6)^2))*((2*Inputs!$L$6*((Inputs!$I$6+(((A232)+1)/2)*(Inputs!$J$6-Inputs!$I$6)))/(Inputs!$K$6^2)*Inputs!$C$11)))/(SQRT(((Inputs!$I$6+(((A232)+1)/2)*(Inputs!$J$6-Inputs!$I$6)))^2+Inputs!$C$6^2+((Inputs!$H$6+Inputs!$L$6*(((Inputs!$I$6+(((A232)+1)/2)*(Inputs!$J$6-Inputs!$I$6)))/Inputs!$K$6)^2))^2)))))/Inputs!$C$13)</x:f>
        <x:v>-409.3031193923336</x:v>
      </x:c>
      <x:c r="AM232" s="48" t="n">
        <x:f>(-2*((1000*((((Inputs!$I$7+(((A232)+1)/2)*(Inputs!$J$7-Inputs!$I$7)))*Inputs!$C$11+((Inputs!$H$7+Inputs!$L$7*(((Inputs!$I$7+(((A232)+1)/2)*(Inputs!$J$7-Inputs!$I$7)))/Inputs!$K$7)^2))*((2*Inputs!$L$7*((Inputs!$I$7+(((A232)+1)/2)*(Inputs!$J$7-Inputs!$I$7)))/(Inputs!$K$7^2)*Inputs!$C$11)))/(SQRT(((Inputs!$I$7+(((A232)+1)/2)*(Inputs!$J$7-Inputs!$I$7)))^2+Inputs!$C$6^2+((Inputs!$H$7+Inputs!$L$7*(((Inputs!$I$7+(((A232)+1)/2)*(Inputs!$J$7-Inputs!$I$7)))/Inputs!$K$7)^2))^2)))))/Inputs!$C$13)</x:f>
        <x:v>-2992.441010403299</x:v>
      </x:c>
      <x:c r="AN232" s="48" t="n">
        <x:f>(-2*((1000*((((Inputs!$I$8+(((A232)+1)/2)*(Inputs!$J$8-Inputs!$I$8)))*Inputs!$C$11+((Inputs!$H$8+Inputs!$L$8*(((Inputs!$I$8+(((A232)+1)/2)*(Inputs!$J$8-Inputs!$I$8)))/Inputs!$K$8)^2))*((2*Inputs!$L$8*((Inputs!$I$8+(((A232)+1)/2)*(Inputs!$J$8-Inputs!$I$8)))/(Inputs!$K$8^2)*Inputs!$C$11)))/(SQRT(((Inputs!$I$8+(((A232)+1)/2)*(Inputs!$J$8-Inputs!$I$8)))^2+Inputs!$C$6^2+((Inputs!$H$8+Inputs!$L$8*(((Inputs!$I$8+(((A232)+1)/2)*(Inputs!$J$8-Inputs!$I$8)))/Inputs!$K$8)^2))^2)))))/Inputs!$C$13)</x:f>
        <x:v>-3721.8118016920234</x:v>
      </x:c>
      <x:c r="AO232" s="48" t="n">
        <x:f>(-2*((1000*((((Inputs!$I$9+(((A232)+1)/2)*(Inputs!$J$9-Inputs!$I$9)))*Inputs!$C$11+((Inputs!$H$9+Inputs!$L$9*(((Inputs!$I$9+(((A232)+1)/2)*(Inputs!$J$9-Inputs!$I$9)))/Inputs!$K$9)^2))*((2*Inputs!$L$9*((Inputs!$I$9+(((A232)+1)/2)*(Inputs!$J$9-Inputs!$I$9)))/(Inputs!$K$9^2)*Inputs!$C$11)))/(SQRT(((Inputs!$I$9+(((A232)+1)/2)*(Inputs!$J$9-Inputs!$I$9)))^2+Inputs!$C$6^2+((Inputs!$H$9+Inputs!$L$9*(((Inputs!$I$9+(((A232)+1)/2)*(Inputs!$J$9-Inputs!$I$9)))/Inputs!$K$9)^2))^2)))))/Inputs!$C$13)</x:f>
        <x:v>-3748.4648434472997</x:v>
      </x:c>
    </x:row>
    <x:row r="233">
      <x:c r="A233" s="48" t="n">
        <x:f>ROUND(-1+231*2/240,3)</x:f>
        <x:v>0.925</x:v>
      </x:c>
      <x:c r="B233" s="48" t="n">
        <x:f>IF(OR(Inputs!$F$6=TRUE,Inputs!$F$6="TRUE",Inputs!$F$6=1),(Inputs!$H$6+Inputs!$L$6*(((Inputs!$I$6+(((A233)+1)/2)*(Inputs!$J$6-Inputs!$I$6)))/Inputs!$K$6)^2),NA())</x:f>
        <x:v>403.4225</x:v>
      </x:c>
      <x:c r="C233" s="48" t="n">
        <x:f>IF(OR(Inputs!$F$7=TRUE,Inputs!$F$7="TRUE",Inputs!$F$7=1),(Inputs!$H$7+Inputs!$L$7*(((Inputs!$I$7+(((A233)+1)/2)*(Inputs!$J$7-Inputs!$I$7)))/Inputs!$K$7)^2),NA())</x:f>
        <x:v>347.303125</x:v>
      </x:c>
      <x:c r="D233" s="48" t="n">
        <x:f>IF(OR(Inputs!$F$8=TRUE,Inputs!$F$8="TRUE",Inputs!$F$8=1),(Inputs!$H$8+Inputs!$L$8*(((Inputs!$I$8+(((A233)+1)/2)*(Inputs!$J$8-Inputs!$I$8)))/Inputs!$K$8)^2),NA())</x:f>
        <x:v>860.678125</x:v>
      </x:c>
      <x:c r="E233" s="48" t="n">
        <x:f>IF(OR(Inputs!$F$9=TRUE,Inputs!$F$9="TRUE",Inputs!$F$9=1),(Inputs!$H$9+Inputs!$L$9*(((Inputs!$I$9+(((A233)+1)/2)*(Inputs!$J$9-Inputs!$I$9)))/Inputs!$K$9)^2),NA())</x:f>
        <x:v>859.2343750000001</x:v>
      </x:c>
      <x:c r="F233" s="49"/>
      <x:c r="G233" s="48" t="n">
        <x:f>A233</x:f>
        <x:v>0.925</x:v>
      </x:c>
      <x:c r="H233" s="48" t="n">
        <x:f>IF(OR(Inputs!$F$6=TRUE,Inputs!$F$6="TRUE",Inputs!$F$6=1),(((SQRT(((Inputs!$I$6+(((A233)+1)/2)*(Inputs!$J$6-Inputs!$I$6)))^2+Inputs!$C$6^2+((Inputs!$H$6+Inputs!$L$6*(((Inputs!$I$6+(((A233)+1)/2)*(Inputs!$J$6-Inputs!$I$6)))/Inputs!$K$6)^2))^2))-((Inputs!$H$6+Inputs!$L$6*(((Inputs!$I$6+(((A233)+1)/2)*(Inputs!$J$6-Inputs!$I$6)))/Inputs!$K$6)^2)))*1000/Inputs!$C$12),NA())</x:f>
        <x:v>2565.4077051733684</x:v>
      </x:c>
      <x:c r="I233" s="48" t="n">
        <x:f>IF(OR(Inputs!$F$7=TRUE,Inputs!$F$7="TRUE",Inputs!$F$7=1),(((SQRT(((Inputs!$I$7+(((A233)+1)/2)*(Inputs!$J$7-Inputs!$I$7)))^2+Inputs!$C$6^2+((Inputs!$H$7+Inputs!$L$7*(((Inputs!$I$7+(((A233)+1)/2)*(Inputs!$J$7-Inputs!$I$7)))/Inputs!$K$7)^2))^2))-((Inputs!$H$7+Inputs!$L$7*(((Inputs!$I$7+(((A233)+1)/2)*(Inputs!$J$7-Inputs!$I$7)))/Inputs!$K$7)^2)))*1000/Inputs!$C$12),NA())</x:f>
        <x:v>90323.63054284628</x:v>
      </x:c>
      <x:c r="J233" s="48" t="n">
        <x:f>IF(OR(Inputs!$F$8=TRUE,Inputs!$F$8="TRUE",Inputs!$F$8=1),(((SQRT(((Inputs!$I$8+(((A233)+1)/2)*(Inputs!$J$8-Inputs!$I$8)))^2+Inputs!$C$6^2+((Inputs!$H$8+Inputs!$L$8*(((Inputs!$I$8+(((A233)+1)/2)*(Inputs!$J$8-Inputs!$I$8)))/Inputs!$K$8)^2))^2))-((Inputs!$H$8+Inputs!$L$8*(((Inputs!$I$8+(((A233)+1)/2)*(Inputs!$J$8-Inputs!$I$8)))/Inputs!$K$8)^2)))*1000/Inputs!$C$12),NA())</x:f>
        <x:v>154303.16710885518</x:v>
      </x:c>
      <x:c r="K233" s="48" t="n">
        <x:f>IF(OR(Inputs!$F$9=TRUE,Inputs!$F$9="TRUE",Inputs!$F$9=1),(((SQRT(((Inputs!$I$9+(((A233)+1)/2)*(Inputs!$J$9-Inputs!$I$9)))^2+Inputs!$C$6^2+((Inputs!$H$9+Inputs!$L$9*(((Inputs!$I$9+(((A233)+1)/2)*(Inputs!$J$9-Inputs!$I$9)))/Inputs!$K$9)^2))^2))-((Inputs!$H$9+Inputs!$L$9*(((Inputs!$I$9+(((A233)+1)/2)*(Inputs!$J$9-Inputs!$I$9)))/Inputs!$K$9)^2)))*1000/Inputs!$C$12),NA())</x:f>
        <x:v>154499.60597487274</x:v>
      </x:c>
      <x:c r="L233" s="49"/>
      <x:c r="M233" s="48" t="n">
        <x:f>A233</x:f>
        <x:v>0.925</x:v>
      </x:c>
      <x:c r="N233" s="48" t="n">
        <x:f>IF(OR(Inputs!$F$6=TRUE,Inputs!$F$6="TRUE",Inputs!$F$6=1),(-2*((1000*((((Inputs!$I$6+(((A233)+1)/2)*(Inputs!$J$6-Inputs!$I$6)))*Inputs!$C$11+((Inputs!$H$6+Inputs!$L$6*(((Inputs!$I$6+(((A233)+1)/2)*(Inputs!$J$6-Inputs!$I$6)))/Inputs!$K$6)^2))*((2*Inputs!$L$6*((Inputs!$I$6+(((A233)+1)/2)*(Inputs!$J$6-Inputs!$I$6)))/(Inputs!$K$6^2)*Inputs!$C$11)))/(SQRT(((Inputs!$I$6+(((A233)+1)/2)*(Inputs!$J$6-Inputs!$I$6)))^2+Inputs!$C$6^2+((Inputs!$H$6+Inputs!$L$6*(((Inputs!$I$6+(((A233)+1)/2)*(Inputs!$J$6-Inputs!$I$6)))/Inputs!$K$6)^2))^2)))))/Inputs!$C$13),NA())</x:f>
        <x:v>-412.77764187212813</x:v>
      </x:c>
      <x:c r="O233" s="48" t="n">
        <x:f>IF(OR(Inputs!$F$7=TRUE,Inputs!$F$7="TRUE",Inputs!$F$7=1),(-2*((1000*((((Inputs!$I$7+(((A233)+1)/2)*(Inputs!$J$7-Inputs!$I$7)))*Inputs!$C$11+((Inputs!$H$7+Inputs!$L$7*(((Inputs!$I$7+(((A233)+1)/2)*(Inputs!$J$7-Inputs!$I$7)))/Inputs!$K$7)^2))*((2*Inputs!$L$7*((Inputs!$I$7+(((A233)+1)/2)*(Inputs!$J$7-Inputs!$I$7)))/(Inputs!$K$7^2)*Inputs!$C$11)))/(SQRT(((Inputs!$I$7+(((A233)+1)/2)*(Inputs!$J$7-Inputs!$I$7)))^2+Inputs!$C$6^2+((Inputs!$H$7+Inputs!$L$7*(((Inputs!$I$7+(((A233)+1)/2)*(Inputs!$J$7-Inputs!$I$7)))/Inputs!$K$7)^2))^2)))))/Inputs!$C$13),NA())</x:f>
        <x:v>-3011.4710042668985</x:v>
      </x:c>
      <x:c r="P233" s="48" t="n">
        <x:f>IF(OR(Inputs!$F$8=TRUE,Inputs!$F$8="TRUE",Inputs!$F$8=1),(-2*((1000*((((Inputs!$I$8+(((A233)+1)/2)*(Inputs!$J$8-Inputs!$I$8)))*Inputs!$C$11+((Inputs!$H$8+Inputs!$L$8*(((Inputs!$I$8+(((A233)+1)/2)*(Inputs!$J$8-Inputs!$I$8)))/Inputs!$K$8)^2))*((2*Inputs!$L$8*((Inputs!$I$8+(((A233)+1)/2)*(Inputs!$J$8-Inputs!$I$8)))/(Inputs!$K$8^2)*Inputs!$C$11)))/(SQRT(((Inputs!$I$8+(((A233)+1)/2)*(Inputs!$J$8-Inputs!$I$8)))^2+Inputs!$C$6^2+((Inputs!$H$8+Inputs!$L$8*(((Inputs!$I$8+(((A233)+1)/2)*(Inputs!$J$8-Inputs!$I$8)))/Inputs!$K$8)^2))^2)))))/Inputs!$C$13),NA())</x:f>
        <x:v>-3749.5901097413494</x:v>
      </x:c>
      <x:c r="Q233" s="48" t="n">
        <x:f>IF(OR(Inputs!$F$9=TRUE,Inputs!$F$9="TRUE",Inputs!$F$9=1),(-2*((1000*((((Inputs!$I$9+(((A233)+1)/2)*(Inputs!$J$9-Inputs!$I$9)))*Inputs!$C$11+((Inputs!$H$9+Inputs!$L$9*(((Inputs!$I$9+(((A233)+1)/2)*(Inputs!$J$9-Inputs!$I$9)))/Inputs!$K$9)^2))*((2*Inputs!$L$9*((Inputs!$I$9+(((A233)+1)/2)*(Inputs!$J$9-Inputs!$I$9)))/(Inputs!$K$9^2)*Inputs!$C$11)))/(SQRT(((Inputs!$I$9+(((A233)+1)/2)*(Inputs!$J$9-Inputs!$I$9)))^2+Inputs!$C$6^2+((Inputs!$H$9+Inputs!$L$9*(((Inputs!$I$9+(((A233)+1)/2)*(Inputs!$J$9-Inputs!$I$9)))/Inputs!$K$9)^2))^2)))))/Inputs!$C$13),NA())</x:f>
        <x:v>-3776.691117952807</x:v>
      </x:c>
      <x:c r="R233" s="49"/>
      <x:c r="S233" s="48" t="n">
        <x:f>A233</x:f>
        <x:v>0.925</x:v>
      </x:c>
      <x:c r="T233" s="48" t="n">
        <x:f>(Inputs!$I$6+(((A233)+1)/2)*(Inputs!$J$6-Inputs!$I$6))</x:f>
        <x:v>55.5</x:v>
      </x:c>
      <x:c r="U233" s="48" t="n">
        <x:f>(Inputs!$I$7+(((A233)+1)/2)*(Inputs!$J$7-Inputs!$I$7))</x:f>
        <x:v>370</x:v>
      </x:c>
      <x:c r="V233" s="48" t="n">
        <x:f>(Inputs!$I$8+(((A233)+1)/2)*(Inputs!$J$8-Inputs!$I$8))</x:f>
        <x:v>740</x:v>
      </x:c>
      <x:c r="W233" s="48" t="n">
        <x:f>(Inputs!$I$9+(((A233)+1)/2)*(Inputs!$J$9-Inputs!$I$9))</x:f>
        <x:v>740</x:v>
      </x:c>
      <x:c r="X233" s="49"/>
      <x:c r="Y233" s="48" t="n">
        <x:f>A233</x:f>
        <x:v>0.925</x:v>
      </x:c>
      <x:c r="Z233" s="48" t="n">
        <x:f>(Inputs!$H$6+Inputs!$L$6*(((Inputs!$I$6+(((A233)+1)/2)*(Inputs!$J$6-Inputs!$I$6)))/Inputs!$K$6)^2)</x:f>
        <x:v>403.4225</x:v>
      </x:c>
      <x:c r="AA233" s="48" t="n">
        <x:f>(Inputs!$H$7+Inputs!$L$7*(((Inputs!$I$7+(((A233)+1)/2)*(Inputs!$J$7-Inputs!$I$7)))/Inputs!$K$7)^2)</x:f>
        <x:v>347.303125</x:v>
      </x:c>
      <x:c r="AB233" s="48" t="n">
        <x:f>(Inputs!$H$8+Inputs!$L$8*(((Inputs!$I$8+(((A233)+1)/2)*(Inputs!$J$8-Inputs!$I$8)))/Inputs!$K$8)^2)</x:f>
        <x:v>860.678125</x:v>
      </x:c>
      <x:c r="AC233" s="48" t="n">
        <x:f>(Inputs!$H$9+Inputs!$L$9*(((Inputs!$I$9+(((A233)+1)/2)*(Inputs!$J$9-Inputs!$I$9)))/Inputs!$K$9)^2)</x:f>
        <x:v>859.2343750000001</x:v>
      </x:c>
      <x:c r="AD233" s="49"/>
      <x:c r="AE233" s="48" t="n">
        <x:f>A233</x:f>
        <x:v>0.925</x:v>
      </x:c>
      <x:c r="AF233" s="48" t="n">
        <x:f>(((SQRT(((Inputs!$I$6+(((A233)+1)/2)*(Inputs!$J$6-Inputs!$I$6)))^2+Inputs!$C$6^2+((Inputs!$H$6+Inputs!$L$6*(((Inputs!$I$6+(((A233)+1)/2)*(Inputs!$J$6-Inputs!$I$6)))/Inputs!$K$6)^2))^2))-((Inputs!$H$6+Inputs!$L$6*(((Inputs!$I$6+(((A233)+1)/2)*(Inputs!$J$6-Inputs!$I$6)))/Inputs!$K$6)^2)))*1000/Inputs!$C$12)</x:f>
        <x:v>2565.4077051733684</x:v>
      </x:c>
      <x:c r="AG233" s="48" t="n">
        <x:f>(((SQRT(((Inputs!$I$7+(((A233)+1)/2)*(Inputs!$J$7-Inputs!$I$7)))^2+Inputs!$C$6^2+((Inputs!$H$7+Inputs!$L$7*(((Inputs!$I$7+(((A233)+1)/2)*(Inputs!$J$7-Inputs!$I$7)))/Inputs!$K$7)^2))^2))-((Inputs!$H$7+Inputs!$L$7*(((Inputs!$I$7+(((A233)+1)/2)*(Inputs!$J$7-Inputs!$I$7)))/Inputs!$K$7)^2)))*1000/Inputs!$C$12)</x:f>
        <x:v>90323.63054284628</x:v>
      </x:c>
      <x:c r="AH233" s="48" t="n">
        <x:f>(((SQRT(((Inputs!$I$8+(((A233)+1)/2)*(Inputs!$J$8-Inputs!$I$8)))^2+Inputs!$C$6^2+((Inputs!$H$8+Inputs!$L$8*(((Inputs!$I$8+(((A233)+1)/2)*(Inputs!$J$8-Inputs!$I$8)))/Inputs!$K$8)^2))^2))-((Inputs!$H$8+Inputs!$L$8*(((Inputs!$I$8+(((A233)+1)/2)*(Inputs!$J$8-Inputs!$I$8)))/Inputs!$K$8)^2)))*1000/Inputs!$C$12)</x:f>
        <x:v>154303.16710885518</x:v>
      </x:c>
      <x:c r="AI233" s="48" t="n">
        <x:f>(((SQRT(((Inputs!$I$9+(((A233)+1)/2)*(Inputs!$J$9-Inputs!$I$9)))^2+Inputs!$C$6^2+((Inputs!$H$9+Inputs!$L$9*(((Inputs!$I$9+(((A233)+1)/2)*(Inputs!$J$9-Inputs!$I$9)))/Inputs!$K$9)^2))^2))-((Inputs!$H$9+Inputs!$L$9*(((Inputs!$I$9+(((A233)+1)/2)*(Inputs!$J$9-Inputs!$I$9)))/Inputs!$K$9)^2)))*1000/Inputs!$C$12)</x:f>
        <x:v>154499.60597487274</x:v>
      </x:c>
      <x:c r="AJ233" s="49"/>
      <x:c r="AK233" s="48" t="n">
        <x:f>A233</x:f>
        <x:v>0.925</x:v>
      </x:c>
      <x:c r="AL233" s="48" t="n">
        <x:f>(-2*((1000*((((Inputs!$I$6+(((A233)+1)/2)*(Inputs!$J$6-Inputs!$I$6)))*Inputs!$C$11+((Inputs!$H$6+Inputs!$L$6*(((Inputs!$I$6+(((A233)+1)/2)*(Inputs!$J$6-Inputs!$I$6)))/Inputs!$K$6)^2))*((2*Inputs!$L$6*((Inputs!$I$6+(((A233)+1)/2)*(Inputs!$J$6-Inputs!$I$6)))/(Inputs!$K$6^2)*Inputs!$C$11)))/(SQRT(((Inputs!$I$6+(((A233)+1)/2)*(Inputs!$J$6-Inputs!$I$6)))^2+Inputs!$C$6^2+((Inputs!$H$6+Inputs!$L$6*(((Inputs!$I$6+(((A233)+1)/2)*(Inputs!$J$6-Inputs!$I$6)))/Inputs!$K$6)^2))^2)))))/Inputs!$C$13)</x:f>
        <x:v>-412.77764187212813</x:v>
      </x:c>
      <x:c r="AM233" s="48" t="n">
        <x:f>(-2*((1000*((((Inputs!$I$7+(((A233)+1)/2)*(Inputs!$J$7-Inputs!$I$7)))*Inputs!$C$11+((Inputs!$H$7+Inputs!$L$7*(((Inputs!$I$7+(((A233)+1)/2)*(Inputs!$J$7-Inputs!$I$7)))/Inputs!$K$7)^2))*((2*Inputs!$L$7*((Inputs!$I$7+(((A233)+1)/2)*(Inputs!$J$7-Inputs!$I$7)))/(Inputs!$K$7^2)*Inputs!$C$11)))/(SQRT(((Inputs!$I$7+(((A233)+1)/2)*(Inputs!$J$7-Inputs!$I$7)))^2+Inputs!$C$6^2+((Inputs!$H$7+Inputs!$L$7*(((Inputs!$I$7+(((A233)+1)/2)*(Inputs!$J$7-Inputs!$I$7)))/Inputs!$K$7)^2))^2)))))/Inputs!$C$13)</x:f>
        <x:v>-3011.4710042668985</x:v>
      </x:c>
      <x:c r="AN233" s="48" t="n">
        <x:f>(-2*((1000*((((Inputs!$I$8+(((A233)+1)/2)*(Inputs!$J$8-Inputs!$I$8)))*Inputs!$C$11+((Inputs!$H$8+Inputs!$L$8*(((Inputs!$I$8+(((A233)+1)/2)*(Inputs!$J$8-Inputs!$I$8)))/Inputs!$K$8)^2))*((2*Inputs!$L$8*((Inputs!$I$8+(((A233)+1)/2)*(Inputs!$J$8-Inputs!$I$8)))/(Inputs!$K$8^2)*Inputs!$C$11)))/(SQRT(((Inputs!$I$8+(((A233)+1)/2)*(Inputs!$J$8-Inputs!$I$8)))^2+Inputs!$C$6^2+((Inputs!$H$8+Inputs!$L$8*(((Inputs!$I$8+(((A233)+1)/2)*(Inputs!$J$8-Inputs!$I$8)))/Inputs!$K$8)^2))^2)))))/Inputs!$C$13)</x:f>
        <x:v>-3749.5901097413494</x:v>
      </x:c>
      <x:c r="AO233" s="48" t="n">
        <x:f>(-2*((1000*((((Inputs!$I$9+(((A233)+1)/2)*(Inputs!$J$9-Inputs!$I$9)))*Inputs!$C$11+((Inputs!$H$9+Inputs!$L$9*(((Inputs!$I$9+(((A233)+1)/2)*(Inputs!$J$9-Inputs!$I$9)))/Inputs!$K$9)^2))*((2*Inputs!$L$9*((Inputs!$I$9+(((A233)+1)/2)*(Inputs!$J$9-Inputs!$I$9)))/(Inputs!$K$9^2)*Inputs!$C$11)))/(SQRT(((Inputs!$I$9+(((A233)+1)/2)*(Inputs!$J$9-Inputs!$I$9)))^2+Inputs!$C$6^2+((Inputs!$H$9+Inputs!$L$9*(((Inputs!$I$9+(((A233)+1)/2)*(Inputs!$J$9-Inputs!$I$9)))/Inputs!$K$9)^2))^2)))))/Inputs!$C$13)</x:f>
        <x:v>-3776.691117952807</x:v>
      </x:c>
    </x:row>
    <x:row r="234">
      <x:c r="A234" s="48" t="n">
        <x:f>ROUND(-1+232*2/240,3)</x:f>
        <x:v>0.933</x:v>
      </x:c>
      <x:c r="B234" s="48" t="n">
        <x:f>IF(OR(Inputs!$F$6=TRUE,Inputs!$F$6="TRUE",Inputs!$F$6=1),(Inputs!$H$6+Inputs!$L$6*(((Inputs!$I$6+(((A234)+1)/2)*(Inputs!$J$6-Inputs!$I$6)))/Inputs!$K$6)^2),NA())</x:f>
        <x:v>403.481956</x:v>
      </x:c>
      <x:c r="C234" s="48" t="n">
        <x:f>IF(OR(Inputs!$F$7=TRUE,Inputs!$F$7="TRUE",Inputs!$F$7=1),(Inputs!$H$7+Inputs!$L$7*(((Inputs!$I$7+(((A234)+1)/2)*(Inputs!$J$7-Inputs!$I$7)))/Inputs!$K$7)^2),NA())</x:f>
        <x:v>352.7284850000001</x:v>
      </x:c>
      <x:c r="D234" s="48" t="n">
        <x:f>IF(OR(Inputs!$F$8=TRUE,Inputs!$F$8="TRUE",Inputs!$F$8=1),(Inputs!$H$8+Inputs!$L$8*(((Inputs!$I$8+(((A234)+1)/2)*(Inputs!$J$8-Inputs!$I$8)))/Inputs!$K$8)^2),NA())</x:f>
        <x:v>875.0218850000002</x:v>
      </x:c>
      <x:c r="E234" s="48" t="n">
        <x:f>IF(OR(Inputs!$F$9=TRUE,Inputs!$F$9="TRUE",Inputs!$F$9=1),(Inputs!$H$9+Inputs!$L$9*(((Inputs!$I$9+(((A234)+1)/2)*(Inputs!$J$9-Inputs!$I$9)))/Inputs!$K$9)^2),NA())</x:f>
        <x:v>873.7267750000003</x:v>
      </x:c>
      <x:c r="F234" s="49"/>
      <x:c r="G234" s="48" t="n">
        <x:f>A234</x:f>
        <x:v>0.933</x:v>
      </x:c>
      <x:c r="H234" s="48" t="n">
        <x:f>IF(OR(Inputs!$F$6=TRUE,Inputs!$F$6="TRUE",Inputs!$F$6=1),(((SQRT(((Inputs!$I$6+(((A234)+1)/2)*(Inputs!$J$6-Inputs!$I$6)))^2+Inputs!$C$6^2+((Inputs!$H$6+Inputs!$L$6*(((Inputs!$I$6+(((A234)+1)/2)*(Inputs!$J$6-Inputs!$I$6)))/Inputs!$K$6)^2))^2))-((Inputs!$H$6+Inputs!$L$6*(((Inputs!$I$6+(((A234)+1)/2)*(Inputs!$J$6-Inputs!$I$6)))/Inputs!$K$6)^2)))*1000/Inputs!$C$12),NA())</x:f>
        <x:v>2601.867350499739</x:v>
      </x:c>
      <x:c r="I234" s="48" t="n">
        <x:f>IF(OR(Inputs!$F$7=TRUE,Inputs!$F$7="TRUE",Inputs!$F$7=1),(((SQRT(((Inputs!$I$7+(((A234)+1)/2)*(Inputs!$J$7-Inputs!$I$7)))^2+Inputs!$C$6^2+((Inputs!$H$7+Inputs!$L$7*(((Inputs!$I$7+(((A234)+1)/2)*(Inputs!$J$7-Inputs!$I$7)))/Inputs!$K$7)^2))^2))-((Inputs!$H$7+Inputs!$L$7*(((Inputs!$I$7+(((A234)+1)/2)*(Inputs!$J$7-Inputs!$I$7)))/Inputs!$K$7)^2)))*1000/Inputs!$C$12),NA())</x:f>
        <x:v>90670.07326171719</x:v>
      </x:c>
      <x:c r="J234" s="48" t="n">
        <x:f>IF(OR(Inputs!$F$8=TRUE,Inputs!$F$8="TRUE",Inputs!$F$8=1),(((SQRT(((Inputs!$I$8+(((A234)+1)/2)*(Inputs!$J$8-Inputs!$I$8)))^2+Inputs!$C$6^2+((Inputs!$H$8+Inputs!$L$8*(((Inputs!$I$8+(((A234)+1)/2)*(Inputs!$J$8-Inputs!$I$8)))/Inputs!$K$8)^2))^2))-((Inputs!$H$8+Inputs!$L$8*(((Inputs!$I$8+(((A234)+1)/2)*(Inputs!$J$8-Inputs!$I$8)))/Inputs!$K$8)^2)))*1000/Inputs!$C$12),NA())</x:f>
        <x:v>154702.19106824315</x:v>
      </x:c>
      <x:c r="K234" s="48" t="n">
        <x:f>IF(OR(Inputs!$F$9=TRUE,Inputs!$F$9="TRUE",Inputs!$F$9=1),(((SQRT(((Inputs!$I$9+(((A234)+1)/2)*(Inputs!$J$9-Inputs!$I$9)))^2+Inputs!$C$6^2+((Inputs!$H$9+Inputs!$L$9*(((Inputs!$I$9+(((A234)+1)/2)*(Inputs!$J$9-Inputs!$I$9)))/Inputs!$K$9)^2))^2))-((Inputs!$H$9+Inputs!$L$9*(((Inputs!$I$9+(((A234)+1)/2)*(Inputs!$J$9-Inputs!$I$9)))/Inputs!$K$9)^2)))*1000/Inputs!$C$12),NA())</x:f>
        <x:v>154876.52740486668</x:v>
      </x:c>
      <x:c r="L234" s="49"/>
      <x:c r="M234" s="48" t="n">
        <x:f>A234</x:f>
        <x:v>0.933</x:v>
      </x:c>
      <x:c r="N234" s="48" t="n">
        <x:f>IF(OR(Inputs!$F$6=TRUE,Inputs!$F$6="TRUE",Inputs!$F$6=1),(-2*((1000*((((Inputs!$I$6+(((A234)+1)/2)*(Inputs!$J$6-Inputs!$I$6)))*Inputs!$C$11+((Inputs!$H$6+Inputs!$L$6*(((Inputs!$I$6+(((A234)+1)/2)*(Inputs!$J$6-Inputs!$I$6)))/Inputs!$K$6)^2))*((2*Inputs!$L$6*((Inputs!$I$6+(((A234)+1)/2)*(Inputs!$J$6-Inputs!$I$6)))/(Inputs!$K$6^2)*Inputs!$C$11)))/(SQRT(((Inputs!$I$6+(((A234)+1)/2)*(Inputs!$J$6-Inputs!$I$6)))^2+Inputs!$C$6^2+((Inputs!$H$6+Inputs!$L$6*(((Inputs!$I$6+(((A234)+1)/2)*(Inputs!$J$6-Inputs!$I$6)))/Inputs!$K$6)^2))^2)))))/Inputs!$C$13),NA())</x:f>
        <x:v>-416.24974460662236</x:v>
      </x:c>
      <x:c r="O234" s="48" t="n">
        <x:f>IF(OR(Inputs!$F$7=TRUE,Inputs!$F$7="TRUE",Inputs!$F$7=1),(-2*((1000*((((Inputs!$I$7+(((A234)+1)/2)*(Inputs!$J$7-Inputs!$I$7)))*Inputs!$C$11+((Inputs!$H$7+Inputs!$L$7*(((Inputs!$I$7+(((A234)+1)/2)*(Inputs!$J$7-Inputs!$I$7)))/Inputs!$K$7)^2))*((2*Inputs!$L$7*((Inputs!$I$7+(((A234)+1)/2)*(Inputs!$J$7-Inputs!$I$7)))/(Inputs!$K$7^2)*Inputs!$C$11)))/(SQRT(((Inputs!$I$7+(((A234)+1)/2)*(Inputs!$J$7-Inputs!$I$7)))^2+Inputs!$C$6^2+((Inputs!$H$7+Inputs!$L$7*(((Inputs!$I$7+(((A234)+1)/2)*(Inputs!$J$7-Inputs!$I$7)))/Inputs!$K$7)^2))^2)))))/Inputs!$C$13),NA())</x:f>
        <x:v>-3030.5681397812464</x:v>
      </x:c>
      <x:c r="P234" s="48" t="n">
        <x:f>IF(OR(Inputs!$F$8=TRUE,Inputs!$F$8="TRUE",Inputs!$F$8=1),(-2*((1000*((((Inputs!$I$8+(((A234)+1)/2)*(Inputs!$J$8-Inputs!$I$8)))*Inputs!$C$11+((Inputs!$H$8+Inputs!$L$8*(((Inputs!$I$8+(((A234)+1)/2)*(Inputs!$J$8-Inputs!$I$8)))/Inputs!$K$8)^2))*((2*Inputs!$L$8*((Inputs!$I$8+(((A234)+1)/2)*(Inputs!$J$8-Inputs!$I$8)))/(Inputs!$K$8^2)*Inputs!$C$11)))/(SQRT(((Inputs!$I$8+(((A234)+1)/2)*(Inputs!$J$8-Inputs!$I$8)))^2+Inputs!$C$6^2+((Inputs!$H$8+Inputs!$L$8*(((Inputs!$I$8+(((A234)+1)/2)*(Inputs!$J$8-Inputs!$I$8)))/Inputs!$K$8)^2))^2)))))/Inputs!$C$13),NA())</x:f>
        <x:v>-3777.4316302319507</x:v>
      </x:c>
      <x:c r="Q234" s="48" t="n">
        <x:f>IF(OR(Inputs!$F$9=TRUE,Inputs!$F$9="TRUE",Inputs!$F$9=1),(-2*((1000*((((Inputs!$I$9+(((A234)+1)/2)*(Inputs!$J$9-Inputs!$I$9)))*Inputs!$C$11+((Inputs!$H$9+Inputs!$L$9*(((Inputs!$I$9+(((A234)+1)/2)*(Inputs!$J$9-Inputs!$I$9)))/Inputs!$K$9)^2))*((2*Inputs!$L$9*((Inputs!$I$9+(((A234)+1)/2)*(Inputs!$J$9-Inputs!$I$9)))/(Inputs!$K$9^2)*Inputs!$C$11)))/(SQRT(((Inputs!$I$9+(((A234)+1)/2)*(Inputs!$J$9-Inputs!$I$9)))^2+Inputs!$C$6^2+((Inputs!$H$9+Inputs!$L$9*(((Inputs!$I$9+(((A234)+1)/2)*(Inputs!$J$9-Inputs!$I$9)))/Inputs!$K$9)^2))^2)))))/Inputs!$C$13),NA())</x:f>
        <x:v>-3804.979123893407</x:v>
      </x:c>
      <x:c r="R234" s="49"/>
      <x:c r="S234" s="48" t="n">
        <x:f>A234</x:f>
        <x:v>0.933</x:v>
      </x:c>
      <x:c r="T234" s="48" t="n">
        <x:f>(Inputs!$I$6+(((A234)+1)/2)*(Inputs!$J$6-Inputs!$I$6))</x:f>
        <x:v>55.980000000000004</x:v>
      </x:c>
      <x:c r="U234" s="48" t="n">
        <x:f>(Inputs!$I$7+(((A234)+1)/2)*(Inputs!$J$7-Inputs!$I$7))</x:f>
        <x:v>373.20000000000005</x:v>
      </x:c>
      <x:c r="V234" s="48" t="n">
        <x:f>(Inputs!$I$8+(((A234)+1)/2)*(Inputs!$J$8-Inputs!$I$8))</x:f>
        <x:v>746.4000000000001</x:v>
      </x:c>
      <x:c r="W234" s="48" t="n">
        <x:f>(Inputs!$I$9+(((A234)+1)/2)*(Inputs!$J$9-Inputs!$I$9))</x:f>
        <x:v>746.4000000000001</x:v>
      </x:c>
      <x:c r="X234" s="49"/>
      <x:c r="Y234" s="48" t="n">
        <x:f>A234</x:f>
        <x:v>0.933</x:v>
      </x:c>
      <x:c r="Z234" s="48" t="n">
        <x:f>(Inputs!$H$6+Inputs!$L$6*(((Inputs!$I$6+(((A234)+1)/2)*(Inputs!$J$6-Inputs!$I$6)))/Inputs!$K$6)^2)</x:f>
        <x:v>403.481956</x:v>
      </x:c>
      <x:c r="AA234" s="48" t="n">
        <x:f>(Inputs!$H$7+Inputs!$L$7*(((Inputs!$I$7+(((A234)+1)/2)*(Inputs!$J$7-Inputs!$I$7)))/Inputs!$K$7)^2)</x:f>
        <x:v>352.7284850000001</x:v>
      </x:c>
      <x:c r="AB234" s="48" t="n">
        <x:f>(Inputs!$H$8+Inputs!$L$8*(((Inputs!$I$8+(((A234)+1)/2)*(Inputs!$J$8-Inputs!$I$8)))/Inputs!$K$8)^2)</x:f>
        <x:v>875.0218850000002</x:v>
      </x:c>
      <x:c r="AC234" s="48" t="n">
        <x:f>(Inputs!$H$9+Inputs!$L$9*(((Inputs!$I$9+(((A234)+1)/2)*(Inputs!$J$9-Inputs!$I$9)))/Inputs!$K$9)^2)</x:f>
        <x:v>873.7267750000003</x:v>
      </x:c>
      <x:c r="AD234" s="49"/>
      <x:c r="AE234" s="48" t="n">
        <x:f>A234</x:f>
        <x:v>0.933</x:v>
      </x:c>
      <x:c r="AF234" s="48" t="n">
        <x:f>(((SQRT(((Inputs!$I$6+(((A234)+1)/2)*(Inputs!$J$6-Inputs!$I$6)))^2+Inputs!$C$6^2+((Inputs!$H$6+Inputs!$L$6*(((Inputs!$I$6+(((A234)+1)/2)*(Inputs!$J$6-Inputs!$I$6)))/Inputs!$K$6)^2))^2))-((Inputs!$H$6+Inputs!$L$6*(((Inputs!$I$6+(((A234)+1)/2)*(Inputs!$J$6-Inputs!$I$6)))/Inputs!$K$6)^2)))*1000/Inputs!$C$12)</x:f>
        <x:v>2601.867350499739</x:v>
      </x:c>
      <x:c r="AG234" s="48" t="n">
        <x:f>(((SQRT(((Inputs!$I$7+(((A234)+1)/2)*(Inputs!$J$7-Inputs!$I$7)))^2+Inputs!$C$6^2+((Inputs!$H$7+Inputs!$L$7*(((Inputs!$I$7+(((A234)+1)/2)*(Inputs!$J$7-Inputs!$I$7)))/Inputs!$K$7)^2))^2))-((Inputs!$H$7+Inputs!$L$7*(((Inputs!$I$7+(((A234)+1)/2)*(Inputs!$J$7-Inputs!$I$7)))/Inputs!$K$7)^2)))*1000/Inputs!$C$12)</x:f>
        <x:v>90670.07326171719</x:v>
      </x:c>
      <x:c r="AH234" s="48" t="n">
        <x:f>(((SQRT(((Inputs!$I$8+(((A234)+1)/2)*(Inputs!$J$8-Inputs!$I$8)))^2+Inputs!$C$6^2+((Inputs!$H$8+Inputs!$L$8*(((Inputs!$I$8+(((A234)+1)/2)*(Inputs!$J$8-Inputs!$I$8)))/Inputs!$K$8)^2))^2))-((Inputs!$H$8+Inputs!$L$8*(((Inputs!$I$8+(((A234)+1)/2)*(Inputs!$J$8-Inputs!$I$8)))/Inputs!$K$8)^2)))*1000/Inputs!$C$12)</x:f>
        <x:v>154702.19106824315</x:v>
      </x:c>
      <x:c r="AI234" s="48" t="n">
        <x:f>(((SQRT(((Inputs!$I$9+(((A234)+1)/2)*(Inputs!$J$9-Inputs!$I$9)))^2+Inputs!$C$6^2+((Inputs!$H$9+Inputs!$L$9*(((Inputs!$I$9+(((A234)+1)/2)*(Inputs!$J$9-Inputs!$I$9)))/Inputs!$K$9)^2))^2))-((Inputs!$H$9+Inputs!$L$9*(((Inputs!$I$9+(((A234)+1)/2)*(Inputs!$J$9-Inputs!$I$9)))/Inputs!$K$9)^2)))*1000/Inputs!$C$12)</x:f>
        <x:v>154876.52740486668</x:v>
      </x:c>
      <x:c r="AJ234" s="49"/>
      <x:c r="AK234" s="48" t="n">
        <x:f>A234</x:f>
        <x:v>0.933</x:v>
      </x:c>
      <x:c r="AL234" s="48" t="n">
        <x:f>(-2*((1000*((((Inputs!$I$6+(((A234)+1)/2)*(Inputs!$J$6-Inputs!$I$6)))*Inputs!$C$11+((Inputs!$H$6+Inputs!$L$6*(((Inputs!$I$6+(((A234)+1)/2)*(Inputs!$J$6-Inputs!$I$6)))/Inputs!$K$6)^2))*((2*Inputs!$L$6*((Inputs!$I$6+(((A234)+1)/2)*(Inputs!$J$6-Inputs!$I$6)))/(Inputs!$K$6^2)*Inputs!$C$11)))/(SQRT(((Inputs!$I$6+(((A234)+1)/2)*(Inputs!$J$6-Inputs!$I$6)))^2+Inputs!$C$6^2+((Inputs!$H$6+Inputs!$L$6*(((Inputs!$I$6+(((A234)+1)/2)*(Inputs!$J$6-Inputs!$I$6)))/Inputs!$K$6)^2))^2)))))/Inputs!$C$13)</x:f>
        <x:v>-416.24974460662236</x:v>
      </x:c>
      <x:c r="AM234" s="48" t="n">
        <x:f>(-2*((1000*((((Inputs!$I$7+(((A234)+1)/2)*(Inputs!$J$7-Inputs!$I$7)))*Inputs!$C$11+((Inputs!$H$7+Inputs!$L$7*(((Inputs!$I$7+(((A234)+1)/2)*(Inputs!$J$7-Inputs!$I$7)))/Inputs!$K$7)^2))*((2*Inputs!$L$7*((Inputs!$I$7+(((A234)+1)/2)*(Inputs!$J$7-Inputs!$I$7)))/(Inputs!$K$7^2)*Inputs!$C$11)))/(SQRT(((Inputs!$I$7+(((A234)+1)/2)*(Inputs!$J$7-Inputs!$I$7)))^2+Inputs!$C$6^2+((Inputs!$H$7+Inputs!$L$7*(((Inputs!$I$7+(((A234)+1)/2)*(Inputs!$J$7-Inputs!$I$7)))/Inputs!$K$7)^2))^2)))))/Inputs!$C$13)</x:f>
        <x:v>-3030.5681397812464</x:v>
      </x:c>
      <x:c r="AN234" s="48" t="n">
        <x:f>(-2*((1000*((((Inputs!$I$8+(((A234)+1)/2)*(Inputs!$J$8-Inputs!$I$8)))*Inputs!$C$11+((Inputs!$H$8+Inputs!$L$8*(((Inputs!$I$8+(((A234)+1)/2)*(Inputs!$J$8-Inputs!$I$8)))/Inputs!$K$8)^2))*((2*Inputs!$L$8*((Inputs!$I$8+(((A234)+1)/2)*(Inputs!$J$8-Inputs!$I$8)))/(Inputs!$K$8^2)*Inputs!$C$11)))/(SQRT(((Inputs!$I$8+(((A234)+1)/2)*(Inputs!$J$8-Inputs!$I$8)))^2+Inputs!$C$6^2+((Inputs!$H$8+Inputs!$L$8*(((Inputs!$I$8+(((A234)+1)/2)*(Inputs!$J$8-Inputs!$I$8)))/Inputs!$K$8)^2))^2)))))/Inputs!$C$13)</x:f>
        <x:v>-3777.4316302319507</x:v>
      </x:c>
      <x:c r="AO234" s="48" t="n">
        <x:f>(-2*((1000*((((Inputs!$I$9+(((A234)+1)/2)*(Inputs!$J$9-Inputs!$I$9)))*Inputs!$C$11+((Inputs!$H$9+Inputs!$L$9*(((Inputs!$I$9+(((A234)+1)/2)*(Inputs!$J$9-Inputs!$I$9)))/Inputs!$K$9)^2))*((2*Inputs!$L$9*((Inputs!$I$9+(((A234)+1)/2)*(Inputs!$J$9-Inputs!$I$9)))/(Inputs!$K$9^2)*Inputs!$C$11)))/(SQRT(((Inputs!$I$9+(((A234)+1)/2)*(Inputs!$J$9-Inputs!$I$9)))^2+Inputs!$C$6^2+((Inputs!$H$9+Inputs!$L$9*(((Inputs!$I$9+(((A234)+1)/2)*(Inputs!$J$9-Inputs!$I$9)))/Inputs!$K$9)^2))^2)))))/Inputs!$C$13)</x:f>
        <x:v>-3804.979123893407</x:v>
      </x:c>
    </x:row>
    <x:row r="235">
      <x:c r="A235" s="48" t="n">
        <x:f>ROUND(-1+233*2/240,3)</x:f>
        <x:v>0.942</x:v>
      </x:c>
      <x:c r="B235" s="48" t="n">
        <x:f>IF(OR(Inputs!$F$6=TRUE,Inputs!$F$6="TRUE",Inputs!$F$6=1),(Inputs!$H$6+Inputs!$L$6*(((Inputs!$I$6+(((A235)+1)/2)*(Inputs!$J$6-Inputs!$I$6)))/Inputs!$K$6)^2),NA())</x:f>
        <x:v>403.549456</x:v>
      </x:c>
      <x:c r="C235" s="48" t="n">
        <x:f>IF(OR(Inputs!$F$7=TRUE,Inputs!$F$7="TRUE",Inputs!$F$7=1),(Inputs!$H$7+Inputs!$L$7*(((Inputs!$I$7+(((A235)+1)/2)*(Inputs!$J$7-Inputs!$I$7)))/Inputs!$K$7)^2),NA())</x:f>
        <x:v>358.8878599999999</x:v>
      </x:c>
      <x:c r="D235" s="48" t="n">
        <x:f>IF(OR(Inputs!$F$8=TRUE,Inputs!$F$8="TRUE",Inputs!$F$8=1),(Inputs!$H$8+Inputs!$L$8*(((Inputs!$I$8+(((A235)+1)/2)*(Inputs!$J$8-Inputs!$I$8)))/Inputs!$K$8)^2),NA())</x:f>
        <x:v>891.3062599999997</x:v>
      </x:c>
      <x:c r="E235" s="48" t="n">
        <x:f>IF(OR(Inputs!$F$9=TRUE,Inputs!$F$9="TRUE",Inputs!$F$9=1),(Inputs!$H$9+Inputs!$L$9*(((Inputs!$I$9+(((A235)+1)/2)*(Inputs!$J$9-Inputs!$I$9)))/Inputs!$K$9)^2),NA())</x:f>
        <x:v>890.1798999999997</x:v>
      </x:c>
      <x:c r="F235" s="49"/>
      <x:c r="G235" s="48" t="n">
        <x:f>A235</x:f>
        <x:v>0.942</x:v>
      </x:c>
      <x:c r="H235" s="48" t="n">
        <x:f>IF(OR(Inputs!$F$6=TRUE,Inputs!$F$6="TRUE",Inputs!$F$6=1),(((SQRT(((Inputs!$I$6+(((A235)+1)/2)*(Inputs!$J$6-Inputs!$I$6)))^2+Inputs!$C$6^2+((Inputs!$H$6+Inputs!$L$6*(((Inputs!$I$6+(((A235)+1)/2)*(Inputs!$J$6-Inputs!$I$6)))/Inputs!$K$6)^2))^2))-((Inputs!$H$6+Inputs!$L$6*(((Inputs!$I$6+(((A235)+1)/2)*(Inputs!$J$6-Inputs!$I$6)))/Inputs!$K$6)^2)))*1000/Inputs!$C$12),NA())</x:f>
        <x:v>2643.2398455545776</x:v>
      </x:c>
      <x:c r="I235" s="48" t="n">
        <x:f>IF(OR(Inputs!$F$7=TRUE,Inputs!$F$7="TRUE",Inputs!$F$7=1),(((SQRT(((Inputs!$I$7+(((A235)+1)/2)*(Inputs!$J$7-Inputs!$I$7)))^2+Inputs!$C$6^2+((Inputs!$H$7+Inputs!$L$7*(((Inputs!$I$7+(((A235)+1)/2)*(Inputs!$J$7-Inputs!$I$7)))/Inputs!$K$7)^2))^2))-((Inputs!$H$7+Inputs!$L$7*(((Inputs!$I$7+(((A235)+1)/2)*(Inputs!$J$7-Inputs!$I$7)))/Inputs!$K$7)^2)))*1000/Inputs!$C$12),NA())</x:f>
        <x:v>91054.1442862555</x:v>
      </x:c>
      <x:c r="J235" s="48" t="n">
        <x:f>IF(OR(Inputs!$F$8=TRUE,Inputs!$F$8="TRUE",Inputs!$F$8=1),(((SQRT(((Inputs!$I$8+(((A235)+1)/2)*(Inputs!$J$8-Inputs!$I$8)))^2+Inputs!$C$6^2+((Inputs!$H$8+Inputs!$L$8*(((Inputs!$I$8+(((A235)+1)/2)*(Inputs!$J$8-Inputs!$I$8)))/Inputs!$K$8)^2))^2))-((Inputs!$H$8+Inputs!$L$8*(((Inputs!$I$8+(((A235)+1)/2)*(Inputs!$J$8-Inputs!$I$8)))/Inputs!$K$8)^2)))*1000/Inputs!$C$12),NA())</x:f>
        <x:v>155143.02155319718</x:v>
      </x:c>
      <x:c r="K235" s="48" t="n">
        <x:f>IF(OR(Inputs!$F$9=TRUE,Inputs!$F$9="TRUE",Inputs!$F$9=1),(((SQRT(((Inputs!$I$9+(((A235)+1)/2)*(Inputs!$J$9-Inputs!$I$9)))^2+Inputs!$C$6^2+((Inputs!$H$9+Inputs!$L$9*(((Inputs!$I$9+(((A235)+1)/2)*(Inputs!$J$9-Inputs!$I$9)))/Inputs!$K$9)^2))^2))-((Inputs!$H$9+Inputs!$L$9*(((Inputs!$I$9+(((A235)+1)/2)*(Inputs!$J$9-Inputs!$I$9)))/Inputs!$K$9)^2)))*1000/Inputs!$C$12),NA())</x:f>
        <x:v>155292.83013990428</x:v>
      </x:c>
      <x:c r="L235" s="49"/>
      <x:c r="M235" s="48" t="n">
        <x:f>A235</x:f>
        <x:v>0.942</x:v>
      </x:c>
      <x:c r="N235" s="48" t="n">
        <x:f>IF(OR(Inputs!$F$6=TRUE,Inputs!$F$6="TRUE",Inputs!$F$6=1),(-2*((1000*((((Inputs!$I$6+(((A235)+1)/2)*(Inputs!$J$6-Inputs!$I$6)))*Inputs!$C$11+((Inputs!$H$6+Inputs!$L$6*(((Inputs!$I$6+(((A235)+1)/2)*(Inputs!$J$6-Inputs!$I$6)))/Inputs!$K$6)^2))*((2*Inputs!$L$6*((Inputs!$I$6+(((A235)+1)/2)*(Inputs!$J$6-Inputs!$I$6)))/(Inputs!$K$6^2)*Inputs!$C$11)))/(SQRT(((Inputs!$I$6+(((A235)+1)/2)*(Inputs!$J$6-Inputs!$I$6)))^2+Inputs!$C$6^2+((Inputs!$H$6+Inputs!$L$6*(((Inputs!$I$6+(((A235)+1)/2)*(Inputs!$J$6-Inputs!$I$6)))/Inputs!$K$6)^2))^2)))))/Inputs!$C$13),NA())</x:f>
        <x:v>-420.1529464121319</x:v>
      </x:c>
      <x:c r="O235" s="48" t="n">
        <x:f>IF(OR(Inputs!$F$7=TRUE,Inputs!$F$7="TRUE",Inputs!$F$7=1),(-2*((1000*((((Inputs!$I$7+(((A235)+1)/2)*(Inputs!$J$7-Inputs!$I$7)))*Inputs!$C$11+((Inputs!$H$7+Inputs!$L$7*(((Inputs!$I$7+(((A235)+1)/2)*(Inputs!$J$7-Inputs!$I$7)))/Inputs!$K$7)^2))*((2*Inputs!$L$7*((Inputs!$I$7+(((A235)+1)/2)*(Inputs!$J$7-Inputs!$I$7)))/(Inputs!$K$7^2)*Inputs!$C$11)))/(SQRT(((Inputs!$I$7+(((A235)+1)/2)*(Inputs!$J$7-Inputs!$I$7)))^2+Inputs!$C$6^2+((Inputs!$H$7+Inputs!$L$7*(((Inputs!$I$7+(((A235)+1)/2)*(Inputs!$J$7-Inputs!$I$7)))/Inputs!$K$7)^2))^2)))))/Inputs!$C$13),NA())</x:f>
        <x:v>-3052.131395634902</x:v>
      </x:c>
      <x:c r="P235" s="48" t="n">
        <x:f>IF(OR(Inputs!$F$8=TRUE,Inputs!$F$8="TRUE",Inputs!$F$8=1),(-2*((1000*((((Inputs!$I$8+(((A235)+1)/2)*(Inputs!$J$8-Inputs!$I$8)))*Inputs!$C$11+((Inputs!$H$8+Inputs!$L$8*(((Inputs!$I$8+(((A235)+1)/2)*(Inputs!$J$8-Inputs!$I$8)))/Inputs!$K$8)^2))*((2*Inputs!$L$8*((Inputs!$I$8+(((A235)+1)/2)*(Inputs!$J$8-Inputs!$I$8)))/(Inputs!$K$8^2)*Inputs!$C$11)))/(SQRT(((Inputs!$I$8+(((A235)+1)/2)*(Inputs!$J$8-Inputs!$I$8)))^2+Inputs!$C$6^2+((Inputs!$H$8+Inputs!$L$8*(((Inputs!$I$8+(((A235)+1)/2)*(Inputs!$J$8-Inputs!$I$8)))/Inputs!$K$8)^2))^2)))))/Inputs!$C$13),NA())</x:f>
        <x:v>-3808.8271331994392</x:v>
      </x:c>
      <x:c r="Q235" s="48" t="n">
        <x:f>IF(OR(Inputs!$F$9=TRUE,Inputs!$F$9="TRUE",Inputs!$F$9=1),(-2*((1000*((((Inputs!$I$9+(((A235)+1)/2)*(Inputs!$J$9-Inputs!$I$9)))*Inputs!$C$11+((Inputs!$H$9+Inputs!$L$9*(((Inputs!$I$9+(((A235)+1)/2)*(Inputs!$J$9-Inputs!$I$9)))/Inputs!$K$9)^2))*((2*Inputs!$L$9*((Inputs!$I$9+(((A235)+1)/2)*(Inputs!$J$9-Inputs!$I$9)))/(Inputs!$K$9^2)*Inputs!$C$11)))/(SQRT(((Inputs!$I$9+(((A235)+1)/2)*(Inputs!$J$9-Inputs!$I$9)))^2+Inputs!$C$6^2+((Inputs!$H$9+Inputs!$L$9*(((Inputs!$I$9+(((A235)+1)/2)*(Inputs!$J$9-Inputs!$I$9)))/Inputs!$K$9)^2))^2)))))/Inputs!$C$13),NA())</x:f>
        <x:v>-3836.875151382399</x:v>
      </x:c>
      <x:c r="R235" s="49"/>
      <x:c r="S235" s="48" t="n">
        <x:f>A235</x:f>
        <x:v>0.942</x:v>
      </x:c>
      <x:c r="T235" s="48" t="n">
        <x:f>(Inputs!$I$6+(((A235)+1)/2)*(Inputs!$J$6-Inputs!$I$6))</x:f>
        <x:v>56.519999999999996</x:v>
      </x:c>
      <x:c r="U235" s="48" t="n">
        <x:f>(Inputs!$I$7+(((A235)+1)/2)*(Inputs!$J$7-Inputs!$I$7))</x:f>
        <x:v>376.79999999999995</x:v>
      </x:c>
      <x:c r="V235" s="48" t="n">
        <x:f>(Inputs!$I$8+(((A235)+1)/2)*(Inputs!$J$8-Inputs!$I$8))</x:f>
        <x:v>753.5999999999999</x:v>
      </x:c>
      <x:c r="W235" s="48" t="n">
        <x:f>(Inputs!$I$9+(((A235)+1)/2)*(Inputs!$J$9-Inputs!$I$9))</x:f>
        <x:v>753.5999999999999</x:v>
      </x:c>
      <x:c r="X235" s="49"/>
      <x:c r="Y235" s="48" t="n">
        <x:f>A235</x:f>
        <x:v>0.942</x:v>
      </x:c>
      <x:c r="Z235" s="48" t="n">
        <x:f>(Inputs!$H$6+Inputs!$L$6*(((Inputs!$I$6+(((A235)+1)/2)*(Inputs!$J$6-Inputs!$I$6)))/Inputs!$K$6)^2)</x:f>
        <x:v>403.549456</x:v>
      </x:c>
      <x:c r="AA235" s="48" t="n">
        <x:f>(Inputs!$H$7+Inputs!$L$7*(((Inputs!$I$7+(((A235)+1)/2)*(Inputs!$J$7-Inputs!$I$7)))/Inputs!$K$7)^2)</x:f>
        <x:v>358.8878599999999</x:v>
      </x:c>
      <x:c r="AB235" s="48" t="n">
        <x:f>(Inputs!$H$8+Inputs!$L$8*(((Inputs!$I$8+(((A235)+1)/2)*(Inputs!$J$8-Inputs!$I$8)))/Inputs!$K$8)^2)</x:f>
        <x:v>891.3062599999997</x:v>
      </x:c>
      <x:c r="AC235" s="48" t="n">
        <x:f>(Inputs!$H$9+Inputs!$L$9*(((Inputs!$I$9+(((A235)+1)/2)*(Inputs!$J$9-Inputs!$I$9)))/Inputs!$K$9)^2)</x:f>
        <x:v>890.1798999999997</x:v>
      </x:c>
      <x:c r="AD235" s="49"/>
      <x:c r="AE235" s="48" t="n">
        <x:f>A235</x:f>
        <x:v>0.942</x:v>
      </x:c>
      <x:c r="AF235" s="48" t="n">
        <x:f>(((SQRT(((Inputs!$I$6+(((A235)+1)/2)*(Inputs!$J$6-Inputs!$I$6)))^2+Inputs!$C$6^2+((Inputs!$H$6+Inputs!$L$6*(((Inputs!$I$6+(((A235)+1)/2)*(Inputs!$J$6-Inputs!$I$6)))/Inputs!$K$6)^2))^2))-((Inputs!$H$6+Inputs!$L$6*(((Inputs!$I$6+(((A235)+1)/2)*(Inputs!$J$6-Inputs!$I$6)))/Inputs!$K$6)^2)))*1000/Inputs!$C$12)</x:f>
        <x:v>2643.2398455545776</x:v>
      </x:c>
      <x:c r="AG235" s="48" t="n">
        <x:f>(((SQRT(((Inputs!$I$7+(((A235)+1)/2)*(Inputs!$J$7-Inputs!$I$7)))^2+Inputs!$C$6^2+((Inputs!$H$7+Inputs!$L$7*(((Inputs!$I$7+(((A235)+1)/2)*(Inputs!$J$7-Inputs!$I$7)))/Inputs!$K$7)^2))^2))-((Inputs!$H$7+Inputs!$L$7*(((Inputs!$I$7+(((A235)+1)/2)*(Inputs!$J$7-Inputs!$I$7)))/Inputs!$K$7)^2)))*1000/Inputs!$C$12)</x:f>
        <x:v>91054.1442862555</x:v>
      </x:c>
      <x:c r="AH235" s="48" t="n">
        <x:f>(((SQRT(((Inputs!$I$8+(((A235)+1)/2)*(Inputs!$J$8-Inputs!$I$8)))^2+Inputs!$C$6^2+((Inputs!$H$8+Inputs!$L$8*(((Inputs!$I$8+(((A235)+1)/2)*(Inputs!$J$8-Inputs!$I$8)))/Inputs!$K$8)^2))^2))-((Inputs!$H$8+Inputs!$L$8*(((Inputs!$I$8+(((A235)+1)/2)*(Inputs!$J$8-Inputs!$I$8)))/Inputs!$K$8)^2)))*1000/Inputs!$C$12)</x:f>
        <x:v>155143.02155319718</x:v>
      </x:c>
      <x:c r="AI235" s="48" t="n">
        <x:f>(((SQRT(((Inputs!$I$9+(((A235)+1)/2)*(Inputs!$J$9-Inputs!$I$9)))^2+Inputs!$C$6^2+((Inputs!$H$9+Inputs!$L$9*(((Inputs!$I$9+(((A235)+1)/2)*(Inputs!$J$9-Inputs!$I$9)))/Inputs!$K$9)^2))^2))-((Inputs!$H$9+Inputs!$L$9*(((Inputs!$I$9+(((A235)+1)/2)*(Inputs!$J$9-Inputs!$I$9)))/Inputs!$K$9)^2)))*1000/Inputs!$C$12)</x:f>
        <x:v>155292.83013990428</x:v>
      </x:c>
      <x:c r="AJ235" s="49"/>
      <x:c r="AK235" s="48" t="n">
        <x:f>A235</x:f>
        <x:v>0.942</x:v>
      </x:c>
      <x:c r="AL235" s="48" t="n">
        <x:f>(-2*((1000*((((Inputs!$I$6+(((A235)+1)/2)*(Inputs!$J$6-Inputs!$I$6)))*Inputs!$C$11+((Inputs!$H$6+Inputs!$L$6*(((Inputs!$I$6+(((A235)+1)/2)*(Inputs!$J$6-Inputs!$I$6)))/Inputs!$K$6)^2))*((2*Inputs!$L$6*((Inputs!$I$6+(((A235)+1)/2)*(Inputs!$J$6-Inputs!$I$6)))/(Inputs!$K$6^2)*Inputs!$C$11)))/(SQRT(((Inputs!$I$6+(((A235)+1)/2)*(Inputs!$J$6-Inputs!$I$6)))^2+Inputs!$C$6^2+((Inputs!$H$6+Inputs!$L$6*(((Inputs!$I$6+(((A235)+1)/2)*(Inputs!$J$6-Inputs!$I$6)))/Inputs!$K$6)^2))^2)))))/Inputs!$C$13)</x:f>
        <x:v>-420.1529464121319</x:v>
      </x:c>
      <x:c r="AM235" s="48" t="n">
        <x:f>(-2*((1000*((((Inputs!$I$7+(((A235)+1)/2)*(Inputs!$J$7-Inputs!$I$7)))*Inputs!$C$11+((Inputs!$H$7+Inputs!$L$7*(((Inputs!$I$7+(((A235)+1)/2)*(Inputs!$J$7-Inputs!$I$7)))/Inputs!$K$7)^2))*((2*Inputs!$L$7*((Inputs!$I$7+(((A235)+1)/2)*(Inputs!$J$7-Inputs!$I$7)))/(Inputs!$K$7^2)*Inputs!$C$11)))/(SQRT(((Inputs!$I$7+(((A235)+1)/2)*(Inputs!$J$7-Inputs!$I$7)))^2+Inputs!$C$6^2+((Inputs!$H$7+Inputs!$L$7*(((Inputs!$I$7+(((A235)+1)/2)*(Inputs!$J$7-Inputs!$I$7)))/Inputs!$K$7)^2))^2)))))/Inputs!$C$13)</x:f>
        <x:v>-3052.131395634902</x:v>
      </x:c>
      <x:c r="AN235" s="48" t="n">
        <x:f>(-2*((1000*((((Inputs!$I$8+(((A235)+1)/2)*(Inputs!$J$8-Inputs!$I$8)))*Inputs!$C$11+((Inputs!$H$8+Inputs!$L$8*(((Inputs!$I$8+(((A235)+1)/2)*(Inputs!$J$8-Inputs!$I$8)))/Inputs!$K$8)^2))*((2*Inputs!$L$8*((Inputs!$I$8+(((A235)+1)/2)*(Inputs!$J$8-Inputs!$I$8)))/(Inputs!$K$8^2)*Inputs!$C$11)))/(SQRT(((Inputs!$I$8+(((A235)+1)/2)*(Inputs!$J$8-Inputs!$I$8)))^2+Inputs!$C$6^2+((Inputs!$H$8+Inputs!$L$8*(((Inputs!$I$8+(((A235)+1)/2)*(Inputs!$J$8-Inputs!$I$8)))/Inputs!$K$8)^2))^2)))))/Inputs!$C$13)</x:f>
        <x:v>-3808.8271331994392</x:v>
      </x:c>
      <x:c r="AO235" s="48" t="n">
        <x:f>(-2*((1000*((((Inputs!$I$9+(((A235)+1)/2)*(Inputs!$J$9-Inputs!$I$9)))*Inputs!$C$11+((Inputs!$H$9+Inputs!$L$9*(((Inputs!$I$9+(((A235)+1)/2)*(Inputs!$J$9-Inputs!$I$9)))/Inputs!$K$9)^2))*((2*Inputs!$L$9*((Inputs!$I$9+(((A235)+1)/2)*(Inputs!$J$9-Inputs!$I$9)))/(Inputs!$K$9^2)*Inputs!$C$11)))/(SQRT(((Inputs!$I$9+(((A235)+1)/2)*(Inputs!$J$9-Inputs!$I$9)))^2+Inputs!$C$6^2+((Inputs!$H$9+Inputs!$L$9*(((Inputs!$I$9+(((A235)+1)/2)*(Inputs!$J$9-Inputs!$I$9)))/Inputs!$K$9)^2))^2)))))/Inputs!$C$13)</x:f>
        <x:v>-3836.875151382399</x:v>
      </x:c>
    </x:row>
    <x:row r="236">
      <x:c r="A236" s="48" t="n">
        <x:f>ROUND(-1+234*2/240,3)</x:f>
        <x:v>0.95</x:v>
      </x:c>
      <x:c r="B236" s="48" t="n">
        <x:f>IF(OR(Inputs!$F$6=TRUE,Inputs!$F$6="TRUE",Inputs!$F$6=1),(Inputs!$H$6+Inputs!$L$6*(((Inputs!$I$6+(((A236)+1)/2)*(Inputs!$J$6-Inputs!$I$6)))/Inputs!$K$6)^2),NA())</x:f>
        <x:v>403.61</x:v>
      </x:c>
      <x:c r="C236" s="48" t="n">
        <x:f>IF(OR(Inputs!$F$7=TRUE,Inputs!$F$7="TRUE",Inputs!$F$7=1),(Inputs!$H$7+Inputs!$L$7*(((Inputs!$I$7+(((A236)+1)/2)*(Inputs!$J$7-Inputs!$I$7)))/Inputs!$K$7)^2),NA())</x:f>
        <x:v>364.41249999999997</x:v>
      </x:c>
      <x:c r="D236" s="48" t="n">
        <x:f>IF(OR(Inputs!$F$8=TRUE,Inputs!$F$8="TRUE",Inputs!$F$8=1),(Inputs!$H$8+Inputs!$L$8*(((Inputs!$I$8+(((A236)+1)/2)*(Inputs!$J$8-Inputs!$I$8)))/Inputs!$K$8)^2),NA())</x:f>
        <x:v>905.9125</x:v>
      </x:c>
      <x:c r="E236" s="48" t="n">
        <x:f>IF(OR(Inputs!$F$9=TRUE,Inputs!$F$9="TRUE",Inputs!$F$9=1),(Inputs!$H$9+Inputs!$L$9*(((Inputs!$I$9+(((A236)+1)/2)*(Inputs!$J$9-Inputs!$I$9)))/Inputs!$K$9)^2),NA())</x:f>
        <x:v>904.9375</x:v>
      </x:c>
      <x:c r="F236" s="49"/>
      <x:c r="G236" s="48" t="n">
        <x:f>A236</x:f>
        <x:v>0.95</x:v>
      </x:c>
      <x:c r="H236" s="48" t="n">
        <x:f>IF(OR(Inputs!$F$6=TRUE,Inputs!$F$6="TRUE",Inputs!$F$6=1),(((SQRT(((Inputs!$I$6+(((A236)+1)/2)*(Inputs!$J$6-Inputs!$I$6)))^2+Inputs!$C$6^2+((Inputs!$H$6+Inputs!$L$6*(((Inputs!$I$6+(((A236)+1)/2)*(Inputs!$J$6-Inputs!$I$6)))/Inputs!$K$6)^2))^2))-((Inputs!$H$6+Inputs!$L$6*(((Inputs!$I$6+(((A236)+1)/2)*(Inputs!$J$6-Inputs!$I$6)))/Inputs!$K$6)^2)))*1000/Inputs!$C$12),NA())</x:f>
        <x:v>2680.330846175745</x:v>
      </x:c>
      <x:c r="I236" s="48" t="n">
        <x:f>IF(OR(Inputs!$F$7=TRUE,Inputs!$F$7="TRUE",Inputs!$F$7=1),(((SQRT(((Inputs!$I$7+(((A236)+1)/2)*(Inputs!$J$7-Inputs!$I$7)))^2+Inputs!$C$6^2+((Inputs!$H$7+Inputs!$L$7*(((Inputs!$I$7+(((A236)+1)/2)*(Inputs!$J$7-Inputs!$I$7)))/Inputs!$K$7)^2))^2))-((Inputs!$H$7+Inputs!$L$7*(((Inputs!$I$7+(((A236)+1)/2)*(Inputs!$J$7-Inputs!$I$7)))/Inputs!$K$7)^2)))*1000/Inputs!$C$12),NA())</x:f>
        <x:v>91390.57600820986</x:v>
      </x:c>
      <x:c r="J236" s="48" t="n">
        <x:f>IF(OR(Inputs!$F$8=TRUE,Inputs!$F$8="TRUE",Inputs!$F$8=1),(((SQRT(((Inputs!$I$8+(((A236)+1)/2)*(Inputs!$J$8-Inputs!$I$8)))^2+Inputs!$C$6^2+((Inputs!$H$8+Inputs!$L$8*(((Inputs!$I$8+(((A236)+1)/2)*(Inputs!$J$8-Inputs!$I$8)))/Inputs!$K$8)^2))^2))-((Inputs!$H$8+Inputs!$L$8*(((Inputs!$I$8+(((A236)+1)/2)*(Inputs!$J$8-Inputs!$I$8)))/Inputs!$K$8)^2)))*1000/Inputs!$C$12),NA())</x:f>
        <x:v>155527.84797426665</x:v>
      </x:c>
      <x:c r="K236" s="48" t="n">
        <x:f>IF(OR(Inputs!$F$9=TRUE,Inputs!$F$9="TRUE",Inputs!$F$9=1),(((SQRT(((Inputs!$I$9+(((A236)+1)/2)*(Inputs!$J$9-Inputs!$I$9)))^2+Inputs!$C$6^2+((Inputs!$H$9+Inputs!$L$9*(((Inputs!$I$9+(((A236)+1)/2)*(Inputs!$J$9-Inputs!$I$9)))/Inputs!$K$9)^2))^2))-((Inputs!$H$9+Inputs!$L$9*(((Inputs!$I$9+(((A236)+1)/2)*(Inputs!$J$9-Inputs!$I$9)))/Inputs!$K$9)^2)))*1000/Inputs!$C$12),NA())</x:f>
        <x:v>155656.15051535444</x:v>
      </x:c>
      <x:c r="L236" s="49"/>
      <x:c r="M236" s="48" t="n">
        <x:f>A236</x:f>
        <x:v>0.95</x:v>
      </x:c>
      <x:c r="N236" s="48" t="n">
        <x:f>IF(OR(Inputs!$F$6=TRUE,Inputs!$F$6="TRUE",Inputs!$F$6=1),(-2*((1000*((((Inputs!$I$6+(((A236)+1)/2)*(Inputs!$J$6-Inputs!$I$6)))*Inputs!$C$11+((Inputs!$H$6+Inputs!$L$6*(((Inputs!$I$6+(((A236)+1)/2)*(Inputs!$J$6-Inputs!$I$6)))/Inputs!$K$6)^2))*((2*Inputs!$L$6*((Inputs!$I$6+(((A236)+1)/2)*(Inputs!$J$6-Inputs!$I$6)))/(Inputs!$K$6^2)*Inputs!$C$11)))/(SQRT(((Inputs!$I$6+(((A236)+1)/2)*(Inputs!$J$6-Inputs!$I$6)))^2+Inputs!$C$6^2+((Inputs!$H$6+Inputs!$L$6*(((Inputs!$I$6+(((A236)+1)/2)*(Inputs!$J$6-Inputs!$I$6)))/Inputs!$K$6)^2))^2)))))/Inputs!$C$13),NA())</x:f>
        <x:v>-423.6198501715072</x:v>
      </x:c>
      <x:c r="O236" s="48" t="n">
        <x:f>IF(OR(Inputs!$F$7=TRUE,Inputs!$F$7="TRUE",Inputs!$F$7=1),(-2*((1000*((((Inputs!$I$7+(((A236)+1)/2)*(Inputs!$J$7-Inputs!$I$7)))*Inputs!$C$11+((Inputs!$H$7+Inputs!$L$7*(((Inputs!$I$7+(((A236)+1)/2)*(Inputs!$J$7-Inputs!$I$7)))/Inputs!$K$7)^2))*((2*Inputs!$L$7*((Inputs!$I$7+(((A236)+1)/2)*(Inputs!$J$7-Inputs!$I$7)))/(Inputs!$K$7^2)*Inputs!$C$11)))/(SQRT(((Inputs!$I$7+(((A236)+1)/2)*(Inputs!$J$7-Inputs!$I$7)))^2+Inputs!$C$6^2+((Inputs!$H$7+Inputs!$L$7*(((Inputs!$I$7+(((A236)+1)/2)*(Inputs!$J$7-Inputs!$I$7)))/Inputs!$K$7)^2))^2)))))/Inputs!$C$13),NA())</x:f>
        <x:v>-3071.3678147126902</x:v>
      </x:c>
      <x:c r="P236" s="48" t="n">
        <x:f>IF(OR(Inputs!$F$8=TRUE,Inputs!$F$8="TRUE",Inputs!$F$8=1),(-2*((1000*((((Inputs!$I$8+(((A236)+1)/2)*(Inputs!$J$8-Inputs!$I$8)))*Inputs!$C$11+((Inputs!$H$8+Inputs!$L$8*(((Inputs!$I$8+(((A236)+1)/2)*(Inputs!$J$8-Inputs!$I$8)))/Inputs!$K$8)^2))*((2*Inputs!$L$8*((Inputs!$I$8+(((A236)+1)/2)*(Inputs!$J$8-Inputs!$I$8)))/(Inputs!$K$8^2)*Inputs!$C$11)))/(SQRT(((Inputs!$I$8+(((A236)+1)/2)*(Inputs!$J$8-Inputs!$I$8)))^2+Inputs!$C$6^2+((Inputs!$H$8+Inputs!$L$8*(((Inputs!$I$8+(((A236)+1)/2)*(Inputs!$J$8-Inputs!$I$8)))/Inputs!$K$8)^2))^2)))))/Inputs!$C$13),NA())</x:f>
        <x:v>-3836.7983070402515</x:v>
      </x:c>
      <x:c r="Q236" s="48" t="n">
        <x:f>IF(OR(Inputs!$F$9=TRUE,Inputs!$F$9="TRUE",Inputs!$F$9=1),(-2*((1000*((((Inputs!$I$9+(((A236)+1)/2)*(Inputs!$J$9-Inputs!$I$9)))*Inputs!$C$11+((Inputs!$H$9+Inputs!$L$9*(((Inputs!$I$9+(((A236)+1)/2)*(Inputs!$J$9-Inputs!$I$9)))/Inputs!$K$9)^2))*((2*Inputs!$L$9*((Inputs!$I$9+(((A236)+1)/2)*(Inputs!$J$9-Inputs!$I$9)))/(Inputs!$K$9^2)*Inputs!$C$11)))/(SQRT(((Inputs!$I$9+(((A236)+1)/2)*(Inputs!$J$9-Inputs!$I$9)))^2+Inputs!$C$6^2+((Inputs!$H$9+Inputs!$L$9*(((Inputs!$I$9+(((A236)+1)/2)*(Inputs!$J$9-Inputs!$I$9)))/Inputs!$K$9)^2))^2)))))/Inputs!$C$13),NA())</x:f>
        <x:v>-3865.2896613548774</x:v>
      </x:c>
      <x:c r="R236" s="49"/>
      <x:c r="S236" s="48" t="n">
        <x:f>A236</x:f>
        <x:v>0.95</x:v>
      </x:c>
      <x:c r="T236" s="48" t="n">
        <x:f>(Inputs!$I$6+(((A236)+1)/2)*(Inputs!$J$6-Inputs!$I$6))</x:f>
        <x:v>57</x:v>
      </x:c>
      <x:c r="U236" s="48" t="n">
        <x:f>(Inputs!$I$7+(((A236)+1)/2)*(Inputs!$J$7-Inputs!$I$7))</x:f>
        <x:v>380</x:v>
      </x:c>
      <x:c r="V236" s="48" t="n">
        <x:f>(Inputs!$I$8+(((A236)+1)/2)*(Inputs!$J$8-Inputs!$I$8))</x:f>
        <x:v>760</x:v>
      </x:c>
      <x:c r="W236" s="48" t="n">
        <x:f>(Inputs!$I$9+(((A236)+1)/2)*(Inputs!$J$9-Inputs!$I$9))</x:f>
        <x:v>760</x:v>
      </x:c>
      <x:c r="X236" s="49"/>
      <x:c r="Y236" s="48" t="n">
        <x:f>A236</x:f>
        <x:v>0.95</x:v>
      </x:c>
      <x:c r="Z236" s="48" t="n">
        <x:f>(Inputs!$H$6+Inputs!$L$6*(((Inputs!$I$6+(((A236)+1)/2)*(Inputs!$J$6-Inputs!$I$6)))/Inputs!$K$6)^2)</x:f>
        <x:v>403.61</x:v>
      </x:c>
      <x:c r="AA236" s="48" t="n">
        <x:f>(Inputs!$H$7+Inputs!$L$7*(((Inputs!$I$7+(((A236)+1)/2)*(Inputs!$J$7-Inputs!$I$7)))/Inputs!$K$7)^2)</x:f>
        <x:v>364.41249999999997</x:v>
      </x:c>
      <x:c r="AB236" s="48" t="n">
        <x:f>(Inputs!$H$8+Inputs!$L$8*(((Inputs!$I$8+(((A236)+1)/2)*(Inputs!$J$8-Inputs!$I$8)))/Inputs!$K$8)^2)</x:f>
        <x:v>905.9125</x:v>
      </x:c>
      <x:c r="AC236" s="48" t="n">
        <x:f>(Inputs!$H$9+Inputs!$L$9*(((Inputs!$I$9+(((A236)+1)/2)*(Inputs!$J$9-Inputs!$I$9)))/Inputs!$K$9)^2)</x:f>
        <x:v>904.9375</x:v>
      </x:c>
      <x:c r="AD236" s="49"/>
      <x:c r="AE236" s="48" t="n">
        <x:f>A236</x:f>
        <x:v>0.95</x:v>
      </x:c>
      <x:c r="AF236" s="48" t="n">
        <x:f>(((SQRT(((Inputs!$I$6+(((A236)+1)/2)*(Inputs!$J$6-Inputs!$I$6)))^2+Inputs!$C$6^2+((Inputs!$H$6+Inputs!$L$6*(((Inputs!$I$6+(((A236)+1)/2)*(Inputs!$J$6-Inputs!$I$6)))/Inputs!$K$6)^2))^2))-((Inputs!$H$6+Inputs!$L$6*(((Inputs!$I$6+(((A236)+1)/2)*(Inputs!$J$6-Inputs!$I$6)))/Inputs!$K$6)^2)))*1000/Inputs!$C$12)</x:f>
        <x:v>2680.330846175745</x:v>
      </x:c>
      <x:c r="AG236" s="48" t="n">
        <x:f>(((SQRT(((Inputs!$I$7+(((A236)+1)/2)*(Inputs!$J$7-Inputs!$I$7)))^2+Inputs!$C$6^2+((Inputs!$H$7+Inputs!$L$7*(((Inputs!$I$7+(((A236)+1)/2)*(Inputs!$J$7-Inputs!$I$7)))/Inputs!$K$7)^2))^2))-((Inputs!$H$7+Inputs!$L$7*(((Inputs!$I$7+(((A236)+1)/2)*(Inputs!$J$7-Inputs!$I$7)))/Inputs!$K$7)^2)))*1000/Inputs!$C$12)</x:f>
        <x:v>91390.57600820986</x:v>
      </x:c>
      <x:c r="AH236" s="48" t="n">
        <x:f>(((SQRT(((Inputs!$I$8+(((A236)+1)/2)*(Inputs!$J$8-Inputs!$I$8)))^2+Inputs!$C$6^2+((Inputs!$H$8+Inputs!$L$8*(((Inputs!$I$8+(((A236)+1)/2)*(Inputs!$J$8-Inputs!$I$8)))/Inputs!$K$8)^2))^2))-((Inputs!$H$8+Inputs!$L$8*(((Inputs!$I$8+(((A236)+1)/2)*(Inputs!$J$8-Inputs!$I$8)))/Inputs!$K$8)^2)))*1000/Inputs!$C$12)</x:f>
        <x:v>155527.84797426665</x:v>
      </x:c>
      <x:c r="AI236" s="48" t="n">
        <x:f>(((SQRT(((Inputs!$I$9+(((A236)+1)/2)*(Inputs!$J$9-Inputs!$I$9)))^2+Inputs!$C$6^2+((Inputs!$H$9+Inputs!$L$9*(((Inputs!$I$9+(((A236)+1)/2)*(Inputs!$J$9-Inputs!$I$9)))/Inputs!$K$9)^2))^2))-((Inputs!$H$9+Inputs!$L$9*(((Inputs!$I$9+(((A236)+1)/2)*(Inputs!$J$9-Inputs!$I$9)))/Inputs!$K$9)^2)))*1000/Inputs!$C$12)</x:f>
        <x:v>155656.15051535444</x:v>
      </x:c>
      <x:c r="AJ236" s="49"/>
      <x:c r="AK236" s="48" t="n">
        <x:f>A236</x:f>
        <x:v>0.95</x:v>
      </x:c>
      <x:c r="AL236" s="48" t="n">
        <x:f>(-2*((1000*((((Inputs!$I$6+(((A236)+1)/2)*(Inputs!$J$6-Inputs!$I$6)))*Inputs!$C$11+((Inputs!$H$6+Inputs!$L$6*(((Inputs!$I$6+(((A236)+1)/2)*(Inputs!$J$6-Inputs!$I$6)))/Inputs!$K$6)^2))*((2*Inputs!$L$6*((Inputs!$I$6+(((A236)+1)/2)*(Inputs!$J$6-Inputs!$I$6)))/(Inputs!$K$6^2)*Inputs!$C$11)))/(SQRT(((Inputs!$I$6+(((A236)+1)/2)*(Inputs!$J$6-Inputs!$I$6)))^2+Inputs!$C$6^2+((Inputs!$H$6+Inputs!$L$6*(((Inputs!$I$6+(((A236)+1)/2)*(Inputs!$J$6-Inputs!$I$6)))/Inputs!$K$6)^2))^2)))))/Inputs!$C$13)</x:f>
        <x:v>-423.6198501715072</x:v>
      </x:c>
      <x:c r="AM236" s="48" t="n">
        <x:f>(-2*((1000*((((Inputs!$I$7+(((A236)+1)/2)*(Inputs!$J$7-Inputs!$I$7)))*Inputs!$C$11+((Inputs!$H$7+Inputs!$L$7*(((Inputs!$I$7+(((A236)+1)/2)*(Inputs!$J$7-Inputs!$I$7)))/Inputs!$K$7)^2))*((2*Inputs!$L$7*((Inputs!$I$7+(((A236)+1)/2)*(Inputs!$J$7-Inputs!$I$7)))/(Inputs!$K$7^2)*Inputs!$C$11)))/(SQRT(((Inputs!$I$7+(((A236)+1)/2)*(Inputs!$J$7-Inputs!$I$7)))^2+Inputs!$C$6^2+((Inputs!$H$7+Inputs!$L$7*(((Inputs!$I$7+(((A236)+1)/2)*(Inputs!$J$7-Inputs!$I$7)))/Inputs!$K$7)^2))^2)))))/Inputs!$C$13)</x:f>
        <x:v>-3071.3678147126902</x:v>
      </x:c>
      <x:c r="AN236" s="48" t="n">
        <x:f>(-2*((1000*((((Inputs!$I$8+(((A236)+1)/2)*(Inputs!$J$8-Inputs!$I$8)))*Inputs!$C$11+((Inputs!$H$8+Inputs!$L$8*(((Inputs!$I$8+(((A236)+1)/2)*(Inputs!$J$8-Inputs!$I$8)))/Inputs!$K$8)^2))*((2*Inputs!$L$8*((Inputs!$I$8+(((A236)+1)/2)*(Inputs!$J$8-Inputs!$I$8)))/(Inputs!$K$8^2)*Inputs!$C$11)))/(SQRT(((Inputs!$I$8+(((A236)+1)/2)*(Inputs!$J$8-Inputs!$I$8)))^2+Inputs!$C$6^2+((Inputs!$H$8+Inputs!$L$8*(((Inputs!$I$8+(((A236)+1)/2)*(Inputs!$J$8-Inputs!$I$8)))/Inputs!$K$8)^2))^2)))))/Inputs!$C$13)</x:f>
        <x:v>-3836.7983070402515</x:v>
      </x:c>
      <x:c r="AO236" s="48" t="n">
        <x:f>(-2*((1000*((((Inputs!$I$9+(((A236)+1)/2)*(Inputs!$J$9-Inputs!$I$9)))*Inputs!$C$11+((Inputs!$H$9+Inputs!$L$9*(((Inputs!$I$9+(((A236)+1)/2)*(Inputs!$J$9-Inputs!$I$9)))/Inputs!$K$9)^2))*((2*Inputs!$L$9*((Inputs!$I$9+(((A236)+1)/2)*(Inputs!$J$9-Inputs!$I$9)))/(Inputs!$K$9^2)*Inputs!$C$11)))/(SQRT(((Inputs!$I$9+(((A236)+1)/2)*(Inputs!$J$9-Inputs!$I$9)))^2+Inputs!$C$6^2+((Inputs!$H$9+Inputs!$L$9*(((Inputs!$I$9+(((A236)+1)/2)*(Inputs!$J$9-Inputs!$I$9)))/Inputs!$K$9)^2))^2)))))/Inputs!$C$13)</x:f>
        <x:v>-3865.2896613548774</x:v>
      </x:c>
    </x:row>
    <x:row r="237">
      <x:c r="A237" s="48" t="n">
        <x:f>ROUND(-1+235*2/240,3)</x:f>
        <x:v>0.958</x:v>
      </x:c>
      <x:c r="B237" s="48" t="n">
        <x:f>IF(OR(Inputs!$F$6=TRUE,Inputs!$F$6="TRUE",Inputs!$F$6=1),(Inputs!$H$6+Inputs!$L$6*(((Inputs!$I$6+(((A237)+1)/2)*(Inputs!$J$6-Inputs!$I$6)))/Inputs!$K$6)^2),NA())</x:f>
        <x:v>403.671056</x:v>
      </x:c>
      <x:c r="C237" s="48" t="n">
        <x:f>IF(OR(Inputs!$F$7=TRUE,Inputs!$F$7="TRUE",Inputs!$F$7=1),(Inputs!$H$7+Inputs!$L$7*(((Inputs!$I$7+(((A237)+1)/2)*(Inputs!$J$7-Inputs!$I$7)))/Inputs!$K$7)^2),NA())</x:f>
        <x:v>369.9838599999999</x:v>
      </x:c>
      <x:c r="D237" s="48" t="n">
        <x:f>IF(OR(Inputs!$F$8=TRUE,Inputs!$F$8="TRUE",Inputs!$F$8=1),(Inputs!$H$8+Inputs!$L$8*(((Inputs!$I$8+(((A237)+1)/2)*(Inputs!$J$8-Inputs!$I$8)))/Inputs!$K$8)^2),NA())</x:f>
        <x:v>920.6422599999997</x:v>
      </x:c>
      <x:c r="E237" s="48" t="n">
        <x:f>IF(OR(Inputs!$F$9=TRUE,Inputs!$F$9="TRUE",Inputs!$F$9=1),(Inputs!$H$9+Inputs!$L$9*(((Inputs!$I$9+(((A237)+1)/2)*(Inputs!$J$9-Inputs!$I$9)))/Inputs!$K$9)^2),NA())</x:f>
        <x:v>919.8198999999997</x:v>
      </x:c>
      <x:c r="F237" s="49"/>
      <x:c r="G237" s="48" t="n">
        <x:f>A237</x:f>
        <x:v>0.958</x:v>
      </x:c>
      <x:c r="H237" s="48" t="n">
        <x:f>IF(OR(Inputs!$F$6=TRUE,Inputs!$F$6="TRUE",Inputs!$F$6=1),(((SQRT(((Inputs!$I$6+(((A237)+1)/2)*(Inputs!$J$6-Inputs!$I$6)))^2+Inputs!$C$6^2+((Inputs!$H$6+Inputs!$L$6*(((Inputs!$I$6+(((A237)+1)/2)*(Inputs!$J$6-Inputs!$I$6)))/Inputs!$K$6)^2))^2))-((Inputs!$H$6+Inputs!$L$6*(((Inputs!$I$6+(((A237)+1)/2)*(Inputs!$J$6-Inputs!$I$6)))/Inputs!$K$6)^2)))*1000/Inputs!$C$12),NA())</x:f>
        <x:v>2717.718307791033</x:v>
      </x:c>
      <x:c r="I237" s="48" t="n">
        <x:f>IF(OR(Inputs!$F$7=TRUE,Inputs!$F$7="TRUE",Inputs!$F$7=1),(((SQRT(((Inputs!$I$7+(((A237)+1)/2)*(Inputs!$J$7-Inputs!$I$7)))^2+Inputs!$C$6^2+((Inputs!$H$7+Inputs!$L$7*(((Inputs!$I$7+(((A237)+1)/2)*(Inputs!$J$7-Inputs!$I$7)))/Inputs!$K$7)^2))^2))-((Inputs!$H$7+Inputs!$L$7*(((Inputs!$I$7+(((A237)+1)/2)*(Inputs!$J$7-Inputs!$I$7)))/Inputs!$K$7)^2)))*1000/Inputs!$C$12),NA())</x:f>
        <x:v>91722.41052610266</x:v>
      </x:c>
      <x:c r="J237" s="48" t="n">
        <x:f>IF(OR(Inputs!$F$8=TRUE,Inputs!$F$8="TRUE",Inputs!$F$8=1),(((SQRT(((Inputs!$I$8+(((A237)+1)/2)*(Inputs!$J$8-Inputs!$I$8)))^2+Inputs!$C$6^2+((Inputs!$H$8+Inputs!$L$8*(((Inputs!$I$8+(((A237)+1)/2)*(Inputs!$J$8-Inputs!$I$8)))/Inputs!$K$8)^2))^2))-((Inputs!$H$8+Inputs!$L$8*(((Inputs!$I$8+(((A237)+1)/2)*(Inputs!$J$8-Inputs!$I$8)))/Inputs!$K$8)^2)))*1000/Inputs!$C$12),NA())</x:f>
        <x:v>155906.20411800177</x:v>
      </x:c>
      <x:c r="K237" s="48" t="n">
        <x:f>IF(OR(Inputs!$F$9=TRUE,Inputs!$F$9="TRUE",Inputs!$F$9=1),(((SQRT(((Inputs!$I$9+(((A237)+1)/2)*(Inputs!$J$9-Inputs!$I$9)))^2+Inputs!$C$6^2+((Inputs!$H$9+Inputs!$L$9*(((Inputs!$I$9+(((A237)+1)/2)*(Inputs!$J$9-Inputs!$I$9)))/Inputs!$K$9)^2))^2))-((Inputs!$H$9+Inputs!$L$9*(((Inputs!$I$9+(((A237)+1)/2)*(Inputs!$J$9-Inputs!$I$9)))/Inputs!$K$9)^2)))*1000/Inputs!$C$12),NA())</x:f>
        <x:v>156013.27610946962</x:v>
      </x:c>
      <x:c r="L237" s="49"/>
      <x:c r="M237" s="48" t="n">
        <x:f>A237</x:f>
        <x:v>0.958</x:v>
      </x:c>
      <x:c r="N237" s="48" t="n">
        <x:f>IF(OR(Inputs!$F$6=TRUE,Inputs!$F$6="TRUE",Inputs!$F$6=1),(-2*((1000*((((Inputs!$I$6+(((A237)+1)/2)*(Inputs!$J$6-Inputs!$I$6)))*Inputs!$C$11+((Inputs!$H$6+Inputs!$L$6*(((Inputs!$I$6+(((A237)+1)/2)*(Inputs!$J$6-Inputs!$I$6)))/Inputs!$K$6)^2))*((2*Inputs!$L$6*((Inputs!$I$6+(((A237)+1)/2)*(Inputs!$J$6-Inputs!$I$6)))/(Inputs!$K$6^2)*Inputs!$C$11)))/(SQRT(((Inputs!$I$6+(((A237)+1)/2)*(Inputs!$J$6-Inputs!$I$6)))^2+Inputs!$C$6^2+((Inputs!$H$6+Inputs!$L$6*(((Inputs!$I$6+(((A237)+1)/2)*(Inputs!$J$6-Inputs!$I$6)))/Inputs!$K$6)^2))^2)))))/Inputs!$C$13),NA())</x:f>
        <x:v>-427.08428071365734</x:v>
      </x:c>
      <x:c r="O237" s="48" t="n">
        <x:f>IF(OR(Inputs!$F$7=TRUE,Inputs!$F$7="TRUE",Inputs!$F$7=1),(-2*((1000*((((Inputs!$I$7+(((A237)+1)/2)*(Inputs!$J$7-Inputs!$I$7)))*Inputs!$C$11+((Inputs!$H$7+Inputs!$L$7*(((Inputs!$I$7+(((A237)+1)/2)*(Inputs!$J$7-Inputs!$I$7)))/Inputs!$K$7)^2))*((2*Inputs!$L$7*((Inputs!$I$7+(((A237)+1)/2)*(Inputs!$J$7-Inputs!$I$7)))/(Inputs!$K$7^2)*Inputs!$C$11)))/(SQRT(((Inputs!$I$7+(((A237)+1)/2)*(Inputs!$J$7-Inputs!$I$7)))^2+Inputs!$C$6^2+((Inputs!$H$7+Inputs!$L$7*(((Inputs!$I$7+(((A237)+1)/2)*(Inputs!$J$7-Inputs!$I$7)))/Inputs!$K$7)^2))^2)))))/Inputs!$C$13),NA())</x:f>
        <x:v>-3090.6682062831487</x:v>
      </x:c>
      <x:c r="P237" s="48" t="n">
        <x:f>IF(OR(Inputs!$F$8=TRUE,Inputs!$F$8="TRUE",Inputs!$F$8=1),(-2*((1000*((((Inputs!$I$8+(((A237)+1)/2)*(Inputs!$J$8-Inputs!$I$8)))*Inputs!$C$11+((Inputs!$H$8+Inputs!$L$8*(((Inputs!$I$8+(((A237)+1)/2)*(Inputs!$J$8-Inputs!$I$8)))/Inputs!$K$8)^2))*((2*Inputs!$L$8*((Inputs!$I$8+(((A237)+1)/2)*(Inputs!$J$8-Inputs!$I$8)))/(Inputs!$K$8^2)*Inputs!$C$11)))/(SQRT(((Inputs!$I$8+(((A237)+1)/2)*(Inputs!$J$8-Inputs!$I$8)))^2+Inputs!$C$6^2+((Inputs!$H$8+Inputs!$L$8*(((Inputs!$I$8+(((A237)+1)/2)*(Inputs!$J$8-Inputs!$I$8)))/Inputs!$K$8)^2))^2)))))/Inputs!$C$13),NA())</x:f>
        <x:v>-3864.8283636843676</x:v>
      </x:c>
      <x:c r="Q237" s="48" t="n">
        <x:f>IF(OR(Inputs!$F$9=TRUE,Inputs!$F$9="TRUE",Inputs!$F$9=1),(-2*((1000*((((Inputs!$I$9+(((A237)+1)/2)*(Inputs!$J$9-Inputs!$I$9)))*Inputs!$C$11+((Inputs!$H$9+Inputs!$L$9*(((Inputs!$I$9+(((A237)+1)/2)*(Inputs!$J$9-Inputs!$I$9)))/Inputs!$K$9)^2))*((2*Inputs!$L$9*((Inputs!$I$9+(((A237)+1)/2)*(Inputs!$J$9-Inputs!$I$9)))/(Inputs!$K$9^2)*Inputs!$C$11)))/(SQRT(((Inputs!$I$9+(((A237)+1)/2)*(Inputs!$J$9-Inputs!$I$9)))^2+Inputs!$C$6^2+((Inputs!$H$9+Inputs!$L$9*(((Inputs!$I$9+(((A237)+1)/2)*(Inputs!$J$9-Inputs!$I$9)))/Inputs!$K$9)^2))^2)))))/Inputs!$C$13),NA())</x:f>
        <x:v>-3893.7615736346006</x:v>
      </x:c>
      <x:c r="R237" s="49"/>
      <x:c r="S237" s="48" t="n">
        <x:f>A237</x:f>
        <x:v>0.958</x:v>
      </x:c>
      <x:c r="T237" s="48" t="n">
        <x:f>(Inputs!$I$6+(((A237)+1)/2)*(Inputs!$J$6-Inputs!$I$6))</x:f>
        <x:v>57.480000000000004</x:v>
      </x:c>
      <x:c r="U237" s="48" t="n">
        <x:f>(Inputs!$I$7+(((A237)+1)/2)*(Inputs!$J$7-Inputs!$I$7))</x:f>
        <x:v>383.19999999999993</x:v>
      </x:c>
      <x:c r="V237" s="48" t="n">
        <x:f>(Inputs!$I$8+(((A237)+1)/2)*(Inputs!$J$8-Inputs!$I$8))</x:f>
        <x:v>766.3999999999999</x:v>
      </x:c>
      <x:c r="W237" s="48" t="n">
        <x:f>(Inputs!$I$9+(((A237)+1)/2)*(Inputs!$J$9-Inputs!$I$9))</x:f>
        <x:v>766.3999999999999</x:v>
      </x:c>
      <x:c r="X237" s="49"/>
      <x:c r="Y237" s="48" t="n">
        <x:f>A237</x:f>
        <x:v>0.958</x:v>
      </x:c>
      <x:c r="Z237" s="48" t="n">
        <x:f>(Inputs!$H$6+Inputs!$L$6*(((Inputs!$I$6+(((A237)+1)/2)*(Inputs!$J$6-Inputs!$I$6)))/Inputs!$K$6)^2)</x:f>
        <x:v>403.671056</x:v>
      </x:c>
      <x:c r="AA237" s="48" t="n">
        <x:f>(Inputs!$H$7+Inputs!$L$7*(((Inputs!$I$7+(((A237)+1)/2)*(Inputs!$J$7-Inputs!$I$7)))/Inputs!$K$7)^2)</x:f>
        <x:v>369.9838599999999</x:v>
      </x:c>
      <x:c r="AB237" s="48" t="n">
        <x:f>(Inputs!$H$8+Inputs!$L$8*(((Inputs!$I$8+(((A237)+1)/2)*(Inputs!$J$8-Inputs!$I$8)))/Inputs!$K$8)^2)</x:f>
        <x:v>920.6422599999997</x:v>
      </x:c>
      <x:c r="AC237" s="48" t="n">
        <x:f>(Inputs!$H$9+Inputs!$L$9*(((Inputs!$I$9+(((A237)+1)/2)*(Inputs!$J$9-Inputs!$I$9)))/Inputs!$K$9)^2)</x:f>
        <x:v>919.8198999999997</x:v>
      </x:c>
      <x:c r="AD237" s="49"/>
      <x:c r="AE237" s="48" t="n">
        <x:f>A237</x:f>
        <x:v>0.958</x:v>
      </x:c>
      <x:c r="AF237" s="48" t="n">
        <x:f>(((SQRT(((Inputs!$I$6+(((A237)+1)/2)*(Inputs!$J$6-Inputs!$I$6)))^2+Inputs!$C$6^2+((Inputs!$H$6+Inputs!$L$6*(((Inputs!$I$6+(((A237)+1)/2)*(Inputs!$J$6-Inputs!$I$6)))/Inputs!$K$6)^2))^2))-((Inputs!$H$6+Inputs!$L$6*(((Inputs!$I$6+(((A237)+1)/2)*(Inputs!$J$6-Inputs!$I$6)))/Inputs!$K$6)^2)))*1000/Inputs!$C$12)</x:f>
        <x:v>2717.718307791033</x:v>
      </x:c>
      <x:c r="AG237" s="48" t="n">
        <x:f>(((SQRT(((Inputs!$I$7+(((A237)+1)/2)*(Inputs!$J$7-Inputs!$I$7)))^2+Inputs!$C$6^2+((Inputs!$H$7+Inputs!$L$7*(((Inputs!$I$7+(((A237)+1)/2)*(Inputs!$J$7-Inputs!$I$7)))/Inputs!$K$7)^2))^2))-((Inputs!$H$7+Inputs!$L$7*(((Inputs!$I$7+(((A237)+1)/2)*(Inputs!$J$7-Inputs!$I$7)))/Inputs!$K$7)^2)))*1000/Inputs!$C$12)</x:f>
        <x:v>91722.41052610266</x:v>
      </x:c>
      <x:c r="AH237" s="48" t="n">
        <x:f>(((SQRT(((Inputs!$I$8+(((A237)+1)/2)*(Inputs!$J$8-Inputs!$I$8)))^2+Inputs!$C$6^2+((Inputs!$H$8+Inputs!$L$8*(((Inputs!$I$8+(((A237)+1)/2)*(Inputs!$J$8-Inputs!$I$8)))/Inputs!$K$8)^2))^2))-((Inputs!$H$8+Inputs!$L$8*(((Inputs!$I$8+(((A237)+1)/2)*(Inputs!$J$8-Inputs!$I$8)))/Inputs!$K$8)^2)))*1000/Inputs!$C$12)</x:f>
        <x:v>155906.20411800177</x:v>
      </x:c>
      <x:c r="AI237" s="48" t="n">
        <x:f>(((SQRT(((Inputs!$I$9+(((A237)+1)/2)*(Inputs!$J$9-Inputs!$I$9)))^2+Inputs!$C$6^2+((Inputs!$H$9+Inputs!$L$9*(((Inputs!$I$9+(((A237)+1)/2)*(Inputs!$J$9-Inputs!$I$9)))/Inputs!$K$9)^2))^2))-((Inputs!$H$9+Inputs!$L$9*(((Inputs!$I$9+(((A237)+1)/2)*(Inputs!$J$9-Inputs!$I$9)))/Inputs!$K$9)^2)))*1000/Inputs!$C$12)</x:f>
        <x:v>156013.27610946962</x:v>
      </x:c>
      <x:c r="AJ237" s="49"/>
      <x:c r="AK237" s="48" t="n">
        <x:f>A237</x:f>
        <x:v>0.958</x:v>
      </x:c>
      <x:c r="AL237" s="48" t="n">
        <x:f>(-2*((1000*((((Inputs!$I$6+(((A237)+1)/2)*(Inputs!$J$6-Inputs!$I$6)))*Inputs!$C$11+((Inputs!$H$6+Inputs!$L$6*(((Inputs!$I$6+(((A237)+1)/2)*(Inputs!$J$6-Inputs!$I$6)))/Inputs!$K$6)^2))*((2*Inputs!$L$6*((Inputs!$I$6+(((A237)+1)/2)*(Inputs!$J$6-Inputs!$I$6)))/(Inputs!$K$6^2)*Inputs!$C$11)))/(SQRT(((Inputs!$I$6+(((A237)+1)/2)*(Inputs!$J$6-Inputs!$I$6)))^2+Inputs!$C$6^2+((Inputs!$H$6+Inputs!$L$6*(((Inputs!$I$6+(((A237)+1)/2)*(Inputs!$J$6-Inputs!$I$6)))/Inputs!$K$6)^2))^2)))))/Inputs!$C$13)</x:f>
        <x:v>-427.08428071365734</x:v>
      </x:c>
      <x:c r="AM237" s="48" t="n">
        <x:f>(-2*((1000*((((Inputs!$I$7+(((A237)+1)/2)*(Inputs!$J$7-Inputs!$I$7)))*Inputs!$C$11+((Inputs!$H$7+Inputs!$L$7*(((Inputs!$I$7+(((A237)+1)/2)*(Inputs!$J$7-Inputs!$I$7)))/Inputs!$K$7)^2))*((2*Inputs!$L$7*((Inputs!$I$7+(((A237)+1)/2)*(Inputs!$J$7-Inputs!$I$7)))/(Inputs!$K$7^2)*Inputs!$C$11)))/(SQRT(((Inputs!$I$7+(((A237)+1)/2)*(Inputs!$J$7-Inputs!$I$7)))^2+Inputs!$C$6^2+((Inputs!$H$7+Inputs!$L$7*(((Inputs!$I$7+(((A237)+1)/2)*(Inputs!$J$7-Inputs!$I$7)))/Inputs!$K$7)^2))^2)))))/Inputs!$C$13)</x:f>
        <x:v>-3090.6682062831487</x:v>
      </x:c>
      <x:c r="AN237" s="48" t="n">
        <x:f>(-2*((1000*((((Inputs!$I$8+(((A237)+1)/2)*(Inputs!$J$8-Inputs!$I$8)))*Inputs!$C$11+((Inputs!$H$8+Inputs!$L$8*(((Inputs!$I$8+(((A237)+1)/2)*(Inputs!$J$8-Inputs!$I$8)))/Inputs!$K$8)^2))*((2*Inputs!$L$8*((Inputs!$I$8+(((A237)+1)/2)*(Inputs!$J$8-Inputs!$I$8)))/(Inputs!$K$8^2)*Inputs!$C$11)))/(SQRT(((Inputs!$I$8+(((A237)+1)/2)*(Inputs!$J$8-Inputs!$I$8)))^2+Inputs!$C$6^2+((Inputs!$H$8+Inputs!$L$8*(((Inputs!$I$8+(((A237)+1)/2)*(Inputs!$J$8-Inputs!$I$8)))/Inputs!$K$8)^2))^2)))))/Inputs!$C$13)</x:f>
        <x:v>-3864.8283636843676</x:v>
      </x:c>
      <x:c r="AO237" s="48" t="n">
        <x:f>(-2*((1000*((((Inputs!$I$9+(((A237)+1)/2)*(Inputs!$J$9-Inputs!$I$9)))*Inputs!$C$11+((Inputs!$H$9+Inputs!$L$9*(((Inputs!$I$9+(((A237)+1)/2)*(Inputs!$J$9-Inputs!$I$9)))/Inputs!$K$9)^2))*((2*Inputs!$L$9*((Inputs!$I$9+(((A237)+1)/2)*(Inputs!$J$9-Inputs!$I$9)))/(Inputs!$K$9^2)*Inputs!$C$11)))/(SQRT(((Inputs!$I$9+(((A237)+1)/2)*(Inputs!$J$9-Inputs!$I$9)))^2+Inputs!$C$6^2+((Inputs!$H$9+Inputs!$L$9*(((Inputs!$I$9+(((A237)+1)/2)*(Inputs!$J$9-Inputs!$I$9)))/Inputs!$K$9)^2))^2)))))/Inputs!$C$13)</x:f>
        <x:v>-3893.7615736346006</x:v>
      </x:c>
    </x:row>
    <x:row r="238">
      <x:c r="A238" s="48" t="n">
        <x:f>ROUND(-1+236*2/240,3)</x:f>
        <x:v>0.967</x:v>
      </x:c>
      <x:c r="B238" s="48" t="n">
        <x:f>IF(OR(Inputs!$F$6=TRUE,Inputs!$F$6="TRUE",Inputs!$F$6=1),(Inputs!$H$6+Inputs!$L$6*(((Inputs!$I$6+(((A238)+1)/2)*(Inputs!$J$6-Inputs!$I$6)))/Inputs!$K$6)^2),NA())</x:f>
        <x:v>403.740356</x:v>
      </x:c>
      <x:c r="C238" s="48" t="n">
        <x:f>IF(OR(Inputs!$F$7=TRUE,Inputs!$F$7="TRUE",Inputs!$F$7=1),(Inputs!$H$7+Inputs!$L$7*(((Inputs!$I$7+(((A238)+1)/2)*(Inputs!$J$7-Inputs!$I$7)))/Inputs!$K$7)^2),NA())</x:f>
        <x:v>376.30748500000016</x:v>
      </x:c>
      <x:c r="D238" s="48" t="n">
        <x:f>IF(OR(Inputs!$F$8=TRUE,Inputs!$F$8="TRUE",Inputs!$F$8=1),(Inputs!$H$8+Inputs!$L$8*(((Inputs!$I$8+(((A238)+1)/2)*(Inputs!$J$8-Inputs!$I$8)))/Inputs!$K$8)^2),NA())</x:f>
        <x:v>937.3608850000004</x:v>
      </x:c>
      <x:c r="E238" s="48" t="n">
        <x:f>IF(OR(Inputs!$F$9=TRUE,Inputs!$F$9="TRUE",Inputs!$F$9=1),(Inputs!$H$9+Inputs!$L$9*(((Inputs!$I$9+(((A238)+1)/2)*(Inputs!$J$9-Inputs!$I$9)))/Inputs!$K$9)^2),NA())</x:f>
        <x:v>936.7117750000003</x:v>
      </x:c>
      <x:c r="F238" s="49"/>
      <x:c r="G238" s="48" t="n">
        <x:f>A238</x:f>
        <x:v>0.967</x:v>
      </x:c>
      <x:c r="H238" s="48" t="n">
        <x:f>IF(OR(Inputs!$F$6=TRUE,Inputs!$F$6="TRUE",Inputs!$F$6=1),(((SQRT(((Inputs!$I$6+(((A238)+1)/2)*(Inputs!$J$6-Inputs!$I$6)))^2+Inputs!$C$6^2+((Inputs!$H$6+Inputs!$L$6*(((Inputs!$I$6+(((A238)+1)/2)*(Inputs!$J$6-Inputs!$I$6)))/Inputs!$K$6)^2))^2))-((Inputs!$H$6+Inputs!$L$6*(((Inputs!$I$6+(((A238)+1)/2)*(Inputs!$J$6-Inputs!$I$6)))/Inputs!$K$6)^2)))*1000/Inputs!$C$12),NA())</x:f>
        <x:v>2760.1330447441346</x:v>
      </x:c>
      <x:c r="I238" s="48" t="n">
        <x:f>IF(OR(Inputs!$F$7=TRUE,Inputs!$F$7="TRUE",Inputs!$F$7=1),(((SQRT(((Inputs!$I$7+(((A238)+1)/2)*(Inputs!$J$7-Inputs!$I$7)))^2+Inputs!$C$6^2+((Inputs!$H$7+Inputs!$L$7*(((Inputs!$I$7+(((A238)+1)/2)*(Inputs!$J$7-Inputs!$I$7)))/Inputs!$K$7)^2))^2))-((Inputs!$H$7+Inputs!$L$7*(((Inputs!$I$7+(((A238)+1)/2)*(Inputs!$J$7-Inputs!$I$7)))/Inputs!$K$7)^2)))*1000/Inputs!$C$12),NA())</x:f>
        <x:v>92090.31802354805</x:v>
      </x:c>
      <x:c r="J238" s="48" t="n">
        <x:f>IF(OR(Inputs!$F$8=TRUE,Inputs!$F$8="TRUE",Inputs!$F$8=1),(((SQRT(((Inputs!$I$8+(((A238)+1)/2)*(Inputs!$J$8-Inputs!$I$8)))^2+Inputs!$C$6^2+((Inputs!$H$8+Inputs!$L$8*(((Inputs!$I$8+(((A238)+1)/2)*(Inputs!$J$8-Inputs!$I$8)))/Inputs!$K$8)^2))^2))-((Inputs!$H$8+Inputs!$L$8*(((Inputs!$I$8+(((A238)+1)/2)*(Inputs!$J$8-Inputs!$I$8)))/Inputs!$K$8)^2)))*1000/Inputs!$C$12),NA())</x:f>
        <x:v>156324.28356182837</x:v>
      </x:c>
      <x:c r="K238" s="48" t="n">
        <x:f>IF(OR(Inputs!$F$9=TRUE,Inputs!$F$9="TRUE",Inputs!$F$9=1),(((SQRT(((Inputs!$I$9+(((A238)+1)/2)*(Inputs!$J$9-Inputs!$I$9)))^2+Inputs!$C$6^2+((Inputs!$H$9+Inputs!$L$9*(((Inputs!$I$9+(((A238)+1)/2)*(Inputs!$J$9-Inputs!$I$9)))/Inputs!$K$9)^2))^2))-((Inputs!$H$9+Inputs!$L$9*(((Inputs!$I$9+(((A238)+1)/2)*(Inputs!$J$9-Inputs!$I$9)))/Inputs!$K$9)^2)))*1000/Inputs!$C$12),NA())</x:f>
        <x:v>156407.79634982636</x:v>
      </x:c>
      <x:c r="L238" s="49"/>
      <x:c r="M238" s="48" t="n">
        <x:f>A238</x:f>
        <x:v>0.967</x:v>
      </x:c>
      <x:c r="N238" s="48" t="n">
        <x:f>IF(OR(Inputs!$F$6=TRUE,Inputs!$F$6="TRUE",Inputs!$F$6=1),(-2*((1000*((((Inputs!$I$6+(((A238)+1)/2)*(Inputs!$J$6-Inputs!$I$6)))*Inputs!$C$11+((Inputs!$H$6+Inputs!$L$6*(((Inputs!$I$6+(((A238)+1)/2)*(Inputs!$J$6-Inputs!$I$6)))/Inputs!$K$6)^2))*((2*Inputs!$L$6*((Inputs!$I$6+(((A238)+1)/2)*(Inputs!$J$6-Inputs!$I$6)))/(Inputs!$K$6^2)*Inputs!$C$11)))/(SQRT(((Inputs!$I$6+(((A238)+1)/2)*(Inputs!$J$6-Inputs!$I$6)))^2+Inputs!$C$6^2+((Inputs!$H$6+Inputs!$L$6*(((Inputs!$I$6+(((A238)+1)/2)*(Inputs!$J$6-Inputs!$I$6)))/Inputs!$K$6)^2))^2)))))/Inputs!$C$13),NA())</x:f>
        <x:v>-430.97878773309503</x:v>
      </x:c>
      <x:c r="O238" s="48" t="n">
        <x:f>IF(OR(Inputs!$F$7=TRUE,Inputs!$F$7="TRUE",Inputs!$F$7=1),(-2*((1000*((((Inputs!$I$7+(((A238)+1)/2)*(Inputs!$J$7-Inputs!$I$7)))*Inputs!$C$11+((Inputs!$H$7+Inputs!$L$7*(((Inputs!$I$7+(((A238)+1)/2)*(Inputs!$J$7-Inputs!$I$7)))/Inputs!$K$7)^2))*((2*Inputs!$L$7*((Inputs!$I$7+(((A238)+1)/2)*(Inputs!$J$7-Inputs!$I$7)))/(Inputs!$K$7^2)*Inputs!$C$11)))/(SQRT(((Inputs!$I$7+(((A238)+1)/2)*(Inputs!$J$7-Inputs!$I$7)))^2+Inputs!$C$6^2+((Inputs!$H$7+Inputs!$L$7*(((Inputs!$I$7+(((A238)+1)/2)*(Inputs!$J$7-Inputs!$I$7)))/Inputs!$K$7)^2))^2)))))/Inputs!$C$13),NA())</x:f>
        <x:v>-3112.456380387337</x:v>
      </x:c>
      <x:c r="P238" s="48" t="n">
        <x:f>IF(OR(Inputs!$F$8=TRUE,Inputs!$F$8="TRUE",Inputs!$F$8=1),(-2*((1000*((((Inputs!$I$8+(((A238)+1)/2)*(Inputs!$J$8-Inputs!$I$8)))*Inputs!$C$11+((Inputs!$H$8+Inputs!$L$8*(((Inputs!$I$8+(((A238)+1)/2)*(Inputs!$J$8-Inputs!$I$8)))/Inputs!$K$8)^2))*((2*Inputs!$L$8*((Inputs!$I$8+(((A238)+1)/2)*(Inputs!$J$8-Inputs!$I$8)))/(Inputs!$K$8^2)*Inputs!$C$11)))/(SQRT(((Inputs!$I$8+(((A238)+1)/2)*(Inputs!$J$8-Inputs!$I$8)))^2+Inputs!$C$6^2+((Inputs!$H$8+Inputs!$L$8*(((Inputs!$I$8+(((A238)+1)/2)*(Inputs!$J$8-Inputs!$I$8)))/Inputs!$K$8)^2))^2)))))/Inputs!$C$13),NA())</x:f>
        <x:v>-3896.4309174215573</x:v>
      </x:c>
      <x:c r="Q238" s="48" t="n">
        <x:f>IF(OR(Inputs!$F$9=TRUE,Inputs!$F$9="TRUE",Inputs!$F$9=1),(-2*((1000*((((Inputs!$I$9+(((A238)+1)/2)*(Inputs!$J$9-Inputs!$I$9)))*Inputs!$C$11+((Inputs!$H$9+Inputs!$L$9*(((Inputs!$I$9+(((A238)+1)/2)*(Inputs!$J$9-Inputs!$I$9)))/Inputs!$K$9)^2))*((2*Inputs!$L$9*((Inputs!$I$9+(((A238)+1)/2)*(Inputs!$J$9-Inputs!$I$9)))/(Inputs!$K$9^2)*Inputs!$C$11)))/(SQRT(((Inputs!$I$9+(((A238)+1)/2)*(Inputs!$J$9-Inputs!$I$9)))^2+Inputs!$C$6^2+((Inputs!$H$9+Inputs!$L$9*(((Inputs!$I$9+(((A238)+1)/2)*(Inputs!$J$9-Inputs!$I$9)))/Inputs!$K$9)^2))^2)))))/Inputs!$C$13),NA())</x:f>
        <x:v>-3925.859448451175</x:v>
      </x:c>
      <x:c r="R238" s="49"/>
      <x:c r="S238" s="48" t="n">
        <x:f>A238</x:f>
        <x:v>0.967</x:v>
      </x:c>
      <x:c r="T238" s="48" t="n">
        <x:f>(Inputs!$I$6+(((A238)+1)/2)*(Inputs!$J$6-Inputs!$I$6))</x:f>
        <x:v>58.02000000000001</x:v>
      </x:c>
      <x:c r="U238" s="48" t="n">
        <x:f>(Inputs!$I$7+(((A238)+1)/2)*(Inputs!$J$7-Inputs!$I$7))</x:f>
        <x:v>386.80000000000007</x:v>
      </x:c>
      <x:c r="V238" s="48" t="n">
        <x:f>(Inputs!$I$8+(((A238)+1)/2)*(Inputs!$J$8-Inputs!$I$8))</x:f>
        <x:v>773.6000000000001</x:v>
      </x:c>
      <x:c r="W238" s="48" t="n">
        <x:f>(Inputs!$I$9+(((A238)+1)/2)*(Inputs!$J$9-Inputs!$I$9))</x:f>
        <x:v>773.6000000000001</x:v>
      </x:c>
      <x:c r="X238" s="49"/>
      <x:c r="Y238" s="48" t="n">
        <x:f>A238</x:f>
        <x:v>0.967</x:v>
      </x:c>
      <x:c r="Z238" s="48" t="n">
        <x:f>(Inputs!$H$6+Inputs!$L$6*(((Inputs!$I$6+(((A238)+1)/2)*(Inputs!$J$6-Inputs!$I$6)))/Inputs!$K$6)^2)</x:f>
        <x:v>403.740356</x:v>
      </x:c>
      <x:c r="AA238" s="48" t="n">
        <x:f>(Inputs!$H$7+Inputs!$L$7*(((Inputs!$I$7+(((A238)+1)/2)*(Inputs!$J$7-Inputs!$I$7)))/Inputs!$K$7)^2)</x:f>
        <x:v>376.30748500000016</x:v>
      </x:c>
      <x:c r="AB238" s="48" t="n">
        <x:f>(Inputs!$H$8+Inputs!$L$8*(((Inputs!$I$8+(((A238)+1)/2)*(Inputs!$J$8-Inputs!$I$8)))/Inputs!$K$8)^2)</x:f>
        <x:v>937.3608850000004</x:v>
      </x:c>
      <x:c r="AC238" s="48" t="n">
        <x:f>(Inputs!$H$9+Inputs!$L$9*(((Inputs!$I$9+(((A238)+1)/2)*(Inputs!$J$9-Inputs!$I$9)))/Inputs!$K$9)^2)</x:f>
        <x:v>936.7117750000003</x:v>
      </x:c>
      <x:c r="AD238" s="49"/>
      <x:c r="AE238" s="48" t="n">
        <x:f>A238</x:f>
        <x:v>0.967</x:v>
      </x:c>
      <x:c r="AF238" s="48" t="n">
        <x:f>(((SQRT(((Inputs!$I$6+(((A238)+1)/2)*(Inputs!$J$6-Inputs!$I$6)))^2+Inputs!$C$6^2+((Inputs!$H$6+Inputs!$L$6*(((Inputs!$I$6+(((A238)+1)/2)*(Inputs!$J$6-Inputs!$I$6)))/Inputs!$K$6)^2))^2))-((Inputs!$H$6+Inputs!$L$6*(((Inputs!$I$6+(((A238)+1)/2)*(Inputs!$J$6-Inputs!$I$6)))/Inputs!$K$6)^2)))*1000/Inputs!$C$12)</x:f>
        <x:v>2760.1330447441346</x:v>
      </x:c>
      <x:c r="AG238" s="48" t="n">
        <x:f>(((SQRT(((Inputs!$I$7+(((A238)+1)/2)*(Inputs!$J$7-Inputs!$I$7)))^2+Inputs!$C$6^2+((Inputs!$H$7+Inputs!$L$7*(((Inputs!$I$7+(((A238)+1)/2)*(Inputs!$J$7-Inputs!$I$7)))/Inputs!$K$7)^2))^2))-((Inputs!$H$7+Inputs!$L$7*(((Inputs!$I$7+(((A238)+1)/2)*(Inputs!$J$7-Inputs!$I$7)))/Inputs!$K$7)^2)))*1000/Inputs!$C$12)</x:f>
        <x:v>92090.31802354805</x:v>
      </x:c>
      <x:c r="AH238" s="48" t="n">
        <x:f>(((SQRT(((Inputs!$I$8+(((A238)+1)/2)*(Inputs!$J$8-Inputs!$I$8)))^2+Inputs!$C$6^2+((Inputs!$H$8+Inputs!$L$8*(((Inputs!$I$8+(((A238)+1)/2)*(Inputs!$J$8-Inputs!$I$8)))/Inputs!$K$8)^2))^2))-((Inputs!$H$8+Inputs!$L$8*(((Inputs!$I$8+(((A238)+1)/2)*(Inputs!$J$8-Inputs!$I$8)))/Inputs!$K$8)^2)))*1000/Inputs!$C$12)</x:f>
        <x:v>156324.28356182837</x:v>
      </x:c>
      <x:c r="AI238" s="48" t="n">
        <x:f>(((SQRT(((Inputs!$I$9+(((A238)+1)/2)*(Inputs!$J$9-Inputs!$I$9)))^2+Inputs!$C$6^2+((Inputs!$H$9+Inputs!$L$9*(((Inputs!$I$9+(((A238)+1)/2)*(Inputs!$J$9-Inputs!$I$9)))/Inputs!$K$9)^2))^2))-((Inputs!$H$9+Inputs!$L$9*(((Inputs!$I$9+(((A238)+1)/2)*(Inputs!$J$9-Inputs!$I$9)))/Inputs!$K$9)^2)))*1000/Inputs!$C$12)</x:f>
        <x:v>156407.79634982636</x:v>
      </x:c>
      <x:c r="AJ238" s="49"/>
      <x:c r="AK238" s="48" t="n">
        <x:f>A238</x:f>
        <x:v>0.967</x:v>
      </x:c>
      <x:c r="AL238" s="48" t="n">
        <x:f>(-2*((1000*((((Inputs!$I$6+(((A238)+1)/2)*(Inputs!$J$6-Inputs!$I$6)))*Inputs!$C$11+((Inputs!$H$6+Inputs!$L$6*(((Inputs!$I$6+(((A238)+1)/2)*(Inputs!$J$6-Inputs!$I$6)))/Inputs!$K$6)^2))*((2*Inputs!$L$6*((Inputs!$I$6+(((A238)+1)/2)*(Inputs!$J$6-Inputs!$I$6)))/(Inputs!$K$6^2)*Inputs!$C$11)))/(SQRT(((Inputs!$I$6+(((A238)+1)/2)*(Inputs!$J$6-Inputs!$I$6)))^2+Inputs!$C$6^2+((Inputs!$H$6+Inputs!$L$6*(((Inputs!$I$6+(((A238)+1)/2)*(Inputs!$J$6-Inputs!$I$6)))/Inputs!$K$6)^2))^2)))))/Inputs!$C$13)</x:f>
        <x:v>-430.97878773309503</x:v>
      </x:c>
      <x:c r="AM238" s="48" t="n">
        <x:f>(-2*((1000*((((Inputs!$I$7+(((A238)+1)/2)*(Inputs!$J$7-Inputs!$I$7)))*Inputs!$C$11+((Inputs!$H$7+Inputs!$L$7*(((Inputs!$I$7+(((A238)+1)/2)*(Inputs!$J$7-Inputs!$I$7)))/Inputs!$K$7)^2))*((2*Inputs!$L$7*((Inputs!$I$7+(((A238)+1)/2)*(Inputs!$J$7-Inputs!$I$7)))/(Inputs!$K$7^2)*Inputs!$C$11)))/(SQRT(((Inputs!$I$7+(((A238)+1)/2)*(Inputs!$J$7-Inputs!$I$7)))^2+Inputs!$C$6^2+((Inputs!$H$7+Inputs!$L$7*(((Inputs!$I$7+(((A238)+1)/2)*(Inputs!$J$7-Inputs!$I$7)))/Inputs!$K$7)^2))^2)))))/Inputs!$C$13)</x:f>
        <x:v>-3112.456380387337</x:v>
      </x:c>
      <x:c r="AN238" s="48" t="n">
        <x:f>(-2*((1000*((((Inputs!$I$8+(((A238)+1)/2)*(Inputs!$J$8-Inputs!$I$8)))*Inputs!$C$11+((Inputs!$H$8+Inputs!$L$8*(((Inputs!$I$8+(((A238)+1)/2)*(Inputs!$J$8-Inputs!$I$8)))/Inputs!$K$8)^2))*((2*Inputs!$L$8*((Inputs!$I$8+(((A238)+1)/2)*(Inputs!$J$8-Inputs!$I$8)))/(Inputs!$K$8^2)*Inputs!$C$11)))/(SQRT(((Inputs!$I$8+(((A238)+1)/2)*(Inputs!$J$8-Inputs!$I$8)))^2+Inputs!$C$6^2+((Inputs!$H$8+Inputs!$L$8*(((Inputs!$I$8+(((A238)+1)/2)*(Inputs!$J$8-Inputs!$I$8)))/Inputs!$K$8)^2))^2)))))/Inputs!$C$13)</x:f>
        <x:v>-3896.4309174215573</x:v>
      </x:c>
      <x:c r="AO238" s="48" t="n">
        <x:f>(-2*((1000*((((Inputs!$I$9+(((A238)+1)/2)*(Inputs!$J$9-Inputs!$I$9)))*Inputs!$C$11+((Inputs!$H$9+Inputs!$L$9*(((Inputs!$I$9+(((A238)+1)/2)*(Inputs!$J$9-Inputs!$I$9)))/Inputs!$K$9)^2))*((2*Inputs!$L$9*((Inputs!$I$9+(((A238)+1)/2)*(Inputs!$J$9-Inputs!$I$9)))/(Inputs!$K$9^2)*Inputs!$C$11)))/(SQRT(((Inputs!$I$9+(((A238)+1)/2)*(Inputs!$J$9-Inputs!$I$9)))^2+Inputs!$C$6^2+((Inputs!$H$9+Inputs!$L$9*(((Inputs!$I$9+(((A238)+1)/2)*(Inputs!$J$9-Inputs!$I$9)))/Inputs!$K$9)^2))^2)))))/Inputs!$C$13)</x:f>
        <x:v>-3925.859448451175</x:v>
      </x:c>
    </x:row>
    <x:row r="239">
      <x:c r="A239" s="48" t="n">
        <x:f>ROUND(-1+237*2/240,3)</x:f>
        <x:v>0.975</x:v>
      </x:c>
      <x:c r="B239" s="48" t="n">
        <x:f>IF(OR(Inputs!$F$6=TRUE,Inputs!$F$6="TRUE",Inputs!$F$6=1),(Inputs!$H$6+Inputs!$L$6*(((Inputs!$I$6+(((A239)+1)/2)*(Inputs!$J$6-Inputs!$I$6)))/Inputs!$K$6)^2),NA())</x:f>
        <x:v>403.8025</x:v>
      </x:c>
      <x:c r="C239" s="48" t="n">
        <x:f>IF(OR(Inputs!$F$7=TRUE,Inputs!$F$7="TRUE",Inputs!$F$7=1),(Inputs!$H$7+Inputs!$L$7*(((Inputs!$I$7+(((A239)+1)/2)*(Inputs!$J$7-Inputs!$I$7)))/Inputs!$K$7)^2),NA())</x:f>
        <x:v>381.978125</x:v>
      </x:c>
      <x:c r="D239" s="48" t="n">
        <x:f>IF(OR(Inputs!$F$8=TRUE,Inputs!$F$8="TRUE",Inputs!$F$8=1),(Inputs!$H$8+Inputs!$L$8*(((Inputs!$I$8+(((A239)+1)/2)*(Inputs!$J$8-Inputs!$I$8)))/Inputs!$K$8)^2),NA())</x:f>
        <x:v>952.353125</x:v>
      </x:c>
      <x:c r="E239" s="48" t="n">
        <x:f>IF(OR(Inputs!$F$9=TRUE,Inputs!$F$9="TRUE",Inputs!$F$9=1),(Inputs!$H$9+Inputs!$L$9*(((Inputs!$I$9+(((A239)+1)/2)*(Inputs!$J$9-Inputs!$I$9)))/Inputs!$K$9)^2),NA())</x:f>
        <x:v>951.859375</x:v>
      </x:c>
      <x:c r="F239" s="49"/>
      <x:c r="G239" s="48" t="n">
        <x:f>A239</x:f>
        <x:v>0.975</x:v>
      </x:c>
      <x:c r="H239" s="48" t="n">
        <x:f>IF(OR(Inputs!$F$6=TRUE,Inputs!$F$6="TRUE",Inputs!$F$6=1),(((SQRT(((Inputs!$I$6+(((A239)+1)/2)*(Inputs!$J$6-Inputs!$I$6)))^2+Inputs!$C$6^2+((Inputs!$H$6+Inputs!$L$6*(((Inputs!$I$6+(((A239)+1)/2)*(Inputs!$J$6-Inputs!$I$6)))/Inputs!$K$6)^2))^2))-((Inputs!$H$6+Inputs!$L$6*(((Inputs!$I$6+(((A239)+1)/2)*(Inputs!$J$6-Inputs!$I$6)))/Inputs!$K$6)^2)))*1000/Inputs!$C$12),NA())</x:f>
        <x:v>2798.1490936689197</x:v>
      </x:c>
      <x:c r="I239" s="48" t="n">
        <x:f>IF(OR(Inputs!$F$7=TRUE,Inputs!$F$7="TRUE",Inputs!$F$7=1),(((SQRT(((Inputs!$I$7+(((A239)+1)/2)*(Inputs!$J$7-Inputs!$I$7)))^2+Inputs!$C$6^2+((Inputs!$H$7+Inputs!$L$7*(((Inputs!$I$7+(((A239)+1)/2)*(Inputs!$J$7-Inputs!$I$7)))/Inputs!$K$7)^2))^2))-((Inputs!$H$7+Inputs!$L$7*(((Inputs!$I$7+(((A239)+1)/2)*(Inputs!$J$7-Inputs!$I$7)))/Inputs!$K$7)^2)))*1000/Inputs!$C$12),NA())</x:f>
        <x:v>92412.61891404176</x:v>
      </x:c>
      <x:c r="J239" s="48" t="n">
        <x:f>IF(OR(Inputs!$F$8=TRUE,Inputs!$F$8="TRUE",Inputs!$F$8=1),(((SQRT(((Inputs!$I$8+(((A239)+1)/2)*(Inputs!$J$8-Inputs!$I$8)))^2+Inputs!$C$6^2+((Inputs!$H$8+Inputs!$L$8*(((Inputs!$I$8+(((A239)+1)/2)*(Inputs!$J$8-Inputs!$I$8)))/Inputs!$K$8)^2))^2))-((Inputs!$H$8+Inputs!$L$8*(((Inputs!$I$8+(((A239)+1)/2)*(Inputs!$J$8-Inputs!$I$8)))/Inputs!$K$8)^2)))*1000/Inputs!$C$12),NA())</x:f>
        <x:v>156689.32111616264</x:v>
      </x:c>
      <x:c r="K239" s="48" t="n">
        <x:f>IF(OR(Inputs!$F$9=TRUE,Inputs!$F$9="TRUE",Inputs!$F$9=1),(((SQRT(((Inputs!$I$9+(((A239)+1)/2)*(Inputs!$J$9-Inputs!$I$9)))^2+Inputs!$C$6^2+((Inputs!$H$9+Inputs!$L$9*(((Inputs!$I$9+(((A239)+1)/2)*(Inputs!$J$9-Inputs!$I$9)))/Inputs!$K$9)^2))^2))-((Inputs!$H$9+Inputs!$L$9*(((Inputs!$I$9+(((A239)+1)/2)*(Inputs!$J$9-Inputs!$I$9)))/Inputs!$K$9)^2)))*1000/Inputs!$C$12),NA())</x:f>
        <x:v>156752.1777541483</x:v>
      </x:c>
      <x:c r="L239" s="49"/>
      <x:c r="M239" s="48" t="n">
        <x:f>A239</x:f>
        <x:v>0.975</x:v>
      </x:c>
      <x:c r="N239" s="48" t="n">
        <x:f>IF(OR(Inputs!$F$6=TRUE,Inputs!$F$6="TRUE",Inputs!$F$6=1),(-2*((1000*((((Inputs!$I$6+(((A239)+1)/2)*(Inputs!$J$6-Inputs!$I$6)))*Inputs!$C$11+((Inputs!$H$6+Inputs!$L$6*(((Inputs!$I$6+(((A239)+1)/2)*(Inputs!$J$6-Inputs!$I$6)))/Inputs!$K$6)^2))*((2*Inputs!$L$6*((Inputs!$I$6+(((A239)+1)/2)*(Inputs!$J$6-Inputs!$I$6)))/(Inputs!$K$6^2)*Inputs!$C$11)))/(SQRT(((Inputs!$I$6+(((A239)+1)/2)*(Inputs!$J$6-Inputs!$I$6)))^2+Inputs!$C$6^2+((Inputs!$H$6+Inputs!$L$6*(((Inputs!$I$6+(((A239)+1)/2)*(Inputs!$J$6-Inputs!$I$6)))/Inputs!$K$6)^2))^2)))))/Inputs!$C$13),NA())</x:f>
        <x:v>-434.43790659645504</x:v>
      </x:c>
      <x:c r="O239" s="48" t="n">
        <x:f>IF(OR(Inputs!$F$7=TRUE,Inputs!$F$7="TRUE",Inputs!$F$7=1),(-2*((1000*((((Inputs!$I$7+(((A239)+1)/2)*(Inputs!$J$7-Inputs!$I$7)))*Inputs!$C$11+((Inputs!$H$7+Inputs!$L$7*(((Inputs!$I$7+(((A239)+1)/2)*(Inputs!$J$7-Inputs!$I$7)))/Inputs!$K$7)^2))*((2*Inputs!$L$7*((Inputs!$I$7+(((A239)+1)/2)*(Inputs!$J$7-Inputs!$I$7)))/(Inputs!$K$7^2)*Inputs!$C$11)))/(SQRT(((Inputs!$I$7+(((A239)+1)/2)*(Inputs!$J$7-Inputs!$I$7)))^2+Inputs!$C$6^2+((Inputs!$H$7+Inputs!$L$7*(((Inputs!$I$7+(((A239)+1)/2)*(Inputs!$J$7-Inputs!$I$7)))/Inputs!$K$7)^2))^2)))))/Inputs!$C$13),NA())</x:f>
        <x:v>-3131.889437151103</x:v>
      </x:c>
      <x:c r="P239" s="48" t="n">
        <x:f>IF(OR(Inputs!$F$8=TRUE,Inputs!$F$8="TRUE",Inputs!$F$8=1),(-2*((1000*((((Inputs!$I$8+(((A239)+1)/2)*(Inputs!$J$8-Inputs!$I$8)))*Inputs!$C$11+((Inputs!$H$8+Inputs!$L$8*(((Inputs!$I$8+(((A239)+1)/2)*(Inputs!$J$8-Inputs!$I$8)))/Inputs!$K$8)^2))*((2*Inputs!$L$8*((Inputs!$I$8+(((A239)+1)/2)*(Inputs!$J$8-Inputs!$I$8)))/(Inputs!$K$8^2)*Inputs!$C$11)))/(SQRT(((Inputs!$I$8+(((A239)+1)/2)*(Inputs!$J$8-Inputs!$I$8)))^2+Inputs!$C$6^2+((Inputs!$H$8+Inputs!$L$8*(((Inputs!$I$8+(((A239)+1)/2)*(Inputs!$J$8-Inputs!$I$8)))/Inputs!$K$8)^2))^2)))))/Inputs!$C$13),NA())</x:f>
        <x:v>-3924.581752337598</x:v>
      </x:c>
      <x:c r="Q239" s="48" t="n">
        <x:f>IF(OR(Inputs!$F$9=TRUE,Inputs!$F$9="TRUE",Inputs!$F$9=1),(-2*((1000*((((Inputs!$I$9+(((A239)+1)/2)*(Inputs!$J$9-Inputs!$I$9)))*Inputs!$C$11+((Inputs!$H$9+Inputs!$L$9*(((Inputs!$I$9+(((A239)+1)/2)*(Inputs!$J$9-Inputs!$I$9)))/Inputs!$K$9)^2))*((2*Inputs!$L$9*((Inputs!$I$9+(((A239)+1)/2)*(Inputs!$J$9-Inputs!$I$9)))/(Inputs!$K$9^2)*Inputs!$C$11)))/(SQRT(((Inputs!$I$9+(((A239)+1)/2)*(Inputs!$J$9-Inputs!$I$9)))^2+Inputs!$C$6^2+((Inputs!$H$9+Inputs!$L$9*(((Inputs!$I$9+(((A239)+1)/2)*(Inputs!$J$9-Inputs!$I$9)))/Inputs!$K$9)^2))^2)))))/Inputs!$C$13),NA())</x:f>
        <x:v>-3954.4490024840757</x:v>
      </x:c>
      <x:c r="R239" s="49"/>
      <x:c r="S239" s="48" t="n">
        <x:f>A239</x:f>
        <x:v>0.975</x:v>
      </x:c>
      <x:c r="T239" s="48" t="n">
        <x:f>(Inputs!$I$6+(((A239)+1)/2)*(Inputs!$J$6-Inputs!$I$6))</x:f>
        <x:v>58.5</x:v>
      </x:c>
      <x:c r="U239" s="48" t="n">
        <x:f>(Inputs!$I$7+(((A239)+1)/2)*(Inputs!$J$7-Inputs!$I$7))</x:f>
        <x:v>390</x:v>
      </x:c>
      <x:c r="V239" s="48" t="n">
        <x:f>(Inputs!$I$8+(((A239)+1)/2)*(Inputs!$J$8-Inputs!$I$8))</x:f>
        <x:v>780</x:v>
      </x:c>
      <x:c r="W239" s="48" t="n">
        <x:f>(Inputs!$I$9+(((A239)+1)/2)*(Inputs!$J$9-Inputs!$I$9))</x:f>
        <x:v>780</x:v>
      </x:c>
      <x:c r="X239" s="49"/>
      <x:c r="Y239" s="48" t="n">
        <x:f>A239</x:f>
        <x:v>0.975</x:v>
      </x:c>
      <x:c r="Z239" s="48" t="n">
        <x:f>(Inputs!$H$6+Inputs!$L$6*(((Inputs!$I$6+(((A239)+1)/2)*(Inputs!$J$6-Inputs!$I$6)))/Inputs!$K$6)^2)</x:f>
        <x:v>403.8025</x:v>
      </x:c>
      <x:c r="AA239" s="48" t="n">
        <x:f>(Inputs!$H$7+Inputs!$L$7*(((Inputs!$I$7+(((A239)+1)/2)*(Inputs!$J$7-Inputs!$I$7)))/Inputs!$K$7)^2)</x:f>
        <x:v>381.978125</x:v>
      </x:c>
      <x:c r="AB239" s="48" t="n">
        <x:f>(Inputs!$H$8+Inputs!$L$8*(((Inputs!$I$8+(((A239)+1)/2)*(Inputs!$J$8-Inputs!$I$8)))/Inputs!$K$8)^2)</x:f>
        <x:v>952.353125</x:v>
      </x:c>
      <x:c r="AC239" s="48" t="n">
        <x:f>(Inputs!$H$9+Inputs!$L$9*(((Inputs!$I$9+(((A239)+1)/2)*(Inputs!$J$9-Inputs!$I$9)))/Inputs!$K$9)^2)</x:f>
        <x:v>951.859375</x:v>
      </x:c>
      <x:c r="AD239" s="49"/>
      <x:c r="AE239" s="48" t="n">
        <x:f>A239</x:f>
        <x:v>0.975</x:v>
      </x:c>
      <x:c r="AF239" s="48" t="n">
        <x:f>(((SQRT(((Inputs!$I$6+(((A239)+1)/2)*(Inputs!$J$6-Inputs!$I$6)))^2+Inputs!$C$6^2+((Inputs!$H$6+Inputs!$L$6*(((Inputs!$I$6+(((A239)+1)/2)*(Inputs!$J$6-Inputs!$I$6)))/Inputs!$K$6)^2))^2))-((Inputs!$H$6+Inputs!$L$6*(((Inputs!$I$6+(((A239)+1)/2)*(Inputs!$J$6-Inputs!$I$6)))/Inputs!$K$6)^2)))*1000/Inputs!$C$12)</x:f>
        <x:v>2798.1490936689197</x:v>
      </x:c>
      <x:c r="AG239" s="48" t="n">
        <x:f>(((SQRT(((Inputs!$I$7+(((A239)+1)/2)*(Inputs!$J$7-Inputs!$I$7)))^2+Inputs!$C$6^2+((Inputs!$H$7+Inputs!$L$7*(((Inputs!$I$7+(((A239)+1)/2)*(Inputs!$J$7-Inputs!$I$7)))/Inputs!$K$7)^2))^2))-((Inputs!$H$7+Inputs!$L$7*(((Inputs!$I$7+(((A239)+1)/2)*(Inputs!$J$7-Inputs!$I$7)))/Inputs!$K$7)^2)))*1000/Inputs!$C$12)</x:f>
        <x:v>92412.61891404176</x:v>
      </x:c>
      <x:c r="AH239" s="48" t="n">
        <x:f>(((SQRT(((Inputs!$I$8+(((A239)+1)/2)*(Inputs!$J$8-Inputs!$I$8)))^2+Inputs!$C$6^2+((Inputs!$H$8+Inputs!$L$8*(((Inputs!$I$8+(((A239)+1)/2)*(Inputs!$J$8-Inputs!$I$8)))/Inputs!$K$8)^2))^2))-((Inputs!$H$8+Inputs!$L$8*(((Inputs!$I$8+(((A239)+1)/2)*(Inputs!$J$8-Inputs!$I$8)))/Inputs!$K$8)^2)))*1000/Inputs!$C$12)</x:f>
        <x:v>156689.32111616264</x:v>
      </x:c>
      <x:c r="AI239" s="48" t="n">
        <x:f>(((SQRT(((Inputs!$I$9+(((A239)+1)/2)*(Inputs!$J$9-Inputs!$I$9)))^2+Inputs!$C$6^2+((Inputs!$H$9+Inputs!$L$9*(((Inputs!$I$9+(((A239)+1)/2)*(Inputs!$J$9-Inputs!$I$9)))/Inputs!$K$9)^2))^2))-((Inputs!$H$9+Inputs!$L$9*(((Inputs!$I$9+(((A239)+1)/2)*(Inputs!$J$9-Inputs!$I$9)))/Inputs!$K$9)^2)))*1000/Inputs!$C$12)</x:f>
        <x:v>156752.1777541483</x:v>
      </x:c>
      <x:c r="AJ239" s="49"/>
      <x:c r="AK239" s="48" t="n">
        <x:f>A239</x:f>
        <x:v>0.975</x:v>
      </x:c>
      <x:c r="AL239" s="48" t="n">
        <x:f>(-2*((1000*((((Inputs!$I$6+(((A239)+1)/2)*(Inputs!$J$6-Inputs!$I$6)))*Inputs!$C$11+((Inputs!$H$6+Inputs!$L$6*(((Inputs!$I$6+(((A239)+1)/2)*(Inputs!$J$6-Inputs!$I$6)))/Inputs!$K$6)^2))*((2*Inputs!$L$6*((Inputs!$I$6+(((A239)+1)/2)*(Inputs!$J$6-Inputs!$I$6)))/(Inputs!$K$6^2)*Inputs!$C$11)))/(SQRT(((Inputs!$I$6+(((A239)+1)/2)*(Inputs!$J$6-Inputs!$I$6)))^2+Inputs!$C$6^2+((Inputs!$H$6+Inputs!$L$6*(((Inputs!$I$6+(((A239)+1)/2)*(Inputs!$J$6-Inputs!$I$6)))/Inputs!$K$6)^2))^2)))))/Inputs!$C$13)</x:f>
        <x:v>-434.43790659645504</x:v>
      </x:c>
      <x:c r="AM239" s="48" t="n">
        <x:f>(-2*((1000*((((Inputs!$I$7+(((A239)+1)/2)*(Inputs!$J$7-Inputs!$I$7)))*Inputs!$C$11+((Inputs!$H$7+Inputs!$L$7*(((Inputs!$I$7+(((A239)+1)/2)*(Inputs!$J$7-Inputs!$I$7)))/Inputs!$K$7)^2))*((2*Inputs!$L$7*((Inputs!$I$7+(((A239)+1)/2)*(Inputs!$J$7-Inputs!$I$7)))/(Inputs!$K$7^2)*Inputs!$C$11)))/(SQRT(((Inputs!$I$7+(((A239)+1)/2)*(Inputs!$J$7-Inputs!$I$7)))^2+Inputs!$C$6^2+((Inputs!$H$7+Inputs!$L$7*(((Inputs!$I$7+(((A239)+1)/2)*(Inputs!$J$7-Inputs!$I$7)))/Inputs!$K$7)^2))^2)))))/Inputs!$C$13)</x:f>
        <x:v>-3131.889437151103</x:v>
      </x:c>
      <x:c r="AN239" s="48" t="n">
        <x:f>(-2*((1000*((((Inputs!$I$8+(((A239)+1)/2)*(Inputs!$J$8-Inputs!$I$8)))*Inputs!$C$11+((Inputs!$H$8+Inputs!$L$8*(((Inputs!$I$8+(((A239)+1)/2)*(Inputs!$J$8-Inputs!$I$8)))/Inputs!$K$8)^2))*((2*Inputs!$L$8*((Inputs!$I$8+(((A239)+1)/2)*(Inputs!$J$8-Inputs!$I$8)))/(Inputs!$K$8^2)*Inputs!$C$11)))/(SQRT(((Inputs!$I$8+(((A239)+1)/2)*(Inputs!$J$8-Inputs!$I$8)))^2+Inputs!$C$6^2+((Inputs!$H$8+Inputs!$L$8*(((Inputs!$I$8+(((A239)+1)/2)*(Inputs!$J$8-Inputs!$I$8)))/Inputs!$K$8)^2))^2)))))/Inputs!$C$13)</x:f>
        <x:v>-3924.581752337598</x:v>
      </x:c>
      <x:c r="AO239" s="48" t="n">
        <x:f>(-2*((1000*((((Inputs!$I$9+(((A239)+1)/2)*(Inputs!$J$9-Inputs!$I$9)))*Inputs!$C$11+((Inputs!$H$9+Inputs!$L$9*(((Inputs!$I$9+(((A239)+1)/2)*(Inputs!$J$9-Inputs!$I$9)))/Inputs!$K$9)^2))*((2*Inputs!$L$9*((Inputs!$I$9+(((A239)+1)/2)*(Inputs!$J$9-Inputs!$I$9)))/(Inputs!$K$9^2)*Inputs!$C$11)))/(SQRT(((Inputs!$I$9+(((A239)+1)/2)*(Inputs!$J$9-Inputs!$I$9)))^2+Inputs!$C$6^2+((Inputs!$H$9+Inputs!$L$9*(((Inputs!$I$9+(((A239)+1)/2)*(Inputs!$J$9-Inputs!$I$9)))/Inputs!$K$9)^2))^2)))))/Inputs!$C$13)</x:f>
        <x:v>-3954.4490024840757</x:v>
      </x:c>
    </x:row>
    <x:row r="240">
      <x:c r="A240" s="48" t="n">
        <x:f>ROUND(-1+238*2/240,3)</x:f>
        <x:v>0.983</x:v>
      </x:c>
      <x:c r="B240" s="48" t="n">
        <x:f>IF(OR(Inputs!$F$6=TRUE,Inputs!$F$6="TRUE",Inputs!$F$6=1),(Inputs!$H$6+Inputs!$L$6*(((Inputs!$I$6+(((A240)+1)/2)*(Inputs!$J$6-Inputs!$I$6)))/Inputs!$K$6)^2),NA())</x:f>
        <x:v>403.865156</x:v>
      </x:c>
      <x:c r="C240" s="48" t="n">
        <x:f>IF(OR(Inputs!$F$7=TRUE,Inputs!$F$7="TRUE",Inputs!$F$7=1),(Inputs!$H$7+Inputs!$L$7*(((Inputs!$I$7+(((A240)+1)/2)*(Inputs!$J$7-Inputs!$I$7)))/Inputs!$K$7)^2),NA())</x:f>
        <x:v>387.6954850000001</x:v>
      </x:c>
      <x:c r="D240" s="48" t="n">
        <x:f>IF(OR(Inputs!$F$8=TRUE,Inputs!$F$8="TRUE",Inputs!$F$8=1),(Inputs!$H$8+Inputs!$L$8*(((Inputs!$I$8+(((A240)+1)/2)*(Inputs!$J$8-Inputs!$I$8)))/Inputs!$K$8)^2),NA())</x:f>
        <x:v>967.4688850000001</x:v>
      </x:c>
      <x:c r="E240" s="48" t="n">
        <x:f>IF(OR(Inputs!$F$9=TRUE,Inputs!$F$9="TRUE",Inputs!$F$9=1),(Inputs!$H$9+Inputs!$L$9*(((Inputs!$I$9+(((A240)+1)/2)*(Inputs!$J$9-Inputs!$I$9)))/Inputs!$K$9)^2),NA())</x:f>
        <x:v>967.1317750000002</x:v>
      </x:c>
      <x:c r="F240" s="49"/>
      <x:c r="G240" s="48" t="n">
        <x:f>A240</x:f>
        <x:v>0.983</x:v>
      </x:c>
      <x:c r="H240" s="48" t="n">
        <x:f>IF(OR(Inputs!$F$6=TRUE,Inputs!$F$6="TRUE",Inputs!$F$6=1),(((SQRT(((Inputs!$I$6+(((A240)+1)/2)*(Inputs!$J$6-Inputs!$I$6)))^2+Inputs!$C$6^2+((Inputs!$H$6+Inputs!$L$6*(((Inputs!$I$6+(((A240)+1)/2)*(Inputs!$J$6-Inputs!$I$6)))/Inputs!$K$6)^2))^2))-((Inputs!$H$6+Inputs!$L$6*(((Inputs!$I$6+(((A240)+1)/2)*(Inputs!$J$6-Inputs!$I$6)))/Inputs!$K$6)^2)))*1000/Inputs!$C$12),NA())</x:f>
        <x:v>2836.460287090156</x:v>
      </x:c>
      <x:c r="I240" s="48" t="n">
        <x:f>IF(OR(Inputs!$F$7=TRUE,Inputs!$F$7="TRUE",Inputs!$F$7=1),(((SQRT(((Inputs!$I$7+(((A240)+1)/2)*(Inputs!$J$7-Inputs!$I$7)))^2+Inputs!$C$6^2+((Inputs!$H$7+Inputs!$L$7*(((Inputs!$I$7+(((A240)+1)/2)*(Inputs!$J$7-Inputs!$I$7)))/Inputs!$K$7)^2))^2))-((Inputs!$H$7+Inputs!$L$7*(((Inputs!$I$7+(((A240)+1)/2)*(Inputs!$J$7-Inputs!$I$7)))/Inputs!$K$7)^2)))*1000/Inputs!$C$12),NA())</x:f>
        <x:v>92730.5418198432</x:v>
      </x:c>
      <x:c r="J240" s="48" t="n">
        <x:f>IF(OR(Inputs!$F$8=TRUE,Inputs!$F$8="TRUE",Inputs!$F$8=1),(((SQRT(((Inputs!$I$8+(((A240)+1)/2)*(Inputs!$J$8-Inputs!$I$8)))^2+Inputs!$C$6^2+((Inputs!$H$8+Inputs!$L$8*(((Inputs!$I$8+(((A240)+1)/2)*(Inputs!$J$8-Inputs!$I$8)))/Inputs!$K$8)^2))^2))-((Inputs!$H$8+Inputs!$L$8*(((Inputs!$I$8+(((A240)+1)/2)*(Inputs!$J$8-Inputs!$I$8)))/Inputs!$K$8)^2)))*1000/Inputs!$C$12),NA())</x:f>
        <x:v>157048.28758301042</x:v>
      </x:c>
      <x:c r="K240" s="48" t="n">
        <x:f>IF(OR(Inputs!$F$9=TRUE,Inputs!$F$9="TRUE",Inputs!$F$9=1),(((SQRT(((Inputs!$I$9+(((A240)+1)/2)*(Inputs!$J$9-Inputs!$I$9)))^2+Inputs!$C$6^2+((Inputs!$H$9+Inputs!$L$9*(((Inputs!$I$9+(((A240)+1)/2)*(Inputs!$J$9-Inputs!$I$9)))/Inputs!$K$9)^2))^2))-((Inputs!$H$9+Inputs!$L$9*(((Inputs!$I$9+(((A240)+1)/2)*(Inputs!$J$9-Inputs!$I$9)))/Inputs!$K$9)^2)))*1000/Inputs!$C$12),NA())</x:f>
        <x:v>157090.75320353307</x:v>
      </x:c>
      <x:c r="L240" s="49"/>
      <x:c r="M240" s="48" t="n">
        <x:f>A240</x:f>
        <x:v>0.983</x:v>
      </x:c>
      <x:c r="N240" s="48" t="n">
        <x:f>IF(OR(Inputs!$F$6=TRUE,Inputs!$F$6="TRUE",Inputs!$F$6=1),(-2*((1000*((((Inputs!$I$6+(((A240)+1)/2)*(Inputs!$J$6-Inputs!$I$6)))*Inputs!$C$11+((Inputs!$H$6+Inputs!$L$6*(((Inputs!$I$6+(((A240)+1)/2)*(Inputs!$J$6-Inputs!$I$6)))/Inputs!$K$6)^2))*((2*Inputs!$L$6*((Inputs!$I$6+(((A240)+1)/2)*(Inputs!$J$6-Inputs!$I$6)))/(Inputs!$K$6^2)*Inputs!$C$11)))/(SQRT(((Inputs!$I$6+(((A240)+1)/2)*(Inputs!$J$6-Inputs!$I$6)))^2+Inputs!$C$6^2+((Inputs!$H$6+Inputs!$L$6*(((Inputs!$I$6+(((A240)+1)/2)*(Inputs!$J$6-Inputs!$I$6)))/Inputs!$K$6)^2))^2)))))/Inputs!$C$13),NA())</x:f>
        <x:v>-437.894499643401</x:v>
      </x:c>
      <x:c r="O240" s="48" t="n">
        <x:f>IF(OR(Inputs!$F$7=TRUE,Inputs!$F$7="TRUE",Inputs!$F$7=1),(-2*((1000*((((Inputs!$I$7+(((A240)+1)/2)*(Inputs!$J$7-Inputs!$I$7)))*Inputs!$C$11+((Inputs!$H$7+Inputs!$L$7*(((Inputs!$I$7+(((A240)+1)/2)*(Inputs!$J$7-Inputs!$I$7)))/Inputs!$K$7)^2))*((2*Inputs!$L$7*((Inputs!$I$7+(((A240)+1)/2)*(Inputs!$J$7-Inputs!$I$7)))/(Inputs!$K$7^2)*Inputs!$C$11)))/(SQRT(((Inputs!$I$7+(((A240)+1)/2)*(Inputs!$J$7-Inputs!$I$7)))^2+Inputs!$C$6^2+((Inputs!$H$7+Inputs!$L$7*(((Inputs!$I$7+(((A240)+1)/2)*(Inputs!$J$7-Inputs!$I$7)))/Inputs!$K$7)^2))^2)))))/Inputs!$C$13),NA())</x:f>
        <x:v>-3151.3834075053483</x:v>
      </x:c>
      <x:c r="P240" s="48" t="n">
        <x:f>IF(OR(Inputs!$F$8=TRUE,Inputs!$F$8="TRUE",Inputs!$F$8=1),(-2*((1000*((((Inputs!$I$8+(((A240)+1)/2)*(Inputs!$J$8-Inputs!$I$8)))*Inputs!$C$11+((Inputs!$H$8+Inputs!$L$8*(((Inputs!$I$8+(((A240)+1)/2)*(Inputs!$J$8-Inputs!$I$8)))/Inputs!$K$8)^2))*((2*Inputs!$L$8*((Inputs!$I$8+(((A240)+1)/2)*(Inputs!$J$8-Inputs!$I$8)))/(Inputs!$K$8^2)*Inputs!$C$11)))/(SQRT(((Inputs!$I$8+(((A240)+1)/2)*(Inputs!$J$8-Inputs!$I$8)))^2+Inputs!$C$6^2+((Inputs!$H$8+Inputs!$L$8*(((Inputs!$I$8+(((A240)+1)/2)*(Inputs!$J$8-Inputs!$I$8)))/Inputs!$K$8)^2))^2)))))/Inputs!$C$13),NA())</x:f>
        <x:v>-3952.7874424724578</x:v>
      </x:c>
      <x:c r="Q240" s="48" t="n">
        <x:f>IF(OR(Inputs!$F$9=TRUE,Inputs!$F$9="TRUE",Inputs!$F$9=1),(-2*((1000*((((Inputs!$I$9+(((A240)+1)/2)*(Inputs!$J$9-Inputs!$I$9)))*Inputs!$C$11+((Inputs!$H$9+Inputs!$L$9*(((Inputs!$I$9+(((A240)+1)/2)*(Inputs!$J$9-Inputs!$I$9)))/Inputs!$K$9)^2))*((2*Inputs!$L$9*((Inputs!$I$9+(((A240)+1)/2)*(Inputs!$J$9-Inputs!$I$9)))/(Inputs!$K$9^2)*Inputs!$C$11)))/(SQRT(((Inputs!$I$9+(((A240)+1)/2)*(Inputs!$J$9-Inputs!$I$9)))^2+Inputs!$C$6^2+((Inputs!$H$9+Inputs!$L$9*(((Inputs!$I$9+(((A240)+1)/2)*(Inputs!$J$9-Inputs!$I$9)))/Inputs!$K$9)^2))^2)))))/Inputs!$C$13),NA())</x:f>
        <x:v>-3983.091942306341</x:v>
      </x:c>
      <x:c r="R240" s="49"/>
      <x:c r="S240" s="48" t="n">
        <x:f>A240</x:f>
        <x:v>0.983</x:v>
      </x:c>
      <x:c r="T240" s="48" t="n">
        <x:f>(Inputs!$I$6+(((A240)+1)/2)*(Inputs!$J$6-Inputs!$I$6))</x:f>
        <x:v>58.980000000000004</x:v>
      </x:c>
      <x:c r="U240" s="48" t="n">
        <x:f>(Inputs!$I$7+(((A240)+1)/2)*(Inputs!$J$7-Inputs!$I$7))</x:f>
        <x:v>393.20000000000005</x:v>
      </x:c>
      <x:c r="V240" s="48" t="n">
        <x:f>(Inputs!$I$8+(((A240)+1)/2)*(Inputs!$J$8-Inputs!$I$8))</x:f>
        <x:v>786.4000000000001</x:v>
      </x:c>
      <x:c r="W240" s="48" t="n">
        <x:f>(Inputs!$I$9+(((A240)+1)/2)*(Inputs!$J$9-Inputs!$I$9))</x:f>
        <x:v>786.4000000000001</x:v>
      </x:c>
      <x:c r="X240" s="49"/>
      <x:c r="Y240" s="48" t="n">
        <x:f>A240</x:f>
        <x:v>0.983</x:v>
      </x:c>
      <x:c r="Z240" s="48" t="n">
        <x:f>(Inputs!$H$6+Inputs!$L$6*(((Inputs!$I$6+(((A240)+1)/2)*(Inputs!$J$6-Inputs!$I$6)))/Inputs!$K$6)^2)</x:f>
        <x:v>403.865156</x:v>
      </x:c>
      <x:c r="AA240" s="48" t="n">
        <x:f>(Inputs!$H$7+Inputs!$L$7*(((Inputs!$I$7+(((A240)+1)/2)*(Inputs!$J$7-Inputs!$I$7)))/Inputs!$K$7)^2)</x:f>
        <x:v>387.6954850000001</x:v>
      </x:c>
      <x:c r="AB240" s="48" t="n">
        <x:f>(Inputs!$H$8+Inputs!$L$8*(((Inputs!$I$8+(((A240)+1)/2)*(Inputs!$J$8-Inputs!$I$8)))/Inputs!$K$8)^2)</x:f>
        <x:v>967.4688850000001</x:v>
      </x:c>
      <x:c r="AC240" s="48" t="n">
        <x:f>(Inputs!$H$9+Inputs!$L$9*(((Inputs!$I$9+(((A240)+1)/2)*(Inputs!$J$9-Inputs!$I$9)))/Inputs!$K$9)^2)</x:f>
        <x:v>967.1317750000002</x:v>
      </x:c>
      <x:c r="AD240" s="49"/>
      <x:c r="AE240" s="48" t="n">
        <x:f>A240</x:f>
        <x:v>0.983</x:v>
      </x:c>
      <x:c r="AF240" s="48" t="n">
        <x:f>(((SQRT(((Inputs!$I$6+(((A240)+1)/2)*(Inputs!$J$6-Inputs!$I$6)))^2+Inputs!$C$6^2+((Inputs!$H$6+Inputs!$L$6*(((Inputs!$I$6+(((A240)+1)/2)*(Inputs!$J$6-Inputs!$I$6)))/Inputs!$K$6)^2))^2))-((Inputs!$H$6+Inputs!$L$6*(((Inputs!$I$6+(((A240)+1)/2)*(Inputs!$J$6-Inputs!$I$6)))/Inputs!$K$6)^2)))*1000/Inputs!$C$12)</x:f>
        <x:v>2836.460287090156</x:v>
      </x:c>
      <x:c r="AG240" s="48" t="n">
        <x:f>(((SQRT(((Inputs!$I$7+(((A240)+1)/2)*(Inputs!$J$7-Inputs!$I$7)))^2+Inputs!$C$6^2+((Inputs!$H$7+Inputs!$L$7*(((Inputs!$I$7+(((A240)+1)/2)*(Inputs!$J$7-Inputs!$I$7)))/Inputs!$K$7)^2))^2))-((Inputs!$H$7+Inputs!$L$7*(((Inputs!$I$7+(((A240)+1)/2)*(Inputs!$J$7-Inputs!$I$7)))/Inputs!$K$7)^2)))*1000/Inputs!$C$12)</x:f>
        <x:v>92730.5418198432</x:v>
      </x:c>
      <x:c r="AH240" s="48" t="n">
        <x:f>(((SQRT(((Inputs!$I$8+(((A240)+1)/2)*(Inputs!$J$8-Inputs!$I$8)))^2+Inputs!$C$6^2+((Inputs!$H$8+Inputs!$L$8*(((Inputs!$I$8+(((A240)+1)/2)*(Inputs!$J$8-Inputs!$I$8)))/Inputs!$K$8)^2))^2))-((Inputs!$H$8+Inputs!$L$8*(((Inputs!$I$8+(((A240)+1)/2)*(Inputs!$J$8-Inputs!$I$8)))/Inputs!$K$8)^2)))*1000/Inputs!$C$12)</x:f>
        <x:v>157048.28758301042</x:v>
      </x:c>
      <x:c r="AI240" s="48" t="n">
        <x:f>(((SQRT(((Inputs!$I$9+(((A240)+1)/2)*(Inputs!$J$9-Inputs!$I$9)))^2+Inputs!$C$6^2+((Inputs!$H$9+Inputs!$L$9*(((Inputs!$I$9+(((A240)+1)/2)*(Inputs!$J$9-Inputs!$I$9)))/Inputs!$K$9)^2))^2))-((Inputs!$H$9+Inputs!$L$9*(((Inputs!$I$9+(((A240)+1)/2)*(Inputs!$J$9-Inputs!$I$9)))/Inputs!$K$9)^2)))*1000/Inputs!$C$12)</x:f>
        <x:v>157090.75320353307</x:v>
      </x:c>
      <x:c r="AJ240" s="49"/>
      <x:c r="AK240" s="48" t="n">
        <x:f>A240</x:f>
        <x:v>0.983</x:v>
      </x:c>
      <x:c r="AL240" s="48" t="n">
        <x:f>(-2*((1000*((((Inputs!$I$6+(((A240)+1)/2)*(Inputs!$J$6-Inputs!$I$6)))*Inputs!$C$11+((Inputs!$H$6+Inputs!$L$6*(((Inputs!$I$6+(((A240)+1)/2)*(Inputs!$J$6-Inputs!$I$6)))/Inputs!$K$6)^2))*((2*Inputs!$L$6*((Inputs!$I$6+(((A240)+1)/2)*(Inputs!$J$6-Inputs!$I$6)))/(Inputs!$K$6^2)*Inputs!$C$11)))/(SQRT(((Inputs!$I$6+(((A240)+1)/2)*(Inputs!$J$6-Inputs!$I$6)))^2+Inputs!$C$6^2+((Inputs!$H$6+Inputs!$L$6*(((Inputs!$I$6+(((A240)+1)/2)*(Inputs!$J$6-Inputs!$I$6)))/Inputs!$K$6)^2))^2)))))/Inputs!$C$13)</x:f>
        <x:v>-437.894499643401</x:v>
      </x:c>
      <x:c r="AM240" s="48" t="n">
        <x:f>(-2*((1000*((((Inputs!$I$7+(((A240)+1)/2)*(Inputs!$J$7-Inputs!$I$7)))*Inputs!$C$11+((Inputs!$H$7+Inputs!$L$7*(((Inputs!$I$7+(((A240)+1)/2)*(Inputs!$J$7-Inputs!$I$7)))/Inputs!$K$7)^2))*((2*Inputs!$L$7*((Inputs!$I$7+(((A240)+1)/2)*(Inputs!$J$7-Inputs!$I$7)))/(Inputs!$K$7^2)*Inputs!$C$11)))/(SQRT(((Inputs!$I$7+(((A240)+1)/2)*(Inputs!$J$7-Inputs!$I$7)))^2+Inputs!$C$6^2+((Inputs!$H$7+Inputs!$L$7*(((Inputs!$I$7+(((A240)+1)/2)*(Inputs!$J$7-Inputs!$I$7)))/Inputs!$K$7)^2))^2)))))/Inputs!$C$13)</x:f>
        <x:v>-3151.3834075053483</x:v>
      </x:c>
      <x:c r="AN240" s="48" t="n">
        <x:f>(-2*((1000*((((Inputs!$I$8+(((A240)+1)/2)*(Inputs!$J$8-Inputs!$I$8)))*Inputs!$C$11+((Inputs!$H$8+Inputs!$L$8*(((Inputs!$I$8+(((A240)+1)/2)*(Inputs!$J$8-Inputs!$I$8)))/Inputs!$K$8)^2))*((2*Inputs!$L$8*((Inputs!$I$8+(((A240)+1)/2)*(Inputs!$J$8-Inputs!$I$8)))/(Inputs!$K$8^2)*Inputs!$C$11)))/(SQRT(((Inputs!$I$8+(((A240)+1)/2)*(Inputs!$J$8-Inputs!$I$8)))^2+Inputs!$C$6^2+((Inputs!$H$8+Inputs!$L$8*(((Inputs!$I$8+(((A240)+1)/2)*(Inputs!$J$8-Inputs!$I$8)))/Inputs!$K$8)^2))^2)))))/Inputs!$C$13)</x:f>
        <x:v>-3952.7874424724578</x:v>
      </x:c>
      <x:c r="AO240" s="48" t="n">
        <x:f>(-2*((1000*((((Inputs!$I$9+(((A240)+1)/2)*(Inputs!$J$9-Inputs!$I$9)))*Inputs!$C$11+((Inputs!$H$9+Inputs!$L$9*(((Inputs!$I$9+(((A240)+1)/2)*(Inputs!$J$9-Inputs!$I$9)))/Inputs!$K$9)^2))*((2*Inputs!$L$9*((Inputs!$I$9+(((A240)+1)/2)*(Inputs!$J$9-Inputs!$I$9)))/(Inputs!$K$9^2)*Inputs!$C$11)))/(SQRT(((Inputs!$I$9+(((A240)+1)/2)*(Inputs!$J$9-Inputs!$I$9)))^2+Inputs!$C$6^2+((Inputs!$H$9+Inputs!$L$9*(((Inputs!$I$9+(((A240)+1)/2)*(Inputs!$J$9-Inputs!$I$9)))/Inputs!$K$9)^2))^2)))))/Inputs!$C$13)</x:f>
        <x:v>-3983.091942306341</x:v>
      </x:c>
    </x:row>
    <x:row r="241">
      <x:c r="A241" s="48" t="n">
        <x:f>ROUND(-1+239*2/240,3)</x:f>
        <x:v>0.992</x:v>
      </x:c>
      <x:c r="B241" s="48" t="n">
        <x:f>IF(OR(Inputs!$F$6=TRUE,Inputs!$F$6="TRUE",Inputs!$F$6=1),(Inputs!$H$6+Inputs!$L$6*(((Inputs!$I$6+(((A241)+1)/2)*(Inputs!$J$6-Inputs!$I$6)))/Inputs!$K$6)^2),NA())</x:f>
        <x:v>403.936256</x:v>
      </x:c>
      <x:c r="C241" s="48" t="n">
        <x:f>IF(OR(Inputs!$F$7=TRUE,Inputs!$F$7="TRUE",Inputs!$F$7=1),(Inputs!$H$7+Inputs!$L$7*(((Inputs!$I$7+(((A241)+1)/2)*(Inputs!$J$7-Inputs!$I$7)))/Inputs!$K$7)^2),NA())</x:f>
        <x:v>394.1833599999999</x:v>
      </x:c>
      <x:c r="D241" s="48" t="n">
        <x:f>IF(OR(Inputs!$F$8=TRUE,Inputs!$F$8="TRUE",Inputs!$F$8=1),(Inputs!$H$8+Inputs!$L$8*(((Inputs!$I$8+(((A241)+1)/2)*(Inputs!$J$8-Inputs!$I$8)))/Inputs!$K$8)^2),NA())</x:f>
        <x:v>984.6217599999998</x:v>
      </x:c>
      <x:c r="E241" s="48" t="n">
        <x:f>IF(OR(Inputs!$F$9=TRUE,Inputs!$F$9="TRUE",Inputs!$F$9=1),(Inputs!$H$9+Inputs!$L$9*(((Inputs!$I$9+(((A241)+1)/2)*(Inputs!$J$9-Inputs!$I$9)))/Inputs!$K$9)^2),NA())</x:f>
        <x:v>984.4623999999998</x:v>
      </x:c>
      <x:c r="F241" s="49"/>
      <x:c r="G241" s="48" t="n">
        <x:f>A241</x:f>
        <x:v>0.992</x:v>
      </x:c>
      <x:c r="H241" s="48" t="n">
        <x:f>IF(OR(Inputs!$F$6=TRUE,Inputs!$F$6="TRUE",Inputs!$F$6=1),(((SQRT(((Inputs!$I$6+(((A241)+1)/2)*(Inputs!$J$6-Inputs!$I$6)))^2+Inputs!$C$6^2+((Inputs!$H$6+Inputs!$L$6*(((Inputs!$I$6+(((A241)+1)/2)*(Inputs!$J$6-Inputs!$I$6)))/Inputs!$K$6)^2))^2))-((Inputs!$H$6+Inputs!$L$6*(((Inputs!$I$6+(((A241)+1)/2)*(Inputs!$J$6-Inputs!$I$6)))/Inputs!$K$6)^2)))*1000/Inputs!$C$12),NA())</x:f>
        <x:v>2879.912637692396</x:v>
      </x:c>
      <x:c r="I241" s="48" t="n">
        <x:f>IF(OR(Inputs!$F$7=TRUE,Inputs!$F$7="TRUE",Inputs!$F$7=1),(((SQRT(((Inputs!$I$7+(((A241)+1)/2)*(Inputs!$J$7-Inputs!$I$7)))^2+Inputs!$C$6^2+((Inputs!$H$7+Inputs!$L$7*(((Inputs!$I$7+(((A241)+1)/2)*(Inputs!$J$7-Inputs!$I$7)))/Inputs!$K$7)^2))^2))-((Inputs!$H$7+Inputs!$L$7*(((Inputs!$I$7+(((A241)+1)/2)*(Inputs!$J$7-Inputs!$I$7)))/Inputs!$K$7)^2)))*1000/Inputs!$C$12),NA())</x:f>
        <x:v>93083.05653672412</x:v>
      </x:c>
      <x:c r="J241" s="48" t="n">
        <x:f>IF(OR(Inputs!$F$8=TRUE,Inputs!$F$8="TRUE",Inputs!$F$8=1),(((SQRT(((Inputs!$I$8+(((A241)+1)/2)*(Inputs!$J$8-Inputs!$I$8)))^2+Inputs!$C$6^2+((Inputs!$H$8+Inputs!$L$8*(((Inputs!$I$8+(((A241)+1)/2)*(Inputs!$J$8-Inputs!$I$8)))/Inputs!$K$8)^2))^2))-((Inputs!$H$8+Inputs!$L$8*(((Inputs!$I$8+(((A241)+1)/2)*(Inputs!$J$8-Inputs!$I$8)))/Inputs!$K$8)^2)))*1000/Inputs!$C$12),NA())</x:f>
        <x:v>157445.0196658142</x:v>
      </x:c>
      <x:c r="K241" s="48" t="n">
        <x:f>IF(OR(Inputs!$F$9=TRUE,Inputs!$F$9="TRUE",Inputs!$F$9=1),(((SQRT(((Inputs!$I$9+(((A241)+1)/2)*(Inputs!$J$9-Inputs!$I$9)))^2+Inputs!$C$6^2+((Inputs!$H$9+Inputs!$L$9*(((Inputs!$I$9+(((A241)+1)/2)*(Inputs!$J$9-Inputs!$I$9)))/Inputs!$K$9)^2))^2))-((Inputs!$H$9+Inputs!$L$9*(((Inputs!$I$9+(((A241)+1)/2)*(Inputs!$J$9-Inputs!$I$9)))/Inputs!$K$9)^2)))*1000/Inputs!$C$12),NA())</x:f>
        <x:v>157464.85820436524</x:v>
      </x:c>
      <x:c r="L241" s="49"/>
      <x:c r="M241" s="48" t="n">
        <x:f>A241</x:f>
        <x:v>0.992</x:v>
      </x:c>
      <x:c r="N241" s="48" t="n">
        <x:f>IF(OR(Inputs!$F$6=TRUE,Inputs!$F$6="TRUE",Inputs!$F$6=1),(-2*((1000*((((Inputs!$I$6+(((A241)+1)/2)*(Inputs!$J$6-Inputs!$I$6)))*Inputs!$C$11+((Inputs!$H$6+Inputs!$L$6*(((Inputs!$I$6+(((A241)+1)/2)*(Inputs!$J$6-Inputs!$I$6)))/Inputs!$K$6)^2))*((2*Inputs!$L$6*((Inputs!$I$6+(((A241)+1)/2)*(Inputs!$J$6-Inputs!$I$6)))/(Inputs!$K$6^2)*Inputs!$C$11)))/(SQRT(((Inputs!$I$6+(((A241)+1)/2)*(Inputs!$J$6-Inputs!$I$6)))^2+Inputs!$C$6^2+((Inputs!$H$6+Inputs!$L$6*(((Inputs!$I$6+(((A241)+1)/2)*(Inputs!$J$6-Inputs!$I$6)))/Inputs!$K$6)^2))^2)))))/Inputs!$C$13),NA())</x:f>
        <x:v>-441.780126959502</x:v>
      </x:c>
      <x:c r="O241" s="48" t="n">
        <x:f>IF(OR(Inputs!$F$7=TRUE,Inputs!$F$7="TRUE",Inputs!$F$7=1),(-2*((1000*((((Inputs!$I$7+(((A241)+1)/2)*(Inputs!$J$7-Inputs!$I$7)))*Inputs!$C$11+((Inputs!$H$7+Inputs!$L$7*(((Inputs!$I$7+(((A241)+1)/2)*(Inputs!$J$7-Inputs!$I$7)))/Inputs!$K$7)^2))*((2*Inputs!$L$7*((Inputs!$I$7+(((A241)+1)/2)*(Inputs!$J$7-Inputs!$I$7)))/(Inputs!$K$7^2)*Inputs!$C$11)))/(SQRT(((Inputs!$I$7+(((A241)+1)/2)*(Inputs!$J$7-Inputs!$I$7)))^2+Inputs!$C$6^2+((Inputs!$H$7+Inputs!$L$7*(((Inputs!$I$7+(((A241)+1)/2)*(Inputs!$J$7-Inputs!$I$7)))/Inputs!$K$7)^2))^2)))))/Inputs!$C$13),NA())</x:f>
        <x:v>-3173.385746389757</x:v>
      </x:c>
      <x:c r="P241" s="48" t="n">
        <x:f>IF(OR(Inputs!$F$8=TRUE,Inputs!$F$8="TRUE",Inputs!$F$8=1),(-2*((1000*((((Inputs!$I$8+(((A241)+1)/2)*(Inputs!$J$8-Inputs!$I$8)))*Inputs!$C$11+((Inputs!$H$8+Inputs!$L$8*(((Inputs!$I$8+(((A241)+1)/2)*(Inputs!$J$8-Inputs!$I$8)))/Inputs!$K$8)^2))*((2*Inputs!$L$8*((Inputs!$I$8+(((A241)+1)/2)*(Inputs!$J$8-Inputs!$I$8)))/(Inputs!$K$8^2)*Inputs!$C$11)))/(SQRT(((Inputs!$I$8+(((A241)+1)/2)*(Inputs!$J$8-Inputs!$I$8)))^2+Inputs!$C$6^2+((Inputs!$H$8+Inputs!$L$8*(((Inputs!$I$8+(((A241)+1)/2)*(Inputs!$J$8-Inputs!$I$8)))/Inputs!$K$8)^2))^2)))))/Inputs!$C$13),NA())</x:f>
        <x:v>-3984.5828849449704</x:v>
      </x:c>
      <x:c r="Q241" s="48" t="n">
        <x:f>IF(OR(Inputs!$F$9=TRUE,Inputs!$F$9="TRUE",Inputs!$F$9=1),(-2*((1000*((((Inputs!$I$9+(((A241)+1)/2)*(Inputs!$J$9-Inputs!$I$9)))*Inputs!$C$11+((Inputs!$H$9+Inputs!$L$9*(((Inputs!$I$9+(((A241)+1)/2)*(Inputs!$J$9-Inputs!$I$9)))/Inputs!$K$9)^2))*((2*Inputs!$L$9*((Inputs!$I$9+(((A241)+1)/2)*(Inputs!$J$9-Inputs!$I$9)))/(Inputs!$K$9^2)*Inputs!$C$11)))/(SQRT(((Inputs!$I$9+(((A241)+1)/2)*(Inputs!$J$9-Inputs!$I$9)))^2+Inputs!$C$6^2+((Inputs!$H$9+Inputs!$L$9*(((Inputs!$I$9+(((A241)+1)/2)*(Inputs!$J$9-Inputs!$I$9)))/Inputs!$K$9)^2))^2)))))/Inputs!$C$13),NA())</x:f>
        <x:v>-4015.377541054278</x:v>
      </x:c>
      <x:c r="R241" s="49"/>
      <x:c r="S241" s="48" t="n">
        <x:f>A241</x:f>
        <x:v>0.992</x:v>
      </x:c>
      <x:c r="T241" s="48" t="n">
        <x:f>(Inputs!$I$6+(((A241)+1)/2)*(Inputs!$J$6-Inputs!$I$6))</x:f>
        <x:v>59.519999999999996</x:v>
      </x:c>
      <x:c r="U241" s="48" t="n">
        <x:f>(Inputs!$I$7+(((A241)+1)/2)*(Inputs!$J$7-Inputs!$I$7))</x:f>
        <x:v>396.79999999999995</x:v>
      </x:c>
      <x:c r="V241" s="48" t="n">
        <x:f>(Inputs!$I$8+(((A241)+1)/2)*(Inputs!$J$8-Inputs!$I$8))</x:f>
        <x:v>793.5999999999999</x:v>
      </x:c>
      <x:c r="W241" s="48" t="n">
        <x:f>(Inputs!$I$9+(((A241)+1)/2)*(Inputs!$J$9-Inputs!$I$9))</x:f>
        <x:v>793.5999999999999</x:v>
      </x:c>
      <x:c r="X241" s="49"/>
      <x:c r="Y241" s="48" t="n">
        <x:f>A241</x:f>
        <x:v>0.992</x:v>
      </x:c>
      <x:c r="Z241" s="48" t="n">
        <x:f>(Inputs!$H$6+Inputs!$L$6*(((Inputs!$I$6+(((A241)+1)/2)*(Inputs!$J$6-Inputs!$I$6)))/Inputs!$K$6)^2)</x:f>
        <x:v>403.936256</x:v>
      </x:c>
      <x:c r="AA241" s="48" t="n">
        <x:f>(Inputs!$H$7+Inputs!$L$7*(((Inputs!$I$7+(((A241)+1)/2)*(Inputs!$J$7-Inputs!$I$7)))/Inputs!$K$7)^2)</x:f>
        <x:v>394.1833599999999</x:v>
      </x:c>
      <x:c r="AB241" s="48" t="n">
        <x:f>(Inputs!$H$8+Inputs!$L$8*(((Inputs!$I$8+(((A241)+1)/2)*(Inputs!$J$8-Inputs!$I$8)))/Inputs!$K$8)^2)</x:f>
        <x:v>984.6217599999998</x:v>
      </x:c>
      <x:c r="AC241" s="48" t="n">
        <x:f>(Inputs!$H$9+Inputs!$L$9*(((Inputs!$I$9+(((A241)+1)/2)*(Inputs!$J$9-Inputs!$I$9)))/Inputs!$K$9)^2)</x:f>
        <x:v>984.4623999999998</x:v>
      </x:c>
      <x:c r="AD241" s="49"/>
      <x:c r="AE241" s="48" t="n">
        <x:f>A241</x:f>
        <x:v>0.992</x:v>
      </x:c>
      <x:c r="AF241" s="48" t="n">
        <x:f>(((SQRT(((Inputs!$I$6+(((A241)+1)/2)*(Inputs!$J$6-Inputs!$I$6)))^2+Inputs!$C$6^2+((Inputs!$H$6+Inputs!$L$6*(((Inputs!$I$6+(((A241)+1)/2)*(Inputs!$J$6-Inputs!$I$6)))/Inputs!$K$6)^2))^2))-((Inputs!$H$6+Inputs!$L$6*(((Inputs!$I$6+(((A241)+1)/2)*(Inputs!$J$6-Inputs!$I$6)))/Inputs!$K$6)^2)))*1000/Inputs!$C$12)</x:f>
        <x:v>2879.912637692396</x:v>
      </x:c>
      <x:c r="AG241" s="48" t="n">
        <x:f>(((SQRT(((Inputs!$I$7+(((A241)+1)/2)*(Inputs!$J$7-Inputs!$I$7)))^2+Inputs!$C$6^2+((Inputs!$H$7+Inputs!$L$7*(((Inputs!$I$7+(((A241)+1)/2)*(Inputs!$J$7-Inputs!$I$7)))/Inputs!$K$7)^2))^2))-((Inputs!$H$7+Inputs!$L$7*(((Inputs!$I$7+(((A241)+1)/2)*(Inputs!$J$7-Inputs!$I$7)))/Inputs!$K$7)^2)))*1000/Inputs!$C$12)</x:f>
        <x:v>93083.05653672412</x:v>
      </x:c>
      <x:c r="AH241" s="48" t="n">
        <x:f>(((SQRT(((Inputs!$I$8+(((A241)+1)/2)*(Inputs!$J$8-Inputs!$I$8)))^2+Inputs!$C$6^2+((Inputs!$H$8+Inputs!$L$8*(((Inputs!$I$8+(((A241)+1)/2)*(Inputs!$J$8-Inputs!$I$8)))/Inputs!$K$8)^2))^2))-((Inputs!$H$8+Inputs!$L$8*(((Inputs!$I$8+(((A241)+1)/2)*(Inputs!$J$8-Inputs!$I$8)))/Inputs!$K$8)^2)))*1000/Inputs!$C$12)</x:f>
        <x:v>157445.0196658142</x:v>
      </x:c>
      <x:c r="AI241" s="48" t="n">
        <x:f>(((SQRT(((Inputs!$I$9+(((A241)+1)/2)*(Inputs!$J$9-Inputs!$I$9)))^2+Inputs!$C$6^2+((Inputs!$H$9+Inputs!$L$9*(((Inputs!$I$9+(((A241)+1)/2)*(Inputs!$J$9-Inputs!$I$9)))/Inputs!$K$9)^2))^2))-((Inputs!$H$9+Inputs!$L$9*(((Inputs!$I$9+(((A241)+1)/2)*(Inputs!$J$9-Inputs!$I$9)))/Inputs!$K$9)^2)))*1000/Inputs!$C$12)</x:f>
        <x:v>157464.85820436524</x:v>
      </x:c>
      <x:c r="AJ241" s="49"/>
      <x:c r="AK241" s="48" t="n">
        <x:f>A241</x:f>
        <x:v>0.992</x:v>
      </x:c>
      <x:c r="AL241" s="48" t="n">
        <x:f>(-2*((1000*((((Inputs!$I$6+(((A241)+1)/2)*(Inputs!$J$6-Inputs!$I$6)))*Inputs!$C$11+((Inputs!$H$6+Inputs!$L$6*(((Inputs!$I$6+(((A241)+1)/2)*(Inputs!$J$6-Inputs!$I$6)))/Inputs!$K$6)^2))*((2*Inputs!$L$6*((Inputs!$I$6+(((A241)+1)/2)*(Inputs!$J$6-Inputs!$I$6)))/(Inputs!$K$6^2)*Inputs!$C$11)))/(SQRT(((Inputs!$I$6+(((A241)+1)/2)*(Inputs!$J$6-Inputs!$I$6)))^2+Inputs!$C$6^2+((Inputs!$H$6+Inputs!$L$6*(((Inputs!$I$6+(((A241)+1)/2)*(Inputs!$J$6-Inputs!$I$6)))/Inputs!$K$6)^2))^2)))))/Inputs!$C$13)</x:f>
        <x:v>-441.780126959502</x:v>
      </x:c>
      <x:c r="AM241" s="48" t="n">
        <x:f>(-2*((1000*((((Inputs!$I$7+(((A241)+1)/2)*(Inputs!$J$7-Inputs!$I$7)))*Inputs!$C$11+((Inputs!$H$7+Inputs!$L$7*(((Inputs!$I$7+(((A241)+1)/2)*(Inputs!$J$7-Inputs!$I$7)))/Inputs!$K$7)^2))*((2*Inputs!$L$7*((Inputs!$I$7+(((A241)+1)/2)*(Inputs!$J$7-Inputs!$I$7)))/(Inputs!$K$7^2)*Inputs!$C$11)))/(SQRT(((Inputs!$I$7+(((A241)+1)/2)*(Inputs!$J$7-Inputs!$I$7)))^2+Inputs!$C$6^2+((Inputs!$H$7+Inputs!$L$7*(((Inputs!$I$7+(((A241)+1)/2)*(Inputs!$J$7-Inputs!$I$7)))/Inputs!$K$7)^2))^2)))))/Inputs!$C$13)</x:f>
        <x:v>-3173.385746389757</x:v>
      </x:c>
      <x:c r="AN241" s="48" t="n">
        <x:f>(-2*((1000*((((Inputs!$I$8+(((A241)+1)/2)*(Inputs!$J$8-Inputs!$I$8)))*Inputs!$C$11+((Inputs!$H$8+Inputs!$L$8*(((Inputs!$I$8+(((A241)+1)/2)*(Inputs!$J$8-Inputs!$I$8)))/Inputs!$K$8)^2))*((2*Inputs!$L$8*((Inputs!$I$8+(((A241)+1)/2)*(Inputs!$J$8-Inputs!$I$8)))/(Inputs!$K$8^2)*Inputs!$C$11)))/(SQRT(((Inputs!$I$8+(((A241)+1)/2)*(Inputs!$J$8-Inputs!$I$8)))^2+Inputs!$C$6^2+((Inputs!$H$8+Inputs!$L$8*(((Inputs!$I$8+(((A241)+1)/2)*(Inputs!$J$8-Inputs!$I$8)))/Inputs!$K$8)^2))^2)))))/Inputs!$C$13)</x:f>
        <x:v>-3984.5828849449704</x:v>
      </x:c>
      <x:c r="AO241" s="48" t="n">
        <x:f>(-2*((1000*((((Inputs!$I$9+(((A241)+1)/2)*(Inputs!$J$9-Inputs!$I$9)))*Inputs!$C$11+((Inputs!$H$9+Inputs!$L$9*(((Inputs!$I$9+(((A241)+1)/2)*(Inputs!$J$9-Inputs!$I$9)))/Inputs!$K$9)^2))*((2*Inputs!$L$9*((Inputs!$I$9+(((A241)+1)/2)*(Inputs!$J$9-Inputs!$I$9)))/(Inputs!$K$9^2)*Inputs!$C$11)))/(SQRT(((Inputs!$I$9+(((A241)+1)/2)*(Inputs!$J$9-Inputs!$I$9)))^2+Inputs!$C$6^2+((Inputs!$H$9+Inputs!$L$9*(((Inputs!$I$9+(((A241)+1)/2)*(Inputs!$J$9-Inputs!$I$9)))/Inputs!$K$9)^2))^2)))))/Inputs!$C$13)</x:f>
        <x:v>-4015.377541054278</x:v>
      </x:c>
    </x:row>
    <x:row r="242">
      <x:c r="A242" s="48" t="n">
        <x:f>ROUND(-1+240*2/240,3)</x:f>
        <x:v>1</x:v>
      </x:c>
      <x:c r="B242" s="48" t="n">
        <x:f>IF(OR(Inputs!$F$6=TRUE,Inputs!$F$6="TRUE",Inputs!$F$6=1),(Inputs!$H$6+Inputs!$L$6*(((Inputs!$I$6+(((A242)+1)/2)*(Inputs!$J$6-Inputs!$I$6)))/Inputs!$K$6)^2),NA())</x:f>
        <x:v>404</x:v>
      </x:c>
      <x:c r="C242" s="48" t="n">
        <x:f>IF(OR(Inputs!$F$7=TRUE,Inputs!$F$7="TRUE",Inputs!$F$7=1),(Inputs!$H$7+Inputs!$L$7*(((Inputs!$I$7+(((A242)+1)/2)*(Inputs!$J$7-Inputs!$I$7)))/Inputs!$K$7)^2),NA())</x:f>
        <x:v>400</x:v>
      </x:c>
      <x:c r="D242" s="48" t="n">
        <x:f>IF(OR(Inputs!$F$8=TRUE,Inputs!$F$8="TRUE",Inputs!$F$8=1),(Inputs!$H$8+Inputs!$L$8*(((Inputs!$I$8+(((A242)+1)/2)*(Inputs!$J$8-Inputs!$I$8)))/Inputs!$K$8)^2),NA())</x:f>
        <x:v>1000</x:v>
      </x:c>
      <x:c r="E242" s="48" t="n">
        <x:f>IF(OR(Inputs!$F$9=TRUE,Inputs!$F$9="TRUE",Inputs!$F$9=1),(Inputs!$H$9+Inputs!$L$9*(((Inputs!$I$9+(((A242)+1)/2)*(Inputs!$J$9-Inputs!$I$9)))/Inputs!$K$9)^2),NA())</x:f>
        <x:v>1000</x:v>
      </x:c>
      <x:c r="F242" s="49"/>
      <x:c r="G242" s="48" t="n">
        <x:f>A242</x:f>
        <x:v>1</x:v>
      </x:c>
      <x:c r="H242" s="48" t="n">
        <x:f>IF(OR(Inputs!$F$6=TRUE,Inputs!$F$6="TRUE",Inputs!$F$6=1),(((SQRT(((Inputs!$I$6+(((A242)+1)/2)*(Inputs!$J$6-Inputs!$I$6)))^2+Inputs!$C$6^2+((Inputs!$H$6+Inputs!$L$6*(((Inputs!$I$6+(((A242)+1)/2)*(Inputs!$J$6-Inputs!$I$6)))/Inputs!$K$6)^2))^2))-((Inputs!$H$6+Inputs!$L$6*(((Inputs!$I$6+(((A242)+1)/2)*(Inputs!$J$6-Inputs!$I$6)))/Inputs!$K$6)^2)))*1000/Inputs!$C$12),NA())</x:f>
        <x:v>2918.849591569284</x:v>
      </x:c>
      <x:c r="I242" s="48" t="n">
        <x:f>IF(OR(Inputs!$F$7=TRUE,Inputs!$F$7="TRUE",Inputs!$F$7=1),(((SQRT(((Inputs!$I$7+(((A242)+1)/2)*(Inputs!$J$7-Inputs!$I$7)))^2+Inputs!$C$6^2+((Inputs!$H$7+Inputs!$L$7*(((Inputs!$I$7+(((A242)+1)/2)*(Inputs!$J$7-Inputs!$I$7)))/Inputs!$K$7)^2))^2))-((Inputs!$H$7+Inputs!$L$7*(((Inputs!$I$7+(((A242)+1)/2)*(Inputs!$J$7-Inputs!$I$7)))/Inputs!$K$7)^2)))*1000/Inputs!$C$12),NA())</x:f>
        <x:v>93391.9003625316</x:v>
      </x:c>
      <x:c r="J242" s="48" t="n">
        <x:f>IF(OR(Inputs!$F$8=TRUE,Inputs!$F$8="TRUE",Inputs!$F$8=1),(((SQRT(((Inputs!$I$8+(((A242)+1)/2)*(Inputs!$J$8-Inputs!$I$8)))^2+Inputs!$C$6^2+((Inputs!$H$8+Inputs!$L$8*(((Inputs!$I$8+(((A242)+1)/2)*(Inputs!$J$8-Inputs!$I$8)))/Inputs!$K$8)^2))^2))-((Inputs!$H$8+Inputs!$L$8*(((Inputs!$I$8+(((A242)+1)/2)*(Inputs!$J$8-Inputs!$I$8)))/Inputs!$K$8)^2)))*1000/Inputs!$C$12),NA())</x:f>
        <x:v>157791.48637356728</x:v>
      </x:c>
      <x:c r="K242" s="48" t="n">
        <x:f>IF(OR(Inputs!$F$9=TRUE,Inputs!$F$9="TRUE",Inputs!$F$9=1),(((SQRT(((Inputs!$I$9+(((A242)+1)/2)*(Inputs!$J$9-Inputs!$I$9)))^2+Inputs!$C$6^2+((Inputs!$H$9+Inputs!$L$9*(((Inputs!$I$9+(((A242)+1)/2)*(Inputs!$J$9-Inputs!$I$9)))/Inputs!$K$9)^2))^2))-((Inputs!$H$9+Inputs!$L$9*(((Inputs!$I$9+(((A242)+1)/2)*(Inputs!$J$9-Inputs!$I$9)))/Inputs!$K$9)^2)))*1000/Inputs!$C$12),NA())</x:f>
        <x:v>157791.48637356728</x:v>
      </x:c>
      <x:c r="L242" s="49"/>
      <x:c r="M242" s="48" t="n">
        <x:f>A242</x:f>
        <x:v>1</x:v>
      </x:c>
      <x:c r="N242" s="48" t="n">
        <x:f>IF(OR(Inputs!$F$6=TRUE,Inputs!$F$6="TRUE",Inputs!$F$6=1),(-2*((1000*((((Inputs!$I$6+(((A242)+1)/2)*(Inputs!$J$6-Inputs!$I$6)))*Inputs!$C$11+((Inputs!$H$6+Inputs!$L$6*(((Inputs!$I$6+(((A242)+1)/2)*(Inputs!$J$6-Inputs!$I$6)))/Inputs!$K$6)^2))*((2*Inputs!$L$6*((Inputs!$I$6+(((A242)+1)/2)*(Inputs!$J$6-Inputs!$I$6)))/(Inputs!$K$6^2)*Inputs!$C$11)))/(SQRT(((Inputs!$I$6+(((A242)+1)/2)*(Inputs!$J$6-Inputs!$I$6)))^2+Inputs!$C$6^2+((Inputs!$H$6+Inputs!$L$6*(((Inputs!$I$6+(((A242)+1)/2)*(Inputs!$J$6-Inputs!$I$6)))/Inputs!$K$6)^2))^2)))))/Inputs!$C$13),NA())</x:f>
        <x:v>-445.23129749250427</x:v>
      </x:c>
      <x:c r="O242" s="48" t="n">
        <x:f>IF(OR(Inputs!$F$7=TRUE,Inputs!$F$7="TRUE",Inputs!$F$7=1),(-2*((1000*((((Inputs!$I$7+(((A242)+1)/2)*(Inputs!$J$7-Inputs!$I$7)))*Inputs!$C$11+((Inputs!$H$7+Inputs!$L$7*(((Inputs!$I$7+(((A242)+1)/2)*(Inputs!$J$7-Inputs!$I$7)))/Inputs!$K$7)^2))*((2*Inputs!$L$7*((Inputs!$I$7+(((A242)+1)/2)*(Inputs!$J$7-Inputs!$I$7)))/(Inputs!$K$7^2)*Inputs!$C$11)))/(SQRT(((Inputs!$I$7+(((A242)+1)/2)*(Inputs!$J$7-Inputs!$I$7)))^2+Inputs!$C$6^2+((Inputs!$H$7+Inputs!$L$7*(((Inputs!$I$7+(((A242)+1)/2)*(Inputs!$J$7-Inputs!$I$7)))/Inputs!$K$7)^2))^2)))))/Inputs!$C$13),NA())</x:f>
        <x:v>-3193.0060020981323</x:v>
      </x:c>
      <x:c r="P242" s="48" t="n">
        <x:f>IF(OR(Inputs!$F$8=TRUE,Inputs!$F$8="TRUE",Inputs!$F$8=1),(-2*((1000*((((Inputs!$I$8+(((A242)+1)/2)*(Inputs!$J$8-Inputs!$I$8)))*Inputs!$C$11+((Inputs!$H$8+Inputs!$L$8*(((Inputs!$I$8+(((A242)+1)/2)*(Inputs!$J$8-Inputs!$I$8)))/Inputs!$K$8)^2))*((2*Inputs!$L$8*((Inputs!$I$8+(((A242)+1)/2)*(Inputs!$J$8-Inputs!$I$8)))/(Inputs!$K$8^2)*Inputs!$C$11)))/(SQRT(((Inputs!$I$8+(((A242)+1)/2)*(Inputs!$J$8-Inputs!$I$8)))^2+Inputs!$C$6^2+((Inputs!$H$8+Inputs!$L$8*(((Inputs!$I$8+(((A242)+1)/2)*(Inputs!$J$8-Inputs!$I$8)))/Inputs!$K$8)^2))^2)))))/Inputs!$C$13),NA())</x:f>
        <x:v>-4012.901099964368</x:v>
      </x:c>
      <x:c r="Q242" s="48" t="n">
        <x:f>IF(OR(Inputs!$F$9=TRUE,Inputs!$F$9="TRUE",Inputs!$F$9=1),(-2*((1000*((((Inputs!$I$9+(((A242)+1)/2)*(Inputs!$J$9-Inputs!$I$9)))*Inputs!$C$11+((Inputs!$H$9+Inputs!$L$9*(((Inputs!$I$9+(((A242)+1)/2)*(Inputs!$J$9-Inputs!$I$9)))/Inputs!$K$9)^2))*((2*Inputs!$L$9*((Inputs!$I$9+(((A242)+1)/2)*(Inputs!$J$9-Inputs!$I$9)))/(Inputs!$K$9^2)*Inputs!$C$11)))/(SQRT(((Inputs!$I$9+(((A242)+1)/2)*(Inputs!$J$9-Inputs!$I$9)))^2+Inputs!$C$6^2+((Inputs!$H$9+Inputs!$L$9*(((Inputs!$I$9+(((A242)+1)/2)*(Inputs!$J$9-Inputs!$I$9)))/Inputs!$K$9)^2))^2)))))/Inputs!$C$13),NA())</x:f>
        <x:v>-4044.1299022987214</x:v>
      </x:c>
      <x:c r="R242" s="49"/>
      <x:c r="S242" s="48" t="n">
        <x:f>A242</x:f>
        <x:v>1</x:v>
      </x:c>
      <x:c r="T242" s="48" t="n">
        <x:f>(Inputs!$I$6+(((A242)+1)/2)*(Inputs!$J$6-Inputs!$I$6))</x:f>
        <x:v>60</x:v>
      </x:c>
      <x:c r="U242" s="48" t="n">
        <x:f>(Inputs!$I$7+(((A242)+1)/2)*(Inputs!$J$7-Inputs!$I$7))</x:f>
        <x:v>400</x:v>
      </x:c>
      <x:c r="V242" s="48" t="n">
        <x:f>(Inputs!$I$8+(((A242)+1)/2)*(Inputs!$J$8-Inputs!$I$8))</x:f>
        <x:v>800</x:v>
      </x:c>
      <x:c r="W242" s="48" t="n">
        <x:f>(Inputs!$I$9+(((A242)+1)/2)*(Inputs!$J$9-Inputs!$I$9))</x:f>
        <x:v>800</x:v>
      </x:c>
      <x:c r="X242" s="49"/>
      <x:c r="Y242" s="48" t="n">
        <x:f>A242</x:f>
        <x:v>1</x:v>
      </x:c>
      <x:c r="Z242" s="48" t="n">
        <x:f>(Inputs!$H$6+Inputs!$L$6*(((Inputs!$I$6+(((A242)+1)/2)*(Inputs!$J$6-Inputs!$I$6)))/Inputs!$K$6)^2)</x:f>
        <x:v>404</x:v>
      </x:c>
      <x:c r="AA242" s="48" t="n">
        <x:f>(Inputs!$H$7+Inputs!$L$7*(((Inputs!$I$7+(((A242)+1)/2)*(Inputs!$J$7-Inputs!$I$7)))/Inputs!$K$7)^2)</x:f>
        <x:v>400</x:v>
      </x:c>
      <x:c r="AB242" s="48" t="n">
        <x:f>(Inputs!$H$8+Inputs!$L$8*(((Inputs!$I$8+(((A242)+1)/2)*(Inputs!$J$8-Inputs!$I$8)))/Inputs!$K$8)^2)</x:f>
        <x:v>1000</x:v>
      </x:c>
      <x:c r="AC242" s="48" t="n">
        <x:f>(Inputs!$H$9+Inputs!$L$9*(((Inputs!$I$9+(((A242)+1)/2)*(Inputs!$J$9-Inputs!$I$9)))/Inputs!$K$9)^2)</x:f>
        <x:v>1000</x:v>
      </x:c>
      <x:c r="AD242" s="49"/>
      <x:c r="AE242" s="48" t="n">
        <x:f>A242</x:f>
        <x:v>1</x:v>
      </x:c>
      <x:c r="AF242" s="48" t="n">
        <x:f>(((SQRT(((Inputs!$I$6+(((A242)+1)/2)*(Inputs!$J$6-Inputs!$I$6)))^2+Inputs!$C$6^2+((Inputs!$H$6+Inputs!$L$6*(((Inputs!$I$6+(((A242)+1)/2)*(Inputs!$J$6-Inputs!$I$6)))/Inputs!$K$6)^2))^2))-((Inputs!$H$6+Inputs!$L$6*(((Inputs!$I$6+(((A242)+1)/2)*(Inputs!$J$6-Inputs!$I$6)))/Inputs!$K$6)^2)))*1000/Inputs!$C$12)</x:f>
        <x:v>2918.849591569284</x:v>
      </x:c>
      <x:c r="AG242" s="48" t="n">
        <x:f>(((SQRT(((Inputs!$I$7+(((A242)+1)/2)*(Inputs!$J$7-Inputs!$I$7)))^2+Inputs!$C$6^2+((Inputs!$H$7+Inputs!$L$7*(((Inputs!$I$7+(((A242)+1)/2)*(Inputs!$J$7-Inputs!$I$7)))/Inputs!$K$7)^2))^2))-((Inputs!$H$7+Inputs!$L$7*(((Inputs!$I$7+(((A242)+1)/2)*(Inputs!$J$7-Inputs!$I$7)))/Inputs!$K$7)^2)))*1000/Inputs!$C$12)</x:f>
        <x:v>93391.9003625316</x:v>
      </x:c>
      <x:c r="AH242" s="48" t="n">
        <x:f>(((SQRT(((Inputs!$I$8+(((A242)+1)/2)*(Inputs!$J$8-Inputs!$I$8)))^2+Inputs!$C$6^2+((Inputs!$H$8+Inputs!$L$8*(((Inputs!$I$8+(((A242)+1)/2)*(Inputs!$J$8-Inputs!$I$8)))/Inputs!$K$8)^2))^2))-((Inputs!$H$8+Inputs!$L$8*(((Inputs!$I$8+(((A242)+1)/2)*(Inputs!$J$8-Inputs!$I$8)))/Inputs!$K$8)^2)))*1000/Inputs!$C$12)</x:f>
        <x:v>157791.48637356728</x:v>
      </x:c>
      <x:c r="AI242" s="48" t="n">
        <x:f>(((SQRT(((Inputs!$I$9+(((A242)+1)/2)*(Inputs!$J$9-Inputs!$I$9)))^2+Inputs!$C$6^2+((Inputs!$H$9+Inputs!$L$9*(((Inputs!$I$9+(((A242)+1)/2)*(Inputs!$J$9-Inputs!$I$9)))/Inputs!$K$9)^2))^2))-((Inputs!$H$9+Inputs!$L$9*(((Inputs!$I$9+(((A242)+1)/2)*(Inputs!$J$9-Inputs!$I$9)))/Inputs!$K$9)^2)))*1000/Inputs!$C$12)</x:f>
        <x:v>157791.48637356728</x:v>
      </x:c>
      <x:c r="AJ242" s="49"/>
      <x:c r="AK242" s="48" t="n">
        <x:f>A242</x:f>
        <x:v>1</x:v>
      </x:c>
      <x:c r="AL242" s="48" t="n">
        <x:f>(-2*((1000*((((Inputs!$I$6+(((A242)+1)/2)*(Inputs!$J$6-Inputs!$I$6)))*Inputs!$C$11+((Inputs!$H$6+Inputs!$L$6*(((Inputs!$I$6+(((A242)+1)/2)*(Inputs!$J$6-Inputs!$I$6)))/Inputs!$K$6)^2))*((2*Inputs!$L$6*((Inputs!$I$6+(((A242)+1)/2)*(Inputs!$J$6-Inputs!$I$6)))/(Inputs!$K$6^2)*Inputs!$C$11)))/(SQRT(((Inputs!$I$6+(((A242)+1)/2)*(Inputs!$J$6-Inputs!$I$6)))^2+Inputs!$C$6^2+((Inputs!$H$6+Inputs!$L$6*(((Inputs!$I$6+(((A242)+1)/2)*(Inputs!$J$6-Inputs!$I$6)))/Inputs!$K$6)^2))^2)))))/Inputs!$C$13)</x:f>
        <x:v>-445.23129749250427</x:v>
      </x:c>
      <x:c r="AM242" s="48" t="n">
        <x:f>(-2*((1000*((((Inputs!$I$7+(((A242)+1)/2)*(Inputs!$J$7-Inputs!$I$7)))*Inputs!$C$11+((Inputs!$H$7+Inputs!$L$7*(((Inputs!$I$7+(((A242)+1)/2)*(Inputs!$J$7-Inputs!$I$7)))/Inputs!$K$7)^2))*((2*Inputs!$L$7*((Inputs!$I$7+(((A242)+1)/2)*(Inputs!$J$7-Inputs!$I$7)))/(Inputs!$K$7^2)*Inputs!$C$11)))/(SQRT(((Inputs!$I$7+(((A242)+1)/2)*(Inputs!$J$7-Inputs!$I$7)))^2+Inputs!$C$6^2+((Inputs!$H$7+Inputs!$L$7*(((Inputs!$I$7+(((A242)+1)/2)*(Inputs!$J$7-Inputs!$I$7)))/Inputs!$K$7)^2))^2)))))/Inputs!$C$13)</x:f>
        <x:v>-3193.0060020981323</x:v>
      </x:c>
      <x:c r="AN242" s="48" t="n">
        <x:f>(-2*((1000*((((Inputs!$I$8+(((A242)+1)/2)*(Inputs!$J$8-Inputs!$I$8)))*Inputs!$C$11+((Inputs!$H$8+Inputs!$L$8*(((Inputs!$I$8+(((A242)+1)/2)*(Inputs!$J$8-Inputs!$I$8)))/Inputs!$K$8)^2))*((2*Inputs!$L$8*((Inputs!$I$8+(((A242)+1)/2)*(Inputs!$J$8-Inputs!$I$8)))/(Inputs!$K$8^2)*Inputs!$C$11)))/(SQRT(((Inputs!$I$8+(((A242)+1)/2)*(Inputs!$J$8-Inputs!$I$8)))^2+Inputs!$C$6^2+((Inputs!$H$8+Inputs!$L$8*(((Inputs!$I$8+(((A242)+1)/2)*(Inputs!$J$8-Inputs!$I$8)))/Inputs!$K$8)^2))^2)))))/Inputs!$C$13)</x:f>
        <x:v>-4012.901099964368</x:v>
      </x:c>
      <x:c r="AO242" s="48" t="n">
        <x:f>(-2*((1000*((((Inputs!$I$9+(((A242)+1)/2)*(Inputs!$J$9-Inputs!$I$9)))*Inputs!$C$11+((Inputs!$H$9+Inputs!$L$9*(((Inputs!$I$9+(((A242)+1)/2)*(Inputs!$J$9-Inputs!$I$9)))/Inputs!$K$9)^2))*((2*Inputs!$L$9*((Inputs!$I$9+(((A242)+1)/2)*(Inputs!$J$9-Inputs!$I$9)))/(Inputs!$K$9^2)*Inputs!$C$11)))/(SQRT(((Inputs!$I$9+(((A242)+1)/2)*(Inputs!$J$9-Inputs!$I$9)))^2+Inputs!$C$6^2+((Inputs!$H$9+Inputs!$L$9*(((Inputs!$I$9+(((A242)+1)/2)*(Inputs!$J$9-Inputs!$I$9)))/Inputs!$K$9)^2))^2)))))/Inputs!$C$13)</x:f>
        <x:v>-4044.1299022987214</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22" hidden="0" customWidth="1"/>
    <x:col min="4" max="4" width="22" hidden="0" customWidth="1"/>
    <x:col min="5" max="5" width="20" hidden="0" customWidth="1"/>
    <x:col min="6" max="6" width="30" hidden="0" customWidth="1"/>
  </x:cols>
  <x:sheetData>
    <x:row r="1">
      <x:c r="A1" s="4" t="str">
        <x:v>PRF and Pulse Timing Results</x:v>
      </x:c>
      <x:c r="B1" s="4"/>
      <x:c r="C1" s="4"/>
      <x:c r="D1" s="4"/>
      <x:c r="E1" s="4"/>
      <x:c r="F1" s="4"/>
    </x:row>
    <x:row r="3">
      <x:c r="A3" s="14" t="str">
        <x:v>PRF (Hz)</x:v>
      </x:c>
      <x:c r="B3" s="14" t="str">
        <x:v>Pulse interval (ms)</x:v>
      </x:c>
      <x:c r="C3" s="14" t="str">
        <x:v>Along-track spacing (m)</x:v>
      </x:c>
      <x:c r="D3" s="14" t="str">
        <x:v>Unambiguous range (km)</x:v>
      </x:c>
      <x:c r="E3" s="14" t="str">
        <x:v>Pulses in air at z0</x:v>
      </x:c>
      <x:c r="F3" s="14" t="str">
        <x:v>Doppler sampling status</x:v>
      </x:c>
    </x:row>
    <x:row r="4">
      <x:c r="A4" s="48" t="n">
        <x:f>Inputs!$C$18</x:f>
        <x:v>50</x:v>
      </x:c>
      <x:c r="B4" s="48" t="n">
        <x:f>1000/A4</x:f>
        <x:v>20</x:v>
      </x:c>
      <x:c r="C4" s="48" t="n">
        <x:f>Inputs!$C$11*1000/A4</x:f>
        <x:v>80</x:v>
      </x:c>
      <x:c r="D4" s="48" t="n">
        <x:f>Inputs!$C$21/(2*A4)/1000</x:f>
        <x:v>2997.92458</x:v>
      </x:c>
      <x:c r="E4" s="48" t="n">
        <x:f>A4*(2*Inputs!$C$5*1000/Inputs!$C$21)</x:f>
        <x:v>0.13342563807926083</x:v>
      </x:c>
      <x:c r="F4" s="11" t="str">
        <x:f>IF(A4&gt;=Dashboard!$B$16,"OK for modeled topo VHF Doppler","Below simple Doppler floor")</x:f>
        <x:v>Below simple Doppler floor</x:v>
      </x:c>
    </x:row>
    <x:row r="5">
      <x:c r="A5" s="48" t="n">
        <x:f>Inputs!$C$19</x:f>
        <x:v>500</x:v>
      </x:c>
      <x:c r="B5" s="48" t="n">
        <x:f>1000/A5</x:f>
        <x:v>2</x:v>
      </x:c>
      <x:c r="C5" s="48" t="n">
        <x:f>Inputs!$C$11*1000/A5</x:f>
        <x:v>8</x:v>
      </x:c>
      <x:c r="D5" s="48" t="n">
        <x:f>Inputs!$C$21/(2*A5)/1000</x:f>
        <x:v>299.792458</x:v>
      </x:c>
      <x:c r="E5" s="48" t="n">
        <x:f>A5*(2*Inputs!$C$5*1000/Inputs!$C$21)</x:f>
        <x:v>1.3342563807926082</x:v>
      </x:c>
      <x:c r="F5" s="11" t="str">
        <x:f>IF(A5&gt;=Dashboard!$B$16,"OK for modeled topo VHF Doppler","Below simple Doppler floor")</x:f>
        <x:v>Below simple Doppler floor</x:v>
      </x:c>
    </x:row>
    <x:row r="6">
      <x:c r="A6" s="48" t="n">
        <x:f>Inputs!$C$20</x:f>
        <x:v>3000</x:v>
      </x:c>
      <x:c r="B6" s="48" t="n">
        <x:f>1000/A6</x:f>
        <x:v>0.3333333333333333</x:v>
      </x:c>
      <x:c r="C6" s="48" t="n">
        <x:f>Inputs!$C$11*1000/A6</x:f>
        <x:v>1.3333333333333333</x:v>
      </x:c>
      <x:c r="D6" s="48" t="n">
        <x:f>Inputs!$C$21/(2*A6)/1000</x:f>
        <x:v>49.965409666666666</x:v>
      </x:c>
      <x:c r="E6" s="48" t="n">
        <x:f>A6*(2*Inputs!$C$5*1000/Inputs!$C$21)</x:f>
        <x:v>8.00553828475565</x:v>
      </x:c>
      <x:c r="F6" s="11" t="str">
        <x:f>IF(A6&gt;=Dashboard!$B$16,"OK for modeled topo VHF Doppler","Below simple Doppler floor")</x:f>
        <x:v>OK for modeled topo VHF Doppler</x:v>
      </x:c>
    </x:row>
  </x:sheetData>
  <x:mergeCells>
    <x:mergeCell ref="A1:F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36" hidden="0" customWidth="1"/>
    <x:col min="4" max="4" width="24" hidden="0" customWidth="1"/>
  </x:cols>
  <x:sheetData>
    <x:row r="1">
      <x:c r="A1" s="4" t="str">
        <x:v>Formula Guide</x:v>
      </x:c>
      <x:c r="B1" s="4"/>
      <x:c r="C1" s="4"/>
      <x:c r="D1" s="4"/>
    </x:row>
    <x:row r="3">
      <x:c r="A3" s="14" t="str">
        <x:v>Formula</x:v>
      </x:c>
      <x:c r="B3" s="14" t="str">
        <x:v>Meaning</x:v>
      </x:c>
      <x:c r="C3" s="14" t="str">
        <x:v>Inputs used</x:v>
      </x:c>
      <x:c r="D3" s="14" t="str">
        <x:v>Output produced</x:v>
      </x:c>
    </x:row>
    <x:row r="4">
      <x:c r="A4" s="11" t="str">
        <x:v>z(x) = z0 + Delta_z_edge*(x/x_edge)^2</x:v>
      </x:c>
      <x:c r="B4" s="11" t="str">
        <x:v>Parabolic altitude path.</x:v>
      </x:c>
      <x:c r="C4" s="11" t="str">
        <x:v>z0, Delta_z_edge, x, x_edge</x:v>
      </x:c>
      <x:c r="D4" s="11" t="str">
        <x:v>altitude z</x:v>
      </x:c>
    </x:row>
    <x:row r="5">
      <x:c r="A5" s="11" t="str">
        <x:v>Paper pass scenario = paper altitude/length values inserted into z(x)</x:v>
      </x:c>
      <x:c r="B5" s="11" t="str">
        <x:v>The paper gives altitude ranges and groundtrack lengths; this workbook converts them into comparable parabolic cases.</x:v>
      </x:c>
      <x:c r="C5" s="11" t="str">
        <x:v>Inputs F6:N9</x:v>
      </x:c>
      <x:c r="D5" s="11" t="str">
        <x:v>scenario overlays</x:v>
      </x:c>
    </x:row>
    <x:row r="6">
      <x:c r="A6" s="11" t="str">
        <x:v>scenario_show = TRUE/FALSE</x:v>
      </x:c>
      <x:c r="B6" s="11" t="str">
        <x:v>Controls whether a scenario line appears in the paper-pass charts. The summary table still calculates all scenarios.</x:v>
      </x:c>
      <x:c r="C6" s="11" t="str">
        <x:v>Inputs F6:F9</x:v>
      </x:c>
      <x:c r="D6" s="11" t="str">
        <x:v>visible chart series</x:v>
      </x:c>
    </x:row>
    <x:row r="7">
      <x:c r="A7" s="11" t="str">
        <x:v>R_off = sqrt(x^2 + y^2 + z^2)</x:v>
      </x:c>
      <x:c r="B7" s="11" t="str">
        <x:v>Slant range from radar to side-offset target.</x:v>
      </x:c>
      <x:c r="C7" s="11" t="str">
        <x:v>x, y, z</x:v>
      </x:c>
      <x:c r="D7" s="11" t="str">
        <x:v>off-nadir range</x:v>
      </x:c>
    </x:row>
    <x:row r="8">
      <x:c r="A8" s="11" t="str">
        <x:v>R_nadir = z</x:v>
      </x:c>
      <x:c r="B8" s="11" t="str">
        <x:v>Range to target directly below platform.</x:v>
      </x:c>
      <x:c r="C8" s="11" t="str">
        <x:v>z</x:v>
      </x:c>
      <x:c r="D8" s="11" t="str">
        <x:v>nadir range</x:v>
      </x:c>
    </x:row>
    <x:row r="9">
      <x:c r="A9" s="11" t="str">
        <x:v>Delta_R = R_off - R_nadir</x:v>
      </x:c>
      <x:c r="B9" s="11" t="str">
        <x:v>Extra one-way path from side offset.</x:v>
      </x:c>
      <x:c r="C9" s="11" t="str">
        <x:v>R_off, R_nadir</x:v>
      </x:c>
      <x:c r="D9" s="11" t="str">
        <x:v>extra range</x:v>
      </x:c>
    </x:row>
    <x:row r="10">
      <x:c r="A10" s="11" t="str">
        <x:v>d_app = Delta_R / n</x:v>
      </x:c>
      <x:c r="B10" s="11" t="str">
        <x:v>Maps extra range onto apparent in-ice depth.</x:v>
      </x:c>
      <x:c r="C10" s="11" t="str">
        <x:v>Delta_R, n</x:v>
      </x:c>
      <x:c r="D10" s="11" t="str">
        <x:v>apparent depth</x:v>
      </x:c>
    </x:row>
    <x:row r="11">
      <x:c r="A11" s="11" t="str">
        <x:v>Delta_t = 2*Delta_R/c</x:v>
      </x:c>
      <x:c r="B11" s="11" t="str">
        <x:v>Two-way extra echo delay.</x:v>
      </x:c>
      <x:c r="C11" s="11" t="str">
        <x:v>Delta_R, c</x:v>
      </x:c>
      <x:c r="D11" s="11" t="str">
        <x:v>extra delay</x:v>
      </x:c>
    </x:row>
    <x:row r="12">
      <x:c r="A12" s="11" t="str">
        <x:v>theta = atan(horizontal/z)</x:v>
      </x:c>
      <x:c r="B12" s="11" t="str">
        <x:v>Look angle away from nadir.</x:v>
      </x:c>
      <x:c r="C12" s="11" t="str">
        <x:v>x, y, z</x:v>
      </x:c>
      <x:c r="D12" s="11" t="str">
        <x:v>look angle</x:v>
      </x:c>
    </x:row>
    <x:row r="13">
      <x:c r="A13" s="11" t="str">
        <x:v>phi = (2*pi/lambda)*b*sin(theta)</x:v>
      </x:c>
      <x:c r="B13" s="11" t="str">
        <x:v>Interferometric phase for VHF baseline.</x:v>
      </x:c>
      <x:c r="C13" s="11" t="str">
        <x:v>lambda, b, theta</x:v>
      </x:c>
      <x:c r="D13" s="11" t="str">
        <x:v>phase</x:v>
      </x:c>
    </x:row>
    <x:row r="14">
      <x:c r="A14" s="11" t="str">
        <x:v>P_rel = (R_nadir/R_off)^4</x:v>
      </x:c>
      <x:c r="B14" s="11" t="str">
        <x:v>Simple geometry-only two-way range-power ratio.</x:v>
      </x:c>
      <x:c r="C14" s="11" t="str">
        <x:v>R_nadir, R_off</x:v>
      </x:c>
      <x:c r="D14" s="11" t="str">
        <x:v>relative power</x:v>
      </x:c>
    </x:row>
    <x:row r="15">
      <x:c r="A15" s="11" t="str">
        <x:v>dz/dx = 2*a*x</x:v>
      </x:c>
      <x:c r="B15" s="11" t="str">
        <x:v>Slope of parabolic altitude path.</x:v>
      </x:c>
      <x:c r="C15" s="11" t="str">
        <x:v>a, x</x:v>
      </x:c>
      <x:c r="D15" s="11" t="str">
        <x:v>vertical slope</x:v>
      </x:c>
    </x:row>
    <x:row r="16">
      <x:c r="A16" s="11" t="str">
        <x:v>dz/dt = dz/dx * v</x:v>
      </x:c>
      <x:c r="B16" s="11" t="str">
        <x:v>Vertical speed caused by moving along the parabola.</x:v>
      </x:c>
      <x:c r="C16" s="11" t="str">
        <x:v>dz/dx, v</x:v>
      </x:c>
      <x:c r="D16" s="11" t="str">
        <x:v>vertical speed</x:v>
      </x:c>
    </x:row>
    <x:row r="17">
      <x:c r="A17" s="11" t="str">
        <x:v>dR/dt = (x*v + z*dz/dt)/R</x:v>
      </x:c>
      <x:c r="B17" s="11" t="str">
        <x:v>Range rate from chain rule.</x:v>
      </x:c>
      <x:c r="C17" s="11" t="str">
        <x:v>x, v, z, dz/dt, R</x:v>
      </x:c>
      <x:c r="D17" s="11" t="str">
        <x:v>range rate</x:v>
      </x:c>
    </x:row>
    <x:row r="18">
      <x:c r="A18" s="11" t="str">
        <x:v>f_D = -2*(dR/dt)/lambda</x:v>
      </x:c>
      <x:c r="B18" s="11" t="str">
        <x:v>Two-way Doppler shift.</x:v>
      </x:c>
      <x:c r="C18" s="11" t="str">
        <x:v>range rate, lambda</x:v>
      </x:c>
      <x:c r="D18" s="11" t="str">
        <x:v>Doppler</x:v>
      </x:c>
    </x:row>
    <x:row r="19">
      <x:c r="A19" s="11" t="str">
        <x:v>PRF_min = 2*max(abs(f_D))</x:v>
      </x:c>
      <x:c r="B19" s="11" t="str">
        <x:v>Simple Doppler sampling floor.</x:v>
      </x:c>
      <x:c r="C19" s="11" t="str">
        <x:v>Doppler</x:v>
      </x:c>
      <x:c r="D19" s="11" t="str">
        <x:v>minimum PRF</x:v>
      </x:c>
    </x:row>
    <x:row r="20">
      <x:c r="A20" s="11" t="str">
        <x:v>h_project = S_dem*(ridge + scallop + chaos + along_bulge)</x:v>
      </x:c>
      <x:c r="B20" s="11" t="str">
        <x:v>Project synthetic DEM-style terrain from reason_common.py, rewritten in Excel formulas.</x:v>
      </x:c>
      <x:c r="C20" s="11" t="str">
        <x:v>S_dem, x, y</x:v>
      </x:c>
      <x:c r="D20" s="11" t="str">
        <x:v>baseline representative surface</x:v>
      </x:c>
    </x:row>
    <x:row r="21">
      <x:c r="A21" s="11" t="str">
        <x:v>h_seeded = A_seeded*(smooth waves + deterministic hash)</x:v>
      </x:c>
      <x:c r="B21" s="11" t="str">
        <x:v>Seed-controlled random-looking terrain. Same seed repeats the same surface; changing the seed changes the surface.</x:v>
      </x:c>
      <x:c r="C21" s="11" t="str">
        <x:v>terrain_seed, A_seeded, L_seed_x, L_seed_y</x:v>
      </x:c>
      <x:c r="D21" s="11" t="str">
        <x:v>dynamic terrain variation</x:v>
      </x:c>
    </x:row>
    <x:row r="22">
      <x:c r="A22" s="11" t="str">
        <x:v>h_total = h_project + h_ridge + h_crater + h_chaos + h_rough + h_trough + h_seeded</x:v>
      </x:c>
      <x:c r="B22" s="11" t="str">
        <x:v>Representative Europa topography model.</x:v>
      </x:c>
      <x:c r="C22" s="11" t="str">
        <x:v>topography controls and seed controls</x:v>
      </x:c>
      <x:c r="D22" s="11" t="str">
        <x:v>surface height</x:v>
      </x:c>
    </x:row>
    <x:row r="23">
      <x:c r="A23" s="11" t="str">
        <x:v>h_ridge = A*exp(-(x-x0)^2/(2*sx^2))*exp(-(y-y0)^2/(2*sy^2))</x:v>
      </x:c>
      <x:c r="B23" s="11" t="str">
        <x:v>Raised ridge / band feature.</x:v>
      </x:c>
      <x:c r="C23" s="11" t="str">
        <x:v>ridge height, center, length, width</x:v>
      </x:c>
      <x:c r="D23" s="11" t="str">
        <x:v>ridge height</x:v>
      </x:c>
    </x:row>
    <x:row r="24">
      <x:c r="A24" s="11" t="str">
        <x:v>h_crater = -D*exp(-((x-x0)^2+(y-y0)^2)/(2*sigma^2))</x:v>
      </x:c>
      <x:c r="B24" s="11" t="str">
        <x:v>Depression or crater-like low area.</x:v>
      </x:c>
      <x:c r="C24" s="11" t="str">
        <x:v>crater depth, center, width</x:v>
      </x:c>
      <x:c r="D24" s="11" t="str">
        <x:v>depression height</x:v>
      </x:c>
    </x:row>
    <x:row r="25">
      <x:c r="A25" s="11" t="str">
        <x:v>h_rough = A*sin(2*pi*x/Lx)*sin(2*pi*y/Ly)</x:v>
      </x:c>
      <x:c r="B25" s="11" t="str">
        <x:v>Fine roughness variation.</x:v>
      </x:c>
      <x:c r="C25" s="11" t="str">
        <x:v>roughness amplitude and wavelength</x:v>
      </x:c>
      <x:c r="D25" s="11" t="str">
        <x:v>roughness height</x:v>
      </x:c>
    </x:row>
    <x:row r="26">
      <x:c r="A26" s="11" t="str">
        <x:v>R_off_topo = sqrt(x^2 + y^2 + (z - h_target/1000)^2)</x:v>
      </x:c>
      <x:c r="B26" s="11" t="str">
        <x:v>Topography-adjusted slant range.</x:v>
      </x:c>
      <x:c r="C26" s="11" t="str">
        <x:v>x, y, z, target height</x:v>
      </x:c>
      <x:c r="D26" s="11" t="str">
        <x:v>topographic range</x:v>
      </x:c>
    </x:row>
    <x:row r="27">
      <x:c r="A27" s="11" t="str">
        <x:v>R_nadir_topo = z - h_nadir/1000</x:v>
      </x:c>
      <x:c r="B27" s="11" t="str">
        <x:v>Nadir range after local surface elevation is included.</x:v>
      </x:c>
      <x:c r="C27" s="11" t="str">
        <x:v>z, nadir height</x:v>
      </x:c>
      <x:c r="D27" s="11" t="str">
        <x:v>topographic nadir range</x:v>
      </x:c>
    </x:row>
    <x:row r="28">
      <x:c r="A28" s="11" t="str">
        <x:v>d_app_topo = (R_off_topo - R_nadir_topo)/n</x:v>
      </x:c>
      <x:c r="B28" s="11" t="str">
        <x:v>Topography-adjusted apparent depth.</x:v>
      </x:c>
      <x:c r="C28" s="11" t="str">
        <x:v>topographic ranges, n</x:v>
      </x:c>
      <x:c r="D28" s="11" t="str">
        <x:v>apparent depth with topography</x:v>
      </x:c>
    </x:row>
    <x:row r="29">
      <x:c r="A29" s="11" t="str">
        <x:v>surface_signal = h_target - h_nadir</x:v>
      </x:c>
      <x:c r="B29" s="11" t="str">
        <x:v>The original modeled surface/topography difference between the target path and nadir path.</x:v>
      </x:c>
      <x:c r="C29" s="11" t="str">
        <x:v>h_target, h_nadir</x:v>
      </x:c>
      <x:c r="D29" s="11" t="str">
        <x:v>true surface signal</x:v>
      </x:c>
    </x:row>
    <x:row r="30">
      <x:c r="A30" s="11" t="str">
        <x:v>apparent_surface_shift = -(d_app_topo - d_app_flat)</x:v>
      </x:c>
      <x:c r="B30" s="11" t="str">
        <x:v>The radar-apparent shift caused by that surface signal. Positive means the echo appears shallower.</x:v>
      </x:c>
      <x:c r="C30" s="11" t="str">
        <x:v>d_app_topo, d_app_flat</x:v>
      </x:c>
      <x:c r="D30" s="11" t="str">
        <x:v>radar-apparent shift</x:v>
      </x:c>
    </x:row>
    <x:row r="31">
      <x:c r="A31" s="11" t="str">
        <x:v>constant-altitude shift</x:v>
      </x:c>
      <x:c r="B31" s="11" t="str">
        <x:v>Same topography shift calculation, but with z held constant at z0 instead of using the parabola.</x:v>
      </x:c>
      <x:c r="C31" s="11" t="str">
        <x:v>z0, h_target, h_nadir</x:v>
      </x:c>
      <x:c r="D31" s="11" t="str">
        <x:v>path-motion comparison</x:v>
      </x:c>
    </x:row>
  </x:sheetData>
  <x:mergeCells>
    <x:mergeCell ref="A1:D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74" hidden="0" customWidth="1"/>
    <x:col min="3" max="3" width="44" hidden="0" customWidth="1"/>
    <x:col min="4" max="4" width="40" hidden="0" customWidth="1"/>
    <x:col min="5" max="5" width="48" hidden="0" customWidth="1"/>
  </x:cols>
  <x:sheetData>
    <x:row r="1">
      <x:c r="A1" s="4" t="str">
        <x:v>Topography Formula Explanation</x:v>
      </x:c>
      <x:c r="B1" s="4"/>
      <x:c r="C1" s="4"/>
      <x:c r="D1" s="4"/>
      <x:c r="E1" s="4"/>
    </x:row>
    <x:row r="2">
      <x:c r="A2" s="51" t="str">
        <x:v>This sheet explains the representative Europa topography model used when Inputs!C27 is TRUE. It is not a real imported DEM; it combines the project's synthetic DEM-style terrain with a seed-controlled random terrain term for testing multiple possible surfaces.</x:v>
      </x:c>
      <x:c r="B2" s="51"/>
      <x:c r="C2" s="51"/>
      <x:c r="D2" s="51"/>
      <x:c r="E2" s="51"/>
    </x:row>
    <x:row r="4">
      <x:c r="A4" s="14" t="str">
        <x:v>Piece</x:v>
      </x:c>
      <x:c r="B4" s="14" t="str">
        <x:v>Formula</x:v>
      </x:c>
      <x:c r="C4" s="14" t="str">
        <x:v>What it represents</x:v>
      </x:c>
      <x:c r="D4" s="14" t="str">
        <x:v>Changeable inputs</x:v>
      </x:c>
      <x:c r="E4" s="14" t="str">
        <x:v>Effect on radar output</x:v>
      </x:c>
    </x:row>
    <x:row r="5">
      <x:c r="A5" s="11" t="str">
        <x:v>Checkbox / toggle</x:v>
      </x:c>
      <x:c r="B5" s="56" t="str">
        <x:v>topography_factor = IF(OR(Inputs!C27=TRUE, Inputs!C27="TRUE", Inputs!C27=1), 1, 0)</x:v>
      </x:c>
      <x:c r="C5" s="11" t="str">
        <x:v>Turns all terrain terms on or off.</x:v>
      </x:c>
      <x:c r="D5" s="11" t="str">
        <x:v>Inputs!C27</x:v>
      </x:c>
      <x:c r="E5" s="11" t="str">
        <x:v>TRUE includes terrain height; FALSE makes all h(x,y) terms equal 0.</x:v>
      </x:c>
    </x:row>
    <x:row r="6">
      <x:c r="A6" s="11" t="str">
        <x:v>Project DEM-style surface</x:v>
      </x:c>
      <x:c r="B6" s="56" t="str">
        <x:v>h_project = S_dem*(115*EXP(-((y-25)^2)/(4.5^2)) + 70*EXP(-((y+38)^2)/(7^2))*(0.55+0.45*SIN(2*PI()*x/45)) + 24*SIN(2*PI()*y/9+x/18)*EXP(-((y+5)^2)/(22^2)) + 18*SIN(2*PI()*x/70))</x:v>
      </x:c>
      <x:c r="C6" s="11" t="str">
        <x:v>The same style as the existing local make_synthetic_dem model: an off-nadir ridge, scalloped terrain, chaos-like variation, and along-track bulge.</x:v>
      </x:c>
      <x:c r="D6" s="11" t="str">
        <x:v>S_dem, x, y</x:v>
      </x:c>
      <x:c r="E6" s="11" t="str">
        <x:v>Provides a repeatable baseline terrain pattern based on the existing project model.</x:v>
      </x:c>
    </x:row>
    <x:row r="7">
      <x:c r="A7" s="11" t="str">
        <x:v>Seeded dynamic terrain</x:v>
      </x:c>
      <x:c r="B7" s="56" t="str">
        <x:v>h_seeded = A_seeded*(0.70*smooth_seeded_waves + 0.30*deterministic_hash(x,y,seed))</x:v>
      </x:c>
      <x:c r="C7" s="11" t="str">
        <x:v>A random-looking but repeatable terrain term. It avoids volatile RAND(), so the graph stays stable until the seed is changed.</x:v>
      </x:c>
      <x:c r="D7" s="11" t="str">
        <x:v>terrain_seed, A_seeded, L_seed_x, L_seed_y</x:v>
      </x:c>
      <x:c r="E7" s="11" t="str">
        <x:v>Changing the seed tests a different possible topographic case.</x:v>
      </x:c>
    </x:row>
    <x:row r="8">
      <x:c r="A8" s="11" t="str">
        <x:v>Raised ridge</x:v>
      </x:c>
      <x:c r="B8" s="56" t="str">
        <x:v>h_ridge = A_ridge*EXP(-((x-ridge_x0)^2)/(2*ridge_sigma_x^2))*EXP(-((y-ridge_y0)^2)/(2*ridge_sigma_y^2))</x:v>
      </x:c>
      <x:c r="C8" s="11" t="str">
        <x:v>A long, narrow positive-height ridge or band, similar to a simplified Europa lineament/ridge.</x:v>
      </x:c>
      <x:c r="D8" s="11" t="str">
        <x:v>A_ridge, ridge_x0, ridge_y0, ridge_sigma_x, ridge_sigma_y</x:v>
      </x:c>
      <x:c r="E8" s="11" t="str">
        <x:v>A raised target usually shortens the target range and can pull apparent depth upward/shallower.</x:v>
      </x:c>
    </x:row>
    <x:row r="9">
      <x:c r="A9" s="11" t="str">
        <x:v>Crater/depression</x:v>
      </x:c>
      <x:c r="B9" s="56" t="str">
        <x:v>h_crater = -D_crater*EXP(-(((x-crater_x0)^2+(y-crater_y0)^2)/(2*crater_sigma^2)))</x:v>
      </x:c>
      <x:c r="C9" s="11" t="str">
        <x:v>A negative-height circular depression.</x:v>
      </x:c>
      <x:c r="D9" s="11" t="str">
        <x:v>D_crater, crater_x0, crater_y0, crater_sigma</x:v>
      </x:c>
      <x:c r="E9" s="11" t="str">
        <x:v>A depression usually lengthens the target range and can push apparent depth deeper.</x:v>
      </x:c>
    </x:row>
    <x:row r="10">
      <x:c r="A10" s="11" t="str">
        <x:v>Chaos terrain</x:v>
      </x:c>
      <x:c r="B10" s="56" t="str">
        <x:v>h_chaos = A_chaos*(0.55*SIN(2*PI()*x/Lx)+0.35*COS(2*PI()*y/Ly)+0.2*SIN(2*PI()*(x+y)/(0.5*(Lx+Ly))))</x:v>
      </x:c>
      <x:c r="C10" s="11" t="str">
        <x:v>A mixed wave term that gives irregular terrain instead of a single smooth hill.</x:v>
      </x:c>
      <x:c r="D10" s="11" t="str">
        <x:v>A_chaos, Lx, Ly</x:v>
      </x:c>
      <x:c r="E10" s="11" t="str">
        <x:v>Adds broad, uneven changes to terrain height along the pass.</x:v>
      </x:c>
    </x:row>
    <x:row r="11">
      <x:c r="A11" s="11" t="str">
        <x:v>Fine roughness</x:v>
      </x:c>
      <x:c r="B11" s="56" t="str">
        <x:v>h_rough = A_rough*SIN(2*PI()*x/Lx)*SIN(2*PI()*y/Ly)</x:v>
      </x:c>
      <x:c r="C11" s="11" t="str">
        <x:v>Smaller oscillating roughness on top of the larger terrain terms.</x:v>
      </x:c>
      <x:c r="D11" s="11" t="str">
        <x:v>A_rough, Lx, Ly</x:v>
      </x:c>
      <x:c r="E11" s="11" t="str">
        <x:v>Creates smaller-scale wiggles in topography-adjusted range/depth.</x:v>
      </x:c>
    </x:row>
    <x:row r="12">
      <x:c r="A12" s="11" t="str">
        <x:v>Trough/fracture</x:v>
      </x:c>
      <x:c r="B12" s="56" t="str">
        <x:v>h_trough = -D_trough*EXP(-((y-trough_y0)^2)/(2*trough_sigma_y^2))*EXP(-((x-trough_x0)^2)/(2*trough_sigma_x^2))</x:v>
      </x:c>
      <x:c r="C12" s="11" t="str">
        <x:v>A long negative-height trough or fracture-like feature.</x:v>
      </x:c>
      <x:c r="D12" s="11" t="str">
        <x:v>D_trough, trough_x0, trough_y0, trough_sigma_y, trough_sigma_x</x:v>
      </x:c>
      <x:c r="E12" s="11" t="str">
        <x:v>Can create a localized deeper apparent-depth shift.</x:v>
      </x:c>
    </x:row>
    <x:row r="13">
      <x:c r="A13" s="11" t="str">
        <x:v>Total surface height</x:v>
      </x:c>
      <x:c r="B13" s="56" t="str">
        <x:v>h_total(x,y) = topography_factor*(h_project + h_ridge + h_crater + h_chaos + h_rough + h_trough + h_seeded)</x:v>
      </x:c>
      <x:c r="C13" s="11" t="str">
        <x:v>The combined representative terrain surface used by the model.</x:v>
      </x:c>
      <x:c r="D13" s="11" t="str">
        <x:v>All topography and seed controls</x:v>
      </x:c>
      <x:c r="E13" s="11" t="str">
        <x:v>This is the terrain height used in the range equations.</x:v>
      </x:c>
    </x:row>
    <x:row r="14">
      <x:c r="A14" s="11" t="str">
        <x:v>Nadir topographic height</x:v>
      </x:c>
      <x:c r="B14" s="56" t="str">
        <x:v>h_nadir = h_total(x, 0)</x:v>
      </x:c>
      <x:c r="C14" s="11" t="str">
        <x:v>Surface height directly below the spacecraft path.</x:v>
      </x:c>
      <x:c r="D14" s="11" t="str">
        <x:v>x plus all topography controls</x:v>
      </x:c>
      <x:c r="E14" s="11" t="str">
        <x:v>Changes the reference/nadir range.</x:v>
      </x:c>
    </x:row>
    <x:row r="15">
      <x:c r="A15" s="11" t="str">
        <x:v>Target topographic height</x:v>
      </x:c>
      <x:c r="B15" s="56" t="str">
        <x:v>h_target = h_total(x, y)</x:v>
      </x:c>
      <x:c r="C15" s="11" t="str">
        <x:v>Surface height at the side-offset target path.</x:v>
      </x:c>
      <x:c r="D15" s="11" t="str">
        <x:v>x, y plus all topography controls</x:v>
      </x:c>
      <x:c r="E15" s="11" t="str">
        <x:v>Changes the off-nadir slant range.</x:v>
      </x:c>
    </x:row>
    <x:row r="16">
      <x:c r="A16" s="11" t="str">
        <x:v>Topographic nadir range</x:v>
      </x:c>
      <x:c r="B16" s="56" t="str">
        <x:v>R_nadir_topo = z(x) - h_nadir/1000</x:v>
      </x:c>
      <x:c r="C16" s="11" t="str">
        <x:v>Distance from spacecraft to the raised/lowered nadir surface.</x:v>
      </x:c>
      <x:c r="D16" s="11" t="str">
        <x:v>z(x), h_nadir</x:v>
      </x:c>
      <x:c r="E16" s="11" t="str">
        <x:v>Raised nadir terrain shortens the reference range.</x:v>
      </x:c>
    </x:row>
    <x:row r="17">
      <x:c r="A17" s="11" t="str">
        <x:v>Topographic off-nadir range</x:v>
      </x:c>
      <x:c r="B17" s="56" t="str">
        <x:v>R_off_topo = SQRT(x^2 + y^2 + (z(x) - h_target/1000)^2)</x:v>
      </x:c>
      <x:c r="C17" s="11" t="str">
        <x:v>Slant range to the side-offset target after terrain height is included.</x:v>
      </x:c>
      <x:c r="D17" s="11" t="str">
        <x:v>x, y, z(x), h_target</x:v>
      </x:c>
      <x:c r="E17" s="11" t="str">
        <x:v>Raised target terrain shortens the slant range.</x:v>
      </x:c>
    </x:row>
    <x:row r="18">
      <x:c r="A18" s="11" t="str">
        <x:v>Topographic apparent depth</x:v>
      </x:c>
      <x:c r="B18" s="56" t="str">
        <x:v>d_app_topo = (R_off_topo - R_nadir_topo)*1000/n</x:v>
      </x:c>
      <x:c r="C18" s="11" t="str">
        <x:v>The apparent depth after topography changes both reference and target ranges.</x:v>
      </x:c>
      <x:c r="D18" s="11" t="str">
        <x:v>R_off_topo, R_nadir_topo, n</x:v>
      </x:c>
      <x:c r="E18" s="11" t="str">
        <x:v>This is the main output compared against flat apparent depth.</x:v>
      </x:c>
    </x:row>
    <x:row r="19">
      <x:c r="A19" s="11" t="str">
        <x:v>Topography depth difference</x:v>
      </x:c>
      <x:c r="B19" s="56" t="str">
        <x:v>depth_change = d_app_topo - d_app_flat</x:v>
      </x:c>
      <x:c r="C19" s="11" t="str">
        <x:v>How much terrain changes the apparent-depth result.</x:v>
      </x:c>
      <x:c r="D19" s="11" t="str">
        <x:v>d_app_topo, d_app_flat</x:v>
      </x:c>
      <x:c r="E19" s="11" t="str">
        <x:v>Negative means topography makes the echo appear shallower; positive means deeper.</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56" hidden="0" customWidth="1"/>
  </x:cols>
  <x:sheetData>
    <x:row r="1">
      <x:c r="A1" s="4" t="str">
        <x:v>Workbook Checks</x:v>
      </x:c>
      <x:c r="B1" s="4"/>
      <x:c r="C1" s="4"/>
    </x:row>
    <x:row r="3">
      <x:c r="A3" s="14" t="str">
        <x:v>Check</x:v>
      </x:c>
      <x:c r="B3" s="14" t="str">
        <x:v>Status</x:v>
      </x:c>
      <x:c r="C3" s="14" t="str">
        <x:v>Formula</x:v>
      </x:c>
    </x:row>
    <x:row r="4">
      <x:c r="A4" s="11" t="str">
        <x:v>x_min &lt; x_max</x:v>
      </x:c>
      <x:c r="B4" s="11" t="str">
        <x:f>IF(Inputs!C7&lt;Inputs!C8,"OK","Fix x_min/x_max")</x:f>
        <x:v>OK</x:v>
      </x:c>
      <x:c r="C4" s="11" t="str">
        <x:v>Inputs!C7 must be less than Inputs!C8</x:v>
      </x:c>
    </x:row>
    <x:row r="5">
      <x:c r="A5" s="11" t="str">
        <x:v>z0 positive</x:v>
      </x:c>
      <x:c r="B5" s="11" t="str">
        <x:f>IF(Inputs!C5&gt;0,"OK","Fix z0")</x:f>
        <x:v>OK</x:v>
      </x:c>
      <x:c r="C5" s="11" t="str">
        <x:v>Closest altitude must be positive</x:v>
      </x:c>
    </x:row>
    <x:row r="6">
      <x:c r="A6" s="11" t="str">
        <x:v>x_edge positive</x:v>
      </x:c>
      <x:c r="B6" s="11" t="str">
        <x:f>IF(Inputs!C10&gt;0,"OK","Fix x_edge")</x:f>
        <x:v>OK</x:v>
      </x:c>
      <x:c r="C6" s="11" t="str">
        <x:v>Parabola edge must be positive</x:v>
      </x:c>
    </x:row>
    <x:row r="7">
      <x:c r="A7" s="11" t="str">
        <x:v>ice refractive index positive</x:v>
      </x:c>
      <x:c r="B7" s="11" t="str">
        <x:f>IF(Inputs!C12&gt;0,"OK","Fix n")</x:f>
        <x:v>OK</x:v>
      </x:c>
      <x:c r="C7" s="11" t="str">
        <x:v>n must be positive</x:v>
      </x:c>
    </x:row>
    <x:row r="8">
      <x:c r="A8" s="11" t="str">
        <x:v>wavelengths positive</x:v>
      </x:c>
      <x:c r="B8" s="11" t="str">
        <x:f>IF(AND(Inputs!C13&gt;0,Inputs!C14&gt;0),"OK","Fix wavelengths")</x:f>
        <x:v>OK</x:v>
      </x:c>
      <x:c r="C8" s="11" t="str">
        <x:v>HF and VHF wavelengths must be positive</x:v>
      </x:c>
    </x:row>
    <x:row r="9">
      <x:c r="A9" s="11" t="str">
        <x:v>baseline positive</x:v>
      </x:c>
      <x:c r="B9" s="11" t="str">
        <x:f>IF(Inputs!C15&gt;0,"OK","Fix baseline")</x:f>
        <x:v>OK</x:v>
      </x:c>
      <x:c r="C9" s="11" t="str">
        <x:v>Interferometry baseline must be positive</x:v>
      </x:c>
    </x:row>
    <x:row r="10">
      <x:c r="A10" s="11" t="str">
        <x:v>topography toggle valid</x:v>
      </x:c>
      <x:c r="B10" s="11" t="str">
        <x:f>IF(OR(Inputs!C27=TRUE,Inputs!C27=FALSE,Inputs!C27="TRUE",Inputs!C27="FALSE",Inputs!C27=1,Inputs!C27=0),"OK","Fix topography toggle")</x:f>
        <x:v>OK</x:v>
      </x:c>
      <x:c r="C10" s="11" t="str">
        <x:v>Inputs!C27 must be TRUE or FALSE</x:v>
      </x:c>
    </x:row>
    <x:row r="11">
      <x:c r="A11" s="11" t="str">
        <x:v>topography widths positive</x:v>
      </x:c>
      <x:c r="B11" s="11" t="str">
        <x:f>IF(AND(Inputs!C31&gt;0,Inputs!C32&gt;0,Inputs!C36&gt;0,Inputs!C39&gt;0,Inputs!C40&gt;0,Inputs!C44&gt;0,Inputs!C45&gt;0),"OK","Fix topography width")</x:f>
        <x:v>OK</x:v>
      </x:c>
      <x:c r="C11" s="11" t="str">
        <x:v>Terrain sigma/width/wavelength values must be positive</x:v>
      </x:c>
    </x:row>
    <x:row r="12">
      <x:c r="A12" s="11" t="str">
        <x:v>terrain uncertainty nonnegative</x:v>
      </x:c>
      <x:c r="B12" s="11" t="str">
        <x:f>IF(Inputs!C46&gt;=0,"OK","Fix terrain uncertainty")</x:f>
        <x:v>OK</x:v>
      </x:c>
      <x:c r="C12" s="11" t="str">
        <x:v>Representative vertical uncertainty should be &gt;= 0</x:v>
      </x:c>
    </x:row>
    <x:row r="13">
      <x:c r="A13" s="11" t="str">
        <x:v>seeded terrain scales positive</x:v>
      </x:c>
      <x:c r="B13" s="11" t="str">
        <x:f>IF(AND(Inputs!C49&gt;0,Inputs!C50&gt;0),"OK","Fix seeded terrain scale")</x:f>
        <x:v>OK</x:v>
      </x:c>
      <x:c r="C13" s="11" t="str">
        <x:v>Seeded random terrain scales must be positive</x:v>
      </x:c>
    </x:row>
    <x:row r="14">
      <x:c r="A14" s="11" t="str">
        <x:v>seeded random amplitude nonnegative</x:v>
      </x:c>
      <x:c r="B14" s="11" t="str">
        <x:f>IF(Inputs!C48&gt;=0,"OK","Fix seeded amplitude")</x:f>
        <x:v>OK</x:v>
      </x:c>
      <x:c r="C14" s="11" t="str">
        <x:v>Seeded random terrain amplitude should be &gt;= 0</x:v>
      </x:c>
    </x:row>
    <x:row r="15">
      <x:c r="A15" s="11" t="str">
        <x:v>project DEM scale nonnegative</x:v>
      </x:c>
      <x:c r="B15" s="11" t="str">
        <x:f>IF(Inputs!C51&gt;=0,"OK","Fix DEM scale")</x:f>
        <x:v>OK</x:v>
      </x:c>
      <x:c r="C15" s="11" t="str">
        <x:v>Existing DEM-style scale should be &gt;= 0</x:v>
      </x:c>
    </x:row>
    <x:row r="16">
      <x:c r="A16" s="11" t="str">
        <x:v>scenario toggles valid</x:v>
      </x:c>
      <x:c r="B16" s="11" t="str">
        <x: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x:f>
        <x:v>OK</x:v>
      </x:c>
      <x:c r="C16" s="11" t="str">
        <x:v>Inputs!F6:F9 must be TRUE or FALSE</x:v>
      </x:c>
    </x:row>
    <x:row r="17">
      <x:c r="A17" s="11" t="str">
        <x:v>scenario lengths positive</x:v>
      </x:c>
      <x:c r="B17" s="11" t="str">
        <x:f>IF(AND(Inputs!I6&lt;Inputs!J6,Inputs!K6&gt;0,Inputs!I7&lt;Inputs!J7,Inputs!K7&gt;0,Inputs!I8&lt;Inputs!J8,Inputs!K8&gt;0,Inputs!I9&lt;Inputs!J9,Inputs!K9&gt;0),"OK","Fix scenario length")</x:f>
        <x:v>OK</x:v>
      </x:c>
      <x:c r="C17" s="11" t="str">
        <x:v>Each scenario must have x_min &lt; x_max and x_edge &gt; 0</x:v>
      </x:c>
    </x:row>
    <x:row r="18">
      <x:c r="A18" s="11" t="str">
        <x:v>PRF high vs simple PRF floor</x:v>
      </x:c>
      <x:c r="B18" s="11" t="str">
        <x:f>IF(Inputs!C20&gt;=Dashboard!B16,"OK","High PRF below simple floor")</x:f>
        <x:v>OK</x:v>
      </x:c>
      <x:c r="C18" s="11" t="str">
        <x:v>PRF_3 should exceed Dashboard topo minimum PRF for the default check</x:v>
      </x:c>
    </x:row>
    <x:row r="19">
      <x:c r="A19" s="11" t="str">
        <x:v>model rows available</x:v>
      </x:c>
      <x:c r="B19" s="11" t="str">
        <x:f>IF(COUNTA(Model_Data!A2:A242)=241,"OK","Missing rows")</x:f>
        <x:v>OK</x:v>
      </x:c>
      <x:c r="C19" s="11" t="str">
        <x:v>Model_Data contains 241 plotted positions</x:v>
      </x:c>
    </x:row>
  </x:sheetData>
  <x:mergeCells>
    <x:mergeCell ref="A1:C1"/>
  </x:mergeCells>
  <x:conditionalFormatting sqref="B4:B19">
    <x:cfRule type="containsText" dxfId="0" priority="1" operator="containsText" text="OK"/>
    <x:cfRule type="notContainsText" dxfId="1" priority="2" text="OK"/>
  </x:conditionalFormatting>
  <x:pageMargins left="0.7" right="0.7" top="0.75" bottom="0.75" header="0.3" footer="0.3"/>
</x:worksheet>
</file>